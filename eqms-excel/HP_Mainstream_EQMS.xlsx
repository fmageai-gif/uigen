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Quick Case Dashboard" sheetId="3" state="visible" r:id="rId3"/>
    <sheet name="Special Codes" sheetId="4" state="visible" r:id="rId4"/>
    <sheet name="Audit Log" sheetId="5" state="visible" r:id="rId5"/>
    <sheet name="Roster" sheetId="6" state="visible" r:id="rId6"/>
    <sheet name="Lists" sheetId="7" state="visible" r:id="rId7"/>
    <sheet name="Calc" sheetId="8" state="hidden" r:id="rId8"/>
    <sheet name="CalcQC" sheetId="9" state="hidden" r:id="rId9"/>
    <sheet name="CalcCodes" sheetId="10" state="hidden" r:id="rId10"/>
  </sheets>
  <definedNames>
    <definedName name="AgentNames">Lists!$H$2:$H$465</definedName>
    <definedName name="ResOptions">Lists!$A$2:$A$23</definedName>
    <definedName name="ExpOptions">Lists!$B$2:$B$23</definedName>
    <definedName name="AuditorNames">Lists!$C$2:$C$16</definedName>
    <definedName name="Timeframes">Lists!$D$2:$D$7</definedName>
    <definedName name="ValFilter">Lists!$F$2:$F$4</definedName>
    <definedName name="TLFilter">Lists!$G$2:$G$41</definedName>
    <definedName name="AudFilter">Lists!$I$2:$I$17</definedName>
  </definedNames>
  <calcPr calcId="124519" fullCalcOnLoad="1"/>
</workbook>
</file>

<file path=xl/styles.xml><?xml version="1.0" encoding="utf-8"?>
<styleSheet xmlns="http://schemas.openxmlformats.org/spreadsheetml/2006/main">
  <numFmts count="3">
    <numFmt numFmtId="164" formatCode="yyyy-mm-dd"/>
    <numFmt numFmtId="165" formatCode="mm-dd"/>
    <numFmt numFmtId="166" formatCode="0.0%"/>
  </numFmts>
  <fonts count="19">
    <font>
      <name val="Calibri"/>
      <family val="2"/>
      <color theme="1"/>
      <sz val="11"/>
      <scheme val="minor"/>
    </font>
    <font>
      <b val="1"/>
      <color rgb="00FFFFFF"/>
      <sz val="18"/>
    </font>
    <font>
      <color rgb="00222222"/>
      <sz val="11"/>
    </font>
    <font>
      <b val="1"/>
      <color rgb="001F3864"/>
      <sz val="11"/>
    </font>
    <font>
      <b val="1"/>
      <color rgb="00222222"/>
      <sz val="11"/>
    </font>
    <font>
      <b val="1"/>
    </font>
    <font>
      <b val="1"/>
      <color rgb="00FFFFFF"/>
      <sz val="16"/>
    </font>
    <font>
      <b val="1"/>
      <sz val="10"/>
    </font>
    <font>
      <b val="1"/>
      <color rgb="005A6B85"/>
      <sz val="9"/>
    </font>
    <font>
      <b val="1"/>
      <color rgb="001F3864"/>
      <sz val="20"/>
    </font>
    <font>
      <b val="1"/>
      <color rgb="000A7D0A"/>
      <sz val="20"/>
    </font>
    <font>
      <b val="1"/>
      <color rgb="00C00000"/>
      <sz val="20"/>
    </font>
    <font>
      <b val="1"/>
      <color rgb="00C00000"/>
      <sz val="12"/>
    </font>
    <font>
      <b val="1"/>
      <color rgb="001F3864"/>
      <sz val="12"/>
    </font>
    <font>
      <b val="1"/>
      <color rgb="00FFFFFF"/>
      <sz val="12"/>
    </font>
    <font>
      <b val="1"/>
      <color rgb="001F3864"/>
      <sz val="16"/>
    </font>
    <font>
      <b val="1"/>
      <color rgb="000A7D0A"/>
      <sz val="16"/>
    </font>
    <font>
      <b val="1"/>
      <color rgb="00C00000"/>
      <sz val="16"/>
    </font>
    <font>
      <color rgb="00777777"/>
      <sz val="9"/>
    </font>
  </fonts>
  <fills count="9">
    <fill>
      <patternFill/>
    </fill>
    <fill>
      <patternFill patternType="gray125"/>
    </fill>
    <fill>
      <patternFill patternType="solid">
        <fgColor rgb="001F3864"/>
      </patternFill>
    </fill>
    <fill>
      <patternFill patternType="solid">
        <fgColor rgb="00EDEFF3"/>
      </patternFill>
    </fill>
    <fill>
      <patternFill patternType="solid">
        <fgColor rgb="00FFF2CC"/>
      </patternFill>
    </fill>
    <fill>
      <patternFill patternType="solid">
        <fgColor rgb="002A78D6"/>
      </patternFill>
    </fill>
    <fill>
      <patternFill patternType="solid">
        <fgColor rgb="00C55A11"/>
      </patternFill>
    </fill>
    <fill>
      <patternFill patternType="solid">
        <fgColor rgb="007030A0"/>
      </patternFill>
    </fill>
    <fill>
      <patternFill patternType="solid">
        <fgColor rgb="00555F6E"/>
      </patternFill>
    </fill>
  </fills>
  <borders count="2">
    <border>
      <left/>
      <right/>
      <top/>
      <bottom/>
      <diagonal/>
    </border>
    <border>
      <left style="thin">
        <color rgb="00B4C0D6"/>
      </left>
      <right style="thin">
        <color rgb="00B4C0D6"/>
      </right>
      <top style="thin">
        <color rgb="00B4C0D6"/>
      </top>
      <bottom style="thin">
        <color rgb="00B4C0D6"/>
      </bottom>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4" fillId="0" borderId="0" applyAlignment="1" pivotButton="0" quotePrefix="0" xfId="0">
      <alignment horizontal="left" vertical="center" wrapText="1"/>
    </xf>
    <xf numFmtId="0" fontId="6" fillId="2" borderId="0" applyAlignment="1" pivotButton="0" quotePrefix="0" xfId="0">
      <alignment horizontal="center" vertical="center" wrapText="1"/>
    </xf>
    <xf numFmtId="0" fontId="7" fillId="0" borderId="0" pivotButton="0" quotePrefix="0" xfId="0"/>
    <xf numFmtId="0" fontId="0" fillId="4" borderId="1" applyProtection="1" pivotButton="0" quotePrefix="0" xfId="0">
      <protection locked="0" hidden="0"/>
    </xf>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166" fontId="11" fillId="0" borderId="0" pivotButton="0" quotePrefix="0" xfId="0"/>
    <xf numFmtId="0" fontId="12" fillId="0" borderId="0" pivotButton="0" quotePrefix="0" xfId="0"/>
    <xf numFmtId="0" fontId="13" fillId="0" borderId="0" pivotButton="0" quotePrefix="0" xfId="0"/>
    <xf numFmtId="0" fontId="14" fillId="5" borderId="0" applyAlignment="1" pivotButton="0" quotePrefix="0" xfId="0">
      <alignment horizontal="center" vertical="center" wrapText="1"/>
    </xf>
    <xf numFmtId="0" fontId="14" fillId="6" borderId="0" applyAlignment="1" pivotButton="0" quotePrefix="0" xfId="0">
      <alignment horizontal="center" vertical="center" wrapText="1"/>
    </xf>
    <xf numFmtId="0" fontId="8" fillId="0" borderId="0" applyAlignment="1" pivotButton="0" quotePrefix="0" xfId="0">
      <alignment horizontal="center" vertical="center" wrapText="1"/>
    </xf>
    <xf numFmtId="0" fontId="15" fillId="0" borderId="0" applyAlignment="1" pivotButton="0" quotePrefix="0" xfId="0">
      <alignment horizontal="center" vertical="center" wrapText="1"/>
    </xf>
    <xf numFmtId="0" fontId="16" fillId="0" borderId="0" applyAlignment="1" pivotButton="0" quotePrefix="0" xfId="0">
      <alignment horizontal="center" vertical="center" wrapText="1"/>
    </xf>
    <xf numFmtId="0" fontId="17" fillId="0" borderId="0" applyAlignment="1" pivotButton="0" quotePrefix="0" xfId="0">
      <alignment horizontal="center" vertical="center" wrapText="1"/>
    </xf>
    <xf numFmtId="166" fontId="17" fillId="0" borderId="0" applyAlignment="1" pivotButton="0" quotePrefix="0" xfId="0">
      <alignment horizontal="center" vertical="center" wrapText="1"/>
    </xf>
    <xf numFmtId="0" fontId="14" fillId="7" borderId="0" applyAlignment="1" pivotButton="0" quotePrefix="0" xfId="0">
      <alignment horizontal="center" vertical="center" wrapText="1"/>
    </xf>
    <xf numFmtId="0" fontId="14" fillId="8" borderId="0" applyAlignment="1" pivotButton="0" quotePrefix="0" xfId="0">
      <alignment horizontal="center" vertical="center" wrapText="1"/>
    </xf>
    <xf numFmtId="0" fontId="18" fillId="0" borderId="0" pivotButton="0" quotePrefix="0" xfId="0"/>
    <xf numFmtId="0" fontId="0" fillId="3" borderId="0" pivotButton="0" quotePrefix="0" xfId="0"/>
    <xf numFmtId="164" fontId="0" fillId="0" borderId="0" applyProtection="1" pivotButton="0" quotePrefix="0" xfId="0">
      <protection locked="0" hidden="0"/>
    </xf>
    <xf numFmtId="0" fontId="0" fillId="0" borderId="0" applyProtection="1" pivotButton="0" quotePrefix="0" xfId="0">
      <protection locked="0" hidden="0"/>
    </xf>
    <xf numFmtId="0" fontId="5" fillId="0" borderId="0" pivotButton="0" quotePrefix="0" xfId="0"/>
    <xf numFmtId="165" fontId="0" fillId="0" borderId="0" pivotButton="0" quotePrefix="0" xfId="0"/>
    <xf numFmtId="166" fontId="0" fillId="0" borderId="0" pivotButton="0" quotePrefix="0" xfId="0"/>
  </cellXfs>
  <cellStyles count="1">
    <cellStyle name="Normal" xfId="0" builtinId="0" hidden="0"/>
  </cellStyles>
  <dxfs count="4">
    <dxf>
      <font>
        <b val="1"/>
        <color rgb="00C00000"/>
      </font>
      <fill>
        <patternFill patternType="solid">
          <fgColor rgb="00FBE4E4"/>
        </patternFill>
      </fill>
    </dxf>
    <dxf>
      <font>
        <b val="1"/>
        <color rgb="000A7D0A"/>
      </font>
      <fill>
        <patternFill patternType="solid">
          <fgColor rgb="00E4F5E4"/>
        </patternFill>
      </fill>
    </dxf>
    <dxf>
      <fill>
        <patternFill patternType="solid">
          <fgColor rgb="00FFE4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chart>
    <title>
      <tx>
        <rich>
          <a:bodyPr/>
          <a:p>
            <a:pPr>
              <a:defRPr/>
            </a:pPr>
            <a:r>
              <a:t>Audit Trend (Last 14 Days)</a:t>
            </a:r>
          </a:p>
        </rich>
      </tx>
    </title>
    <plotArea>
      <lineChart>
        <grouping val="standard"/>
        <ser>
          <idx val="0"/>
          <order val="0"/>
          <tx>
            <strRef>
              <f>'Calc'!E1</f>
            </strRef>
          </tx>
          <spPr>
            <a:ln w="22000">
              <a:solidFill>
                <a:srgbClr val="2A78D6"/>
              </a:solidFill>
              <a:prstDash val="solid"/>
            </a:ln>
          </spPr>
          <marker>
            <symbol val="none"/>
            <spPr>
              <a:ln>
                <a:prstDash val="solid"/>
              </a:ln>
            </spPr>
          </marker>
          <cat>
            <numRef>
              <f>'Calc'!$D$2:$D$15</f>
            </numRef>
          </cat>
          <val>
            <numRef>
              <f>'Calc'!$E$2:$E$15</f>
            </numRef>
          </val>
          <smooth val="0"/>
        </ser>
        <axId val="10"/>
        <axId val="100"/>
      </lineChart>
      <catAx>
        <axId val="10"/>
        <scaling>
          <orientation val="minMax"/>
        </scaling>
        <delete val="0"/>
        <axPos val="l"/>
        <numFmt formatCode="mm-dd" sourceLinked="0"/>
        <majorTickMark val="none"/>
        <minorTickMark val="none"/>
        <tickLblPos val="nextTo"/>
        <crossAx val="100"/>
        <lblOffset val="100"/>
      </catAx>
      <valAx>
        <axId val="100"/>
        <scaling>
          <orientation val="minMax"/>
        </scaling>
        <delete val="0"/>
        <axPos val="l"/>
        <majorGridlines/>
        <title>
          <tx>
            <rich>
              <a:bodyPr/>
              <a:p>
                <a:pPr>
                  <a:defRPr/>
                </a:pPr>
                <a:r>
                  <a:t>audits</a:t>
                </a:r>
              </a:p>
            </rich>
          </tx>
        </title>
        <majorTickMark val="none"/>
        <minorTickMark val="none"/>
        <tickLblPos val="nextTo"/>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Valid vs Invalid</a:t>
            </a:r>
          </a:p>
        </rich>
      </tx>
    </title>
    <plotArea>
      <doughnutChart>
        <varyColors val="1"/>
        <ser>
          <idx val="0"/>
          <order val="0"/>
          <spPr>
            <a:ln>
              <a:prstDash val="solid"/>
            </a:ln>
          </spPr>
          <dPt>
            <idx val="0"/>
            <spPr>
              <a:solidFill>
                <a:srgbClr val="0A7D0A"/>
              </a:solidFill>
              <a:ln>
                <a:prstDash val="solid"/>
              </a:ln>
            </spPr>
          </dPt>
          <dPt>
            <idx val="1"/>
            <spPr>
              <a:solidFill>
                <a:srgbClr val="C00000"/>
              </a:solidFill>
              <a:ln>
                <a:prstDash val="solid"/>
              </a:ln>
            </spPr>
          </dPt>
          <cat>
            <numRef>
              <f>'Calc'!$A$8:$A$9</f>
            </numRef>
          </cat>
          <val>
            <numRef>
              <f>'Calc'!$B$8:$B$9</f>
            </numRef>
          </val>
        </ser>
        <dLbls>
          <showLegendKey val="0"/>
          <showVal val="1"/>
          <showCatName val="0"/>
          <showSerName val="0"/>
          <showPercent val="1"/>
        </dLbls>
        <firstSliceAng val="0"/>
        <holeSize val="55"/>
      </doughnutChart>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Top Defective Case Resolution Codes</a:t>
            </a:r>
          </a:p>
        </rich>
      </tx>
    </title>
    <plotArea>
      <barChart>
        <barDir val="bar"/>
        <grouping val="clustered"/>
        <ser>
          <idx val="0"/>
          <order val="0"/>
          <tx>
            <strRef>
              <f>'Calc'!L1</f>
            </strRef>
          </tx>
          <spPr>
            <a:solidFill>
              <a:srgbClr val="C00000"/>
            </a:solidFill>
            <a:ln>
              <a:prstDash val="solid"/>
            </a:ln>
          </spPr>
          <cat>
            <numRef>
              <f>'Calc'!$K$2:$K$7</f>
            </numRef>
          </cat>
          <val>
            <numRef>
              <f>'Calc'!$L$2:$L$7</f>
            </numRef>
          </val>
        </ser>
        <dLbls>
          <showLegendKey val="0"/>
          <showVal val="1"/>
          <showCatName val="0"/>
          <showSerName val="0"/>
        </dLbls>
        <gapWidth val="60"/>
        <axId val="10"/>
        <axId val="100"/>
      </barChart>
      <catAx>
        <axId val="10"/>
        <scaling>
          <orientation val="minMax"/>
        </scaling>
        <delete val="0"/>
        <axPos val="l"/>
        <majorTickMark val="none"/>
        <minorTickMark val="none"/>
        <tickLblPos val="nextTo"/>
        <crossAx val="100"/>
        <lblOffset val="100"/>
      </catAx>
      <valAx>
        <axId val="100"/>
        <scaling>
          <orientation val="minMax"/>
        </scaling>
        <delete val="0"/>
        <axPos val="l"/>
        <majorGridlines/>
        <majorTickMark val="none"/>
        <minorTickMark val="none"/>
        <tickLblPos val="nextTo"/>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Audits by Team Leader (Top 5)</a:t>
            </a:r>
          </a:p>
        </rich>
      </tx>
    </title>
    <plotArea>
      <barChart>
        <barDir val="bar"/>
        <grouping val="clustered"/>
        <ser>
          <idx val="0"/>
          <order val="0"/>
          <tx>
            <strRef>
              <f>'Calc'!U1</f>
            </strRef>
          </tx>
          <spPr>
            <a:solidFill>
              <a:srgbClr val="2A78D6"/>
            </a:solidFill>
            <a:ln>
              <a:prstDash val="solid"/>
            </a:ln>
          </spPr>
          <cat>
            <numRef>
              <f>'Calc'!$T$2:$T$6</f>
            </numRef>
          </cat>
          <val>
            <numRef>
              <f>'Calc'!$U$2:$U$6</f>
            </numRef>
          </val>
        </ser>
        <dLbls>
          <showLegendKey val="0"/>
          <showVal val="1"/>
          <showCatName val="0"/>
          <showSerName val="0"/>
        </dLbls>
        <gapWidth val="60"/>
        <axId val="10"/>
        <axId val="100"/>
      </barChart>
      <catAx>
        <axId val="10"/>
        <scaling>
          <orientation val="minMax"/>
        </scaling>
        <delete val="0"/>
        <axPos val="l"/>
        <majorTickMark val="none"/>
        <minorTickMark val="none"/>
        <tickLblPos val="nextTo"/>
        <crossAx val="100"/>
        <lblOffset val="100"/>
      </catAx>
      <valAx>
        <axId val="100"/>
        <scaling>
          <orientation val="minMax"/>
        </scaling>
        <delete val="0"/>
        <axPos val="l"/>
        <majorGridlines/>
        <majorTickMark val="none"/>
        <minorTickMark val="none"/>
        <tickLblPos val="nextTo"/>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Audit Trend (Last 14 Days)</a:t>
            </a:r>
          </a:p>
        </rich>
      </tx>
    </title>
    <plotArea>
      <lineChart>
        <grouping val="standard"/>
        <ser>
          <idx val="0"/>
          <order val="0"/>
          <tx>
            <strRef>
              <f>'CalcQC'!E1</f>
            </strRef>
          </tx>
          <spPr>
            <a:ln w="22000">
              <a:solidFill>
                <a:srgbClr val="2A78D6"/>
              </a:solidFill>
              <a:prstDash val="solid"/>
            </a:ln>
          </spPr>
          <marker>
            <symbol val="none"/>
            <spPr>
              <a:ln>
                <a:prstDash val="solid"/>
              </a:ln>
            </spPr>
          </marker>
          <cat>
            <numRef>
              <f>'CalcQC'!$D$2:$D$15</f>
            </numRef>
          </cat>
          <val>
            <numRef>
              <f>'CalcQC'!$E$2:$E$15</f>
            </numRef>
          </val>
          <smooth val="0"/>
        </ser>
        <axId val="10"/>
        <axId val="100"/>
      </lineChart>
      <catAx>
        <axId val="10"/>
        <scaling>
          <orientation val="minMax"/>
        </scaling>
        <delete val="0"/>
        <axPos val="l"/>
        <numFmt formatCode="mm-dd" sourceLinked="0"/>
        <majorTickMark val="none"/>
        <minorTickMark val="none"/>
        <tickLblPos val="nextTo"/>
        <crossAx val="100"/>
        <lblOffset val="100"/>
      </catAx>
      <valAx>
        <axId val="100"/>
        <scaling>
          <orientation val="minMax"/>
        </scaling>
        <delete val="0"/>
        <axPos val="l"/>
        <majorGridlines/>
        <title>
          <tx>
            <rich>
              <a:bodyPr/>
              <a:p>
                <a:pPr>
                  <a:defRPr/>
                </a:pPr>
                <a:r>
                  <a:t>audits</a:t>
                </a:r>
              </a:p>
            </rich>
          </tx>
        </title>
        <majorTickMark val="none"/>
        <minorTickMark val="none"/>
        <tickLblPos val="nextTo"/>
        <crossAx val="10"/>
      </valAx>
    </plotArea>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Valid vs Invalid</a:t>
            </a:r>
          </a:p>
        </rich>
      </tx>
    </title>
    <plotArea>
      <doughnutChart>
        <varyColors val="1"/>
        <ser>
          <idx val="0"/>
          <order val="0"/>
          <spPr>
            <a:ln>
              <a:prstDash val="solid"/>
            </a:ln>
          </spPr>
          <dPt>
            <idx val="0"/>
            <spPr>
              <a:solidFill>
                <a:srgbClr val="0A7D0A"/>
              </a:solidFill>
              <a:ln>
                <a:prstDash val="solid"/>
              </a:ln>
            </spPr>
          </dPt>
          <dPt>
            <idx val="1"/>
            <spPr>
              <a:solidFill>
                <a:srgbClr val="C00000"/>
              </a:solidFill>
              <a:ln>
                <a:prstDash val="solid"/>
              </a:ln>
            </spPr>
          </dPt>
          <cat>
            <numRef>
              <f>'CalcQC'!$A$8:$A$9</f>
            </numRef>
          </cat>
          <val>
            <numRef>
              <f>'CalcQC'!$B$8:$B$9</f>
            </numRef>
          </val>
        </ser>
        <dLbls>
          <showLegendKey val="0"/>
          <showVal val="1"/>
          <showCatName val="0"/>
          <showSerName val="0"/>
          <showPercent val="1"/>
        </dLbls>
        <firstSliceAng val="0"/>
        <holeSize val="55"/>
      </doughnutChart>
    </plotArea>
    <legend>
      <legendPos val="r"/>
    </legend>
    <plotVisOnly val="1"/>
    <dispBlanksAs val="gap"/>
  </chart>
</chartSpace>
</file>

<file path=xl/charts/chart7.xml><?xml version="1.0" encoding="utf-8"?>
<chartSpace xmlns:a="http://schemas.openxmlformats.org/drawingml/2006/main" xmlns="http://schemas.openxmlformats.org/drawingml/2006/chart">
  <chart>
    <title>
      <tx>
        <rich>
          <a:bodyPr/>
          <a:p>
            <a:pPr>
              <a:defRPr/>
            </a:pPr>
            <a:r>
              <a:t>Top Defective Case Resolution Codes</a:t>
            </a:r>
          </a:p>
        </rich>
      </tx>
    </title>
    <plotArea>
      <barChart>
        <barDir val="bar"/>
        <grouping val="clustered"/>
        <ser>
          <idx val="0"/>
          <order val="0"/>
          <tx>
            <strRef>
              <f>'CalcQC'!L1</f>
            </strRef>
          </tx>
          <spPr>
            <a:solidFill>
              <a:srgbClr val="C00000"/>
            </a:solidFill>
            <a:ln>
              <a:prstDash val="solid"/>
            </a:ln>
          </spPr>
          <cat>
            <numRef>
              <f>'CalcQC'!$K$2:$K$7</f>
            </numRef>
          </cat>
          <val>
            <numRef>
              <f>'CalcQC'!$L$2:$L$7</f>
            </numRef>
          </val>
        </ser>
        <dLbls>
          <showLegendKey val="0"/>
          <showVal val="1"/>
          <showCatName val="0"/>
          <showSerName val="0"/>
        </dLbls>
        <gapWidth val="60"/>
        <axId val="10"/>
        <axId val="100"/>
      </barChart>
      <catAx>
        <axId val="10"/>
        <scaling>
          <orientation val="minMax"/>
        </scaling>
        <delete val="0"/>
        <axPos val="l"/>
        <majorTickMark val="none"/>
        <minorTickMark val="none"/>
        <tickLblPos val="nextTo"/>
        <crossAx val="100"/>
        <lblOffset val="100"/>
      </catAx>
      <valAx>
        <axId val="100"/>
        <scaling>
          <orientation val="minMax"/>
        </scaling>
        <delete val="0"/>
        <axPos val="l"/>
        <majorGridlines/>
        <majorTickMark val="none"/>
        <minorTickMark val="none"/>
        <tickLblPos val="nextTo"/>
        <crossAx val="10"/>
      </valAx>
    </plotArea>
    <plotVisOnly val="1"/>
    <dispBlanksAs val="gap"/>
  </chart>
</chartSpace>
</file>

<file path=xl/charts/chart8.xml><?xml version="1.0" encoding="utf-8"?>
<chartSpace xmlns:a="http://schemas.openxmlformats.org/drawingml/2006/main" xmlns="http://schemas.openxmlformats.org/drawingml/2006/chart">
  <chart>
    <title>
      <tx>
        <rich>
          <a:bodyPr/>
          <a:p>
            <a:pPr>
              <a:defRPr/>
            </a:pPr>
            <a:r>
              <a:t>Agents with Most Quick Case Defects</a:t>
            </a:r>
          </a:p>
        </rich>
      </tx>
    </title>
    <plotArea>
      <barChart>
        <barDir val="bar"/>
        <grouping val="clustered"/>
        <ser>
          <idx val="0"/>
          <order val="0"/>
          <tx>
            <strRef>
              <f>'CalcQC'!AC1</f>
            </strRef>
          </tx>
          <spPr>
            <a:solidFill>
              <a:srgbClr val="C00000"/>
            </a:solidFill>
            <a:ln>
              <a:prstDash val="solid"/>
            </a:ln>
          </spPr>
          <cat>
            <numRef>
              <f>'CalcQC'!$AB$2:$AB$7</f>
            </numRef>
          </cat>
          <val>
            <numRef>
              <f>'CalcQC'!$AC$2:$AC$7</f>
            </numRef>
          </val>
        </ser>
        <dLbls>
          <showLegendKey val="0"/>
          <showVal val="1"/>
          <showCatName val="0"/>
          <showSerName val="0"/>
        </dLbls>
        <gapWidth val="60"/>
        <axId val="10"/>
        <axId val="100"/>
      </barChart>
      <catAx>
        <axId val="10"/>
        <scaling>
          <orientation val="minMax"/>
        </scaling>
        <delete val="0"/>
        <axPos val="l"/>
        <majorTickMark val="none"/>
        <minorTickMark val="none"/>
        <tickLblPos val="nextTo"/>
        <crossAx val="100"/>
        <lblOffset val="100"/>
      </catAx>
      <valAx>
        <axId val="100"/>
        <scaling>
          <orientation val="minMax"/>
        </scaling>
        <delete val="0"/>
        <axPos val="l"/>
        <majorGridlines/>
        <majorTickMark val="none"/>
        <minorTickMark val="none"/>
        <tickLblPos val="nextTo"/>
        <crossAx val="10"/>
      </valAx>
    </plotArea>
    <plotVisOnly val="1"/>
    <dispBlanksAs val="gap"/>
  </chart>
</chartSpace>
</file>

<file path=xl/charts/chart9.xml><?xml version="1.0" encoding="utf-8"?>
<chartSpace xmlns:a="http://schemas.openxmlformats.org/drawingml/2006/main" xmlns="http://schemas.openxmlformats.org/drawingml/2006/chart">
  <chart>
    <title>
      <tx>
        <rich>
          <a:bodyPr/>
          <a:p>
            <a:pPr>
              <a:defRPr/>
            </a:pPr>
            <a:r>
              <a:t>Valid vs Invalid by Special Code</a:t>
            </a:r>
          </a:p>
        </rich>
      </tx>
    </title>
    <plotArea>
      <barChart>
        <barDir val="col"/>
        <grouping val="clustered"/>
        <ser>
          <idx val="0"/>
          <order val="0"/>
          <tx>
            <strRef>
              <f>'CalcCodes'!J7</f>
            </strRef>
          </tx>
          <spPr>
            <a:solidFill>
              <a:srgbClr val="0A7D0A"/>
            </a:solidFill>
            <a:ln>
              <a:prstDash val="solid"/>
            </a:ln>
          </spPr>
          <cat>
            <numRef>
              <f>'CalcCodes'!$A$8:$A$11</f>
            </numRef>
          </cat>
          <val>
            <numRef>
              <f>'CalcCodes'!$J$8:$J$11</f>
            </numRef>
          </val>
        </ser>
        <ser>
          <idx val="1"/>
          <order val="1"/>
          <tx>
            <strRef>
              <f>'CalcCodes'!K7</f>
            </strRef>
          </tx>
          <spPr>
            <a:solidFill>
              <a:srgbClr val="C00000"/>
            </a:solidFill>
            <a:ln>
              <a:prstDash val="solid"/>
            </a:ln>
          </spPr>
          <cat>
            <numRef>
              <f>'CalcCodes'!$A$8:$A$11</f>
            </numRef>
          </cat>
          <val>
            <numRef>
              <f>'CalcCodes'!$K$8:$K$11</f>
            </numRef>
          </val>
        </ser>
        <dLbls>
          <showLegendKey val="0"/>
          <showVal val="1"/>
          <showCatName val="0"/>
          <showSerName val="0"/>
        </dLbls>
        <gapWidth val="80"/>
        <axId val="10"/>
        <axId val="100"/>
      </barChart>
      <catAx>
        <axId val="10"/>
        <scaling>
          <orientation val="minMax"/>
        </scaling>
        <delete val="0"/>
        <axPos val="l"/>
        <majorTickMark val="none"/>
        <minorTickMark val="none"/>
        <tickLblPos val="nextTo"/>
        <crossAx val="100"/>
        <lblOffset val="100"/>
      </catAx>
      <valAx>
        <axId val="100"/>
        <scaling>
          <orientation val="minMax"/>
        </scaling>
        <delete val="0"/>
        <axPos val="l"/>
        <majorGridlines/>
        <majorTickMark val="none"/>
        <minorTickMark val="none"/>
        <tickLblPos val="nextTo"/>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_rels/drawing2.xml.rels><Relationships xmlns="http://schemas.openxmlformats.org/package/2006/relationships"><Relationship Type="http://schemas.openxmlformats.org/officeDocument/2006/relationships/chart" Target="/xl/charts/chart5.xml" Id="rId1" /><Relationship Type="http://schemas.openxmlformats.org/officeDocument/2006/relationships/chart" Target="/xl/charts/chart6.xml" Id="rId2" /><Relationship Type="http://schemas.openxmlformats.org/officeDocument/2006/relationships/chart" Target="/xl/charts/chart7.xml" Id="rId3" /><Relationship Type="http://schemas.openxmlformats.org/officeDocument/2006/relationships/chart" Target="/xl/charts/chart8.xml" Id="rId4" /></Relationships>
</file>

<file path=xl/drawings/_rels/drawing3.xml.rels><Relationships xmlns="http://schemas.openxmlformats.org/package/2006/relationships"><Relationship Type="http://schemas.openxmlformats.org/officeDocument/2006/relationships/chart" Target="/xl/charts/chart9.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9</row>
      <rowOff>0</rowOff>
    </from>
    <ext cx="5400000" cy="2592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9</row>
      <rowOff>0</rowOff>
    </from>
    <ext cx="3060000" cy="2592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25</row>
      <rowOff>0</rowOff>
    </from>
    <ext cx="5400000" cy="270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25</row>
      <rowOff>0</rowOff>
    </from>
    <ext cx="5400000" cy="2700000"/>
    <graphicFrame>
      <nvGraphicFramePr>
        <cNvPr id="4" name="Chart 4"/>
        <cNvGraphicFramePr/>
      </nvGraphicFramePr>
      <xfrm/>
      <a:graphic>
        <a:graphicData uri="http://schemas.openxmlformats.org/drawingml/2006/chart">
          <c:chart r:id="rId4"/>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9</row>
      <rowOff>0</rowOff>
    </from>
    <ext cx="5400000" cy="2592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9</row>
      <rowOff>0</rowOff>
    </from>
    <ext cx="3060000" cy="2592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25</row>
      <rowOff>0</rowOff>
    </from>
    <ext cx="5400000" cy="270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25</row>
      <rowOff>0</rowOff>
    </from>
    <ext cx="5400000" cy="2700000"/>
    <graphicFrame>
      <nvGraphicFramePr>
        <cNvPr id="4" name="Chart 4"/>
        <cNvGraphicFramePr/>
      </nvGraphicFramePr>
      <xfrm/>
      <a:graphic>
        <a:graphicData uri="http://schemas.openxmlformats.org/drawingml/2006/chart">
          <c:chart r:id="rId4"/>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17</row>
      <rowOff>0</rowOff>
    </from>
    <ext cx="7560000" cy="3060000"/>
    <graphicFrame>
      <nvGraphicFramePr>
        <cNvPr id="1" name="Chart 1"/>
        <cNvGraphicFramePr/>
      </nvGraphicFramePr>
      <xfrm/>
      <a:graphic>
        <a:graphicData uri="http://schemas.openxmlformats.org/drawingml/2006/chart">
          <c:chart r:id="rId1"/>
        </a:graphicData>
      </a:graphic>
    </graphicFrame>
    <clientData/>
  </oneCellAnchor>
</wsDr>
</file>

<file path=xl/tables/table1.xml><?xml version="1.0" encoding="utf-8"?>
<table xmlns="http://schemas.openxmlformats.org/spreadsheetml/2006/main" id="1" name="tblAudits" displayName="tblAudits" ref="A1:U2001" headerRowCount="1">
  <autoFilter ref="A1:U2001"/>
  <tableColumns count="21">
    <tableColumn id="1" name="auditId"/>
    <tableColumn id="2" name="auditDate"/>
    <tableColumn id="3" name="agentName"/>
    <tableColumn id="4" name="agentEid"/>
    <tableColumn id="5" name="agentEmail"/>
    <tableColumn id="6" name="teamLeader"/>
    <tableColumn id="7" name="tlEmail"/>
    <tableColumn id="8" name="operationsManager"/>
    <tableColumn id="9" name="omEmail"/>
    <tableColumn id="10" name="somEmail"/>
    <tableColumn id="11" name="channel"/>
    <tableColumn id="12" name="lob"/>
    <tableColumn id="13" name="caseNumber"/>
    <tableColumn id="14" name="genesysTransactionId"/>
    <tableColumn id="15" name="validation"/>
    <tableColumn id="16" name="caseResolution"/>
    <tableColumn id="17" name="expectedResolutionCode"/>
    <tableColumn id="18" name="remarks"/>
    <tableColumn id="19" name="auditorName"/>
    <tableColumn id="20" name="quickCase"/>
    <tableColumn id="21" name="sendEmail"/>
  </tableColumns>
  <tableStyleInfo name="TableStyleMedium16" showRowStripes="1"/>
</table>
</file>

<file path=xl/tables/table2.xml><?xml version="1.0" encoding="utf-8"?>
<table xmlns="http://schemas.openxmlformats.org/spreadsheetml/2006/main" id="2" name="tblRoster" displayName="tblRoster" ref="A1:K465" headerRowCount="1">
  <autoFilter ref="A1:K465"/>
  <tableColumns count="11">
    <tableColumn id="1" name="EmployeeNumber"/>
    <tableColumn id="2" name="FullName"/>
    <tableColumn id="3" name="Email"/>
    <tableColumn id="4" name="ImmediateSupervisor"/>
    <tableColumn id="5" name="ImmediateSupervisorEmail"/>
    <tableColumn id="6" name="Manager"/>
    <tableColumn id="7" name="ManagerEmail"/>
    <tableColumn id="8" name="SOM"/>
    <tableColumn id="9" name="SOMEmail"/>
    <tableColumn id="10" name="CHANNEL"/>
    <tableColumn id="11" name="Internal LOB"/>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table" Target="/xl/tables/table1.xml" Id="rId1" /></Relationships>
</file>

<file path=xl/worksheets/_rels/sheet6.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tabColor rgb="001F3864"/>
    <outlinePr summaryBelow="1" summaryRight="1"/>
    <pageSetUpPr/>
  </sheetPr>
  <dimension ref="B2:B43"/>
  <sheetViews>
    <sheetView workbookViewId="0">
      <selection activeCell="A1" sqref="A1"/>
    </sheetView>
  </sheetViews>
  <sheetFormatPr baseColWidth="8" defaultRowHeight="15"/>
  <cols>
    <col width="4" customWidth="1" min="1" max="1"/>
    <col width="110" customWidth="1" min="2" max="2"/>
  </cols>
  <sheetData>
    <row r="2">
      <c r="B2" s="1" t="inlineStr">
        <is>
          <t>🛡  HP MAINSTREAM EQMS — Excel Edition (live team co-authoring)</t>
        </is>
      </c>
    </row>
    <row r="3"/>
    <row r="4">
      <c r="B4" s="2" t="inlineStr"/>
    </row>
    <row r="5">
      <c r="B5" s="3" t="inlineStr">
        <is>
          <t>HOW THE LIVE SYNC WORKS</t>
        </is>
      </c>
    </row>
    <row r="6">
      <c r="B6" s="2" t="inlineStr">
        <is>
          <t>This workbook lives in the team's SharePoint 'EQMS' folder. Everyone opens it IN THE BROWSER</t>
        </is>
      </c>
    </row>
    <row r="7">
      <c r="B7" s="2" t="inlineStr">
        <is>
          <t>(SharePoint &gt; click the file &gt; it opens in Excel Online). Microsoft 365 co-authoring shows every</t>
        </is>
      </c>
    </row>
    <row r="8">
      <c r="B8" s="2" t="inlineStr">
        <is>
          <t>auditor's entries to everyone else within seconds, automatically. Do NOT download personal copies.</t>
        </is>
      </c>
    </row>
    <row r="9">
      <c r="B9" s="2" t="inlineStr"/>
    </row>
    <row r="10">
      <c r="B10" s="4" t="inlineStr">
        <is>
          <t>HOW TO LOG AN AUDIT  (sheet: Audit Log)</t>
        </is>
      </c>
    </row>
    <row r="11">
      <c r="B11" s="2" t="inlineStr">
        <is>
          <t xml:space="preserve">  1. Go to the first empty row, type the Audit Date (shortcut: Ctrl+; inserts today), and</t>
        </is>
      </c>
    </row>
    <row r="12">
      <c r="B12" s="2" t="inlineStr">
        <is>
          <t xml:space="preserve">     pick the Agent Name from the dropdown — EID, emails, TL, OM, SOM auto-fill instantly.</t>
        </is>
      </c>
    </row>
    <row r="13">
      <c r="B13" s="2" t="inlineStr">
        <is>
          <t xml:space="preserve">     A RED date cell means the audit has no date yet — it will NOT count on any dashboard</t>
        </is>
      </c>
    </row>
    <row r="14">
      <c r="B14" s="2" t="inlineStr">
        <is>
          <t xml:space="preserve">     until the date is filled in.</t>
        </is>
      </c>
    </row>
    <row r="15">
      <c r="B15" s="2" t="inlineStr">
        <is>
          <t xml:space="preserve">  3. Fill Channel (if blank), Case Number, Genesys Transaction ID.</t>
        </is>
      </c>
    </row>
    <row r="16">
      <c r="B16" s="2" t="inlineStr">
        <is>
          <t xml:space="preserve">  4. Pick 'Validation Result / Case Resolution': 'Valid (Pass)' or the invalid defect reason.</t>
        </is>
      </c>
    </row>
    <row r="17">
      <c r="B17" s="2" t="inlineStr">
        <is>
          <t xml:space="preserve">  5. Pick the Expected Resolution Code, type your Remarks, pick your Auditor Name.</t>
        </is>
      </c>
    </row>
    <row r="18">
      <c r="B18" s="2" t="inlineStr">
        <is>
          <t xml:space="preserve">  6. If the audit is INVALID, the '✉ Send Email' cell turns into a link — click it to open a</t>
        </is>
      </c>
    </row>
    <row r="19">
      <c r="B19" s="2" t="inlineStr">
        <is>
          <t xml:space="preserve">     pre-addressed Outlook draft to the TL + OM (Cc: QA DL). Review and press Send.</t>
        </is>
      </c>
    </row>
    <row r="20">
      <c r="B20" s="2" t="inlineStr"/>
    </row>
    <row r="21">
      <c r="B21" s="3" t="inlineStr">
        <is>
          <t>DASHBOARDS</t>
        </is>
      </c>
    </row>
    <row r="22">
      <c r="B22" s="2" t="inlineStr">
        <is>
          <t xml:space="preserve">  'Dashboard' and 'Quick Case Dashboard' update live. Use the yellow filter cells at the top</t>
        </is>
      </c>
    </row>
    <row r="23">
      <c r="B23" s="2" t="inlineStr">
        <is>
          <t xml:space="preserve">  (Timeframe / Team Leader / Auditor / Validation). Charts and KPIs follow the filters.</t>
        </is>
      </c>
    </row>
    <row r="24">
      <c r="B24" s="2" t="inlineStr">
        <is>
          <t xml:space="preserve">  Quick case audits are counted SEPARATELY: the Executive Dashboard covers regular audits</t>
        </is>
      </c>
    </row>
    <row r="25">
      <c r="B25" s="2" t="inlineStr">
        <is>
          <t xml:space="preserve">  only; anything tagged or expected as Quick Case appears on the Quick Case Dashboard.</t>
        </is>
      </c>
    </row>
    <row r="26">
      <c r="B26" s="2" t="inlineStr">
        <is>
          <t xml:space="preserve">  'Special Codes' tracks Remote Solution, DNAP, SubCan and Void side by side (keyword match</t>
        </is>
      </c>
    </row>
    <row r="27">
      <c r="B27" s="2" t="inlineStr">
        <is>
          <t xml:space="preserve">  on the tagged or expected code). Admin: to start logging DNAP/SubCan, add their reason</t>
        </is>
      </c>
    </row>
    <row r="28">
      <c r="B28" s="2" t="inlineStr">
        <is>
          <t xml:space="preserve">  texts on the Lists sheet — spare dropdown slots are already wired in.</t>
        </is>
      </c>
    </row>
    <row r="29">
      <c r="B29" s="2" t="inlineStr">
        <is>
          <t xml:space="preserve">  Locked cells: grey/automatic columns (incl. O validation) and dashboard layouts are</t>
        </is>
      </c>
    </row>
    <row r="30">
      <c r="B30" s="2" t="inlineStr">
        <is>
          <t xml:space="preserve">  protected — only entry columns and the yellow filter cells accept typing.</t>
        </is>
      </c>
    </row>
    <row r="31">
      <c r="B31" s="2" t="inlineStr"/>
    </row>
    <row r="32">
      <c r="B32" s="4" t="inlineStr">
        <is>
          <t>RULES (please respect them — the formulas depend on it)</t>
        </is>
      </c>
    </row>
    <row r="33">
      <c r="B33" s="2" t="inlineStr">
        <is>
          <t xml:space="preserve">  •  Only type in the WHITE columns of Audit Log. Grey columns are automatic — don't overwrite.</t>
        </is>
      </c>
    </row>
    <row r="34">
      <c r="B34" s="2" t="inlineStr">
        <is>
          <t xml:space="preserve">  •  Never delete or insert rows in Audit Log; to void an audit, clear its white cells.</t>
        </is>
      </c>
    </row>
    <row r="35">
      <c r="B35" s="2" t="inlineStr">
        <is>
          <t xml:space="preserve">  •  Audit Date is required — audits without a date don't count on the dashboards.</t>
        </is>
      </c>
    </row>
    <row r="36">
      <c r="B36" s="2" t="inlineStr">
        <is>
          <t xml:space="preserve">  •  Disputes: the auditor (or Sundeep) edits the audit's row directly; co-authoring shows who's editing.</t>
        </is>
      </c>
    </row>
    <row r="37">
      <c r="B37" s="2" t="inlineStr">
        <is>
          <t xml:space="preserve">  •  Admin (Sundeep) maintains the 'Roster' and 'Lists' sheets. 2,000 audit rows are prepared;</t>
        </is>
      </c>
    </row>
    <row r="38">
      <c r="B38" s="2" t="inlineStr">
        <is>
          <t xml:space="preserve">     ask the admin to extend the table when you approach the end.</t>
        </is>
      </c>
    </row>
    <row r="39">
      <c r="B39" s="2" t="inlineStr">
        <is>
          <t xml:space="preserve">  •  Channel and Internal LOB come from the Roster: the admin sets each agent's CHANNEL</t>
        </is>
      </c>
    </row>
    <row r="40">
      <c r="B40" s="2" t="inlineStr">
        <is>
          <t xml:space="preserve">     (dropdown on the Roster sheet) and Internal LOB — audits then auto-fill them.</t>
        </is>
      </c>
    </row>
    <row r="41">
      <c r="B41" s="2" t="inlineStr"/>
    </row>
    <row r="42">
      <c r="B42" s="4" t="inlineStr">
        <is>
          <t>VERSION HISTORY / BACKUP: SharePoint keeps automatic version history (file &gt; Version History),</t>
        </is>
      </c>
    </row>
    <row r="43">
      <c r="B43" s="2" t="inlineStr">
        <is>
          <t>so any mistake can be rolled back. No manual backups needed.</t>
        </is>
      </c>
    </row>
  </sheetData>
  <mergeCells count="1">
    <mergeCell ref="B2:B3"/>
  </mergeCells>
  <pageMargins left="0.75" right="0.75" top="1" bottom="1" header="0.5" footer="0.5"/>
</worksheet>
</file>

<file path=xl/worksheets/sheet2.xml><?xml version="1.0" encoding="utf-8"?>
<worksheet xmlns="http://schemas.openxmlformats.org/spreadsheetml/2006/main">
  <sheetPr>
    <tabColor rgb="002A78D6"/>
    <outlinePr summaryBelow="1" summaryRight="1"/>
    <pageSetUpPr/>
  </sheetPr>
  <dimension ref="B1:K8"/>
  <sheetViews>
    <sheetView showGridLines="0" zoomScale="90" workbookViewId="0">
      <selection activeCell="A1" sqref="A1"/>
    </sheetView>
  </sheetViews>
  <sheetFormatPr baseColWidth="8" defaultRowHeight="15"/>
  <cols>
    <col width="2" customWidth="1" min="1" max="1"/>
    <col width="14" customWidth="1" min="2" max="2"/>
    <col width="22" customWidth="1" min="3" max="3"/>
    <col width="13" customWidth="1" min="4" max="4"/>
    <col width="26" customWidth="1" min="5" max="5"/>
    <col width="10" customWidth="1" min="6" max="6"/>
    <col width="24" customWidth="1" min="7" max="7"/>
    <col width="12" customWidth="1" min="8" max="8"/>
    <col width="14" customWidth="1" min="9" max="9"/>
    <col width="16" customWidth="1" min="10" max="10"/>
    <col width="16" customWidth="1" min="11" max="11"/>
  </cols>
  <sheetData>
    <row r="1" ht="30" customHeight="1">
      <c r="B1" s="5" t="inlineStr">
        <is>
          <t>🛡 EXECUTIVE DASHBOARD — regular audits (quick cases counted on their own dashboard)</t>
        </is>
      </c>
    </row>
    <row r="2" ht="22" customHeight="1">
      <c r="B2" s="6" t="inlineStr">
        <is>
          <t>📅 Timeframe</t>
        </is>
      </c>
      <c r="C2" s="7" t="inlineStr">
        <is>
          <t>All Time</t>
        </is>
      </c>
      <c r="D2" s="6" t="inlineStr">
        <is>
          <t>👤 Team Leader</t>
        </is>
      </c>
      <c r="E2" s="7" t="inlineStr">
        <is>
          <t>All Team Leaders</t>
        </is>
      </c>
      <c r="F2" s="6" t="inlineStr">
        <is>
          <t>🏷 Auditor</t>
        </is>
      </c>
      <c r="G2" s="7" t="inlineStr">
        <is>
          <t>All Auditors</t>
        </is>
      </c>
      <c r="H2" s="6" t="inlineStr">
        <is>
          <t>✅ Validation</t>
        </is>
      </c>
      <c r="I2" s="7" t="inlineStr">
        <is>
          <t>All Statuses</t>
        </is>
      </c>
    </row>
    <row r="4">
      <c r="B4" s="8" t="inlineStr">
        <is>
          <t>REGULAR AUDITS</t>
        </is>
      </c>
      <c r="D4" s="8" t="inlineStr">
        <is>
          <t>VALID AUDITS</t>
        </is>
      </c>
      <c r="F4" s="8" t="inlineStr">
        <is>
          <t>INVALID AUDITS</t>
        </is>
      </c>
      <c r="H4" s="8" t="inlineStr">
        <is>
          <t>INVALID PERCENTAGE</t>
        </is>
      </c>
    </row>
    <row r="5">
      <c r="C5" s="9">
        <f>'Calc'!$B$7</f>
        <v/>
      </c>
      <c r="E5" s="10">
        <f>'Calc'!$B$8</f>
        <v/>
      </c>
      <c r="G5" s="11">
        <f>'Calc'!$B$9</f>
        <v/>
      </c>
      <c r="I5" s="12">
        <f>'Calc'!$B$10</f>
        <v/>
      </c>
    </row>
    <row r="7">
      <c r="B7" s="8" t="inlineStr">
        <is>
          <t>TOP DEFECTIVE RESOLUTION CODE</t>
        </is>
      </c>
      <c r="F7" s="8" t="inlineStr">
        <is>
          <t>LATEST AUDIT (FILTERED)</t>
        </is>
      </c>
    </row>
    <row r="8">
      <c r="B8" s="13">
        <f>IF('Calc'!$L$2=0,"—",'Calc'!$K$2&amp;"  ("&amp;'Calc'!$L$2&amp;"x)")</f>
        <v/>
      </c>
      <c r="F8" s="14">
        <f>'Calc'!$B$11</f>
        <v/>
      </c>
    </row>
  </sheetData>
  <sheetProtection selectLockedCells="0" selectUnlockedCells="0" sheet="1" objects="0" insertRows="1" insertHyperlinks="1" autoFilter="1" scenarios="0" formatColumns="1" deleteColumns="1" insertColumns="1" pivotTables="1" deleteRows="1" formatCells="0" formatRows="1" sort="1"/>
  <mergeCells count="3">
    <mergeCell ref="B8:E8"/>
    <mergeCell ref="B1:K1"/>
    <mergeCell ref="F8:H8"/>
  </mergeCells>
  <dataValidations count="4">
    <dataValidation sqref="C2" showDropDown="0" showInputMessage="0" showErrorMessage="0" allowBlank="0" type="list">
      <formula1>=Timeframes</formula1>
    </dataValidation>
    <dataValidation sqref="E2" showDropDown="0" showInputMessage="0" showErrorMessage="0" allowBlank="0" type="list">
      <formula1>=TLFilter</formula1>
    </dataValidation>
    <dataValidation sqref="G2" showDropDown="0" showInputMessage="0" showErrorMessage="0" allowBlank="0" type="list">
      <formula1>=AudFilter</formula1>
    </dataValidation>
    <dataValidation sqref="I2" showDropDown="0" showInputMessage="0" showErrorMessage="0" allowBlank="0" type="list">
      <formula1>=ValFilter</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C55A11"/>
    <outlinePr summaryBelow="1" summaryRight="1"/>
    <pageSetUpPr/>
  </sheetPr>
  <dimension ref="B1:K8"/>
  <sheetViews>
    <sheetView showGridLines="0" zoomScale="90" workbookViewId="0">
      <selection activeCell="A1" sqref="A1"/>
    </sheetView>
  </sheetViews>
  <sheetFormatPr baseColWidth="8" defaultRowHeight="15"/>
  <cols>
    <col width="2" customWidth="1" min="1" max="1"/>
    <col width="14" customWidth="1" min="2" max="2"/>
    <col width="22" customWidth="1" min="3" max="3"/>
    <col width="13" customWidth="1" min="4" max="4"/>
    <col width="26" customWidth="1" min="5" max="5"/>
    <col width="10" customWidth="1" min="6" max="6"/>
    <col width="24" customWidth="1" min="7" max="7"/>
    <col width="12" customWidth="1" min="8" max="8"/>
    <col width="14" customWidth="1" min="9" max="9"/>
    <col width="16" customWidth="1" min="10" max="10"/>
    <col width="16" customWidth="1" min="11" max="11"/>
  </cols>
  <sheetData>
    <row r="1" ht="30" customHeight="1">
      <c r="B1" s="5" t="inlineStr">
        <is>
          <t>⚡ QUICK CASE DASHBOARD — quick case audits only</t>
        </is>
      </c>
    </row>
    <row r="2" ht="22" customHeight="1">
      <c r="B2" s="6" t="inlineStr">
        <is>
          <t>📅 Timeframe</t>
        </is>
      </c>
      <c r="C2" s="7" t="inlineStr">
        <is>
          <t>All Time</t>
        </is>
      </c>
      <c r="D2" s="6" t="inlineStr">
        <is>
          <t>👤 Team Leader</t>
        </is>
      </c>
      <c r="E2" s="7" t="inlineStr">
        <is>
          <t>All Team Leaders</t>
        </is>
      </c>
      <c r="F2" s="6" t="inlineStr">
        <is>
          <t>🏷 Auditor</t>
        </is>
      </c>
      <c r="G2" s="7" t="inlineStr">
        <is>
          <t>All Auditors</t>
        </is>
      </c>
      <c r="H2" s="6" t="inlineStr">
        <is>
          <t>✅ Validation</t>
        </is>
      </c>
      <c r="I2" s="7" t="inlineStr">
        <is>
          <t>All Statuses</t>
        </is>
      </c>
    </row>
    <row r="4">
      <c r="B4" s="8" t="inlineStr">
        <is>
          <t>QUICK CASE AUDITS</t>
        </is>
      </c>
      <c r="D4" s="8" t="inlineStr">
        <is>
          <t>VALID AUDITS</t>
        </is>
      </c>
      <c r="F4" s="8" t="inlineStr">
        <is>
          <t>INVALID AUDITS</t>
        </is>
      </c>
      <c r="H4" s="8" t="inlineStr">
        <is>
          <t>INVALID PERCENTAGE</t>
        </is>
      </c>
    </row>
    <row r="5">
      <c r="C5" s="9">
        <f>'CalcQC'!$B$7</f>
        <v/>
      </c>
      <c r="E5" s="10">
        <f>'CalcQC'!$B$8</f>
        <v/>
      </c>
      <c r="G5" s="11">
        <f>'CalcQC'!$B$9</f>
        <v/>
      </c>
      <c r="I5" s="12">
        <f>'CalcQC'!$B$10</f>
        <v/>
      </c>
    </row>
    <row r="7">
      <c r="B7" s="8" t="inlineStr">
        <is>
          <t>TOP DEFECTIVE RESOLUTION CODE</t>
        </is>
      </c>
      <c r="F7" s="8" t="inlineStr">
        <is>
          <t>LATEST AUDIT (FILTERED)</t>
        </is>
      </c>
    </row>
    <row r="8">
      <c r="B8" s="13">
        <f>IF('CalcQC'!$L$2=0,"—",'CalcQC'!$K$2&amp;"  ("&amp;'CalcQC'!$L$2&amp;"x)")</f>
        <v/>
      </c>
      <c r="F8" s="14">
        <f>'CalcQC'!$B$11</f>
        <v/>
      </c>
    </row>
  </sheetData>
  <sheetProtection selectLockedCells="0" selectUnlockedCells="0" sheet="1" objects="0" insertRows="1" insertHyperlinks="1" autoFilter="1" scenarios="0" formatColumns="1" deleteColumns="1" insertColumns="1" pivotTables="1" deleteRows="1" formatCells="0" formatRows="1" sort="1"/>
  <mergeCells count="3">
    <mergeCell ref="B8:E8"/>
    <mergeCell ref="B1:K1"/>
    <mergeCell ref="F8:H8"/>
  </mergeCells>
  <dataValidations count="4">
    <dataValidation sqref="C2" showDropDown="0" showInputMessage="0" showErrorMessage="0" allowBlank="0" type="list">
      <formula1>=Timeframes</formula1>
    </dataValidation>
    <dataValidation sqref="E2" showDropDown="0" showInputMessage="0" showErrorMessage="0" allowBlank="0" type="list">
      <formula1>=TLFilter</formula1>
    </dataValidation>
    <dataValidation sqref="G2" showDropDown="0" showInputMessage="0" showErrorMessage="0" allowBlank="0" type="list">
      <formula1>=AudFilter</formula1>
    </dataValidation>
    <dataValidation sqref="I2" showDropDown="0" showInputMessage="0" showErrorMessage="0" allowBlank="0" type="list">
      <formula1>=ValFilter</formula1>
    </dataValidation>
  </dataValidation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7030A0"/>
    <outlinePr summaryBelow="1" summaryRight="1"/>
    <pageSetUpPr/>
  </sheetPr>
  <dimension ref="B1:J16"/>
  <sheetViews>
    <sheetView showGridLines="0" workbookViewId="0">
      <selection activeCell="A1" sqref="A1"/>
    </sheetView>
  </sheetViews>
  <sheetFormatPr baseColWidth="8" defaultRowHeight="15"/>
  <cols>
    <col width="2" customWidth="1" min="1" max="1"/>
    <col width="16" customWidth="1" min="2" max="2"/>
    <col width="14" customWidth="1" min="3" max="3"/>
    <col width="14" customWidth="1" min="4" max="4"/>
    <col width="14" customWidth="1" min="5" max="5"/>
    <col width="4" customWidth="1" min="6" max="6"/>
    <col width="16" customWidth="1" min="7" max="7"/>
    <col width="14" customWidth="1" min="8" max="8"/>
    <col width="14" customWidth="1" min="9" max="9"/>
    <col width="14" customWidth="1" min="10" max="10"/>
    <col width="4" customWidth="1" min="11" max="11"/>
  </cols>
  <sheetData>
    <row r="1" ht="30" customHeight="1">
      <c r="B1" s="5" t="inlineStr">
        <is>
          <t>📌 SPECIAL CODES DASHBOARD — Remote Solution · DNAP · SubCan · Void</t>
        </is>
      </c>
    </row>
    <row r="2" ht="22" customHeight="1">
      <c r="B2" s="6" t="inlineStr">
        <is>
          <t>📅 Timeframe</t>
        </is>
      </c>
      <c r="C2" s="7" t="inlineStr">
        <is>
          <t>All Time</t>
        </is>
      </c>
      <c r="D2" s="6" t="inlineStr">
        <is>
          <t>👤 Team Leader</t>
        </is>
      </c>
      <c r="E2" s="7" t="inlineStr">
        <is>
          <t>All Team Leaders</t>
        </is>
      </c>
      <c r="F2" s="6" t="inlineStr">
        <is>
          <t>🏷 Auditor</t>
        </is>
      </c>
      <c r="G2" s="7" t="inlineStr">
        <is>
          <t>All Auditors</t>
        </is>
      </c>
    </row>
    <row r="4" ht="24" customHeight="1">
      <c r="B4" s="15" t="inlineStr">
        <is>
          <t>REMOTE SOLUTION</t>
        </is>
      </c>
      <c r="G4" s="16" t="inlineStr">
        <is>
          <t>DNAP</t>
        </is>
      </c>
    </row>
    <row r="5">
      <c r="B5" s="17" t="inlineStr">
        <is>
          <t>AUDITS</t>
        </is>
      </c>
      <c r="C5" s="17" t="inlineStr">
        <is>
          <t>VALID</t>
        </is>
      </c>
      <c r="D5" s="17" t="inlineStr">
        <is>
          <t>INVALID</t>
        </is>
      </c>
      <c r="E5" s="17" t="inlineStr">
        <is>
          <t>INVALID %</t>
        </is>
      </c>
      <c r="G5" s="17" t="inlineStr">
        <is>
          <t>AUDITS</t>
        </is>
      </c>
      <c r="H5" s="17" t="inlineStr">
        <is>
          <t>VALID</t>
        </is>
      </c>
      <c r="I5" s="17" t="inlineStr">
        <is>
          <t>INVALID</t>
        </is>
      </c>
      <c r="J5" s="17" t="inlineStr">
        <is>
          <t>INVALID %</t>
        </is>
      </c>
    </row>
    <row r="6">
      <c r="B6" s="18">
        <f>'CalcCodes'!$F$8</f>
        <v/>
      </c>
      <c r="C6" s="19">
        <f>'CalcCodes'!$J$8</f>
        <v/>
      </c>
      <c r="D6" s="20">
        <f>'CalcCodes'!$K$8</f>
        <v/>
      </c>
      <c r="E6" s="21">
        <f>'CalcCodes'!$L$8</f>
        <v/>
      </c>
      <c r="G6" s="18">
        <f>'CalcCodes'!$F$9</f>
        <v/>
      </c>
      <c r="H6" s="19">
        <f>'CalcCodes'!$J$9</f>
        <v/>
      </c>
      <c r="I6" s="20">
        <f>'CalcCodes'!$K$9</f>
        <v/>
      </c>
      <c r="J6" s="21">
        <f>'CalcCodes'!$L$9</f>
        <v/>
      </c>
    </row>
    <row r="10" ht="24" customHeight="1">
      <c r="B10" s="22" t="inlineStr">
        <is>
          <t>SUBCAN</t>
        </is>
      </c>
      <c r="G10" s="23" t="inlineStr">
        <is>
          <t>VOID</t>
        </is>
      </c>
    </row>
    <row r="11">
      <c r="B11" s="17" t="inlineStr">
        <is>
          <t>AUDITS</t>
        </is>
      </c>
      <c r="C11" s="17" t="inlineStr">
        <is>
          <t>VALID</t>
        </is>
      </c>
      <c r="D11" s="17" t="inlineStr">
        <is>
          <t>INVALID</t>
        </is>
      </c>
      <c r="E11" s="17" t="inlineStr">
        <is>
          <t>INVALID %</t>
        </is>
      </c>
      <c r="G11" s="17" t="inlineStr">
        <is>
          <t>AUDITS</t>
        </is>
      </c>
      <c r="H11" s="17" t="inlineStr">
        <is>
          <t>VALID</t>
        </is>
      </c>
      <c r="I11" s="17" t="inlineStr">
        <is>
          <t>INVALID</t>
        </is>
      </c>
      <c r="J11" s="17" t="inlineStr">
        <is>
          <t>INVALID %</t>
        </is>
      </c>
    </row>
    <row r="12">
      <c r="B12" s="18">
        <f>'CalcCodes'!$F$10</f>
        <v/>
      </c>
      <c r="C12" s="19">
        <f>'CalcCodes'!$J$10</f>
        <v/>
      </c>
      <c r="D12" s="20">
        <f>'CalcCodes'!$K$10</f>
        <v/>
      </c>
      <c r="E12" s="21">
        <f>'CalcCodes'!$L$10</f>
        <v/>
      </c>
      <c r="G12" s="18">
        <f>'CalcCodes'!$F$11</f>
        <v/>
      </c>
      <c r="H12" s="19">
        <f>'CalcCodes'!$J$11</f>
        <v/>
      </c>
      <c r="I12" s="20">
        <f>'CalcCodes'!$K$11</f>
        <v/>
      </c>
      <c r="J12" s="21">
        <f>'CalcCodes'!$L$11</f>
        <v/>
      </c>
    </row>
    <row r="16">
      <c r="B16" s="24" t="inlineStr">
        <is>
          <t>Counting rule: an audit belongs to a category when its tagged Case Resolution OR its Expected Resolution Code contains the keyword. Categories are independent of the Executive and Quick Case dashboards (those are unchanged) and may overlap each other.</t>
        </is>
      </c>
    </row>
  </sheetData>
  <sheetProtection selectLockedCells="0" selectUnlockedCells="0" sheet="1" objects="0" insertRows="1" insertHyperlinks="1" autoFilter="1" scenarios="0" formatColumns="1" deleteColumns="1" insertColumns="1" pivotTables="1" deleteRows="1" formatCells="0" formatRows="1" sort="1"/>
  <mergeCells count="6">
    <mergeCell ref="B4:E4"/>
    <mergeCell ref="B16:J16"/>
    <mergeCell ref="G4:J4"/>
    <mergeCell ref="B1:J1"/>
    <mergeCell ref="B10:E10"/>
    <mergeCell ref="G10:J10"/>
  </mergeCells>
  <dataValidations count="3">
    <dataValidation sqref="C2" showDropDown="0" showInputMessage="0" showErrorMessage="0" allowBlank="0" type="list">
      <formula1>=Timeframes</formula1>
    </dataValidation>
    <dataValidation sqref="E2" showDropDown="0" showInputMessage="0" showErrorMessage="0" allowBlank="0" type="list">
      <formula1>=TLFilter</formula1>
    </dataValidation>
    <dataValidation sqref="G2" showDropDown="0" showInputMessage="0" showErrorMessage="0" allowBlank="0" type="list">
      <formula1>=AudFilter</formula1>
    </dataValidation>
  </dataValidation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2A78D6"/>
    <outlinePr summaryBelow="1" summaryRight="1"/>
    <pageSetUpPr/>
  </sheetPr>
  <dimension ref="A1:U20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32" customWidth="1" min="3" max="3"/>
    <col width="12" customWidth="1" min="4" max="4"/>
    <col width="32" customWidth="1" min="5" max="5"/>
    <col width="28" customWidth="1" min="6" max="6"/>
    <col width="32" customWidth="1" min="7" max="7"/>
    <col width="28" customWidth="1" min="8" max="8"/>
    <col width="32" customWidth="1" min="9" max="9"/>
    <col width="32" customWidth="1" min="10" max="10"/>
    <col width="12" customWidth="1" min="11" max="11"/>
    <col width="14" customWidth="1" min="12" max="12"/>
    <col width="14" customWidth="1" min="13" max="13"/>
    <col width="22" customWidth="1" min="14" max="14"/>
    <col width="10" customWidth="1" min="15" max="15"/>
    <col width="40" customWidth="1" min="16" max="16"/>
    <col width="40" customWidth="1" min="17" max="17"/>
    <col width="50" customWidth="1" min="18" max="18"/>
    <col width="22" customWidth="1" min="19" max="19"/>
    <col width="10" customWidth="1" min="20" max="20"/>
    <col width="18" customWidth="1" min="21" max="21"/>
  </cols>
  <sheetData>
    <row r="1">
      <c r="A1" t="inlineStr">
        <is>
          <t>auditId</t>
        </is>
      </c>
      <c r="B1" t="inlineStr">
        <is>
          <t>auditDate</t>
        </is>
      </c>
      <c r="C1" t="inlineStr">
        <is>
          <t>agentName</t>
        </is>
      </c>
      <c r="D1" t="inlineStr">
        <is>
          <t>agentEid</t>
        </is>
      </c>
      <c r="E1" t="inlineStr">
        <is>
          <t>agentEmail</t>
        </is>
      </c>
      <c r="F1" t="inlineStr">
        <is>
          <t>teamLeader</t>
        </is>
      </c>
      <c r="G1" t="inlineStr">
        <is>
          <t>tlEmail</t>
        </is>
      </c>
      <c r="H1" t="inlineStr">
        <is>
          <t>operationsManager</t>
        </is>
      </c>
      <c r="I1" t="inlineStr">
        <is>
          <t>omEmail</t>
        </is>
      </c>
      <c r="J1" t="inlineStr">
        <is>
          <t>somEmail</t>
        </is>
      </c>
      <c r="K1" t="inlineStr">
        <is>
          <t>channel</t>
        </is>
      </c>
      <c r="L1" t="inlineStr">
        <is>
          <t>lob</t>
        </is>
      </c>
      <c r="M1" t="inlineStr">
        <is>
          <t>caseNumber</t>
        </is>
      </c>
      <c r="N1" t="inlineStr">
        <is>
          <t>genesysTransactionId</t>
        </is>
      </c>
      <c r="O1" t="inlineStr">
        <is>
          <t>validation</t>
        </is>
      </c>
      <c r="P1" t="inlineStr">
        <is>
          <t>caseResolution</t>
        </is>
      </c>
      <c r="Q1" t="inlineStr">
        <is>
          <t>expectedResolutionCode</t>
        </is>
      </c>
      <c r="R1" t="inlineStr">
        <is>
          <t>remarks</t>
        </is>
      </c>
      <c r="S1" t="inlineStr">
        <is>
          <t>auditorName</t>
        </is>
      </c>
      <c r="T1" t="inlineStr">
        <is>
          <t>quickCase</t>
        </is>
      </c>
      <c r="U1" t="inlineStr">
        <is>
          <t>sendEmail</t>
        </is>
      </c>
    </row>
    <row r="2">
      <c r="A2" s="25">
        <f>IF($C2="","","AUD-2026-"&amp;TEXT(ROW()-1,"000000"))</f>
        <v/>
      </c>
      <c r="B2" s="26" t="n"/>
      <c r="C2" s="27" t="n"/>
      <c r="D2" s="25">
        <f>IF($C2="","",IFERROR(IF(INDEX(Roster!$A:$A,MATCH($C2,Roster!$B:$B,0))="","",INDEX(Roster!$A:$A,MATCH($C2,Roster!$B:$B,0))&amp;""),"—"))</f>
        <v/>
      </c>
      <c r="E2" s="25">
        <f>IF($C2="","",IFERROR(IF(INDEX(Roster!$C:$C,MATCH($C2,Roster!$B:$B,0))="","",INDEX(Roster!$C:$C,MATCH($C2,Roster!$B:$B,0))&amp;""),"—"))</f>
        <v/>
      </c>
      <c r="F2" s="25">
        <f>IF($C2="","",IFERROR(IF(INDEX(Roster!$D:$D,MATCH($C2,Roster!$B:$B,0))="","",INDEX(Roster!$D:$D,MATCH($C2,Roster!$B:$B,0))&amp;""),"—"))</f>
        <v/>
      </c>
      <c r="G2" s="25">
        <f>IF($C2="","",IFERROR(IF(INDEX(Roster!$E:$E,MATCH($C2,Roster!$B:$B,0))="","",INDEX(Roster!$E:$E,MATCH($C2,Roster!$B:$B,0))&amp;""),"—"))</f>
        <v/>
      </c>
      <c r="H2" s="25">
        <f>IF($C2="","",IFERROR(IF(INDEX(Roster!$F:$F,MATCH($C2,Roster!$B:$B,0))="","",INDEX(Roster!$F:$F,MATCH($C2,Roster!$B:$B,0))&amp;""),"—"))</f>
        <v/>
      </c>
      <c r="I2" s="25">
        <f>IF($C2="","",IFERROR(IF(INDEX(Roster!$G:$G,MATCH($C2,Roster!$B:$B,0))="","",INDEX(Roster!$G:$G,MATCH($C2,Roster!$B:$B,0))&amp;""),"—"))</f>
        <v/>
      </c>
      <c r="J2" s="25">
        <f>IF($C2="","",IFERROR(IF(INDEX(Roster!$I:$I,MATCH($C2,Roster!$B:$B,0))="","",INDEX(Roster!$I:$I,MATCH($C2,Roster!$B:$B,0))&amp;""),"—"))</f>
        <v/>
      </c>
      <c r="K2">
        <f>IF($C2="","",IFERROR(IF(INDEX(Roster!$J:$J,MATCH($C2,Roster!$B:$B,0))="","",INDEX(Roster!$J:$J,MATCH($C2,Roster!$B:$B,0))&amp;""),"—"))</f>
        <v/>
      </c>
      <c r="L2">
        <f>IF($C2="","",IFERROR(IF(INDEX(Roster!$K:$K,MATCH($C2,Roster!$B:$B,0))="","",INDEX(Roster!$K:$K,MATCH($C2,Roster!$B:$B,0))&amp;""),"—"))</f>
        <v/>
      </c>
      <c r="M2" s="27" t="n"/>
      <c r="N2" s="27" t="n"/>
      <c r="O2" s="25">
        <f>IF($C2="","",IF($P2="","—",IF($P2="Valid (Pass)","Valid","Invalid")))</f>
        <v/>
      </c>
      <c r="P2" s="27" t="n"/>
      <c r="Q2" s="27" t="n"/>
      <c r="R2" s="27" t="n"/>
      <c r="S2" s="27" t="n"/>
      <c r="T2" s="25">
        <f>IF($C2="","",IF(OR(ISNUMBER(SEARCH("quick case",$P2)),ISNUMBER(SEARCH("quick case",$Q2))),"Yes","No"))</f>
        <v/>
      </c>
      <c r="U2" s="25">
        <f>IF($O2="Invalid",HYPERLINK("mailto:"&amp;$G2&amp;";"&amp;$I2&amp;"?cc="&amp;Lists!$E$2&amp;"&amp;subject="&amp;_xlfn.ENCODEURL("[INVALID] Quality audit monitoring completed for "&amp;UPPER($C2))&amp;"&amp;body="&amp;_xlfn.ENCODEURL("Hi "&amp;$F2&amp;","&amp;CHAR(10)&amp;"Good day!"&amp;CHAR(10)&amp;CHAR(10)&amp;"A quality monitoring audit has been completed for "&amp;$C2&amp;"."&amp;CHAR(10)&amp;CHAR(10)&amp;"QUALITY AUDIT DETAILS"&amp;CHAR(10)&amp;"Agent Name: "&amp;$C2&amp;" (EID "&amp;$D2&amp;")"&amp;CHAR(10)&amp;"Audit Date: "&amp;TEXT($B2,"yyyy-mm-dd")&amp;CHAR(10)&amp;"Team Leader: "&amp;$F2&amp;CHAR(10)&amp;"Case Number: "&amp;$M2&amp;CHAR(10)&amp;"Transaction ID: "&amp;$N2&amp;CHAR(10)&amp;"Channel / LOB: "&amp;$K2&amp;" / "&amp;$L2&amp;CHAR(10)&amp;"Evaluator: "&amp;$S2&amp;CHAR(10)&amp;CHAR(10)&amp;"INVALID QUALITY AUDIT DETAILS"&amp;CHAR(10)&amp;"Validation: Invalid"&amp;CHAR(10)&amp;"Invalid Reason: "&amp;$P2&amp;CHAR(10)&amp;"Expected Resolution Code: "&amp;$Q2&amp;CHAR(10)&amp;"Remarks: "&amp;LEFT($R2,600)&amp;CHAR(10)&amp;CHAR(10)&amp;"This is an automated notification from HP Mainstream EQMS."),"✉ Open Email Draft"),"")</f>
        <v/>
      </c>
    </row>
    <row r="3">
      <c r="A3" s="25">
        <f>IF($C3="","","AUD-2026-"&amp;TEXT(ROW()-1,"000000"))</f>
        <v/>
      </c>
      <c r="B3" s="26" t="n"/>
      <c r="C3" s="27" t="n"/>
      <c r="D3" s="25">
        <f>IF($C3="","",IFERROR(IF(INDEX(Roster!$A:$A,MATCH($C3,Roster!$B:$B,0))="","",INDEX(Roster!$A:$A,MATCH($C3,Roster!$B:$B,0))&amp;""),"—"))</f>
        <v/>
      </c>
      <c r="E3" s="25">
        <f>IF($C3="","",IFERROR(IF(INDEX(Roster!$C:$C,MATCH($C3,Roster!$B:$B,0))="","",INDEX(Roster!$C:$C,MATCH($C3,Roster!$B:$B,0))&amp;""),"—"))</f>
        <v/>
      </c>
      <c r="F3" s="25">
        <f>IF($C3="","",IFERROR(IF(INDEX(Roster!$D:$D,MATCH($C3,Roster!$B:$B,0))="","",INDEX(Roster!$D:$D,MATCH($C3,Roster!$B:$B,0))&amp;""),"—"))</f>
        <v/>
      </c>
      <c r="G3" s="25">
        <f>IF($C3="","",IFERROR(IF(INDEX(Roster!$E:$E,MATCH($C3,Roster!$B:$B,0))="","",INDEX(Roster!$E:$E,MATCH($C3,Roster!$B:$B,0))&amp;""),"—"))</f>
        <v/>
      </c>
      <c r="H3" s="25">
        <f>IF($C3="","",IFERROR(IF(INDEX(Roster!$F:$F,MATCH($C3,Roster!$B:$B,0))="","",INDEX(Roster!$F:$F,MATCH($C3,Roster!$B:$B,0))&amp;""),"—"))</f>
        <v/>
      </c>
      <c r="I3" s="25">
        <f>IF($C3="","",IFERROR(IF(INDEX(Roster!$G:$G,MATCH($C3,Roster!$B:$B,0))="","",INDEX(Roster!$G:$G,MATCH($C3,Roster!$B:$B,0))&amp;""),"—"))</f>
        <v/>
      </c>
      <c r="J3" s="25">
        <f>IF($C3="","",IFERROR(IF(INDEX(Roster!$I:$I,MATCH($C3,Roster!$B:$B,0))="","",INDEX(Roster!$I:$I,MATCH($C3,Roster!$B:$B,0))&amp;""),"—"))</f>
        <v/>
      </c>
      <c r="K3">
        <f>IF($C3="","",IFERROR(IF(INDEX(Roster!$J:$J,MATCH($C3,Roster!$B:$B,0))="","",INDEX(Roster!$J:$J,MATCH($C3,Roster!$B:$B,0))&amp;""),"—"))</f>
        <v/>
      </c>
      <c r="L3">
        <f>IF($C3="","",IFERROR(IF(INDEX(Roster!$K:$K,MATCH($C3,Roster!$B:$B,0))="","",INDEX(Roster!$K:$K,MATCH($C3,Roster!$B:$B,0))&amp;""),"—"))</f>
        <v/>
      </c>
      <c r="M3" s="27" t="n"/>
      <c r="N3" s="27" t="n"/>
      <c r="O3" s="25">
        <f>IF($C3="","",IF($P3="","—",IF($P3="Valid (Pass)","Valid","Invalid")))</f>
        <v/>
      </c>
      <c r="P3" s="27" t="n"/>
      <c r="Q3" s="27" t="n"/>
      <c r="R3" s="27" t="n"/>
      <c r="S3" s="27" t="n"/>
      <c r="T3" s="25">
        <f>IF($C3="","",IF(OR(ISNUMBER(SEARCH("quick case",$P3)),ISNUMBER(SEARCH("quick case",$Q3))),"Yes","No"))</f>
        <v/>
      </c>
      <c r="U3" s="25">
        <f>IF($O3="Invalid",HYPERLINK("mailto:"&amp;$G3&amp;";"&amp;$I3&amp;"?cc="&amp;Lists!$E$2&amp;"&amp;subject="&amp;_xlfn.ENCODEURL("[INVALID] Quality audit monitoring completed for "&amp;UPPER($C3))&amp;"&amp;body="&amp;_xlfn.ENCODEURL("Hi "&amp;$F3&amp;","&amp;CHAR(10)&amp;"Good day!"&amp;CHAR(10)&amp;CHAR(10)&amp;"A quality monitoring audit has been completed for "&amp;$C3&amp;"."&amp;CHAR(10)&amp;CHAR(10)&amp;"QUALITY AUDIT DETAILS"&amp;CHAR(10)&amp;"Agent Name: "&amp;$C3&amp;" (EID "&amp;$D3&amp;")"&amp;CHAR(10)&amp;"Audit Date: "&amp;TEXT($B3,"yyyy-mm-dd")&amp;CHAR(10)&amp;"Team Leader: "&amp;$F3&amp;CHAR(10)&amp;"Case Number: "&amp;$M3&amp;CHAR(10)&amp;"Transaction ID: "&amp;$N3&amp;CHAR(10)&amp;"Channel / LOB: "&amp;$K3&amp;" / "&amp;$L3&amp;CHAR(10)&amp;"Evaluator: "&amp;$S3&amp;CHAR(10)&amp;CHAR(10)&amp;"INVALID QUALITY AUDIT DETAILS"&amp;CHAR(10)&amp;"Validation: Invalid"&amp;CHAR(10)&amp;"Invalid Reason: "&amp;$P3&amp;CHAR(10)&amp;"Expected Resolution Code: "&amp;$Q3&amp;CHAR(10)&amp;"Remarks: "&amp;LEFT($R3,600)&amp;CHAR(10)&amp;CHAR(10)&amp;"This is an automated notification from HP Mainstream EQMS."),"✉ Open Email Draft"),"")</f>
        <v/>
      </c>
    </row>
    <row r="4">
      <c r="A4" s="25">
        <f>IF($C4="","","AUD-2026-"&amp;TEXT(ROW()-1,"000000"))</f>
        <v/>
      </c>
      <c r="B4" s="26" t="n"/>
      <c r="C4" s="27" t="n"/>
      <c r="D4" s="25">
        <f>IF($C4="","",IFERROR(IF(INDEX(Roster!$A:$A,MATCH($C4,Roster!$B:$B,0))="","",INDEX(Roster!$A:$A,MATCH($C4,Roster!$B:$B,0))&amp;""),"—"))</f>
        <v/>
      </c>
      <c r="E4" s="25">
        <f>IF($C4="","",IFERROR(IF(INDEX(Roster!$C:$C,MATCH($C4,Roster!$B:$B,0))="","",INDEX(Roster!$C:$C,MATCH($C4,Roster!$B:$B,0))&amp;""),"—"))</f>
        <v/>
      </c>
      <c r="F4" s="25">
        <f>IF($C4="","",IFERROR(IF(INDEX(Roster!$D:$D,MATCH($C4,Roster!$B:$B,0))="","",INDEX(Roster!$D:$D,MATCH($C4,Roster!$B:$B,0))&amp;""),"—"))</f>
        <v/>
      </c>
      <c r="G4" s="25">
        <f>IF($C4="","",IFERROR(IF(INDEX(Roster!$E:$E,MATCH($C4,Roster!$B:$B,0))="","",INDEX(Roster!$E:$E,MATCH($C4,Roster!$B:$B,0))&amp;""),"—"))</f>
        <v/>
      </c>
      <c r="H4" s="25">
        <f>IF($C4="","",IFERROR(IF(INDEX(Roster!$F:$F,MATCH($C4,Roster!$B:$B,0))="","",INDEX(Roster!$F:$F,MATCH($C4,Roster!$B:$B,0))&amp;""),"—"))</f>
        <v/>
      </c>
      <c r="I4" s="25">
        <f>IF($C4="","",IFERROR(IF(INDEX(Roster!$G:$G,MATCH($C4,Roster!$B:$B,0))="","",INDEX(Roster!$G:$G,MATCH($C4,Roster!$B:$B,0))&amp;""),"—"))</f>
        <v/>
      </c>
      <c r="J4" s="25">
        <f>IF($C4="","",IFERROR(IF(INDEX(Roster!$I:$I,MATCH($C4,Roster!$B:$B,0))="","",INDEX(Roster!$I:$I,MATCH($C4,Roster!$B:$B,0))&amp;""),"—"))</f>
        <v/>
      </c>
      <c r="K4">
        <f>IF($C4="","",IFERROR(IF(INDEX(Roster!$J:$J,MATCH($C4,Roster!$B:$B,0))="","",INDEX(Roster!$J:$J,MATCH($C4,Roster!$B:$B,0))&amp;""),"—"))</f>
        <v/>
      </c>
      <c r="L4">
        <f>IF($C4="","",IFERROR(IF(INDEX(Roster!$K:$K,MATCH($C4,Roster!$B:$B,0))="","",INDEX(Roster!$K:$K,MATCH($C4,Roster!$B:$B,0))&amp;""),"—"))</f>
        <v/>
      </c>
      <c r="M4" s="27" t="n"/>
      <c r="N4" s="27" t="n"/>
      <c r="O4" s="25">
        <f>IF($C4="","",IF($P4="","—",IF($P4="Valid (Pass)","Valid","Invalid")))</f>
        <v/>
      </c>
      <c r="P4" s="27" t="n"/>
      <c r="Q4" s="27" t="n"/>
      <c r="R4" s="27" t="n"/>
      <c r="S4" s="27" t="n"/>
      <c r="T4" s="25">
        <f>IF($C4="","",IF(OR(ISNUMBER(SEARCH("quick case",$P4)),ISNUMBER(SEARCH("quick case",$Q4))),"Yes","No"))</f>
        <v/>
      </c>
      <c r="U4" s="25">
        <f>IF($O4="Invalid",HYPERLINK("mailto:"&amp;$G4&amp;";"&amp;$I4&amp;"?cc="&amp;Lists!$E$2&amp;"&amp;subject="&amp;_xlfn.ENCODEURL("[INVALID] Quality audit monitoring completed for "&amp;UPPER($C4))&amp;"&amp;body="&amp;_xlfn.ENCODEURL("Hi "&amp;$F4&amp;","&amp;CHAR(10)&amp;"Good day!"&amp;CHAR(10)&amp;CHAR(10)&amp;"A quality monitoring audit has been completed for "&amp;$C4&amp;"."&amp;CHAR(10)&amp;CHAR(10)&amp;"QUALITY AUDIT DETAILS"&amp;CHAR(10)&amp;"Agent Name: "&amp;$C4&amp;" (EID "&amp;$D4&amp;")"&amp;CHAR(10)&amp;"Audit Date: "&amp;TEXT($B4,"yyyy-mm-dd")&amp;CHAR(10)&amp;"Team Leader: "&amp;$F4&amp;CHAR(10)&amp;"Case Number: "&amp;$M4&amp;CHAR(10)&amp;"Transaction ID: "&amp;$N4&amp;CHAR(10)&amp;"Channel / LOB: "&amp;$K4&amp;" / "&amp;$L4&amp;CHAR(10)&amp;"Evaluator: "&amp;$S4&amp;CHAR(10)&amp;CHAR(10)&amp;"INVALID QUALITY AUDIT DETAILS"&amp;CHAR(10)&amp;"Validation: Invalid"&amp;CHAR(10)&amp;"Invalid Reason: "&amp;$P4&amp;CHAR(10)&amp;"Expected Resolution Code: "&amp;$Q4&amp;CHAR(10)&amp;"Remarks: "&amp;LEFT($R4,600)&amp;CHAR(10)&amp;CHAR(10)&amp;"This is an automated notification from HP Mainstream EQMS."),"✉ Open Email Draft"),"")</f>
        <v/>
      </c>
    </row>
    <row r="5">
      <c r="A5" s="25">
        <f>IF($C5="","","AUD-2026-"&amp;TEXT(ROW()-1,"000000"))</f>
        <v/>
      </c>
      <c r="B5" s="26" t="n"/>
      <c r="C5" s="27" t="n"/>
      <c r="D5" s="25">
        <f>IF($C5="","",IFERROR(IF(INDEX(Roster!$A:$A,MATCH($C5,Roster!$B:$B,0))="","",INDEX(Roster!$A:$A,MATCH($C5,Roster!$B:$B,0))&amp;""),"—"))</f>
        <v/>
      </c>
      <c r="E5" s="25">
        <f>IF($C5="","",IFERROR(IF(INDEX(Roster!$C:$C,MATCH($C5,Roster!$B:$B,0))="","",INDEX(Roster!$C:$C,MATCH($C5,Roster!$B:$B,0))&amp;""),"—"))</f>
        <v/>
      </c>
      <c r="F5" s="25">
        <f>IF($C5="","",IFERROR(IF(INDEX(Roster!$D:$D,MATCH($C5,Roster!$B:$B,0))="","",INDEX(Roster!$D:$D,MATCH($C5,Roster!$B:$B,0))&amp;""),"—"))</f>
        <v/>
      </c>
      <c r="G5" s="25">
        <f>IF($C5="","",IFERROR(IF(INDEX(Roster!$E:$E,MATCH($C5,Roster!$B:$B,0))="","",INDEX(Roster!$E:$E,MATCH($C5,Roster!$B:$B,0))&amp;""),"—"))</f>
        <v/>
      </c>
      <c r="H5" s="25">
        <f>IF($C5="","",IFERROR(IF(INDEX(Roster!$F:$F,MATCH($C5,Roster!$B:$B,0))="","",INDEX(Roster!$F:$F,MATCH($C5,Roster!$B:$B,0))&amp;""),"—"))</f>
        <v/>
      </c>
      <c r="I5" s="25">
        <f>IF($C5="","",IFERROR(IF(INDEX(Roster!$G:$G,MATCH($C5,Roster!$B:$B,0))="","",INDEX(Roster!$G:$G,MATCH($C5,Roster!$B:$B,0))&amp;""),"—"))</f>
        <v/>
      </c>
      <c r="J5" s="25">
        <f>IF($C5="","",IFERROR(IF(INDEX(Roster!$I:$I,MATCH($C5,Roster!$B:$B,0))="","",INDEX(Roster!$I:$I,MATCH($C5,Roster!$B:$B,0))&amp;""),"—"))</f>
        <v/>
      </c>
      <c r="K5">
        <f>IF($C5="","",IFERROR(IF(INDEX(Roster!$J:$J,MATCH($C5,Roster!$B:$B,0))="","",INDEX(Roster!$J:$J,MATCH($C5,Roster!$B:$B,0))&amp;""),"—"))</f>
        <v/>
      </c>
      <c r="L5">
        <f>IF($C5="","",IFERROR(IF(INDEX(Roster!$K:$K,MATCH($C5,Roster!$B:$B,0))="","",INDEX(Roster!$K:$K,MATCH($C5,Roster!$B:$B,0))&amp;""),"—"))</f>
        <v/>
      </c>
      <c r="M5" s="27" t="n"/>
      <c r="N5" s="27" t="n"/>
      <c r="O5" s="25">
        <f>IF($C5="","",IF($P5="","—",IF($P5="Valid (Pass)","Valid","Invalid")))</f>
        <v/>
      </c>
      <c r="P5" s="27" t="n"/>
      <c r="Q5" s="27" t="n"/>
      <c r="R5" s="27" t="n"/>
      <c r="S5" s="27" t="n"/>
      <c r="T5" s="25">
        <f>IF($C5="","",IF(OR(ISNUMBER(SEARCH("quick case",$P5)),ISNUMBER(SEARCH("quick case",$Q5))),"Yes","No"))</f>
        <v/>
      </c>
      <c r="U5" s="25">
        <f>IF($O5="Invalid",HYPERLINK("mailto:"&amp;$G5&amp;";"&amp;$I5&amp;"?cc="&amp;Lists!$E$2&amp;"&amp;subject="&amp;_xlfn.ENCODEURL("[INVALID] Quality audit monitoring completed for "&amp;UPPER($C5))&amp;"&amp;body="&amp;_xlfn.ENCODEURL("Hi "&amp;$F5&amp;","&amp;CHAR(10)&amp;"Good day!"&amp;CHAR(10)&amp;CHAR(10)&amp;"A quality monitoring audit has been completed for "&amp;$C5&amp;"."&amp;CHAR(10)&amp;CHAR(10)&amp;"QUALITY AUDIT DETAILS"&amp;CHAR(10)&amp;"Agent Name: "&amp;$C5&amp;" (EID "&amp;$D5&amp;")"&amp;CHAR(10)&amp;"Audit Date: "&amp;TEXT($B5,"yyyy-mm-dd")&amp;CHAR(10)&amp;"Team Leader: "&amp;$F5&amp;CHAR(10)&amp;"Case Number: "&amp;$M5&amp;CHAR(10)&amp;"Transaction ID: "&amp;$N5&amp;CHAR(10)&amp;"Channel / LOB: "&amp;$K5&amp;" / "&amp;$L5&amp;CHAR(10)&amp;"Evaluator: "&amp;$S5&amp;CHAR(10)&amp;CHAR(10)&amp;"INVALID QUALITY AUDIT DETAILS"&amp;CHAR(10)&amp;"Validation: Invalid"&amp;CHAR(10)&amp;"Invalid Reason: "&amp;$P5&amp;CHAR(10)&amp;"Expected Resolution Code: "&amp;$Q5&amp;CHAR(10)&amp;"Remarks: "&amp;LEFT($R5,600)&amp;CHAR(10)&amp;CHAR(10)&amp;"This is an automated notification from HP Mainstream EQMS."),"✉ Open Email Draft"),"")</f>
        <v/>
      </c>
    </row>
    <row r="6">
      <c r="A6" s="25">
        <f>IF($C6="","","AUD-2026-"&amp;TEXT(ROW()-1,"000000"))</f>
        <v/>
      </c>
      <c r="B6" s="26" t="n"/>
      <c r="C6" s="27" t="n"/>
      <c r="D6" s="25">
        <f>IF($C6="","",IFERROR(IF(INDEX(Roster!$A:$A,MATCH($C6,Roster!$B:$B,0))="","",INDEX(Roster!$A:$A,MATCH($C6,Roster!$B:$B,0))&amp;""),"—"))</f>
        <v/>
      </c>
      <c r="E6" s="25">
        <f>IF($C6="","",IFERROR(IF(INDEX(Roster!$C:$C,MATCH($C6,Roster!$B:$B,0))="","",INDEX(Roster!$C:$C,MATCH($C6,Roster!$B:$B,0))&amp;""),"—"))</f>
        <v/>
      </c>
      <c r="F6" s="25">
        <f>IF($C6="","",IFERROR(IF(INDEX(Roster!$D:$D,MATCH($C6,Roster!$B:$B,0))="","",INDEX(Roster!$D:$D,MATCH($C6,Roster!$B:$B,0))&amp;""),"—"))</f>
        <v/>
      </c>
      <c r="G6" s="25">
        <f>IF($C6="","",IFERROR(IF(INDEX(Roster!$E:$E,MATCH($C6,Roster!$B:$B,0))="","",INDEX(Roster!$E:$E,MATCH($C6,Roster!$B:$B,0))&amp;""),"—"))</f>
        <v/>
      </c>
      <c r="H6" s="25">
        <f>IF($C6="","",IFERROR(IF(INDEX(Roster!$F:$F,MATCH($C6,Roster!$B:$B,0))="","",INDEX(Roster!$F:$F,MATCH($C6,Roster!$B:$B,0))&amp;""),"—"))</f>
        <v/>
      </c>
      <c r="I6" s="25">
        <f>IF($C6="","",IFERROR(IF(INDEX(Roster!$G:$G,MATCH($C6,Roster!$B:$B,0))="","",INDEX(Roster!$G:$G,MATCH($C6,Roster!$B:$B,0))&amp;""),"—"))</f>
        <v/>
      </c>
      <c r="J6" s="25">
        <f>IF($C6="","",IFERROR(IF(INDEX(Roster!$I:$I,MATCH($C6,Roster!$B:$B,0))="","",INDEX(Roster!$I:$I,MATCH($C6,Roster!$B:$B,0))&amp;""),"—"))</f>
        <v/>
      </c>
      <c r="K6">
        <f>IF($C6="","",IFERROR(IF(INDEX(Roster!$J:$J,MATCH($C6,Roster!$B:$B,0))="","",INDEX(Roster!$J:$J,MATCH($C6,Roster!$B:$B,0))&amp;""),"—"))</f>
        <v/>
      </c>
      <c r="L6">
        <f>IF($C6="","",IFERROR(IF(INDEX(Roster!$K:$K,MATCH($C6,Roster!$B:$B,0))="","",INDEX(Roster!$K:$K,MATCH($C6,Roster!$B:$B,0))&amp;""),"—"))</f>
        <v/>
      </c>
      <c r="M6" s="27" t="n"/>
      <c r="N6" s="27" t="n"/>
      <c r="O6" s="25">
        <f>IF($C6="","",IF($P6="","—",IF($P6="Valid (Pass)","Valid","Invalid")))</f>
        <v/>
      </c>
      <c r="P6" s="27" t="n"/>
      <c r="Q6" s="27" t="n"/>
      <c r="R6" s="27" t="n"/>
      <c r="S6" s="27" t="n"/>
      <c r="T6" s="25">
        <f>IF($C6="","",IF(OR(ISNUMBER(SEARCH("quick case",$P6)),ISNUMBER(SEARCH("quick case",$Q6))),"Yes","No"))</f>
        <v/>
      </c>
      <c r="U6" s="25">
        <f>IF($O6="Invalid",HYPERLINK("mailto:"&amp;$G6&amp;";"&amp;$I6&amp;"?cc="&amp;Lists!$E$2&amp;"&amp;subject="&amp;_xlfn.ENCODEURL("[INVALID] Quality audit monitoring completed for "&amp;UPPER($C6))&amp;"&amp;body="&amp;_xlfn.ENCODEURL("Hi "&amp;$F6&amp;","&amp;CHAR(10)&amp;"Good day!"&amp;CHAR(10)&amp;CHAR(10)&amp;"A quality monitoring audit has been completed for "&amp;$C6&amp;"."&amp;CHAR(10)&amp;CHAR(10)&amp;"QUALITY AUDIT DETAILS"&amp;CHAR(10)&amp;"Agent Name: "&amp;$C6&amp;" (EID "&amp;$D6&amp;")"&amp;CHAR(10)&amp;"Audit Date: "&amp;TEXT($B6,"yyyy-mm-dd")&amp;CHAR(10)&amp;"Team Leader: "&amp;$F6&amp;CHAR(10)&amp;"Case Number: "&amp;$M6&amp;CHAR(10)&amp;"Transaction ID: "&amp;$N6&amp;CHAR(10)&amp;"Channel / LOB: "&amp;$K6&amp;" / "&amp;$L6&amp;CHAR(10)&amp;"Evaluator: "&amp;$S6&amp;CHAR(10)&amp;CHAR(10)&amp;"INVALID QUALITY AUDIT DETAILS"&amp;CHAR(10)&amp;"Validation: Invalid"&amp;CHAR(10)&amp;"Invalid Reason: "&amp;$P6&amp;CHAR(10)&amp;"Expected Resolution Code: "&amp;$Q6&amp;CHAR(10)&amp;"Remarks: "&amp;LEFT($R6,600)&amp;CHAR(10)&amp;CHAR(10)&amp;"This is an automated notification from HP Mainstream EQMS."),"✉ Open Email Draft"),"")</f>
        <v/>
      </c>
    </row>
    <row r="7">
      <c r="A7" s="25">
        <f>IF($C7="","","AUD-2026-"&amp;TEXT(ROW()-1,"000000"))</f>
        <v/>
      </c>
      <c r="B7" s="26" t="n"/>
      <c r="C7" s="27" t="n"/>
      <c r="D7" s="25">
        <f>IF($C7="","",IFERROR(IF(INDEX(Roster!$A:$A,MATCH($C7,Roster!$B:$B,0))="","",INDEX(Roster!$A:$A,MATCH($C7,Roster!$B:$B,0))&amp;""),"—"))</f>
        <v/>
      </c>
      <c r="E7" s="25">
        <f>IF($C7="","",IFERROR(IF(INDEX(Roster!$C:$C,MATCH($C7,Roster!$B:$B,0))="","",INDEX(Roster!$C:$C,MATCH($C7,Roster!$B:$B,0))&amp;""),"—"))</f>
        <v/>
      </c>
      <c r="F7" s="25">
        <f>IF($C7="","",IFERROR(IF(INDEX(Roster!$D:$D,MATCH($C7,Roster!$B:$B,0))="","",INDEX(Roster!$D:$D,MATCH($C7,Roster!$B:$B,0))&amp;""),"—"))</f>
        <v/>
      </c>
      <c r="G7" s="25">
        <f>IF($C7="","",IFERROR(IF(INDEX(Roster!$E:$E,MATCH($C7,Roster!$B:$B,0))="","",INDEX(Roster!$E:$E,MATCH($C7,Roster!$B:$B,0))&amp;""),"—"))</f>
        <v/>
      </c>
      <c r="H7" s="25">
        <f>IF($C7="","",IFERROR(IF(INDEX(Roster!$F:$F,MATCH($C7,Roster!$B:$B,0))="","",INDEX(Roster!$F:$F,MATCH($C7,Roster!$B:$B,0))&amp;""),"—"))</f>
        <v/>
      </c>
      <c r="I7" s="25">
        <f>IF($C7="","",IFERROR(IF(INDEX(Roster!$G:$G,MATCH($C7,Roster!$B:$B,0))="","",INDEX(Roster!$G:$G,MATCH($C7,Roster!$B:$B,0))&amp;""),"—"))</f>
        <v/>
      </c>
      <c r="J7" s="25">
        <f>IF($C7="","",IFERROR(IF(INDEX(Roster!$I:$I,MATCH($C7,Roster!$B:$B,0))="","",INDEX(Roster!$I:$I,MATCH($C7,Roster!$B:$B,0))&amp;""),"—"))</f>
        <v/>
      </c>
      <c r="K7">
        <f>IF($C7="","",IFERROR(IF(INDEX(Roster!$J:$J,MATCH($C7,Roster!$B:$B,0))="","",INDEX(Roster!$J:$J,MATCH($C7,Roster!$B:$B,0))&amp;""),"—"))</f>
        <v/>
      </c>
      <c r="L7">
        <f>IF($C7="","",IFERROR(IF(INDEX(Roster!$K:$K,MATCH($C7,Roster!$B:$B,0))="","",INDEX(Roster!$K:$K,MATCH($C7,Roster!$B:$B,0))&amp;""),"—"))</f>
        <v/>
      </c>
      <c r="M7" s="27" t="n"/>
      <c r="N7" s="27" t="n"/>
      <c r="O7" s="25">
        <f>IF($C7="","",IF($P7="","—",IF($P7="Valid (Pass)","Valid","Invalid")))</f>
        <v/>
      </c>
      <c r="P7" s="27" t="n"/>
      <c r="Q7" s="27" t="n"/>
      <c r="R7" s="27" t="n"/>
      <c r="S7" s="27" t="n"/>
      <c r="T7" s="25">
        <f>IF($C7="","",IF(OR(ISNUMBER(SEARCH("quick case",$P7)),ISNUMBER(SEARCH("quick case",$Q7))),"Yes","No"))</f>
        <v/>
      </c>
      <c r="U7" s="25">
        <f>IF($O7="Invalid",HYPERLINK("mailto:"&amp;$G7&amp;";"&amp;$I7&amp;"?cc="&amp;Lists!$E$2&amp;"&amp;subject="&amp;_xlfn.ENCODEURL("[INVALID] Quality audit monitoring completed for "&amp;UPPER($C7))&amp;"&amp;body="&amp;_xlfn.ENCODEURL("Hi "&amp;$F7&amp;","&amp;CHAR(10)&amp;"Good day!"&amp;CHAR(10)&amp;CHAR(10)&amp;"A quality monitoring audit has been completed for "&amp;$C7&amp;"."&amp;CHAR(10)&amp;CHAR(10)&amp;"QUALITY AUDIT DETAILS"&amp;CHAR(10)&amp;"Agent Name: "&amp;$C7&amp;" (EID "&amp;$D7&amp;")"&amp;CHAR(10)&amp;"Audit Date: "&amp;TEXT($B7,"yyyy-mm-dd")&amp;CHAR(10)&amp;"Team Leader: "&amp;$F7&amp;CHAR(10)&amp;"Case Number: "&amp;$M7&amp;CHAR(10)&amp;"Transaction ID: "&amp;$N7&amp;CHAR(10)&amp;"Channel / LOB: "&amp;$K7&amp;" / "&amp;$L7&amp;CHAR(10)&amp;"Evaluator: "&amp;$S7&amp;CHAR(10)&amp;CHAR(10)&amp;"INVALID QUALITY AUDIT DETAILS"&amp;CHAR(10)&amp;"Validation: Invalid"&amp;CHAR(10)&amp;"Invalid Reason: "&amp;$P7&amp;CHAR(10)&amp;"Expected Resolution Code: "&amp;$Q7&amp;CHAR(10)&amp;"Remarks: "&amp;LEFT($R7,600)&amp;CHAR(10)&amp;CHAR(10)&amp;"This is an automated notification from HP Mainstream EQMS."),"✉ Open Email Draft"),"")</f>
        <v/>
      </c>
    </row>
    <row r="8">
      <c r="A8" s="25">
        <f>IF($C8="","","AUD-2026-"&amp;TEXT(ROW()-1,"000000"))</f>
        <v/>
      </c>
      <c r="B8" s="26" t="n"/>
      <c r="C8" s="27" t="n"/>
      <c r="D8" s="25">
        <f>IF($C8="","",IFERROR(IF(INDEX(Roster!$A:$A,MATCH($C8,Roster!$B:$B,0))="","",INDEX(Roster!$A:$A,MATCH($C8,Roster!$B:$B,0))&amp;""),"—"))</f>
        <v/>
      </c>
      <c r="E8" s="25">
        <f>IF($C8="","",IFERROR(IF(INDEX(Roster!$C:$C,MATCH($C8,Roster!$B:$B,0))="","",INDEX(Roster!$C:$C,MATCH($C8,Roster!$B:$B,0))&amp;""),"—"))</f>
        <v/>
      </c>
      <c r="F8" s="25">
        <f>IF($C8="","",IFERROR(IF(INDEX(Roster!$D:$D,MATCH($C8,Roster!$B:$B,0))="","",INDEX(Roster!$D:$D,MATCH($C8,Roster!$B:$B,0))&amp;""),"—"))</f>
        <v/>
      </c>
      <c r="G8" s="25">
        <f>IF($C8="","",IFERROR(IF(INDEX(Roster!$E:$E,MATCH($C8,Roster!$B:$B,0))="","",INDEX(Roster!$E:$E,MATCH($C8,Roster!$B:$B,0))&amp;""),"—"))</f>
        <v/>
      </c>
      <c r="H8" s="25">
        <f>IF($C8="","",IFERROR(IF(INDEX(Roster!$F:$F,MATCH($C8,Roster!$B:$B,0))="","",INDEX(Roster!$F:$F,MATCH($C8,Roster!$B:$B,0))&amp;""),"—"))</f>
        <v/>
      </c>
      <c r="I8" s="25">
        <f>IF($C8="","",IFERROR(IF(INDEX(Roster!$G:$G,MATCH($C8,Roster!$B:$B,0))="","",INDEX(Roster!$G:$G,MATCH($C8,Roster!$B:$B,0))&amp;""),"—"))</f>
        <v/>
      </c>
      <c r="J8" s="25">
        <f>IF($C8="","",IFERROR(IF(INDEX(Roster!$I:$I,MATCH($C8,Roster!$B:$B,0))="","",INDEX(Roster!$I:$I,MATCH($C8,Roster!$B:$B,0))&amp;""),"—"))</f>
        <v/>
      </c>
      <c r="K8">
        <f>IF($C8="","",IFERROR(IF(INDEX(Roster!$J:$J,MATCH($C8,Roster!$B:$B,0))="","",INDEX(Roster!$J:$J,MATCH($C8,Roster!$B:$B,0))&amp;""),"—"))</f>
        <v/>
      </c>
      <c r="L8">
        <f>IF($C8="","",IFERROR(IF(INDEX(Roster!$K:$K,MATCH($C8,Roster!$B:$B,0))="","",INDEX(Roster!$K:$K,MATCH($C8,Roster!$B:$B,0))&amp;""),"—"))</f>
        <v/>
      </c>
      <c r="M8" s="27" t="n"/>
      <c r="N8" s="27" t="n"/>
      <c r="O8" s="25">
        <f>IF($C8="","",IF($P8="","—",IF($P8="Valid (Pass)","Valid","Invalid")))</f>
        <v/>
      </c>
      <c r="P8" s="27" t="n"/>
      <c r="Q8" s="27" t="n"/>
      <c r="R8" s="27" t="n"/>
      <c r="S8" s="27" t="n"/>
      <c r="T8" s="25">
        <f>IF($C8="","",IF(OR(ISNUMBER(SEARCH("quick case",$P8)),ISNUMBER(SEARCH("quick case",$Q8))),"Yes","No"))</f>
        <v/>
      </c>
      <c r="U8" s="25">
        <f>IF($O8="Invalid",HYPERLINK("mailto:"&amp;$G8&amp;";"&amp;$I8&amp;"?cc="&amp;Lists!$E$2&amp;"&amp;subject="&amp;_xlfn.ENCODEURL("[INVALID] Quality audit monitoring completed for "&amp;UPPER($C8))&amp;"&amp;body="&amp;_xlfn.ENCODEURL("Hi "&amp;$F8&amp;","&amp;CHAR(10)&amp;"Good day!"&amp;CHAR(10)&amp;CHAR(10)&amp;"A quality monitoring audit has been completed for "&amp;$C8&amp;"."&amp;CHAR(10)&amp;CHAR(10)&amp;"QUALITY AUDIT DETAILS"&amp;CHAR(10)&amp;"Agent Name: "&amp;$C8&amp;" (EID "&amp;$D8&amp;")"&amp;CHAR(10)&amp;"Audit Date: "&amp;TEXT($B8,"yyyy-mm-dd")&amp;CHAR(10)&amp;"Team Leader: "&amp;$F8&amp;CHAR(10)&amp;"Case Number: "&amp;$M8&amp;CHAR(10)&amp;"Transaction ID: "&amp;$N8&amp;CHAR(10)&amp;"Channel / LOB: "&amp;$K8&amp;" / "&amp;$L8&amp;CHAR(10)&amp;"Evaluator: "&amp;$S8&amp;CHAR(10)&amp;CHAR(10)&amp;"INVALID QUALITY AUDIT DETAILS"&amp;CHAR(10)&amp;"Validation: Invalid"&amp;CHAR(10)&amp;"Invalid Reason: "&amp;$P8&amp;CHAR(10)&amp;"Expected Resolution Code: "&amp;$Q8&amp;CHAR(10)&amp;"Remarks: "&amp;LEFT($R8,600)&amp;CHAR(10)&amp;CHAR(10)&amp;"This is an automated notification from HP Mainstream EQMS."),"✉ Open Email Draft"),"")</f>
        <v/>
      </c>
    </row>
    <row r="9">
      <c r="A9" s="25">
        <f>IF($C9="","","AUD-2026-"&amp;TEXT(ROW()-1,"000000"))</f>
        <v/>
      </c>
      <c r="B9" s="26" t="n"/>
      <c r="C9" s="27" t="n"/>
      <c r="D9" s="25">
        <f>IF($C9="","",IFERROR(IF(INDEX(Roster!$A:$A,MATCH($C9,Roster!$B:$B,0))="","",INDEX(Roster!$A:$A,MATCH($C9,Roster!$B:$B,0))&amp;""),"—"))</f>
        <v/>
      </c>
      <c r="E9" s="25">
        <f>IF($C9="","",IFERROR(IF(INDEX(Roster!$C:$C,MATCH($C9,Roster!$B:$B,0))="","",INDEX(Roster!$C:$C,MATCH($C9,Roster!$B:$B,0))&amp;""),"—"))</f>
        <v/>
      </c>
      <c r="F9" s="25">
        <f>IF($C9="","",IFERROR(IF(INDEX(Roster!$D:$D,MATCH($C9,Roster!$B:$B,0))="","",INDEX(Roster!$D:$D,MATCH($C9,Roster!$B:$B,0))&amp;""),"—"))</f>
        <v/>
      </c>
      <c r="G9" s="25">
        <f>IF($C9="","",IFERROR(IF(INDEX(Roster!$E:$E,MATCH($C9,Roster!$B:$B,0))="","",INDEX(Roster!$E:$E,MATCH($C9,Roster!$B:$B,0))&amp;""),"—"))</f>
        <v/>
      </c>
      <c r="H9" s="25">
        <f>IF($C9="","",IFERROR(IF(INDEX(Roster!$F:$F,MATCH($C9,Roster!$B:$B,0))="","",INDEX(Roster!$F:$F,MATCH($C9,Roster!$B:$B,0))&amp;""),"—"))</f>
        <v/>
      </c>
      <c r="I9" s="25">
        <f>IF($C9="","",IFERROR(IF(INDEX(Roster!$G:$G,MATCH($C9,Roster!$B:$B,0))="","",INDEX(Roster!$G:$G,MATCH($C9,Roster!$B:$B,0))&amp;""),"—"))</f>
        <v/>
      </c>
      <c r="J9" s="25">
        <f>IF($C9="","",IFERROR(IF(INDEX(Roster!$I:$I,MATCH($C9,Roster!$B:$B,0))="","",INDEX(Roster!$I:$I,MATCH($C9,Roster!$B:$B,0))&amp;""),"—"))</f>
        <v/>
      </c>
      <c r="K9">
        <f>IF($C9="","",IFERROR(IF(INDEX(Roster!$J:$J,MATCH($C9,Roster!$B:$B,0))="","",INDEX(Roster!$J:$J,MATCH($C9,Roster!$B:$B,0))&amp;""),"—"))</f>
        <v/>
      </c>
      <c r="L9">
        <f>IF($C9="","",IFERROR(IF(INDEX(Roster!$K:$K,MATCH($C9,Roster!$B:$B,0))="","",INDEX(Roster!$K:$K,MATCH($C9,Roster!$B:$B,0))&amp;""),"—"))</f>
        <v/>
      </c>
      <c r="M9" s="27" t="n"/>
      <c r="N9" s="27" t="n"/>
      <c r="O9" s="25">
        <f>IF($C9="","",IF($P9="","—",IF($P9="Valid (Pass)","Valid","Invalid")))</f>
        <v/>
      </c>
      <c r="P9" s="27" t="n"/>
      <c r="Q9" s="27" t="n"/>
      <c r="R9" s="27" t="n"/>
      <c r="S9" s="27" t="n"/>
      <c r="T9" s="25">
        <f>IF($C9="","",IF(OR(ISNUMBER(SEARCH("quick case",$P9)),ISNUMBER(SEARCH("quick case",$Q9))),"Yes","No"))</f>
        <v/>
      </c>
      <c r="U9" s="25">
        <f>IF($O9="Invalid",HYPERLINK("mailto:"&amp;$G9&amp;";"&amp;$I9&amp;"?cc="&amp;Lists!$E$2&amp;"&amp;subject="&amp;_xlfn.ENCODEURL("[INVALID] Quality audit monitoring completed for "&amp;UPPER($C9))&amp;"&amp;body="&amp;_xlfn.ENCODEURL("Hi "&amp;$F9&amp;","&amp;CHAR(10)&amp;"Good day!"&amp;CHAR(10)&amp;CHAR(10)&amp;"A quality monitoring audit has been completed for "&amp;$C9&amp;"."&amp;CHAR(10)&amp;CHAR(10)&amp;"QUALITY AUDIT DETAILS"&amp;CHAR(10)&amp;"Agent Name: "&amp;$C9&amp;" (EID "&amp;$D9&amp;")"&amp;CHAR(10)&amp;"Audit Date: "&amp;TEXT($B9,"yyyy-mm-dd")&amp;CHAR(10)&amp;"Team Leader: "&amp;$F9&amp;CHAR(10)&amp;"Case Number: "&amp;$M9&amp;CHAR(10)&amp;"Transaction ID: "&amp;$N9&amp;CHAR(10)&amp;"Channel / LOB: "&amp;$K9&amp;" / "&amp;$L9&amp;CHAR(10)&amp;"Evaluator: "&amp;$S9&amp;CHAR(10)&amp;CHAR(10)&amp;"INVALID QUALITY AUDIT DETAILS"&amp;CHAR(10)&amp;"Validation: Invalid"&amp;CHAR(10)&amp;"Invalid Reason: "&amp;$P9&amp;CHAR(10)&amp;"Expected Resolution Code: "&amp;$Q9&amp;CHAR(10)&amp;"Remarks: "&amp;LEFT($R9,600)&amp;CHAR(10)&amp;CHAR(10)&amp;"This is an automated notification from HP Mainstream EQMS."),"✉ Open Email Draft"),"")</f>
        <v/>
      </c>
    </row>
    <row r="10">
      <c r="A10" s="25">
        <f>IF($C10="","","AUD-2026-"&amp;TEXT(ROW()-1,"000000"))</f>
        <v/>
      </c>
      <c r="B10" s="26" t="n"/>
      <c r="C10" s="27" t="n"/>
      <c r="D10" s="25">
        <f>IF($C10="","",IFERROR(IF(INDEX(Roster!$A:$A,MATCH($C10,Roster!$B:$B,0))="","",INDEX(Roster!$A:$A,MATCH($C10,Roster!$B:$B,0))&amp;""),"—"))</f>
        <v/>
      </c>
      <c r="E10" s="25">
        <f>IF($C10="","",IFERROR(IF(INDEX(Roster!$C:$C,MATCH($C10,Roster!$B:$B,0))="","",INDEX(Roster!$C:$C,MATCH($C10,Roster!$B:$B,0))&amp;""),"—"))</f>
        <v/>
      </c>
      <c r="F10" s="25">
        <f>IF($C10="","",IFERROR(IF(INDEX(Roster!$D:$D,MATCH($C10,Roster!$B:$B,0))="","",INDEX(Roster!$D:$D,MATCH($C10,Roster!$B:$B,0))&amp;""),"—"))</f>
        <v/>
      </c>
      <c r="G10" s="25">
        <f>IF($C10="","",IFERROR(IF(INDEX(Roster!$E:$E,MATCH($C10,Roster!$B:$B,0))="","",INDEX(Roster!$E:$E,MATCH($C10,Roster!$B:$B,0))&amp;""),"—"))</f>
        <v/>
      </c>
      <c r="H10" s="25">
        <f>IF($C10="","",IFERROR(IF(INDEX(Roster!$F:$F,MATCH($C10,Roster!$B:$B,0))="","",INDEX(Roster!$F:$F,MATCH($C10,Roster!$B:$B,0))&amp;""),"—"))</f>
        <v/>
      </c>
      <c r="I10" s="25">
        <f>IF($C10="","",IFERROR(IF(INDEX(Roster!$G:$G,MATCH($C10,Roster!$B:$B,0))="","",INDEX(Roster!$G:$G,MATCH($C10,Roster!$B:$B,0))&amp;""),"—"))</f>
        <v/>
      </c>
      <c r="J10" s="25">
        <f>IF($C10="","",IFERROR(IF(INDEX(Roster!$I:$I,MATCH($C10,Roster!$B:$B,0))="","",INDEX(Roster!$I:$I,MATCH($C10,Roster!$B:$B,0))&amp;""),"—"))</f>
        <v/>
      </c>
      <c r="K10">
        <f>IF($C10="","",IFERROR(IF(INDEX(Roster!$J:$J,MATCH($C10,Roster!$B:$B,0))="","",INDEX(Roster!$J:$J,MATCH($C10,Roster!$B:$B,0))&amp;""),"—"))</f>
        <v/>
      </c>
      <c r="L10">
        <f>IF($C10="","",IFERROR(IF(INDEX(Roster!$K:$K,MATCH($C10,Roster!$B:$B,0))="","",INDEX(Roster!$K:$K,MATCH($C10,Roster!$B:$B,0))&amp;""),"—"))</f>
        <v/>
      </c>
      <c r="M10" s="27" t="n"/>
      <c r="N10" s="27" t="n"/>
      <c r="O10" s="25">
        <f>IF($C10="","",IF($P10="","—",IF($P10="Valid (Pass)","Valid","Invalid")))</f>
        <v/>
      </c>
      <c r="P10" s="27" t="n"/>
      <c r="Q10" s="27" t="n"/>
      <c r="R10" s="27" t="n"/>
      <c r="S10" s="27" t="n"/>
      <c r="T10" s="25">
        <f>IF($C10="","",IF(OR(ISNUMBER(SEARCH("quick case",$P10)),ISNUMBER(SEARCH("quick case",$Q10))),"Yes","No"))</f>
        <v/>
      </c>
      <c r="U10" s="25">
        <f>IF($O10="Invalid",HYPERLINK("mailto:"&amp;$G10&amp;";"&amp;$I10&amp;"?cc="&amp;Lists!$E$2&amp;"&amp;subject="&amp;_xlfn.ENCODEURL("[INVALID] Quality audit monitoring completed for "&amp;UPPER($C10))&amp;"&amp;body="&amp;_xlfn.ENCODEURL("Hi "&amp;$F10&amp;","&amp;CHAR(10)&amp;"Good day!"&amp;CHAR(10)&amp;CHAR(10)&amp;"A quality monitoring audit has been completed for "&amp;$C10&amp;"."&amp;CHAR(10)&amp;CHAR(10)&amp;"QUALITY AUDIT DETAILS"&amp;CHAR(10)&amp;"Agent Name: "&amp;$C10&amp;" (EID "&amp;$D10&amp;")"&amp;CHAR(10)&amp;"Audit Date: "&amp;TEXT($B10,"yyyy-mm-dd")&amp;CHAR(10)&amp;"Team Leader: "&amp;$F10&amp;CHAR(10)&amp;"Case Number: "&amp;$M10&amp;CHAR(10)&amp;"Transaction ID: "&amp;$N10&amp;CHAR(10)&amp;"Channel / LOB: "&amp;$K10&amp;" / "&amp;$L10&amp;CHAR(10)&amp;"Evaluator: "&amp;$S10&amp;CHAR(10)&amp;CHAR(10)&amp;"INVALID QUALITY AUDIT DETAILS"&amp;CHAR(10)&amp;"Validation: Invalid"&amp;CHAR(10)&amp;"Invalid Reason: "&amp;$P10&amp;CHAR(10)&amp;"Expected Resolution Code: "&amp;$Q10&amp;CHAR(10)&amp;"Remarks: "&amp;LEFT($R10,600)&amp;CHAR(10)&amp;CHAR(10)&amp;"This is an automated notification from HP Mainstream EQMS."),"✉ Open Email Draft"),"")</f>
        <v/>
      </c>
    </row>
    <row r="11">
      <c r="A11" s="25">
        <f>IF($C11="","","AUD-2026-"&amp;TEXT(ROW()-1,"000000"))</f>
        <v/>
      </c>
      <c r="B11" s="26" t="n"/>
      <c r="C11" s="27" t="n"/>
      <c r="D11" s="25">
        <f>IF($C11="","",IFERROR(IF(INDEX(Roster!$A:$A,MATCH($C11,Roster!$B:$B,0))="","",INDEX(Roster!$A:$A,MATCH($C11,Roster!$B:$B,0))&amp;""),"—"))</f>
        <v/>
      </c>
      <c r="E11" s="25">
        <f>IF($C11="","",IFERROR(IF(INDEX(Roster!$C:$C,MATCH($C11,Roster!$B:$B,0))="","",INDEX(Roster!$C:$C,MATCH($C11,Roster!$B:$B,0))&amp;""),"—"))</f>
        <v/>
      </c>
      <c r="F11" s="25">
        <f>IF($C11="","",IFERROR(IF(INDEX(Roster!$D:$D,MATCH($C11,Roster!$B:$B,0))="","",INDEX(Roster!$D:$D,MATCH($C11,Roster!$B:$B,0))&amp;""),"—"))</f>
        <v/>
      </c>
      <c r="G11" s="25">
        <f>IF($C11="","",IFERROR(IF(INDEX(Roster!$E:$E,MATCH($C11,Roster!$B:$B,0))="","",INDEX(Roster!$E:$E,MATCH($C11,Roster!$B:$B,0))&amp;""),"—"))</f>
        <v/>
      </c>
      <c r="H11" s="25">
        <f>IF($C11="","",IFERROR(IF(INDEX(Roster!$F:$F,MATCH($C11,Roster!$B:$B,0))="","",INDEX(Roster!$F:$F,MATCH($C11,Roster!$B:$B,0))&amp;""),"—"))</f>
        <v/>
      </c>
      <c r="I11" s="25">
        <f>IF($C11="","",IFERROR(IF(INDEX(Roster!$G:$G,MATCH($C11,Roster!$B:$B,0))="","",INDEX(Roster!$G:$G,MATCH($C11,Roster!$B:$B,0))&amp;""),"—"))</f>
        <v/>
      </c>
      <c r="J11" s="25">
        <f>IF($C11="","",IFERROR(IF(INDEX(Roster!$I:$I,MATCH($C11,Roster!$B:$B,0))="","",INDEX(Roster!$I:$I,MATCH($C11,Roster!$B:$B,0))&amp;""),"—"))</f>
        <v/>
      </c>
      <c r="K11">
        <f>IF($C11="","",IFERROR(IF(INDEX(Roster!$J:$J,MATCH($C11,Roster!$B:$B,0))="","",INDEX(Roster!$J:$J,MATCH($C11,Roster!$B:$B,0))&amp;""),"—"))</f>
        <v/>
      </c>
      <c r="L11">
        <f>IF($C11="","",IFERROR(IF(INDEX(Roster!$K:$K,MATCH($C11,Roster!$B:$B,0))="","",INDEX(Roster!$K:$K,MATCH($C11,Roster!$B:$B,0))&amp;""),"—"))</f>
        <v/>
      </c>
      <c r="M11" s="27" t="n"/>
      <c r="N11" s="27" t="n"/>
      <c r="O11" s="25">
        <f>IF($C11="","",IF($P11="","—",IF($P11="Valid (Pass)","Valid","Invalid")))</f>
        <v/>
      </c>
      <c r="P11" s="27" t="n"/>
      <c r="Q11" s="27" t="n"/>
      <c r="R11" s="27" t="n"/>
      <c r="S11" s="27" t="n"/>
      <c r="T11" s="25">
        <f>IF($C11="","",IF(OR(ISNUMBER(SEARCH("quick case",$P11)),ISNUMBER(SEARCH("quick case",$Q11))),"Yes","No"))</f>
        <v/>
      </c>
      <c r="U11" s="25">
        <f>IF($O11="Invalid",HYPERLINK("mailto:"&amp;$G11&amp;";"&amp;$I11&amp;"?cc="&amp;Lists!$E$2&amp;"&amp;subject="&amp;_xlfn.ENCODEURL("[INVALID] Quality audit monitoring completed for "&amp;UPPER($C11))&amp;"&amp;body="&amp;_xlfn.ENCODEURL("Hi "&amp;$F11&amp;","&amp;CHAR(10)&amp;"Good day!"&amp;CHAR(10)&amp;CHAR(10)&amp;"A quality monitoring audit has been completed for "&amp;$C11&amp;"."&amp;CHAR(10)&amp;CHAR(10)&amp;"QUALITY AUDIT DETAILS"&amp;CHAR(10)&amp;"Agent Name: "&amp;$C11&amp;" (EID "&amp;$D11&amp;")"&amp;CHAR(10)&amp;"Audit Date: "&amp;TEXT($B11,"yyyy-mm-dd")&amp;CHAR(10)&amp;"Team Leader: "&amp;$F11&amp;CHAR(10)&amp;"Case Number: "&amp;$M11&amp;CHAR(10)&amp;"Transaction ID: "&amp;$N11&amp;CHAR(10)&amp;"Channel / LOB: "&amp;$K11&amp;" / "&amp;$L11&amp;CHAR(10)&amp;"Evaluator: "&amp;$S11&amp;CHAR(10)&amp;CHAR(10)&amp;"INVALID QUALITY AUDIT DETAILS"&amp;CHAR(10)&amp;"Validation: Invalid"&amp;CHAR(10)&amp;"Invalid Reason: "&amp;$P11&amp;CHAR(10)&amp;"Expected Resolution Code: "&amp;$Q11&amp;CHAR(10)&amp;"Remarks: "&amp;LEFT($R11,600)&amp;CHAR(10)&amp;CHAR(10)&amp;"This is an automated notification from HP Mainstream EQMS."),"✉ Open Email Draft"),"")</f>
        <v/>
      </c>
    </row>
    <row r="12">
      <c r="A12" s="25">
        <f>IF($C12="","","AUD-2026-"&amp;TEXT(ROW()-1,"000000"))</f>
        <v/>
      </c>
      <c r="B12" s="26" t="n"/>
      <c r="C12" s="27" t="n"/>
      <c r="D12" s="25">
        <f>IF($C12="","",IFERROR(IF(INDEX(Roster!$A:$A,MATCH($C12,Roster!$B:$B,0))="","",INDEX(Roster!$A:$A,MATCH($C12,Roster!$B:$B,0))&amp;""),"—"))</f>
        <v/>
      </c>
      <c r="E12" s="25">
        <f>IF($C12="","",IFERROR(IF(INDEX(Roster!$C:$C,MATCH($C12,Roster!$B:$B,0))="","",INDEX(Roster!$C:$C,MATCH($C12,Roster!$B:$B,0))&amp;""),"—"))</f>
        <v/>
      </c>
      <c r="F12" s="25">
        <f>IF($C12="","",IFERROR(IF(INDEX(Roster!$D:$D,MATCH($C12,Roster!$B:$B,0))="","",INDEX(Roster!$D:$D,MATCH($C12,Roster!$B:$B,0))&amp;""),"—"))</f>
        <v/>
      </c>
      <c r="G12" s="25">
        <f>IF($C12="","",IFERROR(IF(INDEX(Roster!$E:$E,MATCH($C12,Roster!$B:$B,0))="","",INDEX(Roster!$E:$E,MATCH($C12,Roster!$B:$B,0))&amp;""),"—"))</f>
        <v/>
      </c>
      <c r="H12" s="25">
        <f>IF($C12="","",IFERROR(IF(INDEX(Roster!$F:$F,MATCH($C12,Roster!$B:$B,0))="","",INDEX(Roster!$F:$F,MATCH($C12,Roster!$B:$B,0))&amp;""),"—"))</f>
        <v/>
      </c>
      <c r="I12" s="25">
        <f>IF($C12="","",IFERROR(IF(INDEX(Roster!$G:$G,MATCH($C12,Roster!$B:$B,0))="","",INDEX(Roster!$G:$G,MATCH($C12,Roster!$B:$B,0))&amp;""),"—"))</f>
        <v/>
      </c>
      <c r="J12" s="25">
        <f>IF($C12="","",IFERROR(IF(INDEX(Roster!$I:$I,MATCH($C12,Roster!$B:$B,0))="","",INDEX(Roster!$I:$I,MATCH($C12,Roster!$B:$B,0))&amp;""),"—"))</f>
        <v/>
      </c>
      <c r="K12">
        <f>IF($C12="","",IFERROR(IF(INDEX(Roster!$J:$J,MATCH($C12,Roster!$B:$B,0))="","",INDEX(Roster!$J:$J,MATCH($C12,Roster!$B:$B,0))&amp;""),"—"))</f>
        <v/>
      </c>
      <c r="L12">
        <f>IF($C12="","",IFERROR(IF(INDEX(Roster!$K:$K,MATCH($C12,Roster!$B:$B,0))="","",INDEX(Roster!$K:$K,MATCH($C12,Roster!$B:$B,0))&amp;""),"—"))</f>
        <v/>
      </c>
      <c r="M12" s="27" t="n"/>
      <c r="N12" s="27" t="n"/>
      <c r="O12" s="25">
        <f>IF($C12="","",IF($P12="","—",IF($P12="Valid (Pass)","Valid","Invalid")))</f>
        <v/>
      </c>
      <c r="P12" s="27" t="n"/>
      <c r="Q12" s="27" t="n"/>
      <c r="R12" s="27" t="n"/>
      <c r="S12" s="27" t="n"/>
      <c r="T12" s="25">
        <f>IF($C12="","",IF(OR(ISNUMBER(SEARCH("quick case",$P12)),ISNUMBER(SEARCH("quick case",$Q12))),"Yes","No"))</f>
        <v/>
      </c>
      <c r="U12" s="25">
        <f>IF($O12="Invalid",HYPERLINK("mailto:"&amp;$G12&amp;";"&amp;$I12&amp;"?cc="&amp;Lists!$E$2&amp;"&amp;subject="&amp;_xlfn.ENCODEURL("[INVALID] Quality audit monitoring completed for "&amp;UPPER($C12))&amp;"&amp;body="&amp;_xlfn.ENCODEURL("Hi "&amp;$F12&amp;","&amp;CHAR(10)&amp;"Good day!"&amp;CHAR(10)&amp;CHAR(10)&amp;"A quality monitoring audit has been completed for "&amp;$C12&amp;"."&amp;CHAR(10)&amp;CHAR(10)&amp;"QUALITY AUDIT DETAILS"&amp;CHAR(10)&amp;"Agent Name: "&amp;$C12&amp;" (EID "&amp;$D12&amp;")"&amp;CHAR(10)&amp;"Audit Date: "&amp;TEXT($B12,"yyyy-mm-dd")&amp;CHAR(10)&amp;"Team Leader: "&amp;$F12&amp;CHAR(10)&amp;"Case Number: "&amp;$M12&amp;CHAR(10)&amp;"Transaction ID: "&amp;$N12&amp;CHAR(10)&amp;"Channel / LOB: "&amp;$K12&amp;" / "&amp;$L12&amp;CHAR(10)&amp;"Evaluator: "&amp;$S12&amp;CHAR(10)&amp;CHAR(10)&amp;"INVALID QUALITY AUDIT DETAILS"&amp;CHAR(10)&amp;"Validation: Invalid"&amp;CHAR(10)&amp;"Invalid Reason: "&amp;$P12&amp;CHAR(10)&amp;"Expected Resolution Code: "&amp;$Q12&amp;CHAR(10)&amp;"Remarks: "&amp;LEFT($R12,600)&amp;CHAR(10)&amp;CHAR(10)&amp;"This is an automated notification from HP Mainstream EQMS."),"✉ Open Email Draft"),"")</f>
        <v/>
      </c>
    </row>
    <row r="13">
      <c r="A13" s="25">
        <f>IF($C13="","","AUD-2026-"&amp;TEXT(ROW()-1,"000000"))</f>
        <v/>
      </c>
      <c r="B13" s="26" t="n"/>
      <c r="C13" s="27" t="n"/>
      <c r="D13" s="25">
        <f>IF($C13="","",IFERROR(IF(INDEX(Roster!$A:$A,MATCH($C13,Roster!$B:$B,0))="","",INDEX(Roster!$A:$A,MATCH($C13,Roster!$B:$B,0))&amp;""),"—"))</f>
        <v/>
      </c>
      <c r="E13" s="25">
        <f>IF($C13="","",IFERROR(IF(INDEX(Roster!$C:$C,MATCH($C13,Roster!$B:$B,0))="","",INDEX(Roster!$C:$C,MATCH($C13,Roster!$B:$B,0))&amp;""),"—"))</f>
        <v/>
      </c>
      <c r="F13" s="25">
        <f>IF($C13="","",IFERROR(IF(INDEX(Roster!$D:$D,MATCH($C13,Roster!$B:$B,0))="","",INDEX(Roster!$D:$D,MATCH($C13,Roster!$B:$B,0))&amp;""),"—"))</f>
        <v/>
      </c>
      <c r="G13" s="25">
        <f>IF($C13="","",IFERROR(IF(INDEX(Roster!$E:$E,MATCH($C13,Roster!$B:$B,0))="","",INDEX(Roster!$E:$E,MATCH($C13,Roster!$B:$B,0))&amp;""),"—"))</f>
        <v/>
      </c>
      <c r="H13" s="25">
        <f>IF($C13="","",IFERROR(IF(INDEX(Roster!$F:$F,MATCH($C13,Roster!$B:$B,0))="","",INDEX(Roster!$F:$F,MATCH($C13,Roster!$B:$B,0))&amp;""),"—"))</f>
        <v/>
      </c>
      <c r="I13" s="25">
        <f>IF($C13="","",IFERROR(IF(INDEX(Roster!$G:$G,MATCH($C13,Roster!$B:$B,0))="","",INDEX(Roster!$G:$G,MATCH($C13,Roster!$B:$B,0))&amp;""),"—"))</f>
        <v/>
      </c>
      <c r="J13" s="25">
        <f>IF($C13="","",IFERROR(IF(INDEX(Roster!$I:$I,MATCH($C13,Roster!$B:$B,0))="","",INDEX(Roster!$I:$I,MATCH($C13,Roster!$B:$B,0))&amp;""),"—"))</f>
        <v/>
      </c>
      <c r="K13">
        <f>IF($C13="","",IFERROR(IF(INDEX(Roster!$J:$J,MATCH($C13,Roster!$B:$B,0))="","",INDEX(Roster!$J:$J,MATCH($C13,Roster!$B:$B,0))&amp;""),"—"))</f>
        <v/>
      </c>
      <c r="L13">
        <f>IF($C13="","",IFERROR(IF(INDEX(Roster!$K:$K,MATCH($C13,Roster!$B:$B,0))="","",INDEX(Roster!$K:$K,MATCH($C13,Roster!$B:$B,0))&amp;""),"—"))</f>
        <v/>
      </c>
      <c r="M13" s="27" t="n"/>
      <c r="N13" s="27" t="n"/>
      <c r="O13" s="25">
        <f>IF($C13="","",IF($P13="","—",IF($P13="Valid (Pass)","Valid","Invalid")))</f>
        <v/>
      </c>
      <c r="P13" s="27" t="n"/>
      <c r="Q13" s="27" t="n"/>
      <c r="R13" s="27" t="n"/>
      <c r="S13" s="27" t="n"/>
      <c r="T13" s="25">
        <f>IF($C13="","",IF(OR(ISNUMBER(SEARCH("quick case",$P13)),ISNUMBER(SEARCH("quick case",$Q13))),"Yes","No"))</f>
        <v/>
      </c>
      <c r="U13" s="25">
        <f>IF($O13="Invalid",HYPERLINK("mailto:"&amp;$G13&amp;";"&amp;$I13&amp;"?cc="&amp;Lists!$E$2&amp;"&amp;subject="&amp;_xlfn.ENCODEURL("[INVALID] Quality audit monitoring completed for "&amp;UPPER($C13))&amp;"&amp;body="&amp;_xlfn.ENCODEURL("Hi "&amp;$F13&amp;","&amp;CHAR(10)&amp;"Good day!"&amp;CHAR(10)&amp;CHAR(10)&amp;"A quality monitoring audit has been completed for "&amp;$C13&amp;"."&amp;CHAR(10)&amp;CHAR(10)&amp;"QUALITY AUDIT DETAILS"&amp;CHAR(10)&amp;"Agent Name: "&amp;$C13&amp;" (EID "&amp;$D13&amp;")"&amp;CHAR(10)&amp;"Audit Date: "&amp;TEXT($B13,"yyyy-mm-dd")&amp;CHAR(10)&amp;"Team Leader: "&amp;$F13&amp;CHAR(10)&amp;"Case Number: "&amp;$M13&amp;CHAR(10)&amp;"Transaction ID: "&amp;$N13&amp;CHAR(10)&amp;"Channel / LOB: "&amp;$K13&amp;" / "&amp;$L13&amp;CHAR(10)&amp;"Evaluator: "&amp;$S13&amp;CHAR(10)&amp;CHAR(10)&amp;"INVALID QUALITY AUDIT DETAILS"&amp;CHAR(10)&amp;"Validation: Invalid"&amp;CHAR(10)&amp;"Invalid Reason: "&amp;$P13&amp;CHAR(10)&amp;"Expected Resolution Code: "&amp;$Q13&amp;CHAR(10)&amp;"Remarks: "&amp;LEFT($R13,600)&amp;CHAR(10)&amp;CHAR(10)&amp;"This is an automated notification from HP Mainstream EQMS."),"✉ Open Email Draft"),"")</f>
        <v/>
      </c>
    </row>
    <row r="14">
      <c r="A14" s="25">
        <f>IF($C14="","","AUD-2026-"&amp;TEXT(ROW()-1,"000000"))</f>
        <v/>
      </c>
      <c r="B14" s="26" t="n"/>
      <c r="C14" s="27" t="n"/>
      <c r="D14" s="25">
        <f>IF($C14="","",IFERROR(IF(INDEX(Roster!$A:$A,MATCH($C14,Roster!$B:$B,0))="","",INDEX(Roster!$A:$A,MATCH($C14,Roster!$B:$B,0))&amp;""),"—"))</f>
        <v/>
      </c>
      <c r="E14" s="25">
        <f>IF($C14="","",IFERROR(IF(INDEX(Roster!$C:$C,MATCH($C14,Roster!$B:$B,0))="","",INDEX(Roster!$C:$C,MATCH($C14,Roster!$B:$B,0))&amp;""),"—"))</f>
        <v/>
      </c>
      <c r="F14" s="25">
        <f>IF($C14="","",IFERROR(IF(INDEX(Roster!$D:$D,MATCH($C14,Roster!$B:$B,0))="","",INDEX(Roster!$D:$D,MATCH($C14,Roster!$B:$B,0))&amp;""),"—"))</f>
        <v/>
      </c>
      <c r="G14" s="25">
        <f>IF($C14="","",IFERROR(IF(INDEX(Roster!$E:$E,MATCH($C14,Roster!$B:$B,0))="","",INDEX(Roster!$E:$E,MATCH($C14,Roster!$B:$B,0))&amp;""),"—"))</f>
        <v/>
      </c>
      <c r="H14" s="25">
        <f>IF($C14="","",IFERROR(IF(INDEX(Roster!$F:$F,MATCH($C14,Roster!$B:$B,0))="","",INDEX(Roster!$F:$F,MATCH($C14,Roster!$B:$B,0))&amp;""),"—"))</f>
        <v/>
      </c>
      <c r="I14" s="25">
        <f>IF($C14="","",IFERROR(IF(INDEX(Roster!$G:$G,MATCH($C14,Roster!$B:$B,0))="","",INDEX(Roster!$G:$G,MATCH($C14,Roster!$B:$B,0))&amp;""),"—"))</f>
        <v/>
      </c>
      <c r="J14" s="25">
        <f>IF($C14="","",IFERROR(IF(INDEX(Roster!$I:$I,MATCH($C14,Roster!$B:$B,0))="","",INDEX(Roster!$I:$I,MATCH($C14,Roster!$B:$B,0))&amp;""),"—"))</f>
        <v/>
      </c>
      <c r="K14">
        <f>IF($C14="","",IFERROR(IF(INDEX(Roster!$J:$J,MATCH($C14,Roster!$B:$B,0))="","",INDEX(Roster!$J:$J,MATCH($C14,Roster!$B:$B,0))&amp;""),"—"))</f>
        <v/>
      </c>
      <c r="L14">
        <f>IF($C14="","",IFERROR(IF(INDEX(Roster!$K:$K,MATCH($C14,Roster!$B:$B,0))="","",INDEX(Roster!$K:$K,MATCH($C14,Roster!$B:$B,0))&amp;""),"—"))</f>
        <v/>
      </c>
      <c r="M14" s="27" t="n"/>
      <c r="N14" s="27" t="n"/>
      <c r="O14" s="25">
        <f>IF($C14="","",IF($P14="","—",IF($P14="Valid (Pass)","Valid","Invalid")))</f>
        <v/>
      </c>
      <c r="P14" s="27" t="n"/>
      <c r="Q14" s="27" t="n"/>
      <c r="R14" s="27" t="n"/>
      <c r="S14" s="27" t="n"/>
      <c r="T14" s="25">
        <f>IF($C14="","",IF(OR(ISNUMBER(SEARCH("quick case",$P14)),ISNUMBER(SEARCH("quick case",$Q14))),"Yes","No"))</f>
        <v/>
      </c>
      <c r="U14" s="25">
        <f>IF($O14="Invalid",HYPERLINK("mailto:"&amp;$G14&amp;";"&amp;$I14&amp;"?cc="&amp;Lists!$E$2&amp;"&amp;subject="&amp;_xlfn.ENCODEURL("[INVALID] Quality audit monitoring completed for "&amp;UPPER($C14))&amp;"&amp;body="&amp;_xlfn.ENCODEURL("Hi "&amp;$F14&amp;","&amp;CHAR(10)&amp;"Good day!"&amp;CHAR(10)&amp;CHAR(10)&amp;"A quality monitoring audit has been completed for "&amp;$C14&amp;"."&amp;CHAR(10)&amp;CHAR(10)&amp;"QUALITY AUDIT DETAILS"&amp;CHAR(10)&amp;"Agent Name: "&amp;$C14&amp;" (EID "&amp;$D14&amp;")"&amp;CHAR(10)&amp;"Audit Date: "&amp;TEXT($B14,"yyyy-mm-dd")&amp;CHAR(10)&amp;"Team Leader: "&amp;$F14&amp;CHAR(10)&amp;"Case Number: "&amp;$M14&amp;CHAR(10)&amp;"Transaction ID: "&amp;$N14&amp;CHAR(10)&amp;"Channel / LOB: "&amp;$K14&amp;" / "&amp;$L14&amp;CHAR(10)&amp;"Evaluator: "&amp;$S14&amp;CHAR(10)&amp;CHAR(10)&amp;"INVALID QUALITY AUDIT DETAILS"&amp;CHAR(10)&amp;"Validation: Invalid"&amp;CHAR(10)&amp;"Invalid Reason: "&amp;$P14&amp;CHAR(10)&amp;"Expected Resolution Code: "&amp;$Q14&amp;CHAR(10)&amp;"Remarks: "&amp;LEFT($R14,600)&amp;CHAR(10)&amp;CHAR(10)&amp;"This is an automated notification from HP Mainstream EQMS."),"✉ Open Email Draft"),"")</f>
        <v/>
      </c>
    </row>
    <row r="15">
      <c r="A15" s="25">
        <f>IF($C15="","","AUD-2026-"&amp;TEXT(ROW()-1,"000000"))</f>
        <v/>
      </c>
      <c r="B15" s="26" t="n"/>
      <c r="C15" s="27" t="n"/>
      <c r="D15" s="25">
        <f>IF($C15="","",IFERROR(IF(INDEX(Roster!$A:$A,MATCH($C15,Roster!$B:$B,0))="","",INDEX(Roster!$A:$A,MATCH($C15,Roster!$B:$B,0))&amp;""),"—"))</f>
        <v/>
      </c>
      <c r="E15" s="25">
        <f>IF($C15="","",IFERROR(IF(INDEX(Roster!$C:$C,MATCH($C15,Roster!$B:$B,0))="","",INDEX(Roster!$C:$C,MATCH($C15,Roster!$B:$B,0))&amp;""),"—"))</f>
        <v/>
      </c>
      <c r="F15" s="25">
        <f>IF($C15="","",IFERROR(IF(INDEX(Roster!$D:$D,MATCH($C15,Roster!$B:$B,0))="","",INDEX(Roster!$D:$D,MATCH($C15,Roster!$B:$B,0))&amp;""),"—"))</f>
        <v/>
      </c>
      <c r="G15" s="25">
        <f>IF($C15="","",IFERROR(IF(INDEX(Roster!$E:$E,MATCH($C15,Roster!$B:$B,0))="","",INDEX(Roster!$E:$E,MATCH($C15,Roster!$B:$B,0))&amp;""),"—"))</f>
        <v/>
      </c>
      <c r="H15" s="25">
        <f>IF($C15="","",IFERROR(IF(INDEX(Roster!$F:$F,MATCH($C15,Roster!$B:$B,0))="","",INDEX(Roster!$F:$F,MATCH($C15,Roster!$B:$B,0))&amp;""),"—"))</f>
        <v/>
      </c>
      <c r="I15" s="25">
        <f>IF($C15="","",IFERROR(IF(INDEX(Roster!$G:$G,MATCH($C15,Roster!$B:$B,0))="","",INDEX(Roster!$G:$G,MATCH($C15,Roster!$B:$B,0))&amp;""),"—"))</f>
        <v/>
      </c>
      <c r="J15" s="25">
        <f>IF($C15="","",IFERROR(IF(INDEX(Roster!$I:$I,MATCH($C15,Roster!$B:$B,0))="","",INDEX(Roster!$I:$I,MATCH($C15,Roster!$B:$B,0))&amp;""),"—"))</f>
        <v/>
      </c>
      <c r="K15">
        <f>IF($C15="","",IFERROR(IF(INDEX(Roster!$J:$J,MATCH($C15,Roster!$B:$B,0))="","",INDEX(Roster!$J:$J,MATCH($C15,Roster!$B:$B,0))&amp;""),"—"))</f>
        <v/>
      </c>
      <c r="L15">
        <f>IF($C15="","",IFERROR(IF(INDEX(Roster!$K:$K,MATCH($C15,Roster!$B:$B,0))="","",INDEX(Roster!$K:$K,MATCH($C15,Roster!$B:$B,0))&amp;""),"—"))</f>
        <v/>
      </c>
      <c r="M15" s="27" t="n"/>
      <c r="N15" s="27" t="n"/>
      <c r="O15" s="25">
        <f>IF($C15="","",IF($P15="","—",IF($P15="Valid (Pass)","Valid","Invalid")))</f>
        <v/>
      </c>
      <c r="P15" s="27" t="n"/>
      <c r="Q15" s="27" t="n"/>
      <c r="R15" s="27" t="n"/>
      <c r="S15" s="27" t="n"/>
      <c r="T15" s="25">
        <f>IF($C15="","",IF(OR(ISNUMBER(SEARCH("quick case",$P15)),ISNUMBER(SEARCH("quick case",$Q15))),"Yes","No"))</f>
        <v/>
      </c>
      <c r="U15" s="25">
        <f>IF($O15="Invalid",HYPERLINK("mailto:"&amp;$G15&amp;";"&amp;$I15&amp;"?cc="&amp;Lists!$E$2&amp;"&amp;subject="&amp;_xlfn.ENCODEURL("[INVALID] Quality audit monitoring completed for "&amp;UPPER($C15))&amp;"&amp;body="&amp;_xlfn.ENCODEURL("Hi "&amp;$F15&amp;","&amp;CHAR(10)&amp;"Good day!"&amp;CHAR(10)&amp;CHAR(10)&amp;"A quality monitoring audit has been completed for "&amp;$C15&amp;"."&amp;CHAR(10)&amp;CHAR(10)&amp;"QUALITY AUDIT DETAILS"&amp;CHAR(10)&amp;"Agent Name: "&amp;$C15&amp;" (EID "&amp;$D15&amp;")"&amp;CHAR(10)&amp;"Audit Date: "&amp;TEXT($B15,"yyyy-mm-dd")&amp;CHAR(10)&amp;"Team Leader: "&amp;$F15&amp;CHAR(10)&amp;"Case Number: "&amp;$M15&amp;CHAR(10)&amp;"Transaction ID: "&amp;$N15&amp;CHAR(10)&amp;"Channel / LOB: "&amp;$K15&amp;" / "&amp;$L15&amp;CHAR(10)&amp;"Evaluator: "&amp;$S15&amp;CHAR(10)&amp;CHAR(10)&amp;"INVALID QUALITY AUDIT DETAILS"&amp;CHAR(10)&amp;"Validation: Invalid"&amp;CHAR(10)&amp;"Invalid Reason: "&amp;$P15&amp;CHAR(10)&amp;"Expected Resolution Code: "&amp;$Q15&amp;CHAR(10)&amp;"Remarks: "&amp;LEFT($R15,600)&amp;CHAR(10)&amp;CHAR(10)&amp;"This is an automated notification from HP Mainstream EQMS."),"✉ Open Email Draft"),"")</f>
        <v/>
      </c>
    </row>
    <row r="16">
      <c r="A16" s="25">
        <f>IF($C16="","","AUD-2026-"&amp;TEXT(ROW()-1,"000000"))</f>
        <v/>
      </c>
      <c r="B16" s="26" t="n"/>
      <c r="C16" s="27" t="n"/>
      <c r="D16" s="25">
        <f>IF($C16="","",IFERROR(IF(INDEX(Roster!$A:$A,MATCH($C16,Roster!$B:$B,0))="","",INDEX(Roster!$A:$A,MATCH($C16,Roster!$B:$B,0))&amp;""),"—"))</f>
        <v/>
      </c>
      <c r="E16" s="25">
        <f>IF($C16="","",IFERROR(IF(INDEX(Roster!$C:$C,MATCH($C16,Roster!$B:$B,0))="","",INDEX(Roster!$C:$C,MATCH($C16,Roster!$B:$B,0))&amp;""),"—"))</f>
        <v/>
      </c>
      <c r="F16" s="25">
        <f>IF($C16="","",IFERROR(IF(INDEX(Roster!$D:$D,MATCH($C16,Roster!$B:$B,0))="","",INDEX(Roster!$D:$D,MATCH($C16,Roster!$B:$B,0))&amp;""),"—"))</f>
        <v/>
      </c>
      <c r="G16" s="25">
        <f>IF($C16="","",IFERROR(IF(INDEX(Roster!$E:$E,MATCH($C16,Roster!$B:$B,0))="","",INDEX(Roster!$E:$E,MATCH($C16,Roster!$B:$B,0))&amp;""),"—"))</f>
        <v/>
      </c>
      <c r="H16" s="25">
        <f>IF($C16="","",IFERROR(IF(INDEX(Roster!$F:$F,MATCH($C16,Roster!$B:$B,0))="","",INDEX(Roster!$F:$F,MATCH($C16,Roster!$B:$B,0))&amp;""),"—"))</f>
        <v/>
      </c>
      <c r="I16" s="25">
        <f>IF($C16="","",IFERROR(IF(INDEX(Roster!$G:$G,MATCH($C16,Roster!$B:$B,0))="","",INDEX(Roster!$G:$G,MATCH($C16,Roster!$B:$B,0))&amp;""),"—"))</f>
        <v/>
      </c>
      <c r="J16" s="25">
        <f>IF($C16="","",IFERROR(IF(INDEX(Roster!$I:$I,MATCH($C16,Roster!$B:$B,0))="","",INDEX(Roster!$I:$I,MATCH($C16,Roster!$B:$B,0))&amp;""),"—"))</f>
        <v/>
      </c>
      <c r="K16">
        <f>IF($C16="","",IFERROR(IF(INDEX(Roster!$J:$J,MATCH($C16,Roster!$B:$B,0))="","",INDEX(Roster!$J:$J,MATCH($C16,Roster!$B:$B,0))&amp;""),"—"))</f>
        <v/>
      </c>
      <c r="L16">
        <f>IF($C16="","",IFERROR(IF(INDEX(Roster!$K:$K,MATCH($C16,Roster!$B:$B,0))="","",INDEX(Roster!$K:$K,MATCH($C16,Roster!$B:$B,0))&amp;""),"—"))</f>
        <v/>
      </c>
      <c r="M16" s="27" t="n"/>
      <c r="N16" s="27" t="n"/>
      <c r="O16" s="25">
        <f>IF($C16="","",IF($P16="","—",IF($P16="Valid (Pass)","Valid","Invalid")))</f>
        <v/>
      </c>
      <c r="P16" s="27" t="n"/>
      <c r="Q16" s="27" t="n"/>
      <c r="R16" s="27" t="n"/>
      <c r="S16" s="27" t="n"/>
      <c r="T16" s="25">
        <f>IF($C16="","",IF(OR(ISNUMBER(SEARCH("quick case",$P16)),ISNUMBER(SEARCH("quick case",$Q16))),"Yes","No"))</f>
        <v/>
      </c>
      <c r="U16" s="25">
        <f>IF($O16="Invalid",HYPERLINK("mailto:"&amp;$G16&amp;";"&amp;$I16&amp;"?cc="&amp;Lists!$E$2&amp;"&amp;subject="&amp;_xlfn.ENCODEURL("[INVALID] Quality audit monitoring completed for "&amp;UPPER($C16))&amp;"&amp;body="&amp;_xlfn.ENCODEURL("Hi "&amp;$F16&amp;","&amp;CHAR(10)&amp;"Good day!"&amp;CHAR(10)&amp;CHAR(10)&amp;"A quality monitoring audit has been completed for "&amp;$C16&amp;"."&amp;CHAR(10)&amp;CHAR(10)&amp;"QUALITY AUDIT DETAILS"&amp;CHAR(10)&amp;"Agent Name: "&amp;$C16&amp;" (EID "&amp;$D16&amp;")"&amp;CHAR(10)&amp;"Audit Date: "&amp;TEXT($B16,"yyyy-mm-dd")&amp;CHAR(10)&amp;"Team Leader: "&amp;$F16&amp;CHAR(10)&amp;"Case Number: "&amp;$M16&amp;CHAR(10)&amp;"Transaction ID: "&amp;$N16&amp;CHAR(10)&amp;"Channel / LOB: "&amp;$K16&amp;" / "&amp;$L16&amp;CHAR(10)&amp;"Evaluator: "&amp;$S16&amp;CHAR(10)&amp;CHAR(10)&amp;"INVALID QUALITY AUDIT DETAILS"&amp;CHAR(10)&amp;"Validation: Invalid"&amp;CHAR(10)&amp;"Invalid Reason: "&amp;$P16&amp;CHAR(10)&amp;"Expected Resolution Code: "&amp;$Q16&amp;CHAR(10)&amp;"Remarks: "&amp;LEFT($R16,600)&amp;CHAR(10)&amp;CHAR(10)&amp;"This is an automated notification from HP Mainstream EQMS."),"✉ Open Email Draft"),"")</f>
        <v/>
      </c>
    </row>
    <row r="17">
      <c r="A17" s="25">
        <f>IF($C17="","","AUD-2026-"&amp;TEXT(ROW()-1,"000000"))</f>
        <v/>
      </c>
      <c r="B17" s="26" t="n"/>
      <c r="C17" s="27" t="n"/>
      <c r="D17" s="25">
        <f>IF($C17="","",IFERROR(IF(INDEX(Roster!$A:$A,MATCH($C17,Roster!$B:$B,0))="","",INDEX(Roster!$A:$A,MATCH($C17,Roster!$B:$B,0))&amp;""),"—"))</f>
        <v/>
      </c>
      <c r="E17" s="25">
        <f>IF($C17="","",IFERROR(IF(INDEX(Roster!$C:$C,MATCH($C17,Roster!$B:$B,0))="","",INDEX(Roster!$C:$C,MATCH($C17,Roster!$B:$B,0))&amp;""),"—"))</f>
        <v/>
      </c>
      <c r="F17" s="25">
        <f>IF($C17="","",IFERROR(IF(INDEX(Roster!$D:$D,MATCH($C17,Roster!$B:$B,0))="","",INDEX(Roster!$D:$D,MATCH($C17,Roster!$B:$B,0))&amp;""),"—"))</f>
        <v/>
      </c>
      <c r="G17" s="25">
        <f>IF($C17="","",IFERROR(IF(INDEX(Roster!$E:$E,MATCH($C17,Roster!$B:$B,0))="","",INDEX(Roster!$E:$E,MATCH($C17,Roster!$B:$B,0))&amp;""),"—"))</f>
        <v/>
      </c>
      <c r="H17" s="25">
        <f>IF($C17="","",IFERROR(IF(INDEX(Roster!$F:$F,MATCH($C17,Roster!$B:$B,0))="","",INDEX(Roster!$F:$F,MATCH($C17,Roster!$B:$B,0))&amp;""),"—"))</f>
        <v/>
      </c>
      <c r="I17" s="25">
        <f>IF($C17="","",IFERROR(IF(INDEX(Roster!$G:$G,MATCH($C17,Roster!$B:$B,0))="","",INDEX(Roster!$G:$G,MATCH($C17,Roster!$B:$B,0))&amp;""),"—"))</f>
        <v/>
      </c>
      <c r="J17" s="25">
        <f>IF($C17="","",IFERROR(IF(INDEX(Roster!$I:$I,MATCH($C17,Roster!$B:$B,0))="","",INDEX(Roster!$I:$I,MATCH($C17,Roster!$B:$B,0))&amp;""),"—"))</f>
        <v/>
      </c>
      <c r="K17">
        <f>IF($C17="","",IFERROR(IF(INDEX(Roster!$J:$J,MATCH($C17,Roster!$B:$B,0))="","",INDEX(Roster!$J:$J,MATCH($C17,Roster!$B:$B,0))&amp;""),"—"))</f>
        <v/>
      </c>
      <c r="L17">
        <f>IF($C17="","",IFERROR(IF(INDEX(Roster!$K:$K,MATCH($C17,Roster!$B:$B,0))="","",INDEX(Roster!$K:$K,MATCH($C17,Roster!$B:$B,0))&amp;""),"—"))</f>
        <v/>
      </c>
      <c r="M17" s="27" t="n"/>
      <c r="N17" s="27" t="n"/>
      <c r="O17" s="25">
        <f>IF($C17="","",IF($P17="","—",IF($P17="Valid (Pass)","Valid","Invalid")))</f>
        <v/>
      </c>
      <c r="P17" s="27" t="n"/>
      <c r="Q17" s="27" t="n"/>
      <c r="R17" s="27" t="n"/>
      <c r="S17" s="27" t="n"/>
      <c r="T17" s="25">
        <f>IF($C17="","",IF(OR(ISNUMBER(SEARCH("quick case",$P17)),ISNUMBER(SEARCH("quick case",$Q17))),"Yes","No"))</f>
        <v/>
      </c>
      <c r="U17" s="25">
        <f>IF($O17="Invalid",HYPERLINK("mailto:"&amp;$G17&amp;";"&amp;$I17&amp;"?cc="&amp;Lists!$E$2&amp;"&amp;subject="&amp;_xlfn.ENCODEURL("[INVALID] Quality audit monitoring completed for "&amp;UPPER($C17))&amp;"&amp;body="&amp;_xlfn.ENCODEURL("Hi "&amp;$F17&amp;","&amp;CHAR(10)&amp;"Good day!"&amp;CHAR(10)&amp;CHAR(10)&amp;"A quality monitoring audit has been completed for "&amp;$C17&amp;"."&amp;CHAR(10)&amp;CHAR(10)&amp;"QUALITY AUDIT DETAILS"&amp;CHAR(10)&amp;"Agent Name: "&amp;$C17&amp;" (EID "&amp;$D17&amp;")"&amp;CHAR(10)&amp;"Audit Date: "&amp;TEXT($B17,"yyyy-mm-dd")&amp;CHAR(10)&amp;"Team Leader: "&amp;$F17&amp;CHAR(10)&amp;"Case Number: "&amp;$M17&amp;CHAR(10)&amp;"Transaction ID: "&amp;$N17&amp;CHAR(10)&amp;"Channel / LOB: "&amp;$K17&amp;" / "&amp;$L17&amp;CHAR(10)&amp;"Evaluator: "&amp;$S17&amp;CHAR(10)&amp;CHAR(10)&amp;"INVALID QUALITY AUDIT DETAILS"&amp;CHAR(10)&amp;"Validation: Invalid"&amp;CHAR(10)&amp;"Invalid Reason: "&amp;$P17&amp;CHAR(10)&amp;"Expected Resolution Code: "&amp;$Q17&amp;CHAR(10)&amp;"Remarks: "&amp;LEFT($R17,600)&amp;CHAR(10)&amp;CHAR(10)&amp;"This is an automated notification from HP Mainstream EQMS."),"✉ Open Email Draft"),"")</f>
        <v/>
      </c>
    </row>
    <row r="18">
      <c r="A18" s="25">
        <f>IF($C18="","","AUD-2026-"&amp;TEXT(ROW()-1,"000000"))</f>
        <v/>
      </c>
      <c r="B18" s="26" t="n"/>
      <c r="C18" s="27" t="n"/>
      <c r="D18" s="25">
        <f>IF($C18="","",IFERROR(IF(INDEX(Roster!$A:$A,MATCH($C18,Roster!$B:$B,0))="","",INDEX(Roster!$A:$A,MATCH($C18,Roster!$B:$B,0))&amp;""),"—"))</f>
        <v/>
      </c>
      <c r="E18" s="25">
        <f>IF($C18="","",IFERROR(IF(INDEX(Roster!$C:$C,MATCH($C18,Roster!$B:$B,0))="","",INDEX(Roster!$C:$C,MATCH($C18,Roster!$B:$B,0))&amp;""),"—"))</f>
        <v/>
      </c>
      <c r="F18" s="25">
        <f>IF($C18="","",IFERROR(IF(INDEX(Roster!$D:$D,MATCH($C18,Roster!$B:$B,0))="","",INDEX(Roster!$D:$D,MATCH($C18,Roster!$B:$B,0))&amp;""),"—"))</f>
        <v/>
      </c>
      <c r="G18" s="25">
        <f>IF($C18="","",IFERROR(IF(INDEX(Roster!$E:$E,MATCH($C18,Roster!$B:$B,0))="","",INDEX(Roster!$E:$E,MATCH($C18,Roster!$B:$B,0))&amp;""),"—"))</f>
        <v/>
      </c>
      <c r="H18" s="25">
        <f>IF($C18="","",IFERROR(IF(INDEX(Roster!$F:$F,MATCH($C18,Roster!$B:$B,0))="","",INDEX(Roster!$F:$F,MATCH($C18,Roster!$B:$B,0))&amp;""),"—"))</f>
        <v/>
      </c>
      <c r="I18" s="25">
        <f>IF($C18="","",IFERROR(IF(INDEX(Roster!$G:$G,MATCH($C18,Roster!$B:$B,0))="","",INDEX(Roster!$G:$G,MATCH($C18,Roster!$B:$B,0))&amp;""),"—"))</f>
        <v/>
      </c>
      <c r="J18" s="25">
        <f>IF($C18="","",IFERROR(IF(INDEX(Roster!$I:$I,MATCH($C18,Roster!$B:$B,0))="","",INDEX(Roster!$I:$I,MATCH($C18,Roster!$B:$B,0))&amp;""),"—"))</f>
        <v/>
      </c>
      <c r="K18">
        <f>IF($C18="","",IFERROR(IF(INDEX(Roster!$J:$J,MATCH($C18,Roster!$B:$B,0))="","",INDEX(Roster!$J:$J,MATCH($C18,Roster!$B:$B,0))&amp;""),"—"))</f>
        <v/>
      </c>
      <c r="L18">
        <f>IF($C18="","",IFERROR(IF(INDEX(Roster!$K:$K,MATCH($C18,Roster!$B:$B,0))="","",INDEX(Roster!$K:$K,MATCH($C18,Roster!$B:$B,0))&amp;""),"—"))</f>
        <v/>
      </c>
      <c r="M18" s="27" t="n"/>
      <c r="N18" s="27" t="n"/>
      <c r="O18" s="25">
        <f>IF($C18="","",IF($P18="","—",IF($P18="Valid (Pass)","Valid","Invalid")))</f>
        <v/>
      </c>
      <c r="P18" s="27" t="n"/>
      <c r="Q18" s="27" t="n"/>
      <c r="R18" s="27" t="n"/>
      <c r="S18" s="27" t="n"/>
      <c r="T18" s="25">
        <f>IF($C18="","",IF(OR(ISNUMBER(SEARCH("quick case",$P18)),ISNUMBER(SEARCH("quick case",$Q18))),"Yes","No"))</f>
        <v/>
      </c>
      <c r="U18" s="25">
        <f>IF($O18="Invalid",HYPERLINK("mailto:"&amp;$G18&amp;";"&amp;$I18&amp;"?cc="&amp;Lists!$E$2&amp;"&amp;subject="&amp;_xlfn.ENCODEURL("[INVALID] Quality audit monitoring completed for "&amp;UPPER($C18))&amp;"&amp;body="&amp;_xlfn.ENCODEURL("Hi "&amp;$F18&amp;","&amp;CHAR(10)&amp;"Good day!"&amp;CHAR(10)&amp;CHAR(10)&amp;"A quality monitoring audit has been completed for "&amp;$C18&amp;"."&amp;CHAR(10)&amp;CHAR(10)&amp;"QUALITY AUDIT DETAILS"&amp;CHAR(10)&amp;"Agent Name: "&amp;$C18&amp;" (EID "&amp;$D18&amp;")"&amp;CHAR(10)&amp;"Audit Date: "&amp;TEXT($B18,"yyyy-mm-dd")&amp;CHAR(10)&amp;"Team Leader: "&amp;$F18&amp;CHAR(10)&amp;"Case Number: "&amp;$M18&amp;CHAR(10)&amp;"Transaction ID: "&amp;$N18&amp;CHAR(10)&amp;"Channel / LOB: "&amp;$K18&amp;" / "&amp;$L18&amp;CHAR(10)&amp;"Evaluator: "&amp;$S18&amp;CHAR(10)&amp;CHAR(10)&amp;"INVALID QUALITY AUDIT DETAILS"&amp;CHAR(10)&amp;"Validation: Invalid"&amp;CHAR(10)&amp;"Invalid Reason: "&amp;$P18&amp;CHAR(10)&amp;"Expected Resolution Code: "&amp;$Q18&amp;CHAR(10)&amp;"Remarks: "&amp;LEFT($R18,600)&amp;CHAR(10)&amp;CHAR(10)&amp;"This is an automated notification from HP Mainstream EQMS."),"✉ Open Email Draft"),"")</f>
        <v/>
      </c>
    </row>
    <row r="19">
      <c r="A19" s="25">
        <f>IF($C19="","","AUD-2026-"&amp;TEXT(ROW()-1,"000000"))</f>
        <v/>
      </c>
      <c r="B19" s="26" t="n"/>
      <c r="C19" s="27" t="n"/>
      <c r="D19" s="25">
        <f>IF($C19="","",IFERROR(IF(INDEX(Roster!$A:$A,MATCH($C19,Roster!$B:$B,0))="","",INDEX(Roster!$A:$A,MATCH($C19,Roster!$B:$B,0))&amp;""),"—"))</f>
        <v/>
      </c>
      <c r="E19" s="25">
        <f>IF($C19="","",IFERROR(IF(INDEX(Roster!$C:$C,MATCH($C19,Roster!$B:$B,0))="","",INDEX(Roster!$C:$C,MATCH($C19,Roster!$B:$B,0))&amp;""),"—"))</f>
        <v/>
      </c>
      <c r="F19" s="25">
        <f>IF($C19="","",IFERROR(IF(INDEX(Roster!$D:$D,MATCH($C19,Roster!$B:$B,0))="","",INDEX(Roster!$D:$D,MATCH($C19,Roster!$B:$B,0))&amp;""),"—"))</f>
        <v/>
      </c>
      <c r="G19" s="25">
        <f>IF($C19="","",IFERROR(IF(INDEX(Roster!$E:$E,MATCH($C19,Roster!$B:$B,0))="","",INDEX(Roster!$E:$E,MATCH($C19,Roster!$B:$B,0))&amp;""),"—"))</f>
        <v/>
      </c>
      <c r="H19" s="25">
        <f>IF($C19="","",IFERROR(IF(INDEX(Roster!$F:$F,MATCH($C19,Roster!$B:$B,0))="","",INDEX(Roster!$F:$F,MATCH($C19,Roster!$B:$B,0))&amp;""),"—"))</f>
        <v/>
      </c>
      <c r="I19" s="25">
        <f>IF($C19="","",IFERROR(IF(INDEX(Roster!$G:$G,MATCH($C19,Roster!$B:$B,0))="","",INDEX(Roster!$G:$G,MATCH($C19,Roster!$B:$B,0))&amp;""),"—"))</f>
        <v/>
      </c>
      <c r="J19" s="25">
        <f>IF($C19="","",IFERROR(IF(INDEX(Roster!$I:$I,MATCH($C19,Roster!$B:$B,0))="","",INDEX(Roster!$I:$I,MATCH($C19,Roster!$B:$B,0))&amp;""),"—"))</f>
        <v/>
      </c>
      <c r="K19">
        <f>IF($C19="","",IFERROR(IF(INDEX(Roster!$J:$J,MATCH($C19,Roster!$B:$B,0))="","",INDEX(Roster!$J:$J,MATCH($C19,Roster!$B:$B,0))&amp;""),"—"))</f>
        <v/>
      </c>
      <c r="L19">
        <f>IF($C19="","",IFERROR(IF(INDEX(Roster!$K:$K,MATCH($C19,Roster!$B:$B,0))="","",INDEX(Roster!$K:$K,MATCH($C19,Roster!$B:$B,0))&amp;""),"—"))</f>
        <v/>
      </c>
      <c r="M19" s="27" t="n"/>
      <c r="N19" s="27" t="n"/>
      <c r="O19" s="25">
        <f>IF($C19="","",IF($P19="","—",IF($P19="Valid (Pass)","Valid","Invalid")))</f>
        <v/>
      </c>
      <c r="P19" s="27" t="n"/>
      <c r="Q19" s="27" t="n"/>
      <c r="R19" s="27" t="n"/>
      <c r="S19" s="27" t="n"/>
      <c r="T19" s="25">
        <f>IF($C19="","",IF(OR(ISNUMBER(SEARCH("quick case",$P19)),ISNUMBER(SEARCH("quick case",$Q19))),"Yes","No"))</f>
        <v/>
      </c>
      <c r="U19" s="25">
        <f>IF($O19="Invalid",HYPERLINK("mailto:"&amp;$G19&amp;";"&amp;$I19&amp;"?cc="&amp;Lists!$E$2&amp;"&amp;subject="&amp;_xlfn.ENCODEURL("[INVALID] Quality audit monitoring completed for "&amp;UPPER($C19))&amp;"&amp;body="&amp;_xlfn.ENCODEURL("Hi "&amp;$F19&amp;","&amp;CHAR(10)&amp;"Good day!"&amp;CHAR(10)&amp;CHAR(10)&amp;"A quality monitoring audit has been completed for "&amp;$C19&amp;"."&amp;CHAR(10)&amp;CHAR(10)&amp;"QUALITY AUDIT DETAILS"&amp;CHAR(10)&amp;"Agent Name: "&amp;$C19&amp;" (EID "&amp;$D19&amp;")"&amp;CHAR(10)&amp;"Audit Date: "&amp;TEXT($B19,"yyyy-mm-dd")&amp;CHAR(10)&amp;"Team Leader: "&amp;$F19&amp;CHAR(10)&amp;"Case Number: "&amp;$M19&amp;CHAR(10)&amp;"Transaction ID: "&amp;$N19&amp;CHAR(10)&amp;"Channel / LOB: "&amp;$K19&amp;" / "&amp;$L19&amp;CHAR(10)&amp;"Evaluator: "&amp;$S19&amp;CHAR(10)&amp;CHAR(10)&amp;"INVALID QUALITY AUDIT DETAILS"&amp;CHAR(10)&amp;"Validation: Invalid"&amp;CHAR(10)&amp;"Invalid Reason: "&amp;$P19&amp;CHAR(10)&amp;"Expected Resolution Code: "&amp;$Q19&amp;CHAR(10)&amp;"Remarks: "&amp;LEFT($R19,600)&amp;CHAR(10)&amp;CHAR(10)&amp;"This is an automated notification from HP Mainstream EQMS."),"✉ Open Email Draft"),"")</f>
        <v/>
      </c>
    </row>
    <row r="20">
      <c r="A20" s="25">
        <f>IF($C20="","","AUD-2026-"&amp;TEXT(ROW()-1,"000000"))</f>
        <v/>
      </c>
      <c r="B20" s="26" t="n"/>
      <c r="C20" s="27" t="n"/>
      <c r="D20" s="25">
        <f>IF($C20="","",IFERROR(IF(INDEX(Roster!$A:$A,MATCH($C20,Roster!$B:$B,0))="","",INDEX(Roster!$A:$A,MATCH($C20,Roster!$B:$B,0))&amp;""),"—"))</f>
        <v/>
      </c>
      <c r="E20" s="25">
        <f>IF($C20="","",IFERROR(IF(INDEX(Roster!$C:$C,MATCH($C20,Roster!$B:$B,0))="","",INDEX(Roster!$C:$C,MATCH($C20,Roster!$B:$B,0))&amp;""),"—"))</f>
        <v/>
      </c>
      <c r="F20" s="25">
        <f>IF($C20="","",IFERROR(IF(INDEX(Roster!$D:$D,MATCH($C20,Roster!$B:$B,0))="","",INDEX(Roster!$D:$D,MATCH($C20,Roster!$B:$B,0))&amp;""),"—"))</f>
        <v/>
      </c>
      <c r="G20" s="25">
        <f>IF($C20="","",IFERROR(IF(INDEX(Roster!$E:$E,MATCH($C20,Roster!$B:$B,0))="","",INDEX(Roster!$E:$E,MATCH($C20,Roster!$B:$B,0))&amp;""),"—"))</f>
        <v/>
      </c>
      <c r="H20" s="25">
        <f>IF($C20="","",IFERROR(IF(INDEX(Roster!$F:$F,MATCH($C20,Roster!$B:$B,0))="","",INDEX(Roster!$F:$F,MATCH($C20,Roster!$B:$B,0))&amp;""),"—"))</f>
        <v/>
      </c>
      <c r="I20" s="25">
        <f>IF($C20="","",IFERROR(IF(INDEX(Roster!$G:$G,MATCH($C20,Roster!$B:$B,0))="","",INDEX(Roster!$G:$G,MATCH($C20,Roster!$B:$B,0))&amp;""),"—"))</f>
        <v/>
      </c>
      <c r="J20" s="25">
        <f>IF($C20="","",IFERROR(IF(INDEX(Roster!$I:$I,MATCH($C20,Roster!$B:$B,0))="","",INDEX(Roster!$I:$I,MATCH($C20,Roster!$B:$B,0))&amp;""),"—"))</f>
        <v/>
      </c>
      <c r="K20">
        <f>IF($C20="","",IFERROR(IF(INDEX(Roster!$J:$J,MATCH($C20,Roster!$B:$B,0))="","",INDEX(Roster!$J:$J,MATCH($C20,Roster!$B:$B,0))&amp;""),"—"))</f>
        <v/>
      </c>
      <c r="L20">
        <f>IF($C20="","",IFERROR(IF(INDEX(Roster!$K:$K,MATCH($C20,Roster!$B:$B,0))="","",INDEX(Roster!$K:$K,MATCH($C20,Roster!$B:$B,0))&amp;""),"—"))</f>
        <v/>
      </c>
      <c r="M20" s="27" t="n"/>
      <c r="N20" s="27" t="n"/>
      <c r="O20" s="25">
        <f>IF($C20="","",IF($P20="","—",IF($P20="Valid (Pass)","Valid","Invalid")))</f>
        <v/>
      </c>
      <c r="P20" s="27" t="n"/>
      <c r="Q20" s="27" t="n"/>
      <c r="R20" s="27" t="n"/>
      <c r="S20" s="27" t="n"/>
      <c r="T20" s="25">
        <f>IF($C20="","",IF(OR(ISNUMBER(SEARCH("quick case",$P20)),ISNUMBER(SEARCH("quick case",$Q20))),"Yes","No"))</f>
        <v/>
      </c>
      <c r="U20" s="25">
        <f>IF($O20="Invalid",HYPERLINK("mailto:"&amp;$G20&amp;";"&amp;$I20&amp;"?cc="&amp;Lists!$E$2&amp;"&amp;subject="&amp;_xlfn.ENCODEURL("[INVALID] Quality audit monitoring completed for "&amp;UPPER($C20))&amp;"&amp;body="&amp;_xlfn.ENCODEURL("Hi "&amp;$F20&amp;","&amp;CHAR(10)&amp;"Good day!"&amp;CHAR(10)&amp;CHAR(10)&amp;"A quality monitoring audit has been completed for "&amp;$C20&amp;"."&amp;CHAR(10)&amp;CHAR(10)&amp;"QUALITY AUDIT DETAILS"&amp;CHAR(10)&amp;"Agent Name: "&amp;$C20&amp;" (EID "&amp;$D20&amp;")"&amp;CHAR(10)&amp;"Audit Date: "&amp;TEXT($B20,"yyyy-mm-dd")&amp;CHAR(10)&amp;"Team Leader: "&amp;$F20&amp;CHAR(10)&amp;"Case Number: "&amp;$M20&amp;CHAR(10)&amp;"Transaction ID: "&amp;$N20&amp;CHAR(10)&amp;"Channel / LOB: "&amp;$K20&amp;" / "&amp;$L20&amp;CHAR(10)&amp;"Evaluator: "&amp;$S20&amp;CHAR(10)&amp;CHAR(10)&amp;"INVALID QUALITY AUDIT DETAILS"&amp;CHAR(10)&amp;"Validation: Invalid"&amp;CHAR(10)&amp;"Invalid Reason: "&amp;$P20&amp;CHAR(10)&amp;"Expected Resolution Code: "&amp;$Q20&amp;CHAR(10)&amp;"Remarks: "&amp;LEFT($R20,600)&amp;CHAR(10)&amp;CHAR(10)&amp;"This is an automated notification from HP Mainstream EQMS."),"✉ Open Email Draft"),"")</f>
        <v/>
      </c>
    </row>
    <row r="21">
      <c r="A21" s="25">
        <f>IF($C21="","","AUD-2026-"&amp;TEXT(ROW()-1,"000000"))</f>
        <v/>
      </c>
      <c r="B21" s="26" t="n"/>
      <c r="C21" s="27" t="n"/>
      <c r="D21" s="25">
        <f>IF($C21="","",IFERROR(IF(INDEX(Roster!$A:$A,MATCH($C21,Roster!$B:$B,0))="","",INDEX(Roster!$A:$A,MATCH($C21,Roster!$B:$B,0))&amp;""),"—"))</f>
        <v/>
      </c>
      <c r="E21" s="25">
        <f>IF($C21="","",IFERROR(IF(INDEX(Roster!$C:$C,MATCH($C21,Roster!$B:$B,0))="","",INDEX(Roster!$C:$C,MATCH($C21,Roster!$B:$B,0))&amp;""),"—"))</f>
        <v/>
      </c>
      <c r="F21" s="25">
        <f>IF($C21="","",IFERROR(IF(INDEX(Roster!$D:$D,MATCH($C21,Roster!$B:$B,0))="","",INDEX(Roster!$D:$D,MATCH($C21,Roster!$B:$B,0))&amp;""),"—"))</f>
        <v/>
      </c>
      <c r="G21" s="25">
        <f>IF($C21="","",IFERROR(IF(INDEX(Roster!$E:$E,MATCH($C21,Roster!$B:$B,0))="","",INDEX(Roster!$E:$E,MATCH($C21,Roster!$B:$B,0))&amp;""),"—"))</f>
        <v/>
      </c>
      <c r="H21" s="25">
        <f>IF($C21="","",IFERROR(IF(INDEX(Roster!$F:$F,MATCH($C21,Roster!$B:$B,0))="","",INDEX(Roster!$F:$F,MATCH($C21,Roster!$B:$B,0))&amp;""),"—"))</f>
        <v/>
      </c>
      <c r="I21" s="25">
        <f>IF($C21="","",IFERROR(IF(INDEX(Roster!$G:$G,MATCH($C21,Roster!$B:$B,0))="","",INDEX(Roster!$G:$G,MATCH($C21,Roster!$B:$B,0))&amp;""),"—"))</f>
        <v/>
      </c>
      <c r="J21" s="25">
        <f>IF($C21="","",IFERROR(IF(INDEX(Roster!$I:$I,MATCH($C21,Roster!$B:$B,0))="","",INDEX(Roster!$I:$I,MATCH($C21,Roster!$B:$B,0))&amp;""),"—"))</f>
        <v/>
      </c>
      <c r="K21">
        <f>IF($C21="","",IFERROR(IF(INDEX(Roster!$J:$J,MATCH($C21,Roster!$B:$B,0))="","",INDEX(Roster!$J:$J,MATCH($C21,Roster!$B:$B,0))&amp;""),"—"))</f>
        <v/>
      </c>
      <c r="L21">
        <f>IF($C21="","",IFERROR(IF(INDEX(Roster!$K:$K,MATCH($C21,Roster!$B:$B,0))="","",INDEX(Roster!$K:$K,MATCH($C21,Roster!$B:$B,0))&amp;""),"—"))</f>
        <v/>
      </c>
      <c r="M21" s="27" t="n"/>
      <c r="N21" s="27" t="n"/>
      <c r="O21" s="25">
        <f>IF($C21="","",IF($P21="","—",IF($P21="Valid (Pass)","Valid","Invalid")))</f>
        <v/>
      </c>
      <c r="P21" s="27" t="n"/>
      <c r="Q21" s="27" t="n"/>
      <c r="R21" s="27" t="n"/>
      <c r="S21" s="27" t="n"/>
      <c r="T21" s="25">
        <f>IF($C21="","",IF(OR(ISNUMBER(SEARCH("quick case",$P21)),ISNUMBER(SEARCH("quick case",$Q21))),"Yes","No"))</f>
        <v/>
      </c>
      <c r="U21" s="25">
        <f>IF($O21="Invalid",HYPERLINK("mailto:"&amp;$G21&amp;";"&amp;$I21&amp;"?cc="&amp;Lists!$E$2&amp;"&amp;subject="&amp;_xlfn.ENCODEURL("[INVALID] Quality audit monitoring completed for "&amp;UPPER($C21))&amp;"&amp;body="&amp;_xlfn.ENCODEURL("Hi "&amp;$F21&amp;","&amp;CHAR(10)&amp;"Good day!"&amp;CHAR(10)&amp;CHAR(10)&amp;"A quality monitoring audit has been completed for "&amp;$C21&amp;"."&amp;CHAR(10)&amp;CHAR(10)&amp;"QUALITY AUDIT DETAILS"&amp;CHAR(10)&amp;"Agent Name: "&amp;$C21&amp;" (EID "&amp;$D21&amp;")"&amp;CHAR(10)&amp;"Audit Date: "&amp;TEXT($B21,"yyyy-mm-dd")&amp;CHAR(10)&amp;"Team Leader: "&amp;$F21&amp;CHAR(10)&amp;"Case Number: "&amp;$M21&amp;CHAR(10)&amp;"Transaction ID: "&amp;$N21&amp;CHAR(10)&amp;"Channel / LOB: "&amp;$K21&amp;" / "&amp;$L21&amp;CHAR(10)&amp;"Evaluator: "&amp;$S21&amp;CHAR(10)&amp;CHAR(10)&amp;"INVALID QUALITY AUDIT DETAILS"&amp;CHAR(10)&amp;"Validation: Invalid"&amp;CHAR(10)&amp;"Invalid Reason: "&amp;$P21&amp;CHAR(10)&amp;"Expected Resolution Code: "&amp;$Q21&amp;CHAR(10)&amp;"Remarks: "&amp;LEFT($R21,600)&amp;CHAR(10)&amp;CHAR(10)&amp;"This is an automated notification from HP Mainstream EQMS."),"✉ Open Email Draft"),"")</f>
        <v/>
      </c>
    </row>
    <row r="22">
      <c r="A22" s="25">
        <f>IF($C22="","","AUD-2026-"&amp;TEXT(ROW()-1,"000000"))</f>
        <v/>
      </c>
      <c r="B22" s="26" t="n"/>
      <c r="C22" s="27" t="n"/>
      <c r="D22" s="25">
        <f>IF($C22="","",IFERROR(IF(INDEX(Roster!$A:$A,MATCH($C22,Roster!$B:$B,0))="","",INDEX(Roster!$A:$A,MATCH($C22,Roster!$B:$B,0))&amp;""),"—"))</f>
        <v/>
      </c>
      <c r="E22" s="25">
        <f>IF($C22="","",IFERROR(IF(INDEX(Roster!$C:$C,MATCH($C22,Roster!$B:$B,0))="","",INDEX(Roster!$C:$C,MATCH($C22,Roster!$B:$B,0))&amp;""),"—"))</f>
        <v/>
      </c>
      <c r="F22" s="25">
        <f>IF($C22="","",IFERROR(IF(INDEX(Roster!$D:$D,MATCH($C22,Roster!$B:$B,0))="","",INDEX(Roster!$D:$D,MATCH($C22,Roster!$B:$B,0))&amp;""),"—"))</f>
        <v/>
      </c>
      <c r="G22" s="25">
        <f>IF($C22="","",IFERROR(IF(INDEX(Roster!$E:$E,MATCH($C22,Roster!$B:$B,0))="","",INDEX(Roster!$E:$E,MATCH($C22,Roster!$B:$B,0))&amp;""),"—"))</f>
        <v/>
      </c>
      <c r="H22" s="25">
        <f>IF($C22="","",IFERROR(IF(INDEX(Roster!$F:$F,MATCH($C22,Roster!$B:$B,0))="","",INDEX(Roster!$F:$F,MATCH($C22,Roster!$B:$B,0))&amp;""),"—"))</f>
        <v/>
      </c>
      <c r="I22" s="25">
        <f>IF($C22="","",IFERROR(IF(INDEX(Roster!$G:$G,MATCH($C22,Roster!$B:$B,0))="","",INDEX(Roster!$G:$G,MATCH($C22,Roster!$B:$B,0))&amp;""),"—"))</f>
        <v/>
      </c>
      <c r="J22" s="25">
        <f>IF($C22="","",IFERROR(IF(INDEX(Roster!$I:$I,MATCH($C22,Roster!$B:$B,0))="","",INDEX(Roster!$I:$I,MATCH($C22,Roster!$B:$B,0))&amp;""),"—"))</f>
        <v/>
      </c>
      <c r="K22">
        <f>IF($C22="","",IFERROR(IF(INDEX(Roster!$J:$J,MATCH($C22,Roster!$B:$B,0))="","",INDEX(Roster!$J:$J,MATCH($C22,Roster!$B:$B,0))&amp;""),"—"))</f>
        <v/>
      </c>
      <c r="L22">
        <f>IF($C22="","",IFERROR(IF(INDEX(Roster!$K:$K,MATCH($C22,Roster!$B:$B,0))="","",INDEX(Roster!$K:$K,MATCH($C22,Roster!$B:$B,0))&amp;""),"—"))</f>
        <v/>
      </c>
      <c r="M22" s="27" t="n"/>
      <c r="N22" s="27" t="n"/>
      <c r="O22" s="25">
        <f>IF($C22="","",IF($P22="","—",IF($P22="Valid (Pass)","Valid","Invalid")))</f>
        <v/>
      </c>
      <c r="P22" s="27" t="n"/>
      <c r="Q22" s="27" t="n"/>
      <c r="R22" s="27" t="n"/>
      <c r="S22" s="27" t="n"/>
      <c r="T22" s="25">
        <f>IF($C22="","",IF(OR(ISNUMBER(SEARCH("quick case",$P22)),ISNUMBER(SEARCH("quick case",$Q22))),"Yes","No"))</f>
        <v/>
      </c>
      <c r="U22" s="25">
        <f>IF($O22="Invalid",HYPERLINK("mailto:"&amp;$G22&amp;";"&amp;$I22&amp;"?cc="&amp;Lists!$E$2&amp;"&amp;subject="&amp;_xlfn.ENCODEURL("[INVALID] Quality audit monitoring completed for "&amp;UPPER($C22))&amp;"&amp;body="&amp;_xlfn.ENCODEURL("Hi "&amp;$F22&amp;","&amp;CHAR(10)&amp;"Good day!"&amp;CHAR(10)&amp;CHAR(10)&amp;"A quality monitoring audit has been completed for "&amp;$C22&amp;"."&amp;CHAR(10)&amp;CHAR(10)&amp;"QUALITY AUDIT DETAILS"&amp;CHAR(10)&amp;"Agent Name: "&amp;$C22&amp;" (EID "&amp;$D22&amp;")"&amp;CHAR(10)&amp;"Audit Date: "&amp;TEXT($B22,"yyyy-mm-dd")&amp;CHAR(10)&amp;"Team Leader: "&amp;$F22&amp;CHAR(10)&amp;"Case Number: "&amp;$M22&amp;CHAR(10)&amp;"Transaction ID: "&amp;$N22&amp;CHAR(10)&amp;"Channel / LOB: "&amp;$K22&amp;" / "&amp;$L22&amp;CHAR(10)&amp;"Evaluator: "&amp;$S22&amp;CHAR(10)&amp;CHAR(10)&amp;"INVALID QUALITY AUDIT DETAILS"&amp;CHAR(10)&amp;"Validation: Invalid"&amp;CHAR(10)&amp;"Invalid Reason: "&amp;$P22&amp;CHAR(10)&amp;"Expected Resolution Code: "&amp;$Q22&amp;CHAR(10)&amp;"Remarks: "&amp;LEFT($R22,600)&amp;CHAR(10)&amp;CHAR(10)&amp;"This is an automated notification from HP Mainstream EQMS."),"✉ Open Email Draft"),"")</f>
        <v/>
      </c>
    </row>
    <row r="23">
      <c r="A23" s="25">
        <f>IF($C23="","","AUD-2026-"&amp;TEXT(ROW()-1,"000000"))</f>
        <v/>
      </c>
      <c r="B23" s="26" t="n"/>
      <c r="C23" s="27" t="n"/>
      <c r="D23" s="25">
        <f>IF($C23="","",IFERROR(IF(INDEX(Roster!$A:$A,MATCH($C23,Roster!$B:$B,0))="","",INDEX(Roster!$A:$A,MATCH($C23,Roster!$B:$B,0))&amp;""),"—"))</f>
        <v/>
      </c>
      <c r="E23" s="25">
        <f>IF($C23="","",IFERROR(IF(INDEX(Roster!$C:$C,MATCH($C23,Roster!$B:$B,0))="","",INDEX(Roster!$C:$C,MATCH($C23,Roster!$B:$B,0))&amp;""),"—"))</f>
        <v/>
      </c>
      <c r="F23" s="25">
        <f>IF($C23="","",IFERROR(IF(INDEX(Roster!$D:$D,MATCH($C23,Roster!$B:$B,0))="","",INDEX(Roster!$D:$D,MATCH($C23,Roster!$B:$B,0))&amp;""),"—"))</f>
        <v/>
      </c>
      <c r="G23" s="25">
        <f>IF($C23="","",IFERROR(IF(INDEX(Roster!$E:$E,MATCH($C23,Roster!$B:$B,0))="","",INDEX(Roster!$E:$E,MATCH($C23,Roster!$B:$B,0))&amp;""),"—"))</f>
        <v/>
      </c>
      <c r="H23" s="25">
        <f>IF($C23="","",IFERROR(IF(INDEX(Roster!$F:$F,MATCH($C23,Roster!$B:$B,0))="","",INDEX(Roster!$F:$F,MATCH($C23,Roster!$B:$B,0))&amp;""),"—"))</f>
        <v/>
      </c>
      <c r="I23" s="25">
        <f>IF($C23="","",IFERROR(IF(INDEX(Roster!$G:$G,MATCH($C23,Roster!$B:$B,0))="","",INDEX(Roster!$G:$G,MATCH($C23,Roster!$B:$B,0))&amp;""),"—"))</f>
        <v/>
      </c>
      <c r="J23" s="25">
        <f>IF($C23="","",IFERROR(IF(INDEX(Roster!$I:$I,MATCH($C23,Roster!$B:$B,0))="","",INDEX(Roster!$I:$I,MATCH($C23,Roster!$B:$B,0))&amp;""),"—"))</f>
        <v/>
      </c>
      <c r="K23">
        <f>IF($C23="","",IFERROR(IF(INDEX(Roster!$J:$J,MATCH($C23,Roster!$B:$B,0))="","",INDEX(Roster!$J:$J,MATCH($C23,Roster!$B:$B,0))&amp;""),"—"))</f>
        <v/>
      </c>
      <c r="L23">
        <f>IF($C23="","",IFERROR(IF(INDEX(Roster!$K:$K,MATCH($C23,Roster!$B:$B,0))="","",INDEX(Roster!$K:$K,MATCH($C23,Roster!$B:$B,0))&amp;""),"—"))</f>
        <v/>
      </c>
      <c r="M23" s="27" t="n"/>
      <c r="N23" s="27" t="n"/>
      <c r="O23" s="25">
        <f>IF($C23="","",IF($P23="","—",IF($P23="Valid (Pass)","Valid","Invalid")))</f>
        <v/>
      </c>
      <c r="P23" s="27" t="n"/>
      <c r="Q23" s="27" t="n"/>
      <c r="R23" s="27" t="n"/>
      <c r="S23" s="27" t="n"/>
      <c r="T23" s="25">
        <f>IF($C23="","",IF(OR(ISNUMBER(SEARCH("quick case",$P23)),ISNUMBER(SEARCH("quick case",$Q23))),"Yes","No"))</f>
        <v/>
      </c>
      <c r="U23" s="25">
        <f>IF($O23="Invalid",HYPERLINK("mailto:"&amp;$G23&amp;";"&amp;$I23&amp;"?cc="&amp;Lists!$E$2&amp;"&amp;subject="&amp;_xlfn.ENCODEURL("[INVALID] Quality audit monitoring completed for "&amp;UPPER($C23))&amp;"&amp;body="&amp;_xlfn.ENCODEURL("Hi "&amp;$F23&amp;","&amp;CHAR(10)&amp;"Good day!"&amp;CHAR(10)&amp;CHAR(10)&amp;"A quality monitoring audit has been completed for "&amp;$C23&amp;"."&amp;CHAR(10)&amp;CHAR(10)&amp;"QUALITY AUDIT DETAILS"&amp;CHAR(10)&amp;"Agent Name: "&amp;$C23&amp;" (EID "&amp;$D23&amp;")"&amp;CHAR(10)&amp;"Audit Date: "&amp;TEXT($B23,"yyyy-mm-dd")&amp;CHAR(10)&amp;"Team Leader: "&amp;$F23&amp;CHAR(10)&amp;"Case Number: "&amp;$M23&amp;CHAR(10)&amp;"Transaction ID: "&amp;$N23&amp;CHAR(10)&amp;"Channel / LOB: "&amp;$K23&amp;" / "&amp;$L23&amp;CHAR(10)&amp;"Evaluator: "&amp;$S23&amp;CHAR(10)&amp;CHAR(10)&amp;"INVALID QUALITY AUDIT DETAILS"&amp;CHAR(10)&amp;"Validation: Invalid"&amp;CHAR(10)&amp;"Invalid Reason: "&amp;$P23&amp;CHAR(10)&amp;"Expected Resolution Code: "&amp;$Q23&amp;CHAR(10)&amp;"Remarks: "&amp;LEFT($R23,600)&amp;CHAR(10)&amp;CHAR(10)&amp;"This is an automated notification from HP Mainstream EQMS."),"✉ Open Email Draft"),"")</f>
        <v/>
      </c>
    </row>
    <row r="24">
      <c r="A24" s="25">
        <f>IF($C24="","","AUD-2026-"&amp;TEXT(ROW()-1,"000000"))</f>
        <v/>
      </c>
      <c r="B24" s="26" t="n"/>
      <c r="C24" s="27" t="n"/>
      <c r="D24" s="25">
        <f>IF($C24="","",IFERROR(IF(INDEX(Roster!$A:$A,MATCH($C24,Roster!$B:$B,0))="","",INDEX(Roster!$A:$A,MATCH($C24,Roster!$B:$B,0))&amp;""),"—"))</f>
        <v/>
      </c>
      <c r="E24" s="25">
        <f>IF($C24="","",IFERROR(IF(INDEX(Roster!$C:$C,MATCH($C24,Roster!$B:$B,0))="","",INDEX(Roster!$C:$C,MATCH($C24,Roster!$B:$B,0))&amp;""),"—"))</f>
        <v/>
      </c>
      <c r="F24" s="25">
        <f>IF($C24="","",IFERROR(IF(INDEX(Roster!$D:$D,MATCH($C24,Roster!$B:$B,0))="","",INDEX(Roster!$D:$D,MATCH($C24,Roster!$B:$B,0))&amp;""),"—"))</f>
        <v/>
      </c>
      <c r="G24" s="25">
        <f>IF($C24="","",IFERROR(IF(INDEX(Roster!$E:$E,MATCH($C24,Roster!$B:$B,0))="","",INDEX(Roster!$E:$E,MATCH($C24,Roster!$B:$B,0))&amp;""),"—"))</f>
        <v/>
      </c>
      <c r="H24" s="25">
        <f>IF($C24="","",IFERROR(IF(INDEX(Roster!$F:$F,MATCH($C24,Roster!$B:$B,0))="","",INDEX(Roster!$F:$F,MATCH($C24,Roster!$B:$B,0))&amp;""),"—"))</f>
        <v/>
      </c>
      <c r="I24" s="25">
        <f>IF($C24="","",IFERROR(IF(INDEX(Roster!$G:$G,MATCH($C24,Roster!$B:$B,0))="","",INDEX(Roster!$G:$G,MATCH($C24,Roster!$B:$B,0))&amp;""),"—"))</f>
        <v/>
      </c>
      <c r="J24" s="25">
        <f>IF($C24="","",IFERROR(IF(INDEX(Roster!$I:$I,MATCH($C24,Roster!$B:$B,0))="","",INDEX(Roster!$I:$I,MATCH($C24,Roster!$B:$B,0))&amp;""),"—"))</f>
        <v/>
      </c>
      <c r="K24">
        <f>IF($C24="","",IFERROR(IF(INDEX(Roster!$J:$J,MATCH($C24,Roster!$B:$B,0))="","",INDEX(Roster!$J:$J,MATCH($C24,Roster!$B:$B,0))&amp;""),"—"))</f>
        <v/>
      </c>
      <c r="L24">
        <f>IF($C24="","",IFERROR(IF(INDEX(Roster!$K:$K,MATCH($C24,Roster!$B:$B,0))="","",INDEX(Roster!$K:$K,MATCH($C24,Roster!$B:$B,0))&amp;""),"—"))</f>
        <v/>
      </c>
      <c r="M24" s="27" t="n"/>
      <c r="N24" s="27" t="n"/>
      <c r="O24" s="25">
        <f>IF($C24="","",IF($P24="","—",IF($P24="Valid (Pass)","Valid","Invalid")))</f>
        <v/>
      </c>
      <c r="P24" s="27" t="n"/>
      <c r="Q24" s="27" t="n"/>
      <c r="R24" s="27" t="n"/>
      <c r="S24" s="27" t="n"/>
      <c r="T24" s="25">
        <f>IF($C24="","",IF(OR(ISNUMBER(SEARCH("quick case",$P24)),ISNUMBER(SEARCH("quick case",$Q24))),"Yes","No"))</f>
        <v/>
      </c>
      <c r="U24" s="25">
        <f>IF($O24="Invalid",HYPERLINK("mailto:"&amp;$G24&amp;";"&amp;$I24&amp;"?cc="&amp;Lists!$E$2&amp;"&amp;subject="&amp;_xlfn.ENCODEURL("[INVALID] Quality audit monitoring completed for "&amp;UPPER($C24))&amp;"&amp;body="&amp;_xlfn.ENCODEURL("Hi "&amp;$F24&amp;","&amp;CHAR(10)&amp;"Good day!"&amp;CHAR(10)&amp;CHAR(10)&amp;"A quality monitoring audit has been completed for "&amp;$C24&amp;"."&amp;CHAR(10)&amp;CHAR(10)&amp;"QUALITY AUDIT DETAILS"&amp;CHAR(10)&amp;"Agent Name: "&amp;$C24&amp;" (EID "&amp;$D24&amp;")"&amp;CHAR(10)&amp;"Audit Date: "&amp;TEXT($B24,"yyyy-mm-dd")&amp;CHAR(10)&amp;"Team Leader: "&amp;$F24&amp;CHAR(10)&amp;"Case Number: "&amp;$M24&amp;CHAR(10)&amp;"Transaction ID: "&amp;$N24&amp;CHAR(10)&amp;"Channel / LOB: "&amp;$K24&amp;" / "&amp;$L24&amp;CHAR(10)&amp;"Evaluator: "&amp;$S24&amp;CHAR(10)&amp;CHAR(10)&amp;"INVALID QUALITY AUDIT DETAILS"&amp;CHAR(10)&amp;"Validation: Invalid"&amp;CHAR(10)&amp;"Invalid Reason: "&amp;$P24&amp;CHAR(10)&amp;"Expected Resolution Code: "&amp;$Q24&amp;CHAR(10)&amp;"Remarks: "&amp;LEFT($R24,600)&amp;CHAR(10)&amp;CHAR(10)&amp;"This is an automated notification from HP Mainstream EQMS."),"✉ Open Email Draft"),"")</f>
        <v/>
      </c>
    </row>
    <row r="25">
      <c r="A25" s="25">
        <f>IF($C25="","","AUD-2026-"&amp;TEXT(ROW()-1,"000000"))</f>
        <v/>
      </c>
      <c r="B25" s="26" t="n"/>
      <c r="C25" s="27" t="n"/>
      <c r="D25" s="25">
        <f>IF($C25="","",IFERROR(IF(INDEX(Roster!$A:$A,MATCH($C25,Roster!$B:$B,0))="","",INDEX(Roster!$A:$A,MATCH($C25,Roster!$B:$B,0))&amp;""),"—"))</f>
        <v/>
      </c>
      <c r="E25" s="25">
        <f>IF($C25="","",IFERROR(IF(INDEX(Roster!$C:$C,MATCH($C25,Roster!$B:$B,0))="","",INDEX(Roster!$C:$C,MATCH($C25,Roster!$B:$B,0))&amp;""),"—"))</f>
        <v/>
      </c>
      <c r="F25" s="25">
        <f>IF($C25="","",IFERROR(IF(INDEX(Roster!$D:$D,MATCH($C25,Roster!$B:$B,0))="","",INDEX(Roster!$D:$D,MATCH($C25,Roster!$B:$B,0))&amp;""),"—"))</f>
        <v/>
      </c>
      <c r="G25" s="25">
        <f>IF($C25="","",IFERROR(IF(INDEX(Roster!$E:$E,MATCH($C25,Roster!$B:$B,0))="","",INDEX(Roster!$E:$E,MATCH($C25,Roster!$B:$B,0))&amp;""),"—"))</f>
        <v/>
      </c>
      <c r="H25" s="25">
        <f>IF($C25="","",IFERROR(IF(INDEX(Roster!$F:$F,MATCH($C25,Roster!$B:$B,0))="","",INDEX(Roster!$F:$F,MATCH($C25,Roster!$B:$B,0))&amp;""),"—"))</f>
        <v/>
      </c>
      <c r="I25" s="25">
        <f>IF($C25="","",IFERROR(IF(INDEX(Roster!$G:$G,MATCH($C25,Roster!$B:$B,0))="","",INDEX(Roster!$G:$G,MATCH($C25,Roster!$B:$B,0))&amp;""),"—"))</f>
        <v/>
      </c>
      <c r="J25" s="25">
        <f>IF($C25="","",IFERROR(IF(INDEX(Roster!$I:$I,MATCH($C25,Roster!$B:$B,0))="","",INDEX(Roster!$I:$I,MATCH($C25,Roster!$B:$B,0))&amp;""),"—"))</f>
        <v/>
      </c>
      <c r="K25">
        <f>IF($C25="","",IFERROR(IF(INDEX(Roster!$J:$J,MATCH($C25,Roster!$B:$B,0))="","",INDEX(Roster!$J:$J,MATCH($C25,Roster!$B:$B,0))&amp;""),"—"))</f>
        <v/>
      </c>
      <c r="L25">
        <f>IF($C25="","",IFERROR(IF(INDEX(Roster!$K:$K,MATCH($C25,Roster!$B:$B,0))="","",INDEX(Roster!$K:$K,MATCH($C25,Roster!$B:$B,0))&amp;""),"—"))</f>
        <v/>
      </c>
      <c r="M25" s="27" t="n"/>
      <c r="N25" s="27" t="n"/>
      <c r="O25" s="25">
        <f>IF($C25="","",IF($P25="","—",IF($P25="Valid (Pass)","Valid","Invalid")))</f>
        <v/>
      </c>
      <c r="P25" s="27" t="n"/>
      <c r="Q25" s="27" t="n"/>
      <c r="R25" s="27" t="n"/>
      <c r="S25" s="27" t="n"/>
      <c r="T25" s="25">
        <f>IF($C25="","",IF(OR(ISNUMBER(SEARCH("quick case",$P25)),ISNUMBER(SEARCH("quick case",$Q25))),"Yes","No"))</f>
        <v/>
      </c>
      <c r="U25" s="25">
        <f>IF($O25="Invalid",HYPERLINK("mailto:"&amp;$G25&amp;";"&amp;$I25&amp;"?cc="&amp;Lists!$E$2&amp;"&amp;subject="&amp;_xlfn.ENCODEURL("[INVALID] Quality audit monitoring completed for "&amp;UPPER($C25))&amp;"&amp;body="&amp;_xlfn.ENCODEURL("Hi "&amp;$F25&amp;","&amp;CHAR(10)&amp;"Good day!"&amp;CHAR(10)&amp;CHAR(10)&amp;"A quality monitoring audit has been completed for "&amp;$C25&amp;"."&amp;CHAR(10)&amp;CHAR(10)&amp;"QUALITY AUDIT DETAILS"&amp;CHAR(10)&amp;"Agent Name: "&amp;$C25&amp;" (EID "&amp;$D25&amp;")"&amp;CHAR(10)&amp;"Audit Date: "&amp;TEXT($B25,"yyyy-mm-dd")&amp;CHAR(10)&amp;"Team Leader: "&amp;$F25&amp;CHAR(10)&amp;"Case Number: "&amp;$M25&amp;CHAR(10)&amp;"Transaction ID: "&amp;$N25&amp;CHAR(10)&amp;"Channel / LOB: "&amp;$K25&amp;" / "&amp;$L25&amp;CHAR(10)&amp;"Evaluator: "&amp;$S25&amp;CHAR(10)&amp;CHAR(10)&amp;"INVALID QUALITY AUDIT DETAILS"&amp;CHAR(10)&amp;"Validation: Invalid"&amp;CHAR(10)&amp;"Invalid Reason: "&amp;$P25&amp;CHAR(10)&amp;"Expected Resolution Code: "&amp;$Q25&amp;CHAR(10)&amp;"Remarks: "&amp;LEFT($R25,600)&amp;CHAR(10)&amp;CHAR(10)&amp;"This is an automated notification from HP Mainstream EQMS."),"✉ Open Email Draft"),"")</f>
        <v/>
      </c>
    </row>
    <row r="26">
      <c r="A26" s="25">
        <f>IF($C26="","","AUD-2026-"&amp;TEXT(ROW()-1,"000000"))</f>
        <v/>
      </c>
      <c r="B26" s="26" t="n"/>
      <c r="C26" s="27" t="n"/>
      <c r="D26" s="25">
        <f>IF($C26="","",IFERROR(IF(INDEX(Roster!$A:$A,MATCH($C26,Roster!$B:$B,0))="","",INDEX(Roster!$A:$A,MATCH($C26,Roster!$B:$B,0))&amp;""),"—"))</f>
        <v/>
      </c>
      <c r="E26" s="25">
        <f>IF($C26="","",IFERROR(IF(INDEX(Roster!$C:$C,MATCH($C26,Roster!$B:$B,0))="","",INDEX(Roster!$C:$C,MATCH($C26,Roster!$B:$B,0))&amp;""),"—"))</f>
        <v/>
      </c>
      <c r="F26" s="25">
        <f>IF($C26="","",IFERROR(IF(INDEX(Roster!$D:$D,MATCH($C26,Roster!$B:$B,0))="","",INDEX(Roster!$D:$D,MATCH($C26,Roster!$B:$B,0))&amp;""),"—"))</f>
        <v/>
      </c>
      <c r="G26" s="25">
        <f>IF($C26="","",IFERROR(IF(INDEX(Roster!$E:$E,MATCH($C26,Roster!$B:$B,0))="","",INDEX(Roster!$E:$E,MATCH($C26,Roster!$B:$B,0))&amp;""),"—"))</f>
        <v/>
      </c>
      <c r="H26" s="25">
        <f>IF($C26="","",IFERROR(IF(INDEX(Roster!$F:$F,MATCH($C26,Roster!$B:$B,0))="","",INDEX(Roster!$F:$F,MATCH($C26,Roster!$B:$B,0))&amp;""),"—"))</f>
        <v/>
      </c>
      <c r="I26" s="25">
        <f>IF($C26="","",IFERROR(IF(INDEX(Roster!$G:$G,MATCH($C26,Roster!$B:$B,0))="","",INDEX(Roster!$G:$G,MATCH($C26,Roster!$B:$B,0))&amp;""),"—"))</f>
        <v/>
      </c>
      <c r="J26" s="25">
        <f>IF($C26="","",IFERROR(IF(INDEX(Roster!$I:$I,MATCH($C26,Roster!$B:$B,0))="","",INDEX(Roster!$I:$I,MATCH($C26,Roster!$B:$B,0))&amp;""),"—"))</f>
        <v/>
      </c>
      <c r="K26">
        <f>IF($C26="","",IFERROR(IF(INDEX(Roster!$J:$J,MATCH($C26,Roster!$B:$B,0))="","",INDEX(Roster!$J:$J,MATCH($C26,Roster!$B:$B,0))&amp;""),"—"))</f>
        <v/>
      </c>
      <c r="L26">
        <f>IF($C26="","",IFERROR(IF(INDEX(Roster!$K:$K,MATCH($C26,Roster!$B:$B,0))="","",INDEX(Roster!$K:$K,MATCH($C26,Roster!$B:$B,0))&amp;""),"—"))</f>
        <v/>
      </c>
      <c r="M26" s="27" t="n"/>
      <c r="N26" s="27" t="n"/>
      <c r="O26" s="25">
        <f>IF($C26="","",IF($P26="","—",IF($P26="Valid (Pass)","Valid","Invalid")))</f>
        <v/>
      </c>
      <c r="P26" s="27" t="n"/>
      <c r="Q26" s="27" t="n"/>
      <c r="R26" s="27" t="n"/>
      <c r="S26" s="27" t="n"/>
      <c r="T26" s="25">
        <f>IF($C26="","",IF(OR(ISNUMBER(SEARCH("quick case",$P26)),ISNUMBER(SEARCH("quick case",$Q26))),"Yes","No"))</f>
        <v/>
      </c>
      <c r="U26" s="25">
        <f>IF($O26="Invalid",HYPERLINK("mailto:"&amp;$G26&amp;";"&amp;$I26&amp;"?cc="&amp;Lists!$E$2&amp;"&amp;subject="&amp;_xlfn.ENCODEURL("[INVALID] Quality audit monitoring completed for "&amp;UPPER($C26))&amp;"&amp;body="&amp;_xlfn.ENCODEURL("Hi "&amp;$F26&amp;","&amp;CHAR(10)&amp;"Good day!"&amp;CHAR(10)&amp;CHAR(10)&amp;"A quality monitoring audit has been completed for "&amp;$C26&amp;"."&amp;CHAR(10)&amp;CHAR(10)&amp;"QUALITY AUDIT DETAILS"&amp;CHAR(10)&amp;"Agent Name: "&amp;$C26&amp;" (EID "&amp;$D26&amp;")"&amp;CHAR(10)&amp;"Audit Date: "&amp;TEXT($B26,"yyyy-mm-dd")&amp;CHAR(10)&amp;"Team Leader: "&amp;$F26&amp;CHAR(10)&amp;"Case Number: "&amp;$M26&amp;CHAR(10)&amp;"Transaction ID: "&amp;$N26&amp;CHAR(10)&amp;"Channel / LOB: "&amp;$K26&amp;" / "&amp;$L26&amp;CHAR(10)&amp;"Evaluator: "&amp;$S26&amp;CHAR(10)&amp;CHAR(10)&amp;"INVALID QUALITY AUDIT DETAILS"&amp;CHAR(10)&amp;"Validation: Invalid"&amp;CHAR(10)&amp;"Invalid Reason: "&amp;$P26&amp;CHAR(10)&amp;"Expected Resolution Code: "&amp;$Q26&amp;CHAR(10)&amp;"Remarks: "&amp;LEFT($R26,600)&amp;CHAR(10)&amp;CHAR(10)&amp;"This is an automated notification from HP Mainstream EQMS."),"✉ Open Email Draft"),"")</f>
        <v/>
      </c>
    </row>
    <row r="27">
      <c r="A27" s="25">
        <f>IF($C27="","","AUD-2026-"&amp;TEXT(ROW()-1,"000000"))</f>
        <v/>
      </c>
      <c r="B27" s="26" t="n"/>
      <c r="C27" s="27" t="n"/>
      <c r="D27" s="25">
        <f>IF($C27="","",IFERROR(IF(INDEX(Roster!$A:$A,MATCH($C27,Roster!$B:$B,0))="","",INDEX(Roster!$A:$A,MATCH($C27,Roster!$B:$B,0))&amp;""),"—"))</f>
        <v/>
      </c>
      <c r="E27" s="25">
        <f>IF($C27="","",IFERROR(IF(INDEX(Roster!$C:$C,MATCH($C27,Roster!$B:$B,0))="","",INDEX(Roster!$C:$C,MATCH($C27,Roster!$B:$B,0))&amp;""),"—"))</f>
        <v/>
      </c>
      <c r="F27" s="25">
        <f>IF($C27="","",IFERROR(IF(INDEX(Roster!$D:$D,MATCH($C27,Roster!$B:$B,0))="","",INDEX(Roster!$D:$D,MATCH($C27,Roster!$B:$B,0))&amp;""),"—"))</f>
        <v/>
      </c>
      <c r="G27" s="25">
        <f>IF($C27="","",IFERROR(IF(INDEX(Roster!$E:$E,MATCH($C27,Roster!$B:$B,0))="","",INDEX(Roster!$E:$E,MATCH($C27,Roster!$B:$B,0))&amp;""),"—"))</f>
        <v/>
      </c>
      <c r="H27" s="25">
        <f>IF($C27="","",IFERROR(IF(INDEX(Roster!$F:$F,MATCH($C27,Roster!$B:$B,0))="","",INDEX(Roster!$F:$F,MATCH($C27,Roster!$B:$B,0))&amp;""),"—"))</f>
        <v/>
      </c>
      <c r="I27" s="25">
        <f>IF($C27="","",IFERROR(IF(INDEX(Roster!$G:$G,MATCH($C27,Roster!$B:$B,0))="","",INDEX(Roster!$G:$G,MATCH($C27,Roster!$B:$B,0))&amp;""),"—"))</f>
        <v/>
      </c>
      <c r="J27" s="25">
        <f>IF($C27="","",IFERROR(IF(INDEX(Roster!$I:$I,MATCH($C27,Roster!$B:$B,0))="","",INDEX(Roster!$I:$I,MATCH($C27,Roster!$B:$B,0))&amp;""),"—"))</f>
        <v/>
      </c>
      <c r="K27">
        <f>IF($C27="","",IFERROR(IF(INDEX(Roster!$J:$J,MATCH($C27,Roster!$B:$B,0))="","",INDEX(Roster!$J:$J,MATCH($C27,Roster!$B:$B,0))&amp;""),"—"))</f>
        <v/>
      </c>
      <c r="L27">
        <f>IF($C27="","",IFERROR(IF(INDEX(Roster!$K:$K,MATCH($C27,Roster!$B:$B,0))="","",INDEX(Roster!$K:$K,MATCH($C27,Roster!$B:$B,0))&amp;""),"—"))</f>
        <v/>
      </c>
      <c r="M27" s="27" t="n"/>
      <c r="N27" s="27" t="n"/>
      <c r="O27" s="25">
        <f>IF($C27="","",IF($P27="","—",IF($P27="Valid (Pass)","Valid","Invalid")))</f>
        <v/>
      </c>
      <c r="P27" s="27" t="n"/>
      <c r="Q27" s="27" t="n"/>
      <c r="R27" s="27" t="n"/>
      <c r="S27" s="27" t="n"/>
      <c r="T27" s="25">
        <f>IF($C27="","",IF(OR(ISNUMBER(SEARCH("quick case",$P27)),ISNUMBER(SEARCH("quick case",$Q27))),"Yes","No"))</f>
        <v/>
      </c>
      <c r="U27" s="25">
        <f>IF($O27="Invalid",HYPERLINK("mailto:"&amp;$G27&amp;";"&amp;$I27&amp;"?cc="&amp;Lists!$E$2&amp;"&amp;subject="&amp;_xlfn.ENCODEURL("[INVALID] Quality audit monitoring completed for "&amp;UPPER($C27))&amp;"&amp;body="&amp;_xlfn.ENCODEURL("Hi "&amp;$F27&amp;","&amp;CHAR(10)&amp;"Good day!"&amp;CHAR(10)&amp;CHAR(10)&amp;"A quality monitoring audit has been completed for "&amp;$C27&amp;"."&amp;CHAR(10)&amp;CHAR(10)&amp;"QUALITY AUDIT DETAILS"&amp;CHAR(10)&amp;"Agent Name: "&amp;$C27&amp;" (EID "&amp;$D27&amp;")"&amp;CHAR(10)&amp;"Audit Date: "&amp;TEXT($B27,"yyyy-mm-dd")&amp;CHAR(10)&amp;"Team Leader: "&amp;$F27&amp;CHAR(10)&amp;"Case Number: "&amp;$M27&amp;CHAR(10)&amp;"Transaction ID: "&amp;$N27&amp;CHAR(10)&amp;"Channel / LOB: "&amp;$K27&amp;" / "&amp;$L27&amp;CHAR(10)&amp;"Evaluator: "&amp;$S27&amp;CHAR(10)&amp;CHAR(10)&amp;"INVALID QUALITY AUDIT DETAILS"&amp;CHAR(10)&amp;"Validation: Invalid"&amp;CHAR(10)&amp;"Invalid Reason: "&amp;$P27&amp;CHAR(10)&amp;"Expected Resolution Code: "&amp;$Q27&amp;CHAR(10)&amp;"Remarks: "&amp;LEFT($R27,600)&amp;CHAR(10)&amp;CHAR(10)&amp;"This is an automated notification from HP Mainstream EQMS."),"✉ Open Email Draft"),"")</f>
        <v/>
      </c>
    </row>
    <row r="28">
      <c r="A28" s="25">
        <f>IF($C28="","","AUD-2026-"&amp;TEXT(ROW()-1,"000000"))</f>
        <v/>
      </c>
      <c r="B28" s="26" t="n"/>
      <c r="C28" s="27" t="n"/>
      <c r="D28" s="25">
        <f>IF($C28="","",IFERROR(IF(INDEX(Roster!$A:$A,MATCH($C28,Roster!$B:$B,0))="","",INDEX(Roster!$A:$A,MATCH($C28,Roster!$B:$B,0))&amp;""),"—"))</f>
        <v/>
      </c>
      <c r="E28" s="25">
        <f>IF($C28="","",IFERROR(IF(INDEX(Roster!$C:$C,MATCH($C28,Roster!$B:$B,0))="","",INDEX(Roster!$C:$C,MATCH($C28,Roster!$B:$B,0))&amp;""),"—"))</f>
        <v/>
      </c>
      <c r="F28" s="25">
        <f>IF($C28="","",IFERROR(IF(INDEX(Roster!$D:$D,MATCH($C28,Roster!$B:$B,0))="","",INDEX(Roster!$D:$D,MATCH($C28,Roster!$B:$B,0))&amp;""),"—"))</f>
        <v/>
      </c>
      <c r="G28" s="25">
        <f>IF($C28="","",IFERROR(IF(INDEX(Roster!$E:$E,MATCH($C28,Roster!$B:$B,0))="","",INDEX(Roster!$E:$E,MATCH($C28,Roster!$B:$B,0))&amp;""),"—"))</f>
        <v/>
      </c>
      <c r="H28" s="25">
        <f>IF($C28="","",IFERROR(IF(INDEX(Roster!$F:$F,MATCH($C28,Roster!$B:$B,0))="","",INDEX(Roster!$F:$F,MATCH($C28,Roster!$B:$B,0))&amp;""),"—"))</f>
        <v/>
      </c>
      <c r="I28" s="25">
        <f>IF($C28="","",IFERROR(IF(INDEX(Roster!$G:$G,MATCH($C28,Roster!$B:$B,0))="","",INDEX(Roster!$G:$G,MATCH($C28,Roster!$B:$B,0))&amp;""),"—"))</f>
        <v/>
      </c>
      <c r="J28" s="25">
        <f>IF($C28="","",IFERROR(IF(INDEX(Roster!$I:$I,MATCH($C28,Roster!$B:$B,0))="","",INDEX(Roster!$I:$I,MATCH($C28,Roster!$B:$B,0))&amp;""),"—"))</f>
        <v/>
      </c>
      <c r="K28">
        <f>IF($C28="","",IFERROR(IF(INDEX(Roster!$J:$J,MATCH($C28,Roster!$B:$B,0))="","",INDEX(Roster!$J:$J,MATCH($C28,Roster!$B:$B,0))&amp;""),"—"))</f>
        <v/>
      </c>
      <c r="L28">
        <f>IF($C28="","",IFERROR(IF(INDEX(Roster!$K:$K,MATCH($C28,Roster!$B:$B,0))="","",INDEX(Roster!$K:$K,MATCH($C28,Roster!$B:$B,0))&amp;""),"—"))</f>
        <v/>
      </c>
      <c r="M28" s="27" t="n"/>
      <c r="N28" s="27" t="n"/>
      <c r="O28" s="25">
        <f>IF($C28="","",IF($P28="","—",IF($P28="Valid (Pass)","Valid","Invalid")))</f>
        <v/>
      </c>
      <c r="P28" s="27" t="n"/>
      <c r="Q28" s="27" t="n"/>
      <c r="R28" s="27" t="n"/>
      <c r="S28" s="27" t="n"/>
      <c r="T28" s="25">
        <f>IF($C28="","",IF(OR(ISNUMBER(SEARCH("quick case",$P28)),ISNUMBER(SEARCH("quick case",$Q28))),"Yes","No"))</f>
        <v/>
      </c>
      <c r="U28" s="25">
        <f>IF($O28="Invalid",HYPERLINK("mailto:"&amp;$G28&amp;";"&amp;$I28&amp;"?cc="&amp;Lists!$E$2&amp;"&amp;subject="&amp;_xlfn.ENCODEURL("[INVALID] Quality audit monitoring completed for "&amp;UPPER($C28))&amp;"&amp;body="&amp;_xlfn.ENCODEURL("Hi "&amp;$F28&amp;","&amp;CHAR(10)&amp;"Good day!"&amp;CHAR(10)&amp;CHAR(10)&amp;"A quality monitoring audit has been completed for "&amp;$C28&amp;"."&amp;CHAR(10)&amp;CHAR(10)&amp;"QUALITY AUDIT DETAILS"&amp;CHAR(10)&amp;"Agent Name: "&amp;$C28&amp;" (EID "&amp;$D28&amp;")"&amp;CHAR(10)&amp;"Audit Date: "&amp;TEXT($B28,"yyyy-mm-dd")&amp;CHAR(10)&amp;"Team Leader: "&amp;$F28&amp;CHAR(10)&amp;"Case Number: "&amp;$M28&amp;CHAR(10)&amp;"Transaction ID: "&amp;$N28&amp;CHAR(10)&amp;"Channel / LOB: "&amp;$K28&amp;" / "&amp;$L28&amp;CHAR(10)&amp;"Evaluator: "&amp;$S28&amp;CHAR(10)&amp;CHAR(10)&amp;"INVALID QUALITY AUDIT DETAILS"&amp;CHAR(10)&amp;"Validation: Invalid"&amp;CHAR(10)&amp;"Invalid Reason: "&amp;$P28&amp;CHAR(10)&amp;"Expected Resolution Code: "&amp;$Q28&amp;CHAR(10)&amp;"Remarks: "&amp;LEFT($R28,600)&amp;CHAR(10)&amp;CHAR(10)&amp;"This is an automated notification from HP Mainstream EQMS."),"✉ Open Email Draft"),"")</f>
        <v/>
      </c>
    </row>
    <row r="29">
      <c r="A29" s="25">
        <f>IF($C29="","","AUD-2026-"&amp;TEXT(ROW()-1,"000000"))</f>
        <v/>
      </c>
      <c r="B29" s="26" t="n"/>
      <c r="C29" s="27" t="n"/>
      <c r="D29" s="25">
        <f>IF($C29="","",IFERROR(IF(INDEX(Roster!$A:$A,MATCH($C29,Roster!$B:$B,0))="","",INDEX(Roster!$A:$A,MATCH($C29,Roster!$B:$B,0))&amp;""),"—"))</f>
        <v/>
      </c>
      <c r="E29" s="25">
        <f>IF($C29="","",IFERROR(IF(INDEX(Roster!$C:$C,MATCH($C29,Roster!$B:$B,0))="","",INDEX(Roster!$C:$C,MATCH($C29,Roster!$B:$B,0))&amp;""),"—"))</f>
        <v/>
      </c>
      <c r="F29" s="25">
        <f>IF($C29="","",IFERROR(IF(INDEX(Roster!$D:$D,MATCH($C29,Roster!$B:$B,0))="","",INDEX(Roster!$D:$D,MATCH($C29,Roster!$B:$B,0))&amp;""),"—"))</f>
        <v/>
      </c>
      <c r="G29" s="25">
        <f>IF($C29="","",IFERROR(IF(INDEX(Roster!$E:$E,MATCH($C29,Roster!$B:$B,0))="","",INDEX(Roster!$E:$E,MATCH($C29,Roster!$B:$B,0))&amp;""),"—"))</f>
        <v/>
      </c>
      <c r="H29" s="25">
        <f>IF($C29="","",IFERROR(IF(INDEX(Roster!$F:$F,MATCH($C29,Roster!$B:$B,0))="","",INDEX(Roster!$F:$F,MATCH($C29,Roster!$B:$B,0))&amp;""),"—"))</f>
        <v/>
      </c>
      <c r="I29" s="25">
        <f>IF($C29="","",IFERROR(IF(INDEX(Roster!$G:$G,MATCH($C29,Roster!$B:$B,0))="","",INDEX(Roster!$G:$G,MATCH($C29,Roster!$B:$B,0))&amp;""),"—"))</f>
        <v/>
      </c>
      <c r="J29" s="25">
        <f>IF($C29="","",IFERROR(IF(INDEX(Roster!$I:$I,MATCH($C29,Roster!$B:$B,0))="","",INDEX(Roster!$I:$I,MATCH($C29,Roster!$B:$B,0))&amp;""),"—"))</f>
        <v/>
      </c>
      <c r="K29">
        <f>IF($C29="","",IFERROR(IF(INDEX(Roster!$J:$J,MATCH($C29,Roster!$B:$B,0))="","",INDEX(Roster!$J:$J,MATCH($C29,Roster!$B:$B,0))&amp;""),"—"))</f>
        <v/>
      </c>
      <c r="L29">
        <f>IF($C29="","",IFERROR(IF(INDEX(Roster!$K:$K,MATCH($C29,Roster!$B:$B,0))="","",INDEX(Roster!$K:$K,MATCH($C29,Roster!$B:$B,0))&amp;""),"—"))</f>
        <v/>
      </c>
      <c r="M29" s="27" t="n"/>
      <c r="N29" s="27" t="n"/>
      <c r="O29" s="25">
        <f>IF($C29="","",IF($P29="","—",IF($P29="Valid (Pass)","Valid","Invalid")))</f>
        <v/>
      </c>
      <c r="P29" s="27" t="n"/>
      <c r="Q29" s="27" t="n"/>
      <c r="R29" s="27" t="n"/>
      <c r="S29" s="27" t="n"/>
      <c r="T29" s="25">
        <f>IF($C29="","",IF(OR(ISNUMBER(SEARCH("quick case",$P29)),ISNUMBER(SEARCH("quick case",$Q29))),"Yes","No"))</f>
        <v/>
      </c>
      <c r="U29" s="25">
        <f>IF($O29="Invalid",HYPERLINK("mailto:"&amp;$G29&amp;";"&amp;$I29&amp;"?cc="&amp;Lists!$E$2&amp;"&amp;subject="&amp;_xlfn.ENCODEURL("[INVALID] Quality audit monitoring completed for "&amp;UPPER($C29))&amp;"&amp;body="&amp;_xlfn.ENCODEURL("Hi "&amp;$F29&amp;","&amp;CHAR(10)&amp;"Good day!"&amp;CHAR(10)&amp;CHAR(10)&amp;"A quality monitoring audit has been completed for "&amp;$C29&amp;"."&amp;CHAR(10)&amp;CHAR(10)&amp;"QUALITY AUDIT DETAILS"&amp;CHAR(10)&amp;"Agent Name: "&amp;$C29&amp;" (EID "&amp;$D29&amp;")"&amp;CHAR(10)&amp;"Audit Date: "&amp;TEXT($B29,"yyyy-mm-dd")&amp;CHAR(10)&amp;"Team Leader: "&amp;$F29&amp;CHAR(10)&amp;"Case Number: "&amp;$M29&amp;CHAR(10)&amp;"Transaction ID: "&amp;$N29&amp;CHAR(10)&amp;"Channel / LOB: "&amp;$K29&amp;" / "&amp;$L29&amp;CHAR(10)&amp;"Evaluator: "&amp;$S29&amp;CHAR(10)&amp;CHAR(10)&amp;"INVALID QUALITY AUDIT DETAILS"&amp;CHAR(10)&amp;"Validation: Invalid"&amp;CHAR(10)&amp;"Invalid Reason: "&amp;$P29&amp;CHAR(10)&amp;"Expected Resolution Code: "&amp;$Q29&amp;CHAR(10)&amp;"Remarks: "&amp;LEFT($R29,600)&amp;CHAR(10)&amp;CHAR(10)&amp;"This is an automated notification from HP Mainstream EQMS."),"✉ Open Email Draft"),"")</f>
        <v/>
      </c>
    </row>
    <row r="30">
      <c r="A30" s="25">
        <f>IF($C30="","","AUD-2026-"&amp;TEXT(ROW()-1,"000000"))</f>
        <v/>
      </c>
      <c r="B30" s="26" t="n"/>
      <c r="C30" s="27" t="n"/>
      <c r="D30" s="25">
        <f>IF($C30="","",IFERROR(IF(INDEX(Roster!$A:$A,MATCH($C30,Roster!$B:$B,0))="","",INDEX(Roster!$A:$A,MATCH($C30,Roster!$B:$B,0))&amp;""),"—"))</f>
        <v/>
      </c>
      <c r="E30" s="25">
        <f>IF($C30="","",IFERROR(IF(INDEX(Roster!$C:$C,MATCH($C30,Roster!$B:$B,0))="","",INDEX(Roster!$C:$C,MATCH($C30,Roster!$B:$B,0))&amp;""),"—"))</f>
        <v/>
      </c>
      <c r="F30" s="25">
        <f>IF($C30="","",IFERROR(IF(INDEX(Roster!$D:$D,MATCH($C30,Roster!$B:$B,0))="","",INDEX(Roster!$D:$D,MATCH($C30,Roster!$B:$B,0))&amp;""),"—"))</f>
        <v/>
      </c>
      <c r="G30" s="25">
        <f>IF($C30="","",IFERROR(IF(INDEX(Roster!$E:$E,MATCH($C30,Roster!$B:$B,0))="","",INDEX(Roster!$E:$E,MATCH($C30,Roster!$B:$B,0))&amp;""),"—"))</f>
        <v/>
      </c>
      <c r="H30" s="25">
        <f>IF($C30="","",IFERROR(IF(INDEX(Roster!$F:$F,MATCH($C30,Roster!$B:$B,0))="","",INDEX(Roster!$F:$F,MATCH($C30,Roster!$B:$B,0))&amp;""),"—"))</f>
        <v/>
      </c>
      <c r="I30" s="25">
        <f>IF($C30="","",IFERROR(IF(INDEX(Roster!$G:$G,MATCH($C30,Roster!$B:$B,0))="","",INDEX(Roster!$G:$G,MATCH($C30,Roster!$B:$B,0))&amp;""),"—"))</f>
        <v/>
      </c>
      <c r="J30" s="25">
        <f>IF($C30="","",IFERROR(IF(INDEX(Roster!$I:$I,MATCH($C30,Roster!$B:$B,0))="","",INDEX(Roster!$I:$I,MATCH($C30,Roster!$B:$B,0))&amp;""),"—"))</f>
        <v/>
      </c>
      <c r="K30">
        <f>IF($C30="","",IFERROR(IF(INDEX(Roster!$J:$J,MATCH($C30,Roster!$B:$B,0))="","",INDEX(Roster!$J:$J,MATCH($C30,Roster!$B:$B,0))&amp;""),"—"))</f>
        <v/>
      </c>
      <c r="L30">
        <f>IF($C30="","",IFERROR(IF(INDEX(Roster!$K:$K,MATCH($C30,Roster!$B:$B,0))="","",INDEX(Roster!$K:$K,MATCH($C30,Roster!$B:$B,0))&amp;""),"—"))</f>
        <v/>
      </c>
      <c r="M30" s="27" t="n"/>
      <c r="N30" s="27" t="n"/>
      <c r="O30" s="25">
        <f>IF($C30="","",IF($P30="","—",IF($P30="Valid (Pass)","Valid","Invalid")))</f>
        <v/>
      </c>
      <c r="P30" s="27" t="n"/>
      <c r="Q30" s="27" t="n"/>
      <c r="R30" s="27" t="n"/>
      <c r="S30" s="27" t="n"/>
      <c r="T30" s="25">
        <f>IF($C30="","",IF(OR(ISNUMBER(SEARCH("quick case",$P30)),ISNUMBER(SEARCH("quick case",$Q30))),"Yes","No"))</f>
        <v/>
      </c>
      <c r="U30" s="25">
        <f>IF($O30="Invalid",HYPERLINK("mailto:"&amp;$G30&amp;";"&amp;$I30&amp;"?cc="&amp;Lists!$E$2&amp;"&amp;subject="&amp;_xlfn.ENCODEURL("[INVALID] Quality audit monitoring completed for "&amp;UPPER($C30))&amp;"&amp;body="&amp;_xlfn.ENCODEURL("Hi "&amp;$F30&amp;","&amp;CHAR(10)&amp;"Good day!"&amp;CHAR(10)&amp;CHAR(10)&amp;"A quality monitoring audit has been completed for "&amp;$C30&amp;"."&amp;CHAR(10)&amp;CHAR(10)&amp;"QUALITY AUDIT DETAILS"&amp;CHAR(10)&amp;"Agent Name: "&amp;$C30&amp;" (EID "&amp;$D30&amp;")"&amp;CHAR(10)&amp;"Audit Date: "&amp;TEXT($B30,"yyyy-mm-dd")&amp;CHAR(10)&amp;"Team Leader: "&amp;$F30&amp;CHAR(10)&amp;"Case Number: "&amp;$M30&amp;CHAR(10)&amp;"Transaction ID: "&amp;$N30&amp;CHAR(10)&amp;"Channel / LOB: "&amp;$K30&amp;" / "&amp;$L30&amp;CHAR(10)&amp;"Evaluator: "&amp;$S30&amp;CHAR(10)&amp;CHAR(10)&amp;"INVALID QUALITY AUDIT DETAILS"&amp;CHAR(10)&amp;"Validation: Invalid"&amp;CHAR(10)&amp;"Invalid Reason: "&amp;$P30&amp;CHAR(10)&amp;"Expected Resolution Code: "&amp;$Q30&amp;CHAR(10)&amp;"Remarks: "&amp;LEFT($R30,600)&amp;CHAR(10)&amp;CHAR(10)&amp;"This is an automated notification from HP Mainstream EQMS."),"✉ Open Email Draft"),"")</f>
        <v/>
      </c>
    </row>
    <row r="31">
      <c r="A31" s="25">
        <f>IF($C31="","","AUD-2026-"&amp;TEXT(ROW()-1,"000000"))</f>
        <v/>
      </c>
      <c r="B31" s="26" t="n"/>
      <c r="C31" s="27" t="n"/>
      <c r="D31" s="25">
        <f>IF($C31="","",IFERROR(IF(INDEX(Roster!$A:$A,MATCH($C31,Roster!$B:$B,0))="","",INDEX(Roster!$A:$A,MATCH($C31,Roster!$B:$B,0))&amp;""),"—"))</f>
        <v/>
      </c>
      <c r="E31" s="25">
        <f>IF($C31="","",IFERROR(IF(INDEX(Roster!$C:$C,MATCH($C31,Roster!$B:$B,0))="","",INDEX(Roster!$C:$C,MATCH($C31,Roster!$B:$B,0))&amp;""),"—"))</f>
        <v/>
      </c>
      <c r="F31" s="25">
        <f>IF($C31="","",IFERROR(IF(INDEX(Roster!$D:$D,MATCH($C31,Roster!$B:$B,0))="","",INDEX(Roster!$D:$D,MATCH($C31,Roster!$B:$B,0))&amp;""),"—"))</f>
        <v/>
      </c>
      <c r="G31" s="25">
        <f>IF($C31="","",IFERROR(IF(INDEX(Roster!$E:$E,MATCH($C31,Roster!$B:$B,0))="","",INDEX(Roster!$E:$E,MATCH($C31,Roster!$B:$B,0))&amp;""),"—"))</f>
        <v/>
      </c>
      <c r="H31" s="25">
        <f>IF($C31="","",IFERROR(IF(INDEX(Roster!$F:$F,MATCH($C31,Roster!$B:$B,0))="","",INDEX(Roster!$F:$F,MATCH($C31,Roster!$B:$B,0))&amp;""),"—"))</f>
        <v/>
      </c>
      <c r="I31" s="25">
        <f>IF($C31="","",IFERROR(IF(INDEX(Roster!$G:$G,MATCH($C31,Roster!$B:$B,0))="","",INDEX(Roster!$G:$G,MATCH($C31,Roster!$B:$B,0))&amp;""),"—"))</f>
        <v/>
      </c>
      <c r="J31" s="25">
        <f>IF($C31="","",IFERROR(IF(INDEX(Roster!$I:$I,MATCH($C31,Roster!$B:$B,0))="","",INDEX(Roster!$I:$I,MATCH($C31,Roster!$B:$B,0))&amp;""),"—"))</f>
        <v/>
      </c>
      <c r="K31">
        <f>IF($C31="","",IFERROR(IF(INDEX(Roster!$J:$J,MATCH($C31,Roster!$B:$B,0))="","",INDEX(Roster!$J:$J,MATCH($C31,Roster!$B:$B,0))&amp;""),"—"))</f>
        <v/>
      </c>
      <c r="L31">
        <f>IF($C31="","",IFERROR(IF(INDEX(Roster!$K:$K,MATCH($C31,Roster!$B:$B,0))="","",INDEX(Roster!$K:$K,MATCH($C31,Roster!$B:$B,0))&amp;""),"—"))</f>
        <v/>
      </c>
      <c r="M31" s="27" t="n"/>
      <c r="N31" s="27" t="n"/>
      <c r="O31" s="25">
        <f>IF($C31="","",IF($P31="","—",IF($P31="Valid (Pass)","Valid","Invalid")))</f>
        <v/>
      </c>
      <c r="P31" s="27" t="n"/>
      <c r="Q31" s="27" t="n"/>
      <c r="R31" s="27" t="n"/>
      <c r="S31" s="27" t="n"/>
      <c r="T31" s="25">
        <f>IF($C31="","",IF(OR(ISNUMBER(SEARCH("quick case",$P31)),ISNUMBER(SEARCH("quick case",$Q31))),"Yes","No"))</f>
        <v/>
      </c>
      <c r="U31" s="25">
        <f>IF($O31="Invalid",HYPERLINK("mailto:"&amp;$G31&amp;";"&amp;$I31&amp;"?cc="&amp;Lists!$E$2&amp;"&amp;subject="&amp;_xlfn.ENCODEURL("[INVALID] Quality audit monitoring completed for "&amp;UPPER($C31))&amp;"&amp;body="&amp;_xlfn.ENCODEURL("Hi "&amp;$F31&amp;","&amp;CHAR(10)&amp;"Good day!"&amp;CHAR(10)&amp;CHAR(10)&amp;"A quality monitoring audit has been completed for "&amp;$C31&amp;"."&amp;CHAR(10)&amp;CHAR(10)&amp;"QUALITY AUDIT DETAILS"&amp;CHAR(10)&amp;"Agent Name: "&amp;$C31&amp;" (EID "&amp;$D31&amp;")"&amp;CHAR(10)&amp;"Audit Date: "&amp;TEXT($B31,"yyyy-mm-dd")&amp;CHAR(10)&amp;"Team Leader: "&amp;$F31&amp;CHAR(10)&amp;"Case Number: "&amp;$M31&amp;CHAR(10)&amp;"Transaction ID: "&amp;$N31&amp;CHAR(10)&amp;"Channel / LOB: "&amp;$K31&amp;" / "&amp;$L31&amp;CHAR(10)&amp;"Evaluator: "&amp;$S31&amp;CHAR(10)&amp;CHAR(10)&amp;"INVALID QUALITY AUDIT DETAILS"&amp;CHAR(10)&amp;"Validation: Invalid"&amp;CHAR(10)&amp;"Invalid Reason: "&amp;$P31&amp;CHAR(10)&amp;"Expected Resolution Code: "&amp;$Q31&amp;CHAR(10)&amp;"Remarks: "&amp;LEFT($R31,600)&amp;CHAR(10)&amp;CHAR(10)&amp;"This is an automated notification from HP Mainstream EQMS."),"✉ Open Email Draft"),"")</f>
        <v/>
      </c>
    </row>
    <row r="32">
      <c r="A32" s="25">
        <f>IF($C32="","","AUD-2026-"&amp;TEXT(ROW()-1,"000000"))</f>
        <v/>
      </c>
      <c r="B32" s="26" t="n"/>
      <c r="C32" s="27" t="n"/>
      <c r="D32" s="25">
        <f>IF($C32="","",IFERROR(IF(INDEX(Roster!$A:$A,MATCH($C32,Roster!$B:$B,0))="","",INDEX(Roster!$A:$A,MATCH($C32,Roster!$B:$B,0))&amp;""),"—"))</f>
        <v/>
      </c>
      <c r="E32" s="25">
        <f>IF($C32="","",IFERROR(IF(INDEX(Roster!$C:$C,MATCH($C32,Roster!$B:$B,0))="","",INDEX(Roster!$C:$C,MATCH($C32,Roster!$B:$B,0))&amp;""),"—"))</f>
        <v/>
      </c>
      <c r="F32" s="25">
        <f>IF($C32="","",IFERROR(IF(INDEX(Roster!$D:$D,MATCH($C32,Roster!$B:$B,0))="","",INDEX(Roster!$D:$D,MATCH($C32,Roster!$B:$B,0))&amp;""),"—"))</f>
        <v/>
      </c>
      <c r="G32" s="25">
        <f>IF($C32="","",IFERROR(IF(INDEX(Roster!$E:$E,MATCH($C32,Roster!$B:$B,0))="","",INDEX(Roster!$E:$E,MATCH($C32,Roster!$B:$B,0))&amp;""),"—"))</f>
        <v/>
      </c>
      <c r="H32" s="25">
        <f>IF($C32="","",IFERROR(IF(INDEX(Roster!$F:$F,MATCH($C32,Roster!$B:$B,0))="","",INDEX(Roster!$F:$F,MATCH($C32,Roster!$B:$B,0))&amp;""),"—"))</f>
        <v/>
      </c>
      <c r="I32" s="25">
        <f>IF($C32="","",IFERROR(IF(INDEX(Roster!$G:$G,MATCH($C32,Roster!$B:$B,0))="","",INDEX(Roster!$G:$G,MATCH($C32,Roster!$B:$B,0))&amp;""),"—"))</f>
        <v/>
      </c>
      <c r="J32" s="25">
        <f>IF($C32="","",IFERROR(IF(INDEX(Roster!$I:$I,MATCH($C32,Roster!$B:$B,0))="","",INDEX(Roster!$I:$I,MATCH($C32,Roster!$B:$B,0))&amp;""),"—"))</f>
        <v/>
      </c>
      <c r="K32">
        <f>IF($C32="","",IFERROR(IF(INDEX(Roster!$J:$J,MATCH($C32,Roster!$B:$B,0))="","",INDEX(Roster!$J:$J,MATCH($C32,Roster!$B:$B,0))&amp;""),"—"))</f>
        <v/>
      </c>
      <c r="L32">
        <f>IF($C32="","",IFERROR(IF(INDEX(Roster!$K:$K,MATCH($C32,Roster!$B:$B,0))="","",INDEX(Roster!$K:$K,MATCH($C32,Roster!$B:$B,0))&amp;""),"—"))</f>
        <v/>
      </c>
      <c r="M32" s="27" t="n"/>
      <c r="N32" s="27" t="n"/>
      <c r="O32" s="25">
        <f>IF($C32="","",IF($P32="","—",IF($P32="Valid (Pass)","Valid","Invalid")))</f>
        <v/>
      </c>
      <c r="P32" s="27" t="n"/>
      <c r="Q32" s="27" t="n"/>
      <c r="R32" s="27" t="n"/>
      <c r="S32" s="27" t="n"/>
      <c r="T32" s="25">
        <f>IF($C32="","",IF(OR(ISNUMBER(SEARCH("quick case",$P32)),ISNUMBER(SEARCH("quick case",$Q32))),"Yes","No"))</f>
        <v/>
      </c>
      <c r="U32" s="25">
        <f>IF($O32="Invalid",HYPERLINK("mailto:"&amp;$G32&amp;";"&amp;$I32&amp;"?cc="&amp;Lists!$E$2&amp;"&amp;subject="&amp;_xlfn.ENCODEURL("[INVALID] Quality audit monitoring completed for "&amp;UPPER($C32))&amp;"&amp;body="&amp;_xlfn.ENCODEURL("Hi "&amp;$F32&amp;","&amp;CHAR(10)&amp;"Good day!"&amp;CHAR(10)&amp;CHAR(10)&amp;"A quality monitoring audit has been completed for "&amp;$C32&amp;"."&amp;CHAR(10)&amp;CHAR(10)&amp;"QUALITY AUDIT DETAILS"&amp;CHAR(10)&amp;"Agent Name: "&amp;$C32&amp;" (EID "&amp;$D32&amp;")"&amp;CHAR(10)&amp;"Audit Date: "&amp;TEXT($B32,"yyyy-mm-dd")&amp;CHAR(10)&amp;"Team Leader: "&amp;$F32&amp;CHAR(10)&amp;"Case Number: "&amp;$M32&amp;CHAR(10)&amp;"Transaction ID: "&amp;$N32&amp;CHAR(10)&amp;"Channel / LOB: "&amp;$K32&amp;" / "&amp;$L32&amp;CHAR(10)&amp;"Evaluator: "&amp;$S32&amp;CHAR(10)&amp;CHAR(10)&amp;"INVALID QUALITY AUDIT DETAILS"&amp;CHAR(10)&amp;"Validation: Invalid"&amp;CHAR(10)&amp;"Invalid Reason: "&amp;$P32&amp;CHAR(10)&amp;"Expected Resolution Code: "&amp;$Q32&amp;CHAR(10)&amp;"Remarks: "&amp;LEFT($R32,600)&amp;CHAR(10)&amp;CHAR(10)&amp;"This is an automated notification from HP Mainstream EQMS."),"✉ Open Email Draft"),"")</f>
        <v/>
      </c>
    </row>
    <row r="33">
      <c r="A33" s="25">
        <f>IF($C33="","","AUD-2026-"&amp;TEXT(ROW()-1,"000000"))</f>
        <v/>
      </c>
      <c r="B33" s="26" t="n"/>
      <c r="C33" s="27" t="n"/>
      <c r="D33" s="25">
        <f>IF($C33="","",IFERROR(IF(INDEX(Roster!$A:$A,MATCH($C33,Roster!$B:$B,0))="","",INDEX(Roster!$A:$A,MATCH($C33,Roster!$B:$B,0))&amp;""),"—"))</f>
        <v/>
      </c>
      <c r="E33" s="25">
        <f>IF($C33="","",IFERROR(IF(INDEX(Roster!$C:$C,MATCH($C33,Roster!$B:$B,0))="","",INDEX(Roster!$C:$C,MATCH($C33,Roster!$B:$B,0))&amp;""),"—"))</f>
        <v/>
      </c>
      <c r="F33" s="25">
        <f>IF($C33="","",IFERROR(IF(INDEX(Roster!$D:$D,MATCH($C33,Roster!$B:$B,0))="","",INDEX(Roster!$D:$D,MATCH($C33,Roster!$B:$B,0))&amp;""),"—"))</f>
        <v/>
      </c>
      <c r="G33" s="25">
        <f>IF($C33="","",IFERROR(IF(INDEX(Roster!$E:$E,MATCH($C33,Roster!$B:$B,0))="","",INDEX(Roster!$E:$E,MATCH($C33,Roster!$B:$B,0))&amp;""),"—"))</f>
        <v/>
      </c>
      <c r="H33" s="25">
        <f>IF($C33="","",IFERROR(IF(INDEX(Roster!$F:$F,MATCH($C33,Roster!$B:$B,0))="","",INDEX(Roster!$F:$F,MATCH($C33,Roster!$B:$B,0))&amp;""),"—"))</f>
        <v/>
      </c>
      <c r="I33" s="25">
        <f>IF($C33="","",IFERROR(IF(INDEX(Roster!$G:$G,MATCH($C33,Roster!$B:$B,0))="","",INDEX(Roster!$G:$G,MATCH($C33,Roster!$B:$B,0))&amp;""),"—"))</f>
        <v/>
      </c>
      <c r="J33" s="25">
        <f>IF($C33="","",IFERROR(IF(INDEX(Roster!$I:$I,MATCH($C33,Roster!$B:$B,0))="","",INDEX(Roster!$I:$I,MATCH($C33,Roster!$B:$B,0))&amp;""),"—"))</f>
        <v/>
      </c>
      <c r="K33">
        <f>IF($C33="","",IFERROR(IF(INDEX(Roster!$J:$J,MATCH($C33,Roster!$B:$B,0))="","",INDEX(Roster!$J:$J,MATCH($C33,Roster!$B:$B,0))&amp;""),"—"))</f>
        <v/>
      </c>
      <c r="L33">
        <f>IF($C33="","",IFERROR(IF(INDEX(Roster!$K:$K,MATCH($C33,Roster!$B:$B,0))="","",INDEX(Roster!$K:$K,MATCH($C33,Roster!$B:$B,0))&amp;""),"—"))</f>
        <v/>
      </c>
      <c r="M33" s="27" t="n"/>
      <c r="N33" s="27" t="n"/>
      <c r="O33" s="25">
        <f>IF($C33="","",IF($P33="","—",IF($P33="Valid (Pass)","Valid","Invalid")))</f>
        <v/>
      </c>
      <c r="P33" s="27" t="n"/>
      <c r="Q33" s="27" t="n"/>
      <c r="R33" s="27" t="n"/>
      <c r="S33" s="27" t="n"/>
      <c r="T33" s="25">
        <f>IF($C33="","",IF(OR(ISNUMBER(SEARCH("quick case",$P33)),ISNUMBER(SEARCH("quick case",$Q33))),"Yes","No"))</f>
        <v/>
      </c>
      <c r="U33" s="25">
        <f>IF($O33="Invalid",HYPERLINK("mailto:"&amp;$G33&amp;";"&amp;$I33&amp;"?cc="&amp;Lists!$E$2&amp;"&amp;subject="&amp;_xlfn.ENCODEURL("[INVALID] Quality audit monitoring completed for "&amp;UPPER($C33))&amp;"&amp;body="&amp;_xlfn.ENCODEURL("Hi "&amp;$F33&amp;","&amp;CHAR(10)&amp;"Good day!"&amp;CHAR(10)&amp;CHAR(10)&amp;"A quality monitoring audit has been completed for "&amp;$C33&amp;"."&amp;CHAR(10)&amp;CHAR(10)&amp;"QUALITY AUDIT DETAILS"&amp;CHAR(10)&amp;"Agent Name: "&amp;$C33&amp;" (EID "&amp;$D33&amp;")"&amp;CHAR(10)&amp;"Audit Date: "&amp;TEXT($B33,"yyyy-mm-dd")&amp;CHAR(10)&amp;"Team Leader: "&amp;$F33&amp;CHAR(10)&amp;"Case Number: "&amp;$M33&amp;CHAR(10)&amp;"Transaction ID: "&amp;$N33&amp;CHAR(10)&amp;"Channel / LOB: "&amp;$K33&amp;" / "&amp;$L33&amp;CHAR(10)&amp;"Evaluator: "&amp;$S33&amp;CHAR(10)&amp;CHAR(10)&amp;"INVALID QUALITY AUDIT DETAILS"&amp;CHAR(10)&amp;"Validation: Invalid"&amp;CHAR(10)&amp;"Invalid Reason: "&amp;$P33&amp;CHAR(10)&amp;"Expected Resolution Code: "&amp;$Q33&amp;CHAR(10)&amp;"Remarks: "&amp;LEFT($R33,600)&amp;CHAR(10)&amp;CHAR(10)&amp;"This is an automated notification from HP Mainstream EQMS."),"✉ Open Email Draft"),"")</f>
        <v/>
      </c>
    </row>
    <row r="34">
      <c r="A34" s="25">
        <f>IF($C34="","","AUD-2026-"&amp;TEXT(ROW()-1,"000000"))</f>
        <v/>
      </c>
      <c r="B34" s="26" t="n"/>
      <c r="C34" s="27" t="n"/>
      <c r="D34" s="25">
        <f>IF($C34="","",IFERROR(IF(INDEX(Roster!$A:$A,MATCH($C34,Roster!$B:$B,0))="","",INDEX(Roster!$A:$A,MATCH($C34,Roster!$B:$B,0))&amp;""),"—"))</f>
        <v/>
      </c>
      <c r="E34" s="25">
        <f>IF($C34="","",IFERROR(IF(INDEX(Roster!$C:$C,MATCH($C34,Roster!$B:$B,0))="","",INDEX(Roster!$C:$C,MATCH($C34,Roster!$B:$B,0))&amp;""),"—"))</f>
        <v/>
      </c>
      <c r="F34" s="25">
        <f>IF($C34="","",IFERROR(IF(INDEX(Roster!$D:$D,MATCH($C34,Roster!$B:$B,0))="","",INDEX(Roster!$D:$D,MATCH($C34,Roster!$B:$B,0))&amp;""),"—"))</f>
        <v/>
      </c>
      <c r="G34" s="25">
        <f>IF($C34="","",IFERROR(IF(INDEX(Roster!$E:$E,MATCH($C34,Roster!$B:$B,0))="","",INDEX(Roster!$E:$E,MATCH($C34,Roster!$B:$B,0))&amp;""),"—"))</f>
        <v/>
      </c>
      <c r="H34" s="25">
        <f>IF($C34="","",IFERROR(IF(INDEX(Roster!$F:$F,MATCH($C34,Roster!$B:$B,0))="","",INDEX(Roster!$F:$F,MATCH($C34,Roster!$B:$B,0))&amp;""),"—"))</f>
        <v/>
      </c>
      <c r="I34" s="25">
        <f>IF($C34="","",IFERROR(IF(INDEX(Roster!$G:$G,MATCH($C34,Roster!$B:$B,0))="","",INDEX(Roster!$G:$G,MATCH($C34,Roster!$B:$B,0))&amp;""),"—"))</f>
        <v/>
      </c>
      <c r="J34" s="25">
        <f>IF($C34="","",IFERROR(IF(INDEX(Roster!$I:$I,MATCH($C34,Roster!$B:$B,0))="","",INDEX(Roster!$I:$I,MATCH($C34,Roster!$B:$B,0))&amp;""),"—"))</f>
        <v/>
      </c>
      <c r="K34">
        <f>IF($C34="","",IFERROR(IF(INDEX(Roster!$J:$J,MATCH($C34,Roster!$B:$B,0))="","",INDEX(Roster!$J:$J,MATCH($C34,Roster!$B:$B,0))&amp;""),"—"))</f>
        <v/>
      </c>
      <c r="L34">
        <f>IF($C34="","",IFERROR(IF(INDEX(Roster!$K:$K,MATCH($C34,Roster!$B:$B,0))="","",INDEX(Roster!$K:$K,MATCH($C34,Roster!$B:$B,0))&amp;""),"—"))</f>
        <v/>
      </c>
      <c r="M34" s="27" t="n"/>
      <c r="N34" s="27" t="n"/>
      <c r="O34" s="25">
        <f>IF($C34="","",IF($P34="","—",IF($P34="Valid (Pass)","Valid","Invalid")))</f>
        <v/>
      </c>
      <c r="P34" s="27" t="n"/>
      <c r="Q34" s="27" t="n"/>
      <c r="R34" s="27" t="n"/>
      <c r="S34" s="27" t="n"/>
      <c r="T34" s="25">
        <f>IF($C34="","",IF(OR(ISNUMBER(SEARCH("quick case",$P34)),ISNUMBER(SEARCH("quick case",$Q34))),"Yes","No"))</f>
        <v/>
      </c>
      <c r="U34" s="25">
        <f>IF($O34="Invalid",HYPERLINK("mailto:"&amp;$G34&amp;";"&amp;$I34&amp;"?cc="&amp;Lists!$E$2&amp;"&amp;subject="&amp;_xlfn.ENCODEURL("[INVALID] Quality audit monitoring completed for "&amp;UPPER($C34))&amp;"&amp;body="&amp;_xlfn.ENCODEURL("Hi "&amp;$F34&amp;","&amp;CHAR(10)&amp;"Good day!"&amp;CHAR(10)&amp;CHAR(10)&amp;"A quality monitoring audit has been completed for "&amp;$C34&amp;"."&amp;CHAR(10)&amp;CHAR(10)&amp;"QUALITY AUDIT DETAILS"&amp;CHAR(10)&amp;"Agent Name: "&amp;$C34&amp;" (EID "&amp;$D34&amp;")"&amp;CHAR(10)&amp;"Audit Date: "&amp;TEXT($B34,"yyyy-mm-dd")&amp;CHAR(10)&amp;"Team Leader: "&amp;$F34&amp;CHAR(10)&amp;"Case Number: "&amp;$M34&amp;CHAR(10)&amp;"Transaction ID: "&amp;$N34&amp;CHAR(10)&amp;"Channel / LOB: "&amp;$K34&amp;" / "&amp;$L34&amp;CHAR(10)&amp;"Evaluator: "&amp;$S34&amp;CHAR(10)&amp;CHAR(10)&amp;"INVALID QUALITY AUDIT DETAILS"&amp;CHAR(10)&amp;"Validation: Invalid"&amp;CHAR(10)&amp;"Invalid Reason: "&amp;$P34&amp;CHAR(10)&amp;"Expected Resolution Code: "&amp;$Q34&amp;CHAR(10)&amp;"Remarks: "&amp;LEFT($R34,600)&amp;CHAR(10)&amp;CHAR(10)&amp;"This is an automated notification from HP Mainstream EQMS."),"✉ Open Email Draft"),"")</f>
        <v/>
      </c>
    </row>
    <row r="35">
      <c r="A35" s="25">
        <f>IF($C35="","","AUD-2026-"&amp;TEXT(ROW()-1,"000000"))</f>
        <v/>
      </c>
      <c r="B35" s="26" t="n"/>
      <c r="C35" s="27" t="n"/>
      <c r="D35" s="25">
        <f>IF($C35="","",IFERROR(IF(INDEX(Roster!$A:$A,MATCH($C35,Roster!$B:$B,0))="","",INDEX(Roster!$A:$A,MATCH($C35,Roster!$B:$B,0))&amp;""),"—"))</f>
        <v/>
      </c>
      <c r="E35" s="25">
        <f>IF($C35="","",IFERROR(IF(INDEX(Roster!$C:$C,MATCH($C35,Roster!$B:$B,0))="","",INDEX(Roster!$C:$C,MATCH($C35,Roster!$B:$B,0))&amp;""),"—"))</f>
        <v/>
      </c>
      <c r="F35" s="25">
        <f>IF($C35="","",IFERROR(IF(INDEX(Roster!$D:$D,MATCH($C35,Roster!$B:$B,0))="","",INDEX(Roster!$D:$D,MATCH($C35,Roster!$B:$B,0))&amp;""),"—"))</f>
        <v/>
      </c>
      <c r="G35" s="25">
        <f>IF($C35="","",IFERROR(IF(INDEX(Roster!$E:$E,MATCH($C35,Roster!$B:$B,0))="","",INDEX(Roster!$E:$E,MATCH($C35,Roster!$B:$B,0))&amp;""),"—"))</f>
        <v/>
      </c>
      <c r="H35" s="25">
        <f>IF($C35="","",IFERROR(IF(INDEX(Roster!$F:$F,MATCH($C35,Roster!$B:$B,0))="","",INDEX(Roster!$F:$F,MATCH($C35,Roster!$B:$B,0))&amp;""),"—"))</f>
        <v/>
      </c>
      <c r="I35" s="25">
        <f>IF($C35="","",IFERROR(IF(INDEX(Roster!$G:$G,MATCH($C35,Roster!$B:$B,0))="","",INDEX(Roster!$G:$G,MATCH($C35,Roster!$B:$B,0))&amp;""),"—"))</f>
        <v/>
      </c>
      <c r="J35" s="25">
        <f>IF($C35="","",IFERROR(IF(INDEX(Roster!$I:$I,MATCH($C35,Roster!$B:$B,0))="","",INDEX(Roster!$I:$I,MATCH($C35,Roster!$B:$B,0))&amp;""),"—"))</f>
        <v/>
      </c>
      <c r="K35">
        <f>IF($C35="","",IFERROR(IF(INDEX(Roster!$J:$J,MATCH($C35,Roster!$B:$B,0))="","",INDEX(Roster!$J:$J,MATCH($C35,Roster!$B:$B,0))&amp;""),"—"))</f>
        <v/>
      </c>
      <c r="L35">
        <f>IF($C35="","",IFERROR(IF(INDEX(Roster!$K:$K,MATCH($C35,Roster!$B:$B,0))="","",INDEX(Roster!$K:$K,MATCH($C35,Roster!$B:$B,0))&amp;""),"—"))</f>
        <v/>
      </c>
      <c r="M35" s="27" t="n"/>
      <c r="N35" s="27" t="n"/>
      <c r="O35" s="25">
        <f>IF($C35="","",IF($P35="","—",IF($P35="Valid (Pass)","Valid","Invalid")))</f>
        <v/>
      </c>
      <c r="P35" s="27" t="n"/>
      <c r="Q35" s="27" t="n"/>
      <c r="R35" s="27" t="n"/>
      <c r="S35" s="27" t="n"/>
      <c r="T35" s="25">
        <f>IF($C35="","",IF(OR(ISNUMBER(SEARCH("quick case",$P35)),ISNUMBER(SEARCH("quick case",$Q35))),"Yes","No"))</f>
        <v/>
      </c>
      <c r="U35" s="25">
        <f>IF($O35="Invalid",HYPERLINK("mailto:"&amp;$G35&amp;";"&amp;$I35&amp;"?cc="&amp;Lists!$E$2&amp;"&amp;subject="&amp;_xlfn.ENCODEURL("[INVALID] Quality audit monitoring completed for "&amp;UPPER($C35))&amp;"&amp;body="&amp;_xlfn.ENCODEURL("Hi "&amp;$F35&amp;","&amp;CHAR(10)&amp;"Good day!"&amp;CHAR(10)&amp;CHAR(10)&amp;"A quality monitoring audit has been completed for "&amp;$C35&amp;"."&amp;CHAR(10)&amp;CHAR(10)&amp;"QUALITY AUDIT DETAILS"&amp;CHAR(10)&amp;"Agent Name: "&amp;$C35&amp;" (EID "&amp;$D35&amp;")"&amp;CHAR(10)&amp;"Audit Date: "&amp;TEXT($B35,"yyyy-mm-dd")&amp;CHAR(10)&amp;"Team Leader: "&amp;$F35&amp;CHAR(10)&amp;"Case Number: "&amp;$M35&amp;CHAR(10)&amp;"Transaction ID: "&amp;$N35&amp;CHAR(10)&amp;"Channel / LOB: "&amp;$K35&amp;" / "&amp;$L35&amp;CHAR(10)&amp;"Evaluator: "&amp;$S35&amp;CHAR(10)&amp;CHAR(10)&amp;"INVALID QUALITY AUDIT DETAILS"&amp;CHAR(10)&amp;"Validation: Invalid"&amp;CHAR(10)&amp;"Invalid Reason: "&amp;$P35&amp;CHAR(10)&amp;"Expected Resolution Code: "&amp;$Q35&amp;CHAR(10)&amp;"Remarks: "&amp;LEFT($R35,600)&amp;CHAR(10)&amp;CHAR(10)&amp;"This is an automated notification from HP Mainstream EQMS."),"✉ Open Email Draft"),"")</f>
        <v/>
      </c>
    </row>
    <row r="36">
      <c r="A36" s="25">
        <f>IF($C36="","","AUD-2026-"&amp;TEXT(ROW()-1,"000000"))</f>
        <v/>
      </c>
      <c r="B36" s="26" t="n"/>
      <c r="C36" s="27" t="n"/>
      <c r="D36" s="25">
        <f>IF($C36="","",IFERROR(IF(INDEX(Roster!$A:$A,MATCH($C36,Roster!$B:$B,0))="","",INDEX(Roster!$A:$A,MATCH($C36,Roster!$B:$B,0))&amp;""),"—"))</f>
        <v/>
      </c>
      <c r="E36" s="25">
        <f>IF($C36="","",IFERROR(IF(INDEX(Roster!$C:$C,MATCH($C36,Roster!$B:$B,0))="","",INDEX(Roster!$C:$C,MATCH($C36,Roster!$B:$B,0))&amp;""),"—"))</f>
        <v/>
      </c>
      <c r="F36" s="25">
        <f>IF($C36="","",IFERROR(IF(INDEX(Roster!$D:$D,MATCH($C36,Roster!$B:$B,0))="","",INDEX(Roster!$D:$D,MATCH($C36,Roster!$B:$B,0))&amp;""),"—"))</f>
        <v/>
      </c>
      <c r="G36" s="25">
        <f>IF($C36="","",IFERROR(IF(INDEX(Roster!$E:$E,MATCH($C36,Roster!$B:$B,0))="","",INDEX(Roster!$E:$E,MATCH($C36,Roster!$B:$B,0))&amp;""),"—"))</f>
        <v/>
      </c>
      <c r="H36" s="25">
        <f>IF($C36="","",IFERROR(IF(INDEX(Roster!$F:$F,MATCH($C36,Roster!$B:$B,0))="","",INDEX(Roster!$F:$F,MATCH($C36,Roster!$B:$B,0))&amp;""),"—"))</f>
        <v/>
      </c>
      <c r="I36" s="25">
        <f>IF($C36="","",IFERROR(IF(INDEX(Roster!$G:$G,MATCH($C36,Roster!$B:$B,0))="","",INDEX(Roster!$G:$G,MATCH($C36,Roster!$B:$B,0))&amp;""),"—"))</f>
        <v/>
      </c>
      <c r="J36" s="25">
        <f>IF($C36="","",IFERROR(IF(INDEX(Roster!$I:$I,MATCH($C36,Roster!$B:$B,0))="","",INDEX(Roster!$I:$I,MATCH($C36,Roster!$B:$B,0))&amp;""),"—"))</f>
        <v/>
      </c>
      <c r="K36">
        <f>IF($C36="","",IFERROR(IF(INDEX(Roster!$J:$J,MATCH($C36,Roster!$B:$B,0))="","",INDEX(Roster!$J:$J,MATCH($C36,Roster!$B:$B,0))&amp;""),"—"))</f>
        <v/>
      </c>
      <c r="L36">
        <f>IF($C36="","",IFERROR(IF(INDEX(Roster!$K:$K,MATCH($C36,Roster!$B:$B,0))="","",INDEX(Roster!$K:$K,MATCH($C36,Roster!$B:$B,0))&amp;""),"—"))</f>
        <v/>
      </c>
      <c r="M36" s="27" t="n"/>
      <c r="N36" s="27" t="n"/>
      <c r="O36" s="25">
        <f>IF($C36="","",IF($P36="","—",IF($P36="Valid (Pass)","Valid","Invalid")))</f>
        <v/>
      </c>
      <c r="P36" s="27" t="n"/>
      <c r="Q36" s="27" t="n"/>
      <c r="R36" s="27" t="n"/>
      <c r="S36" s="27" t="n"/>
      <c r="T36" s="25">
        <f>IF($C36="","",IF(OR(ISNUMBER(SEARCH("quick case",$P36)),ISNUMBER(SEARCH("quick case",$Q36))),"Yes","No"))</f>
        <v/>
      </c>
      <c r="U36" s="25">
        <f>IF($O36="Invalid",HYPERLINK("mailto:"&amp;$G36&amp;";"&amp;$I36&amp;"?cc="&amp;Lists!$E$2&amp;"&amp;subject="&amp;_xlfn.ENCODEURL("[INVALID] Quality audit monitoring completed for "&amp;UPPER($C36))&amp;"&amp;body="&amp;_xlfn.ENCODEURL("Hi "&amp;$F36&amp;","&amp;CHAR(10)&amp;"Good day!"&amp;CHAR(10)&amp;CHAR(10)&amp;"A quality monitoring audit has been completed for "&amp;$C36&amp;"."&amp;CHAR(10)&amp;CHAR(10)&amp;"QUALITY AUDIT DETAILS"&amp;CHAR(10)&amp;"Agent Name: "&amp;$C36&amp;" (EID "&amp;$D36&amp;")"&amp;CHAR(10)&amp;"Audit Date: "&amp;TEXT($B36,"yyyy-mm-dd")&amp;CHAR(10)&amp;"Team Leader: "&amp;$F36&amp;CHAR(10)&amp;"Case Number: "&amp;$M36&amp;CHAR(10)&amp;"Transaction ID: "&amp;$N36&amp;CHAR(10)&amp;"Channel / LOB: "&amp;$K36&amp;" / "&amp;$L36&amp;CHAR(10)&amp;"Evaluator: "&amp;$S36&amp;CHAR(10)&amp;CHAR(10)&amp;"INVALID QUALITY AUDIT DETAILS"&amp;CHAR(10)&amp;"Validation: Invalid"&amp;CHAR(10)&amp;"Invalid Reason: "&amp;$P36&amp;CHAR(10)&amp;"Expected Resolution Code: "&amp;$Q36&amp;CHAR(10)&amp;"Remarks: "&amp;LEFT($R36,600)&amp;CHAR(10)&amp;CHAR(10)&amp;"This is an automated notification from HP Mainstream EQMS."),"✉ Open Email Draft"),"")</f>
        <v/>
      </c>
    </row>
    <row r="37">
      <c r="A37" s="25">
        <f>IF($C37="","","AUD-2026-"&amp;TEXT(ROW()-1,"000000"))</f>
        <v/>
      </c>
      <c r="B37" s="26" t="n"/>
      <c r="C37" s="27" t="n"/>
      <c r="D37" s="25">
        <f>IF($C37="","",IFERROR(IF(INDEX(Roster!$A:$A,MATCH($C37,Roster!$B:$B,0))="","",INDEX(Roster!$A:$A,MATCH($C37,Roster!$B:$B,0))&amp;""),"—"))</f>
        <v/>
      </c>
      <c r="E37" s="25">
        <f>IF($C37="","",IFERROR(IF(INDEX(Roster!$C:$C,MATCH($C37,Roster!$B:$B,0))="","",INDEX(Roster!$C:$C,MATCH($C37,Roster!$B:$B,0))&amp;""),"—"))</f>
        <v/>
      </c>
      <c r="F37" s="25">
        <f>IF($C37="","",IFERROR(IF(INDEX(Roster!$D:$D,MATCH($C37,Roster!$B:$B,0))="","",INDEX(Roster!$D:$D,MATCH($C37,Roster!$B:$B,0))&amp;""),"—"))</f>
        <v/>
      </c>
      <c r="G37" s="25">
        <f>IF($C37="","",IFERROR(IF(INDEX(Roster!$E:$E,MATCH($C37,Roster!$B:$B,0))="","",INDEX(Roster!$E:$E,MATCH($C37,Roster!$B:$B,0))&amp;""),"—"))</f>
        <v/>
      </c>
      <c r="H37" s="25">
        <f>IF($C37="","",IFERROR(IF(INDEX(Roster!$F:$F,MATCH($C37,Roster!$B:$B,0))="","",INDEX(Roster!$F:$F,MATCH($C37,Roster!$B:$B,0))&amp;""),"—"))</f>
        <v/>
      </c>
      <c r="I37" s="25">
        <f>IF($C37="","",IFERROR(IF(INDEX(Roster!$G:$G,MATCH($C37,Roster!$B:$B,0))="","",INDEX(Roster!$G:$G,MATCH($C37,Roster!$B:$B,0))&amp;""),"—"))</f>
        <v/>
      </c>
      <c r="J37" s="25">
        <f>IF($C37="","",IFERROR(IF(INDEX(Roster!$I:$I,MATCH($C37,Roster!$B:$B,0))="","",INDEX(Roster!$I:$I,MATCH($C37,Roster!$B:$B,0))&amp;""),"—"))</f>
        <v/>
      </c>
      <c r="K37">
        <f>IF($C37="","",IFERROR(IF(INDEX(Roster!$J:$J,MATCH($C37,Roster!$B:$B,0))="","",INDEX(Roster!$J:$J,MATCH($C37,Roster!$B:$B,0))&amp;""),"—"))</f>
        <v/>
      </c>
      <c r="L37">
        <f>IF($C37="","",IFERROR(IF(INDEX(Roster!$K:$K,MATCH($C37,Roster!$B:$B,0))="","",INDEX(Roster!$K:$K,MATCH($C37,Roster!$B:$B,0))&amp;""),"—"))</f>
        <v/>
      </c>
      <c r="M37" s="27" t="n"/>
      <c r="N37" s="27" t="n"/>
      <c r="O37" s="25">
        <f>IF($C37="","",IF($P37="","—",IF($P37="Valid (Pass)","Valid","Invalid")))</f>
        <v/>
      </c>
      <c r="P37" s="27" t="n"/>
      <c r="Q37" s="27" t="n"/>
      <c r="R37" s="27" t="n"/>
      <c r="S37" s="27" t="n"/>
      <c r="T37" s="25">
        <f>IF($C37="","",IF(OR(ISNUMBER(SEARCH("quick case",$P37)),ISNUMBER(SEARCH("quick case",$Q37))),"Yes","No"))</f>
        <v/>
      </c>
      <c r="U37" s="25">
        <f>IF($O37="Invalid",HYPERLINK("mailto:"&amp;$G37&amp;";"&amp;$I37&amp;"?cc="&amp;Lists!$E$2&amp;"&amp;subject="&amp;_xlfn.ENCODEURL("[INVALID] Quality audit monitoring completed for "&amp;UPPER($C37))&amp;"&amp;body="&amp;_xlfn.ENCODEURL("Hi "&amp;$F37&amp;","&amp;CHAR(10)&amp;"Good day!"&amp;CHAR(10)&amp;CHAR(10)&amp;"A quality monitoring audit has been completed for "&amp;$C37&amp;"."&amp;CHAR(10)&amp;CHAR(10)&amp;"QUALITY AUDIT DETAILS"&amp;CHAR(10)&amp;"Agent Name: "&amp;$C37&amp;" (EID "&amp;$D37&amp;")"&amp;CHAR(10)&amp;"Audit Date: "&amp;TEXT($B37,"yyyy-mm-dd")&amp;CHAR(10)&amp;"Team Leader: "&amp;$F37&amp;CHAR(10)&amp;"Case Number: "&amp;$M37&amp;CHAR(10)&amp;"Transaction ID: "&amp;$N37&amp;CHAR(10)&amp;"Channel / LOB: "&amp;$K37&amp;" / "&amp;$L37&amp;CHAR(10)&amp;"Evaluator: "&amp;$S37&amp;CHAR(10)&amp;CHAR(10)&amp;"INVALID QUALITY AUDIT DETAILS"&amp;CHAR(10)&amp;"Validation: Invalid"&amp;CHAR(10)&amp;"Invalid Reason: "&amp;$P37&amp;CHAR(10)&amp;"Expected Resolution Code: "&amp;$Q37&amp;CHAR(10)&amp;"Remarks: "&amp;LEFT($R37,600)&amp;CHAR(10)&amp;CHAR(10)&amp;"This is an automated notification from HP Mainstream EQMS."),"✉ Open Email Draft"),"")</f>
        <v/>
      </c>
    </row>
    <row r="38">
      <c r="A38" s="25">
        <f>IF($C38="","","AUD-2026-"&amp;TEXT(ROW()-1,"000000"))</f>
        <v/>
      </c>
      <c r="B38" s="26" t="n"/>
      <c r="C38" s="27" t="n"/>
      <c r="D38" s="25">
        <f>IF($C38="","",IFERROR(IF(INDEX(Roster!$A:$A,MATCH($C38,Roster!$B:$B,0))="","",INDEX(Roster!$A:$A,MATCH($C38,Roster!$B:$B,0))&amp;""),"—"))</f>
        <v/>
      </c>
      <c r="E38" s="25">
        <f>IF($C38="","",IFERROR(IF(INDEX(Roster!$C:$C,MATCH($C38,Roster!$B:$B,0))="","",INDEX(Roster!$C:$C,MATCH($C38,Roster!$B:$B,0))&amp;""),"—"))</f>
        <v/>
      </c>
      <c r="F38" s="25">
        <f>IF($C38="","",IFERROR(IF(INDEX(Roster!$D:$D,MATCH($C38,Roster!$B:$B,0))="","",INDEX(Roster!$D:$D,MATCH($C38,Roster!$B:$B,0))&amp;""),"—"))</f>
        <v/>
      </c>
      <c r="G38" s="25">
        <f>IF($C38="","",IFERROR(IF(INDEX(Roster!$E:$E,MATCH($C38,Roster!$B:$B,0))="","",INDEX(Roster!$E:$E,MATCH($C38,Roster!$B:$B,0))&amp;""),"—"))</f>
        <v/>
      </c>
      <c r="H38" s="25">
        <f>IF($C38="","",IFERROR(IF(INDEX(Roster!$F:$F,MATCH($C38,Roster!$B:$B,0))="","",INDEX(Roster!$F:$F,MATCH($C38,Roster!$B:$B,0))&amp;""),"—"))</f>
        <v/>
      </c>
      <c r="I38" s="25">
        <f>IF($C38="","",IFERROR(IF(INDEX(Roster!$G:$G,MATCH($C38,Roster!$B:$B,0))="","",INDEX(Roster!$G:$G,MATCH($C38,Roster!$B:$B,0))&amp;""),"—"))</f>
        <v/>
      </c>
      <c r="J38" s="25">
        <f>IF($C38="","",IFERROR(IF(INDEX(Roster!$I:$I,MATCH($C38,Roster!$B:$B,0))="","",INDEX(Roster!$I:$I,MATCH($C38,Roster!$B:$B,0))&amp;""),"—"))</f>
        <v/>
      </c>
      <c r="K38">
        <f>IF($C38="","",IFERROR(IF(INDEX(Roster!$J:$J,MATCH($C38,Roster!$B:$B,0))="","",INDEX(Roster!$J:$J,MATCH($C38,Roster!$B:$B,0))&amp;""),"—"))</f>
        <v/>
      </c>
      <c r="L38">
        <f>IF($C38="","",IFERROR(IF(INDEX(Roster!$K:$K,MATCH($C38,Roster!$B:$B,0))="","",INDEX(Roster!$K:$K,MATCH($C38,Roster!$B:$B,0))&amp;""),"—"))</f>
        <v/>
      </c>
      <c r="M38" s="27" t="n"/>
      <c r="N38" s="27" t="n"/>
      <c r="O38" s="25">
        <f>IF($C38="","",IF($P38="","—",IF($P38="Valid (Pass)","Valid","Invalid")))</f>
        <v/>
      </c>
      <c r="P38" s="27" t="n"/>
      <c r="Q38" s="27" t="n"/>
      <c r="R38" s="27" t="n"/>
      <c r="S38" s="27" t="n"/>
      <c r="T38" s="25">
        <f>IF($C38="","",IF(OR(ISNUMBER(SEARCH("quick case",$P38)),ISNUMBER(SEARCH("quick case",$Q38))),"Yes","No"))</f>
        <v/>
      </c>
      <c r="U38" s="25">
        <f>IF($O38="Invalid",HYPERLINK("mailto:"&amp;$G38&amp;";"&amp;$I38&amp;"?cc="&amp;Lists!$E$2&amp;"&amp;subject="&amp;_xlfn.ENCODEURL("[INVALID] Quality audit monitoring completed for "&amp;UPPER($C38))&amp;"&amp;body="&amp;_xlfn.ENCODEURL("Hi "&amp;$F38&amp;","&amp;CHAR(10)&amp;"Good day!"&amp;CHAR(10)&amp;CHAR(10)&amp;"A quality monitoring audit has been completed for "&amp;$C38&amp;"."&amp;CHAR(10)&amp;CHAR(10)&amp;"QUALITY AUDIT DETAILS"&amp;CHAR(10)&amp;"Agent Name: "&amp;$C38&amp;" (EID "&amp;$D38&amp;")"&amp;CHAR(10)&amp;"Audit Date: "&amp;TEXT($B38,"yyyy-mm-dd")&amp;CHAR(10)&amp;"Team Leader: "&amp;$F38&amp;CHAR(10)&amp;"Case Number: "&amp;$M38&amp;CHAR(10)&amp;"Transaction ID: "&amp;$N38&amp;CHAR(10)&amp;"Channel / LOB: "&amp;$K38&amp;" / "&amp;$L38&amp;CHAR(10)&amp;"Evaluator: "&amp;$S38&amp;CHAR(10)&amp;CHAR(10)&amp;"INVALID QUALITY AUDIT DETAILS"&amp;CHAR(10)&amp;"Validation: Invalid"&amp;CHAR(10)&amp;"Invalid Reason: "&amp;$P38&amp;CHAR(10)&amp;"Expected Resolution Code: "&amp;$Q38&amp;CHAR(10)&amp;"Remarks: "&amp;LEFT($R38,600)&amp;CHAR(10)&amp;CHAR(10)&amp;"This is an automated notification from HP Mainstream EQMS."),"✉ Open Email Draft"),"")</f>
        <v/>
      </c>
    </row>
    <row r="39">
      <c r="A39" s="25">
        <f>IF($C39="","","AUD-2026-"&amp;TEXT(ROW()-1,"000000"))</f>
        <v/>
      </c>
      <c r="B39" s="26" t="n"/>
      <c r="C39" s="27" t="n"/>
      <c r="D39" s="25">
        <f>IF($C39="","",IFERROR(IF(INDEX(Roster!$A:$A,MATCH($C39,Roster!$B:$B,0))="","",INDEX(Roster!$A:$A,MATCH($C39,Roster!$B:$B,0))&amp;""),"—"))</f>
        <v/>
      </c>
      <c r="E39" s="25">
        <f>IF($C39="","",IFERROR(IF(INDEX(Roster!$C:$C,MATCH($C39,Roster!$B:$B,0))="","",INDEX(Roster!$C:$C,MATCH($C39,Roster!$B:$B,0))&amp;""),"—"))</f>
        <v/>
      </c>
      <c r="F39" s="25">
        <f>IF($C39="","",IFERROR(IF(INDEX(Roster!$D:$D,MATCH($C39,Roster!$B:$B,0))="","",INDEX(Roster!$D:$D,MATCH($C39,Roster!$B:$B,0))&amp;""),"—"))</f>
        <v/>
      </c>
      <c r="G39" s="25">
        <f>IF($C39="","",IFERROR(IF(INDEX(Roster!$E:$E,MATCH($C39,Roster!$B:$B,0))="","",INDEX(Roster!$E:$E,MATCH($C39,Roster!$B:$B,0))&amp;""),"—"))</f>
        <v/>
      </c>
      <c r="H39" s="25">
        <f>IF($C39="","",IFERROR(IF(INDEX(Roster!$F:$F,MATCH($C39,Roster!$B:$B,0))="","",INDEX(Roster!$F:$F,MATCH($C39,Roster!$B:$B,0))&amp;""),"—"))</f>
        <v/>
      </c>
      <c r="I39" s="25">
        <f>IF($C39="","",IFERROR(IF(INDEX(Roster!$G:$G,MATCH($C39,Roster!$B:$B,0))="","",INDEX(Roster!$G:$G,MATCH($C39,Roster!$B:$B,0))&amp;""),"—"))</f>
        <v/>
      </c>
      <c r="J39" s="25">
        <f>IF($C39="","",IFERROR(IF(INDEX(Roster!$I:$I,MATCH($C39,Roster!$B:$B,0))="","",INDEX(Roster!$I:$I,MATCH($C39,Roster!$B:$B,0))&amp;""),"—"))</f>
        <v/>
      </c>
      <c r="K39">
        <f>IF($C39="","",IFERROR(IF(INDEX(Roster!$J:$J,MATCH($C39,Roster!$B:$B,0))="","",INDEX(Roster!$J:$J,MATCH($C39,Roster!$B:$B,0))&amp;""),"—"))</f>
        <v/>
      </c>
      <c r="L39">
        <f>IF($C39="","",IFERROR(IF(INDEX(Roster!$K:$K,MATCH($C39,Roster!$B:$B,0))="","",INDEX(Roster!$K:$K,MATCH($C39,Roster!$B:$B,0))&amp;""),"—"))</f>
        <v/>
      </c>
      <c r="M39" s="27" t="n"/>
      <c r="N39" s="27" t="n"/>
      <c r="O39" s="25">
        <f>IF($C39="","",IF($P39="","—",IF($P39="Valid (Pass)","Valid","Invalid")))</f>
        <v/>
      </c>
      <c r="P39" s="27" t="n"/>
      <c r="Q39" s="27" t="n"/>
      <c r="R39" s="27" t="n"/>
      <c r="S39" s="27" t="n"/>
      <c r="T39" s="25">
        <f>IF($C39="","",IF(OR(ISNUMBER(SEARCH("quick case",$P39)),ISNUMBER(SEARCH("quick case",$Q39))),"Yes","No"))</f>
        <v/>
      </c>
      <c r="U39" s="25">
        <f>IF($O39="Invalid",HYPERLINK("mailto:"&amp;$G39&amp;";"&amp;$I39&amp;"?cc="&amp;Lists!$E$2&amp;"&amp;subject="&amp;_xlfn.ENCODEURL("[INVALID] Quality audit monitoring completed for "&amp;UPPER($C39))&amp;"&amp;body="&amp;_xlfn.ENCODEURL("Hi "&amp;$F39&amp;","&amp;CHAR(10)&amp;"Good day!"&amp;CHAR(10)&amp;CHAR(10)&amp;"A quality monitoring audit has been completed for "&amp;$C39&amp;"."&amp;CHAR(10)&amp;CHAR(10)&amp;"QUALITY AUDIT DETAILS"&amp;CHAR(10)&amp;"Agent Name: "&amp;$C39&amp;" (EID "&amp;$D39&amp;")"&amp;CHAR(10)&amp;"Audit Date: "&amp;TEXT($B39,"yyyy-mm-dd")&amp;CHAR(10)&amp;"Team Leader: "&amp;$F39&amp;CHAR(10)&amp;"Case Number: "&amp;$M39&amp;CHAR(10)&amp;"Transaction ID: "&amp;$N39&amp;CHAR(10)&amp;"Channel / LOB: "&amp;$K39&amp;" / "&amp;$L39&amp;CHAR(10)&amp;"Evaluator: "&amp;$S39&amp;CHAR(10)&amp;CHAR(10)&amp;"INVALID QUALITY AUDIT DETAILS"&amp;CHAR(10)&amp;"Validation: Invalid"&amp;CHAR(10)&amp;"Invalid Reason: "&amp;$P39&amp;CHAR(10)&amp;"Expected Resolution Code: "&amp;$Q39&amp;CHAR(10)&amp;"Remarks: "&amp;LEFT($R39,600)&amp;CHAR(10)&amp;CHAR(10)&amp;"This is an automated notification from HP Mainstream EQMS."),"✉ Open Email Draft"),"")</f>
        <v/>
      </c>
    </row>
    <row r="40">
      <c r="A40" s="25">
        <f>IF($C40="","","AUD-2026-"&amp;TEXT(ROW()-1,"000000"))</f>
        <v/>
      </c>
      <c r="B40" s="26" t="n"/>
      <c r="C40" s="27" t="n"/>
      <c r="D40" s="25">
        <f>IF($C40="","",IFERROR(IF(INDEX(Roster!$A:$A,MATCH($C40,Roster!$B:$B,0))="","",INDEX(Roster!$A:$A,MATCH($C40,Roster!$B:$B,0))&amp;""),"—"))</f>
        <v/>
      </c>
      <c r="E40" s="25">
        <f>IF($C40="","",IFERROR(IF(INDEX(Roster!$C:$C,MATCH($C40,Roster!$B:$B,0))="","",INDEX(Roster!$C:$C,MATCH($C40,Roster!$B:$B,0))&amp;""),"—"))</f>
        <v/>
      </c>
      <c r="F40" s="25">
        <f>IF($C40="","",IFERROR(IF(INDEX(Roster!$D:$D,MATCH($C40,Roster!$B:$B,0))="","",INDEX(Roster!$D:$D,MATCH($C40,Roster!$B:$B,0))&amp;""),"—"))</f>
        <v/>
      </c>
      <c r="G40" s="25">
        <f>IF($C40="","",IFERROR(IF(INDEX(Roster!$E:$E,MATCH($C40,Roster!$B:$B,0))="","",INDEX(Roster!$E:$E,MATCH($C40,Roster!$B:$B,0))&amp;""),"—"))</f>
        <v/>
      </c>
      <c r="H40" s="25">
        <f>IF($C40="","",IFERROR(IF(INDEX(Roster!$F:$F,MATCH($C40,Roster!$B:$B,0))="","",INDEX(Roster!$F:$F,MATCH($C40,Roster!$B:$B,0))&amp;""),"—"))</f>
        <v/>
      </c>
      <c r="I40" s="25">
        <f>IF($C40="","",IFERROR(IF(INDEX(Roster!$G:$G,MATCH($C40,Roster!$B:$B,0))="","",INDEX(Roster!$G:$G,MATCH($C40,Roster!$B:$B,0))&amp;""),"—"))</f>
        <v/>
      </c>
      <c r="J40" s="25">
        <f>IF($C40="","",IFERROR(IF(INDEX(Roster!$I:$I,MATCH($C40,Roster!$B:$B,0))="","",INDEX(Roster!$I:$I,MATCH($C40,Roster!$B:$B,0))&amp;""),"—"))</f>
        <v/>
      </c>
      <c r="K40">
        <f>IF($C40="","",IFERROR(IF(INDEX(Roster!$J:$J,MATCH($C40,Roster!$B:$B,0))="","",INDEX(Roster!$J:$J,MATCH($C40,Roster!$B:$B,0))&amp;""),"—"))</f>
        <v/>
      </c>
      <c r="L40">
        <f>IF($C40="","",IFERROR(IF(INDEX(Roster!$K:$K,MATCH($C40,Roster!$B:$B,0))="","",INDEX(Roster!$K:$K,MATCH($C40,Roster!$B:$B,0))&amp;""),"—"))</f>
        <v/>
      </c>
      <c r="M40" s="27" t="n"/>
      <c r="N40" s="27" t="n"/>
      <c r="O40" s="25">
        <f>IF($C40="","",IF($P40="","—",IF($P40="Valid (Pass)","Valid","Invalid")))</f>
        <v/>
      </c>
      <c r="P40" s="27" t="n"/>
      <c r="Q40" s="27" t="n"/>
      <c r="R40" s="27" t="n"/>
      <c r="S40" s="27" t="n"/>
      <c r="T40" s="25">
        <f>IF($C40="","",IF(OR(ISNUMBER(SEARCH("quick case",$P40)),ISNUMBER(SEARCH("quick case",$Q40))),"Yes","No"))</f>
        <v/>
      </c>
      <c r="U40" s="25">
        <f>IF($O40="Invalid",HYPERLINK("mailto:"&amp;$G40&amp;";"&amp;$I40&amp;"?cc="&amp;Lists!$E$2&amp;"&amp;subject="&amp;_xlfn.ENCODEURL("[INVALID] Quality audit monitoring completed for "&amp;UPPER($C40))&amp;"&amp;body="&amp;_xlfn.ENCODEURL("Hi "&amp;$F40&amp;","&amp;CHAR(10)&amp;"Good day!"&amp;CHAR(10)&amp;CHAR(10)&amp;"A quality monitoring audit has been completed for "&amp;$C40&amp;"."&amp;CHAR(10)&amp;CHAR(10)&amp;"QUALITY AUDIT DETAILS"&amp;CHAR(10)&amp;"Agent Name: "&amp;$C40&amp;" (EID "&amp;$D40&amp;")"&amp;CHAR(10)&amp;"Audit Date: "&amp;TEXT($B40,"yyyy-mm-dd")&amp;CHAR(10)&amp;"Team Leader: "&amp;$F40&amp;CHAR(10)&amp;"Case Number: "&amp;$M40&amp;CHAR(10)&amp;"Transaction ID: "&amp;$N40&amp;CHAR(10)&amp;"Channel / LOB: "&amp;$K40&amp;" / "&amp;$L40&amp;CHAR(10)&amp;"Evaluator: "&amp;$S40&amp;CHAR(10)&amp;CHAR(10)&amp;"INVALID QUALITY AUDIT DETAILS"&amp;CHAR(10)&amp;"Validation: Invalid"&amp;CHAR(10)&amp;"Invalid Reason: "&amp;$P40&amp;CHAR(10)&amp;"Expected Resolution Code: "&amp;$Q40&amp;CHAR(10)&amp;"Remarks: "&amp;LEFT($R40,600)&amp;CHAR(10)&amp;CHAR(10)&amp;"This is an automated notification from HP Mainstream EQMS."),"✉ Open Email Draft"),"")</f>
        <v/>
      </c>
    </row>
    <row r="41">
      <c r="A41" s="25">
        <f>IF($C41="","","AUD-2026-"&amp;TEXT(ROW()-1,"000000"))</f>
        <v/>
      </c>
      <c r="B41" s="26" t="n"/>
      <c r="C41" s="27" t="n"/>
      <c r="D41" s="25">
        <f>IF($C41="","",IFERROR(IF(INDEX(Roster!$A:$A,MATCH($C41,Roster!$B:$B,0))="","",INDEX(Roster!$A:$A,MATCH($C41,Roster!$B:$B,0))&amp;""),"—"))</f>
        <v/>
      </c>
      <c r="E41" s="25">
        <f>IF($C41="","",IFERROR(IF(INDEX(Roster!$C:$C,MATCH($C41,Roster!$B:$B,0))="","",INDEX(Roster!$C:$C,MATCH($C41,Roster!$B:$B,0))&amp;""),"—"))</f>
        <v/>
      </c>
      <c r="F41" s="25">
        <f>IF($C41="","",IFERROR(IF(INDEX(Roster!$D:$D,MATCH($C41,Roster!$B:$B,0))="","",INDEX(Roster!$D:$D,MATCH($C41,Roster!$B:$B,0))&amp;""),"—"))</f>
        <v/>
      </c>
      <c r="G41" s="25">
        <f>IF($C41="","",IFERROR(IF(INDEX(Roster!$E:$E,MATCH($C41,Roster!$B:$B,0))="","",INDEX(Roster!$E:$E,MATCH($C41,Roster!$B:$B,0))&amp;""),"—"))</f>
        <v/>
      </c>
      <c r="H41" s="25">
        <f>IF($C41="","",IFERROR(IF(INDEX(Roster!$F:$F,MATCH($C41,Roster!$B:$B,0))="","",INDEX(Roster!$F:$F,MATCH($C41,Roster!$B:$B,0))&amp;""),"—"))</f>
        <v/>
      </c>
      <c r="I41" s="25">
        <f>IF($C41="","",IFERROR(IF(INDEX(Roster!$G:$G,MATCH($C41,Roster!$B:$B,0))="","",INDEX(Roster!$G:$G,MATCH($C41,Roster!$B:$B,0))&amp;""),"—"))</f>
        <v/>
      </c>
      <c r="J41" s="25">
        <f>IF($C41="","",IFERROR(IF(INDEX(Roster!$I:$I,MATCH($C41,Roster!$B:$B,0))="","",INDEX(Roster!$I:$I,MATCH($C41,Roster!$B:$B,0))&amp;""),"—"))</f>
        <v/>
      </c>
      <c r="K41">
        <f>IF($C41="","",IFERROR(IF(INDEX(Roster!$J:$J,MATCH($C41,Roster!$B:$B,0))="","",INDEX(Roster!$J:$J,MATCH($C41,Roster!$B:$B,0))&amp;""),"—"))</f>
        <v/>
      </c>
      <c r="L41">
        <f>IF($C41="","",IFERROR(IF(INDEX(Roster!$K:$K,MATCH($C41,Roster!$B:$B,0))="","",INDEX(Roster!$K:$K,MATCH($C41,Roster!$B:$B,0))&amp;""),"—"))</f>
        <v/>
      </c>
      <c r="M41" s="27" t="n"/>
      <c r="N41" s="27" t="n"/>
      <c r="O41" s="25">
        <f>IF($C41="","",IF($P41="","—",IF($P41="Valid (Pass)","Valid","Invalid")))</f>
        <v/>
      </c>
      <c r="P41" s="27" t="n"/>
      <c r="Q41" s="27" t="n"/>
      <c r="R41" s="27" t="n"/>
      <c r="S41" s="27" t="n"/>
      <c r="T41" s="25">
        <f>IF($C41="","",IF(OR(ISNUMBER(SEARCH("quick case",$P41)),ISNUMBER(SEARCH("quick case",$Q41))),"Yes","No"))</f>
        <v/>
      </c>
      <c r="U41" s="25">
        <f>IF($O41="Invalid",HYPERLINK("mailto:"&amp;$G41&amp;";"&amp;$I41&amp;"?cc="&amp;Lists!$E$2&amp;"&amp;subject="&amp;_xlfn.ENCODEURL("[INVALID] Quality audit monitoring completed for "&amp;UPPER($C41))&amp;"&amp;body="&amp;_xlfn.ENCODEURL("Hi "&amp;$F41&amp;","&amp;CHAR(10)&amp;"Good day!"&amp;CHAR(10)&amp;CHAR(10)&amp;"A quality monitoring audit has been completed for "&amp;$C41&amp;"."&amp;CHAR(10)&amp;CHAR(10)&amp;"QUALITY AUDIT DETAILS"&amp;CHAR(10)&amp;"Agent Name: "&amp;$C41&amp;" (EID "&amp;$D41&amp;")"&amp;CHAR(10)&amp;"Audit Date: "&amp;TEXT($B41,"yyyy-mm-dd")&amp;CHAR(10)&amp;"Team Leader: "&amp;$F41&amp;CHAR(10)&amp;"Case Number: "&amp;$M41&amp;CHAR(10)&amp;"Transaction ID: "&amp;$N41&amp;CHAR(10)&amp;"Channel / LOB: "&amp;$K41&amp;" / "&amp;$L41&amp;CHAR(10)&amp;"Evaluator: "&amp;$S41&amp;CHAR(10)&amp;CHAR(10)&amp;"INVALID QUALITY AUDIT DETAILS"&amp;CHAR(10)&amp;"Validation: Invalid"&amp;CHAR(10)&amp;"Invalid Reason: "&amp;$P41&amp;CHAR(10)&amp;"Expected Resolution Code: "&amp;$Q41&amp;CHAR(10)&amp;"Remarks: "&amp;LEFT($R41,600)&amp;CHAR(10)&amp;CHAR(10)&amp;"This is an automated notification from HP Mainstream EQMS."),"✉ Open Email Draft"),"")</f>
        <v/>
      </c>
    </row>
    <row r="42">
      <c r="A42" s="25">
        <f>IF($C42="","","AUD-2026-"&amp;TEXT(ROW()-1,"000000"))</f>
        <v/>
      </c>
      <c r="B42" s="26" t="n"/>
      <c r="C42" s="27" t="n"/>
      <c r="D42" s="25">
        <f>IF($C42="","",IFERROR(IF(INDEX(Roster!$A:$A,MATCH($C42,Roster!$B:$B,0))="","",INDEX(Roster!$A:$A,MATCH($C42,Roster!$B:$B,0))&amp;""),"—"))</f>
        <v/>
      </c>
      <c r="E42" s="25">
        <f>IF($C42="","",IFERROR(IF(INDEX(Roster!$C:$C,MATCH($C42,Roster!$B:$B,0))="","",INDEX(Roster!$C:$C,MATCH($C42,Roster!$B:$B,0))&amp;""),"—"))</f>
        <v/>
      </c>
      <c r="F42" s="25">
        <f>IF($C42="","",IFERROR(IF(INDEX(Roster!$D:$D,MATCH($C42,Roster!$B:$B,0))="","",INDEX(Roster!$D:$D,MATCH($C42,Roster!$B:$B,0))&amp;""),"—"))</f>
        <v/>
      </c>
      <c r="G42" s="25">
        <f>IF($C42="","",IFERROR(IF(INDEX(Roster!$E:$E,MATCH($C42,Roster!$B:$B,0))="","",INDEX(Roster!$E:$E,MATCH($C42,Roster!$B:$B,0))&amp;""),"—"))</f>
        <v/>
      </c>
      <c r="H42" s="25">
        <f>IF($C42="","",IFERROR(IF(INDEX(Roster!$F:$F,MATCH($C42,Roster!$B:$B,0))="","",INDEX(Roster!$F:$F,MATCH($C42,Roster!$B:$B,0))&amp;""),"—"))</f>
        <v/>
      </c>
      <c r="I42" s="25">
        <f>IF($C42="","",IFERROR(IF(INDEX(Roster!$G:$G,MATCH($C42,Roster!$B:$B,0))="","",INDEX(Roster!$G:$G,MATCH($C42,Roster!$B:$B,0))&amp;""),"—"))</f>
        <v/>
      </c>
      <c r="J42" s="25">
        <f>IF($C42="","",IFERROR(IF(INDEX(Roster!$I:$I,MATCH($C42,Roster!$B:$B,0))="","",INDEX(Roster!$I:$I,MATCH($C42,Roster!$B:$B,0))&amp;""),"—"))</f>
        <v/>
      </c>
      <c r="K42">
        <f>IF($C42="","",IFERROR(IF(INDEX(Roster!$J:$J,MATCH($C42,Roster!$B:$B,0))="","",INDEX(Roster!$J:$J,MATCH($C42,Roster!$B:$B,0))&amp;""),"—"))</f>
        <v/>
      </c>
      <c r="L42">
        <f>IF($C42="","",IFERROR(IF(INDEX(Roster!$K:$K,MATCH($C42,Roster!$B:$B,0))="","",INDEX(Roster!$K:$K,MATCH($C42,Roster!$B:$B,0))&amp;""),"—"))</f>
        <v/>
      </c>
      <c r="M42" s="27" t="n"/>
      <c r="N42" s="27" t="n"/>
      <c r="O42" s="25">
        <f>IF($C42="","",IF($P42="","—",IF($P42="Valid (Pass)","Valid","Invalid")))</f>
        <v/>
      </c>
      <c r="P42" s="27" t="n"/>
      <c r="Q42" s="27" t="n"/>
      <c r="R42" s="27" t="n"/>
      <c r="S42" s="27" t="n"/>
      <c r="T42" s="25">
        <f>IF($C42="","",IF(OR(ISNUMBER(SEARCH("quick case",$P42)),ISNUMBER(SEARCH("quick case",$Q42))),"Yes","No"))</f>
        <v/>
      </c>
      <c r="U42" s="25">
        <f>IF($O42="Invalid",HYPERLINK("mailto:"&amp;$G42&amp;";"&amp;$I42&amp;"?cc="&amp;Lists!$E$2&amp;"&amp;subject="&amp;_xlfn.ENCODEURL("[INVALID] Quality audit monitoring completed for "&amp;UPPER($C42))&amp;"&amp;body="&amp;_xlfn.ENCODEURL("Hi "&amp;$F42&amp;","&amp;CHAR(10)&amp;"Good day!"&amp;CHAR(10)&amp;CHAR(10)&amp;"A quality monitoring audit has been completed for "&amp;$C42&amp;"."&amp;CHAR(10)&amp;CHAR(10)&amp;"QUALITY AUDIT DETAILS"&amp;CHAR(10)&amp;"Agent Name: "&amp;$C42&amp;" (EID "&amp;$D42&amp;")"&amp;CHAR(10)&amp;"Audit Date: "&amp;TEXT($B42,"yyyy-mm-dd")&amp;CHAR(10)&amp;"Team Leader: "&amp;$F42&amp;CHAR(10)&amp;"Case Number: "&amp;$M42&amp;CHAR(10)&amp;"Transaction ID: "&amp;$N42&amp;CHAR(10)&amp;"Channel / LOB: "&amp;$K42&amp;" / "&amp;$L42&amp;CHAR(10)&amp;"Evaluator: "&amp;$S42&amp;CHAR(10)&amp;CHAR(10)&amp;"INVALID QUALITY AUDIT DETAILS"&amp;CHAR(10)&amp;"Validation: Invalid"&amp;CHAR(10)&amp;"Invalid Reason: "&amp;$P42&amp;CHAR(10)&amp;"Expected Resolution Code: "&amp;$Q42&amp;CHAR(10)&amp;"Remarks: "&amp;LEFT($R42,600)&amp;CHAR(10)&amp;CHAR(10)&amp;"This is an automated notification from HP Mainstream EQMS."),"✉ Open Email Draft"),"")</f>
        <v/>
      </c>
    </row>
    <row r="43">
      <c r="A43" s="25">
        <f>IF($C43="","","AUD-2026-"&amp;TEXT(ROW()-1,"000000"))</f>
        <v/>
      </c>
      <c r="B43" s="26" t="n"/>
      <c r="C43" s="27" t="n"/>
      <c r="D43" s="25">
        <f>IF($C43="","",IFERROR(IF(INDEX(Roster!$A:$A,MATCH($C43,Roster!$B:$B,0))="","",INDEX(Roster!$A:$A,MATCH($C43,Roster!$B:$B,0))&amp;""),"—"))</f>
        <v/>
      </c>
      <c r="E43" s="25">
        <f>IF($C43="","",IFERROR(IF(INDEX(Roster!$C:$C,MATCH($C43,Roster!$B:$B,0))="","",INDEX(Roster!$C:$C,MATCH($C43,Roster!$B:$B,0))&amp;""),"—"))</f>
        <v/>
      </c>
      <c r="F43" s="25">
        <f>IF($C43="","",IFERROR(IF(INDEX(Roster!$D:$D,MATCH($C43,Roster!$B:$B,0))="","",INDEX(Roster!$D:$D,MATCH($C43,Roster!$B:$B,0))&amp;""),"—"))</f>
        <v/>
      </c>
      <c r="G43" s="25">
        <f>IF($C43="","",IFERROR(IF(INDEX(Roster!$E:$E,MATCH($C43,Roster!$B:$B,0))="","",INDEX(Roster!$E:$E,MATCH($C43,Roster!$B:$B,0))&amp;""),"—"))</f>
        <v/>
      </c>
      <c r="H43" s="25">
        <f>IF($C43="","",IFERROR(IF(INDEX(Roster!$F:$F,MATCH($C43,Roster!$B:$B,0))="","",INDEX(Roster!$F:$F,MATCH($C43,Roster!$B:$B,0))&amp;""),"—"))</f>
        <v/>
      </c>
      <c r="I43" s="25">
        <f>IF($C43="","",IFERROR(IF(INDEX(Roster!$G:$G,MATCH($C43,Roster!$B:$B,0))="","",INDEX(Roster!$G:$G,MATCH($C43,Roster!$B:$B,0))&amp;""),"—"))</f>
        <v/>
      </c>
      <c r="J43" s="25">
        <f>IF($C43="","",IFERROR(IF(INDEX(Roster!$I:$I,MATCH($C43,Roster!$B:$B,0))="","",INDEX(Roster!$I:$I,MATCH($C43,Roster!$B:$B,0))&amp;""),"—"))</f>
        <v/>
      </c>
      <c r="K43">
        <f>IF($C43="","",IFERROR(IF(INDEX(Roster!$J:$J,MATCH($C43,Roster!$B:$B,0))="","",INDEX(Roster!$J:$J,MATCH($C43,Roster!$B:$B,0))&amp;""),"—"))</f>
        <v/>
      </c>
      <c r="L43">
        <f>IF($C43="","",IFERROR(IF(INDEX(Roster!$K:$K,MATCH($C43,Roster!$B:$B,0))="","",INDEX(Roster!$K:$K,MATCH($C43,Roster!$B:$B,0))&amp;""),"—"))</f>
        <v/>
      </c>
      <c r="M43" s="27" t="n"/>
      <c r="N43" s="27" t="n"/>
      <c r="O43" s="25">
        <f>IF($C43="","",IF($P43="","—",IF($P43="Valid (Pass)","Valid","Invalid")))</f>
        <v/>
      </c>
      <c r="P43" s="27" t="n"/>
      <c r="Q43" s="27" t="n"/>
      <c r="R43" s="27" t="n"/>
      <c r="S43" s="27" t="n"/>
      <c r="T43" s="25">
        <f>IF($C43="","",IF(OR(ISNUMBER(SEARCH("quick case",$P43)),ISNUMBER(SEARCH("quick case",$Q43))),"Yes","No"))</f>
        <v/>
      </c>
      <c r="U43" s="25">
        <f>IF($O43="Invalid",HYPERLINK("mailto:"&amp;$G43&amp;";"&amp;$I43&amp;"?cc="&amp;Lists!$E$2&amp;"&amp;subject="&amp;_xlfn.ENCODEURL("[INVALID] Quality audit monitoring completed for "&amp;UPPER($C43))&amp;"&amp;body="&amp;_xlfn.ENCODEURL("Hi "&amp;$F43&amp;","&amp;CHAR(10)&amp;"Good day!"&amp;CHAR(10)&amp;CHAR(10)&amp;"A quality monitoring audit has been completed for "&amp;$C43&amp;"."&amp;CHAR(10)&amp;CHAR(10)&amp;"QUALITY AUDIT DETAILS"&amp;CHAR(10)&amp;"Agent Name: "&amp;$C43&amp;" (EID "&amp;$D43&amp;")"&amp;CHAR(10)&amp;"Audit Date: "&amp;TEXT($B43,"yyyy-mm-dd")&amp;CHAR(10)&amp;"Team Leader: "&amp;$F43&amp;CHAR(10)&amp;"Case Number: "&amp;$M43&amp;CHAR(10)&amp;"Transaction ID: "&amp;$N43&amp;CHAR(10)&amp;"Channel / LOB: "&amp;$K43&amp;" / "&amp;$L43&amp;CHAR(10)&amp;"Evaluator: "&amp;$S43&amp;CHAR(10)&amp;CHAR(10)&amp;"INVALID QUALITY AUDIT DETAILS"&amp;CHAR(10)&amp;"Validation: Invalid"&amp;CHAR(10)&amp;"Invalid Reason: "&amp;$P43&amp;CHAR(10)&amp;"Expected Resolution Code: "&amp;$Q43&amp;CHAR(10)&amp;"Remarks: "&amp;LEFT($R43,600)&amp;CHAR(10)&amp;CHAR(10)&amp;"This is an automated notification from HP Mainstream EQMS."),"✉ Open Email Draft"),"")</f>
        <v/>
      </c>
    </row>
    <row r="44">
      <c r="A44" s="25">
        <f>IF($C44="","","AUD-2026-"&amp;TEXT(ROW()-1,"000000"))</f>
        <v/>
      </c>
      <c r="B44" s="26" t="n"/>
      <c r="C44" s="27" t="n"/>
      <c r="D44" s="25">
        <f>IF($C44="","",IFERROR(IF(INDEX(Roster!$A:$A,MATCH($C44,Roster!$B:$B,0))="","",INDEX(Roster!$A:$A,MATCH($C44,Roster!$B:$B,0))&amp;""),"—"))</f>
        <v/>
      </c>
      <c r="E44" s="25">
        <f>IF($C44="","",IFERROR(IF(INDEX(Roster!$C:$C,MATCH($C44,Roster!$B:$B,0))="","",INDEX(Roster!$C:$C,MATCH($C44,Roster!$B:$B,0))&amp;""),"—"))</f>
        <v/>
      </c>
      <c r="F44" s="25">
        <f>IF($C44="","",IFERROR(IF(INDEX(Roster!$D:$D,MATCH($C44,Roster!$B:$B,0))="","",INDEX(Roster!$D:$D,MATCH($C44,Roster!$B:$B,0))&amp;""),"—"))</f>
        <v/>
      </c>
      <c r="G44" s="25">
        <f>IF($C44="","",IFERROR(IF(INDEX(Roster!$E:$E,MATCH($C44,Roster!$B:$B,0))="","",INDEX(Roster!$E:$E,MATCH($C44,Roster!$B:$B,0))&amp;""),"—"))</f>
        <v/>
      </c>
      <c r="H44" s="25">
        <f>IF($C44="","",IFERROR(IF(INDEX(Roster!$F:$F,MATCH($C44,Roster!$B:$B,0))="","",INDEX(Roster!$F:$F,MATCH($C44,Roster!$B:$B,0))&amp;""),"—"))</f>
        <v/>
      </c>
      <c r="I44" s="25">
        <f>IF($C44="","",IFERROR(IF(INDEX(Roster!$G:$G,MATCH($C44,Roster!$B:$B,0))="","",INDEX(Roster!$G:$G,MATCH($C44,Roster!$B:$B,0))&amp;""),"—"))</f>
        <v/>
      </c>
      <c r="J44" s="25">
        <f>IF($C44="","",IFERROR(IF(INDEX(Roster!$I:$I,MATCH($C44,Roster!$B:$B,0))="","",INDEX(Roster!$I:$I,MATCH($C44,Roster!$B:$B,0))&amp;""),"—"))</f>
        <v/>
      </c>
      <c r="K44">
        <f>IF($C44="","",IFERROR(IF(INDEX(Roster!$J:$J,MATCH($C44,Roster!$B:$B,0))="","",INDEX(Roster!$J:$J,MATCH($C44,Roster!$B:$B,0))&amp;""),"—"))</f>
        <v/>
      </c>
      <c r="L44">
        <f>IF($C44="","",IFERROR(IF(INDEX(Roster!$K:$K,MATCH($C44,Roster!$B:$B,0))="","",INDEX(Roster!$K:$K,MATCH($C44,Roster!$B:$B,0))&amp;""),"—"))</f>
        <v/>
      </c>
      <c r="M44" s="27" t="n"/>
      <c r="N44" s="27" t="n"/>
      <c r="O44" s="25">
        <f>IF($C44="","",IF($P44="","—",IF($P44="Valid (Pass)","Valid","Invalid")))</f>
        <v/>
      </c>
      <c r="P44" s="27" t="n"/>
      <c r="Q44" s="27" t="n"/>
      <c r="R44" s="27" t="n"/>
      <c r="S44" s="27" t="n"/>
      <c r="T44" s="25">
        <f>IF($C44="","",IF(OR(ISNUMBER(SEARCH("quick case",$P44)),ISNUMBER(SEARCH("quick case",$Q44))),"Yes","No"))</f>
        <v/>
      </c>
      <c r="U44" s="25">
        <f>IF($O44="Invalid",HYPERLINK("mailto:"&amp;$G44&amp;";"&amp;$I44&amp;"?cc="&amp;Lists!$E$2&amp;"&amp;subject="&amp;_xlfn.ENCODEURL("[INVALID] Quality audit monitoring completed for "&amp;UPPER($C44))&amp;"&amp;body="&amp;_xlfn.ENCODEURL("Hi "&amp;$F44&amp;","&amp;CHAR(10)&amp;"Good day!"&amp;CHAR(10)&amp;CHAR(10)&amp;"A quality monitoring audit has been completed for "&amp;$C44&amp;"."&amp;CHAR(10)&amp;CHAR(10)&amp;"QUALITY AUDIT DETAILS"&amp;CHAR(10)&amp;"Agent Name: "&amp;$C44&amp;" (EID "&amp;$D44&amp;")"&amp;CHAR(10)&amp;"Audit Date: "&amp;TEXT($B44,"yyyy-mm-dd")&amp;CHAR(10)&amp;"Team Leader: "&amp;$F44&amp;CHAR(10)&amp;"Case Number: "&amp;$M44&amp;CHAR(10)&amp;"Transaction ID: "&amp;$N44&amp;CHAR(10)&amp;"Channel / LOB: "&amp;$K44&amp;" / "&amp;$L44&amp;CHAR(10)&amp;"Evaluator: "&amp;$S44&amp;CHAR(10)&amp;CHAR(10)&amp;"INVALID QUALITY AUDIT DETAILS"&amp;CHAR(10)&amp;"Validation: Invalid"&amp;CHAR(10)&amp;"Invalid Reason: "&amp;$P44&amp;CHAR(10)&amp;"Expected Resolution Code: "&amp;$Q44&amp;CHAR(10)&amp;"Remarks: "&amp;LEFT($R44,600)&amp;CHAR(10)&amp;CHAR(10)&amp;"This is an automated notification from HP Mainstream EQMS."),"✉ Open Email Draft"),"")</f>
        <v/>
      </c>
    </row>
    <row r="45">
      <c r="A45" s="25">
        <f>IF($C45="","","AUD-2026-"&amp;TEXT(ROW()-1,"000000"))</f>
        <v/>
      </c>
      <c r="B45" s="26" t="n"/>
      <c r="C45" s="27" t="n"/>
      <c r="D45" s="25">
        <f>IF($C45="","",IFERROR(IF(INDEX(Roster!$A:$A,MATCH($C45,Roster!$B:$B,0))="","",INDEX(Roster!$A:$A,MATCH($C45,Roster!$B:$B,0))&amp;""),"—"))</f>
        <v/>
      </c>
      <c r="E45" s="25">
        <f>IF($C45="","",IFERROR(IF(INDEX(Roster!$C:$C,MATCH($C45,Roster!$B:$B,0))="","",INDEX(Roster!$C:$C,MATCH($C45,Roster!$B:$B,0))&amp;""),"—"))</f>
        <v/>
      </c>
      <c r="F45" s="25">
        <f>IF($C45="","",IFERROR(IF(INDEX(Roster!$D:$D,MATCH($C45,Roster!$B:$B,0))="","",INDEX(Roster!$D:$D,MATCH($C45,Roster!$B:$B,0))&amp;""),"—"))</f>
        <v/>
      </c>
      <c r="G45" s="25">
        <f>IF($C45="","",IFERROR(IF(INDEX(Roster!$E:$E,MATCH($C45,Roster!$B:$B,0))="","",INDEX(Roster!$E:$E,MATCH($C45,Roster!$B:$B,0))&amp;""),"—"))</f>
        <v/>
      </c>
      <c r="H45" s="25">
        <f>IF($C45="","",IFERROR(IF(INDEX(Roster!$F:$F,MATCH($C45,Roster!$B:$B,0))="","",INDEX(Roster!$F:$F,MATCH($C45,Roster!$B:$B,0))&amp;""),"—"))</f>
        <v/>
      </c>
      <c r="I45" s="25">
        <f>IF($C45="","",IFERROR(IF(INDEX(Roster!$G:$G,MATCH($C45,Roster!$B:$B,0))="","",INDEX(Roster!$G:$G,MATCH($C45,Roster!$B:$B,0))&amp;""),"—"))</f>
        <v/>
      </c>
      <c r="J45" s="25">
        <f>IF($C45="","",IFERROR(IF(INDEX(Roster!$I:$I,MATCH($C45,Roster!$B:$B,0))="","",INDEX(Roster!$I:$I,MATCH($C45,Roster!$B:$B,0))&amp;""),"—"))</f>
        <v/>
      </c>
      <c r="K45">
        <f>IF($C45="","",IFERROR(IF(INDEX(Roster!$J:$J,MATCH($C45,Roster!$B:$B,0))="","",INDEX(Roster!$J:$J,MATCH($C45,Roster!$B:$B,0))&amp;""),"—"))</f>
        <v/>
      </c>
      <c r="L45">
        <f>IF($C45="","",IFERROR(IF(INDEX(Roster!$K:$K,MATCH($C45,Roster!$B:$B,0))="","",INDEX(Roster!$K:$K,MATCH($C45,Roster!$B:$B,0))&amp;""),"—"))</f>
        <v/>
      </c>
      <c r="M45" s="27" t="n"/>
      <c r="N45" s="27" t="n"/>
      <c r="O45" s="25">
        <f>IF($C45="","",IF($P45="","—",IF($P45="Valid (Pass)","Valid","Invalid")))</f>
        <v/>
      </c>
      <c r="P45" s="27" t="n"/>
      <c r="Q45" s="27" t="n"/>
      <c r="R45" s="27" t="n"/>
      <c r="S45" s="27" t="n"/>
      <c r="T45" s="25">
        <f>IF($C45="","",IF(OR(ISNUMBER(SEARCH("quick case",$P45)),ISNUMBER(SEARCH("quick case",$Q45))),"Yes","No"))</f>
        <v/>
      </c>
      <c r="U45" s="25">
        <f>IF($O45="Invalid",HYPERLINK("mailto:"&amp;$G45&amp;";"&amp;$I45&amp;"?cc="&amp;Lists!$E$2&amp;"&amp;subject="&amp;_xlfn.ENCODEURL("[INVALID] Quality audit monitoring completed for "&amp;UPPER($C45))&amp;"&amp;body="&amp;_xlfn.ENCODEURL("Hi "&amp;$F45&amp;","&amp;CHAR(10)&amp;"Good day!"&amp;CHAR(10)&amp;CHAR(10)&amp;"A quality monitoring audit has been completed for "&amp;$C45&amp;"."&amp;CHAR(10)&amp;CHAR(10)&amp;"QUALITY AUDIT DETAILS"&amp;CHAR(10)&amp;"Agent Name: "&amp;$C45&amp;" (EID "&amp;$D45&amp;")"&amp;CHAR(10)&amp;"Audit Date: "&amp;TEXT($B45,"yyyy-mm-dd")&amp;CHAR(10)&amp;"Team Leader: "&amp;$F45&amp;CHAR(10)&amp;"Case Number: "&amp;$M45&amp;CHAR(10)&amp;"Transaction ID: "&amp;$N45&amp;CHAR(10)&amp;"Channel / LOB: "&amp;$K45&amp;" / "&amp;$L45&amp;CHAR(10)&amp;"Evaluator: "&amp;$S45&amp;CHAR(10)&amp;CHAR(10)&amp;"INVALID QUALITY AUDIT DETAILS"&amp;CHAR(10)&amp;"Validation: Invalid"&amp;CHAR(10)&amp;"Invalid Reason: "&amp;$P45&amp;CHAR(10)&amp;"Expected Resolution Code: "&amp;$Q45&amp;CHAR(10)&amp;"Remarks: "&amp;LEFT($R45,600)&amp;CHAR(10)&amp;CHAR(10)&amp;"This is an automated notification from HP Mainstream EQMS."),"✉ Open Email Draft"),"")</f>
        <v/>
      </c>
    </row>
    <row r="46">
      <c r="A46" s="25">
        <f>IF($C46="","","AUD-2026-"&amp;TEXT(ROW()-1,"000000"))</f>
        <v/>
      </c>
      <c r="B46" s="26" t="n"/>
      <c r="C46" s="27" t="n"/>
      <c r="D46" s="25">
        <f>IF($C46="","",IFERROR(IF(INDEX(Roster!$A:$A,MATCH($C46,Roster!$B:$B,0))="","",INDEX(Roster!$A:$A,MATCH($C46,Roster!$B:$B,0))&amp;""),"—"))</f>
        <v/>
      </c>
      <c r="E46" s="25">
        <f>IF($C46="","",IFERROR(IF(INDEX(Roster!$C:$C,MATCH($C46,Roster!$B:$B,0))="","",INDEX(Roster!$C:$C,MATCH($C46,Roster!$B:$B,0))&amp;""),"—"))</f>
        <v/>
      </c>
      <c r="F46" s="25">
        <f>IF($C46="","",IFERROR(IF(INDEX(Roster!$D:$D,MATCH($C46,Roster!$B:$B,0))="","",INDEX(Roster!$D:$D,MATCH($C46,Roster!$B:$B,0))&amp;""),"—"))</f>
        <v/>
      </c>
      <c r="G46" s="25">
        <f>IF($C46="","",IFERROR(IF(INDEX(Roster!$E:$E,MATCH($C46,Roster!$B:$B,0))="","",INDEX(Roster!$E:$E,MATCH($C46,Roster!$B:$B,0))&amp;""),"—"))</f>
        <v/>
      </c>
      <c r="H46" s="25">
        <f>IF($C46="","",IFERROR(IF(INDEX(Roster!$F:$F,MATCH($C46,Roster!$B:$B,0))="","",INDEX(Roster!$F:$F,MATCH($C46,Roster!$B:$B,0))&amp;""),"—"))</f>
        <v/>
      </c>
      <c r="I46" s="25">
        <f>IF($C46="","",IFERROR(IF(INDEX(Roster!$G:$G,MATCH($C46,Roster!$B:$B,0))="","",INDEX(Roster!$G:$G,MATCH($C46,Roster!$B:$B,0))&amp;""),"—"))</f>
        <v/>
      </c>
      <c r="J46" s="25">
        <f>IF($C46="","",IFERROR(IF(INDEX(Roster!$I:$I,MATCH($C46,Roster!$B:$B,0))="","",INDEX(Roster!$I:$I,MATCH($C46,Roster!$B:$B,0))&amp;""),"—"))</f>
        <v/>
      </c>
      <c r="K46">
        <f>IF($C46="","",IFERROR(IF(INDEX(Roster!$J:$J,MATCH($C46,Roster!$B:$B,0))="","",INDEX(Roster!$J:$J,MATCH($C46,Roster!$B:$B,0))&amp;""),"—"))</f>
        <v/>
      </c>
      <c r="L46">
        <f>IF($C46="","",IFERROR(IF(INDEX(Roster!$K:$K,MATCH($C46,Roster!$B:$B,0))="","",INDEX(Roster!$K:$K,MATCH($C46,Roster!$B:$B,0))&amp;""),"—"))</f>
        <v/>
      </c>
      <c r="M46" s="27" t="n"/>
      <c r="N46" s="27" t="n"/>
      <c r="O46" s="25">
        <f>IF($C46="","",IF($P46="","—",IF($P46="Valid (Pass)","Valid","Invalid")))</f>
        <v/>
      </c>
      <c r="P46" s="27" t="n"/>
      <c r="Q46" s="27" t="n"/>
      <c r="R46" s="27" t="n"/>
      <c r="S46" s="27" t="n"/>
      <c r="T46" s="25">
        <f>IF($C46="","",IF(OR(ISNUMBER(SEARCH("quick case",$P46)),ISNUMBER(SEARCH("quick case",$Q46))),"Yes","No"))</f>
        <v/>
      </c>
      <c r="U46" s="25">
        <f>IF($O46="Invalid",HYPERLINK("mailto:"&amp;$G46&amp;";"&amp;$I46&amp;"?cc="&amp;Lists!$E$2&amp;"&amp;subject="&amp;_xlfn.ENCODEURL("[INVALID] Quality audit monitoring completed for "&amp;UPPER($C46))&amp;"&amp;body="&amp;_xlfn.ENCODEURL("Hi "&amp;$F46&amp;","&amp;CHAR(10)&amp;"Good day!"&amp;CHAR(10)&amp;CHAR(10)&amp;"A quality monitoring audit has been completed for "&amp;$C46&amp;"."&amp;CHAR(10)&amp;CHAR(10)&amp;"QUALITY AUDIT DETAILS"&amp;CHAR(10)&amp;"Agent Name: "&amp;$C46&amp;" (EID "&amp;$D46&amp;")"&amp;CHAR(10)&amp;"Audit Date: "&amp;TEXT($B46,"yyyy-mm-dd")&amp;CHAR(10)&amp;"Team Leader: "&amp;$F46&amp;CHAR(10)&amp;"Case Number: "&amp;$M46&amp;CHAR(10)&amp;"Transaction ID: "&amp;$N46&amp;CHAR(10)&amp;"Channel / LOB: "&amp;$K46&amp;" / "&amp;$L46&amp;CHAR(10)&amp;"Evaluator: "&amp;$S46&amp;CHAR(10)&amp;CHAR(10)&amp;"INVALID QUALITY AUDIT DETAILS"&amp;CHAR(10)&amp;"Validation: Invalid"&amp;CHAR(10)&amp;"Invalid Reason: "&amp;$P46&amp;CHAR(10)&amp;"Expected Resolution Code: "&amp;$Q46&amp;CHAR(10)&amp;"Remarks: "&amp;LEFT($R46,600)&amp;CHAR(10)&amp;CHAR(10)&amp;"This is an automated notification from HP Mainstream EQMS."),"✉ Open Email Draft"),"")</f>
        <v/>
      </c>
    </row>
    <row r="47">
      <c r="A47" s="25">
        <f>IF($C47="","","AUD-2026-"&amp;TEXT(ROW()-1,"000000"))</f>
        <v/>
      </c>
      <c r="B47" s="26" t="n"/>
      <c r="C47" s="27" t="n"/>
      <c r="D47" s="25">
        <f>IF($C47="","",IFERROR(IF(INDEX(Roster!$A:$A,MATCH($C47,Roster!$B:$B,0))="","",INDEX(Roster!$A:$A,MATCH($C47,Roster!$B:$B,0))&amp;""),"—"))</f>
        <v/>
      </c>
      <c r="E47" s="25">
        <f>IF($C47="","",IFERROR(IF(INDEX(Roster!$C:$C,MATCH($C47,Roster!$B:$B,0))="","",INDEX(Roster!$C:$C,MATCH($C47,Roster!$B:$B,0))&amp;""),"—"))</f>
        <v/>
      </c>
      <c r="F47" s="25">
        <f>IF($C47="","",IFERROR(IF(INDEX(Roster!$D:$D,MATCH($C47,Roster!$B:$B,0))="","",INDEX(Roster!$D:$D,MATCH($C47,Roster!$B:$B,0))&amp;""),"—"))</f>
        <v/>
      </c>
      <c r="G47" s="25">
        <f>IF($C47="","",IFERROR(IF(INDEX(Roster!$E:$E,MATCH($C47,Roster!$B:$B,0))="","",INDEX(Roster!$E:$E,MATCH($C47,Roster!$B:$B,0))&amp;""),"—"))</f>
        <v/>
      </c>
      <c r="H47" s="25">
        <f>IF($C47="","",IFERROR(IF(INDEX(Roster!$F:$F,MATCH($C47,Roster!$B:$B,0))="","",INDEX(Roster!$F:$F,MATCH($C47,Roster!$B:$B,0))&amp;""),"—"))</f>
        <v/>
      </c>
      <c r="I47" s="25">
        <f>IF($C47="","",IFERROR(IF(INDEX(Roster!$G:$G,MATCH($C47,Roster!$B:$B,0))="","",INDEX(Roster!$G:$G,MATCH($C47,Roster!$B:$B,0))&amp;""),"—"))</f>
        <v/>
      </c>
      <c r="J47" s="25">
        <f>IF($C47="","",IFERROR(IF(INDEX(Roster!$I:$I,MATCH($C47,Roster!$B:$B,0))="","",INDEX(Roster!$I:$I,MATCH($C47,Roster!$B:$B,0))&amp;""),"—"))</f>
        <v/>
      </c>
      <c r="K47">
        <f>IF($C47="","",IFERROR(IF(INDEX(Roster!$J:$J,MATCH($C47,Roster!$B:$B,0))="","",INDEX(Roster!$J:$J,MATCH($C47,Roster!$B:$B,0))&amp;""),"—"))</f>
        <v/>
      </c>
      <c r="L47">
        <f>IF($C47="","",IFERROR(IF(INDEX(Roster!$K:$K,MATCH($C47,Roster!$B:$B,0))="","",INDEX(Roster!$K:$K,MATCH($C47,Roster!$B:$B,0))&amp;""),"—"))</f>
        <v/>
      </c>
      <c r="M47" s="27" t="n"/>
      <c r="N47" s="27" t="n"/>
      <c r="O47" s="25">
        <f>IF($C47="","",IF($P47="","—",IF($P47="Valid (Pass)","Valid","Invalid")))</f>
        <v/>
      </c>
      <c r="P47" s="27" t="n"/>
      <c r="Q47" s="27" t="n"/>
      <c r="R47" s="27" t="n"/>
      <c r="S47" s="27" t="n"/>
      <c r="T47" s="25">
        <f>IF($C47="","",IF(OR(ISNUMBER(SEARCH("quick case",$P47)),ISNUMBER(SEARCH("quick case",$Q47))),"Yes","No"))</f>
        <v/>
      </c>
      <c r="U47" s="25">
        <f>IF($O47="Invalid",HYPERLINK("mailto:"&amp;$G47&amp;";"&amp;$I47&amp;"?cc="&amp;Lists!$E$2&amp;"&amp;subject="&amp;_xlfn.ENCODEURL("[INVALID] Quality audit monitoring completed for "&amp;UPPER($C47))&amp;"&amp;body="&amp;_xlfn.ENCODEURL("Hi "&amp;$F47&amp;","&amp;CHAR(10)&amp;"Good day!"&amp;CHAR(10)&amp;CHAR(10)&amp;"A quality monitoring audit has been completed for "&amp;$C47&amp;"."&amp;CHAR(10)&amp;CHAR(10)&amp;"QUALITY AUDIT DETAILS"&amp;CHAR(10)&amp;"Agent Name: "&amp;$C47&amp;" (EID "&amp;$D47&amp;")"&amp;CHAR(10)&amp;"Audit Date: "&amp;TEXT($B47,"yyyy-mm-dd")&amp;CHAR(10)&amp;"Team Leader: "&amp;$F47&amp;CHAR(10)&amp;"Case Number: "&amp;$M47&amp;CHAR(10)&amp;"Transaction ID: "&amp;$N47&amp;CHAR(10)&amp;"Channel / LOB: "&amp;$K47&amp;" / "&amp;$L47&amp;CHAR(10)&amp;"Evaluator: "&amp;$S47&amp;CHAR(10)&amp;CHAR(10)&amp;"INVALID QUALITY AUDIT DETAILS"&amp;CHAR(10)&amp;"Validation: Invalid"&amp;CHAR(10)&amp;"Invalid Reason: "&amp;$P47&amp;CHAR(10)&amp;"Expected Resolution Code: "&amp;$Q47&amp;CHAR(10)&amp;"Remarks: "&amp;LEFT($R47,600)&amp;CHAR(10)&amp;CHAR(10)&amp;"This is an automated notification from HP Mainstream EQMS."),"✉ Open Email Draft"),"")</f>
        <v/>
      </c>
    </row>
    <row r="48">
      <c r="A48" s="25">
        <f>IF($C48="","","AUD-2026-"&amp;TEXT(ROW()-1,"000000"))</f>
        <v/>
      </c>
      <c r="B48" s="26" t="n"/>
      <c r="C48" s="27" t="n"/>
      <c r="D48" s="25">
        <f>IF($C48="","",IFERROR(IF(INDEX(Roster!$A:$A,MATCH($C48,Roster!$B:$B,0))="","",INDEX(Roster!$A:$A,MATCH($C48,Roster!$B:$B,0))&amp;""),"—"))</f>
        <v/>
      </c>
      <c r="E48" s="25">
        <f>IF($C48="","",IFERROR(IF(INDEX(Roster!$C:$C,MATCH($C48,Roster!$B:$B,0))="","",INDEX(Roster!$C:$C,MATCH($C48,Roster!$B:$B,0))&amp;""),"—"))</f>
        <v/>
      </c>
      <c r="F48" s="25">
        <f>IF($C48="","",IFERROR(IF(INDEX(Roster!$D:$D,MATCH($C48,Roster!$B:$B,0))="","",INDEX(Roster!$D:$D,MATCH($C48,Roster!$B:$B,0))&amp;""),"—"))</f>
        <v/>
      </c>
      <c r="G48" s="25">
        <f>IF($C48="","",IFERROR(IF(INDEX(Roster!$E:$E,MATCH($C48,Roster!$B:$B,0))="","",INDEX(Roster!$E:$E,MATCH($C48,Roster!$B:$B,0))&amp;""),"—"))</f>
        <v/>
      </c>
      <c r="H48" s="25">
        <f>IF($C48="","",IFERROR(IF(INDEX(Roster!$F:$F,MATCH($C48,Roster!$B:$B,0))="","",INDEX(Roster!$F:$F,MATCH($C48,Roster!$B:$B,0))&amp;""),"—"))</f>
        <v/>
      </c>
      <c r="I48" s="25">
        <f>IF($C48="","",IFERROR(IF(INDEX(Roster!$G:$G,MATCH($C48,Roster!$B:$B,0))="","",INDEX(Roster!$G:$G,MATCH($C48,Roster!$B:$B,0))&amp;""),"—"))</f>
        <v/>
      </c>
      <c r="J48" s="25">
        <f>IF($C48="","",IFERROR(IF(INDEX(Roster!$I:$I,MATCH($C48,Roster!$B:$B,0))="","",INDEX(Roster!$I:$I,MATCH($C48,Roster!$B:$B,0))&amp;""),"—"))</f>
        <v/>
      </c>
      <c r="K48">
        <f>IF($C48="","",IFERROR(IF(INDEX(Roster!$J:$J,MATCH($C48,Roster!$B:$B,0))="","",INDEX(Roster!$J:$J,MATCH($C48,Roster!$B:$B,0))&amp;""),"—"))</f>
        <v/>
      </c>
      <c r="L48">
        <f>IF($C48="","",IFERROR(IF(INDEX(Roster!$K:$K,MATCH($C48,Roster!$B:$B,0))="","",INDEX(Roster!$K:$K,MATCH($C48,Roster!$B:$B,0))&amp;""),"—"))</f>
        <v/>
      </c>
      <c r="M48" s="27" t="n"/>
      <c r="N48" s="27" t="n"/>
      <c r="O48" s="25">
        <f>IF($C48="","",IF($P48="","—",IF($P48="Valid (Pass)","Valid","Invalid")))</f>
        <v/>
      </c>
      <c r="P48" s="27" t="n"/>
      <c r="Q48" s="27" t="n"/>
      <c r="R48" s="27" t="n"/>
      <c r="S48" s="27" t="n"/>
      <c r="T48" s="25">
        <f>IF($C48="","",IF(OR(ISNUMBER(SEARCH("quick case",$P48)),ISNUMBER(SEARCH("quick case",$Q48))),"Yes","No"))</f>
        <v/>
      </c>
      <c r="U48" s="25">
        <f>IF($O48="Invalid",HYPERLINK("mailto:"&amp;$G48&amp;";"&amp;$I48&amp;"?cc="&amp;Lists!$E$2&amp;"&amp;subject="&amp;_xlfn.ENCODEURL("[INVALID] Quality audit monitoring completed for "&amp;UPPER($C48))&amp;"&amp;body="&amp;_xlfn.ENCODEURL("Hi "&amp;$F48&amp;","&amp;CHAR(10)&amp;"Good day!"&amp;CHAR(10)&amp;CHAR(10)&amp;"A quality monitoring audit has been completed for "&amp;$C48&amp;"."&amp;CHAR(10)&amp;CHAR(10)&amp;"QUALITY AUDIT DETAILS"&amp;CHAR(10)&amp;"Agent Name: "&amp;$C48&amp;" (EID "&amp;$D48&amp;")"&amp;CHAR(10)&amp;"Audit Date: "&amp;TEXT($B48,"yyyy-mm-dd")&amp;CHAR(10)&amp;"Team Leader: "&amp;$F48&amp;CHAR(10)&amp;"Case Number: "&amp;$M48&amp;CHAR(10)&amp;"Transaction ID: "&amp;$N48&amp;CHAR(10)&amp;"Channel / LOB: "&amp;$K48&amp;" / "&amp;$L48&amp;CHAR(10)&amp;"Evaluator: "&amp;$S48&amp;CHAR(10)&amp;CHAR(10)&amp;"INVALID QUALITY AUDIT DETAILS"&amp;CHAR(10)&amp;"Validation: Invalid"&amp;CHAR(10)&amp;"Invalid Reason: "&amp;$P48&amp;CHAR(10)&amp;"Expected Resolution Code: "&amp;$Q48&amp;CHAR(10)&amp;"Remarks: "&amp;LEFT($R48,600)&amp;CHAR(10)&amp;CHAR(10)&amp;"This is an automated notification from HP Mainstream EQMS."),"✉ Open Email Draft"),"")</f>
        <v/>
      </c>
    </row>
    <row r="49">
      <c r="A49" s="25">
        <f>IF($C49="","","AUD-2026-"&amp;TEXT(ROW()-1,"000000"))</f>
        <v/>
      </c>
      <c r="B49" s="26" t="n"/>
      <c r="C49" s="27" t="n"/>
      <c r="D49" s="25">
        <f>IF($C49="","",IFERROR(IF(INDEX(Roster!$A:$A,MATCH($C49,Roster!$B:$B,0))="","",INDEX(Roster!$A:$A,MATCH($C49,Roster!$B:$B,0))&amp;""),"—"))</f>
        <v/>
      </c>
      <c r="E49" s="25">
        <f>IF($C49="","",IFERROR(IF(INDEX(Roster!$C:$C,MATCH($C49,Roster!$B:$B,0))="","",INDEX(Roster!$C:$C,MATCH($C49,Roster!$B:$B,0))&amp;""),"—"))</f>
        <v/>
      </c>
      <c r="F49" s="25">
        <f>IF($C49="","",IFERROR(IF(INDEX(Roster!$D:$D,MATCH($C49,Roster!$B:$B,0))="","",INDEX(Roster!$D:$D,MATCH($C49,Roster!$B:$B,0))&amp;""),"—"))</f>
        <v/>
      </c>
      <c r="G49" s="25">
        <f>IF($C49="","",IFERROR(IF(INDEX(Roster!$E:$E,MATCH($C49,Roster!$B:$B,0))="","",INDEX(Roster!$E:$E,MATCH($C49,Roster!$B:$B,0))&amp;""),"—"))</f>
        <v/>
      </c>
      <c r="H49" s="25">
        <f>IF($C49="","",IFERROR(IF(INDEX(Roster!$F:$F,MATCH($C49,Roster!$B:$B,0))="","",INDEX(Roster!$F:$F,MATCH($C49,Roster!$B:$B,0))&amp;""),"—"))</f>
        <v/>
      </c>
      <c r="I49" s="25">
        <f>IF($C49="","",IFERROR(IF(INDEX(Roster!$G:$G,MATCH($C49,Roster!$B:$B,0))="","",INDEX(Roster!$G:$G,MATCH($C49,Roster!$B:$B,0))&amp;""),"—"))</f>
        <v/>
      </c>
      <c r="J49" s="25">
        <f>IF($C49="","",IFERROR(IF(INDEX(Roster!$I:$I,MATCH($C49,Roster!$B:$B,0))="","",INDEX(Roster!$I:$I,MATCH($C49,Roster!$B:$B,0))&amp;""),"—"))</f>
        <v/>
      </c>
      <c r="K49">
        <f>IF($C49="","",IFERROR(IF(INDEX(Roster!$J:$J,MATCH($C49,Roster!$B:$B,0))="","",INDEX(Roster!$J:$J,MATCH($C49,Roster!$B:$B,0))&amp;""),"—"))</f>
        <v/>
      </c>
      <c r="L49">
        <f>IF($C49="","",IFERROR(IF(INDEX(Roster!$K:$K,MATCH($C49,Roster!$B:$B,0))="","",INDEX(Roster!$K:$K,MATCH($C49,Roster!$B:$B,0))&amp;""),"—"))</f>
        <v/>
      </c>
      <c r="M49" s="27" t="n"/>
      <c r="N49" s="27" t="n"/>
      <c r="O49" s="25">
        <f>IF($C49="","",IF($P49="","—",IF($P49="Valid (Pass)","Valid","Invalid")))</f>
        <v/>
      </c>
      <c r="P49" s="27" t="n"/>
      <c r="Q49" s="27" t="n"/>
      <c r="R49" s="27" t="n"/>
      <c r="S49" s="27" t="n"/>
      <c r="T49" s="25">
        <f>IF($C49="","",IF(OR(ISNUMBER(SEARCH("quick case",$P49)),ISNUMBER(SEARCH("quick case",$Q49))),"Yes","No"))</f>
        <v/>
      </c>
      <c r="U49" s="25">
        <f>IF($O49="Invalid",HYPERLINK("mailto:"&amp;$G49&amp;";"&amp;$I49&amp;"?cc="&amp;Lists!$E$2&amp;"&amp;subject="&amp;_xlfn.ENCODEURL("[INVALID] Quality audit monitoring completed for "&amp;UPPER($C49))&amp;"&amp;body="&amp;_xlfn.ENCODEURL("Hi "&amp;$F49&amp;","&amp;CHAR(10)&amp;"Good day!"&amp;CHAR(10)&amp;CHAR(10)&amp;"A quality monitoring audit has been completed for "&amp;$C49&amp;"."&amp;CHAR(10)&amp;CHAR(10)&amp;"QUALITY AUDIT DETAILS"&amp;CHAR(10)&amp;"Agent Name: "&amp;$C49&amp;" (EID "&amp;$D49&amp;")"&amp;CHAR(10)&amp;"Audit Date: "&amp;TEXT($B49,"yyyy-mm-dd")&amp;CHAR(10)&amp;"Team Leader: "&amp;$F49&amp;CHAR(10)&amp;"Case Number: "&amp;$M49&amp;CHAR(10)&amp;"Transaction ID: "&amp;$N49&amp;CHAR(10)&amp;"Channel / LOB: "&amp;$K49&amp;" / "&amp;$L49&amp;CHAR(10)&amp;"Evaluator: "&amp;$S49&amp;CHAR(10)&amp;CHAR(10)&amp;"INVALID QUALITY AUDIT DETAILS"&amp;CHAR(10)&amp;"Validation: Invalid"&amp;CHAR(10)&amp;"Invalid Reason: "&amp;$P49&amp;CHAR(10)&amp;"Expected Resolution Code: "&amp;$Q49&amp;CHAR(10)&amp;"Remarks: "&amp;LEFT($R49,600)&amp;CHAR(10)&amp;CHAR(10)&amp;"This is an automated notification from HP Mainstream EQMS."),"✉ Open Email Draft"),"")</f>
        <v/>
      </c>
    </row>
    <row r="50">
      <c r="A50" s="25">
        <f>IF($C50="","","AUD-2026-"&amp;TEXT(ROW()-1,"000000"))</f>
        <v/>
      </c>
      <c r="B50" s="26" t="n"/>
      <c r="C50" s="27" t="n"/>
      <c r="D50" s="25">
        <f>IF($C50="","",IFERROR(IF(INDEX(Roster!$A:$A,MATCH($C50,Roster!$B:$B,0))="","",INDEX(Roster!$A:$A,MATCH($C50,Roster!$B:$B,0))&amp;""),"—"))</f>
        <v/>
      </c>
      <c r="E50" s="25">
        <f>IF($C50="","",IFERROR(IF(INDEX(Roster!$C:$C,MATCH($C50,Roster!$B:$B,0))="","",INDEX(Roster!$C:$C,MATCH($C50,Roster!$B:$B,0))&amp;""),"—"))</f>
        <v/>
      </c>
      <c r="F50" s="25">
        <f>IF($C50="","",IFERROR(IF(INDEX(Roster!$D:$D,MATCH($C50,Roster!$B:$B,0))="","",INDEX(Roster!$D:$D,MATCH($C50,Roster!$B:$B,0))&amp;""),"—"))</f>
        <v/>
      </c>
      <c r="G50" s="25">
        <f>IF($C50="","",IFERROR(IF(INDEX(Roster!$E:$E,MATCH($C50,Roster!$B:$B,0))="","",INDEX(Roster!$E:$E,MATCH($C50,Roster!$B:$B,0))&amp;""),"—"))</f>
        <v/>
      </c>
      <c r="H50" s="25">
        <f>IF($C50="","",IFERROR(IF(INDEX(Roster!$F:$F,MATCH($C50,Roster!$B:$B,0))="","",INDEX(Roster!$F:$F,MATCH($C50,Roster!$B:$B,0))&amp;""),"—"))</f>
        <v/>
      </c>
      <c r="I50" s="25">
        <f>IF($C50="","",IFERROR(IF(INDEX(Roster!$G:$G,MATCH($C50,Roster!$B:$B,0))="","",INDEX(Roster!$G:$G,MATCH($C50,Roster!$B:$B,0))&amp;""),"—"))</f>
        <v/>
      </c>
      <c r="J50" s="25">
        <f>IF($C50="","",IFERROR(IF(INDEX(Roster!$I:$I,MATCH($C50,Roster!$B:$B,0))="","",INDEX(Roster!$I:$I,MATCH($C50,Roster!$B:$B,0))&amp;""),"—"))</f>
        <v/>
      </c>
      <c r="K50">
        <f>IF($C50="","",IFERROR(IF(INDEX(Roster!$J:$J,MATCH($C50,Roster!$B:$B,0))="","",INDEX(Roster!$J:$J,MATCH($C50,Roster!$B:$B,0))&amp;""),"—"))</f>
        <v/>
      </c>
      <c r="L50">
        <f>IF($C50="","",IFERROR(IF(INDEX(Roster!$K:$K,MATCH($C50,Roster!$B:$B,0))="","",INDEX(Roster!$K:$K,MATCH($C50,Roster!$B:$B,0))&amp;""),"—"))</f>
        <v/>
      </c>
      <c r="M50" s="27" t="n"/>
      <c r="N50" s="27" t="n"/>
      <c r="O50" s="25">
        <f>IF($C50="","",IF($P50="","—",IF($P50="Valid (Pass)","Valid","Invalid")))</f>
        <v/>
      </c>
      <c r="P50" s="27" t="n"/>
      <c r="Q50" s="27" t="n"/>
      <c r="R50" s="27" t="n"/>
      <c r="S50" s="27" t="n"/>
      <c r="T50" s="25">
        <f>IF($C50="","",IF(OR(ISNUMBER(SEARCH("quick case",$P50)),ISNUMBER(SEARCH("quick case",$Q50))),"Yes","No"))</f>
        <v/>
      </c>
      <c r="U50" s="25">
        <f>IF($O50="Invalid",HYPERLINK("mailto:"&amp;$G50&amp;";"&amp;$I50&amp;"?cc="&amp;Lists!$E$2&amp;"&amp;subject="&amp;_xlfn.ENCODEURL("[INVALID] Quality audit monitoring completed for "&amp;UPPER($C50))&amp;"&amp;body="&amp;_xlfn.ENCODEURL("Hi "&amp;$F50&amp;","&amp;CHAR(10)&amp;"Good day!"&amp;CHAR(10)&amp;CHAR(10)&amp;"A quality monitoring audit has been completed for "&amp;$C50&amp;"."&amp;CHAR(10)&amp;CHAR(10)&amp;"QUALITY AUDIT DETAILS"&amp;CHAR(10)&amp;"Agent Name: "&amp;$C50&amp;" (EID "&amp;$D50&amp;")"&amp;CHAR(10)&amp;"Audit Date: "&amp;TEXT($B50,"yyyy-mm-dd")&amp;CHAR(10)&amp;"Team Leader: "&amp;$F50&amp;CHAR(10)&amp;"Case Number: "&amp;$M50&amp;CHAR(10)&amp;"Transaction ID: "&amp;$N50&amp;CHAR(10)&amp;"Channel / LOB: "&amp;$K50&amp;" / "&amp;$L50&amp;CHAR(10)&amp;"Evaluator: "&amp;$S50&amp;CHAR(10)&amp;CHAR(10)&amp;"INVALID QUALITY AUDIT DETAILS"&amp;CHAR(10)&amp;"Validation: Invalid"&amp;CHAR(10)&amp;"Invalid Reason: "&amp;$P50&amp;CHAR(10)&amp;"Expected Resolution Code: "&amp;$Q50&amp;CHAR(10)&amp;"Remarks: "&amp;LEFT($R50,600)&amp;CHAR(10)&amp;CHAR(10)&amp;"This is an automated notification from HP Mainstream EQMS."),"✉ Open Email Draft"),"")</f>
        <v/>
      </c>
    </row>
    <row r="51">
      <c r="A51" s="25">
        <f>IF($C51="","","AUD-2026-"&amp;TEXT(ROW()-1,"000000"))</f>
        <v/>
      </c>
      <c r="B51" s="26" t="n"/>
      <c r="C51" s="27" t="n"/>
      <c r="D51" s="25">
        <f>IF($C51="","",IFERROR(IF(INDEX(Roster!$A:$A,MATCH($C51,Roster!$B:$B,0))="","",INDEX(Roster!$A:$A,MATCH($C51,Roster!$B:$B,0))&amp;""),"—"))</f>
        <v/>
      </c>
      <c r="E51" s="25">
        <f>IF($C51="","",IFERROR(IF(INDEX(Roster!$C:$C,MATCH($C51,Roster!$B:$B,0))="","",INDEX(Roster!$C:$C,MATCH($C51,Roster!$B:$B,0))&amp;""),"—"))</f>
        <v/>
      </c>
      <c r="F51" s="25">
        <f>IF($C51="","",IFERROR(IF(INDEX(Roster!$D:$D,MATCH($C51,Roster!$B:$B,0))="","",INDEX(Roster!$D:$D,MATCH($C51,Roster!$B:$B,0))&amp;""),"—"))</f>
        <v/>
      </c>
      <c r="G51" s="25">
        <f>IF($C51="","",IFERROR(IF(INDEX(Roster!$E:$E,MATCH($C51,Roster!$B:$B,0))="","",INDEX(Roster!$E:$E,MATCH($C51,Roster!$B:$B,0))&amp;""),"—"))</f>
        <v/>
      </c>
      <c r="H51" s="25">
        <f>IF($C51="","",IFERROR(IF(INDEX(Roster!$F:$F,MATCH($C51,Roster!$B:$B,0))="","",INDEX(Roster!$F:$F,MATCH($C51,Roster!$B:$B,0))&amp;""),"—"))</f>
        <v/>
      </c>
      <c r="I51" s="25">
        <f>IF($C51="","",IFERROR(IF(INDEX(Roster!$G:$G,MATCH($C51,Roster!$B:$B,0))="","",INDEX(Roster!$G:$G,MATCH($C51,Roster!$B:$B,0))&amp;""),"—"))</f>
        <v/>
      </c>
      <c r="J51" s="25">
        <f>IF($C51="","",IFERROR(IF(INDEX(Roster!$I:$I,MATCH($C51,Roster!$B:$B,0))="","",INDEX(Roster!$I:$I,MATCH($C51,Roster!$B:$B,0))&amp;""),"—"))</f>
        <v/>
      </c>
      <c r="K51">
        <f>IF($C51="","",IFERROR(IF(INDEX(Roster!$J:$J,MATCH($C51,Roster!$B:$B,0))="","",INDEX(Roster!$J:$J,MATCH($C51,Roster!$B:$B,0))&amp;""),"—"))</f>
        <v/>
      </c>
      <c r="L51">
        <f>IF($C51="","",IFERROR(IF(INDEX(Roster!$K:$K,MATCH($C51,Roster!$B:$B,0))="","",INDEX(Roster!$K:$K,MATCH($C51,Roster!$B:$B,0))&amp;""),"—"))</f>
        <v/>
      </c>
      <c r="M51" s="27" t="n"/>
      <c r="N51" s="27" t="n"/>
      <c r="O51" s="25">
        <f>IF($C51="","",IF($P51="","—",IF($P51="Valid (Pass)","Valid","Invalid")))</f>
        <v/>
      </c>
      <c r="P51" s="27" t="n"/>
      <c r="Q51" s="27" t="n"/>
      <c r="R51" s="27" t="n"/>
      <c r="S51" s="27" t="n"/>
      <c r="T51" s="25">
        <f>IF($C51="","",IF(OR(ISNUMBER(SEARCH("quick case",$P51)),ISNUMBER(SEARCH("quick case",$Q51))),"Yes","No"))</f>
        <v/>
      </c>
      <c r="U51" s="25">
        <f>IF($O51="Invalid",HYPERLINK("mailto:"&amp;$G51&amp;";"&amp;$I51&amp;"?cc="&amp;Lists!$E$2&amp;"&amp;subject="&amp;_xlfn.ENCODEURL("[INVALID] Quality audit monitoring completed for "&amp;UPPER($C51))&amp;"&amp;body="&amp;_xlfn.ENCODEURL("Hi "&amp;$F51&amp;","&amp;CHAR(10)&amp;"Good day!"&amp;CHAR(10)&amp;CHAR(10)&amp;"A quality monitoring audit has been completed for "&amp;$C51&amp;"."&amp;CHAR(10)&amp;CHAR(10)&amp;"QUALITY AUDIT DETAILS"&amp;CHAR(10)&amp;"Agent Name: "&amp;$C51&amp;" (EID "&amp;$D51&amp;")"&amp;CHAR(10)&amp;"Audit Date: "&amp;TEXT($B51,"yyyy-mm-dd")&amp;CHAR(10)&amp;"Team Leader: "&amp;$F51&amp;CHAR(10)&amp;"Case Number: "&amp;$M51&amp;CHAR(10)&amp;"Transaction ID: "&amp;$N51&amp;CHAR(10)&amp;"Channel / LOB: "&amp;$K51&amp;" / "&amp;$L51&amp;CHAR(10)&amp;"Evaluator: "&amp;$S51&amp;CHAR(10)&amp;CHAR(10)&amp;"INVALID QUALITY AUDIT DETAILS"&amp;CHAR(10)&amp;"Validation: Invalid"&amp;CHAR(10)&amp;"Invalid Reason: "&amp;$P51&amp;CHAR(10)&amp;"Expected Resolution Code: "&amp;$Q51&amp;CHAR(10)&amp;"Remarks: "&amp;LEFT($R51,600)&amp;CHAR(10)&amp;CHAR(10)&amp;"This is an automated notification from HP Mainstream EQMS."),"✉ Open Email Draft"),"")</f>
        <v/>
      </c>
    </row>
    <row r="52">
      <c r="A52" s="25">
        <f>IF($C52="","","AUD-2026-"&amp;TEXT(ROW()-1,"000000"))</f>
        <v/>
      </c>
      <c r="B52" s="26" t="n"/>
      <c r="C52" s="27" t="n"/>
      <c r="D52" s="25">
        <f>IF($C52="","",IFERROR(IF(INDEX(Roster!$A:$A,MATCH($C52,Roster!$B:$B,0))="","",INDEX(Roster!$A:$A,MATCH($C52,Roster!$B:$B,0))&amp;""),"—"))</f>
        <v/>
      </c>
      <c r="E52" s="25">
        <f>IF($C52="","",IFERROR(IF(INDEX(Roster!$C:$C,MATCH($C52,Roster!$B:$B,0))="","",INDEX(Roster!$C:$C,MATCH($C52,Roster!$B:$B,0))&amp;""),"—"))</f>
        <v/>
      </c>
      <c r="F52" s="25">
        <f>IF($C52="","",IFERROR(IF(INDEX(Roster!$D:$D,MATCH($C52,Roster!$B:$B,0))="","",INDEX(Roster!$D:$D,MATCH($C52,Roster!$B:$B,0))&amp;""),"—"))</f>
        <v/>
      </c>
      <c r="G52" s="25">
        <f>IF($C52="","",IFERROR(IF(INDEX(Roster!$E:$E,MATCH($C52,Roster!$B:$B,0))="","",INDEX(Roster!$E:$E,MATCH($C52,Roster!$B:$B,0))&amp;""),"—"))</f>
        <v/>
      </c>
      <c r="H52" s="25">
        <f>IF($C52="","",IFERROR(IF(INDEX(Roster!$F:$F,MATCH($C52,Roster!$B:$B,0))="","",INDEX(Roster!$F:$F,MATCH($C52,Roster!$B:$B,0))&amp;""),"—"))</f>
        <v/>
      </c>
      <c r="I52" s="25">
        <f>IF($C52="","",IFERROR(IF(INDEX(Roster!$G:$G,MATCH($C52,Roster!$B:$B,0))="","",INDEX(Roster!$G:$G,MATCH($C52,Roster!$B:$B,0))&amp;""),"—"))</f>
        <v/>
      </c>
      <c r="J52" s="25">
        <f>IF($C52="","",IFERROR(IF(INDEX(Roster!$I:$I,MATCH($C52,Roster!$B:$B,0))="","",INDEX(Roster!$I:$I,MATCH($C52,Roster!$B:$B,0))&amp;""),"—"))</f>
        <v/>
      </c>
      <c r="K52">
        <f>IF($C52="","",IFERROR(IF(INDEX(Roster!$J:$J,MATCH($C52,Roster!$B:$B,0))="","",INDEX(Roster!$J:$J,MATCH($C52,Roster!$B:$B,0))&amp;""),"—"))</f>
        <v/>
      </c>
      <c r="L52">
        <f>IF($C52="","",IFERROR(IF(INDEX(Roster!$K:$K,MATCH($C52,Roster!$B:$B,0))="","",INDEX(Roster!$K:$K,MATCH($C52,Roster!$B:$B,0))&amp;""),"—"))</f>
        <v/>
      </c>
      <c r="M52" s="27" t="n"/>
      <c r="N52" s="27" t="n"/>
      <c r="O52" s="25">
        <f>IF($C52="","",IF($P52="","—",IF($P52="Valid (Pass)","Valid","Invalid")))</f>
        <v/>
      </c>
      <c r="P52" s="27" t="n"/>
      <c r="Q52" s="27" t="n"/>
      <c r="R52" s="27" t="n"/>
      <c r="S52" s="27" t="n"/>
      <c r="T52" s="25">
        <f>IF($C52="","",IF(OR(ISNUMBER(SEARCH("quick case",$P52)),ISNUMBER(SEARCH("quick case",$Q52))),"Yes","No"))</f>
        <v/>
      </c>
      <c r="U52" s="25">
        <f>IF($O52="Invalid",HYPERLINK("mailto:"&amp;$G52&amp;";"&amp;$I52&amp;"?cc="&amp;Lists!$E$2&amp;"&amp;subject="&amp;_xlfn.ENCODEURL("[INVALID] Quality audit monitoring completed for "&amp;UPPER($C52))&amp;"&amp;body="&amp;_xlfn.ENCODEURL("Hi "&amp;$F52&amp;","&amp;CHAR(10)&amp;"Good day!"&amp;CHAR(10)&amp;CHAR(10)&amp;"A quality monitoring audit has been completed for "&amp;$C52&amp;"."&amp;CHAR(10)&amp;CHAR(10)&amp;"QUALITY AUDIT DETAILS"&amp;CHAR(10)&amp;"Agent Name: "&amp;$C52&amp;" (EID "&amp;$D52&amp;")"&amp;CHAR(10)&amp;"Audit Date: "&amp;TEXT($B52,"yyyy-mm-dd")&amp;CHAR(10)&amp;"Team Leader: "&amp;$F52&amp;CHAR(10)&amp;"Case Number: "&amp;$M52&amp;CHAR(10)&amp;"Transaction ID: "&amp;$N52&amp;CHAR(10)&amp;"Channel / LOB: "&amp;$K52&amp;" / "&amp;$L52&amp;CHAR(10)&amp;"Evaluator: "&amp;$S52&amp;CHAR(10)&amp;CHAR(10)&amp;"INVALID QUALITY AUDIT DETAILS"&amp;CHAR(10)&amp;"Validation: Invalid"&amp;CHAR(10)&amp;"Invalid Reason: "&amp;$P52&amp;CHAR(10)&amp;"Expected Resolution Code: "&amp;$Q52&amp;CHAR(10)&amp;"Remarks: "&amp;LEFT($R52,600)&amp;CHAR(10)&amp;CHAR(10)&amp;"This is an automated notification from HP Mainstream EQMS."),"✉ Open Email Draft"),"")</f>
        <v/>
      </c>
    </row>
    <row r="53">
      <c r="A53" s="25">
        <f>IF($C53="","","AUD-2026-"&amp;TEXT(ROW()-1,"000000"))</f>
        <v/>
      </c>
      <c r="B53" s="26" t="n"/>
      <c r="C53" s="27" t="n"/>
      <c r="D53" s="25">
        <f>IF($C53="","",IFERROR(IF(INDEX(Roster!$A:$A,MATCH($C53,Roster!$B:$B,0))="","",INDEX(Roster!$A:$A,MATCH($C53,Roster!$B:$B,0))&amp;""),"—"))</f>
        <v/>
      </c>
      <c r="E53" s="25">
        <f>IF($C53="","",IFERROR(IF(INDEX(Roster!$C:$C,MATCH($C53,Roster!$B:$B,0))="","",INDEX(Roster!$C:$C,MATCH($C53,Roster!$B:$B,0))&amp;""),"—"))</f>
        <v/>
      </c>
      <c r="F53" s="25">
        <f>IF($C53="","",IFERROR(IF(INDEX(Roster!$D:$D,MATCH($C53,Roster!$B:$B,0))="","",INDEX(Roster!$D:$D,MATCH($C53,Roster!$B:$B,0))&amp;""),"—"))</f>
        <v/>
      </c>
      <c r="G53" s="25">
        <f>IF($C53="","",IFERROR(IF(INDEX(Roster!$E:$E,MATCH($C53,Roster!$B:$B,0))="","",INDEX(Roster!$E:$E,MATCH($C53,Roster!$B:$B,0))&amp;""),"—"))</f>
        <v/>
      </c>
      <c r="H53" s="25">
        <f>IF($C53="","",IFERROR(IF(INDEX(Roster!$F:$F,MATCH($C53,Roster!$B:$B,0))="","",INDEX(Roster!$F:$F,MATCH($C53,Roster!$B:$B,0))&amp;""),"—"))</f>
        <v/>
      </c>
      <c r="I53" s="25">
        <f>IF($C53="","",IFERROR(IF(INDEX(Roster!$G:$G,MATCH($C53,Roster!$B:$B,0))="","",INDEX(Roster!$G:$G,MATCH($C53,Roster!$B:$B,0))&amp;""),"—"))</f>
        <v/>
      </c>
      <c r="J53" s="25">
        <f>IF($C53="","",IFERROR(IF(INDEX(Roster!$I:$I,MATCH($C53,Roster!$B:$B,0))="","",INDEX(Roster!$I:$I,MATCH($C53,Roster!$B:$B,0))&amp;""),"—"))</f>
        <v/>
      </c>
      <c r="K53">
        <f>IF($C53="","",IFERROR(IF(INDEX(Roster!$J:$J,MATCH($C53,Roster!$B:$B,0))="","",INDEX(Roster!$J:$J,MATCH($C53,Roster!$B:$B,0))&amp;""),"—"))</f>
        <v/>
      </c>
      <c r="L53">
        <f>IF($C53="","",IFERROR(IF(INDEX(Roster!$K:$K,MATCH($C53,Roster!$B:$B,0))="","",INDEX(Roster!$K:$K,MATCH($C53,Roster!$B:$B,0))&amp;""),"—"))</f>
        <v/>
      </c>
      <c r="M53" s="27" t="n"/>
      <c r="N53" s="27" t="n"/>
      <c r="O53" s="25">
        <f>IF($C53="","",IF($P53="","—",IF($P53="Valid (Pass)","Valid","Invalid")))</f>
        <v/>
      </c>
      <c r="P53" s="27" t="n"/>
      <c r="Q53" s="27" t="n"/>
      <c r="R53" s="27" t="n"/>
      <c r="S53" s="27" t="n"/>
      <c r="T53" s="25">
        <f>IF($C53="","",IF(OR(ISNUMBER(SEARCH("quick case",$P53)),ISNUMBER(SEARCH("quick case",$Q53))),"Yes","No"))</f>
        <v/>
      </c>
      <c r="U53" s="25">
        <f>IF($O53="Invalid",HYPERLINK("mailto:"&amp;$G53&amp;";"&amp;$I53&amp;"?cc="&amp;Lists!$E$2&amp;"&amp;subject="&amp;_xlfn.ENCODEURL("[INVALID] Quality audit monitoring completed for "&amp;UPPER($C53))&amp;"&amp;body="&amp;_xlfn.ENCODEURL("Hi "&amp;$F53&amp;","&amp;CHAR(10)&amp;"Good day!"&amp;CHAR(10)&amp;CHAR(10)&amp;"A quality monitoring audit has been completed for "&amp;$C53&amp;"."&amp;CHAR(10)&amp;CHAR(10)&amp;"QUALITY AUDIT DETAILS"&amp;CHAR(10)&amp;"Agent Name: "&amp;$C53&amp;" (EID "&amp;$D53&amp;")"&amp;CHAR(10)&amp;"Audit Date: "&amp;TEXT($B53,"yyyy-mm-dd")&amp;CHAR(10)&amp;"Team Leader: "&amp;$F53&amp;CHAR(10)&amp;"Case Number: "&amp;$M53&amp;CHAR(10)&amp;"Transaction ID: "&amp;$N53&amp;CHAR(10)&amp;"Channel / LOB: "&amp;$K53&amp;" / "&amp;$L53&amp;CHAR(10)&amp;"Evaluator: "&amp;$S53&amp;CHAR(10)&amp;CHAR(10)&amp;"INVALID QUALITY AUDIT DETAILS"&amp;CHAR(10)&amp;"Validation: Invalid"&amp;CHAR(10)&amp;"Invalid Reason: "&amp;$P53&amp;CHAR(10)&amp;"Expected Resolution Code: "&amp;$Q53&amp;CHAR(10)&amp;"Remarks: "&amp;LEFT($R53,600)&amp;CHAR(10)&amp;CHAR(10)&amp;"This is an automated notification from HP Mainstream EQMS."),"✉ Open Email Draft"),"")</f>
        <v/>
      </c>
    </row>
    <row r="54">
      <c r="A54" s="25">
        <f>IF($C54="","","AUD-2026-"&amp;TEXT(ROW()-1,"000000"))</f>
        <v/>
      </c>
      <c r="B54" s="26" t="n"/>
      <c r="C54" s="27" t="n"/>
      <c r="D54" s="25">
        <f>IF($C54="","",IFERROR(IF(INDEX(Roster!$A:$A,MATCH($C54,Roster!$B:$B,0))="","",INDEX(Roster!$A:$A,MATCH($C54,Roster!$B:$B,0))&amp;""),"—"))</f>
        <v/>
      </c>
      <c r="E54" s="25">
        <f>IF($C54="","",IFERROR(IF(INDEX(Roster!$C:$C,MATCH($C54,Roster!$B:$B,0))="","",INDEX(Roster!$C:$C,MATCH($C54,Roster!$B:$B,0))&amp;""),"—"))</f>
        <v/>
      </c>
      <c r="F54" s="25">
        <f>IF($C54="","",IFERROR(IF(INDEX(Roster!$D:$D,MATCH($C54,Roster!$B:$B,0))="","",INDEX(Roster!$D:$D,MATCH($C54,Roster!$B:$B,0))&amp;""),"—"))</f>
        <v/>
      </c>
      <c r="G54" s="25">
        <f>IF($C54="","",IFERROR(IF(INDEX(Roster!$E:$E,MATCH($C54,Roster!$B:$B,0))="","",INDEX(Roster!$E:$E,MATCH($C54,Roster!$B:$B,0))&amp;""),"—"))</f>
        <v/>
      </c>
      <c r="H54" s="25">
        <f>IF($C54="","",IFERROR(IF(INDEX(Roster!$F:$F,MATCH($C54,Roster!$B:$B,0))="","",INDEX(Roster!$F:$F,MATCH($C54,Roster!$B:$B,0))&amp;""),"—"))</f>
        <v/>
      </c>
      <c r="I54" s="25">
        <f>IF($C54="","",IFERROR(IF(INDEX(Roster!$G:$G,MATCH($C54,Roster!$B:$B,0))="","",INDEX(Roster!$G:$G,MATCH($C54,Roster!$B:$B,0))&amp;""),"—"))</f>
        <v/>
      </c>
      <c r="J54" s="25">
        <f>IF($C54="","",IFERROR(IF(INDEX(Roster!$I:$I,MATCH($C54,Roster!$B:$B,0))="","",INDEX(Roster!$I:$I,MATCH($C54,Roster!$B:$B,0))&amp;""),"—"))</f>
        <v/>
      </c>
      <c r="K54">
        <f>IF($C54="","",IFERROR(IF(INDEX(Roster!$J:$J,MATCH($C54,Roster!$B:$B,0))="","",INDEX(Roster!$J:$J,MATCH($C54,Roster!$B:$B,0))&amp;""),"—"))</f>
        <v/>
      </c>
      <c r="L54">
        <f>IF($C54="","",IFERROR(IF(INDEX(Roster!$K:$K,MATCH($C54,Roster!$B:$B,0))="","",INDEX(Roster!$K:$K,MATCH($C54,Roster!$B:$B,0))&amp;""),"—"))</f>
        <v/>
      </c>
      <c r="M54" s="27" t="n"/>
      <c r="N54" s="27" t="n"/>
      <c r="O54" s="25">
        <f>IF($C54="","",IF($P54="","—",IF($P54="Valid (Pass)","Valid","Invalid")))</f>
        <v/>
      </c>
      <c r="P54" s="27" t="n"/>
      <c r="Q54" s="27" t="n"/>
      <c r="R54" s="27" t="n"/>
      <c r="S54" s="27" t="n"/>
      <c r="T54" s="25">
        <f>IF($C54="","",IF(OR(ISNUMBER(SEARCH("quick case",$P54)),ISNUMBER(SEARCH("quick case",$Q54))),"Yes","No"))</f>
        <v/>
      </c>
      <c r="U54" s="25">
        <f>IF($O54="Invalid",HYPERLINK("mailto:"&amp;$G54&amp;";"&amp;$I54&amp;"?cc="&amp;Lists!$E$2&amp;"&amp;subject="&amp;_xlfn.ENCODEURL("[INVALID] Quality audit monitoring completed for "&amp;UPPER($C54))&amp;"&amp;body="&amp;_xlfn.ENCODEURL("Hi "&amp;$F54&amp;","&amp;CHAR(10)&amp;"Good day!"&amp;CHAR(10)&amp;CHAR(10)&amp;"A quality monitoring audit has been completed for "&amp;$C54&amp;"."&amp;CHAR(10)&amp;CHAR(10)&amp;"QUALITY AUDIT DETAILS"&amp;CHAR(10)&amp;"Agent Name: "&amp;$C54&amp;" (EID "&amp;$D54&amp;")"&amp;CHAR(10)&amp;"Audit Date: "&amp;TEXT($B54,"yyyy-mm-dd")&amp;CHAR(10)&amp;"Team Leader: "&amp;$F54&amp;CHAR(10)&amp;"Case Number: "&amp;$M54&amp;CHAR(10)&amp;"Transaction ID: "&amp;$N54&amp;CHAR(10)&amp;"Channel / LOB: "&amp;$K54&amp;" / "&amp;$L54&amp;CHAR(10)&amp;"Evaluator: "&amp;$S54&amp;CHAR(10)&amp;CHAR(10)&amp;"INVALID QUALITY AUDIT DETAILS"&amp;CHAR(10)&amp;"Validation: Invalid"&amp;CHAR(10)&amp;"Invalid Reason: "&amp;$P54&amp;CHAR(10)&amp;"Expected Resolution Code: "&amp;$Q54&amp;CHAR(10)&amp;"Remarks: "&amp;LEFT($R54,600)&amp;CHAR(10)&amp;CHAR(10)&amp;"This is an automated notification from HP Mainstream EQMS."),"✉ Open Email Draft"),"")</f>
        <v/>
      </c>
    </row>
    <row r="55">
      <c r="A55" s="25">
        <f>IF($C55="","","AUD-2026-"&amp;TEXT(ROW()-1,"000000"))</f>
        <v/>
      </c>
      <c r="B55" s="26" t="n"/>
      <c r="C55" s="27" t="n"/>
      <c r="D55" s="25">
        <f>IF($C55="","",IFERROR(IF(INDEX(Roster!$A:$A,MATCH($C55,Roster!$B:$B,0))="","",INDEX(Roster!$A:$A,MATCH($C55,Roster!$B:$B,0))&amp;""),"—"))</f>
        <v/>
      </c>
      <c r="E55" s="25">
        <f>IF($C55="","",IFERROR(IF(INDEX(Roster!$C:$C,MATCH($C55,Roster!$B:$B,0))="","",INDEX(Roster!$C:$C,MATCH($C55,Roster!$B:$B,0))&amp;""),"—"))</f>
        <v/>
      </c>
      <c r="F55" s="25">
        <f>IF($C55="","",IFERROR(IF(INDEX(Roster!$D:$D,MATCH($C55,Roster!$B:$B,0))="","",INDEX(Roster!$D:$D,MATCH($C55,Roster!$B:$B,0))&amp;""),"—"))</f>
        <v/>
      </c>
      <c r="G55" s="25">
        <f>IF($C55="","",IFERROR(IF(INDEX(Roster!$E:$E,MATCH($C55,Roster!$B:$B,0))="","",INDEX(Roster!$E:$E,MATCH($C55,Roster!$B:$B,0))&amp;""),"—"))</f>
        <v/>
      </c>
      <c r="H55" s="25">
        <f>IF($C55="","",IFERROR(IF(INDEX(Roster!$F:$F,MATCH($C55,Roster!$B:$B,0))="","",INDEX(Roster!$F:$F,MATCH($C55,Roster!$B:$B,0))&amp;""),"—"))</f>
        <v/>
      </c>
      <c r="I55" s="25">
        <f>IF($C55="","",IFERROR(IF(INDEX(Roster!$G:$G,MATCH($C55,Roster!$B:$B,0))="","",INDEX(Roster!$G:$G,MATCH($C55,Roster!$B:$B,0))&amp;""),"—"))</f>
        <v/>
      </c>
      <c r="J55" s="25">
        <f>IF($C55="","",IFERROR(IF(INDEX(Roster!$I:$I,MATCH($C55,Roster!$B:$B,0))="","",INDEX(Roster!$I:$I,MATCH($C55,Roster!$B:$B,0))&amp;""),"—"))</f>
        <v/>
      </c>
      <c r="K55">
        <f>IF($C55="","",IFERROR(IF(INDEX(Roster!$J:$J,MATCH($C55,Roster!$B:$B,0))="","",INDEX(Roster!$J:$J,MATCH($C55,Roster!$B:$B,0))&amp;""),"—"))</f>
        <v/>
      </c>
      <c r="L55">
        <f>IF($C55="","",IFERROR(IF(INDEX(Roster!$K:$K,MATCH($C55,Roster!$B:$B,0))="","",INDEX(Roster!$K:$K,MATCH($C55,Roster!$B:$B,0))&amp;""),"—"))</f>
        <v/>
      </c>
      <c r="M55" s="27" t="n"/>
      <c r="N55" s="27" t="n"/>
      <c r="O55" s="25">
        <f>IF($C55="","",IF($P55="","—",IF($P55="Valid (Pass)","Valid","Invalid")))</f>
        <v/>
      </c>
      <c r="P55" s="27" t="n"/>
      <c r="Q55" s="27" t="n"/>
      <c r="R55" s="27" t="n"/>
      <c r="S55" s="27" t="n"/>
      <c r="T55" s="25">
        <f>IF($C55="","",IF(OR(ISNUMBER(SEARCH("quick case",$P55)),ISNUMBER(SEARCH("quick case",$Q55))),"Yes","No"))</f>
        <v/>
      </c>
      <c r="U55" s="25">
        <f>IF($O55="Invalid",HYPERLINK("mailto:"&amp;$G55&amp;";"&amp;$I55&amp;"?cc="&amp;Lists!$E$2&amp;"&amp;subject="&amp;_xlfn.ENCODEURL("[INVALID] Quality audit monitoring completed for "&amp;UPPER($C55))&amp;"&amp;body="&amp;_xlfn.ENCODEURL("Hi "&amp;$F55&amp;","&amp;CHAR(10)&amp;"Good day!"&amp;CHAR(10)&amp;CHAR(10)&amp;"A quality monitoring audit has been completed for "&amp;$C55&amp;"."&amp;CHAR(10)&amp;CHAR(10)&amp;"QUALITY AUDIT DETAILS"&amp;CHAR(10)&amp;"Agent Name: "&amp;$C55&amp;" (EID "&amp;$D55&amp;")"&amp;CHAR(10)&amp;"Audit Date: "&amp;TEXT($B55,"yyyy-mm-dd")&amp;CHAR(10)&amp;"Team Leader: "&amp;$F55&amp;CHAR(10)&amp;"Case Number: "&amp;$M55&amp;CHAR(10)&amp;"Transaction ID: "&amp;$N55&amp;CHAR(10)&amp;"Channel / LOB: "&amp;$K55&amp;" / "&amp;$L55&amp;CHAR(10)&amp;"Evaluator: "&amp;$S55&amp;CHAR(10)&amp;CHAR(10)&amp;"INVALID QUALITY AUDIT DETAILS"&amp;CHAR(10)&amp;"Validation: Invalid"&amp;CHAR(10)&amp;"Invalid Reason: "&amp;$P55&amp;CHAR(10)&amp;"Expected Resolution Code: "&amp;$Q55&amp;CHAR(10)&amp;"Remarks: "&amp;LEFT($R55,600)&amp;CHAR(10)&amp;CHAR(10)&amp;"This is an automated notification from HP Mainstream EQMS."),"✉ Open Email Draft"),"")</f>
        <v/>
      </c>
    </row>
    <row r="56">
      <c r="A56" s="25">
        <f>IF($C56="","","AUD-2026-"&amp;TEXT(ROW()-1,"000000"))</f>
        <v/>
      </c>
      <c r="B56" s="26" t="n"/>
      <c r="C56" s="27" t="n"/>
      <c r="D56" s="25">
        <f>IF($C56="","",IFERROR(IF(INDEX(Roster!$A:$A,MATCH($C56,Roster!$B:$B,0))="","",INDEX(Roster!$A:$A,MATCH($C56,Roster!$B:$B,0))&amp;""),"—"))</f>
        <v/>
      </c>
      <c r="E56" s="25">
        <f>IF($C56="","",IFERROR(IF(INDEX(Roster!$C:$C,MATCH($C56,Roster!$B:$B,0))="","",INDEX(Roster!$C:$C,MATCH($C56,Roster!$B:$B,0))&amp;""),"—"))</f>
        <v/>
      </c>
      <c r="F56" s="25">
        <f>IF($C56="","",IFERROR(IF(INDEX(Roster!$D:$D,MATCH($C56,Roster!$B:$B,0))="","",INDEX(Roster!$D:$D,MATCH($C56,Roster!$B:$B,0))&amp;""),"—"))</f>
        <v/>
      </c>
      <c r="G56" s="25">
        <f>IF($C56="","",IFERROR(IF(INDEX(Roster!$E:$E,MATCH($C56,Roster!$B:$B,0))="","",INDEX(Roster!$E:$E,MATCH($C56,Roster!$B:$B,0))&amp;""),"—"))</f>
        <v/>
      </c>
      <c r="H56" s="25">
        <f>IF($C56="","",IFERROR(IF(INDEX(Roster!$F:$F,MATCH($C56,Roster!$B:$B,0))="","",INDEX(Roster!$F:$F,MATCH($C56,Roster!$B:$B,0))&amp;""),"—"))</f>
        <v/>
      </c>
      <c r="I56" s="25">
        <f>IF($C56="","",IFERROR(IF(INDEX(Roster!$G:$G,MATCH($C56,Roster!$B:$B,0))="","",INDEX(Roster!$G:$G,MATCH($C56,Roster!$B:$B,0))&amp;""),"—"))</f>
        <v/>
      </c>
      <c r="J56" s="25">
        <f>IF($C56="","",IFERROR(IF(INDEX(Roster!$I:$I,MATCH($C56,Roster!$B:$B,0))="","",INDEX(Roster!$I:$I,MATCH($C56,Roster!$B:$B,0))&amp;""),"—"))</f>
        <v/>
      </c>
      <c r="K56">
        <f>IF($C56="","",IFERROR(IF(INDEX(Roster!$J:$J,MATCH($C56,Roster!$B:$B,0))="","",INDEX(Roster!$J:$J,MATCH($C56,Roster!$B:$B,0))&amp;""),"—"))</f>
        <v/>
      </c>
      <c r="L56">
        <f>IF($C56="","",IFERROR(IF(INDEX(Roster!$K:$K,MATCH($C56,Roster!$B:$B,0))="","",INDEX(Roster!$K:$K,MATCH($C56,Roster!$B:$B,0))&amp;""),"—"))</f>
        <v/>
      </c>
      <c r="M56" s="27" t="n"/>
      <c r="N56" s="27" t="n"/>
      <c r="O56" s="25">
        <f>IF($C56="","",IF($P56="","—",IF($P56="Valid (Pass)","Valid","Invalid")))</f>
        <v/>
      </c>
      <c r="P56" s="27" t="n"/>
      <c r="Q56" s="27" t="n"/>
      <c r="R56" s="27" t="n"/>
      <c r="S56" s="27" t="n"/>
      <c r="T56" s="25">
        <f>IF($C56="","",IF(OR(ISNUMBER(SEARCH("quick case",$P56)),ISNUMBER(SEARCH("quick case",$Q56))),"Yes","No"))</f>
        <v/>
      </c>
      <c r="U56" s="25">
        <f>IF($O56="Invalid",HYPERLINK("mailto:"&amp;$G56&amp;";"&amp;$I56&amp;"?cc="&amp;Lists!$E$2&amp;"&amp;subject="&amp;_xlfn.ENCODEURL("[INVALID] Quality audit monitoring completed for "&amp;UPPER($C56))&amp;"&amp;body="&amp;_xlfn.ENCODEURL("Hi "&amp;$F56&amp;","&amp;CHAR(10)&amp;"Good day!"&amp;CHAR(10)&amp;CHAR(10)&amp;"A quality monitoring audit has been completed for "&amp;$C56&amp;"."&amp;CHAR(10)&amp;CHAR(10)&amp;"QUALITY AUDIT DETAILS"&amp;CHAR(10)&amp;"Agent Name: "&amp;$C56&amp;" (EID "&amp;$D56&amp;")"&amp;CHAR(10)&amp;"Audit Date: "&amp;TEXT($B56,"yyyy-mm-dd")&amp;CHAR(10)&amp;"Team Leader: "&amp;$F56&amp;CHAR(10)&amp;"Case Number: "&amp;$M56&amp;CHAR(10)&amp;"Transaction ID: "&amp;$N56&amp;CHAR(10)&amp;"Channel / LOB: "&amp;$K56&amp;" / "&amp;$L56&amp;CHAR(10)&amp;"Evaluator: "&amp;$S56&amp;CHAR(10)&amp;CHAR(10)&amp;"INVALID QUALITY AUDIT DETAILS"&amp;CHAR(10)&amp;"Validation: Invalid"&amp;CHAR(10)&amp;"Invalid Reason: "&amp;$P56&amp;CHAR(10)&amp;"Expected Resolution Code: "&amp;$Q56&amp;CHAR(10)&amp;"Remarks: "&amp;LEFT($R56,600)&amp;CHAR(10)&amp;CHAR(10)&amp;"This is an automated notification from HP Mainstream EQMS."),"✉ Open Email Draft"),"")</f>
        <v/>
      </c>
    </row>
    <row r="57">
      <c r="A57" s="25">
        <f>IF($C57="","","AUD-2026-"&amp;TEXT(ROW()-1,"000000"))</f>
        <v/>
      </c>
      <c r="B57" s="26" t="n"/>
      <c r="C57" s="27" t="n"/>
      <c r="D57" s="25">
        <f>IF($C57="","",IFERROR(IF(INDEX(Roster!$A:$A,MATCH($C57,Roster!$B:$B,0))="","",INDEX(Roster!$A:$A,MATCH($C57,Roster!$B:$B,0))&amp;""),"—"))</f>
        <v/>
      </c>
      <c r="E57" s="25">
        <f>IF($C57="","",IFERROR(IF(INDEX(Roster!$C:$C,MATCH($C57,Roster!$B:$B,0))="","",INDEX(Roster!$C:$C,MATCH($C57,Roster!$B:$B,0))&amp;""),"—"))</f>
        <v/>
      </c>
      <c r="F57" s="25">
        <f>IF($C57="","",IFERROR(IF(INDEX(Roster!$D:$D,MATCH($C57,Roster!$B:$B,0))="","",INDEX(Roster!$D:$D,MATCH($C57,Roster!$B:$B,0))&amp;""),"—"))</f>
        <v/>
      </c>
      <c r="G57" s="25">
        <f>IF($C57="","",IFERROR(IF(INDEX(Roster!$E:$E,MATCH($C57,Roster!$B:$B,0))="","",INDEX(Roster!$E:$E,MATCH($C57,Roster!$B:$B,0))&amp;""),"—"))</f>
        <v/>
      </c>
      <c r="H57" s="25">
        <f>IF($C57="","",IFERROR(IF(INDEX(Roster!$F:$F,MATCH($C57,Roster!$B:$B,0))="","",INDEX(Roster!$F:$F,MATCH($C57,Roster!$B:$B,0))&amp;""),"—"))</f>
        <v/>
      </c>
      <c r="I57" s="25">
        <f>IF($C57="","",IFERROR(IF(INDEX(Roster!$G:$G,MATCH($C57,Roster!$B:$B,0))="","",INDEX(Roster!$G:$G,MATCH($C57,Roster!$B:$B,0))&amp;""),"—"))</f>
        <v/>
      </c>
      <c r="J57" s="25">
        <f>IF($C57="","",IFERROR(IF(INDEX(Roster!$I:$I,MATCH($C57,Roster!$B:$B,0))="","",INDEX(Roster!$I:$I,MATCH($C57,Roster!$B:$B,0))&amp;""),"—"))</f>
        <v/>
      </c>
      <c r="K57">
        <f>IF($C57="","",IFERROR(IF(INDEX(Roster!$J:$J,MATCH($C57,Roster!$B:$B,0))="","",INDEX(Roster!$J:$J,MATCH($C57,Roster!$B:$B,0))&amp;""),"—"))</f>
        <v/>
      </c>
      <c r="L57">
        <f>IF($C57="","",IFERROR(IF(INDEX(Roster!$K:$K,MATCH($C57,Roster!$B:$B,0))="","",INDEX(Roster!$K:$K,MATCH($C57,Roster!$B:$B,0))&amp;""),"—"))</f>
        <v/>
      </c>
      <c r="M57" s="27" t="n"/>
      <c r="N57" s="27" t="n"/>
      <c r="O57" s="25">
        <f>IF($C57="","",IF($P57="","—",IF($P57="Valid (Pass)","Valid","Invalid")))</f>
        <v/>
      </c>
      <c r="P57" s="27" t="n"/>
      <c r="Q57" s="27" t="n"/>
      <c r="R57" s="27" t="n"/>
      <c r="S57" s="27" t="n"/>
      <c r="T57" s="25">
        <f>IF($C57="","",IF(OR(ISNUMBER(SEARCH("quick case",$P57)),ISNUMBER(SEARCH("quick case",$Q57))),"Yes","No"))</f>
        <v/>
      </c>
      <c r="U57" s="25">
        <f>IF($O57="Invalid",HYPERLINK("mailto:"&amp;$G57&amp;";"&amp;$I57&amp;"?cc="&amp;Lists!$E$2&amp;"&amp;subject="&amp;_xlfn.ENCODEURL("[INVALID] Quality audit monitoring completed for "&amp;UPPER($C57))&amp;"&amp;body="&amp;_xlfn.ENCODEURL("Hi "&amp;$F57&amp;","&amp;CHAR(10)&amp;"Good day!"&amp;CHAR(10)&amp;CHAR(10)&amp;"A quality monitoring audit has been completed for "&amp;$C57&amp;"."&amp;CHAR(10)&amp;CHAR(10)&amp;"QUALITY AUDIT DETAILS"&amp;CHAR(10)&amp;"Agent Name: "&amp;$C57&amp;" (EID "&amp;$D57&amp;")"&amp;CHAR(10)&amp;"Audit Date: "&amp;TEXT($B57,"yyyy-mm-dd")&amp;CHAR(10)&amp;"Team Leader: "&amp;$F57&amp;CHAR(10)&amp;"Case Number: "&amp;$M57&amp;CHAR(10)&amp;"Transaction ID: "&amp;$N57&amp;CHAR(10)&amp;"Channel / LOB: "&amp;$K57&amp;" / "&amp;$L57&amp;CHAR(10)&amp;"Evaluator: "&amp;$S57&amp;CHAR(10)&amp;CHAR(10)&amp;"INVALID QUALITY AUDIT DETAILS"&amp;CHAR(10)&amp;"Validation: Invalid"&amp;CHAR(10)&amp;"Invalid Reason: "&amp;$P57&amp;CHAR(10)&amp;"Expected Resolution Code: "&amp;$Q57&amp;CHAR(10)&amp;"Remarks: "&amp;LEFT($R57,600)&amp;CHAR(10)&amp;CHAR(10)&amp;"This is an automated notification from HP Mainstream EQMS."),"✉ Open Email Draft"),"")</f>
        <v/>
      </c>
    </row>
    <row r="58">
      <c r="A58" s="25">
        <f>IF($C58="","","AUD-2026-"&amp;TEXT(ROW()-1,"000000"))</f>
        <v/>
      </c>
      <c r="B58" s="26" t="n"/>
      <c r="C58" s="27" t="n"/>
      <c r="D58" s="25">
        <f>IF($C58="","",IFERROR(IF(INDEX(Roster!$A:$A,MATCH($C58,Roster!$B:$B,0))="","",INDEX(Roster!$A:$A,MATCH($C58,Roster!$B:$B,0))&amp;""),"—"))</f>
        <v/>
      </c>
      <c r="E58" s="25">
        <f>IF($C58="","",IFERROR(IF(INDEX(Roster!$C:$C,MATCH($C58,Roster!$B:$B,0))="","",INDEX(Roster!$C:$C,MATCH($C58,Roster!$B:$B,0))&amp;""),"—"))</f>
        <v/>
      </c>
      <c r="F58" s="25">
        <f>IF($C58="","",IFERROR(IF(INDEX(Roster!$D:$D,MATCH($C58,Roster!$B:$B,0))="","",INDEX(Roster!$D:$D,MATCH($C58,Roster!$B:$B,0))&amp;""),"—"))</f>
        <v/>
      </c>
      <c r="G58" s="25">
        <f>IF($C58="","",IFERROR(IF(INDEX(Roster!$E:$E,MATCH($C58,Roster!$B:$B,0))="","",INDEX(Roster!$E:$E,MATCH($C58,Roster!$B:$B,0))&amp;""),"—"))</f>
        <v/>
      </c>
      <c r="H58" s="25">
        <f>IF($C58="","",IFERROR(IF(INDEX(Roster!$F:$F,MATCH($C58,Roster!$B:$B,0))="","",INDEX(Roster!$F:$F,MATCH($C58,Roster!$B:$B,0))&amp;""),"—"))</f>
        <v/>
      </c>
      <c r="I58" s="25">
        <f>IF($C58="","",IFERROR(IF(INDEX(Roster!$G:$G,MATCH($C58,Roster!$B:$B,0))="","",INDEX(Roster!$G:$G,MATCH($C58,Roster!$B:$B,0))&amp;""),"—"))</f>
        <v/>
      </c>
      <c r="J58" s="25">
        <f>IF($C58="","",IFERROR(IF(INDEX(Roster!$I:$I,MATCH($C58,Roster!$B:$B,0))="","",INDEX(Roster!$I:$I,MATCH($C58,Roster!$B:$B,0))&amp;""),"—"))</f>
        <v/>
      </c>
      <c r="K58">
        <f>IF($C58="","",IFERROR(IF(INDEX(Roster!$J:$J,MATCH($C58,Roster!$B:$B,0))="","",INDEX(Roster!$J:$J,MATCH($C58,Roster!$B:$B,0))&amp;""),"—"))</f>
        <v/>
      </c>
      <c r="L58">
        <f>IF($C58="","",IFERROR(IF(INDEX(Roster!$K:$K,MATCH($C58,Roster!$B:$B,0))="","",INDEX(Roster!$K:$K,MATCH($C58,Roster!$B:$B,0))&amp;""),"—"))</f>
        <v/>
      </c>
      <c r="M58" s="27" t="n"/>
      <c r="N58" s="27" t="n"/>
      <c r="O58" s="25">
        <f>IF($C58="","",IF($P58="","—",IF($P58="Valid (Pass)","Valid","Invalid")))</f>
        <v/>
      </c>
      <c r="P58" s="27" t="n"/>
      <c r="Q58" s="27" t="n"/>
      <c r="R58" s="27" t="n"/>
      <c r="S58" s="27" t="n"/>
      <c r="T58" s="25">
        <f>IF($C58="","",IF(OR(ISNUMBER(SEARCH("quick case",$P58)),ISNUMBER(SEARCH("quick case",$Q58))),"Yes","No"))</f>
        <v/>
      </c>
      <c r="U58" s="25">
        <f>IF($O58="Invalid",HYPERLINK("mailto:"&amp;$G58&amp;";"&amp;$I58&amp;"?cc="&amp;Lists!$E$2&amp;"&amp;subject="&amp;_xlfn.ENCODEURL("[INVALID] Quality audit monitoring completed for "&amp;UPPER($C58))&amp;"&amp;body="&amp;_xlfn.ENCODEURL("Hi "&amp;$F58&amp;","&amp;CHAR(10)&amp;"Good day!"&amp;CHAR(10)&amp;CHAR(10)&amp;"A quality monitoring audit has been completed for "&amp;$C58&amp;"."&amp;CHAR(10)&amp;CHAR(10)&amp;"QUALITY AUDIT DETAILS"&amp;CHAR(10)&amp;"Agent Name: "&amp;$C58&amp;" (EID "&amp;$D58&amp;")"&amp;CHAR(10)&amp;"Audit Date: "&amp;TEXT($B58,"yyyy-mm-dd")&amp;CHAR(10)&amp;"Team Leader: "&amp;$F58&amp;CHAR(10)&amp;"Case Number: "&amp;$M58&amp;CHAR(10)&amp;"Transaction ID: "&amp;$N58&amp;CHAR(10)&amp;"Channel / LOB: "&amp;$K58&amp;" / "&amp;$L58&amp;CHAR(10)&amp;"Evaluator: "&amp;$S58&amp;CHAR(10)&amp;CHAR(10)&amp;"INVALID QUALITY AUDIT DETAILS"&amp;CHAR(10)&amp;"Validation: Invalid"&amp;CHAR(10)&amp;"Invalid Reason: "&amp;$P58&amp;CHAR(10)&amp;"Expected Resolution Code: "&amp;$Q58&amp;CHAR(10)&amp;"Remarks: "&amp;LEFT($R58,600)&amp;CHAR(10)&amp;CHAR(10)&amp;"This is an automated notification from HP Mainstream EQMS."),"✉ Open Email Draft"),"")</f>
        <v/>
      </c>
    </row>
    <row r="59">
      <c r="A59" s="25">
        <f>IF($C59="","","AUD-2026-"&amp;TEXT(ROW()-1,"000000"))</f>
        <v/>
      </c>
      <c r="B59" s="26" t="n"/>
      <c r="C59" s="27" t="n"/>
      <c r="D59" s="25">
        <f>IF($C59="","",IFERROR(IF(INDEX(Roster!$A:$A,MATCH($C59,Roster!$B:$B,0))="","",INDEX(Roster!$A:$A,MATCH($C59,Roster!$B:$B,0))&amp;""),"—"))</f>
        <v/>
      </c>
      <c r="E59" s="25">
        <f>IF($C59="","",IFERROR(IF(INDEX(Roster!$C:$C,MATCH($C59,Roster!$B:$B,0))="","",INDEX(Roster!$C:$C,MATCH($C59,Roster!$B:$B,0))&amp;""),"—"))</f>
        <v/>
      </c>
      <c r="F59" s="25">
        <f>IF($C59="","",IFERROR(IF(INDEX(Roster!$D:$D,MATCH($C59,Roster!$B:$B,0))="","",INDEX(Roster!$D:$D,MATCH($C59,Roster!$B:$B,0))&amp;""),"—"))</f>
        <v/>
      </c>
      <c r="G59" s="25">
        <f>IF($C59="","",IFERROR(IF(INDEX(Roster!$E:$E,MATCH($C59,Roster!$B:$B,0))="","",INDEX(Roster!$E:$E,MATCH($C59,Roster!$B:$B,0))&amp;""),"—"))</f>
        <v/>
      </c>
      <c r="H59" s="25">
        <f>IF($C59="","",IFERROR(IF(INDEX(Roster!$F:$F,MATCH($C59,Roster!$B:$B,0))="","",INDEX(Roster!$F:$F,MATCH($C59,Roster!$B:$B,0))&amp;""),"—"))</f>
        <v/>
      </c>
      <c r="I59" s="25">
        <f>IF($C59="","",IFERROR(IF(INDEX(Roster!$G:$G,MATCH($C59,Roster!$B:$B,0))="","",INDEX(Roster!$G:$G,MATCH($C59,Roster!$B:$B,0))&amp;""),"—"))</f>
        <v/>
      </c>
      <c r="J59" s="25">
        <f>IF($C59="","",IFERROR(IF(INDEX(Roster!$I:$I,MATCH($C59,Roster!$B:$B,0))="","",INDEX(Roster!$I:$I,MATCH($C59,Roster!$B:$B,0))&amp;""),"—"))</f>
        <v/>
      </c>
      <c r="K59">
        <f>IF($C59="","",IFERROR(IF(INDEX(Roster!$J:$J,MATCH($C59,Roster!$B:$B,0))="","",INDEX(Roster!$J:$J,MATCH($C59,Roster!$B:$B,0))&amp;""),"—"))</f>
        <v/>
      </c>
      <c r="L59">
        <f>IF($C59="","",IFERROR(IF(INDEX(Roster!$K:$K,MATCH($C59,Roster!$B:$B,0))="","",INDEX(Roster!$K:$K,MATCH($C59,Roster!$B:$B,0))&amp;""),"—"))</f>
        <v/>
      </c>
      <c r="M59" s="27" t="n"/>
      <c r="N59" s="27" t="n"/>
      <c r="O59" s="25">
        <f>IF($C59="","",IF($P59="","—",IF($P59="Valid (Pass)","Valid","Invalid")))</f>
        <v/>
      </c>
      <c r="P59" s="27" t="n"/>
      <c r="Q59" s="27" t="n"/>
      <c r="R59" s="27" t="n"/>
      <c r="S59" s="27" t="n"/>
      <c r="T59" s="25">
        <f>IF($C59="","",IF(OR(ISNUMBER(SEARCH("quick case",$P59)),ISNUMBER(SEARCH("quick case",$Q59))),"Yes","No"))</f>
        <v/>
      </c>
      <c r="U59" s="25">
        <f>IF($O59="Invalid",HYPERLINK("mailto:"&amp;$G59&amp;";"&amp;$I59&amp;"?cc="&amp;Lists!$E$2&amp;"&amp;subject="&amp;_xlfn.ENCODEURL("[INVALID] Quality audit monitoring completed for "&amp;UPPER($C59))&amp;"&amp;body="&amp;_xlfn.ENCODEURL("Hi "&amp;$F59&amp;","&amp;CHAR(10)&amp;"Good day!"&amp;CHAR(10)&amp;CHAR(10)&amp;"A quality monitoring audit has been completed for "&amp;$C59&amp;"."&amp;CHAR(10)&amp;CHAR(10)&amp;"QUALITY AUDIT DETAILS"&amp;CHAR(10)&amp;"Agent Name: "&amp;$C59&amp;" (EID "&amp;$D59&amp;")"&amp;CHAR(10)&amp;"Audit Date: "&amp;TEXT($B59,"yyyy-mm-dd")&amp;CHAR(10)&amp;"Team Leader: "&amp;$F59&amp;CHAR(10)&amp;"Case Number: "&amp;$M59&amp;CHAR(10)&amp;"Transaction ID: "&amp;$N59&amp;CHAR(10)&amp;"Channel / LOB: "&amp;$K59&amp;" / "&amp;$L59&amp;CHAR(10)&amp;"Evaluator: "&amp;$S59&amp;CHAR(10)&amp;CHAR(10)&amp;"INVALID QUALITY AUDIT DETAILS"&amp;CHAR(10)&amp;"Validation: Invalid"&amp;CHAR(10)&amp;"Invalid Reason: "&amp;$P59&amp;CHAR(10)&amp;"Expected Resolution Code: "&amp;$Q59&amp;CHAR(10)&amp;"Remarks: "&amp;LEFT($R59,600)&amp;CHAR(10)&amp;CHAR(10)&amp;"This is an automated notification from HP Mainstream EQMS."),"✉ Open Email Draft"),"")</f>
        <v/>
      </c>
    </row>
    <row r="60">
      <c r="A60" s="25">
        <f>IF($C60="","","AUD-2026-"&amp;TEXT(ROW()-1,"000000"))</f>
        <v/>
      </c>
      <c r="B60" s="26" t="n"/>
      <c r="C60" s="27" t="n"/>
      <c r="D60" s="25">
        <f>IF($C60="","",IFERROR(IF(INDEX(Roster!$A:$A,MATCH($C60,Roster!$B:$B,0))="","",INDEX(Roster!$A:$A,MATCH($C60,Roster!$B:$B,0))&amp;""),"—"))</f>
        <v/>
      </c>
      <c r="E60" s="25">
        <f>IF($C60="","",IFERROR(IF(INDEX(Roster!$C:$C,MATCH($C60,Roster!$B:$B,0))="","",INDEX(Roster!$C:$C,MATCH($C60,Roster!$B:$B,0))&amp;""),"—"))</f>
        <v/>
      </c>
      <c r="F60" s="25">
        <f>IF($C60="","",IFERROR(IF(INDEX(Roster!$D:$D,MATCH($C60,Roster!$B:$B,0))="","",INDEX(Roster!$D:$D,MATCH($C60,Roster!$B:$B,0))&amp;""),"—"))</f>
        <v/>
      </c>
      <c r="G60" s="25">
        <f>IF($C60="","",IFERROR(IF(INDEX(Roster!$E:$E,MATCH($C60,Roster!$B:$B,0))="","",INDEX(Roster!$E:$E,MATCH($C60,Roster!$B:$B,0))&amp;""),"—"))</f>
        <v/>
      </c>
      <c r="H60" s="25">
        <f>IF($C60="","",IFERROR(IF(INDEX(Roster!$F:$F,MATCH($C60,Roster!$B:$B,0))="","",INDEX(Roster!$F:$F,MATCH($C60,Roster!$B:$B,0))&amp;""),"—"))</f>
        <v/>
      </c>
      <c r="I60" s="25">
        <f>IF($C60="","",IFERROR(IF(INDEX(Roster!$G:$G,MATCH($C60,Roster!$B:$B,0))="","",INDEX(Roster!$G:$G,MATCH($C60,Roster!$B:$B,0))&amp;""),"—"))</f>
        <v/>
      </c>
      <c r="J60" s="25">
        <f>IF($C60="","",IFERROR(IF(INDEX(Roster!$I:$I,MATCH($C60,Roster!$B:$B,0))="","",INDEX(Roster!$I:$I,MATCH($C60,Roster!$B:$B,0))&amp;""),"—"))</f>
        <v/>
      </c>
      <c r="K60">
        <f>IF($C60="","",IFERROR(IF(INDEX(Roster!$J:$J,MATCH($C60,Roster!$B:$B,0))="","",INDEX(Roster!$J:$J,MATCH($C60,Roster!$B:$B,0))&amp;""),"—"))</f>
        <v/>
      </c>
      <c r="L60">
        <f>IF($C60="","",IFERROR(IF(INDEX(Roster!$K:$K,MATCH($C60,Roster!$B:$B,0))="","",INDEX(Roster!$K:$K,MATCH($C60,Roster!$B:$B,0))&amp;""),"—"))</f>
        <v/>
      </c>
      <c r="M60" s="27" t="n"/>
      <c r="N60" s="27" t="n"/>
      <c r="O60" s="25">
        <f>IF($C60="","",IF($P60="","—",IF($P60="Valid (Pass)","Valid","Invalid")))</f>
        <v/>
      </c>
      <c r="P60" s="27" t="n"/>
      <c r="Q60" s="27" t="n"/>
      <c r="R60" s="27" t="n"/>
      <c r="S60" s="27" t="n"/>
      <c r="T60" s="25">
        <f>IF($C60="","",IF(OR(ISNUMBER(SEARCH("quick case",$P60)),ISNUMBER(SEARCH("quick case",$Q60))),"Yes","No"))</f>
        <v/>
      </c>
      <c r="U60" s="25">
        <f>IF($O60="Invalid",HYPERLINK("mailto:"&amp;$G60&amp;";"&amp;$I60&amp;"?cc="&amp;Lists!$E$2&amp;"&amp;subject="&amp;_xlfn.ENCODEURL("[INVALID] Quality audit monitoring completed for "&amp;UPPER($C60))&amp;"&amp;body="&amp;_xlfn.ENCODEURL("Hi "&amp;$F60&amp;","&amp;CHAR(10)&amp;"Good day!"&amp;CHAR(10)&amp;CHAR(10)&amp;"A quality monitoring audit has been completed for "&amp;$C60&amp;"."&amp;CHAR(10)&amp;CHAR(10)&amp;"QUALITY AUDIT DETAILS"&amp;CHAR(10)&amp;"Agent Name: "&amp;$C60&amp;" (EID "&amp;$D60&amp;")"&amp;CHAR(10)&amp;"Audit Date: "&amp;TEXT($B60,"yyyy-mm-dd")&amp;CHAR(10)&amp;"Team Leader: "&amp;$F60&amp;CHAR(10)&amp;"Case Number: "&amp;$M60&amp;CHAR(10)&amp;"Transaction ID: "&amp;$N60&amp;CHAR(10)&amp;"Channel / LOB: "&amp;$K60&amp;" / "&amp;$L60&amp;CHAR(10)&amp;"Evaluator: "&amp;$S60&amp;CHAR(10)&amp;CHAR(10)&amp;"INVALID QUALITY AUDIT DETAILS"&amp;CHAR(10)&amp;"Validation: Invalid"&amp;CHAR(10)&amp;"Invalid Reason: "&amp;$P60&amp;CHAR(10)&amp;"Expected Resolution Code: "&amp;$Q60&amp;CHAR(10)&amp;"Remarks: "&amp;LEFT($R60,600)&amp;CHAR(10)&amp;CHAR(10)&amp;"This is an automated notification from HP Mainstream EQMS."),"✉ Open Email Draft"),"")</f>
        <v/>
      </c>
    </row>
    <row r="61">
      <c r="A61" s="25">
        <f>IF($C61="","","AUD-2026-"&amp;TEXT(ROW()-1,"000000"))</f>
        <v/>
      </c>
      <c r="B61" s="26" t="n"/>
      <c r="C61" s="27" t="n"/>
      <c r="D61" s="25">
        <f>IF($C61="","",IFERROR(IF(INDEX(Roster!$A:$A,MATCH($C61,Roster!$B:$B,0))="","",INDEX(Roster!$A:$A,MATCH($C61,Roster!$B:$B,0))&amp;""),"—"))</f>
        <v/>
      </c>
      <c r="E61" s="25">
        <f>IF($C61="","",IFERROR(IF(INDEX(Roster!$C:$C,MATCH($C61,Roster!$B:$B,0))="","",INDEX(Roster!$C:$C,MATCH($C61,Roster!$B:$B,0))&amp;""),"—"))</f>
        <v/>
      </c>
      <c r="F61" s="25">
        <f>IF($C61="","",IFERROR(IF(INDEX(Roster!$D:$D,MATCH($C61,Roster!$B:$B,0))="","",INDEX(Roster!$D:$D,MATCH($C61,Roster!$B:$B,0))&amp;""),"—"))</f>
        <v/>
      </c>
      <c r="G61" s="25">
        <f>IF($C61="","",IFERROR(IF(INDEX(Roster!$E:$E,MATCH($C61,Roster!$B:$B,0))="","",INDEX(Roster!$E:$E,MATCH($C61,Roster!$B:$B,0))&amp;""),"—"))</f>
        <v/>
      </c>
      <c r="H61" s="25">
        <f>IF($C61="","",IFERROR(IF(INDEX(Roster!$F:$F,MATCH($C61,Roster!$B:$B,0))="","",INDEX(Roster!$F:$F,MATCH($C61,Roster!$B:$B,0))&amp;""),"—"))</f>
        <v/>
      </c>
      <c r="I61" s="25">
        <f>IF($C61="","",IFERROR(IF(INDEX(Roster!$G:$G,MATCH($C61,Roster!$B:$B,0))="","",INDEX(Roster!$G:$G,MATCH($C61,Roster!$B:$B,0))&amp;""),"—"))</f>
        <v/>
      </c>
      <c r="J61" s="25">
        <f>IF($C61="","",IFERROR(IF(INDEX(Roster!$I:$I,MATCH($C61,Roster!$B:$B,0))="","",INDEX(Roster!$I:$I,MATCH($C61,Roster!$B:$B,0))&amp;""),"—"))</f>
        <v/>
      </c>
      <c r="K61">
        <f>IF($C61="","",IFERROR(IF(INDEX(Roster!$J:$J,MATCH($C61,Roster!$B:$B,0))="","",INDEX(Roster!$J:$J,MATCH($C61,Roster!$B:$B,0))&amp;""),"—"))</f>
        <v/>
      </c>
      <c r="L61">
        <f>IF($C61="","",IFERROR(IF(INDEX(Roster!$K:$K,MATCH($C61,Roster!$B:$B,0))="","",INDEX(Roster!$K:$K,MATCH($C61,Roster!$B:$B,0))&amp;""),"—"))</f>
        <v/>
      </c>
      <c r="M61" s="27" t="n"/>
      <c r="N61" s="27" t="n"/>
      <c r="O61" s="25">
        <f>IF($C61="","",IF($P61="","—",IF($P61="Valid (Pass)","Valid","Invalid")))</f>
        <v/>
      </c>
      <c r="P61" s="27" t="n"/>
      <c r="Q61" s="27" t="n"/>
      <c r="R61" s="27" t="n"/>
      <c r="S61" s="27" t="n"/>
      <c r="T61" s="25">
        <f>IF($C61="","",IF(OR(ISNUMBER(SEARCH("quick case",$P61)),ISNUMBER(SEARCH("quick case",$Q61))),"Yes","No"))</f>
        <v/>
      </c>
      <c r="U61" s="25">
        <f>IF($O61="Invalid",HYPERLINK("mailto:"&amp;$G61&amp;";"&amp;$I61&amp;"?cc="&amp;Lists!$E$2&amp;"&amp;subject="&amp;_xlfn.ENCODEURL("[INVALID] Quality audit monitoring completed for "&amp;UPPER($C61))&amp;"&amp;body="&amp;_xlfn.ENCODEURL("Hi "&amp;$F61&amp;","&amp;CHAR(10)&amp;"Good day!"&amp;CHAR(10)&amp;CHAR(10)&amp;"A quality monitoring audit has been completed for "&amp;$C61&amp;"."&amp;CHAR(10)&amp;CHAR(10)&amp;"QUALITY AUDIT DETAILS"&amp;CHAR(10)&amp;"Agent Name: "&amp;$C61&amp;" (EID "&amp;$D61&amp;")"&amp;CHAR(10)&amp;"Audit Date: "&amp;TEXT($B61,"yyyy-mm-dd")&amp;CHAR(10)&amp;"Team Leader: "&amp;$F61&amp;CHAR(10)&amp;"Case Number: "&amp;$M61&amp;CHAR(10)&amp;"Transaction ID: "&amp;$N61&amp;CHAR(10)&amp;"Channel / LOB: "&amp;$K61&amp;" / "&amp;$L61&amp;CHAR(10)&amp;"Evaluator: "&amp;$S61&amp;CHAR(10)&amp;CHAR(10)&amp;"INVALID QUALITY AUDIT DETAILS"&amp;CHAR(10)&amp;"Validation: Invalid"&amp;CHAR(10)&amp;"Invalid Reason: "&amp;$P61&amp;CHAR(10)&amp;"Expected Resolution Code: "&amp;$Q61&amp;CHAR(10)&amp;"Remarks: "&amp;LEFT($R61,600)&amp;CHAR(10)&amp;CHAR(10)&amp;"This is an automated notification from HP Mainstream EQMS."),"✉ Open Email Draft"),"")</f>
        <v/>
      </c>
    </row>
    <row r="62">
      <c r="A62" s="25">
        <f>IF($C62="","","AUD-2026-"&amp;TEXT(ROW()-1,"000000"))</f>
        <v/>
      </c>
      <c r="B62" s="26" t="n"/>
      <c r="C62" s="27" t="n"/>
      <c r="D62" s="25">
        <f>IF($C62="","",IFERROR(IF(INDEX(Roster!$A:$A,MATCH($C62,Roster!$B:$B,0))="","",INDEX(Roster!$A:$A,MATCH($C62,Roster!$B:$B,0))&amp;""),"—"))</f>
        <v/>
      </c>
      <c r="E62" s="25">
        <f>IF($C62="","",IFERROR(IF(INDEX(Roster!$C:$C,MATCH($C62,Roster!$B:$B,0))="","",INDEX(Roster!$C:$C,MATCH($C62,Roster!$B:$B,0))&amp;""),"—"))</f>
        <v/>
      </c>
      <c r="F62" s="25">
        <f>IF($C62="","",IFERROR(IF(INDEX(Roster!$D:$D,MATCH($C62,Roster!$B:$B,0))="","",INDEX(Roster!$D:$D,MATCH($C62,Roster!$B:$B,0))&amp;""),"—"))</f>
        <v/>
      </c>
      <c r="G62" s="25">
        <f>IF($C62="","",IFERROR(IF(INDEX(Roster!$E:$E,MATCH($C62,Roster!$B:$B,0))="","",INDEX(Roster!$E:$E,MATCH($C62,Roster!$B:$B,0))&amp;""),"—"))</f>
        <v/>
      </c>
      <c r="H62" s="25">
        <f>IF($C62="","",IFERROR(IF(INDEX(Roster!$F:$F,MATCH($C62,Roster!$B:$B,0))="","",INDEX(Roster!$F:$F,MATCH($C62,Roster!$B:$B,0))&amp;""),"—"))</f>
        <v/>
      </c>
      <c r="I62" s="25">
        <f>IF($C62="","",IFERROR(IF(INDEX(Roster!$G:$G,MATCH($C62,Roster!$B:$B,0))="","",INDEX(Roster!$G:$G,MATCH($C62,Roster!$B:$B,0))&amp;""),"—"))</f>
        <v/>
      </c>
      <c r="J62" s="25">
        <f>IF($C62="","",IFERROR(IF(INDEX(Roster!$I:$I,MATCH($C62,Roster!$B:$B,0))="","",INDEX(Roster!$I:$I,MATCH($C62,Roster!$B:$B,0))&amp;""),"—"))</f>
        <v/>
      </c>
      <c r="K62">
        <f>IF($C62="","",IFERROR(IF(INDEX(Roster!$J:$J,MATCH($C62,Roster!$B:$B,0))="","",INDEX(Roster!$J:$J,MATCH($C62,Roster!$B:$B,0))&amp;""),"—"))</f>
        <v/>
      </c>
      <c r="L62">
        <f>IF($C62="","",IFERROR(IF(INDEX(Roster!$K:$K,MATCH($C62,Roster!$B:$B,0))="","",INDEX(Roster!$K:$K,MATCH($C62,Roster!$B:$B,0))&amp;""),"—"))</f>
        <v/>
      </c>
      <c r="M62" s="27" t="n"/>
      <c r="N62" s="27" t="n"/>
      <c r="O62" s="25">
        <f>IF($C62="","",IF($P62="","—",IF($P62="Valid (Pass)","Valid","Invalid")))</f>
        <v/>
      </c>
      <c r="P62" s="27" t="n"/>
      <c r="Q62" s="27" t="n"/>
      <c r="R62" s="27" t="n"/>
      <c r="S62" s="27" t="n"/>
      <c r="T62" s="25">
        <f>IF($C62="","",IF(OR(ISNUMBER(SEARCH("quick case",$P62)),ISNUMBER(SEARCH("quick case",$Q62))),"Yes","No"))</f>
        <v/>
      </c>
      <c r="U62" s="25">
        <f>IF($O62="Invalid",HYPERLINK("mailto:"&amp;$G62&amp;";"&amp;$I62&amp;"?cc="&amp;Lists!$E$2&amp;"&amp;subject="&amp;_xlfn.ENCODEURL("[INVALID] Quality audit monitoring completed for "&amp;UPPER($C62))&amp;"&amp;body="&amp;_xlfn.ENCODEURL("Hi "&amp;$F62&amp;","&amp;CHAR(10)&amp;"Good day!"&amp;CHAR(10)&amp;CHAR(10)&amp;"A quality monitoring audit has been completed for "&amp;$C62&amp;"."&amp;CHAR(10)&amp;CHAR(10)&amp;"QUALITY AUDIT DETAILS"&amp;CHAR(10)&amp;"Agent Name: "&amp;$C62&amp;" (EID "&amp;$D62&amp;")"&amp;CHAR(10)&amp;"Audit Date: "&amp;TEXT($B62,"yyyy-mm-dd")&amp;CHAR(10)&amp;"Team Leader: "&amp;$F62&amp;CHAR(10)&amp;"Case Number: "&amp;$M62&amp;CHAR(10)&amp;"Transaction ID: "&amp;$N62&amp;CHAR(10)&amp;"Channel / LOB: "&amp;$K62&amp;" / "&amp;$L62&amp;CHAR(10)&amp;"Evaluator: "&amp;$S62&amp;CHAR(10)&amp;CHAR(10)&amp;"INVALID QUALITY AUDIT DETAILS"&amp;CHAR(10)&amp;"Validation: Invalid"&amp;CHAR(10)&amp;"Invalid Reason: "&amp;$P62&amp;CHAR(10)&amp;"Expected Resolution Code: "&amp;$Q62&amp;CHAR(10)&amp;"Remarks: "&amp;LEFT($R62,600)&amp;CHAR(10)&amp;CHAR(10)&amp;"This is an automated notification from HP Mainstream EQMS."),"✉ Open Email Draft"),"")</f>
        <v/>
      </c>
    </row>
    <row r="63">
      <c r="A63" s="25">
        <f>IF($C63="","","AUD-2026-"&amp;TEXT(ROW()-1,"000000"))</f>
        <v/>
      </c>
      <c r="B63" s="26" t="n"/>
      <c r="C63" s="27" t="n"/>
      <c r="D63" s="25">
        <f>IF($C63="","",IFERROR(IF(INDEX(Roster!$A:$A,MATCH($C63,Roster!$B:$B,0))="","",INDEX(Roster!$A:$A,MATCH($C63,Roster!$B:$B,0))&amp;""),"—"))</f>
        <v/>
      </c>
      <c r="E63" s="25">
        <f>IF($C63="","",IFERROR(IF(INDEX(Roster!$C:$C,MATCH($C63,Roster!$B:$B,0))="","",INDEX(Roster!$C:$C,MATCH($C63,Roster!$B:$B,0))&amp;""),"—"))</f>
        <v/>
      </c>
      <c r="F63" s="25">
        <f>IF($C63="","",IFERROR(IF(INDEX(Roster!$D:$D,MATCH($C63,Roster!$B:$B,0))="","",INDEX(Roster!$D:$D,MATCH($C63,Roster!$B:$B,0))&amp;""),"—"))</f>
        <v/>
      </c>
      <c r="G63" s="25">
        <f>IF($C63="","",IFERROR(IF(INDEX(Roster!$E:$E,MATCH($C63,Roster!$B:$B,0))="","",INDEX(Roster!$E:$E,MATCH($C63,Roster!$B:$B,0))&amp;""),"—"))</f>
        <v/>
      </c>
      <c r="H63" s="25">
        <f>IF($C63="","",IFERROR(IF(INDEX(Roster!$F:$F,MATCH($C63,Roster!$B:$B,0))="","",INDEX(Roster!$F:$F,MATCH($C63,Roster!$B:$B,0))&amp;""),"—"))</f>
        <v/>
      </c>
      <c r="I63" s="25">
        <f>IF($C63="","",IFERROR(IF(INDEX(Roster!$G:$G,MATCH($C63,Roster!$B:$B,0))="","",INDEX(Roster!$G:$G,MATCH($C63,Roster!$B:$B,0))&amp;""),"—"))</f>
        <v/>
      </c>
      <c r="J63" s="25">
        <f>IF($C63="","",IFERROR(IF(INDEX(Roster!$I:$I,MATCH($C63,Roster!$B:$B,0))="","",INDEX(Roster!$I:$I,MATCH($C63,Roster!$B:$B,0))&amp;""),"—"))</f>
        <v/>
      </c>
      <c r="K63">
        <f>IF($C63="","",IFERROR(IF(INDEX(Roster!$J:$J,MATCH($C63,Roster!$B:$B,0))="","",INDEX(Roster!$J:$J,MATCH($C63,Roster!$B:$B,0))&amp;""),"—"))</f>
        <v/>
      </c>
      <c r="L63">
        <f>IF($C63="","",IFERROR(IF(INDEX(Roster!$K:$K,MATCH($C63,Roster!$B:$B,0))="","",INDEX(Roster!$K:$K,MATCH($C63,Roster!$B:$B,0))&amp;""),"—"))</f>
        <v/>
      </c>
      <c r="M63" s="27" t="n"/>
      <c r="N63" s="27" t="n"/>
      <c r="O63" s="25">
        <f>IF($C63="","",IF($P63="","—",IF($P63="Valid (Pass)","Valid","Invalid")))</f>
        <v/>
      </c>
      <c r="P63" s="27" t="n"/>
      <c r="Q63" s="27" t="n"/>
      <c r="R63" s="27" t="n"/>
      <c r="S63" s="27" t="n"/>
      <c r="T63" s="25">
        <f>IF($C63="","",IF(OR(ISNUMBER(SEARCH("quick case",$P63)),ISNUMBER(SEARCH("quick case",$Q63))),"Yes","No"))</f>
        <v/>
      </c>
      <c r="U63" s="25">
        <f>IF($O63="Invalid",HYPERLINK("mailto:"&amp;$G63&amp;";"&amp;$I63&amp;"?cc="&amp;Lists!$E$2&amp;"&amp;subject="&amp;_xlfn.ENCODEURL("[INVALID] Quality audit monitoring completed for "&amp;UPPER($C63))&amp;"&amp;body="&amp;_xlfn.ENCODEURL("Hi "&amp;$F63&amp;","&amp;CHAR(10)&amp;"Good day!"&amp;CHAR(10)&amp;CHAR(10)&amp;"A quality monitoring audit has been completed for "&amp;$C63&amp;"."&amp;CHAR(10)&amp;CHAR(10)&amp;"QUALITY AUDIT DETAILS"&amp;CHAR(10)&amp;"Agent Name: "&amp;$C63&amp;" (EID "&amp;$D63&amp;")"&amp;CHAR(10)&amp;"Audit Date: "&amp;TEXT($B63,"yyyy-mm-dd")&amp;CHAR(10)&amp;"Team Leader: "&amp;$F63&amp;CHAR(10)&amp;"Case Number: "&amp;$M63&amp;CHAR(10)&amp;"Transaction ID: "&amp;$N63&amp;CHAR(10)&amp;"Channel / LOB: "&amp;$K63&amp;" / "&amp;$L63&amp;CHAR(10)&amp;"Evaluator: "&amp;$S63&amp;CHAR(10)&amp;CHAR(10)&amp;"INVALID QUALITY AUDIT DETAILS"&amp;CHAR(10)&amp;"Validation: Invalid"&amp;CHAR(10)&amp;"Invalid Reason: "&amp;$P63&amp;CHAR(10)&amp;"Expected Resolution Code: "&amp;$Q63&amp;CHAR(10)&amp;"Remarks: "&amp;LEFT($R63,600)&amp;CHAR(10)&amp;CHAR(10)&amp;"This is an automated notification from HP Mainstream EQMS."),"✉ Open Email Draft"),"")</f>
        <v/>
      </c>
    </row>
    <row r="64">
      <c r="A64" s="25">
        <f>IF($C64="","","AUD-2026-"&amp;TEXT(ROW()-1,"000000"))</f>
        <v/>
      </c>
      <c r="B64" s="26" t="n"/>
      <c r="C64" s="27" t="n"/>
      <c r="D64" s="25">
        <f>IF($C64="","",IFERROR(IF(INDEX(Roster!$A:$A,MATCH($C64,Roster!$B:$B,0))="","",INDEX(Roster!$A:$A,MATCH($C64,Roster!$B:$B,0))&amp;""),"—"))</f>
        <v/>
      </c>
      <c r="E64" s="25">
        <f>IF($C64="","",IFERROR(IF(INDEX(Roster!$C:$C,MATCH($C64,Roster!$B:$B,0))="","",INDEX(Roster!$C:$C,MATCH($C64,Roster!$B:$B,0))&amp;""),"—"))</f>
        <v/>
      </c>
      <c r="F64" s="25">
        <f>IF($C64="","",IFERROR(IF(INDEX(Roster!$D:$D,MATCH($C64,Roster!$B:$B,0))="","",INDEX(Roster!$D:$D,MATCH($C64,Roster!$B:$B,0))&amp;""),"—"))</f>
        <v/>
      </c>
      <c r="G64" s="25">
        <f>IF($C64="","",IFERROR(IF(INDEX(Roster!$E:$E,MATCH($C64,Roster!$B:$B,0))="","",INDEX(Roster!$E:$E,MATCH($C64,Roster!$B:$B,0))&amp;""),"—"))</f>
        <v/>
      </c>
      <c r="H64" s="25">
        <f>IF($C64="","",IFERROR(IF(INDEX(Roster!$F:$F,MATCH($C64,Roster!$B:$B,0))="","",INDEX(Roster!$F:$F,MATCH($C64,Roster!$B:$B,0))&amp;""),"—"))</f>
        <v/>
      </c>
      <c r="I64" s="25">
        <f>IF($C64="","",IFERROR(IF(INDEX(Roster!$G:$G,MATCH($C64,Roster!$B:$B,0))="","",INDEX(Roster!$G:$G,MATCH($C64,Roster!$B:$B,0))&amp;""),"—"))</f>
        <v/>
      </c>
      <c r="J64" s="25">
        <f>IF($C64="","",IFERROR(IF(INDEX(Roster!$I:$I,MATCH($C64,Roster!$B:$B,0))="","",INDEX(Roster!$I:$I,MATCH($C64,Roster!$B:$B,0))&amp;""),"—"))</f>
        <v/>
      </c>
      <c r="K64">
        <f>IF($C64="","",IFERROR(IF(INDEX(Roster!$J:$J,MATCH($C64,Roster!$B:$B,0))="","",INDEX(Roster!$J:$J,MATCH($C64,Roster!$B:$B,0))&amp;""),"—"))</f>
        <v/>
      </c>
      <c r="L64">
        <f>IF($C64="","",IFERROR(IF(INDEX(Roster!$K:$K,MATCH($C64,Roster!$B:$B,0))="","",INDEX(Roster!$K:$K,MATCH($C64,Roster!$B:$B,0))&amp;""),"—"))</f>
        <v/>
      </c>
      <c r="M64" s="27" t="n"/>
      <c r="N64" s="27" t="n"/>
      <c r="O64" s="25">
        <f>IF($C64="","",IF($P64="","—",IF($P64="Valid (Pass)","Valid","Invalid")))</f>
        <v/>
      </c>
      <c r="P64" s="27" t="n"/>
      <c r="Q64" s="27" t="n"/>
      <c r="R64" s="27" t="n"/>
      <c r="S64" s="27" t="n"/>
      <c r="T64" s="25">
        <f>IF($C64="","",IF(OR(ISNUMBER(SEARCH("quick case",$P64)),ISNUMBER(SEARCH("quick case",$Q64))),"Yes","No"))</f>
        <v/>
      </c>
      <c r="U64" s="25">
        <f>IF($O64="Invalid",HYPERLINK("mailto:"&amp;$G64&amp;";"&amp;$I64&amp;"?cc="&amp;Lists!$E$2&amp;"&amp;subject="&amp;_xlfn.ENCODEURL("[INVALID] Quality audit monitoring completed for "&amp;UPPER($C64))&amp;"&amp;body="&amp;_xlfn.ENCODEURL("Hi "&amp;$F64&amp;","&amp;CHAR(10)&amp;"Good day!"&amp;CHAR(10)&amp;CHAR(10)&amp;"A quality monitoring audit has been completed for "&amp;$C64&amp;"."&amp;CHAR(10)&amp;CHAR(10)&amp;"QUALITY AUDIT DETAILS"&amp;CHAR(10)&amp;"Agent Name: "&amp;$C64&amp;" (EID "&amp;$D64&amp;")"&amp;CHAR(10)&amp;"Audit Date: "&amp;TEXT($B64,"yyyy-mm-dd")&amp;CHAR(10)&amp;"Team Leader: "&amp;$F64&amp;CHAR(10)&amp;"Case Number: "&amp;$M64&amp;CHAR(10)&amp;"Transaction ID: "&amp;$N64&amp;CHAR(10)&amp;"Channel / LOB: "&amp;$K64&amp;" / "&amp;$L64&amp;CHAR(10)&amp;"Evaluator: "&amp;$S64&amp;CHAR(10)&amp;CHAR(10)&amp;"INVALID QUALITY AUDIT DETAILS"&amp;CHAR(10)&amp;"Validation: Invalid"&amp;CHAR(10)&amp;"Invalid Reason: "&amp;$P64&amp;CHAR(10)&amp;"Expected Resolution Code: "&amp;$Q64&amp;CHAR(10)&amp;"Remarks: "&amp;LEFT($R64,600)&amp;CHAR(10)&amp;CHAR(10)&amp;"This is an automated notification from HP Mainstream EQMS."),"✉ Open Email Draft"),"")</f>
        <v/>
      </c>
    </row>
    <row r="65">
      <c r="A65" s="25">
        <f>IF($C65="","","AUD-2026-"&amp;TEXT(ROW()-1,"000000"))</f>
        <v/>
      </c>
      <c r="B65" s="26" t="n"/>
      <c r="C65" s="27" t="n"/>
      <c r="D65" s="25">
        <f>IF($C65="","",IFERROR(IF(INDEX(Roster!$A:$A,MATCH($C65,Roster!$B:$B,0))="","",INDEX(Roster!$A:$A,MATCH($C65,Roster!$B:$B,0))&amp;""),"—"))</f>
        <v/>
      </c>
      <c r="E65" s="25">
        <f>IF($C65="","",IFERROR(IF(INDEX(Roster!$C:$C,MATCH($C65,Roster!$B:$B,0))="","",INDEX(Roster!$C:$C,MATCH($C65,Roster!$B:$B,0))&amp;""),"—"))</f>
        <v/>
      </c>
      <c r="F65" s="25">
        <f>IF($C65="","",IFERROR(IF(INDEX(Roster!$D:$D,MATCH($C65,Roster!$B:$B,0))="","",INDEX(Roster!$D:$D,MATCH($C65,Roster!$B:$B,0))&amp;""),"—"))</f>
        <v/>
      </c>
      <c r="G65" s="25">
        <f>IF($C65="","",IFERROR(IF(INDEX(Roster!$E:$E,MATCH($C65,Roster!$B:$B,0))="","",INDEX(Roster!$E:$E,MATCH($C65,Roster!$B:$B,0))&amp;""),"—"))</f>
        <v/>
      </c>
      <c r="H65" s="25">
        <f>IF($C65="","",IFERROR(IF(INDEX(Roster!$F:$F,MATCH($C65,Roster!$B:$B,0))="","",INDEX(Roster!$F:$F,MATCH($C65,Roster!$B:$B,0))&amp;""),"—"))</f>
        <v/>
      </c>
      <c r="I65" s="25">
        <f>IF($C65="","",IFERROR(IF(INDEX(Roster!$G:$G,MATCH($C65,Roster!$B:$B,0))="","",INDEX(Roster!$G:$G,MATCH($C65,Roster!$B:$B,0))&amp;""),"—"))</f>
        <v/>
      </c>
      <c r="J65" s="25">
        <f>IF($C65="","",IFERROR(IF(INDEX(Roster!$I:$I,MATCH($C65,Roster!$B:$B,0))="","",INDEX(Roster!$I:$I,MATCH($C65,Roster!$B:$B,0))&amp;""),"—"))</f>
        <v/>
      </c>
      <c r="K65">
        <f>IF($C65="","",IFERROR(IF(INDEX(Roster!$J:$J,MATCH($C65,Roster!$B:$B,0))="","",INDEX(Roster!$J:$J,MATCH($C65,Roster!$B:$B,0))&amp;""),"—"))</f>
        <v/>
      </c>
      <c r="L65">
        <f>IF($C65="","",IFERROR(IF(INDEX(Roster!$K:$K,MATCH($C65,Roster!$B:$B,0))="","",INDEX(Roster!$K:$K,MATCH($C65,Roster!$B:$B,0))&amp;""),"—"))</f>
        <v/>
      </c>
      <c r="M65" s="27" t="n"/>
      <c r="N65" s="27" t="n"/>
      <c r="O65" s="25">
        <f>IF($C65="","",IF($P65="","—",IF($P65="Valid (Pass)","Valid","Invalid")))</f>
        <v/>
      </c>
      <c r="P65" s="27" t="n"/>
      <c r="Q65" s="27" t="n"/>
      <c r="R65" s="27" t="n"/>
      <c r="S65" s="27" t="n"/>
      <c r="T65" s="25">
        <f>IF($C65="","",IF(OR(ISNUMBER(SEARCH("quick case",$P65)),ISNUMBER(SEARCH("quick case",$Q65))),"Yes","No"))</f>
        <v/>
      </c>
      <c r="U65" s="25">
        <f>IF($O65="Invalid",HYPERLINK("mailto:"&amp;$G65&amp;";"&amp;$I65&amp;"?cc="&amp;Lists!$E$2&amp;"&amp;subject="&amp;_xlfn.ENCODEURL("[INVALID] Quality audit monitoring completed for "&amp;UPPER($C65))&amp;"&amp;body="&amp;_xlfn.ENCODEURL("Hi "&amp;$F65&amp;","&amp;CHAR(10)&amp;"Good day!"&amp;CHAR(10)&amp;CHAR(10)&amp;"A quality monitoring audit has been completed for "&amp;$C65&amp;"."&amp;CHAR(10)&amp;CHAR(10)&amp;"QUALITY AUDIT DETAILS"&amp;CHAR(10)&amp;"Agent Name: "&amp;$C65&amp;" (EID "&amp;$D65&amp;")"&amp;CHAR(10)&amp;"Audit Date: "&amp;TEXT($B65,"yyyy-mm-dd")&amp;CHAR(10)&amp;"Team Leader: "&amp;$F65&amp;CHAR(10)&amp;"Case Number: "&amp;$M65&amp;CHAR(10)&amp;"Transaction ID: "&amp;$N65&amp;CHAR(10)&amp;"Channel / LOB: "&amp;$K65&amp;" / "&amp;$L65&amp;CHAR(10)&amp;"Evaluator: "&amp;$S65&amp;CHAR(10)&amp;CHAR(10)&amp;"INVALID QUALITY AUDIT DETAILS"&amp;CHAR(10)&amp;"Validation: Invalid"&amp;CHAR(10)&amp;"Invalid Reason: "&amp;$P65&amp;CHAR(10)&amp;"Expected Resolution Code: "&amp;$Q65&amp;CHAR(10)&amp;"Remarks: "&amp;LEFT($R65,600)&amp;CHAR(10)&amp;CHAR(10)&amp;"This is an automated notification from HP Mainstream EQMS."),"✉ Open Email Draft"),"")</f>
        <v/>
      </c>
    </row>
    <row r="66">
      <c r="A66" s="25">
        <f>IF($C66="","","AUD-2026-"&amp;TEXT(ROW()-1,"000000"))</f>
        <v/>
      </c>
      <c r="B66" s="26" t="n"/>
      <c r="C66" s="27" t="n"/>
      <c r="D66" s="25">
        <f>IF($C66="","",IFERROR(IF(INDEX(Roster!$A:$A,MATCH($C66,Roster!$B:$B,0))="","",INDEX(Roster!$A:$A,MATCH($C66,Roster!$B:$B,0))&amp;""),"—"))</f>
        <v/>
      </c>
      <c r="E66" s="25">
        <f>IF($C66="","",IFERROR(IF(INDEX(Roster!$C:$C,MATCH($C66,Roster!$B:$B,0))="","",INDEX(Roster!$C:$C,MATCH($C66,Roster!$B:$B,0))&amp;""),"—"))</f>
        <v/>
      </c>
      <c r="F66" s="25">
        <f>IF($C66="","",IFERROR(IF(INDEX(Roster!$D:$D,MATCH($C66,Roster!$B:$B,0))="","",INDEX(Roster!$D:$D,MATCH($C66,Roster!$B:$B,0))&amp;""),"—"))</f>
        <v/>
      </c>
      <c r="G66" s="25">
        <f>IF($C66="","",IFERROR(IF(INDEX(Roster!$E:$E,MATCH($C66,Roster!$B:$B,0))="","",INDEX(Roster!$E:$E,MATCH($C66,Roster!$B:$B,0))&amp;""),"—"))</f>
        <v/>
      </c>
      <c r="H66" s="25">
        <f>IF($C66="","",IFERROR(IF(INDEX(Roster!$F:$F,MATCH($C66,Roster!$B:$B,0))="","",INDEX(Roster!$F:$F,MATCH($C66,Roster!$B:$B,0))&amp;""),"—"))</f>
        <v/>
      </c>
      <c r="I66" s="25">
        <f>IF($C66="","",IFERROR(IF(INDEX(Roster!$G:$G,MATCH($C66,Roster!$B:$B,0))="","",INDEX(Roster!$G:$G,MATCH($C66,Roster!$B:$B,0))&amp;""),"—"))</f>
        <v/>
      </c>
      <c r="J66" s="25">
        <f>IF($C66="","",IFERROR(IF(INDEX(Roster!$I:$I,MATCH($C66,Roster!$B:$B,0))="","",INDEX(Roster!$I:$I,MATCH($C66,Roster!$B:$B,0))&amp;""),"—"))</f>
        <v/>
      </c>
      <c r="K66">
        <f>IF($C66="","",IFERROR(IF(INDEX(Roster!$J:$J,MATCH($C66,Roster!$B:$B,0))="","",INDEX(Roster!$J:$J,MATCH($C66,Roster!$B:$B,0))&amp;""),"—"))</f>
        <v/>
      </c>
      <c r="L66">
        <f>IF($C66="","",IFERROR(IF(INDEX(Roster!$K:$K,MATCH($C66,Roster!$B:$B,0))="","",INDEX(Roster!$K:$K,MATCH($C66,Roster!$B:$B,0))&amp;""),"—"))</f>
        <v/>
      </c>
      <c r="M66" s="27" t="n"/>
      <c r="N66" s="27" t="n"/>
      <c r="O66" s="25">
        <f>IF($C66="","",IF($P66="","—",IF($P66="Valid (Pass)","Valid","Invalid")))</f>
        <v/>
      </c>
      <c r="P66" s="27" t="n"/>
      <c r="Q66" s="27" t="n"/>
      <c r="R66" s="27" t="n"/>
      <c r="S66" s="27" t="n"/>
      <c r="T66" s="25">
        <f>IF($C66="","",IF(OR(ISNUMBER(SEARCH("quick case",$P66)),ISNUMBER(SEARCH("quick case",$Q66))),"Yes","No"))</f>
        <v/>
      </c>
      <c r="U66" s="25">
        <f>IF($O66="Invalid",HYPERLINK("mailto:"&amp;$G66&amp;";"&amp;$I66&amp;"?cc="&amp;Lists!$E$2&amp;"&amp;subject="&amp;_xlfn.ENCODEURL("[INVALID] Quality audit monitoring completed for "&amp;UPPER($C66))&amp;"&amp;body="&amp;_xlfn.ENCODEURL("Hi "&amp;$F66&amp;","&amp;CHAR(10)&amp;"Good day!"&amp;CHAR(10)&amp;CHAR(10)&amp;"A quality monitoring audit has been completed for "&amp;$C66&amp;"."&amp;CHAR(10)&amp;CHAR(10)&amp;"QUALITY AUDIT DETAILS"&amp;CHAR(10)&amp;"Agent Name: "&amp;$C66&amp;" (EID "&amp;$D66&amp;")"&amp;CHAR(10)&amp;"Audit Date: "&amp;TEXT($B66,"yyyy-mm-dd")&amp;CHAR(10)&amp;"Team Leader: "&amp;$F66&amp;CHAR(10)&amp;"Case Number: "&amp;$M66&amp;CHAR(10)&amp;"Transaction ID: "&amp;$N66&amp;CHAR(10)&amp;"Channel / LOB: "&amp;$K66&amp;" / "&amp;$L66&amp;CHAR(10)&amp;"Evaluator: "&amp;$S66&amp;CHAR(10)&amp;CHAR(10)&amp;"INVALID QUALITY AUDIT DETAILS"&amp;CHAR(10)&amp;"Validation: Invalid"&amp;CHAR(10)&amp;"Invalid Reason: "&amp;$P66&amp;CHAR(10)&amp;"Expected Resolution Code: "&amp;$Q66&amp;CHAR(10)&amp;"Remarks: "&amp;LEFT($R66,600)&amp;CHAR(10)&amp;CHAR(10)&amp;"This is an automated notification from HP Mainstream EQMS."),"✉ Open Email Draft"),"")</f>
        <v/>
      </c>
    </row>
    <row r="67">
      <c r="A67" s="25">
        <f>IF($C67="","","AUD-2026-"&amp;TEXT(ROW()-1,"000000"))</f>
        <v/>
      </c>
      <c r="B67" s="26" t="n"/>
      <c r="C67" s="27" t="n"/>
      <c r="D67" s="25">
        <f>IF($C67="","",IFERROR(IF(INDEX(Roster!$A:$A,MATCH($C67,Roster!$B:$B,0))="","",INDEX(Roster!$A:$A,MATCH($C67,Roster!$B:$B,0))&amp;""),"—"))</f>
        <v/>
      </c>
      <c r="E67" s="25">
        <f>IF($C67="","",IFERROR(IF(INDEX(Roster!$C:$C,MATCH($C67,Roster!$B:$B,0))="","",INDEX(Roster!$C:$C,MATCH($C67,Roster!$B:$B,0))&amp;""),"—"))</f>
        <v/>
      </c>
      <c r="F67" s="25">
        <f>IF($C67="","",IFERROR(IF(INDEX(Roster!$D:$D,MATCH($C67,Roster!$B:$B,0))="","",INDEX(Roster!$D:$D,MATCH($C67,Roster!$B:$B,0))&amp;""),"—"))</f>
        <v/>
      </c>
      <c r="G67" s="25">
        <f>IF($C67="","",IFERROR(IF(INDEX(Roster!$E:$E,MATCH($C67,Roster!$B:$B,0))="","",INDEX(Roster!$E:$E,MATCH($C67,Roster!$B:$B,0))&amp;""),"—"))</f>
        <v/>
      </c>
      <c r="H67" s="25">
        <f>IF($C67="","",IFERROR(IF(INDEX(Roster!$F:$F,MATCH($C67,Roster!$B:$B,0))="","",INDEX(Roster!$F:$F,MATCH($C67,Roster!$B:$B,0))&amp;""),"—"))</f>
        <v/>
      </c>
      <c r="I67" s="25">
        <f>IF($C67="","",IFERROR(IF(INDEX(Roster!$G:$G,MATCH($C67,Roster!$B:$B,0))="","",INDEX(Roster!$G:$G,MATCH($C67,Roster!$B:$B,0))&amp;""),"—"))</f>
        <v/>
      </c>
      <c r="J67" s="25">
        <f>IF($C67="","",IFERROR(IF(INDEX(Roster!$I:$I,MATCH($C67,Roster!$B:$B,0))="","",INDEX(Roster!$I:$I,MATCH($C67,Roster!$B:$B,0))&amp;""),"—"))</f>
        <v/>
      </c>
      <c r="K67">
        <f>IF($C67="","",IFERROR(IF(INDEX(Roster!$J:$J,MATCH($C67,Roster!$B:$B,0))="","",INDEX(Roster!$J:$J,MATCH($C67,Roster!$B:$B,0))&amp;""),"—"))</f>
        <v/>
      </c>
      <c r="L67">
        <f>IF($C67="","",IFERROR(IF(INDEX(Roster!$K:$K,MATCH($C67,Roster!$B:$B,0))="","",INDEX(Roster!$K:$K,MATCH($C67,Roster!$B:$B,0))&amp;""),"—"))</f>
        <v/>
      </c>
      <c r="M67" s="27" t="n"/>
      <c r="N67" s="27" t="n"/>
      <c r="O67" s="25">
        <f>IF($C67="","",IF($P67="","—",IF($P67="Valid (Pass)","Valid","Invalid")))</f>
        <v/>
      </c>
      <c r="P67" s="27" t="n"/>
      <c r="Q67" s="27" t="n"/>
      <c r="R67" s="27" t="n"/>
      <c r="S67" s="27" t="n"/>
      <c r="T67" s="25">
        <f>IF($C67="","",IF(OR(ISNUMBER(SEARCH("quick case",$P67)),ISNUMBER(SEARCH("quick case",$Q67))),"Yes","No"))</f>
        <v/>
      </c>
      <c r="U67" s="25">
        <f>IF($O67="Invalid",HYPERLINK("mailto:"&amp;$G67&amp;";"&amp;$I67&amp;"?cc="&amp;Lists!$E$2&amp;"&amp;subject="&amp;_xlfn.ENCODEURL("[INVALID] Quality audit monitoring completed for "&amp;UPPER($C67))&amp;"&amp;body="&amp;_xlfn.ENCODEURL("Hi "&amp;$F67&amp;","&amp;CHAR(10)&amp;"Good day!"&amp;CHAR(10)&amp;CHAR(10)&amp;"A quality monitoring audit has been completed for "&amp;$C67&amp;"."&amp;CHAR(10)&amp;CHAR(10)&amp;"QUALITY AUDIT DETAILS"&amp;CHAR(10)&amp;"Agent Name: "&amp;$C67&amp;" (EID "&amp;$D67&amp;")"&amp;CHAR(10)&amp;"Audit Date: "&amp;TEXT($B67,"yyyy-mm-dd")&amp;CHAR(10)&amp;"Team Leader: "&amp;$F67&amp;CHAR(10)&amp;"Case Number: "&amp;$M67&amp;CHAR(10)&amp;"Transaction ID: "&amp;$N67&amp;CHAR(10)&amp;"Channel / LOB: "&amp;$K67&amp;" / "&amp;$L67&amp;CHAR(10)&amp;"Evaluator: "&amp;$S67&amp;CHAR(10)&amp;CHAR(10)&amp;"INVALID QUALITY AUDIT DETAILS"&amp;CHAR(10)&amp;"Validation: Invalid"&amp;CHAR(10)&amp;"Invalid Reason: "&amp;$P67&amp;CHAR(10)&amp;"Expected Resolution Code: "&amp;$Q67&amp;CHAR(10)&amp;"Remarks: "&amp;LEFT($R67,600)&amp;CHAR(10)&amp;CHAR(10)&amp;"This is an automated notification from HP Mainstream EQMS."),"✉ Open Email Draft"),"")</f>
        <v/>
      </c>
    </row>
    <row r="68">
      <c r="A68" s="25">
        <f>IF($C68="","","AUD-2026-"&amp;TEXT(ROW()-1,"000000"))</f>
        <v/>
      </c>
      <c r="B68" s="26" t="n"/>
      <c r="C68" s="27" t="n"/>
      <c r="D68" s="25">
        <f>IF($C68="","",IFERROR(IF(INDEX(Roster!$A:$A,MATCH($C68,Roster!$B:$B,0))="","",INDEX(Roster!$A:$A,MATCH($C68,Roster!$B:$B,0))&amp;""),"—"))</f>
        <v/>
      </c>
      <c r="E68" s="25">
        <f>IF($C68="","",IFERROR(IF(INDEX(Roster!$C:$C,MATCH($C68,Roster!$B:$B,0))="","",INDEX(Roster!$C:$C,MATCH($C68,Roster!$B:$B,0))&amp;""),"—"))</f>
        <v/>
      </c>
      <c r="F68" s="25">
        <f>IF($C68="","",IFERROR(IF(INDEX(Roster!$D:$D,MATCH($C68,Roster!$B:$B,0))="","",INDEX(Roster!$D:$D,MATCH($C68,Roster!$B:$B,0))&amp;""),"—"))</f>
        <v/>
      </c>
      <c r="G68" s="25">
        <f>IF($C68="","",IFERROR(IF(INDEX(Roster!$E:$E,MATCH($C68,Roster!$B:$B,0))="","",INDEX(Roster!$E:$E,MATCH($C68,Roster!$B:$B,0))&amp;""),"—"))</f>
        <v/>
      </c>
      <c r="H68" s="25">
        <f>IF($C68="","",IFERROR(IF(INDEX(Roster!$F:$F,MATCH($C68,Roster!$B:$B,0))="","",INDEX(Roster!$F:$F,MATCH($C68,Roster!$B:$B,0))&amp;""),"—"))</f>
        <v/>
      </c>
      <c r="I68" s="25">
        <f>IF($C68="","",IFERROR(IF(INDEX(Roster!$G:$G,MATCH($C68,Roster!$B:$B,0))="","",INDEX(Roster!$G:$G,MATCH($C68,Roster!$B:$B,0))&amp;""),"—"))</f>
        <v/>
      </c>
      <c r="J68" s="25">
        <f>IF($C68="","",IFERROR(IF(INDEX(Roster!$I:$I,MATCH($C68,Roster!$B:$B,0))="","",INDEX(Roster!$I:$I,MATCH($C68,Roster!$B:$B,0))&amp;""),"—"))</f>
        <v/>
      </c>
      <c r="K68">
        <f>IF($C68="","",IFERROR(IF(INDEX(Roster!$J:$J,MATCH($C68,Roster!$B:$B,0))="","",INDEX(Roster!$J:$J,MATCH($C68,Roster!$B:$B,0))&amp;""),"—"))</f>
        <v/>
      </c>
      <c r="L68">
        <f>IF($C68="","",IFERROR(IF(INDEX(Roster!$K:$K,MATCH($C68,Roster!$B:$B,0))="","",INDEX(Roster!$K:$K,MATCH($C68,Roster!$B:$B,0))&amp;""),"—"))</f>
        <v/>
      </c>
      <c r="M68" s="27" t="n"/>
      <c r="N68" s="27" t="n"/>
      <c r="O68" s="25">
        <f>IF($C68="","",IF($P68="","—",IF($P68="Valid (Pass)","Valid","Invalid")))</f>
        <v/>
      </c>
      <c r="P68" s="27" t="n"/>
      <c r="Q68" s="27" t="n"/>
      <c r="R68" s="27" t="n"/>
      <c r="S68" s="27" t="n"/>
      <c r="T68" s="25">
        <f>IF($C68="","",IF(OR(ISNUMBER(SEARCH("quick case",$P68)),ISNUMBER(SEARCH("quick case",$Q68))),"Yes","No"))</f>
        <v/>
      </c>
      <c r="U68" s="25">
        <f>IF($O68="Invalid",HYPERLINK("mailto:"&amp;$G68&amp;";"&amp;$I68&amp;"?cc="&amp;Lists!$E$2&amp;"&amp;subject="&amp;_xlfn.ENCODEURL("[INVALID] Quality audit monitoring completed for "&amp;UPPER($C68))&amp;"&amp;body="&amp;_xlfn.ENCODEURL("Hi "&amp;$F68&amp;","&amp;CHAR(10)&amp;"Good day!"&amp;CHAR(10)&amp;CHAR(10)&amp;"A quality monitoring audit has been completed for "&amp;$C68&amp;"."&amp;CHAR(10)&amp;CHAR(10)&amp;"QUALITY AUDIT DETAILS"&amp;CHAR(10)&amp;"Agent Name: "&amp;$C68&amp;" (EID "&amp;$D68&amp;")"&amp;CHAR(10)&amp;"Audit Date: "&amp;TEXT($B68,"yyyy-mm-dd")&amp;CHAR(10)&amp;"Team Leader: "&amp;$F68&amp;CHAR(10)&amp;"Case Number: "&amp;$M68&amp;CHAR(10)&amp;"Transaction ID: "&amp;$N68&amp;CHAR(10)&amp;"Channel / LOB: "&amp;$K68&amp;" / "&amp;$L68&amp;CHAR(10)&amp;"Evaluator: "&amp;$S68&amp;CHAR(10)&amp;CHAR(10)&amp;"INVALID QUALITY AUDIT DETAILS"&amp;CHAR(10)&amp;"Validation: Invalid"&amp;CHAR(10)&amp;"Invalid Reason: "&amp;$P68&amp;CHAR(10)&amp;"Expected Resolution Code: "&amp;$Q68&amp;CHAR(10)&amp;"Remarks: "&amp;LEFT($R68,600)&amp;CHAR(10)&amp;CHAR(10)&amp;"This is an automated notification from HP Mainstream EQMS."),"✉ Open Email Draft"),"")</f>
        <v/>
      </c>
    </row>
    <row r="69">
      <c r="A69" s="25">
        <f>IF($C69="","","AUD-2026-"&amp;TEXT(ROW()-1,"000000"))</f>
        <v/>
      </c>
      <c r="B69" s="26" t="n"/>
      <c r="C69" s="27" t="n"/>
      <c r="D69" s="25">
        <f>IF($C69="","",IFERROR(IF(INDEX(Roster!$A:$A,MATCH($C69,Roster!$B:$B,0))="","",INDEX(Roster!$A:$A,MATCH($C69,Roster!$B:$B,0))&amp;""),"—"))</f>
        <v/>
      </c>
      <c r="E69" s="25">
        <f>IF($C69="","",IFERROR(IF(INDEX(Roster!$C:$C,MATCH($C69,Roster!$B:$B,0))="","",INDEX(Roster!$C:$C,MATCH($C69,Roster!$B:$B,0))&amp;""),"—"))</f>
        <v/>
      </c>
      <c r="F69" s="25">
        <f>IF($C69="","",IFERROR(IF(INDEX(Roster!$D:$D,MATCH($C69,Roster!$B:$B,0))="","",INDEX(Roster!$D:$D,MATCH($C69,Roster!$B:$B,0))&amp;""),"—"))</f>
        <v/>
      </c>
      <c r="G69" s="25">
        <f>IF($C69="","",IFERROR(IF(INDEX(Roster!$E:$E,MATCH($C69,Roster!$B:$B,0))="","",INDEX(Roster!$E:$E,MATCH($C69,Roster!$B:$B,0))&amp;""),"—"))</f>
        <v/>
      </c>
      <c r="H69" s="25">
        <f>IF($C69="","",IFERROR(IF(INDEX(Roster!$F:$F,MATCH($C69,Roster!$B:$B,0))="","",INDEX(Roster!$F:$F,MATCH($C69,Roster!$B:$B,0))&amp;""),"—"))</f>
        <v/>
      </c>
      <c r="I69" s="25">
        <f>IF($C69="","",IFERROR(IF(INDEX(Roster!$G:$G,MATCH($C69,Roster!$B:$B,0))="","",INDEX(Roster!$G:$G,MATCH($C69,Roster!$B:$B,0))&amp;""),"—"))</f>
        <v/>
      </c>
      <c r="J69" s="25">
        <f>IF($C69="","",IFERROR(IF(INDEX(Roster!$I:$I,MATCH($C69,Roster!$B:$B,0))="","",INDEX(Roster!$I:$I,MATCH($C69,Roster!$B:$B,0))&amp;""),"—"))</f>
        <v/>
      </c>
      <c r="K69">
        <f>IF($C69="","",IFERROR(IF(INDEX(Roster!$J:$J,MATCH($C69,Roster!$B:$B,0))="","",INDEX(Roster!$J:$J,MATCH($C69,Roster!$B:$B,0))&amp;""),"—"))</f>
        <v/>
      </c>
      <c r="L69">
        <f>IF($C69="","",IFERROR(IF(INDEX(Roster!$K:$K,MATCH($C69,Roster!$B:$B,0))="","",INDEX(Roster!$K:$K,MATCH($C69,Roster!$B:$B,0))&amp;""),"—"))</f>
        <v/>
      </c>
      <c r="M69" s="27" t="n"/>
      <c r="N69" s="27" t="n"/>
      <c r="O69" s="25">
        <f>IF($C69="","",IF($P69="","—",IF($P69="Valid (Pass)","Valid","Invalid")))</f>
        <v/>
      </c>
      <c r="P69" s="27" t="n"/>
      <c r="Q69" s="27" t="n"/>
      <c r="R69" s="27" t="n"/>
      <c r="S69" s="27" t="n"/>
      <c r="T69" s="25">
        <f>IF($C69="","",IF(OR(ISNUMBER(SEARCH("quick case",$P69)),ISNUMBER(SEARCH("quick case",$Q69))),"Yes","No"))</f>
        <v/>
      </c>
      <c r="U69" s="25">
        <f>IF($O69="Invalid",HYPERLINK("mailto:"&amp;$G69&amp;";"&amp;$I69&amp;"?cc="&amp;Lists!$E$2&amp;"&amp;subject="&amp;_xlfn.ENCODEURL("[INVALID] Quality audit monitoring completed for "&amp;UPPER($C69))&amp;"&amp;body="&amp;_xlfn.ENCODEURL("Hi "&amp;$F69&amp;","&amp;CHAR(10)&amp;"Good day!"&amp;CHAR(10)&amp;CHAR(10)&amp;"A quality monitoring audit has been completed for "&amp;$C69&amp;"."&amp;CHAR(10)&amp;CHAR(10)&amp;"QUALITY AUDIT DETAILS"&amp;CHAR(10)&amp;"Agent Name: "&amp;$C69&amp;" (EID "&amp;$D69&amp;")"&amp;CHAR(10)&amp;"Audit Date: "&amp;TEXT($B69,"yyyy-mm-dd")&amp;CHAR(10)&amp;"Team Leader: "&amp;$F69&amp;CHAR(10)&amp;"Case Number: "&amp;$M69&amp;CHAR(10)&amp;"Transaction ID: "&amp;$N69&amp;CHAR(10)&amp;"Channel / LOB: "&amp;$K69&amp;" / "&amp;$L69&amp;CHAR(10)&amp;"Evaluator: "&amp;$S69&amp;CHAR(10)&amp;CHAR(10)&amp;"INVALID QUALITY AUDIT DETAILS"&amp;CHAR(10)&amp;"Validation: Invalid"&amp;CHAR(10)&amp;"Invalid Reason: "&amp;$P69&amp;CHAR(10)&amp;"Expected Resolution Code: "&amp;$Q69&amp;CHAR(10)&amp;"Remarks: "&amp;LEFT($R69,600)&amp;CHAR(10)&amp;CHAR(10)&amp;"This is an automated notification from HP Mainstream EQMS."),"✉ Open Email Draft"),"")</f>
        <v/>
      </c>
    </row>
    <row r="70">
      <c r="A70" s="25">
        <f>IF($C70="","","AUD-2026-"&amp;TEXT(ROW()-1,"000000"))</f>
        <v/>
      </c>
      <c r="B70" s="26" t="n"/>
      <c r="C70" s="27" t="n"/>
      <c r="D70" s="25">
        <f>IF($C70="","",IFERROR(IF(INDEX(Roster!$A:$A,MATCH($C70,Roster!$B:$B,0))="","",INDEX(Roster!$A:$A,MATCH($C70,Roster!$B:$B,0))&amp;""),"—"))</f>
        <v/>
      </c>
      <c r="E70" s="25">
        <f>IF($C70="","",IFERROR(IF(INDEX(Roster!$C:$C,MATCH($C70,Roster!$B:$B,0))="","",INDEX(Roster!$C:$C,MATCH($C70,Roster!$B:$B,0))&amp;""),"—"))</f>
        <v/>
      </c>
      <c r="F70" s="25">
        <f>IF($C70="","",IFERROR(IF(INDEX(Roster!$D:$D,MATCH($C70,Roster!$B:$B,0))="","",INDEX(Roster!$D:$D,MATCH($C70,Roster!$B:$B,0))&amp;""),"—"))</f>
        <v/>
      </c>
      <c r="G70" s="25">
        <f>IF($C70="","",IFERROR(IF(INDEX(Roster!$E:$E,MATCH($C70,Roster!$B:$B,0))="","",INDEX(Roster!$E:$E,MATCH($C70,Roster!$B:$B,0))&amp;""),"—"))</f>
        <v/>
      </c>
      <c r="H70" s="25">
        <f>IF($C70="","",IFERROR(IF(INDEX(Roster!$F:$F,MATCH($C70,Roster!$B:$B,0))="","",INDEX(Roster!$F:$F,MATCH($C70,Roster!$B:$B,0))&amp;""),"—"))</f>
        <v/>
      </c>
      <c r="I70" s="25">
        <f>IF($C70="","",IFERROR(IF(INDEX(Roster!$G:$G,MATCH($C70,Roster!$B:$B,0))="","",INDEX(Roster!$G:$G,MATCH($C70,Roster!$B:$B,0))&amp;""),"—"))</f>
        <v/>
      </c>
      <c r="J70" s="25">
        <f>IF($C70="","",IFERROR(IF(INDEX(Roster!$I:$I,MATCH($C70,Roster!$B:$B,0))="","",INDEX(Roster!$I:$I,MATCH($C70,Roster!$B:$B,0))&amp;""),"—"))</f>
        <v/>
      </c>
      <c r="K70">
        <f>IF($C70="","",IFERROR(IF(INDEX(Roster!$J:$J,MATCH($C70,Roster!$B:$B,0))="","",INDEX(Roster!$J:$J,MATCH($C70,Roster!$B:$B,0))&amp;""),"—"))</f>
        <v/>
      </c>
      <c r="L70">
        <f>IF($C70="","",IFERROR(IF(INDEX(Roster!$K:$K,MATCH($C70,Roster!$B:$B,0))="","",INDEX(Roster!$K:$K,MATCH($C70,Roster!$B:$B,0))&amp;""),"—"))</f>
        <v/>
      </c>
      <c r="M70" s="27" t="n"/>
      <c r="N70" s="27" t="n"/>
      <c r="O70" s="25">
        <f>IF($C70="","",IF($P70="","—",IF($P70="Valid (Pass)","Valid","Invalid")))</f>
        <v/>
      </c>
      <c r="P70" s="27" t="n"/>
      <c r="Q70" s="27" t="n"/>
      <c r="R70" s="27" t="n"/>
      <c r="S70" s="27" t="n"/>
      <c r="T70" s="25">
        <f>IF($C70="","",IF(OR(ISNUMBER(SEARCH("quick case",$P70)),ISNUMBER(SEARCH("quick case",$Q70))),"Yes","No"))</f>
        <v/>
      </c>
      <c r="U70" s="25">
        <f>IF($O70="Invalid",HYPERLINK("mailto:"&amp;$G70&amp;";"&amp;$I70&amp;"?cc="&amp;Lists!$E$2&amp;"&amp;subject="&amp;_xlfn.ENCODEURL("[INVALID] Quality audit monitoring completed for "&amp;UPPER($C70))&amp;"&amp;body="&amp;_xlfn.ENCODEURL("Hi "&amp;$F70&amp;","&amp;CHAR(10)&amp;"Good day!"&amp;CHAR(10)&amp;CHAR(10)&amp;"A quality monitoring audit has been completed for "&amp;$C70&amp;"."&amp;CHAR(10)&amp;CHAR(10)&amp;"QUALITY AUDIT DETAILS"&amp;CHAR(10)&amp;"Agent Name: "&amp;$C70&amp;" (EID "&amp;$D70&amp;")"&amp;CHAR(10)&amp;"Audit Date: "&amp;TEXT($B70,"yyyy-mm-dd")&amp;CHAR(10)&amp;"Team Leader: "&amp;$F70&amp;CHAR(10)&amp;"Case Number: "&amp;$M70&amp;CHAR(10)&amp;"Transaction ID: "&amp;$N70&amp;CHAR(10)&amp;"Channel / LOB: "&amp;$K70&amp;" / "&amp;$L70&amp;CHAR(10)&amp;"Evaluator: "&amp;$S70&amp;CHAR(10)&amp;CHAR(10)&amp;"INVALID QUALITY AUDIT DETAILS"&amp;CHAR(10)&amp;"Validation: Invalid"&amp;CHAR(10)&amp;"Invalid Reason: "&amp;$P70&amp;CHAR(10)&amp;"Expected Resolution Code: "&amp;$Q70&amp;CHAR(10)&amp;"Remarks: "&amp;LEFT($R70,600)&amp;CHAR(10)&amp;CHAR(10)&amp;"This is an automated notification from HP Mainstream EQMS."),"✉ Open Email Draft"),"")</f>
        <v/>
      </c>
    </row>
    <row r="71">
      <c r="A71" s="25">
        <f>IF($C71="","","AUD-2026-"&amp;TEXT(ROW()-1,"000000"))</f>
        <v/>
      </c>
      <c r="B71" s="26" t="n"/>
      <c r="C71" s="27" t="n"/>
      <c r="D71" s="25">
        <f>IF($C71="","",IFERROR(IF(INDEX(Roster!$A:$A,MATCH($C71,Roster!$B:$B,0))="","",INDEX(Roster!$A:$A,MATCH($C71,Roster!$B:$B,0))&amp;""),"—"))</f>
        <v/>
      </c>
      <c r="E71" s="25">
        <f>IF($C71="","",IFERROR(IF(INDEX(Roster!$C:$C,MATCH($C71,Roster!$B:$B,0))="","",INDEX(Roster!$C:$C,MATCH($C71,Roster!$B:$B,0))&amp;""),"—"))</f>
        <v/>
      </c>
      <c r="F71" s="25">
        <f>IF($C71="","",IFERROR(IF(INDEX(Roster!$D:$D,MATCH($C71,Roster!$B:$B,0))="","",INDEX(Roster!$D:$D,MATCH($C71,Roster!$B:$B,0))&amp;""),"—"))</f>
        <v/>
      </c>
      <c r="G71" s="25">
        <f>IF($C71="","",IFERROR(IF(INDEX(Roster!$E:$E,MATCH($C71,Roster!$B:$B,0))="","",INDEX(Roster!$E:$E,MATCH($C71,Roster!$B:$B,0))&amp;""),"—"))</f>
        <v/>
      </c>
      <c r="H71" s="25">
        <f>IF($C71="","",IFERROR(IF(INDEX(Roster!$F:$F,MATCH($C71,Roster!$B:$B,0))="","",INDEX(Roster!$F:$F,MATCH($C71,Roster!$B:$B,0))&amp;""),"—"))</f>
        <v/>
      </c>
      <c r="I71" s="25">
        <f>IF($C71="","",IFERROR(IF(INDEX(Roster!$G:$G,MATCH($C71,Roster!$B:$B,0))="","",INDEX(Roster!$G:$G,MATCH($C71,Roster!$B:$B,0))&amp;""),"—"))</f>
        <v/>
      </c>
      <c r="J71" s="25">
        <f>IF($C71="","",IFERROR(IF(INDEX(Roster!$I:$I,MATCH($C71,Roster!$B:$B,0))="","",INDEX(Roster!$I:$I,MATCH($C71,Roster!$B:$B,0))&amp;""),"—"))</f>
        <v/>
      </c>
      <c r="K71">
        <f>IF($C71="","",IFERROR(IF(INDEX(Roster!$J:$J,MATCH($C71,Roster!$B:$B,0))="","",INDEX(Roster!$J:$J,MATCH($C71,Roster!$B:$B,0))&amp;""),"—"))</f>
        <v/>
      </c>
      <c r="L71">
        <f>IF($C71="","",IFERROR(IF(INDEX(Roster!$K:$K,MATCH($C71,Roster!$B:$B,0))="","",INDEX(Roster!$K:$K,MATCH($C71,Roster!$B:$B,0))&amp;""),"—"))</f>
        <v/>
      </c>
      <c r="M71" s="27" t="n"/>
      <c r="N71" s="27" t="n"/>
      <c r="O71" s="25">
        <f>IF($C71="","",IF($P71="","—",IF($P71="Valid (Pass)","Valid","Invalid")))</f>
        <v/>
      </c>
      <c r="P71" s="27" t="n"/>
      <c r="Q71" s="27" t="n"/>
      <c r="R71" s="27" t="n"/>
      <c r="S71" s="27" t="n"/>
      <c r="T71" s="25">
        <f>IF($C71="","",IF(OR(ISNUMBER(SEARCH("quick case",$P71)),ISNUMBER(SEARCH("quick case",$Q71))),"Yes","No"))</f>
        <v/>
      </c>
      <c r="U71" s="25">
        <f>IF($O71="Invalid",HYPERLINK("mailto:"&amp;$G71&amp;";"&amp;$I71&amp;"?cc="&amp;Lists!$E$2&amp;"&amp;subject="&amp;_xlfn.ENCODEURL("[INVALID] Quality audit monitoring completed for "&amp;UPPER($C71))&amp;"&amp;body="&amp;_xlfn.ENCODEURL("Hi "&amp;$F71&amp;","&amp;CHAR(10)&amp;"Good day!"&amp;CHAR(10)&amp;CHAR(10)&amp;"A quality monitoring audit has been completed for "&amp;$C71&amp;"."&amp;CHAR(10)&amp;CHAR(10)&amp;"QUALITY AUDIT DETAILS"&amp;CHAR(10)&amp;"Agent Name: "&amp;$C71&amp;" (EID "&amp;$D71&amp;")"&amp;CHAR(10)&amp;"Audit Date: "&amp;TEXT($B71,"yyyy-mm-dd")&amp;CHAR(10)&amp;"Team Leader: "&amp;$F71&amp;CHAR(10)&amp;"Case Number: "&amp;$M71&amp;CHAR(10)&amp;"Transaction ID: "&amp;$N71&amp;CHAR(10)&amp;"Channel / LOB: "&amp;$K71&amp;" / "&amp;$L71&amp;CHAR(10)&amp;"Evaluator: "&amp;$S71&amp;CHAR(10)&amp;CHAR(10)&amp;"INVALID QUALITY AUDIT DETAILS"&amp;CHAR(10)&amp;"Validation: Invalid"&amp;CHAR(10)&amp;"Invalid Reason: "&amp;$P71&amp;CHAR(10)&amp;"Expected Resolution Code: "&amp;$Q71&amp;CHAR(10)&amp;"Remarks: "&amp;LEFT($R71,600)&amp;CHAR(10)&amp;CHAR(10)&amp;"This is an automated notification from HP Mainstream EQMS."),"✉ Open Email Draft"),"")</f>
        <v/>
      </c>
    </row>
    <row r="72">
      <c r="A72" s="25">
        <f>IF($C72="","","AUD-2026-"&amp;TEXT(ROW()-1,"000000"))</f>
        <v/>
      </c>
      <c r="B72" s="26" t="n"/>
      <c r="C72" s="27" t="n"/>
      <c r="D72" s="25">
        <f>IF($C72="","",IFERROR(IF(INDEX(Roster!$A:$A,MATCH($C72,Roster!$B:$B,0))="","",INDEX(Roster!$A:$A,MATCH($C72,Roster!$B:$B,0))&amp;""),"—"))</f>
        <v/>
      </c>
      <c r="E72" s="25">
        <f>IF($C72="","",IFERROR(IF(INDEX(Roster!$C:$C,MATCH($C72,Roster!$B:$B,0))="","",INDEX(Roster!$C:$C,MATCH($C72,Roster!$B:$B,0))&amp;""),"—"))</f>
        <v/>
      </c>
      <c r="F72" s="25">
        <f>IF($C72="","",IFERROR(IF(INDEX(Roster!$D:$D,MATCH($C72,Roster!$B:$B,0))="","",INDEX(Roster!$D:$D,MATCH($C72,Roster!$B:$B,0))&amp;""),"—"))</f>
        <v/>
      </c>
      <c r="G72" s="25">
        <f>IF($C72="","",IFERROR(IF(INDEX(Roster!$E:$E,MATCH($C72,Roster!$B:$B,0))="","",INDEX(Roster!$E:$E,MATCH($C72,Roster!$B:$B,0))&amp;""),"—"))</f>
        <v/>
      </c>
      <c r="H72" s="25">
        <f>IF($C72="","",IFERROR(IF(INDEX(Roster!$F:$F,MATCH($C72,Roster!$B:$B,0))="","",INDEX(Roster!$F:$F,MATCH($C72,Roster!$B:$B,0))&amp;""),"—"))</f>
        <v/>
      </c>
      <c r="I72" s="25">
        <f>IF($C72="","",IFERROR(IF(INDEX(Roster!$G:$G,MATCH($C72,Roster!$B:$B,0))="","",INDEX(Roster!$G:$G,MATCH($C72,Roster!$B:$B,0))&amp;""),"—"))</f>
        <v/>
      </c>
      <c r="J72" s="25">
        <f>IF($C72="","",IFERROR(IF(INDEX(Roster!$I:$I,MATCH($C72,Roster!$B:$B,0))="","",INDEX(Roster!$I:$I,MATCH($C72,Roster!$B:$B,0))&amp;""),"—"))</f>
        <v/>
      </c>
      <c r="K72">
        <f>IF($C72="","",IFERROR(IF(INDEX(Roster!$J:$J,MATCH($C72,Roster!$B:$B,0))="","",INDEX(Roster!$J:$J,MATCH($C72,Roster!$B:$B,0))&amp;""),"—"))</f>
        <v/>
      </c>
      <c r="L72">
        <f>IF($C72="","",IFERROR(IF(INDEX(Roster!$K:$K,MATCH($C72,Roster!$B:$B,0))="","",INDEX(Roster!$K:$K,MATCH($C72,Roster!$B:$B,0))&amp;""),"—"))</f>
        <v/>
      </c>
      <c r="M72" s="27" t="n"/>
      <c r="N72" s="27" t="n"/>
      <c r="O72" s="25">
        <f>IF($C72="","",IF($P72="","—",IF($P72="Valid (Pass)","Valid","Invalid")))</f>
        <v/>
      </c>
      <c r="P72" s="27" t="n"/>
      <c r="Q72" s="27" t="n"/>
      <c r="R72" s="27" t="n"/>
      <c r="S72" s="27" t="n"/>
      <c r="T72" s="25">
        <f>IF($C72="","",IF(OR(ISNUMBER(SEARCH("quick case",$P72)),ISNUMBER(SEARCH("quick case",$Q72))),"Yes","No"))</f>
        <v/>
      </c>
      <c r="U72" s="25">
        <f>IF($O72="Invalid",HYPERLINK("mailto:"&amp;$G72&amp;";"&amp;$I72&amp;"?cc="&amp;Lists!$E$2&amp;"&amp;subject="&amp;_xlfn.ENCODEURL("[INVALID] Quality audit monitoring completed for "&amp;UPPER($C72))&amp;"&amp;body="&amp;_xlfn.ENCODEURL("Hi "&amp;$F72&amp;","&amp;CHAR(10)&amp;"Good day!"&amp;CHAR(10)&amp;CHAR(10)&amp;"A quality monitoring audit has been completed for "&amp;$C72&amp;"."&amp;CHAR(10)&amp;CHAR(10)&amp;"QUALITY AUDIT DETAILS"&amp;CHAR(10)&amp;"Agent Name: "&amp;$C72&amp;" (EID "&amp;$D72&amp;")"&amp;CHAR(10)&amp;"Audit Date: "&amp;TEXT($B72,"yyyy-mm-dd")&amp;CHAR(10)&amp;"Team Leader: "&amp;$F72&amp;CHAR(10)&amp;"Case Number: "&amp;$M72&amp;CHAR(10)&amp;"Transaction ID: "&amp;$N72&amp;CHAR(10)&amp;"Channel / LOB: "&amp;$K72&amp;" / "&amp;$L72&amp;CHAR(10)&amp;"Evaluator: "&amp;$S72&amp;CHAR(10)&amp;CHAR(10)&amp;"INVALID QUALITY AUDIT DETAILS"&amp;CHAR(10)&amp;"Validation: Invalid"&amp;CHAR(10)&amp;"Invalid Reason: "&amp;$P72&amp;CHAR(10)&amp;"Expected Resolution Code: "&amp;$Q72&amp;CHAR(10)&amp;"Remarks: "&amp;LEFT($R72,600)&amp;CHAR(10)&amp;CHAR(10)&amp;"This is an automated notification from HP Mainstream EQMS."),"✉ Open Email Draft"),"")</f>
        <v/>
      </c>
    </row>
    <row r="73">
      <c r="A73" s="25">
        <f>IF($C73="","","AUD-2026-"&amp;TEXT(ROW()-1,"000000"))</f>
        <v/>
      </c>
      <c r="B73" s="26" t="n"/>
      <c r="C73" s="27" t="n"/>
      <c r="D73" s="25">
        <f>IF($C73="","",IFERROR(IF(INDEX(Roster!$A:$A,MATCH($C73,Roster!$B:$B,0))="","",INDEX(Roster!$A:$A,MATCH($C73,Roster!$B:$B,0))&amp;""),"—"))</f>
        <v/>
      </c>
      <c r="E73" s="25">
        <f>IF($C73="","",IFERROR(IF(INDEX(Roster!$C:$C,MATCH($C73,Roster!$B:$B,0))="","",INDEX(Roster!$C:$C,MATCH($C73,Roster!$B:$B,0))&amp;""),"—"))</f>
        <v/>
      </c>
      <c r="F73" s="25">
        <f>IF($C73="","",IFERROR(IF(INDEX(Roster!$D:$D,MATCH($C73,Roster!$B:$B,0))="","",INDEX(Roster!$D:$D,MATCH($C73,Roster!$B:$B,0))&amp;""),"—"))</f>
        <v/>
      </c>
      <c r="G73" s="25">
        <f>IF($C73="","",IFERROR(IF(INDEX(Roster!$E:$E,MATCH($C73,Roster!$B:$B,0))="","",INDEX(Roster!$E:$E,MATCH($C73,Roster!$B:$B,0))&amp;""),"—"))</f>
        <v/>
      </c>
      <c r="H73" s="25">
        <f>IF($C73="","",IFERROR(IF(INDEX(Roster!$F:$F,MATCH($C73,Roster!$B:$B,0))="","",INDEX(Roster!$F:$F,MATCH($C73,Roster!$B:$B,0))&amp;""),"—"))</f>
        <v/>
      </c>
      <c r="I73" s="25">
        <f>IF($C73="","",IFERROR(IF(INDEX(Roster!$G:$G,MATCH($C73,Roster!$B:$B,0))="","",INDEX(Roster!$G:$G,MATCH($C73,Roster!$B:$B,0))&amp;""),"—"))</f>
        <v/>
      </c>
      <c r="J73" s="25">
        <f>IF($C73="","",IFERROR(IF(INDEX(Roster!$I:$I,MATCH($C73,Roster!$B:$B,0))="","",INDEX(Roster!$I:$I,MATCH($C73,Roster!$B:$B,0))&amp;""),"—"))</f>
        <v/>
      </c>
      <c r="K73">
        <f>IF($C73="","",IFERROR(IF(INDEX(Roster!$J:$J,MATCH($C73,Roster!$B:$B,0))="","",INDEX(Roster!$J:$J,MATCH($C73,Roster!$B:$B,0))&amp;""),"—"))</f>
        <v/>
      </c>
      <c r="L73">
        <f>IF($C73="","",IFERROR(IF(INDEX(Roster!$K:$K,MATCH($C73,Roster!$B:$B,0))="","",INDEX(Roster!$K:$K,MATCH($C73,Roster!$B:$B,0))&amp;""),"—"))</f>
        <v/>
      </c>
      <c r="M73" s="27" t="n"/>
      <c r="N73" s="27" t="n"/>
      <c r="O73" s="25">
        <f>IF($C73="","",IF($P73="","—",IF($P73="Valid (Pass)","Valid","Invalid")))</f>
        <v/>
      </c>
      <c r="P73" s="27" t="n"/>
      <c r="Q73" s="27" t="n"/>
      <c r="R73" s="27" t="n"/>
      <c r="S73" s="27" t="n"/>
      <c r="T73" s="25">
        <f>IF($C73="","",IF(OR(ISNUMBER(SEARCH("quick case",$P73)),ISNUMBER(SEARCH("quick case",$Q73))),"Yes","No"))</f>
        <v/>
      </c>
      <c r="U73" s="25">
        <f>IF($O73="Invalid",HYPERLINK("mailto:"&amp;$G73&amp;";"&amp;$I73&amp;"?cc="&amp;Lists!$E$2&amp;"&amp;subject="&amp;_xlfn.ENCODEURL("[INVALID] Quality audit monitoring completed for "&amp;UPPER($C73))&amp;"&amp;body="&amp;_xlfn.ENCODEURL("Hi "&amp;$F73&amp;","&amp;CHAR(10)&amp;"Good day!"&amp;CHAR(10)&amp;CHAR(10)&amp;"A quality monitoring audit has been completed for "&amp;$C73&amp;"."&amp;CHAR(10)&amp;CHAR(10)&amp;"QUALITY AUDIT DETAILS"&amp;CHAR(10)&amp;"Agent Name: "&amp;$C73&amp;" (EID "&amp;$D73&amp;")"&amp;CHAR(10)&amp;"Audit Date: "&amp;TEXT($B73,"yyyy-mm-dd")&amp;CHAR(10)&amp;"Team Leader: "&amp;$F73&amp;CHAR(10)&amp;"Case Number: "&amp;$M73&amp;CHAR(10)&amp;"Transaction ID: "&amp;$N73&amp;CHAR(10)&amp;"Channel / LOB: "&amp;$K73&amp;" / "&amp;$L73&amp;CHAR(10)&amp;"Evaluator: "&amp;$S73&amp;CHAR(10)&amp;CHAR(10)&amp;"INVALID QUALITY AUDIT DETAILS"&amp;CHAR(10)&amp;"Validation: Invalid"&amp;CHAR(10)&amp;"Invalid Reason: "&amp;$P73&amp;CHAR(10)&amp;"Expected Resolution Code: "&amp;$Q73&amp;CHAR(10)&amp;"Remarks: "&amp;LEFT($R73,600)&amp;CHAR(10)&amp;CHAR(10)&amp;"This is an automated notification from HP Mainstream EQMS."),"✉ Open Email Draft"),"")</f>
        <v/>
      </c>
    </row>
    <row r="74">
      <c r="A74" s="25">
        <f>IF($C74="","","AUD-2026-"&amp;TEXT(ROW()-1,"000000"))</f>
        <v/>
      </c>
      <c r="B74" s="26" t="n"/>
      <c r="C74" s="27" t="n"/>
      <c r="D74" s="25">
        <f>IF($C74="","",IFERROR(IF(INDEX(Roster!$A:$A,MATCH($C74,Roster!$B:$B,0))="","",INDEX(Roster!$A:$A,MATCH($C74,Roster!$B:$B,0))&amp;""),"—"))</f>
        <v/>
      </c>
      <c r="E74" s="25">
        <f>IF($C74="","",IFERROR(IF(INDEX(Roster!$C:$C,MATCH($C74,Roster!$B:$B,0))="","",INDEX(Roster!$C:$C,MATCH($C74,Roster!$B:$B,0))&amp;""),"—"))</f>
        <v/>
      </c>
      <c r="F74" s="25">
        <f>IF($C74="","",IFERROR(IF(INDEX(Roster!$D:$D,MATCH($C74,Roster!$B:$B,0))="","",INDEX(Roster!$D:$D,MATCH($C74,Roster!$B:$B,0))&amp;""),"—"))</f>
        <v/>
      </c>
      <c r="G74" s="25">
        <f>IF($C74="","",IFERROR(IF(INDEX(Roster!$E:$E,MATCH($C74,Roster!$B:$B,0))="","",INDEX(Roster!$E:$E,MATCH($C74,Roster!$B:$B,0))&amp;""),"—"))</f>
        <v/>
      </c>
      <c r="H74" s="25">
        <f>IF($C74="","",IFERROR(IF(INDEX(Roster!$F:$F,MATCH($C74,Roster!$B:$B,0))="","",INDEX(Roster!$F:$F,MATCH($C74,Roster!$B:$B,0))&amp;""),"—"))</f>
        <v/>
      </c>
      <c r="I74" s="25">
        <f>IF($C74="","",IFERROR(IF(INDEX(Roster!$G:$G,MATCH($C74,Roster!$B:$B,0))="","",INDEX(Roster!$G:$G,MATCH($C74,Roster!$B:$B,0))&amp;""),"—"))</f>
        <v/>
      </c>
      <c r="J74" s="25">
        <f>IF($C74="","",IFERROR(IF(INDEX(Roster!$I:$I,MATCH($C74,Roster!$B:$B,0))="","",INDEX(Roster!$I:$I,MATCH($C74,Roster!$B:$B,0))&amp;""),"—"))</f>
        <v/>
      </c>
      <c r="K74">
        <f>IF($C74="","",IFERROR(IF(INDEX(Roster!$J:$J,MATCH($C74,Roster!$B:$B,0))="","",INDEX(Roster!$J:$J,MATCH($C74,Roster!$B:$B,0))&amp;""),"—"))</f>
        <v/>
      </c>
      <c r="L74">
        <f>IF($C74="","",IFERROR(IF(INDEX(Roster!$K:$K,MATCH($C74,Roster!$B:$B,0))="","",INDEX(Roster!$K:$K,MATCH($C74,Roster!$B:$B,0))&amp;""),"—"))</f>
        <v/>
      </c>
      <c r="M74" s="27" t="n"/>
      <c r="N74" s="27" t="n"/>
      <c r="O74" s="25">
        <f>IF($C74="","",IF($P74="","—",IF($P74="Valid (Pass)","Valid","Invalid")))</f>
        <v/>
      </c>
      <c r="P74" s="27" t="n"/>
      <c r="Q74" s="27" t="n"/>
      <c r="R74" s="27" t="n"/>
      <c r="S74" s="27" t="n"/>
      <c r="T74" s="25">
        <f>IF($C74="","",IF(OR(ISNUMBER(SEARCH("quick case",$P74)),ISNUMBER(SEARCH("quick case",$Q74))),"Yes","No"))</f>
        <v/>
      </c>
      <c r="U74" s="25">
        <f>IF($O74="Invalid",HYPERLINK("mailto:"&amp;$G74&amp;";"&amp;$I74&amp;"?cc="&amp;Lists!$E$2&amp;"&amp;subject="&amp;_xlfn.ENCODEURL("[INVALID] Quality audit monitoring completed for "&amp;UPPER($C74))&amp;"&amp;body="&amp;_xlfn.ENCODEURL("Hi "&amp;$F74&amp;","&amp;CHAR(10)&amp;"Good day!"&amp;CHAR(10)&amp;CHAR(10)&amp;"A quality monitoring audit has been completed for "&amp;$C74&amp;"."&amp;CHAR(10)&amp;CHAR(10)&amp;"QUALITY AUDIT DETAILS"&amp;CHAR(10)&amp;"Agent Name: "&amp;$C74&amp;" (EID "&amp;$D74&amp;")"&amp;CHAR(10)&amp;"Audit Date: "&amp;TEXT($B74,"yyyy-mm-dd")&amp;CHAR(10)&amp;"Team Leader: "&amp;$F74&amp;CHAR(10)&amp;"Case Number: "&amp;$M74&amp;CHAR(10)&amp;"Transaction ID: "&amp;$N74&amp;CHAR(10)&amp;"Channel / LOB: "&amp;$K74&amp;" / "&amp;$L74&amp;CHAR(10)&amp;"Evaluator: "&amp;$S74&amp;CHAR(10)&amp;CHAR(10)&amp;"INVALID QUALITY AUDIT DETAILS"&amp;CHAR(10)&amp;"Validation: Invalid"&amp;CHAR(10)&amp;"Invalid Reason: "&amp;$P74&amp;CHAR(10)&amp;"Expected Resolution Code: "&amp;$Q74&amp;CHAR(10)&amp;"Remarks: "&amp;LEFT($R74,600)&amp;CHAR(10)&amp;CHAR(10)&amp;"This is an automated notification from HP Mainstream EQMS."),"✉ Open Email Draft"),"")</f>
        <v/>
      </c>
    </row>
    <row r="75">
      <c r="A75" s="25">
        <f>IF($C75="","","AUD-2026-"&amp;TEXT(ROW()-1,"000000"))</f>
        <v/>
      </c>
      <c r="B75" s="26" t="n"/>
      <c r="C75" s="27" t="n"/>
      <c r="D75" s="25">
        <f>IF($C75="","",IFERROR(IF(INDEX(Roster!$A:$A,MATCH($C75,Roster!$B:$B,0))="","",INDEX(Roster!$A:$A,MATCH($C75,Roster!$B:$B,0))&amp;""),"—"))</f>
        <v/>
      </c>
      <c r="E75" s="25">
        <f>IF($C75="","",IFERROR(IF(INDEX(Roster!$C:$C,MATCH($C75,Roster!$B:$B,0))="","",INDEX(Roster!$C:$C,MATCH($C75,Roster!$B:$B,0))&amp;""),"—"))</f>
        <v/>
      </c>
      <c r="F75" s="25">
        <f>IF($C75="","",IFERROR(IF(INDEX(Roster!$D:$D,MATCH($C75,Roster!$B:$B,0))="","",INDEX(Roster!$D:$D,MATCH($C75,Roster!$B:$B,0))&amp;""),"—"))</f>
        <v/>
      </c>
      <c r="G75" s="25">
        <f>IF($C75="","",IFERROR(IF(INDEX(Roster!$E:$E,MATCH($C75,Roster!$B:$B,0))="","",INDEX(Roster!$E:$E,MATCH($C75,Roster!$B:$B,0))&amp;""),"—"))</f>
        <v/>
      </c>
      <c r="H75" s="25">
        <f>IF($C75="","",IFERROR(IF(INDEX(Roster!$F:$F,MATCH($C75,Roster!$B:$B,0))="","",INDEX(Roster!$F:$F,MATCH($C75,Roster!$B:$B,0))&amp;""),"—"))</f>
        <v/>
      </c>
      <c r="I75" s="25">
        <f>IF($C75="","",IFERROR(IF(INDEX(Roster!$G:$G,MATCH($C75,Roster!$B:$B,0))="","",INDEX(Roster!$G:$G,MATCH($C75,Roster!$B:$B,0))&amp;""),"—"))</f>
        <v/>
      </c>
      <c r="J75" s="25">
        <f>IF($C75="","",IFERROR(IF(INDEX(Roster!$I:$I,MATCH($C75,Roster!$B:$B,0))="","",INDEX(Roster!$I:$I,MATCH($C75,Roster!$B:$B,0))&amp;""),"—"))</f>
        <v/>
      </c>
      <c r="K75">
        <f>IF($C75="","",IFERROR(IF(INDEX(Roster!$J:$J,MATCH($C75,Roster!$B:$B,0))="","",INDEX(Roster!$J:$J,MATCH($C75,Roster!$B:$B,0))&amp;""),"—"))</f>
        <v/>
      </c>
      <c r="L75">
        <f>IF($C75="","",IFERROR(IF(INDEX(Roster!$K:$K,MATCH($C75,Roster!$B:$B,0))="","",INDEX(Roster!$K:$K,MATCH($C75,Roster!$B:$B,0))&amp;""),"—"))</f>
        <v/>
      </c>
      <c r="M75" s="27" t="n"/>
      <c r="N75" s="27" t="n"/>
      <c r="O75" s="25">
        <f>IF($C75="","",IF($P75="","—",IF($P75="Valid (Pass)","Valid","Invalid")))</f>
        <v/>
      </c>
      <c r="P75" s="27" t="n"/>
      <c r="Q75" s="27" t="n"/>
      <c r="R75" s="27" t="n"/>
      <c r="S75" s="27" t="n"/>
      <c r="T75" s="25">
        <f>IF($C75="","",IF(OR(ISNUMBER(SEARCH("quick case",$P75)),ISNUMBER(SEARCH("quick case",$Q75))),"Yes","No"))</f>
        <v/>
      </c>
      <c r="U75" s="25">
        <f>IF($O75="Invalid",HYPERLINK("mailto:"&amp;$G75&amp;";"&amp;$I75&amp;"?cc="&amp;Lists!$E$2&amp;"&amp;subject="&amp;_xlfn.ENCODEURL("[INVALID] Quality audit monitoring completed for "&amp;UPPER($C75))&amp;"&amp;body="&amp;_xlfn.ENCODEURL("Hi "&amp;$F75&amp;","&amp;CHAR(10)&amp;"Good day!"&amp;CHAR(10)&amp;CHAR(10)&amp;"A quality monitoring audit has been completed for "&amp;$C75&amp;"."&amp;CHAR(10)&amp;CHAR(10)&amp;"QUALITY AUDIT DETAILS"&amp;CHAR(10)&amp;"Agent Name: "&amp;$C75&amp;" (EID "&amp;$D75&amp;")"&amp;CHAR(10)&amp;"Audit Date: "&amp;TEXT($B75,"yyyy-mm-dd")&amp;CHAR(10)&amp;"Team Leader: "&amp;$F75&amp;CHAR(10)&amp;"Case Number: "&amp;$M75&amp;CHAR(10)&amp;"Transaction ID: "&amp;$N75&amp;CHAR(10)&amp;"Channel / LOB: "&amp;$K75&amp;" / "&amp;$L75&amp;CHAR(10)&amp;"Evaluator: "&amp;$S75&amp;CHAR(10)&amp;CHAR(10)&amp;"INVALID QUALITY AUDIT DETAILS"&amp;CHAR(10)&amp;"Validation: Invalid"&amp;CHAR(10)&amp;"Invalid Reason: "&amp;$P75&amp;CHAR(10)&amp;"Expected Resolution Code: "&amp;$Q75&amp;CHAR(10)&amp;"Remarks: "&amp;LEFT($R75,600)&amp;CHAR(10)&amp;CHAR(10)&amp;"This is an automated notification from HP Mainstream EQMS."),"✉ Open Email Draft"),"")</f>
        <v/>
      </c>
    </row>
    <row r="76">
      <c r="A76" s="25">
        <f>IF($C76="","","AUD-2026-"&amp;TEXT(ROW()-1,"000000"))</f>
        <v/>
      </c>
      <c r="B76" s="26" t="n"/>
      <c r="C76" s="27" t="n"/>
      <c r="D76" s="25">
        <f>IF($C76="","",IFERROR(IF(INDEX(Roster!$A:$A,MATCH($C76,Roster!$B:$B,0))="","",INDEX(Roster!$A:$A,MATCH($C76,Roster!$B:$B,0))&amp;""),"—"))</f>
        <v/>
      </c>
      <c r="E76" s="25">
        <f>IF($C76="","",IFERROR(IF(INDEX(Roster!$C:$C,MATCH($C76,Roster!$B:$B,0))="","",INDEX(Roster!$C:$C,MATCH($C76,Roster!$B:$B,0))&amp;""),"—"))</f>
        <v/>
      </c>
      <c r="F76" s="25">
        <f>IF($C76="","",IFERROR(IF(INDEX(Roster!$D:$D,MATCH($C76,Roster!$B:$B,0))="","",INDEX(Roster!$D:$D,MATCH($C76,Roster!$B:$B,0))&amp;""),"—"))</f>
        <v/>
      </c>
      <c r="G76" s="25">
        <f>IF($C76="","",IFERROR(IF(INDEX(Roster!$E:$E,MATCH($C76,Roster!$B:$B,0))="","",INDEX(Roster!$E:$E,MATCH($C76,Roster!$B:$B,0))&amp;""),"—"))</f>
        <v/>
      </c>
      <c r="H76" s="25">
        <f>IF($C76="","",IFERROR(IF(INDEX(Roster!$F:$F,MATCH($C76,Roster!$B:$B,0))="","",INDEX(Roster!$F:$F,MATCH($C76,Roster!$B:$B,0))&amp;""),"—"))</f>
        <v/>
      </c>
      <c r="I76" s="25">
        <f>IF($C76="","",IFERROR(IF(INDEX(Roster!$G:$G,MATCH($C76,Roster!$B:$B,0))="","",INDEX(Roster!$G:$G,MATCH($C76,Roster!$B:$B,0))&amp;""),"—"))</f>
        <v/>
      </c>
      <c r="J76" s="25">
        <f>IF($C76="","",IFERROR(IF(INDEX(Roster!$I:$I,MATCH($C76,Roster!$B:$B,0))="","",INDEX(Roster!$I:$I,MATCH($C76,Roster!$B:$B,0))&amp;""),"—"))</f>
        <v/>
      </c>
      <c r="K76">
        <f>IF($C76="","",IFERROR(IF(INDEX(Roster!$J:$J,MATCH($C76,Roster!$B:$B,0))="","",INDEX(Roster!$J:$J,MATCH($C76,Roster!$B:$B,0))&amp;""),"—"))</f>
        <v/>
      </c>
      <c r="L76">
        <f>IF($C76="","",IFERROR(IF(INDEX(Roster!$K:$K,MATCH($C76,Roster!$B:$B,0))="","",INDEX(Roster!$K:$K,MATCH($C76,Roster!$B:$B,0))&amp;""),"—"))</f>
        <v/>
      </c>
      <c r="M76" s="27" t="n"/>
      <c r="N76" s="27" t="n"/>
      <c r="O76" s="25">
        <f>IF($C76="","",IF($P76="","—",IF($P76="Valid (Pass)","Valid","Invalid")))</f>
        <v/>
      </c>
      <c r="P76" s="27" t="n"/>
      <c r="Q76" s="27" t="n"/>
      <c r="R76" s="27" t="n"/>
      <c r="S76" s="27" t="n"/>
      <c r="T76" s="25">
        <f>IF($C76="","",IF(OR(ISNUMBER(SEARCH("quick case",$P76)),ISNUMBER(SEARCH("quick case",$Q76))),"Yes","No"))</f>
        <v/>
      </c>
      <c r="U76" s="25">
        <f>IF($O76="Invalid",HYPERLINK("mailto:"&amp;$G76&amp;";"&amp;$I76&amp;"?cc="&amp;Lists!$E$2&amp;"&amp;subject="&amp;_xlfn.ENCODEURL("[INVALID] Quality audit monitoring completed for "&amp;UPPER($C76))&amp;"&amp;body="&amp;_xlfn.ENCODEURL("Hi "&amp;$F76&amp;","&amp;CHAR(10)&amp;"Good day!"&amp;CHAR(10)&amp;CHAR(10)&amp;"A quality monitoring audit has been completed for "&amp;$C76&amp;"."&amp;CHAR(10)&amp;CHAR(10)&amp;"QUALITY AUDIT DETAILS"&amp;CHAR(10)&amp;"Agent Name: "&amp;$C76&amp;" (EID "&amp;$D76&amp;")"&amp;CHAR(10)&amp;"Audit Date: "&amp;TEXT($B76,"yyyy-mm-dd")&amp;CHAR(10)&amp;"Team Leader: "&amp;$F76&amp;CHAR(10)&amp;"Case Number: "&amp;$M76&amp;CHAR(10)&amp;"Transaction ID: "&amp;$N76&amp;CHAR(10)&amp;"Channel / LOB: "&amp;$K76&amp;" / "&amp;$L76&amp;CHAR(10)&amp;"Evaluator: "&amp;$S76&amp;CHAR(10)&amp;CHAR(10)&amp;"INVALID QUALITY AUDIT DETAILS"&amp;CHAR(10)&amp;"Validation: Invalid"&amp;CHAR(10)&amp;"Invalid Reason: "&amp;$P76&amp;CHAR(10)&amp;"Expected Resolution Code: "&amp;$Q76&amp;CHAR(10)&amp;"Remarks: "&amp;LEFT($R76,600)&amp;CHAR(10)&amp;CHAR(10)&amp;"This is an automated notification from HP Mainstream EQMS."),"✉ Open Email Draft"),"")</f>
        <v/>
      </c>
    </row>
    <row r="77">
      <c r="A77" s="25">
        <f>IF($C77="","","AUD-2026-"&amp;TEXT(ROW()-1,"000000"))</f>
        <v/>
      </c>
      <c r="B77" s="26" t="n"/>
      <c r="C77" s="27" t="n"/>
      <c r="D77" s="25">
        <f>IF($C77="","",IFERROR(IF(INDEX(Roster!$A:$A,MATCH($C77,Roster!$B:$B,0))="","",INDEX(Roster!$A:$A,MATCH($C77,Roster!$B:$B,0))&amp;""),"—"))</f>
        <v/>
      </c>
      <c r="E77" s="25">
        <f>IF($C77="","",IFERROR(IF(INDEX(Roster!$C:$C,MATCH($C77,Roster!$B:$B,0))="","",INDEX(Roster!$C:$C,MATCH($C77,Roster!$B:$B,0))&amp;""),"—"))</f>
        <v/>
      </c>
      <c r="F77" s="25">
        <f>IF($C77="","",IFERROR(IF(INDEX(Roster!$D:$D,MATCH($C77,Roster!$B:$B,0))="","",INDEX(Roster!$D:$D,MATCH($C77,Roster!$B:$B,0))&amp;""),"—"))</f>
        <v/>
      </c>
      <c r="G77" s="25">
        <f>IF($C77="","",IFERROR(IF(INDEX(Roster!$E:$E,MATCH($C77,Roster!$B:$B,0))="","",INDEX(Roster!$E:$E,MATCH($C77,Roster!$B:$B,0))&amp;""),"—"))</f>
        <v/>
      </c>
      <c r="H77" s="25">
        <f>IF($C77="","",IFERROR(IF(INDEX(Roster!$F:$F,MATCH($C77,Roster!$B:$B,0))="","",INDEX(Roster!$F:$F,MATCH($C77,Roster!$B:$B,0))&amp;""),"—"))</f>
        <v/>
      </c>
      <c r="I77" s="25">
        <f>IF($C77="","",IFERROR(IF(INDEX(Roster!$G:$G,MATCH($C77,Roster!$B:$B,0))="","",INDEX(Roster!$G:$G,MATCH($C77,Roster!$B:$B,0))&amp;""),"—"))</f>
        <v/>
      </c>
      <c r="J77" s="25">
        <f>IF($C77="","",IFERROR(IF(INDEX(Roster!$I:$I,MATCH($C77,Roster!$B:$B,0))="","",INDEX(Roster!$I:$I,MATCH($C77,Roster!$B:$B,0))&amp;""),"—"))</f>
        <v/>
      </c>
      <c r="K77">
        <f>IF($C77="","",IFERROR(IF(INDEX(Roster!$J:$J,MATCH($C77,Roster!$B:$B,0))="","",INDEX(Roster!$J:$J,MATCH($C77,Roster!$B:$B,0))&amp;""),"—"))</f>
        <v/>
      </c>
      <c r="L77">
        <f>IF($C77="","",IFERROR(IF(INDEX(Roster!$K:$K,MATCH($C77,Roster!$B:$B,0))="","",INDEX(Roster!$K:$K,MATCH($C77,Roster!$B:$B,0))&amp;""),"—"))</f>
        <v/>
      </c>
      <c r="M77" s="27" t="n"/>
      <c r="N77" s="27" t="n"/>
      <c r="O77" s="25">
        <f>IF($C77="","",IF($P77="","—",IF($P77="Valid (Pass)","Valid","Invalid")))</f>
        <v/>
      </c>
      <c r="P77" s="27" t="n"/>
      <c r="Q77" s="27" t="n"/>
      <c r="R77" s="27" t="n"/>
      <c r="S77" s="27" t="n"/>
      <c r="T77" s="25">
        <f>IF($C77="","",IF(OR(ISNUMBER(SEARCH("quick case",$P77)),ISNUMBER(SEARCH("quick case",$Q77))),"Yes","No"))</f>
        <v/>
      </c>
      <c r="U77" s="25">
        <f>IF($O77="Invalid",HYPERLINK("mailto:"&amp;$G77&amp;";"&amp;$I77&amp;"?cc="&amp;Lists!$E$2&amp;"&amp;subject="&amp;_xlfn.ENCODEURL("[INVALID] Quality audit monitoring completed for "&amp;UPPER($C77))&amp;"&amp;body="&amp;_xlfn.ENCODEURL("Hi "&amp;$F77&amp;","&amp;CHAR(10)&amp;"Good day!"&amp;CHAR(10)&amp;CHAR(10)&amp;"A quality monitoring audit has been completed for "&amp;$C77&amp;"."&amp;CHAR(10)&amp;CHAR(10)&amp;"QUALITY AUDIT DETAILS"&amp;CHAR(10)&amp;"Agent Name: "&amp;$C77&amp;" (EID "&amp;$D77&amp;")"&amp;CHAR(10)&amp;"Audit Date: "&amp;TEXT($B77,"yyyy-mm-dd")&amp;CHAR(10)&amp;"Team Leader: "&amp;$F77&amp;CHAR(10)&amp;"Case Number: "&amp;$M77&amp;CHAR(10)&amp;"Transaction ID: "&amp;$N77&amp;CHAR(10)&amp;"Channel / LOB: "&amp;$K77&amp;" / "&amp;$L77&amp;CHAR(10)&amp;"Evaluator: "&amp;$S77&amp;CHAR(10)&amp;CHAR(10)&amp;"INVALID QUALITY AUDIT DETAILS"&amp;CHAR(10)&amp;"Validation: Invalid"&amp;CHAR(10)&amp;"Invalid Reason: "&amp;$P77&amp;CHAR(10)&amp;"Expected Resolution Code: "&amp;$Q77&amp;CHAR(10)&amp;"Remarks: "&amp;LEFT($R77,600)&amp;CHAR(10)&amp;CHAR(10)&amp;"This is an automated notification from HP Mainstream EQMS."),"✉ Open Email Draft"),"")</f>
        <v/>
      </c>
    </row>
    <row r="78">
      <c r="A78" s="25">
        <f>IF($C78="","","AUD-2026-"&amp;TEXT(ROW()-1,"000000"))</f>
        <v/>
      </c>
      <c r="B78" s="26" t="n"/>
      <c r="C78" s="27" t="n"/>
      <c r="D78" s="25">
        <f>IF($C78="","",IFERROR(IF(INDEX(Roster!$A:$A,MATCH($C78,Roster!$B:$B,0))="","",INDEX(Roster!$A:$A,MATCH($C78,Roster!$B:$B,0))&amp;""),"—"))</f>
        <v/>
      </c>
      <c r="E78" s="25">
        <f>IF($C78="","",IFERROR(IF(INDEX(Roster!$C:$C,MATCH($C78,Roster!$B:$B,0))="","",INDEX(Roster!$C:$C,MATCH($C78,Roster!$B:$B,0))&amp;""),"—"))</f>
        <v/>
      </c>
      <c r="F78" s="25">
        <f>IF($C78="","",IFERROR(IF(INDEX(Roster!$D:$D,MATCH($C78,Roster!$B:$B,0))="","",INDEX(Roster!$D:$D,MATCH($C78,Roster!$B:$B,0))&amp;""),"—"))</f>
        <v/>
      </c>
      <c r="G78" s="25">
        <f>IF($C78="","",IFERROR(IF(INDEX(Roster!$E:$E,MATCH($C78,Roster!$B:$B,0))="","",INDEX(Roster!$E:$E,MATCH($C78,Roster!$B:$B,0))&amp;""),"—"))</f>
        <v/>
      </c>
      <c r="H78" s="25">
        <f>IF($C78="","",IFERROR(IF(INDEX(Roster!$F:$F,MATCH($C78,Roster!$B:$B,0))="","",INDEX(Roster!$F:$F,MATCH($C78,Roster!$B:$B,0))&amp;""),"—"))</f>
        <v/>
      </c>
      <c r="I78" s="25">
        <f>IF($C78="","",IFERROR(IF(INDEX(Roster!$G:$G,MATCH($C78,Roster!$B:$B,0))="","",INDEX(Roster!$G:$G,MATCH($C78,Roster!$B:$B,0))&amp;""),"—"))</f>
        <v/>
      </c>
      <c r="J78" s="25">
        <f>IF($C78="","",IFERROR(IF(INDEX(Roster!$I:$I,MATCH($C78,Roster!$B:$B,0))="","",INDEX(Roster!$I:$I,MATCH($C78,Roster!$B:$B,0))&amp;""),"—"))</f>
        <v/>
      </c>
      <c r="K78">
        <f>IF($C78="","",IFERROR(IF(INDEX(Roster!$J:$J,MATCH($C78,Roster!$B:$B,0))="","",INDEX(Roster!$J:$J,MATCH($C78,Roster!$B:$B,0))&amp;""),"—"))</f>
        <v/>
      </c>
      <c r="L78">
        <f>IF($C78="","",IFERROR(IF(INDEX(Roster!$K:$K,MATCH($C78,Roster!$B:$B,0))="","",INDEX(Roster!$K:$K,MATCH($C78,Roster!$B:$B,0))&amp;""),"—"))</f>
        <v/>
      </c>
      <c r="M78" s="27" t="n"/>
      <c r="N78" s="27" t="n"/>
      <c r="O78" s="25">
        <f>IF($C78="","",IF($P78="","—",IF($P78="Valid (Pass)","Valid","Invalid")))</f>
        <v/>
      </c>
      <c r="P78" s="27" t="n"/>
      <c r="Q78" s="27" t="n"/>
      <c r="R78" s="27" t="n"/>
      <c r="S78" s="27" t="n"/>
      <c r="T78" s="25">
        <f>IF($C78="","",IF(OR(ISNUMBER(SEARCH("quick case",$P78)),ISNUMBER(SEARCH("quick case",$Q78))),"Yes","No"))</f>
        <v/>
      </c>
      <c r="U78" s="25">
        <f>IF($O78="Invalid",HYPERLINK("mailto:"&amp;$G78&amp;";"&amp;$I78&amp;"?cc="&amp;Lists!$E$2&amp;"&amp;subject="&amp;_xlfn.ENCODEURL("[INVALID] Quality audit monitoring completed for "&amp;UPPER($C78))&amp;"&amp;body="&amp;_xlfn.ENCODEURL("Hi "&amp;$F78&amp;","&amp;CHAR(10)&amp;"Good day!"&amp;CHAR(10)&amp;CHAR(10)&amp;"A quality monitoring audit has been completed for "&amp;$C78&amp;"."&amp;CHAR(10)&amp;CHAR(10)&amp;"QUALITY AUDIT DETAILS"&amp;CHAR(10)&amp;"Agent Name: "&amp;$C78&amp;" (EID "&amp;$D78&amp;")"&amp;CHAR(10)&amp;"Audit Date: "&amp;TEXT($B78,"yyyy-mm-dd")&amp;CHAR(10)&amp;"Team Leader: "&amp;$F78&amp;CHAR(10)&amp;"Case Number: "&amp;$M78&amp;CHAR(10)&amp;"Transaction ID: "&amp;$N78&amp;CHAR(10)&amp;"Channel / LOB: "&amp;$K78&amp;" / "&amp;$L78&amp;CHAR(10)&amp;"Evaluator: "&amp;$S78&amp;CHAR(10)&amp;CHAR(10)&amp;"INVALID QUALITY AUDIT DETAILS"&amp;CHAR(10)&amp;"Validation: Invalid"&amp;CHAR(10)&amp;"Invalid Reason: "&amp;$P78&amp;CHAR(10)&amp;"Expected Resolution Code: "&amp;$Q78&amp;CHAR(10)&amp;"Remarks: "&amp;LEFT($R78,600)&amp;CHAR(10)&amp;CHAR(10)&amp;"This is an automated notification from HP Mainstream EQMS."),"✉ Open Email Draft"),"")</f>
        <v/>
      </c>
    </row>
    <row r="79">
      <c r="A79" s="25">
        <f>IF($C79="","","AUD-2026-"&amp;TEXT(ROW()-1,"000000"))</f>
        <v/>
      </c>
      <c r="B79" s="26" t="n"/>
      <c r="C79" s="27" t="n"/>
      <c r="D79" s="25">
        <f>IF($C79="","",IFERROR(IF(INDEX(Roster!$A:$A,MATCH($C79,Roster!$B:$B,0))="","",INDEX(Roster!$A:$A,MATCH($C79,Roster!$B:$B,0))&amp;""),"—"))</f>
        <v/>
      </c>
      <c r="E79" s="25">
        <f>IF($C79="","",IFERROR(IF(INDEX(Roster!$C:$C,MATCH($C79,Roster!$B:$B,0))="","",INDEX(Roster!$C:$C,MATCH($C79,Roster!$B:$B,0))&amp;""),"—"))</f>
        <v/>
      </c>
      <c r="F79" s="25">
        <f>IF($C79="","",IFERROR(IF(INDEX(Roster!$D:$D,MATCH($C79,Roster!$B:$B,0))="","",INDEX(Roster!$D:$D,MATCH($C79,Roster!$B:$B,0))&amp;""),"—"))</f>
        <v/>
      </c>
      <c r="G79" s="25">
        <f>IF($C79="","",IFERROR(IF(INDEX(Roster!$E:$E,MATCH($C79,Roster!$B:$B,0))="","",INDEX(Roster!$E:$E,MATCH($C79,Roster!$B:$B,0))&amp;""),"—"))</f>
        <v/>
      </c>
      <c r="H79" s="25">
        <f>IF($C79="","",IFERROR(IF(INDEX(Roster!$F:$F,MATCH($C79,Roster!$B:$B,0))="","",INDEX(Roster!$F:$F,MATCH($C79,Roster!$B:$B,0))&amp;""),"—"))</f>
        <v/>
      </c>
      <c r="I79" s="25">
        <f>IF($C79="","",IFERROR(IF(INDEX(Roster!$G:$G,MATCH($C79,Roster!$B:$B,0))="","",INDEX(Roster!$G:$G,MATCH($C79,Roster!$B:$B,0))&amp;""),"—"))</f>
        <v/>
      </c>
      <c r="J79" s="25">
        <f>IF($C79="","",IFERROR(IF(INDEX(Roster!$I:$I,MATCH($C79,Roster!$B:$B,0))="","",INDEX(Roster!$I:$I,MATCH($C79,Roster!$B:$B,0))&amp;""),"—"))</f>
        <v/>
      </c>
      <c r="K79">
        <f>IF($C79="","",IFERROR(IF(INDEX(Roster!$J:$J,MATCH($C79,Roster!$B:$B,0))="","",INDEX(Roster!$J:$J,MATCH($C79,Roster!$B:$B,0))&amp;""),"—"))</f>
        <v/>
      </c>
      <c r="L79">
        <f>IF($C79="","",IFERROR(IF(INDEX(Roster!$K:$K,MATCH($C79,Roster!$B:$B,0))="","",INDEX(Roster!$K:$K,MATCH($C79,Roster!$B:$B,0))&amp;""),"—"))</f>
        <v/>
      </c>
      <c r="M79" s="27" t="n"/>
      <c r="N79" s="27" t="n"/>
      <c r="O79" s="25">
        <f>IF($C79="","",IF($P79="","—",IF($P79="Valid (Pass)","Valid","Invalid")))</f>
        <v/>
      </c>
      <c r="P79" s="27" t="n"/>
      <c r="Q79" s="27" t="n"/>
      <c r="R79" s="27" t="n"/>
      <c r="S79" s="27" t="n"/>
      <c r="T79" s="25">
        <f>IF($C79="","",IF(OR(ISNUMBER(SEARCH("quick case",$P79)),ISNUMBER(SEARCH("quick case",$Q79))),"Yes","No"))</f>
        <v/>
      </c>
      <c r="U79" s="25">
        <f>IF($O79="Invalid",HYPERLINK("mailto:"&amp;$G79&amp;";"&amp;$I79&amp;"?cc="&amp;Lists!$E$2&amp;"&amp;subject="&amp;_xlfn.ENCODEURL("[INVALID] Quality audit monitoring completed for "&amp;UPPER($C79))&amp;"&amp;body="&amp;_xlfn.ENCODEURL("Hi "&amp;$F79&amp;","&amp;CHAR(10)&amp;"Good day!"&amp;CHAR(10)&amp;CHAR(10)&amp;"A quality monitoring audit has been completed for "&amp;$C79&amp;"."&amp;CHAR(10)&amp;CHAR(10)&amp;"QUALITY AUDIT DETAILS"&amp;CHAR(10)&amp;"Agent Name: "&amp;$C79&amp;" (EID "&amp;$D79&amp;")"&amp;CHAR(10)&amp;"Audit Date: "&amp;TEXT($B79,"yyyy-mm-dd")&amp;CHAR(10)&amp;"Team Leader: "&amp;$F79&amp;CHAR(10)&amp;"Case Number: "&amp;$M79&amp;CHAR(10)&amp;"Transaction ID: "&amp;$N79&amp;CHAR(10)&amp;"Channel / LOB: "&amp;$K79&amp;" / "&amp;$L79&amp;CHAR(10)&amp;"Evaluator: "&amp;$S79&amp;CHAR(10)&amp;CHAR(10)&amp;"INVALID QUALITY AUDIT DETAILS"&amp;CHAR(10)&amp;"Validation: Invalid"&amp;CHAR(10)&amp;"Invalid Reason: "&amp;$P79&amp;CHAR(10)&amp;"Expected Resolution Code: "&amp;$Q79&amp;CHAR(10)&amp;"Remarks: "&amp;LEFT($R79,600)&amp;CHAR(10)&amp;CHAR(10)&amp;"This is an automated notification from HP Mainstream EQMS."),"✉ Open Email Draft"),"")</f>
        <v/>
      </c>
    </row>
    <row r="80">
      <c r="A80" s="25">
        <f>IF($C80="","","AUD-2026-"&amp;TEXT(ROW()-1,"000000"))</f>
        <v/>
      </c>
      <c r="B80" s="26" t="n"/>
      <c r="C80" s="27" t="n"/>
      <c r="D80" s="25">
        <f>IF($C80="","",IFERROR(IF(INDEX(Roster!$A:$A,MATCH($C80,Roster!$B:$B,0))="","",INDEX(Roster!$A:$A,MATCH($C80,Roster!$B:$B,0))&amp;""),"—"))</f>
        <v/>
      </c>
      <c r="E80" s="25">
        <f>IF($C80="","",IFERROR(IF(INDEX(Roster!$C:$C,MATCH($C80,Roster!$B:$B,0))="","",INDEX(Roster!$C:$C,MATCH($C80,Roster!$B:$B,0))&amp;""),"—"))</f>
        <v/>
      </c>
      <c r="F80" s="25">
        <f>IF($C80="","",IFERROR(IF(INDEX(Roster!$D:$D,MATCH($C80,Roster!$B:$B,0))="","",INDEX(Roster!$D:$D,MATCH($C80,Roster!$B:$B,0))&amp;""),"—"))</f>
        <v/>
      </c>
      <c r="G80" s="25">
        <f>IF($C80="","",IFERROR(IF(INDEX(Roster!$E:$E,MATCH($C80,Roster!$B:$B,0))="","",INDEX(Roster!$E:$E,MATCH($C80,Roster!$B:$B,0))&amp;""),"—"))</f>
        <v/>
      </c>
      <c r="H80" s="25">
        <f>IF($C80="","",IFERROR(IF(INDEX(Roster!$F:$F,MATCH($C80,Roster!$B:$B,0))="","",INDEX(Roster!$F:$F,MATCH($C80,Roster!$B:$B,0))&amp;""),"—"))</f>
        <v/>
      </c>
      <c r="I80" s="25">
        <f>IF($C80="","",IFERROR(IF(INDEX(Roster!$G:$G,MATCH($C80,Roster!$B:$B,0))="","",INDEX(Roster!$G:$G,MATCH($C80,Roster!$B:$B,0))&amp;""),"—"))</f>
        <v/>
      </c>
      <c r="J80" s="25">
        <f>IF($C80="","",IFERROR(IF(INDEX(Roster!$I:$I,MATCH($C80,Roster!$B:$B,0))="","",INDEX(Roster!$I:$I,MATCH($C80,Roster!$B:$B,0))&amp;""),"—"))</f>
        <v/>
      </c>
      <c r="K80">
        <f>IF($C80="","",IFERROR(IF(INDEX(Roster!$J:$J,MATCH($C80,Roster!$B:$B,0))="","",INDEX(Roster!$J:$J,MATCH($C80,Roster!$B:$B,0))&amp;""),"—"))</f>
        <v/>
      </c>
      <c r="L80">
        <f>IF($C80="","",IFERROR(IF(INDEX(Roster!$K:$K,MATCH($C80,Roster!$B:$B,0))="","",INDEX(Roster!$K:$K,MATCH($C80,Roster!$B:$B,0))&amp;""),"—"))</f>
        <v/>
      </c>
      <c r="M80" s="27" t="n"/>
      <c r="N80" s="27" t="n"/>
      <c r="O80" s="25">
        <f>IF($C80="","",IF($P80="","—",IF($P80="Valid (Pass)","Valid","Invalid")))</f>
        <v/>
      </c>
      <c r="P80" s="27" t="n"/>
      <c r="Q80" s="27" t="n"/>
      <c r="R80" s="27" t="n"/>
      <c r="S80" s="27" t="n"/>
      <c r="T80" s="25">
        <f>IF($C80="","",IF(OR(ISNUMBER(SEARCH("quick case",$P80)),ISNUMBER(SEARCH("quick case",$Q80))),"Yes","No"))</f>
        <v/>
      </c>
      <c r="U80" s="25">
        <f>IF($O80="Invalid",HYPERLINK("mailto:"&amp;$G80&amp;";"&amp;$I80&amp;"?cc="&amp;Lists!$E$2&amp;"&amp;subject="&amp;_xlfn.ENCODEURL("[INVALID] Quality audit monitoring completed for "&amp;UPPER($C80))&amp;"&amp;body="&amp;_xlfn.ENCODEURL("Hi "&amp;$F80&amp;","&amp;CHAR(10)&amp;"Good day!"&amp;CHAR(10)&amp;CHAR(10)&amp;"A quality monitoring audit has been completed for "&amp;$C80&amp;"."&amp;CHAR(10)&amp;CHAR(10)&amp;"QUALITY AUDIT DETAILS"&amp;CHAR(10)&amp;"Agent Name: "&amp;$C80&amp;" (EID "&amp;$D80&amp;")"&amp;CHAR(10)&amp;"Audit Date: "&amp;TEXT($B80,"yyyy-mm-dd")&amp;CHAR(10)&amp;"Team Leader: "&amp;$F80&amp;CHAR(10)&amp;"Case Number: "&amp;$M80&amp;CHAR(10)&amp;"Transaction ID: "&amp;$N80&amp;CHAR(10)&amp;"Channel / LOB: "&amp;$K80&amp;" / "&amp;$L80&amp;CHAR(10)&amp;"Evaluator: "&amp;$S80&amp;CHAR(10)&amp;CHAR(10)&amp;"INVALID QUALITY AUDIT DETAILS"&amp;CHAR(10)&amp;"Validation: Invalid"&amp;CHAR(10)&amp;"Invalid Reason: "&amp;$P80&amp;CHAR(10)&amp;"Expected Resolution Code: "&amp;$Q80&amp;CHAR(10)&amp;"Remarks: "&amp;LEFT($R80,600)&amp;CHAR(10)&amp;CHAR(10)&amp;"This is an automated notification from HP Mainstream EQMS."),"✉ Open Email Draft"),"")</f>
        <v/>
      </c>
    </row>
    <row r="81">
      <c r="A81" s="25">
        <f>IF($C81="","","AUD-2026-"&amp;TEXT(ROW()-1,"000000"))</f>
        <v/>
      </c>
      <c r="B81" s="26" t="n"/>
      <c r="C81" s="27" t="n"/>
      <c r="D81" s="25">
        <f>IF($C81="","",IFERROR(IF(INDEX(Roster!$A:$A,MATCH($C81,Roster!$B:$B,0))="","",INDEX(Roster!$A:$A,MATCH($C81,Roster!$B:$B,0))&amp;""),"—"))</f>
        <v/>
      </c>
      <c r="E81" s="25">
        <f>IF($C81="","",IFERROR(IF(INDEX(Roster!$C:$C,MATCH($C81,Roster!$B:$B,0))="","",INDEX(Roster!$C:$C,MATCH($C81,Roster!$B:$B,0))&amp;""),"—"))</f>
        <v/>
      </c>
      <c r="F81" s="25">
        <f>IF($C81="","",IFERROR(IF(INDEX(Roster!$D:$D,MATCH($C81,Roster!$B:$B,0))="","",INDEX(Roster!$D:$D,MATCH($C81,Roster!$B:$B,0))&amp;""),"—"))</f>
        <v/>
      </c>
      <c r="G81" s="25">
        <f>IF($C81="","",IFERROR(IF(INDEX(Roster!$E:$E,MATCH($C81,Roster!$B:$B,0))="","",INDEX(Roster!$E:$E,MATCH($C81,Roster!$B:$B,0))&amp;""),"—"))</f>
        <v/>
      </c>
      <c r="H81" s="25">
        <f>IF($C81="","",IFERROR(IF(INDEX(Roster!$F:$F,MATCH($C81,Roster!$B:$B,0))="","",INDEX(Roster!$F:$F,MATCH($C81,Roster!$B:$B,0))&amp;""),"—"))</f>
        <v/>
      </c>
      <c r="I81" s="25">
        <f>IF($C81="","",IFERROR(IF(INDEX(Roster!$G:$G,MATCH($C81,Roster!$B:$B,0))="","",INDEX(Roster!$G:$G,MATCH($C81,Roster!$B:$B,0))&amp;""),"—"))</f>
        <v/>
      </c>
      <c r="J81" s="25">
        <f>IF($C81="","",IFERROR(IF(INDEX(Roster!$I:$I,MATCH($C81,Roster!$B:$B,0))="","",INDEX(Roster!$I:$I,MATCH($C81,Roster!$B:$B,0))&amp;""),"—"))</f>
        <v/>
      </c>
      <c r="K81">
        <f>IF($C81="","",IFERROR(IF(INDEX(Roster!$J:$J,MATCH($C81,Roster!$B:$B,0))="","",INDEX(Roster!$J:$J,MATCH($C81,Roster!$B:$B,0))&amp;""),"—"))</f>
        <v/>
      </c>
      <c r="L81">
        <f>IF($C81="","",IFERROR(IF(INDEX(Roster!$K:$K,MATCH($C81,Roster!$B:$B,0))="","",INDEX(Roster!$K:$K,MATCH($C81,Roster!$B:$B,0))&amp;""),"—"))</f>
        <v/>
      </c>
      <c r="M81" s="27" t="n"/>
      <c r="N81" s="27" t="n"/>
      <c r="O81" s="25">
        <f>IF($C81="","",IF($P81="","—",IF($P81="Valid (Pass)","Valid","Invalid")))</f>
        <v/>
      </c>
      <c r="P81" s="27" t="n"/>
      <c r="Q81" s="27" t="n"/>
      <c r="R81" s="27" t="n"/>
      <c r="S81" s="27" t="n"/>
      <c r="T81" s="25">
        <f>IF($C81="","",IF(OR(ISNUMBER(SEARCH("quick case",$P81)),ISNUMBER(SEARCH("quick case",$Q81))),"Yes","No"))</f>
        <v/>
      </c>
      <c r="U81" s="25">
        <f>IF($O81="Invalid",HYPERLINK("mailto:"&amp;$G81&amp;";"&amp;$I81&amp;"?cc="&amp;Lists!$E$2&amp;"&amp;subject="&amp;_xlfn.ENCODEURL("[INVALID] Quality audit monitoring completed for "&amp;UPPER($C81))&amp;"&amp;body="&amp;_xlfn.ENCODEURL("Hi "&amp;$F81&amp;","&amp;CHAR(10)&amp;"Good day!"&amp;CHAR(10)&amp;CHAR(10)&amp;"A quality monitoring audit has been completed for "&amp;$C81&amp;"."&amp;CHAR(10)&amp;CHAR(10)&amp;"QUALITY AUDIT DETAILS"&amp;CHAR(10)&amp;"Agent Name: "&amp;$C81&amp;" (EID "&amp;$D81&amp;")"&amp;CHAR(10)&amp;"Audit Date: "&amp;TEXT($B81,"yyyy-mm-dd")&amp;CHAR(10)&amp;"Team Leader: "&amp;$F81&amp;CHAR(10)&amp;"Case Number: "&amp;$M81&amp;CHAR(10)&amp;"Transaction ID: "&amp;$N81&amp;CHAR(10)&amp;"Channel / LOB: "&amp;$K81&amp;" / "&amp;$L81&amp;CHAR(10)&amp;"Evaluator: "&amp;$S81&amp;CHAR(10)&amp;CHAR(10)&amp;"INVALID QUALITY AUDIT DETAILS"&amp;CHAR(10)&amp;"Validation: Invalid"&amp;CHAR(10)&amp;"Invalid Reason: "&amp;$P81&amp;CHAR(10)&amp;"Expected Resolution Code: "&amp;$Q81&amp;CHAR(10)&amp;"Remarks: "&amp;LEFT($R81,600)&amp;CHAR(10)&amp;CHAR(10)&amp;"This is an automated notification from HP Mainstream EQMS."),"✉ Open Email Draft"),"")</f>
        <v/>
      </c>
    </row>
    <row r="82">
      <c r="A82" s="25">
        <f>IF($C82="","","AUD-2026-"&amp;TEXT(ROW()-1,"000000"))</f>
        <v/>
      </c>
      <c r="B82" s="26" t="n"/>
      <c r="C82" s="27" t="n"/>
      <c r="D82" s="25">
        <f>IF($C82="","",IFERROR(IF(INDEX(Roster!$A:$A,MATCH($C82,Roster!$B:$B,0))="","",INDEX(Roster!$A:$A,MATCH($C82,Roster!$B:$B,0))&amp;""),"—"))</f>
        <v/>
      </c>
      <c r="E82" s="25">
        <f>IF($C82="","",IFERROR(IF(INDEX(Roster!$C:$C,MATCH($C82,Roster!$B:$B,0))="","",INDEX(Roster!$C:$C,MATCH($C82,Roster!$B:$B,0))&amp;""),"—"))</f>
        <v/>
      </c>
      <c r="F82" s="25">
        <f>IF($C82="","",IFERROR(IF(INDEX(Roster!$D:$D,MATCH($C82,Roster!$B:$B,0))="","",INDEX(Roster!$D:$D,MATCH($C82,Roster!$B:$B,0))&amp;""),"—"))</f>
        <v/>
      </c>
      <c r="G82" s="25">
        <f>IF($C82="","",IFERROR(IF(INDEX(Roster!$E:$E,MATCH($C82,Roster!$B:$B,0))="","",INDEX(Roster!$E:$E,MATCH($C82,Roster!$B:$B,0))&amp;""),"—"))</f>
        <v/>
      </c>
      <c r="H82" s="25">
        <f>IF($C82="","",IFERROR(IF(INDEX(Roster!$F:$F,MATCH($C82,Roster!$B:$B,0))="","",INDEX(Roster!$F:$F,MATCH($C82,Roster!$B:$B,0))&amp;""),"—"))</f>
        <v/>
      </c>
      <c r="I82" s="25">
        <f>IF($C82="","",IFERROR(IF(INDEX(Roster!$G:$G,MATCH($C82,Roster!$B:$B,0))="","",INDEX(Roster!$G:$G,MATCH($C82,Roster!$B:$B,0))&amp;""),"—"))</f>
        <v/>
      </c>
      <c r="J82" s="25">
        <f>IF($C82="","",IFERROR(IF(INDEX(Roster!$I:$I,MATCH($C82,Roster!$B:$B,0))="","",INDEX(Roster!$I:$I,MATCH($C82,Roster!$B:$B,0))&amp;""),"—"))</f>
        <v/>
      </c>
      <c r="K82">
        <f>IF($C82="","",IFERROR(IF(INDEX(Roster!$J:$J,MATCH($C82,Roster!$B:$B,0))="","",INDEX(Roster!$J:$J,MATCH($C82,Roster!$B:$B,0))&amp;""),"—"))</f>
        <v/>
      </c>
      <c r="L82">
        <f>IF($C82="","",IFERROR(IF(INDEX(Roster!$K:$K,MATCH($C82,Roster!$B:$B,0))="","",INDEX(Roster!$K:$K,MATCH($C82,Roster!$B:$B,0))&amp;""),"—"))</f>
        <v/>
      </c>
      <c r="M82" s="27" t="n"/>
      <c r="N82" s="27" t="n"/>
      <c r="O82" s="25">
        <f>IF($C82="","",IF($P82="","—",IF($P82="Valid (Pass)","Valid","Invalid")))</f>
        <v/>
      </c>
      <c r="P82" s="27" t="n"/>
      <c r="Q82" s="27" t="n"/>
      <c r="R82" s="27" t="n"/>
      <c r="S82" s="27" t="n"/>
      <c r="T82" s="25">
        <f>IF($C82="","",IF(OR(ISNUMBER(SEARCH("quick case",$P82)),ISNUMBER(SEARCH("quick case",$Q82))),"Yes","No"))</f>
        <v/>
      </c>
      <c r="U82" s="25">
        <f>IF($O82="Invalid",HYPERLINK("mailto:"&amp;$G82&amp;";"&amp;$I82&amp;"?cc="&amp;Lists!$E$2&amp;"&amp;subject="&amp;_xlfn.ENCODEURL("[INVALID] Quality audit monitoring completed for "&amp;UPPER($C82))&amp;"&amp;body="&amp;_xlfn.ENCODEURL("Hi "&amp;$F82&amp;","&amp;CHAR(10)&amp;"Good day!"&amp;CHAR(10)&amp;CHAR(10)&amp;"A quality monitoring audit has been completed for "&amp;$C82&amp;"."&amp;CHAR(10)&amp;CHAR(10)&amp;"QUALITY AUDIT DETAILS"&amp;CHAR(10)&amp;"Agent Name: "&amp;$C82&amp;" (EID "&amp;$D82&amp;")"&amp;CHAR(10)&amp;"Audit Date: "&amp;TEXT($B82,"yyyy-mm-dd")&amp;CHAR(10)&amp;"Team Leader: "&amp;$F82&amp;CHAR(10)&amp;"Case Number: "&amp;$M82&amp;CHAR(10)&amp;"Transaction ID: "&amp;$N82&amp;CHAR(10)&amp;"Channel / LOB: "&amp;$K82&amp;" / "&amp;$L82&amp;CHAR(10)&amp;"Evaluator: "&amp;$S82&amp;CHAR(10)&amp;CHAR(10)&amp;"INVALID QUALITY AUDIT DETAILS"&amp;CHAR(10)&amp;"Validation: Invalid"&amp;CHAR(10)&amp;"Invalid Reason: "&amp;$P82&amp;CHAR(10)&amp;"Expected Resolution Code: "&amp;$Q82&amp;CHAR(10)&amp;"Remarks: "&amp;LEFT($R82,600)&amp;CHAR(10)&amp;CHAR(10)&amp;"This is an automated notification from HP Mainstream EQMS."),"✉ Open Email Draft"),"")</f>
        <v/>
      </c>
    </row>
    <row r="83">
      <c r="A83" s="25">
        <f>IF($C83="","","AUD-2026-"&amp;TEXT(ROW()-1,"000000"))</f>
        <v/>
      </c>
      <c r="B83" s="26" t="n"/>
      <c r="C83" s="27" t="n"/>
      <c r="D83" s="25">
        <f>IF($C83="","",IFERROR(IF(INDEX(Roster!$A:$A,MATCH($C83,Roster!$B:$B,0))="","",INDEX(Roster!$A:$A,MATCH($C83,Roster!$B:$B,0))&amp;""),"—"))</f>
        <v/>
      </c>
      <c r="E83" s="25">
        <f>IF($C83="","",IFERROR(IF(INDEX(Roster!$C:$C,MATCH($C83,Roster!$B:$B,0))="","",INDEX(Roster!$C:$C,MATCH($C83,Roster!$B:$B,0))&amp;""),"—"))</f>
        <v/>
      </c>
      <c r="F83" s="25">
        <f>IF($C83="","",IFERROR(IF(INDEX(Roster!$D:$D,MATCH($C83,Roster!$B:$B,0))="","",INDEX(Roster!$D:$D,MATCH($C83,Roster!$B:$B,0))&amp;""),"—"))</f>
        <v/>
      </c>
      <c r="G83" s="25">
        <f>IF($C83="","",IFERROR(IF(INDEX(Roster!$E:$E,MATCH($C83,Roster!$B:$B,0))="","",INDEX(Roster!$E:$E,MATCH($C83,Roster!$B:$B,0))&amp;""),"—"))</f>
        <v/>
      </c>
      <c r="H83" s="25">
        <f>IF($C83="","",IFERROR(IF(INDEX(Roster!$F:$F,MATCH($C83,Roster!$B:$B,0))="","",INDEX(Roster!$F:$F,MATCH($C83,Roster!$B:$B,0))&amp;""),"—"))</f>
        <v/>
      </c>
      <c r="I83" s="25">
        <f>IF($C83="","",IFERROR(IF(INDEX(Roster!$G:$G,MATCH($C83,Roster!$B:$B,0))="","",INDEX(Roster!$G:$G,MATCH($C83,Roster!$B:$B,0))&amp;""),"—"))</f>
        <v/>
      </c>
      <c r="J83" s="25">
        <f>IF($C83="","",IFERROR(IF(INDEX(Roster!$I:$I,MATCH($C83,Roster!$B:$B,0))="","",INDEX(Roster!$I:$I,MATCH($C83,Roster!$B:$B,0))&amp;""),"—"))</f>
        <v/>
      </c>
      <c r="K83">
        <f>IF($C83="","",IFERROR(IF(INDEX(Roster!$J:$J,MATCH($C83,Roster!$B:$B,0))="","",INDEX(Roster!$J:$J,MATCH($C83,Roster!$B:$B,0))&amp;""),"—"))</f>
        <v/>
      </c>
      <c r="L83">
        <f>IF($C83="","",IFERROR(IF(INDEX(Roster!$K:$K,MATCH($C83,Roster!$B:$B,0))="","",INDEX(Roster!$K:$K,MATCH($C83,Roster!$B:$B,0))&amp;""),"—"))</f>
        <v/>
      </c>
      <c r="M83" s="27" t="n"/>
      <c r="N83" s="27" t="n"/>
      <c r="O83" s="25">
        <f>IF($C83="","",IF($P83="","—",IF($P83="Valid (Pass)","Valid","Invalid")))</f>
        <v/>
      </c>
      <c r="P83" s="27" t="n"/>
      <c r="Q83" s="27" t="n"/>
      <c r="R83" s="27" t="n"/>
      <c r="S83" s="27" t="n"/>
      <c r="T83" s="25">
        <f>IF($C83="","",IF(OR(ISNUMBER(SEARCH("quick case",$P83)),ISNUMBER(SEARCH("quick case",$Q83))),"Yes","No"))</f>
        <v/>
      </c>
      <c r="U83" s="25">
        <f>IF($O83="Invalid",HYPERLINK("mailto:"&amp;$G83&amp;";"&amp;$I83&amp;"?cc="&amp;Lists!$E$2&amp;"&amp;subject="&amp;_xlfn.ENCODEURL("[INVALID] Quality audit monitoring completed for "&amp;UPPER($C83))&amp;"&amp;body="&amp;_xlfn.ENCODEURL("Hi "&amp;$F83&amp;","&amp;CHAR(10)&amp;"Good day!"&amp;CHAR(10)&amp;CHAR(10)&amp;"A quality monitoring audit has been completed for "&amp;$C83&amp;"."&amp;CHAR(10)&amp;CHAR(10)&amp;"QUALITY AUDIT DETAILS"&amp;CHAR(10)&amp;"Agent Name: "&amp;$C83&amp;" (EID "&amp;$D83&amp;")"&amp;CHAR(10)&amp;"Audit Date: "&amp;TEXT($B83,"yyyy-mm-dd")&amp;CHAR(10)&amp;"Team Leader: "&amp;$F83&amp;CHAR(10)&amp;"Case Number: "&amp;$M83&amp;CHAR(10)&amp;"Transaction ID: "&amp;$N83&amp;CHAR(10)&amp;"Channel / LOB: "&amp;$K83&amp;" / "&amp;$L83&amp;CHAR(10)&amp;"Evaluator: "&amp;$S83&amp;CHAR(10)&amp;CHAR(10)&amp;"INVALID QUALITY AUDIT DETAILS"&amp;CHAR(10)&amp;"Validation: Invalid"&amp;CHAR(10)&amp;"Invalid Reason: "&amp;$P83&amp;CHAR(10)&amp;"Expected Resolution Code: "&amp;$Q83&amp;CHAR(10)&amp;"Remarks: "&amp;LEFT($R83,600)&amp;CHAR(10)&amp;CHAR(10)&amp;"This is an automated notification from HP Mainstream EQMS."),"✉ Open Email Draft"),"")</f>
        <v/>
      </c>
    </row>
    <row r="84">
      <c r="A84" s="25">
        <f>IF($C84="","","AUD-2026-"&amp;TEXT(ROW()-1,"000000"))</f>
        <v/>
      </c>
      <c r="B84" s="26" t="n"/>
      <c r="C84" s="27" t="n"/>
      <c r="D84" s="25">
        <f>IF($C84="","",IFERROR(IF(INDEX(Roster!$A:$A,MATCH($C84,Roster!$B:$B,0))="","",INDEX(Roster!$A:$A,MATCH($C84,Roster!$B:$B,0))&amp;""),"—"))</f>
        <v/>
      </c>
      <c r="E84" s="25">
        <f>IF($C84="","",IFERROR(IF(INDEX(Roster!$C:$C,MATCH($C84,Roster!$B:$B,0))="","",INDEX(Roster!$C:$C,MATCH($C84,Roster!$B:$B,0))&amp;""),"—"))</f>
        <v/>
      </c>
      <c r="F84" s="25">
        <f>IF($C84="","",IFERROR(IF(INDEX(Roster!$D:$D,MATCH($C84,Roster!$B:$B,0))="","",INDEX(Roster!$D:$D,MATCH($C84,Roster!$B:$B,0))&amp;""),"—"))</f>
        <v/>
      </c>
      <c r="G84" s="25">
        <f>IF($C84="","",IFERROR(IF(INDEX(Roster!$E:$E,MATCH($C84,Roster!$B:$B,0))="","",INDEX(Roster!$E:$E,MATCH($C84,Roster!$B:$B,0))&amp;""),"—"))</f>
        <v/>
      </c>
      <c r="H84" s="25">
        <f>IF($C84="","",IFERROR(IF(INDEX(Roster!$F:$F,MATCH($C84,Roster!$B:$B,0))="","",INDEX(Roster!$F:$F,MATCH($C84,Roster!$B:$B,0))&amp;""),"—"))</f>
        <v/>
      </c>
      <c r="I84" s="25">
        <f>IF($C84="","",IFERROR(IF(INDEX(Roster!$G:$G,MATCH($C84,Roster!$B:$B,0))="","",INDEX(Roster!$G:$G,MATCH($C84,Roster!$B:$B,0))&amp;""),"—"))</f>
        <v/>
      </c>
      <c r="J84" s="25">
        <f>IF($C84="","",IFERROR(IF(INDEX(Roster!$I:$I,MATCH($C84,Roster!$B:$B,0))="","",INDEX(Roster!$I:$I,MATCH($C84,Roster!$B:$B,0))&amp;""),"—"))</f>
        <v/>
      </c>
      <c r="K84">
        <f>IF($C84="","",IFERROR(IF(INDEX(Roster!$J:$J,MATCH($C84,Roster!$B:$B,0))="","",INDEX(Roster!$J:$J,MATCH($C84,Roster!$B:$B,0))&amp;""),"—"))</f>
        <v/>
      </c>
      <c r="L84">
        <f>IF($C84="","",IFERROR(IF(INDEX(Roster!$K:$K,MATCH($C84,Roster!$B:$B,0))="","",INDEX(Roster!$K:$K,MATCH($C84,Roster!$B:$B,0))&amp;""),"—"))</f>
        <v/>
      </c>
      <c r="M84" s="27" t="n"/>
      <c r="N84" s="27" t="n"/>
      <c r="O84" s="25">
        <f>IF($C84="","",IF($P84="","—",IF($P84="Valid (Pass)","Valid","Invalid")))</f>
        <v/>
      </c>
      <c r="P84" s="27" t="n"/>
      <c r="Q84" s="27" t="n"/>
      <c r="R84" s="27" t="n"/>
      <c r="S84" s="27" t="n"/>
      <c r="T84" s="25">
        <f>IF($C84="","",IF(OR(ISNUMBER(SEARCH("quick case",$P84)),ISNUMBER(SEARCH("quick case",$Q84))),"Yes","No"))</f>
        <v/>
      </c>
      <c r="U84" s="25">
        <f>IF($O84="Invalid",HYPERLINK("mailto:"&amp;$G84&amp;";"&amp;$I84&amp;"?cc="&amp;Lists!$E$2&amp;"&amp;subject="&amp;_xlfn.ENCODEURL("[INVALID] Quality audit monitoring completed for "&amp;UPPER($C84))&amp;"&amp;body="&amp;_xlfn.ENCODEURL("Hi "&amp;$F84&amp;","&amp;CHAR(10)&amp;"Good day!"&amp;CHAR(10)&amp;CHAR(10)&amp;"A quality monitoring audit has been completed for "&amp;$C84&amp;"."&amp;CHAR(10)&amp;CHAR(10)&amp;"QUALITY AUDIT DETAILS"&amp;CHAR(10)&amp;"Agent Name: "&amp;$C84&amp;" (EID "&amp;$D84&amp;")"&amp;CHAR(10)&amp;"Audit Date: "&amp;TEXT($B84,"yyyy-mm-dd")&amp;CHAR(10)&amp;"Team Leader: "&amp;$F84&amp;CHAR(10)&amp;"Case Number: "&amp;$M84&amp;CHAR(10)&amp;"Transaction ID: "&amp;$N84&amp;CHAR(10)&amp;"Channel / LOB: "&amp;$K84&amp;" / "&amp;$L84&amp;CHAR(10)&amp;"Evaluator: "&amp;$S84&amp;CHAR(10)&amp;CHAR(10)&amp;"INVALID QUALITY AUDIT DETAILS"&amp;CHAR(10)&amp;"Validation: Invalid"&amp;CHAR(10)&amp;"Invalid Reason: "&amp;$P84&amp;CHAR(10)&amp;"Expected Resolution Code: "&amp;$Q84&amp;CHAR(10)&amp;"Remarks: "&amp;LEFT($R84,600)&amp;CHAR(10)&amp;CHAR(10)&amp;"This is an automated notification from HP Mainstream EQMS."),"✉ Open Email Draft"),"")</f>
        <v/>
      </c>
    </row>
    <row r="85">
      <c r="A85" s="25">
        <f>IF($C85="","","AUD-2026-"&amp;TEXT(ROW()-1,"000000"))</f>
        <v/>
      </c>
      <c r="B85" s="26" t="n"/>
      <c r="C85" s="27" t="n"/>
      <c r="D85" s="25">
        <f>IF($C85="","",IFERROR(IF(INDEX(Roster!$A:$A,MATCH($C85,Roster!$B:$B,0))="","",INDEX(Roster!$A:$A,MATCH($C85,Roster!$B:$B,0))&amp;""),"—"))</f>
        <v/>
      </c>
      <c r="E85" s="25">
        <f>IF($C85="","",IFERROR(IF(INDEX(Roster!$C:$C,MATCH($C85,Roster!$B:$B,0))="","",INDEX(Roster!$C:$C,MATCH($C85,Roster!$B:$B,0))&amp;""),"—"))</f>
        <v/>
      </c>
      <c r="F85" s="25">
        <f>IF($C85="","",IFERROR(IF(INDEX(Roster!$D:$D,MATCH($C85,Roster!$B:$B,0))="","",INDEX(Roster!$D:$D,MATCH($C85,Roster!$B:$B,0))&amp;""),"—"))</f>
        <v/>
      </c>
      <c r="G85" s="25">
        <f>IF($C85="","",IFERROR(IF(INDEX(Roster!$E:$E,MATCH($C85,Roster!$B:$B,0))="","",INDEX(Roster!$E:$E,MATCH($C85,Roster!$B:$B,0))&amp;""),"—"))</f>
        <v/>
      </c>
      <c r="H85" s="25">
        <f>IF($C85="","",IFERROR(IF(INDEX(Roster!$F:$F,MATCH($C85,Roster!$B:$B,0))="","",INDEX(Roster!$F:$F,MATCH($C85,Roster!$B:$B,0))&amp;""),"—"))</f>
        <v/>
      </c>
      <c r="I85" s="25">
        <f>IF($C85="","",IFERROR(IF(INDEX(Roster!$G:$G,MATCH($C85,Roster!$B:$B,0))="","",INDEX(Roster!$G:$G,MATCH($C85,Roster!$B:$B,0))&amp;""),"—"))</f>
        <v/>
      </c>
      <c r="J85" s="25">
        <f>IF($C85="","",IFERROR(IF(INDEX(Roster!$I:$I,MATCH($C85,Roster!$B:$B,0))="","",INDEX(Roster!$I:$I,MATCH($C85,Roster!$B:$B,0))&amp;""),"—"))</f>
        <v/>
      </c>
      <c r="K85">
        <f>IF($C85="","",IFERROR(IF(INDEX(Roster!$J:$J,MATCH($C85,Roster!$B:$B,0))="","",INDEX(Roster!$J:$J,MATCH($C85,Roster!$B:$B,0))&amp;""),"—"))</f>
        <v/>
      </c>
      <c r="L85">
        <f>IF($C85="","",IFERROR(IF(INDEX(Roster!$K:$K,MATCH($C85,Roster!$B:$B,0))="","",INDEX(Roster!$K:$K,MATCH($C85,Roster!$B:$B,0))&amp;""),"—"))</f>
        <v/>
      </c>
      <c r="M85" s="27" t="n"/>
      <c r="N85" s="27" t="n"/>
      <c r="O85" s="25">
        <f>IF($C85="","",IF($P85="","—",IF($P85="Valid (Pass)","Valid","Invalid")))</f>
        <v/>
      </c>
      <c r="P85" s="27" t="n"/>
      <c r="Q85" s="27" t="n"/>
      <c r="R85" s="27" t="n"/>
      <c r="S85" s="27" t="n"/>
      <c r="T85" s="25">
        <f>IF($C85="","",IF(OR(ISNUMBER(SEARCH("quick case",$P85)),ISNUMBER(SEARCH("quick case",$Q85))),"Yes","No"))</f>
        <v/>
      </c>
      <c r="U85" s="25">
        <f>IF($O85="Invalid",HYPERLINK("mailto:"&amp;$G85&amp;";"&amp;$I85&amp;"?cc="&amp;Lists!$E$2&amp;"&amp;subject="&amp;_xlfn.ENCODEURL("[INVALID] Quality audit monitoring completed for "&amp;UPPER($C85))&amp;"&amp;body="&amp;_xlfn.ENCODEURL("Hi "&amp;$F85&amp;","&amp;CHAR(10)&amp;"Good day!"&amp;CHAR(10)&amp;CHAR(10)&amp;"A quality monitoring audit has been completed for "&amp;$C85&amp;"."&amp;CHAR(10)&amp;CHAR(10)&amp;"QUALITY AUDIT DETAILS"&amp;CHAR(10)&amp;"Agent Name: "&amp;$C85&amp;" (EID "&amp;$D85&amp;")"&amp;CHAR(10)&amp;"Audit Date: "&amp;TEXT($B85,"yyyy-mm-dd")&amp;CHAR(10)&amp;"Team Leader: "&amp;$F85&amp;CHAR(10)&amp;"Case Number: "&amp;$M85&amp;CHAR(10)&amp;"Transaction ID: "&amp;$N85&amp;CHAR(10)&amp;"Channel / LOB: "&amp;$K85&amp;" / "&amp;$L85&amp;CHAR(10)&amp;"Evaluator: "&amp;$S85&amp;CHAR(10)&amp;CHAR(10)&amp;"INVALID QUALITY AUDIT DETAILS"&amp;CHAR(10)&amp;"Validation: Invalid"&amp;CHAR(10)&amp;"Invalid Reason: "&amp;$P85&amp;CHAR(10)&amp;"Expected Resolution Code: "&amp;$Q85&amp;CHAR(10)&amp;"Remarks: "&amp;LEFT($R85,600)&amp;CHAR(10)&amp;CHAR(10)&amp;"This is an automated notification from HP Mainstream EQMS."),"✉ Open Email Draft"),"")</f>
        <v/>
      </c>
    </row>
    <row r="86">
      <c r="A86" s="25">
        <f>IF($C86="","","AUD-2026-"&amp;TEXT(ROW()-1,"000000"))</f>
        <v/>
      </c>
      <c r="B86" s="26" t="n"/>
      <c r="C86" s="27" t="n"/>
      <c r="D86" s="25">
        <f>IF($C86="","",IFERROR(IF(INDEX(Roster!$A:$A,MATCH($C86,Roster!$B:$B,0))="","",INDEX(Roster!$A:$A,MATCH($C86,Roster!$B:$B,0))&amp;""),"—"))</f>
        <v/>
      </c>
      <c r="E86" s="25">
        <f>IF($C86="","",IFERROR(IF(INDEX(Roster!$C:$C,MATCH($C86,Roster!$B:$B,0))="","",INDEX(Roster!$C:$C,MATCH($C86,Roster!$B:$B,0))&amp;""),"—"))</f>
        <v/>
      </c>
      <c r="F86" s="25">
        <f>IF($C86="","",IFERROR(IF(INDEX(Roster!$D:$D,MATCH($C86,Roster!$B:$B,0))="","",INDEX(Roster!$D:$D,MATCH($C86,Roster!$B:$B,0))&amp;""),"—"))</f>
        <v/>
      </c>
      <c r="G86" s="25">
        <f>IF($C86="","",IFERROR(IF(INDEX(Roster!$E:$E,MATCH($C86,Roster!$B:$B,0))="","",INDEX(Roster!$E:$E,MATCH($C86,Roster!$B:$B,0))&amp;""),"—"))</f>
        <v/>
      </c>
      <c r="H86" s="25">
        <f>IF($C86="","",IFERROR(IF(INDEX(Roster!$F:$F,MATCH($C86,Roster!$B:$B,0))="","",INDEX(Roster!$F:$F,MATCH($C86,Roster!$B:$B,0))&amp;""),"—"))</f>
        <v/>
      </c>
      <c r="I86" s="25">
        <f>IF($C86="","",IFERROR(IF(INDEX(Roster!$G:$G,MATCH($C86,Roster!$B:$B,0))="","",INDEX(Roster!$G:$G,MATCH($C86,Roster!$B:$B,0))&amp;""),"—"))</f>
        <v/>
      </c>
      <c r="J86" s="25">
        <f>IF($C86="","",IFERROR(IF(INDEX(Roster!$I:$I,MATCH($C86,Roster!$B:$B,0))="","",INDEX(Roster!$I:$I,MATCH($C86,Roster!$B:$B,0))&amp;""),"—"))</f>
        <v/>
      </c>
      <c r="K86">
        <f>IF($C86="","",IFERROR(IF(INDEX(Roster!$J:$J,MATCH($C86,Roster!$B:$B,0))="","",INDEX(Roster!$J:$J,MATCH($C86,Roster!$B:$B,0))&amp;""),"—"))</f>
        <v/>
      </c>
      <c r="L86">
        <f>IF($C86="","",IFERROR(IF(INDEX(Roster!$K:$K,MATCH($C86,Roster!$B:$B,0))="","",INDEX(Roster!$K:$K,MATCH($C86,Roster!$B:$B,0))&amp;""),"—"))</f>
        <v/>
      </c>
      <c r="M86" s="27" t="n"/>
      <c r="N86" s="27" t="n"/>
      <c r="O86" s="25">
        <f>IF($C86="","",IF($P86="","—",IF($P86="Valid (Pass)","Valid","Invalid")))</f>
        <v/>
      </c>
      <c r="P86" s="27" t="n"/>
      <c r="Q86" s="27" t="n"/>
      <c r="R86" s="27" t="n"/>
      <c r="S86" s="27" t="n"/>
      <c r="T86" s="25">
        <f>IF($C86="","",IF(OR(ISNUMBER(SEARCH("quick case",$P86)),ISNUMBER(SEARCH("quick case",$Q86))),"Yes","No"))</f>
        <v/>
      </c>
      <c r="U86" s="25">
        <f>IF($O86="Invalid",HYPERLINK("mailto:"&amp;$G86&amp;";"&amp;$I86&amp;"?cc="&amp;Lists!$E$2&amp;"&amp;subject="&amp;_xlfn.ENCODEURL("[INVALID] Quality audit monitoring completed for "&amp;UPPER($C86))&amp;"&amp;body="&amp;_xlfn.ENCODEURL("Hi "&amp;$F86&amp;","&amp;CHAR(10)&amp;"Good day!"&amp;CHAR(10)&amp;CHAR(10)&amp;"A quality monitoring audit has been completed for "&amp;$C86&amp;"."&amp;CHAR(10)&amp;CHAR(10)&amp;"QUALITY AUDIT DETAILS"&amp;CHAR(10)&amp;"Agent Name: "&amp;$C86&amp;" (EID "&amp;$D86&amp;")"&amp;CHAR(10)&amp;"Audit Date: "&amp;TEXT($B86,"yyyy-mm-dd")&amp;CHAR(10)&amp;"Team Leader: "&amp;$F86&amp;CHAR(10)&amp;"Case Number: "&amp;$M86&amp;CHAR(10)&amp;"Transaction ID: "&amp;$N86&amp;CHAR(10)&amp;"Channel / LOB: "&amp;$K86&amp;" / "&amp;$L86&amp;CHAR(10)&amp;"Evaluator: "&amp;$S86&amp;CHAR(10)&amp;CHAR(10)&amp;"INVALID QUALITY AUDIT DETAILS"&amp;CHAR(10)&amp;"Validation: Invalid"&amp;CHAR(10)&amp;"Invalid Reason: "&amp;$P86&amp;CHAR(10)&amp;"Expected Resolution Code: "&amp;$Q86&amp;CHAR(10)&amp;"Remarks: "&amp;LEFT($R86,600)&amp;CHAR(10)&amp;CHAR(10)&amp;"This is an automated notification from HP Mainstream EQMS."),"✉ Open Email Draft"),"")</f>
        <v/>
      </c>
    </row>
    <row r="87">
      <c r="A87" s="25">
        <f>IF($C87="","","AUD-2026-"&amp;TEXT(ROW()-1,"000000"))</f>
        <v/>
      </c>
      <c r="B87" s="26" t="n"/>
      <c r="C87" s="27" t="n"/>
      <c r="D87" s="25">
        <f>IF($C87="","",IFERROR(IF(INDEX(Roster!$A:$A,MATCH($C87,Roster!$B:$B,0))="","",INDEX(Roster!$A:$A,MATCH($C87,Roster!$B:$B,0))&amp;""),"—"))</f>
        <v/>
      </c>
      <c r="E87" s="25">
        <f>IF($C87="","",IFERROR(IF(INDEX(Roster!$C:$C,MATCH($C87,Roster!$B:$B,0))="","",INDEX(Roster!$C:$C,MATCH($C87,Roster!$B:$B,0))&amp;""),"—"))</f>
        <v/>
      </c>
      <c r="F87" s="25">
        <f>IF($C87="","",IFERROR(IF(INDEX(Roster!$D:$D,MATCH($C87,Roster!$B:$B,0))="","",INDEX(Roster!$D:$D,MATCH($C87,Roster!$B:$B,0))&amp;""),"—"))</f>
        <v/>
      </c>
      <c r="G87" s="25">
        <f>IF($C87="","",IFERROR(IF(INDEX(Roster!$E:$E,MATCH($C87,Roster!$B:$B,0))="","",INDEX(Roster!$E:$E,MATCH($C87,Roster!$B:$B,0))&amp;""),"—"))</f>
        <v/>
      </c>
      <c r="H87" s="25">
        <f>IF($C87="","",IFERROR(IF(INDEX(Roster!$F:$F,MATCH($C87,Roster!$B:$B,0))="","",INDEX(Roster!$F:$F,MATCH($C87,Roster!$B:$B,0))&amp;""),"—"))</f>
        <v/>
      </c>
      <c r="I87" s="25">
        <f>IF($C87="","",IFERROR(IF(INDEX(Roster!$G:$G,MATCH($C87,Roster!$B:$B,0))="","",INDEX(Roster!$G:$G,MATCH($C87,Roster!$B:$B,0))&amp;""),"—"))</f>
        <v/>
      </c>
      <c r="J87" s="25">
        <f>IF($C87="","",IFERROR(IF(INDEX(Roster!$I:$I,MATCH($C87,Roster!$B:$B,0))="","",INDEX(Roster!$I:$I,MATCH($C87,Roster!$B:$B,0))&amp;""),"—"))</f>
        <v/>
      </c>
      <c r="K87">
        <f>IF($C87="","",IFERROR(IF(INDEX(Roster!$J:$J,MATCH($C87,Roster!$B:$B,0))="","",INDEX(Roster!$J:$J,MATCH($C87,Roster!$B:$B,0))&amp;""),"—"))</f>
        <v/>
      </c>
      <c r="L87">
        <f>IF($C87="","",IFERROR(IF(INDEX(Roster!$K:$K,MATCH($C87,Roster!$B:$B,0))="","",INDEX(Roster!$K:$K,MATCH($C87,Roster!$B:$B,0))&amp;""),"—"))</f>
        <v/>
      </c>
      <c r="M87" s="27" t="n"/>
      <c r="N87" s="27" t="n"/>
      <c r="O87" s="25">
        <f>IF($C87="","",IF($P87="","—",IF($P87="Valid (Pass)","Valid","Invalid")))</f>
        <v/>
      </c>
      <c r="P87" s="27" t="n"/>
      <c r="Q87" s="27" t="n"/>
      <c r="R87" s="27" t="n"/>
      <c r="S87" s="27" t="n"/>
      <c r="T87" s="25">
        <f>IF($C87="","",IF(OR(ISNUMBER(SEARCH("quick case",$P87)),ISNUMBER(SEARCH("quick case",$Q87))),"Yes","No"))</f>
        <v/>
      </c>
      <c r="U87" s="25">
        <f>IF($O87="Invalid",HYPERLINK("mailto:"&amp;$G87&amp;";"&amp;$I87&amp;"?cc="&amp;Lists!$E$2&amp;"&amp;subject="&amp;_xlfn.ENCODEURL("[INVALID] Quality audit monitoring completed for "&amp;UPPER($C87))&amp;"&amp;body="&amp;_xlfn.ENCODEURL("Hi "&amp;$F87&amp;","&amp;CHAR(10)&amp;"Good day!"&amp;CHAR(10)&amp;CHAR(10)&amp;"A quality monitoring audit has been completed for "&amp;$C87&amp;"."&amp;CHAR(10)&amp;CHAR(10)&amp;"QUALITY AUDIT DETAILS"&amp;CHAR(10)&amp;"Agent Name: "&amp;$C87&amp;" (EID "&amp;$D87&amp;")"&amp;CHAR(10)&amp;"Audit Date: "&amp;TEXT($B87,"yyyy-mm-dd")&amp;CHAR(10)&amp;"Team Leader: "&amp;$F87&amp;CHAR(10)&amp;"Case Number: "&amp;$M87&amp;CHAR(10)&amp;"Transaction ID: "&amp;$N87&amp;CHAR(10)&amp;"Channel / LOB: "&amp;$K87&amp;" / "&amp;$L87&amp;CHAR(10)&amp;"Evaluator: "&amp;$S87&amp;CHAR(10)&amp;CHAR(10)&amp;"INVALID QUALITY AUDIT DETAILS"&amp;CHAR(10)&amp;"Validation: Invalid"&amp;CHAR(10)&amp;"Invalid Reason: "&amp;$P87&amp;CHAR(10)&amp;"Expected Resolution Code: "&amp;$Q87&amp;CHAR(10)&amp;"Remarks: "&amp;LEFT($R87,600)&amp;CHAR(10)&amp;CHAR(10)&amp;"This is an automated notification from HP Mainstream EQMS."),"✉ Open Email Draft"),"")</f>
        <v/>
      </c>
    </row>
    <row r="88">
      <c r="A88" s="25">
        <f>IF($C88="","","AUD-2026-"&amp;TEXT(ROW()-1,"000000"))</f>
        <v/>
      </c>
      <c r="B88" s="26" t="n"/>
      <c r="C88" s="27" t="n"/>
      <c r="D88" s="25">
        <f>IF($C88="","",IFERROR(IF(INDEX(Roster!$A:$A,MATCH($C88,Roster!$B:$B,0))="","",INDEX(Roster!$A:$A,MATCH($C88,Roster!$B:$B,0))&amp;""),"—"))</f>
        <v/>
      </c>
      <c r="E88" s="25">
        <f>IF($C88="","",IFERROR(IF(INDEX(Roster!$C:$C,MATCH($C88,Roster!$B:$B,0))="","",INDEX(Roster!$C:$C,MATCH($C88,Roster!$B:$B,0))&amp;""),"—"))</f>
        <v/>
      </c>
      <c r="F88" s="25">
        <f>IF($C88="","",IFERROR(IF(INDEX(Roster!$D:$D,MATCH($C88,Roster!$B:$B,0))="","",INDEX(Roster!$D:$D,MATCH($C88,Roster!$B:$B,0))&amp;""),"—"))</f>
        <v/>
      </c>
      <c r="G88" s="25">
        <f>IF($C88="","",IFERROR(IF(INDEX(Roster!$E:$E,MATCH($C88,Roster!$B:$B,0))="","",INDEX(Roster!$E:$E,MATCH($C88,Roster!$B:$B,0))&amp;""),"—"))</f>
        <v/>
      </c>
      <c r="H88" s="25">
        <f>IF($C88="","",IFERROR(IF(INDEX(Roster!$F:$F,MATCH($C88,Roster!$B:$B,0))="","",INDEX(Roster!$F:$F,MATCH($C88,Roster!$B:$B,0))&amp;""),"—"))</f>
        <v/>
      </c>
      <c r="I88" s="25">
        <f>IF($C88="","",IFERROR(IF(INDEX(Roster!$G:$G,MATCH($C88,Roster!$B:$B,0))="","",INDEX(Roster!$G:$G,MATCH($C88,Roster!$B:$B,0))&amp;""),"—"))</f>
        <v/>
      </c>
      <c r="J88" s="25">
        <f>IF($C88="","",IFERROR(IF(INDEX(Roster!$I:$I,MATCH($C88,Roster!$B:$B,0))="","",INDEX(Roster!$I:$I,MATCH($C88,Roster!$B:$B,0))&amp;""),"—"))</f>
        <v/>
      </c>
      <c r="K88">
        <f>IF($C88="","",IFERROR(IF(INDEX(Roster!$J:$J,MATCH($C88,Roster!$B:$B,0))="","",INDEX(Roster!$J:$J,MATCH($C88,Roster!$B:$B,0))&amp;""),"—"))</f>
        <v/>
      </c>
      <c r="L88">
        <f>IF($C88="","",IFERROR(IF(INDEX(Roster!$K:$K,MATCH($C88,Roster!$B:$B,0))="","",INDEX(Roster!$K:$K,MATCH($C88,Roster!$B:$B,0))&amp;""),"—"))</f>
        <v/>
      </c>
      <c r="M88" s="27" t="n"/>
      <c r="N88" s="27" t="n"/>
      <c r="O88" s="25">
        <f>IF($C88="","",IF($P88="","—",IF($P88="Valid (Pass)","Valid","Invalid")))</f>
        <v/>
      </c>
      <c r="P88" s="27" t="n"/>
      <c r="Q88" s="27" t="n"/>
      <c r="R88" s="27" t="n"/>
      <c r="S88" s="27" t="n"/>
      <c r="T88" s="25">
        <f>IF($C88="","",IF(OR(ISNUMBER(SEARCH("quick case",$P88)),ISNUMBER(SEARCH("quick case",$Q88))),"Yes","No"))</f>
        <v/>
      </c>
      <c r="U88" s="25">
        <f>IF($O88="Invalid",HYPERLINK("mailto:"&amp;$G88&amp;";"&amp;$I88&amp;"?cc="&amp;Lists!$E$2&amp;"&amp;subject="&amp;_xlfn.ENCODEURL("[INVALID] Quality audit monitoring completed for "&amp;UPPER($C88))&amp;"&amp;body="&amp;_xlfn.ENCODEURL("Hi "&amp;$F88&amp;","&amp;CHAR(10)&amp;"Good day!"&amp;CHAR(10)&amp;CHAR(10)&amp;"A quality monitoring audit has been completed for "&amp;$C88&amp;"."&amp;CHAR(10)&amp;CHAR(10)&amp;"QUALITY AUDIT DETAILS"&amp;CHAR(10)&amp;"Agent Name: "&amp;$C88&amp;" (EID "&amp;$D88&amp;")"&amp;CHAR(10)&amp;"Audit Date: "&amp;TEXT($B88,"yyyy-mm-dd")&amp;CHAR(10)&amp;"Team Leader: "&amp;$F88&amp;CHAR(10)&amp;"Case Number: "&amp;$M88&amp;CHAR(10)&amp;"Transaction ID: "&amp;$N88&amp;CHAR(10)&amp;"Channel / LOB: "&amp;$K88&amp;" / "&amp;$L88&amp;CHAR(10)&amp;"Evaluator: "&amp;$S88&amp;CHAR(10)&amp;CHAR(10)&amp;"INVALID QUALITY AUDIT DETAILS"&amp;CHAR(10)&amp;"Validation: Invalid"&amp;CHAR(10)&amp;"Invalid Reason: "&amp;$P88&amp;CHAR(10)&amp;"Expected Resolution Code: "&amp;$Q88&amp;CHAR(10)&amp;"Remarks: "&amp;LEFT($R88,600)&amp;CHAR(10)&amp;CHAR(10)&amp;"This is an automated notification from HP Mainstream EQMS."),"✉ Open Email Draft"),"")</f>
        <v/>
      </c>
    </row>
    <row r="89">
      <c r="A89" s="25">
        <f>IF($C89="","","AUD-2026-"&amp;TEXT(ROW()-1,"000000"))</f>
        <v/>
      </c>
      <c r="B89" s="26" t="n"/>
      <c r="C89" s="27" t="n"/>
      <c r="D89" s="25">
        <f>IF($C89="","",IFERROR(IF(INDEX(Roster!$A:$A,MATCH($C89,Roster!$B:$B,0))="","",INDEX(Roster!$A:$A,MATCH($C89,Roster!$B:$B,0))&amp;""),"—"))</f>
        <v/>
      </c>
      <c r="E89" s="25">
        <f>IF($C89="","",IFERROR(IF(INDEX(Roster!$C:$C,MATCH($C89,Roster!$B:$B,0))="","",INDEX(Roster!$C:$C,MATCH($C89,Roster!$B:$B,0))&amp;""),"—"))</f>
        <v/>
      </c>
      <c r="F89" s="25">
        <f>IF($C89="","",IFERROR(IF(INDEX(Roster!$D:$D,MATCH($C89,Roster!$B:$B,0))="","",INDEX(Roster!$D:$D,MATCH($C89,Roster!$B:$B,0))&amp;""),"—"))</f>
        <v/>
      </c>
      <c r="G89" s="25">
        <f>IF($C89="","",IFERROR(IF(INDEX(Roster!$E:$E,MATCH($C89,Roster!$B:$B,0))="","",INDEX(Roster!$E:$E,MATCH($C89,Roster!$B:$B,0))&amp;""),"—"))</f>
        <v/>
      </c>
      <c r="H89" s="25">
        <f>IF($C89="","",IFERROR(IF(INDEX(Roster!$F:$F,MATCH($C89,Roster!$B:$B,0))="","",INDEX(Roster!$F:$F,MATCH($C89,Roster!$B:$B,0))&amp;""),"—"))</f>
        <v/>
      </c>
      <c r="I89" s="25">
        <f>IF($C89="","",IFERROR(IF(INDEX(Roster!$G:$G,MATCH($C89,Roster!$B:$B,0))="","",INDEX(Roster!$G:$G,MATCH($C89,Roster!$B:$B,0))&amp;""),"—"))</f>
        <v/>
      </c>
      <c r="J89" s="25">
        <f>IF($C89="","",IFERROR(IF(INDEX(Roster!$I:$I,MATCH($C89,Roster!$B:$B,0))="","",INDEX(Roster!$I:$I,MATCH($C89,Roster!$B:$B,0))&amp;""),"—"))</f>
        <v/>
      </c>
      <c r="K89">
        <f>IF($C89="","",IFERROR(IF(INDEX(Roster!$J:$J,MATCH($C89,Roster!$B:$B,0))="","",INDEX(Roster!$J:$J,MATCH($C89,Roster!$B:$B,0))&amp;""),"—"))</f>
        <v/>
      </c>
      <c r="L89">
        <f>IF($C89="","",IFERROR(IF(INDEX(Roster!$K:$K,MATCH($C89,Roster!$B:$B,0))="","",INDEX(Roster!$K:$K,MATCH($C89,Roster!$B:$B,0))&amp;""),"—"))</f>
        <v/>
      </c>
      <c r="M89" s="27" t="n"/>
      <c r="N89" s="27" t="n"/>
      <c r="O89" s="25">
        <f>IF($C89="","",IF($P89="","—",IF($P89="Valid (Pass)","Valid","Invalid")))</f>
        <v/>
      </c>
      <c r="P89" s="27" t="n"/>
      <c r="Q89" s="27" t="n"/>
      <c r="R89" s="27" t="n"/>
      <c r="S89" s="27" t="n"/>
      <c r="T89" s="25">
        <f>IF($C89="","",IF(OR(ISNUMBER(SEARCH("quick case",$P89)),ISNUMBER(SEARCH("quick case",$Q89))),"Yes","No"))</f>
        <v/>
      </c>
      <c r="U89" s="25">
        <f>IF($O89="Invalid",HYPERLINK("mailto:"&amp;$G89&amp;";"&amp;$I89&amp;"?cc="&amp;Lists!$E$2&amp;"&amp;subject="&amp;_xlfn.ENCODEURL("[INVALID] Quality audit monitoring completed for "&amp;UPPER($C89))&amp;"&amp;body="&amp;_xlfn.ENCODEURL("Hi "&amp;$F89&amp;","&amp;CHAR(10)&amp;"Good day!"&amp;CHAR(10)&amp;CHAR(10)&amp;"A quality monitoring audit has been completed for "&amp;$C89&amp;"."&amp;CHAR(10)&amp;CHAR(10)&amp;"QUALITY AUDIT DETAILS"&amp;CHAR(10)&amp;"Agent Name: "&amp;$C89&amp;" (EID "&amp;$D89&amp;")"&amp;CHAR(10)&amp;"Audit Date: "&amp;TEXT($B89,"yyyy-mm-dd")&amp;CHAR(10)&amp;"Team Leader: "&amp;$F89&amp;CHAR(10)&amp;"Case Number: "&amp;$M89&amp;CHAR(10)&amp;"Transaction ID: "&amp;$N89&amp;CHAR(10)&amp;"Channel / LOB: "&amp;$K89&amp;" / "&amp;$L89&amp;CHAR(10)&amp;"Evaluator: "&amp;$S89&amp;CHAR(10)&amp;CHAR(10)&amp;"INVALID QUALITY AUDIT DETAILS"&amp;CHAR(10)&amp;"Validation: Invalid"&amp;CHAR(10)&amp;"Invalid Reason: "&amp;$P89&amp;CHAR(10)&amp;"Expected Resolution Code: "&amp;$Q89&amp;CHAR(10)&amp;"Remarks: "&amp;LEFT($R89,600)&amp;CHAR(10)&amp;CHAR(10)&amp;"This is an automated notification from HP Mainstream EQMS."),"✉ Open Email Draft"),"")</f>
        <v/>
      </c>
    </row>
    <row r="90">
      <c r="A90" s="25">
        <f>IF($C90="","","AUD-2026-"&amp;TEXT(ROW()-1,"000000"))</f>
        <v/>
      </c>
      <c r="B90" s="26" t="n"/>
      <c r="C90" s="27" t="n"/>
      <c r="D90" s="25">
        <f>IF($C90="","",IFERROR(IF(INDEX(Roster!$A:$A,MATCH($C90,Roster!$B:$B,0))="","",INDEX(Roster!$A:$A,MATCH($C90,Roster!$B:$B,0))&amp;""),"—"))</f>
        <v/>
      </c>
      <c r="E90" s="25">
        <f>IF($C90="","",IFERROR(IF(INDEX(Roster!$C:$C,MATCH($C90,Roster!$B:$B,0))="","",INDEX(Roster!$C:$C,MATCH($C90,Roster!$B:$B,0))&amp;""),"—"))</f>
        <v/>
      </c>
      <c r="F90" s="25">
        <f>IF($C90="","",IFERROR(IF(INDEX(Roster!$D:$D,MATCH($C90,Roster!$B:$B,0))="","",INDEX(Roster!$D:$D,MATCH($C90,Roster!$B:$B,0))&amp;""),"—"))</f>
        <v/>
      </c>
      <c r="G90" s="25">
        <f>IF($C90="","",IFERROR(IF(INDEX(Roster!$E:$E,MATCH($C90,Roster!$B:$B,0))="","",INDEX(Roster!$E:$E,MATCH($C90,Roster!$B:$B,0))&amp;""),"—"))</f>
        <v/>
      </c>
      <c r="H90" s="25">
        <f>IF($C90="","",IFERROR(IF(INDEX(Roster!$F:$F,MATCH($C90,Roster!$B:$B,0))="","",INDEX(Roster!$F:$F,MATCH($C90,Roster!$B:$B,0))&amp;""),"—"))</f>
        <v/>
      </c>
      <c r="I90" s="25">
        <f>IF($C90="","",IFERROR(IF(INDEX(Roster!$G:$G,MATCH($C90,Roster!$B:$B,0))="","",INDEX(Roster!$G:$G,MATCH($C90,Roster!$B:$B,0))&amp;""),"—"))</f>
        <v/>
      </c>
      <c r="J90" s="25">
        <f>IF($C90="","",IFERROR(IF(INDEX(Roster!$I:$I,MATCH($C90,Roster!$B:$B,0))="","",INDEX(Roster!$I:$I,MATCH($C90,Roster!$B:$B,0))&amp;""),"—"))</f>
        <v/>
      </c>
      <c r="K90">
        <f>IF($C90="","",IFERROR(IF(INDEX(Roster!$J:$J,MATCH($C90,Roster!$B:$B,0))="","",INDEX(Roster!$J:$J,MATCH($C90,Roster!$B:$B,0))&amp;""),"—"))</f>
        <v/>
      </c>
      <c r="L90">
        <f>IF($C90="","",IFERROR(IF(INDEX(Roster!$K:$K,MATCH($C90,Roster!$B:$B,0))="","",INDEX(Roster!$K:$K,MATCH($C90,Roster!$B:$B,0))&amp;""),"—"))</f>
        <v/>
      </c>
      <c r="M90" s="27" t="n"/>
      <c r="N90" s="27" t="n"/>
      <c r="O90" s="25">
        <f>IF($C90="","",IF($P90="","—",IF($P90="Valid (Pass)","Valid","Invalid")))</f>
        <v/>
      </c>
      <c r="P90" s="27" t="n"/>
      <c r="Q90" s="27" t="n"/>
      <c r="R90" s="27" t="n"/>
      <c r="S90" s="27" t="n"/>
      <c r="T90" s="25">
        <f>IF($C90="","",IF(OR(ISNUMBER(SEARCH("quick case",$P90)),ISNUMBER(SEARCH("quick case",$Q90))),"Yes","No"))</f>
        <v/>
      </c>
      <c r="U90" s="25">
        <f>IF($O90="Invalid",HYPERLINK("mailto:"&amp;$G90&amp;";"&amp;$I90&amp;"?cc="&amp;Lists!$E$2&amp;"&amp;subject="&amp;_xlfn.ENCODEURL("[INVALID] Quality audit monitoring completed for "&amp;UPPER($C90))&amp;"&amp;body="&amp;_xlfn.ENCODEURL("Hi "&amp;$F90&amp;","&amp;CHAR(10)&amp;"Good day!"&amp;CHAR(10)&amp;CHAR(10)&amp;"A quality monitoring audit has been completed for "&amp;$C90&amp;"."&amp;CHAR(10)&amp;CHAR(10)&amp;"QUALITY AUDIT DETAILS"&amp;CHAR(10)&amp;"Agent Name: "&amp;$C90&amp;" (EID "&amp;$D90&amp;")"&amp;CHAR(10)&amp;"Audit Date: "&amp;TEXT($B90,"yyyy-mm-dd")&amp;CHAR(10)&amp;"Team Leader: "&amp;$F90&amp;CHAR(10)&amp;"Case Number: "&amp;$M90&amp;CHAR(10)&amp;"Transaction ID: "&amp;$N90&amp;CHAR(10)&amp;"Channel / LOB: "&amp;$K90&amp;" / "&amp;$L90&amp;CHAR(10)&amp;"Evaluator: "&amp;$S90&amp;CHAR(10)&amp;CHAR(10)&amp;"INVALID QUALITY AUDIT DETAILS"&amp;CHAR(10)&amp;"Validation: Invalid"&amp;CHAR(10)&amp;"Invalid Reason: "&amp;$P90&amp;CHAR(10)&amp;"Expected Resolution Code: "&amp;$Q90&amp;CHAR(10)&amp;"Remarks: "&amp;LEFT($R90,600)&amp;CHAR(10)&amp;CHAR(10)&amp;"This is an automated notification from HP Mainstream EQMS."),"✉ Open Email Draft"),"")</f>
        <v/>
      </c>
    </row>
    <row r="91">
      <c r="A91" s="25">
        <f>IF($C91="","","AUD-2026-"&amp;TEXT(ROW()-1,"000000"))</f>
        <v/>
      </c>
      <c r="B91" s="26" t="n"/>
      <c r="C91" s="27" t="n"/>
      <c r="D91" s="25">
        <f>IF($C91="","",IFERROR(IF(INDEX(Roster!$A:$A,MATCH($C91,Roster!$B:$B,0))="","",INDEX(Roster!$A:$A,MATCH($C91,Roster!$B:$B,0))&amp;""),"—"))</f>
        <v/>
      </c>
      <c r="E91" s="25">
        <f>IF($C91="","",IFERROR(IF(INDEX(Roster!$C:$C,MATCH($C91,Roster!$B:$B,0))="","",INDEX(Roster!$C:$C,MATCH($C91,Roster!$B:$B,0))&amp;""),"—"))</f>
        <v/>
      </c>
      <c r="F91" s="25">
        <f>IF($C91="","",IFERROR(IF(INDEX(Roster!$D:$D,MATCH($C91,Roster!$B:$B,0))="","",INDEX(Roster!$D:$D,MATCH($C91,Roster!$B:$B,0))&amp;""),"—"))</f>
        <v/>
      </c>
      <c r="G91" s="25">
        <f>IF($C91="","",IFERROR(IF(INDEX(Roster!$E:$E,MATCH($C91,Roster!$B:$B,0))="","",INDEX(Roster!$E:$E,MATCH($C91,Roster!$B:$B,0))&amp;""),"—"))</f>
        <v/>
      </c>
      <c r="H91" s="25">
        <f>IF($C91="","",IFERROR(IF(INDEX(Roster!$F:$F,MATCH($C91,Roster!$B:$B,0))="","",INDEX(Roster!$F:$F,MATCH($C91,Roster!$B:$B,0))&amp;""),"—"))</f>
        <v/>
      </c>
      <c r="I91" s="25">
        <f>IF($C91="","",IFERROR(IF(INDEX(Roster!$G:$G,MATCH($C91,Roster!$B:$B,0))="","",INDEX(Roster!$G:$G,MATCH($C91,Roster!$B:$B,0))&amp;""),"—"))</f>
        <v/>
      </c>
      <c r="J91" s="25">
        <f>IF($C91="","",IFERROR(IF(INDEX(Roster!$I:$I,MATCH($C91,Roster!$B:$B,0))="","",INDEX(Roster!$I:$I,MATCH($C91,Roster!$B:$B,0))&amp;""),"—"))</f>
        <v/>
      </c>
      <c r="K91">
        <f>IF($C91="","",IFERROR(IF(INDEX(Roster!$J:$J,MATCH($C91,Roster!$B:$B,0))="","",INDEX(Roster!$J:$J,MATCH($C91,Roster!$B:$B,0))&amp;""),"—"))</f>
        <v/>
      </c>
      <c r="L91">
        <f>IF($C91="","",IFERROR(IF(INDEX(Roster!$K:$K,MATCH($C91,Roster!$B:$B,0))="","",INDEX(Roster!$K:$K,MATCH($C91,Roster!$B:$B,0))&amp;""),"—"))</f>
        <v/>
      </c>
      <c r="M91" s="27" t="n"/>
      <c r="N91" s="27" t="n"/>
      <c r="O91" s="25">
        <f>IF($C91="","",IF($P91="","—",IF($P91="Valid (Pass)","Valid","Invalid")))</f>
        <v/>
      </c>
      <c r="P91" s="27" t="n"/>
      <c r="Q91" s="27" t="n"/>
      <c r="R91" s="27" t="n"/>
      <c r="S91" s="27" t="n"/>
      <c r="T91" s="25">
        <f>IF($C91="","",IF(OR(ISNUMBER(SEARCH("quick case",$P91)),ISNUMBER(SEARCH("quick case",$Q91))),"Yes","No"))</f>
        <v/>
      </c>
      <c r="U91" s="25">
        <f>IF($O91="Invalid",HYPERLINK("mailto:"&amp;$G91&amp;";"&amp;$I91&amp;"?cc="&amp;Lists!$E$2&amp;"&amp;subject="&amp;_xlfn.ENCODEURL("[INVALID] Quality audit monitoring completed for "&amp;UPPER($C91))&amp;"&amp;body="&amp;_xlfn.ENCODEURL("Hi "&amp;$F91&amp;","&amp;CHAR(10)&amp;"Good day!"&amp;CHAR(10)&amp;CHAR(10)&amp;"A quality monitoring audit has been completed for "&amp;$C91&amp;"."&amp;CHAR(10)&amp;CHAR(10)&amp;"QUALITY AUDIT DETAILS"&amp;CHAR(10)&amp;"Agent Name: "&amp;$C91&amp;" (EID "&amp;$D91&amp;")"&amp;CHAR(10)&amp;"Audit Date: "&amp;TEXT($B91,"yyyy-mm-dd")&amp;CHAR(10)&amp;"Team Leader: "&amp;$F91&amp;CHAR(10)&amp;"Case Number: "&amp;$M91&amp;CHAR(10)&amp;"Transaction ID: "&amp;$N91&amp;CHAR(10)&amp;"Channel / LOB: "&amp;$K91&amp;" / "&amp;$L91&amp;CHAR(10)&amp;"Evaluator: "&amp;$S91&amp;CHAR(10)&amp;CHAR(10)&amp;"INVALID QUALITY AUDIT DETAILS"&amp;CHAR(10)&amp;"Validation: Invalid"&amp;CHAR(10)&amp;"Invalid Reason: "&amp;$P91&amp;CHAR(10)&amp;"Expected Resolution Code: "&amp;$Q91&amp;CHAR(10)&amp;"Remarks: "&amp;LEFT($R91,600)&amp;CHAR(10)&amp;CHAR(10)&amp;"This is an automated notification from HP Mainstream EQMS."),"✉ Open Email Draft"),"")</f>
        <v/>
      </c>
    </row>
    <row r="92">
      <c r="A92" s="25">
        <f>IF($C92="","","AUD-2026-"&amp;TEXT(ROW()-1,"000000"))</f>
        <v/>
      </c>
      <c r="B92" s="26" t="n"/>
      <c r="C92" s="27" t="n"/>
      <c r="D92" s="25">
        <f>IF($C92="","",IFERROR(IF(INDEX(Roster!$A:$A,MATCH($C92,Roster!$B:$B,0))="","",INDEX(Roster!$A:$A,MATCH($C92,Roster!$B:$B,0))&amp;""),"—"))</f>
        <v/>
      </c>
      <c r="E92" s="25">
        <f>IF($C92="","",IFERROR(IF(INDEX(Roster!$C:$C,MATCH($C92,Roster!$B:$B,0))="","",INDEX(Roster!$C:$C,MATCH($C92,Roster!$B:$B,0))&amp;""),"—"))</f>
        <v/>
      </c>
      <c r="F92" s="25">
        <f>IF($C92="","",IFERROR(IF(INDEX(Roster!$D:$D,MATCH($C92,Roster!$B:$B,0))="","",INDEX(Roster!$D:$D,MATCH($C92,Roster!$B:$B,0))&amp;""),"—"))</f>
        <v/>
      </c>
      <c r="G92" s="25">
        <f>IF($C92="","",IFERROR(IF(INDEX(Roster!$E:$E,MATCH($C92,Roster!$B:$B,0))="","",INDEX(Roster!$E:$E,MATCH($C92,Roster!$B:$B,0))&amp;""),"—"))</f>
        <v/>
      </c>
      <c r="H92" s="25">
        <f>IF($C92="","",IFERROR(IF(INDEX(Roster!$F:$F,MATCH($C92,Roster!$B:$B,0))="","",INDEX(Roster!$F:$F,MATCH($C92,Roster!$B:$B,0))&amp;""),"—"))</f>
        <v/>
      </c>
      <c r="I92" s="25">
        <f>IF($C92="","",IFERROR(IF(INDEX(Roster!$G:$G,MATCH($C92,Roster!$B:$B,0))="","",INDEX(Roster!$G:$G,MATCH($C92,Roster!$B:$B,0))&amp;""),"—"))</f>
        <v/>
      </c>
      <c r="J92" s="25">
        <f>IF($C92="","",IFERROR(IF(INDEX(Roster!$I:$I,MATCH($C92,Roster!$B:$B,0))="","",INDEX(Roster!$I:$I,MATCH($C92,Roster!$B:$B,0))&amp;""),"—"))</f>
        <v/>
      </c>
      <c r="K92">
        <f>IF($C92="","",IFERROR(IF(INDEX(Roster!$J:$J,MATCH($C92,Roster!$B:$B,0))="","",INDEX(Roster!$J:$J,MATCH($C92,Roster!$B:$B,0))&amp;""),"—"))</f>
        <v/>
      </c>
      <c r="L92">
        <f>IF($C92="","",IFERROR(IF(INDEX(Roster!$K:$K,MATCH($C92,Roster!$B:$B,0))="","",INDEX(Roster!$K:$K,MATCH($C92,Roster!$B:$B,0))&amp;""),"—"))</f>
        <v/>
      </c>
      <c r="M92" s="27" t="n"/>
      <c r="N92" s="27" t="n"/>
      <c r="O92" s="25">
        <f>IF($C92="","",IF($P92="","—",IF($P92="Valid (Pass)","Valid","Invalid")))</f>
        <v/>
      </c>
      <c r="P92" s="27" t="n"/>
      <c r="Q92" s="27" t="n"/>
      <c r="R92" s="27" t="n"/>
      <c r="S92" s="27" t="n"/>
      <c r="T92" s="25">
        <f>IF($C92="","",IF(OR(ISNUMBER(SEARCH("quick case",$P92)),ISNUMBER(SEARCH("quick case",$Q92))),"Yes","No"))</f>
        <v/>
      </c>
      <c r="U92" s="25">
        <f>IF($O92="Invalid",HYPERLINK("mailto:"&amp;$G92&amp;";"&amp;$I92&amp;"?cc="&amp;Lists!$E$2&amp;"&amp;subject="&amp;_xlfn.ENCODEURL("[INVALID] Quality audit monitoring completed for "&amp;UPPER($C92))&amp;"&amp;body="&amp;_xlfn.ENCODEURL("Hi "&amp;$F92&amp;","&amp;CHAR(10)&amp;"Good day!"&amp;CHAR(10)&amp;CHAR(10)&amp;"A quality monitoring audit has been completed for "&amp;$C92&amp;"."&amp;CHAR(10)&amp;CHAR(10)&amp;"QUALITY AUDIT DETAILS"&amp;CHAR(10)&amp;"Agent Name: "&amp;$C92&amp;" (EID "&amp;$D92&amp;")"&amp;CHAR(10)&amp;"Audit Date: "&amp;TEXT($B92,"yyyy-mm-dd")&amp;CHAR(10)&amp;"Team Leader: "&amp;$F92&amp;CHAR(10)&amp;"Case Number: "&amp;$M92&amp;CHAR(10)&amp;"Transaction ID: "&amp;$N92&amp;CHAR(10)&amp;"Channel / LOB: "&amp;$K92&amp;" / "&amp;$L92&amp;CHAR(10)&amp;"Evaluator: "&amp;$S92&amp;CHAR(10)&amp;CHAR(10)&amp;"INVALID QUALITY AUDIT DETAILS"&amp;CHAR(10)&amp;"Validation: Invalid"&amp;CHAR(10)&amp;"Invalid Reason: "&amp;$P92&amp;CHAR(10)&amp;"Expected Resolution Code: "&amp;$Q92&amp;CHAR(10)&amp;"Remarks: "&amp;LEFT($R92,600)&amp;CHAR(10)&amp;CHAR(10)&amp;"This is an automated notification from HP Mainstream EQMS."),"✉ Open Email Draft"),"")</f>
        <v/>
      </c>
    </row>
    <row r="93">
      <c r="A93" s="25">
        <f>IF($C93="","","AUD-2026-"&amp;TEXT(ROW()-1,"000000"))</f>
        <v/>
      </c>
      <c r="B93" s="26" t="n"/>
      <c r="C93" s="27" t="n"/>
      <c r="D93" s="25">
        <f>IF($C93="","",IFERROR(IF(INDEX(Roster!$A:$A,MATCH($C93,Roster!$B:$B,0))="","",INDEX(Roster!$A:$A,MATCH($C93,Roster!$B:$B,0))&amp;""),"—"))</f>
        <v/>
      </c>
      <c r="E93" s="25">
        <f>IF($C93="","",IFERROR(IF(INDEX(Roster!$C:$C,MATCH($C93,Roster!$B:$B,0))="","",INDEX(Roster!$C:$C,MATCH($C93,Roster!$B:$B,0))&amp;""),"—"))</f>
        <v/>
      </c>
      <c r="F93" s="25">
        <f>IF($C93="","",IFERROR(IF(INDEX(Roster!$D:$D,MATCH($C93,Roster!$B:$B,0))="","",INDEX(Roster!$D:$D,MATCH($C93,Roster!$B:$B,0))&amp;""),"—"))</f>
        <v/>
      </c>
      <c r="G93" s="25">
        <f>IF($C93="","",IFERROR(IF(INDEX(Roster!$E:$E,MATCH($C93,Roster!$B:$B,0))="","",INDEX(Roster!$E:$E,MATCH($C93,Roster!$B:$B,0))&amp;""),"—"))</f>
        <v/>
      </c>
      <c r="H93" s="25">
        <f>IF($C93="","",IFERROR(IF(INDEX(Roster!$F:$F,MATCH($C93,Roster!$B:$B,0))="","",INDEX(Roster!$F:$F,MATCH($C93,Roster!$B:$B,0))&amp;""),"—"))</f>
        <v/>
      </c>
      <c r="I93" s="25">
        <f>IF($C93="","",IFERROR(IF(INDEX(Roster!$G:$G,MATCH($C93,Roster!$B:$B,0))="","",INDEX(Roster!$G:$G,MATCH($C93,Roster!$B:$B,0))&amp;""),"—"))</f>
        <v/>
      </c>
      <c r="J93" s="25">
        <f>IF($C93="","",IFERROR(IF(INDEX(Roster!$I:$I,MATCH($C93,Roster!$B:$B,0))="","",INDEX(Roster!$I:$I,MATCH($C93,Roster!$B:$B,0))&amp;""),"—"))</f>
        <v/>
      </c>
      <c r="K93">
        <f>IF($C93="","",IFERROR(IF(INDEX(Roster!$J:$J,MATCH($C93,Roster!$B:$B,0))="","",INDEX(Roster!$J:$J,MATCH($C93,Roster!$B:$B,0))&amp;""),"—"))</f>
        <v/>
      </c>
      <c r="L93">
        <f>IF($C93="","",IFERROR(IF(INDEX(Roster!$K:$K,MATCH($C93,Roster!$B:$B,0))="","",INDEX(Roster!$K:$K,MATCH($C93,Roster!$B:$B,0))&amp;""),"—"))</f>
        <v/>
      </c>
      <c r="M93" s="27" t="n"/>
      <c r="N93" s="27" t="n"/>
      <c r="O93" s="25">
        <f>IF($C93="","",IF($P93="","—",IF($P93="Valid (Pass)","Valid","Invalid")))</f>
        <v/>
      </c>
      <c r="P93" s="27" t="n"/>
      <c r="Q93" s="27" t="n"/>
      <c r="R93" s="27" t="n"/>
      <c r="S93" s="27" t="n"/>
      <c r="T93" s="25">
        <f>IF($C93="","",IF(OR(ISNUMBER(SEARCH("quick case",$P93)),ISNUMBER(SEARCH("quick case",$Q93))),"Yes","No"))</f>
        <v/>
      </c>
      <c r="U93" s="25">
        <f>IF($O93="Invalid",HYPERLINK("mailto:"&amp;$G93&amp;";"&amp;$I93&amp;"?cc="&amp;Lists!$E$2&amp;"&amp;subject="&amp;_xlfn.ENCODEURL("[INVALID] Quality audit monitoring completed for "&amp;UPPER($C93))&amp;"&amp;body="&amp;_xlfn.ENCODEURL("Hi "&amp;$F93&amp;","&amp;CHAR(10)&amp;"Good day!"&amp;CHAR(10)&amp;CHAR(10)&amp;"A quality monitoring audit has been completed for "&amp;$C93&amp;"."&amp;CHAR(10)&amp;CHAR(10)&amp;"QUALITY AUDIT DETAILS"&amp;CHAR(10)&amp;"Agent Name: "&amp;$C93&amp;" (EID "&amp;$D93&amp;")"&amp;CHAR(10)&amp;"Audit Date: "&amp;TEXT($B93,"yyyy-mm-dd")&amp;CHAR(10)&amp;"Team Leader: "&amp;$F93&amp;CHAR(10)&amp;"Case Number: "&amp;$M93&amp;CHAR(10)&amp;"Transaction ID: "&amp;$N93&amp;CHAR(10)&amp;"Channel / LOB: "&amp;$K93&amp;" / "&amp;$L93&amp;CHAR(10)&amp;"Evaluator: "&amp;$S93&amp;CHAR(10)&amp;CHAR(10)&amp;"INVALID QUALITY AUDIT DETAILS"&amp;CHAR(10)&amp;"Validation: Invalid"&amp;CHAR(10)&amp;"Invalid Reason: "&amp;$P93&amp;CHAR(10)&amp;"Expected Resolution Code: "&amp;$Q93&amp;CHAR(10)&amp;"Remarks: "&amp;LEFT($R93,600)&amp;CHAR(10)&amp;CHAR(10)&amp;"This is an automated notification from HP Mainstream EQMS."),"✉ Open Email Draft"),"")</f>
        <v/>
      </c>
    </row>
    <row r="94">
      <c r="A94" s="25">
        <f>IF($C94="","","AUD-2026-"&amp;TEXT(ROW()-1,"000000"))</f>
        <v/>
      </c>
      <c r="B94" s="26" t="n"/>
      <c r="C94" s="27" t="n"/>
      <c r="D94" s="25">
        <f>IF($C94="","",IFERROR(IF(INDEX(Roster!$A:$A,MATCH($C94,Roster!$B:$B,0))="","",INDEX(Roster!$A:$A,MATCH($C94,Roster!$B:$B,0))&amp;""),"—"))</f>
        <v/>
      </c>
      <c r="E94" s="25">
        <f>IF($C94="","",IFERROR(IF(INDEX(Roster!$C:$C,MATCH($C94,Roster!$B:$B,0))="","",INDEX(Roster!$C:$C,MATCH($C94,Roster!$B:$B,0))&amp;""),"—"))</f>
        <v/>
      </c>
      <c r="F94" s="25">
        <f>IF($C94="","",IFERROR(IF(INDEX(Roster!$D:$D,MATCH($C94,Roster!$B:$B,0))="","",INDEX(Roster!$D:$D,MATCH($C94,Roster!$B:$B,0))&amp;""),"—"))</f>
        <v/>
      </c>
      <c r="G94" s="25">
        <f>IF($C94="","",IFERROR(IF(INDEX(Roster!$E:$E,MATCH($C94,Roster!$B:$B,0))="","",INDEX(Roster!$E:$E,MATCH($C94,Roster!$B:$B,0))&amp;""),"—"))</f>
        <v/>
      </c>
      <c r="H94" s="25">
        <f>IF($C94="","",IFERROR(IF(INDEX(Roster!$F:$F,MATCH($C94,Roster!$B:$B,0))="","",INDEX(Roster!$F:$F,MATCH($C94,Roster!$B:$B,0))&amp;""),"—"))</f>
        <v/>
      </c>
      <c r="I94" s="25">
        <f>IF($C94="","",IFERROR(IF(INDEX(Roster!$G:$G,MATCH($C94,Roster!$B:$B,0))="","",INDEX(Roster!$G:$G,MATCH($C94,Roster!$B:$B,0))&amp;""),"—"))</f>
        <v/>
      </c>
      <c r="J94" s="25">
        <f>IF($C94="","",IFERROR(IF(INDEX(Roster!$I:$I,MATCH($C94,Roster!$B:$B,0))="","",INDEX(Roster!$I:$I,MATCH($C94,Roster!$B:$B,0))&amp;""),"—"))</f>
        <v/>
      </c>
      <c r="K94">
        <f>IF($C94="","",IFERROR(IF(INDEX(Roster!$J:$J,MATCH($C94,Roster!$B:$B,0))="","",INDEX(Roster!$J:$J,MATCH($C94,Roster!$B:$B,0))&amp;""),"—"))</f>
        <v/>
      </c>
      <c r="L94">
        <f>IF($C94="","",IFERROR(IF(INDEX(Roster!$K:$K,MATCH($C94,Roster!$B:$B,0))="","",INDEX(Roster!$K:$K,MATCH($C94,Roster!$B:$B,0))&amp;""),"—"))</f>
        <v/>
      </c>
      <c r="M94" s="27" t="n"/>
      <c r="N94" s="27" t="n"/>
      <c r="O94" s="25">
        <f>IF($C94="","",IF($P94="","—",IF($P94="Valid (Pass)","Valid","Invalid")))</f>
        <v/>
      </c>
      <c r="P94" s="27" t="n"/>
      <c r="Q94" s="27" t="n"/>
      <c r="R94" s="27" t="n"/>
      <c r="S94" s="27" t="n"/>
      <c r="T94" s="25">
        <f>IF($C94="","",IF(OR(ISNUMBER(SEARCH("quick case",$P94)),ISNUMBER(SEARCH("quick case",$Q94))),"Yes","No"))</f>
        <v/>
      </c>
      <c r="U94" s="25">
        <f>IF($O94="Invalid",HYPERLINK("mailto:"&amp;$G94&amp;";"&amp;$I94&amp;"?cc="&amp;Lists!$E$2&amp;"&amp;subject="&amp;_xlfn.ENCODEURL("[INVALID] Quality audit monitoring completed for "&amp;UPPER($C94))&amp;"&amp;body="&amp;_xlfn.ENCODEURL("Hi "&amp;$F94&amp;","&amp;CHAR(10)&amp;"Good day!"&amp;CHAR(10)&amp;CHAR(10)&amp;"A quality monitoring audit has been completed for "&amp;$C94&amp;"."&amp;CHAR(10)&amp;CHAR(10)&amp;"QUALITY AUDIT DETAILS"&amp;CHAR(10)&amp;"Agent Name: "&amp;$C94&amp;" (EID "&amp;$D94&amp;")"&amp;CHAR(10)&amp;"Audit Date: "&amp;TEXT($B94,"yyyy-mm-dd")&amp;CHAR(10)&amp;"Team Leader: "&amp;$F94&amp;CHAR(10)&amp;"Case Number: "&amp;$M94&amp;CHAR(10)&amp;"Transaction ID: "&amp;$N94&amp;CHAR(10)&amp;"Channel / LOB: "&amp;$K94&amp;" / "&amp;$L94&amp;CHAR(10)&amp;"Evaluator: "&amp;$S94&amp;CHAR(10)&amp;CHAR(10)&amp;"INVALID QUALITY AUDIT DETAILS"&amp;CHAR(10)&amp;"Validation: Invalid"&amp;CHAR(10)&amp;"Invalid Reason: "&amp;$P94&amp;CHAR(10)&amp;"Expected Resolution Code: "&amp;$Q94&amp;CHAR(10)&amp;"Remarks: "&amp;LEFT($R94,600)&amp;CHAR(10)&amp;CHAR(10)&amp;"This is an automated notification from HP Mainstream EQMS."),"✉ Open Email Draft"),"")</f>
        <v/>
      </c>
    </row>
    <row r="95">
      <c r="A95" s="25">
        <f>IF($C95="","","AUD-2026-"&amp;TEXT(ROW()-1,"000000"))</f>
        <v/>
      </c>
      <c r="B95" s="26" t="n"/>
      <c r="C95" s="27" t="n"/>
      <c r="D95" s="25">
        <f>IF($C95="","",IFERROR(IF(INDEX(Roster!$A:$A,MATCH($C95,Roster!$B:$B,0))="","",INDEX(Roster!$A:$A,MATCH($C95,Roster!$B:$B,0))&amp;""),"—"))</f>
        <v/>
      </c>
      <c r="E95" s="25">
        <f>IF($C95="","",IFERROR(IF(INDEX(Roster!$C:$C,MATCH($C95,Roster!$B:$B,0))="","",INDEX(Roster!$C:$C,MATCH($C95,Roster!$B:$B,0))&amp;""),"—"))</f>
        <v/>
      </c>
      <c r="F95" s="25">
        <f>IF($C95="","",IFERROR(IF(INDEX(Roster!$D:$D,MATCH($C95,Roster!$B:$B,0))="","",INDEX(Roster!$D:$D,MATCH($C95,Roster!$B:$B,0))&amp;""),"—"))</f>
        <v/>
      </c>
      <c r="G95" s="25">
        <f>IF($C95="","",IFERROR(IF(INDEX(Roster!$E:$E,MATCH($C95,Roster!$B:$B,0))="","",INDEX(Roster!$E:$E,MATCH($C95,Roster!$B:$B,0))&amp;""),"—"))</f>
        <v/>
      </c>
      <c r="H95" s="25">
        <f>IF($C95="","",IFERROR(IF(INDEX(Roster!$F:$F,MATCH($C95,Roster!$B:$B,0))="","",INDEX(Roster!$F:$F,MATCH($C95,Roster!$B:$B,0))&amp;""),"—"))</f>
        <v/>
      </c>
      <c r="I95" s="25">
        <f>IF($C95="","",IFERROR(IF(INDEX(Roster!$G:$G,MATCH($C95,Roster!$B:$B,0))="","",INDEX(Roster!$G:$G,MATCH($C95,Roster!$B:$B,0))&amp;""),"—"))</f>
        <v/>
      </c>
      <c r="J95" s="25">
        <f>IF($C95="","",IFERROR(IF(INDEX(Roster!$I:$I,MATCH($C95,Roster!$B:$B,0))="","",INDEX(Roster!$I:$I,MATCH($C95,Roster!$B:$B,0))&amp;""),"—"))</f>
        <v/>
      </c>
      <c r="K95">
        <f>IF($C95="","",IFERROR(IF(INDEX(Roster!$J:$J,MATCH($C95,Roster!$B:$B,0))="","",INDEX(Roster!$J:$J,MATCH($C95,Roster!$B:$B,0))&amp;""),"—"))</f>
        <v/>
      </c>
      <c r="L95">
        <f>IF($C95="","",IFERROR(IF(INDEX(Roster!$K:$K,MATCH($C95,Roster!$B:$B,0))="","",INDEX(Roster!$K:$K,MATCH($C95,Roster!$B:$B,0))&amp;""),"—"))</f>
        <v/>
      </c>
      <c r="M95" s="27" t="n"/>
      <c r="N95" s="27" t="n"/>
      <c r="O95" s="25">
        <f>IF($C95="","",IF($P95="","—",IF($P95="Valid (Pass)","Valid","Invalid")))</f>
        <v/>
      </c>
      <c r="P95" s="27" t="n"/>
      <c r="Q95" s="27" t="n"/>
      <c r="R95" s="27" t="n"/>
      <c r="S95" s="27" t="n"/>
      <c r="T95" s="25">
        <f>IF($C95="","",IF(OR(ISNUMBER(SEARCH("quick case",$P95)),ISNUMBER(SEARCH("quick case",$Q95))),"Yes","No"))</f>
        <v/>
      </c>
      <c r="U95" s="25">
        <f>IF($O95="Invalid",HYPERLINK("mailto:"&amp;$G95&amp;";"&amp;$I95&amp;"?cc="&amp;Lists!$E$2&amp;"&amp;subject="&amp;_xlfn.ENCODEURL("[INVALID] Quality audit monitoring completed for "&amp;UPPER($C95))&amp;"&amp;body="&amp;_xlfn.ENCODEURL("Hi "&amp;$F95&amp;","&amp;CHAR(10)&amp;"Good day!"&amp;CHAR(10)&amp;CHAR(10)&amp;"A quality monitoring audit has been completed for "&amp;$C95&amp;"."&amp;CHAR(10)&amp;CHAR(10)&amp;"QUALITY AUDIT DETAILS"&amp;CHAR(10)&amp;"Agent Name: "&amp;$C95&amp;" (EID "&amp;$D95&amp;")"&amp;CHAR(10)&amp;"Audit Date: "&amp;TEXT($B95,"yyyy-mm-dd")&amp;CHAR(10)&amp;"Team Leader: "&amp;$F95&amp;CHAR(10)&amp;"Case Number: "&amp;$M95&amp;CHAR(10)&amp;"Transaction ID: "&amp;$N95&amp;CHAR(10)&amp;"Channel / LOB: "&amp;$K95&amp;" / "&amp;$L95&amp;CHAR(10)&amp;"Evaluator: "&amp;$S95&amp;CHAR(10)&amp;CHAR(10)&amp;"INVALID QUALITY AUDIT DETAILS"&amp;CHAR(10)&amp;"Validation: Invalid"&amp;CHAR(10)&amp;"Invalid Reason: "&amp;$P95&amp;CHAR(10)&amp;"Expected Resolution Code: "&amp;$Q95&amp;CHAR(10)&amp;"Remarks: "&amp;LEFT($R95,600)&amp;CHAR(10)&amp;CHAR(10)&amp;"This is an automated notification from HP Mainstream EQMS."),"✉ Open Email Draft"),"")</f>
        <v/>
      </c>
    </row>
    <row r="96">
      <c r="A96" s="25">
        <f>IF($C96="","","AUD-2026-"&amp;TEXT(ROW()-1,"000000"))</f>
        <v/>
      </c>
      <c r="B96" s="26" t="n"/>
      <c r="C96" s="27" t="n"/>
      <c r="D96" s="25">
        <f>IF($C96="","",IFERROR(IF(INDEX(Roster!$A:$A,MATCH($C96,Roster!$B:$B,0))="","",INDEX(Roster!$A:$A,MATCH($C96,Roster!$B:$B,0))&amp;""),"—"))</f>
        <v/>
      </c>
      <c r="E96" s="25">
        <f>IF($C96="","",IFERROR(IF(INDEX(Roster!$C:$C,MATCH($C96,Roster!$B:$B,0))="","",INDEX(Roster!$C:$C,MATCH($C96,Roster!$B:$B,0))&amp;""),"—"))</f>
        <v/>
      </c>
      <c r="F96" s="25">
        <f>IF($C96="","",IFERROR(IF(INDEX(Roster!$D:$D,MATCH($C96,Roster!$B:$B,0))="","",INDEX(Roster!$D:$D,MATCH($C96,Roster!$B:$B,0))&amp;""),"—"))</f>
        <v/>
      </c>
      <c r="G96" s="25">
        <f>IF($C96="","",IFERROR(IF(INDEX(Roster!$E:$E,MATCH($C96,Roster!$B:$B,0))="","",INDEX(Roster!$E:$E,MATCH($C96,Roster!$B:$B,0))&amp;""),"—"))</f>
        <v/>
      </c>
      <c r="H96" s="25">
        <f>IF($C96="","",IFERROR(IF(INDEX(Roster!$F:$F,MATCH($C96,Roster!$B:$B,0))="","",INDEX(Roster!$F:$F,MATCH($C96,Roster!$B:$B,0))&amp;""),"—"))</f>
        <v/>
      </c>
      <c r="I96" s="25">
        <f>IF($C96="","",IFERROR(IF(INDEX(Roster!$G:$G,MATCH($C96,Roster!$B:$B,0))="","",INDEX(Roster!$G:$G,MATCH($C96,Roster!$B:$B,0))&amp;""),"—"))</f>
        <v/>
      </c>
      <c r="J96" s="25">
        <f>IF($C96="","",IFERROR(IF(INDEX(Roster!$I:$I,MATCH($C96,Roster!$B:$B,0))="","",INDEX(Roster!$I:$I,MATCH($C96,Roster!$B:$B,0))&amp;""),"—"))</f>
        <v/>
      </c>
      <c r="K96">
        <f>IF($C96="","",IFERROR(IF(INDEX(Roster!$J:$J,MATCH($C96,Roster!$B:$B,0))="","",INDEX(Roster!$J:$J,MATCH($C96,Roster!$B:$B,0))&amp;""),"—"))</f>
        <v/>
      </c>
      <c r="L96">
        <f>IF($C96="","",IFERROR(IF(INDEX(Roster!$K:$K,MATCH($C96,Roster!$B:$B,0))="","",INDEX(Roster!$K:$K,MATCH($C96,Roster!$B:$B,0))&amp;""),"—"))</f>
        <v/>
      </c>
      <c r="M96" s="27" t="n"/>
      <c r="N96" s="27" t="n"/>
      <c r="O96" s="25">
        <f>IF($C96="","",IF($P96="","—",IF($P96="Valid (Pass)","Valid","Invalid")))</f>
        <v/>
      </c>
      <c r="P96" s="27" t="n"/>
      <c r="Q96" s="27" t="n"/>
      <c r="R96" s="27" t="n"/>
      <c r="S96" s="27" t="n"/>
      <c r="T96" s="25">
        <f>IF($C96="","",IF(OR(ISNUMBER(SEARCH("quick case",$P96)),ISNUMBER(SEARCH("quick case",$Q96))),"Yes","No"))</f>
        <v/>
      </c>
      <c r="U96" s="25">
        <f>IF($O96="Invalid",HYPERLINK("mailto:"&amp;$G96&amp;";"&amp;$I96&amp;"?cc="&amp;Lists!$E$2&amp;"&amp;subject="&amp;_xlfn.ENCODEURL("[INVALID] Quality audit monitoring completed for "&amp;UPPER($C96))&amp;"&amp;body="&amp;_xlfn.ENCODEURL("Hi "&amp;$F96&amp;","&amp;CHAR(10)&amp;"Good day!"&amp;CHAR(10)&amp;CHAR(10)&amp;"A quality monitoring audit has been completed for "&amp;$C96&amp;"."&amp;CHAR(10)&amp;CHAR(10)&amp;"QUALITY AUDIT DETAILS"&amp;CHAR(10)&amp;"Agent Name: "&amp;$C96&amp;" (EID "&amp;$D96&amp;")"&amp;CHAR(10)&amp;"Audit Date: "&amp;TEXT($B96,"yyyy-mm-dd")&amp;CHAR(10)&amp;"Team Leader: "&amp;$F96&amp;CHAR(10)&amp;"Case Number: "&amp;$M96&amp;CHAR(10)&amp;"Transaction ID: "&amp;$N96&amp;CHAR(10)&amp;"Channel / LOB: "&amp;$K96&amp;" / "&amp;$L96&amp;CHAR(10)&amp;"Evaluator: "&amp;$S96&amp;CHAR(10)&amp;CHAR(10)&amp;"INVALID QUALITY AUDIT DETAILS"&amp;CHAR(10)&amp;"Validation: Invalid"&amp;CHAR(10)&amp;"Invalid Reason: "&amp;$P96&amp;CHAR(10)&amp;"Expected Resolution Code: "&amp;$Q96&amp;CHAR(10)&amp;"Remarks: "&amp;LEFT($R96,600)&amp;CHAR(10)&amp;CHAR(10)&amp;"This is an automated notification from HP Mainstream EQMS."),"✉ Open Email Draft"),"")</f>
        <v/>
      </c>
    </row>
    <row r="97">
      <c r="A97" s="25">
        <f>IF($C97="","","AUD-2026-"&amp;TEXT(ROW()-1,"000000"))</f>
        <v/>
      </c>
      <c r="B97" s="26" t="n"/>
      <c r="C97" s="27" t="n"/>
      <c r="D97" s="25">
        <f>IF($C97="","",IFERROR(IF(INDEX(Roster!$A:$A,MATCH($C97,Roster!$B:$B,0))="","",INDEX(Roster!$A:$A,MATCH($C97,Roster!$B:$B,0))&amp;""),"—"))</f>
        <v/>
      </c>
      <c r="E97" s="25">
        <f>IF($C97="","",IFERROR(IF(INDEX(Roster!$C:$C,MATCH($C97,Roster!$B:$B,0))="","",INDEX(Roster!$C:$C,MATCH($C97,Roster!$B:$B,0))&amp;""),"—"))</f>
        <v/>
      </c>
      <c r="F97" s="25">
        <f>IF($C97="","",IFERROR(IF(INDEX(Roster!$D:$D,MATCH($C97,Roster!$B:$B,0))="","",INDEX(Roster!$D:$D,MATCH($C97,Roster!$B:$B,0))&amp;""),"—"))</f>
        <v/>
      </c>
      <c r="G97" s="25">
        <f>IF($C97="","",IFERROR(IF(INDEX(Roster!$E:$E,MATCH($C97,Roster!$B:$B,0))="","",INDEX(Roster!$E:$E,MATCH($C97,Roster!$B:$B,0))&amp;""),"—"))</f>
        <v/>
      </c>
      <c r="H97" s="25">
        <f>IF($C97="","",IFERROR(IF(INDEX(Roster!$F:$F,MATCH($C97,Roster!$B:$B,0))="","",INDEX(Roster!$F:$F,MATCH($C97,Roster!$B:$B,0))&amp;""),"—"))</f>
        <v/>
      </c>
      <c r="I97" s="25">
        <f>IF($C97="","",IFERROR(IF(INDEX(Roster!$G:$G,MATCH($C97,Roster!$B:$B,0))="","",INDEX(Roster!$G:$G,MATCH($C97,Roster!$B:$B,0))&amp;""),"—"))</f>
        <v/>
      </c>
      <c r="J97" s="25">
        <f>IF($C97="","",IFERROR(IF(INDEX(Roster!$I:$I,MATCH($C97,Roster!$B:$B,0))="","",INDEX(Roster!$I:$I,MATCH($C97,Roster!$B:$B,0))&amp;""),"—"))</f>
        <v/>
      </c>
      <c r="K97">
        <f>IF($C97="","",IFERROR(IF(INDEX(Roster!$J:$J,MATCH($C97,Roster!$B:$B,0))="","",INDEX(Roster!$J:$J,MATCH($C97,Roster!$B:$B,0))&amp;""),"—"))</f>
        <v/>
      </c>
      <c r="L97">
        <f>IF($C97="","",IFERROR(IF(INDEX(Roster!$K:$K,MATCH($C97,Roster!$B:$B,0))="","",INDEX(Roster!$K:$K,MATCH($C97,Roster!$B:$B,0))&amp;""),"—"))</f>
        <v/>
      </c>
      <c r="M97" s="27" t="n"/>
      <c r="N97" s="27" t="n"/>
      <c r="O97" s="25">
        <f>IF($C97="","",IF($P97="","—",IF($P97="Valid (Pass)","Valid","Invalid")))</f>
        <v/>
      </c>
      <c r="P97" s="27" t="n"/>
      <c r="Q97" s="27" t="n"/>
      <c r="R97" s="27" t="n"/>
      <c r="S97" s="27" t="n"/>
      <c r="T97" s="25">
        <f>IF($C97="","",IF(OR(ISNUMBER(SEARCH("quick case",$P97)),ISNUMBER(SEARCH("quick case",$Q97))),"Yes","No"))</f>
        <v/>
      </c>
      <c r="U97" s="25">
        <f>IF($O97="Invalid",HYPERLINK("mailto:"&amp;$G97&amp;";"&amp;$I97&amp;"?cc="&amp;Lists!$E$2&amp;"&amp;subject="&amp;_xlfn.ENCODEURL("[INVALID] Quality audit monitoring completed for "&amp;UPPER($C97))&amp;"&amp;body="&amp;_xlfn.ENCODEURL("Hi "&amp;$F97&amp;","&amp;CHAR(10)&amp;"Good day!"&amp;CHAR(10)&amp;CHAR(10)&amp;"A quality monitoring audit has been completed for "&amp;$C97&amp;"."&amp;CHAR(10)&amp;CHAR(10)&amp;"QUALITY AUDIT DETAILS"&amp;CHAR(10)&amp;"Agent Name: "&amp;$C97&amp;" (EID "&amp;$D97&amp;")"&amp;CHAR(10)&amp;"Audit Date: "&amp;TEXT($B97,"yyyy-mm-dd")&amp;CHAR(10)&amp;"Team Leader: "&amp;$F97&amp;CHAR(10)&amp;"Case Number: "&amp;$M97&amp;CHAR(10)&amp;"Transaction ID: "&amp;$N97&amp;CHAR(10)&amp;"Channel / LOB: "&amp;$K97&amp;" / "&amp;$L97&amp;CHAR(10)&amp;"Evaluator: "&amp;$S97&amp;CHAR(10)&amp;CHAR(10)&amp;"INVALID QUALITY AUDIT DETAILS"&amp;CHAR(10)&amp;"Validation: Invalid"&amp;CHAR(10)&amp;"Invalid Reason: "&amp;$P97&amp;CHAR(10)&amp;"Expected Resolution Code: "&amp;$Q97&amp;CHAR(10)&amp;"Remarks: "&amp;LEFT($R97,600)&amp;CHAR(10)&amp;CHAR(10)&amp;"This is an automated notification from HP Mainstream EQMS."),"✉ Open Email Draft"),"")</f>
        <v/>
      </c>
    </row>
    <row r="98">
      <c r="A98" s="25">
        <f>IF($C98="","","AUD-2026-"&amp;TEXT(ROW()-1,"000000"))</f>
        <v/>
      </c>
      <c r="B98" s="26" t="n"/>
      <c r="C98" s="27" t="n"/>
      <c r="D98" s="25">
        <f>IF($C98="","",IFERROR(IF(INDEX(Roster!$A:$A,MATCH($C98,Roster!$B:$B,0))="","",INDEX(Roster!$A:$A,MATCH($C98,Roster!$B:$B,0))&amp;""),"—"))</f>
        <v/>
      </c>
      <c r="E98" s="25">
        <f>IF($C98="","",IFERROR(IF(INDEX(Roster!$C:$C,MATCH($C98,Roster!$B:$B,0))="","",INDEX(Roster!$C:$C,MATCH($C98,Roster!$B:$B,0))&amp;""),"—"))</f>
        <v/>
      </c>
      <c r="F98" s="25">
        <f>IF($C98="","",IFERROR(IF(INDEX(Roster!$D:$D,MATCH($C98,Roster!$B:$B,0))="","",INDEX(Roster!$D:$D,MATCH($C98,Roster!$B:$B,0))&amp;""),"—"))</f>
        <v/>
      </c>
      <c r="G98" s="25">
        <f>IF($C98="","",IFERROR(IF(INDEX(Roster!$E:$E,MATCH($C98,Roster!$B:$B,0))="","",INDEX(Roster!$E:$E,MATCH($C98,Roster!$B:$B,0))&amp;""),"—"))</f>
        <v/>
      </c>
      <c r="H98" s="25">
        <f>IF($C98="","",IFERROR(IF(INDEX(Roster!$F:$F,MATCH($C98,Roster!$B:$B,0))="","",INDEX(Roster!$F:$F,MATCH($C98,Roster!$B:$B,0))&amp;""),"—"))</f>
        <v/>
      </c>
      <c r="I98" s="25">
        <f>IF($C98="","",IFERROR(IF(INDEX(Roster!$G:$G,MATCH($C98,Roster!$B:$B,0))="","",INDEX(Roster!$G:$G,MATCH($C98,Roster!$B:$B,0))&amp;""),"—"))</f>
        <v/>
      </c>
      <c r="J98" s="25">
        <f>IF($C98="","",IFERROR(IF(INDEX(Roster!$I:$I,MATCH($C98,Roster!$B:$B,0))="","",INDEX(Roster!$I:$I,MATCH($C98,Roster!$B:$B,0))&amp;""),"—"))</f>
        <v/>
      </c>
      <c r="K98">
        <f>IF($C98="","",IFERROR(IF(INDEX(Roster!$J:$J,MATCH($C98,Roster!$B:$B,0))="","",INDEX(Roster!$J:$J,MATCH($C98,Roster!$B:$B,0))&amp;""),"—"))</f>
        <v/>
      </c>
      <c r="L98">
        <f>IF($C98="","",IFERROR(IF(INDEX(Roster!$K:$K,MATCH($C98,Roster!$B:$B,0))="","",INDEX(Roster!$K:$K,MATCH($C98,Roster!$B:$B,0))&amp;""),"—"))</f>
        <v/>
      </c>
      <c r="M98" s="27" t="n"/>
      <c r="N98" s="27" t="n"/>
      <c r="O98" s="25">
        <f>IF($C98="","",IF($P98="","—",IF($P98="Valid (Pass)","Valid","Invalid")))</f>
        <v/>
      </c>
      <c r="P98" s="27" t="n"/>
      <c r="Q98" s="27" t="n"/>
      <c r="R98" s="27" t="n"/>
      <c r="S98" s="27" t="n"/>
      <c r="T98" s="25">
        <f>IF($C98="","",IF(OR(ISNUMBER(SEARCH("quick case",$P98)),ISNUMBER(SEARCH("quick case",$Q98))),"Yes","No"))</f>
        <v/>
      </c>
      <c r="U98" s="25">
        <f>IF($O98="Invalid",HYPERLINK("mailto:"&amp;$G98&amp;";"&amp;$I98&amp;"?cc="&amp;Lists!$E$2&amp;"&amp;subject="&amp;_xlfn.ENCODEURL("[INVALID] Quality audit monitoring completed for "&amp;UPPER($C98))&amp;"&amp;body="&amp;_xlfn.ENCODEURL("Hi "&amp;$F98&amp;","&amp;CHAR(10)&amp;"Good day!"&amp;CHAR(10)&amp;CHAR(10)&amp;"A quality monitoring audit has been completed for "&amp;$C98&amp;"."&amp;CHAR(10)&amp;CHAR(10)&amp;"QUALITY AUDIT DETAILS"&amp;CHAR(10)&amp;"Agent Name: "&amp;$C98&amp;" (EID "&amp;$D98&amp;")"&amp;CHAR(10)&amp;"Audit Date: "&amp;TEXT($B98,"yyyy-mm-dd")&amp;CHAR(10)&amp;"Team Leader: "&amp;$F98&amp;CHAR(10)&amp;"Case Number: "&amp;$M98&amp;CHAR(10)&amp;"Transaction ID: "&amp;$N98&amp;CHAR(10)&amp;"Channel / LOB: "&amp;$K98&amp;" / "&amp;$L98&amp;CHAR(10)&amp;"Evaluator: "&amp;$S98&amp;CHAR(10)&amp;CHAR(10)&amp;"INVALID QUALITY AUDIT DETAILS"&amp;CHAR(10)&amp;"Validation: Invalid"&amp;CHAR(10)&amp;"Invalid Reason: "&amp;$P98&amp;CHAR(10)&amp;"Expected Resolution Code: "&amp;$Q98&amp;CHAR(10)&amp;"Remarks: "&amp;LEFT($R98,600)&amp;CHAR(10)&amp;CHAR(10)&amp;"This is an automated notification from HP Mainstream EQMS."),"✉ Open Email Draft"),"")</f>
        <v/>
      </c>
    </row>
    <row r="99">
      <c r="A99" s="25">
        <f>IF($C99="","","AUD-2026-"&amp;TEXT(ROW()-1,"000000"))</f>
        <v/>
      </c>
      <c r="B99" s="26" t="n"/>
      <c r="C99" s="27" t="n"/>
      <c r="D99" s="25">
        <f>IF($C99="","",IFERROR(IF(INDEX(Roster!$A:$A,MATCH($C99,Roster!$B:$B,0))="","",INDEX(Roster!$A:$A,MATCH($C99,Roster!$B:$B,0))&amp;""),"—"))</f>
        <v/>
      </c>
      <c r="E99" s="25">
        <f>IF($C99="","",IFERROR(IF(INDEX(Roster!$C:$C,MATCH($C99,Roster!$B:$B,0))="","",INDEX(Roster!$C:$C,MATCH($C99,Roster!$B:$B,0))&amp;""),"—"))</f>
        <v/>
      </c>
      <c r="F99" s="25">
        <f>IF($C99="","",IFERROR(IF(INDEX(Roster!$D:$D,MATCH($C99,Roster!$B:$B,0))="","",INDEX(Roster!$D:$D,MATCH($C99,Roster!$B:$B,0))&amp;""),"—"))</f>
        <v/>
      </c>
      <c r="G99" s="25">
        <f>IF($C99="","",IFERROR(IF(INDEX(Roster!$E:$E,MATCH($C99,Roster!$B:$B,0))="","",INDEX(Roster!$E:$E,MATCH($C99,Roster!$B:$B,0))&amp;""),"—"))</f>
        <v/>
      </c>
      <c r="H99" s="25">
        <f>IF($C99="","",IFERROR(IF(INDEX(Roster!$F:$F,MATCH($C99,Roster!$B:$B,0))="","",INDEX(Roster!$F:$F,MATCH($C99,Roster!$B:$B,0))&amp;""),"—"))</f>
        <v/>
      </c>
      <c r="I99" s="25">
        <f>IF($C99="","",IFERROR(IF(INDEX(Roster!$G:$G,MATCH($C99,Roster!$B:$B,0))="","",INDEX(Roster!$G:$G,MATCH($C99,Roster!$B:$B,0))&amp;""),"—"))</f>
        <v/>
      </c>
      <c r="J99" s="25">
        <f>IF($C99="","",IFERROR(IF(INDEX(Roster!$I:$I,MATCH($C99,Roster!$B:$B,0))="","",INDEX(Roster!$I:$I,MATCH($C99,Roster!$B:$B,0))&amp;""),"—"))</f>
        <v/>
      </c>
      <c r="K99">
        <f>IF($C99="","",IFERROR(IF(INDEX(Roster!$J:$J,MATCH($C99,Roster!$B:$B,0))="","",INDEX(Roster!$J:$J,MATCH($C99,Roster!$B:$B,0))&amp;""),"—"))</f>
        <v/>
      </c>
      <c r="L99">
        <f>IF($C99="","",IFERROR(IF(INDEX(Roster!$K:$K,MATCH($C99,Roster!$B:$B,0))="","",INDEX(Roster!$K:$K,MATCH($C99,Roster!$B:$B,0))&amp;""),"—"))</f>
        <v/>
      </c>
      <c r="M99" s="27" t="n"/>
      <c r="N99" s="27" t="n"/>
      <c r="O99" s="25">
        <f>IF($C99="","",IF($P99="","—",IF($P99="Valid (Pass)","Valid","Invalid")))</f>
        <v/>
      </c>
      <c r="P99" s="27" t="n"/>
      <c r="Q99" s="27" t="n"/>
      <c r="R99" s="27" t="n"/>
      <c r="S99" s="27" t="n"/>
      <c r="T99" s="25">
        <f>IF($C99="","",IF(OR(ISNUMBER(SEARCH("quick case",$P99)),ISNUMBER(SEARCH("quick case",$Q99))),"Yes","No"))</f>
        <v/>
      </c>
      <c r="U99" s="25">
        <f>IF($O99="Invalid",HYPERLINK("mailto:"&amp;$G99&amp;";"&amp;$I99&amp;"?cc="&amp;Lists!$E$2&amp;"&amp;subject="&amp;_xlfn.ENCODEURL("[INVALID] Quality audit monitoring completed for "&amp;UPPER($C99))&amp;"&amp;body="&amp;_xlfn.ENCODEURL("Hi "&amp;$F99&amp;","&amp;CHAR(10)&amp;"Good day!"&amp;CHAR(10)&amp;CHAR(10)&amp;"A quality monitoring audit has been completed for "&amp;$C99&amp;"."&amp;CHAR(10)&amp;CHAR(10)&amp;"QUALITY AUDIT DETAILS"&amp;CHAR(10)&amp;"Agent Name: "&amp;$C99&amp;" (EID "&amp;$D99&amp;")"&amp;CHAR(10)&amp;"Audit Date: "&amp;TEXT($B99,"yyyy-mm-dd")&amp;CHAR(10)&amp;"Team Leader: "&amp;$F99&amp;CHAR(10)&amp;"Case Number: "&amp;$M99&amp;CHAR(10)&amp;"Transaction ID: "&amp;$N99&amp;CHAR(10)&amp;"Channel / LOB: "&amp;$K99&amp;" / "&amp;$L99&amp;CHAR(10)&amp;"Evaluator: "&amp;$S99&amp;CHAR(10)&amp;CHAR(10)&amp;"INVALID QUALITY AUDIT DETAILS"&amp;CHAR(10)&amp;"Validation: Invalid"&amp;CHAR(10)&amp;"Invalid Reason: "&amp;$P99&amp;CHAR(10)&amp;"Expected Resolution Code: "&amp;$Q99&amp;CHAR(10)&amp;"Remarks: "&amp;LEFT($R99,600)&amp;CHAR(10)&amp;CHAR(10)&amp;"This is an automated notification from HP Mainstream EQMS."),"✉ Open Email Draft"),"")</f>
        <v/>
      </c>
    </row>
    <row r="100">
      <c r="A100" s="25">
        <f>IF($C100="","","AUD-2026-"&amp;TEXT(ROW()-1,"000000"))</f>
        <v/>
      </c>
      <c r="B100" s="26" t="n"/>
      <c r="C100" s="27" t="n"/>
      <c r="D100" s="25">
        <f>IF($C100="","",IFERROR(IF(INDEX(Roster!$A:$A,MATCH($C100,Roster!$B:$B,0))="","",INDEX(Roster!$A:$A,MATCH($C100,Roster!$B:$B,0))&amp;""),"—"))</f>
        <v/>
      </c>
      <c r="E100" s="25">
        <f>IF($C100="","",IFERROR(IF(INDEX(Roster!$C:$C,MATCH($C100,Roster!$B:$B,0))="","",INDEX(Roster!$C:$C,MATCH($C100,Roster!$B:$B,0))&amp;""),"—"))</f>
        <v/>
      </c>
      <c r="F100" s="25">
        <f>IF($C100="","",IFERROR(IF(INDEX(Roster!$D:$D,MATCH($C100,Roster!$B:$B,0))="","",INDEX(Roster!$D:$D,MATCH($C100,Roster!$B:$B,0))&amp;""),"—"))</f>
        <v/>
      </c>
      <c r="G100" s="25">
        <f>IF($C100="","",IFERROR(IF(INDEX(Roster!$E:$E,MATCH($C100,Roster!$B:$B,0))="","",INDEX(Roster!$E:$E,MATCH($C100,Roster!$B:$B,0))&amp;""),"—"))</f>
        <v/>
      </c>
      <c r="H100" s="25">
        <f>IF($C100="","",IFERROR(IF(INDEX(Roster!$F:$F,MATCH($C100,Roster!$B:$B,0))="","",INDEX(Roster!$F:$F,MATCH($C100,Roster!$B:$B,0))&amp;""),"—"))</f>
        <v/>
      </c>
      <c r="I100" s="25">
        <f>IF($C100="","",IFERROR(IF(INDEX(Roster!$G:$G,MATCH($C100,Roster!$B:$B,0))="","",INDEX(Roster!$G:$G,MATCH($C100,Roster!$B:$B,0))&amp;""),"—"))</f>
        <v/>
      </c>
      <c r="J100" s="25">
        <f>IF($C100="","",IFERROR(IF(INDEX(Roster!$I:$I,MATCH($C100,Roster!$B:$B,0))="","",INDEX(Roster!$I:$I,MATCH($C100,Roster!$B:$B,0))&amp;""),"—"))</f>
        <v/>
      </c>
      <c r="K100">
        <f>IF($C100="","",IFERROR(IF(INDEX(Roster!$J:$J,MATCH($C100,Roster!$B:$B,0))="","",INDEX(Roster!$J:$J,MATCH($C100,Roster!$B:$B,0))&amp;""),"—"))</f>
        <v/>
      </c>
      <c r="L100">
        <f>IF($C100="","",IFERROR(IF(INDEX(Roster!$K:$K,MATCH($C100,Roster!$B:$B,0))="","",INDEX(Roster!$K:$K,MATCH($C100,Roster!$B:$B,0))&amp;""),"—"))</f>
        <v/>
      </c>
      <c r="M100" s="27" t="n"/>
      <c r="N100" s="27" t="n"/>
      <c r="O100" s="25">
        <f>IF($C100="","",IF($P100="","—",IF($P100="Valid (Pass)","Valid","Invalid")))</f>
        <v/>
      </c>
      <c r="P100" s="27" t="n"/>
      <c r="Q100" s="27" t="n"/>
      <c r="R100" s="27" t="n"/>
      <c r="S100" s="27" t="n"/>
      <c r="T100" s="25">
        <f>IF($C100="","",IF(OR(ISNUMBER(SEARCH("quick case",$P100)),ISNUMBER(SEARCH("quick case",$Q100))),"Yes","No"))</f>
        <v/>
      </c>
      <c r="U100" s="25">
        <f>IF($O100="Invalid",HYPERLINK("mailto:"&amp;$G100&amp;";"&amp;$I100&amp;"?cc="&amp;Lists!$E$2&amp;"&amp;subject="&amp;_xlfn.ENCODEURL("[INVALID] Quality audit monitoring completed for "&amp;UPPER($C100))&amp;"&amp;body="&amp;_xlfn.ENCODEURL("Hi "&amp;$F100&amp;","&amp;CHAR(10)&amp;"Good day!"&amp;CHAR(10)&amp;CHAR(10)&amp;"A quality monitoring audit has been completed for "&amp;$C100&amp;"."&amp;CHAR(10)&amp;CHAR(10)&amp;"QUALITY AUDIT DETAILS"&amp;CHAR(10)&amp;"Agent Name: "&amp;$C100&amp;" (EID "&amp;$D100&amp;")"&amp;CHAR(10)&amp;"Audit Date: "&amp;TEXT($B100,"yyyy-mm-dd")&amp;CHAR(10)&amp;"Team Leader: "&amp;$F100&amp;CHAR(10)&amp;"Case Number: "&amp;$M100&amp;CHAR(10)&amp;"Transaction ID: "&amp;$N100&amp;CHAR(10)&amp;"Channel / LOB: "&amp;$K100&amp;" / "&amp;$L100&amp;CHAR(10)&amp;"Evaluator: "&amp;$S100&amp;CHAR(10)&amp;CHAR(10)&amp;"INVALID QUALITY AUDIT DETAILS"&amp;CHAR(10)&amp;"Validation: Invalid"&amp;CHAR(10)&amp;"Invalid Reason: "&amp;$P100&amp;CHAR(10)&amp;"Expected Resolution Code: "&amp;$Q100&amp;CHAR(10)&amp;"Remarks: "&amp;LEFT($R100,600)&amp;CHAR(10)&amp;CHAR(10)&amp;"This is an automated notification from HP Mainstream EQMS."),"✉ Open Email Draft"),"")</f>
        <v/>
      </c>
    </row>
    <row r="101">
      <c r="A101" s="25">
        <f>IF($C101="","","AUD-2026-"&amp;TEXT(ROW()-1,"000000"))</f>
        <v/>
      </c>
      <c r="B101" s="26" t="n"/>
      <c r="C101" s="27" t="n"/>
      <c r="D101" s="25">
        <f>IF($C101="","",IFERROR(IF(INDEX(Roster!$A:$A,MATCH($C101,Roster!$B:$B,0))="","",INDEX(Roster!$A:$A,MATCH($C101,Roster!$B:$B,0))&amp;""),"—"))</f>
        <v/>
      </c>
      <c r="E101" s="25">
        <f>IF($C101="","",IFERROR(IF(INDEX(Roster!$C:$C,MATCH($C101,Roster!$B:$B,0))="","",INDEX(Roster!$C:$C,MATCH($C101,Roster!$B:$B,0))&amp;""),"—"))</f>
        <v/>
      </c>
      <c r="F101" s="25">
        <f>IF($C101="","",IFERROR(IF(INDEX(Roster!$D:$D,MATCH($C101,Roster!$B:$B,0))="","",INDEX(Roster!$D:$D,MATCH($C101,Roster!$B:$B,0))&amp;""),"—"))</f>
        <v/>
      </c>
      <c r="G101" s="25">
        <f>IF($C101="","",IFERROR(IF(INDEX(Roster!$E:$E,MATCH($C101,Roster!$B:$B,0))="","",INDEX(Roster!$E:$E,MATCH($C101,Roster!$B:$B,0))&amp;""),"—"))</f>
        <v/>
      </c>
      <c r="H101" s="25">
        <f>IF($C101="","",IFERROR(IF(INDEX(Roster!$F:$F,MATCH($C101,Roster!$B:$B,0))="","",INDEX(Roster!$F:$F,MATCH($C101,Roster!$B:$B,0))&amp;""),"—"))</f>
        <v/>
      </c>
      <c r="I101" s="25">
        <f>IF($C101="","",IFERROR(IF(INDEX(Roster!$G:$G,MATCH($C101,Roster!$B:$B,0))="","",INDEX(Roster!$G:$G,MATCH($C101,Roster!$B:$B,0))&amp;""),"—"))</f>
        <v/>
      </c>
      <c r="J101" s="25">
        <f>IF($C101="","",IFERROR(IF(INDEX(Roster!$I:$I,MATCH($C101,Roster!$B:$B,0))="","",INDEX(Roster!$I:$I,MATCH($C101,Roster!$B:$B,0))&amp;""),"—"))</f>
        <v/>
      </c>
      <c r="K101">
        <f>IF($C101="","",IFERROR(IF(INDEX(Roster!$J:$J,MATCH($C101,Roster!$B:$B,0))="","",INDEX(Roster!$J:$J,MATCH($C101,Roster!$B:$B,0))&amp;""),"—"))</f>
        <v/>
      </c>
      <c r="L101">
        <f>IF($C101="","",IFERROR(IF(INDEX(Roster!$K:$K,MATCH($C101,Roster!$B:$B,0))="","",INDEX(Roster!$K:$K,MATCH($C101,Roster!$B:$B,0))&amp;""),"—"))</f>
        <v/>
      </c>
      <c r="M101" s="27" t="n"/>
      <c r="N101" s="27" t="n"/>
      <c r="O101" s="25">
        <f>IF($C101="","",IF($P101="","—",IF($P101="Valid (Pass)","Valid","Invalid")))</f>
        <v/>
      </c>
      <c r="P101" s="27" t="n"/>
      <c r="Q101" s="27" t="n"/>
      <c r="R101" s="27" t="n"/>
      <c r="S101" s="27" t="n"/>
      <c r="T101" s="25">
        <f>IF($C101="","",IF(OR(ISNUMBER(SEARCH("quick case",$P101)),ISNUMBER(SEARCH("quick case",$Q101))),"Yes","No"))</f>
        <v/>
      </c>
      <c r="U101" s="25">
        <f>IF($O101="Invalid",HYPERLINK("mailto:"&amp;$G101&amp;";"&amp;$I101&amp;"?cc="&amp;Lists!$E$2&amp;"&amp;subject="&amp;_xlfn.ENCODEURL("[INVALID] Quality audit monitoring completed for "&amp;UPPER($C101))&amp;"&amp;body="&amp;_xlfn.ENCODEURL("Hi "&amp;$F101&amp;","&amp;CHAR(10)&amp;"Good day!"&amp;CHAR(10)&amp;CHAR(10)&amp;"A quality monitoring audit has been completed for "&amp;$C101&amp;"."&amp;CHAR(10)&amp;CHAR(10)&amp;"QUALITY AUDIT DETAILS"&amp;CHAR(10)&amp;"Agent Name: "&amp;$C101&amp;" (EID "&amp;$D101&amp;")"&amp;CHAR(10)&amp;"Audit Date: "&amp;TEXT($B101,"yyyy-mm-dd")&amp;CHAR(10)&amp;"Team Leader: "&amp;$F101&amp;CHAR(10)&amp;"Case Number: "&amp;$M101&amp;CHAR(10)&amp;"Transaction ID: "&amp;$N101&amp;CHAR(10)&amp;"Channel / LOB: "&amp;$K101&amp;" / "&amp;$L101&amp;CHAR(10)&amp;"Evaluator: "&amp;$S101&amp;CHAR(10)&amp;CHAR(10)&amp;"INVALID QUALITY AUDIT DETAILS"&amp;CHAR(10)&amp;"Validation: Invalid"&amp;CHAR(10)&amp;"Invalid Reason: "&amp;$P101&amp;CHAR(10)&amp;"Expected Resolution Code: "&amp;$Q101&amp;CHAR(10)&amp;"Remarks: "&amp;LEFT($R101,600)&amp;CHAR(10)&amp;CHAR(10)&amp;"This is an automated notification from HP Mainstream EQMS."),"✉ Open Email Draft"),"")</f>
        <v/>
      </c>
    </row>
    <row r="102">
      <c r="A102" s="25">
        <f>IF($C102="","","AUD-2026-"&amp;TEXT(ROW()-1,"000000"))</f>
        <v/>
      </c>
      <c r="B102" s="26" t="n"/>
      <c r="C102" s="27" t="n"/>
      <c r="D102" s="25">
        <f>IF($C102="","",IFERROR(IF(INDEX(Roster!$A:$A,MATCH($C102,Roster!$B:$B,0))="","",INDEX(Roster!$A:$A,MATCH($C102,Roster!$B:$B,0))&amp;""),"—"))</f>
        <v/>
      </c>
      <c r="E102" s="25">
        <f>IF($C102="","",IFERROR(IF(INDEX(Roster!$C:$C,MATCH($C102,Roster!$B:$B,0))="","",INDEX(Roster!$C:$C,MATCH($C102,Roster!$B:$B,0))&amp;""),"—"))</f>
        <v/>
      </c>
      <c r="F102" s="25">
        <f>IF($C102="","",IFERROR(IF(INDEX(Roster!$D:$D,MATCH($C102,Roster!$B:$B,0))="","",INDEX(Roster!$D:$D,MATCH($C102,Roster!$B:$B,0))&amp;""),"—"))</f>
        <v/>
      </c>
      <c r="G102" s="25">
        <f>IF($C102="","",IFERROR(IF(INDEX(Roster!$E:$E,MATCH($C102,Roster!$B:$B,0))="","",INDEX(Roster!$E:$E,MATCH($C102,Roster!$B:$B,0))&amp;""),"—"))</f>
        <v/>
      </c>
      <c r="H102" s="25">
        <f>IF($C102="","",IFERROR(IF(INDEX(Roster!$F:$F,MATCH($C102,Roster!$B:$B,0))="","",INDEX(Roster!$F:$F,MATCH($C102,Roster!$B:$B,0))&amp;""),"—"))</f>
        <v/>
      </c>
      <c r="I102" s="25">
        <f>IF($C102="","",IFERROR(IF(INDEX(Roster!$G:$G,MATCH($C102,Roster!$B:$B,0))="","",INDEX(Roster!$G:$G,MATCH($C102,Roster!$B:$B,0))&amp;""),"—"))</f>
        <v/>
      </c>
      <c r="J102" s="25">
        <f>IF($C102="","",IFERROR(IF(INDEX(Roster!$I:$I,MATCH($C102,Roster!$B:$B,0))="","",INDEX(Roster!$I:$I,MATCH($C102,Roster!$B:$B,0))&amp;""),"—"))</f>
        <v/>
      </c>
      <c r="K102">
        <f>IF($C102="","",IFERROR(IF(INDEX(Roster!$J:$J,MATCH($C102,Roster!$B:$B,0))="","",INDEX(Roster!$J:$J,MATCH($C102,Roster!$B:$B,0))&amp;""),"—"))</f>
        <v/>
      </c>
      <c r="L102">
        <f>IF($C102="","",IFERROR(IF(INDEX(Roster!$K:$K,MATCH($C102,Roster!$B:$B,0))="","",INDEX(Roster!$K:$K,MATCH($C102,Roster!$B:$B,0))&amp;""),"—"))</f>
        <v/>
      </c>
      <c r="M102" s="27" t="n"/>
      <c r="N102" s="27" t="n"/>
      <c r="O102" s="25">
        <f>IF($C102="","",IF($P102="","—",IF($P102="Valid (Pass)","Valid","Invalid")))</f>
        <v/>
      </c>
      <c r="P102" s="27" t="n"/>
      <c r="Q102" s="27" t="n"/>
      <c r="R102" s="27" t="n"/>
      <c r="S102" s="27" t="n"/>
      <c r="T102" s="25">
        <f>IF($C102="","",IF(OR(ISNUMBER(SEARCH("quick case",$P102)),ISNUMBER(SEARCH("quick case",$Q102))),"Yes","No"))</f>
        <v/>
      </c>
      <c r="U102" s="25">
        <f>IF($O102="Invalid",HYPERLINK("mailto:"&amp;$G102&amp;";"&amp;$I102&amp;"?cc="&amp;Lists!$E$2&amp;"&amp;subject="&amp;_xlfn.ENCODEURL("[INVALID] Quality audit monitoring completed for "&amp;UPPER($C102))&amp;"&amp;body="&amp;_xlfn.ENCODEURL("Hi "&amp;$F102&amp;","&amp;CHAR(10)&amp;"Good day!"&amp;CHAR(10)&amp;CHAR(10)&amp;"A quality monitoring audit has been completed for "&amp;$C102&amp;"."&amp;CHAR(10)&amp;CHAR(10)&amp;"QUALITY AUDIT DETAILS"&amp;CHAR(10)&amp;"Agent Name: "&amp;$C102&amp;" (EID "&amp;$D102&amp;")"&amp;CHAR(10)&amp;"Audit Date: "&amp;TEXT($B102,"yyyy-mm-dd")&amp;CHAR(10)&amp;"Team Leader: "&amp;$F102&amp;CHAR(10)&amp;"Case Number: "&amp;$M102&amp;CHAR(10)&amp;"Transaction ID: "&amp;$N102&amp;CHAR(10)&amp;"Channel / LOB: "&amp;$K102&amp;" / "&amp;$L102&amp;CHAR(10)&amp;"Evaluator: "&amp;$S102&amp;CHAR(10)&amp;CHAR(10)&amp;"INVALID QUALITY AUDIT DETAILS"&amp;CHAR(10)&amp;"Validation: Invalid"&amp;CHAR(10)&amp;"Invalid Reason: "&amp;$P102&amp;CHAR(10)&amp;"Expected Resolution Code: "&amp;$Q102&amp;CHAR(10)&amp;"Remarks: "&amp;LEFT($R102,600)&amp;CHAR(10)&amp;CHAR(10)&amp;"This is an automated notification from HP Mainstream EQMS."),"✉ Open Email Draft"),"")</f>
        <v/>
      </c>
    </row>
    <row r="103">
      <c r="A103" s="25">
        <f>IF($C103="","","AUD-2026-"&amp;TEXT(ROW()-1,"000000"))</f>
        <v/>
      </c>
      <c r="B103" s="26" t="n"/>
      <c r="C103" s="27" t="n"/>
      <c r="D103" s="25">
        <f>IF($C103="","",IFERROR(IF(INDEX(Roster!$A:$A,MATCH($C103,Roster!$B:$B,0))="","",INDEX(Roster!$A:$A,MATCH($C103,Roster!$B:$B,0))&amp;""),"—"))</f>
        <v/>
      </c>
      <c r="E103" s="25">
        <f>IF($C103="","",IFERROR(IF(INDEX(Roster!$C:$C,MATCH($C103,Roster!$B:$B,0))="","",INDEX(Roster!$C:$C,MATCH($C103,Roster!$B:$B,0))&amp;""),"—"))</f>
        <v/>
      </c>
      <c r="F103" s="25">
        <f>IF($C103="","",IFERROR(IF(INDEX(Roster!$D:$D,MATCH($C103,Roster!$B:$B,0))="","",INDEX(Roster!$D:$D,MATCH($C103,Roster!$B:$B,0))&amp;""),"—"))</f>
        <v/>
      </c>
      <c r="G103" s="25">
        <f>IF($C103="","",IFERROR(IF(INDEX(Roster!$E:$E,MATCH($C103,Roster!$B:$B,0))="","",INDEX(Roster!$E:$E,MATCH($C103,Roster!$B:$B,0))&amp;""),"—"))</f>
        <v/>
      </c>
      <c r="H103" s="25">
        <f>IF($C103="","",IFERROR(IF(INDEX(Roster!$F:$F,MATCH($C103,Roster!$B:$B,0))="","",INDEX(Roster!$F:$F,MATCH($C103,Roster!$B:$B,0))&amp;""),"—"))</f>
        <v/>
      </c>
      <c r="I103" s="25">
        <f>IF($C103="","",IFERROR(IF(INDEX(Roster!$G:$G,MATCH($C103,Roster!$B:$B,0))="","",INDEX(Roster!$G:$G,MATCH($C103,Roster!$B:$B,0))&amp;""),"—"))</f>
        <v/>
      </c>
      <c r="J103" s="25">
        <f>IF($C103="","",IFERROR(IF(INDEX(Roster!$I:$I,MATCH($C103,Roster!$B:$B,0))="","",INDEX(Roster!$I:$I,MATCH($C103,Roster!$B:$B,0))&amp;""),"—"))</f>
        <v/>
      </c>
      <c r="K103">
        <f>IF($C103="","",IFERROR(IF(INDEX(Roster!$J:$J,MATCH($C103,Roster!$B:$B,0))="","",INDEX(Roster!$J:$J,MATCH($C103,Roster!$B:$B,0))&amp;""),"—"))</f>
        <v/>
      </c>
      <c r="L103">
        <f>IF($C103="","",IFERROR(IF(INDEX(Roster!$K:$K,MATCH($C103,Roster!$B:$B,0))="","",INDEX(Roster!$K:$K,MATCH($C103,Roster!$B:$B,0))&amp;""),"—"))</f>
        <v/>
      </c>
      <c r="M103" s="27" t="n"/>
      <c r="N103" s="27" t="n"/>
      <c r="O103" s="25">
        <f>IF($C103="","",IF($P103="","—",IF($P103="Valid (Pass)","Valid","Invalid")))</f>
        <v/>
      </c>
      <c r="P103" s="27" t="n"/>
      <c r="Q103" s="27" t="n"/>
      <c r="R103" s="27" t="n"/>
      <c r="S103" s="27" t="n"/>
      <c r="T103" s="25">
        <f>IF($C103="","",IF(OR(ISNUMBER(SEARCH("quick case",$P103)),ISNUMBER(SEARCH("quick case",$Q103))),"Yes","No"))</f>
        <v/>
      </c>
      <c r="U103" s="25">
        <f>IF($O103="Invalid",HYPERLINK("mailto:"&amp;$G103&amp;";"&amp;$I103&amp;"?cc="&amp;Lists!$E$2&amp;"&amp;subject="&amp;_xlfn.ENCODEURL("[INVALID] Quality audit monitoring completed for "&amp;UPPER($C103))&amp;"&amp;body="&amp;_xlfn.ENCODEURL("Hi "&amp;$F103&amp;","&amp;CHAR(10)&amp;"Good day!"&amp;CHAR(10)&amp;CHAR(10)&amp;"A quality monitoring audit has been completed for "&amp;$C103&amp;"."&amp;CHAR(10)&amp;CHAR(10)&amp;"QUALITY AUDIT DETAILS"&amp;CHAR(10)&amp;"Agent Name: "&amp;$C103&amp;" (EID "&amp;$D103&amp;")"&amp;CHAR(10)&amp;"Audit Date: "&amp;TEXT($B103,"yyyy-mm-dd")&amp;CHAR(10)&amp;"Team Leader: "&amp;$F103&amp;CHAR(10)&amp;"Case Number: "&amp;$M103&amp;CHAR(10)&amp;"Transaction ID: "&amp;$N103&amp;CHAR(10)&amp;"Channel / LOB: "&amp;$K103&amp;" / "&amp;$L103&amp;CHAR(10)&amp;"Evaluator: "&amp;$S103&amp;CHAR(10)&amp;CHAR(10)&amp;"INVALID QUALITY AUDIT DETAILS"&amp;CHAR(10)&amp;"Validation: Invalid"&amp;CHAR(10)&amp;"Invalid Reason: "&amp;$P103&amp;CHAR(10)&amp;"Expected Resolution Code: "&amp;$Q103&amp;CHAR(10)&amp;"Remarks: "&amp;LEFT($R103,600)&amp;CHAR(10)&amp;CHAR(10)&amp;"This is an automated notification from HP Mainstream EQMS."),"✉ Open Email Draft"),"")</f>
        <v/>
      </c>
    </row>
    <row r="104">
      <c r="A104" s="25">
        <f>IF($C104="","","AUD-2026-"&amp;TEXT(ROW()-1,"000000"))</f>
        <v/>
      </c>
      <c r="B104" s="26" t="n"/>
      <c r="C104" s="27" t="n"/>
      <c r="D104" s="25">
        <f>IF($C104="","",IFERROR(IF(INDEX(Roster!$A:$A,MATCH($C104,Roster!$B:$B,0))="","",INDEX(Roster!$A:$A,MATCH($C104,Roster!$B:$B,0))&amp;""),"—"))</f>
        <v/>
      </c>
      <c r="E104" s="25">
        <f>IF($C104="","",IFERROR(IF(INDEX(Roster!$C:$C,MATCH($C104,Roster!$B:$B,0))="","",INDEX(Roster!$C:$C,MATCH($C104,Roster!$B:$B,0))&amp;""),"—"))</f>
        <v/>
      </c>
      <c r="F104" s="25">
        <f>IF($C104="","",IFERROR(IF(INDEX(Roster!$D:$D,MATCH($C104,Roster!$B:$B,0))="","",INDEX(Roster!$D:$D,MATCH($C104,Roster!$B:$B,0))&amp;""),"—"))</f>
        <v/>
      </c>
      <c r="G104" s="25">
        <f>IF($C104="","",IFERROR(IF(INDEX(Roster!$E:$E,MATCH($C104,Roster!$B:$B,0))="","",INDEX(Roster!$E:$E,MATCH($C104,Roster!$B:$B,0))&amp;""),"—"))</f>
        <v/>
      </c>
      <c r="H104" s="25">
        <f>IF($C104="","",IFERROR(IF(INDEX(Roster!$F:$F,MATCH($C104,Roster!$B:$B,0))="","",INDEX(Roster!$F:$F,MATCH($C104,Roster!$B:$B,0))&amp;""),"—"))</f>
        <v/>
      </c>
      <c r="I104" s="25">
        <f>IF($C104="","",IFERROR(IF(INDEX(Roster!$G:$G,MATCH($C104,Roster!$B:$B,0))="","",INDEX(Roster!$G:$G,MATCH($C104,Roster!$B:$B,0))&amp;""),"—"))</f>
        <v/>
      </c>
      <c r="J104" s="25">
        <f>IF($C104="","",IFERROR(IF(INDEX(Roster!$I:$I,MATCH($C104,Roster!$B:$B,0))="","",INDEX(Roster!$I:$I,MATCH($C104,Roster!$B:$B,0))&amp;""),"—"))</f>
        <v/>
      </c>
      <c r="K104">
        <f>IF($C104="","",IFERROR(IF(INDEX(Roster!$J:$J,MATCH($C104,Roster!$B:$B,0))="","",INDEX(Roster!$J:$J,MATCH($C104,Roster!$B:$B,0))&amp;""),"—"))</f>
        <v/>
      </c>
      <c r="L104">
        <f>IF($C104="","",IFERROR(IF(INDEX(Roster!$K:$K,MATCH($C104,Roster!$B:$B,0))="","",INDEX(Roster!$K:$K,MATCH($C104,Roster!$B:$B,0))&amp;""),"—"))</f>
        <v/>
      </c>
      <c r="M104" s="27" t="n"/>
      <c r="N104" s="27" t="n"/>
      <c r="O104" s="25">
        <f>IF($C104="","",IF($P104="","—",IF($P104="Valid (Pass)","Valid","Invalid")))</f>
        <v/>
      </c>
      <c r="P104" s="27" t="n"/>
      <c r="Q104" s="27" t="n"/>
      <c r="R104" s="27" t="n"/>
      <c r="S104" s="27" t="n"/>
      <c r="T104" s="25">
        <f>IF($C104="","",IF(OR(ISNUMBER(SEARCH("quick case",$P104)),ISNUMBER(SEARCH("quick case",$Q104))),"Yes","No"))</f>
        <v/>
      </c>
      <c r="U104" s="25">
        <f>IF($O104="Invalid",HYPERLINK("mailto:"&amp;$G104&amp;";"&amp;$I104&amp;"?cc="&amp;Lists!$E$2&amp;"&amp;subject="&amp;_xlfn.ENCODEURL("[INVALID] Quality audit monitoring completed for "&amp;UPPER($C104))&amp;"&amp;body="&amp;_xlfn.ENCODEURL("Hi "&amp;$F104&amp;","&amp;CHAR(10)&amp;"Good day!"&amp;CHAR(10)&amp;CHAR(10)&amp;"A quality monitoring audit has been completed for "&amp;$C104&amp;"."&amp;CHAR(10)&amp;CHAR(10)&amp;"QUALITY AUDIT DETAILS"&amp;CHAR(10)&amp;"Agent Name: "&amp;$C104&amp;" (EID "&amp;$D104&amp;")"&amp;CHAR(10)&amp;"Audit Date: "&amp;TEXT($B104,"yyyy-mm-dd")&amp;CHAR(10)&amp;"Team Leader: "&amp;$F104&amp;CHAR(10)&amp;"Case Number: "&amp;$M104&amp;CHAR(10)&amp;"Transaction ID: "&amp;$N104&amp;CHAR(10)&amp;"Channel / LOB: "&amp;$K104&amp;" / "&amp;$L104&amp;CHAR(10)&amp;"Evaluator: "&amp;$S104&amp;CHAR(10)&amp;CHAR(10)&amp;"INVALID QUALITY AUDIT DETAILS"&amp;CHAR(10)&amp;"Validation: Invalid"&amp;CHAR(10)&amp;"Invalid Reason: "&amp;$P104&amp;CHAR(10)&amp;"Expected Resolution Code: "&amp;$Q104&amp;CHAR(10)&amp;"Remarks: "&amp;LEFT($R104,600)&amp;CHAR(10)&amp;CHAR(10)&amp;"This is an automated notification from HP Mainstream EQMS."),"✉ Open Email Draft"),"")</f>
        <v/>
      </c>
    </row>
    <row r="105">
      <c r="A105" s="25">
        <f>IF($C105="","","AUD-2026-"&amp;TEXT(ROW()-1,"000000"))</f>
        <v/>
      </c>
      <c r="B105" s="26" t="n"/>
      <c r="C105" s="27" t="n"/>
      <c r="D105" s="25">
        <f>IF($C105="","",IFERROR(IF(INDEX(Roster!$A:$A,MATCH($C105,Roster!$B:$B,0))="","",INDEX(Roster!$A:$A,MATCH($C105,Roster!$B:$B,0))&amp;""),"—"))</f>
        <v/>
      </c>
      <c r="E105" s="25">
        <f>IF($C105="","",IFERROR(IF(INDEX(Roster!$C:$C,MATCH($C105,Roster!$B:$B,0))="","",INDEX(Roster!$C:$C,MATCH($C105,Roster!$B:$B,0))&amp;""),"—"))</f>
        <v/>
      </c>
      <c r="F105" s="25">
        <f>IF($C105="","",IFERROR(IF(INDEX(Roster!$D:$D,MATCH($C105,Roster!$B:$B,0))="","",INDEX(Roster!$D:$D,MATCH($C105,Roster!$B:$B,0))&amp;""),"—"))</f>
        <v/>
      </c>
      <c r="G105" s="25">
        <f>IF($C105="","",IFERROR(IF(INDEX(Roster!$E:$E,MATCH($C105,Roster!$B:$B,0))="","",INDEX(Roster!$E:$E,MATCH($C105,Roster!$B:$B,0))&amp;""),"—"))</f>
        <v/>
      </c>
      <c r="H105" s="25">
        <f>IF($C105="","",IFERROR(IF(INDEX(Roster!$F:$F,MATCH($C105,Roster!$B:$B,0))="","",INDEX(Roster!$F:$F,MATCH($C105,Roster!$B:$B,0))&amp;""),"—"))</f>
        <v/>
      </c>
      <c r="I105" s="25">
        <f>IF($C105="","",IFERROR(IF(INDEX(Roster!$G:$G,MATCH($C105,Roster!$B:$B,0))="","",INDEX(Roster!$G:$G,MATCH($C105,Roster!$B:$B,0))&amp;""),"—"))</f>
        <v/>
      </c>
      <c r="J105" s="25">
        <f>IF($C105="","",IFERROR(IF(INDEX(Roster!$I:$I,MATCH($C105,Roster!$B:$B,0))="","",INDEX(Roster!$I:$I,MATCH($C105,Roster!$B:$B,0))&amp;""),"—"))</f>
        <v/>
      </c>
      <c r="K105">
        <f>IF($C105="","",IFERROR(IF(INDEX(Roster!$J:$J,MATCH($C105,Roster!$B:$B,0))="","",INDEX(Roster!$J:$J,MATCH($C105,Roster!$B:$B,0))&amp;""),"—"))</f>
        <v/>
      </c>
      <c r="L105">
        <f>IF($C105="","",IFERROR(IF(INDEX(Roster!$K:$K,MATCH($C105,Roster!$B:$B,0))="","",INDEX(Roster!$K:$K,MATCH($C105,Roster!$B:$B,0))&amp;""),"—"))</f>
        <v/>
      </c>
      <c r="M105" s="27" t="n"/>
      <c r="N105" s="27" t="n"/>
      <c r="O105" s="25">
        <f>IF($C105="","",IF($P105="","—",IF($P105="Valid (Pass)","Valid","Invalid")))</f>
        <v/>
      </c>
      <c r="P105" s="27" t="n"/>
      <c r="Q105" s="27" t="n"/>
      <c r="R105" s="27" t="n"/>
      <c r="S105" s="27" t="n"/>
      <c r="T105" s="25">
        <f>IF($C105="","",IF(OR(ISNUMBER(SEARCH("quick case",$P105)),ISNUMBER(SEARCH("quick case",$Q105))),"Yes","No"))</f>
        <v/>
      </c>
      <c r="U105" s="25">
        <f>IF($O105="Invalid",HYPERLINK("mailto:"&amp;$G105&amp;";"&amp;$I105&amp;"?cc="&amp;Lists!$E$2&amp;"&amp;subject="&amp;_xlfn.ENCODEURL("[INVALID] Quality audit monitoring completed for "&amp;UPPER($C105))&amp;"&amp;body="&amp;_xlfn.ENCODEURL("Hi "&amp;$F105&amp;","&amp;CHAR(10)&amp;"Good day!"&amp;CHAR(10)&amp;CHAR(10)&amp;"A quality monitoring audit has been completed for "&amp;$C105&amp;"."&amp;CHAR(10)&amp;CHAR(10)&amp;"QUALITY AUDIT DETAILS"&amp;CHAR(10)&amp;"Agent Name: "&amp;$C105&amp;" (EID "&amp;$D105&amp;")"&amp;CHAR(10)&amp;"Audit Date: "&amp;TEXT($B105,"yyyy-mm-dd")&amp;CHAR(10)&amp;"Team Leader: "&amp;$F105&amp;CHAR(10)&amp;"Case Number: "&amp;$M105&amp;CHAR(10)&amp;"Transaction ID: "&amp;$N105&amp;CHAR(10)&amp;"Channel / LOB: "&amp;$K105&amp;" / "&amp;$L105&amp;CHAR(10)&amp;"Evaluator: "&amp;$S105&amp;CHAR(10)&amp;CHAR(10)&amp;"INVALID QUALITY AUDIT DETAILS"&amp;CHAR(10)&amp;"Validation: Invalid"&amp;CHAR(10)&amp;"Invalid Reason: "&amp;$P105&amp;CHAR(10)&amp;"Expected Resolution Code: "&amp;$Q105&amp;CHAR(10)&amp;"Remarks: "&amp;LEFT($R105,600)&amp;CHAR(10)&amp;CHAR(10)&amp;"This is an automated notification from HP Mainstream EQMS."),"✉ Open Email Draft"),"")</f>
        <v/>
      </c>
    </row>
    <row r="106">
      <c r="A106" s="25">
        <f>IF($C106="","","AUD-2026-"&amp;TEXT(ROW()-1,"000000"))</f>
        <v/>
      </c>
      <c r="B106" s="26" t="n"/>
      <c r="C106" s="27" t="n"/>
      <c r="D106" s="25">
        <f>IF($C106="","",IFERROR(IF(INDEX(Roster!$A:$A,MATCH($C106,Roster!$B:$B,0))="","",INDEX(Roster!$A:$A,MATCH($C106,Roster!$B:$B,0))&amp;""),"—"))</f>
        <v/>
      </c>
      <c r="E106" s="25">
        <f>IF($C106="","",IFERROR(IF(INDEX(Roster!$C:$C,MATCH($C106,Roster!$B:$B,0))="","",INDEX(Roster!$C:$C,MATCH($C106,Roster!$B:$B,0))&amp;""),"—"))</f>
        <v/>
      </c>
      <c r="F106" s="25">
        <f>IF($C106="","",IFERROR(IF(INDEX(Roster!$D:$D,MATCH($C106,Roster!$B:$B,0))="","",INDEX(Roster!$D:$D,MATCH($C106,Roster!$B:$B,0))&amp;""),"—"))</f>
        <v/>
      </c>
      <c r="G106" s="25">
        <f>IF($C106="","",IFERROR(IF(INDEX(Roster!$E:$E,MATCH($C106,Roster!$B:$B,0))="","",INDEX(Roster!$E:$E,MATCH($C106,Roster!$B:$B,0))&amp;""),"—"))</f>
        <v/>
      </c>
      <c r="H106" s="25">
        <f>IF($C106="","",IFERROR(IF(INDEX(Roster!$F:$F,MATCH($C106,Roster!$B:$B,0))="","",INDEX(Roster!$F:$F,MATCH($C106,Roster!$B:$B,0))&amp;""),"—"))</f>
        <v/>
      </c>
      <c r="I106" s="25">
        <f>IF($C106="","",IFERROR(IF(INDEX(Roster!$G:$G,MATCH($C106,Roster!$B:$B,0))="","",INDEX(Roster!$G:$G,MATCH($C106,Roster!$B:$B,0))&amp;""),"—"))</f>
        <v/>
      </c>
      <c r="J106" s="25">
        <f>IF($C106="","",IFERROR(IF(INDEX(Roster!$I:$I,MATCH($C106,Roster!$B:$B,0))="","",INDEX(Roster!$I:$I,MATCH($C106,Roster!$B:$B,0))&amp;""),"—"))</f>
        <v/>
      </c>
      <c r="K106">
        <f>IF($C106="","",IFERROR(IF(INDEX(Roster!$J:$J,MATCH($C106,Roster!$B:$B,0))="","",INDEX(Roster!$J:$J,MATCH($C106,Roster!$B:$B,0))&amp;""),"—"))</f>
        <v/>
      </c>
      <c r="L106">
        <f>IF($C106="","",IFERROR(IF(INDEX(Roster!$K:$K,MATCH($C106,Roster!$B:$B,0))="","",INDEX(Roster!$K:$K,MATCH($C106,Roster!$B:$B,0))&amp;""),"—"))</f>
        <v/>
      </c>
      <c r="M106" s="27" t="n"/>
      <c r="N106" s="27" t="n"/>
      <c r="O106" s="25">
        <f>IF($C106="","",IF($P106="","—",IF($P106="Valid (Pass)","Valid","Invalid")))</f>
        <v/>
      </c>
      <c r="P106" s="27" t="n"/>
      <c r="Q106" s="27" t="n"/>
      <c r="R106" s="27" t="n"/>
      <c r="S106" s="27" t="n"/>
      <c r="T106" s="25">
        <f>IF($C106="","",IF(OR(ISNUMBER(SEARCH("quick case",$P106)),ISNUMBER(SEARCH("quick case",$Q106))),"Yes","No"))</f>
        <v/>
      </c>
      <c r="U106" s="25">
        <f>IF($O106="Invalid",HYPERLINK("mailto:"&amp;$G106&amp;";"&amp;$I106&amp;"?cc="&amp;Lists!$E$2&amp;"&amp;subject="&amp;_xlfn.ENCODEURL("[INVALID] Quality audit monitoring completed for "&amp;UPPER($C106))&amp;"&amp;body="&amp;_xlfn.ENCODEURL("Hi "&amp;$F106&amp;","&amp;CHAR(10)&amp;"Good day!"&amp;CHAR(10)&amp;CHAR(10)&amp;"A quality monitoring audit has been completed for "&amp;$C106&amp;"."&amp;CHAR(10)&amp;CHAR(10)&amp;"QUALITY AUDIT DETAILS"&amp;CHAR(10)&amp;"Agent Name: "&amp;$C106&amp;" (EID "&amp;$D106&amp;")"&amp;CHAR(10)&amp;"Audit Date: "&amp;TEXT($B106,"yyyy-mm-dd")&amp;CHAR(10)&amp;"Team Leader: "&amp;$F106&amp;CHAR(10)&amp;"Case Number: "&amp;$M106&amp;CHAR(10)&amp;"Transaction ID: "&amp;$N106&amp;CHAR(10)&amp;"Channel / LOB: "&amp;$K106&amp;" / "&amp;$L106&amp;CHAR(10)&amp;"Evaluator: "&amp;$S106&amp;CHAR(10)&amp;CHAR(10)&amp;"INVALID QUALITY AUDIT DETAILS"&amp;CHAR(10)&amp;"Validation: Invalid"&amp;CHAR(10)&amp;"Invalid Reason: "&amp;$P106&amp;CHAR(10)&amp;"Expected Resolution Code: "&amp;$Q106&amp;CHAR(10)&amp;"Remarks: "&amp;LEFT($R106,600)&amp;CHAR(10)&amp;CHAR(10)&amp;"This is an automated notification from HP Mainstream EQMS."),"✉ Open Email Draft"),"")</f>
        <v/>
      </c>
    </row>
    <row r="107">
      <c r="A107" s="25">
        <f>IF($C107="","","AUD-2026-"&amp;TEXT(ROW()-1,"000000"))</f>
        <v/>
      </c>
      <c r="B107" s="26" t="n"/>
      <c r="C107" s="27" t="n"/>
      <c r="D107" s="25">
        <f>IF($C107="","",IFERROR(IF(INDEX(Roster!$A:$A,MATCH($C107,Roster!$B:$B,0))="","",INDEX(Roster!$A:$A,MATCH($C107,Roster!$B:$B,0))&amp;""),"—"))</f>
        <v/>
      </c>
      <c r="E107" s="25">
        <f>IF($C107="","",IFERROR(IF(INDEX(Roster!$C:$C,MATCH($C107,Roster!$B:$B,0))="","",INDEX(Roster!$C:$C,MATCH($C107,Roster!$B:$B,0))&amp;""),"—"))</f>
        <v/>
      </c>
      <c r="F107" s="25">
        <f>IF($C107="","",IFERROR(IF(INDEX(Roster!$D:$D,MATCH($C107,Roster!$B:$B,0))="","",INDEX(Roster!$D:$D,MATCH($C107,Roster!$B:$B,0))&amp;""),"—"))</f>
        <v/>
      </c>
      <c r="G107" s="25">
        <f>IF($C107="","",IFERROR(IF(INDEX(Roster!$E:$E,MATCH($C107,Roster!$B:$B,0))="","",INDEX(Roster!$E:$E,MATCH($C107,Roster!$B:$B,0))&amp;""),"—"))</f>
        <v/>
      </c>
      <c r="H107" s="25">
        <f>IF($C107="","",IFERROR(IF(INDEX(Roster!$F:$F,MATCH($C107,Roster!$B:$B,0))="","",INDEX(Roster!$F:$F,MATCH($C107,Roster!$B:$B,0))&amp;""),"—"))</f>
        <v/>
      </c>
      <c r="I107" s="25">
        <f>IF($C107="","",IFERROR(IF(INDEX(Roster!$G:$G,MATCH($C107,Roster!$B:$B,0))="","",INDEX(Roster!$G:$G,MATCH($C107,Roster!$B:$B,0))&amp;""),"—"))</f>
        <v/>
      </c>
      <c r="J107" s="25">
        <f>IF($C107="","",IFERROR(IF(INDEX(Roster!$I:$I,MATCH($C107,Roster!$B:$B,0))="","",INDEX(Roster!$I:$I,MATCH($C107,Roster!$B:$B,0))&amp;""),"—"))</f>
        <v/>
      </c>
      <c r="K107">
        <f>IF($C107="","",IFERROR(IF(INDEX(Roster!$J:$J,MATCH($C107,Roster!$B:$B,0))="","",INDEX(Roster!$J:$J,MATCH($C107,Roster!$B:$B,0))&amp;""),"—"))</f>
        <v/>
      </c>
      <c r="L107">
        <f>IF($C107="","",IFERROR(IF(INDEX(Roster!$K:$K,MATCH($C107,Roster!$B:$B,0))="","",INDEX(Roster!$K:$K,MATCH($C107,Roster!$B:$B,0))&amp;""),"—"))</f>
        <v/>
      </c>
      <c r="M107" s="27" t="n"/>
      <c r="N107" s="27" t="n"/>
      <c r="O107" s="25">
        <f>IF($C107="","",IF($P107="","—",IF($P107="Valid (Pass)","Valid","Invalid")))</f>
        <v/>
      </c>
      <c r="P107" s="27" t="n"/>
      <c r="Q107" s="27" t="n"/>
      <c r="R107" s="27" t="n"/>
      <c r="S107" s="27" t="n"/>
      <c r="T107" s="25">
        <f>IF($C107="","",IF(OR(ISNUMBER(SEARCH("quick case",$P107)),ISNUMBER(SEARCH("quick case",$Q107))),"Yes","No"))</f>
        <v/>
      </c>
      <c r="U107" s="25">
        <f>IF($O107="Invalid",HYPERLINK("mailto:"&amp;$G107&amp;";"&amp;$I107&amp;"?cc="&amp;Lists!$E$2&amp;"&amp;subject="&amp;_xlfn.ENCODEURL("[INVALID] Quality audit monitoring completed for "&amp;UPPER($C107))&amp;"&amp;body="&amp;_xlfn.ENCODEURL("Hi "&amp;$F107&amp;","&amp;CHAR(10)&amp;"Good day!"&amp;CHAR(10)&amp;CHAR(10)&amp;"A quality monitoring audit has been completed for "&amp;$C107&amp;"."&amp;CHAR(10)&amp;CHAR(10)&amp;"QUALITY AUDIT DETAILS"&amp;CHAR(10)&amp;"Agent Name: "&amp;$C107&amp;" (EID "&amp;$D107&amp;")"&amp;CHAR(10)&amp;"Audit Date: "&amp;TEXT($B107,"yyyy-mm-dd")&amp;CHAR(10)&amp;"Team Leader: "&amp;$F107&amp;CHAR(10)&amp;"Case Number: "&amp;$M107&amp;CHAR(10)&amp;"Transaction ID: "&amp;$N107&amp;CHAR(10)&amp;"Channel / LOB: "&amp;$K107&amp;" / "&amp;$L107&amp;CHAR(10)&amp;"Evaluator: "&amp;$S107&amp;CHAR(10)&amp;CHAR(10)&amp;"INVALID QUALITY AUDIT DETAILS"&amp;CHAR(10)&amp;"Validation: Invalid"&amp;CHAR(10)&amp;"Invalid Reason: "&amp;$P107&amp;CHAR(10)&amp;"Expected Resolution Code: "&amp;$Q107&amp;CHAR(10)&amp;"Remarks: "&amp;LEFT($R107,600)&amp;CHAR(10)&amp;CHAR(10)&amp;"This is an automated notification from HP Mainstream EQMS."),"✉ Open Email Draft"),"")</f>
        <v/>
      </c>
    </row>
    <row r="108">
      <c r="A108" s="25">
        <f>IF($C108="","","AUD-2026-"&amp;TEXT(ROW()-1,"000000"))</f>
        <v/>
      </c>
      <c r="B108" s="26" t="n"/>
      <c r="C108" s="27" t="n"/>
      <c r="D108" s="25">
        <f>IF($C108="","",IFERROR(IF(INDEX(Roster!$A:$A,MATCH($C108,Roster!$B:$B,0))="","",INDEX(Roster!$A:$A,MATCH($C108,Roster!$B:$B,0))&amp;""),"—"))</f>
        <v/>
      </c>
      <c r="E108" s="25">
        <f>IF($C108="","",IFERROR(IF(INDEX(Roster!$C:$C,MATCH($C108,Roster!$B:$B,0))="","",INDEX(Roster!$C:$C,MATCH($C108,Roster!$B:$B,0))&amp;""),"—"))</f>
        <v/>
      </c>
      <c r="F108" s="25">
        <f>IF($C108="","",IFERROR(IF(INDEX(Roster!$D:$D,MATCH($C108,Roster!$B:$B,0))="","",INDEX(Roster!$D:$D,MATCH($C108,Roster!$B:$B,0))&amp;""),"—"))</f>
        <v/>
      </c>
      <c r="G108" s="25">
        <f>IF($C108="","",IFERROR(IF(INDEX(Roster!$E:$E,MATCH($C108,Roster!$B:$B,0))="","",INDEX(Roster!$E:$E,MATCH($C108,Roster!$B:$B,0))&amp;""),"—"))</f>
        <v/>
      </c>
      <c r="H108" s="25">
        <f>IF($C108="","",IFERROR(IF(INDEX(Roster!$F:$F,MATCH($C108,Roster!$B:$B,0))="","",INDEX(Roster!$F:$F,MATCH($C108,Roster!$B:$B,0))&amp;""),"—"))</f>
        <v/>
      </c>
      <c r="I108" s="25">
        <f>IF($C108="","",IFERROR(IF(INDEX(Roster!$G:$G,MATCH($C108,Roster!$B:$B,0))="","",INDEX(Roster!$G:$G,MATCH($C108,Roster!$B:$B,0))&amp;""),"—"))</f>
        <v/>
      </c>
      <c r="J108" s="25">
        <f>IF($C108="","",IFERROR(IF(INDEX(Roster!$I:$I,MATCH($C108,Roster!$B:$B,0))="","",INDEX(Roster!$I:$I,MATCH($C108,Roster!$B:$B,0))&amp;""),"—"))</f>
        <v/>
      </c>
      <c r="K108">
        <f>IF($C108="","",IFERROR(IF(INDEX(Roster!$J:$J,MATCH($C108,Roster!$B:$B,0))="","",INDEX(Roster!$J:$J,MATCH($C108,Roster!$B:$B,0))&amp;""),"—"))</f>
        <v/>
      </c>
      <c r="L108">
        <f>IF($C108="","",IFERROR(IF(INDEX(Roster!$K:$K,MATCH($C108,Roster!$B:$B,0))="","",INDEX(Roster!$K:$K,MATCH($C108,Roster!$B:$B,0))&amp;""),"—"))</f>
        <v/>
      </c>
      <c r="M108" s="27" t="n"/>
      <c r="N108" s="27" t="n"/>
      <c r="O108" s="25">
        <f>IF($C108="","",IF($P108="","—",IF($P108="Valid (Pass)","Valid","Invalid")))</f>
        <v/>
      </c>
      <c r="P108" s="27" t="n"/>
      <c r="Q108" s="27" t="n"/>
      <c r="R108" s="27" t="n"/>
      <c r="S108" s="27" t="n"/>
      <c r="T108" s="25">
        <f>IF($C108="","",IF(OR(ISNUMBER(SEARCH("quick case",$P108)),ISNUMBER(SEARCH("quick case",$Q108))),"Yes","No"))</f>
        <v/>
      </c>
      <c r="U108" s="25">
        <f>IF($O108="Invalid",HYPERLINK("mailto:"&amp;$G108&amp;";"&amp;$I108&amp;"?cc="&amp;Lists!$E$2&amp;"&amp;subject="&amp;_xlfn.ENCODEURL("[INVALID] Quality audit monitoring completed for "&amp;UPPER($C108))&amp;"&amp;body="&amp;_xlfn.ENCODEURL("Hi "&amp;$F108&amp;","&amp;CHAR(10)&amp;"Good day!"&amp;CHAR(10)&amp;CHAR(10)&amp;"A quality monitoring audit has been completed for "&amp;$C108&amp;"."&amp;CHAR(10)&amp;CHAR(10)&amp;"QUALITY AUDIT DETAILS"&amp;CHAR(10)&amp;"Agent Name: "&amp;$C108&amp;" (EID "&amp;$D108&amp;")"&amp;CHAR(10)&amp;"Audit Date: "&amp;TEXT($B108,"yyyy-mm-dd")&amp;CHAR(10)&amp;"Team Leader: "&amp;$F108&amp;CHAR(10)&amp;"Case Number: "&amp;$M108&amp;CHAR(10)&amp;"Transaction ID: "&amp;$N108&amp;CHAR(10)&amp;"Channel / LOB: "&amp;$K108&amp;" / "&amp;$L108&amp;CHAR(10)&amp;"Evaluator: "&amp;$S108&amp;CHAR(10)&amp;CHAR(10)&amp;"INVALID QUALITY AUDIT DETAILS"&amp;CHAR(10)&amp;"Validation: Invalid"&amp;CHAR(10)&amp;"Invalid Reason: "&amp;$P108&amp;CHAR(10)&amp;"Expected Resolution Code: "&amp;$Q108&amp;CHAR(10)&amp;"Remarks: "&amp;LEFT($R108,600)&amp;CHAR(10)&amp;CHAR(10)&amp;"This is an automated notification from HP Mainstream EQMS."),"✉ Open Email Draft"),"")</f>
        <v/>
      </c>
    </row>
    <row r="109">
      <c r="A109" s="25">
        <f>IF($C109="","","AUD-2026-"&amp;TEXT(ROW()-1,"000000"))</f>
        <v/>
      </c>
      <c r="B109" s="26" t="n"/>
      <c r="C109" s="27" t="n"/>
      <c r="D109" s="25">
        <f>IF($C109="","",IFERROR(IF(INDEX(Roster!$A:$A,MATCH($C109,Roster!$B:$B,0))="","",INDEX(Roster!$A:$A,MATCH($C109,Roster!$B:$B,0))&amp;""),"—"))</f>
        <v/>
      </c>
      <c r="E109" s="25">
        <f>IF($C109="","",IFERROR(IF(INDEX(Roster!$C:$C,MATCH($C109,Roster!$B:$B,0))="","",INDEX(Roster!$C:$C,MATCH($C109,Roster!$B:$B,0))&amp;""),"—"))</f>
        <v/>
      </c>
      <c r="F109" s="25">
        <f>IF($C109="","",IFERROR(IF(INDEX(Roster!$D:$D,MATCH($C109,Roster!$B:$B,0))="","",INDEX(Roster!$D:$D,MATCH($C109,Roster!$B:$B,0))&amp;""),"—"))</f>
        <v/>
      </c>
      <c r="G109" s="25">
        <f>IF($C109="","",IFERROR(IF(INDEX(Roster!$E:$E,MATCH($C109,Roster!$B:$B,0))="","",INDEX(Roster!$E:$E,MATCH($C109,Roster!$B:$B,0))&amp;""),"—"))</f>
        <v/>
      </c>
      <c r="H109" s="25">
        <f>IF($C109="","",IFERROR(IF(INDEX(Roster!$F:$F,MATCH($C109,Roster!$B:$B,0))="","",INDEX(Roster!$F:$F,MATCH($C109,Roster!$B:$B,0))&amp;""),"—"))</f>
        <v/>
      </c>
      <c r="I109" s="25">
        <f>IF($C109="","",IFERROR(IF(INDEX(Roster!$G:$G,MATCH($C109,Roster!$B:$B,0))="","",INDEX(Roster!$G:$G,MATCH($C109,Roster!$B:$B,0))&amp;""),"—"))</f>
        <v/>
      </c>
      <c r="J109" s="25">
        <f>IF($C109="","",IFERROR(IF(INDEX(Roster!$I:$I,MATCH($C109,Roster!$B:$B,0))="","",INDEX(Roster!$I:$I,MATCH($C109,Roster!$B:$B,0))&amp;""),"—"))</f>
        <v/>
      </c>
      <c r="K109">
        <f>IF($C109="","",IFERROR(IF(INDEX(Roster!$J:$J,MATCH($C109,Roster!$B:$B,0))="","",INDEX(Roster!$J:$J,MATCH($C109,Roster!$B:$B,0))&amp;""),"—"))</f>
        <v/>
      </c>
      <c r="L109">
        <f>IF($C109="","",IFERROR(IF(INDEX(Roster!$K:$K,MATCH($C109,Roster!$B:$B,0))="","",INDEX(Roster!$K:$K,MATCH($C109,Roster!$B:$B,0))&amp;""),"—"))</f>
        <v/>
      </c>
      <c r="M109" s="27" t="n"/>
      <c r="N109" s="27" t="n"/>
      <c r="O109" s="25">
        <f>IF($C109="","",IF($P109="","—",IF($P109="Valid (Pass)","Valid","Invalid")))</f>
        <v/>
      </c>
      <c r="P109" s="27" t="n"/>
      <c r="Q109" s="27" t="n"/>
      <c r="R109" s="27" t="n"/>
      <c r="S109" s="27" t="n"/>
      <c r="T109" s="25">
        <f>IF($C109="","",IF(OR(ISNUMBER(SEARCH("quick case",$P109)),ISNUMBER(SEARCH("quick case",$Q109))),"Yes","No"))</f>
        <v/>
      </c>
      <c r="U109" s="25">
        <f>IF($O109="Invalid",HYPERLINK("mailto:"&amp;$G109&amp;";"&amp;$I109&amp;"?cc="&amp;Lists!$E$2&amp;"&amp;subject="&amp;_xlfn.ENCODEURL("[INVALID] Quality audit monitoring completed for "&amp;UPPER($C109))&amp;"&amp;body="&amp;_xlfn.ENCODEURL("Hi "&amp;$F109&amp;","&amp;CHAR(10)&amp;"Good day!"&amp;CHAR(10)&amp;CHAR(10)&amp;"A quality monitoring audit has been completed for "&amp;$C109&amp;"."&amp;CHAR(10)&amp;CHAR(10)&amp;"QUALITY AUDIT DETAILS"&amp;CHAR(10)&amp;"Agent Name: "&amp;$C109&amp;" (EID "&amp;$D109&amp;")"&amp;CHAR(10)&amp;"Audit Date: "&amp;TEXT($B109,"yyyy-mm-dd")&amp;CHAR(10)&amp;"Team Leader: "&amp;$F109&amp;CHAR(10)&amp;"Case Number: "&amp;$M109&amp;CHAR(10)&amp;"Transaction ID: "&amp;$N109&amp;CHAR(10)&amp;"Channel / LOB: "&amp;$K109&amp;" / "&amp;$L109&amp;CHAR(10)&amp;"Evaluator: "&amp;$S109&amp;CHAR(10)&amp;CHAR(10)&amp;"INVALID QUALITY AUDIT DETAILS"&amp;CHAR(10)&amp;"Validation: Invalid"&amp;CHAR(10)&amp;"Invalid Reason: "&amp;$P109&amp;CHAR(10)&amp;"Expected Resolution Code: "&amp;$Q109&amp;CHAR(10)&amp;"Remarks: "&amp;LEFT($R109,600)&amp;CHAR(10)&amp;CHAR(10)&amp;"This is an automated notification from HP Mainstream EQMS."),"✉ Open Email Draft"),"")</f>
        <v/>
      </c>
    </row>
    <row r="110">
      <c r="A110" s="25">
        <f>IF($C110="","","AUD-2026-"&amp;TEXT(ROW()-1,"000000"))</f>
        <v/>
      </c>
      <c r="B110" s="26" t="n"/>
      <c r="C110" s="27" t="n"/>
      <c r="D110" s="25">
        <f>IF($C110="","",IFERROR(IF(INDEX(Roster!$A:$A,MATCH($C110,Roster!$B:$B,0))="","",INDEX(Roster!$A:$A,MATCH($C110,Roster!$B:$B,0))&amp;""),"—"))</f>
        <v/>
      </c>
      <c r="E110" s="25">
        <f>IF($C110="","",IFERROR(IF(INDEX(Roster!$C:$C,MATCH($C110,Roster!$B:$B,0))="","",INDEX(Roster!$C:$C,MATCH($C110,Roster!$B:$B,0))&amp;""),"—"))</f>
        <v/>
      </c>
      <c r="F110" s="25">
        <f>IF($C110="","",IFERROR(IF(INDEX(Roster!$D:$D,MATCH($C110,Roster!$B:$B,0))="","",INDEX(Roster!$D:$D,MATCH($C110,Roster!$B:$B,0))&amp;""),"—"))</f>
        <v/>
      </c>
      <c r="G110" s="25">
        <f>IF($C110="","",IFERROR(IF(INDEX(Roster!$E:$E,MATCH($C110,Roster!$B:$B,0))="","",INDEX(Roster!$E:$E,MATCH($C110,Roster!$B:$B,0))&amp;""),"—"))</f>
        <v/>
      </c>
      <c r="H110" s="25">
        <f>IF($C110="","",IFERROR(IF(INDEX(Roster!$F:$F,MATCH($C110,Roster!$B:$B,0))="","",INDEX(Roster!$F:$F,MATCH($C110,Roster!$B:$B,0))&amp;""),"—"))</f>
        <v/>
      </c>
      <c r="I110" s="25">
        <f>IF($C110="","",IFERROR(IF(INDEX(Roster!$G:$G,MATCH($C110,Roster!$B:$B,0))="","",INDEX(Roster!$G:$G,MATCH($C110,Roster!$B:$B,0))&amp;""),"—"))</f>
        <v/>
      </c>
      <c r="J110" s="25">
        <f>IF($C110="","",IFERROR(IF(INDEX(Roster!$I:$I,MATCH($C110,Roster!$B:$B,0))="","",INDEX(Roster!$I:$I,MATCH($C110,Roster!$B:$B,0))&amp;""),"—"))</f>
        <v/>
      </c>
      <c r="K110">
        <f>IF($C110="","",IFERROR(IF(INDEX(Roster!$J:$J,MATCH($C110,Roster!$B:$B,0))="","",INDEX(Roster!$J:$J,MATCH($C110,Roster!$B:$B,0))&amp;""),"—"))</f>
        <v/>
      </c>
      <c r="L110">
        <f>IF($C110="","",IFERROR(IF(INDEX(Roster!$K:$K,MATCH($C110,Roster!$B:$B,0))="","",INDEX(Roster!$K:$K,MATCH($C110,Roster!$B:$B,0))&amp;""),"—"))</f>
        <v/>
      </c>
      <c r="M110" s="27" t="n"/>
      <c r="N110" s="27" t="n"/>
      <c r="O110" s="25">
        <f>IF($C110="","",IF($P110="","—",IF($P110="Valid (Pass)","Valid","Invalid")))</f>
        <v/>
      </c>
      <c r="P110" s="27" t="n"/>
      <c r="Q110" s="27" t="n"/>
      <c r="R110" s="27" t="n"/>
      <c r="S110" s="27" t="n"/>
      <c r="T110" s="25">
        <f>IF($C110="","",IF(OR(ISNUMBER(SEARCH("quick case",$P110)),ISNUMBER(SEARCH("quick case",$Q110))),"Yes","No"))</f>
        <v/>
      </c>
      <c r="U110" s="25">
        <f>IF($O110="Invalid",HYPERLINK("mailto:"&amp;$G110&amp;";"&amp;$I110&amp;"?cc="&amp;Lists!$E$2&amp;"&amp;subject="&amp;_xlfn.ENCODEURL("[INVALID] Quality audit monitoring completed for "&amp;UPPER($C110))&amp;"&amp;body="&amp;_xlfn.ENCODEURL("Hi "&amp;$F110&amp;","&amp;CHAR(10)&amp;"Good day!"&amp;CHAR(10)&amp;CHAR(10)&amp;"A quality monitoring audit has been completed for "&amp;$C110&amp;"."&amp;CHAR(10)&amp;CHAR(10)&amp;"QUALITY AUDIT DETAILS"&amp;CHAR(10)&amp;"Agent Name: "&amp;$C110&amp;" (EID "&amp;$D110&amp;")"&amp;CHAR(10)&amp;"Audit Date: "&amp;TEXT($B110,"yyyy-mm-dd")&amp;CHAR(10)&amp;"Team Leader: "&amp;$F110&amp;CHAR(10)&amp;"Case Number: "&amp;$M110&amp;CHAR(10)&amp;"Transaction ID: "&amp;$N110&amp;CHAR(10)&amp;"Channel / LOB: "&amp;$K110&amp;" / "&amp;$L110&amp;CHAR(10)&amp;"Evaluator: "&amp;$S110&amp;CHAR(10)&amp;CHAR(10)&amp;"INVALID QUALITY AUDIT DETAILS"&amp;CHAR(10)&amp;"Validation: Invalid"&amp;CHAR(10)&amp;"Invalid Reason: "&amp;$P110&amp;CHAR(10)&amp;"Expected Resolution Code: "&amp;$Q110&amp;CHAR(10)&amp;"Remarks: "&amp;LEFT($R110,600)&amp;CHAR(10)&amp;CHAR(10)&amp;"This is an automated notification from HP Mainstream EQMS."),"✉ Open Email Draft"),"")</f>
        <v/>
      </c>
    </row>
    <row r="111">
      <c r="A111" s="25">
        <f>IF($C111="","","AUD-2026-"&amp;TEXT(ROW()-1,"000000"))</f>
        <v/>
      </c>
      <c r="B111" s="26" t="n"/>
      <c r="C111" s="27" t="n"/>
      <c r="D111" s="25">
        <f>IF($C111="","",IFERROR(IF(INDEX(Roster!$A:$A,MATCH($C111,Roster!$B:$B,0))="","",INDEX(Roster!$A:$A,MATCH($C111,Roster!$B:$B,0))&amp;""),"—"))</f>
        <v/>
      </c>
      <c r="E111" s="25">
        <f>IF($C111="","",IFERROR(IF(INDEX(Roster!$C:$C,MATCH($C111,Roster!$B:$B,0))="","",INDEX(Roster!$C:$C,MATCH($C111,Roster!$B:$B,0))&amp;""),"—"))</f>
        <v/>
      </c>
      <c r="F111" s="25">
        <f>IF($C111="","",IFERROR(IF(INDEX(Roster!$D:$D,MATCH($C111,Roster!$B:$B,0))="","",INDEX(Roster!$D:$D,MATCH($C111,Roster!$B:$B,0))&amp;""),"—"))</f>
        <v/>
      </c>
      <c r="G111" s="25">
        <f>IF($C111="","",IFERROR(IF(INDEX(Roster!$E:$E,MATCH($C111,Roster!$B:$B,0))="","",INDEX(Roster!$E:$E,MATCH($C111,Roster!$B:$B,0))&amp;""),"—"))</f>
        <v/>
      </c>
      <c r="H111" s="25">
        <f>IF($C111="","",IFERROR(IF(INDEX(Roster!$F:$F,MATCH($C111,Roster!$B:$B,0))="","",INDEX(Roster!$F:$F,MATCH($C111,Roster!$B:$B,0))&amp;""),"—"))</f>
        <v/>
      </c>
      <c r="I111" s="25">
        <f>IF($C111="","",IFERROR(IF(INDEX(Roster!$G:$G,MATCH($C111,Roster!$B:$B,0))="","",INDEX(Roster!$G:$G,MATCH($C111,Roster!$B:$B,0))&amp;""),"—"))</f>
        <v/>
      </c>
      <c r="J111" s="25">
        <f>IF($C111="","",IFERROR(IF(INDEX(Roster!$I:$I,MATCH($C111,Roster!$B:$B,0))="","",INDEX(Roster!$I:$I,MATCH($C111,Roster!$B:$B,0))&amp;""),"—"))</f>
        <v/>
      </c>
      <c r="K111">
        <f>IF($C111="","",IFERROR(IF(INDEX(Roster!$J:$J,MATCH($C111,Roster!$B:$B,0))="","",INDEX(Roster!$J:$J,MATCH($C111,Roster!$B:$B,0))&amp;""),"—"))</f>
        <v/>
      </c>
      <c r="L111">
        <f>IF($C111="","",IFERROR(IF(INDEX(Roster!$K:$K,MATCH($C111,Roster!$B:$B,0))="","",INDEX(Roster!$K:$K,MATCH($C111,Roster!$B:$B,0))&amp;""),"—"))</f>
        <v/>
      </c>
      <c r="M111" s="27" t="n"/>
      <c r="N111" s="27" t="n"/>
      <c r="O111" s="25">
        <f>IF($C111="","",IF($P111="","—",IF($P111="Valid (Pass)","Valid","Invalid")))</f>
        <v/>
      </c>
      <c r="P111" s="27" t="n"/>
      <c r="Q111" s="27" t="n"/>
      <c r="R111" s="27" t="n"/>
      <c r="S111" s="27" t="n"/>
      <c r="T111" s="25">
        <f>IF($C111="","",IF(OR(ISNUMBER(SEARCH("quick case",$P111)),ISNUMBER(SEARCH("quick case",$Q111))),"Yes","No"))</f>
        <v/>
      </c>
      <c r="U111" s="25">
        <f>IF($O111="Invalid",HYPERLINK("mailto:"&amp;$G111&amp;";"&amp;$I111&amp;"?cc="&amp;Lists!$E$2&amp;"&amp;subject="&amp;_xlfn.ENCODEURL("[INVALID] Quality audit monitoring completed for "&amp;UPPER($C111))&amp;"&amp;body="&amp;_xlfn.ENCODEURL("Hi "&amp;$F111&amp;","&amp;CHAR(10)&amp;"Good day!"&amp;CHAR(10)&amp;CHAR(10)&amp;"A quality monitoring audit has been completed for "&amp;$C111&amp;"."&amp;CHAR(10)&amp;CHAR(10)&amp;"QUALITY AUDIT DETAILS"&amp;CHAR(10)&amp;"Agent Name: "&amp;$C111&amp;" (EID "&amp;$D111&amp;")"&amp;CHAR(10)&amp;"Audit Date: "&amp;TEXT($B111,"yyyy-mm-dd")&amp;CHAR(10)&amp;"Team Leader: "&amp;$F111&amp;CHAR(10)&amp;"Case Number: "&amp;$M111&amp;CHAR(10)&amp;"Transaction ID: "&amp;$N111&amp;CHAR(10)&amp;"Channel / LOB: "&amp;$K111&amp;" / "&amp;$L111&amp;CHAR(10)&amp;"Evaluator: "&amp;$S111&amp;CHAR(10)&amp;CHAR(10)&amp;"INVALID QUALITY AUDIT DETAILS"&amp;CHAR(10)&amp;"Validation: Invalid"&amp;CHAR(10)&amp;"Invalid Reason: "&amp;$P111&amp;CHAR(10)&amp;"Expected Resolution Code: "&amp;$Q111&amp;CHAR(10)&amp;"Remarks: "&amp;LEFT($R111,600)&amp;CHAR(10)&amp;CHAR(10)&amp;"This is an automated notification from HP Mainstream EQMS."),"✉ Open Email Draft"),"")</f>
        <v/>
      </c>
    </row>
    <row r="112">
      <c r="A112" s="25">
        <f>IF($C112="","","AUD-2026-"&amp;TEXT(ROW()-1,"000000"))</f>
        <v/>
      </c>
      <c r="B112" s="26" t="n"/>
      <c r="C112" s="27" t="n"/>
      <c r="D112" s="25">
        <f>IF($C112="","",IFERROR(IF(INDEX(Roster!$A:$A,MATCH($C112,Roster!$B:$B,0))="","",INDEX(Roster!$A:$A,MATCH($C112,Roster!$B:$B,0))&amp;""),"—"))</f>
        <v/>
      </c>
      <c r="E112" s="25">
        <f>IF($C112="","",IFERROR(IF(INDEX(Roster!$C:$C,MATCH($C112,Roster!$B:$B,0))="","",INDEX(Roster!$C:$C,MATCH($C112,Roster!$B:$B,0))&amp;""),"—"))</f>
        <v/>
      </c>
      <c r="F112" s="25">
        <f>IF($C112="","",IFERROR(IF(INDEX(Roster!$D:$D,MATCH($C112,Roster!$B:$B,0))="","",INDEX(Roster!$D:$D,MATCH($C112,Roster!$B:$B,0))&amp;""),"—"))</f>
        <v/>
      </c>
      <c r="G112" s="25">
        <f>IF($C112="","",IFERROR(IF(INDEX(Roster!$E:$E,MATCH($C112,Roster!$B:$B,0))="","",INDEX(Roster!$E:$E,MATCH($C112,Roster!$B:$B,0))&amp;""),"—"))</f>
        <v/>
      </c>
      <c r="H112" s="25">
        <f>IF($C112="","",IFERROR(IF(INDEX(Roster!$F:$F,MATCH($C112,Roster!$B:$B,0))="","",INDEX(Roster!$F:$F,MATCH($C112,Roster!$B:$B,0))&amp;""),"—"))</f>
        <v/>
      </c>
      <c r="I112" s="25">
        <f>IF($C112="","",IFERROR(IF(INDEX(Roster!$G:$G,MATCH($C112,Roster!$B:$B,0))="","",INDEX(Roster!$G:$G,MATCH($C112,Roster!$B:$B,0))&amp;""),"—"))</f>
        <v/>
      </c>
      <c r="J112" s="25">
        <f>IF($C112="","",IFERROR(IF(INDEX(Roster!$I:$I,MATCH($C112,Roster!$B:$B,0))="","",INDEX(Roster!$I:$I,MATCH($C112,Roster!$B:$B,0))&amp;""),"—"))</f>
        <v/>
      </c>
      <c r="K112">
        <f>IF($C112="","",IFERROR(IF(INDEX(Roster!$J:$J,MATCH($C112,Roster!$B:$B,0))="","",INDEX(Roster!$J:$J,MATCH($C112,Roster!$B:$B,0))&amp;""),"—"))</f>
        <v/>
      </c>
      <c r="L112">
        <f>IF($C112="","",IFERROR(IF(INDEX(Roster!$K:$K,MATCH($C112,Roster!$B:$B,0))="","",INDEX(Roster!$K:$K,MATCH($C112,Roster!$B:$B,0))&amp;""),"—"))</f>
        <v/>
      </c>
      <c r="M112" s="27" t="n"/>
      <c r="N112" s="27" t="n"/>
      <c r="O112" s="25">
        <f>IF($C112="","",IF($P112="","—",IF($P112="Valid (Pass)","Valid","Invalid")))</f>
        <v/>
      </c>
      <c r="P112" s="27" t="n"/>
      <c r="Q112" s="27" t="n"/>
      <c r="R112" s="27" t="n"/>
      <c r="S112" s="27" t="n"/>
      <c r="T112" s="25">
        <f>IF($C112="","",IF(OR(ISNUMBER(SEARCH("quick case",$P112)),ISNUMBER(SEARCH("quick case",$Q112))),"Yes","No"))</f>
        <v/>
      </c>
      <c r="U112" s="25">
        <f>IF($O112="Invalid",HYPERLINK("mailto:"&amp;$G112&amp;";"&amp;$I112&amp;"?cc="&amp;Lists!$E$2&amp;"&amp;subject="&amp;_xlfn.ENCODEURL("[INVALID] Quality audit monitoring completed for "&amp;UPPER($C112))&amp;"&amp;body="&amp;_xlfn.ENCODEURL("Hi "&amp;$F112&amp;","&amp;CHAR(10)&amp;"Good day!"&amp;CHAR(10)&amp;CHAR(10)&amp;"A quality monitoring audit has been completed for "&amp;$C112&amp;"."&amp;CHAR(10)&amp;CHAR(10)&amp;"QUALITY AUDIT DETAILS"&amp;CHAR(10)&amp;"Agent Name: "&amp;$C112&amp;" (EID "&amp;$D112&amp;")"&amp;CHAR(10)&amp;"Audit Date: "&amp;TEXT($B112,"yyyy-mm-dd")&amp;CHAR(10)&amp;"Team Leader: "&amp;$F112&amp;CHAR(10)&amp;"Case Number: "&amp;$M112&amp;CHAR(10)&amp;"Transaction ID: "&amp;$N112&amp;CHAR(10)&amp;"Channel / LOB: "&amp;$K112&amp;" / "&amp;$L112&amp;CHAR(10)&amp;"Evaluator: "&amp;$S112&amp;CHAR(10)&amp;CHAR(10)&amp;"INVALID QUALITY AUDIT DETAILS"&amp;CHAR(10)&amp;"Validation: Invalid"&amp;CHAR(10)&amp;"Invalid Reason: "&amp;$P112&amp;CHAR(10)&amp;"Expected Resolution Code: "&amp;$Q112&amp;CHAR(10)&amp;"Remarks: "&amp;LEFT($R112,600)&amp;CHAR(10)&amp;CHAR(10)&amp;"This is an automated notification from HP Mainstream EQMS."),"✉ Open Email Draft"),"")</f>
        <v/>
      </c>
    </row>
    <row r="113">
      <c r="A113" s="25">
        <f>IF($C113="","","AUD-2026-"&amp;TEXT(ROW()-1,"000000"))</f>
        <v/>
      </c>
      <c r="B113" s="26" t="n"/>
      <c r="C113" s="27" t="n"/>
      <c r="D113" s="25">
        <f>IF($C113="","",IFERROR(IF(INDEX(Roster!$A:$A,MATCH($C113,Roster!$B:$B,0))="","",INDEX(Roster!$A:$A,MATCH($C113,Roster!$B:$B,0))&amp;""),"—"))</f>
        <v/>
      </c>
      <c r="E113" s="25">
        <f>IF($C113="","",IFERROR(IF(INDEX(Roster!$C:$C,MATCH($C113,Roster!$B:$B,0))="","",INDEX(Roster!$C:$C,MATCH($C113,Roster!$B:$B,0))&amp;""),"—"))</f>
        <v/>
      </c>
      <c r="F113" s="25">
        <f>IF($C113="","",IFERROR(IF(INDEX(Roster!$D:$D,MATCH($C113,Roster!$B:$B,0))="","",INDEX(Roster!$D:$D,MATCH($C113,Roster!$B:$B,0))&amp;""),"—"))</f>
        <v/>
      </c>
      <c r="G113" s="25">
        <f>IF($C113="","",IFERROR(IF(INDEX(Roster!$E:$E,MATCH($C113,Roster!$B:$B,0))="","",INDEX(Roster!$E:$E,MATCH($C113,Roster!$B:$B,0))&amp;""),"—"))</f>
        <v/>
      </c>
      <c r="H113" s="25">
        <f>IF($C113="","",IFERROR(IF(INDEX(Roster!$F:$F,MATCH($C113,Roster!$B:$B,0))="","",INDEX(Roster!$F:$F,MATCH($C113,Roster!$B:$B,0))&amp;""),"—"))</f>
        <v/>
      </c>
      <c r="I113" s="25">
        <f>IF($C113="","",IFERROR(IF(INDEX(Roster!$G:$G,MATCH($C113,Roster!$B:$B,0))="","",INDEX(Roster!$G:$G,MATCH($C113,Roster!$B:$B,0))&amp;""),"—"))</f>
        <v/>
      </c>
      <c r="J113" s="25">
        <f>IF($C113="","",IFERROR(IF(INDEX(Roster!$I:$I,MATCH($C113,Roster!$B:$B,0))="","",INDEX(Roster!$I:$I,MATCH($C113,Roster!$B:$B,0))&amp;""),"—"))</f>
        <v/>
      </c>
      <c r="K113">
        <f>IF($C113="","",IFERROR(IF(INDEX(Roster!$J:$J,MATCH($C113,Roster!$B:$B,0))="","",INDEX(Roster!$J:$J,MATCH($C113,Roster!$B:$B,0))&amp;""),"—"))</f>
        <v/>
      </c>
      <c r="L113">
        <f>IF($C113="","",IFERROR(IF(INDEX(Roster!$K:$K,MATCH($C113,Roster!$B:$B,0))="","",INDEX(Roster!$K:$K,MATCH($C113,Roster!$B:$B,0))&amp;""),"—"))</f>
        <v/>
      </c>
      <c r="M113" s="27" t="n"/>
      <c r="N113" s="27" t="n"/>
      <c r="O113" s="25">
        <f>IF($C113="","",IF($P113="","—",IF($P113="Valid (Pass)","Valid","Invalid")))</f>
        <v/>
      </c>
      <c r="P113" s="27" t="n"/>
      <c r="Q113" s="27" t="n"/>
      <c r="R113" s="27" t="n"/>
      <c r="S113" s="27" t="n"/>
      <c r="T113" s="25">
        <f>IF($C113="","",IF(OR(ISNUMBER(SEARCH("quick case",$P113)),ISNUMBER(SEARCH("quick case",$Q113))),"Yes","No"))</f>
        <v/>
      </c>
      <c r="U113" s="25">
        <f>IF($O113="Invalid",HYPERLINK("mailto:"&amp;$G113&amp;";"&amp;$I113&amp;"?cc="&amp;Lists!$E$2&amp;"&amp;subject="&amp;_xlfn.ENCODEURL("[INVALID] Quality audit monitoring completed for "&amp;UPPER($C113))&amp;"&amp;body="&amp;_xlfn.ENCODEURL("Hi "&amp;$F113&amp;","&amp;CHAR(10)&amp;"Good day!"&amp;CHAR(10)&amp;CHAR(10)&amp;"A quality monitoring audit has been completed for "&amp;$C113&amp;"."&amp;CHAR(10)&amp;CHAR(10)&amp;"QUALITY AUDIT DETAILS"&amp;CHAR(10)&amp;"Agent Name: "&amp;$C113&amp;" (EID "&amp;$D113&amp;")"&amp;CHAR(10)&amp;"Audit Date: "&amp;TEXT($B113,"yyyy-mm-dd")&amp;CHAR(10)&amp;"Team Leader: "&amp;$F113&amp;CHAR(10)&amp;"Case Number: "&amp;$M113&amp;CHAR(10)&amp;"Transaction ID: "&amp;$N113&amp;CHAR(10)&amp;"Channel / LOB: "&amp;$K113&amp;" / "&amp;$L113&amp;CHAR(10)&amp;"Evaluator: "&amp;$S113&amp;CHAR(10)&amp;CHAR(10)&amp;"INVALID QUALITY AUDIT DETAILS"&amp;CHAR(10)&amp;"Validation: Invalid"&amp;CHAR(10)&amp;"Invalid Reason: "&amp;$P113&amp;CHAR(10)&amp;"Expected Resolution Code: "&amp;$Q113&amp;CHAR(10)&amp;"Remarks: "&amp;LEFT($R113,600)&amp;CHAR(10)&amp;CHAR(10)&amp;"This is an automated notification from HP Mainstream EQMS."),"✉ Open Email Draft"),"")</f>
        <v/>
      </c>
    </row>
    <row r="114">
      <c r="A114" s="25">
        <f>IF($C114="","","AUD-2026-"&amp;TEXT(ROW()-1,"000000"))</f>
        <v/>
      </c>
      <c r="B114" s="26" t="n"/>
      <c r="C114" s="27" t="n"/>
      <c r="D114" s="25">
        <f>IF($C114="","",IFERROR(IF(INDEX(Roster!$A:$A,MATCH($C114,Roster!$B:$B,0))="","",INDEX(Roster!$A:$A,MATCH($C114,Roster!$B:$B,0))&amp;""),"—"))</f>
        <v/>
      </c>
      <c r="E114" s="25">
        <f>IF($C114="","",IFERROR(IF(INDEX(Roster!$C:$C,MATCH($C114,Roster!$B:$B,0))="","",INDEX(Roster!$C:$C,MATCH($C114,Roster!$B:$B,0))&amp;""),"—"))</f>
        <v/>
      </c>
      <c r="F114" s="25">
        <f>IF($C114="","",IFERROR(IF(INDEX(Roster!$D:$D,MATCH($C114,Roster!$B:$B,0))="","",INDEX(Roster!$D:$D,MATCH($C114,Roster!$B:$B,0))&amp;""),"—"))</f>
        <v/>
      </c>
      <c r="G114" s="25">
        <f>IF($C114="","",IFERROR(IF(INDEX(Roster!$E:$E,MATCH($C114,Roster!$B:$B,0))="","",INDEX(Roster!$E:$E,MATCH($C114,Roster!$B:$B,0))&amp;""),"—"))</f>
        <v/>
      </c>
      <c r="H114" s="25">
        <f>IF($C114="","",IFERROR(IF(INDEX(Roster!$F:$F,MATCH($C114,Roster!$B:$B,0))="","",INDEX(Roster!$F:$F,MATCH($C114,Roster!$B:$B,0))&amp;""),"—"))</f>
        <v/>
      </c>
      <c r="I114" s="25">
        <f>IF($C114="","",IFERROR(IF(INDEX(Roster!$G:$G,MATCH($C114,Roster!$B:$B,0))="","",INDEX(Roster!$G:$G,MATCH($C114,Roster!$B:$B,0))&amp;""),"—"))</f>
        <v/>
      </c>
      <c r="J114" s="25">
        <f>IF($C114="","",IFERROR(IF(INDEX(Roster!$I:$I,MATCH($C114,Roster!$B:$B,0))="","",INDEX(Roster!$I:$I,MATCH($C114,Roster!$B:$B,0))&amp;""),"—"))</f>
        <v/>
      </c>
      <c r="K114">
        <f>IF($C114="","",IFERROR(IF(INDEX(Roster!$J:$J,MATCH($C114,Roster!$B:$B,0))="","",INDEX(Roster!$J:$J,MATCH($C114,Roster!$B:$B,0))&amp;""),"—"))</f>
        <v/>
      </c>
      <c r="L114">
        <f>IF($C114="","",IFERROR(IF(INDEX(Roster!$K:$K,MATCH($C114,Roster!$B:$B,0))="","",INDEX(Roster!$K:$K,MATCH($C114,Roster!$B:$B,0))&amp;""),"—"))</f>
        <v/>
      </c>
      <c r="M114" s="27" t="n"/>
      <c r="N114" s="27" t="n"/>
      <c r="O114" s="25">
        <f>IF($C114="","",IF($P114="","—",IF($P114="Valid (Pass)","Valid","Invalid")))</f>
        <v/>
      </c>
      <c r="P114" s="27" t="n"/>
      <c r="Q114" s="27" t="n"/>
      <c r="R114" s="27" t="n"/>
      <c r="S114" s="27" t="n"/>
      <c r="T114" s="25">
        <f>IF($C114="","",IF(OR(ISNUMBER(SEARCH("quick case",$P114)),ISNUMBER(SEARCH("quick case",$Q114))),"Yes","No"))</f>
        <v/>
      </c>
      <c r="U114" s="25">
        <f>IF($O114="Invalid",HYPERLINK("mailto:"&amp;$G114&amp;";"&amp;$I114&amp;"?cc="&amp;Lists!$E$2&amp;"&amp;subject="&amp;_xlfn.ENCODEURL("[INVALID] Quality audit monitoring completed for "&amp;UPPER($C114))&amp;"&amp;body="&amp;_xlfn.ENCODEURL("Hi "&amp;$F114&amp;","&amp;CHAR(10)&amp;"Good day!"&amp;CHAR(10)&amp;CHAR(10)&amp;"A quality monitoring audit has been completed for "&amp;$C114&amp;"."&amp;CHAR(10)&amp;CHAR(10)&amp;"QUALITY AUDIT DETAILS"&amp;CHAR(10)&amp;"Agent Name: "&amp;$C114&amp;" (EID "&amp;$D114&amp;")"&amp;CHAR(10)&amp;"Audit Date: "&amp;TEXT($B114,"yyyy-mm-dd")&amp;CHAR(10)&amp;"Team Leader: "&amp;$F114&amp;CHAR(10)&amp;"Case Number: "&amp;$M114&amp;CHAR(10)&amp;"Transaction ID: "&amp;$N114&amp;CHAR(10)&amp;"Channel / LOB: "&amp;$K114&amp;" / "&amp;$L114&amp;CHAR(10)&amp;"Evaluator: "&amp;$S114&amp;CHAR(10)&amp;CHAR(10)&amp;"INVALID QUALITY AUDIT DETAILS"&amp;CHAR(10)&amp;"Validation: Invalid"&amp;CHAR(10)&amp;"Invalid Reason: "&amp;$P114&amp;CHAR(10)&amp;"Expected Resolution Code: "&amp;$Q114&amp;CHAR(10)&amp;"Remarks: "&amp;LEFT($R114,600)&amp;CHAR(10)&amp;CHAR(10)&amp;"This is an automated notification from HP Mainstream EQMS."),"✉ Open Email Draft"),"")</f>
        <v/>
      </c>
    </row>
    <row r="115">
      <c r="A115" s="25">
        <f>IF($C115="","","AUD-2026-"&amp;TEXT(ROW()-1,"000000"))</f>
        <v/>
      </c>
      <c r="B115" s="26" t="n"/>
      <c r="C115" s="27" t="n"/>
      <c r="D115" s="25">
        <f>IF($C115="","",IFERROR(IF(INDEX(Roster!$A:$A,MATCH($C115,Roster!$B:$B,0))="","",INDEX(Roster!$A:$A,MATCH($C115,Roster!$B:$B,0))&amp;""),"—"))</f>
        <v/>
      </c>
      <c r="E115" s="25">
        <f>IF($C115="","",IFERROR(IF(INDEX(Roster!$C:$C,MATCH($C115,Roster!$B:$B,0))="","",INDEX(Roster!$C:$C,MATCH($C115,Roster!$B:$B,0))&amp;""),"—"))</f>
        <v/>
      </c>
      <c r="F115" s="25">
        <f>IF($C115="","",IFERROR(IF(INDEX(Roster!$D:$D,MATCH($C115,Roster!$B:$B,0))="","",INDEX(Roster!$D:$D,MATCH($C115,Roster!$B:$B,0))&amp;""),"—"))</f>
        <v/>
      </c>
      <c r="G115" s="25">
        <f>IF($C115="","",IFERROR(IF(INDEX(Roster!$E:$E,MATCH($C115,Roster!$B:$B,0))="","",INDEX(Roster!$E:$E,MATCH($C115,Roster!$B:$B,0))&amp;""),"—"))</f>
        <v/>
      </c>
      <c r="H115" s="25">
        <f>IF($C115="","",IFERROR(IF(INDEX(Roster!$F:$F,MATCH($C115,Roster!$B:$B,0))="","",INDEX(Roster!$F:$F,MATCH($C115,Roster!$B:$B,0))&amp;""),"—"))</f>
        <v/>
      </c>
      <c r="I115" s="25">
        <f>IF($C115="","",IFERROR(IF(INDEX(Roster!$G:$G,MATCH($C115,Roster!$B:$B,0))="","",INDEX(Roster!$G:$G,MATCH($C115,Roster!$B:$B,0))&amp;""),"—"))</f>
        <v/>
      </c>
      <c r="J115" s="25">
        <f>IF($C115="","",IFERROR(IF(INDEX(Roster!$I:$I,MATCH($C115,Roster!$B:$B,0))="","",INDEX(Roster!$I:$I,MATCH($C115,Roster!$B:$B,0))&amp;""),"—"))</f>
        <v/>
      </c>
      <c r="K115">
        <f>IF($C115="","",IFERROR(IF(INDEX(Roster!$J:$J,MATCH($C115,Roster!$B:$B,0))="","",INDEX(Roster!$J:$J,MATCH($C115,Roster!$B:$B,0))&amp;""),"—"))</f>
        <v/>
      </c>
      <c r="L115">
        <f>IF($C115="","",IFERROR(IF(INDEX(Roster!$K:$K,MATCH($C115,Roster!$B:$B,0))="","",INDEX(Roster!$K:$K,MATCH($C115,Roster!$B:$B,0))&amp;""),"—"))</f>
        <v/>
      </c>
      <c r="M115" s="27" t="n"/>
      <c r="N115" s="27" t="n"/>
      <c r="O115" s="25">
        <f>IF($C115="","",IF($P115="","—",IF($P115="Valid (Pass)","Valid","Invalid")))</f>
        <v/>
      </c>
      <c r="P115" s="27" t="n"/>
      <c r="Q115" s="27" t="n"/>
      <c r="R115" s="27" t="n"/>
      <c r="S115" s="27" t="n"/>
      <c r="T115" s="25">
        <f>IF($C115="","",IF(OR(ISNUMBER(SEARCH("quick case",$P115)),ISNUMBER(SEARCH("quick case",$Q115))),"Yes","No"))</f>
        <v/>
      </c>
      <c r="U115" s="25">
        <f>IF($O115="Invalid",HYPERLINK("mailto:"&amp;$G115&amp;";"&amp;$I115&amp;"?cc="&amp;Lists!$E$2&amp;"&amp;subject="&amp;_xlfn.ENCODEURL("[INVALID] Quality audit monitoring completed for "&amp;UPPER($C115))&amp;"&amp;body="&amp;_xlfn.ENCODEURL("Hi "&amp;$F115&amp;","&amp;CHAR(10)&amp;"Good day!"&amp;CHAR(10)&amp;CHAR(10)&amp;"A quality monitoring audit has been completed for "&amp;$C115&amp;"."&amp;CHAR(10)&amp;CHAR(10)&amp;"QUALITY AUDIT DETAILS"&amp;CHAR(10)&amp;"Agent Name: "&amp;$C115&amp;" (EID "&amp;$D115&amp;")"&amp;CHAR(10)&amp;"Audit Date: "&amp;TEXT($B115,"yyyy-mm-dd")&amp;CHAR(10)&amp;"Team Leader: "&amp;$F115&amp;CHAR(10)&amp;"Case Number: "&amp;$M115&amp;CHAR(10)&amp;"Transaction ID: "&amp;$N115&amp;CHAR(10)&amp;"Channel / LOB: "&amp;$K115&amp;" / "&amp;$L115&amp;CHAR(10)&amp;"Evaluator: "&amp;$S115&amp;CHAR(10)&amp;CHAR(10)&amp;"INVALID QUALITY AUDIT DETAILS"&amp;CHAR(10)&amp;"Validation: Invalid"&amp;CHAR(10)&amp;"Invalid Reason: "&amp;$P115&amp;CHAR(10)&amp;"Expected Resolution Code: "&amp;$Q115&amp;CHAR(10)&amp;"Remarks: "&amp;LEFT($R115,600)&amp;CHAR(10)&amp;CHAR(10)&amp;"This is an automated notification from HP Mainstream EQMS."),"✉ Open Email Draft"),"")</f>
        <v/>
      </c>
    </row>
    <row r="116">
      <c r="A116" s="25">
        <f>IF($C116="","","AUD-2026-"&amp;TEXT(ROW()-1,"000000"))</f>
        <v/>
      </c>
      <c r="B116" s="26" t="n"/>
      <c r="C116" s="27" t="n"/>
      <c r="D116" s="25">
        <f>IF($C116="","",IFERROR(IF(INDEX(Roster!$A:$A,MATCH($C116,Roster!$B:$B,0))="","",INDEX(Roster!$A:$A,MATCH($C116,Roster!$B:$B,0))&amp;""),"—"))</f>
        <v/>
      </c>
      <c r="E116" s="25">
        <f>IF($C116="","",IFERROR(IF(INDEX(Roster!$C:$C,MATCH($C116,Roster!$B:$B,0))="","",INDEX(Roster!$C:$C,MATCH($C116,Roster!$B:$B,0))&amp;""),"—"))</f>
        <v/>
      </c>
      <c r="F116" s="25">
        <f>IF($C116="","",IFERROR(IF(INDEX(Roster!$D:$D,MATCH($C116,Roster!$B:$B,0))="","",INDEX(Roster!$D:$D,MATCH($C116,Roster!$B:$B,0))&amp;""),"—"))</f>
        <v/>
      </c>
      <c r="G116" s="25">
        <f>IF($C116="","",IFERROR(IF(INDEX(Roster!$E:$E,MATCH($C116,Roster!$B:$B,0))="","",INDEX(Roster!$E:$E,MATCH($C116,Roster!$B:$B,0))&amp;""),"—"))</f>
        <v/>
      </c>
      <c r="H116" s="25">
        <f>IF($C116="","",IFERROR(IF(INDEX(Roster!$F:$F,MATCH($C116,Roster!$B:$B,0))="","",INDEX(Roster!$F:$F,MATCH($C116,Roster!$B:$B,0))&amp;""),"—"))</f>
        <v/>
      </c>
      <c r="I116" s="25">
        <f>IF($C116="","",IFERROR(IF(INDEX(Roster!$G:$G,MATCH($C116,Roster!$B:$B,0))="","",INDEX(Roster!$G:$G,MATCH($C116,Roster!$B:$B,0))&amp;""),"—"))</f>
        <v/>
      </c>
      <c r="J116" s="25">
        <f>IF($C116="","",IFERROR(IF(INDEX(Roster!$I:$I,MATCH($C116,Roster!$B:$B,0))="","",INDEX(Roster!$I:$I,MATCH($C116,Roster!$B:$B,0))&amp;""),"—"))</f>
        <v/>
      </c>
      <c r="K116">
        <f>IF($C116="","",IFERROR(IF(INDEX(Roster!$J:$J,MATCH($C116,Roster!$B:$B,0))="","",INDEX(Roster!$J:$J,MATCH($C116,Roster!$B:$B,0))&amp;""),"—"))</f>
        <v/>
      </c>
      <c r="L116">
        <f>IF($C116="","",IFERROR(IF(INDEX(Roster!$K:$K,MATCH($C116,Roster!$B:$B,0))="","",INDEX(Roster!$K:$K,MATCH($C116,Roster!$B:$B,0))&amp;""),"—"))</f>
        <v/>
      </c>
      <c r="M116" s="27" t="n"/>
      <c r="N116" s="27" t="n"/>
      <c r="O116" s="25">
        <f>IF($C116="","",IF($P116="","—",IF($P116="Valid (Pass)","Valid","Invalid")))</f>
        <v/>
      </c>
      <c r="P116" s="27" t="n"/>
      <c r="Q116" s="27" t="n"/>
      <c r="R116" s="27" t="n"/>
      <c r="S116" s="27" t="n"/>
      <c r="T116" s="25">
        <f>IF($C116="","",IF(OR(ISNUMBER(SEARCH("quick case",$P116)),ISNUMBER(SEARCH("quick case",$Q116))),"Yes","No"))</f>
        <v/>
      </c>
      <c r="U116" s="25">
        <f>IF($O116="Invalid",HYPERLINK("mailto:"&amp;$G116&amp;";"&amp;$I116&amp;"?cc="&amp;Lists!$E$2&amp;"&amp;subject="&amp;_xlfn.ENCODEURL("[INVALID] Quality audit monitoring completed for "&amp;UPPER($C116))&amp;"&amp;body="&amp;_xlfn.ENCODEURL("Hi "&amp;$F116&amp;","&amp;CHAR(10)&amp;"Good day!"&amp;CHAR(10)&amp;CHAR(10)&amp;"A quality monitoring audit has been completed for "&amp;$C116&amp;"."&amp;CHAR(10)&amp;CHAR(10)&amp;"QUALITY AUDIT DETAILS"&amp;CHAR(10)&amp;"Agent Name: "&amp;$C116&amp;" (EID "&amp;$D116&amp;")"&amp;CHAR(10)&amp;"Audit Date: "&amp;TEXT($B116,"yyyy-mm-dd")&amp;CHAR(10)&amp;"Team Leader: "&amp;$F116&amp;CHAR(10)&amp;"Case Number: "&amp;$M116&amp;CHAR(10)&amp;"Transaction ID: "&amp;$N116&amp;CHAR(10)&amp;"Channel / LOB: "&amp;$K116&amp;" / "&amp;$L116&amp;CHAR(10)&amp;"Evaluator: "&amp;$S116&amp;CHAR(10)&amp;CHAR(10)&amp;"INVALID QUALITY AUDIT DETAILS"&amp;CHAR(10)&amp;"Validation: Invalid"&amp;CHAR(10)&amp;"Invalid Reason: "&amp;$P116&amp;CHAR(10)&amp;"Expected Resolution Code: "&amp;$Q116&amp;CHAR(10)&amp;"Remarks: "&amp;LEFT($R116,600)&amp;CHAR(10)&amp;CHAR(10)&amp;"This is an automated notification from HP Mainstream EQMS."),"✉ Open Email Draft"),"")</f>
        <v/>
      </c>
    </row>
    <row r="117">
      <c r="A117" s="25">
        <f>IF($C117="","","AUD-2026-"&amp;TEXT(ROW()-1,"000000"))</f>
        <v/>
      </c>
      <c r="B117" s="26" t="n"/>
      <c r="C117" s="27" t="n"/>
      <c r="D117" s="25">
        <f>IF($C117="","",IFERROR(IF(INDEX(Roster!$A:$A,MATCH($C117,Roster!$B:$B,0))="","",INDEX(Roster!$A:$A,MATCH($C117,Roster!$B:$B,0))&amp;""),"—"))</f>
        <v/>
      </c>
      <c r="E117" s="25">
        <f>IF($C117="","",IFERROR(IF(INDEX(Roster!$C:$C,MATCH($C117,Roster!$B:$B,0))="","",INDEX(Roster!$C:$C,MATCH($C117,Roster!$B:$B,0))&amp;""),"—"))</f>
        <v/>
      </c>
      <c r="F117" s="25">
        <f>IF($C117="","",IFERROR(IF(INDEX(Roster!$D:$D,MATCH($C117,Roster!$B:$B,0))="","",INDEX(Roster!$D:$D,MATCH($C117,Roster!$B:$B,0))&amp;""),"—"))</f>
        <v/>
      </c>
      <c r="G117" s="25">
        <f>IF($C117="","",IFERROR(IF(INDEX(Roster!$E:$E,MATCH($C117,Roster!$B:$B,0))="","",INDEX(Roster!$E:$E,MATCH($C117,Roster!$B:$B,0))&amp;""),"—"))</f>
        <v/>
      </c>
      <c r="H117" s="25">
        <f>IF($C117="","",IFERROR(IF(INDEX(Roster!$F:$F,MATCH($C117,Roster!$B:$B,0))="","",INDEX(Roster!$F:$F,MATCH($C117,Roster!$B:$B,0))&amp;""),"—"))</f>
        <v/>
      </c>
      <c r="I117" s="25">
        <f>IF($C117="","",IFERROR(IF(INDEX(Roster!$G:$G,MATCH($C117,Roster!$B:$B,0))="","",INDEX(Roster!$G:$G,MATCH($C117,Roster!$B:$B,0))&amp;""),"—"))</f>
        <v/>
      </c>
      <c r="J117" s="25">
        <f>IF($C117="","",IFERROR(IF(INDEX(Roster!$I:$I,MATCH($C117,Roster!$B:$B,0))="","",INDEX(Roster!$I:$I,MATCH($C117,Roster!$B:$B,0))&amp;""),"—"))</f>
        <v/>
      </c>
      <c r="K117">
        <f>IF($C117="","",IFERROR(IF(INDEX(Roster!$J:$J,MATCH($C117,Roster!$B:$B,0))="","",INDEX(Roster!$J:$J,MATCH($C117,Roster!$B:$B,0))&amp;""),"—"))</f>
        <v/>
      </c>
      <c r="L117">
        <f>IF($C117="","",IFERROR(IF(INDEX(Roster!$K:$K,MATCH($C117,Roster!$B:$B,0))="","",INDEX(Roster!$K:$K,MATCH($C117,Roster!$B:$B,0))&amp;""),"—"))</f>
        <v/>
      </c>
      <c r="M117" s="27" t="n"/>
      <c r="N117" s="27" t="n"/>
      <c r="O117" s="25">
        <f>IF($C117="","",IF($P117="","—",IF($P117="Valid (Pass)","Valid","Invalid")))</f>
        <v/>
      </c>
      <c r="P117" s="27" t="n"/>
      <c r="Q117" s="27" t="n"/>
      <c r="R117" s="27" t="n"/>
      <c r="S117" s="27" t="n"/>
      <c r="T117" s="25">
        <f>IF($C117="","",IF(OR(ISNUMBER(SEARCH("quick case",$P117)),ISNUMBER(SEARCH("quick case",$Q117))),"Yes","No"))</f>
        <v/>
      </c>
      <c r="U117" s="25">
        <f>IF($O117="Invalid",HYPERLINK("mailto:"&amp;$G117&amp;";"&amp;$I117&amp;"?cc="&amp;Lists!$E$2&amp;"&amp;subject="&amp;_xlfn.ENCODEURL("[INVALID] Quality audit monitoring completed for "&amp;UPPER($C117))&amp;"&amp;body="&amp;_xlfn.ENCODEURL("Hi "&amp;$F117&amp;","&amp;CHAR(10)&amp;"Good day!"&amp;CHAR(10)&amp;CHAR(10)&amp;"A quality monitoring audit has been completed for "&amp;$C117&amp;"."&amp;CHAR(10)&amp;CHAR(10)&amp;"QUALITY AUDIT DETAILS"&amp;CHAR(10)&amp;"Agent Name: "&amp;$C117&amp;" (EID "&amp;$D117&amp;")"&amp;CHAR(10)&amp;"Audit Date: "&amp;TEXT($B117,"yyyy-mm-dd")&amp;CHAR(10)&amp;"Team Leader: "&amp;$F117&amp;CHAR(10)&amp;"Case Number: "&amp;$M117&amp;CHAR(10)&amp;"Transaction ID: "&amp;$N117&amp;CHAR(10)&amp;"Channel / LOB: "&amp;$K117&amp;" / "&amp;$L117&amp;CHAR(10)&amp;"Evaluator: "&amp;$S117&amp;CHAR(10)&amp;CHAR(10)&amp;"INVALID QUALITY AUDIT DETAILS"&amp;CHAR(10)&amp;"Validation: Invalid"&amp;CHAR(10)&amp;"Invalid Reason: "&amp;$P117&amp;CHAR(10)&amp;"Expected Resolution Code: "&amp;$Q117&amp;CHAR(10)&amp;"Remarks: "&amp;LEFT($R117,600)&amp;CHAR(10)&amp;CHAR(10)&amp;"This is an automated notification from HP Mainstream EQMS."),"✉ Open Email Draft"),"")</f>
        <v/>
      </c>
    </row>
    <row r="118">
      <c r="A118" s="25">
        <f>IF($C118="","","AUD-2026-"&amp;TEXT(ROW()-1,"000000"))</f>
        <v/>
      </c>
      <c r="B118" s="26" t="n"/>
      <c r="C118" s="27" t="n"/>
      <c r="D118" s="25">
        <f>IF($C118="","",IFERROR(IF(INDEX(Roster!$A:$A,MATCH($C118,Roster!$B:$B,0))="","",INDEX(Roster!$A:$A,MATCH($C118,Roster!$B:$B,0))&amp;""),"—"))</f>
        <v/>
      </c>
      <c r="E118" s="25">
        <f>IF($C118="","",IFERROR(IF(INDEX(Roster!$C:$C,MATCH($C118,Roster!$B:$B,0))="","",INDEX(Roster!$C:$C,MATCH($C118,Roster!$B:$B,0))&amp;""),"—"))</f>
        <v/>
      </c>
      <c r="F118" s="25">
        <f>IF($C118="","",IFERROR(IF(INDEX(Roster!$D:$D,MATCH($C118,Roster!$B:$B,0))="","",INDEX(Roster!$D:$D,MATCH($C118,Roster!$B:$B,0))&amp;""),"—"))</f>
        <v/>
      </c>
      <c r="G118" s="25">
        <f>IF($C118="","",IFERROR(IF(INDEX(Roster!$E:$E,MATCH($C118,Roster!$B:$B,0))="","",INDEX(Roster!$E:$E,MATCH($C118,Roster!$B:$B,0))&amp;""),"—"))</f>
        <v/>
      </c>
      <c r="H118" s="25">
        <f>IF($C118="","",IFERROR(IF(INDEX(Roster!$F:$F,MATCH($C118,Roster!$B:$B,0))="","",INDEX(Roster!$F:$F,MATCH($C118,Roster!$B:$B,0))&amp;""),"—"))</f>
        <v/>
      </c>
      <c r="I118" s="25">
        <f>IF($C118="","",IFERROR(IF(INDEX(Roster!$G:$G,MATCH($C118,Roster!$B:$B,0))="","",INDEX(Roster!$G:$G,MATCH($C118,Roster!$B:$B,0))&amp;""),"—"))</f>
        <v/>
      </c>
      <c r="J118" s="25">
        <f>IF($C118="","",IFERROR(IF(INDEX(Roster!$I:$I,MATCH($C118,Roster!$B:$B,0))="","",INDEX(Roster!$I:$I,MATCH($C118,Roster!$B:$B,0))&amp;""),"—"))</f>
        <v/>
      </c>
      <c r="K118">
        <f>IF($C118="","",IFERROR(IF(INDEX(Roster!$J:$J,MATCH($C118,Roster!$B:$B,0))="","",INDEX(Roster!$J:$J,MATCH($C118,Roster!$B:$B,0))&amp;""),"—"))</f>
        <v/>
      </c>
      <c r="L118">
        <f>IF($C118="","",IFERROR(IF(INDEX(Roster!$K:$K,MATCH($C118,Roster!$B:$B,0))="","",INDEX(Roster!$K:$K,MATCH($C118,Roster!$B:$B,0))&amp;""),"—"))</f>
        <v/>
      </c>
      <c r="M118" s="27" t="n"/>
      <c r="N118" s="27" t="n"/>
      <c r="O118" s="25">
        <f>IF($C118="","",IF($P118="","—",IF($P118="Valid (Pass)","Valid","Invalid")))</f>
        <v/>
      </c>
      <c r="P118" s="27" t="n"/>
      <c r="Q118" s="27" t="n"/>
      <c r="R118" s="27" t="n"/>
      <c r="S118" s="27" t="n"/>
      <c r="T118" s="25">
        <f>IF($C118="","",IF(OR(ISNUMBER(SEARCH("quick case",$P118)),ISNUMBER(SEARCH("quick case",$Q118))),"Yes","No"))</f>
        <v/>
      </c>
      <c r="U118" s="25">
        <f>IF($O118="Invalid",HYPERLINK("mailto:"&amp;$G118&amp;";"&amp;$I118&amp;"?cc="&amp;Lists!$E$2&amp;"&amp;subject="&amp;_xlfn.ENCODEURL("[INVALID] Quality audit monitoring completed for "&amp;UPPER($C118))&amp;"&amp;body="&amp;_xlfn.ENCODEURL("Hi "&amp;$F118&amp;","&amp;CHAR(10)&amp;"Good day!"&amp;CHAR(10)&amp;CHAR(10)&amp;"A quality monitoring audit has been completed for "&amp;$C118&amp;"."&amp;CHAR(10)&amp;CHAR(10)&amp;"QUALITY AUDIT DETAILS"&amp;CHAR(10)&amp;"Agent Name: "&amp;$C118&amp;" (EID "&amp;$D118&amp;")"&amp;CHAR(10)&amp;"Audit Date: "&amp;TEXT($B118,"yyyy-mm-dd")&amp;CHAR(10)&amp;"Team Leader: "&amp;$F118&amp;CHAR(10)&amp;"Case Number: "&amp;$M118&amp;CHAR(10)&amp;"Transaction ID: "&amp;$N118&amp;CHAR(10)&amp;"Channel / LOB: "&amp;$K118&amp;" / "&amp;$L118&amp;CHAR(10)&amp;"Evaluator: "&amp;$S118&amp;CHAR(10)&amp;CHAR(10)&amp;"INVALID QUALITY AUDIT DETAILS"&amp;CHAR(10)&amp;"Validation: Invalid"&amp;CHAR(10)&amp;"Invalid Reason: "&amp;$P118&amp;CHAR(10)&amp;"Expected Resolution Code: "&amp;$Q118&amp;CHAR(10)&amp;"Remarks: "&amp;LEFT($R118,600)&amp;CHAR(10)&amp;CHAR(10)&amp;"This is an automated notification from HP Mainstream EQMS."),"✉ Open Email Draft"),"")</f>
        <v/>
      </c>
    </row>
    <row r="119">
      <c r="A119" s="25">
        <f>IF($C119="","","AUD-2026-"&amp;TEXT(ROW()-1,"000000"))</f>
        <v/>
      </c>
      <c r="B119" s="26" t="n"/>
      <c r="C119" s="27" t="n"/>
      <c r="D119" s="25">
        <f>IF($C119="","",IFERROR(IF(INDEX(Roster!$A:$A,MATCH($C119,Roster!$B:$B,0))="","",INDEX(Roster!$A:$A,MATCH($C119,Roster!$B:$B,0))&amp;""),"—"))</f>
        <v/>
      </c>
      <c r="E119" s="25">
        <f>IF($C119="","",IFERROR(IF(INDEX(Roster!$C:$C,MATCH($C119,Roster!$B:$B,0))="","",INDEX(Roster!$C:$C,MATCH($C119,Roster!$B:$B,0))&amp;""),"—"))</f>
        <v/>
      </c>
      <c r="F119" s="25">
        <f>IF($C119="","",IFERROR(IF(INDEX(Roster!$D:$D,MATCH($C119,Roster!$B:$B,0))="","",INDEX(Roster!$D:$D,MATCH($C119,Roster!$B:$B,0))&amp;""),"—"))</f>
        <v/>
      </c>
      <c r="G119" s="25">
        <f>IF($C119="","",IFERROR(IF(INDEX(Roster!$E:$E,MATCH($C119,Roster!$B:$B,0))="","",INDEX(Roster!$E:$E,MATCH($C119,Roster!$B:$B,0))&amp;""),"—"))</f>
        <v/>
      </c>
      <c r="H119" s="25">
        <f>IF($C119="","",IFERROR(IF(INDEX(Roster!$F:$F,MATCH($C119,Roster!$B:$B,0))="","",INDEX(Roster!$F:$F,MATCH($C119,Roster!$B:$B,0))&amp;""),"—"))</f>
        <v/>
      </c>
      <c r="I119" s="25">
        <f>IF($C119="","",IFERROR(IF(INDEX(Roster!$G:$G,MATCH($C119,Roster!$B:$B,0))="","",INDEX(Roster!$G:$G,MATCH($C119,Roster!$B:$B,0))&amp;""),"—"))</f>
        <v/>
      </c>
      <c r="J119" s="25">
        <f>IF($C119="","",IFERROR(IF(INDEX(Roster!$I:$I,MATCH($C119,Roster!$B:$B,0))="","",INDEX(Roster!$I:$I,MATCH($C119,Roster!$B:$B,0))&amp;""),"—"))</f>
        <v/>
      </c>
      <c r="K119">
        <f>IF($C119="","",IFERROR(IF(INDEX(Roster!$J:$J,MATCH($C119,Roster!$B:$B,0))="","",INDEX(Roster!$J:$J,MATCH($C119,Roster!$B:$B,0))&amp;""),"—"))</f>
        <v/>
      </c>
      <c r="L119">
        <f>IF($C119="","",IFERROR(IF(INDEX(Roster!$K:$K,MATCH($C119,Roster!$B:$B,0))="","",INDEX(Roster!$K:$K,MATCH($C119,Roster!$B:$B,0))&amp;""),"—"))</f>
        <v/>
      </c>
      <c r="M119" s="27" t="n"/>
      <c r="N119" s="27" t="n"/>
      <c r="O119" s="25">
        <f>IF($C119="","",IF($P119="","—",IF($P119="Valid (Pass)","Valid","Invalid")))</f>
        <v/>
      </c>
      <c r="P119" s="27" t="n"/>
      <c r="Q119" s="27" t="n"/>
      <c r="R119" s="27" t="n"/>
      <c r="S119" s="27" t="n"/>
      <c r="T119" s="25">
        <f>IF($C119="","",IF(OR(ISNUMBER(SEARCH("quick case",$P119)),ISNUMBER(SEARCH("quick case",$Q119))),"Yes","No"))</f>
        <v/>
      </c>
      <c r="U119" s="25">
        <f>IF($O119="Invalid",HYPERLINK("mailto:"&amp;$G119&amp;";"&amp;$I119&amp;"?cc="&amp;Lists!$E$2&amp;"&amp;subject="&amp;_xlfn.ENCODEURL("[INVALID] Quality audit monitoring completed for "&amp;UPPER($C119))&amp;"&amp;body="&amp;_xlfn.ENCODEURL("Hi "&amp;$F119&amp;","&amp;CHAR(10)&amp;"Good day!"&amp;CHAR(10)&amp;CHAR(10)&amp;"A quality monitoring audit has been completed for "&amp;$C119&amp;"."&amp;CHAR(10)&amp;CHAR(10)&amp;"QUALITY AUDIT DETAILS"&amp;CHAR(10)&amp;"Agent Name: "&amp;$C119&amp;" (EID "&amp;$D119&amp;")"&amp;CHAR(10)&amp;"Audit Date: "&amp;TEXT($B119,"yyyy-mm-dd")&amp;CHAR(10)&amp;"Team Leader: "&amp;$F119&amp;CHAR(10)&amp;"Case Number: "&amp;$M119&amp;CHAR(10)&amp;"Transaction ID: "&amp;$N119&amp;CHAR(10)&amp;"Channel / LOB: "&amp;$K119&amp;" / "&amp;$L119&amp;CHAR(10)&amp;"Evaluator: "&amp;$S119&amp;CHAR(10)&amp;CHAR(10)&amp;"INVALID QUALITY AUDIT DETAILS"&amp;CHAR(10)&amp;"Validation: Invalid"&amp;CHAR(10)&amp;"Invalid Reason: "&amp;$P119&amp;CHAR(10)&amp;"Expected Resolution Code: "&amp;$Q119&amp;CHAR(10)&amp;"Remarks: "&amp;LEFT($R119,600)&amp;CHAR(10)&amp;CHAR(10)&amp;"This is an automated notification from HP Mainstream EQMS."),"✉ Open Email Draft"),"")</f>
        <v/>
      </c>
    </row>
    <row r="120">
      <c r="A120" s="25">
        <f>IF($C120="","","AUD-2026-"&amp;TEXT(ROW()-1,"000000"))</f>
        <v/>
      </c>
      <c r="B120" s="26" t="n"/>
      <c r="C120" s="27" t="n"/>
      <c r="D120" s="25">
        <f>IF($C120="","",IFERROR(IF(INDEX(Roster!$A:$A,MATCH($C120,Roster!$B:$B,0))="","",INDEX(Roster!$A:$A,MATCH($C120,Roster!$B:$B,0))&amp;""),"—"))</f>
        <v/>
      </c>
      <c r="E120" s="25">
        <f>IF($C120="","",IFERROR(IF(INDEX(Roster!$C:$C,MATCH($C120,Roster!$B:$B,0))="","",INDEX(Roster!$C:$C,MATCH($C120,Roster!$B:$B,0))&amp;""),"—"))</f>
        <v/>
      </c>
      <c r="F120" s="25">
        <f>IF($C120="","",IFERROR(IF(INDEX(Roster!$D:$D,MATCH($C120,Roster!$B:$B,0))="","",INDEX(Roster!$D:$D,MATCH($C120,Roster!$B:$B,0))&amp;""),"—"))</f>
        <v/>
      </c>
      <c r="G120" s="25">
        <f>IF($C120="","",IFERROR(IF(INDEX(Roster!$E:$E,MATCH($C120,Roster!$B:$B,0))="","",INDEX(Roster!$E:$E,MATCH($C120,Roster!$B:$B,0))&amp;""),"—"))</f>
        <v/>
      </c>
      <c r="H120" s="25">
        <f>IF($C120="","",IFERROR(IF(INDEX(Roster!$F:$F,MATCH($C120,Roster!$B:$B,0))="","",INDEX(Roster!$F:$F,MATCH($C120,Roster!$B:$B,0))&amp;""),"—"))</f>
        <v/>
      </c>
      <c r="I120" s="25">
        <f>IF($C120="","",IFERROR(IF(INDEX(Roster!$G:$G,MATCH($C120,Roster!$B:$B,0))="","",INDEX(Roster!$G:$G,MATCH($C120,Roster!$B:$B,0))&amp;""),"—"))</f>
        <v/>
      </c>
      <c r="J120" s="25">
        <f>IF($C120="","",IFERROR(IF(INDEX(Roster!$I:$I,MATCH($C120,Roster!$B:$B,0))="","",INDEX(Roster!$I:$I,MATCH($C120,Roster!$B:$B,0))&amp;""),"—"))</f>
        <v/>
      </c>
      <c r="K120">
        <f>IF($C120="","",IFERROR(IF(INDEX(Roster!$J:$J,MATCH($C120,Roster!$B:$B,0))="","",INDEX(Roster!$J:$J,MATCH($C120,Roster!$B:$B,0))&amp;""),"—"))</f>
        <v/>
      </c>
      <c r="L120">
        <f>IF($C120="","",IFERROR(IF(INDEX(Roster!$K:$K,MATCH($C120,Roster!$B:$B,0))="","",INDEX(Roster!$K:$K,MATCH($C120,Roster!$B:$B,0))&amp;""),"—"))</f>
        <v/>
      </c>
      <c r="M120" s="27" t="n"/>
      <c r="N120" s="27" t="n"/>
      <c r="O120" s="25">
        <f>IF($C120="","",IF($P120="","—",IF($P120="Valid (Pass)","Valid","Invalid")))</f>
        <v/>
      </c>
      <c r="P120" s="27" t="n"/>
      <c r="Q120" s="27" t="n"/>
      <c r="R120" s="27" t="n"/>
      <c r="S120" s="27" t="n"/>
      <c r="T120" s="25">
        <f>IF($C120="","",IF(OR(ISNUMBER(SEARCH("quick case",$P120)),ISNUMBER(SEARCH("quick case",$Q120))),"Yes","No"))</f>
        <v/>
      </c>
      <c r="U120" s="25">
        <f>IF($O120="Invalid",HYPERLINK("mailto:"&amp;$G120&amp;";"&amp;$I120&amp;"?cc="&amp;Lists!$E$2&amp;"&amp;subject="&amp;_xlfn.ENCODEURL("[INVALID] Quality audit monitoring completed for "&amp;UPPER($C120))&amp;"&amp;body="&amp;_xlfn.ENCODEURL("Hi "&amp;$F120&amp;","&amp;CHAR(10)&amp;"Good day!"&amp;CHAR(10)&amp;CHAR(10)&amp;"A quality monitoring audit has been completed for "&amp;$C120&amp;"."&amp;CHAR(10)&amp;CHAR(10)&amp;"QUALITY AUDIT DETAILS"&amp;CHAR(10)&amp;"Agent Name: "&amp;$C120&amp;" (EID "&amp;$D120&amp;")"&amp;CHAR(10)&amp;"Audit Date: "&amp;TEXT($B120,"yyyy-mm-dd")&amp;CHAR(10)&amp;"Team Leader: "&amp;$F120&amp;CHAR(10)&amp;"Case Number: "&amp;$M120&amp;CHAR(10)&amp;"Transaction ID: "&amp;$N120&amp;CHAR(10)&amp;"Channel / LOB: "&amp;$K120&amp;" / "&amp;$L120&amp;CHAR(10)&amp;"Evaluator: "&amp;$S120&amp;CHAR(10)&amp;CHAR(10)&amp;"INVALID QUALITY AUDIT DETAILS"&amp;CHAR(10)&amp;"Validation: Invalid"&amp;CHAR(10)&amp;"Invalid Reason: "&amp;$P120&amp;CHAR(10)&amp;"Expected Resolution Code: "&amp;$Q120&amp;CHAR(10)&amp;"Remarks: "&amp;LEFT($R120,600)&amp;CHAR(10)&amp;CHAR(10)&amp;"This is an automated notification from HP Mainstream EQMS."),"✉ Open Email Draft"),"")</f>
        <v/>
      </c>
    </row>
    <row r="121">
      <c r="A121" s="25">
        <f>IF($C121="","","AUD-2026-"&amp;TEXT(ROW()-1,"000000"))</f>
        <v/>
      </c>
      <c r="B121" s="26" t="n"/>
      <c r="C121" s="27" t="n"/>
      <c r="D121" s="25">
        <f>IF($C121="","",IFERROR(IF(INDEX(Roster!$A:$A,MATCH($C121,Roster!$B:$B,0))="","",INDEX(Roster!$A:$A,MATCH($C121,Roster!$B:$B,0))&amp;""),"—"))</f>
        <v/>
      </c>
      <c r="E121" s="25">
        <f>IF($C121="","",IFERROR(IF(INDEX(Roster!$C:$C,MATCH($C121,Roster!$B:$B,0))="","",INDEX(Roster!$C:$C,MATCH($C121,Roster!$B:$B,0))&amp;""),"—"))</f>
        <v/>
      </c>
      <c r="F121" s="25">
        <f>IF($C121="","",IFERROR(IF(INDEX(Roster!$D:$D,MATCH($C121,Roster!$B:$B,0))="","",INDEX(Roster!$D:$D,MATCH($C121,Roster!$B:$B,0))&amp;""),"—"))</f>
        <v/>
      </c>
      <c r="G121" s="25">
        <f>IF($C121="","",IFERROR(IF(INDEX(Roster!$E:$E,MATCH($C121,Roster!$B:$B,0))="","",INDEX(Roster!$E:$E,MATCH($C121,Roster!$B:$B,0))&amp;""),"—"))</f>
        <v/>
      </c>
      <c r="H121" s="25">
        <f>IF($C121="","",IFERROR(IF(INDEX(Roster!$F:$F,MATCH($C121,Roster!$B:$B,0))="","",INDEX(Roster!$F:$F,MATCH($C121,Roster!$B:$B,0))&amp;""),"—"))</f>
        <v/>
      </c>
      <c r="I121" s="25">
        <f>IF($C121="","",IFERROR(IF(INDEX(Roster!$G:$G,MATCH($C121,Roster!$B:$B,0))="","",INDEX(Roster!$G:$G,MATCH($C121,Roster!$B:$B,0))&amp;""),"—"))</f>
        <v/>
      </c>
      <c r="J121" s="25">
        <f>IF($C121="","",IFERROR(IF(INDEX(Roster!$I:$I,MATCH($C121,Roster!$B:$B,0))="","",INDEX(Roster!$I:$I,MATCH($C121,Roster!$B:$B,0))&amp;""),"—"))</f>
        <v/>
      </c>
      <c r="K121">
        <f>IF($C121="","",IFERROR(IF(INDEX(Roster!$J:$J,MATCH($C121,Roster!$B:$B,0))="","",INDEX(Roster!$J:$J,MATCH($C121,Roster!$B:$B,0))&amp;""),"—"))</f>
        <v/>
      </c>
      <c r="L121">
        <f>IF($C121="","",IFERROR(IF(INDEX(Roster!$K:$K,MATCH($C121,Roster!$B:$B,0))="","",INDEX(Roster!$K:$K,MATCH($C121,Roster!$B:$B,0))&amp;""),"—"))</f>
        <v/>
      </c>
      <c r="M121" s="27" t="n"/>
      <c r="N121" s="27" t="n"/>
      <c r="O121" s="25">
        <f>IF($C121="","",IF($P121="","—",IF($P121="Valid (Pass)","Valid","Invalid")))</f>
        <v/>
      </c>
      <c r="P121" s="27" t="n"/>
      <c r="Q121" s="27" t="n"/>
      <c r="R121" s="27" t="n"/>
      <c r="S121" s="27" t="n"/>
      <c r="T121" s="25">
        <f>IF($C121="","",IF(OR(ISNUMBER(SEARCH("quick case",$P121)),ISNUMBER(SEARCH("quick case",$Q121))),"Yes","No"))</f>
        <v/>
      </c>
      <c r="U121" s="25">
        <f>IF($O121="Invalid",HYPERLINK("mailto:"&amp;$G121&amp;";"&amp;$I121&amp;"?cc="&amp;Lists!$E$2&amp;"&amp;subject="&amp;_xlfn.ENCODEURL("[INVALID] Quality audit monitoring completed for "&amp;UPPER($C121))&amp;"&amp;body="&amp;_xlfn.ENCODEURL("Hi "&amp;$F121&amp;","&amp;CHAR(10)&amp;"Good day!"&amp;CHAR(10)&amp;CHAR(10)&amp;"A quality monitoring audit has been completed for "&amp;$C121&amp;"."&amp;CHAR(10)&amp;CHAR(10)&amp;"QUALITY AUDIT DETAILS"&amp;CHAR(10)&amp;"Agent Name: "&amp;$C121&amp;" (EID "&amp;$D121&amp;")"&amp;CHAR(10)&amp;"Audit Date: "&amp;TEXT($B121,"yyyy-mm-dd")&amp;CHAR(10)&amp;"Team Leader: "&amp;$F121&amp;CHAR(10)&amp;"Case Number: "&amp;$M121&amp;CHAR(10)&amp;"Transaction ID: "&amp;$N121&amp;CHAR(10)&amp;"Channel / LOB: "&amp;$K121&amp;" / "&amp;$L121&amp;CHAR(10)&amp;"Evaluator: "&amp;$S121&amp;CHAR(10)&amp;CHAR(10)&amp;"INVALID QUALITY AUDIT DETAILS"&amp;CHAR(10)&amp;"Validation: Invalid"&amp;CHAR(10)&amp;"Invalid Reason: "&amp;$P121&amp;CHAR(10)&amp;"Expected Resolution Code: "&amp;$Q121&amp;CHAR(10)&amp;"Remarks: "&amp;LEFT($R121,600)&amp;CHAR(10)&amp;CHAR(10)&amp;"This is an automated notification from HP Mainstream EQMS."),"✉ Open Email Draft"),"")</f>
        <v/>
      </c>
    </row>
    <row r="122">
      <c r="A122" s="25">
        <f>IF($C122="","","AUD-2026-"&amp;TEXT(ROW()-1,"000000"))</f>
        <v/>
      </c>
      <c r="B122" s="26" t="n"/>
      <c r="C122" s="27" t="n"/>
      <c r="D122" s="25">
        <f>IF($C122="","",IFERROR(IF(INDEX(Roster!$A:$A,MATCH($C122,Roster!$B:$B,0))="","",INDEX(Roster!$A:$A,MATCH($C122,Roster!$B:$B,0))&amp;""),"—"))</f>
        <v/>
      </c>
      <c r="E122" s="25">
        <f>IF($C122="","",IFERROR(IF(INDEX(Roster!$C:$C,MATCH($C122,Roster!$B:$B,0))="","",INDEX(Roster!$C:$C,MATCH($C122,Roster!$B:$B,0))&amp;""),"—"))</f>
        <v/>
      </c>
      <c r="F122" s="25">
        <f>IF($C122="","",IFERROR(IF(INDEX(Roster!$D:$D,MATCH($C122,Roster!$B:$B,0))="","",INDEX(Roster!$D:$D,MATCH($C122,Roster!$B:$B,0))&amp;""),"—"))</f>
        <v/>
      </c>
      <c r="G122" s="25">
        <f>IF($C122="","",IFERROR(IF(INDEX(Roster!$E:$E,MATCH($C122,Roster!$B:$B,0))="","",INDEX(Roster!$E:$E,MATCH($C122,Roster!$B:$B,0))&amp;""),"—"))</f>
        <v/>
      </c>
      <c r="H122" s="25">
        <f>IF($C122="","",IFERROR(IF(INDEX(Roster!$F:$F,MATCH($C122,Roster!$B:$B,0))="","",INDEX(Roster!$F:$F,MATCH($C122,Roster!$B:$B,0))&amp;""),"—"))</f>
        <v/>
      </c>
      <c r="I122" s="25">
        <f>IF($C122="","",IFERROR(IF(INDEX(Roster!$G:$G,MATCH($C122,Roster!$B:$B,0))="","",INDEX(Roster!$G:$G,MATCH($C122,Roster!$B:$B,0))&amp;""),"—"))</f>
        <v/>
      </c>
      <c r="J122" s="25">
        <f>IF($C122="","",IFERROR(IF(INDEX(Roster!$I:$I,MATCH($C122,Roster!$B:$B,0))="","",INDEX(Roster!$I:$I,MATCH($C122,Roster!$B:$B,0))&amp;""),"—"))</f>
        <v/>
      </c>
      <c r="K122">
        <f>IF($C122="","",IFERROR(IF(INDEX(Roster!$J:$J,MATCH($C122,Roster!$B:$B,0))="","",INDEX(Roster!$J:$J,MATCH($C122,Roster!$B:$B,0))&amp;""),"—"))</f>
        <v/>
      </c>
      <c r="L122">
        <f>IF($C122="","",IFERROR(IF(INDEX(Roster!$K:$K,MATCH($C122,Roster!$B:$B,0))="","",INDEX(Roster!$K:$K,MATCH($C122,Roster!$B:$B,0))&amp;""),"—"))</f>
        <v/>
      </c>
      <c r="M122" s="27" t="n"/>
      <c r="N122" s="27" t="n"/>
      <c r="O122" s="25">
        <f>IF($C122="","",IF($P122="","—",IF($P122="Valid (Pass)","Valid","Invalid")))</f>
        <v/>
      </c>
      <c r="P122" s="27" t="n"/>
      <c r="Q122" s="27" t="n"/>
      <c r="R122" s="27" t="n"/>
      <c r="S122" s="27" t="n"/>
      <c r="T122" s="25">
        <f>IF($C122="","",IF(OR(ISNUMBER(SEARCH("quick case",$P122)),ISNUMBER(SEARCH("quick case",$Q122))),"Yes","No"))</f>
        <v/>
      </c>
      <c r="U122" s="25">
        <f>IF($O122="Invalid",HYPERLINK("mailto:"&amp;$G122&amp;";"&amp;$I122&amp;"?cc="&amp;Lists!$E$2&amp;"&amp;subject="&amp;_xlfn.ENCODEURL("[INVALID] Quality audit monitoring completed for "&amp;UPPER($C122))&amp;"&amp;body="&amp;_xlfn.ENCODEURL("Hi "&amp;$F122&amp;","&amp;CHAR(10)&amp;"Good day!"&amp;CHAR(10)&amp;CHAR(10)&amp;"A quality monitoring audit has been completed for "&amp;$C122&amp;"."&amp;CHAR(10)&amp;CHAR(10)&amp;"QUALITY AUDIT DETAILS"&amp;CHAR(10)&amp;"Agent Name: "&amp;$C122&amp;" (EID "&amp;$D122&amp;")"&amp;CHAR(10)&amp;"Audit Date: "&amp;TEXT($B122,"yyyy-mm-dd")&amp;CHAR(10)&amp;"Team Leader: "&amp;$F122&amp;CHAR(10)&amp;"Case Number: "&amp;$M122&amp;CHAR(10)&amp;"Transaction ID: "&amp;$N122&amp;CHAR(10)&amp;"Channel / LOB: "&amp;$K122&amp;" / "&amp;$L122&amp;CHAR(10)&amp;"Evaluator: "&amp;$S122&amp;CHAR(10)&amp;CHAR(10)&amp;"INVALID QUALITY AUDIT DETAILS"&amp;CHAR(10)&amp;"Validation: Invalid"&amp;CHAR(10)&amp;"Invalid Reason: "&amp;$P122&amp;CHAR(10)&amp;"Expected Resolution Code: "&amp;$Q122&amp;CHAR(10)&amp;"Remarks: "&amp;LEFT($R122,600)&amp;CHAR(10)&amp;CHAR(10)&amp;"This is an automated notification from HP Mainstream EQMS."),"✉ Open Email Draft"),"")</f>
        <v/>
      </c>
    </row>
    <row r="123">
      <c r="A123" s="25">
        <f>IF($C123="","","AUD-2026-"&amp;TEXT(ROW()-1,"000000"))</f>
        <v/>
      </c>
      <c r="B123" s="26" t="n"/>
      <c r="C123" s="27" t="n"/>
      <c r="D123" s="25">
        <f>IF($C123="","",IFERROR(IF(INDEX(Roster!$A:$A,MATCH($C123,Roster!$B:$B,0))="","",INDEX(Roster!$A:$A,MATCH($C123,Roster!$B:$B,0))&amp;""),"—"))</f>
        <v/>
      </c>
      <c r="E123" s="25">
        <f>IF($C123="","",IFERROR(IF(INDEX(Roster!$C:$C,MATCH($C123,Roster!$B:$B,0))="","",INDEX(Roster!$C:$C,MATCH($C123,Roster!$B:$B,0))&amp;""),"—"))</f>
        <v/>
      </c>
      <c r="F123" s="25">
        <f>IF($C123="","",IFERROR(IF(INDEX(Roster!$D:$D,MATCH($C123,Roster!$B:$B,0))="","",INDEX(Roster!$D:$D,MATCH($C123,Roster!$B:$B,0))&amp;""),"—"))</f>
        <v/>
      </c>
      <c r="G123" s="25">
        <f>IF($C123="","",IFERROR(IF(INDEX(Roster!$E:$E,MATCH($C123,Roster!$B:$B,0))="","",INDEX(Roster!$E:$E,MATCH($C123,Roster!$B:$B,0))&amp;""),"—"))</f>
        <v/>
      </c>
      <c r="H123" s="25">
        <f>IF($C123="","",IFERROR(IF(INDEX(Roster!$F:$F,MATCH($C123,Roster!$B:$B,0))="","",INDEX(Roster!$F:$F,MATCH($C123,Roster!$B:$B,0))&amp;""),"—"))</f>
        <v/>
      </c>
      <c r="I123" s="25">
        <f>IF($C123="","",IFERROR(IF(INDEX(Roster!$G:$G,MATCH($C123,Roster!$B:$B,0))="","",INDEX(Roster!$G:$G,MATCH($C123,Roster!$B:$B,0))&amp;""),"—"))</f>
        <v/>
      </c>
      <c r="J123" s="25">
        <f>IF($C123="","",IFERROR(IF(INDEX(Roster!$I:$I,MATCH($C123,Roster!$B:$B,0))="","",INDEX(Roster!$I:$I,MATCH($C123,Roster!$B:$B,0))&amp;""),"—"))</f>
        <v/>
      </c>
      <c r="K123">
        <f>IF($C123="","",IFERROR(IF(INDEX(Roster!$J:$J,MATCH($C123,Roster!$B:$B,0))="","",INDEX(Roster!$J:$J,MATCH($C123,Roster!$B:$B,0))&amp;""),"—"))</f>
        <v/>
      </c>
      <c r="L123">
        <f>IF($C123="","",IFERROR(IF(INDEX(Roster!$K:$K,MATCH($C123,Roster!$B:$B,0))="","",INDEX(Roster!$K:$K,MATCH($C123,Roster!$B:$B,0))&amp;""),"—"))</f>
        <v/>
      </c>
      <c r="M123" s="27" t="n"/>
      <c r="N123" s="27" t="n"/>
      <c r="O123" s="25">
        <f>IF($C123="","",IF($P123="","—",IF($P123="Valid (Pass)","Valid","Invalid")))</f>
        <v/>
      </c>
      <c r="P123" s="27" t="n"/>
      <c r="Q123" s="27" t="n"/>
      <c r="R123" s="27" t="n"/>
      <c r="S123" s="27" t="n"/>
      <c r="T123" s="25">
        <f>IF($C123="","",IF(OR(ISNUMBER(SEARCH("quick case",$P123)),ISNUMBER(SEARCH("quick case",$Q123))),"Yes","No"))</f>
        <v/>
      </c>
      <c r="U123" s="25">
        <f>IF($O123="Invalid",HYPERLINK("mailto:"&amp;$G123&amp;";"&amp;$I123&amp;"?cc="&amp;Lists!$E$2&amp;"&amp;subject="&amp;_xlfn.ENCODEURL("[INVALID] Quality audit monitoring completed for "&amp;UPPER($C123))&amp;"&amp;body="&amp;_xlfn.ENCODEURL("Hi "&amp;$F123&amp;","&amp;CHAR(10)&amp;"Good day!"&amp;CHAR(10)&amp;CHAR(10)&amp;"A quality monitoring audit has been completed for "&amp;$C123&amp;"."&amp;CHAR(10)&amp;CHAR(10)&amp;"QUALITY AUDIT DETAILS"&amp;CHAR(10)&amp;"Agent Name: "&amp;$C123&amp;" (EID "&amp;$D123&amp;")"&amp;CHAR(10)&amp;"Audit Date: "&amp;TEXT($B123,"yyyy-mm-dd")&amp;CHAR(10)&amp;"Team Leader: "&amp;$F123&amp;CHAR(10)&amp;"Case Number: "&amp;$M123&amp;CHAR(10)&amp;"Transaction ID: "&amp;$N123&amp;CHAR(10)&amp;"Channel / LOB: "&amp;$K123&amp;" / "&amp;$L123&amp;CHAR(10)&amp;"Evaluator: "&amp;$S123&amp;CHAR(10)&amp;CHAR(10)&amp;"INVALID QUALITY AUDIT DETAILS"&amp;CHAR(10)&amp;"Validation: Invalid"&amp;CHAR(10)&amp;"Invalid Reason: "&amp;$P123&amp;CHAR(10)&amp;"Expected Resolution Code: "&amp;$Q123&amp;CHAR(10)&amp;"Remarks: "&amp;LEFT($R123,600)&amp;CHAR(10)&amp;CHAR(10)&amp;"This is an automated notification from HP Mainstream EQMS."),"✉ Open Email Draft"),"")</f>
        <v/>
      </c>
    </row>
    <row r="124">
      <c r="A124" s="25">
        <f>IF($C124="","","AUD-2026-"&amp;TEXT(ROW()-1,"000000"))</f>
        <v/>
      </c>
      <c r="B124" s="26" t="n"/>
      <c r="C124" s="27" t="n"/>
      <c r="D124" s="25">
        <f>IF($C124="","",IFERROR(IF(INDEX(Roster!$A:$A,MATCH($C124,Roster!$B:$B,0))="","",INDEX(Roster!$A:$A,MATCH($C124,Roster!$B:$B,0))&amp;""),"—"))</f>
        <v/>
      </c>
      <c r="E124" s="25">
        <f>IF($C124="","",IFERROR(IF(INDEX(Roster!$C:$C,MATCH($C124,Roster!$B:$B,0))="","",INDEX(Roster!$C:$C,MATCH($C124,Roster!$B:$B,0))&amp;""),"—"))</f>
        <v/>
      </c>
      <c r="F124" s="25">
        <f>IF($C124="","",IFERROR(IF(INDEX(Roster!$D:$D,MATCH($C124,Roster!$B:$B,0))="","",INDEX(Roster!$D:$D,MATCH($C124,Roster!$B:$B,0))&amp;""),"—"))</f>
        <v/>
      </c>
      <c r="G124" s="25">
        <f>IF($C124="","",IFERROR(IF(INDEX(Roster!$E:$E,MATCH($C124,Roster!$B:$B,0))="","",INDEX(Roster!$E:$E,MATCH($C124,Roster!$B:$B,0))&amp;""),"—"))</f>
        <v/>
      </c>
      <c r="H124" s="25">
        <f>IF($C124="","",IFERROR(IF(INDEX(Roster!$F:$F,MATCH($C124,Roster!$B:$B,0))="","",INDEX(Roster!$F:$F,MATCH($C124,Roster!$B:$B,0))&amp;""),"—"))</f>
        <v/>
      </c>
      <c r="I124" s="25">
        <f>IF($C124="","",IFERROR(IF(INDEX(Roster!$G:$G,MATCH($C124,Roster!$B:$B,0))="","",INDEX(Roster!$G:$G,MATCH($C124,Roster!$B:$B,0))&amp;""),"—"))</f>
        <v/>
      </c>
      <c r="J124" s="25">
        <f>IF($C124="","",IFERROR(IF(INDEX(Roster!$I:$I,MATCH($C124,Roster!$B:$B,0))="","",INDEX(Roster!$I:$I,MATCH($C124,Roster!$B:$B,0))&amp;""),"—"))</f>
        <v/>
      </c>
      <c r="K124">
        <f>IF($C124="","",IFERROR(IF(INDEX(Roster!$J:$J,MATCH($C124,Roster!$B:$B,0))="","",INDEX(Roster!$J:$J,MATCH($C124,Roster!$B:$B,0))&amp;""),"—"))</f>
        <v/>
      </c>
      <c r="L124">
        <f>IF($C124="","",IFERROR(IF(INDEX(Roster!$K:$K,MATCH($C124,Roster!$B:$B,0))="","",INDEX(Roster!$K:$K,MATCH($C124,Roster!$B:$B,0))&amp;""),"—"))</f>
        <v/>
      </c>
      <c r="M124" s="27" t="n"/>
      <c r="N124" s="27" t="n"/>
      <c r="O124" s="25">
        <f>IF($C124="","",IF($P124="","—",IF($P124="Valid (Pass)","Valid","Invalid")))</f>
        <v/>
      </c>
      <c r="P124" s="27" t="n"/>
      <c r="Q124" s="27" t="n"/>
      <c r="R124" s="27" t="n"/>
      <c r="S124" s="27" t="n"/>
      <c r="T124" s="25">
        <f>IF($C124="","",IF(OR(ISNUMBER(SEARCH("quick case",$P124)),ISNUMBER(SEARCH("quick case",$Q124))),"Yes","No"))</f>
        <v/>
      </c>
      <c r="U124" s="25">
        <f>IF($O124="Invalid",HYPERLINK("mailto:"&amp;$G124&amp;";"&amp;$I124&amp;"?cc="&amp;Lists!$E$2&amp;"&amp;subject="&amp;_xlfn.ENCODEURL("[INVALID] Quality audit monitoring completed for "&amp;UPPER($C124))&amp;"&amp;body="&amp;_xlfn.ENCODEURL("Hi "&amp;$F124&amp;","&amp;CHAR(10)&amp;"Good day!"&amp;CHAR(10)&amp;CHAR(10)&amp;"A quality monitoring audit has been completed for "&amp;$C124&amp;"."&amp;CHAR(10)&amp;CHAR(10)&amp;"QUALITY AUDIT DETAILS"&amp;CHAR(10)&amp;"Agent Name: "&amp;$C124&amp;" (EID "&amp;$D124&amp;")"&amp;CHAR(10)&amp;"Audit Date: "&amp;TEXT($B124,"yyyy-mm-dd")&amp;CHAR(10)&amp;"Team Leader: "&amp;$F124&amp;CHAR(10)&amp;"Case Number: "&amp;$M124&amp;CHAR(10)&amp;"Transaction ID: "&amp;$N124&amp;CHAR(10)&amp;"Channel / LOB: "&amp;$K124&amp;" / "&amp;$L124&amp;CHAR(10)&amp;"Evaluator: "&amp;$S124&amp;CHAR(10)&amp;CHAR(10)&amp;"INVALID QUALITY AUDIT DETAILS"&amp;CHAR(10)&amp;"Validation: Invalid"&amp;CHAR(10)&amp;"Invalid Reason: "&amp;$P124&amp;CHAR(10)&amp;"Expected Resolution Code: "&amp;$Q124&amp;CHAR(10)&amp;"Remarks: "&amp;LEFT($R124,600)&amp;CHAR(10)&amp;CHAR(10)&amp;"This is an automated notification from HP Mainstream EQMS."),"✉ Open Email Draft"),"")</f>
        <v/>
      </c>
    </row>
    <row r="125">
      <c r="A125" s="25">
        <f>IF($C125="","","AUD-2026-"&amp;TEXT(ROW()-1,"000000"))</f>
        <v/>
      </c>
      <c r="B125" s="26" t="n"/>
      <c r="C125" s="27" t="n"/>
      <c r="D125" s="25">
        <f>IF($C125="","",IFERROR(IF(INDEX(Roster!$A:$A,MATCH($C125,Roster!$B:$B,0))="","",INDEX(Roster!$A:$A,MATCH($C125,Roster!$B:$B,0))&amp;""),"—"))</f>
        <v/>
      </c>
      <c r="E125" s="25">
        <f>IF($C125="","",IFERROR(IF(INDEX(Roster!$C:$C,MATCH($C125,Roster!$B:$B,0))="","",INDEX(Roster!$C:$C,MATCH($C125,Roster!$B:$B,0))&amp;""),"—"))</f>
        <v/>
      </c>
      <c r="F125" s="25">
        <f>IF($C125="","",IFERROR(IF(INDEX(Roster!$D:$D,MATCH($C125,Roster!$B:$B,0))="","",INDEX(Roster!$D:$D,MATCH($C125,Roster!$B:$B,0))&amp;""),"—"))</f>
        <v/>
      </c>
      <c r="G125" s="25">
        <f>IF($C125="","",IFERROR(IF(INDEX(Roster!$E:$E,MATCH($C125,Roster!$B:$B,0))="","",INDEX(Roster!$E:$E,MATCH($C125,Roster!$B:$B,0))&amp;""),"—"))</f>
        <v/>
      </c>
      <c r="H125" s="25">
        <f>IF($C125="","",IFERROR(IF(INDEX(Roster!$F:$F,MATCH($C125,Roster!$B:$B,0))="","",INDEX(Roster!$F:$F,MATCH($C125,Roster!$B:$B,0))&amp;""),"—"))</f>
        <v/>
      </c>
      <c r="I125" s="25">
        <f>IF($C125="","",IFERROR(IF(INDEX(Roster!$G:$G,MATCH($C125,Roster!$B:$B,0))="","",INDEX(Roster!$G:$G,MATCH($C125,Roster!$B:$B,0))&amp;""),"—"))</f>
        <v/>
      </c>
      <c r="J125" s="25">
        <f>IF($C125="","",IFERROR(IF(INDEX(Roster!$I:$I,MATCH($C125,Roster!$B:$B,0))="","",INDEX(Roster!$I:$I,MATCH($C125,Roster!$B:$B,0))&amp;""),"—"))</f>
        <v/>
      </c>
      <c r="K125">
        <f>IF($C125="","",IFERROR(IF(INDEX(Roster!$J:$J,MATCH($C125,Roster!$B:$B,0))="","",INDEX(Roster!$J:$J,MATCH($C125,Roster!$B:$B,0))&amp;""),"—"))</f>
        <v/>
      </c>
      <c r="L125">
        <f>IF($C125="","",IFERROR(IF(INDEX(Roster!$K:$K,MATCH($C125,Roster!$B:$B,0))="","",INDEX(Roster!$K:$K,MATCH($C125,Roster!$B:$B,0))&amp;""),"—"))</f>
        <v/>
      </c>
      <c r="M125" s="27" t="n"/>
      <c r="N125" s="27" t="n"/>
      <c r="O125" s="25">
        <f>IF($C125="","",IF($P125="","—",IF($P125="Valid (Pass)","Valid","Invalid")))</f>
        <v/>
      </c>
      <c r="P125" s="27" t="n"/>
      <c r="Q125" s="27" t="n"/>
      <c r="R125" s="27" t="n"/>
      <c r="S125" s="27" t="n"/>
      <c r="T125" s="25">
        <f>IF($C125="","",IF(OR(ISNUMBER(SEARCH("quick case",$P125)),ISNUMBER(SEARCH("quick case",$Q125))),"Yes","No"))</f>
        <v/>
      </c>
      <c r="U125" s="25">
        <f>IF($O125="Invalid",HYPERLINK("mailto:"&amp;$G125&amp;";"&amp;$I125&amp;"?cc="&amp;Lists!$E$2&amp;"&amp;subject="&amp;_xlfn.ENCODEURL("[INVALID] Quality audit monitoring completed for "&amp;UPPER($C125))&amp;"&amp;body="&amp;_xlfn.ENCODEURL("Hi "&amp;$F125&amp;","&amp;CHAR(10)&amp;"Good day!"&amp;CHAR(10)&amp;CHAR(10)&amp;"A quality monitoring audit has been completed for "&amp;$C125&amp;"."&amp;CHAR(10)&amp;CHAR(10)&amp;"QUALITY AUDIT DETAILS"&amp;CHAR(10)&amp;"Agent Name: "&amp;$C125&amp;" (EID "&amp;$D125&amp;")"&amp;CHAR(10)&amp;"Audit Date: "&amp;TEXT($B125,"yyyy-mm-dd")&amp;CHAR(10)&amp;"Team Leader: "&amp;$F125&amp;CHAR(10)&amp;"Case Number: "&amp;$M125&amp;CHAR(10)&amp;"Transaction ID: "&amp;$N125&amp;CHAR(10)&amp;"Channel / LOB: "&amp;$K125&amp;" / "&amp;$L125&amp;CHAR(10)&amp;"Evaluator: "&amp;$S125&amp;CHAR(10)&amp;CHAR(10)&amp;"INVALID QUALITY AUDIT DETAILS"&amp;CHAR(10)&amp;"Validation: Invalid"&amp;CHAR(10)&amp;"Invalid Reason: "&amp;$P125&amp;CHAR(10)&amp;"Expected Resolution Code: "&amp;$Q125&amp;CHAR(10)&amp;"Remarks: "&amp;LEFT($R125,600)&amp;CHAR(10)&amp;CHAR(10)&amp;"This is an automated notification from HP Mainstream EQMS."),"✉ Open Email Draft"),"")</f>
        <v/>
      </c>
    </row>
    <row r="126">
      <c r="A126" s="25">
        <f>IF($C126="","","AUD-2026-"&amp;TEXT(ROW()-1,"000000"))</f>
        <v/>
      </c>
      <c r="B126" s="26" t="n"/>
      <c r="C126" s="27" t="n"/>
      <c r="D126" s="25">
        <f>IF($C126="","",IFERROR(IF(INDEX(Roster!$A:$A,MATCH($C126,Roster!$B:$B,0))="","",INDEX(Roster!$A:$A,MATCH($C126,Roster!$B:$B,0))&amp;""),"—"))</f>
        <v/>
      </c>
      <c r="E126" s="25">
        <f>IF($C126="","",IFERROR(IF(INDEX(Roster!$C:$C,MATCH($C126,Roster!$B:$B,0))="","",INDEX(Roster!$C:$C,MATCH($C126,Roster!$B:$B,0))&amp;""),"—"))</f>
        <v/>
      </c>
      <c r="F126" s="25">
        <f>IF($C126="","",IFERROR(IF(INDEX(Roster!$D:$D,MATCH($C126,Roster!$B:$B,0))="","",INDEX(Roster!$D:$D,MATCH($C126,Roster!$B:$B,0))&amp;""),"—"))</f>
        <v/>
      </c>
      <c r="G126" s="25">
        <f>IF($C126="","",IFERROR(IF(INDEX(Roster!$E:$E,MATCH($C126,Roster!$B:$B,0))="","",INDEX(Roster!$E:$E,MATCH($C126,Roster!$B:$B,0))&amp;""),"—"))</f>
        <v/>
      </c>
      <c r="H126" s="25">
        <f>IF($C126="","",IFERROR(IF(INDEX(Roster!$F:$F,MATCH($C126,Roster!$B:$B,0))="","",INDEX(Roster!$F:$F,MATCH($C126,Roster!$B:$B,0))&amp;""),"—"))</f>
        <v/>
      </c>
      <c r="I126" s="25">
        <f>IF($C126="","",IFERROR(IF(INDEX(Roster!$G:$G,MATCH($C126,Roster!$B:$B,0))="","",INDEX(Roster!$G:$G,MATCH($C126,Roster!$B:$B,0))&amp;""),"—"))</f>
        <v/>
      </c>
      <c r="J126" s="25">
        <f>IF($C126="","",IFERROR(IF(INDEX(Roster!$I:$I,MATCH($C126,Roster!$B:$B,0))="","",INDEX(Roster!$I:$I,MATCH($C126,Roster!$B:$B,0))&amp;""),"—"))</f>
        <v/>
      </c>
      <c r="K126">
        <f>IF($C126="","",IFERROR(IF(INDEX(Roster!$J:$J,MATCH($C126,Roster!$B:$B,0))="","",INDEX(Roster!$J:$J,MATCH($C126,Roster!$B:$B,0))&amp;""),"—"))</f>
        <v/>
      </c>
      <c r="L126">
        <f>IF($C126="","",IFERROR(IF(INDEX(Roster!$K:$K,MATCH($C126,Roster!$B:$B,0))="","",INDEX(Roster!$K:$K,MATCH($C126,Roster!$B:$B,0))&amp;""),"—"))</f>
        <v/>
      </c>
      <c r="M126" s="27" t="n"/>
      <c r="N126" s="27" t="n"/>
      <c r="O126" s="25">
        <f>IF($C126="","",IF($P126="","—",IF($P126="Valid (Pass)","Valid","Invalid")))</f>
        <v/>
      </c>
      <c r="P126" s="27" t="n"/>
      <c r="Q126" s="27" t="n"/>
      <c r="R126" s="27" t="n"/>
      <c r="S126" s="27" t="n"/>
      <c r="T126" s="25">
        <f>IF($C126="","",IF(OR(ISNUMBER(SEARCH("quick case",$P126)),ISNUMBER(SEARCH("quick case",$Q126))),"Yes","No"))</f>
        <v/>
      </c>
      <c r="U126" s="25">
        <f>IF($O126="Invalid",HYPERLINK("mailto:"&amp;$G126&amp;";"&amp;$I126&amp;"?cc="&amp;Lists!$E$2&amp;"&amp;subject="&amp;_xlfn.ENCODEURL("[INVALID] Quality audit monitoring completed for "&amp;UPPER($C126))&amp;"&amp;body="&amp;_xlfn.ENCODEURL("Hi "&amp;$F126&amp;","&amp;CHAR(10)&amp;"Good day!"&amp;CHAR(10)&amp;CHAR(10)&amp;"A quality monitoring audit has been completed for "&amp;$C126&amp;"."&amp;CHAR(10)&amp;CHAR(10)&amp;"QUALITY AUDIT DETAILS"&amp;CHAR(10)&amp;"Agent Name: "&amp;$C126&amp;" (EID "&amp;$D126&amp;")"&amp;CHAR(10)&amp;"Audit Date: "&amp;TEXT($B126,"yyyy-mm-dd")&amp;CHAR(10)&amp;"Team Leader: "&amp;$F126&amp;CHAR(10)&amp;"Case Number: "&amp;$M126&amp;CHAR(10)&amp;"Transaction ID: "&amp;$N126&amp;CHAR(10)&amp;"Channel / LOB: "&amp;$K126&amp;" / "&amp;$L126&amp;CHAR(10)&amp;"Evaluator: "&amp;$S126&amp;CHAR(10)&amp;CHAR(10)&amp;"INVALID QUALITY AUDIT DETAILS"&amp;CHAR(10)&amp;"Validation: Invalid"&amp;CHAR(10)&amp;"Invalid Reason: "&amp;$P126&amp;CHAR(10)&amp;"Expected Resolution Code: "&amp;$Q126&amp;CHAR(10)&amp;"Remarks: "&amp;LEFT($R126,600)&amp;CHAR(10)&amp;CHAR(10)&amp;"This is an automated notification from HP Mainstream EQMS."),"✉ Open Email Draft"),"")</f>
        <v/>
      </c>
    </row>
    <row r="127">
      <c r="A127" s="25">
        <f>IF($C127="","","AUD-2026-"&amp;TEXT(ROW()-1,"000000"))</f>
        <v/>
      </c>
      <c r="B127" s="26" t="n"/>
      <c r="C127" s="27" t="n"/>
      <c r="D127" s="25">
        <f>IF($C127="","",IFERROR(IF(INDEX(Roster!$A:$A,MATCH($C127,Roster!$B:$B,0))="","",INDEX(Roster!$A:$A,MATCH($C127,Roster!$B:$B,0))&amp;""),"—"))</f>
        <v/>
      </c>
      <c r="E127" s="25">
        <f>IF($C127="","",IFERROR(IF(INDEX(Roster!$C:$C,MATCH($C127,Roster!$B:$B,0))="","",INDEX(Roster!$C:$C,MATCH($C127,Roster!$B:$B,0))&amp;""),"—"))</f>
        <v/>
      </c>
      <c r="F127" s="25">
        <f>IF($C127="","",IFERROR(IF(INDEX(Roster!$D:$D,MATCH($C127,Roster!$B:$B,0))="","",INDEX(Roster!$D:$D,MATCH($C127,Roster!$B:$B,0))&amp;""),"—"))</f>
        <v/>
      </c>
      <c r="G127" s="25">
        <f>IF($C127="","",IFERROR(IF(INDEX(Roster!$E:$E,MATCH($C127,Roster!$B:$B,0))="","",INDEX(Roster!$E:$E,MATCH($C127,Roster!$B:$B,0))&amp;""),"—"))</f>
        <v/>
      </c>
      <c r="H127" s="25">
        <f>IF($C127="","",IFERROR(IF(INDEX(Roster!$F:$F,MATCH($C127,Roster!$B:$B,0))="","",INDEX(Roster!$F:$F,MATCH($C127,Roster!$B:$B,0))&amp;""),"—"))</f>
        <v/>
      </c>
      <c r="I127" s="25">
        <f>IF($C127="","",IFERROR(IF(INDEX(Roster!$G:$G,MATCH($C127,Roster!$B:$B,0))="","",INDEX(Roster!$G:$G,MATCH($C127,Roster!$B:$B,0))&amp;""),"—"))</f>
        <v/>
      </c>
      <c r="J127" s="25">
        <f>IF($C127="","",IFERROR(IF(INDEX(Roster!$I:$I,MATCH($C127,Roster!$B:$B,0))="","",INDEX(Roster!$I:$I,MATCH($C127,Roster!$B:$B,0))&amp;""),"—"))</f>
        <v/>
      </c>
      <c r="K127">
        <f>IF($C127="","",IFERROR(IF(INDEX(Roster!$J:$J,MATCH($C127,Roster!$B:$B,0))="","",INDEX(Roster!$J:$J,MATCH($C127,Roster!$B:$B,0))&amp;""),"—"))</f>
        <v/>
      </c>
      <c r="L127">
        <f>IF($C127="","",IFERROR(IF(INDEX(Roster!$K:$K,MATCH($C127,Roster!$B:$B,0))="","",INDEX(Roster!$K:$K,MATCH($C127,Roster!$B:$B,0))&amp;""),"—"))</f>
        <v/>
      </c>
      <c r="M127" s="27" t="n"/>
      <c r="N127" s="27" t="n"/>
      <c r="O127" s="25">
        <f>IF($C127="","",IF($P127="","—",IF($P127="Valid (Pass)","Valid","Invalid")))</f>
        <v/>
      </c>
      <c r="P127" s="27" t="n"/>
      <c r="Q127" s="27" t="n"/>
      <c r="R127" s="27" t="n"/>
      <c r="S127" s="27" t="n"/>
      <c r="T127" s="25">
        <f>IF($C127="","",IF(OR(ISNUMBER(SEARCH("quick case",$P127)),ISNUMBER(SEARCH("quick case",$Q127))),"Yes","No"))</f>
        <v/>
      </c>
      <c r="U127" s="25">
        <f>IF($O127="Invalid",HYPERLINK("mailto:"&amp;$G127&amp;";"&amp;$I127&amp;"?cc="&amp;Lists!$E$2&amp;"&amp;subject="&amp;_xlfn.ENCODEURL("[INVALID] Quality audit monitoring completed for "&amp;UPPER($C127))&amp;"&amp;body="&amp;_xlfn.ENCODEURL("Hi "&amp;$F127&amp;","&amp;CHAR(10)&amp;"Good day!"&amp;CHAR(10)&amp;CHAR(10)&amp;"A quality monitoring audit has been completed for "&amp;$C127&amp;"."&amp;CHAR(10)&amp;CHAR(10)&amp;"QUALITY AUDIT DETAILS"&amp;CHAR(10)&amp;"Agent Name: "&amp;$C127&amp;" (EID "&amp;$D127&amp;")"&amp;CHAR(10)&amp;"Audit Date: "&amp;TEXT($B127,"yyyy-mm-dd")&amp;CHAR(10)&amp;"Team Leader: "&amp;$F127&amp;CHAR(10)&amp;"Case Number: "&amp;$M127&amp;CHAR(10)&amp;"Transaction ID: "&amp;$N127&amp;CHAR(10)&amp;"Channel / LOB: "&amp;$K127&amp;" / "&amp;$L127&amp;CHAR(10)&amp;"Evaluator: "&amp;$S127&amp;CHAR(10)&amp;CHAR(10)&amp;"INVALID QUALITY AUDIT DETAILS"&amp;CHAR(10)&amp;"Validation: Invalid"&amp;CHAR(10)&amp;"Invalid Reason: "&amp;$P127&amp;CHAR(10)&amp;"Expected Resolution Code: "&amp;$Q127&amp;CHAR(10)&amp;"Remarks: "&amp;LEFT($R127,600)&amp;CHAR(10)&amp;CHAR(10)&amp;"This is an automated notification from HP Mainstream EQMS."),"✉ Open Email Draft"),"")</f>
        <v/>
      </c>
    </row>
    <row r="128">
      <c r="A128" s="25">
        <f>IF($C128="","","AUD-2026-"&amp;TEXT(ROW()-1,"000000"))</f>
        <v/>
      </c>
      <c r="B128" s="26" t="n"/>
      <c r="C128" s="27" t="n"/>
      <c r="D128" s="25">
        <f>IF($C128="","",IFERROR(IF(INDEX(Roster!$A:$A,MATCH($C128,Roster!$B:$B,0))="","",INDEX(Roster!$A:$A,MATCH($C128,Roster!$B:$B,0))&amp;""),"—"))</f>
        <v/>
      </c>
      <c r="E128" s="25">
        <f>IF($C128="","",IFERROR(IF(INDEX(Roster!$C:$C,MATCH($C128,Roster!$B:$B,0))="","",INDEX(Roster!$C:$C,MATCH($C128,Roster!$B:$B,0))&amp;""),"—"))</f>
        <v/>
      </c>
      <c r="F128" s="25">
        <f>IF($C128="","",IFERROR(IF(INDEX(Roster!$D:$D,MATCH($C128,Roster!$B:$B,0))="","",INDEX(Roster!$D:$D,MATCH($C128,Roster!$B:$B,0))&amp;""),"—"))</f>
        <v/>
      </c>
      <c r="G128" s="25">
        <f>IF($C128="","",IFERROR(IF(INDEX(Roster!$E:$E,MATCH($C128,Roster!$B:$B,0))="","",INDEX(Roster!$E:$E,MATCH($C128,Roster!$B:$B,0))&amp;""),"—"))</f>
        <v/>
      </c>
      <c r="H128" s="25">
        <f>IF($C128="","",IFERROR(IF(INDEX(Roster!$F:$F,MATCH($C128,Roster!$B:$B,0))="","",INDEX(Roster!$F:$F,MATCH($C128,Roster!$B:$B,0))&amp;""),"—"))</f>
        <v/>
      </c>
      <c r="I128" s="25">
        <f>IF($C128="","",IFERROR(IF(INDEX(Roster!$G:$G,MATCH($C128,Roster!$B:$B,0))="","",INDEX(Roster!$G:$G,MATCH($C128,Roster!$B:$B,0))&amp;""),"—"))</f>
        <v/>
      </c>
      <c r="J128" s="25">
        <f>IF($C128="","",IFERROR(IF(INDEX(Roster!$I:$I,MATCH($C128,Roster!$B:$B,0))="","",INDEX(Roster!$I:$I,MATCH($C128,Roster!$B:$B,0))&amp;""),"—"))</f>
        <v/>
      </c>
      <c r="K128">
        <f>IF($C128="","",IFERROR(IF(INDEX(Roster!$J:$J,MATCH($C128,Roster!$B:$B,0))="","",INDEX(Roster!$J:$J,MATCH($C128,Roster!$B:$B,0))&amp;""),"—"))</f>
        <v/>
      </c>
      <c r="L128">
        <f>IF($C128="","",IFERROR(IF(INDEX(Roster!$K:$K,MATCH($C128,Roster!$B:$B,0))="","",INDEX(Roster!$K:$K,MATCH($C128,Roster!$B:$B,0))&amp;""),"—"))</f>
        <v/>
      </c>
      <c r="M128" s="27" t="n"/>
      <c r="N128" s="27" t="n"/>
      <c r="O128" s="25">
        <f>IF($C128="","",IF($P128="","—",IF($P128="Valid (Pass)","Valid","Invalid")))</f>
        <v/>
      </c>
      <c r="P128" s="27" t="n"/>
      <c r="Q128" s="27" t="n"/>
      <c r="R128" s="27" t="n"/>
      <c r="S128" s="27" t="n"/>
      <c r="T128" s="25">
        <f>IF($C128="","",IF(OR(ISNUMBER(SEARCH("quick case",$P128)),ISNUMBER(SEARCH("quick case",$Q128))),"Yes","No"))</f>
        <v/>
      </c>
      <c r="U128" s="25">
        <f>IF($O128="Invalid",HYPERLINK("mailto:"&amp;$G128&amp;";"&amp;$I128&amp;"?cc="&amp;Lists!$E$2&amp;"&amp;subject="&amp;_xlfn.ENCODEURL("[INVALID] Quality audit monitoring completed for "&amp;UPPER($C128))&amp;"&amp;body="&amp;_xlfn.ENCODEURL("Hi "&amp;$F128&amp;","&amp;CHAR(10)&amp;"Good day!"&amp;CHAR(10)&amp;CHAR(10)&amp;"A quality monitoring audit has been completed for "&amp;$C128&amp;"."&amp;CHAR(10)&amp;CHAR(10)&amp;"QUALITY AUDIT DETAILS"&amp;CHAR(10)&amp;"Agent Name: "&amp;$C128&amp;" (EID "&amp;$D128&amp;")"&amp;CHAR(10)&amp;"Audit Date: "&amp;TEXT($B128,"yyyy-mm-dd")&amp;CHAR(10)&amp;"Team Leader: "&amp;$F128&amp;CHAR(10)&amp;"Case Number: "&amp;$M128&amp;CHAR(10)&amp;"Transaction ID: "&amp;$N128&amp;CHAR(10)&amp;"Channel / LOB: "&amp;$K128&amp;" / "&amp;$L128&amp;CHAR(10)&amp;"Evaluator: "&amp;$S128&amp;CHAR(10)&amp;CHAR(10)&amp;"INVALID QUALITY AUDIT DETAILS"&amp;CHAR(10)&amp;"Validation: Invalid"&amp;CHAR(10)&amp;"Invalid Reason: "&amp;$P128&amp;CHAR(10)&amp;"Expected Resolution Code: "&amp;$Q128&amp;CHAR(10)&amp;"Remarks: "&amp;LEFT($R128,600)&amp;CHAR(10)&amp;CHAR(10)&amp;"This is an automated notification from HP Mainstream EQMS."),"✉ Open Email Draft"),"")</f>
        <v/>
      </c>
    </row>
    <row r="129">
      <c r="A129" s="25">
        <f>IF($C129="","","AUD-2026-"&amp;TEXT(ROW()-1,"000000"))</f>
        <v/>
      </c>
      <c r="B129" s="26" t="n"/>
      <c r="C129" s="27" t="n"/>
      <c r="D129" s="25">
        <f>IF($C129="","",IFERROR(IF(INDEX(Roster!$A:$A,MATCH($C129,Roster!$B:$B,0))="","",INDEX(Roster!$A:$A,MATCH($C129,Roster!$B:$B,0))&amp;""),"—"))</f>
        <v/>
      </c>
      <c r="E129" s="25">
        <f>IF($C129="","",IFERROR(IF(INDEX(Roster!$C:$C,MATCH($C129,Roster!$B:$B,0))="","",INDEX(Roster!$C:$C,MATCH($C129,Roster!$B:$B,0))&amp;""),"—"))</f>
        <v/>
      </c>
      <c r="F129" s="25">
        <f>IF($C129="","",IFERROR(IF(INDEX(Roster!$D:$D,MATCH($C129,Roster!$B:$B,0))="","",INDEX(Roster!$D:$D,MATCH($C129,Roster!$B:$B,0))&amp;""),"—"))</f>
        <v/>
      </c>
      <c r="G129" s="25">
        <f>IF($C129="","",IFERROR(IF(INDEX(Roster!$E:$E,MATCH($C129,Roster!$B:$B,0))="","",INDEX(Roster!$E:$E,MATCH($C129,Roster!$B:$B,0))&amp;""),"—"))</f>
        <v/>
      </c>
      <c r="H129" s="25">
        <f>IF($C129="","",IFERROR(IF(INDEX(Roster!$F:$F,MATCH($C129,Roster!$B:$B,0))="","",INDEX(Roster!$F:$F,MATCH($C129,Roster!$B:$B,0))&amp;""),"—"))</f>
        <v/>
      </c>
      <c r="I129" s="25">
        <f>IF($C129="","",IFERROR(IF(INDEX(Roster!$G:$G,MATCH($C129,Roster!$B:$B,0))="","",INDEX(Roster!$G:$G,MATCH($C129,Roster!$B:$B,0))&amp;""),"—"))</f>
        <v/>
      </c>
      <c r="J129" s="25">
        <f>IF($C129="","",IFERROR(IF(INDEX(Roster!$I:$I,MATCH($C129,Roster!$B:$B,0))="","",INDEX(Roster!$I:$I,MATCH($C129,Roster!$B:$B,0))&amp;""),"—"))</f>
        <v/>
      </c>
      <c r="K129">
        <f>IF($C129="","",IFERROR(IF(INDEX(Roster!$J:$J,MATCH($C129,Roster!$B:$B,0))="","",INDEX(Roster!$J:$J,MATCH($C129,Roster!$B:$B,0))&amp;""),"—"))</f>
        <v/>
      </c>
      <c r="L129">
        <f>IF($C129="","",IFERROR(IF(INDEX(Roster!$K:$K,MATCH($C129,Roster!$B:$B,0))="","",INDEX(Roster!$K:$K,MATCH($C129,Roster!$B:$B,0))&amp;""),"—"))</f>
        <v/>
      </c>
      <c r="M129" s="27" t="n"/>
      <c r="N129" s="27" t="n"/>
      <c r="O129" s="25">
        <f>IF($C129="","",IF($P129="","—",IF($P129="Valid (Pass)","Valid","Invalid")))</f>
        <v/>
      </c>
      <c r="P129" s="27" t="n"/>
      <c r="Q129" s="27" t="n"/>
      <c r="R129" s="27" t="n"/>
      <c r="S129" s="27" t="n"/>
      <c r="T129" s="25">
        <f>IF($C129="","",IF(OR(ISNUMBER(SEARCH("quick case",$P129)),ISNUMBER(SEARCH("quick case",$Q129))),"Yes","No"))</f>
        <v/>
      </c>
      <c r="U129" s="25">
        <f>IF($O129="Invalid",HYPERLINK("mailto:"&amp;$G129&amp;";"&amp;$I129&amp;"?cc="&amp;Lists!$E$2&amp;"&amp;subject="&amp;_xlfn.ENCODEURL("[INVALID] Quality audit monitoring completed for "&amp;UPPER($C129))&amp;"&amp;body="&amp;_xlfn.ENCODEURL("Hi "&amp;$F129&amp;","&amp;CHAR(10)&amp;"Good day!"&amp;CHAR(10)&amp;CHAR(10)&amp;"A quality monitoring audit has been completed for "&amp;$C129&amp;"."&amp;CHAR(10)&amp;CHAR(10)&amp;"QUALITY AUDIT DETAILS"&amp;CHAR(10)&amp;"Agent Name: "&amp;$C129&amp;" (EID "&amp;$D129&amp;")"&amp;CHAR(10)&amp;"Audit Date: "&amp;TEXT($B129,"yyyy-mm-dd")&amp;CHAR(10)&amp;"Team Leader: "&amp;$F129&amp;CHAR(10)&amp;"Case Number: "&amp;$M129&amp;CHAR(10)&amp;"Transaction ID: "&amp;$N129&amp;CHAR(10)&amp;"Channel / LOB: "&amp;$K129&amp;" / "&amp;$L129&amp;CHAR(10)&amp;"Evaluator: "&amp;$S129&amp;CHAR(10)&amp;CHAR(10)&amp;"INVALID QUALITY AUDIT DETAILS"&amp;CHAR(10)&amp;"Validation: Invalid"&amp;CHAR(10)&amp;"Invalid Reason: "&amp;$P129&amp;CHAR(10)&amp;"Expected Resolution Code: "&amp;$Q129&amp;CHAR(10)&amp;"Remarks: "&amp;LEFT($R129,600)&amp;CHAR(10)&amp;CHAR(10)&amp;"This is an automated notification from HP Mainstream EQMS."),"✉ Open Email Draft"),"")</f>
        <v/>
      </c>
    </row>
    <row r="130">
      <c r="A130" s="25">
        <f>IF($C130="","","AUD-2026-"&amp;TEXT(ROW()-1,"000000"))</f>
        <v/>
      </c>
      <c r="B130" s="26" t="n"/>
      <c r="C130" s="27" t="n"/>
      <c r="D130" s="25">
        <f>IF($C130="","",IFERROR(IF(INDEX(Roster!$A:$A,MATCH($C130,Roster!$B:$B,0))="","",INDEX(Roster!$A:$A,MATCH($C130,Roster!$B:$B,0))&amp;""),"—"))</f>
        <v/>
      </c>
      <c r="E130" s="25">
        <f>IF($C130="","",IFERROR(IF(INDEX(Roster!$C:$C,MATCH($C130,Roster!$B:$B,0))="","",INDEX(Roster!$C:$C,MATCH($C130,Roster!$B:$B,0))&amp;""),"—"))</f>
        <v/>
      </c>
      <c r="F130" s="25">
        <f>IF($C130="","",IFERROR(IF(INDEX(Roster!$D:$D,MATCH($C130,Roster!$B:$B,0))="","",INDEX(Roster!$D:$D,MATCH($C130,Roster!$B:$B,0))&amp;""),"—"))</f>
        <v/>
      </c>
      <c r="G130" s="25">
        <f>IF($C130="","",IFERROR(IF(INDEX(Roster!$E:$E,MATCH($C130,Roster!$B:$B,0))="","",INDEX(Roster!$E:$E,MATCH($C130,Roster!$B:$B,0))&amp;""),"—"))</f>
        <v/>
      </c>
      <c r="H130" s="25">
        <f>IF($C130="","",IFERROR(IF(INDEX(Roster!$F:$F,MATCH($C130,Roster!$B:$B,0))="","",INDEX(Roster!$F:$F,MATCH($C130,Roster!$B:$B,0))&amp;""),"—"))</f>
        <v/>
      </c>
      <c r="I130" s="25">
        <f>IF($C130="","",IFERROR(IF(INDEX(Roster!$G:$G,MATCH($C130,Roster!$B:$B,0))="","",INDEX(Roster!$G:$G,MATCH($C130,Roster!$B:$B,0))&amp;""),"—"))</f>
        <v/>
      </c>
      <c r="J130" s="25">
        <f>IF($C130="","",IFERROR(IF(INDEX(Roster!$I:$I,MATCH($C130,Roster!$B:$B,0))="","",INDEX(Roster!$I:$I,MATCH($C130,Roster!$B:$B,0))&amp;""),"—"))</f>
        <v/>
      </c>
      <c r="K130">
        <f>IF($C130="","",IFERROR(IF(INDEX(Roster!$J:$J,MATCH($C130,Roster!$B:$B,0))="","",INDEX(Roster!$J:$J,MATCH($C130,Roster!$B:$B,0))&amp;""),"—"))</f>
        <v/>
      </c>
      <c r="L130">
        <f>IF($C130="","",IFERROR(IF(INDEX(Roster!$K:$K,MATCH($C130,Roster!$B:$B,0))="","",INDEX(Roster!$K:$K,MATCH($C130,Roster!$B:$B,0))&amp;""),"—"))</f>
        <v/>
      </c>
      <c r="M130" s="27" t="n"/>
      <c r="N130" s="27" t="n"/>
      <c r="O130" s="25">
        <f>IF($C130="","",IF($P130="","—",IF($P130="Valid (Pass)","Valid","Invalid")))</f>
        <v/>
      </c>
      <c r="P130" s="27" t="n"/>
      <c r="Q130" s="27" t="n"/>
      <c r="R130" s="27" t="n"/>
      <c r="S130" s="27" t="n"/>
      <c r="T130" s="25">
        <f>IF($C130="","",IF(OR(ISNUMBER(SEARCH("quick case",$P130)),ISNUMBER(SEARCH("quick case",$Q130))),"Yes","No"))</f>
        <v/>
      </c>
      <c r="U130" s="25">
        <f>IF($O130="Invalid",HYPERLINK("mailto:"&amp;$G130&amp;";"&amp;$I130&amp;"?cc="&amp;Lists!$E$2&amp;"&amp;subject="&amp;_xlfn.ENCODEURL("[INVALID] Quality audit monitoring completed for "&amp;UPPER($C130))&amp;"&amp;body="&amp;_xlfn.ENCODEURL("Hi "&amp;$F130&amp;","&amp;CHAR(10)&amp;"Good day!"&amp;CHAR(10)&amp;CHAR(10)&amp;"A quality monitoring audit has been completed for "&amp;$C130&amp;"."&amp;CHAR(10)&amp;CHAR(10)&amp;"QUALITY AUDIT DETAILS"&amp;CHAR(10)&amp;"Agent Name: "&amp;$C130&amp;" (EID "&amp;$D130&amp;")"&amp;CHAR(10)&amp;"Audit Date: "&amp;TEXT($B130,"yyyy-mm-dd")&amp;CHAR(10)&amp;"Team Leader: "&amp;$F130&amp;CHAR(10)&amp;"Case Number: "&amp;$M130&amp;CHAR(10)&amp;"Transaction ID: "&amp;$N130&amp;CHAR(10)&amp;"Channel / LOB: "&amp;$K130&amp;" / "&amp;$L130&amp;CHAR(10)&amp;"Evaluator: "&amp;$S130&amp;CHAR(10)&amp;CHAR(10)&amp;"INVALID QUALITY AUDIT DETAILS"&amp;CHAR(10)&amp;"Validation: Invalid"&amp;CHAR(10)&amp;"Invalid Reason: "&amp;$P130&amp;CHAR(10)&amp;"Expected Resolution Code: "&amp;$Q130&amp;CHAR(10)&amp;"Remarks: "&amp;LEFT($R130,600)&amp;CHAR(10)&amp;CHAR(10)&amp;"This is an automated notification from HP Mainstream EQMS."),"✉ Open Email Draft"),"")</f>
        <v/>
      </c>
    </row>
    <row r="131">
      <c r="A131" s="25">
        <f>IF($C131="","","AUD-2026-"&amp;TEXT(ROW()-1,"000000"))</f>
        <v/>
      </c>
      <c r="B131" s="26" t="n"/>
      <c r="C131" s="27" t="n"/>
      <c r="D131" s="25">
        <f>IF($C131="","",IFERROR(IF(INDEX(Roster!$A:$A,MATCH($C131,Roster!$B:$B,0))="","",INDEX(Roster!$A:$A,MATCH($C131,Roster!$B:$B,0))&amp;""),"—"))</f>
        <v/>
      </c>
      <c r="E131" s="25">
        <f>IF($C131="","",IFERROR(IF(INDEX(Roster!$C:$C,MATCH($C131,Roster!$B:$B,0))="","",INDEX(Roster!$C:$C,MATCH($C131,Roster!$B:$B,0))&amp;""),"—"))</f>
        <v/>
      </c>
      <c r="F131" s="25">
        <f>IF($C131="","",IFERROR(IF(INDEX(Roster!$D:$D,MATCH($C131,Roster!$B:$B,0))="","",INDEX(Roster!$D:$D,MATCH($C131,Roster!$B:$B,0))&amp;""),"—"))</f>
        <v/>
      </c>
      <c r="G131" s="25">
        <f>IF($C131="","",IFERROR(IF(INDEX(Roster!$E:$E,MATCH($C131,Roster!$B:$B,0))="","",INDEX(Roster!$E:$E,MATCH($C131,Roster!$B:$B,0))&amp;""),"—"))</f>
        <v/>
      </c>
      <c r="H131" s="25">
        <f>IF($C131="","",IFERROR(IF(INDEX(Roster!$F:$F,MATCH($C131,Roster!$B:$B,0))="","",INDEX(Roster!$F:$F,MATCH($C131,Roster!$B:$B,0))&amp;""),"—"))</f>
        <v/>
      </c>
      <c r="I131" s="25">
        <f>IF($C131="","",IFERROR(IF(INDEX(Roster!$G:$G,MATCH($C131,Roster!$B:$B,0))="","",INDEX(Roster!$G:$G,MATCH($C131,Roster!$B:$B,0))&amp;""),"—"))</f>
        <v/>
      </c>
      <c r="J131" s="25">
        <f>IF($C131="","",IFERROR(IF(INDEX(Roster!$I:$I,MATCH($C131,Roster!$B:$B,0))="","",INDEX(Roster!$I:$I,MATCH($C131,Roster!$B:$B,0))&amp;""),"—"))</f>
        <v/>
      </c>
      <c r="K131">
        <f>IF($C131="","",IFERROR(IF(INDEX(Roster!$J:$J,MATCH($C131,Roster!$B:$B,0))="","",INDEX(Roster!$J:$J,MATCH($C131,Roster!$B:$B,0))&amp;""),"—"))</f>
        <v/>
      </c>
      <c r="L131">
        <f>IF($C131="","",IFERROR(IF(INDEX(Roster!$K:$K,MATCH($C131,Roster!$B:$B,0))="","",INDEX(Roster!$K:$K,MATCH($C131,Roster!$B:$B,0))&amp;""),"—"))</f>
        <v/>
      </c>
      <c r="M131" s="27" t="n"/>
      <c r="N131" s="27" t="n"/>
      <c r="O131" s="25">
        <f>IF($C131="","",IF($P131="","—",IF($P131="Valid (Pass)","Valid","Invalid")))</f>
        <v/>
      </c>
      <c r="P131" s="27" t="n"/>
      <c r="Q131" s="27" t="n"/>
      <c r="R131" s="27" t="n"/>
      <c r="S131" s="27" t="n"/>
      <c r="T131" s="25">
        <f>IF($C131="","",IF(OR(ISNUMBER(SEARCH("quick case",$P131)),ISNUMBER(SEARCH("quick case",$Q131))),"Yes","No"))</f>
        <v/>
      </c>
      <c r="U131" s="25">
        <f>IF($O131="Invalid",HYPERLINK("mailto:"&amp;$G131&amp;";"&amp;$I131&amp;"?cc="&amp;Lists!$E$2&amp;"&amp;subject="&amp;_xlfn.ENCODEURL("[INVALID] Quality audit monitoring completed for "&amp;UPPER($C131))&amp;"&amp;body="&amp;_xlfn.ENCODEURL("Hi "&amp;$F131&amp;","&amp;CHAR(10)&amp;"Good day!"&amp;CHAR(10)&amp;CHAR(10)&amp;"A quality monitoring audit has been completed for "&amp;$C131&amp;"."&amp;CHAR(10)&amp;CHAR(10)&amp;"QUALITY AUDIT DETAILS"&amp;CHAR(10)&amp;"Agent Name: "&amp;$C131&amp;" (EID "&amp;$D131&amp;")"&amp;CHAR(10)&amp;"Audit Date: "&amp;TEXT($B131,"yyyy-mm-dd")&amp;CHAR(10)&amp;"Team Leader: "&amp;$F131&amp;CHAR(10)&amp;"Case Number: "&amp;$M131&amp;CHAR(10)&amp;"Transaction ID: "&amp;$N131&amp;CHAR(10)&amp;"Channel / LOB: "&amp;$K131&amp;" / "&amp;$L131&amp;CHAR(10)&amp;"Evaluator: "&amp;$S131&amp;CHAR(10)&amp;CHAR(10)&amp;"INVALID QUALITY AUDIT DETAILS"&amp;CHAR(10)&amp;"Validation: Invalid"&amp;CHAR(10)&amp;"Invalid Reason: "&amp;$P131&amp;CHAR(10)&amp;"Expected Resolution Code: "&amp;$Q131&amp;CHAR(10)&amp;"Remarks: "&amp;LEFT($R131,600)&amp;CHAR(10)&amp;CHAR(10)&amp;"This is an automated notification from HP Mainstream EQMS."),"✉ Open Email Draft"),"")</f>
        <v/>
      </c>
    </row>
    <row r="132">
      <c r="A132" s="25">
        <f>IF($C132="","","AUD-2026-"&amp;TEXT(ROW()-1,"000000"))</f>
        <v/>
      </c>
      <c r="B132" s="26" t="n"/>
      <c r="C132" s="27" t="n"/>
      <c r="D132" s="25">
        <f>IF($C132="","",IFERROR(IF(INDEX(Roster!$A:$A,MATCH($C132,Roster!$B:$B,0))="","",INDEX(Roster!$A:$A,MATCH($C132,Roster!$B:$B,0))&amp;""),"—"))</f>
        <v/>
      </c>
      <c r="E132" s="25">
        <f>IF($C132="","",IFERROR(IF(INDEX(Roster!$C:$C,MATCH($C132,Roster!$B:$B,0))="","",INDEX(Roster!$C:$C,MATCH($C132,Roster!$B:$B,0))&amp;""),"—"))</f>
        <v/>
      </c>
      <c r="F132" s="25">
        <f>IF($C132="","",IFERROR(IF(INDEX(Roster!$D:$D,MATCH($C132,Roster!$B:$B,0))="","",INDEX(Roster!$D:$D,MATCH($C132,Roster!$B:$B,0))&amp;""),"—"))</f>
        <v/>
      </c>
      <c r="G132" s="25">
        <f>IF($C132="","",IFERROR(IF(INDEX(Roster!$E:$E,MATCH($C132,Roster!$B:$B,0))="","",INDEX(Roster!$E:$E,MATCH($C132,Roster!$B:$B,0))&amp;""),"—"))</f>
        <v/>
      </c>
      <c r="H132" s="25">
        <f>IF($C132="","",IFERROR(IF(INDEX(Roster!$F:$F,MATCH($C132,Roster!$B:$B,0))="","",INDEX(Roster!$F:$F,MATCH($C132,Roster!$B:$B,0))&amp;""),"—"))</f>
        <v/>
      </c>
      <c r="I132" s="25">
        <f>IF($C132="","",IFERROR(IF(INDEX(Roster!$G:$G,MATCH($C132,Roster!$B:$B,0))="","",INDEX(Roster!$G:$G,MATCH($C132,Roster!$B:$B,0))&amp;""),"—"))</f>
        <v/>
      </c>
      <c r="J132" s="25">
        <f>IF($C132="","",IFERROR(IF(INDEX(Roster!$I:$I,MATCH($C132,Roster!$B:$B,0))="","",INDEX(Roster!$I:$I,MATCH($C132,Roster!$B:$B,0))&amp;""),"—"))</f>
        <v/>
      </c>
      <c r="K132">
        <f>IF($C132="","",IFERROR(IF(INDEX(Roster!$J:$J,MATCH($C132,Roster!$B:$B,0))="","",INDEX(Roster!$J:$J,MATCH($C132,Roster!$B:$B,0))&amp;""),"—"))</f>
        <v/>
      </c>
      <c r="L132">
        <f>IF($C132="","",IFERROR(IF(INDEX(Roster!$K:$K,MATCH($C132,Roster!$B:$B,0))="","",INDEX(Roster!$K:$K,MATCH($C132,Roster!$B:$B,0))&amp;""),"—"))</f>
        <v/>
      </c>
      <c r="M132" s="27" t="n"/>
      <c r="N132" s="27" t="n"/>
      <c r="O132" s="25">
        <f>IF($C132="","",IF($P132="","—",IF($P132="Valid (Pass)","Valid","Invalid")))</f>
        <v/>
      </c>
      <c r="P132" s="27" t="n"/>
      <c r="Q132" s="27" t="n"/>
      <c r="R132" s="27" t="n"/>
      <c r="S132" s="27" t="n"/>
      <c r="T132" s="25">
        <f>IF($C132="","",IF(OR(ISNUMBER(SEARCH("quick case",$P132)),ISNUMBER(SEARCH("quick case",$Q132))),"Yes","No"))</f>
        <v/>
      </c>
      <c r="U132" s="25">
        <f>IF($O132="Invalid",HYPERLINK("mailto:"&amp;$G132&amp;";"&amp;$I132&amp;"?cc="&amp;Lists!$E$2&amp;"&amp;subject="&amp;_xlfn.ENCODEURL("[INVALID] Quality audit monitoring completed for "&amp;UPPER($C132))&amp;"&amp;body="&amp;_xlfn.ENCODEURL("Hi "&amp;$F132&amp;","&amp;CHAR(10)&amp;"Good day!"&amp;CHAR(10)&amp;CHAR(10)&amp;"A quality monitoring audit has been completed for "&amp;$C132&amp;"."&amp;CHAR(10)&amp;CHAR(10)&amp;"QUALITY AUDIT DETAILS"&amp;CHAR(10)&amp;"Agent Name: "&amp;$C132&amp;" (EID "&amp;$D132&amp;")"&amp;CHAR(10)&amp;"Audit Date: "&amp;TEXT($B132,"yyyy-mm-dd")&amp;CHAR(10)&amp;"Team Leader: "&amp;$F132&amp;CHAR(10)&amp;"Case Number: "&amp;$M132&amp;CHAR(10)&amp;"Transaction ID: "&amp;$N132&amp;CHAR(10)&amp;"Channel / LOB: "&amp;$K132&amp;" / "&amp;$L132&amp;CHAR(10)&amp;"Evaluator: "&amp;$S132&amp;CHAR(10)&amp;CHAR(10)&amp;"INVALID QUALITY AUDIT DETAILS"&amp;CHAR(10)&amp;"Validation: Invalid"&amp;CHAR(10)&amp;"Invalid Reason: "&amp;$P132&amp;CHAR(10)&amp;"Expected Resolution Code: "&amp;$Q132&amp;CHAR(10)&amp;"Remarks: "&amp;LEFT($R132,600)&amp;CHAR(10)&amp;CHAR(10)&amp;"This is an automated notification from HP Mainstream EQMS."),"✉ Open Email Draft"),"")</f>
        <v/>
      </c>
    </row>
    <row r="133">
      <c r="A133" s="25">
        <f>IF($C133="","","AUD-2026-"&amp;TEXT(ROW()-1,"000000"))</f>
        <v/>
      </c>
      <c r="B133" s="26" t="n"/>
      <c r="C133" s="27" t="n"/>
      <c r="D133" s="25">
        <f>IF($C133="","",IFERROR(IF(INDEX(Roster!$A:$A,MATCH($C133,Roster!$B:$B,0))="","",INDEX(Roster!$A:$A,MATCH($C133,Roster!$B:$B,0))&amp;""),"—"))</f>
        <v/>
      </c>
      <c r="E133" s="25">
        <f>IF($C133="","",IFERROR(IF(INDEX(Roster!$C:$C,MATCH($C133,Roster!$B:$B,0))="","",INDEX(Roster!$C:$C,MATCH($C133,Roster!$B:$B,0))&amp;""),"—"))</f>
        <v/>
      </c>
      <c r="F133" s="25">
        <f>IF($C133="","",IFERROR(IF(INDEX(Roster!$D:$D,MATCH($C133,Roster!$B:$B,0))="","",INDEX(Roster!$D:$D,MATCH($C133,Roster!$B:$B,0))&amp;""),"—"))</f>
        <v/>
      </c>
      <c r="G133" s="25">
        <f>IF($C133="","",IFERROR(IF(INDEX(Roster!$E:$E,MATCH($C133,Roster!$B:$B,0))="","",INDEX(Roster!$E:$E,MATCH($C133,Roster!$B:$B,0))&amp;""),"—"))</f>
        <v/>
      </c>
      <c r="H133" s="25">
        <f>IF($C133="","",IFERROR(IF(INDEX(Roster!$F:$F,MATCH($C133,Roster!$B:$B,0))="","",INDEX(Roster!$F:$F,MATCH($C133,Roster!$B:$B,0))&amp;""),"—"))</f>
        <v/>
      </c>
      <c r="I133" s="25">
        <f>IF($C133="","",IFERROR(IF(INDEX(Roster!$G:$G,MATCH($C133,Roster!$B:$B,0))="","",INDEX(Roster!$G:$G,MATCH($C133,Roster!$B:$B,0))&amp;""),"—"))</f>
        <v/>
      </c>
      <c r="J133" s="25">
        <f>IF($C133="","",IFERROR(IF(INDEX(Roster!$I:$I,MATCH($C133,Roster!$B:$B,0))="","",INDEX(Roster!$I:$I,MATCH($C133,Roster!$B:$B,0))&amp;""),"—"))</f>
        <v/>
      </c>
      <c r="K133">
        <f>IF($C133="","",IFERROR(IF(INDEX(Roster!$J:$J,MATCH($C133,Roster!$B:$B,0))="","",INDEX(Roster!$J:$J,MATCH($C133,Roster!$B:$B,0))&amp;""),"—"))</f>
        <v/>
      </c>
      <c r="L133">
        <f>IF($C133="","",IFERROR(IF(INDEX(Roster!$K:$K,MATCH($C133,Roster!$B:$B,0))="","",INDEX(Roster!$K:$K,MATCH($C133,Roster!$B:$B,0))&amp;""),"—"))</f>
        <v/>
      </c>
      <c r="M133" s="27" t="n"/>
      <c r="N133" s="27" t="n"/>
      <c r="O133" s="25">
        <f>IF($C133="","",IF($P133="","—",IF($P133="Valid (Pass)","Valid","Invalid")))</f>
        <v/>
      </c>
      <c r="P133" s="27" t="n"/>
      <c r="Q133" s="27" t="n"/>
      <c r="R133" s="27" t="n"/>
      <c r="S133" s="27" t="n"/>
      <c r="T133" s="25">
        <f>IF($C133="","",IF(OR(ISNUMBER(SEARCH("quick case",$P133)),ISNUMBER(SEARCH("quick case",$Q133))),"Yes","No"))</f>
        <v/>
      </c>
      <c r="U133" s="25">
        <f>IF($O133="Invalid",HYPERLINK("mailto:"&amp;$G133&amp;";"&amp;$I133&amp;"?cc="&amp;Lists!$E$2&amp;"&amp;subject="&amp;_xlfn.ENCODEURL("[INVALID] Quality audit monitoring completed for "&amp;UPPER($C133))&amp;"&amp;body="&amp;_xlfn.ENCODEURL("Hi "&amp;$F133&amp;","&amp;CHAR(10)&amp;"Good day!"&amp;CHAR(10)&amp;CHAR(10)&amp;"A quality monitoring audit has been completed for "&amp;$C133&amp;"."&amp;CHAR(10)&amp;CHAR(10)&amp;"QUALITY AUDIT DETAILS"&amp;CHAR(10)&amp;"Agent Name: "&amp;$C133&amp;" (EID "&amp;$D133&amp;")"&amp;CHAR(10)&amp;"Audit Date: "&amp;TEXT($B133,"yyyy-mm-dd")&amp;CHAR(10)&amp;"Team Leader: "&amp;$F133&amp;CHAR(10)&amp;"Case Number: "&amp;$M133&amp;CHAR(10)&amp;"Transaction ID: "&amp;$N133&amp;CHAR(10)&amp;"Channel / LOB: "&amp;$K133&amp;" / "&amp;$L133&amp;CHAR(10)&amp;"Evaluator: "&amp;$S133&amp;CHAR(10)&amp;CHAR(10)&amp;"INVALID QUALITY AUDIT DETAILS"&amp;CHAR(10)&amp;"Validation: Invalid"&amp;CHAR(10)&amp;"Invalid Reason: "&amp;$P133&amp;CHAR(10)&amp;"Expected Resolution Code: "&amp;$Q133&amp;CHAR(10)&amp;"Remarks: "&amp;LEFT($R133,600)&amp;CHAR(10)&amp;CHAR(10)&amp;"This is an automated notification from HP Mainstream EQMS."),"✉ Open Email Draft"),"")</f>
        <v/>
      </c>
    </row>
    <row r="134">
      <c r="A134" s="25">
        <f>IF($C134="","","AUD-2026-"&amp;TEXT(ROW()-1,"000000"))</f>
        <v/>
      </c>
      <c r="B134" s="26" t="n"/>
      <c r="C134" s="27" t="n"/>
      <c r="D134" s="25">
        <f>IF($C134="","",IFERROR(IF(INDEX(Roster!$A:$A,MATCH($C134,Roster!$B:$B,0))="","",INDEX(Roster!$A:$A,MATCH($C134,Roster!$B:$B,0))&amp;""),"—"))</f>
        <v/>
      </c>
      <c r="E134" s="25">
        <f>IF($C134="","",IFERROR(IF(INDEX(Roster!$C:$C,MATCH($C134,Roster!$B:$B,0))="","",INDEX(Roster!$C:$C,MATCH($C134,Roster!$B:$B,0))&amp;""),"—"))</f>
        <v/>
      </c>
      <c r="F134" s="25">
        <f>IF($C134="","",IFERROR(IF(INDEX(Roster!$D:$D,MATCH($C134,Roster!$B:$B,0))="","",INDEX(Roster!$D:$D,MATCH($C134,Roster!$B:$B,0))&amp;""),"—"))</f>
        <v/>
      </c>
      <c r="G134" s="25">
        <f>IF($C134="","",IFERROR(IF(INDEX(Roster!$E:$E,MATCH($C134,Roster!$B:$B,0))="","",INDEX(Roster!$E:$E,MATCH($C134,Roster!$B:$B,0))&amp;""),"—"))</f>
        <v/>
      </c>
      <c r="H134" s="25">
        <f>IF($C134="","",IFERROR(IF(INDEX(Roster!$F:$F,MATCH($C134,Roster!$B:$B,0))="","",INDEX(Roster!$F:$F,MATCH($C134,Roster!$B:$B,0))&amp;""),"—"))</f>
        <v/>
      </c>
      <c r="I134" s="25">
        <f>IF($C134="","",IFERROR(IF(INDEX(Roster!$G:$G,MATCH($C134,Roster!$B:$B,0))="","",INDEX(Roster!$G:$G,MATCH($C134,Roster!$B:$B,0))&amp;""),"—"))</f>
        <v/>
      </c>
      <c r="J134" s="25">
        <f>IF($C134="","",IFERROR(IF(INDEX(Roster!$I:$I,MATCH($C134,Roster!$B:$B,0))="","",INDEX(Roster!$I:$I,MATCH($C134,Roster!$B:$B,0))&amp;""),"—"))</f>
        <v/>
      </c>
      <c r="K134">
        <f>IF($C134="","",IFERROR(IF(INDEX(Roster!$J:$J,MATCH($C134,Roster!$B:$B,0))="","",INDEX(Roster!$J:$J,MATCH($C134,Roster!$B:$B,0))&amp;""),"—"))</f>
        <v/>
      </c>
      <c r="L134">
        <f>IF($C134="","",IFERROR(IF(INDEX(Roster!$K:$K,MATCH($C134,Roster!$B:$B,0))="","",INDEX(Roster!$K:$K,MATCH($C134,Roster!$B:$B,0))&amp;""),"—"))</f>
        <v/>
      </c>
      <c r="M134" s="27" t="n"/>
      <c r="N134" s="27" t="n"/>
      <c r="O134" s="25">
        <f>IF($C134="","",IF($P134="","—",IF($P134="Valid (Pass)","Valid","Invalid")))</f>
        <v/>
      </c>
      <c r="P134" s="27" t="n"/>
      <c r="Q134" s="27" t="n"/>
      <c r="R134" s="27" t="n"/>
      <c r="S134" s="27" t="n"/>
      <c r="T134" s="25">
        <f>IF($C134="","",IF(OR(ISNUMBER(SEARCH("quick case",$P134)),ISNUMBER(SEARCH("quick case",$Q134))),"Yes","No"))</f>
        <v/>
      </c>
      <c r="U134" s="25">
        <f>IF($O134="Invalid",HYPERLINK("mailto:"&amp;$G134&amp;";"&amp;$I134&amp;"?cc="&amp;Lists!$E$2&amp;"&amp;subject="&amp;_xlfn.ENCODEURL("[INVALID] Quality audit monitoring completed for "&amp;UPPER($C134))&amp;"&amp;body="&amp;_xlfn.ENCODEURL("Hi "&amp;$F134&amp;","&amp;CHAR(10)&amp;"Good day!"&amp;CHAR(10)&amp;CHAR(10)&amp;"A quality monitoring audit has been completed for "&amp;$C134&amp;"."&amp;CHAR(10)&amp;CHAR(10)&amp;"QUALITY AUDIT DETAILS"&amp;CHAR(10)&amp;"Agent Name: "&amp;$C134&amp;" (EID "&amp;$D134&amp;")"&amp;CHAR(10)&amp;"Audit Date: "&amp;TEXT($B134,"yyyy-mm-dd")&amp;CHAR(10)&amp;"Team Leader: "&amp;$F134&amp;CHAR(10)&amp;"Case Number: "&amp;$M134&amp;CHAR(10)&amp;"Transaction ID: "&amp;$N134&amp;CHAR(10)&amp;"Channel / LOB: "&amp;$K134&amp;" / "&amp;$L134&amp;CHAR(10)&amp;"Evaluator: "&amp;$S134&amp;CHAR(10)&amp;CHAR(10)&amp;"INVALID QUALITY AUDIT DETAILS"&amp;CHAR(10)&amp;"Validation: Invalid"&amp;CHAR(10)&amp;"Invalid Reason: "&amp;$P134&amp;CHAR(10)&amp;"Expected Resolution Code: "&amp;$Q134&amp;CHAR(10)&amp;"Remarks: "&amp;LEFT($R134,600)&amp;CHAR(10)&amp;CHAR(10)&amp;"This is an automated notification from HP Mainstream EQMS."),"✉ Open Email Draft"),"")</f>
        <v/>
      </c>
    </row>
    <row r="135">
      <c r="A135" s="25">
        <f>IF($C135="","","AUD-2026-"&amp;TEXT(ROW()-1,"000000"))</f>
        <v/>
      </c>
      <c r="B135" s="26" t="n"/>
      <c r="C135" s="27" t="n"/>
      <c r="D135" s="25">
        <f>IF($C135="","",IFERROR(IF(INDEX(Roster!$A:$A,MATCH($C135,Roster!$B:$B,0))="","",INDEX(Roster!$A:$A,MATCH($C135,Roster!$B:$B,0))&amp;""),"—"))</f>
        <v/>
      </c>
      <c r="E135" s="25">
        <f>IF($C135="","",IFERROR(IF(INDEX(Roster!$C:$C,MATCH($C135,Roster!$B:$B,0))="","",INDEX(Roster!$C:$C,MATCH($C135,Roster!$B:$B,0))&amp;""),"—"))</f>
        <v/>
      </c>
      <c r="F135" s="25">
        <f>IF($C135="","",IFERROR(IF(INDEX(Roster!$D:$D,MATCH($C135,Roster!$B:$B,0))="","",INDEX(Roster!$D:$D,MATCH($C135,Roster!$B:$B,0))&amp;""),"—"))</f>
        <v/>
      </c>
      <c r="G135" s="25">
        <f>IF($C135="","",IFERROR(IF(INDEX(Roster!$E:$E,MATCH($C135,Roster!$B:$B,0))="","",INDEX(Roster!$E:$E,MATCH($C135,Roster!$B:$B,0))&amp;""),"—"))</f>
        <v/>
      </c>
      <c r="H135" s="25">
        <f>IF($C135="","",IFERROR(IF(INDEX(Roster!$F:$F,MATCH($C135,Roster!$B:$B,0))="","",INDEX(Roster!$F:$F,MATCH($C135,Roster!$B:$B,0))&amp;""),"—"))</f>
        <v/>
      </c>
      <c r="I135" s="25">
        <f>IF($C135="","",IFERROR(IF(INDEX(Roster!$G:$G,MATCH($C135,Roster!$B:$B,0))="","",INDEX(Roster!$G:$G,MATCH($C135,Roster!$B:$B,0))&amp;""),"—"))</f>
        <v/>
      </c>
      <c r="J135" s="25">
        <f>IF($C135="","",IFERROR(IF(INDEX(Roster!$I:$I,MATCH($C135,Roster!$B:$B,0))="","",INDEX(Roster!$I:$I,MATCH($C135,Roster!$B:$B,0))&amp;""),"—"))</f>
        <v/>
      </c>
      <c r="K135">
        <f>IF($C135="","",IFERROR(IF(INDEX(Roster!$J:$J,MATCH($C135,Roster!$B:$B,0))="","",INDEX(Roster!$J:$J,MATCH($C135,Roster!$B:$B,0))&amp;""),"—"))</f>
        <v/>
      </c>
      <c r="L135">
        <f>IF($C135="","",IFERROR(IF(INDEX(Roster!$K:$K,MATCH($C135,Roster!$B:$B,0))="","",INDEX(Roster!$K:$K,MATCH($C135,Roster!$B:$B,0))&amp;""),"—"))</f>
        <v/>
      </c>
      <c r="M135" s="27" t="n"/>
      <c r="N135" s="27" t="n"/>
      <c r="O135" s="25">
        <f>IF($C135="","",IF($P135="","—",IF($P135="Valid (Pass)","Valid","Invalid")))</f>
        <v/>
      </c>
      <c r="P135" s="27" t="n"/>
      <c r="Q135" s="27" t="n"/>
      <c r="R135" s="27" t="n"/>
      <c r="S135" s="27" t="n"/>
      <c r="T135" s="25">
        <f>IF($C135="","",IF(OR(ISNUMBER(SEARCH("quick case",$P135)),ISNUMBER(SEARCH("quick case",$Q135))),"Yes","No"))</f>
        <v/>
      </c>
      <c r="U135" s="25">
        <f>IF($O135="Invalid",HYPERLINK("mailto:"&amp;$G135&amp;";"&amp;$I135&amp;"?cc="&amp;Lists!$E$2&amp;"&amp;subject="&amp;_xlfn.ENCODEURL("[INVALID] Quality audit monitoring completed for "&amp;UPPER($C135))&amp;"&amp;body="&amp;_xlfn.ENCODEURL("Hi "&amp;$F135&amp;","&amp;CHAR(10)&amp;"Good day!"&amp;CHAR(10)&amp;CHAR(10)&amp;"A quality monitoring audit has been completed for "&amp;$C135&amp;"."&amp;CHAR(10)&amp;CHAR(10)&amp;"QUALITY AUDIT DETAILS"&amp;CHAR(10)&amp;"Agent Name: "&amp;$C135&amp;" (EID "&amp;$D135&amp;")"&amp;CHAR(10)&amp;"Audit Date: "&amp;TEXT($B135,"yyyy-mm-dd")&amp;CHAR(10)&amp;"Team Leader: "&amp;$F135&amp;CHAR(10)&amp;"Case Number: "&amp;$M135&amp;CHAR(10)&amp;"Transaction ID: "&amp;$N135&amp;CHAR(10)&amp;"Channel / LOB: "&amp;$K135&amp;" / "&amp;$L135&amp;CHAR(10)&amp;"Evaluator: "&amp;$S135&amp;CHAR(10)&amp;CHAR(10)&amp;"INVALID QUALITY AUDIT DETAILS"&amp;CHAR(10)&amp;"Validation: Invalid"&amp;CHAR(10)&amp;"Invalid Reason: "&amp;$P135&amp;CHAR(10)&amp;"Expected Resolution Code: "&amp;$Q135&amp;CHAR(10)&amp;"Remarks: "&amp;LEFT($R135,600)&amp;CHAR(10)&amp;CHAR(10)&amp;"This is an automated notification from HP Mainstream EQMS."),"✉ Open Email Draft"),"")</f>
        <v/>
      </c>
    </row>
    <row r="136">
      <c r="A136" s="25">
        <f>IF($C136="","","AUD-2026-"&amp;TEXT(ROW()-1,"000000"))</f>
        <v/>
      </c>
      <c r="B136" s="26" t="n"/>
      <c r="C136" s="27" t="n"/>
      <c r="D136" s="25">
        <f>IF($C136="","",IFERROR(IF(INDEX(Roster!$A:$A,MATCH($C136,Roster!$B:$B,0))="","",INDEX(Roster!$A:$A,MATCH($C136,Roster!$B:$B,0))&amp;""),"—"))</f>
        <v/>
      </c>
      <c r="E136" s="25">
        <f>IF($C136="","",IFERROR(IF(INDEX(Roster!$C:$C,MATCH($C136,Roster!$B:$B,0))="","",INDEX(Roster!$C:$C,MATCH($C136,Roster!$B:$B,0))&amp;""),"—"))</f>
        <v/>
      </c>
      <c r="F136" s="25">
        <f>IF($C136="","",IFERROR(IF(INDEX(Roster!$D:$D,MATCH($C136,Roster!$B:$B,0))="","",INDEX(Roster!$D:$D,MATCH($C136,Roster!$B:$B,0))&amp;""),"—"))</f>
        <v/>
      </c>
      <c r="G136" s="25">
        <f>IF($C136="","",IFERROR(IF(INDEX(Roster!$E:$E,MATCH($C136,Roster!$B:$B,0))="","",INDEX(Roster!$E:$E,MATCH($C136,Roster!$B:$B,0))&amp;""),"—"))</f>
        <v/>
      </c>
      <c r="H136" s="25">
        <f>IF($C136="","",IFERROR(IF(INDEX(Roster!$F:$F,MATCH($C136,Roster!$B:$B,0))="","",INDEX(Roster!$F:$F,MATCH($C136,Roster!$B:$B,0))&amp;""),"—"))</f>
        <v/>
      </c>
      <c r="I136" s="25">
        <f>IF($C136="","",IFERROR(IF(INDEX(Roster!$G:$G,MATCH($C136,Roster!$B:$B,0))="","",INDEX(Roster!$G:$G,MATCH($C136,Roster!$B:$B,0))&amp;""),"—"))</f>
        <v/>
      </c>
      <c r="J136" s="25">
        <f>IF($C136="","",IFERROR(IF(INDEX(Roster!$I:$I,MATCH($C136,Roster!$B:$B,0))="","",INDEX(Roster!$I:$I,MATCH($C136,Roster!$B:$B,0))&amp;""),"—"))</f>
        <v/>
      </c>
      <c r="K136">
        <f>IF($C136="","",IFERROR(IF(INDEX(Roster!$J:$J,MATCH($C136,Roster!$B:$B,0))="","",INDEX(Roster!$J:$J,MATCH($C136,Roster!$B:$B,0))&amp;""),"—"))</f>
        <v/>
      </c>
      <c r="L136">
        <f>IF($C136="","",IFERROR(IF(INDEX(Roster!$K:$K,MATCH($C136,Roster!$B:$B,0))="","",INDEX(Roster!$K:$K,MATCH($C136,Roster!$B:$B,0))&amp;""),"—"))</f>
        <v/>
      </c>
      <c r="M136" s="27" t="n"/>
      <c r="N136" s="27" t="n"/>
      <c r="O136" s="25">
        <f>IF($C136="","",IF($P136="","—",IF($P136="Valid (Pass)","Valid","Invalid")))</f>
        <v/>
      </c>
      <c r="P136" s="27" t="n"/>
      <c r="Q136" s="27" t="n"/>
      <c r="R136" s="27" t="n"/>
      <c r="S136" s="27" t="n"/>
      <c r="T136" s="25">
        <f>IF($C136="","",IF(OR(ISNUMBER(SEARCH("quick case",$P136)),ISNUMBER(SEARCH("quick case",$Q136))),"Yes","No"))</f>
        <v/>
      </c>
      <c r="U136" s="25">
        <f>IF($O136="Invalid",HYPERLINK("mailto:"&amp;$G136&amp;";"&amp;$I136&amp;"?cc="&amp;Lists!$E$2&amp;"&amp;subject="&amp;_xlfn.ENCODEURL("[INVALID] Quality audit monitoring completed for "&amp;UPPER($C136))&amp;"&amp;body="&amp;_xlfn.ENCODEURL("Hi "&amp;$F136&amp;","&amp;CHAR(10)&amp;"Good day!"&amp;CHAR(10)&amp;CHAR(10)&amp;"A quality monitoring audit has been completed for "&amp;$C136&amp;"."&amp;CHAR(10)&amp;CHAR(10)&amp;"QUALITY AUDIT DETAILS"&amp;CHAR(10)&amp;"Agent Name: "&amp;$C136&amp;" (EID "&amp;$D136&amp;")"&amp;CHAR(10)&amp;"Audit Date: "&amp;TEXT($B136,"yyyy-mm-dd")&amp;CHAR(10)&amp;"Team Leader: "&amp;$F136&amp;CHAR(10)&amp;"Case Number: "&amp;$M136&amp;CHAR(10)&amp;"Transaction ID: "&amp;$N136&amp;CHAR(10)&amp;"Channel / LOB: "&amp;$K136&amp;" / "&amp;$L136&amp;CHAR(10)&amp;"Evaluator: "&amp;$S136&amp;CHAR(10)&amp;CHAR(10)&amp;"INVALID QUALITY AUDIT DETAILS"&amp;CHAR(10)&amp;"Validation: Invalid"&amp;CHAR(10)&amp;"Invalid Reason: "&amp;$P136&amp;CHAR(10)&amp;"Expected Resolution Code: "&amp;$Q136&amp;CHAR(10)&amp;"Remarks: "&amp;LEFT($R136,600)&amp;CHAR(10)&amp;CHAR(10)&amp;"This is an automated notification from HP Mainstream EQMS."),"✉ Open Email Draft"),"")</f>
        <v/>
      </c>
    </row>
    <row r="137">
      <c r="A137" s="25">
        <f>IF($C137="","","AUD-2026-"&amp;TEXT(ROW()-1,"000000"))</f>
        <v/>
      </c>
      <c r="B137" s="26" t="n"/>
      <c r="C137" s="27" t="n"/>
      <c r="D137" s="25">
        <f>IF($C137="","",IFERROR(IF(INDEX(Roster!$A:$A,MATCH($C137,Roster!$B:$B,0))="","",INDEX(Roster!$A:$A,MATCH($C137,Roster!$B:$B,0))&amp;""),"—"))</f>
        <v/>
      </c>
      <c r="E137" s="25">
        <f>IF($C137="","",IFERROR(IF(INDEX(Roster!$C:$C,MATCH($C137,Roster!$B:$B,0))="","",INDEX(Roster!$C:$C,MATCH($C137,Roster!$B:$B,0))&amp;""),"—"))</f>
        <v/>
      </c>
      <c r="F137" s="25">
        <f>IF($C137="","",IFERROR(IF(INDEX(Roster!$D:$D,MATCH($C137,Roster!$B:$B,0))="","",INDEX(Roster!$D:$D,MATCH($C137,Roster!$B:$B,0))&amp;""),"—"))</f>
        <v/>
      </c>
      <c r="G137" s="25">
        <f>IF($C137="","",IFERROR(IF(INDEX(Roster!$E:$E,MATCH($C137,Roster!$B:$B,0))="","",INDEX(Roster!$E:$E,MATCH($C137,Roster!$B:$B,0))&amp;""),"—"))</f>
        <v/>
      </c>
      <c r="H137" s="25">
        <f>IF($C137="","",IFERROR(IF(INDEX(Roster!$F:$F,MATCH($C137,Roster!$B:$B,0))="","",INDEX(Roster!$F:$F,MATCH($C137,Roster!$B:$B,0))&amp;""),"—"))</f>
        <v/>
      </c>
      <c r="I137" s="25">
        <f>IF($C137="","",IFERROR(IF(INDEX(Roster!$G:$G,MATCH($C137,Roster!$B:$B,0))="","",INDEX(Roster!$G:$G,MATCH($C137,Roster!$B:$B,0))&amp;""),"—"))</f>
        <v/>
      </c>
      <c r="J137" s="25">
        <f>IF($C137="","",IFERROR(IF(INDEX(Roster!$I:$I,MATCH($C137,Roster!$B:$B,0))="","",INDEX(Roster!$I:$I,MATCH($C137,Roster!$B:$B,0))&amp;""),"—"))</f>
        <v/>
      </c>
      <c r="K137">
        <f>IF($C137="","",IFERROR(IF(INDEX(Roster!$J:$J,MATCH($C137,Roster!$B:$B,0))="","",INDEX(Roster!$J:$J,MATCH($C137,Roster!$B:$B,0))&amp;""),"—"))</f>
        <v/>
      </c>
      <c r="L137">
        <f>IF($C137="","",IFERROR(IF(INDEX(Roster!$K:$K,MATCH($C137,Roster!$B:$B,0))="","",INDEX(Roster!$K:$K,MATCH($C137,Roster!$B:$B,0))&amp;""),"—"))</f>
        <v/>
      </c>
      <c r="M137" s="27" t="n"/>
      <c r="N137" s="27" t="n"/>
      <c r="O137" s="25">
        <f>IF($C137="","",IF($P137="","—",IF($P137="Valid (Pass)","Valid","Invalid")))</f>
        <v/>
      </c>
      <c r="P137" s="27" t="n"/>
      <c r="Q137" s="27" t="n"/>
      <c r="R137" s="27" t="n"/>
      <c r="S137" s="27" t="n"/>
      <c r="T137" s="25">
        <f>IF($C137="","",IF(OR(ISNUMBER(SEARCH("quick case",$P137)),ISNUMBER(SEARCH("quick case",$Q137))),"Yes","No"))</f>
        <v/>
      </c>
      <c r="U137" s="25">
        <f>IF($O137="Invalid",HYPERLINK("mailto:"&amp;$G137&amp;";"&amp;$I137&amp;"?cc="&amp;Lists!$E$2&amp;"&amp;subject="&amp;_xlfn.ENCODEURL("[INVALID] Quality audit monitoring completed for "&amp;UPPER($C137))&amp;"&amp;body="&amp;_xlfn.ENCODEURL("Hi "&amp;$F137&amp;","&amp;CHAR(10)&amp;"Good day!"&amp;CHAR(10)&amp;CHAR(10)&amp;"A quality monitoring audit has been completed for "&amp;$C137&amp;"."&amp;CHAR(10)&amp;CHAR(10)&amp;"QUALITY AUDIT DETAILS"&amp;CHAR(10)&amp;"Agent Name: "&amp;$C137&amp;" (EID "&amp;$D137&amp;")"&amp;CHAR(10)&amp;"Audit Date: "&amp;TEXT($B137,"yyyy-mm-dd")&amp;CHAR(10)&amp;"Team Leader: "&amp;$F137&amp;CHAR(10)&amp;"Case Number: "&amp;$M137&amp;CHAR(10)&amp;"Transaction ID: "&amp;$N137&amp;CHAR(10)&amp;"Channel / LOB: "&amp;$K137&amp;" / "&amp;$L137&amp;CHAR(10)&amp;"Evaluator: "&amp;$S137&amp;CHAR(10)&amp;CHAR(10)&amp;"INVALID QUALITY AUDIT DETAILS"&amp;CHAR(10)&amp;"Validation: Invalid"&amp;CHAR(10)&amp;"Invalid Reason: "&amp;$P137&amp;CHAR(10)&amp;"Expected Resolution Code: "&amp;$Q137&amp;CHAR(10)&amp;"Remarks: "&amp;LEFT($R137,600)&amp;CHAR(10)&amp;CHAR(10)&amp;"This is an automated notification from HP Mainstream EQMS."),"✉ Open Email Draft"),"")</f>
        <v/>
      </c>
    </row>
    <row r="138">
      <c r="A138" s="25">
        <f>IF($C138="","","AUD-2026-"&amp;TEXT(ROW()-1,"000000"))</f>
        <v/>
      </c>
      <c r="B138" s="26" t="n"/>
      <c r="C138" s="27" t="n"/>
      <c r="D138" s="25">
        <f>IF($C138="","",IFERROR(IF(INDEX(Roster!$A:$A,MATCH($C138,Roster!$B:$B,0))="","",INDEX(Roster!$A:$A,MATCH($C138,Roster!$B:$B,0))&amp;""),"—"))</f>
        <v/>
      </c>
      <c r="E138" s="25">
        <f>IF($C138="","",IFERROR(IF(INDEX(Roster!$C:$C,MATCH($C138,Roster!$B:$B,0))="","",INDEX(Roster!$C:$C,MATCH($C138,Roster!$B:$B,0))&amp;""),"—"))</f>
        <v/>
      </c>
      <c r="F138" s="25">
        <f>IF($C138="","",IFERROR(IF(INDEX(Roster!$D:$D,MATCH($C138,Roster!$B:$B,0))="","",INDEX(Roster!$D:$D,MATCH($C138,Roster!$B:$B,0))&amp;""),"—"))</f>
        <v/>
      </c>
      <c r="G138" s="25">
        <f>IF($C138="","",IFERROR(IF(INDEX(Roster!$E:$E,MATCH($C138,Roster!$B:$B,0))="","",INDEX(Roster!$E:$E,MATCH($C138,Roster!$B:$B,0))&amp;""),"—"))</f>
        <v/>
      </c>
      <c r="H138" s="25">
        <f>IF($C138="","",IFERROR(IF(INDEX(Roster!$F:$F,MATCH($C138,Roster!$B:$B,0))="","",INDEX(Roster!$F:$F,MATCH($C138,Roster!$B:$B,0))&amp;""),"—"))</f>
        <v/>
      </c>
      <c r="I138" s="25">
        <f>IF($C138="","",IFERROR(IF(INDEX(Roster!$G:$G,MATCH($C138,Roster!$B:$B,0))="","",INDEX(Roster!$G:$G,MATCH($C138,Roster!$B:$B,0))&amp;""),"—"))</f>
        <v/>
      </c>
      <c r="J138" s="25">
        <f>IF($C138="","",IFERROR(IF(INDEX(Roster!$I:$I,MATCH($C138,Roster!$B:$B,0))="","",INDEX(Roster!$I:$I,MATCH($C138,Roster!$B:$B,0))&amp;""),"—"))</f>
        <v/>
      </c>
      <c r="K138">
        <f>IF($C138="","",IFERROR(IF(INDEX(Roster!$J:$J,MATCH($C138,Roster!$B:$B,0))="","",INDEX(Roster!$J:$J,MATCH($C138,Roster!$B:$B,0))&amp;""),"—"))</f>
        <v/>
      </c>
      <c r="L138">
        <f>IF($C138="","",IFERROR(IF(INDEX(Roster!$K:$K,MATCH($C138,Roster!$B:$B,0))="","",INDEX(Roster!$K:$K,MATCH($C138,Roster!$B:$B,0))&amp;""),"—"))</f>
        <v/>
      </c>
      <c r="M138" s="27" t="n"/>
      <c r="N138" s="27" t="n"/>
      <c r="O138" s="25">
        <f>IF($C138="","",IF($P138="","—",IF($P138="Valid (Pass)","Valid","Invalid")))</f>
        <v/>
      </c>
      <c r="P138" s="27" t="n"/>
      <c r="Q138" s="27" t="n"/>
      <c r="R138" s="27" t="n"/>
      <c r="S138" s="27" t="n"/>
      <c r="T138" s="25">
        <f>IF($C138="","",IF(OR(ISNUMBER(SEARCH("quick case",$P138)),ISNUMBER(SEARCH("quick case",$Q138))),"Yes","No"))</f>
        <v/>
      </c>
      <c r="U138" s="25">
        <f>IF($O138="Invalid",HYPERLINK("mailto:"&amp;$G138&amp;";"&amp;$I138&amp;"?cc="&amp;Lists!$E$2&amp;"&amp;subject="&amp;_xlfn.ENCODEURL("[INVALID] Quality audit monitoring completed for "&amp;UPPER($C138))&amp;"&amp;body="&amp;_xlfn.ENCODEURL("Hi "&amp;$F138&amp;","&amp;CHAR(10)&amp;"Good day!"&amp;CHAR(10)&amp;CHAR(10)&amp;"A quality monitoring audit has been completed for "&amp;$C138&amp;"."&amp;CHAR(10)&amp;CHAR(10)&amp;"QUALITY AUDIT DETAILS"&amp;CHAR(10)&amp;"Agent Name: "&amp;$C138&amp;" (EID "&amp;$D138&amp;")"&amp;CHAR(10)&amp;"Audit Date: "&amp;TEXT($B138,"yyyy-mm-dd")&amp;CHAR(10)&amp;"Team Leader: "&amp;$F138&amp;CHAR(10)&amp;"Case Number: "&amp;$M138&amp;CHAR(10)&amp;"Transaction ID: "&amp;$N138&amp;CHAR(10)&amp;"Channel / LOB: "&amp;$K138&amp;" / "&amp;$L138&amp;CHAR(10)&amp;"Evaluator: "&amp;$S138&amp;CHAR(10)&amp;CHAR(10)&amp;"INVALID QUALITY AUDIT DETAILS"&amp;CHAR(10)&amp;"Validation: Invalid"&amp;CHAR(10)&amp;"Invalid Reason: "&amp;$P138&amp;CHAR(10)&amp;"Expected Resolution Code: "&amp;$Q138&amp;CHAR(10)&amp;"Remarks: "&amp;LEFT($R138,600)&amp;CHAR(10)&amp;CHAR(10)&amp;"This is an automated notification from HP Mainstream EQMS."),"✉ Open Email Draft"),"")</f>
        <v/>
      </c>
    </row>
    <row r="139">
      <c r="A139" s="25">
        <f>IF($C139="","","AUD-2026-"&amp;TEXT(ROW()-1,"000000"))</f>
        <v/>
      </c>
      <c r="B139" s="26" t="n"/>
      <c r="C139" s="27" t="n"/>
      <c r="D139" s="25">
        <f>IF($C139="","",IFERROR(IF(INDEX(Roster!$A:$A,MATCH($C139,Roster!$B:$B,0))="","",INDEX(Roster!$A:$A,MATCH($C139,Roster!$B:$B,0))&amp;""),"—"))</f>
        <v/>
      </c>
      <c r="E139" s="25">
        <f>IF($C139="","",IFERROR(IF(INDEX(Roster!$C:$C,MATCH($C139,Roster!$B:$B,0))="","",INDEX(Roster!$C:$C,MATCH($C139,Roster!$B:$B,0))&amp;""),"—"))</f>
        <v/>
      </c>
      <c r="F139" s="25">
        <f>IF($C139="","",IFERROR(IF(INDEX(Roster!$D:$D,MATCH($C139,Roster!$B:$B,0))="","",INDEX(Roster!$D:$D,MATCH($C139,Roster!$B:$B,0))&amp;""),"—"))</f>
        <v/>
      </c>
      <c r="G139" s="25">
        <f>IF($C139="","",IFERROR(IF(INDEX(Roster!$E:$E,MATCH($C139,Roster!$B:$B,0))="","",INDEX(Roster!$E:$E,MATCH($C139,Roster!$B:$B,0))&amp;""),"—"))</f>
        <v/>
      </c>
      <c r="H139" s="25">
        <f>IF($C139="","",IFERROR(IF(INDEX(Roster!$F:$F,MATCH($C139,Roster!$B:$B,0))="","",INDEX(Roster!$F:$F,MATCH($C139,Roster!$B:$B,0))&amp;""),"—"))</f>
        <v/>
      </c>
      <c r="I139" s="25">
        <f>IF($C139="","",IFERROR(IF(INDEX(Roster!$G:$G,MATCH($C139,Roster!$B:$B,0))="","",INDEX(Roster!$G:$G,MATCH($C139,Roster!$B:$B,0))&amp;""),"—"))</f>
        <v/>
      </c>
      <c r="J139" s="25">
        <f>IF($C139="","",IFERROR(IF(INDEX(Roster!$I:$I,MATCH($C139,Roster!$B:$B,0))="","",INDEX(Roster!$I:$I,MATCH($C139,Roster!$B:$B,0))&amp;""),"—"))</f>
        <v/>
      </c>
      <c r="K139">
        <f>IF($C139="","",IFERROR(IF(INDEX(Roster!$J:$J,MATCH($C139,Roster!$B:$B,0))="","",INDEX(Roster!$J:$J,MATCH($C139,Roster!$B:$B,0))&amp;""),"—"))</f>
        <v/>
      </c>
      <c r="L139">
        <f>IF($C139="","",IFERROR(IF(INDEX(Roster!$K:$K,MATCH($C139,Roster!$B:$B,0))="","",INDEX(Roster!$K:$K,MATCH($C139,Roster!$B:$B,0))&amp;""),"—"))</f>
        <v/>
      </c>
      <c r="M139" s="27" t="n"/>
      <c r="N139" s="27" t="n"/>
      <c r="O139" s="25">
        <f>IF($C139="","",IF($P139="","—",IF($P139="Valid (Pass)","Valid","Invalid")))</f>
        <v/>
      </c>
      <c r="P139" s="27" t="n"/>
      <c r="Q139" s="27" t="n"/>
      <c r="R139" s="27" t="n"/>
      <c r="S139" s="27" t="n"/>
      <c r="T139" s="25">
        <f>IF($C139="","",IF(OR(ISNUMBER(SEARCH("quick case",$P139)),ISNUMBER(SEARCH("quick case",$Q139))),"Yes","No"))</f>
        <v/>
      </c>
      <c r="U139" s="25">
        <f>IF($O139="Invalid",HYPERLINK("mailto:"&amp;$G139&amp;";"&amp;$I139&amp;"?cc="&amp;Lists!$E$2&amp;"&amp;subject="&amp;_xlfn.ENCODEURL("[INVALID] Quality audit monitoring completed for "&amp;UPPER($C139))&amp;"&amp;body="&amp;_xlfn.ENCODEURL("Hi "&amp;$F139&amp;","&amp;CHAR(10)&amp;"Good day!"&amp;CHAR(10)&amp;CHAR(10)&amp;"A quality monitoring audit has been completed for "&amp;$C139&amp;"."&amp;CHAR(10)&amp;CHAR(10)&amp;"QUALITY AUDIT DETAILS"&amp;CHAR(10)&amp;"Agent Name: "&amp;$C139&amp;" (EID "&amp;$D139&amp;")"&amp;CHAR(10)&amp;"Audit Date: "&amp;TEXT($B139,"yyyy-mm-dd")&amp;CHAR(10)&amp;"Team Leader: "&amp;$F139&amp;CHAR(10)&amp;"Case Number: "&amp;$M139&amp;CHAR(10)&amp;"Transaction ID: "&amp;$N139&amp;CHAR(10)&amp;"Channel / LOB: "&amp;$K139&amp;" / "&amp;$L139&amp;CHAR(10)&amp;"Evaluator: "&amp;$S139&amp;CHAR(10)&amp;CHAR(10)&amp;"INVALID QUALITY AUDIT DETAILS"&amp;CHAR(10)&amp;"Validation: Invalid"&amp;CHAR(10)&amp;"Invalid Reason: "&amp;$P139&amp;CHAR(10)&amp;"Expected Resolution Code: "&amp;$Q139&amp;CHAR(10)&amp;"Remarks: "&amp;LEFT($R139,600)&amp;CHAR(10)&amp;CHAR(10)&amp;"This is an automated notification from HP Mainstream EQMS."),"✉ Open Email Draft"),"")</f>
        <v/>
      </c>
    </row>
    <row r="140">
      <c r="A140" s="25">
        <f>IF($C140="","","AUD-2026-"&amp;TEXT(ROW()-1,"000000"))</f>
        <v/>
      </c>
      <c r="B140" s="26" t="n"/>
      <c r="C140" s="27" t="n"/>
      <c r="D140" s="25">
        <f>IF($C140="","",IFERROR(IF(INDEX(Roster!$A:$A,MATCH($C140,Roster!$B:$B,0))="","",INDEX(Roster!$A:$A,MATCH($C140,Roster!$B:$B,0))&amp;""),"—"))</f>
        <v/>
      </c>
      <c r="E140" s="25">
        <f>IF($C140="","",IFERROR(IF(INDEX(Roster!$C:$C,MATCH($C140,Roster!$B:$B,0))="","",INDEX(Roster!$C:$C,MATCH($C140,Roster!$B:$B,0))&amp;""),"—"))</f>
        <v/>
      </c>
      <c r="F140" s="25">
        <f>IF($C140="","",IFERROR(IF(INDEX(Roster!$D:$D,MATCH($C140,Roster!$B:$B,0))="","",INDEX(Roster!$D:$D,MATCH($C140,Roster!$B:$B,0))&amp;""),"—"))</f>
        <v/>
      </c>
      <c r="G140" s="25">
        <f>IF($C140="","",IFERROR(IF(INDEX(Roster!$E:$E,MATCH($C140,Roster!$B:$B,0))="","",INDEX(Roster!$E:$E,MATCH($C140,Roster!$B:$B,0))&amp;""),"—"))</f>
        <v/>
      </c>
      <c r="H140" s="25">
        <f>IF($C140="","",IFERROR(IF(INDEX(Roster!$F:$F,MATCH($C140,Roster!$B:$B,0))="","",INDEX(Roster!$F:$F,MATCH($C140,Roster!$B:$B,0))&amp;""),"—"))</f>
        <v/>
      </c>
      <c r="I140" s="25">
        <f>IF($C140="","",IFERROR(IF(INDEX(Roster!$G:$G,MATCH($C140,Roster!$B:$B,0))="","",INDEX(Roster!$G:$G,MATCH($C140,Roster!$B:$B,0))&amp;""),"—"))</f>
        <v/>
      </c>
      <c r="J140" s="25">
        <f>IF($C140="","",IFERROR(IF(INDEX(Roster!$I:$I,MATCH($C140,Roster!$B:$B,0))="","",INDEX(Roster!$I:$I,MATCH($C140,Roster!$B:$B,0))&amp;""),"—"))</f>
        <v/>
      </c>
      <c r="K140">
        <f>IF($C140="","",IFERROR(IF(INDEX(Roster!$J:$J,MATCH($C140,Roster!$B:$B,0))="","",INDEX(Roster!$J:$J,MATCH($C140,Roster!$B:$B,0))&amp;""),"—"))</f>
        <v/>
      </c>
      <c r="L140">
        <f>IF($C140="","",IFERROR(IF(INDEX(Roster!$K:$K,MATCH($C140,Roster!$B:$B,0))="","",INDEX(Roster!$K:$K,MATCH($C140,Roster!$B:$B,0))&amp;""),"—"))</f>
        <v/>
      </c>
      <c r="M140" s="27" t="n"/>
      <c r="N140" s="27" t="n"/>
      <c r="O140" s="25">
        <f>IF($C140="","",IF($P140="","—",IF($P140="Valid (Pass)","Valid","Invalid")))</f>
        <v/>
      </c>
      <c r="P140" s="27" t="n"/>
      <c r="Q140" s="27" t="n"/>
      <c r="R140" s="27" t="n"/>
      <c r="S140" s="27" t="n"/>
      <c r="T140" s="25">
        <f>IF($C140="","",IF(OR(ISNUMBER(SEARCH("quick case",$P140)),ISNUMBER(SEARCH("quick case",$Q140))),"Yes","No"))</f>
        <v/>
      </c>
      <c r="U140" s="25">
        <f>IF($O140="Invalid",HYPERLINK("mailto:"&amp;$G140&amp;";"&amp;$I140&amp;"?cc="&amp;Lists!$E$2&amp;"&amp;subject="&amp;_xlfn.ENCODEURL("[INVALID] Quality audit monitoring completed for "&amp;UPPER($C140))&amp;"&amp;body="&amp;_xlfn.ENCODEURL("Hi "&amp;$F140&amp;","&amp;CHAR(10)&amp;"Good day!"&amp;CHAR(10)&amp;CHAR(10)&amp;"A quality monitoring audit has been completed for "&amp;$C140&amp;"."&amp;CHAR(10)&amp;CHAR(10)&amp;"QUALITY AUDIT DETAILS"&amp;CHAR(10)&amp;"Agent Name: "&amp;$C140&amp;" (EID "&amp;$D140&amp;")"&amp;CHAR(10)&amp;"Audit Date: "&amp;TEXT($B140,"yyyy-mm-dd")&amp;CHAR(10)&amp;"Team Leader: "&amp;$F140&amp;CHAR(10)&amp;"Case Number: "&amp;$M140&amp;CHAR(10)&amp;"Transaction ID: "&amp;$N140&amp;CHAR(10)&amp;"Channel / LOB: "&amp;$K140&amp;" / "&amp;$L140&amp;CHAR(10)&amp;"Evaluator: "&amp;$S140&amp;CHAR(10)&amp;CHAR(10)&amp;"INVALID QUALITY AUDIT DETAILS"&amp;CHAR(10)&amp;"Validation: Invalid"&amp;CHAR(10)&amp;"Invalid Reason: "&amp;$P140&amp;CHAR(10)&amp;"Expected Resolution Code: "&amp;$Q140&amp;CHAR(10)&amp;"Remarks: "&amp;LEFT($R140,600)&amp;CHAR(10)&amp;CHAR(10)&amp;"This is an automated notification from HP Mainstream EQMS."),"✉ Open Email Draft"),"")</f>
        <v/>
      </c>
    </row>
    <row r="141">
      <c r="A141" s="25">
        <f>IF($C141="","","AUD-2026-"&amp;TEXT(ROW()-1,"000000"))</f>
        <v/>
      </c>
      <c r="B141" s="26" t="n"/>
      <c r="C141" s="27" t="n"/>
      <c r="D141" s="25">
        <f>IF($C141="","",IFERROR(IF(INDEX(Roster!$A:$A,MATCH($C141,Roster!$B:$B,0))="","",INDEX(Roster!$A:$A,MATCH($C141,Roster!$B:$B,0))&amp;""),"—"))</f>
        <v/>
      </c>
      <c r="E141" s="25">
        <f>IF($C141="","",IFERROR(IF(INDEX(Roster!$C:$C,MATCH($C141,Roster!$B:$B,0))="","",INDEX(Roster!$C:$C,MATCH($C141,Roster!$B:$B,0))&amp;""),"—"))</f>
        <v/>
      </c>
      <c r="F141" s="25">
        <f>IF($C141="","",IFERROR(IF(INDEX(Roster!$D:$D,MATCH($C141,Roster!$B:$B,0))="","",INDEX(Roster!$D:$D,MATCH($C141,Roster!$B:$B,0))&amp;""),"—"))</f>
        <v/>
      </c>
      <c r="G141" s="25">
        <f>IF($C141="","",IFERROR(IF(INDEX(Roster!$E:$E,MATCH($C141,Roster!$B:$B,0))="","",INDEX(Roster!$E:$E,MATCH($C141,Roster!$B:$B,0))&amp;""),"—"))</f>
        <v/>
      </c>
      <c r="H141" s="25">
        <f>IF($C141="","",IFERROR(IF(INDEX(Roster!$F:$F,MATCH($C141,Roster!$B:$B,0))="","",INDEX(Roster!$F:$F,MATCH($C141,Roster!$B:$B,0))&amp;""),"—"))</f>
        <v/>
      </c>
      <c r="I141" s="25">
        <f>IF($C141="","",IFERROR(IF(INDEX(Roster!$G:$G,MATCH($C141,Roster!$B:$B,0))="","",INDEX(Roster!$G:$G,MATCH($C141,Roster!$B:$B,0))&amp;""),"—"))</f>
        <v/>
      </c>
      <c r="J141" s="25">
        <f>IF($C141="","",IFERROR(IF(INDEX(Roster!$I:$I,MATCH($C141,Roster!$B:$B,0))="","",INDEX(Roster!$I:$I,MATCH($C141,Roster!$B:$B,0))&amp;""),"—"))</f>
        <v/>
      </c>
      <c r="K141">
        <f>IF($C141="","",IFERROR(IF(INDEX(Roster!$J:$J,MATCH($C141,Roster!$B:$B,0))="","",INDEX(Roster!$J:$J,MATCH($C141,Roster!$B:$B,0))&amp;""),"—"))</f>
        <v/>
      </c>
      <c r="L141">
        <f>IF($C141="","",IFERROR(IF(INDEX(Roster!$K:$K,MATCH($C141,Roster!$B:$B,0))="","",INDEX(Roster!$K:$K,MATCH($C141,Roster!$B:$B,0))&amp;""),"—"))</f>
        <v/>
      </c>
      <c r="M141" s="27" t="n"/>
      <c r="N141" s="27" t="n"/>
      <c r="O141" s="25">
        <f>IF($C141="","",IF($P141="","—",IF($P141="Valid (Pass)","Valid","Invalid")))</f>
        <v/>
      </c>
      <c r="P141" s="27" t="n"/>
      <c r="Q141" s="27" t="n"/>
      <c r="R141" s="27" t="n"/>
      <c r="S141" s="27" t="n"/>
      <c r="T141" s="25">
        <f>IF($C141="","",IF(OR(ISNUMBER(SEARCH("quick case",$P141)),ISNUMBER(SEARCH("quick case",$Q141))),"Yes","No"))</f>
        <v/>
      </c>
      <c r="U141" s="25">
        <f>IF($O141="Invalid",HYPERLINK("mailto:"&amp;$G141&amp;";"&amp;$I141&amp;"?cc="&amp;Lists!$E$2&amp;"&amp;subject="&amp;_xlfn.ENCODEURL("[INVALID] Quality audit monitoring completed for "&amp;UPPER($C141))&amp;"&amp;body="&amp;_xlfn.ENCODEURL("Hi "&amp;$F141&amp;","&amp;CHAR(10)&amp;"Good day!"&amp;CHAR(10)&amp;CHAR(10)&amp;"A quality monitoring audit has been completed for "&amp;$C141&amp;"."&amp;CHAR(10)&amp;CHAR(10)&amp;"QUALITY AUDIT DETAILS"&amp;CHAR(10)&amp;"Agent Name: "&amp;$C141&amp;" (EID "&amp;$D141&amp;")"&amp;CHAR(10)&amp;"Audit Date: "&amp;TEXT($B141,"yyyy-mm-dd")&amp;CHAR(10)&amp;"Team Leader: "&amp;$F141&amp;CHAR(10)&amp;"Case Number: "&amp;$M141&amp;CHAR(10)&amp;"Transaction ID: "&amp;$N141&amp;CHAR(10)&amp;"Channel / LOB: "&amp;$K141&amp;" / "&amp;$L141&amp;CHAR(10)&amp;"Evaluator: "&amp;$S141&amp;CHAR(10)&amp;CHAR(10)&amp;"INVALID QUALITY AUDIT DETAILS"&amp;CHAR(10)&amp;"Validation: Invalid"&amp;CHAR(10)&amp;"Invalid Reason: "&amp;$P141&amp;CHAR(10)&amp;"Expected Resolution Code: "&amp;$Q141&amp;CHAR(10)&amp;"Remarks: "&amp;LEFT($R141,600)&amp;CHAR(10)&amp;CHAR(10)&amp;"This is an automated notification from HP Mainstream EQMS."),"✉ Open Email Draft"),"")</f>
        <v/>
      </c>
    </row>
    <row r="142">
      <c r="A142" s="25">
        <f>IF($C142="","","AUD-2026-"&amp;TEXT(ROW()-1,"000000"))</f>
        <v/>
      </c>
      <c r="B142" s="26" t="n"/>
      <c r="C142" s="27" t="n"/>
      <c r="D142" s="25">
        <f>IF($C142="","",IFERROR(IF(INDEX(Roster!$A:$A,MATCH($C142,Roster!$B:$B,0))="","",INDEX(Roster!$A:$A,MATCH($C142,Roster!$B:$B,0))&amp;""),"—"))</f>
        <v/>
      </c>
      <c r="E142" s="25">
        <f>IF($C142="","",IFERROR(IF(INDEX(Roster!$C:$C,MATCH($C142,Roster!$B:$B,0))="","",INDEX(Roster!$C:$C,MATCH($C142,Roster!$B:$B,0))&amp;""),"—"))</f>
        <v/>
      </c>
      <c r="F142" s="25">
        <f>IF($C142="","",IFERROR(IF(INDEX(Roster!$D:$D,MATCH($C142,Roster!$B:$B,0))="","",INDEX(Roster!$D:$D,MATCH($C142,Roster!$B:$B,0))&amp;""),"—"))</f>
        <v/>
      </c>
      <c r="G142" s="25">
        <f>IF($C142="","",IFERROR(IF(INDEX(Roster!$E:$E,MATCH($C142,Roster!$B:$B,0))="","",INDEX(Roster!$E:$E,MATCH($C142,Roster!$B:$B,0))&amp;""),"—"))</f>
        <v/>
      </c>
      <c r="H142" s="25">
        <f>IF($C142="","",IFERROR(IF(INDEX(Roster!$F:$F,MATCH($C142,Roster!$B:$B,0))="","",INDEX(Roster!$F:$F,MATCH($C142,Roster!$B:$B,0))&amp;""),"—"))</f>
        <v/>
      </c>
      <c r="I142" s="25">
        <f>IF($C142="","",IFERROR(IF(INDEX(Roster!$G:$G,MATCH($C142,Roster!$B:$B,0))="","",INDEX(Roster!$G:$G,MATCH($C142,Roster!$B:$B,0))&amp;""),"—"))</f>
        <v/>
      </c>
      <c r="J142" s="25">
        <f>IF($C142="","",IFERROR(IF(INDEX(Roster!$I:$I,MATCH($C142,Roster!$B:$B,0))="","",INDEX(Roster!$I:$I,MATCH($C142,Roster!$B:$B,0))&amp;""),"—"))</f>
        <v/>
      </c>
      <c r="K142">
        <f>IF($C142="","",IFERROR(IF(INDEX(Roster!$J:$J,MATCH($C142,Roster!$B:$B,0))="","",INDEX(Roster!$J:$J,MATCH($C142,Roster!$B:$B,0))&amp;""),"—"))</f>
        <v/>
      </c>
      <c r="L142">
        <f>IF($C142="","",IFERROR(IF(INDEX(Roster!$K:$K,MATCH($C142,Roster!$B:$B,0))="","",INDEX(Roster!$K:$K,MATCH($C142,Roster!$B:$B,0))&amp;""),"—"))</f>
        <v/>
      </c>
      <c r="M142" s="27" t="n"/>
      <c r="N142" s="27" t="n"/>
      <c r="O142" s="25">
        <f>IF($C142="","",IF($P142="","—",IF($P142="Valid (Pass)","Valid","Invalid")))</f>
        <v/>
      </c>
      <c r="P142" s="27" t="n"/>
      <c r="Q142" s="27" t="n"/>
      <c r="R142" s="27" t="n"/>
      <c r="S142" s="27" t="n"/>
      <c r="T142" s="25">
        <f>IF($C142="","",IF(OR(ISNUMBER(SEARCH("quick case",$P142)),ISNUMBER(SEARCH("quick case",$Q142))),"Yes","No"))</f>
        <v/>
      </c>
      <c r="U142" s="25">
        <f>IF($O142="Invalid",HYPERLINK("mailto:"&amp;$G142&amp;";"&amp;$I142&amp;"?cc="&amp;Lists!$E$2&amp;"&amp;subject="&amp;_xlfn.ENCODEURL("[INVALID] Quality audit monitoring completed for "&amp;UPPER($C142))&amp;"&amp;body="&amp;_xlfn.ENCODEURL("Hi "&amp;$F142&amp;","&amp;CHAR(10)&amp;"Good day!"&amp;CHAR(10)&amp;CHAR(10)&amp;"A quality monitoring audit has been completed for "&amp;$C142&amp;"."&amp;CHAR(10)&amp;CHAR(10)&amp;"QUALITY AUDIT DETAILS"&amp;CHAR(10)&amp;"Agent Name: "&amp;$C142&amp;" (EID "&amp;$D142&amp;")"&amp;CHAR(10)&amp;"Audit Date: "&amp;TEXT($B142,"yyyy-mm-dd")&amp;CHAR(10)&amp;"Team Leader: "&amp;$F142&amp;CHAR(10)&amp;"Case Number: "&amp;$M142&amp;CHAR(10)&amp;"Transaction ID: "&amp;$N142&amp;CHAR(10)&amp;"Channel / LOB: "&amp;$K142&amp;" / "&amp;$L142&amp;CHAR(10)&amp;"Evaluator: "&amp;$S142&amp;CHAR(10)&amp;CHAR(10)&amp;"INVALID QUALITY AUDIT DETAILS"&amp;CHAR(10)&amp;"Validation: Invalid"&amp;CHAR(10)&amp;"Invalid Reason: "&amp;$P142&amp;CHAR(10)&amp;"Expected Resolution Code: "&amp;$Q142&amp;CHAR(10)&amp;"Remarks: "&amp;LEFT($R142,600)&amp;CHAR(10)&amp;CHAR(10)&amp;"This is an automated notification from HP Mainstream EQMS."),"✉ Open Email Draft"),"")</f>
        <v/>
      </c>
    </row>
    <row r="143">
      <c r="A143" s="25">
        <f>IF($C143="","","AUD-2026-"&amp;TEXT(ROW()-1,"000000"))</f>
        <v/>
      </c>
      <c r="B143" s="26" t="n"/>
      <c r="C143" s="27" t="n"/>
      <c r="D143" s="25">
        <f>IF($C143="","",IFERROR(IF(INDEX(Roster!$A:$A,MATCH($C143,Roster!$B:$B,0))="","",INDEX(Roster!$A:$A,MATCH($C143,Roster!$B:$B,0))&amp;""),"—"))</f>
        <v/>
      </c>
      <c r="E143" s="25">
        <f>IF($C143="","",IFERROR(IF(INDEX(Roster!$C:$C,MATCH($C143,Roster!$B:$B,0))="","",INDEX(Roster!$C:$C,MATCH($C143,Roster!$B:$B,0))&amp;""),"—"))</f>
        <v/>
      </c>
      <c r="F143" s="25">
        <f>IF($C143="","",IFERROR(IF(INDEX(Roster!$D:$D,MATCH($C143,Roster!$B:$B,0))="","",INDEX(Roster!$D:$D,MATCH($C143,Roster!$B:$B,0))&amp;""),"—"))</f>
        <v/>
      </c>
      <c r="G143" s="25">
        <f>IF($C143="","",IFERROR(IF(INDEX(Roster!$E:$E,MATCH($C143,Roster!$B:$B,0))="","",INDEX(Roster!$E:$E,MATCH($C143,Roster!$B:$B,0))&amp;""),"—"))</f>
        <v/>
      </c>
      <c r="H143" s="25">
        <f>IF($C143="","",IFERROR(IF(INDEX(Roster!$F:$F,MATCH($C143,Roster!$B:$B,0))="","",INDEX(Roster!$F:$F,MATCH($C143,Roster!$B:$B,0))&amp;""),"—"))</f>
        <v/>
      </c>
      <c r="I143" s="25">
        <f>IF($C143="","",IFERROR(IF(INDEX(Roster!$G:$G,MATCH($C143,Roster!$B:$B,0))="","",INDEX(Roster!$G:$G,MATCH($C143,Roster!$B:$B,0))&amp;""),"—"))</f>
        <v/>
      </c>
      <c r="J143" s="25">
        <f>IF($C143="","",IFERROR(IF(INDEX(Roster!$I:$I,MATCH($C143,Roster!$B:$B,0))="","",INDEX(Roster!$I:$I,MATCH($C143,Roster!$B:$B,0))&amp;""),"—"))</f>
        <v/>
      </c>
      <c r="K143">
        <f>IF($C143="","",IFERROR(IF(INDEX(Roster!$J:$J,MATCH($C143,Roster!$B:$B,0))="","",INDEX(Roster!$J:$J,MATCH($C143,Roster!$B:$B,0))&amp;""),"—"))</f>
        <v/>
      </c>
      <c r="L143">
        <f>IF($C143="","",IFERROR(IF(INDEX(Roster!$K:$K,MATCH($C143,Roster!$B:$B,0))="","",INDEX(Roster!$K:$K,MATCH($C143,Roster!$B:$B,0))&amp;""),"—"))</f>
        <v/>
      </c>
      <c r="M143" s="27" t="n"/>
      <c r="N143" s="27" t="n"/>
      <c r="O143" s="25">
        <f>IF($C143="","",IF($P143="","—",IF($P143="Valid (Pass)","Valid","Invalid")))</f>
        <v/>
      </c>
      <c r="P143" s="27" t="n"/>
      <c r="Q143" s="27" t="n"/>
      <c r="R143" s="27" t="n"/>
      <c r="S143" s="27" t="n"/>
      <c r="T143" s="25">
        <f>IF($C143="","",IF(OR(ISNUMBER(SEARCH("quick case",$P143)),ISNUMBER(SEARCH("quick case",$Q143))),"Yes","No"))</f>
        <v/>
      </c>
      <c r="U143" s="25">
        <f>IF($O143="Invalid",HYPERLINK("mailto:"&amp;$G143&amp;";"&amp;$I143&amp;"?cc="&amp;Lists!$E$2&amp;"&amp;subject="&amp;_xlfn.ENCODEURL("[INVALID] Quality audit monitoring completed for "&amp;UPPER($C143))&amp;"&amp;body="&amp;_xlfn.ENCODEURL("Hi "&amp;$F143&amp;","&amp;CHAR(10)&amp;"Good day!"&amp;CHAR(10)&amp;CHAR(10)&amp;"A quality monitoring audit has been completed for "&amp;$C143&amp;"."&amp;CHAR(10)&amp;CHAR(10)&amp;"QUALITY AUDIT DETAILS"&amp;CHAR(10)&amp;"Agent Name: "&amp;$C143&amp;" (EID "&amp;$D143&amp;")"&amp;CHAR(10)&amp;"Audit Date: "&amp;TEXT($B143,"yyyy-mm-dd")&amp;CHAR(10)&amp;"Team Leader: "&amp;$F143&amp;CHAR(10)&amp;"Case Number: "&amp;$M143&amp;CHAR(10)&amp;"Transaction ID: "&amp;$N143&amp;CHAR(10)&amp;"Channel / LOB: "&amp;$K143&amp;" / "&amp;$L143&amp;CHAR(10)&amp;"Evaluator: "&amp;$S143&amp;CHAR(10)&amp;CHAR(10)&amp;"INVALID QUALITY AUDIT DETAILS"&amp;CHAR(10)&amp;"Validation: Invalid"&amp;CHAR(10)&amp;"Invalid Reason: "&amp;$P143&amp;CHAR(10)&amp;"Expected Resolution Code: "&amp;$Q143&amp;CHAR(10)&amp;"Remarks: "&amp;LEFT($R143,600)&amp;CHAR(10)&amp;CHAR(10)&amp;"This is an automated notification from HP Mainstream EQMS."),"✉ Open Email Draft"),"")</f>
        <v/>
      </c>
    </row>
    <row r="144">
      <c r="A144" s="25">
        <f>IF($C144="","","AUD-2026-"&amp;TEXT(ROW()-1,"000000"))</f>
        <v/>
      </c>
      <c r="B144" s="26" t="n"/>
      <c r="C144" s="27" t="n"/>
      <c r="D144" s="25">
        <f>IF($C144="","",IFERROR(IF(INDEX(Roster!$A:$A,MATCH($C144,Roster!$B:$B,0))="","",INDEX(Roster!$A:$A,MATCH($C144,Roster!$B:$B,0))&amp;""),"—"))</f>
        <v/>
      </c>
      <c r="E144" s="25">
        <f>IF($C144="","",IFERROR(IF(INDEX(Roster!$C:$C,MATCH($C144,Roster!$B:$B,0))="","",INDEX(Roster!$C:$C,MATCH($C144,Roster!$B:$B,0))&amp;""),"—"))</f>
        <v/>
      </c>
      <c r="F144" s="25">
        <f>IF($C144="","",IFERROR(IF(INDEX(Roster!$D:$D,MATCH($C144,Roster!$B:$B,0))="","",INDEX(Roster!$D:$D,MATCH($C144,Roster!$B:$B,0))&amp;""),"—"))</f>
        <v/>
      </c>
      <c r="G144" s="25">
        <f>IF($C144="","",IFERROR(IF(INDEX(Roster!$E:$E,MATCH($C144,Roster!$B:$B,0))="","",INDEX(Roster!$E:$E,MATCH($C144,Roster!$B:$B,0))&amp;""),"—"))</f>
        <v/>
      </c>
      <c r="H144" s="25">
        <f>IF($C144="","",IFERROR(IF(INDEX(Roster!$F:$F,MATCH($C144,Roster!$B:$B,0))="","",INDEX(Roster!$F:$F,MATCH($C144,Roster!$B:$B,0))&amp;""),"—"))</f>
        <v/>
      </c>
      <c r="I144" s="25">
        <f>IF($C144="","",IFERROR(IF(INDEX(Roster!$G:$G,MATCH($C144,Roster!$B:$B,0))="","",INDEX(Roster!$G:$G,MATCH($C144,Roster!$B:$B,0))&amp;""),"—"))</f>
        <v/>
      </c>
      <c r="J144" s="25">
        <f>IF($C144="","",IFERROR(IF(INDEX(Roster!$I:$I,MATCH($C144,Roster!$B:$B,0))="","",INDEX(Roster!$I:$I,MATCH($C144,Roster!$B:$B,0))&amp;""),"—"))</f>
        <v/>
      </c>
      <c r="K144">
        <f>IF($C144="","",IFERROR(IF(INDEX(Roster!$J:$J,MATCH($C144,Roster!$B:$B,0))="","",INDEX(Roster!$J:$J,MATCH($C144,Roster!$B:$B,0))&amp;""),"—"))</f>
        <v/>
      </c>
      <c r="L144">
        <f>IF($C144="","",IFERROR(IF(INDEX(Roster!$K:$K,MATCH($C144,Roster!$B:$B,0))="","",INDEX(Roster!$K:$K,MATCH($C144,Roster!$B:$B,0))&amp;""),"—"))</f>
        <v/>
      </c>
      <c r="M144" s="27" t="n"/>
      <c r="N144" s="27" t="n"/>
      <c r="O144" s="25">
        <f>IF($C144="","",IF($P144="","—",IF($P144="Valid (Pass)","Valid","Invalid")))</f>
        <v/>
      </c>
      <c r="P144" s="27" t="n"/>
      <c r="Q144" s="27" t="n"/>
      <c r="R144" s="27" t="n"/>
      <c r="S144" s="27" t="n"/>
      <c r="T144" s="25">
        <f>IF($C144="","",IF(OR(ISNUMBER(SEARCH("quick case",$P144)),ISNUMBER(SEARCH("quick case",$Q144))),"Yes","No"))</f>
        <v/>
      </c>
      <c r="U144" s="25">
        <f>IF($O144="Invalid",HYPERLINK("mailto:"&amp;$G144&amp;";"&amp;$I144&amp;"?cc="&amp;Lists!$E$2&amp;"&amp;subject="&amp;_xlfn.ENCODEURL("[INVALID] Quality audit monitoring completed for "&amp;UPPER($C144))&amp;"&amp;body="&amp;_xlfn.ENCODEURL("Hi "&amp;$F144&amp;","&amp;CHAR(10)&amp;"Good day!"&amp;CHAR(10)&amp;CHAR(10)&amp;"A quality monitoring audit has been completed for "&amp;$C144&amp;"."&amp;CHAR(10)&amp;CHAR(10)&amp;"QUALITY AUDIT DETAILS"&amp;CHAR(10)&amp;"Agent Name: "&amp;$C144&amp;" (EID "&amp;$D144&amp;")"&amp;CHAR(10)&amp;"Audit Date: "&amp;TEXT($B144,"yyyy-mm-dd")&amp;CHAR(10)&amp;"Team Leader: "&amp;$F144&amp;CHAR(10)&amp;"Case Number: "&amp;$M144&amp;CHAR(10)&amp;"Transaction ID: "&amp;$N144&amp;CHAR(10)&amp;"Channel / LOB: "&amp;$K144&amp;" / "&amp;$L144&amp;CHAR(10)&amp;"Evaluator: "&amp;$S144&amp;CHAR(10)&amp;CHAR(10)&amp;"INVALID QUALITY AUDIT DETAILS"&amp;CHAR(10)&amp;"Validation: Invalid"&amp;CHAR(10)&amp;"Invalid Reason: "&amp;$P144&amp;CHAR(10)&amp;"Expected Resolution Code: "&amp;$Q144&amp;CHAR(10)&amp;"Remarks: "&amp;LEFT($R144,600)&amp;CHAR(10)&amp;CHAR(10)&amp;"This is an automated notification from HP Mainstream EQMS."),"✉ Open Email Draft"),"")</f>
        <v/>
      </c>
    </row>
    <row r="145">
      <c r="A145" s="25">
        <f>IF($C145="","","AUD-2026-"&amp;TEXT(ROW()-1,"000000"))</f>
        <v/>
      </c>
      <c r="B145" s="26" t="n"/>
      <c r="C145" s="27" t="n"/>
      <c r="D145" s="25">
        <f>IF($C145="","",IFERROR(IF(INDEX(Roster!$A:$A,MATCH($C145,Roster!$B:$B,0))="","",INDEX(Roster!$A:$A,MATCH($C145,Roster!$B:$B,0))&amp;""),"—"))</f>
        <v/>
      </c>
      <c r="E145" s="25">
        <f>IF($C145="","",IFERROR(IF(INDEX(Roster!$C:$C,MATCH($C145,Roster!$B:$B,0))="","",INDEX(Roster!$C:$C,MATCH($C145,Roster!$B:$B,0))&amp;""),"—"))</f>
        <v/>
      </c>
      <c r="F145" s="25">
        <f>IF($C145="","",IFERROR(IF(INDEX(Roster!$D:$D,MATCH($C145,Roster!$B:$B,0))="","",INDEX(Roster!$D:$D,MATCH($C145,Roster!$B:$B,0))&amp;""),"—"))</f>
        <v/>
      </c>
      <c r="G145" s="25">
        <f>IF($C145="","",IFERROR(IF(INDEX(Roster!$E:$E,MATCH($C145,Roster!$B:$B,0))="","",INDEX(Roster!$E:$E,MATCH($C145,Roster!$B:$B,0))&amp;""),"—"))</f>
        <v/>
      </c>
      <c r="H145" s="25">
        <f>IF($C145="","",IFERROR(IF(INDEX(Roster!$F:$F,MATCH($C145,Roster!$B:$B,0))="","",INDEX(Roster!$F:$F,MATCH($C145,Roster!$B:$B,0))&amp;""),"—"))</f>
        <v/>
      </c>
      <c r="I145" s="25">
        <f>IF($C145="","",IFERROR(IF(INDEX(Roster!$G:$G,MATCH($C145,Roster!$B:$B,0))="","",INDEX(Roster!$G:$G,MATCH($C145,Roster!$B:$B,0))&amp;""),"—"))</f>
        <v/>
      </c>
      <c r="J145" s="25">
        <f>IF($C145="","",IFERROR(IF(INDEX(Roster!$I:$I,MATCH($C145,Roster!$B:$B,0))="","",INDEX(Roster!$I:$I,MATCH($C145,Roster!$B:$B,0))&amp;""),"—"))</f>
        <v/>
      </c>
      <c r="K145">
        <f>IF($C145="","",IFERROR(IF(INDEX(Roster!$J:$J,MATCH($C145,Roster!$B:$B,0))="","",INDEX(Roster!$J:$J,MATCH($C145,Roster!$B:$B,0))&amp;""),"—"))</f>
        <v/>
      </c>
      <c r="L145">
        <f>IF($C145="","",IFERROR(IF(INDEX(Roster!$K:$K,MATCH($C145,Roster!$B:$B,0))="","",INDEX(Roster!$K:$K,MATCH($C145,Roster!$B:$B,0))&amp;""),"—"))</f>
        <v/>
      </c>
      <c r="M145" s="27" t="n"/>
      <c r="N145" s="27" t="n"/>
      <c r="O145" s="25">
        <f>IF($C145="","",IF($P145="","—",IF($P145="Valid (Pass)","Valid","Invalid")))</f>
        <v/>
      </c>
      <c r="P145" s="27" t="n"/>
      <c r="Q145" s="27" t="n"/>
      <c r="R145" s="27" t="n"/>
      <c r="S145" s="27" t="n"/>
      <c r="T145" s="25">
        <f>IF($C145="","",IF(OR(ISNUMBER(SEARCH("quick case",$P145)),ISNUMBER(SEARCH("quick case",$Q145))),"Yes","No"))</f>
        <v/>
      </c>
      <c r="U145" s="25">
        <f>IF($O145="Invalid",HYPERLINK("mailto:"&amp;$G145&amp;";"&amp;$I145&amp;"?cc="&amp;Lists!$E$2&amp;"&amp;subject="&amp;_xlfn.ENCODEURL("[INVALID] Quality audit monitoring completed for "&amp;UPPER($C145))&amp;"&amp;body="&amp;_xlfn.ENCODEURL("Hi "&amp;$F145&amp;","&amp;CHAR(10)&amp;"Good day!"&amp;CHAR(10)&amp;CHAR(10)&amp;"A quality monitoring audit has been completed for "&amp;$C145&amp;"."&amp;CHAR(10)&amp;CHAR(10)&amp;"QUALITY AUDIT DETAILS"&amp;CHAR(10)&amp;"Agent Name: "&amp;$C145&amp;" (EID "&amp;$D145&amp;")"&amp;CHAR(10)&amp;"Audit Date: "&amp;TEXT($B145,"yyyy-mm-dd")&amp;CHAR(10)&amp;"Team Leader: "&amp;$F145&amp;CHAR(10)&amp;"Case Number: "&amp;$M145&amp;CHAR(10)&amp;"Transaction ID: "&amp;$N145&amp;CHAR(10)&amp;"Channel / LOB: "&amp;$K145&amp;" / "&amp;$L145&amp;CHAR(10)&amp;"Evaluator: "&amp;$S145&amp;CHAR(10)&amp;CHAR(10)&amp;"INVALID QUALITY AUDIT DETAILS"&amp;CHAR(10)&amp;"Validation: Invalid"&amp;CHAR(10)&amp;"Invalid Reason: "&amp;$P145&amp;CHAR(10)&amp;"Expected Resolution Code: "&amp;$Q145&amp;CHAR(10)&amp;"Remarks: "&amp;LEFT($R145,600)&amp;CHAR(10)&amp;CHAR(10)&amp;"This is an automated notification from HP Mainstream EQMS."),"✉ Open Email Draft"),"")</f>
        <v/>
      </c>
    </row>
    <row r="146">
      <c r="A146" s="25">
        <f>IF($C146="","","AUD-2026-"&amp;TEXT(ROW()-1,"000000"))</f>
        <v/>
      </c>
      <c r="B146" s="26" t="n"/>
      <c r="C146" s="27" t="n"/>
      <c r="D146" s="25">
        <f>IF($C146="","",IFERROR(IF(INDEX(Roster!$A:$A,MATCH($C146,Roster!$B:$B,0))="","",INDEX(Roster!$A:$A,MATCH($C146,Roster!$B:$B,0))&amp;""),"—"))</f>
        <v/>
      </c>
      <c r="E146" s="25">
        <f>IF($C146="","",IFERROR(IF(INDEX(Roster!$C:$C,MATCH($C146,Roster!$B:$B,0))="","",INDEX(Roster!$C:$C,MATCH($C146,Roster!$B:$B,0))&amp;""),"—"))</f>
        <v/>
      </c>
      <c r="F146" s="25">
        <f>IF($C146="","",IFERROR(IF(INDEX(Roster!$D:$D,MATCH($C146,Roster!$B:$B,0))="","",INDEX(Roster!$D:$D,MATCH($C146,Roster!$B:$B,0))&amp;""),"—"))</f>
        <v/>
      </c>
      <c r="G146" s="25">
        <f>IF($C146="","",IFERROR(IF(INDEX(Roster!$E:$E,MATCH($C146,Roster!$B:$B,0))="","",INDEX(Roster!$E:$E,MATCH($C146,Roster!$B:$B,0))&amp;""),"—"))</f>
        <v/>
      </c>
      <c r="H146" s="25">
        <f>IF($C146="","",IFERROR(IF(INDEX(Roster!$F:$F,MATCH($C146,Roster!$B:$B,0))="","",INDEX(Roster!$F:$F,MATCH($C146,Roster!$B:$B,0))&amp;""),"—"))</f>
        <v/>
      </c>
      <c r="I146" s="25">
        <f>IF($C146="","",IFERROR(IF(INDEX(Roster!$G:$G,MATCH($C146,Roster!$B:$B,0))="","",INDEX(Roster!$G:$G,MATCH($C146,Roster!$B:$B,0))&amp;""),"—"))</f>
        <v/>
      </c>
      <c r="J146" s="25">
        <f>IF($C146="","",IFERROR(IF(INDEX(Roster!$I:$I,MATCH($C146,Roster!$B:$B,0))="","",INDEX(Roster!$I:$I,MATCH($C146,Roster!$B:$B,0))&amp;""),"—"))</f>
        <v/>
      </c>
      <c r="K146">
        <f>IF($C146="","",IFERROR(IF(INDEX(Roster!$J:$J,MATCH($C146,Roster!$B:$B,0))="","",INDEX(Roster!$J:$J,MATCH($C146,Roster!$B:$B,0))&amp;""),"—"))</f>
        <v/>
      </c>
      <c r="L146">
        <f>IF($C146="","",IFERROR(IF(INDEX(Roster!$K:$K,MATCH($C146,Roster!$B:$B,0))="","",INDEX(Roster!$K:$K,MATCH($C146,Roster!$B:$B,0))&amp;""),"—"))</f>
        <v/>
      </c>
      <c r="M146" s="27" t="n"/>
      <c r="N146" s="27" t="n"/>
      <c r="O146" s="25">
        <f>IF($C146="","",IF($P146="","—",IF($P146="Valid (Pass)","Valid","Invalid")))</f>
        <v/>
      </c>
      <c r="P146" s="27" t="n"/>
      <c r="Q146" s="27" t="n"/>
      <c r="R146" s="27" t="n"/>
      <c r="S146" s="27" t="n"/>
      <c r="T146" s="25">
        <f>IF($C146="","",IF(OR(ISNUMBER(SEARCH("quick case",$P146)),ISNUMBER(SEARCH("quick case",$Q146))),"Yes","No"))</f>
        <v/>
      </c>
      <c r="U146" s="25">
        <f>IF($O146="Invalid",HYPERLINK("mailto:"&amp;$G146&amp;";"&amp;$I146&amp;"?cc="&amp;Lists!$E$2&amp;"&amp;subject="&amp;_xlfn.ENCODEURL("[INVALID] Quality audit monitoring completed for "&amp;UPPER($C146))&amp;"&amp;body="&amp;_xlfn.ENCODEURL("Hi "&amp;$F146&amp;","&amp;CHAR(10)&amp;"Good day!"&amp;CHAR(10)&amp;CHAR(10)&amp;"A quality monitoring audit has been completed for "&amp;$C146&amp;"."&amp;CHAR(10)&amp;CHAR(10)&amp;"QUALITY AUDIT DETAILS"&amp;CHAR(10)&amp;"Agent Name: "&amp;$C146&amp;" (EID "&amp;$D146&amp;")"&amp;CHAR(10)&amp;"Audit Date: "&amp;TEXT($B146,"yyyy-mm-dd")&amp;CHAR(10)&amp;"Team Leader: "&amp;$F146&amp;CHAR(10)&amp;"Case Number: "&amp;$M146&amp;CHAR(10)&amp;"Transaction ID: "&amp;$N146&amp;CHAR(10)&amp;"Channel / LOB: "&amp;$K146&amp;" / "&amp;$L146&amp;CHAR(10)&amp;"Evaluator: "&amp;$S146&amp;CHAR(10)&amp;CHAR(10)&amp;"INVALID QUALITY AUDIT DETAILS"&amp;CHAR(10)&amp;"Validation: Invalid"&amp;CHAR(10)&amp;"Invalid Reason: "&amp;$P146&amp;CHAR(10)&amp;"Expected Resolution Code: "&amp;$Q146&amp;CHAR(10)&amp;"Remarks: "&amp;LEFT($R146,600)&amp;CHAR(10)&amp;CHAR(10)&amp;"This is an automated notification from HP Mainstream EQMS."),"✉ Open Email Draft"),"")</f>
        <v/>
      </c>
    </row>
    <row r="147">
      <c r="A147" s="25">
        <f>IF($C147="","","AUD-2026-"&amp;TEXT(ROW()-1,"000000"))</f>
        <v/>
      </c>
      <c r="B147" s="26" t="n"/>
      <c r="C147" s="27" t="n"/>
      <c r="D147" s="25">
        <f>IF($C147="","",IFERROR(IF(INDEX(Roster!$A:$A,MATCH($C147,Roster!$B:$B,0))="","",INDEX(Roster!$A:$A,MATCH($C147,Roster!$B:$B,0))&amp;""),"—"))</f>
        <v/>
      </c>
      <c r="E147" s="25">
        <f>IF($C147="","",IFERROR(IF(INDEX(Roster!$C:$C,MATCH($C147,Roster!$B:$B,0))="","",INDEX(Roster!$C:$C,MATCH($C147,Roster!$B:$B,0))&amp;""),"—"))</f>
        <v/>
      </c>
      <c r="F147" s="25">
        <f>IF($C147="","",IFERROR(IF(INDEX(Roster!$D:$D,MATCH($C147,Roster!$B:$B,0))="","",INDEX(Roster!$D:$D,MATCH($C147,Roster!$B:$B,0))&amp;""),"—"))</f>
        <v/>
      </c>
      <c r="G147" s="25">
        <f>IF($C147="","",IFERROR(IF(INDEX(Roster!$E:$E,MATCH($C147,Roster!$B:$B,0))="","",INDEX(Roster!$E:$E,MATCH($C147,Roster!$B:$B,0))&amp;""),"—"))</f>
        <v/>
      </c>
      <c r="H147" s="25">
        <f>IF($C147="","",IFERROR(IF(INDEX(Roster!$F:$F,MATCH($C147,Roster!$B:$B,0))="","",INDEX(Roster!$F:$F,MATCH($C147,Roster!$B:$B,0))&amp;""),"—"))</f>
        <v/>
      </c>
      <c r="I147" s="25">
        <f>IF($C147="","",IFERROR(IF(INDEX(Roster!$G:$G,MATCH($C147,Roster!$B:$B,0))="","",INDEX(Roster!$G:$G,MATCH($C147,Roster!$B:$B,0))&amp;""),"—"))</f>
        <v/>
      </c>
      <c r="J147" s="25">
        <f>IF($C147="","",IFERROR(IF(INDEX(Roster!$I:$I,MATCH($C147,Roster!$B:$B,0))="","",INDEX(Roster!$I:$I,MATCH($C147,Roster!$B:$B,0))&amp;""),"—"))</f>
        <v/>
      </c>
      <c r="K147">
        <f>IF($C147="","",IFERROR(IF(INDEX(Roster!$J:$J,MATCH($C147,Roster!$B:$B,0))="","",INDEX(Roster!$J:$J,MATCH($C147,Roster!$B:$B,0))&amp;""),"—"))</f>
        <v/>
      </c>
      <c r="L147">
        <f>IF($C147="","",IFERROR(IF(INDEX(Roster!$K:$K,MATCH($C147,Roster!$B:$B,0))="","",INDEX(Roster!$K:$K,MATCH($C147,Roster!$B:$B,0))&amp;""),"—"))</f>
        <v/>
      </c>
      <c r="M147" s="27" t="n"/>
      <c r="N147" s="27" t="n"/>
      <c r="O147" s="25">
        <f>IF($C147="","",IF($P147="","—",IF($P147="Valid (Pass)","Valid","Invalid")))</f>
        <v/>
      </c>
      <c r="P147" s="27" t="n"/>
      <c r="Q147" s="27" t="n"/>
      <c r="R147" s="27" t="n"/>
      <c r="S147" s="27" t="n"/>
      <c r="T147" s="25">
        <f>IF($C147="","",IF(OR(ISNUMBER(SEARCH("quick case",$P147)),ISNUMBER(SEARCH("quick case",$Q147))),"Yes","No"))</f>
        <v/>
      </c>
      <c r="U147" s="25">
        <f>IF($O147="Invalid",HYPERLINK("mailto:"&amp;$G147&amp;";"&amp;$I147&amp;"?cc="&amp;Lists!$E$2&amp;"&amp;subject="&amp;_xlfn.ENCODEURL("[INVALID] Quality audit monitoring completed for "&amp;UPPER($C147))&amp;"&amp;body="&amp;_xlfn.ENCODEURL("Hi "&amp;$F147&amp;","&amp;CHAR(10)&amp;"Good day!"&amp;CHAR(10)&amp;CHAR(10)&amp;"A quality monitoring audit has been completed for "&amp;$C147&amp;"."&amp;CHAR(10)&amp;CHAR(10)&amp;"QUALITY AUDIT DETAILS"&amp;CHAR(10)&amp;"Agent Name: "&amp;$C147&amp;" (EID "&amp;$D147&amp;")"&amp;CHAR(10)&amp;"Audit Date: "&amp;TEXT($B147,"yyyy-mm-dd")&amp;CHAR(10)&amp;"Team Leader: "&amp;$F147&amp;CHAR(10)&amp;"Case Number: "&amp;$M147&amp;CHAR(10)&amp;"Transaction ID: "&amp;$N147&amp;CHAR(10)&amp;"Channel / LOB: "&amp;$K147&amp;" / "&amp;$L147&amp;CHAR(10)&amp;"Evaluator: "&amp;$S147&amp;CHAR(10)&amp;CHAR(10)&amp;"INVALID QUALITY AUDIT DETAILS"&amp;CHAR(10)&amp;"Validation: Invalid"&amp;CHAR(10)&amp;"Invalid Reason: "&amp;$P147&amp;CHAR(10)&amp;"Expected Resolution Code: "&amp;$Q147&amp;CHAR(10)&amp;"Remarks: "&amp;LEFT($R147,600)&amp;CHAR(10)&amp;CHAR(10)&amp;"This is an automated notification from HP Mainstream EQMS."),"✉ Open Email Draft"),"")</f>
        <v/>
      </c>
    </row>
    <row r="148">
      <c r="A148" s="25">
        <f>IF($C148="","","AUD-2026-"&amp;TEXT(ROW()-1,"000000"))</f>
        <v/>
      </c>
      <c r="B148" s="26" t="n"/>
      <c r="C148" s="27" t="n"/>
      <c r="D148" s="25">
        <f>IF($C148="","",IFERROR(IF(INDEX(Roster!$A:$A,MATCH($C148,Roster!$B:$B,0))="","",INDEX(Roster!$A:$A,MATCH($C148,Roster!$B:$B,0))&amp;""),"—"))</f>
        <v/>
      </c>
      <c r="E148" s="25">
        <f>IF($C148="","",IFERROR(IF(INDEX(Roster!$C:$C,MATCH($C148,Roster!$B:$B,0))="","",INDEX(Roster!$C:$C,MATCH($C148,Roster!$B:$B,0))&amp;""),"—"))</f>
        <v/>
      </c>
      <c r="F148" s="25">
        <f>IF($C148="","",IFERROR(IF(INDEX(Roster!$D:$D,MATCH($C148,Roster!$B:$B,0))="","",INDEX(Roster!$D:$D,MATCH($C148,Roster!$B:$B,0))&amp;""),"—"))</f>
        <v/>
      </c>
      <c r="G148" s="25">
        <f>IF($C148="","",IFERROR(IF(INDEX(Roster!$E:$E,MATCH($C148,Roster!$B:$B,0))="","",INDEX(Roster!$E:$E,MATCH($C148,Roster!$B:$B,0))&amp;""),"—"))</f>
        <v/>
      </c>
      <c r="H148" s="25">
        <f>IF($C148="","",IFERROR(IF(INDEX(Roster!$F:$F,MATCH($C148,Roster!$B:$B,0))="","",INDEX(Roster!$F:$F,MATCH($C148,Roster!$B:$B,0))&amp;""),"—"))</f>
        <v/>
      </c>
      <c r="I148" s="25">
        <f>IF($C148="","",IFERROR(IF(INDEX(Roster!$G:$G,MATCH($C148,Roster!$B:$B,0))="","",INDEX(Roster!$G:$G,MATCH($C148,Roster!$B:$B,0))&amp;""),"—"))</f>
        <v/>
      </c>
      <c r="J148" s="25">
        <f>IF($C148="","",IFERROR(IF(INDEX(Roster!$I:$I,MATCH($C148,Roster!$B:$B,0))="","",INDEX(Roster!$I:$I,MATCH($C148,Roster!$B:$B,0))&amp;""),"—"))</f>
        <v/>
      </c>
      <c r="K148">
        <f>IF($C148="","",IFERROR(IF(INDEX(Roster!$J:$J,MATCH($C148,Roster!$B:$B,0))="","",INDEX(Roster!$J:$J,MATCH($C148,Roster!$B:$B,0))&amp;""),"—"))</f>
        <v/>
      </c>
      <c r="L148">
        <f>IF($C148="","",IFERROR(IF(INDEX(Roster!$K:$K,MATCH($C148,Roster!$B:$B,0))="","",INDEX(Roster!$K:$K,MATCH($C148,Roster!$B:$B,0))&amp;""),"—"))</f>
        <v/>
      </c>
      <c r="M148" s="27" t="n"/>
      <c r="N148" s="27" t="n"/>
      <c r="O148" s="25">
        <f>IF($C148="","",IF($P148="","—",IF($P148="Valid (Pass)","Valid","Invalid")))</f>
        <v/>
      </c>
      <c r="P148" s="27" t="n"/>
      <c r="Q148" s="27" t="n"/>
      <c r="R148" s="27" t="n"/>
      <c r="S148" s="27" t="n"/>
      <c r="T148" s="25">
        <f>IF($C148="","",IF(OR(ISNUMBER(SEARCH("quick case",$P148)),ISNUMBER(SEARCH("quick case",$Q148))),"Yes","No"))</f>
        <v/>
      </c>
      <c r="U148" s="25">
        <f>IF($O148="Invalid",HYPERLINK("mailto:"&amp;$G148&amp;";"&amp;$I148&amp;"?cc="&amp;Lists!$E$2&amp;"&amp;subject="&amp;_xlfn.ENCODEURL("[INVALID] Quality audit monitoring completed for "&amp;UPPER($C148))&amp;"&amp;body="&amp;_xlfn.ENCODEURL("Hi "&amp;$F148&amp;","&amp;CHAR(10)&amp;"Good day!"&amp;CHAR(10)&amp;CHAR(10)&amp;"A quality monitoring audit has been completed for "&amp;$C148&amp;"."&amp;CHAR(10)&amp;CHAR(10)&amp;"QUALITY AUDIT DETAILS"&amp;CHAR(10)&amp;"Agent Name: "&amp;$C148&amp;" (EID "&amp;$D148&amp;")"&amp;CHAR(10)&amp;"Audit Date: "&amp;TEXT($B148,"yyyy-mm-dd")&amp;CHAR(10)&amp;"Team Leader: "&amp;$F148&amp;CHAR(10)&amp;"Case Number: "&amp;$M148&amp;CHAR(10)&amp;"Transaction ID: "&amp;$N148&amp;CHAR(10)&amp;"Channel / LOB: "&amp;$K148&amp;" / "&amp;$L148&amp;CHAR(10)&amp;"Evaluator: "&amp;$S148&amp;CHAR(10)&amp;CHAR(10)&amp;"INVALID QUALITY AUDIT DETAILS"&amp;CHAR(10)&amp;"Validation: Invalid"&amp;CHAR(10)&amp;"Invalid Reason: "&amp;$P148&amp;CHAR(10)&amp;"Expected Resolution Code: "&amp;$Q148&amp;CHAR(10)&amp;"Remarks: "&amp;LEFT($R148,600)&amp;CHAR(10)&amp;CHAR(10)&amp;"This is an automated notification from HP Mainstream EQMS."),"✉ Open Email Draft"),"")</f>
        <v/>
      </c>
    </row>
    <row r="149">
      <c r="A149" s="25">
        <f>IF($C149="","","AUD-2026-"&amp;TEXT(ROW()-1,"000000"))</f>
        <v/>
      </c>
      <c r="B149" s="26" t="n"/>
      <c r="C149" s="27" t="n"/>
      <c r="D149" s="25">
        <f>IF($C149="","",IFERROR(IF(INDEX(Roster!$A:$A,MATCH($C149,Roster!$B:$B,0))="","",INDEX(Roster!$A:$A,MATCH($C149,Roster!$B:$B,0))&amp;""),"—"))</f>
        <v/>
      </c>
      <c r="E149" s="25">
        <f>IF($C149="","",IFERROR(IF(INDEX(Roster!$C:$C,MATCH($C149,Roster!$B:$B,0))="","",INDEX(Roster!$C:$C,MATCH($C149,Roster!$B:$B,0))&amp;""),"—"))</f>
        <v/>
      </c>
      <c r="F149" s="25">
        <f>IF($C149="","",IFERROR(IF(INDEX(Roster!$D:$D,MATCH($C149,Roster!$B:$B,0))="","",INDEX(Roster!$D:$D,MATCH($C149,Roster!$B:$B,0))&amp;""),"—"))</f>
        <v/>
      </c>
      <c r="G149" s="25">
        <f>IF($C149="","",IFERROR(IF(INDEX(Roster!$E:$E,MATCH($C149,Roster!$B:$B,0))="","",INDEX(Roster!$E:$E,MATCH($C149,Roster!$B:$B,0))&amp;""),"—"))</f>
        <v/>
      </c>
      <c r="H149" s="25">
        <f>IF($C149="","",IFERROR(IF(INDEX(Roster!$F:$F,MATCH($C149,Roster!$B:$B,0))="","",INDEX(Roster!$F:$F,MATCH($C149,Roster!$B:$B,0))&amp;""),"—"))</f>
        <v/>
      </c>
      <c r="I149" s="25">
        <f>IF($C149="","",IFERROR(IF(INDEX(Roster!$G:$G,MATCH($C149,Roster!$B:$B,0))="","",INDEX(Roster!$G:$G,MATCH($C149,Roster!$B:$B,0))&amp;""),"—"))</f>
        <v/>
      </c>
      <c r="J149" s="25">
        <f>IF($C149="","",IFERROR(IF(INDEX(Roster!$I:$I,MATCH($C149,Roster!$B:$B,0))="","",INDEX(Roster!$I:$I,MATCH($C149,Roster!$B:$B,0))&amp;""),"—"))</f>
        <v/>
      </c>
      <c r="K149">
        <f>IF($C149="","",IFERROR(IF(INDEX(Roster!$J:$J,MATCH($C149,Roster!$B:$B,0))="","",INDEX(Roster!$J:$J,MATCH($C149,Roster!$B:$B,0))&amp;""),"—"))</f>
        <v/>
      </c>
      <c r="L149">
        <f>IF($C149="","",IFERROR(IF(INDEX(Roster!$K:$K,MATCH($C149,Roster!$B:$B,0))="","",INDEX(Roster!$K:$K,MATCH($C149,Roster!$B:$B,0))&amp;""),"—"))</f>
        <v/>
      </c>
      <c r="M149" s="27" t="n"/>
      <c r="N149" s="27" t="n"/>
      <c r="O149" s="25">
        <f>IF($C149="","",IF($P149="","—",IF($P149="Valid (Pass)","Valid","Invalid")))</f>
        <v/>
      </c>
      <c r="P149" s="27" t="n"/>
      <c r="Q149" s="27" t="n"/>
      <c r="R149" s="27" t="n"/>
      <c r="S149" s="27" t="n"/>
      <c r="T149" s="25">
        <f>IF($C149="","",IF(OR(ISNUMBER(SEARCH("quick case",$P149)),ISNUMBER(SEARCH("quick case",$Q149))),"Yes","No"))</f>
        <v/>
      </c>
      <c r="U149" s="25">
        <f>IF($O149="Invalid",HYPERLINK("mailto:"&amp;$G149&amp;";"&amp;$I149&amp;"?cc="&amp;Lists!$E$2&amp;"&amp;subject="&amp;_xlfn.ENCODEURL("[INVALID] Quality audit monitoring completed for "&amp;UPPER($C149))&amp;"&amp;body="&amp;_xlfn.ENCODEURL("Hi "&amp;$F149&amp;","&amp;CHAR(10)&amp;"Good day!"&amp;CHAR(10)&amp;CHAR(10)&amp;"A quality monitoring audit has been completed for "&amp;$C149&amp;"."&amp;CHAR(10)&amp;CHAR(10)&amp;"QUALITY AUDIT DETAILS"&amp;CHAR(10)&amp;"Agent Name: "&amp;$C149&amp;" (EID "&amp;$D149&amp;")"&amp;CHAR(10)&amp;"Audit Date: "&amp;TEXT($B149,"yyyy-mm-dd")&amp;CHAR(10)&amp;"Team Leader: "&amp;$F149&amp;CHAR(10)&amp;"Case Number: "&amp;$M149&amp;CHAR(10)&amp;"Transaction ID: "&amp;$N149&amp;CHAR(10)&amp;"Channel / LOB: "&amp;$K149&amp;" / "&amp;$L149&amp;CHAR(10)&amp;"Evaluator: "&amp;$S149&amp;CHAR(10)&amp;CHAR(10)&amp;"INVALID QUALITY AUDIT DETAILS"&amp;CHAR(10)&amp;"Validation: Invalid"&amp;CHAR(10)&amp;"Invalid Reason: "&amp;$P149&amp;CHAR(10)&amp;"Expected Resolution Code: "&amp;$Q149&amp;CHAR(10)&amp;"Remarks: "&amp;LEFT($R149,600)&amp;CHAR(10)&amp;CHAR(10)&amp;"This is an automated notification from HP Mainstream EQMS."),"✉ Open Email Draft"),"")</f>
        <v/>
      </c>
    </row>
    <row r="150">
      <c r="A150" s="25">
        <f>IF($C150="","","AUD-2026-"&amp;TEXT(ROW()-1,"000000"))</f>
        <v/>
      </c>
      <c r="B150" s="26" t="n"/>
      <c r="C150" s="27" t="n"/>
      <c r="D150" s="25">
        <f>IF($C150="","",IFERROR(IF(INDEX(Roster!$A:$A,MATCH($C150,Roster!$B:$B,0))="","",INDEX(Roster!$A:$A,MATCH($C150,Roster!$B:$B,0))&amp;""),"—"))</f>
        <v/>
      </c>
      <c r="E150" s="25">
        <f>IF($C150="","",IFERROR(IF(INDEX(Roster!$C:$C,MATCH($C150,Roster!$B:$B,0))="","",INDEX(Roster!$C:$C,MATCH($C150,Roster!$B:$B,0))&amp;""),"—"))</f>
        <v/>
      </c>
      <c r="F150" s="25">
        <f>IF($C150="","",IFERROR(IF(INDEX(Roster!$D:$D,MATCH($C150,Roster!$B:$B,0))="","",INDEX(Roster!$D:$D,MATCH($C150,Roster!$B:$B,0))&amp;""),"—"))</f>
        <v/>
      </c>
      <c r="G150" s="25">
        <f>IF($C150="","",IFERROR(IF(INDEX(Roster!$E:$E,MATCH($C150,Roster!$B:$B,0))="","",INDEX(Roster!$E:$E,MATCH($C150,Roster!$B:$B,0))&amp;""),"—"))</f>
        <v/>
      </c>
      <c r="H150" s="25">
        <f>IF($C150="","",IFERROR(IF(INDEX(Roster!$F:$F,MATCH($C150,Roster!$B:$B,0))="","",INDEX(Roster!$F:$F,MATCH($C150,Roster!$B:$B,0))&amp;""),"—"))</f>
        <v/>
      </c>
      <c r="I150" s="25">
        <f>IF($C150="","",IFERROR(IF(INDEX(Roster!$G:$G,MATCH($C150,Roster!$B:$B,0))="","",INDEX(Roster!$G:$G,MATCH($C150,Roster!$B:$B,0))&amp;""),"—"))</f>
        <v/>
      </c>
      <c r="J150" s="25">
        <f>IF($C150="","",IFERROR(IF(INDEX(Roster!$I:$I,MATCH($C150,Roster!$B:$B,0))="","",INDEX(Roster!$I:$I,MATCH($C150,Roster!$B:$B,0))&amp;""),"—"))</f>
        <v/>
      </c>
      <c r="K150">
        <f>IF($C150="","",IFERROR(IF(INDEX(Roster!$J:$J,MATCH($C150,Roster!$B:$B,0))="","",INDEX(Roster!$J:$J,MATCH($C150,Roster!$B:$B,0))&amp;""),"—"))</f>
        <v/>
      </c>
      <c r="L150">
        <f>IF($C150="","",IFERROR(IF(INDEX(Roster!$K:$K,MATCH($C150,Roster!$B:$B,0))="","",INDEX(Roster!$K:$K,MATCH($C150,Roster!$B:$B,0))&amp;""),"—"))</f>
        <v/>
      </c>
      <c r="M150" s="27" t="n"/>
      <c r="N150" s="27" t="n"/>
      <c r="O150" s="25">
        <f>IF($C150="","",IF($P150="","—",IF($P150="Valid (Pass)","Valid","Invalid")))</f>
        <v/>
      </c>
      <c r="P150" s="27" t="n"/>
      <c r="Q150" s="27" t="n"/>
      <c r="R150" s="27" t="n"/>
      <c r="S150" s="27" t="n"/>
      <c r="T150" s="25">
        <f>IF($C150="","",IF(OR(ISNUMBER(SEARCH("quick case",$P150)),ISNUMBER(SEARCH("quick case",$Q150))),"Yes","No"))</f>
        <v/>
      </c>
      <c r="U150" s="25">
        <f>IF($O150="Invalid",HYPERLINK("mailto:"&amp;$G150&amp;";"&amp;$I150&amp;"?cc="&amp;Lists!$E$2&amp;"&amp;subject="&amp;_xlfn.ENCODEURL("[INVALID] Quality audit monitoring completed for "&amp;UPPER($C150))&amp;"&amp;body="&amp;_xlfn.ENCODEURL("Hi "&amp;$F150&amp;","&amp;CHAR(10)&amp;"Good day!"&amp;CHAR(10)&amp;CHAR(10)&amp;"A quality monitoring audit has been completed for "&amp;$C150&amp;"."&amp;CHAR(10)&amp;CHAR(10)&amp;"QUALITY AUDIT DETAILS"&amp;CHAR(10)&amp;"Agent Name: "&amp;$C150&amp;" (EID "&amp;$D150&amp;")"&amp;CHAR(10)&amp;"Audit Date: "&amp;TEXT($B150,"yyyy-mm-dd")&amp;CHAR(10)&amp;"Team Leader: "&amp;$F150&amp;CHAR(10)&amp;"Case Number: "&amp;$M150&amp;CHAR(10)&amp;"Transaction ID: "&amp;$N150&amp;CHAR(10)&amp;"Channel / LOB: "&amp;$K150&amp;" / "&amp;$L150&amp;CHAR(10)&amp;"Evaluator: "&amp;$S150&amp;CHAR(10)&amp;CHAR(10)&amp;"INVALID QUALITY AUDIT DETAILS"&amp;CHAR(10)&amp;"Validation: Invalid"&amp;CHAR(10)&amp;"Invalid Reason: "&amp;$P150&amp;CHAR(10)&amp;"Expected Resolution Code: "&amp;$Q150&amp;CHAR(10)&amp;"Remarks: "&amp;LEFT($R150,600)&amp;CHAR(10)&amp;CHAR(10)&amp;"This is an automated notification from HP Mainstream EQMS."),"✉ Open Email Draft"),"")</f>
        <v/>
      </c>
    </row>
    <row r="151">
      <c r="A151" s="25">
        <f>IF($C151="","","AUD-2026-"&amp;TEXT(ROW()-1,"000000"))</f>
        <v/>
      </c>
      <c r="B151" s="26" t="n"/>
      <c r="C151" s="27" t="n"/>
      <c r="D151" s="25">
        <f>IF($C151="","",IFERROR(IF(INDEX(Roster!$A:$A,MATCH($C151,Roster!$B:$B,0))="","",INDEX(Roster!$A:$A,MATCH($C151,Roster!$B:$B,0))&amp;""),"—"))</f>
        <v/>
      </c>
      <c r="E151" s="25">
        <f>IF($C151="","",IFERROR(IF(INDEX(Roster!$C:$C,MATCH($C151,Roster!$B:$B,0))="","",INDEX(Roster!$C:$C,MATCH($C151,Roster!$B:$B,0))&amp;""),"—"))</f>
        <v/>
      </c>
      <c r="F151" s="25">
        <f>IF($C151="","",IFERROR(IF(INDEX(Roster!$D:$D,MATCH($C151,Roster!$B:$B,0))="","",INDEX(Roster!$D:$D,MATCH($C151,Roster!$B:$B,0))&amp;""),"—"))</f>
        <v/>
      </c>
      <c r="G151" s="25">
        <f>IF($C151="","",IFERROR(IF(INDEX(Roster!$E:$E,MATCH($C151,Roster!$B:$B,0))="","",INDEX(Roster!$E:$E,MATCH($C151,Roster!$B:$B,0))&amp;""),"—"))</f>
        <v/>
      </c>
      <c r="H151" s="25">
        <f>IF($C151="","",IFERROR(IF(INDEX(Roster!$F:$F,MATCH($C151,Roster!$B:$B,0))="","",INDEX(Roster!$F:$F,MATCH($C151,Roster!$B:$B,0))&amp;""),"—"))</f>
        <v/>
      </c>
      <c r="I151" s="25">
        <f>IF($C151="","",IFERROR(IF(INDEX(Roster!$G:$G,MATCH($C151,Roster!$B:$B,0))="","",INDEX(Roster!$G:$G,MATCH($C151,Roster!$B:$B,0))&amp;""),"—"))</f>
        <v/>
      </c>
      <c r="J151" s="25">
        <f>IF($C151="","",IFERROR(IF(INDEX(Roster!$I:$I,MATCH($C151,Roster!$B:$B,0))="","",INDEX(Roster!$I:$I,MATCH($C151,Roster!$B:$B,0))&amp;""),"—"))</f>
        <v/>
      </c>
      <c r="K151">
        <f>IF($C151="","",IFERROR(IF(INDEX(Roster!$J:$J,MATCH($C151,Roster!$B:$B,0))="","",INDEX(Roster!$J:$J,MATCH($C151,Roster!$B:$B,0))&amp;""),"—"))</f>
        <v/>
      </c>
      <c r="L151">
        <f>IF($C151="","",IFERROR(IF(INDEX(Roster!$K:$K,MATCH($C151,Roster!$B:$B,0))="","",INDEX(Roster!$K:$K,MATCH($C151,Roster!$B:$B,0))&amp;""),"—"))</f>
        <v/>
      </c>
      <c r="M151" s="27" t="n"/>
      <c r="N151" s="27" t="n"/>
      <c r="O151" s="25">
        <f>IF($C151="","",IF($P151="","—",IF($P151="Valid (Pass)","Valid","Invalid")))</f>
        <v/>
      </c>
      <c r="P151" s="27" t="n"/>
      <c r="Q151" s="27" t="n"/>
      <c r="R151" s="27" t="n"/>
      <c r="S151" s="27" t="n"/>
      <c r="T151" s="25">
        <f>IF($C151="","",IF(OR(ISNUMBER(SEARCH("quick case",$P151)),ISNUMBER(SEARCH("quick case",$Q151))),"Yes","No"))</f>
        <v/>
      </c>
      <c r="U151" s="25">
        <f>IF($O151="Invalid",HYPERLINK("mailto:"&amp;$G151&amp;";"&amp;$I151&amp;"?cc="&amp;Lists!$E$2&amp;"&amp;subject="&amp;_xlfn.ENCODEURL("[INVALID] Quality audit monitoring completed for "&amp;UPPER($C151))&amp;"&amp;body="&amp;_xlfn.ENCODEURL("Hi "&amp;$F151&amp;","&amp;CHAR(10)&amp;"Good day!"&amp;CHAR(10)&amp;CHAR(10)&amp;"A quality monitoring audit has been completed for "&amp;$C151&amp;"."&amp;CHAR(10)&amp;CHAR(10)&amp;"QUALITY AUDIT DETAILS"&amp;CHAR(10)&amp;"Agent Name: "&amp;$C151&amp;" (EID "&amp;$D151&amp;")"&amp;CHAR(10)&amp;"Audit Date: "&amp;TEXT($B151,"yyyy-mm-dd")&amp;CHAR(10)&amp;"Team Leader: "&amp;$F151&amp;CHAR(10)&amp;"Case Number: "&amp;$M151&amp;CHAR(10)&amp;"Transaction ID: "&amp;$N151&amp;CHAR(10)&amp;"Channel / LOB: "&amp;$K151&amp;" / "&amp;$L151&amp;CHAR(10)&amp;"Evaluator: "&amp;$S151&amp;CHAR(10)&amp;CHAR(10)&amp;"INVALID QUALITY AUDIT DETAILS"&amp;CHAR(10)&amp;"Validation: Invalid"&amp;CHAR(10)&amp;"Invalid Reason: "&amp;$P151&amp;CHAR(10)&amp;"Expected Resolution Code: "&amp;$Q151&amp;CHAR(10)&amp;"Remarks: "&amp;LEFT($R151,600)&amp;CHAR(10)&amp;CHAR(10)&amp;"This is an automated notification from HP Mainstream EQMS."),"✉ Open Email Draft"),"")</f>
        <v/>
      </c>
    </row>
    <row r="152">
      <c r="A152" s="25">
        <f>IF($C152="","","AUD-2026-"&amp;TEXT(ROW()-1,"000000"))</f>
        <v/>
      </c>
      <c r="B152" s="26" t="n"/>
      <c r="C152" s="27" t="n"/>
      <c r="D152" s="25">
        <f>IF($C152="","",IFERROR(IF(INDEX(Roster!$A:$A,MATCH($C152,Roster!$B:$B,0))="","",INDEX(Roster!$A:$A,MATCH($C152,Roster!$B:$B,0))&amp;""),"—"))</f>
        <v/>
      </c>
      <c r="E152" s="25">
        <f>IF($C152="","",IFERROR(IF(INDEX(Roster!$C:$C,MATCH($C152,Roster!$B:$B,0))="","",INDEX(Roster!$C:$C,MATCH($C152,Roster!$B:$B,0))&amp;""),"—"))</f>
        <v/>
      </c>
      <c r="F152" s="25">
        <f>IF($C152="","",IFERROR(IF(INDEX(Roster!$D:$D,MATCH($C152,Roster!$B:$B,0))="","",INDEX(Roster!$D:$D,MATCH($C152,Roster!$B:$B,0))&amp;""),"—"))</f>
        <v/>
      </c>
      <c r="G152" s="25">
        <f>IF($C152="","",IFERROR(IF(INDEX(Roster!$E:$E,MATCH($C152,Roster!$B:$B,0))="","",INDEX(Roster!$E:$E,MATCH($C152,Roster!$B:$B,0))&amp;""),"—"))</f>
        <v/>
      </c>
      <c r="H152" s="25">
        <f>IF($C152="","",IFERROR(IF(INDEX(Roster!$F:$F,MATCH($C152,Roster!$B:$B,0))="","",INDEX(Roster!$F:$F,MATCH($C152,Roster!$B:$B,0))&amp;""),"—"))</f>
        <v/>
      </c>
      <c r="I152" s="25">
        <f>IF($C152="","",IFERROR(IF(INDEX(Roster!$G:$G,MATCH($C152,Roster!$B:$B,0))="","",INDEX(Roster!$G:$G,MATCH($C152,Roster!$B:$B,0))&amp;""),"—"))</f>
        <v/>
      </c>
      <c r="J152" s="25">
        <f>IF($C152="","",IFERROR(IF(INDEX(Roster!$I:$I,MATCH($C152,Roster!$B:$B,0))="","",INDEX(Roster!$I:$I,MATCH($C152,Roster!$B:$B,0))&amp;""),"—"))</f>
        <v/>
      </c>
      <c r="K152">
        <f>IF($C152="","",IFERROR(IF(INDEX(Roster!$J:$J,MATCH($C152,Roster!$B:$B,0))="","",INDEX(Roster!$J:$J,MATCH($C152,Roster!$B:$B,0))&amp;""),"—"))</f>
        <v/>
      </c>
      <c r="L152">
        <f>IF($C152="","",IFERROR(IF(INDEX(Roster!$K:$K,MATCH($C152,Roster!$B:$B,0))="","",INDEX(Roster!$K:$K,MATCH($C152,Roster!$B:$B,0))&amp;""),"—"))</f>
        <v/>
      </c>
      <c r="M152" s="27" t="n"/>
      <c r="N152" s="27" t="n"/>
      <c r="O152" s="25">
        <f>IF($C152="","",IF($P152="","—",IF($P152="Valid (Pass)","Valid","Invalid")))</f>
        <v/>
      </c>
      <c r="P152" s="27" t="n"/>
      <c r="Q152" s="27" t="n"/>
      <c r="R152" s="27" t="n"/>
      <c r="S152" s="27" t="n"/>
      <c r="T152" s="25">
        <f>IF($C152="","",IF(OR(ISNUMBER(SEARCH("quick case",$P152)),ISNUMBER(SEARCH("quick case",$Q152))),"Yes","No"))</f>
        <v/>
      </c>
      <c r="U152" s="25">
        <f>IF($O152="Invalid",HYPERLINK("mailto:"&amp;$G152&amp;";"&amp;$I152&amp;"?cc="&amp;Lists!$E$2&amp;"&amp;subject="&amp;_xlfn.ENCODEURL("[INVALID] Quality audit monitoring completed for "&amp;UPPER($C152))&amp;"&amp;body="&amp;_xlfn.ENCODEURL("Hi "&amp;$F152&amp;","&amp;CHAR(10)&amp;"Good day!"&amp;CHAR(10)&amp;CHAR(10)&amp;"A quality monitoring audit has been completed for "&amp;$C152&amp;"."&amp;CHAR(10)&amp;CHAR(10)&amp;"QUALITY AUDIT DETAILS"&amp;CHAR(10)&amp;"Agent Name: "&amp;$C152&amp;" (EID "&amp;$D152&amp;")"&amp;CHAR(10)&amp;"Audit Date: "&amp;TEXT($B152,"yyyy-mm-dd")&amp;CHAR(10)&amp;"Team Leader: "&amp;$F152&amp;CHAR(10)&amp;"Case Number: "&amp;$M152&amp;CHAR(10)&amp;"Transaction ID: "&amp;$N152&amp;CHAR(10)&amp;"Channel / LOB: "&amp;$K152&amp;" / "&amp;$L152&amp;CHAR(10)&amp;"Evaluator: "&amp;$S152&amp;CHAR(10)&amp;CHAR(10)&amp;"INVALID QUALITY AUDIT DETAILS"&amp;CHAR(10)&amp;"Validation: Invalid"&amp;CHAR(10)&amp;"Invalid Reason: "&amp;$P152&amp;CHAR(10)&amp;"Expected Resolution Code: "&amp;$Q152&amp;CHAR(10)&amp;"Remarks: "&amp;LEFT($R152,600)&amp;CHAR(10)&amp;CHAR(10)&amp;"This is an automated notification from HP Mainstream EQMS."),"✉ Open Email Draft"),"")</f>
        <v/>
      </c>
    </row>
    <row r="153">
      <c r="A153" s="25">
        <f>IF($C153="","","AUD-2026-"&amp;TEXT(ROW()-1,"000000"))</f>
        <v/>
      </c>
      <c r="B153" s="26" t="n"/>
      <c r="C153" s="27" t="n"/>
      <c r="D153" s="25">
        <f>IF($C153="","",IFERROR(IF(INDEX(Roster!$A:$A,MATCH($C153,Roster!$B:$B,0))="","",INDEX(Roster!$A:$A,MATCH($C153,Roster!$B:$B,0))&amp;""),"—"))</f>
        <v/>
      </c>
      <c r="E153" s="25">
        <f>IF($C153="","",IFERROR(IF(INDEX(Roster!$C:$C,MATCH($C153,Roster!$B:$B,0))="","",INDEX(Roster!$C:$C,MATCH($C153,Roster!$B:$B,0))&amp;""),"—"))</f>
        <v/>
      </c>
      <c r="F153" s="25">
        <f>IF($C153="","",IFERROR(IF(INDEX(Roster!$D:$D,MATCH($C153,Roster!$B:$B,0))="","",INDEX(Roster!$D:$D,MATCH($C153,Roster!$B:$B,0))&amp;""),"—"))</f>
        <v/>
      </c>
      <c r="G153" s="25">
        <f>IF($C153="","",IFERROR(IF(INDEX(Roster!$E:$E,MATCH($C153,Roster!$B:$B,0))="","",INDEX(Roster!$E:$E,MATCH($C153,Roster!$B:$B,0))&amp;""),"—"))</f>
        <v/>
      </c>
      <c r="H153" s="25">
        <f>IF($C153="","",IFERROR(IF(INDEX(Roster!$F:$F,MATCH($C153,Roster!$B:$B,0))="","",INDEX(Roster!$F:$F,MATCH($C153,Roster!$B:$B,0))&amp;""),"—"))</f>
        <v/>
      </c>
      <c r="I153" s="25">
        <f>IF($C153="","",IFERROR(IF(INDEX(Roster!$G:$G,MATCH($C153,Roster!$B:$B,0))="","",INDEX(Roster!$G:$G,MATCH($C153,Roster!$B:$B,0))&amp;""),"—"))</f>
        <v/>
      </c>
      <c r="J153" s="25">
        <f>IF($C153="","",IFERROR(IF(INDEX(Roster!$I:$I,MATCH($C153,Roster!$B:$B,0))="","",INDEX(Roster!$I:$I,MATCH($C153,Roster!$B:$B,0))&amp;""),"—"))</f>
        <v/>
      </c>
      <c r="K153">
        <f>IF($C153="","",IFERROR(IF(INDEX(Roster!$J:$J,MATCH($C153,Roster!$B:$B,0))="","",INDEX(Roster!$J:$J,MATCH($C153,Roster!$B:$B,0))&amp;""),"—"))</f>
        <v/>
      </c>
      <c r="L153">
        <f>IF($C153="","",IFERROR(IF(INDEX(Roster!$K:$K,MATCH($C153,Roster!$B:$B,0))="","",INDEX(Roster!$K:$K,MATCH($C153,Roster!$B:$B,0))&amp;""),"—"))</f>
        <v/>
      </c>
      <c r="M153" s="27" t="n"/>
      <c r="N153" s="27" t="n"/>
      <c r="O153" s="25">
        <f>IF($C153="","",IF($P153="","—",IF($P153="Valid (Pass)","Valid","Invalid")))</f>
        <v/>
      </c>
      <c r="P153" s="27" t="n"/>
      <c r="Q153" s="27" t="n"/>
      <c r="R153" s="27" t="n"/>
      <c r="S153" s="27" t="n"/>
      <c r="T153" s="25">
        <f>IF($C153="","",IF(OR(ISNUMBER(SEARCH("quick case",$P153)),ISNUMBER(SEARCH("quick case",$Q153))),"Yes","No"))</f>
        <v/>
      </c>
      <c r="U153" s="25">
        <f>IF($O153="Invalid",HYPERLINK("mailto:"&amp;$G153&amp;";"&amp;$I153&amp;"?cc="&amp;Lists!$E$2&amp;"&amp;subject="&amp;_xlfn.ENCODEURL("[INVALID] Quality audit monitoring completed for "&amp;UPPER($C153))&amp;"&amp;body="&amp;_xlfn.ENCODEURL("Hi "&amp;$F153&amp;","&amp;CHAR(10)&amp;"Good day!"&amp;CHAR(10)&amp;CHAR(10)&amp;"A quality monitoring audit has been completed for "&amp;$C153&amp;"."&amp;CHAR(10)&amp;CHAR(10)&amp;"QUALITY AUDIT DETAILS"&amp;CHAR(10)&amp;"Agent Name: "&amp;$C153&amp;" (EID "&amp;$D153&amp;")"&amp;CHAR(10)&amp;"Audit Date: "&amp;TEXT($B153,"yyyy-mm-dd")&amp;CHAR(10)&amp;"Team Leader: "&amp;$F153&amp;CHAR(10)&amp;"Case Number: "&amp;$M153&amp;CHAR(10)&amp;"Transaction ID: "&amp;$N153&amp;CHAR(10)&amp;"Channel / LOB: "&amp;$K153&amp;" / "&amp;$L153&amp;CHAR(10)&amp;"Evaluator: "&amp;$S153&amp;CHAR(10)&amp;CHAR(10)&amp;"INVALID QUALITY AUDIT DETAILS"&amp;CHAR(10)&amp;"Validation: Invalid"&amp;CHAR(10)&amp;"Invalid Reason: "&amp;$P153&amp;CHAR(10)&amp;"Expected Resolution Code: "&amp;$Q153&amp;CHAR(10)&amp;"Remarks: "&amp;LEFT($R153,600)&amp;CHAR(10)&amp;CHAR(10)&amp;"This is an automated notification from HP Mainstream EQMS."),"✉ Open Email Draft"),"")</f>
        <v/>
      </c>
    </row>
    <row r="154">
      <c r="A154" s="25">
        <f>IF($C154="","","AUD-2026-"&amp;TEXT(ROW()-1,"000000"))</f>
        <v/>
      </c>
      <c r="B154" s="26" t="n"/>
      <c r="C154" s="27" t="n"/>
      <c r="D154" s="25">
        <f>IF($C154="","",IFERROR(IF(INDEX(Roster!$A:$A,MATCH($C154,Roster!$B:$B,0))="","",INDEX(Roster!$A:$A,MATCH($C154,Roster!$B:$B,0))&amp;""),"—"))</f>
        <v/>
      </c>
      <c r="E154" s="25">
        <f>IF($C154="","",IFERROR(IF(INDEX(Roster!$C:$C,MATCH($C154,Roster!$B:$B,0))="","",INDEX(Roster!$C:$C,MATCH($C154,Roster!$B:$B,0))&amp;""),"—"))</f>
        <v/>
      </c>
      <c r="F154" s="25">
        <f>IF($C154="","",IFERROR(IF(INDEX(Roster!$D:$D,MATCH($C154,Roster!$B:$B,0))="","",INDEX(Roster!$D:$D,MATCH($C154,Roster!$B:$B,0))&amp;""),"—"))</f>
        <v/>
      </c>
      <c r="G154" s="25">
        <f>IF($C154="","",IFERROR(IF(INDEX(Roster!$E:$E,MATCH($C154,Roster!$B:$B,0))="","",INDEX(Roster!$E:$E,MATCH($C154,Roster!$B:$B,0))&amp;""),"—"))</f>
        <v/>
      </c>
      <c r="H154" s="25">
        <f>IF($C154="","",IFERROR(IF(INDEX(Roster!$F:$F,MATCH($C154,Roster!$B:$B,0))="","",INDEX(Roster!$F:$F,MATCH($C154,Roster!$B:$B,0))&amp;""),"—"))</f>
        <v/>
      </c>
      <c r="I154" s="25">
        <f>IF($C154="","",IFERROR(IF(INDEX(Roster!$G:$G,MATCH($C154,Roster!$B:$B,0))="","",INDEX(Roster!$G:$G,MATCH($C154,Roster!$B:$B,0))&amp;""),"—"))</f>
        <v/>
      </c>
      <c r="J154" s="25">
        <f>IF($C154="","",IFERROR(IF(INDEX(Roster!$I:$I,MATCH($C154,Roster!$B:$B,0))="","",INDEX(Roster!$I:$I,MATCH($C154,Roster!$B:$B,0))&amp;""),"—"))</f>
        <v/>
      </c>
      <c r="K154">
        <f>IF($C154="","",IFERROR(IF(INDEX(Roster!$J:$J,MATCH($C154,Roster!$B:$B,0))="","",INDEX(Roster!$J:$J,MATCH($C154,Roster!$B:$B,0))&amp;""),"—"))</f>
        <v/>
      </c>
      <c r="L154">
        <f>IF($C154="","",IFERROR(IF(INDEX(Roster!$K:$K,MATCH($C154,Roster!$B:$B,0))="","",INDEX(Roster!$K:$K,MATCH($C154,Roster!$B:$B,0))&amp;""),"—"))</f>
        <v/>
      </c>
      <c r="M154" s="27" t="n"/>
      <c r="N154" s="27" t="n"/>
      <c r="O154" s="25">
        <f>IF($C154="","",IF($P154="","—",IF($P154="Valid (Pass)","Valid","Invalid")))</f>
        <v/>
      </c>
      <c r="P154" s="27" t="n"/>
      <c r="Q154" s="27" t="n"/>
      <c r="R154" s="27" t="n"/>
      <c r="S154" s="27" t="n"/>
      <c r="T154" s="25">
        <f>IF($C154="","",IF(OR(ISNUMBER(SEARCH("quick case",$P154)),ISNUMBER(SEARCH("quick case",$Q154))),"Yes","No"))</f>
        <v/>
      </c>
      <c r="U154" s="25">
        <f>IF($O154="Invalid",HYPERLINK("mailto:"&amp;$G154&amp;";"&amp;$I154&amp;"?cc="&amp;Lists!$E$2&amp;"&amp;subject="&amp;_xlfn.ENCODEURL("[INVALID] Quality audit monitoring completed for "&amp;UPPER($C154))&amp;"&amp;body="&amp;_xlfn.ENCODEURL("Hi "&amp;$F154&amp;","&amp;CHAR(10)&amp;"Good day!"&amp;CHAR(10)&amp;CHAR(10)&amp;"A quality monitoring audit has been completed for "&amp;$C154&amp;"."&amp;CHAR(10)&amp;CHAR(10)&amp;"QUALITY AUDIT DETAILS"&amp;CHAR(10)&amp;"Agent Name: "&amp;$C154&amp;" (EID "&amp;$D154&amp;")"&amp;CHAR(10)&amp;"Audit Date: "&amp;TEXT($B154,"yyyy-mm-dd")&amp;CHAR(10)&amp;"Team Leader: "&amp;$F154&amp;CHAR(10)&amp;"Case Number: "&amp;$M154&amp;CHAR(10)&amp;"Transaction ID: "&amp;$N154&amp;CHAR(10)&amp;"Channel / LOB: "&amp;$K154&amp;" / "&amp;$L154&amp;CHAR(10)&amp;"Evaluator: "&amp;$S154&amp;CHAR(10)&amp;CHAR(10)&amp;"INVALID QUALITY AUDIT DETAILS"&amp;CHAR(10)&amp;"Validation: Invalid"&amp;CHAR(10)&amp;"Invalid Reason: "&amp;$P154&amp;CHAR(10)&amp;"Expected Resolution Code: "&amp;$Q154&amp;CHAR(10)&amp;"Remarks: "&amp;LEFT($R154,600)&amp;CHAR(10)&amp;CHAR(10)&amp;"This is an automated notification from HP Mainstream EQMS."),"✉ Open Email Draft"),"")</f>
        <v/>
      </c>
    </row>
    <row r="155">
      <c r="A155" s="25">
        <f>IF($C155="","","AUD-2026-"&amp;TEXT(ROW()-1,"000000"))</f>
        <v/>
      </c>
      <c r="B155" s="26" t="n"/>
      <c r="C155" s="27" t="n"/>
      <c r="D155" s="25">
        <f>IF($C155="","",IFERROR(IF(INDEX(Roster!$A:$A,MATCH($C155,Roster!$B:$B,0))="","",INDEX(Roster!$A:$A,MATCH($C155,Roster!$B:$B,0))&amp;""),"—"))</f>
        <v/>
      </c>
      <c r="E155" s="25">
        <f>IF($C155="","",IFERROR(IF(INDEX(Roster!$C:$C,MATCH($C155,Roster!$B:$B,0))="","",INDEX(Roster!$C:$C,MATCH($C155,Roster!$B:$B,0))&amp;""),"—"))</f>
        <v/>
      </c>
      <c r="F155" s="25">
        <f>IF($C155="","",IFERROR(IF(INDEX(Roster!$D:$D,MATCH($C155,Roster!$B:$B,0))="","",INDEX(Roster!$D:$D,MATCH($C155,Roster!$B:$B,0))&amp;""),"—"))</f>
        <v/>
      </c>
      <c r="G155" s="25">
        <f>IF($C155="","",IFERROR(IF(INDEX(Roster!$E:$E,MATCH($C155,Roster!$B:$B,0))="","",INDEX(Roster!$E:$E,MATCH($C155,Roster!$B:$B,0))&amp;""),"—"))</f>
        <v/>
      </c>
      <c r="H155" s="25">
        <f>IF($C155="","",IFERROR(IF(INDEX(Roster!$F:$F,MATCH($C155,Roster!$B:$B,0))="","",INDEX(Roster!$F:$F,MATCH($C155,Roster!$B:$B,0))&amp;""),"—"))</f>
        <v/>
      </c>
      <c r="I155" s="25">
        <f>IF($C155="","",IFERROR(IF(INDEX(Roster!$G:$G,MATCH($C155,Roster!$B:$B,0))="","",INDEX(Roster!$G:$G,MATCH($C155,Roster!$B:$B,0))&amp;""),"—"))</f>
        <v/>
      </c>
      <c r="J155" s="25">
        <f>IF($C155="","",IFERROR(IF(INDEX(Roster!$I:$I,MATCH($C155,Roster!$B:$B,0))="","",INDEX(Roster!$I:$I,MATCH($C155,Roster!$B:$B,0))&amp;""),"—"))</f>
        <v/>
      </c>
      <c r="K155">
        <f>IF($C155="","",IFERROR(IF(INDEX(Roster!$J:$J,MATCH($C155,Roster!$B:$B,0))="","",INDEX(Roster!$J:$J,MATCH($C155,Roster!$B:$B,0))&amp;""),"—"))</f>
        <v/>
      </c>
      <c r="L155">
        <f>IF($C155="","",IFERROR(IF(INDEX(Roster!$K:$K,MATCH($C155,Roster!$B:$B,0))="","",INDEX(Roster!$K:$K,MATCH($C155,Roster!$B:$B,0))&amp;""),"—"))</f>
        <v/>
      </c>
      <c r="M155" s="27" t="n"/>
      <c r="N155" s="27" t="n"/>
      <c r="O155" s="25">
        <f>IF($C155="","",IF($P155="","—",IF($P155="Valid (Pass)","Valid","Invalid")))</f>
        <v/>
      </c>
      <c r="P155" s="27" t="n"/>
      <c r="Q155" s="27" t="n"/>
      <c r="R155" s="27" t="n"/>
      <c r="S155" s="27" t="n"/>
      <c r="T155" s="25">
        <f>IF($C155="","",IF(OR(ISNUMBER(SEARCH("quick case",$P155)),ISNUMBER(SEARCH("quick case",$Q155))),"Yes","No"))</f>
        <v/>
      </c>
      <c r="U155" s="25">
        <f>IF($O155="Invalid",HYPERLINK("mailto:"&amp;$G155&amp;";"&amp;$I155&amp;"?cc="&amp;Lists!$E$2&amp;"&amp;subject="&amp;_xlfn.ENCODEURL("[INVALID] Quality audit monitoring completed for "&amp;UPPER($C155))&amp;"&amp;body="&amp;_xlfn.ENCODEURL("Hi "&amp;$F155&amp;","&amp;CHAR(10)&amp;"Good day!"&amp;CHAR(10)&amp;CHAR(10)&amp;"A quality monitoring audit has been completed for "&amp;$C155&amp;"."&amp;CHAR(10)&amp;CHAR(10)&amp;"QUALITY AUDIT DETAILS"&amp;CHAR(10)&amp;"Agent Name: "&amp;$C155&amp;" (EID "&amp;$D155&amp;")"&amp;CHAR(10)&amp;"Audit Date: "&amp;TEXT($B155,"yyyy-mm-dd")&amp;CHAR(10)&amp;"Team Leader: "&amp;$F155&amp;CHAR(10)&amp;"Case Number: "&amp;$M155&amp;CHAR(10)&amp;"Transaction ID: "&amp;$N155&amp;CHAR(10)&amp;"Channel / LOB: "&amp;$K155&amp;" / "&amp;$L155&amp;CHAR(10)&amp;"Evaluator: "&amp;$S155&amp;CHAR(10)&amp;CHAR(10)&amp;"INVALID QUALITY AUDIT DETAILS"&amp;CHAR(10)&amp;"Validation: Invalid"&amp;CHAR(10)&amp;"Invalid Reason: "&amp;$P155&amp;CHAR(10)&amp;"Expected Resolution Code: "&amp;$Q155&amp;CHAR(10)&amp;"Remarks: "&amp;LEFT($R155,600)&amp;CHAR(10)&amp;CHAR(10)&amp;"This is an automated notification from HP Mainstream EQMS."),"✉ Open Email Draft"),"")</f>
        <v/>
      </c>
    </row>
    <row r="156">
      <c r="A156" s="25">
        <f>IF($C156="","","AUD-2026-"&amp;TEXT(ROW()-1,"000000"))</f>
        <v/>
      </c>
      <c r="B156" s="26" t="n"/>
      <c r="C156" s="27" t="n"/>
      <c r="D156" s="25">
        <f>IF($C156="","",IFERROR(IF(INDEX(Roster!$A:$A,MATCH($C156,Roster!$B:$B,0))="","",INDEX(Roster!$A:$A,MATCH($C156,Roster!$B:$B,0))&amp;""),"—"))</f>
        <v/>
      </c>
      <c r="E156" s="25">
        <f>IF($C156="","",IFERROR(IF(INDEX(Roster!$C:$C,MATCH($C156,Roster!$B:$B,0))="","",INDEX(Roster!$C:$C,MATCH($C156,Roster!$B:$B,0))&amp;""),"—"))</f>
        <v/>
      </c>
      <c r="F156" s="25">
        <f>IF($C156="","",IFERROR(IF(INDEX(Roster!$D:$D,MATCH($C156,Roster!$B:$B,0))="","",INDEX(Roster!$D:$D,MATCH($C156,Roster!$B:$B,0))&amp;""),"—"))</f>
        <v/>
      </c>
      <c r="G156" s="25">
        <f>IF($C156="","",IFERROR(IF(INDEX(Roster!$E:$E,MATCH($C156,Roster!$B:$B,0))="","",INDEX(Roster!$E:$E,MATCH($C156,Roster!$B:$B,0))&amp;""),"—"))</f>
        <v/>
      </c>
      <c r="H156" s="25">
        <f>IF($C156="","",IFERROR(IF(INDEX(Roster!$F:$F,MATCH($C156,Roster!$B:$B,0))="","",INDEX(Roster!$F:$F,MATCH($C156,Roster!$B:$B,0))&amp;""),"—"))</f>
        <v/>
      </c>
      <c r="I156" s="25">
        <f>IF($C156="","",IFERROR(IF(INDEX(Roster!$G:$G,MATCH($C156,Roster!$B:$B,0))="","",INDEX(Roster!$G:$G,MATCH($C156,Roster!$B:$B,0))&amp;""),"—"))</f>
        <v/>
      </c>
      <c r="J156" s="25">
        <f>IF($C156="","",IFERROR(IF(INDEX(Roster!$I:$I,MATCH($C156,Roster!$B:$B,0))="","",INDEX(Roster!$I:$I,MATCH($C156,Roster!$B:$B,0))&amp;""),"—"))</f>
        <v/>
      </c>
      <c r="K156">
        <f>IF($C156="","",IFERROR(IF(INDEX(Roster!$J:$J,MATCH($C156,Roster!$B:$B,0))="","",INDEX(Roster!$J:$J,MATCH($C156,Roster!$B:$B,0))&amp;""),"—"))</f>
        <v/>
      </c>
      <c r="L156">
        <f>IF($C156="","",IFERROR(IF(INDEX(Roster!$K:$K,MATCH($C156,Roster!$B:$B,0))="","",INDEX(Roster!$K:$K,MATCH($C156,Roster!$B:$B,0))&amp;""),"—"))</f>
        <v/>
      </c>
      <c r="M156" s="27" t="n"/>
      <c r="N156" s="27" t="n"/>
      <c r="O156" s="25">
        <f>IF($C156="","",IF($P156="","—",IF($P156="Valid (Pass)","Valid","Invalid")))</f>
        <v/>
      </c>
      <c r="P156" s="27" t="n"/>
      <c r="Q156" s="27" t="n"/>
      <c r="R156" s="27" t="n"/>
      <c r="S156" s="27" t="n"/>
      <c r="T156" s="25">
        <f>IF($C156="","",IF(OR(ISNUMBER(SEARCH("quick case",$P156)),ISNUMBER(SEARCH("quick case",$Q156))),"Yes","No"))</f>
        <v/>
      </c>
      <c r="U156" s="25">
        <f>IF($O156="Invalid",HYPERLINK("mailto:"&amp;$G156&amp;";"&amp;$I156&amp;"?cc="&amp;Lists!$E$2&amp;"&amp;subject="&amp;_xlfn.ENCODEURL("[INVALID] Quality audit monitoring completed for "&amp;UPPER($C156))&amp;"&amp;body="&amp;_xlfn.ENCODEURL("Hi "&amp;$F156&amp;","&amp;CHAR(10)&amp;"Good day!"&amp;CHAR(10)&amp;CHAR(10)&amp;"A quality monitoring audit has been completed for "&amp;$C156&amp;"."&amp;CHAR(10)&amp;CHAR(10)&amp;"QUALITY AUDIT DETAILS"&amp;CHAR(10)&amp;"Agent Name: "&amp;$C156&amp;" (EID "&amp;$D156&amp;")"&amp;CHAR(10)&amp;"Audit Date: "&amp;TEXT($B156,"yyyy-mm-dd")&amp;CHAR(10)&amp;"Team Leader: "&amp;$F156&amp;CHAR(10)&amp;"Case Number: "&amp;$M156&amp;CHAR(10)&amp;"Transaction ID: "&amp;$N156&amp;CHAR(10)&amp;"Channel / LOB: "&amp;$K156&amp;" / "&amp;$L156&amp;CHAR(10)&amp;"Evaluator: "&amp;$S156&amp;CHAR(10)&amp;CHAR(10)&amp;"INVALID QUALITY AUDIT DETAILS"&amp;CHAR(10)&amp;"Validation: Invalid"&amp;CHAR(10)&amp;"Invalid Reason: "&amp;$P156&amp;CHAR(10)&amp;"Expected Resolution Code: "&amp;$Q156&amp;CHAR(10)&amp;"Remarks: "&amp;LEFT($R156,600)&amp;CHAR(10)&amp;CHAR(10)&amp;"This is an automated notification from HP Mainstream EQMS."),"✉ Open Email Draft"),"")</f>
        <v/>
      </c>
    </row>
    <row r="157">
      <c r="A157" s="25">
        <f>IF($C157="","","AUD-2026-"&amp;TEXT(ROW()-1,"000000"))</f>
        <v/>
      </c>
      <c r="B157" s="26" t="n"/>
      <c r="C157" s="27" t="n"/>
      <c r="D157" s="25">
        <f>IF($C157="","",IFERROR(IF(INDEX(Roster!$A:$A,MATCH($C157,Roster!$B:$B,0))="","",INDEX(Roster!$A:$A,MATCH($C157,Roster!$B:$B,0))&amp;""),"—"))</f>
        <v/>
      </c>
      <c r="E157" s="25">
        <f>IF($C157="","",IFERROR(IF(INDEX(Roster!$C:$C,MATCH($C157,Roster!$B:$B,0))="","",INDEX(Roster!$C:$C,MATCH($C157,Roster!$B:$B,0))&amp;""),"—"))</f>
        <v/>
      </c>
      <c r="F157" s="25">
        <f>IF($C157="","",IFERROR(IF(INDEX(Roster!$D:$D,MATCH($C157,Roster!$B:$B,0))="","",INDEX(Roster!$D:$D,MATCH($C157,Roster!$B:$B,0))&amp;""),"—"))</f>
        <v/>
      </c>
      <c r="G157" s="25">
        <f>IF($C157="","",IFERROR(IF(INDEX(Roster!$E:$E,MATCH($C157,Roster!$B:$B,0))="","",INDEX(Roster!$E:$E,MATCH($C157,Roster!$B:$B,0))&amp;""),"—"))</f>
        <v/>
      </c>
      <c r="H157" s="25">
        <f>IF($C157="","",IFERROR(IF(INDEX(Roster!$F:$F,MATCH($C157,Roster!$B:$B,0))="","",INDEX(Roster!$F:$F,MATCH($C157,Roster!$B:$B,0))&amp;""),"—"))</f>
        <v/>
      </c>
      <c r="I157" s="25">
        <f>IF($C157="","",IFERROR(IF(INDEX(Roster!$G:$G,MATCH($C157,Roster!$B:$B,0))="","",INDEX(Roster!$G:$G,MATCH($C157,Roster!$B:$B,0))&amp;""),"—"))</f>
        <v/>
      </c>
      <c r="J157" s="25">
        <f>IF($C157="","",IFERROR(IF(INDEX(Roster!$I:$I,MATCH($C157,Roster!$B:$B,0))="","",INDEX(Roster!$I:$I,MATCH($C157,Roster!$B:$B,0))&amp;""),"—"))</f>
        <v/>
      </c>
      <c r="K157">
        <f>IF($C157="","",IFERROR(IF(INDEX(Roster!$J:$J,MATCH($C157,Roster!$B:$B,0))="","",INDEX(Roster!$J:$J,MATCH($C157,Roster!$B:$B,0))&amp;""),"—"))</f>
        <v/>
      </c>
      <c r="L157">
        <f>IF($C157="","",IFERROR(IF(INDEX(Roster!$K:$K,MATCH($C157,Roster!$B:$B,0))="","",INDEX(Roster!$K:$K,MATCH($C157,Roster!$B:$B,0))&amp;""),"—"))</f>
        <v/>
      </c>
      <c r="M157" s="27" t="n"/>
      <c r="N157" s="27" t="n"/>
      <c r="O157" s="25">
        <f>IF($C157="","",IF($P157="","—",IF($P157="Valid (Pass)","Valid","Invalid")))</f>
        <v/>
      </c>
      <c r="P157" s="27" t="n"/>
      <c r="Q157" s="27" t="n"/>
      <c r="R157" s="27" t="n"/>
      <c r="S157" s="27" t="n"/>
      <c r="T157" s="25">
        <f>IF($C157="","",IF(OR(ISNUMBER(SEARCH("quick case",$P157)),ISNUMBER(SEARCH("quick case",$Q157))),"Yes","No"))</f>
        <v/>
      </c>
      <c r="U157" s="25">
        <f>IF($O157="Invalid",HYPERLINK("mailto:"&amp;$G157&amp;";"&amp;$I157&amp;"?cc="&amp;Lists!$E$2&amp;"&amp;subject="&amp;_xlfn.ENCODEURL("[INVALID] Quality audit monitoring completed for "&amp;UPPER($C157))&amp;"&amp;body="&amp;_xlfn.ENCODEURL("Hi "&amp;$F157&amp;","&amp;CHAR(10)&amp;"Good day!"&amp;CHAR(10)&amp;CHAR(10)&amp;"A quality monitoring audit has been completed for "&amp;$C157&amp;"."&amp;CHAR(10)&amp;CHAR(10)&amp;"QUALITY AUDIT DETAILS"&amp;CHAR(10)&amp;"Agent Name: "&amp;$C157&amp;" (EID "&amp;$D157&amp;")"&amp;CHAR(10)&amp;"Audit Date: "&amp;TEXT($B157,"yyyy-mm-dd")&amp;CHAR(10)&amp;"Team Leader: "&amp;$F157&amp;CHAR(10)&amp;"Case Number: "&amp;$M157&amp;CHAR(10)&amp;"Transaction ID: "&amp;$N157&amp;CHAR(10)&amp;"Channel / LOB: "&amp;$K157&amp;" / "&amp;$L157&amp;CHAR(10)&amp;"Evaluator: "&amp;$S157&amp;CHAR(10)&amp;CHAR(10)&amp;"INVALID QUALITY AUDIT DETAILS"&amp;CHAR(10)&amp;"Validation: Invalid"&amp;CHAR(10)&amp;"Invalid Reason: "&amp;$P157&amp;CHAR(10)&amp;"Expected Resolution Code: "&amp;$Q157&amp;CHAR(10)&amp;"Remarks: "&amp;LEFT($R157,600)&amp;CHAR(10)&amp;CHAR(10)&amp;"This is an automated notification from HP Mainstream EQMS."),"✉ Open Email Draft"),"")</f>
        <v/>
      </c>
    </row>
    <row r="158">
      <c r="A158" s="25">
        <f>IF($C158="","","AUD-2026-"&amp;TEXT(ROW()-1,"000000"))</f>
        <v/>
      </c>
      <c r="B158" s="26" t="n"/>
      <c r="C158" s="27" t="n"/>
      <c r="D158" s="25">
        <f>IF($C158="","",IFERROR(IF(INDEX(Roster!$A:$A,MATCH($C158,Roster!$B:$B,0))="","",INDEX(Roster!$A:$A,MATCH($C158,Roster!$B:$B,0))&amp;""),"—"))</f>
        <v/>
      </c>
      <c r="E158" s="25">
        <f>IF($C158="","",IFERROR(IF(INDEX(Roster!$C:$C,MATCH($C158,Roster!$B:$B,0))="","",INDEX(Roster!$C:$C,MATCH($C158,Roster!$B:$B,0))&amp;""),"—"))</f>
        <v/>
      </c>
      <c r="F158" s="25">
        <f>IF($C158="","",IFERROR(IF(INDEX(Roster!$D:$D,MATCH($C158,Roster!$B:$B,0))="","",INDEX(Roster!$D:$D,MATCH($C158,Roster!$B:$B,0))&amp;""),"—"))</f>
        <v/>
      </c>
      <c r="G158" s="25">
        <f>IF($C158="","",IFERROR(IF(INDEX(Roster!$E:$E,MATCH($C158,Roster!$B:$B,0))="","",INDEX(Roster!$E:$E,MATCH($C158,Roster!$B:$B,0))&amp;""),"—"))</f>
        <v/>
      </c>
      <c r="H158" s="25">
        <f>IF($C158="","",IFERROR(IF(INDEX(Roster!$F:$F,MATCH($C158,Roster!$B:$B,0))="","",INDEX(Roster!$F:$F,MATCH($C158,Roster!$B:$B,0))&amp;""),"—"))</f>
        <v/>
      </c>
      <c r="I158" s="25">
        <f>IF($C158="","",IFERROR(IF(INDEX(Roster!$G:$G,MATCH($C158,Roster!$B:$B,0))="","",INDEX(Roster!$G:$G,MATCH($C158,Roster!$B:$B,0))&amp;""),"—"))</f>
        <v/>
      </c>
      <c r="J158" s="25">
        <f>IF($C158="","",IFERROR(IF(INDEX(Roster!$I:$I,MATCH($C158,Roster!$B:$B,0))="","",INDEX(Roster!$I:$I,MATCH($C158,Roster!$B:$B,0))&amp;""),"—"))</f>
        <v/>
      </c>
      <c r="K158">
        <f>IF($C158="","",IFERROR(IF(INDEX(Roster!$J:$J,MATCH($C158,Roster!$B:$B,0))="","",INDEX(Roster!$J:$J,MATCH($C158,Roster!$B:$B,0))&amp;""),"—"))</f>
        <v/>
      </c>
      <c r="L158">
        <f>IF($C158="","",IFERROR(IF(INDEX(Roster!$K:$K,MATCH($C158,Roster!$B:$B,0))="","",INDEX(Roster!$K:$K,MATCH($C158,Roster!$B:$B,0))&amp;""),"—"))</f>
        <v/>
      </c>
      <c r="M158" s="27" t="n"/>
      <c r="N158" s="27" t="n"/>
      <c r="O158" s="25">
        <f>IF($C158="","",IF($P158="","—",IF($P158="Valid (Pass)","Valid","Invalid")))</f>
        <v/>
      </c>
      <c r="P158" s="27" t="n"/>
      <c r="Q158" s="27" t="n"/>
      <c r="R158" s="27" t="n"/>
      <c r="S158" s="27" t="n"/>
      <c r="T158" s="25">
        <f>IF($C158="","",IF(OR(ISNUMBER(SEARCH("quick case",$P158)),ISNUMBER(SEARCH("quick case",$Q158))),"Yes","No"))</f>
        <v/>
      </c>
      <c r="U158" s="25">
        <f>IF($O158="Invalid",HYPERLINK("mailto:"&amp;$G158&amp;";"&amp;$I158&amp;"?cc="&amp;Lists!$E$2&amp;"&amp;subject="&amp;_xlfn.ENCODEURL("[INVALID] Quality audit monitoring completed for "&amp;UPPER($C158))&amp;"&amp;body="&amp;_xlfn.ENCODEURL("Hi "&amp;$F158&amp;","&amp;CHAR(10)&amp;"Good day!"&amp;CHAR(10)&amp;CHAR(10)&amp;"A quality monitoring audit has been completed for "&amp;$C158&amp;"."&amp;CHAR(10)&amp;CHAR(10)&amp;"QUALITY AUDIT DETAILS"&amp;CHAR(10)&amp;"Agent Name: "&amp;$C158&amp;" (EID "&amp;$D158&amp;")"&amp;CHAR(10)&amp;"Audit Date: "&amp;TEXT($B158,"yyyy-mm-dd")&amp;CHAR(10)&amp;"Team Leader: "&amp;$F158&amp;CHAR(10)&amp;"Case Number: "&amp;$M158&amp;CHAR(10)&amp;"Transaction ID: "&amp;$N158&amp;CHAR(10)&amp;"Channel / LOB: "&amp;$K158&amp;" / "&amp;$L158&amp;CHAR(10)&amp;"Evaluator: "&amp;$S158&amp;CHAR(10)&amp;CHAR(10)&amp;"INVALID QUALITY AUDIT DETAILS"&amp;CHAR(10)&amp;"Validation: Invalid"&amp;CHAR(10)&amp;"Invalid Reason: "&amp;$P158&amp;CHAR(10)&amp;"Expected Resolution Code: "&amp;$Q158&amp;CHAR(10)&amp;"Remarks: "&amp;LEFT($R158,600)&amp;CHAR(10)&amp;CHAR(10)&amp;"This is an automated notification from HP Mainstream EQMS."),"✉ Open Email Draft"),"")</f>
        <v/>
      </c>
    </row>
    <row r="159">
      <c r="A159" s="25">
        <f>IF($C159="","","AUD-2026-"&amp;TEXT(ROW()-1,"000000"))</f>
        <v/>
      </c>
      <c r="B159" s="26" t="n"/>
      <c r="C159" s="27" t="n"/>
      <c r="D159" s="25">
        <f>IF($C159="","",IFERROR(IF(INDEX(Roster!$A:$A,MATCH($C159,Roster!$B:$B,0))="","",INDEX(Roster!$A:$A,MATCH($C159,Roster!$B:$B,0))&amp;""),"—"))</f>
        <v/>
      </c>
      <c r="E159" s="25">
        <f>IF($C159="","",IFERROR(IF(INDEX(Roster!$C:$C,MATCH($C159,Roster!$B:$B,0))="","",INDEX(Roster!$C:$C,MATCH($C159,Roster!$B:$B,0))&amp;""),"—"))</f>
        <v/>
      </c>
      <c r="F159" s="25">
        <f>IF($C159="","",IFERROR(IF(INDEX(Roster!$D:$D,MATCH($C159,Roster!$B:$B,0))="","",INDEX(Roster!$D:$D,MATCH($C159,Roster!$B:$B,0))&amp;""),"—"))</f>
        <v/>
      </c>
      <c r="G159" s="25">
        <f>IF($C159="","",IFERROR(IF(INDEX(Roster!$E:$E,MATCH($C159,Roster!$B:$B,0))="","",INDEX(Roster!$E:$E,MATCH($C159,Roster!$B:$B,0))&amp;""),"—"))</f>
        <v/>
      </c>
      <c r="H159" s="25">
        <f>IF($C159="","",IFERROR(IF(INDEX(Roster!$F:$F,MATCH($C159,Roster!$B:$B,0))="","",INDEX(Roster!$F:$F,MATCH($C159,Roster!$B:$B,0))&amp;""),"—"))</f>
        <v/>
      </c>
      <c r="I159" s="25">
        <f>IF($C159="","",IFERROR(IF(INDEX(Roster!$G:$G,MATCH($C159,Roster!$B:$B,0))="","",INDEX(Roster!$G:$G,MATCH($C159,Roster!$B:$B,0))&amp;""),"—"))</f>
        <v/>
      </c>
      <c r="J159" s="25">
        <f>IF($C159="","",IFERROR(IF(INDEX(Roster!$I:$I,MATCH($C159,Roster!$B:$B,0))="","",INDEX(Roster!$I:$I,MATCH($C159,Roster!$B:$B,0))&amp;""),"—"))</f>
        <v/>
      </c>
      <c r="K159">
        <f>IF($C159="","",IFERROR(IF(INDEX(Roster!$J:$J,MATCH($C159,Roster!$B:$B,0))="","",INDEX(Roster!$J:$J,MATCH($C159,Roster!$B:$B,0))&amp;""),"—"))</f>
        <v/>
      </c>
      <c r="L159">
        <f>IF($C159="","",IFERROR(IF(INDEX(Roster!$K:$K,MATCH($C159,Roster!$B:$B,0))="","",INDEX(Roster!$K:$K,MATCH($C159,Roster!$B:$B,0))&amp;""),"—"))</f>
        <v/>
      </c>
      <c r="M159" s="27" t="n"/>
      <c r="N159" s="27" t="n"/>
      <c r="O159" s="25">
        <f>IF($C159="","",IF($P159="","—",IF($P159="Valid (Pass)","Valid","Invalid")))</f>
        <v/>
      </c>
      <c r="P159" s="27" t="n"/>
      <c r="Q159" s="27" t="n"/>
      <c r="R159" s="27" t="n"/>
      <c r="S159" s="27" t="n"/>
      <c r="T159" s="25">
        <f>IF($C159="","",IF(OR(ISNUMBER(SEARCH("quick case",$P159)),ISNUMBER(SEARCH("quick case",$Q159))),"Yes","No"))</f>
        <v/>
      </c>
      <c r="U159" s="25">
        <f>IF($O159="Invalid",HYPERLINK("mailto:"&amp;$G159&amp;";"&amp;$I159&amp;"?cc="&amp;Lists!$E$2&amp;"&amp;subject="&amp;_xlfn.ENCODEURL("[INVALID] Quality audit monitoring completed for "&amp;UPPER($C159))&amp;"&amp;body="&amp;_xlfn.ENCODEURL("Hi "&amp;$F159&amp;","&amp;CHAR(10)&amp;"Good day!"&amp;CHAR(10)&amp;CHAR(10)&amp;"A quality monitoring audit has been completed for "&amp;$C159&amp;"."&amp;CHAR(10)&amp;CHAR(10)&amp;"QUALITY AUDIT DETAILS"&amp;CHAR(10)&amp;"Agent Name: "&amp;$C159&amp;" (EID "&amp;$D159&amp;")"&amp;CHAR(10)&amp;"Audit Date: "&amp;TEXT($B159,"yyyy-mm-dd")&amp;CHAR(10)&amp;"Team Leader: "&amp;$F159&amp;CHAR(10)&amp;"Case Number: "&amp;$M159&amp;CHAR(10)&amp;"Transaction ID: "&amp;$N159&amp;CHAR(10)&amp;"Channel / LOB: "&amp;$K159&amp;" / "&amp;$L159&amp;CHAR(10)&amp;"Evaluator: "&amp;$S159&amp;CHAR(10)&amp;CHAR(10)&amp;"INVALID QUALITY AUDIT DETAILS"&amp;CHAR(10)&amp;"Validation: Invalid"&amp;CHAR(10)&amp;"Invalid Reason: "&amp;$P159&amp;CHAR(10)&amp;"Expected Resolution Code: "&amp;$Q159&amp;CHAR(10)&amp;"Remarks: "&amp;LEFT($R159,600)&amp;CHAR(10)&amp;CHAR(10)&amp;"This is an automated notification from HP Mainstream EQMS."),"✉ Open Email Draft"),"")</f>
        <v/>
      </c>
    </row>
    <row r="160">
      <c r="A160" s="25">
        <f>IF($C160="","","AUD-2026-"&amp;TEXT(ROW()-1,"000000"))</f>
        <v/>
      </c>
      <c r="B160" s="26" t="n"/>
      <c r="C160" s="27" t="n"/>
      <c r="D160" s="25">
        <f>IF($C160="","",IFERROR(IF(INDEX(Roster!$A:$A,MATCH($C160,Roster!$B:$B,0))="","",INDEX(Roster!$A:$A,MATCH($C160,Roster!$B:$B,0))&amp;""),"—"))</f>
        <v/>
      </c>
      <c r="E160" s="25">
        <f>IF($C160="","",IFERROR(IF(INDEX(Roster!$C:$C,MATCH($C160,Roster!$B:$B,0))="","",INDEX(Roster!$C:$C,MATCH($C160,Roster!$B:$B,0))&amp;""),"—"))</f>
        <v/>
      </c>
      <c r="F160" s="25">
        <f>IF($C160="","",IFERROR(IF(INDEX(Roster!$D:$D,MATCH($C160,Roster!$B:$B,0))="","",INDEX(Roster!$D:$D,MATCH($C160,Roster!$B:$B,0))&amp;""),"—"))</f>
        <v/>
      </c>
      <c r="G160" s="25">
        <f>IF($C160="","",IFERROR(IF(INDEX(Roster!$E:$E,MATCH($C160,Roster!$B:$B,0))="","",INDEX(Roster!$E:$E,MATCH($C160,Roster!$B:$B,0))&amp;""),"—"))</f>
        <v/>
      </c>
      <c r="H160" s="25">
        <f>IF($C160="","",IFERROR(IF(INDEX(Roster!$F:$F,MATCH($C160,Roster!$B:$B,0))="","",INDEX(Roster!$F:$F,MATCH($C160,Roster!$B:$B,0))&amp;""),"—"))</f>
        <v/>
      </c>
      <c r="I160" s="25">
        <f>IF($C160="","",IFERROR(IF(INDEX(Roster!$G:$G,MATCH($C160,Roster!$B:$B,0))="","",INDEX(Roster!$G:$G,MATCH($C160,Roster!$B:$B,0))&amp;""),"—"))</f>
        <v/>
      </c>
      <c r="J160" s="25">
        <f>IF($C160="","",IFERROR(IF(INDEX(Roster!$I:$I,MATCH($C160,Roster!$B:$B,0))="","",INDEX(Roster!$I:$I,MATCH($C160,Roster!$B:$B,0))&amp;""),"—"))</f>
        <v/>
      </c>
      <c r="K160">
        <f>IF($C160="","",IFERROR(IF(INDEX(Roster!$J:$J,MATCH($C160,Roster!$B:$B,0))="","",INDEX(Roster!$J:$J,MATCH($C160,Roster!$B:$B,0))&amp;""),"—"))</f>
        <v/>
      </c>
      <c r="L160">
        <f>IF($C160="","",IFERROR(IF(INDEX(Roster!$K:$K,MATCH($C160,Roster!$B:$B,0))="","",INDEX(Roster!$K:$K,MATCH($C160,Roster!$B:$B,0))&amp;""),"—"))</f>
        <v/>
      </c>
      <c r="M160" s="27" t="n"/>
      <c r="N160" s="27" t="n"/>
      <c r="O160" s="25">
        <f>IF($C160="","",IF($P160="","—",IF($P160="Valid (Pass)","Valid","Invalid")))</f>
        <v/>
      </c>
      <c r="P160" s="27" t="n"/>
      <c r="Q160" s="27" t="n"/>
      <c r="R160" s="27" t="n"/>
      <c r="S160" s="27" t="n"/>
      <c r="T160" s="25">
        <f>IF($C160="","",IF(OR(ISNUMBER(SEARCH("quick case",$P160)),ISNUMBER(SEARCH("quick case",$Q160))),"Yes","No"))</f>
        <v/>
      </c>
      <c r="U160" s="25">
        <f>IF($O160="Invalid",HYPERLINK("mailto:"&amp;$G160&amp;";"&amp;$I160&amp;"?cc="&amp;Lists!$E$2&amp;"&amp;subject="&amp;_xlfn.ENCODEURL("[INVALID] Quality audit monitoring completed for "&amp;UPPER($C160))&amp;"&amp;body="&amp;_xlfn.ENCODEURL("Hi "&amp;$F160&amp;","&amp;CHAR(10)&amp;"Good day!"&amp;CHAR(10)&amp;CHAR(10)&amp;"A quality monitoring audit has been completed for "&amp;$C160&amp;"."&amp;CHAR(10)&amp;CHAR(10)&amp;"QUALITY AUDIT DETAILS"&amp;CHAR(10)&amp;"Agent Name: "&amp;$C160&amp;" (EID "&amp;$D160&amp;")"&amp;CHAR(10)&amp;"Audit Date: "&amp;TEXT($B160,"yyyy-mm-dd")&amp;CHAR(10)&amp;"Team Leader: "&amp;$F160&amp;CHAR(10)&amp;"Case Number: "&amp;$M160&amp;CHAR(10)&amp;"Transaction ID: "&amp;$N160&amp;CHAR(10)&amp;"Channel / LOB: "&amp;$K160&amp;" / "&amp;$L160&amp;CHAR(10)&amp;"Evaluator: "&amp;$S160&amp;CHAR(10)&amp;CHAR(10)&amp;"INVALID QUALITY AUDIT DETAILS"&amp;CHAR(10)&amp;"Validation: Invalid"&amp;CHAR(10)&amp;"Invalid Reason: "&amp;$P160&amp;CHAR(10)&amp;"Expected Resolution Code: "&amp;$Q160&amp;CHAR(10)&amp;"Remarks: "&amp;LEFT($R160,600)&amp;CHAR(10)&amp;CHAR(10)&amp;"This is an automated notification from HP Mainstream EQMS."),"✉ Open Email Draft"),"")</f>
        <v/>
      </c>
    </row>
    <row r="161">
      <c r="A161" s="25">
        <f>IF($C161="","","AUD-2026-"&amp;TEXT(ROW()-1,"000000"))</f>
        <v/>
      </c>
      <c r="B161" s="26" t="n"/>
      <c r="C161" s="27" t="n"/>
      <c r="D161" s="25">
        <f>IF($C161="","",IFERROR(IF(INDEX(Roster!$A:$A,MATCH($C161,Roster!$B:$B,0))="","",INDEX(Roster!$A:$A,MATCH($C161,Roster!$B:$B,0))&amp;""),"—"))</f>
        <v/>
      </c>
      <c r="E161" s="25">
        <f>IF($C161="","",IFERROR(IF(INDEX(Roster!$C:$C,MATCH($C161,Roster!$B:$B,0))="","",INDEX(Roster!$C:$C,MATCH($C161,Roster!$B:$B,0))&amp;""),"—"))</f>
        <v/>
      </c>
      <c r="F161" s="25">
        <f>IF($C161="","",IFERROR(IF(INDEX(Roster!$D:$D,MATCH($C161,Roster!$B:$B,0))="","",INDEX(Roster!$D:$D,MATCH($C161,Roster!$B:$B,0))&amp;""),"—"))</f>
        <v/>
      </c>
      <c r="G161" s="25">
        <f>IF($C161="","",IFERROR(IF(INDEX(Roster!$E:$E,MATCH($C161,Roster!$B:$B,0))="","",INDEX(Roster!$E:$E,MATCH($C161,Roster!$B:$B,0))&amp;""),"—"))</f>
        <v/>
      </c>
      <c r="H161" s="25">
        <f>IF($C161="","",IFERROR(IF(INDEX(Roster!$F:$F,MATCH($C161,Roster!$B:$B,0))="","",INDEX(Roster!$F:$F,MATCH($C161,Roster!$B:$B,0))&amp;""),"—"))</f>
        <v/>
      </c>
      <c r="I161" s="25">
        <f>IF($C161="","",IFERROR(IF(INDEX(Roster!$G:$G,MATCH($C161,Roster!$B:$B,0))="","",INDEX(Roster!$G:$G,MATCH($C161,Roster!$B:$B,0))&amp;""),"—"))</f>
        <v/>
      </c>
      <c r="J161" s="25">
        <f>IF($C161="","",IFERROR(IF(INDEX(Roster!$I:$I,MATCH($C161,Roster!$B:$B,0))="","",INDEX(Roster!$I:$I,MATCH($C161,Roster!$B:$B,0))&amp;""),"—"))</f>
        <v/>
      </c>
      <c r="K161">
        <f>IF($C161="","",IFERROR(IF(INDEX(Roster!$J:$J,MATCH($C161,Roster!$B:$B,0))="","",INDEX(Roster!$J:$J,MATCH($C161,Roster!$B:$B,0))&amp;""),"—"))</f>
        <v/>
      </c>
      <c r="L161">
        <f>IF($C161="","",IFERROR(IF(INDEX(Roster!$K:$K,MATCH($C161,Roster!$B:$B,0))="","",INDEX(Roster!$K:$K,MATCH($C161,Roster!$B:$B,0))&amp;""),"—"))</f>
        <v/>
      </c>
      <c r="M161" s="27" t="n"/>
      <c r="N161" s="27" t="n"/>
      <c r="O161" s="25">
        <f>IF($C161="","",IF($P161="","—",IF($P161="Valid (Pass)","Valid","Invalid")))</f>
        <v/>
      </c>
      <c r="P161" s="27" t="n"/>
      <c r="Q161" s="27" t="n"/>
      <c r="R161" s="27" t="n"/>
      <c r="S161" s="27" t="n"/>
      <c r="T161" s="25">
        <f>IF($C161="","",IF(OR(ISNUMBER(SEARCH("quick case",$P161)),ISNUMBER(SEARCH("quick case",$Q161))),"Yes","No"))</f>
        <v/>
      </c>
      <c r="U161" s="25">
        <f>IF($O161="Invalid",HYPERLINK("mailto:"&amp;$G161&amp;";"&amp;$I161&amp;"?cc="&amp;Lists!$E$2&amp;"&amp;subject="&amp;_xlfn.ENCODEURL("[INVALID] Quality audit monitoring completed for "&amp;UPPER($C161))&amp;"&amp;body="&amp;_xlfn.ENCODEURL("Hi "&amp;$F161&amp;","&amp;CHAR(10)&amp;"Good day!"&amp;CHAR(10)&amp;CHAR(10)&amp;"A quality monitoring audit has been completed for "&amp;$C161&amp;"."&amp;CHAR(10)&amp;CHAR(10)&amp;"QUALITY AUDIT DETAILS"&amp;CHAR(10)&amp;"Agent Name: "&amp;$C161&amp;" (EID "&amp;$D161&amp;")"&amp;CHAR(10)&amp;"Audit Date: "&amp;TEXT($B161,"yyyy-mm-dd")&amp;CHAR(10)&amp;"Team Leader: "&amp;$F161&amp;CHAR(10)&amp;"Case Number: "&amp;$M161&amp;CHAR(10)&amp;"Transaction ID: "&amp;$N161&amp;CHAR(10)&amp;"Channel / LOB: "&amp;$K161&amp;" / "&amp;$L161&amp;CHAR(10)&amp;"Evaluator: "&amp;$S161&amp;CHAR(10)&amp;CHAR(10)&amp;"INVALID QUALITY AUDIT DETAILS"&amp;CHAR(10)&amp;"Validation: Invalid"&amp;CHAR(10)&amp;"Invalid Reason: "&amp;$P161&amp;CHAR(10)&amp;"Expected Resolution Code: "&amp;$Q161&amp;CHAR(10)&amp;"Remarks: "&amp;LEFT($R161,600)&amp;CHAR(10)&amp;CHAR(10)&amp;"This is an automated notification from HP Mainstream EQMS."),"✉ Open Email Draft"),"")</f>
        <v/>
      </c>
    </row>
    <row r="162">
      <c r="A162" s="25">
        <f>IF($C162="","","AUD-2026-"&amp;TEXT(ROW()-1,"000000"))</f>
        <v/>
      </c>
      <c r="B162" s="26" t="n"/>
      <c r="C162" s="27" t="n"/>
      <c r="D162" s="25">
        <f>IF($C162="","",IFERROR(IF(INDEX(Roster!$A:$A,MATCH($C162,Roster!$B:$B,0))="","",INDEX(Roster!$A:$A,MATCH($C162,Roster!$B:$B,0))&amp;""),"—"))</f>
        <v/>
      </c>
      <c r="E162" s="25">
        <f>IF($C162="","",IFERROR(IF(INDEX(Roster!$C:$C,MATCH($C162,Roster!$B:$B,0))="","",INDEX(Roster!$C:$C,MATCH($C162,Roster!$B:$B,0))&amp;""),"—"))</f>
        <v/>
      </c>
      <c r="F162" s="25">
        <f>IF($C162="","",IFERROR(IF(INDEX(Roster!$D:$D,MATCH($C162,Roster!$B:$B,0))="","",INDEX(Roster!$D:$D,MATCH($C162,Roster!$B:$B,0))&amp;""),"—"))</f>
        <v/>
      </c>
      <c r="G162" s="25">
        <f>IF($C162="","",IFERROR(IF(INDEX(Roster!$E:$E,MATCH($C162,Roster!$B:$B,0))="","",INDEX(Roster!$E:$E,MATCH($C162,Roster!$B:$B,0))&amp;""),"—"))</f>
        <v/>
      </c>
      <c r="H162" s="25">
        <f>IF($C162="","",IFERROR(IF(INDEX(Roster!$F:$F,MATCH($C162,Roster!$B:$B,0))="","",INDEX(Roster!$F:$F,MATCH($C162,Roster!$B:$B,0))&amp;""),"—"))</f>
        <v/>
      </c>
      <c r="I162" s="25">
        <f>IF($C162="","",IFERROR(IF(INDEX(Roster!$G:$G,MATCH($C162,Roster!$B:$B,0))="","",INDEX(Roster!$G:$G,MATCH($C162,Roster!$B:$B,0))&amp;""),"—"))</f>
        <v/>
      </c>
      <c r="J162" s="25">
        <f>IF($C162="","",IFERROR(IF(INDEX(Roster!$I:$I,MATCH($C162,Roster!$B:$B,0))="","",INDEX(Roster!$I:$I,MATCH($C162,Roster!$B:$B,0))&amp;""),"—"))</f>
        <v/>
      </c>
      <c r="K162">
        <f>IF($C162="","",IFERROR(IF(INDEX(Roster!$J:$J,MATCH($C162,Roster!$B:$B,0))="","",INDEX(Roster!$J:$J,MATCH($C162,Roster!$B:$B,0))&amp;""),"—"))</f>
        <v/>
      </c>
      <c r="L162">
        <f>IF($C162="","",IFERROR(IF(INDEX(Roster!$K:$K,MATCH($C162,Roster!$B:$B,0))="","",INDEX(Roster!$K:$K,MATCH($C162,Roster!$B:$B,0))&amp;""),"—"))</f>
        <v/>
      </c>
      <c r="M162" s="27" t="n"/>
      <c r="N162" s="27" t="n"/>
      <c r="O162" s="25">
        <f>IF($C162="","",IF($P162="","—",IF($P162="Valid (Pass)","Valid","Invalid")))</f>
        <v/>
      </c>
      <c r="P162" s="27" t="n"/>
      <c r="Q162" s="27" t="n"/>
      <c r="R162" s="27" t="n"/>
      <c r="S162" s="27" t="n"/>
      <c r="T162" s="25">
        <f>IF($C162="","",IF(OR(ISNUMBER(SEARCH("quick case",$P162)),ISNUMBER(SEARCH("quick case",$Q162))),"Yes","No"))</f>
        <v/>
      </c>
      <c r="U162" s="25">
        <f>IF($O162="Invalid",HYPERLINK("mailto:"&amp;$G162&amp;";"&amp;$I162&amp;"?cc="&amp;Lists!$E$2&amp;"&amp;subject="&amp;_xlfn.ENCODEURL("[INVALID] Quality audit monitoring completed for "&amp;UPPER($C162))&amp;"&amp;body="&amp;_xlfn.ENCODEURL("Hi "&amp;$F162&amp;","&amp;CHAR(10)&amp;"Good day!"&amp;CHAR(10)&amp;CHAR(10)&amp;"A quality monitoring audit has been completed for "&amp;$C162&amp;"."&amp;CHAR(10)&amp;CHAR(10)&amp;"QUALITY AUDIT DETAILS"&amp;CHAR(10)&amp;"Agent Name: "&amp;$C162&amp;" (EID "&amp;$D162&amp;")"&amp;CHAR(10)&amp;"Audit Date: "&amp;TEXT($B162,"yyyy-mm-dd")&amp;CHAR(10)&amp;"Team Leader: "&amp;$F162&amp;CHAR(10)&amp;"Case Number: "&amp;$M162&amp;CHAR(10)&amp;"Transaction ID: "&amp;$N162&amp;CHAR(10)&amp;"Channel / LOB: "&amp;$K162&amp;" / "&amp;$L162&amp;CHAR(10)&amp;"Evaluator: "&amp;$S162&amp;CHAR(10)&amp;CHAR(10)&amp;"INVALID QUALITY AUDIT DETAILS"&amp;CHAR(10)&amp;"Validation: Invalid"&amp;CHAR(10)&amp;"Invalid Reason: "&amp;$P162&amp;CHAR(10)&amp;"Expected Resolution Code: "&amp;$Q162&amp;CHAR(10)&amp;"Remarks: "&amp;LEFT($R162,600)&amp;CHAR(10)&amp;CHAR(10)&amp;"This is an automated notification from HP Mainstream EQMS."),"✉ Open Email Draft"),"")</f>
        <v/>
      </c>
    </row>
    <row r="163">
      <c r="A163" s="25">
        <f>IF($C163="","","AUD-2026-"&amp;TEXT(ROW()-1,"000000"))</f>
        <v/>
      </c>
      <c r="B163" s="26" t="n"/>
      <c r="C163" s="27" t="n"/>
      <c r="D163" s="25">
        <f>IF($C163="","",IFERROR(IF(INDEX(Roster!$A:$A,MATCH($C163,Roster!$B:$B,0))="","",INDEX(Roster!$A:$A,MATCH($C163,Roster!$B:$B,0))&amp;""),"—"))</f>
        <v/>
      </c>
      <c r="E163" s="25">
        <f>IF($C163="","",IFERROR(IF(INDEX(Roster!$C:$C,MATCH($C163,Roster!$B:$B,0))="","",INDEX(Roster!$C:$C,MATCH($C163,Roster!$B:$B,0))&amp;""),"—"))</f>
        <v/>
      </c>
      <c r="F163" s="25">
        <f>IF($C163="","",IFERROR(IF(INDEX(Roster!$D:$D,MATCH($C163,Roster!$B:$B,0))="","",INDEX(Roster!$D:$D,MATCH($C163,Roster!$B:$B,0))&amp;""),"—"))</f>
        <v/>
      </c>
      <c r="G163" s="25">
        <f>IF($C163="","",IFERROR(IF(INDEX(Roster!$E:$E,MATCH($C163,Roster!$B:$B,0))="","",INDEX(Roster!$E:$E,MATCH($C163,Roster!$B:$B,0))&amp;""),"—"))</f>
        <v/>
      </c>
      <c r="H163" s="25">
        <f>IF($C163="","",IFERROR(IF(INDEX(Roster!$F:$F,MATCH($C163,Roster!$B:$B,0))="","",INDEX(Roster!$F:$F,MATCH($C163,Roster!$B:$B,0))&amp;""),"—"))</f>
        <v/>
      </c>
      <c r="I163" s="25">
        <f>IF($C163="","",IFERROR(IF(INDEX(Roster!$G:$G,MATCH($C163,Roster!$B:$B,0))="","",INDEX(Roster!$G:$G,MATCH($C163,Roster!$B:$B,0))&amp;""),"—"))</f>
        <v/>
      </c>
      <c r="J163" s="25">
        <f>IF($C163="","",IFERROR(IF(INDEX(Roster!$I:$I,MATCH($C163,Roster!$B:$B,0))="","",INDEX(Roster!$I:$I,MATCH($C163,Roster!$B:$B,0))&amp;""),"—"))</f>
        <v/>
      </c>
      <c r="K163">
        <f>IF($C163="","",IFERROR(IF(INDEX(Roster!$J:$J,MATCH($C163,Roster!$B:$B,0))="","",INDEX(Roster!$J:$J,MATCH($C163,Roster!$B:$B,0))&amp;""),"—"))</f>
        <v/>
      </c>
      <c r="L163">
        <f>IF($C163="","",IFERROR(IF(INDEX(Roster!$K:$K,MATCH($C163,Roster!$B:$B,0))="","",INDEX(Roster!$K:$K,MATCH($C163,Roster!$B:$B,0))&amp;""),"—"))</f>
        <v/>
      </c>
      <c r="M163" s="27" t="n"/>
      <c r="N163" s="27" t="n"/>
      <c r="O163" s="25">
        <f>IF($C163="","",IF($P163="","—",IF($P163="Valid (Pass)","Valid","Invalid")))</f>
        <v/>
      </c>
      <c r="P163" s="27" t="n"/>
      <c r="Q163" s="27" t="n"/>
      <c r="R163" s="27" t="n"/>
      <c r="S163" s="27" t="n"/>
      <c r="T163" s="25">
        <f>IF($C163="","",IF(OR(ISNUMBER(SEARCH("quick case",$P163)),ISNUMBER(SEARCH("quick case",$Q163))),"Yes","No"))</f>
        <v/>
      </c>
      <c r="U163" s="25">
        <f>IF($O163="Invalid",HYPERLINK("mailto:"&amp;$G163&amp;";"&amp;$I163&amp;"?cc="&amp;Lists!$E$2&amp;"&amp;subject="&amp;_xlfn.ENCODEURL("[INVALID] Quality audit monitoring completed for "&amp;UPPER($C163))&amp;"&amp;body="&amp;_xlfn.ENCODEURL("Hi "&amp;$F163&amp;","&amp;CHAR(10)&amp;"Good day!"&amp;CHAR(10)&amp;CHAR(10)&amp;"A quality monitoring audit has been completed for "&amp;$C163&amp;"."&amp;CHAR(10)&amp;CHAR(10)&amp;"QUALITY AUDIT DETAILS"&amp;CHAR(10)&amp;"Agent Name: "&amp;$C163&amp;" (EID "&amp;$D163&amp;")"&amp;CHAR(10)&amp;"Audit Date: "&amp;TEXT($B163,"yyyy-mm-dd")&amp;CHAR(10)&amp;"Team Leader: "&amp;$F163&amp;CHAR(10)&amp;"Case Number: "&amp;$M163&amp;CHAR(10)&amp;"Transaction ID: "&amp;$N163&amp;CHAR(10)&amp;"Channel / LOB: "&amp;$K163&amp;" / "&amp;$L163&amp;CHAR(10)&amp;"Evaluator: "&amp;$S163&amp;CHAR(10)&amp;CHAR(10)&amp;"INVALID QUALITY AUDIT DETAILS"&amp;CHAR(10)&amp;"Validation: Invalid"&amp;CHAR(10)&amp;"Invalid Reason: "&amp;$P163&amp;CHAR(10)&amp;"Expected Resolution Code: "&amp;$Q163&amp;CHAR(10)&amp;"Remarks: "&amp;LEFT($R163,600)&amp;CHAR(10)&amp;CHAR(10)&amp;"This is an automated notification from HP Mainstream EQMS."),"✉ Open Email Draft"),"")</f>
        <v/>
      </c>
    </row>
    <row r="164">
      <c r="A164" s="25">
        <f>IF($C164="","","AUD-2026-"&amp;TEXT(ROW()-1,"000000"))</f>
        <v/>
      </c>
      <c r="B164" s="26" t="n"/>
      <c r="C164" s="27" t="n"/>
      <c r="D164" s="25">
        <f>IF($C164="","",IFERROR(IF(INDEX(Roster!$A:$A,MATCH($C164,Roster!$B:$B,0))="","",INDEX(Roster!$A:$A,MATCH($C164,Roster!$B:$B,0))&amp;""),"—"))</f>
        <v/>
      </c>
      <c r="E164" s="25">
        <f>IF($C164="","",IFERROR(IF(INDEX(Roster!$C:$C,MATCH($C164,Roster!$B:$B,0))="","",INDEX(Roster!$C:$C,MATCH($C164,Roster!$B:$B,0))&amp;""),"—"))</f>
        <v/>
      </c>
      <c r="F164" s="25">
        <f>IF($C164="","",IFERROR(IF(INDEX(Roster!$D:$D,MATCH($C164,Roster!$B:$B,0))="","",INDEX(Roster!$D:$D,MATCH($C164,Roster!$B:$B,0))&amp;""),"—"))</f>
        <v/>
      </c>
      <c r="G164" s="25">
        <f>IF($C164="","",IFERROR(IF(INDEX(Roster!$E:$E,MATCH($C164,Roster!$B:$B,0))="","",INDEX(Roster!$E:$E,MATCH($C164,Roster!$B:$B,0))&amp;""),"—"))</f>
        <v/>
      </c>
      <c r="H164" s="25">
        <f>IF($C164="","",IFERROR(IF(INDEX(Roster!$F:$F,MATCH($C164,Roster!$B:$B,0))="","",INDEX(Roster!$F:$F,MATCH($C164,Roster!$B:$B,0))&amp;""),"—"))</f>
        <v/>
      </c>
      <c r="I164" s="25">
        <f>IF($C164="","",IFERROR(IF(INDEX(Roster!$G:$G,MATCH($C164,Roster!$B:$B,0))="","",INDEX(Roster!$G:$G,MATCH($C164,Roster!$B:$B,0))&amp;""),"—"))</f>
        <v/>
      </c>
      <c r="J164" s="25">
        <f>IF($C164="","",IFERROR(IF(INDEX(Roster!$I:$I,MATCH($C164,Roster!$B:$B,0))="","",INDEX(Roster!$I:$I,MATCH($C164,Roster!$B:$B,0))&amp;""),"—"))</f>
        <v/>
      </c>
      <c r="K164">
        <f>IF($C164="","",IFERROR(IF(INDEX(Roster!$J:$J,MATCH($C164,Roster!$B:$B,0))="","",INDEX(Roster!$J:$J,MATCH($C164,Roster!$B:$B,0))&amp;""),"—"))</f>
        <v/>
      </c>
      <c r="L164">
        <f>IF($C164="","",IFERROR(IF(INDEX(Roster!$K:$K,MATCH($C164,Roster!$B:$B,0))="","",INDEX(Roster!$K:$K,MATCH($C164,Roster!$B:$B,0))&amp;""),"—"))</f>
        <v/>
      </c>
      <c r="M164" s="27" t="n"/>
      <c r="N164" s="27" t="n"/>
      <c r="O164" s="25">
        <f>IF($C164="","",IF($P164="","—",IF($P164="Valid (Pass)","Valid","Invalid")))</f>
        <v/>
      </c>
      <c r="P164" s="27" t="n"/>
      <c r="Q164" s="27" t="n"/>
      <c r="R164" s="27" t="n"/>
      <c r="S164" s="27" t="n"/>
      <c r="T164" s="25">
        <f>IF($C164="","",IF(OR(ISNUMBER(SEARCH("quick case",$P164)),ISNUMBER(SEARCH("quick case",$Q164))),"Yes","No"))</f>
        <v/>
      </c>
      <c r="U164" s="25">
        <f>IF($O164="Invalid",HYPERLINK("mailto:"&amp;$G164&amp;";"&amp;$I164&amp;"?cc="&amp;Lists!$E$2&amp;"&amp;subject="&amp;_xlfn.ENCODEURL("[INVALID] Quality audit monitoring completed for "&amp;UPPER($C164))&amp;"&amp;body="&amp;_xlfn.ENCODEURL("Hi "&amp;$F164&amp;","&amp;CHAR(10)&amp;"Good day!"&amp;CHAR(10)&amp;CHAR(10)&amp;"A quality monitoring audit has been completed for "&amp;$C164&amp;"."&amp;CHAR(10)&amp;CHAR(10)&amp;"QUALITY AUDIT DETAILS"&amp;CHAR(10)&amp;"Agent Name: "&amp;$C164&amp;" (EID "&amp;$D164&amp;")"&amp;CHAR(10)&amp;"Audit Date: "&amp;TEXT($B164,"yyyy-mm-dd")&amp;CHAR(10)&amp;"Team Leader: "&amp;$F164&amp;CHAR(10)&amp;"Case Number: "&amp;$M164&amp;CHAR(10)&amp;"Transaction ID: "&amp;$N164&amp;CHAR(10)&amp;"Channel / LOB: "&amp;$K164&amp;" / "&amp;$L164&amp;CHAR(10)&amp;"Evaluator: "&amp;$S164&amp;CHAR(10)&amp;CHAR(10)&amp;"INVALID QUALITY AUDIT DETAILS"&amp;CHAR(10)&amp;"Validation: Invalid"&amp;CHAR(10)&amp;"Invalid Reason: "&amp;$P164&amp;CHAR(10)&amp;"Expected Resolution Code: "&amp;$Q164&amp;CHAR(10)&amp;"Remarks: "&amp;LEFT($R164,600)&amp;CHAR(10)&amp;CHAR(10)&amp;"This is an automated notification from HP Mainstream EQMS."),"✉ Open Email Draft"),"")</f>
        <v/>
      </c>
    </row>
    <row r="165">
      <c r="A165" s="25">
        <f>IF($C165="","","AUD-2026-"&amp;TEXT(ROW()-1,"000000"))</f>
        <v/>
      </c>
      <c r="B165" s="26" t="n"/>
      <c r="C165" s="27" t="n"/>
      <c r="D165" s="25">
        <f>IF($C165="","",IFERROR(IF(INDEX(Roster!$A:$A,MATCH($C165,Roster!$B:$B,0))="","",INDEX(Roster!$A:$A,MATCH($C165,Roster!$B:$B,0))&amp;""),"—"))</f>
        <v/>
      </c>
      <c r="E165" s="25">
        <f>IF($C165="","",IFERROR(IF(INDEX(Roster!$C:$C,MATCH($C165,Roster!$B:$B,0))="","",INDEX(Roster!$C:$C,MATCH($C165,Roster!$B:$B,0))&amp;""),"—"))</f>
        <v/>
      </c>
      <c r="F165" s="25">
        <f>IF($C165="","",IFERROR(IF(INDEX(Roster!$D:$D,MATCH($C165,Roster!$B:$B,0))="","",INDEX(Roster!$D:$D,MATCH($C165,Roster!$B:$B,0))&amp;""),"—"))</f>
        <v/>
      </c>
      <c r="G165" s="25">
        <f>IF($C165="","",IFERROR(IF(INDEX(Roster!$E:$E,MATCH($C165,Roster!$B:$B,0))="","",INDEX(Roster!$E:$E,MATCH($C165,Roster!$B:$B,0))&amp;""),"—"))</f>
        <v/>
      </c>
      <c r="H165" s="25">
        <f>IF($C165="","",IFERROR(IF(INDEX(Roster!$F:$F,MATCH($C165,Roster!$B:$B,0))="","",INDEX(Roster!$F:$F,MATCH($C165,Roster!$B:$B,0))&amp;""),"—"))</f>
        <v/>
      </c>
      <c r="I165" s="25">
        <f>IF($C165="","",IFERROR(IF(INDEX(Roster!$G:$G,MATCH($C165,Roster!$B:$B,0))="","",INDEX(Roster!$G:$G,MATCH($C165,Roster!$B:$B,0))&amp;""),"—"))</f>
        <v/>
      </c>
      <c r="J165" s="25">
        <f>IF($C165="","",IFERROR(IF(INDEX(Roster!$I:$I,MATCH($C165,Roster!$B:$B,0))="","",INDEX(Roster!$I:$I,MATCH($C165,Roster!$B:$B,0))&amp;""),"—"))</f>
        <v/>
      </c>
      <c r="K165">
        <f>IF($C165="","",IFERROR(IF(INDEX(Roster!$J:$J,MATCH($C165,Roster!$B:$B,0))="","",INDEX(Roster!$J:$J,MATCH($C165,Roster!$B:$B,0))&amp;""),"—"))</f>
        <v/>
      </c>
      <c r="L165">
        <f>IF($C165="","",IFERROR(IF(INDEX(Roster!$K:$K,MATCH($C165,Roster!$B:$B,0))="","",INDEX(Roster!$K:$K,MATCH($C165,Roster!$B:$B,0))&amp;""),"—"))</f>
        <v/>
      </c>
      <c r="M165" s="27" t="n"/>
      <c r="N165" s="27" t="n"/>
      <c r="O165" s="25">
        <f>IF($C165="","",IF($P165="","—",IF($P165="Valid (Pass)","Valid","Invalid")))</f>
        <v/>
      </c>
      <c r="P165" s="27" t="n"/>
      <c r="Q165" s="27" t="n"/>
      <c r="R165" s="27" t="n"/>
      <c r="S165" s="27" t="n"/>
      <c r="T165" s="25">
        <f>IF($C165="","",IF(OR(ISNUMBER(SEARCH("quick case",$P165)),ISNUMBER(SEARCH("quick case",$Q165))),"Yes","No"))</f>
        <v/>
      </c>
      <c r="U165" s="25">
        <f>IF($O165="Invalid",HYPERLINK("mailto:"&amp;$G165&amp;";"&amp;$I165&amp;"?cc="&amp;Lists!$E$2&amp;"&amp;subject="&amp;_xlfn.ENCODEURL("[INVALID] Quality audit monitoring completed for "&amp;UPPER($C165))&amp;"&amp;body="&amp;_xlfn.ENCODEURL("Hi "&amp;$F165&amp;","&amp;CHAR(10)&amp;"Good day!"&amp;CHAR(10)&amp;CHAR(10)&amp;"A quality monitoring audit has been completed for "&amp;$C165&amp;"."&amp;CHAR(10)&amp;CHAR(10)&amp;"QUALITY AUDIT DETAILS"&amp;CHAR(10)&amp;"Agent Name: "&amp;$C165&amp;" (EID "&amp;$D165&amp;")"&amp;CHAR(10)&amp;"Audit Date: "&amp;TEXT($B165,"yyyy-mm-dd")&amp;CHAR(10)&amp;"Team Leader: "&amp;$F165&amp;CHAR(10)&amp;"Case Number: "&amp;$M165&amp;CHAR(10)&amp;"Transaction ID: "&amp;$N165&amp;CHAR(10)&amp;"Channel / LOB: "&amp;$K165&amp;" / "&amp;$L165&amp;CHAR(10)&amp;"Evaluator: "&amp;$S165&amp;CHAR(10)&amp;CHAR(10)&amp;"INVALID QUALITY AUDIT DETAILS"&amp;CHAR(10)&amp;"Validation: Invalid"&amp;CHAR(10)&amp;"Invalid Reason: "&amp;$P165&amp;CHAR(10)&amp;"Expected Resolution Code: "&amp;$Q165&amp;CHAR(10)&amp;"Remarks: "&amp;LEFT($R165,600)&amp;CHAR(10)&amp;CHAR(10)&amp;"This is an automated notification from HP Mainstream EQMS."),"✉ Open Email Draft"),"")</f>
        <v/>
      </c>
    </row>
    <row r="166">
      <c r="A166" s="25">
        <f>IF($C166="","","AUD-2026-"&amp;TEXT(ROW()-1,"000000"))</f>
        <v/>
      </c>
      <c r="B166" s="26" t="n"/>
      <c r="C166" s="27" t="n"/>
      <c r="D166" s="25">
        <f>IF($C166="","",IFERROR(IF(INDEX(Roster!$A:$A,MATCH($C166,Roster!$B:$B,0))="","",INDEX(Roster!$A:$A,MATCH($C166,Roster!$B:$B,0))&amp;""),"—"))</f>
        <v/>
      </c>
      <c r="E166" s="25">
        <f>IF($C166="","",IFERROR(IF(INDEX(Roster!$C:$C,MATCH($C166,Roster!$B:$B,0))="","",INDEX(Roster!$C:$C,MATCH($C166,Roster!$B:$B,0))&amp;""),"—"))</f>
        <v/>
      </c>
      <c r="F166" s="25">
        <f>IF($C166="","",IFERROR(IF(INDEX(Roster!$D:$D,MATCH($C166,Roster!$B:$B,0))="","",INDEX(Roster!$D:$D,MATCH($C166,Roster!$B:$B,0))&amp;""),"—"))</f>
        <v/>
      </c>
      <c r="G166" s="25">
        <f>IF($C166="","",IFERROR(IF(INDEX(Roster!$E:$E,MATCH($C166,Roster!$B:$B,0))="","",INDEX(Roster!$E:$E,MATCH($C166,Roster!$B:$B,0))&amp;""),"—"))</f>
        <v/>
      </c>
      <c r="H166" s="25">
        <f>IF($C166="","",IFERROR(IF(INDEX(Roster!$F:$F,MATCH($C166,Roster!$B:$B,0))="","",INDEX(Roster!$F:$F,MATCH($C166,Roster!$B:$B,0))&amp;""),"—"))</f>
        <v/>
      </c>
      <c r="I166" s="25">
        <f>IF($C166="","",IFERROR(IF(INDEX(Roster!$G:$G,MATCH($C166,Roster!$B:$B,0))="","",INDEX(Roster!$G:$G,MATCH($C166,Roster!$B:$B,0))&amp;""),"—"))</f>
        <v/>
      </c>
      <c r="J166" s="25">
        <f>IF($C166="","",IFERROR(IF(INDEX(Roster!$I:$I,MATCH($C166,Roster!$B:$B,0))="","",INDEX(Roster!$I:$I,MATCH($C166,Roster!$B:$B,0))&amp;""),"—"))</f>
        <v/>
      </c>
      <c r="K166">
        <f>IF($C166="","",IFERROR(IF(INDEX(Roster!$J:$J,MATCH($C166,Roster!$B:$B,0))="","",INDEX(Roster!$J:$J,MATCH($C166,Roster!$B:$B,0))&amp;""),"—"))</f>
        <v/>
      </c>
      <c r="L166">
        <f>IF($C166="","",IFERROR(IF(INDEX(Roster!$K:$K,MATCH($C166,Roster!$B:$B,0))="","",INDEX(Roster!$K:$K,MATCH($C166,Roster!$B:$B,0))&amp;""),"—"))</f>
        <v/>
      </c>
      <c r="M166" s="27" t="n"/>
      <c r="N166" s="27" t="n"/>
      <c r="O166" s="25">
        <f>IF($C166="","",IF($P166="","—",IF($P166="Valid (Pass)","Valid","Invalid")))</f>
        <v/>
      </c>
      <c r="P166" s="27" t="n"/>
      <c r="Q166" s="27" t="n"/>
      <c r="R166" s="27" t="n"/>
      <c r="S166" s="27" t="n"/>
      <c r="T166" s="25">
        <f>IF($C166="","",IF(OR(ISNUMBER(SEARCH("quick case",$P166)),ISNUMBER(SEARCH("quick case",$Q166))),"Yes","No"))</f>
        <v/>
      </c>
      <c r="U166" s="25">
        <f>IF($O166="Invalid",HYPERLINK("mailto:"&amp;$G166&amp;";"&amp;$I166&amp;"?cc="&amp;Lists!$E$2&amp;"&amp;subject="&amp;_xlfn.ENCODEURL("[INVALID] Quality audit monitoring completed for "&amp;UPPER($C166))&amp;"&amp;body="&amp;_xlfn.ENCODEURL("Hi "&amp;$F166&amp;","&amp;CHAR(10)&amp;"Good day!"&amp;CHAR(10)&amp;CHAR(10)&amp;"A quality monitoring audit has been completed for "&amp;$C166&amp;"."&amp;CHAR(10)&amp;CHAR(10)&amp;"QUALITY AUDIT DETAILS"&amp;CHAR(10)&amp;"Agent Name: "&amp;$C166&amp;" (EID "&amp;$D166&amp;")"&amp;CHAR(10)&amp;"Audit Date: "&amp;TEXT($B166,"yyyy-mm-dd")&amp;CHAR(10)&amp;"Team Leader: "&amp;$F166&amp;CHAR(10)&amp;"Case Number: "&amp;$M166&amp;CHAR(10)&amp;"Transaction ID: "&amp;$N166&amp;CHAR(10)&amp;"Channel / LOB: "&amp;$K166&amp;" / "&amp;$L166&amp;CHAR(10)&amp;"Evaluator: "&amp;$S166&amp;CHAR(10)&amp;CHAR(10)&amp;"INVALID QUALITY AUDIT DETAILS"&amp;CHAR(10)&amp;"Validation: Invalid"&amp;CHAR(10)&amp;"Invalid Reason: "&amp;$P166&amp;CHAR(10)&amp;"Expected Resolution Code: "&amp;$Q166&amp;CHAR(10)&amp;"Remarks: "&amp;LEFT($R166,600)&amp;CHAR(10)&amp;CHAR(10)&amp;"This is an automated notification from HP Mainstream EQMS."),"✉ Open Email Draft"),"")</f>
        <v/>
      </c>
    </row>
    <row r="167">
      <c r="A167" s="25">
        <f>IF($C167="","","AUD-2026-"&amp;TEXT(ROW()-1,"000000"))</f>
        <v/>
      </c>
      <c r="B167" s="26" t="n"/>
      <c r="C167" s="27" t="n"/>
      <c r="D167" s="25">
        <f>IF($C167="","",IFERROR(IF(INDEX(Roster!$A:$A,MATCH($C167,Roster!$B:$B,0))="","",INDEX(Roster!$A:$A,MATCH($C167,Roster!$B:$B,0))&amp;""),"—"))</f>
        <v/>
      </c>
      <c r="E167" s="25">
        <f>IF($C167="","",IFERROR(IF(INDEX(Roster!$C:$C,MATCH($C167,Roster!$B:$B,0))="","",INDEX(Roster!$C:$C,MATCH($C167,Roster!$B:$B,0))&amp;""),"—"))</f>
        <v/>
      </c>
      <c r="F167" s="25">
        <f>IF($C167="","",IFERROR(IF(INDEX(Roster!$D:$D,MATCH($C167,Roster!$B:$B,0))="","",INDEX(Roster!$D:$D,MATCH($C167,Roster!$B:$B,0))&amp;""),"—"))</f>
        <v/>
      </c>
      <c r="G167" s="25">
        <f>IF($C167="","",IFERROR(IF(INDEX(Roster!$E:$E,MATCH($C167,Roster!$B:$B,0))="","",INDEX(Roster!$E:$E,MATCH($C167,Roster!$B:$B,0))&amp;""),"—"))</f>
        <v/>
      </c>
      <c r="H167" s="25">
        <f>IF($C167="","",IFERROR(IF(INDEX(Roster!$F:$F,MATCH($C167,Roster!$B:$B,0))="","",INDEX(Roster!$F:$F,MATCH($C167,Roster!$B:$B,0))&amp;""),"—"))</f>
        <v/>
      </c>
      <c r="I167" s="25">
        <f>IF($C167="","",IFERROR(IF(INDEX(Roster!$G:$G,MATCH($C167,Roster!$B:$B,0))="","",INDEX(Roster!$G:$G,MATCH($C167,Roster!$B:$B,0))&amp;""),"—"))</f>
        <v/>
      </c>
      <c r="J167" s="25">
        <f>IF($C167="","",IFERROR(IF(INDEX(Roster!$I:$I,MATCH($C167,Roster!$B:$B,0))="","",INDEX(Roster!$I:$I,MATCH($C167,Roster!$B:$B,0))&amp;""),"—"))</f>
        <v/>
      </c>
      <c r="K167">
        <f>IF($C167="","",IFERROR(IF(INDEX(Roster!$J:$J,MATCH($C167,Roster!$B:$B,0))="","",INDEX(Roster!$J:$J,MATCH($C167,Roster!$B:$B,0))&amp;""),"—"))</f>
        <v/>
      </c>
      <c r="L167">
        <f>IF($C167="","",IFERROR(IF(INDEX(Roster!$K:$K,MATCH($C167,Roster!$B:$B,0))="","",INDEX(Roster!$K:$K,MATCH($C167,Roster!$B:$B,0))&amp;""),"—"))</f>
        <v/>
      </c>
      <c r="M167" s="27" t="n"/>
      <c r="N167" s="27" t="n"/>
      <c r="O167" s="25">
        <f>IF($C167="","",IF($P167="","—",IF($P167="Valid (Pass)","Valid","Invalid")))</f>
        <v/>
      </c>
      <c r="P167" s="27" t="n"/>
      <c r="Q167" s="27" t="n"/>
      <c r="R167" s="27" t="n"/>
      <c r="S167" s="27" t="n"/>
      <c r="T167" s="25">
        <f>IF($C167="","",IF(OR(ISNUMBER(SEARCH("quick case",$P167)),ISNUMBER(SEARCH("quick case",$Q167))),"Yes","No"))</f>
        <v/>
      </c>
      <c r="U167" s="25">
        <f>IF($O167="Invalid",HYPERLINK("mailto:"&amp;$G167&amp;";"&amp;$I167&amp;"?cc="&amp;Lists!$E$2&amp;"&amp;subject="&amp;_xlfn.ENCODEURL("[INVALID] Quality audit monitoring completed for "&amp;UPPER($C167))&amp;"&amp;body="&amp;_xlfn.ENCODEURL("Hi "&amp;$F167&amp;","&amp;CHAR(10)&amp;"Good day!"&amp;CHAR(10)&amp;CHAR(10)&amp;"A quality monitoring audit has been completed for "&amp;$C167&amp;"."&amp;CHAR(10)&amp;CHAR(10)&amp;"QUALITY AUDIT DETAILS"&amp;CHAR(10)&amp;"Agent Name: "&amp;$C167&amp;" (EID "&amp;$D167&amp;")"&amp;CHAR(10)&amp;"Audit Date: "&amp;TEXT($B167,"yyyy-mm-dd")&amp;CHAR(10)&amp;"Team Leader: "&amp;$F167&amp;CHAR(10)&amp;"Case Number: "&amp;$M167&amp;CHAR(10)&amp;"Transaction ID: "&amp;$N167&amp;CHAR(10)&amp;"Channel / LOB: "&amp;$K167&amp;" / "&amp;$L167&amp;CHAR(10)&amp;"Evaluator: "&amp;$S167&amp;CHAR(10)&amp;CHAR(10)&amp;"INVALID QUALITY AUDIT DETAILS"&amp;CHAR(10)&amp;"Validation: Invalid"&amp;CHAR(10)&amp;"Invalid Reason: "&amp;$P167&amp;CHAR(10)&amp;"Expected Resolution Code: "&amp;$Q167&amp;CHAR(10)&amp;"Remarks: "&amp;LEFT($R167,600)&amp;CHAR(10)&amp;CHAR(10)&amp;"This is an automated notification from HP Mainstream EQMS."),"✉ Open Email Draft"),"")</f>
        <v/>
      </c>
    </row>
    <row r="168">
      <c r="A168" s="25">
        <f>IF($C168="","","AUD-2026-"&amp;TEXT(ROW()-1,"000000"))</f>
        <v/>
      </c>
      <c r="B168" s="26" t="n"/>
      <c r="C168" s="27" t="n"/>
      <c r="D168" s="25">
        <f>IF($C168="","",IFERROR(IF(INDEX(Roster!$A:$A,MATCH($C168,Roster!$B:$B,0))="","",INDEX(Roster!$A:$A,MATCH($C168,Roster!$B:$B,0))&amp;""),"—"))</f>
        <v/>
      </c>
      <c r="E168" s="25">
        <f>IF($C168="","",IFERROR(IF(INDEX(Roster!$C:$C,MATCH($C168,Roster!$B:$B,0))="","",INDEX(Roster!$C:$C,MATCH($C168,Roster!$B:$B,0))&amp;""),"—"))</f>
        <v/>
      </c>
      <c r="F168" s="25">
        <f>IF($C168="","",IFERROR(IF(INDEX(Roster!$D:$D,MATCH($C168,Roster!$B:$B,0))="","",INDEX(Roster!$D:$D,MATCH($C168,Roster!$B:$B,0))&amp;""),"—"))</f>
        <v/>
      </c>
      <c r="G168" s="25">
        <f>IF($C168="","",IFERROR(IF(INDEX(Roster!$E:$E,MATCH($C168,Roster!$B:$B,0))="","",INDEX(Roster!$E:$E,MATCH($C168,Roster!$B:$B,0))&amp;""),"—"))</f>
        <v/>
      </c>
      <c r="H168" s="25">
        <f>IF($C168="","",IFERROR(IF(INDEX(Roster!$F:$F,MATCH($C168,Roster!$B:$B,0))="","",INDEX(Roster!$F:$F,MATCH($C168,Roster!$B:$B,0))&amp;""),"—"))</f>
        <v/>
      </c>
      <c r="I168" s="25">
        <f>IF($C168="","",IFERROR(IF(INDEX(Roster!$G:$G,MATCH($C168,Roster!$B:$B,0))="","",INDEX(Roster!$G:$G,MATCH($C168,Roster!$B:$B,0))&amp;""),"—"))</f>
        <v/>
      </c>
      <c r="J168" s="25">
        <f>IF($C168="","",IFERROR(IF(INDEX(Roster!$I:$I,MATCH($C168,Roster!$B:$B,0))="","",INDEX(Roster!$I:$I,MATCH($C168,Roster!$B:$B,0))&amp;""),"—"))</f>
        <v/>
      </c>
      <c r="K168">
        <f>IF($C168="","",IFERROR(IF(INDEX(Roster!$J:$J,MATCH($C168,Roster!$B:$B,0))="","",INDEX(Roster!$J:$J,MATCH($C168,Roster!$B:$B,0))&amp;""),"—"))</f>
        <v/>
      </c>
      <c r="L168">
        <f>IF($C168="","",IFERROR(IF(INDEX(Roster!$K:$K,MATCH($C168,Roster!$B:$B,0))="","",INDEX(Roster!$K:$K,MATCH($C168,Roster!$B:$B,0))&amp;""),"—"))</f>
        <v/>
      </c>
      <c r="M168" s="27" t="n"/>
      <c r="N168" s="27" t="n"/>
      <c r="O168" s="25">
        <f>IF($C168="","",IF($P168="","—",IF($P168="Valid (Pass)","Valid","Invalid")))</f>
        <v/>
      </c>
      <c r="P168" s="27" t="n"/>
      <c r="Q168" s="27" t="n"/>
      <c r="R168" s="27" t="n"/>
      <c r="S168" s="27" t="n"/>
      <c r="T168" s="25">
        <f>IF($C168="","",IF(OR(ISNUMBER(SEARCH("quick case",$P168)),ISNUMBER(SEARCH("quick case",$Q168))),"Yes","No"))</f>
        <v/>
      </c>
      <c r="U168" s="25">
        <f>IF($O168="Invalid",HYPERLINK("mailto:"&amp;$G168&amp;";"&amp;$I168&amp;"?cc="&amp;Lists!$E$2&amp;"&amp;subject="&amp;_xlfn.ENCODEURL("[INVALID] Quality audit monitoring completed for "&amp;UPPER($C168))&amp;"&amp;body="&amp;_xlfn.ENCODEURL("Hi "&amp;$F168&amp;","&amp;CHAR(10)&amp;"Good day!"&amp;CHAR(10)&amp;CHAR(10)&amp;"A quality monitoring audit has been completed for "&amp;$C168&amp;"."&amp;CHAR(10)&amp;CHAR(10)&amp;"QUALITY AUDIT DETAILS"&amp;CHAR(10)&amp;"Agent Name: "&amp;$C168&amp;" (EID "&amp;$D168&amp;")"&amp;CHAR(10)&amp;"Audit Date: "&amp;TEXT($B168,"yyyy-mm-dd")&amp;CHAR(10)&amp;"Team Leader: "&amp;$F168&amp;CHAR(10)&amp;"Case Number: "&amp;$M168&amp;CHAR(10)&amp;"Transaction ID: "&amp;$N168&amp;CHAR(10)&amp;"Channel / LOB: "&amp;$K168&amp;" / "&amp;$L168&amp;CHAR(10)&amp;"Evaluator: "&amp;$S168&amp;CHAR(10)&amp;CHAR(10)&amp;"INVALID QUALITY AUDIT DETAILS"&amp;CHAR(10)&amp;"Validation: Invalid"&amp;CHAR(10)&amp;"Invalid Reason: "&amp;$P168&amp;CHAR(10)&amp;"Expected Resolution Code: "&amp;$Q168&amp;CHAR(10)&amp;"Remarks: "&amp;LEFT($R168,600)&amp;CHAR(10)&amp;CHAR(10)&amp;"This is an automated notification from HP Mainstream EQMS."),"✉ Open Email Draft"),"")</f>
        <v/>
      </c>
    </row>
    <row r="169">
      <c r="A169" s="25">
        <f>IF($C169="","","AUD-2026-"&amp;TEXT(ROW()-1,"000000"))</f>
        <v/>
      </c>
      <c r="B169" s="26" t="n"/>
      <c r="C169" s="27" t="n"/>
      <c r="D169" s="25">
        <f>IF($C169="","",IFERROR(IF(INDEX(Roster!$A:$A,MATCH($C169,Roster!$B:$B,0))="","",INDEX(Roster!$A:$A,MATCH($C169,Roster!$B:$B,0))&amp;""),"—"))</f>
        <v/>
      </c>
      <c r="E169" s="25">
        <f>IF($C169="","",IFERROR(IF(INDEX(Roster!$C:$C,MATCH($C169,Roster!$B:$B,0))="","",INDEX(Roster!$C:$C,MATCH($C169,Roster!$B:$B,0))&amp;""),"—"))</f>
        <v/>
      </c>
      <c r="F169" s="25">
        <f>IF($C169="","",IFERROR(IF(INDEX(Roster!$D:$D,MATCH($C169,Roster!$B:$B,0))="","",INDEX(Roster!$D:$D,MATCH($C169,Roster!$B:$B,0))&amp;""),"—"))</f>
        <v/>
      </c>
      <c r="G169" s="25">
        <f>IF($C169="","",IFERROR(IF(INDEX(Roster!$E:$E,MATCH($C169,Roster!$B:$B,0))="","",INDEX(Roster!$E:$E,MATCH($C169,Roster!$B:$B,0))&amp;""),"—"))</f>
        <v/>
      </c>
      <c r="H169" s="25">
        <f>IF($C169="","",IFERROR(IF(INDEX(Roster!$F:$F,MATCH($C169,Roster!$B:$B,0))="","",INDEX(Roster!$F:$F,MATCH($C169,Roster!$B:$B,0))&amp;""),"—"))</f>
        <v/>
      </c>
      <c r="I169" s="25">
        <f>IF($C169="","",IFERROR(IF(INDEX(Roster!$G:$G,MATCH($C169,Roster!$B:$B,0))="","",INDEX(Roster!$G:$G,MATCH($C169,Roster!$B:$B,0))&amp;""),"—"))</f>
        <v/>
      </c>
      <c r="J169" s="25">
        <f>IF($C169="","",IFERROR(IF(INDEX(Roster!$I:$I,MATCH($C169,Roster!$B:$B,0))="","",INDEX(Roster!$I:$I,MATCH($C169,Roster!$B:$B,0))&amp;""),"—"))</f>
        <v/>
      </c>
      <c r="K169">
        <f>IF($C169="","",IFERROR(IF(INDEX(Roster!$J:$J,MATCH($C169,Roster!$B:$B,0))="","",INDEX(Roster!$J:$J,MATCH($C169,Roster!$B:$B,0))&amp;""),"—"))</f>
        <v/>
      </c>
      <c r="L169">
        <f>IF($C169="","",IFERROR(IF(INDEX(Roster!$K:$K,MATCH($C169,Roster!$B:$B,0))="","",INDEX(Roster!$K:$K,MATCH($C169,Roster!$B:$B,0))&amp;""),"—"))</f>
        <v/>
      </c>
      <c r="M169" s="27" t="n"/>
      <c r="N169" s="27" t="n"/>
      <c r="O169" s="25">
        <f>IF($C169="","",IF($P169="","—",IF($P169="Valid (Pass)","Valid","Invalid")))</f>
        <v/>
      </c>
      <c r="P169" s="27" t="n"/>
      <c r="Q169" s="27" t="n"/>
      <c r="R169" s="27" t="n"/>
      <c r="S169" s="27" t="n"/>
      <c r="T169" s="25">
        <f>IF($C169="","",IF(OR(ISNUMBER(SEARCH("quick case",$P169)),ISNUMBER(SEARCH("quick case",$Q169))),"Yes","No"))</f>
        <v/>
      </c>
      <c r="U169" s="25">
        <f>IF($O169="Invalid",HYPERLINK("mailto:"&amp;$G169&amp;";"&amp;$I169&amp;"?cc="&amp;Lists!$E$2&amp;"&amp;subject="&amp;_xlfn.ENCODEURL("[INVALID] Quality audit monitoring completed for "&amp;UPPER($C169))&amp;"&amp;body="&amp;_xlfn.ENCODEURL("Hi "&amp;$F169&amp;","&amp;CHAR(10)&amp;"Good day!"&amp;CHAR(10)&amp;CHAR(10)&amp;"A quality monitoring audit has been completed for "&amp;$C169&amp;"."&amp;CHAR(10)&amp;CHAR(10)&amp;"QUALITY AUDIT DETAILS"&amp;CHAR(10)&amp;"Agent Name: "&amp;$C169&amp;" (EID "&amp;$D169&amp;")"&amp;CHAR(10)&amp;"Audit Date: "&amp;TEXT($B169,"yyyy-mm-dd")&amp;CHAR(10)&amp;"Team Leader: "&amp;$F169&amp;CHAR(10)&amp;"Case Number: "&amp;$M169&amp;CHAR(10)&amp;"Transaction ID: "&amp;$N169&amp;CHAR(10)&amp;"Channel / LOB: "&amp;$K169&amp;" / "&amp;$L169&amp;CHAR(10)&amp;"Evaluator: "&amp;$S169&amp;CHAR(10)&amp;CHAR(10)&amp;"INVALID QUALITY AUDIT DETAILS"&amp;CHAR(10)&amp;"Validation: Invalid"&amp;CHAR(10)&amp;"Invalid Reason: "&amp;$P169&amp;CHAR(10)&amp;"Expected Resolution Code: "&amp;$Q169&amp;CHAR(10)&amp;"Remarks: "&amp;LEFT($R169,600)&amp;CHAR(10)&amp;CHAR(10)&amp;"This is an automated notification from HP Mainstream EQMS."),"✉ Open Email Draft"),"")</f>
        <v/>
      </c>
    </row>
    <row r="170">
      <c r="A170" s="25">
        <f>IF($C170="","","AUD-2026-"&amp;TEXT(ROW()-1,"000000"))</f>
        <v/>
      </c>
      <c r="B170" s="26" t="n"/>
      <c r="C170" s="27" t="n"/>
      <c r="D170" s="25">
        <f>IF($C170="","",IFERROR(IF(INDEX(Roster!$A:$A,MATCH($C170,Roster!$B:$B,0))="","",INDEX(Roster!$A:$A,MATCH($C170,Roster!$B:$B,0))&amp;""),"—"))</f>
        <v/>
      </c>
      <c r="E170" s="25">
        <f>IF($C170="","",IFERROR(IF(INDEX(Roster!$C:$C,MATCH($C170,Roster!$B:$B,0))="","",INDEX(Roster!$C:$C,MATCH($C170,Roster!$B:$B,0))&amp;""),"—"))</f>
        <v/>
      </c>
      <c r="F170" s="25">
        <f>IF($C170="","",IFERROR(IF(INDEX(Roster!$D:$D,MATCH($C170,Roster!$B:$B,0))="","",INDEX(Roster!$D:$D,MATCH($C170,Roster!$B:$B,0))&amp;""),"—"))</f>
        <v/>
      </c>
      <c r="G170" s="25">
        <f>IF($C170="","",IFERROR(IF(INDEX(Roster!$E:$E,MATCH($C170,Roster!$B:$B,0))="","",INDEX(Roster!$E:$E,MATCH($C170,Roster!$B:$B,0))&amp;""),"—"))</f>
        <v/>
      </c>
      <c r="H170" s="25">
        <f>IF($C170="","",IFERROR(IF(INDEX(Roster!$F:$F,MATCH($C170,Roster!$B:$B,0))="","",INDEX(Roster!$F:$F,MATCH($C170,Roster!$B:$B,0))&amp;""),"—"))</f>
        <v/>
      </c>
      <c r="I170" s="25">
        <f>IF($C170="","",IFERROR(IF(INDEX(Roster!$G:$G,MATCH($C170,Roster!$B:$B,0))="","",INDEX(Roster!$G:$G,MATCH($C170,Roster!$B:$B,0))&amp;""),"—"))</f>
        <v/>
      </c>
      <c r="J170" s="25">
        <f>IF($C170="","",IFERROR(IF(INDEX(Roster!$I:$I,MATCH($C170,Roster!$B:$B,0))="","",INDEX(Roster!$I:$I,MATCH($C170,Roster!$B:$B,0))&amp;""),"—"))</f>
        <v/>
      </c>
      <c r="K170">
        <f>IF($C170="","",IFERROR(IF(INDEX(Roster!$J:$J,MATCH($C170,Roster!$B:$B,0))="","",INDEX(Roster!$J:$J,MATCH($C170,Roster!$B:$B,0))&amp;""),"—"))</f>
        <v/>
      </c>
      <c r="L170">
        <f>IF($C170="","",IFERROR(IF(INDEX(Roster!$K:$K,MATCH($C170,Roster!$B:$B,0))="","",INDEX(Roster!$K:$K,MATCH($C170,Roster!$B:$B,0))&amp;""),"—"))</f>
        <v/>
      </c>
      <c r="M170" s="27" t="n"/>
      <c r="N170" s="27" t="n"/>
      <c r="O170" s="25">
        <f>IF($C170="","",IF($P170="","—",IF($P170="Valid (Pass)","Valid","Invalid")))</f>
        <v/>
      </c>
      <c r="P170" s="27" t="n"/>
      <c r="Q170" s="27" t="n"/>
      <c r="R170" s="27" t="n"/>
      <c r="S170" s="27" t="n"/>
      <c r="T170" s="25">
        <f>IF($C170="","",IF(OR(ISNUMBER(SEARCH("quick case",$P170)),ISNUMBER(SEARCH("quick case",$Q170))),"Yes","No"))</f>
        <v/>
      </c>
      <c r="U170" s="25">
        <f>IF($O170="Invalid",HYPERLINK("mailto:"&amp;$G170&amp;";"&amp;$I170&amp;"?cc="&amp;Lists!$E$2&amp;"&amp;subject="&amp;_xlfn.ENCODEURL("[INVALID] Quality audit monitoring completed for "&amp;UPPER($C170))&amp;"&amp;body="&amp;_xlfn.ENCODEURL("Hi "&amp;$F170&amp;","&amp;CHAR(10)&amp;"Good day!"&amp;CHAR(10)&amp;CHAR(10)&amp;"A quality monitoring audit has been completed for "&amp;$C170&amp;"."&amp;CHAR(10)&amp;CHAR(10)&amp;"QUALITY AUDIT DETAILS"&amp;CHAR(10)&amp;"Agent Name: "&amp;$C170&amp;" (EID "&amp;$D170&amp;")"&amp;CHAR(10)&amp;"Audit Date: "&amp;TEXT($B170,"yyyy-mm-dd")&amp;CHAR(10)&amp;"Team Leader: "&amp;$F170&amp;CHAR(10)&amp;"Case Number: "&amp;$M170&amp;CHAR(10)&amp;"Transaction ID: "&amp;$N170&amp;CHAR(10)&amp;"Channel / LOB: "&amp;$K170&amp;" / "&amp;$L170&amp;CHAR(10)&amp;"Evaluator: "&amp;$S170&amp;CHAR(10)&amp;CHAR(10)&amp;"INVALID QUALITY AUDIT DETAILS"&amp;CHAR(10)&amp;"Validation: Invalid"&amp;CHAR(10)&amp;"Invalid Reason: "&amp;$P170&amp;CHAR(10)&amp;"Expected Resolution Code: "&amp;$Q170&amp;CHAR(10)&amp;"Remarks: "&amp;LEFT($R170,600)&amp;CHAR(10)&amp;CHAR(10)&amp;"This is an automated notification from HP Mainstream EQMS."),"✉ Open Email Draft"),"")</f>
        <v/>
      </c>
    </row>
    <row r="171">
      <c r="A171" s="25">
        <f>IF($C171="","","AUD-2026-"&amp;TEXT(ROW()-1,"000000"))</f>
        <v/>
      </c>
      <c r="B171" s="26" t="n"/>
      <c r="C171" s="27" t="n"/>
      <c r="D171" s="25">
        <f>IF($C171="","",IFERROR(IF(INDEX(Roster!$A:$A,MATCH($C171,Roster!$B:$B,0))="","",INDEX(Roster!$A:$A,MATCH($C171,Roster!$B:$B,0))&amp;""),"—"))</f>
        <v/>
      </c>
      <c r="E171" s="25">
        <f>IF($C171="","",IFERROR(IF(INDEX(Roster!$C:$C,MATCH($C171,Roster!$B:$B,0))="","",INDEX(Roster!$C:$C,MATCH($C171,Roster!$B:$B,0))&amp;""),"—"))</f>
        <v/>
      </c>
      <c r="F171" s="25">
        <f>IF($C171="","",IFERROR(IF(INDEX(Roster!$D:$D,MATCH($C171,Roster!$B:$B,0))="","",INDEX(Roster!$D:$D,MATCH($C171,Roster!$B:$B,0))&amp;""),"—"))</f>
        <v/>
      </c>
      <c r="G171" s="25">
        <f>IF($C171="","",IFERROR(IF(INDEX(Roster!$E:$E,MATCH($C171,Roster!$B:$B,0))="","",INDEX(Roster!$E:$E,MATCH($C171,Roster!$B:$B,0))&amp;""),"—"))</f>
        <v/>
      </c>
      <c r="H171" s="25">
        <f>IF($C171="","",IFERROR(IF(INDEX(Roster!$F:$F,MATCH($C171,Roster!$B:$B,0))="","",INDEX(Roster!$F:$F,MATCH($C171,Roster!$B:$B,0))&amp;""),"—"))</f>
        <v/>
      </c>
      <c r="I171" s="25">
        <f>IF($C171="","",IFERROR(IF(INDEX(Roster!$G:$G,MATCH($C171,Roster!$B:$B,0))="","",INDEX(Roster!$G:$G,MATCH($C171,Roster!$B:$B,0))&amp;""),"—"))</f>
        <v/>
      </c>
      <c r="J171" s="25">
        <f>IF($C171="","",IFERROR(IF(INDEX(Roster!$I:$I,MATCH($C171,Roster!$B:$B,0))="","",INDEX(Roster!$I:$I,MATCH($C171,Roster!$B:$B,0))&amp;""),"—"))</f>
        <v/>
      </c>
      <c r="K171">
        <f>IF($C171="","",IFERROR(IF(INDEX(Roster!$J:$J,MATCH($C171,Roster!$B:$B,0))="","",INDEX(Roster!$J:$J,MATCH($C171,Roster!$B:$B,0))&amp;""),"—"))</f>
        <v/>
      </c>
      <c r="L171">
        <f>IF($C171="","",IFERROR(IF(INDEX(Roster!$K:$K,MATCH($C171,Roster!$B:$B,0))="","",INDEX(Roster!$K:$K,MATCH($C171,Roster!$B:$B,0))&amp;""),"—"))</f>
        <v/>
      </c>
      <c r="M171" s="27" t="n"/>
      <c r="N171" s="27" t="n"/>
      <c r="O171" s="25">
        <f>IF($C171="","",IF($P171="","—",IF($P171="Valid (Pass)","Valid","Invalid")))</f>
        <v/>
      </c>
      <c r="P171" s="27" t="n"/>
      <c r="Q171" s="27" t="n"/>
      <c r="R171" s="27" t="n"/>
      <c r="S171" s="27" t="n"/>
      <c r="T171" s="25">
        <f>IF($C171="","",IF(OR(ISNUMBER(SEARCH("quick case",$P171)),ISNUMBER(SEARCH("quick case",$Q171))),"Yes","No"))</f>
        <v/>
      </c>
      <c r="U171" s="25">
        <f>IF($O171="Invalid",HYPERLINK("mailto:"&amp;$G171&amp;";"&amp;$I171&amp;"?cc="&amp;Lists!$E$2&amp;"&amp;subject="&amp;_xlfn.ENCODEURL("[INVALID] Quality audit monitoring completed for "&amp;UPPER($C171))&amp;"&amp;body="&amp;_xlfn.ENCODEURL("Hi "&amp;$F171&amp;","&amp;CHAR(10)&amp;"Good day!"&amp;CHAR(10)&amp;CHAR(10)&amp;"A quality monitoring audit has been completed for "&amp;$C171&amp;"."&amp;CHAR(10)&amp;CHAR(10)&amp;"QUALITY AUDIT DETAILS"&amp;CHAR(10)&amp;"Agent Name: "&amp;$C171&amp;" (EID "&amp;$D171&amp;")"&amp;CHAR(10)&amp;"Audit Date: "&amp;TEXT($B171,"yyyy-mm-dd")&amp;CHAR(10)&amp;"Team Leader: "&amp;$F171&amp;CHAR(10)&amp;"Case Number: "&amp;$M171&amp;CHAR(10)&amp;"Transaction ID: "&amp;$N171&amp;CHAR(10)&amp;"Channel / LOB: "&amp;$K171&amp;" / "&amp;$L171&amp;CHAR(10)&amp;"Evaluator: "&amp;$S171&amp;CHAR(10)&amp;CHAR(10)&amp;"INVALID QUALITY AUDIT DETAILS"&amp;CHAR(10)&amp;"Validation: Invalid"&amp;CHAR(10)&amp;"Invalid Reason: "&amp;$P171&amp;CHAR(10)&amp;"Expected Resolution Code: "&amp;$Q171&amp;CHAR(10)&amp;"Remarks: "&amp;LEFT($R171,600)&amp;CHAR(10)&amp;CHAR(10)&amp;"This is an automated notification from HP Mainstream EQMS."),"✉ Open Email Draft"),"")</f>
        <v/>
      </c>
    </row>
    <row r="172">
      <c r="A172" s="25">
        <f>IF($C172="","","AUD-2026-"&amp;TEXT(ROW()-1,"000000"))</f>
        <v/>
      </c>
      <c r="B172" s="26" t="n"/>
      <c r="C172" s="27" t="n"/>
      <c r="D172" s="25">
        <f>IF($C172="","",IFERROR(IF(INDEX(Roster!$A:$A,MATCH($C172,Roster!$B:$B,0))="","",INDEX(Roster!$A:$A,MATCH($C172,Roster!$B:$B,0))&amp;""),"—"))</f>
        <v/>
      </c>
      <c r="E172" s="25">
        <f>IF($C172="","",IFERROR(IF(INDEX(Roster!$C:$C,MATCH($C172,Roster!$B:$B,0))="","",INDEX(Roster!$C:$C,MATCH($C172,Roster!$B:$B,0))&amp;""),"—"))</f>
        <v/>
      </c>
      <c r="F172" s="25">
        <f>IF($C172="","",IFERROR(IF(INDEX(Roster!$D:$D,MATCH($C172,Roster!$B:$B,0))="","",INDEX(Roster!$D:$D,MATCH($C172,Roster!$B:$B,0))&amp;""),"—"))</f>
        <v/>
      </c>
      <c r="G172" s="25">
        <f>IF($C172="","",IFERROR(IF(INDEX(Roster!$E:$E,MATCH($C172,Roster!$B:$B,0))="","",INDEX(Roster!$E:$E,MATCH($C172,Roster!$B:$B,0))&amp;""),"—"))</f>
        <v/>
      </c>
      <c r="H172" s="25">
        <f>IF($C172="","",IFERROR(IF(INDEX(Roster!$F:$F,MATCH($C172,Roster!$B:$B,0))="","",INDEX(Roster!$F:$F,MATCH($C172,Roster!$B:$B,0))&amp;""),"—"))</f>
        <v/>
      </c>
      <c r="I172" s="25">
        <f>IF($C172="","",IFERROR(IF(INDEX(Roster!$G:$G,MATCH($C172,Roster!$B:$B,0))="","",INDEX(Roster!$G:$G,MATCH($C172,Roster!$B:$B,0))&amp;""),"—"))</f>
        <v/>
      </c>
      <c r="J172" s="25">
        <f>IF($C172="","",IFERROR(IF(INDEX(Roster!$I:$I,MATCH($C172,Roster!$B:$B,0))="","",INDEX(Roster!$I:$I,MATCH($C172,Roster!$B:$B,0))&amp;""),"—"))</f>
        <v/>
      </c>
      <c r="K172">
        <f>IF($C172="","",IFERROR(IF(INDEX(Roster!$J:$J,MATCH($C172,Roster!$B:$B,0))="","",INDEX(Roster!$J:$J,MATCH($C172,Roster!$B:$B,0))&amp;""),"—"))</f>
        <v/>
      </c>
      <c r="L172">
        <f>IF($C172="","",IFERROR(IF(INDEX(Roster!$K:$K,MATCH($C172,Roster!$B:$B,0))="","",INDEX(Roster!$K:$K,MATCH($C172,Roster!$B:$B,0))&amp;""),"—"))</f>
        <v/>
      </c>
      <c r="M172" s="27" t="n"/>
      <c r="N172" s="27" t="n"/>
      <c r="O172" s="25">
        <f>IF($C172="","",IF($P172="","—",IF($P172="Valid (Pass)","Valid","Invalid")))</f>
        <v/>
      </c>
      <c r="P172" s="27" t="n"/>
      <c r="Q172" s="27" t="n"/>
      <c r="R172" s="27" t="n"/>
      <c r="S172" s="27" t="n"/>
      <c r="T172" s="25">
        <f>IF($C172="","",IF(OR(ISNUMBER(SEARCH("quick case",$P172)),ISNUMBER(SEARCH("quick case",$Q172))),"Yes","No"))</f>
        <v/>
      </c>
      <c r="U172" s="25">
        <f>IF($O172="Invalid",HYPERLINK("mailto:"&amp;$G172&amp;";"&amp;$I172&amp;"?cc="&amp;Lists!$E$2&amp;"&amp;subject="&amp;_xlfn.ENCODEURL("[INVALID] Quality audit monitoring completed for "&amp;UPPER($C172))&amp;"&amp;body="&amp;_xlfn.ENCODEURL("Hi "&amp;$F172&amp;","&amp;CHAR(10)&amp;"Good day!"&amp;CHAR(10)&amp;CHAR(10)&amp;"A quality monitoring audit has been completed for "&amp;$C172&amp;"."&amp;CHAR(10)&amp;CHAR(10)&amp;"QUALITY AUDIT DETAILS"&amp;CHAR(10)&amp;"Agent Name: "&amp;$C172&amp;" (EID "&amp;$D172&amp;")"&amp;CHAR(10)&amp;"Audit Date: "&amp;TEXT($B172,"yyyy-mm-dd")&amp;CHAR(10)&amp;"Team Leader: "&amp;$F172&amp;CHAR(10)&amp;"Case Number: "&amp;$M172&amp;CHAR(10)&amp;"Transaction ID: "&amp;$N172&amp;CHAR(10)&amp;"Channel / LOB: "&amp;$K172&amp;" / "&amp;$L172&amp;CHAR(10)&amp;"Evaluator: "&amp;$S172&amp;CHAR(10)&amp;CHAR(10)&amp;"INVALID QUALITY AUDIT DETAILS"&amp;CHAR(10)&amp;"Validation: Invalid"&amp;CHAR(10)&amp;"Invalid Reason: "&amp;$P172&amp;CHAR(10)&amp;"Expected Resolution Code: "&amp;$Q172&amp;CHAR(10)&amp;"Remarks: "&amp;LEFT($R172,600)&amp;CHAR(10)&amp;CHAR(10)&amp;"This is an automated notification from HP Mainstream EQMS."),"✉ Open Email Draft"),"")</f>
        <v/>
      </c>
    </row>
    <row r="173">
      <c r="A173" s="25">
        <f>IF($C173="","","AUD-2026-"&amp;TEXT(ROW()-1,"000000"))</f>
        <v/>
      </c>
      <c r="B173" s="26" t="n"/>
      <c r="C173" s="27" t="n"/>
      <c r="D173" s="25">
        <f>IF($C173="","",IFERROR(IF(INDEX(Roster!$A:$A,MATCH($C173,Roster!$B:$B,0))="","",INDEX(Roster!$A:$A,MATCH($C173,Roster!$B:$B,0))&amp;""),"—"))</f>
        <v/>
      </c>
      <c r="E173" s="25">
        <f>IF($C173="","",IFERROR(IF(INDEX(Roster!$C:$C,MATCH($C173,Roster!$B:$B,0))="","",INDEX(Roster!$C:$C,MATCH($C173,Roster!$B:$B,0))&amp;""),"—"))</f>
        <v/>
      </c>
      <c r="F173" s="25">
        <f>IF($C173="","",IFERROR(IF(INDEX(Roster!$D:$D,MATCH($C173,Roster!$B:$B,0))="","",INDEX(Roster!$D:$D,MATCH($C173,Roster!$B:$B,0))&amp;""),"—"))</f>
        <v/>
      </c>
      <c r="G173" s="25">
        <f>IF($C173="","",IFERROR(IF(INDEX(Roster!$E:$E,MATCH($C173,Roster!$B:$B,0))="","",INDEX(Roster!$E:$E,MATCH($C173,Roster!$B:$B,0))&amp;""),"—"))</f>
        <v/>
      </c>
      <c r="H173" s="25">
        <f>IF($C173="","",IFERROR(IF(INDEX(Roster!$F:$F,MATCH($C173,Roster!$B:$B,0))="","",INDEX(Roster!$F:$F,MATCH($C173,Roster!$B:$B,0))&amp;""),"—"))</f>
        <v/>
      </c>
      <c r="I173" s="25">
        <f>IF($C173="","",IFERROR(IF(INDEX(Roster!$G:$G,MATCH($C173,Roster!$B:$B,0))="","",INDEX(Roster!$G:$G,MATCH($C173,Roster!$B:$B,0))&amp;""),"—"))</f>
        <v/>
      </c>
      <c r="J173" s="25">
        <f>IF($C173="","",IFERROR(IF(INDEX(Roster!$I:$I,MATCH($C173,Roster!$B:$B,0))="","",INDEX(Roster!$I:$I,MATCH($C173,Roster!$B:$B,0))&amp;""),"—"))</f>
        <v/>
      </c>
      <c r="K173">
        <f>IF($C173="","",IFERROR(IF(INDEX(Roster!$J:$J,MATCH($C173,Roster!$B:$B,0))="","",INDEX(Roster!$J:$J,MATCH($C173,Roster!$B:$B,0))&amp;""),"—"))</f>
        <v/>
      </c>
      <c r="L173">
        <f>IF($C173="","",IFERROR(IF(INDEX(Roster!$K:$K,MATCH($C173,Roster!$B:$B,0))="","",INDEX(Roster!$K:$K,MATCH($C173,Roster!$B:$B,0))&amp;""),"—"))</f>
        <v/>
      </c>
      <c r="M173" s="27" t="n"/>
      <c r="N173" s="27" t="n"/>
      <c r="O173" s="25">
        <f>IF($C173="","",IF($P173="","—",IF($P173="Valid (Pass)","Valid","Invalid")))</f>
        <v/>
      </c>
      <c r="P173" s="27" t="n"/>
      <c r="Q173" s="27" t="n"/>
      <c r="R173" s="27" t="n"/>
      <c r="S173" s="27" t="n"/>
      <c r="T173" s="25">
        <f>IF($C173="","",IF(OR(ISNUMBER(SEARCH("quick case",$P173)),ISNUMBER(SEARCH("quick case",$Q173))),"Yes","No"))</f>
        <v/>
      </c>
      <c r="U173" s="25">
        <f>IF($O173="Invalid",HYPERLINK("mailto:"&amp;$G173&amp;";"&amp;$I173&amp;"?cc="&amp;Lists!$E$2&amp;"&amp;subject="&amp;_xlfn.ENCODEURL("[INVALID] Quality audit monitoring completed for "&amp;UPPER($C173))&amp;"&amp;body="&amp;_xlfn.ENCODEURL("Hi "&amp;$F173&amp;","&amp;CHAR(10)&amp;"Good day!"&amp;CHAR(10)&amp;CHAR(10)&amp;"A quality monitoring audit has been completed for "&amp;$C173&amp;"."&amp;CHAR(10)&amp;CHAR(10)&amp;"QUALITY AUDIT DETAILS"&amp;CHAR(10)&amp;"Agent Name: "&amp;$C173&amp;" (EID "&amp;$D173&amp;")"&amp;CHAR(10)&amp;"Audit Date: "&amp;TEXT($B173,"yyyy-mm-dd")&amp;CHAR(10)&amp;"Team Leader: "&amp;$F173&amp;CHAR(10)&amp;"Case Number: "&amp;$M173&amp;CHAR(10)&amp;"Transaction ID: "&amp;$N173&amp;CHAR(10)&amp;"Channel / LOB: "&amp;$K173&amp;" / "&amp;$L173&amp;CHAR(10)&amp;"Evaluator: "&amp;$S173&amp;CHAR(10)&amp;CHAR(10)&amp;"INVALID QUALITY AUDIT DETAILS"&amp;CHAR(10)&amp;"Validation: Invalid"&amp;CHAR(10)&amp;"Invalid Reason: "&amp;$P173&amp;CHAR(10)&amp;"Expected Resolution Code: "&amp;$Q173&amp;CHAR(10)&amp;"Remarks: "&amp;LEFT($R173,600)&amp;CHAR(10)&amp;CHAR(10)&amp;"This is an automated notification from HP Mainstream EQMS."),"✉ Open Email Draft"),"")</f>
        <v/>
      </c>
    </row>
    <row r="174">
      <c r="A174" s="25">
        <f>IF($C174="","","AUD-2026-"&amp;TEXT(ROW()-1,"000000"))</f>
        <v/>
      </c>
      <c r="B174" s="26" t="n"/>
      <c r="C174" s="27" t="n"/>
      <c r="D174" s="25">
        <f>IF($C174="","",IFERROR(IF(INDEX(Roster!$A:$A,MATCH($C174,Roster!$B:$B,0))="","",INDEX(Roster!$A:$A,MATCH($C174,Roster!$B:$B,0))&amp;""),"—"))</f>
        <v/>
      </c>
      <c r="E174" s="25">
        <f>IF($C174="","",IFERROR(IF(INDEX(Roster!$C:$C,MATCH($C174,Roster!$B:$B,0))="","",INDEX(Roster!$C:$C,MATCH($C174,Roster!$B:$B,0))&amp;""),"—"))</f>
        <v/>
      </c>
      <c r="F174" s="25">
        <f>IF($C174="","",IFERROR(IF(INDEX(Roster!$D:$D,MATCH($C174,Roster!$B:$B,0))="","",INDEX(Roster!$D:$D,MATCH($C174,Roster!$B:$B,0))&amp;""),"—"))</f>
        <v/>
      </c>
      <c r="G174" s="25">
        <f>IF($C174="","",IFERROR(IF(INDEX(Roster!$E:$E,MATCH($C174,Roster!$B:$B,0))="","",INDEX(Roster!$E:$E,MATCH($C174,Roster!$B:$B,0))&amp;""),"—"))</f>
        <v/>
      </c>
      <c r="H174" s="25">
        <f>IF($C174="","",IFERROR(IF(INDEX(Roster!$F:$F,MATCH($C174,Roster!$B:$B,0))="","",INDEX(Roster!$F:$F,MATCH($C174,Roster!$B:$B,0))&amp;""),"—"))</f>
        <v/>
      </c>
      <c r="I174" s="25">
        <f>IF($C174="","",IFERROR(IF(INDEX(Roster!$G:$G,MATCH($C174,Roster!$B:$B,0))="","",INDEX(Roster!$G:$G,MATCH($C174,Roster!$B:$B,0))&amp;""),"—"))</f>
        <v/>
      </c>
      <c r="J174" s="25">
        <f>IF($C174="","",IFERROR(IF(INDEX(Roster!$I:$I,MATCH($C174,Roster!$B:$B,0))="","",INDEX(Roster!$I:$I,MATCH($C174,Roster!$B:$B,0))&amp;""),"—"))</f>
        <v/>
      </c>
      <c r="K174">
        <f>IF($C174="","",IFERROR(IF(INDEX(Roster!$J:$J,MATCH($C174,Roster!$B:$B,0))="","",INDEX(Roster!$J:$J,MATCH($C174,Roster!$B:$B,0))&amp;""),"—"))</f>
        <v/>
      </c>
      <c r="L174">
        <f>IF($C174="","",IFERROR(IF(INDEX(Roster!$K:$K,MATCH($C174,Roster!$B:$B,0))="","",INDEX(Roster!$K:$K,MATCH($C174,Roster!$B:$B,0))&amp;""),"—"))</f>
        <v/>
      </c>
      <c r="M174" s="27" t="n"/>
      <c r="N174" s="27" t="n"/>
      <c r="O174" s="25">
        <f>IF($C174="","",IF($P174="","—",IF($P174="Valid (Pass)","Valid","Invalid")))</f>
        <v/>
      </c>
      <c r="P174" s="27" t="n"/>
      <c r="Q174" s="27" t="n"/>
      <c r="R174" s="27" t="n"/>
      <c r="S174" s="27" t="n"/>
      <c r="T174" s="25">
        <f>IF($C174="","",IF(OR(ISNUMBER(SEARCH("quick case",$P174)),ISNUMBER(SEARCH("quick case",$Q174))),"Yes","No"))</f>
        <v/>
      </c>
      <c r="U174" s="25">
        <f>IF($O174="Invalid",HYPERLINK("mailto:"&amp;$G174&amp;";"&amp;$I174&amp;"?cc="&amp;Lists!$E$2&amp;"&amp;subject="&amp;_xlfn.ENCODEURL("[INVALID] Quality audit monitoring completed for "&amp;UPPER($C174))&amp;"&amp;body="&amp;_xlfn.ENCODEURL("Hi "&amp;$F174&amp;","&amp;CHAR(10)&amp;"Good day!"&amp;CHAR(10)&amp;CHAR(10)&amp;"A quality monitoring audit has been completed for "&amp;$C174&amp;"."&amp;CHAR(10)&amp;CHAR(10)&amp;"QUALITY AUDIT DETAILS"&amp;CHAR(10)&amp;"Agent Name: "&amp;$C174&amp;" (EID "&amp;$D174&amp;")"&amp;CHAR(10)&amp;"Audit Date: "&amp;TEXT($B174,"yyyy-mm-dd")&amp;CHAR(10)&amp;"Team Leader: "&amp;$F174&amp;CHAR(10)&amp;"Case Number: "&amp;$M174&amp;CHAR(10)&amp;"Transaction ID: "&amp;$N174&amp;CHAR(10)&amp;"Channel / LOB: "&amp;$K174&amp;" / "&amp;$L174&amp;CHAR(10)&amp;"Evaluator: "&amp;$S174&amp;CHAR(10)&amp;CHAR(10)&amp;"INVALID QUALITY AUDIT DETAILS"&amp;CHAR(10)&amp;"Validation: Invalid"&amp;CHAR(10)&amp;"Invalid Reason: "&amp;$P174&amp;CHAR(10)&amp;"Expected Resolution Code: "&amp;$Q174&amp;CHAR(10)&amp;"Remarks: "&amp;LEFT($R174,600)&amp;CHAR(10)&amp;CHAR(10)&amp;"This is an automated notification from HP Mainstream EQMS."),"✉ Open Email Draft"),"")</f>
        <v/>
      </c>
    </row>
    <row r="175">
      <c r="A175" s="25">
        <f>IF($C175="","","AUD-2026-"&amp;TEXT(ROW()-1,"000000"))</f>
        <v/>
      </c>
      <c r="B175" s="26" t="n"/>
      <c r="C175" s="27" t="n"/>
      <c r="D175" s="25">
        <f>IF($C175="","",IFERROR(IF(INDEX(Roster!$A:$A,MATCH($C175,Roster!$B:$B,0))="","",INDEX(Roster!$A:$A,MATCH($C175,Roster!$B:$B,0))&amp;""),"—"))</f>
        <v/>
      </c>
      <c r="E175" s="25">
        <f>IF($C175="","",IFERROR(IF(INDEX(Roster!$C:$C,MATCH($C175,Roster!$B:$B,0))="","",INDEX(Roster!$C:$C,MATCH($C175,Roster!$B:$B,0))&amp;""),"—"))</f>
        <v/>
      </c>
      <c r="F175" s="25">
        <f>IF($C175="","",IFERROR(IF(INDEX(Roster!$D:$D,MATCH($C175,Roster!$B:$B,0))="","",INDEX(Roster!$D:$D,MATCH($C175,Roster!$B:$B,0))&amp;""),"—"))</f>
        <v/>
      </c>
      <c r="G175" s="25">
        <f>IF($C175="","",IFERROR(IF(INDEX(Roster!$E:$E,MATCH($C175,Roster!$B:$B,0))="","",INDEX(Roster!$E:$E,MATCH($C175,Roster!$B:$B,0))&amp;""),"—"))</f>
        <v/>
      </c>
      <c r="H175" s="25">
        <f>IF($C175="","",IFERROR(IF(INDEX(Roster!$F:$F,MATCH($C175,Roster!$B:$B,0))="","",INDEX(Roster!$F:$F,MATCH($C175,Roster!$B:$B,0))&amp;""),"—"))</f>
        <v/>
      </c>
      <c r="I175" s="25">
        <f>IF($C175="","",IFERROR(IF(INDEX(Roster!$G:$G,MATCH($C175,Roster!$B:$B,0))="","",INDEX(Roster!$G:$G,MATCH($C175,Roster!$B:$B,0))&amp;""),"—"))</f>
        <v/>
      </c>
      <c r="J175" s="25">
        <f>IF($C175="","",IFERROR(IF(INDEX(Roster!$I:$I,MATCH($C175,Roster!$B:$B,0))="","",INDEX(Roster!$I:$I,MATCH($C175,Roster!$B:$B,0))&amp;""),"—"))</f>
        <v/>
      </c>
      <c r="K175">
        <f>IF($C175="","",IFERROR(IF(INDEX(Roster!$J:$J,MATCH($C175,Roster!$B:$B,0))="","",INDEX(Roster!$J:$J,MATCH($C175,Roster!$B:$B,0))&amp;""),"—"))</f>
        <v/>
      </c>
      <c r="L175">
        <f>IF($C175="","",IFERROR(IF(INDEX(Roster!$K:$K,MATCH($C175,Roster!$B:$B,0))="","",INDEX(Roster!$K:$K,MATCH($C175,Roster!$B:$B,0))&amp;""),"—"))</f>
        <v/>
      </c>
      <c r="M175" s="27" t="n"/>
      <c r="N175" s="27" t="n"/>
      <c r="O175" s="25">
        <f>IF($C175="","",IF($P175="","—",IF($P175="Valid (Pass)","Valid","Invalid")))</f>
        <v/>
      </c>
      <c r="P175" s="27" t="n"/>
      <c r="Q175" s="27" t="n"/>
      <c r="R175" s="27" t="n"/>
      <c r="S175" s="27" t="n"/>
      <c r="T175" s="25">
        <f>IF($C175="","",IF(OR(ISNUMBER(SEARCH("quick case",$P175)),ISNUMBER(SEARCH("quick case",$Q175))),"Yes","No"))</f>
        <v/>
      </c>
      <c r="U175" s="25">
        <f>IF($O175="Invalid",HYPERLINK("mailto:"&amp;$G175&amp;";"&amp;$I175&amp;"?cc="&amp;Lists!$E$2&amp;"&amp;subject="&amp;_xlfn.ENCODEURL("[INVALID] Quality audit monitoring completed for "&amp;UPPER($C175))&amp;"&amp;body="&amp;_xlfn.ENCODEURL("Hi "&amp;$F175&amp;","&amp;CHAR(10)&amp;"Good day!"&amp;CHAR(10)&amp;CHAR(10)&amp;"A quality monitoring audit has been completed for "&amp;$C175&amp;"."&amp;CHAR(10)&amp;CHAR(10)&amp;"QUALITY AUDIT DETAILS"&amp;CHAR(10)&amp;"Agent Name: "&amp;$C175&amp;" (EID "&amp;$D175&amp;")"&amp;CHAR(10)&amp;"Audit Date: "&amp;TEXT($B175,"yyyy-mm-dd")&amp;CHAR(10)&amp;"Team Leader: "&amp;$F175&amp;CHAR(10)&amp;"Case Number: "&amp;$M175&amp;CHAR(10)&amp;"Transaction ID: "&amp;$N175&amp;CHAR(10)&amp;"Channel / LOB: "&amp;$K175&amp;" / "&amp;$L175&amp;CHAR(10)&amp;"Evaluator: "&amp;$S175&amp;CHAR(10)&amp;CHAR(10)&amp;"INVALID QUALITY AUDIT DETAILS"&amp;CHAR(10)&amp;"Validation: Invalid"&amp;CHAR(10)&amp;"Invalid Reason: "&amp;$P175&amp;CHAR(10)&amp;"Expected Resolution Code: "&amp;$Q175&amp;CHAR(10)&amp;"Remarks: "&amp;LEFT($R175,600)&amp;CHAR(10)&amp;CHAR(10)&amp;"This is an automated notification from HP Mainstream EQMS."),"✉ Open Email Draft"),"")</f>
        <v/>
      </c>
    </row>
    <row r="176">
      <c r="A176" s="25">
        <f>IF($C176="","","AUD-2026-"&amp;TEXT(ROW()-1,"000000"))</f>
        <v/>
      </c>
      <c r="B176" s="26" t="n"/>
      <c r="C176" s="27" t="n"/>
      <c r="D176" s="25">
        <f>IF($C176="","",IFERROR(IF(INDEX(Roster!$A:$A,MATCH($C176,Roster!$B:$B,0))="","",INDEX(Roster!$A:$A,MATCH($C176,Roster!$B:$B,0))&amp;""),"—"))</f>
        <v/>
      </c>
      <c r="E176" s="25">
        <f>IF($C176="","",IFERROR(IF(INDEX(Roster!$C:$C,MATCH($C176,Roster!$B:$B,0))="","",INDEX(Roster!$C:$C,MATCH($C176,Roster!$B:$B,0))&amp;""),"—"))</f>
        <v/>
      </c>
      <c r="F176" s="25">
        <f>IF($C176="","",IFERROR(IF(INDEX(Roster!$D:$D,MATCH($C176,Roster!$B:$B,0))="","",INDEX(Roster!$D:$D,MATCH($C176,Roster!$B:$B,0))&amp;""),"—"))</f>
        <v/>
      </c>
      <c r="G176" s="25">
        <f>IF($C176="","",IFERROR(IF(INDEX(Roster!$E:$E,MATCH($C176,Roster!$B:$B,0))="","",INDEX(Roster!$E:$E,MATCH($C176,Roster!$B:$B,0))&amp;""),"—"))</f>
        <v/>
      </c>
      <c r="H176" s="25">
        <f>IF($C176="","",IFERROR(IF(INDEX(Roster!$F:$F,MATCH($C176,Roster!$B:$B,0))="","",INDEX(Roster!$F:$F,MATCH($C176,Roster!$B:$B,0))&amp;""),"—"))</f>
        <v/>
      </c>
      <c r="I176" s="25">
        <f>IF($C176="","",IFERROR(IF(INDEX(Roster!$G:$G,MATCH($C176,Roster!$B:$B,0))="","",INDEX(Roster!$G:$G,MATCH($C176,Roster!$B:$B,0))&amp;""),"—"))</f>
        <v/>
      </c>
      <c r="J176" s="25">
        <f>IF($C176="","",IFERROR(IF(INDEX(Roster!$I:$I,MATCH($C176,Roster!$B:$B,0))="","",INDEX(Roster!$I:$I,MATCH($C176,Roster!$B:$B,0))&amp;""),"—"))</f>
        <v/>
      </c>
      <c r="K176">
        <f>IF($C176="","",IFERROR(IF(INDEX(Roster!$J:$J,MATCH($C176,Roster!$B:$B,0))="","",INDEX(Roster!$J:$J,MATCH($C176,Roster!$B:$B,0))&amp;""),"—"))</f>
        <v/>
      </c>
      <c r="L176">
        <f>IF($C176="","",IFERROR(IF(INDEX(Roster!$K:$K,MATCH($C176,Roster!$B:$B,0))="","",INDEX(Roster!$K:$K,MATCH($C176,Roster!$B:$B,0))&amp;""),"—"))</f>
        <v/>
      </c>
      <c r="M176" s="27" t="n"/>
      <c r="N176" s="27" t="n"/>
      <c r="O176" s="25">
        <f>IF($C176="","",IF($P176="","—",IF($P176="Valid (Pass)","Valid","Invalid")))</f>
        <v/>
      </c>
      <c r="P176" s="27" t="n"/>
      <c r="Q176" s="27" t="n"/>
      <c r="R176" s="27" t="n"/>
      <c r="S176" s="27" t="n"/>
      <c r="T176" s="25">
        <f>IF($C176="","",IF(OR(ISNUMBER(SEARCH("quick case",$P176)),ISNUMBER(SEARCH("quick case",$Q176))),"Yes","No"))</f>
        <v/>
      </c>
      <c r="U176" s="25">
        <f>IF($O176="Invalid",HYPERLINK("mailto:"&amp;$G176&amp;";"&amp;$I176&amp;"?cc="&amp;Lists!$E$2&amp;"&amp;subject="&amp;_xlfn.ENCODEURL("[INVALID] Quality audit monitoring completed for "&amp;UPPER($C176))&amp;"&amp;body="&amp;_xlfn.ENCODEURL("Hi "&amp;$F176&amp;","&amp;CHAR(10)&amp;"Good day!"&amp;CHAR(10)&amp;CHAR(10)&amp;"A quality monitoring audit has been completed for "&amp;$C176&amp;"."&amp;CHAR(10)&amp;CHAR(10)&amp;"QUALITY AUDIT DETAILS"&amp;CHAR(10)&amp;"Agent Name: "&amp;$C176&amp;" (EID "&amp;$D176&amp;")"&amp;CHAR(10)&amp;"Audit Date: "&amp;TEXT($B176,"yyyy-mm-dd")&amp;CHAR(10)&amp;"Team Leader: "&amp;$F176&amp;CHAR(10)&amp;"Case Number: "&amp;$M176&amp;CHAR(10)&amp;"Transaction ID: "&amp;$N176&amp;CHAR(10)&amp;"Channel / LOB: "&amp;$K176&amp;" / "&amp;$L176&amp;CHAR(10)&amp;"Evaluator: "&amp;$S176&amp;CHAR(10)&amp;CHAR(10)&amp;"INVALID QUALITY AUDIT DETAILS"&amp;CHAR(10)&amp;"Validation: Invalid"&amp;CHAR(10)&amp;"Invalid Reason: "&amp;$P176&amp;CHAR(10)&amp;"Expected Resolution Code: "&amp;$Q176&amp;CHAR(10)&amp;"Remarks: "&amp;LEFT($R176,600)&amp;CHAR(10)&amp;CHAR(10)&amp;"This is an automated notification from HP Mainstream EQMS."),"✉ Open Email Draft"),"")</f>
        <v/>
      </c>
    </row>
    <row r="177">
      <c r="A177" s="25">
        <f>IF($C177="","","AUD-2026-"&amp;TEXT(ROW()-1,"000000"))</f>
        <v/>
      </c>
      <c r="B177" s="26" t="n"/>
      <c r="C177" s="27" t="n"/>
      <c r="D177" s="25">
        <f>IF($C177="","",IFERROR(IF(INDEX(Roster!$A:$A,MATCH($C177,Roster!$B:$B,0))="","",INDEX(Roster!$A:$A,MATCH($C177,Roster!$B:$B,0))&amp;""),"—"))</f>
        <v/>
      </c>
      <c r="E177" s="25">
        <f>IF($C177="","",IFERROR(IF(INDEX(Roster!$C:$C,MATCH($C177,Roster!$B:$B,0))="","",INDEX(Roster!$C:$C,MATCH($C177,Roster!$B:$B,0))&amp;""),"—"))</f>
        <v/>
      </c>
      <c r="F177" s="25">
        <f>IF($C177="","",IFERROR(IF(INDEX(Roster!$D:$D,MATCH($C177,Roster!$B:$B,0))="","",INDEX(Roster!$D:$D,MATCH($C177,Roster!$B:$B,0))&amp;""),"—"))</f>
        <v/>
      </c>
      <c r="G177" s="25">
        <f>IF($C177="","",IFERROR(IF(INDEX(Roster!$E:$E,MATCH($C177,Roster!$B:$B,0))="","",INDEX(Roster!$E:$E,MATCH($C177,Roster!$B:$B,0))&amp;""),"—"))</f>
        <v/>
      </c>
      <c r="H177" s="25">
        <f>IF($C177="","",IFERROR(IF(INDEX(Roster!$F:$F,MATCH($C177,Roster!$B:$B,0))="","",INDEX(Roster!$F:$F,MATCH($C177,Roster!$B:$B,0))&amp;""),"—"))</f>
        <v/>
      </c>
      <c r="I177" s="25">
        <f>IF($C177="","",IFERROR(IF(INDEX(Roster!$G:$G,MATCH($C177,Roster!$B:$B,0))="","",INDEX(Roster!$G:$G,MATCH($C177,Roster!$B:$B,0))&amp;""),"—"))</f>
        <v/>
      </c>
      <c r="J177" s="25">
        <f>IF($C177="","",IFERROR(IF(INDEX(Roster!$I:$I,MATCH($C177,Roster!$B:$B,0))="","",INDEX(Roster!$I:$I,MATCH($C177,Roster!$B:$B,0))&amp;""),"—"))</f>
        <v/>
      </c>
      <c r="K177">
        <f>IF($C177="","",IFERROR(IF(INDEX(Roster!$J:$J,MATCH($C177,Roster!$B:$B,0))="","",INDEX(Roster!$J:$J,MATCH($C177,Roster!$B:$B,0))&amp;""),"—"))</f>
        <v/>
      </c>
      <c r="L177">
        <f>IF($C177="","",IFERROR(IF(INDEX(Roster!$K:$K,MATCH($C177,Roster!$B:$B,0))="","",INDEX(Roster!$K:$K,MATCH($C177,Roster!$B:$B,0))&amp;""),"—"))</f>
        <v/>
      </c>
      <c r="M177" s="27" t="n"/>
      <c r="N177" s="27" t="n"/>
      <c r="O177" s="25">
        <f>IF($C177="","",IF($P177="","—",IF($P177="Valid (Pass)","Valid","Invalid")))</f>
        <v/>
      </c>
      <c r="P177" s="27" t="n"/>
      <c r="Q177" s="27" t="n"/>
      <c r="R177" s="27" t="n"/>
      <c r="S177" s="27" t="n"/>
      <c r="T177" s="25">
        <f>IF($C177="","",IF(OR(ISNUMBER(SEARCH("quick case",$P177)),ISNUMBER(SEARCH("quick case",$Q177))),"Yes","No"))</f>
        <v/>
      </c>
      <c r="U177" s="25">
        <f>IF($O177="Invalid",HYPERLINK("mailto:"&amp;$G177&amp;";"&amp;$I177&amp;"?cc="&amp;Lists!$E$2&amp;"&amp;subject="&amp;_xlfn.ENCODEURL("[INVALID] Quality audit monitoring completed for "&amp;UPPER($C177))&amp;"&amp;body="&amp;_xlfn.ENCODEURL("Hi "&amp;$F177&amp;","&amp;CHAR(10)&amp;"Good day!"&amp;CHAR(10)&amp;CHAR(10)&amp;"A quality monitoring audit has been completed for "&amp;$C177&amp;"."&amp;CHAR(10)&amp;CHAR(10)&amp;"QUALITY AUDIT DETAILS"&amp;CHAR(10)&amp;"Agent Name: "&amp;$C177&amp;" (EID "&amp;$D177&amp;")"&amp;CHAR(10)&amp;"Audit Date: "&amp;TEXT($B177,"yyyy-mm-dd")&amp;CHAR(10)&amp;"Team Leader: "&amp;$F177&amp;CHAR(10)&amp;"Case Number: "&amp;$M177&amp;CHAR(10)&amp;"Transaction ID: "&amp;$N177&amp;CHAR(10)&amp;"Channel / LOB: "&amp;$K177&amp;" / "&amp;$L177&amp;CHAR(10)&amp;"Evaluator: "&amp;$S177&amp;CHAR(10)&amp;CHAR(10)&amp;"INVALID QUALITY AUDIT DETAILS"&amp;CHAR(10)&amp;"Validation: Invalid"&amp;CHAR(10)&amp;"Invalid Reason: "&amp;$P177&amp;CHAR(10)&amp;"Expected Resolution Code: "&amp;$Q177&amp;CHAR(10)&amp;"Remarks: "&amp;LEFT($R177,600)&amp;CHAR(10)&amp;CHAR(10)&amp;"This is an automated notification from HP Mainstream EQMS."),"✉ Open Email Draft"),"")</f>
        <v/>
      </c>
    </row>
    <row r="178">
      <c r="A178" s="25">
        <f>IF($C178="","","AUD-2026-"&amp;TEXT(ROW()-1,"000000"))</f>
        <v/>
      </c>
      <c r="B178" s="26" t="n"/>
      <c r="C178" s="27" t="n"/>
      <c r="D178" s="25">
        <f>IF($C178="","",IFERROR(IF(INDEX(Roster!$A:$A,MATCH($C178,Roster!$B:$B,0))="","",INDEX(Roster!$A:$A,MATCH($C178,Roster!$B:$B,0))&amp;""),"—"))</f>
        <v/>
      </c>
      <c r="E178" s="25">
        <f>IF($C178="","",IFERROR(IF(INDEX(Roster!$C:$C,MATCH($C178,Roster!$B:$B,0))="","",INDEX(Roster!$C:$C,MATCH($C178,Roster!$B:$B,0))&amp;""),"—"))</f>
        <v/>
      </c>
      <c r="F178" s="25">
        <f>IF($C178="","",IFERROR(IF(INDEX(Roster!$D:$D,MATCH($C178,Roster!$B:$B,0))="","",INDEX(Roster!$D:$D,MATCH($C178,Roster!$B:$B,0))&amp;""),"—"))</f>
        <v/>
      </c>
      <c r="G178" s="25">
        <f>IF($C178="","",IFERROR(IF(INDEX(Roster!$E:$E,MATCH($C178,Roster!$B:$B,0))="","",INDEX(Roster!$E:$E,MATCH($C178,Roster!$B:$B,0))&amp;""),"—"))</f>
        <v/>
      </c>
      <c r="H178" s="25">
        <f>IF($C178="","",IFERROR(IF(INDEX(Roster!$F:$F,MATCH($C178,Roster!$B:$B,0))="","",INDEX(Roster!$F:$F,MATCH($C178,Roster!$B:$B,0))&amp;""),"—"))</f>
        <v/>
      </c>
      <c r="I178" s="25">
        <f>IF($C178="","",IFERROR(IF(INDEX(Roster!$G:$G,MATCH($C178,Roster!$B:$B,0))="","",INDEX(Roster!$G:$G,MATCH($C178,Roster!$B:$B,0))&amp;""),"—"))</f>
        <v/>
      </c>
      <c r="J178" s="25">
        <f>IF($C178="","",IFERROR(IF(INDEX(Roster!$I:$I,MATCH($C178,Roster!$B:$B,0))="","",INDEX(Roster!$I:$I,MATCH($C178,Roster!$B:$B,0))&amp;""),"—"))</f>
        <v/>
      </c>
      <c r="K178">
        <f>IF($C178="","",IFERROR(IF(INDEX(Roster!$J:$J,MATCH($C178,Roster!$B:$B,0))="","",INDEX(Roster!$J:$J,MATCH($C178,Roster!$B:$B,0))&amp;""),"—"))</f>
        <v/>
      </c>
      <c r="L178">
        <f>IF($C178="","",IFERROR(IF(INDEX(Roster!$K:$K,MATCH($C178,Roster!$B:$B,0))="","",INDEX(Roster!$K:$K,MATCH($C178,Roster!$B:$B,0))&amp;""),"—"))</f>
        <v/>
      </c>
      <c r="M178" s="27" t="n"/>
      <c r="N178" s="27" t="n"/>
      <c r="O178" s="25">
        <f>IF($C178="","",IF($P178="","—",IF($P178="Valid (Pass)","Valid","Invalid")))</f>
        <v/>
      </c>
      <c r="P178" s="27" t="n"/>
      <c r="Q178" s="27" t="n"/>
      <c r="R178" s="27" t="n"/>
      <c r="S178" s="27" t="n"/>
      <c r="T178" s="25">
        <f>IF($C178="","",IF(OR(ISNUMBER(SEARCH("quick case",$P178)),ISNUMBER(SEARCH("quick case",$Q178))),"Yes","No"))</f>
        <v/>
      </c>
      <c r="U178" s="25">
        <f>IF($O178="Invalid",HYPERLINK("mailto:"&amp;$G178&amp;";"&amp;$I178&amp;"?cc="&amp;Lists!$E$2&amp;"&amp;subject="&amp;_xlfn.ENCODEURL("[INVALID] Quality audit monitoring completed for "&amp;UPPER($C178))&amp;"&amp;body="&amp;_xlfn.ENCODEURL("Hi "&amp;$F178&amp;","&amp;CHAR(10)&amp;"Good day!"&amp;CHAR(10)&amp;CHAR(10)&amp;"A quality monitoring audit has been completed for "&amp;$C178&amp;"."&amp;CHAR(10)&amp;CHAR(10)&amp;"QUALITY AUDIT DETAILS"&amp;CHAR(10)&amp;"Agent Name: "&amp;$C178&amp;" (EID "&amp;$D178&amp;")"&amp;CHAR(10)&amp;"Audit Date: "&amp;TEXT($B178,"yyyy-mm-dd")&amp;CHAR(10)&amp;"Team Leader: "&amp;$F178&amp;CHAR(10)&amp;"Case Number: "&amp;$M178&amp;CHAR(10)&amp;"Transaction ID: "&amp;$N178&amp;CHAR(10)&amp;"Channel / LOB: "&amp;$K178&amp;" / "&amp;$L178&amp;CHAR(10)&amp;"Evaluator: "&amp;$S178&amp;CHAR(10)&amp;CHAR(10)&amp;"INVALID QUALITY AUDIT DETAILS"&amp;CHAR(10)&amp;"Validation: Invalid"&amp;CHAR(10)&amp;"Invalid Reason: "&amp;$P178&amp;CHAR(10)&amp;"Expected Resolution Code: "&amp;$Q178&amp;CHAR(10)&amp;"Remarks: "&amp;LEFT($R178,600)&amp;CHAR(10)&amp;CHAR(10)&amp;"This is an automated notification from HP Mainstream EQMS."),"✉ Open Email Draft"),"")</f>
        <v/>
      </c>
    </row>
    <row r="179">
      <c r="A179" s="25">
        <f>IF($C179="","","AUD-2026-"&amp;TEXT(ROW()-1,"000000"))</f>
        <v/>
      </c>
      <c r="B179" s="26" t="n"/>
      <c r="C179" s="27" t="n"/>
      <c r="D179" s="25">
        <f>IF($C179="","",IFERROR(IF(INDEX(Roster!$A:$A,MATCH($C179,Roster!$B:$B,0))="","",INDEX(Roster!$A:$A,MATCH($C179,Roster!$B:$B,0))&amp;""),"—"))</f>
        <v/>
      </c>
      <c r="E179" s="25">
        <f>IF($C179="","",IFERROR(IF(INDEX(Roster!$C:$C,MATCH($C179,Roster!$B:$B,0))="","",INDEX(Roster!$C:$C,MATCH($C179,Roster!$B:$B,0))&amp;""),"—"))</f>
        <v/>
      </c>
      <c r="F179" s="25">
        <f>IF($C179="","",IFERROR(IF(INDEX(Roster!$D:$D,MATCH($C179,Roster!$B:$B,0))="","",INDEX(Roster!$D:$D,MATCH($C179,Roster!$B:$B,0))&amp;""),"—"))</f>
        <v/>
      </c>
      <c r="G179" s="25">
        <f>IF($C179="","",IFERROR(IF(INDEX(Roster!$E:$E,MATCH($C179,Roster!$B:$B,0))="","",INDEX(Roster!$E:$E,MATCH($C179,Roster!$B:$B,0))&amp;""),"—"))</f>
        <v/>
      </c>
      <c r="H179" s="25">
        <f>IF($C179="","",IFERROR(IF(INDEX(Roster!$F:$F,MATCH($C179,Roster!$B:$B,0))="","",INDEX(Roster!$F:$F,MATCH($C179,Roster!$B:$B,0))&amp;""),"—"))</f>
        <v/>
      </c>
      <c r="I179" s="25">
        <f>IF($C179="","",IFERROR(IF(INDEX(Roster!$G:$G,MATCH($C179,Roster!$B:$B,0))="","",INDEX(Roster!$G:$G,MATCH($C179,Roster!$B:$B,0))&amp;""),"—"))</f>
        <v/>
      </c>
      <c r="J179" s="25">
        <f>IF($C179="","",IFERROR(IF(INDEX(Roster!$I:$I,MATCH($C179,Roster!$B:$B,0))="","",INDEX(Roster!$I:$I,MATCH($C179,Roster!$B:$B,0))&amp;""),"—"))</f>
        <v/>
      </c>
      <c r="K179">
        <f>IF($C179="","",IFERROR(IF(INDEX(Roster!$J:$J,MATCH($C179,Roster!$B:$B,0))="","",INDEX(Roster!$J:$J,MATCH($C179,Roster!$B:$B,0))&amp;""),"—"))</f>
        <v/>
      </c>
      <c r="L179">
        <f>IF($C179="","",IFERROR(IF(INDEX(Roster!$K:$K,MATCH($C179,Roster!$B:$B,0))="","",INDEX(Roster!$K:$K,MATCH($C179,Roster!$B:$B,0))&amp;""),"—"))</f>
        <v/>
      </c>
      <c r="M179" s="27" t="n"/>
      <c r="N179" s="27" t="n"/>
      <c r="O179" s="25">
        <f>IF($C179="","",IF($P179="","—",IF($P179="Valid (Pass)","Valid","Invalid")))</f>
        <v/>
      </c>
      <c r="P179" s="27" t="n"/>
      <c r="Q179" s="27" t="n"/>
      <c r="R179" s="27" t="n"/>
      <c r="S179" s="27" t="n"/>
      <c r="T179" s="25">
        <f>IF($C179="","",IF(OR(ISNUMBER(SEARCH("quick case",$P179)),ISNUMBER(SEARCH("quick case",$Q179))),"Yes","No"))</f>
        <v/>
      </c>
      <c r="U179" s="25">
        <f>IF($O179="Invalid",HYPERLINK("mailto:"&amp;$G179&amp;";"&amp;$I179&amp;"?cc="&amp;Lists!$E$2&amp;"&amp;subject="&amp;_xlfn.ENCODEURL("[INVALID] Quality audit monitoring completed for "&amp;UPPER($C179))&amp;"&amp;body="&amp;_xlfn.ENCODEURL("Hi "&amp;$F179&amp;","&amp;CHAR(10)&amp;"Good day!"&amp;CHAR(10)&amp;CHAR(10)&amp;"A quality monitoring audit has been completed for "&amp;$C179&amp;"."&amp;CHAR(10)&amp;CHAR(10)&amp;"QUALITY AUDIT DETAILS"&amp;CHAR(10)&amp;"Agent Name: "&amp;$C179&amp;" (EID "&amp;$D179&amp;")"&amp;CHAR(10)&amp;"Audit Date: "&amp;TEXT($B179,"yyyy-mm-dd")&amp;CHAR(10)&amp;"Team Leader: "&amp;$F179&amp;CHAR(10)&amp;"Case Number: "&amp;$M179&amp;CHAR(10)&amp;"Transaction ID: "&amp;$N179&amp;CHAR(10)&amp;"Channel / LOB: "&amp;$K179&amp;" / "&amp;$L179&amp;CHAR(10)&amp;"Evaluator: "&amp;$S179&amp;CHAR(10)&amp;CHAR(10)&amp;"INVALID QUALITY AUDIT DETAILS"&amp;CHAR(10)&amp;"Validation: Invalid"&amp;CHAR(10)&amp;"Invalid Reason: "&amp;$P179&amp;CHAR(10)&amp;"Expected Resolution Code: "&amp;$Q179&amp;CHAR(10)&amp;"Remarks: "&amp;LEFT($R179,600)&amp;CHAR(10)&amp;CHAR(10)&amp;"This is an automated notification from HP Mainstream EQMS."),"✉ Open Email Draft"),"")</f>
        <v/>
      </c>
    </row>
    <row r="180">
      <c r="A180" s="25">
        <f>IF($C180="","","AUD-2026-"&amp;TEXT(ROW()-1,"000000"))</f>
        <v/>
      </c>
      <c r="B180" s="26" t="n"/>
      <c r="C180" s="27" t="n"/>
      <c r="D180" s="25">
        <f>IF($C180="","",IFERROR(IF(INDEX(Roster!$A:$A,MATCH($C180,Roster!$B:$B,0))="","",INDEX(Roster!$A:$A,MATCH($C180,Roster!$B:$B,0))&amp;""),"—"))</f>
        <v/>
      </c>
      <c r="E180" s="25">
        <f>IF($C180="","",IFERROR(IF(INDEX(Roster!$C:$C,MATCH($C180,Roster!$B:$B,0))="","",INDEX(Roster!$C:$C,MATCH($C180,Roster!$B:$B,0))&amp;""),"—"))</f>
        <v/>
      </c>
      <c r="F180" s="25">
        <f>IF($C180="","",IFERROR(IF(INDEX(Roster!$D:$D,MATCH($C180,Roster!$B:$B,0))="","",INDEX(Roster!$D:$D,MATCH($C180,Roster!$B:$B,0))&amp;""),"—"))</f>
        <v/>
      </c>
      <c r="G180" s="25">
        <f>IF($C180="","",IFERROR(IF(INDEX(Roster!$E:$E,MATCH($C180,Roster!$B:$B,0))="","",INDEX(Roster!$E:$E,MATCH($C180,Roster!$B:$B,0))&amp;""),"—"))</f>
        <v/>
      </c>
      <c r="H180" s="25">
        <f>IF($C180="","",IFERROR(IF(INDEX(Roster!$F:$F,MATCH($C180,Roster!$B:$B,0))="","",INDEX(Roster!$F:$F,MATCH($C180,Roster!$B:$B,0))&amp;""),"—"))</f>
        <v/>
      </c>
      <c r="I180" s="25">
        <f>IF($C180="","",IFERROR(IF(INDEX(Roster!$G:$G,MATCH($C180,Roster!$B:$B,0))="","",INDEX(Roster!$G:$G,MATCH($C180,Roster!$B:$B,0))&amp;""),"—"))</f>
        <v/>
      </c>
      <c r="J180" s="25">
        <f>IF($C180="","",IFERROR(IF(INDEX(Roster!$I:$I,MATCH($C180,Roster!$B:$B,0))="","",INDEX(Roster!$I:$I,MATCH($C180,Roster!$B:$B,0))&amp;""),"—"))</f>
        <v/>
      </c>
      <c r="K180">
        <f>IF($C180="","",IFERROR(IF(INDEX(Roster!$J:$J,MATCH($C180,Roster!$B:$B,0))="","",INDEX(Roster!$J:$J,MATCH($C180,Roster!$B:$B,0))&amp;""),"—"))</f>
        <v/>
      </c>
      <c r="L180">
        <f>IF($C180="","",IFERROR(IF(INDEX(Roster!$K:$K,MATCH($C180,Roster!$B:$B,0))="","",INDEX(Roster!$K:$K,MATCH($C180,Roster!$B:$B,0))&amp;""),"—"))</f>
        <v/>
      </c>
      <c r="M180" s="27" t="n"/>
      <c r="N180" s="27" t="n"/>
      <c r="O180" s="25">
        <f>IF($C180="","",IF($P180="","—",IF($P180="Valid (Pass)","Valid","Invalid")))</f>
        <v/>
      </c>
      <c r="P180" s="27" t="n"/>
      <c r="Q180" s="27" t="n"/>
      <c r="R180" s="27" t="n"/>
      <c r="S180" s="27" t="n"/>
      <c r="T180" s="25">
        <f>IF($C180="","",IF(OR(ISNUMBER(SEARCH("quick case",$P180)),ISNUMBER(SEARCH("quick case",$Q180))),"Yes","No"))</f>
        <v/>
      </c>
      <c r="U180" s="25">
        <f>IF($O180="Invalid",HYPERLINK("mailto:"&amp;$G180&amp;";"&amp;$I180&amp;"?cc="&amp;Lists!$E$2&amp;"&amp;subject="&amp;_xlfn.ENCODEURL("[INVALID] Quality audit monitoring completed for "&amp;UPPER($C180))&amp;"&amp;body="&amp;_xlfn.ENCODEURL("Hi "&amp;$F180&amp;","&amp;CHAR(10)&amp;"Good day!"&amp;CHAR(10)&amp;CHAR(10)&amp;"A quality monitoring audit has been completed for "&amp;$C180&amp;"."&amp;CHAR(10)&amp;CHAR(10)&amp;"QUALITY AUDIT DETAILS"&amp;CHAR(10)&amp;"Agent Name: "&amp;$C180&amp;" (EID "&amp;$D180&amp;")"&amp;CHAR(10)&amp;"Audit Date: "&amp;TEXT($B180,"yyyy-mm-dd")&amp;CHAR(10)&amp;"Team Leader: "&amp;$F180&amp;CHAR(10)&amp;"Case Number: "&amp;$M180&amp;CHAR(10)&amp;"Transaction ID: "&amp;$N180&amp;CHAR(10)&amp;"Channel / LOB: "&amp;$K180&amp;" / "&amp;$L180&amp;CHAR(10)&amp;"Evaluator: "&amp;$S180&amp;CHAR(10)&amp;CHAR(10)&amp;"INVALID QUALITY AUDIT DETAILS"&amp;CHAR(10)&amp;"Validation: Invalid"&amp;CHAR(10)&amp;"Invalid Reason: "&amp;$P180&amp;CHAR(10)&amp;"Expected Resolution Code: "&amp;$Q180&amp;CHAR(10)&amp;"Remarks: "&amp;LEFT($R180,600)&amp;CHAR(10)&amp;CHAR(10)&amp;"This is an automated notification from HP Mainstream EQMS."),"✉ Open Email Draft"),"")</f>
        <v/>
      </c>
    </row>
    <row r="181">
      <c r="A181" s="25">
        <f>IF($C181="","","AUD-2026-"&amp;TEXT(ROW()-1,"000000"))</f>
        <v/>
      </c>
      <c r="B181" s="26" t="n"/>
      <c r="C181" s="27" t="n"/>
      <c r="D181" s="25">
        <f>IF($C181="","",IFERROR(IF(INDEX(Roster!$A:$A,MATCH($C181,Roster!$B:$B,0))="","",INDEX(Roster!$A:$A,MATCH($C181,Roster!$B:$B,0))&amp;""),"—"))</f>
        <v/>
      </c>
      <c r="E181" s="25">
        <f>IF($C181="","",IFERROR(IF(INDEX(Roster!$C:$C,MATCH($C181,Roster!$B:$B,0))="","",INDEX(Roster!$C:$C,MATCH($C181,Roster!$B:$B,0))&amp;""),"—"))</f>
        <v/>
      </c>
      <c r="F181" s="25">
        <f>IF($C181="","",IFERROR(IF(INDEX(Roster!$D:$D,MATCH($C181,Roster!$B:$B,0))="","",INDEX(Roster!$D:$D,MATCH($C181,Roster!$B:$B,0))&amp;""),"—"))</f>
        <v/>
      </c>
      <c r="G181" s="25">
        <f>IF($C181="","",IFERROR(IF(INDEX(Roster!$E:$E,MATCH($C181,Roster!$B:$B,0))="","",INDEX(Roster!$E:$E,MATCH($C181,Roster!$B:$B,0))&amp;""),"—"))</f>
        <v/>
      </c>
      <c r="H181" s="25">
        <f>IF($C181="","",IFERROR(IF(INDEX(Roster!$F:$F,MATCH($C181,Roster!$B:$B,0))="","",INDEX(Roster!$F:$F,MATCH($C181,Roster!$B:$B,0))&amp;""),"—"))</f>
        <v/>
      </c>
      <c r="I181" s="25">
        <f>IF($C181="","",IFERROR(IF(INDEX(Roster!$G:$G,MATCH($C181,Roster!$B:$B,0))="","",INDEX(Roster!$G:$G,MATCH($C181,Roster!$B:$B,0))&amp;""),"—"))</f>
        <v/>
      </c>
      <c r="J181" s="25">
        <f>IF($C181="","",IFERROR(IF(INDEX(Roster!$I:$I,MATCH($C181,Roster!$B:$B,0))="","",INDEX(Roster!$I:$I,MATCH($C181,Roster!$B:$B,0))&amp;""),"—"))</f>
        <v/>
      </c>
      <c r="K181">
        <f>IF($C181="","",IFERROR(IF(INDEX(Roster!$J:$J,MATCH($C181,Roster!$B:$B,0))="","",INDEX(Roster!$J:$J,MATCH($C181,Roster!$B:$B,0))&amp;""),"—"))</f>
        <v/>
      </c>
      <c r="L181">
        <f>IF($C181="","",IFERROR(IF(INDEX(Roster!$K:$K,MATCH($C181,Roster!$B:$B,0))="","",INDEX(Roster!$K:$K,MATCH($C181,Roster!$B:$B,0))&amp;""),"—"))</f>
        <v/>
      </c>
      <c r="M181" s="27" t="n"/>
      <c r="N181" s="27" t="n"/>
      <c r="O181" s="25">
        <f>IF($C181="","",IF($P181="","—",IF($P181="Valid (Pass)","Valid","Invalid")))</f>
        <v/>
      </c>
      <c r="P181" s="27" t="n"/>
      <c r="Q181" s="27" t="n"/>
      <c r="R181" s="27" t="n"/>
      <c r="S181" s="27" t="n"/>
      <c r="T181" s="25">
        <f>IF($C181="","",IF(OR(ISNUMBER(SEARCH("quick case",$P181)),ISNUMBER(SEARCH("quick case",$Q181))),"Yes","No"))</f>
        <v/>
      </c>
      <c r="U181" s="25">
        <f>IF($O181="Invalid",HYPERLINK("mailto:"&amp;$G181&amp;";"&amp;$I181&amp;"?cc="&amp;Lists!$E$2&amp;"&amp;subject="&amp;_xlfn.ENCODEURL("[INVALID] Quality audit monitoring completed for "&amp;UPPER($C181))&amp;"&amp;body="&amp;_xlfn.ENCODEURL("Hi "&amp;$F181&amp;","&amp;CHAR(10)&amp;"Good day!"&amp;CHAR(10)&amp;CHAR(10)&amp;"A quality monitoring audit has been completed for "&amp;$C181&amp;"."&amp;CHAR(10)&amp;CHAR(10)&amp;"QUALITY AUDIT DETAILS"&amp;CHAR(10)&amp;"Agent Name: "&amp;$C181&amp;" (EID "&amp;$D181&amp;")"&amp;CHAR(10)&amp;"Audit Date: "&amp;TEXT($B181,"yyyy-mm-dd")&amp;CHAR(10)&amp;"Team Leader: "&amp;$F181&amp;CHAR(10)&amp;"Case Number: "&amp;$M181&amp;CHAR(10)&amp;"Transaction ID: "&amp;$N181&amp;CHAR(10)&amp;"Channel / LOB: "&amp;$K181&amp;" / "&amp;$L181&amp;CHAR(10)&amp;"Evaluator: "&amp;$S181&amp;CHAR(10)&amp;CHAR(10)&amp;"INVALID QUALITY AUDIT DETAILS"&amp;CHAR(10)&amp;"Validation: Invalid"&amp;CHAR(10)&amp;"Invalid Reason: "&amp;$P181&amp;CHAR(10)&amp;"Expected Resolution Code: "&amp;$Q181&amp;CHAR(10)&amp;"Remarks: "&amp;LEFT($R181,600)&amp;CHAR(10)&amp;CHAR(10)&amp;"This is an automated notification from HP Mainstream EQMS."),"✉ Open Email Draft"),"")</f>
        <v/>
      </c>
    </row>
    <row r="182">
      <c r="A182" s="25">
        <f>IF($C182="","","AUD-2026-"&amp;TEXT(ROW()-1,"000000"))</f>
        <v/>
      </c>
      <c r="B182" s="26" t="n"/>
      <c r="C182" s="27" t="n"/>
      <c r="D182" s="25">
        <f>IF($C182="","",IFERROR(IF(INDEX(Roster!$A:$A,MATCH($C182,Roster!$B:$B,0))="","",INDEX(Roster!$A:$A,MATCH($C182,Roster!$B:$B,0))&amp;""),"—"))</f>
        <v/>
      </c>
      <c r="E182" s="25">
        <f>IF($C182="","",IFERROR(IF(INDEX(Roster!$C:$C,MATCH($C182,Roster!$B:$B,0))="","",INDEX(Roster!$C:$C,MATCH($C182,Roster!$B:$B,0))&amp;""),"—"))</f>
        <v/>
      </c>
      <c r="F182" s="25">
        <f>IF($C182="","",IFERROR(IF(INDEX(Roster!$D:$D,MATCH($C182,Roster!$B:$B,0))="","",INDEX(Roster!$D:$D,MATCH($C182,Roster!$B:$B,0))&amp;""),"—"))</f>
        <v/>
      </c>
      <c r="G182" s="25">
        <f>IF($C182="","",IFERROR(IF(INDEX(Roster!$E:$E,MATCH($C182,Roster!$B:$B,0))="","",INDEX(Roster!$E:$E,MATCH($C182,Roster!$B:$B,0))&amp;""),"—"))</f>
        <v/>
      </c>
      <c r="H182" s="25">
        <f>IF($C182="","",IFERROR(IF(INDEX(Roster!$F:$F,MATCH($C182,Roster!$B:$B,0))="","",INDEX(Roster!$F:$F,MATCH($C182,Roster!$B:$B,0))&amp;""),"—"))</f>
        <v/>
      </c>
      <c r="I182" s="25">
        <f>IF($C182="","",IFERROR(IF(INDEX(Roster!$G:$G,MATCH($C182,Roster!$B:$B,0))="","",INDEX(Roster!$G:$G,MATCH($C182,Roster!$B:$B,0))&amp;""),"—"))</f>
        <v/>
      </c>
      <c r="J182" s="25">
        <f>IF($C182="","",IFERROR(IF(INDEX(Roster!$I:$I,MATCH($C182,Roster!$B:$B,0))="","",INDEX(Roster!$I:$I,MATCH($C182,Roster!$B:$B,0))&amp;""),"—"))</f>
        <v/>
      </c>
      <c r="K182">
        <f>IF($C182="","",IFERROR(IF(INDEX(Roster!$J:$J,MATCH($C182,Roster!$B:$B,0))="","",INDEX(Roster!$J:$J,MATCH($C182,Roster!$B:$B,0))&amp;""),"—"))</f>
        <v/>
      </c>
      <c r="L182">
        <f>IF($C182="","",IFERROR(IF(INDEX(Roster!$K:$K,MATCH($C182,Roster!$B:$B,0))="","",INDEX(Roster!$K:$K,MATCH($C182,Roster!$B:$B,0))&amp;""),"—"))</f>
        <v/>
      </c>
      <c r="M182" s="27" t="n"/>
      <c r="N182" s="27" t="n"/>
      <c r="O182" s="25">
        <f>IF($C182="","",IF($P182="","—",IF($P182="Valid (Pass)","Valid","Invalid")))</f>
        <v/>
      </c>
      <c r="P182" s="27" t="n"/>
      <c r="Q182" s="27" t="n"/>
      <c r="R182" s="27" t="n"/>
      <c r="S182" s="27" t="n"/>
      <c r="T182" s="25">
        <f>IF($C182="","",IF(OR(ISNUMBER(SEARCH("quick case",$P182)),ISNUMBER(SEARCH("quick case",$Q182))),"Yes","No"))</f>
        <v/>
      </c>
      <c r="U182" s="25">
        <f>IF($O182="Invalid",HYPERLINK("mailto:"&amp;$G182&amp;";"&amp;$I182&amp;"?cc="&amp;Lists!$E$2&amp;"&amp;subject="&amp;_xlfn.ENCODEURL("[INVALID] Quality audit monitoring completed for "&amp;UPPER($C182))&amp;"&amp;body="&amp;_xlfn.ENCODEURL("Hi "&amp;$F182&amp;","&amp;CHAR(10)&amp;"Good day!"&amp;CHAR(10)&amp;CHAR(10)&amp;"A quality monitoring audit has been completed for "&amp;$C182&amp;"."&amp;CHAR(10)&amp;CHAR(10)&amp;"QUALITY AUDIT DETAILS"&amp;CHAR(10)&amp;"Agent Name: "&amp;$C182&amp;" (EID "&amp;$D182&amp;")"&amp;CHAR(10)&amp;"Audit Date: "&amp;TEXT($B182,"yyyy-mm-dd")&amp;CHAR(10)&amp;"Team Leader: "&amp;$F182&amp;CHAR(10)&amp;"Case Number: "&amp;$M182&amp;CHAR(10)&amp;"Transaction ID: "&amp;$N182&amp;CHAR(10)&amp;"Channel / LOB: "&amp;$K182&amp;" / "&amp;$L182&amp;CHAR(10)&amp;"Evaluator: "&amp;$S182&amp;CHAR(10)&amp;CHAR(10)&amp;"INVALID QUALITY AUDIT DETAILS"&amp;CHAR(10)&amp;"Validation: Invalid"&amp;CHAR(10)&amp;"Invalid Reason: "&amp;$P182&amp;CHAR(10)&amp;"Expected Resolution Code: "&amp;$Q182&amp;CHAR(10)&amp;"Remarks: "&amp;LEFT($R182,600)&amp;CHAR(10)&amp;CHAR(10)&amp;"This is an automated notification from HP Mainstream EQMS."),"✉ Open Email Draft"),"")</f>
        <v/>
      </c>
    </row>
    <row r="183">
      <c r="A183" s="25">
        <f>IF($C183="","","AUD-2026-"&amp;TEXT(ROW()-1,"000000"))</f>
        <v/>
      </c>
      <c r="B183" s="26" t="n"/>
      <c r="C183" s="27" t="n"/>
      <c r="D183" s="25">
        <f>IF($C183="","",IFERROR(IF(INDEX(Roster!$A:$A,MATCH($C183,Roster!$B:$B,0))="","",INDEX(Roster!$A:$A,MATCH($C183,Roster!$B:$B,0))&amp;""),"—"))</f>
        <v/>
      </c>
      <c r="E183" s="25">
        <f>IF($C183="","",IFERROR(IF(INDEX(Roster!$C:$C,MATCH($C183,Roster!$B:$B,0))="","",INDEX(Roster!$C:$C,MATCH($C183,Roster!$B:$B,0))&amp;""),"—"))</f>
        <v/>
      </c>
      <c r="F183" s="25">
        <f>IF($C183="","",IFERROR(IF(INDEX(Roster!$D:$D,MATCH($C183,Roster!$B:$B,0))="","",INDEX(Roster!$D:$D,MATCH($C183,Roster!$B:$B,0))&amp;""),"—"))</f>
        <v/>
      </c>
      <c r="G183" s="25">
        <f>IF($C183="","",IFERROR(IF(INDEX(Roster!$E:$E,MATCH($C183,Roster!$B:$B,0))="","",INDEX(Roster!$E:$E,MATCH($C183,Roster!$B:$B,0))&amp;""),"—"))</f>
        <v/>
      </c>
      <c r="H183" s="25">
        <f>IF($C183="","",IFERROR(IF(INDEX(Roster!$F:$F,MATCH($C183,Roster!$B:$B,0))="","",INDEX(Roster!$F:$F,MATCH($C183,Roster!$B:$B,0))&amp;""),"—"))</f>
        <v/>
      </c>
      <c r="I183" s="25">
        <f>IF($C183="","",IFERROR(IF(INDEX(Roster!$G:$G,MATCH($C183,Roster!$B:$B,0))="","",INDEX(Roster!$G:$G,MATCH($C183,Roster!$B:$B,0))&amp;""),"—"))</f>
        <v/>
      </c>
      <c r="J183" s="25">
        <f>IF($C183="","",IFERROR(IF(INDEX(Roster!$I:$I,MATCH($C183,Roster!$B:$B,0))="","",INDEX(Roster!$I:$I,MATCH($C183,Roster!$B:$B,0))&amp;""),"—"))</f>
        <v/>
      </c>
      <c r="K183">
        <f>IF($C183="","",IFERROR(IF(INDEX(Roster!$J:$J,MATCH($C183,Roster!$B:$B,0))="","",INDEX(Roster!$J:$J,MATCH($C183,Roster!$B:$B,0))&amp;""),"—"))</f>
        <v/>
      </c>
      <c r="L183">
        <f>IF($C183="","",IFERROR(IF(INDEX(Roster!$K:$K,MATCH($C183,Roster!$B:$B,0))="","",INDEX(Roster!$K:$K,MATCH($C183,Roster!$B:$B,0))&amp;""),"—"))</f>
        <v/>
      </c>
      <c r="M183" s="27" t="n"/>
      <c r="N183" s="27" t="n"/>
      <c r="O183" s="25">
        <f>IF($C183="","",IF($P183="","—",IF($P183="Valid (Pass)","Valid","Invalid")))</f>
        <v/>
      </c>
      <c r="P183" s="27" t="n"/>
      <c r="Q183" s="27" t="n"/>
      <c r="R183" s="27" t="n"/>
      <c r="S183" s="27" t="n"/>
      <c r="T183" s="25">
        <f>IF($C183="","",IF(OR(ISNUMBER(SEARCH("quick case",$P183)),ISNUMBER(SEARCH("quick case",$Q183))),"Yes","No"))</f>
        <v/>
      </c>
      <c r="U183" s="25">
        <f>IF($O183="Invalid",HYPERLINK("mailto:"&amp;$G183&amp;";"&amp;$I183&amp;"?cc="&amp;Lists!$E$2&amp;"&amp;subject="&amp;_xlfn.ENCODEURL("[INVALID] Quality audit monitoring completed for "&amp;UPPER($C183))&amp;"&amp;body="&amp;_xlfn.ENCODEURL("Hi "&amp;$F183&amp;","&amp;CHAR(10)&amp;"Good day!"&amp;CHAR(10)&amp;CHAR(10)&amp;"A quality monitoring audit has been completed for "&amp;$C183&amp;"."&amp;CHAR(10)&amp;CHAR(10)&amp;"QUALITY AUDIT DETAILS"&amp;CHAR(10)&amp;"Agent Name: "&amp;$C183&amp;" (EID "&amp;$D183&amp;")"&amp;CHAR(10)&amp;"Audit Date: "&amp;TEXT($B183,"yyyy-mm-dd")&amp;CHAR(10)&amp;"Team Leader: "&amp;$F183&amp;CHAR(10)&amp;"Case Number: "&amp;$M183&amp;CHAR(10)&amp;"Transaction ID: "&amp;$N183&amp;CHAR(10)&amp;"Channel / LOB: "&amp;$K183&amp;" / "&amp;$L183&amp;CHAR(10)&amp;"Evaluator: "&amp;$S183&amp;CHAR(10)&amp;CHAR(10)&amp;"INVALID QUALITY AUDIT DETAILS"&amp;CHAR(10)&amp;"Validation: Invalid"&amp;CHAR(10)&amp;"Invalid Reason: "&amp;$P183&amp;CHAR(10)&amp;"Expected Resolution Code: "&amp;$Q183&amp;CHAR(10)&amp;"Remarks: "&amp;LEFT($R183,600)&amp;CHAR(10)&amp;CHAR(10)&amp;"This is an automated notification from HP Mainstream EQMS."),"✉ Open Email Draft"),"")</f>
        <v/>
      </c>
    </row>
    <row r="184">
      <c r="A184" s="25">
        <f>IF($C184="","","AUD-2026-"&amp;TEXT(ROW()-1,"000000"))</f>
        <v/>
      </c>
      <c r="B184" s="26" t="n"/>
      <c r="C184" s="27" t="n"/>
      <c r="D184" s="25">
        <f>IF($C184="","",IFERROR(IF(INDEX(Roster!$A:$A,MATCH($C184,Roster!$B:$B,0))="","",INDEX(Roster!$A:$A,MATCH($C184,Roster!$B:$B,0))&amp;""),"—"))</f>
        <v/>
      </c>
      <c r="E184" s="25">
        <f>IF($C184="","",IFERROR(IF(INDEX(Roster!$C:$C,MATCH($C184,Roster!$B:$B,0))="","",INDEX(Roster!$C:$C,MATCH($C184,Roster!$B:$B,0))&amp;""),"—"))</f>
        <v/>
      </c>
      <c r="F184" s="25">
        <f>IF($C184="","",IFERROR(IF(INDEX(Roster!$D:$D,MATCH($C184,Roster!$B:$B,0))="","",INDEX(Roster!$D:$D,MATCH($C184,Roster!$B:$B,0))&amp;""),"—"))</f>
        <v/>
      </c>
      <c r="G184" s="25">
        <f>IF($C184="","",IFERROR(IF(INDEX(Roster!$E:$E,MATCH($C184,Roster!$B:$B,0))="","",INDEX(Roster!$E:$E,MATCH($C184,Roster!$B:$B,0))&amp;""),"—"))</f>
        <v/>
      </c>
      <c r="H184" s="25">
        <f>IF($C184="","",IFERROR(IF(INDEX(Roster!$F:$F,MATCH($C184,Roster!$B:$B,0))="","",INDEX(Roster!$F:$F,MATCH($C184,Roster!$B:$B,0))&amp;""),"—"))</f>
        <v/>
      </c>
      <c r="I184" s="25">
        <f>IF($C184="","",IFERROR(IF(INDEX(Roster!$G:$G,MATCH($C184,Roster!$B:$B,0))="","",INDEX(Roster!$G:$G,MATCH($C184,Roster!$B:$B,0))&amp;""),"—"))</f>
        <v/>
      </c>
      <c r="J184" s="25">
        <f>IF($C184="","",IFERROR(IF(INDEX(Roster!$I:$I,MATCH($C184,Roster!$B:$B,0))="","",INDEX(Roster!$I:$I,MATCH($C184,Roster!$B:$B,0))&amp;""),"—"))</f>
        <v/>
      </c>
      <c r="K184">
        <f>IF($C184="","",IFERROR(IF(INDEX(Roster!$J:$J,MATCH($C184,Roster!$B:$B,0))="","",INDEX(Roster!$J:$J,MATCH($C184,Roster!$B:$B,0))&amp;""),"—"))</f>
        <v/>
      </c>
      <c r="L184">
        <f>IF($C184="","",IFERROR(IF(INDEX(Roster!$K:$K,MATCH($C184,Roster!$B:$B,0))="","",INDEX(Roster!$K:$K,MATCH($C184,Roster!$B:$B,0))&amp;""),"—"))</f>
        <v/>
      </c>
      <c r="M184" s="27" t="n"/>
      <c r="N184" s="27" t="n"/>
      <c r="O184" s="25">
        <f>IF($C184="","",IF($P184="","—",IF($P184="Valid (Pass)","Valid","Invalid")))</f>
        <v/>
      </c>
      <c r="P184" s="27" t="n"/>
      <c r="Q184" s="27" t="n"/>
      <c r="R184" s="27" t="n"/>
      <c r="S184" s="27" t="n"/>
      <c r="T184" s="25">
        <f>IF($C184="","",IF(OR(ISNUMBER(SEARCH("quick case",$P184)),ISNUMBER(SEARCH("quick case",$Q184))),"Yes","No"))</f>
        <v/>
      </c>
      <c r="U184" s="25">
        <f>IF($O184="Invalid",HYPERLINK("mailto:"&amp;$G184&amp;";"&amp;$I184&amp;"?cc="&amp;Lists!$E$2&amp;"&amp;subject="&amp;_xlfn.ENCODEURL("[INVALID] Quality audit monitoring completed for "&amp;UPPER($C184))&amp;"&amp;body="&amp;_xlfn.ENCODEURL("Hi "&amp;$F184&amp;","&amp;CHAR(10)&amp;"Good day!"&amp;CHAR(10)&amp;CHAR(10)&amp;"A quality monitoring audit has been completed for "&amp;$C184&amp;"."&amp;CHAR(10)&amp;CHAR(10)&amp;"QUALITY AUDIT DETAILS"&amp;CHAR(10)&amp;"Agent Name: "&amp;$C184&amp;" (EID "&amp;$D184&amp;")"&amp;CHAR(10)&amp;"Audit Date: "&amp;TEXT($B184,"yyyy-mm-dd")&amp;CHAR(10)&amp;"Team Leader: "&amp;$F184&amp;CHAR(10)&amp;"Case Number: "&amp;$M184&amp;CHAR(10)&amp;"Transaction ID: "&amp;$N184&amp;CHAR(10)&amp;"Channel / LOB: "&amp;$K184&amp;" / "&amp;$L184&amp;CHAR(10)&amp;"Evaluator: "&amp;$S184&amp;CHAR(10)&amp;CHAR(10)&amp;"INVALID QUALITY AUDIT DETAILS"&amp;CHAR(10)&amp;"Validation: Invalid"&amp;CHAR(10)&amp;"Invalid Reason: "&amp;$P184&amp;CHAR(10)&amp;"Expected Resolution Code: "&amp;$Q184&amp;CHAR(10)&amp;"Remarks: "&amp;LEFT($R184,600)&amp;CHAR(10)&amp;CHAR(10)&amp;"This is an automated notification from HP Mainstream EQMS."),"✉ Open Email Draft"),"")</f>
        <v/>
      </c>
    </row>
    <row r="185">
      <c r="A185" s="25">
        <f>IF($C185="","","AUD-2026-"&amp;TEXT(ROW()-1,"000000"))</f>
        <v/>
      </c>
      <c r="B185" s="26" t="n"/>
      <c r="C185" s="27" t="n"/>
      <c r="D185" s="25">
        <f>IF($C185="","",IFERROR(IF(INDEX(Roster!$A:$A,MATCH($C185,Roster!$B:$B,0))="","",INDEX(Roster!$A:$A,MATCH($C185,Roster!$B:$B,0))&amp;""),"—"))</f>
        <v/>
      </c>
      <c r="E185" s="25">
        <f>IF($C185="","",IFERROR(IF(INDEX(Roster!$C:$C,MATCH($C185,Roster!$B:$B,0))="","",INDEX(Roster!$C:$C,MATCH($C185,Roster!$B:$B,0))&amp;""),"—"))</f>
        <v/>
      </c>
      <c r="F185" s="25">
        <f>IF($C185="","",IFERROR(IF(INDEX(Roster!$D:$D,MATCH($C185,Roster!$B:$B,0))="","",INDEX(Roster!$D:$D,MATCH($C185,Roster!$B:$B,0))&amp;""),"—"))</f>
        <v/>
      </c>
      <c r="G185" s="25">
        <f>IF($C185="","",IFERROR(IF(INDEX(Roster!$E:$E,MATCH($C185,Roster!$B:$B,0))="","",INDEX(Roster!$E:$E,MATCH($C185,Roster!$B:$B,0))&amp;""),"—"))</f>
        <v/>
      </c>
      <c r="H185" s="25">
        <f>IF($C185="","",IFERROR(IF(INDEX(Roster!$F:$F,MATCH($C185,Roster!$B:$B,0))="","",INDEX(Roster!$F:$F,MATCH($C185,Roster!$B:$B,0))&amp;""),"—"))</f>
        <v/>
      </c>
      <c r="I185" s="25">
        <f>IF($C185="","",IFERROR(IF(INDEX(Roster!$G:$G,MATCH($C185,Roster!$B:$B,0))="","",INDEX(Roster!$G:$G,MATCH($C185,Roster!$B:$B,0))&amp;""),"—"))</f>
        <v/>
      </c>
      <c r="J185" s="25">
        <f>IF($C185="","",IFERROR(IF(INDEX(Roster!$I:$I,MATCH($C185,Roster!$B:$B,0))="","",INDEX(Roster!$I:$I,MATCH($C185,Roster!$B:$B,0))&amp;""),"—"))</f>
        <v/>
      </c>
      <c r="K185">
        <f>IF($C185="","",IFERROR(IF(INDEX(Roster!$J:$J,MATCH($C185,Roster!$B:$B,0))="","",INDEX(Roster!$J:$J,MATCH($C185,Roster!$B:$B,0))&amp;""),"—"))</f>
        <v/>
      </c>
      <c r="L185">
        <f>IF($C185="","",IFERROR(IF(INDEX(Roster!$K:$K,MATCH($C185,Roster!$B:$B,0))="","",INDEX(Roster!$K:$K,MATCH($C185,Roster!$B:$B,0))&amp;""),"—"))</f>
        <v/>
      </c>
      <c r="M185" s="27" t="n"/>
      <c r="N185" s="27" t="n"/>
      <c r="O185" s="25">
        <f>IF($C185="","",IF($P185="","—",IF($P185="Valid (Pass)","Valid","Invalid")))</f>
        <v/>
      </c>
      <c r="P185" s="27" t="n"/>
      <c r="Q185" s="27" t="n"/>
      <c r="R185" s="27" t="n"/>
      <c r="S185" s="27" t="n"/>
      <c r="T185" s="25">
        <f>IF($C185="","",IF(OR(ISNUMBER(SEARCH("quick case",$P185)),ISNUMBER(SEARCH("quick case",$Q185))),"Yes","No"))</f>
        <v/>
      </c>
      <c r="U185" s="25">
        <f>IF($O185="Invalid",HYPERLINK("mailto:"&amp;$G185&amp;";"&amp;$I185&amp;"?cc="&amp;Lists!$E$2&amp;"&amp;subject="&amp;_xlfn.ENCODEURL("[INVALID] Quality audit monitoring completed for "&amp;UPPER($C185))&amp;"&amp;body="&amp;_xlfn.ENCODEURL("Hi "&amp;$F185&amp;","&amp;CHAR(10)&amp;"Good day!"&amp;CHAR(10)&amp;CHAR(10)&amp;"A quality monitoring audit has been completed for "&amp;$C185&amp;"."&amp;CHAR(10)&amp;CHAR(10)&amp;"QUALITY AUDIT DETAILS"&amp;CHAR(10)&amp;"Agent Name: "&amp;$C185&amp;" (EID "&amp;$D185&amp;")"&amp;CHAR(10)&amp;"Audit Date: "&amp;TEXT($B185,"yyyy-mm-dd")&amp;CHAR(10)&amp;"Team Leader: "&amp;$F185&amp;CHAR(10)&amp;"Case Number: "&amp;$M185&amp;CHAR(10)&amp;"Transaction ID: "&amp;$N185&amp;CHAR(10)&amp;"Channel / LOB: "&amp;$K185&amp;" / "&amp;$L185&amp;CHAR(10)&amp;"Evaluator: "&amp;$S185&amp;CHAR(10)&amp;CHAR(10)&amp;"INVALID QUALITY AUDIT DETAILS"&amp;CHAR(10)&amp;"Validation: Invalid"&amp;CHAR(10)&amp;"Invalid Reason: "&amp;$P185&amp;CHAR(10)&amp;"Expected Resolution Code: "&amp;$Q185&amp;CHAR(10)&amp;"Remarks: "&amp;LEFT($R185,600)&amp;CHAR(10)&amp;CHAR(10)&amp;"This is an automated notification from HP Mainstream EQMS."),"✉ Open Email Draft"),"")</f>
        <v/>
      </c>
    </row>
    <row r="186">
      <c r="A186" s="25">
        <f>IF($C186="","","AUD-2026-"&amp;TEXT(ROW()-1,"000000"))</f>
        <v/>
      </c>
      <c r="B186" s="26" t="n"/>
      <c r="C186" s="27" t="n"/>
      <c r="D186" s="25">
        <f>IF($C186="","",IFERROR(IF(INDEX(Roster!$A:$A,MATCH($C186,Roster!$B:$B,0))="","",INDEX(Roster!$A:$A,MATCH($C186,Roster!$B:$B,0))&amp;""),"—"))</f>
        <v/>
      </c>
      <c r="E186" s="25">
        <f>IF($C186="","",IFERROR(IF(INDEX(Roster!$C:$C,MATCH($C186,Roster!$B:$B,0))="","",INDEX(Roster!$C:$C,MATCH($C186,Roster!$B:$B,0))&amp;""),"—"))</f>
        <v/>
      </c>
      <c r="F186" s="25">
        <f>IF($C186="","",IFERROR(IF(INDEX(Roster!$D:$D,MATCH($C186,Roster!$B:$B,0))="","",INDEX(Roster!$D:$D,MATCH($C186,Roster!$B:$B,0))&amp;""),"—"))</f>
        <v/>
      </c>
      <c r="G186" s="25">
        <f>IF($C186="","",IFERROR(IF(INDEX(Roster!$E:$E,MATCH($C186,Roster!$B:$B,0))="","",INDEX(Roster!$E:$E,MATCH($C186,Roster!$B:$B,0))&amp;""),"—"))</f>
        <v/>
      </c>
      <c r="H186" s="25">
        <f>IF($C186="","",IFERROR(IF(INDEX(Roster!$F:$F,MATCH($C186,Roster!$B:$B,0))="","",INDEX(Roster!$F:$F,MATCH($C186,Roster!$B:$B,0))&amp;""),"—"))</f>
        <v/>
      </c>
      <c r="I186" s="25">
        <f>IF($C186="","",IFERROR(IF(INDEX(Roster!$G:$G,MATCH($C186,Roster!$B:$B,0))="","",INDEX(Roster!$G:$G,MATCH($C186,Roster!$B:$B,0))&amp;""),"—"))</f>
        <v/>
      </c>
      <c r="J186" s="25">
        <f>IF($C186="","",IFERROR(IF(INDEX(Roster!$I:$I,MATCH($C186,Roster!$B:$B,0))="","",INDEX(Roster!$I:$I,MATCH($C186,Roster!$B:$B,0))&amp;""),"—"))</f>
        <v/>
      </c>
      <c r="K186">
        <f>IF($C186="","",IFERROR(IF(INDEX(Roster!$J:$J,MATCH($C186,Roster!$B:$B,0))="","",INDEX(Roster!$J:$J,MATCH($C186,Roster!$B:$B,0))&amp;""),"—"))</f>
        <v/>
      </c>
      <c r="L186">
        <f>IF($C186="","",IFERROR(IF(INDEX(Roster!$K:$K,MATCH($C186,Roster!$B:$B,0))="","",INDEX(Roster!$K:$K,MATCH($C186,Roster!$B:$B,0))&amp;""),"—"))</f>
        <v/>
      </c>
      <c r="M186" s="27" t="n"/>
      <c r="N186" s="27" t="n"/>
      <c r="O186" s="25">
        <f>IF($C186="","",IF($P186="","—",IF($P186="Valid (Pass)","Valid","Invalid")))</f>
        <v/>
      </c>
      <c r="P186" s="27" t="n"/>
      <c r="Q186" s="27" t="n"/>
      <c r="R186" s="27" t="n"/>
      <c r="S186" s="27" t="n"/>
      <c r="T186" s="25">
        <f>IF($C186="","",IF(OR(ISNUMBER(SEARCH("quick case",$P186)),ISNUMBER(SEARCH("quick case",$Q186))),"Yes","No"))</f>
        <v/>
      </c>
      <c r="U186" s="25">
        <f>IF($O186="Invalid",HYPERLINK("mailto:"&amp;$G186&amp;";"&amp;$I186&amp;"?cc="&amp;Lists!$E$2&amp;"&amp;subject="&amp;_xlfn.ENCODEURL("[INVALID] Quality audit monitoring completed for "&amp;UPPER($C186))&amp;"&amp;body="&amp;_xlfn.ENCODEURL("Hi "&amp;$F186&amp;","&amp;CHAR(10)&amp;"Good day!"&amp;CHAR(10)&amp;CHAR(10)&amp;"A quality monitoring audit has been completed for "&amp;$C186&amp;"."&amp;CHAR(10)&amp;CHAR(10)&amp;"QUALITY AUDIT DETAILS"&amp;CHAR(10)&amp;"Agent Name: "&amp;$C186&amp;" (EID "&amp;$D186&amp;")"&amp;CHAR(10)&amp;"Audit Date: "&amp;TEXT($B186,"yyyy-mm-dd")&amp;CHAR(10)&amp;"Team Leader: "&amp;$F186&amp;CHAR(10)&amp;"Case Number: "&amp;$M186&amp;CHAR(10)&amp;"Transaction ID: "&amp;$N186&amp;CHAR(10)&amp;"Channel / LOB: "&amp;$K186&amp;" / "&amp;$L186&amp;CHAR(10)&amp;"Evaluator: "&amp;$S186&amp;CHAR(10)&amp;CHAR(10)&amp;"INVALID QUALITY AUDIT DETAILS"&amp;CHAR(10)&amp;"Validation: Invalid"&amp;CHAR(10)&amp;"Invalid Reason: "&amp;$P186&amp;CHAR(10)&amp;"Expected Resolution Code: "&amp;$Q186&amp;CHAR(10)&amp;"Remarks: "&amp;LEFT($R186,600)&amp;CHAR(10)&amp;CHAR(10)&amp;"This is an automated notification from HP Mainstream EQMS."),"✉ Open Email Draft"),"")</f>
        <v/>
      </c>
    </row>
    <row r="187">
      <c r="A187" s="25">
        <f>IF($C187="","","AUD-2026-"&amp;TEXT(ROW()-1,"000000"))</f>
        <v/>
      </c>
      <c r="B187" s="26" t="n"/>
      <c r="C187" s="27" t="n"/>
      <c r="D187" s="25">
        <f>IF($C187="","",IFERROR(IF(INDEX(Roster!$A:$A,MATCH($C187,Roster!$B:$B,0))="","",INDEX(Roster!$A:$A,MATCH($C187,Roster!$B:$B,0))&amp;""),"—"))</f>
        <v/>
      </c>
      <c r="E187" s="25">
        <f>IF($C187="","",IFERROR(IF(INDEX(Roster!$C:$C,MATCH($C187,Roster!$B:$B,0))="","",INDEX(Roster!$C:$C,MATCH($C187,Roster!$B:$B,0))&amp;""),"—"))</f>
        <v/>
      </c>
      <c r="F187" s="25">
        <f>IF($C187="","",IFERROR(IF(INDEX(Roster!$D:$D,MATCH($C187,Roster!$B:$B,0))="","",INDEX(Roster!$D:$D,MATCH($C187,Roster!$B:$B,0))&amp;""),"—"))</f>
        <v/>
      </c>
      <c r="G187" s="25">
        <f>IF($C187="","",IFERROR(IF(INDEX(Roster!$E:$E,MATCH($C187,Roster!$B:$B,0))="","",INDEX(Roster!$E:$E,MATCH($C187,Roster!$B:$B,0))&amp;""),"—"))</f>
        <v/>
      </c>
      <c r="H187" s="25">
        <f>IF($C187="","",IFERROR(IF(INDEX(Roster!$F:$F,MATCH($C187,Roster!$B:$B,0))="","",INDEX(Roster!$F:$F,MATCH($C187,Roster!$B:$B,0))&amp;""),"—"))</f>
        <v/>
      </c>
      <c r="I187" s="25">
        <f>IF($C187="","",IFERROR(IF(INDEX(Roster!$G:$G,MATCH($C187,Roster!$B:$B,0))="","",INDEX(Roster!$G:$G,MATCH($C187,Roster!$B:$B,0))&amp;""),"—"))</f>
        <v/>
      </c>
      <c r="J187" s="25">
        <f>IF($C187="","",IFERROR(IF(INDEX(Roster!$I:$I,MATCH($C187,Roster!$B:$B,0))="","",INDEX(Roster!$I:$I,MATCH($C187,Roster!$B:$B,0))&amp;""),"—"))</f>
        <v/>
      </c>
      <c r="K187">
        <f>IF($C187="","",IFERROR(IF(INDEX(Roster!$J:$J,MATCH($C187,Roster!$B:$B,0))="","",INDEX(Roster!$J:$J,MATCH($C187,Roster!$B:$B,0))&amp;""),"—"))</f>
        <v/>
      </c>
      <c r="L187">
        <f>IF($C187="","",IFERROR(IF(INDEX(Roster!$K:$K,MATCH($C187,Roster!$B:$B,0))="","",INDEX(Roster!$K:$K,MATCH($C187,Roster!$B:$B,0))&amp;""),"—"))</f>
        <v/>
      </c>
      <c r="M187" s="27" t="n"/>
      <c r="N187" s="27" t="n"/>
      <c r="O187" s="25">
        <f>IF($C187="","",IF($P187="","—",IF($P187="Valid (Pass)","Valid","Invalid")))</f>
        <v/>
      </c>
      <c r="P187" s="27" t="n"/>
      <c r="Q187" s="27" t="n"/>
      <c r="R187" s="27" t="n"/>
      <c r="S187" s="27" t="n"/>
      <c r="T187" s="25">
        <f>IF($C187="","",IF(OR(ISNUMBER(SEARCH("quick case",$P187)),ISNUMBER(SEARCH("quick case",$Q187))),"Yes","No"))</f>
        <v/>
      </c>
      <c r="U187" s="25">
        <f>IF($O187="Invalid",HYPERLINK("mailto:"&amp;$G187&amp;";"&amp;$I187&amp;"?cc="&amp;Lists!$E$2&amp;"&amp;subject="&amp;_xlfn.ENCODEURL("[INVALID] Quality audit monitoring completed for "&amp;UPPER($C187))&amp;"&amp;body="&amp;_xlfn.ENCODEURL("Hi "&amp;$F187&amp;","&amp;CHAR(10)&amp;"Good day!"&amp;CHAR(10)&amp;CHAR(10)&amp;"A quality monitoring audit has been completed for "&amp;$C187&amp;"."&amp;CHAR(10)&amp;CHAR(10)&amp;"QUALITY AUDIT DETAILS"&amp;CHAR(10)&amp;"Agent Name: "&amp;$C187&amp;" (EID "&amp;$D187&amp;")"&amp;CHAR(10)&amp;"Audit Date: "&amp;TEXT($B187,"yyyy-mm-dd")&amp;CHAR(10)&amp;"Team Leader: "&amp;$F187&amp;CHAR(10)&amp;"Case Number: "&amp;$M187&amp;CHAR(10)&amp;"Transaction ID: "&amp;$N187&amp;CHAR(10)&amp;"Channel / LOB: "&amp;$K187&amp;" / "&amp;$L187&amp;CHAR(10)&amp;"Evaluator: "&amp;$S187&amp;CHAR(10)&amp;CHAR(10)&amp;"INVALID QUALITY AUDIT DETAILS"&amp;CHAR(10)&amp;"Validation: Invalid"&amp;CHAR(10)&amp;"Invalid Reason: "&amp;$P187&amp;CHAR(10)&amp;"Expected Resolution Code: "&amp;$Q187&amp;CHAR(10)&amp;"Remarks: "&amp;LEFT($R187,600)&amp;CHAR(10)&amp;CHAR(10)&amp;"This is an automated notification from HP Mainstream EQMS."),"✉ Open Email Draft"),"")</f>
        <v/>
      </c>
    </row>
    <row r="188">
      <c r="A188" s="25">
        <f>IF($C188="","","AUD-2026-"&amp;TEXT(ROW()-1,"000000"))</f>
        <v/>
      </c>
      <c r="B188" s="26" t="n"/>
      <c r="C188" s="27" t="n"/>
      <c r="D188" s="25">
        <f>IF($C188="","",IFERROR(IF(INDEX(Roster!$A:$A,MATCH($C188,Roster!$B:$B,0))="","",INDEX(Roster!$A:$A,MATCH($C188,Roster!$B:$B,0))&amp;""),"—"))</f>
        <v/>
      </c>
      <c r="E188" s="25">
        <f>IF($C188="","",IFERROR(IF(INDEX(Roster!$C:$C,MATCH($C188,Roster!$B:$B,0))="","",INDEX(Roster!$C:$C,MATCH($C188,Roster!$B:$B,0))&amp;""),"—"))</f>
        <v/>
      </c>
      <c r="F188" s="25">
        <f>IF($C188="","",IFERROR(IF(INDEX(Roster!$D:$D,MATCH($C188,Roster!$B:$B,0))="","",INDEX(Roster!$D:$D,MATCH($C188,Roster!$B:$B,0))&amp;""),"—"))</f>
        <v/>
      </c>
      <c r="G188" s="25">
        <f>IF($C188="","",IFERROR(IF(INDEX(Roster!$E:$E,MATCH($C188,Roster!$B:$B,0))="","",INDEX(Roster!$E:$E,MATCH($C188,Roster!$B:$B,0))&amp;""),"—"))</f>
        <v/>
      </c>
      <c r="H188" s="25">
        <f>IF($C188="","",IFERROR(IF(INDEX(Roster!$F:$F,MATCH($C188,Roster!$B:$B,0))="","",INDEX(Roster!$F:$F,MATCH($C188,Roster!$B:$B,0))&amp;""),"—"))</f>
        <v/>
      </c>
      <c r="I188" s="25">
        <f>IF($C188="","",IFERROR(IF(INDEX(Roster!$G:$G,MATCH($C188,Roster!$B:$B,0))="","",INDEX(Roster!$G:$G,MATCH($C188,Roster!$B:$B,0))&amp;""),"—"))</f>
        <v/>
      </c>
      <c r="J188" s="25">
        <f>IF($C188="","",IFERROR(IF(INDEX(Roster!$I:$I,MATCH($C188,Roster!$B:$B,0))="","",INDEX(Roster!$I:$I,MATCH($C188,Roster!$B:$B,0))&amp;""),"—"))</f>
        <v/>
      </c>
      <c r="K188">
        <f>IF($C188="","",IFERROR(IF(INDEX(Roster!$J:$J,MATCH($C188,Roster!$B:$B,0))="","",INDEX(Roster!$J:$J,MATCH($C188,Roster!$B:$B,0))&amp;""),"—"))</f>
        <v/>
      </c>
      <c r="L188">
        <f>IF($C188="","",IFERROR(IF(INDEX(Roster!$K:$K,MATCH($C188,Roster!$B:$B,0))="","",INDEX(Roster!$K:$K,MATCH($C188,Roster!$B:$B,0))&amp;""),"—"))</f>
        <v/>
      </c>
      <c r="M188" s="27" t="n"/>
      <c r="N188" s="27" t="n"/>
      <c r="O188" s="25">
        <f>IF($C188="","",IF($P188="","—",IF($P188="Valid (Pass)","Valid","Invalid")))</f>
        <v/>
      </c>
      <c r="P188" s="27" t="n"/>
      <c r="Q188" s="27" t="n"/>
      <c r="R188" s="27" t="n"/>
      <c r="S188" s="27" t="n"/>
      <c r="T188" s="25">
        <f>IF($C188="","",IF(OR(ISNUMBER(SEARCH("quick case",$P188)),ISNUMBER(SEARCH("quick case",$Q188))),"Yes","No"))</f>
        <v/>
      </c>
      <c r="U188" s="25">
        <f>IF($O188="Invalid",HYPERLINK("mailto:"&amp;$G188&amp;";"&amp;$I188&amp;"?cc="&amp;Lists!$E$2&amp;"&amp;subject="&amp;_xlfn.ENCODEURL("[INVALID] Quality audit monitoring completed for "&amp;UPPER($C188))&amp;"&amp;body="&amp;_xlfn.ENCODEURL("Hi "&amp;$F188&amp;","&amp;CHAR(10)&amp;"Good day!"&amp;CHAR(10)&amp;CHAR(10)&amp;"A quality monitoring audit has been completed for "&amp;$C188&amp;"."&amp;CHAR(10)&amp;CHAR(10)&amp;"QUALITY AUDIT DETAILS"&amp;CHAR(10)&amp;"Agent Name: "&amp;$C188&amp;" (EID "&amp;$D188&amp;")"&amp;CHAR(10)&amp;"Audit Date: "&amp;TEXT($B188,"yyyy-mm-dd")&amp;CHAR(10)&amp;"Team Leader: "&amp;$F188&amp;CHAR(10)&amp;"Case Number: "&amp;$M188&amp;CHAR(10)&amp;"Transaction ID: "&amp;$N188&amp;CHAR(10)&amp;"Channel / LOB: "&amp;$K188&amp;" / "&amp;$L188&amp;CHAR(10)&amp;"Evaluator: "&amp;$S188&amp;CHAR(10)&amp;CHAR(10)&amp;"INVALID QUALITY AUDIT DETAILS"&amp;CHAR(10)&amp;"Validation: Invalid"&amp;CHAR(10)&amp;"Invalid Reason: "&amp;$P188&amp;CHAR(10)&amp;"Expected Resolution Code: "&amp;$Q188&amp;CHAR(10)&amp;"Remarks: "&amp;LEFT($R188,600)&amp;CHAR(10)&amp;CHAR(10)&amp;"This is an automated notification from HP Mainstream EQMS."),"✉ Open Email Draft"),"")</f>
        <v/>
      </c>
    </row>
    <row r="189">
      <c r="A189" s="25">
        <f>IF($C189="","","AUD-2026-"&amp;TEXT(ROW()-1,"000000"))</f>
        <v/>
      </c>
      <c r="B189" s="26" t="n"/>
      <c r="C189" s="27" t="n"/>
      <c r="D189" s="25">
        <f>IF($C189="","",IFERROR(IF(INDEX(Roster!$A:$A,MATCH($C189,Roster!$B:$B,0))="","",INDEX(Roster!$A:$A,MATCH($C189,Roster!$B:$B,0))&amp;""),"—"))</f>
        <v/>
      </c>
      <c r="E189" s="25">
        <f>IF($C189="","",IFERROR(IF(INDEX(Roster!$C:$C,MATCH($C189,Roster!$B:$B,0))="","",INDEX(Roster!$C:$C,MATCH($C189,Roster!$B:$B,0))&amp;""),"—"))</f>
        <v/>
      </c>
      <c r="F189" s="25">
        <f>IF($C189="","",IFERROR(IF(INDEX(Roster!$D:$D,MATCH($C189,Roster!$B:$B,0))="","",INDEX(Roster!$D:$D,MATCH($C189,Roster!$B:$B,0))&amp;""),"—"))</f>
        <v/>
      </c>
      <c r="G189" s="25">
        <f>IF($C189="","",IFERROR(IF(INDEX(Roster!$E:$E,MATCH($C189,Roster!$B:$B,0))="","",INDEX(Roster!$E:$E,MATCH($C189,Roster!$B:$B,0))&amp;""),"—"))</f>
        <v/>
      </c>
      <c r="H189" s="25">
        <f>IF($C189="","",IFERROR(IF(INDEX(Roster!$F:$F,MATCH($C189,Roster!$B:$B,0))="","",INDEX(Roster!$F:$F,MATCH($C189,Roster!$B:$B,0))&amp;""),"—"))</f>
        <v/>
      </c>
      <c r="I189" s="25">
        <f>IF($C189="","",IFERROR(IF(INDEX(Roster!$G:$G,MATCH($C189,Roster!$B:$B,0))="","",INDEX(Roster!$G:$G,MATCH($C189,Roster!$B:$B,0))&amp;""),"—"))</f>
        <v/>
      </c>
      <c r="J189" s="25">
        <f>IF($C189="","",IFERROR(IF(INDEX(Roster!$I:$I,MATCH($C189,Roster!$B:$B,0))="","",INDEX(Roster!$I:$I,MATCH($C189,Roster!$B:$B,0))&amp;""),"—"))</f>
        <v/>
      </c>
      <c r="K189">
        <f>IF($C189="","",IFERROR(IF(INDEX(Roster!$J:$J,MATCH($C189,Roster!$B:$B,0))="","",INDEX(Roster!$J:$J,MATCH($C189,Roster!$B:$B,0))&amp;""),"—"))</f>
        <v/>
      </c>
      <c r="L189">
        <f>IF($C189="","",IFERROR(IF(INDEX(Roster!$K:$K,MATCH($C189,Roster!$B:$B,0))="","",INDEX(Roster!$K:$K,MATCH($C189,Roster!$B:$B,0))&amp;""),"—"))</f>
        <v/>
      </c>
      <c r="M189" s="27" t="n"/>
      <c r="N189" s="27" t="n"/>
      <c r="O189" s="25">
        <f>IF($C189="","",IF($P189="","—",IF($P189="Valid (Pass)","Valid","Invalid")))</f>
        <v/>
      </c>
      <c r="P189" s="27" t="n"/>
      <c r="Q189" s="27" t="n"/>
      <c r="R189" s="27" t="n"/>
      <c r="S189" s="27" t="n"/>
      <c r="T189" s="25">
        <f>IF($C189="","",IF(OR(ISNUMBER(SEARCH("quick case",$P189)),ISNUMBER(SEARCH("quick case",$Q189))),"Yes","No"))</f>
        <v/>
      </c>
      <c r="U189" s="25">
        <f>IF($O189="Invalid",HYPERLINK("mailto:"&amp;$G189&amp;";"&amp;$I189&amp;"?cc="&amp;Lists!$E$2&amp;"&amp;subject="&amp;_xlfn.ENCODEURL("[INVALID] Quality audit monitoring completed for "&amp;UPPER($C189))&amp;"&amp;body="&amp;_xlfn.ENCODEURL("Hi "&amp;$F189&amp;","&amp;CHAR(10)&amp;"Good day!"&amp;CHAR(10)&amp;CHAR(10)&amp;"A quality monitoring audit has been completed for "&amp;$C189&amp;"."&amp;CHAR(10)&amp;CHAR(10)&amp;"QUALITY AUDIT DETAILS"&amp;CHAR(10)&amp;"Agent Name: "&amp;$C189&amp;" (EID "&amp;$D189&amp;")"&amp;CHAR(10)&amp;"Audit Date: "&amp;TEXT($B189,"yyyy-mm-dd")&amp;CHAR(10)&amp;"Team Leader: "&amp;$F189&amp;CHAR(10)&amp;"Case Number: "&amp;$M189&amp;CHAR(10)&amp;"Transaction ID: "&amp;$N189&amp;CHAR(10)&amp;"Channel / LOB: "&amp;$K189&amp;" / "&amp;$L189&amp;CHAR(10)&amp;"Evaluator: "&amp;$S189&amp;CHAR(10)&amp;CHAR(10)&amp;"INVALID QUALITY AUDIT DETAILS"&amp;CHAR(10)&amp;"Validation: Invalid"&amp;CHAR(10)&amp;"Invalid Reason: "&amp;$P189&amp;CHAR(10)&amp;"Expected Resolution Code: "&amp;$Q189&amp;CHAR(10)&amp;"Remarks: "&amp;LEFT($R189,600)&amp;CHAR(10)&amp;CHAR(10)&amp;"This is an automated notification from HP Mainstream EQMS."),"✉ Open Email Draft"),"")</f>
        <v/>
      </c>
    </row>
    <row r="190">
      <c r="A190" s="25">
        <f>IF($C190="","","AUD-2026-"&amp;TEXT(ROW()-1,"000000"))</f>
        <v/>
      </c>
      <c r="B190" s="26" t="n"/>
      <c r="C190" s="27" t="n"/>
      <c r="D190" s="25">
        <f>IF($C190="","",IFERROR(IF(INDEX(Roster!$A:$A,MATCH($C190,Roster!$B:$B,0))="","",INDEX(Roster!$A:$A,MATCH($C190,Roster!$B:$B,0))&amp;""),"—"))</f>
        <v/>
      </c>
      <c r="E190" s="25">
        <f>IF($C190="","",IFERROR(IF(INDEX(Roster!$C:$C,MATCH($C190,Roster!$B:$B,0))="","",INDEX(Roster!$C:$C,MATCH($C190,Roster!$B:$B,0))&amp;""),"—"))</f>
        <v/>
      </c>
      <c r="F190" s="25">
        <f>IF($C190="","",IFERROR(IF(INDEX(Roster!$D:$D,MATCH($C190,Roster!$B:$B,0))="","",INDEX(Roster!$D:$D,MATCH($C190,Roster!$B:$B,0))&amp;""),"—"))</f>
        <v/>
      </c>
      <c r="G190" s="25">
        <f>IF($C190="","",IFERROR(IF(INDEX(Roster!$E:$E,MATCH($C190,Roster!$B:$B,0))="","",INDEX(Roster!$E:$E,MATCH($C190,Roster!$B:$B,0))&amp;""),"—"))</f>
        <v/>
      </c>
      <c r="H190" s="25">
        <f>IF($C190="","",IFERROR(IF(INDEX(Roster!$F:$F,MATCH($C190,Roster!$B:$B,0))="","",INDEX(Roster!$F:$F,MATCH($C190,Roster!$B:$B,0))&amp;""),"—"))</f>
        <v/>
      </c>
      <c r="I190" s="25">
        <f>IF($C190="","",IFERROR(IF(INDEX(Roster!$G:$G,MATCH($C190,Roster!$B:$B,0))="","",INDEX(Roster!$G:$G,MATCH($C190,Roster!$B:$B,0))&amp;""),"—"))</f>
        <v/>
      </c>
      <c r="J190" s="25">
        <f>IF($C190="","",IFERROR(IF(INDEX(Roster!$I:$I,MATCH($C190,Roster!$B:$B,0))="","",INDEX(Roster!$I:$I,MATCH($C190,Roster!$B:$B,0))&amp;""),"—"))</f>
        <v/>
      </c>
      <c r="K190">
        <f>IF($C190="","",IFERROR(IF(INDEX(Roster!$J:$J,MATCH($C190,Roster!$B:$B,0))="","",INDEX(Roster!$J:$J,MATCH($C190,Roster!$B:$B,0))&amp;""),"—"))</f>
        <v/>
      </c>
      <c r="L190">
        <f>IF($C190="","",IFERROR(IF(INDEX(Roster!$K:$K,MATCH($C190,Roster!$B:$B,0))="","",INDEX(Roster!$K:$K,MATCH($C190,Roster!$B:$B,0))&amp;""),"—"))</f>
        <v/>
      </c>
      <c r="M190" s="27" t="n"/>
      <c r="N190" s="27" t="n"/>
      <c r="O190" s="25">
        <f>IF($C190="","",IF($P190="","—",IF($P190="Valid (Pass)","Valid","Invalid")))</f>
        <v/>
      </c>
      <c r="P190" s="27" t="n"/>
      <c r="Q190" s="27" t="n"/>
      <c r="R190" s="27" t="n"/>
      <c r="S190" s="27" t="n"/>
      <c r="T190" s="25">
        <f>IF($C190="","",IF(OR(ISNUMBER(SEARCH("quick case",$P190)),ISNUMBER(SEARCH("quick case",$Q190))),"Yes","No"))</f>
        <v/>
      </c>
      <c r="U190" s="25">
        <f>IF($O190="Invalid",HYPERLINK("mailto:"&amp;$G190&amp;";"&amp;$I190&amp;"?cc="&amp;Lists!$E$2&amp;"&amp;subject="&amp;_xlfn.ENCODEURL("[INVALID] Quality audit monitoring completed for "&amp;UPPER($C190))&amp;"&amp;body="&amp;_xlfn.ENCODEURL("Hi "&amp;$F190&amp;","&amp;CHAR(10)&amp;"Good day!"&amp;CHAR(10)&amp;CHAR(10)&amp;"A quality monitoring audit has been completed for "&amp;$C190&amp;"."&amp;CHAR(10)&amp;CHAR(10)&amp;"QUALITY AUDIT DETAILS"&amp;CHAR(10)&amp;"Agent Name: "&amp;$C190&amp;" (EID "&amp;$D190&amp;")"&amp;CHAR(10)&amp;"Audit Date: "&amp;TEXT($B190,"yyyy-mm-dd")&amp;CHAR(10)&amp;"Team Leader: "&amp;$F190&amp;CHAR(10)&amp;"Case Number: "&amp;$M190&amp;CHAR(10)&amp;"Transaction ID: "&amp;$N190&amp;CHAR(10)&amp;"Channel / LOB: "&amp;$K190&amp;" / "&amp;$L190&amp;CHAR(10)&amp;"Evaluator: "&amp;$S190&amp;CHAR(10)&amp;CHAR(10)&amp;"INVALID QUALITY AUDIT DETAILS"&amp;CHAR(10)&amp;"Validation: Invalid"&amp;CHAR(10)&amp;"Invalid Reason: "&amp;$P190&amp;CHAR(10)&amp;"Expected Resolution Code: "&amp;$Q190&amp;CHAR(10)&amp;"Remarks: "&amp;LEFT($R190,600)&amp;CHAR(10)&amp;CHAR(10)&amp;"This is an automated notification from HP Mainstream EQMS."),"✉ Open Email Draft"),"")</f>
        <v/>
      </c>
    </row>
    <row r="191">
      <c r="A191" s="25">
        <f>IF($C191="","","AUD-2026-"&amp;TEXT(ROW()-1,"000000"))</f>
        <v/>
      </c>
      <c r="B191" s="26" t="n"/>
      <c r="C191" s="27" t="n"/>
      <c r="D191" s="25">
        <f>IF($C191="","",IFERROR(IF(INDEX(Roster!$A:$A,MATCH($C191,Roster!$B:$B,0))="","",INDEX(Roster!$A:$A,MATCH($C191,Roster!$B:$B,0))&amp;""),"—"))</f>
        <v/>
      </c>
      <c r="E191" s="25">
        <f>IF($C191="","",IFERROR(IF(INDEX(Roster!$C:$C,MATCH($C191,Roster!$B:$B,0))="","",INDEX(Roster!$C:$C,MATCH($C191,Roster!$B:$B,0))&amp;""),"—"))</f>
        <v/>
      </c>
      <c r="F191" s="25">
        <f>IF($C191="","",IFERROR(IF(INDEX(Roster!$D:$D,MATCH($C191,Roster!$B:$B,0))="","",INDEX(Roster!$D:$D,MATCH($C191,Roster!$B:$B,0))&amp;""),"—"))</f>
        <v/>
      </c>
      <c r="G191" s="25">
        <f>IF($C191="","",IFERROR(IF(INDEX(Roster!$E:$E,MATCH($C191,Roster!$B:$B,0))="","",INDEX(Roster!$E:$E,MATCH($C191,Roster!$B:$B,0))&amp;""),"—"))</f>
        <v/>
      </c>
      <c r="H191" s="25">
        <f>IF($C191="","",IFERROR(IF(INDEX(Roster!$F:$F,MATCH($C191,Roster!$B:$B,0))="","",INDEX(Roster!$F:$F,MATCH($C191,Roster!$B:$B,0))&amp;""),"—"))</f>
        <v/>
      </c>
      <c r="I191" s="25">
        <f>IF($C191="","",IFERROR(IF(INDEX(Roster!$G:$G,MATCH($C191,Roster!$B:$B,0))="","",INDEX(Roster!$G:$G,MATCH($C191,Roster!$B:$B,0))&amp;""),"—"))</f>
        <v/>
      </c>
      <c r="J191" s="25">
        <f>IF($C191="","",IFERROR(IF(INDEX(Roster!$I:$I,MATCH($C191,Roster!$B:$B,0))="","",INDEX(Roster!$I:$I,MATCH($C191,Roster!$B:$B,0))&amp;""),"—"))</f>
        <v/>
      </c>
      <c r="K191">
        <f>IF($C191="","",IFERROR(IF(INDEX(Roster!$J:$J,MATCH($C191,Roster!$B:$B,0))="","",INDEX(Roster!$J:$J,MATCH($C191,Roster!$B:$B,0))&amp;""),"—"))</f>
        <v/>
      </c>
      <c r="L191">
        <f>IF($C191="","",IFERROR(IF(INDEX(Roster!$K:$K,MATCH($C191,Roster!$B:$B,0))="","",INDEX(Roster!$K:$K,MATCH($C191,Roster!$B:$B,0))&amp;""),"—"))</f>
        <v/>
      </c>
      <c r="M191" s="27" t="n"/>
      <c r="N191" s="27" t="n"/>
      <c r="O191" s="25">
        <f>IF($C191="","",IF($P191="","—",IF($P191="Valid (Pass)","Valid","Invalid")))</f>
        <v/>
      </c>
      <c r="P191" s="27" t="n"/>
      <c r="Q191" s="27" t="n"/>
      <c r="R191" s="27" t="n"/>
      <c r="S191" s="27" t="n"/>
      <c r="T191" s="25">
        <f>IF($C191="","",IF(OR(ISNUMBER(SEARCH("quick case",$P191)),ISNUMBER(SEARCH("quick case",$Q191))),"Yes","No"))</f>
        <v/>
      </c>
      <c r="U191" s="25">
        <f>IF($O191="Invalid",HYPERLINK("mailto:"&amp;$G191&amp;";"&amp;$I191&amp;"?cc="&amp;Lists!$E$2&amp;"&amp;subject="&amp;_xlfn.ENCODEURL("[INVALID] Quality audit monitoring completed for "&amp;UPPER($C191))&amp;"&amp;body="&amp;_xlfn.ENCODEURL("Hi "&amp;$F191&amp;","&amp;CHAR(10)&amp;"Good day!"&amp;CHAR(10)&amp;CHAR(10)&amp;"A quality monitoring audit has been completed for "&amp;$C191&amp;"."&amp;CHAR(10)&amp;CHAR(10)&amp;"QUALITY AUDIT DETAILS"&amp;CHAR(10)&amp;"Agent Name: "&amp;$C191&amp;" (EID "&amp;$D191&amp;")"&amp;CHAR(10)&amp;"Audit Date: "&amp;TEXT($B191,"yyyy-mm-dd")&amp;CHAR(10)&amp;"Team Leader: "&amp;$F191&amp;CHAR(10)&amp;"Case Number: "&amp;$M191&amp;CHAR(10)&amp;"Transaction ID: "&amp;$N191&amp;CHAR(10)&amp;"Channel / LOB: "&amp;$K191&amp;" / "&amp;$L191&amp;CHAR(10)&amp;"Evaluator: "&amp;$S191&amp;CHAR(10)&amp;CHAR(10)&amp;"INVALID QUALITY AUDIT DETAILS"&amp;CHAR(10)&amp;"Validation: Invalid"&amp;CHAR(10)&amp;"Invalid Reason: "&amp;$P191&amp;CHAR(10)&amp;"Expected Resolution Code: "&amp;$Q191&amp;CHAR(10)&amp;"Remarks: "&amp;LEFT($R191,600)&amp;CHAR(10)&amp;CHAR(10)&amp;"This is an automated notification from HP Mainstream EQMS."),"✉ Open Email Draft"),"")</f>
        <v/>
      </c>
    </row>
    <row r="192">
      <c r="A192" s="25">
        <f>IF($C192="","","AUD-2026-"&amp;TEXT(ROW()-1,"000000"))</f>
        <v/>
      </c>
      <c r="B192" s="26" t="n"/>
      <c r="C192" s="27" t="n"/>
      <c r="D192" s="25">
        <f>IF($C192="","",IFERROR(IF(INDEX(Roster!$A:$A,MATCH($C192,Roster!$B:$B,0))="","",INDEX(Roster!$A:$A,MATCH($C192,Roster!$B:$B,0))&amp;""),"—"))</f>
        <v/>
      </c>
      <c r="E192" s="25">
        <f>IF($C192="","",IFERROR(IF(INDEX(Roster!$C:$C,MATCH($C192,Roster!$B:$B,0))="","",INDEX(Roster!$C:$C,MATCH($C192,Roster!$B:$B,0))&amp;""),"—"))</f>
        <v/>
      </c>
      <c r="F192" s="25">
        <f>IF($C192="","",IFERROR(IF(INDEX(Roster!$D:$D,MATCH($C192,Roster!$B:$B,0))="","",INDEX(Roster!$D:$D,MATCH($C192,Roster!$B:$B,0))&amp;""),"—"))</f>
        <v/>
      </c>
      <c r="G192" s="25">
        <f>IF($C192="","",IFERROR(IF(INDEX(Roster!$E:$E,MATCH($C192,Roster!$B:$B,0))="","",INDEX(Roster!$E:$E,MATCH($C192,Roster!$B:$B,0))&amp;""),"—"))</f>
        <v/>
      </c>
      <c r="H192" s="25">
        <f>IF($C192="","",IFERROR(IF(INDEX(Roster!$F:$F,MATCH($C192,Roster!$B:$B,0))="","",INDEX(Roster!$F:$F,MATCH($C192,Roster!$B:$B,0))&amp;""),"—"))</f>
        <v/>
      </c>
      <c r="I192" s="25">
        <f>IF($C192="","",IFERROR(IF(INDEX(Roster!$G:$G,MATCH($C192,Roster!$B:$B,0))="","",INDEX(Roster!$G:$G,MATCH($C192,Roster!$B:$B,0))&amp;""),"—"))</f>
        <v/>
      </c>
      <c r="J192" s="25">
        <f>IF($C192="","",IFERROR(IF(INDEX(Roster!$I:$I,MATCH($C192,Roster!$B:$B,0))="","",INDEX(Roster!$I:$I,MATCH($C192,Roster!$B:$B,0))&amp;""),"—"))</f>
        <v/>
      </c>
      <c r="K192">
        <f>IF($C192="","",IFERROR(IF(INDEX(Roster!$J:$J,MATCH($C192,Roster!$B:$B,0))="","",INDEX(Roster!$J:$J,MATCH($C192,Roster!$B:$B,0))&amp;""),"—"))</f>
        <v/>
      </c>
      <c r="L192">
        <f>IF($C192="","",IFERROR(IF(INDEX(Roster!$K:$K,MATCH($C192,Roster!$B:$B,0))="","",INDEX(Roster!$K:$K,MATCH($C192,Roster!$B:$B,0))&amp;""),"—"))</f>
        <v/>
      </c>
      <c r="M192" s="27" t="n"/>
      <c r="N192" s="27" t="n"/>
      <c r="O192" s="25">
        <f>IF($C192="","",IF($P192="","—",IF($P192="Valid (Pass)","Valid","Invalid")))</f>
        <v/>
      </c>
      <c r="P192" s="27" t="n"/>
      <c r="Q192" s="27" t="n"/>
      <c r="R192" s="27" t="n"/>
      <c r="S192" s="27" t="n"/>
      <c r="T192" s="25">
        <f>IF($C192="","",IF(OR(ISNUMBER(SEARCH("quick case",$P192)),ISNUMBER(SEARCH("quick case",$Q192))),"Yes","No"))</f>
        <v/>
      </c>
      <c r="U192" s="25">
        <f>IF($O192="Invalid",HYPERLINK("mailto:"&amp;$G192&amp;";"&amp;$I192&amp;"?cc="&amp;Lists!$E$2&amp;"&amp;subject="&amp;_xlfn.ENCODEURL("[INVALID] Quality audit monitoring completed for "&amp;UPPER($C192))&amp;"&amp;body="&amp;_xlfn.ENCODEURL("Hi "&amp;$F192&amp;","&amp;CHAR(10)&amp;"Good day!"&amp;CHAR(10)&amp;CHAR(10)&amp;"A quality monitoring audit has been completed for "&amp;$C192&amp;"."&amp;CHAR(10)&amp;CHAR(10)&amp;"QUALITY AUDIT DETAILS"&amp;CHAR(10)&amp;"Agent Name: "&amp;$C192&amp;" (EID "&amp;$D192&amp;")"&amp;CHAR(10)&amp;"Audit Date: "&amp;TEXT($B192,"yyyy-mm-dd")&amp;CHAR(10)&amp;"Team Leader: "&amp;$F192&amp;CHAR(10)&amp;"Case Number: "&amp;$M192&amp;CHAR(10)&amp;"Transaction ID: "&amp;$N192&amp;CHAR(10)&amp;"Channel / LOB: "&amp;$K192&amp;" / "&amp;$L192&amp;CHAR(10)&amp;"Evaluator: "&amp;$S192&amp;CHAR(10)&amp;CHAR(10)&amp;"INVALID QUALITY AUDIT DETAILS"&amp;CHAR(10)&amp;"Validation: Invalid"&amp;CHAR(10)&amp;"Invalid Reason: "&amp;$P192&amp;CHAR(10)&amp;"Expected Resolution Code: "&amp;$Q192&amp;CHAR(10)&amp;"Remarks: "&amp;LEFT($R192,600)&amp;CHAR(10)&amp;CHAR(10)&amp;"This is an automated notification from HP Mainstream EQMS."),"✉ Open Email Draft"),"")</f>
        <v/>
      </c>
    </row>
    <row r="193">
      <c r="A193" s="25">
        <f>IF($C193="","","AUD-2026-"&amp;TEXT(ROW()-1,"000000"))</f>
        <v/>
      </c>
      <c r="B193" s="26" t="n"/>
      <c r="C193" s="27" t="n"/>
      <c r="D193" s="25">
        <f>IF($C193="","",IFERROR(IF(INDEX(Roster!$A:$A,MATCH($C193,Roster!$B:$B,0))="","",INDEX(Roster!$A:$A,MATCH($C193,Roster!$B:$B,0))&amp;""),"—"))</f>
        <v/>
      </c>
      <c r="E193" s="25">
        <f>IF($C193="","",IFERROR(IF(INDEX(Roster!$C:$C,MATCH($C193,Roster!$B:$B,0))="","",INDEX(Roster!$C:$C,MATCH($C193,Roster!$B:$B,0))&amp;""),"—"))</f>
        <v/>
      </c>
      <c r="F193" s="25">
        <f>IF($C193="","",IFERROR(IF(INDEX(Roster!$D:$D,MATCH($C193,Roster!$B:$B,0))="","",INDEX(Roster!$D:$D,MATCH($C193,Roster!$B:$B,0))&amp;""),"—"))</f>
        <v/>
      </c>
      <c r="G193" s="25">
        <f>IF($C193="","",IFERROR(IF(INDEX(Roster!$E:$E,MATCH($C193,Roster!$B:$B,0))="","",INDEX(Roster!$E:$E,MATCH($C193,Roster!$B:$B,0))&amp;""),"—"))</f>
        <v/>
      </c>
      <c r="H193" s="25">
        <f>IF($C193="","",IFERROR(IF(INDEX(Roster!$F:$F,MATCH($C193,Roster!$B:$B,0))="","",INDEX(Roster!$F:$F,MATCH($C193,Roster!$B:$B,0))&amp;""),"—"))</f>
        <v/>
      </c>
      <c r="I193" s="25">
        <f>IF($C193="","",IFERROR(IF(INDEX(Roster!$G:$G,MATCH($C193,Roster!$B:$B,0))="","",INDEX(Roster!$G:$G,MATCH($C193,Roster!$B:$B,0))&amp;""),"—"))</f>
        <v/>
      </c>
      <c r="J193" s="25">
        <f>IF($C193="","",IFERROR(IF(INDEX(Roster!$I:$I,MATCH($C193,Roster!$B:$B,0))="","",INDEX(Roster!$I:$I,MATCH($C193,Roster!$B:$B,0))&amp;""),"—"))</f>
        <v/>
      </c>
      <c r="K193">
        <f>IF($C193="","",IFERROR(IF(INDEX(Roster!$J:$J,MATCH($C193,Roster!$B:$B,0))="","",INDEX(Roster!$J:$J,MATCH($C193,Roster!$B:$B,0))&amp;""),"—"))</f>
        <v/>
      </c>
      <c r="L193">
        <f>IF($C193="","",IFERROR(IF(INDEX(Roster!$K:$K,MATCH($C193,Roster!$B:$B,0))="","",INDEX(Roster!$K:$K,MATCH($C193,Roster!$B:$B,0))&amp;""),"—"))</f>
        <v/>
      </c>
      <c r="M193" s="27" t="n"/>
      <c r="N193" s="27" t="n"/>
      <c r="O193" s="25">
        <f>IF($C193="","",IF($P193="","—",IF($P193="Valid (Pass)","Valid","Invalid")))</f>
        <v/>
      </c>
      <c r="P193" s="27" t="n"/>
      <c r="Q193" s="27" t="n"/>
      <c r="R193" s="27" t="n"/>
      <c r="S193" s="27" t="n"/>
      <c r="T193" s="25">
        <f>IF($C193="","",IF(OR(ISNUMBER(SEARCH("quick case",$P193)),ISNUMBER(SEARCH("quick case",$Q193))),"Yes","No"))</f>
        <v/>
      </c>
      <c r="U193" s="25">
        <f>IF($O193="Invalid",HYPERLINK("mailto:"&amp;$G193&amp;";"&amp;$I193&amp;"?cc="&amp;Lists!$E$2&amp;"&amp;subject="&amp;_xlfn.ENCODEURL("[INVALID] Quality audit monitoring completed for "&amp;UPPER($C193))&amp;"&amp;body="&amp;_xlfn.ENCODEURL("Hi "&amp;$F193&amp;","&amp;CHAR(10)&amp;"Good day!"&amp;CHAR(10)&amp;CHAR(10)&amp;"A quality monitoring audit has been completed for "&amp;$C193&amp;"."&amp;CHAR(10)&amp;CHAR(10)&amp;"QUALITY AUDIT DETAILS"&amp;CHAR(10)&amp;"Agent Name: "&amp;$C193&amp;" (EID "&amp;$D193&amp;")"&amp;CHAR(10)&amp;"Audit Date: "&amp;TEXT($B193,"yyyy-mm-dd")&amp;CHAR(10)&amp;"Team Leader: "&amp;$F193&amp;CHAR(10)&amp;"Case Number: "&amp;$M193&amp;CHAR(10)&amp;"Transaction ID: "&amp;$N193&amp;CHAR(10)&amp;"Channel / LOB: "&amp;$K193&amp;" / "&amp;$L193&amp;CHAR(10)&amp;"Evaluator: "&amp;$S193&amp;CHAR(10)&amp;CHAR(10)&amp;"INVALID QUALITY AUDIT DETAILS"&amp;CHAR(10)&amp;"Validation: Invalid"&amp;CHAR(10)&amp;"Invalid Reason: "&amp;$P193&amp;CHAR(10)&amp;"Expected Resolution Code: "&amp;$Q193&amp;CHAR(10)&amp;"Remarks: "&amp;LEFT($R193,600)&amp;CHAR(10)&amp;CHAR(10)&amp;"This is an automated notification from HP Mainstream EQMS."),"✉ Open Email Draft"),"")</f>
        <v/>
      </c>
    </row>
    <row r="194">
      <c r="A194" s="25">
        <f>IF($C194="","","AUD-2026-"&amp;TEXT(ROW()-1,"000000"))</f>
        <v/>
      </c>
      <c r="B194" s="26" t="n"/>
      <c r="C194" s="27" t="n"/>
      <c r="D194" s="25">
        <f>IF($C194="","",IFERROR(IF(INDEX(Roster!$A:$A,MATCH($C194,Roster!$B:$B,0))="","",INDEX(Roster!$A:$A,MATCH($C194,Roster!$B:$B,0))&amp;""),"—"))</f>
        <v/>
      </c>
      <c r="E194" s="25">
        <f>IF($C194="","",IFERROR(IF(INDEX(Roster!$C:$C,MATCH($C194,Roster!$B:$B,0))="","",INDEX(Roster!$C:$C,MATCH($C194,Roster!$B:$B,0))&amp;""),"—"))</f>
        <v/>
      </c>
      <c r="F194" s="25">
        <f>IF($C194="","",IFERROR(IF(INDEX(Roster!$D:$D,MATCH($C194,Roster!$B:$B,0))="","",INDEX(Roster!$D:$D,MATCH($C194,Roster!$B:$B,0))&amp;""),"—"))</f>
        <v/>
      </c>
      <c r="G194" s="25">
        <f>IF($C194="","",IFERROR(IF(INDEX(Roster!$E:$E,MATCH($C194,Roster!$B:$B,0))="","",INDEX(Roster!$E:$E,MATCH($C194,Roster!$B:$B,0))&amp;""),"—"))</f>
        <v/>
      </c>
      <c r="H194" s="25">
        <f>IF($C194="","",IFERROR(IF(INDEX(Roster!$F:$F,MATCH($C194,Roster!$B:$B,0))="","",INDEX(Roster!$F:$F,MATCH($C194,Roster!$B:$B,0))&amp;""),"—"))</f>
        <v/>
      </c>
      <c r="I194" s="25">
        <f>IF($C194="","",IFERROR(IF(INDEX(Roster!$G:$G,MATCH($C194,Roster!$B:$B,0))="","",INDEX(Roster!$G:$G,MATCH($C194,Roster!$B:$B,0))&amp;""),"—"))</f>
        <v/>
      </c>
      <c r="J194" s="25">
        <f>IF($C194="","",IFERROR(IF(INDEX(Roster!$I:$I,MATCH($C194,Roster!$B:$B,0))="","",INDEX(Roster!$I:$I,MATCH($C194,Roster!$B:$B,0))&amp;""),"—"))</f>
        <v/>
      </c>
      <c r="K194">
        <f>IF($C194="","",IFERROR(IF(INDEX(Roster!$J:$J,MATCH($C194,Roster!$B:$B,0))="","",INDEX(Roster!$J:$J,MATCH($C194,Roster!$B:$B,0))&amp;""),"—"))</f>
        <v/>
      </c>
      <c r="L194">
        <f>IF($C194="","",IFERROR(IF(INDEX(Roster!$K:$K,MATCH($C194,Roster!$B:$B,0))="","",INDEX(Roster!$K:$K,MATCH($C194,Roster!$B:$B,0))&amp;""),"—"))</f>
        <v/>
      </c>
      <c r="M194" s="27" t="n"/>
      <c r="N194" s="27" t="n"/>
      <c r="O194" s="25">
        <f>IF($C194="","",IF($P194="","—",IF($P194="Valid (Pass)","Valid","Invalid")))</f>
        <v/>
      </c>
      <c r="P194" s="27" t="n"/>
      <c r="Q194" s="27" t="n"/>
      <c r="R194" s="27" t="n"/>
      <c r="S194" s="27" t="n"/>
      <c r="T194" s="25">
        <f>IF($C194="","",IF(OR(ISNUMBER(SEARCH("quick case",$P194)),ISNUMBER(SEARCH("quick case",$Q194))),"Yes","No"))</f>
        <v/>
      </c>
      <c r="U194" s="25">
        <f>IF($O194="Invalid",HYPERLINK("mailto:"&amp;$G194&amp;";"&amp;$I194&amp;"?cc="&amp;Lists!$E$2&amp;"&amp;subject="&amp;_xlfn.ENCODEURL("[INVALID] Quality audit monitoring completed for "&amp;UPPER($C194))&amp;"&amp;body="&amp;_xlfn.ENCODEURL("Hi "&amp;$F194&amp;","&amp;CHAR(10)&amp;"Good day!"&amp;CHAR(10)&amp;CHAR(10)&amp;"A quality monitoring audit has been completed for "&amp;$C194&amp;"."&amp;CHAR(10)&amp;CHAR(10)&amp;"QUALITY AUDIT DETAILS"&amp;CHAR(10)&amp;"Agent Name: "&amp;$C194&amp;" (EID "&amp;$D194&amp;")"&amp;CHAR(10)&amp;"Audit Date: "&amp;TEXT($B194,"yyyy-mm-dd")&amp;CHAR(10)&amp;"Team Leader: "&amp;$F194&amp;CHAR(10)&amp;"Case Number: "&amp;$M194&amp;CHAR(10)&amp;"Transaction ID: "&amp;$N194&amp;CHAR(10)&amp;"Channel / LOB: "&amp;$K194&amp;" / "&amp;$L194&amp;CHAR(10)&amp;"Evaluator: "&amp;$S194&amp;CHAR(10)&amp;CHAR(10)&amp;"INVALID QUALITY AUDIT DETAILS"&amp;CHAR(10)&amp;"Validation: Invalid"&amp;CHAR(10)&amp;"Invalid Reason: "&amp;$P194&amp;CHAR(10)&amp;"Expected Resolution Code: "&amp;$Q194&amp;CHAR(10)&amp;"Remarks: "&amp;LEFT($R194,600)&amp;CHAR(10)&amp;CHAR(10)&amp;"This is an automated notification from HP Mainstream EQMS."),"✉ Open Email Draft"),"")</f>
        <v/>
      </c>
    </row>
    <row r="195">
      <c r="A195" s="25">
        <f>IF($C195="","","AUD-2026-"&amp;TEXT(ROW()-1,"000000"))</f>
        <v/>
      </c>
      <c r="B195" s="26" t="n"/>
      <c r="C195" s="27" t="n"/>
      <c r="D195" s="25">
        <f>IF($C195="","",IFERROR(IF(INDEX(Roster!$A:$A,MATCH($C195,Roster!$B:$B,0))="","",INDEX(Roster!$A:$A,MATCH($C195,Roster!$B:$B,0))&amp;""),"—"))</f>
        <v/>
      </c>
      <c r="E195" s="25">
        <f>IF($C195="","",IFERROR(IF(INDEX(Roster!$C:$C,MATCH($C195,Roster!$B:$B,0))="","",INDEX(Roster!$C:$C,MATCH($C195,Roster!$B:$B,0))&amp;""),"—"))</f>
        <v/>
      </c>
      <c r="F195" s="25">
        <f>IF($C195="","",IFERROR(IF(INDEX(Roster!$D:$D,MATCH($C195,Roster!$B:$B,0))="","",INDEX(Roster!$D:$D,MATCH($C195,Roster!$B:$B,0))&amp;""),"—"))</f>
        <v/>
      </c>
      <c r="G195" s="25">
        <f>IF($C195="","",IFERROR(IF(INDEX(Roster!$E:$E,MATCH($C195,Roster!$B:$B,0))="","",INDEX(Roster!$E:$E,MATCH($C195,Roster!$B:$B,0))&amp;""),"—"))</f>
        <v/>
      </c>
      <c r="H195" s="25">
        <f>IF($C195="","",IFERROR(IF(INDEX(Roster!$F:$F,MATCH($C195,Roster!$B:$B,0))="","",INDEX(Roster!$F:$F,MATCH($C195,Roster!$B:$B,0))&amp;""),"—"))</f>
        <v/>
      </c>
      <c r="I195" s="25">
        <f>IF($C195="","",IFERROR(IF(INDEX(Roster!$G:$G,MATCH($C195,Roster!$B:$B,0))="","",INDEX(Roster!$G:$G,MATCH($C195,Roster!$B:$B,0))&amp;""),"—"))</f>
        <v/>
      </c>
      <c r="J195" s="25">
        <f>IF($C195="","",IFERROR(IF(INDEX(Roster!$I:$I,MATCH($C195,Roster!$B:$B,0))="","",INDEX(Roster!$I:$I,MATCH($C195,Roster!$B:$B,0))&amp;""),"—"))</f>
        <v/>
      </c>
      <c r="K195">
        <f>IF($C195="","",IFERROR(IF(INDEX(Roster!$J:$J,MATCH($C195,Roster!$B:$B,0))="","",INDEX(Roster!$J:$J,MATCH($C195,Roster!$B:$B,0))&amp;""),"—"))</f>
        <v/>
      </c>
      <c r="L195">
        <f>IF($C195="","",IFERROR(IF(INDEX(Roster!$K:$K,MATCH($C195,Roster!$B:$B,0))="","",INDEX(Roster!$K:$K,MATCH($C195,Roster!$B:$B,0))&amp;""),"—"))</f>
        <v/>
      </c>
      <c r="M195" s="27" t="n"/>
      <c r="N195" s="27" t="n"/>
      <c r="O195" s="25">
        <f>IF($C195="","",IF($P195="","—",IF($P195="Valid (Pass)","Valid","Invalid")))</f>
        <v/>
      </c>
      <c r="P195" s="27" t="n"/>
      <c r="Q195" s="27" t="n"/>
      <c r="R195" s="27" t="n"/>
      <c r="S195" s="27" t="n"/>
      <c r="T195" s="25">
        <f>IF($C195="","",IF(OR(ISNUMBER(SEARCH("quick case",$P195)),ISNUMBER(SEARCH("quick case",$Q195))),"Yes","No"))</f>
        <v/>
      </c>
      <c r="U195" s="25">
        <f>IF($O195="Invalid",HYPERLINK("mailto:"&amp;$G195&amp;";"&amp;$I195&amp;"?cc="&amp;Lists!$E$2&amp;"&amp;subject="&amp;_xlfn.ENCODEURL("[INVALID] Quality audit monitoring completed for "&amp;UPPER($C195))&amp;"&amp;body="&amp;_xlfn.ENCODEURL("Hi "&amp;$F195&amp;","&amp;CHAR(10)&amp;"Good day!"&amp;CHAR(10)&amp;CHAR(10)&amp;"A quality monitoring audit has been completed for "&amp;$C195&amp;"."&amp;CHAR(10)&amp;CHAR(10)&amp;"QUALITY AUDIT DETAILS"&amp;CHAR(10)&amp;"Agent Name: "&amp;$C195&amp;" (EID "&amp;$D195&amp;")"&amp;CHAR(10)&amp;"Audit Date: "&amp;TEXT($B195,"yyyy-mm-dd")&amp;CHAR(10)&amp;"Team Leader: "&amp;$F195&amp;CHAR(10)&amp;"Case Number: "&amp;$M195&amp;CHAR(10)&amp;"Transaction ID: "&amp;$N195&amp;CHAR(10)&amp;"Channel / LOB: "&amp;$K195&amp;" / "&amp;$L195&amp;CHAR(10)&amp;"Evaluator: "&amp;$S195&amp;CHAR(10)&amp;CHAR(10)&amp;"INVALID QUALITY AUDIT DETAILS"&amp;CHAR(10)&amp;"Validation: Invalid"&amp;CHAR(10)&amp;"Invalid Reason: "&amp;$P195&amp;CHAR(10)&amp;"Expected Resolution Code: "&amp;$Q195&amp;CHAR(10)&amp;"Remarks: "&amp;LEFT($R195,600)&amp;CHAR(10)&amp;CHAR(10)&amp;"This is an automated notification from HP Mainstream EQMS."),"✉ Open Email Draft"),"")</f>
        <v/>
      </c>
    </row>
    <row r="196">
      <c r="A196" s="25">
        <f>IF($C196="","","AUD-2026-"&amp;TEXT(ROW()-1,"000000"))</f>
        <v/>
      </c>
      <c r="B196" s="26" t="n"/>
      <c r="C196" s="27" t="n"/>
      <c r="D196" s="25">
        <f>IF($C196="","",IFERROR(IF(INDEX(Roster!$A:$A,MATCH($C196,Roster!$B:$B,0))="","",INDEX(Roster!$A:$A,MATCH($C196,Roster!$B:$B,0))&amp;""),"—"))</f>
        <v/>
      </c>
      <c r="E196" s="25">
        <f>IF($C196="","",IFERROR(IF(INDEX(Roster!$C:$C,MATCH($C196,Roster!$B:$B,0))="","",INDEX(Roster!$C:$C,MATCH($C196,Roster!$B:$B,0))&amp;""),"—"))</f>
        <v/>
      </c>
      <c r="F196" s="25">
        <f>IF($C196="","",IFERROR(IF(INDEX(Roster!$D:$D,MATCH($C196,Roster!$B:$B,0))="","",INDEX(Roster!$D:$D,MATCH($C196,Roster!$B:$B,0))&amp;""),"—"))</f>
        <v/>
      </c>
      <c r="G196" s="25">
        <f>IF($C196="","",IFERROR(IF(INDEX(Roster!$E:$E,MATCH($C196,Roster!$B:$B,0))="","",INDEX(Roster!$E:$E,MATCH($C196,Roster!$B:$B,0))&amp;""),"—"))</f>
        <v/>
      </c>
      <c r="H196" s="25">
        <f>IF($C196="","",IFERROR(IF(INDEX(Roster!$F:$F,MATCH($C196,Roster!$B:$B,0))="","",INDEX(Roster!$F:$F,MATCH($C196,Roster!$B:$B,0))&amp;""),"—"))</f>
        <v/>
      </c>
      <c r="I196" s="25">
        <f>IF($C196="","",IFERROR(IF(INDEX(Roster!$G:$G,MATCH($C196,Roster!$B:$B,0))="","",INDEX(Roster!$G:$G,MATCH($C196,Roster!$B:$B,0))&amp;""),"—"))</f>
        <v/>
      </c>
      <c r="J196" s="25">
        <f>IF($C196="","",IFERROR(IF(INDEX(Roster!$I:$I,MATCH($C196,Roster!$B:$B,0))="","",INDEX(Roster!$I:$I,MATCH($C196,Roster!$B:$B,0))&amp;""),"—"))</f>
        <v/>
      </c>
      <c r="K196">
        <f>IF($C196="","",IFERROR(IF(INDEX(Roster!$J:$J,MATCH($C196,Roster!$B:$B,0))="","",INDEX(Roster!$J:$J,MATCH($C196,Roster!$B:$B,0))&amp;""),"—"))</f>
        <v/>
      </c>
      <c r="L196">
        <f>IF($C196="","",IFERROR(IF(INDEX(Roster!$K:$K,MATCH($C196,Roster!$B:$B,0))="","",INDEX(Roster!$K:$K,MATCH($C196,Roster!$B:$B,0))&amp;""),"—"))</f>
        <v/>
      </c>
      <c r="M196" s="27" t="n"/>
      <c r="N196" s="27" t="n"/>
      <c r="O196" s="25">
        <f>IF($C196="","",IF($P196="","—",IF($P196="Valid (Pass)","Valid","Invalid")))</f>
        <v/>
      </c>
      <c r="P196" s="27" t="n"/>
      <c r="Q196" s="27" t="n"/>
      <c r="R196" s="27" t="n"/>
      <c r="S196" s="27" t="n"/>
      <c r="T196" s="25">
        <f>IF($C196="","",IF(OR(ISNUMBER(SEARCH("quick case",$P196)),ISNUMBER(SEARCH("quick case",$Q196))),"Yes","No"))</f>
        <v/>
      </c>
      <c r="U196" s="25">
        <f>IF($O196="Invalid",HYPERLINK("mailto:"&amp;$G196&amp;";"&amp;$I196&amp;"?cc="&amp;Lists!$E$2&amp;"&amp;subject="&amp;_xlfn.ENCODEURL("[INVALID] Quality audit monitoring completed for "&amp;UPPER($C196))&amp;"&amp;body="&amp;_xlfn.ENCODEURL("Hi "&amp;$F196&amp;","&amp;CHAR(10)&amp;"Good day!"&amp;CHAR(10)&amp;CHAR(10)&amp;"A quality monitoring audit has been completed for "&amp;$C196&amp;"."&amp;CHAR(10)&amp;CHAR(10)&amp;"QUALITY AUDIT DETAILS"&amp;CHAR(10)&amp;"Agent Name: "&amp;$C196&amp;" (EID "&amp;$D196&amp;")"&amp;CHAR(10)&amp;"Audit Date: "&amp;TEXT($B196,"yyyy-mm-dd")&amp;CHAR(10)&amp;"Team Leader: "&amp;$F196&amp;CHAR(10)&amp;"Case Number: "&amp;$M196&amp;CHAR(10)&amp;"Transaction ID: "&amp;$N196&amp;CHAR(10)&amp;"Channel / LOB: "&amp;$K196&amp;" / "&amp;$L196&amp;CHAR(10)&amp;"Evaluator: "&amp;$S196&amp;CHAR(10)&amp;CHAR(10)&amp;"INVALID QUALITY AUDIT DETAILS"&amp;CHAR(10)&amp;"Validation: Invalid"&amp;CHAR(10)&amp;"Invalid Reason: "&amp;$P196&amp;CHAR(10)&amp;"Expected Resolution Code: "&amp;$Q196&amp;CHAR(10)&amp;"Remarks: "&amp;LEFT($R196,600)&amp;CHAR(10)&amp;CHAR(10)&amp;"This is an automated notification from HP Mainstream EQMS."),"✉ Open Email Draft"),"")</f>
        <v/>
      </c>
    </row>
    <row r="197">
      <c r="A197" s="25">
        <f>IF($C197="","","AUD-2026-"&amp;TEXT(ROW()-1,"000000"))</f>
        <v/>
      </c>
      <c r="B197" s="26" t="n"/>
      <c r="C197" s="27" t="n"/>
      <c r="D197" s="25">
        <f>IF($C197="","",IFERROR(IF(INDEX(Roster!$A:$A,MATCH($C197,Roster!$B:$B,0))="","",INDEX(Roster!$A:$A,MATCH($C197,Roster!$B:$B,0))&amp;""),"—"))</f>
        <v/>
      </c>
      <c r="E197" s="25">
        <f>IF($C197="","",IFERROR(IF(INDEX(Roster!$C:$C,MATCH($C197,Roster!$B:$B,0))="","",INDEX(Roster!$C:$C,MATCH($C197,Roster!$B:$B,0))&amp;""),"—"))</f>
        <v/>
      </c>
      <c r="F197" s="25">
        <f>IF($C197="","",IFERROR(IF(INDEX(Roster!$D:$D,MATCH($C197,Roster!$B:$B,0))="","",INDEX(Roster!$D:$D,MATCH($C197,Roster!$B:$B,0))&amp;""),"—"))</f>
        <v/>
      </c>
      <c r="G197" s="25">
        <f>IF($C197="","",IFERROR(IF(INDEX(Roster!$E:$E,MATCH($C197,Roster!$B:$B,0))="","",INDEX(Roster!$E:$E,MATCH($C197,Roster!$B:$B,0))&amp;""),"—"))</f>
        <v/>
      </c>
      <c r="H197" s="25">
        <f>IF($C197="","",IFERROR(IF(INDEX(Roster!$F:$F,MATCH($C197,Roster!$B:$B,0))="","",INDEX(Roster!$F:$F,MATCH($C197,Roster!$B:$B,0))&amp;""),"—"))</f>
        <v/>
      </c>
      <c r="I197" s="25">
        <f>IF($C197="","",IFERROR(IF(INDEX(Roster!$G:$G,MATCH($C197,Roster!$B:$B,0))="","",INDEX(Roster!$G:$G,MATCH($C197,Roster!$B:$B,0))&amp;""),"—"))</f>
        <v/>
      </c>
      <c r="J197" s="25">
        <f>IF($C197="","",IFERROR(IF(INDEX(Roster!$I:$I,MATCH($C197,Roster!$B:$B,0))="","",INDEX(Roster!$I:$I,MATCH($C197,Roster!$B:$B,0))&amp;""),"—"))</f>
        <v/>
      </c>
      <c r="K197">
        <f>IF($C197="","",IFERROR(IF(INDEX(Roster!$J:$J,MATCH($C197,Roster!$B:$B,0))="","",INDEX(Roster!$J:$J,MATCH($C197,Roster!$B:$B,0))&amp;""),"—"))</f>
        <v/>
      </c>
      <c r="L197">
        <f>IF($C197="","",IFERROR(IF(INDEX(Roster!$K:$K,MATCH($C197,Roster!$B:$B,0))="","",INDEX(Roster!$K:$K,MATCH($C197,Roster!$B:$B,0))&amp;""),"—"))</f>
        <v/>
      </c>
      <c r="M197" s="27" t="n"/>
      <c r="N197" s="27" t="n"/>
      <c r="O197" s="25">
        <f>IF($C197="","",IF($P197="","—",IF($P197="Valid (Pass)","Valid","Invalid")))</f>
        <v/>
      </c>
      <c r="P197" s="27" t="n"/>
      <c r="Q197" s="27" t="n"/>
      <c r="R197" s="27" t="n"/>
      <c r="S197" s="27" t="n"/>
      <c r="T197" s="25">
        <f>IF($C197="","",IF(OR(ISNUMBER(SEARCH("quick case",$P197)),ISNUMBER(SEARCH("quick case",$Q197))),"Yes","No"))</f>
        <v/>
      </c>
      <c r="U197" s="25">
        <f>IF($O197="Invalid",HYPERLINK("mailto:"&amp;$G197&amp;";"&amp;$I197&amp;"?cc="&amp;Lists!$E$2&amp;"&amp;subject="&amp;_xlfn.ENCODEURL("[INVALID] Quality audit monitoring completed for "&amp;UPPER($C197))&amp;"&amp;body="&amp;_xlfn.ENCODEURL("Hi "&amp;$F197&amp;","&amp;CHAR(10)&amp;"Good day!"&amp;CHAR(10)&amp;CHAR(10)&amp;"A quality monitoring audit has been completed for "&amp;$C197&amp;"."&amp;CHAR(10)&amp;CHAR(10)&amp;"QUALITY AUDIT DETAILS"&amp;CHAR(10)&amp;"Agent Name: "&amp;$C197&amp;" (EID "&amp;$D197&amp;")"&amp;CHAR(10)&amp;"Audit Date: "&amp;TEXT($B197,"yyyy-mm-dd")&amp;CHAR(10)&amp;"Team Leader: "&amp;$F197&amp;CHAR(10)&amp;"Case Number: "&amp;$M197&amp;CHAR(10)&amp;"Transaction ID: "&amp;$N197&amp;CHAR(10)&amp;"Channel / LOB: "&amp;$K197&amp;" / "&amp;$L197&amp;CHAR(10)&amp;"Evaluator: "&amp;$S197&amp;CHAR(10)&amp;CHAR(10)&amp;"INVALID QUALITY AUDIT DETAILS"&amp;CHAR(10)&amp;"Validation: Invalid"&amp;CHAR(10)&amp;"Invalid Reason: "&amp;$P197&amp;CHAR(10)&amp;"Expected Resolution Code: "&amp;$Q197&amp;CHAR(10)&amp;"Remarks: "&amp;LEFT($R197,600)&amp;CHAR(10)&amp;CHAR(10)&amp;"This is an automated notification from HP Mainstream EQMS."),"✉ Open Email Draft"),"")</f>
        <v/>
      </c>
    </row>
    <row r="198">
      <c r="A198" s="25">
        <f>IF($C198="","","AUD-2026-"&amp;TEXT(ROW()-1,"000000"))</f>
        <v/>
      </c>
      <c r="B198" s="26" t="n"/>
      <c r="C198" s="27" t="n"/>
      <c r="D198" s="25">
        <f>IF($C198="","",IFERROR(IF(INDEX(Roster!$A:$A,MATCH($C198,Roster!$B:$B,0))="","",INDEX(Roster!$A:$A,MATCH($C198,Roster!$B:$B,0))&amp;""),"—"))</f>
        <v/>
      </c>
      <c r="E198" s="25">
        <f>IF($C198="","",IFERROR(IF(INDEX(Roster!$C:$C,MATCH($C198,Roster!$B:$B,0))="","",INDEX(Roster!$C:$C,MATCH($C198,Roster!$B:$B,0))&amp;""),"—"))</f>
        <v/>
      </c>
      <c r="F198" s="25">
        <f>IF($C198="","",IFERROR(IF(INDEX(Roster!$D:$D,MATCH($C198,Roster!$B:$B,0))="","",INDEX(Roster!$D:$D,MATCH($C198,Roster!$B:$B,0))&amp;""),"—"))</f>
        <v/>
      </c>
      <c r="G198" s="25">
        <f>IF($C198="","",IFERROR(IF(INDEX(Roster!$E:$E,MATCH($C198,Roster!$B:$B,0))="","",INDEX(Roster!$E:$E,MATCH($C198,Roster!$B:$B,0))&amp;""),"—"))</f>
        <v/>
      </c>
      <c r="H198" s="25">
        <f>IF($C198="","",IFERROR(IF(INDEX(Roster!$F:$F,MATCH($C198,Roster!$B:$B,0))="","",INDEX(Roster!$F:$F,MATCH($C198,Roster!$B:$B,0))&amp;""),"—"))</f>
        <v/>
      </c>
      <c r="I198" s="25">
        <f>IF($C198="","",IFERROR(IF(INDEX(Roster!$G:$G,MATCH($C198,Roster!$B:$B,0))="","",INDEX(Roster!$G:$G,MATCH($C198,Roster!$B:$B,0))&amp;""),"—"))</f>
        <v/>
      </c>
      <c r="J198" s="25">
        <f>IF($C198="","",IFERROR(IF(INDEX(Roster!$I:$I,MATCH($C198,Roster!$B:$B,0))="","",INDEX(Roster!$I:$I,MATCH($C198,Roster!$B:$B,0))&amp;""),"—"))</f>
        <v/>
      </c>
      <c r="K198">
        <f>IF($C198="","",IFERROR(IF(INDEX(Roster!$J:$J,MATCH($C198,Roster!$B:$B,0))="","",INDEX(Roster!$J:$J,MATCH($C198,Roster!$B:$B,0))&amp;""),"—"))</f>
        <v/>
      </c>
      <c r="L198">
        <f>IF($C198="","",IFERROR(IF(INDEX(Roster!$K:$K,MATCH($C198,Roster!$B:$B,0))="","",INDEX(Roster!$K:$K,MATCH($C198,Roster!$B:$B,0))&amp;""),"—"))</f>
        <v/>
      </c>
      <c r="M198" s="27" t="n"/>
      <c r="N198" s="27" t="n"/>
      <c r="O198" s="25">
        <f>IF($C198="","",IF($P198="","—",IF($P198="Valid (Pass)","Valid","Invalid")))</f>
        <v/>
      </c>
      <c r="P198" s="27" t="n"/>
      <c r="Q198" s="27" t="n"/>
      <c r="R198" s="27" t="n"/>
      <c r="S198" s="27" t="n"/>
      <c r="T198" s="25">
        <f>IF($C198="","",IF(OR(ISNUMBER(SEARCH("quick case",$P198)),ISNUMBER(SEARCH("quick case",$Q198))),"Yes","No"))</f>
        <v/>
      </c>
      <c r="U198" s="25">
        <f>IF($O198="Invalid",HYPERLINK("mailto:"&amp;$G198&amp;";"&amp;$I198&amp;"?cc="&amp;Lists!$E$2&amp;"&amp;subject="&amp;_xlfn.ENCODEURL("[INVALID] Quality audit monitoring completed for "&amp;UPPER($C198))&amp;"&amp;body="&amp;_xlfn.ENCODEURL("Hi "&amp;$F198&amp;","&amp;CHAR(10)&amp;"Good day!"&amp;CHAR(10)&amp;CHAR(10)&amp;"A quality monitoring audit has been completed for "&amp;$C198&amp;"."&amp;CHAR(10)&amp;CHAR(10)&amp;"QUALITY AUDIT DETAILS"&amp;CHAR(10)&amp;"Agent Name: "&amp;$C198&amp;" (EID "&amp;$D198&amp;")"&amp;CHAR(10)&amp;"Audit Date: "&amp;TEXT($B198,"yyyy-mm-dd")&amp;CHAR(10)&amp;"Team Leader: "&amp;$F198&amp;CHAR(10)&amp;"Case Number: "&amp;$M198&amp;CHAR(10)&amp;"Transaction ID: "&amp;$N198&amp;CHAR(10)&amp;"Channel / LOB: "&amp;$K198&amp;" / "&amp;$L198&amp;CHAR(10)&amp;"Evaluator: "&amp;$S198&amp;CHAR(10)&amp;CHAR(10)&amp;"INVALID QUALITY AUDIT DETAILS"&amp;CHAR(10)&amp;"Validation: Invalid"&amp;CHAR(10)&amp;"Invalid Reason: "&amp;$P198&amp;CHAR(10)&amp;"Expected Resolution Code: "&amp;$Q198&amp;CHAR(10)&amp;"Remarks: "&amp;LEFT($R198,600)&amp;CHAR(10)&amp;CHAR(10)&amp;"This is an automated notification from HP Mainstream EQMS."),"✉ Open Email Draft"),"")</f>
        <v/>
      </c>
    </row>
    <row r="199">
      <c r="A199" s="25">
        <f>IF($C199="","","AUD-2026-"&amp;TEXT(ROW()-1,"000000"))</f>
        <v/>
      </c>
      <c r="B199" s="26" t="n"/>
      <c r="C199" s="27" t="n"/>
      <c r="D199" s="25">
        <f>IF($C199="","",IFERROR(IF(INDEX(Roster!$A:$A,MATCH($C199,Roster!$B:$B,0))="","",INDEX(Roster!$A:$A,MATCH($C199,Roster!$B:$B,0))&amp;""),"—"))</f>
        <v/>
      </c>
      <c r="E199" s="25">
        <f>IF($C199="","",IFERROR(IF(INDEX(Roster!$C:$C,MATCH($C199,Roster!$B:$B,0))="","",INDEX(Roster!$C:$C,MATCH($C199,Roster!$B:$B,0))&amp;""),"—"))</f>
        <v/>
      </c>
      <c r="F199" s="25">
        <f>IF($C199="","",IFERROR(IF(INDEX(Roster!$D:$D,MATCH($C199,Roster!$B:$B,0))="","",INDEX(Roster!$D:$D,MATCH($C199,Roster!$B:$B,0))&amp;""),"—"))</f>
        <v/>
      </c>
      <c r="G199" s="25">
        <f>IF($C199="","",IFERROR(IF(INDEX(Roster!$E:$E,MATCH($C199,Roster!$B:$B,0))="","",INDEX(Roster!$E:$E,MATCH($C199,Roster!$B:$B,0))&amp;""),"—"))</f>
        <v/>
      </c>
      <c r="H199" s="25">
        <f>IF($C199="","",IFERROR(IF(INDEX(Roster!$F:$F,MATCH($C199,Roster!$B:$B,0))="","",INDEX(Roster!$F:$F,MATCH($C199,Roster!$B:$B,0))&amp;""),"—"))</f>
        <v/>
      </c>
      <c r="I199" s="25">
        <f>IF($C199="","",IFERROR(IF(INDEX(Roster!$G:$G,MATCH($C199,Roster!$B:$B,0))="","",INDEX(Roster!$G:$G,MATCH($C199,Roster!$B:$B,0))&amp;""),"—"))</f>
        <v/>
      </c>
      <c r="J199" s="25">
        <f>IF($C199="","",IFERROR(IF(INDEX(Roster!$I:$I,MATCH($C199,Roster!$B:$B,0))="","",INDEX(Roster!$I:$I,MATCH($C199,Roster!$B:$B,0))&amp;""),"—"))</f>
        <v/>
      </c>
      <c r="K199">
        <f>IF($C199="","",IFERROR(IF(INDEX(Roster!$J:$J,MATCH($C199,Roster!$B:$B,0))="","",INDEX(Roster!$J:$J,MATCH($C199,Roster!$B:$B,0))&amp;""),"—"))</f>
        <v/>
      </c>
      <c r="L199">
        <f>IF($C199="","",IFERROR(IF(INDEX(Roster!$K:$K,MATCH($C199,Roster!$B:$B,0))="","",INDEX(Roster!$K:$K,MATCH($C199,Roster!$B:$B,0))&amp;""),"—"))</f>
        <v/>
      </c>
      <c r="M199" s="27" t="n"/>
      <c r="N199" s="27" t="n"/>
      <c r="O199" s="25">
        <f>IF($C199="","",IF($P199="","—",IF($P199="Valid (Pass)","Valid","Invalid")))</f>
        <v/>
      </c>
      <c r="P199" s="27" t="n"/>
      <c r="Q199" s="27" t="n"/>
      <c r="R199" s="27" t="n"/>
      <c r="S199" s="27" t="n"/>
      <c r="T199" s="25">
        <f>IF($C199="","",IF(OR(ISNUMBER(SEARCH("quick case",$P199)),ISNUMBER(SEARCH("quick case",$Q199))),"Yes","No"))</f>
        <v/>
      </c>
      <c r="U199" s="25">
        <f>IF($O199="Invalid",HYPERLINK("mailto:"&amp;$G199&amp;";"&amp;$I199&amp;"?cc="&amp;Lists!$E$2&amp;"&amp;subject="&amp;_xlfn.ENCODEURL("[INVALID] Quality audit monitoring completed for "&amp;UPPER($C199))&amp;"&amp;body="&amp;_xlfn.ENCODEURL("Hi "&amp;$F199&amp;","&amp;CHAR(10)&amp;"Good day!"&amp;CHAR(10)&amp;CHAR(10)&amp;"A quality monitoring audit has been completed for "&amp;$C199&amp;"."&amp;CHAR(10)&amp;CHAR(10)&amp;"QUALITY AUDIT DETAILS"&amp;CHAR(10)&amp;"Agent Name: "&amp;$C199&amp;" (EID "&amp;$D199&amp;")"&amp;CHAR(10)&amp;"Audit Date: "&amp;TEXT($B199,"yyyy-mm-dd")&amp;CHAR(10)&amp;"Team Leader: "&amp;$F199&amp;CHAR(10)&amp;"Case Number: "&amp;$M199&amp;CHAR(10)&amp;"Transaction ID: "&amp;$N199&amp;CHAR(10)&amp;"Channel / LOB: "&amp;$K199&amp;" / "&amp;$L199&amp;CHAR(10)&amp;"Evaluator: "&amp;$S199&amp;CHAR(10)&amp;CHAR(10)&amp;"INVALID QUALITY AUDIT DETAILS"&amp;CHAR(10)&amp;"Validation: Invalid"&amp;CHAR(10)&amp;"Invalid Reason: "&amp;$P199&amp;CHAR(10)&amp;"Expected Resolution Code: "&amp;$Q199&amp;CHAR(10)&amp;"Remarks: "&amp;LEFT($R199,600)&amp;CHAR(10)&amp;CHAR(10)&amp;"This is an automated notification from HP Mainstream EQMS."),"✉ Open Email Draft"),"")</f>
        <v/>
      </c>
    </row>
    <row r="200">
      <c r="A200" s="25">
        <f>IF($C200="","","AUD-2026-"&amp;TEXT(ROW()-1,"000000"))</f>
        <v/>
      </c>
      <c r="B200" s="26" t="n"/>
      <c r="C200" s="27" t="n"/>
      <c r="D200" s="25">
        <f>IF($C200="","",IFERROR(IF(INDEX(Roster!$A:$A,MATCH($C200,Roster!$B:$B,0))="","",INDEX(Roster!$A:$A,MATCH($C200,Roster!$B:$B,0))&amp;""),"—"))</f>
        <v/>
      </c>
      <c r="E200" s="25">
        <f>IF($C200="","",IFERROR(IF(INDEX(Roster!$C:$C,MATCH($C200,Roster!$B:$B,0))="","",INDEX(Roster!$C:$C,MATCH($C200,Roster!$B:$B,0))&amp;""),"—"))</f>
        <v/>
      </c>
      <c r="F200" s="25">
        <f>IF($C200="","",IFERROR(IF(INDEX(Roster!$D:$D,MATCH($C200,Roster!$B:$B,0))="","",INDEX(Roster!$D:$D,MATCH($C200,Roster!$B:$B,0))&amp;""),"—"))</f>
        <v/>
      </c>
      <c r="G200" s="25">
        <f>IF($C200="","",IFERROR(IF(INDEX(Roster!$E:$E,MATCH($C200,Roster!$B:$B,0))="","",INDEX(Roster!$E:$E,MATCH($C200,Roster!$B:$B,0))&amp;""),"—"))</f>
        <v/>
      </c>
      <c r="H200" s="25">
        <f>IF($C200="","",IFERROR(IF(INDEX(Roster!$F:$F,MATCH($C200,Roster!$B:$B,0))="","",INDEX(Roster!$F:$F,MATCH($C200,Roster!$B:$B,0))&amp;""),"—"))</f>
        <v/>
      </c>
      <c r="I200" s="25">
        <f>IF($C200="","",IFERROR(IF(INDEX(Roster!$G:$G,MATCH($C200,Roster!$B:$B,0))="","",INDEX(Roster!$G:$G,MATCH($C200,Roster!$B:$B,0))&amp;""),"—"))</f>
        <v/>
      </c>
      <c r="J200" s="25">
        <f>IF($C200="","",IFERROR(IF(INDEX(Roster!$I:$I,MATCH($C200,Roster!$B:$B,0))="","",INDEX(Roster!$I:$I,MATCH($C200,Roster!$B:$B,0))&amp;""),"—"))</f>
        <v/>
      </c>
      <c r="K200">
        <f>IF($C200="","",IFERROR(IF(INDEX(Roster!$J:$J,MATCH($C200,Roster!$B:$B,0))="","",INDEX(Roster!$J:$J,MATCH($C200,Roster!$B:$B,0))&amp;""),"—"))</f>
        <v/>
      </c>
      <c r="L200">
        <f>IF($C200="","",IFERROR(IF(INDEX(Roster!$K:$K,MATCH($C200,Roster!$B:$B,0))="","",INDEX(Roster!$K:$K,MATCH($C200,Roster!$B:$B,0))&amp;""),"—"))</f>
        <v/>
      </c>
      <c r="M200" s="27" t="n"/>
      <c r="N200" s="27" t="n"/>
      <c r="O200" s="25">
        <f>IF($C200="","",IF($P200="","—",IF($P200="Valid (Pass)","Valid","Invalid")))</f>
        <v/>
      </c>
      <c r="P200" s="27" t="n"/>
      <c r="Q200" s="27" t="n"/>
      <c r="R200" s="27" t="n"/>
      <c r="S200" s="27" t="n"/>
      <c r="T200" s="25">
        <f>IF($C200="","",IF(OR(ISNUMBER(SEARCH("quick case",$P200)),ISNUMBER(SEARCH("quick case",$Q200))),"Yes","No"))</f>
        <v/>
      </c>
      <c r="U200" s="25">
        <f>IF($O200="Invalid",HYPERLINK("mailto:"&amp;$G200&amp;";"&amp;$I200&amp;"?cc="&amp;Lists!$E$2&amp;"&amp;subject="&amp;_xlfn.ENCODEURL("[INVALID] Quality audit monitoring completed for "&amp;UPPER($C200))&amp;"&amp;body="&amp;_xlfn.ENCODEURL("Hi "&amp;$F200&amp;","&amp;CHAR(10)&amp;"Good day!"&amp;CHAR(10)&amp;CHAR(10)&amp;"A quality monitoring audit has been completed for "&amp;$C200&amp;"."&amp;CHAR(10)&amp;CHAR(10)&amp;"QUALITY AUDIT DETAILS"&amp;CHAR(10)&amp;"Agent Name: "&amp;$C200&amp;" (EID "&amp;$D200&amp;")"&amp;CHAR(10)&amp;"Audit Date: "&amp;TEXT($B200,"yyyy-mm-dd")&amp;CHAR(10)&amp;"Team Leader: "&amp;$F200&amp;CHAR(10)&amp;"Case Number: "&amp;$M200&amp;CHAR(10)&amp;"Transaction ID: "&amp;$N200&amp;CHAR(10)&amp;"Channel / LOB: "&amp;$K200&amp;" / "&amp;$L200&amp;CHAR(10)&amp;"Evaluator: "&amp;$S200&amp;CHAR(10)&amp;CHAR(10)&amp;"INVALID QUALITY AUDIT DETAILS"&amp;CHAR(10)&amp;"Validation: Invalid"&amp;CHAR(10)&amp;"Invalid Reason: "&amp;$P200&amp;CHAR(10)&amp;"Expected Resolution Code: "&amp;$Q200&amp;CHAR(10)&amp;"Remarks: "&amp;LEFT($R200,600)&amp;CHAR(10)&amp;CHAR(10)&amp;"This is an automated notification from HP Mainstream EQMS."),"✉ Open Email Draft"),"")</f>
        <v/>
      </c>
    </row>
    <row r="201">
      <c r="A201" s="25">
        <f>IF($C201="","","AUD-2026-"&amp;TEXT(ROW()-1,"000000"))</f>
        <v/>
      </c>
      <c r="B201" s="26" t="n"/>
      <c r="C201" s="27" t="n"/>
      <c r="D201" s="25">
        <f>IF($C201="","",IFERROR(IF(INDEX(Roster!$A:$A,MATCH($C201,Roster!$B:$B,0))="","",INDEX(Roster!$A:$A,MATCH($C201,Roster!$B:$B,0))&amp;""),"—"))</f>
        <v/>
      </c>
      <c r="E201" s="25">
        <f>IF($C201="","",IFERROR(IF(INDEX(Roster!$C:$C,MATCH($C201,Roster!$B:$B,0))="","",INDEX(Roster!$C:$C,MATCH($C201,Roster!$B:$B,0))&amp;""),"—"))</f>
        <v/>
      </c>
      <c r="F201" s="25">
        <f>IF($C201="","",IFERROR(IF(INDEX(Roster!$D:$D,MATCH($C201,Roster!$B:$B,0))="","",INDEX(Roster!$D:$D,MATCH($C201,Roster!$B:$B,0))&amp;""),"—"))</f>
        <v/>
      </c>
      <c r="G201" s="25">
        <f>IF($C201="","",IFERROR(IF(INDEX(Roster!$E:$E,MATCH($C201,Roster!$B:$B,0))="","",INDEX(Roster!$E:$E,MATCH($C201,Roster!$B:$B,0))&amp;""),"—"))</f>
        <v/>
      </c>
      <c r="H201" s="25">
        <f>IF($C201="","",IFERROR(IF(INDEX(Roster!$F:$F,MATCH($C201,Roster!$B:$B,0))="","",INDEX(Roster!$F:$F,MATCH($C201,Roster!$B:$B,0))&amp;""),"—"))</f>
        <v/>
      </c>
      <c r="I201" s="25">
        <f>IF($C201="","",IFERROR(IF(INDEX(Roster!$G:$G,MATCH($C201,Roster!$B:$B,0))="","",INDEX(Roster!$G:$G,MATCH($C201,Roster!$B:$B,0))&amp;""),"—"))</f>
        <v/>
      </c>
      <c r="J201" s="25">
        <f>IF($C201="","",IFERROR(IF(INDEX(Roster!$I:$I,MATCH($C201,Roster!$B:$B,0))="","",INDEX(Roster!$I:$I,MATCH($C201,Roster!$B:$B,0))&amp;""),"—"))</f>
        <v/>
      </c>
      <c r="K201">
        <f>IF($C201="","",IFERROR(IF(INDEX(Roster!$J:$J,MATCH($C201,Roster!$B:$B,0))="","",INDEX(Roster!$J:$J,MATCH($C201,Roster!$B:$B,0))&amp;""),"—"))</f>
        <v/>
      </c>
      <c r="L201">
        <f>IF($C201="","",IFERROR(IF(INDEX(Roster!$K:$K,MATCH($C201,Roster!$B:$B,0))="","",INDEX(Roster!$K:$K,MATCH($C201,Roster!$B:$B,0))&amp;""),"—"))</f>
        <v/>
      </c>
      <c r="M201" s="27" t="n"/>
      <c r="N201" s="27" t="n"/>
      <c r="O201" s="25">
        <f>IF($C201="","",IF($P201="","—",IF($P201="Valid (Pass)","Valid","Invalid")))</f>
        <v/>
      </c>
      <c r="P201" s="27" t="n"/>
      <c r="Q201" s="27" t="n"/>
      <c r="R201" s="27" t="n"/>
      <c r="S201" s="27" t="n"/>
      <c r="T201" s="25">
        <f>IF($C201="","",IF(OR(ISNUMBER(SEARCH("quick case",$P201)),ISNUMBER(SEARCH("quick case",$Q201))),"Yes","No"))</f>
        <v/>
      </c>
      <c r="U201" s="25">
        <f>IF($O201="Invalid",HYPERLINK("mailto:"&amp;$G201&amp;";"&amp;$I201&amp;"?cc="&amp;Lists!$E$2&amp;"&amp;subject="&amp;_xlfn.ENCODEURL("[INVALID] Quality audit monitoring completed for "&amp;UPPER($C201))&amp;"&amp;body="&amp;_xlfn.ENCODEURL("Hi "&amp;$F201&amp;","&amp;CHAR(10)&amp;"Good day!"&amp;CHAR(10)&amp;CHAR(10)&amp;"A quality monitoring audit has been completed for "&amp;$C201&amp;"."&amp;CHAR(10)&amp;CHAR(10)&amp;"QUALITY AUDIT DETAILS"&amp;CHAR(10)&amp;"Agent Name: "&amp;$C201&amp;" (EID "&amp;$D201&amp;")"&amp;CHAR(10)&amp;"Audit Date: "&amp;TEXT($B201,"yyyy-mm-dd")&amp;CHAR(10)&amp;"Team Leader: "&amp;$F201&amp;CHAR(10)&amp;"Case Number: "&amp;$M201&amp;CHAR(10)&amp;"Transaction ID: "&amp;$N201&amp;CHAR(10)&amp;"Channel / LOB: "&amp;$K201&amp;" / "&amp;$L201&amp;CHAR(10)&amp;"Evaluator: "&amp;$S201&amp;CHAR(10)&amp;CHAR(10)&amp;"INVALID QUALITY AUDIT DETAILS"&amp;CHAR(10)&amp;"Validation: Invalid"&amp;CHAR(10)&amp;"Invalid Reason: "&amp;$P201&amp;CHAR(10)&amp;"Expected Resolution Code: "&amp;$Q201&amp;CHAR(10)&amp;"Remarks: "&amp;LEFT($R201,600)&amp;CHAR(10)&amp;CHAR(10)&amp;"This is an automated notification from HP Mainstream EQMS."),"✉ Open Email Draft"),"")</f>
        <v/>
      </c>
    </row>
    <row r="202">
      <c r="A202" s="25">
        <f>IF($C202="","","AUD-2026-"&amp;TEXT(ROW()-1,"000000"))</f>
        <v/>
      </c>
      <c r="B202" s="26" t="n"/>
      <c r="C202" s="27" t="n"/>
      <c r="D202" s="25">
        <f>IF($C202="","",IFERROR(IF(INDEX(Roster!$A:$A,MATCH($C202,Roster!$B:$B,0))="","",INDEX(Roster!$A:$A,MATCH($C202,Roster!$B:$B,0))&amp;""),"—"))</f>
        <v/>
      </c>
      <c r="E202" s="25">
        <f>IF($C202="","",IFERROR(IF(INDEX(Roster!$C:$C,MATCH($C202,Roster!$B:$B,0))="","",INDEX(Roster!$C:$C,MATCH($C202,Roster!$B:$B,0))&amp;""),"—"))</f>
        <v/>
      </c>
      <c r="F202" s="25">
        <f>IF($C202="","",IFERROR(IF(INDEX(Roster!$D:$D,MATCH($C202,Roster!$B:$B,0))="","",INDEX(Roster!$D:$D,MATCH($C202,Roster!$B:$B,0))&amp;""),"—"))</f>
        <v/>
      </c>
      <c r="G202" s="25">
        <f>IF($C202="","",IFERROR(IF(INDEX(Roster!$E:$E,MATCH($C202,Roster!$B:$B,0))="","",INDEX(Roster!$E:$E,MATCH($C202,Roster!$B:$B,0))&amp;""),"—"))</f>
        <v/>
      </c>
      <c r="H202" s="25">
        <f>IF($C202="","",IFERROR(IF(INDEX(Roster!$F:$F,MATCH($C202,Roster!$B:$B,0))="","",INDEX(Roster!$F:$F,MATCH($C202,Roster!$B:$B,0))&amp;""),"—"))</f>
        <v/>
      </c>
      <c r="I202" s="25">
        <f>IF($C202="","",IFERROR(IF(INDEX(Roster!$G:$G,MATCH($C202,Roster!$B:$B,0))="","",INDEX(Roster!$G:$G,MATCH($C202,Roster!$B:$B,0))&amp;""),"—"))</f>
        <v/>
      </c>
      <c r="J202" s="25">
        <f>IF($C202="","",IFERROR(IF(INDEX(Roster!$I:$I,MATCH($C202,Roster!$B:$B,0))="","",INDEX(Roster!$I:$I,MATCH($C202,Roster!$B:$B,0))&amp;""),"—"))</f>
        <v/>
      </c>
      <c r="K202">
        <f>IF($C202="","",IFERROR(IF(INDEX(Roster!$J:$J,MATCH($C202,Roster!$B:$B,0))="","",INDEX(Roster!$J:$J,MATCH($C202,Roster!$B:$B,0))&amp;""),"—"))</f>
        <v/>
      </c>
      <c r="L202">
        <f>IF($C202="","",IFERROR(IF(INDEX(Roster!$K:$K,MATCH($C202,Roster!$B:$B,0))="","",INDEX(Roster!$K:$K,MATCH($C202,Roster!$B:$B,0))&amp;""),"—"))</f>
        <v/>
      </c>
      <c r="M202" s="27" t="n"/>
      <c r="N202" s="27" t="n"/>
      <c r="O202" s="25">
        <f>IF($C202="","",IF($P202="","—",IF($P202="Valid (Pass)","Valid","Invalid")))</f>
        <v/>
      </c>
      <c r="P202" s="27" t="n"/>
      <c r="Q202" s="27" t="n"/>
      <c r="R202" s="27" t="n"/>
      <c r="S202" s="27" t="n"/>
      <c r="T202" s="25">
        <f>IF($C202="","",IF(OR(ISNUMBER(SEARCH("quick case",$P202)),ISNUMBER(SEARCH("quick case",$Q202))),"Yes","No"))</f>
        <v/>
      </c>
      <c r="U202" s="25">
        <f>IF($O202="Invalid",HYPERLINK("mailto:"&amp;$G202&amp;";"&amp;$I202&amp;"?cc="&amp;Lists!$E$2&amp;"&amp;subject="&amp;_xlfn.ENCODEURL("[INVALID] Quality audit monitoring completed for "&amp;UPPER($C202))&amp;"&amp;body="&amp;_xlfn.ENCODEURL("Hi "&amp;$F202&amp;","&amp;CHAR(10)&amp;"Good day!"&amp;CHAR(10)&amp;CHAR(10)&amp;"A quality monitoring audit has been completed for "&amp;$C202&amp;"."&amp;CHAR(10)&amp;CHAR(10)&amp;"QUALITY AUDIT DETAILS"&amp;CHAR(10)&amp;"Agent Name: "&amp;$C202&amp;" (EID "&amp;$D202&amp;")"&amp;CHAR(10)&amp;"Audit Date: "&amp;TEXT($B202,"yyyy-mm-dd")&amp;CHAR(10)&amp;"Team Leader: "&amp;$F202&amp;CHAR(10)&amp;"Case Number: "&amp;$M202&amp;CHAR(10)&amp;"Transaction ID: "&amp;$N202&amp;CHAR(10)&amp;"Channel / LOB: "&amp;$K202&amp;" / "&amp;$L202&amp;CHAR(10)&amp;"Evaluator: "&amp;$S202&amp;CHAR(10)&amp;CHAR(10)&amp;"INVALID QUALITY AUDIT DETAILS"&amp;CHAR(10)&amp;"Validation: Invalid"&amp;CHAR(10)&amp;"Invalid Reason: "&amp;$P202&amp;CHAR(10)&amp;"Expected Resolution Code: "&amp;$Q202&amp;CHAR(10)&amp;"Remarks: "&amp;LEFT($R202,600)&amp;CHAR(10)&amp;CHAR(10)&amp;"This is an automated notification from HP Mainstream EQMS."),"✉ Open Email Draft"),"")</f>
        <v/>
      </c>
    </row>
    <row r="203">
      <c r="A203" s="25">
        <f>IF($C203="","","AUD-2026-"&amp;TEXT(ROW()-1,"000000"))</f>
        <v/>
      </c>
      <c r="B203" s="26" t="n"/>
      <c r="C203" s="27" t="n"/>
      <c r="D203" s="25">
        <f>IF($C203="","",IFERROR(IF(INDEX(Roster!$A:$A,MATCH($C203,Roster!$B:$B,0))="","",INDEX(Roster!$A:$A,MATCH($C203,Roster!$B:$B,0))&amp;""),"—"))</f>
        <v/>
      </c>
      <c r="E203" s="25">
        <f>IF($C203="","",IFERROR(IF(INDEX(Roster!$C:$C,MATCH($C203,Roster!$B:$B,0))="","",INDEX(Roster!$C:$C,MATCH($C203,Roster!$B:$B,0))&amp;""),"—"))</f>
        <v/>
      </c>
      <c r="F203" s="25">
        <f>IF($C203="","",IFERROR(IF(INDEX(Roster!$D:$D,MATCH($C203,Roster!$B:$B,0))="","",INDEX(Roster!$D:$D,MATCH($C203,Roster!$B:$B,0))&amp;""),"—"))</f>
        <v/>
      </c>
      <c r="G203" s="25">
        <f>IF($C203="","",IFERROR(IF(INDEX(Roster!$E:$E,MATCH($C203,Roster!$B:$B,0))="","",INDEX(Roster!$E:$E,MATCH($C203,Roster!$B:$B,0))&amp;""),"—"))</f>
        <v/>
      </c>
      <c r="H203" s="25">
        <f>IF($C203="","",IFERROR(IF(INDEX(Roster!$F:$F,MATCH($C203,Roster!$B:$B,0))="","",INDEX(Roster!$F:$F,MATCH($C203,Roster!$B:$B,0))&amp;""),"—"))</f>
        <v/>
      </c>
      <c r="I203" s="25">
        <f>IF($C203="","",IFERROR(IF(INDEX(Roster!$G:$G,MATCH($C203,Roster!$B:$B,0))="","",INDEX(Roster!$G:$G,MATCH($C203,Roster!$B:$B,0))&amp;""),"—"))</f>
        <v/>
      </c>
      <c r="J203" s="25">
        <f>IF($C203="","",IFERROR(IF(INDEX(Roster!$I:$I,MATCH($C203,Roster!$B:$B,0))="","",INDEX(Roster!$I:$I,MATCH($C203,Roster!$B:$B,0))&amp;""),"—"))</f>
        <v/>
      </c>
      <c r="K203">
        <f>IF($C203="","",IFERROR(IF(INDEX(Roster!$J:$J,MATCH($C203,Roster!$B:$B,0))="","",INDEX(Roster!$J:$J,MATCH($C203,Roster!$B:$B,0))&amp;""),"—"))</f>
        <v/>
      </c>
      <c r="L203">
        <f>IF($C203="","",IFERROR(IF(INDEX(Roster!$K:$K,MATCH($C203,Roster!$B:$B,0))="","",INDEX(Roster!$K:$K,MATCH($C203,Roster!$B:$B,0))&amp;""),"—"))</f>
        <v/>
      </c>
      <c r="M203" s="27" t="n"/>
      <c r="N203" s="27" t="n"/>
      <c r="O203" s="25">
        <f>IF($C203="","",IF($P203="","—",IF($P203="Valid (Pass)","Valid","Invalid")))</f>
        <v/>
      </c>
      <c r="P203" s="27" t="n"/>
      <c r="Q203" s="27" t="n"/>
      <c r="R203" s="27" t="n"/>
      <c r="S203" s="27" t="n"/>
      <c r="T203" s="25">
        <f>IF($C203="","",IF(OR(ISNUMBER(SEARCH("quick case",$P203)),ISNUMBER(SEARCH("quick case",$Q203))),"Yes","No"))</f>
        <v/>
      </c>
      <c r="U203" s="25">
        <f>IF($O203="Invalid",HYPERLINK("mailto:"&amp;$G203&amp;";"&amp;$I203&amp;"?cc="&amp;Lists!$E$2&amp;"&amp;subject="&amp;_xlfn.ENCODEURL("[INVALID] Quality audit monitoring completed for "&amp;UPPER($C203))&amp;"&amp;body="&amp;_xlfn.ENCODEURL("Hi "&amp;$F203&amp;","&amp;CHAR(10)&amp;"Good day!"&amp;CHAR(10)&amp;CHAR(10)&amp;"A quality monitoring audit has been completed for "&amp;$C203&amp;"."&amp;CHAR(10)&amp;CHAR(10)&amp;"QUALITY AUDIT DETAILS"&amp;CHAR(10)&amp;"Agent Name: "&amp;$C203&amp;" (EID "&amp;$D203&amp;")"&amp;CHAR(10)&amp;"Audit Date: "&amp;TEXT($B203,"yyyy-mm-dd")&amp;CHAR(10)&amp;"Team Leader: "&amp;$F203&amp;CHAR(10)&amp;"Case Number: "&amp;$M203&amp;CHAR(10)&amp;"Transaction ID: "&amp;$N203&amp;CHAR(10)&amp;"Channel / LOB: "&amp;$K203&amp;" / "&amp;$L203&amp;CHAR(10)&amp;"Evaluator: "&amp;$S203&amp;CHAR(10)&amp;CHAR(10)&amp;"INVALID QUALITY AUDIT DETAILS"&amp;CHAR(10)&amp;"Validation: Invalid"&amp;CHAR(10)&amp;"Invalid Reason: "&amp;$P203&amp;CHAR(10)&amp;"Expected Resolution Code: "&amp;$Q203&amp;CHAR(10)&amp;"Remarks: "&amp;LEFT($R203,600)&amp;CHAR(10)&amp;CHAR(10)&amp;"This is an automated notification from HP Mainstream EQMS."),"✉ Open Email Draft"),"")</f>
        <v/>
      </c>
    </row>
    <row r="204">
      <c r="A204" s="25">
        <f>IF($C204="","","AUD-2026-"&amp;TEXT(ROW()-1,"000000"))</f>
        <v/>
      </c>
      <c r="B204" s="26" t="n"/>
      <c r="C204" s="27" t="n"/>
      <c r="D204" s="25">
        <f>IF($C204="","",IFERROR(IF(INDEX(Roster!$A:$A,MATCH($C204,Roster!$B:$B,0))="","",INDEX(Roster!$A:$A,MATCH($C204,Roster!$B:$B,0))&amp;""),"—"))</f>
        <v/>
      </c>
      <c r="E204" s="25">
        <f>IF($C204="","",IFERROR(IF(INDEX(Roster!$C:$C,MATCH($C204,Roster!$B:$B,0))="","",INDEX(Roster!$C:$C,MATCH($C204,Roster!$B:$B,0))&amp;""),"—"))</f>
        <v/>
      </c>
      <c r="F204" s="25">
        <f>IF($C204="","",IFERROR(IF(INDEX(Roster!$D:$D,MATCH($C204,Roster!$B:$B,0))="","",INDEX(Roster!$D:$D,MATCH($C204,Roster!$B:$B,0))&amp;""),"—"))</f>
        <v/>
      </c>
      <c r="G204" s="25">
        <f>IF($C204="","",IFERROR(IF(INDEX(Roster!$E:$E,MATCH($C204,Roster!$B:$B,0))="","",INDEX(Roster!$E:$E,MATCH($C204,Roster!$B:$B,0))&amp;""),"—"))</f>
        <v/>
      </c>
      <c r="H204" s="25">
        <f>IF($C204="","",IFERROR(IF(INDEX(Roster!$F:$F,MATCH($C204,Roster!$B:$B,0))="","",INDEX(Roster!$F:$F,MATCH($C204,Roster!$B:$B,0))&amp;""),"—"))</f>
        <v/>
      </c>
      <c r="I204" s="25">
        <f>IF($C204="","",IFERROR(IF(INDEX(Roster!$G:$G,MATCH($C204,Roster!$B:$B,0))="","",INDEX(Roster!$G:$G,MATCH($C204,Roster!$B:$B,0))&amp;""),"—"))</f>
        <v/>
      </c>
      <c r="J204" s="25">
        <f>IF($C204="","",IFERROR(IF(INDEX(Roster!$I:$I,MATCH($C204,Roster!$B:$B,0))="","",INDEX(Roster!$I:$I,MATCH($C204,Roster!$B:$B,0))&amp;""),"—"))</f>
        <v/>
      </c>
      <c r="K204">
        <f>IF($C204="","",IFERROR(IF(INDEX(Roster!$J:$J,MATCH($C204,Roster!$B:$B,0))="","",INDEX(Roster!$J:$J,MATCH($C204,Roster!$B:$B,0))&amp;""),"—"))</f>
        <v/>
      </c>
      <c r="L204">
        <f>IF($C204="","",IFERROR(IF(INDEX(Roster!$K:$K,MATCH($C204,Roster!$B:$B,0))="","",INDEX(Roster!$K:$K,MATCH($C204,Roster!$B:$B,0))&amp;""),"—"))</f>
        <v/>
      </c>
      <c r="M204" s="27" t="n"/>
      <c r="N204" s="27" t="n"/>
      <c r="O204" s="25">
        <f>IF($C204="","",IF($P204="","—",IF($P204="Valid (Pass)","Valid","Invalid")))</f>
        <v/>
      </c>
      <c r="P204" s="27" t="n"/>
      <c r="Q204" s="27" t="n"/>
      <c r="R204" s="27" t="n"/>
      <c r="S204" s="27" t="n"/>
      <c r="T204" s="25">
        <f>IF($C204="","",IF(OR(ISNUMBER(SEARCH("quick case",$P204)),ISNUMBER(SEARCH("quick case",$Q204))),"Yes","No"))</f>
        <v/>
      </c>
      <c r="U204" s="25">
        <f>IF($O204="Invalid",HYPERLINK("mailto:"&amp;$G204&amp;";"&amp;$I204&amp;"?cc="&amp;Lists!$E$2&amp;"&amp;subject="&amp;_xlfn.ENCODEURL("[INVALID] Quality audit monitoring completed for "&amp;UPPER($C204))&amp;"&amp;body="&amp;_xlfn.ENCODEURL("Hi "&amp;$F204&amp;","&amp;CHAR(10)&amp;"Good day!"&amp;CHAR(10)&amp;CHAR(10)&amp;"A quality monitoring audit has been completed for "&amp;$C204&amp;"."&amp;CHAR(10)&amp;CHAR(10)&amp;"QUALITY AUDIT DETAILS"&amp;CHAR(10)&amp;"Agent Name: "&amp;$C204&amp;" (EID "&amp;$D204&amp;")"&amp;CHAR(10)&amp;"Audit Date: "&amp;TEXT($B204,"yyyy-mm-dd")&amp;CHAR(10)&amp;"Team Leader: "&amp;$F204&amp;CHAR(10)&amp;"Case Number: "&amp;$M204&amp;CHAR(10)&amp;"Transaction ID: "&amp;$N204&amp;CHAR(10)&amp;"Channel / LOB: "&amp;$K204&amp;" / "&amp;$L204&amp;CHAR(10)&amp;"Evaluator: "&amp;$S204&amp;CHAR(10)&amp;CHAR(10)&amp;"INVALID QUALITY AUDIT DETAILS"&amp;CHAR(10)&amp;"Validation: Invalid"&amp;CHAR(10)&amp;"Invalid Reason: "&amp;$P204&amp;CHAR(10)&amp;"Expected Resolution Code: "&amp;$Q204&amp;CHAR(10)&amp;"Remarks: "&amp;LEFT($R204,600)&amp;CHAR(10)&amp;CHAR(10)&amp;"This is an automated notification from HP Mainstream EQMS."),"✉ Open Email Draft"),"")</f>
        <v/>
      </c>
    </row>
    <row r="205">
      <c r="A205" s="25">
        <f>IF($C205="","","AUD-2026-"&amp;TEXT(ROW()-1,"000000"))</f>
        <v/>
      </c>
      <c r="B205" s="26" t="n"/>
      <c r="C205" s="27" t="n"/>
      <c r="D205" s="25">
        <f>IF($C205="","",IFERROR(IF(INDEX(Roster!$A:$A,MATCH($C205,Roster!$B:$B,0))="","",INDEX(Roster!$A:$A,MATCH($C205,Roster!$B:$B,0))&amp;""),"—"))</f>
        <v/>
      </c>
      <c r="E205" s="25">
        <f>IF($C205="","",IFERROR(IF(INDEX(Roster!$C:$C,MATCH($C205,Roster!$B:$B,0))="","",INDEX(Roster!$C:$C,MATCH($C205,Roster!$B:$B,0))&amp;""),"—"))</f>
        <v/>
      </c>
      <c r="F205" s="25">
        <f>IF($C205="","",IFERROR(IF(INDEX(Roster!$D:$D,MATCH($C205,Roster!$B:$B,0))="","",INDEX(Roster!$D:$D,MATCH($C205,Roster!$B:$B,0))&amp;""),"—"))</f>
        <v/>
      </c>
      <c r="G205" s="25">
        <f>IF($C205="","",IFERROR(IF(INDEX(Roster!$E:$E,MATCH($C205,Roster!$B:$B,0))="","",INDEX(Roster!$E:$E,MATCH($C205,Roster!$B:$B,0))&amp;""),"—"))</f>
        <v/>
      </c>
      <c r="H205" s="25">
        <f>IF($C205="","",IFERROR(IF(INDEX(Roster!$F:$F,MATCH($C205,Roster!$B:$B,0))="","",INDEX(Roster!$F:$F,MATCH($C205,Roster!$B:$B,0))&amp;""),"—"))</f>
        <v/>
      </c>
      <c r="I205" s="25">
        <f>IF($C205="","",IFERROR(IF(INDEX(Roster!$G:$G,MATCH($C205,Roster!$B:$B,0))="","",INDEX(Roster!$G:$G,MATCH($C205,Roster!$B:$B,0))&amp;""),"—"))</f>
        <v/>
      </c>
      <c r="J205" s="25">
        <f>IF($C205="","",IFERROR(IF(INDEX(Roster!$I:$I,MATCH($C205,Roster!$B:$B,0))="","",INDEX(Roster!$I:$I,MATCH($C205,Roster!$B:$B,0))&amp;""),"—"))</f>
        <v/>
      </c>
      <c r="K205">
        <f>IF($C205="","",IFERROR(IF(INDEX(Roster!$J:$J,MATCH($C205,Roster!$B:$B,0))="","",INDEX(Roster!$J:$J,MATCH($C205,Roster!$B:$B,0))&amp;""),"—"))</f>
        <v/>
      </c>
      <c r="L205">
        <f>IF($C205="","",IFERROR(IF(INDEX(Roster!$K:$K,MATCH($C205,Roster!$B:$B,0))="","",INDEX(Roster!$K:$K,MATCH($C205,Roster!$B:$B,0))&amp;""),"—"))</f>
        <v/>
      </c>
      <c r="M205" s="27" t="n"/>
      <c r="N205" s="27" t="n"/>
      <c r="O205" s="25">
        <f>IF($C205="","",IF($P205="","—",IF($P205="Valid (Pass)","Valid","Invalid")))</f>
        <v/>
      </c>
      <c r="P205" s="27" t="n"/>
      <c r="Q205" s="27" t="n"/>
      <c r="R205" s="27" t="n"/>
      <c r="S205" s="27" t="n"/>
      <c r="T205" s="25">
        <f>IF($C205="","",IF(OR(ISNUMBER(SEARCH("quick case",$P205)),ISNUMBER(SEARCH("quick case",$Q205))),"Yes","No"))</f>
        <v/>
      </c>
      <c r="U205" s="25">
        <f>IF($O205="Invalid",HYPERLINK("mailto:"&amp;$G205&amp;";"&amp;$I205&amp;"?cc="&amp;Lists!$E$2&amp;"&amp;subject="&amp;_xlfn.ENCODEURL("[INVALID] Quality audit monitoring completed for "&amp;UPPER($C205))&amp;"&amp;body="&amp;_xlfn.ENCODEURL("Hi "&amp;$F205&amp;","&amp;CHAR(10)&amp;"Good day!"&amp;CHAR(10)&amp;CHAR(10)&amp;"A quality monitoring audit has been completed for "&amp;$C205&amp;"."&amp;CHAR(10)&amp;CHAR(10)&amp;"QUALITY AUDIT DETAILS"&amp;CHAR(10)&amp;"Agent Name: "&amp;$C205&amp;" (EID "&amp;$D205&amp;")"&amp;CHAR(10)&amp;"Audit Date: "&amp;TEXT($B205,"yyyy-mm-dd")&amp;CHAR(10)&amp;"Team Leader: "&amp;$F205&amp;CHAR(10)&amp;"Case Number: "&amp;$M205&amp;CHAR(10)&amp;"Transaction ID: "&amp;$N205&amp;CHAR(10)&amp;"Channel / LOB: "&amp;$K205&amp;" / "&amp;$L205&amp;CHAR(10)&amp;"Evaluator: "&amp;$S205&amp;CHAR(10)&amp;CHAR(10)&amp;"INVALID QUALITY AUDIT DETAILS"&amp;CHAR(10)&amp;"Validation: Invalid"&amp;CHAR(10)&amp;"Invalid Reason: "&amp;$P205&amp;CHAR(10)&amp;"Expected Resolution Code: "&amp;$Q205&amp;CHAR(10)&amp;"Remarks: "&amp;LEFT($R205,600)&amp;CHAR(10)&amp;CHAR(10)&amp;"This is an automated notification from HP Mainstream EQMS."),"✉ Open Email Draft"),"")</f>
        <v/>
      </c>
    </row>
    <row r="206">
      <c r="A206" s="25">
        <f>IF($C206="","","AUD-2026-"&amp;TEXT(ROW()-1,"000000"))</f>
        <v/>
      </c>
      <c r="B206" s="26" t="n"/>
      <c r="C206" s="27" t="n"/>
      <c r="D206" s="25">
        <f>IF($C206="","",IFERROR(IF(INDEX(Roster!$A:$A,MATCH($C206,Roster!$B:$B,0))="","",INDEX(Roster!$A:$A,MATCH($C206,Roster!$B:$B,0))&amp;""),"—"))</f>
        <v/>
      </c>
      <c r="E206" s="25">
        <f>IF($C206="","",IFERROR(IF(INDEX(Roster!$C:$C,MATCH($C206,Roster!$B:$B,0))="","",INDEX(Roster!$C:$C,MATCH($C206,Roster!$B:$B,0))&amp;""),"—"))</f>
        <v/>
      </c>
      <c r="F206" s="25">
        <f>IF($C206="","",IFERROR(IF(INDEX(Roster!$D:$D,MATCH($C206,Roster!$B:$B,0))="","",INDEX(Roster!$D:$D,MATCH($C206,Roster!$B:$B,0))&amp;""),"—"))</f>
        <v/>
      </c>
      <c r="G206" s="25">
        <f>IF($C206="","",IFERROR(IF(INDEX(Roster!$E:$E,MATCH($C206,Roster!$B:$B,0))="","",INDEX(Roster!$E:$E,MATCH($C206,Roster!$B:$B,0))&amp;""),"—"))</f>
        <v/>
      </c>
      <c r="H206" s="25">
        <f>IF($C206="","",IFERROR(IF(INDEX(Roster!$F:$F,MATCH($C206,Roster!$B:$B,0))="","",INDEX(Roster!$F:$F,MATCH($C206,Roster!$B:$B,0))&amp;""),"—"))</f>
        <v/>
      </c>
      <c r="I206" s="25">
        <f>IF($C206="","",IFERROR(IF(INDEX(Roster!$G:$G,MATCH($C206,Roster!$B:$B,0))="","",INDEX(Roster!$G:$G,MATCH($C206,Roster!$B:$B,0))&amp;""),"—"))</f>
        <v/>
      </c>
      <c r="J206" s="25">
        <f>IF($C206="","",IFERROR(IF(INDEX(Roster!$I:$I,MATCH($C206,Roster!$B:$B,0))="","",INDEX(Roster!$I:$I,MATCH($C206,Roster!$B:$B,0))&amp;""),"—"))</f>
        <v/>
      </c>
      <c r="K206">
        <f>IF($C206="","",IFERROR(IF(INDEX(Roster!$J:$J,MATCH($C206,Roster!$B:$B,0))="","",INDEX(Roster!$J:$J,MATCH($C206,Roster!$B:$B,0))&amp;""),"—"))</f>
        <v/>
      </c>
      <c r="L206">
        <f>IF($C206="","",IFERROR(IF(INDEX(Roster!$K:$K,MATCH($C206,Roster!$B:$B,0))="","",INDEX(Roster!$K:$K,MATCH($C206,Roster!$B:$B,0))&amp;""),"—"))</f>
        <v/>
      </c>
      <c r="M206" s="27" t="n"/>
      <c r="N206" s="27" t="n"/>
      <c r="O206" s="25">
        <f>IF($C206="","",IF($P206="","—",IF($P206="Valid (Pass)","Valid","Invalid")))</f>
        <v/>
      </c>
      <c r="P206" s="27" t="n"/>
      <c r="Q206" s="27" t="n"/>
      <c r="R206" s="27" t="n"/>
      <c r="S206" s="27" t="n"/>
      <c r="T206" s="25">
        <f>IF($C206="","",IF(OR(ISNUMBER(SEARCH("quick case",$P206)),ISNUMBER(SEARCH("quick case",$Q206))),"Yes","No"))</f>
        <v/>
      </c>
      <c r="U206" s="25">
        <f>IF($O206="Invalid",HYPERLINK("mailto:"&amp;$G206&amp;";"&amp;$I206&amp;"?cc="&amp;Lists!$E$2&amp;"&amp;subject="&amp;_xlfn.ENCODEURL("[INVALID] Quality audit monitoring completed for "&amp;UPPER($C206))&amp;"&amp;body="&amp;_xlfn.ENCODEURL("Hi "&amp;$F206&amp;","&amp;CHAR(10)&amp;"Good day!"&amp;CHAR(10)&amp;CHAR(10)&amp;"A quality monitoring audit has been completed for "&amp;$C206&amp;"."&amp;CHAR(10)&amp;CHAR(10)&amp;"QUALITY AUDIT DETAILS"&amp;CHAR(10)&amp;"Agent Name: "&amp;$C206&amp;" (EID "&amp;$D206&amp;")"&amp;CHAR(10)&amp;"Audit Date: "&amp;TEXT($B206,"yyyy-mm-dd")&amp;CHAR(10)&amp;"Team Leader: "&amp;$F206&amp;CHAR(10)&amp;"Case Number: "&amp;$M206&amp;CHAR(10)&amp;"Transaction ID: "&amp;$N206&amp;CHAR(10)&amp;"Channel / LOB: "&amp;$K206&amp;" / "&amp;$L206&amp;CHAR(10)&amp;"Evaluator: "&amp;$S206&amp;CHAR(10)&amp;CHAR(10)&amp;"INVALID QUALITY AUDIT DETAILS"&amp;CHAR(10)&amp;"Validation: Invalid"&amp;CHAR(10)&amp;"Invalid Reason: "&amp;$P206&amp;CHAR(10)&amp;"Expected Resolution Code: "&amp;$Q206&amp;CHAR(10)&amp;"Remarks: "&amp;LEFT($R206,600)&amp;CHAR(10)&amp;CHAR(10)&amp;"This is an automated notification from HP Mainstream EQMS."),"✉ Open Email Draft"),"")</f>
        <v/>
      </c>
    </row>
    <row r="207">
      <c r="A207" s="25">
        <f>IF($C207="","","AUD-2026-"&amp;TEXT(ROW()-1,"000000"))</f>
        <v/>
      </c>
      <c r="B207" s="26" t="n"/>
      <c r="C207" s="27" t="n"/>
      <c r="D207" s="25">
        <f>IF($C207="","",IFERROR(IF(INDEX(Roster!$A:$A,MATCH($C207,Roster!$B:$B,0))="","",INDEX(Roster!$A:$A,MATCH($C207,Roster!$B:$B,0))&amp;""),"—"))</f>
        <v/>
      </c>
      <c r="E207" s="25">
        <f>IF($C207="","",IFERROR(IF(INDEX(Roster!$C:$C,MATCH($C207,Roster!$B:$B,0))="","",INDEX(Roster!$C:$C,MATCH($C207,Roster!$B:$B,0))&amp;""),"—"))</f>
        <v/>
      </c>
      <c r="F207" s="25">
        <f>IF($C207="","",IFERROR(IF(INDEX(Roster!$D:$D,MATCH($C207,Roster!$B:$B,0))="","",INDEX(Roster!$D:$D,MATCH($C207,Roster!$B:$B,0))&amp;""),"—"))</f>
        <v/>
      </c>
      <c r="G207" s="25">
        <f>IF($C207="","",IFERROR(IF(INDEX(Roster!$E:$E,MATCH($C207,Roster!$B:$B,0))="","",INDEX(Roster!$E:$E,MATCH($C207,Roster!$B:$B,0))&amp;""),"—"))</f>
        <v/>
      </c>
      <c r="H207" s="25">
        <f>IF($C207="","",IFERROR(IF(INDEX(Roster!$F:$F,MATCH($C207,Roster!$B:$B,0))="","",INDEX(Roster!$F:$F,MATCH($C207,Roster!$B:$B,0))&amp;""),"—"))</f>
        <v/>
      </c>
      <c r="I207" s="25">
        <f>IF($C207="","",IFERROR(IF(INDEX(Roster!$G:$G,MATCH($C207,Roster!$B:$B,0))="","",INDEX(Roster!$G:$G,MATCH($C207,Roster!$B:$B,0))&amp;""),"—"))</f>
        <v/>
      </c>
      <c r="J207" s="25">
        <f>IF($C207="","",IFERROR(IF(INDEX(Roster!$I:$I,MATCH($C207,Roster!$B:$B,0))="","",INDEX(Roster!$I:$I,MATCH($C207,Roster!$B:$B,0))&amp;""),"—"))</f>
        <v/>
      </c>
      <c r="K207">
        <f>IF($C207="","",IFERROR(IF(INDEX(Roster!$J:$J,MATCH($C207,Roster!$B:$B,0))="","",INDEX(Roster!$J:$J,MATCH($C207,Roster!$B:$B,0))&amp;""),"—"))</f>
        <v/>
      </c>
      <c r="L207">
        <f>IF($C207="","",IFERROR(IF(INDEX(Roster!$K:$K,MATCH($C207,Roster!$B:$B,0))="","",INDEX(Roster!$K:$K,MATCH($C207,Roster!$B:$B,0))&amp;""),"—"))</f>
        <v/>
      </c>
      <c r="M207" s="27" t="n"/>
      <c r="N207" s="27" t="n"/>
      <c r="O207" s="25">
        <f>IF($C207="","",IF($P207="","—",IF($P207="Valid (Pass)","Valid","Invalid")))</f>
        <v/>
      </c>
      <c r="P207" s="27" t="n"/>
      <c r="Q207" s="27" t="n"/>
      <c r="R207" s="27" t="n"/>
      <c r="S207" s="27" t="n"/>
      <c r="T207" s="25">
        <f>IF($C207="","",IF(OR(ISNUMBER(SEARCH("quick case",$P207)),ISNUMBER(SEARCH("quick case",$Q207))),"Yes","No"))</f>
        <v/>
      </c>
      <c r="U207" s="25">
        <f>IF($O207="Invalid",HYPERLINK("mailto:"&amp;$G207&amp;";"&amp;$I207&amp;"?cc="&amp;Lists!$E$2&amp;"&amp;subject="&amp;_xlfn.ENCODEURL("[INVALID] Quality audit monitoring completed for "&amp;UPPER($C207))&amp;"&amp;body="&amp;_xlfn.ENCODEURL("Hi "&amp;$F207&amp;","&amp;CHAR(10)&amp;"Good day!"&amp;CHAR(10)&amp;CHAR(10)&amp;"A quality monitoring audit has been completed for "&amp;$C207&amp;"."&amp;CHAR(10)&amp;CHAR(10)&amp;"QUALITY AUDIT DETAILS"&amp;CHAR(10)&amp;"Agent Name: "&amp;$C207&amp;" (EID "&amp;$D207&amp;")"&amp;CHAR(10)&amp;"Audit Date: "&amp;TEXT($B207,"yyyy-mm-dd")&amp;CHAR(10)&amp;"Team Leader: "&amp;$F207&amp;CHAR(10)&amp;"Case Number: "&amp;$M207&amp;CHAR(10)&amp;"Transaction ID: "&amp;$N207&amp;CHAR(10)&amp;"Channel / LOB: "&amp;$K207&amp;" / "&amp;$L207&amp;CHAR(10)&amp;"Evaluator: "&amp;$S207&amp;CHAR(10)&amp;CHAR(10)&amp;"INVALID QUALITY AUDIT DETAILS"&amp;CHAR(10)&amp;"Validation: Invalid"&amp;CHAR(10)&amp;"Invalid Reason: "&amp;$P207&amp;CHAR(10)&amp;"Expected Resolution Code: "&amp;$Q207&amp;CHAR(10)&amp;"Remarks: "&amp;LEFT($R207,600)&amp;CHAR(10)&amp;CHAR(10)&amp;"This is an automated notification from HP Mainstream EQMS."),"✉ Open Email Draft"),"")</f>
        <v/>
      </c>
    </row>
    <row r="208">
      <c r="A208" s="25">
        <f>IF($C208="","","AUD-2026-"&amp;TEXT(ROW()-1,"000000"))</f>
        <v/>
      </c>
      <c r="B208" s="26" t="n"/>
      <c r="C208" s="27" t="n"/>
      <c r="D208" s="25">
        <f>IF($C208="","",IFERROR(IF(INDEX(Roster!$A:$A,MATCH($C208,Roster!$B:$B,0))="","",INDEX(Roster!$A:$A,MATCH($C208,Roster!$B:$B,0))&amp;""),"—"))</f>
        <v/>
      </c>
      <c r="E208" s="25">
        <f>IF($C208="","",IFERROR(IF(INDEX(Roster!$C:$C,MATCH($C208,Roster!$B:$B,0))="","",INDEX(Roster!$C:$C,MATCH($C208,Roster!$B:$B,0))&amp;""),"—"))</f>
        <v/>
      </c>
      <c r="F208" s="25">
        <f>IF($C208="","",IFERROR(IF(INDEX(Roster!$D:$D,MATCH($C208,Roster!$B:$B,0))="","",INDEX(Roster!$D:$D,MATCH($C208,Roster!$B:$B,0))&amp;""),"—"))</f>
        <v/>
      </c>
      <c r="G208" s="25">
        <f>IF($C208="","",IFERROR(IF(INDEX(Roster!$E:$E,MATCH($C208,Roster!$B:$B,0))="","",INDEX(Roster!$E:$E,MATCH($C208,Roster!$B:$B,0))&amp;""),"—"))</f>
        <v/>
      </c>
      <c r="H208" s="25">
        <f>IF($C208="","",IFERROR(IF(INDEX(Roster!$F:$F,MATCH($C208,Roster!$B:$B,0))="","",INDEX(Roster!$F:$F,MATCH($C208,Roster!$B:$B,0))&amp;""),"—"))</f>
        <v/>
      </c>
      <c r="I208" s="25">
        <f>IF($C208="","",IFERROR(IF(INDEX(Roster!$G:$G,MATCH($C208,Roster!$B:$B,0))="","",INDEX(Roster!$G:$G,MATCH($C208,Roster!$B:$B,0))&amp;""),"—"))</f>
        <v/>
      </c>
      <c r="J208" s="25">
        <f>IF($C208="","",IFERROR(IF(INDEX(Roster!$I:$I,MATCH($C208,Roster!$B:$B,0))="","",INDEX(Roster!$I:$I,MATCH($C208,Roster!$B:$B,0))&amp;""),"—"))</f>
        <v/>
      </c>
      <c r="K208">
        <f>IF($C208="","",IFERROR(IF(INDEX(Roster!$J:$J,MATCH($C208,Roster!$B:$B,0))="","",INDEX(Roster!$J:$J,MATCH($C208,Roster!$B:$B,0))&amp;""),"—"))</f>
        <v/>
      </c>
      <c r="L208">
        <f>IF($C208="","",IFERROR(IF(INDEX(Roster!$K:$K,MATCH($C208,Roster!$B:$B,0))="","",INDEX(Roster!$K:$K,MATCH($C208,Roster!$B:$B,0))&amp;""),"—"))</f>
        <v/>
      </c>
      <c r="M208" s="27" t="n"/>
      <c r="N208" s="27" t="n"/>
      <c r="O208" s="25">
        <f>IF($C208="","",IF($P208="","—",IF($P208="Valid (Pass)","Valid","Invalid")))</f>
        <v/>
      </c>
      <c r="P208" s="27" t="n"/>
      <c r="Q208" s="27" t="n"/>
      <c r="R208" s="27" t="n"/>
      <c r="S208" s="27" t="n"/>
      <c r="T208" s="25">
        <f>IF($C208="","",IF(OR(ISNUMBER(SEARCH("quick case",$P208)),ISNUMBER(SEARCH("quick case",$Q208))),"Yes","No"))</f>
        <v/>
      </c>
      <c r="U208" s="25">
        <f>IF($O208="Invalid",HYPERLINK("mailto:"&amp;$G208&amp;";"&amp;$I208&amp;"?cc="&amp;Lists!$E$2&amp;"&amp;subject="&amp;_xlfn.ENCODEURL("[INVALID] Quality audit monitoring completed for "&amp;UPPER($C208))&amp;"&amp;body="&amp;_xlfn.ENCODEURL("Hi "&amp;$F208&amp;","&amp;CHAR(10)&amp;"Good day!"&amp;CHAR(10)&amp;CHAR(10)&amp;"A quality monitoring audit has been completed for "&amp;$C208&amp;"."&amp;CHAR(10)&amp;CHAR(10)&amp;"QUALITY AUDIT DETAILS"&amp;CHAR(10)&amp;"Agent Name: "&amp;$C208&amp;" (EID "&amp;$D208&amp;")"&amp;CHAR(10)&amp;"Audit Date: "&amp;TEXT($B208,"yyyy-mm-dd")&amp;CHAR(10)&amp;"Team Leader: "&amp;$F208&amp;CHAR(10)&amp;"Case Number: "&amp;$M208&amp;CHAR(10)&amp;"Transaction ID: "&amp;$N208&amp;CHAR(10)&amp;"Channel / LOB: "&amp;$K208&amp;" / "&amp;$L208&amp;CHAR(10)&amp;"Evaluator: "&amp;$S208&amp;CHAR(10)&amp;CHAR(10)&amp;"INVALID QUALITY AUDIT DETAILS"&amp;CHAR(10)&amp;"Validation: Invalid"&amp;CHAR(10)&amp;"Invalid Reason: "&amp;$P208&amp;CHAR(10)&amp;"Expected Resolution Code: "&amp;$Q208&amp;CHAR(10)&amp;"Remarks: "&amp;LEFT($R208,600)&amp;CHAR(10)&amp;CHAR(10)&amp;"This is an automated notification from HP Mainstream EQMS."),"✉ Open Email Draft"),"")</f>
        <v/>
      </c>
    </row>
    <row r="209">
      <c r="A209" s="25">
        <f>IF($C209="","","AUD-2026-"&amp;TEXT(ROW()-1,"000000"))</f>
        <v/>
      </c>
      <c r="B209" s="26" t="n"/>
      <c r="C209" s="27" t="n"/>
      <c r="D209" s="25">
        <f>IF($C209="","",IFERROR(IF(INDEX(Roster!$A:$A,MATCH($C209,Roster!$B:$B,0))="","",INDEX(Roster!$A:$A,MATCH($C209,Roster!$B:$B,0))&amp;""),"—"))</f>
        <v/>
      </c>
      <c r="E209" s="25">
        <f>IF($C209="","",IFERROR(IF(INDEX(Roster!$C:$C,MATCH($C209,Roster!$B:$B,0))="","",INDEX(Roster!$C:$C,MATCH($C209,Roster!$B:$B,0))&amp;""),"—"))</f>
        <v/>
      </c>
      <c r="F209" s="25">
        <f>IF($C209="","",IFERROR(IF(INDEX(Roster!$D:$D,MATCH($C209,Roster!$B:$B,0))="","",INDEX(Roster!$D:$D,MATCH($C209,Roster!$B:$B,0))&amp;""),"—"))</f>
        <v/>
      </c>
      <c r="G209" s="25">
        <f>IF($C209="","",IFERROR(IF(INDEX(Roster!$E:$E,MATCH($C209,Roster!$B:$B,0))="","",INDEX(Roster!$E:$E,MATCH($C209,Roster!$B:$B,0))&amp;""),"—"))</f>
        <v/>
      </c>
      <c r="H209" s="25">
        <f>IF($C209="","",IFERROR(IF(INDEX(Roster!$F:$F,MATCH($C209,Roster!$B:$B,0))="","",INDEX(Roster!$F:$F,MATCH($C209,Roster!$B:$B,0))&amp;""),"—"))</f>
        <v/>
      </c>
      <c r="I209" s="25">
        <f>IF($C209="","",IFERROR(IF(INDEX(Roster!$G:$G,MATCH($C209,Roster!$B:$B,0))="","",INDEX(Roster!$G:$G,MATCH($C209,Roster!$B:$B,0))&amp;""),"—"))</f>
        <v/>
      </c>
      <c r="J209" s="25">
        <f>IF($C209="","",IFERROR(IF(INDEX(Roster!$I:$I,MATCH($C209,Roster!$B:$B,0))="","",INDEX(Roster!$I:$I,MATCH($C209,Roster!$B:$B,0))&amp;""),"—"))</f>
        <v/>
      </c>
      <c r="K209">
        <f>IF($C209="","",IFERROR(IF(INDEX(Roster!$J:$J,MATCH($C209,Roster!$B:$B,0))="","",INDEX(Roster!$J:$J,MATCH($C209,Roster!$B:$B,0))&amp;""),"—"))</f>
        <v/>
      </c>
      <c r="L209">
        <f>IF($C209="","",IFERROR(IF(INDEX(Roster!$K:$K,MATCH($C209,Roster!$B:$B,0))="","",INDEX(Roster!$K:$K,MATCH($C209,Roster!$B:$B,0))&amp;""),"—"))</f>
        <v/>
      </c>
      <c r="M209" s="27" t="n"/>
      <c r="N209" s="27" t="n"/>
      <c r="O209" s="25">
        <f>IF($C209="","",IF($P209="","—",IF($P209="Valid (Pass)","Valid","Invalid")))</f>
        <v/>
      </c>
      <c r="P209" s="27" t="n"/>
      <c r="Q209" s="27" t="n"/>
      <c r="R209" s="27" t="n"/>
      <c r="S209" s="27" t="n"/>
      <c r="T209" s="25">
        <f>IF($C209="","",IF(OR(ISNUMBER(SEARCH("quick case",$P209)),ISNUMBER(SEARCH("quick case",$Q209))),"Yes","No"))</f>
        <v/>
      </c>
      <c r="U209" s="25">
        <f>IF($O209="Invalid",HYPERLINK("mailto:"&amp;$G209&amp;";"&amp;$I209&amp;"?cc="&amp;Lists!$E$2&amp;"&amp;subject="&amp;_xlfn.ENCODEURL("[INVALID] Quality audit monitoring completed for "&amp;UPPER($C209))&amp;"&amp;body="&amp;_xlfn.ENCODEURL("Hi "&amp;$F209&amp;","&amp;CHAR(10)&amp;"Good day!"&amp;CHAR(10)&amp;CHAR(10)&amp;"A quality monitoring audit has been completed for "&amp;$C209&amp;"."&amp;CHAR(10)&amp;CHAR(10)&amp;"QUALITY AUDIT DETAILS"&amp;CHAR(10)&amp;"Agent Name: "&amp;$C209&amp;" (EID "&amp;$D209&amp;")"&amp;CHAR(10)&amp;"Audit Date: "&amp;TEXT($B209,"yyyy-mm-dd")&amp;CHAR(10)&amp;"Team Leader: "&amp;$F209&amp;CHAR(10)&amp;"Case Number: "&amp;$M209&amp;CHAR(10)&amp;"Transaction ID: "&amp;$N209&amp;CHAR(10)&amp;"Channel / LOB: "&amp;$K209&amp;" / "&amp;$L209&amp;CHAR(10)&amp;"Evaluator: "&amp;$S209&amp;CHAR(10)&amp;CHAR(10)&amp;"INVALID QUALITY AUDIT DETAILS"&amp;CHAR(10)&amp;"Validation: Invalid"&amp;CHAR(10)&amp;"Invalid Reason: "&amp;$P209&amp;CHAR(10)&amp;"Expected Resolution Code: "&amp;$Q209&amp;CHAR(10)&amp;"Remarks: "&amp;LEFT($R209,600)&amp;CHAR(10)&amp;CHAR(10)&amp;"This is an automated notification from HP Mainstream EQMS."),"✉ Open Email Draft"),"")</f>
        <v/>
      </c>
    </row>
    <row r="210">
      <c r="A210" s="25">
        <f>IF($C210="","","AUD-2026-"&amp;TEXT(ROW()-1,"000000"))</f>
        <v/>
      </c>
      <c r="B210" s="26" t="n"/>
      <c r="C210" s="27" t="n"/>
      <c r="D210" s="25">
        <f>IF($C210="","",IFERROR(IF(INDEX(Roster!$A:$A,MATCH($C210,Roster!$B:$B,0))="","",INDEX(Roster!$A:$A,MATCH($C210,Roster!$B:$B,0))&amp;""),"—"))</f>
        <v/>
      </c>
      <c r="E210" s="25">
        <f>IF($C210="","",IFERROR(IF(INDEX(Roster!$C:$C,MATCH($C210,Roster!$B:$B,0))="","",INDEX(Roster!$C:$C,MATCH($C210,Roster!$B:$B,0))&amp;""),"—"))</f>
        <v/>
      </c>
      <c r="F210" s="25">
        <f>IF($C210="","",IFERROR(IF(INDEX(Roster!$D:$D,MATCH($C210,Roster!$B:$B,0))="","",INDEX(Roster!$D:$D,MATCH($C210,Roster!$B:$B,0))&amp;""),"—"))</f>
        <v/>
      </c>
      <c r="G210" s="25">
        <f>IF($C210="","",IFERROR(IF(INDEX(Roster!$E:$E,MATCH($C210,Roster!$B:$B,0))="","",INDEX(Roster!$E:$E,MATCH($C210,Roster!$B:$B,0))&amp;""),"—"))</f>
        <v/>
      </c>
      <c r="H210" s="25">
        <f>IF($C210="","",IFERROR(IF(INDEX(Roster!$F:$F,MATCH($C210,Roster!$B:$B,0))="","",INDEX(Roster!$F:$F,MATCH($C210,Roster!$B:$B,0))&amp;""),"—"))</f>
        <v/>
      </c>
      <c r="I210" s="25">
        <f>IF($C210="","",IFERROR(IF(INDEX(Roster!$G:$G,MATCH($C210,Roster!$B:$B,0))="","",INDEX(Roster!$G:$G,MATCH($C210,Roster!$B:$B,0))&amp;""),"—"))</f>
        <v/>
      </c>
      <c r="J210" s="25">
        <f>IF($C210="","",IFERROR(IF(INDEX(Roster!$I:$I,MATCH($C210,Roster!$B:$B,0))="","",INDEX(Roster!$I:$I,MATCH($C210,Roster!$B:$B,0))&amp;""),"—"))</f>
        <v/>
      </c>
      <c r="K210">
        <f>IF($C210="","",IFERROR(IF(INDEX(Roster!$J:$J,MATCH($C210,Roster!$B:$B,0))="","",INDEX(Roster!$J:$J,MATCH($C210,Roster!$B:$B,0))&amp;""),"—"))</f>
        <v/>
      </c>
      <c r="L210">
        <f>IF($C210="","",IFERROR(IF(INDEX(Roster!$K:$K,MATCH($C210,Roster!$B:$B,0))="","",INDEX(Roster!$K:$K,MATCH($C210,Roster!$B:$B,0))&amp;""),"—"))</f>
        <v/>
      </c>
      <c r="M210" s="27" t="n"/>
      <c r="N210" s="27" t="n"/>
      <c r="O210" s="25">
        <f>IF($C210="","",IF($P210="","—",IF($P210="Valid (Pass)","Valid","Invalid")))</f>
        <v/>
      </c>
      <c r="P210" s="27" t="n"/>
      <c r="Q210" s="27" t="n"/>
      <c r="R210" s="27" t="n"/>
      <c r="S210" s="27" t="n"/>
      <c r="T210" s="25">
        <f>IF($C210="","",IF(OR(ISNUMBER(SEARCH("quick case",$P210)),ISNUMBER(SEARCH("quick case",$Q210))),"Yes","No"))</f>
        <v/>
      </c>
      <c r="U210" s="25">
        <f>IF($O210="Invalid",HYPERLINK("mailto:"&amp;$G210&amp;";"&amp;$I210&amp;"?cc="&amp;Lists!$E$2&amp;"&amp;subject="&amp;_xlfn.ENCODEURL("[INVALID] Quality audit monitoring completed for "&amp;UPPER($C210))&amp;"&amp;body="&amp;_xlfn.ENCODEURL("Hi "&amp;$F210&amp;","&amp;CHAR(10)&amp;"Good day!"&amp;CHAR(10)&amp;CHAR(10)&amp;"A quality monitoring audit has been completed for "&amp;$C210&amp;"."&amp;CHAR(10)&amp;CHAR(10)&amp;"QUALITY AUDIT DETAILS"&amp;CHAR(10)&amp;"Agent Name: "&amp;$C210&amp;" (EID "&amp;$D210&amp;")"&amp;CHAR(10)&amp;"Audit Date: "&amp;TEXT($B210,"yyyy-mm-dd")&amp;CHAR(10)&amp;"Team Leader: "&amp;$F210&amp;CHAR(10)&amp;"Case Number: "&amp;$M210&amp;CHAR(10)&amp;"Transaction ID: "&amp;$N210&amp;CHAR(10)&amp;"Channel / LOB: "&amp;$K210&amp;" / "&amp;$L210&amp;CHAR(10)&amp;"Evaluator: "&amp;$S210&amp;CHAR(10)&amp;CHAR(10)&amp;"INVALID QUALITY AUDIT DETAILS"&amp;CHAR(10)&amp;"Validation: Invalid"&amp;CHAR(10)&amp;"Invalid Reason: "&amp;$P210&amp;CHAR(10)&amp;"Expected Resolution Code: "&amp;$Q210&amp;CHAR(10)&amp;"Remarks: "&amp;LEFT($R210,600)&amp;CHAR(10)&amp;CHAR(10)&amp;"This is an automated notification from HP Mainstream EQMS."),"✉ Open Email Draft"),"")</f>
        <v/>
      </c>
    </row>
    <row r="211">
      <c r="A211" s="25">
        <f>IF($C211="","","AUD-2026-"&amp;TEXT(ROW()-1,"000000"))</f>
        <v/>
      </c>
      <c r="B211" s="26" t="n"/>
      <c r="C211" s="27" t="n"/>
      <c r="D211" s="25">
        <f>IF($C211="","",IFERROR(IF(INDEX(Roster!$A:$A,MATCH($C211,Roster!$B:$B,0))="","",INDEX(Roster!$A:$A,MATCH($C211,Roster!$B:$B,0))&amp;""),"—"))</f>
        <v/>
      </c>
      <c r="E211" s="25">
        <f>IF($C211="","",IFERROR(IF(INDEX(Roster!$C:$C,MATCH($C211,Roster!$B:$B,0))="","",INDEX(Roster!$C:$C,MATCH($C211,Roster!$B:$B,0))&amp;""),"—"))</f>
        <v/>
      </c>
      <c r="F211" s="25">
        <f>IF($C211="","",IFERROR(IF(INDEX(Roster!$D:$D,MATCH($C211,Roster!$B:$B,0))="","",INDEX(Roster!$D:$D,MATCH($C211,Roster!$B:$B,0))&amp;""),"—"))</f>
        <v/>
      </c>
      <c r="G211" s="25">
        <f>IF($C211="","",IFERROR(IF(INDEX(Roster!$E:$E,MATCH($C211,Roster!$B:$B,0))="","",INDEX(Roster!$E:$E,MATCH($C211,Roster!$B:$B,0))&amp;""),"—"))</f>
        <v/>
      </c>
      <c r="H211" s="25">
        <f>IF($C211="","",IFERROR(IF(INDEX(Roster!$F:$F,MATCH($C211,Roster!$B:$B,0))="","",INDEX(Roster!$F:$F,MATCH($C211,Roster!$B:$B,0))&amp;""),"—"))</f>
        <v/>
      </c>
      <c r="I211" s="25">
        <f>IF($C211="","",IFERROR(IF(INDEX(Roster!$G:$G,MATCH($C211,Roster!$B:$B,0))="","",INDEX(Roster!$G:$G,MATCH($C211,Roster!$B:$B,0))&amp;""),"—"))</f>
        <v/>
      </c>
      <c r="J211" s="25">
        <f>IF($C211="","",IFERROR(IF(INDEX(Roster!$I:$I,MATCH($C211,Roster!$B:$B,0))="","",INDEX(Roster!$I:$I,MATCH($C211,Roster!$B:$B,0))&amp;""),"—"))</f>
        <v/>
      </c>
      <c r="K211">
        <f>IF($C211="","",IFERROR(IF(INDEX(Roster!$J:$J,MATCH($C211,Roster!$B:$B,0))="","",INDEX(Roster!$J:$J,MATCH($C211,Roster!$B:$B,0))&amp;""),"—"))</f>
        <v/>
      </c>
      <c r="L211">
        <f>IF($C211="","",IFERROR(IF(INDEX(Roster!$K:$K,MATCH($C211,Roster!$B:$B,0))="","",INDEX(Roster!$K:$K,MATCH($C211,Roster!$B:$B,0))&amp;""),"—"))</f>
        <v/>
      </c>
      <c r="M211" s="27" t="n"/>
      <c r="N211" s="27" t="n"/>
      <c r="O211" s="25">
        <f>IF($C211="","",IF($P211="","—",IF($P211="Valid (Pass)","Valid","Invalid")))</f>
        <v/>
      </c>
      <c r="P211" s="27" t="n"/>
      <c r="Q211" s="27" t="n"/>
      <c r="R211" s="27" t="n"/>
      <c r="S211" s="27" t="n"/>
      <c r="T211" s="25">
        <f>IF($C211="","",IF(OR(ISNUMBER(SEARCH("quick case",$P211)),ISNUMBER(SEARCH("quick case",$Q211))),"Yes","No"))</f>
        <v/>
      </c>
      <c r="U211" s="25">
        <f>IF($O211="Invalid",HYPERLINK("mailto:"&amp;$G211&amp;";"&amp;$I211&amp;"?cc="&amp;Lists!$E$2&amp;"&amp;subject="&amp;_xlfn.ENCODEURL("[INVALID] Quality audit monitoring completed for "&amp;UPPER($C211))&amp;"&amp;body="&amp;_xlfn.ENCODEURL("Hi "&amp;$F211&amp;","&amp;CHAR(10)&amp;"Good day!"&amp;CHAR(10)&amp;CHAR(10)&amp;"A quality monitoring audit has been completed for "&amp;$C211&amp;"."&amp;CHAR(10)&amp;CHAR(10)&amp;"QUALITY AUDIT DETAILS"&amp;CHAR(10)&amp;"Agent Name: "&amp;$C211&amp;" (EID "&amp;$D211&amp;")"&amp;CHAR(10)&amp;"Audit Date: "&amp;TEXT($B211,"yyyy-mm-dd")&amp;CHAR(10)&amp;"Team Leader: "&amp;$F211&amp;CHAR(10)&amp;"Case Number: "&amp;$M211&amp;CHAR(10)&amp;"Transaction ID: "&amp;$N211&amp;CHAR(10)&amp;"Channel / LOB: "&amp;$K211&amp;" / "&amp;$L211&amp;CHAR(10)&amp;"Evaluator: "&amp;$S211&amp;CHAR(10)&amp;CHAR(10)&amp;"INVALID QUALITY AUDIT DETAILS"&amp;CHAR(10)&amp;"Validation: Invalid"&amp;CHAR(10)&amp;"Invalid Reason: "&amp;$P211&amp;CHAR(10)&amp;"Expected Resolution Code: "&amp;$Q211&amp;CHAR(10)&amp;"Remarks: "&amp;LEFT($R211,600)&amp;CHAR(10)&amp;CHAR(10)&amp;"This is an automated notification from HP Mainstream EQMS."),"✉ Open Email Draft"),"")</f>
        <v/>
      </c>
    </row>
    <row r="212">
      <c r="A212" s="25">
        <f>IF($C212="","","AUD-2026-"&amp;TEXT(ROW()-1,"000000"))</f>
        <v/>
      </c>
      <c r="B212" s="26" t="n"/>
      <c r="C212" s="27" t="n"/>
      <c r="D212" s="25">
        <f>IF($C212="","",IFERROR(IF(INDEX(Roster!$A:$A,MATCH($C212,Roster!$B:$B,0))="","",INDEX(Roster!$A:$A,MATCH($C212,Roster!$B:$B,0))&amp;""),"—"))</f>
        <v/>
      </c>
      <c r="E212" s="25">
        <f>IF($C212="","",IFERROR(IF(INDEX(Roster!$C:$C,MATCH($C212,Roster!$B:$B,0))="","",INDEX(Roster!$C:$C,MATCH($C212,Roster!$B:$B,0))&amp;""),"—"))</f>
        <v/>
      </c>
      <c r="F212" s="25">
        <f>IF($C212="","",IFERROR(IF(INDEX(Roster!$D:$D,MATCH($C212,Roster!$B:$B,0))="","",INDEX(Roster!$D:$D,MATCH($C212,Roster!$B:$B,0))&amp;""),"—"))</f>
        <v/>
      </c>
      <c r="G212" s="25">
        <f>IF($C212="","",IFERROR(IF(INDEX(Roster!$E:$E,MATCH($C212,Roster!$B:$B,0))="","",INDEX(Roster!$E:$E,MATCH($C212,Roster!$B:$B,0))&amp;""),"—"))</f>
        <v/>
      </c>
      <c r="H212" s="25">
        <f>IF($C212="","",IFERROR(IF(INDEX(Roster!$F:$F,MATCH($C212,Roster!$B:$B,0))="","",INDEX(Roster!$F:$F,MATCH($C212,Roster!$B:$B,0))&amp;""),"—"))</f>
        <v/>
      </c>
      <c r="I212" s="25">
        <f>IF($C212="","",IFERROR(IF(INDEX(Roster!$G:$G,MATCH($C212,Roster!$B:$B,0))="","",INDEX(Roster!$G:$G,MATCH($C212,Roster!$B:$B,0))&amp;""),"—"))</f>
        <v/>
      </c>
      <c r="J212" s="25">
        <f>IF($C212="","",IFERROR(IF(INDEX(Roster!$I:$I,MATCH($C212,Roster!$B:$B,0))="","",INDEX(Roster!$I:$I,MATCH($C212,Roster!$B:$B,0))&amp;""),"—"))</f>
        <v/>
      </c>
      <c r="K212">
        <f>IF($C212="","",IFERROR(IF(INDEX(Roster!$J:$J,MATCH($C212,Roster!$B:$B,0))="","",INDEX(Roster!$J:$J,MATCH($C212,Roster!$B:$B,0))&amp;""),"—"))</f>
        <v/>
      </c>
      <c r="L212">
        <f>IF($C212="","",IFERROR(IF(INDEX(Roster!$K:$K,MATCH($C212,Roster!$B:$B,0))="","",INDEX(Roster!$K:$K,MATCH($C212,Roster!$B:$B,0))&amp;""),"—"))</f>
        <v/>
      </c>
      <c r="M212" s="27" t="n"/>
      <c r="N212" s="27" t="n"/>
      <c r="O212" s="25">
        <f>IF($C212="","",IF($P212="","—",IF($P212="Valid (Pass)","Valid","Invalid")))</f>
        <v/>
      </c>
      <c r="P212" s="27" t="n"/>
      <c r="Q212" s="27" t="n"/>
      <c r="R212" s="27" t="n"/>
      <c r="S212" s="27" t="n"/>
      <c r="T212" s="25">
        <f>IF($C212="","",IF(OR(ISNUMBER(SEARCH("quick case",$P212)),ISNUMBER(SEARCH("quick case",$Q212))),"Yes","No"))</f>
        <v/>
      </c>
      <c r="U212" s="25">
        <f>IF($O212="Invalid",HYPERLINK("mailto:"&amp;$G212&amp;";"&amp;$I212&amp;"?cc="&amp;Lists!$E$2&amp;"&amp;subject="&amp;_xlfn.ENCODEURL("[INVALID] Quality audit monitoring completed for "&amp;UPPER($C212))&amp;"&amp;body="&amp;_xlfn.ENCODEURL("Hi "&amp;$F212&amp;","&amp;CHAR(10)&amp;"Good day!"&amp;CHAR(10)&amp;CHAR(10)&amp;"A quality monitoring audit has been completed for "&amp;$C212&amp;"."&amp;CHAR(10)&amp;CHAR(10)&amp;"QUALITY AUDIT DETAILS"&amp;CHAR(10)&amp;"Agent Name: "&amp;$C212&amp;" (EID "&amp;$D212&amp;")"&amp;CHAR(10)&amp;"Audit Date: "&amp;TEXT($B212,"yyyy-mm-dd")&amp;CHAR(10)&amp;"Team Leader: "&amp;$F212&amp;CHAR(10)&amp;"Case Number: "&amp;$M212&amp;CHAR(10)&amp;"Transaction ID: "&amp;$N212&amp;CHAR(10)&amp;"Channel / LOB: "&amp;$K212&amp;" / "&amp;$L212&amp;CHAR(10)&amp;"Evaluator: "&amp;$S212&amp;CHAR(10)&amp;CHAR(10)&amp;"INVALID QUALITY AUDIT DETAILS"&amp;CHAR(10)&amp;"Validation: Invalid"&amp;CHAR(10)&amp;"Invalid Reason: "&amp;$P212&amp;CHAR(10)&amp;"Expected Resolution Code: "&amp;$Q212&amp;CHAR(10)&amp;"Remarks: "&amp;LEFT($R212,600)&amp;CHAR(10)&amp;CHAR(10)&amp;"This is an automated notification from HP Mainstream EQMS."),"✉ Open Email Draft"),"")</f>
        <v/>
      </c>
    </row>
    <row r="213">
      <c r="A213" s="25">
        <f>IF($C213="","","AUD-2026-"&amp;TEXT(ROW()-1,"000000"))</f>
        <v/>
      </c>
      <c r="B213" s="26" t="n"/>
      <c r="C213" s="27" t="n"/>
      <c r="D213" s="25">
        <f>IF($C213="","",IFERROR(IF(INDEX(Roster!$A:$A,MATCH($C213,Roster!$B:$B,0))="","",INDEX(Roster!$A:$A,MATCH($C213,Roster!$B:$B,0))&amp;""),"—"))</f>
        <v/>
      </c>
      <c r="E213" s="25">
        <f>IF($C213="","",IFERROR(IF(INDEX(Roster!$C:$C,MATCH($C213,Roster!$B:$B,0))="","",INDEX(Roster!$C:$C,MATCH($C213,Roster!$B:$B,0))&amp;""),"—"))</f>
        <v/>
      </c>
      <c r="F213" s="25">
        <f>IF($C213="","",IFERROR(IF(INDEX(Roster!$D:$D,MATCH($C213,Roster!$B:$B,0))="","",INDEX(Roster!$D:$D,MATCH($C213,Roster!$B:$B,0))&amp;""),"—"))</f>
        <v/>
      </c>
      <c r="G213" s="25">
        <f>IF($C213="","",IFERROR(IF(INDEX(Roster!$E:$E,MATCH($C213,Roster!$B:$B,0))="","",INDEX(Roster!$E:$E,MATCH($C213,Roster!$B:$B,0))&amp;""),"—"))</f>
        <v/>
      </c>
      <c r="H213" s="25">
        <f>IF($C213="","",IFERROR(IF(INDEX(Roster!$F:$F,MATCH($C213,Roster!$B:$B,0))="","",INDEX(Roster!$F:$F,MATCH($C213,Roster!$B:$B,0))&amp;""),"—"))</f>
        <v/>
      </c>
      <c r="I213" s="25">
        <f>IF($C213="","",IFERROR(IF(INDEX(Roster!$G:$G,MATCH($C213,Roster!$B:$B,0))="","",INDEX(Roster!$G:$G,MATCH($C213,Roster!$B:$B,0))&amp;""),"—"))</f>
        <v/>
      </c>
      <c r="J213" s="25">
        <f>IF($C213="","",IFERROR(IF(INDEX(Roster!$I:$I,MATCH($C213,Roster!$B:$B,0))="","",INDEX(Roster!$I:$I,MATCH($C213,Roster!$B:$B,0))&amp;""),"—"))</f>
        <v/>
      </c>
      <c r="K213">
        <f>IF($C213="","",IFERROR(IF(INDEX(Roster!$J:$J,MATCH($C213,Roster!$B:$B,0))="","",INDEX(Roster!$J:$J,MATCH($C213,Roster!$B:$B,0))&amp;""),"—"))</f>
        <v/>
      </c>
      <c r="L213">
        <f>IF($C213="","",IFERROR(IF(INDEX(Roster!$K:$K,MATCH($C213,Roster!$B:$B,0))="","",INDEX(Roster!$K:$K,MATCH($C213,Roster!$B:$B,0))&amp;""),"—"))</f>
        <v/>
      </c>
      <c r="M213" s="27" t="n"/>
      <c r="N213" s="27" t="n"/>
      <c r="O213" s="25">
        <f>IF($C213="","",IF($P213="","—",IF($P213="Valid (Pass)","Valid","Invalid")))</f>
        <v/>
      </c>
      <c r="P213" s="27" t="n"/>
      <c r="Q213" s="27" t="n"/>
      <c r="R213" s="27" t="n"/>
      <c r="S213" s="27" t="n"/>
      <c r="T213" s="25">
        <f>IF($C213="","",IF(OR(ISNUMBER(SEARCH("quick case",$P213)),ISNUMBER(SEARCH("quick case",$Q213))),"Yes","No"))</f>
        <v/>
      </c>
      <c r="U213" s="25">
        <f>IF($O213="Invalid",HYPERLINK("mailto:"&amp;$G213&amp;";"&amp;$I213&amp;"?cc="&amp;Lists!$E$2&amp;"&amp;subject="&amp;_xlfn.ENCODEURL("[INVALID] Quality audit monitoring completed for "&amp;UPPER($C213))&amp;"&amp;body="&amp;_xlfn.ENCODEURL("Hi "&amp;$F213&amp;","&amp;CHAR(10)&amp;"Good day!"&amp;CHAR(10)&amp;CHAR(10)&amp;"A quality monitoring audit has been completed for "&amp;$C213&amp;"."&amp;CHAR(10)&amp;CHAR(10)&amp;"QUALITY AUDIT DETAILS"&amp;CHAR(10)&amp;"Agent Name: "&amp;$C213&amp;" (EID "&amp;$D213&amp;")"&amp;CHAR(10)&amp;"Audit Date: "&amp;TEXT($B213,"yyyy-mm-dd")&amp;CHAR(10)&amp;"Team Leader: "&amp;$F213&amp;CHAR(10)&amp;"Case Number: "&amp;$M213&amp;CHAR(10)&amp;"Transaction ID: "&amp;$N213&amp;CHAR(10)&amp;"Channel / LOB: "&amp;$K213&amp;" / "&amp;$L213&amp;CHAR(10)&amp;"Evaluator: "&amp;$S213&amp;CHAR(10)&amp;CHAR(10)&amp;"INVALID QUALITY AUDIT DETAILS"&amp;CHAR(10)&amp;"Validation: Invalid"&amp;CHAR(10)&amp;"Invalid Reason: "&amp;$P213&amp;CHAR(10)&amp;"Expected Resolution Code: "&amp;$Q213&amp;CHAR(10)&amp;"Remarks: "&amp;LEFT($R213,600)&amp;CHAR(10)&amp;CHAR(10)&amp;"This is an automated notification from HP Mainstream EQMS."),"✉ Open Email Draft"),"")</f>
        <v/>
      </c>
    </row>
    <row r="214">
      <c r="A214" s="25">
        <f>IF($C214="","","AUD-2026-"&amp;TEXT(ROW()-1,"000000"))</f>
        <v/>
      </c>
      <c r="B214" s="26" t="n"/>
      <c r="C214" s="27" t="n"/>
      <c r="D214" s="25">
        <f>IF($C214="","",IFERROR(IF(INDEX(Roster!$A:$A,MATCH($C214,Roster!$B:$B,0))="","",INDEX(Roster!$A:$A,MATCH($C214,Roster!$B:$B,0))&amp;""),"—"))</f>
        <v/>
      </c>
      <c r="E214" s="25">
        <f>IF($C214="","",IFERROR(IF(INDEX(Roster!$C:$C,MATCH($C214,Roster!$B:$B,0))="","",INDEX(Roster!$C:$C,MATCH($C214,Roster!$B:$B,0))&amp;""),"—"))</f>
        <v/>
      </c>
      <c r="F214" s="25">
        <f>IF($C214="","",IFERROR(IF(INDEX(Roster!$D:$D,MATCH($C214,Roster!$B:$B,0))="","",INDEX(Roster!$D:$D,MATCH($C214,Roster!$B:$B,0))&amp;""),"—"))</f>
        <v/>
      </c>
      <c r="G214" s="25">
        <f>IF($C214="","",IFERROR(IF(INDEX(Roster!$E:$E,MATCH($C214,Roster!$B:$B,0))="","",INDEX(Roster!$E:$E,MATCH($C214,Roster!$B:$B,0))&amp;""),"—"))</f>
        <v/>
      </c>
      <c r="H214" s="25">
        <f>IF($C214="","",IFERROR(IF(INDEX(Roster!$F:$F,MATCH($C214,Roster!$B:$B,0))="","",INDEX(Roster!$F:$F,MATCH($C214,Roster!$B:$B,0))&amp;""),"—"))</f>
        <v/>
      </c>
      <c r="I214" s="25">
        <f>IF($C214="","",IFERROR(IF(INDEX(Roster!$G:$G,MATCH($C214,Roster!$B:$B,0))="","",INDEX(Roster!$G:$G,MATCH($C214,Roster!$B:$B,0))&amp;""),"—"))</f>
        <v/>
      </c>
      <c r="J214" s="25">
        <f>IF($C214="","",IFERROR(IF(INDEX(Roster!$I:$I,MATCH($C214,Roster!$B:$B,0))="","",INDEX(Roster!$I:$I,MATCH($C214,Roster!$B:$B,0))&amp;""),"—"))</f>
        <v/>
      </c>
      <c r="K214">
        <f>IF($C214="","",IFERROR(IF(INDEX(Roster!$J:$J,MATCH($C214,Roster!$B:$B,0))="","",INDEX(Roster!$J:$J,MATCH($C214,Roster!$B:$B,0))&amp;""),"—"))</f>
        <v/>
      </c>
      <c r="L214">
        <f>IF($C214="","",IFERROR(IF(INDEX(Roster!$K:$K,MATCH($C214,Roster!$B:$B,0))="","",INDEX(Roster!$K:$K,MATCH($C214,Roster!$B:$B,0))&amp;""),"—"))</f>
        <v/>
      </c>
      <c r="M214" s="27" t="n"/>
      <c r="N214" s="27" t="n"/>
      <c r="O214" s="25">
        <f>IF($C214="","",IF($P214="","—",IF($P214="Valid (Pass)","Valid","Invalid")))</f>
        <v/>
      </c>
      <c r="P214" s="27" t="n"/>
      <c r="Q214" s="27" t="n"/>
      <c r="R214" s="27" t="n"/>
      <c r="S214" s="27" t="n"/>
      <c r="T214" s="25">
        <f>IF($C214="","",IF(OR(ISNUMBER(SEARCH("quick case",$P214)),ISNUMBER(SEARCH("quick case",$Q214))),"Yes","No"))</f>
        <v/>
      </c>
      <c r="U214" s="25">
        <f>IF($O214="Invalid",HYPERLINK("mailto:"&amp;$G214&amp;";"&amp;$I214&amp;"?cc="&amp;Lists!$E$2&amp;"&amp;subject="&amp;_xlfn.ENCODEURL("[INVALID] Quality audit monitoring completed for "&amp;UPPER($C214))&amp;"&amp;body="&amp;_xlfn.ENCODEURL("Hi "&amp;$F214&amp;","&amp;CHAR(10)&amp;"Good day!"&amp;CHAR(10)&amp;CHAR(10)&amp;"A quality monitoring audit has been completed for "&amp;$C214&amp;"."&amp;CHAR(10)&amp;CHAR(10)&amp;"QUALITY AUDIT DETAILS"&amp;CHAR(10)&amp;"Agent Name: "&amp;$C214&amp;" (EID "&amp;$D214&amp;")"&amp;CHAR(10)&amp;"Audit Date: "&amp;TEXT($B214,"yyyy-mm-dd")&amp;CHAR(10)&amp;"Team Leader: "&amp;$F214&amp;CHAR(10)&amp;"Case Number: "&amp;$M214&amp;CHAR(10)&amp;"Transaction ID: "&amp;$N214&amp;CHAR(10)&amp;"Channel / LOB: "&amp;$K214&amp;" / "&amp;$L214&amp;CHAR(10)&amp;"Evaluator: "&amp;$S214&amp;CHAR(10)&amp;CHAR(10)&amp;"INVALID QUALITY AUDIT DETAILS"&amp;CHAR(10)&amp;"Validation: Invalid"&amp;CHAR(10)&amp;"Invalid Reason: "&amp;$P214&amp;CHAR(10)&amp;"Expected Resolution Code: "&amp;$Q214&amp;CHAR(10)&amp;"Remarks: "&amp;LEFT($R214,600)&amp;CHAR(10)&amp;CHAR(10)&amp;"This is an automated notification from HP Mainstream EQMS."),"✉ Open Email Draft"),"")</f>
        <v/>
      </c>
    </row>
    <row r="215">
      <c r="A215" s="25">
        <f>IF($C215="","","AUD-2026-"&amp;TEXT(ROW()-1,"000000"))</f>
        <v/>
      </c>
      <c r="B215" s="26" t="n"/>
      <c r="C215" s="27" t="n"/>
      <c r="D215" s="25">
        <f>IF($C215="","",IFERROR(IF(INDEX(Roster!$A:$A,MATCH($C215,Roster!$B:$B,0))="","",INDEX(Roster!$A:$A,MATCH($C215,Roster!$B:$B,0))&amp;""),"—"))</f>
        <v/>
      </c>
      <c r="E215" s="25">
        <f>IF($C215="","",IFERROR(IF(INDEX(Roster!$C:$C,MATCH($C215,Roster!$B:$B,0))="","",INDEX(Roster!$C:$C,MATCH($C215,Roster!$B:$B,0))&amp;""),"—"))</f>
        <v/>
      </c>
      <c r="F215" s="25">
        <f>IF($C215="","",IFERROR(IF(INDEX(Roster!$D:$D,MATCH($C215,Roster!$B:$B,0))="","",INDEX(Roster!$D:$D,MATCH($C215,Roster!$B:$B,0))&amp;""),"—"))</f>
        <v/>
      </c>
      <c r="G215" s="25">
        <f>IF($C215="","",IFERROR(IF(INDEX(Roster!$E:$E,MATCH($C215,Roster!$B:$B,0))="","",INDEX(Roster!$E:$E,MATCH($C215,Roster!$B:$B,0))&amp;""),"—"))</f>
        <v/>
      </c>
      <c r="H215" s="25">
        <f>IF($C215="","",IFERROR(IF(INDEX(Roster!$F:$F,MATCH($C215,Roster!$B:$B,0))="","",INDEX(Roster!$F:$F,MATCH($C215,Roster!$B:$B,0))&amp;""),"—"))</f>
        <v/>
      </c>
      <c r="I215" s="25">
        <f>IF($C215="","",IFERROR(IF(INDEX(Roster!$G:$G,MATCH($C215,Roster!$B:$B,0))="","",INDEX(Roster!$G:$G,MATCH($C215,Roster!$B:$B,0))&amp;""),"—"))</f>
        <v/>
      </c>
      <c r="J215" s="25">
        <f>IF($C215="","",IFERROR(IF(INDEX(Roster!$I:$I,MATCH($C215,Roster!$B:$B,0))="","",INDEX(Roster!$I:$I,MATCH($C215,Roster!$B:$B,0))&amp;""),"—"))</f>
        <v/>
      </c>
      <c r="K215">
        <f>IF($C215="","",IFERROR(IF(INDEX(Roster!$J:$J,MATCH($C215,Roster!$B:$B,0))="","",INDEX(Roster!$J:$J,MATCH($C215,Roster!$B:$B,0))&amp;""),"—"))</f>
        <v/>
      </c>
      <c r="L215">
        <f>IF($C215="","",IFERROR(IF(INDEX(Roster!$K:$K,MATCH($C215,Roster!$B:$B,0))="","",INDEX(Roster!$K:$K,MATCH($C215,Roster!$B:$B,0))&amp;""),"—"))</f>
        <v/>
      </c>
      <c r="M215" s="27" t="n"/>
      <c r="N215" s="27" t="n"/>
      <c r="O215" s="25">
        <f>IF($C215="","",IF($P215="","—",IF($P215="Valid (Pass)","Valid","Invalid")))</f>
        <v/>
      </c>
      <c r="P215" s="27" t="n"/>
      <c r="Q215" s="27" t="n"/>
      <c r="R215" s="27" t="n"/>
      <c r="S215" s="27" t="n"/>
      <c r="T215" s="25">
        <f>IF($C215="","",IF(OR(ISNUMBER(SEARCH("quick case",$P215)),ISNUMBER(SEARCH("quick case",$Q215))),"Yes","No"))</f>
        <v/>
      </c>
      <c r="U215" s="25">
        <f>IF($O215="Invalid",HYPERLINK("mailto:"&amp;$G215&amp;";"&amp;$I215&amp;"?cc="&amp;Lists!$E$2&amp;"&amp;subject="&amp;_xlfn.ENCODEURL("[INVALID] Quality audit monitoring completed for "&amp;UPPER($C215))&amp;"&amp;body="&amp;_xlfn.ENCODEURL("Hi "&amp;$F215&amp;","&amp;CHAR(10)&amp;"Good day!"&amp;CHAR(10)&amp;CHAR(10)&amp;"A quality monitoring audit has been completed for "&amp;$C215&amp;"."&amp;CHAR(10)&amp;CHAR(10)&amp;"QUALITY AUDIT DETAILS"&amp;CHAR(10)&amp;"Agent Name: "&amp;$C215&amp;" (EID "&amp;$D215&amp;")"&amp;CHAR(10)&amp;"Audit Date: "&amp;TEXT($B215,"yyyy-mm-dd")&amp;CHAR(10)&amp;"Team Leader: "&amp;$F215&amp;CHAR(10)&amp;"Case Number: "&amp;$M215&amp;CHAR(10)&amp;"Transaction ID: "&amp;$N215&amp;CHAR(10)&amp;"Channel / LOB: "&amp;$K215&amp;" / "&amp;$L215&amp;CHAR(10)&amp;"Evaluator: "&amp;$S215&amp;CHAR(10)&amp;CHAR(10)&amp;"INVALID QUALITY AUDIT DETAILS"&amp;CHAR(10)&amp;"Validation: Invalid"&amp;CHAR(10)&amp;"Invalid Reason: "&amp;$P215&amp;CHAR(10)&amp;"Expected Resolution Code: "&amp;$Q215&amp;CHAR(10)&amp;"Remarks: "&amp;LEFT($R215,600)&amp;CHAR(10)&amp;CHAR(10)&amp;"This is an automated notification from HP Mainstream EQMS."),"✉ Open Email Draft"),"")</f>
        <v/>
      </c>
    </row>
    <row r="216">
      <c r="A216" s="25">
        <f>IF($C216="","","AUD-2026-"&amp;TEXT(ROW()-1,"000000"))</f>
        <v/>
      </c>
      <c r="B216" s="26" t="n"/>
      <c r="C216" s="27" t="n"/>
      <c r="D216" s="25">
        <f>IF($C216="","",IFERROR(IF(INDEX(Roster!$A:$A,MATCH($C216,Roster!$B:$B,0))="","",INDEX(Roster!$A:$A,MATCH($C216,Roster!$B:$B,0))&amp;""),"—"))</f>
        <v/>
      </c>
      <c r="E216" s="25">
        <f>IF($C216="","",IFERROR(IF(INDEX(Roster!$C:$C,MATCH($C216,Roster!$B:$B,0))="","",INDEX(Roster!$C:$C,MATCH($C216,Roster!$B:$B,0))&amp;""),"—"))</f>
        <v/>
      </c>
      <c r="F216" s="25">
        <f>IF($C216="","",IFERROR(IF(INDEX(Roster!$D:$D,MATCH($C216,Roster!$B:$B,0))="","",INDEX(Roster!$D:$D,MATCH($C216,Roster!$B:$B,0))&amp;""),"—"))</f>
        <v/>
      </c>
      <c r="G216" s="25">
        <f>IF($C216="","",IFERROR(IF(INDEX(Roster!$E:$E,MATCH($C216,Roster!$B:$B,0))="","",INDEX(Roster!$E:$E,MATCH($C216,Roster!$B:$B,0))&amp;""),"—"))</f>
        <v/>
      </c>
      <c r="H216" s="25">
        <f>IF($C216="","",IFERROR(IF(INDEX(Roster!$F:$F,MATCH($C216,Roster!$B:$B,0))="","",INDEX(Roster!$F:$F,MATCH($C216,Roster!$B:$B,0))&amp;""),"—"))</f>
        <v/>
      </c>
      <c r="I216" s="25">
        <f>IF($C216="","",IFERROR(IF(INDEX(Roster!$G:$G,MATCH($C216,Roster!$B:$B,0))="","",INDEX(Roster!$G:$G,MATCH($C216,Roster!$B:$B,0))&amp;""),"—"))</f>
        <v/>
      </c>
      <c r="J216" s="25">
        <f>IF($C216="","",IFERROR(IF(INDEX(Roster!$I:$I,MATCH($C216,Roster!$B:$B,0))="","",INDEX(Roster!$I:$I,MATCH($C216,Roster!$B:$B,0))&amp;""),"—"))</f>
        <v/>
      </c>
      <c r="K216">
        <f>IF($C216="","",IFERROR(IF(INDEX(Roster!$J:$J,MATCH($C216,Roster!$B:$B,0))="","",INDEX(Roster!$J:$J,MATCH($C216,Roster!$B:$B,0))&amp;""),"—"))</f>
        <v/>
      </c>
      <c r="L216">
        <f>IF($C216="","",IFERROR(IF(INDEX(Roster!$K:$K,MATCH($C216,Roster!$B:$B,0))="","",INDEX(Roster!$K:$K,MATCH($C216,Roster!$B:$B,0))&amp;""),"—"))</f>
        <v/>
      </c>
      <c r="M216" s="27" t="n"/>
      <c r="N216" s="27" t="n"/>
      <c r="O216" s="25">
        <f>IF($C216="","",IF($P216="","—",IF($P216="Valid (Pass)","Valid","Invalid")))</f>
        <v/>
      </c>
      <c r="P216" s="27" t="n"/>
      <c r="Q216" s="27" t="n"/>
      <c r="R216" s="27" t="n"/>
      <c r="S216" s="27" t="n"/>
      <c r="T216" s="25">
        <f>IF($C216="","",IF(OR(ISNUMBER(SEARCH("quick case",$P216)),ISNUMBER(SEARCH("quick case",$Q216))),"Yes","No"))</f>
        <v/>
      </c>
      <c r="U216" s="25">
        <f>IF($O216="Invalid",HYPERLINK("mailto:"&amp;$G216&amp;";"&amp;$I216&amp;"?cc="&amp;Lists!$E$2&amp;"&amp;subject="&amp;_xlfn.ENCODEURL("[INVALID] Quality audit monitoring completed for "&amp;UPPER($C216))&amp;"&amp;body="&amp;_xlfn.ENCODEURL("Hi "&amp;$F216&amp;","&amp;CHAR(10)&amp;"Good day!"&amp;CHAR(10)&amp;CHAR(10)&amp;"A quality monitoring audit has been completed for "&amp;$C216&amp;"."&amp;CHAR(10)&amp;CHAR(10)&amp;"QUALITY AUDIT DETAILS"&amp;CHAR(10)&amp;"Agent Name: "&amp;$C216&amp;" (EID "&amp;$D216&amp;")"&amp;CHAR(10)&amp;"Audit Date: "&amp;TEXT($B216,"yyyy-mm-dd")&amp;CHAR(10)&amp;"Team Leader: "&amp;$F216&amp;CHAR(10)&amp;"Case Number: "&amp;$M216&amp;CHAR(10)&amp;"Transaction ID: "&amp;$N216&amp;CHAR(10)&amp;"Channel / LOB: "&amp;$K216&amp;" / "&amp;$L216&amp;CHAR(10)&amp;"Evaluator: "&amp;$S216&amp;CHAR(10)&amp;CHAR(10)&amp;"INVALID QUALITY AUDIT DETAILS"&amp;CHAR(10)&amp;"Validation: Invalid"&amp;CHAR(10)&amp;"Invalid Reason: "&amp;$P216&amp;CHAR(10)&amp;"Expected Resolution Code: "&amp;$Q216&amp;CHAR(10)&amp;"Remarks: "&amp;LEFT($R216,600)&amp;CHAR(10)&amp;CHAR(10)&amp;"This is an automated notification from HP Mainstream EQMS."),"✉ Open Email Draft"),"")</f>
        <v/>
      </c>
    </row>
    <row r="217">
      <c r="A217" s="25">
        <f>IF($C217="","","AUD-2026-"&amp;TEXT(ROW()-1,"000000"))</f>
        <v/>
      </c>
      <c r="B217" s="26" t="n"/>
      <c r="C217" s="27" t="n"/>
      <c r="D217" s="25">
        <f>IF($C217="","",IFERROR(IF(INDEX(Roster!$A:$A,MATCH($C217,Roster!$B:$B,0))="","",INDEX(Roster!$A:$A,MATCH($C217,Roster!$B:$B,0))&amp;""),"—"))</f>
        <v/>
      </c>
      <c r="E217" s="25">
        <f>IF($C217="","",IFERROR(IF(INDEX(Roster!$C:$C,MATCH($C217,Roster!$B:$B,0))="","",INDEX(Roster!$C:$C,MATCH($C217,Roster!$B:$B,0))&amp;""),"—"))</f>
        <v/>
      </c>
      <c r="F217" s="25">
        <f>IF($C217="","",IFERROR(IF(INDEX(Roster!$D:$D,MATCH($C217,Roster!$B:$B,0))="","",INDEX(Roster!$D:$D,MATCH($C217,Roster!$B:$B,0))&amp;""),"—"))</f>
        <v/>
      </c>
      <c r="G217" s="25">
        <f>IF($C217="","",IFERROR(IF(INDEX(Roster!$E:$E,MATCH($C217,Roster!$B:$B,0))="","",INDEX(Roster!$E:$E,MATCH($C217,Roster!$B:$B,0))&amp;""),"—"))</f>
        <v/>
      </c>
      <c r="H217" s="25">
        <f>IF($C217="","",IFERROR(IF(INDEX(Roster!$F:$F,MATCH($C217,Roster!$B:$B,0))="","",INDEX(Roster!$F:$F,MATCH($C217,Roster!$B:$B,0))&amp;""),"—"))</f>
        <v/>
      </c>
      <c r="I217" s="25">
        <f>IF($C217="","",IFERROR(IF(INDEX(Roster!$G:$G,MATCH($C217,Roster!$B:$B,0))="","",INDEX(Roster!$G:$G,MATCH($C217,Roster!$B:$B,0))&amp;""),"—"))</f>
        <v/>
      </c>
      <c r="J217" s="25">
        <f>IF($C217="","",IFERROR(IF(INDEX(Roster!$I:$I,MATCH($C217,Roster!$B:$B,0))="","",INDEX(Roster!$I:$I,MATCH($C217,Roster!$B:$B,0))&amp;""),"—"))</f>
        <v/>
      </c>
      <c r="K217">
        <f>IF($C217="","",IFERROR(IF(INDEX(Roster!$J:$J,MATCH($C217,Roster!$B:$B,0))="","",INDEX(Roster!$J:$J,MATCH($C217,Roster!$B:$B,0))&amp;""),"—"))</f>
        <v/>
      </c>
      <c r="L217">
        <f>IF($C217="","",IFERROR(IF(INDEX(Roster!$K:$K,MATCH($C217,Roster!$B:$B,0))="","",INDEX(Roster!$K:$K,MATCH($C217,Roster!$B:$B,0))&amp;""),"—"))</f>
        <v/>
      </c>
      <c r="M217" s="27" t="n"/>
      <c r="N217" s="27" t="n"/>
      <c r="O217" s="25">
        <f>IF($C217="","",IF($P217="","—",IF($P217="Valid (Pass)","Valid","Invalid")))</f>
        <v/>
      </c>
      <c r="P217" s="27" t="n"/>
      <c r="Q217" s="27" t="n"/>
      <c r="R217" s="27" t="n"/>
      <c r="S217" s="27" t="n"/>
      <c r="T217" s="25">
        <f>IF($C217="","",IF(OR(ISNUMBER(SEARCH("quick case",$P217)),ISNUMBER(SEARCH("quick case",$Q217))),"Yes","No"))</f>
        <v/>
      </c>
      <c r="U217" s="25">
        <f>IF($O217="Invalid",HYPERLINK("mailto:"&amp;$G217&amp;";"&amp;$I217&amp;"?cc="&amp;Lists!$E$2&amp;"&amp;subject="&amp;_xlfn.ENCODEURL("[INVALID] Quality audit monitoring completed for "&amp;UPPER($C217))&amp;"&amp;body="&amp;_xlfn.ENCODEURL("Hi "&amp;$F217&amp;","&amp;CHAR(10)&amp;"Good day!"&amp;CHAR(10)&amp;CHAR(10)&amp;"A quality monitoring audit has been completed for "&amp;$C217&amp;"."&amp;CHAR(10)&amp;CHAR(10)&amp;"QUALITY AUDIT DETAILS"&amp;CHAR(10)&amp;"Agent Name: "&amp;$C217&amp;" (EID "&amp;$D217&amp;")"&amp;CHAR(10)&amp;"Audit Date: "&amp;TEXT($B217,"yyyy-mm-dd")&amp;CHAR(10)&amp;"Team Leader: "&amp;$F217&amp;CHAR(10)&amp;"Case Number: "&amp;$M217&amp;CHAR(10)&amp;"Transaction ID: "&amp;$N217&amp;CHAR(10)&amp;"Channel / LOB: "&amp;$K217&amp;" / "&amp;$L217&amp;CHAR(10)&amp;"Evaluator: "&amp;$S217&amp;CHAR(10)&amp;CHAR(10)&amp;"INVALID QUALITY AUDIT DETAILS"&amp;CHAR(10)&amp;"Validation: Invalid"&amp;CHAR(10)&amp;"Invalid Reason: "&amp;$P217&amp;CHAR(10)&amp;"Expected Resolution Code: "&amp;$Q217&amp;CHAR(10)&amp;"Remarks: "&amp;LEFT($R217,600)&amp;CHAR(10)&amp;CHAR(10)&amp;"This is an automated notification from HP Mainstream EQMS."),"✉ Open Email Draft"),"")</f>
        <v/>
      </c>
    </row>
    <row r="218">
      <c r="A218" s="25">
        <f>IF($C218="","","AUD-2026-"&amp;TEXT(ROW()-1,"000000"))</f>
        <v/>
      </c>
      <c r="B218" s="26" t="n"/>
      <c r="C218" s="27" t="n"/>
      <c r="D218" s="25">
        <f>IF($C218="","",IFERROR(IF(INDEX(Roster!$A:$A,MATCH($C218,Roster!$B:$B,0))="","",INDEX(Roster!$A:$A,MATCH($C218,Roster!$B:$B,0))&amp;""),"—"))</f>
        <v/>
      </c>
      <c r="E218" s="25">
        <f>IF($C218="","",IFERROR(IF(INDEX(Roster!$C:$C,MATCH($C218,Roster!$B:$B,0))="","",INDEX(Roster!$C:$C,MATCH($C218,Roster!$B:$B,0))&amp;""),"—"))</f>
        <v/>
      </c>
      <c r="F218" s="25">
        <f>IF($C218="","",IFERROR(IF(INDEX(Roster!$D:$D,MATCH($C218,Roster!$B:$B,0))="","",INDEX(Roster!$D:$D,MATCH($C218,Roster!$B:$B,0))&amp;""),"—"))</f>
        <v/>
      </c>
      <c r="G218" s="25">
        <f>IF($C218="","",IFERROR(IF(INDEX(Roster!$E:$E,MATCH($C218,Roster!$B:$B,0))="","",INDEX(Roster!$E:$E,MATCH($C218,Roster!$B:$B,0))&amp;""),"—"))</f>
        <v/>
      </c>
      <c r="H218" s="25">
        <f>IF($C218="","",IFERROR(IF(INDEX(Roster!$F:$F,MATCH($C218,Roster!$B:$B,0))="","",INDEX(Roster!$F:$F,MATCH($C218,Roster!$B:$B,0))&amp;""),"—"))</f>
        <v/>
      </c>
      <c r="I218" s="25">
        <f>IF($C218="","",IFERROR(IF(INDEX(Roster!$G:$G,MATCH($C218,Roster!$B:$B,0))="","",INDEX(Roster!$G:$G,MATCH($C218,Roster!$B:$B,0))&amp;""),"—"))</f>
        <v/>
      </c>
      <c r="J218" s="25">
        <f>IF($C218="","",IFERROR(IF(INDEX(Roster!$I:$I,MATCH($C218,Roster!$B:$B,0))="","",INDEX(Roster!$I:$I,MATCH($C218,Roster!$B:$B,0))&amp;""),"—"))</f>
        <v/>
      </c>
      <c r="K218">
        <f>IF($C218="","",IFERROR(IF(INDEX(Roster!$J:$J,MATCH($C218,Roster!$B:$B,0))="","",INDEX(Roster!$J:$J,MATCH($C218,Roster!$B:$B,0))&amp;""),"—"))</f>
        <v/>
      </c>
      <c r="L218">
        <f>IF($C218="","",IFERROR(IF(INDEX(Roster!$K:$K,MATCH($C218,Roster!$B:$B,0))="","",INDEX(Roster!$K:$K,MATCH($C218,Roster!$B:$B,0))&amp;""),"—"))</f>
        <v/>
      </c>
      <c r="M218" s="27" t="n"/>
      <c r="N218" s="27" t="n"/>
      <c r="O218" s="25">
        <f>IF($C218="","",IF($P218="","—",IF($P218="Valid (Pass)","Valid","Invalid")))</f>
        <v/>
      </c>
      <c r="P218" s="27" t="n"/>
      <c r="Q218" s="27" t="n"/>
      <c r="R218" s="27" t="n"/>
      <c r="S218" s="27" t="n"/>
      <c r="T218" s="25">
        <f>IF($C218="","",IF(OR(ISNUMBER(SEARCH("quick case",$P218)),ISNUMBER(SEARCH("quick case",$Q218))),"Yes","No"))</f>
        <v/>
      </c>
      <c r="U218" s="25">
        <f>IF($O218="Invalid",HYPERLINK("mailto:"&amp;$G218&amp;";"&amp;$I218&amp;"?cc="&amp;Lists!$E$2&amp;"&amp;subject="&amp;_xlfn.ENCODEURL("[INVALID] Quality audit monitoring completed for "&amp;UPPER($C218))&amp;"&amp;body="&amp;_xlfn.ENCODEURL("Hi "&amp;$F218&amp;","&amp;CHAR(10)&amp;"Good day!"&amp;CHAR(10)&amp;CHAR(10)&amp;"A quality monitoring audit has been completed for "&amp;$C218&amp;"."&amp;CHAR(10)&amp;CHAR(10)&amp;"QUALITY AUDIT DETAILS"&amp;CHAR(10)&amp;"Agent Name: "&amp;$C218&amp;" (EID "&amp;$D218&amp;")"&amp;CHAR(10)&amp;"Audit Date: "&amp;TEXT($B218,"yyyy-mm-dd")&amp;CHAR(10)&amp;"Team Leader: "&amp;$F218&amp;CHAR(10)&amp;"Case Number: "&amp;$M218&amp;CHAR(10)&amp;"Transaction ID: "&amp;$N218&amp;CHAR(10)&amp;"Channel / LOB: "&amp;$K218&amp;" / "&amp;$L218&amp;CHAR(10)&amp;"Evaluator: "&amp;$S218&amp;CHAR(10)&amp;CHAR(10)&amp;"INVALID QUALITY AUDIT DETAILS"&amp;CHAR(10)&amp;"Validation: Invalid"&amp;CHAR(10)&amp;"Invalid Reason: "&amp;$P218&amp;CHAR(10)&amp;"Expected Resolution Code: "&amp;$Q218&amp;CHAR(10)&amp;"Remarks: "&amp;LEFT($R218,600)&amp;CHAR(10)&amp;CHAR(10)&amp;"This is an automated notification from HP Mainstream EQMS."),"✉ Open Email Draft"),"")</f>
        <v/>
      </c>
    </row>
    <row r="219">
      <c r="A219" s="25">
        <f>IF($C219="","","AUD-2026-"&amp;TEXT(ROW()-1,"000000"))</f>
        <v/>
      </c>
      <c r="B219" s="26" t="n"/>
      <c r="C219" s="27" t="n"/>
      <c r="D219" s="25">
        <f>IF($C219="","",IFERROR(IF(INDEX(Roster!$A:$A,MATCH($C219,Roster!$B:$B,0))="","",INDEX(Roster!$A:$A,MATCH($C219,Roster!$B:$B,0))&amp;""),"—"))</f>
        <v/>
      </c>
      <c r="E219" s="25">
        <f>IF($C219="","",IFERROR(IF(INDEX(Roster!$C:$C,MATCH($C219,Roster!$B:$B,0))="","",INDEX(Roster!$C:$C,MATCH($C219,Roster!$B:$B,0))&amp;""),"—"))</f>
        <v/>
      </c>
      <c r="F219" s="25">
        <f>IF($C219="","",IFERROR(IF(INDEX(Roster!$D:$D,MATCH($C219,Roster!$B:$B,0))="","",INDEX(Roster!$D:$D,MATCH($C219,Roster!$B:$B,0))&amp;""),"—"))</f>
        <v/>
      </c>
      <c r="G219" s="25">
        <f>IF($C219="","",IFERROR(IF(INDEX(Roster!$E:$E,MATCH($C219,Roster!$B:$B,0))="","",INDEX(Roster!$E:$E,MATCH($C219,Roster!$B:$B,0))&amp;""),"—"))</f>
        <v/>
      </c>
      <c r="H219" s="25">
        <f>IF($C219="","",IFERROR(IF(INDEX(Roster!$F:$F,MATCH($C219,Roster!$B:$B,0))="","",INDEX(Roster!$F:$F,MATCH($C219,Roster!$B:$B,0))&amp;""),"—"))</f>
        <v/>
      </c>
      <c r="I219" s="25">
        <f>IF($C219="","",IFERROR(IF(INDEX(Roster!$G:$G,MATCH($C219,Roster!$B:$B,0))="","",INDEX(Roster!$G:$G,MATCH($C219,Roster!$B:$B,0))&amp;""),"—"))</f>
        <v/>
      </c>
      <c r="J219" s="25">
        <f>IF($C219="","",IFERROR(IF(INDEX(Roster!$I:$I,MATCH($C219,Roster!$B:$B,0))="","",INDEX(Roster!$I:$I,MATCH($C219,Roster!$B:$B,0))&amp;""),"—"))</f>
        <v/>
      </c>
      <c r="K219">
        <f>IF($C219="","",IFERROR(IF(INDEX(Roster!$J:$J,MATCH($C219,Roster!$B:$B,0))="","",INDEX(Roster!$J:$J,MATCH($C219,Roster!$B:$B,0))&amp;""),"—"))</f>
        <v/>
      </c>
      <c r="L219">
        <f>IF($C219="","",IFERROR(IF(INDEX(Roster!$K:$K,MATCH($C219,Roster!$B:$B,0))="","",INDEX(Roster!$K:$K,MATCH($C219,Roster!$B:$B,0))&amp;""),"—"))</f>
        <v/>
      </c>
      <c r="M219" s="27" t="n"/>
      <c r="N219" s="27" t="n"/>
      <c r="O219" s="25">
        <f>IF($C219="","",IF($P219="","—",IF($P219="Valid (Pass)","Valid","Invalid")))</f>
        <v/>
      </c>
      <c r="P219" s="27" t="n"/>
      <c r="Q219" s="27" t="n"/>
      <c r="R219" s="27" t="n"/>
      <c r="S219" s="27" t="n"/>
      <c r="T219" s="25">
        <f>IF($C219="","",IF(OR(ISNUMBER(SEARCH("quick case",$P219)),ISNUMBER(SEARCH("quick case",$Q219))),"Yes","No"))</f>
        <v/>
      </c>
      <c r="U219" s="25">
        <f>IF($O219="Invalid",HYPERLINK("mailto:"&amp;$G219&amp;";"&amp;$I219&amp;"?cc="&amp;Lists!$E$2&amp;"&amp;subject="&amp;_xlfn.ENCODEURL("[INVALID] Quality audit monitoring completed for "&amp;UPPER($C219))&amp;"&amp;body="&amp;_xlfn.ENCODEURL("Hi "&amp;$F219&amp;","&amp;CHAR(10)&amp;"Good day!"&amp;CHAR(10)&amp;CHAR(10)&amp;"A quality monitoring audit has been completed for "&amp;$C219&amp;"."&amp;CHAR(10)&amp;CHAR(10)&amp;"QUALITY AUDIT DETAILS"&amp;CHAR(10)&amp;"Agent Name: "&amp;$C219&amp;" (EID "&amp;$D219&amp;")"&amp;CHAR(10)&amp;"Audit Date: "&amp;TEXT($B219,"yyyy-mm-dd")&amp;CHAR(10)&amp;"Team Leader: "&amp;$F219&amp;CHAR(10)&amp;"Case Number: "&amp;$M219&amp;CHAR(10)&amp;"Transaction ID: "&amp;$N219&amp;CHAR(10)&amp;"Channel / LOB: "&amp;$K219&amp;" / "&amp;$L219&amp;CHAR(10)&amp;"Evaluator: "&amp;$S219&amp;CHAR(10)&amp;CHAR(10)&amp;"INVALID QUALITY AUDIT DETAILS"&amp;CHAR(10)&amp;"Validation: Invalid"&amp;CHAR(10)&amp;"Invalid Reason: "&amp;$P219&amp;CHAR(10)&amp;"Expected Resolution Code: "&amp;$Q219&amp;CHAR(10)&amp;"Remarks: "&amp;LEFT($R219,600)&amp;CHAR(10)&amp;CHAR(10)&amp;"This is an automated notification from HP Mainstream EQMS."),"✉ Open Email Draft"),"")</f>
        <v/>
      </c>
    </row>
    <row r="220">
      <c r="A220" s="25">
        <f>IF($C220="","","AUD-2026-"&amp;TEXT(ROW()-1,"000000"))</f>
        <v/>
      </c>
      <c r="B220" s="26" t="n"/>
      <c r="C220" s="27" t="n"/>
      <c r="D220" s="25">
        <f>IF($C220="","",IFERROR(IF(INDEX(Roster!$A:$A,MATCH($C220,Roster!$B:$B,0))="","",INDEX(Roster!$A:$A,MATCH($C220,Roster!$B:$B,0))&amp;""),"—"))</f>
        <v/>
      </c>
      <c r="E220" s="25">
        <f>IF($C220="","",IFERROR(IF(INDEX(Roster!$C:$C,MATCH($C220,Roster!$B:$B,0))="","",INDEX(Roster!$C:$C,MATCH($C220,Roster!$B:$B,0))&amp;""),"—"))</f>
        <v/>
      </c>
      <c r="F220" s="25">
        <f>IF($C220="","",IFERROR(IF(INDEX(Roster!$D:$D,MATCH($C220,Roster!$B:$B,0))="","",INDEX(Roster!$D:$D,MATCH($C220,Roster!$B:$B,0))&amp;""),"—"))</f>
        <v/>
      </c>
      <c r="G220" s="25">
        <f>IF($C220="","",IFERROR(IF(INDEX(Roster!$E:$E,MATCH($C220,Roster!$B:$B,0))="","",INDEX(Roster!$E:$E,MATCH($C220,Roster!$B:$B,0))&amp;""),"—"))</f>
        <v/>
      </c>
      <c r="H220" s="25">
        <f>IF($C220="","",IFERROR(IF(INDEX(Roster!$F:$F,MATCH($C220,Roster!$B:$B,0))="","",INDEX(Roster!$F:$F,MATCH($C220,Roster!$B:$B,0))&amp;""),"—"))</f>
        <v/>
      </c>
      <c r="I220" s="25">
        <f>IF($C220="","",IFERROR(IF(INDEX(Roster!$G:$G,MATCH($C220,Roster!$B:$B,0))="","",INDEX(Roster!$G:$G,MATCH($C220,Roster!$B:$B,0))&amp;""),"—"))</f>
        <v/>
      </c>
      <c r="J220" s="25">
        <f>IF($C220="","",IFERROR(IF(INDEX(Roster!$I:$I,MATCH($C220,Roster!$B:$B,0))="","",INDEX(Roster!$I:$I,MATCH($C220,Roster!$B:$B,0))&amp;""),"—"))</f>
        <v/>
      </c>
      <c r="K220">
        <f>IF($C220="","",IFERROR(IF(INDEX(Roster!$J:$J,MATCH($C220,Roster!$B:$B,0))="","",INDEX(Roster!$J:$J,MATCH($C220,Roster!$B:$B,0))&amp;""),"—"))</f>
        <v/>
      </c>
      <c r="L220">
        <f>IF($C220="","",IFERROR(IF(INDEX(Roster!$K:$K,MATCH($C220,Roster!$B:$B,0))="","",INDEX(Roster!$K:$K,MATCH($C220,Roster!$B:$B,0))&amp;""),"—"))</f>
        <v/>
      </c>
      <c r="M220" s="27" t="n"/>
      <c r="N220" s="27" t="n"/>
      <c r="O220" s="25">
        <f>IF($C220="","",IF($P220="","—",IF($P220="Valid (Pass)","Valid","Invalid")))</f>
        <v/>
      </c>
      <c r="P220" s="27" t="n"/>
      <c r="Q220" s="27" t="n"/>
      <c r="R220" s="27" t="n"/>
      <c r="S220" s="27" t="n"/>
      <c r="T220" s="25">
        <f>IF($C220="","",IF(OR(ISNUMBER(SEARCH("quick case",$P220)),ISNUMBER(SEARCH("quick case",$Q220))),"Yes","No"))</f>
        <v/>
      </c>
      <c r="U220" s="25">
        <f>IF($O220="Invalid",HYPERLINK("mailto:"&amp;$G220&amp;";"&amp;$I220&amp;"?cc="&amp;Lists!$E$2&amp;"&amp;subject="&amp;_xlfn.ENCODEURL("[INVALID] Quality audit monitoring completed for "&amp;UPPER($C220))&amp;"&amp;body="&amp;_xlfn.ENCODEURL("Hi "&amp;$F220&amp;","&amp;CHAR(10)&amp;"Good day!"&amp;CHAR(10)&amp;CHAR(10)&amp;"A quality monitoring audit has been completed for "&amp;$C220&amp;"."&amp;CHAR(10)&amp;CHAR(10)&amp;"QUALITY AUDIT DETAILS"&amp;CHAR(10)&amp;"Agent Name: "&amp;$C220&amp;" (EID "&amp;$D220&amp;")"&amp;CHAR(10)&amp;"Audit Date: "&amp;TEXT($B220,"yyyy-mm-dd")&amp;CHAR(10)&amp;"Team Leader: "&amp;$F220&amp;CHAR(10)&amp;"Case Number: "&amp;$M220&amp;CHAR(10)&amp;"Transaction ID: "&amp;$N220&amp;CHAR(10)&amp;"Channel / LOB: "&amp;$K220&amp;" / "&amp;$L220&amp;CHAR(10)&amp;"Evaluator: "&amp;$S220&amp;CHAR(10)&amp;CHAR(10)&amp;"INVALID QUALITY AUDIT DETAILS"&amp;CHAR(10)&amp;"Validation: Invalid"&amp;CHAR(10)&amp;"Invalid Reason: "&amp;$P220&amp;CHAR(10)&amp;"Expected Resolution Code: "&amp;$Q220&amp;CHAR(10)&amp;"Remarks: "&amp;LEFT($R220,600)&amp;CHAR(10)&amp;CHAR(10)&amp;"This is an automated notification from HP Mainstream EQMS."),"✉ Open Email Draft"),"")</f>
        <v/>
      </c>
    </row>
    <row r="221">
      <c r="A221" s="25">
        <f>IF($C221="","","AUD-2026-"&amp;TEXT(ROW()-1,"000000"))</f>
        <v/>
      </c>
      <c r="B221" s="26" t="n"/>
      <c r="C221" s="27" t="n"/>
      <c r="D221" s="25">
        <f>IF($C221="","",IFERROR(IF(INDEX(Roster!$A:$A,MATCH($C221,Roster!$B:$B,0))="","",INDEX(Roster!$A:$A,MATCH($C221,Roster!$B:$B,0))&amp;""),"—"))</f>
        <v/>
      </c>
      <c r="E221" s="25">
        <f>IF($C221="","",IFERROR(IF(INDEX(Roster!$C:$C,MATCH($C221,Roster!$B:$B,0))="","",INDEX(Roster!$C:$C,MATCH($C221,Roster!$B:$B,0))&amp;""),"—"))</f>
        <v/>
      </c>
      <c r="F221" s="25">
        <f>IF($C221="","",IFERROR(IF(INDEX(Roster!$D:$D,MATCH($C221,Roster!$B:$B,0))="","",INDEX(Roster!$D:$D,MATCH($C221,Roster!$B:$B,0))&amp;""),"—"))</f>
        <v/>
      </c>
      <c r="G221" s="25">
        <f>IF($C221="","",IFERROR(IF(INDEX(Roster!$E:$E,MATCH($C221,Roster!$B:$B,0))="","",INDEX(Roster!$E:$E,MATCH($C221,Roster!$B:$B,0))&amp;""),"—"))</f>
        <v/>
      </c>
      <c r="H221" s="25">
        <f>IF($C221="","",IFERROR(IF(INDEX(Roster!$F:$F,MATCH($C221,Roster!$B:$B,0))="","",INDEX(Roster!$F:$F,MATCH($C221,Roster!$B:$B,0))&amp;""),"—"))</f>
        <v/>
      </c>
      <c r="I221" s="25">
        <f>IF($C221="","",IFERROR(IF(INDEX(Roster!$G:$G,MATCH($C221,Roster!$B:$B,0))="","",INDEX(Roster!$G:$G,MATCH($C221,Roster!$B:$B,0))&amp;""),"—"))</f>
        <v/>
      </c>
      <c r="J221" s="25">
        <f>IF($C221="","",IFERROR(IF(INDEX(Roster!$I:$I,MATCH($C221,Roster!$B:$B,0))="","",INDEX(Roster!$I:$I,MATCH($C221,Roster!$B:$B,0))&amp;""),"—"))</f>
        <v/>
      </c>
      <c r="K221">
        <f>IF($C221="","",IFERROR(IF(INDEX(Roster!$J:$J,MATCH($C221,Roster!$B:$B,0))="","",INDEX(Roster!$J:$J,MATCH($C221,Roster!$B:$B,0))&amp;""),"—"))</f>
        <v/>
      </c>
      <c r="L221">
        <f>IF($C221="","",IFERROR(IF(INDEX(Roster!$K:$K,MATCH($C221,Roster!$B:$B,0))="","",INDEX(Roster!$K:$K,MATCH($C221,Roster!$B:$B,0))&amp;""),"—"))</f>
        <v/>
      </c>
      <c r="M221" s="27" t="n"/>
      <c r="N221" s="27" t="n"/>
      <c r="O221" s="25">
        <f>IF($C221="","",IF($P221="","—",IF($P221="Valid (Pass)","Valid","Invalid")))</f>
        <v/>
      </c>
      <c r="P221" s="27" t="n"/>
      <c r="Q221" s="27" t="n"/>
      <c r="R221" s="27" t="n"/>
      <c r="S221" s="27" t="n"/>
      <c r="T221" s="25">
        <f>IF($C221="","",IF(OR(ISNUMBER(SEARCH("quick case",$P221)),ISNUMBER(SEARCH("quick case",$Q221))),"Yes","No"))</f>
        <v/>
      </c>
      <c r="U221" s="25">
        <f>IF($O221="Invalid",HYPERLINK("mailto:"&amp;$G221&amp;";"&amp;$I221&amp;"?cc="&amp;Lists!$E$2&amp;"&amp;subject="&amp;_xlfn.ENCODEURL("[INVALID] Quality audit monitoring completed for "&amp;UPPER($C221))&amp;"&amp;body="&amp;_xlfn.ENCODEURL("Hi "&amp;$F221&amp;","&amp;CHAR(10)&amp;"Good day!"&amp;CHAR(10)&amp;CHAR(10)&amp;"A quality monitoring audit has been completed for "&amp;$C221&amp;"."&amp;CHAR(10)&amp;CHAR(10)&amp;"QUALITY AUDIT DETAILS"&amp;CHAR(10)&amp;"Agent Name: "&amp;$C221&amp;" (EID "&amp;$D221&amp;")"&amp;CHAR(10)&amp;"Audit Date: "&amp;TEXT($B221,"yyyy-mm-dd")&amp;CHAR(10)&amp;"Team Leader: "&amp;$F221&amp;CHAR(10)&amp;"Case Number: "&amp;$M221&amp;CHAR(10)&amp;"Transaction ID: "&amp;$N221&amp;CHAR(10)&amp;"Channel / LOB: "&amp;$K221&amp;" / "&amp;$L221&amp;CHAR(10)&amp;"Evaluator: "&amp;$S221&amp;CHAR(10)&amp;CHAR(10)&amp;"INVALID QUALITY AUDIT DETAILS"&amp;CHAR(10)&amp;"Validation: Invalid"&amp;CHAR(10)&amp;"Invalid Reason: "&amp;$P221&amp;CHAR(10)&amp;"Expected Resolution Code: "&amp;$Q221&amp;CHAR(10)&amp;"Remarks: "&amp;LEFT($R221,600)&amp;CHAR(10)&amp;CHAR(10)&amp;"This is an automated notification from HP Mainstream EQMS."),"✉ Open Email Draft"),"")</f>
        <v/>
      </c>
    </row>
    <row r="222">
      <c r="A222" s="25">
        <f>IF($C222="","","AUD-2026-"&amp;TEXT(ROW()-1,"000000"))</f>
        <v/>
      </c>
      <c r="B222" s="26" t="n"/>
      <c r="C222" s="27" t="n"/>
      <c r="D222" s="25">
        <f>IF($C222="","",IFERROR(IF(INDEX(Roster!$A:$A,MATCH($C222,Roster!$B:$B,0))="","",INDEX(Roster!$A:$A,MATCH($C222,Roster!$B:$B,0))&amp;""),"—"))</f>
        <v/>
      </c>
      <c r="E222" s="25">
        <f>IF($C222="","",IFERROR(IF(INDEX(Roster!$C:$C,MATCH($C222,Roster!$B:$B,0))="","",INDEX(Roster!$C:$C,MATCH($C222,Roster!$B:$B,0))&amp;""),"—"))</f>
        <v/>
      </c>
      <c r="F222" s="25">
        <f>IF($C222="","",IFERROR(IF(INDEX(Roster!$D:$D,MATCH($C222,Roster!$B:$B,0))="","",INDEX(Roster!$D:$D,MATCH($C222,Roster!$B:$B,0))&amp;""),"—"))</f>
        <v/>
      </c>
      <c r="G222" s="25">
        <f>IF($C222="","",IFERROR(IF(INDEX(Roster!$E:$E,MATCH($C222,Roster!$B:$B,0))="","",INDEX(Roster!$E:$E,MATCH($C222,Roster!$B:$B,0))&amp;""),"—"))</f>
        <v/>
      </c>
      <c r="H222" s="25">
        <f>IF($C222="","",IFERROR(IF(INDEX(Roster!$F:$F,MATCH($C222,Roster!$B:$B,0))="","",INDEX(Roster!$F:$F,MATCH($C222,Roster!$B:$B,0))&amp;""),"—"))</f>
        <v/>
      </c>
      <c r="I222" s="25">
        <f>IF($C222="","",IFERROR(IF(INDEX(Roster!$G:$G,MATCH($C222,Roster!$B:$B,0))="","",INDEX(Roster!$G:$G,MATCH($C222,Roster!$B:$B,0))&amp;""),"—"))</f>
        <v/>
      </c>
      <c r="J222" s="25">
        <f>IF($C222="","",IFERROR(IF(INDEX(Roster!$I:$I,MATCH($C222,Roster!$B:$B,0))="","",INDEX(Roster!$I:$I,MATCH($C222,Roster!$B:$B,0))&amp;""),"—"))</f>
        <v/>
      </c>
      <c r="K222">
        <f>IF($C222="","",IFERROR(IF(INDEX(Roster!$J:$J,MATCH($C222,Roster!$B:$B,0))="","",INDEX(Roster!$J:$J,MATCH($C222,Roster!$B:$B,0))&amp;""),"—"))</f>
        <v/>
      </c>
      <c r="L222">
        <f>IF($C222="","",IFERROR(IF(INDEX(Roster!$K:$K,MATCH($C222,Roster!$B:$B,0))="","",INDEX(Roster!$K:$K,MATCH($C222,Roster!$B:$B,0))&amp;""),"—"))</f>
        <v/>
      </c>
      <c r="M222" s="27" t="n"/>
      <c r="N222" s="27" t="n"/>
      <c r="O222" s="25">
        <f>IF($C222="","",IF($P222="","—",IF($P222="Valid (Pass)","Valid","Invalid")))</f>
        <v/>
      </c>
      <c r="P222" s="27" t="n"/>
      <c r="Q222" s="27" t="n"/>
      <c r="R222" s="27" t="n"/>
      <c r="S222" s="27" t="n"/>
      <c r="T222" s="25">
        <f>IF($C222="","",IF(OR(ISNUMBER(SEARCH("quick case",$P222)),ISNUMBER(SEARCH("quick case",$Q222))),"Yes","No"))</f>
        <v/>
      </c>
      <c r="U222" s="25">
        <f>IF($O222="Invalid",HYPERLINK("mailto:"&amp;$G222&amp;";"&amp;$I222&amp;"?cc="&amp;Lists!$E$2&amp;"&amp;subject="&amp;_xlfn.ENCODEURL("[INVALID] Quality audit monitoring completed for "&amp;UPPER($C222))&amp;"&amp;body="&amp;_xlfn.ENCODEURL("Hi "&amp;$F222&amp;","&amp;CHAR(10)&amp;"Good day!"&amp;CHAR(10)&amp;CHAR(10)&amp;"A quality monitoring audit has been completed for "&amp;$C222&amp;"."&amp;CHAR(10)&amp;CHAR(10)&amp;"QUALITY AUDIT DETAILS"&amp;CHAR(10)&amp;"Agent Name: "&amp;$C222&amp;" (EID "&amp;$D222&amp;")"&amp;CHAR(10)&amp;"Audit Date: "&amp;TEXT($B222,"yyyy-mm-dd")&amp;CHAR(10)&amp;"Team Leader: "&amp;$F222&amp;CHAR(10)&amp;"Case Number: "&amp;$M222&amp;CHAR(10)&amp;"Transaction ID: "&amp;$N222&amp;CHAR(10)&amp;"Channel / LOB: "&amp;$K222&amp;" / "&amp;$L222&amp;CHAR(10)&amp;"Evaluator: "&amp;$S222&amp;CHAR(10)&amp;CHAR(10)&amp;"INVALID QUALITY AUDIT DETAILS"&amp;CHAR(10)&amp;"Validation: Invalid"&amp;CHAR(10)&amp;"Invalid Reason: "&amp;$P222&amp;CHAR(10)&amp;"Expected Resolution Code: "&amp;$Q222&amp;CHAR(10)&amp;"Remarks: "&amp;LEFT($R222,600)&amp;CHAR(10)&amp;CHAR(10)&amp;"This is an automated notification from HP Mainstream EQMS."),"✉ Open Email Draft"),"")</f>
        <v/>
      </c>
    </row>
    <row r="223">
      <c r="A223" s="25">
        <f>IF($C223="","","AUD-2026-"&amp;TEXT(ROW()-1,"000000"))</f>
        <v/>
      </c>
      <c r="B223" s="26" t="n"/>
      <c r="C223" s="27" t="n"/>
      <c r="D223" s="25">
        <f>IF($C223="","",IFERROR(IF(INDEX(Roster!$A:$A,MATCH($C223,Roster!$B:$B,0))="","",INDEX(Roster!$A:$A,MATCH($C223,Roster!$B:$B,0))&amp;""),"—"))</f>
        <v/>
      </c>
      <c r="E223" s="25">
        <f>IF($C223="","",IFERROR(IF(INDEX(Roster!$C:$C,MATCH($C223,Roster!$B:$B,0))="","",INDEX(Roster!$C:$C,MATCH($C223,Roster!$B:$B,0))&amp;""),"—"))</f>
        <v/>
      </c>
      <c r="F223" s="25">
        <f>IF($C223="","",IFERROR(IF(INDEX(Roster!$D:$D,MATCH($C223,Roster!$B:$B,0))="","",INDEX(Roster!$D:$D,MATCH($C223,Roster!$B:$B,0))&amp;""),"—"))</f>
        <v/>
      </c>
      <c r="G223" s="25">
        <f>IF($C223="","",IFERROR(IF(INDEX(Roster!$E:$E,MATCH($C223,Roster!$B:$B,0))="","",INDEX(Roster!$E:$E,MATCH($C223,Roster!$B:$B,0))&amp;""),"—"))</f>
        <v/>
      </c>
      <c r="H223" s="25">
        <f>IF($C223="","",IFERROR(IF(INDEX(Roster!$F:$F,MATCH($C223,Roster!$B:$B,0))="","",INDEX(Roster!$F:$F,MATCH($C223,Roster!$B:$B,0))&amp;""),"—"))</f>
        <v/>
      </c>
      <c r="I223" s="25">
        <f>IF($C223="","",IFERROR(IF(INDEX(Roster!$G:$G,MATCH($C223,Roster!$B:$B,0))="","",INDEX(Roster!$G:$G,MATCH($C223,Roster!$B:$B,0))&amp;""),"—"))</f>
        <v/>
      </c>
      <c r="J223" s="25">
        <f>IF($C223="","",IFERROR(IF(INDEX(Roster!$I:$I,MATCH($C223,Roster!$B:$B,0))="","",INDEX(Roster!$I:$I,MATCH($C223,Roster!$B:$B,0))&amp;""),"—"))</f>
        <v/>
      </c>
      <c r="K223">
        <f>IF($C223="","",IFERROR(IF(INDEX(Roster!$J:$J,MATCH($C223,Roster!$B:$B,0))="","",INDEX(Roster!$J:$J,MATCH($C223,Roster!$B:$B,0))&amp;""),"—"))</f>
        <v/>
      </c>
      <c r="L223">
        <f>IF($C223="","",IFERROR(IF(INDEX(Roster!$K:$K,MATCH($C223,Roster!$B:$B,0))="","",INDEX(Roster!$K:$K,MATCH($C223,Roster!$B:$B,0))&amp;""),"—"))</f>
        <v/>
      </c>
      <c r="M223" s="27" t="n"/>
      <c r="N223" s="27" t="n"/>
      <c r="O223" s="25">
        <f>IF($C223="","",IF($P223="","—",IF($P223="Valid (Pass)","Valid","Invalid")))</f>
        <v/>
      </c>
      <c r="P223" s="27" t="n"/>
      <c r="Q223" s="27" t="n"/>
      <c r="R223" s="27" t="n"/>
      <c r="S223" s="27" t="n"/>
      <c r="T223" s="25">
        <f>IF($C223="","",IF(OR(ISNUMBER(SEARCH("quick case",$P223)),ISNUMBER(SEARCH("quick case",$Q223))),"Yes","No"))</f>
        <v/>
      </c>
      <c r="U223" s="25">
        <f>IF($O223="Invalid",HYPERLINK("mailto:"&amp;$G223&amp;";"&amp;$I223&amp;"?cc="&amp;Lists!$E$2&amp;"&amp;subject="&amp;_xlfn.ENCODEURL("[INVALID] Quality audit monitoring completed for "&amp;UPPER($C223))&amp;"&amp;body="&amp;_xlfn.ENCODEURL("Hi "&amp;$F223&amp;","&amp;CHAR(10)&amp;"Good day!"&amp;CHAR(10)&amp;CHAR(10)&amp;"A quality monitoring audit has been completed for "&amp;$C223&amp;"."&amp;CHAR(10)&amp;CHAR(10)&amp;"QUALITY AUDIT DETAILS"&amp;CHAR(10)&amp;"Agent Name: "&amp;$C223&amp;" (EID "&amp;$D223&amp;")"&amp;CHAR(10)&amp;"Audit Date: "&amp;TEXT($B223,"yyyy-mm-dd")&amp;CHAR(10)&amp;"Team Leader: "&amp;$F223&amp;CHAR(10)&amp;"Case Number: "&amp;$M223&amp;CHAR(10)&amp;"Transaction ID: "&amp;$N223&amp;CHAR(10)&amp;"Channel / LOB: "&amp;$K223&amp;" / "&amp;$L223&amp;CHAR(10)&amp;"Evaluator: "&amp;$S223&amp;CHAR(10)&amp;CHAR(10)&amp;"INVALID QUALITY AUDIT DETAILS"&amp;CHAR(10)&amp;"Validation: Invalid"&amp;CHAR(10)&amp;"Invalid Reason: "&amp;$P223&amp;CHAR(10)&amp;"Expected Resolution Code: "&amp;$Q223&amp;CHAR(10)&amp;"Remarks: "&amp;LEFT($R223,600)&amp;CHAR(10)&amp;CHAR(10)&amp;"This is an automated notification from HP Mainstream EQMS."),"✉ Open Email Draft"),"")</f>
        <v/>
      </c>
    </row>
    <row r="224">
      <c r="A224" s="25">
        <f>IF($C224="","","AUD-2026-"&amp;TEXT(ROW()-1,"000000"))</f>
        <v/>
      </c>
      <c r="B224" s="26" t="n"/>
      <c r="C224" s="27" t="n"/>
      <c r="D224" s="25">
        <f>IF($C224="","",IFERROR(IF(INDEX(Roster!$A:$A,MATCH($C224,Roster!$B:$B,0))="","",INDEX(Roster!$A:$A,MATCH($C224,Roster!$B:$B,0))&amp;""),"—"))</f>
        <v/>
      </c>
      <c r="E224" s="25">
        <f>IF($C224="","",IFERROR(IF(INDEX(Roster!$C:$C,MATCH($C224,Roster!$B:$B,0))="","",INDEX(Roster!$C:$C,MATCH($C224,Roster!$B:$B,0))&amp;""),"—"))</f>
        <v/>
      </c>
      <c r="F224" s="25">
        <f>IF($C224="","",IFERROR(IF(INDEX(Roster!$D:$D,MATCH($C224,Roster!$B:$B,0))="","",INDEX(Roster!$D:$D,MATCH($C224,Roster!$B:$B,0))&amp;""),"—"))</f>
        <v/>
      </c>
      <c r="G224" s="25">
        <f>IF($C224="","",IFERROR(IF(INDEX(Roster!$E:$E,MATCH($C224,Roster!$B:$B,0))="","",INDEX(Roster!$E:$E,MATCH($C224,Roster!$B:$B,0))&amp;""),"—"))</f>
        <v/>
      </c>
      <c r="H224" s="25">
        <f>IF($C224="","",IFERROR(IF(INDEX(Roster!$F:$F,MATCH($C224,Roster!$B:$B,0))="","",INDEX(Roster!$F:$F,MATCH($C224,Roster!$B:$B,0))&amp;""),"—"))</f>
        <v/>
      </c>
      <c r="I224" s="25">
        <f>IF($C224="","",IFERROR(IF(INDEX(Roster!$G:$G,MATCH($C224,Roster!$B:$B,0))="","",INDEX(Roster!$G:$G,MATCH($C224,Roster!$B:$B,0))&amp;""),"—"))</f>
        <v/>
      </c>
      <c r="J224" s="25">
        <f>IF($C224="","",IFERROR(IF(INDEX(Roster!$I:$I,MATCH($C224,Roster!$B:$B,0))="","",INDEX(Roster!$I:$I,MATCH($C224,Roster!$B:$B,0))&amp;""),"—"))</f>
        <v/>
      </c>
      <c r="K224">
        <f>IF($C224="","",IFERROR(IF(INDEX(Roster!$J:$J,MATCH($C224,Roster!$B:$B,0))="","",INDEX(Roster!$J:$J,MATCH($C224,Roster!$B:$B,0))&amp;""),"—"))</f>
        <v/>
      </c>
      <c r="L224">
        <f>IF($C224="","",IFERROR(IF(INDEX(Roster!$K:$K,MATCH($C224,Roster!$B:$B,0))="","",INDEX(Roster!$K:$K,MATCH($C224,Roster!$B:$B,0))&amp;""),"—"))</f>
        <v/>
      </c>
      <c r="M224" s="27" t="n"/>
      <c r="N224" s="27" t="n"/>
      <c r="O224" s="25">
        <f>IF($C224="","",IF($P224="","—",IF($P224="Valid (Pass)","Valid","Invalid")))</f>
        <v/>
      </c>
      <c r="P224" s="27" t="n"/>
      <c r="Q224" s="27" t="n"/>
      <c r="R224" s="27" t="n"/>
      <c r="S224" s="27" t="n"/>
      <c r="T224" s="25">
        <f>IF($C224="","",IF(OR(ISNUMBER(SEARCH("quick case",$P224)),ISNUMBER(SEARCH("quick case",$Q224))),"Yes","No"))</f>
        <v/>
      </c>
      <c r="U224" s="25">
        <f>IF($O224="Invalid",HYPERLINK("mailto:"&amp;$G224&amp;";"&amp;$I224&amp;"?cc="&amp;Lists!$E$2&amp;"&amp;subject="&amp;_xlfn.ENCODEURL("[INVALID] Quality audit monitoring completed for "&amp;UPPER($C224))&amp;"&amp;body="&amp;_xlfn.ENCODEURL("Hi "&amp;$F224&amp;","&amp;CHAR(10)&amp;"Good day!"&amp;CHAR(10)&amp;CHAR(10)&amp;"A quality monitoring audit has been completed for "&amp;$C224&amp;"."&amp;CHAR(10)&amp;CHAR(10)&amp;"QUALITY AUDIT DETAILS"&amp;CHAR(10)&amp;"Agent Name: "&amp;$C224&amp;" (EID "&amp;$D224&amp;")"&amp;CHAR(10)&amp;"Audit Date: "&amp;TEXT($B224,"yyyy-mm-dd")&amp;CHAR(10)&amp;"Team Leader: "&amp;$F224&amp;CHAR(10)&amp;"Case Number: "&amp;$M224&amp;CHAR(10)&amp;"Transaction ID: "&amp;$N224&amp;CHAR(10)&amp;"Channel / LOB: "&amp;$K224&amp;" / "&amp;$L224&amp;CHAR(10)&amp;"Evaluator: "&amp;$S224&amp;CHAR(10)&amp;CHAR(10)&amp;"INVALID QUALITY AUDIT DETAILS"&amp;CHAR(10)&amp;"Validation: Invalid"&amp;CHAR(10)&amp;"Invalid Reason: "&amp;$P224&amp;CHAR(10)&amp;"Expected Resolution Code: "&amp;$Q224&amp;CHAR(10)&amp;"Remarks: "&amp;LEFT($R224,600)&amp;CHAR(10)&amp;CHAR(10)&amp;"This is an automated notification from HP Mainstream EQMS."),"✉ Open Email Draft"),"")</f>
        <v/>
      </c>
    </row>
    <row r="225">
      <c r="A225" s="25">
        <f>IF($C225="","","AUD-2026-"&amp;TEXT(ROW()-1,"000000"))</f>
        <v/>
      </c>
      <c r="B225" s="26" t="n"/>
      <c r="C225" s="27" t="n"/>
      <c r="D225" s="25">
        <f>IF($C225="","",IFERROR(IF(INDEX(Roster!$A:$A,MATCH($C225,Roster!$B:$B,0))="","",INDEX(Roster!$A:$A,MATCH($C225,Roster!$B:$B,0))&amp;""),"—"))</f>
        <v/>
      </c>
      <c r="E225" s="25">
        <f>IF($C225="","",IFERROR(IF(INDEX(Roster!$C:$C,MATCH($C225,Roster!$B:$B,0))="","",INDEX(Roster!$C:$C,MATCH($C225,Roster!$B:$B,0))&amp;""),"—"))</f>
        <v/>
      </c>
      <c r="F225" s="25">
        <f>IF($C225="","",IFERROR(IF(INDEX(Roster!$D:$D,MATCH($C225,Roster!$B:$B,0))="","",INDEX(Roster!$D:$D,MATCH($C225,Roster!$B:$B,0))&amp;""),"—"))</f>
        <v/>
      </c>
      <c r="G225" s="25">
        <f>IF($C225="","",IFERROR(IF(INDEX(Roster!$E:$E,MATCH($C225,Roster!$B:$B,0))="","",INDEX(Roster!$E:$E,MATCH($C225,Roster!$B:$B,0))&amp;""),"—"))</f>
        <v/>
      </c>
      <c r="H225" s="25">
        <f>IF($C225="","",IFERROR(IF(INDEX(Roster!$F:$F,MATCH($C225,Roster!$B:$B,0))="","",INDEX(Roster!$F:$F,MATCH($C225,Roster!$B:$B,0))&amp;""),"—"))</f>
        <v/>
      </c>
      <c r="I225" s="25">
        <f>IF($C225="","",IFERROR(IF(INDEX(Roster!$G:$G,MATCH($C225,Roster!$B:$B,0))="","",INDEX(Roster!$G:$G,MATCH($C225,Roster!$B:$B,0))&amp;""),"—"))</f>
        <v/>
      </c>
      <c r="J225" s="25">
        <f>IF($C225="","",IFERROR(IF(INDEX(Roster!$I:$I,MATCH($C225,Roster!$B:$B,0))="","",INDEX(Roster!$I:$I,MATCH($C225,Roster!$B:$B,0))&amp;""),"—"))</f>
        <v/>
      </c>
      <c r="K225">
        <f>IF($C225="","",IFERROR(IF(INDEX(Roster!$J:$J,MATCH($C225,Roster!$B:$B,0))="","",INDEX(Roster!$J:$J,MATCH($C225,Roster!$B:$B,0))&amp;""),"—"))</f>
        <v/>
      </c>
      <c r="L225">
        <f>IF($C225="","",IFERROR(IF(INDEX(Roster!$K:$K,MATCH($C225,Roster!$B:$B,0))="","",INDEX(Roster!$K:$K,MATCH($C225,Roster!$B:$B,0))&amp;""),"—"))</f>
        <v/>
      </c>
      <c r="M225" s="27" t="n"/>
      <c r="N225" s="27" t="n"/>
      <c r="O225" s="25">
        <f>IF($C225="","",IF($P225="","—",IF($P225="Valid (Pass)","Valid","Invalid")))</f>
        <v/>
      </c>
      <c r="P225" s="27" t="n"/>
      <c r="Q225" s="27" t="n"/>
      <c r="R225" s="27" t="n"/>
      <c r="S225" s="27" t="n"/>
      <c r="T225" s="25">
        <f>IF($C225="","",IF(OR(ISNUMBER(SEARCH("quick case",$P225)),ISNUMBER(SEARCH("quick case",$Q225))),"Yes","No"))</f>
        <v/>
      </c>
      <c r="U225" s="25">
        <f>IF($O225="Invalid",HYPERLINK("mailto:"&amp;$G225&amp;";"&amp;$I225&amp;"?cc="&amp;Lists!$E$2&amp;"&amp;subject="&amp;_xlfn.ENCODEURL("[INVALID] Quality audit monitoring completed for "&amp;UPPER($C225))&amp;"&amp;body="&amp;_xlfn.ENCODEURL("Hi "&amp;$F225&amp;","&amp;CHAR(10)&amp;"Good day!"&amp;CHAR(10)&amp;CHAR(10)&amp;"A quality monitoring audit has been completed for "&amp;$C225&amp;"."&amp;CHAR(10)&amp;CHAR(10)&amp;"QUALITY AUDIT DETAILS"&amp;CHAR(10)&amp;"Agent Name: "&amp;$C225&amp;" (EID "&amp;$D225&amp;")"&amp;CHAR(10)&amp;"Audit Date: "&amp;TEXT($B225,"yyyy-mm-dd")&amp;CHAR(10)&amp;"Team Leader: "&amp;$F225&amp;CHAR(10)&amp;"Case Number: "&amp;$M225&amp;CHAR(10)&amp;"Transaction ID: "&amp;$N225&amp;CHAR(10)&amp;"Channel / LOB: "&amp;$K225&amp;" / "&amp;$L225&amp;CHAR(10)&amp;"Evaluator: "&amp;$S225&amp;CHAR(10)&amp;CHAR(10)&amp;"INVALID QUALITY AUDIT DETAILS"&amp;CHAR(10)&amp;"Validation: Invalid"&amp;CHAR(10)&amp;"Invalid Reason: "&amp;$P225&amp;CHAR(10)&amp;"Expected Resolution Code: "&amp;$Q225&amp;CHAR(10)&amp;"Remarks: "&amp;LEFT($R225,600)&amp;CHAR(10)&amp;CHAR(10)&amp;"This is an automated notification from HP Mainstream EQMS."),"✉ Open Email Draft"),"")</f>
        <v/>
      </c>
    </row>
    <row r="226">
      <c r="A226" s="25">
        <f>IF($C226="","","AUD-2026-"&amp;TEXT(ROW()-1,"000000"))</f>
        <v/>
      </c>
      <c r="B226" s="26" t="n"/>
      <c r="C226" s="27" t="n"/>
      <c r="D226" s="25">
        <f>IF($C226="","",IFERROR(IF(INDEX(Roster!$A:$A,MATCH($C226,Roster!$B:$B,0))="","",INDEX(Roster!$A:$A,MATCH($C226,Roster!$B:$B,0))&amp;""),"—"))</f>
        <v/>
      </c>
      <c r="E226" s="25">
        <f>IF($C226="","",IFERROR(IF(INDEX(Roster!$C:$C,MATCH($C226,Roster!$B:$B,0))="","",INDEX(Roster!$C:$C,MATCH($C226,Roster!$B:$B,0))&amp;""),"—"))</f>
        <v/>
      </c>
      <c r="F226" s="25">
        <f>IF($C226="","",IFERROR(IF(INDEX(Roster!$D:$D,MATCH($C226,Roster!$B:$B,0))="","",INDEX(Roster!$D:$D,MATCH($C226,Roster!$B:$B,0))&amp;""),"—"))</f>
        <v/>
      </c>
      <c r="G226" s="25">
        <f>IF($C226="","",IFERROR(IF(INDEX(Roster!$E:$E,MATCH($C226,Roster!$B:$B,0))="","",INDEX(Roster!$E:$E,MATCH($C226,Roster!$B:$B,0))&amp;""),"—"))</f>
        <v/>
      </c>
      <c r="H226" s="25">
        <f>IF($C226="","",IFERROR(IF(INDEX(Roster!$F:$F,MATCH($C226,Roster!$B:$B,0))="","",INDEX(Roster!$F:$F,MATCH($C226,Roster!$B:$B,0))&amp;""),"—"))</f>
        <v/>
      </c>
      <c r="I226" s="25">
        <f>IF($C226="","",IFERROR(IF(INDEX(Roster!$G:$G,MATCH($C226,Roster!$B:$B,0))="","",INDEX(Roster!$G:$G,MATCH($C226,Roster!$B:$B,0))&amp;""),"—"))</f>
        <v/>
      </c>
      <c r="J226" s="25">
        <f>IF($C226="","",IFERROR(IF(INDEX(Roster!$I:$I,MATCH($C226,Roster!$B:$B,0))="","",INDEX(Roster!$I:$I,MATCH($C226,Roster!$B:$B,0))&amp;""),"—"))</f>
        <v/>
      </c>
      <c r="K226">
        <f>IF($C226="","",IFERROR(IF(INDEX(Roster!$J:$J,MATCH($C226,Roster!$B:$B,0))="","",INDEX(Roster!$J:$J,MATCH($C226,Roster!$B:$B,0))&amp;""),"—"))</f>
        <v/>
      </c>
      <c r="L226">
        <f>IF($C226="","",IFERROR(IF(INDEX(Roster!$K:$K,MATCH($C226,Roster!$B:$B,0))="","",INDEX(Roster!$K:$K,MATCH($C226,Roster!$B:$B,0))&amp;""),"—"))</f>
        <v/>
      </c>
      <c r="M226" s="27" t="n"/>
      <c r="N226" s="27" t="n"/>
      <c r="O226" s="25">
        <f>IF($C226="","",IF($P226="","—",IF($P226="Valid (Pass)","Valid","Invalid")))</f>
        <v/>
      </c>
      <c r="P226" s="27" t="n"/>
      <c r="Q226" s="27" t="n"/>
      <c r="R226" s="27" t="n"/>
      <c r="S226" s="27" t="n"/>
      <c r="T226" s="25">
        <f>IF($C226="","",IF(OR(ISNUMBER(SEARCH("quick case",$P226)),ISNUMBER(SEARCH("quick case",$Q226))),"Yes","No"))</f>
        <v/>
      </c>
      <c r="U226" s="25">
        <f>IF($O226="Invalid",HYPERLINK("mailto:"&amp;$G226&amp;";"&amp;$I226&amp;"?cc="&amp;Lists!$E$2&amp;"&amp;subject="&amp;_xlfn.ENCODEURL("[INVALID] Quality audit monitoring completed for "&amp;UPPER($C226))&amp;"&amp;body="&amp;_xlfn.ENCODEURL("Hi "&amp;$F226&amp;","&amp;CHAR(10)&amp;"Good day!"&amp;CHAR(10)&amp;CHAR(10)&amp;"A quality monitoring audit has been completed for "&amp;$C226&amp;"."&amp;CHAR(10)&amp;CHAR(10)&amp;"QUALITY AUDIT DETAILS"&amp;CHAR(10)&amp;"Agent Name: "&amp;$C226&amp;" (EID "&amp;$D226&amp;")"&amp;CHAR(10)&amp;"Audit Date: "&amp;TEXT($B226,"yyyy-mm-dd")&amp;CHAR(10)&amp;"Team Leader: "&amp;$F226&amp;CHAR(10)&amp;"Case Number: "&amp;$M226&amp;CHAR(10)&amp;"Transaction ID: "&amp;$N226&amp;CHAR(10)&amp;"Channel / LOB: "&amp;$K226&amp;" / "&amp;$L226&amp;CHAR(10)&amp;"Evaluator: "&amp;$S226&amp;CHAR(10)&amp;CHAR(10)&amp;"INVALID QUALITY AUDIT DETAILS"&amp;CHAR(10)&amp;"Validation: Invalid"&amp;CHAR(10)&amp;"Invalid Reason: "&amp;$P226&amp;CHAR(10)&amp;"Expected Resolution Code: "&amp;$Q226&amp;CHAR(10)&amp;"Remarks: "&amp;LEFT($R226,600)&amp;CHAR(10)&amp;CHAR(10)&amp;"This is an automated notification from HP Mainstream EQMS."),"✉ Open Email Draft"),"")</f>
        <v/>
      </c>
    </row>
    <row r="227">
      <c r="A227" s="25">
        <f>IF($C227="","","AUD-2026-"&amp;TEXT(ROW()-1,"000000"))</f>
        <v/>
      </c>
      <c r="B227" s="26" t="n"/>
      <c r="C227" s="27" t="n"/>
      <c r="D227" s="25">
        <f>IF($C227="","",IFERROR(IF(INDEX(Roster!$A:$A,MATCH($C227,Roster!$B:$B,0))="","",INDEX(Roster!$A:$A,MATCH($C227,Roster!$B:$B,0))&amp;""),"—"))</f>
        <v/>
      </c>
      <c r="E227" s="25">
        <f>IF($C227="","",IFERROR(IF(INDEX(Roster!$C:$C,MATCH($C227,Roster!$B:$B,0))="","",INDEX(Roster!$C:$C,MATCH($C227,Roster!$B:$B,0))&amp;""),"—"))</f>
        <v/>
      </c>
      <c r="F227" s="25">
        <f>IF($C227="","",IFERROR(IF(INDEX(Roster!$D:$D,MATCH($C227,Roster!$B:$B,0))="","",INDEX(Roster!$D:$D,MATCH($C227,Roster!$B:$B,0))&amp;""),"—"))</f>
        <v/>
      </c>
      <c r="G227" s="25">
        <f>IF($C227="","",IFERROR(IF(INDEX(Roster!$E:$E,MATCH($C227,Roster!$B:$B,0))="","",INDEX(Roster!$E:$E,MATCH($C227,Roster!$B:$B,0))&amp;""),"—"))</f>
        <v/>
      </c>
      <c r="H227" s="25">
        <f>IF($C227="","",IFERROR(IF(INDEX(Roster!$F:$F,MATCH($C227,Roster!$B:$B,0))="","",INDEX(Roster!$F:$F,MATCH($C227,Roster!$B:$B,0))&amp;""),"—"))</f>
        <v/>
      </c>
      <c r="I227" s="25">
        <f>IF($C227="","",IFERROR(IF(INDEX(Roster!$G:$G,MATCH($C227,Roster!$B:$B,0))="","",INDEX(Roster!$G:$G,MATCH($C227,Roster!$B:$B,0))&amp;""),"—"))</f>
        <v/>
      </c>
      <c r="J227" s="25">
        <f>IF($C227="","",IFERROR(IF(INDEX(Roster!$I:$I,MATCH($C227,Roster!$B:$B,0))="","",INDEX(Roster!$I:$I,MATCH($C227,Roster!$B:$B,0))&amp;""),"—"))</f>
        <v/>
      </c>
      <c r="K227">
        <f>IF($C227="","",IFERROR(IF(INDEX(Roster!$J:$J,MATCH($C227,Roster!$B:$B,0))="","",INDEX(Roster!$J:$J,MATCH($C227,Roster!$B:$B,0))&amp;""),"—"))</f>
        <v/>
      </c>
      <c r="L227">
        <f>IF($C227="","",IFERROR(IF(INDEX(Roster!$K:$K,MATCH($C227,Roster!$B:$B,0))="","",INDEX(Roster!$K:$K,MATCH($C227,Roster!$B:$B,0))&amp;""),"—"))</f>
        <v/>
      </c>
      <c r="M227" s="27" t="n"/>
      <c r="N227" s="27" t="n"/>
      <c r="O227" s="25">
        <f>IF($C227="","",IF($P227="","—",IF($P227="Valid (Pass)","Valid","Invalid")))</f>
        <v/>
      </c>
      <c r="P227" s="27" t="n"/>
      <c r="Q227" s="27" t="n"/>
      <c r="R227" s="27" t="n"/>
      <c r="S227" s="27" t="n"/>
      <c r="T227" s="25">
        <f>IF($C227="","",IF(OR(ISNUMBER(SEARCH("quick case",$P227)),ISNUMBER(SEARCH("quick case",$Q227))),"Yes","No"))</f>
        <v/>
      </c>
      <c r="U227" s="25">
        <f>IF($O227="Invalid",HYPERLINK("mailto:"&amp;$G227&amp;";"&amp;$I227&amp;"?cc="&amp;Lists!$E$2&amp;"&amp;subject="&amp;_xlfn.ENCODEURL("[INVALID] Quality audit monitoring completed for "&amp;UPPER($C227))&amp;"&amp;body="&amp;_xlfn.ENCODEURL("Hi "&amp;$F227&amp;","&amp;CHAR(10)&amp;"Good day!"&amp;CHAR(10)&amp;CHAR(10)&amp;"A quality monitoring audit has been completed for "&amp;$C227&amp;"."&amp;CHAR(10)&amp;CHAR(10)&amp;"QUALITY AUDIT DETAILS"&amp;CHAR(10)&amp;"Agent Name: "&amp;$C227&amp;" (EID "&amp;$D227&amp;")"&amp;CHAR(10)&amp;"Audit Date: "&amp;TEXT($B227,"yyyy-mm-dd")&amp;CHAR(10)&amp;"Team Leader: "&amp;$F227&amp;CHAR(10)&amp;"Case Number: "&amp;$M227&amp;CHAR(10)&amp;"Transaction ID: "&amp;$N227&amp;CHAR(10)&amp;"Channel / LOB: "&amp;$K227&amp;" / "&amp;$L227&amp;CHAR(10)&amp;"Evaluator: "&amp;$S227&amp;CHAR(10)&amp;CHAR(10)&amp;"INVALID QUALITY AUDIT DETAILS"&amp;CHAR(10)&amp;"Validation: Invalid"&amp;CHAR(10)&amp;"Invalid Reason: "&amp;$P227&amp;CHAR(10)&amp;"Expected Resolution Code: "&amp;$Q227&amp;CHAR(10)&amp;"Remarks: "&amp;LEFT($R227,600)&amp;CHAR(10)&amp;CHAR(10)&amp;"This is an automated notification from HP Mainstream EQMS."),"✉ Open Email Draft"),"")</f>
        <v/>
      </c>
    </row>
    <row r="228">
      <c r="A228" s="25">
        <f>IF($C228="","","AUD-2026-"&amp;TEXT(ROW()-1,"000000"))</f>
        <v/>
      </c>
      <c r="B228" s="26" t="n"/>
      <c r="C228" s="27" t="n"/>
      <c r="D228" s="25">
        <f>IF($C228="","",IFERROR(IF(INDEX(Roster!$A:$A,MATCH($C228,Roster!$B:$B,0))="","",INDEX(Roster!$A:$A,MATCH($C228,Roster!$B:$B,0))&amp;""),"—"))</f>
        <v/>
      </c>
      <c r="E228" s="25">
        <f>IF($C228="","",IFERROR(IF(INDEX(Roster!$C:$C,MATCH($C228,Roster!$B:$B,0))="","",INDEX(Roster!$C:$C,MATCH($C228,Roster!$B:$B,0))&amp;""),"—"))</f>
        <v/>
      </c>
      <c r="F228" s="25">
        <f>IF($C228="","",IFERROR(IF(INDEX(Roster!$D:$D,MATCH($C228,Roster!$B:$B,0))="","",INDEX(Roster!$D:$D,MATCH($C228,Roster!$B:$B,0))&amp;""),"—"))</f>
        <v/>
      </c>
      <c r="G228" s="25">
        <f>IF($C228="","",IFERROR(IF(INDEX(Roster!$E:$E,MATCH($C228,Roster!$B:$B,0))="","",INDEX(Roster!$E:$E,MATCH($C228,Roster!$B:$B,0))&amp;""),"—"))</f>
        <v/>
      </c>
      <c r="H228" s="25">
        <f>IF($C228="","",IFERROR(IF(INDEX(Roster!$F:$F,MATCH($C228,Roster!$B:$B,0))="","",INDEX(Roster!$F:$F,MATCH($C228,Roster!$B:$B,0))&amp;""),"—"))</f>
        <v/>
      </c>
      <c r="I228" s="25">
        <f>IF($C228="","",IFERROR(IF(INDEX(Roster!$G:$G,MATCH($C228,Roster!$B:$B,0))="","",INDEX(Roster!$G:$G,MATCH($C228,Roster!$B:$B,0))&amp;""),"—"))</f>
        <v/>
      </c>
      <c r="J228" s="25">
        <f>IF($C228="","",IFERROR(IF(INDEX(Roster!$I:$I,MATCH($C228,Roster!$B:$B,0))="","",INDEX(Roster!$I:$I,MATCH($C228,Roster!$B:$B,0))&amp;""),"—"))</f>
        <v/>
      </c>
      <c r="K228">
        <f>IF($C228="","",IFERROR(IF(INDEX(Roster!$J:$J,MATCH($C228,Roster!$B:$B,0))="","",INDEX(Roster!$J:$J,MATCH($C228,Roster!$B:$B,0))&amp;""),"—"))</f>
        <v/>
      </c>
      <c r="L228">
        <f>IF($C228="","",IFERROR(IF(INDEX(Roster!$K:$K,MATCH($C228,Roster!$B:$B,0))="","",INDEX(Roster!$K:$K,MATCH($C228,Roster!$B:$B,0))&amp;""),"—"))</f>
        <v/>
      </c>
      <c r="M228" s="27" t="n"/>
      <c r="N228" s="27" t="n"/>
      <c r="O228" s="25">
        <f>IF($C228="","",IF($P228="","—",IF($P228="Valid (Pass)","Valid","Invalid")))</f>
        <v/>
      </c>
      <c r="P228" s="27" t="n"/>
      <c r="Q228" s="27" t="n"/>
      <c r="R228" s="27" t="n"/>
      <c r="S228" s="27" t="n"/>
      <c r="T228" s="25">
        <f>IF($C228="","",IF(OR(ISNUMBER(SEARCH("quick case",$P228)),ISNUMBER(SEARCH("quick case",$Q228))),"Yes","No"))</f>
        <v/>
      </c>
      <c r="U228" s="25">
        <f>IF($O228="Invalid",HYPERLINK("mailto:"&amp;$G228&amp;";"&amp;$I228&amp;"?cc="&amp;Lists!$E$2&amp;"&amp;subject="&amp;_xlfn.ENCODEURL("[INVALID] Quality audit monitoring completed for "&amp;UPPER($C228))&amp;"&amp;body="&amp;_xlfn.ENCODEURL("Hi "&amp;$F228&amp;","&amp;CHAR(10)&amp;"Good day!"&amp;CHAR(10)&amp;CHAR(10)&amp;"A quality monitoring audit has been completed for "&amp;$C228&amp;"."&amp;CHAR(10)&amp;CHAR(10)&amp;"QUALITY AUDIT DETAILS"&amp;CHAR(10)&amp;"Agent Name: "&amp;$C228&amp;" (EID "&amp;$D228&amp;")"&amp;CHAR(10)&amp;"Audit Date: "&amp;TEXT($B228,"yyyy-mm-dd")&amp;CHAR(10)&amp;"Team Leader: "&amp;$F228&amp;CHAR(10)&amp;"Case Number: "&amp;$M228&amp;CHAR(10)&amp;"Transaction ID: "&amp;$N228&amp;CHAR(10)&amp;"Channel / LOB: "&amp;$K228&amp;" / "&amp;$L228&amp;CHAR(10)&amp;"Evaluator: "&amp;$S228&amp;CHAR(10)&amp;CHAR(10)&amp;"INVALID QUALITY AUDIT DETAILS"&amp;CHAR(10)&amp;"Validation: Invalid"&amp;CHAR(10)&amp;"Invalid Reason: "&amp;$P228&amp;CHAR(10)&amp;"Expected Resolution Code: "&amp;$Q228&amp;CHAR(10)&amp;"Remarks: "&amp;LEFT($R228,600)&amp;CHAR(10)&amp;CHAR(10)&amp;"This is an automated notification from HP Mainstream EQMS."),"✉ Open Email Draft"),"")</f>
        <v/>
      </c>
    </row>
    <row r="229">
      <c r="A229" s="25">
        <f>IF($C229="","","AUD-2026-"&amp;TEXT(ROW()-1,"000000"))</f>
        <v/>
      </c>
      <c r="B229" s="26" t="n"/>
      <c r="C229" s="27" t="n"/>
      <c r="D229" s="25">
        <f>IF($C229="","",IFERROR(IF(INDEX(Roster!$A:$A,MATCH($C229,Roster!$B:$B,0))="","",INDEX(Roster!$A:$A,MATCH($C229,Roster!$B:$B,0))&amp;""),"—"))</f>
        <v/>
      </c>
      <c r="E229" s="25">
        <f>IF($C229="","",IFERROR(IF(INDEX(Roster!$C:$C,MATCH($C229,Roster!$B:$B,0))="","",INDEX(Roster!$C:$C,MATCH($C229,Roster!$B:$B,0))&amp;""),"—"))</f>
        <v/>
      </c>
      <c r="F229" s="25">
        <f>IF($C229="","",IFERROR(IF(INDEX(Roster!$D:$D,MATCH($C229,Roster!$B:$B,0))="","",INDEX(Roster!$D:$D,MATCH($C229,Roster!$B:$B,0))&amp;""),"—"))</f>
        <v/>
      </c>
      <c r="G229" s="25">
        <f>IF($C229="","",IFERROR(IF(INDEX(Roster!$E:$E,MATCH($C229,Roster!$B:$B,0))="","",INDEX(Roster!$E:$E,MATCH($C229,Roster!$B:$B,0))&amp;""),"—"))</f>
        <v/>
      </c>
      <c r="H229" s="25">
        <f>IF($C229="","",IFERROR(IF(INDEX(Roster!$F:$F,MATCH($C229,Roster!$B:$B,0))="","",INDEX(Roster!$F:$F,MATCH($C229,Roster!$B:$B,0))&amp;""),"—"))</f>
        <v/>
      </c>
      <c r="I229" s="25">
        <f>IF($C229="","",IFERROR(IF(INDEX(Roster!$G:$G,MATCH($C229,Roster!$B:$B,0))="","",INDEX(Roster!$G:$G,MATCH($C229,Roster!$B:$B,0))&amp;""),"—"))</f>
        <v/>
      </c>
      <c r="J229" s="25">
        <f>IF($C229="","",IFERROR(IF(INDEX(Roster!$I:$I,MATCH($C229,Roster!$B:$B,0))="","",INDEX(Roster!$I:$I,MATCH($C229,Roster!$B:$B,0))&amp;""),"—"))</f>
        <v/>
      </c>
      <c r="K229">
        <f>IF($C229="","",IFERROR(IF(INDEX(Roster!$J:$J,MATCH($C229,Roster!$B:$B,0))="","",INDEX(Roster!$J:$J,MATCH($C229,Roster!$B:$B,0))&amp;""),"—"))</f>
        <v/>
      </c>
      <c r="L229">
        <f>IF($C229="","",IFERROR(IF(INDEX(Roster!$K:$K,MATCH($C229,Roster!$B:$B,0))="","",INDEX(Roster!$K:$K,MATCH($C229,Roster!$B:$B,0))&amp;""),"—"))</f>
        <v/>
      </c>
      <c r="M229" s="27" t="n"/>
      <c r="N229" s="27" t="n"/>
      <c r="O229" s="25">
        <f>IF($C229="","",IF($P229="","—",IF($P229="Valid (Pass)","Valid","Invalid")))</f>
        <v/>
      </c>
      <c r="P229" s="27" t="n"/>
      <c r="Q229" s="27" t="n"/>
      <c r="R229" s="27" t="n"/>
      <c r="S229" s="27" t="n"/>
      <c r="T229" s="25">
        <f>IF($C229="","",IF(OR(ISNUMBER(SEARCH("quick case",$P229)),ISNUMBER(SEARCH("quick case",$Q229))),"Yes","No"))</f>
        <v/>
      </c>
      <c r="U229" s="25">
        <f>IF($O229="Invalid",HYPERLINK("mailto:"&amp;$G229&amp;";"&amp;$I229&amp;"?cc="&amp;Lists!$E$2&amp;"&amp;subject="&amp;_xlfn.ENCODEURL("[INVALID] Quality audit monitoring completed for "&amp;UPPER($C229))&amp;"&amp;body="&amp;_xlfn.ENCODEURL("Hi "&amp;$F229&amp;","&amp;CHAR(10)&amp;"Good day!"&amp;CHAR(10)&amp;CHAR(10)&amp;"A quality monitoring audit has been completed for "&amp;$C229&amp;"."&amp;CHAR(10)&amp;CHAR(10)&amp;"QUALITY AUDIT DETAILS"&amp;CHAR(10)&amp;"Agent Name: "&amp;$C229&amp;" (EID "&amp;$D229&amp;")"&amp;CHAR(10)&amp;"Audit Date: "&amp;TEXT($B229,"yyyy-mm-dd")&amp;CHAR(10)&amp;"Team Leader: "&amp;$F229&amp;CHAR(10)&amp;"Case Number: "&amp;$M229&amp;CHAR(10)&amp;"Transaction ID: "&amp;$N229&amp;CHAR(10)&amp;"Channel / LOB: "&amp;$K229&amp;" / "&amp;$L229&amp;CHAR(10)&amp;"Evaluator: "&amp;$S229&amp;CHAR(10)&amp;CHAR(10)&amp;"INVALID QUALITY AUDIT DETAILS"&amp;CHAR(10)&amp;"Validation: Invalid"&amp;CHAR(10)&amp;"Invalid Reason: "&amp;$P229&amp;CHAR(10)&amp;"Expected Resolution Code: "&amp;$Q229&amp;CHAR(10)&amp;"Remarks: "&amp;LEFT($R229,600)&amp;CHAR(10)&amp;CHAR(10)&amp;"This is an automated notification from HP Mainstream EQMS."),"✉ Open Email Draft"),"")</f>
        <v/>
      </c>
    </row>
    <row r="230">
      <c r="A230" s="25">
        <f>IF($C230="","","AUD-2026-"&amp;TEXT(ROW()-1,"000000"))</f>
        <v/>
      </c>
      <c r="B230" s="26" t="n"/>
      <c r="C230" s="27" t="n"/>
      <c r="D230" s="25">
        <f>IF($C230="","",IFERROR(IF(INDEX(Roster!$A:$A,MATCH($C230,Roster!$B:$B,0))="","",INDEX(Roster!$A:$A,MATCH($C230,Roster!$B:$B,0))&amp;""),"—"))</f>
        <v/>
      </c>
      <c r="E230" s="25">
        <f>IF($C230="","",IFERROR(IF(INDEX(Roster!$C:$C,MATCH($C230,Roster!$B:$B,0))="","",INDEX(Roster!$C:$C,MATCH($C230,Roster!$B:$B,0))&amp;""),"—"))</f>
        <v/>
      </c>
      <c r="F230" s="25">
        <f>IF($C230="","",IFERROR(IF(INDEX(Roster!$D:$D,MATCH($C230,Roster!$B:$B,0))="","",INDEX(Roster!$D:$D,MATCH($C230,Roster!$B:$B,0))&amp;""),"—"))</f>
        <v/>
      </c>
      <c r="G230" s="25">
        <f>IF($C230="","",IFERROR(IF(INDEX(Roster!$E:$E,MATCH($C230,Roster!$B:$B,0))="","",INDEX(Roster!$E:$E,MATCH($C230,Roster!$B:$B,0))&amp;""),"—"))</f>
        <v/>
      </c>
      <c r="H230" s="25">
        <f>IF($C230="","",IFERROR(IF(INDEX(Roster!$F:$F,MATCH($C230,Roster!$B:$B,0))="","",INDEX(Roster!$F:$F,MATCH($C230,Roster!$B:$B,0))&amp;""),"—"))</f>
        <v/>
      </c>
      <c r="I230" s="25">
        <f>IF($C230="","",IFERROR(IF(INDEX(Roster!$G:$G,MATCH($C230,Roster!$B:$B,0))="","",INDEX(Roster!$G:$G,MATCH($C230,Roster!$B:$B,0))&amp;""),"—"))</f>
        <v/>
      </c>
      <c r="J230" s="25">
        <f>IF($C230="","",IFERROR(IF(INDEX(Roster!$I:$I,MATCH($C230,Roster!$B:$B,0))="","",INDEX(Roster!$I:$I,MATCH($C230,Roster!$B:$B,0))&amp;""),"—"))</f>
        <v/>
      </c>
      <c r="K230">
        <f>IF($C230="","",IFERROR(IF(INDEX(Roster!$J:$J,MATCH($C230,Roster!$B:$B,0))="","",INDEX(Roster!$J:$J,MATCH($C230,Roster!$B:$B,0))&amp;""),"—"))</f>
        <v/>
      </c>
      <c r="L230">
        <f>IF($C230="","",IFERROR(IF(INDEX(Roster!$K:$K,MATCH($C230,Roster!$B:$B,0))="","",INDEX(Roster!$K:$K,MATCH($C230,Roster!$B:$B,0))&amp;""),"—"))</f>
        <v/>
      </c>
      <c r="M230" s="27" t="n"/>
      <c r="N230" s="27" t="n"/>
      <c r="O230" s="25">
        <f>IF($C230="","",IF($P230="","—",IF($P230="Valid (Pass)","Valid","Invalid")))</f>
        <v/>
      </c>
      <c r="P230" s="27" t="n"/>
      <c r="Q230" s="27" t="n"/>
      <c r="R230" s="27" t="n"/>
      <c r="S230" s="27" t="n"/>
      <c r="T230" s="25">
        <f>IF($C230="","",IF(OR(ISNUMBER(SEARCH("quick case",$P230)),ISNUMBER(SEARCH("quick case",$Q230))),"Yes","No"))</f>
        <v/>
      </c>
      <c r="U230" s="25">
        <f>IF($O230="Invalid",HYPERLINK("mailto:"&amp;$G230&amp;";"&amp;$I230&amp;"?cc="&amp;Lists!$E$2&amp;"&amp;subject="&amp;_xlfn.ENCODEURL("[INVALID] Quality audit monitoring completed for "&amp;UPPER($C230))&amp;"&amp;body="&amp;_xlfn.ENCODEURL("Hi "&amp;$F230&amp;","&amp;CHAR(10)&amp;"Good day!"&amp;CHAR(10)&amp;CHAR(10)&amp;"A quality monitoring audit has been completed for "&amp;$C230&amp;"."&amp;CHAR(10)&amp;CHAR(10)&amp;"QUALITY AUDIT DETAILS"&amp;CHAR(10)&amp;"Agent Name: "&amp;$C230&amp;" (EID "&amp;$D230&amp;")"&amp;CHAR(10)&amp;"Audit Date: "&amp;TEXT($B230,"yyyy-mm-dd")&amp;CHAR(10)&amp;"Team Leader: "&amp;$F230&amp;CHAR(10)&amp;"Case Number: "&amp;$M230&amp;CHAR(10)&amp;"Transaction ID: "&amp;$N230&amp;CHAR(10)&amp;"Channel / LOB: "&amp;$K230&amp;" / "&amp;$L230&amp;CHAR(10)&amp;"Evaluator: "&amp;$S230&amp;CHAR(10)&amp;CHAR(10)&amp;"INVALID QUALITY AUDIT DETAILS"&amp;CHAR(10)&amp;"Validation: Invalid"&amp;CHAR(10)&amp;"Invalid Reason: "&amp;$P230&amp;CHAR(10)&amp;"Expected Resolution Code: "&amp;$Q230&amp;CHAR(10)&amp;"Remarks: "&amp;LEFT($R230,600)&amp;CHAR(10)&amp;CHAR(10)&amp;"This is an automated notification from HP Mainstream EQMS."),"✉ Open Email Draft"),"")</f>
        <v/>
      </c>
    </row>
    <row r="231">
      <c r="A231" s="25">
        <f>IF($C231="","","AUD-2026-"&amp;TEXT(ROW()-1,"000000"))</f>
        <v/>
      </c>
      <c r="B231" s="26" t="n"/>
      <c r="C231" s="27" t="n"/>
      <c r="D231" s="25">
        <f>IF($C231="","",IFERROR(IF(INDEX(Roster!$A:$A,MATCH($C231,Roster!$B:$B,0))="","",INDEX(Roster!$A:$A,MATCH($C231,Roster!$B:$B,0))&amp;""),"—"))</f>
        <v/>
      </c>
      <c r="E231" s="25">
        <f>IF($C231="","",IFERROR(IF(INDEX(Roster!$C:$C,MATCH($C231,Roster!$B:$B,0))="","",INDEX(Roster!$C:$C,MATCH($C231,Roster!$B:$B,0))&amp;""),"—"))</f>
        <v/>
      </c>
      <c r="F231" s="25">
        <f>IF($C231="","",IFERROR(IF(INDEX(Roster!$D:$D,MATCH($C231,Roster!$B:$B,0))="","",INDEX(Roster!$D:$D,MATCH($C231,Roster!$B:$B,0))&amp;""),"—"))</f>
        <v/>
      </c>
      <c r="G231" s="25">
        <f>IF($C231="","",IFERROR(IF(INDEX(Roster!$E:$E,MATCH($C231,Roster!$B:$B,0))="","",INDEX(Roster!$E:$E,MATCH($C231,Roster!$B:$B,0))&amp;""),"—"))</f>
        <v/>
      </c>
      <c r="H231" s="25">
        <f>IF($C231="","",IFERROR(IF(INDEX(Roster!$F:$F,MATCH($C231,Roster!$B:$B,0))="","",INDEX(Roster!$F:$F,MATCH($C231,Roster!$B:$B,0))&amp;""),"—"))</f>
        <v/>
      </c>
      <c r="I231" s="25">
        <f>IF($C231="","",IFERROR(IF(INDEX(Roster!$G:$G,MATCH($C231,Roster!$B:$B,0))="","",INDEX(Roster!$G:$G,MATCH($C231,Roster!$B:$B,0))&amp;""),"—"))</f>
        <v/>
      </c>
      <c r="J231" s="25">
        <f>IF($C231="","",IFERROR(IF(INDEX(Roster!$I:$I,MATCH($C231,Roster!$B:$B,0))="","",INDEX(Roster!$I:$I,MATCH($C231,Roster!$B:$B,0))&amp;""),"—"))</f>
        <v/>
      </c>
      <c r="K231">
        <f>IF($C231="","",IFERROR(IF(INDEX(Roster!$J:$J,MATCH($C231,Roster!$B:$B,0))="","",INDEX(Roster!$J:$J,MATCH($C231,Roster!$B:$B,0))&amp;""),"—"))</f>
        <v/>
      </c>
      <c r="L231">
        <f>IF($C231="","",IFERROR(IF(INDEX(Roster!$K:$K,MATCH($C231,Roster!$B:$B,0))="","",INDEX(Roster!$K:$K,MATCH($C231,Roster!$B:$B,0))&amp;""),"—"))</f>
        <v/>
      </c>
      <c r="M231" s="27" t="n"/>
      <c r="N231" s="27" t="n"/>
      <c r="O231" s="25">
        <f>IF($C231="","",IF($P231="","—",IF($P231="Valid (Pass)","Valid","Invalid")))</f>
        <v/>
      </c>
      <c r="P231" s="27" t="n"/>
      <c r="Q231" s="27" t="n"/>
      <c r="R231" s="27" t="n"/>
      <c r="S231" s="27" t="n"/>
      <c r="T231" s="25">
        <f>IF($C231="","",IF(OR(ISNUMBER(SEARCH("quick case",$P231)),ISNUMBER(SEARCH("quick case",$Q231))),"Yes","No"))</f>
        <v/>
      </c>
      <c r="U231" s="25">
        <f>IF($O231="Invalid",HYPERLINK("mailto:"&amp;$G231&amp;";"&amp;$I231&amp;"?cc="&amp;Lists!$E$2&amp;"&amp;subject="&amp;_xlfn.ENCODEURL("[INVALID] Quality audit monitoring completed for "&amp;UPPER($C231))&amp;"&amp;body="&amp;_xlfn.ENCODEURL("Hi "&amp;$F231&amp;","&amp;CHAR(10)&amp;"Good day!"&amp;CHAR(10)&amp;CHAR(10)&amp;"A quality monitoring audit has been completed for "&amp;$C231&amp;"."&amp;CHAR(10)&amp;CHAR(10)&amp;"QUALITY AUDIT DETAILS"&amp;CHAR(10)&amp;"Agent Name: "&amp;$C231&amp;" (EID "&amp;$D231&amp;")"&amp;CHAR(10)&amp;"Audit Date: "&amp;TEXT($B231,"yyyy-mm-dd")&amp;CHAR(10)&amp;"Team Leader: "&amp;$F231&amp;CHAR(10)&amp;"Case Number: "&amp;$M231&amp;CHAR(10)&amp;"Transaction ID: "&amp;$N231&amp;CHAR(10)&amp;"Channel / LOB: "&amp;$K231&amp;" / "&amp;$L231&amp;CHAR(10)&amp;"Evaluator: "&amp;$S231&amp;CHAR(10)&amp;CHAR(10)&amp;"INVALID QUALITY AUDIT DETAILS"&amp;CHAR(10)&amp;"Validation: Invalid"&amp;CHAR(10)&amp;"Invalid Reason: "&amp;$P231&amp;CHAR(10)&amp;"Expected Resolution Code: "&amp;$Q231&amp;CHAR(10)&amp;"Remarks: "&amp;LEFT($R231,600)&amp;CHAR(10)&amp;CHAR(10)&amp;"This is an automated notification from HP Mainstream EQMS."),"✉ Open Email Draft"),"")</f>
        <v/>
      </c>
    </row>
    <row r="232">
      <c r="A232" s="25">
        <f>IF($C232="","","AUD-2026-"&amp;TEXT(ROW()-1,"000000"))</f>
        <v/>
      </c>
      <c r="B232" s="26" t="n"/>
      <c r="C232" s="27" t="n"/>
      <c r="D232" s="25">
        <f>IF($C232="","",IFERROR(IF(INDEX(Roster!$A:$A,MATCH($C232,Roster!$B:$B,0))="","",INDEX(Roster!$A:$A,MATCH($C232,Roster!$B:$B,0))&amp;""),"—"))</f>
        <v/>
      </c>
      <c r="E232" s="25">
        <f>IF($C232="","",IFERROR(IF(INDEX(Roster!$C:$C,MATCH($C232,Roster!$B:$B,0))="","",INDEX(Roster!$C:$C,MATCH($C232,Roster!$B:$B,0))&amp;""),"—"))</f>
        <v/>
      </c>
      <c r="F232" s="25">
        <f>IF($C232="","",IFERROR(IF(INDEX(Roster!$D:$D,MATCH($C232,Roster!$B:$B,0))="","",INDEX(Roster!$D:$D,MATCH($C232,Roster!$B:$B,0))&amp;""),"—"))</f>
        <v/>
      </c>
      <c r="G232" s="25">
        <f>IF($C232="","",IFERROR(IF(INDEX(Roster!$E:$E,MATCH($C232,Roster!$B:$B,0))="","",INDEX(Roster!$E:$E,MATCH($C232,Roster!$B:$B,0))&amp;""),"—"))</f>
        <v/>
      </c>
      <c r="H232" s="25">
        <f>IF($C232="","",IFERROR(IF(INDEX(Roster!$F:$F,MATCH($C232,Roster!$B:$B,0))="","",INDEX(Roster!$F:$F,MATCH($C232,Roster!$B:$B,0))&amp;""),"—"))</f>
        <v/>
      </c>
      <c r="I232" s="25">
        <f>IF($C232="","",IFERROR(IF(INDEX(Roster!$G:$G,MATCH($C232,Roster!$B:$B,0))="","",INDEX(Roster!$G:$G,MATCH($C232,Roster!$B:$B,0))&amp;""),"—"))</f>
        <v/>
      </c>
      <c r="J232" s="25">
        <f>IF($C232="","",IFERROR(IF(INDEX(Roster!$I:$I,MATCH($C232,Roster!$B:$B,0))="","",INDEX(Roster!$I:$I,MATCH($C232,Roster!$B:$B,0))&amp;""),"—"))</f>
        <v/>
      </c>
      <c r="K232">
        <f>IF($C232="","",IFERROR(IF(INDEX(Roster!$J:$J,MATCH($C232,Roster!$B:$B,0))="","",INDEX(Roster!$J:$J,MATCH($C232,Roster!$B:$B,0))&amp;""),"—"))</f>
        <v/>
      </c>
      <c r="L232">
        <f>IF($C232="","",IFERROR(IF(INDEX(Roster!$K:$K,MATCH($C232,Roster!$B:$B,0))="","",INDEX(Roster!$K:$K,MATCH($C232,Roster!$B:$B,0))&amp;""),"—"))</f>
        <v/>
      </c>
      <c r="M232" s="27" t="n"/>
      <c r="N232" s="27" t="n"/>
      <c r="O232" s="25">
        <f>IF($C232="","",IF($P232="","—",IF($P232="Valid (Pass)","Valid","Invalid")))</f>
        <v/>
      </c>
      <c r="P232" s="27" t="n"/>
      <c r="Q232" s="27" t="n"/>
      <c r="R232" s="27" t="n"/>
      <c r="S232" s="27" t="n"/>
      <c r="T232" s="25">
        <f>IF($C232="","",IF(OR(ISNUMBER(SEARCH("quick case",$P232)),ISNUMBER(SEARCH("quick case",$Q232))),"Yes","No"))</f>
        <v/>
      </c>
      <c r="U232" s="25">
        <f>IF($O232="Invalid",HYPERLINK("mailto:"&amp;$G232&amp;";"&amp;$I232&amp;"?cc="&amp;Lists!$E$2&amp;"&amp;subject="&amp;_xlfn.ENCODEURL("[INVALID] Quality audit monitoring completed for "&amp;UPPER($C232))&amp;"&amp;body="&amp;_xlfn.ENCODEURL("Hi "&amp;$F232&amp;","&amp;CHAR(10)&amp;"Good day!"&amp;CHAR(10)&amp;CHAR(10)&amp;"A quality monitoring audit has been completed for "&amp;$C232&amp;"."&amp;CHAR(10)&amp;CHAR(10)&amp;"QUALITY AUDIT DETAILS"&amp;CHAR(10)&amp;"Agent Name: "&amp;$C232&amp;" (EID "&amp;$D232&amp;")"&amp;CHAR(10)&amp;"Audit Date: "&amp;TEXT($B232,"yyyy-mm-dd")&amp;CHAR(10)&amp;"Team Leader: "&amp;$F232&amp;CHAR(10)&amp;"Case Number: "&amp;$M232&amp;CHAR(10)&amp;"Transaction ID: "&amp;$N232&amp;CHAR(10)&amp;"Channel / LOB: "&amp;$K232&amp;" / "&amp;$L232&amp;CHAR(10)&amp;"Evaluator: "&amp;$S232&amp;CHAR(10)&amp;CHAR(10)&amp;"INVALID QUALITY AUDIT DETAILS"&amp;CHAR(10)&amp;"Validation: Invalid"&amp;CHAR(10)&amp;"Invalid Reason: "&amp;$P232&amp;CHAR(10)&amp;"Expected Resolution Code: "&amp;$Q232&amp;CHAR(10)&amp;"Remarks: "&amp;LEFT($R232,600)&amp;CHAR(10)&amp;CHAR(10)&amp;"This is an automated notification from HP Mainstream EQMS."),"✉ Open Email Draft"),"")</f>
        <v/>
      </c>
    </row>
    <row r="233">
      <c r="A233" s="25">
        <f>IF($C233="","","AUD-2026-"&amp;TEXT(ROW()-1,"000000"))</f>
        <v/>
      </c>
      <c r="B233" s="26" t="n"/>
      <c r="C233" s="27" t="n"/>
      <c r="D233" s="25">
        <f>IF($C233="","",IFERROR(IF(INDEX(Roster!$A:$A,MATCH($C233,Roster!$B:$B,0))="","",INDEX(Roster!$A:$A,MATCH($C233,Roster!$B:$B,0))&amp;""),"—"))</f>
        <v/>
      </c>
      <c r="E233" s="25">
        <f>IF($C233="","",IFERROR(IF(INDEX(Roster!$C:$C,MATCH($C233,Roster!$B:$B,0))="","",INDEX(Roster!$C:$C,MATCH($C233,Roster!$B:$B,0))&amp;""),"—"))</f>
        <v/>
      </c>
      <c r="F233" s="25">
        <f>IF($C233="","",IFERROR(IF(INDEX(Roster!$D:$D,MATCH($C233,Roster!$B:$B,0))="","",INDEX(Roster!$D:$D,MATCH($C233,Roster!$B:$B,0))&amp;""),"—"))</f>
        <v/>
      </c>
      <c r="G233" s="25">
        <f>IF($C233="","",IFERROR(IF(INDEX(Roster!$E:$E,MATCH($C233,Roster!$B:$B,0))="","",INDEX(Roster!$E:$E,MATCH($C233,Roster!$B:$B,0))&amp;""),"—"))</f>
        <v/>
      </c>
      <c r="H233" s="25">
        <f>IF($C233="","",IFERROR(IF(INDEX(Roster!$F:$F,MATCH($C233,Roster!$B:$B,0))="","",INDEX(Roster!$F:$F,MATCH($C233,Roster!$B:$B,0))&amp;""),"—"))</f>
        <v/>
      </c>
      <c r="I233" s="25">
        <f>IF($C233="","",IFERROR(IF(INDEX(Roster!$G:$G,MATCH($C233,Roster!$B:$B,0))="","",INDEX(Roster!$G:$G,MATCH($C233,Roster!$B:$B,0))&amp;""),"—"))</f>
        <v/>
      </c>
      <c r="J233" s="25">
        <f>IF($C233="","",IFERROR(IF(INDEX(Roster!$I:$I,MATCH($C233,Roster!$B:$B,0))="","",INDEX(Roster!$I:$I,MATCH($C233,Roster!$B:$B,0))&amp;""),"—"))</f>
        <v/>
      </c>
      <c r="K233">
        <f>IF($C233="","",IFERROR(IF(INDEX(Roster!$J:$J,MATCH($C233,Roster!$B:$B,0))="","",INDEX(Roster!$J:$J,MATCH($C233,Roster!$B:$B,0))&amp;""),"—"))</f>
        <v/>
      </c>
      <c r="L233">
        <f>IF($C233="","",IFERROR(IF(INDEX(Roster!$K:$K,MATCH($C233,Roster!$B:$B,0))="","",INDEX(Roster!$K:$K,MATCH($C233,Roster!$B:$B,0))&amp;""),"—"))</f>
        <v/>
      </c>
      <c r="M233" s="27" t="n"/>
      <c r="N233" s="27" t="n"/>
      <c r="O233" s="25">
        <f>IF($C233="","",IF($P233="","—",IF($P233="Valid (Pass)","Valid","Invalid")))</f>
        <v/>
      </c>
      <c r="P233" s="27" t="n"/>
      <c r="Q233" s="27" t="n"/>
      <c r="R233" s="27" t="n"/>
      <c r="S233" s="27" t="n"/>
      <c r="T233" s="25">
        <f>IF($C233="","",IF(OR(ISNUMBER(SEARCH("quick case",$P233)),ISNUMBER(SEARCH("quick case",$Q233))),"Yes","No"))</f>
        <v/>
      </c>
      <c r="U233" s="25">
        <f>IF($O233="Invalid",HYPERLINK("mailto:"&amp;$G233&amp;";"&amp;$I233&amp;"?cc="&amp;Lists!$E$2&amp;"&amp;subject="&amp;_xlfn.ENCODEURL("[INVALID] Quality audit monitoring completed for "&amp;UPPER($C233))&amp;"&amp;body="&amp;_xlfn.ENCODEURL("Hi "&amp;$F233&amp;","&amp;CHAR(10)&amp;"Good day!"&amp;CHAR(10)&amp;CHAR(10)&amp;"A quality monitoring audit has been completed for "&amp;$C233&amp;"."&amp;CHAR(10)&amp;CHAR(10)&amp;"QUALITY AUDIT DETAILS"&amp;CHAR(10)&amp;"Agent Name: "&amp;$C233&amp;" (EID "&amp;$D233&amp;")"&amp;CHAR(10)&amp;"Audit Date: "&amp;TEXT($B233,"yyyy-mm-dd")&amp;CHAR(10)&amp;"Team Leader: "&amp;$F233&amp;CHAR(10)&amp;"Case Number: "&amp;$M233&amp;CHAR(10)&amp;"Transaction ID: "&amp;$N233&amp;CHAR(10)&amp;"Channel / LOB: "&amp;$K233&amp;" / "&amp;$L233&amp;CHAR(10)&amp;"Evaluator: "&amp;$S233&amp;CHAR(10)&amp;CHAR(10)&amp;"INVALID QUALITY AUDIT DETAILS"&amp;CHAR(10)&amp;"Validation: Invalid"&amp;CHAR(10)&amp;"Invalid Reason: "&amp;$P233&amp;CHAR(10)&amp;"Expected Resolution Code: "&amp;$Q233&amp;CHAR(10)&amp;"Remarks: "&amp;LEFT($R233,600)&amp;CHAR(10)&amp;CHAR(10)&amp;"This is an automated notification from HP Mainstream EQMS."),"✉ Open Email Draft"),"")</f>
        <v/>
      </c>
    </row>
    <row r="234">
      <c r="A234" s="25">
        <f>IF($C234="","","AUD-2026-"&amp;TEXT(ROW()-1,"000000"))</f>
        <v/>
      </c>
      <c r="B234" s="26" t="n"/>
      <c r="C234" s="27" t="n"/>
      <c r="D234" s="25">
        <f>IF($C234="","",IFERROR(IF(INDEX(Roster!$A:$A,MATCH($C234,Roster!$B:$B,0))="","",INDEX(Roster!$A:$A,MATCH($C234,Roster!$B:$B,0))&amp;""),"—"))</f>
        <v/>
      </c>
      <c r="E234" s="25">
        <f>IF($C234="","",IFERROR(IF(INDEX(Roster!$C:$C,MATCH($C234,Roster!$B:$B,0))="","",INDEX(Roster!$C:$C,MATCH($C234,Roster!$B:$B,0))&amp;""),"—"))</f>
        <v/>
      </c>
      <c r="F234" s="25">
        <f>IF($C234="","",IFERROR(IF(INDEX(Roster!$D:$D,MATCH($C234,Roster!$B:$B,0))="","",INDEX(Roster!$D:$D,MATCH($C234,Roster!$B:$B,0))&amp;""),"—"))</f>
        <v/>
      </c>
      <c r="G234" s="25">
        <f>IF($C234="","",IFERROR(IF(INDEX(Roster!$E:$E,MATCH($C234,Roster!$B:$B,0))="","",INDEX(Roster!$E:$E,MATCH($C234,Roster!$B:$B,0))&amp;""),"—"))</f>
        <v/>
      </c>
      <c r="H234" s="25">
        <f>IF($C234="","",IFERROR(IF(INDEX(Roster!$F:$F,MATCH($C234,Roster!$B:$B,0))="","",INDEX(Roster!$F:$F,MATCH($C234,Roster!$B:$B,0))&amp;""),"—"))</f>
        <v/>
      </c>
      <c r="I234" s="25">
        <f>IF($C234="","",IFERROR(IF(INDEX(Roster!$G:$G,MATCH($C234,Roster!$B:$B,0))="","",INDEX(Roster!$G:$G,MATCH($C234,Roster!$B:$B,0))&amp;""),"—"))</f>
        <v/>
      </c>
      <c r="J234" s="25">
        <f>IF($C234="","",IFERROR(IF(INDEX(Roster!$I:$I,MATCH($C234,Roster!$B:$B,0))="","",INDEX(Roster!$I:$I,MATCH($C234,Roster!$B:$B,0))&amp;""),"—"))</f>
        <v/>
      </c>
      <c r="K234">
        <f>IF($C234="","",IFERROR(IF(INDEX(Roster!$J:$J,MATCH($C234,Roster!$B:$B,0))="","",INDEX(Roster!$J:$J,MATCH($C234,Roster!$B:$B,0))&amp;""),"—"))</f>
        <v/>
      </c>
      <c r="L234">
        <f>IF($C234="","",IFERROR(IF(INDEX(Roster!$K:$K,MATCH($C234,Roster!$B:$B,0))="","",INDEX(Roster!$K:$K,MATCH($C234,Roster!$B:$B,0))&amp;""),"—"))</f>
        <v/>
      </c>
      <c r="M234" s="27" t="n"/>
      <c r="N234" s="27" t="n"/>
      <c r="O234" s="25">
        <f>IF($C234="","",IF($P234="","—",IF($P234="Valid (Pass)","Valid","Invalid")))</f>
        <v/>
      </c>
      <c r="P234" s="27" t="n"/>
      <c r="Q234" s="27" t="n"/>
      <c r="R234" s="27" t="n"/>
      <c r="S234" s="27" t="n"/>
      <c r="T234" s="25">
        <f>IF($C234="","",IF(OR(ISNUMBER(SEARCH("quick case",$P234)),ISNUMBER(SEARCH("quick case",$Q234))),"Yes","No"))</f>
        <v/>
      </c>
      <c r="U234" s="25">
        <f>IF($O234="Invalid",HYPERLINK("mailto:"&amp;$G234&amp;";"&amp;$I234&amp;"?cc="&amp;Lists!$E$2&amp;"&amp;subject="&amp;_xlfn.ENCODEURL("[INVALID] Quality audit monitoring completed for "&amp;UPPER($C234))&amp;"&amp;body="&amp;_xlfn.ENCODEURL("Hi "&amp;$F234&amp;","&amp;CHAR(10)&amp;"Good day!"&amp;CHAR(10)&amp;CHAR(10)&amp;"A quality monitoring audit has been completed for "&amp;$C234&amp;"."&amp;CHAR(10)&amp;CHAR(10)&amp;"QUALITY AUDIT DETAILS"&amp;CHAR(10)&amp;"Agent Name: "&amp;$C234&amp;" (EID "&amp;$D234&amp;")"&amp;CHAR(10)&amp;"Audit Date: "&amp;TEXT($B234,"yyyy-mm-dd")&amp;CHAR(10)&amp;"Team Leader: "&amp;$F234&amp;CHAR(10)&amp;"Case Number: "&amp;$M234&amp;CHAR(10)&amp;"Transaction ID: "&amp;$N234&amp;CHAR(10)&amp;"Channel / LOB: "&amp;$K234&amp;" / "&amp;$L234&amp;CHAR(10)&amp;"Evaluator: "&amp;$S234&amp;CHAR(10)&amp;CHAR(10)&amp;"INVALID QUALITY AUDIT DETAILS"&amp;CHAR(10)&amp;"Validation: Invalid"&amp;CHAR(10)&amp;"Invalid Reason: "&amp;$P234&amp;CHAR(10)&amp;"Expected Resolution Code: "&amp;$Q234&amp;CHAR(10)&amp;"Remarks: "&amp;LEFT($R234,600)&amp;CHAR(10)&amp;CHAR(10)&amp;"This is an automated notification from HP Mainstream EQMS."),"✉ Open Email Draft"),"")</f>
        <v/>
      </c>
    </row>
    <row r="235">
      <c r="A235" s="25">
        <f>IF($C235="","","AUD-2026-"&amp;TEXT(ROW()-1,"000000"))</f>
        <v/>
      </c>
      <c r="B235" s="26" t="n"/>
      <c r="C235" s="27" t="n"/>
      <c r="D235" s="25">
        <f>IF($C235="","",IFERROR(IF(INDEX(Roster!$A:$A,MATCH($C235,Roster!$B:$B,0))="","",INDEX(Roster!$A:$A,MATCH($C235,Roster!$B:$B,0))&amp;""),"—"))</f>
        <v/>
      </c>
      <c r="E235" s="25">
        <f>IF($C235="","",IFERROR(IF(INDEX(Roster!$C:$C,MATCH($C235,Roster!$B:$B,0))="","",INDEX(Roster!$C:$C,MATCH($C235,Roster!$B:$B,0))&amp;""),"—"))</f>
        <v/>
      </c>
      <c r="F235" s="25">
        <f>IF($C235="","",IFERROR(IF(INDEX(Roster!$D:$D,MATCH($C235,Roster!$B:$B,0))="","",INDEX(Roster!$D:$D,MATCH($C235,Roster!$B:$B,0))&amp;""),"—"))</f>
        <v/>
      </c>
      <c r="G235" s="25">
        <f>IF($C235="","",IFERROR(IF(INDEX(Roster!$E:$E,MATCH($C235,Roster!$B:$B,0))="","",INDEX(Roster!$E:$E,MATCH($C235,Roster!$B:$B,0))&amp;""),"—"))</f>
        <v/>
      </c>
      <c r="H235" s="25">
        <f>IF($C235="","",IFERROR(IF(INDEX(Roster!$F:$F,MATCH($C235,Roster!$B:$B,0))="","",INDEX(Roster!$F:$F,MATCH($C235,Roster!$B:$B,0))&amp;""),"—"))</f>
        <v/>
      </c>
      <c r="I235" s="25">
        <f>IF($C235="","",IFERROR(IF(INDEX(Roster!$G:$G,MATCH($C235,Roster!$B:$B,0))="","",INDEX(Roster!$G:$G,MATCH($C235,Roster!$B:$B,0))&amp;""),"—"))</f>
        <v/>
      </c>
      <c r="J235" s="25">
        <f>IF($C235="","",IFERROR(IF(INDEX(Roster!$I:$I,MATCH($C235,Roster!$B:$B,0))="","",INDEX(Roster!$I:$I,MATCH($C235,Roster!$B:$B,0))&amp;""),"—"))</f>
        <v/>
      </c>
      <c r="K235">
        <f>IF($C235="","",IFERROR(IF(INDEX(Roster!$J:$J,MATCH($C235,Roster!$B:$B,0))="","",INDEX(Roster!$J:$J,MATCH($C235,Roster!$B:$B,0))&amp;""),"—"))</f>
        <v/>
      </c>
      <c r="L235">
        <f>IF($C235="","",IFERROR(IF(INDEX(Roster!$K:$K,MATCH($C235,Roster!$B:$B,0))="","",INDEX(Roster!$K:$K,MATCH($C235,Roster!$B:$B,0))&amp;""),"—"))</f>
        <v/>
      </c>
      <c r="M235" s="27" t="n"/>
      <c r="N235" s="27" t="n"/>
      <c r="O235" s="25">
        <f>IF($C235="","",IF($P235="","—",IF($P235="Valid (Pass)","Valid","Invalid")))</f>
        <v/>
      </c>
      <c r="P235" s="27" t="n"/>
      <c r="Q235" s="27" t="n"/>
      <c r="R235" s="27" t="n"/>
      <c r="S235" s="27" t="n"/>
      <c r="T235" s="25">
        <f>IF($C235="","",IF(OR(ISNUMBER(SEARCH("quick case",$P235)),ISNUMBER(SEARCH("quick case",$Q235))),"Yes","No"))</f>
        <v/>
      </c>
      <c r="U235" s="25">
        <f>IF($O235="Invalid",HYPERLINK("mailto:"&amp;$G235&amp;";"&amp;$I235&amp;"?cc="&amp;Lists!$E$2&amp;"&amp;subject="&amp;_xlfn.ENCODEURL("[INVALID] Quality audit monitoring completed for "&amp;UPPER($C235))&amp;"&amp;body="&amp;_xlfn.ENCODEURL("Hi "&amp;$F235&amp;","&amp;CHAR(10)&amp;"Good day!"&amp;CHAR(10)&amp;CHAR(10)&amp;"A quality monitoring audit has been completed for "&amp;$C235&amp;"."&amp;CHAR(10)&amp;CHAR(10)&amp;"QUALITY AUDIT DETAILS"&amp;CHAR(10)&amp;"Agent Name: "&amp;$C235&amp;" (EID "&amp;$D235&amp;")"&amp;CHAR(10)&amp;"Audit Date: "&amp;TEXT($B235,"yyyy-mm-dd")&amp;CHAR(10)&amp;"Team Leader: "&amp;$F235&amp;CHAR(10)&amp;"Case Number: "&amp;$M235&amp;CHAR(10)&amp;"Transaction ID: "&amp;$N235&amp;CHAR(10)&amp;"Channel / LOB: "&amp;$K235&amp;" / "&amp;$L235&amp;CHAR(10)&amp;"Evaluator: "&amp;$S235&amp;CHAR(10)&amp;CHAR(10)&amp;"INVALID QUALITY AUDIT DETAILS"&amp;CHAR(10)&amp;"Validation: Invalid"&amp;CHAR(10)&amp;"Invalid Reason: "&amp;$P235&amp;CHAR(10)&amp;"Expected Resolution Code: "&amp;$Q235&amp;CHAR(10)&amp;"Remarks: "&amp;LEFT($R235,600)&amp;CHAR(10)&amp;CHAR(10)&amp;"This is an automated notification from HP Mainstream EQMS."),"✉ Open Email Draft"),"")</f>
        <v/>
      </c>
    </row>
    <row r="236">
      <c r="A236" s="25">
        <f>IF($C236="","","AUD-2026-"&amp;TEXT(ROW()-1,"000000"))</f>
        <v/>
      </c>
      <c r="B236" s="26" t="n"/>
      <c r="C236" s="27" t="n"/>
      <c r="D236" s="25">
        <f>IF($C236="","",IFERROR(IF(INDEX(Roster!$A:$A,MATCH($C236,Roster!$B:$B,0))="","",INDEX(Roster!$A:$A,MATCH($C236,Roster!$B:$B,0))&amp;""),"—"))</f>
        <v/>
      </c>
      <c r="E236" s="25">
        <f>IF($C236="","",IFERROR(IF(INDEX(Roster!$C:$C,MATCH($C236,Roster!$B:$B,0))="","",INDEX(Roster!$C:$C,MATCH($C236,Roster!$B:$B,0))&amp;""),"—"))</f>
        <v/>
      </c>
      <c r="F236" s="25">
        <f>IF($C236="","",IFERROR(IF(INDEX(Roster!$D:$D,MATCH($C236,Roster!$B:$B,0))="","",INDEX(Roster!$D:$D,MATCH($C236,Roster!$B:$B,0))&amp;""),"—"))</f>
        <v/>
      </c>
      <c r="G236" s="25">
        <f>IF($C236="","",IFERROR(IF(INDEX(Roster!$E:$E,MATCH($C236,Roster!$B:$B,0))="","",INDEX(Roster!$E:$E,MATCH($C236,Roster!$B:$B,0))&amp;""),"—"))</f>
        <v/>
      </c>
      <c r="H236" s="25">
        <f>IF($C236="","",IFERROR(IF(INDEX(Roster!$F:$F,MATCH($C236,Roster!$B:$B,0))="","",INDEX(Roster!$F:$F,MATCH($C236,Roster!$B:$B,0))&amp;""),"—"))</f>
        <v/>
      </c>
      <c r="I236" s="25">
        <f>IF($C236="","",IFERROR(IF(INDEX(Roster!$G:$G,MATCH($C236,Roster!$B:$B,0))="","",INDEX(Roster!$G:$G,MATCH($C236,Roster!$B:$B,0))&amp;""),"—"))</f>
        <v/>
      </c>
      <c r="J236" s="25">
        <f>IF($C236="","",IFERROR(IF(INDEX(Roster!$I:$I,MATCH($C236,Roster!$B:$B,0))="","",INDEX(Roster!$I:$I,MATCH($C236,Roster!$B:$B,0))&amp;""),"—"))</f>
        <v/>
      </c>
      <c r="K236">
        <f>IF($C236="","",IFERROR(IF(INDEX(Roster!$J:$J,MATCH($C236,Roster!$B:$B,0))="","",INDEX(Roster!$J:$J,MATCH($C236,Roster!$B:$B,0))&amp;""),"—"))</f>
        <v/>
      </c>
      <c r="L236">
        <f>IF($C236="","",IFERROR(IF(INDEX(Roster!$K:$K,MATCH($C236,Roster!$B:$B,0))="","",INDEX(Roster!$K:$K,MATCH($C236,Roster!$B:$B,0))&amp;""),"—"))</f>
        <v/>
      </c>
      <c r="M236" s="27" t="n"/>
      <c r="N236" s="27" t="n"/>
      <c r="O236" s="25">
        <f>IF($C236="","",IF($P236="","—",IF($P236="Valid (Pass)","Valid","Invalid")))</f>
        <v/>
      </c>
      <c r="P236" s="27" t="n"/>
      <c r="Q236" s="27" t="n"/>
      <c r="R236" s="27" t="n"/>
      <c r="S236" s="27" t="n"/>
      <c r="T236" s="25">
        <f>IF($C236="","",IF(OR(ISNUMBER(SEARCH("quick case",$P236)),ISNUMBER(SEARCH("quick case",$Q236))),"Yes","No"))</f>
        <v/>
      </c>
      <c r="U236" s="25">
        <f>IF($O236="Invalid",HYPERLINK("mailto:"&amp;$G236&amp;";"&amp;$I236&amp;"?cc="&amp;Lists!$E$2&amp;"&amp;subject="&amp;_xlfn.ENCODEURL("[INVALID] Quality audit monitoring completed for "&amp;UPPER($C236))&amp;"&amp;body="&amp;_xlfn.ENCODEURL("Hi "&amp;$F236&amp;","&amp;CHAR(10)&amp;"Good day!"&amp;CHAR(10)&amp;CHAR(10)&amp;"A quality monitoring audit has been completed for "&amp;$C236&amp;"."&amp;CHAR(10)&amp;CHAR(10)&amp;"QUALITY AUDIT DETAILS"&amp;CHAR(10)&amp;"Agent Name: "&amp;$C236&amp;" (EID "&amp;$D236&amp;")"&amp;CHAR(10)&amp;"Audit Date: "&amp;TEXT($B236,"yyyy-mm-dd")&amp;CHAR(10)&amp;"Team Leader: "&amp;$F236&amp;CHAR(10)&amp;"Case Number: "&amp;$M236&amp;CHAR(10)&amp;"Transaction ID: "&amp;$N236&amp;CHAR(10)&amp;"Channel / LOB: "&amp;$K236&amp;" / "&amp;$L236&amp;CHAR(10)&amp;"Evaluator: "&amp;$S236&amp;CHAR(10)&amp;CHAR(10)&amp;"INVALID QUALITY AUDIT DETAILS"&amp;CHAR(10)&amp;"Validation: Invalid"&amp;CHAR(10)&amp;"Invalid Reason: "&amp;$P236&amp;CHAR(10)&amp;"Expected Resolution Code: "&amp;$Q236&amp;CHAR(10)&amp;"Remarks: "&amp;LEFT($R236,600)&amp;CHAR(10)&amp;CHAR(10)&amp;"This is an automated notification from HP Mainstream EQMS."),"✉ Open Email Draft"),"")</f>
        <v/>
      </c>
    </row>
    <row r="237">
      <c r="A237" s="25">
        <f>IF($C237="","","AUD-2026-"&amp;TEXT(ROW()-1,"000000"))</f>
        <v/>
      </c>
      <c r="B237" s="26" t="n"/>
      <c r="C237" s="27" t="n"/>
      <c r="D237" s="25">
        <f>IF($C237="","",IFERROR(IF(INDEX(Roster!$A:$A,MATCH($C237,Roster!$B:$B,0))="","",INDEX(Roster!$A:$A,MATCH($C237,Roster!$B:$B,0))&amp;""),"—"))</f>
        <v/>
      </c>
      <c r="E237" s="25">
        <f>IF($C237="","",IFERROR(IF(INDEX(Roster!$C:$C,MATCH($C237,Roster!$B:$B,0))="","",INDEX(Roster!$C:$C,MATCH($C237,Roster!$B:$B,0))&amp;""),"—"))</f>
        <v/>
      </c>
      <c r="F237" s="25">
        <f>IF($C237="","",IFERROR(IF(INDEX(Roster!$D:$D,MATCH($C237,Roster!$B:$B,0))="","",INDEX(Roster!$D:$D,MATCH($C237,Roster!$B:$B,0))&amp;""),"—"))</f>
        <v/>
      </c>
      <c r="G237" s="25">
        <f>IF($C237="","",IFERROR(IF(INDEX(Roster!$E:$E,MATCH($C237,Roster!$B:$B,0))="","",INDEX(Roster!$E:$E,MATCH($C237,Roster!$B:$B,0))&amp;""),"—"))</f>
        <v/>
      </c>
      <c r="H237" s="25">
        <f>IF($C237="","",IFERROR(IF(INDEX(Roster!$F:$F,MATCH($C237,Roster!$B:$B,0))="","",INDEX(Roster!$F:$F,MATCH($C237,Roster!$B:$B,0))&amp;""),"—"))</f>
        <v/>
      </c>
      <c r="I237" s="25">
        <f>IF($C237="","",IFERROR(IF(INDEX(Roster!$G:$G,MATCH($C237,Roster!$B:$B,0))="","",INDEX(Roster!$G:$G,MATCH($C237,Roster!$B:$B,0))&amp;""),"—"))</f>
        <v/>
      </c>
      <c r="J237" s="25">
        <f>IF($C237="","",IFERROR(IF(INDEX(Roster!$I:$I,MATCH($C237,Roster!$B:$B,0))="","",INDEX(Roster!$I:$I,MATCH($C237,Roster!$B:$B,0))&amp;""),"—"))</f>
        <v/>
      </c>
      <c r="K237">
        <f>IF($C237="","",IFERROR(IF(INDEX(Roster!$J:$J,MATCH($C237,Roster!$B:$B,0))="","",INDEX(Roster!$J:$J,MATCH($C237,Roster!$B:$B,0))&amp;""),"—"))</f>
        <v/>
      </c>
      <c r="L237">
        <f>IF($C237="","",IFERROR(IF(INDEX(Roster!$K:$K,MATCH($C237,Roster!$B:$B,0))="","",INDEX(Roster!$K:$K,MATCH($C237,Roster!$B:$B,0))&amp;""),"—"))</f>
        <v/>
      </c>
      <c r="M237" s="27" t="n"/>
      <c r="N237" s="27" t="n"/>
      <c r="O237" s="25">
        <f>IF($C237="","",IF($P237="","—",IF($P237="Valid (Pass)","Valid","Invalid")))</f>
        <v/>
      </c>
      <c r="P237" s="27" t="n"/>
      <c r="Q237" s="27" t="n"/>
      <c r="R237" s="27" t="n"/>
      <c r="S237" s="27" t="n"/>
      <c r="T237" s="25">
        <f>IF($C237="","",IF(OR(ISNUMBER(SEARCH("quick case",$P237)),ISNUMBER(SEARCH("quick case",$Q237))),"Yes","No"))</f>
        <v/>
      </c>
      <c r="U237" s="25">
        <f>IF($O237="Invalid",HYPERLINK("mailto:"&amp;$G237&amp;";"&amp;$I237&amp;"?cc="&amp;Lists!$E$2&amp;"&amp;subject="&amp;_xlfn.ENCODEURL("[INVALID] Quality audit monitoring completed for "&amp;UPPER($C237))&amp;"&amp;body="&amp;_xlfn.ENCODEURL("Hi "&amp;$F237&amp;","&amp;CHAR(10)&amp;"Good day!"&amp;CHAR(10)&amp;CHAR(10)&amp;"A quality monitoring audit has been completed for "&amp;$C237&amp;"."&amp;CHAR(10)&amp;CHAR(10)&amp;"QUALITY AUDIT DETAILS"&amp;CHAR(10)&amp;"Agent Name: "&amp;$C237&amp;" (EID "&amp;$D237&amp;")"&amp;CHAR(10)&amp;"Audit Date: "&amp;TEXT($B237,"yyyy-mm-dd")&amp;CHAR(10)&amp;"Team Leader: "&amp;$F237&amp;CHAR(10)&amp;"Case Number: "&amp;$M237&amp;CHAR(10)&amp;"Transaction ID: "&amp;$N237&amp;CHAR(10)&amp;"Channel / LOB: "&amp;$K237&amp;" / "&amp;$L237&amp;CHAR(10)&amp;"Evaluator: "&amp;$S237&amp;CHAR(10)&amp;CHAR(10)&amp;"INVALID QUALITY AUDIT DETAILS"&amp;CHAR(10)&amp;"Validation: Invalid"&amp;CHAR(10)&amp;"Invalid Reason: "&amp;$P237&amp;CHAR(10)&amp;"Expected Resolution Code: "&amp;$Q237&amp;CHAR(10)&amp;"Remarks: "&amp;LEFT($R237,600)&amp;CHAR(10)&amp;CHAR(10)&amp;"This is an automated notification from HP Mainstream EQMS."),"✉ Open Email Draft"),"")</f>
        <v/>
      </c>
    </row>
    <row r="238">
      <c r="A238" s="25">
        <f>IF($C238="","","AUD-2026-"&amp;TEXT(ROW()-1,"000000"))</f>
        <v/>
      </c>
      <c r="B238" s="26" t="n"/>
      <c r="C238" s="27" t="n"/>
      <c r="D238" s="25">
        <f>IF($C238="","",IFERROR(IF(INDEX(Roster!$A:$A,MATCH($C238,Roster!$B:$B,0))="","",INDEX(Roster!$A:$A,MATCH($C238,Roster!$B:$B,0))&amp;""),"—"))</f>
        <v/>
      </c>
      <c r="E238" s="25">
        <f>IF($C238="","",IFERROR(IF(INDEX(Roster!$C:$C,MATCH($C238,Roster!$B:$B,0))="","",INDEX(Roster!$C:$C,MATCH($C238,Roster!$B:$B,0))&amp;""),"—"))</f>
        <v/>
      </c>
      <c r="F238" s="25">
        <f>IF($C238="","",IFERROR(IF(INDEX(Roster!$D:$D,MATCH($C238,Roster!$B:$B,0))="","",INDEX(Roster!$D:$D,MATCH($C238,Roster!$B:$B,0))&amp;""),"—"))</f>
        <v/>
      </c>
      <c r="G238" s="25">
        <f>IF($C238="","",IFERROR(IF(INDEX(Roster!$E:$E,MATCH($C238,Roster!$B:$B,0))="","",INDEX(Roster!$E:$E,MATCH($C238,Roster!$B:$B,0))&amp;""),"—"))</f>
        <v/>
      </c>
      <c r="H238" s="25">
        <f>IF($C238="","",IFERROR(IF(INDEX(Roster!$F:$F,MATCH($C238,Roster!$B:$B,0))="","",INDEX(Roster!$F:$F,MATCH($C238,Roster!$B:$B,0))&amp;""),"—"))</f>
        <v/>
      </c>
      <c r="I238" s="25">
        <f>IF($C238="","",IFERROR(IF(INDEX(Roster!$G:$G,MATCH($C238,Roster!$B:$B,0))="","",INDEX(Roster!$G:$G,MATCH($C238,Roster!$B:$B,0))&amp;""),"—"))</f>
        <v/>
      </c>
      <c r="J238" s="25">
        <f>IF($C238="","",IFERROR(IF(INDEX(Roster!$I:$I,MATCH($C238,Roster!$B:$B,0))="","",INDEX(Roster!$I:$I,MATCH($C238,Roster!$B:$B,0))&amp;""),"—"))</f>
        <v/>
      </c>
      <c r="K238">
        <f>IF($C238="","",IFERROR(IF(INDEX(Roster!$J:$J,MATCH($C238,Roster!$B:$B,0))="","",INDEX(Roster!$J:$J,MATCH($C238,Roster!$B:$B,0))&amp;""),"—"))</f>
        <v/>
      </c>
      <c r="L238">
        <f>IF($C238="","",IFERROR(IF(INDEX(Roster!$K:$K,MATCH($C238,Roster!$B:$B,0))="","",INDEX(Roster!$K:$K,MATCH($C238,Roster!$B:$B,0))&amp;""),"—"))</f>
        <v/>
      </c>
      <c r="M238" s="27" t="n"/>
      <c r="N238" s="27" t="n"/>
      <c r="O238" s="25">
        <f>IF($C238="","",IF($P238="","—",IF($P238="Valid (Pass)","Valid","Invalid")))</f>
        <v/>
      </c>
      <c r="P238" s="27" t="n"/>
      <c r="Q238" s="27" t="n"/>
      <c r="R238" s="27" t="n"/>
      <c r="S238" s="27" t="n"/>
      <c r="T238" s="25">
        <f>IF($C238="","",IF(OR(ISNUMBER(SEARCH("quick case",$P238)),ISNUMBER(SEARCH("quick case",$Q238))),"Yes","No"))</f>
        <v/>
      </c>
      <c r="U238" s="25">
        <f>IF($O238="Invalid",HYPERLINK("mailto:"&amp;$G238&amp;";"&amp;$I238&amp;"?cc="&amp;Lists!$E$2&amp;"&amp;subject="&amp;_xlfn.ENCODEURL("[INVALID] Quality audit monitoring completed for "&amp;UPPER($C238))&amp;"&amp;body="&amp;_xlfn.ENCODEURL("Hi "&amp;$F238&amp;","&amp;CHAR(10)&amp;"Good day!"&amp;CHAR(10)&amp;CHAR(10)&amp;"A quality monitoring audit has been completed for "&amp;$C238&amp;"."&amp;CHAR(10)&amp;CHAR(10)&amp;"QUALITY AUDIT DETAILS"&amp;CHAR(10)&amp;"Agent Name: "&amp;$C238&amp;" (EID "&amp;$D238&amp;")"&amp;CHAR(10)&amp;"Audit Date: "&amp;TEXT($B238,"yyyy-mm-dd")&amp;CHAR(10)&amp;"Team Leader: "&amp;$F238&amp;CHAR(10)&amp;"Case Number: "&amp;$M238&amp;CHAR(10)&amp;"Transaction ID: "&amp;$N238&amp;CHAR(10)&amp;"Channel / LOB: "&amp;$K238&amp;" / "&amp;$L238&amp;CHAR(10)&amp;"Evaluator: "&amp;$S238&amp;CHAR(10)&amp;CHAR(10)&amp;"INVALID QUALITY AUDIT DETAILS"&amp;CHAR(10)&amp;"Validation: Invalid"&amp;CHAR(10)&amp;"Invalid Reason: "&amp;$P238&amp;CHAR(10)&amp;"Expected Resolution Code: "&amp;$Q238&amp;CHAR(10)&amp;"Remarks: "&amp;LEFT($R238,600)&amp;CHAR(10)&amp;CHAR(10)&amp;"This is an automated notification from HP Mainstream EQMS."),"✉ Open Email Draft"),"")</f>
        <v/>
      </c>
    </row>
    <row r="239">
      <c r="A239" s="25">
        <f>IF($C239="","","AUD-2026-"&amp;TEXT(ROW()-1,"000000"))</f>
        <v/>
      </c>
      <c r="B239" s="26" t="n"/>
      <c r="C239" s="27" t="n"/>
      <c r="D239" s="25">
        <f>IF($C239="","",IFERROR(IF(INDEX(Roster!$A:$A,MATCH($C239,Roster!$B:$B,0))="","",INDEX(Roster!$A:$A,MATCH($C239,Roster!$B:$B,0))&amp;""),"—"))</f>
        <v/>
      </c>
      <c r="E239" s="25">
        <f>IF($C239="","",IFERROR(IF(INDEX(Roster!$C:$C,MATCH($C239,Roster!$B:$B,0))="","",INDEX(Roster!$C:$C,MATCH($C239,Roster!$B:$B,0))&amp;""),"—"))</f>
        <v/>
      </c>
      <c r="F239" s="25">
        <f>IF($C239="","",IFERROR(IF(INDEX(Roster!$D:$D,MATCH($C239,Roster!$B:$B,0))="","",INDEX(Roster!$D:$D,MATCH($C239,Roster!$B:$B,0))&amp;""),"—"))</f>
        <v/>
      </c>
      <c r="G239" s="25">
        <f>IF($C239="","",IFERROR(IF(INDEX(Roster!$E:$E,MATCH($C239,Roster!$B:$B,0))="","",INDEX(Roster!$E:$E,MATCH($C239,Roster!$B:$B,0))&amp;""),"—"))</f>
        <v/>
      </c>
      <c r="H239" s="25">
        <f>IF($C239="","",IFERROR(IF(INDEX(Roster!$F:$F,MATCH($C239,Roster!$B:$B,0))="","",INDEX(Roster!$F:$F,MATCH($C239,Roster!$B:$B,0))&amp;""),"—"))</f>
        <v/>
      </c>
      <c r="I239" s="25">
        <f>IF($C239="","",IFERROR(IF(INDEX(Roster!$G:$G,MATCH($C239,Roster!$B:$B,0))="","",INDEX(Roster!$G:$G,MATCH($C239,Roster!$B:$B,0))&amp;""),"—"))</f>
        <v/>
      </c>
      <c r="J239" s="25">
        <f>IF($C239="","",IFERROR(IF(INDEX(Roster!$I:$I,MATCH($C239,Roster!$B:$B,0))="","",INDEX(Roster!$I:$I,MATCH($C239,Roster!$B:$B,0))&amp;""),"—"))</f>
        <v/>
      </c>
      <c r="K239">
        <f>IF($C239="","",IFERROR(IF(INDEX(Roster!$J:$J,MATCH($C239,Roster!$B:$B,0))="","",INDEX(Roster!$J:$J,MATCH($C239,Roster!$B:$B,0))&amp;""),"—"))</f>
        <v/>
      </c>
      <c r="L239">
        <f>IF($C239="","",IFERROR(IF(INDEX(Roster!$K:$K,MATCH($C239,Roster!$B:$B,0))="","",INDEX(Roster!$K:$K,MATCH($C239,Roster!$B:$B,0))&amp;""),"—"))</f>
        <v/>
      </c>
      <c r="M239" s="27" t="n"/>
      <c r="N239" s="27" t="n"/>
      <c r="O239" s="25">
        <f>IF($C239="","",IF($P239="","—",IF($P239="Valid (Pass)","Valid","Invalid")))</f>
        <v/>
      </c>
      <c r="P239" s="27" t="n"/>
      <c r="Q239" s="27" t="n"/>
      <c r="R239" s="27" t="n"/>
      <c r="S239" s="27" t="n"/>
      <c r="T239" s="25">
        <f>IF($C239="","",IF(OR(ISNUMBER(SEARCH("quick case",$P239)),ISNUMBER(SEARCH("quick case",$Q239))),"Yes","No"))</f>
        <v/>
      </c>
      <c r="U239" s="25">
        <f>IF($O239="Invalid",HYPERLINK("mailto:"&amp;$G239&amp;";"&amp;$I239&amp;"?cc="&amp;Lists!$E$2&amp;"&amp;subject="&amp;_xlfn.ENCODEURL("[INVALID] Quality audit monitoring completed for "&amp;UPPER($C239))&amp;"&amp;body="&amp;_xlfn.ENCODEURL("Hi "&amp;$F239&amp;","&amp;CHAR(10)&amp;"Good day!"&amp;CHAR(10)&amp;CHAR(10)&amp;"A quality monitoring audit has been completed for "&amp;$C239&amp;"."&amp;CHAR(10)&amp;CHAR(10)&amp;"QUALITY AUDIT DETAILS"&amp;CHAR(10)&amp;"Agent Name: "&amp;$C239&amp;" (EID "&amp;$D239&amp;")"&amp;CHAR(10)&amp;"Audit Date: "&amp;TEXT($B239,"yyyy-mm-dd")&amp;CHAR(10)&amp;"Team Leader: "&amp;$F239&amp;CHAR(10)&amp;"Case Number: "&amp;$M239&amp;CHAR(10)&amp;"Transaction ID: "&amp;$N239&amp;CHAR(10)&amp;"Channel / LOB: "&amp;$K239&amp;" / "&amp;$L239&amp;CHAR(10)&amp;"Evaluator: "&amp;$S239&amp;CHAR(10)&amp;CHAR(10)&amp;"INVALID QUALITY AUDIT DETAILS"&amp;CHAR(10)&amp;"Validation: Invalid"&amp;CHAR(10)&amp;"Invalid Reason: "&amp;$P239&amp;CHAR(10)&amp;"Expected Resolution Code: "&amp;$Q239&amp;CHAR(10)&amp;"Remarks: "&amp;LEFT($R239,600)&amp;CHAR(10)&amp;CHAR(10)&amp;"This is an automated notification from HP Mainstream EQMS."),"✉ Open Email Draft"),"")</f>
        <v/>
      </c>
    </row>
    <row r="240">
      <c r="A240" s="25">
        <f>IF($C240="","","AUD-2026-"&amp;TEXT(ROW()-1,"000000"))</f>
        <v/>
      </c>
      <c r="B240" s="26" t="n"/>
      <c r="C240" s="27" t="n"/>
      <c r="D240" s="25">
        <f>IF($C240="","",IFERROR(IF(INDEX(Roster!$A:$A,MATCH($C240,Roster!$B:$B,0))="","",INDEX(Roster!$A:$A,MATCH($C240,Roster!$B:$B,0))&amp;""),"—"))</f>
        <v/>
      </c>
      <c r="E240" s="25">
        <f>IF($C240="","",IFERROR(IF(INDEX(Roster!$C:$C,MATCH($C240,Roster!$B:$B,0))="","",INDEX(Roster!$C:$C,MATCH($C240,Roster!$B:$B,0))&amp;""),"—"))</f>
        <v/>
      </c>
      <c r="F240" s="25">
        <f>IF($C240="","",IFERROR(IF(INDEX(Roster!$D:$D,MATCH($C240,Roster!$B:$B,0))="","",INDEX(Roster!$D:$D,MATCH($C240,Roster!$B:$B,0))&amp;""),"—"))</f>
        <v/>
      </c>
      <c r="G240" s="25">
        <f>IF($C240="","",IFERROR(IF(INDEX(Roster!$E:$E,MATCH($C240,Roster!$B:$B,0))="","",INDEX(Roster!$E:$E,MATCH($C240,Roster!$B:$B,0))&amp;""),"—"))</f>
        <v/>
      </c>
      <c r="H240" s="25">
        <f>IF($C240="","",IFERROR(IF(INDEX(Roster!$F:$F,MATCH($C240,Roster!$B:$B,0))="","",INDEX(Roster!$F:$F,MATCH($C240,Roster!$B:$B,0))&amp;""),"—"))</f>
        <v/>
      </c>
      <c r="I240" s="25">
        <f>IF($C240="","",IFERROR(IF(INDEX(Roster!$G:$G,MATCH($C240,Roster!$B:$B,0))="","",INDEX(Roster!$G:$G,MATCH($C240,Roster!$B:$B,0))&amp;""),"—"))</f>
        <v/>
      </c>
      <c r="J240" s="25">
        <f>IF($C240="","",IFERROR(IF(INDEX(Roster!$I:$I,MATCH($C240,Roster!$B:$B,0))="","",INDEX(Roster!$I:$I,MATCH($C240,Roster!$B:$B,0))&amp;""),"—"))</f>
        <v/>
      </c>
      <c r="K240">
        <f>IF($C240="","",IFERROR(IF(INDEX(Roster!$J:$J,MATCH($C240,Roster!$B:$B,0))="","",INDEX(Roster!$J:$J,MATCH($C240,Roster!$B:$B,0))&amp;""),"—"))</f>
        <v/>
      </c>
      <c r="L240">
        <f>IF($C240="","",IFERROR(IF(INDEX(Roster!$K:$K,MATCH($C240,Roster!$B:$B,0))="","",INDEX(Roster!$K:$K,MATCH($C240,Roster!$B:$B,0))&amp;""),"—"))</f>
        <v/>
      </c>
      <c r="M240" s="27" t="n"/>
      <c r="N240" s="27" t="n"/>
      <c r="O240" s="25">
        <f>IF($C240="","",IF($P240="","—",IF($P240="Valid (Pass)","Valid","Invalid")))</f>
        <v/>
      </c>
      <c r="P240" s="27" t="n"/>
      <c r="Q240" s="27" t="n"/>
      <c r="R240" s="27" t="n"/>
      <c r="S240" s="27" t="n"/>
      <c r="T240" s="25">
        <f>IF($C240="","",IF(OR(ISNUMBER(SEARCH("quick case",$P240)),ISNUMBER(SEARCH("quick case",$Q240))),"Yes","No"))</f>
        <v/>
      </c>
      <c r="U240" s="25">
        <f>IF($O240="Invalid",HYPERLINK("mailto:"&amp;$G240&amp;";"&amp;$I240&amp;"?cc="&amp;Lists!$E$2&amp;"&amp;subject="&amp;_xlfn.ENCODEURL("[INVALID] Quality audit monitoring completed for "&amp;UPPER($C240))&amp;"&amp;body="&amp;_xlfn.ENCODEURL("Hi "&amp;$F240&amp;","&amp;CHAR(10)&amp;"Good day!"&amp;CHAR(10)&amp;CHAR(10)&amp;"A quality monitoring audit has been completed for "&amp;$C240&amp;"."&amp;CHAR(10)&amp;CHAR(10)&amp;"QUALITY AUDIT DETAILS"&amp;CHAR(10)&amp;"Agent Name: "&amp;$C240&amp;" (EID "&amp;$D240&amp;")"&amp;CHAR(10)&amp;"Audit Date: "&amp;TEXT($B240,"yyyy-mm-dd")&amp;CHAR(10)&amp;"Team Leader: "&amp;$F240&amp;CHAR(10)&amp;"Case Number: "&amp;$M240&amp;CHAR(10)&amp;"Transaction ID: "&amp;$N240&amp;CHAR(10)&amp;"Channel / LOB: "&amp;$K240&amp;" / "&amp;$L240&amp;CHAR(10)&amp;"Evaluator: "&amp;$S240&amp;CHAR(10)&amp;CHAR(10)&amp;"INVALID QUALITY AUDIT DETAILS"&amp;CHAR(10)&amp;"Validation: Invalid"&amp;CHAR(10)&amp;"Invalid Reason: "&amp;$P240&amp;CHAR(10)&amp;"Expected Resolution Code: "&amp;$Q240&amp;CHAR(10)&amp;"Remarks: "&amp;LEFT($R240,600)&amp;CHAR(10)&amp;CHAR(10)&amp;"This is an automated notification from HP Mainstream EQMS."),"✉ Open Email Draft"),"")</f>
        <v/>
      </c>
    </row>
    <row r="241">
      <c r="A241" s="25">
        <f>IF($C241="","","AUD-2026-"&amp;TEXT(ROW()-1,"000000"))</f>
        <v/>
      </c>
      <c r="B241" s="26" t="n"/>
      <c r="C241" s="27" t="n"/>
      <c r="D241" s="25">
        <f>IF($C241="","",IFERROR(IF(INDEX(Roster!$A:$A,MATCH($C241,Roster!$B:$B,0))="","",INDEX(Roster!$A:$A,MATCH($C241,Roster!$B:$B,0))&amp;""),"—"))</f>
        <v/>
      </c>
      <c r="E241" s="25">
        <f>IF($C241="","",IFERROR(IF(INDEX(Roster!$C:$C,MATCH($C241,Roster!$B:$B,0))="","",INDEX(Roster!$C:$C,MATCH($C241,Roster!$B:$B,0))&amp;""),"—"))</f>
        <v/>
      </c>
      <c r="F241" s="25">
        <f>IF($C241="","",IFERROR(IF(INDEX(Roster!$D:$D,MATCH($C241,Roster!$B:$B,0))="","",INDEX(Roster!$D:$D,MATCH($C241,Roster!$B:$B,0))&amp;""),"—"))</f>
        <v/>
      </c>
      <c r="G241" s="25">
        <f>IF($C241="","",IFERROR(IF(INDEX(Roster!$E:$E,MATCH($C241,Roster!$B:$B,0))="","",INDEX(Roster!$E:$E,MATCH($C241,Roster!$B:$B,0))&amp;""),"—"))</f>
        <v/>
      </c>
      <c r="H241" s="25">
        <f>IF($C241="","",IFERROR(IF(INDEX(Roster!$F:$F,MATCH($C241,Roster!$B:$B,0))="","",INDEX(Roster!$F:$F,MATCH($C241,Roster!$B:$B,0))&amp;""),"—"))</f>
        <v/>
      </c>
      <c r="I241" s="25">
        <f>IF($C241="","",IFERROR(IF(INDEX(Roster!$G:$G,MATCH($C241,Roster!$B:$B,0))="","",INDEX(Roster!$G:$G,MATCH($C241,Roster!$B:$B,0))&amp;""),"—"))</f>
        <v/>
      </c>
      <c r="J241" s="25">
        <f>IF($C241="","",IFERROR(IF(INDEX(Roster!$I:$I,MATCH($C241,Roster!$B:$B,0))="","",INDEX(Roster!$I:$I,MATCH($C241,Roster!$B:$B,0))&amp;""),"—"))</f>
        <v/>
      </c>
      <c r="K241">
        <f>IF($C241="","",IFERROR(IF(INDEX(Roster!$J:$J,MATCH($C241,Roster!$B:$B,0))="","",INDEX(Roster!$J:$J,MATCH($C241,Roster!$B:$B,0))&amp;""),"—"))</f>
        <v/>
      </c>
      <c r="L241">
        <f>IF($C241="","",IFERROR(IF(INDEX(Roster!$K:$K,MATCH($C241,Roster!$B:$B,0))="","",INDEX(Roster!$K:$K,MATCH($C241,Roster!$B:$B,0))&amp;""),"—"))</f>
        <v/>
      </c>
      <c r="M241" s="27" t="n"/>
      <c r="N241" s="27" t="n"/>
      <c r="O241" s="25">
        <f>IF($C241="","",IF($P241="","—",IF($P241="Valid (Pass)","Valid","Invalid")))</f>
        <v/>
      </c>
      <c r="P241" s="27" t="n"/>
      <c r="Q241" s="27" t="n"/>
      <c r="R241" s="27" t="n"/>
      <c r="S241" s="27" t="n"/>
      <c r="T241" s="25">
        <f>IF($C241="","",IF(OR(ISNUMBER(SEARCH("quick case",$P241)),ISNUMBER(SEARCH("quick case",$Q241))),"Yes","No"))</f>
        <v/>
      </c>
      <c r="U241" s="25">
        <f>IF($O241="Invalid",HYPERLINK("mailto:"&amp;$G241&amp;";"&amp;$I241&amp;"?cc="&amp;Lists!$E$2&amp;"&amp;subject="&amp;_xlfn.ENCODEURL("[INVALID] Quality audit monitoring completed for "&amp;UPPER($C241))&amp;"&amp;body="&amp;_xlfn.ENCODEURL("Hi "&amp;$F241&amp;","&amp;CHAR(10)&amp;"Good day!"&amp;CHAR(10)&amp;CHAR(10)&amp;"A quality monitoring audit has been completed for "&amp;$C241&amp;"."&amp;CHAR(10)&amp;CHAR(10)&amp;"QUALITY AUDIT DETAILS"&amp;CHAR(10)&amp;"Agent Name: "&amp;$C241&amp;" (EID "&amp;$D241&amp;")"&amp;CHAR(10)&amp;"Audit Date: "&amp;TEXT($B241,"yyyy-mm-dd")&amp;CHAR(10)&amp;"Team Leader: "&amp;$F241&amp;CHAR(10)&amp;"Case Number: "&amp;$M241&amp;CHAR(10)&amp;"Transaction ID: "&amp;$N241&amp;CHAR(10)&amp;"Channel / LOB: "&amp;$K241&amp;" / "&amp;$L241&amp;CHAR(10)&amp;"Evaluator: "&amp;$S241&amp;CHAR(10)&amp;CHAR(10)&amp;"INVALID QUALITY AUDIT DETAILS"&amp;CHAR(10)&amp;"Validation: Invalid"&amp;CHAR(10)&amp;"Invalid Reason: "&amp;$P241&amp;CHAR(10)&amp;"Expected Resolution Code: "&amp;$Q241&amp;CHAR(10)&amp;"Remarks: "&amp;LEFT($R241,600)&amp;CHAR(10)&amp;CHAR(10)&amp;"This is an automated notification from HP Mainstream EQMS."),"✉ Open Email Draft"),"")</f>
        <v/>
      </c>
    </row>
    <row r="242">
      <c r="A242" s="25">
        <f>IF($C242="","","AUD-2026-"&amp;TEXT(ROW()-1,"000000"))</f>
        <v/>
      </c>
      <c r="B242" s="26" t="n"/>
      <c r="C242" s="27" t="n"/>
      <c r="D242" s="25">
        <f>IF($C242="","",IFERROR(IF(INDEX(Roster!$A:$A,MATCH($C242,Roster!$B:$B,0))="","",INDEX(Roster!$A:$A,MATCH($C242,Roster!$B:$B,0))&amp;""),"—"))</f>
        <v/>
      </c>
      <c r="E242" s="25">
        <f>IF($C242="","",IFERROR(IF(INDEX(Roster!$C:$C,MATCH($C242,Roster!$B:$B,0))="","",INDEX(Roster!$C:$C,MATCH($C242,Roster!$B:$B,0))&amp;""),"—"))</f>
        <v/>
      </c>
      <c r="F242" s="25">
        <f>IF($C242="","",IFERROR(IF(INDEX(Roster!$D:$D,MATCH($C242,Roster!$B:$B,0))="","",INDEX(Roster!$D:$D,MATCH($C242,Roster!$B:$B,0))&amp;""),"—"))</f>
        <v/>
      </c>
      <c r="G242" s="25">
        <f>IF($C242="","",IFERROR(IF(INDEX(Roster!$E:$E,MATCH($C242,Roster!$B:$B,0))="","",INDEX(Roster!$E:$E,MATCH($C242,Roster!$B:$B,0))&amp;""),"—"))</f>
        <v/>
      </c>
      <c r="H242" s="25">
        <f>IF($C242="","",IFERROR(IF(INDEX(Roster!$F:$F,MATCH($C242,Roster!$B:$B,0))="","",INDEX(Roster!$F:$F,MATCH($C242,Roster!$B:$B,0))&amp;""),"—"))</f>
        <v/>
      </c>
      <c r="I242" s="25">
        <f>IF($C242="","",IFERROR(IF(INDEX(Roster!$G:$G,MATCH($C242,Roster!$B:$B,0))="","",INDEX(Roster!$G:$G,MATCH($C242,Roster!$B:$B,0))&amp;""),"—"))</f>
        <v/>
      </c>
      <c r="J242" s="25">
        <f>IF($C242="","",IFERROR(IF(INDEX(Roster!$I:$I,MATCH($C242,Roster!$B:$B,0))="","",INDEX(Roster!$I:$I,MATCH($C242,Roster!$B:$B,0))&amp;""),"—"))</f>
        <v/>
      </c>
      <c r="K242">
        <f>IF($C242="","",IFERROR(IF(INDEX(Roster!$J:$J,MATCH($C242,Roster!$B:$B,0))="","",INDEX(Roster!$J:$J,MATCH($C242,Roster!$B:$B,0))&amp;""),"—"))</f>
        <v/>
      </c>
      <c r="L242">
        <f>IF($C242="","",IFERROR(IF(INDEX(Roster!$K:$K,MATCH($C242,Roster!$B:$B,0))="","",INDEX(Roster!$K:$K,MATCH($C242,Roster!$B:$B,0))&amp;""),"—"))</f>
        <v/>
      </c>
      <c r="M242" s="27" t="n"/>
      <c r="N242" s="27" t="n"/>
      <c r="O242" s="25">
        <f>IF($C242="","",IF($P242="","—",IF($P242="Valid (Pass)","Valid","Invalid")))</f>
        <v/>
      </c>
      <c r="P242" s="27" t="n"/>
      <c r="Q242" s="27" t="n"/>
      <c r="R242" s="27" t="n"/>
      <c r="S242" s="27" t="n"/>
      <c r="T242" s="25">
        <f>IF($C242="","",IF(OR(ISNUMBER(SEARCH("quick case",$P242)),ISNUMBER(SEARCH("quick case",$Q242))),"Yes","No"))</f>
        <v/>
      </c>
      <c r="U242" s="25">
        <f>IF($O242="Invalid",HYPERLINK("mailto:"&amp;$G242&amp;";"&amp;$I242&amp;"?cc="&amp;Lists!$E$2&amp;"&amp;subject="&amp;_xlfn.ENCODEURL("[INVALID] Quality audit monitoring completed for "&amp;UPPER($C242))&amp;"&amp;body="&amp;_xlfn.ENCODEURL("Hi "&amp;$F242&amp;","&amp;CHAR(10)&amp;"Good day!"&amp;CHAR(10)&amp;CHAR(10)&amp;"A quality monitoring audit has been completed for "&amp;$C242&amp;"."&amp;CHAR(10)&amp;CHAR(10)&amp;"QUALITY AUDIT DETAILS"&amp;CHAR(10)&amp;"Agent Name: "&amp;$C242&amp;" (EID "&amp;$D242&amp;")"&amp;CHAR(10)&amp;"Audit Date: "&amp;TEXT($B242,"yyyy-mm-dd")&amp;CHAR(10)&amp;"Team Leader: "&amp;$F242&amp;CHAR(10)&amp;"Case Number: "&amp;$M242&amp;CHAR(10)&amp;"Transaction ID: "&amp;$N242&amp;CHAR(10)&amp;"Channel / LOB: "&amp;$K242&amp;" / "&amp;$L242&amp;CHAR(10)&amp;"Evaluator: "&amp;$S242&amp;CHAR(10)&amp;CHAR(10)&amp;"INVALID QUALITY AUDIT DETAILS"&amp;CHAR(10)&amp;"Validation: Invalid"&amp;CHAR(10)&amp;"Invalid Reason: "&amp;$P242&amp;CHAR(10)&amp;"Expected Resolution Code: "&amp;$Q242&amp;CHAR(10)&amp;"Remarks: "&amp;LEFT($R242,600)&amp;CHAR(10)&amp;CHAR(10)&amp;"This is an automated notification from HP Mainstream EQMS."),"✉ Open Email Draft"),"")</f>
        <v/>
      </c>
    </row>
    <row r="243">
      <c r="A243" s="25">
        <f>IF($C243="","","AUD-2026-"&amp;TEXT(ROW()-1,"000000"))</f>
        <v/>
      </c>
      <c r="B243" s="26" t="n"/>
      <c r="C243" s="27" t="n"/>
      <c r="D243" s="25">
        <f>IF($C243="","",IFERROR(IF(INDEX(Roster!$A:$A,MATCH($C243,Roster!$B:$B,0))="","",INDEX(Roster!$A:$A,MATCH($C243,Roster!$B:$B,0))&amp;""),"—"))</f>
        <v/>
      </c>
      <c r="E243" s="25">
        <f>IF($C243="","",IFERROR(IF(INDEX(Roster!$C:$C,MATCH($C243,Roster!$B:$B,0))="","",INDEX(Roster!$C:$C,MATCH($C243,Roster!$B:$B,0))&amp;""),"—"))</f>
        <v/>
      </c>
      <c r="F243" s="25">
        <f>IF($C243="","",IFERROR(IF(INDEX(Roster!$D:$D,MATCH($C243,Roster!$B:$B,0))="","",INDEX(Roster!$D:$D,MATCH($C243,Roster!$B:$B,0))&amp;""),"—"))</f>
        <v/>
      </c>
      <c r="G243" s="25">
        <f>IF($C243="","",IFERROR(IF(INDEX(Roster!$E:$E,MATCH($C243,Roster!$B:$B,0))="","",INDEX(Roster!$E:$E,MATCH($C243,Roster!$B:$B,0))&amp;""),"—"))</f>
        <v/>
      </c>
      <c r="H243" s="25">
        <f>IF($C243="","",IFERROR(IF(INDEX(Roster!$F:$F,MATCH($C243,Roster!$B:$B,0))="","",INDEX(Roster!$F:$F,MATCH($C243,Roster!$B:$B,0))&amp;""),"—"))</f>
        <v/>
      </c>
      <c r="I243" s="25">
        <f>IF($C243="","",IFERROR(IF(INDEX(Roster!$G:$G,MATCH($C243,Roster!$B:$B,0))="","",INDEX(Roster!$G:$G,MATCH($C243,Roster!$B:$B,0))&amp;""),"—"))</f>
        <v/>
      </c>
      <c r="J243" s="25">
        <f>IF($C243="","",IFERROR(IF(INDEX(Roster!$I:$I,MATCH($C243,Roster!$B:$B,0))="","",INDEX(Roster!$I:$I,MATCH($C243,Roster!$B:$B,0))&amp;""),"—"))</f>
        <v/>
      </c>
      <c r="K243">
        <f>IF($C243="","",IFERROR(IF(INDEX(Roster!$J:$J,MATCH($C243,Roster!$B:$B,0))="","",INDEX(Roster!$J:$J,MATCH($C243,Roster!$B:$B,0))&amp;""),"—"))</f>
        <v/>
      </c>
      <c r="L243">
        <f>IF($C243="","",IFERROR(IF(INDEX(Roster!$K:$K,MATCH($C243,Roster!$B:$B,0))="","",INDEX(Roster!$K:$K,MATCH($C243,Roster!$B:$B,0))&amp;""),"—"))</f>
        <v/>
      </c>
      <c r="M243" s="27" t="n"/>
      <c r="N243" s="27" t="n"/>
      <c r="O243" s="25">
        <f>IF($C243="","",IF($P243="","—",IF($P243="Valid (Pass)","Valid","Invalid")))</f>
        <v/>
      </c>
      <c r="P243" s="27" t="n"/>
      <c r="Q243" s="27" t="n"/>
      <c r="R243" s="27" t="n"/>
      <c r="S243" s="27" t="n"/>
      <c r="T243" s="25">
        <f>IF($C243="","",IF(OR(ISNUMBER(SEARCH("quick case",$P243)),ISNUMBER(SEARCH("quick case",$Q243))),"Yes","No"))</f>
        <v/>
      </c>
      <c r="U243" s="25">
        <f>IF($O243="Invalid",HYPERLINK("mailto:"&amp;$G243&amp;";"&amp;$I243&amp;"?cc="&amp;Lists!$E$2&amp;"&amp;subject="&amp;_xlfn.ENCODEURL("[INVALID] Quality audit monitoring completed for "&amp;UPPER($C243))&amp;"&amp;body="&amp;_xlfn.ENCODEURL("Hi "&amp;$F243&amp;","&amp;CHAR(10)&amp;"Good day!"&amp;CHAR(10)&amp;CHAR(10)&amp;"A quality monitoring audit has been completed for "&amp;$C243&amp;"."&amp;CHAR(10)&amp;CHAR(10)&amp;"QUALITY AUDIT DETAILS"&amp;CHAR(10)&amp;"Agent Name: "&amp;$C243&amp;" (EID "&amp;$D243&amp;")"&amp;CHAR(10)&amp;"Audit Date: "&amp;TEXT($B243,"yyyy-mm-dd")&amp;CHAR(10)&amp;"Team Leader: "&amp;$F243&amp;CHAR(10)&amp;"Case Number: "&amp;$M243&amp;CHAR(10)&amp;"Transaction ID: "&amp;$N243&amp;CHAR(10)&amp;"Channel / LOB: "&amp;$K243&amp;" / "&amp;$L243&amp;CHAR(10)&amp;"Evaluator: "&amp;$S243&amp;CHAR(10)&amp;CHAR(10)&amp;"INVALID QUALITY AUDIT DETAILS"&amp;CHAR(10)&amp;"Validation: Invalid"&amp;CHAR(10)&amp;"Invalid Reason: "&amp;$P243&amp;CHAR(10)&amp;"Expected Resolution Code: "&amp;$Q243&amp;CHAR(10)&amp;"Remarks: "&amp;LEFT($R243,600)&amp;CHAR(10)&amp;CHAR(10)&amp;"This is an automated notification from HP Mainstream EQMS."),"✉ Open Email Draft"),"")</f>
        <v/>
      </c>
    </row>
    <row r="244">
      <c r="A244" s="25">
        <f>IF($C244="","","AUD-2026-"&amp;TEXT(ROW()-1,"000000"))</f>
        <v/>
      </c>
      <c r="B244" s="26" t="n"/>
      <c r="C244" s="27" t="n"/>
      <c r="D244" s="25">
        <f>IF($C244="","",IFERROR(IF(INDEX(Roster!$A:$A,MATCH($C244,Roster!$B:$B,0))="","",INDEX(Roster!$A:$A,MATCH($C244,Roster!$B:$B,0))&amp;""),"—"))</f>
        <v/>
      </c>
      <c r="E244" s="25">
        <f>IF($C244="","",IFERROR(IF(INDEX(Roster!$C:$C,MATCH($C244,Roster!$B:$B,0))="","",INDEX(Roster!$C:$C,MATCH($C244,Roster!$B:$B,0))&amp;""),"—"))</f>
        <v/>
      </c>
      <c r="F244" s="25">
        <f>IF($C244="","",IFERROR(IF(INDEX(Roster!$D:$D,MATCH($C244,Roster!$B:$B,0))="","",INDEX(Roster!$D:$D,MATCH($C244,Roster!$B:$B,0))&amp;""),"—"))</f>
        <v/>
      </c>
      <c r="G244" s="25">
        <f>IF($C244="","",IFERROR(IF(INDEX(Roster!$E:$E,MATCH($C244,Roster!$B:$B,0))="","",INDEX(Roster!$E:$E,MATCH($C244,Roster!$B:$B,0))&amp;""),"—"))</f>
        <v/>
      </c>
      <c r="H244" s="25">
        <f>IF($C244="","",IFERROR(IF(INDEX(Roster!$F:$F,MATCH($C244,Roster!$B:$B,0))="","",INDEX(Roster!$F:$F,MATCH($C244,Roster!$B:$B,0))&amp;""),"—"))</f>
        <v/>
      </c>
      <c r="I244" s="25">
        <f>IF($C244="","",IFERROR(IF(INDEX(Roster!$G:$G,MATCH($C244,Roster!$B:$B,0))="","",INDEX(Roster!$G:$G,MATCH($C244,Roster!$B:$B,0))&amp;""),"—"))</f>
        <v/>
      </c>
      <c r="J244" s="25">
        <f>IF($C244="","",IFERROR(IF(INDEX(Roster!$I:$I,MATCH($C244,Roster!$B:$B,0))="","",INDEX(Roster!$I:$I,MATCH($C244,Roster!$B:$B,0))&amp;""),"—"))</f>
        <v/>
      </c>
      <c r="K244">
        <f>IF($C244="","",IFERROR(IF(INDEX(Roster!$J:$J,MATCH($C244,Roster!$B:$B,0))="","",INDEX(Roster!$J:$J,MATCH($C244,Roster!$B:$B,0))&amp;""),"—"))</f>
        <v/>
      </c>
      <c r="L244">
        <f>IF($C244="","",IFERROR(IF(INDEX(Roster!$K:$K,MATCH($C244,Roster!$B:$B,0))="","",INDEX(Roster!$K:$K,MATCH($C244,Roster!$B:$B,0))&amp;""),"—"))</f>
        <v/>
      </c>
      <c r="M244" s="27" t="n"/>
      <c r="N244" s="27" t="n"/>
      <c r="O244" s="25">
        <f>IF($C244="","",IF($P244="","—",IF($P244="Valid (Pass)","Valid","Invalid")))</f>
        <v/>
      </c>
      <c r="P244" s="27" t="n"/>
      <c r="Q244" s="27" t="n"/>
      <c r="R244" s="27" t="n"/>
      <c r="S244" s="27" t="n"/>
      <c r="T244" s="25">
        <f>IF($C244="","",IF(OR(ISNUMBER(SEARCH("quick case",$P244)),ISNUMBER(SEARCH("quick case",$Q244))),"Yes","No"))</f>
        <v/>
      </c>
      <c r="U244" s="25">
        <f>IF($O244="Invalid",HYPERLINK("mailto:"&amp;$G244&amp;";"&amp;$I244&amp;"?cc="&amp;Lists!$E$2&amp;"&amp;subject="&amp;_xlfn.ENCODEURL("[INVALID] Quality audit monitoring completed for "&amp;UPPER($C244))&amp;"&amp;body="&amp;_xlfn.ENCODEURL("Hi "&amp;$F244&amp;","&amp;CHAR(10)&amp;"Good day!"&amp;CHAR(10)&amp;CHAR(10)&amp;"A quality monitoring audit has been completed for "&amp;$C244&amp;"."&amp;CHAR(10)&amp;CHAR(10)&amp;"QUALITY AUDIT DETAILS"&amp;CHAR(10)&amp;"Agent Name: "&amp;$C244&amp;" (EID "&amp;$D244&amp;")"&amp;CHAR(10)&amp;"Audit Date: "&amp;TEXT($B244,"yyyy-mm-dd")&amp;CHAR(10)&amp;"Team Leader: "&amp;$F244&amp;CHAR(10)&amp;"Case Number: "&amp;$M244&amp;CHAR(10)&amp;"Transaction ID: "&amp;$N244&amp;CHAR(10)&amp;"Channel / LOB: "&amp;$K244&amp;" / "&amp;$L244&amp;CHAR(10)&amp;"Evaluator: "&amp;$S244&amp;CHAR(10)&amp;CHAR(10)&amp;"INVALID QUALITY AUDIT DETAILS"&amp;CHAR(10)&amp;"Validation: Invalid"&amp;CHAR(10)&amp;"Invalid Reason: "&amp;$P244&amp;CHAR(10)&amp;"Expected Resolution Code: "&amp;$Q244&amp;CHAR(10)&amp;"Remarks: "&amp;LEFT($R244,600)&amp;CHAR(10)&amp;CHAR(10)&amp;"This is an automated notification from HP Mainstream EQMS."),"✉ Open Email Draft"),"")</f>
        <v/>
      </c>
    </row>
    <row r="245">
      <c r="A245" s="25">
        <f>IF($C245="","","AUD-2026-"&amp;TEXT(ROW()-1,"000000"))</f>
        <v/>
      </c>
      <c r="B245" s="26" t="n"/>
      <c r="C245" s="27" t="n"/>
      <c r="D245" s="25">
        <f>IF($C245="","",IFERROR(IF(INDEX(Roster!$A:$A,MATCH($C245,Roster!$B:$B,0))="","",INDEX(Roster!$A:$A,MATCH($C245,Roster!$B:$B,0))&amp;""),"—"))</f>
        <v/>
      </c>
      <c r="E245" s="25">
        <f>IF($C245="","",IFERROR(IF(INDEX(Roster!$C:$C,MATCH($C245,Roster!$B:$B,0))="","",INDEX(Roster!$C:$C,MATCH($C245,Roster!$B:$B,0))&amp;""),"—"))</f>
        <v/>
      </c>
      <c r="F245" s="25">
        <f>IF($C245="","",IFERROR(IF(INDEX(Roster!$D:$D,MATCH($C245,Roster!$B:$B,0))="","",INDEX(Roster!$D:$D,MATCH($C245,Roster!$B:$B,0))&amp;""),"—"))</f>
        <v/>
      </c>
      <c r="G245" s="25">
        <f>IF($C245="","",IFERROR(IF(INDEX(Roster!$E:$E,MATCH($C245,Roster!$B:$B,0))="","",INDEX(Roster!$E:$E,MATCH($C245,Roster!$B:$B,0))&amp;""),"—"))</f>
        <v/>
      </c>
      <c r="H245" s="25">
        <f>IF($C245="","",IFERROR(IF(INDEX(Roster!$F:$F,MATCH($C245,Roster!$B:$B,0))="","",INDEX(Roster!$F:$F,MATCH($C245,Roster!$B:$B,0))&amp;""),"—"))</f>
        <v/>
      </c>
      <c r="I245" s="25">
        <f>IF($C245="","",IFERROR(IF(INDEX(Roster!$G:$G,MATCH($C245,Roster!$B:$B,0))="","",INDEX(Roster!$G:$G,MATCH($C245,Roster!$B:$B,0))&amp;""),"—"))</f>
        <v/>
      </c>
      <c r="J245" s="25">
        <f>IF($C245="","",IFERROR(IF(INDEX(Roster!$I:$I,MATCH($C245,Roster!$B:$B,0))="","",INDEX(Roster!$I:$I,MATCH($C245,Roster!$B:$B,0))&amp;""),"—"))</f>
        <v/>
      </c>
      <c r="K245">
        <f>IF($C245="","",IFERROR(IF(INDEX(Roster!$J:$J,MATCH($C245,Roster!$B:$B,0))="","",INDEX(Roster!$J:$J,MATCH($C245,Roster!$B:$B,0))&amp;""),"—"))</f>
        <v/>
      </c>
      <c r="L245">
        <f>IF($C245="","",IFERROR(IF(INDEX(Roster!$K:$K,MATCH($C245,Roster!$B:$B,0))="","",INDEX(Roster!$K:$K,MATCH($C245,Roster!$B:$B,0))&amp;""),"—"))</f>
        <v/>
      </c>
      <c r="M245" s="27" t="n"/>
      <c r="N245" s="27" t="n"/>
      <c r="O245" s="25">
        <f>IF($C245="","",IF($P245="","—",IF($P245="Valid (Pass)","Valid","Invalid")))</f>
        <v/>
      </c>
      <c r="P245" s="27" t="n"/>
      <c r="Q245" s="27" t="n"/>
      <c r="R245" s="27" t="n"/>
      <c r="S245" s="27" t="n"/>
      <c r="T245" s="25">
        <f>IF($C245="","",IF(OR(ISNUMBER(SEARCH("quick case",$P245)),ISNUMBER(SEARCH("quick case",$Q245))),"Yes","No"))</f>
        <v/>
      </c>
      <c r="U245" s="25">
        <f>IF($O245="Invalid",HYPERLINK("mailto:"&amp;$G245&amp;";"&amp;$I245&amp;"?cc="&amp;Lists!$E$2&amp;"&amp;subject="&amp;_xlfn.ENCODEURL("[INVALID] Quality audit monitoring completed for "&amp;UPPER($C245))&amp;"&amp;body="&amp;_xlfn.ENCODEURL("Hi "&amp;$F245&amp;","&amp;CHAR(10)&amp;"Good day!"&amp;CHAR(10)&amp;CHAR(10)&amp;"A quality monitoring audit has been completed for "&amp;$C245&amp;"."&amp;CHAR(10)&amp;CHAR(10)&amp;"QUALITY AUDIT DETAILS"&amp;CHAR(10)&amp;"Agent Name: "&amp;$C245&amp;" (EID "&amp;$D245&amp;")"&amp;CHAR(10)&amp;"Audit Date: "&amp;TEXT($B245,"yyyy-mm-dd")&amp;CHAR(10)&amp;"Team Leader: "&amp;$F245&amp;CHAR(10)&amp;"Case Number: "&amp;$M245&amp;CHAR(10)&amp;"Transaction ID: "&amp;$N245&amp;CHAR(10)&amp;"Channel / LOB: "&amp;$K245&amp;" / "&amp;$L245&amp;CHAR(10)&amp;"Evaluator: "&amp;$S245&amp;CHAR(10)&amp;CHAR(10)&amp;"INVALID QUALITY AUDIT DETAILS"&amp;CHAR(10)&amp;"Validation: Invalid"&amp;CHAR(10)&amp;"Invalid Reason: "&amp;$P245&amp;CHAR(10)&amp;"Expected Resolution Code: "&amp;$Q245&amp;CHAR(10)&amp;"Remarks: "&amp;LEFT($R245,600)&amp;CHAR(10)&amp;CHAR(10)&amp;"This is an automated notification from HP Mainstream EQMS."),"✉ Open Email Draft"),"")</f>
        <v/>
      </c>
    </row>
    <row r="246">
      <c r="A246" s="25">
        <f>IF($C246="","","AUD-2026-"&amp;TEXT(ROW()-1,"000000"))</f>
        <v/>
      </c>
      <c r="B246" s="26" t="n"/>
      <c r="C246" s="27" t="n"/>
      <c r="D246" s="25">
        <f>IF($C246="","",IFERROR(IF(INDEX(Roster!$A:$A,MATCH($C246,Roster!$B:$B,0))="","",INDEX(Roster!$A:$A,MATCH($C246,Roster!$B:$B,0))&amp;""),"—"))</f>
        <v/>
      </c>
      <c r="E246" s="25">
        <f>IF($C246="","",IFERROR(IF(INDEX(Roster!$C:$C,MATCH($C246,Roster!$B:$B,0))="","",INDEX(Roster!$C:$C,MATCH($C246,Roster!$B:$B,0))&amp;""),"—"))</f>
        <v/>
      </c>
      <c r="F246" s="25">
        <f>IF($C246="","",IFERROR(IF(INDEX(Roster!$D:$D,MATCH($C246,Roster!$B:$B,0))="","",INDEX(Roster!$D:$D,MATCH($C246,Roster!$B:$B,0))&amp;""),"—"))</f>
        <v/>
      </c>
      <c r="G246" s="25">
        <f>IF($C246="","",IFERROR(IF(INDEX(Roster!$E:$E,MATCH($C246,Roster!$B:$B,0))="","",INDEX(Roster!$E:$E,MATCH($C246,Roster!$B:$B,0))&amp;""),"—"))</f>
        <v/>
      </c>
      <c r="H246" s="25">
        <f>IF($C246="","",IFERROR(IF(INDEX(Roster!$F:$F,MATCH($C246,Roster!$B:$B,0))="","",INDEX(Roster!$F:$F,MATCH($C246,Roster!$B:$B,0))&amp;""),"—"))</f>
        <v/>
      </c>
      <c r="I246" s="25">
        <f>IF($C246="","",IFERROR(IF(INDEX(Roster!$G:$G,MATCH($C246,Roster!$B:$B,0))="","",INDEX(Roster!$G:$G,MATCH($C246,Roster!$B:$B,0))&amp;""),"—"))</f>
        <v/>
      </c>
      <c r="J246" s="25">
        <f>IF($C246="","",IFERROR(IF(INDEX(Roster!$I:$I,MATCH($C246,Roster!$B:$B,0))="","",INDEX(Roster!$I:$I,MATCH($C246,Roster!$B:$B,0))&amp;""),"—"))</f>
        <v/>
      </c>
      <c r="K246">
        <f>IF($C246="","",IFERROR(IF(INDEX(Roster!$J:$J,MATCH($C246,Roster!$B:$B,0))="","",INDEX(Roster!$J:$J,MATCH($C246,Roster!$B:$B,0))&amp;""),"—"))</f>
        <v/>
      </c>
      <c r="L246">
        <f>IF($C246="","",IFERROR(IF(INDEX(Roster!$K:$K,MATCH($C246,Roster!$B:$B,0))="","",INDEX(Roster!$K:$K,MATCH($C246,Roster!$B:$B,0))&amp;""),"—"))</f>
        <v/>
      </c>
      <c r="M246" s="27" t="n"/>
      <c r="N246" s="27" t="n"/>
      <c r="O246" s="25">
        <f>IF($C246="","",IF($P246="","—",IF($P246="Valid (Pass)","Valid","Invalid")))</f>
        <v/>
      </c>
      <c r="P246" s="27" t="n"/>
      <c r="Q246" s="27" t="n"/>
      <c r="R246" s="27" t="n"/>
      <c r="S246" s="27" t="n"/>
      <c r="T246" s="25">
        <f>IF($C246="","",IF(OR(ISNUMBER(SEARCH("quick case",$P246)),ISNUMBER(SEARCH("quick case",$Q246))),"Yes","No"))</f>
        <v/>
      </c>
      <c r="U246" s="25">
        <f>IF($O246="Invalid",HYPERLINK("mailto:"&amp;$G246&amp;";"&amp;$I246&amp;"?cc="&amp;Lists!$E$2&amp;"&amp;subject="&amp;_xlfn.ENCODEURL("[INVALID] Quality audit monitoring completed for "&amp;UPPER($C246))&amp;"&amp;body="&amp;_xlfn.ENCODEURL("Hi "&amp;$F246&amp;","&amp;CHAR(10)&amp;"Good day!"&amp;CHAR(10)&amp;CHAR(10)&amp;"A quality monitoring audit has been completed for "&amp;$C246&amp;"."&amp;CHAR(10)&amp;CHAR(10)&amp;"QUALITY AUDIT DETAILS"&amp;CHAR(10)&amp;"Agent Name: "&amp;$C246&amp;" (EID "&amp;$D246&amp;")"&amp;CHAR(10)&amp;"Audit Date: "&amp;TEXT($B246,"yyyy-mm-dd")&amp;CHAR(10)&amp;"Team Leader: "&amp;$F246&amp;CHAR(10)&amp;"Case Number: "&amp;$M246&amp;CHAR(10)&amp;"Transaction ID: "&amp;$N246&amp;CHAR(10)&amp;"Channel / LOB: "&amp;$K246&amp;" / "&amp;$L246&amp;CHAR(10)&amp;"Evaluator: "&amp;$S246&amp;CHAR(10)&amp;CHAR(10)&amp;"INVALID QUALITY AUDIT DETAILS"&amp;CHAR(10)&amp;"Validation: Invalid"&amp;CHAR(10)&amp;"Invalid Reason: "&amp;$P246&amp;CHAR(10)&amp;"Expected Resolution Code: "&amp;$Q246&amp;CHAR(10)&amp;"Remarks: "&amp;LEFT($R246,600)&amp;CHAR(10)&amp;CHAR(10)&amp;"This is an automated notification from HP Mainstream EQMS."),"✉ Open Email Draft"),"")</f>
        <v/>
      </c>
    </row>
    <row r="247">
      <c r="A247" s="25">
        <f>IF($C247="","","AUD-2026-"&amp;TEXT(ROW()-1,"000000"))</f>
        <v/>
      </c>
      <c r="B247" s="26" t="n"/>
      <c r="C247" s="27" t="n"/>
      <c r="D247" s="25">
        <f>IF($C247="","",IFERROR(IF(INDEX(Roster!$A:$A,MATCH($C247,Roster!$B:$B,0))="","",INDEX(Roster!$A:$A,MATCH($C247,Roster!$B:$B,0))&amp;""),"—"))</f>
        <v/>
      </c>
      <c r="E247" s="25">
        <f>IF($C247="","",IFERROR(IF(INDEX(Roster!$C:$C,MATCH($C247,Roster!$B:$B,0))="","",INDEX(Roster!$C:$C,MATCH($C247,Roster!$B:$B,0))&amp;""),"—"))</f>
        <v/>
      </c>
      <c r="F247" s="25">
        <f>IF($C247="","",IFERROR(IF(INDEX(Roster!$D:$D,MATCH($C247,Roster!$B:$B,0))="","",INDEX(Roster!$D:$D,MATCH($C247,Roster!$B:$B,0))&amp;""),"—"))</f>
        <v/>
      </c>
      <c r="G247" s="25">
        <f>IF($C247="","",IFERROR(IF(INDEX(Roster!$E:$E,MATCH($C247,Roster!$B:$B,0))="","",INDEX(Roster!$E:$E,MATCH($C247,Roster!$B:$B,0))&amp;""),"—"))</f>
        <v/>
      </c>
      <c r="H247" s="25">
        <f>IF($C247="","",IFERROR(IF(INDEX(Roster!$F:$F,MATCH($C247,Roster!$B:$B,0))="","",INDEX(Roster!$F:$F,MATCH($C247,Roster!$B:$B,0))&amp;""),"—"))</f>
        <v/>
      </c>
      <c r="I247" s="25">
        <f>IF($C247="","",IFERROR(IF(INDEX(Roster!$G:$G,MATCH($C247,Roster!$B:$B,0))="","",INDEX(Roster!$G:$G,MATCH($C247,Roster!$B:$B,0))&amp;""),"—"))</f>
        <v/>
      </c>
      <c r="J247" s="25">
        <f>IF($C247="","",IFERROR(IF(INDEX(Roster!$I:$I,MATCH($C247,Roster!$B:$B,0))="","",INDEX(Roster!$I:$I,MATCH($C247,Roster!$B:$B,0))&amp;""),"—"))</f>
        <v/>
      </c>
      <c r="K247">
        <f>IF($C247="","",IFERROR(IF(INDEX(Roster!$J:$J,MATCH($C247,Roster!$B:$B,0))="","",INDEX(Roster!$J:$J,MATCH($C247,Roster!$B:$B,0))&amp;""),"—"))</f>
        <v/>
      </c>
      <c r="L247">
        <f>IF($C247="","",IFERROR(IF(INDEX(Roster!$K:$K,MATCH($C247,Roster!$B:$B,0))="","",INDEX(Roster!$K:$K,MATCH($C247,Roster!$B:$B,0))&amp;""),"—"))</f>
        <v/>
      </c>
      <c r="M247" s="27" t="n"/>
      <c r="N247" s="27" t="n"/>
      <c r="O247" s="25">
        <f>IF($C247="","",IF($P247="","—",IF($P247="Valid (Pass)","Valid","Invalid")))</f>
        <v/>
      </c>
      <c r="P247" s="27" t="n"/>
      <c r="Q247" s="27" t="n"/>
      <c r="R247" s="27" t="n"/>
      <c r="S247" s="27" t="n"/>
      <c r="T247" s="25">
        <f>IF($C247="","",IF(OR(ISNUMBER(SEARCH("quick case",$P247)),ISNUMBER(SEARCH("quick case",$Q247))),"Yes","No"))</f>
        <v/>
      </c>
      <c r="U247" s="25">
        <f>IF($O247="Invalid",HYPERLINK("mailto:"&amp;$G247&amp;";"&amp;$I247&amp;"?cc="&amp;Lists!$E$2&amp;"&amp;subject="&amp;_xlfn.ENCODEURL("[INVALID] Quality audit monitoring completed for "&amp;UPPER($C247))&amp;"&amp;body="&amp;_xlfn.ENCODEURL("Hi "&amp;$F247&amp;","&amp;CHAR(10)&amp;"Good day!"&amp;CHAR(10)&amp;CHAR(10)&amp;"A quality monitoring audit has been completed for "&amp;$C247&amp;"."&amp;CHAR(10)&amp;CHAR(10)&amp;"QUALITY AUDIT DETAILS"&amp;CHAR(10)&amp;"Agent Name: "&amp;$C247&amp;" (EID "&amp;$D247&amp;")"&amp;CHAR(10)&amp;"Audit Date: "&amp;TEXT($B247,"yyyy-mm-dd")&amp;CHAR(10)&amp;"Team Leader: "&amp;$F247&amp;CHAR(10)&amp;"Case Number: "&amp;$M247&amp;CHAR(10)&amp;"Transaction ID: "&amp;$N247&amp;CHAR(10)&amp;"Channel / LOB: "&amp;$K247&amp;" / "&amp;$L247&amp;CHAR(10)&amp;"Evaluator: "&amp;$S247&amp;CHAR(10)&amp;CHAR(10)&amp;"INVALID QUALITY AUDIT DETAILS"&amp;CHAR(10)&amp;"Validation: Invalid"&amp;CHAR(10)&amp;"Invalid Reason: "&amp;$P247&amp;CHAR(10)&amp;"Expected Resolution Code: "&amp;$Q247&amp;CHAR(10)&amp;"Remarks: "&amp;LEFT($R247,600)&amp;CHAR(10)&amp;CHAR(10)&amp;"This is an automated notification from HP Mainstream EQMS."),"✉ Open Email Draft"),"")</f>
        <v/>
      </c>
    </row>
    <row r="248">
      <c r="A248" s="25">
        <f>IF($C248="","","AUD-2026-"&amp;TEXT(ROW()-1,"000000"))</f>
        <v/>
      </c>
      <c r="B248" s="26" t="n"/>
      <c r="C248" s="27" t="n"/>
      <c r="D248" s="25">
        <f>IF($C248="","",IFERROR(IF(INDEX(Roster!$A:$A,MATCH($C248,Roster!$B:$B,0))="","",INDEX(Roster!$A:$A,MATCH($C248,Roster!$B:$B,0))&amp;""),"—"))</f>
        <v/>
      </c>
      <c r="E248" s="25">
        <f>IF($C248="","",IFERROR(IF(INDEX(Roster!$C:$C,MATCH($C248,Roster!$B:$B,0))="","",INDEX(Roster!$C:$C,MATCH($C248,Roster!$B:$B,0))&amp;""),"—"))</f>
        <v/>
      </c>
      <c r="F248" s="25">
        <f>IF($C248="","",IFERROR(IF(INDEX(Roster!$D:$D,MATCH($C248,Roster!$B:$B,0))="","",INDEX(Roster!$D:$D,MATCH($C248,Roster!$B:$B,0))&amp;""),"—"))</f>
        <v/>
      </c>
      <c r="G248" s="25">
        <f>IF($C248="","",IFERROR(IF(INDEX(Roster!$E:$E,MATCH($C248,Roster!$B:$B,0))="","",INDEX(Roster!$E:$E,MATCH($C248,Roster!$B:$B,0))&amp;""),"—"))</f>
        <v/>
      </c>
      <c r="H248" s="25">
        <f>IF($C248="","",IFERROR(IF(INDEX(Roster!$F:$F,MATCH($C248,Roster!$B:$B,0))="","",INDEX(Roster!$F:$F,MATCH($C248,Roster!$B:$B,0))&amp;""),"—"))</f>
        <v/>
      </c>
      <c r="I248" s="25">
        <f>IF($C248="","",IFERROR(IF(INDEX(Roster!$G:$G,MATCH($C248,Roster!$B:$B,0))="","",INDEX(Roster!$G:$G,MATCH($C248,Roster!$B:$B,0))&amp;""),"—"))</f>
        <v/>
      </c>
      <c r="J248" s="25">
        <f>IF($C248="","",IFERROR(IF(INDEX(Roster!$I:$I,MATCH($C248,Roster!$B:$B,0))="","",INDEX(Roster!$I:$I,MATCH($C248,Roster!$B:$B,0))&amp;""),"—"))</f>
        <v/>
      </c>
      <c r="K248">
        <f>IF($C248="","",IFERROR(IF(INDEX(Roster!$J:$J,MATCH($C248,Roster!$B:$B,0))="","",INDEX(Roster!$J:$J,MATCH($C248,Roster!$B:$B,0))&amp;""),"—"))</f>
        <v/>
      </c>
      <c r="L248">
        <f>IF($C248="","",IFERROR(IF(INDEX(Roster!$K:$K,MATCH($C248,Roster!$B:$B,0))="","",INDEX(Roster!$K:$K,MATCH($C248,Roster!$B:$B,0))&amp;""),"—"))</f>
        <v/>
      </c>
      <c r="M248" s="27" t="n"/>
      <c r="N248" s="27" t="n"/>
      <c r="O248" s="25">
        <f>IF($C248="","",IF($P248="","—",IF($P248="Valid (Pass)","Valid","Invalid")))</f>
        <v/>
      </c>
      <c r="P248" s="27" t="n"/>
      <c r="Q248" s="27" t="n"/>
      <c r="R248" s="27" t="n"/>
      <c r="S248" s="27" t="n"/>
      <c r="T248" s="25">
        <f>IF($C248="","",IF(OR(ISNUMBER(SEARCH("quick case",$P248)),ISNUMBER(SEARCH("quick case",$Q248))),"Yes","No"))</f>
        <v/>
      </c>
      <c r="U248" s="25">
        <f>IF($O248="Invalid",HYPERLINK("mailto:"&amp;$G248&amp;";"&amp;$I248&amp;"?cc="&amp;Lists!$E$2&amp;"&amp;subject="&amp;_xlfn.ENCODEURL("[INVALID] Quality audit monitoring completed for "&amp;UPPER($C248))&amp;"&amp;body="&amp;_xlfn.ENCODEURL("Hi "&amp;$F248&amp;","&amp;CHAR(10)&amp;"Good day!"&amp;CHAR(10)&amp;CHAR(10)&amp;"A quality monitoring audit has been completed for "&amp;$C248&amp;"."&amp;CHAR(10)&amp;CHAR(10)&amp;"QUALITY AUDIT DETAILS"&amp;CHAR(10)&amp;"Agent Name: "&amp;$C248&amp;" (EID "&amp;$D248&amp;")"&amp;CHAR(10)&amp;"Audit Date: "&amp;TEXT($B248,"yyyy-mm-dd")&amp;CHAR(10)&amp;"Team Leader: "&amp;$F248&amp;CHAR(10)&amp;"Case Number: "&amp;$M248&amp;CHAR(10)&amp;"Transaction ID: "&amp;$N248&amp;CHAR(10)&amp;"Channel / LOB: "&amp;$K248&amp;" / "&amp;$L248&amp;CHAR(10)&amp;"Evaluator: "&amp;$S248&amp;CHAR(10)&amp;CHAR(10)&amp;"INVALID QUALITY AUDIT DETAILS"&amp;CHAR(10)&amp;"Validation: Invalid"&amp;CHAR(10)&amp;"Invalid Reason: "&amp;$P248&amp;CHAR(10)&amp;"Expected Resolution Code: "&amp;$Q248&amp;CHAR(10)&amp;"Remarks: "&amp;LEFT($R248,600)&amp;CHAR(10)&amp;CHAR(10)&amp;"This is an automated notification from HP Mainstream EQMS."),"✉ Open Email Draft"),"")</f>
        <v/>
      </c>
    </row>
    <row r="249">
      <c r="A249" s="25">
        <f>IF($C249="","","AUD-2026-"&amp;TEXT(ROW()-1,"000000"))</f>
        <v/>
      </c>
      <c r="B249" s="26" t="n"/>
      <c r="C249" s="27" t="n"/>
      <c r="D249" s="25">
        <f>IF($C249="","",IFERROR(IF(INDEX(Roster!$A:$A,MATCH($C249,Roster!$B:$B,0))="","",INDEX(Roster!$A:$A,MATCH($C249,Roster!$B:$B,0))&amp;""),"—"))</f>
        <v/>
      </c>
      <c r="E249" s="25">
        <f>IF($C249="","",IFERROR(IF(INDEX(Roster!$C:$C,MATCH($C249,Roster!$B:$B,0))="","",INDEX(Roster!$C:$C,MATCH($C249,Roster!$B:$B,0))&amp;""),"—"))</f>
        <v/>
      </c>
      <c r="F249" s="25">
        <f>IF($C249="","",IFERROR(IF(INDEX(Roster!$D:$D,MATCH($C249,Roster!$B:$B,0))="","",INDEX(Roster!$D:$D,MATCH($C249,Roster!$B:$B,0))&amp;""),"—"))</f>
        <v/>
      </c>
      <c r="G249" s="25">
        <f>IF($C249="","",IFERROR(IF(INDEX(Roster!$E:$E,MATCH($C249,Roster!$B:$B,0))="","",INDEX(Roster!$E:$E,MATCH($C249,Roster!$B:$B,0))&amp;""),"—"))</f>
        <v/>
      </c>
      <c r="H249" s="25">
        <f>IF($C249="","",IFERROR(IF(INDEX(Roster!$F:$F,MATCH($C249,Roster!$B:$B,0))="","",INDEX(Roster!$F:$F,MATCH($C249,Roster!$B:$B,0))&amp;""),"—"))</f>
        <v/>
      </c>
      <c r="I249" s="25">
        <f>IF($C249="","",IFERROR(IF(INDEX(Roster!$G:$G,MATCH($C249,Roster!$B:$B,0))="","",INDEX(Roster!$G:$G,MATCH($C249,Roster!$B:$B,0))&amp;""),"—"))</f>
        <v/>
      </c>
      <c r="J249" s="25">
        <f>IF($C249="","",IFERROR(IF(INDEX(Roster!$I:$I,MATCH($C249,Roster!$B:$B,0))="","",INDEX(Roster!$I:$I,MATCH($C249,Roster!$B:$B,0))&amp;""),"—"))</f>
        <v/>
      </c>
      <c r="K249">
        <f>IF($C249="","",IFERROR(IF(INDEX(Roster!$J:$J,MATCH($C249,Roster!$B:$B,0))="","",INDEX(Roster!$J:$J,MATCH($C249,Roster!$B:$B,0))&amp;""),"—"))</f>
        <v/>
      </c>
      <c r="L249">
        <f>IF($C249="","",IFERROR(IF(INDEX(Roster!$K:$K,MATCH($C249,Roster!$B:$B,0))="","",INDEX(Roster!$K:$K,MATCH($C249,Roster!$B:$B,0))&amp;""),"—"))</f>
        <v/>
      </c>
      <c r="M249" s="27" t="n"/>
      <c r="N249" s="27" t="n"/>
      <c r="O249" s="25">
        <f>IF($C249="","",IF($P249="","—",IF($P249="Valid (Pass)","Valid","Invalid")))</f>
        <v/>
      </c>
      <c r="P249" s="27" t="n"/>
      <c r="Q249" s="27" t="n"/>
      <c r="R249" s="27" t="n"/>
      <c r="S249" s="27" t="n"/>
      <c r="T249" s="25">
        <f>IF($C249="","",IF(OR(ISNUMBER(SEARCH("quick case",$P249)),ISNUMBER(SEARCH("quick case",$Q249))),"Yes","No"))</f>
        <v/>
      </c>
      <c r="U249" s="25">
        <f>IF($O249="Invalid",HYPERLINK("mailto:"&amp;$G249&amp;";"&amp;$I249&amp;"?cc="&amp;Lists!$E$2&amp;"&amp;subject="&amp;_xlfn.ENCODEURL("[INVALID] Quality audit monitoring completed for "&amp;UPPER($C249))&amp;"&amp;body="&amp;_xlfn.ENCODEURL("Hi "&amp;$F249&amp;","&amp;CHAR(10)&amp;"Good day!"&amp;CHAR(10)&amp;CHAR(10)&amp;"A quality monitoring audit has been completed for "&amp;$C249&amp;"."&amp;CHAR(10)&amp;CHAR(10)&amp;"QUALITY AUDIT DETAILS"&amp;CHAR(10)&amp;"Agent Name: "&amp;$C249&amp;" (EID "&amp;$D249&amp;")"&amp;CHAR(10)&amp;"Audit Date: "&amp;TEXT($B249,"yyyy-mm-dd")&amp;CHAR(10)&amp;"Team Leader: "&amp;$F249&amp;CHAR(10)&amp;"Case Number: "&amp;$M249&amp;CHAR(10)&amp;"Transaction ID: "&amp;$N249&amp;CHAR(10)&amp;"Channel / LOB: "&amp;$K249&amp;" / "&amp;$L249&amp;CHAR(10)&amp;"Evaluator: "&amp;$S249&amp;CHAR(10)&amp;CHAR(10)&amp;"INVALID QUALITY AUDIT DETAILS"&amp;CHAR(10)&amp;"Validation: Invalid"&amp;CHAR(10)&amp;"Invalid Reason: "&amp;$P249&amp;CHAR(10)&amp;"Expected Resolution Code: "&amp;$Q249&amp;CHAR(10)&amp;"Remarks: "&amp;LEFT($R249,600)&amp;CHAR(10)&amp;CHAR(10)&amp;"This is an automated notification from HP Mainstream EQMS."),"✉ Open Email Draft"),"")</f>
        <v/>
      </c>
    </row>
    <row r="250">
      <c r="A250" s="25">
        <f>IF($C250="","","AUD-2026-"&amp;TEXT(ROW()-1,"000000"))</f>
        <v/>
      </c>
      <c r="B250" s="26" t="n"/>
      <c r="C250" s="27" t="n"/>
      <c r="D250" s="25">
        <f>IF($C250="","",IFERROR(IF(INDEX(Roster!$A:$A,MATCH($C250,Roster!$B:$B,0))="","",INDEX(Roster!$A:$A,MATCH($C250,Roster!$B:$B,0))&amp;""),"—"))</f>
        <v/>
      </c>
      <c r="E250" s="25">
        <f>IF($C250="","",IFERROR(IF(INDEX(Roster!$C:$C,MATCH($C250,Roster!$B:$B,0))="","",INDEX(Roster!$C:$C,MATCH($C250,Roster!$B:$B,0))&amp;""),"—"))</f>
        <v/>
      </c>
      <c r="F250" s="25">
        <f>IF($C250="","",IFERROR(IF(INDEX(Roster!$D:$D,MATCH($C250,Roster!$B:$B,0))="","",INDEX(Roster!$D:$D,MATCH($C250,Roster!$B:$B,0))&amp;""),"—"))</f>
        <v/>
      </c>
      <c r="G250" s="25">
        <f>IF($C250="","",IFERROR(IF(INDEX(Roster!$E:$E,MATCH($C250,Roster!$B:$B,0))="","",INDEX(Roster!$E:$E,MATCH($C250,Roster!$B:$B,0))&amp;""),"—"))</f>
        <v/>
      </c>
      <c r="H250" s="25">
        <f>IF($C250="","",IFERROR(IF(INDEX(Roster!$F:$F,MATCH($C250,Roster!$B:$B,0))="","",INDEX(Roster!$F:$F,MATCH($C250,Roster!$B:$B,0))&amp;""),"—"))</f>
        <v/>
      </c>
      <c r="I250" s="25">
        <f>IF($C250="","",IFERROR(IF(INDEX(Roster!$G:$G,MATCH($C250,Roster!$B:$B,0))="","",INDEX(Roster!$G:$G,MATCH($C250,Roster!$B:$B,0))&amp;""),"—"))</f>
        <v/>
      </c>
      <c r="J250" s="25">
        <f>IF($C250="","",IFERROR(IF(INDEX(Roster!$I:$I,MATCH($C250,Roster!$B:$B,0))="","",INDEX(Roster!$I:$I,MATCH($C250,Roster!$B:$B,0))&amp;""),"—"))</f>
        <v/>
      </c>
      <c r="K250">
        <f>IF($C250="","",IFERROR(IF(INDEX(Roster!$J:$J,MATCH($C250,Roster!$B:$B,0))="","",INDEX(Roster!$J:$J,MATCH($C250,Roster!$B:$B,0))&amp;""),"—"))</f>
        <v/>
      </c>
      <c r="L250">
        <f>IF($C250="","",IFERROR(IF(INDEX(Roster!$K:$K,MATCH($C250,Roster!$B:$B,0))="","",INDEX(Roster!$K:$K,MATCH($C250,Roster!$B:$B,0))&amp;""),"—"))</f>
        <v/>
      </c>
      <c r="M250" s="27" t="n"/>
      <c r="N250" s="27" t="n"/>
      <c r="O250" s="25">
        <f>IF($C250="","",IF($P250="","—",IF($P250="Valid (Pass)","Valid","Invalid")))</f>
        <v/>
      </c>
      <c r="P250" s="27" t="n"/>
      <c r="Q250" s="27" t="n"/>
      <c r="R250" s="27" t="n"/>
      <c r="S250" s="27" t="n"/>
      <c r="T250" s="25">
        <f>IF($C250="","",IF(OR(ISNUMBER(SEARCH("quick case",$P250)),ISNUMBER(SEARCH("quick case",$Q250))),"Yes","No"))</f>
        <v/>
      </c>
      <c r="U250" s="25">
        <f>IF($O250="Invalid",HYPERLINK("mailto:"&amp;$G250&amp;";"&amp;$I250&amp;"?cc="&amp;Lists!$E$2&amp;"&amp;subject="&amp;_xlfn.ENCODEURL("[INVALID] Quality audit monitoring completed for "&amp;UPPER($C250))&amp;"&amp;body="&amp;_xlfn.ENCODEURL("Hi "&amp;$F250&amp;","&amp;CHAR(10)&amp;"Good day!"&amp;CHAR(10)&amp;CHAR(10)&amp;"A quality monitoring audit has been completed for "&amp;$C250&amp;"."&amp;CHAR(10)&amp;CHAR(10)&amp;"QUALITY AUDIT DETAILS"&amp;CHAR(10)&amp;"Agent Name: "&amp;$C250&amp;" (EID "&amp;$D250&amp;")"&amp;CHAR(10)&amp;"Audit Date: "&amp;TEXT($B250,"yyyy-mm-dd")&amp;CHAR(10)&amp;"Team Leader: "&amp;$F250&amp;CHAR(10)&amp;"Case Number: "&amp;$M250&amp;CHAR(10)&amp;"Transaction ID: "&amp;$N250&amp;CHAR(10)&amp;"Channel / LOB: "&amp;$K250&amp;" / "&amp;$L250&amp;CHAR(10)&amp;"Evaluator: "&amp;$S250&amp;CHAR(10)&amp;CHAR(10)&amp;"INVALID QUALITY AUDIT DETAILS"&amp;CHAR(10)&amp;"Validation: Invalid"&amp;CHAR(10)&amp;"Invalid Reason: "&amp;$P250&amp;CHAR(10)&amp;"Expected Resolution Code: "&amp;$Q250&amp;CHAR(10)&amp;"Remarks: "&amp;LEFT($R250,600)&amp;CHAR(10)&amp;CHAR(10)&amp;"This is an automated notification from HP Mainstream EQMS."),"✉ Open Email Draft"),"")</f>
        <v/>
      </c>
    </row>
    <row r="251">
      <c r="A251" s="25">
        <f>IF($C251="","","AUD-2026-"&amp;TEXT(ROW()-1,"000000"))</f>
        <v/>
      </c>
      <c r="B251" s="26" t="n"/>
      <c r="C251" s="27" t="n"/>
      <c r="D251" s="25">
        <f>IF($C251="","",IFERROR(IF(INDEX(Roster!$A:$A,MATCH($C251,Roster!$B:$B,0))="","",INDEX(Roster!$A:$A,MATCH($C251,Roster!$B:$B,0))&amp;""),"—"))</f>
        <v/>
      </c>
      <c r="E251" s="25">
        <f>IF($C251="","",IFERROR(IF(INDEX(Roster!$C:$C,MATCH($C251,Roster!$B:$B,0))="","",INDEX(Roster!$C:$C,MATCH($C251,Roster!$B:$B,0))&amp;""),"—"))</f>
        <v/>
      </c>
      <c r="F251" s="25">
        <f>IF($C251="","",IFERROR(IF(INDEX(Roster!$D:$D,MATCH($C251,Roster!$B:$B,0))="","",INDEX(Roster!$D:$D,MATCH($C251,Roster!$B:$B,0))&amp;""),"—"))</f>
        <v/>
      </c>
      <c r="G251" s="25">
        <f>IF($C251="","",IFERROR(IF(INDEX(Roster!$E:$E,MATCH($C251,Roster!$B:$B,0))="","",INDEX(Roster!$E:$E,MATCH($C251,Roster!$B:$B,0))&amp;""),"—"))</f>
        <v/>
      </c>
      <c r="H251" s="25">
        <f>IF($C251="","",IFERROR(IF(INDEX(Roster!$F:$F,MATCH($C251,Roster!$B:$B,0))="","",INDEX(Roster!$F:$F,MATCH($C251,Roster!$B:$B,0))&amp;""),"—"))</f>
        <v/>
      </c>
      <c r="I251" s="25">
        <f>IF($C251="","",IFERROR(IF(INDEX(Roster!$G:$G,MATCH($C251,Roster!$B:$B,0))="","",INDEX(Roster!$G:$G,MATCH($C251,Roster!$B:$B,0))&amp;""),"—"))</f>
        <v/>
      </c>
      <c r="J251" s="25">
        <f>IF($C251="","",IFERROR(IF(INDEX(Roster!$I:$I,MATCH($C251,Roster!$B:$B,0))="","",INDEX(Roster!$I:$I,MATCH($C251,Roster!$B:$B,0))&amp;""),"—"))</f>
        <v/>
      </c>
      <c r="K251">
        <f>IF($C251="","",IFERROR(IF(INDEX(Roster!$J:$J,MATCH($C251,Roster!$B:$B,0))="","",INDEX(Roster!$J:$J,MATCH($C251,Roster!$B:$B,0))&amp;""),"—"))</f>
        <v/>
      </c>
      <c r="L251">
        <f>IF($C251="","",IFERROR(IF(INDEX(Roster!$K:$K,MATCH($C251,Roster!$B:$B,0))="","",INDEX(Roster!$K:$K,MATCH($C251,Roster!$B:$B,0))&amp;""),"—"))</f>
        <v/>
      </c>
      <c r="M251" s="27" t="n"/>
      <c r="N251" s="27" t="n"/>
      <c r="O251" s="25">
        <f>IF($C251="","",IF($P251="","—",IF($P251="Valid (Pass)","Valid","Invalid")))</f>
        <v/>
      </c>
      <c r="P251" s="27" t="n"/>
      <c r="Q251" s="27" t="n"/>
      <c r="R251" s="27" t="n"/>
      <c r="S251" s="27" t="n"/>
      <c r="T251" s="25">
        <f>IF($C251="","",IF(OR(ISNUMBER(SEARCH("quick case",$P251)),ISNUMBER(SEARCH("quick case",$Q251))),"Yes","No"))</f>
        <v/>
      </c>
      <c r="U251" s="25">
        <f>IF($O251="Invalid",HYPERLINK("mailto:"&amp;$G251&amp;";"&amp;$I251&amp;"?cc="&amp;Lists!$E$2&amp;"&amp;subject="&amp;_xlfn.ENCODEURL("[INVALID] Quality audit monitoring completed for "&amp;UPPER($C251))&amp;"&amp;body="&amp;_xlfn.ENCODEURL("Hi "&amp;$F251&amp;","&amp;CHAR(10)&amp;"Good day!"&amp;CHAR(10)&amp;CHAR(10)&amp;"A quality monitoring audit has been completed for "&amp;$C251&amp;"."&amp;CHAR(10)&amp;CHAR(10)&amp;"QUALITY AUDIT DETAILS"&amp;CHAR(10)&amp;"Agent Name: "&amp;$C251&amp;" (EID "&amp;$D251&amp;")"&amp;CHAR(10)&amp;"Audit Date: "&amp;TEXT($B251,"yyyy-mm-dd")&amp;CHAR(10)&amp;"Team Leader: "&amp;$F251&amp;CHAR(10)&amp;"Case Number: "&amp;$M251&amp;CHAR(10)&amp;"Transaction ID: "&amp;$N251&amp;CHAR(10)&amp;"Channel / LOB: "&amp;$K251&amp;" / "&amp;$L251&amp;CHAR(10)&amp;"Evaluator: "&amp;$S251&amp;CHAR(10)&amp;CHAR(10)&amp;"INVALID QUALITY AUDIT DETAILS"&amp;CHAR(10)&amp;"Validation: Invalid"&amp;CHAR(10)&amp;"Invalid Reason: "&amp;$P251&amp;CHAR(10)&amp;"Expected Resolution Code: "&amp;$Q251&amp;CHAR(10)&amp;"Remarks: "&amp;LEFT($R251,600)&amp;CHAR(10)&amp;CHAR(10)&amp;"This is an automated notification from HP Mainstream EQMS."),"✉ Open Email Draft"),"")</f>
        <v/>
      </c>
    </row>
    <row r="252">
      <c r="A252" s="25">
        <f>IF($C252="","","AUD-2026-"&amp;TEXT(ROW()-1,"000000"))</f>
        <v/>
      </c>
      <c r="B252" s="26" t="n"/>
      <c r="C252" s="27" t="n"/>
      <c r="D252" s="25">
        <f>IF($C252="","",IFERROR(IF(INDEX(Roster!$A:$A,MATCH($C252,Roster!$B:$B,0))="","",INDEX(Roster!$A:$A,MATCH($C252,Roster!$B:$B,0))&amp;""),"—"))</f>
        <v/>
      </c>
      <c r="E252" s="25">
        <f>IF($C252="","",IFERROR(IF(INDEX(Roster!$C:$C,MATCH($C252,Roster!$B:$B,0))="","",INDEX(Roster!$C:$C,MATCH($C252,Roster!$B:$B,0))&amp;""),"—"))</f>
        <v/>
      </c>
      <c r="F252" s="25">
        <f>IF($C252="","",IFERROR(IF(INDEX(Roster!$D:$D,MATCH($C252,Roster!$B:$B,0))="","",INDEX(Roster!$D:$D,MATCH($C252,Roster!$B:$B,0))&amp;""),"—"))</f>
        <v/>
      </c>
      <c r="G252" s="25">
        <f>IF($C252="","",IFERROR(IF(INDEX(Roster!$E:$E,MATCH($C252,Roster!$B:$B,0))="","",INDEX(Roster!$E:$E,MATCH($C252,Roster!$B:$B,0))&amp;""),"—"))</f>
        <v/>
      </c>
      <c r="H252" s="25">
        <f>IF($C252="","",IFERROR(IF(INDEX(Roster!$F:$F,MATCH($C252,Roster!$B:$B,0))="","",INDEX(Roster!$F:$F,MATCH($C252,Roster!$B:$B,0))&amp;""),"—"))</f>
        <v/>
      </c>
      <c r="I252" s="25">
        <f>IF($C252="","",IFERROR(IF(INDEX(Roster!$G:$G,MATCH($C252,Roster!$B:$B,0))="","",INDEX(Roster!$G:$G,MATCH($C252,Roster!$B:$B,0))&amp;""),"—"))</f>
        <v/>
      </c>
      <c r="J252" s="25">
        <f>IF($C252="","",IFERROR(IF(INDEX(Roster!$I:$I,MATCH($C252,Roster!$B:$B,0))="","",INDEX(Roster!$I:$I,MATCH($C252,Roster!$B:$B,0))&amp;""),"—"))</f>
        <v/>
      </c>
      <c r="K252">
        <f>IF($C252="","",IFERROR(IF(INDEX(Roster!$J:$J,MATCH($C252,Roster!$B:$B,0))="","",INDEX(Roster!$J:$J,MATCH($C252,Roster!$B:$B,0))&amp;""),"—"))</f>
        <v/>
      </c>
      <c r="L252">
        <f>IF($C252="","",IFERROR(IF(INDEX(Roster!$K:$K,MATCH($C252,Roster!$B:$B,0))="","",INDEX(Roster!$K:$K,MATCH($C252,Roster!$B:$B,0))&amp;""),"—"))</f>
        <v/>
      </c>
      <c r="M252" s="27" t="n"/>
      <c r="N252" s="27" t="n"/>
      <c r="O252" s="25">
        <f>IF($C252="","",IF($P252="","—",IF($P252="Valid (Pass)","Valid","Invalid")))</f>
        <v/>
      </c>
      <c r="P252" s="27" t="n"/>
      <c r="Q252" s="27" t="n"/>
      <c r="R252" s="27" t="n"/>
      <c r="S252" s="27" t="n"/>
      <c r="T252" s="25">
        <f>IF($C252="","",IF(OR(ISNUMBER(SEARCH("quick case",$P252)),ISNUMBER(SEARCH("quick case",$Q252))),"Yes","No"))</f>
        <v/>
      </c>
      <c r="U252" s="25">
        <f>IF($O252="Invalid",HYPERLINK("mailto:"&amp;$G252&amp;";"&amp;$I252&amp;"?cc="&amp;Lists!$E$2&amp;"&amp;subject="&amp;_xlfn.ENCODEURL("[INVALID] Quality audit monitoring completed for "&amp;UPPER($C252))&amp;"&amp;body="&amp;_xlfn.ENCODEURL("Hi "&amp;$F252&amp;","&amp;CHAR(10)&amp;"Good day!"&amp;CHAR(10)&amp;CHAR(10)&amp;"A quality monitoring audit has been completed for "&amp;$C252&amp;"."&amp;CHAR(10)&amp;CHAR(10)&amp;"QUALITY AUDIT DETAILS"&amp;CHAR(10)&amp;"Agent Name: "&amp;$C252&amp;" (EID "&amp;$D252&amp;")"&amp;CHAR(10)&amp;"Audit Date: "&amp;TEXT($B252,"yyyy-mm-dd")&amp;CHAR(10)&amp;"Team Leader: "&amp;$F252&amp;CHAR(10)&amp;"Case Number: "&amp;$M252&amp;CHAR(10)&amp;"Transaction ID: "&amp;$N252&amp;CHAR(10)&amp;"Channel / LOB: "&amp;$K252&amp;" / "&amp;$L252&amp;CHAR(10)&amp;"Evaluator: "&amp;$S252&amp;CHAR(10)&amp;CHAR(10)&amp;"INVALID QUALITY AUDIT DETAILS"&amp;CHAR(10)&amp;"Validation: Invalid"&amp;CHAR(10)&amp;"Invalid Reason: "&amp;$P252&amp;CHAR(10)&amp;"Expected Resolution Code: "&amp;$Q252&amp;CHAR(10)&amp;"Remarks: "&amp;LEFT($R252,600)&amp;CHAR(10)&amp;CHAR(10)&amp;"This is an automated notification from HP Mainstream EQMS."),"✉ Open Email Draft"),"")</f>
        <v/>
      </c>
    </row>
    <row r="253">
      <c r="A253" s="25">
        <f>IF($C253="","","AUD-2026-"&amp;TEXT(ROW()-1,"000000"))</f>
        <v/>
      </c>
      <c r="B253" s="26" t="n"/>
      <c r="C253" s="27" t="n"/>
      <c r="D253" s="25">
        <f>IF($C253="","",IFERROR(IF(INDEX(Roster!$A:$A,MATCH($C253,Roster!$B:$B,0))="","",INDEX(Roster!$A:$A,MATCH($C253,Roster!$B:$B,0))&amp;""),"—"))</f>
        <v/>
      </c>
      <c r="E253" s="25">
        <f>IF($C253="","",IFERROR(IF(INDEX(Roster!$C:$C,MATCH($C253,Roster!$B:$B,0))="","",INDEX(Roster!$C:$C,MATCH($C253,Roster!$B:$B,0))&amp;""),"—"))</f>
        <v/>
      </c>
      <c r="F253" s="25">
        <f>IF($C253="","",IFERROR(IF(INDEX(Roster!$D:$D,MATCH($C253,Roster!$B:$B,0))="","",INDEX(Roster!$D:$D,MATCH($C253,Roster!$B:$B,0))&amp;""),"—"))</f>
        <v/>
      </c>
      <c r="G253" s="25">
        <f>IF($C253="","",IFERROR(IF(INDEX(Roster!$E:$E,MATCH($C253,Roster!$B:$B,0))="","",INDEX(Roster!$E:$E,MATCH($C253,Roster!$B:$B,0))&amp;""),"—"))</f>
        <v/>
      </c>
      <c r="H253" s="25">
        <f>IF($C253="","",IFERROR(IF(INDEX(Roster!$F:$F,MATCH($C253,Roster!$B:$B,0))="","",INDEX(Roster!$F:$F,MATCH($C253,Roster!$B:$B,0))&amp;""),"—"))</f>
        <v/>
      </c>
      <c r="I253" s="25">
        <f>IF($C253="","",IFERROR(IF(INDEX(Roster!$G:$G,MATCH($C253,Roster!$B:$B,0))="","",INDEX(Roster!$G:$G,MATCH($C253,Roster!$B:$B,0))&amp;""),"—"))</f>
        <v/>
      </c>
      <c r="J253" s="25">
        <f>IF($C253="","",IFERROR(IF(INDEX(Roster!$I:$I,MATCH($C253,Roster!$B:$B,0))="","",INDEX(Roster!$I:$I,MATCH($C253,Roster!$B:$B,0))&amp;""),"—"))</f>
        <v/>
      </c>
      <c r="K253">
        <f>IF($C253="","",IFERROR(IF(INDEX(Roster!$J:$J,MATCH($C253,Roster!$B:$B,0))="","",INDEX(Roster!$J:$J,MATCH($C253,Roster!$B:$B,0))&amp;""),"—"))</f>
        <v/>
      </c>
      <c r="L253">
        <f>IF($C253="","",IFERROR(IF(INDEX(Roster!$K:$K,MATCH($C253,Roster!$B:$B,0))="","",INDEX(Roster!$K:$K,MATCH($C253,Roster!$B:$B,0))&amp;""),"—"))</f>
        <v/>
      </c>
      <c r="M253" s="27" t="n"/>
      <c r="N253" s="27" t="n"/>
      <c r="O253" s="25">
        <f>IF($C253="","",IF($P253="","—",IF($P253="Valid (Pass)","Valid","Invalid")))</f>
        <v/>
      </c>
      <c r="P253" s="27" t="n"/>
      <c r="Q253" s="27" t="n"/>
      <c r="R253" s="27" t="n"/>
      <c r="S253" s="27" t="n"/>
      <c r="T253" s="25">
        <f>IF($C253="","",IF(OR(ISNUMBER(SEARCH("quick case",$P253)),ISNUMBER(SEARCH("quick case",$Q253))),"Yes","No"))</f>
        <v/>
      </c>
      <c r="U253" s="25">
        <f>IF($O253="Invalid",HYPERLINK("mailto:"&amp;$G253&amp;";"&amp;$I253&amp;"?cc="&amp;Lists!$E$2&amp;"&amp;subject="&amp;_xlfn.ENCODEURL("[INVALID] Quality audit monitoring completed for "&amp;UPPER($C253))&amp;"&amp;body="&amp;_xlfn.ENCODEURL("Hi "&amp;$F253&amp;","&amp;CHAR(10)&amp;"Good day!"&amp;CHAR(10)&amp;CHAR(10)&amp;"A quality monitoring audit has been completed for "&amp;$C253&amp;"."&amp;CHAR(10)&amp;CHAR(10)&amp;"QUALITY AUDIT DETAILS"&amp;CHAR(10)&amp;"Agent Name: "&amp;$C253&amp;" (EID "&amp;$D253&amp;")"&amp;CHAR(10)&amp;"Audit Date: "&amp;TEXT($B253,"yyyy-mm-dd")&amp;CHAR(10)&amp;"Team Leader: "&amp;$F253&amp;CHAR(10)&amp;"Case Number: "&amp;$M253&amp;CHAR(10)&amp;"Transaction ID: "&amp;$N253&amp;CHAR(10)&amp;"Channel / LOB: "&amp;$K253&amp;" / "&amp;$L253&amp;CHAR(10)&amp;"Evaluator: "&amp;$S253&amp;CHAR(10)&amp;CHAR(10)&amp;"INVALID QUALITY AUDIT DETAILS"&amp;CHAR(10)&amp;"Validation: Invalid"&amp;CHAR(10)&amp;"Invalid Reason: "&amp;$P253&amp;CHAR(10)&amp;"Expected Resolution Code: "&amp;$Q253&amp;CHAR(10)&amp;"Remarks: "&amp;LEFT($R253,600)&amp;CHAR(10)&amp;CHAR(10)&amp;"This is an automated notification from HP Mainstream EQMS."),"✉ Open Email Draft"),"")</f>
        <v/>
      </c>
    </row>
    <row r="254">
      <c r="A254" s="25">
        <f>IF($C254="","","AUD-2026-"&amp;TEXT(ROW()-1,"000000"))</f>
        <v/>
      </c>
      <c r="B254" s="26" t="n"/>
      <c r="C254" s="27" t="n"/>
      <c r="D254" s="25">
        <f>IF($C254="","",IFERROR(IF(INDEX(Roster!$A:$A,MATCH($C254,Roster!$B:$B,0))="","",INDEX(Roster!$A:$A,MATCH($C254,Roster!$B:$B,0))&amp;""),"—"))</f>
        <v/>
      </c>
      <c r="E254" s="25">
        <f>IF($C254="","",IFERROR(IF(INDEX(Roster!$C:$C,MATCH($C254,Roster!$B:$B,0))="","",INDEX(Roster!$C:$C,MATCH($C254,Roster!$B:$B,0))&amp;""),"—"))</f>
        <v/>
      </c>
      <c r="F254" s="25">
        <f>IF($C254="","",IFERROR(IF(INDEX(Roster!$D:$D,MATCH($C254,Roster!$B:$B,0))="","",INDEX(Roster!$D:$D,MATCH($C254,Roster!$B:$B,0))&amp;""),"—"))</f>
        <v/>
      </c>
      <c r="G254" s="25">
        <f>IF($C254="","",IFERROR(IF(INDEX(Roster!$E:$E,MATCH($C254,Roster!$B:$B,0))="","",INDEX(Roster!$E:$E,MATCH($C254,Roster!$B:$B,0))&amp;""),"—"))</f>
        <v/>
      </c>
      <c r="H254" s="25">
        <f>IF($C254="","",IFERROR(IF(INDEX(Roster!$F:$F,MATCH($C254,Roster!$B:$B,0))="","",INDEX(Roster!$F:$F,MATCH($C254,Roster!$B:$B,0))&amp;""),"—"))</f>
        <v/>
      </c>
      <c r="I254" s="25">
        <f>IF($C254="","",IFERROR(IF(INDEX(Roster!$G:$G,MATCH($C254,Roster!$B:$B,0))="","",INDEX(Roster!$G:$G,MATCH($C254,Roster!$B:$B,0))&amp;""),"—"))</f>
        <v/>
      </c>
      <c r="J254" s="25">
        <f>IF($C254="","",IFERROR(IF(INDEX(Roster!$I:$I,MATCH($C254,Roster!$B:$B,0))="","",INDEX(Roster!$I:$I,MATCH($C254,Roster!$B:$B,0))&amp;""),"—"))</f>
        <v/>
      </c>
      <c r="K254">
        <f>IF($C254="","",IFERROR(IF(INDEX(Roster!$J:$J,MATCH($C254,Roster!$B:$B,0))="","",INDEX(Roster!$J:$J,MATCH($C254,Roster!$B:$B,0))&amp;""),"—"))</f>
        <v/>
      </c>
      <c r="L254">
        <f>IF($C254="","",IFERROR(IF(INDEX(Roster!$K:$K,MATCH($C254,Roster!$B:$B,0))="","",INDEX(Roster!$K:$K,MATCH($C254,Roster!$B:$B,0))&amp;""),"—"))</f>
        <v/>
      </c>
      <c r="M254" s="27" t="n"/>
      <c r="N254" s="27" t="n"/>
      <c r="O254" s="25">
        <f>IF($C254="","",IF($P254="","—",IF($P254="Valid (Pass)","Valid","Invalid")))</f>
        <v/>
      </c>
      <c r="P254" s="27" t="n"/>
      <c r="Q254" s="27" t="n"/>
      <c r="R254" s="27" t="n"/>
      <c r="S254" s="27" t="n"/>
      <c r="T254" s="25">
        <f>IF($C254="","",IF(OR(ISNUMBER(SEARCH("quick case",$P254)),ISNUMBER(SEARCH("quick case",$Q254))),"Yes","No"))</f>
        <v/>
      </c>
      <c r="U254" s="25">
        <f>IF($O254="Invalid",HYPERLINK("mailto:"&amp;$G254&amp;";"&amp;$I254&amp;"?cc="&amp;Lists!$E$2&amp;"&amp;subject="&amp;_xlfn.ENCODEURL("[INVALID] Quality audit monitoring completed for "&amp;UPPER($C254))&amp;"&amp;body="&amp;_xlfn.ENCODEURL("Hi "&amp;$F254&amp;","&amp;CHAR(10)&amp;"Good day!"&amp;CHAR(10)&amp;CHAR(10)&amp;"A quality monitoring audit has been completed for "&amp;$C254&amp;"."&amp;CHAR(10)&amp;CHAR(10)&amp;"QUALITY AUDIT DETAILS"&amp;CHAR(10)&amp;"Agent Name: "&amp;$C254&amp;" (EID "&amp;$D254&amp;")"&amp;CHAR(10)&amp;"Audit Date: "&amp;TEXT($B254,"yyyy-mm-dd")&amp;CHAR(10)&amp;"Team Leader: "&amp;$F254&amp;CHAR(10)&amp;"Case Number: "&amp;$M254&amp;CHAR(10)&amp;"Transaction ID: "&amp;$N254&amp;CHAR(10)&amp;"Channel / LOB: "&amp;$K254&amp;" / "&amp;$L254&amp;CHAR(10)&amp;"Evaluator: "&amp;$S254&amp;CHAR(10)&amp;CHAR(10)&amp;"INVALID QUALITY AUDIT DETAILS"&amp;CHAR(10)&amp;"Validation: Invalid"&amp;CHAR(10)&amp;"Invalid Reason: "&amp;$P254&amp;CHAR(10)&amp;"Expected Resolution Code: "&amp;$Q254&amp;CHAR(10)&amp;"Remarks: "&amp;LEFT($R254,600)&amp;CHAR(10)&amp;CHAR(10)&amp;"This is an automated notification from HP Mainstream EQMS."),"✉ Open Email Draft"),"")</f>
        <v/>
      </c>
    </row>
    <row r="255">
      <c r="A255" s="25">
        <f>IF($C255="","","AUD-2026-"&amp;TEXT(ROW()-1,"000000"))</f>
        <v/>
      </c>
      <c r="B255" s="26" t="n"/>
      <c r="C255" s="27" t="n"/>
      <c r="D255" s="25">
        <f>IF($C255="","",IFERROR(IF(INDEX(Roster!$A:$A,MATCH($C255,Roster!$B:$B,0))="","",INDEX(Roster!$A:$A,MATCH($C255,Roster!$B:$B,0))&amp;""),"—"))</f>
        <v/>
      </c>
      <c r="E255" s="25">
        <f>IF($C255="","",IFERROR(IF(INDEX(Roster!$C:$C,MATCH($C255,Roster!$B:$B,0))="","",INDEX(Roster!$C:$C,MATCH($C255,Roster!$B:$B,0))&amp;""),"—"))</f>
        <v/>
      </c>
      <c r="F255" s="25">
        <f>IF($C255="","",IFERROR(IF(INDEX(Roster!$D:$D,MATCH($C255,Roster!$B:$B,0))="","",INDEX(Roster!$D:$D,MATCH($C255,Roster!$B:$B,0))&amp;""),"—"))</f>
        <v/>
      </c>
      <c r="G255" s="25">
        <f>IF($C255="","",IFERROR(IF(INDEX(Roster!$E:$E,MATCH($C255,Roster!$B:$B,0))="","",INDEX(Roster!$E:$E,MATCH($C255,Roster!$B:$B,0))&amp;""),"—"))</f>
        <v/>
      </c>
      <c r="H255" s="25">
        <f>IF($C255="","",IFERROR(IF(INDEX(Roster!$F:$F,MATCH($C255,Roster!$B:$B,0))="","",INDEX(Roster!$F:$F,MATCH($C255,Roster!$B:$B,0))&amp;""),"—"))</f>
        <v/>
      </c>
      <c r="I255" s="25">
        <f>IF($C255="","",IFERROR(IF(INDEX(Roster!$G:$G,MATCH($C255,Roster!$B:$B,0))="","",INDEX(Roster!$G:$G,MATCH($C255,Roster!$B:$B,0))&amp;""),"—"))</f>
        <v/>
      </c>
      <c r="J255" s="25">
        <f>IF($C255="","",IFERROR(IF(INDEX(Roster!$I:$I,MATCH($C255,Roster!$B:$B,0))="","",INDEX(Roster!$I:$I,MATCH($C255,Roster!$B:$B,0))&amp;""),"—"))</f>
        <v/>
      </c>
      <c r="K255">
        <f>IF($C255="","",IFERROR(IF(INDEX(Roster!$J:$J,MATCH($C255,Roster!$B:$B,0))="","",INDEX(Roster!$J:$J,MATCH($C255,Roster!$B:$B,0))&amp;""),"—"))</f>
        <v/>
      </c>
      <c r="L255">
        <f>IF($C255="","",IFERROR(IF(INDEX(Roster!$K:$K,MATCH($C255,Roster!$B:$B,0))="","",INDEX(Roster!$K:$K,MATCH($C255,Roster!$B:$B,0))&amp;""),"—"))</f>
        <v/>
      </c>
      <c r="M255" s="27" t="n"/>
      <c r="N255" s="27" t="n"/>
      <c r="O255" s="25">
        <f>IF($C255="","",IF($P255="","—",IF($P255="Valid (Pass)","Valid","Invalid")))</f>
        <v/>
      </c>
      <c r="P255" s="27" t="n"/>
      <c r="Q255" s="27" t="n"/>
      <c r="R255" s="27" t="n"/>
      <c r="S255" s="27" t="n"/>
      <c r="T255" s="25">
        <f>IF($C255="","",IF(OR(ISNUMBER(SEARCH("quick case",$P255)),ISNUMBER(SEARCH("quick case",$Q255))),"Yes","No"))</f>
        <v/>
      </c>
      <c r="U255" s="25">
        <f>IF($O255="Invalid",HYPERLINK("mailto:"&amp;$G255&amp;";"&amp;$I255&amp;"?cc="&amp;Lists!$E$2&amp;"&amp;subject="&amp;_xlfn.ENCODEURL("[INVALID] Quality audit monitoring completed for "&amp;UPPER($C255))&amp;"&amp;body="&amp;_xlfn.ENCODEURL("Hi "&amp;$F255&amp;","&amp;CHAR(10)&amp;"Good day!"&amp;CHAR(10)&amp;CHAR(10)&amp;"A quality monitoring audit has been completed for "&amp;$C255&amp;"."&amp;CHAR(10)&amp;CHAR(10)&amp;"QUALITY AUDIT DETAILS"&amp;CHAR(10)&amp;"Agent Name: "&amp;$C255&amp;" (EID "&amp;$D255&amp;")"&amp;CHAR(10)&amp;"Audit Date: "&amp;TEXT($B255,"yyyy-mm-dd")&amp;CHAR(10)&amp;"Team Leader: "&amp;$F255&amp;CHAR(10)&amp;"Case Number: "&amp;$M255&amp;CHAR(10)&amp;"Transaction ID: "&amp;$N255&amp;CHAR(10)&amp;"Channel / LOB: "&amp;$K255&amp;" / "&amp;$L255&amp;CHAR(10)&amp;"Evaluator: "&amp;$S255&amp;CHAR(10)&amp;CHAR(10)&amp;"INVALID QUALITY AUDIT DETAILS"&amp;CHAR(10)&amp;"Validation: Invalid"&amp;CHAR(10)&amp;"Invalid Reason: "&amp;$P255&amp;CHAR(10)&amp;"Expected Resolution Code: "&amp;$Q255&amp;CHAR(10)&amp;"Remarks: "&amp;LEFT($R255,600)&amp;CHAR(10)&amp;CHAR(10)&amp;"This is an automated notification from HP Mainstream EQMS."),"✉ Open Email Draft"),"")</f>
        <v/>
      </c>
    </row>
    <row r="256">
      <c r="A256" s="25">
        <f>IF($C256="","","AUD-2026-"&amp;TEXT(ROW()-1,"000000"))</f>
        <v/>
      </c>
      <c r="B256" s="26" t="n"/>
      <c r="C256" s="27" t="n"/>
      <c r="D256" s="25">
        <f>IF($C256="","",IFERROR(IF(INDEX(Roster!$A:$A,MATCH($C256,Roster!$B:$B,0))="","",INDEX(Roster!$A:$A,MATCH($C256,Roster!$B:$B,0))&amp;""),"—"))</f>
        <v/>
      </c>
      <c r="E256" s="25">
        <f>IF($C256="","",IFERROR(IF(INDEX(Roster!$C:$C,MATCH($C256,Roster!$B:$B,0))="","",INDEX(Roster!$C:$C,MATCH($C256,Roster!$B:$B,0))&amp;""),"—"))</f>
        <v/>
      </c>
      <c r="F256" s="25">
        <f>IF($C256="","",IFERROR(IF(INDEX(Roster!$D:$D,MATCH($C256,Roster!$B:$B,0))="","",INDEX(Roster!$D:$D,MATCH($C256,Roster!$B:$B,0))&amp;""),"—"))</f>
        <v/>
      </c>
      <c r="G256" s="25">
        <f>IF($C256="","",IFERROR(IF(INDEX(Roster!$E:$E,MATCH($C256,Roster!$B:$B,0))="","",INDEX(Roster!$E:$E,MATCH($C256,Roster!$B:$B,0))&amp;""),"—"))</f>
        <v/>
      </c>
      <c r="H256" s="25">
        <f>IF($C256="","",IFERROR(IF(INDEX(Roster!$F:$F,MATCH($C256,Roster!$B:$B,0))="","",INDEX(Roster!$F:$F,MATCH($C256,Roster!$B:$B,0))&amp;""),"—"))</f>
        <v/>
      </c>
      <c r="I256" s="25">
        <f>IF($C256="","",IFERROR(IF(INDEX(Roster!$G:$G,MATCH($C256,Roster!$B:$B,0))="","",INDEX(Roster!$G:$G,MATCH($C256,Roster!$B:$B,0))&amp;""),"—"))</f>
        <v/>
      </c>
      <c r="J256" s="25">
        <f>IF($C256="","",IFERROR(IF(INDEX(Roster!$I:$I,MATCH($C256,Roster!$B:$B,0))="","",INDEX(Roster!$I:$I,MATCH($C256,Roster!$B:$B,0))&amp;""),"—"))</f>
        <v/>
      </c>
      <c r="K256">
        <f>IF($C256="","",IFERROR(IF(INDEX(Roster!$J:$J,MATCH($C256,Roster!$B:$B,0))="","",INDEX(Roster!$J:$J,MATCH($C256,Roster!$B:$B,0))&amp;""),"—"))</f>
        <v/>
      </c>
      <c r="L256">
        <f>IF($C256="","",IFERROR(IF(INDEX(Roster!$K:$K,MATCH($C256,Roster!$B:$B,0))="","",INDEX(Roster!$K:$K,MATCH($C256,Roster!$B:$B,0))&amp;""),"—"))</f>
        <v/>
      </c>
      <c r="M256" s="27" t="n"/>
      <c r="N256" s="27" t="n"/>
      <c r="O256" s="25">
        <f>IF($C256="","",IF($P256="","—",IF($P256="Valid (Pass)","Valid","Invalid")))</f>
        <v/>
      </c>
      <c r="P256" s="27" t="n"/>
      <c r="Q256" s="27" t="n"/>
      <c r="R256" s="27" t="n"/>
      <c r="S256" s="27" t="n"/>
      <c r="T256" s="25">
        <f>IF($C256="","",IF(OR(ISNUMBER(SEARCH("quick case",$P256)),ISNUMBER(SEARCH("quick case",$Q256))),"Yes","No"))</f>
        <v/>
      </c>
      <c r="U256" s="25">
        <f>IF($O256="Invalid",HYPERLINK("mailto:"&amp;$G256&amp;";"&amp;$I256&amp;"?cc="&amp;Lists!$E$2&amp;"&amp;subject="&amp;_xlfn.ENCODEURL("[INVALID] Quality audit monitoring completed for "&amp;UPPER($C256))&amp;"&amp;body="&amp;_xlfn.ENCODEURL("Hi "&amp;$F256&amp;","&amp;CHAR(10)&amp;"Good day!"&amp;CHAR(10)&amp;CHAR(10)&amp;"A quality monitoring audit has been completed for "&amp;$C256&amp;"."&amp;CHAR(10)&amp;CHAR(10)&amp;"QUALITY AUDIT DETAILS"&amp;CHAR(10)&amp;"Agent Name: "&amp;$C256&amp;" (EID "&amp;$D256&amp;")"&amp;CHAR(10)&amp;"Audit Date: "&amp;TEXT($B256,"yyyy-mm-dd")&amp;CHAR(10)&amp;"Team Leader: "&amp;$F256&amp;CHAR(10)&amp;"Case Number: "&amp;$M256&amp;CHAR(10)&amp;"Transaction ID: "&amp;$N256&amp;CHAR(10)&amp;"Channel / LOB: "&amp;$K256&amp;" / "&amp;$L256&amp;CHAR(10)&amp;"Evaluator: "&amp;$S256&amp;CHAR(10)&amp;CHAR(10)&amp;"INVALID QUALITY AUDIT DETAILS"&amp;CHAR(10)&amp;"Validation: Invalid"&amp;CHAR(10)&amp;"Invalid Reason: "&amp;$P256&amp;CHAR(10)&amp;"Expected Resolution Code: "&amp;$Q256&amp;CHAR(10)&amp;"Remarks: "&amp;LEFT($R256,600)&amp;CHAR(10)&amp;CHAR(10)&amp;"This is an automated notification from HP Mainstream EQMS."),"✉ Open Email Draft"),"")</f>
        <v/>
      </c>
    </row>
    <row r="257">
      <c r="A257" s="25">
        <f>IF($C257="","","AUD-2026-"&amp;TEXT(ROW()-1,"000000"))</f>
        <v/>
      </c>
      <c r="B257" s="26" t="n"/>
      <c r="C257" s="27" t="n"/>
      <c r="D257" s="25">
        <f>IF($C257="","",IFERROR(IF(INDEX(Roster!$A:$A,MATCH($C257,Roster!$B:$B,0))="","",INDEX(Roster!$A:$A,MATCH($C257,Roster!$B:$B,0))&amp;""),"—"))</f>
        <v/>
      </c>
      <c r="E257" s="25">
        <f>IF($C257="","",IFERROR(IF(INDEX(Roster!$C:$C,MATCH($C257,Roster!$B:$B,0))="","",INDEX(Roster!$C:$C,MATCH($C257,Roster!$B:$B,0))&amp;""),"—"))</f>
        <v/>
      </c>
      <c r="F257" s="25">
        <f>IF($C257="","",IFERROR(IF(INDEX(Roster!$D:$D,MATCH($C257,Roster!$B:$B,0))="","",INDEX(Roster!$D:$D,MATCH($C257,Roster!$B:$B,0))&amp;""),"—"))</f>
        <v/>
      </c>
      <c r="G257" s="25">
        <f>IF($C257="","",IFERROR(IF(INDEX(Roster!$E:$E,MATCH($C257,Roster!$B:$B,0))="","",INDEX(Roster!$E:$E,MATCH($C257,Roster!$B:$B,0))&amp;""),"—"))</f>
        <v/>
      </c>
      <c r="H257" s="25">
        <f>IF($C257="","",IFERROR(IF(INDEX(Roster!$F:$F,MATCH($C257,Roster!$B:$B,0))="","",INDEX(Roster!$F:$F,MATCH($C257,Roster!$B:$B,0))&amp;""),"—"))</f>
        <v/>
      </c>
      <c r="I257" s="25">
        <f>IF($C257="","",IFERROR(IF(INDEX(Roster!$G:$G,MATCH($C257,Roster!$B:$B,0))="","",INDEX(Roster!$G:$G,MATCH($C257,Roster!$B:$B,0))&amp;""),"—"))</f>
        <v/>
      </c>
      <c r="J257" s="25">
        <f>IF($C257="","",IFERROR(IF(INDEX(Roster!$I:$I,MATCH($C257,Roster!$B:$B,0))="","",INDEX(Roster!$I:$I,MATCH($C257,Roster!$B:$B,0))&amp;""),"—"))</f>
        <v/>
      </c>
      <c r="K257">
        <f>IF($C257="","",IFERROR(IF(INDEX(Roster!$J:$J,MATCH($C257,Roster!$B:$B,0))="","",INDEX(Roster!$J:$J,MATCH($C257,Roster!$B:$B,0))&amp;""),"—"))</f>
        <v/>
      </c>
      <c r="L257">
        <f>IF($C257="","",IFERROR(IF(INDEX(Roster!$K:$K,MATCH($C257,Roster!$B:$B,0))="","",INDEX(Roster!$K:$K,MATCH($C257,Roster!$B:$B,0))&amp;""),"—"))</f>
        <v/>
      </c>
      <c r="M257" s="27" t="n"/>
      <c r="N257" s="27" t="n"/>
      <c r="O257" s="25">
        <f>IF($C257="","",IF($P257="","—",IF($P257="Valid (Pass)","Valid","Invalid")))</f>
        <v/>
      </c>
      <c r="P257" s="27" t="n"/>
      <c r="Q257" s="27" t="n"/>
      <c r="R257" s="27" t="n"/>
      <c r="S257" s="27" t="n"/>
      <c r="T257" s="25">
        <f>IF($C257="","",IF(OR(ISNUMBER(SEARCH("quick case",$P257)),ISNUMBER(SEARCH("quick case",$Q257))),"Yes","No"))</f>
        <v/>
      </c>
      <c r="U257" s="25">
        <f>IF($O257="Invalid",HYPERLINK("mailto:"&amp;$G257&amp;";"&amp;$I257&amp;"?cc="&amp;Lists!$E$2&amp;"&amp;subject="&amp;_xlfn.ENCODEURL("[INVALID] Quality audit monitoring completed for "&amp;UPPER($C257))&amp;"&amp;body="&amp;_xlfn.ENCODEURL("Hi "&amp;$F257&amp;","&amp;CHAR(10)&amp;"Good day!"&amp;CHAR(10)&amp;CHAR(10)&amp;"A quality monitoring audit has been completed for "&amp;$C257&amp;"."&amp;CHAR(10)&amp;CHAR(10)&amp;"QUALITY AUDIT DETAILS"&amp;CHAR(10)&amp;"Agent Name: "&amp;$C257&amp;" (EID "&amp;$D257&amp;")"&amp;CHAR(10)&amp;"Audit Date: "&amp;TEXT($B257,"yyyy-mm-dd")&amp;CHAR(10)&amp;"Team Leader: "&amp;$F257&amp;CHAR(10)&amp;"Case Number: "&amp;$M257&amp;CHAR(10)&amp;"Transaction ID: "&amp;$N257&amp;CHAR(10)&amp;"Channel / LOB: "&amp;$K257&amp;" / "&amp;$L257&amp;CHAR(10)&amp;"Evaluator: "&amp;$S257&amp;CHAR(10)&amp;CHAR(10)&amp;"INVALID QUALITY AUDIT DETAILS"&amp;CHAR(10)&amp;"Validation: Invalid"&amp;CHAR(10)&amp;"Invalid Reason: "&amp;$P257&amp;CHAR(10)&amp;"Expected Resolution Code: "&amp;$Q257&amp;CHAR(10)&amp;"Remarks: "&amp;LEFT($R257,600)&amp;CHAR(10)&amp;CHAR(10)&amp;"This is an automated notification from HP Mainstream EQMS."),"✉ Open Email Draft"),"")</f>
        <v/>
      </c>
    </row>
    <row r="258">
      <c r="A258" s="25">
        <f>IF($C258="","","AUD-2026-"&amp;TEXT(ROW()-1,"000000"))</f>
        <v/>
      </c>
      <c r="B258" s="26" t="n"/>
      <c r="C258" s="27" t="n"/>
      <c r="D258" s="25">
        <f>IF($C258="","",IFERROR(IF(INDEX(Roster!$A:$A,MATCH($C258,Roster!$B:$B,0))="","",INDEX(Roster!$A:$A,MATCH($C258,Roster!$B:$B,0))&amp;""),"—"))</f>
        <v/>
      </c>
      <c r="E258" s="25">
        <f>IF($C258="","",IFERROR(IF(INDEX(Roster!$C:$C,MATCH($C258,Roster!$B:$B,0))="","",INDEX(Roster!$C:$C,MATCH($C258,Roster!$B:$B,0))&amp;""),"—"))</f>
        <v/>
      </c>
      <c r="F258" s="25">
        <f>IF($C258="","",IFERROR(IF(INDEX(Roster!$D:$D,MATCH($C258,Roster!$B:$B,0))="","",INDEX(Roster!$D:$D,MATCH($C258,Roster!$B:$B,0))&amp;""),"—"))</f>
        <v/>
      </c>
      <c r="G258" s="25">
        <f>IF($C258="","",IFERROR(IF(INDEX(Roster!$E:$E,MATCH($C258,Roster!$B:$B,0))="","",INDEX(Roster!$E:$E,MATCH($C258,Roster!$B:$B,0))&amp;""),"—"))</f>
        <v/>
      </c>
      <c r="H258" s="25">
        <f>IF($C258="","",IFERROR(IF(INDEX(Roster!$F:$F,MATCH($C258,Roster!$B:$B,0))="","",INDEX(Roster!$F:$F,MATCH($C258,Roster!$B:$B,0))&amp;""),"—"))</f>
        <v/>
      </c>
      <c r="I258" s="25">
        <f>IF($C258="","",IFERROR(IF(INDEX(Roster!$G:$G,MATCH($C258,Roster!$B:$B,0))="","",INDEX(Roster!$G:$G,MATCH($C258,Roster!$B:$B,0))&amp;""),"—"))</f>
        <v/>
      </c>
      <c r="J258" s="25">
        <f>IF($C258="","",IFERROR(IF(INDEX(Roster!$I:$I,MATCH($C258,Roster!$B:$B,0))="","",INDEX(Roster!$I:$I,MATCH($C258,Roster!$B:$B,0))&amp;""),"—"))</f>
        <v/>
      </c>
      <c r="K258">
        <f>IF($C258="","",IFERROR(IF(INDEX(Roster!$J:$J,MATCH($C258,Roster!$B:$B,0))="","",INDEX(Roster!$J:$J,MATCH($C258,Roster!$B:$B,0))&amp;""),"—"))</f>
        <v/>
      </c>
      <c r="L258">
        <f>IF($C258="","",IFERROR(IF(INDEX(Roster!$K:$K,MATCH($C258,Roster!$B:$B,0))="","",INDEX(Roster!$K:$K,MATCH($C258,Roster!$B:$B,0))&amp;""),"—"))</f>
        <v/>
      </c>
      <c r="M258" s="27" t="n"/>
      <c r="N258" s="27" t="n"/>
      <c r="O258" s="25">
        <f>IF($C258="","",IF($P258="","—",IF($P258="Valid (Pass)","Valid","Invalid")))</f>
        <v/>
      </c>
      <c r="P258" s="27" t="n"/>
      <c r="Q258" s="27" t="n"/>
      <c r="R258" s="27" t="n"/>
      <c r="S258" s="27" t="n"/>
      <c r="T258" s="25">
        <f>IF($C258="","",IF(OR(ISNUMBER(SEARCH("quick case",$P258)),ISNUMBER(SEARCH("quick case",$Q258))),"Yes","No"))</f>
        <v/>
      </c>
      <c r="U258" s="25">
        <f>IF($O258="Invalid",HYPERLINK("mailto:"&amp;$G258&amp;";"&amp;$I258&amp;"?cc="&amp;Lists!$E$2&amp;"&amp;subject="&amp;_xlfn.ENCODEURL("[INVALID] Quality audit monitoring completed for "&amp;UPPER($C258))&amp;"&amp;body="&amp;_xlfn.ENCODEURL("Hi "&amp;$F258&amp;","&amp;CHAR(10)&amp;"Good day!"&amp;CHAR(10)&amp;CHAR(10)&amp;"A quality monitoring audit has been completed for "&amp;$C258&amp;"."&amp;CHAR(10)&amp;CHAR(10)&amp;"QUALITY AUDIT DETAILS"&amp;CHAR(10)&amp;"Agent Name: "&amp;$C258&amp;" (EID "&amp;$D258&amp;")"&amp;CHAR(10)&amp;"Audit Date: "&amp;TEXT($B258,"yyyy-mm-dd")&amp;CHAR(10)&amp;"Team Leader: "&amp;$F258&amp;CHAR(10)&amp;"Case Number: "&amp;$M258&amp;CHAR(10)&amp;"Transaction ID: "&amp;$N258&amp;CHAR(10)&amp;"Channel / LOB: "&amp;$K258&amp;" / "&amp;$L258&amp;CHAR(10)&amp;"Evaluator: "&amp;$S258&amp;CHAR(10)&amp;CHAR(10)&amp;"INVALID QUALITY AUDIT DETAILS"&amp;CHAR(10)&amp;"Validation: Invalid"&amp;CHAR(10)&amp;"Invalid Reason: "&amp;$P258&amp;CHAR(10)&amp;"Expected Resolution Code: "&amp;$Q258&amp;CHAR(10)&amp;"Remarks: "&amp;LEFT($R258,600)&amp;CHAR(10)&amp;CHAR(10)&amp;"This is an automated notification from HP Mainstream EQMS."),"✉ Open Email Draft"),"")</f>
        <v/>
      </c>
    </row>
    <row r="259">
      <c r="A259" s="25">
        <f>IF($C259="","","AUD-2026-"&amp;TEXT(ROW()-1,"000000"))</f>
        <v/>
      </c>
      <c r="B259" s="26" t="n"/>
      <c r="C259" s="27" t="n"/>
      <c r="D259" s="25">
        <f>IF($C259="","",IFERROR(IF(INDEX(Roster!$A:$A,MATCH($C259,Roster!$B:$B,0))="","",INDEX(Roster!$A:$A,MATCH($C259,Roster!$B:$B,0))&amp;""),"—"))</f>
        <v/>
      </c>
      <c r="E259" s="25">
        <f>IF($C259="","",IFERROR(IF(INDEX(Roster!$C:$C,MATCH($C259,Roster!$B:$B,0))="","",INDEX(Roster!$C:$C,MATCH($C259,Roster!$B:$B,0))&amp;""),"—"))</f>
        <v/>
      </c>
      <c r="F259" s="25">
        <f>IF($C259="","",IFERROR(IF(INDEX(Roster!$D:$D,MATCH($C259,Roster!$B:$B,0))="","",INDEX(Roster!$D:$D,MATCH($C259,Roster!$B:$B,0))&amp;""),"—"))</f>
        <v/>
      </c>
      <c r="G259" s="25">
        <f>IF($C259="","",IFERROR(IF(INDEX(Roster!$E:$E,MATCH($C259,Roster!$B:$B,0))="","",INDEX(Roster!$E:$E,MATCH($C259,Roster!$B:$B,0))&amp;""),"—"))</f>
        <v/>
      </c>
      <c r="H259" s="25">
        <f>IF($C259="","",IFERROR(IF(INDEX(Roster!$F:$F,MATCH($C259,Roster!$B:$B,0))="","",INDEX(Roster!$F:$F,MATCH($C259,Roster!$B:$B,0))&amp;""),"—"))</f>
        <v/>
      </c>
      <c r="I259" s="25">
        <f>IF($C259="","",IFERROR(IF(INDEX(Roster!$G:$G,MATCH($C259,Roster!$B:$B,0))="","",INDEX(Roster!$G:$G,MATCH($C259,Roster!$B:$B,0))&amp;""),"—"))</f>
        <v/>
      </c>
      <c r="J259" s="25">
        <f>IF($C259="","",IFERROR(IF(INDEX(Roster!$I:$I,MATCH($C259,Roster!$B:$B,0))="","",INDEX(Roster!$I:$I,MATCH($C259,Roster!$B:$B,0))&amp;""),"—"))</f>
        <v/>
      </c>
      <c r="K259">
        <f>IF($C259="","",IFERROR(IF(INDEX(Roster!$J:$J,MATCH($C259,Roster!$B:$B,0))="","",INDEX(Roster!$J:$J,MATCH($C259,Roster!$B:$B,0))&amp;""),"—"))</f>
        <v/>
      </c>
      <c r="L259">
        <f>IF($C259="","",IFERROR(IF(INDEX(Roster!$K:$K,MATCH($C259,Roster!$B:$B,0))="","",INDEX(Roster!$K:$K,MATCH($C259,Roster!$B:$B,0))&amp;""),"—"))</f>
        <v/>
      </c>
      <c r="M259" s="27" t="n"/>
      <c r="N259" s="27" t="n"/>
      <c r="O259" s="25">
        <f>IF($C259="","",IF($P259="","—",IF($P259="Valid (Pass)","Valid","Invalid")))</f>
        <v/>
      </c>
      <c r="P259" s="27" t="n"/>
      <c r="Q259" s="27" t="n"/>
      <c r="R259" s="27" t="n"/>
      <c r="S259" s="27" t="n"/>
      <c r="T259" s="25">
        <f>IF($C259="","",IF(OR(ISNUMBER(SEARCH("quick case",$P259)),ISNUMBER(SEARCH("quick case",$Q259))),"Yes","No"))</f>
        <v/>
      </c>
      <c r="U259" s="25">
        <f>IF($O259="Invalid",HYPERLINK("mailto:"&amp;$G259&amp;";"&amp;$I259&amp;"?cc="&amp;Lists!$E$2&amp;"&amp;subject="&amp;_xlfn.ENCODEURL("[INVALID] Quality audit monitoring completed for "&amp;UPPER($C259))&amp;"&amp;body="&amp;_xlfn.ENCODEURL("Hi "&amp;$F259&amp;","&amp;CHAR(10)&amp;"Good day!"&amp;CHAR(10)&amp;CHAR(10)&amp;"A quality monitoring audit has been completed for "&amp;$C259&amp;"."&amp;CHAR(10)&amp;CHAR(10)&amp;"QUALITY AUDIT DETAILS"&amp;CHAR(10)&amp;"Agent Name: "&amp;$C259&amp;" (EID "&amp;$D259&amp;")"&amp;CHAR(10)&amp;"Audit Date: "&amp;TEXT($B259,"yyyy-mm-dd")&amp;CHAR(10)&amp;"Team Leader: "&amp;$F259&amp;CHAR(10)&amp;"Case Number: "&amp;$M259&amp;CHAR(10)&amp;"Transaction ID: "&amp;$N259&amp;CHAR(10)&amp;"Channel / LOB: "&amp;$K259&amp;" / "&amp;$L259&amp;CHAR(10)&amp;"Evaluator: "&amp;$S259&amp;CHAR(10)&amp;CHAR(10)&amp;"INVALID QUALITY AUDIT DETAILS"&amp;CHAR(10)&amp;"Validation: Invalid"&amp;CHAR(10)&amp;"Invalid Reason: "&amp;$P259&amp;CHAR(10)&amp;"Expected Resolution Code: "&amp;$Q259&amp;CHAR(10)&amp;"Remarks: "&amp;LEFT($R259,600)&amp;CHAR(10)&amp;CHAR(10)&amp;"This is an automated notification from HP Mainstream EQMS."),"✉ Open Email Draft"),"")</f>
        <v/>
      </c>
    </row>
    <row r="260">
      <c r="A260" s="25">
        <f>IF($C260="","","AUD-2026-"&amp;TEXT(ROW()-1,"000000"))</f>
        <v/>
      </c>
      <c r="B260" s="26" t="n"/>
      <c r="C260" s="27" t="n"/>
      <c r="D260" s="25">
        <f>IF($C260="","",IFERROR(IF(INDEX(Roster!$A:$A,MATCH($C260,Roster!$B:$B,0))="","",INDEX(Roster!$A:$A,MATCH($C260,Roster!$B:$B,0))&amp;""),"—"))</f>
        <v/>
      </c>
      <c r="E260" s="25">
        <f>IF($C260="","",IFERROR(IF(INDEX(Roster!$C:$C,MATCH($C260,Roster!$B:$B,0))="","",INDEX(Roster!$C:$C,MATCH($C260,Roster!$B:$B,0))&amp;""),"—"))</f>
        <v/>
      </c>
      <c r="F260" s="25">
        <f>IF($C260="","",IFERROR(IF(INDEX(Roster!$D:$D,MATCH($C260,Roster!$B:$B,0))="","",INDEX(Roster!$D:$D,MATCH($C260,Roster!$B:$B,0))&amp;""),"—"))</f>
        <v/>
      </c>
      <c r="G260" s="25">
        <f>IF($C260="","",IFERROR(IF(INDEX(Roster!$E:$E,MATCH($C260,Roster!$B:$B,0))="","",INDEX(Roster!$E:$E,MATCH($C260,Roster!$B:$B,0))&amp;""),"—"))</f>
        <v/>
      </c>
      <c r="H260" s="25">
        <f>IF($C260="","",IFERROR(IF(INDEX(Roster!$F:$F,MATCH($C260,Roster!$B:$B,0))="","",INDEX(Roster!$F:$F,MATCH($C260,Roster!$B:$B,0))&amp;""),"—"))</f>
        <v/>
      </c>
      <c r="I260" s="25">
        <f>IF($C260="","",IFERROR(IF(INDEX(Roster!$G:$G,MATCH($C260,Roster!$B:$B,0))="","",INDEX(Roster!$G:$G,MATCH($C260,Roster!$B:$B,0))&amp;""),"—"))</f>
        <v/>
      </c>
      <c r="J260" s="25">
        <f>IF($C260="","",IFERROR(IF(INDEX(Roster!$I:$I,MATCH($C260,Roster!$B:$B,0))="","",INDEX(Roster!$I:$I,MATCH($C260,Roster!$B:$B,0))&amp;""),"—"))</f>
        <v/>
      </c>
      <c r="K260">
        <f>IF($C260="","",IFERROR(IF(INDEX(Roster!$J:$J,MATCH($C260,Roster!$B:$B,0))="","",INDEX(Roster!$J:$J,MATCH($C260,Roster!$B:$B,0))&amp;""),"—"))</f>
        <v/>
      </c>
      <c r="L260">
        <f>IF($C260="","",IFERROR(IF(INDEX(Roster!$K:$K,MATCH($C260,Roster!$B:$B,0))="","",INDEX(Roster!$K:$K,MATCH($C260,Roster!$B:$B,0))&amp;""),"—"))</f>
        <v/>
      </c>
      <c r="M260" s="27" t="n"/>
      <c r="N260" s="27" t="n"/>
      <c r="O260" s="25">
        <f>IF($C260="","",IF($P260="","—",IF($P260="Valid (Pass)","Valid","Invalid")))</f>
        <v/>
      </c>
      <c r="P260" s="27" t="n"/>
      <c r="Q260" s="27" t="n"/>
      <c r="R260" s="27" t="n"/>
      <c r="S260" s="27" t="n"/>
      <c r="T260" s="25">
        <f>IF($C260="","",IF(OR(ISNUMBER(SEARCH("quick case",$P260)),ISNUMBER(SEARCH("quick case",$Q260))),"Yes","No"))</f>
        <v/>
      </c>
      <c r="U260" s="25">
        <f>IF($O260="Invalid",HYPERLINK("mailto:"&amp;$G260&amp;";"&amp;$I260&amp;"?cc="&amp;Lists!$E$2&amp;"&amp;subject="&amp;_xlfn.ENCODEURL("[INVALID] Quality audit monitoring completed for "&amp;UPPER($C260))&amp;"&amp;body="&amp;_xlfn.ENCODEURL("Hi "&amp;$F260&amp;","&amp;CHAR(10)&amp;"Good day!"&amp;CHAR(10)&amp;CHAR(10)&amp;"A quality monitoring audit has been completed for "&amp;$C260&amp;"."&amp;CHAR(10)&amp;CHAR(10)&amp;"QUALITY AUDIT DETAILS"&amp;CHAR(10)&amp;"Agent Name: "&amp;$C260&amp;" (EID "&amp;$D260&amp;")"&amp;CHAR(10)&amp;"Audit Date: "&amp;TEXT($B260,"yyyy-mm-dd")&amp;CHAR(10)&amp;"Team Leader: "&amp;$F260&amp;CHAR(10)&amp;"Case Number: "&amp;$M260&amp;CHAR(10)&amp;"Transaction ID: "&amp;$N260&amp;CHAR(10)&amp;"Channel / LOB: "&amp;$K260&amp;" / "&amp;$L260&amp;CHAR(10)&amp;"Evaluator: "&amp;$S260&amp;CHAR(10)&amp;CHAR(10)&amp;"INVALID QUALITY AUDIT DETAILS"&amp;CHAR(10)&amp;"Validation: Invalid"&amp;CHAR(10)&amp;"Invalid Reason: "&amp;$P260&amp;CHAR(10)&amp;"Expected Resolution Code: "&amp;$Q260&amp;CHAR(10)&amp;"Remarks: "&amp;LEFT($R260,600)&amp;CHAR(10)&amp;CHAR(10)&amp;"This is an automated notification from HP Mainstream EQMS."),"✉ Open Email Draft"),"")</f>
        <v/>
      </c>
    </row>
    <row r="261">
      <c r="A261" s="25">
        <f>IF($C261="","","AUD-2026-"&amp;TEXT(ROW()-1,"000000"))</f>
        <v/>
      </c>
      <c r="B261" s="26" t="n"/>
      <c r="C261" s="27" t="n"/>
      <c r="D261" s="25">
        <f>IF($C261="","",IFERROR(IF(INDEX(Roster!$A:$A,MATCH($C261,Roster!$B:$B,0))="","",INDEX(Roster!$A:$A,MATCH($C261,Roster!$B:$B,0))&amp;""),"—"))</f>
        <v/>
      </c>
      <c r="E261" s="25">
        <f>IF($C261="","",IFERROR(IF(INDEX(Roster!$C:$C,MATCH($C261,Roster!$B:$B,0))="","",INDEX(Roster!$C:$C,MATCH($C261,Roster!$B:$B,0))&amp;""),"—"))</f>
        <v/>
      </c>
      <c r="F261" s="25">
        <f>IF($C261="","",IFERROR(IF(INDEX(Roster!$D:$D,MATCH($C261,Roster!$B:$B,0))="","",INDEX(Roster!$D:$D,MATCH($C261,Roster!$B:$B,0))&amp;""),"—"))</f>
        <v/>
      </c>
      <c r="G261" s="25">
        <f>IF($C261="","",IFERROR(IF(INDEX(Roster!$E:$E,MATCH($C261,Roster!$B:$B,0))="","",INDEX(Roster!$E:$E,MATCH($C261,Roster!$B:$B,0))&amp;""),"—"))</f>
        <v/>
      </c>
      <c r="H261" s="25">
        <f>IF($C261="","",IFERROR(IF(INDEX(Roster!$F:$F,MATCH($C261,Roster!$B:$B,0))="","",INDEX(Roster!$F:$F,MATCH($C261,Roster!$B:$B,0))&amp;""),"—"))</f>
        <v/>
      </c>
      <c r="I261" s="25">
        <f>IF($C261="","",IFERROR(IF(INDEX(Roster!$G:$G,MATCH($C261,Roster!$B:$B,0))="","",INDEX(Roster!$G:$G,MATCH($C261,Roster!$B:$B,0))&amp;""),"—"))</f>
        <v/>
      </c>
      <c r="J261" s="25">
        <f>IF($C261="","",IFERROR(IF(INDEX(Roster!$I:$I,MATCH($C261,Roster!$B:$B,0))="","",INDEX(Roster!$I:$I,MATCH($C261,Roster!$B:$B,0))&amp;""),"—"))</f>
        <v/>
      </c>
      <c r="K261">
        <f>IF($C261="","",IFERROR(IF(INDEX(Roster!$J:$J,MATCH($C261,Roster!$B:$B,0))="","",INDEX(Roster!$J:$J,MATCH($C261,Roster!$B:$B,0))&amp;""),"—"))</f>
        <v/>
      </c>
      <c r="L261">
        <f>IF($C261="","",IFERROR(IF(INDEX(Roster!$K:$K,MATCH($C261,Roster!$B:$B,0))="","",INDEX(Roster!$K:$K,MATCH($C261,Roster!$B:$B,0))&amp;""),"—"))</f>
        <v/>
      </c>
      <c r="M261" s="27" t="n"/>
      <c r="N261" s="27" t="n"/>
      <c r="O261" s="25">
        <f>IF($C261="","",IF($P261="","—",IF($P261="Valid (Pass)","Valid","Invalid")))</f>
        <v/>
      </c>
      <c r="P261" s="27" t="n"/>
      <c r="Q261" s="27" t="n"/>
      <c r="R261" s="27" t="n"/>
      <c r="S261" s="27" t="n"/>
      <c r="T261" s="25">
        <f>IF($C261="","",IF(OR(ISNUMBER(SEARCH("quick case",$P261)),ISNUMBER(SEARCH("quick case",$Q261))),"Yes","No"))</f>
        <v/>
      </c>
      <c r="U261" s="25">
        <f>IF($O261="Invalid",HYPERLINK("mailto:"&amp;$G261&amp;";"&amp;$I261&amp;"?cc="&amp;Lists!$E$2&amp;"&amp;subject="&amp;_xlfn.ENCODEURL("[INVALID] Quality audit monitoring completed for "&amp;UPPER($C261))&amp;"&amp;body="&amp;_xlfn.ENCODEURL("Hi "&amp;$F261&amp;","&amp;CHAR(10)&amp;"Good day!"&amp;CHAR(10)&amp;CHAR(10)&amp;"A quality monitoring audit has been completed for "&amp;$C261&amp;"."&amp;CHAR(10)&amp;CHAR(10)&amp;"QUALITY AUDIT DETAILS"&amp;CHAR(10)&amp;"Agent Name: "&amp;$C261&amp;" (EID "&amp;$D261&amp;")"&amp;CHAR(10)&amp;"Audit Date: "&amp;TEXT($B261,"yyyy-mm-dd")&amp;CHAR(10)&amp;"Team Leader: "&amp;$F261&amp;CHAR(10)&amp;"Case Number: "&amp;$M261&amp;CHAR(10)&amp;"Transaction ID: "&amp;$N261&amp;CHAR(10)&amp;"Channel / LOB: "&amp;$K261&amp;" / "&amp;$L261&amp;CHAR(10)&amp;"Evaluator: "&amp;$S261&amp;CHAR(10)&amp;CHAR(10)&amp;"INVALID QUALITY AUDIT DETAILS"&amp;CHAR(10)&amp;"Validation: Invalid"&amp;CHAR(10)&amp;"Invalid Reason: "&amp;$P261&amp;CHAR(10)&amp;"Expected Resolution Code: "&amp;$Q261&amp;CHAR(10)&amp;"Remarks: "&amp;LEFT($R261,600)&amp;CHAR(10)&amp;CHAR(10)&amp;"This is an automated notification from HP Mainstream EQMS."),"✉ Open Email Draft"),"")</f>
        <v/>
      </c>
    </row>
    <row r="262">
      <c r="A262" s="25">
        <f>IF($C262="","","AUD-2026-"&amp;TEXT(ROW()-1,"000000"))</f>
        <v/>
      </c>
      <c r="B262" s="26" t="n"/>
      <c r="C262" s="27" t="n"/>
      <c r="D262" s="25">
        <f>IF($C262="","",IFERROR(IF(INDEX(Roster!$A:$A,MATCH($C262,Roster!$B:$B,0))="","",INDEX(Roster!$A:$A,MATCH($C262,Roster!$B:$B,0))&amp;""),"—"))</f>
        <v/>
      </c>
      <c r="E262" s="25">
        <f>IF($C262="","",IFERROR(IF(INDEX(Roster!$C:$C,MATCH($C262,Roster!$B:$B,0))="","",INDEX(Roster!$C:$C,MATCH($C262,Roster!$B:$B,0))&amp;""),"—"))</f>
        <v/>
      </c>
      <c r="F262" s="25">
        <f>IF($C262="","",IFERROR(IF(INDEX(Roster!$D:$D,MATCH($C262,Roster!$B:$B,0))="","",INDEX(Roster!$D:$D,MATCH($C262,Roster!$B:$B,0))&amp;""),"—"))</f>
        <v/>
      </c>
      <c r="G262" s="25">
        <f>IF($C262="","",IFERROR(IF(INDEX(Roster!$E:$E,MATCH($C262,Roster!$B:$B,0))="","",INDEX(Roster!$E:$E,MATCH($C262,Roster!$B:$B,0))&amp;""),"—"))</f>
        <v/>
      </c>
      <c r="H262" s="25">
        <f>IF($C262="","",IFERROR(IF(INDEX(Roster!$F:$F,MATCH($C262,Roster!$B:$B,0))="","",INDEX(Roster!$F:$F,MATCH($C262,Roster!$B:$B,0))&amp;""),"—"))</f>
        <v/>
      </c>
      <c r="I262" s="25">
        <f>IF($C262="","",IFERROR(IF(INDEX(Roster!$G:$G,MATCH($C262,Roster!$B:$B,0))="","",INDEX(Roster!$G:$G,MATCH($C262,Roster!$B:$B,0))&amp;""),"—"))</f>
        <v/>
      </c>
      <c r="J262" s="25">
        <f>IF($C262="","",IFERROR(IF(INDEX(Roster!$I:$I,MATCH($C262,Roster!$B:$B,0))="","",INDEX(Roster!$I:$I,MATCH($C262,Roster!$B:$B,0))&amp;""),"—"))</f>
        <v/>
      </c>
      <c r="K262">
        <f>IF($C262="","",IFERROR(IF(INDEX(Roster!$J:$J,MATCH($C262,Roster!$B:$B,0))="","",INDEX(Roster!$J:$J,MATCH($C262,Roster!$B:$B,0))&amp;""),"—"))</f>
        <v/>
      </c>
      <c r="L262">
        <f>IF($C262="","",IFERROR(IF(INDEX(Roster!$K:$K,MATCH($C262,Roster!$B:$B,0))="","",INDEX(Roster!$K:$K,MATCH($C262,Roster!$B:$B,0))&amp;""),"—"))</f>
        <v/>
      </c>
      <c r="M262" s="27" t="n"/>
      <c r="N262" s="27" t="n"/>
      <c r="O262" s="25">
        <f>IF($C262="","",IF($P262="","—",IF($P262="Valid (Pass)","Valid","Invalid")))</f>
        <v/>
      </c>
      <c r="P262" s="27" t="n"/>
      <c r="Q262" s="27" t="n"/>
      <c r="R262" s="27" t="n"/>
      <c r="S262" s="27" t="n"/>
      <c r="T262" s="25">
        <f>IF($C262="","",IF(OR(ISNUMBER(SEARCH("quick case",$P262)),ISNUMBER(SEARCH("quick case",$Q262))),"Yes","No"))</f>
        <v/>
      </c>
      <c r="U262" s="25">
        <f>IF($O262="Invalid",HYPERLINK("mailto:"&amp;$G262&amp;";"&amp;$I262&amp;"?cc="&amp;Lists!$E$2&amp;"&amp;subject="&amp;_xlfn.ENCODEURL("[INVALID] Quality audit monitoring completed for "&amp;UPPER($C262))&amp;"&amp;body="&amp;_xlfn.ENCODEURL("Hi "&amp;$F262&amp;","&amp;CHAR(10)&amp;"Good day!"&amp;CHAR(10)&amp;CHAR(10)&amp;"A quality monitoring audit has been completed for "&amp;$C262&amp;"."&amp;CHAR(10)&amp;CHAR(10)&amp;"QUALITY AUDIT DETAILS"&amp;CHAR(10)&amp;"Agent Name: "&amp;$C262&amp;" (EID "&amp;$D262&amp;")"&amp;CHAR(10)&amp;"Audit Date: "&amp;TEXT($B262,"yyyy-mm-dd")&amp;CHAR(10)&amp;"Team Leader: "&amp;$F262&amp;CHAR(10)&amp;"Case Number: "&amp;$M262&amp;CHAR(10)&amp;"Transaction ID: "&amp;$N262&amp;CHAR(10)&amp;"Channel / LOB: "&amp;$K262&amp;" / "&amp;$L262&amp;CHAR(10)&amp;"Evaluator: "&amp;$S262&amp;CHAR(10)&amp;CHAR(10)&amp;"INVALID QUALITY AUDIT DETAILS"&amp;CHAR(10)&amp;"Validation: Invalid"&amp;CHAR(10)&amp;"Invalid Reason: "&amp;$P262&amp;CHAR(10)&amp;"Expected Resolution Code: "&amp;$Q262&amp;CHAR(10)&amp;"Remarks: "&amp;LEFT($R262,600)&amp;CHAR(10)&amp;CHAR(10)&amp;"This is an automated notification from HP Mainstream EQMS."),"✉ Open Email Draft"),"")</f>
        <v/>
      </c>
    </row>
    <row r="263">
      <c r="A263" s="25">
        <f>IF($C263="","","AUD-2026-"&amp;TEXT(ROW()-1,"000000"))</f>
        <v/>
      </c>
      <c r="B263" s="26" t="n"/>
      <c r="C263" s="27" t="n"/>
      <c r="D263" s="25">
        <f>IF($C263="","",IFERROR(IF(INDEX(Roster!$A:$A,MATCH($C263,Roster!$B:$B,0))="","",INDEX(Roster!$A:$A,MATCH($C263,Roster!$B:$B,0))&amp;""),"—"))</f>
        <v/>
      </c>
      <c r="E263" s="25">
        <f>IF($C263="","",IFERROR(IF(INDEX(Roster!$C:$C,MATCH($C263,Roster!$B:$B,0))="","",INDEX(Roster!$C:$C,MATCH($C263,Roster!$B:$B,0))&amp;""),"—"))</f>
        <v/>
      </c>
      <c r="F263" s="25">
        <f>IF($C263="","",IFERROR(IF(INDEX(Roster!$D:$D,MATCH($C263,Roster!$B:$B,0))="","",INDEX(Roster!$D:$D,MATCH($C263,Roster!$B:$B,0))&amp;""),"—"))</f>
        <v/>
      </c>
      <c r="G263" s="25">
        <f>IF($C263="","",IFERROR(IF(INDEX(Roster!$E:$E,MATCH($C263,Roster!$B:$B,0))="","",INDEX(Roster!$E:$E,MATCH($C263,Roster!$B:$B,0))&amp;""),"—"))</f>
        <v/>
      </c>
      <c r="H263" s="25">
        <f>IF($C263="","",IFERROR(IF(INDEX(Roster!$F:$F,MATCH($C263,Roster!$B:$B,0))="","",INDEX(Roster!$F:$F,MATCH($C263,Roster!$B:$B,0))&amp;""),"—"))</f>
        <v/>
      </c>
      <c r="I263" s="25">
        <f>IF($C263="","",IFERROR(IF(INDEX(Roster!$G:$G,MATCH($C263,Roster!$B:$B,0))="","",INDEX(Roster!$G:$G,MATCH($C263,Roster!$B:$B,0))&amp;""),"—"))</f>
        <v/>
      </c>
      <c r="J263" s="25">
        <f>IF($C263="","",IFERROR(IF(INDEX(Roster!$I:$I,MATCH($C263,Roster!$B:$B,0))="","",INDEX(Roster!$I:$I,MATCH($C263,Roster!$B:$B,0))&amp;""),"—"))</f>
        <v/>
      </c>
      <c r="K263">
        <f>IF($C263="","",IFERROR(IF(INDEX(Roster!$J:$J,MATCH($C263,Roster!$B:$B,0))="","",INDEX(Roster!$J:$J,MATCH($C263,Roster!$B:$B,0))&amp;""),"—"))</f>
        <v/>
      </c>
      <c r="L263">
        <f>IF($C263="","",IFERROR(IF(INDEX(Roster!$K:$K,MATCH($C263,Roster!$B:$B,0))="","",INDEX(Roster!$K:$K,MATCH($C263,Roster!$B:$B,0))&amp;""),"—"))</f>
        <v/>
      </c>
      <c r="M263" s="27" t="n"/>
      <c r="N263" s="27" t="n"/>
      <c r="O263" s="25">
        <f>IF($C263="","",IF($P263="","—",IF($P263="Valid (Pass)","Valid","Invalid")))</f>
        <v/>
      </c>
      <c r="P263" s="27" t="n"/>
      <c r="Q263" s="27" t="n"/>
      <c r="R263" s="27" t="n"/>
      <c r="S263" s="27" t="n"/>
      <c r="T263" s="25">
        <f>IF($C263="","",IF(OR(ISNUMBER(SEARCH("quick case",$P263)),ISNUMBER(SEARCH("quick case",$Q263))),"Yes","No"))</f>
        <v/>
      </c>
      <c r="U263" s="25">
        <f>IF($O263="Invalid",HYPERLINK("mailto:"&amp;$G263&amp;";"&amp;$I263&amp;"?cc="&amp;Lists!$E$2&amp;"&amp;subject="&amp;_xlfn.ENCODEURL("[INVALID] Quality audit monitoring completed for "&amp;UPPER($C263))&amp;"&amp;body="&amp;_xlfn.ENCODEURL("Hi "&amp;$F263&amp;","&amp;CHAR(10)&amp;"Good day!"&amp;CHAR(10)&amp;CHAR(10)&amp;"A quality monitoring audit has been completed for "&amp;$C263&amp;"."&amp;CHAR(10)&amp;CHAR(10)&amp;"QUALITY AUDIT DETAILS"&amp;CHAR(10)&amp;"Agent Name: "&amp;$C263&amp;" (EID "&amp;$D263&amp;")"&amp;CHAR(10)&amp;"Audit Date: "&amp;TEXT($B263,"yyyy-mm-dd")&amp;CHAR(10)&amp;"Team Leader: "&amp;$F263&amp;CHAR(10)&amp;"Case Number: "&amp;$M263&amp;CHAR(10)&amp;"Transaction ID: "&amp;$N263&amp;CHAR(10)&amp;"Channel / LOB: "&amp;$K263&amp;" / "&amp;$L263&amp;CHAR(10)&amp;"Evaluator: "&amp;$S263&amp;CHAR(10)&amp;CHAR(10)&amp;"INVALID QUALITY AUDIT DETAILS"&amp;CHAR(10)&amp;"Validation: Invalid"&amp;CHAR(10)&amp;"Invalid Reason: "&amp;$P263&amp;CHAR(10)&amp;"Expected Resolution Code: "&amp;$Q263&amp;CHAR(10)&amp;"Remarks: "&amp;LEFT($R263,600)&amp;CHAR(10)&amp;CHAR(10)&amp;"This is an automated notification from HP Mainstream EQMS."),"✉ Open Email Draft"),"")</f>
        <v/>
      </c>
    </row>
    <row r="264">
      <c r="A264" s="25">
        <f>IF($C264="","","AUD-2026-"&amp;TEXT(ROW()-1,"000000"))</f>
        <v/>
      </c>
      <c r="B264" s="26" t="n"/>
      <c r="C264" s="27" t="n"/>
      <c r="D264" s="25">
        <f>IF($C264="","",IFERROR(IF(INDEX(Roster!$A:$A,MATCH($C264,Roster!$B:$B,0))="","",INDEX(Roster!$A:$A,MATCH($C264,Roster!$B:$B,0))&amp;""),"—"))</f>
        <v/>
      </c>
      <c r="E264" s="25">
        <f>IF($C264="","",IFERROR(IF(INDEX(Roster!$C:$C,MATCH($C264,Roster!$B:$B,0))="","",INDEX(Roster!$C:$C,MATCH($C264,Roster!$B:$B,0))&amp;""),"—"))</f>
        <v/>
      </c>
      <c r="F264" s="25">
        <f>IF($C264="","",IFERROR(IF(INDEX(Roster!$D:$D,MATCH($C264,Roster!$B:$B,0))="","",INDEX(Roster!$D:$D,MATCH($C264,Roster!$B:$B,0))&amp;""),"—"))</f>
        <v/>
      </c>
      <c r="G264" s="25">
        <f>IF($C264="","",IFERROR(IF(INDEX(Roster!$E:$E,MATCH($C264,Roster!$B:$B,0))="","",INDEX(Roster!$E:$E,MATCH($C264,Roster!$B:$B,0))&amp;""),"—"))</f>
        <v/>
      </c>
      <c r="H264" s="25">
        <f>IF($C264="","",IFERROR(IF(INDEX(Roster!$F:$F,MATCH($C264,Roster!$B:$B,0))="","",INDEX(Roster!$F:$F,MATCH($C264,Roster!$B:$B,0))&amp;""),"—"))</f>
        <v/>
      </c>
      <c r="I264" s="25">
        <f>IF($C264="","",IFERROR(IF(INDEX(Roster!$G:$G,MATCH($C264,Roster!$B:$B,0))="","",INDEX(Roster!$G:$G,MATCH($C264,Roster!$B:$B,0))&amp;""),"—"))</f>
        <v/>
      </c>
      <c r="J264" s="25">
        <f>IF($C264="","",IFERROR(IF(INDEX(Roster!$I:$I,MATCH($C264,Roster!$B:$B,0))="","",INDEX(Roster!$I:$I,MATCH($C264,Roster!$B:$B,0))&amp;""),"—"))</f>
        <v/>
      </c>
      <c r="K264">
        <f>IF($C264="","",IFERROR(IF(INDEX(Roster!$J:$J,MATCH($C264,Roster!$B:$B,0))="","",INDEX(Roster!$J:$J,MATCH($C264,Roster!$B:$B,0))&amp;""),"—"))</f>
        <v/>
      </c>
      <c r="L264">
        <f>IF($C264="","",IFERROR(IF(INDEX(Roster!$K:$K,MATCH($C264,Roster!$B:$B,0))="","",INDEX(Roster!$K:$K,MATCH($C264,Roster!$B:$B,0))&amp;""),"—"))</f>
        <v/>
      </c>
      <c r="M264" s="27" t="n"/>
      <c r="N264" s="27" t="n"/>
      <c r="O264" s="25">
        <f>IF($C264="","",IF($P264="","—",IF($P264="Valid (Pass)","Valid","Invalid")))</f>
        <v/>
      </c>
      <c r="P264" s="27" t="n"/>
      <c r="Q264" s="27" t="n"/>
      <c r="R264" s="27" t="n"/>
      <c r="S264" s="27" t="n"/>
      <c r="T264" s="25">
        <f>IF($C264="","",IF(OR(ISNUMBER(SEARCH("quick case",$P264)),ISNUMBER(SEARCH("quick case",$Q264))),"Yes","No"))</f>
        <v/>
      </c>
      <c r="U264" s="25">
        <f>IF($O264="Invalid",HYPERLINK("mailto:"&amp;$G264&amp;";"&amp;$I264&amp;"?cc="&amp;Lists!$E$2&amp;"&amp;subject="&amp;_xlfn.ENCODEURL("[INVALID] Quality audit monitoring completed for "&amp;UPPER($C264))&amp;"&amp;body="&amp;_xlfn.ENCODEURL("Hi "&amp;$F264&amp;","&amp;CHAR(10)&amp;"Good day!"&amp;CHAR(10)&amp;CHAR(10)&amp;"A quality monitoring audit has been completed for "&amp;$C264&amp;"."&amp;CHAR(10)&amp;CHAR(10)&amp;"QUALITY AUDIT DETAILS"&amp;CHAR(10)&amp;"Agent Name: "&amp;$C264&amp;" (EID "&amp;$D264&amp;")"&amp;CHAR(10)&amp;"Audit Date: "&amp;TEXT($B264,"yyyy-mm-dd")&amp;CHAR(10)&amp;"Team Leader: "&amp;$F264&amp;CHAR(10)&amp;"Case Number: "&amp;$M264&amp;CHAR(10)&amp;"Transaction ID: "&amp;$N264&amp;CHAR(10)&amp;"Channel / LOB: "&amp;$K264&amp;" / "&amp;$L264&amp;CHAR(10)&amp;"Evaluator: "&amp;$S264&amp;CHAR(10)&amp;CHAR(10)&amp;"INVALID QUALITY AUDIT DETAILS"&amp;CHAR(10)&amp;"Validation: Invalid"&amp;CHAR(10)&amp;"Invalid Reason: "&amp;$P264&amp;CHAR(10)&amp;"Expected Resolution Code: "&amp;$Q264&amp;CHAR(10)&amp;"Remarks: "&amp;LEFT($R264,600)&amp;CHAR(10)&amp;CHAR(10)&amp;"This is an automated notification from HP Mainstream EQMS."),"✉ Open Email Draft"),"")</f>
        <v/>
      </c>
    </row>
    <row r="265">
      <c r="A265" s="25">
        <f>IF($C265="","","AUD-2026-"&amp;TEXT(ROW()-1,"000000"))</f>
        <v/>
      </c>
      <c r="B265" s="26" t="n"/>
      <c r="C265" s="27" t="n"/>
      <c r="D265" s="25">
        <f>IF($C265="","",IFERROR(IF(INDEX(Roster!$A:$A,MATCH($C265,Roster!$B:$B,0))="","",INDEX(Roster!$A:$A,MATCH($C265,Roster!$B:$B,0))&amp;""),"—"))</f>
        <v/>
      </c>
      <c r="E265" s="25">
        <f>IF($C265="","",IFERROR(IF(INDEX(Roster!$C:$C,MATCH($C265,Roster!$B:$B,0))="","",INDEX(Roster!$C:$C,MATCH($C265,Roster!$B:$B,0))&amp;""),"—"))</f>
        <v/>
      </c>
      <c r="F265" s="25">
        <f>IF($C265="","",IFERROR(IF(INDEX(Roster!$D:$D,MATCH($C265,Roster!$B:$B,0))="","",INDEX(Roster!$D:$D,MATCH($C265,Roster!$B:$B,0))&amp;""),"—"))</f>
        <v/>
      </c>
      <c r="G265" s="25">
        <f>IF($C265="","",IFERROR(IF(INDEX(Roster!$E:$E,MATCH($C265,Roster!$B:$B,0))="","",INDEX(Roster!$E:$E,MATCH($C265,Roster!$B:$B,0))&amp;""),"—"))</f>
        <v/>
      </c>
      <c r="H265" s="25">
        <f>IF($C265="","",IFERROR(IF(INDEX(Roster!$F:$F,MATCH($C265,Roster!$B:$B,0))="","",INDEX(Roster!$F:$F,MATCH($C265,Roster!$B:$B,0))&amp;""),"—"))</f>
        <v/>
      </c>
      <c r="I265" s="25">
        <f>IF($C265="","",IFERROR(IF(INDEX(Roster!$G:$G,MATCH($C265,Roster!$B:$B,0))="","",INDEX(Roster!$G:$G,MATCH($C265,Roster!$B:$B,0))&amp;""),"—"))</f>
        <v/>
      </c>
      <c r="J265" s="25">
        <f>IF($C265="","",IFERROR(IF(INDEX(Roster!$I:$I,MATCH($C265,Roster!$B:$B,0))="","",INDEX(Roster!$I:$I,MATCH($C265,Roster!$B:$B,0))&amp;""),"—"))</f>
        <v/>
      </c>
      <c r="K265">
        <f>IF($C265="","",IFERROR(IF(INDEX(Roster!$J:$J,MATCH($C265,Roster!$B:$B,0))="","",INDEX(Roster!$J:$J,MATCH($C265,Roster!$B:$B,0))&amp;""),"—"))</f>
        <v/>
      </c>
      <c r="L265">
        <f>IF($C265="","",IFERROR(IF(INDEX(Roster!$K:$K,MATCH($C265,Roster!$B:$B,0))="","",INDEX(Roster!$K:$K,MATCH($C265,Roster!$B:$B,0))&amp;""),"—"))</f>
        <v/>
      </c>
      <c r="M265" s="27" t="n"/>
      <c r="N265" s="27" t="n"/>
      <c r="O265" s="25">
        <f>IF($C265="","",IF($P265="","—",IF($P265="Valid (Pass)","Valid","Invalid")))</f>
        <v/>
      </c>
      <c r="P265" s="27" t="n"/>
      <c r="Q265" s="27" t="n"/>
      <c r="R265" s="27" t="n"/>
      <c r="S265" s="27" t="n"/>
      <c r="T265" s="25">
        <f>IF($C265="","",IF(OR(ISNUMBER(SEARCH("quick case",$P265)),ISNUMBER(SEARCH("quick case",$Q265))),"Yes","No"))</f>
        <v/>
      </c>
      <c r="U265" s="25">
        <f>IF($O265="Invalid",HYPERLINK("mailto:"&amp;$G265&amp;";"&amp;$I265&amp;"?cc="&amp;Lists!$E$2&amp;"&amp;subject="&amp;_xlfn.ENCODEURL("[INVALID] Quality audit monitoring completed for "&amp;UPPER($C265))&amp;"&amp;body="&amp;_xlfn.ENCODEURL("Hi "&amp;$F265&amp;","&amp;CHAR(10)&amp;"Good day!"&amp;CHAR(10)&amp;CHAR(10)&amp;"A quality monitoring audit has been completed for "&amp;$C265&amp;"."&amp;CHAR(10)&amp;CHAR(10)&amp;"QUALITY AUDIT DETAILS"&amp;CHAR(10)&amp;"Agent Name: "&amp;$C265&amp;" (EID "&amp;$D265&amp;")"&amp;CHAR(10)&amp;"Audit Date: "&amp;TEXT($B265,"yyyy-mm-dd")&amp;CHAR(10)&amp;"Team Leader: "&amp;$F265&amp;CHAR(10)&amp;"Case Number: "&amp;$M265&amp;CHAR(10)&amp;"Transaction ID: "&amp;$N265&amp;CHAR(10)&amp;"Channel / LOB: "&amp;$K265&amp;" / "&amp;$L265&amp;CHAR(10)&amp;"Evaluator: "&amp;$S265&amp;CHAR(10)&amp;CHAR(10)&amp;"INVALID QUALITY AUDIT DETAILS"&amp;CHAR(10)&amp;"Validation: Invalid"&amp;CHAR(10)&amp;"Invalid Reason: "&amp;$P265&amp;CHAR(10)&amp;"Expected Resolution Code: "&amp;$Q265&amp;CHAR(10)&amp;"Remarks: "&amp;LEFT($R265,600)&amp;CHAR(10)&amp;CHAR(10)&amp;"This is an automated notification from HP Mainstream EQMS."),"✉ Open Email Draft"),"")</f>
        <v/>
      </c>
    </row>
    <row r="266">
      <c r="A266" s="25">
        <f>IF($C266="","","AUD-2026-"&amp;TEXT(ROW()-1,"000000"))</f>
        <v/>
      </c>
      <c r="B266" s="26" t="n"/>
      <c r="C266" s="27" t="n"/>
      <c r="D266" s="25">
        <f>IF($C266="","",IFERROR(IF(INDEX(Roster!$A:$A,MATCH($C266,Roster!$B:$B,0))="","",INDEX(Roster!$A:$A,MATCH($C266,Roster!$B:$B,0))&amp;""),"—"))</f>
        <v/>
      </c>
      <c r="E266" s="25">
        <f>IF($C266="","",IFERROR(IF(INDEX(Roster!$C:$C,MATCH($C266,Roster!$B:$B,0))="","",INDEX(Roster!$C:$C,MATCH($C266,Roster!$B:$B,0))&amp;""),"—"))</f>
        <v/>
      </c>
      <c r="F266" s="25">
        <f>IF($C266="","",IFERROR(IF(INDEX(Roster!$D:$D,MATCH($C266,Roster!$B:$B,0))="","",INDEX(Roster!$D:$D,MATCH($C266,Roster!$B:$B,0))&amp;""),"—"))</f>
        <v/>
      </c>
      <c r="G266" s="25">
        <f>IF($C266="","",IFERROR(IF(INDEX(Roster!$E:$E,MATCH($C266,Roster!$B:$B,0))="","",INDEX(Roster!$E:$E,MATCH($C266,Roster!$B:$B,0))&amp;""),"—"))</f>
        <v/>
      </c>
      <c r="H266" s="25">
        <f>IF($C266="","",IFERROR(IF(INDEX(Roster!$F:$F,MATCH($C266,Roster!$B:$B,0))="","",INDEX(Roster!$F:$F,MATCH($C266,Roster!$B:$B,0))&amp;""),"—"))</f>
        <v/>
      </c>
      <c r="I266" s="25">
        <f>IF($C266="","",IFERROR(IF(INDEX(Roster!$G:$G,MATCH($C266,Roster!$B:$B,0))="","",INDEX(Roster!$G:$G,MATCH($C266,Roster!$B:$B,0))&amp;""),"—"))</f>
        <v/>
      </c>
      <c r="J266" s="25">
        <f>IF($C266="","",IFERROR(IF(INDEX(Roster!$I:$I,MATCH($C266,Roster!$B:$B,0))="","",INDEX(Roster!$I:$I,MATCH($C266,Roster!$B:$B,0))&amp;""),"—"))</f>
        <v/>
      </c>
      <c r="K266">
        <f>IF($C266="","",IFERROR(IF(INDEX(Roster!$J:$J,MATCH($C266,Roster!$B:$B,0))="","",INDEX(Roster!$J:$J,MATCH($C266,Roster!$B:$B,0))&amp;""),"—"))</f>
        <v/>
      </c>
      <c r="L266">
        <f>IF($C266="","",IFERROR(IF(INDEX(Roster!$K:$K,MATCH($C266,Roster!$B:$B,0))="","",INDEX(Roster!$K:$K,MATCH($C266,Roster!$B:$B,0))&amp;""),"—"))</f>
        <v/>
      </c>
      <c r="M266" s="27" t="n"/>
      <c r="N266" s="27" t="n"/>
      <c r="O266" s="25">
        <f>IF($C266="","",IF($P266="","—",IF($P266="Valid (Pass)","Valid","Invalid")))</f>
        <v/>
      </c>
      <c r="P266" s="27" t="n"/>
      <c r="Q266" s="27" t="n"/>
      <c r="R266" s="27" t="n"/>
      <c r="S266" s="27" t="n"/>
      <c r="T266" s="25">
        <f>IF($C266="","",IF(OR(ISNUMBER(SEARCH("quick case",$P266)),ISNUMBER(SEARCH("quick case",$Q266))),"Yes","No"))</f>
        <v/>
      </c>
      <c r="U266" s="25">
        <f>IF($O266="Invalid",HYPERLINK("mailto:"&amp;$G266&amp;";"&amp;$I266&amp;"?cc="&amp;Lists!$E$2&amp;"&amp;subject="&amp;_xlfn.ENCODEURL("[INVALID] Quality audit monitoring completed for "&amp;UPPER($C266))&amp;"&amp;body="&amp;_xlfn.ENCODEURL("Hi "&amp;$F266&amp;","&amp;CHAR(10)&amp;"Good day!"&amp;CHAR(10)&amp;CHAR(10)&amp;"A quality monitoring audit has been completed for "&amp;$C266&amp;"."&amp;CHAR(10)&amp;CHAR(10)&amp;"QUALITY AUDIT DETAILS"&amp;CHAR(10)&amp;"Agent Name: "&amp;$C266&amp;" (EID "&amp;$D266&amp;")"&amp;CHAR(10)&amp;"Audit Date: "&amp;TEXT($B266,"yyyy-mm-dd")&amp;CHAR(10)&amp;"Team Leader: "&amp;$F266&amp;CHAR(10)&amp;"Case Number: "&amp;$M266&amp;CHAR(10)&amp;"Transaction ID: "&amp;$N266&amp;CHAR(10)&amp;"Channel / LOB: "&amp;$K266&amp;" / "&amp;$L266&amp;CHAR(10)&amp;"Evaluator: "&amp;$S266&amp;CHAR(10)&amp;CHAR(10)&amp;"INVALID QUALITY AUDIT DETAILS"&amp;CHAR(10)&amp;"Validation: Invalid"&amp;CHAR(10)&amp;"Invalid Reason: "&amp;$P266&amp;CHAR(10)&amp;"Expected Resolution Code: "&amp;$Q266&amp;CHAR(10)&amp;"Remarks: "&amp;LEFT($R266,600)&amp;CHAR(10)&amp;CHAR(10)&amp;"This is an automated notification from HP Mainstream EQMS."),"✉ Open Email Draft"),"")</f>
        <v/>
      </c>
    </row>
    <row r="267">
      <c r="A267" s="25">
        <f>IF($C267="","","AUD-2026-"&amp;TEXT(ROW()-1,"000000"))</f>
        <v/>
      </c>
      <c r="B267" s="26" t="n"/>
      <c r="C267" s="27" t="n"/>
      <c r="D267" s="25">
        <f>IF($C267="","",IFERROR(IF(INDEX(Roster!$A:$A,MATCH($C267,Roster!$B:$B,0))="","",INDEX(Roster!$A:$A,MATCH($C267,Roster!$B:$B,0))&amp;""),"—"))</f>
        <v/>
      </c>
      <c r="E267" s="25">
        <f>IF($C267="","",IFERROR(IF(INDEX(Roster!$C:$C,MATCH($C267,Roster!$B:$B,0))="","",INDEX(Roster!$C:$C,MATCH($C267,Roster!$B:$B,0))&amp;""),"—"))</f>
        <v/>
      </c>
      <c r="F267" s="25">
        <f>IF($C267="","",IFERROR(IF(INDEX(Roster!$D:$D,MATCH($C267,Roster!$B:$B,0))="","",INDEX(Roster!$D:$D,MATCH($C267,Roster!$B:$B,0))&amp;""),"—"))</f>
        <v/>
      </c>
      <c r="G267" s="25">
        <f>IF($C267="","",IFERROR(IF(INDEX(Roster!$E:$E,MATCH($C267,Roster!$B:$B,0))="","",INDEX(Roster!$E:$E,MATCH($C267,Roster!$B:$B,0))&amp;""),"—"))</f>
        <v/>
      </c>
      <c r="H267" s="25">
        <f>IF($C267="","",IFERROR(IF(INDEX(Roster!$F:$F,MATCH($C267,Roster!$B:$B,0))="","",INDEX(Roster!$F:$F,MATCH($C267,Roster!$B:$B,0))&amp;""),"—"))</f>
        <v/>
      </c>
      <c r="I267" s="25">
        <f>IF($C267="","",IFERROR(IF(INDEX(Roster!$G:$G,MATCH($C267,Roster!$B:$B,0))="","",INDEX(Roster!$G:$G,MATCH($C267,Roster!$B:$B,0))&amp;""),"—"))</f>
        <v/>
      </c>
      <c r="J267" s="25">
        <f>IF($C267="","",IFERROR(IF(INDEX(Roster!$I:$I,MATCH($C267,Roster!$B:$B,0))="","",INDEX(Roster!$I:$I,MATCH($C267,Roster!$B:$B,0))&amp;""),"—"))</f>
        <v/>
      </c>
      <c r="K267">
        <f>IF($C267="","",IFERROR(IF(INDEX(Roster!$J:$J,MATCH($C267,Roster!$B:$B,0))="","",INDEX(Roster!$J:$J,MATCH($C267,Roster!$B:$B,0))&amp;""),"—"))</f>
        <v/>
      </c>
      <c r="L267">
        <f>IF($C267="","",IFERROR(IF(INDEX(Roster!$K:$K,MATCH($C267,Roster!$B:$B,0))="","",INDEX(Roster!$K:$K,MATCH($C267,Roster!$B:$B,0))&amp;""),"—"))</f>
        <v/>
      </c>
      <c r="M267" s="27" t="n"/>
      <c r="N267" s="27" t="n"/>
      <c r="O267" s="25">
        <f>IF($C267="","",IF($P267="","—",IF($P267="Valid (Pass)","Valid","Invalid")))</f>
        <v/>
      </c>
      <c r="P267" s="27" t="n"/>
      <c r="Q267" s="27" t="n"/>
      <c r="R267" s="27" t="n"/>
      <c r="S267" s="27" t="n"/>
      <c r="T267" s="25">
        <f>IF($C267="","",IF(OR(ISNUMBER(SEARCH("quick case",$P267)),ISNUMBER(SEARCH("quick case",$Q267))),"Yes","No"))</f>
        <v/>
      </c>
      <c r="U267" s="25">
        <f>IF($O267="Invalid",HYPERLINK("mailto:"&amp;$G267&amp;";"&amp;$I267&amp;"?cc="&amp;Lists!$E$2&amp;"&amp;subject="&amp;_xlfn.ENCODEURL("[INVALID] Quality audit monitoring completed for "&amp;UPPER($C267))&amp;"&amp;body="&amp;_xlfn.ENCODEURL("Hi "&amp;$F267&amp;","&amp;CHAR(10)&amp;"Good day!"&amp;CHAR(10)&amp;CHAR(10)&amp;"A quality monitoring audit has been completed for "&amp;$C267&amp;"."&amp;CHAR(10)&amp;CHAR(10)&amp;"QUALITY AUDIT DETAILS"&amp;CHAR(10)&amp;"Agent Name: "&amp;$C267&amp;" (EID "&amp;$D267&amp;")"&amp;CHAR(10)&amp;"Audit Date: "&amp;TEXT($B267,"yyyy-mm-dd")&amp;CHAR(10)&amp;"Team Leader: "&amp;$F267&amp;CHAR(10)&amp;"Case Number: "&amp;$M267&amp;CHAR(10)&amp;"Transaction ID: "&amp;$N267&amp;CHAR(10)&amp;"Channel / LOB: "&amp;$K267&amp;" / "&amp;$L267&amp;CHAR(10)&amp;"Evaluator: "&amp;$S267&amp;CHAR(10)&amp;CHAR(10)&amp;"INVALID QUALITY AUDIT DETAILS"&amp;CHAR(10)&amp;"Validation: Invalid"&amp;CHAR(10)&amp;"Invalid Reason: "&amp;$P267&amp;CHAR(10)&amp;"Expected Resolution Code: "&amp;$Q267&amp;CHAR(10)&amp;"Remarks: "&amp;LEFT($R267,600)&amp;CHAR(10)&amp;CHAR(10)&amp;"This is an automated notification from HP Mainstream EQMS."),"✉ Open Email Draft"),"")</f>
        <v/>
      </c>
    </row>
    <row r="268">
      <c r="A268" s="25">
        <f>IF($C268="","","AUD-2026-"&amp;TEXT(ROW()-1,"000000"))</f>
        <v/>
      </c>
      <c r="B268" s="26" t="n"/>
      <c r="C268" s="27" t="n"/>
      <c r="D268" s="25">
        <f>IF($C268="","",IFERROR(IF(INDEX(Roster!$A:$A,MATCH($C268,Roster!$B:$B,0))="","",INDEX(Roster!$A:$A,MATCH($C268,Roster!$B:$B,0))&amp;""),"—"))</f>
        <v/>
      </c>
      <c r="E268" s="25">
        <f>IF($C268="","",IFERROR(IF(INDEX(Roster!$C:$C,MATCH($C268,Roster!$B:$B,0))="","",INDEX(Roster!$C:$C,MATCH($C268,Roster!$B:$B,0))&amp;""),"—"))</f>
        <v/>
      </c>
      <c r="F268" s="25">
        <f>IF($C268="","",IFERROR(IF(INDEX(Roster!$D:$D,MATCH($C268,Roster!$B:$B,0))="","",INDEX(Roster!$D:$D,MATCH($C268,Roster!$B:$B,0))&amp;""),"—"))</f>
        <v/>
      </c>
      <c r="G268" s="25">
        <f>IF($C268="","",IFERROR(IF(INDEX(Roster!$E:$E,MATCH($C268,Roster!$B:$B,0))="","",INDEX(Roster!$E:$E,MATCH($C268,Roster!$B:$B,0))&amp;""),"—"))</f>
        <v/>
      </c>
      <c r="H268" s="25">
        <f>IF($C268="","",IFERROR(IF(INDEX(Roster!$F:$F,MATCH($C268,Roster!$B:$B,0))="","",INDEX(Roster!$F:$F,MATCH($C268,Roster!$B:$B,0))&amp;""),"—"))</f>
        <v/>
      </c>
      <c r="I268" s="25">
        <f>IF($C268="","",IFERROR(IF(INDEX(Roster!$G:$G,MATCH($C268,Roster!$B:$B,0))="","",INDEX(Roster!$G:$G,MATCH($C268,Roster!$B:$B,0))&amp;""),"—"))</f>
        <v/>
      </c>
      <c r="J268" s="25">
        <f>IF($C268="","",IFERROR(IF(INDEX(Roster!$I:$I,MATCH($C268,Roster!$B:$B,0))="","",INDEX(Roster!$I:$I,MATCH($C268,Roster!$B:$B,0))&amp;""),"—"))</f>
        <v/>
      </c>
      <c r="K268">
        <f>IF($C268="","",IFERROR(IF(INDEX(Roster!$J:$J,MATCH($C268,Roster!$B:$B,0))="","",INDEX(Roster!$J:$J,MATCH($C268,Roster!$B:$B,0))&amp;""),"—"))</f>
        <v/>
      </c>
      <c r="L268">
        <f>IF($C268="","",IFERROR(IF(INDEX(Roster!$K:$K,MATCH($C268,Roster!$B:$B,0))="","",INDEX(Roster!$K:$K,MATCH($C268,Roster!$B:$B,0))&amp;""),"—"))</f>
        <v/>
      </c>
      <c r="M268" s="27" t="n"/>
      <c r="N268" s="27" t="n"/>
      <c r="O268" s="25">
        <f>IF($C268="","",IF($P268="","—",IF($P268="Valid (Pass)","Valid","Invalid")))</f>
        <v/>
      </c>
      <c r="P268" s="27" t="n"/>
      <c r="Q268" s="27" t="n"/>
      <c r="R268" s="27" t="n"/>
      <c r="S268" s="27" t="n"/>
      <c r="T268" s="25">
        <f>IF($C268="","",IF(OR(ISNUMBER(SEARCH("quick case",$P268)),ISNUMBER(SEARCH("quick case",$Q268))),"Yes","No"))</f>
        <v/>
      </c>
      <c r="U268" s="25">
        <f>IF($O268="Invalid",HYPERLINK("mailto:"&amp;$G268&amp;";"&amp;$I268&amp;"?cc="&amp;Lists!$E$2&amp;"&amp;subject="&amp;_xlfn.ENCODEURL("[INVALID] Quality audit monitoring completed for "&amp;UPPER($C268))&amp;"&amp;body="&amp;_xlfn.ENCODEURL("Hi "&amp;$F268&amp;","&amp;CHAR(10)&amp;"Good day!"&amp;CHAR(10)&amp;CHAR(10)&amp;"A quality monitoring audit has been completed for "&amp;$C268&amp;"."&amp;CHAR(10)&amp;CHAR(10)&amp;"QUALITY AUDIT DETAILS"&amp;CHAR(10)&amp;"Agent Name: "&amp;$C268&amp;" (EID "&amp;$D268&amp;")"&amp;CHAR(10)&amp;"Audit Date: "&amp;TEXT($B268,"yyyy-mm-dd")&amp;CHAR(10)&amp;"Team Leader: "&amp;$F268&amp;CHAR(10)&amp;"Case Number: "&amp;$M268&amp;CHAR(10)&amp;"Transaction ID: "&amp;$N268&amp;CHAR(10)&amp;"Channel / LOB: "&amp;$K268&amp;" / "&amp;$L268&amp;CHAR(10)&amp;"Evaluator: "&amp;$S268&amp;CHAR(10)&amp;CHAR(10)&amp;"INVALID QUALITY AUDIT DETAILS"&amp;CHAR(10)&amp;"Validation: Invalid"&amp;CHAR(10)&amp;"Invalid Reason: "&amp;$P268&amp;CHAR(10)&amp;"Expected Resolution Code: "&amp;$Q268&amp;CHAR(10)&amp;"Remarks: "&amp;LEFT($R268,600)&amp;CHAR(10)&amp;CHAR(10)&amp;"This is an automated notification from HP Mainstream EQMS."),"✉ Open Email Draft"),"")</f>
        <v/>
      </c>
    </row>
    <row r="269">
      <c r="A269" s="25">
        <f>IF($C269="","","AUD-2026-"&amp;TEXT(ROW()-1,"000000"))</f>
        <v/>
      </c>
      <c r="B269" s="26" t="n"/>
      <c r="C269" s="27" t="n"/>
      <c r="D269" s="25">
        <f>IF($C269="","",IFERROR(IF(INDEX(Roster!$A:$A,MATCH($C269,Roster!$B:$B,0))="","",INDEX(Roster!$A:$A,MATCH($C269,Roster!$B:$B,0))&amp;""),"—"))</f>
        <v/>
      </c>
      <c r="E269" s="25">
        <f>IF($C269="","",IFERROR(IF(INDEX(Roster!$C:$C,MATCH($C269,Roster!$B:$B,0))="","",INDEX(Roster!$C:$C,MATCH($C269,Roster!$B:$B,0))&amp;""),"—"))</f>
        <v/>
      </c>
      <c r="F269" s="25">
        <f>IF($C269="","",IFERROR(IF(INDEX(Roster!$D:$D,MATCH($C269,Roster!$B:$B,0))="","",INDEX(Roster!$D:$D,MATCH($C269,Roster!$B:$B,0))&amp;""),"—"))</f>
        <v/>
      </c>
      <c r="G269" s="25">
        <f>IF($C269="","",IFERROR(IF(INDEX(Roster!$E:$E,MATCH($C269,Roster!$B:$B,0))="","",INDEX(Roster!$E:$E,MATCH($C269,Roster!$B:$B,0))&amp;""),"—"))</f>
        <v/>
      </c>
      <c r="H269" s="25">
        <f>IF($C269="","",IFERROR(IF(INDEX(Roster!$F:$F,MATCH($C269,Roster!$B:$B,0))="","",INDEX(Roster!$F:$F,MATCH($C269,Roster!$B:$B,0))&amp;""),"—"))</f>
        <v/>
      </c>
      <c r="I269" s="25">
        <f>IF($C269="","",IFERROR(IF(INDEX(Roster!$G:$G,MATCH($C269,Roster!$B:$B,0))="","",INDEX(Roster!$G:$G,MATCH($C269,Roster!$B:$B,0))&amp;""),"—"))</f>
        <v/>
      </c>
      <c r="J269" s="25">
        <f>IF($C269="","",IFERROR(IF(INDEX(Roster!$I:$I,MATCH($C269,Roster!$B:$B,0))="","",INDEX(Roster!$I:$I,MATCH($C269,Roster!$B:$B,0))&amp;""),"—"))</f>
        <v/>
      </c>
      <c r="K269">
        <f>IF($C269="","",IFERROR(IF(INDEX(Roster!$J:$J,MATCH($C269,Roster!$B:$B,0))="","",INDEX(Roster!$J:$J,MATCH($C269,Roster!$B:$B,0))&amp;""),"—"))</f>
        <v/>
      </c>
      <c r="L269">
        <f>IF($C269="","",IFERROR(IF(INDEX(Roster!$K:$K,MATCH($C269,Roster!$B:$B,0))="","",INDEX(Roster!$K:$K,MATCH($C269,Roster!$B:$B,0))&amp;""),"—"))</f>
        <v/>
      </c>
      <c r="M269" s="27" t="n"/>
      <c r="N269" s="27" t="n"/>
      <c r="O269" s="25">
        <f>IF($C269="","",IF($P269="","—",IF($P269="Valid (Pass)","Valid","Invalid")))</f>
        <v/>
      </c>
      <c r="P269" s="27" t="n"/>
      <c r="Q269" s="27" t="n"/>
      <c r="R269" s="27" t="n"/>
      <c r="S269" s="27" t="n"/>
      <c r="T269" s="25">
        <f>IF($C269="","",IF(OR(ISNUMBER(SEARCH("quick case",$P269)),ISNUMBER(SEARCH("quick case",$Q269))),"Yes","No"))</f>
        <v/>
      </c>
      <c r="U269" s="25">
        <f>IF($O269="Invalid",HYPERLINK("mailto:"&amp;$G269&amp;";"&amp;$I269&amp;"?cc="&amp;Lists!$E$2&amp;"&amp;subject="&amp;_xlfn.ENCODEURL("[INVALID] Quality audit monitoring completed for "&amp;UPPER($C269))&amp;"&amp;body="&amp;_xlfn.ENCODEURL("Hi "&amp;$F269&amp;","&amp;CHAR(10)&amp;"Good day!"&amp;CHAR(10)&amp;CHAR(10)&amp;"A quality monitoring audit has been completed for "&amp;$C269&amp;"."&amp;CHAR(10)&amp;CHAR(10)&amp;"QUALITY AUDIT DETAILS"&amp;CHAR(10)&amp;"Agent Name: "&amp;$C269&amp;" (EID "&amp;$D269&amp;")"&amp;CHAR(10)&amp;"Audit Date: "&amp;TEXT($B269,"yyyy-mm-dd")&amp;CHAR(10)&amp;"Team Leader: "&amp;$F269&amp;CHAR(10)&amp;"Case Number: "&amp;$M269&amp;CHAR(10)&amp;"Transaction ID: "&amp;$N269&amp;CHAR(10)&amp;"Channel / LOB: "&amp;$K269&amp;" / "&amp;$L269&amp;CHAR(10)&amp;"Evaluator: "&amp;$S269&amp;CHAR(10)&amp;CHAR(10)&amp;"INVALID QUALITY AUDIT DETAILS"&amp;CHAR(10)&amp;"Validation: Invalid"&amp;CHAR(10)&amp;"Invalid Reason: "&amp;$P269&amp;CHAR(10)&amp;"Expected Resolution Code: "&amp;$Q269&amp;CHAR(10)&amp;"Remarks: "&amp;LEFT($R269,600)&amp;CHAR(10)&amp;CHAR(10)&amp;"This is an automated notification from HP Mainstream EQMS."),"✉ Open Email Draft"),"")</f>
        <v/>
      </c>
    </row>
    <row r="270">
      <c r="A270" s="25">
        <f>IF($C270="","","AUD-2026-"&amp;TEXT(ROW()-1,"000000"))</f>
        <v/>
      </c>
      <c r="B270" s="26" t="n"/>
      <c r="C270" s="27" t="n"/>
      <c r="D270" s="25">
        <f>IF($C270="","",IFERROR(IF(INDEX(Roster!$A:$A,MATCH($C270,Roster!$B:$B,0))="","",INDEX(Roster!$A:$A,MATCH($C270,Roster!$B:$B,0))&amp;""),"—"))</f>
        <v/>
      </c>
      <c r="E270" s="25">
        <f>IF($C270="","",IFERROR(IF(INDEX(Roster!$C:$C,MATCH($C270,Roster!$B:$B,0))="","",INDEX(Roster!$C:$C,MATCH($C270,Roster!$B:$B,0))&amp;""),"—"))</f>
        <v/>
      </c>
      <c r="F270" s="25">
        <f>IF($C270="","",IFERROR(IF(INDEX(Roster!$D:$D,MATCH($C270,Roster!$B:$B,0))="","",INDEX(Roster!$D:$D,MATCH($C270,Roster!$B:$B,0))&amp;""),"—"))</f>
        <v/>
      </c>
      <c r="G270" s="25">
        <f>IF($C270="","",IFERROR(IF(INDEX(Roster!$E:$E,MATCH($C270,Roster!$B:$B,0))="","",INDEX(Roster!$E:$E,MATCH($C270,Roster!$B:$B,0))&amp;""),"—"))</f>
        <v/>
      </c>
      <c r="H270" s="25">
        <f>IF($C270="","",IFERROR(IF(INDEX(Roster!$F:$F,MATCH($C270,Roster!$B:$B,0))="","",INDEX(Roster!$F:$F,MATCH($C270,Roster!$B:$B,0))&amp;""),"—"))</f>
        <v/>
      </c>
      <c r="I270" s="25">
        <f>IF($C270="","",IFERROR(IF(INDEX(Roster!$G:$G,MATCH($C270,Roster!$B:$B,0))="","",INDEX(Roster!$G:$G,MATCH($C270,Roster!$B:$B,0))&amp;""),"—"))</f>
        <v/>
      </c>
      <c r="J270" s="25">
        <f>IF($C270="","",IFERROR(IF(INDEX(Roster!$I:$I,MATCH($C270,Roster!$B:$B,0))="","",INDEX(Roster!$I:$I,MATCH($C270,Roster!$B:$B,0))&amp;""),"—"))</f>
        <v/>
      </c>
      <c r="K270">
        <f>IF($C270="","",IFERROR(IF(INDEX(Roster!$J:$J,MATCH($C270,Roster!$B:$B,0))="","",INDEX(Roster!$J:$J,MATCH($C270,Roster!$B:$B,0))&amp;""),"—"))</f>
        <v/>
      </c>
      <c r="L270">
        <f>IF($C270="","",IFERROR(IF(INDEX(Roster!$K:$K,MATCH($C270,Roster!$B:$B,0))="","",INDEX(Roster!$K:$K,MATCH($C270,Roster!$B:$B,0))&amp;""),"—"))</f>
        <v/>
      </c>
      <c r="M270" s="27" t="n"/>
      <c r="N270" s="27" t="n"/>
      <c r="O270" s="25">
        <f>IF($C270="","",IF($P270="","—",IF($P270="Valid (Pass)","Valid","Invalid")))</f>
        <v/>
      </c>
      <c r="P270" s="27" t="n"/>
      <c r="Q270" s="27" t="n"/>
      <c r="R270" s="27" t="n"/>
      <c r="S270" s="27" t="n"/>
      <c r="T270" s="25">
        <f>IF($C270="","",IF(OR(ISNUMBER(SEARCH("quick case",$P270)),ISNUMBER(SEARCH("quick case",$Q270))),"Yes","No"))</f>
        <v/>
      </c>
      <c r="U270" s="25">
        <f>IF($O270="Invalid",HYPERLINK("mailto:"&amp;$G270&amp;";"&amp;$I270&amp;"?cc="&amp;Lists!$E$2&amp;"&amp;subject="&amp;_xlfn.ENCODEURL("[INVALID] Quality audit monitoring completed for "&amp;UPPER($C270))&amp;"&amp;body="&amp;_xlfn.ENCODEURL("Hi "&amp;$F270&amp;","&amp;CHAR(10)&amp;"Good day!"&amp;CHAR(10)&amp;CHAR(10)&amp;"A quality monitoring audit has been completed for "&amp;$C270&amp;"."&amp;CHAR(10)&amp;CHAR(10)&amp;"QUALITY AUDIT DETAILS"&amp;CHAR(10)&amp;"Agent Name: "&amp;$C270&amp;" (EID "&amp;$D270&amp;")"&amp;CHAR(10)&amp;"Audit Date: "&amp;TEXT($B270,"yyyy-mm-dd")&amp;CHAR(10)&amp;"Team Leader: "&amp;$F270&amp;CHAR(10)&amp;"Case Number: "&amp;$M270&amp;CHAR(10)&amp;"Transaction ID: "&amp;$N270&amp;CHAR(10)&amp;"Channel / LOB: "&amp;$K270&amp;" / "&amp;$L270&amp;CHAR(10)&amp;"Evaluator: "&amp;$S270&amp;CHAR(10)&amp;CHAR(10)&amp;"INVALID QUALITY AUDIT DETAILS"&amp;CHAR(10)&amp;"Validation: Invalid"&amp;CHAR(10)&amp;"Invalid Reason: "&amp;$P270&amp;CHAR(10)&amp;"Expected Resolution Code: "&amp;$Q270&amp;CHAR(10)&amp;"Remarks: "&amp;LEFT($R270,600)&amp;CHAR(10)&amp;CHAR(10)&amp;"This is an automated notification from HP Mainstream EQMS."),"✉ Open Email Draft"),"")</f>
        <v/>
      </c>
    </row>
    <row r="271">
      <c r="A271" s="25">
        <f>IF($C271="","","AUD-2026-"&amp;TEXT(ROW()-1,"000000"))</f>
        <v/>
      </c>
      <c r="B271" s="26" t="n"/>
      <c r="C271" s="27" t="n"/>
      <c r="D271" s="25">
        <f>IF($C271="","",IFERROR(IF(INDEX(Roster!$A:$A,MATCH($C271,Roster!$B:$B,0))="","",INDEX(Roster!$A:$A,MATCH($C271,Roster!$B:$B,0))&amp;""),"—"))</f>
        <v/>
      </c>
      <c r="E271" s="25">
        <f>IF($C271="","",IFERROR(IF(INDEX(Roster!$C:$C,MATCH($C271,Roster!$B:$B,0))="","",INDEX(Roster!$C:$C,MATCH($C271,Roster!$B:$B,0))&amp;""),"—"))</f>
        <v/>
      </c>
      <c r="F271" s="25">
        <f>IF($C271="","",IFERROR(IF(INDEX(Roster!$D:$D,MATCH($C271,Roster!$B:$B,0))="","",INDEX(Roster!$D:$D,MATCH($C271,Roster!$B:$B,0))&amp;""),"—"))</f>
        <v/>
      </c>
      <c r="G271" s="25">
        <f>IF($C271="","",IFERROR(IF(INDEX(Roster!$E:$E,MATCH($C271,Roster!$B:$B,0))="","",INDEX(Roster!$E:$E,MATCH($C271,Roster!$B:$B,0))&amp;""),"—"))</f>
        <v/>
      </c>
      <c r="H271" s="25">
        <f>IF($C271="","",IFERROR(IF(INDEX(Roster!$F:$F,MATCH($C271,Roster!$B:$B,0))="","",INDEX(Roster!$F:$F,MATCH($C271,Roster!$B:$B,0))&amp;""),"—"))</f>
        <v/>
      </c>
      <c r="I271" s="25">
        <f>IF($C271="","",IFERROR(IF(INDEX(Roster!$G:$G,MATCH($C271,Roster!$B:$B,0))="","",INDEX(Roster!$G:$G,MATCH($C271,Roster!$B:$B,0))&amp;""),"—"))</f>
        <v/>
      </c>
      <c r="J271" s="25">
        <f>IF($C271="","",IFERROR(IF(INDEX(Roster!$I:$I,MATCH($C271,Roster!$B:$B,0))="","",INDEX(Roster!$I:$I,MATCH($C271,Roster!$B:$B,0))&amp;""),"—"))</f>
        <v/>
      </c>
      <c r="K271">
        <f>IF($C271="","",IFERROR(IF(INDEX(Roster!$J:$J,MATCH($C271,Roster!$B:$B,0))="","",INDEX(Roster!$J:$J,MATCH($C271,Roster!$B:$B,0))&amp;""),"—"))</f>
        <v/>
      </c>
      <c r="L271">
        <f>IF($C271="","",IFERROR(IF(INDEX(Roster!$K:$K,MATCH($C271,Roster!$B:$B,0))="","",INDEX(Roster!$K:$K,MATCH($C271,Roster!$B:$B,0))&amp;""),"—"))</f>
        <v/>
      </c>
      <c r="M271" s="27" t="n"/>
      <c r="N271" s="27" t="n"/>
      <c r="O271" s="25">
        <f>IF($C271="","",IF($P271="","—",IF($P271="Valid (Pass)","Valid","Invalid")))</f>
        <v/>
      </c>
      <c r="P271" s="27" t="n"/>
      <c r="Q271" s="27" t="n"/>
      <c r="R271" s="27" t="n"/>
      <c r="S271" s="27" t="n"/>
      <c r="T271" s="25">
        <f>IF($C271="","",IF(OR(ISNUMBER(SEARCH("quick case",$P271)),ISNUMBER(SEARCH("quick case",$Q271))),"Yes","No"))</f>
        <v/>
      </c>
      <c r="U271" s="25">
        <f>IF($O271="Invalid",HYPERLINK("mailto:"&amp;$G271&amp;";"&amp;$I271&amp;"?cc="&amp;Lists!$E$2&amp;"&amp;subject="&amp;_xlfn.ENCODEURL("[INVALID] Quality audit monitoring completed for "&amp;UPPER($C271))&amp;"&amp;body="&amp;_xlfn.ENCODEURL("Hi "&amp;$F271&amp;","&amp;CHAR(10)&amp;"Good day!"&amp;CHAR(10)&amp;CHAR(10)&amp;"A quality monitoring audit has been completed for "&amp;$C271&amp;"."&amp;CHAR(10)&amp;CHAR(10)&amp;"QUALITY AUDIT DETAILS"&amp;CHAR(10)&amp;"Agent Name: "&amp;$C271&amp;" (EID "&amp;$D271&amp;")"&amp;CHAR(10)&amp;"Audit Date: "&amp;TEXT($B271,"yyyy-mm-dd")&amp;CHAR(10)&amp;"Team Leader: "&amp;$F271&amp;CHAR(10)&amp;"Case Number: "&amp;$M271&amp;CHAR(10)&amp;"Transaction ID: "&amp;$N271&amp;CHAR(10)&amp;"Channel / LOB: "&amp;$K271&amp;" / "&amp;$L271&amp;CHAR(10)&amp;"Evaluator: "&amp;$S271&amp;CHAR(10)&amp;CHAR(10)&amp;"INVALID QUALITY AUDIT DETAILS"&amp;CHAR(10)&amp;"Validation: Invalid"&amp;CHAR(10)&amp;"Invalid Reason: "&amp;$P271&amp;CHAR(10)&amp;"Expected Resolution Code: "&amp;$Q271&amp;CHAR(10)&amp;"Remarks: "&amp;LEFT($R271,600)&amp;CHAR(10)&amp;CHAR(10)&amp;"This is an automated notification from HP Mainstream EQMS."),"✉ Open Email Draft"),"")</f>
        <v/>
      </c>
    </row>
    <row r="272">
      <c r="A272" s="25">
        <f>IF($C272="","","AUD-2026-"&amp;TEXT(ROW()-1,"000000"))</f>
        <v/>
      </c>
      <c r="B272" s="26" t="n"/>
      <c r="C272" s="27" t="n"/>
      <c r="D272" s="25">
        <f>IF($C272="","",IFERROR(IF(INDEX(Roster!$A:$A,MATCH($C272,Roster!$B:$B,0))="","",INDEX(Roster!$A:$A,MATCH($C272,Roster!$B:$B,0))&amp;""),"—"))</f>
        <v/>
      </c>
      <c r="E272" s="25">
        <f>IF($C272="","",IFERROR(IF(INDEX(Roster!$C:$C,MATCH($C272,Roster!$B:$B,0))="","",INDEX(Roster!$C:$C,MATCH($C272,Roster!$B:$B,0))&amp;""),"—"))</f>
        <v/>
      </c>
      <c r="F272" s="25">
        <f>IF($C272="","",IFERROR(IF(INDEX(Roster!$D:$D,MATCH($C272,Roster!$B:$B,0))="","",INDEX(Roster!$D:$D,MATCH($C272,Roster!$B:$B,0))&amp;""),"—"))</f>
        <v/>
      </c>
      <c r="G272" s="25">
        <f>IF($C272="","",IFERROR(IF(INDEX(Roster!$E:$E,MATCH($C272,Roster!$B:$B,0))="","",INDEX(Roster!$E:$E,MATCH($C272,Roster!$B:$B,0))&amp;""),"—"))</f>
        <v/>
      </c>
      <c r="H272" s="25">
        <f>IF($C272="","",IFERROR(IF(INDEX(Roster!$F:$F,MATCH($C272,Roster!$B:$B,0))="","",INDEX(Roster!$F:$F,MATCH($C272,Roster!$B:$B,0))&amp;""),"—"))</f>
        <v/>
      </c>
      <c r="I272" s="25">
        <f>IF($C272="","",IFERROR(IF(INDEX(Roster!$G:$G,MATCH($C272,Roster!$B:$B,0))="","",INDEX(Roster!$G:$G,MATCH($C272,Roster!$B:$B,0))&amp;""),"—"))</f>
        <v/>
      </c>
      <c r="J272" s="25">
        <f>IF($C272="","",IFERROR(IF(INDEX(Roster!$I:$I,MATCH($C272,Roster!$B:$B,0))="","",INDEX(Roster!$I:$I,MATCH($C272,Roster!$B:$B,0))&amp;""),"—"))</f>
        <v/>
      </c>
      <c r="K272">
        <f>IF($C272="","",IFERROR(IF(INDEX(Roster!$J:$J,MATCH($C272,Roster!$B:$B,0))="","",INDEX(Roster!$J:$J,MATCH($C272,Roster!$B:$B,0))&amp;""),"—"))</f>
        <v/>
      </c>
      <c r="L272">
        <f>IF($C272="","",IFERROR(IF(INDEX(Roster!$K:$K,MATCH($C272,Roster!$B:$B,0))="","",INDEX(Roster!$K:$K,MATCH($C272,Roster!$B:$B,0))&amp;""),"—"))</f>
        <v/>
      </c>
      <c r="M272" s="27" t="n"/>
      <c r="N272" s="27" t="n"/>
      <c r="O272" s="25">
        <f>IF($C272="","",IF($P272="","—",IF($P272="Valid (Pass)","Valid","Invalid")))</f>
        <v/>
      </c>
      <c r="P272" s="27" t="n"/>
      <c r="Q272" s="27" t="n"/>
      <c r="R272" s="27" t="n"/>
      <c r="S272" s="27" t="n"/>
      <c r="T272" s="25">
        <f>IF($C272="","",IF(OR(ISNUMBER(SEARCH("quick case",$P272)),ISNUMBER(SEARCH("quick case",$Q272))),"Yes","No"))</f>
        <v/>
      </c>
      <c r="U272" s="25">
        <f>IF($O272="Invalid",HYPERLINK("mailto:"&amp;$G272&amp;";"&amp;$I272&amp;"?cc="&amp;Lists!$E$2&amp;"&amp;subject="&amp;_xlfn.ENCODEURL("[INVALID] Quality audit monitoring completed for "&amp;UPPER($C272))&amp;"&amp;body="&amp;_xlfn.ENCODEURL("Hi "&amp;$F272&amp;","&amp;CHAR(10)&amp;"Good day!"&amp;CHAR(10)&amp;CHAR(10)&amp;"A quality monitoring audit has been completed for "&amp;$C272&amp;"."&amp;CHAR(10)&amp;CHAR(10)&amp;"QUALITY AUDIT DETAILS"&amp;CHAR(10)&amp;"Agent Name: "&amp;$C272&amp;" (EID "&amp;$D272&amp;")"&amp;CHAR(10)&amp;"Audit Date: "&amp;TEXT($B272,"yyyy-mm-dd")&amp;CHAR(10)&amp;"Team Leader: "&amp;$F272&amp;CHAR(10)&amp;"Case Number: "&amp;$M272&amp;CHAR(10)&amp;"Transaction ID: "&amp;$N272&amp;CHAR(10)&amp;"Channel / LOB: "&amp;$K272&amp;" / "&amp;$L272&amp;CHAR(10)&amp;"Evaluator: "&amp;$S272&amp;CHAR(10)&amp;CHAR(10)&amp;"INVALID QUALITY AUDIT DETAILS"&amp;CHAR(10)&amp;"Validation: Invalid"&amp;CHAR(10)&amp;"Invalid Reason: "&amp;$P272&amp;CHAR(10)&amp;"Expected Resolution Code: "&amp;$Q272&amp;CHAR(10)&amp;"Remarks: "&amp;LEFT($R272,600)&amp;CHAR(10)&amp;CHAR(10)&amp;"This is an automated notification from HP Mainstream EQMS."),"✉ Open Email Draft"),"")</f>
        <v/>
      </c>
    </row>
    <row r="273">
      <c r="A273" s="25">
        <f>IF($C273="","","AUD-2026-"&amp;TEXT(ROW()-1,"000000"))</f>
        <v/>
      </c>
      <c r="B273" s="26" t="n"/>
      <c r="C273" s="27" t="n"/>
      <c r="D273" s="25">
        <f>IF($C273="","",IFERROR(IF(INDEX(Roster!$A:$A,MATCH($C273,Roster!$B:$B,0))="","",INDEX(Roster!$A:$A,MATCH($C273,Roster!$B:$B,0))&amp;""),"—"))</f>
        <v/>
      </c>
      <c r="E273" s="25">
        <f>IF($C273="","",IFERROR(IF(INDEX(Roster!$C:$C,MATCH($C273,Roster!$B:$B,0))="","",INDEX(Roster!$C:$C,MATCH($C273,Roster!$B:$B,0))&amp;""),"—"))</f>
        <v/>
      </c>
      <c r="F273" s="25">
        <f>IF($C273="","",IFERROR(IF(INDEX(Roster!$D:$D,MATCH($C273,Roster!$B:$B,0))="","",INDEX(Roster!$D:$D,MATCH($C273,Roster!$B:$B,0))&amp;""),"—"))</f>
        <v/>
      </c>
      <c r="G273" s="25">
        <f>IF($C273="","",IFERROR(IF(INDEX(Roster!$E:$E,MATCH($C273,Roster!$B:$B,0))="","",INDEX(Roster!$E:$E,MATCH($C273,Roster!$B:$B,0))&amp;""),"—"))</f>
        <v/>
      </c>
      <c r="H273" s="25">
        <f>IF($C273="","",IFERROR(IF(INDEX(Roster!$F:$F,MATCH($C273,Roster!$B:$B,0))="","",INDEX(Roster!$F:$F,MATCH($C273,Roster!$B:$B,0))&amp;""),"—"))</f>
        <v/>
      </c>
      <c r="I273" s="25">
        <f>IF($C273="","",IFERROR(IF(INDEX(Roster!$G:$G,MATCH($C273,Roster!$B:$B,0))="","",INDEX(Roster!$G:$G,MATCH($C273,Roster!$B:$B,0))&amp;""),"—"))</f>
        <v/>
      </c>
      <c r="J273" s="25">
        <f>IF($C273="","",IFERROR(IF(INDEX(Roster!$I:$I,MATCH($C273,Roster!$B:$B,0))="","",INDEX(Roster!$I:$I,MATCH($C273,Roster!$B:$B,0))&amp;""),"—"))</f>
        <v/>
      </c>
      <c r="K273">
        <f>IF($C273="","",IFERROR(IF(INDEX(Roster!$J:$J,MATCH($C273,Roster!$B:$B,0))="","",INDEX(Roster!$J:$J,MATCH($C273,Roster!$B:$B,0))&amp;""),"—"))</f>
        <v/>
      </c>
      <c r="L273">
        <f>IF($C273="","",IFERROR(IF(INDEX(Roster!$K:$K,MATCH($C273,Roster!$B:$B,0))="","",INDEX(Roster!$K:$K,MATCH($C273,Roster!$B:$B,0))&amp;""),"—"))</f>
        <v/>
      </c>
      <c r="M273" s="27" t="n"/>
      <c r="N273" s="27" t="n"/>
      <c r="O273" s="25">
        <f>IF($C273="","",IF($P273="","—",IF($P273="Valid (Pass)","Valid","Invalid")))</f>
        <v/>
      </c>
      <c r="P273" s="27" t="n"/>
      <c r="Q273" s="27" t="n"/>
      <c r="R273" s="27" t="n"/>
      <c r="S273" s="27" t="n"/>
      <c r="T273" s="25">
        <f>IF($C273="","",IF(OR(ISNUMBER(SEARCH("quick case",$P273)),ISNUMBER(SEARCH("quick case",$Q273))),"Yes","No"))</f>
        <v/>
      </c>
      <c r="U273" s="25">
        <f>IF($O273="Invalid",HYPERLINK("mailto:"&amp;$G273&amp;";"&amp;$I273&amp;"?cc="&amp;Lists!$E$2&amp;"&amp;subject="&amp;_xlfn.ENCODEURL("[INVALID] Quality audit monitoring completed for "&amp;UPPER($C273))&amp;"&amp;body="&amp;_xlfn.ENCODEURL("Hi "&amp;$F273&amp;","&amp;CHAR(10)&amp;"Good day!"&amp;CHAR(10)&amp;CHAR(10)&amp;"A quality monitoring audit has been completed for "&amp;$C273&amp;"."&amp;CHAR(10)&amp;CHAR(10)&amp;"QUALITY AUDIT DETAILS"&amp;CHAR(10)&amp;"Agent Name: "&amp;$C273&amp;" (EID "&amp;$D273&amp;")"&amp;CHAR(10)&amp;"Audit Date: "&amp;TEXT($B273,"yyyy-mm-dd")&amp;CHAR(10)&amp;"Team Leader: "&amp;$F273&amp;CHAR(10)&amp;"Case Number: "&amp;$M273&amp;CHAR(10)&amp;"Transaction ID: "&amp;$N273&amp;CHAR(10)&amp;"Channel / LOB: "&amp;$K273&amp;" / "&amp;$L273&amp;CHAR(10)&amp;"Evaluator: "&amp;$S273&amp;CHAR(10)&amp;CHAR(10)&amp;"INVALID QUALITY AUDIT DETAILS"&amp;CHAR(10)&amp;"Validation: Invalid"&amp;CHAR(10)&amp;"Invalid Reason: "&amp;$P273&amp;CHAR(10)&amp;"Expected Resolution Code: "&amp;$Q273&amp;CHAR(10)&amp;"Remarks: "&amp;LEFT($R273,600)&amp;CHAR(10)&amp;CHAR(10)&amp;"This is an automated notification from HP Mainstream EQMS."),"✉ Open Email Draft"),"")</f>
        <v/>
      </c>
    </row>
    <row r="274">
      <c r="A274" s="25">
        <f>IF($C274="","","AUD-2026-"&amp;TEXT(ROW()-1,"000000"))</f>
        <v/>
      </c>
      <c r="B274" s="26" t="n"/>
      <c r="C274" s="27" t="n"/>
      <c r="D274" s="25">
        <f>IF($C274="","",IFERROR(IF(INDEX(Roster!$A:$A,MATCH($C274,Roster!$B:$B,0))="","",INDEX(Roster!$A:$A,MATCH($C274,Roster!$B:$B,0))&amp;""),"—"))</f>
        <v/>
      </c>
      <c r="E274" s="25">
        <f>IF($C274="","",IFERROR(IF(INDEX(Roster!$C:$C,MATCH($C274,Roster!$B:$B,0))="","",INDEX(Roster!$C:$C,MATCH($C274,Roster!$B:$B,0))&amp;""),"—"))</f>
        <v/>
      </c>
      <c r="F274" s="25">
        <f>IF($C274="","",IFERROR(IF(INDEX(Roster!$D:$D,MATCH($C274,Roster!$B:$B,0))="","",INDEX(Roster!$D:$D,MATCH($C274,Roster!$B:$B,0))&amp;""),"—"))</f>
        <v/>
      </c>
      <c r="G274" s="25">
        <f>IF($C274="","",IFERROR(IF(INDEX(Roster!$E:$E,MATCH($C274,Roster!$B:$B,0))="","",INDEX(Roster!$E:$E,MATCH($C274,Roster!$B:$B,0))&amp;""),"—"))</f>
        <v/>
      </c>
      <c r="H274" s="25">
        <f>IF($C274="","",IFERROR(IF(INDEX(Roster!$F:$F,MATCH($C274,Roster!$B:$B,0))="","",INDEX(Roster!$F:$F,MATCH($C274,Roster!$B:$B,0))&amp;""),"—"))</f>
        <v/>
      </c>
      <c r="I274" s="25">
        <f>IF($C274="","",IFERROR(IF(INDEX(Roster!$G:$G,MATCH($C274,Roster!$B:$B,0))="","",INDEX(Roster!$G:$G,MATCH($C274,Roster!$B:$B,0))&amp;""),"—"))</f>
        <v/>
      </c>
      <c r="J274" s="25">
        <f>IF($C274="","",IFERROR(IF(INDEX(Roster!$I:$I,MATCH($C274,Roster!$B:$B,0))="","",INDEX(Roster!$I:$I,MATCH($C274,Roster!$B:$B,0))&amp;""),"—"))</f>
        <v/>
      </c>
      <c r="K274">
        <f>IF($C274="","",IFERROR(IF(INDEX(Roster!$J:$J,MATCH($C274,Roster!$B:$B,0))="","",INDEX(Roster!$J:$J,MATCH($C274,Roster!$B:$B,0))&amp;""),"—"))</f>
        <v/>
      </c>
      <c r="L274">
        <f>IF($C274="","",IFERROR(IF(INDEX(Roster!$K:$K,MATCH($C274,Roster!$B:$B,0))="","",INDEX(Roster!$K:$K,MATCH($C274,Roster!$B:$B,0))&amp;""),"—"))</f>
        <v/>
      </c>
      <c r="M274" s="27" t="n"/>
      <c r="N274" s="27" t="n"/>
      <c r="O274" s="25">
        <f>IF($C274="","",IF($P274="","—",IF($P274="Valid (Pass)","Valid","Invalid")))</f>
        <v/>
      </c>
      <c r="P274" s="27" t="n"/>
      <c r="Q274" s="27" t="n"/>
      <c r="R274" s="27" t="n"/>
      <c r="S274" s="27" t="n"/>
      <c r="T274" s="25">
        <f>IF($C274="","",IF(OR(ISNUMBER(SEARCH("quick case",$P274)),ISNUMBER(SEARCH("quick case",$Q274))),"Yes","No"))</f>
        <v/>
      </c>
      <c r="U274" s="25">
        <f>IF($O274="Invalid",HYPERLINK("mailto:"&amp;$G274&amp;";"&amp;$I274&amp;"?cc="&amp;Lists!$E$2&amp;"&amp;subject="&amp;_xlfn.ENCODEURL("[INVALID] Quality audit monitoring completed for "&amp;UPPER($C274))&amp;"&amp;body="&amp;_xlfn.ENCODEURL("Hi "&amp;$F274&amp;","&amp;CHAR(10)&amp;"Good day!"&amp;CHAR(10)&amp;CHAR(10)&amp;"A quality monitoring audit has been completed for "&amp;$C274&amp;"."&amp;CHAR(10)&amp;CHAR(10)&amp;"QUALITY AUDIT DETAILS"&amp;CHAR(10)&amp;"Agent Name: "&amp;$C274&amp;" (EID "&amp;$D274&amp;")"&amp;CHAR(10)&amp;"Audit Date: "&amp;TEXT($B274,"yyyy-mm-dd")&amp;CHAR(10)&amp;"Team Leader: "&amp;$F274&amp;CHAR(10)&amp;"Case Number: "&amp;$M274&amp;CHAR(10)&amp;"Transaction ID: "&amp;$N274&amp;CHAR(10)&amp;"Channel / LOB: "&amp;$K274&amp;" / "&amp;$L274&amp;CHAR(10)&amp;"Evaluator: "&amp;$S274&amp;CHAR(10)&amp;CHAR(10)&amp;"INVALID QUALITY AUDIT DETAILS"&amp;CHAR(10)&amp;"Validation: Invalid"&amp;CHAR(10)&amp;"Invalid Reason: "&amp;$P274&amp;CHAR(10)&amp;"Expected Resolution Code: "&amp;$Q274&amp;CHAR(10)&amp;"Remarks: "&amp;LEFT($R274,600)&amp;CHAR(10)&amp;CHAR(10)&amp;"This is an automated notification from HP Mainstream EQMS."),"✉ Open Email Draft"),"")</f>
        <v/>
      </c>
    </row>
    <row r="275">
      <c r="A275" s="25">
        <f>IF($C275="","","AUD-2026-"&amp;TEXT(ROW()-1,"000000"))</f>
        <v/>
      </c>
      <c r="B275" s="26" t="n"/>
      <c r="C275" s="27" t="n"/>
      <c r="D275" s="25">
        <f>IF($C275="","",IFERROR(IF(INDEX(Roster!$A:$A,MATCH($C275,Roster!$B:$B,0))="","",INDEX(Roster!$A:$A,MATCH($C275,Roster!$B:$B,0))&amp;""),"—"))</f>
        <v/>
      </c>
      <c r="E275" s="25">
        <f>IF($C275="","",IFERROR(IF(INDEX(Roster!$C:$C,MATCH($C275,Roster!$B:$B,0))="","",INDEX(Roster!$C:$C,MATCH($C275,Roster!$B:$B,0))&amp;""),"—"))</f>
        <v/>
      </c>
      <c r="F275" s="25">
        <f>IF($C275="","",IFERROR(IF(INDEX(Roster!$D:$D,MATCH($C275,Roster!$B:$B,0))="","",INDEX(Roster!$D:$D,MATCH($C275,Roster!$B:$B,0))&amp;""),"—"))</f>
        <v/>
      </c>
      <c r="G275" s="25">
        <f>IF($C275="","",IFERROR(IF(INDEX(Roster!$E:$E,MATCH($C275,Roster!$B:$B,0))="","",INDEX(Roster!$E:$E,MATCH($C275,Roster!$B:$B,0))&amp;""),"—"))</f>
        <v/>
      </c>
      <c r="H275" s="25">
        <f>IF($C275="","",IFERROR(IF(INDEX(Roster!$F:$F,MATCH($C275,Roster!$B:$B,0))="","",INDEX(Roster!$F:$F,MATCH($C275,Roster!$B:$B,0))&amp;""),"—"))</f>
        <v/>
      </c>
      <c r="I275" s="25">
        <f>IF($C275="","",IFERROR(IF(INDEX(Roster!$G:$G,MATCH($C275,Roster!$B:$B,0))="","",INDEX(Roster!$G:$G,MATCH($C275,Roster!$B:$B,0))&amp;""),"—"))</f>
        <v/>
      </c>
      <c r="J275" s="25">
        <f>IF($C275="","",IFERROR(IF(INDEX(Roster!$I:$I,MATCH($C275,Roster!$B:$B,0))="","",INDEX(Roster!$I:$I,MATCH($C275,Roster!$B:$B,0))&amp;""),"—"))</f>
        <v/>
      </c>
      <c r="K275">
        <f>IF($C275="","",IFERROR(IF(INDEX(Roster!$J:$J,MATCH($C275,Roster!$B:$B,0))="","",INDEX(Roster!$J:$J,MATCH($C275,Roster!$B:$B,0))&amp;""),"—"))</f>
        <v/>
      </c>
      <c r="L275">
        <f>IF($C275="","",IFERROR(IF(INDEX(Roster!$K:$K,MATCH($C275,Roster!$B:$B,0))="","",INDEX(Roster!$K:$K,MATCH($C275,Roster!$B:$B,0))&amp;""),"—"))</f>
        <v/>
      </c>
      <c r="M275" s="27" t="n"/>
      <c r="N275" s="27" t="n"/>
      <c r="O275" s="25">
        <f>IF($C275="","",IF($P275="","—",IF($P275="Valid (Pass)","Valid","Invalid")))</f>
        <v/>
      </c>
      <c r="P275" s="27" t="n"/>
      <c r="Q275" s="27" t="n"/>
      <c r="R275" s="27" t="n"/>
      <c r="S275" s="27" t="n"/>
      <c r="T275" s="25">
        <f>IF($C275="","",IF(OR(ISNUMBER(SEARCH("quick case",$P275)),ISNUMBER(SEARCH("quick case",$Q275))),"Yes","No"))</f>
        <v/>
      </c>
      <c r="U275" s="25">
        <f>IF($O275="Invalid",HYPERLINK("mailto:"&amp;$G275&amp;";"&amp;$I275&amp;"?cc="&amp;Lists!$E$2&amp;"&amp;subject="&amp;_xlfn.ENCODEURL("[INVALID] Quality audit monitoring completed for "&amp;UPPER($C275))&amp;"&amp;body="&amp;_xlfn.ENCODEURL("Hi "&amp;$F275&amp;","&amp;CHAR(10)&amp;"Good day!"&amp;CHAR(10)&amp;CHAR(10)&amp;"A quality monitoring audit has been completed for "&amp;$C275&amp;"."&amp;CHAR(10)&amp;CHAR(10)&amp;"QUALITY AUDIT DETAILS"&amp;CHAR(10)&amp;"Agent Name: "&amp;$C275&amp;" (EID "&amp;$D275&amp;")"&amp;CHAR(10)&amp;"Audit Date: "&amp;TEXT($B275,"yyyy-mm-dd")&amp;CHAR(10)&amp;"Team Leader: "&amp;$F275&amp;CHAR(10)&amp;"Case Number: "&amp;$M275&amp;CHAR(10)&amp;"Transaction ID: "&amp;$N275&amp;CHAR(10)&amp;"Channel / LOB: "&amp;$K275&amp;" / "&amp;$L275&amp;CHAR(10)&amp;"Evaluator: "&amp;$S275&amp;CHAR(10)&amp;CHAR(10)&amp;"INVALID QUALITY AUDIT DETAILS"&amp;CHAR(10)&amp;"Validation: Invalid"&amp;CHAR(10)&amp;"Invalid Reason: "&amp;$P275&amp;CHAR(10)&amp;"Expected Resolution Code: "&amp;$Q275&amp;CHAR(10)&amp;"Remarks: "&amp;LEFT($R275,600)&amp;CHAR(10)&amp;CHAR(10)&amp;"This is an automated notification from HP Mainstream EQMS."),"✉ Open Email Draft"),"")</f>
        <v/>
      </c>
    </row>
    <row r="276">
      <c r="A276" s="25">
        <f>IF($C276="","","AUD-2026-"&amp;TEXT(ROW()-1,"000000"))</f>
        <v/>
      </c>
      <c r="B276" s="26" t="n"/>
      <c r="C276" s="27" t="n"/>
      <c r="D276" s="25">
        <f>IF($C276="","",IFERROR(IF(INDEX(Roster!$A:$A,MATCH($C276,Roster!$B:$B,0))="","",INDEX(Roster!$A:$A,MATCH($C276,Roster!$B:$B,0))&amp;""),"—"))</f>
        <v/>
      </c>
      <c r="E276" s="25">
        <f>IF($C276="","",IFERROR(IF(INDEX(Roster!$C:$C,MATCH($C276,Roster!$B:$B,0))="","",INDEX(Roster!$C:$C,MATCH($C276,Roster!$B:$B,0))&amp;""),"—"))</f>
        <v/>
      </c>
      <c r="F276" s="25">
        <f>IF($C276="","",IFERROR(IF(INDEX(Roster!$D:$D,MATCH($C276,Roster!$B:$B,0))="","",INDEX(Roster!$D:$D,MATCH($C276,Roster!$B:$B,0))&amp;""),"—"))</f>
        <v/>
      </c>
      <c r="G276" s="25">
        <f>IF($C276="","",IFERROR(IF(INDEX(Roster!$E:$E,MATCH($C276,Roster!$B:$B,0))="","",INDEX(Roster!$E:$E,MATCH($C276,Roster!$B:$B,0))&amp;""),"—"))</f>
        <v/>
      </c>
      <c r="H276" s="25">
        <f>IF($C276="","",IFERROR(IF(INDEX(Roster!$F:$F,MATCH($C276,Roster!$B:$B,0))="","",INDEX(Roster!$F:$F,MATCH($C276,Roster!$B:$B,0))&amp;""),"—"))</f>
        <v/>
      </c>
      <c r="I276" s="25">
        <f>IF($C276="","",IFERROR(IF(INDEX(Roster!$G:$G,MATCH($C276,Roster!$B:$B,0))="","",INDEX(Roster!$G:$G,MATCH($C276,Roster!$B:$B,0))&amp;""),"—"))</f>
        <v/>
      </c>
      <c r="J276" s="25">
        <f>IF($C276="","",IFERROR(IF(INDEX(Roster!$I:$I,MATCH($C276,Roster!$B:$B,0))="","",INDEX(Roster!$I:$I,MATCH($C276,Roster!$B:$B,0))&amp;""),"—"))</f>
        <v/>
      </c>
      <c r="K276">
        <f>IF($C276="","",IFERROR(IF(INDEX(Roster!$J:$J,MATCH($C276,Roster!$B:$B,0))="","",INDEX(Roster!$J:$J,MATCH($C276,Roster!$B:$B,0))&amp;""),"—"))</f>
        <v/>
      </c>
      <c r="L276">
        <f>IF($C276="","",IFERROR(IF(INDEX(Roster!$K:$K,MATCH($C276,Roster!$B:$B,0))="","",INDEX(Roster!$K:$K,MATCH($C276,Roster!$B:$B,0))&amp;""),"—"))</f>
        <v/>
      </c>
      <c r="M276" s="27" t="n"/>
      <c r="N276" s="27" t="n"/>
      <c r="O276" s="25">
        <f>IF($C276="","",IF($P276="","—",IF($P276="Valid (Pass)","Valid","Invalid")))</f>
        <v/>
      </c>
      <c r="P276" s="27" t="n"/>
      <c r="Q276" s="27" t="n"/>
      <c r="R276" s="27" t="n"/>
      <c r="S276" s="27" t="n"/>
      <c r="T276" s="25">
        <f>IF($C276="","",IF(OR(ISNUMBER(SEARCH("quick case",$P276)),ISNUMBER(SEARCH("quick case",$Q276))),"Yes","No"))</f>
        <v/>
      </c>
      <c r="U276" s="25">
        <f>IF($O276="Invalid",HYPERLINK("mailto:"&amp;$G276&amp;";"&amp;$I276&amp;"?cc="&amp;Lists!$E$2&amp;"&amp;subject="&amp;_xlfn.ENCODEURL("[INVALID] Quality audit monitoring completed for "&amp;UPPER($C276))&amp;"&amp;body="&amp;_xlfn.ENCODEURL("Hi "&amp;$F276&amp;","&amp;CHAR(10)&amp;"Good day!"&amp;CHAR(10)&amp;CHAR(10)&amp;"A quality monitoring audit has been completed for "&amp;$C276&amp;"."&amp;CHAR(10)&amp;CHAR(10)&amp;"QUALITY AUDIT DETAILS"&amp;CHAR(10)&amp;"Agent Name: "&amp;$C276&amp;" (EID "&amp;$D276&amp;")"&amp;CHAR(10)&amp;"Audit Date: "&amp;TEXT($B276,"yyyy-mm-dd")&amp;CHAR(10)&amp;"Team Leader: "&amp;$F276&amp;CHAR(10)&amp;"Case Number: "&amp;$M276&amp;CHAR(10)&amp;"Transaction ID: "&amp;$N276&amp;CHAR(10)&amp;"Channel / LOB: "&amp;$K276&amp;" / "&amp;$L276&amp;CHAR(10)&amp;"Evaluator: "&amp;$S276&amp;CHAR(10)&amp;CHAR(10)&amp;"INVALID QUALITY AUDIT DETAILS"&amp;CHAR(10)&amp;"Validation: Invalid"&amp;CHAR(10)&amp;"Invalid Reason: "&amp;$P276&amp;CHAR(10)&amp;"Expected Resolution Code: "&amp;$Q276&amp;CHAR(10)&amp;"Remarks: "&amp;LEFT($R276,600)&amp;CHAR(10)&amp;CHAR(10)&amp;"This is an automated notification from HP Mainstream EQMS."),"✉ Open Email Draft"),"")</f>
        <v/>
      </c>
    </row>
    <row r="277">
      <c r="A277" s="25">
        <f>IF($C277="","","AUD-2026-"&amp;TEXT(ROW()-1,"000000"))</f>
        <v/>
      </c>
      <c r="B277" s="26" t="n"/>
      <c r="C277" s="27" t="n"/>
      <c r="D277" s="25">
        <f>IF($C277="","",IFERROR(IF(INDEX(Roster!$A:$A,MATCH($C277,Roster!$B:$B,0))="","",INDEX(Roster!$A:$A,MATCH($C277,Roster!$B:$B,0))&amp;""),"—"))</f>
        <v/>
      </c>
      <c r="E277" s="25">
        <f>IF($C277="","",IFERROR(IF(INDEX(Roster!$C:$C,MATCH($C277,Roster!$B:$B,0))="","",INDEX(Roster!$C:$C,MATCH($C277,Roster!$B:$B,0))&amp;""),"—"))</f>
        <v/>
      </c>
      <c r="F277" s="25">
        <f>IF($C277="","",IFERROR(IF(INDEX(Roster!$D:$D,MATCH($C277,Roster!$B:$B,0))="","",INDEX(Roster!$D:$D,MATCH($C277,Roster!$B:$B,0))&amp;""),"—"))</f>
        <v/>
      </c>
      <c r="G277" s="25">
        <f>IF($C277="","",IFERROR(IF(INDEX(Roster!$E:$E,MATCH($C277,Roster!$B:$B,0))="","",INDEX(Roster!$E:$E,MATCH($C277,Roster!$B:$B,0))&amp;""),"—"))</f>
        <v/>
      </c>
      <c r="H277" s="25">
        <f>IF($C277="","",IFERROR(IF(INDEX(Roster!$F:$F,MATCH($C277,Roster!$B:$B,0))="","",INDEX(Roster!$F:$F,MATCH($C277,Roster!$B:$B,0))&amp;""),"—"))</f>
        <v/>
      </c>
      <c r="I277" s="25">
        <f>IF($C277="","",IFERROR(IF(INDEX(Roster!$G:$G,MATCH($C277,Roster!$B:$B,0))="","",INDEX(Roster!$G:$G,MATCH($C277,Roster!$B:$B,0))&amp;""),"—"))</f>
        <v/>
      </c>
      <c r="J277" s="25">
        <f>IF($C277="","",IFERROR(IF(INDEX(Roster!$I:$I,MATCH($C277,Roster!$B:$B,0))="","",INDEX(Roster!$I:$I,MATCH($C277,Roster!$B:$B,0))&amp;""),"—"))</f>
        <v/>
      </c>
      <c r="K277">
        <f>IF($C277="","",IFERROR(IF(INDEX(Roster!$J:$J,MATCH($C277,Roster!$B:$B,0))="","",INDEX(Roster!$J:$J,MATCH($C277,Roster!$B:$B,0))&amp;""),"—"))</f>
        <v/>
      </c>
      <c r="L277">
        <f>IF($C277="","",IFERROR(IF(INDEX(Roster!$K:$K,MATCH($C277,Roster!$B:$B,0))="","",INDEX(Roster!$K:$K,MATCH($C277,Roster!$B:$B,0))&amp;""),"—"))</f>
        <v/>
      </c>
      <c r="M277" s="27" t="n"/>
      <c r="N277" s="27" t="n"/>
      <c r="O277" s="25">
        <f>IF($C277="","",IF($P277="","—",IF($P277="Valid (Pass)","Valid","Invalid")))</f>
        <v/>
      </c>
      <c r="P277" s="27" t="n"/>
      <c r="Q277" s="27" t="n"/>
      <c r="R277" s="27" t="n"/>
      <c r="S277" s="27" t="n"/>
      <c r="T277" s="25">
        <f>IF($C277="","",IF(OR(ISNUMBER(SEARCH("quick case",$P277)),ISNUMBER(SEARCH("quick case",$Q277))),"Yes","No"))</f>
        <v/>
      </c>
      <c r="U277" s="25">
        <f>IF($O277="Invalid",HYPERLINK("mailto:"&amp;$G277&amp;";"&amp;$I277&amp;"?cc="&amp;Lists!$E$2&amp;"&amp;subject="&amp;_xlfn.ENCODEURL("[INVALID] Quality audit monitoring completed for "&amp;UPPER($C277))&amp;"&amp;body="&amp;_xlfn.ENCODEURL("Hi "&amp;$F277&amp;","&amp;CHAR(10)&amp;"Good day!"&amp;CHAR(10)&amp;CHAR(10)&amp;"A quality monitoring audit has been completed for "&amp;$C277&amp;"."&amp;CHAR(10)&amp;CHAR(10)&amp;"QUALITY AUDIT DETAILS"&amp;CHAR(10)&amp;"Agent Name: "&amp;$C277&amp;" (EID "&amp;$D277&amp;")"&amp;CHAR(10)&amp;"Audit Date: "&amp;TEXT($B277,"yyyy-mm-dd")&amp;CHAR(10)&amp;"Team Leader: "&amp;$F277&amp;CHAR(10)&amp;"Case Number: "&amp;$M277&amp;CHAR(10)&amp;"Transaction ID: "&amp;$N277&amp;CHAR(10)&amp;"Channel / LOB: "&amp;$K277&amp;" / "&amp;$L277&amp;CHAR(10)&amp;"Evaluator: "&amp;$S277&amp;CHAR(10)&amp;CHAR(10)&amp;"INVALID QUALITY AUDIT DETAILS"&amp;CHAR(10)&amp;"Validation: Invalid"&amp;CHAR(10)&amp;"Invalid Reason: "&amp;$P277&amp;CHAR(10)&amp;"Expected Resolution Code: "&amp;$Q277&amp;CHAR(10)&amp;"Remarks: "&amp;LEFT($R277,600)&amp;CHAR(10)&amp;CHAR(10)&amp;"This is an automated notification from HP Mainstream EQMS."),"✉ Open Email Draft"),"")</f>
        <v/>
      </c>
    </row>
    <row r="278">
      <c r="A278" s="25">
        <f>IF($C278="","","AUD-2026-"&amp;TEXT(ROW()-1,"000000"))</f>
        <v/>
      </c>
      <c r="B278" s="26" t="n"/>
      <c r="C278" s="27" t="n"/>
      <c r="D278" s="25">
        <f>IF($C278="","",IFERROR(IF(INDEX(Roster!$A:$A,MATCH($C278,Roster!$B:$B,0))="","",INDEX(Roster!$A:$A,MATCH($C278,Roster!$B:$B,0))&amp;""),"—"))</f>
        <v/>
      </c>
      <c r="E278" s="25">
        <f>IF($C278="","",IFERROR(IF(INDEX(Roster!$C:$C,MATCH($C278,Roster!$B:$B,0))="","",INDEX(Roster!$C:$C,MATCH($C278,Roster!$B:$B,0))&amp;""),"—"))</f>
        <v/>
      </c>
      <c r="F278" s="25">
        <f>IF($C278="","",IFERROR(IF(INDEX(Roster!$D:$D,MATCH($C278,Roster!$B:$B,0))="","",INDEX(Roster!$D:$D,MATCH($C278,Roster!$B:$B,0))&amp;""),"—"))</f>
        <v/>
      </c>
      <c r="G278" s="25">
        <f>IF($C278="","",IFERROR(IF(INDEX(Roster!$E:$E,MATCH($C278,Roster!$B:$B,0))="","",INDEX(Roster!$E:$E,MATCH($C278,Roster!$B:$B,0))&amp;""),"—"))</f>
        <v/>
      </c>
      <c r="H278" s="25">
        <f>IF($C278="","",IFERROR(IF(INDEX(Roster!$F:$F,MATCH($C278,Roster!$B:$B,0))="","",INDEX(Roster!$F:$F,MATCH($C278,Roster!$B:$B,0))&amp;""),"—"))</f>
        <v/>
      </c>
      <c r="I278" s="25">
        <f>IF($C278="","",IFERROR(IF(INDEX(Roster!$G:$G,MATCH($C278,Roster!$B:$B,0))="","",INDEX(Roster!$G:$G,MATCH($C278,Roster!$B:$B,0))&amp;""),"—"))</f>
        <v/>
      </c>
      <c r="J278" s="25">
        <f>IF($C278="","",IFERROR(IF(INDEX(Roster!$I:$I,MATCH($C278,Roster!$B:$B,0))="","",INDEX(Roster!$I:$I,MATCH($C278,Roster!$B:$B,0))&amp;""),"—"))</f>
        <v/>
      </c>
      <c r="K278">
        <f>IF($C278="","",IFERROR(IF(INDEX(Roster!$J:$J,MATCH($C278,Roster!$B:$B,0))="","",INDEX(Roster!$J:$J,MATCH($C278,Roster!$B:$B,0))&amp;""),"—"))</f>
        <v/>
      </c>
      <c r="L278">
        <f>IF($C278="","",IFERROR(IF(INDEX(Roster!$K:$K,MATCH($C278,Roster!$B:$B,0))="","",INDEX(Roster!$K:$K,MATCH($C278,Roster!$B:$B,0))&amp;""),"—"))</f>
        <v/>
      </c>
      <c r="M278" s="27" t="n"/>
      <c r="N278" s="27" t="n"/>
      <c r="O278" s="25">
        <f>IF($C278="","",IF($P278="","—",IF($P278="Valid (Pass)","Valid","Invalid")))</f>
        <v/>
      </c>
      <c r="P278" s="27" t="n"/>
      <c r="Q278" s="27" t="n"/>
      <c r="R278" s="27" t="n"/>
      <c r="S278" s="27" t="n"/>
      <c r="T278" s="25">
        <f>IF($C278="","",IF(OR(ISNUMBER(SEARCH("quick case",$P278)),ISNUMBER(SEARCH("quick case",$Q278))),"Yes","No"))</f>
        <v/>
      </c>
      <c r="U278" s="25">
        <f>IF($O278="Invalid",HYPERLINK("mailto:"&amp;$G278&amp;";"&amp;$I278&amp;"?cc="&amp;Lists!$E$2&amp;"&amp;subject="&amp;_xlfn.ENCODEURL("[INVALID] Quality audit monitoring completed for "&amp;UPPER($C278))&amp;"&amp;body="&amp;_xlfn.ENCODEURL("Hi "&amp;$F278&amp;","&amp;CHAR(10)&amp;"Good day!"&amp;CHAR(10)&amp;CHAR(10)&amp;"A quality monitoring audit has been completed for "&amp;$C278&amp;"."&amp;CHAR(10)&amp;CHAR(10)&amp;"QUALITY AUDIT DETAILS"&amp;CHAR(10)&amp;"Agent Name: "&amp;$C278&amp;" (EID "&amp;$D278&amp;")"&amp;CHAR(10)&amp;"Audit Date: "&amp;TEXT($B278,"yyyy-mm-dd")&amp;CHAR(10)&amp;"Team Leader: "&amp;$F278&amp;CHAR(10)&amp;"Case Number: "&amp;$M278&amp;CHAR(10)&amp;"Transaction ID: "&amp;$N278&amp;CHAR(10)&amp;"Channel / LOB: "&amp;$K278&amp;" / "&amp;$L278&amp;CHAR(10)&amp;"Evaluator: "&amp;$S278&amp;CHAR(10)&amp;CHAR(10)&amp;"INVALID QUALITY AUDIT DETAILS"&amp;CHAR(10)&amp;"Validation: Invalid"&amp;CHAR(10)&amp;"Invalid Reason: "&amp;$P278&amp;CHAR(10)&amp;"Expected Resolution Code: "&amp;$Q278&amp;CHAR(10)&amp;"Remarks: "&amp;LEFT($R278,600)&amp;CHAR(10)&amp;CHAR(10)&amp;"This is an automated notification from HP Mainstream EQMS."),"✉ Open Email Draft"),"")</f>
        <v/>
      </c>
    </row>
    <row r="279">
      <c r="A279" s="25">
        <f>IF($C279="","","AUD-2026-"&amp;TEXT(ROW()-1,"000000"))</f>
        <v/>
      </c>
      <c r="B279" s="26" t="n"/>
      <c r="C279" s="27" t="n"/>
      <c r="D279" s="25">
        <f>IF($C279="","",IFERROR(IF(INDEX(Roster!$A:$A,MATCH($C279,Roster!$B:$B,0))="","",INDEX(Roster!$A:$A,MATCH($C279,Roster!$B:$B,0))&amp;""),"—"))</f>
        <v/>
      </c>
      <c r="E279" s="25">
        <f>IF($C279="","",IFERROR(IF(INDEX(Roster!$C:$C,MATCH($C279,Roster!$B:$B,0))="","",INDEX(Roster!$C:$C,MATCH($C279,Roster!$B:$B,0))&amp;""),"—"))</f>
        <v/>
      </c>
      <c r="F279" s="25">
        <f>IF($C279="","",IFERROR(IF(INDEX(Roster!$D:$D,MATCH($C279,Roster!$B:$B,0))="","",INDEX(Roster!$D:$D,MATCH($C279,Roster!$B:$B,0))&amp;""),"—"))</f>
        <v/>
      </c>
      <c r="G279" s="25">
        <f>IF($C279="","",IFERROR(IF(INDEX(Roster!$E:$E,MATCH($C279,Roster!$B:$B,0))="","",INDEX(Roster!$E:$E,MATCH($C279,Roster!$B:$B,0))&amp;""),"—"))</f>
        <v/>
      </c>
      <c r="H279" s="25">
        <f>IF($C279="","",IFERROR(IF(INDEX(Roster!$F:$F,MATCH($C279,Roster!$B:$B,0))="","",INDEX(Roster!$F:$F,MATCH($C279,Roster!$B:$B,0))&amp;""),"—"))</f>
        <v/>
      </c>
      <c r="I279" s="25">
        <f>IF($C279="","",IFERROR(IF(INDEX(Roster!$G:$G,MATCH($C279,Roster!$B:$B,0))="","",INDEX(Roster!$G:$G,MATCH($C279,Roster!$B:$B,0))&amp;""),"—"))</f>
        <v/>
      </c>
      <c r="J279" s="25">
        <f>IF($C279="","",IFERROR(IF(INDEX(Roster!$I:$I,MATCH($C279,Roster!$B:$B,0))="","",INDEX(Roster!$I:$I,MATCH($C279,Roster!$B:$B,0))&amp;""),"—"))</f>
        <v/>
      </c>
      <c r="K279">
        <f>IF($C279="","",IFERROR(IF(INDEX(Roster!$J:$J,MATCH($C279,Roster!$B:$B,0))="","",INDEX(Roster!$J:$J,MATCH($C279,Roster!$B:$B,0))&amp;""),"—"))</f>
        <v/>
      </c>
      <c r="L279">
        <f>IF($C279="","",IFERROR(IF(INDEX(Roster!$K:$K,MATCH($C279,Roster!$B:$B,0))="","",INDEX(Roster!$K:$K,MATCH($C279,Roster!$B:$B,0))&amp;""),"—"))</f>
        <v/>
      </c>
      <c r="M279" s="27" t="n"/>
      <c r="N279" s="27" t="n"/>
      <c r="O279" s="25">
        <f>IF($C279="","",IF($P279="","—",IF($P279="Valid (Pass)","Valid","Invalid")))</f>
        <v/>
      </c>
      <c r="P279" s="27" t="n"/>
      <c r="Q279" s="27" t="n"/>
      <c r="R279" s="27" t="n"/>
      <c r="S279" s="27" t="n"/>
      <c r="T279" s="25">
        <f>IF($C279="","",IF(OR(ISNUMBER(SEARCH("quick case",$P279)),ISNUMBER(SEARCH("quick case",$Q279))),"Yes","No"))</f>
        <v/>
      </c>
      <c r="U279" s="25">
        <f>IF($O279="Invalid",HYPERLINK("mailto:"&amp;$G279&amp;";"&amp;$I279&amp;"?cc="&amp;Lists!$E$2&amp;"&amp;subject="&amp;_xlfn.ENCODEURL("[INVALID] Quality audit monitoring completed for "&amp;UPPER($C279))&amp;"&amp;body="&amp;_xlfn.ENCODEURL("Hi "&amp;$F279&amp;","&amp;CHAR(10)&amp;"Good day!"&amp;CHAR(10)&amp;CHAR(10)&amp;"A quality monitoring audit has been completed for "&amp;$C279&amp;"."&amp;CHAR(10)&amp;CHAR(10)&amp;"QUALITY AUDIT DETAILS"&amp;CHAR(10)&amp;"Agent Name: "&amp;$C279&amp;" (EID "&amp;$D279&amp;")"&amp;CHAR(10)&amp;"Audit Date: "&amp;TEXT($B279,"yyyy-mm-dd")&amp;CHAR(10)&amp;"Team Leader: "&amp;$F279&amp;CHAR(10)&amp;"Case Number: "&amp;$M279&amp;CHAR(10)&amp;"Transaction ID: "&amp;$N279&amp;CHAR(10)&amp;"Channel / LOB: "&amp;$K279&amp;" / "&amp;$L279&amp;CHAR(10)&amp;"Evaluator: "&amp;$S279&amp;CHAR(10)&amp;CHAR(10)&amp;"INVALID QUALITY AUDIT DETAILS"&amp;CHAR(10)&amp;"Validation: Invalid"&amp;CHAR(10)&amp;"Invalid Reason: "&amp;$P279&amp;CHAR(10)&amp;"Expected Resolution Code: "&amp;$Q279&amp;CHAR(10)&amp;"Remarks: "&amp;LEFT($R279,600)&amp;CHAR(10)&amp;CHAR(10)&amp;"This is an automated notification from HP Mainstream EQMS."),"✉ Open Email Draft"),"")</f>
        <v/>
      </c>
    </row>
    <row r="280">
      <c r="A280" s="25">
        <f>IF($C280="","","AUD-2026-"&amp;TEXT(ROW()-1,"000000"))</f>
        <v/>
      </c>
      <c r="B280" s="26" t="n"/>
      <c r="C280" s="27" t="n"/>
      <c r="D280" s="25">
        <f>IF($C280="","",IFERROR(IF(INDEX(Roster!$A:$A,MATCH($C280,Roster!$B:$B,0))="","",INDEX(Roster!$A:$A,MATCH($C280,Roster!$B:$B,0))&amp;""),"—"))</f>
        <v/>
      </c>
      <c r="E280" s="25">
        <f>IF($C280="","",IFERROR(IF(INDEX(Roster!$C:$C,MATCH($C280,Roster!$B:$B,0))="","",INDEX(Roster!$C:$C,MATCH($C280,Roster!$B:$B,0))&amp;""),"—"))</f>
        <v/>
      </c>
      <c r="F280" s="25">
        <f>IF($C280="","",IFERROR(IF(INDEX(Roster!$D:$D,MATCH($C280,Roster!$B:$B,0))="","",INDEX(Roster!$D:$D,MATCH($C280,Roster!$B:$B,0))&amp;""),"—"))</f>
        <v/>
      </c>
      <c r="G280" s="25">
        <f>IF($C280="","",IFERROR(IF(INDEX(Roster!$E:$E,MATCH($C280,Roster!$B:$B,0))="","",INDEX(Roster!$E:$E,MATCH($C280,Roster!$B:$B,0))&amp;""),"—"))</f>
        <v/>
      </c>
      <c r="H280" s="25">
        <f>IF($C280="","",IFERROR(IF(INDEX(Roster!$F:$F,MATCH($C280,Roster!$B:$B,0))="","",INDEX(Roster!$F:$F,MATCH($C280,Roster!$B:$B,0))&amp;""),"—"))</f>
        <v/>
      </c>
      <c r="I280" s="25">
        <f>IF($C280="","",IFERROR(IF(INDEX(Roster!$G:$G,MATCH($C280,Roster!$B:$B,0))="","",INDEX(Roster!$G:$G,MATCH($C280,Roster!$B:$B,0))&amp;""),"—"))</f>
        <v/>
      </c>
      <c r="J280" s="25">
        <f>IF($C280="","",IFERROR(IF(INDEX(Roster!$I:$I,MATCH($C280,Roster!$B:$B,0))="","",INDEX(Roster!$I:$I,MATCH($C280,Roster!$B:$B,0))&amp;""),"—"))</f>
        <v/>
      </c>
      <c r="K280">
        <f>IF($C280="","",IFERROR(IF(INDEX(Roster!$J:$J,MATCH($C280,Roster!$B:$B,0))="","",INDEX(Roster!$J:$J,MATCH($C280,Roster!$B:$B,0))&amp;""),"—"))</f>
        <v/>
      </c>
      <c r="L280">
        <f>IF($C280="","",IFERROR(IF(INDEX(Roster!$K:$K,MATCH($C280,Roster!$B:$B,0))="","",INDEX(Roster!$K:$K,MATCH($C280,Roster!$B:$B,0))&amp;""),"—"))</f>
        <v/>
      </c>
      <c r="M280" s="27" t="n"/>
      <c r="N280" s="27" t="n"/>
      <c r="O280" s="25">
        <f>IF($C280="","",IF($P280="","—",IF($P280="Valid (Pass)","Valid","Invalid")))</f>
        <v/>
      </c>
      <c r="P280" s="27" t="n"/>
      <c r="Q280" s="27" t="n"/>
      <c r="R280" s="27" t="n"/>
      <c r="S280" s="27" t="n"/>
      <c r="T280" s="25">
        <f>IF($C280="","",IF(OR(ISNUMBER(SEARCH("quick case",$P280)),ISNUMBER(SEARCH("quick case",$Q280))),"Yes","No"))</f>
        <v/>
      </c>
      <c r="U280" s="25">
        <f>IF($O280="Invalid",HYPERLINK("mailto:"&amp;$G280&amp;";"&amp;$I280&amp;"?cc="&amp;Lists!$E$2&amp;"&amp;subject="&amp;_xlfn.ENCODEURL("[INVALID] Quality audit monitoring completed for "&amp;UPPER($C280))&amp;"&amp;body="&amp;_xlfn.ENCODEURL("Hi "&amp;$F280&amp;","&amp;CHAR(10)&amp;"Good day!"&amp;CHAR(10)&amp;CHAR(10)&amp;"A quality monitoring audit has been completed for "&amp;$C280&amp;"."&amp;CHAR(10)&amp;CHAR(10)&amp;"QUALITY AUDIT DETAILS"&amp;CHAR(10)&amp;"Agent Name: "&amp;$C280&amp;" (EID "&amp;$D280&amp;")"&amp;CHAR(10)&amp;"Audit Date: "&amp;TEXT($B280,"yyyy-mm-dd")&amp;CHAR(10)&amp;"Team Leader: "&amp;$F280&amp;CHAR(10)&amp;"Case Number: "&amp;$M280&amp;CHAR(10)&amp;"Transaction ID: "&amp;$N280&amp;CHAR(10)&amp;"Channel / LOB: "&amp;$K280&amp;" / "&amp;$L280&amp;CHAR(10)&amp;"Evaluator: "&amp;$S280&amp;CHAR(10)&amp;CHAR(10)&amp;"INVALID QUALITY AUDIT DETAILS"&amp;CHAR(10)&amp;"Validation: Invalid"&amp;CHAR(10)&amp;"Invalid Reason: "&amp;$P280&amp;CHAR(10)&amp;"Expected Resolution Code: "&amp;$Q280&amp;CHAR(10)&amp;"Remarks: "&amp;LEFT($R280,600)&amp;CHAR(10)&amp;CHAR(10)&amp;"This is an automated notification from HP Mainstream EQMS."),"✉ Open Email Draft"),"")</f>
        <v/>
      </c>
    </row>
    <row r="281">
      <c r="A281" s="25">
        <f>IF($C281="","","AUD-2026-"&amp;TEXT(ROW()-1,"000000"))</f>
        <v/>
      </c>
      <c r="B281" s="26" t="n"/>
      <c r="C281" s="27" t="n"/>
      <c r="D281" s="25">
        <f>IF($C281="","",IFERROR(IF(INDEX(Roster!$A:$A,MATCH($C281,Roster!$B:$B,0))="","",INDEX(Roster!$A:$A,MATCH($C281,Roster!$B:$B,0))&amp;""),"—"))</f>
        <v/>
      </c>
      <c r="E281" s="25">
        <f>IF($C281="","",IFERROR(IF(INDEX(Roster!$C:$C,MATCH($C281,Roster!$B:$B,0))="","",INDEX(Roster!$C:$C,MATCH($C281,Roster!$B:$B,0))&amp;""),"—"))</f>
        <v/>
      </c>
      <c r="F281" s="25">
        <f>IF($C281="","",IFERROR(IF(INDEX(Roster!$D:$D,MATCH($C281,Roster!$B:$B,0))="","",INDEX(Roster!$D:$D,MATCH($C281,Roster!$B:$B,0))&amp;""),"—"))</f>
        <v/>
      </c>
      <c r="G281" s="25">
        <f>IF($C281="","",IFERROR(IF(INDEX(Roster!$E:$E,MATCH($C281,Roster!$B:$B,0))="","",INDEX(Roster!$E:$E,MATCH($C281,Roster!$B:$B,0))&amp;""),"—"))</f>
        <v/>
      </c>
      <c r="H281" s="25">
        <f>IF($C281="","",IFERROR(IF(INDEX(Roster!$F:$F,MATCH($C281,Roster!$B:$B,0))="","",INDEX(Roster!$F:$F,MATCH($C281,Roster!$B:$B,0))&amp;""),"—"))</f>
        <v/>
      </c>
      <c r="I281" s="25">
        <f>IF($C281="","",IFERROR(IF(INDEX(Roster!$G:$G,MATCH($C281,Roster!$B:$B,0))="","",INDEX(Roster!$G:$G,MATCH($C281,Roster!$B:$B,0))&amp;""),"—"))</f>
        <v/>
      </c>
      <c r="J281" s="25">
        <f>IF($C281="","",IFERROR(IF(INDEX(Roster!$I:$I,MATCH($C281,Roster!$B:$B,0))="","",INDEX(Roster!$I:$I,MATCH($C281,Roster!$B:$B,0))&amp;""),"—"))</f>
        <v/>
      </c>
      <c r="K281">
        <f>IF($C281="","",IFERROR(IF(INDEX(Roster!$J:$J,MATCH($C281,Roster!$B:$B,0))="","",INDEX(Roster!$J:$J,MATCH($C281,Roster!$B:$B,0))&amp;""),"—"))</f>
        <v/>
      </c>
      <c r="L281">
        <f>IF($C281="","",IFERROR(IF(INDEX(Roster!$K:$K,MATCH($C281,Roster!$B:$B,0))="","",INDEX(Roster!$K:$K,MATCH($C281,Roster!$B:$B,0))&amp;""),"—"))</f>
        <v/>
      </c>
      <c r="M281" s="27" t="n"/>
      <c r="N281" s="27" t="n"/>
      <c r="O281" s="25">
        <f>IF($C281="","",IF($P281="","—",IF($P281="Valid (Pass)","Valid","Invalid")))</f>
        <v/>
      </c>
      <c r="P281" s="27" t="n"/>
      <c r="Q281" s="27" t="n"/>
      <c r="R281" s="27" t="n"/>
      <c r="S281" s="27" t="n"/>
      <c r="T281" s="25">
        <f>IF($C281="","",IF(OR(ISNUMBER(SEARCH("quick case",$P281)),ISNUMBER(SEARCH("quick case",$Q281))),"Yes","No"))</f>
        <v/>
      </c>
      <c r="U281" s="25">
        <f>IF($O281="Invalid",HYPERLINK("mailto:"&amp;$G281&amp;";"&amp;$I281&amp;"?cc="&amp;Lists!$E$2&amp;"&amp;subject="&amp;_xlfn.ENCODEURL("[INVALID] Quality audit monitoring completed for "&amp;UPPER($C281))&amp;"&amp;body="&amp;_xlfn.ENCODEURL("Hi "&amp;$F281&amp;","&amp;CHAR(10)&amp;"Good day!"&amp;CHAR(10)&amp;CHAR(10)&amp;"A quality monitoring audit has been completed for "&amp;$C281&amp;"."&amp;CHAR(10)&amp;CHAR(10)&amp;"QUALITY AUDIT DETAILS"&amp;CHAR(10)&amp;"Agent Name: "&amp;$C281&amp;" (EID "&amp;$D281&amp;")"&amp;CHAR(10)&amp;"Audit Date: "&amp;TEXT($B281,"yyyy-mm-dd")&amp;CHAR(10)&amp;"Team Leader: "&amp;$F281&amp;CHAR(10)&amp;"Case Number: "&amp;$M281&amp;CHAR(10)&amp;"Transaction ID: "&amp;$N281&amp;CHAR(10)&amp;"Channel / LOB: "&amp;$K281&amp;" / "&amp;$L281&amp;CHAR(10)&amp;"Evaluator: "&amp;$S281&amp;CHAR(10)&amp;CHAR(10)&amp;"INVALID QUALITY AUDIT DETAILS"&amp;CHAR(10)&amp;"Validation: Invalid"&amp;CHAR(10)&amp;"Invalid Reason: "&amp;$P281&amp;CHAR(10)&amp;"Expected Resolution Code: "&amp;$Q281&amp;CHAR(10)&amp;"Remarks: "&amp;LEFT($R281,600)&amp;CHAR(10)&amp;CHAR(10)&amp;"This is an automated notification from HP Mainstream EQMS."),"✉ Open Email Draft"),"")</f>
        <v/>
      </c>
    </row>
    <row r="282">
      <c r="A282" s="25">
        <f>IF($C282="","","AUD-2026-"&amp;TEXT(ROW()-1,"000000"))</f>
        <v/>
      </c>
      <c r="B282" s="26" t="n"/>
      <c r="C282" s="27" t="n"/>
      <c r="D282" s="25">
        <f>IF($C282="","",IFERROR(IF(INDEX(Roster!$A:$A,MATCH($C282,Roster!$B:$B,0))="","",INDEX(Roster!$A:$A,MATCH($C282,Roster!$B:$B,0))&amp;""),"—"))</f>
        <v/>
      </c>
      <c r="E282" s="25">
        <f>IF($C282="","",IFERROR(IF(INDEX(Roster!$C:$C,MATCH($C282,Roster!$B:$B,0))="","",INDEX(Roster!$C:$C,MATCH($C282,Roster!$B:$B,0))&amp;""),"—"))</f>
        <v/>
      </c>
      <c r="F282" s="25">
        <f>IF($C282="","",IFERROR(IF(INDEX(Roster!$D:$D,MATCH($C282,Roster!$B:$B,0))="","",INDEX(Roster!$D:$D,MATCH($C282,Roster!$B:$B,0))&amp;""),"—"))</f>
        <v/>
      </c>
      <c r="G282" s="25">
        <f>IF($C282="","",IFERROR(IF(INDEX(Roster!$E:$E,MATCH($C282,Roster!$B:$B,0))="","",INDEX(Roster!$E:$E,MATCH($C282,Roster!$B:$B,0))&amp;""),"—"))</f>
        <v/>
      </c>
      <c r="H282" s="25">
        <f>IF($C282="","",IFERROR(IF(INDEX(Roster!$F:$F,MATCH($C282,Roster!$B:$B,0))="","",INDEX(Roster!$F:$F,MATCH($C282,Roster!$B:$B,0))&amp;""),"—"))</f>
        <v/>
      </c>
      <c r="I282" s="25">
        <f>IF($C282="","",IFERROR(IF(INDEX(Roster!$G:$G,MATCH($C282,Roster!$B:$B,0))="","",INDEX(Roster!$G:$G,MATCH($C282,Roster!$B:$B,0))&amp;""),"—"))</f>
        <v/>
      </c>
      <c r="J282" s="25">
        <f>IF($C282="","",IFERROR(IF(INDEX(Roster!$I:$I,MATCH($C282,Roster!$B:$B,0))="","",INDEX(Roster!$I:$I,MATCH($C282,Roster!$B:$B,0))&amp;""),"—"))</f>
        <v/>
      </c>
      <c r="K282">
        <f>IF($C282="","",IFERROR(IF(INDEX(Roster!$J:$J,MATCH($C282,Roster!$B:$B,0))="","",INDEX(Roster!$J:$J,MATCH($C282,Roster!$B:$B,0))&amp;""),"—"))</f>
        <v/>
      </c>
      <c r="L282">
        <f>IF($C282="","",IFERROR(IF(INDEX(Roster!$K:$K,MATCH($C282,Roster!$B:$B,0))="","",INDEX(Roster!$K:$K,MATCH($C282,Roster!$B:$B,0))&amp;""),"—"))</f>
        <v/>
      </c>
      <c r="M282" s="27" t="n"/>
      <c r="N282" s="27" t="n"/>
      <c r="O282" s="25">
        <f>IF($C282="","",IF($P282="","—",IF($P282="Valid (Pass)","Valid","Invalid")))</f>
        <v/>
      </c>
      <c r="P282" s="27" t="n"/>
      <c r="Q282" s="27" t="n"/>
      <c r="R282" s="27" t="n"/>
      <c r="S282" s="27" t="n"/>
      <c r="T282" s="25">
        <f>IF($C282="","",IF(OR(ISNUMBER(SEARCH("quick case",$P282)),ISNUMBER(SEARCH("quick case",$Q282))),"Yes","No"))</f>
        <v/>
      </c>
      <c r="U282" s="25">
        <f>IF($O282="Invalid",HYPERLINK("mailto:"&amp;$G282&amp;";"&amp;$I282&amp;"?cc="&amp;Lists!$E$2&amp;"&amp;subject="&amp;_xlfn.ENCODEURL("[INVALID] Quality audit monitoring completed for "&amp;UPPER($C282))&amp;"&amp;body="&amp;_xlfn.ENCODEURL("Hi "&amp;$F282&amp;","&amp;CHAR(10)&amp;"Good day!"&amp;CHAR(10)&amp;CHAR(10)&amp;"A quality monitoring audit has been completed for "&amp;$C282&amp;"."&amp;CHAR(10)&amp;CHAR(10)&amp;"QUALITY AUDIT DETAILS"&amp;CHAR(10)&amp;"Agent Name: "&amp;$C282&amp;" (EID "&amp;$D282&amp;")"&amp;CHAR(10)&amp;"Audit Date: "&amp;TEXT($B282,"yyyy-mm-dd")&amp;CHAR(10)&amp;"Team Leader: "&amp;$F282&amp;CHAR(10)&amp;"Case Number: "&amp;$M282&amp;CHAR(10)&amp;"Transaction ID: "&amp;$N282&amp;CHAR(10)&amp;"Channel / LOB: "&amp;$K282&amp;" / "&amp;$L282&amp;CHAR(10)&amp;"Evaluator: "&amp;$S282&amp;CHAR(10)&amp;CHAR(10)&amp;"INVALID QUALITY AUDIT DETAILS"&amp;CHAR(10)&amp;"Validation: Invalid"&amp;CHAR(10)&amp;"Invalid Reason: "&amp;$P282&amp;CHAR(10)&amp;"Expected Resolution Code: "&amp;$Q282&amp;CHAR(10)&amp;"Remarks: "&amp;LEFT($R282,600)&amp;CHAR(10)&amp;CHAR(10)&amp;"This is an automated notification from HP Mainstream EQMS."),"✉ Open Email Draft"),"")</f>
        <v/>
      </c>
    </row>
    <row r="283">
      <c r="A283" s="25">
        <f>IF($C283="","","AUD-2026-"&amp;TEXT(ROW()-1,"000000"))</f>
        <v/>
      </c>
      <c r="B283" s="26" t="n"/>
      <c r="C283" s="27" t="n"/>
      <c r="D283" s="25">
        <f>IF($C283="","",IFERROR(IF(INDEX(Roster!$A:$A,MATCH($C283,Roster!$B:$B,0))="","",INDEX(Roster!$A:$A,MATCH($C283,Roster!$B:$B,0))&amp;""),"—"))</f>
        <v/>
      </c>
      <c r="E283" s="25">
        <f>IF($C283="","",IFERROR(IF(INDEX(Roster!$C:$C,MATCH($C283,Roster!$B:$B,0))="","",INDEX(Roster!$C:$C,MATCH($C283,Roster!$B:$B,0))&amp;""),"—"))</f>
        <v/>
      </c>
      <c r="F283" s="25">
        <f>IF($C283="","",IFERROR(IF(INDEX(Roster!$D:$D,MATCH($C283,Roster!$B:$B,0))="","",INDEX(Roster!$D:$D,MATCH($C283,Roster!$B:$B,0))&amp;""),"—"))</f>
        <v/>
      </c>
      <c r="G283" s="25">
        <f>IF($C283="","",IFERROR(IF(INDEX(Roster!$E:$E,MATCH($C283,Roster!$B:$B,0))="","",INDEX(Roster!$E:$E,MATCH($C283,Roster!$B:$B,0))&amp;""),"—"))</f>
        <v/>
      </c>
      <c r="H283" s="25">
        <f>IF($C283="","",IFERROR(IF(INDEX(Roster!$F:$F,MATCH($C283,Roster!$B:$B,0))="","",INDEX(Roster!$F:$F,MATCH($C283,Roster!$B:$B,0))&amp;""),"—"))</f>
        <v/>
      </c>
      <c r="I283" s="25">
        <f>IF($C283="","",IFERROR(IF(INDEX(Roster!$G:$G,MATCH($C283,Roster!$B:$B,0))="","",INDEX(Roster!$G:$G,MATCH($C283,Roster!$B:$B,0))&amp;""),"—"))</f>
        <v/>
      </c>
      <c r="J283" s="25">
        <f>IF($C283="","",IFERROR(IF(INDEX(Roster!$I:$I,MATCH($C283,Roster!$B:$B,0))="","",INDEX(Roster!$I:$I,MATCH($C283,Roster!$B:$B,0))&amp;""),"—"))</f>
        <v/>
      </c>
      <c r="K283">
        <f>IF($C283="","",IFERROR(IF(INDEX(Roster!$J:$J,MATCH($C283,Roster!$B:$B,0))="","",INDEX(Roster!$J:$J,MATCH($C283,Roster!$B:$B,0))&amp;""),"—"))</f>
        <v/>
      </c>
      <c r="L283">
        <f>IF($C283="","",IFERROR(IF(INDEX(Roster!$K:$K,MATCH($C283,Roster!$B:$B,0))="","",INDEX(Roster!$K:$K,MATCH($C283,Roster!$B:$B,0))&amp;""),"—"))</f>
        <v/>
      </c>
      <c r="M283" s="27" t="n"/>
      <c r="N283" s="27" t="n"/>
      <c r="O283" s="25">
        <f>IF($C283="","",IF($P283="","—",IF($P283="Valid (Pass)","Valid","Invalid")))</f>
        <v/>
      </c>
      <c r="P283" s="27" t="n"/>
      <c r="Q283" s="27" t="n"/>
      <c r="R283" s="27" t="n"/>
      <c r="S283" s="27" t="n"/>
      <c r="T283" s="25">
        <f>IF($C283="","",IF(OR(ISNUMBER(SEARCH("quick case",$P283)),ISNUMBER(SEARCH("quick case",$Q283))),"Yes","No"))</f>
        <v/>
      </c>
      <c r="U283" s="25">
        <f>IF($O283="Invalid",HYPERLINK("mailto:"&amp;$G283&amp;";"&amp;$I283&amp;"?cc="&amp;Lists!$E$2&amp;"&amp;subject="&amp;_xlfn.ENCODEURL("[INVALID] Quality audit monitoring completed for "&amp;UPPER($C283))&amp;"&amp;body="&amp;_xlfn.ENCODEURL("Hi "&amp;$F283&amp;","&amp;CHAR(10)&amp;"Good day!"&amp;CHAR(10)&amp;CHAR(10)&amp;"A quality monitoring audit has been completed for "&amp;$C283&amp;"."&amp;CHAR(10)&amp;CHAR(10)&amp;"QUALITY AUDIT DETAILS"&amp;CHAR(10)&amp;"Agent Name: "&amp;$C283&amp;" (EID "&amp;$D283&amp;")"&amp;CHAR(10)&amp;"Audit Date: "&amp;TEXT($B283,"yyyy-mm-dd")&amp;CHAR(10)&amp;"Team Leader: "&amp;$F283&amp;CHAR(10)&amp;"Case Number: "&amp;$M283&amp;CHAR(10)&amp;"Transaction ID: "&amp;$N283&amp;CHAR(10)&amp;"Channel / LOB: "&amp;$K283&amp;" / "&amp;$L283&amp;CHAR(10)&amp;"Evaluator: "&amp;$S283&amp;CHAR(10)&amp;CHAR(10)&amp;"INVALID QUALITY AUDIT DETAILS"&amp;CHAR(10)&amp;"Validation: Invalid"&amp;CHAR(10)&amp;"Invalid Reason: "&amp;$P283&amp;CHAR(10)&amp;"Expected Resolution Code: "&amp;$Q283&amp;CHAR(10)&amp;"Remarks: "&amp;LEFT($R283,600)&amp;CHAR(10)&amp;CHAR(10)&amp;"This is an automated notification from HP Mainstream EQMS."),"✉ Open Email Draft"),"")</f>
        <v/>
      </c>
    </row>
    <row r="284">
      <c r="A284" s="25">
        <f>IF($C284="","","AUD-2026-"&amp;TEXT(ROW()-1,"000000"))</f>
        <v/>
      </c>
      <c r="B284" s="26" t="n"/>
      <c r="C284" s="27" t="n"/>
      <c r="D284" s="25">
        <f>IF($C284="","",IFERROR(IF(INDEX(Roster!$A:$A,MATCH($C284,Roster!$B:$B,0))="","",INDEX(Roster!$A:$A,MATCH($C284,Roster!$B:$B,0))&amp;""),"—"))</f>
        <v/>
      </c>
      <c r="E284" s="25">
        <f>IF($C284="","",IFERROR(IF(INDEX(Roster!$C:$C,MATCH($C284,Roster!$B:$B,0))="","",INDEX(Roster!$C:$C,MATCH($C284,Roster!$B:$B,0))&amp;""),"—"))</f>
        <v/>
      </c>
      <c r="F284" s="25">
        <f>IF($C284="","",IFERROR(IF(INDEX(Roster!$D:$D,MATCH($C284,Roster!$B:$B,0))="","",INDEX(Roster!$D:$D,MATCH($C284,Roster!$B:$B,0))&amp;""),"—"))</f>
        <v/>
      </c>
      <c r="G284" s="25">
        <f>IF($C284="","",IFERROR(IF(INDEX(Roster!$E:$E,MATCH($C284,Roster!$B:$B,0))="","",INDEX(Roster!$E:$E,MATCH($C284,Roster!$B:$B,0))&amp;""),"—"))</f>
        <v/>
      </c>
      <c r="H284" s="25">
        <f>IF($C284="","",IFERROR(IF(INDEX(Roster!$F:$F,MATCH($C284,Roster!$B:$B,0))="","",INDEX(Roster!$F:$F,MATCH($C284,Roster!$B:$B,0))&amp;""),"—"))</f>
        <v/>
      </c>
      <c r="I284" s="25">
        <f>IF($C284="","",IFERROR(IF(INDEX(Roster!$G:$G,MATCH($C284,Roster!$B:$B,0))="","",INDEX(Roster!$G:$G,MATCH($C284,Roster!$B:$B,0))&amp;""),"—"))</f>
        <v/>
      </c>
      <c r="J284" s="25">
        <f>IF($C284="","",IFERROR(IF(INDEX(Roster!$I:$I,MATCH($C284,Roster!$B:$B,0))="","",INDEX(Roster!$I:$I,MATCH($C284,Roster!$B:$B,0))&amp;""),"—"))</f>
        <v/>
      </c>
      <c r="K284">
        <f>IF($C284="","",IFERROR(IF(INDEX(Roster!$J:$J,MATCH($C284,Roster!$B:$B,0))="","",INDEX(Roster!$J:$J,MATCH($C284,Roster!$B:$B,0))&amp;""),"—"))</f>
        <v/>
      </c>
      <c r="L284">
        <f>IF($C284="","",IFERROR(IF(INDEX(Roster!$K:$K,MATCH($C284,Roster!$B:$B,0))="","",INDEX(Roster!$K:$K,MATCH($C284,Roster!$B:$B,0))&amp;""),"—"))</f>
        <v/>
      </c>
      <c r="M284" s="27" t="n"/>
      <c r="N284" s="27" t="n"/>
      <c r="O284" s="25">
        <f>IF($C284="","",IF($P284="","—",IF($P284="Valid (Pass)","Valid","Invalid")))</f>
        <v/>
      </c>
      <c r="P284" s="27" t="n"/>
      <c r="Q284" s="27" t="n"/>
      <c r="R284" s="27" t="n"/>
      <c r="S284" s="27" t="n"/>
      <c r="T284" s="25">
        <f>IF($C284="","",IF(OR(ISNUMBER(SEARCH("quick case",$P284)),ISNUMBER(SEARCH("quick case",$Q284))),"Yes","No"))</f>
        <v/>
      </c>
      <c r="U284" s="25">
        <f>IF($O284="Invalid",HYPERLINK("mailto:"&amp;$G284&amp;";"&amp;$I284&amp;"?cc="&amp;Lists!$E$2&amp;"&amp;subject="&amp;_xlfn.ENCODEURL("[INVALID] Quality audit monitoring completed for "&amp;UPPER($C284))&amp;"&amp;body="&amp;_xlfn.ENCODEURL("Hi "&amp;$F284&amp;","&amp;CHAR(10)&amp;"Good day!"&amp;CHAR(10)&amp;CHAR(10)&amp;"A quality monitoring audit has been completed for "&amp;$C284&amp;"."&amp;CHAR(10)&amp;CHAR(10)&amp;"QUALITY AUDIT DETAILS"&amp;CHAR(10)&amp;"Agent Name: "&amp;$C284&amp;" (EID "&amp;$D284&amp;")"&amp;CHAR(10)&amp;"Audit Date: "&amp;TEXT($B284,"yyyy-mm-dd")&amp;CHAR(10)&amp;"Team Leader: "&amp;$F284&amp;CHAR(10)&amp;"Case Number: "&amp;$M284&amp;CHAR(10)&amp;"Transaction ID: "&amp;$N284&amp;CHAR(10)&amp;"Channel / LOB: "&amp;$K284&amp;" / "&amp;$L284&amp;CHAR(10)&amp;"Evaluator: "&amp;$S284&amp;CHAR(10)&amp;CHAR(10)&amp;"INVALID QUALITY AUDIT DETAILS"&amp;CHAR(10)&amp;"Validation: Invalid"&amp;CHAR(10)&amp;"Invalid Reason: "&amp;$P284&amp;CHAR(10)&amp;"Expected Resolution Code: "&amp;$Q284&amp;CHAR(10)&amp;"Remarks: "&amp;LEFT($R284,600)&amp;CHAR(10)&amp;CHAR(10)&amp;"This is an automated notification from HP Mainstream EQMS."),"✉ Open Email Draft"),"")</f>
        <v/>
      </c>
    </row>
    <row r="285">
      <c r="A285" s="25">
        <f>IF($C285="","","AUD-2026-"&amp;TEXT(ROW()-1,"000000"))</f>
        <v/>
      </c>
      <c r="B285" s="26" t="n"/>
      <c r="C285" s="27" t="n"/>
      <c r="D285" s="25">
        <f>IF($C285="","",IFERROR(IF(INDEX(Roster!$A:$A,MATCH($C285,Roster!$B:$B,0))="","",INDEX(Roster!$A:$A,MATCH($C285,Roster!$B:$B,0))&amp;""),"—"))</f>
        <v/>
      </c>
      <c r="E285" s="25">
        <f>IF($C285="","",IFERROR(IF(INDEX(Roster!$C:$C,MATCH($C285,Roster!$B:$B,0))="","",INDEX(Roster!$C:$C,MATCH($C285,Roster!$B:$B,0))&amp;""),"—"))</f>
        <v/>
      </c>
      <c r="F285" s="25">
        <f>IF($C285="","",IFERROR(IF(INDEX(Roster!$D:$D,MATCH($C285,Roster!$B:$B,0))="","",INDEX(Roster!$D:$D,MATCH($C285,Roster!$B:$B,0))&amp;""),"—"))</f>
        <v/>
      </c>
      <c r="G285" s="25">
        <f>IF($C285="","",IFERROR(IF(INDEX(Roster!$E:$E,MATCH($C285,Roster!$B:$B,0))="","",INDEX(Roster!$E:$E,MATCH($C285,Roster!$B:$B,0))&amp;""),"—"))</f>
        <v/>
      </c>
      <c r="H285" s="25">
        <f>IF($C285="","",IFERROR(IF(INDEX(Roster!$F:$F,MATCH($C285,Roster!$B:$B,0))="","",INDEX(Roster!$F:$F,MATCH($C285,Roster!$B:$B,0))&amp;""),"—"))</f>
        <v/>
      </c>
      <c r="I285" s="25">
        <f>IF($C285="","",IFERROR(IF(INDEX(Roster!$G:$G,MATCH($C285,Roster!$B:$B,0))="","",INDEX(Roster!$G:$G,MATCH($C285,Roster!$B:$B,0))&amp;""),"—"))</f>
        <v/>
      </c>
      <c r="J285" s="25">
        <f>IF($C285="","",IFERROR(IF(INDEX(Roster!$I:$I,MATCH($C285,Roster!$B:$B,0))="","",INDEX(Roster!$I:$I,MATCH($C285,Roster!$B:$B,0))&amp;""),"—"))</f>
        <v/>
      </c>
      <c r="K285">
        <f>IF($C285="","",IFERROR(IF(INDEX(Roster!$J:$J,MATCH($C285,Roster!$B:$B,0))="","",INDEX(Roster!$J:$J,MATCH($C285,Roster!$B:$B,0))&amp;""),"—"))</f>
        <v/>
      </c>
      <c r="L285">
        <f>IF($C285="","",IFERROR(IF(INDEX(Roster!$K:$K,MATCH($C285,Roster!$B:$B,0))="","",INDEX(Roster!$K:$K,MATCH($C285,Roster!$B:$B,0))&amp;""),"—"))</f>
        <v/>
      </c>
      <c r="M285" s="27" t="n"/>
      <c r="N285" s="27" t="n"/>
      <c r="O285" s="25">
        <f>IF($C285="","",IF($P285="","—",IF($P285="Valid (Pass)","Valid","Invalid")))</f>
        <v/>
      </c>
      <c r="P285" s="27" t="n"/>
      <c r="Q285" s="27" t="n"/>
      <c r="R285" s="27" t="n"/>
      <c r="S285" s="27" t="n"/>
      <c r="T285" s="25">
        <f>IF($C285="","",IF(OR(ISNUMBER(SEARCH("quick case",$P285)),ISNUMBER(SEARCH("quick case",$Q285))),"Yes","No"))</f>
        <v/>
      </c>
      <c r="U285" s="25">
        <f>IF($O285="Invalid",HYPERLINK("mailto:"&amp;$G285&amp;";"&amp;$I285&amp;"?cc="&amp;Lists!$E$2&amp;"&amp;subject="&amp;_xlfn.ENCODEURL("[INVALID] Quality audit monitoring completed for "&amp;UPPER($C285))&amp;"&amp;body="&amp;_xlfn.ENCODEURL("Hi "&amp;$F285&amp;","&amp;CHAR(10)&amp;"Good day!"&amp;CHAR(10)&amp;CHAR(10)&amp;"A quality monitoring audit has been completed for "&amp;$C285&amp;"."&amp;CHAR(10)&amp;CHAR(10)&amp;"QUALITY AUDIT DETAILS"&amp;CHAR(10)&amp;"Agent Name: "&amp;$C285&amp;" (EID "&amp;$D285&amp;")"&amp;CHAR(10)&amp;"Audit Date: "&amp;TEXT($B285,"yyyy-mm-dd")&amp;CHAR(10)&amp;"Team Leader: "&amp;$F285&amp;CHAR(10)&amp;"Case Number: "&amp;$M285&amp;CHAR(10)&amp;"Transaction ID: "&amp;$N285&amp;CHAR(10)&amp;"Channel / LOB: "&amp;$K285&amp;" / "&amp;$L285&amp;CHAR(10)&amp;"Evaluator: "&amp;$S285&amp;CHAR(10)&amp;CHAR(10)&amp;"INVALID QUALITY AUDIT DETAILS"&amp;CHAR(10)&amp;"Validation: Invalid"&amp;CHAR(10)&amp;"Invalid Reason: "&amp;$P285&amp;CHAR(10)&amp;"Expected Resolution Code: "&amp;$Q285&amp;CHAR(10)&amp;"Remarks: "&amp;LEFT($R285,600)&amp;CHAR(10)&amp;CHAR(10)&amp;"This is an automated notification from HP Mainstream EQMS."),"✉ Open Email Draft"),"")</f>
        <v/>
      </c>
    </row>
    <row r="286">
      <c r="A286" s="25">
        <f>IF($C286="","","AUD-2026-"&amp;TEXT(ROW()-1,"000000"))</f>
        <v/>
      </c>
      <c r="B286" s="26" t="n"/>
      <c r="C286" s="27" t="n"/>
      <c r="D286" s="25">
        <f>IF($C286="","",IFERROR(IF(INDEX(Roster!$A:$A,MATCH($C286,Roster!$B:$B,0))="","",INDEX(Roster!$A:$A,MATCH($C286,Roster!$B:$B,0))&amp;""),"—"))</f>
        <v/>
      </c>
      <c r="E286" s="25">
        <f>IF($C286="","",IFERROR(IF(INDEX(Roster!$C:$C,MATCH($C286,Roster!$B:$B,0))="","",INDEX(Roster!$C:$C,MATCH($C286,Roster!$B:$B,0))&amp;""),"—"))</f>
        <v/>
      </c>
      <c r="F286" s="25">
        <f>IF($C286="","",IFERROR(IF(INDEX(Roster!$D:$D,MATCH($C286,Roster!$B:$B,0))="","",INDEX(Roster!$D:$D,MATCH($C286,Roster!$B:$B,0))&amp;""),"—"))</f>
        <v/>
      </c>
      <c r="G286" s="25">
        <f>IF($C286="","",IFERROR(IF(INDEX(Roster!$E:$E,MATCH($C286,Roster!$B:$B,0))="","",INDEX(Roster!$E:$E,MATCH($C286,Roster!$B:$B,0))&amp;""),"—"))</f>
        <v/>
      </c>
      <c r="H286" s="25">
        <f>IF($C286="","",IFERROR(IF(INDEX(Roster!$F:$F,MATCH($C286,Roster!$B:$B,0))="","",INDEX(Roster!$F:$F,MATCH($C286,Roster!$B:$B,0))&amp;""),"—"))</f>
        <v/>
      </c>
      <c r="I286" s="25">
        <f>IF($C286="","",IFERROR(IF(INDEX(Roster!$G:$G,MATCH($C286,Roster!$B:$B,0))="","",INDEX(Roster!$G:$G,MATCH($C286,Roster!$B:$B,0))&amp;""),"—"))</f>
        <v/>
      </c>
      <c r="J286" s="25">
        <f>IF($C286="","",IFERROR(IF(INDEX(Roster!$I:$I,MATCH($C286,Roster!$B:$B,0))="","",INDEX(Roster!$I:$I,MATCH($C286,Roster!$B:$B,0))&amp;""),"—"))</f>
        <v/>
      </c>
      <c r="K286">
        <f>IF($C286="","",IFERROR(IF(INDEX(Roster!$J:$J,MATCH($C286,Roster!$B:$B,0))="","",INDEX(Roster!$J:$J,MATCH($C286,Roster!$B:$B,0))&amp;""),"—"))</f>
        <v/>
      </c>
      <c r="L286">
        <f>IF($C286="","",IFERROR(IF(INDEX(Roster!$K:$K,MATCH($C286,Roster!$B:$B,0))="","",INDEX(Roster!$K:$K,MATCH($C286,Roster!$B:$B,0))&amp;""),"—"))</f>
        <v/>
      </c>
      <c r="M286" s="27" t="n"/>
      <c r="N286" s="27" t="n"/>
      <c r="O286" s="25">
        <f>IF($C286="","",IF($P286="","—",IF($P286="Valid (Pass)","Valid","Invalid")))</f>
        <v/>
      </c>
      <c r="P286" s="27" t="n"/>
      <c r="Q286" s="27" t="n"/>
      <c r="R286" s="27" t="n"/>
      <c r="S286" s="27" t="n"/>
      <c r="T286" s="25">
        <f>IF($C286="","",IF(OR(ISNUMBER(SEARCH("quick case",$P286)),ISNUMBER(SEARCH("quick case",$Q286))),"Yes","No"))</f>
        <v/>
      </c>
      <c r="U286" s="25">
        <f>IF($O286="Invalid",HYPERLINK("mailto:"&amp;$G286&amp;";"&amp;$I286&amp;"?cc="&amp;Lists!$E$2&amp;"&amp;subject="&amp;_xlfn.ENCODEURL("[INVALID] Quality audit monitoring completed for "&amp;UPPER($C286))&amp;"&amp;body="&amp;_xlfn.ENCODEURL("Hi "&amp;$F286&amp;","&amp;CHAR(10)&amp;"Good day!"&amp;CHAR(10)&amp;CHAR(10)&amp;"A quality monitoring audit has been completed for "&amp;$C286&amp;"."&amp;CHAR(10)&amp;CHAR(10)&amp;"QUALITY AUDIT DETAILS"&amp;CHAR(10)&amp;"Agent Name: "&amp;$C286&amp;" (EID "&amp;$D286&amp;")"&amp;CHAR(10)&amp;"Audit Date: "&amp;TEXT($B286,"yyyy-mm-dd")&amp;CHAR(10)&amp;"Team Leader: "&amp;$F286&amp;CHAR(10)&amp;"Case Number: "&amp;$M286&amp;CHAR(10)&amp;"Transaction ID: "&amp;$N286&amp;CHAR(10)&amp;"Channel / LOB: "&amp;$K286&amp;" / "&amp;$L286&amp;CHAR(10)&amp;"Evaluator: "&amp;$S286&amp;CHAR(10)&amp;CHAR(10)&amp;"INVALID QUALITY AUDIT DETAILS"&amp;CHAR(10)&amp;"Validation: Invalid"&amp;CHAR(10)&amp;"Invalid Reason: "&amp;$P286&amp;CHAR(10)&amp;"Expected Resolution Code: "&amp;$Q286&amp;CHAR(10)&amp;"Remarks: "&amp;LEFT($R286,600)&amp;CHAR(10)&amp;CHAR(10)&amp;"This is an automated notification from HP Mainstream EQMS."),"✉ Open Email Draft"),"")</f>
        <v/>
      </c>
    </row>
    <row r="287">
      <c r="A287" s="25">
        <f>IF($C287="","","AUD-2026-"&amp;TEXT(ROW()-1,"000000"))</f>
        <v/>
      </c>
      <c r="B287" s="26" t="n"/>
      <c r="C287" s="27" t="n"/>
      <c r="D287" s="25">
        <f>IF($C287="","",IFERROR(IF(INDEX(Roster!$A:$A,MATCH($C287,Roster!$B:$B,0))="","",INDEX(Roster!$A:$A,MATCH($C287,Roster!$B:$B,0))&amp;""),"—"))</f>
        <v/>
      </c>
      <c r="E287" s="25">
        <f>IF($C287="","",IFERROR(IF(INDEX(Roster!$C:$C,MATCH($C287,Roster!$B:$B,0))="","",INDEX(Roster!$C:$C,MATCH($C287,Roster!$B:$B,0))&amp;""),"—"))</f>
        <v/>
      </c>
      <c r="F287" s="25">
        <f>IF($C287="","",IFERROR(IF(INDEX(Roster!$D:$D,MATCH($C287,Roster!$B:$B,0))="","",INDEX(Roster!$D:$D,MATCH($C287,Roster!$B:$B,0))&amp;""),"—"))</f>
        <v/>
      </c>
      <c r="G287" s="25">
        <f>IF($C287="","",IFERROR(IF(INDEX(Roster!$E:$E,MATCH($C287,Roster!$B:$B,0))="","",INDEX(Roster!$E:$E,MATCH($C287,Roster!$B:$B,0))&amp;""),"—"))</f>
        <v/>
      </c>
      <c r="H287" s="25">
        <f>IF($C287="","",IFERROR(IF(INDEX(Roster!$F:$F,MATCH($C287,Roster!$B:$B,0))="","",INDEX(Roster!$F:$F,MATCH($C287,Roster!$B:$B,0))&amp;""),"—"))</f>
        <v/>
      </c>
      <c r="I287" s="25">
        <f>IF($C287="","",IFERROR(IF(INDEX(Roster!$G:$G,MATCH($C287,Roster!$B:$B,0))="","",INDEX(Roster!$G:$G,MATCH($C287,Roster!$B:$B,0))&amp;""),"—"))</f>
        <v/>
      </c>
      <c r="J287" s="25">
        <f>IF($C287="","",IFERROR(IF(INDEX(Roster!$I:$I,MATCH($C287,Roster!$B:$B,0))="","",INDEX(Roster!$I:$I,MATCH($C287,Roster!$B:$B,0))&amp;""),"—"))</f>
        <v/>
      </c>
      <c r="K287">
        <f>IF($C287="","",IFERROR(IF(INDEX(Roster!$J:$J,MATCH($C287,Roster!$B:$B,0))="","",INDEX(Roster!$J:$J,MATCH($C287,Roster!$B:$B,0))&amp;""),"—"))</f>
        <v/>
      </c>
      <c r="L287">
        <f>IF($C287="","",IFERROR(IF(INDEX(Roster!$K:$K,MATCH($C287,Roster!$B:$B,0))="","",INDEX(Roster!$K:$K,MATCH($C287,Roster!$B:$B,0))&amp;""),"—"))</f>
        <v/>
      </c>
      <c r="M287" s="27" t="n"/>
      <c r="N287" s="27" t="n"/>
      <c r="O287" s="25">
        <f>IF($C287="","",IF($P287="","—",IF($P287="Valid (Pass)","Valid","Invalid")))</f>
        <v/>
      </c>
      <c r="P287" s="27" t="n"/>
      <c r="Q287" s="27" t="n"/>
      <c r="R287" s="27" t="n"/>
      <c r="S287" s="27" t="n"/>
      <c r="T287" s="25">
        <f>IF($C287="","",IF(OR(ISNUMBER(SEARCH("quick case",$P287)),ISNUMBER(SEARCH("quick case",$Q287))),"Yes","No"))</f>
        <v/>
      </c>
      <c r="U287" s="25">
        <f>IF($O287="Invalid",HYPERLINK("mailto:"&amp;$G287&amp;";"&amp;$I287&amp;"?cc="&amp;Lists!$E$2&amp;"&amp;subject="&amp;_xlfn.ENCODEURL("[INVALID] Quality audit monitoring completed for "&amp;UPPER($C287))&amp;"&amp;body="&amp;_xlfn.ENCODEURL("Hi "&amp;$F287&amp;","&amp;CHAR(10)&amp;"Good day!"&amp;CHAR(10)&amp;CHAR(10)&amp;"A quality monitoring audit has been completed for "&amp;$C287&amp;"."&amp;CHAR(10)&amp;CHAR(10)&amp;"QUALITY AUDIT DETAILS"&amp;CHAR(10)&amp;"Agent Name: "&amp;$C287&amp;" (EID "&amp;$D287&amp;")"&amp;CHAR(10)&amp;"Audit Date: "&amp;TEXT($B287,"yyyy-mm-dd")&amp;CHAR(10)&amp;"Team Leader: "&amp;$F287&amp;CHAR(10)&amp;"Case Number: "&amp;$M287&amp;CHAR(10)&amp;"Transaction ID: "&amp;$N287&amp;CHAR(10)&amp;"Channel / LOB: "&amp;$K287&amp;" / "&amp;$L287&amp;CHAR(10)&amp;"Evaluator: "&amp;$S287&amp;CHAR(10)&amp;CHAR(10)&amp;"INVALID QUALITY AUDIT DETAILS"&amp;CHAR(10)&amp;"Validation: Invalid"&amp;CHAR(10)&amp;"Invalid Reason: "&amp;$P287&amp;CHAR(10)&amp;"Expected Resolution Code: "&amp;$Q287&amp;CHAR(10)&amp;"Remarks: "&amp;LEFT($R287,600)&amp;CHAR(10)&amp;CHAR(10)&amp;"This is an automated notification from HP Mainstream EQMS."),"✉ Open Email Draft"),"")</f>
        <v/>
      </c>
    </row>
    <row r="288">
      <c r="A288" s="25">
        <f>IF($C288="","","AUD-2026-"&amp;TEXT(ROW()-1,"000000"))</f>
        <v/>
      </c>
      <c r="B288" s="26" t="n"/>
      <c r="C288" s="27" t="n"/>
      <c r="D288" s="25">
        <f>IF($C288="","",IFERROR(IF(INDEX(Roster!$A:$A,MATCH($C288,Roster!$B:$B,0))="","",INDEX(Roster!$A:$A,MATCH($C288,Roster!$B:$B,0))&amp;""),"—"))</f>
        <v/>
      </c>
      <c r="E288" s="25">
        <f>IF($C288="","",IFERROR(IF(INDEX(Roster!$C:$C,MATCH($C288,Roster!$B:$B,0))="","",INDEX(Roster!$C:$C,MATCH($C288,Roster!$B:$B,0))&amp;""),"—"))</f>
        <v/>
      </c>
      <c r="F288" s="25">
        <f>IF($C288="","",IFERROR(IF(INDEX(Roster!$D:$D,MATCH($C288,Roster!$B:$B,0))="","",INDEX(Roster!$D:$D,MATCH($C288,Roster!$B:$B,0))&amp;""),"—"))</f>
        <v/>
      </c>
      <c r="G288" s="25">
        <f>IF($C288="","",IFERROR(IF(INDEX(Roster!$E:$E,MATCH($C288,Roster!$B:$B,0))="","",INDEX(Roster!$E:$E,MATCH($C288,Roster!$B:$B,0))&amp;""),"—"))</f>
        <v/>
      </c>
      <c r="H288" s="25">
        <f>IF($C288="","",IFERROR(IF(INDEX(Roster!$F:$F,MATCH($C288,Roster!$B:$B,0))="","",INDEX(Roster!$F:$F,MATCH($C288,Roster!$B:$B,0))&amp;""),"—"))</f>
        <v/>
      </c>
      <c r="I288" s="25">
        <f>IF($C288="","",IFERROR(IF(INDEX(Roster!$G:$G,MATCH($C288,Roster!$B:$B,0))="","",INDEX(Roster!$G:$G,MATCH($C288,Roster!$B:$B,0))&amp;""),"—"))</f>
        <v/>
      </c>
      <c r="J288" s="25">
        <f>IF($C288="","",IFERROR(IF(INDEX(Roster!$I:$I,MATCH($C288,Roster!$B:$B,0))="","",INDEX(Roster!$I:$I,MATCH($C288,Roster!$B:$B,0))&amp;""),"—"))</f>
        <v/>
      </c>
      <c r="K288">
        <f>IF($C288="","",IFERROR(IF(INDEX(Roster!$J:$J,MATCH($C288,Roster!$B:$B,0))="","",INDEX(Roster!$J:$J,MATCH($C288,Roster!$B:$B,0))&amp;""),"—"))</f>
        <v/>
      </c>
      <c r="L288">
        <f>IF($C288="","",IFERROR(IF(INDEX(Roster!$K:$K,MATCH($C288,Roster!$B:$B,0))="","",INDEX(Roster!$K:$K,MATCH($C288,Roster!$B:$B,0))&amp;""),"—"))</f>
        <v/>
      </c>
      <c r="M288" s="27" t="n"/>
      <c r="N288" s="27" t="n"/>
      <c r="O288" s="25">
        <f>IF($C288="","",IF($P288="","—",IF($P288="Valid (Pass)","Valid","Invalid")))</f>
        <v/>
      </c>
      <c r="P288" s="27" t="n"/>
      <c r="Q288" s="27" t="n"/>
      <c r="R288" s="27" t="n"/>
      <c r="S288" s="27" t="n"/>
      <c r="T288" s="25">
        <f>IF($C288="","",IF(OR(ISNUMBER(SEARCH("quick case",$P288)),ISNUMBER(SEARCH("quick case",$Q288))),"Yes","No"))</f>
        <v/>
      </c>
      <c r="U288" s="25">
        <f>IF($O288="Invalid",HYPERLINK("mailto:"&amp;$G288&amp;";"&amp;$I288&amp;"?cc="&amp;Lists!$E$2&amp;"&amp;subject="&amp;_xlfn.ENCODEURL("[INVALID] Quality audit monitoring completed for "&amp;UPPER($C288))&amp;"&amp;body="&amp;_xlfn.ENCODEURL("Hi "&amp;$F288&amp;","&amp;CHAR(10)&amp;"Good day!"&amp;CHAR(10)&amp;CHAR(10)&amp;"A quality monitoring audit has been completed for "&amp;$C288&amp;"."&amp;CHAR(10)&amp;CHAR(10)&amp;"QUALITY AUDIT DETAILS"&amp;CHAR(10)&amp;"Agent Name: "&amp;$C288&amp;" (EID "&amp;$D288&amp;")"&amp;CHAR(10)&amp;"Audit Date: "&amp;TEXT($B288,"yyyy-mm-dd")&amp;CHAR(10)&amp;"Team Leader: "&amp;$F288&amp;CHAR(10)&amp;"Case Number: "&amp;$M288&amp;CHAR(10)&amp;"Transaction ID: "&amp;$N288&amp;CHAR(10)&amp;"Channel / LOB: "&amp;$K288&amp;" / "&amp;$L288&amp;CHAR(10)&amp;"Evaluator: "&amp;$S288&amp;CHAR(10)&amp;CHAR(10)&amp;"INVALID QUALITY AUDIT DETAILS"&amp;CHAR(10)&amp;"Validation: Invalid"&amp;CHAR(10)&amp;"Invalid Reason: "&amp;$P288&amp;CHAR(10)&amp;"Expected Resolution Code: "&amp;$Q288&amp;CHAR(10)&amp;"Remarks: "&amp;LEFT($R288,600)&amp;CHAR(10)&amp;CHAR(10)&amp;"This is an automated notification from HP Mainstream EQMS."),"✉ Open Email Draft"),"")</f>
        <v/>
      </c>
    </row>
    <row r="289">
      <c r="A289" s="25">
        <f>IF($C289="","","AUD-2026-"&amp;TEXT(ROW()-1,"000000"))</f>
        <v/>
      </c>
      <c r="B289" s="26" t="n"/>
      <c r="C289" s="27" t="n"/>
      <c r="D289" s="25">
        <f>IF($C289="","",IFERROR(IF(INDEX(Roster!$A:$A,MATCH($C289,Roster!$B:$B,0))="","",INDEX(Roster!$A:$A,MATCH($C289,Roster!$B:$B,0))&amp;""),"—"))</f>
        <v/>
      </c>
      <c r="E289" s="25">
        <f>IF($C289="","",IFERROR(IF(INDEX(Roster!$C:$C,MATCH($C289,Roster!$B:$B,0))="","",INDEX(Roster!$C:$C,MATCH($C289,Roster!$B:$B,0))&amp;""),"—"))</f>
        <v/>
      </c>
      <c r="F289" s="25">
        <f>IF($C289="","",IFERROR(IF(INDEX(Roster!$D:$D,MATCH($C289,Roster!$B:$B,0))="","",INDEX(Roster!$D:$D,MATCH($C289,Roster!$B:$B,0))&amp;""),"—"))</f>
        <v/>
      </c>
      <c r="G289" s="25">
        <f>IF($C289="","",IFERROR(IF(INDEX(Roster!$E:$E,MATCH($C289,Roster!$B:$B,0))="","",INDEX(Roster!$E:$E,MATCH($C289,Roster!$B:$B,0))&amp;""),"—"))</f>
        <v/>
      </c>
      <c r="H289" s="25">
        <f>IF($C289="","",IFERROR(IF(INDEX(Roster!$F:$F,MATCH($C289,Roster!$B:$B,0))="","",INDEX(Roster!$F:$F,MATCH($C289,Roster!$B:$B,0))&amp;""),"—"))</f>
        <v/>
      </c>
      <c r="I289" s="25">
        <f>IF($C289="","",IFERROR(IF(INDEX(Roster!$G:$G,MATCH($C289,Roster!$B:$B,0))="","",INDEX(Roster!$G:$G,MATCH($C289,Roster!$B:$B,0))&amp;""),"—"))</f>
        <v/>
      </c>
      <c r="J289" s="25">
        <f>IF($C289="","",IFERROR(IF(INDEX(Roster!$I:$I,MATCH($C289,Roster!$B:$B,0))="","",INDEX(Roster!$I:$I,MATCH($C289,Roster!$B:$B,0))&amp;""),"—"))</f>
        <v/>
      </c>
      <c r="K289">
        <f>IF($C289="","",IFERROR(IF(INDEX(Roster!$J:$J,MATCH($C289,Roster!$B:$B,0))="","",INDEX(Roster!$J:$J,MATCH($C289,Roster!$B:$B,0))&amp;""),"—"))</f>
        <v/>
      </c>
      <c r="L289">
        <f>IF($C289="","",IFERROR(IF(INDEX(Roster!$K:$K,MATCH($C289,Roster!$B:$B,0))="","",INDEX(Roster!$K:$K,MATCH($C289,Roster!$B:$B,0))&amp;""),"—"))</f>
        <v/>
      </c>
      <c r="M289" s="27" t="n"/>
      <c r="N289" s="27" t="n"/>
      <c r="O289" s="25">
        <f>IF($C289="","",IF($P289="","—",IF($P289="Valid (Pass)","Valid","Invalid")))</f>
        <v/>
      </c>
      <c r="P289" s="27" t="n"/>
      <c r="Q289" s="27" t="n"/>
      <c r="R289" s="27" t="n"/>
      <c r="S289" s="27" t="n"/>
      <c r="T289" s="25">
        <f>IF($C289="","",IF(OR(ISNUMBER(SEARCH("quick case",$P289)),ISNUMBER(SEARCH("quick case",$Q289))),"Yes","No"))</f>
        <v/>
      </c>
      <c r="U289" s="25">
        <f>IF($O289="Invalid",HYPERLINK("mailto:"&amp;$G289&amp;";"&amp;$I289&amp;"?cc="&amp;Lists!$E$2&amp;"&amp;subject="&amp;_xlfn.ENCODEURL("[INVALID] Quality audit monitoring completed for "&amp;UPPER($C289))&amp;"&amp;body="&amp;_xlfn.ENCODEURL("Hi "&amp;$F289&amp;","&amp;CHAR(10)&amp;"Good day!"&amp;CHAR(10)&amp;CHAR(10)&amp;"A quality monitoring audit has been completed for "&amp;$C289&amp;"."&amp;CHAR(10)&amp;CHAR(10)&amp;"QUALITY AUDIT DETAILS"&amp;CHAR(10)&amp;"Agent Name: "&amp;$C289&amp;" (EID "&amp;$D289&amp;")"&amp;CHAR(10)&amp;"Audit Date: "&amp;TEXT($B289,"yyyy-mm-dd")&amp;CHAR(10)&amp;"Team Leader: "&amp;$F289&amp;CHAR(10)&amp;"Case Number: "&amp;$M289&amp;CHAR(10)&amp;"Transaction ID: "&amp;$N289&amp;CHAR(10)&amp;"Channel / LOB: "&amp;$K289&amp;" / "&amp;$L289&amp;CHAR(10)&amp;"Evaluator: "&amp;$S289&amp;CHAR(10)&amp;CHAR(10)&amp;"INVALID QUALITY AUDIT DETAILS"&amp;CHAR(10)&amp;"Validation: Invalid"&amp;CHAR(10)&amp;"Invalid Reason: "&amp;$P289&amp;CHAR(10)&amp;"Expected Resolution Code: "&amp;$Q289&amp;CHAR(10)&amp;"Remarks: "&amp;LEFT($R289,600)&amp;CHAR(10)&amp;CHAR(10)&amp;"This is an automated notification from HP Mainstream EQMS."),"✉ Open Email Draft"),"")</f>
        <v/>
      </c>
    </row>
    <row r="290">
      <c r="A290" s="25">
        <f>IF($C290="","","AUD-2026-"&amp;TEXT(ROW()-1,"000000"))</f>
        <v/>
      </c>
      <c r="B290" s="26" t="n"/>
      <c r="C290" s="27" t="n"/>
      <c r="D290" s="25">
        <f>IF($C290="","",IFERROR(IF(INDEX(Roster!$A:$A,MATCH($C290,Roster!$B:$B,0))="","",INDEX(Roster!$A:$A,MATCH($C290,Roster!$B:$B,0))&amp;""),"—"))</f>
        <v/>
      </c>
      <c r="E290" s="25">
        <f>IF($C290="","",IFERROR(IF(INDEX(Roster!$C:$C,MATCH($C290,Roster!$B:$B,0))="","",INDEX(Roster!$C:$C,MATCH($C290,Roster!$B:$B,0))&amp;""),"—"))</f>
        <v/>
      </c>
      <c r="F290" s="25">
        <f>IF($C290="","",IFERROR(IF(INDEX(Roster!$D:$D,MATCH($C290,Roster!$B:$B,0))="","",INDEX(Roster!$D:$D,MATCH($C290,Roster!$B:$B,0))&amp;""),"—"))</f>
        <v/>
      </c>
      <c r="G290" s="25">
        <f>IF($C290="","",IFERROR(IF(INDEX(Roster!$E:$E,MATCH($C290,Roster!$B:$B,0))="","",INDEX(Roster!$E:$E,MATCH($C290,Roster!$B:$B,0))&amp;""),"—"))</f>
        <v/>
      </c>
      <c r="H290" s="25">
        <f>IF($C290="","",IFERROR(IF(INDEX(Roster!$F:$F,MATCH($C290,Roster!$B:$B,0))="","",INDEX(Roster!$F:$F,MATCH($C290,Roster!$B:$B,0))&amp;""),"—"))</f>
        <v/>
      </c>
      <c r="I290" s="25">
        <f>IF($C290="","",IFERROR(IF(INDEX(Roster!$G:$G,MATCH($C290,Roster!$B:$B,0))="","",INDEX(Roster!$G:$G,MATCH($C290,Roster!$B:$B,0))&amp;""),"—"))</f>
        <v/>
      </c>
      <c r="J290" s="25">
        <f>IF($C290="","",IFERROR(IF(INDEX(Roster!$I:$I,MATCH($C290,Roster!$B:$B,0))="","",INDEX(Roster!$I:$I,MATCH($C290,Roster!$B:$B,0))&amp;""),"—"))</f>
        <v/>
      </c>
      <c r="K290">
        <f>IF($C290="","",IFERROR(IF(INDEX(Roster!$J:$J,MATCH($C290,Roster!$B:$B,0))="","",INDEX(Roster!$J:$J,MATCH($C290,Roster!$B:$B,0))&amp;""),"—"))</f>
        <v/>
      </c>
      <c r="L290">
        <f>IF($C290="","",IFERROR(IF(INDEX(Roster!$K:$K,MATCH($C290,Roster!$B:$B,0))="","",INDEX(Roster!$K:$K,MATCH($C290,Roster!$B:$B,0))&amp;""),"—"))</f>
        <v/>
      </c>
      <c r="M290" s="27" t="n"/>
      <c r="N290" s="27" t="n"/>
      <c r="O290" s="25">
        <f>IF($C290="","",IF($P290="","—",IF($P290="Valid (Pass)","Valid","Invalid")))</f>
        <v/>
      </c>
      <c r="P290" s="27" t="n"/>
      <c r="Q290" s="27" t="n"/>
      <c r="R290" s="27" t="n"/>
      <c r="S290" s="27" t="n"/>
      <c r="T290" s="25">
        <f>IF($C290="","",IF(OR(ISNUMBER(SEARCH("quick case",$P290)),ISNUMBER(SEARCH("quick case",$Q290))),"Yes","No"))</f>
        <v/>
      </c>
      <c r="U290" s="25">
        <f>IF($O290="Invalid",HYPERLINK("mailto:"&amp;$G290&amp;";"&amp;$I290&amp;"?cc="&amp;Lists!$E$2&amp;"&amp;subject="&amp;_xlfn.ENCODEURL("[INVALID] Quality audit monitoring completed for "&amp;UPPER($C290))&amp;"&amp;body="&amp;_xlfn.ENCODEURL("Hi "&amp;$F290&amp;","&amp;CHAR(10)&amp;"Good day!"&amp;CHAR(10)&amp;CHAR(10)&amp;"A quality monitoring audit has been completed for "&amp;$C290&amp;"."&amp;CHAR(10)&amp;CHAR(10)&amp;"QUALITY AUDIT DETAILS"&amp;CHAR(10)&amp;"Agent Name: "&amp;$C290&amp;" (EID "&amp;$D290&amp;")"&amp;CHAR(10)&amp;"Audit Date: "&amp;TEXT($B290,"yyyy-mm-dd")&amp;CHAR(10)&amp;"Team Leader: "&amp;$F290&amp;CHAR(10)&amp;"Case Number: "&amp;$M290&amp;CHAR(10)&amp;"Transaction ID: "&amp;$N290&amp;CHAR(10)&amp;"Channel / LOB: "&amp;$K290&amp;" / "&amp;$L290&amp;CHAR(10)&amp;"Evaluator: "&amp;$S290&amp;CHAR(10)&amp;CHAR(10)&amp;"INVALID QUALITY AUDIT DETAILS"&amp;CHAR(10)&amp;"Validation: Invalid"&amp;CHAR(10)&amp;"Invalid Reason: "&amp;$P290&amp;CHAR(10)&amp;"Expected Resolution Code: "&amp;$Q290&amp;CHAR(10)&amp;"Remarks: "&amp;LEFT($R290,600)&amp;CHAR(10)&amp;CHAR(10)&amp;"This is an automated notification from HP Mainstream EQMS."),"✉ Open Email Draft"),"")</f>
        <v/>
      </c>
    </row>
    <row r="291">
      <c r="A291" s="25">
        <f>IF($C291="","","AUD-2026-"&amp;TEXT(ROW()-1,"000000"))</f>
        <v/>
      </c>
      <c r="B291" s="26" t="n"/>
      <c r="C291" s="27" t="n"/>
      <c r="D291" s="25">
        <f>IF($C291="","",IFERROR(IF(INDEX(Roster!$A:$A,MATCH($C291,Roster!$B:$B,0))="","",INDEX(Roster!$A:$A,MATCH($C291,Roster!$B:$B,0))&amp;""),"—"))</f>
        <v/>
      </c>
      <c r="E291" s="25">
        <f>IF($C291="","",IFERROR(IF(INDEX(Roster!$C:$C,MATCH($C291,Roster!$B:$B,0))="","",INDEX(Roster!$C:$C,MATCH($C291,Roster!$B:$B,0))&amp;""),"—"))</f>
        <v/>
      </c>
      <c r="F291" s="25">
        <f>IF($C291="","",IFERROR(IF(INDEX(Roster!$D:$D,MATCH($C291,Roster!$B:$B,0))="","",INDEX(Roster!$D:$D,MATCH($C291,Roster!$B:$B,0))&amp;""),"—"))</f>
        <v/>
      </c>
      <c r="G291" s="25">
        <f>IF($C291="","",IFERROR(IF(INDEX(Roster!$E:$E,MATCH($C291,Roster!$B:$B,0))="","",INDEX(Roster!$E:$E,MATCH($C291,Roster!$B:$B,0))&amp;""),"—"))</f>
        <v/>
      </c>
      <c r="H291" s="25">
        <f>IF($C291="","",IFERROR(IF(INDEX(Roster!$F:$F,MATCH($C291,Roster!$B:$B,0))="","",INDEX(Roster!$F:$F,MATCH($C291,Roster!$B:$B,0))&amp;""),"—"))</f>
        <v/>
      </c>
      <c r="I291" s="25">
        <f>IF($C291="","",IFERROR(IF(INDEX(Roster!$G:$G,MATCH($C291,Roster!$B:$B,0))="","",INDEX(Roster!$G:$G,MATCH($C291,Roster!$B:$B,0))&amp;""),"—"))</f>
        <v/>
      </c>
      <c r="J291" s="25">
        <f>IF($C291="","",IFERROR(IF(INDEX(Roster!$I:$I,MATCH($C291,Roster!$B:$B,0))="","",INDEX(Roster!$I:$I,MATCH($C291,Roster!$B:$B,0))&amp;""),"—"))</f>
        <v/>
      </c>
      <c r="K291">
        <f>IF($C291="","",IFERROR(IF(INDEX(Roster!$J:$J,MATCH($C291,Roster!$B:$B,0))="","",INDEX(Roster!$J:$J,MATCH($C291,Roster!$B:$B,0))&amp;""),"—"))</f>
        <v/>
      </c>
      <c r="L291">
        <f>IF($C291="","",IFERROR(IF(INDEX(Roster!$K:$K,MATCH($C291,Roster!$B:$B,0))="","",INDEX(Roster!$K:$K,MATCH($C291,Roster!$B:$B,0))&amp;""),"—"))</f>
        <v/>
      </c>
      <c r="M291" s="27" t="n"/>
      <c r="N291" s="27" t="n"/>
      <c r="O291" s="25">
        <f>IF($C291="","",IF($P291="","—",IF($P291="Valid (Pass)","Valid","Invalid")))</f>
        <v/>
      </c>
      <c r="P291" s="27" t="n"/>
      <c r="Q291" s="27" t="n"/>
      <c r="R291" s="27" t="n"/>
      <c r="S291" s="27" t="n"/>
      <c r="T291" s="25">
        <f>IF($C291="","",IF(OR(ISNUMBER(SEARCH("quick case",$P291)),ISNUMBER(SEARCH("quick case",$Q291))),"Yes","No"))</f>
        <v/>
      </c>
      <c r="U291" s="25">
        <f>IF($O291="Invalid",HYPERLINK("mailto:"&amp;$G291&amp;";"&amp;$I291&amp;"?cc="&amp;Lists!$E$2&amp;"&amp;subject="&amp;_xlfn.ENCODEURL("[INVALID] Quality audit monitoring completed for "&amp;UPPER($C291))&amp;"&amp;body="&amp;_xlfn.ENCODEURL("Hi "&amp;$F291&amp;","&amp;CHAR(10)&amp;"Good day!"&amp;CHAR(10)&amp;CHAR(10)&amp;"A quality monitoring audit has been completed for "&amp;$C291&amp;"."&amp;CHAR(10)&amp;CHAR(10)&amp;"QUALITY AUDIT DETAILS"&amp;CHAR(10)&amp;"Agent Name: "&amp;$C291&amp;" (EID "&amp;$D291&amp;")"&amp;CHAR(10)&amp;"Audit Date: "&amp;TEXT($B291,"yyyy-mm-dd")&amp;CHAR(10)&amp;"Team Leader: "&amp;$F291&amp;CHAR(10)&amp;"Case Number: "&amp;$M291&amp;CHAR(10)&amp;"Transaction ID: "&amp;$N291&amp;CHAR(10)&amp;"Channel / LOB: "&amp;$K291&amp;" / "&amp;$L291&amp;CHAR(10)&amp;"Evaluator: "&amp;$S291&amp;CHAR(10)&amp;CHAR(10)&amp;"INVALID QUALITY AUDIT DETAILS"&amp;CHAR(10)&amp;"Validation: Invalid"&amp;CHAR(10)&amp;"Invalid Reason: "&amp;$P291&amp;CHAR(10)&amp;"Expected Resolution Code: "&amp;$Q291&amp;CHAR(10)&amp;"Remarks: "&amp;LEFT($R291,600)&amp;CHAR(10)&amp;CHAR(10)&amp;"This is an automated notification from HP Mainstream EQMS."),"✉ Open Email Draft"),"")</f>
        <v/>
      </c>
    </row>
    <row r="292">
      <c r="A292" s="25">
        <f>IF($C292="","","AUD-2026-"&amp;TEXT(ROW()-1,"000000"))</f>
        <v/>
      </c>
      <c r="B292" s="26" t="n"/>
      <c r="C292" s="27" t="n"/>
      <c r="D292" s="25">
        <f>IF($C292="","",IFERROR(IF(INDEX(Roster!$A:$A,MATCH($C292,Roster!$B:$B,0))="","",INDEX(Roster!$A:$A,MATCH($C292,Roster!$B:$B,0))&amp;""),"—"))</f>
        <v/>
      </c>
      <c r="E292" s="25">
        <f>IF($C292="","",IFERROR(IF(INDEX(Roster!$C:$C,MATCH($C292,Roster!$B:$B,0))="","",INDEX(Roster!$C:$C,MATCH($C292,Roster!$B:$B,0))&amp;""),"—"))</f>
        <v/>
      </c>
      <c r="F292" s="25">
        <f>IF($C292="","",IFERROR(IF(INDEX(Roster!$D:$D,MATCH($C292,Roster!$B:$B,0))="","",INDEX(Roster!$D:$D,MATCH($C292,Roster!$B:$B,0))&amp;""),"—"))</f>
        <v/>
      </c>
      <c r="G292" s="25">
        <f>IF($C292="","",IFERROR(IF(INDEX(Roster!$E:$E,MATCH($C292,Roster!$B:$B,0))="","",INDEX(Roster!$E:$E,MATCH($C292,Roster!$B:$B,0))&amp;""),"—"))</f>
        <v/>
      </c>
      <c r="H292" s="25">
        <f>IF($C292="","",IFERROR(IF(INDEX(Roster!$F:$F,MATCH($C292,Roster!$B:$B,0))="","",INDEX(Roster!$F:$F,MATCH($C292,Roster!$B:$B,0))&amp;""),"—"))</f>
        <v/>
      </c>
      <c r="I292" s="25">
        <f>IF($C292="","",IFERROR(IF(INDEX(Roster!$G:$G,MATCH($C292,Roster!$B:$B,0))="","",INDEX(Roster!$G:$G,MATCH($C292,Roster!$B:$B,0))&amp;""),"—"))</f>
        <v/>
      </c>
      <c r="J292" s="25">
        <f>IF($C292="","",IFERROR(IF(INDEX(Roster!$I:$I,MATCH($C292,Roster!$B:$B,0))="","",INDEX(Roster!$I:$I,MATCH($C292,Roster!$B:$B,0))&amp;""),"—"))</f>
        <v/>
      </c>
      <c r="K292">
        <f>IF($C292="","",IFERROR(IF(INDEX(Roster!$J:$J,MATCH($C292,Roster!$B:$B,0))="","",INDEX(Roster!$J:$J,MATCH($C292,Roster!$B:$B,0))&amp;""),"—"))</f>
        <v/>
      </c>
      <c r="L292">
        <f>IF($C292="","",IFERROR(IF(INDEX(Roster!$K:$K,MATCH($C292,Roster!$B:$B,0))="","",INDEX(Roster!$K:$K,MATCH($C292,Roster!$B:$B,0))&amp;""),"—"))</f>
        <v/>
      </c>
      <c r="M292" s="27" t="n"/>
      <c r="N292" s="27" t="n"/>
      <c r="O292" s="25">
        <f>IF($C292="","",IF($P292="","—",IF($P292="Valid (Pass)","Valid","Invalid")))</f>
        <v/>
      </c>
      <c r="P292" s="27" t="n"/>
      <c r="Q292" s="27" t="n"/>
      <c r="R292" s="27" t="n"/>
      <c r="S292" s="27" t="n"/>
      <c r="T292" s="25">
        <f>IF($C292="","",IF(OR(ISNUMBER(SEARCH("quick case",$P292)),ISNUMBER(SEARCH("quick case",$Q292))),"Yes","No"))</f>
        <v/>
      </c>
      <c r="U292" s="25">
        <f>IF($O292="Invalid",HYPERLINK("mailto:"&amp;$G292&amp;";"&amp;$I292&amp;"?cc="&amp;Lists!$E$2&amp;"&amp;subject="&amp;_xlfn.ENCODEURL("[INVALID] Quality audit monitoring completed for "&amp;UPPER($C292))&amp;"&amp;body="&amp;_xlfn.ENCODEURL("Hi "&amp;$F292&amp;","&amp;CHAR(10)&amp;"Good day!"&amp;CHAR(10)&amp;CHAR(10)&amp;"A quality monitoring audit has been completed for "&amp;$C292&amp;"."&amp;CHAR(10)&amp;CHAR(10)&amp;"QUALITY AUDIT DETAILS"&amp;CHAR(10)&amp;"Agent Name: "&amp;$C292&amp;" (EID "&amp;$D292&amp;")"&amp;CHAR(10)&amp;"Audit Date: "&amp;TEXT($B292,"yyyy-mm-dd")&amp;CHAR(10)&amp;"Team Leader: "&amp;$F292&amp;CHAR(10)&amp;"Case Number: "&amp;$M292&amp;CHAR(10)&amp;"Transaction ID: "&amp;$N292&amp;CHAR(10)&amp;"Channel / LOB: "&amp;$K292&amp;" / "&amp;$L292&amp;CHAR(10)&amp;"Evaluator: "&amp;$S292&amp;CHAR(10)&amp;CHAR(10)&amp;"INVALID QUALITY AUDIT DETAILS"&amp;CHAR(10)&amp;"Validation: Invalid"&amp;CHAR(10)&amp;"Invalid Reason: "&amp;$P292&amp;CHAR(10)&amp;"Expected Resolution Code: "&amp;$Q292&amp;CHAR(10)&amp;"Remarks: "&amp;LEFT($R292,600)&amp;CHAR(10)&amp;CHAR(10)&amp;"This is an automated notification from HP Mainstream EQMS."),"✉ Open Email Draft"),"")</f>
        <v/>
      </c>
    </row>
    <row r="293">
      <c r="A293" s="25">
        <f>IF($C293="","","AUD-2026-"&amp;TEXT(ROW()-1,"000000"))</f>
        <v/>
      </c>
      <c r="B293" s="26" t="n"/>
      <c r="C293" s="27" t="n"/>
      <c r="D293" s="25">
        <f>IF($C293="","",IFERROR(IF(INDEX(Roster!$A:$A,MATCH($C293,Roster!$B:$B,0))="","",INDEX(Roster!$A:$A,MATCH($C293,Roster!$B:$B,0))&amp;""),"—"))</f>
        <v/>
      </c>
      <c r="E293" s="25">
        <f>IF($C293="","",IFERROR(IF(INDEX(Roster!$C:$C,MATCH($C293,Roster!$B:$B,0))="","",INDEX(Roster!$C:$C,MATCH($C293,Roster!$B:$B,0))&amp;""),"—"))</f>
        <v/>
      </c>
      <c r="F293" s="25">
        <f>IF($C293="","",IFERROR(IF(INDEX(Roster!$D:$D,MATCH($C293,Roster!$B:$B,0))="","",INDEX(Roster!$D:$D,MATCH($C293,Roster!$B:$B,0))&amp;""),"—"))</f>
        <v/>
      </c>
      <c r="G293" s="25">
        <f>IF($C293="","",IFERROR(IF(INDEX(Roster!$E:$E,MATCH($C293,Roster!$B:$B,0))="","",INDEX(Roster!$E:$E,MATCH($C293,Roster!$B:$B,0))&amp;""),"—"))</f>
        <v/>
      </c>
      <c r="H293" s="25">
        <f>IF($C293="","",IFERROR(IF(INDEX(Roster!$F:$F,MATCH($C293,Roster!$B:$B,0))="","",INDEX(Roster!$F:$F,MATCH($C293,Roster!$B:$B,0))&amp;""),"—"))</f>
        <v/>
      </c>
      <c r="I293" s="25">
        <f>IF($C293="","",IFERROR(IF(INDEX(Roster!$G:$G,MATCH($C293,Roster!$B:$B,0))="","",INDEX(Roster!$G:$G,MATCH($C293,Roster!$B:$B,0))&amp;""),"—"))</f>
        <v/>
      </c>
      <c r="J293" s="25">
        <f>IF($C293="","",IFERROR(IF(INDEX(Roster!$I:$I,MATCH($C293,Roster!$B:$B,0))="","",INDEX(Roster!$I:$I,MATCH($C293,Roster!$B:$B,0))&amp;""),"—"))</f>
        <v/>
      </c>
      <c r="K293">
        <f>IF($C293="","",IFERROR(IF(INDEX(Roster!$J:$J,MATCH($C293,Roster!$B:$B,0))="","",INDEX(Roster!$J:$J,MATCH($C293,Roster!$B:$B,0))&amp;""),"—"))</f>
        <v/>
      </c>
      <c r="L293">
        <f>IF($C293="","",IFERROR(IF(INDEX(Roster!$K:$K,MATCH($C293,Roster!$B:$B,0))="","",INDEX(Roster!$K:$K,MATCH($C293,Roster!$B:$B,0))&amp;""),"—"))</f>
        <v/>
      </c>
      <c r="M293" s="27" t="n"/>
      <c r="N293" s="27" t="n"/>
      <c r="O293" s="25">
        <f>IF($C293="","",IF($P293="","—",IF($P293="Valid (Pass)","Valid","Invalid")))</f>
        <v/>
      </c>
      <c r="P293" s="27" t="n"/>
      <c r="Q293" s="27" t="n"/>
      <c r="R293" s="27" t="n"/>
      <c r="S293" s="27" t="n"/>
      <c r="T293" s="25">
        <f>IF($C293="","",IF(OR(ISNUMBER(SEARCH("quick case",$P293)),ISNUMBER(SEARCH("quick case",$Q293))),"Yes","No"))</f>
        <v/>
      </c>
      <c r="U293" s="25">
        <f>IF($O293="Invalid",HYPERLINK("mailto:"&amp;$G293&amp;";"&amp;$I293&amp;"?cc="&amp;Lists!$E$2&amp;"&amp;subject="&amp;_xlfn.ENCODEURL("[INVALID] Quality audit monitoring completed for "&amp;UPPER($C293))&amp;"&amp;body="&amp;_xlfn.ENCODEURL("Hi "&amp;$F293&amp;","&amp;CHAR(10)&amp;"Good day!"&amp;CHAR(10)&amp;CHAR(10)&amp;"A quality monitoring audit has been completed for "&amp;$C293&amp;"."&amp;CHAR(10)&amp;CHAR(10)&amp;"QUALITY AUDIT DETAILS"&amp;CHAR(10)&amp;"Agent Name: "&amp;$C293&amp;" (EID "&amp;$D293&amp;")"&amp;CHAR(10)&amp;"Audit Date: "&amp;TEXT($B293,"yyyy-mm-dd")&amp;CHAR(10)&amp;"Team Leader: "&amp;$F293&amp;CHAR(10)&amp;"Case Number: "&amp;$M293&amp;CHAR(10)&amp;"Transaction ID: "&amp;$N293&amp;CHAR(10)&amp;"Channel / LOB: "&amp;$K293&amp;" / "&amp;$L293&amp;CHAR(10)&amp;"Evaluator: "&amp;$S293&amp;CHAR(10)&amp;CHAR(10)&amp;"INVALID QUALITY AUDIT DETAILS"&amp;CHAR(10)&amp;"Validation: Invalid"&amp;CHAR(10)&amp;"Invalid Reason: "&amp;$P293&amp;CHAR(10)&amp;"Expected Resolution Code: "&amp;$Q293&amp;CHAR(10)&amp;"Remarks: "&amp;LEFT($R293,600)&amp;CHAR(10)&amp;CHAR(10)&amp;"This is an automated notification from HP Mainstream EQMS."),"✉ Open Email Draft"),"")</f>
        <v/>
      </c>
    </row>
    <row r="294">
      <c r="A294" s="25">
        <f>IF($C294="","","AUD-2026-"&amp;TEXT(ROW()-1,"000000"))</f>
        <v/>
      </c>
      <c r="B294" s="26" t="n"/>
      <c r="C294" s="27" t="n"/>
      <c r="D294" s="25">
        <f>IF($C294="","",IFERROR(IF(INDEX(Roster!$A:$A,MATCH($C294,Roster!$B:$B,0))="","",INDEX(Roster!$A:$A,MATCH($C294,Roster!$B:$B,0))&amp;""),"—"))</f>
        <v/>
      </c>
      <c r="E294" s="25">
        <f>IF($C294="","",IFERROR(IF(INDEX(Roster!$C:$C,MATCH($C294,Roster!$B:$B,0))="","",INDEX(Roster!$C:$C,MATCH($C294,Roster!$B:$B,0))&amp;""),"—"))</f>
        <v/>
      </c>
      <c r="F294" s="25">
        <f>IF($C294="","",IFERROR(IF(INDEX(Roster!$D:$D,MATCH($C294,Roster!$B:$B,0))="","",INDEX(Roster!$D:$D,MATCH($C294,Roster!$B:$B,0))&amp;""),"—"))</f>
        <v/>
      </c>
      <c r="G294" s="25">
        <f>IF($C294="","",IFERROR(IF(INDEX(Roster!$E:$E,MATCH($C294,Roster!$B:$B,0))="","",INDEX(Roster!$E:$E,MATCH($C294,Roster!$B:$B,0))&amp;""),"—"))</f>
        <v/>
      </c>
      <c r="H294" s="25">
        <f>IF($C294="","",IFERROR(IF(INDEX(Roster!$F:$F,MATCH($C294,Roster!$B:$B,0))="","",INDEX(Roster!$F:$F,MATCH($C294,Roster!$B:$B,0))&amp;""),"—"))</f>
        <v/>
      </c>
      <c r="I294" s="25">
        <f>IF($C294="","",IFERROR(IF(INDEX(Roster!$G:$G,MATCH($C294,Roster!$B:$B,0))="","",INDEX(Roster!$G:$G,MATCH($C294,Roster!$B:$B,0))&amp;""),"—"))</f>
        <v/>
      </c>
      <c r="J294" s="25">
        <f>IF($C294="","",IFERROR(IF(INDEX(Roster!$I:$I,MATCH($C294,Roster!$B:$B,0))="","",INDEX(Roster!$I:$I,MATCH($C294,Roster!$B:$B,0))&amp;""),"—"))</f>
        <v/>
      </c>
      <c r="K294">
        <f>IF($C294="","",IFERROR(IF(INDEX(Roster!$J:$J,MATCH($C294,Roster!$B:$B,0))="","",INDEX(Roster!$J:$J,MATCH($C294,Roster!$B:$B,0))&amp;""),"—"))</f>
        <v/>
      </c>
      <c r="L294">
        <f>IF($C294="","",IFERROR(IF(INDEX(Roster!$K:$K,MATCH($C294,Roster!$B:$B,0))="","",INDEX(Roster!$K:$K,MATCH($C294,Roster!$B:$B,0))&amp;""),"—"))</f>
        <v/>
      </c>
      <c r="M294" s="27" t="n"/>
      <c r="N294" s="27" t="n"/>
      <c r="O294" s="25">
        <f>IF($C294="","",IF($P294="","—",IF($P294="Valid (Pass)","Valid","Invalid")))</f>
        <v/>
      </c>
      <c r="P294" s="27" t="n"/>
      <c r="Q294" s="27" t="n"/>
      <c r="R294" s="27" t="n"/>
      <c r="S294" s="27" t="n"/>
      <c r="T294" s="25">
        <f>IF($C294="","",IF(OR(ISNUMBER(SEARCH("quick case",$P294)),ISNUMBER(SEARCH("quick case",$Q294))),"Yes","No"))</f>
        <v/>
      </c>
      <c r="U294" s="25">
        <f>IF($O294="Invalid",HYPERLINK("mailto:"&amp;$G294&amp;";"&amp;$I294&amp;"?cc="&amp;Lists!$E$2&amp;"&amp;subject="&amp;_xlfn.ENCODEURL("[INVALID] Quality audit monitoring completed for "&amp;UPPER($C294))&amp;"&amp;body="&amp;_xlfn.ENCODEURL("Hi "&amp;$F294&amp;","&amp;CHAR(10)&amp;"Good day!"&amp;CHAR(10)&amp;CHAR(10)&amp;"A quality monitoring audit has been completed for "&amp;$C294&amp;"."&amp;CHAR(10)&amp;CHAR(10)&amp;"QUALITY AUDIT DETAILS"&amp;CHAR(10)&amp;"Agent Name: "&amp;$C294&amp;" (EID "&amp;$D294&amp;")"&amp;CHAR(10)&amp;"Audit Date: "&amp;TEXT($B294,"yyyy-mm-dd")&amp;CHAR(10)&amp;"Team Leader: "&amp;$F294&amp;CHAR(10)&amp;"Case Number: "&amp;$M294&amp;CHAR(10)&amp;"Transaction ID: "&amp;$N294&amp;CHAR(10)&amp;"Channel / LOB: "&amp;$K294&amp;" / "&amp;$L294&amp;CHAR(10)&amp;"Evaluator: "&amp;$S294&amp;CHAR(10)&amp;CHAR(10)&amp;"INVALID QUALITY AUDIT DETAILS"&amp;CHAR(10)&amp;"Validation: Invalid"&amp;CHAR(10)&amp;"Invalid Reason: "&amp;$P294&amp;CHAR(10)&amp;"Expected Resolution Code: "&amp;$Q294&amp;CHAR(10)&amp;"Remarks: "&amp;LEFT($R294,600)&amp;CHAR(10)&amp;CHAR(10)&amp;"This is an automated notification from HP Mainstream EQMS."),"✉ Open Email Draft"),"")</f>
        <v/>
      </c>
    </row>
    <row r="295">
      <c r="A295" s="25">
        <f>IF($C295="","","AUD-2026-"&amp;TEXT(ROW()-1,"000000"))</f>
        <v/>
      </c>
      <c r="B295" s="26" t="n"/>
      <c r="C295" s="27" t="n"/>
      <c r="D295" s="25">
        <f>IF($C295="","",IFERROR(IF(INDEX(Roster!$A:$A,MATCH($C295,Roster!$B:$B,0))="","",INDEX(Roster!$A:$A,MATCH($C295,Roster!$B:$B,0))&amp;""),"—"))</f>
        <v/>
      </c>
      <c r="E295" s="25">
        <f>IF($C295="","",IFERROR(IF(INDEX(Roster!$C:$C,MATCH($C295,Roster!$B:$B,0))="","",INDEX(Roster!$C:$C,MATCH($C295,Roster!$B:$B,0))&amp;""),"—"))</f>
        <v/>
      </c>
      <c r="F295" s="25">
        <f>IF($C295="","",IFERROR(IF(INDEX(Roster!$D:$D,MATCH($C295,Roster!$B:$B,0))="","",INDEX(Roster!$D:$D,MATCH($C295,Roster!$B:$B,0))&amp;""),"—"))</f>
        <v/>
      </c>
      <c r="G295" s="25">
        <f>IF($C295="","",IFERROR(IF(INDEX(Roster!$E:$E,MATCH($C295,Roster!$B:$B,0))="","",INDEX(Roster!$E:$E,MATCH($C295,Roster!$B:$B,0))&amp;""),"—"))</f>
        <v/>
      </c>
      <c r="H295" s="25">
        <f>IF($C295="","",IFERROR(IF(INDEX(Roster!$F:$F,MATCH($C295,Roster!$B:$B,0))="","",INDEX(Roster!$F:$F,MATCH($C295,Roster!$B:$B,0))&amp;""),"—"))</f>
        <v/>
      </c>
      <c r="I295" s="25">
        <f>IF($C295="","",IFERROR(IF(INDEX(Roster!$G:$G,MATCH($C295,Roster!$B:$B,0))="","",INDEX(Roster!$G:$G,MATCH($C295,Roster!$B:$B,0))&amp;""),"—"))</f>
        <v/>
      </c>
      <c r="J295" s="25">
        <f>IF($C295="","",IFERROR(IF(INDEX(Roster!$I:$I,MATCH($C295,Roster!$B:$B,0))="","",INDEX(Roster!$I:$I,MATCH($C295,Roster!$B:$B,0))&amp;""),"—"))</f>
        <v/>
      </c>
      <c r="K295">
        <f>IF($C295="","",IFERROR(IF(INDEX(Roster!$J:$J,MATCH($C295,Roster!$B:$B,0))="","",INDEX(Roster!$J:$J,MATCH($C295,Roster!$B:$B,0))&amp;""),"—"))</f>
        <v/>
      </c>
      <c r="L295">
        <f>IF($C295="","",IFERROR(IF(INDEX(Roster!$K:$K,MATCH($C295,Roster!$B:$B,0))="","",INDEX(Roster!$K:$K,MATCH($C295,Roster!$B:$B,0))&amp;""),"—"))</f>
        <v/>
      </c>
      <c r="M295" s="27" t="n"/>
      <c r="N295" s="27" t="n"/>
      <c r="O295" s="25">
        <f>IF($C295="","",IF($P295="","—",IF($P295="Valid (Pass)","Valid","Invalid")))</f>
        <v/>
      </c>
      <c r="P295" s="27" t="n"/>
      <c r="Q295" s="27" t="n"/>
      <c r="R295" s="27" t="n"/>
      <c r="S295" s="27" t="n"/>
      <c r="T295" s="25">
        <f>IF($C295="","",IF(OR(ISNUMBER(SEARCH("quick case",$P295)),ISNUMBER(SEARCH("quick case",$Q295))),"Yes","No"))</f>
        <v/>
      </c>
      <c r="U295" s="25">
        <f>IF($O295="Invalid",HYPERLINK("mailto:"&amp;$G295&amp;";"&amp;$I295&amp;"?cc="&amp;Lists!$E$2&amp;"&amp;subject="&amp;_xlfn.ENCODEURL("[INVALID] Quality audit monitoring completed for "&amp;UPPER($C295))&amp;"&amp;body="&amp;_xlfn.ENCODEURL("Hi "&amp;$F295&amp;","&amp;CHAR(10)&amp;"Good day!"&amp;CHAR(10)&amp;CHAR(10)&amp;"A quality monitoring audit has been completed for "&amp;$C295&amp;"."&amp;CHAR(10)&amp;CHAR(10)&amp;"QUALITY AUDIT DETAILS"&amp;CHAR(10)&amp;"Agent Name: "&amp;$C295&amp;" (EID "&amp;$D295&amp;")"&amp;CHAR(10)&amp;"Audit Date: "&amp;TEXT($B295,"yyyy-mm-dd")&amp;CHAR(10)&amp;"Team Leader: "&amp;$F295&amp;CHAR(10)&amp;"Case Number: "&amp;$M295&amp;CHAR(10)&amp;"Transaction ID: "&amp;$N295&amp;CHAR(10)&amp;"Channel / LOB: "&amp;$K295&amp;" / "&amp;$L295&amp;CHAR(10)&amp;"Evaluator: "&amp;$S295&amp;CHAR(10)&amp;CHAR(10)&amp;"INVALID QUALITY AUDIT DETAILS"&amp;CHAR(10)&amp;"Validation: Invalid"&amp;CHAR(10)&amp;"Invalid Reason: "&amp;$P295&amp;CHAR(10)&amp;"Expected Resolution Code: "&amp;$Q295&amp;CHAR(10)&amp;"Remarks: "&amp;LEFT($R295,600)&amp;CHAR(10)&amp;CHAR(10)&amp;"This is an automated notification from HP Mainstream EQMS."),"✉ Open Email Draft"),"")</f>
        <v/>
      </c>
    </row>
    <row r="296">
      <c r="A296" s="25">
        <f>IF($C296="","","AUD-2026-"&amp;TEXT(ROW()-1,"000000"))</f>
        <v/>
      </c>
      <c r="B296" s="26" t="n"/>
      <c r="C296" s="27" t="n"/>
      <c r="D296" s="25">
        <f>IF($C296="","",IFERROR(IF(INDEX(Roster!$A:$A,MATCH($C296,Roster!$B:$B,0))="","",INDEX(Roster!$A:$A,MATCH($C296,Roster!$B:$B,0))&amp;""),"—"))</f>
        <v/>
      </c>
      <c r="E296" s="25">
        <f>IF($C296="","",IFERROR(IF(INDEX(Roster!$C:$C,MATCH($C296,Roster!$B:$B,0))="","",INDEX(Roster!$C:$C,MATCH($C296,Roster!$B:$B,0))&amp;""),"—"))</f>
        <v/>
      </c>
      <c r="F296" s="25">
        <f>IF($C296="","",IFERROR(IF(INDEX(Roster!$D:$D,MATCH($C296,Roster!$B:$B,0))="","",INDEX(Roster!$D:$D,MATCH($C296,Roster!$B:$B,0))&amp;""),"—"))</f>
        <v/>
      </c>
      <c r="G296" s="25">
        <f>IF($C296="","",IFERROR(IF(INDEX(Roster!$E:$E,MATCH($C296,Roster!$B:$B,0))="","",INDEX(Roster!$E:$E,MATCH($C296,Roster!$B:$B,0))&amp;""),"—"))</f>
        <v/>
      </c>
      <c r="H296" s="25">
        <f>IF($C296="","",IFERROR(IF(INDEX(Roster!$F:$F,MATCH($C296,Roster!$B:$B,0))="","",INDEX(Roster!$F:$F,MATCH($C296,Roster!$B:$B,0))&amp;""),"—"))</f>
        <v/>
      </c>
      <c r="I296" s="25">
        <f>IF($C296="","",IFERROR(IF(INDEX(Roster!$G:$G,MATCH($C296,Roster!$B:$B,0))="","",INDEX(Roster!$G:$G,MATCH($C296,Roster!$B:$B,0))&amp;""),"—"))</f>
        <v/>
      </c>
      <c r="J296" s="25">
        <f>IF($C296="","",IFERROR(IF(INDEX(Roster!$I:$I,MATCH($C296,Roster!$B:$B,0))="","",INDEX(Roster!$I:$I,MATCH($C296,Roster!$B:$B,0))&amp;""),"—"))</f>
        <v/>
      </c>
      <c r="K296">
        <f>IF($C296="","",IFERROR(IF(INDEX(Roster!$J:$J,MATCH($C296,Roster!$B:$B,0))="","",INDEX(Roster!$J:$J,MATCH($C296,Roster!$B:$B,0))&amp;""),"—"))</f>
        <v/>
      </c>
      <c r="L296">
        <f>IF($C296="","",IFERROR(IF(INDEX(Roster!$K:$K,MATCH($C296,Roster!$B:$B,0))="","",INDEX(Roster!$K:$K,MATCH($C296,Roster!$B:$B,0))&amp;""),"—"))</f>
        <v/>
      </c>
      <c r="M296" s="27" t="n"/>
      <c r="N296" s="27" t="n"/>
      <c r="O296" s="25">
        <f>IF($C296="","",IF($P296="","—",IF($P296="Valid (Pass)","Valid","Invalid")))</f>
        <v/>
      </c>
      <c r="P296" s="27" t="n"/>
      <c r="Q296" s="27" t="n"/>
      <c r="R296" s="27" t="n"/>
      <c r="S296" s="27" t="n"/>
      <c r="T296" s="25">
        <f>IF($C296="","",IF(OR(ISNUMBER(SEARCH("quick case",$P296)),ISNUMBER(SEARCH("quick case",$Q296))),"Yes","No"))</f>
        <v/>
      </c>
      <c r="U296" s="25">
        <f>IF($O296="Invalid",HYPERLINK("mailto:"&amp;$G296&amp;";"&amp;$I296&amp;"?cc="&amp;Lists!$E$2&amp;"&amp;subject="&amp;_xlfn.ENCODEURL("[INVALID] Quality audit monitoring completed for "&amp;UPPER($C296))&amp;"&amp;body="&amp;_xlfn.ENCODEURL("Hi "&amp;$F296&amp;","&amp;CHAR(10)&amp;"Good day!"&amp;CHAR(10)&amp;CHAR(10)&amp;"A quality monitoring audit has been completed for "&amp;$C296&amp;"."&amp;CHAR(10)&amp;CHAR(10)&amp;"QUALITY AUDIT DETAILS"&amp;CHAR(10)&amp;"Agent Name: "&amp;$C296&amp;" (EID "&amp;$D296&amp;")"&amp;CHAR(10)&amp;"Audit Date: "&amp;TEXT($B296,"yyyy-mm-dd")&amp;CHAR(10)&amp;"Team Leader: "&amp;$F296&amp;CHAR(10)&amp;"Case Number: "&amp;$M296&amp;CHAR(10)&amp;"Transaction ID: "&amp;$N296&amp;CHAR(10)&amp;"Channel / LOB: "&amp;$K296&amp;" / "&amp;$L296&amp;CHAR(10)&amp;"Evaluator: "&amp;$S296&amp;CHAR(10)&amp;CHAR(10)&amp;"INVALID QUALITY AUDIT DETAILS"&amp;CHAR(10)&amp;"Validation: Invalid"&amp;CHAR(10)&amp;"Invalid Reason: "&amp;$P296&amp;CHAR(10)&amp;"Expected Resolution Code: "&amp;$Q296&amp;CHAR(10)&amp;"Remarks: "&amp;LEFT($R296,600)&amp;CHAR(10)&amp;CHAR(10)&amp;"This is an automated notification from HP Mainstream EQMS."),"✉ Open Email Draft"),"")</f>
        <v/>
      </c>
    </row>
    <row r="297">
      <c r="A297" s="25">
        <f>IF($C297="","","AUD-2026-"&amp;TEXT(ROW()-1,"000000"))</f>
        <v/>
      </c>
      <c r="B297" s="26" t="n"/>
      <c r="C297" s="27" t="n"/>
      <c r="D297" s="25">
        <f>IF($C297="","",IFERROR(IF(INDEX(Roster!$A:$A,MATCH($C297,Roster!$B:$B,0))="","",INDEX(Roster!$A:$A,MATCH($C297,Roster!$B:$B,0))&amp;""),"—"))</f>
        <v/>
      </c>
      <c r="E297" s="25">
        <f>IF($C297="","",IFERROR(IF(INDEX(Roster!$C:$C,MATCH($C297,Roster!$B:$B,0))="","",INDEX(Roster!$C:$C,MATCH($C297,Roster!$B:$B,0))&amp;""),"—"))</f>
        <v/>
      </c>
      <c r="F297" s="25">
        <f>IF($C297="","",IFERROR(IF(INDEX(Roster!$D:$D,MATCH($C297,Roster!$B:$B,0))="","",INDEX(Roster!$D:$D,MATCH($C297,Roster!$B:$B,0))&amp;""),"—"))</f>
        <v/>
      </c>
      <c r="G297" s="25">
        <f>IF($C297="","",IFERROR(IF(INDEX(Roster!$E:$E,MATCH($C297,Roster!$B:$B,0))="","",INDEX(Roster!$E:$E,MATCH($C297,Roster!$B:$B,0))&amp;""),"—"))</f>
        <v/>
      </c>
      <c r="H297" s="25">
        <f>IF($C297="","",IFERROR(IF(INDEX(Roster!$F:$F,MATCH($C297,Roster!$B:$B,0))="","",INDEX(Roster!$F:$F,MATCH($C297,Roster!$B:$B,0))&amp;""),"—"))</f>
        <v/>
      </c>
      <c r="I297" s="25">
        <f>IF($C297="","",IFERROR(IF(INDEX(Roster!$G:$G,MATCH($C297,Roster!$B:$B,0))="","",INDEX(Roster!$G:$G,MATCH($C297,Roster!$B:$B,0))&amp;""),"—"))</f>
        <v/>
      </c>
      <c r="J297" s="25">
        <f>IF($C297="","",IFERROR(IF(INDEX(Roster!$I:$I,MATCH($C297,Roster!$B:$B,0))="","",INDEX(Roster!$I:$I,MATCH($C297,Roster!$B:$B,0))&amp;""),"—"))</f>
        <v/>
      </c>
      <c r="K297">
        <f>IF($C297="","",IFERROR(IF(INDEX(Roster!$J:$J,MATCH($C297,Roster!$B:$B,0))="","",INDEX(Roster!$J:$J,MATCH($C297,Roster!$B:$B,0))&amp;""),"—"))</f>
        <v/>
      </c>
      <c r="L297">
        <f>IF($C297="","",IFERROR(IF(INDEX(Roster!$K:$K,MATCH($C297,Roster!$B:$B,0))="","",INDEX(Roster!$K:$K,MATCH($C297,Roster!$B:$B,0))&amp;""),"—"))</f>
        <v/>
      </c>
      <c r="M297" s="27" t="n"/>
      <c r="N297" s="27" t="n"/>
      <c r="O297" s="25">
        <f>IF($C297="","",IF($P297="","—",IF($P297="Valid (Pass)","Valid","Invalid")))</f>
        <v/>
      </c>
      <c r="P297" s="27" t="n"/>
      <c r="Q297" s="27" t="n"/>
      <c r="R297" s="27" t="n"/>
      <c r="S297" s="27" t="n"/>
      <c r="T297" s="25">
        <f>IF($C297="","",IF(OR(ISNUMBER(SEARCH("quick case",$P297)),ISNUMBER(SEARCH("quick case",$Q297))),"Yes","No"))</f>
        <v/>
      </c>
      <c r="U297" s="25">
        <f>IF($O297="Invalid",HYPERLINK("mailto:"&amp;$G297&amp;";"&amp;$I297&amp;"?cc="&amp;Lists!$E$2&amp;"&amp;subject="&amp;_xlfn.ENCODEURL("[INVALID] Quality audit monitoring completed for "&amp;UPPER($C297))&amp;"&amp;body="&amp;_xlfn.ENCODEURL("Hi "&amp;$F297&amp;","&amp;CHAR(10)&amp;"Good day!"&amp;CHAR(10)&amp;CHAR(10)&amp;"A quality monitoring audit has been completed for "&amp;$C297&amp;"."&amp;CHAR(10)&amp;CHAR(10)&amp;"QUALITY AUDIT DETAILS"&amp;CHAR(10)&amp;"Agent Name: "&amp;$C297&amp;" (EID "&amp;$D297&amp;")"&amp;CHAR(10)&amp;"Audit Date: "&amp;TEXT($B297,"yyyy-mm-dd")&amp;CHAR(10)&amp;"Team Leader: "&amp;$F297&amp;CHAR(10)&amp;"Case Number: "&amp;$M297&amp;CHAR(10)&amp;"Transaction ID: "&amp;$N297&amp;CHAR(10)&amp;"Channel / LOB: "&amp;$K297&amp;" / "&amp;$L297&amp;CHAR(10)&amp;"Evaluator: "&amp;$S297&amp;CHAR(10)&amp;CHAR(10)&amp;"INVALID QUALITY AUDIT DETAILS"&amp;CHAR(10)&amp;"Validation: Invalid"&amp;CHAR(10)&amp;"Invalid Reason: "&amp;$P297&amp;CHAR(10)&amp;"Expected Resolution Code: "&amp;$Q297&amp;CHAR(10)&amp;"Remarks: "&amp;LEFT($R297,600)&amp;CHAR(10)&amp;CHAR(10)&amp;"This is an automated notification from HP Mainstream EQMS."),"✉ Open Email Draft"),"")</f>
        <v/>
      </c>
    </row>
    <row r="298">
      <c r="A298" s="25">
        <f>IF($C298="","","AUD-2026-"&amp;TEXT(ROW()-1,"000000"))</f>
        <v/>
      </c>
      <c r="B298" s="26" t="n"/>
      <c r="C298" s="27" t="n"/>
      <c r="D298" s="25">
        <f>IF($C298="","",IFERROR(IF(INDEX(Roster!$A:$A,MATCH($C298,Roster!$B:$B,0))="","",INDEX(Roster!$A:$A,MATCH($C298,Roster!$B:$B,0))&amp;""),"—"))</f>
        <v/>
      </c>
      <c r="E298" s="25">
        <f>IF($C298="","",IFERROR(IF(INDEX(Roster!$C:$C,MATCH($C298,Roster!$B:$B,0))="","",INDEX(Roster!$C:$C,MATCH($C298,Roster!$B:$B,0))&amp;""),"—"))</f>
        <v/>
      </c>
      <c r="F298" s="25">
        <f>IF($C298="","",IFERROR(IF(INDEX(Roster!$D:$D,MATCH($C298,Roster!$B:$B,0))="","",INDEX(Roster!$D:$D,MATCH($C298,Roster!$B:$B,0))&amp;""),"—"))</f>
        <v/>
      </c>
      <c r="G298" s="25">
        <f>IF($C298="","",IFERROR(IF(INDEX(Roster!$E:$E,MATCH($C298,Roster!$B:$B,0))="","",INDEX(Roster!$E:$E,MATCH($C298,Roster!$B:$B,0))&amp;""),"—"))</f>
        <v/>
      </c>
      <c r="H298" s="25">
        <f>IF($C298="","",IFERROR(IF(INDEX(Roster!$F:$F,MATCH($C298,Roster!$B:$B,0))="","",INDEX(Roster!$F:$F,MATCH($C298,Roster!$B:$B,0))&amp;""),"—"))</f>
        <v/>
      </c>
      <c r="I298" s="25">
        <f>IF($C298="","",IFERROR(IF(INDEX(Roster!$G:$G,MATCH($C298,Roster!$B:$B,0))="","",INDEX(Roster!$G:$G,MATCH($C298,Roster!$B:$B,0))&amp;""),"—"))</f>
        <v/>
      </c>
      <c r="J298" s="25">
        <f>IF($C298="","",IFERROR(IF(INDEX(Roster!$I:$I,MATCH($C298,Roster!$B:$B,0))="","",INDEX(Roster!$I:$I,MATCH($C298,Roster!$B:$B,0))&amp;""),"—"))</f>
        <v/>
      </c>
      <c r="K298">
        <f>IF($C298="","",IFERROR(IF(INDEX(Roster!$J:$J,MATCH($C298,Roster!$B:$B,0))="","",INDEX(Roster!$J:$J,MATCH($C298,Roster!$B:$B,0))&amp;""),"—"))</f>
        <v/>
      </c>
      <c r="L298">
        <f>IF($C298="","",IFERROR(IF(INDEX(Roster!$K:$K,MATCH($C298,Roster!$B:$B,0))="","",INDEX(Roster!$K:$K,MATCH($C298,Roster!$B:$B,0))&amp;""),"—"))</f>
        <v/>
      </c>
      <c r="M298" s="27" t="n"/>
      <c r="N298" s="27" t="n"/>
      <c r="O298" s="25">
        <f>IF($C298="","",IF($P298="","—",IF($P298="Valid (Pass)","Valid","Invalid")))</f>
        <v/>
      </c>
      <c r="P298" s="27" t="n"/>
      <c r="Q298" s="27" t="n"/>
      <c r="R298" s="27" t="n"/>
      <c r="S298" s="27" t="n"/>
      <c r="T298" s="25">
        <f>IF($C298="","",IF(OR(ISNUMBER(SEARCH("quick case",$P298)),ISNUMBER(SEARCH("quick case",$Q298))),"Yes","No"))</f>
        <v/>
      </c>
      <c r="U298" s="25">
        <f>IF($O298="Invalid",HYPERLINK("mailto:"&amp;$G298&amp;";"&amp;$I298&amp;"?cc="&amp;Lists!$E$2&amp;"&amp;subject="&amp;_xlfn.ENCODEURL("[INVALID] Quality audit monitoring completed for "&amp;UPPER($C298))&amp;"&amp;body="&amp;_xlfn.ENCODEURL("Hi "&amp;$F298&amp;","&amp;CHAR(10)&amp;"Good day!"&amp;CHAR(10)&amp;CHAR(10)&amp;"A quality monitoring audit has been completed for "&amp;$C298&amp;"."&amp;CHAR(10)&amp;CHAR(10)&amp;"QUALITY AUDIT DETAILS"&amp;CHAR(10)&amp;"Agent Name: "&amp;$C298&amp;" (EID "&amp;$D298&amp;")"&amp;CHAR(10)&amp;"Audit Date: "&amp;TEXT($B298,"yyyy-mm-dd")&amp;CHAR(10)&amp;"Team Leader: "&amp;$F298&amp;CHAR(10)&amp;"Case Number: "&amp;$M298&amp;CHAR(10)&amp;"Transaction ID: "&amp;$N298&amp;CHAR(10)&amp;"Channel / LOB: "&amp;$K298&amp;" / "&amp;$L298&amp;CHAR(10)&amp;"Evaluator: "&amp;$S298&amp;CHAR(10)&amp;CHAR(10)&amp;"INVALID QUALITY AUDIT DETAILS"&amp;CHAR(10)&amp;"Validation: Invalid"&amp;CHAR(10)&amp;"Invalid Reason: "&amp;$P298&amp;CHAR(10)&amp;"Expected Resolution Code: "&amp;$Q298&amp;CHAR(10)&amp;"Remarks: "&amp;LEFT($R298,600)&amp;CHAR(10)&amp;CHAR(10)&amp;"This is an automated notification from HP Mainstream EQMS."),"✉ Open Email Draft"),"")</f>
        <v/>
      </c>
    </row>
    <row r="299">
      <c r="A299" s="25">
        <f>IF($C299="","","AUD-2026-"&amp;TEXT(ROW()-1,"000000"))</f>
        <v/>
      </c>
      <c r="B299" s="26" t="n"/>
      <c r="C299" s="27" t="n"/>
      <c r="D299" s="25">
        <f>IF($C299="","",IFERROR(IF(INDEX(Roster!$A:$A,MATCH($C299,Roster!$B:$B,0))="","",INDEX(Roster!$A:$A,MATCH($C299,Roster!$B:$B,0))&amp;""),"—"))</f>
        <v/>
      </c>
      <c r="E299" s="25">
        <f>IF($C299="","",IFERROR(IF(INDEX(Roster!$C:$C,MATCH($C299,Roster!$B:$B,0))="","",INDEX(Roster!$C:$C,MATCH($C299,Roster!$B:$B,0))&amp;""),"—"))</f>
        <v/>
      </c>
      <c r="F299" s="25">
        <f>IF($C299="","",IFERROR(IF(INDEX(Roster!$D:$D,MATCH($C299,Roster!$B:$B,0))="","",INDEX(Roster!$D:$D,MATCH($C299,Roster!$B:$B,0))&amp;""),"—"))</f>
        <v/>
      </c>
      <c r="G299" s="25">
        <f>IF($C299="","",IFERROR(IF(INDEX(Roster!$E:$E,MATCH($C299,Roster!$B:$B,0))="","",INDEX(Roster!$E:$E,MATCH($C299,Roster!$B:$B,0))&amp;""),"—"))</f>
        <v/>
      </c>
      <c r="H299" s="25">
        <f>IF($C299="","",IFERROR(IF(INDEX(Roster!$F:$F,MATCH($C299,Roster!$B:$B,0))="","",INDEX(Roster!$F:$F,MATCH($C299,Roster!$B:$B,0))&amp;""),"—"))</f>
        <v/>
      </c>
      <c r="I299" s="25">
        <f>IF($C299="","",IFERROR(IF(INDEX(Roster!$G:$G,MATCH($C299,Roster!$B:$B,0))="","",INDEX(Roster!$G:$G,MATCH($C299,Roster!$B:$B,0))&amp;""),"—"))</f>
        <v/>
      </c>
      <c r="J299" s="25">
        <f>IF($C299="","",IFERROR(IF(INDEX(Roster!$I:$I,MATCH($C299,Roster!$B:$B,0))="","",INDEX(Roster!$I:$I,MATCH($C299,Roster!$B:$B,0))&amp;""),"—"))</f>
        <v/>
      </c>
      <c r="K299">
        <f>IF($C299="","",IFERROR(IF(INDEX(Roster!$J:$J,MATCH($C299,Roster!$B:$B,0))="","",INDEX(Roster!$J:$J,MATCH($C299,Roster!$B:$B,0))&amp;""),"—"))</f>
        <v/>
      </c>
      <c r="L299">
        <f>IF($C299="","",IFERROR(IF(INDEX(Roster!$K:$K,MATCH($C299,Roster!$B:$B,0))="","",INDEX(Roster!$K:$K,MATCH($C299,Roster!$B:$B,0))&amp;""),"—"))</f>
        <v/>
      </c>
      <c r="M299" s="27" t="n"/>
      <c r="N299" s="27" t="n"/>
      <c r="O299" s="25">
        <f>IF($C299="","",IF($P299="","—",IF($P299="Valid (Pass)","Valid","Invalid")))</f>
        <v/>
      </c>
      <c r="P299" s="27" t="n"/>
      <c r="Q299" s="27" t="n"/>
      <c r="R299" s="27" t="n"/>
      <c r="S299" s="27" t="n"/>
      <c r="T299" s="25">
        <f>IF($C299="","",IF(OR(ISNUMBER(SEARCH("quick case",$P299)),ISNUMBER(SEARCH("quick case",$Q299))),"Yes","No"))</f>
        <v/>
      </c>
      <c r="U299" s="25">
        <f>IF($O299="Invalid",HYPERLINK("mailto:"&amp;$G299&amp;";"&amp;$I299&amp;"?cc="&amp;Lists!$E$2&amp;"&amp;subject="&amp;_xlfn.ENCODEURL("[INVALID] Quality audit monitoring completed for "&amp;UPPER($C299))&amp;"&amp;body="&amp;_xlfn.ENCODEURL("Hi "&amp;$F299&amp;","&amp;CHAR(10)&amp;"Good day!"&amp;CHAR(10)&amp;CHAR(10)&amp;"A quality monitoring audit has been completed for "&amp;$C299&amp;"."&amp;CHAR(10)&amp;CHAR(10)&amp;"QUALITY AUDIT DETAILS"&amp;CHAR(10)&amp;"Agent Name: "&amp;$C299&amp;" (EID "&amp;$D299&amp;")"&amp;CHAR(10)&amp;"Audit Date: "&amp;TEXT($B299,"yyyy-mm-dd")&amp;CHAR(10)&amp;"Team Leader: "&amp;$F299&amp;CHAR(10)&amp;"Case Number: "&amp;$M299&amp;CHAR(10)&amp;"Transaction ID: "&amp;$N299&amp;CHAR(10)&amp;"Channel / LOB: "&amp;$K299&amp;" / "&amp;$L299&amp;CHAR(10)&amp;"Evaluator: "&amp;$S299&amp;CHAR(10)&amp;CHAR(10)&amp;"INVALID QUALITY AUDIT DETAILS"&amp;CHAR(10)&amp;"Validation: Invalid"&amp;CHAR(10)&amp;"Invalid Reason: "&amp;$P299&amp;CHAR(10)&amp;"Expected Resolution Code: "&amp;$Q299&amp;CHAR(10)&amp;"Remarks: "&amp;LEFT($R299,600)&amp;CHAR(10)&amp;CHAR(10)&amp;"This is an automated notification from HP Mainstream EQMS."),"✉ Open Email Draft"),"")</f>
        <v/>
      </c>
    </row>
    <row r="300">
      <c r="A300" s="25">
        <f>IF($C300="","","AUD-2026-"&amp;TEXT(ROW()-1,"000000"))</f>
        <v/>
      </c>
      <c r="B300" s="26" t="n"/>
      <c r="C300" s="27" t="n"/>
      <c r="D300" s="25">
        <f>IF($C300="","",IFERROR(IF(INDEX(Roster!$A:$A,MATCH($C300,Roster!$B:$B,0))="","",INDEX(Roster!$A:$A,MATCH($C300,Roster!$B:$B,0))&amp;""),"—"))</f>
        <v/>
      </c>
      <c r="E300" s="25">
        <f>IF($C300="","",IFERROR(IF(INDEX(Roster!$C:$C,MATCH($C300,Roster!$B:$B,0))="","",INDEX(Roster!$C:$C,MATCH($C300,Roster!$B:$B,0))&amp;""),"—"))</f>
        <v/>
      </c>
      <c r="F300" s="25">
        <f>IF($C300="","",IFERROR(IF(INDEX(Roster!$D:$D,MATCH($C300,Roster!$B:$B,0))="","",INDEX(Roster!$D:$D,MATCH($C300,Roster!$B:$B,0))&amp;""),"—"))</f>
        <v/>
      </c>
      <c r="G300" s="25">
        <f>IF($C300="","",IFERROR(IF(INDEX(Roster!$E:$E,MATCH($C300,Roster!$B:$B,0))="","",INDEX(Roster!$E:$E,MATCH($C300,Roster!$B:$B,0))&amp;""),"—"))</f>
        <v/>
      </c>
      <c r="H300" s="25">
        <f>IF($C300="","",IFERROR(IF(INDEX(Roster!$F:$F,MATCH($C300,Roster!$B:$B,0))="","",INDEX(Roster!$F:$F,MATCH($C300,Roster!$B:$B,0))&amp;""),"—"))</f>
        <v/>
      </c>
      <c r="I300" s="25">
        <f>IF($C300="","",IFERROR(IF(INDEX(Roster!$G:$G,MATCH($C300,Roster!$B:$B,0))="","",INDEX(Roster!$G:$G,MATCH($C300,Roster!$B:$B,0))&amp;""),"—"))</f>
        <v/>
      </c>
      <c r="J300" s="25">
        <f>IF($C300="","",IFERROR(IF(INDEX(Roster!$I:$I,MATCH($C300,Roster!$B:$B,0))="","",INDEX(Roster!$I:$I,MATCH($C300,Roster!$B:$B,0))&amp;""),"—"))</f>
        <v/>
      </c>
      <c r="K300">
        <f>IF($C300="","",IFERROR(IF(INDEX(Roster!$J:$J,MATCH($C300,Roster!$B:$B,0))="","",INDEX(Roster!$J:$J,MATCH($C300,Roster!$B:$B,0))&amp;""),"—"))</f>
        <v/>
      </c>
      <c r="L300">
        <f>IF($C300="","",IFERROR(IF(INDEX(Roster!$K:$K,MATCH($C300,Roster!$B:$B,0))="","",INDEX(Roster!$K:$K,MATCH($C300,Roster!$B:$B,0))&amp;""),"—"))</f>
        <v/>
      </c>
      <c r="M300" s="27" t="n"/>
      <c r="N300" s="27" t="n"/>
      <c r="O300" s="25">
        <f>IF($C300="","",IF($P300="","—",IF($P300="Valid (Pass)","Valid","Invalid")))</f>
        <v/>
      </c>
      <c r="P300" s="27" t="n"/>
      <c r="Q300" s="27" t="n"/>
      <c r="R300" s="27" t="n"/>
      <c r="S300" s="27" t="n"/>
      <c r="T300" s="25">
        <f>IF($C300="","",IF(OR(ISNUMBER(SEARCH("quick case",$P300)),ISNUMBER(SEARCH("quick case",$Q300))),"Yes","No"))</f>
        <v/>
      </c>
      <c r="U300" s="25">
        <f>IF($O300="Invalid",HYPERLINK("mailto:"&amp;$G300&amp;";"&amp;$I300&amp;"?cc="&amp;Lists!$E$2&amp;"&amp;subject="&amp;_xlfn.ENCODEURL("[INVALID] Quality audit monitoring completed for "&amp;UPPER($C300))&amp;"&amp;body="&amp;_xlfn.ENCODEURL("Hi "&amp;$F300&amp;","&amp;CHAR(10)&amp;"Good day!"&amp;CHAR(10)&amp;CHAR(10)&amp;"A quality monitoring audit has been completed for "&amp;$C300&amp;"."&amp;CHAR(10)&amp;CHAR(10)&amp;"QUALITY AUDIT DETAILS"&amp;CHAR(10)&amp;"Agent Name: "&amp;$C300&amp;" (EID "&amp;$D300&amp;")"&amp;CHAR(10)&amp;"Audit Date: "&amp;TEXT($B300,"yyyy-mm-dd")&amp;CHAR(10)&amp;"Team Leader: "&amp;$F300&amp;CHAR(10)&amp;"Case Number: "&amp;$M300&amp;CHAR(10)&amp;"Transaction ID: "&amp;$N300&amp;CHAR(10)&amp;"Channel / LOB: "&amp;$K300&amp;" / "&amp;$L300&amp;CHAR(10)&amp;"Evaluator: "&amp;$S300&amp;CHAR(10)&amp;CHAR(10)&amp;"INVALID QUALITY AUDIT DETAILS"&amp;CHAR(10)&amp;"Validation: Invalid"&amp;CHAR(10)&amp;"Invalid Reason: "&amp;$P300&amp;CHAR(10)&amp;"Expected Resolution Code: "&amp;$Q300&amp;CHAR(10)&amp;"Remarks: "&amp;LEFT($R300,600)&amp;CHAR(10)&amp;CHAR(10)&amp;"This is an automated notification from HP Mainstream EQMS."),"✉ Open Email Draft"),"")</f>
        <v/>
      </c>
    </row>
    <row r="301">
      <c r="A301" s="25">
        <f>IF($C301="","","AUD-2026-"&amp;TEXT(ROW()-1,"000000"))</f>
        <v/>
      </c>
      <c r="B301" s="26" t="n"/>
      <c r="C301" s="27" t="n"/>
      <c r="D301" s="25">
        <f>IF($C301="","",IFERROR(IF(INDEX(Roster!$A:$A,MATCH($C301,Roster!$B:$B,0))="","",INDEX(Roster!$A:$A,MATCH($C301,Roster!$B:$B,0))&amp;""),"—"))</f>
        <v/>
      </c>
      <c r="E301" s="25">
        <f>IF($C301="","",IFERROR(IF(INDEX(Roster!$C:$C,MATCH($C301,Roster!$B:$B,0))="","",INDEX(Roster!$C:$C,MATCH($C301,Roster!$B:$B,0))&amp;""),"—"))</f>
        <v/>
      </c>
      <c r="F301" s="25">
        <f>IF($C301="","",IFERROR(IF(INDEX(Roster!$D:$D,MATCH($C301,Roster!$B:$B,0))="","",INDEX(Roster!$D:$D,MATCH($C301,Roster!$B:$B,0))&amp;""),"—"))</f>
        <v/>
      </c>
      <c r="G301" s="25">
        <f>IF($C301="","",IFERROR(IF(INDEX(Roster!$E:$E,MATCH($C301,Roster!$B:$B,0))="","",INDEX(Roster!$E:$E,MATCH($C301,Roster!$B:$B,0))&amp;""),"—"))</f>
        <v/>
      </c>
      <c r="H301" s="25">
        <f>IF($C301="","",IFERROR(IF(INDEX(Roster!$F:$F,MATCH($C301,Roster!$B:$B,0))="","",INDEX(Roster!$F:$F,MATCH($C301,Roster!$B:$B,0))&amp;""),"—"))</f>
        <v/>
      </c>
      <c r="I301" s="25">
        <f>IF($C301="","",IFERROR(IF(INDEX(Roster!$G:$G,MATCH($C301,Roster!$B:$B,0))="","",INDEX(Roster!$G:$G,MATCH($C301,Roster!$B:$B,0))&amp;""),"—"))</f>
        <v/>
      </c>
      <c r="J301" s="25">
        <f>IF($C301="","",IFERROR(IF(INDEX(Roster!$I:$I,MATCH($C301,Roster!$B:$B,0))="","",INDEX(Roster!$I:$I,MATCH($C301,Roster!$B:$B,0))&amp;""),"—"))</f>
        <v/>
      </c>
      <c r="K301">
        <f>IF($C301="","",IFERROR(IF(INDEX(Roster!$J:$J,MATCH($C301,Roster!$B:$B,0))="","",INDEX(Roster!$J:$J,MATCH($C301,Roster!$B:$B,0))&amp;""),"—"))</f>
        <v/>
      </c>
      <c r="L301">
        <f>IF($C301="","",IFERROR(IF(INDEX(Roster!$K:$K,MATCH($C301,Roster!$B:$B,0))="","",INDEX(Roster!$K:$K,MATCH($C301,Roster!$B:$B,0))&amp;""),"—"))</f>
        <v/>
      </c>
      <c r="M301" s="27" t="n"/>
      <c r="N301" s="27" t="n"/>
      <c r="O301" s="25">
        <f>IF($C301="","",IF($P301="","—",IF($P301="Valid (Pass)","Valid","Invalid")))</f>
        <v/>
      </c>
      <c r="P301" s="27" t="n"/>
      <c r="Q301" s="27" t="n"/>
      <c r="R301" s="27" t="n"/>
      <c r="S301" s="27" t="n"/>
      <c r="T301" s="25">
        <f>IF($C301="","",IF(OR(ISNUMBER(SEARCH("quick case",$P301)),ISNUMBER(SEARCH("quick case",$Q301))),"Yes","No"))</f>
        <v/>
      </c>
      <c r="U301" s="25">
        <f>IF($O301="Invalid",HYPERLINK("mailto:"&amp;$G301&amp;";"&amp;$I301&amp;"?cc="&amp;Lists!$E$2&amp;"&amp;subject="&amp;_xlfn.ENCODEURL("[INVALID] Quality audit monitoring completed for "&amp;UPPER($C301))&amp;"&amp;body="&amp;_xlfn.ENCODEURL("Hi "&amp;$F301&amp;","&amp;CHAR(10)&amp;"Good day!"&amp;CHAR(10)&amp;CHAR(10)&amp;"A quality monitoring audit has been completed for "&amp;$C301&amp;"."&amp;CHAR(10)&amp;CHAR(10)&amp;"QUALITY AUDIT DETAILS"&amp;CHAR(10)&amp;"Agent Name: "&amp;$C301&amp;" (EID "&amp;$D301&amp;")"&amp;CHAR(10)&amp;"Audit Date: "&amp;TEXT($B301,"yyyy-mm-dd")&amp;CHAR(10)&amp;"Team Leader: "&amp;$F301&amp;CHAR(10)&amp;"Case Number: "&amp;$M301&amp;CHAR(10)&amp;"Transaction ID: "&amp;$N301&amp;CHAR(10)&amp;"Channel / LOB: "&amp;$K301&amp;" / "&amp;$L301&amp;CHAR(10)&amp;"Evaluator: "&amp;$S301&amp;CHAR(10)&amp;CHAR(10)&amp;"INVALID QUALITY AUDIT DETAILS"&amp;CHAR(10)&amp;"Validation: Invalid"&amp;CHAR(10)&amp;"Invalid Reason: "&amp;$P301&amp;CHAR(10)&amp;"Expected Resolution Code: "&amp;$Q301&amp;CHAR(10)&amp;"Remarks: "&amp;LEFT($R301,600)&amp;CHAR(10)&amp;CHAR(10)&amp;"This is an automated notification from HP Mainstream EQMS."),"✉ Open Email Draft"),"")</f>
        <v/>
      </c>
    </row>
    <row r="302">
      <c r="A302" s="25">
        <f>IF($C302="","","AUD-2026-"&amp;TEXT(ROW()-1,"000000"))</f>
        <v/>
      </c>
      <c r="B302" s="26" t="n"/>
      <c r="C302" s="27" t="n"/>
      <c r="D302" s="25">
        <f>IF($C302="","",IFERROR(IF(INDEX(Roster!$A:$A,MATCH($C302,Roster!$B:$B,0))="","",INDEX(Roster!$A:$A,MATCH($C302,Roster!$B:$B,0))&amp;""),"—"))</f>
        <v/>
      </c>
      <c r="E302" s="25">
        <f>IF($C302="","",IFERROR(IF(INDEX(Roster!$C:$C,MATCH($C302,Roster!$B:$B,0))="","",INDEX(Roster!$C:$C,MATCH($C302,Roster!$B:$B,0))&amp;""),"—"))</f>
        <v/>
      </c>
      <c r="F302" s="25">
        <f>IF($C302="","",IFERROR(IF(INDEX(Roster!$D:$D,MATCH($C302,Roster!$B:$B,0))="","",INDEX(Roster!$D:$D,MATCH($C302,Roster!$B:$B,0))&amp;""),"—"))</f>
        <v/>
      </c>
      <c r="G302" s="25">
        <f>IF($C302="","",IFERROR(IF(INDEX(Roster!$E:$E,MATCH($C302,Roster!$B:$B,0))="","",INDEX(Roster!$E:$E,MATCH($C302,Roster!$B:$B,0))&amp;""),"—"))</f>
        <v/>
      </c>
      <c r="H302" s="25">
        <f>IF($C302="","",IFERROR(IF(INDEX(Roster!$F:$F,MATCH($C302,Roster!$B:$B,0))="","",INDEX(Roster!$F:$F,MATCH($C302,Roster!$B:$B,0))&amp;""),"—"))</f>
        <v/>
      </c>
      <c r="I302" s="25">
        <f>IF($C302="","",IFERROR(IF(INDEX(Roster!$G:$G,MATCH($C302,Roster!$B:$B,0))="","",INDEX(Roster!$G:$G,MATCH($C302,Roster!$B:$B,0))&amp;""),"—"))</f>
        <v/>
      </c>
      <c r="J302" s="25">
        <f>IF($C302="","",IFERROR(IF(INDEX(Roster!$I:$I,MATCH($C302,Roster!$B:$B,0))="","",INDEX(Roster!$I:$I,MATCH($C302,Roster!$B:$B,0))&amp;""),"—"))</f>
        <v/>
      </c>
      <c r="K302">
        <f>IF($C302="","",IFERROR(IF(INDEX(Roster!$J:$J,MATCH($C302,Roster!$B:$B,0))="","",INDEX(Roster!$J:$J,MATCH($C302,Roster!$B:$B,0))&amp;""),"—"))</f>
        <v/>
      </c>
      <c r="L302">
        <f>IF($C302="","",IFERROR(IF(INDEX(Roster!$K:$K,MATCH($C302,Roster!$B:$B,0))="","",INDEX(Roster!$K:$K,MATCH($C302,Roster!$B:$B,0))&amp;""),"—"))</f>
        <v/>
      </c>
      <c r="M302" s="27" t="n"/>
      <c r="N302" s="27" t="n"/>
      <c r="O302" s="25">
        <f>IF($C302="","",IF($P302="","—",IF($P302="Valid (Pass)","Valid","Invalid")))</f>
        <v/>
      </c>
      <c r="P302" s="27" t="n"/>
      <c r="Q302" s="27" t="n"/>
      <c r="R302" s="27" t="n"/>
      <c r="S302" s="27" t="n"/>
      <c r="T302" s="25">
        <f>IF($C302="","",IF(OR(ISNUMBER(SEARCH("quick case",$P302)),ISNUMBER(SEARCH("quick case",$Q302))),"Yes","No"))</f>
        <v/>
      </c>
      <c r="U302" s="25">
        <f>IF($O302="Invalid",HYPERLINK("mailto:"&amp;$G302&amp;";"&amp;$I302&amp;"?cc="&amp;Lists!$E$2&amp;"&amp;subject="&amp;_xlfn.ENCODEURL("[INVALID] Quality audit monitoring completed for "&amp;UPPER($C302))&amp;"&amp;body="&amp;_xlfn.ENCODEURL("Hi "&amp;$F302&amp;","&amp;CHAR(10)&amp;"Good day!"&amp;CHAR(10)&amp;CHAR(10)&amp;"A quality monitoring audit has been completed for "&amp;$C302&amp;"."&amp;CHAR(10)&amp;CHAR(10)&amp;"QUALITY AUDIT DETAILS"&amp;CHAR(10)&amp;"Agent Name: "&amp;$C302&amp;" (EID "&amp;$D302&amp;")"&amp;CHAR(10)&amp;"Audit Date: "&amp;TEXT($B302,"yyyy-mm-dd")&amp;CHAR(10)&amp;"Team Leader: "&amp;$F302&amp;CHAR(10)&amp;"Case Number: "&amp;$M302&amp;CHAR(10)&amp;"Transaction ID: "&amp;$N302&amp;CHAR(10)&amp;"Channel / LOB: "&amp;$K302&amp;" / "&amp;$L302&amp;CHAR(10)&amp;"Evaluator: "&amp;$S302&amp;CHAR(10)&amp;CHAR(10)&amp;"INVALID QUALITY AUDIT DETAILS"&amp;CHAR(10)&amp;"Validation: Invalid"&amp;CHAR(10)&amp;"Invalid Reason: "&amp;$P302&amp;CHAR(10)&amp;"Expected Resolution Code: "&amp;$Q302&amp;CHAR(10)&amp;"Remarks: "&amp;LEFT($R302,600)&amp;CHAR(10)&amp;CHAR(10)&amp;"This is an automated notification from HP Mainstream EQMS."),"✉ Open Email Draft"),"")</f>
        <v/>
      </c>
    </row>
    <row r="303">
      <c r="A303" s="25">
        <f>IF($C303="","","AUD-2026-"&amp;TEXT(ROW()-1,"000000"))</f>
        <v/>
      </c>
      <c r="B303" s="26" t="n"/>
      <c r="C303" s="27" t="n"/>
      <c r="D303" s="25">
        <f>IF($C303="","",IFERROR(IF(INDEX(Roster!$A:$A,MATCH($C303,Roster!$B:$B,0))="","",INDEX(Roster!$A:$A,MATCH($C303,Roster!$B:$B,0))&amp;""),"—"))</f>
        <v/>
      </c>
      <c r="E303" s="25">
        <f>IF($C303="","",IFERROR(IF(INDEX(Roster!$C:$C,MATCH($C303,Roster!$B:$B,0))="","",INDEX(Roster!$C:$C,MATCH($C303,Roster!$B:$B,0))&amp;""),"—"))</f>
        <v/>
      </c>
      <c r="F303" s="25">
        <f>IF($C303="","",IFERROR(IF(INDEX(Roster!$D:$D,MATCH($C303,Roster!$B:$B,0))="","",INDEX(Roster!$D:$D,MATCH($C303,Roster!$B:$B,0))&amp;""),"—"))</f>
        <v/>
      </c>
      <c r="G303" s="25">
        <f>IF($C303="","",IFERROR(IF(INDEX(Roster!$E:$E,MATCH($C303,Roster!$B:$B,0))="","",INDEX(Roster!$E:$E,MATCH($C303,Roster!$B:$B,0))&amp;""),"—"))</f>
        <v/>
      </c>
      <c r="H303" s="25">
        <f>IF($C303="","",IFERROR(IF(INDEX(Roster!$F:$F,MATCH($C303,Roster!$B:$B,0))="","",INDEX(Roster!$F:$F,MATCH($C303,Roster!$B:$B,0))&amp;""),"—"))</f>
        <v/>
      </c>
      <c r="I303" s="25">
        <f>IF($C303="","",IFERROR(IF(INDEX(Roster!$G:$G,MATCH($C303,Roster!$B:$B,0))="","",INDEX(Roster!$G:$G,MATCH($C303,Roster!$B:$B,0))&amp;""),"—"))</f>
        <v/>
      </c>
      <c r="J303" s="25">
        <f>IF($C303="","",IFERROR(IF(INDEX(Roster!$I:$I,MATCH($C303,Roster!$B:$B,0))="","",INDEX(Roster!$I:$I,MATCH($C303,Roster!$B:$B,0))&amp;""),"—"))</f>
        <v/>
      </c>
      <c r="K303">
        <f>IF($C303="","",IFERROR(IF(INDEX(Roster!$J:$J,MATCH($C303,Roster!$B:$B,0))="","",INDEX(Roster!$J:$J,MATCH($C303,Roster!$B:$B,0))&amp;""),"—"))</f>
        <v/>
      </c>
      <c r="L303">
        <f>IF($C303="","",IFERROR(IF(INDEX(Roster!$K:$K,MATCH($C303,Roster!$B:$B,0))="","",INDEX(Roster!$K:$K,MATCH($C303,Roster!$B:$B,0))&amp;""),"—"))</f>
        <v/>
      </c>
      <c r="M303" s="27" t="n"/>
      <c r="N303" s="27" t="n"/>
      <c r="O303" s="25">
        <f>IF($C303="","",IF($P303="","—",IF($P303="Valid (Pass)","Valid","Invalid")))</f>
        <v/>
      </c>
      <c r="P303" s="27" t="n"/>
      <c r="Q303" s="27" t="n"/>
      <c r="R303" s="27" t="n"/>
      <c r="S303" s="27" t="n"/>
      <c r="T303" s="25">
        <f>IF($C303="","",IF(OR(ISNUMBER(SEARCH("quick case",$P303)),ISNUMBER(SEARCH("quick case",$Q303))),"Yes","No"))</f>
        <v/>
      </c>
      <c r="U303" s="25">
        <f>IF($O303="Invalid",HYPERLINK("mailto:"&amp;$G303&amp;";"&amp;$I303&amp;"?cc="&amp;Lists!$E$2&amp;"&amp;subject="&amp;_xlfn.ENCODEURL("[INVALID] Quality audit monitoring completed for "&amp;UPPER($C303))&amp;"&amp;body="&amp;_xlfn.ENCODEURL("Hi "&amp;$F303&amp;","&amp;CHAR(10)&amp;"Good day!"&amp;CHAR(10)&amp;CHAR(10)&amp;"A quality monitoring audit has been completed for "&amp;$C303&amp;"."&amp;CHAR(10)&amp;CHAR(10)&amp;"QUALITY AUDIT DETAILS"&amp;CHAR(10)&amp;"Agent Name: "&amp;$C303&amp;" (EID "&amp;$D303&amp;")"&amp;CHAR(10)&amp;"Audit Date: "&amp;TEXT($B303,"yyyy-mm-dd")&amp;CHAR(10)&amp;"Team Leader: "&amp;$F303&amp;CHAR(10)&amp;"Case Number: "&amp;$M303&amp;CHAR(10)&amp;"Transaction ID: "&amp;$N303&amp;CHAR(10)&amp;"Channel / LOB: "&amp;$K303&amp;" / "&amp;$L303&amp;CHAR(10)&amp;"Evaluator: "&amp;$S303&amp;CHAR(10)&amp;CHAR(10)&amp;"INVALID QUALITY AUDIT DETAILS"&amp;CHAR(10)&amp;"Validation: Invalid"&amp;CHAR(10)&amp;"Invalid Reason: "&amp;$P303&amp;CHAR(10)&amp;"Expected Resolution Code: "&amp;$Q303&amp;CHAR(10)&amp;"Remarks: "&amp;LEFT($R303,600)&amp;CHAR(10)&amp;CHAR(10)&amp;"This is an automated notification from HP Mainstream EQMS."),"✉ Open Email Draft"),"")</f>
        <v/>
      </c>
    </row>
    <row r="304">
      <c r="A304" s="25">
        <f>IF($C304="","","AUD-2026-"&amp;TEXT(ROW()-1,"000000"))</f>
        <v/>
      </c>
      <c r="B304" s="26" t="n"/>
      <c r="C304" s="27" t="n"/>
      <c r="D304" s="25">
        <f>IF($C304="","",IFERROR(IF(INDEX(Roster!$A:$A,MATCH($C304,Roster!$B:$B,0))="","",INDEX(Roster!$A:$A,MATCH($C304,Roster!$B:$B,0))&amp;""),"—"))</f>
        <v/>
      </c>
      <c r="E304" s="25">
        <f>IF($C304="","",IFERROR(IF(INDEX(Roster!$C:$C,MATCH($C304,Roster!$B:$B,0))="","",INDEX(Roster!$C:$C,MATCH($C304,Roster!$B:$B,0))&amp;""),"—"))</f>
        <v/>
      </c>
      <c r="F304" s="25">
        <f>IF($C304="","",IFERROR(IF(INDEX(Roster!$D:$D,MATCH($C304,Roster!$B:$B,0))="","",INDEX(Roster!$D:$D,MATCH($C304,Roster!$B:$B,0))&amp;""),"—"))</f>
        <v/>
      </c>
      <c r="G304" s="25">
        <f>IF($C304="","",IFERROR(IF(INDEX(Roster!$E:$E,MATCH($C304,Roster!$B:$B,0))="","",INDEX(Roster!$E:$E,MATCH($C304,Roster!$B:$B,0))&amp;""),"—"))</f>
        <v/>
      </c>
      <c r="H304" s="25">
        <f>IF($C304="","",IFERROR(IF(INDEX(Roster!$F:$F,MATCH($C304,Roster!$B:$B,0))="","",INDEX(Roster!$F:$F,MATCH($C304,Roster!$B:$B,0))&amp;""),"—"))</f>
        <v/>
      </c>
      <c r="I304" s="25">
        <f>IF($C304="","",IFERROR(IF(INDEX(Roster!$G:$G,MATCH($C304,Roster!$B:$B,0))="","",INDEX(Roster!$G:$G,MATCH($C304,Roster!$B:$B,0))&amp;""),"—"))</f>
        <v/>
      </c>
      <c r="J304" s="25">
        <f>IF($C304="","",IFERROR(IF(INDEX(Roster!$I:$I,MATCH($C304,Roster!$B:$B,0))="","",INDEX(Roster!$I:$I,MATCH($C304,Roster!$B:$B,0))&amp;""),"—"))</f>
        <v/>
      </c>
      <c r="K304">
        <f>IF($C304="","",IFERROR(IF(INDEX(Roster!$J:$J,MATCH($C304,Roster!$B:$B,0))="","",INDEX(Roster!$J:$J,MATCH($C304,Roster!$B:$B,0))&amp;""),"—"))</f>
        <v/>
      </c>
      <c r="L304">
        <f>IF($C304="","",IFERROR(IF(INDEX(Roster!$K:$K,MATCH($C304,Roster!$B:$B,0))="","",INDEX(Roster!$K:$K,MATCH($C304,Roster!$B:$B,0))&amp;""),"—"))</f>
        <v/>
      </c>
      <c r="M304" s="27" t="n"/>
      <c r="N304" s="27" t="n"/>
      <c r="O304" s="25">
        <f>IF($C304="","",IF($P304="","—",IF($P304="Valid (Pass)","Valid","Invalid")))</f>
        <v/>
      </c>
      <c r="P304" s="27" t="n"/>
      <c r="Q304" s="27" t="n"/>
      <c r="R304" s="27" t="n"/>
      <c r="S304" s="27" t="n"/>
      <c r="T304" s="25">
        <f>IF($C304="","",IF(OR(ISNUMBER(SEARCH("quick case",$P304)),ISNUMBER(SEARCH("quick case",$Q304))),"Yes","No"))</f>
        <v/>
      </c>
      <c r="U304" s="25">
        <f>IF($O304="Invalid",HYPERLINK("mailto:"&amp;$G304&amp;";"&amp;$I304&amp;"?cc="&amp;Lists!$E$2&amp;"&amp;subject="&amp;_xlfn.ENCODEURL("[INVALID] Quality audit monitoring completed for "&amp;UPPER($C304))&amp;"&amp;body="&amp;_xlfn.ENCODEURL("Hi "&amp;$F304&amp;","&amp;CHAR(10)&amp;"Good day!"&amp;CHAR(10)&amp;CHAR(10)&amp;"A quality monitoring audit has been completed for "&amp;$C304&amp;"."&amp;CHAR(10)&amp;CHAR(10)&amp;"QUALITY AUDIT DETAILS"&amp;CHAR(10)&amp;"Agent Name: "&amp;$C304&amp;" (EID "&amp;$D304&amp;")"&amp;CHAR(10)&amp;"Audit Date: "&amp;TEXT($B304,"yyyy-mm-dd")&amp;CHAR(10)&amp;"Team Leader: "&amp;$F304&amp;CHAR(10)&amp;"Case Number: "&amp;$M304&amp;CHAR(10)&amp;"Transaction ID: "&amp;$N304&amp;CHAR(10)&amp;"Channel / LOB: "&amp;$K304&amp;" / "&amp;$L304&amp;CHAR(10)&amp;"Evaluator: "&amp;$S304&amp;CHAR(10)&amp;CHAR(10)&amp;"INVALID QUALITY AUDIT DETAILS"&amp;CHAR(10)&amp;"Validation: Invalid"&amp;CHAR(10)&amp;"Invalid Reason: "&amp;$P304&amp;CHAR(10)&amp;"Expected Resolution Code: "&amp;$Q304&amp;CHAR(10)&amp;"Remarks: "&amp;LEFT($R304,600)&amp;CHAR(10)&amp;CHAR(10)&amp;"This is an automated notification from HP Mainstream EQMS."),"✉ Open Email Draft"),"")</f>
        <v/>
      </c>
    </row>
    <row r="305">
      <c r="A305" s="25">
        <f>IF($C305="","","AUD-2026-"&amp;TEXT(ROW()-1,"000000"))</f>
        <v/>
      </c>
      <c r="B305" s="26" t="n"/>
      <c r="C305" s="27" t="n"/>
      <c r="D305" s="25">
        <f>IF($C305="","",IFERROR(IF(INDEX(Roster!$A:$A,MATCH($C305,Roster!$B:$B,0))="","",INDEX(Roster!$A:$A,MATCH($C305,Roster!$B:$B,0))&amp;""),"—"))</f>
        <v/>
      </c>
      <c r="E305" s="25">
        <f>IF($C305="","",IFERROR(IF(INDEX(Roster!$C:$C,MATCH($C305,Roster!$B:$B,0))="","",INDEX(Roster!$C:$C,MATCH($C305,Roster!$B:$B,0))&amp;""),"—"))</f>
        <v/>
      </c>
      <c r="F305" s="25">
        <f>IF($C305="","",IFERROR(IF(INDEX(Roster!$D:$D,MATCH($C305,Roster!$B:$B,0))="","",INDEX(Roster!$D:$D,MATCH($C305,Roster!$B:$B,0))&amp;""),"—"))</f>
        <v/>
      </c>
      <c r="G305" s="25">
        <f>IF($C305="","",IFERROR(IF(INDEX(Roster!$E:$E,MATCH($C305,Roster!$B:$B,0))="","",INDEX(Roster!$E:$E,MATCH($C305,Roster!$B:$B,0))&amp;""),"—"))</f>
        <v/>
      </c>
      <c r="H305" s="25">
        <f>IF($C305="","",IFERROR(IF(INDEX(Roster!$F:$F,MATCH($C305,Roster!$B:$B,0))="","",INDEX(Roster!$F:$F,MATCH($C305,Roster!$B:$B,0))&amp;""),"—"))</f>
        <v/>
      </c>
      <c r="I305" s="25">
        <f>IF($C305="","",IFERROR(IF(INDEX(Roster!$G:$G,MATCH($C305,Roster!$B:$B,0))="","",INDEX(Roster!$G:$G,MATCH($C305,Roster!$B:$B,0))&amp;""),"—"))</f>
        <v/>
      </c>
      <c r="J305" s="25">
        <f>IF($C305="","",IFERROR(IF(INDEX(Roster!$I:$I,MATCH($C305,Roster!$B:$B,0))="","",INDEX(Roster!$I:$I,MATCH($C305,Roster!$B:$B,0))&amp;""),"—"))</f>
        <v/>
      </c>
      <c r="K305">
        <f>IF($C305="","",IFERROR(IF(INDEX(Roster!$J:$J,MATCH($C305,Roster!$B:$B,0))="","",INDEX(Roster!$J:$J,MATCH($C305,Roster!$B:$B,0))&amp;""),"—"))</f>
        <v/>
      </c>
      <c r="L305">
        <f>IF($C305="","",IFERROR(IF(INDEX(Roster!$K:$K,MATCH($C305,Roster!$B:$B,0))="","",INDEX(Roster!$K:$K,MATCH($C305,Roster!$B:$B,0))&amp;""),"—"))</f>
        <v/>
      </c>
      <c r="M305" s="27" t="n"/>
      <c r="N305" s="27" t="n"/>
      <c r="O305" s="25">
        <f>IF($C305="","",IF($P305="","—",IF($P305="Valid (Pass)","Valid","Invalid")))</f>
        <v/>
      </c>
      <c r="P305" s="27" t="n"/>
      <c r="Q305" s="27" t="n"/>
      <c r="R305" s="27" t="n"/>
      <c r="S305" s="27" t="n"/>
      <c r="T305" s="25">
        <f>IF($C305="","",IF(OR(ISNUMBER(SEARCH("quick case",$P305)),ISNUMBER(SEARCH("quick case",$Q305))),"Yes","No"))</f>
        <v/>
      </c>
      <c r="U305" s="25">
        <f>IF($O305="Invalid",HYPERLINK("mailto:"&amp;$G305&amp;";"&amp;$I305&amp;"?cc="&amp;Lists!$E$2&amp;"&amp;subject="&amp;_xlfn.ENCODEURL("[INVALID] Quality audit monitoring completed for "&amp;UPPER($C305))&amp;"&amp;body="&amp;_xlfn.ENCODEURL("Hi "&amp;$F305&amp;","&amp;CHAR(10)&amp;"Good day!"&amp;CHAR(10)&amp;CHAR(10)&amp;"A quality monitoring audit has been completed for "&amp;$C305&amp;"."&amp;CHAR(10)&amp;CHAR(10)&amp;"QUALITY AUDIT DETAILS"&amp;CHAR(10)&amp;"Agent Name: "&amp;$C305&amp;" (EID "&amp;$D305&amp;")"&amp;CHAR(10)&amp;"Audit Date: "&amp;TEXT($B305,"yyyy-mm-dd")&amp;CHAR(10)&amp;"Team Leader: "&amp;$F305&amp;CHAR(10)&amp;"Case Number: "&amp;$M305&amp;CHAR(10)&amp;"Transaction ID: "&amp;$N305&amp;CHAR(10)&amp;"Channel / LOB: "&amp;$K305&amp;" / "&amp;$L305&amp;CHAR(10)&amp;"Evaluator: "&amp;$S305&amp;CHAR(10)&amp;CHAR(10)&amp;"INVALID QUALITY AUDIT DETAILS"&amp;CHAR(10)&amp;"Validation: Invalid"&amp;CHAR(10)&amp;"Invalid Reason: "&amp;$P305&amp;CHAR(10)&amp;"Expected Resolution Code: "&amp;$Q305&amp;CHAR(10)&amp;"Remarks: "&amp;LEFT($R305,600)&amp;CHAR(10)&amp;CHAR(10)&amp;"This is an automated notification from HP Mainstream EQMS."),"✉ Open Email Draft"),"")</f>
        <v/>
      </c>
    </row>
    <row r="306">
      <c r="A306" s="25">
        <f>IF($C306="","","AUD-2026-"&amp;TEXT(ROW()-1,"000000"))</f>
        <v/>
      </c>
      <c r="B306" s="26" t="n"/>
      <c r="C306" s="27" t="n"/>
      <c r="D306" s="25">
        <f>IF($C306="","",IFERROR(IF(INDEX(Roster!$A:$A,MATCH($C306,Roster!$B:$B,0))="","",INDEX(Roster!$A:$A,MATCH($C306,Roster!$B:$B,0))&amp;""),"—"))</f>
        <v/>
      </c>
      <c r="E306" s="25">
        <f>IF($C306="","",IFERROR(IF(INDEX(Roster!$C:$C,MATCH($C306,Roster!$B:$B,0))="","",INDEX(Roster!$C:$C,MATCH($C306,Roster!$B:$B,0))&amp;""),"—"))</f>
        <v/>
      </c>
      <c r="F306" s="25">
        <f>IF($C306="","",IFERROR(IF(INDEX(Roster!$D:$D,MATCH($C306,Roster!$B:$B,0))="","",INDEX(Roster!$D:$D,MATCH($C306,Roster!$B:$B,0))&amp;""),"—"))</f>
        <v/>
      </c>
      <c r="G306" s="25">
        <f>IF($C306="","",IFERROR(IF(INDEX(Roster!$E:$E,MATCH($C306,Roster!$B:$B,0))="","",INDEX(Roster!$E:$E,MATCH($C306,Roster!$B:$B,0))&amp;""),"—"))</f>
        <v/>
      </c>
      <c r="H306" s="25">
        <f>IF($C306="","",IFERROR(IF(INDEX(Roster!$F:$F,MATCH($C306,Roster!$B:$B,0))="","",INDEX(Roster!$F:$F,MATCH($C306,Roster!$B:$B,0))&amp;""),"—"))</f>
        <v/>
      </c>
      <c r="I306" s="25">
        <f>IF($C306="","",IFERROR(IF(INDEX(Roster!$G:$G,MATCH($C306,Roster!$B:$B,0))="","",INDEX(Roster!$G:$G,MATCH($C306,Roster!$B:$B,0))&amp;""),"—"))</f>
        <v/>
      </c>
      <c r="J306" s="25">
        <f>IF($C306="","",IFERROR(IF(INDEX(Roster!$I:$I,MATCH($C306,Roster!$B:$B,0))="","",INDEX(Roster!$I:$I,MATCH($C306,Roster!$B:$B,0))&amp;""),"—"))</f>
        <v/>
      </c>
      <c r="K306">
        <f>IF($C306="","",IFERROR(IF(INDEX(Roster!$J:$J,MATCH($C306,Roster!$B:$B,0))="","",INDEX(Roster!$J:$J,MATCH($C306,Roster!$B:$B,0))&amp;""),"—"))</f>
        <v/>
      </c>
      <c r="L306">
        <f>IF($C306="","",IFERROR(IF(INDEX(Roster!$K:$K,MATCH($C306,Roster!$B:$B,0))="","",INDEX(Roster!$K:$K,MATCH($C306,Roster!$B:$B,0))&amp;""),"—"))</f>
        <v/>
      </c>
      <c r="M306" s="27" t="n"/>
      <c r="N306" s="27" t="n"/>
      <c r="O306" s="25">
        <f>IF($C306="","",IF($P306="","—",IF($P306="Valid (Pass)","Valid","Invalid")))</f>
        <v/>
      </c>
      <c r="P306" s="27" t="n"/>
      <c r="Q306" s="27" t="n"/>
      <c r="R306" s="27" t="n"/>
      <c r="S306" s="27" t="n"/>
      <c r="T306" s="25">
        <f>IF($C306="","",IF(OR(ISNUMBER(SEARCH("quick case",$P306)),ISNUMBER(SEARCH("quick case",$Q306))),"Yes","No"))</f>
        <v/>
      </c>
      <c r="U306" s="25">
        <f>IF($O306="Invalid",HYPERLINK("mailto:"&amp;$G306&amp;";"&amp;$I306&amp;"?cc="&amp;Lists!$E$2&amp;"&amp;subject="&amp;_xlfn.ENCODEURL("[INVALID] Quality audit monitoring completed for "&amp;UPPER($C306))&amp;"&amp;body="&amp;_xlfn.ENCODEURL("Hi "&amp;$F306&amp;","&amp;CHAR(10)&amp;"Good day!"&amp;CHAR(10)&amp;CHAR(10)&amp;"A quality monitoring audit has been completed for "&amp;$C306&amp;"."&amp;CHAR(10)&amp;CHAR(10)&amp;"QUALITY AUDIT DETAILS"&amp;CHAR(10)&amp;"Agent Name: "&amp;$C306&amp;" (EID "&amp;$D306&amp;")"&amp;CHAR(10)&amp;"Audit Date: "&amp;TEXT($B306,"yyyy-mm-dd")&amp;CHAR(10)&amp;"Team Leader: "&amp;$F306&amp;CHAR(10)&amp;"Case Number: "&amp;$M306&amp;CHAR(10)&amp;"Transaction ID: "&amp;$N306&amp;CHAR(10)&amp;"Channel / LOB: "&amp;$K306&amp;" / "&amp;$L306&amp;CHAR(10)&amp;"Evaluator: "&amp;$S306&amp;CHAR(10)&amp;CHAR(10)&amp;"INVALID QUALITY AUDIT DETAILS"&amp;CHAR(10)&amp;"Validation: Invalid"&amp;CHAR(10)&amp;"Invalid Reason: "&amp;$P306&amp;CHAR(10)&amp;"Expected Resolution Code: "&amp;$Q306&amp;CHAR(10)&amp;"Remarks: "&amp;LEFT($R306,600)&amp;CHAR(10)&amp;CHAR(10)&amp;"This is an automated notification from HP Mainstream EQMS."),"✉ Open Email Draft"),"")</f>
        <v/>
      </c>
    </row>
    <row r="307">
      <c r="A307" s="25">
        <f>IF($C307="","","AUD-2026-"&amp;TEXT(ROW()-1,"000000"))</f>
        <v/>
      </c>
      <c r="B307" s="26" t="n"/>
      <c r="C307" s="27" t="n"/>
      <c r="D307" s="25">
        <f>IF($C307="","",IFERROR(IF(INDEX(Roster!$A:$A,MATCH($C307,Roster!$B:$B,0))="","",INDEX(Roster!$A:$A,MATCH($C307,Roster!$B:$B,0))&amp;""),"—"))</f>
        <v/>
      </c>
      <c r="E307" s="25">
        <f>IF($C307="","",IFERROR(IF(INDEX(Roster!$C:$C,MATCH($C307,Roster!$B:$B,0))="","",INDEX(Roster!$C:$C,MATCH($C307,Roster!$B:$B,0))&amp;""),"—"))</f>
        <v/>
      </c>
      <c r="F307" s="25">
        <f>IF($C307="","",IFERROR(IF(INDEX(Roster!$D:$D,MATCH($C307,Roster!$B:$B,0))="","",INDEX(Roster!$D:$D,MATCH($C307,Roster!$B:$B,0))&amp;""),"—"))</f>
        <v/>
      </c>
      <c r="G307" s="25">
        <f>IF($C307="","",IFERROR(IF(INDEX(Roster!$E:$E,MATCH($C307,Roster!$B:$B,0))="","",INDEX(Roster!$E:$E,MATCH($C307,Roster!$B:$B,0))&amp;""),"—"))</f>
        <v/>
      </c>
      <c r="H307" s="25">
        <f>IF($C307="","",IFERROR(IF(INDEX(Roster!$F:$F,MATCH($C307,Roster!$B:$B,0))="","",INDEX(Roster!$F:$F,MATCH($C307,Roster!$B:$B,0))&amp;""),"—"))</f>
        <v/>
      </c>
      <c r="I307" s="25">
        <f>IF($C307="","",IFERROR(IF(INDEX(Roster!$G:$G,MATCH($C307,Roster!$B:$B,0))="","",INDEX(Roster!$G:$G,MATCH($C307,Roster!$B:$B,0))&amp;""),"—"))</f>
        <v/>
      </c>
      <c r="J307" s="25">
        <f>IF($C307="","",IFERROR(IF(INDEX(Roster!$I:$I,MATCH($C307,Roster!$B:$B,0))="","",INDEX(Roster!$I:$I,MATCH($C307,Roster!$B:$B,0))&amp;""),"—"))</f>
        <v/>
      </c>
      <c r="K307">
        <f>IF($C307="","",IFERROR(IF(INDEX(Roster!$J:$J,MATCH($C307,Roster!$B:$B,0))="","",INDEX(Roster!$J:$J,MATCH($C307,Roster!$B:$B,0))&amp;""),"—"))</f>
        <v/>
      </c>
      <c r="L307">
        <f>IF($C307="","",IFERROR(IF(INDEX(Roster!$K:$K,MATCH($C307,Roster!$B:$B,0))="","",INDEX(Roster!$K:$K,MATCH($C307,Roster!$B:$B,0))&amp;""),"—"))</f>
        <v/>
      </c>
      <c r="M307" s="27" t="n"/>
      <c r="N307" s="27" t="n"/>
      <c r="O307" s="25">
        <f>IF($C307="","",IF($P307="","—",IF($P307="Valid (Pass)","Valid","Invalid")))</f>
        <v/>
      </c>
      <c r="P307" s="27" t="n"/>
      <c r="Q307" s="27" t="n"/>
      <c r="R307" s="27" t="n"/>
      <c r="S307" s="27" t="n"/>
      <c r="T307" s="25">
        <f>IF($C307="","",IF(OR(ISNUMBER(SEARCH("quick case",$P307)),ISNUMBER(SEARCH("quick case",$Q307))),"Yes","No"))</f>
        <v/>
      </c>
      <c r="U307" s="25">
        <f>IF($O307="Invalid",HYPERLINK("mailto:"&amp;$G307&amp;";"&amp;$I307&amp;"?cc="&amp;Lists!$E$2&amp;"&amp;subject="&amp;_xlfn.ENCODEURL("[INVALID] Quality audit monitoring completed for "&amp;UPPER($C307))&amp;"&amp;body="&amp;_xlfn.ENCODEURL("Hi "&amp;$F307&amp;","&amp;CHAR(10)&amp;"Good day!"&amp;CHAR(10)&amp;CHAR(10)&amp;"A quality monitoring audit has been completed for "&amp;$C307&amp;"."&amp;CHAR(10)&amp;CHAR(10)&amp;"QUALITY AUDIT DETAILS"&amp;CHAR(10)&amp;"Agent Name: "&amp;$C307&amp;" (EID "&amp;$D307&amp;")"&amp;CHAR(10)&amp;"Audit Date: "&amp;TEXT($B307,"yyyy-mm-dd")&amp;CHAR(10)&amp;"Team Leader: "&amp;$F307&amp;CHAR(10)&amp;"Case Number: "&amp;$M307&amp;CHAR(10)&amp;"Transaction ID: "&amp;$N307&amp;CHAR(10)&amp;"Channel / LOB: "&amp;$K307&amp;" / "&amp;$L307&amp;CHAR(10)&amp;"Evaluator: "&amp;$S307&amp;CHAR(10)&amp;CHAR(10)&amp;"INVALID QUALITY AUDIT DETAILS"&amp;CHAR(10)&amp;"Validation: Invalid"&amp;CHAR(10)&amp;"Invalid Reason: "&amp;$P307&amp;CHAR(10)&amp;"Expected Resolution Code: "&amp;$Q307&amp;CHAR(10)&amp;"Remarks: "&amp;LEFT($R307,600)&amp;CHAR(10)&amp;CHAR(10)&amp;"This is an automated notification from HP Mainstream EQMS."),"✉ Open Email Draft"),"")</f>
        <v/>
      </c>
    </row>
    <row r="308">
      <c r="A308" s="25">
        <f>IF($C308="","","AUD-2026-"&amp;TEXT(ROW()-1,"000000"))</f>
        <v/>
      </c>
      <c r="B308" s="26" t="n"/>
      <c r="C308" s="27" t="n"/>
      <c r="D308" s="25">
        <f>IF($C308="","",IFERROR(IF(INDEX(Roster!$A:$A,MATCH($C308,Roster!$B:$B,0))="","",INDEX(Roster!$A:$A,MATCH($C308,Roster!$B:$B,0))&amp;""),"—"))</f>
        <v/>
      </c>
      <c r="E308" s="25">
        <f>IF($C308="","",IFERROR(IF(INDEX(Roster!$C:$C,MATCH($C308,Roster!$B:$B,0))="","",INDEX(Roster!$C:$C,MATCH($C308,Roster!$B:$B,0))&amp;""),"—"))</f>
        <v/>
      </c>
      <c r="F308" s="25">
        <f>IF($C308="","",IFERROR(IF(INDEX(Roster!$D:$D,MATCH($C308,Roster!$B:$B,0))="","",INDEX(Roster!$D:$D,MATCH($C308,Roster!$B:$B,0))&amp;""),"—"))</f>
        <v/>
      </c>
      <c r="G308" s="25">
        <f>IF($C308="","",IFERROR(IF(INDEX(Roster!$E:$E,MATCH($C308,Roster!$B:$B,0))="","",INDEX(Roster!$E:$E,MATCH($C308,Roster!$B:$B,0))&amp;""),"—"))</f>
        <v/>
      </c>
      <c r="H308" s="25">
        <f>IF($C308="","",IFERROR(IF(INDEX(Roster!$F:$F,MATCH($C308,Roster!$B:$B,0))="","",INDEX(Roster!$F:$F,MATCH($C308,Roster!$B:$B,0))&amp;""),"—"))</f>
        <v/>
      </c>
      <c r="I308" s="25">
        <f>IF($C308="","",IFERROR(IF(INDEX(Roster!$G:$G,MATCH($C308,Roster!$B:$B,0))="","",INDEX(Roster!$G:$G,MATCH($C308,Roster!$B:$B,0))&amp;""),"—"))</f>
        <v/>
      </c>
      <c r="J308" s="25">
        <f>IF($C308="","",IFERROR(IF(INDEX(Roster!$I:$I,MATCH($C308,Roster!$B:$B,0))="","",INDEX(Roster!$I:$I,MATCH($C308,Roster!$B:$B,0))&amp;""),"—"))</f>
        <v/>
      </c>
      <c r="K308">
        <f>IF($C308="","",IFERROR(IF(INDEX(Roster!$J:$J,MATCH($C308,Roster!$B:$B,0))="","",INDEX(Roster!$J:$J,MATCH($C308,Roster!$B:$B,0))&amp;""),"—"))</f>
        <v/>
      </c>
      <c r="L308">
        <f>IF($C308="","",IFERROR(IF(INDEX(Roster!$K:$K,MATCH($C308,Roster!$B:$B,0))="","",INDEX(Roster!$K:$K,MATCH($C308,Roster!$B:$B,0))&amp;""),"—"))</f>
        <v/>
      </c>
      <c r="M308" s="27" t="n"/>
      <c r="N308" s="27" t="n"/>
      <c r="O308" s="25">
        <f>IF($C308="","",IF($P308="","—",IF($P308="Valid (Pass)","Valid","Invalid")))</f>
        <v/>
      </c>
      <c r="P308" s="27" t="n"/>
      <c r="Q308" s="27" t="n"/>
      <c r="R308" s="27" t="n"/>
      <c r="S308" s="27" t="n"/>
      <c r="T308" s="25">
        <f>IF($C308="","",IF(OR(ISNUMBER(SEARCH("quick case",$P308)),ISNUMBER(SEARCH("quick case",$Q308))),"Yes","No"))</f>
        <v/>
      </c>
      <c r="U308" s="25">
        <f>IF($O308="Invalid",HYPERLINK("mailto:"&amp;$G308&amp;";"&amp;$I308&amp;"?cc="&amp;Lists!$E$2&amp;"&amp;subject="&amp;_xlfn.ENCODEURL("[INVALID] Quality audit monitoring completed for "&amp;UPPER($C308))&amp;"&amp;body="&amp;_xlfn.ENCODEURL("Hi "&amp;$F308&amp;","&amp;CHAR(10)&amp;"Good day!"&amp;CHAR(10)&amp;CHAR(10)&amp;"A quality monitoring audit has been completed for "&amp;$C308&amp;"."&amp;CHAR(10)&amp;CHAR(10)&amp;"QUALITY AUDIT DETAILS"&amp;CHAR(10)&amp;"Agent Name: "&amp;$C308&amp;" (EID "&amp;$D308&amp;")"&amp;CHAR(10)&amp;"Audit Date: "&amp;TEXT($B308,"yyyy-mm-dd")&amp;CHAR(10)&amp;"Team Leader: "&amp;$F308&amp;CHAR(10)&amp;"Case Number: "&amp;$M308&amp;CHAR(10)&amp;"Transaction ID: "&amp;$N308&amp;CHAR(10)&amp;"Channel / LOB: "&amp;$K308&amp;" / "&amp;$L308&amp;CHAR(10)&amp;"Evaluator: "&amp;$S308&amp;CHAR(10)&amp;CHAR(10)&amp;"INVALID QUALITY AUDIT DETAILS"&amp;CHAR(10)&amp;"Validation: Invalid"&amp;CHAR(10)&amp;"Invalid Reason: "&amp;$P308&amp;CHAR(10)&amp;"Expected Resolution Code: "&amp;$Q308&amp;CHAR(10)&amp;"Remarks: "&amp;LEFT($R308,600)&amp;CHAR(10)&amp;CHAR(10)&amp;"This is an automated notification from HP Mainstream EQMS."),"✉ Open Email Draft"),"")</f>
        <v/>
      </c>
    </row>
    <row r="309">
      <c r="A309" s="25">
        <f>IF($C309="","","AUD-2026-"&amp;TEXT(ROW()-1,"000000"))</f>
        <v/>
      </c>
      <c r="B309" s="26" t="n"/>
      <c r="C309" s="27" t="n"/>
      <c r="D309" s="25">
        <f>IF($C309="","",IFERROR(IF(INDEX(Roster!$A:$A,MATCH($C309,Roster!$B:$B,0))="","",INDEX(Roster!$A:$A,MATCH($C309,Roster!$B:$B,0))&amp;""),"—"))</f>
        <v/>
      </c>
      <c r="E309" s="25">
        <f>IF($C309="","",IFERROR(IF(INDEX(Roster!$C:$C,MATCH($C309,Roster!$B:$B,0))="","",INDEX(Roster!$C:$C,MATCH($C309,Roster!$B:$B,0))&amp;""),"—"))</f>
        <v/>
      </c>
      <c r="F309" s="25">
        <f>IF($C309="","",IFERROR(IF(INDEX(Roster!$D:$D,MATCH($C309,Roster!$B:$B,0))="","",INDEX(Roster!$D:$D,MATCH($C309,Roster!$B:$B,0))&amp;""),"—"))</f>
        <v/>
      </c>
      <c r="G309" s="25">
        <f>IF($C309="","",IFERROR(IF(INDEX(Roster!$E:$E,MATCH($C309,Roster!$B:$B,0))="","",INDEX(Roster!$E:$E,MATCH($C309,Roster!$B:$B,0))&amp;""),"—"))</f>
        <v/>
      </c>
      <c r="H309" s="25">
        <f>IF($C309="","",IFERROR(IF(INDEX(Roster!$F:$F,MATCH($C309,Roster!$B:$B,0))="","",INDEX(Roster!$F:$F,MATCH($C309,Roster!$B:$B,0))&amp;""),"—"))</f>
        <v/>
      </c>
      <c r="I309" s="25">
        <f>IF($C309="","",IFERROR(IF(INDEX(Roster!$G:$G,MATCH($C309,Roster!$B:$B,0))="","",INDEX(Roster!$G:$G,MATCH($C309,Roster!$B:$B,0))&amp;""),"—"))</f>
        <v/>
      </c>
      <c r="J309" s="25">
        <f>IF($C309="","",IFERROR(IF(INDEX(Roster!$I:$I,MATCH($C309,Roster!$B:$B,0))="","",INDEX(Roster!$I:$I,MATCH($C309,Roster!$B:$B,0))&amp;""),"—"))</f>
        <v/>
      </c>
      <c r="K309">
        <f>IF($C309="","",IFERROR(IF(INDEX(Roster!$J:$J,MATCH($C309,Roster!$B:$B,0))="","",INDEX(Roster!$J:$J,MATCH($C309,Roster!$B:$B,0))&amp;""),"—"))</f>
        <v/>
      </c>
      <c r="L309">
        <f>IF($C309="","",IFERROR(IF(INDEX(Roster!$K:$K,MATCH($C309,Roster!$B:$B,0))="","",INDEX(Roster!$K:$K,MATCH($C309,Roster!$B:$B,0))&amp;""),"—"))</f>
        <v/>
      </c>
      <c r="M309" s="27" t="n"/>
      <c r="N309" s="27" t="n"/>
      <c r="O309" s="25">
        <f>IF($C309="","",IF($P309="","—",IF($P309="Valid (Pass)","Valid","Invalid")))</f>
        <v/>
      </c>
      <c r="P309" s="27" t="n"/>
      <c r="Q309" s="27" t="n"/>
      <c r="R309" s="27" t="n"/>
      <c r="S309" s="27" t="n"/>
      <c r="T309" s="25">
        <f>IF($C309="","",IF(OR(ISNUMBER(SEARCH("quick case",$P309)),ISNUMBER(SEARCH("quick case",$Q309))),"Yes","No"))</f>
        <v/>
      </c>
      <c r="U309" s="25">
        <f>IF($O309="Invalid",HYPERLINK("mailto:"&amp;$G309&amp;";"&amp;$I309&amp;"?cc="&amp;Lists!$E$2&amp;"&amp;subject="&amp;_xlfn.ENCODEURL("[INVALID] Quality audit monitoring completed for "&amp;UPPER($C309))&amp;"&amp;body="&amp;_xlfn.ENCODEURL("Hi "&amp;$F309&amp;","&amp;CHAR(10)&amp;"Good day!"&amp;CHAR(10)&amp;CHAR(10)&amp;"A quality monitoring audit has been completed for "&amp;$C309&amp;"."&amp;CHAR(10)&amp;CHAR(10)&amp;"QUALITY AUDIT DETAILS"&amp;CHAR(10)&amp;"Agent Name: "&amp;$C309&amp;" (EID "&amp;$D309&amp;")"&amp;CHAR(10)&amp;"Audit Date: "&amp;TEXT($B309,"yyyy-mm-dd")&amp;CHAR(10)&amp;"Team Leader: "&amp;$F309&amp;CHAR(10)&amp;"Case Number: "&amp;$M309&amp;CHAR(10)&amp;"Transaction ID: "&amp;$N309&amp;CHAR(10)&amp;"Channel / LOB: "&amp;$K309&amp;" / "&amp;$L309&amp;CHAR(10)&amp;"Evaluator: "&amp;$S309&amp;CHAR(10)&amp;CHAR(10)&amp;"INVALID QUALITY AUDIT DETAILS"&amp;CHAR(10)&amp;"Validation: Invalid"&amp;CHAR(10)&amp;"Invalid Reason: "&amp;$P309&amp;CHAR(10)&amp;"Expected Resolution Code: "&amp;$Q309&amp;CHAR(10)&amp;"Remarks: "&amp;LEFT($R309,600)&amp;CHAR(10)&amp;CHAR(10)&amp;"This is an automated notification from HP Mainstream EQMS."),"✉ Open Email Draft"),"")</f>
        <v/>
      </c>
    </row>
    <row r="310">
      <c r="A310" s="25">
        <f>IF($C310="","","AUD-2026-"&amp;TEXT(ROW()-1,"000000"))</f>
        <v/>
      </c>
      <c r="B310" s="26" t="n"/>
      <c r="C310" s="27" t="n"/>
      <c r="D310" s="25">
        <f>IF($C310="","",IFERROR(IF(INDEX(Roster!$A:$A,MATCH($C310,Roster!$B:$B,0))="","",INDEX(Roster!$A:$A,MATCH($C310,Roster!$B:$B,0))&amp;""),"—"))</f>
        <v/>
      </c>
      <c r="E310" s="25">
        <f>IF($C310="","",IFERROR(IF(INDEX(Roster!$C:$C,MATCH($C310,Roster!$B:$B,0))="","",INDEX(Roster!$C:$C,MATCH($C310,Roster!$B:$B,0))&amp;""),"—"))</f>
        <v/>
      </c>
      <c r="F310" s="25">
        <f>IF($C310="","",IFERROR(IF(INDEX(Roster!$D:$D,MATCH($C310,Roster!$B:$B,0))="","",INDEX(Roster!$D:$D,MATCH($C310,Roster!$B:$B,0))&amp;""),"—"))</f>
        <v/>
      </c>
      <c r="G310" s="25">
        <f>IF($C310="","",IFERROR(IF(INDEX(Roster!$E:$E,MATCH($C310,Roster!$B:$B,0))="","",INDEX(Roster!$E:$E,MATCH($C310,Roster!$B:$B,0))&amp;""),"—"))</f>
        <v/>
      </c>
      <c r="H310" s="25">
        <f>IF($C310="","",IFERROR(IF(INDEX(Roster!$F:$F,MATCH($C310,Roster!$B:$B,0))="","",INDEX(Roster!$F:$F,MATCH($C310,Roster!$B:$B,0))&amp;""),"—"))</f>
        <v/>
      </c>
      <c r="I310" s="25">
        <f>IF($C310="","",IFERROR(IF(INDEX(Roster!$G:$G,MATCH($C310,Roster!$B:$B,0))="","",INDEX(Roster!$G:$G,MATCH($C310,Roster!$B:$B,0))&amp;""),"—"))</f>
        <v/>
      </c>
      <c r="J310" s="25">
        <f>IF($C310="","",IFERROR(IF(INDEX(Roster!$I:$I,MATCH($C310,Roster!$B:$B,0))="","",INDEX(Roster!$I:$I,MATCH($C310,Roster!$B:$B,0))&amp;""),"—"))</f>
        <v/>
      </c>
      <c r="K310">
        <f>IF($C310="","",IFERROR(IF(INDEX(Roster!$J:$J,MATCH($C310,Roster!$B:$B,0))="","",INDEX(Roster!$J:$J,MATCH($C310,Roster!$B:$B,0))&amp;""),"—"))</f>
        <v/>
      </c>
      <c r="L310">
        <f>IF($C310="","",IFERROR(IF(INDEX(Roster!$K:$K,MATCH($C310,Roster!$B:$B,0))="","",INDEX(Roster!$K:$K,MATCH($C310,Roster!$B:$B,0))&amp;""),"—"))</f>
        <v/>
      </c>
      <c r="M310" s="27" t="n"/>
      <c r="N310" s="27" t="n"/>
      <c r="O310" s="25">
        <f>IF($C310="","",IF($P310="","—",IF($P310="Valid (Pass)","Valid","Invalid")))</f>
        <v/>
      </c>
      <c r="P310" s="27" t="n"/>
      <c r="Q310" s="27" t="n"/>
      <c r="R310" s="27" t="n"/>
      <c r="S310" s="27" t="n"/>
      <c r="T310" s="25">
        <f>IF($C310="","",IF(OR(ISNUMBER(SEARCH("quick case",$P310)),ISNUMBER(SEARCH("quick case",$Q310))),"Yes","No"))</f>
        <v/>
      </c>
      <c r="U310" s="25">
        <f>IF($O310="Invalid",HYPERLINK("mailto:"&amp;$G310&amp;";"&amp;$I310&amp;"?cc="&amp;Lists!$E$2&amp;"&amp;subject="&amp;_xlfn.ENCODEURL("[INVALID] Quality audit monitoring completed for "&amp;UPPER($C310))&amp;"&amp;body="&amp;_xlfn.ENCODEURL("Hi "&amp;$F310&amp;","&amp;CHAR(10)&amp;"Good day!"&amp;CHAR(10)&amp;CHAR(10)&amp;"A quality monitoring audit has been completed for "&amp;$C310&amp;"."&amp;CHAR(10)&amp;CHAR(10)&amp;"QUALITY AUDIT DETAILS"&amp;CHAR(10)&amp;"Agent Name: "&amp;$C310&amp;" (EID "&amp;$D310&amp;")"&amp;CHAR(10)&amp;"Audit Date: "&amp;TEXT($B310,"yyyy-mm-dd")&amp;CHAR(10)&amp;"Team Leader: "&amp;$F310&amp;CHAR(10)&amp;"Case Number: "&amp;$M310&amp;CHAR(10)&amp;"Transaction ID: "&amp;$N310&amp;CHAR(10)&amp;"Channel / LOB: "&amp;$K310&amp;" / "&amp;$L310&amp;CHAR(10)&amp;"Evaluator: "&amp;$S310&amp;CHAR(10)&amp;CHAR(10)&amp;"INVALID QUALITY AUDIT DETAILS"&amp;CHAR(10)&amp;"Validation: Invalid"&amp;CHAR(10)&amp;"Invalid Reason: "&amp;$P310&amp;CHAR(10)&amp;"Expected Resolution Code: "&amp;$Q310&amp;CHAR(10)&amp;"Remarks: "&amp;LEFT($R310,600)&amp;CHAR(10)&amp;CHAR(10)&amp;"This is an automated notification from HP Mainstream EQMS."),"✉ Open Email Draft"),"")</f>
        <v/>
      </c>
    </row>
    <row r="311">
      <c r="A311" s="25">
        <f>IF($C311="","","AUD-2026-"&amp;TEXT(ROW()-1,"000000"))</f>
        <v/>
      </c>
      <c r="B311" s="26" t="n"/>
      <c r="C311" s="27" t="n"/>
      <c r="D311" s="25">
        <f>IF($C311="","",IFERROR(IF(INDEX(Roster!$A:$A,MATCH($C311,Roster!$B:$B,0))="","",INDEX(Roster!$A:$A,MATCH($C311,Roster!$B:$B,0))&amp;""),"—"))</f>
        <v/>
      </c>
      <c r="E311" s="25">
        <f>IF($C311="","",IFERROR(IF(INDEX(Roster!$C:$C,MATCH($C311,Roster!$B:$B,0))="","",INDEX(Roster!$C:$C,MATCH($C311,Roster!$B:$B,0))&amp;""),"—"))</f>
        <v/>
      </c>
      <c r="F311" s="25">
        <f>IF($C311="","",IFERROR(IF(INDEX(Roster!$D:$D,MATCH($C311,Roster!$B:$B,0))="","",INDEX(Roster!$D:$D,MATCH($C311,Roster!$B:$B,0))&amp;""),"—"))</f>
        <v/>
      </c>
      <c r="G311" s="25">
        <f>IF($C311="","",IFERROR(IF(INDEX(Roster!$E:$E,MATCH($C311,Roster!$B:$B,0))="","",INDEX(Roster!$E:$E,MATCH($C311,Roster!$B:$B,0))&amp;""),"—"))</f>
        <v/>
      </c>
      <c r="H311" s="25">
        <f>IF($C311="","",IFERROR(IF(INDEX(Roster!$F:$F,MATCH($C311,Roster!$B:$B,0))="","",INDEX(Roster!$F:$F,MATCH($C311,Roster!$B:$B,0))&amp;""),"—"))</f>
        <v/>
      </c>
      <c r="I311" s="25">
        <f>IF($C311="","",IFERROR(IF(INDEX(Roster!$G:$G,MATCH($C311,Roster!$B:$B,0))="","",INDEX(Roster!$G:$G,MATCH($C311,Roster!$B:$B,0))&amp;""),"—"))</f>
        <v/>
      </c>
      <c r="J311" s="25">
        <f>IF($C311="","",IFERROR(IF(INDEX(Roster!$I:$I,MATCH($C311,Roster!$B:$B,0))="","",INDEX(Roster!$I:$I,MATCH($C311,Roster!$B:$B,0))&amp;""),"—"))</f>
        <v/>
      </c>
      <c r="K311">
        <f>IF($C311="","",IFERROR(IF(INDEX(Roster!$J:$J,MATCH($C311,Roster!$B:$B,0))="","",INDEX(Roster!$J:$J,MATCH($C311,Roster!$B:$B,0))&amp;""),"—"))</f>
        <v/>
      </c>
      <c r="L311">
        <f>IF($C311="","",IFERROR(IF(INDEX(Roster!$K:$K,MATCH($C311,Roster!$B:$B,0))="","",INDEX(Roster!$K:$K,MATCH($C311,Roster!$B:$B,0))&amp;""),"—"))</f>
        <v/>
      </c>
      <c r="M311" s="27" t="n"/>
      <c r="N311" s="27" t="n"/>
      <c r="O311" s="25">
        <f>IF($C311="","",IF($P311="","—",IF($P311="Valid (Pass)","Valid","Invalid")))</f>
        <v/>
      </c>
      <c r="P311" s="27" t="n"/>
      <c r="Q311" s="27" t="n"/>
      <c r="R311" s="27" t="n"/>
      <c r="S311" s="27" t="n"/>
      <c r="T311" s="25">
        <f>IF($C311="","",IF(OR(ISNUMBER(SEARCH("quick case",$P311)),ISNUMBER(SEARCH("quick case",$Q311))),"Yes","No"))</f>
        <v/>
      </c>
      <c r="U311" s="25">
        <f>IF($O311="Invalid",HYPERLINK("mailto:"&amp;$G311&amp;";"&amp;$I311&amp;"?cc="&amp;Lists!$E$2&amp;"&amp;subject="&amp;_xlfn.ENCODEURL("[INVALID] Quality audit monitoring completed for "&amp;UPPER($C311))&amp;"&amp;body="&amp;_xlfn.ENCODEURL("Hi "&amp;$F311&amp;","&amp;CHAR(10)&amp;"Good day!"&amp;CHAR(10)&amp;CHAR(10)&amp;"A quality monitoring audit has been completed for "&amp;$C311&amp;"."&amp;CHAR(10)&amp;CHAR(10)&amp;"QUALITY AUDIT DETAILS"&amp;CHAR(10)&amp;"Agent Name: "&amp;$C311&amp;" (EID "&amp;$D311&amp;")"&amp;CHAR(10)&amp;"Audit Date: "&amp;TEXT($B311,"yyyy-mm-dd")&amp;CHAR(10)&amp;"Team Leader: "&amp;$F311&amp;CHAR(10)&amp;"Case Number: "&amp;$M311&amp;CHAR(10)&amp;"Transaction ID: "&amp;$N311&amp;CHAR(10)&amp;"Channel / LOB: "&amp;$K311&amp;" / "&amp;$L311&amp;CHAR(10)&amp;"Evaluator: "&amp;$S311&amp;CHAR(10)&amp;CHAR(10)&amp;"INVALID QUALITY AUDIT DETAILS"&amp;CHAR(10)&amp;"Validation: Invalid"&amp;CHAR(10)&amp;"Invalid Reason: "&amp;$P311&amp;CHAR(10)&amp;"Expected Resolution Code: "&amp;$Q311&amp;CHAR(10)&amp;"Remarks: "&amp;LEFT($R311,600)&amp;CHAR(10)&amp;CHAR(10)&amp;"This is an automated notification from HP Mainstream EQMS."),"✉ Open Email Draft"),"")</f>
        <v/>
      </c>
    </row>
    <row r="312">
      <c r="A312" s="25">
        <f>IF($C312="","","AUD-2026-"&amp;TEXT(ROW()-1,"000000"))</f>
        <v/>
      </c>
      <c r="B312" s="26" t="n"/>
      <c r="C312" s="27" t="n"/>
      <c r="D312" s="25">
        <f>IF($C312="","",IFERROR(IF(INDEX(Roster!$A:$A,MATCH($C312,Roster!$B:$B,0))="","",INDEX(Roster!$A:$A,MATCH($C312,Roster!$B:$B,0))&amp;""),"—"))</f>
        <v/>
      </c>
      <c r="E312" s="25">
        <f>IF($C312="","",IFERROR(IF(INDEX(Roster!$C:$C,MATCH($C312,Roster!$B:$B,0))="","",INDEX(Roster!$C:$C,MATCH($C312,Roster!$B:$B,0))&amp;""),"—"))</f>
        <v/>
      </c>
      <c r="F312" s="25">
        <f>IF($C312="","",IFERROR(IF(INDEX(Roster!$D:$D,MATCH($C312,Roster!$B:$B,0))="","",INDEX(Roster!$D:$D,MATCH($C312,Roster!$B:$B,0))&amp;""),"—"))</f>
        <v/>
      </c>
      <c r="G312" s="25">
        <f>IF($C312="","",IFERROR(IF(INDEX(Roster!$E:$E,MATCH($C312,Roster!$B:$B,0))="","",INDEX(Roster!$E:$E,MATCH($C312,Roster!$B:$B,0))&amp;""),"—"))</f>
        <v/>
      </c>
      <c r="H312" s="25">
        <f>IF($C312="","",IFERROR(IF(INDEX(Roster!$F:$F,MATCH($C312,Roster!$B:$B,0))="","",INDEX(Roster!$F:$F,MATCH($C312,Roster!$B:$B,0))&amp;""),"—"))</f>
        <v/>
      </c>
      <c r="I312" s="25">
        <f>IF($C312="","",IFERROR(IF(INDEX(Roster!$G:$G,MATCH($C312,Roster!$B:$B,0))="","",INDEX(Roster!$G:$G,MATCH($C312,Roster!$B:$B,0))&amp;""),"—"))</f>
        <v/>
      </c>
      <c r="J312" s="25">
        <f>IF($C312="","",IFERROR(IF(INDEX(Roster!$I:$I,MATCH($C312,Roster!$B:$B,0))="","",INDEX(Roster!$I:$I,MATCH($C312,Roster!$B:$B,0))&amp;""),"—"))</f>
        <v/>
      </c>
      <c r="K312">
        <f>IF($C312="","",IFERROR(IF(INDEX(Roster!$J:$J,MATCH($C312,Roster!$B:$B,0))="","",INDEX(Roster!$J:$J,MATCH($C312,Roster!$B:$B,0))&amp;""),"—"))</f>
        <v/>
      </c>
      <c r="L312">
        <f>IF($C312="","",IFERROR(IF(INDEX(Roster!$K:$K,MATCH($C312,Roster!$B:$B,0))="","",INDEX(Roster!$K:$K,MATCH($C312,Roster!$B:$B,0))&amp;""),"—"))</f>
        <v/>
      </c>
      <c r="M312" s="27" t="n"/>
      <c r="N312" s="27" t="n"/>
      <c r="O312" s="25">
        <f>IF($C312="","",IF($P312="","—",IF($P312="Valid (Pass)","Valid","Invalid")))</f>
        <v/>
      </c>
      <c r="P312" s="27" t="n"/>
      <c r="Q312" s="27" t="n"/>
      <c r="R312" s="27" t="n"/>
      <c r="S312" s="27" t="n"/>
      <c r="T312" s="25">
        <f>IF($C312="","",IF(OR(ISNUMBER(SEARCH("quick case",$P312)),ISNUMBER(SEARCH("quick case",$Q312))),"Yes","No"))</f>
        <v/>
      </c>
      <c r="U312" s="25">
        <f>IF($O312="Invalid",HYPERLINK("mailto:"&amp;$G312&amp;";"&amp;$I312&amp;"?cc="&amp;Lists!$E$2&amp;"&amp;subject="&amp;_xlfn.ENCODEURL("[INVALID] Quality audit monitoring completed for "&amp;UPPER($C312))&amp;"&amp;body="&amp;_xlfn.ENCODEURL("Hi "&amp;$F312&amp;","&amp;CHAR(10)&amp;"Good day!"&amp;CHAR(10)&amp;CHAR(10)&amp;"A quality monitoring audit has been completed for "&amp;$C312&amp;"."&amp;CHAR(10)&amp;CHAR(10)&amp;"QUALITY AUDIT DETAILS"&amp;CHAR(10)&amp;"Agent Name: "&amp;$C312&amp;" (EID "&amp;$D312&amp;")"&amp;CHAR(10)&amp;"Audit Date: "&amp;TEXT($B312,"yyyy-mm-dd")&amp;CHAR(10)&amp;"Team Leader: "&amp;$F312&amp;CHAR(10)&amp;"Case Number: "&amp;$M312&amp;CHAR(10)&amp;"Transaction ID: "&amp;$N312&amp;CHAR(10)&amp;"Channel / LOB: "&amp;$K312&amp;" / "&amp;$L312&amp;CHAR(10)&amp;"Evaluator: "&amp;$S312&amp;CHAR(10)&amp;CHAR(10)&amp;"INVALID QUALITY AUDIT DETAILS"&amp;CHAR(10)&amp;"Validation: Invalid"&amp;CHAR(10)&amp;"Invalid Reason: "&amp;$P312&amp;CHAR(10)&amp;"Expected Resolution Code: "&amp;$Q312&amp;CHAR(10)&amp;"Remarks: "&amp;LEFT($R312,600)&amp;CHAR(10)&amp;CHAR(10)&amp;"This is an automated notification from HP Mainstream EQMS."),"✉ Open Email Draft"),"")</f>
        <v/>
      </c>
    </row>
    <row r="313">
      <c r="A313" s="25">
        <f>IF($C313="","","AUD-2026-"&amp;TEXT(ROW()-1,"000000"))</f>
        <v/>
      </c>
      <c r="B313" s="26" t="n"/>
      <c r="C313" s="27" t="n"/>
      <c r="D313" s="25">
        <f>IF($C313="","",IFERROR(IF(INDEX(Roster!$A:$A,MATCH($C313,Roster!$B:$B,0))="","",INDEX(Roster!$A:$A,MATCH($C313,Roster!$B:$B,0))&amp;""),"—"))</f>
        <v/>
      </c>
      <c r="E313" s="25">
        <f>IF($C313="","",IFERROR(IF(INDEX(Roster!$C:$C,MATCH($C313,Roster!$B:$B,0))="","",INDEX(Roster!$C:$C,MATCH($C313,Roster!$B:$B,0))&amp;""),"—"))</f>
        <v/>
      </c>
      <c r="F313" s="25">
        <f>IF($C313="","",IFERROR(IF(INDEX(Roster!$D:$D,MATCH($C313,Roster!$B:$B,0))="","",INDEX(Roster!$D:$D,MATCH($C313,Roster!$B:$B,0))&amp;""),"—"))</f>
        <v/>
      </c>
      <c r="G313" s="25">
        <f>IF($C313="","",IFERROR(IF(INDEX(Roster!$E:$E,MATCH($C313,Roster!$B:$B,0))="","",INDEX(Roster!$E:$E,MATCH($C313,Roster!$B:$B,0))&amp;""),"—"))</f>
        <v/>
      </c>
      <c r="H313" s="25">
        <f>IF($C313="","",IFERROR(IF(INDEX(Roster!$F:$F,MATCH($C313,Roster!$B:$B,0))="","",INDEX(Roster!$F:$F,MATCH($C313,Roster!$B:$B,0))&amp;""),"—"))</f>
        <v/>
      </c>
      <c r="I313" s="25">
        <f>IF($C313="","",IFERROR(IF(INDEX(Roster!$G:$G,MATCH($C313,Roster!$B:$B,0))="","",INDEX(Roster!$G:$G,MATCH($C313,Roster!$B:$B,0))&amp;""),"—"))</f>
        <v/>
      </c>
      <c r="J313" s="25">
        <f>IF($C313="","",IFERROR(IF(INDEX(Roster!$I:$I,MATCH($C313,Roster!$B:$B,0))="","",INDEX(Roster!$I:$I,MATCH($C313,Roster!$B:$B,0))&amp;""),"—"))</f>
        <v/>
      </c>
      <c r="K313">
        <f>IF($C313="","",IFERROR(IF(INDEX(Roster!$J:$J,MATCH($C313,Roster!$B:$B,0))="","",INDEX(Roster!$J:$J,MATCH($C313,Roster!$B:$B,0))&amp;""),"—"))</f>
        <v/>
      </c>
      <c r="L313">
        <f>IF($C313="","",IFERROR(IF(INDEX(Roster!$K:$K,MATCH($C313,Roster!$B:$B,0))="","",INDEX(Roster!$K:$K,MATCH($C313,Roster!$B:$B,0))&amp;""),"—"))</f>
        <v/>
      </c>
      <c r="M313" s="27" t="n"/>
      <c r="N313" s="27" t="n"/>
      <c r="O313" s="25">
        <f>IF($C313="","",IF($P313="","—",IF($P313="Valid (Pass)","Valid","Invalid")))</f>
        <v/>
      </c>
      <c r="P313" s="27" t="n"/>
      <c r="Q313" s="27" t="n"/>
      <c r="R313" s="27" t="n"/>
      <c r="S313" s="27" t="n"/>
      <c r="T313" s="25">
        <f>IF($C313="","",IF(OR(ISNUMBER(SEARCH("quick case",$P313)),ISNUMBER(SEARCH("quick case",$Q313))),"Yes","No"))</f>
        <v/>
      </c>
      <c r="U313" s="25">
        <f>IF($O313="Invalid",HYPERLINK("mailto:"&amp;$G313&amp;";"&amp;$I313&amp;"?cc="&amp;Lists!$E$2&amp;"&amp;subject="&amp;_xlfn.ENCODEURL("[INVALID] Quality audit monitoring completed for "&amp;UPPER($C313))&amp;"&amp;body="&amp;_xlfn.ENCODEURL("Hi "&amp;$F313&amp;","&amp;CHAR(10)&amp;"Good day!"&amp;CHAR(10)&amp;CHAR(10)&amp;"A quality monitoring audit has been completed for "&amp;$C313&amp;"."&amp;CHAR(10)&amp;CHAR(10)&amp;"QUALITY AUDIT DETAILS"&amp;CHAR(10)&amp;"Agent Name: "&amp;$C313&amp;" (EID "&amp;$D313&amp;")"&amp;CHAR(10)&amp;"Audit Date: "&amp;TEXT($B313,"yyyy-mm-dd")&amp;CHAR(10)&amp;"Team Leader: "&amp;$F313&amp;CHAR(10)&amp;"Case Number: "&amp;$M313&amp;CHAR(10)&amp;"Transaction ID: "&amp;$N313&amp;CHAR(10)&amp;"Channel / LOB: "&amp;$K313&amp;" / "&amp;$L313&amp;CHAR(10)&amp;"Evaluator: "&amp;$S313&amp;CHAR(10)&amp;CHAR(10)&amp;"INVALID QUALITY AUDIT DETAILS"&amp;CHAR(10)&amp;"Validation: Invalid"&amp;CHAR(10)&amp;"Invalid Reason: "&amp;$P313&amp;CHAR(10)&amp;"Expected Resolution Code: "&amp;$Q313&amp;CHAR(10)&amp;"Remarks: "&amp;LEFT($R313,600)&amp;CHAR(10)&amp;CHAR(10)&amp;"This is an automated notification from HP Mainstream EQMS."),"✉ Open Email Draft"),"")</f>
        <v/>
      </c>
    </row>
    <row r="314">
      <c r="A314" s="25">
        <f>IF($C314="","","AUD-2026-"&amp;TEXT(ROW()-1,"000000"))</f>
        <v/>
      </c>
      <c r="B314" s="26" t="n"/>
      <c r="C314" s="27" t="n"/>
      <c r="D314" s="25">
        <f>IF($C314="","",IFERROR(IF(INDEX(Roster!$A:$A,MATCH($C314,Roster!$B:$B,0))="","",INDEX(Roster!$A:$A,MATCH($C314,Roster!$B:$B,0))&amp;""),"—"))</f>
        <v/>
      </c>
      <c r="E314" s="25">
        <f>IF($C314="","",IFERROR(IF(INDEX(Roster!$C:$C,MATCH($C314,Roster!$B:$B,0))="","",INDEX(Roster!$C:$C,MATCH($C314,Roster!$B:$B,0))&amp;""),"—"))</f>
        <v/>
      </c>
      <c r="F314" s="25">
        <f>IF($C314="","",IFERROR(IF(INDEX(Roster!$D:$D,MATCH($C314,Roster!$B:$B,0))="","",INDEX(Roster!$D:$D,MATCH($C314,Roster!$B:$B,0))&amp;""),"—"))</f>
        <v/>
      </c>
      <c r="G314" s="25">
        <f>IF($C314="","",IFERROR(IF(INDEX(Roster!$E:$E,MATCH($C314,Roster!$B:$B,0))="","",INDEX(Roster!$E:$E,MATCH($C314,Roster!$B:$B,0))&amp;""),"—"))</f>
        <v/>
      </c>
      <c r="H314" s="25">
        <f>IF($C314="","",IFERROR(IF(INDEX(Roster!$F:$F,MATCH($C314,Roster!$B:$B,0))="","",INDEX(Roster!$F:$F,MATCH($C314,Roster!$B:$B,0))&amp;""),"—"))</f>
        <v/>
      </c>
      <c r="I314" s="25">
        <f>IF($C314="","",IFERROR(IF(INDEX(Roster!$G:$G,MATCH($C314,Roster!$B:$B,0))="","",INDEX(Roster!$G:$G,MATCH($C314,Roster!$B:$B,0))&amp;""),"—"))</f>
        <v/>
      </c>
      <c r="J314" s="25">
        <f>IF($C314="","",IFERROR(IF(INDEX(Roster!$I:$I,MATCH($C314,Roster!$B:$B,0))="","",INDEX(Roster!$I:$I,MATCH($C314,Roster!$B:$B,0))&amp;""),"—"))</f>
        <v/>
      </c>
      <c r="K314">
        <f>IF($C314="","",IFERROR(IF(INDEX(Roster!$J:$J,MATCH($C314,Roster!$B:$B,0))="","",INDEX(Roster!$J:$J,MATCH($C314,Roster!$B:$B,0))&amp;""),"—"))</f>
        <v/>
      </c>
      <c r="L314">
        <f>IF($C314="","",IFERROR(IF(INDEX(Roster!$K:$K,MATCH($C314,Roster!$B:$B,0))="","",INDEX(Roster!$K:$K,MATCH($C314,Roster!$B:$B,0))&amp;""),"—"))</f>
        <v/>
      </c>
      <c r="M314" s="27" t="n"/>
      <c r="N314" s="27" t="n"/>
      <c r="O314" s="25">
        <f>IF($C314="","",IF($P314="","—",IF($P314="Valid (Pass)","Valid","Invalid")))</f>
        <v/>
      </c>
      <c r="P314" s="27" t="n"/>
      <c r="Q314" s="27" t="n"/>
      <c r="R314" s="27" t="n"/>
      <c r="S314" s="27" t="n"/>
      <c r="T314" s="25">
        <f>IF($C314="","",IF(OR(ISNUMBER(SEARCH("quick case",$P314)),ISNUMBER(SEARCH("quick case",$Q314))),"Yes","No"))</f>
        <v/>
      </c>
      <c r="U314" s="25">
        <f>IF($O314="Invalid",HYPERLINK("mailto:"&amp;$G314&amp;";"&amp;$I314&amp;"?cc="&amp;Lists!$E$2&amp;"&amp;subject="&amp;_xlfn.ENCODEURL("[INVALID] Quality audit monitoring completed for "&amp;UPPER($C314))&amp;"&amp;body="&amp;_xlfn.ENCODEURL("Hi "&amp;$F314&amp;","&amp;CHAR(10)&amp;"Good day!"&amp;CHAR(10)&amp;CHAR(10)&amp;"A quality monitoring audit has been completed for "&amp;$C314&amp;"."&amp;CHAR(10)&amp;CHAR(10)&amp;"QUALITY AUDIT DETAILS"&amp;CHAR(10)&amp;"Agent Name: "&amp;$C314&amp;" (EID "&amp;$D314&amp;")"&amp;CHAR(10)&amp;"Audit Date: "&amp;TEXT($B314,"yyyy-mm-dd")&amp;CHAR(10)&amp;"Team Leader: "&amp;$F314&amp;CHAR(10)&amp;"Case Number: "&amp;$M314&amp;CHAR(10)&amp;"Transaction ID: "&amp;$N314&amp;CHAR(10)&amp;"Channel / LOB: "&amp;$K314&amp;" / "&amp;$L314&amp;CHAR(10)&amp;"Evaluator: "&amp;$S314&amp;CHAR(10)&amp;CHAR(10)&amp;"INVALID QUALITY AUDIT DETAILS"&amp;CHAR(10)&amp;"Validation: Invalid"&amp;CHAR(10)&amp;"Invalid Reason: "&amp;$P314&amp;CHAR(10)&amp;"Expected Resolution Code: "&amp;$Q314&amp;CHAR(10)&amp;"Remarks: "&amp;LEFT($R314,600)&amp;CHAR(10)&amp;CHAR(10)&amp;"This is an automated notification from HP Mainstream EQMS."),"✉ Open Email Draft"),"")</f>
        <v/>
      </c>
    </row>
    <row r="315">
      <c r="A315" s="25">
        <f>IF($C315="","","AUD-2026-"&amp;TEXT(ROW()-1,"000000"))</f>
        <v/>
      </c>
      <c r="B315" s="26" t="n"/>
      <c r="C315" s="27" t="n"/>
      <c r="D315" s="25">
        <f>IF($C315="","",IFERROR(IF(INDEX(Roster!$A:$A,MATCH($C315,Roster!$B:$B,0))="","",INDEX(Roster!$A:$A,MATCH($C315,Roster!$B:$B,0))&amp;""),"—"))</f>
        <v/>
      </c>
      <c r="E315" s="25">
        <f>IF($C315="","",IFERROR(IF(INDEX(Roster!$C:$C,MATCH($C315,Roster!$B:$B,0))="","",INDEX(Roster!$C:$C,MATCH($C315,Roster!$B:$B,0))&amp;""),"—"))</f>
        <v/>
      </c>
      <c r="F315" s="25">
        <f>IF($C315="","",IFERROR(IF(INDEX(Roster!$D:$D,MATCH($C315,Roster!$B:$B,0))="","",INDEX(Roster!$D:$D,MATCH($C315,Roster!$B:$B,0))&amp;""),"—"))</f>
        <v/>
      </c>
      <c r="G315" s="25">
        <f>IF($C315="","",IFERROR(IF(INDEX(Roster!$E:$E,MATCH($C315,Roster!$B:$B,0))="","",INDEX(Roster!$E:$E,MATCH($C315,Roster!$B:$B,0))&amp;""),"—"))</f>
        <v/>
      </c>
      <c r="H315" s="25">
        <f>IF($C315="","",IFERROR(IF(INDEX(Roster!$F:$F,MATCH($C315,Roster!$B:$B,0))="","",INDEX(Roster!$F:$F,MATCH($C315,Roster!$B:$B,0))&amp;""),"—"))</f>
        <v/>
      </c>
      <c r="I315" s="25">
        <f>IF($C315="","",IFERROR(IF(INDEX(Roster!$G:$G,MATCH($C315,Roster!$B:$B,0))="","",INDEX(Roster!$G:$G,MATCH($C315,Roster!$B:$B,0))&amp;""),"—"))</f>
        <v/>
      </c>
      <c r="J315" s="25">
        <f>IF($C315="","",IFERROR(IF(INDEX(Roster!$I:$I,MATCH($C315,Roster!$B:$B,0))="","",INDEX(Roster!$I:$I,MATCH($C315,Roster!$B:$B,0))&amp;""),"—"))</f>
        <v/>
      </c>
      <c r="K315">
        <f>IF($C315="","",IFERROR(IF(INDEX(Roster!$J:$J,MATCH($C315,Roster!$B:$B,0))="","",INDEX(Roster!$J:$J,MATCH($C315,Roster!$B:$B,0))&amp;""),"—"))</f>
        <v/>
      </c>
      <c r="L315">
        <f>IF($C315="","",IFERROR(IF(INDEX(Roster!$K:$K,MATCH($C315,Roster!$B:$B,0))="","",INDEX(Roster!$K:$K,MATCH($C315,Roster!$B:$B,0))&amp;""),"—"))</f>
        <v/>
      </c>
      <c r="M315" s="27" t="n"/>
      <c r="N315" s="27" t="n"/>
      <c r="O315" s="25">
        <f>IF($C315="","",IF($P315="","—",IF($P315="Valid (Pass)","Valid","Invalid")))</f>
        <v/>
      </c>
      <c r="P315" s="27" t="n"/>
      <c r="Q315" s="27" t="n"/>
      <c r="R315" s="27" t="n"/>
      <c r="S315" s="27" t="n"/>
      <c r="T315" s="25">
        <f>IF($C315="","",IF(OR(ISNUMBER(SEARCH("quick case",$P315)),ISNUMBER(SEARCH("quick case",$Q315))),"Yes","No"))</f>
        <v/>
      </c>
      <c r="U315" s="25">
        <f>IF($O315="Invalid",HYPERLINK("mailto:"&amp;$G315&amp;";"&amp;$I315&amp;"?cc="&amp;Lists!$E$2&amp;"&amp;subject="&amp;_xlfn.ENCODEURL("[INVALID] Quality audit monitoring completed for "&amp;UPPER($C315))&amp;"&amp;body="&amp;_xlfn.ENCODEURL("Hi "&amp;$F315&amp;","&amp;CHAR(10)&amp;"Good day!"&amp;CHAR(10)&amp;CHAR(10)&amp;"A quality monitoring audit has been completed for "&amp;$C315&amp;"."&amp;CHAR(10)&amp;CHAR(10)&amp;"QUALITY AUDIT DETAILS"&amp;CHAR(10)&amp;"Agent Name: "&amp;$C315&amp;" (EID "&amp;$D315&amp;")"&amp;CHAR(10)&amp;"Audit Date: "&amp;TEXT($B315,"yyyy-mm-dd")&amp;CHAR(10)&amp;"Team Leader: "&amp;$F315&amp;CHAR(10)&amp;"Case Number: "&amp;$M315&amp;CHAR(10)&amp;"Transaction ID: "&amp;$N315&amp;CHAR(10)&amp;"Channel / LOB: "&amp;$K315&amp;" / "&amp;$L315&amp;CHAR(10)&amp;"Evaluator: "&amp;$S315&amp;CHAR(10)&amp;CHAR(10)&amp;"INVALID QUALITY AUDIT DETAILS"&amp;CHAR(10)&amp;"Validation: Invalid"&amp;CHAR(10)&amp;"Invalid Reason: "&amp;$P315&amp;CHAR(10)&amp;"Expected Resolution Code: "&amp;$Q315&amp;CHAR(10)&amp;"Remarks: "&amp;LEFT($R315,600)&amp;CHAR(10)&amp;CHAR(10)&amp;"This is an automated notification from HP Mainstream EQMS."),"✉ Open Email Draft"),"")</f>
        <v/>
      </c>
    </row>
    <row r="316">
      <c r="A316" s="25">
        <f>IF($C316="","","AUD-2026-"&amp;TEXT(ROW()-1,"000000"))</f>
        <v/>
      </c>
      <c r="B316" s="26" t="n"/>
      <c r="C316" s="27" t="n"/>
      <c r="D316" s="25">
        <f>IF($C316="","",IFERROR(IF(INDEX(Roster!$A:$A,MATCH($C316,Roster!$B:$B,0))="","",INDEX(Roster!$A:$A,MATCH($C316,Roster!$B:$B,0))&amp;""),"—"))</f>
        <v/>
      </c>
      <c r="E316" s="25">
        <f>IF($C316="","",IFERROR(IF(INDEX(Roster!$C:$C,MATCH($C316,Roster!$B:$B,0))="","",INDEX(Roster!$C:$C,MATCH($C316,Roster!$B:$B,0))&amp;""),"—"))</f>
        <v/>
      </c>
      <c r="F316" s="25">
        <f>IF($C316="","",IFERROR(IF(INDEX(Roster!$D:$D,MATCH($C316,Roster!$B:$B,0))="","",INDEX(Roster!$D:$D,MATCH($C316,Roster!$B:$B,0))&amp;""),"—"))</f>
        <v/>
      </c>
      <c r="G316" s="25">
        <f>IF($C316="","",IFERROR(IF(INDEX(Roster!$E:$E,MATCH($C316,Roster!$B:$B,0))="","",INDEX(Roster!$E:$E,MATCH($C316,Roster!$B:$B,0))&amp;""),"—"))</f>
        <v/>
      </c>
      <c r="H316" s="25">
        <f>IF($C316="","",IFERROR(IF(INDEX(Roster!$F:$F,MATCH($C316,Roster!$B:$B,0))="","",INDEX(Roster!$F:$F,MATCH($C316,Roster!$B:$B,0))&amp;""),"—"))</f>
        <v/>
      </c>
      <c r="I316" s="25">
        <f>IF($C316="","",IFERROR(IF(INDEX(Roster!$G:$G,MATCH($C316,Roster!$B:$B,0))="","",INDEX(Roster!$G:$G,MATCH($C316,Roster!$B:$B,0))&amp;""),"—"))</f>
        <v/>
      </c>
      <c r="J316" s="25">
        <f>IF($C316="","",IFERROR(IF(INDEX(Roster!$I:$I,MATCH($C316,Roster!$B:$B,0))="","",INDEX(Roster!$I:$I,MATCH($C316,Roster!$B:$B,0))&amp;""),"—"))</f>
        <v/>
      </c>
      <c r="K316">
        <f>IF($C316="","",IFERROR(IF(INDEX(Roster!$J:$J,MATCH($C316,Roster!$B:$B,0))="","",INDEX(Roster!$J:$J,MATCH($C316,Roster!$B:$B,0))&amp;""),"—"))</f>
        <v/>
      </c>
      <c r="L316">
        <f>IF($C316="","",IFERROR(IF(INDEX(Roster!$K:$K,MATCH($C316,Roster!$B:$B,0))="","",INDEX(Roster!$K:$K,MATCH($C316,Roster!$B:$B,0))&amp;""),"—"))</f>
        <v/>
      </c>
      <c r="M316" s="27" t="n"/>
      <c r="N316" s="27" t="n"/>
      <c r="O316" s="25">
        <f>IF($C316="","",IF($P316="","—",IF($P316="Valid (Pass)","Valid","Invalid")))</f>
        <v/>
      </c>
      <c r="P316" s="27" t="n"/>
      <c r="Q316" s="27" t="n"/>
      <c r="R316" s="27" t="n"/>
      <c r="S316" s="27" t="n"/>
      <c r="T316" s="25">
        <f>IF($C316="","",IF(OR(ISNUMBER(SEARCH("quick case",$P316)),ISNUMBER(SEARCH("quick case",$Q316))),"Yes","No"))</f>
        <v/>
      </c>
      <c r="U316" s="25">
        <f>IF($O316="Invalid",HYPERLINK("mailto:"&amp;$G316&amp;";"&amp;$I316&amp;"?cc="&amp;Lists!$E$2&amp;"&amp;subject="&amp;_xlfn.ENCODEURL("[INVALID] Quality audit monitoring completed for "&amp;UPPER($C316))&amp;"&amp;body="&amp;_xlfn.ENCODEURL("Hi "&amp;$F316&amp;","&amp;CHAR(10)&amp;"Good day!"&amp;CHAR(10)&amp;CHAR(10)&amp;"A quality monitoring audit has been completed for "&amp;$C316&amp;"."&amp;CHAR(10)&amp;CHAR(10)&amp;"QUALITY AUDIT DETAILS"&amp;CHAR(10)&amp;"Agent Name: "&amp;$C316&amp;" (EID "&amp;$D316&amp;")"&amp;CHAR(10)&amp;"Audit Date: "&amp;TEXT($B316,"yyyy-mm-dd")&amp;CHAR(10)&amp;"Team Leader: "&amp;$F316&amp;CHAR(10)&amp;"Case Number: "&amp;$M316&amp;CHAR(10)&amp;"Transaction ID: "&amp;$N316&amp;CHAR(10)&amp;"Channel / LOB: "&amp;$K316&amp;" / "&amp;$L316&amp;CHAR(10)&amp;"Evaluator: "&amp;$S316&amp;CHAR(10)&amp;CHAR(10)&amp;"INVALID QUALITY AUDIT DETAILS"&amp;CHAR(10)&amp;"Validation: Invalid"&amp;CHAR(10)&amp;"Invalid Reason: "&amp;$P316&amp;CHAR(10)&amp;"Expected Resolution Code: "&amp;$Q316&amp;CHAR(10)&amp;"Remarks: "&amp;LEFT($R316,600)&amp;CHAR(10)&amp;CHAR(10)&amp;"This is an automated notification from HP Mainstream EQMS."),"✉ Open Email Draft"),"")</f>
        <v/>
      </c>
    </row>
    <row r="317">
      <c r="A317" s="25">
        <f>IF($C317="","","AUD-2026-"&amp;TEXT(ROW()-1,"000000"))</f>
        <v/>
      </c>
      <c r="B317" s="26" t="n"/>
      <c r="C317" s="27" t="n"/>
      <c r="D317" s="25">
        <f>IF($C317="","",IFERROR(IF(INDEX(Roster!$A:$A,MATCH($C317,Roster!$B:$B,0))="","",INDEX(Roster!$A:$A,MATCH($C317,Roster!$B:$B,0))&amp;""),"—"))</f>
        <v/>
      </c>
      <c r="E317" s="25">
        <f>IF($C317="","",IFERROR(IF(INDEX(Roster!$C:$C,MATCH($C317,Roster!$B:$B,0))="","",INDEX(Roster!$C:$C,MATCH($C317,Roster!$B:$B,0))&amp;""),"—"))</f>
        <v/>
      </c>
      <c r="F317" s="25">
        <f>IF($C317="","",IFERROR(IF(INDEX(Roster!$D:$D,MATCH($C317,Roster!$B:$B,0))="","",INDEX(Roster!$D:$D,MATCH($C317,Roster!$B:$B,0))&amp;""),"—"))</f>
        <v/>
      </c>
      <c r="G317" s="25">
        <f>IF($C317="","",IFERROR(IF(INDEX(Roster!$E:$E,MATCH($C317,Roster!$B:$B,0))="","",INDEX(Roster!$E:$E,MATCH($C317,Roster!$B:$B,0))&amp;""),"—"))</f>
        <v/>
      </c>
      <c r="H317" s="25">
        <f>IF($C317="","",IFERROR(IF(INDEX(Roster!$F:$F,MATCH($C317,Roster!$B:$B,0))="","",INDEX(Roster!$F:$F,MATCH($C317,Roster!$B:$B,0))&amp;""),"—"))</f>
        <v/>
      </c>
      <c r="I317" s="25">
        <f>IF($C317="","",IFERROR(IF(INDEX(Roster!$G:$G,MATCH($C317,Roster!$B:$B,0))="","",INDEX(Roster!$G:$G,MATCH($C317,Roster!$B:$B,0))&amp;""),"—"))</f>
        <v/>
      </c>
      <c r="J317" s="25">
        <f>IF($C317="","",IFERROR(IF(INDEX(Roster!$I:$I,MATCH($C317,Roster!$B:$B,0))="","",INDEX(Roster!$I:$I,MATCH($C317,Roster!$B:$B,0))&amp;""),"—"))</f>
        <v/>
      </c>
      <c r="K317">
        <f>IF($C317="","",IFERROR(IF(INDEX(Roster!$J:$J,MATCH($C317,Roster!$B:$B,0))="","",INDEX(Roster!$J:$J,MATCH($C317,Roster!$B:$B,0))&amp;""),"—"))</f>
        <v/>
      </c>
      <c r="L317">
        <f>IF($C317="","",IFERROR(IF(INDEX(Roster!$K:$K,MATCH($C317,Roster!$B:$B,0))="","",INDEX(Roster!$K:$K,MATCH($C317,Roster!$B:$B,0))&amp;""),"—"))</f>
        <v/>
      </c>
      <c r="M317" s="27" t="n"/>
      <c r="N317" s="27" t="n"/>
      <c r="O317" s="25">
        <f>IF($C317="","",IF($P317="","—",IF($P317="Valid (Pass)","Valid","Invalid")))</f>
        <v/>
      </c>
      <c r="P317" s="27" t="n"/>
      <c r="Q317" s="27" t="n"/>
      <c r="R317" s="27" t="n"/>
      <c r="S317" s="27" t="n"/>
      <c r="T317" s="25">
        <f>IF($C317="","",IF(OR(ISNUMBER(SEARCH("quick case",$P317)),ISNUMBER(SEARCH("quick case",$Q317))),"Yes","No"))</f>
        <v/>
      </c>
      <c r="U317" s="25">
        <f>IF($O317="Invalid",HYPERLINK("mailto:"&amp;$G317&amp;";"&amp;$I317&amp;"?cc="&amp;Lists!$E$2&amp;"&amp;subject="&amp;_xlfn.ENCODEURL("[INVALID] Quality audit monitoring completed for "&amp;UPPER($C317))&amp;"&amp;body="&amp;_xlfn.ENCODEURL("Hi "&amp;$F317&amp;","&amp;CHAR(10)&amp;"Good day!"&amp;CHAR(10)&amp;CHAR(10)&amp;"A quality monitoring audit has been completed for "&amp;$C317&amp;"."&amp;CHAR(10)&amp;CHAR(10)&amp;"QUALITY AUDIT DETAILS"&amp;CHAR(10)&amp;"Agent Name: "&amp;$C317&amp;" (EID "&amp;$D317&amp;")"&amp;CHAR(10)&amp;"Audit Date: "&amp;TEXT($B317,"yyyy-mm-dd")&amp;CHAR(10)&amp;"Team Leader: "&amp;$F317&amp;CHAR(10)&amp;"Case Number: "&amp;$M317&amp;CHAR(10)&amp;"Transaction ID: "&amp;$N317&amp;CHAR(10)&amp;"Channel / LOB: "&amp;$K317&amp;" / "&amp;$L317&amp;CHAR(10)&amp;"Evaluator: "&amp;$S317&amp;CHAR(10)&amp;CHAR(10)&amp;"INVALID QUALITY AUDIT DETAILS"&amp;CHAR(10)&amp;"Validation: Invalid"&amp;CHAR(10)&amp;"Invalid Reason: "&amp;$P317&amp;CHAR(10)&amp;"Expected Resolution Code: "&amp;$Q317&amp;CHAR(10)&amp;"Remarks: "&amp;LEFT($R317,600)&amp;CHAR(10)&amp;CHAR(10)&amp;"This is an automated notification from HP Mainstream EQMS."),"✉ Open Email Draft"),"")</f>
        <v/>
      </c>
    </row>
    <row r="318">
      <c r="A318" s="25">
        <f>IF($C318="","","AUD-2026-"&amp;TEXT(ROW()-1,"000000"))</f>
        <v/>
      </c>
      <c r="B318" s="26" t="n"/>
      <c r="C318" s="27" t="n"/>
      <c r="D318" s="25">
        <f>IF($C318="","",IFERROR(IF(INDEX(Roster!$A:$A,MATCH($C318,Roster!$B:$B,0))="","",INDEX(Roster!$A:$A,MATCH($C318,Roster!$B:$B,0))&amp;""),"—"))</f>
        <v/>
      </c>
      <c r="E318" s="25">
        <f>IF($C318="","",IFERROR(IF(INDEX(Roster!$C:$C,MATCH($C318,Roster!$B:$B,0))="","",INDEX(Roster!$C:$C,MATCH($C318,Roster!$B:$B,0))&amp;""),"—"))</f>
        <v/>
      </c>
      <c r="F318" s="25">
        <f>IF($C318="","",IFERROR(IF(INDEX(Roster!$D:$D,MATCH($C318,Roster!$B:$B,0))="","",INDEX(Roster!$D:$D,MATCH($C318,Roster!$B:$B,0))&amp;""),"—"))</f>
        <v/>
      </c>
      <c r="G318" s="25">
        <f>IF($C318="","",IFERROR(IF(INDEX(Roster!$E:$E,MATCH($C318,Roster!$B:$B,0))="","",INDEX(Roster!$E:$E,MATCH($C318,Roster!$B:$B,0))&amp;""),"—"))</f>
        <v/>
      </c>
      <c r="H318" s="25">
        <f>IF($C318="","",IFERROR(IF(INDEX(Roster!$F:$F,MATCH($C318,Roster!$B:$B,0))="","",INDEX(Roster!$F:$F,MATCH($C318,Roster!$B:$B,0))&amp;""),"—"))</f>
        <v/>
      </c>
      <c r="I318" s="25">
        <f>IF($C318="","",IFERROR(IF(INDEX(Roster!$G:$G,MATCH($C318,Roster!$B:$B,0))="","",INDEX(Roster!$G:$G,MATCH($C318,Roster!$B:$B,0))&amp;""),"—"))</f>
        <v/>
      </c>
      <c r="J318" s="25">
        <f>IF($C318="","",IFERROR(IF(INDEX(Roster!$I:$I,MATCH($C318,Roster!$B:$B,0))="","",INDEX(Roster!$I:$I,MATCH($C318,Roster!$B:$B,0))&amp;""),"—"))</f>
        <v/>
      </c>
      <c r="K318">
        <f>IF($C318="","",IFERROR(IF(INDEX(Roster!$J:$J,MATCH($C318,Roster!$B:$B,0))="","",INDEX(Roster!$J:$J,MATCH($C318,Roster!$B:$B,0))&amp;""),"—"))</f>
        <v/>
      </c>
      <c r="L318">
        <f>IF($C318="","",IFERROR(IF(INDEX(Roster!$K:$K,MATCH($C318,Roster!$B:$B,0))="","",INDEX(Roster!$K:$K,MATCH($C318,Roster!$B:$B,0))&amp;""),"—"))</f>
        <v/>
      </c>
      <c r="M318" s="27" t="n"/>
      <c r="N318" s="27" t="n"/>
      <c r="O318" s="25">
        <f>IF($C318="","",IF($P318="","—",IF($P318="Valid (Pass)","Valid","Invalid")))</f>
        <v/>
      </c>
      <c r="P318" s="27" t="n"/>
      <c r="Q318" s="27" t="n"/>
      <c r="R318" s="27" t="n"/>
      <c r="S318" s="27" t="n"/>
      <c r="T318" s="25">
        <f>IF($C318="","",IF(OR(ISNUMBER(SEARCH("quick case",$P318)),ISNUMBER(SEARCH("quick case",$Q318))),"Yes","No"))</f>
        <v/>
      </c>
      <c r="U318" s="25">
        <f>IF($O318="Invalid",HYPERLINK("mailto:"&amp;$G318&amp;";"&amp;$I318&amp;"?cc="&amp;Lists!$E$2&amp;"&amp;subject="&amp;_xlfn.ENCODEURL("[INVALID] Quality audit monitoring completed for "&amp;UPPER($C318))&amp;"&amp;body="&amp;_xlfn.ENCODEURL("Hi "&amp;$F318&amp;","&amp;CHAR(10)&amp;"Good day!"&amp;CHAR(10)&amp;CHAR(10)&amp;"A quality monitoring audit has been completed for "&amp;$C318&amp;"."&amp;CHAR(10)&amp;CHAR(10)&amp;"QUALITY AUDIT DETAILS"&amp;CHAR(10)&amp;"Agent Name: "&amp;$C318&amp;" (EID "&amp;$D318&amp;")"&amp;CHAR(10)&amp;"Audit Date: "&amp;TEXT($B318,"yyyy-mm-dd")&amp;CHAR(10)&amp;"Team Leader: "&amp;$F318&amp;CHAR(10)&amp;"Case Number: "&amp;$M318&amp;CHAR(10)&amp;"Transaction ID: "&amp;$N318&amp;CHAR(10)&amp;"Channel / LOB: "&amp;$K318&amp;" / "&amp;$L318&amp;CHAR(10)&amp;"Evaluator: "&amp;$S318&amp;CHAR(10)&amp;CHAR(10)&amp;"INVALID QUALITY AUDIT DETAILS"&amp;CHAR(10)&amp;"Validation: Invalid"&amp;CHAR(10)&amp;"Invalid Reason: "&amp;$P318&amp;CHAR(10)&amp;"Expected Resolution Code: "&amp;$Q318&amp;CHAR(10)&amp;"Remarks: "&amp;LEFT($R318,600)&amp;CHAR(10)&amp;CHAR(10)&amp;"This is an automated notification from HP Mainstream EQMS."),"✉ Open Email Draft"),"")</f>
        <v/>
      </c>
    </row>
    <row r="319">
      <c r="A319" s="25">
        <f>IF($C319="","","AUD-2026-"&amp;TEXT(ROW()-1,"000000"))</f>
        <v/>
      </c>
      <c r="B319" s="26" t="n"/>
      <c r="C319" s="27" t="n"/>
      <c r="D319" s="25">
        <f>IF($C319="","",IFERROR(IF(INDEX(Roster!$A:$A,MATCH($C319,Roster!$B:$B,0))="","",INDEX(Roster!$A:$A,MATCH($C319,Roster!$B:$B,0))&amp;""),"—"))</f>
        <v/>
      </c>
      <c r="E319" s="25">
        <f>IF($C319="","",IFERROR(IF(INDEX(Roster!$C:$C,MATCH($C319,Roster!$B:$B,0))="","",INDEX(Roster!$C:$C,MATCH($C319,Roster!$B:$B,0))&amp;""),"—"))</f>
        <v/>
      </c>
      <c r="F319" s="25">
        <f>IF($C319="","",IFERROR(IF(INDEX(Roster!$D:$D,MATCH($C319,Roster!$B:$B,0))="","",INDEX(Roster!$D:$D,MATCH($C319,Roster!$B:$B,0))&amp;""),"—"))</f>
        <v/>
      </c>
      <c r="G319" s="25">
        <f>IF($C319="","",IFERROR(IF(INDEX(Roster!$E:$E,MATCH($C319,Roster!$B:$B,0))="","",INDEX(Roster!$E:$E,MATCH($C319,Roster!$B:$B,0))&amp;""),"—"))</f>
        <v/>
      </c>
      <c r="H319" s="25">
        <f>IF($C319="","",IFERROR(IF(INDEX(Roster!$F:$F,MATCH($C319,Roster!$B:$B,0))="","",INDEX(Roster!$F:$F,MATCH($C319,Roster!$B:$B,0))&amp;""),"—"))</f>
        <v/>
      </c>
      <c r="I319" s="25">
        <f>IF($C319="","",IFERROR(IF(INDEX(Roster!$G:$G,MATCH($C319,Roster!$B:$B,0))="","",INDEX(Roster!$G:$G,MATCH($C319,Roster!$B:$B,0))&amp;""),"—"))</f>
        <v/>
      </c>
      <c r="J319" s="25">
        <f>IF($C319="","",IFERROR(IF(INDEX(Roster!$I:$I,MATCH($C319,Roster!$B:$B,0))="","",INDEX(Roster!$I:$I,MATCH($C319,Roster!$B:$B,0))&amp;""),"—"))</f>
        <v/>
      </c>
      <c r="K319">
        <f>IF($C319="","",IFERROR(IF(INDEX(Roster!$J:$J,MATCH($C319,Roster!$B:$B,0))="","",INDEX(Roster!$J:$J,MATCH($C319,Roster!$B:$B,0))&amp;""),"—"))</f>
        <v/>
      </c>
      <c r="L319">
        <f>IF($C319="","",IFERROR(IF(INDEX(Roster!$K:$K,MATCH($C319,Roster!$B:$B,0))="","",INDEX(Roster!$K:$K,MATCH($C319,Roster!$B:$B,0))&amp;""),"—"))</f>
        <v/>
      </c>
      <c r="M319" s="27" t="n"/>
      <c r="N319" s="27" t="n"/>
      <c r="O319" s="25">
        <f>IF($C319="","",IF($P319="","—",IF($P319="Valid (Pass)","Valid","Invalid")))</f>
        <v/>
      </c>
      <c r="P319" s="27" t="n"/>
      <c r="Q319" s="27" t="n"/>
      <c r="R319" s="27" t="n"/>
      <c r="S319" s="27" t="n"/>
      <c r="T319" s="25">
        <f>IF($C319="","",IF(OR(ISNUMBER(SEARCH("quick case",$P319)),ISNUMBER(SEARCH("quick case",$Q319))),"Yes","No"))</f>
        <v/>
      </c>
      <c r="U319" s="25">
        <f>IF($O319="Invalid",HYPERLINK("mailto:"&amp;$G319&amp;";"&amp;$I319&amp;"?cc="&amp;Lists!$E$2&amp;"&amp;subject="&amp;_xlfn.ENCODEURL("[INVALID] Quality audit monitoring completed for "&amp;UPPER($C319))&amp;"&amp;body="&amp;_xlfn.ENCODEURL("Hi "&amp;$F319&amp;","&amp;CHAR(10)&amp;"Good day!"&amp;CHAR(10)&amp;CHAR(10)&amp;"A quality monitoring audit has been completed for "&amp;$C319&amp;"."&amp;CHAR(10)&amp;CHAR(10)&amp;"QUALITY AUDIT DETAILS"&amp;CHAR(10)&amp;"Agent Name: "&amp;$C319&amp;" (EID "&amp;$D319&amp;")"&amp;CHAR(10)&amp;"Audit Date: "&amp;TEXT($B319,"yyyy-mm-dd")&amp;CHAR(10)&amp;"Team Leader: "&amp;$F319&amp;CHAR(10)&amp;"Case Number: "&amp;$M319&amp;CHAR(10)&amp;"Transaction ID: "&amp;$N319&amp;CHAR(10)&amp;"Channel / LOB: "&amp;$K319&amp;" / "&amp;$L319&amp;CHAR(10)&amp;"Evaluator: "&amp;$S319&amp;CHAR(10)&amp;CHAR(10)&amp;"INVALID QUALITY AUDIT DETAILS"&amp;CHAR(10)&amp;"Validation: Invalid"&amp;CHAR(10)&amp;"Invalid Reason: "&amp;$P319&amp;CHAR(10)&amp;"Expected Resolution Code: "&amp;$Q319&amp;CHAR(10)&amp;"Remarks: "&amp;LEFT($R319,600)&amp;CHAR(10)&amp;CHAR(10)&amp;"This is an automated notification from HP Mainstream EQMS."),"✉ Open Email Draft"),"")</f>
        <v/>
      </c>
    </row>
    <row r="320">
      <c r="A320" s="25">
        <f>IF($C320="","","AUD-2026-"&amp;TEXT(ROW()-1,"000000"))</f>
        <v/>
      </c>
      <c r="B320" s="26" t="n"/>
      <c r="C320" s="27" t="n"/>
      <c r="D320" s="25">
        <f>IF($C320="","",IFERROR(IF(INDEX(Roster!$A:$A,MATCH($C320,Roster!$B:$B,0))="","",INDEX(Roster!$A:$A,MATCH($C320,Roster!$B:$B,0))&amp;""),"—"))</f>
        <v/>
      </c>
      <c r="E320" s="25">
        <f>IF($C320="","",IFERROR(IF(INDEX(Roster!$C:$C,MATCH($C320,Roster!$B:$B,0))="","",INDEX(Roster!$C:$C,MATCH($C320,Roster!$B:$B,0))&amp;""),"—"))</f>
        <v/>
      </c>
      <c r="F320" s="25">
        <f>IF($C320="","",IFERROR(IF(INDEX(Roster!$D:$D,MATCH($C320,Roster!$B:$B,0))="","",INDEX(Roster!$D:$D,MATCH($C320,Roster!$B:$B,0))&amp;""),"—"))</f>
        <v/>
      </c>
      <c r="G320" s="25">
        <f>IF($C320="","",IFERROR(IF(INDEX(Roster!$E:$E,MATCH($C320,Roster!$B:$B,0))="","",INDEX(Roster!$E:$E,MATCH($C320,Roster!$B:$B,0))&amp;""),"—"))</f>
        <v/>
      </c>
      <c r="H320" s="25">
        <f>IF($C320="","",IFERROR(IF(INDEX(Roster!$F:$F,MATCH($C320,Roster!$B:$B,0))="","",INDEX(Roster!$F:$F,MATCH($C320,Roster!$B:$B,0))&amp;""),"—"))</f>
        <v/>
      </c>
      <c r="I320" s="25">
        <f>IF($C320="","",IFERROR(IF(INDEX(Roster!$G:$G,MATCH($C320,Roster!$B:$B,0))="","",INDEX(Roster!$G:$G,MATCH($C320,Roster!$B:$B,0))&amp;""),"—"))</f>
        <v/>
      </c>
      <c r="J320" s="25">
        <f>IF($C320="","",IFERROR(IF(INDEX(Roster!$I:$I,MATCH($C320,Roster!$B:$B,0))="","",INDEX(Roster!$I:$I,MATCH($C320,Roster!$B:$B,0))&amp;""),"—"))</f>
        <v/>
      </c>
      <c r="K320">
        <f>IF($C320="","",IFERROR(IF(INDEX(Roster!$J:$J,MATCH($C320,Roster!$B:$B,0))="","",INDEX(Roster!$J:$J,MATCH($C320,Roster!$B:$B,0))&amp;""),"—"))</f>
        <v/>
      </c>
      <c r="L320">
        <f>IF($C320="","",IFERROR(IF(INDEX(Roster!$K:$K,MATCH($C320,Roster!$B:$B,0))="","",INDEX(Roster!$K:$K,MATCH($C320,Roster!$B:$B,0))&amp;""),"—"))</f>
        <v/>
      </c>
      <c r="M320" s="27" t="n"/>
      <c r="N320" s="27" t="n"/>
      <c r="O320" s="25">
        <f>IF($C320="","",IF($P320="","—",IF($P320="Valid (Pass)","Valid","Invalid")))</f>
        <v/>
      </c>
      <c r="P320" s="27" t="n"/>
      <c r="Q320" s="27" t="n"/>
      <c r="R320" s="27" t="n"/>
      <c r="S320" s="27" t="n"/>
      <c r="T320" s="25">
        <f>IF($C320="","",IF(OR(ISNUMBER(SEARCH("quick case",$P320)),ISNUMBER(SEARCH("quick case",$Q320))),"Yes","No"))</f>
        <v/>
      </c>
      <c r="U320" s="25">
        <f>IF($O320="Invalid",HYPERLINK("mailto:"&amp;$G320&amp;";"&amp;$I320&amp;"?cc="&amp;Lists!$E$2&amp;"&amp;subject="&amp;_xlfn.ENCODEURL("[INVALID] Quality audit monitoring completed for "&amp;UPPER($C320))&amp;"&amp;body="&amp;_xlfn.ENCODEURL("Hi "&amp;$F320&amp;","&amp;CHAR(10)&amp;"Good day!"&amp;CHAR(10)&amp;CHAR(10)&amp;"A quality monitoring audit has been completed for "&amp;$C320&amp;"."&amp;CHAR(10)&amp;CHAR(10)&amp;"QUALITY AUDIT DETAILS"&amp;CHAR(10)&amp;"Agent Name: "&amp;$C320&amp;" (EID "&amp;$D320&amp;")"&amp;CHAR(10)&amp;"Audit Date: "&amp;TEXT($B320,"yyyy-mm-dd")&amp;CHAR(10)&amp;"Team Leader: "&amp;$F320&amp;CHAR(10)&amp;"Case Number: "&amp;$M320&amp;CHAR(10)&amp;"Transaction ID: "&amp;$N320&amp;CHAR(10)&amp;"Channel / LOB: "&amp;$K320&amp;" / "&amp;$L320&amp;CHAR(10)&amp;"Evaluator: "&amp;$S320&amp;CHAR(10)&amp;CHAR(10)&amp;"INVALID QUALITY AUDIT DETAILS"&amp;CHAR(10)&amp;"Validation: Invalid"&amp;CHAR(10)&amp;"Invalid Reason: "&amp;$P320&amp;CHAR(10)&amp;"Expected Resolution Code: "&amp;$Q320&amp;CHAR(10)&amp;"Remarks: "&amp;LEFT($R320,600)&amp;CHAR(10)&amp;CHAR(10)&amp;"This is an automated notification from HP Mainstream EQMS."),"✉ Open Email Draft"),"")</f>
        <v/>
      </c>
    </row>
    <row r="321">
      <c r="A321" s="25">
        <f>IF($C321="","","AUD-2026-"&amp;TEXT(ROW()-1,"000000"))</f>
        <v/>
      </c>
      <c r="B321" s="26" t="n"/>
      <c r="C321" s="27" t="n"/>
      <c r="D321" s="25">
        <f>IF($C321="","",IFERROR(IF(INDEX(Roster!$A:$A,MATCH($C321,Roster!$B:$B,0))="","",INDEX(Roster!$A:$A,MATCH($C321,Roster!$B:$B,0))&amp;""),"—"))</f>
        <v/>
      </c>
      <c r="E321" s="25">
        <f>IF($C321="","",IFERROR(IF(INDEX(Roster!$C:$C,MATCH($C321,Roster!$B:$B,0))="","",INDEX(Roster!$C:$C,MATCH($C321,Roster!$B:$B,0))&amp;""),"—"))</f>
        <v/>
      </c>
      <c r="F321" s="25">
        <f>IF($C321="","",IFERROR(IF(INDEX(Roster!$D:$D,MATCH($C321,Roster!$B:$B,0))="","",INDEX(Roster!$D:$D,MATCH($C321,Roster!$B:$B,0))&amp;""),"—"))</f>
        <v/>
      </c>
      <c r="G321" s="25">
        <f>IF($C321="","",IFERROR(IF(INDEX(Roster!$E:$E,MATCH($C321,Roster!$B:$B,0))="","",INDEX(Roster!$E:$E,MATCH($C321,Roster!$B:$B,0))&amp;""),"—"))</f>
        <v/>
      </c>
      <c r="H321" s="25">
        <f>IF($C321="","",IFERROR(IF(INDEX(Roster!$F:$F,MATCH($C321,Roster!$B:$B,0))="","",INDEX(Roster!$F:$F,MATCH($C321,Roster!$B:$B,0))&amp;""),"—"))</f>
        <v/>
      </c>
      <c r="I321" s="25">
        <f>IF($C321="","",IFERROR(IF(INDEX(Roster!$G:$G,MATCH($C321,Roster!$B:$B,0))="","",INDEX(Roster!$G:$G,MATCH($C321,Roster!$B:$B,0))&amp;""),"—"))</f>
        <v/>
      </c>
      <c r="J321" s="25">
        <f>IF($C321="","",IFERROR(IF(INDEX(Roster!$I:$I,MATCH($C321,Roster!$B:$B,0))="","",INDEX(Roster!$I:$I,MATCH($C321,Roster!$B:$B,0))&amp;""),"—"))</f>
        <v/>
      </c>
      <c r="K321">
        <f>IF($C321="","",IFERROR(IF(INDEX(Roster!$J:$J,MATCH($C321,Roster!$B:$B,0))="","",INDEX(Roster!$J:$J,MATCH($C321,Roster!$B:$B,0))&amp;""),"—"))</f>
        <v/>
      </c>
      <c r="L321">
        <f>IF($C321="","",IFERROR(IF(INDEX(Roster!$K:$K,MATCH($C321,Roster!$B:$B,0))="","",INDEX(Roster!$K:$K,MATCH($C321,Roster!$B:$B,0))&amp;""),"—"))</f>
        <v/>
      </c>
      <c r="M321" s="27" t="n"/>
      <c r="N321" s="27" t="n"/>
      <c r="O321" s="25">
        <f>IF($C321="","",IF($P321="","—",IF($P321="Valid (Pass)","Valid","Invalid")))</f>
        <v/>
      </c>
      <c r="P321" s="27" t="n"/>
      <c r="Q321" s="27" t="n"/>
      <c r="R321" s="27" t="n"/>
      <c r="S321" s="27" t="n"/>
      <c r="T321" s="25">
        <f>IF($C321="","",IF(OR(ISNUMBER(SEARCH("quick case",$P321)),ISNUMBER(SEARCH("quick case",$Q321))),"Yes","No"))</f>
        <v/>
      </c>
      <c r="U321" s="25">
        <f>IF($O321="Invalid",HYPERLINK("mailto:"&amp;$G321&amp;";"&amp;$I321&amp;"?cc="&amp;Lists!$E$2&amp;"&amp;subject="&amp;_xlfn.ENCODEURL("[INVALID] Quality audit monitoring completed for "&amp;UPPER($C321))&amp;"&amp;body="&amp;_xlfn.ENCODEURL("Hi "&amp;$F321&amp;","&amp;CHAR(10)&amp;"Good day!"&amp;CHAR(10)&amp;CHAR(10)&amp;"A quality monitoring audit has been completed for "&amp;$C321&amp;"."&amp;CHAR(10)&amp;CHAR(10)&amp;"QUALITY AUDIT DETAILS"&amp;CHAR(10)&amp;"Agent Name: "&amp;$C321&amp;" (EID "&amp;$D321&amp;")"&amp;CHAR(10)&amp;"Audit Date: "&amp;TEXT($B321,"yyyy-mm-dd")&amp;CHAR(10)&amp;"Team Leader: "&amp;$F321&amp;CHAR(10)&amp;"Case Number: "&amp;$M321&amp;CHAR(10)&amp;"Transaction ID: "&amp;$N321&amp;CHAR(10)&amp;"Channel / LOB: "&amp;$K321&amp;" / "&amp;$L321&amp;CHAR(10)&amp;"Evaluator: "&amp;$S321&amp;CHAR(10)&amp;CHAR(10)&amp;"INVALID QUALITY AUDIT DETAILS"&amp;CHAR(10)&amp;"Validation: Invalid"&amp;CHAR(10)&amp;"Invalid Reason: "&amp;$P321&amp;CHAR(10)&amp;"Expected Resolution Code: "&amp;$Q321&amp;CHAR(10)&amp;"Remarks: "&amp;LEFT($R321,600)&amp;CHAR(10)&amp;CHAR(10)&amp;"This is an automated notification from HP Mainstream EQMS."),"✉ Open Email Draft"),"")</f>
        <v/>
      </c>
    </row>
    <row r="322">
      <c r="A322" s="25">
        <f>IF($C322="","","AUD-2026-"&amp;TEXT(ROW()-1,"000000"))</f>
        <v/>
      </c>
      <c r="B322" s="26" t="n"/>
      <c r="C322" s="27" t="n"/>
      <c r="D322" s="25">
        <f>IF($C322="","",IFERROR(IF(INDEX(Roster!$A:$A,MATCH($C322,Roster!$B:$B,0))="","",INDEX(Roster!$A:$A,MATCH($C322,Roster!$B:$B,0))&amp;""),"—"))</f>
        <v/>
      </c>
      <c r="E322" s="25">
        <f>IF($C322="","",IFERROR(IF(INDEX(Roster!$C:$C,MATCH($C322,Roster!$B:$B,0))="","",INDEX(Roster!$C:$C,MATCH($C322,Roster!$B:$B,0))&amp;""),"—"))</f>
        <v/>
      </c>
      <c r="F322" s="25">
        <f>IF($C322="","",IFERROR(IF(INDEX(Roster!$D:$D,MATCH($C322,Roster!$B:$B,0))="","",INDEX(Roster!$D:$D,MATCH($C322,Roster!$B:$B,0))&amp;""),"—"))</f>
        <v/>
      </c>
      <c r="G322" s="25">
        <f>IF($C322="","",IFERROR(IF(INDEX(Roster!$E:$E,MATCH($C322,Roster!$B:$B,0))="","",INDEX(Roster!$E:$E,MATCH($C322,Roster!$B:$B,0))&amp;""),"—"))</f>
        <v/>
      </c>
      <c r="H322" s="25">
        <f>IF($C322="","",IFERROR(IF(INDEX(Roster!$F:$F,MATCH($C322,Roster!$B:$B,0))="","",INDEX(Roster!$F:$F,MATCH($C322,Roster!$B:$B,0))&amp;""),"—"))</f>
        <v/>
      </c>
      <c r="I322" s="25">
        <f>IF($C322="","",IFERROR(IF(INDEX(Roster!$G:$G,MATCH($C322,Roster!$B:$B,0))="","",INDEX(Roster!$G:$G,MATCH($C322,Roster!$B:$B,0))&amp;""),"—"))</f>
        <v/>
      </c>
      <c r="J322" s="25">
        <f>IF($C322="","",IFERROR(IF(INDEX(Roster!$I:$I,MATCH($C322,Roster!$B:$B,0))="","",INDEX(Roster!$I:$I,MATCH($C322,Roster!$B:$B,0))&amp;""),"—"))</f>
        <v/>
      </c>
      <c r="K322">
        <f>IF($C322="","",IFERROR(IF(INDEX(Roster!$J:$J,MATCH($C322,Roster!$B:$B,0))="","",INDEX(Roster!$J:$J,MATCH($C322,Roster!$B:$B,0))&amp;""),"—"))</f>
        <v/>
      </c>
      <c r="L322">
        <f>IF($C322="","",IFERROR(IF(INDEX(Roster!$K:$K,MATCH($C322,Roster!$B:$B,0))="","",INDEX(Roster!$K:$K,MATCH($C322,Roster!$B:$B,0))&amp;""),"—"))</f>
        <v/>
      </c>
      <c r="M322" s="27" t="n"/>
      <c r="N322" s="27" t="n"/>
      <c r="O322" s="25">
        <f>IF($C322="","",IF($P322="","—",IF($P322="Valid (Pass)","Valid","Invalid")))</f>
        <v/>
      </c>
      <c r="P322" s="27" t="n"/>
      <c r="Q322" s="27" t="n"/>
      <c r="R322" s="27" t="n"/>
      <c r="S322" s="27" t="n"/>
      <c r="T322" s="25">
        <f>IF($C322="","",IF(OR(ISNUMBER(SEARCH("quick case",$P322)),ISNUMBER(SEARCH("quick case",$Q322))),"Yes","No"))</f>
        <v/>
      </c>
      <c r="U322" s="25">
        <f>IF($O322="Invalid",HYPERLINK("mailto:"&amp;$G322&amp;";"&amp;$I322&amp;"?cc="&amp;Lists!$E$2&amp;"&amp;subject="&amp;_xlfn.ENCODEURL("[INVALID] Quality audit monitoring completed for "&amp;UPPER($C322))&amp;"&amp;body="&amp;_xlfn.ENCODEURL("Hi "&amp;$F322&amp;","&amp;CHAR(10)&amp;"Good day!"&amp;CHAR(10)&amp;CHAR(10)&amp;"A quality monitoring audit has been completed for "&amp;$C322&amp;"."&amp;CHAR(10)&amp;CHAR(10)&amp;"QUALITY AUDIT DETAILS"&amp;CHAR(10)&amp;"Agent Name: "&amp;$C322&amp;" (EID "&amp;$D322&amp;")"&amp;CHAR(10)&amp;"Audit Date: "&amp;TEXT($B322,"yyyy-mm-dd")&amp;CHAR(10)&amp;"Team Leader: "&amp;$F322&amp;CHAR(10)&amp;"Case Number: "&amp;$M322&amp;CHAR(10)&amp;"Transaction ID: "&amp;$N322&amp;CHAR(10)&amp;"Channel / LOB: "&amp;$K322&amp;" / "&amp;$L322&amp;CHAR(10)&amp;"Evaluator: "&amp;$S322&amp;CHAR(10)&amp;CHAR(10)&amp;"INVALID QUALITY AUDIT DETAILS"&amp;CHAR(10)&amp;"Validation: Invalid"&amp;CHAR(10)&amp;"Invalid Reason: "&amp;$P322&amp;CHAR(10)&amp;"Expected Resolution Code: "&amp;$Q322&amp;CHAR(10)&amp;"Remarks: "&amp;LEFT($R322,600)&amp;CHAR(10)&amp;CHAR(10)&amp;"This is an automated notification from HP Mainstream EQMS."),"✉ Open Email Draft"),"")</f>
        <v/>
      </c>
    </row>
    <row r="323">
      <c r="A323" s="25">
        <f>IF($C323="","","AUD-2026-"&amp;TEXT(ROW()-1,"000000"))</f>
        <v/>
      </c>
      <c r="B323" s="26" t="n"/>
      <c r="C323" s="27" t="n"/>
      <c r="D323" s="25">
        <f>IF($C323="","",IFERROR(IF(INDEX(Roster!$A:$A,MATCH($C323,Roster!$B:$B,0))="","",INDEX(Roster!$A:$A,MATCH($C323,Roster!$B:$B,0))&amp;""),"—"))</f>
        <v/>
      </c>
      <c r="E323" s="25">
        <f>IF($C323="","",IFERROR(IF(INDEX(Roster!$C:$C,MATCH($C323,Roster!$B:$B,0))="","",INDEX(Roster!$C:$C,MATCH($C323,Roster!$B:$B,0))&amp;""),"—"))</f>
        <v/>
      </c>
      <c r="F323" s="25">
        <f>IF($C323="","",IFERROR(IF(INDEX(Roster!$D:$D,MATCH($C323,Roster!$B:$B,0))="","",INDEX(Roster!$D:$D,MATCH($C323,Roster!$B:$B,0))&amp;""),"—"))</f>
        <v/>
      </c>
      <c r="G323" s="25">
        <f>IF($C323="","",IFERROR(IF(INDEX(Roster!$E:$E,MATCH($C323,Roster!$B:$B,0))="","",INDEX(Roster!$E:$E,MATCH($C323,Roster!$B:$B,0))&amp;""),"—"))</f>
        <v/>
      </c>
      <c r="H323" s="25">
        <f>IF($C323="","",IFERROR(IF(INDEX(Roster!$F:$F,MATCH($C323,Roster!$B:$B,0))="","",INDEX(Roster!$F:$F,MATCH($C323,Roster!$B:$B,0))&amp;""),"—"))</f>
        <v/>
      </c>
      <c r="I323" s="25">
        <f>IF($C323="","",IFERROR(IF(INDEX(Roster!$G:$G,MATCH($C323,Roster!$B:$B,0))="","",INDEX(Roster!$G:$G,MATCH($C323,Roster!$B:$B,0))&amp;""),"—"))</f>
        <v/>
      </c>
      <c r="J323" s="25">
        <f>IF($C323="","",IFERROR(IF(INDEX(Roster!$I:$I,MATCH($C323,Roster!$B:$B,0))="","",INDEX(Roster!$I:$I,MATCH($C323,Roster!$B:$B,0))&amp;""),"—"))</f>
        <v/>
      </c>
      <c r="K323">
        <f>IF($C323="","",IFERROR(IF(INDEX(Roster!$J:$J,MATCH($C323,Roster!$B:$B,0))="","",INDEX(Roster!$J:$J,MATCH($C323,Roster!$B:$B,0))&amp;""),"—"))</f>
        <v/>
      </c>
      <c r="L323">
        <f>IF($C323="","",IFERROR(IF(INDEX(Roster!$K:$K,MATCH($C323,Roster!$B:$B,0))="","",INDEX(Roster!$K:$K,MATCH($C323,Roster!$B:$B,0))&amp;""),"—"))</f>
        <v/>
      </c>
      <c r="M323" s="27" t="n"/>
      <c r="N323" s="27" t="n"/>
      <c r="O323" s="25">
        <f>IF($C323="","",IF($P323="","—",IF($P323="Valid (Pass)","Valid","Invalid")))</f>
        <v/>
      </c>
      <c r="P323" s="27" t="n"/>
      <c r="Q323" s="27" t="n"/>
      <c r="R323" s="27" t="n"/>
      <c r="S323" s="27" t="n"/>
      <c r="T323" s="25">
        <f>IF($C323="","",IF(OR(ISNUMBER(SEARCH("quick case",$P323)),ISNUMBER(SEARCH("quick case",$Q323))),"Yes","No"))</f>
        <v/>
      </c>
      <c r="U323" s="25">
        <f>IF($O323="Invalid",HYPERLINK("mailto:"&amp;$G323&amp;";"&amp;$I323&amp;"?cc="&amp;Lists!$E$2&amp;"&amp;subject="&amp;_xlfn.ENCODEURL("[INVALID] Quality audit monitoring completed for "&amp;UPPER($C323))&amp;"&amp;body="&amp;_xlfn.ENCODEURL("Hi "&amp;$F323&amp;","&amp;CHAR(10)&amp;"Good day!"&amp;CHAR(10)&amp;CHAR(10)&amp;"A quality monitoring audit has been completed for "&amp;$C323&amp;"."&amp;CHAR(10)&amp;CHAR(10)&amp;"QUALITY AUDIT DETAILS"&amp;CHAR(10)&amp;"Agent Name: "&amp;$C323&amp;" (EID "&amp;$D323&amp;")"&amp;CHAR(10)&amp;"Audit Date: "&amp;TEXT($B323,"yyyy-mm-dd")&amp;CHAR(10)&amp;"Team Leader: "&amp;$F323&amp;CHAR(10)&amp;"Case Number: "&amp;$M323&amp;CHAR(10)&amp;"Transaction ID: "&amp;$N323&amp;CHAR(10)&amp;"Channel / LOB: "&amp;$K323&amp;" / "&amp;$L323&amp;CHAR(10)&amp;"Evaluator: "&amp;$S323&amp;CHAR(10)&amp;CHAR(10)&amp;"INVALID QUALITY AUDIT DETAILS"&amp;CHAR(10)&amp;"Validation: Invalid"&amp;CHAR(10)&amp;"Invalid Reason: "&amp;$P323&amp;CHAR(10)&amp;"Expected Resolution Code: "&amp;$Q323&amp;CHAR(10)&amp;"Remarks: "&amp;LEFT($R323,600)&amp;CHAR(10)&amp;CHAR(10)&amp;"This is an automated notification from HP Mainstream EQMS."),"✉ Open Email Draft"),"")</f>
        <v/>
      </c>
    </row>
    <row r="324">
      <c r="A324" s="25">
        <f>IF($C324="","","AUD-2026-"&amp;TEXT(ROW()-1,"000000"))</f>
        <v/>
      </c>
      <c r="B324" s="26" t="n"/>
      <c r="C324" s="27" t="n"/>
      <c r="D324" s="25">
        <f>IF($C324="","",IFERROR(IF(INDEX(Roster!$A:$A,MATCH($C324,Roster!$B:$B,0))="","",INDEX(Roster!$A:$A,MATCH($C324,Roster!$B:$B,0))&amp;""),"—"))</f>
        <v/>
      </c>
      <c r="E324" s="25">
        <f>IF($C324="","",IFERROR(IF(INDEX(Roster!$C:$C,MATCH($C324,Roster!$B:$B,0))="","",INDEX(Roster!$C:$C,MATCH($C324,Roster!$B:$B,0))&amp;""),"—"))</f>
        <v/>
      </c>
      <c r="F324" s="25">
        <f>IF($C324="","",IFERROR(IF(INDEX(Roster!$D:$D,MATCH($C324,Roster!$B:$B,0))="","",INDEX(Roster!$D:$D,MATCH($C324,Roster!$B:$B,0))&amp;""),"—"))</f>
        <v/>
      </c>
      <c r="G324" s="25">
        <f>IF($C324="","",IFERROR(IF(INDEX(Roster!$E:$E,MATCH($C324,Roster!$B:$B,0))="","",INDEX(Roster!$E:$E,MATCH($C324,Roster!$B:$B,0))&amp;""),"—"))</f>
        <v/>
      </c>
      <c r="H324" s="25">
        <f>IF($C324="","",IFERROR(IF(INDEX(Roster!$F:$F,MATCH($C324,Roster!$B:$B,0))="","",INDEX(Roster!$F:$F,MATCH($C324,Roster!$B:$B,0))&amp;""),"—"))</f>
        <v/>
      </c>
      <c r="I324" s="25">
        <f>IF($C324="","",IFERROR(IF(INDEX(Roster!$G:$G,MATCH($C324,Roster!$B:$B,0))="","",INDEX(Roster!$G:$G,MATCH($C324,Roster!$B:$B,0))&amp;""),"—"))</f>
        <v/>
      </c>
      <c r="J324" s="25">
        <f>IF($C324="","",IFERROR(IF(INDEX(Roster!$I:$I,MATCH($C324,Roster!$B:$B,0))="","",INDEX(Roster!$I:$I,MATCH($C324,Roster!$B:$B,0))&amp;""),"—"))</f>
        <v/>
      </c>
      <c r="K324">
        <f>IF($C324="","",IFERROR(IF(INDEX(Roster!$J:$J,MATCH($C324,Roster!$B:$B,0))="","",INDEX(Roster!$J:$J,MATCH($C324,Roster!$B:$B,0))&amp;""),"—"))</f>
        <v/>
      </c>
      <c r="L324">
        <f>IF($C324="","",IFERROR(IF(INDEX(Roster!$K:$K,MATCH($C324,Roster!$B:$B,0))="","",INDEX(Roster!$K:$K,MATCH($C324,Roster!$B:$B,0))&amp;""),"—"))</f>
        <v/>
      </c>
      <c r="M324" s="27" t="n"/>
      <c r="N324" s="27" t="n"/>
      <c r="O324" s="25">
        <f>IF($C324="","",IF($P324="","—",IF($P324="Valid (Pass)","Valid","Invalid")))</f>
        <v/>
      </c>
      <c r="P324" s="27" t="n"/>
      <c r="Q324" s="27" t="n"/>
      <c r="R324" s="27" t="n"/>
      <c r="S324" s="27" t="n"/>
      <c r="T324" s="25">
        <f>IF($C324="","",IF(OR(ISNUMBER(SEARCH("quick case",$P324)),ISNUMBER(SEARCH("quick case",$Q324))),"Yes","No"))</f>
        <v/>
      </c>
      <c r="U324" s="25">
        <f>IF($O324="Invalid",HYPERLINK("mailto:"&amp;$G324&amp;";"&amp;$I324&amp;"?cc="&amp;Lists!$E$2&amp;"&amp;subject="&amp;_xlfn.ENCODEURL("[INVALID] Quality audit monitoring completed for "&amp;UPPER($C324))&amp;"&amp;body="&amp;_xlfn.ENCODEURL("Hi "&amp;$F324&amp;","&amp;CHAR(10)&amp;"Good day!"&amp;CHAR(10)&amp;CHAR(10)&amp;"A quality monitoring audit has been completed for "&amp;$C324&amp;"."&amp;CHAR(10)&amp;CHAR(10)&amp;"QUALITY AUDIT DETAILS"&amp;CHAR(10)&amp;"Agent Name: "&amp;$C324&amp;" (EID "&amp;$D324&amp;")"&amp;CHAR(10)&amp;"Audit Date: "&amp;TEXT($B324,"yyyy-mm-dd")&amp;CHAR(10)&amp;"Team Leader: "&amp;$F324&amp;CHAR(10)&amp;"Case Number: "&amp;$M324&amp;CHAR(10)&amp;"Transaction ID: "&amp;$N324&amp;CHAR(10)&amp;"Channel / LOB: "&amp;$K324&amp;" / "&amp;$L324&amp;CHAR(10)&amp;"Evaluator: "&amp;$S324&amp;CHAR(10)&amp;CHAR(10)&amp;"INVALID QUALITY AUDIT DETAILS"&amp;CHAR(10)&amp;"Validation: Invalid"&amp;CHAR(10)&amp;"Invalid Reason: "&amp;$P324&amp;CHAR(10)&amp;"Expected Resolution Code: "&amp;$Q324&amp;CHAR(10)&amp;"Remarks: "&amp;LEFT($R324,600)&amp;CHAR(10)&amp;CHAR(10)&amp;"This is an automated notification from HP Mainstream EQMS."),"✉ Open Email Draft"),"")</f>
        <v/>
      </c>
    </row>
    <row r="325">
      <c r="A325" s="25">
        <f>IF($C325="","","AUD-2026-"&amp;TEXT(ROW()-1,"000000"))</f>
        <v/>
      </c>
      <c r="B325" s="26" t="n"/>
      <c r="C325" s="27" t="n"/>
      <c r="D325" s="25">
        <f>IF($C325="","",IFERROR(IF(INDEX(Roster!$A:$A,MATCH($C325,Roster!$B:$B,0))="","",INDEX(Roster!$A:$A,MATCH($C325,Roster!$B:$B,0))&amp;""),"—"))</f>
        <v/>
      </c>
      <c r="E325" s="25">
        <f>IF($C325="","",IFERROR(IF(INDEX(Roster!$C:$C,MATCH($C325,Roster!$B:$B,0))="","",INDEX(Roster!$C:$C,MATCH($C325,Roster!$B:$B,0))&amp;""),"—"))</f>
        <v/>
      </c>
      <c r="F325" s="25">
        <f>IF($C325="","",IFERROR(IF(INDEX(Roster!$D:$D,MATCH($C325,Roster!$B:$B,0))="","",INDEX(Roster!$D:$D,MATCH($C325,Roster!$B:$B,0))&amp;""),"—"))</f>
        <v/>
      </c>
      <c r="G325" s="25">
        <f>IF($C325="","",IFERROR(IF(INDEX(Roster!$E:$E,MATCH($C325,Roster!$B:$B,0))="","",INDEX(Roster!$E:$E,MATCH($C325,Roster!$B:$B,0))&amp;""),"—"))</f>
        <v/>
      </c>
      <c r="H325" s="25">
        <f>IF($C325="","",IFERROR(IF(INDEX(Roster!$F:$F,MATCH($C325,Roster!$B:$B,0))="","",INDEX(Roster!$F:$F,MATCH($C325,Roster!$B:$B,0))&amp;""),"—"))</f>
        <v/>
      </c>
      <c r="I325" s="25">
        <f>IF($C325="","",IFERROR(IF(INDEX(Roster!$G:$G,MATCH($C325,Roster!$B:$B,0))="","",INDEX(Roster!$G:$G,MATCH($C325,Roster!$B:$B,0))&amp;""),"—"))</f>
        <v/>
      </c>
      <c r="J325" s="25">
        <f>IF($C325="","",IFERROR(IF(INDEX(Roster!$I:$I,MATCH($C325,Roster!$B:$B,0))="","",INDEX(Roster!$I:$I,MATCH($C325,Roster!$B:$B,0))&amp;""),"—"))</f>
        <v/>
      </c>
      <c r="K325">
        <f>IF($C325="","",IFERROR(IF(INDEX(Roster!$J:$J,MATCH($C325,Roster!$B:$B,0))="","",INDEX(Roster!$J:$J,MATCH($C325,Roster!$B:$B,0))&amp;""),"—"))</f>
        <v/>
      </c>
      <c r="L325">
        <f>IF($C325="","",IFERROR(IF(INDEX(Roster!$K:$K,MATCH($C325,Roster!$B:$B,0))="","",INDEX(Roster!$K:$K,MATCH($C325,Roster!$B:$B,0))&amp;""),"—"))</f>
        <v/>
      </c>
      <c r="M325" s="27" t="n"/>
      <c r="N325" s="27" t="n"/>
      <c r="O325" s="25">
        <f>IF($C325="","",IF($P325="","—",IF($P325="Valid (Pass)","Valid","Invalid")))</f>
        <v/>
      </c>
      <c r="P325" s="27" t="n"/>
      <c r="Q325" s="27" t="n"/>
      <c r="R325" s="27" t="n"/>
      <c r="S325" s="27" t="n"/>
      <c r="T325" s="25">
        <f>IF($C325="","",IF(OR(ISNUMBER(SEARCH("quick case",$P325)),ISNUMBER(SEARCH("quick case",$Q325))),"Yes","No"))</f>
        <v/>
      </c>
      <c r="U325" s="25">
        <f>IF($O325="Invalid",HYPERLINK("mailto:"&amp;$G325&amp;";"&amp;$I325&amp;"?cc="&amp;Lists!$E$2&amp;"&amp;subject="&amp;_xlfn.ENCODEURL("[INVALID] Quality audit monitoring completed for "&amp;UPPER($C325))&amp;"&amp;body="&amp;_xlfn.ENCODEURL("Hi "&amp;$F325&amp;","&amp;CHAR(10)&amp;"Good day!"&amp;CHAR(10)&amp;CHAR(10)&amp;"A quality monitoring audit has been completed for "&amp;$C325&amp;"."&amp;CHAR(10)&amp;CHAR(10)&amp;"QUALITY AUDIT DETAILS"&amp;CHAR(10)&amp;"Agent Name: "&amp;$C325&amp;" (EID "&amp;$D325&amp;")"&amp;CHAR(10)&amp;"Audit Date: "&amp;TEXT($B325,"yyyy-mm-dd")&amp;CHAR(10)&amp;"Team Leader: "&amp;$F325&amp;CHAR(10)&amp;"Case Number: "&amp;$M325&amp;CHAR(10)&amp;"Transaction ID: "&amp;$N325&amp;CHAR(10)&amp;"Channel / LOB: "&amp;$K325&amp;" / "&amp;$L325&amp;CHAR(10)&amp;"Evaluator: "&amp;$S325&amp;CHAR(10)&amp;CHAR(10)&amp;"INVALID QUALITY AUDIT DETAILS"&amp;CHAR(10)&amp;"Validation: Invalid"&amp;CHAR(10)&amp;"Invalid Reason: "&amp;$P325&amp;CHAR(10)&amp;"Expected Resolution Code: "&amp;$Q325&amp;CHAR(10)&amp;"Remarks: "&amp;LEFT($R325,600)&amp;CHAR(10)&amp;CHAR(10)&amp;"This is an automated notification from HP Mainstream EQMS."),"✉ Open Email Draft"),"")</f>
        <v/>
      </c>
    </row>
    <row r="326">
      <c r="A326" s="25">
        <f>IF($C326="","","AUD-2026-"&amp;TEXT(ROW()-1,"000000"))</f>
        <v/>
      </c>
      <c r="B326" s="26" t="n"/>
      <c r="C326" s="27" t="n"/>
      <c r="D326" s="25">
        <f>IF($C326="","",IFERROR(IF(INDEX(Roster!$A:$A,MATCH($C326,Roster!$B:$B,0))="","",INDEX(Roster!$A:$A,MATCH($C326,Roster!$B:$B,0))&amp;""),"—"))</f>
        <v/>
      </c>
      <c r="E326" s="25">
        <f>IF($C326="","",IFERROR(IF(INDEX(Roster!$C:$C,MATCH($C326,Roster!$B:$B,0))="","",INDEX(Roster!$C:$C,MATCH($C326,Roster!$B:$B,0))&amp;""),"—"))</f>
        <v/>
      </c>
      <c r="F326" s="25">
        <f>IF($C326="","",IFERROR(IF(INDEX(Roster!$D:$D,MATCH($C326,Roster!$B:$B,0))="","",INDEX(Roster!$D:$D,MATCH($C326,Roster!$B:$B,0))&amp;""),"—"))</f>
        <v/>
      </c>
      <c r="G326" s="25">
        <f>IF($C326="","",IFERROR(IF(INDEX(Roster!$E:$E,MATCH($C326,Roster!$B:$B,0))="","",INDEX(Roster!$E:$E,MATCH($C326,Roster!$B:$B,0))&amp;""),"—"))</f>
        <v/>
      </c>
      <c r="H326" s="25">
        <f>IF($C326="","",IFERROR(IF(INDEX(Roster!$F:$F,MATCH($C326,Roster!$B:$B,0))="","",INDEX(Roster!$F:$F,MATCH($C326,Roster!$B:$B,0))&amp;""),"—"))</f>
        <v/>
      </c>
      <c r="I326" s="25">
        <f>IF($C326="","",IFERROR(IF(INDEX(Roster!$G:$G,MATCH($C326,Roster!$B:$B,0))="","",INDEX(Roster!$G:$G,MATCH($C326,Roster!$B:$B,0))&amp;""),"—"))</f>
        <v/>
      </c>
      <c r="J326" s="25">
        <f>IF($C326="","",IFERROR(IF(INDEX(Roster!$I:$I,MATCH($C326,Roster!$B:$B,0))="","",INDEX(Roster!$I:$I,MATCH($C326,Roster!$B:$B,0))&amp;""),"—"))</f>
        <v/>
      </c>
      <c r="K326">
        <f>IF($C326="","",IFERROR(IF(INDEX(Roster!$J:$J,MATCH($C326,Roster!$B:$B,0))="","",INDEX(Roster!$J:$J,MATCH($C326,Roster!$B:$B,0))&amp;""),"—"))</f>
        <v/>
      </c>
      <c r="L326">
        <f>IF($C326="","",IFERROR(IF(INDEX(Roster!$K:$K,MATCH($C326,Roster!$B:$B,0))="","",INDEX(Roster!$K:$K,MATCH($C326,Roster!$B:$B,0))&amp;""),"—"))</f>
        <v/>
      </c>
      <c r="M326" s="27" t="n"/>
      <c r="N326" s="27" t="n"/>
      <c r="O326" s="25">
        <f>IF($C326="","",IF($P326="","—",IF($P326="Valid (Pass)","Valid","Invalid")))</f>
        <v/>
      </c>
      <c r="P326" s="27" t="n"/>
      <c r="Q326" s="27" t="n"/>
      <c r="R326" s="27" t="n"/>
      <c r="S326" s="27" t="n"/>
      <c r="T326" s="25">
        <f>IF($C326="","",IF(OR(ISNUMBER(SEARCH("quick case",$P326)),ISNUMBER(SEARCH("quick case",$Q326))),"Yes","No"))</f>
        <v/>
      </c>
      <c r="U326" s="25">
        <f>IF($O326="Invalid",HYPERLINK("mailto:"&amp;$G326&amp;";"&amp;$I326&amp;"?cc="&amp;Lists!$E$2&amp;"&amp;subject="&amp;_xlfn.ENCODEURL("[INVALID] Quality audit monitoring completed for "&amp;UPPER($C326))&amp;"&amp;body="&amp;_xlfn.ENCODEURL("Hi "&amp;$F326&amp;","&amp;CHAR(10)&amp;"Good day!"&amp;CHAR(10)&amp;CHAR(10)&amp;"A quality monitoring audit has been completed for "&amp;$C326&amp;"."&amp;CHAR(10)&amp;CHAR(10)&amp;"QUALITY AUDIT DETAILS"&amp;CHAR(10)&amp;"Agent Name: "&amp;$C326&amp;" (EID "&amp;$D326&amp;")"&amp;CHAR(10)&amp;"Audit Date: "&amp;TEXT($B326,"yyyy-mm-dd")&amp;CHAR(10)&amp;"Team Leader: "&amp;$F326&amp;CHAR(10)&amp;"Case Number: "&amp;$M326&amp;CHAR(10)&amp;"Transaction ID: "&amp;$N326&amp;CHAR(10)&amp;"Channel / LOB: "&amp;$K326&amp;" / "&amp;$L326&amp;CHAR(10)&amp;"Evaluator: "&amp;$S326&amp;CHAR(10)&amp;CHAR(10)&amp;"INVALID QUALITY AUDIT DETAILS"&amp;CHAR(10)&amp;"Validation: Invalid"&amp;CHAR(10)&amp;"Invalid Reason: "&amp;$P326&amp;CHAR(10)&amp;"Expected Resolution Code: "&amp;$Q326&amp;CHAR(10)&amp;"Remarks: "&amp;LEFT($R326,600)&amp;CHAR(10)&amp;CHAR(10)&amp;"This is an automated notification from HP Mainstream EQMS."),"✉ Open Email Draft"),"")</f>
        <v/>
      </c>
    </row>
    <row r="327">
      <c r="A327" s="25">
        <f>IF($C327="","","AUD-2026-"&amp;TEXT(ROW()-1,"000000"))</f>
        <v/>
      </c>
      <c r="B327" s="26" t="n"/>
      <c r="C327" s="27" t="n"/>
      <c r="D327" s="25">
        <f>IF($C327="","",IFERROR(IF(INDEX(Roster!$A:$A,MATCH($C327,Roster!$B:$B,0))="","",INDEX(Roster!$A:$A,MATCH($C327,Roster!$B:$B,0))&amp;""),"—"))</f>
        <v/>
      </c>
      <c r="E327" s="25">
        <f>IF($C327="","",IFERROR(IF(INDEX(Roster!$C:$C,MATCH($C327,Roster!$B:$B,0))="","",INDEX(Roster!$C:$C,MATCH($C327,Roster!$B:$B,0))&amp;""),"—"))</f>
        <v/>
      </c>
      <c r="F327" s="25">
        <f>IF($C327="","",IFERROR(IF(INDEX(Roster!$D:$D,MATCH($C327,Roster!$B:$B,0))="","",INDEX(Roster!$D:$D,MATCH($C327,Roster!$B:$B,0))&amp;""),"—"))</f>
        <v/>
      </c>
      <c r="G327" s="25">
        <f>IF($C327="","",IFERROR(IF(INDEX(Roster!$E:$E,MATCH($C327,Roster!$B:$B,0))="","",INDEX(Roster!$E:$E,MATCH($C327,Roster!$B:$B,0))&amp;""),"—"))</f>
        <v/>
      </c>
      <c r="H327" s="25">
        <f>IF($C327="","",IFERROR(IF(INDEX(Roster!$F:$F,MATCH($C327,Roster!$B:$B,0))="","",INDEX(Roster!$F:$F,MATCH($C327,Roster!$B:$B,0))&amp;""),"—"))</f>
        <v/>
      </c>
      <c r="I327" s="25">
        <f>IF($C327="","",IFERROR(IF(INDEX(Roster!$G:$G,MATCH($C327,Roster!$B:$B,0))="","",INDEX(Roster!$G:$G,MATCH($C327,Roster!$B:$B,0))&amp;""),"—"))</f>
        <v/>
      </c>
      <c r="J327" s="25">
        <f>IF($C327="","",IFERROR(IF(INDEX(Roster!$I:$I,MATCH($C327,Roster!$B:$B,0))="","",INDEX(Roster!$I:$I,MATCH($C327,Roster!$B:$B,0))&amp;""),"—"))</f>
        <v/>
      </c>
      <c r="K327">
        <f>IF($C327="","",IFERROR(IF(INDEX(Roster!$J:$J,MATCH($C327,Roster!$B:$B,0))="","",INDEX(Roster!$J:$J,MATCH($C327,Roster!$B:$B,0))&amp;""),"—"))</f>
        <v/>
      </c>
      <c r="L327">
        <f>IF($C327="","",IFERROR(IF(INDEX(Roster!$K:$K,MATCH($C327,Roster!$B:$B,0))="","",INDEX(Roster!$K:$K,MATCH($C327,Roster!$B:$B,0))&amp;""),"—"))</f>
        <v/>
      </c>
      <c r="M327" s="27" t="n"/>
      <c r="N327" s="27" t="n"/>
      <c r="O327" s="25">
        <f>IF($C327="","",IF($P327="","—",IF($P327="Valid (Pass)","Valid","Invalid")))</f>
        <v/>
      </c>
      <c r="P327" s="27" t="n"/>
      <c r="Q327" s="27" t="n"/>
      <c r="R327" s="27" t="n"/>
      <c r="S327" s="27" t="n"/>
      <c r="T327" s="25">
        <f>IF($C327="","",IF(OR(ISNUMBER(SEARCH("quick case",$P327)),ISNUMBER(SEARCH("quick case",$Q327))),"Yes","No"))</f>
        <v/>
      </c>
      <c r="U327" s="25">
        <f>IF($O327="Invalid",HYPERLINK("mailto:"&amp;$G327&amp;";"&amp;$I327&amp;"?cc="&amp;Lists!$E$2&amp;"&amp;subject="&amp;_xlfn.ENCODEURL("[INVALID] Quality audit monitoring completed for "&amp;UPPER($C327))&amp;"&amp;body="&amp;_xlfn.ENCODEURL("Hi "&amp;$F327&amp;","&amp;CHAR(10)&amp;"Good day!"&amp;CHAR(10)&amp;CHAR(10)&amp;"A quality monitoring audit has been completed for "&amp;$C327&amp;"."&amp;CHAR(10)&amp;CHAR(10)&amp;"QUALITY AUDIT DETAILS"&amp;CHAR(10)&amp;"Agent Name: "&amp;$C327&amp;" (EID "&amp;$D327&amp;")"&amp;CHAR(10)&amp;"Audit Date: "&amp;TEXT($B327,"yyyy-mm-dd")&amp;CHAR(10)&amp;"Team Leader: "&amp;$F327&amp;CHAR(10)&amp;"Case Number: "&amp;$M327&amp;CHAR(10)&amp;"Transaction ID: "&amp;$N327&amp;CHAR(10)&amp;"Channel / LOB: "&amp;$K327&amp;" / "&amp;$L327&amp;CHAR(10)&amp;"Evaluator: "&amp;$S327&amp;CHAR(10)&amp;CHAR(10)&amp;"INVALID QUALITY AUDIT DETAILS"&amp;CHAR(10)&amp;"Validation: Invalid"&amp;CHAR(10)&amp;"Invalid Reason: "&amp;$P327&amp;CHAR(10)&amp;"Expected Resolution Code: "&amp;$Q327&amp;CHAR(10)&amp;"Remarks: "&amp;LEFT($R327,600)&amp;CHAR(10)&amp;CHAR(10)&amp;"This is an automated notification from HP Mainstream EQMS."),"✉ Open Email Draft"),"")</f>
        <v/>
      </c>
    </row>
    <row r="328">
      <c r="A328" s="25">
        <f>IF($C328="","","AUD-2026-"&amp;TEXT(ROW()-1,"000000"))</f>
        <v/>
      </c>
      <c r="B328" s="26" t="n"/>
      <c r="C328" s="27" t="n"/>
      <c r="D328" s="25">
        <f>IF($C328="","",IFERROR(IF(INDEX(Roster!$A:$A,MATCH($C328,Roster!$B:$B,0))="","",INDEX(Roster!$A:$A,MATCH($C328,Roster!$B:$B,0))&amp;""),"—"))</f>
        <v/>
      </c>
      <c r="E328" s="25">
        <f>IF($C328="","",IFERROR(IF(INDEX(Roster!$C:$C,MATCH($C328,Roster!$B:$B,0))="","",INDEX(Roster!$C:$C,MATCH($C328,Roster!$B:$B,0))&amp;""),"—"))</f>
        <v/>
      </c>
      <c r="F328" s="25">
        <f>IF($C328="","",IFERROR(IF(INDEX(Roster!$D:$D,MATCH($C328,Roster!$B:$B,0))="","",INDEX(Roster!$D:$D,MATCH($C328,Roster!$B:$B,0))&amp;""),"—"))</f>
        <v/>
      </c>
      <c r="G328" s="25">
        <f>IF($C328="","",IFERROR(IF(INDEX(Roster!$E:$E,MATCH($C328,Roster!$B:$B,0))="","",INDEX(Roster!$E:$E,MATCH($C328,Roster!$B:$B,0))&amp;""),"—"))</f>
        <v/>
      </c>
      <c r="H328" s="25">
        <f>IF($C328="","",IFERROR(IF(INDEX(Roster!$F:$F,MATCH($C328,Roster!$B:$B,0))="","",INDEX(Roster!$F:$F,MATCH($C328,Roster!$B:$B,0))&amp;""),"—"))</f>
        <v/>
      </c>
      <c r="I328" s="25">
        <f>IF($C328="","",IFERROR(IF(INDEX(Roster!$G:$G,MATCH($C328,Roster!$B:$B,0))="","",INDEX(Roster!$G:$G,MATCH($C328,Roster!$B:$B,0))&amp;""),"—"))</f>
        <v/>
      </c>
      <c r="J328" s="25">
        <f>IF($C328="","",IFERROR(IF(INDEX(Roster!$I:$I,MATCH($C328,Roster!$B:$B,0))="","",INDEX(Roster!$I:$I,MATCH($C328,Roster!$B:$B,0))&amp;""),"—"))</f>
        <v/>
      </c>
      <c r="K328">
        <f>IF($C328="","",IFERROR(IF(INDEX(Roster!$J:$J,MATCH($C328,Roster!$B:$B,0))="","",INDEX(Roster!$J:$J,MATCH($C328,Roster!$B:$B,0))&amp;""),"—"))</f>
        <v/>
      </c>
      <c r="L328">
        <f>IF($C328="","",IFERROR(IF(INDEX(Roster!$K:$K,MATCH($C328,Roster!$B:$B,0))="","",INDEX(Roster!$K:$K,MATCH($C328,Roster!$B:$B,0))&amp;""),"—"))</f>
        <v/>
      </c>
      <c r="M328" s="27" t="n"/>
      <c r="N328" s="27" t="n"/>
      <c r="O328" s="25">
        <f>IF($C328="","",IF($P328="","—",IF($P328="Valid (Pass)","Valid","Invalid")))</f>
        <v/>
      </c>
      <c r="P328" s="27" t="n"/>
      <c r="Q328" s="27" t="n"/>
      <c r="R328" s="27" t="n"/>
      <c r="S328" s="27" t="n"/>
      <c r="T328" s="25">
        <f>IF($C328="","",IF(OR(ISNUMBER(SEARCH("quick case",$P328)),ISNUMBER(SEARCH("quick case",$Q328))),"Yes","No"))</f>
        <v/>
      </c>
      <c r="U328" s="25">
        <f>IF($O328="Invalid",HYPERLINK("mailto:"&amp;$G328&amp;";"&amp;$I328&amp;"?cc="&amp;Lists!$E$2&amp;"&amp;subject="&amp;_xlfn.ENCODEURL("[INVALID] Quality audit monitoring completed for "&amp;UPPER($C328))&amp;"&amp;body="&amp;_xlfn.ENCODEURL("Hi "&amp;$F328&amp;","&amp;CHAR(10)&amp;"Good day!"&amp;CHAR(10)&amp;CHAR(10)&amp;"A quality monitoring audit has been completed for "&amp;$C328&amp;"."&amp;CHAR(10)&amp;CHAR(10)&amp;"QUALITY AUDIT DETAILS"&amp;CHAR(10)&amp;"Agent Name: "&amp;$C328&amp;" (EID "&amp;$D328&amp;")"&amp;CHAR(10)&amp;"Audit Date: "&amp;TEXT($B328,"yyyy-mm-dd")&amp;CHAR(10)&amp;"Team Leader: "&amp;$F328&amp;CHAR(10)&amp;"Case Number: "&amp;$M328&amp;CHAR(10)&amp;"Transaction ID: "&amp;$N328&amp;CHAR(10)&amp;"Channel / LOB: "&amp;$K328&amp;" / "&amp;$L328&amp;CHAR(10)&amp;"Evaluator: "&amp;$S328&amp;CHAR(10)&amp;CHAR(10)&amp;"INVALID QUALITY AUDIT DETAILS"&amp;CHAR(10)&amp;"Validation: Invalid"&amp;CHAR(10)&amp;"Invalid Reason: "&amp;$P328&amp;CHAR(10)&amp;"Expected Resolution Code: "&amp;$Q328&amp;CHAR(10)&amp;"Remarks: "&amp;LEFT($R328,600)&amp;CHAR(10)&amp;CHAR(10)&amp;"This is an automated notification from HP Mainstream EQMS."),"✉ Open Email Draft"),"")</f>
        <v/>
      </c>
    </row>
    <row r="329">
      <c r="A329" s="25">
        <f>IF($C329="","","AUD-2026-"&amp;TEXT(ROW()-1,"000000"))</f>
        <v/>
      </c>
      <c r="B329" s="26" t="n"/>
      <c r="C329" s="27" t="n"/>
      <c r="D329" s="25">
        <f>IF($C329="","",IFERROR(IF(INDEX(Roster!$A:$A,MATCH($C329,Roster!$B:$B,0))="","",INDEX(Roster!$A:$A,MATCH($C329,Roster!$B:$B,0))&amp;""),"—"))</f>
        <v/>
      </c>
      <c r="E329" s="25">
        <f>IF($C329="","",IFERROR(IF(INDEX(Roster!$C:$C,MATCH($C329,Roster!$B:$B,0))="","",INDEX(Roster!$C:$C,MATCH($C329,Roster!$B:$B,0))&amp;""),"—"))</f>
        <v/>
      </c>
      <c r="F329" s="25">
        <f>IF($C329="","",IFERROR(IF(INDEX(Roster!$D:$D,MATCH($C329,Roster!$B:$B,0))="","",INDEX(Roster!$D:$D,MATCH($C329,Roster!$B:$B,0))&amp;""),"—"))</f>
        <v/>
      </c>
      <c r="G329" s="25">
        <f>IF($C329="","",IFERROR(IF(INDEX(Roster!$E:$E,MATCH($C329,Roster!$B:$B,0))="","",INDEX(Roster!$E:$E,MATCH($C329,Roster!$B:$B,0))&amp;""),"—"))</f>
        <v/>
      </c>
      <c r="H329" s="25">
        <f>IF($C329="","",IFERROR(IF(INDEX(Roster!$F:$F,MATCH($C329,Roster!$B:$B,0))="","",INDEX(Roster!$F:$F,MATCH($C329,Roster!$B:$B,0))&amp;""),"—"))</f>
        <v/>
      </c>
      <c r="I329" s="25">
        <f>IF($C329="","",IFERROR(IF(INDEX(Roster!$G:$G,MATCH($C329,Roster!$B:$B,0))="","",INDEX(Roster!$G:$G,MATCH($C329,Roster!$B:$B,0))&amp;""),"—"))</f>
        <v/>
      </c>
      <c r="J329" s="25">
        <f>IF($C329="","",IFERROR(IF(INDEX(Roster!$I:$I,MATCH($C329,Roster!$B:$B,0))="","",INDEX(Roster!$I:$I,MATCH($C329,Roster!$B:$B,0))&amp;""),"—"))</f>
        <v/>
      </c>
      <c r="K329">
        <f>IF($C329="","",IFERROR(IF(INDEX(Roster!$J:$J,MATCH($C329,Roster!$B:$B,0))="","",INDEX(Roster!$J:$J,MATCH($C329,Roster!$B:$B,0))&amp;""),"—"))</f>
        <v/>
      </c>
      <c r="L329">
        <f>IF($C329="","",IFERROR(IF(INDEX(Roster!$K:$K,MATCH($C329,Roster!$B:$B,0))="","",INDEX(Roster!$K:$K,MATCH($C329,Roster!$B:$B,0))&amp;""),"—"))</f>
        <v/>
      </c>
      <c r="M329" s="27" t="n"/>
      <c r="N329" s="27" t="n"/>
      <c r="O329" s="25">
        <f>IF($C329="","",IF($P329="","—",IF($P329="Valid (Pass)","Valid","Invalid")))</f>
        <v/>
      </c>
      <c r="P329" s="27" t="n"/>
      <c r="Q329" s="27" t="n"/>
      <c r="R329" s="27" t="n"/>
      <c r="S329" s="27" t="n"/>
      <c r="T329" s="25">
        <f>IF($C329="","",IF(OR(ISNUMBER(SEARCH("quick case",$P329)),ISNUMBER(SEARCH("quick case",$Q329))),"Yes","No"))</f>
        <v/>
      </c>
      <c r="U329" s="25">
        <f>IF($O329="Invalid",HYPERLINK("mailto:"&amp;$G329&amp;";"&amp;$I329&amp;"?cc="&amp;Lists!$E$2&amp;"&amp;subject="&amp;_xlfn.ENCODEURL("[INVALID] Quality audit monitoring completed for "&amp;UPPER($C329))&amp;"&amp;body="&amp;_xlfn.ENCODEURL("Hi "&amp;$F329&amp;","&amp;CHAR(10)&amp;"Good day!"&amp;CHAR(10)&amp;CHAR(10)&amp;"A quality monitoring audit has been completed for "&amp;$C329&amp;"."&amp;CHAR(10)&amp;CHAR(10)&amp;"QUALITY AUDIT DETAILS"&amp;CHAR(10)&amp;"Agent Name: "&amp;$C329&amp;" (EID "&amp;$D329&amp;")"&amp;CHAR(10)&amp;"Audit Date: "&amp;TEXT($B329,"yyyy-mm-dd")&amp;CHAR(10)&amp;"Team Leader: "&amp;$F329&amp;CHAR(10)&amp;"Case Number: "&amp;$M329&amp;CHAR(10)&amp;"Transaction ID: "&amp;$N329&amp;CHAR(10)&amp;"Channel / LOB: "&amp;$K329&amp;" / "&amp;$L329&amp;CHAR(10)&amp;"Evaluator: "&amp;$S329&amp;CHAR(10)&amp;CHAR(10)&amp;"INVALID QUALITY AUDIT DETAILS"&amp;CHAR(10)&amp;"Validation: Invalid"&amp;CHAR(10)&amp;"Invalid Reason: "&amp;$P329&amp;CHAR(10)&amp;"Expected Resolution Code: "&amp;$Q329&amp;CHAR(10)&amp;"Remarks: "&amp;LEFT($R329,600)&amp;CHAR(10)&amp;CHAR(10)&amp;"This is an automated notification from HP Mainstream EQMS."),"✉ Open Email Draft"),"")</f>
        <v/>
      </c>
    </row>
    <row r="330">
      <c r="A330" s="25">
        <f>IF($C330="","","AUD-2026-"&amp;TEXT(ROW()-1,"000000"))</f>
        <v/>
      </c>
      <c r="B330" s="26" t="n"/>
      <c r="C330" s="27" t="n"/>
      <c r="D330" s="25">
        <f>IF($C330="","",IFERROR(IF(INDEX(Roster!$A:$A,MATCH($C330,Roster!$B:$B,0))="","",INDEX(Roster!$A:$A,MATCH($C330,Roster!$B:$B,0))&amp;""),"—"))</f>
        <v/>
      </c>
      <c r="E330" s="25">
        <f>IF($C330="","",IFERROR(IF(INDEX(Roster!$C:$C,MATCH($C330,Roster!$B:$B,0))="","",INDEX(Roster!$C:$C,MATCH($C330,Roster!$B:$B,0))&amp;""),"—"))</f>
        <v/>
      </c>
      <c r="F330" s="25">
        <f>IF($C330="","",IFERROR(IF(INDEX(Roster!$D:$D,MATCH($C330,Roster!$B:$B,0))="","",INDEX(Roster!$D:$D,MATCH($C330,Roster!$B:$B,0))&amp;""),"—"))</f>
        <v/>
      </c>
      <c r="G330" s="25">
        <f>IF($C330="","",IFERROR(IF(INDEX(Roster!$E:$E,MATCH($C330,Roster!$B:$B,0))="","",INDEX(Roster!$E:$E,MATCH($C330,Roster!$B:$B,0))&amp;""),"—"))</f>
        <v/>
      </c>
      <c r="H330" s="25">
        <f>IF($C330="","",IFERROR(IF(INDEX(Roster!$F:$F,MATCH($C330,Roster!$B:$B,0))="","",INDEX(Roster!$F:$F,MATCH($C330,Roster!$B:$B,0))&amp;""),"—"))</f>
        <v/>
      </c>
      <c r="I330" s="25">
        <f>IF($C330="","",IFERROR(IF(INDEX(Roster!$G:$G,MATCH($C330,Roster!$B:$B,0))="","",INDEX(Roster!$G:$G,MATCH($C330,Roster!$B:$B,0))&amp;""),"—"))</f>
        <v/>
      </c>
      <c r="J330" s="25">
        <f>IF($C330="","",IFERROR(IF(INDEX(Roster!$I:$I,MATCH($C330,Roster!$B:$B,0))="","",INDEX(Roster!$I:$I,MATCH($C330,Roster!$B:$B,0))&amp;""),"—"))</f>
        <v/>
      </c>
      <c r="K330">
        <f>IF($C330="","",IFERROR(IF(INDEX(Roster!$J:$J,MATCH($C330,Roster!$B:$B,0))="","",INDEX(Roster!$J:$J,MATCH($C330,Roster!$B:$B,0))&amp;""),"—"))</f>
        <v/>
      </c>
      <c r="L330">
        <f>IF($C330="","",IFERROR(IF(INDEX(Roster!$K:$K,MATCH($C330,Roster!$B:$B,0))="","",INDEX(Roster!$K:$K,MATCH($C330,Roster!$B:$B,0))&amp;""),"—"))</f>
        <v/>
      </c>
      <c r="M330" s="27" t="n"/>
      <c r="N330" s="27" t="n"/>
      <c r="O330" s="25">
        <f>IF($C330="","",IF($P330="","—",IF($P330="Valid (Pass)","Valid","Invalid")))</f>
        <v/>
      </c>
      <c r="P330" s="27" t="n"/>
      <c r="Q330" s="27" t="n"/>
      <c r="R330" s="27" t="n"/>
      <c r="S330" s="27" t="n"/>
      <c r="T330" s="25">
        <f>IF($C330="","",IF(OR(ISNUMBER(SEARCH("quick case",$P330)),ISNUMBER(SEARCH("quick case",$Q330))),"Yes","No"))</f>
        <v/>
      </c>
      <c r="U330" s="25">
        <f>IF($O330="Invalid",HYPERLINK("mailto:"&amp;$G330&amp;";"&amp;$I330&amp;"?cc="&amp;Lists!$E$2&amp;"&amp;subject="&amp;_xlfn.ENCODEURL("[INVALID] Quality audit monitoring completed for "&amp;UPPER($C330))&amp;"&amp;body="&amp;_xlfn.ENCODEURL("Hi "&amp;$F330&amp;","&amp;CHAR(10)&amp;"Good day!"&amp;CHAR(10)&amp;CHAR(10)&amp;"A quality monitoring audit has been completed for "&amp;$C330&amp;"."&amp;CHAR(10)&amp;CHAR(10)&amp;"QUALITY AUDIT DETAILS"&amp;CHAR(10)&amp;"Agent Name: "&amp;$C330&amp;" (EID "&amp;$D330&amp;")"&amp;CHAR(10)&amp;"Audit Date: "&amp;TEXT($B330,"yyyy-mm-dd")&amp;CHAR(10)&amp;"Team Leader: "&amp;$F330&amp;CHAR(10)&amp;"Case Number: "&amp;$M330&amp;CHAR(10)&amp;"Transaction ID: "&amp;$N330&amp;CHAR(10)&amp;"Channel / LOB: "&amp;$K330&amp;" / "&amp;$L330&amp;CHAR(10)&amp;"Evaluator: "&amp;$S330&amp;CHAR(10)&amp;CHAR(10)&amp;"INVALID QUALITY AUDIT DETAILS"&amp;CHAR(10)&amp;"Validation: Invalid"&amp;CHAR(10)&amp;"Invalid Reason: "&amp;$P330&amp;CHAR(10)&amp;"Expected Resolution Code: "&amp;$Q330&amp;CHAR(10)&amp;"Remarks: "&amp;LEFT($R330,600)&amp;CHAR(10)&amp;CHAR(10)&amp;"This is an automated notification from HP Mainstream EQMS."),"✉ Open Email Draft"),"")</f>
        <v/>
      </c>
    </row>
    <row r="331">
      <c r="A331" s="25">
        <f>IF($C331="","","AUD-2026-"&amp;TEXT(ROW()-1,"000000"))</f>
        <v/>
      </c>
      <c r="B331" s="26" t="n"/>
      <c r="C331" s="27" t="n"/>
      <c r="D331" s="25">
        <f>IF($C331="","",IFERROR(IF(INDEX(Roster!$A:$A,MATCH($C331,Roster!$B:$B,0))="","",INDEX(Roster!$A:$A,MATCH($C331,Roster!$B:$B,0))&amp;""),"—"))</f>
        <v/>
      </c>
      <c r="E331" s="25">
        <f>IF($C331="","",IFERROR(IF(INDEX(Roster!$C:$C,MATCH($C331,Roster!$B:$B,0))="","",INDEX(Roster!$C:$C,MATCH($C331,Roster!$B:$B,0))&amp;""),"—"))</f>
        <v/>
      </c>
      <c r="F331" s="25">
        <f>IF($C331="","",IFERROR(IF(INDEX(Roster!$D:$D,MATCH($C331,Roster!$B:$B,0))="","",INDEX(Roster!$D:$D,MATCH($C331,Roster!$B:$B,0))&amp;""),"—"))</f>
        <v/>
      </c>
      <c r="G331" s="25">
        <f>IF($C331="","",IFERROR(IF(INDEX(Roster!$E:$E,MATCH($C331,Roster!$B:$B,0))="","",INDEX(Roster!$E:$E,MATCH($C331,Roster!$B:$B,0))&amp;""),"—"))</f>
        <v/>
      </c>
      <c r="H331" s="25">
        <f>IF($C331="","",IFERROR(IF(INDEX(Roster!$F:$F,MATCH($C331,Roster!$B:$B,0))="","",INDEX(Roster!$F:$F,MATCH($C331,Roster!$B:$B,0))&amp;""),"—"))</f>
        <v/>
      </c>
      <c r="I331" s="25">
        <f>IF($C331="","",IFERROR(IF(INDEX(Roster!$G:$G,MATCH($C331,Roster!$B:$B,0))="","",INDEX(Roster!$G:$G,MATCH($C331,Roster!$B:$B,0))&amp;""),"—"))</f>
        <v/>
      </c>
      <c r="J331" s="25">
        <f>IF($C331="","",IFERROR(IF(INDEX(Roster!$I:$I,MATCH($C331,Roster!$B:$B,0))="","",INDEX(Roster!$I:$I,MATCH($C331,Roster!$B:$B,0))&amp;""),"—"))</f>
        <v/>
      </c>
      <c r="K331">
        <f>IF($C331="","",IFERROR(IF(INDEX(Roster!$J:$J,MATCH($C331,Roster!$B:$B,0))="","",INDEX(Roster!$J:$J,MATCH($C331,Roster!$B:$B,0))&amp;""),"—"))</f>
        <v/>
      </c>
      <c r="L331">
        <f>IF($C331="","",IFERROR(IF(INDEX(Roster!$K:$K,MATCH($C331,Roster!$B:$B,0))="","",INDEX(Roster!$K:$K,MATCH($C331,Roster!$B:$B,0))&amp;""),"—"))</f>
        <v/>
      </c>
      <c r="M331" s="27" t="n"/>
      <c r="N331" s="27" t="n"/>
      <c r="O331" s="25">
        <f>IF($C331="","",IF($P331="","—",IF($P331="Valid (Pass)","Valid","Invalid")))</f>
        <v/>
      </c>
      <c r="P331" s="27" t="n"/>
      <c r="Q331" s="27" t="n"/>
      <c r="R331" s="27" t="n"/>
      <c r="S331" s="27" t="n"/>
      <c r="T331" s="25">
        <f>IF($C331="","",IF(OR(ISNUMBER(SEARCH("quick case",$P331)),ISNUMBER(SEARCH("quick case",$Q331))),"Yes","No"))</f>
        <v/>
      </c>
      <c r="U331" s="25">
        <f>IF($O331="Invalid",HYPERLINK("mailto:"&amp;$G331&amp;";"&amp;$I331&amp;"?cc="&amp;Lists!$E$2&amp;"&amp;subject="&amp;_xlfn.ENCODEURL("[INVALID] Quality audit monitoring completed for "&amp;UPPER($C331))&amp;"&amp;body="&amp;_xlfn.ENCODEURL("Hi "&amp;$F331&amp;","&amp;CHAR(10)&amp;"Good day!"&amp;CHAR(10)&amp;CHAR(10)&amp;"A quality monitoring audit has been completed for "&amp;$C331&amp;"."&amp;CHAR(10)&amp;CHAR(10)&amp;"QUALITY AUDIT DETAILS"&amp;CHAR(10)&amp;"Agent Name: "&amp;$C331&amp;" (EID "&amp;$D331&amp;")"&amp;CHAR(10)&amp;"Audit Date: "&amp;TEXT($B331,"yyyy-mm-dd")&amp;CHAR(10)&amp;"Team Leader: "&amp;$F331&amp;CHAR(10)&amp;"Case Number: "&amp;$M331&amp;CHAR(10)&amp;"Transaction ID: "&amp;$N331&amp;CHAR(10)&amp;"Channel / LOB: "&amp;$K331&amp;" / "&amp;$L331&amp;CHAR(10)&amp;"Evaluator: "&amp;$S331&amp;CHAR(10)&amp;CHAR(10)&amp;"INVALID QUALITY AUDIT DETAILS"&amp;CHAR(10)&amp;"Validation: Invalid"&amp;CHAR(10)&amp;"Invalid Reason: "&amp;$P331&amp;CHAR(10)&amp;"Expected Resolution Code: "&amp;$Q331&amp;CHAR(10)&amp;"Remarks: "&amp;LEFT($R331,600)&amp;CHAR(10)&amp;CHAR(10)&amp;"This is an automated notification from HP Mainstream EQMS."),"✉ Open Email Draft"),"")</f>
        <v/>
      </c>
    </row>
    <row r="332">
      <c r="A332" s="25">
        <f>IF($C332="","","AUD-2026-"&amp;TEXT(ROW()-1,"000000"))</f>
        <v/>
      </c>
      <c r="B332" s="26" t="n"/>
      <c r="C332" s="27" t="n"/>
      <c r="D332" s="25">
        <f>IF($C332="","",IFERROR(IF(INDEX(Roster!$A:$A,MATCH($C332,Roster!$B:$B,0))="","",INDEX(Roster!$A:$A,MATCH($C332,Roster!$B:$B,0))&amp;""),"—"))</f>
        <v/>
      </c>
      <c r="E332" s="25">
        <f>IF($C332="","",IFERROR(IF(INDEX(Roster!$C:$C,MATCH($C332,Roster!$B:$B,0))="","",INDEX(Roster!$C:$C,MATCH($C332,Roster!$B:$B,0))&amp;""),"—"))</f>
        <v/>
      </c>
      <c r="F332" s="25">
        <f>IF($C332="","",IFERROR(IF(INDEX(Roster!$D:$D,MATCH($C332,Roster!$B:$B,0))="","",INDEX(Roster!$D:$D,MATCH($C332,Roster!$B:$B,0))&amp;""),"—"))</f>
        <v/>
      </c>
      <c r="G332" s="25">
        <f>IF($C332="","",IFERROR(IF(INDEX(Roster!$E:$E,MATCH($C332,Roster!$B:$B,0))="","",INDEX(Roster!$E:$E,MATCH($C332,Roster!$B:$B,0))&amp;""),"—"))</f>
        <v/>
      </c>
      <c r="H332" s="25">
        <f>IF($C332="","",IFERROR(IF(INDEX(Roster!$F:$F,MATCH($C332,Roster!$B:$B,0))="","",INDEX(Roster!$F:$F,MATCH($C332,Roster!$B:$B,0))&amp;""),"—"))</f>
        <v/>
      </c>
      <c r="I332" s="25">
        <f>IF($C332="","",IFERROR(IF(INDEX(Roster!$G:$G,MATCH($C332,Roster!$B:$B,0))="","",INDEX(Roster!$G:$G,MATCH($C332,Roster!$B:$B,0))&amp;""),"—"))</f>
        <v/>
      </c>
      <c r="J332" s="25">
        <f>IF($C332="","",IFERROR(IF(INDEX(Roster!$I:$I,MATCH($C332,Roster!$B:$B,0))="","",INDEX(Roster!$I:$I,MATCH($C332,Roster!$B:$B,0))&amp;""),"—"))</f>
        <v/>
      </c>
      <c r="K332">
        <f>IF($C332="","",IFERROR(IF(INDEX(Roster!$J:$J,MATCH($C332,Roster!$B:$B,0))="","",INDEX(Roster!$J:$J,MATCH($C332,Roster!$B:$B,0))&amp;""),"—"))</f>
        <v/>
      </c>
      <c r="L332">
        <f>IF($C332="","",IFERROR(IF(INDEX(Roster!$K:$K,MATCH($C332,Roster!$B:$B,0))="","",INDEX(Roster!$K:$K,MATCH($C332,Roster!$B:$B,0))&amp;""),"—"))</f>
        <v/>
      </c>
      <c r="M332" s="27" t="n"/>
      <c r="N332" s="27" t="n"/>
      <c r="O332" s="25">
        <f>IF($C332="","",IF($P332="","—",IF($P332="Valid (Pass)","Valid","Invalid")))</f>
        <v/>
      </c>
      <c r="P332" s="27" t="n"/>
      <c r="Q332" s="27" t="n"/>
      <c r="R332" s="27" t="n"/>
      <c r="S332" s="27" t="n"/>
      <c r="T332" s="25">
        <f>IF($C332="","",IF(OR(ISNUMBER(SEARCH("quick case",$P332)),ISNUMBER(SEARCH("quick case",$Q332))),"Yes","No"))</f>
        <v/>
      </c>
      <c r="U332" s="25">
        <f>IF($O332="Invalid",HYPERLINK("mailto:"&amp;$G332&amp;";"&amp;$I332&amp;"?cc="&amp;Lists!$E$2&amp;"&amp;subject="&amp;_xlfn.ENCODEURL("[INVALID] Quality audit monitoring completed for "&amp;UPPER($C332))&amp;"&amp;body="&amp;_xlfn.ENCODEURL("Hi "&amp;$F332&amp;","&amp;CHAR(10)&amp;"Good day!"&amp;CHAR(10)&amp;CHAR(10)&amp;"A quality monitoring audit has been completed for "&amp;$C332&amp;"."&amp;CHAR(10)&amp;CHAR(10)&amp;"QUALITY AUDIT DETAILS"&amp;CHAR(10)&amp;"Agent Name: "&amp;$C332&amp;" (EID "&amp;$D332&amp;")"&amp;CHAR(10)&amp;"Audit Date: "&amp;TEXT($B332,"yyyy-mm-dd")&amp;CHAR(10)&amp;"Team Leader: "&amp;$F332&amp;CHAR(10)&amp;"Case Number: "&amp;$M332&amp;CHAR(10)&amp;"Transaction ID: "&amp;$N332&amp;CHAR(10)&amp;"Channel / LOB: "&amp;$K332&amp;" / "&amp;$L332&amp;CHAR(10)&amp;"Evaluator: "&amp;$S332&amp;CHAR(10)&amp;CHAR(10)&amp;"INVALID QUALITY AUDIT DETAILS"&amp;CHAR(10)&amp;"Validation: Invalid"&amp;CHAR(10)&amp;"Invalid Reason: "&amp;$P332&amp;CHAR(10)&amp;"Expected Resolution Code: "&amp;$Q332&amp;CHAR(10)&amp;"Remarks: "&amp;LEFT($R332,600)&amp;CHAR(10)&amp;CHAR(10)&amp;"This is an automated notification from HP Mainstream EQMS."),"✉ Open Email Draft"),"")</f>
        <v/>
      </c>
    </row>
    <row r="333">
      <c r="A333" s="25">
        <f>IF($C333="","","AUD-2026-"&amp;TEXT(ROW()-1,"000000"))</f>
        <v/>
      </c>
      <c r="B333" s="26" t="n"/>
      <c r="C333" s="27" t="n"/>
      <c r="D333" s="25">
        <f>IF($C333="","",IFERROR(IF(INDEX(Roster!$A:$A,MATCH($C333,Roster!$B:$B,0))="","",INDEX(Roster!$A:$A,MATCH($C333,Roster!$B:$B,0))&amp;""),"—"))</f>
        <v/>
      </c>
      <c r="E333" s="25">
        <f>IF($C333="","",IFERROR(IF(INDEX(Roster!$C:$C,MATCH($C333,Roster!$B:$B,0))="","",INDEX(Roster!$C:$C,MATCH($C333,Roster!$B:$B,0))&amp;""),"—"))</f>
        <v/>
      </c>
      <c r="F333" s="25">
        <f>IF($C333="","",IFERROR(IF(INDEX(Roster!$D:$D,MATCH($C333,Roster!$B:$B,0))="","",INDEX(Roster!$D:$D,MATCH($C333,Roster!$B:$B,0))&amp;""),"—"))</f>
        <v/>
      </c>
      <c r="G333" s="25">
        <f>IF($C333="","",IFERROR(IF(INDEX(Roster!$E:$E,MATCH($C333,Roster!$B:$B,0))="","",INDEX(Roster!$E:$E,MATCH($C333,Roster!$B:$B,0))&amp;""),"—"))</f>
        <v/>
      </c>
      <c r="H333" s="25">
        <f>IF($C333="","",IFERROR(IF(INDEX(Roster!$F:$F,MATCH($C333,Roster!$B:$B,0))="","",INDEX(Roster!$F:$F,MATCH($C333,Roster!$B:$B,0))&amp;""),"—"))</f>
        <v/>
      </c>
      <c r="I333" s="25">
        <f>IF($C333="","",IFERROR(IF(INDEX(Roster!$G:$G,MATCH($C333,Roster!$B:$B,0))="","",INDEX(Roster!$G:$G,MATCH($C333,Roster!$B:$B,0))&amp;""),"—"))</f>
        <v/>
      </c>
      <c r="J333" s="25">
        <f>IF($C333="","",IFERROR(IF(INDEX(Roster!$I:$I,MATCH($C333,Roster!$B:$B,0))="","",INDEX(Roster!$I:$I,MATCH($C333,Roster!$B:$B,0))&amp;""),"—"))</f>
        <v/>
      </c>
      <c r="K333">
        <f>IF($C333="","",IFERROR(IF(INDEX(Roster!$J:$J,MATCH($C333,Roster!$B:$B,0))="","",INDEX(Roster!$J:$J,MATCH($C333,Roster!$B:$B,0))&amp;""),"—"))</f>
        <v/>
      </c>
      <c r="L333">
        <f>IF($C333="","",IFERROR(IF(INDEX(Roster!$K:$K,MATCH($C333,Roster!$B:$B,0))="","",INDEX(Roster!$K:$K,MATCH($C333,Roster!$B:$B,0))&amp;""),"—"))</f>
        <v/>
      </c>
      <c r="M333" s="27" t="n"/>
      <c r="N333" s="27" t="n"/>
      <c r="O333" s="25">
        <f>IF($C333="","",IF($P333="","—",IF($P333="Valid (Pass)","Valid","Invalid")))</f>
        <v/>
      </c>
      <c r="P333" s="27" t="n"/>
      <c r="Q333" s="27" t="n"/>
      <c r="R333" s="27" t="n"/>
      <c r="S333" s="27" t="n"/>
      <c r="T333" s="25">
        <f>IF($C333="","",IF(OR(ISNUMBER(SEARCH("quick case",$P333)),ISNUMBER(SEARCH("quick case",$Q333))),"Yes","No"))</f>
        <v/>
      </c>
      <c r="U333" s="25">
        <f>IF($O333="Invalid",HYPERLINK("mailto:"&amp;$G333&amp;";"&amp;$I333&amp;"?cc="&amp;Lists!$E$2&amp;"&amp;subject="&amp;_xlfn.ENCODEURL("[INVALID] Quality audit monitoring completed for "&amp;UPPER($C333))&amp;"&amp;body="&amp;_xlfn.ENCODEURL("Hi "&amp;$F333&amp;","&amp;CHAR(10)&amp;"Good day!"&amp;CHAR(10)&amp;CHAR(10)&amp;"A quality monitoring audit has been completed for "&amp;$C333&amp;"."&amp;CHAR(10)&amp;CHAR(10)&amp;"QUALITY AUDIT DETAILS"&amp;CHAR(10)&amp;"Agent Name: "&amp;$C333&amp;" (EID "&amp;$D333&amp;")"&amp;CHAR(10)&amp;"Audit Date: "&amp;TEXT($B333,"yyyy-mm-dd")&amp;CHAR(10)&amp;"Team Leader: "&amp;$F333&amp;CHAR(10)&amp;"Case Number: "&amp;$M333&amp;CHAR(10)&amp;"Transaction ID: "&amp;$N333&amp;CHAR(10)&amp;"Channel / LOB: "&amp;$K333&amp;" / "&amp;$L333&amp;CHAR(10)&amp;"Evaluator: "&amp;$S333&amp;CHAR(10)&amp;CHAR(10)&amp;"INVALID QUALITY AUDIT DETAILS"&amp;CHAR(10)&amp;"Validation: Invalid"&amp;CHAR(10)&amp;"Invalid Reason: "&amp;$P333&amp;CHAR(10)&amp;"Expected Resolution Code: "&amp;$Q333&amp;CHAR(10)&amp;"Remarks: "&amp;LEFT($R333,600)&amp;CHAR(10)&amp;CHAR(10)&amp;"This is an automated notification from HP Mainstream EQMS."),"✉ Open Email Draft"),"")</f>
        <v/>
      </c>
    </row>
    <row r="334">
      <c r="A334" s="25">
        <f>IF($C334="","","AUD-2026-"&amp;TEXT(ROW()-1,"000000"))</f>
        <v/>
      </c>
      <c r="B334" s="26" t="n"/>
      <c r="C334" s="27" t="n"/>
      <c r="D334" s="25">
        <f>IF($C334="","",IFERROR(IF(INDEX(Roster!$A:$A,MATCH($C334,Roster!$B:$B,0))="","",INDEX(Roster!$A:$A,MATCH($C334,Roster!$B:$B,0))&amp;""),"—"))</f>
        <v/>
      </c>
      <c r="E334" s="25">
        <f>IF($C334="","",IFERROR(IF(INDEX(Roster!$C:$C,MATCH($C334,Roster!$B:$B,0))="","",INDEX(Roster!$C:$C,MATCH($C334,Roster!$B:$B,0))&amp;""),"—"))</f>
        <v/>
      </c>
      <c r="F334" s="25">
        <f>IF($C334="","",IFERROR(IF(INDEX(Roster!$D:$D,MATCH($C334,Roster!$B:$B,0))="","",INDEX(Roster!$D:$D,MATCH($C334,Roster!$B:$B,0))&amp;""),"—"))</f>
        <v/>
      </c>
      <c r="G334" s="25">
        <f>IF($C334="","",IFERROR(IF(INDEX(Roster!$E:$E,MATCH($C334,Roster!$B:$B,0))="","",INDEX(Roster!$E:$E,MATCH($C334,Roster!$B:$B,0))&amp;""),"—"))</f>
        <v/>
      </c>
      <c r="H334" s="25">
        <f>IF($C334="","",IFERROR(IF(INDEX(Roster!$F:$F,MATCH($C334,Roster!$B:$B,0))="","",INDEX(Roster!$F:$F,MATCH($C334,Roster!$B:$B,0))&amp;""),"—"))</f>
        <v/>
      </c>
      <c r="I334" s="25">
        <f>IF($C334="","",IFERROR(IF(INDEX(Roster!$G:$G,MATCH($C334,Roster!$B:$B,0))="","",INDEX(Roster!$G:$G,MATCH($C334,Roster!$B:$B,0))&amp;""),"—"))</f>
        <v/>
      </c>
      <c r="J334" s="25">
        <f>IF($C334="","",IFERROR(IF(INDEX(Roster!$I:$I,MATCH($C334,Roster!$B:$B,0))="","",INDEX(Roster!$I:$I,MATCH($C334,Roster!$B:$B,0))&amp;""),"—"))</f>
        <v/>
      </c>
      <c r="K334">
        <f>IF($C334="","",IFERROR(IF(INDEX(Roster!$J:$J,MATCH($C334,Roster!$B:$B,0))="","",INDEX(Roster!$J:$J,MATCH($C334,Roster!$B:$B,0))&amp;""),"—"))</f>
        <v/>
      </c>
      <c r="L334">
        <f>IF($C334="","",IFERROR(IF(INDEX(Roster!$K:$K,MATCH($C334,Roster!$B:$B,0))="","",INDEX(Roster!$K:$K,MATCH($C334,Roster!$B:$B,0))&amp;""),"—"))</f>
        <v/>
      </c>
      <c r="M334" s="27" t="n"/>
      <c r="N334" s="27" t="n"/>
      <c r="O334" s="25">
        <f>IF($C334="","",IF($P334="","—",IF($P334="Valid (Pass)","Valid","Invalid")))</f>
        <v/>
      </c>
      <c r="P334" s="27" t="n"/>
      <c r="Q334" s="27" t="n"/>
      <c r="R334" s="27" t="n"/>
      <c r="S334" s="27" t="n"/>
      <c r="T334" s="25">
        <f>IF($C334="","",IF(OR(ISNUMBER(SEARCH("quick case",$P334)),ISNUMBER(SEARCH("quick case",$Q334))),"Yes","No"))</f>
        <v/>
      </c>
      <c r="U334" s="25">
        <f>IF($O334="Invalid",HYPERLINK("mailto:"&amp;$G334&amp;";"&amp;$I334&amp;"?cc="&amp;Lists!$E$2&amp;"&amp;subject="&amp;_xlfn.ENCODEURL("[INVALID] Quality audit monitoring completed for "&amp;UPPER($C334))&amp;"&amp;body="&amp;_xlfn.ENCODEURL("Hi "&amp;$F334&amp;","&amp;CHAR(10)&amp;"Good day!"&amp;CHAR(10)&amp;CHAR(10)&amp;"A quality monitoring audit has been completed for "&amp;$C334&amp;"."&amp;CHAR(10)&amp;CHAR(10)&amp;"QUALITY AUDIT DETAILS"&amp;CHAR(10)&amp;"Agent Name: "&amp;$C334&amp;" (EID "&amp;$D334&amp;")"&amp;CHAR(10)&amp;"Audit Date: "&amp;TEXT($B334,"yyyy-mm-dd")&amp;CHAR(10)&amp;"Team Leader: "&amp;$F334&amp;CHAR(10)&amp;"Case Number: "&amp;$M334&amp;CHAR(10)&amp;"Transaction ID: "&amp;$N334&amp;CHAR(10)&amp;"Channel / LOB: "&amp;$K334&amp;" / "&amp;$L334&amp;CHAR(10)&amp;"Evaluator: "&amp;$S334&amp;CHAR(10)&amp;CHAR(10)&amp;"INVALID QUALITY AUDIT DETAILS"&amp;CHAR(10)&amp;"Validation: Invalid"&amp;CHAR(10)&amp;"Invalid Reason: "&amp;$P334&amp;CHAR(10)&amp;"Expected Resolution Code: "&amp;$Q334&amp;CHAR(10)&amp;"Remarks: "&amp;LEFT($R334,600)&amp;CHAR(10)&amp;CHAR(10)&amp;"This is an automated notification from HP Mainstream EQMS."),"✉ Open Email Draft"),"")</f>
        <v/>
      </c>
    </row>
    <row r="335">
      <c r="A335" s="25">
        <f>IF($C335="","","AUD-2026-"&amp;TEXT(ROW()-1,"000000"))</f>
        <v/>
      </c>
      <c r="B335" s="26" t="n"/>
      <c r="C335" s="27" t="n"/>
      <c r="D335" s="25">
        <f>IF($C335="","",IFERROR(IF(INDEX(Roster!$A:$A,MATCH($C335,Roster!$B:$B,0))="","",INDEX(Roster!$A:$A,MATCH($C335,Roster!$B:$B,0))&amp;""),"—"))</f>
        <v/>
      </c>
      <c r="E335" s="25">
        <f>IF($C335="","",IFERROR(IF(INDEX(Roster!$C:$C,MATCH($C335,Roster!$B:$B,0))="","",INDEX(Roster!$C:$C,MATCH($C335,Roster!$B:$B,0))&amp;""),"—"))</f>
        <v/>
      </c>
      <c r="F335" s="25">
        <f>IF($C335="","",IFERROR(IF(INDEX(Roster!$D:$D,MATCH($C335,Roster!$B:$B,0))="","",INDEX(Roster!$D:$D,MATCH($C335,Roster!$B:$B,0))&amp;""),"—"))</f>
        <v/>
      </c>
      <c r="G335" s="25">
        <f>IF($C335="","",IFERROR(IF(INDEX(Roster!$E:$E,MATCH($C335,Roster!$B:$B,0))="","",INDEX(Roster!$E:$E,MATCH($C335,Roster!$B:$B,0))&amp;""),"—"))</f>
        <v/>
      </c>
      <c r="H335" s="25">
        <f>IF($C335="","",IFERROR(IF(INDEX(Roster!$F:$F,MATCH($C335,Roster!$B:$B,0))="","",INDEX(Roster!$F:$F,MATCH($C335,Roster!$B:$B,0))&amp;""),"—"))</f>
        <v/>
      </c>
      <c r="I335" s="25">
        <f>IF($C335="","",IFERROR(IF(INDEX(Roster!$G:$G,MATCH($C335,Roster!$B:$B,0))="","",INDEX(Roster!$G:$G,MATCH($C335,Roster!$B:$B,0))&amp;""),"—"))</f>
        <v/>
      </c>
      <c r="J335" s="25">
        <f>IF($C335="","",IFERROR(IF(INDEX(Roster!$I:$I,MATCH($C335,Roster!$B:$B,0))="","",INDEX(Roster!$I:$I,MATCH($C335,Roster!$B:$B,0))&amp;""),"—"))</f>
        <v/>
      </c>
      <c r="K335">
        <f>IF($C335="","",IFERROR(IF(INDEX(Roster!$J:$J,MATCH($C335,Roster!$B:$B,0))="","",INDEX(Roster!$J:$J,MATCH($C335,Roster!$B:$B,0))&amp;""),"—"))</f>
        <v/>
      </c>
      <c r="L335">
        <f>IF($C335="","",IFERROR(IF(INDEX(Roster!$K:$K,MATCH($C335,Roster!$B:$B,0))="","",INDEX(Roster!$K:$K,MATCH($C335,Roster!$B:$B,0))&amp;""),"—"))</f>
        <v/>
      </c>
      <c r="M335" s="27" t="n"/>
      <c r="N335" s="27" t="n"/>
      <c r="O335" s="25">
        <f>IF($C335="","",IF($P335="","—",IF($P335="Valid (Pass)","Valid","Invalid")))</f>
        <v/>
      </c>
      <c r="P335" s="27" t="n"/>
      <c r="Q335" s="27" t="n"/>
      <c r="R335" s="27" t="n"/>
      <c r="S335" s="27" t="n"/>
      <c r="T335" s="25">
        <f>IF($C335="","",IF(OR(ISNUMBER(SEARCH("quick case",$P335)),ISNUMBER(SEARCH("quick case",$Q335))),"Yes","No"))</f>
        <v/>
      </c>
      <c r="U335" s="25">
        <f>IF($O335="Invalid",HYPERLINK("mailto:"&amp;$G335&amp;";"&amp;$I335&amp;"?cc="&amp;Lists!$E$2&amp;"&amp;subject="&amp;_xlfn.ENCODEURL("[INVALID] Quality audit monitoring completed for "&amp;UPPER($C335))&amp;"&amp;body="&amp;_xlfn.ENCODEURL("Hi "&amp;$F335&amp;","&amp;CHAR(10)&amp;"Good day!"&amp;CHAR(10)&amp;CHAR(10)&amp;"A quality monitoring audit has been completed for "&amp;$C335&amp;"."&amp;CHAR(10)&amp;CHAR(10)&amp;"QUALITY AUDIT DETAILS"&amp;CHAR(10)&amp;"Agent Name: "&amp;$C335&amp;" (EID "&amp;$D335&amp;")"&amp;CHAR(10)&amp;"Audit Date: "&amp;TEXT($B335,"yyyy-mm-dd")&amp;CHAR(10)&amp;"Team Leader: "&amp;$F335&amp;CHAR(10)&amp;"Case Number: "&amp;$M335&amp;CHAR(10)&amp;"Transaction ID: "&amp;$N335&amp;CHAR(10)&amp;"Channel / LOB: "&amp;$K335&amp;" / "&amp;$L335&amp;CHAR(10)&amp;"Evaluator: "&amp;$S335&amp;CHAR(10)&amp;CHAR(10)&amp;"INVALID QUALITY AUDIT DETAILS"&amp;CHAR(10)&amp;"Validation: Invalid"&amp;CHAR(10)&amp;"Invalid Reason: "&amp;$P335&amp;CHAR(10)&amp;"Expected Resolution Code: "&amp;$Q335&amp;CHAR(10)&amp;"Remarks: "&amp;LEFT($R335,600)&amp;CHAR(10)&amp;CHAR(10)&amp;"This is an automated notification from HP Mainstream EQMS."),"✉ Open Email Draft"),"")</f>
        <v/>
      </c>
    </row>
    <row r="336">
      <c r="A336" s="25">
        <f>IF($C336="","","AUD-2026-"&amp;TEXT(ROW()-1,"000000"))</f>
        <v/>
      </c>
      <c r="B336" s="26" t="n"/>
      <c r="C336" s="27" t="n"/>
      <c r="D336" s="25">
        <f>IF($C336="","",IFERROR(IF(INDEX(Roster!$A:$A,MATCH($C336,Roster!$B:$B,0))="","",INDEX(Roster!$A:$A,MATCH($C336,Roster!$B:$B,0))&amp;""),"—"))</f>
        <v/>
      </c>
      <c r="E336" s="25">
        <f>IF($C336="","",IFERROR(IF(INDEX(Roster!$C:$C,MATCH($C336,Roster!$B:$B,0))="","",INDEX(Roster!$C:$C,MATCH($C336,Roster!$B:$B,0))&amp;""),"—"))</f>
        <v/>
      </c>
      <c r="F336" s="25">
        <f>IF($C336="","",IFERROR(IF(INDEX(Roster!$D:$D,MATCH($C336,Roster!$B:$B,0))="","",INDEX(Roster!$D:$D,MATCH($C336,Roster!$B:$B,0))&amp;""),"—"))</f>
        <v/>
      </c>
      <c r="G336" s="25">
        <f>IF($C336="","",IFERROR(IF(INDEX(Roster!$E:$E,MATCH($C336,Roster!$B:$B,0))="","",INDEX(Roster!$E:$E,MATCH($C336,Roster!$B:$B,0))&amp;""),"—"))</f>
        <v/>
      </c>
      <c r="H336" s="25">
        <f>IF($C336="","",IFERROR(IF(INDEX(Roster!$F:$F,MATCH($C336,Roster!$B:$B,0))="","",INDEX(Roster!$F:$F,MATCH($C336,Roster!$B:$B,0))&amp;""),"—"))</f>
        <v/>
      </c>
      <c r="I336" s="25">
        <f>IF($C336="","",IFERROR(IF(INDEX(Roster!$G:$G,MATCH($C336,Roster!$B:$B,0))="","",INDEX(Roster!$G:$G,MATCH($C336,Roster!$B:$B,0))&amp;""),"—"))</f>
        <v/>
      </c>
      <c r="J336" s="25">
        <f>IF($C336="","",IFERROR(IF(INDEX(Roster!$I:$I,MATCH($C336,Roster!$B:$B,0))="","",INDEX(Roster!$I:$I,MATCH($C336,Roster!$B:$B,0))&amp;""),"—"))</f>
        <v/>
      </c>
      <c r="K336">
        <f>IF($C336="","",IFERROR(IF(INDEX(Roster!$J:$J,MATCH($C336,Roster!$B:$B,0))="","",INDEX(Roster!$J:$J,MATCH($C336,Roster!$B:$B,0))&amp;""),"—"))</f>
        <v/>
      </c>
      <c r="L336">
        <f>IF($C336="","",IFERROR(IF(INDEX(Roster!$K:$K,MATCH($C336,Roster!$B:$B,0))="","",INDEX(Roster!$K:$K,MATCH($C336,Roster!$B:$B,0))&amp;""),"—"))</f>
        <v/>
      </c>
      <c r="M336" s="27" t="n"/>
      <c r="N336" s="27" t="n"/>
      <c r="O336" s="25">
        <f>IF($C336="","",IF($P336="","—",IF($P336="Valid (Pass)","Valid","Invalid")))</f>
        <v/>
      </c>
      <c r="P336" s="27" t="n"/>
      <c r="Q336" s="27" t="n"/>
      <c r="R336" s="27" t="n"/>
      <c r="S336" s="27" t="n"/>
      <c r="T336" s="25">
        <f>IF($C336="","",IF(OR(ISNUMBER(SEARCH("quick case",$P336)),ISNUMBER(SEARCH("quick case",$Q336))),"Yes","No"))</f>
        <v/>
      </c>
      <c r="U336" s="25">
        <f>IF($O336="Invalid",HYPERLINK("mailto:"&amp;$G336&amp;";"&amp;$I336&amp;"?cc="&amp;Lists!$E$2&amp;"&amp;subject="&amp;_xlfn.ENCODEURL("[INVALID] Quality audit monitoring completed for "&amp;UPPER($C336))&amp;"&amp;body="&amp;_xlfn.ENCODEURL("Hi "&amp;$F336&amp;","&amp;CHAR(10)&amp;"Good day!"&amp;CHAR(10)&amp;CHAR(10)&amp;"A quality monitoring audit has been completed for "&amp;$C336&amp;"."&amp;CHAR(10)&amp;CHAR(10)&amp;"QUALITY AUDIT DETAILS"&amp;CHAR(10)&amp;"Agent Name: "&amp;$C336&amp;" (EID "&amp;$D336&amp;")"&amp;CHAR(10)&amp;"Audit Date: "&amp;TEXT($B336,"yyyy-mm-dd")&amp;CHAR(10)&amp;"Team Leader: "&amp;$F336&amp;CHAR(10)&amp;"Case Number: "&amp;$M336&amp;CHAR(10)&amp;"Transaction ID: "&amp;$N336&amp;CHAR(10)&amp;"Channel / LOB: "&amp;$K336&amp;" / "&amp;$L336&amp;CHAR(10)&amp;"Evaluator: "&amp;$S336&amp;CHAR(10)&amp;CHAR(10)&amp;"INVALID QUALITY AUDIT DETAILS"&amp;CHAR(10)&amp;"Validation: Invalid"&amp;CHAR(10)&amp;"Invalid Reason: "&amp;$P336&amp;CHAR(10)&amp;"Expected Resolution Code: "&amp;$Q336&amp;CHAR(10)&amp;"Remarks: "&amp;LEFT($R336,600)&amp;CHAR(10)&amp;CHAR(10)&amp;"This is an automated notification from HP Mainstream EQMS."),"✉ Open Email Draft"),"")</f>
        <v/>
      </c>
    </row>
    <row r="337">
      <c r="A337" s="25">
        <f>IF($C337="","","AUD-2026-"&amp;TEXT(ROW()-1,"000000"))</f>
        <v/>
      </c>
      <c r="B337" s="26" t="n"/>
      <c r="C337" s="27" t="n"/>
      <c r="D337" s="25">
        <f>IF($C337="","",IFERROR(IF(INDEX(Roster!$A:$A,MATCH($C337,Roster!$B:$B,0))="","",INDEX(Roster!$A:$A,MATCH($C337,Roster!$B:$B,0))&amp;""),"—"))</f>
        <v/>
      </c>
      <c r="E337" s="25">
        <f>IF($C337="","",IFERROR(IF(INDEX(Roster!$C:$C,MATCH($C337,Roster!$B:$B,0))="","",INDEX(Roster!$C:$C,MATCH($C337,Roster!$B:$B,0))&amp;""),"—"))</f>
        <v/>
      </c>
      <c r="F337" s="25">
        <f>IF($C337="","",IFERROR(IF(INDEX(Roster!$D:$D,MATCH($C337,Roster!$B:$B,0))="","",INDEX(Roster!$D:$D,MATCH($C337,Roster!$B:$B,0))&amp;""),"—"))</f>
        <v/>
      </c>
      <c r="G337" s="25">
        <f>IF($C337="","",IFERROR(IF(INDEX(Roster!$E:$E,MATCH($C337,Roster!$B:$B,0))="","",INDEX(Roster!$E:$E,MATCH($C337,Roster!$B:$B,0))&amp;""),"—"))</f>
        <v/>
      </c>
      <c r="H337" s="25">
        <f>IF($C337="","",IFERROR(IF(INDEX(Roster!$F:$F,MATCH($C337,Roster!$B:$B,0))="","",INDEX(Roster!$F:$F,MATCH($C337,Roster!$B:$B,0))&amp;""),"—"))</f>
        <v/>
      </c>
      <c r="I337" s="25">
        <f>IF($C337="","",IFERROR(IF(INDEX(Roster!$G:$G,MATCH($C337,Roster!$B:$B,0))="","",INDEX(Roster!$G:$G,MATCH($C337,Roster!$B:$B,0))&amp;""),"—"))</f>
        <v/>
      </c>
      <c r="J337" s="25">
        <f>IF($C337="","",IFERROR(IF(INDEX(Roster!$I:$I,MATCH($C337,Roster!$B:$B,0))="","",INDEX(Roster!$I:$I,MATCH($C337,Roster!$B:$B,0))&amp;""),"—"))</f>
        <v/>
      </c>
      <c r="K337">
        <f>IF($C337="","",IFERROR(IF(INDEX(Roster!$J:$J,MATCH($C337,Roster!$B:$B,0))="","",INDEX(Roster!$J:$J,MATCH($C337,Roster!$B:$B,0))&amp;""),"—"))</f>
        <v/>
      </c>
      <c r="L337">
        <f>IF($C337="","",IFERROR(IF(INDEX(Roster!$K:$K,MATCH($C337,Roster!$B:$B,0))="","",INDEX(Roster!$K:$K,MATCH($C337,Roster!$B:$B,0))&amp;""),"—"))</f>
        <v/>
      </c>
      <c r="M337" s="27" t="n"/>
      <c r="N337" s="27" t="n"/>
      <c r="O337" s="25">
        <f>IF($C337="","",IF($P337="","—",IF($P337="Valid (Pass)","Valid","Invalid")))</f>
        <v/>
      </c>
      <c r="P337" s="27" t="n"/>
      <c r="Q337" s="27" t="n"/>
      <c r="R337" s="27" t="n"/>
      <c r="S337" s="27" t="n"/>
      <c r="T337" s="25">
        <f>IF($C337="","",IF(OR(ISNUMBER(SEARCH("quick case",$P337)),ISNUMBER(SEARCH("quick case",$Q337))),"Yes","No"))</f>
        <v/>
      </c>
      <c r="U337" s="25">
        <f>IF($O337="Invalid",HYPERLINK("mailto:"&amp;$G337&amp;";"&amp;$I337&amp;"?cc="&amp;Lists!$E$2&amp;"&amp;subject="&amp;_xlfn.ENCODEURL("[INVALID] Quality audit monitoring completed for "&amp;UPPER($C337))&amp;"&amp;body="&amp;_xlfn.ENCODEURL("Hi "&amp;$F337&amp;","&amp;CHAR(10)&amp;"Good day!"&amp;CHAR(10)&amp;CHAR(10)&amp;"A quality monitoring audit has been completed for "&amp;$C337&amp;"."&amp;CHAR(10)&amp;CHAR(10)&amp;"QUALITY AUDIT DETAILS"&amp;CHAR(10)&amp;"Agent Name: "&amp;$C337&amp;" (EID "&amp;$D337&amp;")"&amp;CHAR(10)&amp;"Audit Date: "&amp;TEXT($B337,"yyyy-mm-dd")&amp;CHAR(10)&amp;"Team Leader: "&amp;$F337&amp;CHAR(10)&amp;"Case Number: "&amp;$M337&amp;CHAR(10)&amp;"Transaction ID: "&amp;$N337&amp;CHAR(10)&amp;"Channel / LOB: "&amp;$K337&amp;" / "&amp;$L337&amp;CHAR(10)&amp;"Evaluator: "&amp;$S337&amp;CHAR(10)&amp;CHAR(10)&amp;"INVALID QUALITY AUDIT DETAILS"&amp;CHAR(10)&amp;"Validation: Invalid"&amp;CHAR(10)&amp;"Invalid Reason: "&amp;$P337&amp;CHAR(10)&amp;"Expected Resolution Code: "&amp;$Q337&amp;CHAR(10)&amp;"Remarks: "&amp;LEFT($R337,600)&amp;CHAR(10)&amp;CHAR(10)&amp;"This is an automated notification from HP Mainstream EQMS."),"✉ Open Email Draft"),"")</f>
        <v/>
      </c>
    </row>
    <row r="338">
      <c r="A338" s="25">
        <f>IF($C338="","","AUD-2026-"&amp;TEXT(ROW()-1,"000000"))</f>
        <v/>
      </c>
      <c r="B338" s="26" t="n"/>
      <c r="C338" s="27" t="n"/>
      <c r="D338" s="25">
        <f>IF($C338="","",IFERROR(IF(INDEX(Roster!$A:$A,MATCH($C338,Roster!$B:$B,0))="","",INDEX(Roster!$A:$A,MATCH($C338,Roster!$B:$B,0))&amp;""),"—"))</f>
        <v/>
      </c>
      <c r="E338" s="25">
        <f>IF($C338="","",IFERROR(IF(INDEX(Roster!$C:$C,MATCH($C338,Roster!$B:$B,0))="","",INDEX(Roster!$C:$C,MATCH($C338,Roster!$B:$B,0))&amp;""),"—"))</f>
        <v/>
      </c>
      <c r="F338" s="25">
        <f>IF($C338="","",IFERROR(IF(INDEX(Roster!$D:$D,MATCH($C338,Roster!$B:$B,0))="","",INDEX(Roster!$D:$D,MATCH($C338,Roster!$B:$B,0))&amp;""),"—"))</f>
        <v/>
      </c>
      <c r="G338" s="25">
        <f>IF($C338="","",IFERROR(IF(INDEX(Roster!$E:$E,MATCH($C338,Roster!$B:$B,0))="","",INDEX(Roster!$E:$E,MATCH($C338,Roster!$B:$B,0))&amp;""),"—"))</f>
        <v/>
      </c>
      <c r="H338" s="25">
        <f>IF($C338="","",IFERROR(IF(INDEX(Roster!$F:$F,MATCH($C338,Roster!$B:$B,0))="","",INDEX(Roster!$F:$F,MATCH($C338,Roster!$B:$B,0))&amp;""),"—"))</f>
        <v/>
      </c>
      <c r="I338" s="25">
        <f>IF($C338="","",IFERROR(IF(INDEX(Roster!$G:$G,MATCH($C338,Roster!$B:$B,0))="","",INDEX(Roster!$G:$G,MATCH($C338,Roster!$B:$B,0))&amp;""),"—"))</f>
        <v/>
      </c>
      <c r="J338" s="25">
        <f>IF($C338="","",IFERROR(IF(INDEX(Roster!$I:$I,MATCH($C338,Roster!$B:$B,0))="","",INDEX(Roster!$I:$I,MATCH($C338,Roster!$B:$B,0))&amp;""),"—"))</f>
        <v/>
      </c>
      <c r="K338">
        <f>IF($C338="","",IFERROR(IF(INDEX(Roster!$J:$J,MATCH($C338,Roster!$B:$B,0))="","",INDEX(Roster!$J:$J,MATCH($C338,Roster!$B:$B,0))&amp;""),"—"))</f>
        <v/>
      </c>
      <c r="L338">
        <f>IF($C338="","",IFERROR(IF(INDEX(Roster!$K:$K,MATCH($C338,Roster!$B:$B,0))="","",INDEX(Roster!$K:$K,MATCH($C338,Roster!$B:$B,0))&amp;""),"—"))</f>
        <v/>
      </c>
      <c r="M338" s="27" t="n"/>
      <c r="N338" s="27" t="n"/>
      <c r="O338" s="25">
        <f>IF($C338="","",IF($P338="","—",IF($P338="Valid (Pass)","Valid","Invalid")))</f>
        <v/>
      </c>
      <c r="P338" s="27" t="n"/>
      <c r="Q338" s="27" t="n"/>
      <c r="R338" s="27" t="n"/>
      <c r="S338" s="27" t="n"/>
      <c r="T338" s="25">
        <f>IF($C338="","",IF(OR(ISNUMBER(SEARCH("quick case",$P338)),ISNUMBER(SEARCH("quick case",$Q338))),"Yes","No"))</f>
        <v/>
      </c>
      <c r="U338" s="25">
        <f>IF($O338="Invalid",HYPERLINK("mailto:"&amp;$G338&amp;";"&amp;$I338&amp;"?cc="&amp;Lists!$E$2&amp;"&amp;subject="&amp;_xlfn.ENCODEURL("[INVALID] Quality audit monitoring completed for "&amp;UPPER($C338))&amp;"&amp;body="&amp;_xlfn.ENCODEURL("Hi "&amp;$F338&amp;","&amp;CHAR(10)&amp;"Good day!"&amp;CHAR(10)&amp;CHAR(10)&amp;"A quality monitoring audit has been completed for "&amp;$C338&amp;"."&amp;CHAR(10)&amp;CHAR(10)&amp;"QUALITY AUDIT DETAILS"&amp;CHAR(10)&amp;"Agent Name: "&amp;$C338&amp;" (EID "&amp;$D338&amp;")"&amp;CHAR(10)&amp;"Audit Date: "&amp;TEXT($B338,"yyyy-mm-dd")&amp;CHAR(10)&amp;"Team Leader: "&amp;$F338&amp;CHAR(10)&amp;"Case Number: "&amp;$M338&amp;CHAR(10)&amp;"Transaction ID: "&amp;$N338&amp;CHAR(10)&amp;"Channel / LOB: "&amp;$K338&amp;" / "&amp;$L338&amp;CHAR(10)&amp;"Evaluator: "&amp;$S338&amp;CHAR(10)&amp;CHAR(10)&amp;"INVALID QUALITY AUDIT DETAILS"&amp;CHAR(10)&amp;"Validation: Invalid"&amp;CHAR(10)&amp;"Invalid Reason: "&amp;$P338&amp;CHAR(10)&amp;"Expected Resolution Code: "&amp;$Q338&amp;CHAR(10)&amp;"Remarks: "&amp;LEFT($R338,600)&amp;CHAR(10)&amp;CHAR(10)&amp;"This is an automated notification from HP Mainstream EQMS."),"✉ Open Email Draft"),"")</f>
        <v/>
      </c>
    </row>
    <row r="339">
      <c r="A339" s="25">
        <f>IF($C339="","","AUD-2026-"&amp;TEXT(ROW()-1,"000000"))</f>
        <v/>
      </c>
      <c r="B339" s="26" t="n"/>
      <c r="C339" s="27" t="n"/>
      <c r="D339" s="25">
        <f>IF($C339="","",IFERROR(IF(INDEX(Roster!$A:$A,MATCH($C339,Roster!$B:$B,0))="","",INDEX(Roster!$A:$A,MATCH($C339,Roster!$B:$B,0))&amp;""),"—"))</f>
        <v/>
      </c>
      <c r="E339" s="25">
        <f>IF($C339="","",IFERROR(IF(INDEX(Roster!$C:$C,MATCH($C339,Roster!$B:$B,0))="","",INDEX(Roster!$C:$C,MATCH($C339,Roster!$B:$B,0))&amp;""),"—"))</f>
        <v/>
      </c>
      <c r="F339" s="25">
        <f>IF($C339="","",IFERROR(IF(INDEX(Roster!$D:$D,MATCH($C339,Roster!$B:$B,0))="","",INDEX(Roster!$D:$D,MATCH($C339,Roster!$B:$B,0))&amp;""),"—"))</f>
        <v/>
      </c>
      <c r="G339" s="25">
        <f>IF($C339="","",IFERROR(IF(INDEX(Roster!$E:$E,MATCH($C339,Roster!$B:$B,0))="","",INDEX(Roster!$E:$E,MATCH($C339,Roster!$B:$B,0))&amp;""),"—"))</f>
        <v/>
      </c>
      <c r="H339" s="25">
        <f>IF($C339="","",IFERROR(IF(INDEX(Roster!$F:$F,MATCH($C339,Roster!$B:$B,0))="","",INDEX(Roster!$F:$F,MATCH($C339,Roster!$B:$B,0))&amp;""),"—"))</f>
        <v/>
      </c>
      <c r="I339" s="25">
        <f>IF($C339="","",IFERROR(IF(INDEX(Roster!$G:$G,MATCH($C339,Roster!$B:$B,0))="","",INDEX(Roster!$G:$G,MATCH($C339,Roster!$B:$B,0))&amp;""),"—"))</f>
        <v/>
      </c>
      <c r="J339" s="25">
        <f>IF($C339="","",IFERROR(IF(INDEX(Roster!$I:$I,MATCH($C339,Roster!$B:$B,0))="","",INDEX(Roster!$I:$I,MATCH($C339,Roster!$B:$B,0))&amp;""),"—"))</f>
        <v/>
      </c>
      <c r="K339">
        <f>IF($C339="","",IFERROR(IF(INDEX(Roster!$J:$J,MATCH($C339,Roster!$B:$B,0))="","",INDEX(Roster!$J:$J,MATCH($C339,Roster!$B:$B,0))&amp;""),"—"))</f>
        <v/>
      </c>
      <c r="L339">
        <f>IF($C339="","",IFERROR(IF(INDEX(Roster!$K:$K,MATCH($C339,Roster!$B:$B,0))="","",INDEX(Roster!$K:$K,MATCH($C339,Roster!$B:$B,0))&amp;""),"—"))</f>
        <v/>
      </c>
      <c r="M339" s="27" t="n"/>
      <c r="N339" s="27" t="n"/>
      <c r="O339" s="25">
        <f>IF($C339="","",IF($P339="","—",IF($P339="Valid (Pass)","Valid","Invalid")))</f>
        <v/>
      </c>
      <c r="P339" s="27" t="n"/>
      <c r="Q339" s="27" t="n"/>
      <c r="R339" s="27" t="n"/>
      <c r="S339" s="27" t="n"/>
      <c r="T339" s="25">
        <f>IF($C339="","",IF(OR(ISNUMBER(SEARCH("quick case",$P339)),ISNUMBER(SEARCH("quick case",$Q339))),"Yes","No"))</f>
        <v/>
      </c>
      <c r="U339" s="25">
        <f>IF($O339="Invalid",HYPERLINK("mailto:"&amp;$G339&amp;";"&amp;$I339&amp;"?cc="&amp;Lists!$E$2&amp;"&amp;subject="&amp;_xlfn.ENCODEURL("[INVALID] Quality audit monitoring completed for "&amp;UPPER($C339))&amp;"&amp;body="&amp;_xlfn.ENCODEURL("Hi "&amp;$F339&amp;","&amp;CHAR(10)&amp;"Good day!"&amp;CHAR(10)&amp;CHAR(10)&amp;"A quality monitoring audit has been completed for "&amp;$C339&amp;"."&amp;CHAR(10)&amp;CHAR(10)&amp;"QUALITY AUDIT DETAILS"&amp;CHAR(10)&amp;"Agent Name: "&amp;$C339&amp;" (EID "&amp;$D339&amp;")"&amp;CHAR(10)&amp;"Audit Date: "&amp;TEXT($B339,"yyyy-mm-dd")&amp;CHAR(10)&amp;"Team Leader: "&amp;$F339&amp;CHAR(10)&amp;"Case Number: "&amp;$M339&amp;CHAR(10)&amp;"Transaction ID: "&amp;$N339&amp;CHAR(10)&amp;"Channel / LOB: "&amp;$K339&amp;" / "&amp;$L339&amp;CHAR(10)&amp;"Evaluator: "&amp;$S339&amp;CHAR(10)&amp;CHAR(10)&amp;"INVALID QUALITY AUDIT DETAILS"&amp;CHAR(10)&amp;"Validation: Invalid"&amp;CHAR(10)&amp;"Invalid Reason: "&amp;$P339&amp;CHAR(10)&amp;"Expected Resolution Code: "&amp;$Q339&amp;CHAR(10)&amp;"Remarks: "&amp;LEFT($R339,600)&amp;CHAR(10)&amp;CHAR(10)&amp;"This is an automated notification from HP Mainstream EQMS."),"✉ Open Email Draft"),"")</f>
        <v/>
      </c>
    </row>
    <row r="340">
      <c r="A340" s="25">
        <f>IF($C340="","","AUD-2026-"&amp;TEXT(ROW()-1,"000000"))</f>
        <v/>
      </c>
      <c r="B340" s="26" t="n"/>
      <c r="C340" s="27" t="n"/>
      <c r="D340" s="25">
        <f>IF($C340="","",IFERROR(IF(INDEX(Roster!$A:$A,MATCH($C340,Roster!$B:$B,0))="","",INDEX(Roster!$A:$A,MATCH($C340,Roster!$B:$B,0))&amp;""),"—"))</f>
        <v/>
      </c>
      <c r="E340" s="25">
        <f>IF($C340="","",IFERROR(IF(INDEX(Roster!$C:$C,MATCH($C340,Roster!$B:$B,0))="","",INDEX(Roster!$C:$C,MATCH($C340,Roster!$B:$B,0))&amp;""),"—"))</f>
        <v/>
      </c>
      <c r="F340" s="25">
        <f>IF($C340="","",IFERROR(IF(INDEX(Roster!$D:$D,MATCH($C340,Roster!$B:$B,0))="","",INDEX(Roster!$D:$D,MATCH($C340,Roster!$B:$B,0))&amp;""),"—"))</f>
        <v/>
      </c>
      <c r="G340" s="25">
        <f>IF($C340="","",IFERROR(IF(INDEX(Roster!$E:$E,MATCH($C340,Roster!$B:$B,0))="","",INDEX(Roster!$E:$E,MATCH($C340,Roster!$B:$B,0))&amp;""),"—"))</f>
        <v/>
      </c>
      <c r="H340" s="25">
        <f>IF($C340="","",IFERROR(IF(INDEX(Roster!$F:$F,MATCH($C340,Roster!$B:$B,0))="","",INDEX(Roster!$F:$F,MATCH($C340,Roster!$B:$B,0))&amp;""),"—"))</f>
        <v/>
      </c>
      <c r="I340" s="25">
        <f>IF($C340="","",IFERROR(IF(INDEX(Roster!$G:$G,MATCH($C340,Roster!$B:$B,0))="","",INDEX(Roster!$G:$G,MATCH($C340,Roster!$B:$B,0))&amp;""),"—"))</f>
        <v/>
      </c>
      <c r="J340" s="25">
        <f>IF($C340="","",IFERROR(IF(INDEX(Roster!$I:$I,MATCH($C340,Roster!$B:$B,0))="","",INDEX(Roster!$I:$I,MATCH($C340,Roster!$B:$B,0))&amp;""),"—"))</f>
        <v/>
      </c>
      <c r="K340">
        <f>IF($C340="","",IFERROR(IF(INDEX(Roster!$J:$J,MATCH($C340,Roster!$B:$B,0))="","",INDEX(Roster!$J:$J,MATCH($C340,Roster!$B:$B,0))&amp;""),"—"))</f>
        <v/>
      </c>
      <c r="L340">
        <f>IF($C340="","",IFERROR(IF(INDEX(Roster!$K:$K,MATCH($C340,Roster!$B:$B,0))="","",INDEX(Roster!$K:$K,MATCH($C340,Roster!$B:$B,0))&amp;""),"—"))</f>
        <v/>
      </c>
      <c r="M340" s="27" t="n"/>
      <c r="N340" s="27" t="n"/>
      <c r="O340" s="25">
        <f>IF($C340="","",IF($P340="","—",IF($P340="Valid (Pass)","Valid","Invalid")))</f>
        <v/>
      </c>
      <c r="P340" s="27" t="n"/>
      <c r="Q340" s="27" t="n"/>
      <c r="R340" s="27" t="n"/>
      <c r="S340" s="27" t="n"/>
      <c r="T340" s="25">
        <f>IF($C340="","",IF(OR(ISNUMBER(SEARCH("quick case",$P340)),ISNUMBER(SEARCH("quick case",$Q340))),"Yes","No"))</f>
        <v/>
      </c>
      <c r="U340" s="25">
        <f>IF($O340="Invalid",HYPERLINK("mailto:"&amp;$G340&amp;";"&amp;$I340&amp;"?cc="&amp;Lists!$E$2&amp;"&amp;subject="&amp;_xlfn.ENCODEURL("[INVALID] Quality audit monitoring completed for "&amp;UPPER($C340))&amp;"&amp;body="&amp;_xlfn.ENCODEURL("Hi "&amp;$F340&amp;","&amp;CHAR(10)&amp;"Good day!"&amp;CHAR(10)&amp;CHAR(10)&amp;"A quality monitoring audit has been completed for "&amp;$C340&amp;"."&amp;CHAR(10)&amp;CHAR(10)&amp;"QUALITY AUDIT DETAILS"&amp;CHAR(10)&amp;"Agent Name: "&amp;$C340&amp;" (EID "&amp;$D340&amp;")"&amp;CHAR(10)&amp;"Audit Date: "&amp;TEXT($B340,"yyyy-mm-dd")&amp;CHAR(10)&amp;"Team Leader: "&amp;$F340&amp;CHAR(10)&amp;"Case Number: "&amp;$M340&amp;CHAR(10)&amp;"Transaction ID: "&amp;$N340&amp;CHAR(10)&amp;"Channel / LOB: "&amp;$K340&amp;" / "&amp;$L340&amp;CHAR(10)&amp;"Evaluator: "&amp;$S340&amp;CHAR(10)&amp;CHAR(10)&amp;"INVALID QUALITY AUDIT DETAILS"&amp;CHAR(10)&amp;"Validation: Invalid"&amp;CHAR(10)&amp;"Invalid Reason: "&amp;$P340&amp;CHAR(10)&amp;"Expected Resolution Code: "&amp;$Q340&amp;CHAR(10)&amp;"Remarks: "&amp;LEFT($R340,600)&amp;CHAR(10)&amp;CHAR(10)&amp;"This is an automated notification from HP Mainstream EQMS."),"✉ Open Email Draft"),"")</f>
        <v/>
      </c>
    </row>
    <row r="341">
      <c r="A341" s="25">
        <f>IF($C341="","","AUD-2026-"&amp;TEXT(ROW()-1,"000000"))</f>
        <v/>
      </c>
      <c r="B341" s="26" t="n"/>
      <c r="C341" s="27" t="n"/>
      <c r="D341" s="25">
        <f>IF($C341="","",IFERROR(IF(INDEX(Roster!$A:$A,MATCH($C341,Roster!$B:$B,0))="","",INDEX(Roster!$A:$A,MATCH($C341,Roster!$B:$B,0))&amp;""),"—"))</f>
        <v/>
      </c>
      <c r="E341" s="25">
        <f>IF($C341="","",IFERROR(IF(INDEX(Roster!$C:$C,MATCH($C341,Roster!$B:$B,0))="","",INDEX(Roster!$C:$C,MATCH($C341,Roster!$B:$B,0))&amp;""),"—"))</f>
        <v/>
      </c>
      <c r="F341" s="25">
        <f>IF($C341="","",IFERROR(IF(INDEX(Roster!$D:$D,MATCH($C341,Roster!$B:$B,0))="","",INDEX(Roster!$D:$D,MATCH($C341,Roster!$B:$B,0))&amp;""),"—"))</f>
        <v/>
      </c>
      <c r="G341" s="25">
        <f>IF($C341="","",IFERROR(IF(INDEX(Roster!$E:$E,MATCH($C341,Roster!$B:$B,0))="","",INDEX(Roster!$E:$E,MATCH($C341,Roster!$B:$B,0))&amp;""),"—"))</f>
        <v/>
      </c>
      <c r="H341" s="25">
        <f>IF($C341="","",IFERROR(IF(INDEX(Roster!$F:$F,MATCH($C341,Roster!$B:$B,0))="","",INDEX(Roster!$F:$F,MATCH($C341,Roster!$B:$B,0))&amp;""),"—"))</f>
        <v/>
      </c>
      <c r="I341" s="25">
        <f>IF($C341="","",IFERROR(IF(INDEX(Roster!$G:$G,MATCH($C341,Roster!$B:$B,0))="","",INDEX(Roster!$G:$G,MATCH($C341,Roster!$B:$B,0))&amp;""),"—"))</f>
        <v/>
      </c>
      <c r="J341" s="25">
        <f>IF($C341="","",IFERROR(IF(INDEX(Roster!$I:$I,MATCH($C341,Roster!$B:$B,0))="","",INDEX(Roster!$I:$I,MATCH($C341,Roster!$B:$B,0))&amp;""),"—"))</f>
        <v/>
      </c>
      <c r="K341">
        <f>IF($C341="","",IFERROR(IF(INDEX(Roster!$J:$J,MATCH($C341,Roster!$B:$B,0))="","",INDEX(Roster!$J:$J,MATCH($C341,Roster!$B:$B,0))&amp;""),"—"))</f>
        <v/>
      </c>
      <c r="L341">
        <f>IF($C341="","",IFERROR(IF(INDEX(Roster!$K:$K,MATCH($C341,Roster!$B:$B,0))="","",INDEX(Roster!$K:$K,MATCH($C341,Roster!$B:$B,0))&amp;""),"—"))</f>
        <v/>
      </c>
      <c r="M341" s="27" t="n"/>
      <c r="N341" s="27" t="n"/>
      <c r="O341" s="25">
        <f>IF($C341="","",IF($P341="","—",IF($P341="Valid (Pass)","Valid","Invalid")))</f>
        <v/>
      </c>
      <c r="P341" s="27" t="n"/>
      <c r="Q341" s="27" t="n"/>
      <c r="R341" s="27" t="n"/>
      <c r="S341" s="27" t="n"/>
      <c r="T341" s="25">
        <f>IF($C341="","",IF(OR(ISNUMBER(SEARCH("quick case",$P341)),ISNUMBER(SEARCH("quick case",$Q341))),"Yes","No"))</f>
        <v/>
      </c>
      <c r="U341" s="25">
        <f>IF($O341="Invalid",HYPERLINK("mailto:"&amp;$G341&amp;";"&amp;$I341&amp;"?cc="&amp;Lists!$E$2&amp;"&amp;subject="&amp;_xlfn.ENCODEURL("[INVALID] Quality audit monitoring completed for "&amp;UPPER($C341))&amp;"&amp;body="&amp;_xlfn.ENCODEURL("Hi "&amp;$F341&amp;","&amp;CHAR(10)&amp;"Good day!"&amp;CHAR(10)&amp;CHAR(10)&amp;"A quality monitoring audit has been completed for "&amp;$C341&amp;"."&amp;CHAR(10)&amp;CHAR(10)&amp;"QUALITY AUDIT DETAILS"&amp;CHAR(10)&amp;"Agent Name: "&amp;$C341&amp;" (EID "&amp;$D341&amp;")"&amp;CHAR(10)&amp;"Audit Date: "&amp;TEXT($B341,"yyyy-mm-dd")&amp;CHAR(10)&amp;"Team Leader: "&amp;$F341&amp;CHAR(10)&amp;"Case Number: "&amp;$M341&amp;CHAR(10)&amp;"Transaction ID: "&amp;$N341&amp;CHAR(10)&amp;"Channel / LOB: "&amp;$K341&amp;" / "&amp;$L341&amp;CHAR(10)&amp;"Evaluator: "&amp;$S341&amp;CHAR(10)&amp;CHAR(10)&amp;"INVALID QUALITY AUDIT DETAILS"&amp;CHAR(10)&amp;"Validation: Invalid"&amp;CHAR(10)&amp;"Invalid Reason: "&amp;$P341&amp;CHAR(10)&amp;"Expected Resolution Code: "&amp;$Q341&amp;CHAR(10)&amp;"Remarks: "&amp;LEFT($R341,600)&amp;CHAR(10)&amp;CHAR(10)&amp;"This is an automated notification from HP Mainstream EQMS."),"✉ Open Email Draft"),"")</f>
        <v/>
      </c>
    </row>
    <row r="342">
      <c r="A342" s="25">
        <f>IF($C342="","","AUD-2026-"&amp;TEXT(ROW()-1,"000000"))</f>
        <v/>
      </c>
      <c r="B342" s="26" t="n"/>
      <c r="C342" s="27" t="n"/>
      <c r="D342" s="25">
        <f>IF($C342="","",IFERROR(IF(INDEX(Roster!$A:$A,MATCH($C342,Roster!$B:$B,0))="","",INDEX(Roster!$A:$A,MATCH($C342,Roster!$B:$B,0))&amp;""),"—"))</f>
        <v/>
      </c>
      <c r="E342" s="25">
        <f>IF($C342="","",IFERROR(IF(INDEX(Roster!$C:$C,MATCH($C342,Roster!$B:$B,0))="","",INDEX(Roster!$C:$C,MATCH($C342,Roster!$B:$B,0))&amp;""),"—"))</f>
        <v/>
      </c>
      <c r="F342" s="25">
        <f>IF($C342="","",IFERROR(IF(INDEX(Roster!$D:$D,MATCH($C342,Roster!$B:$B,0))="","",INDEX(Roster!$D:$D,MATCH($C342,Roster!$B:$B,0))&amp;""),"—"))</f>
        <v/>
      </c>
      <c r="G342" s="25">
        <f>IF($C342="","",IFERROR(IF(INDEX(Roster!$E:$E,MATCH($C342,Roster!$B:$B,0))="","",INDEX(Roster!$E:$E,MATCH($C342,Roster!$B:$B,0))&amp;""),"—"))</f>
        <v/>
      </c>
      <c r="H342" s="25">
        <f>IF($C342="","",IFERROR(IF(INDEX(Roster!$F:$F,MATCH($C342,Roster!$B:$B,0))="","",INDEX(Roster!$F:$F,MATCH($C342,Roster!$B:$B,0))&amp;""),"—"))</f>
        <v/>
      </c>
      <c r="I342" s="25">
        <f>IF($C342="","",IFERROR(IF(INDEX(Roster!$G:$G,MATCH($C342,Roster!$B:$B,0))="","",INDEX(Roster!$G:$G,MATCH($C342,Roster!$B:$B,0))&amp;""),"—"))</f>
        <v/>
      </c>
      <c r="J342" s="25">
        <f>IF($C342="","",IFERROR(IF(INDEX(Roster!$I:$I,MATCH($C342,Roster!$B:$B,0))="","",INDEX(Roster!$I:$I,MATCH($C342,Roster!$B:$B,0))&amp;""),"—"))</f>
        <v/>
      </c>
      <c r="K342">
        <f>IF($C342="","",IFERROR(IF(INDEX(Roster!$J:$J,MATCH($C342,Roster!$B:$B,0))="","",INDEX(Roster!$J:$J,MATCH($C342,Roster!$B:$B,0))&amp;""),"—"))</f>
        <v/>
      </c>
      <c r="L342">
        <f>IF($C342="","",IFERROR(IF(INDEX(Roster!$K:$K,MATCH($C342,Roster!$B:$B,0))="","",INDEX(Roster!$K:$K,MATCH($C342,Roster!$B:$B,0))&amp;""),"—"))</f>
        <v/>
      </c>
      <c r="M342" s="27" t="n"/>
      <c r="N342" s="27" t="n"/>
      <c r="O342" s="25">
        <f>IF($C342="","",IF($P342="","—",IF($P342="Valid (Pass)","Valid","Invalid")))</f>
        <v/>
      </c>
      <c r="P342" s="27" t="n"/>
      <c r="Q342" s="27" t="n"/>
      <c r="R342" s="27" t="n"/>
      <c r="S342" s="27" t="n"/>
      <c r="T342" s="25">
        <f>IF($C342="","",IF(OR(ISNUMBER(SEARCH("quick case",$P342)),ISNUMBER(SEARCH("quick case",$Q342))),"Yes","No"))</f>
        <v/>
      </c>
      <c r="U342" s="25">
        <f>IF($O342="Invalid",HYPERLINK("mailto:"&amp;$G342&amp;";"&amp;$I342&amp;"?cc="&amp;Lists!$E$2&amp;"&amp;subject="&amp;_xlfn.ENCODEURL("[INVALID] Quality audit monitoring completed for "&amp;UPPER($C342))&amp;"&amp;body="&amp;_xlfn.ENCODEURL("Hi "&amp;$F342&amp;","&amp;CHAR(10)&amp;"Good day!"&amp;CHAR(10)&amp;CHAR(10)&amp;"A quality monitoring audit has been completed for "&amp;$C342&amp;"."&amp;CHAR(10)&amp;CHAR(10)&amp;"QUALITY AUDIT DETAILS"&amp;CHAR(10)&amp;"Agent Name: "&amp;$C342&amp;" (EID "&amp;$D342&amp;")"&amp;CHAR(10)&amp;"Audit Date: "&amp;TEXT($B342,"yyyy-mm-dd")&amp;CHAR(10)&amp;"Team Leader: "&amp;$F342&amp;CHAR(10)&amp;"Case Number: "&amp;$M342&amp;CHAR(10)&amp;"Transaction ID: "&amp;$N342&amp;CHAR(10)&amp;"Channel / LOB: "&amp;$K342&amp;" / "&amp;$L342&amp;CHAR(10)&amp;"Evaluator: "&amp;$S342&amp;CHAR(10)&amp;CHAR(10)&amp;"INVALID QUALITY AUDIT DETAILS"&amp;CHAR(10)&amp;"Validation: Invalid"&amp;CHAR(10)&amp;"Invalid Reason: "&amp;$P342&amp;CHAR(10)&amp;"Expected Resolution Code: "&amp;$Q342&amp;CHAR(10)&amp;"Remarks: "&amp;LEFT($R342,600)&amp;CHAR(10)&amp;CHAR(10)&amp;"This is an automated notification from HP Mainstream EQMS."),"✉ Open Email Draft"),"")</f>
        <v/>
      </c>
    </row>
    <row r="343">
      <c r="A343" s="25">
        <f>IF($C343="","","AUD-2026-"&amp;TEXT(ROW()-1,"000000"))</f>
        <v/>
      </c>
      <c r="B343" s="26" t="n"/>
      <c r="C343" s="27" t="n"/>
      <c r="D343" s="25">
        <f>IF($C343="","",IFERROR(IF(INDEX(Roster!$A:$A,MATCH($C343,Roster!$B:$B,0))="","",INDEX(Roster!$A:$A,MATCH($C343,Roster!$B:$B,0))&amp;""),"—"))</f>
        <v/>
      </c>
      <c r="E343" s="25">
        <f>IF($C343="","",IFERROR(IF(INDEX(Roster!$C:$C,MATCH($C343,Roster!$B:$B,0))="","",INDEX(Roster!$C:$C,MATCH($C343,Roster!$B:$B,0))&amp;""),"—"))</f>
        <v/>
      </c>
      <c r="F343" s="25">
        <f>IF($C343="","",IFERROR(IF(INDEX(Roster!$D:$D,MATCH($C343,Roster!$B:$B,0))="","",INDEX(Roster!$D:$D,MATCH($C343,Roster!$B:$B,0))&amp;""),"—"))</f>
        <v/>
      </c>
      <c r="G343" s="25">
        <f>IF($C343="","",IFERROR(IF(INDEX(Roster!$E:$E,MATCH($C343,Roster!$B:$B,0))="","",INDEX(Roster!$E:$E,MATCH($C343,Roster!$B:$B,0))&amp;""),"—"))</f>
        <v/>
      </c>
      <c r="H343" s="25">
        <f>IF($C343="","",IFERROR(IF(INDEX(Roster!$F:$F,MATCH($C343,Roster!$B:$B,0))="","",INDEX(Roster!$F:$F,MATCH($C343,Roster!$B:$B,0))&amp;""),"—"))</f>
        <v/>
      </c>
      <c r="I343" s="25">
        <f>IF($C343="","",IFERROR(IF(INDEX(Roster!$G:$G,MATCH($C343,Roster!$B:$B,0))="","",INDEX(Roster!$G:$G,MATCH($C343,Roster!$B:$B,0))&amp;""),"—"))</f>
        <v/>
      </c>
      <c r="J343" s="25">
        <f>IF($C343="","",IFERROR(IF(INDEX(Roster!$I:$I,MATCH($C343,Roster!$B:$B,0))="","",INDEX(Roster!$I:$I,MATCH($C343,Roster!$B:$B,0))&amp;""),"—"))</f>
        <v/>
      </c>
      <c r="K343">
        <f>IF($C343="","",IFERROR(IF(INDEX(Roster!$J:$J,MATCH($C343,Roster!$B:$B,0))="","",INDEX(Roster!$J:$J,MATCH($C343,Roster!$B:$B,0))&amp;""),"—"))</f>
        <v/>
      </c>
      <c r="L343">
        <f>IF($C343="","",IFERROR(IF(INDEX(Roster!$K:$K,MATCH($C343,Roster!$B:$B,0))="","",INDEX(Roster!$K:$K,MATCH($C343,Roster!$B:$B,0))&amp;""),"—"))</f>
        <v/>
      </c>
      <c r="M343" s="27" t="n"/>
      <c r="N343" s="27" t="n"/>
      <c r="O343" s="25">
        <f>IF($C343="","",IF($P343="","—",IF($P343="Valid (Pass)","Valid","Invalid")))</f>
        <v/>
      </c>
      <c r="P343" s="27" t="n"/>
      <c r="Q343" s="27" t="n"/>
      <c r="R343" s="27" t="n"/>
      <c r="S343" s="27" t="n"/>
      <c r="T343" s="25">
        <f>IF($C343="","",IF(OR(ISNUMBER(SEARCH("quick case",$P343)),ISNUMBER(SEARCH("quick case",$Q343))),"Yes","No"))</f>
        <v/>
      </c>
      <c r="U343" s="25">
        <f>IF($O343="Invalid",HYPERLINK("mailto:"&amp;$G343&amp;";"&amp;$I343&amp;"?cc="&amp;Lists!$E$2&amp;"&amp;subject="&amp;_xlfn.ENCODEURL("[INVALID] Quality audit monitoring completed for "&amp;UPPER($C343))&amp;"&amp;body="&amp;_xlfn.ENCODEURL("Hi "&amp;$F343&amp;","&amp;CHAR(10)&amp;"Good day!"&amp;CHAR(10)&amp;CHAR(10)&amp;"A quality monitoring audit has been completed for "&amp;$C343&amp;"."&amp;CHAR(10)&amp;CHAR(10)&amp;"QUALITY AUDIT DETAILS"&amp;CHAR(10)&amp;"Agent Name: "&amp;$C343&amp;" (EID "&amp;$D343&amp;")"&amp;CHAR(10)&amp;"Audit Date: "&amp;TEXT($B343,"yyyy-mm-dd")&amp;CHAR(10)&amp;"Team Leader: "&amp;$F343&amp;CHAR(10)&amp;"Case Number: "&amp;$M343&amp;CHAR(10)&amp;"Transaction ID: "&amp;$N343&amp;CHAR(10)&amp;"Channel / LOB: "&amp;$K343&amp;" / "&amp;$L343&amp;CHAR(10)&amp;"Evaluator: "&amp;$S343&amp;CHAR(10)&amp;CHAR(10)&amp;"INVALID QUALITY AUDIT DETAILS"&amp;CHAR(10)&amp;"Validation: Invalid"&amp;CHAR(10)&amp;"Invalid Reason: "&amp;$P343&amp;CHAR(10)&amp;"Expected Resolution Code: "&amp;$Q343&amp;CHAR(10)&amp;"Remarks: "&amp;LEFT($R343,600)&amp;CHAR(10)&amp;CHAR(10)&amp;"This is an automated notification from HP Mainstream EQMS."),"✉ Open Email Draft"),"")</f>
        <v/>
      </c>
    </row>
    <row r="344">
      <c r="A344" s="25">
        <f>IF($C344="","","AUD-2026-"&amp;TEXT(ROW()-1,"000000"))</f>
        <v/>
      </c>
      <c r="B344" s="26" t="n"/>
      <c r="C344" s="27" t="n"/>
      <c r="D344" s="25">
        <f>IF($C344="","",IFERROR(IF(INDEX(Roster!$A:$A,MATCH($C344,Roster!$B:$B,0))="","",INDEX(Roster!$A:$A,MATCH($C344,Roster!$B:$B,0))&amp;""),"—"))</f>
        <v/>
      </c>
      <c r="E344" s="25">
        <f>IF($C344="","",IFERROR(IF(INDEX(Roster!$C:$C,MATCH($C344,Roster!$B:$B,0))="","",INDEX(Roster!$C:$C,MATCH($C344,Roster!$B:$B,0))&amp;""),"—"))</f>
        <v/>
      </c>
      <c r="F344" s="25">
        <f>IF($C344="","",IFERROR(IF(INDEX(Roster!$D:$D,MATCH($C344,Roster!$B:$B,0))="","",INDEX(Roster!$D:$D,MATCH($C344,Roster!$B:$B,0))&amp;""),"—"))</f>
        <v/>
      </c>
      <c r="G344" s="25">
        <f>IF($C344="","",IFERROR(IF(INDEX(Roster!$E:$E,MATCH($C344,Roster!$B:$B,0))="","",INDEX(Roster!$E:$E,MATCH($C344,Roster!$B:$B,0))&amp;""),"—"))</f>
        <v/>
      </c>
      <c r="H344" s="25">
        <f>IF($C344="","",IFERROR(IF(INDEX(Roster!$F:$F,MATCH($C344,Roster!$B:$B,0))="","",INDEX(Roster!$F:$F,MATCH($C344,Roster!$B:$B,0))&amp;""),"—"))</f>
        <v/>
      </c>
      <c r="I344" s="25">
        <f>IF($C344="","",IFERROR(IF(INDEX(Roster!$G:$G,MATCH($C344,Roster!$B:$B,0))="","",INDEX(Roster!$G:$G,MATCH($C344,Roster!$B:$B,0))&amp;""),"—"))</f>
        <v/>
      </c>
      <c r="J344" s="25">
        <f>IF($C344="","",IFERROR(IF(INDEX(Roster!$I:$I,MATCH($C344,Roster!$B:$B,0))="","",INDEX(Roster!$I:$I,MATCH($C344,Roster!$B:$B,0))&amp;""),"—"))</f>
        <v/>
      </c>
      <c r="K344">
        <f>IF($C344="","",IFERROR(IF(INDEX(Roster!$J:$J,MATCH($C344,Roster!$B:$B,0))="","",INDEX(Roster!$J:$J,MATCH($C344,Roster!$B:$B,0))&amp;""),"—"))</f>
        <v/>
      </c>
      <c r="L344">
        <f>IF($C344="","",IFERROR(IF(INDEX(Roster!$K:$K,MATCH($C344,Roster!$B:$B,0))="","",INDEX(Roster!$K:$K,MATCH($C344,Roster!$B:$B,0))&amp;""),"—"))</f>
        <v/>
      </c>
      <c r="M344" s="27" t="n"/>
      <c r="N344" s="27" t="n"/>
      <c r="O344" s="25">
        <f>IF($C344="","",IF($P344="","—",IF($P344="Valid (Pass)","Valid","Invalid")))</f>
        <v/>
      </c>
      <c r="P344" s="27" t="n"/>
      <c r="Q344" s="27" t="n"/>
      <c r="R344" s="27" t="n"/>
      <c r="S344" s="27" t="n"/>
      <c r="T344" s="25">
        <f>IF($C344="","",IF(OR(ISNUMBER(SEARCH("quick case",$P344)),ISNUMBER(SEARCH("quick case",$Q344))),"Yes","No"))</f>
        <v/>
      </c>
      <c r="U344" s="25">
        <f>IF($O344="Invalid",HYPERLINK("mailto:"&amp;$G344&amp;";"&amp;$I344&amp;"?cc="&amp;Lists!$E$2&amp;"&amp;subject="&amp;_xlfn.ENCODEURL("[INVALID] Quality audit monitoring completed for "&amp;UPPER($C344))&amp;"&amp;body="&amp;_xlfn.ENCODEURL("Hi "&amp;$F344&amp;","&amp;CHAR(10)&amp;"Good day!"&amp;CHAR(10)&amp;CHAR(10)&amp;"A quality monitoring audit has been completed for "&amp;$C344&amp;"."&amp;CHAR(10)&amp;CHAR(10)&amp;"QUALITY AUDIT DETAILS"&amp;CHAR(10)&amp;"Agent Name: "&amp;$C344&amp;" (EID "&amp;$D344&amp;")"&amp;CHAR(10)&amp;"Audit Date: "&amp;TEXT($B344,"yyyy-mm-dd")&amp;CHAR(10)&amp;"Team Leader: "&amp;$F344&amp;CHAR(10)&amp;"Case Number: "&amp;$M344&amp;CHAR(10)&amp;"Transaction ID: "&amp;$N344&amp;CHAR(10)&amp;"Channel / LOB: "&amp;$K344&amp;" / "&amp;$L344&amp;CHAR(10)&amp;"Evaluator: "&amp;$S344&amp;CHAR(10)&amp;CHAR(10)&amp;"INVALID QUALITY AUDIT DETAILS"&amp;CHAR(10)&amp;"Validation: Invalid"&amp;CHAR(10)&amp;"Invalid Reason: "&amp;$P344&amp;CHAR(10)&amp;"Expected Resolution Code: "&amp;$Q344&amp;CHAR(10)&amp;"Remarks: "&amp;LEFT($R344,600)&amp;CHAR(10)&amp;CHAR(10)&amp;"This is an automated notification from HP Mainstream EQMS."),"✉ Open Email Draft"),"")</f>
        <v/>
      </c>
    </row>
    <row r="345">
      <c r="A345" s="25">
        <f>IF($C345="","","AUD-2026-"&amp;TEXT(ROW()-1,"000000"))</f>
        <v/>
      </c>
      <c r="B345" s="26" t="n"/>
      <c r="C345" s="27" t="n"/>
      <c r="D345" s="25">
        <f>IF($C345="","",IFERROR(IF(INDEX(Roster!$A:$A,MATCH($C345,Roster!$B:$B,0))="","",INDEX(Roster!$A:$A,MATCH($C345,Roster!$B:$B,0))&amp;""),"—"))</f>
        <v/>
      </c>
      <c r="E345" s="25">
        <f>IF($C345="","",IFERROR(IF(INDEX(Roster!$C:$C,MATCH($C345,Roster!$B:$B,0))="","",INDEX(Roster!$C:$C,MATCH($C345,Roster!$B:$B,0))&amp;""),"—"))</f>
        <v/>
      </c>
      <c r="F345" s="25">
        <f>IF($C345="","",IFERROR(IF(INDEX(Roster!$D:$D,MATCH($C345,Roster!$B:$B,0))="","",INDEX(Roster!$D:$D,MATCH($C345,Roster!$B:$B,0))&amp;""),"—"))</f>
        <v/>
      </c>
      <c r="G345" s="25">
        <f>IF($C345="","",IFERROR(IF(INDEX(Roster!$E:$E,MATCH($C345,Roster!$B:$B,0))="","",INDEX(Roster!$E:$E,MATCH($C345,Roster!$B:$B,0))&amp;""),"—"))</f>
        <v/>
      </c>
      <c r="H345" s="25">
        <f>IF($C345="","",IFERROR(IF(INDEX(Roster!$F:$F,MATCH($C345,Roster!$B:$B,0))="","",INDEX(Roster!$F:$F,MATCH($C345,Roster!$B:$B,0))&amp;""),"—"))</f>
        <v/>
      </c>
      <c r="I345" s="25">
        <f>IF($C345="","",IFERROR(IF(INDEX(Roster!$G:$G,MATCH($C345,Roster!$B:$B,0))="","",INDEX(Roster!$G:$G,MATCH($C345,Roster!$B:$B,0))&amp;""),"—"))</f>
        <v/>
      </c>
      <c r="J345" s="25">
        <f>IF($C345="","",IFERROR(IF(INDEX(Roster!$I:$I,MATCH($C345,Roster!$B:$B,0))="","",INDEX(Roster!$I:$I,MATCH($C345,Roster!$B:$B,0))&amp;""),"—"))</f>
        <v/>
      </c>
      <c r="K345">
        <f>IF($C345="","",IFERROR(IF(INDEX(Roster!$J:$J,MATCH($C345,Roster!$B:$B,0))="","",INDEX(Roster!$J:$J,MATCH($C345,Roster!$B:$B,0))&amp;""),"—"))</f>
        <v/>
      </c>
      <c r="L345">
        <f>IF($C345="","",IFERROR(IF(INDEX(Roster!$K:$K,MATCH($C345,Roster!$B:$B,0))="","",INDEX(Roster!$K:$K,MATCH($C345,Roster!$B:$B,0))&amp;""),"—"))</f>
        <v/>
      </c>
      <c r="M345" s="27" t="n"/>
      <c r="N345" s="27" t="n"/>
      <c r="O345" s="25">
        <f>IF($C345="","",IF($P345="","—",IF($P345="Valid (Pass)","Valid","Invalid")))</f>
        <v/>
      </c>
      <c r="P345" s="27" t="n"/>
      <c r="Q345" s="27" t="n"/>
      <c r="R345" s="27" t="n"/>
      <c r="S345" s="27" t="n"/>
      <c r="T345" s="25">
        <f>IF($C345="","",IF(OR(ISNUMBER(SEARCH("quick case",$P345)),ISNUMBER(SEARCH("quick case",$Q345))),"Yes","No"))</f>
        <v/>
      </c>
      <c r="U345" s="25">
        <f>IF($O345="Invalid",HYPERLINK("mailto:"&amp;$G345&amp;";"&amp;$I345&amp;"?cc="&amp;Lists!$E$2&amp;"&amp;subject="&amp;_xlfn.ENCODEURL("[INVALID] Quality audit monitoring completed for "&amp;UPPER($C345))&amp;"&amp;body="&amp;_xlfn.ENCODEURL("Hi "&amp;$F345&amp;","&amp;CHAR(10)&amp;"Good day!"&amp;CHAR(10)&amp;CHAR(10)&amp;"A quality monitoring audit has been completed for "&amp;$C345&amp;"."&amp;CHAR(10)&amp;CHAR(10)&amp;"QUALITY AUDIT DETAILS"&amp;CHAR(10)&amp;"Agent Name: "&amp;$C345&amp;" (EID "&amp;$D345&amp;")"&amp;CHAR(10)&amp;"Audit Date: "&amp;TEXT($B345,"yyyy-mm-dd")&amp;CHAR(10)&amp;"Team Leader: "&amp;$F345&amp;CHAR(10)&amp;"Case Number: "&amp;$M345&amp;CHAR(10)&amp;"Transaction ID: "&amp;$N345&amp;CHAR(10)&amp;"Channel / LOB: "&amp;$K345&amp;" / "&amp;$L345&amp;CHAR(10)&amp;"Evaluator: "&amp;$S345&amp;CHAR(10)&amp;CHAR(10)&amp;"INVALID QUALITY AUDIT DETAILS"&amp;CHAR(10)&amp;"Validation: Invalid"&amp;CHAR(10)&amp;"Invalid Reason: "&amp;$P345&amp;CHAR(10)&amp;"Expected Resolution Code: "&amp;$Q345&amp;CHAR(10)&amp;"Remarks: "&amp;LEFT($R345,600)&amp;CHAR(10)&amp;CHAR(10)&amp;"This is an automated notification from HP Mainstream EQMS."),"✉ Open Email Draft"),"")</f>
        <v/>
      </c>
    </row>
    <row r="346">
      <c r="A346" s="25">
        <f>IF($C346="","","AUD-2026-"&amp;TEXT(ROW()-1,"000000"))</f>
        <v/>
      </c>
      <c r="B346" s="26" t="n"/>
      <c r="C346" s="27" t="n"/>
      <c r="D346" s="25">
        <f>IF($C346="","",IFERROR(IF(INDEX(Roster!$A:$A,MATCH($C346,Roster!$B:$B,0))="","",INDEX(Roster!$A:$A,MATCH($C346,Roster!$B:$B,0))&amp;""),"—"))</f>
        <v/>
      </c>
      <c r="E346" s="25">
        <f>IF($C346="","",IFERROR(IF(INDEX(Roster!$C:$C,MATCH($C346,Roster!$B:$B,0))="","",INDEX(Roster!$C:$C,MATCH($C346,Roster!$B:$B,0))&amp;""),"—"))</f>
        <v/>
      </c>
      <c r="F346" s="25">
        <f>IF($C346="","",IFERROR(IF(INDEX(Roster!$D:$D,MATCH($C346,Roster!$B:$B,0))="","",INDEX(Roster!$D:$D,MATCH($C346,Roster!$B:$B,0))&amp;""),"—"))</f>
        <v/>
      </c>
      <c r="G346" s="25">
        <f>IF($C346="","",IFERROR(IF(INDEX(Roster!$E:$E,MATCH($C346,Roster!$B:$B,0))="","",INDEX(Roster!$E:$E,MATCH($C346,Roster!$B:$B,0))&amp;""),"—"))</f>
        <v/>
      </c>
      <c r="H346" s="25">
        <f>IF($C346="","",IFERROR(IF(INDEX(Roster!$F:$F,MATCH($C346,Roster!$B:$B,0))="","",INDEX(Roster!$F:$F,MATCH($C346,Roster!$B:$B,0))&amp;""),"—"))</f>
        <v/>
      </c>
      <c r="I346" s="25">
        <f>IF($C346="","",IFERROR(IF(INDEX(Roster!$G:$G,MATCH($C346,Roster!$B:$B,0))="","",INDEX(Roster!$G:$G,MATCH($C346,Roster!$B:$B,0))&amp;""),"—"))</f>
        <v/>
      </c>
      <c r="J346" s="25">
        <f>IF($C346="","",IFERROR(IF(INDEX(Roster!$I:$I,MATCH($C346,Roster!$B:$B,0))="","",INDEX(Roster!$I:$I,MATCH($C346,Roster!$B:$B,0))&amp;""),"—"))</f>
        <v/>
      </c>
      <c r="K346">
        <f>IF($C346="","",IFERROR(IF(INDEX(Roster!$J:$J,MATCH($C346,Roster!$B:$B,0))="","",INDEX(Roster!$J:$J,MATCH($C346,Roster!$B:$B,0))&amp;""),"—"))</f>
        <v/>
      </c>
      <c r="L346">
        <f>IF($C346="","",IFERROR(IF(INDEX(Roster!$K:$K,MATCH($C346,Roster!$B:$B,0))="","",INDEX(Roster!$K:$K,MATCH($C346,Roster!$B:$B,0))&amp;""),"—"))</f>
        <v/>
      </c>
      <c r="M346" s="27" t="n"/>
      <c r="N346" s="27" t="n"/>
      <c r="O346" s="25">
        <f>IF($C346="","",IF($P346="","—",IF($P346="Valid (Pass)","Valid","Invalid")))</f>
        <v/>
      </c>
      <c r="P346" s="27" t="n"/>
      <c r="Q346" s="27" t="n"/>
      <c r="R346" s="27" t="n"/>
      <c r="S346" s="27" t="n"/>
      <c r="T346" s="25">
        <f>IF($C346="","",IF(OR(ISNUMBER(SEARCH("quick case",$P346)),ISNUMBER(SEARCH("quick case",$Q346))),"Yes","No"))</f>
        <v/>
      </c>
      <c r="U346" s="25">
        <f>IF($O346="Invalid",HYPERLINK("mailto:"&amp;$G346&amp;";"&amp;$I346&amp;"?cc="&amp;Lists!$E$2&amp;"&amp;subject="&amp;_xlfn.ENCODEURL("[INVALID] Quality audit monitoring completed for "&amp;UPPER($C346))&amp;"&amp;body="&amp;_xlfn.ENCODEURL("Hi "&amp;$F346&amp;","&amp;CHAR(10)&amp;"Good day!"&amp;CHAR(10)&amp;CHAR(10)&amp;"A quality monitoring audit has been completed for "&amp;$C346&amp;"."&amp;CHAR(10)&amp;CHAR(10)&amp;"QUALITY AUDIT DETAILS"&amp;CHAR(10)&amp;"Agent Name: "&amp;$C346&amp;" (EID "&amp;$D346&amp;")"&amp;CHAR(10)&amp;"Audit Date: "&amp;TEXT($B346,"yyyy-mm-dd")&amp;CHAR(10)&amp;"Team Leader: "&amp;$F346&amp;CHAR(10)&amp;"Case Number: "&amp;$M346&amp;CHAR(10)&amp;"Transaction ID: "&amp;$N346&amp;CHAR(10)&amp;"Channel / LOB: "&amp;$K346&amp;" / "&amp;$L346&amp;CHAR(10)&amp;"Evaluator: "&amp;$S346&amp;CHAR(10)&amp;CHAR(10)&amp;"INVALID QUALITY AUDIT DETAILS"&amp;CHAR(10)&amp;"Validation: Invalid"&amp;CHAR(10)&amp;"Invalid Reason: "&amp;$P346&amp;CHAR(10)&amp;"Expected Resolution Code: "&amp;$Q346&amp;CHAR(10)&amp;"Remarks: "&amp;LEFT($R346,600)&amp;CHAR(10)&amp;CHAR(10)&amp;"This is an automated notification from HP Mainstream EQMS."),"✉ Open Email Draft"),"")</f>
        <v/>
      </c>
    </row>
    <row r="347">
      <c r="A347" s="25">
        <f>IF($C347="","","AUD-2026-"&amp;TEXT(ROW()-1,"000000"))</f>
        <v/>
      </c>
      <c r="B347" s="26" t="n"/>
      <c r="C347" s="27" t="n"/>
      <c r="D347" s="25">
        <f>IF($C347="","",IFERROR(IF(INDEX(Roster!$A:$A,MATCH($C347,Roster!$B:$B,0))="","",INDEX(Roster!$A:$A,MATCH($C347,Roster!$B:$B,0))&amp;""),"—"))</f>
        <v/>
      </c>
      <c r="E347" s="25">
        <f>IF($C347="","",IFERROR(IF(INDEX(Roster!$C:$C,MATCH($C347,Roster!$B:$B,0))="","",INDEX(Roster!$C:$C,MATCH($C347,Roster!$B:$B,0))&amp;""),"—"))</f>
        <v/>
      </c>
      <c r="F347" s="25">
        <f>IF($C347="","",IFERROR(IF(INDEX(Roster!$D:$D,MATCH($C347,Roster!$B:$B,0))="","",INDEX(Roster!$D:$D,MATCH($C347,Roster!$B:$B,0))&amp;""),"—"))</f>
        <v/>
      </c>
      <c r="G347" s="25">
        <f>IF($C347="","",IFERROR(IF(INDEX(Roster!$E:$E,MATCH($C347,Roster!$B:$B,0))="","",INDEX(Roster!$E:$E,MATCH($C347,Roster!$B:$B,0))&amp;""),"—"))</f>
        <v/>
      </c>
      <c r="H347" s="25">
        <f>IF($C347="","",IFERROR(IF(INDEX(Roster!$F:$F,MATCH($C347,Roster!$B:$B,0))="","",INDEX(Roster!$F:$F,MATCH($C347,Roster!$B:$B,0))&amp;""),"—"))</f>
        <v/>
      </c>
      <c r="I347" s="25">
        <f>IF($C347="","",IFERROR(IF(INDEX(Roster!$G:$G,MATCH($C347,Roster!$B:$B,0))="","",INDEX(Roster!$G:$G,MATCH($C347,Roster!$B:$B,0))&amp;""),"—"))</f>
        <v/>
      </c>
      <c r="J347" s="25">
        <f>IF($C347="","",IFERROR(IF(INDEX(Roster!$I:$I,MATCH($C347,Roster!$B:$B,0))="","",INDEX(Roster!$I:$I,MATCH($C347,Roster!$B:$B,0))&amp;""),"—"))</f>
        <v/>
      </c>
      <c r="K347">
        <f>IF($C347="","",IFERROR(IF(INDEX(Roster!$J:$J,MATCH($C347,Roster!$B:$B,0))="","",INDEX(Roster!$J:$J,MATCH($C347,Roster!$B:$B,0))&amp;""),"—"))</f>
        <v/>
      </c>
      <c r="L347">
        <f>IF($C347="","",IFERROR(IF(INDEX(Roster!$K:$K,MATCH($C347,Roster!$B:$B,0))="","",INDEX(Roster!$K:$K,MATCH($C347,Roster!$B:$B,0))&amp;""),"—"))</f>
        <v/>
      </c>
      <c r="M347" s="27" t="n"/>
      <c r="N347" s="27" t="n"/>
      <c r="O347" s="25">
        <f>IF($C347="","",IF($P347="","—",IF($P347="Valid (Pass)","Valid","Invalid")))</f>
        <v/>
      </c>
      <c r="P347" s="27" t="n"/>
      <c r="Q347" s="27" t="n"/>
      <c r="R347" s="27" t="n"/>
      <c r="S347" s="27" t="n"/>
      <c r="T347" s="25">
        <f>IF($C347="","",IF(OR(ISNUMBER(SEARCH("quick case",$P347)),ISNUMBER(SEARCH("quick case",$Q347))),"Yes","No"))</f>
        <v/>
      </c>
      <c r="U347" s="25">
        <f>IF($O347="Invalid",HYPERLINK("mailto:"&amp;$G347&amp;";"&amp;$I347&amp;"?cc="&amp;Lists!$E$2&amp;"&amp;subject="&amp;_xlfn.ENCODEURL("[INVALID] Quality audit monitoring completed for "&amp;UPPER($C347))&amp;"&amp;body="&amp;_xlfn.ENCODEURL("Hi "&amp;$F347&amp;","&amp;CHAR(10)&amp;"Good day!"&amp;CHAR(10)&amp;CHAR(10)&amp;"A quality monitoring audit has been completed for "&amp;$C347&amp;"."&amp;CHAR(10)&amp;CHAR(10)&amp;"QUALITY AUDIT DETAILS"&amp;CHAR(10)&amp;"Agent Name: "&amp;$C347&amp;" (EID "&amp;$D347&amp;")"&amp;CHAR(10)&amp;"Audit Date: "&amp;TEXT($B347,"yyyy-mm-dd")&amp;CHAR(10)&amp;"Team Leader: "&amp;$F347&amp;CHAR(10)&amp;"Case Number: "&amp;$M347&amp;CHAR(10)&amp;"Transaction ID: "&amp;$N347&amp;CHAR(10)&amp;"Channel / LOB: "&amp;$K347&amp;" / "&amp;$L347&amp;CHAR(10)&amp;"Evaluator: "&amp;$S347&amp;CHAR(10)&amp;CHAR(10)&amp;"INVALID QUALITY AUDIT DETAILS"&amp;CHAR(10)&amp;"Validation: Invalid"&amp;CHAR(10)&amp;"Invalid Reason: "&amp;$P347&amp;CHAR(10)&amp;"Expected Resolution Code: "&amp;$Q347&amp;CHAR(10)&amp;"Remarks: "&amp;LEFT($R347,600)&amp;CHAR(10)&amp;CHAR(10)&amp;"This is an automated notification from HP Mainstream EQMS."),"✉ Open Email Draft"),"")</f>
        <v/>
      </c>
    </row>
    <row r="348">
      <c r="A348" s="25">
        <f>IF($C348="","","AUD-2026-"&amp;TEXT(ROW()-1,"000000"))</f>
        <v/>
      </c>
      <c r="B348" s="26" t="n"/>
      <c r="C348" s="27" t="n"/>
      <c r="D348" s="25">
        <f>IF($C348="","",IFERROR(IF(INDEX(Roster!$A:$A,MATCH($C348,Roster!$B:$B,0))="","",INDEX(Roster!$A:$A,MATCH($C348,Roster!$B:$B,0))&amp;""),"—"))</f>
        <v/>
      </c>
      <c r="E348" s="25">
        <f>IF($C348="","",IFERROR(IF(INDEX(Roster!$C:$C,MATCH($C348,Roster!$B:$B,0))="","",INDEX(Roster!$C:$C,MATCH($C348,Roster!$B:$B,0))&amp;""),"—"))</f>
        <v/>
      </c>
      <c r="F348" s="25">
        <f>IF($C348="","",IFERROR(IF(INDEX(Roster!$D:$D,MATCH($C348,Roster!$B:$B,0))="","",INDEX(Roster!$D:$D,MATCH($C348,Roster!$B:$B,0))&amp;""),"—"))</f>
        <v/>
      </c>
      <c r="G348" s="25">
        <f>IF($C348="","",IFERROR(IF(INDEX(Roster!$E:$E,MATCH($C348,Roster!$B:$B,0))="","",INDEX(Roster!$E:$E,MATCH($C348,Roster!$B:$B,0))&amp;""),"—"))</f>
        <v/>
      </c>
      <c r="H348" s="25">
        <f>IF($C348="","",IFERROR(IF(INDEX(Roster!$F:$F,MATCH($C348,Roster!$B:$B,0))="","",INDEX(Roster!$F:$F,MATCH($C348,Roster!$B:$B,0))&amp;""),"—"))</f>
        <v/>
      </c>
      <c r="I348" s="25">
        <f>IF($C348="","",IFERROR(IF(INDEX(Roster!$G:$G,MATCH($C348,Roster!$B:$B,0))="","",INDEX(Roster!$G:$G,MATCH($C348,Roster!$B:$B,0))&amp;""),"—"))</f>
        <v/>
      </c>
      <c r="J348" s="25">
        <f>IF($C348="","",IFERROR(IF(INDEX(Roster!$I:$I,MATCH($C348,Roster!$B:$B,0))="","",INDEX(Roster!$I:$I,MATCH($C348,Roster!$B:$B,0))&amp;""),"—"))</f>
        <v/>
      </c>
      <c r="K348">
        <f>IF($C348="","",IFERROR(IF(INDEX(Roster!$J:$J,MATCH($C348,Roster!$B:$B,0))="","",INDEX(Roster!$J:$J,MATCH($C348,Roster!$B:$B,0))&amp;""),"—"))</f>
        <v/>
      </c>
      <c r="L348">
        <f>IF($C348="","",IFERROR(IF(INDEX(Roster!$K:$K,MATCH($C348,Roster!$B:$B,0))="","",INDEX(Roster!$K:$K,MATCH($C348,Roster!$B:$B,0))&amp;""),"—"))</f>
        <v/>
      </c>
      <c r="M348" s="27" t="n"/>
      <c r="N348" s="27" t="n"/>
      <c r="O348" s="25">
        <f>IF($C348="","",IF($P348="","—",IF($P348="Valid (Pass)","Valid","Invalid")))</f>
        <v/>
      </c>
      <c r="P348" s="27" t="n"/>
      <c r="Q348" s="27" t="n"/>
      <c r="R348" s="27" t="n"/>
      <c r="S348" s="27" t="n"/>
      <c r="T348" s="25">
        <f>IF($C348="","",IF(OR(ISNUMBER(SEARCH("quick case",$P348)),ISNUMBER(SEARCH("quick case",$Q348))),"Yes","No"))</f>
        <v/>
      </c>
      <c r="U348" s="25">
        <f>IF($O348="Invalid",HYPERLINK("mailto:"&amp;$G348&amp;";"&amp;$I348&amp;"?cc="&amp;Lists!$E$2&amp;"&amp;subject="&amp;_xlfn.ENCODEURL("[INVALID] Quality audit monitoring completed for "&amp;UPPER($C348))&amp;"&amp;body="&amp;_xlfn.ENCODEURL("Hi "&amp;$F348&amp;","&amp;CHAR(10)&amp;"Good day!"&amp;CHAR(10)&amp;CHAR(10)&amp;"A quality monitoring audit has been completed for "&amp;$C348&amp;"."&amp;CHAR(10)&amp;CHAR(10)&amp;"QUALITY AUDIT DETAILS"&amp;CHAR(10)&amp;"Agent Name: "&amp;$C348&amp;" (EID "&amp;$D348&amp;")"&amp;CHAR(10)&amp;"Audit Date: "&amp;TEXT($B348,"yyyy-mm-dd")&amp;CHAR(10)&amp;"Team Leader: "&amp;$F348&amp;CHAR(10)&amp;"Case Number: "&amp;$M348&amp;CHAR(10)&amp;"Transaction ID: "&amp;$N348&amp;CHAR(10)&amp;"Channel / LOB: "&amp;$K348&amp;" / "&amp;$L348&amp;CHAR(10)&amp;"Evaluator: "&amp;$S348&amp;CHAR(10)&amp;CHAR(10)&amp;"INVALID QUALITY AUDIT DETAILS"&amp;CHAR(10)&amp;"Validation: Invalid"&amp;CHAR(10)&amp;"Invalid Reason: "&amp;$P348&amp;CHAR(10)&amp;"Expected Resolution Code: "&amp;$Q348&amp;CHAR(10)&amp;"Remarks: "&amp;LEFT($R348,600)&amp;CHAR(10)&amp;CHAR(10)&amp;"This is an automated notification from HP Mainstream EQMS."),"✉ Open Email Draft"),"")</f>
        <v/>
      </c>
    </row>
    <row r="349">
      <c r="A349" s="25">
        <f>IF($C349="","","AUD-2026-"&amp;TEXT(ROW()-1,"000000"))</f>
        <v/>
      </c>
      <c r="B349" s="26" t="n"/>
      <c r="C349" s="27" t="n"/>
      <c r="D349" s="25">
        <f>IF($C349="","",IFERROR(IF(INDEX(Roster!$A:$A,MATCH($C349,Roster!$B:$B,0))="","",INDEX(Roster!$A:$A,MATCH($C349,Roster!$B:$B,0))&amp;""),"—"))</f>
        <v/>
      </c>
      <c r="E349" s="25">
        <f>IF($C349="","",IFERROR(IF(INDEX(Roster!$C:$C,MATCH($C349,Roster!$B:$B,0))="","",INDEX(Roster!$C:$C,MATCH($C349,Roster!$B:$B,0))&amp;""),"—"))</f>
        <v/>
      </c>
      <c r="F349" s="25">
        <f>IF($C349="","",IFERROR(IF(INDEX(Roster!$D:$D,MATCH($C349,Roster!$B:$B,0))="","",INDEX(Roster!$D:$D,MATCH($C349,Roster!$B:$B,0))&amp;""),"—"))</f>
        <v/>
      </c>
      <c r="G349" s="25">
        <f>IF($C349="","",IFERROR(IF(INDEX(Roster!$E:$E,MATCH($C349,Roster!$B:$B,0))="","",INDEX(Roster!$E:$E,MATCH($C349,Roster!$B:$B,0))&amp;""),"—"))</f>
        <v/>
      </c>
      <c r="H349" s="25">
        <f>IF($C349="","",IFERROR(IF(INDEX(Roster!$F:$F,MATCH($C349,Roster!$B:$B,0))="","",INDEX(Roster!$F:$F,MATCH($C349,Roster!$B:$B,0))&amp;""),"—"))</f>
        <v/>
      </c>
      <c r="I349" s="25">
        <f>IF($C349="","",IFERROR(IF(INDEX(Roster!$G:$G,MATCH($C349,Roster!$B:$B,0))="","",INDEX(Roster!$G:$G,MATCH($C349,Roster!$B:$B,0))&amp;""),"—"))</f>
        <v/>
      </c>
      <c r="J349" s="25">
        <f>IF($C349="","",IFERROR(IF(INDEX(Roster!$I:$I,MATCH($C349,Roster!$B:$B,0))="","",INDEX(Roster!$I:$I,MATCH($C349,Roster!$B:$B,0))&amp;""),"—"))</f>
        <v/>
      </c>
      <c r="K349">
        <f>IF($C349="","",IFERROR(IF(INDEX(Roster!$J:$J,MATCH($C349,Roster!$B:$B,0))="","",INDEX(Roster!$J:$J,MATCH($C349,Roster!$B:$B,0))&amp;""),"—"))</f>
        <v/>
      </c>
      <c r="L349">
        <f>IF($C349="","",IFERROR(IF(INDEX(Roster!$K:$K,MATCH($C349,Roster!$B:$B,0))="","",INDEX(Roster!$K:$K,MATCH($C349,Roster!$B:$B,0))&amp;""),"—"))</f>
        <v/>
      </c>
      <c r="M349" s="27" t="n"/>
      <c r="N349" s="27" t="n"/>
      <c r="O349" s="25">
        <f>IF($C349="","",IF($P349="","—",IF($P349="Valid (Pass)","Valid","Invalid")))</f>
        <v/>
      </c>
      <c r="P349" s="27" t="n"/>
      <c r="Q349" s="27" t="n"/>
      <c r="R349" s="27" t="n"/>
      <c r="S349" s="27" t="n"/>
      <c r="T349" s="25">
        <f>IF($C349="","",IF(OR(ISNUMBER(SEARCH("quick case",$P349)),ISNUMBER(SEARCH("quick case",$Q349))),"Yes","No"))</f>
        <v/>
      </c>
      <c r="U349" s="25">
        <f>IF($O349="Invalid",HYPERLINK("mailto:"&amp;$G349&amp;";"&amp;$I349&amp;"?cc="&amp;Lists!$E$2&amp;"&amp;subject="&amp;_xlfn.ENCODEURL("[INVALID] Quality audit monitoring completed for "&amp;UPPER($C349))&amp;"&amp;body="&amp;_xlfn.ENCODEURL("Hi "&amp;$F349&amp;","&amp;CHAR(10)&amp;"Good day!"&amp;CHAR(10)&amp;CHAR(10)&amp;"A quality monitoring audit has been completed for "&amp;$C349&amp;"."&amp;CHAR(10)&amp;CHAR(10)&amp;"QUALITY AUDIT DETAILS"&amp;CHAR(10)&amp;"Agent Name: "&amp;$C349&amp;" (EID "&amp;$D349&amp;")"&amp;CHAR(10)&amp;"Audit Date: "&amp;TEXT($B349,"yyyy-mm-dd")&amp;CHAR(10)&amp;"Team Leader: "&amp;$F349&amp;CHAR(10)&amp;"Case Number: "&amp;$M349&amp;CHAR(10)&amp;"Transaction ID: "&amp;$N349&amp;CHAR(10)&amp;"Channel / LOB: "&amp;$K349&amp;" / "&amp;$L349&amp;CHAR(10)&amp;"Evaluator: "&amp;$S349&amp;CHAR(10)&amp;CHAR(10)&amp;"INVALID QUALITY AUDIT DETAILS"&amp;CHAR(10)&amp;"Validation: Invalid"&amp;CHAR(10)&amp;"Invalid Reason: "&amp;$P349&amp;CHAR(10)&amp;"Expected Resolution Code: "&amp;$Q349&amp;CHAR(10)&amp;"Remarks: "&amp;LEFT($R349,600)&amp;CHAR(10)&amp;CHAR(10)&amp;"This is an automated notification from HP Mainstream EQMS."),"✉ Open Email Draft"),"")</f>
        <v/>
      </c>
    </row>
    <row r="350">
      <c r="A350" s="25">
        <f>IF($C350="","","AUD-2026-"&amp;TEXT(ROW()-1,"000000"))</f>
        <v/>
      </c>
      <c r="B350" s="26" t="n"/>
      <c r="C350" s="27" t="n"/>
      <c r="D350" s="25">
        <f>IF($C350="","",IFERROR(IF(INDEX(Roster!$A:$A,MATCH($C350,Roster!$B:$B,0))="","",INDEX(Roster!$A:$A,MATCH($C350,Roster!$B:$B,0))&amp;""),"—"))</f>
        <v/>
      </c>
      <c r="E350" s="25">
        <f>IF($C350="","",IFERROR(IF(INDEX(Roster!$C:$C,MATCH($C350,Roster!$B:$B,0))="","",INDEX(Roster!$C:$C,MATCH($C350,Roster!$B:$B,0))&amp;""),"—"))</f>
        <v/>
      </c>
      <c r="F350" s="25">
        <f>IF($C350="","",IFERROR(IF(INDEX(Roster!$D:$D,MATCH($C350,Roster!$B:$B,0))="","",INDEX(Roster!$D:$D,MATCH($C350,Roster!$B:$B,0))&amp;""),"—"))</f>
        <v/>
      </c>
      <c r="G350" s="25">
        <f>IF($C350="","",IFERROR(IF(INDEX(Roster!$E:$E,MATCH($C350,Roster!$B:$B,0))="","",INDEX(Roster!$E:$E,MATCH($C350,Roster!$B:$B,0))&amp;""),"—"))</f>
        <v/>
      </c>
      <c r="H350" s="25">
        <f>IF($C350="","",IFERROR(IF(INDEX(Roster!$F:$F,MATCH($C350,Roster!$B:$B,0))="","",INDEX(Roster!$F:$F,MATCH($C350,Roster!$B:$B,0))&amp;""),"—"))</f>
        <v/>
      </c>
      <c r="I350" s="25">
        <f>IF($C350="","",IFERROR(IF(INDEX(Roster!$G:$G,MATCH($C350,Roster!$B:$B,0))="","",INDEX(Roster!$G:$G,MATCH($C350,Roster!$B:$B,0))&amp;""),"—"))</f>
        <v/>
      </c>
      <c r="J350" s="25">
        <f>IF($C350="","",IFERROR(IF(INDEX(Roster!$I:$I,MATCH($C350,Roster!$B:$B,0))="","",INDEX(Roster!$I:$I,MATCH($C350,Roster!$B:$B,0))&amp;""),"—"))</f>
        <v/>
      </c>
      <c r="K350">
        <f>IF($C350="","",IFERROR(IF(INDEX(Roster!$J:$J,MATCH($C350,Roster!$B:$B,0))="","",INDEX(Roster!$J:$J,MATCH($C350,Roster!$B:$B,0))&amp;""),"—"))</f>
        <v/>
      </c>
      <c r="L350">
        <f>IF($C350="","",IFERROR(IF(INDEX(Roster!$K:$K,MATCH($C350,Roster!$B:$B,0))="","",INDEX(Roster!$K:$K,MATCH($C350,Roster!$B:$B,0))&amp;""),"—"))</f>
        <v/>
      </c>
      <c r="M350" s="27" t="n"/>
      <c r="N350" s="27" t="n"/>
      <c r="O350" s="25">
        <f>IF($C350="","",IF($P350="","—",IF($P350="Valid (Pass)","Valid","Invalid")))</f>
        <v/>
      </c>
      <c r="P350" s="27" t="n"/>
      <c r="Q350" s="27" t="n"/>
      <c r="R350" s="27" t="n"/>
      <c r="S350" s="27" t="n"/>
      <c r="T350" s="25">
        <f>IF($C350="","",IF(OR(ISNUMBER(SEARCH("quick case",$P350)),ISNUMBER(SEARCH("quick case",$Q350))),"Yes","No"))</f>
        <v/>
      </c>
      <c r="U350" s="25">
        <f>IF($O350="Invalid",HYPERLINK("mailto:"&amp;$G350&amp;";"&amp;$I350&amp;"?cc="&amp;Lists!$E$2&amp;"&amp;subject="&amp;_xlfn.ENCODEURL("[INVALID] Quality audit monitoring completed for "&amp;UPPER($C350))&amp;"&amp;body="&amp;_xlfn.ENCODEURL("Hi "&amp;$F350&amp;","&amp;CHAR(10)&amp;"Good day!"&amp;CHAR(10)&amp;CHAR(10)&amp;"A quality monitoring audit has been completed for "&amp;$C350&amp;"."&amp;CHAR(10)&amp;CHAR(10)&amp;"QUALITY AUDIT DETAILS"&amp;CHAR(10)&amp;"Agent Name: "&amp;$C350&amp;" (EID "&amp;$D350&amp;")"&amp;CHAR(10)&amp;"Audit Date: "&amp;TEXT($B350,"yyyy-mm-dd")&amp;CHAR(10)&amp;"Team Leader: "&amp;$F350&amp;CHAR(10)&amp;"Case Number: "&amp;$M350&amp;CHAR(10)&amp;"Transaction ID: "&amp;$N350&amp;CHAR(10)&amp;"Channel / LOB: "&amp;$K350&amp;" / "&amp;$L350&amp;CHAR(10)&amp;"Evaluator: "&amp;$S350&amp;CHAR(10)&amp;CHAR(10)&amp;"INVALID QUALITY AUDIT DETAILS"&amp;CHAR(10)&amp;"Validation: Invalid"&amp;CHAR(10)&amp;"Invalid Reason: "&amp;$P350&amp;CHAR(10)&amp;"Expected Resolution Code: "&amp;$Q350&amp;CHAR(10)&amp;"Remarks: "&amp;LEFT($R350,600)&amp;CHAR(10)&amp;CHAR(10)&amp;"This is an automated notification from HP Mainstream EQMS."),"✉ Open Email Draft"),"")</f>
        <v/>
      </c>
    </row>
    <row r="351">
      <c r="A351" s="25">
        <f>IF($C351="","","AUD-2026-"&amp;TEXT(ROW()-1,"000000"))</f>
        <v/>
      </c>
      <c r="B351" s="26" t="n"/>
      <c r="C351" s="27" t="n"/>
      <c r="D351" s="25">
        <f>IF($C351="","",IFERROR(IF(INDEX(Roster!$A:$A,MATCH($C351,Roster!$B:$B,0))="","",INDEX(Roster!$A:$A,MATCH($C351,Roster!$B:$B,0))&amp;""),"—"))</f>
        <v/>
      </c>
      <c r="E351" s="25">
        <f>IF($C351="","",IFERROR(IF(INDEX(Roster!$C:$C,MATCH($C351,Roster!$B:$B,0))="","",INDEX(Roster!$C:$C,MATCH($C351,Roster!$B:$B,0))&amp;""),"—"))</f>
        <v/>
      </c>
      <c r="F351" s="25">
        <f>IF($C351="","",IFERROR(IF(INDEX(Roster!$D:$D,MATCH($C351,Roster!$B:$B,0))="","",INDEX(Roster!$D:$D,MATCH($C351,Roster!$B:$B,0))&amp;""),"—"))</f>
        <v/>
      </c>
      <c r="G351" s="25">
        <f>IF($C351="","",IFERROR(IF(INDEX(Roster!$E:$E,MATCH($C351,Roster!$B:$B,0))="","",INDEX(Roster!$E:$E,MATCH($C351,Roster!$B:$B,0))&amp;""),"—"))</f>
        <v/>
      </c>
      <c r="H351" s="25">
        <f>IF($C351="","",IFERROR(IF(INDEX(Roster!$F:$F,MATCH($C351,Roster!$B:$B,0))="","",INDEX(Roster!$F:$F,MATCH($C351,Roster!$B:$B,0))&amp;""),"—"))</f>
        <v/>
      </c>
      <c r="I351" s="25">
        <f>IF($C351="","",IFERROR(IF(INDEX(Roster!$G:$G,MATCH($C351,Roster!$B:$B,0))="","",INDEX(Roster!$G:$G,MATCH($C351,Roster!$B:$B,0))&amp;""),"—"))</f>
        <v/>
      </c>
      <c r="J351" s="25">
        <f>IF($C351="","",IFERROR(IF(INDEX(Roster!$I:$I,MATCH($C351,Roster!$B:$B,0))="","",INDEX(Roster!$I:$I,MATCH($C351,Roster!$B:$B,0))&amp;""),"—"))</f>
        <v/>
      </c>
      <c r="K351">
        <f>IF($C351="","",IFERROR(IF(INDEX(Roster!$J:$J,MATCH($C351,Roster!$B:$B,0))="","",INDEX(Roster!$J:$J,MATCH($C351,Roster!$B:$B,0))&amp;""),"—"))</f>
        <v/>
      </c>
      <c r="L351">
        <f>IF($C351="","",IFERROR(IF(INDEX(Roster!$K:$K,MATCH($C351,Roster!$B:$B,0))="","",INDEX(Roster!$K:$K,MATCH($C351,Roster!$B:$B,0))&amp;""),"—"))</f>
        <v/>
      </c>
      <c r="M351" s="27" t="n"/>
      <c r="N351" s="27" t="n"/>
      <c r="O351" s="25">
        <f>IF($C351="","",IF($P351="","—",IF($P351="Valid (Pass)","Valid","Invalid")))</f>
        <v/>
      </c>
      <c r="P351" s="27" t="n"/>
      <c r="Q351" s="27" t="n"/>
      <c r="R351" s="27" t="n"/>
      <c r="S351" s="27" t="n"/>
      <c r="T351" s="25">
        <f>IF($C351="","",IF(OR(ISNUMBER(SEARCH("quick case",$P351)),ISNUMBER(SEARCH("quick case",$Q351))),"Yes","No"))</f>
        <v/>
      </c>
      <c r="U351" s="25">
        <f>IF($O351="Invalid",HYPERLINK("mailto:"&amp;$G351&amp;";"&amp;$I351&amp;"?cc="&amp;Lists!$E$2&amp;"&amp;subject="&amp;_xlfn.ENCODEURL("[INVALID] Quality audit monitoring completed for "&amp;UPPER($C351))&amp;"&amp;body="&amp;_xlfn.ENCODEURL("Hi "&amp;$F351&amp;","&amp;CHAR(10)&amp;"Good day!"&amp;CHAR(10)&amp;CHAR(10)&amp;"A quality monitoring audit has been completed for "&amp;$C351&amp;"."&amp;CHAR(10)&amp;CHAR(10)&amp;"QUALITY AUDIT DETAILS"&amp;CHAR(10)&amp;"Agent Name: "&amp;$C351&amp;" (EID "&amp;$D351&amp;")"&amp;CHAR(10)&amp;"Audit Date: "&amp;TEXT($B351,"yyyy-mm-dd")&amp;CHAR(10)&amp;"Team Leader: "&amp;$F351&amp;CHAR(10)&amp;"Case Number: "&amp;$M351&amp;CHAR(10)&amp;"Transaction ID: "&amp;$N351&amp;CHAR(10)&amp;"Channel / LOB: "&amp;$K351&amp;" / "&amp;$L351&amp;CHAR(10)&amp;"Evaluator: "&amp;$S351&amp;CHAR(10)&amp;CHAR(10)&amp;"INVALID QUALITY AUDIT DETAILS"&amp;CHAR(10)&amp;"Validation: Invalid"&amp;CHAR(10)&amp;"Invalid Reason: "&amp;$P351&amp;CHAR(10)&amp;"Expected Resolution Code: "&amp;$Q351&amp;CHAR(10)&amp;"Remarks: "&amp;LEFT($R351,600)&amp;CHAR(10)&amp;CHAR(10)&amp;"This is an automated notification from HP Mainstream EQMS."),"✉ Open Email Draft"),"")</f>
        <v/>
      </c>
    </row>
    <row r="352">
      <c r="A352" s="25">
        <f>IF($C352="","","AUD-2026-"&amp;TEXT(ROW()-1,"000000"))</f>
        <v/>
      </c>
      <c r="B352" s="26" t="n"/>
      <c r="C352" s="27" t="n"/>
      <c r="D352" s="25">
        <f>IF($C352="","",IFERROR(IF(INDEX(Roster!$A:$A,MATCH($C352,Roster!$B:$B,0))="","",INDEX(Roster!$A:$A,MATCH($C352,Roster!$B:$B,0))&amp;""),"—"))</f>
        <v/>
      </c>
      <c r="E352" s="25">
        <f>IF($C352="","",IFERROR(IF(INDEX(Roster!$C:$C,MATCH($C352,Roster!$B:$B,0))="","",INDEX(Roster!$C:$C,MATCH($C352,Roster!$B:$B,0))&amp;""),"—"))</f>
        <v/>
      </c>
      <c r="F352" s="25">
        <f>IF($C352="","",IFERROR(IF(INDEX(Roster!$D:$D,MATCH($C352,Roster!$B:$B,0))="","",INDEX(Roster!$D:$D,MATCH($C352,Roster!$B:$B,0))&amp;""),"—"))</f>
        <v/>
      </c>
      <c r="G352" s="25">
        <f>IF($C352="","",IFERROR(IF(INDEX(Roster!$E:$E,MATCH($C352,Roster!$B:$B,0))="","",INDEX(Roster!$E:$E,MATCH($C352,Roster!$B:$B,0))&amp;""),"—"))</f>
        <v/>
      </c>
      <c r="H352" s="25">
        <f>IF($C352="","",IFERROR(IF(INDEX(Roster!$F:$F,MATCH($C352,Roster!$B:$B,0))="","",INDEX(Roster!$F:$F,MATCH($C352,Roster!$B:$B,0))&amp;""),"—"))</f>
        <v/>
      </c>
      <c r="I352" s="25">
        <f>IF($C352="","",IFERROR(IF(INDEX(Roster!$G:$G,MATCH($C352,Roster!$B:$B,0))="","",INDEX(Roster!$G:$G,MATCH($C352,Roster!$B:$B,0))&amp;""),"—"))</f>
        <v/>
      </c>
      <c r="J352" s="25">
        <f>IF($C352="","",IFERROR(IF(INDEX(Roster!$I:$I,MATCH($C352,Roster!$B:$B,0))="","",INDEX(Roster!$I:$I,MATCH($C352,Roster!$B:$B,0))&amp;""),"—"))</f>
        <v/>
      </c>
      <c r="K352">
        <f>IF($C352="","",IFERROR(IF(INDEX(Roster!$J:$J,MATCH($C352,Roster!$B:$B,0))="","",INDEX(Roster!$J:$J,MATCH($C352,Roster!$B:$B,0))&amp;""),"—"))</f>
        <v/>
      </c>
      <c r="L352">
        <f>IF($C352="","",IFERROR(IF(INDEX(Roster!$K:$K,MATCH($C352,Roster!$B:$B,0))="","",INDEX(Roster!$K:$K,MATCH($C352,Roster!$B:$B,0))&amp;""),"—"))</f>
        <v/>
      </c>
      <c r="M352" s="27" t="n"/>
      <c r="N352" s="27" t="n"/>
      <c r="O352" s="25">
        <f>IF($C352="","",IF($P352="","—",IF($P352="Valid (Pass)","Valid","Invalid")))</f>
        <v/>
      </c>
      <c r="P352" s="27" t="n"/>
      <c r="Q352" s="27" t="n"/>
      <c r="R352" s="27" t="n"/>
      <c r="S352" s="27" t="n"/>
      <c r="T352" s="25">
        <f>IF($C352="","",IF(OR(ISNUMBER(SEARCH("quick case",$P352)),ISNUMBER(SEARCH("quick case",$Q352))),"Yes","No"))</f>
        <v/>
      </c>
      <c r="U352" s="25">
        <f>IF($O352="Invalid",HYPERLINK("mailto:"&amp;$G352&amp;";"&amp;$I352&amp;"?cc="&amp;Lists!$E$2&amp;"&amp;subject="&amp;_xlfn.ENCODEURL("[INVALID] Quality audit monitoring completed for "&amp;UPPER($C352))&amp;"&amp;body="&amp;_xlfn.ENCODEURL("Hi "&amp;$F352&amp;","&amp;CHAR(10)&amp;"Good day!"&amp;CHAR(10)&amp;CHAR(10)&amp;"A quality monitoring audit has been completed for "&amp;$C352&amp;"."&amp;CHAR(10)&amp;CHAR(10)&amp;"QUALITY AUDIT DETAILS"&amp;CHAR(10)&amp;"Agent Name: "&amp;$C352&amp;" (EID "&amp;$D352&amp;")"&amp;CHAR(10)&amp;"Audit Date: "&amp;TEXT($B352,"yyyy-mm-dd")&amp;CHAR(10)&amp;"Team Leader: "&amp;$F352&amp;CHAR(10)&amp;"Case Number: "&amp;$M352&amp;CHAR(10)&amp;"Transaction ID: "&amp;$N352&amp;CHAR(10)&amp;"Channel / LOB: "&amp;$K352&amp;" / "&amp;$L352&amp;CHAR(10)&amp;"Evaluator: "&amp;$S352&amp;CHAR(10)&amp;CHAR(10)&amp;"INVALID QUALITY AUDIT DETAILS"&amp;CHAR(10)&amp;"Validation: Invalid"&amp;CHAR(10)&amp;"Invalid Reason: "&amp;$P352&amp;CHAR(10)&amp;"Expected Resolution Code: "&amp;$Q352&amp;CHAR(10)&amp;"Remarks: "&amp;LEFT($R352,600)&amp;CHAR(10)&amp;CHAR(10)&amp;"This is an automated notification from HP Mainstream EQMS."),"✉ Open Email Draft"),"")</f>
        <v/>
      </c>
    </row>
    <row r="353">
      <c r="A353" s="25">
        <f>IF($C353="","","AUD-2026-"&amp;TEXT(ROW()-1,"000000"))</f>
        <v/>
      </c>
      <c r="B353" s="26" t="n"/>
      <c r="C353" s="27" t="n"/>
      <c r="D353" s="25">
        <f>IF($C353="","",IFERROR(IF(INDEX(Roster!$A:$A,MATCH($C353,Roster!$B:$B,0))="","",INDEX(Roster!$A:$A,MATCH($C353,Roster!$B:$B,0))&amp;""),"—"))</f>
        <v/>
      </c>
      <c r="E353" s="25">
        <f>IF($C353="","",IFERROR(IF(INDEX(Roster!$C:$C,MATCH($C353,Roster!$B:$B,0))="","",INDEX(Roster!$C:$C,MATCH($C353,Roster!$B:$B,0))&amp;""),"—"))</f>
        <v/>
      </c>
      <c r="F353" s="25">
        <f>IF($C353="","",IFERROR(IF(INDEX(Roster!$D:$D,MATCH($C353,Roster!$B:$B,0))="","",INDEX(Roster!$D:$D,MATCH($C353,Roster!$B:$B,0))&amp;""),"—"))</f>
        <v/>
      </c>
      <c r="G353" s="25">
        <f>IF($C353="","",IFERROR(IF(INDEX(Roster!$E:$E,MATCH($C353,Roster!$B:$B,0))="","",INDEX(Roster!$E:$E,MATCH($C353,Roster!$B:$B,0))&amp;""),"—"))</f>
        <v/>
      </c>
      <c r="H353" s="25">
        <f>IF($C353="","",IFERROR(IF(INDEX(Roster!$F:$F,MATCH($C353,Roster!$B:$B,0))="","",INDEX(Roster!$F:$F,MATCH($C353,Roster!$B:$B,0))&amp;""),"—"))</f>
        <v/>
      </c>
      <c r="I353" s="25">
        <f>IF($C353="","",IFERROR(IF(INDEX(Roster!$G:$G,MATCH($C353,Roster!$B:$B,0))="","",INDEX(Roster!$G:$G,MATCH($C353,Roster!$B:$B,0))&amp;""),"—"))</f>
        <v/>
      </c>
      <c r="J353" s="25">
        <f>IF($C353="","",IFERROR(IF(INDEX(Roster!$I:$I,MATCH($C353,Roster!$B:$B,0))="","",INDEX(Roster!$I:$I,MATCH($C353,Roster!$B:$B,0))&amp;""),"—"))</f>
        <v/>
      </c>
      <c r="K353">
        <f>IF($C353="","",IFERROR(IF(INDEX(Roster!$J:$J,MATCH($C353,Roster!$B:$B,0))="","",INDEX(Roster!$J:$J,MATCH($C353,Roster!$B:$B,0))&amp;""),"—"))</f>
        <v/>
      </c>
      <c r="L353">
        <f>IF($C353="","",IFERROR(IF(INDEX(Roster!$K:$K,MATCH($C353,Roster!$B:$B,0))="","",INDEX(Roster!$K:$K,MATCH($C353,Roster!$B:$B,0))&amp;""),"—"))</f>
        <v/>
      </c>
      <c r="M353" s="27" t="n"/>
      <c r="N353" s="27" t="n"/>
      <c r="O353" s="25">
        <f>IF($C353="","",IF($P353="","—",IF($P353="Valid (Pass)","Valid","Invalid")))</f>
        <v/>
      </c>
      <c r="P353" s="27" t="n"/>
      <c r="Q353" s="27" t="n"/>
      <c r="R353" s="27" t="n"/>
      <c r="S353" s="27" t="n"/>
      <c r="T353" s="25">
        <f>IF($C353="","",IF(OR(ISNUMBER(SEARCH("quick case",$P353)),ISNUMBER(SEARCH("quick case",$Q353))),"Yes","No"))</f>
        <v/>
      </c>
      <c r="U353" s="25">
        <f>IF($O353="Invalid",HYPERLINK("mailto:"&amp;$G353&amp;";"&amp;$I353&amp;"?cc="&amp;Lists!$E$2&amp;"&amp;subject="&amp;_xlfn.ENCODEURL("[INVALID] Quality audit monitoring completed for "&amp;UPPER($C353))&amp;"&amp;body="&amp;_xlfn.ENCODEURL("Hi "&amp;$F353&amp;","&amp;CHAR(10)&amp;"Good day!"&amp;CHAR(10)&amp;CHAR(10)&amp;"A quality monitoring audit has been completed for "&amp;$C353&amp;"."&amp;CHAR(10)&amp;CHAR(10)&amp;"QUALITY AUDIT DETAILS"&amp;CHAR(10)&amp;"Agent Name: "&amp;$C353&amp;" (EID "&amp;$D353&amp;")"&amp;CHAR(10)&amp;"Audit Date: "&amp;TEXT($B353,"yyyy-mm-dd")&amp;CHAR(10)&amp;"Team Leader: "&amp;$F353&amp;CHAR(10)&amp;"Case Number: "&amp;$M353&amp;CHAR(10)&amp;"Transaction ID: "&amp;$N353&amp;CHAR(10)&amp;"Channel / LOB: "&amp;$K353&amp;" / "&amp;$L353&amp;CHAR(10)&amp;"Evaluator: "&amp;$S353&amp;CHAR(10)&amp;CHAR(10)&amp;"INVALID QUALITY AUDIT DETAILS"&amp;CHAR(10)&amp;"Validation: Invalid"&amp;CHAR(10)&amp;"Invalid Reason: "&amp;$P353&amp;CHAR(10)&amp;"Expected Resolution Code: "&amp;$Q353&amp;CHAR(10)&amp;"Remarks: "&amp;LEFT($R353,600)&amp;CHAR(10)&amp;CHAR(10)&amp;"This is an automated notification from HP Mainstream EQMS."),"✉ Open Email Draft"),"")</f>
        <v/>
      </c>
    </row>
    <row r="354">
      <c r="A354" s="25">
        <f>IF($C354="","","AUD-2026-"&amp;TEXT(ROW()-1,"000000"))</f>
        <v/>
      </c>
      <c r="B354" s="26" t="n"/>
      <c r="C354" s="27" t="n"/>
      <c r="D354" s="25">
        <f>IF($C354="","",IFERROR(IF(INDEX(Roster!$A:$A,MATCH($C354,Roster!$B:$B,0))="","",INDEX(Roster!$A:$A,MATCH($C354,Roster!$B:$B,0))&amp;""),"—"))</f>
        <v/>
      </c>
      <c r="E354" s="25">
        <f>IF($C354="","",IFERROR(IF(INDEX(Roster!$C:$C,MATCH($C354,Roster!$B:$B,0))="","",INDEX(Roster!$C:$C,MATCH($C354,Roster!$B:$B,0))&amp;""),"—"))</f>
        <v/>
      </c>
      <c r="F354" s="25">
        <f>IF($C354="","",IFERROR(IF(INDEX(Roster!$D:$D,MATCH($C354,Roster!$B:$B,0))="","",INDEX(Roster!$D:$D,MATCH($C354,Roster!$B:$B,0))&amp;""),"—"))</f>
        <v/>
      </c>
      <c r="G354" s="25">
        <f>IF($C354="","",IFERROR(IF(INDEX(Roster!$E:$E,MATCH($C354,Roster!$B:$B,0))="","",INDEX(Roster!$E:$E,MATCH($C354,Roster!$B:$B,0))&amp;""),"—"))</f>
        <v/>
      </c>
      <c r="H354" s="25">
        <f>IF($C354="","",IFERROR(IF(INDEX(Roster!$F:$F,MATCH($C354,Roster!$B:$B,0))="","",INDEX(Roster!$F:$F,MATCH($C354,Roster!$B:$B,0))&amp;""),"—"))</f>
        <v/>
      </c>
      <c r="I354" s="25">
        <f>IF($C354="","",IFERROR(IF(INDEX(Roster!$G:$G,MATCH($C354,Roster!$B:$B,0))="","",INDEX(Roster!$G:$G,MATCH($C354,Roster!$B:$B,0))&amp;""),"—"))</f>
        <v/>
      </c>
      <c r="J354" s="25">
        <f>IF($C354="","",IFERROR(IF(INDEX(Roster!$I:$I,MATCH($C354,Roster!$B:$B,0))="","",INDEX(Roster!$I:$I,MATCH($C354,Roster!$B:$B,0))&amp;""),"—"))</f>
        <v/>
      </c>
      <c r="K354">
        <f>IF($C354="","",IFERROR(IF(INDEX(Roster!$J:$J,MATCH($C354,Roster!$B:$B,0))="","",INDEX(Roster!$J:$J,MATCH($C354,Roster!$B:$B,0))&amp;""),"—"))</f>
        <v/>
      </c>
      <c r="L354">
        <f>IF($C354="","",IFERROR(IF(INDEX(Roster!$K:$K,MATCH($C354,Roster!$B:$B,0))="","",INDEX(Roster!$K:$K,MATCH($C354,Roster!$B:$B,0))&amp;""),"—"))</f>
        <v/>
      </c>
      <c r="M354" s="27" t="n"/>
      <c r="N354" s="27" t="n"/>
      <c r="O354" s="25">
        <f>IF($C354="","",IF($P354="","—",IF($P354="Valid (Pass)","Valid","Invalid")))</f>
        <v/>
      </c>
      <c r="P354" s="27" t="n"/>
      <c r="Q354" s="27" t="n"/>
      <c r="R354" s="27" t="n"/>
      <c r="S354" s="27" t="n"/>
      <c r="T354" s="25">
        <f>IF($C354="","",IF(OR(ISNUMBER(SEARCH("quick case",$P354)),ISNUMBER(SEARCH("quick case",$Q354))),"Yes","No"))</f>
        <v/>
      </c>
      <c r="U354" s="25">
        <f>IF($O354="Invalid",HYPERLINK("mailto:"&amp;$G354&amp;";"&amp;$I354&amp;"?cc="&amp;Lists!$E$2&amp;"&amp;subject="&amp;_xlfn.ENCODEURL("[INVALID] Quality audit monitoring completed for "&amp;UPPER($C354))&amp;"&amp;body="&amp;_xlfn.ENCODEURL("Hi "&amp;$F354&amp;","&amp;CHAR(10)&amp;"Good day!"&amp;CHAR(10)&amp;CHAR(10)&amp;"A quality monitoring audit has been completed for "&amp;$C354&amp;"."&amp;CHAR(10)&amp;CHAR(10)&amp;"QUALITY AUDIT DETAILS"&amp;CHAR(10)&amp;"Agent Name: "&amp;$C354&amp;" (EID "&amp;$D354&amp;")"&amp;CHAR(10)&amp;"Audit Date: "&amp;TEXT($B354,"yyyy-mm-dd")&amp;CHAR(10)&amp;"Team Leader: "&amp;$F354&amp;CHAR(10)&amp;"Case Number: "&amp;$M354&amp;CHAR(10)&amp;"Transaction ID: "&amp;$N354&amp;CHAR(10)&amp;"Channel / LOB: "&amp;$K354&amp;" / "&amp;$L354&amp;CHAR(10)&amp;"Evaluator: "&amp;$S354&amp;CHAR(10)&amp;CHAR(10)&amp;"INVALID QUALITY AUDIT DETAILS"&amp;CHAR(10)&amp;"Validation: Invalid"&amp;CHAR(10)&amp;"Invalid Reason: "&amp;$P354&amp;CHAR(10)&amp;"Expected Resolution Code: "&amp;$Q354&amp;CHAR(10)&amp;"Remarks: "&amp;LEFT($R354,600)&amp;CHAR(10)&amp;CHAR(10)&amp;"This is an automated notification from HP Mainstream EQMS."),"✉ Open Email Draft"),"")</f>
        <v/>
      </c>
    </row>
    <row r="355">
      <c r="A355" s="25">
        <f>IF($C355="","","AUD-2026-"&amp;TEXT(ROW()-1,"000000"))</f>
        <v/>
      </c>
      <c r="B355" s="26" t="n"/>
      <c r="C355" s="27" t="n"/>
      <c r="D355" s="25">
        <f>IF($C355="","",IFERROR(IF(INDEX(Roster!$A:$A,MATCH($C355,Roster!$B:$B,0))="","",INDEX(Roster!$A:$A,MATCH($C355,Roster!$B:$B,0))&amp;""),"—"))</f>
        <v/>
      </c>
      <c r="E355" s="25">
        <f>IF($C355="","",IFERROR(IF(INDEX(Roster!$C:$C,MATCH($C355,Roster!$B:$B,0))="","",INDEX(Roster!$C:$C,MATCH($C355,Roster!$B:$B,0))&amp;""),"—"))</f>
        <v/>
      </c>
      <c r="F355" s="25">
        <f>IF($C355="","",IFERROR(IF(INDEX(Roster!$D:$D,MATCH($C355,Roster!$B:$B,0))="","",INDEX(Roster!$D:$D,MATCH($C355,Roster!$B:$B,0))&amp;""),"—"))</f>
        <v/>
      </c>
      <c r="G355" s="25">
        <f>IF($C355="","",IFERROR(IF(INDEX(Roster!$E:$E,MATCH($C355,Roster!$B:$B,0))="","",INDEX(Roster!$E:$E,MATCH($C355,Roster!$B:$B,0))&amp;""),"—"))</f>
        <v/>
      </c>
      <c r="H355" s="25">
        <f>IF($C355="","",IFERROR(IF(INDEX(Roster!$F:$F,MATCH($C355,Roster!$B:$B,0))="","",INDEX(Roster!$F:$F,MATCH($C355,Roster!$B:$B,0))&amp;""),"—"))</f>
        <v/>
      </c>
      <c r="I355" s="25">
        <f>IF($C355="","",IFERROR(IF(INDEX(Roster!$G:$G,MATCH($C355,Roster!$B:$B,0))="","",INDEX(Roster!$G:$G,MATCH($C355,Roster!$B:$B,0))&amp;""),"—"))</f>
        <v/>
      </c>
      <c r="J355" s="25">
        <f>IF($C355="","",IFERROR(IF(INDEX(Roster!$I:$I,MATCH($C355,Roster!$B:$B,0))="","",INDEX(Roster!$I:$I,MATCH($C355,Roster!$B:$B,0))&amp;""),"—"))</f>
        <v/>
      </c>
      <c r="K355">
        <f>IF($C355="","",IFERROR(IF(INDEX(Roster!$J:$J,MATCH($C355,Roster!$B:$B,0))="","",INDEX(Roster!$J:$J,MATCH($C355,Roster!$B:$B,0))&amp;""),"—"))</f>
        <v/>
      </c>
      <c r="L355">
        <f>IF($C355="","",IFERROR(IF(INDEX(Roster!$K:$K,MATCH($C355,Roster!$B:$B,0))="","",INDEX(Roster!$K:$K,MATCH($C355,Roster!$B:$B,0))&amp;""),"—"))</f>
        <v/>
      </c>
      <c r="M355" s="27" t="n"/>
      <c r="N355" s="27" t="n"/>
      <c r="O355" s="25">
        <f>IF($C355="","",IF($P355="","—",IF($P355="Valid (Pass)","Valid","Invalid")))</f>
        <v/>
      </c>
      <c r="P355" s="27" t="n"/>
      <c r="Q355" s="27" t="n"/>
      <c r="R355" s="27" t="n"/>
      <c r="S355" s="27" t="n"/>
      <c r="T355" s="25">
        <f>IF($C355="","",IF(OR(ISNUMBER(SEARCH("quick case",$P355)),ISNUMBER(SEARCH("quick case",$Q355))),"Yes","No"))</f>
        <v/>
      </c>
      <c r="U355" s="25">
        <f>IF($O355="Invalid",HYPERLINK("mailto:"&amp;$G355&amp;";"&amp;$I355&amp;"?cc="&amp;Lists!$E$2&amp;"&amp;subject="&amp;_xlfn.ENCODEURL("[INVALID] Quality audit monitoring completed for "&amp;UPPER($C355))&amp;"&amp;body="&amp;_xlfn.ENCODEURL("Hi "&amp;$F355&amp;","&amp;CHAR(10)&amp;"Good day!"&amp;CHAR(10)&amp;CHAR(10)&amp;"A quality monitoring audit has been completed for "&amp;$C355&amp;"."&amp;CHAR(10)&amp;CHAR(10)&amp;"QUALITY AUDIT DETAILS"&amp;CHAR(10)&amp;"Agent Name: "&amp;$C355&amp;" (EID "&amp;$D355&amp;")"&amp;CHAR(10)&amp;"Audit Date: "&amp;TEXT($B355,"yyyy-mm-dd")&amp;CHAR(10)&amp;"Team Leader: "&amp;$F355&amp;CHAR(10)&amp;"Case Number: "&amp;$M355&amp;CHAR(10)&amp;"Transaction ID: "&amp;$N355&amp;CHAR(10)&amp;"Channel / LOB: "&amp;$K355&amp;" / "&amp;$L355&amp;CHAR(10)&amp;"Evaluator: "&amp;$S355&amp;CHAR(10)&amp;CHAR(10)&amp;"INVALID QUALITY AUDIT DETAILS"&amp;CHAR(10)&amp;"Validation: Invalid"&amp;CHAR(10)&amp;"Invalid Reason: "&amp;$P355&amp;CHAR(10)&amp;"Expected Resolution Code: "&amp;$Q355&amp;CHAR(10)&amp;"Remarks: "&amp;LEFT($R355,600)&amp;CHAR(10)&amp;CHAR(10)&amp;"This is an automated notification from HP Mainstream EQMS."),"✉ Open Email Draft"),"")</f>
        <v/>
      </c>
    </row>
    <row r="356">
      <c r="A356" s="25">
        <f>IF($C356="","","AUD-2026-"&amp;TEXT(ROW()-1,"000000"))</f>
        <v/>
      </c>
      <c r="B356" s="26" t="n"/>
      <c r="C356" s="27" t="n"/>
      <c r="D356" s="25">
        <f>IF($C356="","",IFERROR(IF(INDEX(Roster!$A:$A,MATCH($C356,Roster!$B:$B,0))="","",INDEX(Roster!$A:$A,MATCH($C356,Roster!$B:$B,0))&amp;""),"—"))</f>
        <v/>
      </c>
      <c r="E356" s="25">
        <f>IF($C356="","",IFERROR(IF(INDEX(Roster!$C:$C,MATCH($C356,Roster!$B:$B,0))="","",INDEX(Roster!$C:$C,MATCH($C356,Roster!$B:$B,0))&amp;""),"—"))</f>
        <v/>
      </c>
      <c r="F356" s="25">
        <f>IF($C356="","",IFERROR(IF(INDEX(Roster!$D:$D,MATCH($C356,Roster!$B:$B,0))="","",INDEX(Roster!$D:$D,MATCH($C356,Roster!$B:$B,0))&amp;""),"—"))</f>
        <v/>
      </c>
      <c r="G356" s="25">
        <f>IF($C356="","",IFERROR(IF(INDEX(Roster!$E:$E,MATCH($C356,Roster!$B:$B,0))="","",INDEX(Roster!$E:$E,MATCH($C356,Roster!$B:$B,0))&amp;""),"—"))</f>
        <v/>
      </c>
      <c r="H356" s="25">
        <f>IF($C356="","",IFERROR(IF(INDEX(Roster!$F:$F,MATCH($C356,Roster!$B:$B,0))="","",INDEX(Roster!$F:$F,MATCH($C356,Roster!$B:$B,0))&amp;""),"—"))</f>
        <v/>
      </c>
      <c r="I356" s="25">
        <f>IF($C356="","",IFERROR(IF(INDEX(Roster!$G:$G,MATCH($C356,Roster!$B:$B,0))="","",INDEX(Roster!$G:$G,MATCH($C356,Roster!$B:$B,0))&amp;""),"—"))</f>
        <v/>
      </c>
      <c r="J356" s="25">
        <f>IF($C356="","",IFERROR(IF(INDEX(Roster!$I:$I,MATCH($C356,Roster!$B:$B,0))="","",INDEX(Roster!$I:$I,MATCH($C356,Roster!$B:$B,0))&amp;""),"—"))</f>
        <v/>
      </c>
      <c r="K356">
        <f>IF($C356="","",IFERROR(IF(INDEX(Roster!$J:$J,MATCH($C356,Roster!$B:$B,0))="","",INDEX(Roster!$J:$J,MATCH($C356,Roster!$B:$B,0))&amp;""),"—"))</f>
        <v/>
      </c>
      <c r="L356">
        <f>IF($C356="","",IFERROR(IF(INDEX(Roster!$K:$K,MATCH($C356,Roster!$B:$B,0))="","",INDEX(Roster!$K:$K,MATCH($C356,Roster!$B:$B,0))&amp;""),"—"))</f>
        <v/>
      </c>
      <c r="M356" s="27" t="n"/>
      <c r="N356" s="27" t="n"/>
      <c r="O356" s="25">
        <f>IF($C356="","",IF($P356="","—",IF($P356="Valid (Pass)","Valid","Invalid")))</f>
        <v/>
      </c>
      <c r="P356" s="27" t="n"/>
      <c r="Q356" s="27" t="n"/>
      <c r="R356" s="27" t="n"/>
      <c r="S356" s="27" t="n"/>
      <c r="T356" s="25">
        <f>IF($C356="","",IF(OR(ISNUMBER(SEARCH("quick case",$P356)),ISNUMBER(SEARCH("quick case",$Q356))),"Yes","No"))</f>
        <v/>
      </c>
      <c r="U356" s="25">
        <f>IF($O356="Invalid",HYPERLINK("mailto:"&amp;$G356&amp;";"&amp;$I356&amp;"?cc="&amp;Lists!$E$2&amp;"&amp;subject="&amp;_xlfn.ENCODEURL("[INVALID] Quality audit monitoring completed for "&amp;UPPER($C356))&amp;"&amp;body="&amp;_xlfn.ENCODEURL("Hi "&amp;$F356&amp;","&amp;CHAR(10)&amp;"Good day!"&amp;CHAR(10)&amp;CHAR(10)&amp;"A quality monitoring audit has been completed for "&amp;$C356&amp;"."&amp;CHAR(10)&amp;CHAR(10)&amp;"QUALITY AUDIT DETAILS"&amp;CHAR(10)&amp;"Agent Name: "&amp;$C356&amp;" (EID "&amp;$D356&amp;")"&amp;CHAR(10)&amp;"Audit Date: "&amp;TEXT($B356,"yyyy-mm-dd")&amp;CHAR(10)&amp;"Team Leader: "&amp;$F356&amp;CHAR(10)&amp;"Case Number: "&amp;$M356&amp;CHAR(10)&amp;"Transaction ID: "&amp;$N356&amp;CHAR(10)&amp;"Channel / LOB: "&amp;$K356&amp;" / "&amp;$L356&amp;CHAR(10)&amp;"Evaluator: "&amp;$S356&amp;CHAR(10)&amp;CHAR(10)&amp;"INVALID QUALITY AUDIT DETAILS"&amp;CHAR(10)&amp;"Validation: Invalid"&amp;CHAR(10)&amp;"Invalid Reason: "&amp;$P356&amp;CHAR(10)&amp;"Expected Resolution Code: "&amp;$Q356&amp;CHAR(10)&amp;"Remarks: "&amp;LEFT($R356,600)&amp;CHAR(10)&amp;CHAR(10)&amp;"This is an automated notification from HP Mainstream EQMS."),"✉ Open Email Draft"),"")</f>
        <v/>
      </c>
    </row>
    <row r="357">
      <c r="A357" s="25">
        <f>IF($C357="","","AUD-2026-"&amp;TEXT(ROW()-1,"000000"))</f>
        <v/>
      </c>
      <c r="B357" s="26" t="n"/>
      <c r="C357" s="27" t="n"/>
      <c r="D357" s="25">
        <f>IF($C357="","",IFERROR(IF(INDEX(Roster!$A:$A,MATCH($C357,Roster!$B:$B,0))="","",INDEX(Roster!$A:$A,MATCH($C357,Roster!$B:$B,0))&amp;""),"—"))</f>
        <v/>
      </c>
      <c r="E357" s="25">
        <f>IF($C357="","",IFERROR(IF(INDEX(Roster!$C:$C,MATCH($C357,Roster!$B:$B,0))="","",INDEX(Roster!$C:$C,MATCH($C357,Roster!$B:$B,0))&amp;""),"—"))</f>
        <v/>
      </c>
      <c r="F357" s="25">
        <f>IF($C357="","",IFERROR(IF(INDEX(Roster!$D:$D,MATCH($C357,Roster!$B:$B,0))="","",INDEX(Roster!$D:$D,MATCH($C357,Roster!$B:$B,0))&amp;""),"—"))</f>
        <v/>
      </c>
      <c r="G357" s="25">
        <f>IF($C357="","",IFERROR(IF(INDEX(Roster!$E:$E,MATCH($C357,Roster!$B:$B,0))="","",INDEX(Roster!$E:$E,MATCH($C357,Roster!$B:$B,0))&amp;""),"—"))</f>
        <v/>
      </c>
      <c r="H357" s="25">
        <f>IF($C357="","",IFERROR(IF(INDEX(Roster!$F:$F,MATCH($C357,Roster!$B:$B,0))="","",INDEX(Roster!$F:$F,MATCH($C357,Roster!$B:$B,0))&amp;""),"—"))</f>
        <v/>
      </c>
      <c r="I357" s="25">
        <f>IF($C357="","",IFERROR(IF(INDEX(Roster!$G:$G,MATCH($C357,Roster!$B:$B,0))="","",INDEX(Roster!$G:$G,MATCH($C357,Roster!$B:$B,0))&amp;""),"—"))</f>
        <v/>
      </c>
      <c r="J357" s="25">
        <f>IF($C357="","",IFERROR(IF(INDEX(Roster!$I:$I,MATCH($C357,Roster!$B:$B,0))="","",INDEX(Roster!$I:$I,MATCH($C357,Roster!$B:$B,0))&amp;""),"—"))</f>
        <v/>
      </c>
      <c r="K357">
        <f>IF($C357="","",IFERROR(IF(INDEX(Roster!$J:$J,MATCH($C357,Roster!$B:$B,0))="","",INDEX(Roster!$J:$J,MATCH($C357,Roster!$B:$B,0))&amp;""),"—"))</f>
        <v/>
      </c>
      <c r="L357">
        <f>IF($C357="","",IFERROR(IF(INDEX(Roster!$K:$K,MATCH($C357,Roster!$B:$B,0))="","",INDEX(Roster!$K:$K,MATCH($C357,Roster!$B:$B,0))&amp;""),"—"))</f>
        <v/>
      </c>
      <c r="M357" s="27" t="n"/>
      <c r="N357" s="27" t="n"/>
      <c r="O357" s="25">
        <f>IF($C357="","",IF($P357="","—",IF($P357="Valid (Pass)","Valid","Invalid")))</f>
        <v/>
      </c>
      <c r="P357" s="27" t="n"/>
      <c r="Q357" s="27" t="n"/>
      <c r="R357" s="27" t="n"/>
      <c r="S357" s="27" t="n"/>
      <c r="T357" s="25">
        <f>IF($C357="","",IF(OR(ISNUMBER(SEARCH("quick case",$P357)),ISNUMBER(SEARCH("quick case",$Q357))),"Yes","No"))</f>
        <v/>
      </c>
      <c r="U357" s="25">
        <f>IF($O357="Invalid",HYPERLINK("mailto:"&amp;$G357&amp;";"&amp;$I357&amp;"?cc="&amp;Lists!$E$2&amp;"&amp;subject="&amp;_xlfn.ENCODEURL("[INVALID] Quality audit monitoring completed for "&amp;UPPER($C357))&amp;"&amp;body="&amp;_xlfn.ENCODEURL("Hi "&amp;$F357&amp;","&amp;CHAR(10)&amp;"Good day!"&amp;CHAR(10)&amp;CHAR(10)&amp;"A quality monitoring audit has been completed for "&amp;$C357&amp;"."&amp;CHAR(10)&amp;CHAR(10)&amp;"QUALITY AUDIT DETAILS"&amp;CHAR(10)&amp;"Agent Name: "&amp;$C357&amp;" (EID "&amp;$D357&amp;")"&amp;CHAR(10)&amp;"Audit Date: "&amp;TEXT($B357,"yyyy-mm-dd")&amp;CHAR(10)&amp;"Team Leader: "&amp;$F357&amp;CHAR(10)&amp;"Case Number: "&amp;$M357&amp;CHAR(10)&amp;"Transaction ID: "&amp;$N357&amp;CHAR(10)&amp;"Channel / LOB: "&amp;$K357&amp;" / "&amp;$L357&amp;CHAR(10)&amp;"Evaluator: "&amp;$S357&amp;CHAR(10)&amp;CHAR(10)&amp;"INVALID QUALITY AUDIT DETAILS"&amp;CHAR(10)&amp;"Validation: Invalid"&amp;CHAR(10)&amp;"Invalid Reason: "&amp;$P357&amp;CHAR(10)&amp;"Expected Resolution Code: "&amp;$Q357&amp;CHAR(10)&amp;"Remarks: "&amp;LEFT($R357,600)&amp;CHAR(10)&amp;CHAR(10)&amp;"This is an automated notification from HP Mainstream EQMS."),"✉ Open Email Draft"),"")</f>
        <v/>
      </c>
    </row>
    <row r="358">
      <c r="A358" s="25">
        <f>IF($C358="","","AUD-2026-"&amp;TEXT(ROW()-1,"000000"))</f>
        <v/>
      </c>
      <c r="B358" s="26" t="n"/>
      <c r="C358" s="27" t="n"/>
      <c r="D358" s="25">
        <f>IF($C358="","",IFERROR(IF(INDEX(Roster!$A:$A,MATCH($C358,Roster!$B:$B,0))="","",INDEX(Roster!$A:$A,MATCH($C358,Roster!$B:$B,0))&amp;""),"—"))</f>
        <v/>
      </c>
      <c r="E358" s="25">
        <f>IF($C358="","",IFERROR(IF(INDEX(Roster!$C:$C,MATCH($C358,Roster!$B:$B,0))="","",INDEX(Roster!$C:$C,MATCH($C358,Roster!$B:$B,0))&amp;""),"—"))</f>
        <v/>
      </c>
      <c r="F358" s="25">
        <f>IF($C358="","",IFERROR(IF(INDEX(Roster!$D:$D,MATCH($C358,Roster!$B:$B,0))="","",INDEX(Roster!$D:$D,MATCH($C358,Roster!$B:$B,0))&amp;""),"—"))</f>
        <v/>
      </c>
      <c r="G358" s="25">
        <f>IF($C358="","",IFERROR(IF(INDEX(Roster!$E:$E,MATCH($C358,Roster!$B:$B,0))="","",INDEX(Roster!$E:$E,MATCH($C358,Roster!$B:$B,0))&amp;""),"—"))</f>
        <v/>
      </c>
      <c r="H358" s="25">
        <f>IF($C358="","",IFERROR(IF(INDEX(Roster!$F:$F,MATCH($C358,Roster!$B:$B,0))="","",INDEX(Roster!$F:$F,MATCH($C358,Roster!$B:$B,0))&amp;""),"—"))</f>
        <v/>
      </c>
      <c r="I358" s="25">
        <f>IF($C358="","",IFERROR(IF(INDEX(Roster!$G:$G,MATCH($C358,Roster!$B:$B,0))="","",INDEX(Roster!$G:$G,MATCH($C358,Roster!$B:$B,0))&amp;""),"—"))</f>
        <v/>
      </c>
      <c r="J358" s="25">
        <f>IF($C358="","",IFERROR(IF(INDEX(Roster!$I:$I,MATCH($C358,Roster!$B:$B,0))="","",INDEX(Roster!$I:$I,MATCH($C358,Roster!$B:$B,0))&amp;""),"—"))</f>
        <v/>
      </c>
      <c r="K358">
        <f>IF($C358="","",IFERROR(IF(INDEX(Roster!$J:$J,MATCH($C358,Roster!$B:$B,0))="","",INDEX(Roster!$J:$J,MATCH($C358,Roster!$B:$B,0))&amp;""),"—"))</f>
        <v/>
      </c>
      <c r="L358">
        <f>IF($C358="","",IFERROR(IF(INDEX(Roster!$K:$K,MATCH($C358,Roster!$B:$B,0))="","",INDEX(Roster!$K:$K,MATCH($C358,Roster!$B:$B,0))&amp;""),"—"))</f>
        <v/>
      </c>
      <c r="M358" s="27" t="n"/>
      <c r="N358" s="27" t="n"/>
      <c r="O358" s="25">
        <f>IF($C358="","",IF($P358="","—",IF($P358="Valid (Pass)","Valid","Invalid")))</f>
        <v/>
      </c>
      <c r="P358" s="27" t="n"/>
      <c r="Q358" s="27" t="n"/>
      <c r="R358" s="27" t="n"/>
      <c r="S358" s="27" t="n"/>
      <c r="T358" s="25">
        <f>IF($C358="","",IF(OR(ISNUMBER(SEARCH("quick case",$P358)),ISNUMBER(SEARCH("quick case",$Q358))),"Yes","No"))</f>
        <v/>
      </c>
      <c r="U358" s="25">
        <f>IF($O358="Invalid",HYPERLINK("mailto:"&amp;$G358&amp;";"&amp;$I358&amp;"?cc="&amp;Lists!$E$2&amp;"&amp;subject="&amp;_xlfn.ENCODEURL("[INVALID] Quality audit monitoring completed for "&amp;UPPER($C358))&amp;"&amp;body="&amp;_xlfn.ENCODEURL("Hi "&amp;$F358&amp;","&amp;CHAR(10)&amp;"Good day!"&amp;CHAR(10)&amp;CHAR(10)&amp;"A quality monitoring audit has been completed for "&amp;$C358&amp;"."&amp;CHAR(10)&amp;CHAR(10)&amp;"QUALITY AUDIT DETAILS"&amp;CHAR(10)&amp;"Agent Name: "&amp;$C358&amp;" (EID "&amp;$D358&amp;")"&amp;CHAR(10)&amp;"Audit Date: "&amp;TEXT($B358,"yyyy-mm-dd")&amp;CHAR(10)&amp;"Team Leader: "&amp;$F358&amp;CHAR(10)&amp;"Case Number: "&amp;$M358&amp;CHAR(10)&amp;"Transaction ID: "&amp;$N358&amp;CHAR(10)&amp;"Channel / LOB: "&amp;$K358&amp;" / "&amp;$L358&amp;CHAR(10)&amp;"Evaluator: "&amp;$S358&amp;CHAR(10)&amp;CHAR(10)&amp;"INVALID QUALITY AUDIT DETAILS"&amp;CHAR(10)&amp;"Validation: Invalid"&amp;CHAR(10)&amp;"Invalid Reason: "&amp;$P358&amp;CHAR(10)&amp;"Expected Resolution Code: "&amp;$Q358&amp;CHAR(10)&amp;"Remarks: "&amp;LEFT($R358,600)&amp;CHAR(10)&amp;CHAR(10)&amp;"This is an automated notification from HP Mainstream EQMS."),"✉ Open Email Draft"),"")</f>
        <v/>
      </c>
    </row>
    <row r="359">
      <c r="A359" s="25">
        <f>IF($C359="","","AUD-2026-"&amp;TEXT(ROW()-1,"000000"))</f>
        <v/>
      </c>
      <c r="B359" s="26" t="n"/>
      <c r="C359" s="27" t="n"/>
      <c r="D359" s="25">
        <f>IF($C359="","",IFERROR(IF(INDEX(Roster!$A:$A,MATCH($C359,Roster!$B:$B,0))="","",INDEX(Roster!$A:$A,MATCH($C359,Roster!$B:$B,0))&amp;""),"—"))</f>
        <v/>
      </c>
      <c r="E359" s="25">
        <f>IF($C359="","",IFERROR(IF(INDEX(Roster!$C:$C,MATCH($C359,Roster!$B:$B,0))="","",INDEX(Roster!$C:$C,MATCH($C359,Roster!$B:$B,0))&amp;""),"—"))</f>
        <v/>
      </c>
      <c r="F359" s="25">
        <f>IF($C359="","",IFERROR(IF(INDEX(Roster!$D:$D,MATCH($C359,Roster!$B:$B,0))="","",INDEX(Roster!$D:$D,MATCH($C359,Roster!$B:$B,0))&amp;""),"—"))</f>
        <v/>
      </c>
      <c r="G359" s="25">
        <f>IF($C359="","",IFERROR(IF(INDEX(Roster!$E:$E,MATCH($C359,Roster!$B:$B,0))="","",INDEX(Roster!$E:$E,MATCH($C359,Roster!$B:$B,0))&amp;""),"—"))</f>
        <v/>
      </c>
      <c r="H359" s="25">
        <f>IF($C359="","",IFERROR(IF(INDEX(Roster!$F:$F,MATCH($C359,Roster!$B:$B,0))="","",INDEX(Roster!$F:$F,MATCH($C359,Roster!$B:$B,0))&amp;""),"—"))</f>
        <v/>
      </c>
      <c r="I359" s="25">
        <f>IF($C359="","",IFERROR(IF(INDEX(Roster!$G:$G,MATCH($C359,Roster!$B:$B,0))="","",INDEX(Roster!$G:$G,MATCH($C359,Roster!$B:$B,0))&amp;""),"—"))</f>
        <v/>
      </c>
      <c r="J359" s="25">
        <f>IF($C359="","",IFERROR(IF(INDEX(Roster!$I:$I,MATCH($C359,Roster!$B:$B,0))="","",INDEX(Roster!$I:$I,MATCH($C359,Roster!$B:$B,0))&amp;""),"—"))</f>
        <v/>
      </c>
      <c r="K359">
        <f>IF($C359="","",IFERROR(IF(INDEX(Roster!$J:$J,MATCH($C359,Roster!$B:$B,0))="","",INDEX(Roster!$J:$J,MATCH($C359,Roster!$B:$B,0))&amp;""),"—"))</f>
        <v/>
      </c>
      <c r="L359">
        <f>IF($C359="","",IFERROR(IF(INDEX(Roster!$K:$K,MATCH($C359,Roster!$B:$B,0))="","",INDEX(Roster!$K:$K,MATCH($C359,Roster!$B:$B,0))&amp;""),"—"))</f>
        <v/>
      </c>
      <c r="M359" s="27" t="n"/>
      <c r="N359" s="27" t="n"/>
      <c r="O359" s="25">
        <f>IF($C359="","",IF($P359="","—",IF($P359="Valid (Pass)","Valid","Invalid")))</f>
        <v/>
      </c>
      <c r="P359" s="27" t="n"/>
      <c r="Q359" s="27" t="n"/>
      <c r="R359" s="27" t="n"/>
      <c r="S359" s="27" t="n"/>
      <c r="T359" s="25">
        <f>IF($C359="","",IF(OR(ISNUMBER(SEARCH("quick case",$P359)),ISNUMBER(SEARCH("quick case",$Q359))),"Yes","No"))</f>
        <v/>
      </c>
      <c r="U359" s="25">
        <f>IF($O359="Invalid",HYPERLINK("mailto:"&amp;$G359&amp;";"&amp;$I359&amp;"?cc="&amp;Lists!$E$2&amp;"&amp;subject="&amp;_xlfn.ENCODEURL("[INVALID] Quality audit monitoring completed for "&amp;UPPER($C359))&amp;"&amp;body="&amp;_xlfn.ENCODEURL("Hi "&amp;$F359&amp;","&amp;CHAR(10)&amp;"Good day!"&amp;CHAR(10)&amp;CHAR(10)&amp;"A quality monitoring audit has been completed for "&amp;$C359&amp;"."&amp;CHAR(10)&amp;CHAR(10)&amp;"QUALITY AUDIT DETAILS"&amp;CHAR(10)&amp;"Agent Name: "&amp;$C359&amp;" (EID "&amp;$D359&amp;")"&amp;CHAR(10)&amp;"Audit Date: "&amp;TEXT($B359,"yyyy-mm-dd")&amp;CHAR(10)&amp;"Team Leader: "&amp;$F359&amp;CHAR(10)&amp;"Case Number: "&amp;$M359&amp;CHAR(10)&amp;"Transaction ID: "&amp;$N359&amp;CHAR(10)&amp;"Channel / LOB: "&amp;$K359&amp;" / "&amp;$L359&amp;CHAR(10)&amp;"Evaluator: "&amp;$S359&amp;CHAR(10)&amp;CHAR(10)&amp;"INVALID QUALITY AUDIT DETAILS"&amp;CHAR(10)&amp;"Validation: Invalid"&amp;CHAR(10)&amp;"Invalid Reason: "&amp;$P359&amp;CHAR(10)&amp;"Expected Resolution Code: "&amp;$Q359&amp;CHAR(10)&amp;"Remarks: "&amp;LEFT($R359,600)&amp;CHAR(10)&amp;CHAR(10)&amp;"This is an automated notification from HP Mainstream EQMS."),"✉ Open Email Draft"),"")</f>
        <v/>
      </c>
    </row>
    <row r="360">
      <c r="A360" s="25">
        <f>IF($C360="","","AUD-2026-"&amp;TEXT(ROW()-1,"000000"))</f>
        <v/>
      </c>
      <c r="B360" s="26" t="n"/>
      <c r="C360" s="27" t="n"/>
      <c r="D360" s="25">
        <f>IF($C360="","",IFERROR(IF(INDEX(Roster!$A:$A,MATCH($C360,Roster!$B:$B,0))="","",INDEX(Roster!$A:$A,MATCH($C360,Roster!$B:$B,0))&amp;""),"—"))</f>
        <v/>
      </c>
      <c r="E360" s="25">
        <f>IF($C360="","",IFERROR(IF(INDEX(Roster!$C:$C,MATCH($C360,Roster!$B:$B,0))="","",INDEX(Roster!$C:$C,MATCH($C360,Roster!$B:$B,0))&amp;""),"—"))</f>
        <v/>
      </c>
      <c r="F360" s="25">
        <f>IF($C360="","",IFERROR(IF(INDEX(Roster!$D:$D,MATCH($C360,Roster!$B:$B,0))="","",INDEX(Roster!$D:$D,MATCH($C360,Roster!$B:$B,0))&amp;""),"—"))</f>
        <v/>
      </c>
      <c r="G360" s="25">
        <f>IF($C360="","",IFERROR(IF(INDEX(Roster!$E:$E,MATCH($C360,Roster!$B:$B,0))="","",INDEX(Roster!$E:$E,MATCH($C360,Roster!$B:$B,0))&amp;""),"—"))</f>
        <v/>
      </c>
      <c r="H360" s="25">
        <f>IF($C360="","",IFERROR(IF(INDEX(Roster!$F:$F,MATCH($C360,Roster!$B:$B,0))="","",INDEX(Roster!$F:$F,MATCH($C360,Roster!$B:$B,0))&amp;""),"—"))</f>
        <v/>
      </c>
      <c r="I360" s="25">
        <f>IF($C360="","",IFERROR(IF(INDEX(Roster!$G:$G,MATCH($C360,Roster!$B:$B,0))="","",INDEX(Roster!$G:$G,MATCH($C360,Roster!$B:$B,0))&amp;""),"—"))</f>
        <v/>
      </c>
      <c r="J360" s="25">
        <f>IF($C360="","",IFERROR(IF(INDEX(Roster!$I:$I,MATCH($C360,Roster!$B:$B,0))="","",INDEX(Roster!$I:$I,MATCH($C360,Roster!$B:$B,0))&amp;""),"—"))</f>
        <v/>
      </c>
      <c r="K360">
        <f>IF($C360="","",IFERROR(IF(INDEX(Roster!$J:$J,MATCH($C360,Roster!$B:$B,0))="","",INDEX(Roster!$J:$J,MATCH($C360,Roster!$B:$B,0))&amp;""),"—"))</f>
        <v/>
      </c>
      <c r="L360">
        <f>IF($C360="","",IFERROR(IF(INDEX(Roster!$K:$K,MATCH($C360,Roster!$B:$B,0))="","",INDEX(Roster!$K:$K,MATCH($C360,Roster!$B:$B,0))&amp;""),"—"))</f>
        <v/>
      </c>
      <c r="M360" s="27" t="n"/>
      <c r="N360" s="27" t="n"/>
      <c r="O360" s="25">
        <f>IF($C360="","",IF($P360="","—",IF($P360="Valid (Pass)","Valid","Invalid")))</f>
        <v/>
      </c>
      <c r="P360" s="27" t="n"/>
      <c r="Q360" s="27" t="n"/>
      <c r="R360" s="27" t="n"/>
      <c r="S360" s="27" t="n"/>
      <c r="T360" s="25">
        <f>IF($C360="","",IF(OR(ISNUMBER(SEARCH("quick case",$P360)),ISNUMBER(SEARCH("quick case",$Q360))),"Yes","No"))</f>
        <v/>
      </c>
      <c r="U360" s="25">
        <f>IF($O360="Invalid",HYPERLINK("mailto:"&amp;$G360&amp;";"&amp;$I360&amp;"?cc="&amp;Lists!$E$2&amp;"&amp;subject="&amp;_xlfn.ENCODEURL("[INVALID] Quality audit monitoring completed for "&amp;UPPER($C360))&amp;"&amp;body="&amp;_xlfn.ENCODEURL("Hi "&amp;$F360&amp;","&amp;CHAR(10)&amp;"Good day!"&amp;CHAR(10)&amp;CHAR(10)&amp;"A quality monitoring audit has been completed for "&amp;$C360&amp;"."&amp;CHAR(10)&amp;CHAR(10)&amp;"QUALITY AUDIT DETAILS"&amp;CHAR(10)&amp;"Agent Name: "&amp;$C360&amp;" (EID "&amp;$D360&amp;")"&amp;CHAR(10)&amp;"Audit Date: "&amp;TEXT($B360,"yyyy-mm-dd")&amp;CHAR(10)&amp;"Team Leader: "&amp;$F360&amp;CHAR(10)&amp;"Case Number: "&amp;$M360&amp;CHAR(10)&amp;"Transaction ID: "&amp;$N360&amp;CHAR(10)&amp;"Channel / LOB: "&amp;$K360&amp;" / "&amp;$L360&amp;CHAR(10)&amp;"Evaluator: "&amp;$S360&amp;CHAR(10)&amp;CHAR(10)&amp;"INVALID QUALITY AUDIT DETAILS"&amp;CHAR(10)&amp;"Validation: Invalid"&amp;CHAR(10)&amp;"Invalid Reason: "&amp;$P360&amp;CHAR(10)&amp;"Expected Resolution Code: "&amp;$Q360&amp;CHAR(10)&amp;"Remarks: "&amp;LEFT($R360,600)&amp;CHAR(10)&amp;CHAR(10)&amp;"This is an automated notification from HP Mainstream EQMS."),"✉ Open Email Draft"),"")</f>
        <v/>
      </c>
    </row>
    <row r="361">
      <c r="A361" s="25">
        <f>IF($C361="","","AUD-2026-"&amp;TEXT(ROW()-1,"000000"))</f>
        <v/>
      </c>
      <c r="B361" s="26" t="n"/>
      <c r="C361" s="27" t="n"/>
      <c r="D361" s="25">
        <f>IF($C361="","",IFERROR(IF(INDEX(Roster!$A:$A,MATCH($C361,Roster!$B:$B,0))="","",INDEX(Roster!$A:$A,MATCH($C361,Roster!$B:$B,0))&amp;""),"—"))</f>
        <v/>
      </c>
      <c r="E361" s="25">
        <f>IF($C361="","",IFERROR(IF(INDEX(Roster!$C:$C,MATCH($C361,Roster!$B:$B,0))="","",INDEX(Roster!$C:$C,MATCH($C361,Roster!$B:$B,0))&amp;""),"—"))</f>
        <v/>
      </c>
      <c r="F361" s="25">
        <f>IF($C361="","",IFERROR(IF(INDEX(Roster!$D:$D,MATCH($C361,Roster!$B:$B,0))="","",INDEX(Roster!$D:$D,MATCH($C361,Roster!$B:$B,0))&amp;""),"—"))</f>
        <v/>
      </c>
      <c r="G361" s="25">
        <f>IF($C361="","",IFERROR(IF(INDEX(Roster!$E:$E,MATCH($C361,Roster!$B:$B,0))="","",INDEX(Roster!$E:$E,MATCH($C361,Roster!$B:$B,0))&amp;""),"—"))</f>
        <v/>
      </c>
      <c r="H361" s="25">
        <f>IF($C361="","",IFERROR(IF(INDEX(Roster!$F:$F,MATCH($C361,Roster!$B:$B,0))="","",INDEX(Roster!$F:$F,MATCH($C361,Roster!$B:$B,0))&amp;""),"—"))</f>
        <v/>
      </c>
      <c r="I361" s="25">
        <f>IF($C361="","",IFERROR(IF(INDEX(Roster!$G:$G,MATCH($C361,Roster!$B:$B,0))="","",INDEX(Roster!$G:$G,MATCH($C361,Roster!$B:$B,0))&amp;""),"—"))</f>
        <v/>
      </c>
      <c r="J361" s="25">
        <f>IF($C361="","",IFERROR(IF(INDEX(Roster!$I:$I,MATCH($C361,Roster!$B:$B,0))="","",INDEX(Roster!$I:$I,MATCH($C361,Roster!$B:$B,0))&amp;""),"—"))</f>
        <v/>
      </c>
      <c r="K361">
        <f>IF($C361="","",IFERROR(IF(INDEX(Roster!$J:$J,MATCH($C361,Roster!$B:$B,0))="","",INDEX(Roster!$J:$J,MATCH($C361,Roster!$B:$B,0))&amp;""),"—"))</f>
        <v/>
      </c>
      <c r="L361">
        <f>IF($C361="","",IFERROR(IF(INDEX(Roster!$K:$K,MATCH($C361,Roster!$B:$B,0))="","",INDEX(Roster!$K:$K,MATCH($C361,Roster!$B:$B,0))&amp;""),"—"))</f>
        <v/>
      </c>
      <c r="M361" s="27" t="n"/>
      <c r="N361" s="27" t="n"/>
      <c r="O361" s="25">
        <f>IF($C361="","",IF($P361="","—",IF($P361="Valid (Pass)","Valid","Invalid")))</f>
        <v/>
      </c>
      <c r="P361" s="27" t="n"/>
      <c r="Q361" s="27" t="n"/>
      <c r="R361" s="27" t="n"/>
      <c r="S361" s="27" t="n"/>
      <c r="T361" s="25">
        <f>IF($C361="","",IF(OR(ISNUMBER(SEARCH("quick case",$P361)),ISNUMBER(SEARCH("quick case",$Q361))),"Yes","No"))</f>
        <v/>
      </c>
      <c r="U361" s="25">
        <f>IF($O361="Invalid",HYPERLINK("mailto:"&amp;$G361&amp;";"&amp;$I361&amp;"?cc="&amp;Lists!$E$2&amp;"&amp;subject="&amp;_xlfn.ENCODEURL("[INVALID] Quality audit monitoring completed for "&amp;UPPER($C361))&amp;"&amp;body="&amp;_xlfn.ENCODEURL("Hi "&amp;$F361&amp;","&amp;CHAR(10)&amp;"Good day!"&amp;CHAR(10)&amp;CHAR(10)&amp;"A quality monitoring audit has been completed for "&amp;$C361&amp;"."&amp;CHAR(10)&amp;CHAR(10)&amp;"QUALITY AUDIT DETAILS"&amp;CHAR(10)&amp;"Agent Name: "&amp;$C361&amp;" (EID "&amp;$D361&amp;")"&amp;CHAR(10)&amp;"Audit Date: "&amp;TEXT($B361,"yyyy-mm-dd")&amp;CHAR(10)&amp;"Team Leader: "&amp;$F361&amp;CHAR(10)&amp;"Case Number: "&amp;$M361&amp;CHAR(10)&amp;"Transaction ID: "&amp;$N361&amp;CHAR(10)&amp;"Channel / LOB: "&amp;$K361&amp;" / "&amp;$L361&amp;CHAR(10)&amp;"Evaluator: "&amp;$S361&amp;CHAR(10)&amp;CHAR(10)&amp;"INVALID QUALITY AUDIT DETAILS"&amp;CHAR(10)&amp;"Validation: Invalid"&amp;CHAR(10)&amp;"Invalid Reason: "&amp;$P361&amp;CHAR(10)&amp;"Expected Resolution Code: "&amp;$Q361&amp;CHAR(10)&amp;"Remarks: "&amp;LEFT($R361,600)&amp;CHAR(10)&amp;CHAR(10)&amp;"This is an automated notification from HP Mainstream EQMS."),"✉ Open Email Draft"),"")</f>
        <v/>
      </c>
    </row>
    <row r="362">
      <c r="A362" s="25">
        <f>IF($C362="","","AUD-2026-"&amp;TEXT(ROW()-1,"000000"))</f>
        <v/>
      </c>
      <c r="B362" s="26" t="n"/>
      <c r="C362" s="27" t="n"/>
      <c r="D362" s="25">
        <f>IF($C362="","",IFERROR(IF(INDEX(Roster!$A:$A,MATCH($C362,Roster!$B:$B,0))="","",INDEX(Roster!$A:$A,MATCH($C362,Roster!$B:$B,0))&amp;""),"—"))</f>
        <v/>
      </c>
      <c r="E362" s="25">
        <f>IF($C362="","",IFERROR(IF(INDEX(Roster!$C:$C,MATCH($C362,Roster!$B:$B,0))="","",INDEX(Roster!$C:$C,MATCH($C362,Roster!$B:$B,0))&amp;""),"—"))</f>
        <v/>
      </c>
      <c r="F362" s="25">
        <f>IF($C362="","",IFERROR(IF(INDEX(Roster!$D:$D,MATCH($C362,Roster!$B:$B,0))="","",INDEX(Roster!$D:$D,MATCH($C362,Roster!$B:$B,0))&amp;""),"—"))</f>
        <v/>
      </c>
      <c r="G362" s="25">
        <f>IF($C362="","",IFERROR(IF(INDEX(Roster!$E:$E,MATCH($C362,Roster!$B:$B,0))="","",INDEX(Roster!$E:$E,MATCH($C362,Roster!$B:$B,0))&amp;""),"—"))</f>
        <v/>
      </c>
      <c r="H362" s="25">
        <f>IF($C362="","",IFERROR(IF(INDEX(Roster!$F:$F,MATCH($C362,Roster!$B:$B,0))="","",INDEX(Roster!$F:$F,MATCH($C362,Roster!$B:$B,0))&amp;""),"—"))</f>
        <v/>
      </c>
      <c r="I362" s="25">
        <f>IF($C362="","",IFERROR(IF(INDEX(Roster!$G:$G,MATCH($C362,Roster!$B:$B,0))="","",INDEX(Roster!$G:$G,MATCH($C362,Roster!$B:$B,0))&amp;""),"—"))</f>
        <v/>
      </c>
      <c r="J362" s="25">
        <f>IF($C362="","",IFERROR(IF(INDEX(Roster!$I:$I,MATCH($C362,Roster!$B:$B,0))="","",INDEX(Roster!$I:$I,MATCH($C362,Roster!$B:$B,0))&amp;""),"—"))</f>
        <v/>
      </c>
      <c r="K362">
        <f>IF($C362="","",IFERROR(IF(INDEX(Roster!$J:$J,MATCH($C362,Roster!$B:$B,0))="","",INDEX(Roster!$J:$J,MATCH($C362,Roster!$B:$B,0))&amp;""),"—"))</f>
        <v/>
      </c>
      <c r="L362">
        <f>IF($C362="","",IFERROR(IF(INDEX(Roster!$K:$K,MATCH($C362,Roster!$B:$B,0))="","",INDEX(Roster!$K:$K,MATCH($C362,Roster!$B:$B,0))&amp;""),"—"))</f>
        <v/>
      </c>
      <c r="M362" s="27" t="n"/>
      <c r="N362" s="27" t="n"/>
      <c r="O362" s="25">
        <f>IF($C362="","",IF($P362="","—",IF($P362="Valid (Pass)","Valid","Invalid")))</f>
        <v/>
      </c>
      <c r="P362" s="27" t="n"/>
      <c r="Q362" s="27" t="n"/>
      <c r="R362" s="27" t="n"/>
      <c r="S362" s="27" t="n"/>
      <c r="T362" s="25">
        <f>IF($C362="","",IF(OR(ISNUMBER(SEARCH("quick case",$P362)),ISNUMBER(SEARCH("quick case",$Q362))),"Yes","No"))</f>
        <v/>
      </c>
      <c r="U362" s="25">
        <f>IF($O362="Invalid",HYPERLINK("mailto:"&amp;$G362&amp;";"&amp;$I362&amp;"?cc="&amp;Lists!$E$2&amp;"&amp;subject="&amp;_xlfn.ENCODEURL("[INVALID] Quality audit monitoring completed for "&amp;UPPER($C362))&amp;"&amp;body="&amp;_xlfn.ENCODEURL("Hi "&amp;$F362&amp;","&amp;CHAR(10)&amp;"Good day!"&amp;CHAR(10)&amp;CHAR(10)&amp;"A quality monitoring audit has been completed for "&amp;$C362&amp;"."&amp;CHAR(10)&amp;CHAR(10)&amp;"QUALITY AUDIT DETAILS"&amp;CHAR(10)&amp;"Agent Name: "&amp;$C362&amp;" (EID "&amp;$D362&amp;")"&amp;CHAR(10)&amp;"Audit Date: "&amp;TEXT($B362,"yyyy-mm-dd")&amp;CHAR(10)&amp;"Team Leader: "&amp;$F362&amp;CHAR(10)&amp;"Case Number: "&amp;$M362&amp;CHAR(10)&amp;"Transaction ID: "&amp;$N362&amp;CHAR(10)&amp;"Channel / LOB: "&amp;$K362&amp;" / "&amp;$L362&amp;CHAR(10)&amp;"Evaluator: "&amp;$S362&amp;CHAR(10)&amp;CHAR(10)&amp;"INVALID QUALITY AUDIT DETAILS"&amp;CHAR(10)&amp;"Validation: Invalid"&amp;CHAR(10)&amp;"Invalid Reason: "&amp;$P362&amp;CHAR(10)&amp;"Expected Resolution Code: "&amp;$Q362&amp;CHAR(10)&amp;"Remarks: "&amp;LEFT($R362,600)&amp;CHAR(10)&amp;CHAR(10)&amp;"This is an automated notification from HP Mainstream EQMS."),"✉ Open Email Draft"),"")</f>
        <v/>
      </c>
    </row>
    <row r="363">
      <c r="A363" s="25">
        <f>IF($C363="","","AUD-2026-"&amp;TEXT(ROW()-1,"000000"))</f>
        <v/>
      </c>
      <c r="B363" s="26" t="n"/>
      <c r="C363" s="27" t="n"/>
      <c r="D363" s="25">
        <f>IF($C363="","",IFERROR(IF(INDEX(Roster!$A:$A,MATCH($C363,Roster!$B:$B,0))="","",INDEX(Roster!$A:$A,MATCH($C363,Roster!$B:$B,0))&amp;""),"—"))</f>
        <v/>
      </c>
      <c r="E363" s="25">
        <f>IF($C363="","",IFERROR(IF(INDEX(Roster!$C:$C,MATCH($C363,Roster!$B:$B,0))="","",INDEX(Roster!$C:$C,MATCH($C363,Roster!$B:$B,0))&amp;""),"—"))</f>
        <v/>
      </c>
      <c r="F363" s="25">
        <f>IF($C363="","",IFERROR(IF(INDEX(Roster!$D:$D,MATCH($C363,Roster!$B:$B,0))="","",INDEX(Roster!$D:$D,MATCH($C363,Roster!$B:$B,0))&amp;""),"—"))</f>
        <v/>
      </c>
      <c r="G363" s="25">
        <f>IF($C363="","",IFERROR(IF(INDEX(Roster!$E:$E,MATCH($C363,Roster!$B:$B,0))="","",INDEX(Roster!$E:$E,MATCH($C363,Roster!$B:$B,0))&amp;""),"—"))</f>
        <v/>
      </c>
      <c r="H363" s="25">
        <f>IF($C363="","",IFERROR(IF(INDEX(Roster!$F:$F,MATCH($C363,Roster!$B:$B,0))="","",INDEX(Roster!$F:$F,MATCH($C363,Roster!$B:$B,0))&amp;""),"—"))</f>
        <v/>
      </c>
      <c r="I363" s="25">
        <f>IF($C363="","",IFERROR(IF(INDEX(Roster!$G:$G,MATCH($C363,Roster!$B:$B,0))="","",INDEX(Roster!$G:$G,MATCH($C363,Roster!$B:$B,0))&amp;""),"—"))</f>
        <v/>
      </c>
      <c r="J363" s="25">
        <f>IF($C363="","",IFERROR(IF(INDEX(Roster!$I:$I,MATCH($C363,Roster!$B:$B,0))="","",INDEX(Roster!$I:$I,MATCH($C363,Roster!$B:$B,0))&amp;""),"—"))</f>
        <v/>
      </c>
      <c r="K363">
        <f>IF($C363="","",IFERROR(IF(INDEX(Roster!$J:$J,MATCH($C363,Roster!$B:$B,0))="","",INDEX(Roster!$J:$J,MATCH($C363,Roster!$B:$B,0))&amp;""),"—"))</f>
        <v/>
      </c>
      <c r="L363">
        <f>IF($C363="","",IFERROR(IF(INDEX(Roster!$K:$K,MATCH($C363,Roster!$B:$B,0))="","",INDEX(Roster!$K:$K,MATCH($C363,Roster!$B:$B,0))&amp;""),"—"))</f>
        <v/>
      </c>
      <c r="M363" s="27" t="n"/>
      <c r="N363" s="27" t="n"/>
      <c r="O363" s="25">
        <f>IF($C363="","",IF($P363="","—",IF($P363="Valid (Pass)","Valid","Invalid")))</f>
        <v/>
      </c>
      <c r="P363" s="27" t="n"/>
      <c r="Q363" s="27" t="n"/>
      <c r="R363" s="27" t="n"/>
      <c r="S363" s="27" t="n"/>
      <c r="T363" s="25">
        <f>IF($C363="","",IF(OR(ISNUMBER(SEARCH("quick case",$P363)),ISNUMBER(SEARCH("quick case",$Q363))),"Yes","No"))</f>
        <v/>
      </c>
      <c r="U363" s="25">
        <f>IF($O363="Invalid",HYPERLINK("mailto:"&amp;$G363&amp;";"&amp;$I363&amp;"?cc="&amp;Lists!$E$2&amp;"&amp;subject="&amp;_xlfn.ENCODEURL("[INVALID] Quality audit monitoring completed for "&amp;UPPER($C363))&amp;"&amp;body="&amp;_xlfn.ENCODEURL("Hi "&amp;$F363&amp;","&amp;CHAR(10)&amp;"Good day!"&amp;CHAR(10)&amp;CHAR(10)&amp;"A quality monitoring audit has been completed for "&amp;$C363&amp;"."&amp;CHAR(10)&amp;CHAR(10)&amp;"QUALITY AUDIT DETAILS"&amp;CHAR(10)&amp;"Agent Name: "&amp;$C363&amp;" (EID "&amp;$D363&amp;")"&amp;CHAR(10)&amp;"Audit Date: "&amp;TEXT($B363,"yyyy-mm-dd")&amp;CHAR(10)&amp;"Team Leader: "&amp;$F363&amp;CHAR(10)&amp;"Case Number: "&amp;$M363&amp;CHAR(10)&amp;"Transaction ID: "&amp;$N363&amp;CHAR(10)&amp;"Channel / LOB: "&amp;$K363&amp;" / "&amp;$L363&amp;CHAR(10)&amp;"Evaluator: "&amp;$S363&amp;CHAR(10)&amp;CHAR(10)&amp;"INVALID QUALITY AUDIT DETAILS"&amp;CHAR(10)&amp;"Validation: Invalid"&amp;CHAR(10)&amp;"Invalid Reason: "&amp;$P363&amp;CHAR(10)&amp;"Expected Resolution Code: "&amp;$Q363&amp;CHAR(10)&amp;"Remarks: "&amp;LEFT($R363,600)&amp;CHAR(10)&amp;CHAR(10)&amp;"This is an automated notification from HP Mainstream EQMS."),"✉ Open Email Draft"),"")</f>
        <v/>
      </c>
    </row>
    <row r="364">
      <c r="A364" s="25">
        <f>IF($C364="","","AUD-2026-"&amp;TEXT(ROW()-1,"000000"))</f>
        <v/>
      </c>
      <c r="B364" s="26" t="n"/>
      <c r="C364" s="27" t="n"/>
      <c r="D364" s="25">
        <f>IF($C364="","",IFERROR(IF(INDEX(Roster!$A:$A,MATCH($C364,Roster!$B:$B,0))="","",INDEX(Roster!$A:$A,MATCH($C364,Roster!$B:$B,0))&amp;""),"—"))</f>
        <v/>
      </c>
      <c r="E364" s="25">
        <f>IF($C364="","",IFERROR(IF(INDEX(Roster!$C:$C,MATCH($C364,Roster!$B:$B,0))="","",INDEX(Roster!$C:$C,MATCH($C364,Roster!$B:$B,0))&amp;""),"—"))</f>
        <v/>
      </c>
      <c r="F364" s="25">
        <f>IF($C364="","",IFERROR(IF(INDEX(Roster!$D:$D,MATCH($C364,Roster!$B:$B,0))="","",INDEX(Roster!$D:$D,MATCH($C364,Roster!$B:$B,0))&amp;""),"—"))</f>
        <v/>
      </c>
      <c r="G364" s="25">
        <f>IF($C364="","",IFERROR(IF(INDEX(Roster!$E:$E,MATCH($C364,Roster!$B:$B,0))="","",INDEX(Roster!$E:$E,MATCH($C364,Roster!$B:$B,0))&amp;""),"—"))</f>
        <v/>
      </c>
      <c r="H364" s="25">
        <f>IF($C364="","",IFERROR(IF(INDEX(Roster!$F:$F,MATCH($C364,Roster!$B:$B,0))="","",INDEX(Roster!$F:$F,MATCH($C364,Roster!$B:$B,0))&amp;""),"—"))</f>
        <v/>
      </c>
      <c r="I364" s="25">
        <f>IF($C364="","",IFERROR(IF(INDEX(Roster!$G:$G,MATCH($C364,Roster!$B:$B,0))="","",INDEX(Roster!$G:$G,MATCH($C364,Roster!$B:$B,0))&amp;""),"—"))</f>
        <v/>
      </c>
      <c r="J364" s="25">
        <f>IF($C364="","",IFERROR(IF(INDEX(Roster!$I:$I,MATCH($C364,Roster!$B:$B,0))="","",INDEX(Roster!$I:$I,MATCH($C364,Roster!$B:$B,0))&amp;""),"—"))</f>
        <v/>
      </c>
      <c r="K364">
        <f>IF($C364="","",IFERROR(IF(INDEX(Roster!$J:$J,MATCH($C364,Roster!$B:$B,0))="","",INDEX(Roster!$J:$J,MATCH($C364,Roster!$B:$B,0))&amp;""),"—"))</f>
        <v/>
      </c>
      <c r="L364">
        <f>IF($C364="","",IFERROR(IF(INDEX(Roster!$K:$K,MATCH($C364,Roster!$B:$B,0))="","",INDEX(Roster!$K:$K,MATCH($C364,Roster!$B:$B,0))&amp;""),"—"))</f>
        <v/>
      </c>
      <c r="M364" s="27" t="n"/>
      <c r="N364" s="27" t="n"/>
      <c r="O364" s="25">
        <f>IF($C364="","",IF($P364="","—",IF($P364="Valid (Pass)","Valid","Invalid")))</f>
        <v/>
      </c>
      <c r="P364" s="27" t="n"/>
      <c r="Q364" s="27" t="n"/>
      <c r="R364" s="27" t="n"/>
      <c r="S364" s="27" t="n"/>
      <c r="T364" s="25">
        <f>IF($C364="","",IF(OR(ISNUMBER(SEARCH("quick case",$P364)),ISNUMBER(SEARCH("quick case",$Q364))),"Yes","No"))</f>
        <v/>
      </c>
      <c r="U364" s="25">
        <f>IF($O364="Invalid",HYPERLINK("mailto:"&amp;$G364&amp;";"&amp;$I364&amp;"?cc="&amp;Lists!$E$2&amp;"&amp;subject="&amp;_xlfn.ENCODEURL("[INVALID] Quality audit monitoring completed for "&amp;UPPER($C364))&amp;"&amp;body="&amp;_xlfn.ENCODEURL("Hi "&amp;$F364&amp;","&amp;CHAR(10)&amp;"Good day!"&amp;CHAR(10)&amp;CHAR(10)&amp;"A quality monitoring audit has been completed for "&amp;$C364&amp;"."&amp;CHAR(10)&amp;CHAR(10)&amp;"QUALITY AUDIT DETAILS"&amp;CHAR(10)&amp;"Agent Name: "&amp;$C364&amp;" (EID "&amp;$D364&amp;")"&amp;CHAR(10)&amp;"Audit Date: "&amp;TEXT($B364,"yyyy-mm-dd")&amp;CHAR(10)&amp;"Team Leader: "&amp;$F364&amp;CHAR(10)&amp;"Case Number: "&amp;$M364&amp;CHAR(10)&amp;"Transaction ID: "&amp;$N364&amp;CHAR(10)&amp;"Channel / LOB: "&amp;$K364&amp;" / "&amp;$L364&amp;CHAR(10)&amp;"Evaluator: "&amp;$S364&amp;CHAR(10)&amp;CHAR(10)&amp;"INVALID QUALITY AUDIT DETAILS"&amp;CHAR(10)&amp;"Validation: Invalid"&amp;CHAR(10)&amp;"Invalid Reason: "&amp;$P364&amp;CHAR(10)&amp;"Expected Resolution Code: "&amp;$Q364&amp;CHAR(10)&amp;"Remarks: "&amp;LEFT($R364,600)&amp;CHAR(10)&amp;CHAR(10)&amp;"This is an automated notification from HP Mainstream EQMS."),"✉ Open Email Draft"),"")</f>
        <v/>
      </c>
    </row>
    <row r="365">
      <c r="A365" s="25">
        <f>IF($C365="","","AUD-2026-"&amp;TEXT(ROW()-1,"000000"))</f>
        <v/>
      </c>
      <c r="B365" s="26" t="n"/>
      <c r="C365" s="27" t="n"/>
      <c r="D365" s="25">
        <f>IF($C365="","",IFERROR(IF(INDEX(Roster!$A:$A,MATCH($C365,Roster!$B:$B,0))="","",INDEX(Roster!$A:$A,MATCH($C365,Roster!$B:$B,0))&amp;""),"—"))</f>
        <v/>
      </c>
      <c r="E365" s="25">
        <f>IF($C365="","",IFERROR(IF(INDEX(Roster!$C:$C,MATCH($C365,Roster!$B:$B,0))="","",INDEX(Roster!$C:$C,MATCH($C365,Roster!$B:$B,0))&amp;""),"—"))</f>
        <v/>
      </c>
      <c r="F365" s="25">
        <f>IF($C365="","",IFERROR(IF(INDEX(Roster!$D:$D,MATCH($C365,Roster!$B:$B,0))="","",INDEX(Roster!$D:$D,MATCH($C365,Roster!$B:$B,0))&amp;""),"—"))</f>
        <v/>
      </c>
      <c r="G365" s="25">
        <f>IF($C365="","",IFERROR(IF(INDEX(Roster!$E:$E,MATCH($C365,Roster!$B:$B,0))="","",INDEX(Roster!$E:$E,MATCH($C365,Roster!$B:$B,0))&amp;""),"—"))</f>
        <v/>
      </c>
      <c r="H365" s="25">
        <f>IF($C365="","",IFERROR(IF(INDEX(Roster!$F:$F,MATCH($C365,Roster!$B:$B,0))="","",INDEX(Roster!$F:$F,MATCH($C365,Roster!$B:$B,0))&amp;""),"—"))</f>
        <v/>
      </c>
      <c r="I365" s="25">
        <f>IF($C365="","",IFERROR(IF(INDEX(Roster!$G:$G,MATCH($C365,Roster!$B:$B,0))="","",INDEX(Roster!$G:$G,MATCH($C365,Roster!$B:$B,0))&amp;""),"—"))</f>
        <v/>
      </c>
      <c r="J365" s="25">
        <f>IF($C365="","",IFERROR(IF(INDEX(Roster!$I:$I,MATCH($C365,Roster!$B:$B,0))="","",INDEX(Roster!$I:$I,MATCH($C365,Roster!$B:$B,0))&amp;""),"—"))</f>
        <v/>
      </c>
      <c r="K365">
        <f>IF($C365="","",IFERROR(IF(INDEX(Roster!$J:$J,MATCH($C365,Roster!$B:$B,0))="","",INDEX(Roster!$J:$J,MATCH($C365,Roster!$B:$B,0))&amp;""),"—"))</f>
        <v/>
      </c>
      <c r="L365">
        <f>IF($C365="","",IFERROR(IF(INDEX(Roster!$K:$K,MATCH($C365,Roster!$B:$B,0))="","",INDEX(Roster!$K:$K,MATCH($C365,Roster!$B:$B,0))&amp;""),"—"))</f>
        <v/>
      </c>
      <c r="M365" s="27" t="n"/>
      <c r="N365" s="27" t="n"/>
      <c r="O365" s="25">
        <f>IF($C365="","",IF($P365="","—",IF($P365="Valid (Pass)","Valid","Invalid")))</f>
        <v/>
      </c>
      <c r="P365" s="27" t="n"/>
      <c r="Q365" s="27" t="n"/>
      <c r="R365" s="27" t="n"/>
      <c r="S365" s="27" t="n"/>
      <c r="T365" s="25">
        <f>IF($C365="","",IF(OR(ISNUMBER(SEARCH("quick case",$P365)),ISNUMBER(SEARCH("quick case",$Q365))),"Yes","No"))</f>
        <v/>
      </c>
      <c r="U365" s="25">
        <f>IF($O365="Invalid",HYPERLINK("mailto:"&amp;$G365&amp;";"&amp;$I365&amp;"?cc="&amp;Lists!$E$2&amp;"&amp;subject="&amp;_xlfn.ENCODEURL("[INVALID] Quality audit monitoring completed for "&amp;UPPER($C365))&amp;"&amp;body="&amp;_xlfn.ENCODEURL("Hi "&amp;$F365&amp;","&amp;CHAR(10)&amp;"Good day!"&amp;CHAR(10)&amp;CHAR(10)&amp;"A quality monitoring audit has been completed for "&amp;$C365&amp;"."&amp;CHAR(10)&amp;CHAR(10)&amp;"QUALITY AUDIT DETAILS"&amp;CHAR(10)&amp;"Agent Name: "&amp;$C365&amp;" (EID "&amp;$D365&amp;")"&amp;CHAR(10)&amp;"Audit Date: "&amp;TEXT($B365,"yyyy-mm-dd")&amp;CHAR(10)&amp;"Team Leader: "&amp;$F365&amp;CHAR(10)&amp;"Case Number: "&amp;$M365&amp;CHAR(10)&amp;"Transaction ID: "&amp;$N365&amp;CHAR(10)&amp;"Channel / LOB: "&amp;$K365&amp;" / "&amp;$L365&amp;CHAR(10)&amp;"Evaluator: "&amp;$S365&amp;CHAR(10)&amp;CHAR(10)&amp;"INVALID QUALITY AUDIT DETAILS"&amp;CHAR(10)&amp;"Validation: Invalid"&amp;CHAR(10)&amp;"Invalid Reason: "&amp;$P365&amp;CHAR(10)&amp;"Expected Resolution Code: "&amp;$Q365&amp;CHAR(10)&amp;"Remarks: "&amp;LEFT($R365,600)&amp;CHAR(10)&amp;CHAR(10)&amp;"This is an automated notification from HP Mainstream EQMS."),"✉ Open Email Draft"),"")</f>
        <v/>
      </c>
    </row>
    <row r="366">
      <c r="A366" s="25">
        <f>IF($C366="","","AUD-2026-"&amp;TEXT(ROW()-1,"000000"))</f>
        <v/>
      </c>
      <c r="B366" s="26" t="n"/>
      <c r="C366" s="27" t="n"/>
      <c r="D366" s="25">
        <f>IF($C366="","",IFERROR(IF(INDEX(Roster!$A:$A,MATCH($C366,Roster!$B:$B,0))="","",INDEX(Roster!$A:$A,MATCH($C366,Roster!$B:$B,0))&amp;""),"—"))</f>
        <v/>
      </c>
      <c r="E366" s="25">
        <f>IF($C366="","",IFERROR(IF(INDEX(Roster!$C:$C,MATCH($C366,Roster!$B:$B,0))="","",INDEX(Roster!$C:$C,MATCH($C366,Roster!$B:$B,0))&amp;""),"—"))</f>
        <v/>
      </c>
      <c r="F366" s="25">
        <f>IF($C366="","",IFERROR(IF(INDEX(Roster!$D:$D,MATCH($C366,Roster!$B:$B,0))="","",INDEX(Roster!$D:$D,MATCH($C366,Roster!$B:$B,0))&amp;""),"—"))</f>
        <v/>
      </c>
      <c r="G366" s="25">
        <f>IF($C366="","",IFERROR(IF(INDEX(Roster!$E:$E,MATCH($C366,Roster!$B:$B,0))="","",INDEX(Roster!$E:$E,MATCH($C366,Roster!$B:$B,0))&amp;""),"—"))</f>
        <v/>
      </c>
      <c r="H366" s="25">
        <f>IF($C366="","",IFERROR(IF(INDEX(Roster!$F:$F,MATCH($C366,Roster!$B:$B,0))="","",INDEX(Roster!$F:$F,MATCH($C366,Roster!$B:$B,0))&amp;""),"—"))</f>
        <v/>
      </c>
      <c r="I366" s="25">
        <f>IF($C366="","",IFERROR(IF(INDEX(Roster!$G:$G,MATCH($C366,Roster!$B:$B,0))="","",INDEX(Roster!$G:$G,MATCH($C366,Roster!$B:$B,0))&amp;""),"—"))</f>
        <v/>
      </c>
      <c r="J366" s="25">
        <f>IF($C366="","",IFERROR(IF(INDEX(Roster!$I:$I,MATCH($C366,Roster!$B:$B,0))="","",INDEX(Roster!$I:$I,MATCH($C366,Roster!$B:$B,0))&amp;""),"—"))</f>
        <v/>
      </c>
      <c r="K366">
        <f>IF($C366="","",IFERROR(IF(INDEX(Roster!$J:$J,MATCH($C366,Roster!$B:$B,0))="","",INDEX(Roster!$J:$J,MATCH($C366,Roster!$B:$B,0))&amp;""),"—"))</f>
        <v/>
      </c>
      <c r="L366">
        <f>IF($C366="","",IFERROR(IF(INDEX(Roster!$K:$K,MATCH($C366,Roster!$B:$B,0))="","",INDEX(Roster!$K:$K,MATCH($C366,Roster!$B:$B,0))&amp;""),"—"))</f>
        <v/>
      </c>
      <c r="M366" s="27" t="n"/>
      <c r="N366" s="27" t="n"/>
      <c r="O366" s="25">
        <f>IF($C366="","",IF($P366="","—",IF($P366="Valid (Pass)","Valid","Invalid")))</f>
        <v/>
      </c>
      <c r="P366" s="27" t="n"/>
      <c r="Q366" s="27" t="n"/>
      <c r="R366" s="27" t="n"/>
      <c r="S366" s="27" t="n"/>
      <c r="T366" s="25">
        <f>IF($C366="","",IF(OR(ISNUMBER(SEARCH("quick case",$P366)),ISNUMBER(SEARCH("quick case",$Q366))),"Yes","No"))</f>
        <v/>
      </c>
      <c r="U366" s="25">
        <f>IF($O366="Invalid",HYPERLINK("mailto:"&amp;$G366&amp;";"&amp;$I366&amp;"?cc="&amp;Lists!$E$2&amp;"&amp;subject="&amp;_xlfn.ENCODEURL("[INVALID] Quality audit monitoring completed for "&amp;UPPER($C366))&amp;"&amp;body="&amp;_xlfn.ENCODEURL("Hi "&amp;$F366&amp;","&amp;CHAR(10)&amp;"Good day!"&amp;CHAR(10)&amp;CHAR(10)&amp;"A quality monitoring audit has been completed for "&amp;$C366&amp;"."&amp;CHAR(10)&amp;CHAR(10)&amp;"QUALITY AUDIT DETAILS"&amp;CHAR(10)&amp;"Agent Name: "&amp;$C366&amp;" (EID "&amp;$D366&amp;")"&amp;CHAR(10)&amp;"Audit Date: "&amp;TEXT($B366,"yyyy-mm-dd")&amp;CHAR(10)&amp;"Team Leader: "&amp;$F366&amp;CHAR(10)&amp;"Case Number: "&amp;$M366&amp;CHAR(10)&amp;"Transaction ID: "&amp;$N366&amp;CHAR(10)&amp;"Channel / LOB: "&amp;$K366&amp;" / "&amp;$L366&amp;CHAR(10)&amp;"Evaluator: "&amp;$S366&amp;CHAR(10)&amp;CHAR(10)&amp;"INVALID QUALITY AUDIT DETAILS"&amp;CHAR(10)&amp;"Validation: Invalid"&amp;CHAR(10)&amp;"Invalid Reason: "&amp;$P366&amp;CHAR(10)&amp;"Expected Resolution Code: "&amp;$Q366&amp;CHAR(10)&amp;"Remarks: "&amp;LEFT($R366,600)&amp;CHAR(10)&amp;CHAR(10)&amp;"This is an automated notification from HP Mainstream EQMS."),"✉ Open Email Draft"),"")</f>
        <v/>
      </c>
    </row>
    <row r="367">
      <c r="A367" s="25">
        <f>IF($C367="","","AUD-2026-"&amp;TEXT(ROW()-1,"000000"))</f>
        <v/>
      </c>
      <c r="B367" s="26" t="n"/>
      <c r="C367" s="27" t="n"/>
      <c r="D367" s="25">
        <f>IF($C367="","",IFERROR(IF(INDEX(Roster!$A:$A,MATCH($C367,Roster!$B:$B,0))="","",INDEX(Roster!$A:$A,MATCH($C367,Roster!$B:$B,0))&amp;""),"—"))</f>
        <v/>
      </c>
      <c r="E367" s="25">
        <f>IF($C367="","",IFERROR(IF(INDEX(Roster!$C:$C,MATCH($C367,Roster!$B:$B,0))="","",INDEX(Roster!$C:$C,MATCH($C367,Roster!$B:$B,0))&amp;""),"—"))</f>
        <v/>
      </c>
      <c r="F367" s="25">
        <f>IF($C367="","",IFERROR(IF(INDEX(Roster!$D:$D,MATCH($C367,Roster!$B:$B,0))="","",INDEX(Roster!$D:$D,MATCH($C367,Roster!$B:$B,0))&amp;""),"—"))</f>
        <v/>
      </c>
      <c r="G367" s="25">
        <f>IF($C367="","",IFERROR(IF(INDEX(Roster!$E:$E,MATCH($C367,Roster!$B:$B,0))="","",INDEX(Roster!$E:$E,MATCH($C367,Roster!$B:$B,0))&amp;""),"—"))</f>
        <v/>
      </c>
      <c r="H367" s="25">
        <f>IF($C367="","",IFERROR(IF(INDEX(Roster!$F:$F,MATCH($C367,Roster!$B:$B,0))="","",INDEX(Roster!$F:$F,MATCH($C367,Roster!$B:$B,0))&amp;""),"—"))</f>
        <v/>
      </c>
      <c r="I367" s="25">
        <f>IF($C367="","",IFERROR(IF(INDEX(Roster!$G:$G,MATCH($C367,Roster!$B:$B,0))="","",INDEX(Roster!$G:$G,MATCH($C367,Roster!$B:$B,0))&amp;""),"—"))</f>
        <v/>
      </c>
      <c r="J367" s="25">
        <f>IF($C367="","",IFERROR(IF(INDEX(Roster!$I:$I,MATCH($C367,Roster!$B:$B,0))="","",INDEX(Roster!$I:$I,MATCH($C367,Roster!$B:$B,0))&amp;""),"—"))</f>
        <v/>
      </c>
      <c r="K367">
        <f>IF($C367="","",IFERROR(IF(INDEX(Roster!$J:$J,MATCH($C367,Roster!$B:$B,0))="","",INDEX(Roster!$J:$J,MATCH($C367,Roster!$B:$B,0))&amp;""),"—"))</f>
        <v/>
      </c>
      <c r="L367">
        <f>IF($C367="","",IFERROR(IF(INDEX(Roster!$K:$K,MATCH($C367,Roster!$B:$B,0))="","",INDEX(Roster!$K:$K,MATCH($C367,Roster!$B:$B,0))&amp;""),"—"))</f>
        <v/>
      </c>
      <c r="M367" s="27" t="n"/>
      <c r="N367" s="27" t="n"/>
      <c r="O367" s="25">
        <f>IF($C367="","",IF($P367="","—",IF($P367="Valid (Pass)","Valid","Invalid")))</f>
        <v/>
      </c>
      <c r="P367" s="27" t="n"/>
      <c r="Q367" s="27" t="n"/>
      <c r="R367" s="27" t="n"/>
      <c r="S367" s="27" t="n"/>
      <c r="T367" s="25">
        <f>IF($C367="","",IF(OR(ISNUMBER(SEARCH("quick case",$P367)),ISNUMBER(SEARCH("quick case",$Q367))),"Yes","No"))</f>
        <v/>
      </c>
      <c r="U367" s="25">
        <f>IF($O367="Invalid",HYPERLINK("mailto:"&amp;$G367&amp;";"&amp;$I367&amp;"?cc="&amp;Lists!$E$2&amp;"&amp;subject="&amp;_xlfn.ENCODEURL("[INVALID] Quality audit monitoring completed for "&amp;UPPER($C367))&amp;"&amp;body="&amp;_xlfn.ENCODEURL("Hi "&amp;$F367&amp;","&amp;CHAR(10)&amp;"Good day!"&amp;CHAR(10)&amp;CHAR(10)&amp;"A quality monitoring audit has been completed for "&amp;$C367&amp;"."&amp;CHAR(10)&amp;CHAR(10)&amp;"QUALITY AUDIT DETAILS"&amp;CHAR(10)&amp;"Agent Name: "&amp;$C367&amp;" (EID "&amp;$D367&amp;")"&amp;CHAR(10)&amp;"Audit Date: "&amp;TEXT($B367,"yyyy-mm-dd")&amp;CHAR(10)&amp;"Team Leader: "&amp;$F367&amp;CHAR(10)&amp;"Case Number: "&amp;$M367&amp;CHAR(10)&amp;"Transaction ID: "&amp;$N367&amp;CHAR(10)&amp;"Channel / LOB: "&amp;$K367&amp;" / "&amp;$L367&amp;CHAR(10)&amp;"Evaluator: "&amp;$S367&amp;CHAR(10)&amp;CHAR(10)&amp;"INVALID QUALITY AUDIT DETAILS"&amp;CHAR(10)&amp;"Validation: Invalid"&amp;CHAR(10)&amp;"Invalid Reason: "&amp;$P367&amp;CHAR(10)&amp;"Expected Resolution Code: "&amp;$Q367&amp;CHAR(10)&amp;"Remarks: "&amp;LEFT($R367,600)&amp;CHAR(10)&amp;CHAR(10)&amp;"This is an automated notification from HP Mainstream EQMS."),"✉ Open Email Draft"),"")</f>
        <v/>
      </c>
    </row>
    <row r="368">
      <c r="A368" s="25">
        <f>IF($C368="","","AUD-2026-"&amp;TEXT(ROW()-1,"000000"))</f>
        <v/>
      </c>
      <c r="B368" s="26" t="n"/>
      <c r="C368" s="27" t="n"/>
      <c r="D368" s="25">
        <f>IF($C368="","",IFERROR(IF(INDEX(Roster!$A:$A,MATCH($C368,Roster!$B:$B,0))="","",INDEX(Roster!$A:$A,MATCH($C368,Roster!$B:$B,0))&amp;""),"—"))</f>
        <v/>
      </c>
      <c r="E368" s="25">
        <f>IF($C368="","",IFERROR(IF(INDEX(Roster!$C:$C,MATCH($C368,Roster!$B:$B,0))="","",INDEX(Roster!$C:$C,MATCH($C368,Roster!$B:$B,0))&amp;""),"—"))</f>
        <v/>
      </c>
      <c r="F368" s="25">
        <f>IF($C368="","",IFERROR(IF(INDEX(Roster!$D:$D,MATCH($C368,Roster!$B:$B,0))="","",INDEX(Roster!$D:$D,MATCH($C368,Roster!$B:$B,0))&amp;""),"—"))</f>
        <v/>
      </c>
      <c r="G368" s="25">
        <f>IF($C368="","",IFERROR(IF(INDEX(Roster!$E:$E,MATCH($C368,Roster!$B:$B,0))="","",INDEX(Roster!$E:$E,MATCH($C368,Roster!$B:$B,0))&amp;""),"—"))</f>
        <v/>
      </c>
      <c r="H368" s="25">
        <f>IF($C368="","",IFERROR(IF(INDEX(Roster!$F:$F,MATCH($C368,Roster!$B:$B,0))="","",INDEX(Roster!$F:$F,MATCH($C368,Roster!$B:$B,0))&amp;""),"—"))</f>
        <v/>
      </c>
      <c r="I368" s="25">
        <f>IF($C368="","",IFERROR(IF(INDEX(Roster!$G:$G,MATCH($C368,Roster!$B:$B,0))="","",INDEX(Roster!$G:$G,MATCH($C368,Roster!$B:$B,0))&amp;""),"—"))</f>
        <v/>
      </c>
      <c r="J368" s="25">
        <f>IF($C368="","",IFERROR(IF(INDEX(Roster!$I:$I,MATCH($C368,Roster!$B:$B,0))="","",INDEX(Roster!$I:$I,MATCH($C368,Roster!$B:$B,0))&amp;""),"—"))</f>
        <v/>
      </c>
      <c r="K368">
        <f>IF($C368="","",IFERROR(IF(INDEX(Roster!$J:$J,MATCH($C368,Roster!$B:$B,0))="","",INDEX(Roster!$J:$J,MATCH($C368,Roster!$B:$B,0))&amp;""),"—"))</f>
        <v/>
      </c>
      <c r="L368">
        <f>IF($C368="","",IFERROR(IF(INDEX(Roster!$K:$K,MATCH($C368,Roster!$B:$B,0))="","",INDEX(Roster!$K:$K,MATCH($C368,Roster!$B:$B,0))&amp;""),"—"))</f>
        <v/>
      </c>
      <c r="M368" s="27" t="n"/>
      <c r="N368" s="27" t="n"/>
      <c r="O368" s="25">
        <f>IF($C368="","",IF($P368="","—",IF($P368="Valid (Pass)","Valid","Invalid")))</f>
        <v/>
      </c>
      <c r="P368" s="27" t="n"/>
      <c r="Q368" s="27" t="n"/>
      <c r="R368" s="27" t="n"/>
      <c r="S368" s="27" t="n"/>
      <c r="T368" s="25">
        <f>IF($C368="","",IF(OR(ISNUMBER(SEARCH("quick case",$P368)),ISNUMBER(SEARCH("quick case",$Q368))),"Yes","No"))</f>
        <v/>
      </c>
      <c r="U368" s="25">
        <f>IF($O368="Invalid",HYPERLINK("mailto:"&amp;$G368&amp;";"&amp;$I368&amp;"?cc="&amp;Lists!$E$2&amp;"&amp;subject="&amp;_xlfn.ENCODEURL("[INVALID] Quality audit monitoring completed for "&amp;UPPER($C368))&amp;"&amp;body="&amp;_xlfn.ENCODEURL("Hi "&amp;$F368&amp;","&amp;CHAR(10)&amp;"Good day!"&amp;CHAR(10)&amp;CHAR(10)&amp;"A quality monitoring audit has been completed for "&amp;$C368&amp;"."&amp;CHAR(10)&amp;CHAR(10)&amp;"QUALITY AUDIT DETAILS"&amp;CHAR(10)&amp;"Agent Name: "&amp;$C368&amp;" (EID "&amp;$D368&amp;")"&amp;CHAR(10)&amp;"Audit Date: "&amp;TEXT($B368,"yyyy-mm-dd")&amp;CHAR(10)&amp;"Team Leader: "&amp;$F368&amp;CHAR(10)&amp;"Case Number: "&amp;$M368&amp;CHAR(10)&amp;"Transaction ID: "&amp;$N368&amp;CHAR(10)&amp;"Channel / LOB: "&amp;$K368&amp;" / "&amp;$L368&amp;CHAR(10)&amp;"Evaluator: "&amp;$S368&amp;CHAR(10)&amp;CHAR(10)&amp;"INVALID QUALITY AUDIT DETAILS"&amp;CHAR(10)&amp;"Validation: Invalid"&amp;CHAR(10)&amp;"Invalid Reason: "&amp;$P368&amp;CHAR(10)&amp;"Expected Resolution Code: "&amp;$Q368&amp;CHAR(10)&amp;"Remarks: "&amp;LEFT($R368,600)&amp;CHAR(10)&amp;CHAR(10)&amp;"This is an automated notification from HP Mainstream EQMS."),"✉ Open Email Draft"),"")</f>
        <v/>
      </c>
    </row>
    <row r="369">
      <c r="A369" s="25">
        <f>IF($C369="","","AUD-2026-"&amp;TEXT(ROW()-1,"000000"))</f>
        <v/>
      </c>
      <c r="B369" s="26" t="n"/>
      <c r="C369" s="27" t="n"/>
      <c r="D369" s="25">
        <f>IF($C369="","",IFERROR(IF(INDEX(Roster!$A:$A,MATCH($C369,Roster!$B:$B,0))="","",INDEX(Roster!$A:$A,MATCH($C369,Roster!$B:$B,0))&amp;""),"—"))</f>
        <v/>
      </c>
      <c r="E369" s="25">
        <f>IF($C369="","",IFERROR(IF(INDEX(Roster!$C:$C,MATCH($C369,Roster!$B:$B,0))="","",INDEX(Roster!$C:$C,MATCH($C369,Roster!$B:$B,0))&amp;""),"—"))</f>
        <v/>
      </c>
      <c r="F369" s="25">
        <f>IF($C369="","",IFERROR(IF(INDEX(Roster!$D:$D,MATCH($C369,Roster!$B:$B,0))="","",INDEX(Roster!$D:$D,MATCH($C369,Roster!$B:$B,0))&amp;""),"—"))</f>
        <v/>
      </c>
      <c r="G369" s="25">
        <f>IF($C369="","",IFERROR(IF(INDEX(Roster!$E:$E,MATCH($C369,Roster!$B:$B,0))="","",INDEX(Roster!$E:$E,MATCH($C369,Roster!$B:$B,0))&amp;""),"—"))</f>
        <v/>
      </c>
      <c r="H369" s="25">
        <f>IF($C369="","",IFERROR(IF(INDEX(Roster!$F:$F,MATCH($C369,Roster!$B:$B,0))="","",INDEX(Roster!$F:$F,MATCH($C369,Roster!$B:$B,0))&amp;""),"—"))</f>
        <v/>
      </c>
      <c r="I369" s="25">
        <f>IF($C369="","",IFERROR(IF(INDEX(Roster!$G:$G,MATCH($C369,Roster!$B:$B,0))="","",INDEX(Roster!$G:$G,MATCH($C369,Roster!$B:$B,0))&amp;""),"—"))</f>
        <v/>
      </c>
      <c r="J369" s="25">
        <f>IF($C369="","",IFERROR(IF(INDEX(Roster!$I:$I,MATCH($C369,Roster!$B:$B,0))="","",INDEX(Roster!$I:$I,MATCH($C369,Roster!$B:$B,0))&amp;""),"—"))</f>
        <v/>
      </c>
      <c r="K369">
        <f>IF($C369="","",IFERROR(IF(INDEX(Roster!$J:$J,MATCH($C369,Roster!$B:$B,0))="","",INDEX(Roster!$J:$J,MATCH($C369,Roster!$B:$B,0))&amp;""),"—"))</f>
        <v/>
      </c>
      <c r="L369">
        <f>IF($C369="","",IFERROR(IF(INDEX(Roster!$K:$K,MATCH($C369,Roster!$B:$B,0))="","",INDEX(Roster!$K:$K,MATCH($C369,Roster!$B:$B,0))&amp;""),"—"))</f>
        <v/>
      </c>
      <c r="M369" s="27" t="n"/>
      <c r="N369" s="27" t="n"/>
      <c r="O369" s="25">
        <f>IF($C369="","",IF($P369="","—",IF($P369="Valid (Pass)","Valid","Invalid")))</f>
        <v/>
      </c>
      <c r="P369" s="27" t="n"/>
      <c r="Q369" s="27" t="n"/>
      <c r="R369" s="27" t="n"/>
      <c r="S369" s="27" t="n"/>
      <c r="T369" s="25">
        <f>IF($C369="","",IF(OR(ISNUMBER(SEARCH("quick case",$P369)),ISNUMBER(SEARCH("quick case",$Q369))),"Yes","No"))</f>
        <v/>
      </c>
      <c r="U369" s="25">
        <f>IF($O369="Invalid",HYPERLINK("mailto:"&amp;$G369&amp;";"&amp;$I369&amp;"?cc="&amp;Lists!$E$2&amp;"&amp;subject="&amp;_xlfn.ENCODEURL("[INVALID] Quality audit monitoring completed for "&amp;UPPER($C369))&amp;"&amp;body="&amp;_xlfn.ENCODEURL("Hi "&amp;$F369&amp;","&amp;CHAR(10)&amp;"Good day!"&amp;CHAR(10)&amp;CHAR(10)&amp;"A quality monitoring audit has been completed for "&amp;$C369&amp;"."&amp;CHAR(10)&amp;CHAR(10)&amp;"QUALITY AUDIT DETAILS"&amp;CHAR(10)&amp;"Agent Name: "&amp;$C369&amp;" (EID "&amp;$D369&amp;")"&amp;CHAR(10)&amp;"Audit Date: "&amp;TEXT($B369,"yyyy-mm-dd")&amp;CHAR(10)&amp;"Team Leader: "&amp;$F369&amp;CHAR(10)&amp;"Case Number: "&amp;$M369&amp;CHAR(10)&amp;"Transaction ID: "&amp;$N369&amp;CHAR(10)&amp;"Channel / LOB: "&amp;$K369&amp;" / "&amp;$L369&amp;CHAR(10)&amp;"Evaluator: "&amp;$S369&amp;CHAR(10)&amp;CHAR(10)&amp;"INVALID QUALITY AUDIT DETAILS"&amp;CHAR(10)&amp;"Validation: Invalid"&amp;CHAR(10)&amp;"Invalid Reason: "&amp;$P369&amp;CHAR(10)&amp;"Expected Resolution Code: "&amp;$Q369&amp;CHAR(10)&amp;"Remarks: "&amp;LEFT($R369,600)&amp;CHAR(10)&amp;CHAR(10)&amp;"This is an automated notification from HP Mainstream EQMS."),"✉ Open Email Draft"),"")</f>
        <v/>
      </c>
    </row>
    <row r="370">
      <c r="A370" s="25">
        <f>IF($C370="","","AUD-2026-"&amp;TEXT(ROW()-1,"000000"))</f>
        <v/>
      </c>
      <c r="B370" s="26" t="n"/>
      <c r="C370" s="27" t="n"/>
      <c r="D370" s="25">
        <f>IF($C370="","",IFERROR(IF(INDEX(Roster!$A:$A,MATCH($C370,Roster!$B:$B,0))="","",INDEX(Roster!$A:$A,MATCH($C370,Roster!$B:$B,0))&amp;""),"—"))</f>
        <v/>
      </c>
      <c r="E370" s="25">
        <f>IF($C370="","",IFERROR(IF(INDEX(Roster!$C:$C,MATCH($C370,Roster!$B:$B,0))="","",INDEX(Roster!$C:$C,MATCH($C370,Roster!$B:$B,0))&amp;""),"—"))</f>
        <v/>
      </c>
      <c r="F370" s="25">
        <f>IF($C370="","",IFERROR(IF(INDEX(Roster!$D:$D,MATCH($C370,Roster!$B:$B,0))="","",INDEX(Roster!$D:$D,MATCH($C370,Roster!$B:$B,0))&amp;""),"—"))</f>
        <v/>
      </c>
      <c r="G370" s="25">
        <f>IF($C370="","",IFERROR(IF(INDEX(Roster!$E:$E,MATCH($C370,Roster!$B:$B,0))="","",INDEX(Roster!$E:$E,MATCH($C370,Roster!$B:$B,0))&amp;""),"—"))</f>
        <v/>
      </c>
      <c r="H370" s="25">
        <f>IF($C370="","",IFERROR(IF(INDEX(Roster!$F:$F,MATCH($C370,Roster!$B:$B,0))="","",INDEX(Roster!$F:$F,MATCH($C370,Roster!$B:$B,0))&amp;""),"—"))</f>
        <v/>
      </c>
      <c r="I370" s="25">
        <f>IF($C370="","",IFERROR(IF(INDEX(Roster!$G:$G,MATCH($C370,Roster!$B:$B,0))="","",INDEX(Roster!$G:$G,MATCH($C370,Roster!$B:$B,0))&amp;""),"—"))</f>
        <v/>
      </c>
      <c r="J370" s="25">
        <f>IF($C370="","",IFERROR(IF(INDEX(Roster!$I:$I,MATCH($C370,Roster!$B:$B,0))="","",INDEX(Roster!$I:$I,MATCH($C370,Roster!$B:$B,0))&amp;""),"—"))</f>
        <v/>
      </c>
      <c r="K370">
        <f>IF($C370="","",IFERROR(IF(INDEX(Roster!$J:$J,MATCH($C370,Roster!$B:$B,0))="","",INDEX(Roster!$J:$J,MATCH($C370,Roster!$B:$B,0))&amp;""),"—"))</f>
        <v/>
      </c>
      <c r="L370">
        <f>IF($C370="","",IFERROR(IF(INDEX(Roster!$K:$K,MATCH($C370,Roster!$B:$B,0))="","",INDEX(Roster!$K:$K,MATCH($C370,Roster!$B:$B,0))&amp;""),"—"))</f>
        <v/>
      </c>
      <c r="M370" s="27" t="n"/>
      <c r="N370" s="27" t="n"/>
      <c r="O370" s="25">
        <f>IF($C370="","",IF($P370="","—",IF($P370="Valid (Pass)","Valid","Invalid")))</f>
        <v/>
      </c>
      <c r="P370" s="27" t="n"/>
      <c r="Q370" s="27" t="n"/>
      <c r="R370" s="27" t="n"/>
      <c r="S370" s="27" t="n"/>
      <c r="T370" s="25">
        <f>IF($C370="","",IF(OR(ISNUMBER(SEARCH("quick case",$P370)),ISNUMBER(SEARCH("quick case",$Q370))),"Yes","No"))</f>
        <v/>
      </c>
      <c r="U370" s="25">
        <f>IF($O370="Invalid",HYPERLINK("mailto:"&amp;$G370&amp;";"&amp;$I370&amp;"?cc="&amp;Lists!$E$2&amp;"&amp;subject="&amp;_xlfn.ENCODEURL("[INVALID] Quality audit monitoring completed for "&amp;UPPER($C370))&amp;"&amp;body="&amp;_xlfn.ENCODEURL("Hi "&amp;$F370&amp;","&amp;CHAR(10)&amp;"Good day!"&amp;CHAR(10)&amp;CHAR(10)&amp;"A quality monitoring audit has been completed for "&amp;$C370&amp;"."&amp;CHAR(10)&amp;CHAR(10)&amp;"QUALITY AUDIT DETAILS"&amp;CHAR(10)&amp;"Agent Name: "&amp;$C370&amp;" (EID "&amp;$D370&amp;")"&amp;CHAR(10)&amp;"Audit Date: "&amp;TEXT($B370,"yyyy-mm-dd")&amp;CHAR(10)&amp;"Team Leader: "&amp;$F370&amp;CHAR(10)&amp;"Case Number: "&amp;$M370&amp;CHAR(10)&amp;"Transaction ID: "&amp;$N370&amp;CHAR(10)&amp;"Channel / LOB: "&amp;$K370&amp;" / "&amp;$L370&amp;CHAR(10)&amp;"Evaluator: "&amp;$S370&amp;CHAR(10)&amp;CHAR(10)&amp;"INVALID QUALITY AUDIT DETAILS"&amp;CHAR(10)&amp;"Validation: Invalid"&amp;CHAR(10)&amp;"Invalid Reason: "&amp;$P370&amp;CHAR(10)&amp;"Expected Resolution Code: "&amp;$Q370&amp;CHAR(10)&amp;"Remarks: "&amp;LEFT($R370,600)&amp;CHAR(10)&amp;CHAR(10)&amp;"This is an automated notification from HP Mainstream EQMS."),"✉ Open Email Draft"),"")</f>
        <v/>
      </c>
    </row>
    <row r="371">
      <c r="A371" s="25">
        <f>IF($C371="","","AUD-2026-"&amp;TEXT(ROW()-1,"000000"))</f>
        <v/>
      </c>
      <c r="B371" s="26" t="n"/>
      <c r="C371" s="27" t="n"/>
      <c r="D371" s="25">
        <f>IF($C371="","",IFERROR(IF(INDEX(Roster!$A:$A,MATCH($C371,Roster!$B:$B,0))="","",INDEX(Roster!$A:$A,MATCH($C371,Roster!$B:$B,0))&amp;""),"—"))</f>
        <v/>
      </c>
      <c r="E371" s="25">
        <f>IF($C371="","",IFERROR(IF(INDEX(Roster!$C:$C,MATCH($C371,Roster!$B:$B,0))="","",INDEX(Roster!$C:$C,MATCH($C371,Roster!$B:$B,0))&amp;""),"—"))</f>
        <v/>
      </c>
      <c r="F371" s="25">
        <f>IF($C371="","",IFERROR(IF(INDEX(Roster!$D:$D,MATCH($C371,Roster!$B:$B,0))="","",INDEX(Roster!$D:$D,MATCH($C371,Roster!$B:$B,0))&amp;""),"—"))</f>
        <v/>
      </c>
      <c r="G371" s="25">
        <f>IF($C371="","",IFERROR(IF(INDEX(Roster!$E:$E,MATCH($C371,Roster!$B:$B,0))="","",INDEX(Roster!$E:$E,MATCH($C371,Roster!$B:$B,0))&amp;""),"—"))</f>
        <v/>
      </c>
      <c r="H371" s="25">
        <f>IF($C371="","",IFERROR(IF(INDEX(Roster!$F:$F,MATCH($C371,Roster!$B:$B,0))="","",INDEX(Roster!$F:$F,MATCH($C371,Roster!$B:$B,0))&amp;""),"—"))</f>
        <v/>
      </c>
      <c r="I371" s="25">
        <f>IF($C371="","",IFERROR(IF(INDEX(Roster!$G:$G,MATCH($C371,Roster!$B:$B,0))="","",INDEX(Roster!$G:$G,MATCH($C371,Roster!$B:$B,0))&amp;""),"—"))</f>
        <v/>
      </c>
      <c r="J371" s="25">
        <f>IF($C371="","",IFERROR(IF(INDEX(Roster!$I:$I,MATCH($C371,Roster!$B:$B,0))="","",INDEX(Roster!$I:$I,MATCH($C371,Roster!$B:$B,0))&amp;""),"—"))</f>
        <v/>
      </c>
      <c r="K371">
        <f>IF($C371="","",IFERROR(IF(INDEX(Roster!$J:$J,MATCH($C371,Roster!$B:$B,0))="","",INDEX(Roster!$J:$J,MATCH($C371,Roster!$B:$B,0))&amp;""),"—"))</f>
        <v/>
      </c>
      <c r="L371">
        <f>IF($C371="","",IFERROR(IF(INDEX(Roster!$K:$K,MATCH($C371,Roster!$B:$B,0))="","",INDEX(Roster!$K:$K,MATCH($C371,Roster!$B:$B,0))&amp;""),"—"))</f>
        <v/>
      </c>
      <c r="M371" s="27" t="n"/>
      <c r="N371" s="27" t="n"/>
      <c r="O371" s="25">
        <f>IF($C371="","",IF($P371="","—",IF($P371="Valid (Pass)","Valid","Invalid")))</f>
        <v/>
      </c>
      <c r="P371" s="27" t="n"/>
      <c r="Q371" s="27" t="n"/>
      <c r="R371" s="27" t="n"/>
      <c r="S371" s="27" t="n"/>
      <c r="T371" s="25">
        <f>IF($C371="","",IF(OR(ISNUMBER(SEARCH("quick case",$P371)),ISNUMBER(SEARCH("quick case",$Q371))),"Yes","No"))</f>
        <v/>
      </c>
      <c r="U371" s="25">
        <f>IF($O371="Invalid",HYPERLINK("mailto:"&amp;$G371&amp;";"&amp;$I371&amp;"?cc="&amp;Lists!$E$2&amp;"&amp;subject="&amp;_xlfn.ENCODEURL("[INVALID] Quality audit monitoring completed for "&amp;UPPER($C371))&amp;"&amp;body="&amp;_xlfn.ENCODEURL("Hi "&amp;$F371&amp;","&amp;CHAR(10)&amp;"Good day!"&amp;CHAR(10)&amp;CHAR(10)&amp;"A quality monitoring audit has been completed for "&amp;$C371&amp;"."&amp;CHAR(10)&amp;CHAR(10)&amp;"QUALITY AUDIT DETAILS"&amp;CHAR(10)&amp;"Agent Name: "&amp;$C371&amp;" (EID "&amp;$D371&amp;")"&amp;CHAR(10)&amp;"Audit Date: "&amp;TEXT($B371,"yyyy-mm-dd")&amp;CHAR(10)&amp;"Team Leader: "&amp;$F371&amp;CHAR(10)&amp;"Case Number: "&amp;$M371&amp;CHAR(10)&amp;"Transaction ID: "&amp;$N371&amp;CHAR(10)&amp;"Channel / LOB: "&amp;$K371&amp;" / "&amp;$L371&amp;CHAR(10)&amp;"Evaluator: "&amp;$S371&amp;CHAR(10)&amp;CHAR(10)&amp;"INVALID QUALITY AUDIT DETAILS"&amp;CHAR(10)&amp;"Validation: Invalid"&amp;CHAR(10)&amp;"Invalid Reason: "&amp;$P371&amp;CHAR(10)&amp;"Expected Resolution Code: "&amp;$Q371&amp;CHAR(10)&amp;"Remarks: "&amp;LEFT($R371,600)&amp;CHAR(10)&amp;CHAR(10)&amp;"This is an automated notification from HP Mainstream EQMS."),"✉ Open Email Draft"),"")</f>
        <v/>
      </c>
    </row>
    <row r="372">
      <c r="A372" s="25">
        <f>IF($C372="","","AUD-2026-"&amp;TEXT(ROW()-1,"000000"))</f>
        <v/>
      </c>
      <c r="B372" s="26" t="n"/>
      <c r="C372" s="27" t="n"/>
      <c r="D372" s="25">
        <f>IF($C372="","",IFERROR(IF(INDEX(Roster!$A:$A,MATCH($C372,Roster!$B:$B,0))="","",INDEX(Roster!$A:$A,MATCH($C372,Roster!$B:$B,0))&amp;""),"—"))</f>
        <v/>
      </c>
      <c r="E372" s="25">
        <f>IF($C372="","",IFERROR(IF(INDEX(Roster!$C:$C,MATCH($C372,Roster!$B:$B,0))="","",INDEX(Roster!$C:$C,MATCH($C372,Roster!$B:$B,0))&amp;""),"—"))</f>
        <v/>
      </c>
      <c r="F372" s="25">
        <f>IF($C372="","",IFERROR(IF(INDEX(Roster!$D:$D,MATCH($C372,Roster!$B:$B,0))="","",INDEX(Roster!$D:$D,MATCH($C372,Roster!$B:$B,0))&amp;""),"—"))</f>
        <v/>
      </c>
      <c r="G372" s="25">
        <f>IF($C372="","",IFERROR(IF(INDEX(Roster!$E:$E,MATCH($C372,Roster!$B:$B,0))="","",INDEX(Roster!$E:$E,MATCH($C372,Roster!$B:$B,0))&amp;""),"—"))</f>
        <v/>
      </c>
      <c r="H372" s="25">
        <f>IF($C372="","",IFERROR(IF(INDEX(Roster!$F:$F,MATCH($C372,Roster!$B:$B,0))="","",INDEX(Roster!$F:$F,MATCH($C372,Roster!$B:$B,0))&amp;""),"—"))</f>
        <v/>
      </c>
      <c r="I372" s="25">
        <f>IF($C372="","",IFERROR(IF(INDEX(Roster!$G:$G,MATCH($C372,Roster!$B:$B,0))="","",INDEX(Roster!$G:$G,MATCH($C372,Roster!$B:$B,0))&amp;""),"—"))</f>
        <v/>
      </c>
      <c r="J372" s="25">
        <f>IF($C372="","",IFERROR(IF(INDEX(Roster!$I:$I,MATCH($C372,Roster!$B:$B,0))="","",INDEX(Roster!$I:$I,MATCH($C372,Roster!$B:$B,0))&amp;""),"—"))</f>
        <v/>
      </c>
      <c r="K372">
        <f>IF($C372="","",IFERROR(IF(INDEX(Roster!$J:$J,MATCH($C372,Roster!$B:$B,0))="","",INDEX(Roster!$J:$J,MATCH($C372,Roster!$B:$B,0))&amp;""),"—"))</f>
        <v/>
      </c>
      <c r="L372">
        <f>IF($C372="","",IFERROR(IF(INDEX(Roster!$K:$K,MATCH($C372,Roster!$B:$B,0))="","",INDEX(Roster!$K:$K,MATCH($C372,Roster!$B:$B,0))&amp;""),"—"))</f>
        <v/>
      </c>
      <c r="M372" s="27" t="n"/>
      <c r="N372" s="27" t="n"/>
      <c r="O372" s="25">
        <f>IF($C372="","",IF($P372="","—",IF($P372="Valid (Pass)","Valid","Invalid")))</f>
        <v/>
      </c>
      <c r="P372" s="27" t="n"/>
      <c r="Q372" s="27" t="n"/>
      <c r="R372" s="27" t="n"/>
      <c r="S372" s="27" t="n"/>
      <c r="T372" s="25">
        <f>IF($C372="","",IF(OR(ISNUMBER(SEARCH("quick case",$P372)),ISNUMBER(SEARCH("quick case",$Q372))),"Yes","No"))</f>
        <v/>
      </c>
      <c r="U372" s="25">
        <f>IF($O372="Invalid",HYPERLINK("mailto:"&amp;$G372&amp;";"&amp;$I372&amp;"?cc="&amp;Lists!$E$2&amp;"&amp;subject="&amp;_xlfn.ENCODEURL("[INVALID] Quality audit monitoring completed for "&amp;UPPER($C372))&amp;"&amp;body="&amp;_xlfn.ENCODEURL("Hi "&amp;$F372&amp;","&amp;CHAR(10)&amp;"Good day!"&amp;CHAR(10)&amp;CHAR(10)&amp;"A quality monitoring audit has been completed for "&amp;$C372&amp;"."&amp;CHAR(10)&amp;CHAR(10)&amp;"QUALITY AUDIT DETAILS"&amp;CHAR(10)&amp;"Agent Name: "&amp;$C372&amp;" (EID "&amp;$D372&amp;")"&amp;CHAR(10)&amp;"Audit Date: "&amp;TEXT($B372,"yyyy-mm-dd")&amp;CHAR(10)&amp;"Team Leader: "&amp;$F372&amp;CHAR(10)&amp;"Case Number: "&amp;$M372&amp;CHAR(10)&amp;"Transaction ID: "&amp;$N372&amp;CHAR(10)&amp;"Channel / LOB: "&amp;$K372&amp;" / "&amp;$L372&amp;CHAR(10)&amp;"Evaluator: "&amp;$S372&amp;CHAR(10)&amp;CHAR(10)&amp;"INVALID QUALITY AUDIT DETAILS"&amp;CHAR(10)&amp;"Validation: Invalid"&amp;CHAR(10)&amp;"Invalid Reason: "&amp;$P372&amp;CHAR(10)&amp;"Expected Resolution Code: "&amp;$Q372&amp;CHAR(10)&amp;"Remarks: "&amp;LEFT($R372,600)&amp;CHAR(10)&amp;CHAR(10)&amp;"This is an automated notification from HP Mainstream EQMS."),"✉ Open Email Draft"),"")</f>
        <v/>
      </c>
    </row>
    <row r="373">
      <c r="A373" s="25">
        <f>IF($C373="","","AUD-2026-"&amp;TEXT(ROW()-1,"000000"))</f>
        <v/>
      </c>
      <c r="B373" s="26" t="n"/>
      <c r="C373" s="27" t="n"/>
      <c r="D373" s="25">
        <f>IF($C373="","",IFERROR(IF(INDEX(Roster!$A:$A,MATCH($C373,Roster!$B:$B,0))="","",INDEX(Roster!$A:$A,MATCH($C373,Roster!$B:$B,0))&amp;""),"—"))</f>
        <v/>
      </c>
      <c r="E373" s="25">
        <f>IF($C373="","",IFERROR(IF(INDEX(Roster!$C:$C,MATCH($C373,Roster!$B:$B,0))="","",INDEX(Roster!$C:$C,MATCH($C373,Roster!$B:$B,0))&amp;""),"—"))</f>
        <v/>
      </c>
      <c r="F373" s="25">
        <f>IF($C373="","",IFERROR(IF(INDEX(Roster!$D:$D,MATCH($C373,Roster!$B:$B,0))="","",INDEX(Roster!$D:$D,MATCH($C373,Roster!$B:$B,0))&amp;""),"—"))</f>
        <v/>
      </c>
      <c r="G373" s="25">
        <f>IF($C373="","",IFERROR(IF(INDEX(Roster!$E:$E,MATCH($C373,Roster!$B:$B,0))="","",INDEX(Roster!$E:$E,MATCH($C373,Roster!$B:$B,0))&amp;""),"—"))</f>
        <v/>
      </c>
      <c r="H373" s="25">
        <f>IF($C373="","",IFERROR(IF(INDEX(Roster!$F:$F,MATCH($C373,Roster!$B:$B,0))="","",INDEX(Roster!$F:$F,MATCH($C373,Roster!$B:$B,0))&amp;""),"—"))</f>
        <v/>
      </c>
      <c r="I373" s="25">
        <f>IF($C373="","",IFERROR(IF(INDEX(Roster!$G:$G,MATCH($C373,Roster!$B:$B,0))="","",INDEX(Roster!$G:$G,MATCH($C373,Roster!$B:$B,0))&amp;""),"—"))</f>
        <v/>
      </c>
      <c r="J373" s="25">
        <f>IF($C373="","",IFERROR(IF(INDEX(Roster!$I:$I,MATCH($C373,Roster!$B:$B,0))="","",INDEX(Roster!$I:$I,MATCH($C373,Roster!$B:$B,0))&amp;""),"—"))</f>
        <v/>
      </c>
      <c r="K373">
        <f>IF($C373="","",IFERROR(IF(INDEX(Roster!$J:$J,MATCH($C373,Roster!$B:$B,0))="","",INDEX(Roster!$J:$J,MATCH($C373,Roster!$B:$B,0))&amp;""),"—"))</f>
        <v/>
      </c>
      <c r="L373">
        <f>IF($C373="","",IFERROR(IF(INDEX(Roster!$K:$K,MATCH($C373,Roster!$B:$B,0))="","",INDEX(Roster!$K:$K,MATCH($C373,Roster!$B:$B,0))&amp;""),"—"))</f>
        <v/>
      </c>
      <c r="M373" s="27" t="n"/>
      <c r="N373" s="27" t="n"/>
      <c r="O373" s="25">
        <f>IF($C373="","",IF($P373="","—",IF($P373="Valid (Pass)","Valid","Invalid")))</f>
        <v/>
      </c>
      <c r="P373" s="27" t="n"/>
      <c r="Q373" s="27" t="n"/>
      <c r="R373" s="27" t="n"/>
      <c r="S373" s="27" t="n"/>
      <c r="T373" s="25">
        <f>IF($C373="","",IF(OR(ISNUMBER(SEARCH("quick case",$P373)),ISNUMBER(SEARCH("quick case",$Q373))),"Yes","No"))</f>
        <v/>
      </c>
      <c r="U373" s="25">
        <f>IF($O373="Invalid",HYPERLINK("mailto:"&amp;$G373&amp;";"&amp;$I373&amp;"?cc="&amp;Lists!$E$2&amp;"&amp;subject="&amp;_xlfn.ENCODEURL("[INVALID] Quality audit monitoring completed for "&amp;UPPER($C373))&amp;"&amp;body="&amp;_xlfn.ENCODEURL("Hi "&amp;$F373&amp;","&amp;CHAR(10)&amp;"Good day!"&amp;CHAR(10)&amp;CHAR(10)&amp;"A quality monitoring audit has been completed for "&amp;$C373&amp;"."&amp;CHAR(10)&amp;CHAR(10)&amp;"QUALITY AUDIT DETAILS"&amp;CHAR(10)&amp;"Agent Name: "&amp;$C373&amp;" (EID "&amp;$D373&amp;")"&amp;CHAR(10)&amp;"Audit Date: "&amp;TEXT($B373,"yyyy-mm-dd")&amp;CHAR(10)&amp;"Team Leader: "&amp;$F373&amp;CHAR(10)&amp;"Case Number: "&amp;$M373&amp;CHAR(10)&amp;"Transaction ID: "&amp;$N373&amp;CHAR(10)&amp;"Channel / LOB: "&amp;$K373&amp;" / "&amp;$L373&amp;CHAR(10)&amp;"Evaluator: "&amp;$S373&amp;CHAR(10)&amp;CHAR(10)&amp;"INVALID QUALITY AUDIT DETAILS"&amp;CHAR(10)&amp;"Validation: Invalid"&amp;CHAR(10)&amp;"Invalid Reason: "&amp;$P373&amp;CHAR(10)&amp;"Expected Resolution Code: "&amp;$Q373&amp;CHAR(10)&amp;"Remarks: "&amp;LEFT($R373,600)&amp;CHAR(10)&amp;CHAR(10)&amp;"This is an automated notification from HP Mainstream EQMS."),"✉ Open Email Draft"),"")</f>
        <v/>
      </c>
    </row>
    <row r="374">
      <c r="A374" s="25">
        <f>IF($C374="","","AUD-2026-"&amp;TEXT(ROW()-1,"000000"))</f>
        <v/>
      </c>
      <c r="B374" s="26" t="n"/>
      <c r="C374" s="27" t="n"/>
      <c r="D374" s="25">
        <f>IF($C374="","",IFERROR(IF(INDEX(Roster!$A:$A,MATCH($C374,Roster!$B:$B,0))="","",INDEX(Roster!$A:$A,MATCH($C374,Roster!$B:$B,0))&amp;""),"—"))</f>
        <v/>
      </c>
      <c r="E374" s="25">
        <f>IF($C374="","",IFERROR(IF(INDEX(Roster!$C:$C,MATCH($C374,Roster!$B:$B,0))="","",INDEX(Roster!$C:$C,MATCH($C374,Roster!$B:$B,0))&amp;""),"—"))</f>
        <v/>
      </c>
      <c r="F374" s="25">
        <f>IF($C374="","",IFERROR(IF(INDEX(Roster!$D:$D,MATCH($C374,Roster!$B:$B,0))="","",INDEX(Roster!$D:$D,MATCH($C374,Roster!$B:$B,0))&amp;""),"—"))</f>
        <v/>
      </c>
      <c r="G374" s="25">
        <f>IF($C374="","",IFERROR(IF(INDEX(Roster!$E:$E,MATCH($C374,Roster!$B:$B,0))="","",INDEX(Roster!$E:$E,MATCH($C374,Roster!$B:$B,0))&amp;""),"—"))</f>
        <v/>
      </c>
      <c r="H374" s="25">
        <f>IF($C374="","",IFERROR(IF(INDEX(Roster!$F:$F,MATCH($C374,Roster!$B:$B,0))="","",INDEX(Roster!$F:$F,MATCH($C374,Roster!$B:$B,0))&amp;""),"—"))</f>
        <v/>
      </c>
      <c r="I374" s="25">
        <f>IF($C374="","",IFERROR(IF(INDEX(Roster!$G:$G,MATCH($C374,Roster!$B:$B,0))="","",INDEX(Roster!$G:$G,MATCH($C374,Roster!$B:$B,0))&amp;""),"—"))</f>
        <v/>
      </c>
      <c r="J374" s="25">
        <f>IF($C374="","",IFERROR(IF(INDEX(Roster!$I:$I,MATCH($C374,Roster!$B:$B,0))="","",INDEX(Roster!$I:$I,MATCH($C374,Roster!$B:$B,0))&amp;""),"—"))</f>
        <v/>
      </c>
      <c r="K374">
        <f>IF($C374="","",IFERROR(IF(INDEX(Roster!$J:$J,MATCH($C374,Roster!$B:$B,0))="","",INDEX(Roster!$J:$J,MATCH($C374,Roster!$B:$B,0))&amp;""),"—"))</f>
        <v/>
      </c>
      <c r="L374">
        <f>IF($C374="","",IFERROR(IF(INDEX(Roster!$K:$K,MATCH($C374,Roster!$B:$B,0))="","",INDEX(Roster!$K:$K,MATCH($C374,Roster!$B:$B,0))&amp;""),"—"))</f>
        <v/>
      </c>
      <c r="M374" s="27" t="n"/>
      <c r="N374" s="27" t="n"/>
      <c r="O374" s="25">
        <f>IF($C374="","",IF($P374="","—",IF($P374="Valid (Pass)","Valid","Invalid")))</f>
        <v/>
      </c>
      <c r="P374" s="27" t="n"/>
      <c r="Q374" s="27" t="n"/>
      <c r="R374" s="27" t="n"/>
      <c r="S374" s="27" t="n"/>
      <c r="T374" s="25">
        <f>IF($C374="","",IF(OR(ISNUMBER(SEARCH("quick case",$P374)),ISNUMBER(SEARCH("quick case",$Q374))),"Yes","No"))</f>
        <v/>
      </c>
      <c r="U374" s="25">
        <f>IF($O374="Invalid",HYPERLINK("mailto:"&amp;$G374&amp;";"&amp;$I374&amp;"?cc="&amp;Lists!$E$2&amp;"&amp;subject="&amp;_xlfn.ENCODEURL("[INVALID] Quality audit monitoring completed for "&amp;UPPER($C374))&amp;"&amp;body="&amp;_xlfn.ENCODEURL("Hi "&amp;$F374&amp;","&amp;CHAR(10)&amp;"Good day!"&amp;CHAR(10)&amp;CHAR(10)&amp;"A quality monitoring audit has been completed for "&amp;$C374&amp;"."&amp;CHAR(10)&amp;CHAR(10)&amp;"QUALITY AUDIT DETAILS"&amp;CHAR(10)&amp;"Agent Name: "&amp;$C374&amp;" (EID "&amp;$D374&amp;")"&amp;CHAR(10)&amp;"Audit Date: "&amp;TEXT($B374,"yyyy-mm-dd")&amp;CHAR(10)&amp;"Team Leader: "&amp;$F374&amp;CHAR(10)&amp;"Case Number: "&amp;$M374&amp;CHAR(10)&amp;"Transaction ID: "&amp;$N374&amp;CHAR(10)&amp;"Channel / LOB: "&amp;$K374&amp;" / "&amp;$L374&amp;CHAR(10)&amp;"Evaluator: "&amp;$S374&amp;CHAR(10)&amp;CHAR(10)&amp;"INVALID QUALITY AUDIT DETAILS"&amp;CHAR(10)&amp;"Validation: Invalid"&amp;CHAR(10)&amp;"Invalid Reason: "&amp;$P374&amp;CHAR(10)&amp;"Expected Resolution Code: "&amp;$Q374&amp;CHAR(10)&amp;"Remarks: "&amp;LEFT($R374,600)&amp;CHAR(10)&amp;CHAR(10)&amp;"This is an automated notification from HP Mainstream EQMS."),"✉ Open Email Draft"),"")</f>
        <v/>
      </c>
    </row>
    <row r="375">
      <c r="A375" s="25">
        <f>IF($C375="","","AUD-2026-"&amp;TEXT(ROW()-1,"000000"))</f>
        <v/>
      </c>
      <c r="B375" s="26" t="n"/>
      <c r="C375" s="27" t="n"/>
      <c r="D375" s="25">
        <f>IF($C375="","",IFERROR(IF(INDEX(Roster!$A:$A,MATCH($C375,Roster!$B:$B,0))="","",INDEX(Roster!$A:$A,MATCH($C375,Roster!$B:$B,0))&amp;""),"—"))</f>
        <v/>
      </c>
      <c r="E375" s="25">
        <f>IF($C375="","",IFERROR(IF(INDEX(Roster!$C:$C,MATCH($C375,Roster!$B:$B,0))="","",INDEX(Roster!$C:$C,MATCH($C375,Roster!$B:$B,0))&amp;""),"—"))</f>
        <v/>
      </c>
      <c r="F375" s="25">
        <f>IF($C375="","",IFERROR(IF(INDEX(Roster!$D:$D,MATCH($C375,Roster!$B:$B,0))="","",INDEX(Roster!$D:$D,MATCH($C375,Roster!$B:$B,0))&amp;""),"—"))</f>
        <v/>
      </c>
      <c r="G375" s="25">
        <f>IF($C375="","",IFERROR(IF(INDEX(Roster!$E:$E,MATCH($C375,Roster!$B:$B,0))="","",INDEX(Roster!$E:$E,MATCH($C375,Roster!$B:$B,0))&amp;""),"—"))</f>
        <v/>
      </c>
      <c r="H375" s="25">
        <f>IF($C375="","",IFERROR(IF(INDEX(Roster!$F:$F,MATCH($C375,Roster!$B:$B,0))="","",INDEX(Roster!$F:$F,MATCH($C375,Roster!$B:$B,0))&amp;""),"—"))</f>
        <v/>
      </c>
      <c r="I375" s="25">
        <f>IF($C375="","",IFERROR(IF(INDEX(Roster!$G:$G,MATCH($C375,Roster!$B:$B,0))="","",INDEX(Roster!$G:$G,MATCH($C375,Roster!$B:$B,0))&amp;""),"—"))</f>
        <v/>
      </c>
      <c r="J375" s="25">
        <f>IF($C375="","",IFERROR(IF(INDEX(Roster!$I:$I,MATCH($C375,Roster!$B:$B,0))="","",INDEX(Roster!$I:$I,MATCH($C375,Roster!$B:$B,0))&amp;""),"—"))</f>
        <v/>
      </c>
      <c r="K375">
        <f>IF($C375="","",IFERROR(IF(INDEX(Roster!$J:$J,MATCH($C375,Roster!$B:$B,0))="","",INDEX(Roster!$J:$J,MATCH($C375,Roster!$B:$B,0))&amp;""),"—"))</f>
        <v/>
      </c>
      <c r="L375">
        <f>IF($C375="","",IFERROR(IF(INDEX(Roster!$K:$K,MATCH($C375,Roster!$B:$B,0))="","",INDEX(Roster!$K:$K,MATCH($C375,Roster!$B:$B,0))&amp;""),"—"))</f>
        <v/>
      </c>
      <c r="M375" s="27" t="n"/>
      <c r="N375" s="27" t="n"/>
      <c r="O375" s="25">
        <f>IF($C375="","",IF($P375="","—",IF($P375="Valid (Pass)","Valid","Invalid")))</f>
        <v/>
      </c>
      <c r="P375" s="27" t="n"/>
      <c r="Q375" s="27" t="n"/>
      <c r="R375" s="27" t="n"/>
      <c r="S375" s="27" t="n"/>
      <c r="T375" s="25">
        <f>IF($C375="","",IF(OR(ISNUMBER(SEARCH("quick case",$P375)),ISNUMBER(SEARCH("quick case",$Q375))),"Yes","No"))</f>
        <v/>
      </c>
      <c r="U375" s="25">
        <f>IF($O375="Invalid",HYPERLINK("mailto:"&amp;$G375&amp;";"&amp;$I375&amp;"?cc="&amp;Lists!$E$2&amp;"&amp;subject="&amp;_xlfn.ENCODEURL("[INVALID] Quality audit monitoring completed for "&amp;UPPER($C375))&amp;"&amp;body="&amp;_xlfn.ENCODEURL("Hi "&amp;$F375&amp;","&amp;CHAR(10)&amp;"Good day!"&amp;CHAR(10)&amp;CHAR(10)&amp;"A quality monitoring audit has been completed for "&amp;$C375&amp;"."&amp;CHAR(10)&amp;CHAR(10)&amp;"QUALITY AUDIT DETAILS"&amp;CHAR(10)&amp;"Agent Name: "&amp;$C375&amp;" (EID "&amp;$D375&amp;")"&amp;CHAR(10)&amp;"Audit Date: "&amp;TEXT($B375,"yyyy-mm-dd")&amp;CHAR(10)&amp;"Team Leader: "&amp;$F375&amp;CHAR(10)&amp;"Case Number: "&amp;$M375&amp;CHAR(10)&amp;"Transaction ID: "&amp;$N375&amp;CHAR(10)&amp;"Channel / LOB: "&amp;$K375&amp;" / "&amp;$L375&amp;CHAR(10)&amp;"Evaluator: "&amp;$S375&amp;CHAR(10)&amp;CHAR(10)&amp;"INVALID QUALITY AUDIT DETAILS"&amp;CHAR(10)&amp;"Validation: Invalid"&amp;CHAR(10)&amp;"Invalid Reason: "&amp;$P375&amp;CHAR(10)&amp;"Expected Resolution Code: "&amp;$Q375&amp;CHAR(10)&amp;"Remarks: "&amp;LEFT($R375,600)&amp;CHAR(10)&amp;CHAR(10)&amp;"This is an automated notification from HP Mainstream EQMS."),"✉ Open Email Draft"),"")</f>
        <v/>
      </c>
    </row>
    <row r="376">
      <c r="A376" s="25">
        <f>IF($C376="","","AUD-2026-"&amp;TEXT(ROW()-1,"000000"))</f>
        <v/>
      </c>
      <c r="B376" s="26" t="n"/>
      <c r="C376" s="27" t="n"/>
      <c r="D376" s="25">
        <f>IF($C376="","",IFERROR(IF(INDEX(Roster!$A:$A,MATCH($C376,Roster!$B:$B,0))="","",INDEX(Roster!$A:$A,MATCH($C376,Roster!$B:$B,0))&amp;""),"—"))</f>
        <v/>
      </c>
      <c r="E376" s="25">
        <f>IF($C376="","",IFERROR(IF(INDEX(Roster!$C:$C,MATCH($C376,Roster!$B:$B,0))="","",INDEX(Roster!$C:$C,MATCH($C376,Roster!$B:$B,0))&amp;""),"—"))</f>
        <v/>
      </c>
      <c r="F376" s="25">
        <f>IF($C376="","",IFERROR(IF(INDEX(Roster!$D:$D,MATCH($C376,Roster!$B:$B,0))="","",INDEX(Roster!$D:$D,MATCH($C376,Roster!$B:$B,0))&amp;""),"—"))</f>
        <v/>
      </c>
      <c r="G376" s="25">
        <f>IF($C376="","",IFERROR(IF(INDEX(Roster!$E:$E,MATCH($C376,Roster!$B:$B,0))="","",INDEX(Roster!$E:$E,MATCH($C376,Roster!$B:$B,0))&amp;""),"—"))</f>
        <v/>
      </c>
      <c r="H376" s="25">
        <f>IF($C376="","",IFERROR(IF(INDEX(Roster!$F:$F,MATCH($C376,Roster!$B:$B,0))="","",INDEX(Roster!$F:$F,MATCH($C376,Roster!$B:$B,0))&amp;""),"—"))</f>
        <v/>
      </c>
      <c r="I376" s="25">
        <f>IF($C376="","",IFERROR(IF(INDEX(Roster!$G:$G,MATCH($C376,Roster!$B:$B,0))="","",INDEX(Roster!$G:$G,MATCH($C376,Roster!$B:$B,0))&amp;""),"—"))</f>
        <v/>
      </c>
      <c r="J376" s="25">
        <f>IF($C376="","",IFERROR(IF(INDEX(Roster!$I:$I,MATCH($C376,Roster!$B:$B,0))="","",INDEX(Roster!$I:$I,MATCH($C376,Roster!$B:$B,0))&amp;""),"—"))</f>
        <v/>
      </c>
      <c r="K376">
        <f>IF($C376="","",IFERROR(IF(INDEX(Roster!$J:$J,MATCH($C376,Roster!$B:$B,0))="","",INDEX(Roster!$J:$J,MATCH($C376,Roster!$B:$B,0))&amp;""),"—"))</f>
        <v/>
      </c>
      <c r="L376">
        <f>IF($C376="","",IFERROR(IF(INDEX(Roster!$K:$K,MATCH($C376,Roster!$B:$B,0))="","",INDEX(Roster!$K:$K,MATCH($C376,Roster!$B:$B,0))&amp;""),"—"))</f>
        <v/>
      </c>
      <c r="M376" s="27" t="n"/>
      <c r="N376" s="27" t="n"/>
      <c r="O376" s="25">
        <f>IF($C376="","",IF($P376="","—",IF($P376="Valid (Pass)","Valid","Invalid")))</f>
        <v/>
      </c>
      <c r="P376" s="27" t="n"/>
      <c r="Q376" s="27" t="n"/>
      <c r="R376" s="27" t="n"/>
      <c r="S376" s="27" t="n"/>
      <c r="T376" s="25">
        <f>IF($C376="","",IF(OR(ISNUMBER(SEARCH("quick case",$P376)),ISNUMBER(SEARCH("quick case",$Q376))),"Yes","No"))</f>
        <v/>
      </c>
      <c r="U376" s="25">
        <f>IF($O376="Invalid",HYPERLINK("mailto:"&amp;$G376&amp;";"&amp;$I376&amp;"?cc="&amp;Lists!$E$2&amp;"&amp;subject="&amp;_xlfn.ENCODEURL("[INVALID] Quality audit monitoring completed for "&amp;UPPER($C376))&amp;"&amp;body="&amp;_xlfn.ENCODEURL("Hi "&amp;$F376&amp;","&amp;CHAR(10)&amp;"Good day!"&amp;CHAR(10)&amp;CHAR(10)&amp;"A quality monitoring audit has been completed for "&amp;$C376&amp;"."&amp;CHAR(10)&amp;CHAR(10)&amp;"QUALITY AUDIT DETAILS"&amp;CHAR(10)&amp;"Agent Name: "&amp;$C376&amp;" (EID "&amp;$D376&amp;")"&amp;CHAR(10)&amp;"Audit Date: "&amp;TEXT($B376,"yyyy-mm-dd")&amp;CHAR(10)&amp;"Team Leader: "&amp;$F376&amp;CHAR(10)&amp;"Case Number: "&amp;$M376&amp;CHAR(10)&amp;"Transaction ID: "&amp;$N376&amp;CHAR(10)&amp;"Channel / LOB: "&amp;$K376&amp;" / "&amp;$L376&amp;CHAR(10)&amp;"Evaluator: "&amp;$S376&amp;CHAR(10)&amp;CHAR(10)&amp;"INVALID QUALITY AUDIT DETAILS"&amp;CHAR(10)&amp;"Validation: Invalid"&amp;CHAR(10)&amp;"Invalid Reason: "&amp;$P376&amp;CHAR(10)&amp;"Expected Resolution Code: "&amp;$Q376&amp;CHAR(10)&amp;"Remarks: "&amp;LEFT($R376,600)&amp;CHAR(10)&amp;CHAR(10)&amp;"This is an automated notification from HP Mainstream EQMS."),"✉ Open Email Draft"),"")</f>
        <v/>
      </c>
    </row>
    <row r="377">
      <c r="A377" s="25">
        <f>IF($C377="","","AUD-2026-"&amp;TEXT(ROW()-1,"000000"))</f>
        <v/>
      </c>
      <c r="B377" s="26" t="n"/>
      <c r="C377" s="27" t="n"/>
      <c r="D377" s="25">
        <f>IF($C377="","",IFERROR(IF(INDEX(Roster!$A:$A,MATCH($C377,Roster!$B:$B,0))="","",INDEX(Roster!$A:$A,MATCH($C377,Roster!$B:$B,0))&amp;""),"—"))</f>
        <v/>
      </c>
      <c r="E377" s="25">
        <f>IF($C377="","",IFERROR(IF(INDEX(Roster!$C:$C,MATCH($C377,Roster!$B:$B,0))="","",INDEX(Roster!$C:$C,MATCH($C377,Roster!$B:$B,0))&amp;""),"—"))</f>
        <v/>
      </c>
      <c r="F377" s="25">
        <f>IF($C377="","",IFERROR(IF(INDEX(Roster!$D:$D,MATCH($C377,Roster!$B:$B,0))="","",INDEX(Roster!$D:$D,MATCH($C377,Roster!$B:$B,0))&amp;""),"—"))</f>
        <v/>
      </c>
      <c r="G377" s="25">
        <f>IF($C377="","",IFERROR(IF(INDEX(Roster!$E:$E,MATCH($C377,Roster!$B:$B,0))="","",INDEX(Roster!$E:$E,MATCH($C377,Roster!$B:$B,0))&amp;""),"—"))</f>
        <v/>
      </c>
      <c r="H377" s="25">
        <f>IF($C377="","",IFERROR(IF(INDEX(Roster!$F:$F,MATCH($C377,Roster!$B:$B,0))="","",INDEX(Roster!$F:$F,MATCH($C377,Roster!$B:$B,0))&amp;""),"—"))</f>
        <v/>
      </c>
      <c r="I377" s="25">
        <f>IF($C377="","",IFERROR(IF(INDEX(Roster!$G:$G,MATCH($C377,Roster!$B:$B,0))="","",INDEX(Roster!$G:$G,MATCH($C377,Roster!$B:$B,0))&amp;""),"—"))</f>
        <v/>
      </c>
      <c r="J377" s="25">
        <f>IF($C377="","",IFERROR(IF(INDEX(Roster!$I:$I,MATCH($C377,Roster!$B:$B,0))="","",INDEX(Roster!$I:$I,MATCH($C377,Roster!$B:$B,0))&amp;""),"—"))</f>
        <v/>
      </c>
      <c r="K377">
        <f>IF($C377="","",IFERROR(IF(INDEX(Roster!$J:$J,MATCH($C377,Roster!$B:$B,0))="","",INDEX(Roster!$J:$J,MATCH($C377,Roster!$B:$B,0))&amp;""),"—"))</f>
        <v/>
      </c>
      <c r="L377">
        <f>IF($C377="","",IFERROR(IF(INDEX(Roster!$K:$K,MATCH($C377,Roster!$B:$B,0))="","",INDEX(Roster!$K:$K,MATCH($C377,Roster!$B:$B,0))&amp;""),"—"))</f>
        <v/>
      </c>
      <c r="M377" s="27" t="n"/>
      <c r="N377" s="27" t="n"/>
      <c r="O377" s="25">
        <f>IF($C377="","",IF($P377="","—",IF($P377="Valid (Pass)","Valid","Invalid")))</f>
        <v/>
      </c>
      <c r="P377" s="27" t="n"/>
      <c r="Q377" s="27" t="n"/>
      <c r="R377" s="27" t="n"/>
      <c r="S377" s="27" t="n"/>
      <c r="T377" s="25">
        <f>IF($C377="","",IF(OR(ISNUMBER(SEARCH("quick case",$P377)),ISNUMBER(SEARCH("quick case",$Q377))),"Yes","No"))</f>
        <v/>
      </c>
      <c r="U377" s="25">
        <f>IF($O377="Invalid",HYPERLINK("mailto:"&amp;$G377&amp;";"&amp;$I377&amp;"?cc="&amp;Lists!$E$2&amp;"&amp;subject="&amp;_xlfn.ENCODEURL("[INVALID] Quality audit monitoring completed for "&amp;UPPER($C377))&amp;"&amp;body="&amp;_xlfn.ENCODEURL("Hi "&amp;$F377&amp;","&amp;CHAR(10)&amp;"Good day!"&amp;CHAR(10)&amp;CHAR(10)&amp;"A quality monitoring audit has been completed for "&amp;$C377&amp;"."&amp;CHAR(10)&amp;CHAR(10)&amp;"QUALITY AUDIT DETAILS"&amp;CHAR(10)&amp;"Agent Name: "&amp;$C377&amp;" (EID "&amp;$D377&amp;")"&amp;CHAR(10)&amp;"Audit Date: "&amp;TEXT($B377,"yyyy-mm-dd")&amp;CHAR(10)&amp;"Team Leader: "&amp;$F377&amp;CHAR(10)&amp;"Case Number: "&amp;$M377&amp;CHAR(10)&amp;"Transaction ID: "&amp;$N377&amp;CHAR(10)&amp;"Channel / LOB: "&amp;$K377&amp;" / "&amp;$L377&amp;CHAR(10)&amp;"Evaluator: "&amp;$S377&amp;CHAR(10)&amp;CHAR(10)&amp;"INVALID QUALITY AUDIT DETAILS"&amp;CHAR(10)&amp;"Validation: Invalid"&amp;CHAR(10)&amp;"Invalid Reason: "&amp;$P377&amp;CHAR(10)&amp;"Expected Resolution Code: "&amp;$Q377&amp;CHAR(10)&amp;"Remarks: "&amp;LEFT($R377,600)&amp;CHAR(10)&amp;CHAR(10)&amp;"This is an automated notification from HP Mainstream EQMS."),"✉ Open Email Draft"),"")</f>
        <v/>
      </c>
    </row>
    <row r="378">
      <c r="A378" s="25">
        <f>IF($C378="","","AUD-2026-"&amp;TEXT(ROW()-1,"000000"))</f>
        <v/>
      </c>
      <c r="B378" s="26" t="n"/>
      <c r="C378" s="27" t="n"/>
      <c r="D378" s="25">
        <f>IF($C378="","",IFERROR(IF(INDEX(Roster!$A:$A,MATCH($C378,Roster!$B:$B,0))="","",INDEX(Roster!$A:$A,MATCH($C378,Roster!$B:$B,0))&amp;""),"—"))</f>
        <v/>
      </c>
      <c r="E378" s="25">
        <f>IF($C378="","",IFERROR(IF(INDEX(Roster!$C:$C,MATCH($C378,Roster!$B:$B,0))="","",INDEX(Roster!$C:$C,MATCH($C378,Roster!$B:$B,0))&amp;""),"—"))</f>
        <v/>
      </c>
      <c r="F378" s="25">
        <f>IF($C378="","",IFERROR(IF(INDEX(Roster!$D:$D,MATCH($C378,Roster!$B:$B,0))="","",INDEX(Roster!$D:$D,MATCH($C378,Roster!$B:$B,0))&amp;""),"—"))</f>
        <v/>
      </c>
      <c r="G378" s="25">
        <f>IF($C378="","",IFERROR(IF(INDEX(Roster!$E:$E,MATCH($C378,Roster!$B:$B,0))="","",INDEX(Roster!$E:$E,MATCH($C378,Roster!$B:$B,0))&amp;""),"—"))</f>
        <v/>
      </c>
      <c r="H378" s="25">
        <f>IF($C378="","",IFERROR(IF(INDEX(Roster!$F:$F,MATCH($C378,Roster!$B:$B,0))="","",INDEX(Roster!$F:$F,MATCH($C378,Roster!$B:$B,0))&amp;""),"—"))</f>
        <v/>
      </c>
      <c r="I378" s="25">
        <f>IF($C378="","",IFERROR(IF(INDEX(Roster!$G:$G,MATCH($C378,Roster!$B:$B,0))="","",INDEX(Roster!$G:$G,MATCH($C378,Roster!$B:$B,0))&amp;""),"—"))</f>
        <v/>
      </c>
      <c r="J378" s="25">
        <f>IF($C378="","",IFERROR(IF(INDEX(Roster!$I:$I,MATCH($C378,Roster!$B:$B,0))="","",INDEX(Roster!$I:$I,MATCH($C378,Roster!$B:$B,0))&amp;""),"—"))</f>
        <v/>
      </c>
      <c r="K378">
        <f>IF($C378="","",IFERROR(IF(INDEX(Roster!$J:$J,MATCH($C378,Roster!$B:$B,0))="","",INDEX(Roster!$J:$J,MATCH($C378,Roster!$B:$B,0))&amp;""),"—"))</f>
        <v/>
      </c>
      <c r="L378">
        <f>IF($C378="","",IFERROR(IF(INDEX(Roster!$K:$K,MATCH($C378,Roster!$B:$B,0))="","",INDEX(Roster!$K:$K,MATCH($C378,Roster!$B:$B,0))&amp;""),"—"))</f>
        <v/>
      </c>
      <c r="M378" s="27" t="n"/>
      <c r="N378" s="27" t="n"/>
      <c r="O378" s="25">
        <f>IF($C378="","",IF($P378="","—",IF($P378="Valid (Pass)","Valid","Invalid")))</f>
        <v/>
      </c>
      <c r="P378" s="27" t="n"/>
      <c r="Q378" s="27" t="n"/>
      <c r="R378" s="27" t="n"/>
      <c r="S378" s="27" t="n"/>
      <c r="T378" s="25">
        <f>IF($C378="","",IF(OR(ISNUMBER(SEARCH("quick case",$P378)),ISNUMBER(SEARCH("quick case",$Q378))),"Yes","No"))</f>
        <v/>
      </c>
      <c r="U378" s="25">
        <f>IF($O378="Invalid",HYPERLINK("mailto:"&amp;$G378&amp;";"&amp;$I378&amp;"?cc="&amp;Lists!$E$2&amp;"&amp;subject="&amp;_xlfn.ENCODEURL("[INVALID] Quality audit monitoring completed for "&amp;UPPER($C378))&amp;"&amp;body="&amp;_xlfn.ENCODEURL("Hi "&amp;$F378&amp;","&amp;CHAR(10)&amp;"Good day!"&amp;CHAR(10)&amp;CHAR(10)&amp;"A quality monitoring audit has been completed for "&amp;$C378&amp;"."&amp;CHAR(10)&amp;CHAR(10)&amp;"QUALITY AUDIT DETAILS"&amp;CHAR(10)&amp;"Agent Name: "&amp;$C378&amp;" (EID "&amp;$D378&amp;")"&amp;CHAR(10)&amp;"Audit Date: "&amp;TEXT($B378,"yyyy-mm-dd")&amp;CHAR(10)&amp;"Team Leader: "&amp;$F378&amp;CHAR(10)&amp;"Case Number: "&amp;$M378&amp;CHAR(10)&amp;"Transaction ID: "&amp;$N378&amp;CHAR(10)&amp;"Channel / LOB: "&amp;$K378&amp;" / "&amp;$L378&amp;CHAR(10)&amp;"Evaluator: "&amp;$S378&amp;CHAR(10)&amp;CHAR(10)&amp;"INVALID QUALITY AUDIT DETAILS"&amp;CHAR(10)&amp;"Validation: Invalid"&amp;CHAR(10)&amp;"Invalid Reason: "&amp;$P378&amp;CHAR(10)&amp;"Expected Resolution Code: "&amp;$Q378&amp;CHAR(10)&amp;"Remarks: "&amp;LEFT($R378,600)&amp;CHAR(10)&amp;CHAR(10)&amp;"This is an automated notification from HP Mainstream EQMS."),"✉ Open Email Draft"),"")</f>
        <v/>
      </c>
    </row>
    <row r="379">
      <c r="A379" s="25">
        <f>IF($C379="","","AUD-2026-"&amp;TEXT(ROW()-1,"000000"))</f>
        <v/>
      </c>
      <c r="B379" s="26" t="n"/>
      <c r="C379" s="27" t="n"/>
      <c r="D379" s="25">
        <f>IF($C379="","",IFERROR(IF(INDEX(Roster!$A:$A,MATCH($C379,Roster!$B:$B,0))="","",INDEX(Roster!$A:$A,MATCH($C379,Roster!$B:$B,0))&amp;""),"—"))</f>
        <v/>
      </c>
      <c r="E379" s="25">
        <f>IF($C379="","",IFERROR(IF(INDEX(Roster!$C:$C,MATCH($C379,Roster!$B:$B,0))="","",INDEX(Roster!$C:$C,MATCH($C379,Roster!$B:$B,0))&amp;""),"—"))</f>
        <v/>
      </c>
      <c r="F379" s="25">
        <f>IF($C379="","",IFERROR(IF(INDEX(Roster!$D:$D,MATCH($C379,Roster!$B:$B,0))="","",INDEX(Roster!$D:$D,MATCH($C379,Roster!$B:$B,0))&amp;""),"—"))</f>
        <v/>
      </c>
      <c r="G379" s="25">
        <f>IF($C379="","",IFERROR(IF(INDEX(Roster!$E:$E,MATCH($C379,Roster!$B:$B,0))="","",INDEX(Roster!$E:$E,MATCH($C379,Roster!$B:$B,0))&amp;""),"—"))</f>
        <v/>
      </c>
      <c r="H379" s="25">
        <f>IF($C379="","",IFERROR(IF(INDEX(Roster!$F:$F,MATCH($C379,Roster!$B:$B,0))="","",INDEX(Roster!$F:$F,MATCH($C379,Roster!$B:$B,0))&amp;""),"—"))</f>
        <v/>
      </c>
      <c r="I379" s="25">
        <f>IF($C379="","",IFERROR(IF(INDEX(Roster!$G:$G,MATCH($C379,Roster!$B:$B,0))="","",INDEX(Roster!$G:$G,MATCH($C379,Roster!$B:$B,0))&amp;""),"—"))</f>
        <v/>
      </c>
      <c r="J379" s="25">
        <f>IF($C379="","",IFERROR(IF(INDEX(Roster!$I:$I,MATCH($C379,Roster!$B:$B,0))="","",INDEX(Roster!$I:$I,MATCH($C379,Roster!$B:$B,0))&amp;""),"—"))</f>
        <v/>
      </c>
      <c r="K379">
        <f>IF($C379="","",IFERROR(IF(INDEX(Roster!$J:$J,MATCH($C379,Roster!$B:$B,0))="","",INDEX(Roster!$J:$J,MATCH($C379,Roster!$B:$B,0))&amp;""),"—"))</f>
        <v/>
      </c>
      <c r="L379">
        <f>IF($C379="","",IFERROR(IF(INDEX(Roster!$K:$K,MATCH($C379,Roster!$B:$B,0))="","",INDEX(Roster!$K:$K,MATCH($C379,Roster!$B:$B,0))&amp;""),"—"))</f>
        <v/>
      </c>
      <c r="M379" s="27" t="n"/>
      <c r="N379" s="27" t="n"/>
      <c r="O379" s="25">
        <f>IF($C379="","",IF($P379="","—",IF($P379="Valid (Pass)","Valid","Invalid")))</f>
        <v/>
      </c>
      <c r="P379" s="27" t="n"/>
      <c r="Q379" s="27" t="n"/>
      <c r="R379" s="27" t="n"/>
      <c r="S379" s="27" t="n"/>
      <c r="T379" s="25">
        <f>IF($C379="","",IF(OR(ISNUMBER(SEARCH("quick case",$P379)),ISNUMBER(SEARCH("quick case",$Q379))),"Yes","No"))</f>
        <v/>
      </c>
      <c r="U379" s="25">
        <f>IF($O379="Invalid",HYPERLINK("mailto:"&amp;$G379&amp;";"&amp;$I379&amp;"?cc="&amp;Lists!$E$2&amp;"&amp;subject="&amp;_xlfn.ENCODEURL("[INVALID] Quality audit monitoring completed for "&amp;UPPER($C379))&amp;"&amp;body="&amp;_xlfn.ENCODEURL("Hi "&amp;$F379&amp;","&amp;CHAR(10)&amp;"Good day!"&amp;CHAR(10)&amp;CHAR(10)&amp;"A quality monitoring audit has been completed for "&amp;$C379&amp;"."&amp;CHAR(10)&amp;CHAR(10)&amp;"QUALITY AUDIT DETAILS"&amp;CHAR(10)&amp;"Agent Name: "&amp;$C379&amp;" (EID "&amp;$D379&amp;")"&amp;CHAR(10)&amp;"Audit Date: "&amp;TEXT($B379,"yyyy-mm-dd")&amp;CHAR(10)&amp;"Team Leader: "&amp;$F379&amp;CHAR(10)&amp;"Case Number: "&amp;$M379&amp;CHAR(10)&amp;"Transaction ID: "&amp;$N379&amp;CHAR(10)&amp;"Channel / LOB: "&amp;$K379&amp;" / "&amp;$L379&amp;CHAR(10)&amp;"Evaluator: "&amp;$S379&amp;CHAR(10)&amp;CHAR(10)&amp;"INVALID QUALITY AUDIT DETAILS"&amp;CHAR(10)&amp;"Validation: Invalid"&amp;CHAR(10)&amp;"Invalid Reason: "&amp;$P379&amp;CHAR(10)&amp;"Expected Resolution Code: "&amp;$Q379&amp;CHAR(10)&amp;"Remarks: "&amp;LEFT($R379,600)&amp;CHAR(10)&amp;CHAR(10)&amp;"This is an automated notification from HP Mainstream EQMS."),"✉ Open Email Draft"),"")</f>
        <v/>
      </c>
    </row>
    <row r="380">
      <c r="A380" s="25">
        <f>IF($C380="","","AUD-2026-"&amp;TEXT(ROW()-1,"000000"))</f>
        <v/>
      </c>
      <c r="B380" s="26" t="n"/>
      <c r="C380" s="27" t="n"/>
      <c r="D380" s="25">
        <f>IF($C380="","",IFERROR(IF(INDEX(Roster!$A:$A,MATCH($C380,Roster!$B:$B,0))="","",INDEX(Roster!$A:$A,MATCH($C380,Roster!$B:$B,0))&amp;""),"—"))</f>
        <v/>
      </c>
      <c r="E380" s="25">
        <f>IF($C380="","",IFERROR(IF(INDEX(Roster!$C:$C,MATCH($C380,Roster!$B:$B,0))="","",INDEX(Roster!$C:$C,MATCH($C380,Roster!$B:$B,0))&amp;""),"—"))</f>
        <v/>
      </c>
      <c r="F380" s="25">
        <f>IF($C380="","",IFERROR(IF(INDEX(Roster!$D:$D,MATCH($C380,Roster!$B:$B,0))="","",INDEX(Roster!$D:$D,MATCH($C380,Roster!$B:$B,0))&amp;""),"—"))</f>
        <v/>
      </c>
      <c r="G380" s="25">
        <f>IF($C380="","",IFERROR(IF(INDEX(Roster!$E:$E,MATCH($C380,Roster!$B:$B,0))="","",INDEX(Roster!$E:$E,MATCH($C380,Roster!$B:$B,0))&amp;""),"—"))</f>
        <v/>
      </c>
      <c r="H380" s="25">
        <f>IF($C380="","",IFERROR(IF(INDEX(Roster!$F:$F,MATCH($C380,Roster!$B:$B,0))="","",INDEX(Roster!$F:$F,MATCH($C380,Roster!$B:$B,0))&amp;""),"—"))</f>
        <v/>
      </c>
      <c r="I380" s="25">
        <f>IF($C380="","",IFERROR(IF(INDEX(Roster!$G:$G,MATCH($C380,Roster!$B:$B,0))="","",INDEX(Roster!$G:$G,MATCH($C380,Roster!$B:$B,0))&amp;""),"—"))</f>
        <v/>
      </c>
      <c r="J380" s="25">
        <f>IF($C380="","",IFERROR(IF(INDEX(Roster!$I:$I,MATCH($C380,Roster!$B:$B,0))="","",INDEX(Roster!$I:$I,MATCH($C380,Roster!$B:$B,0))&amp;""),"—"))</f>
        <v/>
      </c>
      <c r="K380">
        <f>IF($C380="","",IFERROR(IF(INDEX(Roster!$J:$J,MATCH($C380,Roster!$B:$B,0))="","",INDEX(Roster!$J:$J,MATCH($C380,Roster!$B:$B,0))&amp;""),"—"))</f>
        <v/>
      </c>
      <c r="L380">
        <f>IF($C380="","",IFERROR(IF(INDEX(Roster!$K:$K,MATCH($C380,Roster!$B:$B,0))="","",INDEX(Roster!$K:$K,MATCH($C380,Roster!$B:$B,0))&amp;""),"—"))</f>
        <v/>
      </c>
      <c r="M380" s="27" t="n"/>
      <c r="N380" s="27" t="n"/>
      <c r="O380" s="25">
        <f>IF($C380="","",IF($P380="","—",IF($P380="Valid (Pass)","Valid","Invalid")))</f>
        <v/>
      </c>
      <c r="P380" s="27" t="n"/>
      <c r="Q380" s="27" t="n"/>
      <c r="R380" s="27" t="n"/>
      <c r="S380" s="27" t="n"/>
      <c r="T380" s="25">
        <f>IF($C380="","",IF(OR(ISNUMBER(SEARCH("quick case",$P380)),ISNUMBER(SEARCH("quick case",$Q380))),"Yes","No"))</f>
        <v/>
      </c>
      <c r="U380" s="25">
        <f>IF($O380="Invalid",HYPERLINK("mailto:"&amp;$G380&amp;";"&amp;$I380&amp;"?cc="&amp;Lists!$E$2&amp;"&amp;subject="&amp;_xlfn.ENCODEURL("[INVALID] Quality audit monitoring completed for "&amp;UPPER($C380))&amp;"&amp;body="&amp;_xlfn.ENCODEURL("Hi "&amp;$F380&amp;","&amp;CHAR(10)&amp;"Good day!"&amp;CHAR(10)&amp;CHAR(10)&amp;"A quality monitoring audit has been completed for "&amp;$C380&amp;"."&amp;CHAR(10)&amp;CHAR(10)&amp;"QUALITY AUDIT DETAILS"&amp;CHAR(10)&amp;"Agent Name: "&amp;$C380&amp;" (EID "&amp;$D380&amp;")"&amp;CHAR(10)&amp;"Audit Date: "&amp;TEXT($B380,"yyyy-mm-dd")&amp;CHAR(10)&amp;"Team Leader: "&amp;$F380&amp;CHAR(10)&amp;"Case Number: "&amp;$M380&amp;CHAR(10)&amp;"Transaction ID: "&amp;$N380&amp;CHAR(10)&amp;"Channel / LOB: "&amp;$K380&amp;" / "&amp;$L380&amp;CHAR(10)&amp;"Evaluator: "&amp;$S380&amp;CHAR(10)&amp;CHAR(10)&amp;"INVALID QUALITY AUDIT DETAILS"&amp;CHAR(10)&amp;"Validation: Invalid"&amp;CHAR(10)&amp;"Invalid Reason: "&amp;$P380&amp;CHAR(10)&amp;"Expected Resolution Code: "&amp;$Q380&amp;CHAR(10)&amp;"Remarks: "&amp;LEFT($R380,600)&amp;CHAR(10)&amp;CHAR(10)&amp;"This is an automated notification from HP Mainstream EQMS."),"✉ Open Email Draft"),"")</f>
        <v/>
      </c>
    </row>
    <row r="381">
      <c r="A381" s="25">
        <f>IF($C381="","","AUD-2026-"&amp;TEXT(ROW()-1,"000000"))</f>
        <v/>
      </c>
      <c r="B381" s="26" t="n"/>
      <c r="C381" s="27" t="n"/>
      <c r="D381" s="25">
        <f>IF($C381="","",IFERROR(IF(INDEX(Roster!$A:$A,MATCH($C381,Roster!$B:$B,0))="","",INDEX(Roster!$A:$A,MATCH($C381,Roster!$B:$B,0))&amp;""),"—"))</f>
        <v/>
      </c>
      <c r="E381" s="25">
        <f>IF($C381="","",IFERROR(IF(INDEX(Roster!$C:$C,MATCH($C381,Roster!$B:$B,0))="","",INDEX(Roster!$C:$C,MATCH($C381,Roster!$B:$B,0))&amp;""),"—"))</f>
        <v/>
      </c>
      <c r="F381" s="25">
        <f>IF($C381="","",IFERROR(IF(INDEX(Roster!$D:$D,MATCH($C381,Roster!$B:$B,0))="","",INDEX(Roster!$D:$D,MATCH($C381,Roster!$B:$B,0))&amp;""),"—"))</f>
        <v/>
      </c>
      <c r="G381" s="25">
        <f>IF($C381="","",IFERROR(IF(INDEX(Roster!$E:$E,MATCH($C381,Roster!$B:$B,0))="","",INDEX(Roster!$E:$E,MATCH($C381,Roster!$B:$B,0))&amp;""),"—"))</f>
        <v/>
      </c>
      <c r="H381" s="25">
        <f>IF($C381="","",IFERROR(IF(INDEX(Roster!$F:$F,MATCH($C381,Roster!$B:$B,0))="","",INDEX(Roster!$F:$F,MATCH($C381,Roster!$B:$B,0))&amp;""),"—"))</f>
        <v/>
      </c>
      <c r="I381" s="25">
        <f>IF($C381="","",IFERROR(IF(INDEX(Roster!$G:$G,MATCH($C381,Roster!$B:$B,0))="","",INDEX(Roster!$G:$G,MATCH($C381,Roster!$B:$B,0))&amp;""),"—"))</f>
        <v/>
      </c>
      <c r="J381" s="25">
        <f>IF($C381="","",IFERROR(IF(INDEX(Roster!$I:$I,MATCH($C381,Roster!$B:$B,0))="","",INDEX(Roster!$I:$I,MATCH($C381,Roster!$B:$B,0))&amp;""),"—"))</f>
        <v/>
      </c>
      <c r="K381">
        <f>IF($C381="","",IFERROR(IF(INDEX(Roster!$J:$J,MATCH($C381,Roster!$B:$B,0))="","",INDEX(Roster!$J:$J,MATCH($C381,Roster!$B:$B,0))&amp;""),"—"))</f>
        <v/>
      </c>
      <c r="L381">
        <f>IF($C381="","",IFERROR(IF(INDEX(Roster!$K:$K,MATCH($C381,Roster!$B:$B,0))="","",INDEX(Roster!$K:$K,MATCH($C381,Roster!$B:$B,0))&amp;""),"—"))</f>
        <v/>
      </c>
      <c r="M381" s="27" t="n"/>
      <c r="N381" s="27" t="n"/>
      <c r="O381" s="25">
        <f>IF($C381="","",IF($P381="","—",IF($P381="Valid (Pass)","Valid","Invalid")))</f>
        <v/>
      </c>
      <c r="P381" s="27" t="n"/>
      <c r="Q381" s="27" t="n"/>
      <c r="R381" s="27" t="n"/>
      <c r="S381" s="27" t="n"/>
      <c r="T381" s="25">
        <f>IF($C381="","",IF(OR(ISNUMBER(SEARCH("quick case",$P381)),ISNUMBER(SEARCH("quick case",$Q381))),"Yes","No"))</f>
        <v/>
      </c>
      <c r="U381" s="25">
        <f>IF($O381="Invalid",HYPERLINK("mailto:"&amp;$G381&amp;";"&amp;$I381&amp;"?cc="&amp;Lists!$E$2&amp;"&amp;subject="&amp;_xlfn.ENCODEURL("[INVALID] Quality audit monitoring completed for "&amp;UPPER($C381))&amp;"&amp;body="&amp;_xlfn.ENCODEURL("Hi "&amp;$F381&amp;","&amp;CHAR(10)&amp;"Good day!"&amp;CHAR(10)&amp;CHAR(10)&amp;"A quality monitoring audit has been completed for "&amp;$C381&amp;"."&amp;CHAR(10)&amp;CHAR(10)&amp;"QUALITY AUDIT DETAILS"&amp;CHAR(10)&amp;"Agent Name: "&amp;$C381&amp;" (EID "&amp;$D381&amp;")"&amp;CHAR(10)&amp;"Audit Date: "&amp;TEXT($B381,"yyyy-mm-dd")&amp;CHAR(10)&amp;"Team Leader: "&amp;$F381&amp;CHAR(10)&amp;"Case Number: "&amp;$M381&amp;CHAR(10)&amp;"Transaction ID: "&amp;$N381&amp;CHAR(10)&amp;"Channel / LOB: "&amp;$K381&amp;" / "&amp;$L381&amp;CHAR(10)&amp;"Evaluator: "&amp;$S381&amp;CHAR(10)&amp;CHAR(10)&amp;"INVALID QUALITY AUDIT DETAILS"&amp;CHAR(10)&amp;"Validation: Invalid"&amp;CHAR(10)&amp;"Invalid Reason: "&amp;$P381&amp;CHAR(10)&amp;"Expected Resolution Code: "&amp;$Q381&amp;CHAR(10)&amp;"Remarks: "&amp;LEFT($R381,600)&amp;CHAR(10)&amp;CHAR(10)&amp;"This is an automated notification from HP Mainstream EQMS."),"✉ Open Email Draft"),"")</f>
        <v/>
      </c>
    </row>
    <row r="382">
      <c r="A382" s="25">
        <f>IF($C382="","","AUD-2026-"&amp;TEXT(ROW()-1,"000000"))</f>
        <v/>
      </c>
      <c r="B382" s="26" t="n"/>
      <c r="C382" s="27" t="n"/>
      <c r="D382" s="25">
        <f>IF($C382="","",IFERROR(IF(INDEX(Roster!$A:$A,MATCH($C382,Roster!$B:$B,0))="","",INDEX(Roster!$A:$A,MATCH($C382,Roster!$B:$B,0))&amp;""),"—"))</f>
        <v/>
      </c>
      <c r="E382" s="25">
        <f>IF($C382="","",IFERROR(IF(INDEX(Roster!$C:$C,MATCH($C382,Roster!$B:$B,0))="","",INDEX(Roster!$C:$C,MATCH($C382,Roster!$B:$B,0))&amp;""),"—"))</f>
        <v/>
      </c>
      <c r="F382" s="25">
        <f>IF($C382="","",IFERROR(IF(INDEX(Roster!$D:$D,MATCH($C382,Roster!$B:$B,0))="","",INDEX(Roster!$D:$D,MATCH($C382,Roster!$B:$B,0))&amp;""),"—"))</f>
        <v/>
      </c>
      <c r="G382" s="25">
        <f>IF($C382="","",IFERROR(IF(INDEX(Roster!$E:$E,MATCH($C382,Roster!$B:$B,0))="","",INDEX(Roster!$E:$E,MATCH($C382,Roster!$B:$B,0))&amp;""),"—"))</f>
        <v/>
      </c>
      <c r="H382" s="25">
        <f>IF($C382="","",IFERROR(IF(INDEX(Roster!$F:$F,MATCH($C382,Roster!$B:$B,0))="","",INDEX(Roster!$F:$F,MATCH($C382,Roster!$B:$B,0))&amp;""),"—"))</f>
        <v/>
      </c>
      <c r="I382" s="25">
        <f>IF($C382="","",IFERROR(IF(INDEX(Roster!$G:$G,MATCH($C382,Roster!$B:$B,0))="","",INDEX(Roster!$G:$G,MATCH($C382,Roster!$B:$B,0))&amp;""),"—"))</f>
        <v/>
      </c>
      <c r="J382" s="25">
        <f>IF($C382="","",IFERROR(IF(INDEX(Roster!$I:$I,MATCH($C382,Roster!$B:$B,0))="","",INDEX(Roster!$I:$I,MATCH($C382,Roster!$B:$B,0))&amp;""),"—"))</f>
        <v/>
      </c>
      <c r="K382">
        <f>IF($C382="","",IFERROR(IF(INDEX(Roster!$J:$J,MATCH($C382,Roster!$B:$B,0))="","",INDEX(Roster!$J:$J,MATCH($C382,Roster!$B:$B,0))&amp;""),"—"))</f>
        <v/>
      </c>
      <c r="L382">
        <f>IF($C382="","",IFERROR(IF(INDEX(Roster!$K:$K,MATCH($C382,Roster!$B:$B,0))="","",INDEX(Roster!$K:$K,MATCH($C382,Roster!$B:$B,0))&amp;""),"—"))</f>
        <v/>
      </c>
      <c r="M382" s="27" t="n"/>
      <c r="N382" s="27" t="n"/>
      <c r="O382" s="25">
        <f>IF($C382="","",IF($P382="","—",IF($P382="Valid (Pass)","Valid","Invalid")))</f>
        <v/>
      </c>
      <c r="P382" s="27" t="n"/>
      <c r="Q382" s="27" t="n"/>
      <c r="R382" s="27" t="n"/>
      <c r="S382" s="27" t="n"/>
      <c r="T382" s="25">
        <f>IF($C382="","",IF(OR(ISNUMBER(SEARCH("quick case",$P382)),ISNUMBER(SEARCH("quick case",$Q382))),"Yes","No"))</f>
        <v/>
      </c>
      <c r="U382" s="25">
        <f>IF($O382="Invalid",HYPERLINK("mailto:"&amp;$G382&amp;";"&amp;$I382&amp;"?cc="&amp;Lists!$E$2&amp;"&amp;subject="&amp;_xlfn.ENCODEURL("[INVALID] Quality audit monitoring completed for "&amp;UPPER($C382))&amp;"&amp;body="&amp;_xlfn.ENCODEURL("Hi "&amp;$F382&amp;","&amp;CHAR(10)&amp;"Good day!"&amp;CHAR(10)&amp;CHAR(10)&amp;"A quality monitoring audit has been completed for "&amp;$C382&amp;"."&amp;CHAR(10)&amp;CHAR(10)&amp;"QUALITY AUDIT DETAILS"&amp;CHAR(10)&amp;"Agent Name: "&amp;$C382&amp;" (EID "&amp;$D382&amp;")"&amp;CHAR(10)&amp;"Audit Date: "&amp;TEXT($B382,"yyyy-mm-dd")&amp;CHAR(10)&amp;"Team Leader: "&amp;$F382&amp;CHAR(10)&amp;"Case Number: "&amp;$M382&amp;CHAR(10)&amp;"Transaction ID: "&amp;$N382&amp;CHAR(10)&amp;"Channel / LOB: "&amp;$K382&amp;" / "&amp;$L382&amp;CHAR(10)&amp;"Evaluator: "&amp;$S382&amp;CHAR(10)&amp;CHAR(10)&amp;"INVALID QUALITY AUDIT DETAILS"&amp;CHAR(10)&amp;"Validation: Invalid"&amp;CHAR(10)&amp;"Invalid Reason: "&amp;$P382&amp;CHAR(10)&amp;"Expected Resolution Code: "&amp;$Q382&amp;CHAR(10)&amp;"Remarks: "&amp;LEFT($R382,600)&amp;CHAR(10)&amp;CHAR(10)&amp;"This is an automated notification from HP Mainstream EQMS."),"✉ Open Email Draft"),"")</f>
        <v/>
      </c>
    </row>
    <row r="383">
      <c r="A383" s="25">
        <f>IF($C383="","","AUD-2026-"&amp;TEXT(ROW()-1,"000000"))</f>
        <v/>
      </c>
      <c r="B383" s="26" t="n"/>
      <c r="C383" s="27" t="n"/>
      <c r="D383" s="25">
        <f>IF($C383="","",IFERROR(IF(INDEX(Roster!$A:$A,MATCH($C383,Roster!$B:$B,0))="","",INDEX(Roster!$A:$A,MATCH($C383,Roster!$B:$B,0))&amp;""),"—"))</f>
        <v/>
      </c>
      <c r="E383" s="25">
        <f>IF($C383="","",IFERROR(IF(INDEX(Roster!$C:$C,MATCH($C383,Roster!$B:$B,0))="","",INDEX(Roster!$C:$C,MATCH($C383,Roster!$B:$B,0))&amp;""),"—"))</f>
        <v/>
      </c>
      <c r="F383" s="25">
        <f>IF($C383="","",IFERROR(IF(INDEX(Roster!$D:$D,MATCH($C383,Roster!$B:$B,0))="","",INDEX(Roster!$D:$D,MATCH($C383,Roster!$B:$B,0))&amp;""),"—"))</f>
        <v/>
      </c>
      <c r="G383" s="25">
        <f>IF($C383="","",IFERROR(IF(INDEX(Roster!$E:$E,MATCH($C383,Roster!$B:$B,0))="","",INDEX(Roster!$E:$E,MATCH($C383,Roster!$B:$B,0))&amp;""),"—"))</f>
        <v/>
      </c>
      <c r="H383" s="25">
        <f>IF($C383="","",IFERROR(IF(INDEX(Roster!$F:$F,MATCH($C383,Roster!$B:$B,0))="","",INDEX(Roster!$F:$F,MATCH($C383,Roster!$B:$B,0))&amp;""),"—"))</f>
        <v/>
      </c>
      <c r="I383" s="25">
        <f>IF($C383="","",IFERROR(IF(INDEX(Roster!$G:$G,MATCH($C383,Roster!$B:$B,0))="","",INDEX(Roster!$G:$G,MATCH($C383,Roster!$B:$B,0))&amp;""),"—"))</f>
        <v/>
      </c>
      <c r="J383" s="25">
        <f>IF($C383="","",IFERROR(IF(INDEX(Roster!$I:$I,MATCH($C383,Roster!$B:$B,0))="","",INDEX(Roster!$I:$I,MATCH($C383,Roster!$B:$B,0))&amp;""),"—"))</f>
        <v/>
      </c>
      <c r="K383">
        <f>IF($C383="","",IFERROR(IF(INDEX(Roster!$J:$J,MATCH($C383,Roster!$B:$B,0))="","",INDEX(Roster!$J:$J,MATCH($C383,Roster!$B:$B,0))&amp;""),"—"))</f>
        <v/>
      </c>
      <c r="L383">
        <f>IF($C383="","",IFERROR(IF(INDEX(Roster!$K:$K,MATCH($C383,Roster!$B:$B,0))="","",INDEX(Roster!$K:$K,MATCH($C383,Roster!$B:$B,0))&amp;""),"—"))</f>
        <v/>
      </c>
      <c r="M383" s="27" t="n"/>
      <c r="N383" s="27" t="n"/>
      <c r="O383" s="25">
        <f>IF($C383="","",IF($P383="","—",IF($P383="Valid (Pass)","Valid","Invalid")))</f>
        <v/>
      </c>
      <c r="P383" s="27" t="n"/>
      <c r="Q383" s="27" t="n"/>
      <c r="R383" s="27" t="n"/>
      <c r="S383" s="27" t="n"/>
      <c r="T383" s="25">
        <f>IF($C383="","",IF(OR(ISNUMBER(SEARCH("quick case",$P383)),ISNUMBER(SEARCH("quick case",$Q383))),"Yes","No"))</f>
        <v/>
      </c>
      <c r="U383" s="25">
        <f>IF($O383="Invalid",HYPERLINK("mailto:"&amp;$G383&amp;";"&amp;$I383&amp;"?cc="&amp;Lists!$E$2&amp;"&amp;subject="&amp;_xlfn.ENCODEURL("[INVALID] Quality audit monitoring completed for "&amp;UPPER($C383))&amp;"&amp;body="&amp;_xlfn.ENCODEURL("Hi "&amp;$F383&amp;","&amp;CHAR(10)&amp;"Good day!"&amp;CHAR(10)&amp;CHAR(10)&amp;"A quality monitoring audit has been completed for "&amp;$C383&amp;"."&amp;CHAR(10)&amp;CHAR(10)&amp;"QUALITY AUDIT DETAILS"&amp;CHAR(10)&amp;"Agent Name: "&amp;$C383&amp;" (EID "&amp;$D383&amp;")"&amp;CHAR(10)&amp;"Audit Date: "&amp;TEXT($B383,"yyyy-mm-dd")&amp;CHAR(10)&amp;"Team Leader: "&amp;$F383&amp;CHAR(10)&amp;"Case Number: "&amp;$M383&amp;CHAR(10)&amp;"Transaction ID: "&amp;$N383&amp;CHAR(10)&amp;"Channel / LOB: "&amp;$K383&amp;" / "&amp;$L383&amp;CHAR(10)&amp;"Evaluator: "&amp;$S383&amp;CHAR(10)&amp;CHAR(10)&amp;"INVALID QUALITY AUDIT DETAILS"&amp;CHAR(10)&amp;"Validation: Invalid"&amp;CHAR(10)&amp;"Invalid Reason: "&amp;$P383&amp;CHAR(10)&amp;"Expected Resolution Code: "&amp;$Q383&amp;CHAR(10)&amp;"Remarks: "&amp;LEFT($R383,600)&amp;CHAR(10)&amp;CHAR(10)&amp;"This is an automated notification from HP Mainstream EQMS."),"✉ Open Email Draft"),"")</f>
        <v/>
      </c>
    </row>
    <row r="384">
      <c r="A384" s="25">
        <f>IF($C384="","","AUD-2026-"&amp;TEXT(ROW()-1,"000000"))</f>
        <v/>
      </c>
      <c r="B384" s="26" t="n"/>
      <c r="C384" s="27" t="n"/>
      <c r="D384" s="25">
        <f>IF($C384="","",IFERROR(IF(INDEX(Roster!$A:$A,MATCH($C384,Roster!$B:$B,0))="","",INDEX(Roster!$A:$A,MATCH($C384,Roster!$B:$B,0))&amp;""),"—"))</f>
        <v/>
      </c>
      <c r="E384" s="25">
        <f>IF($C384="","",IFERROR(IF(INDEX(Roster!$C:$C,MATCH($C384,Roster!$B:$B,0))="","",INDEX(Roster!$C:$C,MATCH($C384,Roster!$B:$B,0))&amp;""),"—"))</f>
        <v/>
      </c>
      <c r="F384" s="25">
        <f>IF($C384="","",IFERROR(IF(INDEX(Roster!$D:$D,MATCH($C384,Roster!$B:$B,0))="","",INDEX(Roster!$D:$D,MATCH($C384,Roster!$B:$B,0))&amp;""),"—"))</f>
        <v/>
      </c>
      <c r="G384" s="25">
        <f>IF($C384="","",IFERROR(IF(INDEX(Roster!$E:$E,MATCH($C384,Roster!$B:$B,0))="","",INDEX(Roster!$E:$E,MATCH($C384,Roster!$B:$B,0))&amp;""),"—"))</f>
        <v/>
      </c>
      <c r="H384" s="25">
        <f>IF($C384="","",IFERROR(IF(INDEX(Roster!$F:$F,MATCH($C384,Roster!$B:$B,0))="","",INDEX(Roster!$F:$F,MATCH($C384,Roster!$B:$B,0))&amp;""),"—"))</f>
        <v/>
      </c>
      <c r="I384" s="25">
        <f>IF($C384="","",IFERROR(IF(INDEX(Roster!$G:$G,MATCH($C384,Roster!$B:$B,0))="","",INDEX(Roster!$G:$G,MATCH($C384,Roster!$B:$B,0))&amp;""),"—"))</f>
        <v/>
      </c>
      <c r="J384" s="25">
        <f>IF($C384="","",IFERROR(IF(INDEX(Roster!$I:$I,MATCH($C384,Roster!$B:$B,0))="","",INDEX(Roster!$I:$I,MATCH($C384,Roster!$B:$B,0))&amp;""),"—"))</f>
        <v/>
      </c>
      <c r="K384">
        <f>IF($C384="","",IFERROR(IF(INDEX(Roster!$J:$J,MATCH($C384,Roster!$B:$B,0))="","",INDEX(Roster!$J:$J,MATCH($C384,Roster!$B:$B,0))&amp;""),"—"))</f>
        <v/>
      </c>
      <c r="L384">
        <f>IF($C384="","",IFERROR(IF(INDEX(Roster!$K:$K,MATCH($C384,Roster!$B:$B,0))="","",INDEX(Roster!$K:$K,MATCH($C384,Roster!$B:$B,0))&amp;""),"—"))</f>
        <v/>
      </c>
      <c r="M384" s="27" t="n"/>
      <c r="N384" s="27" t="n"/>
      <c r="O384" s="25">
        <f>IF($C384="","",IF($P384="","—",IF($P384="Valid (Pass)","Valid","Invalid")))</f>
        <v/>
      </c>
      <c r="P384" s="27" t="n"/>
      <c r="Q384" s="27" t="n"/>
      <c r="R384" s="27" t="n"/>
      <c r="S384" s="27" t="n"/>
      <c r="T384" s="25">
        <f>IF($C384="","",IF(OR(ISNUMBER(SEARCH("quick case",$P384)),ISNUMBER(SEARCH("quick case",$Q384))),"Yes","No"))</f>
        <v/>
      </c>
      <c r="U384" s="25">
        <f>IF($O384="Invalid",HYPERLINK("mailto:"&amp;$G384&amp;";"&amp;$I384&amp;"?cc="&amp;Lists!$E$2&amp;"&amp;subject="&amp;_xlfn.ENCODEURL("[INVALID] Quality audit monitoring completed for "&amp;UPPER($C384))&amp;"&amp;body="&amp;_xlfn.ENCODEURL("Hi "&amp;$F384&amp;","&amp;CHAR(10)&amp;"Good day!"&amp;CHAR(10)&amp;CHAR(10)&amp;"A quality monitoring audit has been completed for "&amp;$C384&amp;"."&amp;CHAR(10)&amp;CHAR(10)&amp;"QUALITY AUDIT DETAILS"&amp;CHAR(10)&amp;"Agent Name: "&amp;$C384&amp;" (EID "&amp;$D384&amp;")"&amp;CHAR(10)&amp;"Audit Date: "&amp;TEXT($B384,"yyyy-mm-dd")&amp;CHAR(10)&amp;"Team Leader: "&amp;$F384&amp;CHAR(10)&amp;"Case Number: "&amp;$M384&amp;CHAR(10)&amp;"Transaction ID: "&amp;$N384&amp;CHAR(10)&amp;"Channel / LOB: "&amp;$K384&amp;" / "&amp;$L384&amp;CHAR(10)&amp;"Evaluator: "&amp;$S384&amp;CHAR(10)&amp;CHAR(10)&amp;"INVALID QUALITY AUDIT DETAILS"&amp;CHAR(10)&amp;"Validation: Invalid"&amp;CHAR(10)&amp;"Invalid Reason: "&amp;$P384&amp;CHAR(10)&amp;"Expected Resolution Code: "&amp;$Q384&amp;CHAR(10)&amp;"Remarks: "&amp;LEFT($R384,600)&amp;CHAR(10)&amp;CHAR(10)&amp;"This is an automated notification from HP Mainstream EQMS."),"✉ Open Email Draft"),"")</f>
        <v/>
      </c>
    </row>
    <row r="385">
      <c r="A385" s="25">
        <f>IF($C385="","","AUD-2026-"&amp;TEXT(ROW()-1,"000000"))</f>
        <v/>
      </c>
      <c r="B385" s="26" t="n"/>
      <c r="C385" s="27" t="n"/>
      <c r="D385" s="25">
        <f>IF($C385="","",IFERROR(IF(INDEX(Roster!$A:$A,MATCH($C385,Roster!$B:$B,0))="","",INDEX(Roster!$A:$A,MATCH($C385,Roster!$B:$B,0))&amp;""),"—"))</f>
        <v/>
      </c>
      <c r="E385" s="25">
        <f>IF($C385="","",IFERROR(IF(INDEX(Roster!$C:$C,MATCH($C385,Roster!$B:$B,0))="","",INDEX(Roster!$C:$C,MATCH($C385,Roster!$B:$B,0))&amp;""),"—"))</f>
        <v/>
      </c>
      <c r="F385" s="25">
        <f>IF($C385="","",IFERROR(IF(INDEX(Roster!$D:$D,MATCH($C385,Roster!$B:$B,0))="","",INDEX(Roster!$D:$D,MATCH($C385,Roster!$B:$B,0))&amp;""),"—"))</f>
        <v/>
      </c>
      <c r="G385" s="25">
        <f>IF($C385="","",IFERROR(IF(INDEX(Roster!$E:$E,MATCH($C385,Roster!$B:$B,0))="","",INDEX(Roster!$E:$E,MATCH($C385,Roster!$B:$B,0))&amp;""),"—"))</f>
        <v/>
      </c>
      <c r="H385" s="25">
        <f>IF($C385="","",IFERROR(IF(INDEX(Roster!$F:$F,MATCH($C385,Roster!$B:$B,0))="","",INDEX(Roster!$F:$F,MATCH($C385,Roster!$B:$B,0))&amp;""),"—"))</f>
        <v/>
      </c>
      <c r="I385" s="25">
        <f>IF($C385="","",IFERROR(IF(INDEX(Roster!$G:$G,MATCH($C385,Roster!$B:$B,0))="","",INDEX(Roster!$G:$G,MATCH($C385,Roster!$B:$B,0))&amp;""),"—"))</f>
        <v/>
      </c>
      <c r="J385" s="25">
        <f>IF($C385="","",IFERROR(IF(INDEX(Roster!$I:$I,MATCH($C385,Roster!$B:$B,0))="","",INDEX(Roster!$I:$I,MATCH($C385,Roster!$B:$B,0))&amp;""),"—"))</f>
        <v/>
      </c>
      <c r="K385">
        <f>IF($C385="","",IFERROR(IF(INDEX(Roster!$J:$J,MATCH($C385,Roster!$B:$B,0))="","",INDEX(Roster!$J:$J,MATCH($C385,Roster!$B:$B,0))&amp;""),"—"))</f>
        <v/>
      </c>
      <c r="L385">
        <f>IF($C385="","",IFERROR(IF(INDEX(Roster!$K:$K,MATCH($C385,Roster!$B:$B,0))="","",INDEX(Roster!$K:$K,MATCH($C385,Roster!$B:$B,0))&amp;""),"—"))</f>
        <v/>
      </c>
      <c r="M385" s="27" t="n"/>
      <c r="N385" s="27" t="n"/>
      <c r="O385" s="25">
        <f>IF($C385="","",IF($P385="","—",IF($P385="Valid (Pass)","Valid","Invalid")))</f>
        <v/>
      </c>
      <c r="P385" s="27" t="n"/>
      <c r="Q385" s="27" t="n"/>
      <c r="R385" s="27" t="n"/>
      <c r="S385" s="27" t="n"/>
      <c r="T385" s="25">
        <f>IF($C385="","",IF(OR(ISNUMBER(SEARCH("quick case",$P385)),ISNUMBER(SEARCH("quick case",$Q385))),"Yes","No"))</f>
        <v/>
      </c>
      <c r="U385" s="25">
        <f>IF($O385="Invalid",HYPERLINK("mailto:"&amp;$G385&amp;";"&amp;$I385&amp;"?cc="&amp;Lists!$E$2&amp;"&amp;subject="&amp;_xlfn.ENCODEURL("[INVALID] Quality audit monitoring completed for "&amp;UPPER($C385))&amp;"&amp;body="&amp;_xlfn.ENCODEURL("Hi "&amp;$F385&amp;","&amp;CHAR(10)&amp;"Good day!"&amp;CHAR(10)&amp;CHAR(10)&amp;"A quality monitoring audit has been completed for "&amp;$C385&amp;"."&amp;CHAR(10)&amp;CHAR(10)&amp;"QUALITY AUDIT DETAILS"&amp;CHAR(10)&amp;"Agent Name: "&amp;$C385&amp;" (EID "&amp;$D385&amp;")"&amp;CHAR(10)&amp;"Audit Date: "&amp;TEXT($B385,"yyyy-mm-dd")&amp;CHAR(10)&amp;"Team Leader: "&amp;$F385&amp;CHAR(10)&amp;"Case Number: "&amp;$M385&amp;CHAR(10)&amp;"Transaction ID: "&amp;$N385&amp;CHAR(10)&amp;"Channel / LOB: "&amp;$K385&amp;" / "&amp;$L385&amp;CHAR(10)&amp;"Evaluator: "&amp;$S385&amp;CHAR(10)&amp;CHAR(10)&amp;"INVALID QUALITY AUDIT DETAILS"&amp;CHAR(10)&amp;"Validation: Invalid"&amp;CHAR(10)&amp;"Invalid Reason: "&amp;$P385&amp;CHAR(10)&amp;"Expected Resolution Code: "&amp;$Q385&amp;CHAR(10)&amp;"Remarks: "&amp;LEFT($R385,600)&amp;CHAR(10)&amp;CHAR(10)&amp;"This is an automated notification from HP Mainstream EQMS."),"✉ Open Email Draft"),"")</f>
        <v/>
      </c>
    </row>
    <row r="386">
      <c r="A386" s="25">
        <f>IF($C386="","","AUD-2026-"&amp;TEXT(ROW()-1,"000000"))</f>
        <v/>
      </c>
      <c r="B386" s="26" t="n"/>
      <c r="C386" s="27" t="n"/>
      <c r="D386" s="25">
        <f>IF($C386="","",IFERROR(IF(INDEX(Roster!$A:$A,MATCH($C386,Roster!$B:$B,0))="","",INDEX(Roster!$A:$A,MATCH($C386,Roster!$B:$B,0))&amp;""),"—"))</f>
        <v/>
      </c>
      <c r="E386" s="25">
        <f>IF($C386="","",IFERROR(IF(INDEX(Roster!$C:$C,MATCH($C386,Roster!$B:$B,0))="","",INDEX(Roster!$C:$C,MATCH($C386,Roster!$B:$B,0))&amp;""),"—"))</f>
        <v/>
      </c>
      <c r="F386" s="25">
        <f>IF($C386="","",IFERROR(IF(INDEX(Roster!$D:$D,MATCH($C386,Roster!$B:$B,0))="","",INDEX(Roster!$D:$D,MATCH($C386,Roster!$B:$B,0))&amp;""),"—"))</f>
        <v/>
      </c>
      <c r="G386" s="25">
        <f>IF($C386="","",IFERROR(IF(INDEX(Roster!$E:$E,MATCH($C386,Roster!$B:$B,0))="","",INDEX(Roster!$E:$E,MATCH($C386,Roster!$B:$B,0))&amp;""),"—"))</f>
        <v/>
      </c>
      <c r="H386" s="25">
        <f>IF($C386="","",IFERROR(IF(INDEX(Roster!$F:$F,MATCH($C386,Roster!$B:$B,0))="","",INDEX(Roster!$F:$F,MATCH($C386,Roster!$B:$B,0))&amp;""),"—"))</f>
        <v/>
      </c>
      <c r="I386" s="25">
        <f>IF($C386="","",IFERROR(IF(INDEX(Roster!$G:$G,MATCH($C386,Roster!$B:$B,0))="","",INDEX(Roster!$G:$G,MATCH($C386,Roster!$B:$B,0))&amp;""),"—"))</f>
        <v/>
      </c>
      <c r="J386" s="25">
        <f>IF($C386="","",IFERROR(IF(INDEX(Roster!$I:$I,MATCH($C386,Roster!$B:$B,0))="","",INDEX(Roster!$I:$I,MATCH($C386,Roster!$B:$B,0))&amp;""),"—"))</f>
        <v/>
      </c>
      <c r="K386">
        <f>IF($C386="","",IFERROR(IF(INDEX(Roster!$J:$J,MATCH($C386,Roster!$B:$B,0))="","",INDEX(Roster!$J:$J,MATCH($C386,Roster!$B:$B,0))&amp;""),"—"))</f>
        <v/>
      </c>
      <c r="L386">
        <f>IF($C386="","",IFERROR(IF(INDEX(Roster!$K:$K,MATCH($C386,Roster!$B:$B,0))="","",INDEX(Roster!$K:$K,MATCH($C386,Roster!$B:$B,0))&amp;""),"—"))</f>
        <v/>
      </c>
      <c r="M386" s="27" t="n"/>
      <c r="N386" s="27" t="n"/>
      <c r="O386" s="25">
        <f>IF($C386="","",IF($P386="","—",IF($P386="Valid (Pass)","Valid","Invalid")))</f>
        <v/>
      </c>
      <c r="P386" s="27" t="n"/>
      <c r="Q386" s="27" t="n"/>
      <c r="R386" s="27" t="n"/>
      <c r="S386" s="27" t="n"/>
      <c r="T386" s="25">
        <f>IF($C386="","",IF(OR(ISNUMBER(SEARCH("quick case",$P386)),ISNUMBER(SEARCH("quick case",$Q386))),"Yes","No"))</f>
        <v/>
      </c>
      <c r="U386" s="25">
        <f>IF($O386="Invalid",HYPERLINK("mailto:"&amp;$G386&amp;";"&amp;$I386&amp;"?cc="&amp;Lists!$E$2&amp;"&amp;subject="&amp;_xlfn.ENCODEURL("[INVALID] Quality audit monitoring completed for "&amp;UPPER($C386))&amp;"&amp;body="&amp;_xlfn.ENCODEURL("Hi "&amp;$F386&amp;","&amp;CHAR(10)&amp;"Good day!"&amp;CHAR(10)&amp;CHAR(10)&amp;"A quality monitoring audit has been completed for "&amp;$C386&amp;"."&amp;CHAR(10)&amp;CHAR(10)&amp;"QUALITY AUDIT DETAILS"&amp;CHAR(10)&amp;"Agent Name: "&amp;$C386&amp;" (EID "&amp;$D386&amp;")"&amp;CHAR(10)&amp;"Audit Date: "&amp;TEXT($B386,"yyyy-mm-dd")&amp;CHAR(10)&amp;"Team Leader: "&amp;$F386&amp;CHAR(10)&amp;"Case Number: "&amp;$M386&amp;CHAR(10)&amp;"Transaction ID: "&amp;$N386&amp;CHAR(10)&amp;"Channel / LOB: "&amp;$K386&amp;" / "&amp;$L386&amp;CHAR(10)&amp;"Evaluator: "&amp;$S386&amp;CHAR(10)&amp;CHAR(10)&amp;"INVALID QUALITY AUDIT DETAILS"&amp;CHAR(10)&amp;"Validation: Invalid"&amp;CHAR(10)&amp;"Invalid Reason: "&amp;$P386&amp;CHAR(10)&amp;"Expected Resolution Code: "&amp;$Q386&amp;CHAR(10)&amp;"Remarks: "&amp;LEFT($R386,600)&amp;CHAR(10)&amp;CHAR(10)&amp;"This is an automated notification from HP Mainstream EQMS."),"✉ Open Email Draft"),"")</f>
        <v/>
      </c>
    </row>
    <row r="387">
      <c r="A387" s="25">
        <f>IF($C387="","","AUD-2026-"&amp;TEXT(ROW()-1,"000000"))</f>
        <v/>
      </c>
      <c r="B387" s="26" t="n"/>
      <c r="C387" s="27" t="n"/>
      <c r="D387" s="25">
        <f>IF($C387="","",IFERROR(IF(INDEX(Roster!$A:$A,MATCH($C387,Roster!$B:$B,0))="","",INDEX(Roster!$A:$A,MATCH($C387,Roster!$B:$B,0))&amp;""),"—"))</f>
        <v/>
      </c>
      <c r="E387" s="25">
        <f>IF($C387="","",IFERROR(IF(INDEX(Roster!$C:$C,MATCH($C387,Roster!$B:$B,0))="","",INDEX(Roster!$C:$C,MATCH($C387,Roster!$B:$B,0))&amp;""),"—"))</f>
        <v/>
      </c>
      <c r="F387" s="25">
        <f>IF($C387="","",IFERROR(IF(INDEX(Roster!$D:$D,MATCH($C387,Roster!$B:$B,0))="","",INDEX(Roster!$D:$D,MATCH($C387,Roster!$B:$B,0))&amp;""),"—"))</f>
        <v/>
      </c>
      <c r="G387" s="25">
        <f>IF($C387="","",IFERROR(IF(INDEX(Roster!$E:$E,MATCH($C387,Roster!$B:$B,0))="","",INDEX(Roster!$E:$E,MATCH($C387,Roster!$B:$B,0))&amp;""),"—"))</f>
        <v/>
      </c>
      <c r="H387" s="25">
        <f>IF($C387="","",IFERROR(IF(INDEX(Roster!$F:$F,MATCH($C387,Roster!$B:$B,0))="","",INDEX(Roster!$F:$F,MATCH($C387,Roster!$B:$B,0))&amp;""),"—"))</f>
        <v/>
      </c>
      <c r="I387" s="25">
        <f>IF($C387="","",IFERROR(IF(INDEX(Roster!$G:$G,MATCH($C387,Roster!$B:$B,0))="","",INDEX(Roster!$G:$G,MATCH($C387,Roster!$B:$B,0))&amp;""),"—"))</f>
        <v/>
      </c>
      <c r="J387" s="25">
        <f>IF($C387="","",IFERROR(IF(INDEX(Roster!$I:$I,MATCH($C387,Roster!$B:$B,0))="","",INDEX(Roster!$I:$I,MATCH($C387,Roster!$B:$B,0))&amp;""),"—"))</f>
        <v/>
      </c>
      <c r="K387">
        <f>IF($C387="","",IFERROR(IF(INDEX(Roster!$J:$J,MATCH($C387,Roster!$B:$B,0))="","",INDEX(Roster!$J:$J,MATCH($C387,Roster!$B:$B,0))&amp;""),"—"))</f>
        <v/>
      </c>
      <c r="L387">
        <f>IF($C387="","",IFERROR(IF(INDEX(Roster!$K:$K,MATCH($C387,Roster!$B:$B,0))="","",INDEX(Roster!$K:$K,MATCH($C387,Roster!$B:$B,0))&amp;""),"—"))</f>
        <v/>
      </c>
      <c r="M387" s="27" t="n"/>
      <c r="N387" s="27" t="n"/>
      <c r="O387" s="25">
        <f>IF($C387="","",IF($P387="","—",IF($P387="Valid (Pass)","Valid","Invalid")))</f>
        <v/>
      </c>
      <c r="P387" s="27" t="n"/>
      <c r="Q387" s="27" t="n"/>
      <c r="R387" s="27" t="n"/>
      <c r="S387" s="27" t="n"/>
      <c r="T387" s="25">
        <f>IF($C387="","",IF(OR(ISNUMBER(SEARCH("quick case",$P387)),ISNUMBER(SEARCH("quick case",$Q387))),"Yes","No"))</f>
        <v/>
      </c>
      <c r="U387" s="25">
        <f>IF($O387="Invalid",HYPERLINK("mailto:"&amp;$G387&amp;";"&amp;$I387&amp;"?cc="&amp;Lists!$E$2&amp;"&amp;subject="&amp;_xlfn.ENCODEURL("[INVALID] Quality audit monitoring completed for "&amp;UPPER($C387))&amp;"&amp;body="&amp;_xlfn.ENCODEURL("Hi "&amp;$F387&amp;","&amp;CHAR(10)&amp;"Good day!"&amp;CHAR(10)&amp;CHAR(10)&amp;"A quality monitoring audit has been completed for "&amp;$C387&amp;"."&amp;CHAR(10)&amp;CHAR(10)&amp;"QUALITY AUDIT DETAILS"&amp;CHAR(10)&amp;"Agent Name: "&amp;$C387&amp;" (EID "&amp;$D387&amp;")"&amp;CHAR(10)&amp;"Audit Date: "&amp;TEXT($B387,"yyyy-mm-dd")&amp;CHAR(10)&amp;"Team Leader: "&amp;$F387&amp;CHAR(10)&amp;"Case Number: "&amp;$M387&amp;CHAR(10)&amp;"Transaction ID: "&amp;$N387&amp;CHAR(10)&amp;"Channel / LOB: "&amp;$K387&amp;" / "&amp;$L387&amp;CHAR(10)&amp;"Evaluator: "&amp;$S387&amp;CHAR(10)&amp;CHAR(10)&amp;"INVALID QUALITY AUDIT DETAILS"&amp;CHAR(10)&amp;"Validation: Invalid"&amp;CHAR(10)&amp;"Invalid Reason: "&amp;$P387&amp;CHAR(10)&amp;"Expected Resolution Code: "&amp;$Q387&amp;CHAR(10)&amp;"Remarks: "&amp;LEFT($R387,600)&amp;CHAR(10)&amp;CHAR(10)&amp;"This is an automated notification from HP Mainstream EQMS."),"✉ Open Email Draft"),"")</f>
        <v/>
      </c>
    </row>
    <row r="388">
      <c r="A388" s="25">
        <f>IF($C388="","","AUD-2026-"&amp;TEXT(ROW()-1,"000000"))</f>
        <v/>
      </c>
      <c r="B388" s="26" t="n"/>
      <c r="C388" s="27" t="n"/>
      <c r="D388" s="25">
        <f>IF($C388="","",IFERROR(IF(INDEX(Roster!$A:$A,MATCH($C388,Roster!$B:$B,0))="","",INDEX(Roster!$A:$A,MATCH($C388,Roster!$B:$B,0))&amp;""),"—"))</f>
        <v/>
      </c>
      <c r="E388" s="25">
        <f>IF($C388="","",IFERROR(IF(INDEX(Roster!$C:$C,MATCH($C388,Roster!$B:$B,0))="","",INDEX(Roster!$C:$C,MATCH($C388,Roster!$B:$B,0))&amp;""),"—"))</f>
        <v/>
      </c>
      <c r="F388" s="25">
        <f>IF($C388="","",IFERROR(IF(INDEX(Roster!$D:$D,MATCH($C388,Roster!$B:$B,0))="","",INDEX(Roster!$D:$D,MATCH($C388,Roster!$B:$B,0))&amp;""),"—"))</f>
        <v/>
      </c>
      <c r="G388" s="25">
        <f>IF($C388="","",IFERROR(IF(INDEX(Roster!$E:$E,MATCH($C388,Roster!$B:$B,0))="","",INDEX(Roster!$E:$E,MATCH($C388,Roster!$B:$B,0))&amp;""),"—"))</f>
        <v/>
      </c>
      <c r="H388" s="25">
        <f>IF($C388="","",IFERROR(IF(INDEX(Roster!$F:$F,MATCH($C388,Roster!$B:$B,0))="","",INDEX(Roster!$F:$F,MATCH($C388,Roster!$B:$B,0))&amp;""),"—"))</f>
        <v/>
      </c>
      <c r="I388" s="25">
        <f>IF($C388="","",IFERROR(IF(INDEX(Roster!$G:$G,MATCH($C388,Roster!$B:$B,0))="","",INDEX(Roster!$G:$G,MATCH($C388,Roster!$B:$B,0))&amp;""),"—"))</f>
        <v/>
      </c>
      <c r="J388" s="25">
        <f>IF($C388="","",IFERROR(IF(INDEX(Roster!$I:$I,MATCH($C388,Roster!$B:$B,0))="","",INDEX(Roster!$I:$I,MATCH($C388,Roster!$B:$B,0))&amp;""),"—"))</f>
        <v/>
      </c>
      <c r="K388">
        <f>IF($C388="","",IFERROR(IF(INDEX(Roster!$J:$J,MATCH($C388,Roster!$B:$B,0))="","",INDEX(Roster!$J:$J,MATCH($C388,Roster!$B:$B,0))&amp;""),"—"))</f>
        <v/>
      </c>
      <c r="L388">
        <f>IF($C388="","",IFERROR(IF(INDEX(Roster!$K:$K,MATCH($C388,Roster!$B:$B,0))="","",INDEX(Roster!$K:$K,MATCH($C388,Roster!$B:$B,0))&amp;""),"—"))</f>
        <v/>
      </c>
      <c r="M388" s="27" t="n"/>
      <c r="N388" s="27" t="n"/>
      <c r="O388" s="25">
        <f>IF($C388="","",IF($P388="","—",IF($P388="Valid (Pass)","Valid","Invalid")))</f>
        <v/>
      </c>
      <c r="P388" s="27" t="n"/>
      <c r="Q388" s="27" t="n"/>
      <c r="R388" s="27" t="n"/>
      <c r="S388" s="27" t="n"/>
      <c r="T388" s="25">
        <f>IF($C388="","",IF(OR(ISNUMBER(SEARCH("quick case",$P388)),ISNUMBER(SEARCH("quick case",$Q388))),"Yes","No"))</f>
        <v/>
      </c>
      <c r="U388" s="25">
        <f>IF($O388="Invalid",HYPERLINK("mailto:"&amp;$G388&amp;";"&amp;$I388&amp;"?cc="&amp;Lists!$E$2&amp;"&amp;subject="&amp;_xlfn.ENCODEURL("[INVALID] Quality audit monitoring completed for "&amp;UPPER($C388))&amp;"&amp;body="&amp;_xlfn.ENCODEURL("Hi "&amp;$F388&amp;","&amp;CHAR(10)&amp;"Good day!"&amp;CHAR(10)&amp;CHAR(10)&amp;"A quality monitoring audit has been completed for "&amp;$C388&amp;"."&amp;CHAR(10)&amp;CHAR(10)&amp;"QUALITY AUDIT DETAILS"&amp;CHAR(10)&amp;"Agent Name: "&amp;$C388&amp;" (EID "&amp;$D388&amp;")"&amp;CHAR(10)&amp;"Audit Date: "&amp;TEXT($B388,"yyyy-mm-dd")&amp;CHAR(10)&amp;"Team Leader: "&amp;$F388&amp;CHAR(10)&amp;"Case Number: "&amp;$M388&amp;CHAR(10)&amp;"Transaction ID: "&amp;$N388&amp;CHAR(10)&amp;"Channel / LOB: "&amp;$K388&amp;" / "&amp;$L388&amp;CHAR(10)&amp;"Evaluator: "&amp;$S388&amp;CHAR(10)&amp;CHAR(10)&amp;"INVALID QUALITY AUDIT DETAILS"&amp;CHAR(10)&amp;"Validation: Invalid"&amp;CHAR(10)&amp;"Invalid Reason: "&amp;$P388&amp;CHAR(10)&amp;"Expected Resolution Code: "&amp;$Q388&amp;CHAR(10)&amp;"Remarks: "&amp;LEFT($R388,600)&amp;CHAR(10)&amp;CHAR(10)&amp;"This is an automated notification from HP Mainstream EQMS."),"✉ Open Email Draft"),"")</f>
        <v/>
      </c>
    </row>
    <row r="389">
      <c r="A389" s="25">
        <f>IF($C389="","","AUD-2026-"&amp;TEXT(ROW()-1,"000000"))</f>
        <v/>
      </c>
      <c r="B389" s="26" t="n"/>
      <c r="C389" s="27" t="n"/>
      <c r="D389" s="25">
        <f>IF($C389="","",IFERROR(IF(INDEX(Roster!$A:$A,MATCH($C389,Roster!$B:$B,0))="","",INDEX(Roster!$A:$A,MATCH($C389,Roster!$B:$B,0))&amp;""),"—"))</f>
        <v/>
      </c>
      <c r="E389" s="25">
        <f>IF($C389="","",IFERROR(IF(INDEX(Roster!$C:$C,MATCH($C389,Roster!$B:$B,0))="","",INDEX(Roster!$C:$C,MATCH($C389,Roster!$B:$B,0))&amp;""),"—"))</f>
        <v/>
      </c>
      <c r="F389" s="25">
        <f>IF($C389="","",IFERROR(IF(INDEX(Roster!$D:$D,MATCH($C389,Roster!$B:$B,0))="","",INDEX(Roster!$D:$D,MATCH($C389,Roster!$B:$B,0))&amp;""),"—"))</f>
        <v/>
      </c>
      <c r="G389" s="25">
        <f>IF($C389="","",IFERROR(IF(INDEX(Roster!$E:$E,MATCH($C389,Roster!$B:$B,0))="","",INDEX(Roster!$E:$E,MATCH($C389,Roster!$B:$B,0))&amp;""),"—"))</f>
        <v/>
      </c>
      <c r="H389" s="25">
        <f>IF($C389="","",IFERROR(IF(INDEX(Roster!$F:$F,MATCH($C389,Roster!$B:$B,0))="","",INDEX(Roster!$F:$F,MATCH($C389,Roster!$B:$B,0))&amp;""),"—"))</f>
        <v/>
      </c>
      <c r="I389" s="25">
        <f>IF($C389="","",IFERROR(IF(INDEX(Roster!$G:$G,MATCH($C389,Roster!$B:$B,0))="","",INDEX(Roster!$G:$G,MATCH($C389,Roster!$B:$B,0))&amp;""),"—"))</f>
        <v/>
      </c>
      <c r="J389" s="25">
        <f>IF($C389="","",IFERROR(IF(INDEX(Roster!$I:$I,MATCH($C389,Roster!$B:$B,0))="","",INDEX(Roster!$I:$I,MATCH($C389,Roster!$B:$B,0))&amp;""),"—"))</f>
        <v/>
      </c>
      <c r="K389">
        <f>IF($C389="","",IFERROR(IF(INDEX(Roster!$J:$J,MATCH($C389,Roster!$B:$B,0))="","",INDEX(Roster!$J:$J,MATCH($C389,Roster!$B:$B,0))&amp;""),"—"))</f>
        <v/>
      </c>
      <c r="L389">
        <f>IF($C389="","",IFERROR(IF(INDEX(Roster!$K:$K,MATCH($C389,Roster!$B:$B,0))="","",INDEX(Roster!$K:$K,MATCH($C389,Roster!$B:$B,0))&amp;""),"—"))</f>
        <v/>
      </c>
      <c r="M389" s="27" t="n"/>
      <c r="N389" s="27" t="n"/>
      <c r="O389" s="25">
        <f>IF($C389="","",IF($P389="","—",IF($P389="Valid (Pass)","Valid","Invalid")))</f>
        <v/>
      </c>
      <c r="P389" s="27" t="n"/>
      <c r="Q389" s="27" t="n"/>
      <c r="R389" s="27" t="n"/>
      <c r="S389" s="27" t="n"/>
      <c r="T389" s="25">
        <f>IF($C389="","",IF(OR(ISNUMBER(SEARCH("quick case",$P389)),ISNUMBER(SEARCH("quick case",$Q389))),"Yes","No"))</f>
        <v/>
      </c>
      <c r="U389" s="25">
        <f>IF($O389="Invalid",HYPERLINK("mailto:"&amp;$G389&amp;";"&amp;$I389&amp;"?cc="&amp;Lists!$E$2&amp;"&amp;subject="&amp;_xlfn.ENCODEURL("[INVALID] Quality audit monitoring completed for "&amp;UPPER($C389))&amp;"&amp;body="&amp;_xlfn.ENCODEURL("Hi "&amp;$F389&amp;","&amp;CHAR(10)&amp;"Good day!"&amp;CHAR(10)&amp;CHAR(10)&amp;"A quality monitoring audit has been completed for "&amp;$C389&amp;"."&amp;CHAR(10)&amp;CHAR(10)&amp;"QUALITY AUDIT DETAILS"&amp;CHAR(10)&amp;"Agent Name: "&amp;$C389&amp;" (EID "&amp;$D389&amp;")"&amp;CHAR(10)&amp;"Audit Date: "&amp;TEXT($B389,"yyyy-mm-dd")&amp;CHAR(10)&amp;"Team Leader: "&amp;$F389&amp;CHAR(10)&amp;"Case Number: "&amp;$M389&amp;CHAR(10)&amp;"Transaction ID: "&amp;$N389&amp;CHAR(10)&amp;"Channel / LOB: "&amp;$K389&amp;" / "&amp;$L389&amp;CHAR(10)&amp;"Evaluator: "&amp;$S389&amp;CHAR(10)&amp;CHAR(10)&amp;"INVALID QUALITY AUDIT DETAILS"&amp;CHAR(10)&amp;"Validation: Invalid"&amp;CHAR(10)&amp;"Invalid Reason: "&amp;$P389&amp;CHAR(10)&amp;"Expected Resolution Code: "&amp;$Q389&amp;CHAR(10)&amp;"Remarks: "&amp;LEFT($R389,600)&amp;CHAR(10)&amp;CHAR(10)&amp;"This is an automated notification from HP Mainstream EQMS."),"✉ Open Email Draft"),"")</f>
        <v/>
      </c>
    </row>
    <row r="390">
      <c r="A390" s="25">
        <f>IF($C390="","","AUD-2026-"&amp;TEXT(ROW()-1,"000000"))</f>
        <v/>
      </c>
      <c r="B390" s="26" t="n"/>
      <c r="C390" s="27" t="n"/>
      <c r="D390" s="25">
        <f>IF($C390="","",IFERROR(IF(INDEX(Roster!$A:$A,MATCH($C390,Roster!$B:$B,0))="","",INDEX(Roster!$A:$A,MATCH($C390,Roster!$B:$B,0))&amp;""),"—"))</f>
        <v/>
      </c>
      <c r="E390" s="25">
        <f>IF($C390="","",IFERROR(IF(INDEX(Roster!$C:$C,MATCH($C390,Roster!$B:$B,0))="","",INDEX(Roster!$C:$C,MATCH($C390,Roster!$B:$B,0))&amp;""),"—"))</f>
        <v/>
      </c>
      <c r="F390" s="25">
        <f>IF($C390="","",IFERROR(IF(INDEX(Roster!$D:$D,MATCH($C390,Roster!$B:$B,0))="","",INDEX(Roster!$D:$D,MATCH($C390,Roster!$B:$B,0))&amp;""),"—"))</f>
        <v/>
      </c>
      <c r="G390" s="25">
        <f>IF($C390="","",IFERROR(IF(INDEX(Roster!$E:$E,MATCH($C390,Roster!$B:$B,0))="","",INDEX(Roster!$E:$E,MATCH($C390,Roster!$B:$B,0))&amp;""),"—"))</f>
        <v/>
      </c>
      <c r="H390" s="25">
        <f>IF($C390="","",IFERROR(IF(INDEX(Roster!$F:$F,MATCH($C390,Roster!$B:$B,0))="","",INDEX(Roster!$F:$F,MATCH($C390,Roster!$B:$B,0))&amp;""),"—"))</f>
        <v/>
      </c>
      <c r="I390" s="25">
        <f>IF($C390="","",IFERROR(IF(INDEX(Roster!$G:$G,MATCH($C390,Roster!$B:$B,0))="","",INDEX(Roster!$G:$G,MATCH($C390,Roster!$B:$B,0))&amp;""),"—"))</f>
        <v/>
      </c>
      <c r="J390" s="25">
        <f>IF($C390="","",IFERROR(IF(INDEX(Roster!$I:$I,MATCH($C390,Roster!$B:$B,0))="","",INDEX(Roster!$I:$I,MATCH($C390,Roster!$B:$B,0))&amp;""),"—"))</f>
        <v/>
      </c>
      <c r="K390">
        <f>IF($C390="","",IFERROR(IF(INDEX(Roster!$J:$J,MATCH($C390,Roster!$B:$B,0))="","",INDEX(Roster!$J:$J,MATCH($C390,Roster!$B:$B,0))&amp;""),"—"))</f>
        <v/>
      </c>
      <c r="L390">
        <f>IF($C390="","",IFERROR(IF(INDEX(Roster!$K:$K,MATCH($C390,Roster!$B:$B,0))="","",INDEX(Roster!$K:$K,MATCH($C390,Roster!$B:$B,0))&amp;""),"—"))</f>
        <v/>
      </c>
      <c r="M390" s="27" t="n"/>
      <c r="N390" s="27" t="n"/>
      <c r="O390" s="25">
        <f>IF($C390="","",IF($P390="","—",IF($P390="Valid (Pass)","Valid","Invalid")))</f>
        <v/>
      </c>
      <c r="P390" s="27" t="n"/>
      <c r="Q390" s="27" t="n"/>
      <c r="R390" s="27" t="n"/>
      <c r="S390" s="27" t="n"/>
      <c r="T390" s="25">
        <f>IF($C390="","",IF(OR(ISNUMBER(SEARCH("quick case",$P390)),ISNUMBER(SEARCH("quick case",$Q390))),"Yes","No"))</f>
        <v/>
      </c>
      <c r="U390" s="25">
        <f>IF($O390="Invalid",HYPERLINK("mailto:"&amp;$G390&amp;";"&amp;$I390&amp;"?cc="&amp;Lists!$E$2&amp;"&amp;subject="&amp;_xlfn.ENCODEURL("[INVALID] Quality audit monitoring completed for "&amp;UPPER($C390))&amp;"&amp;body="&amp;_xlfn.ENCODEURL("Hi "&amp;$F390&amp;","&amp;CHAR(10)&amp;"Good day!"&amp;CHAR(10)&amp;CHAR(10)&amp;"A quality monitoring audit has been completed for "&amp;$C390&amp;"."&amp;CHAR(10)&amp;CHAR(10)&amp;"QUALITY AUDIT DETAILS"&amp;CHAR(10)&amp;"Agent Name: "&amp;$C390&amp;" (EID "&amp;$D390&amp;")"&amp;CHAR(10)&amp;"Audit Date: "&amp;TEXT($B390,"yyyy-mm-dd")&amp;CHAR(10)&amp;"Team Leader: "&amp;$F390&amp;CHAR(10)&amp;"Case Number: "&amp;$M390&amp;CHAR(10)&amp;"Transaction ID: "&amp;$N390&amp;CHAR(10)&amp;"Channel / LOB: "&amp;$K390&amp;" / "&amp;$L390&amp;CHAR(10)&amp;"Evaluator: "&amp;$S390&amp;CHAR(10)&amp;CHAR(10)&amp;"INVALID QUALITY AUDIT DETAILS"&amp;CHAR(10)&amp;"Validation: Invalid"&amp;CHAR(10)&amp;"Invalid Reason: "&amp;$P390&amp;CHAR(10)&amp;"Expected Resolution Code: "&amp;$Q390&amp;CHAR(10)&amp;"Remarks: "&amp;LEFT($R390,600)&amp;CHAR(10)&amp;CHAR(10)&amp;"This is an automated notification from HP Mainstream EQMS."),"✉ Open Email Draft"),"")</f>
        <v/>
      </c>
    </row>
    <row r="391">
      <c r="A391" s="25">
        <f>IF($C391="","","AUD-2026-"&amp;TEXT(ROW()-1,"000000"))</f>
        <v/>
      </c>
      <c r="B391" s="26" t="n"/>
      <c r="C391" s="27" t="n"/>
      <c r="D391" s="25">
        <f>IF($C391="","",IFERROR(IF(INDEX(Roster!$A:$A,MATCH($C391,Roster!$B:$B,0))="","",INDEX(Roster!$A:$A,MATCH($C391,Roster!$B:$B,0))&amp;""),"—"))</f>
        <v/>
      </c>
      <c r="E391" s="25">
        <f>IF($C391="","",IFERROR(IF(INDEX(Roster!$C:$C,MATCH($C391,Roster!$B:$B,0))="","",INDEX(Roster!$C:$C,MATCH($C391,Roster!$B:$B,0))&amp;""),"—"))</f>
        <v/>
      </c>
      <c r="F391" s="25">
        <f>IF($C391="","",IFERROR(IF(INDEX(Roster!$D:$D,MATCH($C391,Roster!$B:$B,0))="","",INDEX(Roster!$D:$D,MATCH($C391,Roster!$B:$B,0))&amp;""),"—"))</f>
        <v/>
      </c>
      <c r="G391" s="25">
        <f>IF($C391="","",IFERROR(IF(INDEX(Roster!$E:$E,MATCH($C391,Roster!$B:$B,0))="","",INDEX(Roster!$E:$E,MATCH($C391,Roster!$B:$B,0))&amp;""),"—"))</f>
        <v/>
      </c>
      <c r="H391" s="25">
        <f>IF($C391="","",IFERROR(IF(INDEX(Roster!$F:$F,MATCH($C391,Roster!$B:$B,0))="","",INDEX(Roster!$F:$F,MATCH($C391,Roster!$B:$B,0))&amp;""),"—"))</f>
        <v/>
      </c>
      <c r="I391" s="25">
        <f>IF($C391="","",IFERROR(IF(INDEX(Roster!$G:$G,MATCH($C391,Roster!$B:$B,0))="","",INDEX(Roster!$G:$G,MATCH($C391,Roster!$B:$B,0))&amp;""),"—"))</f>
        <v/>
      </c>
      <c r="J391" s="25">
        <f>IF($C391="","",IFERROR(IF(INDEX(Roster!$I:$I,MATCH($C391,Roster!$B:$B,0))="","",INDEX(Roster!$I:$I,MATCH($C391,Roster!$B:$B,0))&amp;""),"—"))</f>
        <v/>
      </c>
      <c r="K391">
        <f>IF($C391="","",IFERROR(IF(INDEX(Roster!$J:$J,MATCH($C391,Roster!$B:$B,0))="","",INDEX(Roster!$J:$J,MATCH($C391,Roster!$B:$B,0))&amp;""),"—"))</f>
        <v/>
      </c>
      <c r="L391">
        <f>IF($C391="","",IFERROR(IF(INDEX(Roster!$K:$K,MATCH($C391,Roster!$B:$B,0))="","",INDEX(Roster!$K:$K,MATCH($C391,Roster!$B:$B,0))&amp;""),"—"))</f>
        <v/>
      </c>
      <c r="M391" s="27" t="n"/>
      <c r="N391" s="27" t="n"/>
      <c r="O391" s="25">
        <f>IF($C391="","",IF($P391="","—",IF($P391="Valid (Pass)","Valid","Invalid")))</f>
        <v/>
      </c>
      <c r="P391" s="27" t="n"/>
      <c r="Q391" s="27" t="n"/>
      <c r="R391" s="27" t="n"/>
      <c r="S391" s="27" t="n"/>
      <c r="T391" s="25">
        <f>IF($C391="","",IF(OR(ISNUMBER(SEARCH("quick case",$P391)),ISNUMBER(SEARCH("quick case",$Q391))),"Yes","No"))</f>
        <v/>
      </c>
      <c r="U391" s="25">
        <f>IF($O391="Invalid",HYPERLINK("mailto:"&amp;$G391&amp;";"&amp;$I391&amp;"?cc="&amp;Lists!$E$2&amp;"&amp;subject="&amp;_xlfn.ENCODEURL("[INVALID] Quality audit monitoring completed for "&amp;UPPER($C391))&amp;"&amp;body="&amp;_xlfn.ENCODEURL("Hi "&amp;$F391&amp;","&amp;CHAR(10)&amp;"Good day!"&amp;CHAR(10)&amp;CHAR(10)&amp;"A quality monitoring audit has been completed for "&amp;$C391&amp;"."&amp;CHAR(10)&amp;CHAR(10)&amp;"QUALITY AUDIT DETAILS"&amp;CHAR(10)&amp;"Agent Name: "&amp;$C391&amp;" (EID "&amp;$D391&amp;")"&amp;CHAR(10)&amp;"Audit Date: "&amp;TEXT($B391,"yyyy-mm-dd")&amp;CHAR(10)&amp;"Team Leader: "&amp;$F391&amp;CHAR(10)&amp;"Case Number: "&amp;$M391&amp;CHAR(10)&amp;"Transaction ID: "&amp;$N391&amp;CHAR(10)&amp;"Channel / LOB: "&amp;$K391&amp;" / "&amp;$L391&amp;CHAR(10)&amp;"Evaluator: "&amp;$S391&amp;CHAR(10)&amp;CHAR(10)&amp;"INVALID QUALITY AUDIT DETAILS"&amp;CHAR(10)&amp;"Validation: Invalid"&amp;CHAR(10)&amp;"Invalid Reason: "&amp;$P391&amp;CHAR(10)&amp;"Expected Resolution Code: "&amp;$Q391&amp;CHAR(10)&amp;"Remarks: "&amp;LEFT($R391,600)&amp;CHAR(10)&amp;CHAR(10)&amp;"This is an automated notification from HP Mainstream EQMS."),"✉ Open Email Draft"),"")</f>
        <v/>
      </c>
    </row>
    <row r="392">
      <c r="A392" s="25">
        <f>IF($C392="","","AUD-2026-"&amp;TEXT(ROW()-1,"000000"))</f>
        <v/>
      </c>
      <c r="B392" s="26" t="n"/>
      <c r="C392" s="27" t="n"/>
      <c r="D392" s="25">
        <f>IF($C392="","",IFERROR(IF(INDEX(Roster!$A:$A,MATCH($C392,Roster!$B:$B,0))="","",INDEX(Roster!$A:$A,MATCH($C392,Roster!$B:$B,0))&amp;""),"—"))</f>
        <v/>
      </c>
      <c r="E392" s="25">
        <f>IF($C392="","",IFERROR(IF(INDEX(Roster!$C:$C,MATCH($C392,Roster!$B:$B,0))="","",INDEX(Roster!$C:$C,MATCH($C392,Roster!$B:$B,0))&amp;""),"—"))</f>
        <v/>
      </c>
      <c r="F392" s="25">
        <f>IF($C392="","",IFERROR(IF(INDEX(Roster!$D:$D,MATCH($C392,Roster!$B:$B,0))="","",INDEX(Roster!$D:$D,MATCH($C392,Roster!$B:$B,0))&amp;""),"—"))</f>
        <v/>
      </c>
      <c r="G392" s="25">
        <f>IF($C392="","",IFERROR(IF(INDEX(Roster!$E:$E,MATCH($C392,Roster!$B:$B,0))="","",INDEX(Roster!$E:$E,MATCH($C392,Roster!$B:$B,0))&amp;""),"—"))</f>
        <v/>
      </c>
      <c r="H392" s="25">
        <f>IF($C392="","",IFERROR(IF(INDEX(Roster!$F:$F,MATCH($C392,Roster!$B:$B,0))="","",INDEX(Roster!$F:$F,MATCH($C392,Roster!$B:$B,0))&amp;""),"—"))</f>
        <v/>
      </c>
      <c r="I392" s="25">
        <f>IF($C392="","",IFERROR(IF(INDEX(Roster!$G:$G,MATCH($C392,Roster!$B:$B,0))="","",INDEX(Roster!$G:$G,MATCH($C392,Roster!$B:$B,0))&amp;""),"—"))</f>
        <v/>
      </c>
      <c r="J392" s="25">
        <f>IF($C392="","",IFERROR(IF(INDEX(Roster!$I:$I,MATCH($C392,Roster!$B:$B,0))="","",INDEX(Roster!$I:$I,MATCH($C392,Roster!$B:$B,0))&amp;""),"—"))</f>
        <v/>
      </c>
      <c r="K392">
        <f>IF($C392="","",IFERROR(IF(INDEX(Roster!$J:$J,MATCH($C392,Roster!$B:$B,0))="","",INDEX(Roster!$J:$J,MATCH($C392,Roster!$B:$B,0))&amp;""),"—"))</f>
        <v/>
      </c>
      <c r="L392">
        <f>IF($C392="","",IFERROR(IF(INDEX(Roster!$K:$K,MATCH($C392,Roster!$B:$B,0))="","",INDEX(Roster!$K:$K,MATCH($C392,Roster!$B:$B,0))&amp;""),"—"))</f>
        <v/>
      </c>
      <c r="M392" s="27" t="n"/>
      <c r="N392" s="27" t="n"/>
      <c r="O392" s="25">
        <f>IF($C392="","",IF($P392="","—",IF($P392="Valid (Pass)","Valid","Invalid")))</f>
        <v/>
      </c>
      <c r="P392" s="27" t="n"/>
      <c r="Q392" s="27" t="n"/>
      <c r="R392" s="27" t="n"/>
      <c r="S392" s="27" t="n"/>
      <c r="T392" s="25">
        <f>IF($C392="","",IF(OR(ISNUMBER(SEARCH("quick case",$P392)),ISNUMBER(SEARCH("quick case",$Q392))),"Yes","No"))</f>
        <v/>
      </c>
      <c r="U392" s="25">
        <f>IF($O392="Invalid",HYPERLINK("mailto:"&amp;$G392&amp;";"&amp;$I392&amp;"?cc="&amp;Lists!$E$2&amp;"&amp;subject="&amp;_xlfn.ENCODEURL("[INVALID] Quality audit monitoring completed for "&amp;UPPER($C392))&amp;"&amp;body="&amp;_xlfn.ENCODEURL("Hi "&amp;$F392&amp;","&amp;CHAR(10)&amp;"Good day!"&amp;CHAR(10)&amp;CHAR(10)&amp;"A quality monitoring audit has been completed for "&amp;$C392&amp;"."&amp;CHAR(10)&amp;CHAR(10)&amp;"QUALITY AUDIT DETAILS"&amp;CHAR(10)&amp;"Agent Name: "&amp;$C392&amp;" (EID "&amp;$D392&amp;")"&amp;CHAR(10)&amp;"Audit Date: "&amp;TEXT($B392,"yyyy-mm-dd")&amp;CHAR(10)&amp;"Team Leader: "&amp;$F392&amp;CHAR(10)&amp;"Case Number: "&amp;$M392&amp;CHAR(10)&amp;"Transaction ID: "&amp;$N392&amp;CHAR(10)&amp;"Channel / LOB: "&amp;$K392&amp;" / "&amp;$L392&amp;CHAR(10)&amp;"Evaluator: "&amp;$S392&amp;CHAR(10)&amp;CHAR(10)&amp;"INVALID QUALITY AUDIT DETAILS"&amp;CHAR(10)&amp;"Validation: Invalid"&amp;CHAR(10)&amp;"Invalid Reason: "&amp;$P392&amp;CHAR(10)&amp;"Expected Resolution Code: "&amp;$Q392&amp;CHAR(10)&amp;"Remarks: "&amp;LEFT($R392,600)&amp;CHAR(10)&amp;CHAR(10)&amp;"This is an automated notification from HP Mainstream EQMS."),"✉ Open Email Draft"),"")</f>
        <v/>
      </c>
    </row>
    <row r="393">
      <c r="A393" s="25">
        <f>IF($C393="","","AUD-2026-"&amp;TEXT(ROW()-1,"000000"))</f>
        <v/>
      </c>
      <c r="B393" s="26" t="n"/>
      <c r="C393" s="27" t="n"/>
      <c r="D393" s="25">
        <f>IF($C393="","",IFERROR(IF(INDEX(Roster!$A:$A,MATCH($C393,Roster!$B:$B,0))="","",INDEX(Roster!$A:$A,MATCH($C393,Roster!$B:$B,0))&amp;""),"—"))</f>
        <v/>
      </c>
      <c r="E393" s="25">
        <f>IF($C393="","",IFERROR(IF(INDEX(Roster!$C:$C,MATCH($C393,Roster!$B:$B,0))="","",INDEX(Roster!$C:$C,MATCH($C393,Roster!$B:$B,0))&amp;""),"—"))</f>
        <v/>
      </c>
      <c r="F393" s="25">
        <f>IF($C393="","",IFERROR(IF(INDEX(Roster!$D:$D,MATCH($C393,Roster!$B:$B,0))="","",INDEX(Roster!$D:$D,MATCH($C393,Roster!$B:$B,0))&amp;""),"—"))</f>
        <v/>
      </c>
      <c r="G393" s="25">
        <f>IF($C393="","",IFERROR(IF(INDEX(Roster!$E:$E,MATCH($C393,Roster!$B:$B,0))="","",INDEX(Roster!$E:$E,MATCH($C393,Roster!$B:$B,0))&amp;""),"—"))</f>
        <v/>
      </c>
      <c r="H393" s="25">
        <f>IF($C393="","",IFERROR(IF(INDEX(Roster!$F:$F,MATCH($C393,Roster!$B:$B,0))="","",INDEX(Roster!$F:$F,MATCH($C393,Roster!$B:$B,0))&amp;""),"—"))</f>
        <v/>
      </c>
      <c r="I393" s="25">
        <f>IF($C393="","",IFERROR(IF(INDEX(Roster!$G:$G,MATCH($C393,Roster!$B:$B,0))="","",INDEX(Roster!$G:$G,MATCH($C393,Roster!$B:$B,0))&amp;""),"—"))</f>
        <v/>
      </c>
      <c r="J393" s="25">
        <f>IF($C393="","",IFERROR(IF(INDEX(Roster!$I:$I,MATCH($C393,Roster!$B:$B,0))="","",INDEX(Roster!$I:$I,MATCH($C393,Roster!$B:$B,0))&amp;""),"—"))</f>
        <v/>
      </c>
      <c r="K393">
        <f>IF($C393="","",IFERROR(IF(INDEX(Roster!$J:$J,MATCH($C393,Roster!$B:$B,0))="","",INDEX(Roster!$J:$J,MATCH($C393,Roster!$B:$B,0))&amp;""),"—"))</f>
        <v/>
      </c>
      <c r="L393">
        <f>IF($C393="","",IFERROR(IF(INDEX(Roster!$K:$K,MATCH($C393,Roster!$B:$B,0))="","",INDEX(Roster!$K:$K,MATCH($C393,Roster!$B:$B,0))&amp;""),"—"))</f>
        <v/>
      </c>
      <c r="M393" s="27" t="n"/>
      <c r="N393" s="27" t="n"/>
      <c r="O393" s="25">
        <f>IF($C393="","",IF($P393="","—",IF($P393="Valid (Pass)","Valid","Invalid")))</f>
        <v/>
      </c>
      <c r="P393" s="27" t="n"/>
      <c r="Q393" s="27" t="n"/>
      <c r="R393" s="27" t="n"/>
      <c r="S393" s="27" t="n"/>
      <c r="T393" s="25">
        <f>IF($C393="","",IF(OR(ISNUMBER(SEARCH("quick case",$P393)),ISNUMBER(SEARCH("quick case",$Q393))),"Yes","No"))</f>
        <v/>
      </c>
      <c r="U393" s="25">
        <f>IF($O393="Invalid",HYPERLINK("mailto:"&amp;$G393&amp;";"&amp;$I393&amp;"?cc="&amp;Lists!$E$2&amp;"&amp;subject="&amp;_xlfn.ENCODEURL("[INVALID] Quality audit monitoring completed for "&amp;UPPER($C393))&amp;"&amp;body="&amp;_xlfn.ENCODEURL("Hi "&amp;$F393&amp;","&amp;CHAR(10)&amp;"Good day!"&amp;CHAR(10)&amp;CHAR(10)&amp;"A quality monitoring audit has been completed for "&amp;$C393&amp;"."&amp;CHAR(10)&amp;CHAR(10)&amp;"QUALITY AUDIT DETAILS"&amp;CHAR(10)&amp;"Agent Name: "&amp;$C393&amp;" (EID "&amp;$D393&amp;")"&amp;CHAR(10)&amp;"Audit Date: "&amp;TEXT($B393,"yyyy-mm-dd")&amp;CHAR(10)&amp;"Team Leader: "&amp;$F393&amp;CHAR(10)&amp;"Case Number: "&amp;$M393&amp;CHAR(10)&amp;"Transaction ID: "&amp;$N393&amp;CHAR(10)&amp;"Channel / LOB: "&amp;$K393&amp;" / "&amp;$L393&amp;CHAR(10)&amp;"Evaluator: "&amp;$S393&amp;CHAR(10)&amp;CHAR(10)&amp;"INVALID QUALITY AUDIT DETAILS"&amp;CHAR(10)&amp;"Validation: Invalid"&amp;CHAR(10)&amp;"Invalid Reason: "&amp;$P393&amp;CHAR(10)&amp;"Expected Resolution Code: "&amp;$Q393&amp;CHAR(10)&amp;"Remarks: "&amp;LEFT($R393,600)&amp;CHAR(10)&amp;CHAR(10)&amp;"This is an automated notification from HP Mainstream EQMS."),"✉ Open Email Draft"),"")</f>
        <v/>
      </c>
    </row>
    <row r="394">
      <c r="A394" s="25">
        <f>IF($C394="","","AUD-2026-"&amp;TEXT(ROW()-1,"000000"))</f>
        <v/>
      </c>
      <c r="B394" s="26" t="n"/>
      <c r="C394" s="27" t="n"/>
      <c r="D394" s="25">
        <f>IF($C394="","",IFERROR(IF(INDEX(Roster!$A:$A,MATCH($C394,Roster!$B:$B,0))="","",INDEX(Roster!$A:$A,MATCH($C394,Roster!$B:$B,0))&amp;""),"—"))</f>
        <v/>
      </c>
      <c r="E394" s="25">
        <f>IF($C394="","",IFERROR(IF(INDEX(Roster!$C:$C,MATCH($C394,Roster!$B:$B,0))="","",INDEX(Roster!$C:$C,MATCH($C394,Roster!$B:$B,0))&amp;""),"—"))</f>
        <v/>
      </c>
      <c r="F394" s="25">
        <f>IF($C394="","",IFERROR(IF(INDEX(Roster!$D:$D,MATCH($C394,Roster!$B:$B,0))="","",INDEX(Roster!$D:$D,MATCH($C394,Roster!$B:$B,0))&amp;""),"—"))</f>
        <v/>
      </c>
      <c r="G394" s="25">
        <f>IF($C394="","",IFERROR(IF(INDEX(Roster!$E:$E,MATCH($C394,Roster!$B:$B,0))="","",INDEX(Roster!$E:$E,MATCH($C394,Roster!$B:$B,0))&amp;""),"—"))</f>
        <v/>
      </c>
      <c r="H394" s="25">
        <f>IF($C394="","",IFERROR(IF(INDEX(Roster!$F:$F,MATCH($C394,Roster!$B:$B,0))="","",INDEX(Roster!$F:$F,MATCH($C394,Roster!$B:$B,0))&amp;""),"—"))</f>
        <v/>
      </c>
      <c r="I394" s="25">
        <f>IF($C394="","",IFERROR(IF(INDEX(Roster!$G:$G,MATCH($C394,Roster!$B:$B,0))="","",INDEX(Roster!$G:$G,MATCH($C394,Roster!$B:$B,0))&amp;""),"—"))</f>
        <v/>
      </c>
      <c r="J394" s="25">
        <f>IF($C394="","",IFERROR(IF(INDEX(Roster!$I:$I,MATCH($C394,Roster!$B:$B,0))="","",INDEX(Roster!$I:$I,MATCH($C394,Roster!$B:$B,0))&amp;""),"—"))</f>
        <v/>
      </c>
      <c r="K394">
        <f>IF($C394="","",IFERROR(IF(INDEX(Roster!$J:$J,MATCH($C394,Roster!$B:$B,0))="","",INDEX(Roster!$J:$J,MATCH($C394,Roster!$B:$B,0))&amp;""),"—"))</f>
        <v/>
      </c>
      <c r="L394">
        <f>IF($C394="","",IFERROR(IF(INDEX(Roster!$K:$K,MATCH($C394,Roster!$B:$B,0))="","",INDEX(Roster!$K:$K,MATCH($C394,Roster!$B:$B,0))&amp;""),"—"))</f>
        <v/>
      </c>
      <c r="M394" s="27" t="n"/>
      <c r="N394" s="27" t="n"/>
      <c r="O394" s="25">
        <f>IF($C394="","",IF($P394="","—",IF($P394="Valid (Pass)","Valid","Invalid")))</f>
        <v/>
      </c>
      <c r="P394" s="27" t="n"/>
      <c r="Q394" s="27" t="n"/>
      <c r="R394" s="27" t="n"/>
      <c r="S394" s="27" t="n"/>
      <c r="T394" s="25">
        <f>IF($C394="","",IF(OR(ISNUMBER(SEARCH("quick case",$P394)),ISNUMBER(SEARCH("quick case",$Q394))),"Yes","No"))</f>
        <v/>
      </c>
      <c r="U394" s="25">
        <f>IF($O394="Invalid",HYPERLINK("mailto:"&amp;$G394&amp;";"&amp;$I394&amp;"?cc="&amp;Lists!$E$2&amp;"&amp;subject="&amp;_xlfn.ENCODEURL("[INVALID] Quality audit monitoring completed for "&amp;UPPER($C394))&amp;"&amp;body="&amp;_xlfn.ENCODEURL("Hi "&amp;$F394&amp;","&amp;CHAR(10)&amp;"Good day!"&amp;CHAR(10)&amp;CHAR(10)&amp;"A quality monitoring audit has been completed for "&amp;$C394&amp;"."&amp;CHAR(10)&amp;CHAR(10)&amp;"QUALITY AUDIT DETAILS"&amp;CHAR(10)&amp;"Agent Name: "&amp;$C394&amp;" (EID "&amp;$D394&amp;")"&amp;CHAR(10)&amp;"Audit Date: "&amp;TEXT($B394,"yyyy-mm-dd")&amp;CHAR(10)&amp;"Team Leader: "&amp;$F394&amp;CHAR(10)&amp;"Case Number: "&amp;$M394&amp;CHAR(10)&amp;"Transaction ID: "&amp;$N394&amp;CHAR(10)&amp;"Channel / LOB: "&amp;$K394&amp;" / "&amp;$L394&amp;CHAR(10)&amp;"Evaluator: "&amp;$S394&amp;CHAR(10)&amp;CHAR(10)&amp;"INVALID QUALITY AUDIT DETAILS"&amp;CHAR(10)&amp;"Validation: Invalid"&amp;CHAR(10)&amp;"Invalid Reason: "&amp;$P394&amp;CHAR(10)&amp;"Expected Resolution Code: "&amp;$Q394&amp;CHAR(10)&amp;"Remarks: "&amp;LEFT($R394,600)&amp;CHAR(10)&amp;CHAR(10)&amp;"This is an automated notification from HP Mainstream EQMS."),"✉ Open Email Draft"),"")</f>
        <v/>
      </c>
    </row>
    <row r="395">
      <c r="A395" s="25">
        <f>IF($C395="","","AUD-2026-"&amp;TEXT(ROW()-1,"000000"))</f>
        <v/>
      </c>
      <c r="B395" s="26" t="n"/>
      <c r="C395" s="27" t="n"/>
      <c r="D395" s="25">
        <f>IF($C395="","",IFERROR(IF(INDEX(Roster!$A:$A,MATCH($C395,Roster!$B:$B,0))="","",INDEX(Roster!$A:$A,MATCH($C395,Roster!$B:$B,0))&amp;""),"—"))</f>
        <v/>
      </c>
      <c r="E395" s="25">
        <f>IF($C395="","",IFERROR(IF(INDEX(Roster!$C:$C,MATCH($C395,Roster!$B:$B,0))="","",INDEX(Roster!$C:$C,MATCH($C395,Roster!$B:$B,0))&amp;""),"—"))</f>
        <v/>
      </c>
      <c r="F395" s="25">
        <f>IF($C395="","",IFERROR(IF(INDEX(Roster!$D:$D,MATCH($C395,Roster!$B:$B,0))="","",INDEX(Roster!$D:$D,MATCH($C395,Roster!$B:$B,0))&amp;""),"—"))</f>
        <v/>
      </c>
      <c r="G395" s="25">
        <f>IF($C395="","",IFERROR(IF(INDEX(Roster!$E:$E,MATCH($C395,Roster!$B:$B,0))="","",INDEX(Roster!$E:$E,MATCH($C395,Roster!$B:$B,0))&amp;""),"—"))</f>
        <v/>
      </c>
      <c r="H395" s="25">
        <f>IF($C395="","",IFERROR(IF(INDEX(Roster!$F:$F,MATCH($C395,Roster!$B:$B,0))="","",INDEX(Roster!$F:$F,MATCH($C395,Roster!$B:$B,0))&amp;""),"—"))</f>
        <v/>
      </c>
      <c r="I395" s="25">
        <f>IF($C395="","",IFERROR(IF(INDEX(Roster!$G:$G,MATCH($C395,Roster!$B:$B,0))="","",INDEX(Roster!$G:$G,MATCH($C395,Roster!$B:$B,0))&amp;""),"—"))</f>
        <v/>
      </c>
      <c r="J395" s="25">
        <f>IF($C395="","",IFERROR(IF(INDEX(Roster!$I:$I,MATCH($C395,Roster!$B:$B,0))="","",INDEX(Roster!$I:$I,MATCH($C395,Roster!$B:$B,0))&amp;""),"—"))</f>
        <v/>
      </c>
      <c r="K395">
        <f>IF($C395="","",IFERROR(IF(INDEX(Roster!$J:$J,MATCH($C395,Roster!$B:$B,0))="","",INDEX(Roster!$J:$J,MATCH($C395,Roster!$B:$B,0))&amp;""),"—"))</f>
        <v/>
      </c>
      <c r="L395">
        <f>IF($C395="","",IFERROR(IF(INDEX(Roster!$K:$K,MATCH($C395,Roster!$B:$B,0))="","",INDEX(Roster!$K:$K,MATCH($C395,Roster!$B:$B,0))&amp;""),"—"))</f>
        <v/>
      </c>
      <c r="M395" s="27" t="n"/>
      <c r="N395" s="27" t="n"/>
      <c r="O395" s="25">
        <f>IF($C395="","",IF($P395="","—",IF($P395="Valid (Pass)","Valid","Invalid")))</f>
        <v/>
      </c>
      <c r="P395" s="27" t="n"/>
      <c r="Q395" s="27" t="n"/>
      <c r="R395" s="27" t="n"/>
      <c r="S395" s="27" t="n"/>
      <c r="T395" s="25">
        <f>IF($C395="","",IF(OR(ISNUMBER(SEARCH("quick case",$P395)),ISNUMBER(SEARCH("quick case",$Q395))),"Yes","No"))</f>
        <v/>
      </c>
      <c r="U395" s="25">
        <f>IF($O395="Invalid",HYPERLINK("mailto:"&amp;$G395&amp;";"&amp;$I395&amp;"?cc="&amp;Lists!$E$2&amp;"&amp;subject="&amp;_xlfn.ENCODEURL("[INVALID] Quality audit monitoring completed for "&amp;UPPER($C395))&amp;"&amp;body="&amp;_xlfn.ENCODEURL("Hi "&amp;$F395&amp;","&amp;CHAR(10)&amp;"Good day!"&amp;CHAR(10)&amp;CHAR(10)&amp;"A quality monitoring audit has been completed for "&amp;$C395&amp;"."&amp;CHAR(10)&amp;CHAR(10)&amp;"QUALITY AUDIT DETAILS"&amp;CHAR(10)&amp;"Agent Name: "&amp;$C395&amp;" (EID "&amp;$D395&amp;")"&amp;CHAR(10)&amp;"Audit Date: "&amp;TEXT($B395,"yyyy-mm-dd")&amp;CHAR(10)&amp;"Team Leader: "&amp;$F395&amp;CHAR(10)&amp;"Case Number: "&amp;$M395&amp;CHAR(10)&amp;"Transaction ID: "&amp;$N395&amp;CHAR(10)&amp;"Channel / LOB: "&amp;$K395&amp;" / "&amp;$L395&amp;CHAR(10)&amp;"Evaluator: "&amp;$S395&amp;CHAR(10)&amp;CHAR(10)&amp;"INVALID QUALITY AUDIT DETAILS"&amp;CHAR(10)&amp;"Validation: Invalid"&amp;CHAR(10)&amp;"Invalid Reason: "&amp;$P395&amp;CHAR(10)&amp;"Expected Resolution Code: "&amp;$Q395&amp;CHAR(10)&amp;"Remarks: "&amp;LEFT($R395,600)&amp;CHAR(10)&amp;CHAR(10)&amp;"This is an automated notification from HP Mainstream EQMS."),"✉ Open Email Draft"),"")</f>
        <v/>
      </c>
    </row>
    <row r="396">
      <c r="A396" s="25">
        <f>IF($C396="","","AUD-2026-"&amp;TEXT(ROW()-1,"000000"))</f>
        <v/>
      </c>
      <c r="B396" s="26" t="n"/>
      <c r="C396" s="27" t="n"/>
      <c r="D396" s="25">
        <f>IF($C396="","",IFERROR(IF(INDEX(Roster!$A:$A,MATCH($C396,Roster!$B:$B,0))="","",INDEX(Roster!$A:$A,MATCH($C396,Roster!$B:$B,0))&amp;""),"—"))</f>
        <v/>
      </c>
      <c r="E396" s="25">
        <f>IF($C396="","",IFERROR(IF(INDEX(Roster!$C:$C,MATCH($C396,Roster!$B:$B,0))="","",INDEX(Roster!$C:$C,MATCH($C396,Roster!$B:$B,0))&amp;""),"—"))</f>
        <v/>
      </c>
      <c r="F396" s="25">
        <f>IF($C396="","",IFERROR(IF(INDEX(Roster!$D:$D,MATCH($C396,Roster!$B:$B,0))="","",INDEX(Roster!$D:$D,MATCH($C396,Roster!$B:$B,0))&amp;""),"—"))</f>
        <v/>
      </c>
      <c r="G396" s="25">
        <f>IF($C396="","",IFERROR(IF(INDEX(Roster!$E:$E,MATCH($C396,Roster!$B:$B,0))="","",INDEX(Roster!$E:$E,MATCH($C396,Roster!$B:$B,0))&amp;""),"—"))</f>
        <v/>
      </c>
      <c r="H396" s="25">
        <f>IF($C396="","",IFERROR(IF(INDEX(Roster!$F:$F,MATCH($C396,Roster!$B:$B,0))="","",INDEX(Roster!$F:$F,MATCH($C396,Roster!$B:$B,0))&amp;""),"—"))</f>
        <v/>
      </c>
      <c r="I396" s="25">
        <f>IF($C396="","",IFERROR(IF(INDEX(Roster!$G:$G,MATCH($C396,Roster!$B:$B,0))="","",INDEX(Roster!$G:$G,MATCH($C396,Roster!$B:$B,0))&amp;""),"—"))</f>
        <v/>
      </c>
      <c r="J396" s="25">
        <f>IF($C396="","",IFERROR(IF(INDEX(Roster!$I:$I,MATCH($C396,Roster!$B:$B,0))="","",INDEX(Roster!$I:$I,MATCH($C396,Roster!$B:$B,0))&amp;""),"—"))</f>
        <v/>
      </c>
      <c r="K396">
        <f>IF($C396="","",IFERROR(IF(INDEX(Roster!$J:$J,MATCH($C396,Roster!$B:$B,0))="","",INDEX(Roster!$J:$J,MATCH($C396,Roster!$B:$B,0))&amp;""),"—"))</f>
        <v/>
      </c>
      <c r="L396">
        <f>IF($C396="","",IFERROR(IF(INDEX(Roster!$K:$K,MATCH($C396,Roster!$B:$B,0))="","",INDEX(Roster!$K:$K,MATCH($C396,Roster!$B:$B,0))&amp;""),"—"))</f>
        <v/>
      </c>
      <c r="M396" s="27" t="n"/>
      <c r="N396" s="27" t="n"/>
      <c r="O396" s="25">
        <f>IF($C396="","",IF($P396="","—",IF($P396="Valid (Pass)","Valid","Invalid")))</f>
        <v/>
      </c>
      <c r="P396" s="27" t="n"/>
      <c r="Q396" s="27" t="n"/>
      <c r="R396" s="27" t="n"/>
      <c r="S396" s="27" t="n"/>
      <c r="T396" s="25">
        <f>IF($C396="","",IF(OR(ISNUMBER(SEARCH("quick case",$P396)),ISNUMBER(SEARCH("quick case",$Q396))),"Yes","No"))</f>
        <v/>
      </c>
      <c r="U396" s="25">
        <f>IF($O396="Invalid",HYPERLINK("mailto:"&amp;$G396&amp;";"&amp;$I396&amp;"?cc="&amp;Lists!$E$2&amp;"&amp;subject="&amp;_xlfn.ENCODEURL("[INVALID] Quality audit monitoring completed for "&amp;UPPER($C396))&amp;"&amp;body="&amp;_xlfn.ENCODEURL("Hi "&amp;$F396&amp;","&amp;CHAR(10)&amp;"Good day!"&amp;CHAR(10)&amp;CHAR(10)&amp;"A quality monitoring audit has been completed for "&amp;$C396&amp;"."&amp;CHAR(10)&amp;CHAR(10)&amp;"QUALITY AUDIT DETAILS"&amp;CHAR(10)&amp;"Agent Name: "&amp;$C396&amp;" (EID "&amp;$D396&amp;")"&amp;CHAR(10)&amp;"Audit Date: "&amp;TEXT($B396,"yyyy-mm-dd")&amp;CHAR(10)&amp;"Team Leader: "&amp;$F396&amp;CHAR(10)&amp;"Case Number: "&amp;$M396&amp;CHAR(10)&amp;"Transaction ID: "&amp;$N396&amp;CHAR(10)&amp;"Channel / LOB: "&amp;$K396&amp;" / "&amp;$L396&amp;CHAR(10)&amp;"Evaluator: "&amp;$S396&amp;CHAR(10)&amp;CHAR(10)&amp;"INVALID QUALITY AUDIT DETAILS"&amp;CHAR(10)&amp;"Validation: Invalid"&amp;CHAR(10)&amp;"Invalid Reason: "&amp;$P396&amp;CHAR(10)&amp;"Expected Resolution Code: "&amp;$Q396&amp;CHAR(10)&amp;"Remarks: "&amp;LEFT($R396,600)&amp;CHAR(10)&amp;CHAR(10)&amp;"This is an automated notification from HP Mainstream EQMS."),"✉ Open Email Draft"),"")</f>
        <v/>
      </c>
    </row>
    <row r="397">
      <c r="A397" s="25">
        <f>IF($C397="","","AUD-2026-"&amp;TEXT(ROW()-1,"000000"))</f>
        <v/>
      </c>
      <c r="B397" s="26" t="n"/>
      <c r="C397" s="27" t="n"/>
      <c r="D397" s="25">
        <f>IF($C397="","",IFERROR(IF(INDEX(Roster!$A:$A,MATCH($C397,Roster!$B:$B,0))="","",INDEX(Roster!$A:$A,MATCH($C397,Roster!$B:$B,0))&amp;""),"—"))</f>
        <v/>
      </c>
      <c r="E397" s="25">
        <f>IF($C397="","",IFERROR(IF(INDEX(Roster!$C:$C,MATCH($C397,Roster!$B:$B,0))="","",INDEX(Roster!$C:$C,MATCH($C397,Roster!$B:$B,0))&amp;""),"—"))</f>
        <v/>
      </c>
      <c r="F397" s="25">
        <f>IF($C397="","",IFERROR(IF(INDEX(Roster!$D:$D,MATCH($C397,Roster!$B:$B,0))="","",INDEX(Roster!$D:$D,MATCH($C397,Roster!$B:$B,0))&amp;""),"—"))</f>
        <v/>
      </c>
      <c r="G397" s="25">
        <f>IF($C397="","",IFERROR(IF(INDEX(Roster!$E:$E,MATCH($C397,Roster!$B:$B,0))="","",INDEX(Roster!$E:$E,MATCH($C397,Roster!$B:$B,0))&amp;""),"—"))</f>
        <v/>
      </c>
      <c r="H397" s="25">
        <f>IF($C397="","",IFERROR(IF(INDEX(Roster!$F:$F,MATCH($C397,Roster!$B:$B,0))="","",INDEX(Roster!$F:$F,MATCH($C397,Roster!$B:$B,0))&amp;""),"—"))</f>
        <v/>
      </c>
      <c r="I397" s="25">
        <f>IF($C397="","",IFERROR(IF(INDEX(Roster!$G:$G,MATCH($C397,Roster!$B:$B,0))="","",INDEX(Roster!$G:$G,MATCH($C397,Roster!$B:$B,0))&amp;""),"—"))</f>
        <v/>
      </c>
      <c r="J397" s="25">
        <f>IF($C397="","",IFERROR(IF(INDEX(Roster!$I:$I,MATCH($C397,Roster!$B:$B,0))="","",INDEX(Roster!$I:$I,MATCH($C397,Roster!$B:$B,0))&amp;""),"—"))</f>
        <v/>
      </c>
      <c r="K397">
        <f>IF($C397="","",IFERROR(IF(INDEX(Roster!$J:$J,MATCH($C397,Roster!$B:$B,0))="","",INDEX(Roster!$J:$J,MATCH($C397,Roster!$B:$B,0))&amp;""),"—"))</f>
        <v/>
      </c>
      <c r="L397">
        <f>IF($C397="","",IFERROR(IF(INDEX(Roster!$K:$K,MATCH($C397,Roster!$B:$B,0))="","",INDEX(Roster!$K:$K,MATCH($C397,Roster!$B:$B,0))&amp;""),"—"))</f>
        <v/>
      </c>
      <c r="M397" s="27" t="n"/>
      <c r="N397" s="27" t="n"/>
      <c r="O397" s="25">
        <f>IF($C397="","",IF($P397="","—",IF($P397="Valid (Pass)","Valid","Invalid")))</f>
        <v/>
      </c>
      <c r="P397" s="27" t="n"/>
      <c r="Q397" s="27" t="n"/>
      <c r="R397" s="27" t="n"/>
      <c r="S397" s="27" t="n"/>
      <c r="T397" s="25">
        <f>IF($C397="","",IF(OR(ISNUMBER(SEARCH("quick case",$P397)),ISNUMBER(SEARCH("quick case",$Q397))),"Yes","No"))</f>
        <v/>
      </c>
      <c r="U397" s="25">
        <f>IF($O397="Invalid",HYPERLINK("mailto:"&amp;$G397&amp;";"&amp;$I397&amp;"?cc="&amp;Lists!$E$2&amp;"&amp;subject="&amp;_xlfn.ENCODEURL("[INVALID] Quality audit monitoring completed for "&amp;UPPER($C397))&amp;"&amp;body="&amp;_xlfn.ENCODEURL("Hi "&amp;$F397&amp;","&amp;CHAR(10)&amp;"Good day!"&amp;CHAR(10)&amp;CHAR(10)&amp;"A quality monitoring audit has been completed for "&amp;$C397&amp;"."&amp;CHAR(10)&amp;CHAR(10)&amp;"QUALITY AUDIT DETAILS"&amp;CHAR(10)&amp;"Agent Name: "&amp;$C397&amp;" (EID "&amp;$D397&amp;")"&amp;CHAR(10)&amp;"Audit Date: "&amp;TEXT($B397,"yyyy-mm-dd")&amp;CHAR(10)&amp;"Team Leader: "&amp;$F397&amp;CHAR(10)&amp;"Case Number: "&amp;$M397&amp;CHAR(10)&amp;"Transaction ID: "&amp;$N397&amp;CHAR(10)&amp;"Channel / LOB: "&amp;$K397&amp;" / "&amp;$L397&amp;CHAR(10)&amp;"Evaluator: "&amp;$S397&amp;CHAR(10)&amp;CHAR(10)&amp;"INVALID QUALITY AUDIT DETAILS"&amp;CHAR(10)&amp;"Validation: Invalid"&amp;CHAR(10)&amp;"Invalid Reason: "&amp;$P397&amp;CHAR(10)&amp;"Expected Resolution Code: "&amp;$Q397&amp;CHAR(10)&amp;"Remarks: "&amp;LEFT($R397,600)&amp;CHAR(10)&amp;CHAR(10)&amp;"This is an automated notification from HP Mainstream EQMS."),"✉ Open Email Draft"),"")</f>
        <v/>
      </c>
    </row>
    <row r="398">
      <c r="A398" s="25">
        <f>IF($C398="","","AUD-2026-"&amp;TEXT(ROW()-1,"000000"))</f>
        <v/>
      </c>
      <c r="B398" s="26" t="n"/>
      <c r="C398" s="27" t="n"/>
      <c r="D398" s="25">
        <f>IF($C398="","",IFERROR(IF(INDEX(Roster!$A:$A,MATCH($C398,Roster!$B:$B,0))="","",INDEX(Roster!$A:$A,MATCH($C398,Roster!$B:$B,0))&amp;""),"—"))</f>
        <v/>
      </c>
      <c r="E398" s="25">
        <f>IF($C398="","",IFERROR(IF(INDEX(Roster!$C:$C,MATCH($C398,Roster!$B:$B,0))="","",INDEX(Roster!$C:$C,MATCH($C398,Roster!$B:$B,0))&amp;""),"—"))</f>
        <v/>
      </c>
      <c r="F398" s="25">
        <f>IF($C398="","",IFERROR(IF(INDEX(Roster!$D:$D,MATCH($C398,Roster!$B:$B,0))="","",INDEX(Roster!$D:$D,MATCH($C398,Roster!$B:$B,0))&amp;""),"—"))</f>
        <v/>
      </c>
      <c r="G398" s="25">
        <f>IF($C398="","",IFERROR(IF(INDEX(Roster!$E:$E,MATCH($C398,Roster!$B:$B,0))="","",INDEX(Roster!$E:$E,MATCH($C398,Roster!$B:$B,0))&amp;""),"—"))</f>
        <v/>
      </c>
      <c r="H398" s="25">
        <f>IF($C398="","",IFERROR(IF(INDEX(Roster!$F:$F,MATCH($C398,Roster!$B:$B,0))="","",INDEX(Roster!$F:$F,MATCH($C398,Roster!$B:$B,0))&amp;""),"—"))</f>
        <v/>
      </c>
      <c r="I398" s="25">
        <f>IF($C398="","",IFERROR(IF(INDEX(Roster!$G:$G,MATCH($C398,Roster!$B:$B,0))="","",INDEX(Roster!$G:$G,MATCH($C398,Roster!$B:$B,0))&amp;""),"—"))</f>
        <v/>
      </c>
      <c r="J398" s="25">
        <f>IF($C398="","",IFERROR(IF(INDEX(Roster!$I:$I,MATCH($C398,Roster!$B:$B,0))="","",INDEX(Roster!$I:$I,MATCH($C398,Roster!$B:$B,0))&amp;""),"—"))</f>
        <v/>
      </c>
      <c r="K398">
        <f>IF($C398="","",IFERROR(IF(INDEX(Roster!$J:$J,MATCH($C398,Roster!$B:$B,0))="","",INDEX(Roster!$J:$J,MATCH($C398,Roster!$B:$B,0))&amp;""),"—"))</f>
        <v/>
      </c>
      <c r="L398">
        <f>IF($C398="","",IFERROR(IF(INDEX(Roster!$K:$K,MATCH($C398,Roster!$B:$B,0))="","",INDEX(Roster!$K:$K,MATCH($C398,Roster!$B:$B,0))&amp;""),"—"))</f>
        <v/>
      </c>
      <c r="M398" s="27" t="n"/>
      <c r="N398" s="27" t="n"/>
      <c r="O398" s="25">
        <f>IF($C398="","",IF($P398="","—",IF($P398="Valid (Pass)","Valid","Invalid")))</f>
        <v/>
      </c>
      <c r="P398" s="27" t="n"/>
      <c r="Q398" s="27" t="n"/>
      <c r="R398" s="27" t="n"/>
      <c r="S398" s="27" t="n"/>
      <c r="T398" s="25">
        <f>IF($C398="","",IF(OR(ISNUMBER(SEARCH("quick case",$P398)),ISNUMBER(SEARCH("quick case",$Q398))),"Yes","No"))</f>
        <v/>
      </c>
      <c r="U398" s="25">
        <f>IF($O398="Invalid",HYPERLINK("mailto:"&amp;$G398&amp;";"&amp;$I398&amp;"?cc="&amp;Lists!$E$2&amp;"&amp;subject="&amp;_xlfn.ENCODEURL("[INVALID] Quality audit monitoring completed for "&amp;UPPER($C398))&amp;"&amp;body="&amp;_xlfn.ENCODEURL("Hi "&amp;$F398&amp;","&amp;CHAR(10)&amp;"Good day!"&amp;CHAR(10)&amp;CHAR(10)&amp;"A quality monitoring audit has been completed for "&amp;$C398&amp;"."&amp;CHAR(10)&amp;CHAR(10)&amp;"QUALITY AUDIT DETAILS"&amp;CHAR(10)&amp;"Agent Name: "&amp;$C398&amp;" (EID "&amp;$D398&amp;")"&amp;CHAR(10)&amp;"Audit Date: "&amp;TEXT($B398,"yyyy-mm-dd")&amp;CHAR(10)&amp;"Team Leader: "&amp;$F398&amp;CHAR(10)&amp;"Case Number: "&amp;$M398&amp;CHAR(10)&amp;"Transaction ID: "&amp;$N398&amp;CHAR(10)&amp;"Channel / LOB: "&amp;$K398&amp;" / "&amp;$L398&amp;CHAR(10)&amp;"Evaluator: "&amp;$S398&amp;CHAR(10)&amp;CHAR(10)&amp;"INVALID QUALITY AUDIT DETAILS"&amp;CHAR(10)&amp;"Validation: Invalid"&amp;CHAR(10)&amp;"Invalid Reason: "&amp;$P398&amp;CHAR(10)&amp;"Expected Resolution Code: "&amp;$Q398&amp;CHAR(10)&amp;"Remarks: "&amp;LEFT($R398,600)&amp;CHAR(10)&amp;CHAR(10)&amp;"This is an automated notification from HP Mainstream EQMS."),"✉ Open Email Draft"),"")</f>
        <v/>
      </c>
    </row>
    <row r="399">
      <c r="A399" s="25">
        <f>IF($C399="","","AUD-2026-"&amp;TEXT(ROW()-1,"000000"))</f>
        <v/>
      </c>
      <c r="B399" s="26" t="n"/>
      <c r="C399" s="27" t="n"/>
      <c r="D399" s="25">
        <f>IF($C399="","",IFERROR(IF(INDEX(Roster!$A:$A,MATCH($C399,Roster!$B:$B,0))="","",INDEX(Roster!$A:$A,MATCH($C399,Roster!$B:$B,0))&amp;""),"—"))</f>
        <v/>
      </c>
      <c r="E399" s="25">
        <f>IF($C399="","",IFERROR(IF(INDEX(Roster!$C:$C,MATCH($C399,Roster!$B:$B,0))="","",INDEX(Roster!$C:$C,MATCH($C399,Roster!$B:$B,0))&amp;""),"—"))</f>
        <v/>
      </c>
      <c r="F399" s="25">
        <f>IF($C399="","",IFERROR(IF(INDEX(Roster!$D:$D,MATCH($C399,Roster!$B:$B,0))="","",INDEX(Roster!$D:$D,MATCH($C399,Roster!$B:$B,0))&amp;""),"—"))</f>
        <v/>
      </c>
      <c r="G399" s="25">
        <f>IF($C399="","",IFERROR(IF(INDEX(Roster!$E:$E,MATCH($C399,Roster!$B:$B,0))="","",INDEX(Roster!$E:$E,MATCH($C399,Roster!$B:$B,0))&amp;""),"—"))</f>
        <v/>
      </c>
      <c r="H399" s="25">
        <f>IF($C399="","",IFERROR(IF(INDEX(Roster!$F:$F,MATCH($C399,Roster!$B:$B,0))="","",INDEX(Roster!$F:$F,MATCH($C399,Roster!$B:$B,0))&amp;""),"—"))</f>
        <v/>
      </c>
      <c r="I399" s="25">
        <f>IF($C399="","",IFERROR(IF(INDEX(Roster!$G:$G,MATCH($C399,Roster!$B:$B,0))="","",INDEX(Roster!$G:$G,MATCH($C399,Roster!$B:$B,0))&amp;""),"—"))</f>
        <v/>
      </c>
      <c r="J399" s="25">
        <f>IF($C399="","",IFERROR(IF(INDEX(Roster!$I:$I,MATCH($C399,Roster!$B:$B,0))="","",INDEX(Roster!$I:$I,MATCH($C399,Roster!$B:$B,0))&amp;""),"—"))</f>
        <v/>
      </c>
      <c r="K399">
        <f>IF($C399="","",IFERROR(IF(INDEX(Roster!$J:$J,MATCH($C399,Roster!$B:$B,0))="","",INDEX(Roster!$J:$J,MATCH($C399,Roster!$B:$B,0))&amp;""),"—"))</f>
        <v/>
      </c>
      <c r="L399">
        <f>IF($C399="","",IFERROR(IF(INDEX(Roster!$K:$K,MATCH($C399,Roster!$B:$B,0))="","",INDEX(Roster!$K:$K,MATCH($C399,Roster!$B:$B,0))&amp;""),"—"))</f>
        <v/>
      </c>
      <c r="M399" s="27" t="n"/>
      <c r="N399" s="27" t="n"/>
      <c r="O399" s="25">
        <f>IF($C399="","",IF($P399="","—",IF($P399="Valid (Pass)","Valid","Invalid")))</f>
        <v/>
      </c>
      <c r="P399" s="27" t="n"/>
      <c r="Q399" s="27" t="n"/>
      <c r="R399" s="27" t="n"/>
      <c r="S399" s="27" t="n"/>
      <c r="T399" s="25">
        <f>IF($C399="","",IF(OR(ISNUMBER(SEARCH("quick case",$P399)),ISNUMBER(SEARCH("quick case",$Q399))),"Yes","No"))</f>
        <v/>
      </c>
      <c r="U399" s="25">
        <f>IF($O399="Invalid",HYPERLINK("mailto:"&amp;$G399&amp;";"&amp;$I399&amp;"?cc="&amp;Lists!$E$2&amp;"&amp;subject="&amp;_xlfn.ENCODEURL("[INVALID] Quality audit monitoring completed for "&amp;UPPER($C399))&amp;"&amp;body="&amp;_xlfn.ENCODEURL("Hi "&amp;$F399&amp;","&amp;CHAR(10)&amp;"Good day!"&amp;CHAR(10)&amp;CHAR(10)&amp;"A quality monitoring audit has been completed for "&amp;$C399&amp;"."&amp;CHAR(10)&amp;CHAR(10)&amp;"QUALITY AUDIT DETAILS"&amp;CHAR(10)&amp;"Agent Name: "&amp;$C399&amp;" (EID "&amp;$D399&amp;")"&amp;CHAR(10)&amp;"Audit Date: "&amp;TEXT($B399,"yyyy-mm-dd")&amp;CHAR(10)&amp;"Team Leader: "&amp;$F399&amp;CHAR(10)&amp;"Case Number: "&amp;$M399&amp;CHAR(10)&amp;"Transaction ID: "&amp;$N399&amp;CHAR(10)&amp;"Channel / LOB: "&amp;$K399&amp;" / "&amp;$L399&amp;CHAR(10)&amp;"Evaluator: "&amp;$S399&amp;CHAR(10)&amp;CHAR(10)&amp;"INVALID QUALITY AUDIT DETAILS"&amp;CHAR(10)&amp;"Validation: Invalid"&amp;CHAR(10)&amp;"Invalid Reason: "&amp;$P399&amp;CHAR(10)&amp;"Expected Resolution Code: "&amp;$Q399&amp;CHAR(10)&amp;"Remarks: "&amp;LEFT($R399,600)&amp;CHAR(10)&amp;CHAR(10)&amp;"This is an automated notification from HP Mainstream EQMS."),"✉ Open Email Draft"),"")</f>
        <v/>
      </c>
    </row>
    <row r="400">
      <c r="A400" s="25">
        <f>IF($C400="","","AUD-2026-"&amp;TEXT(ROW()-1,"000000"))</f>
        <v/>
      </c>
      <c r="B400" s="26" t="n"/>
      <c r="C400" s="27" t="n"/>
      <c r="D400" s="25">
        <f>IF($C400="","",IFERROR(IF(INDEX(Roster!$A:$A,MATCH($C400,Roster!$B:$B,0))="","",INDEX(Roster!$A:$A,MATCH($C400,Roster!$B:$B,0))&amp;""),"—"))</f>
        <v/>
      </c>
      <c r="E400" s="25">
        <f>IF($C400="","",IFERROR(IF(INDEX(Roster!$C:$C,MATCH($C400,Roster!$B:$B,0))="","",INDEX(Roster!$C:$C,MATCH($C400,Roster!$B:$B,0))&amp;""),"—"))</f>
        <v/>
      </c>
      <c r="F400" s="25">
        <f>IF($C400="","",IFERROR(IF(INDEX(Roster!$D:$D,MATCH($C400,Roster!$B:$B,0))="","",INDEX(Roster!$D:$D,MATCH($C400,Roster!$B:$B,0))&amp;""),"—"))</f>
        <v/>
      </c>
      <c r="G400" s="25">
        <f>IF($C400="","",IFERROR(IF(INDEX(Roster!$E:$E,MATCH($C400,Roster!$B:$B,0))="","",INDEX(Roster!$E:$E,MATCH($C400,Roster!$B:$B,0))&amp;""),"—"))</f>
        <v/>
      </c>
      <c r="H400" s="25">
        <f>IF($C400="","",IFERROR(IF(INDEX(Roster!$F:$F,MATCH($C400,Roster!$B:$B,0))="","",INDEX(Roster!$F:$F,MATCH($C400,Roster!$B:$B,0))&amp;""),"—"))</f>
        <v/>
      </c>
      <c r="I400" s="25">
        <f>IF($C400="","",IFERROR(IF(INDEX(Roster!$G:$G,MATCH($C400,Roster!$B:$B,0))="","",INDEX(Roster!$G:$G,MATCH($C400,Roster!$B:$B,0))&amp;""),"—"))</f>
        <v/>
      </c>
      <c r="J400" s="25">
        <f>IF($C400="","",IFERROR(IF(INDEX(Roster!$I:$I,MATCH($C400,Roster!$B:$B,0))="","",INDEX(Roster!$I:$I,MATCH($C400,Roster!$B:$B,0))&amp;""),"—"))</f>
        <v/>
      </c>
      <c r="K400">
        <f>IF($C400="","",IFERROR(IF(INDEX(Roster!$J:$J,MATCH($C400,Roster!$B:$B,0))="","",INDEX(Roster!$J:$J,MATCH($C400,Roster!$B:$B,0))&amp;""),"—"))</f>
        <v/>
      </c>
      <c r="L400">
        <f>IF($C400="","",IFERROR(IF(INDEX(Roster!$K:$K,MATCH($C400,Roster!$B:$B,0))="","",INDEX(Roster!$K:$K,MATCH($C400,Roster!$B:$B,0))&amp;""),"—"))</f>
        <v/>
      </c>
      <c r="M400" s="27" t="n"/>
      <c r="N400" s="27" t="n"/>
      <c r="O400" s="25">
        <f>IF($C400="","",IF($P400="","—",IF($P400="Valid (Pass)","Valid","Invalid")))</f>
        <v/>
      </c>
      <c r="P400" s="27" t="n"/>
      <c r="Q400" s="27" t="n"/>
      <c r="R400" s="27" t="n"/>
      <c r="S400" s="27" t="n"/>
      <c r="T400" s="25">
        <f>IF($C400="","",IF(OR(ISNUMBER(SEARCH("quick case",$P400)),ISNUMBER(SEARCH("quick case",$Q400))),"Yes","No"))</f>
        <v/>
      </c>
      <c r="U400" s="25">
        <f>IF($O400="Invalid",HYPERLINK("mailto:"&amp;$G400&amp;";"&amp;$I400&amp;"?cc="&amp;Lists!$E$2&amp;"&amp;subject="&amp;_xlfn.ENCODEURL("[INVALID] Quality audit monitoring completed for "&amp;UPPER($C400))&amp;"&amp;body="&amp;_xlfn.ENCODEURL("Hi "&amp;$F400&amp;","&amp;CHAR(10)&amp;"Good day!"&amp;CHAR(10)&amp;CHAR(10)&amp;"A quality monitoring audit has been completed for "&amp;$C400&amp;"."&amp;CHAR(10)&amp;CHAR(10)&amp;"QUALITY AUDIT DETAILS"&amp;CHAR(10)&amp;"Agent Name: "&amp;$C400&amp;" (EID "&amp;$D400&amp;")"&amp;CHAR(10)&amp;"Audit Date: "&amp;TEXT($B400,"yyyy-mm-dd")&amp;CHAR(10)&amp;"Team Leader: "&amp;$F400&amp;CHAR(10)&amp;"Case Number: "&amp;$M400&amp;CHAR(10)&amp;"Transaction ID: "&amp;$N400&amp;CHAR(10)&amp;"Channel / LOB: "&amp;$K400&amp;" / "&amp;$L400&amp;CHAR(10)&amp;"Evaluator: "&amp;$S400&amp;CHAR(10)&amp;CHAR(10)&amp;"INVALID QUALITY AUDIT DETAILS"&amp;CHAR(10)&amp;"Validation: Invalid"&amp;CHAR(10)&amp;"Invalid Reason: "&amp;$P400&amp;CHAR(10)&amp;"Expected Resolution Code: "&amp;$Q400&amp;CHAR(10)&amp;"Remarks: "&amp;LEFT($R400,600)&amp;CHAR(10)&amp;CHAR(10)&amp;"This is an automated notification from HP Mainstream EQMS."),"✉ Open Email Draft"),"")</f>
        <v/>
      </c>
    </row>
    <row r="401">
      <c r="A401" s="25">
        <f>IF($C401="","","AUD-2026-"&amp;TEXT(ROW()-1,"000000"))</f>
        <v/>
      </c>
      <c r="B401" s="26" t="n"/>
      <c r="C401" s="27" t="n"/>
      <c r="D401" s="25">
        <f>IF($C401="","",IFERROR(IF(INDEX(Roster!$A:$A,MATCH($C401,Roster!$B:$B,0))="","",INDEX(Roster!$A:$A,MATCH($C401,Roster!$B:$B,0))&amp;""),"—"))</f>
        <v/>
      </c>
      <c r="E401" s="25">
        <f>IF($C401="","",IFERROR(IF(INDEX(Roster!$C:$C,MATCH($C401,Roster!$B:$B,0))="","",INDEX(Roster!$C:$C,MATCH($C401,Roster!$B:$B,0))&amp;""),"—"))</f>
        <v/>
      </c>
      <c r="F401" s="25">
        <f>IF($C401="","",IFERROR(IF(INDEX(Roster!$D:$D,MATCH($C401,Roster!$B:$B,0))="","",INDEX(Roster!$D:$D,MATCH($C401,Roster!$B:$B,0))&amp;""),"—"))</f>
        <v/>
      </c>
      <c r="G401" s="25">
        <f>IF($C401="","",IFERROR(IF(INDEX(Roster!$E:$E,MATCH($C401,Roster!$B:$B,0))="","",INDEX(Roster!$E:$E,MATCH($C401,Roster!$B:$B,0))&amp;""),"—"))</f>
        <v/>
      </c>
      <c r="H401" s="25">
        <f>IF($C401="","",IFERROR(IF(INDEX(Roster!$F:$F,MATCH($C401,Roster!$B:$B,0))="","",INDEX(Roster!$F:$F,MATCH($C401,Roster!$B:$B,0))&amp;""),"—"))</f>
        <v/>
      </c>
      <c r="I401" s="25">
        <f>IF($C401="","",IFERROR(IF(INDEX(Roster!$G:$G,MATCH($C401,Roster!$B:$B,0))="","",INDEX(Roster!$G:$G,MATCH($C401,Roster!$B:$B,0))&amp;""),"—"))</f>
        <v/>
      </c>
      <c r="J401" s="25">
        <f>IF($C401="","",IFERROR(IF(INDEX(Roster!$I:$I,MATCH($C401,Roster!$B:$B,0))="","",INDEX(Roster!$I:$I,MATCH($C401,Roster!$B:$B,0))&amp;""),"—"))</f>
        <v/>
      </c>
      <c r="K401">
        <f>IF($C401="","",IFERROR(IF(INDEX(Roster!$J:$J,MATCH($C401,Roster!$B:$B,0))="","",INDEX(Roster!$J:$J,MATCH($C401,Roster!$B:$B,0))&amp;""),"—"))</f>
        <v/>
      </c>
      <c r="L401">
        <f>IF($C401="","",IFERROR(IF(INDEX(Roster!$K:$K,MATCH($C401,Roster!$B:$B,0))="","",INDEX(Roster!$K:$K,MATCH($C401,Roster!$B:$B,0))&amp;""),"—"))</f>
        <v/>
      </c>
      <c r="M401" s="27" t="n"/>
      <c r="N401" s="27" t="n"/>
      <c r="O401" s="25">
        <f>IF($C401="","",IF($P401="","—",IF($P401="Valid (Pass)","Valid","Invalid")))</f>
        <v/>
      </c>
      <c r="P401" s="27" t="n"/>
      <c r="Q401" s="27" t="n"/>
      <c r="R401" s="27" t="n"/>
      <c r="S401" s="27" t="n"/>
      <c r="T401" s="25">
        <f>IF($C401="","",IF(OR(ISNUMBER(SEARCH("quick case",$P401)),ISNUMBER(SEARCH("quick case",$Q401))),"Yes","No"))</f>
        <v/>
      </c>
      <c r="U401" s="25">
        <f>IF($O401="Invalid",HYPERLINK("mailto:"&amp;$G401&amp;";"&amp;$I401&amp;"?cc="&amp;Lists!$E$2&amp;"&amp;subject="&amp;_xlfn.ENCODEURL("[INVALID] Quality audit monitoring completed for "&amp;UPPER($C401))&amp;"&amp;body="&amp;_xlfn.ENCODEURL("Hi "&amp;$F401&amp;","&amp;CHAR(10)&amp;"Good day!"&amp;CHAR(10)&amp;CHAR(10)&amp;"A quality monitoring audit has been completed for "&amp;$C401&amp;"."&amp;CHAR(10)&amp;CHAR(10)&amp;"QUALITY AUDIT DETAILS"&amp;CHAR(10)&amp;"Agent Name: "&amp;$C401&amp;" (EID "&amp;$D401&amp;")"&amp;CHAR(10)&amp;"Audit Date: "&amp;TEXT($B401,"yyyy-mm-dd")&amp;CHAR(10)&amp;"Team Leader: "&amp;$F401&amp;CHAR(10)&amp;"Case Number: "&amp;$M401&amp;CHAR(10)&amp;"Transaction ID: "&amp;$N401&amp;CHAR(10)&amp;"Channel / LOB: "&amp;$K401&amp;" / "&amp;$L401&amp;CHAR(10)&amp;"Evaluator: "&amp;$S401&amp;CHAR(10)&amp;CHAR(10)&amp;"INVALID QUALITY AUDIT DETAILS"&amp;CHAR(10)&amp;"Validation: Invalid"&amp;CHAR(10)&amp;"Invalid Reason: "&amp;$P401&amp;CHAR(10)&amp;"Expected Resolution Code: "&amp;$Q401&amp;CHAR(10)&amp;"Remarks: "&amp;LEFT($R401,600)&amp;CHAR(10)&amp;CHAR(10)&amp;"This is an automated notification from HP Mainstream EQMS."),"✉ Open Email Draft"),"")</f>
        <v/>
      </c>
    </row>
    <row r="402">
      <c r="A402" s="25">
        <f>IF($C402="","","AUD-2026-"&amp;TEXT(ROW()-1,"000000"))</f>
        <v/>
      </c>
      <c r="B402" s="26" t="n"/>
      <c r="C402" s="27" t="n"/>
      <c r="D402" s="25">
        <f>IF($C402="","",IFERROR(IF(INDEX(Roster!$A:$A,MATCH($C402,Roster!$B:$B,0))="","",INDEX(Roster!$A:$A,MATCH($C402,Roster!$B:$B,0))&amp;""),"—"))</f>
        <v/>
      </c>
      <c r="E402" s="25">
        <f>IF($C402="","",IFERROR(IF(INDEX(Roster!$C:$C,MATCH($C402,Roster!$B:$B,0))="","",INDEX(Roster!$C:$C,MATCH($C402,Roster!$B:$B,0))&amp;""),"—"))</f>
        <v/>
      </c>
      <c r="F402" s="25">
        <f>IF($C402="","",IFERROR(IF(INDEX(Roster!$D:$D,MATCH($C402,Roster!$B:$B,0))="","",INDEX(Roster!$D:$D,MATCH($C402,Roster!$B:$B,0))&amp;""),"—"))</f>
        <v/>
      </c>
      <c r="G402" s="25">
        <f>IF($C402="","",IFERROR(IF(INDEX(Roster!$E:$E,MATCH($C402,Roster!$B:$B,0))="","",INDEX(Roster!$E:$E,MATCH($C402,Roster!$B:$B,0))&amp;""),"—"))</f>
        <v/>
      </c>
      <c r="H402" s="25">
        <f>IF($C402="","",IFERROR(IF(INDEX(Roster!$F:$F,MATCH($C402,Roster!$B:$B,0))="","",INDEX(Roster!$F:$F,MATCH($C402,Roster!$B:$B,0))&amp;""),"—"))</f>
        <v/>
      </c>
      <c r="I402" s="25">
        <f>IF($C402="","",IFERROR(IF(INDEX(Roster!$G:$G,MATCH($C402,Roster!$B:$B,0))="","",INDEX(Roster!$G:$G,MATCH($C402,Roster!$B:$B,0))&amp;""),"—"))</f>
        <v/>
      </c>
      <c r="J402" s="25">
        <f>IF($C402="","",IFERROR(IF(INDEX(Roster!$I:$I,MATCH($C402,Roster!$B:$B,0))="","",INDEX(Roster!$I:$I,MATCH($C402,Roster!$B:$B,0))&amp;""),"—"))</f>
        <v/>
      </c>
      <c r="K402">
        <f>IF($C402="","",IFERROR(IF(INDEX(Roster!$J:$J,MATCH($C402,Roster!$B:$B,0))="","",INDEX(Roster!$J:$J,MATCH($C402,Roster!$B:$B,0))&amp;""),"—"))</f>
        <v/>
      </c>
      <c r="L402">
        <f>IF($C402="","",IFERROR(IF(INDEX(Roster!$K:$K,MATCH($C402,Roster!$B:$B,0))="","",INDEX(Roster!$K:$K,MATCH($C402,Roster!$B:$B,0))&amp;""),"—"))</f>
        <v/>
      </c>
      <c r="M402" s="27" t="n"/>
      <c r="N402" s="27" t="n"/>
      <c r="O402" s="25">
        <f>IF($C402="","",IF($P402="","—",IF($P402="Valid (Pass)","Valid","Invalid")))</f>
        <v/>
      </c>
      <c r="P402" s="27" t="n"/>
      <c r="Q402" s="27" t="n"/>
      <c r="R402" s="27" t="n"/>
      <c r="S402" s="27" t="n"/>
      <c r="T402" s="25">
        <f>IF($C402="","",IF(OR(ISNUMBER(SEARCH("quick case",$P402)),ISNUMBER(SEARCH("quick case",$Q402))),"Yes","No"))</f>
        <v/>
      </c>
      <c r="U402" s="25">
        <f>IF($O402="Invalid",HYPERLINK("mailto:"&amp;$G402&amp;";"&amp;$I402&amp;"?cc="&amp;Lists!$E$2&amp;"&amp;subject="&amp;_xlfn.ENCODEURL("[INVALID] Quality audit monitoring completed for "&amp;UPPER($C402))&amp;"&amp;body="&amp;_xlfn.ENCODEURL("Hi "&amp;$F402&amp;","&amp;CHAR(10)&amp;"Good day!"&amp;CHAR(10)&amp;CHAR(10)&amp;"A quality monitoring audit has been completed for "&amp;$C402&amp;"."&amp;CHAR(10)&amp;CHAR(10)&amp;"QUALITY AUDIT DETAILS"&amp;CHAR(10)&amp;"Agent Name: "&amp;$C402&amp;" (EID "&amp;$D402&amp;")"&amp;CHAR(10)&amp;"Audit Date: "&amp;TEXT($B402,"yyyy-mm-dd")&amp;CHAR(10)&amp;"Team Leader: "&amp;$F402&amp;CHAR(10)&amp;"Case Number: "&amp;$M402&amp;CHAR(10)&amp;"Transaction ID: "&amp;$N402&amp;CHAR(10)&amp;"Channel / LOB: "&amp;$K402&amp;" / "&amp;$L402&amp;CHAR(10)&amp;"Evaluator: "&amp;$S402&amp;CHAR(10)&amp;CHAR(10)&amp;"INVALID QUALITY AUDIT DETAILS"&amp;CHAR(10)&amp;"Validation: Invalid"&amp;CHAR(10)&amp;"Invalid Reason: "&amp;$P402&amp;CHAR(10)&amp;"Expected Resolution Code: "&amp;$Q402&amp;CHAR(10)&amp;"Remarks: "&amp;LEFT($R402,600)&amp;CHAR(10)&amp;CHAR(10)&amp;"This is an automated notification from HP Mainstream EQMS."),"✉ Open Email Draft"),"")</f>
        <v/>
      </c>
    </row>
    <row r="403">
      <c r="A403" s="25">
        <f>IF($C403="","","AUD-2026-"&amp;TEXT(ROW()-1,"000000"))</f>
        <v/>
      </c>
      <c r="B403" s="26" t="n"/>
      <c r="C403" s="27" t="n"/>
      <c r="D403" s="25">
        <f>IF($C403="","",IFERROR(IF(INDEX(Roster!$A:$A,MATCH($C403,Roster!$B:$B,0))="","",INDEX(Roster!$A:$A,MATCH($C403,Roster!$B:$B,0))&amp;""),"—"))</f>
        <v/>
      </c>
      <c r="E403" s="25">
        <f>IF($C403="","",IFERROR(IF(INDEX(Roster!$C:$C,MATCH($C403,Roster!$B:$B,0))="","",INDEX(Roster!$C:$C,MATCH($C403,Roster!$B:$B,0))&amp;""),"—"))</f>
        <v/>
      </c>
      <c r="F403" s="25">
        <f>IF($C403="","",IFERROR(IF(INDEX(Roster!$D:$D,MATCH($C403,Roster!$B:$B,0))="","",INDEX(Roster!$D:$D,MATCH($C403,Roster!$B:$B,0))&amp;""),"—"))</f>
        <v/>
      </c>
      <c r="G403" s="25">
        <f>IF($C403="","",IFERROR(IF(INDEX(Roster!$E:$E,MATCH($C403,Roster!$B:$B,0))="","",INDEX(Roster!$E:$E,MATCH($C403,Roster!$B:$B,0))&amp;""),"—"))</f>
        <v/>
      </c>
      <c r="H403" s="25">
        <f>IF($C403="","",IFERROR(IF(INDEX(Roster!$F:$F,MATCH($C403,Roster!$B:$B,0))="","",INDEX(Roster!$F:$F,MATCH($C403,Roster!$B:$B,0))&amp;""),"—"))</f>
        <v/>
      </c>
      <c r="I403" s="25">
        <f>IF($C403="","",IFERROR(IF(INDEX(Roster!$G:$G,MATCH($C403,Roster!$B:$B,0))="","",INDEX(Roster!$G:$G,MATCH($C403,Roster!$B:$B,0))&amp;""),"—"))</f>
        <v/>
      </c>
      <c r="J403" s="25">
        <f>IF($C403="","",IFERROR(IF(INDEX(Roster!$I:$I,MATCH($C403,Roster!$B:$B,0))="","",INDEX(Roster!$I:$I,MATCH($C403,Roster!$B:$B,0))&amp;""),"—"))</f>
        <v/>
      </c>
      <c r="K403">
        <f>IF($C403="","",IFERROR(IF(INDEX(Roster!$J:$J,MATCH($C403,Roster!$B:$B,0))="","",INDEX(Roster!$J:$J,MATCH($C403,Roster!$B:$B,0))&amp;""),"—"))</f>
        <v/>
      </c>
      <c r="L403">
        <f>IF($C403="","",IFERROR(IF(INDEX(Roster!$K:$K,MATCH($C403,Roster!$B:$B,0))="","",INDEX(Roster!$K:$K,MATCH($C403,Roster!$B:$B,0))&amp;""),"—"))</f>
        <v/>
      </c>
      <c r="M403" s="27" t="n"/>
      <c r="N403" s="27" t="n"/>
      <c r="O403" s="25">
        <f>IF($C403="","",IF($P403="","—",IF($P403="Valid (Pass)","Valid","Invalid")))</f>
        <v/>
      </c>
      <c r="P403" s="27" t="n"/>
      <c r="Q403" s="27" t="n"/>
      <c r="R403" s="27" t="n"/>
      <c r="S403" s="27" t="n"/>
      <c r="T403" s="25">
        <f>IF($C403="","",IF(OR(ISNUMBER(SEARCH("quick case",$P403)),ISNUMBER(SEARCH("quick case",$Q403))),"Yes","No"))</f>
        <v/>
      </c>
      <c r="U403" s="25">
        <f>IF($O403="Invalid",HYPERLINK("mailto:"&amp;$G403&amp;";"&amp;$I403&amp;"?cc="&amp;Lists!$E$2&amp;"&amp;subject="&amp;_xlfn.ENCODEURL("[INVALID] Quality audit monitoring completed for "&amp;UPPER($C403))&amp;"&amp;body="&amp;_xlfn.ENCODEURL("Hi "&amp;$F403&amp;","&amp;CHAR(10)&amp;"Good day!"&amp;CHAR(10)&amp;CHAR(10)&amp;"A quality monitoring audit has been completed for "&amp;$C403&amp;"."&amp;CHAR(10)&amp;CHAR(10)&amp;"QUALITY AUDIT DETAILS"&amp;CHAR(10)&amp;"Agent Name: "&amp;$C403&amp;" (EID "&amp;$D403&amp;")"&amp;CHAR(10)&amp;"Audit Date: "&amp;TEXT($B403,"yyyy-mm-dd")&amp;CHAR(10)&amp;"Team Leader: "&amp;$F403&amp;CHAR(10)&amp;"Case Number: "&amp;$M403&amp;CHAR(10)&amp;"Transaction ID: "&amp;$N403&amp;CHAR(10)&amp;"Channel / LOB: "&amp;$K403&amp;" / "&amp;$L403&amp;CHAR(10)&amp;"Evaluator: "&amp;$S403&amp;CHAR(10)&amp;CHAR(10)&amp;"INVALID QUALITY AUDIT DETAILS"&amp;CHAR(10)&amp;"Validation: Invalid"&amp;CHAR(10)&amp;"Invalid Reason: "&amp;$P403&amp;CHAR(10)&amp;"Expected Resolution Code: "&amp;$Q403&amp;CHAR(10)&amp;"Remarks: "&amp;LEFT($R403,600)&amp;CHAR(10)&amp;CHAR(10)&amp;"This is an automated notification from HP Mainstream EQMS."),"✉ Open Email Draft"),"")</f>
        <v/>
      </c>
    </row>
    <row r="404">
      <c r="A404" s="25">
        <f>IF($C404="","","AUD-2026-"&amp;TEXT(ROW()-1,"000000"))</f>
        <v/>
      </c>
      <c r="B404" s="26" t="n"/>
      <c r="C404" s="27" t="n"/>
      <c r="D404" s="25">
        <f>IF($C404="","",IFERROR(IF(INDEX(Roster!$A:$A,MATCH($C404,Roster!$B:$B,0))="","",INDEX(Roster!$A:$A,MATCH($C404,Roster!$B:$B,0))&amp;""),"—"))</f>
        <v/>
      </c>
      <c r="E404" s="25">
        <f>IF($C404="","",IFERROR(IF(INDEX(Roster!$C:$C,MATCH($C404,Roster!$B:$B,0))="","",INDEX(Roster!$C:$C,MATCH($C404,Roster!$B:$B,0))&amp;""),"—"))</f>
        <v/>
      </c>
      <c r="F404" s="25">
        <f>IF($C404="","",IFERROR(IF(INDEX(Roster!$D:$D,MATCH($C404,Roster!$B:$B,0))="","",INDEX(Roster!$D:$D,MATCH($C404,Roster!$B:$B,0))&amp;""),"—"))</f>
        <v/>
      </c>
      <c r="G404" s="25">
        <f>IF($C404="","",IFERROR(IF(INDEX(Roster!$E:$E,MATCH($C404,Roster!$B:$B,0))="","",INDEX(Roster!$E:$E,MATCH($C404,Roster!$B:$B,0))&amp;""),"—"))</f>
        <v/>
      </c>
      <c r="H404" s="25">
        <f>IF($C404="","",IFERROR(IF(INDEX(Roster!$F:$F,MATCH($C404,Roster!$B:$B,0))="","",INDEX(Roster!$F:$F,MATCH($C404,Roster!$B:$B,0))&amp;""),"—"))</f>
        <v/>
      </c>
      <c r="I404" s="25">
        <f>IF($C404="","",IFERROR(IF(INDEX(Roster!$G:$G,MATCH($C404,Roster!$B:$B,0))="","",INDEX(Roster!$G:$G,MATCH($C404,Roster!$B:$B,0))&amp;""),"—"))</f>
        <v/>
      </c>
      <c r="J404" s="25">
        <f>IF($C404="","",IFERROR(IF(INDEX(Roster!$I:$I,MATCH($C404,Roster!$B:$B,0))="","",INDEX(Roster!$I:$I,MATCH($C404,Roster!$B:$B,0))&amp;""),"—"))</f>
        <v/>
      </c>
      <c r="K404">
        <f>IF($C404="","",IFERROR(IF(INDEX(Roster!$J:$J,MATCH($C404,Roster!$B:$B,0))="","",INDEX(Roster!$J:$J,MATCH($C404,Roster!$B:$B,0))&amp;""),"—"))</f>
        <v/>
      </c>
      <c r="L404">
        <f>IF($C404="","",IFERROR(IF(INDEX(Roster!$K:$K,MATCH($C404,Roster!$B:$B,0))="","",INDEX(Roster!$K:$K,MATCH($C404,Roster!$B:$B,0))&amp;""),"—"))</f>
        <v/>
      </c>
      <c r="M404" s="27" t="n"/>
      <c r="N404" s="27" t="n"/>
      <c r="O404" s="25">
        <f>IF($C404="","",IF($P404="","—",IF($P404="Valid (Pass)","Valid","Invalid")))</f>
        <v/>
      </c>
      <c r="P404" s="27" t="n"/>
      <c r="Q404" s="27" t="n"/>
      <c r="R404" s="27" t="n"/>
      <c r="S404" s="27" t="n"/>
      <c r="T404" s="25">
        <f>IF($C404="","",IF(OR(ISNUMBER(SEARCH("quick case",$P404)),ISNUMBER(SEARCH("quick case",$Q404))),"Yes","No"))</f>
        <v/>
      </c>
      <c r="U404" s="25">
        <f>IF($O404="Invalid",HYPERLINK("mailto:"&amp;$G404&amp;";"&amp;$I404&amp;"?cc="&amp;Lists!$E$2&amp;"&amp;subject="&amp;_xlfn.ENCODEURL("[INVALID] Quality audit monitoring completed for "&amp;UPPER($C404))&amp;"&amp;body="&amp;_xlfn.ENCODEURL("Hi "&amp;$F404&amp;","&amp;CHAR(10)&amp;"Good day!"&amp;CHAR(10)&amp;CHAR(10)&amp;"A quality monitoring audit has been completed for "&amp;$C404&amp;"."&amp;CHAR(10)&amp;CHAR(10)&amp;"QUALITY AUDIT DETAILS"&amp;CHAR(10)&amp;"Agent Name: "&amp;$C404&amp;" (EID "&amp;$D404&amp;")"&amp;CHAR(10)&amp;"Audit Date: "&amp;TEXT($B404,"yyyy-mm-dd")&amp;CHAR(10)&amp;"Team Leader: "&amp;$F404&amp;CHAR(10)&amp;"Case Number: "&amp;$M404&amp;CHAR(10)&amp;"Transaction ID: "&amp;$N404&amp;CHAR(10)&amp;"Channel / LOB: "&amp;$K404&amp;" / "&amp;$L404&amp;CHAR(10)&amp;"Evaluator: "&amp;$S404&amp;CHAR(10)&amp;CHAR(10)&amp;"INVALID QUALITY AUDIT DETAILS"&amp;CHAR(10)&amp;"Validation: Invalid"&amp;CHAR(10)&amp;"Invalid Reason: "&amp;$P404&amp;CHAR(10)&amp;"Expected Resolution Code: "&amp;$Q404&amp;CHAR(10)&amp;"Remarks: "&amp;LEFT($R404,600)&amp;CHAR(10)&amp;CHAR(10)&amp;"This is an automated notification from HP Mainstream EQMS."),"✉ Open Email Draft"),"")</f>
        <v/>
      </c>
    </row>
    <row r="405">
      <c r="A405" s="25">
        <f>IF($C405="","","AUD-2026-"&amp;TEXT(ROW()-1,"000000"))</f>
        <v/>
      </c>
      <c r="B405" s="26" t="n"/>
      <c r="C405" s="27" t="n"/>
      <c r="D405" s="25">
        <f>IF($C405="","",IFERROR(IF(INDEX(Roster!$A:$A,MATCH($C405,Roster!$B:$B,0))="","",INDEX(Roster!$A:$A,MATCH($C405,Roster!$B:$B,0))&amp;""),"—"))</f>
        <v/>
      </c>
      <c r="E405" s="25">
        <f>IF($C405="","",IFERROR(IF(INDEX(Roster!$C:$C,MATCH($C405,Roster!$B:$B,0))="","",INDEX(Roster!$C:$C,MATCH($C405,Roster!$B:$B,0))&amp;""),"—"))</f>
        <v/>
      </c>
      <c r="F405" s="25">
        <f>IF($C405="","",IFERROR(IF(INDEX(Roster!$D:$D,MATCH($C405,Roster!$B:$B,0))="","",INDEX(Roster!$D:$D,MATCH($C405,Roster!$B:$B,0))&amp;""),"—"))</f>
        <v/>
      </c>
      <c r="G405" s="25">
        <f>IF($C405="","",IFERROR(IF(INDEX(Roster!$E:$E,MATCH($C405,Roster!$B:$B,0))="","",INDEX(Roster!$E:$E,MATCH($C405,Roster!$B:$B,0))&amp;""),"—"))</f>
        <v/>
      </c>
      <c r="H405" s="25">
        <f>IF($C405="","",IFERROR(IF(INDEX(Roster!$F:$F,MATCH($C405,Roster!$B:$B,0))="","",INDEX(Roster!$F:$F,MATCH($C405,Roster!$B:$B,0))&amp;""),"—"))</f>
        <v/>
      </c>
      <c r="I405" s="25">
        <f>IF($C405="","",IFERROR(IF(INDEX(Roster!$G:$G,MATCH($C405,Roster!$B:$B,0))="","",INDEX(Roster!$G:$G,MATCH($C405,Roster!$B:$B,0))&amp;""),"—"))</f>
        <v/>
      </c>
      <c r="J405" s="25">
        <f>IF($C405="","",IFERROR(IF(INDEX(Roster!$I:$I,MATCH($C405,Roster!$B:$B,0))="","",INDEX(Roster!$I:$I,MATCH($C405,Roster!$B:$B,0))&amp;""),"—"))</f>
        <v/>
      </c>
      <c r="K405">
        <f>IF($C405="","",IFERROR(IF(INDEX(Roster!$J:$J,MATCH($C405,Roster!$B:$B,0))="","",INDEX(Roster!$J:$J,MATCH($C405,Roster!$B:$B,0))&amp;""),"—"))</f>
        <v/>
      </c>
      <c r="L405">
        <f>IF($C405="","",IFERROR(IF(INDEX(Roster!$K:$K,MATCH($C405,Roster!$B:$B,0))="","",INDEX(Roster!$K:$K,MATCH($C405,Roster!$B:$B,0))&amp;""),"—"))</f>
        <v/>
      </c>
      <c r="M405" s="27" t="n"/>
      <c r="N405" s="27" t="n"/>
      <c r="O405" s="25">
        <f>IF($C405="","",IF($P405="","—",IF($P405="Valid (Pass)","Valid","Invalid")))</f>
        <v/>
      </c>
      <c r="P405" s="27" t="n"/>
      <c r="Q405" s="27" t="n"/>
      <c r="R405" s="27" t="n"/>
      <c r="S405" s="27" t="n"/>
      <c r="T405" s="25">
        <f>IF($C405="","",IF(OR(ISNUMBER(SEARCH("quick case",$P405)),ISNUMBER(SEARCH("quick case",$Q405))),"Yes","No"))</f>
        <v/>
      </c>
      <c r="U405" s="25">
        <f>IF($O405="Invalid",HYPERLINK("mailto:"&amp;$G405&amp;";"&amp;$I405&amp;"?cc="&amp;Lists!$E$2&amp;"&amp;subject="&amp;_xlfn.ENCODEURL("[INVALID] Quality audit monitoring completed for "&amp;UPPER($C405))&amp;"&amp;body="&amp;_xlfn.ENCODEURL("Hi "&amp;$F405&amp;","&amp;CHAR(10)&amp;"Good day!"&amp;CHAR(10)&amp;CHAR(10)&amp;"A quality monitoring audit has been completed for "&amp;$C405&amp;"."&amp;CHAR(10)&amp;CHAR(10)&amp;"QUALITY AUDIT DETAILS"&amp;CHAR(10)&amp;"Agent Name: "&amp;$C405&amp;" (EID "&amp;$D405&amp;")"&amp;CHAR(10)&amp;"Audit Date: "&amp;TEXT($B405,"yyyy-mm-dd")&amp;CHAR(10)&amp;"Team Leader: "&amp;$F405&amp;CHAR(10)&amp;"Case Number: "&amp;$M405&amp;CHAR(10)&amp;"Transaction ID: "&amp;$N405&amp;CHAR(10)&amp;"Channel / LOB: "&amp;$K405&amp;" / "&amp;$L405&amp;CHAR(10)&amp;"Evaluator: "&amp;$S405&amp;CHAR(10)&amp;CHAR(10)&amp;"INVALID QUALITY AUDIT DETAILS"&amp;CHAR(10)&amp;"Validation: Invalid"&amp;CHAR(10)&amp;"Invalid Reason: "&amp;$P405&amp;CHAR(10)&amp;"Expected Resolution Code: "&amp;$Q405&amp;CHAR(10)&amp;"Remarks: "&amp;LEFT($R405,600)&amp;CHAR(10)&amp;CHAR(10)&amp;"This is an automated notification from HP Mainstream EQMS."),"✉ Open Email Draft"),"")</f>
        <v/>
      </c>
    </row>
    <row r="406">
      <c r="A406" s="25">
        <f>IF($C406="","","AUD-2026-"&amp;TEXT(ROW()-1,"000000"))</f>
        <v/>
      </c>
      <c r="B406" s="26" t="n"/>
      <c r="C406" s="27" t="n"/>
      <c r="D406" s="25">
        <f>IF($C406="","",IFERROR(IF(INDEX(Roster!$A:$A,MATCH($C406,Roster!$B:$B,0))="","",INDEX(Roster!$A:$A,MATCH($C406,Roster!$B:$B,0))&amp;""),"—"))</f>
        <v/>
      </c>
      <c r="E406" s="25">
        <f>IF($C406="","",IFERROR(IF(INDEX(Roster!$C:$C,MATCH($C406,Roster!$B:$B,0))="","",INDEX(Roster!$C:$C,MATCH($C406,Roster!$B:$B,0))&amp;""),"—"))</f>
        <v/>
      </c>
      <c r="F406" s="25">
        <f>IF($C406="","",IFERROR(IF(INDEX(Roster!$D:$D,MATCH($C406,Roster!$B:$B,0))="","",INDEX(Roster!$D:$D,MATCH($C406,Roster!$B:$B,0))&amp;""),"—"))</f>
        <v/>
      </c>
      <c r="G406" s="25">
        <f>IF($C406="","",IFERROR(IF(INDEX(Roster!$E:$E,MATCH($C406,Roster!$B:$B,0))="","",INDEX(Roster!$E:$E,MATCH($C406,Roster!$B:$B,0))&amp;""),"—"))</f>
        <v/>
      </c>
      <c r="H406" s="25">
        <f>IF($C406="","",IFERROR(IF(INDEX(Roster!$F:$F,MATCH($C406,Roster!$B:$B,0))="","",INDEX(Roster!$F:$F,MATCH($C406,Roster!$B:$B,0))&amp;""),"—"))</f>
        <v/>
      </c>
      <c r="I406" s="25">
        <f>IF($C406="","",IFERROR(IF(INDEX(Roster!$G:$G,MATCH($C406,Roster!$B:$B,0))="","",INDEX(Roster!$G:$G,MATCH($C406,Roster!$B:$B,0))&amp;""),"—"))</f>
        <v/>
      </c>
      <c r="J406" s="25">
        <f>IF($C406="","",IFERROR(IF(INDEX(Roster!$I:$I,MATCH($C406,Roster!$B:$B,0))="","",INDEX(Roster!$I:$I,MATCH($C406,Roster!$B:$B,0))&amp;""),"—"))</f>
        <v/>
      </c>
      <c r="K406">
        <f>IF($C406="","",IFERROR(IF(INDEX(Roster!$J:$J,MATCH($C406,Roster!$B:$B,0))="","",INDEX(Roster!$J:$J,MATCH($C406,Roster!$B:$B,0))&amp;""),"—"))</f>
        <v/>
      </c>
      <c r="L406">
        <f>IF($C406="","",IFERROR(IF(INDEX(Roster!$K:$K,MATCH($C406,Roster!$B:$B,0))="","",INDEX(Roster!$K:$K,MATCH($C406,Roster!$B:$B,0))&amp;""),"—"))</f>
        <v/>
      </c>
      <c r="M406" s="27" t="n"/>
      <c r="N406" s="27" t="n"/>
      <c r="O406" s="25">
        <f>IF($C406="","",IF($P406="","—",IF($P406="Valid (Pass)","Valid","Invalid")))</f>
        <v/>
      </c>
      <c r="P406" s="27" t="n"/>
      <c r="Q406" s="27" t="n"/>
      <c r="R406" s="27" t="n"/>
      <c r="S406" s="27" t="n"/>
      <c r="T406" s="25">
        <f>IF($C406="","",IF(OR(ISNUMBER(SEARCH("quick case",$P406)),ISNUMBER(SEARCH("quick case",$Q406))),"Yes","No"))</f>
        <v/>
      </c>
      <c r="U406" s="25">
        <f>IF($O406="Invalid",HYPERLINK("mailto:"&amp;$G406&amp;";"&amp;$I406&amp;"?cc="&amp;Lists!$E$2&amp;"&amp;subject="&amp;_xlfn.ENCODEURL("[INVALID] Quality audit monitoring completed for "&amp;UPPER($C406))&amp;"&amp;body="&amp;_xlfn.ENCODEURL("Hi "&amp;$F406&amp;","&amp;CHAR(10)&amp;"Good day!"&amp;CHAR(10)&amp;CHAR(10)&amp;"A quality monitoring audit has been completed for "&amp;$C406&amp;"."&amp;CHAR(10)&amp;CHAR(10)&amp;"QUALITY AUDIT DETAILS"&amp;CHAR(10)&amp;"Agent Name: "&amp;$C406&amp;" (EID "&amp;$D406&amp;")"&amp;CHAR(10)&amp;"Audit Date: "&amp;TEXT($B406,"yyyy-mm-dd")&amp;CHAR(10)&amp;"Team Leader: "&amp;$F406&amp;CHAR(10)&amp;"Case Number: "&amp;$M406&amp;CHAR(10)&amp;"Transaction ID: "&amp;$N406&amp;CHAR(10)&amp;"Channel / LOB: "&amp;$K406&amp;" / "&amp;$L406&amp;CHAR(10)&amp;"Evaluator: "&amp;$S406&amp;CHAR(10)&amp;CHAR(10)&amp;"INVALID QUALITY AUDIT DETAILS"&amp;CHAR(10)&amp;"Validation: Invalid"&amp;CHAR(10)&amp;"Invalid Reason: "&amp;$P406&amp;CHAR(10)&amp;"Expected Resolution Code: "&amp;$Q406&amp;CHAR(10)&amp;"Remarks: "&amp;LEFT($R406,600)&amp;CHAR(10)&amp;CHAR(10)&amp;"This is an automated notification from HP Mainstream EQMS."),"✉ Open Email Draft"),"")</f>
        <v/>
      </c>
    </row>
    <row r="407">
      <c r="A407" s="25">
        <f>IF($C407="","","AUD-2026-"&amp;TEXT(ROW()-1,"000000"))</f>
        <v/>
      </c>
      <c r="B407" s="26" t="n"/>
      <c r="C407" s="27" t="n"/>
      <c r="D407" s="25">
        <f>IF($C407="","",IFERROR(IF(INDEX(Roster!$A:$A,MATCH($C407,Roster!$B:$B,0))="","",INDEX(Roster!$A:$A,MATCH($C407,Roster!$B:$B,0))&amp;""),"—"))</f>
        <v/>
      </c>
      <c r="E407" s="25">
        <f>IF($C407="","",IFERROR(IF(INDEX(Roster!$C:$C,MATCH($C407,Roster!$B:$B,0))="","",INDEX(Roster!$C:$C,MATCH($C407,Roster!$B:$B,0))&amp;""),"—"))</f>
        <v/>
      </c>
      <c r="F407" s="25">
        <f>IF($C407="","",IFERROR(IF(INDEX(Roster!$D:$D,MATCH($C407,Roster!$B:$B,0))="","",INDEX(Roster!$D:$D,MATCH($C407,Roster!$B:$B,0))&amp;""),"—"))</f>
        <v/>
      </c>
      <c r="G407" s="25">
        <f>IF($C407="","",IFERROR(IF(INDEX(Roster!$E:$E,MATCH($C407,Roster!$B:$B,0))="","",INDEX(Roster!$E:$E,MATCH($C407,Roster!$B:$B,0))&amp;""),"—"))</f>
        <v/>
      </c>
      <c r="H407" s="25">
        <f>IF($C407="","",IFERROR(IF(INDEX(Roster!$F:$F,MATCH($C407,Roster!$B:$B,0))="","",INDEX(Roster!$F:$F,MATCH($C407,Roster!$B:$B,0))&amp;""),"—"))</f>
        <v/>
      </c>
      <c r="I407" s="25">
        <f>IF($C407="","",IFERROR(IF(INDEX(Roster!$G:$G,MATCH($C407,Roster!$B:$B,0))="","",INDEX(Roster!$G:$G,MATCH($C407,Roster!$B:$B,0))&amp;""),"—"))</f>
        <v/>
      </c>
      <c r="J407" s="25">
        <f>IF($C407="","",IFERROR(IF(INDEX(Roster!$I:$I,MATCH($C407,Roster!$B:$B,0))="","",INDEX(Roster!$I:$I,MATCH($C407,Roster!$B:$B,0))&amp;""),"—"))</f>
        <v/>
      </c>
      <c r="K407">
        <f>IF($C407="","",IFERROR(IF(INDEX(Roster!$J:$J,MATCH($C407,Roster!$B:$B,0))="","",INDEX(Roster!$J:$J,MATCH($C407,Roster!$B:$B,0))&amp;""),"—"))</f>
        <v/>
      </c>
      <c r="L407">
        <f>IF($C407="","",IFERROR(IF(INDEX(Roster!$K:$K,MATCH($C407,Roster!$B:$B,0))="","",INDEX(Roster!$K:$K,MATCH($C407,Roster!$B:$B,0))&amp;""),"—"))</f>
        <v/>
      </c>
      <c r="M407" s="27" t="n"/>
      <c r="N407" s="27" t="n"/>
      <c r="O407" s="25">
        <f>IF($C407="","",IF($P407="","—",IF($P407="Valid (Pass)","Valid","Invalid")))</f>
        <v/>
      </c>
      <c r="P407" s="27" t="n"/>
      <c r="Q407" s="27" t="n"/>
      <c r="R407" s="27" t="n"/>
      <c r="S407" s="27" t="n"/>
      <c r="T407" s="25">
        <f>IF($C407="","",IF(OR(ISNUMBER(SEARCH("quick case",$P407)),ISNUMBER(SEARCH("quick case",$Q407))),"Yes","No"))</f>
        <v/>
      </c>
      <c r="U407" s="25">
        <f>IF($O407="Invalid",HYPERLINK("mailto:"&amp;$G407&amp;";"&amp;$I407&amp;"?cc="&amp;Lists!$E$2&amp;"&amp;subject="&amp;_xlfn.ENCODEURL("[INVALID] Quality audit monitoring completed for "&amp;UPPER($C407))&amp;"&amp;body="&amp;_xlfn.ENCODEURL("Hi "&amp;$F407&amp;","&amp;CHAR(10)&amp;"Good day!"&amp;CHAR(10)&amp;CHAR(10)&amp;"A quality monitoring audit has been completed for "&amp;$C407&amp;"."&amp;CHAR(10)&amp;CHAR(10)&amp;"QUALITY AUDIT DETAILS"&amp;CHAR(10)&amp;"Agent Name: "&amp;$C407&amp;" (EID "&amp;$D407&amp;")"&amp;CHAR(10)&amp;"Audit Date: "&amp;TEXT($B407,"yyyy-mm-dd")&amp;CHAR(10)&amp;"Team Leader: "&amp;$F407&amp;CHAR(10)&amp;"Case Number: "&amp;$M407&amp;CHAR(10)&amp;"Transaction ID: "&amp;$N407&amp;CHAR(10)&amp;"Channel / LOB: "&amp;$K407&amp;" / "&amp;$L407&amp;CHAR(10)&amp;"Evaluator: "&amp;$S407&amp;CHAR(10)&amp;CHAR(10)&amp;"INVALID QUALITY AUDIT DETAILS"&amp;CHAR(10)&amp;"Validation: Invalid"&amp;CHAR(10)&amp;"Invalid Reason: "&amp;$P407&amp;CHAR(10)&amp;"Expected Resolution Code: "&amp;$Q407&amp;CHAR(10)&amp;"Remarks: "&amp;LEFT($R407,600)&amp;CHAR(10)&amp;CHAR(10)&amp;"This is an automated notification from HP Mainstream EQMS."),"✉ Open Email Draft"),"")</f>
        <v/>
      </c>
    </row>
    <row r="408">
      <c r="A408" s="25">
        <f>IF($C408="","","AUD-2026-"&amp;TEXT(ROW()-1,"000000"))</f>
        <v/>
      </c>
      <c r="B408" s="26" t="n"/>
      <c r="C408" s="27" t="n"/>
      <c r="D408" s="25">
        <f>IF($C408="","",IFERROR(IF(INDEX(Roster!$A:$A,MATCH($C408,Roster!$B:$B,0))="","",INDEX(Roster!$A:$A,MATCH($C408,Roster!$B:$B,0))&amp;""),"—"))</f>
        <v/>
      </c>
      <c r="E408" s="25">
        <f>IF($C408="","",IFERROR(IF(INDEX(Roster!$C:$C,MATCH($C408,Roster!$B:$B,0))="","",INDEX(Roster!$C:$C,MATCH($C408,Roster!$B:$B,0))&amp;""),"—"))</f>
        <v/>
      </c>
      <c r="F408" s="25">
        <f>IF($C408="","",IFERROR(IF(INDEX(Roster!$D:$D,MATCH($C408,Roster!$B:$B,0))="","",INDEX(Roster!$D:$D,MATCH($C408,Roster!$B:$B,0))&amp;""),"—"))</f>
        <v/>
      </c>
      <c r="G408" s="25">
        <f>IF($C408="","",IFERROR(IF(INDEX(Roster!$E:$E,MATCH($C408,Roster!$B:$B,0))="","",INDEX(Roster!$E:$E,MATCH($C408,Roster!$B:$B,0))&amp;""),"—"))</f>
        <v/>
      </c>
      <c r="H408" s="25">
        <f>IF($C408="","",IFERROR(IF(INDEX(Roster!$F:$F,MATCH($C408,Roster!$B:$B,0))="","",INDEX(Roster!$F:$F,MATCH($C408,Roster!$B:$B,0))&amp;""),"—"))</f>
        <v/>
      </c>
      <c r="I408" s="25">
        <f>IF($C408="","",IFERROR(IF(INDEX(Roster!$G:$G,MATCH($C408,Roster!$B:$B,0))="","",INDEX(Roster!$G:$G,MATCH($C408,Roster!$B:$B,0))&amp;""),"—"))</f>
        <v/>
      </c>
      <c r="J408" s="25">
        <f>IF($C408="","",IFERROR(IF(INDEX(Roster!$I:$I,MATCH($C408,Roster!$B:$B,0))="","",INDEX(Roster!$I:$I,MATCH($C408,Roster!$B:$B,0))&amp;""),"—"))</f>
        <v/>
      </c>
      <c r="K408">
        <f>IF($C408="","",IFERROR(IF(INDEX(Roster!$J:$J,MATCH($C408,Roster!$B:$B,0))="","",INDEX(Roster!$J:$J,MATCH($C408,Roster!$B:$B,0))&amp;""),"—"))</f>
        <v/>
      </c>
      <c r="L408">
        <f>IF($C408="","",IFERROR(IF(INDEX(Roster!$K:$K,MATCH($C408,Roster!$B:$B,0))="","",INDEX(Roster!$K:$K,MATCH($C408,Roster!$B:$B,0))&amp;""),"—"))</f>
        <v/>
      </c>
      <c r="M408" s="27" t="n"/>
      <c r="N408" s="27" t="n"/>
      <c r="O408" s="25">
        <f>IF($C408="","",IF($P408="","—",IF($P408="Valid (Pass)","Valid","Invalid")))</f>
        <v/>
      </c>
      <c r="P408" s="27" t="n"/>
      <c r="Q408" s="27" t="n"/>
      <c r="R408" s="27" t="n"/>
      <c r="S408" s="27" t="n"/>
      <c r="T408" s="25">
        <f>IF($C408="","",IF(OR(ISNUMBER(SEARCH("quick case",$P408)),ISNUMBER(SEARCH("quick case",$Q408))),"Yes","No"))</f>
        <v/>
      </c>
      <c r="U408" s="25">
        <f>IF($O408="Invalid",HYPERLINK("mailto:"&amp;$G408&amp;";"&amp;$I408&amp;"?cc="&amp;Lists!$E$2&amp;"&amp;subject="&amp;_xlfn.ENCODEURL("[INVALID] Quality audit monitoring completed for "&amp;UPPER($C408))&amp;"&amp;body="&amp;_xlfn.ENCODEURL("Hi "&amp;$F408&amp;","&amp;CHAR(10)&amp;"Good day!"&amp;CHAR(10)&amp;CHAR(10)&amp;"A quality monitoring audit has been completed for "&amp;$C408&amp;"."&amp;CHAR(10)&amp;CHAR(10)&amp;"QUALITY AUDIT DETAILS"&amp;CHAR(10)&amp;"Agent Name: "&amp;$C408&amp;" (EID "&amp;$D408&amp;")"&amp;CHAR(10)&amp;"Audit Date: "&amp;TEXT($B408,"yyyy-mm-dd")&amp;CHAR(10)&amp;"Team Leader: "&amp;$F408&amp;CHAR(10)&amp;"Case Number: "&amp;$M408&amp;CHAR(10)&amp;"Transaction ID: "&amp;$N408&amp;CHAR(10)&amp;"Channel / LOB: "&amp;$K408&amp;" / "&amp;$L408&amp;CHAR(10)&amp;"Evaluator: "&amp;$S408&amp;CHAR(10)&amp;CHAR(10)&amp;"INVALID QUALITY AUDIT DETAILS"&amp;CHAR(10)&amp;"Validation: Invalid"&amp;CHAR(10)&amp;"Invalid Reason: "&amp;$P408&amp;CHAR(10)&amp;"Expected Resolution Code: "&amp;$Q408&amp;CHAR(10)&amp;"Remarks: "&amp;LEFT($R408,600)&amp;CHAR(10)&amp;CHAR(10)&amp;"This is an automated notification from HP Mainstream EQMS."),"✉ Open Email Draft"),"")</f>
        <v/>
      </c>
    </row>
    <row r="409">
      <c r="A409" s="25">
        <f>IF($C409="","","AUD-2026-"&amp;TEXT(ROW()-1,"000000"))</f>
        <v/>
      </c>
      <c r="B409" s="26" t="n"/>
      <c r="C409" s="27" t="n"/>
      <c r="D409" s="25">
        <f>IF($C409="","",IFERROR(IF(INDEX(Roster!$A:$A,MATCH($C409,Roster!$B:$B,0))="","",INDEX(Roster!$A:$A,MATCH($C409,Roster!$B:$B,0))&amp;""),"—"))</f>
        <v/>
      </c>
      <c r="E409" s="25">
        <f>IF($C409="","",IFERROR(IF(INDEX(Roster!$C:$C,MATCH($C409,Roster!$B:$B,0))="","",INDEX(Roster!$C:$C,MATCH($C409,Roster!$B:$B,0))&amp;""),"—"))</f>
        <v/>
      </c>
      <c r="F409" s="25">
        <f>IF($C409="","",IFERROR(IF(INDEX(Roster!$D:$D,MATCH($C409,Roster!$B:$B,0))="","",INDEX(Roster!$D:$D,MATCH($C409,Roster!$B:$B,0))&amp;""),"—"))</f>
        <v/>
      </c>
      <c r="G409" s="25">
        <f>IF($C409="","",IFERROR(IF(INDEX(Roster!$E:$E,MATCH($C409,Roster!$B:$B,0))="","",INDEX(Roster!$E:$E,MATCH($C409,Roster!$B:$B,0))&amp;""),"—"))</f>
        <v/>
      </c>
      <c r="H409" s="25">
        <f>IF($C409="","",IFERROR(IF(INDEX(Roster!$F:$F,MATCH($C409,Roster!$B:$B,0))="","",INDEX(Roster!$F:$F,MATCH($C409,Roster!$B:$B,0))&amp;""),"—"))</f>
        <v/>
      </c>
      <c r="I409" s="25">
        <f>IF($C409="","",IFERROR(IF(INDEX(Roster!$G:$G,MATCH($C409,Roster!$B:$B,0))="","",INDEX(Roster!$G:$G,MATCH($C409,Roster!$B:$B,0))&amp;""),"—"))</f>
        <v/>
      </c>
      <c r="J409" s="25">
        <f>IF($C409="","",IFERROR(IF(INDEX(Roster!$I:$I,MATCH($C409,Roster!$B:$B,0))="","",INDEX(Roster!$I:$I,MATCH($C409,Roster!$B:$B,0))&amp;""),"—"))</f>
        <v/>
      </c>
      <c r="K409">
        <f>IF($C409="","",IFERROR(IF(INDEX(Roster!$J:$J,MATCH($C409,Roster!$B:$B,0))="","",INDEX(Roster!$J:$J,MATCH($C409,Roster!$B:$B,0))&amp;""),"—"))</f>
        <v/>
      </c>
      <c r="L409">
        <f>IF($C409="","",IFERROR(IF(INDEX(Roster!$K:$K,MATCH($C409,Roster!$B:$B,0))="","",INDEX(Roster!$K:$K,MATCH($C409,Roster!$B:$B,0))&amp;""),"—"))</f>
        <v/>
      </c>
      <c r="M409" s="27" t="n"/>
      <c r="N409" s="27" t="n"/>
      <c r="O409" s="25">
        <f>IF($C409="","",IF($P409="","—",IF($P409="Valid (Pass)","Valid","Invalid")))</f>
        <v/>
      </c>
      <c r="P409" s="27" t="n"/>
      <c r="Q409" s="27" t="n"/>
      <c r="R409" s="27" t="n"/>
      <c r="S409" s="27" t="n"/>
      <c r="T409" s="25">
        <f>IF($C409="","",IF(OR(ISNUMBER(SEARCH("quick case",$P409)),ISNUMBER(SEARCH("quick case",$Q409))),"Yes","No"))</f>
        <v/>
      </c>
      <c r="U409" s="25">
        <f>IF($O409="Invalid",HYPERLINK("mailto:"&amp;$G409&amp;";"&amp;$I409&amp;"?cc="&amp;Lists!$E$2&amp;"&amp;subject="&amp;_xlfn.ENCODEURL("[INVALID] Quality audit monitoring completed for "&amp;UPPER($C409))&amp;"&amp;body="&amp;_xlfn.ENCODEURL("Hi "&amp;$F409&amp;","&amp;CHAR(10)&amp;"Good day!"&amp;CHAR(10)&amp;CHAR(10)&amp;"A quality monitoring audit has been completed for "&amp;$C409&amp;"."&amp;CHAR(10)&amp;CHAR(10)&amp;"QUALITY AUDIT DETAILS"&amp;CHAR(10)&amp;"Agent Name: "&amp;$C409&amp;" (EID "&amp;$D409&amp;")"&amp;CHAR(10)&amp;"Audit Date: "&amp;TEXT($B409,"yyyy-mm-dd")&amp;CHAR(10)&amp;"Team Leader: "&amp;$F409&amp;CHAR(10)&amp;"Case Number: "&amp;$M409&amp;CHAR(10)&amp;"Transaction ID: "&amp;$N409&amp;CHAR(10)&amp;"Channel / LOB: "&amp;$K409&amp;" / "&amp;$L409&amp;CHAR(10)&amp;"Evaluator: "&amp;$S409&amp;CHAR(10)&amp;CHAR(10)&amp;"INVALID QUALITY AUDIT DETAILS"&amp;CHAR(10)&amp;"Validation: Invalid"&amp;CHAR(10)&amp;"Invalid Reason: "&amp;$P409&amp;CHAR(10)&amp;"Expected Resolution Code: "&amp;$Q409&amp;CHAR(10)&amp;"Remarks: "&amp;LEFT($R409,600)&amp;CHAR(10)&amp;CHAR(10)&amp;"This is an automated notification from HP Mainstream EQMS."),"✉ Open Email Draft"),"")</f>
        <v/>
      </c>
    </row>
    <row r="410">
      <c r="A410" s="25">
        <f>IF($C410="","","AUD-2026-"&amp;TEXT(ROW()-1,"000000"))</f>
        <v/>
      </c>
      <c r="B410" s="26" t="n"/>
      <c r="C410" s="27" t="n"/>
      <c r="D410" s="25">
        <f>IF($C410="","",IFERROR(IF(INDEX(Roster!$A:$A,MATCH($C410,Roster!$B:$B,0))="","",INDEX(Roster!$A:$A,MATCH($C410,Roster!$B:$B,0))&amp;""),"—"))</f>
        <v/>
      </c>
      <c r="E410" s="25">
        <f>IF($C410="","",IFERROR(IF(INDEX(Roster!$C:$C,MATCH($C410,Roster!$B:$B,0))="","",INDEX(Roster!$C:$C,MATCH($C410,Roster!$B:$B,0))&amp;""),"—"))</f>
        <v/>
      </c>
      <c r="F410" s="25">
        <f>IF($C410="","",IFERROR(IF(INDEX(Roster!$D:$D,MATCH($C410,Roster!$B:$B,0))="","",INDEX(Roster!$D:$D,MATCH($C410,Roster!$B:$B,0))&amp;""),"—"))</f>
        <v/>
      </c>
      <c r="G410" s="25">
        <f>IF($C410="","",IFERROR(IF(INDEX(Roster!$E:$E,MATCH($C410,Roster!$B:$B,0))="","",INDEX(Roster!$E:$E,MATCH($C410,Roster!$B:$B,0))&amp;""),"—"))</f>
        <v/>
      </c>
      <c r="H410" s="25">
        <f>IF($C410="","",IFERROR(IF(INDEX(Roster!$F:$F,MATCH($C410,Roster!$B:$B,0))="","",INDEX(Roster!$F:$F,MATCH($C410,Roster!$B:$B,0))&amp;""),"—"))</f>
        <v/>
      </c>
      <c r="I410" s="25">
        <f>IF($C410="","",IFERROR(IF(INDEX(Roster!$G:$G,MATCH($C410,Roster!$B:$B,0))="","",INDEX(Roster!$G:$G,MATCH($C410,Roster!$B:$B,0))&amp;""),"—"))</f>
        <v/>
      </c>
      <c r="J410" s="25">
        <f>IF($C410="","",IFERROR(IF(INDEX(Roster!$I:$I,MATCH($C410,Roster!$B:$B,0))="","",INDEX(Roster!$I:$I,MATCH($C410,Roster!$B:$B,0))&amp;""),"—"))</f>
        <v/>
      </c>
      <c r="K410">
        <f>IF($C410="","",IFERROR(IF(INDEX(Roster!$J:$J,MATCH($C410,Roster!$B:$B,0))="","",INDEX(Roster!$J:$J,MATCH($C410,Roster!$B:$B,0))&amp;""),"—"))</f>
        <v/>
      </c>
      <c r="L410">
        <f>IF($C410="","",IFERROR(IF(INDEX(Roster!$K:$K,MATCH($C410,Roster!$B:$B,0))="","",INDEX(Roster!$K:$K,MATCH($C410,Roster!$B:$B,0))&amp;""),"—"))</f>
        <v/>
      </c>
      <c r="M410" s="27" t="n"/>
      <c r="N410" s="27" t="n"/>
      <c r="O410" s="25">
        <f>IF($C410="","",IF($P410="","—",IF($P410="Valid (Pass)","Valid","Invalid")))</f>
        <v/>
      </c>
      <c r="P410" s="27" t="n"/>
      <c r="Q410" s="27" t="n"/>
      <c r="R410" s="27" t="n"/>
      <c r="S410" s="27" t="n"/>
      <c r="T410" s="25">
        <f>IF($C410="","",IF(OR(ISNUMBER(SEARCH("quick case",$P410)),ISNUMBER(SEARCH("quick case",$Q410))),"Yes","No"))</f>
        <v/>
      </c>
      <c r="U410" s="25">
        <f>IF($O410="Invalid",HYPERLINK("mailto:"&amp;$G410&amp;";"&amp;$I410&amp;"?cc="&amp;Lists!$E$2&amp;"&amp;subject="&amp;_xlfn.ENCODEURL("[INVALID] Quality audit monitoring completed for "&amp;UPPER($C410))&amp;"&amp;body="&amp;_xlfn.ENCODEURL("Hi "&amp;$F410&amp;","&amp;CHAR(10)&amp;"Good day!"&amp;CHAR(10)&amp;CHAR(10)&amp;"A quality monitoring audit has been completed for "&amp;$C410&amp;"."&amp;CHAR(10)&amp;CHAR(10)&amp;"QUALITY AUDIT DETAILS"&amp;CHAR(10)&amp;"Agent Name: "&amp;$C410&amp;" (EID "&amp;$D410&amp;")"&amp;CHAR(10)&amp;"Audit Date: "&amp;TEXT($B410,"yyyy-mm-dd")&amp;CHAR(10)&amp;"Team Leader: "&amp;$F410&amp;CHAR(10)&amp;"Case Number: "&amp;$M410&amp;CHAR(10)&amp;"Transaction ID: "&amp;$N410&amp;CHAR(10)&amp;"Channel / LOB: "&amp;$K410&amp;" / "&amp;$L410&amp;CHAR(10)&amp;"Evaluator: "&amp;$S410&amp;CHAR(10)&amp;CHAR(10)&amp;"INVALID QUALITY AUDIT DETAILS"&amp;CHAR(10)&amp;"Validation: Invalid"&amp;CHAR(10)&amp;"Invalid Reason: "&amp;$P410&amp;CHAR(10)&amp;"Expected Resolution Code: "&amp;$Q410&amp;CHAR(10)&amp;"Remarks: "&amp;LEFT($R410,600)&amp;CHAR(10)&amp;CHAR(10)&amp;"This is an automated notification from HP Mainstream EQMS."),"✉ Open Email Draft"),"")</f>
        <v/>
      </c>
    </row>
    <row r="411">
      <c r="A411" s="25">
        <f>IF($C411="","","AUD-2026-"&amp;TEXT(ROW()-1,"000000"))</f>
        <v/>
      </c>
      <c r="B411" s="26" t="n"/>
      <c r="C411" s="27" t="n"/>
      <c r="D411" s="25">
        <f>IF($C411="","",IFERROR(IF(INDEX(Roster!$A:$A,MATCH($C411,Roster!$B:$B,0))="","",INDEX(Roster!$A:$A,MATCH($C411,Roster!$B:$B,0))&amp;""),"—"))</f>
        <v/>
      </c>
      <c r="E411" s="25">
        <f>IF($C411="","",IFERROR(IF(INDEX(Roster!$C:$C,MATCH($C411,Roster!$B:$B,0))="","",INDEX(Roster!$C:$C,MATCH($C411,Roster!$B:$B,0))&amp;""),"—"))</f>
        <v/>
      </c>
      <c r="F411" s="25">
        <f>IF($C411="","",IFERROR(IF(INDEX(Roster!$D:$D,MATCH($C411,Roster!$B:$B,0))="","",INDEX(Roster!$D:$D,MATCH($C411,Roster!$B:$B,0))&amp;""),"—"))</f>
        <v/>
      </c>
      <c r="G411" s="25">
        <f>IF($C411="","",IFERROR(IF(INDEX(Roster!$E:$E,MATCH($C411,Roster!$B:$B,0))="","",INDEX(Roster!$E:$E,MATCH($C411,Roster!$B:$B,0))&amp;""),"—"))</f>
        <v/>
      </c>
      <c r="H411" s="25">
        <f>IF($C411="","",IFERROR(IF(INDEX(Roster!$F:$F,MATCH($C411,Roster!$B:$B,0))="","",INDEX(Roster!$F:$F,MATCH($C411,Roster!$B:$B,0))&amp;""),"—"))</f>
        <v/>
      </c>
      <c r="I411" s="25">
        <f>IF($C411="","",IFERROR(IF(INDEX(Roster!$G:$G,MATCH($C411,Roster!$B:$B,0))="","",INDEX(Roster!$G:$G,MATCH($C411,Roster!$B:$B,0))&amp;""),"—"))</f>
        <v/>
      </c>
      <c r="J411" s="25">
        <f>IF($C411="","",IFERROR(IF(INDEX(Roster!$I:$I,MATCH($C411,Roster!$B:$B,0))="","",INDEX(Roster!$I:$I,MATCH($C411,Roster!$B:$B,0))&amp;""),"—"))</f>
        <v/>
      </c>
      <c r="K411">
        <f>IF($C411="","",IFERROR(IF(INDEX(Roster!$J:$J,MATCH($C411,Roster!$B:$B,0))="","",INDEX(Roster!$J:$J,MATCH($C411,Roster!$B:$B,0))&amp;""),"—"))</f>
        <v/>
      </c>
      <c r="L411">
        <f>IF($C411="","",IFERROR(IF(INDEX(Roster!$K:$K,MATCH($C411,Roster!$B:$B,0))="","",INDEX(Roster!$K:$K,MATCH($C411,Roster!$B:$B,0))&amp;""),"—"))</f>
        <v/>
      </c>
      <c r="M411" s="27" t="n"/>
      <c r="N411" s="27" t="n"/>
      <c r="O411" s="25">
        <f>IF($C411="","",IF($P411="","—",IF($P411="Valid (Pass)","Valid","Invalid")))</f>
        <v/>
      </c>
      <c r="P411" s="27" t="n"/>
      <c r="Q411" s="27" t="n"/>
      <c r="R411" s="27" t="n"/>
      <c r="S411" s="27" t="n"/>
      <c r="T411" s="25">
        <f>IF($C411="","",IF(OR(ISNUMBER(SEARCH("quick case",$P411)),ISNUMBER(SEARCH("quick case",$Q411))),"Yes","No"))</f>
        <v/>
      </c>
      <c r="U411" s="25">
        <f>IF($O411="Invalid",HYPERLINK("mailto:"&amp;$G411&amp;";"&amp;$I411&amp;"?cc="&amp;Lists!$E$2&amp;"&amp;subject="&amp;_xlfn.ENCODEURL("[INVALID] Quality audit monitoring completed for "&amp;UPPER($C411))&amp;"&amp;body="&amp;_xlfn.ENCODEURL("Hi "&amp;$F411&amp;","&amp;CHAR(10)&amp;"Good day!"&amp;CHAR(10)&amp;CHAR(10)&amp;"A quality monitoring audit has been completed for "&amp;$C411&amp;"."&amp;CHAR(10)&amp;CHAR(10)&amp;"QUALITY AUDIT DETAILS"&amp;CHAR(10)&amp;"Agent Name: "&amp;$C411&amp;" (EID "&amp;$D411&amp;")"&amp;CHAR(10)&amp;"Audit Date: "&amp;TEXT($B411,"yyyy-mm-dd")&amp;CHAR(10)&amp;"Team Leader: "&amp;$F411&amp;CHAR(10)&amp;"Case Number: "&amp;$M411&amp;CHAR(10)&amp;"Transaction ID: "&amp;$N411&amp;CHAR(10)&amp;"Channel / LOB: "&amp;$K411&amp;" / "&amp;$L411&amp;CHAR(10)&amp;"Evaluator: "&amp;$S411&amp;CHAR(10)&amp;CHAR(10)&amp;"INVALID QUALITY AUDIT DETAILS"&amp;CHAR(10)&amp;"Validation: Invalid"&amp;CHAR(10)&amp;"Invalid Reason: "&amp;$P411&amp;CHAR(10)&amp;"Expected Resolution Code: "&amp;$Q411&amp;CHAR(10)&amp;"Remarks: "&amp;LEFT($R411,600)&amp;CHAR(10)&amp;CHAR(10)&amp;"This is an automated notification from HP Mainstream EQMS."),"✉ Open Email Draft"),"")</f>
        <v/>
      </c>
    </row>
    <row r="412">
      <c r="A412" s="25">
        <f>IF($C412="","","AUD-2026-"&amp;TEXT(ROW()-1,"000000"))</f>
        <v/>
      </c>
      <c r="B412" s="26" t="n"/>
      <c r="C412" s="27" t="n"/>
      <c r="D412" s="25">
        <f>IF($C412="","",IFERROR(IF(INDEX(Roster!$A:$A,MATCH($C412,Roster!$B:$B,0))="","",INDEX(Roster!$A:$A,MATCH($C412,Roster!$B:$B,0))&amp;""),"—"))</f>
        <v/>
      </c>
      <c r="E412" s="25">
        <f>IF($C412="","",IFERROR(IF(INDEX(Roster!$C:$C,MATCH($C412,Roster!$B:$B,0))="","",INDEX(Roster!$C:$C,MATCH($C412,Roster!$B:$B,0))&amp;""),"—"))</f>
        <v/>
      </c>
      <c r="F412" s="25">
        <f>IF($C412="","",IFERROR(IF(INDEX(Roster!$D:$D,MATCH($C412,Roster!$B:$B,0))="","",INDEX(Roster!$D:$D,MATCH($C412,Roster!$B:$B,0))&amp;""),"—"))</f>
        <v/>
      </c>
      <c r="G412" s="25">
        <f>IF($C412="","",IFERROR(IF(INDEX(Roster!$E:$E,MATCH($C412,Roster!$B:$B,0))="","",INDEX(Roster!$E:$E,MATCH($C412,Roster!$B:$B,0))&amp;""),"—"))</f>
        <v/>
      </c>
      <c r="H412" s="25">
        <f>IF($C412="","",IFERROR(IF(INDEX(Roster!$F:$F,MATCH($C412,Roster!$B:$B,0))="","",INDEX(Roster!$F:$F,MATCH($C412,Roster!$B:$B,0))&amp;""),"—"))</f>
        <v/>
      </c>
      <c r="I412" s="25">
        <f>IF($C412="","",IFERROR(IF(INDEX(Roster!$G:$G,MATCH($C412,Roster!$B:$B,0))="","",INDEX(Roster!$G:$G,MATCH($C412,Roster!$B:$B,0))&amp;""),"—"))</f>
        <v/>
      </c>
      <c r="J412" s="25">
        <f>IF($C412="","",IFERROR(IF(INDEX(Roster!$I:$I,MATCH($C412,Roster!$B:$B,0))="","",INDEX(Roster!$I:$I,MATCH($C412,Roster!$B:$B,0))&amp;""),"—"))</f>
        <v/>
      </c>
      <c r="K412">
        <f>IF($C412="","",IFERROR(IF(INDEX(Roster!$J:$J,MATCH($C412,Roster!$B:$B,0))="","",INDEX(Roster!$J:$J,MATCH($C412,Roster!$B:$B,0))&amp;""),"—"))</f>
        <v/>
      </c>
      <c r="L412">
        <f>IF($C412="","",IFERROR(IF(INDEX(Roster!$K:$K,MATCH($C412,Roster!$B:$B,0))="","",INDEX(Roster!$K:$K,MATCH($C412,Roster!$B:$B,0))&amp;""),"—"))</f>
        <v/>
      </c>
      <c r="M412" s="27" t="n"/>
      <c r="N412" s="27" t="n"/>
      <c r="O412" s="25">
        <f>IF($C412="","",IF($P412="","—",IF($P412="Valid (Pass)","Valid","Invalid")))</f>
        <v/>
      </c>
      <c r="P412" s="27" t="n"/>
      <c r="Q412" s="27" t="n"/>
      <c r="R412" s="27" t="n"/>
      <c r="S412" s="27" t="n"/>
      <c r="T412" s="25">
        <f>IF($C412="","",IF(OR(ISNUMBER(SEARCH("quick case",$P412)),ISNUMBER(SEARCH("quick case",$Q412))),"Yes","No"))</f>
        <v/>
      </c>
      <c r="U412" s="25">
        <f>IF($O412="Invalid",HYPERLINK("mailto:"&amp;$G412&amp;";"&amp;$I412&amp;"?cc="&amp;Lists!$E$2&amp;"&amp;subject="&amp;_xlfn.ENCODEURL("[INVALID] Quality audit monitoring completed for "&amp;UPPER($C412))&amp;"&amp;body="&amp;_xlfn.ENCODEURL("Hi "&amp;$F412&amp;","&amp;CHAR(10)&amp;"Good day!"&amp;CHAR(10)&amp;CHAR(10)&amp;"A quality monitoring audit has been completed for "&amp;$C412&amp;"."&amp;CHAR(10)&amp;CHAR(10)&amp;"QUALITY AUDIT DETAILS"&amp;CHAR(10)&amp;"Agent Name: "&amp;$C412&amp;" (EID "&amp;$D412&amp;")"&amp;CHAR(10)&amp;"Audit Date: "&amp;TEXT($B412,"yyyy-mm-dd")&amp;CHAR(10)&amp;"Team Leader: "&amp;$F412&amp;CHAR(10)&amp;"Case Number: "&amp;$M412&amp;CHAR(10)&amp;"Transaction ID: "&amp;$N412&amp;CHAR(10)&amp;"Channel / LOB: "&amp;$K412&amp;" / "&amp;$L412&amp;CHAR(10)&amp;"Evaluator: "&amp;$S412&amp;CHAR(10)&amp;CHAR(10)&amp;"INVALID QUALITY AUDIT DETAILS"&amp;CHAR(10)&amp;"Validation: Invalid"&amp;CHAR(10)&amp;"Invalid Reason: "&amp;$P412&amp;CHAR(10)&amp;"Expected Resolution Code: "&amp;$Q412&amp;CHAR(10)&amp;"Remarks: "&amp;LEFT($R412,600)&amp;CHAR(10)&amp;CHAR(10)&amp;"This is an automated notification from HP Mainstream EQMS."),"✉ Open Email Draft"),"")</f>
        <v/>
      </c>
    </row>
    <row r="413">
      <c r="A413" s="25">
        <f>IF($C413="","","AUD-2026-"&amp;TEXT(ROW()-1,"000000"))</f>
        <v/>
      </c>
      <c r="B413" s="26" t="n"/>
      <c r="C413" s="27" t="n"/>
      <c r="D413" s="25">
        <f>IF($C413="","",IFERROR(IF(INDEX(Roster!$A:$A,MATCH($C413,Roster!$B:$B,0))="","",INDEX(Roster!$A:$A,MATCH($C413,Roster!$B:$B,0))&amp;""),"—"))</f>
        <v/>
      </c>
      <c r="E413" s="25">
        <f>IF($C413="","",IFERROR(IF(INDEX(Roster!$C:$C,MATCH($C413,Roster!$B:$B,0))="","",INDEX(Roster!$C:$C,MATCH($C413,Roster!$B:$B,0))&amp;""),"—"))</f>
        <v/>
      </c>
      <c r="F413" s="25">
        <f>IF($C413="","",IFERROR(IF(INDEX(Roster!$D:$D,MATCH($C413,Roster!$B:$B,0))="","",INDEX(Roster!$D:$D,MATCH($C413,Roster!$B:$B,0))&amp;""),"—"))</f>
        <v/>
      </c>
      <c r="G413" s="25">
        <f>IF($C413="","",IFERROR(IF(INDEX(Roster!$E:$E,MATCH($C413,Roster!$B:$B,0))="","",INDEX(Roster!$E:$E,MATCH($C413,Roster!$B:$B,0))&amp;""),"—"))</f>
        <v/>
      </c>
      <c r="H413" s="25">
        <f>IF($C413="","",IFERROR(IF(INDEX(Roster!$F:$F,MATCH($C413,Roster!$B:$B,0))="","",INDEX(Roster!$F:$F,MATCH($C413,Roster!$B:$B,0))&amp;""),"—"))</f>
        <v/>
      </c>
      <c r="I413" s="25">
        <f>IF($C413="","",IFERROR(IF(INDEX(Roster!$G:$G,MATCH($C413,Roster!$B:$B,0))="","",INDEX(Roster!$G:$G,MATCH($C413,Roster!$B:$B,0))&amp;""),"—"))</f>
        <v/>
      </c>
      <c r="J413" s="25">
        <f>IF($C413="","",IFERROR(IF(INDEX(Roster!$I:$I,MATCH($C413,Roster!$B:$B,0))="","",INDEX(Roster!$I:$I,MATCH($C413,Roster!$B:$B,0))&amp;""),"—"))</f>
        <v/>
      </c>
      <c r="K413">
        <f>IF($C413="","",IFERROR(IF(INDEX(Roster!$J:$J,MATCH($C413,Roster!$B:$B,0))="","",INDEX(Roster!$J:$J,MATCH($C413,Roster!$B:$B,0))&amp;""),"—"))</f>
        <v/>
      </c>
      <c r="L413">
        <f>IF($C413="","",IFERROR(IF(INDEX(Roster!$K:$K,MATCH($C413,Roster!$B:$B,0))="","",INDEX(Roster!$K:$K,MATCH($C413,Roster!$B:$B,0))&amp;""),"—"))</f>
        <v/>
      </c>
      <c r="M413" s="27" t="n"/>
      <c r="N413" s="27" t="n"/>
      <c r="O413" s="25">
        <f>IF($C413="","",IF($P413="","—",IF($P413="Valid (Pass)","Valid","Invalid")))</f>
        <v/>
      </c>
      <c r="P413" s="27" t="n"/>
      <c r="Q413" s="27" t="n"/>
      <c r="R413" s="27" t="n"/>
      <c r="S413" s="27" t="n"/>
      <c r="T413" s="25">
        <f>IF($C413="","",IF(OR(ISNUMBER(SEARCH("quick case",$P413)),ISNUMBER(SEARCH("quick case",$Q413))),"Yes","No"))</f>
        <v/>
      </c>
      <c r="U413" s="25">
        <f>IF($O413="Invalid",HYPERLINK("mailto:"&amp;$G413&amp;";"&amp;$I413&amp;"?cc="&amp;Lists!$E$2&amp;"&amp;subject="&amp;_xlfn.ENCODEURL("[INVALID] Quality audit monitoring completed for "&amp;UPPER($C413))&amp;"&amp;body="&amp;_xlfn.ENCODEURL("Hi "&amp;$F413&amp;","&amp;CHAR(10)&amp;"Good day!"&amp;CHAR(10)&amp;CHAR(10)&amp;"A quality monitoring audit has been completed for "&amp;$C413&amp;"."&amp;CHAR(10)&amp;CHAR(10)&amp;"QUALITY AUDIT DETAILS"&amp;CHAR(10)&amp;"Agent Name: "&amp;$C413&amp;" (EID "&amp;$D413&amp;")"&amp;CHAR(10)&amp;"Audit Date: "&amp;TEXT($B413,"yyyy-mm-dd")&amp;CHAR(10)&amp;"Team Leader: "&amp;$F413&amp;CHAR(10)&amp;"Case Number: "&amp;$M413&amp;CHAR(10)&amp;"Transaction ID: "&amp;$N413&amp;CHAR(10)&amp;"Channel / LOB: "&amp;$K413&amp;" / "&amp;$L413&amp;CHAR(10)&amp;"Evaluator: "&amp;$S413&amp;CHAR(10)&amp;CHAR(10)&amp;"INVALID QUALITY AUDIT DETAILS"&amp;CHAR(10)&amp;"Validation: Invalid"&amp;CHAR(10)&amp;"Invalid Reason: "&amp;$P413&amp;CHAR(10)&amp;"Expected Resolution Code: "&amp;$Q413&amp;CHAR(10)&amp;"Remarks: "&amp;LEFT($R413,600)&amp;CHAR(10)&amp;CHAR(10)&amp;"This is an automated notification from HP Mainstream EQMS."),"✉ Open Email Draft"),"")</f>
        <v/>
      </c>
    </row>
    <row r="414">
      <c r="A414" s="25">
        <f>IF($C414="","","AUD-2026-"&amp;TEXT(ROW()-1,"000000"))</f>
        <v/>
      </c>
      <c r="B414" s="26" t="n"/>
      <c r="C414" s="27" t="n"/>
      <c r="D414" s="25">
        <f>IF($C414="","",IFERROR(IF(INDEX(Roster!$A:$A,MATCH($C414,Roster!$B:$B,0))="","",INDEX(Roster!$A:$A,MATCH($C414,Roster!$B:$B,0))&amp;""),"—"))</f>
        <v/>
      </c>
      <c r="E414" s="25">
        <f>IF($C414="","",IFERROR(IF(INDEX(Roster!$C:$C,MATCH($C414,Roster!$B:$B,0))="","",INDEX(Roster!$C:$C,MATCH($C414,Roster!$B:$B,0))&amp;""),"—"))</f>
        <v/>
      </c>
      <c r="F414" s="25">
        <f>IF($C414="","",IFERROR(IF(INDEX(Roster!$D:$D,MATCH($C414,Roster!$B:$B,0))="","",INDEX(Roster!$D:$D,MATCH($C414,Roster!$B:$B,0))&amp;""),"—"))</f>
        <v/>
      </c>
      <c r="G414" s="25">
        <f>IF($C414="","",IFERROR(IF(INDEX(Roster!$E:$E,MATCH($C414,Roster!$B:$B,0))="","",INDEX(Roster!$E:$E,MATCH($C414,Roster!$B:$B,0))&amp;""),"—"))</f>
        <v/>
      </c>
      <c r="H414" s="25">
        <f>IF($C414="","",IFERROR(IF(INDEX(Roster!$F:$F,MATCH($C414,Roster!$B:$B,0))="","",INDEX(Roster!$F:$F,MATCH($C414,Roster!$B:$B,0))&amp;""),"—"))</f>
        <v/>
      </c>
      <c r="I414" s="25">
        <f>IF($C414="","",IFERROR(IF(INDEX(Roster!$G:$G,MATCH($C414,Roster!$B:$B,0))="","",INDEX(Roster!$G:$G,MATCH($C414,Roster!$B:$B,0))&amp;""),"—"))</f>
        <v/>
      </c>
      <c r="J414" s="25">
        <f>IF($C414="","",IFERROR(IF(INDEX(Roster!$I:$I,MATCH($C414,Roster!$B:$B,0))="","",INDEX(Roster!$I:$I,MATCH($C414,Roster!$B:$B,0))&amp;""),"—"))</f>
        <v/>
      </c>
      <c r="K414">
        <f>IF($C414="","",IFERROR(IF(INDEX(Roster!$J:$J,MATCH($C414,Roster!$B:$B,0))="","",INDEX(Roster!$J:$J,MATCH($C414,Roster!$B:$B,0))&amp;""),"—"))</f>
        <v/>
      </c>
      <c r="L414">
        <f>IF($C414="","",IFERROR(IF(INDEX(Roster!$K:$K,MATCH($C414,Roster!$B:$B,0))="","",INDEX(Roster!$K:$K,MATCH($C414,Roster!$B:$B,0))&amp;""),"—"))</f>
        <v/>
      </c>
      <c r="M414" s="27" t="n"/>
      <c r="N414" s="27" t="n"/>
      <c r="O414" s="25">
        <f>IF($C414="","",IF($P414="","—",IF($P414="Valid (Pass)","Valid","Invalid")))</f>
        <v/>
      </c>
      <c r="P414" s="27" t="n"/>
      <c r="Q414" s="27" t="n"/>
      <c r="R414" s="27" t="n"/>
      <c r="S414" s="27" t="n"/>
      <c r="T414" s="25">
        <f>IF($C414="","",IF(OR(ISNUMBER(SEARCH("quick case",$P414)),ISNUMBER(SEARCH("quick case",$Q414))),"Yes","No"))</f>
        <v/>
      </c>
      <c r="U414" s="25">
        <f>IF($O414="Invalid",HYPERLINK("mailto:"&amp;$G414&amp;";"&amp;$I414&amp;"?cc="&amp;Lists!$E$2&amp;"&amp;subject="&amp;_xlfn.ENCODEURL("[INVALID] Quality audit monitoring completed for "&amp;UPPER($C414))&amp;"&amp;body="&amp;_xlfn.ENCODEURL("Hi "&amp;$F414&amp;","&amp;CHAR(10)&amp;"Good day!"&amp;CHAR(10)&amp;CHAR(10)&amp;"A quality monitoring audit has been completed for "&amp;$C414&amp;"."&amp;CHAR(10)&amp;CHAR(10)&amp;"QUALITY AUDIT DETAILS"&amp;CHAR(10)&amp;"Agent Name: "&amp;$C414&amp;" (EID "&amp;$D414&amp;")"&amp;CHAR(10)&amp;"Audit Date: "&amp;TEXT($B414,"yyyy-mm-dd")&amp;CHAR(10)&amp;"Team Leader: "&amp;$F414&amp;CHAR(10)&amp;"Case Number: "&amp;$M414&amp;CHAR(10)&amp;"Transaction ID: "&amp;$N414&amp;CHAR(10)&amp;"Channel / LOB: "&amp;$K414&amp;" / "&amp;$L414&amp;CHAR(10)&amp;"Evaluator: "&amp;$S414&amp;CHAR(10)&amp;CHAR(10)&amp;"INVALID QUALITY AUDIT DETAILS"&amp;CHAR(10)&amp;"Validation: Invalid"&amp;CHAR(10)&amp;"Invalid Reason: "&amp;$P414&amp;CHAR(10)&amp;"Expected Resolution Code: "&amp;$Q414&amp;CHAR(10)&amp;"Remarks: "&amp;LEFT($R414,600)&amp;CHAR(10)&amp;CHAR(10)&amp;"This is an automated notification from HP Mainstream EQMS."),"✉ Open Email Draft"),"")</f>
        <v/>
      </c>
    </row>
    <row r="415">
      <c r="A415" s="25">
        <f>IF($C415="","","AUD-2026-"&amp;TEXT(ROW()-1,"000000"))</f>
        <v/>
      </c>
      <c r="B415" s="26" t="n"/>
      <c r="C415" s="27" t="n"/>
      <c r="D415" s="25">
        <f>IF($C415="","",IFERROR(IF(INDEX(Roster!$A:$A,MATCH($C415,Roster!$B:$B,0))="","",INDEX(Roster!$A:$A,MATCH($C415,Roster!$B:$B,0))&amp;""),"—"))</f>
        <v/>
      </c>
      <c r="E415" s="25">
        <f>IF($C415="","",IFERROR(IF(INDEX(Roster!$C:$C,MATCH($C415,Roster!$B:$B,0))="","",INDEX(Roster!$C:$C,MATCH($C415,Roster!$B:$B,0))&amp;""),"—"))</f>
        <v/>
      </c>
      <c r="F415" s="25">
        <f>IF($C415="","",IFERROR(IF(INDEX(Roster!$D:$D,MATCH($C415,Roster!$B:$B,0))="","",INDEX(Roster!$D:$D,MATCH($C415,Roster!$B:$B,0))&amp;""),"—"))</f>
        <v/>
      </c>
      <c r="G415" s="25">
        <f>IF($C415="","",IFERROR(IF(INDEX(Roster!$E:$E,MATCH($C415,Roster!$B:$B,0))="","",INDEX(Roster!$E:$E,MATCH($C415,Roster!$B:$B,0))&amp;""),"—"))</f>
        <v/>
      </c>
      <c r="H415" s="25">
        <f>IF($C415="","",IFERROR(IF(INDEX(Roster!$F:$F,MATCH($C415,Roster!$B:$B,0))="","",INDEX(Roster!$F:$F,MATCH($C415,Roster!$B:$B,0))&amp;""),"—"))</f>
        <v/>
      </c>
      <c r="I415" s="25">
        <f>IF($C415="","",IFERROR(IF(INDEX(Roster!$G:$G,MATCH($C415,Roster!$B:$B,0))="","",INDEX(Roster!$G:$G,MATCH($C415,Roster!$B:$B,0))&amp;""),"—"))</f>
        <v/>
      </c>
      <c r="J415" s="25">
        <f>IF($C415="","",IFERROR(IF(INDEX(Roster!$I:$I,MATCH($C415,Roster!$B:$B,0))="","",INDEX(Roster!$I:$I,MATCH($C415,Roster!$B:$B,0))&amp;""),"—"))</f>
        <v/>
      </c>
      <c r="K415">
        <f>IF($C415="","",IFERROR(IF(INDEX(Roster!$J:$J,MATCH($C415,Roster!$B:$B,0))="","",INDEX(Roster!$J:$J,MATCH($C415,Roster!$B:$B,0))&amp;""),"—"))</f>
        <v/>
      </c>
      <c r="L415">
        <f>IF($C415="","",IFERROR(IF(INDEX(Roster!$K:$K,MATCH($C415,Roster!$B:$B,0))="","",INDEX(Roster!$K:$K,MATCH($C415,Roster!$B:$B,0))&amp;""),"—"))</f>
        <v/>
      </c>
      <c r="M415" s="27" t="n"/>
      <c r="N415" s="27" t="n"/>
      <c r="O415" s="25">
        <f>IF($C415="","",IF($P415="","—",IF($P415="Valid (Pass)","Valid","Invalid")))</f>
        <v/>
      </c>
      <c r="P415" s="27" t="n"/>
      <c r="Q415" s="27" t="n"/>
      <c r="R415" s="27" t="n"/>
      <c r="S415" s="27" t="n"/>
      <c r="T415" s="25">
        <f>IF($C415="","",IF(OR(ISNUMBER(SEARCH("quick case",$P415)),ISNUMBER(SEARCH("quick case",$Q415))),"Yes","No"))</f>
        <v/>
      </c>
      <c r="U415" s="25">
        <f>IF($O415="Invalid",HYPERLINK("mailto:"&amp;$G415&amp;";"&amp;$I415&amp;"?cc="&amp;Lists!$E$2&amp;"&amp;subject="&amp;_xlfn.ENCODEURL("[INVALID] Quality audit monitoring completed for "&amp;UPPER($C415))&amp;"&amp;body="&amp;_xlfn.ENCODEURL("Hi "&amp;$F415&amp;","&amp;CHAR(10)&amp;"Good day!"&amp;CHAR(10)&amp;CHAR(10)&amp;"A quality monitoring audit has been completed for "&amp;$C415&amp;"."&amp;CHAR(10)&amp;CHAR(10)&amp;"QUALITY AUDIT DETAILS"&amp;CHAR(10)&amp;"Agent Name: "&amp;$C415&amp;" (EID "&amp;$D415&amp;")"&amp;CHAR(10)&amp;"Audit Date: "&amp;TEXT($B415,"yyyy-mm-dd")&amp;CHAR(10)&amp;"Team Leader: "&amp;$F415&amp;CHAR(10)&amp;"Case Number: "&amp;$M415&amp;CHAR(10)&amp;"Transaction ID: "&amp;$N415&amp;CHAR(10)&amp;"Channel / LOB: "&amp;$K415&amp;" / "&amp;$L415&amp;CHAR(10)&amp;"Evaluator: "&amp;$S415&amp;CHAR(10)&amp;CHAR(10)&amp;"INVALID QUALITY AUDIT DETAILS"&amp;CHAR(10)&amp;"Validation: Invalid"&amp;CHAR(10)&amp;"Invalid Reason: "&amp;$P415&amp;CHAR(10)&amp;"Expected Resolution Code: "&amp;$Q415&amp;CHAR(10)&amp;"Remarks: "&amp;LEFT($R415,600)&amp;CHAR(10)&amp;CHAR(10)&amp;"This is an automated notification from HP Mainstream EQMS."),"✉ Open Email Draft"),"")</f>
        <v/>
      </c>
    </row>
    <row r="416">
      <c r="A416" s="25">
        <f>IF($C416="","","AUD-2026-"&amp;TEXT(ROW()-1,"000000"))</f>
        <v/>
      </c>
      <c r="B416" s="26" t="n"/>
      <c r="C416" s="27" t="n"/>
      <c r="D416" s="25">
        <f>IF($C416="","",IFERROR(IF(INDEX(Roster!$A:$A,MATCH($C416,Roster!$B:$B,0))="","",INDEX(Roster!$A:$A,MATCH($C416,Roster!$B:$B,0))&amp;""),"—"))</f>
        <v/>
      </c>
      <c r="E416" s="25">
        <f>IF($C416="","",IFERROR(IF(INDEX(Roster!$C:$C,MATCH($C416,Roster!$B:$B,0))="","",INDEX(Roster!$C:$C,MATCH($C416,Roster!$B:$B,0))&amp;""),"—"))</f>
        <v/>
      </c>
      <c r="F416" s="25">
        <f>IF($C416="","",IFERROR(IF(INDEX(Roster!$D:$D,MATCH($C416,Roster!$B:$B,0))="","",INDEX(Roster!$D:$D,MATCH($C416,Roster!$B:$B,0))&amp;""),"—"))</f>
        <v/>
      </c>
      <c r="G416" s="25">
        <f>IF($C416="","",IFERROR(IF(INDEX(Roster!$E:$E,MATCH($C416,Roster!$B:$B,0))="","",INDEX(Roster!$E:$E,MATCH($C416,Roster!$B:$B,0))&amp;""),"—"))</f>
        <v/>
      </c>
      <c r="H416" s="25">
        <f>IF($C416="","",IFERROR(IF(INDEX(Roster!$F:$F,MATCH($C416,Roster!$B:$B,0))="","",INDEX(Roster!$F:$F,MATCH($C416,Roster!$B:$B,0))&amp;""),"—"))</f>
        <v/>
      </c>
      <c r="I416" s="25">
        <f>IF($C416="","",IFERROR(IF(INDEX(Roster!$G:$G,MATCH($C416,Roster!$B:$B,0))="","",INDEX(Roster!$G:$G,MATCH($C416,Roster!$B:$B,0))&amp;""),"—"))</f>
        <v/>
      </c>
      <c r="J416" s="25">
        <f>IF($C416="","",IFERROR(IF(INDEX(Roster!$I:$I,MATCH($C416,Roster!$B:$B,0))="","",INDEX(Roster!$I:$I,MATCH($C416,Roster!$B:$B,0))&amp;""),"—"))</f>
        <v/>
      </c>
      <c r="K416">
        <f>IF($C416="","",IFERROR(IF(INDEX(Roster!$J:$J,MATCH($C416,Roster!$B:$B,0))="","",INDEX(Roster!$J:$J,MATCH($C416,Roster!$B:$B,0))&amp;""),"—"))</f>
        <v/>
      </c>
      <c r="L416">
        <f>IF($C416="","",IFERROR(IF(INDEX(Roster!$K:$K,MATCH($C416,Roster!$B:$B,0))="","",INDEX(Roster!$K:$K,MATCH($C416,Roster!$B:$B,0))&amp;""),"—"))</f>
        <v/>
      </c>
      <c r="M416" s="27" t="n"/>
      <c r="N416" s="27" t="n"/>
      <c r="O416" s="25">
        <f>IF($C416="","",IF($P416="","—",IF($P416="Valid (Pass)","Valid","Invalid")))</f>
        <v/>
      </c>
      <c r="P416" s="27" t="n"/>
      <c r="Q416" s="27" t="n"/>
      <c r="R416" s="27" t="n"/>
      <c r="S416" s="27" t="n"/>
      <c r="T416" s="25">
        <f>IF($C416="","",IF(OR(ISNUMBER(SEARCH("quick case",$P416)),ISNUMBER(SEARCH("quick case",$Q416))),"Yes","No"))</f>
        <v/>
      </c>
      <c r="U416" s="25">
        <f>IF($O416="Invalid",HYPERLINK("mailto:"&amp;$G416&amp;";"&amp;$I416&amp;"?cc="&amp;Lists!$E$2&amp;"&amp;subject="&amp;_xlfn.ENCODEURL("[INVALID] Quality audit monitoring completed for "&amp;UPPER($C416))&amp;"&amp;body="&amp;_xlfn.ENCODEURL("Hi "&amp;$F416&amp;","&amp;CHAR(10)&amp;"Good day!"&amp;CHAR(10)&amp;CHAR(10)&amp;"A quality monitoring audit has been completed for "&amp;$C416&amp;"."&amp;CHAR(10)&amp;CHAR(10)&amp;"QUALITY AUDIT DETAILS"&amp;CHAR(10)&amp;"Agent Name: "&amp;$C416&amp;" (EID "&amp;$D416&amp;")"&amp;CHAR(10)&amp;"Audit Date: "&amp;TEXT($B416,"yyyy-mm-dd")&amp;CHAR(10)&amp;"Team Leader: "&amp;$F416&amp;CHAR(10)&amp;"Case Number: "&amp;$M416&amp;CHAR(10)&amp;"Transaction ID: "&amp;$N416&amp;CHAR(10)&amp;"Channel / LOB: "&amp;$K416&amp;" / "&amp;$L416&amp;CHAR(10)&amp;"Evaluator: "&amp;$S416&amp;CHAR(10)&amp;CHAR(10)&amp;"INVALID QUALITY AUDIT DETAILS"&amp;CHAR(10)&amp;"Validation: Invalid"&amp;CHAR(10)&amp;"Invalid Reason: "&amp;$P416&amp;CHAR(10)&amp;"Expected Resolution Code: "&amp;$Q416&amp;CHAR(10)&amp;"Remarks: "&amp;LEFT($R416,600)&amp;CHAR(10)&amp;CHAR(10)&amp;"This is an automated notification from HP Mainstream EQMS."),"✉ Open Email Draft"),"")</f>
        <v/>
      </c>
    </row>
    <row r="417">
      <c r="A417" s="25">
        <f>IF($C417="","","AUD-2026-"&amp;TEXT(ROW()-1,"000000"))</f>
        <v/>
      </c>
      <c r="B417" s="26" t="n"/>
      <c r="C417" s="27" t="n"/>
      <c r="D417" s="25">
        <f>IF($C417="","",IFERROR(IF(INDEX(Roster!$A:$A,MATCH($C417,Roster!$B:$B,0))="","",INDEX(Roster!$A:$A,MATCH($C417,Roster!$B:$B,0))&amp;""),"—"))</f>
        <v/>
      </c>
      <c r="E417" s="25">
        <f>IF($C417="","",IFERROR(IF(INDEX(Roster!$C:$C,MATCH($C417,Roster!$B:$B,0))="","",INDEX(Roster!$C:$C,MATCH($C417,Roster!$B:$B,0))&amp;""),"—"))</f>
        <v/>
      </c>
      <c r="F417" s="25">
        <f>IF($C417="","",IFERROR(IF(INDEX(Roster!$D:$D,MATCH($C417,Roster!$B:$B,0))="","",INDEX(Roster!$D:$D,MATCH($C417,Roster!$B:$B,0))&amp;""),"—"))</f>
        <v/>
      </c>
      <c r="G417" s="25">
        <f>IF($C417="","",IFERROR(IF(INDEX(Roster!$E:$E,MATCH($C417,Roster!$B:$B,0))="","",INDEX(Roster!$E:$E,MATCH($C417,Roster!$B:$B,0))&amp;""),"—"))</f>
        <v/>
      </c>
      <c r="H417" s="25">
        <f>IF($C417="","",IFERROR(IF(INDEX(Roster!$F:$F,MATCH($C417,Roster!$B:$B,0))="","",INDEX(Roster!$F:$F,MATCH($C417,Roster!$B:$B,0))&amp;""),"—"))</f>
        <v/>
      </c>
      <c r="I417" s="25">
        <f>IF($C417="","",IFERROR(IF(INDEX(Roster!$G:$G,MATCH($C417,Roster!$B:$B,0))="","",INDEX(Roster!$G:$G,MATCH($C417,Roster!$B:$B,0))&amp;""),"—"))</f>
        <v/>
      </c>
      <c r="J417" s="25">
        <f>IF($C417="","",IFERROR(IF(INDEX(Roster!$I:$I,MATCH($C417,Roster!$B:$B,0))="","",INDEX(Roster!$I:$I,MATCH($C417,Roster!$B:$B,0))&amp;""),"—"))</f>
        <v/>
      </c>
      <c r="K417">
        <f>IF($C417="","",IFERROR(IF(INDEX(Roster!$J:$J,MATCH($C417,Roster!$B:$B,0))="","",INDEX(Roster!$J:$J,MATCH($C417,Roster!$B:$B,0))&amp;""),"—"))</f>
        <v/>
      </c>
      <c r="L417">
        <f>IF($C417="","",IFERROR(IF(INDEX(Roster!$K:$K,MATCH($C417,Roster!$B:$B,0))="","",INDEX(Roster!$K:$K,MATCH($C417,Roster!$B:$B,0))&amp;""),"—"))</f>
        <v/>
      </c>
      <c r="M417" s="27" t="n"/>
      <c r="N417" s="27" t="n"/>
      <c r="O417" s="25">
        <f>IF($C417="","",IF($P417="","—",IF($P417="Valid (Pass)","Valid","Invalid")))</f>
        <v/>
      </c>
      <c r="P417" s="27" t="n"/>
      <c r="Q417" s="27" t="n"/>
      <c r="R417" s="27" t="n"/>
      <c r="S417" s="27" t="n"/>
      <c r="T417" s="25">
        <f>IF($C417="","",IF(OR(ISNUMBER(SEARCH("quick case",$P417)),ISNUMBER(SEARCH("quick case",$Q417))),"Yes","No"))</f>
        <v/>
      </c>
      <c r="U417" s="25">
        <f>IF($O417="Invalid",HYPERLINK("mailto:"&amp;$G417&amp;";"&amp;$I417&amp;"?cc="&amp;Lists!$E$2&amp;"&amp;subject="&amp;_xlfn.ENCODEURL("[INVALID] Quality audit monitoring completed for "&amp;UPPER($C417))&amp;"&amp;body="&amp;_xlfn.ENCODEURL("Hi "&amp;$F417&amp;","&amp;CHAR(10)&amp;"Good day!"&amp;CHAR(10)&amp;CHAR(10)&amp;"A quality monitoring audit has been completed for "&amp;$C417&amp;"."&amp;CHAR(10)&amp;CHAR(10)&amp;"QUALITY AUDIT DETAILS"&amp;CHAR(10)&amp;"Agent Name: "&amp;$C417&amp;" (EID "&amp;$D417&amp;")"&amp;CHAR(10)&amp;"Audit Date: "&amp;TEXT($B417,"yyyy-mm-dd")&amp;CHAR(10)&amp;"Team Leader: "&amp;$F417&amp;CHAR(10)&amp;"Case Number: "&amp;$M417&amp;CHAR(10)&amp;"Transaction ID: "&amp;$N417&amp;CHAR(10)&amp;"Channel / LOB: "&amp;$K417&amp;" / "&amp;$L417&amp;CHAR(10)&amp;"Evaluator: "&amp;$S417&amp;CHAR(10)&amp;CHAR(10)&amp;"INVALID QUALITY AUDIT DETAILS"&amp;CHAR(10)&amp;"Validation: Invalid"&amp;CHAR(10)&amp;"Invalid Reason: "&amp;$P417&amp;CHAR(10)&amp;"Expected Resolution Code: "&amp;$Q417&amp;CHAR(10)&amp;"Remarks: "&amp;LEFT($R417,600)&amp;CHAR(10)&amp;CHAR(10)&amp;"This is an automated notification from HP Mainstream EQMS."),"✉ Open Email Draft"),"")</f>
        <v/>
      </c>
    </row>
    <row r="418">
      <c r="A418" s="25">
        <f>IF($C418="","","AUD-2026-"&amp;TEXT(ROW()-1,"000000"))</f>
        <v/>
      </c>
      <c r="B418" s="26" t="n"/>
      <c r="C418" s="27" t="n"/>
      <c r="D418" s="25">
        <f>IF($C418="","",IFERROR(IF(INDEX(Roster!$A:$A,MATCH($C418,Roster!$B:$B,0))="","",INDEX(Roster!$A:$A,MATCH($C418,Roster!$B:$B,0))&amp;""),"—"))</f>
        <v/>
      </c>
      <c r="E418" s="25">
        <f>IF($C418="","",IFERROR(IF(INDEX(Roster!$C:$C,MATCH($C418,Roster!$B:$B,0))="","",INDEX(Roster!$C:$C,MATCH($C418,Roster!$B:$B,0))&amp;""),"—"))</f>
        <v/>
      </c>
      <c r="F418" s="25">
        <f>IF($C418="","",IFERROR(IF(INDEX(Roster!$D:$D,MATCH($C418,Roster!$B:$B,0))="","",INDEX(Roster!$D:$D,MATCH($C418,Roster!$B:$B,0))&amp;""),"—"))</f>
        <v/>
      </c>
      <c r="G418" s="25">
        <f>IF($C418="","",IFERROR(IF(INDEX(Roster!$E:$E,MATCH($C418,Roster!$B:$B,0))="","",INDEX(Roster!$E:$E,MATCH($C418,Roster!$B:$B,0))&amp;""),"—"))</f>
        <v/>
      </c>
      <c r="H418" s="25">
        <f>IF($C418="","",IFERROR(IF(INDEX(Roster!$F:$F,MATCH($C418,Roster!$B:$B,0))="","",INDEX(Roster!$F:$F,MATCH($C418,Roster!$B:$B,0))&amp;""),"—"))</f>
        <v/>
      </c>
      <c r="I418" s="25">
        <f>IF($C418="","",IFERROR(IF(INDEX(Roster!$G:$G,MATCH($C418,Roster!$B:$B,0))="","",INDEX(Roster!$G:$G,MATCH($C418,Roster!$B:$B,0))&amp;""),"—"))</f>
        <v/>
      </c>
      <c r="J418" s="25">
        <f>IF($C418="","",IFERROR(IF(INDEX(Roster!$I:$I,MATCH($C418,Roster!$B:$B,0))="","",INDEX(Roster!$I:$I,MATCH($C418,Roster!$B:$B,0))&amp;""),"—"))</f>
        <v/>
      </c>
      <c r="K418">
        <f>IF($C418="","",IFERROR(IF(INDEX(Roster!$J:$J,MATCH($C418,Roster!$B:$B,0))="","",INDEX(Roster!$J:$J,MATCH($C418,Roster!$B:$B,0))&amp;""),"—"))</f>
        <v/>
      </c>
      <c r="L418">
        <f>IF($C418="","",IFERROR(IF(INDEX(Roster!$K:$K,MATCH($C418,Roster!$B:$B,0))="","",INDEX(Roster!$K:$K,MATCH($C418,Roster!$B:$B,0))&amp;""),"—"))</f>
        <v/>
      </c>
      <c r="M418" s="27" t="n"/>
      <c r="N418" s="27" t="n"/>
      <c r="O418" s="25">
        <f>IF($C418="","",IF($P418="","—",IF($P418="Valid (Pass)","Valid","Invalid")))</f>
        <v/>
      </c>
      <c r="P418" s="27" t="n"/>
      <c r="Q418" s="27" t="n"/>
      <c r="R418" s="27" t="n"/>
      <c r="S418" s="27" t="n"/>
      <c r="T418" s="25">
        <f>IF($C418="","",IF(OR(ISNUMBER(SEARCH("quick case",$P418)),ISNUMBER(SEARCH("quick case",$Q418))),"Yes","No"))</f>
        <v/>
      </c>
      <c r="U418" s="25">
        <f>IF($O418="Invalid",HYPERLINK("mailto:"&amp;$G418&amp;";"&amp;$I418&amp;"?cc="&amp;Lists!$E$2&amp;"&amp;subject="&amp;_xlfn.ENCODEURL("[INVALID] Quality audit monitoring completed for "&amp;UPPER($C418))&amp;"&amp;body="&amp;_xlfn.ENCODEURL("Hi "&amp;$F418&amp;","&amp;CHAR(10)&amp;"Good day!"&amp;CHAR(10)&amp;CHAR(10)&amp;"A quality monitoring audit has been completed for "&amp;$C418&amp;"."&amp;CHAR(10)&amp;CHAR(10)&amp;"QUALITY AUDIT DETAILS"&amp;CHAR(10)&amp;"Agent Name: "&amp;$C418&amp;" (EID "&amp;$D418&amp;")"&amp;CHAR(10)&amp;"Audit Date: "&amp;TEXT($B418,"yyyy-mm-dd")&amp;CHAR(10)&amp;"Team Leader: "&amp;$F418&amp;CHAR(10)&amp;"Case Number: "&amp;$M418&amp;CHAR(10)&amp;"Transaction ID: "&amp;$N418&amp;CHAR(10)&amp;"Channel / LOB: "&amp;$K418&amp;" / "&amp;$L418&amp;CHAR(10)&amp;"Evaluator: "&amp;$S418&amp;CHAR(10)&amp;CHAR(10)&amp;"INVALID QUALITY AUDIT DETAILS"&amp;CHAR(10)&amp;"Validation: Invalid"&amp;CHAR(10)&amp;"Invalid Reason: "&amp;$P418&amp;CHAR(10)&amp;"Expected Resolution Code: "&amp;$Q418&amp;CHAR(10)&amp;"Remarks: "&amp;LEFT($R418,600)&amp;CHAR(10)&amp;CHAR(10)&amp;"This is an automated notification from HP Mainstream EQMS."),"✉ Open Email Draft"),"")</f>
        <v/>
      </c>
    </row>
    <row r="419">
      <c r="A419" s="25">
        <f>IF($C419="","","AUD-2026-"&amp;TEXT(ROW()-1,"000000"))</f>
        <v/>
      </c>
      <c r="B419" s="26" t="n"/>
      <c r="C419" s="27" t="n"/>
      <c r="D419" s="25">
        <f>IF($C419="","",IFERROR(IF(INDEX(Roster!$A:$A,MATCH($C419,Roster!$B:$B,0))="","",INDEX(Roster!$A:$A,MATCH($C419,Roster!$B:$B,0))&amp;""),"—"))</f>
        <v/>
      </c>
      <c r="E419" s="25">
        <f>IF($C419="","",IFERROR(IF(INDEX(Roster!$C:$C,MATCH($C419,Roster!$B:$B,0))="","",INDEX(Roster!$C:$C,MATCH($C419,Roster!$B:$B,0))&amp;""),"—"))</f>
        <v/>
      </c>
      <c r="F419" s="25">
        <f>IF($C419="","",IFERROR(IF(INDEX(Roster!$D:$D,MATCH($C419,Roster!$B:$B,0))="","",INDEX(Roster!$D:$D,MATCH($C419,Roster!$B:$B,0))&amp;""),"—"))</f>
        <v/>
      </c>
      <c r="G419" s="25">
        <f>IF($C419="","",IFERROR(IF(INDEX(Roster!$E:$E,MATCH($C419,Roster!$B:$B,0))="","",INDEX(Roster!$E:$E,MATCH($C419,Roster!$B:$B,0))&amp;""),"—"))</f>
        <v/>
      </c>
      <c r="H419" s="25">
        <f>IF($C419="","",IFERROR(IF(INDEX(Roster!$F:$F,MATCH($C419,Roster!$B:$B,0))="","",INDEX(Roster!$F:$F,MATCH($C419,Roster!$B:$B,0))&amp;""),"—"))</f>
        <v/>
      </c>
      <c r="I419" s="25">
        <f>IF($C419="","",IFERROR(IF(INDEX(Roster!$G:$G,MATCH($C419,Roster!$B:$B,0))="","",INDEX(Roster!$G:$G,MATCH($C419,Roster!$B:$B,0))&amp;""),"—"))</f>
        <v/>
      </c>
      <c r="J419" s="25">
        <f>IF($C419="","",IFERROR(IF(INDEX(Roster!$I:$I,MATCH($C419,Roster!$B:$B,0))="","",INDEX(Roster!$I:$I,MATCH($C419,Roster!$B:$B,0))&amp;""),"—"))</f>
        <v/>
      </c>
      <c r="K419">
        <f>IF($C419="","",IFERROR(IF(INDEX(Roster!$J:$J,MATCH($C419,Roster!$B:$B,0))="","",INDEX(Roster!$J:$J,MATCH($C419,Roster!$B:$B,0))&amp;""),"—"))</f>
        <v/>
      </c>
      <c r="L419">
        <f>IF($C419="","",IFERROR(IF(INDEX(Roster!$K:$K,MATCH($C419,Roster!$B:$B,0))="","",INDEX(Roster!$K:$K,MATCH($C419,Roster!$B:$B,0))&amp;""),"—"))</f>
        <v/>
      </c>
      <c r="M419" s="27" t="n"/>
      <c r="N419" s="27" t="n"/>
      <c r="O419" s="25">
        <f>IF($C419="","",IF($P419="","—",IF($P419="Valid (Pass)","Valid","Invalid")))</f>
        <v/>
      </c>
      <c r="P419" s="27" t="n"/>
      <c r="Q419" s="27" t="n"/>
      <c r="R419" s="27" t="n"/>
      <c r="S419" s="27" t="n"/>
      <c r="T419" s="25">
        <f>IF($C419="","",IF(OR(ISNUMBER(SEARCH("quick case",$P419)),ISNUMBER(SEARCH("quick case",$Q419))),"Yes","No"))</f>
        <v/>
      </c>
      <c r="U419" s="25">
        <f>IF($O419="Invalid",HYPERLINK("mailto:"&amp;$G419&amp;";"&amp;$I419&amp;"?cc="&amp;Lists!$E$2&amp;"&amp;subject="&amp;_xlfn.ENCODEURL("[INVALID] Quality audit monitoring completed for "&amp;UPPER($C419))&amp;"&amp;body="&amp;_xlfn.ENCODEURL("Hi "&amp;$F419&amp;","&amp;CHAR(10)&amp;"Good day!"&amp;CHAR(10)&amp;CHAR(10)&amp;"A quality monitoring audit has been completed for "&amp;$C419&amp;"."&amp;CHAR(10)&amp;CHAR(10)&amp;"QUALITY AUDIT DETAILS"&amp;CHAR(10)&amp;"Agent Name: "&amp;$C419&amp;" (EID "&amp;$D419&amp;")"&amp;CHAR(10)&amp;"Audit Date: "&amp;TEXT($B419,"yyyy-mm-dd")&amp;CHAR(10)&amp;"Team Leader: "&amp;$F419&amp;CHAR(10)&amp;"Case Number: "&amp;$M419&amp;CHAR(10)&amp;"Transaction ID: "&amp;$N419&amp;CHAR(10)&amp;"Channel / LOB: "&amp;$K419&amp;" / "&amp;$L419&amp;CHAR(10)&amp;"Evaluator: "&amp;$S419&amp;CHAR(10)&amp;CHAR(10)&amp;"INVALID QUALITY AUDIT DETAILS"&amp;CHAR(10)&amp;"Validation: Invalid"&amp;CHAR(10)&amp;"Invalid Reason: "&amp;$P419&amp;CHAR(10)&amp;"Expected Resolution Code: "&amp;$Q419&amp;CHAR(10)&amp;"Remarks: "&amp;LEFT($R419,600)&amp;CHAR(10)&amp;CHAR(10)&amp;"This is an automated notification from HP Mainstream EQMS."),"✉ Open Email Draft"),"")</f>
        <v/>
      </c>
    </row>
    <row r="420">
      <c r="A420" s="25">
        <f>IF($C420="","","AUD-2026-"&amp;TEXT(ROW()-1,"000000"))</f>
        <v/>
      </c>
      <c r="B420" s="26" t="n"/>
      <c r="C420" s="27" t="n"/>
      <c r="D420" s="25">
        <f>IF($C420="","",IFERROR(IF(INDEX(Roster!$A:$A,MATCH($C420,Roster!$B:$B,0))="","",INDEX(Roster!$A:$A,MATCH($C420,Roster!$B:$B,0))&amp;""),"—"))</f>
        <v/>
      </c>
      <c r="E420" s="25">
        <f>IF($C420="","",IFERROR(IF(INDEX(Roster!$C:$C,MATCH($C420,Roster!$B:$B,0))="","",INDEX(Roster!$C:$C,MATCH($C420,Roster!$B:$B,0))&amp;""),"—"))</f>
        <v/>
      </c>
      <c r="F420" s="25">
        <f>IF($C420="","",IFERROR(IF(INDEX(Roster!$D:$D,MATCH($C420,Roster!$B:$B,0))="","",INDEX(Roster!$D:$D,MATCH($C420,Roster!$B:$B,0))&amp;""),"—"))</f>
        <v/>
      </c>
      <c r="G420" s="25">
        <f>IF($C420="","",IFERROR(IF(INDEX(Roster!$E:$E,MATCH($C420,Roster!$B:$B,0))="","",INDEX(Roster!$E:$E,MATCH($C420,Roster!$B:$B,0))&amp;""),"—"))</f>
        <v/>
      </c>
      <c r="H420" s="25">
        <f>IF($C420="","",IFERROR(IF(INDEX(Roster!$F:$F,MATCH($C420,Roster!$B:$B,0))="","",INDEX(Roster!$F:$F,MATCH($C420,Roster!$B:$B,0))&amp;""),"—"))</f>
        <v/>
      </c>
      <c r="I420" s="25">
        <f>IF($C420="","",IFERROR(IF(INDEX(Roster!$G:$G,MATCH($C420,Roster!$B:$B,0))="","",INDEX(Roster!$G:$G,MATCH($C420,Roster!$B:$B,0))&amp;""),"—"))</f>
        <v/>
      </c>
      <c r="J420" s="25">
        <f>IF($C420="","",IFERROR(IF(INDEX(Roster!$I:$I,MATCH($C420,Roster!$B:$B,0))="","",INDEX(Roster!$I:$I,MATCH($C420,Roster!$B:$B,0))&amp;""),"—"))</f>
        <v/>
      </c>
      <c r="K420">
        <f>IF($C420="","",IFERROR(IF(INDEX(Roster!$J:$J,MATCH($C420,Roster!$B:$B,0))="","",INDEX(Roster!$J:$J,MATCH($C420,Roster!$B:$B,0))&amp;""),"—"))</f>
        <v/>
      </c>
      <c r="L420">
        <f>IF($C420="","",IFERROR(IF(INDEX(Roster!$K:$K,MATCH($C420,Roster!$B:$B,0))="","",INDEX(Roster!$K:$K,MATCH($C420,Roster!$B:$B,0))&amp;""),"—"))</f>
        <v/>
      </c>
      <c r="M420" s="27" t="n"/>
      <c r="N420" s="27" t="n"/>
      <c r="O420" s="25">
        <f>IF($C420="","",IF($P420="","—",IF($P420="Valid (Pass)","Valid","Invalid")))</f>
        <v/>
      </c>
      <c r="P420" s="27" t="n"/>
      <c r="Q420" s="27" t="n"/>
      <c r="R420" s="27" t="n"/>
      <c r="S420" s="27" t="n"/>
      <c r="T420" s="25">
        <f>IF($C420="","",IF(OR(ISNUMBER(SEARCH("quick case",$P420)),ISNUMBER(SEARCH("quick case",$Q420))),"Yes","No"))</f>
        <v/>
      </c>
      <c r="U420" s="25">
        <f>IF($O420="Invalid",HYPERLINK("mailto:"&amp;$G420&amp;";"&amp;$I420&amp;"?cc="&amp;Lists!$E$2&amp;"&amp;subject="&amp;_xlfn.ENCODEURL("[INVALID] Quality audit monitoring completed for "&amp;UPPER($C420))&amp;"&amp;body="&amp;_xlfn.ENCODEURL("Hi "&amp;$F420&amp;","&amp;CHAR(10)&amp;"Good day!"&amp;CHAR(10)&amp;CHAR(10)&amp;"A quality monitoring audit has been completed for "&amp;$C420&amp;"."&amp;CHAR(10)&amp;CHAR(10)&amp;"QUALITY AUDIT DETAILS"&amp;CHAR(10)&amp;"Agent Name: "&amp;$C420&amp;" (EID "&amp;$D420&amp;")"&amp;CHAR(10)&amp;"Audit Date: "&amp;TEXT($B420,"yyyy-mm-dd")&amp;CHAR(10)&amp;"Team Leader: "&amp;$F420&amp;CHAR(10)&amp;"Case Number: "&amp;$M420&amp;CHAR(10)&amp;"Transaction ID: "&amp;$N420&amp;CHAR(10)&amp;"Channel / LOB: "&amp;$K420&amp;" / "&amp;$L420&amp;CHAR(10)&amp;"Evaluator: "&amp;$S420&amp;CHAR(10)&amp;CHAR(10)&amp;"INVALID QUALITY AUDIT DETAILS"&amp;CHAR(10)&amp;"Validation: Invalid"&amp;CHAR(10)&amp;"Invalid Reason: "&amp;$P420&amp;CHAR(10)&amp;"Expected Resolution Code: "&amp;$Q420&amp;CHAR(10)&amp;"Remarks: "&amp;LEFT($R420,600)&amp;CHAR(10)&amp;CHAR(10)&amp;"This is an automated notification from HP Mainstream EQMS."),"✉ Open Email Draft"),"")</f>
        <v/>
      </c>
    </row>
    <row r="421">
      <c r="A421" s="25">
        <f>IF($C421="","","AUD-2026-"&amp;TEXT(ROW()-1,"000000"))</f>
        <v/>
      </c>
      <c r="B421" s="26" t="n"/>
      <c r="C421" s="27" t="n"/>
      <c r="D421" s="25">
        <f>IF($C421="","",IFERROR(IF(INDEX(Roster!$A:$A,MATCH($C421,Roster!$B:$B,0))="","",INDEX(Roster!$A:$A,MATCH($C421,Roster!$B:$B,0))&amp;""),"—"))</f>
        <v/>
      </c>
      <c r="E421" s="25">
        <f>IF($C421="","",IFERROR(IF(INDEX(Roster!$C:$C,MATCH($C421,Roster!$B:$B,0))="","",INDEX(Roster!$C:$C,MATCH($C421,Roster!$B:$B,0))&amp;""),"—"))</f>
        <v/>
      </c>
      <c r="F421" s="25">
        <f>IF($C421="","",IFERROR(IF(INDEX(Roster!$D:$D,MATCH($C421,Roster!$B:$B,0))="","",INDEX(Roster!$D:$D,MATCH($C421,Roster!$B:$B,0))&amp;""),"—"))</f>
        <v/>
      </c>
      <c r="G421" s="25">
        <f>IF($C421="","",IFERROR(IF(INDEX(Roster!$E:$E,MATCH($C421,Roster!$B:$B,0))="","",INDEX(Roster!$E:$E,MATCH($C421,Roster!$B:$B,0))&amp;""),"—"))</f>
        <v/>
      </c>
      <c r="H421" s="25">
        <f>IF($C421="","",IFERROR(IF(INDEX(Roster!$F:$F,MATCH($C421,Roster!$B:$B,0))="","",INDEX(Roster!$F:$F,MATCH($C421,Roster!$B:$B,0))&amp;""),"—"))</f>
        <v/>
      </c>
      <c r="I421" s="25">
        <f>IF($C421="","",IFERROR(IF(INDEX(Roster!$G:$G,MATCH($C421,Roster!$B:$B,0))="","",INDEX(Roster!$G:$G,MATCH($C421,Roster!$B:$B,0))&amp;""),"—"))</f>
        <v/>
      </c>
      <c r="J421" s="25">
        <f>IF($C421="","",IFERROR(IF(INDEX(Roster!$I:$I,MATCH($C421,Roster!$B:$B,0))="","",INDEX(Roster!$I:$I,MATCH($C421,Roster!$B:$B,0))&amp;""),"—"))</f>
        <v/>
      </c>
      <c r="K421">
        <f>IF($C421="","",IFERROR(IF(INDEX(Roster!$J:$J,MATCH($C421,Roster!$B:$B,0))="","",INDEX(Roster!$J:$J,MATCH($C421,Roster!$B:$B,0))&amp;""),"—"))</f>
        <v/>
      </c>
      <c r="L421">
        <f>IF($C421="","",IFERROR(IF(INDEX(Roster!$K:$K,MATCH($C421,Roster!$B:$B,0))="","",INDEX(Roster!$K:$K,MATCH($C421,Roster!$B:$B,0))&amp;""),"—"))</f>
        <v/>
      </c>
      <c r="M421" s="27" t="n"/>
      <c r="N421" s="27" t="n"/>
      <c r="O421" s="25">
        <f>IF($C421="","",IF($P421="","—",IF($P421="Valid (Pass)","Valid","Invalid")))</f>
        <v/>
      </c>
      <c r="P421" s="27" t="n"/>
      <c r="Q421" s="27" t="n"/>
      <c r="R421" s="27" t="n"/>
      <c r="S421" s="27" t="n"/>
      <c r="T421" s="25">
        <f>IF($C421="","",IF(OR(ISNUMBER(SEARCH("quick case",$P421)),ISNUMBER(SEARCH("quick case",$Q421))),"Yes","No"))</f>
        <v/>
      </c>
      <c r="U421" s="25">
        <f>IF($O421="Invalid",HYPERLINK("mailto:"&amp;$G421&amp;";"&amp;$I421&amp;"?cc="&amp;Lists!$E$2&amp;"&amp;subject="&amp;_xlfn.ENCODEURL("[INVALID] Quality audit monitoring completed for "&amp;UPPER($C421))&amp;"&amp;body="&amp;_xlfn.ENCODEURL("Hi "&amp;$F421&amp;","&amp;CHAR(10)&amp;"Good day!"&amp;CHAR(10)&amp;CHAR(10)&amp;"A quality monitoring audit has been completed for "&amp;$C421&amp;"."&amp;CHAR(10)&amp;CHAR(10)&amp;"QUALITY AUDIT DETAILS"&amp;CHAR(10)&amp;"Agent Name: "&amp;$C421&amp;" (EID "&amp;$D421&amp;")"&amp;CHAR(10)&amp;"Audit Date: "&amp;TEXT($B421,"yyyy-mm-dd")&amp;CHAR(10)&amp;"Team Leader: "&amp;$F421&amp;CHAR(10)&amp;"Case Number: "&amp;$M421&amp;CHAR(10)&amp;"Transaction ID: "&amp;$N421&amp;CHAR(10)&amp;"Channel / LOB: "&amp;$K421&amp;" / "&amp;$L421&amp;CHAR(10)&amp;"Evaluator: "&amp;$S421&amp;CHAR(10)&amp;CHAR(10)&amp;"INVALID QUALITY AUDIT DETAILS"&amp;CHAR(10)&amp;"Validation: Invalid"&amp;CHAR(10)&amp;"Invalid Reason: "&amp;$P421&amp;CHAR(10)&amp;"Expected Resolution Code: "&amp;$Q421&amp;CHAR(10)&amp;"Remarks: "&amp;LEFT($R421,600)&amp;CHAR(10)&amp;CHAR(10)&amp;"This is an automated notification from HP Mainstream EQMS."),"✉ Open Email Draft"),"")</f>
        <v/>
      </c>
    </row>
    <row r="422">
      <c r="A422" s="25">
        <f>IF($C422="","","AUD-2026-"&amp;TEXT(ROW()-1,"000000"))</f>
        <v/>
      </c>
      <c r="B422" s="26" t="n"/>
      <c r="C422" s="27" t="n"/>
      <c r="D422" s="25">
        <f>IF($C422="","",IFERROR(IF(INDEX(Roster!$A:$A,MATCH($C422,Roster!$B:$B,0))="","",INDEX(Roster!$A:$A,MATCH($C422,Roster!$B:$B,0))&amp;""),"—"))</f>
        <v/>
      </c>
      <c r="E422" s="25">
        <f>IF($C422="","",IFERROR(IF(INDEX(Roster!$C:$C,MATCH($C422,Roster!$B:$B,0))="","",INDEX(Roster!$C:$C,MATCH($C422,Roster!$B:$B,0))&amp;""),"—"))</f>
        <v/>
      </c>
      <c r="F422" s="25">
        <f>IF($C422="","",IFERROR(IF(INDEX(Roster!$D:$D,MATCH($C422,Roster!$B:$B,0))="","",INDEX(Roster!$D:$D,MATCH($C422,Roster!$B:$B,0))&amp;""),"—"))</f>
        <v/>
      </c>
      <c r="G422" s="25">
        <f>IF($C422="","",IFERROR(IF(INDEX(Roster!$E:$E,MATCH($C422,Roster!$B:$B,0))="","",INDEX(Roster!$E:$E,MATCH($C422,Roster!$B:$B,0))&amp;""),"—"))</f>
        <v/>
      </c>
      <c r="H422" s="25">
        <f>IF($C422="","",IFERROR(IF(INDEX(Roster!$F:$F,MATCH($C422,Roster!$B:$B,0))="","",INDEX(Roster!$F:$F,MATCH($C422,Roster!$B:$B,0))&amp;""),"—"))</f>
        <v/>
      </c>
      <c r="I422" s="25">
        <f>IF($C422="","",IFERROR(IF(INDEX(Roster!$G:$G,MATCH($C422,Roster!$B:$B,0))="","",INDEX(Roster!$G:$G,MATCH($C422,Roster!$B:$B,0))&amp;""),"—"))</f>
        <v/>
      </c>
      <c r="J422" s="25">
        <f>IF($C422="","",IFERROR(IF(INDEX(Roster!$I:$I,MATCH($C422,Roster!$B:$B,0))="","",INDEX(Roster!$I:$I,MATCH($C422,Roster!$B:$B,0))&amp;""),"—"))</f>
        <v/>
      </c>
      <c r="K422">
        <f>IF($C422="","",IFERROR(IF(INDEX(Roster!$J:$J,MATCH($C422,Roster!$B:$B,0))="","",INDEX(Roster!$J:$J,MATCH($C422,Roster!$B:$B,0))&amp;""),"—"))</f>
        <v/>
      </c>
      <c r="L422">
        <f>IF($C422="","",IFERROR(IF(INDEX(Roster!$K:$K,MATCH($C422,Roster!$B:$B,0))="","",INDEX(Roster!$K:$K,MATCH($C422,Roster!$B:$B,0))&amp;""),"—"))</f>
        <v/>
      </c>
      <c r="M422" s="27" t="n"/>
      <c r="N422" s="27" t="n"/>
      <c r="O422" s="25">
        <f>IF($C422="","",IF($P422="","—",IF($P422="Valid (Pass)","Valid","Invalid")))</f>
        <v/>
      </c>
      <c r="P422" s="27" t="n"/>
      <c r="Q422" s="27" t="n"/>
      <c r="R422" s="27" t="n"/>
      <c r="S422" s="27" t="n"/>
      <c r="T422" s="25">
        <f>IF($C422="","",IF(OR(ISNUMBER(SEARCH("quick case",$P422)),ISNUMBER(SEARCH("quick case",$Q422))),"Yes","No"))</f>
        <v/>
      </c>
      <c r="U422" s="25">
        <f>IF($O422="Invalid",HYPERLINK("mailto:"&amp;$G422&amp;";"&amp;$I422&amp;"?cc="&amp;Lists!$E$2&amp;"&amp;subject="&amp;_xlfn.ENCODEURL("[INVALID] Quality audit monitoring completed for "&amp;UPPER($C422))&amp;"&amp;body="&amp;_xlfn.ENCODEURL("Hi "&amp;$F422&amp;","&amp;CHAR(10)&amp;"Good day!"&amp;CHAR(10)&amp;CHAR(10)&amp;"A quality monitoring audit has been completed for "&amp;$C422&amp;"."&amp;CHAR(10)&amp;CHAR(10)&amp;"QUALITY AUDIT DETAILS"&amp;CHAR(10)&amp;"Agent Name: "&amp;$C422&amp;" (EID "&amp;$D422&amp;")"&amp;CHAR(10)&amp;"Audit Date: "&amp;TEXT($B422,"yyyy-mm-dd")&amp;CHAR(10)&amp;"Team Leader: "&amp;$F422&amp;CHAR(10)&amp;"Case Number: "&amp;$M422&amp;CHAR(10)&amp;"Transaction ID: "&amp;$N422&amp;CHAR(10)&amp;"Channel / LOB: "&amp;$K422&amp;" / "&amp;$L422&amp;CHAR(10)&amp;"Evaluator: "&amp;$S422&amp;CHAR(10)&amp;CHAR(10)&amp;"INVALID QUALITY AUDIT DETAILS"&amp;CHAR(10)&amp;"Validation: Invalid"&amp;CHAR(10)&amp;"Invalid Reason: "&amp;$P422&amp;CHAR(10)&amp;"Expected Resolution Code: "&amp;$Q422&amp;CHAR(10)&amp;"Remarks: "&amp;LEFT($R422,600)&amp;CHAR(10)&amp;CHAR(10)&amp;"This is an automated notification from HP Mainstream EQMS."),"✉ Open Email Draft"),"")</f>
        <v/>
      </c>
    </row>
    <row r="423">
      <c r="A423" s="25">
        <f>IF($C423="","","AUD-2026-"&amp;TEXT(ROW()-1,"000000"))</f>
        <v/>
      </c>
      <c r="B423" s="26" t="n"/>
      <c r="C423" s="27" t="n"/>
      <c r="D423" s="25">
        <f>IF($C423="","",IFERROR(IF(INDEX(Roster!$A:$A,MATCH($C423,Roster!$B:$B,0))="","",INDEX(Roster!$A:$A,MATCH($C423,Roster!$B:$B,0))&amp;""),"—"))</f>
        <v/>
      </c>
      <c r="E423" s="25">
        <f>IF($C423="","",IFERROR(IF(INDEX(Roster!$C:$C,MATCH($C423,Roster!$B:$B,0))="","",INDEX(Roster!$C:$C,MATCH($C423,Roster!$B:$B,0))&amp;""),"—"))</f>
        <v/>
      </c>
      <c r="F423" s="25">
        <f>IF($C423="","",IFERROR(IF(INDEX(Roster!$D:$D,MATCH($C423,Roster!$B:$B,0))="","",INDEX(Roster!$D:$D,MATCH($C423,Roster!$B:$B,0))&amp;""),"—"))</f>
        <v/>
      </c>
      <c r="G423" s="25">
        <f>IF($C423="","",IFERROR(IF(INDEX(Roster!$E:$E,MATCH($C423,Roster!$B:$B,0))="","",INDEX(Roster!$E:$E,MATCH($C423,Roster!$B:$B,0))&amp;""),"—"))</f>
        <v/>
      </c>
      <c r="H423" s="25">
        <f>IF($C423="","",IFERROR(IF(INDEX(Roster!$F:$F,MATCH($C423,Roster!$B:$B,0))="","",INDEX(Roster!$F:$F,MATCH($C423,Roster!$B:$B,0))&amp;""),"—"))</f>
        <v/>
      </c>
      <c r="I423" s="25">
        <f>IF($C423="","",IFERROR(IF(INDEX(Roster!$G:$G,MATCH($C423,Roster!$B:$B,0))="","",INDEX(Roster!$G:$G,MATCH($C423,Roster!$B:$B,0))&amp;""),"—"))</f>
        <v/>
      </c>
      <c r="J423" s="25">
        <f>IF($C423="","",IFERROR(IF(INDEX(Roster!$I:$I,MATCH($C423,Roster!$B:$B,0))="","",INDEX(Roster!$I:$I,MATCH($C423,Roster!$B:$B,0))&amp;""),"—"))</f>
        <v/>
      </c>
      <c r="K423">
        <f>IF($C423="","",IFERROR(IF(INDEX(Roster!$J:$J,MATCH($C423,Roster!$B:$B,0))="","",INDEX(Roster!$J:$J,MATCH($C423,Roster!$B:$B,0))&amp;""),"—"))</f>
        <v/>
      </c>
      <c r="L423">
        <f>IF($C423="","",IFERROR(IF(INDEX(Roster!$K:$K,MATCH($C423,Roster!$B:$B,0))="","",INDEX(Roster!$K:$K,MATCH($C423,Roster!$B:$B,0))&amp;""),"—"))</f>
        <v/>
      </c>
      <c r="M423" s="27" t="n"/>
      <c r="N423" s="27" t="n"/>
      <c r="O423" s="25">
        <f>IF($C423="","",IF($P423="","—",IF($P423="Valid (Pass)","Valid","Invalid")))</f>
        <v/>
      </c>
      <c r="P423" s="27" t="n"/>
      <c r="Q423" s="27" t="n"/>
      <c r="R423" s="27" t="n"/>
      <c r="S423" s="27" t="n"/>
      <c r="T423" s="25">
        <f>IF($C423="","",IF(OR(ISNUMBER(SEARCH("quick case",$P423)),ISNUMBER(SEARCH("quick case",$Q423))),"Yes","No"))</f>
        <v/>
      </c>
      <c r="U423" s="25">
        <f>IF($O423="Invalid",HYPERLINK("mailto:"&amp;$G423&amp;";"&amp;$I423&amp;"?cc="&amp;Lists!$E$2&amp;"&amp;subject="&amp;_xlfn.ENCODEURL("[INVALID] Quality audit monitoring completed for "&amp;UPPER($C423))&amp;"&amp;body="&amp;_xlfn.ENCODEURL("Hi "&amp;$F423&amp;","&amp;CHAR(10)&amp;"Good day!"&amp;CHAR(10)&amp;CHAR(10)&amp;"A quality monitoring audit has been completed for "&amp;$C423&amp;"."&amp;CHAR(10)&amp;CHAR(10)&amp;"QUALITY AUDIT DETAILS"&amp;CHAR(10)&amp;"Agent Name: "&amp;$C423&amp;" (EID "&amp;$D423&amp;")"&amp;CHAR(10)&amp;"Audit Date: "&amp;TEXT($B423,"yyyy-mm-dd")&amp;CHAR(10)&amp;"Team Leader: "&amp;$F423&amp;CHAR(10)&amp;"Case Number: "&amp;$M423&amp;CHAR(10)&amp;"Transaction ID: "&amp;$N423&amp;CHAR(10)&amp;"Channel / LOB: "&amp;$K423&amp;" / "&amp;$L423&amp;CHAR(10)&amp;"Evaluator: "&amp;$S423&amp;CHAR(10)&amp;CHAR(10)&amp;"INVALID QUALITY AUDIT DETAILS"&amp;CHAR(10)&amp;"Validation: Invalid"&amp;CHAR(10)&amp;"Invalid Reason: "&amp;$P423&amp;CHAR(10)&amp;"Expected Resolution Code: "&amp;$Q423&amp;CHAR(10)&amp;"Remarks: "&amp;LEFT($R423,600)&amp;CHAR(10)&amp;CHAR(10)&amp;"This is an automated notification from HP Mainstream EQMS."),"✉ Open Email Draft"),"")</f>
        <v/>
      </c>
    </row>
    <row r="424">
      <c r="A424" s="25">
        <f>IF($C424="","","AUD-2026-"&amp;TEXT(ROW()-1,"000000"))</f>
        <v/>
      </c>
      <c r="B424" s="26" t="n"/>
      <c r="C424" s="27" t="n"/>
      <c r="D424" s="25">
        <f>IF($C424="","",IFERROR(IF(INDEX(Roster!$A:$A,MATCH($C424,Roster!$B:$B,0))="","",INDEX(Roster!$A:$A,MATCH($C424,Roster!$B:$B,0))&amp;""),"—"))</f>
        <v/>
      </c>
      <c r="E424" s="25">
        <f>IF($C424="","",IFERROR(IF(INDEX(Roster!$C:$C,MATCH($C424,Roster!$B:$B,0))="","",INDEX(Roster!$C:$C,MATCH($C424,Roster!$B:$B,0))&amp;""),"—"))</f>
        <v/>
      </c>
      <c r="F424" s="25">
        <f>IF($C424="","",IFERROR(IF(INDEX(Roster!$D:$D,MATCH($C424,Roster!$B:$B,0))="","",INDEX(Roster!$D:$D,MATCH($C424,Roster!$B:$B,0))&amp;""),"—"))</f>
        <v/>
      </c>
      <c r="G424" s="25">
        <f>IF($C424="","",IFERROR(IF(INDEX(Roster!$E:$E,MATCH($C424,Roster!$B:$B,0))="","",INDEX(Roster!$E:$E,MATCH($C424,Roster!$B:$B,0))&amp;""),"—"))</f>
        <v/>
      </c>
      <c r="H424" s="25">
        <f>IF($C424="","",IFERROR(IF(INDEX(Roster!$F:$F,MATCH($C424,Roster!$B:$B,0))="","",INDEX(Roster!$F:$F,MATCH($C424,Roster!$B:$B,0))&amp;""),"—"))</f>
        <v/>
      </c>
      <c r="I424" s="25">
        <f>IF($C424="","",IFERROR(IF(INDEX(Roster!$G:$G,MATCH($C424,Roster!$B:$B,0))="","",INDEX(Roster!$G:$G,MATCH($C424,Roster!$B:$B,0))&amp;""),"—"))</f>
        <v/>
      </c>
      <c r="J424" s="25">
        <f>IF($C424="","",IFERROR(IF(INDEX(Roster!$I:$I,MATCH($C424,Roster!$B:$B,0))="","",INDEX(Roster!$I:$I,MATCH($C424,Roster!$B:$B,0))&amp;""),"—"))</f>
        <v/>
      </c>
      <c r="K424">
        <f>IF($C424="","",IFERROR(IF(INDEX(Roster!$J:$J,MATCH($C424,Roster!$B:$B,0))="","",INDEX(Roster!$J:$J,MATCH($C424,Roster!$B:$B,0))&amp;""),"—"))</f>
        <v/>
      </c>
      <c r="L424">
        <f>IF($C424="","",IFERROR(IF(INDEX(Roster!$K:$K,MATCH($C424,Roster!$B:$B,0))="","",INDEX(Roster!$K:$K,MATCH($C424,Roster!$B:$B,0))&amp;""),"—"))</f>
        <v/>
      </c>
      <c r="M424" s="27" t="n"/>
      <c r="N424" s="27" t="n"/>
      <c r="O424" s="25">
        <f>IF($C424="","",IF($P424="","—",IF($P424="Valid (Pass)","Valid","Invalid")))</f>
        <v/>
      </c>
      <c r="P424" s="27" t="n"/>
      <c r="Q424" s="27" t="n"/>
      <c r="R424" s="27" t="n"/>
      <c r="S424" s="27" t="n"/>
      <c r="T424" s="25">
        <f>IF($C424="","",IF(OR(ISNUMBER(SEARCH("quick case",$P424)),ISNUMBER(SEARCH("quick case",$Q424))),"Yes","No"))</f>
        <v/>
      </c>
      <c r="U424" s="25">
        <f>IF($O424="Invalid",HYPERLINK("mailto:"&amp;$G424&amp;";"&amp;$I424&amp;"?cc="&amp;Lists!$E$2&amp;"&amp;subject="&amp;_xlfn.ENCODEURL("[INVALID] Quality audit monitoring completed for "&amp;UPPER($C424))&amp;"&amp;body="&amp;_xlfn.ENCODEURL("Hi "&amp;$F424&amp;","&amp;CHAR(10)&amp;"Good day!"&amp;CHAR(10)&amp;CHAR(10)&amp;"A quality monitoring audit has been completed for "&amp;$C424&amp;"."&amp;CHAR(10)&amp;CHAR(10)&amp;"QUALITY AUDIT DETAILS"&amp;CHAR(10)&amp;"Agent Name: "&amp;$C424&amp;" (EID "&amp;$D424&amp;")"&amp;CHAR(10)&amp;"Audit Date: "&amp;TEXT($B424,"yyyy-mm-dd")&amp;CHAR(10)&amp;"Team Leader: "&amp;$F424&amp;CHAR(10)&amp;"Case Number: "&amp;$M424&amp;CHAR(10)&amp;"Transaction ID: "&amp;$N424&amp;CHAR(10)&amp;"Channel / LOB: "&amp;$K424&amp;" / "&amp;$L424&amp;CHAR(10)&amp;"Evaluator: "&amp;$S424&amp;CHAR(10)&amp;CHAR(10)&amp;"INVALID QUALITY AUDIT DETAILS"&amp;CHAR(10)&amp;"Validation: Invalid"&amp;CHAR(10)&amp;"Invalid Reason: "&amp;$P424&amp;CHAR(10)&amp;"Expected Resolution Code: "&amp;$Q424&amp;CHAR(10)&amp;"Remarks: "&amp;LEFT($R424,600)&amp;CHAR(10)&amp;CHAR(10)&amp;"This is an automated notification from HP Mainstream EQMS."),"✉ Open Email Draft"),"")</f>
        <v/>
      </c>
    </row>
    <row r="425">
      <c r="A425" s="25">
        <f>IF($C425="","","AUD-2026-"&amp;TEXT(ROW()-1,"000000"))</f>
        <v/>
      </c>
      <c r="B425" s="26" t="n"/>
      <c r="C425" s="27" t="n"/>
      <c r="D425" s="25">
        <f>IF($C425="","",IFERROR(IF(INDEX(Roster!$A:$A,MATCH($C425,Roster!$B:$B,0))="","",INDEX(Roster!$A:$A,MATCH($C425,Roster!$B:$B,0))&amp;""),"—"))</f>
        <v/>
      </c>
      <c r="E425" s="25">
        <f>IF($C425="","",IFERROR(IF(INDEX(Roster!$C:$C,MATCH($C425,Roster!$B:$B,0))="","",INDEX(Roster!$C:$C,MATCH($C425,Roster!$B:$B,0))&amp;""),"—"))</f>
        <v/>
      </c>
      <c r="F425" s="25">
        <f>IF($C425="","",IFERROR(IF(INDEX(Roster!$D:$D,MATCH($C425,Roster!$B:$B,0))="","",INDEX(Roster!$D:$D,MATCH($C425,Roster!$B:$B,0))&amp;""),"—"))</f>
        <v/>
      </c>
      <c r="G425" s="25">
        <f>IF($C425="","",IFERROR(IF(INDEX(Roster!$E:$E,MATCH($C425,Roster!$B:$B,0))="","",INDEX(Roster!$E:$E,MATCH($C425,Roster!$B:$B,0))&amp;""),"—"))</f>
        <v/>
      </c>
      <c r="H425" s="25">
        <f>IF($C425="","",IFERROR(IF(INDEX(Roster!$F:$F,MATCH($C425,Roster!$B:$B,0))="","",INDEX(Roster!$F:$F,MATCH($C425,Roster!$B:$B,0))&amp;""),"—"))</f>
        <v/>
      </c>
      <c r="I425" s="25">
        <f>IF($C425="","",IFERROR(IF(INDEX(Roster!$G:$G,MATCH($C425,Roster!$B:$B,0))="","",INDEX(Roster!$G:$G,MATCH($C425,Roster!$B:$B,0))&amp;""),"—"))</f>
        <v/>
      </c>
      <c r="J425" s="25">
        <f>IF($C425="","",IFERROR(IF(INDEX(Roster!$I:$I,MATCH($C425,Roster!$B:$B,0))="","",INDEX(Roster!$I:$I,MATCH($C425,Roster!$B:$B,0))&amp;""),"—"))</f>
        <v/>
      </c>
      <c r="K425">
        <f>IF($C425="","",IFERROR(IF(INDEX(Roster!$J:$J,MATCH($C425,Roster!$B:$B,0))="","",INDEX(Roster!$J:$J,MATCH($C425,Roster!$B:$B,0))&amp;""),"—"))</f>
        <v/>
      </c>
      <c r="L425">
        <f>IF($C425="","",IFERROR(IF(INDEX(Roster!$K:$K,MATCH($C425,Roster!$B:$B,0))="","",INDEX(Roster!$K:$K,MATCH($C425,Roster!$B:$B,0))&amp;""),"—"))</f>
        <v/>
      </c>
      <c r="M425" s="27" t="n"/>
      <c r="N425" s="27" t="n"/>
      <c r="O425" s="25">
        <f>IF($C425="","",IF($P425="","—",IF($P425="Valid (Pass)","Valid","Invalid")))</f>
        <v/>
      </c>
      <c r="P425" s="27" t="n"/>
      <c r="Q425" s="27" t="n"/>
      <c r="R425" s="27" t="n"/>
      <c r="S425" s="27" t="n"/>
      <c r="T425" s="25">
        <f>IF($C425="","",IF(OR(ISNUMBER(SEARCH("quick case",$P425)),ISNUMBER(SEARCH("quick case",$Q425))),"Yes","No"))</f>
        <v/>
      </c>
      <c r="U425" s="25">
        <f>IF($O425="Invalid",HYPERLINK("mailto:"&amp;$G425&amp;";"&amp;$I425&amp;"?cc="&amp;Lists!$E$2&amp;"&amp;subject="&amp;_xlfn.ENCODEURL("[INVALID] Quality audit monitoring completed for "&amp;UPPER($C425))&amp;"&amp;body="&amp;_xlfn.ENCODEURL("Hi "&amp;$F425&amp;","&amp;CHAR(10)&amp;"Good day!"&amp;CHAR(10)&amp;CHAR(10)&amp;"A quality monitoring audit has been completed for "&amp;$C425&amp;"."&amp;CHAR(10)&amp;CHAR(10)&amp;"QUALITY AUDIT DETAILS"&amp;CHAR(10)&amp;"Agent Name: "&amp;$C425&amp;" (EID "&amp;$D425&amp;")"&amp;CHAR(10)&amp;"Audit Date: "&amp;TEXT($B425,"yyyy-mm-dd")&amp;CHAR(10)&amp;"Team Leader: "&amp;$F425&amp;CHAR(10)&amp;"Case Number: "&amp;$M425&amp;CHAR(10)&amp;"Transaction ID: "&amp;$N425&amp;CHAR(10)&amp;"Channel / LOB: "&amp;$K425&amp;" / "&amp;$L425&amp;CHAR(10)&amp;"Evaluator: "&amp;$S425&amp;CHAR(10)&amp;CHAR(10)&amp;"INVALID QUALITY AUDIT DETAILS"&amp;CHAR(10)&amp;"Validation: Invalid"&amp;CHAR(10)&amp;"Invalid Reason: "&amp;$P425&amp;CHAR(10)&amp;"Expected Resolution Code: "&amp;$Q425&amp;CHAR(10)&amp;"Remarks: "&amp;LEFT($R425,600)&amp;CHAR(10)&amp;CHAR(10)&amp;"This is an automated notification from HP Mainstream EQMS."),"✉ Open Email Draft"),"")</f>
        <v/>
      </c>
    </row>
    <row r="426">
      <c r="A426" s="25">
        <f>IF($C426="","","AUD-2026-"&amp;TEXT(ROW()-1,"000000"))</f>
        <v/>
      </c>
      <c r="B426" s="26" t="n"/>
      <c r="C426" s="27" t="n"/>
      <c r="D426" s="25">
        <f>IF($C426="","",IFERROR(IF(INDEX(Roster!$A:$A,MATCH($C426,Roster!$B:$B,0))="","",INDEX(Roster!$A:$A,MATCH($C426,Roster!$B:$B,0))&amp;""),"—"))</f>
        <v/>
      </c>
      <c r="E426" s="25">
        <f>IF($C426="","",IFERROR(IF(INDEX(Roster!$C:$C,MATCH($C426,Roster!$B:$B,0))="","",INDEX(Roster!$C:$C,MATCH($C426,Roster!$B:$B,0))&amp;""),"—"))</f>
        <v/>
      </c>
      <c r="F426" s="25">
        <f>IF($C426="","",IFERROR(IF(INDEX(Roster!$D:$D,MATCH($C426,Roster!$B:$B,0))="","",INDEX(Roster!$D:$D,MATCH($C426,Roster!$B:$B,0))&amp;""),"—"))</f>
        <v/>
      </c>
      <c r="G426" s="25">
        <f>IF($C426="","",IFERROR(IF(INDEX(Roster!$E:$E,MATCH($C426,Roster!$B:$B,0))="","",INDEX(Roster!$E:$E,MATCH($C426,Roster!$B:$B,0))&amp;""),"—"))</f>
        <v/>
      </c>
      <c r="H426" s="25">
        <f>IF($C426="","",IFERROR(IF(INDEX(Roster!$F:$F,MATCH($C426,Roster!$B:$B,0))="","",INDEX(Roster!$F:$F,MATCH($C426,Roster!$B:$B,0))&amp;""),"—"))</f>
        <v/>
      </c>
      <c r="I426" s="25">
        <f>IF($C426="","",IFERROR(IF(INDEX(Roster!$G:$G,MATCH($C426,Roster!$B:$B,0))="","",INDEX(Roster!$G:$G,MATCH($C426,Roster!$B:$B,0))&amp;""),"—"))</f>
        <v/>
      </c>
      <c r="J426" s="25">
        <f>IF($C426="","",IFERROR(IF(INDEX(Roster!$I:$I,MATCH($C426,Roster!$B:$B,0))="","",INDEX(Roster!$I:$I,MATCH($C426,Roster!$B:$B,0))&amp;""),"—"))</f>
        <v/>
      </c>
      <c r="K426">
        <f>IF($C426="","",IFERROR(IF(INDEX(Roster!$J:$J,MATCH($C426,Roster!$B:$B,0))="","",INDEX(Roster!$J:$J,MATCH($C426,Roster!$B:$B,0))&amp;""),"—"))</f>
        <v/>
      </c>
      <c r="L426">
        <f>IF($C426="","",IFERROR(IF(INDEX(Roster!$K:$K,MATCH($C426,Roster!$B:$B,0))="","",INDEX(Roster!$K:$K,MATCH($C426,Roster!$B:$B,0))&amp;""),"—"))</f>
        <v/>
      </c>
      <c r="M426" s="27" t="n"/>
      <c r="N426" s="27" t="n"/>
      <c r="O426" s="25">
        <f>IF($C426="","",IF($P426="","—",IF($P426="Valid (Pass)","Valid","Invalid")))</f>
        <v/>
      </c>
      <c r="P426" s="27" t="n"/>
      <c r="Q426" s="27" t="n"/>
      <c r="R426" s="27" t="n"/>
      <c r="S426" s="27" t="n"/>
      <c r="T426" s="25">
        <f>IF($C426="","",IF(OR(ISNUMBER(SEARCH("quick case",$P426)),ISNUMBER(SEARCH("quick case",$Q426))),"Yes","No"))</f>
        <v/>
      </c>
      <c r="U426" s="25">
        <f>IF($O426="Invalid",HYPERLINK("mailto:"&amp;$G426&amp;";"&amp;$I426&amp;"?cc="&amp;Lists!$E$2&amp;"&amp;subject="&amp;_xlfn.ENCODEURL("[INVALID] Quality audit monitoring completed for "&amp;UPPER($C426))&amp;"&amp;body="&amp;_xlfn.ENCODEURL("Hi "&amp;$F426&amp;","&amp;CHAR(10)&amp;"Good day!"&amp;CHAR(10)&amp;CHAR(10)&amp;"A quality monitoring audit has been completed for "&amp;$C426&amp;"."&amp;CHAR(10)&amp;CHAR(10)&amp;"QUALITY AUDIT DETAILS"&amp;CHAR(10)&amp;"Agent Name: "&amp;$C426&amp;" (EID "&amp;$D426&amp;")"&amp;CHAR(10)&amp;"Audit Date: "&amp;TEXT($B426,"yyyy-mm-dd")&amp;CHAR(10)&amp;"Team Leader: "&amp;$F426&amp;CHAR(10)&amp;"Case Number: "&amp;$M426&amp;CHAR(10)&amp;"Transaction ID: "&amp;$N426&amp;CHAR(10)&amp;"Channel / LOB: "&amp;$K426&amp;" / "&amp;$L426&amp;CHAR(10)&amp;"Evaluator: "&amp;$S426&amp;CHAR(10)&amp;CHAR(10)&amp;"INVALID QUALITY AUDIT DETAILS"&amp;CHAR(10)&amp;"Validation: Invalid"&amp;CHAR(10)&amp;"Invalid Reason: "&amp;$P426&amp;CHAR(10)&amp;"Expected Resolution Code: "&amp;$Q426&amp;CHAR(10)&amp;"Remarks: "&amp;LEFT($R426,600)&amp;CHAR(10)&amp;CHAR(10)&amp;"This is an automated notification from HP Mainstream EQMS."),"✉ Open Email Draft"),"")</f>
        <v/>
      </c>
    </row>
    <row r="427">
      <c r="A427" s="25">
        <f>IF($C427="","","AUD-2026-"&amp;TEXT(ROW()-1,"000000"))</f>
        <v/>
      </c>
      <c r="B427" s="26" t="n"/>
      <c r="C427" s="27" t="n"/>
      <c r="D427" s="25">
        <f>IF($C427="","",IFERROR(IF(INDEX(Roster!$A:$A,MATCH($C427,Roster!$B:$B,0))="","",INDEX(Roster!$A:$A,MATCH($C427,Roster!$B:$B,0))&amp;""),"—"))</f>
        <v/>
      </c>
      <c r="E427" s="25">
        <f>IF($C427="","",IFERROR(IF(INDEX(Roster!$C:$C,MATCH($C427,Roster!$B:$B,0))="","",INDEX(Roster!$C:$C,MATCH($C427,Roster!$B:$B,0))&amp;""),"—"))</f>
        <v/>
      </c>
      <c r="F427" s="25">
        <f>IF($C427="","",IFERROR(IF(INDEX(Roster!$D:$D,MATCH($C427,Roster!$B:$B,0))="","",INDEX(Roster!$D:$D,MATCH($C427,Roster!$B:$B,0))&amp;""),"—"))</f>
        <v/>
      </c>
      <c r="G427" s="25">
        <f>IF($C427="","",IFERROR(IF(INDEX(Roster!$E:$E,MATCH($C427,Roster!$B:$B,0))="","",INDEX(Roster!$E:$E,MATCH($C427,Roster!$B:$B,0))&amp;""),"—"))</f>
        <v/>
      </c>
      <c r="H427" s="25">
        <f>IF($C427="","",IFERROR(IF(INDEX(Roster!$F:$F,MATCH($C427,Roster!$B:$B,0))="","",INDEX(Roster!$F:$F,MATCH($C427,Roster!$B:$B,0))&amp;""),"—"))</f>
        <v/>
      </c>
      <c r="I427" s="25">
        <f>IF($C427="","",IFERROR(IF(INDEX(Roster!$G:$G,MATCH($C427,Roster!$B:$B,0))="","",INDEX(Roster!$G:$G,MATCH($C427,Roster!$B:$B,0))&amp;""),"—"))</f>
        <v/>
      </c>
      <c r="J427" s="25">
        <f>IF($C427="","",IFERROR(IF(INDEX(Roster!$I:$I,MATCH($C427,Roster!$B:$B,0))="","",INDEX(Roster!$I:$I,MATCH($C427,Roster!$B:$B,0))&amp;""),"—"))</f>
        <v/>
      </c>
      <c r="K427">
        <f>IF($C427="","",IFERROR(IF(INDEX(Roster!$J:$J,MATCH($C427,Roster!$B:$B,0))="","",INDEX(Roster!$J:$J,MATCH($C427,Roster!$B:$B,0))&amp;""),"—"))</f>
        <v/>
      </c>
      <c r="L427">
        <f>IF($C427="","",IFERROR(IF(INDEX(Roster!$K:$K,MATCH($C427,Roster!$B:$B,0))="","",INDEX(Roster!$K:$K,MATCH($C427,Roster!$B:$B,0))&amp;""),"—"))</f>
        <v/>
      </c>
      <c r="M427" s="27" t="n"/>
      <c r="N427" s="27" t="n"/>
      <c r="O427" s="25">
        <f>IF($C427="","",IF($P427="","—",IF($P427="Valid (Pass)","Valid","Invalid")))</f>
        <v/>
      </c>
      <c r="P427" s="27" t="n"/>
      <c r="Q427" s="27" t="n"/>
      <c r="R427" s="27" t="n"/>
      <c r="S427" s="27" t="n"/>
      <c r="T427" s="25">
        <f>IF($C427="","",IF(OR(ISNUMBER(SEARCH("quick case",$P427)),ISNUMBER(SEARCH("quick case",$Q427))),"Yes","No"))</f>
        <v/>
      </c>
      <c r="U427" s="25">
        <f>IF($O427="Invalid",HYPERLINK("mailto:"&amp;$G427&amp;";"&amp;$I427&amp;"?cc="&amp;Lists!$E$2&amp;"&amp;subject="&amp;_xlfn.ENCODEURL("[INVALID] Quality audit monitoring completed for "&amp;UPPER($C427))&amp;"&amp;body="&amp;_xlfn.ENCODEURL("Hi "&amp;$F427&amp;","&amp;CHAR(10)&amp;"Good day!"&amp;CHAR(10)&amp;CHAR(10)&amp;"A quality monitoring audit has been completed for "&amp;$C427&amp;"."&amp;CHAR(10)&amp;CHAR(10)&amp;"QUALITY AUDIT DETAILS"&amp;CHAR(10)&amp;"Agent Name: "&amp;$C427&amp;" (EID "&amp;$D427&amp;")"&amp;CHAR(10)&amp;"Audit Date: "&amp;TEXT($B427,"yyyy-mm-dd")&amp;CHAR(10)&amp;"Team Leader: "&amp;$F427&amp;CHAR(10)&amp;"Case Number: "&amp;$M427&amp;CHAR(10)&amp;"Transaction ID: "&amp;$N427&amp;CHAR(10)&amp;"Channel / LOB: "&amp;$K427&amp;" / "&amp;$L427&amp;CHAR(10)&amp;"Evaluator: "&amp;$S427&amp;CHAR(10)&amp;CHAR(10)&amp;"INVALID QUALITY AUDIT DETAILS"&amp;CHAR(10)&amp;"Validation: Invalid"&amp;CHAR(10)&amp;"Invalid Reason: "&amp;$P427&amp;CHAR(10)&amp;"Expected Resolution Code: "&amp;$Q427&amp;CHAR(10)&amp;"Remarks: "&amp;LEFT($R427,600)&amp;CHAR(10)&amp;CHAR(10)&amp;"This is an automated notification from HP Mainstream EQMS."),"✉ Open Email Draft"),"")</f>
        <v/>
      </c>
    </row>
    <row r="428">
      <c r="A428" s="25">
        <f>IF($C428="","","AUD-2026-"&amp;TEXT(ROW()-1,"000000"))</f>
        <v/>
      </c>
      <c r="B428" s="26" t="n"/>
      <c r="C428" s="27" t="n"/>
      <c r="D428" s="25">
        <f>IF($C428="","",IFERROR(IF(INDEX(Roster!$A:$A,MATCH($C428,Roster!$B:$B,0))="","",INDEX(Roster!$A:$A,MATCH($C428,Roster!$B:$B,0))&amp;""),"—"))</f>
        <v/>
      </c>
      <c r="E428" s="25">
        <f>IF($C428="","",IFERROR(IF(INDEX(Roster!$C:$C,MATCH($C428,Roster!$B:$B,0))="","",INDEX(Roster!$C:$C,MATCH($C428,Roster!$B:$B,0))&amp;""),"—"))</f>
        <v/>
      </c>
      <c r="F428" s="25">
        <f>IF($C428="","",IFERROR(IF(INDEX(Roster!$D:$D,MATCH($C428,Roster!$B:$B,0))="","",INDEX(Roster!$D:$D,MATCH($C428,Roster!$B:$B,0))&amp;""),"—"))</f>
        <v/>
      </c>
      <c r="G428" s="25">
        <f>IF($C428="","",IFERROR(IF(INDEX(Roster!$E:$E,MATCH($C428,Roster!$B:$B,0))="","",INDEX(Roster!$E:$E,MATCH($C428,Roster!$B:$B,0))&amp;""),"—"))</f>
        <v/>
      </c>
      <c r="H428" s="25">
        <f>IF($C428="","",IFERROR(IF(INDEX(Roster!$F:$F,MATCH($C428,Roster!$B:$B,0))="","",INDEX(Roster!$F:$F,MATCH($C428,Roster!$B:$B,0))&amp;""),"—"))</f>
        <v/>
      </c>
      <c r="I428" s="25">
        <f>IF($C428="","",IFERROR(IF(INDEX(Roster!$G:$G,MATCH($C428,Roster!$B:$B,0))="","",INDEX(Roster!$G:$G,MATCH($C428,Roster!$B:$B,0))&amp;""),"—"))</f>
        <v/>
      </c>
      <c r="J428" s="25">
        <f>IF($C428="","",IFERROR(IF(INDEX(Roster!$I:$I,MATCH($C428,Roster!$B:$B,0))="","",INDEX(Roster!$I:$I,MATCH($C428,Roster!$B:$B,0))&amp;""),"—"))</f>
        <v/>
      </c>
      <c r="K428">
        <f>IF($C428="","",IFERROR(IF(INDEX(Roster!$J:$J,MATCH($C428,Roster!$B:$B,0))="","",INDEX(Roster!$J:$J,MATCH($C428,Roster!$B:$B,0))&amp;""),"—"))</f>
        <v/>
      </c>
      <c r="L428">
        <f>IF($C428="","",IFERROR(IF(INDEX(Roster!$K:$K,MATCH($C428,Roster!$B:$B,0))="","",INDEX(Roster!$K:$K,MATCH($C428,Roster!$B:$B,0))&amp;""),"—"))</f>
        <v/>
      </c>
      <c r="M428" s="27" t="n"/>
      <c r="N428" s="27" t="n"/>
      <c r="O428" s="25">
        <f>IF($C428="","",IF($P428="","—",IF($P428="Valid (Pass)","Valid","Invalid")))</f>
        <v/>
      </c>
      <c r="P428" s="27" t="n"/>
      <c r="Q428" s="27" t="n"/>
      <c r="R428" s="27" t="n"/>
      <c r="S428" s="27" t="n"/>
      <c r="T428" s="25">
        <f>IF($C428="","",IF(OR(ISNUMBER(SEARCH("quick case",$P428)),ISNUMBER(SEARCH("quick case",$Q428))),"Yes","No"))</f>
        <v/>
      </c>
      <c r="U428" s="25">
        <f>IF($O428="Invalid",HYPERLINK("mailto:"&amp;$G428&amp;";"&amp;$I428&amp;"?cc="&amp;Lists!$E$2&amp;"&amp;subject="&amp;_xlfn.ENCODEURL("[INVALID] Quality audit monitoring completed for "&amp;UPPER($C428))&amp;"&amp;body="&amp;_xlfn.ENCODEURL("Hi "&amp;$F428&amp;","&amp;CHAR(10)&amp;"Good day!"&amp;CHAR(10)&amp;CHAR(10)&amp;"A quality monitoring audit has been completed for "&amp;$C428&amp;"."&amp;CHAR(10)&amp;CHAR(10)&amp;"QUALITY AUDIT DETAILS"&amp;CHAR(10)&amp;"Agent Name: "&amp;$C428&amp;" (EID "&amp;$D428&amp;")"&amp;CHAR(10)&amp;"Audit Date: "&amp;TEXT($B428,"yyyy-mm-dd")&amp;CHAR(10)&amp;"Team Leader: "&amp;$F428&amp;CHAR(10)&amp;"Case Number: "&amp;$M428&amp;CHAR(10)&amp;"Transaction ID: "&amp;$N428&amp;CHAR(10)&amp;"Channel / LOB: "&amp;$K428&amp;" / "&amp;$L428&amp;CHAR(10)&amp;"Evaluator: "&amp;$S428&amp;CHAR(10)&amp;CHAR(10)&amp;"INVALID QUALITY AUDIT DETAILS"&amp;CHAR(10)&amp;"Validation: Invalid"&amp;CHAR(10)&amp;"Invalid Reason: "&amp;$P428&amp;CHAR(10)&amp;"Expected Resolution Code: "&amp;$Q428&amp;CHAR(10)&amp;"Remarks: "&amp;LEFT($R428,600)&amp;CHAR(10)&amp;CHAR(10)&amp;"This is an automated notification from HP Mainstream EQMS."),"✉ Open Email Draft"),"")</f>
        <v/>
      </c>
    </row>
    <row r="429">
      <c r="A429" s="25">
        <f>IF($C429="","","AUD-2026-"&amp;TEXT(ROW()-1,"000000"))</f>
        <v/>
      </c>
      <c r="B429" s="26" t="n"/>
      <c r="C429" s="27" t="n"/>
      <c r="D429" s="25">
        <f>IF($C429="","",IFERROR(IF(INDEX(Roster!$A:$A,MATCH($C429,Roster!$B:$B,0))="","",INDEX(Roster!$A:$A,MATCH($C429,Roster!$B:$B,0))&amp;""),"—"))</f>
        <v/>
      </c>
      <c r="E429" s="25">
        <f>IF($C429="","",IFERROR(IF(INDEX(Roster!$C:$C,MATCH($C429,Roster!$B:$B,0))="","",INDEX(Roster!$C:$C,MATCH($C429,Roster!$B:$B,0))&amp;""),"—"))</f>
        <v/>
      </c>
      <c r="F429" s="25">
        <f>IF($C429="","",IFERROR(IF(INDEX(Roster!$D:$D,MATCH($C429,Roster!$B:$B,0))="","",INDEX(Roster!$D:$D,MATCH($C429,Roster!$B:$B,0))&amp;""),"—"))</f>
        <v/>
      </c>
      <c r="G429" s="25">
        <f>IF($C429="","",IFERROR(IF(INDEX(Roster!$E:$E,MATCH($C429,Roster!$B:$B,0))="","",INDEX(Roster!$E:$E,MATCH($C429,Roster!$B:$B,0))&amp;""),"—"))</f>
        <v/>
      </c>
      <c r="H429" s="25">
        <f>IF($C429="","",IFERROR(IF(INDEX(Roster!$F:$F,MATCH($C429,Roster!$B:$B,0))="","",INDEX(Roster!$F:$F,MATCH($C429,Roster!$B:$B,0))&amp;""),"—"))</f>
        <v/>
      </c>
      <c r="I429" s="25">
        <f>IF($C429="","",IFERROR(IF(INDEX(Roster!$G:$G,MATCH($C429,Roster!$B:$B,0))="","",INDEX(Roster!$G:$G,MATCH($C429,Roster!$B:$B,0))&amp;""),"—"))</f>
        <v/>
      </c>
      <c r="J429" s="25">
        <f>IF($C429="","",IFERROR(IF(INDEX(Roster!$I:$I,MATCH($C429,Roster!$B:$B,0))="","",INDEX(Roster!$I:$I,MATCH($C429,Roster!$B:$B,0))&amp;""),"—"))</f>
        <v/>
      </c>
      <c r="K429">
        <f>IF($C429="","",IFERROR(IF(INDEX(Roster!$J:$J,MATCH($C429,Roster!$B:$B,0))="","",INDEX(Roster!$J:$J,MATCH($C429,Roster!$B:$B,0))&amp;""),"—"))</f>
        <v/>
      </c>
      <c r="L429">
        <f>IF($C429="","",IFERROR(IF(INDEX(Roster!$K:$K,MATCH($C429,Roster!$B:$B,0))="","",INDEX(Roster!$K:$K,MATCH($C429,Roster!$B:$B,0))&amp;""),"—"))</f>
        <v/>
      </c>
      <c r="M429" s="27" t="n"/>
      <c r="N429" s="27" t="n"/>
      <c r="O429" s="25">
        <f>IF($C429="","",IF($P429="","—",IF($P429="Valid (Pass)","Valid","Invalid")))</f>
        <v/>
      </c>
      <c r="P429" s="27" t="n"/>
      <c r="Q429" s="27" t="n"/>
      <c r="R429" s="27" t="n"/>
      <c r="S429" s="27" t="n"/>
      <c r="T429" s="25">
        <f>IF($C429="","",IF(OR(ISNUMBER(SEARCH("quick case",$P429)),ISNUMBER(SEARCH("quick case",$Q429))),"Yes","No"))</f>
        <v/>
      </c>
      <c r="U429" s="25">
        <f>IF($O429="Invalid",HYPERLINK("mailto:"&amp;$G429&amp;";"&amp;$I429&amp;"?cc="&amp;Lists!$E$2&amp;"&amp;subject="&amp;_xlfn.ENCODEURL("[INVALID] Quality audit monitoring completed for "&amp;UPPER($C429))&amp;"&amp;body="&amp;_xlfn.ENCODEURL("Hi "&amp;$F429&amp;","&amp;CHAR(10)&amp;"Good day!"&amp;CHAR(10)&amp;CHAR(10)&amp;"A quality monitoring audit has been completed for "&amp;$C429&amp;"."&amp;CHAR(10)&amp;CHAR(10)&amp;"QUALITY AUDIT DETAILS"&amp;CHAR(10)&amp;"Agent Name: "&amp;$C429&amp;" (EID "&amp;$D429&amp;")"&amp;CHAR(10)&amp;"Audit Date: "&amp;TEXT($B429,"yyyy-mm-dd")&amp;CHAR(10)&amp;"Team Leader: "&amp;$F429&amp;CHAR(10)&amp;"Case Number: "&amp;$M429&amp;CHAR(10)&amp;"Transaction ID: "&amp;$N429&amp;CHAR(10)&amp;"Channel / LOB: "&amp;$K429&amp;" / "&amp;$L429&amp;CHAR(10)&amp;"Evaluator: "&amp;$S429&amp;CHAR(10)&amp;CHAR(10)&amp;"INVALID QUALITY AUDIT DETAILS"&amp;CHAR(10)&amp;"Validation: Invalid"&amp;CHAR(10)&amp;"Invalid Reason: "&amp;$P429&amp;CHAR(10)&amp;"Expected Resolution Code: "&amp;$Q429&amp;CHAR(10)&amp;"Remarks: "&amp;LEFT($R429,600)&amp;CHAR(10)&amp;CHAR(10)&amp;"This is an automated notification from HP Mainstream EQMS."),"✉ Open Email Draft"),"")</f>
        <v/>
      </c>
    </row>
    <row r="430">
      <c r="A430" s="25">
        <f>IF($C430="","","AUD-2026-"&amp;TEXT(ROW()-1,"000000"))</f>
        <v/>
      </c>
      <c r="B430" s="26" t="n"/>
      <c r="C430" s="27" t="n"/>
      <c r="D430" s="25">
        <f>IF($C430="","",IFERROR(IF(INDEX(Roster!$A:$A,MATCH($C430,Roster!$B:$B,0))="","",INDEX(Roster!$A:$A,MATCH($C430,Roster!$B:$B,0))&amp;""),"—"))</f>
        <v/>
      </c>
      <c r="E430" s="25">
        <f>IF($C430="","",IFERROR(IF(INDEX(Roster!$C:$C,MATCH($C430,Roster!$B:$B,0))="","",INDEX(Roster!$C:$C,MATCH($C430,Roster!$B:$B,0))&amp;""),"—"))</f>
        <v/>
      </c>
      <c r="F430" s="25">
        <f>IF($C430="","",IFERROR(IF(INDEX(Roster!$D:$D,MATCH($C430,Roster!$B:$B,0))="","",INDEX(Roster!$D:$D,MATCH($C430,Roster!$B:$B,0))&amp;""),"—"))</f>
        <v/>
      </c>
      <c r="G430" s="25">
        <f>IF($C430="","",IFERROR(IF(INDEX(Roster!$E:$E,MATCH($C430,Roster!$B:$B,0))="","",INDEX(Roster!$E:$E,MATCH($C430,Roster!$B:$B,0))&amp;""),"—"))</f>
        <v/>
      </c>
      <c r="H430" s="25">
        <f>IF($C430="","",IFERROR(IF(INDEX(Roster!$F:$F,MATCH($C430,Roster!$B:$B,0))="","",INDEX(Roster!$F:$F,MATCH($C430,Roster!$B:$B,0))&amp;""),"—"))</f>
        <v/>
      </c>
      <c r="I430" s="25">
        <f>IF($C430="","",IFERROR(IF(INDEX(Roster!$G:$G,MATCH($C430,Roster!$B:$B,0))="","",INDEX(Roster!$G:$G,MATCH($C430,Roster!$B:$B,0))&amp;""),"—"))</f>
        <v/>
      </c>
      <c r="J430" s="25">
        <f>IF($C430="","",IFERROR(IF(INDEX(Roster!$I:$I,MATCH($C430,Roster!$B:$B,0))="","",INDEX(Roster!$I:$I,MATCH($C430,Roster!$B:$B,0))&amp;""),"—"))</f>
        <v/>
      </c>
      <c r="K430">
        <f>IF($C430="","",IFERROR(IF(INDEX(Roster!$J:$J,MATCH($C430,Roster!$B:$B,0))="","",INDEX(Roster!$J:$J,MATCH($C430,Roster!$B:$B,0))&amp;""),"—"))</f>
        <v/>
      </c>
      <c r="L430">
        <f>IF($C430="","",IFERROR(IF(INDEX(Roster!$K:$K,MATCH($C430,Roster!$B:$B,0))="","",INDEX(Roster!$K:$K,MATCH($C430,Roster!$B:$B,0))&amp;""),"—"))</f>
        <v/>
      </c>
      <c r="M430" s="27" t="n"/>
      <c r="N430" s="27" t="n"/>
      <c r="O430" s="25">
        <f>IF($C430="","",IF($P430="","—",IF($P430="Valid (Pass)","Valid","Invalid")))</f>
        <v/>
      </c>
      <c r="P430" s="27" t="n"/>
      <c r="Q430" s="27" t="n"/>
      <c r="R430" s="27" t="n"/>
      <c r="S430" s="27" t="n"/>
      <c r="T430" s="25">
        <f>IF($C430="","",IF(OR(ISNUMBER(SEARCH("quick case",$P430)),ISNUMBER(SEARCH("quick case",$Q430))),"Yes","No"))</f>
        <v/>
      </c>
      <c r="U430" s="25">
        <f>IF($O430="Invalid",HYPERLINK("mailto:"&amp;$G430&amp;";"&amp;$I430&amp;"?cc="&amp;Lists!$E$2&amp;"&amp;subject="&amp;_xlfn.ENCODEURL("[INVALID] Quality audit monitoring completed for "&amp;UPPER($C430))&amp;"&amp;body="&amp;_xlfn.ENCODEURL("Hi "&amp;$F430&amp;","&amp;CHAR(10)&amp;"Good day!"&amp;CHAR(10)&amp;CHAR(10)&amp;"A quality monitoring audit has been completed for "&amp;$C430&amp;"."&amp;CHAR(10)&amp;CHAR(10)&amp;"QUALITY AUDIT DETAILS"&amp;CHAR(10)&amp;"Agent Name: "&amp;$C430&amp;" (EID "&amp;$D430&amp;")"&amp;CHAR(10)&amp;"Audit Date: "&amp;TEXT($B430,"yyyy-mm-dd")&amp;CHAR(10)&amp;"Team Leader: "&amp;$F430&amp;CHAR(10)&amp;"Case Number: "&amp;$M430&amp;CHAR(10)&amp;"Transaction ID: "&amp;$N430&amp;CHAR(10)&amp;"Channel / LOB: "&amp;$K430&amp;" / "&amp;$L430&amp;CHAR(10)&amp;"Evaluator: "&amp;$S430&amp;CHAR(10)&amp;CHAR(10)&amp;"INVALID QUALITY AUDIT DETAILS"&amp;CHAR(10)&amp;"Validation: Invalid"&amp;CHAR(10)&amp;"Invalid Reason: "&amp;$P430&amp;CHAR(10)&amp;"Expected Resolution Code: "&amp;$Q430&amp;CHAR(10)&amp;"Remarks: "&amp;LEFT($R430,600)&amp;CHAR(10)&amp;CHAR(10)&amp;"This is an automated notification from HP Mainstream EQMS."),"✉ Open Email Draft"),"")</f>
        <v/>
      </c>
    </row>
    <row r="431">
      <c r="A431" s="25">
        <f>IF($C431="","","AUD-2026-"&amp;TEXT(ROW()-1,"000000"))</f>
        <v/>
      </c>
      <c r="B431" s="26" t="n"/>
      <c r="C431" s="27" t="n"/>
      <c r="D431" s="25">
        <f>IF($C431="","",IFERROR(IF(INDEX(Roster!$A:$A,MATCH($C431,Roster!$B:$B,0))="","",INDEX(Roster!$A:$A,MATCH($C431,Roster!$B:$B,0))&amp;""),"—"))</f>
        <v/>
      </c>
      <c r="E431" s="25">
        <f>IF($C431="","",IFERROR(IF(INDEX(Roster!$C:$C,MATCH($C431,Roster!$B:$B,0))="","",INDEX(Roster!$C:$C,MATCH($C431,Roster!$B:$B,0))&amp;""),"—"))</f>
        <v/>
      </c>
      <c r="F431" s="25">
        <f>IF($C431="","",IFERROR(IF(INDEX(Roster!$D:$D,MATCH($C431,Roster!$B:$B,0))="","",INDEX(Roster!$D:$D,MATCH($C431,Roster!$B:$B,0))&amp;""),"—"))</f>
        <v/>
      </c>
      <c r="G431" s="25">
        <f>IF($C431="","",IFERROR(IF(INDEX(Roster!$E:$E,MATCH($C431,Roster!$B:$B,0))="","",INDEX(Roster!$E:$E,MATCH($C431,Roster!$B:$B,0))&amp;""),"—"))</f>
        <v/>
      </c>
      <c r="H431" s="25">
        <f>IF($C431="","",IFERROR(IF(INDEX(Roster!$F:$F,MATCH($C431,Roster!$B:$B,0))="","",INDEX(Roster!$F:$F,MATCH($C431,Roster!$B:$B,0))&amp;""),"—"))</f>
        <v/>
      </c>
      <c r="I431" s="25">
        <f>IF($C431="","",IFERROR(IF(INDEX(Roster!$G:$G,MATCH($C431,Roster!$B:$B,0))="","",INDEX(Roster!$G:$G,MATCH($C431,Roster!$B:$B,0))&amp;""),"—"))</f>
        <v/>
      </c>
      <c r="J431" s="25">
        <f>IF($C431="","",IFERROR(IF(INDEX(Roster!$I:$I,MATCH($C431,Roster!$B:$B,0))="","",INDEX(Roster!$I:$I,MATCH($C431,Roster!$B:$B,0))&amp;""),"—"))</f>
        <v/>
      </c>
      <c r="K431">
        <f>IF($C431="","",IFERROR(IF(INDEX(Roster!$J:$J,MATCH($C431,Roster!$B:$B,0))="","",INDEX(Roster!$J:$J,MATCH($C431,Roster!$B:$B,0))&amp;""),"—"))</f>
        <v/>
      </c>
      <c r="L431">
        <f>IF($C431="","",IFERROR(IF(INDEX(Roster!$K:$K,MATCH($C431,Roster!$B:$B,0))="","",INDEX(Roster!$K:$K,MATCH($C431,Roster!$B:$B,0))&amp;""),"—"))</f>
        <v/>
      </c>
      <c r="M431" s="27" t="n"/>
      <c r="N431" s="27" t="n"/>
      <c r="O431" s="25">
        <f>IF($C431="","",IF($P431="","—",IF($P431="Valid (Pass)","Valid","Invalid")))</f>
        <v/>
      </c>
      <c r="P431" s="27" t="n"/>
      <c r="Q431" s="27" t="n"/>
      <c r="R431" s="27" t="n"/>
      <c r="S431" s="27" t="n"/>
      <c r="T431" s="25">
        <f>IF($C431="","",IF(OR(ISNUMBER(SEARCH("quick case",$P431)),ISNUMBER(SEARCH("quick case",$Q431))),"Yes","No"))</f>
        <v/>
      </c>
      <c r="U431" s="25">
        <f>IF($O431="Invalid",HYPERLINK("mailto:"&amp;$G431&amp;";"&amp;$I431&amp;"?cc="&amp;Lists!$E$2&amp;"&amp;subject="&amp;_xlfn.ENCODEURL("[INVALID] Quality audit monitoring completed for "&amp;UPPER($C431))&amp;"&amp;body="&amp;_xlfn.ENCODEURL("Hi "&amp;$F431&amp;","&amp;CHAR(10)&amp;"Good day!"&amp;CHAR(10)&amp;CHAR(10)&amp;"A quality monitoring audit has been completed for "&amp;$C431&amp;"."&amp;CHAR(10)&amp;CHAR(10)&amp;"QUALITY AUDIT DETAILS"&amp;CHAR(10)&amp;"Agent Name: "&amp;$C431&amp;" (EID "&amp;$D431&amp;")"&amp;CHAR(10)&amp;"Audit Date: "&amp;TEXT($B431,"yyyy-mm-dd")&amp;CHAR(10)&amp;"Team Leader: "&amp;$F431&amp;CHAR(10)&amp;"Case Number: "&amp;$M431&amp;CHAR(10)&amp;"Transaction ID: "&amp;$N431&amp;CHAR(10)&amp;"Channel / LOB: "&amp;$K431&amp;" / "&amp;$L431&amp;CHAR(10)&amp;"Evaluator: "&amp;$S431&amp;CHAR(10)&amp;CHAR(10)&amp;"INVALID QUALITY AUDIT DETAILS"&amp;CHAR(10)&amp;"Validation: Invalid"&amp;CHAR(10)&amp;"Invalid Reason: "&amp;$P431&amp;CHAR(10)&amp;"Expected Resolution Code: "&amp;$Q431&amp;CHAR(10)&amp;"Remarks: "&amp;LEFT($R431,600)&amp;CHAR(10)&amp;CHAR(10)&amp;"This is an automated notification from HP Mainstream EQMS."),"✉ Open Email Draft"),"")</f>
        <v/>
      </c>
    </row>
    <row r="432">
      <c r="A432" s="25">
        <f>IF($C432="","","AUD-2026-"&amp;TEXT(ROW()-1,"000000"))</f>
        <v/>
      </c>
      <c r="B432" s="26" t="n"/>
      <c r="C432" s="27" t="n"/>
      <c r="D432" s="25">
        <f>IF($C432="","",IFERROR(IF(INDEX(Roster!$A:$A,MATCH($C432,Roster!$B:$B,0))="","",INDEX(Roster!$A:$A,MATCH($C432,Roster!$B:$B,0))&amp;""),"—"))</f>
        <v/>
      </c>
      <c r="E432" s="25">
        <f>IF($C432="","",IFERROR(IF(INDEX(Roster!$C:$C,MATCH($C432,Roster!$B:$B,0))="","",INDEX(Roster!$C:$C,MATCH($C432,Roster!$B:$B,0))&amp;""),"—"))</f>
        <v/>
      </c>
      <c r="F432" s="25">
        <f>IF($C432="","",IFERROR(IF(INDEX(Roster!$D:$D,MATCH($C432,Roster!$B:$B,0))="","",INDEX(Roster!$D:$D,MATCH($C432,Roster!$B:$B,0))&amp;""),"—"))</f>
        <v/>
      </c>
      <c r="G432" s="25">
        <f>IF($C432="","",IFERROR(IF(INDEX(Roster!$E:$E,MATCH($C432,Roster!$B:$B,0))="","",INDEX(Roster!$E:$E,MATCH($C432,Roster!$B:$B,0))&amp;""),"—"))</f>
        <v/>
      </c>
      <c r="H432" s="25">
        <f>IF($C432="","",IFERROR(IF(INDEX(Roster!$F:$F,MATCH($C432,Roster!$B:$B,0))="","",INDEX(Roster!$F:$F,MATCH($C432,Roster!$B:$B,0))&amp;""),"—"))</f>
        <v/>
      </c>
      <c r="I432" s="25">
        <f>IF($C432="","",IFERROR(IF(INDEX(Roster!$G:$G,MATCH($C432,Roster!$B:$B,0))="","",INDEX(Roster!$G:$G,MATCH($C432,Roster!$B:$B,0))&amp;""),"—"))</f>
        <v/>
      </c>
      <c r="J432" s="25">
        <f>IF($C432="","",IFERROR(IF(INDEX(Roster!$I:$I,MATCH($C432,Roster!$B:$B,0))="","",INDEX(Roster!$I:$I,MATCH($C432,Roster!$B:$B,0))&amp;""),"—"))</f>
        <v/>
      </c>
      <c r="K432">
        <f>IF($C432="","",IFERROR(IF(INDEX(Roster!$J:$J,MATCH($C432,Roster!$B:$B,0))="","",INDEX(Roster!$J:$J,MATCH($C432,Roster!$B:$B,0))&amp;""),"—"))</f>
        <v/>
      </c>
      <c r="L432">
        <f>IF($C432="","",IFERROR(IF(INDEX(Roster!$K:$K,MATCH($C432,Roster!$B:$B,0))="","",INDEX(Roster!$K:$K,MATCH($C432,Roster!$B:$B,0))&amp;""),"—"))</f>
        <v/>
      </c>
      <c r="M432" s="27" t="n"/>
      <c r="N432" s="27" t="n"/>
      <c r="O432" s="25">
        <f>IF($C432="","",IF($P432="","—",IF($P432="Valid (Pass)","Valid","Invalid")))</f>
        <v/>
      </c>
      <c r="P432" s="27" t="n"/>
      <c r="Q432" s="27" t="n"/>
      <c r="R432" s="27" t="n"/>
      <c r="S432" s="27" t="n"/>
      <c r="T432" s="25">
        <f>IF($C432="","",IF(OR(ISNUMBER(SEARCH("quick case",$P432)),ISNUMBER(SEARCH("quick case",$Q432))),"Yes","No"))</f>
        <v/>
      </c>
      <c r="U432" s="25">
        <f>IF($O432="Invalid",HYPERLINK("mailto:"&amp;$G432&amp;";"&amp;$I432&amp;"?cc="&amp;Lists!$E$2&amp;"&amp;subject="&amp;_xlfn.ENCODEURL("[INVALID] Quality audit monitoring completed for "&amp;UPPER($C432))&amp;"&amp;body="&amp;_xlfn.ENCODEURL("Hi "&amp;$F432&amp;","&amp;CHAR(10)&amp;"Good day!"&amp;CHAR(10)&amp;CHAR(10)&amp;"A quality monitoring audit has been completed for "&amp;$C432&amp;"."&amp;CHAR(10)&amp;CHAR(10)&amp;"QUALITY AUDIT DETAILS"&amp;CHAR(10)&amp;"Agent Name: "&amp;$C432&amp;" (EID "&amp;$D432&amp;")"&amp;CHAR(10)&amp;"Audit Date: "&amp;TEXT($B432,"yyyy-mm-dd")&amp;CHAR(10)&amp;"Team Leader: "&amp;$F432&amp;CHAR(10)&amp;"Case Number: "&amp;$M432&amp;CHAR(10)&amp;"Transaction ID: "&amp;$N432&amp;CHAR(10)&amp;"Channel / LOB: "&amp;$K432&amp;" / "&amp;$L432&amp;CHAR(10)&amp;"Evaluator: "&amp;$S432&amp;CHAR(10)&amp;CHAR(10)&amp;"INVALID QUALITY AUDIT DETAILS"&amp;CHAR(10)&amp;"Validation: Invalid"&amp;CHAR(10)&amp;"Invalid Reason: "&amp;$P432&amp;CHAR(10)&amp;"Expected Resolution Code: "&amp;$Q432&amp;CHAR(10)&amp;"Remarks: "&amp;LEFT($R432,600)&amp;CHAR(10)&amp;CHAR(10)&amp;"This is an automated notification from HP Mainstream EQMS."),"✉ Open Email Draft"),"")</f>
        <v/>
      </c>
    </row>
    <row r="433">
      <c r="A433" s="25">
        <f>IF($C433="","","AUD-2026-"&amp;TEXT(ROW()-1,"000000"))</f>
        <v/>
      </c>
      <c r="B433" s="26" t="n"/>
      <c r="C433" s="27" t="n"/>
      <c r="D433" s="25">
        <f>IF($C433="","",IFERROR(IF(INDEX(Roster!$A:$A,MATCH($C433,Roster!$B:$B,0))="","",INDEX(Roster!$A:$A,MATCH($C433,Roster!$B:$B,0))&amp;""),"—"))</f>
        <v/>
      </c>
      <c r="E433" s="25">
        <f>IF($C433="","",IFERROR(IF(INDEX(Roster!$C:$C,MATCH($C433,Roster!$B:$B,0))="","",INDEX(Roster!$C:$C,MATCH($C433,Roster!$B:$B,0))&amp;""),"—"))</f>
        <v/>
      </c>
      <c r="F433" s="25">
        <f>IF($C433="","",IFERROR(IF(INDEX(Roster!$D:$D,MATCH($C433,Roster!$B:$B,0))="","",INDEX(Roster!$D:$D,MATCH($C433,Roster!$B:$B,0))&amp;""),"—"))</f>
        <v/>
      </c>
      <c r="G433" s="25">
        <f>IF($C433="","",IFERROR(IF(INDEX(Roster!$E:$E,MATCH($C433,Roster!$B:$B,0))="","",INDEX(Roster!$E:$E,MATCH($C433,Roster!$B:$B,0))&amp;""),"—"))</f>
        <v/>
      </c>
      <c r="H433" s="25">
        <f>IF($C433="","",IFERROR(IF(INDEX(Roster!$F:$F,MATCH($C433,Roster!$B:$B,0))="","",INDEX(Roster!$F:$F,MATCH($C433,Roster!$B:$B,0))&amp;""),"—"))</f>
        <v/>
      </c>
      <c r="I433" s="25">
        <f>IF($C433="","",IFERROR(IF(INDEX(Roster!$G:$G,MATCH($C433,Roster!$B:$B,0))="","",INDEX(Roster!$G:$G,MATCH($C433,Roster!$B:$B,0))&amp;""),"—"))</f>
        <v/>
      </c>
      <c r="J433" s="25">
        <f>IF($C433="","",IFERROR(IF(INDEX(Roster!$I:$I,MATCH($C433,Roster!$B:$B,0))="","",INDEX(Roster!$I:$I,MATCH($C433,Roster!$B:$B,0))&amp;""),"—"))</f>
        <v/>
      </c>
      <c r="K433">
        <f>IF($C433="","",IFERROR(IF(INDEX(Roster!$J:$J,MATCH($C433,Roster!$B:$B,0))="","",INDEX(Roster!$J:$J,MATCH($C433,Roster!$B:$B,0))&amp;""),"—"))</f>
        <v/>
      </c>
      <c r="L433">
        <f>IF($C433="","",IFERROR(IF(INDEX(Roster!$K:$K,MATCH($C433,Roster!$B:$B,0))="","",INDEX(Roster!$K:$K,MATCH($C433,Roster!$B:$B,0))&amp;""),"—"))</f>
        <v/>
      </c>
      <c r="M433" s="27" t="n"/>
      <c r="N433" s="27" t="n"/>
      <c r="O433" s="25">
        <f>IF($C433="","",IF($P433="","—",IF($P433="Valid (Pass)","Valid","Invalid")))</f>
        <v/>
      </c>
      <c r="P433" s="27" t="n"/>
      <c r="Q433" s="27" t="n"/>
      <c r="R433" s="27" t="n"/>
      <c r="S433" s="27" t="n"/>
      <c r="T433" s="25">
        <f>IF($C433="","",IF(OR(ISNUMBER(SEARCH("quick case",$P433)),ISNUMBER(SEARCH("quick case",$Q433))),"Yes","No"))</f>
        <v/>
      </c>
      <c r="U433" s="25">
        <f>IF($O433="Invalid",HYPERLINK("mailto:"&amp;$G433&amp;";"&amp;$I433&amp;"?cc="&amp;Lists!$E$2&amp;"&amp;subject="&amp;_xlfn.ENCODEURL("[INVALID] Quality audit monitoring completed for "&amp;UPPER($C433))&amp;"&amp;body="&amp;_xlfn.ENCODEURL("Hi "&amp;$F433&amp;","&amp;CHAR(10)&amp;"Good day!"&amp;CHAR(10)&amp;CHAR(10)&amp;"A quality monitoring audit has been completed for "&amp;$C433&amp;"."&amp;CHAR(10)&amp;CHAR(10)&amp;"QUALITY AUDIT DETAILS"&amp;CHAR(10)&amp;"Agent Name: "&amp;$C433&amp;" (EID "&amp;$D433&amp;")"&amp;CHAR(10)&amp;"Audit Date: "&amp;TEXT($B433,"yyyy-mm-dd")&amp;CHAR(10)&amp;"Team Leader: "&amp;$F433&amp;CHAR(10)&amp;"Case Number: "&amp;$M433&amp;CHAR(10)&amp;"Transaction ID: "&amp;$N433&amp;CHAR(10)&amp;"Channel / LOB: "&amp;$K433&amp;" / "&amp;$L433&amp;CHAR(10)&amp;"Evaluator: "&amp;$S433&amp;CHAR(10)&amp;CHAR(10)&amp;"INVALID QUALITY AUDIT DETAILS"&amp;CHAR(10)&amp;"Validation: Invalid"&amp;CHAR(10)&amp;"Invalid Reason: "&amp;$P433&amp;CHAR(10)&amp;"Expected Resolution Code: "&amp;$Q433&amp;CHAR(10)&amp;"Remarks: "&amp;LEFT($R433,600)&amp;CHAR(10)&amp;CHAR(10)&amp;"This is an automated notification from HP Mainstream EQMS."),"✉ Open Email Draft"),"")</f>
        <v/>
      </c>
    </row>
    <row r="434">
      <c r="A434" s="25">
        <f>IF($C434="","","AUD-2026-"&amp;TEXT(ROW()-1,"000000"))</f>
        <v/>
      </c>
      <c r="B434" s="26" t="n"/>
      <c r="C434" s="27" t="n"/>
      <c r="D434" s="25">
        <f>IF($C434="","",IFERROR(IF(INDEX(Roster!$A:$A,MATCH($C434,Roster!$B:$B,0))="","",INDEX(Roster!$A:$A,MATCH($C434,Roster!$B:$B,0))&amp;""),"—"))</f>
        <v/>
      </c>
      <c r="E434" s="25">
        <f>IF($C434="","",IFERROR(IF(INDEX(Roster!$C:$C,MATCH($C434,Roster!$B:$B,0))="","",INDEX(Roster!$C:$C,MATCH($C434,Roster!$B:$B,0))&amp;""),"—"))</f>
        <v/>
      </c>
      <c r="F434" s="25">
        <f>IF($C434="","",IFERROR(IF(INDEX(Roster!$D:$D,MATCH($C434,Roster!$B:$B,0))="","",INDEX(Roster!$D:$D,MATCH($C434,Roster!$B:$B,0))&amp;""),"—"))</f>
        <v/>
      </c>
      <c r="G434" s="25">
        <f>IF($C434="","",IFERROR(IF(INDEX(Roster!$E:$E,MATCH($C434,Roster!$B:$B,0))="","",INDEX(Roster!$E:$E,MATCH($C434,Roster!$B:$B,0))&amp;""),"—"))</f>
        <v/>
      </c>
      <c r="H434" s="25">
        <f>IF($C434="","",IFERROR(IF(INDEX(Roster!$F:$F,MATCH($C434,Roster!$B:$B,0))="","",INDEX(Roster!$F:$F,MATCH($C434,Roster!$B:$B,0))&amp;""),"—"))</f>
        <v/>
      </c>
      <c r="I434" s="25">
        <f>IF($C434="","",IFERROR(IF(INDEX(Roster!$G:$G,MATCH($C434,Roster!$B:$B,0))="","",INDEX(Roster!$G:$G,MATCH($C434,Roster!$B:$B,0))&amp;""),"—"))</f>
        <v/>
      </c>
      <c r="J434" s="25">
        <f>IF($C434="","",IFERROR(IF(INDEX(Roster!$I:$I,MATCH($C434,Roster!$B:$B,0))="","",INDEX(Roster!$I:$I,MATCH($C434,Roster!$B:$B,0))&amp;""),"—"))</f>
        <v/>
      </c>
      <c r="K434">
        <f>IF($C434="","",IFERROR(IF(INDEX(Roster!$J:$J,MATCH($C434,Roster!$B:$B,0))="","",INDEX(Roster!$J:$J,MATCH($C434,Roster!$B:$B,0))&amp;""),"—"))</f>
        <v/>
      </c>
      <c r="L434">
        <f>IF($C434="","",IFERROR(IF(INDEX(Roster!$K:$K,MATCH($C434,Roster!$B:$B,0))="","",INDEX(Roster!$K:$K,MATCH($C434,Roster!$B:$B,0))&amp;""),"—"))</f>
        <v/>
      </c>
      <c r="M434" s="27" t="n"/>
      <c r="N434" s="27" t="n"/>
      <c r="O434" s="25">
        <f>IF($C434="","",IF($P434="","—",IF($P434="Valid (Pass)","Valid","Invalid")))</f>
        <v/>
      </c>
      <c r="P434" s="27" t="n"/>
      <c r="Q434" s="27" t="n"/>
      <c r="R434" s="27" t="n"/>
      <c r="S434" s="27" t="n"/>
      <c r="T434" s="25">
        <f>IF($C434="","",IF(OR(ISNUMBER(SEARCH("quick case",$P434)),ISNUMBER(SEARCH("quick case",$Q434))),"Yes","No"))</f>
        <v/>
      </c>
      <c r="U434" s="25">
        <f>IF($O434="Invalid",HYPERLINK("mailto:"&amp;$G434&amp;";"&amp;$I434&amp;"?cc="&amp;Lists!$E$2&amp;"&amp;subject="&amp;_xlfn.ENCODEURL("[INVALID] Quality audit monitoring completed for "&amp;UPPER($C434))&amp;"&amp;body="&amp;_xlfn.ENCODEURL("Hi "&amp;$F434&amp;","&amp;CHAR(10)&amp;"Good day!"&amp;CHAR(10)&amp;CHAR(10)&amp;"A quality monitoring audit has been completed for "&amp;$C434&amp;"."&amp;CHAR(10)&amp;CHAR(10)&amp;"QUALITY AUDIT DETAILS"&amp;CHAR(10)&amp;"Agent Name: "&amp;$C434&amp;" (EID "&amp;$D434&amp;")"&amp;CHAR(10)&amp;"Audit Date: "&amp;TEXT($B434,"yyyy-mm-dd")&amp;CHAR(10)&amp;"Team Leader: "&amp;$F434&amp;CHAR(10)&amp;"Case Number: "&amp;$M434&amp;CHAR(10)&amp;"Transaction ID: "&amp;$N434&amp;CHAR(10)&amp;"Channel / LOB: "&amp;$K434&amp;" / "&amp;$L434&amp;CHAR(10)&amp;"Evaluator: "&amp;$S434&amp;CHAR(10)&amp;CHAR(10)&amp;"INVALID QUALITY AUDIT DETAILS"&amp;CHAR(10)&amp;"Validation: Invalid"&amp;CHAR(10)&amp;"Invalid Reason: "&amp;$P434&amp;CHAR(10)&amp;"Expected Resolution Code: "&amp;$Q434&amp;CHAR(10)&amp;"Remarks: "&amp;LEFT($R434,600)&amp;CHAR(10)&amp;CHAR(10)&amp;"This is an automated notification from HP Mainstream EQMS."),"✉ Open Email Draft"),"")</f>
        <v/>
      </c>
    </row>
    <row r="435">
      <c r="A435" s="25">
        <f>IF($C435="","","AUD-2026-"&amp;TEXT(ROW()-1,"000000"))</f>
        <v/>
      </c>
      <c r="B435" s="26" t="n"/>
      <c r="C435" s="27" t="n"/>
      <c r="D435" s="25">
        <f>IF($C435="","",IFERROR(IF(INDEX(Roster!$A:$A,MATCH($C435,Roster!$B:$B,0))="","",INDEX(Roster!$A:$A,MATCH($C435,Roster!$B:$B,0))&amp;""),"—"))</f>
        <v/>
      </c>
      <c r="E435" s="25">
        <f>IF($C435="","",IFERROR(IF(INDEX(Roster!$C:$C,MATCH($C435,Roster!$B:$B,0))="","",INDEX(Roster!$C:$C,MATCH($C435,Roster!$B:$B,0))&amp;""),"—"))</f>
        <v/>
      </c>
      <c r="F435" s="25">
        <f>IF($C435="","",IFERROR(IF(INDEX(Roster!$D:$D,MATCH($C435,Roster!$B:$B,0))="","",INDEX(Roster!$D:$D,MATCH($C435,Roster!$B:$B,0))&amp;""),"—"))</f>
        <v/>
      </c>
      <c r="G435" s="25">
        <f>IF($C435="","",IFERROR(IF(INDEX(Roster!$E:$E,MATCH($C435,Roster!$B:$B,0))="","",INDEX(Roster!$E:$E,MATCH($C435,Roster!$B:$B,0))&amp;""),"—"))</f>
        <v/>
      </c>
      <c r="H435" s="25">
        <f>IF($C435="","",IFERROR(IF(INDEX(Roster!$F:$F,MATCH($C435,Roster!$B:$B,0))="","",INDEX(Roster!$F:$F,MATCH($C435,Roster!$B:$B,0))&amp;""),"—"))</f>
        <v/>
      </c>
      <c r="I435" s="25">
        <f>IF($C435="","",IFERROR(IF(INDEX(Roster!$G:$G,MATCH($C435,Roster!$B:$B,0))="","",INDEX(Roster!$G:$G,MATCH($C435,Roster!$B:$B,0))&amp;""),"—"))</f>
        <v/>
      </c>
      <c r="J435" s="25">
        <f>IF($C435="","",IFERROR(IF(INDEX(Roster!$I:$I,MATCH($C435,Roster!$B:$B,0))="","",INDEX(Roster!$I:$I,MATCH($C435,Roster!$B:$B,0))&amp;""),"—"))</f>
        <v/>
      </c>
      <c r="K435">
        <f>IF($C435="","",IFERROR(IF(INDEX(Roster!$J:$J,MATCH($C435,Roster!$B:$B,0))="","",INDEX(Roster!$J:$J,MATCH($C435,Roster!$B:$B,0))&amp;""),"—"))</f>
        <v/>
      </c>
      <c r="L435">
        <f>IF($C435="","",IFERROR(IF(INDEX(Roster!$K:$K,MATCH($C435,Roster!$B:$B,0))="","",INDEX(Roster!$K:$K,MATCH($C435,Roster!$B:$B,0))&amp;""),"—"))</f>
        <v/>
      </c>
      <c r="M435" s="27" t="n"/>
      <c r="N435" s="27" t="n"/>
      <c r="O435" s="25">
        <f>IF($C435="","",IF($P435="","—",IF($P435="Valid (Pass)","Valid","Invalid")))</f>
        <v/>
      </c>
      <c r="P435" s="27" t="n"/>
      <c r="Q435" s="27" t="n"/>
      <c r="R435" s="27" t="n"/>
      <c r="S435" s="27" t="n"/>
      <c r="T435" s="25">
        <f>IF($C435="","",IF(OR(ISNUMBER(SEARCH("quick case",$P435)),ISNUMBER(SEARCH("quick case",$Q435))),"Yes","No"))</f>
        <v/>
      </c>
      <c r="U435" s="25">
        <f>IF($O435="Invalid",HYPERLINK("mailto:"&amp;$G435&amp;";"&amp;$I435&amp;"?cc="&amp;Lists!$E$2&amp;"&amp;subject="&amp;_xlfn.ENCODEURL("[INVALID] Quality audit monitoring completed for "&amp;UPPER($C435))&amp;"&amp;body="&amp;_xlfn.ENCODEURL("Hi "&amp;$F435&amp;","&amp;CHAR(10)&amp;"Good day!"&amp;CHAR(10)&amp;CHAR(10)&amp;"A quality monitoring audit has been completed for "&amp;$C435&amp;"."&amp;CHAR(10)&amp;CHAR(10)&amp;"QUALITY AUDIT DETAILS"&amp;CHAR(10)&amp;"Agent Name: "&amp;$C435&amp;" (EID "&amp;$D435&amp;")"&amp;CHAR(10)&amp;"Audit Date: "&amp;TEXT($B435,"yyyy-mm-dd")&amp;CHAR(10)&amp;"Team Leader: "&amp;$F435&amp;CHAR(10)&amp;"Case Number: "&amp;$M435&amp;CHAR(10)&amp;"Transaction ID: "&amp;$N435&amp;CHAR(10)&amp;"Channel / LOB: "&amp;$K435&amp;" / "&amp;$L435&amp;CHAR(10)&amp;"Evaluator: "&amp;$S435&amp;CHAR(10)&amp;CHAR(10)&amp;"INVALID QUALITY AUDIT DETAILS"&amp;CHAR(10)&amp;"Validation: Invalid"&amp;CHAR(10)&amp;"Invalid Reason: "&amp;$P435&amp;CHAR(10)&amp;"Expected Resolution Code: "&amp;$Q435&amp;CHAR(10)&amp;"Remarks: "&amp;LEFT($R435,600)&amp;CHAR(10)&amp;CHAR(10)&amp;"This is an automated notification from HP Mainstream EQMS."),"✉ Open Email Draft"),"")</f>
        <v/>
      </c>
    </row>
    <row r="436">
      <c r="A436" s="25">
        <f>IF($C436="","","AUD-2026-"&amp;TEXT(ROW()-1,"000000"))</f>
        <v/>
      </c>
      <c r="B436" s="26" t="n"/>
      <c r="C436" s="27" t="n"/>
      <c r="D436" s="25">
        <f>IF($C436="","",IFERROR(IF(INDEX(Roster!$A:$A,MATCH($C436,Roster!$B:$B,0))="","",INDEX(Roster!$A:$A,MATCH($C436,Roster!$B:$B,0))&amp;""),"—"))</f>
        <v/>
      </c>
      <c r="E436" s="25">
        <f>IF($C436="","",IFERROR(IF(INDEX(Roster!$C:$C,MATCH($C436,Roster!$B:$B,0))="","",INDEX(Roster!$C:$C,MATCH($C436,Roster!$B:$B,0))&amp;""),"—"))</f>
        <v/>
      </c>
      <c r="F436" s="25">
        <f>IF($C436="","",IFERROR(IF(INDEX(Roster!$D:$D,MATCH($C436,Roster!$B:$B,0))="","",INDEX(Roster!$D:$D,MATCH($C436,Roster!$B:$B,0))&amp;""),"—"))</f>
        <v/>
      </c>
      <c r="G436" s="25">
        <f>IF($C436="","",IFERROR(IF(INDEX(Roster!$E:$E,MATCH($C436,Roster!$B:$B,0))="","",INDEX(Roster!$E:$E,MATCH($C436,Roster!$B:$B,0))&amp;""),"—"))</f>
        <v/>
      </c>
      <c r="H436" s="25">
        <f>IF($C436="","",IFERROR(IF(INDEX(Roster!$F:$F,MATCH($C436,Roster!$B:$B,0))="","",INDEX(Roster!$F:$F,MATCH($C436,Roster!$B:$B,0))&amp;""),"—"))</f>
        <v/>
      </c>
      <c r="I436" s="25">
        <f>IF($C436="","",IFERROR(IF(INDEX(Roster!$G:$G,MATCH($C436,Roster!$B:$B,0))="","",INDEX(Roster!$G:$G,MATCH($C436,Roster!$B:$B,0))&amp;""),"—"))</f>
        <v/>
      </c>
      <c r="J436" s="25">
        <f>IF($C436="","",IFERROR(IF(INDEX(Roster!$I:$I,MATCH($C436,Roster!$B:$B,0))="","",INDEX(Roster!$I:$I,MATCH($C436,Roster!$B:$B,0))&amp;""),"—"))</f>
        <v/>
      </c>
      <c r="K436">
        <f>IF($C436="","",IFERROR(IF(INDEX(Roster!$J:$J,MATCH($C436,Roster!$B:$B,0))="","",INDEX(Roster!$J:$J,MATCH($C436,Roster!$B:$B,0))&amp;""),"—"))</f>
        <v/>
      </c>
      <c r="L436">
        <f>IF($C436="","",IFERROR(IF(INDEX(Roster!$K:$K,MATCH($C436,Roster!$B:$B,0))="","",INDEX(Roster!$K:$K,MATCH($C436,Roster!$B:$B,0))&amp;""),"—"))</f>
        <v/>
      </c>
      <c r="M436" s="27" t="n"/>
      <c r="N436" s="27" t="n"/>
      <c r="O436" s="25">
        <f>IF($C436="","",IF($P436="","—",IF($P436="Valid (Pass)","Valid","Invalid")))</f>
        <v/>
      </c>
      <c r="P436" s="27" t="n"/>
      <c r="Q436" s="27" t="n"/>
      <c r="R436" s="27" t="n"/>
      <c r="S436" s="27" t="n"/>
      <c r="T436" s="25">
        <f>IF($C436="","",IF(OR(ISNUMBER(SEARCH("quick case",$P436)),ISNUMBER(SEARCH("quick case",$Q436))),"Yes","No"))</f>
        <v/>
      </c>
      <c r="U436" s="25">
        <f>IF($O436="Invalid",HYPERLINK("mailto:"&amp;$G436&amp;";"&amp;$I436&amp;"?cc="&amp;Lists!$E$2&amp;"&amp;subject="&amp;_xlfn.ENCODEURL("[INVALID] Quality audit monitoring completed for "&amp;UPPER($C436))&amp;"&amp;body="&amp;_xlfn.ENCODEURL("Hi "&amp;$F436&amp;","&amp;CHAR(10)&amp;"Good day!"&amp;CHAR(10)&amp;CHAR(10)&amp;"A quality monitoring audit has been completed for "&amp;$C436&amp;"."&amp;CHAR(10)&amp;CHAR(10)&amp;"QUALITY AUDIT DETAILS"&amp;CHAR(10)&amp;"Agent Name: "&amp;$C436&amp;" (EID "&amp;$D436&amp;")"&amp;CHAR(10)&amp;"Audit Date: "&amp;TEXT($B436,"yyyy-mm-dd")&amp;CHAR(10)&amp;"Team Leader: "&amp;$F436&amp;CHAR(10)&amp;"Case Number: "&amp;$M436&amp;CHAR(10)&amp;"Transaction ID: "&amp;$N436&amp;CHAR(10)&amp;"Channel / LOB: "&amp;$K436&amp;" / "&amp;$L436&amp;CHAR(10)&amp;"Evaluator: "&amp;$S436&amp;CHAR(10)&amp;CHAR(10)&amp;"INVALID QUALITY AUDIT DETAILS"&amp;CHAR(10)&amp;"Validation: Invalid"&amp;CHAR(10)&amp;"Invalid Reason: "&amp;$P436&amp;CHAR(10)&amp;"Expected Resolution Code: "&amp;$Q436&amp;CHAR(10)&amp;"Remarks: "&amp;LEFT($R436,600)&amp;CHAR(10)&amp;CHAR(10)&amp;"This is an automated notification from HP Mainstream EQMS."),"✉ Open Email Draft"),"")</f>
        <v/>
      </c>
    </row>
    <row r="437">
      <c r="A437" s="25">
        <f>IF($C437="","","AUD-2026-"&amp;TEXT(ROW()-1,"000000"))</f>
        <v/>
      </c>
      <c r="B437" s="26" t="n"/>
      <c r="C437" s="27" t="n"/>
      <c r="D437" s="25">
        <f>IF($C437="","",IFERROR(IF(INDEX(Roster!$A:$A,MATCH($C437,Roster!$B:$B,0))="","",INDEX(Roster!$A:$A,MATCH($C437,Roster!$B:$B,0))&amp;""),"—"))</f>
        <v/>
      </c>
      <c r="E437" s="25">
        <f>IF($C437="","",IFERROR(IF(INDEX(Roster!$C:$C,MATCH($C437,Roster!$B:$B,0))="","",INDEX(Roster!$C:$C,MATCH($C437,Roster!$B:$B,0))&amp;""),"—"))</f>
        <v/>
      </c>
      <c r="F437" s="25">
        <f>IF($C437="","",IFERROR(IF(INDEX(Roster!$D:$D,MATCH($C437,Roster!$B:$B,0))="","",INDEX(Roster!$D:$D,MATCH($C437,Roster!$B:$B,0))&amp;""),"—"))</f>
        <v/>
      </c>
      <c r="G437" s="25">
        <f>IF($C437="","",IFERROR(IF(INDEX(Roster!$E:$E,MATCH($C437,Roster!$B:$B,0))="","",INDEX(Roster!$E:$E,MATCH($C437,Roster!$B:$B,0))&amp;""),"—"))</f>
        <v/>
      </c>
      <c r="H437" s="25">
        <f>IF($C437="","",IFERROR(IF(INDEX(Roster!$F:$F,MATCH($C437,Roster!$B:$B,0))="","",INDEX(Roster!$F:$F,MATCH($C437,Roster!$B:$B,0))&amp;""),"—"))</f>
        <v/>
      </c>
      <c r="I437" s="25">
        <f>IF($C437="","",IFERROR(IF(INDEX(Roster!$G:$G,MATCH($C437,Roster!$B:$B,0))="","",INDEX(Roster!$G:$G,MATCH($C437,Roster!$B:$B,0))&amp;""),"—"))</f>
        <v/>
      </c>
      <c r="J437" s="25">
        <f>IF($C437="","",IFERROR(IF(INDEX(Roster!$I:$I,MATCH($C437,Roster!$B:$B,0))="","",INDEX(Roster!$I:$I,MATCH($C437,Roster!$B:$B,0))&amp;""),"—"))</f>
        <v/>
      </c>
      <c r="K437">
        <f>IF($C437="","",IFERROR(IF(INDEX(Roster!$J:$J,MATCH($C437,Roster!$B:$B,0))="","",INDEX(Roster!$J:$J,MATCH($C437,Roster!$B:$B,0))&amp;""),"—"))</f>
        <v/>
      </c>
      <c r="L437">
        <f>IF($C437="","",IFERROR(IF(INDEX(Roster!$K:$K,MATCH($C437,Roster!$B:$B,0))="","",INDEX(Roster!$K:$K,MATCH($C437,Roster!$B:$B,0))&amp;""),"—"))</f>
        <v/>
      </c>
      <c r="M437" s="27" t="n"/>
      <c r="N437" s="27" t="n"/>
      <c r="O437" s="25">
        <f>IF($C437="","",IF($P437="","—",IF($P437="Valid (Pass)","Valid","Invalid")))</f>
        <v/>
      </c>
      <c r="P437" s="27" t="n"/>
      <c r="Q437" s="27" t="n"/>
      <c r="R437" s="27" t="n"/>
      <c r="S437" s="27" t="n"/>
      <c r="T437" s="25">
        <f>IF($C437="","",IF(OR(ISNUMBER(SEARCH("quick case",$P437)),ISNUMBER(SEARCH("quick case",$Q437))),"Yes","No"))</f>
        <v/>
      </c>
      <c r="U437" s="25">
        <f>IF($O437="Invalid",HYPERLINK("mailto:"&amp;$G437&amp;";"&amp;$I437&amp;"?cc="&amp;Lists!$E$2&amp;"&amp;subject="&amp;_xlfn.ENCODEURL("[INVALID] Quality audit monitoring completed for "&amp;UPPER($C437))&amp;"&amp;body="&amp;_xlfn.ENCODEURL("Hi "&amp;$F437&amp;","&amp;CHAR(10)&amp;"Good day!"&amp;CHAR(10)&amp;CHAR(10)&amp;"A quality monitoring audit has been completed for "&amp;$C437&amp;"."&amp;CHAR(10)&amp;CHAR(10)&amp;"QUALITY AUDIT DETAILS"&amp;CHAR(10)&amp;"Agent Name: "&amp;$C437&amp;" (EID "&amp;$D437&amp;")"&amp;CHAR(10)&amp;"Audit Date: "&amp;TEXT($B437,"yyyy-mm-dd")&amp;CHAR(10)&amp;"Team Leader: "&amp;$F437&amp;CHAR(10)&amp;"Case Number: "&amp;$M437&amp;CHAR(10)&amp;"Transaction ID: "&amp;$N437&amp;CHAR(10)&amp;"Channel / LOB: "&amp;$K437&amp;" / "&amp;$L437&amp;CHAR(10)&amp;"Evaluator: "&amp;$S437&amp;CHAR(10)&amp;CHAR(10)&amp;"INVALID QUALITY AUDIT DETAILS"&amp;CHAR(10)&amp;"Validation: Invalid"&amp;CHAR(10)&amp;"Invalid Reason: "&amp;$P437&amp;CHAR(10)&amp;"Expected Resolution Code: "&amp;$Q437&amp;CHAR(10)&amp;"Remarks: "&amp;LEFT($R437,600)&amp;CHAR(10)&amp;CHAR(10)&amp;"This is an automated notification from HP Mainstream EQMS."),"✉ Open Email Draft"),"")</f>
        <v/>
      </c>
    </row>
    <row r="438">
      <c r="A438" s="25">
        <f>IF($C438="","","AUD-2026-"&amp;TEXT(ROW()-1,"000000"))</f>
        <v/>
      </c>
      <c r="B438" s="26" t="n"/>
      <c r="C438" s="27" t="n"/>
      <c r="D438" s="25">
        <f>IF($C438="","",IFERROR(IF(INDEX(Roster!$A:$A,MATCH($C438,Roster!$B:$B,0))="","",INDEX(Roster!$A:$A,MATCH($C438,Roster!$B:$B,0))&amp;""),"—"))</f>
        <v/>
      </c>
      <c r="E438" s="25">
        <f>IF($C438="","",IFERROR(IF(INDEX(Roster!$C:$C,MATCH($C438,Roster!$B:$B,0))="","",INDEX(Roster!$C:$C,MATCH($C438,Roster!$B:$B,0))&amp;""),"—"))</f>
        <v/>
      </c>
      <c r="F438" s="25">
        <f>IF($C438="","",IFERROR(IF(INDEX(Roster!$D:$D,MATCH($C438,Roster!$B:$B,0))="","",INDEX(Roster!$D:$D,MATCH($C438,Roster!$B:$B,0))&amp;""),"—"))</f>
        <v/>
      </c>
      <c r="G438" s="25">
        <f>IF($C438="","",IFERROR(IF(INDEX(Roster!$E:$E,MATCH($C438,Roster!$B:$B,0))="","",INDEX(Roster!$E:$E,MATCH($C438,Roster!$B:$B,0))&amp;""),"—"))</f>
        <v/>
      </c>
      <c r="H438" s="25">
        <f>IF($C438="","",IFERROR(IF(INDEX(Roster!$F:$F,MATCH($C438,Roster!$B:$B,0))="","",INDEX(Roster!$F:$F,MATCH($C438,Roster!$B:$B,0))&amp;""),"—"))</f>
        <v/>
      </c>
      <c r="I438" s="25">
        <f>IF($C438="","",IFERROR(IF(INDEX(Roster!$G:$G,MATCH($C438,Roster!$B:$B,0))="","",INDEX(Roster!$G:$G,MATCH($C438,Roster!$B:$B,0))&amp;""),"—"))</f>
        <v/>
      </c>
      <c r="J438" s="25">
        <f>IF($C438="","",IFERROR(IF(INDEX(Roster!$I:$I,MATCH($C438,Roster!$B:$B,0))="","",INDEX(Roster!$I:$I,MATCH($C438,Roster!$B:$B,0))&amp;""),"—"))</f>
        <v/>
      </c>
      <c r="K438">
        <f>IF($C438="","",IFERROR(IF(INDEX(Roster!$J:$J,MATCH($C438,Roster!$B:$B,0))="","",INDEX(Roster!$J:$J,MATCH($C438,Roster!$B:$B,0))&amp;""),"—"))</f>
        <v/>
      </c>
      <c r="L438">
        <f>IF($C438="","",IFERROR(IF(INDEX(Roster!$K:$K,MATCH($C438,Roster!$B:$B,0))="","",INDEX(Roster!$K:$K,MATCH($C438,Roster!$B:$B,0))&amp;""),"—"))</f>
        <v/>
      </c>
      <c r="M438" s="27" t="n"/>
      <c r="N438" s="27" t="n"/>
      <c r="O438" s="25">
        <f>IF($C438="","",IF($P438="","—",IF($P438="Valid (Pass)","Valid","Invalid")))</f>
        <v/>
      </c>
      <c r="P438" s="27" t="n"/>
      <c r="Q438" s="27" t="n"/>
      <c r="R438" s="27" t="n"/>
      <c r="S438" s="27" t="n"/>
      <c r="T438" s="25">
        <f>IF($C438="","",IF(OR(ISNUMBER(SEARCH("quick case",$P438)),ISNUMBER(SEARCH("quick case",$Q438))),"Yes","No"))</f>
        <v/>
      </c>
      <c r="U438" s="25">
        <f>IF($O438="Invalid",HYPERLINK("mailto:"&amp;$G438&amp;";"&amp;$I438&amp;"?cc="&amp;Lists!$E$2&amp;"&amp;subject="&amp;_xlfn.ENCODEURL("[INVALID] Quality audit monitoring completed for "&amp;UPPER($C438))&amp;"&amp;body="&amp;_xlfn.ENCODEURL("Hi "&amp;$F438&amp;","&amp;CHAR(10)&amp;"Good day!"&amp;CHAR(10)&amp;CHAR(10)&amp;"A quality monitoring audit has been completed for "&amp;$C438&amp;"."&amp;CHAR(10)&amp;CHAR(10)&amp;"QUALITY AUDIT DETAILS"&amp;CHAR(10)&amp;"Agent Name: "&amp;$C438&amp;" (EID "&amp;$D438&amp;")"&amp;CHAR(10)&amp;"Audit Date: "&amp;TEXT($B438,"yyyy-mm-dd")&amp;CHAR(10)&amp;"Team Leader: "&amp;$F438&amp;CHAR(10)&amp;"Case Number: "&amp;$M438&amp;CHAR(10)&amp;"Transaction ID: "&amp;$N438&amp;CHAR(10)&amp;"Channel / LOB: "&amp;$K438&amp;" / "&amp;$L438&amp;CHAR(10)&amp;"Evaluator: "&amp;$S438&amp;CHAR(10)&amp;CHAR(10)&amp;"INVALID QUALITY AUDIT DETAILS"&amp;CHAR(10)&amp;"Validation: Invalid"&amp;CHAR(10)&amp;"Invalid Reason: "&amp;$P438&amp;CHAR(10)&amp;"Expected Resolution Code: "&amp;$Q438&amp;CHAR(10)&amp;"Remarks: "&amp;LEFT($R438,600)&amp;CHAR(10)&amp;CHAR(10)&amp;"This is an automated notification from HP Mainstream EQMS."),"✉ Open Email Draft"),"")</f>
        <v/>
      </c>
    </row>
    <row r="439">
      <c r="A439" s="25">
        <f>IF($C439="","","AUD-2026-"&amp;TEXT(ROW()-1,"000000"))</f>
        <v/>
      </c>
      <c r="B439" s="26" t="n"/>
      <c r="C439" s="27" t="n"/>
      <c r="D439" s="25">
        <f>IF($C439="","",IFERROR(IF(INDEX(Roster!$A:$A,MATCH($C439,Roster!$B:$B,0))="","",INDEX(Roster!$A:$A,MATCH($C439,Roster!$B:$B,0))&amp;""),"—"))</f>
        <v/>
      </c>
      <c r="E439" s="25">
        <f>IF($C439="","",IFERROR(IF(INDEX(Roster!$C:$C,MATCH($C439,Roster!$B:$B,0))="","",INDEX(Roster!$C:$C,MATCH($C439,Roster!$B:$B,0))&amp;""),"—"))</f>
        <v/>
      </c>
      <c r="F439" s="25">
        <f>IF($C439="","",IFERROR(IF(INDEX(Roster!$D:$D,MATCH($C439,Roster!$B:$B,0))="","",INDEX(Roster!$D:$D,MATCH($C439,Roster!$B:$B,0))&amp;""),"—"))</f>
        <v/>
      </c>
      <c r="G439" s="25">
        <f>IF($C439="","",IFERROR(IF(INDEX(Roster!$E:$E,MATCH($C439,Roster!$B:$B,0))="","",INDEX(Roster!$E:$E,MATCH($C439,Roster!$B:$B,0))&amp;""),"—"))</f>
        <v/>
      </c>
      <c r="H439" s="25">
        <f>IF($C439="","",IFERROR(IF(INDEX(Roster!$F:$F,MATCH($C439,Roster!$B:$B,0))="","",INDEX(Roster!$F:$F,MATCH($C439,Roster!$B:$B,0))&amp;""),"—"))</f>
        <v/>
      </c>
      <c r="I439" s="25">
        <f>IF($C439="","",IFERROR(IF(INDEX(Roster!$G:$G,MATCH($C439,Roster!$B:$B,0))="","",INDEX(Roster!$G:$G,MATCH($C439,Roster!$B:$B,0))&amp;""),"—"))</f>
        <v/>
      </c>
      <c r="J439" s="25">
        <f>IF($C439="","",IFERROR(IF(INDEX(Roster!$I:$I,MATCH($C439,Roster!$B:$B,0))="","",INDEX(Roster!$I:$I,MATCH($C439,Roster!$B:$B,0))&amp;""),"—"))</f>
        <v/>
      </c>
      <c r="K439">
        <f>IF($C439="","",IFERROR(IF(INDEX(Roster!$J:$J,MATCH($C439,Roster!$B:$B,0))="","",INDEX(Roster!$J:$J,MATCH($C439,Roster!$B:$B,0))&amp;""),"—"))</f>
        <v/>
      </c>
      <c r="L439">
        <f>IF($C439="","",IFERROR(IF(INDEX(Roster!$K:$K,MATCH($C439,Roster!$B:$B,0))="","",INDEX(Roster!$K:$K,MATCH($C439,Roster!$B:$B,0))&amp;""),"—"))</f>
        <v/>
      </c>
      <c r="M439" s="27" t="n"/>
      <c r="N439" s="27" t="n"/>
      <c r="O439" s="25">
        <f>IF($C439="","",IF($P439="","—",IF($P439="Valid (Pass)","Valid","Invalid")))</f>
        <v/>
      </c>
      <c r="P439" s="27" t="n"/>
      <c r="Q439" s="27" t="n"/>
      <c r="R439" s="27" t="n"/>
      <c r="S439" s="27" t="n"/>
      <c r="T439" s="25">
        <f>IF($C439="","",IF(OR(ISNUMBER(SEARCH("quick case",$P439)),ISNUMBER(SEARCH("quick case",$Q439))),"Yes","No"))</f>
        <v/>
      </c>
      <c r="U439" s="25">
        <f>IF($O439="Invalid",HYPERLINK("mailto:"&amp;$G439&amp;";"&amp;$I439&amp;"?cc="&amp;Lists!$E$2&amp;"&amp;subject="&amp;_xlfn.ENCODEURL("[INVALID] Quality audit monitoring completed for "&amp;UPPER($C439))&amp;"&amp;body="&amp;_xlfn.ENCODEURL("Hi "&amp;$F439&amp;","&amp;CHAR(10)&amp;"Good day!"&amp;CHAR(10)&amp;CHAR(10)&amp;"A quality monitoring audit has been completed for "&amp;$C439&amp;"."&amp;CHAR(10)&amp;CHAR(10)&amp;"QUALITY AUDIT DETAILS"&amp;CHAR(10)&amp;"Agent Name: "&amp;$C439&amp;" (EID "&amp;$D439&amp;")"&amp;CHAR(10)&amp;"Audit Date: "&amp;TEXT($B439,"yyyy-mm-dd")&amp;CHAR(10)&amp;"Team Leader: "&amp;$F439&amp;CHAR(10)&amp;"Case Number: "&amp;$M439&amp;CHAR(10)&amp;"Transaction ID: "&amp;$N439&amp;CHAR(10)&amp;"Channel / LOB: "&amp;$K439&amp;" / "&amp;$L439&amp;CHAR(10)&amp;"Evaluator: "&amp;$S439&amp;CHAR(10)&amp;CHAR(10)&amp;"INVALID QUALITY AUDIT DETAILS"&amp;CHAR(10)&amp;"Validation: Invalid"&amp;CHAR(10)&amp;"Invalid Reason: "&amp;$P439&amp;CHAR(10)&amp;"Expected Resolution Code: "&amp;$Q439&amp;CHAR(10)&amp;"Remarks: "&amp;LEFT($R439,600)&amp;CHAR(10)&amp;CHAR(10)&amp;"This is an automated notification from HP Mainstream EQMS."),"✉ Open Email Draft"),"")</f>
        <v/>
      </c>
    </row>
    <row r="440">
      <c r="A440" s="25">
        <f>IF($C440="","","AUD-2026-"&amp;TEXT(ROW()-1,"000000"))</f>
        <v/>
      </c>
      <c r="B440" s="26" t="n"/>
      <c r="C440" s="27" t="n"/>
      <c r="D440" s="25">
        <f>IF($C440="","",IFERROR(IF(INDEX(Roster!$A:$A,MATCH($C440,Roster!$B:$B,0))="","",INDEX(Roster!$A:$A,MATCH($C440,Roster!$B:$B,0))&amp;""),"—"))</f>
        <v/>
      </c>
      <c r="E440" s="25">
        <f>IF($C440="","",IFERROR(IF(INDEX(Roster!$C:$C,MATCH($C440,Roster!$B:$B,0))="","",INDEX(Roster!$C:$C,MATCH($C440,Roster!$B:$B,0))&amp;""),"—"))</f>
        <v/>
      </c>
      <c r="F440" s="25">
        <f>IF($C440="","",IFERROR(IF(INDEX(Roster!$D:$D,MATCH($C440,Roster!$B:$B,0))="","",INDEX(Roster!$D:$D,MATCH($C440,Roster!$B:$B,0))&amp;""),"—"))</f>
        <v/>
      </c>
      <c r="G440" s="25">
        <f>IF($C440="","",IFERROR(IF(INDEX(Roster!$E:$E,MATCH($C440,Roster!$B:$B,0))="","",INDEX(Roster!$E:$E,MATCH($C440,Roster!$B:$B,0))&amp;""),"—"))</f>
        <v/>
      </c>
      <c r="H440" s="25">
        <f>IF($C440="","",IFERROR(IF(INDEX(Roster!$F:$F,MATCH($C440,Roster!$B:$B,0))="","",INDEX(Roster!$F:$F,MATCH($C440,Roster!$B:$B,0))&amp;""),"—"))</f>
        <v/>
      </c>
      <c r="I440" s="25">
        <f>IF($C440="","",IFERROR(IF(INDEX(Roster!$G:$G,MATCH($C440,Roster!$B:$B,0))="","",INDEX(Roster!$G:$G,MATCH($C440,Roster!$B:$B,0))&amp;""),"—"))</f>
        <v/>
      </c>
      <c r="J440" s="25">
        <f>IF($C440="","",IFERROR(IF(INDEX(Roster!$I:$I,MATCH($C440,Roster!$B:$B,0))="","",INDEX(Roster!$I:$I,MATCH($C440,Roster!$B:$B,0))&amp;""),"—"))</f>
        <v/>
      </c>
      <c r="K440">
        <f>IF($C440="","",IFERROR(IF(INDEX(Roster!$J:$J,MATCH($C440,Roster!$B:$B,0))="","",INDEX(Roster!$J:$J,MATCH($C440,Roster!$B:$B,0))&amp;""),"—"))</f>
        <v/>
      </c>
      <c r="L440">
        <f>IF($C440="","",IFERROR(IF(INDEX(Roster!$K:$K,MATCH($C440,Roster!$B:$B,0))="","",INDEX(Roster!$K:$K,MATCH($C440,Roster!$B:$B,0))&amp;""),"—"))</f>
        <v/>
      </c>
      <c r="M440" s="27" t="n"/>
      <c r="N440" s="27" t="n"/>
      <c r="O440" s="25">
        <f>IF($C440="","",IF($P440="","—",IF($P440="Valid (Pass)","Valid","Invalid")))</f>
        <v/>
      </c>
      <c r="P440" s="27" t="n"/>
      <c r="Q440" s="27" t="n"/>
      <c r="R440" s="27" t="n"/>
      <c r="S440" s="27" t="n"/>
      <c r="T440" s="25">
        <f>IF($C440="","",IF(OR(ISNUMBER(SEARCH("quick case",$P440)),ISNUMBER(SEARCH("quick case",$Q440))),"Yes","No"))</f>
        <v/>
      </c>
      <c r="U440" s="25">
        <f>IF($O440="Invalid",HYPERLINK("mailto:"&amp;$G440&amp;";"&amp;$I440&amp;"?cc="&amp;Lists!$E$2&amp;"&amp;subject="&amp;_xlfn.ENCODEURL("[INVALID] Quality audit monitoring completed for "&amp;UPPER($C440))&amp;"&amp;body="&amp;_xlfn.ENCODEURL("Hi "&amp;$F440&amp;","&amp;CHAR(10)&amp;"Good day!"&amp;CHAR(10)&amp;CHAR(10)&amp;"A quality monitoring audit has been completed for "&amp;$C440&amp;"."&amp;CHAR(10)&amp;CHAR(10)&amp;"QUALITY AUDIT DETAILS"&amp;CHAR(10)&amp;"Agent Name: "&amp;$C440&amp;" (EID "&amp;$D440&amp;")"&amp;CHAR(10)&amp;"Audit Date: "&amp;TEXT($B440,"yyyy-mm-dd")&amp;CHAR(10)&amp;"Team Leader: "&amp;$F440&amp;CHAR(10)&amp;"Case Number: "&amp;$M440&amp;CHAR(10)&amp;"Transaction ID: "&amp;$N440&amp;CHAR(10)&amp;"Channel / LOB: "&amp;$K440&amp;" / "&amp;$L440&amp;CHAR(10)&amp;"Evaluator: "&amp;$S440&amp;CHAR(10)&amp;CHAR(10)&amp;"INVALID QUALITY AUDIT DETAILS"&amp;CHAR(10)&amp;"Validation: Invalid"&amp;CHAR(10)&amp;"Invalid Reason: "&amp;$P440&amp;CHAR(10)&amp;"Expected Resolution Code: "&amp;$Q440&amp;CHAR(10)&amp;"Remarks: "&amp;LEFT($R440,600)&amp;CHAR(10)&amp;CHAR(10)&amp;"This is an automated notification from HP Mainstream EQMS."),"✉ Open Email Draft"),"")</f>
        <v/>
      </c>
    </row>
    <row r="441">
      <c r="A441" s="25">
        <f>IF($C441="","","AUD-2026-"&amp;TEXT(ROW()-1,"000000"))</f>
        <v/>
      </c>
      <c r="B441" s="26" t="n"/>
      <c r="C441" s="27" t="n"/>
      <c r="D441" s="25">
        <f>IF($C441="","",IFERROR(IF(INDEX(Roster!$A:$A,MATCH($C441,Roster!$B:$B,0))="","",INDEX(Roster!$A:$A,MATCH($C441,Roster!$B:$B,0))&amp;""),"—"))</f>
        <v/>
      </c>
      <c r="E441" s="25">
        <f>IF($C441="","",IFERROR(IF(INDEX(Roster!$C:$C,MATCH($C441,Roster!$B:$B,0))="","",INDEX(Roster!$C:$C,MATCH($C441,Roster!$B:$B,0))&amp;""),"—"))</f>
        <v/>
      </c>
      <c r="F441" s="25">
        <f>IF($C441="","",IFERROR(IF(INDEX(Roster!$D:$D,MATCH($C441,Roster!$B:$B,0))="","",INDEX(Roster!$D:$D,MATCH($C441,Roster!$B:$B,0))&amp;""),"—"))</f>
        <v/>
      </c>
      <c r="G441" s="25">
        <f>IF($C441="","",IFERROR(IF(INDEX(Roster!$E:$E,MATCH($C441,Roster!$B:$B,0))="","",INDEX(Roster!$E:$E,MATCH($C441,Roster!$B:$B,0))&amp;""),"—"))</f>
        <v/>
      </c>
      <c r="H441" s="25">
        <f>IF($C441="","",IFERROR(IF(INDEX(Roster!$F:$F,MATCH($C441,Roster!$B:$B,0))="","",INDEX(Roster!$F:$F,MATCH($C441,Roster!$B:$B,0))&amp;""),"—"))</f>
        <v/>
      </c>
      <c r="I441" s="25">
        <f>IF($C441="","",IFERROR(IF(INDEX(Roster!$G:$G,MATCH($C441,Roster!$B:$B,0))="","",INDEX(Roster!$G:$G,MATCH($C441,Roster!$B:$B,0))&amp;""),"—"))</f>
        <v/>
      </c>
      <c r="J441" s="25">
        <f>IF($C441="","",IFERROR(IF(INDEX(Roster!$I:$I,MATCH($C441,Roster!$B:$B,0))="","",INDEX(Roster!$I:$I,MATCH($C441,Roster!$B:$B,0))&amp;""),"—"))</f>
        <v/>
      </c>
      <c r="K441">
        <f>IF($C441="","",IFERROR(IF(INDEX(Roster!$J:$J,MATCH($C441,Roster!$B:$B,0))="","",INDEX(Roster!$J:$J,MATCH($C441,Roster!$B:$B,0))&amp;""),"—"))</f>
        <v/>
      </c>
      <c r="L441">
        <f>IF($C441="","",IFERROR(IF(INDEX(Roster!$K:$K,MATCH($C441,Roster!$B:$B,0))="","",INDEX(Roster!$K:$K,MATCH($C441,Roster!$B:$B,0))&amp;""),"—"))</f>
        <v/>
      </c>
      <c r="M441" s="27" t="n"/>
      <c r="N441" s="27" t="n"/>
      <c r="O441" s="25">
        <f>IF($C441="","",IF($P441="","—",IF($P441="Valid (Pass)","Valid","Invalid")))</f>
        <v/>
      </c>
      <c r="P441" s="27" t="n"/>
      <c r="Q441" s="27" t="n"/>
      <c r="R441" s="27" t="n"/>
      <c r="S441" s="27" t="n"/>
      <c r="T441" s="25">
        <f>IF($C441="","",IF(OR(ISNUMBER(SEARCH("quick case",$P441)),ISNUMBER(SEARCH("quick case",$Q441))),"Yes","No"))</f>
        <v/>
      </c>
      <c r="U441" s="25">
        <f>IF($O441="Invalid",HYPERLINK("mailto:"&amp;$G441&amp;";"&amp;$I441&amp;"?cc="&amp;Lists!$E$2&amp;"&amp;subject="&amp;_xlfn.ENCODEURL("[INVALID] Quality audit monitoring completed for "&amp;UPPER($C441))&amp;"&amp;body="&amp;_xlfn.ENCODEURL("Hi "&amp;$F441&amp;","&amp;CHAR(10)&amp;"Good day!"&amp;CHAR(10)&amp;CHAR(10)&amp;"A quality monitoring audit has been completed for "&amp;$C441&amp;"."&amp;CHAR(10)&amp;CHAR(10)&amp;"QUALITY AUDIT DETAILS"&amp;CHAR(10)&amp;"Agent Name: "&amp;$C441&amp;" (EID "&amp;$D441&amp;")"&amp;CHAR(10)&amp;"Audit Date: "&amp;TEXT($B441,"yyyy-mm-dd")&amp;CHAR(10)&amp;"Team Leader: "&amp;$F441&amp;CHAR(10)&amp;"Case Number: "&amp;$M441&amp;CHAR(10)&amp;"Transaction ID: "&amp;$N441&amp;CHAR(10)&amp;"Channel / LOB: "&amp;$K441&amp;" / "&amp;$L441&amp;CHAR(10)&amp;"Evaluator: "&amp;$S441&amp;CHAR(10)&amp;CHAR(10)&amp;"INVALID QUALITY AUDIT DETAILS"&amp;CHAR(10)&amp;"Validation: Invalid"&amp;CHAR(10)&amp;"Invalid Reason: "&amp;$P441&amp;CHAR(10)&amp;"Expected Resolution Code: "&amp;$Q441&amp;CHAR(10)&amp;"Remarks: "&amp;LEFT($R441,600)&amp;CHAR(10)&amp;CHAR(10)&amp;"This is an automated notification from HP Mainstream EQMS."),"✉ Open Email Draft"),"")</f>
        <v/>
      </c>
    </row>
    <row r="442">
      <c r="A442" s="25">
        <f>IF($C442="","","AUD-2026-"&amp;TEXT(ROW()-1,"000000"))</f>
        <v/>
      </c>
      <c r="B442" s="26" t="n"/>
      <c r="C442" s="27" t="n"/>
      <c r="D442" s="25">
        <f>IF($C442="","",IFERROR(IF(INDEX(Roster!$A:$A,MATCH($C442,Roster!$B:$B,0))="","",INDEX(Roster!$A:$A,MATCH($C442,Roster!$B:$B,0))&amp;""),"—"))</f>
        <v/>
      </c>
      <c r="E442" s="25">
        <f>IF($C442="","",IFERROR(IF(INDEX(Roster!$C:$C,MATCH($C442,Roster!$B:$B,0))="","",INDEX(Roster!$C:$C,MATCH($C442,Roster!$B:$B,0))&amp;""),"—"))</f>
        <v/>
      </c>
      <c r="F442" s="25">
        <f>IF($C442="","",IFERROR(IF(INDEX(Roster!$D:$D,MATCH($C442,Roster!$B:$B,0))="","",INDEX(Roster!$D:$D,MATCH($C442,Roster!$B:$B,0))&amp;""),"—"))</f>
        <v/>
      </c>
      <c r="G442" s="25">
        <f>IF($C442="","",IFERROR(IF(INDEX(Roster!$E:$E,MATCH($C442,Roster!$B:$B,0))="","",INDEX(Roster!$E:$E,MATCH($C442,Roster!$B:$B,0))&amp;""),"—"))</f>
        <v/>
      </c>
      <c r="H442" s="25">
        <f>IF($C442="","",IFERROR(IF(INDEX(Roster!$F:$F,MATCH($C442,Roster!$B:$B,0))="","",INDEX(Roster!$F:$F,MATCH($C442,Roster!$B:$B,0))&amp;""),"—"))</f>
        <v/>
      </c>
      <c r="I442" s="25">
        <f>IF($C442="","",IFERROR(IF(INDEX(Roster!$G:$G,MATCH($C442,Roster!$B:$B,0))="","",INDEX(Roster!$G:$G,MATCH($C442,Roster!$B:$B,0))&amp;""),"—"))</f>
        <v/>
      </c>
      <c r="J442" s="25">
        <f>IF($C442="","",IFERROR(IF(INDEX(Roster!$I:$I,MATCH($C442,Roster!$B:$B,0))="","",INDEX(Roster!$I:$I,MATCH($C442,Roster!$B:$B,0))&amp;""),"—"))</f>
        <v/>
      </c>
      <c r="K442">
        <f>IF($C442="","",IFERROR(IF(INDEX(Roster!$J:$J,MATCH($C442,Roster!$B:$B,0))="","",INDEX(Roster!$J:$J,MATCH($C442,Roster!$B:$B,0))&amp;""),"—"))</f>
        <v/>
      </c>
      <c r="L442">
        <f>IF($C442="","",IFERROR(IF(INDEX(Roster!$K:$K,MATCH($C442,Roster!$B:$B,0))="","",INDEX(Roster!$K:$K,MATCH($C442,Roster!$B:$B,0))&amp;""),"—"))</f>
        <v/>
      </c>
      <c r="M442" s="27" t="n"/>
      <c r="N442" s="27" t="n"/>
      <c r="O442" s="25">
        <f>IF($C442="","",IF($P442="","—",IF($P442="Valid (Pass)","Valid","Invalid")))</f>
        <v/>
      </c>
      <c r="P442" s="27" t="n"/>
      <c r="Q442" s="27" t="n"/>
      <c r="R442" s="27" t="n"/>
      <c r="S442" s="27" t="n"/>
      <c r="T442" s="25">
        <f>IF($C442="","",IF(OR(ISNUMBER(SEARCH("quick case",$P442)),ISNUMBER(SEARCH("quick case",$Q442))),"Yes","No"))</f>
        <v/>
      </c>
      <c r="U442" s="25">
        <f>IF($O442="Invalid",HYPERLINK("mailto:"&amp;$G442&amp;";"&amp;$I442&amp;"?cc="&amp;Lists!$E$2&amp;"&amp;subject="&amp;_xlfn.ENCODEURL("[INVALID] Quality audit monitoring completed for "&amp;UPPER($C442))&amp;"&amp;body="&amp;_xlfn.ENCODEURL("Hi "&amp;$F442&amp;","&amp;CHAR(10)&amp;"Good day!"&amp;CHAR(10)&amp;CHAR(10)&amp;"A quality monitoring audit has been completed for "&amp;$C442&amp;"."&amp;CHAR(10)&amp;CHAR(10)&amp;"QUALITY AUDIT DETAILS"&amp;CHAR(10)&amp;"Agent Name: "&amp;$C442&amp;" (EID "&amp;$D442&amp;")"&amp;CHAR(10)&amp;"Audit Date: "&amp;TEXT($B442,"yyyy-mm-dd")&amp;CHAR(10)&amp;"Team Leader: "&amp;$F442&amp;CHAR(10)&amp;"Case Number: "&amp;$M442&amp;CHAR(10)&amp;"Transaction ID: "&amp;$N442&amp;CHAR(10)&amp;"Channel / LOB: "&amp;$K442&amp;" / "&amp;$L442&amp;CHAR(10)&amp;"Evaluator: "&amp;$S442&amp;CHAR(10)&amp;CHAR(10)&amp;"INVALID QUALITY AUDIT DETAILS"&amp;CHAR(10)&amp;"Validation: Invalid"&amp;CHAR(10)&amp;"Invalid Reason: "&amp;$P442&amp;CHAR(10)&amp;"Expected Resolution Code: "&amp;$Q442&amp;CHAR(10)&amp;"Remarks: "&amp;LEFT($R442,600)&amp;CHAR(10)&amp;CHAR(10)&amp;"This is an automated notification from HP Mainstream EQMS."),"✉ Open Email Draft"),"")</f>
        <v/>
      </c>
    </row>
    <row r="443">
      <c r="A443" s="25">
        <f>IF($C443="","","AUD-2026-"&amp;TEXT(ROW()-1,"000000"))</f>
        <v/>
      </c>
      <c r="B443" s="26" t="n"/>
      <c r="C443" s="27" t="n"/>
      <c r="D443" s="25">
        <f>IF($C443="","",IFERROR(IF(INDEX(Roster!$A:$A,MATCH($C443,Roster!$B:$B,0))="","",INDEX(Roster!$A:$A,MATCH($C443,Roster!$B:$B,0))&amp;""),"—"))</f>
        <v/>
      </c>
      <c r="E443" s="25">
        <f>IF($C443="","",IFERROR(IF(INDEX(Roster!$C:$C,MATCH($C443,Roster!$B:$B,0))="","",INDEX(Roster!$C:$C,MATCH($C443,Roster!$B:$B,0))&amp;""),"—"))</f>
        <v/>
      </c>
      <c r="F443" s="25">
        <f>IF($C443="","",IFERROR(IF(INDEX(Roster!$D:$D,MATCH($C443,Roster!$B:$B,0))="","",INDEX(Roster!$D:$D,MATCH($C443,Roster!$B:$B,0))&amp;""),"—"))</f>
        <v/>
      </c>
      <c r="G443" s="25">
        <f>IF($C443="","",IFERROR(IF(INDEX(Roster!$E:$E,MATCH($C443,Roster!$B:$B,0))="","",INDEX(Roster!$E:$E,MATCH($C443,Roster!$B:$B,0))&amp;""),"—"))</f>
        <v/>
      </c>
      <c r="H443" s="25">
        <f>IF($C443="","",IFERROR(IF(INDEX(Roster!$F:$F,MATCH($C443,Roster!$B:$B,0))="","",INDEX(Roster!$F:$F,MATCH($C443,Roster!$B:$B,0))&amp;""),"—"))</f>
        <v/>
      </c>
      <c r="I443" s="25">
        <f>IF($C443="","",IFERROR(IF(INDEX(Roster!$G:$G,MATCH($C443,Roster!$B:$B,0))="","",INDEX(Roster!$G:$G,MATCH($C443,Roster!$B:$B,0))&amp;""),"—"))</f>
        <v/>
      </c>
      <c r="J443" s="25">
        <f>IF($C443="","",IFERROR(IF(INDEX(Roster!$I:$I,MATCH($C443,Roster!$B:$B,0))="","",INDEX(Roster!$I:$I,MATCH($C443,Roster!$B:$B,0))&amp;""),"—"))</f>
        <v/>
      </c>
      <c r="K443">
        <f>IF($C443="","",IFERROR(IF(INDEX(Roster!$J:$J,MATCH($C443,Roster!$B:$B,0))="","",INDEX(Roster!$J:$J,MATCH($C443,Roster!$B:$B,0))&amp;""),"—"))</f>
        <v/>
      </c>
      <c r="L443">
        <f>IF($C443="","",IFERROR(IF(INDEX(Roster!$K:$K,MATCH($C443,Roster!$B:$B,0))="","",INDEX(Roster!$K:$K,MATCH($C443,Roster!$B:$B,0))&amp;""),"—"))</f>
        <v/>
      </c>
      <c r="M443" s="27" t="n"/>
      <c r="N443" s="27" t="n"/>
      <c r="O443" s="25">
        <f>IF($C443="","",IF($P443="","—",IF($P443="Valid (Pass)","Valid","Invalid")))</f>
        <v/>
      </c>
      <c r="P443" s="27" t="n"/>
      <c r="Q443" s="27" t="n"/>
      <c r="R443" s="27" t="n"/>
      <c r="S443" s="27" t="n"/>
      <c r="T443" s="25">
        <f>IF($C443="","",IF(OR(ISNUMBER(SEARCH("quick case",$P443)),ISNUMBER(SEARCH("quick case",$Q443))),"Yes","No"))</f>
        <v/>
      </c>
      <c r="U443" s="25">
        <f>IF($O443="Invalid",HYPERLINK("mailto:"&amp;$G443&amp;";"&amp;$I443&amp;"?cc="&amp;Lists!$E$2&amp;"&amp;subject="&amp;_xlfn.ENCODEURL("[INVALID] Quality audit monitoring completed for "&amp;UPPER($C443))&amp;"&amp;body="&amp;_xlfn.ENCODEURL("Hi "&amp;$F443&amp;","&amp;CHAR(10)&amp;"Good day!"&amp;CHAR(10)&amp;CHAR(10)&amp;"A quality monitoring audit has been completed for "&amp;$C443&amp;"."&amp;CHAR(10)&amp;CHAR(10)&amp;"QUALITY AUDIT DETAILS"&amp;CHAR(10)&amp;"Agent Name: "&amp;$C443&amp;" (EID "&amp;$D443&amp;")"&amp;CHAR(10)&amp;"Audit Date: "&amp;TEXT($B443,"yyyy-mm-dd")&amp;CHAR(10)&amp;"Team Leader: "&amp;$F443&amp;CHAR(10)&amp;"Case Number: "&amp;$M443&amp;CHAR(10)&amp;"Transaction ID: "&amp;$N443&amp;CHAR(10)&amp;"Channel / LOB: "&amp;$K443&amp;" / "&amp;$L443&amp;CHAR(10)&amp;"Evaluator: "&amp;$S443&amp;CHAR(10)&amp;CHAR(10)&amp;"INVALID QUALITY AUDIT DETAILS"&amp;CHAR(10)&amp;"Validation: Invalid"&amp;CHAR(10)&amp;"Invalid Reason: "&amp;$P443&amp;CHAR(10)&amp;"Expected Resolution Code: "&amp;$Q443&amp;CHAR(10)&amp;"Remarks: "&amp;LEFT($R443,600)&amp;CHAR(10)&amp;CHAR(10)&amp;"This is an automated notification from HP Mainstream EQMS."),"✉ Open Email Draft"),"")</f>
        <v/>
      </c>
    </row>
    <row r="444">
      <c r="A444" s="25">
        <f>IF($C444="","","AUD-2026-"&amp;TEXT(ROW()-1,"000000"))</f>
        <v/>
      </c>
      <c r="B444" s="26" t="n"/>
      <c r="C444" s="27" t="n"/>
      <c r="D444" s="25">
        <f>IF($C444="","",IFERROR(IF(INDEX(Roster!$A:$A,MATCH($C444,Roster!$B:$B,0))="","",INDEX(Roster!$A:$A,MATCH($C444,Roster!$B:$B,0))&amp;""),"—"))</f>
        <v/>
      </c>
      <c r="E444" s="25">
        <f>IF($C444="","",IFERROR(IF(INDEX(Roster!$C:$C,MATCH($C444,Roster!$B:$B,0))="","",INDEX(Roster!$C:$C,MATCH($C444,Roster!$B:$B,0))&amp;""),"—"))</f>
        <v/>
      </c>
      <c r="F444" s="25">
        <f>IF($C444="","",IFERROR(IF(INDEX(Roster!$D:$D,MATCH($C444,Roster!$B:$B,0))="","",INDEX(Roster!$D:$D,MATCH($C444,Roster!$B:$B,0))&amp;""),"—"))</f>
        <v/>
      </c>
      <c r="G444" s="25">
        <f>IF($C444="","",IFERROR(IF(INDEX(Roster!$E:$E,MATCH($C444,Roster!$B:$B,0))="","",INDEX(Roster!$E:$E,MATCH($C444,Roster!$B:$B,0))&amp;""),"—"))</f>
        <v/>
      </c>
      <c r="H444" s="25">
        <f>IF($C444="","",IFERROR(IF(INDEX(Roster!$F:$F,MATCH($C444,Roster!$B:$B,0))="","",INDEX(Roster!$F:$F,MATCH($C444,Roster!$B:$B,0))&amp;""),"—"))</f>
        <v/>
      </c>
      <c r="I444" s="25">
        <f>IF($C444="","",IFERROR(IF(INDEX(Roster!$G:$G,MATCH($C444,Roster!$B:$B,0))="","",INDEX(Roster!$G:$G,MATCH($C444,Roster!$B:$B,0))&amp;""),"—"))</f>
        <v/>
      </c>
      <c r="J444" s="25">
        <f>IF($C444="","",IFERROR(IF(INDEX(Roster!$I:$I,MATCH($C444,Roster!$B:$B,0))="","",INDEX(Roster!$I:$I,MATCH($C444,Roster!$B:$B,0))&amp;""),"—"))</f>
        <v/>
      </c>
      <c r="K444">
        <f>IF($C444="","",IFERROR(IF(INDEX(Roster!$J:$J,MATCH($C444,Roster!$B:$B,0))="","",INDEX(Roster!$J:$J,MATCH($C444,Roster!$B:$B,0))&amp;""),"—"))</f>
        <v/>
      </c>
      <c r="L444">
        <f>IF($C444="","",IFERROR(IF(INDEX(Roster!$K:$K,MATCH($C444,Roster!$B:$B,0))="","",INDEX(Roster!$K:$K,MATCH($C444,Roster!$B:$B,0))&amp;""),"—"))</f>
        <v/>
      </c>
      <c r="M444" s="27" t="n"/>
      <c r="N444" s="27" t="n"/>
      <c r="O444" s="25">
        <f>IF($C444="","",IF($P444="","—",IF($P444="Valid (Pass)","Valid","Invalid")))</f>
        <v/>
      </c>
      <c r="P444" s="27" t="n"/>
      <c r="Q444" s="27" t="n"/>
      <c r="R444" s="27" t="n"/>
      <c r="S444" s="27" t="n"/>
      <c r="T444" s="25">
        <f>IF($C444="","",IF(OR(ISNUMBER(SEARCH("quick case",$P444)),ISNUMBER(SEARCH("quick case",$Q444))),"Yes","No"))</f>
        <v/>
      </c>
      <c r="U444" s="25">
        <f>IF($O444="Invalid",HYPERLINK("mailto:"&amp;$G444&amp;";"&amp;$I444&amp;"?cc="&amp;Lists!$E$2&amp;"&amp;subject="&amp;_xlfn.ENCODEURL("[INVALID] Quality audit monitoring completed for "&amp;UPPER($C444))&amp;"&amp;body="&amp;_xlfn.ENCODEURL("Hi "&amp;$F444&amp;","&amp;CHAR(10)&amp;"Good day!"&amp;CHAR(10)&amp;CHAR(10)&amp;"A quality monitoring audit has been completed for "&amp;$C444&amp;"."&amp;CHAR(10)&amp;CHAR(10)&amp;"QUALITY AUDIT DETAILS"&amp;CHAR(10)&amp;"Agent Name: "&amp;$C444&amp;" (EID "&amp;$D444&amp;")"&amp;CHAR(10)&amp;"Audit Date: "&amp;TEXT($B444,"yyyy-mm-dd")&amp;CHAR(10)&amp;"Team Leader: "&amp;$F444&amp;CHAR(10)&amp;"Case Number: "&amp;$M444&amp;CHAR(10)&amp;"Transaction ID: "&amp;$N444&amp;CHAR(10)&amp;"Channel / LOB: "&amp;$K444&amp;" / "&amp;$L444&amp;CHAR(10)&amp;"Evaluator: "&amp;$S444&amp;CHAR(10)&amp;CHAR(10)&amp;"INVALID QUALITY AUDIT DETAILS"&amp;CHAR(10)&amp;"Validation: Invalid"&amp;CHAR(10)&amp;"Invalid Reason: "&amp;$P444&amp;CHAR(10)&amp;"Expected Resolution Code: "&amp;$Q444&amp;CHAR(10)&amp;"Remarks: "&amp;LEFT($R444,600)&amp;CHAR(10)&amp;CHAR(10)&amp;"This is an automated notification from HP Mainstream EQMS."),"✉ Open Email Draft"),"")</f>
        <v/>
      </c>
    </row>
    <row r="445">
      <c r="A445" s="25">
        <f>IF($C445="","","AUD-2026-"&amp;TEXT(ROW()-1,"000000"))</f>
        <v/>
      </c>
      <c r="B445" s="26" t="n"/>
      <c r="C445" s="27" t="n"/>
      <c r="D445" s="25">
        <f>IF($C445="","",IFERROR(IF(INDEX(Roster!$A:$A,MATCH($C445,Roster!$B:$B,0))="","",INDEX(Roster!$A:$A,MATCH($C445,Roster!$B:$B,0))&amp;""),"—"))</f>
        <v/>
      </c>
      <c r="E445" s="25">
        <f>IF($C445="","",IFERROR(IF(INDEX(Roster!$C:$C,MATCH($C445,Roster!$B:$B,0))="","",INDEX(Roster!$C:$C,MATCH($C445,Roster!$B:$B,0))&amp;""),"—"))</f>
        <v/>
      </c>
      <c r="F445" s="25">
        <f>IF($C445="","",IFERROR(IF(INDEX(Roster!$D:$D,MATCH($C445,Roster!$B:$B,0))="","",INDEX(Roster!$D:$D,MATCH($C445,Roster!$B:$B,0))&amp;""),"—"))</f>
        <v/>
      </c>
      <c r="G445" s="25">
        <f>IF($C445="","",IFERROR(IF(INDEX(Roster!$E:$E,MATCH($C445,Roster!$B:$B,0))="","",INDEX(Roster!$E:$E,MATCH($C445,Roster!$B:$B,0))&amp;""),"—"))</f>
        <v/>
      </c>
      <c r="H445" s="25">
        <f>IF($C445="","",IFERROR(IF(INDEX(Roster!$F:$F,MATCH($C445,Roster!$B:$B,0))="","",INDEX(Roster!$F:$F,MATCH($C445,Roster!$B:$B,0))&amp;""),"—"))</f>
        <v/>
      </c>
      <c r="I445" s="25">
        <f>IF($C445="","",IFERROR(IF(INDEX(Roster!$G:$G,MATCH($C445,Roster!$B:$B,0))="","",INDEX(Roster!$G:$G,MATCH($C445,Roster!$B:$B,0))&amp;""),"—"))</f>
        <v/>
      </c>
      <c r="J445" s="25">
        <f>IF($C445="","",IFERROR(IF(INDEX(Roster!$I:$I,MATCH($C445,Roster!$B:$B,0))="","",INDEX(Roster!$I:$I,MATCH($C445,Roster!$B:$B,0))&amp;""),"—"))</f>
        <v/>
      </c>
      <c r="K445">
        <f>IF($C445="","",IFERROR(IF(INDEX(Roster!$J:$J,MATCH($C445,Roster!$B:$B,0))="","",INDEX(Roster!$J:$J,MATCH($C445,Roster!$B:$B,0))&amp;""),"—"))</f>
        <v/>
      </c>
      <c r="L445">
        <f>IF($C445="","",IFERROR(IF(INDEX(Roster!$K:$K,MATCH($C445,Roster!$B:$B,0))="","",INDEX(Roster!$K:$K,MATCH($C445,Roster!$B:$B,0))&amp;""),"—"))</f>
        <v/>
      </c>
      <c r="M445" s="27" t="n"/>
      <c r="N445" s="27" t="n"/>
      <c r="O445" s="25">
        <f>IF($C445="","",IF($P445="","—",IF($P445="Valid (Pass)","Valid","Invalid")))</f>
        <v/>
      </c>
      <c r="P445" s="27" t="n"/>
      <c r="Q445" s="27" t="n"/>
      <c r="R445" s="27" t="n"/>
      <c r="S445" s="27" t="n"/>
      <c r="T445" s="25">
        <f>IF($C445="","",IF(OR(ISNUMBER(SEARCH("quick case",$P445)),ISNUMBER(SEARCH("quick case",$Q445))),"Yes","No"))</f>
        <v/>
      </c>
      <c r="U445" s="25">
        <f>IF($O445="Invalid",HYPERLINK("mailto:"&amp;$G445&amp;";"&amp;$I445&amp;"?cc="&amp;Lists!$E$2&amp;"&amp;subject="&amp;_xlfn.ENCODEURL("[INVALID] Quality audit monitoring completed for "&amp;UPPER($C445))&amp;"&amp;body="&amp;_xlfn.ENCODEURL("Hi "&amp;$F445&amp;","&amp;CHAR(10)&amp;"Good day!"&amp;CHAR(10)&amp;CHAR(10)&amp;"A quality monitoring audit has been completed for "&amp;$C445&amp;"."&amp;CHAR(10)&amp;CHAR(10)&amp;"QUALITY AUDIT DETAILS"&amp;CHAR(10)&amp;"Agent Name: "&amp;$C445&amp;" (EID "&amp;$D445&amp;")"&amp;CHAR(10)&amp;"Audit Date: "&amp;TEXT($B445,"yyyy-mm-dd")&amp;CHAR(10)&amp;"Team Leader: "&amp;$F445&amp;CHAR(10)&amp;"Case Number: "&amp;$M445&amp;CHAR(10)&amp;"Transaction ID: "&amp;$N445&amp;CHAR(10)&amp;"Channel / LOB: "&amp;$K445&amp;" / "&amp;$L445&amp;CHAR(10)&amp;"Evaluator: "&amp;$S445&amp;CHAR(10)&amp;CHAR(10)&amp;"INVALID QUALITY AUDIT DETAILS"&amp;CHAR(10)&amp;"Validation: Invalid"&amp;CHAR(10)&amp;"Invalid Reason: "&amp;$P445&amp;CHAR(10)&amp;"Expected Resolution Code: "&amp;$Q445&amp;CHAR(10)&amp;"Remarks: "&amp;LEFT($R445,600)&amp;CHAR(10)&amp;CHAR(10)&amp;"This is an automated notification from HP Mainstream EQMS."),"✉ Open Email Draft"),"")</f>
        <v/>
      </c>
    </row>
    <row r="446">
      <c r="A446" s="25">
        <f>IF($C446="","","AUD-2026-"&amp;TEXT(ROW()-1,"000000"))</f>
        <v/>
      </c>
      <c r="B446" s="26" t="n"/>
      <c r="C446" s="27" t="n"/>
      <c r="D446" s="25">
        <f>IF($C446="","",IFERROR(IF(INDEX(Roster!$A:$A,MATCH($C446,Roster!$B:$B,0))="","",INDEX(Roster!$A:$A,MATCH($C446,Roster!$B:$B,0))&amp;""),"—"))</f>
        <v/>
      </c>
      <c r="E446" s="25">
        <f>IF($C446="","",IFERROR(IF(INDEX(Roster!$C:$C,MATCH($C446,Roster!$B:$B,0))="","",INDEX(Roster!$C:$C,MATCH($C446,Roster!$B:$B,0))&amp;""),"—"))</f>
        <v/>
      </c>
      <c r="F446" s="25">
        <f>IF($C446="","",IFERROR(IF(INDEX(Roster!$D:$D,MATCH($C446,Roster!$B:$B,0))="","",INDEX(Roster!$D:$D,MATCH($C446,Roster!$B:$B,0))&amp;""),"—"))</f>
        <v/>
      </c>
      <c r="G446" s="25">
        <f>IF($C446="","",IFERROR(IF(INDEX(Roster!$E:$E,MATCH($C446,Roster!$B:$B,0))="","",INDEX(Roster!$E:$E,MATCH($C446,Roster!$B:$B,0))&amp;""),"—"))</f>
        <v/>
      </c>
      <c r="H446" s="25">
        <f>IF($C446="","",IFERROR(IF(INDEX(Roster!$F:$F,MATCH($C446,Roster!$B:$B,0))="","",INDEX(Roster!$F:$F,MATCH($C446,Roster!$B:$B,0))&amp;""),"—"))</f>
        <v/>
      </c>
      <c r="I446" s="25">
        <f>IF($C446="","",IFERROR(IF(INDEX(Roster!$G:$G,MATCH($C446,Roster!$B:$B,0))="","",INDEX(Roster!$G:$G,MATCH($C446,Roster!$B:$B,0))&amp;""),"—"))</f>
        <v/>
      </c>
      <c r="J446" s="25">
        <f>IF($C446="","",IFERROR(IF(INDEX(Roster!$I:$I,MATCH($C446,Roster!$B:$B,0))="","",INDEX(Roster!$I:$I,MATCH($C446,Roster!$B:$B,0))&amp;""),"—"))</f>
        <v/>
      </c>
      <c r="K446">
        <f>IF($C446="","",IFERROR(IF(INDEX(Roster!$J:$J,MATCH($C446,Roster!$B:$B,0))="","",INDEX(Roster!$J:$J,MATCH($C446,Roster!$B:$B,0))&amp;""),"—"))</f>
        <v/>
      </c>
      <c r="L446">
        <f>IF($C446="","",IFERROR(IF(INDEX(Roster!$K:$K,MATCH($C446,Roster!$B:$B,0))="","",INDEX(Roster!$K:$K,MATCH($C446,Roster!$B:$B,0))&amp;""),"—"))</f>
        <v/>
      </c>
      <c r="M446" s="27" t="n"/>
      <c r="N446" s="27" t="n"/>
      <c r="O446" s="25">
        <f>IF($C446="","",IF($P446="","—",IF($P446="Valid (Pass)","Valid","Invalid")))</f>
        <v/>
      </c>
      <c r="P446" s="27" t="n"/>
      <c r="Q446" s="27" t="n"/>
      <c r="R446" s="27" t="n"/>
      <c r="S446" s="27" t="n"/>
      <c r="T446" s="25">
        <f>IF($C446="","",IF(OR(ISNUMBER(SEARCH("quick case",$P446)),ISNUMBER(SEARCH("quick case",$Q446))),"Yes","No"))</f>
        <v/>
      </c>
      <c r="U446" s="25">
        <f>IF($O446="Invalid",HYPERLINK("mailto:"&amp;$G446&amp;";"&amp;$I446&amp;"?cc="&amp;Lists!$E$2&amp;"&amp;subject="&amp;_xlfn.ENCODEURL("[INVALID] Quality audit monitoring completed for "&amp;UPPER($C446))&amp;"&amp;body="&amp;_xlfn.ENCODEURL("Hi "&amp;$F446&amp;","&amp;CHAR(10)&amp;"Good day!"&amp;CHAR(10)&amp;CHAR(10)&amp;"A quality monitoring audit has been completed for "&amp;$C446&amp;"."&amp;CHAR(10)&amp;CHAR(10)&amp;"QUALITY AUDIT DETAILS"&amp;CHAR(10)&amp;"Agent Name: "&amp;$C446&amp;" (EID "&amp;$D446&amp;")"&amp;CHAR(10)&amp;"Audit Date: "&amp;TEXT($B446,"yyyy-mm-dd")&amp;CHAR(10)&amp;"Team Leader: "&amp;$F446&amp;CHAR(10)&amp;"Case Number: "&amp;$M446&amp;CHAR(10)&amp;"Transaction ID: "&amp;$N446&amp;CHAR(10)&amp;"Channel / LOB: "&amp;$K446&amp;" / "&amp;$L446&amp;CHAR(10)&amp;"Evaluator: "&amp;$S446&amp;CHAR(10)&amp;CHAR(10)&amp;"INVALID QUALITY AUDIT DETAILS"&amp;CHAR(10)&amp;"Validation: Invalid"&amp;CHAR(10)&amp;"Invalid Reason: "&amp;$P446&amp;CHAR(10)&amp;"Expected Resolution Code: "&amp;$Q446&amp;CHAR(10)&amp;"Remarks: "&amp;LEFT($R446,600)&amp;CHAR(10)&amp;CHAR(10)&amp;"This is an automated notification from HP Mainstream EQMS."),"✉ Open Email Draft"),"")</f>
        <v/>
      </c>
    </row>
    <row r="447">
      <c r="A447" s="25">
        <f>IF($C447="","","AUD-2026-"&amp;TEXT(ROW()-1,"000000"))</f>
        <v/>
      </c>
      <c r="B447" s="26" t="n"/>
      <c r="C447" s="27" t="n"/>
      <c r="D447" s="25">
        <f>IF($C447="","",IFERROR(IF(INDEX(Roster!$A:$A,MATCH($C447,Roster!$B:$B,0))="","",INDEX(Roster!$A:$A,MATCH($C447,Roster!$B:$B,0))&amp;""),"—"))</f>
        <v/>
      </c>
      <c r="E447" s="25">
        <f>IF($C447="","",IFERROR(IF(INDEX(Roster!$C:$C,MATCH($C447,Roster!$B:$B,0))="","",INDEX(Roster!$C:$C,MATCH($C447,Roster!$B:$B,0))&amp;""),"—"))</f>
        <v/>
      </c>
      <c r="F447" s="25">
        <f>IF($C447="","",IFERROR(IF(INDEX(Roster!$D:$D,MATCH($C447,Roster!$B:$B,0))="","",INDEX(Roster!$D:$D,MATCH($C447,Roster!$B:$B,0))&amp;""),"—"))</f>
        <v/>
      </c>
      <c r="G447" s="25">
        <f>IF($C447="","",IFERROR(IF(INDEX(Roster!$E:$E,MATCH($C447,Roster!$B:$B,0))="","",INDEX(Roster!$E:$E,MATCH($C447,Roster!$B:$B,0))&amp;""),"—"))</f>
        <v/>
      </c>
      <c r="H447" s="25">
        <f>IF($C447="","",IFERROR(IF(INDEX(Roster!$F:$F,MATCH($C447,Roster!$B:$B,0))="","",INDEX(Roster!$F:$F,MATCH($C447,Roster!$B:$B,0))&amp;""),"—"))</f>
        <v/>
      </c>
      <c r="I447" s="25">
        <f>IF($C447="","",IFERROR(IF(INDEX(Roster!$G:$G,MATCH($C447,Roster!$B:$B,0))="","",INDEX(Roster!$G:$G,MATCH($C447,Roster!$B:$B,0))&amp;""),"—"))</f>
        <v/>
      </c>
      <c r="J447" s="25">
        <f>IF($C447="","",IFERROR(IF(INDEX(Roster!$I:$I,MATCH($C447,Roster!$B:$B,0))="","",INDEX(Roster!$I:$I,MATCH($C447,Roster!$B:$B,0))&amp;""),"—"))</f>
        <v/>
      </c>
      <c r="K447">
        <f>IF($C447="","",IFERROR(IF(INDEX(Roster!$J:$J,MATCH($C447,Roster!$B:$B,0))="","",INDEX(Roster!$J:$J,MATCH($C447,Roster!$B:$B,0))&amp;""),"—"))</f>
        <v/>
      </c>
      <c r="L447">
        <f>IF($C447="","",IFERROR(IF(INDEX(Roster!$K:$K,MATCH($C447,Roster!$B:$B,0))="","",INDEX(Roster!$K:$K,MATCH($C447,Roster!$B:$B,0))&amp;""),"—"))</f>
        <v/>
      </c>
      <c r="M447" s="27" t="n"/>
      <c r="N447" s="27" t="n"/>
      <c r="O447" s="25">
        <f>IF($C447="","",IF($P447="","—",IF($P447="Valid (Pass)","Valid","Invalid")))</f>
        <v/>
      </c>
      <c r="P447" s="27" t="n"/>
      <c r="Q447" s="27" t="n"/>
      <c r="R447" s="27" t="n"/>
      <c r="S447" s="27" t="n"/>
      <c r="T447" s="25">
        <f>IF($C447="","",IF(OR(ISNUMBER(SEARCH("quick case",$P447)),ISNUMBER(SEARCH("quick case",$Q447))),"Yes","No"))</f>
        <v/>
      </c>
      <c r="U447" s="25">
        <f>IF($O447="Invalid",HYPERLINK("mailto:"&amp;$G447&amp;";"&amp;$I447&amp;"?cc="&amp;Lists!$E$2&amp;"&amp;subject="&amp;_xlfn.ENCODEURL("[INVALID] Quality audit monitoring completed for "&amp;UPPER($C447))&amp;"&amp;body="&amp;_xlfn.ENCODEURL("Hi "&amp;$F447&amp;","&amp;CHAR(10)&amp;"Good day!"&amp;CHAR(10)&amp;CHAR(10)&amp;"A quality monitoring audit has been completed for "&amp;$C447&amp;"."&amp;CHAR(10)&amp;CHAR(10)&amp;"QUALITY AUDIT DETAILS"&amp;CHAR(10)&amp;"Agent Name: "&amp;$C447&amp;" (EID "&amp;$D447&amp;")"&amp;CHAR(10)&amp;"Audit Date: "&amp;TEXT($B447,"yyyy-mm-dd")&amp;CHAR(10)&amp;"Team Leader: "&amp;$F447&amp;CHAR(10)&amp;"Case Number: "&amp;$M447&amp;CHAR(10)&amp;"Transaction ID: "&amp;$N447&amp;CHAR(10)&amp;"Channel / LOB: "&amp;$K447&amp;" / "&amp;$L447&amp;CHAR(10)&amp;"Evaluator: "&amp;$S447&amp;CHAR(10)&amp;CHAR(10)&amp;"INVALID QUALITY AUDIT DETAILS"&amp;CHAR(10)&amp;"Validation: Invalid"&amp;CHAR(10)&amp;"Invalid Reason: "&amp;$P447&amp;CHAR(10)&amp;"Expected Resolution Code: "&amp;$Q447&amp;CHAR(10)&amp;"Remarks: "&amp;LEFT($R447,600)&amp;CHAR(10)&amp;CHAR(10)&amp;"This is an automated notification from HP Mainstream EQMS."),"✉ Open Email Draft"),"")</f>
        <v/>
      </c>
    </row>
    <row r="448">
      <c r="A448" s="25">
        <f>IF($C448="","","AUD-2026-"&amp;TEXT(ROW()-1,"000000"))</f>
        <v/>
      </c>
      <c r="B448" s="26" t="n"/>
      <c r="C448" s="27" t="n"/>
      <c r="D448" s="25">
        <f>IF($C448="","",IFERROR(IF(INDEX(Roster!$A:$A,MATCH($C448,Roster!$B:$B,0))="","",INDEX(Roster!$A:$A,MATCH($C448,Roster!$B:$B,0))&amp;""),"—"))</f>
        <v/>
      </c>
      <c r="E448" s="25">
        <f>IF($C448="","",IFERROR(IF(INDEX(Roster!$C:$C,MATCH($C448,Roster!$B:$B,0))="","",INDEX(Roster!$C:$C,MATCH($C448,Roster!$B:$B,0))&amp;""),"—"))</f>
        <v/>
      </c>
      <c r="F448" s="25">
        <f>IF($C448="","",IFERROR(IF(INDEX(Roster!$D:$D,MATCH($C448,Roster!$B:$B,0))="","",INDEX(Roster!$D:$D,MATCH($C448,Roster!$B:$B,0))&amp;""),"—"))</f>
        <v/>
      </c>
      <c r="G448" s="25">
        <f>IF($C448="","",IFERROR(IF(INDEX(Roster!$E:$E,MATCH($C448,Roster!$B:$B,0))="","",INDEX(Roster!$E:$E,MATCH($C448,Roster!$B:$B,0))&amp;""),"—"))</f>
        <v/>
      </c>
      <c r="H448" s="25">
        <f>IF($C448="","",IFERROR(IF(INDEX(Roster!$F:$F,MATCH($C448,Roster!$B:$B,0))="","",INDEX(Roster!$F:$F,MATCH($C448,Roster!$B:$B,0))&amp;""),"—"))</f>
        <v/>
      </c>
      <c r="I448" s="25">
        <f>IF($C448="","",IFERROR(IF(INDEX(Roster!$G:$G,MATCH($C448,Roster!$B:$B,0))="","",INDEX(Roster!$G:$G,MATCH($C448,Roster!$B:$B,0))&amp;""),"—"))</f>
        <v/>
      </c>
      <c r="J448" s="25">
        <f>IF($C448="","",IFERROR(IF(INDEX(Roster!$I:$I,MATCH($C448,Roster!$B:$B,0))="","",INDEX(Roster!$I:$I,MATCH($C448,Roster!$B:$B,0))&amp;""),"—"))</f>
        <v/>
      </c>
      <c r="K448">
        <f>IF($C448="","",IFERROR(IF(INDEX(Roster!$J:$J,MATCH($C448,Roster!$B:$B,0))="","",INDEX(Roster!$J:$J,MATCH($C448,Roster!$B:$B,0))&amp;""),"—"))</f>
        <v/>
      </c>
      <c r="L448">
        <f>IF($C448="","",IFERROR(IF(INDEX(Roster!$K:$K,MATCH($C448,Roster!$B:$B,0))="","",INDEX(Roster!$K:$K,MATCH($C448,Roster!$B:$B,0))&amp;""),"—"))</f>
        <v/>
      </c>
      <c r="M448" s="27" t="n"/>
      <c r="N448" s="27" t="n"/>
      <c r="O448" s="25">
        <f>IF($C448="","",IF($P448="","—",IF($P448="Valid (Pass)","Valid","Invalid")))</f>
        <v/>
      </c>
      <c r="P448" s="27" t="n"/>
      <c r="Q448" s="27" t="n"/>
      <c r="R448" s="27" t="n"/>
      <c r="S448" s="27" t="n"/>
      <c r="T448" s="25">
        <f>IF($C448="","",IF(OR(ISNUMBER(SEARCH("quick case",$P448)),ISNUMBER(SEARCH("quick case",$Q448))),"Yes","No"))</f>
        <v/>
      </c>
      <c r="U448" s="25">
        <f>IF($O448="Invalid",HYPERLINK("mailto:"&amp;$G448&amp;";"&amp;$I448&amp;"?cc="&amp;Lists!$E$2&amp;"&amp;subject="&amp;_xlfn.ENCODEURL("[INVALID] Quality audit monitoring completed for "&amp;UPPER($C448))&amp;"&amp;body="&amp;_xlfn.ENCODEURL("Hi "&amp;$F448&amp;","&amp;CHAR(10)&amp;"Good day!"&amp;CHAR(10)&amp;CHAR(10)&amp;"A quality monitoring audit has been completed for "&amp;$C448&amp;"."&amp;CHAR(10)&amp;CHAR(10)&amp;"QUALITY AUDIT DETAILS"&amp;CHAR(10)&amp;"Agent Name: "&amp;$C448&amp;" (EID "&amp;$D448&amp;")"&amp;CHAR(10)&amp;"Audit Date: "&amp;TEXT($B448,"yyyy-mm-dd")&amp;CHAR(10)&amp;"Team Leader: "&amp;$F448&amp;CHAR(10)&amp;"Case Number: "&amp;$M448&amp;CHAR(10)&amp;"Transaction ID: "&amp;$N448&amp;CHAR(10)&amp;"Channel / LOB: "&amp;$K448&amp;" / "&amp;$L448&amp;CHAR(10)&amp;"Evaluator: "&amp;$S448&amp;CHAR(10)&amp;CHAR(10)&amp;"INVALID QUALITY AUDIT DETAILS"&amp;CHAR(10)&amp;"Validation: Invalid"&amp;CHAR(10)&amp;"Invalid Reason: "&amp;$P448&amp;CHAR(10)&amp;"Expected Resolution Code: "&amp;$Q448&amp;CHAR(10)&amp;"Remarks: "&amp;LEFT($R448,600)&amp;CHAR(10)&amp;CHAR(10)&amp;"This is an automated notification from HP Mainstream EQMS."),"✉ Open Email Draft"),"")</f>
        <v/>
      </c>
    </row>
    <row r="449">
      <c r="A449" s="25">
        <f>IF($C449="","","AUD-2026-"&amp;TEXT(ROW()-1,"000000"))</f>
        <v/>
      </c>
      <c r="B449" s="26" t="n"/>
      <c r="C449" s="27" t="n"/>
      <c r="D449" s="25">
        <f>IF($C449="","",IFERROR(IF(INDEX(Roster!$A:$A,MATCH($C449,Roster!$B:$B,0))="","",INDEX(Roster!$A:$A,MATCH($C449,Roster!$B:$B,0))&amp;""),"—"))</f>
        <v/>
      </c>
      <c r="E449" s="25">
        <f>IF($C449="","",IFERROR(IF(INDEX(Roster!$C:$C,MATCH($C449,Roster!$B:$B,0))="","",INDEX(Roster!$C:$C,MATCH($C449,Roster!$B:$B,0))&amp;""),"—"))</f>
        <v/>
      </c>
      <c r="F449" s="25">
        <f>IF($C449="","",IFERROR(IF(INDEX(Roster!$D:$D,MATCH($C449,Roster!$B:$B,0))="","",INDEX(Roster!$D:$D,MATCH($C449,Roster!$B:$B,0))&amp;""),"—"))</f>
        <v/>
      </c>
      <c r="G449" s="25">
        <f>IF($C449="","",IFERROR(IF(INDEX(Roster!$E:$E,MATCH($C449,Roster!$B:$B,0))="","",INDEX(Roster!$E:$E,MATCH($C449,Roster!$B:$B,0))&amp;""),"—"))</f>
        <v/>
      </c>
      <c r="H449" s="25">
        <f>IF($C449="","",IFERROR(IF(INDEX(Roster!$F:$F,MATCH($C449,Roster!$B:$B,0))="","",INDEX(Roster!$F:$F,MATCH($C449,Roster!$B:$B,0))&amp;""),"—"))</f>
        <v/>
      </c>
      <c r="I449" s="25">
        <f>IF($C449="","",IFERROR(IF(INDEX(Roster!$G:$G,MATCH($C449,Roster!$B:$B,0))="","",INDEX(Roster!$G:$G,MATCH($C449,Roster!$B:$B,0))&amp;""),"—"))</f>
        <v/>
      </c>
      <c r="J449" s="25">
        <f>IF($C449="","",IFERROR(IF(INDEX(Roster!$I:$I,MATCH($C449,Roster!$B:$B,0))="","",INDEX(Roster!$I:$I,MATCH($C449,Roster!$B:$B,0))&amp;""),"—"))</f>
        <v/>
      </c>
      <c r="K449">
        <f>IF($C449="","",IFERROR(IF(INDEX(Roster!$J:$J,MATCH($C449,Roster!$B:$B,0))="","",INDEX(Roster!$J:$J,MATCH($C449,Roster!$B:$B,0))&amp;""),"—"))</f>
        <v/>
      </c>
      <c r="L449">
        <f>IF($C449="","",IFERROR(IF(INDEX(Roster!$K:$K,MATCH($C449,Roster!$B:$B,0))="","",INDEX(Roster!$K:$K,MATCH($C449,Roster!$B:$B,0))&amp;""),"—"))</f>
        <v/>
      </c>
      <c r="M449" s="27" t="n"/>
      <c r="N449" s="27" t="n"/>
      <c r="O449" s="25">
        <f>IF($C449="","",IF($P449="","—",IF($P449="Valid (Pass)","Valid","Invalid")))</f>
        <v/>
      </c>
      <c r="P449" s="27" t="n"/>
      <c r="Q449" s="27" t="n"/>
      <c r="R449" s="27" t="n"/>
      <c r="S449" s="27" t="n"/>
      <c r="T449" s="25">
        <f>IF($C449="","",IF(OR(ISNUMBER(SEARCH("quick case",$P449)),ISNUMBER(SEARCH("quick case",$Q449))),"Yes","No"))</f>
        <v/>
      </c>
      <c r="U449" s="25">
        <f>IF($O449="Invalid",HYPERLINK("mailto:"&amp;$G449&amp;";"&amp;$I449&amp;"?cc="&amp;Lists!$E$2&amp;"&amp;subject="&amp;_xlfn.ENCODEURL("[INVALID] Quality audit monitoring completed for "&amp;UPPER($C449))&amp;"&amp;body="&amp;_xlfn.ENCODEURL("Hi "&amp;$F449&amp;","&amp;CHAR(10)&amp;"Good day!"&amp;CHAR(10)&amp;CHAR(10)&amp;"A quality monitoring audit has been completed for "&amp;$C449&amp;"."&amp;CHAR(10)&amp;CHAR(10)&amp;"QUALITY AUDIT DETAILS"&amp;CHAR(10)&amp;"Agent Name: "&amp;$C449&amp;" (EID "&amp;$D449&amp;")"&amp;CHAR(10)&amp;"Audit Date: "&amp;TEXT($B449,"yyyy-mm-dd")&amp;CHAR(10)&amp;"Team Leader: "&amp;$F449&amp;CHAR(10)&amp;"Case Number: "&amp;$M449&amp;CHAR(10)&amp;"Transaction ID: "&amp;$N449&amp;CHAR(10)&amp;"Channel / LOB: "&amp;$K449&amp;" / "&amp;$L449&amp;CHAR(10)&amp;"Evaluator: "&amp;$S449&amp;CHAR(10)&amp;CHAR(10)&amp;"INVALID QUALITY AUDIT DETAILS"&amp;CHAR(10)&amp;"Validation: Invalid"&amp;CHAR(10)&amp;"Invalid Reason: "&amp;$P449&amp;CHAR(10)&amp;"Expected Resolution Code: "&amp;$Q449&amp;CHAR(10)&amp;"Remarks: "&amp;LEFT($R449,600)&amp;CHAR(10)&amp;CHAR(10)&amp;"This is an automated notification from HP Mainstream EQMS."),"✉ Open Email Draft"),"")</f>
        <v/>
      </c>
    </row>
    <row r="450">
      <c r="A450" s="25">
        <f>IF($C450="","","AUD-2026-"&amp;TEXT(ROW()-1,"000000"))</f>
        <v/>
      </c>
      <c r="B450" s="26" t="n"/>
      <c r="C450" s="27" t="n"/>
      <c r="D450" s="25">
        <f>IF($C450="","",IFERROR(IF(INDEX(Roster!$A:$A,MATCH($C450,Roster!$B:$B,0))="","",INDEX(Roster!$A:$A,MATCH($C450,Roster!$B:$B,0))&amp;""),"—"))</f>
        <v/>
      </c>
      <c r="E450" s="25">
        <f>IF($C450="","",IFERROR(IF(INDEX(Roster!$C:$C,MATCH($C450,Roster!$B:$B,0))="","",INDEX(Roster!$C:$C,MATCH($C450,Roster!$B:$B,0))&amp;""),"—"))</f>
        <v/>
      </c>
      <c r="F450" s="25">
        <f>IF($C450="","",IFERROR(IF(INDEX(Roster!$D:$D,MATCH($C450,Roster!$B:$B,0))="","",INDEX(Roster!$D:$D,MATCH($C450,Roster!$B:$B,0))&amp;""),"—"))</f>
        <v/>
      </c>
      <c r="G450" s="25">
        <f>IF($C450="","",IFERROR(IF(INDEX(Roster!$E:$E,MATCH($C450,Roster!$B:$B,0))="","",INDEX(Roster!$E:$E,MATCH($C450,Roster!$B:$B,0))&amp;""),"—"))</f>
        <v/>
      </c>
      <c r="H450" s="25">
        <f>IF($C450="","",IFERROR(IF(INDEX(Roster!$F:$F,MATCH($C450,Roster!$B:$B,0))="","",INDEX(Roster!$F:$F,MATCH($C450,Roster!$B:$B,0))&amp;""),"—"))</f>
        <v/>
      </c>
      <c r="I450" s="25">
        <f>IF($C450="","",IFERROR(IF(INDEX(Roster!$G:$G,MATCH($C450,Roster!$B:$B,0))="","",INDEX(Roster!$G:$G,MATCH($C450,Roster!$B:$B,0))&amp;""),"—"))</f>
        <v/>
      </c>
      <c r="J450" s="25">
        <f>IF($C450="","",IFERROR(IF(INDEX(Roster!$I:$I,MATCH($C450,Roster!$B:$B,0))="","",INDEX(Roster!$I:$I,MATCH($C450,Roster!$B:$B,0))&amp;""),"—"))</f>
        <v/>
      </c>
      <c r="K450">
        <f>IF($C450="","",IFERROR(IF(INDEX(Roster!$J:$J,MATCH($C450,Roster!$B:$B,0))="","",INDEX(Roster!$J:$J,MATCH($C450,Roster!$B:$B,0))&amp;""),"—"))</f>
        <v/>
      </c>
      <c r="L450">
        <f>IF($C450="","",IFERROR(IF(INDEX(Roster!$K:$K,MATCH($C450,Roster!$B:$B,0))="","",INDEX(Roster!$K:$K,MATCH($C450,Roster!$B:$B,0))&amp;""),"—"))</f>
        <v/>
      </c>
      <c r="M450" s="27" t="n"/>
      <c r="N450" s="27" t="n"/>
      <c r="O450" s="25">
        <f>IF($C450="","",IF($P450="","—",IF($P450="Valid (Pass)","Valid","Invalid")))</f>
        <v/>
      </c>
      <c r="P450" s="27" t="n"/>
      <c r="Q450" s="27" t="n"/>
      <c r="R450" s="27" t="n"/>
      <c r="S450" s="27" t="n"/>
      <c r="T450" s="25">
        <f>IF($C450="","",IF(OR(ISNUMBER(SEARCH("quick case",$P450)),ISNUMBER(SEARCH("quick case",$Q450))),"Yes","No"))</f>
        <v/>
      </c>
      <c r="U450" s="25">
        <f>IF($O450="Invalid",HYPERLINK("mailto:"&amp;$G450&amp;";"&amp;$I450&amp;"?cc="&amp;Lists!$E$2&amp;"&amp;subject="&amp;_xlfn.ENCODEURL("[INVALID] Quality audit monitoring completed for "&amp;UPPER($C450))&amp;"&amp;body="&amp;_xlfn.ENCODEURL("Hi "&amp;$F450&amp;","&amp;CHAR(10)&amp;"Good day!"&amp;CHAR(10)&amp;CHAR(10)&amp;"A quality monitoring audit has been completed for "&amp;$C450&amp;"."&amp;CHAR(10)&amp;CHAR(10)&amp;"QUALITY AUDIT DETAILS"&amp;CHAR(10)&amp;"Agent Name: "&amp;$C450&amp;" (EID "&amp;$D450&amp;")"&amp;CHAR(10)&amp;"Audit Date: "&amp;TEXT($B450,"yyyy-mm-dd")&amp;CHAR(10)&amp;"Team Leader: "&amp;$F450&amp;CHAR(10)&amp;"Case Number: "&amp;$M450&amp;CHAR(10)&amp;"Transaction ID: "&amp;$N450&amp;CHAR(10)&amp;"Channel / LOB: "&amp;$K450&amp;" / "&amp;$L450&amp;CHAR(10)&amp;"Evaluator: "&amp;$S450&amp;CHAR(10)&amp;CHAR(10)&amp;"INVALID QUALITY AUDIT DETAILS"&amp;CHAR(10)&amp;"Validation: Invalid"&amp;CHAR(10)&amp;"Invalid Reason: "&amp;$P450&amp;CHAR(10)&amp;"Expected Resolution Code: "&amp;$Q450&amp;CHAR(10)&amp;"Remarks: "&amp;LEFT($R450,600)&amp;CHAR(10)&amp;CHAR(10)&amp;"This is an automated notification from HP Mainstream EQMS."),"✉ Open Email Draft"),"")</f>
        <v/>
      </c>
    </row>
    <row r="451">
      <c r="A451" s="25">
        <f>IF($C451="","","AUD-2026-"&amp;TEXT(ROW()-1,"000000"))</f>
        <v/>
      </c>
      <c r="B451" s="26" t="n"/>
      <c r="C451" s="27" t="n"/>
      <c r="D451" s="25">
        <f>IF($C451="","",IFERROR(IF(INDEX(Roster!$A:$A,MATCH($C451,Roster!$B:$B,0))="","",INDEX(Roster!$A:$A,MATCH($C451,Roster!$B:$B,0))&amp;""),"—"))</f>
        <v/>
      </c>
      <c r="E451" s="25">
        <f>IF($C451="","",IFERROR(IF(INDEX(Roster!$C:$C,MATCH($C451,Roster!$B:$B,0))="","",INDEX(Roster!$C:$C,MATCH($C451,Roster!$B:$B,0))&amp;""),"—"))</f>
        <v/>
      </c>
      <c r="F451" s="25">
        <f>IF($C451="","",IFERROR(IF(INDEX(Roster!$D:$D,MATCH($C451,Roster!$B:$B,0))="","",INDEX(Roster!$D:$D,MATCH($C451,Roster!$B:$B,0))&amp;""),"—"))</f>
        <v/>
      </c>
      <c r="G451" s="25">
        <f>IF($C451="","",IFERROR(IF(INDEX(Roster!$E:$E,MATCH($C451,Roster!$B:$B,0))="","",INDEX(Roster!$E:$E,MATCH($C451,Roster!$B:$B,0))&amp;""),"—"))</f>
        <v/>
      </c>
      <c r="H451" s="25">
        <f>IF($C451="","",IFERROR(IF(INDEX(Roster!$F:$F,MATCH($C451,Roster!$B:$B,0))="","",INDEX(Roster!$F:$F,MATCH($C451,Roster!$B:$B,0))&amp;""),"—"))</f>
        <v/>
      </c>
      <c r="I451" s="25">
        <f>IF($C451="","",IFERROR(IF(INDEX(Roster!$G:$G,MATCH($C451,Roster!$B:$B,0))="","",INDEX(Roster!$G:$G,MATCH($C451,Roster!$B:$B,0))&amp;""),"—"))</f>
        <v/>
      </c>
      <c r="J451" s="25">
        <f>IF($C451="","",IFERROR(IF(INDEX(Roster!$I:$I,MATCH($C451,Roster!$B:$B,0))="","",INDEX(Roster!$I:$I,MATCH($C451,Roster!$B:$B,0))&amp;""),"—"))</f>
        <v/>
      </c>
      <c r="K451">
        <f>IF($C451="","",IFERROR(IF(INDEX(Roster!$J:$J,MATCH($C451,Roster!$B:$B,0))="","",INDEX(Roster!$J:$J,MATCH($C451,Roster!$B:$B,0))&amp;""),"—"))</f>
        <v/>
      </c>
      <c r="L451">
        <f>IF($C451="","",IFERROR(IF(INDEX(Roster!$K:$K,MATCH($C451,Roster!$B:$B,0))="","",INDEX(Roster!$K:$K,MATCH($C451,Roster!$B:$B,0))&amp;""),"—"))</f>
        <v/>
      </c>
      <c r="M451" s="27" t="n"/>
      <c r="N451" s="27" t="n"/>
      <c r="O451" s="25">
        <f>IF($C451="","",IF($P451="","—",IF($P451="Valid (Pass)","Valid","Invalid")))</f>
        <v/>
      </c>
      <c r="P451" s="27" t="n"/>
      <c r="Q451" s="27" t="n"/>
      <c r="R451" s="27" t="n"/>
      <c r="S451" s="27" t="n"/>
      <c r="T451" s="25">
        <f>IF($C451="","",IF(OR(ISNUMBER(SEARCH("quick case",$P451)),ISNUMBER(SEARCH("quick case",$Q451))),"Yes","No"))</f>
        <v/>
      </c>
      <c r="U451" s="25">
        <f>IF($O451="Invalid",HYPERLINK("mailto:"&amp;$G451&amp;";"&amp;$I451&amp;"?cc="&amp;Lists!$E$2&amp;"&amp;subject="&amp;_xlfn.ENCODEURL("[INVALID] Quality audit monitoring completed for "&amp;UPPER($C451))&amp;"&amp;body="&amp;_xlfn.ENCODEURL("Hi "&amp;$F451&amp;","&amp;CHAR(10)&amp;"Good day!"&amp;CHAR(10)&amp;CHAR(10)&amp;"A quality monitoring audit has been completed for "&amp;$C451&amp;"."&amp;CHAR(10)&amp;CHAR(10)&amp;"QUALITY AUDIT DETAILS"&amp;CHAR(10)&amp;"Agent Name: "&amp;$C451&amp;" (EID "&amp;$D451&amp;")"&amp;CHAR(10)&amp;"Audit Date: "&amp;TEXT($B451,"yyyy-mm-dd")&amp;CHAR(10)&amp;"Team Leader: "&amp;$F451&amp;CHAR(10)&amp;"Case Number: "&amp;$M451&amp;CHAR(10)&amp;"Transaction ID: "&amp;$N451&amp;CHAR(10)&amp;"Channel / LOB: "&amp;$K451&amp;" / "&amp;$L451&amp;CHAR(10)&amp;"Evaluator: "&amp;$S451&amp;CHAR(10)&amp;CHAR(10)&amp;"INVALID QUALITY AUDIT DETAILS"&amp;CHAR(10)&amp;"Validation: Invalid"&amp;CHAR(10)&amp;"Invalid Reason: "&amp;$P451&amp;CHAR(10)&amp;"Expected Resolution Code: "&amp;$Q451&amp;CHAR(10)&amp;"Remarks: "&amp;LEFT($R451,600)&amp;CHAR(10)&amp;CHAR(10)&amp;"This is an automated notification from HP Mainstream EQMS."),"✉ Open Email Draft"),"")</f>
        <v/>
      </c>
    </row>
    <row r="452">
      <c r="A452" s="25">
        <f>IF($C452="","","AUD-2026-"&amp;TEXT(ROW()-1,"000000"))</f>
        <v/>
      </c>
      <c r="B452" s="26" t="n"/>
      <c r="C452" s="27" t="n"/>
      <c r="D452" s="25">
        <f>IF($C452="","",IFERROR(IF(INDEX(Roster!$A:$A,MATCH($C452,Roster!$B:$B,0))="","",INDEX(Roster!$A:$A,MATCH($C452,Roster!$B:$B,0))&amp;""),"—"))</f>
        <v/>
      </c>
      <c r="E452" s="25">
        <f>IF($C452="","",IFERROR(IF(INDEX(Roster!$C:$C,MATCH($C452,Roster!$B:$B,0))="","",INDEX(Roster!$C:$C,MATCH($C452,Roster!$B:$B,0))&amp;""),"—"))</f>
        <v/>
      </c>
      <c r="F452" s="25">
        <f>IF($C452="","",IFERROR(IF(INDEX(Roster!$D:$D,MATCH($C452,Roster!$B:$B,0))="","",INDEX(Roster!$D:$D,MATCH($C452,Roster!$B:$B,0))&amp;""),"—"))</f>
        <v/>
      </c>
      <c r="G452" s="25">
        <f>IF($C452="","",IFERROR(IF(INDEX(Roster!$E:$E,MATCH($C452,Roster!$B:$B,0))="","",INDEX(Roster!$E:$E,MATCH($C452,Roster!$B:$B,0))&amp;""),"—"))</f>
        <v/>
      </c>
      <c r="H452" s="25">
        <f>IF($C452="","",IFERROR(IF(INDEX(Roster!$F:$F,MATCH($C452,Roster!$B:$B,0))="","",INDEX(Roster!$F:$F,MATCH($C452,Roster!$B:$B,0))&amp;""),"—"))</f>
        <v/>
      </c>
      <c r="I452" s="25">
        <f>IF($C452="","",IFERROR(IF(INDEX(Roster!$G:$G,MATCH($C452,Roster!$B:$B,0))="","",INDEX(Roster!$G:$G,MATCH($C452,Roster!$B:$B,0))&amp;""),"—"))</f>
        <v/>
      </c>
      <c r="J452" s="25">
        <f>IF($C452="","",IFERROR(IF(INDEX(Roster!$I:$I,MATCH($C452,Roster!$B:$B,0))="","",INDEX(Roster!$I:$I,MATCH($C452,Roster!$B:$B,0))&amp;""),"—"))</f>
        <v/>
      </c>
      <c r="K452">
        <f>IF($C452="","",IFERROR(IF(INDEX(Roster!$J:$J,MATCH($C452,Roster!$B:$B,0))="","",INDEX(Roster!$J:$J,MATCH($C452,Roster!$B:$B,0))&amp;""),"—"))</f>
        <v/>
      </c>
      <c r="L452">
        <f>IF($C452="","",IFERROR(IF(INDEX(Roster!$K:$K,MATCH($C452,Roster!$B:$B,0))="","",INDEX(Roster!$K:$K,MATCH($C452,Roster!$B:$B,0))&amp;""),"—"))</f>
        <v/>
      </c>
      <c r="M452" s="27" t="n"/>
      <c r="N452" s="27" t="n"/>
      <c r="O452" s="25">
        <f>IF($C452="","",IF($P452="","—",IF($P452="Valid (Pass)","Valid","Invalid")))</f>
        <v/>
      </c>
      <c r="P452" s="27" t="n"/>
      <c r="Q452" s="27" t="n"/>
      <c r="R452" s="27" t="n"/>
      <c r="S452" s="27" t="n"/>
      <c r="T452" s="25">
        <f>IF($C452="","",IF(OR(ISNUMBER(SEARCH("quick case",$P452)),ISNUMBER(SEARCH("quick case",$Q452))),"Yes","No"))</f>
        <v/>
      </c>
      <c r="U452" s="25">
        <f>IF($O452="Invalid",HYPERLINK("mailto:"&amp;$G452&amp;";"&amp;$I452&amp;"?cc="&amp;Lists!$E$2&amp;"&amp;subject="&amp;_xlfn.ENCODEURL("[INVALID] Quality audit monitoring completed for "&amp;UPPER($C452))&amp;"&amp;body="&amp;_xlfn.ENCODEURL("Hi "&amp;$F452&amp;","&amp;CHAR(10)&amp;"Good day!"&amp;CHAR(10)&amp;CHAR(10)&amp;"A quality monitoring audit has been completed for "&amp;$C452&amp;"."&amp;CHAR(10)&amp;CHAR(10)&amp;"QUALITY AUDIT DETAILS"&amp;CHAR(10)&amp;"Agent Name: "&amp;$C452&amp;" (EID "&amp;$D452&amp;")"&amp;CHAR(10)&amp;"Audit Date: "&amp;TEXT($B452,"yyyy-mm-dd")&amp;CHAR(10)&amp;"Team Leader: "&amp;$F452&amp;CHAR(10)&amp;"Case Number: "&amp;$M452&amp;CHAR(10)&amp;"Transaction ID: "&amp;$N452&amp;CHAR(10)&amp;"Channel / LOB: "&amp;$K452&amp;" / "&amp;$L452&amp;CHAR(10)&amp;"Evaluator: "&amp;$S452&amp;CHAR(10)&amp;CHAR(10)&amp;"INVALID QUALITY AUDIT DETAILS"&amp;CHAR(10)&amp;"Validation: Invalid"&amp;CHAR(10)&amp;"Invalid Reason: "&amp;$P452&amp;CHAR(10)&amp;"Expected Resolution Code: "&amp;$Q452&amp;CHAR(10)&amp;"Remarks: "&amp;LEFT($R452,600)&amp;CHAR(10)&amp;CHAR(10)&amp;"This is an automated notification from HP Mainstream EQMS."),"✉ Open Email Draft"),"")</f>
        <v/>
      </c>
    </row>
    <row r="453">
      <c r="A453" s="25">
        <f>IF($C453="","","AUD-2026-"&amp;TEXT(ROW()-1,"000000"))</f>
        <v/>
      </c>
      <c r="B453" s="26" t="n"/>
      <c r="C453" s="27" t="n"/>
      <c r="D453" s="25">
        <f>IF($C453="","",IFERROR(IF(INDEX(Roster!$A:$A,MATCH($C453,Roster!$B:$B,0))="","",INDEX(Roster!$A:$A,MATCH($C453,Roster!$B:$B,0))&amp;""),"—"))</f>
        <v/>
      </c>
      <c r="E453" s="25">
        <f>IF($C453="","",IFERROR(IF(INDEX(Roster!$C:$C,MATCH($C453,Roster!$B:$B,0))="","",INDEX(Roster!$C:$C,MATCH($C453,Roster!$B:$B,0))&amp;""),"—"))</f>
        <v/>
      </c>
      <c r="F453" s="25">
        <f>IF($C453="","",IFERROR(IF(INDEX(Roster!$D:$D,MATCH($C453,Roster!$B:$B,0))="","",INDEX(Roster!$D:$D,MATCH($C453,Roster!$B:$B,0))&amp;""),"—"))</f>
        <v/>
      </c>
      <c r="G453" s="25">
        <f>IF($C453="","",IFERROR(IF(INDEX(Roster!$E:$E,MATCH($C453,Roster!$B:$B,0))="","",INDEX(Roster!$E:$E,MATCH($C453,Roster!$B:$B,0))&amp;""),"—"))</f>
        <v/>
      </c>
      <c r="H453" s="25">
        <f>IF($C453="","",IFERROR(IF(INDEX(Roster!$F:$F,MATCH($C453,Roster!$B:$B,0))="","",INDEX(Roster!$F:$F,MATCH($C453,Roster!$B:$B,0))&amp;""),"—"))</f>
        <v/>
      </c>
      <c r="I453" s="25">
        <f>IF($C453="","",IFERROR(IF(INDEX(Roster!$G:$G,MATCH($C453,Roster!$B:$B,0))="","",INDEX(Roster!$G:$G,MATCH($C453,Roster!$B:$B,0))&amp;""),"—"))</f>
        <v/>
      </c>
      <c r="J453" s="25">
        <f>IF($C453="","",IFERROR(IF(INDEX(Roster!$I:$I,MATCH($C453,Roster!$B:$B,0))="","",INDEX(Roster!$I:$I,MATCH($C453,Roster!$B:$B,0))&amp;""),"—"))</f>
        <v/>
      </c>
      <c r="K453">
        <f>IF($C453="","",IFERROR(IF(INDEX(Roster!$J:$J,MATCH($C453,Roster!$B:$B,0))="","",INDEX(Roster!$J:$J,MATCH($C453,Roster!$B:$B,0))&amp;""),"—"))</f>
        <v/>
      </c>
      <c r="L453">
        <f>IF($C453="","",IFERROR(IF(INDEX(Roster!$K:$K,MATCH($C453,Roster!$B:$B,0))="","",INDEX(Roster!$K:$K,MATCH($C453,Roster!$B:$B,0))&amp;""),"—"))</f>
        <v/>
      </c>
      <c r="M453" s="27" t="n"/>
      <c r="N453" s="27" t="n"/>
      <c r="O453" s="25">
        <f>IF($C453="","",IF($P453="","—",IF($P453="Valid (Pass)","Valid","Invalid")))</f>
        <v/>
      </c>
      <c r="P453" s="27" t="n"/>
      <c r="Q453" s="27" t="n"/>
      <c r="R453" s="27" t="n"/>
      <c r="S453" s="27" t="n"/>
      <c r="T453" s="25">
        <f>IF($C453="","",IF(OR(ISNUMBER(SEARCH("quick case",$P453)),ISNUMBER(SEARCH("quick case",$Q453))),"Yes","No"))</f>
        <v/>
      </c>
      <c r="U453" s="25">
        <f>IF($O453="Invalid",HYPERLINK("mailto:"&amp;$G453&amp;";"&amp;$I453&amp;"?cc="&amp;Lists!$E$2&amp;"&amp;subject="&amp;_xlfn.ENCODEURL("[INVALID] Quality audit monitoring completed for "&amp;UPPER($C453))&amp;"&amp;body="&amp;_xlfn.ENCODEURL("Hi "&amp;$F453&amp;","&amp;CHAR(10)&amp;"Good day!"&amp;CHAR(10)&amp;CHAR(10)&amp;"A quality monitoring audit has been completed for "&amp;$C453&amp;"."&amp;CHAR(10)&amp;CHAR(10)&amp;"QUALITY AUDIT DETAILS"&amp;CHAR(10)&amp;"Agent Name: "&amp;$C453&amp;" (EID "&amp;$D453&amp;")"&amp;CHAR(10)&amp;"Audit Date: "&amp;TEXT($B453,"yyyy-mm-dd")&amp;CHAR(10)&amp;"Team Leader: "&amp;$F453&amp;CHAR(10)&amp;"Case Number: "&amp;$M453&amp;CHAR(10)&amp;"Transaction ID: "&amp;$N453&amp;CHAR(10)&amp;"Channel / LOB: "&amp;$K453&amp;" / "&amp;$L453&amp;CHAR(10)&amp;"Evaluator: "&amp;$S453&amp;CHAR(10)&amp;CHAR(10)&amp;"INVALID QUALITY AUDIT DETAILS"&amp;CHAR(10)&amp;"Validation: Invalid"&amp;CHAR(10)&amp;"Invalid Reason: "&amp;$P453&amp;CHAR(10)&amp;"Expected Resolution Code: "&amp;$Q453&amp;CHAR(10)&amp;"Remarks: "&amp;LEFT($R453,600)&amp;CHAR(10)&amp;CHAR(10)&amp;"This is an automated notification from HP Mainstream EQMS."),"✉ Open Email Draft"),"")</f>
        <v/>
      </c>
    </row>
    <row r="454">
      <c r="A454" s="25">
        <f>IF($C454="","","AUD-2026-"&amp;TEXT(ROW()-1,"000000"))</f>
        <v/>
      </c>
      <c r="B454" s="26" t="n"/>
      <c r="C454" s="27" t="n"/>
      <c r="D454" s="25">
        <f>IF($C454="","",IFERROR(IF(INDEX(Roster!$A:$A,MATCH($C454,Roster!$B:$B,0))="","",INDEX(Roster!$A:$A,MATCH($C454,Roster!$B:$B,0))&amp;""),"—"))</f>
        <v/>
      </c>
      <c r="E454" s="25">
        <f>IF($C454="","",IFERROR(IF(INDEX(Roster!$C:$C,MATCH($C454,Roster!$B:$B,0))="","",INDEX(Roster!$C:$C,MATCH($C454,Roster!$B:$B,0))&amp;""),"—"))</f>
        <v/>
      </c>
      <c r="F454" s="25">
        <f>IF($C454="","",IFERROR(IF(INDEX(Roster!$D:$D,MATCH($C454,Roster!$B:$B,0))="","",INDEX(Roster!$D:$D,MATCH($C454,Roster!$B:$B,0))&amp;""),"—"))</f>
        <v/>
      </c>
      <c r="G454" s="25">
        <f>IF($C454="","",IFERROR(IF(INDEX(Roster!$E:$E,MATCH($C454,Roster!$B:$B,0))="","",INDEX(Roster!$E:$E,MATCH($C454,Roster!$B:$B,0))&amp;""),"—"))</f>
        <v/>
      </c>
      <c r="H454" s="25">
        <f>IF($C454="","",IFERROR(IF(INDEX(Roster!$F:$F,MATCH($C454,Roster!$B:$B,0))="","",INDEX(Roster!$F:$F,MATCH($C454,Roster!$B:$B,0))&amp;""),"—"))</f>
        <v/>
      </c>
      <c r="I454" s="25">
        <f>IF($C454="","",IFERROR(IF(INDEX(Roster!$G:$G,MATCH($C454,Roster!$B:$B,0))="","",INDEX(Roster!$G:$G,MATCH($C454,Roster!$B:$B,0))&amp;""),"—"))</f>
        <v/>
      </c>
      <c r="J454" s="25">
        <f>IF($C454="","",IFERROR(IF(INDEX(Roster!$I:$I,MATCH($C454,Roster!$B:$B,0))="","",INDEX(Roster!$I:$I,MATCH($C454,Roster!$B:$B,0))&amp;""),"—"))</f>
        <v/>
      </c>
      <c r="K454">
        <f>IF($C454="","",IFERROR(IF(INDEX(Roster!$J:$J,MATCH($C454,Roster!$B:$B,0))="","",INDEX(Roster!$J:$J,MATCH($C454,Roster!$B:$B,0))&amp;""),"—"))</f>
        <v/>
      </c>
      <c r="L454">
        <f>IF($C454="","",IFERROR(IF(INDEX(Roster!$K:$K,MATCH($C454,Roster!$B:$B,0))="","",INDEX(Roster!$K:$K,MATCH($C454,Roster!$B:$B,0))&amp;""),"—"))</f>
        <v/>
      </c>
      <c r="M454" s="27" t="n"/>
      <c r="N454" s="27" t="n"/>
      <c r="O454" s="25">
        <f>IF($C454="","",IF($P454="","—",IF($P454="Valid (Pass)","Valid","Invalid")))</f>
        <v/>
      </c>
      <c r="P454" s="27" t="n"/>
      <c r="Q454" s="27" t="n"/>
      <c r="R454" s="27" t="n"/>
      <c r="S454" s="27" t="n"/>
      <c r="T454" s="25">
        <f>IF($C454="","",IF(OR(ISNUMBER(SEARCH("quick case",$P454)),ISNUMBER(SEARCH("quick case",$Q454))),"Yes","No"))</f>
        <v/>
      </c>
      <c r="U454" s="25">
        <f>IF($O454="Invalid",HYPERLINK("mailto:"&amp;$G454&amp;";"&amp;$I454&amp;"?cc="&amp;Lists!$E$2&amp;"&amp;subject="&amp;_xlfn.ENCODEURL("[INVALID] Quality audit monitoring completed for "&amp;UPPER($C454))&amp;"&amp;body="&amp;_xlfn.ENCODEURL("Hi "&amp;$F454&amp;","&amp;CHAR(10)&amp;"Good day!"&amp;CHAR(10)&amp;CHAR(10)&amp;"A quality monitoring audit has been completed for "&amp;$C454&amp;"."&amp;CHAR(10)&amp;CHAR(10)&amp;"QUALITY AUDIT DETAILS"&amp;CHAR(10)&amp;"Agent Name: "&amp;$C454&amp;" (EID "&amp;$D454&amp;")"&amp;CHAR(10)&amp;"Audit Date: "&amp;TEXT($B454,"yyyy-mm-dd")&amp;CHAR(10)&amp;"Team Leader: "&amp;$F454&amp;CHAR(10)&amp;"Case Number: "&amp;$M454&amp;CHAR(10)&amp;"Transaction ID: "&amp;$N454&amp;CHAR(10)&amp;"Channel / LOB: "&amp;$K454&amp;" / "&amp;$L454&amp;CHAR(10)&amp;"Evaluator: "&amp;$S454&amp;CHAR(10)&amp;CHAR(10)&amp;"INVALID QUALITY AUDIT DETAILS"&amp;CHAR(10)&amp;"Validation: Invalid"&amp;CHAR(10)&amp;"Invalid Reason: "&amp;$P454&amp;CHAR(10)&amp;"Expected Resolution Code: "&amp;$Q454&amp;CHAR(10)&amp;"Remarks: "&amp;LEFT($R454,600)&amp;CHAR(10)&amp;CHAR(10)&amp;"This is an automated notification from HP Mainstream EQMS."),"✉ Open Email Draft"),"")</f>
        <v/>
      </c>
    </row>
    <row r="455">
      <c r="A455" s="25">
        <f>IF($C455="","","AUD-2026-"&amp;TEXT(ROW()-1,"000000"))</f>
        <v/>
      </c>
      <c r="B455" s="26" t="n"/>
      <c r="C455" s="27" t="n"/>
      <c r="D455" s="25">
        <f>IF($C455="","",IFERROR(IF(INDEX(Roster!$A:$A,MATCH($C455,Roster!$B:$B,0))="","",INDEX(Roster!$A:$A,MATCH($C455,Roster!$B:$B,0))&amp;""),"—"))</f>
        <v/>
      </c>
      <c r="E455" s="25">
        <f>IF($C455="","",IFERROR(IF(INDEX(Roster!$C:$C,MATCH($C455,Roster!$B:$B,0))="","",INDEX(Roster!$C:$C,MATCH($C455,Roster!$B:$B,0))&amp;""),"—"))</f>
        <v/>
      </c>
      <c r="F455" s="25">
        <f>IF($C455="","",IFERROR(IF(INDEX(Roster!$D:$D,MATCH($C455,Roster!$B:$B,0))="","",INDEX(Roster!$D:$D,MATCH($C455,Roster!$B:$B,0))&amp;""),"—"))</f>
        <v/>
      </c>
      <c r="G455" s="25">
        <f>IF($C455="","",IFERROR(IF(INDEX(Roster!$E:$E,MATCH($C455,Roster!$B:$B,0))="","",INDEX(Roster!$E:$E,MATCH($C455,Roster!$B:$B,0))&amp;""),"—"))</f>
        <v/>
      </c>
      <c r="H455" s="25">
        <f>IF($C455="","",IFERROR(IF(INDEX(Roster!$F:$F,MATCH($C455,Roster!$B:$B,0))="","",INDEX(Roster!$F:$F,MATCH($C455,Roster!$B:$B,0))&amp;""),"—"))</f>
        <v/>
      </c>
      <c r="I455" s="25">
        <f>IF($C455="","",IFERROR(IF(INDEX(Roster!$G:$G,MATCH($C455,Roster!$B:$B,0))="","",INDEX(Roster!$G:$G,MATCH($C455,Roster!$B:$B,0))&amp;""),"—"))</f>
        <v/>
      </c>
      <c r="J455" s="25">
        <f>IF($C455="","",IFERROR(IF(INDEX(Roster!$I:$I,MATCH($C455,Roster!$B:$B,0))="","",INDEX(Roster!$I:$I,MATCH($C455,Roster!$B:$B,0))&amp;""),"—"))</f>
        <v/>
      </c>
      <c r="K455">
        <f>IF($C455="","",IFERROR(IF(INDEX(Roster!$J:$J,MATCH($C455,Roster!$B:$B,0))="","",INDEX(Roster!$J:$J,MATCH($C455,Roster!$B:$B,0))&amp;""),"—"))</f>
        <v/>
      </c>
      <c r="L455">
        <f>IF($C455="","",IFERROR(IF(INDEX(Roster!$K:$K,MATCH($C455,Roster!$B:$B,0))="","",INDEX(Roster!$K:$K,MATCH($C455,Roster!$B:$B,0))&amp;""),"—"))</f>
        <v/>
      </c>
      <c r="M455" s="27" t="n"/>
      <c r="N455" s="27" t="n"/>
      <c r="O455" s="25">
        <f>IF($C455="","",IF($P455="","—",IF($P455="Valid (Pass)","Valid","Invalid")))</f>
        <v/>
      </c>
      <c r="P455" s="27" t="n"/>
      <c r="Q455" s="27" t="n"/>
      <c r="R455" s="27" t="n"/>
      <c r="S455" s="27" t="n"/>
      <c r="T455" s="25">
        <f>IF($C455="","",IF(OR(ISNUMBER(SEARCH("quick case",$P455)),ISNUMBER(SEARCH("quick case",$Q455))),"Yes","No"))</f>
        <v/>
      </c>
      <c r="U455" s="25">
        <f>IF($O455="Invalid",HYPERLINK("mailto:"&amp;$G455&amp;";"&amp;$I455&amp;"?cc="&amp;Lists!$E$2&amp;"&amp;subject="&amp;_xlfn.ENCODEURL("[INVALID] Quality audit monitoring completed for "&amp;UPPER($C455))&amp;"&amp;body="&amp;_xlfn.ENCODEURL("Hi "&amp;$F455&amp;","&amp;CHAR(10)&amp;"Good day!"&amp;CHAR(10)&amp;CHAR(10)&amp;"A quality monitoring audit has been completed for "&amp;$C455&amp;"."&amp;CHAR(10)&amp;CHAR(10)&amp;"QUALITY AUDIT DETAILS"&amp;CHAR(10)&amp;"Agent Name: "&amp;$C455&amp;" (EID "&amp;$D455&amp;")"&amp;CHAR(10)&amp;"Audit Date: "&amp;TEXT($B455,"yyyy-mm-dd")&amp;CHAR(10)&amp;"Team Leader: "&amp;$F455&amp;CHAR(10)&amp;"Case Number: "&amp;$M455&amp;CHAR(10)&amp;"Transaction ID: "&amp;$N455&amp;CHAR(10)&amp;"Channel / LOB: "&amp;$K455&amp;" / "&amp;$L455&amp;CHAR(10)&amp;"Evaluator: "&amp;$S455&amp;CHAR(10)&amp;CHAR(10)&amp;"INVALID QUALITY AUDIT DETAILS"&amp;CHAR(10)&amp;"Validation: Invalid"&amp;CHAR(10)&amp;"Invalid Reason: "&amp;$P455&amp;CHAR(10)&amp;"Expected Resolution Code: "&amp;$Q455&amp;CHAR(10)&amp;"Remarks: "&amp;LEFT($R455,600)&amp;CHAR(10)&amp;CHAR(10)&amp;"This is an automated notification from HP Mainstream EQMS."),"✉ Open Email Draft"),"")</f>
        <v/>
      </c>
    </row>
    <row r="456">
      <c r="A456" s="25">
        <f>IF($C456="","","AUD-2026-"&amp;TEXT(ROW()-1,"000000"))</f>
        <v/>
      </c>
      <c r="B456" s="26" t="n"/>
      <c r="C456" s="27" t="n"/>
      <c r="D456" s="25">
        <f>IF($C456="","",IFERROR(IF(INDEX(Roster!$A:$A,MATCH($C456,Roster!$B:$B,0))="","",INDEX(Roster!$A:$A,MATCH($C456,Roster!$B:$B,0))&amp;""),"—"))</f>
        <v/>
      </c>
      <c r="E456" s="25">
        <f>IF($C456="","",IFERROR(IF(INDEX(Roster!$C:$C,MATCH($C456,Roster!$B:$B,0))="","",INDEX(Roster!$C:$C,MATCH($C456,Roster!$B:$B,0))&amp;""),"—"))</f>
        <v/>
      </c>
      <c r="F456" s="25">
        <f>IF($C456="","",IFERROR(IF(INDEX(Roster!$D:$D,MATCH($C456,Roster!$B:$B,0))="","",INDEX(Roster!$D:$D,MATCH($C456,Roster!$B:$B,0))&amp;""),"—"))</f>
        <v/>
      </c>
      <c r="G456" s="25">
        <f>IF($C456="","",IFERROR(IF(INDEX(Roster!$E:$E,MATCH($C456,Roster!$B:$B,0))="","",INDEX(Roster!$E:$E,MATCH($C456,Roster!$B:$B,0))&amp;""),"—"))</f>
        <v/>
      </c>
      <c r="H456" s="25">
        <f>IF($C456="","",IFERROR(IF(INDEX(Roster!$F:$F,MATCH($C456,Roster!$B:$B,0))="","",INDEX(Roster!$F:$F,MATCH($C456,Roster!$B:$B,0))&amp;""),"—"))</f>
        <v/>
      </c>
      <c r="I456" s="25">
        <f>IF($C456="","",IFERROR(IF(INDEX(Roster!$G:$G,MATCH($C456,Roster!$B:$B,0))="","",INDEX(Roster!$G:$G,MATCH($C456,Roster!$B:$B,0))&amp;""),"—"))</f>
        <v/>
      </c>
      <c r="J456" s="25">
        <f>IF($C456="","",IFERROR(IF(INDEX(Roster!$I:$I,MATCH($C456,Roster!$B:$B,0))="","",INDEX(Roster!$I:$I,MATCH($C456,Roster!$B:$B,0))&amp;""),"—"))</f>
        <v/>
      </c>
      <c r="K456">
        <f>IF($C456="","",IFERROR(IF(INDEX(Roster!$J:$J,MATCH($C456,Roster!$B:$B,0))="","",INDEX(Roster!$J:$J,MATCH($C456,Roster!$B:$B,0))&amp;""),"—"))</f>
        <v/>
      </c>
      <c r="L456">
        <f>IF($C456="","",IFERROR(IF(INDEX(Roster!$K:$K,MATCH($C456,Roster!$B:$B,0))="","",INDEX(Roster!$K:$K,MATCH($C456,Roster!$B:$B,0))&amp;""),"—"))</f>
        <v/>
      </c>
      <c r="M456" s="27" t="n"/>
      <c r="N456" s="27" t="n"/>
      <c r="O456" s="25">
        <f>IF($C456="","",IF($P456="","—",IF($P456="Valid (Pass)","Valid","Invalid")))</f>
        <v/>
      </c>
      <c r="P456" s="27" t="n"/>
      <c r="Q456" s="27" t="n"/>
      <c r="R456" s="27" t="n"/>
      <c r="S456" s="27" t="n"/>
      <c r="T456" s="25">
        <f>IF($C456="","",IF(OR(ISNUMBER(SEARCH("quick case",$P456)),ISNUMBER(SEARCH("quick case",$Q456))),"Yes","No"))</f>
        <v/>
      </c>
      <c r="U456" s="25">
        <f>IF($O456="Invalid",HYPERLINK("mailto:"&amp;$G456&amp;";"&amp;$I456&amp;"?cc="&amp;Lists!$E$2&amp;"&amp;subject="&amp;_xlfn.ENCODEURL("[INVALID] Quality audit monitoring completed for "&amp;UPPER($C456))&amp;"&amp;body="&amp;_xlfn.ENCODEURL("Hi "&amp;$F456&amp;","&amp;CHAR(10)&amp;"Good day!"&amp;CHAR(10)&amp;CHAR(10)&amp;"A quality monitoring audit has been completed for "&amp;$C456&amp;"."&amp;CHAR(10)&amp;CHAR(10)&amp;"QUALITY AUDIT DETAILS"&amp;CHAR(10)&amp;"Agent Name: "&amp;$C456&amp;" (EID "&amp;$D456&amp;")"&amp;CHAR(10)&amp;"Audit Date: "&amp;TEXT($B456,"yyyy-mm-dd")&amp;CHAR(10)&amp;"Team Leader: "&amp;$F456&amp;CHAR(10)&amp;"Case Number: "&amp;$M456&amp;CHAR(10)&amp;"Transaction ID: "&amp;$N456&amp;CHAR(10)&amp;"Channel / LOB: "&amp;$K456&amp;" / "&amp;$L456&amp;CHAR(10)&amp;"Evaluator: "&amp;$S456&amp;CHAR(10)&amp;CHAR(10)&amp;"INVALID QUALITY AUDIT DETAILS"&amp;CHAR(10)&amp;"Validation: Invalid"&amp;CHAR(10)&amp;"Invalid Reason: "&amp;$P456&amp;CHAR(10)&amp;"Expected Resolution Code: "&amp;$Q456&amp;CHAR(10)&amp;"Remarks: "&amp;LEFT($R456,600)&amp;CHAR(10)&amp;CHAR(10)&amp;"This is an automated notification from HP Mainstream EQMS."),"✉ Open Email Draft"),"")</f>
        <v/>
      </c>
    </row>
    <row r="457">
      <c r="A457" s="25">
        <f>IF($C457="","","AUD-2026-"&amp;TEXT(ROW()-1,"000000"))</f>
        <v/>
      </c>
      <c r="B457" s="26" t="n"/>
      <c r="C457" s="27" t="n"/>
      <c r="D457" s="25">
        <f>IF($C457="","",IFERROR(IF(INDEX(Roster!$A:$A,MATCH($C457,Roster!$B:$B,0))="","",INDEX(Roster!$A:$A,MATCH($C457,Roster!$B:$B,0))&amp;""),"—"))</f>
        <v/>
      </c>
      <c r="E457" s="25">
        <f>IF($C457="","",IFERROR(IF(INDEX(Roster!$C:$C,MATCH($C457,Roster!$B:$B,0))="","",INDEX(Roster!$C:$C,MATCH($C457,Roster!$B:$B,0))&amp;""),"—"))</f>
        <v/>
      </c>
      <c r="F457" s="25">
        <f>IF($C457="","",IFERROR(IF(INDEX(Roster!$D:$D,MATCH($C457,Roster!$B:$B,0))="","",INDEX(Roster!$D:$D,MATCH($C457,Roster!$B:$B,0))&amp;""),"—"))</f>
        <v/>
      </c>
      <c r="G457" s="25">
        <f>IF($C457="","",IFERROR(IF(INDEX(Roster!$E:$E,MATCH($C457,Roster!$B:$B,0))="","",INDEX(Roster!$E:$E,MATCH($C457,Roster!$B:$B,0))&amp;""),"—"))</f>
        <v/>
      </c>
      <c r="H457" s="25">
        <f>IF($C457="","",IFERROR(IF(INDEX(Roster!$F:$F,MATCH($C457,Roster!$B:$B,0))="","",INDEX(Roster!$F:$F,MATCH($C457,Roster!$B:$B,0))&amp;""),"—"))</f>
        <v/>
      </c>
      <c r="I457" s="25">
        <f>IF($C457="","",IFERROR(IF(INDEX(Roster!$G:$G,MATCH($C457,Roster!$B:$B,0))="","",INDEX(Roster!$G:$G,MATCH($C457,Roster!$B:$B,0))&amp;""),"—"))</f>
        <v/>
      </c>
      <c r="J457" s="25">
        <f>IF($C457="","",IFERROR(IF(INDEX(Roster!$I:$I,MATCH($C457,Roster!$B:$B,0))="","",INDEX(Roster!$I:$I,MATCH($C457,Roster!$B:$B,0))&amp;""),"—"))</f>
        <v/>
      </c>
      <c r="K457">
        <f>IF($C457="","",IFERROR(IF(INDEX(Roster!$J:$J,MATCH($C457,Roster!$B:$B,0))="","",INDEX(Roster!$J:$J,MATCH($C457,Roster!$B:$B,0))&amp;""),"—"))</f>
        <v/>
      </c>
      <c r="L457">
        <f>IF($C457="","",IFERROR(IF(INDEX(Roster!$K:$K,MATCH($C457,Roster!$B:$B,0))="","",INDEX(Roster!$K:$K,MATCH($C457,Roster!$B:$B,0))&amp;""),"—"))</f>
        <v/>
      </c>
      <c r="M457" s="27" t="n"/>
      <c r="N457" s="27" t="n"/>
      <c r="O457" s="25">
        <f>IF($C457="","",IF($P457="","—",IF($P457="Valid (Pass)","Valid","Invalid")))</f>
        <v/>
      </c>
      <c r="P457" s="27" t="n"/>
      <c r="Q457" s="27" t="n"/>
      <c r="R457" s="27" t="n"/>
      <c r="S457" s="27" t="n"/>
      <c r="T457" s="25">
        <f>IF($C457="","",IF(OR(ISNUMBER(SEARCH("quick case",$P457)),ISNUMBER(SEARCH("quick case",$Q457))),"Yes","No"))</f>
        <v/>
      </c>
      <c r="U457" s="25">
        <f>IF($O457="Invalid",HYPERLINK("mailto:"&amp;$G457&amp;";"&amp;$I457&amp;"?cc="&amp;Lists!$E$2&amp;"&amp;subject="&amp;_xlfn.ENCODEURL("[INVALID] Quality audit monitoring completed for "&amp;UPPER($C457))&amp;"&amp;body="&amp;_xlfn.ENCODEURL("Hi "&amp;$F457&amp;","&amp;CHAR(10)&amp;"Good day!"&amp;CHAR(10)&amp;CHAR(10)&amp;"A quality monitoring audit has been completed for "&amp;$C457&amp;"."&amp;CHAR(10)&amp;CHAR(10)&amp;"QUALITY AUDIT DETAILS"&amp;CHAR(10)&amp;"Agent Name: "&amp;$C457&amp;" (EID "&amp;$D457&amp;")"&amp;CHAR(10)&amp;"Audit Date: "&amp;TEXT($B457,"yyyy-mm-dd")&amp;CHAR(10)&amp;"Team Leader: "&amp;$F457&amp;CHAR(10)&amp;"Case Number: "&amp;$M457&amp;CHAR(10)&amp;"Transaction ID: "&amp;$N457&amp;CHAR(10)&amp;"Channel / LOB: "&amp;$K457&amp;" / "&amp;$L457&amp;CHAR(10)&amp;"Evaluator: "&amp;$S457&amp;CHAR(10)&amp;CHAR(10)&amp;"INVALID QUALITY AUDIT DETAILS"&amp;CHAR(10)&amp;"Validation: Invalid"&amp;CHAR(10)&amp;"Invalid Reason: "&amp;$P457&amp;CHAR(10)&amp;"Expected Resolution Code: "&amp;$Q457&amp;CHAR(10)&amp;"Remarks: "&amp;LEFT($R457,600)&amp;CHAR(10)&amp;CHAR(10)&amp;"This is an automated notification from HP Mainstream EQMS."),"✉ Open Email Draft"),"")</f>
        <v/>
      </c>
    </row>
    <row r="458">
      <c r="A458" s="25">
        <f>IF($C458="","","AUD-2026-"&amp;TEXT(ROW()-1,"000000"))</f>
        <v/>
      </c>
      <c r="B458" s="26" t="n"/>
      <c r="C458" s="27" t="n"/>
      <c r="D458" s="25">
        <f>IF($C458="","",IFERROR(IF(INDEX(Roster!$A:$A,MATCH($C458,Roster!$B:$B,0))="","",INDEX(Roster!$A:$A,MATCH($C458,Roster!$B:$B,0))&amp;""),"—"))</f>
        <v/>
      </c>
      <c r="E458" s="25">
        <f>IF($C458="","",IFERROR(IF(INDEX(Roster!$C:$C,MATCH($C458,Roster!$B:$B,0))="","",INDEX(Roster!$C:$C,MATCH($C458,Roster!$B:$B,0))&amp;""),"—"))</f>
        <v/>
      </c>
      <c r="F458" s="25">
        <f>IF($C458="","",IFERROR(IF(INDEX(Roster!$D:$D,MATCH($C458,Roster!$B:$B,0))="","",INDEX(Roster!$D:$D,MATCH($C458,Roster!$B:$B,0))&amp;""),"—"))</f>
        <v/>
      </c>
      <c r="G458" s="25">
        <f>IF($C458="","",IFERROR(IF(INDEX(Roster!$E:$E,MATCH($C458,Roster!$B:$B,0))="","",INDEX(Roster!$E:$E,MATCH($C458,Roster!$B:$B,0))&amp;""),"—"))</f>
        <v/>
      </c>
      <c r="H458" s="25">
        <f>IF($C458="","",IFERROR(IF(INDEX(Roster!$F:$F,MATCH($C458,Roster!$B:$B,0))="","",INDEX(Roster!$F:$F,MATCH($C458,Roster!$B:$B,0))&amp;""),"—"))</f>
        <v/>
      </c>
      <c r="I458" s="25">
        <f>IF($C458="","",IFERROR(IF(INDEX(Roster!$G:$G,MATCH($C458,Roster!$B:$B,0))="","",INDEX(Roster!$G:$G,MATCH($C458,Roster!$B:$B,0))&amp;""),"—"))</f>
        <v/>
      </c>
      <c r="J458" s="25">
        <f>IF($C458="","",IFERROR(IF(INDEX(Roster!$I:$I,MATCH($C458,Roster!$B:$B,0))="","",INDEX(Roster!$I:$I,MATCH($C458,Roster!$B:$B,0))&amp;""),"—"))</f>
        <v/>
      </c>
      <c r="K458">
        <f>IF($C458="","",IFERROR(IF(INDEX(Roster!$J:$J,MATCH($C458,Roster!$B:$B,0))="","",INDEX(Roster!$J:$J,MATCH($C458,Roster!$B:$B,0))&amp;""),"—"))</f>
        <v/>
      </c>
      <c r="L458">
        <f>IF($C458="","",IFERROR(IF(INDEX(Roster!$K:$K,MATCH($C458,Roster!$B:$B,0))="","",INDEX(Roster!$K:$K,MATCH($C458,Roster!$B:$B,0))&amp;""),"—"))</f>
        <v/>
      </c>
      <c r="M458" s="27" t="n"/>
      <c r="N458" s="27" t="n"/>
      <c r="O458" s="25">
        <f>IF($C458="","",IF($P458="","—",IF($P458="Valid (Pass)","Valid","Invalid")))</f>
        <v/>
      </c>
      <c r="P458" s="27" t="n"/>
      <c r="Q458" s="27" t="n"/>
      <c r="R458" s="27" t="n"/>
      <c r="S458" s="27" t="n"/>
      <c r="T458" s="25">
        <f>IF($C458="","",IF(OR(ISNUMBER(SEARCH("quick case",$P458)),ISNUMBER(SEARCH("quick case",$Q458))),"Yes","No"))</f>
        <v/>
      </c>
      <c r="U458" s="25">
        <f>IF($O458="Invalid",HYPERLINK("mailto:"&amp;$G458&amp;";"&amp;$I458&amp;"?cc="&amp;Lists!$E$2&amp;"&amp;subject="&amp;_xlfn.ENCODEURL("[INVALID] Quality audit monitoring completed for "&amp;UPPER($C458))&amp;"&amp;body="&amp;_xlfn.ENCODEURL("Hi "&amp;$F458&amp;","&amp;CHAR(10)&amp;"Good day!"&amp;CHAR(10)&amp;CHAR(10)&amp;"A quality monitoring audit has been completed for "&amp;$C458&amp;"."&amp;CHAR(10)&amp;CHAR(10)&amp;"QUALITY AUDIT DETAILS"&amp;CHAR(10)&amp;"Agent Name: "&amp;$C458&amp;" (EID "&amp;$D458&amp;")"&amp;CHAR(10)&amp;"Audit Date: "&amp;TEXT($B458,"yyyy-mm-dd")&amp;CHAR(10)&amp;"Team Leader: "&amp;$F458&amp;CHAR(10)&amp;"Case Number: "&amp;$M458&amp;CHAR(10)&amp;"Transaction ID: "&amp;$N458&amp;CHAR(10)&amp;"Channel / LOB: "&amp;$K458&amp;" / "&amp;$L458&amp;CHAR(10)&amp;"Evaluator: "&amp;$S458&amp;CHAR(10)&amp;CHAR(10)&amp;"INVALID QUALITY AUDIT DETAILS"&amp;CHAR(10)&amp;"Validation: Invalid"&amp;CHAR(10)&amp;"Invalid Reason: "&amp;$P458&amp;CHAR(10)&amp;"Expected Resolution Code: "&amp;$Q458&amp;CHAR(10)&amp;"Remarks: "&amp;LEFT($R458,600)&amp;CHAR(10)&amp;CHAR(10)&amp;"This is an automated notification from HP Mainstream EQMS."),"✉ Open Email Draft"),"")</f>
        <v/>
      </c>
    </row>
    <row r="459">
      <c r="A459" s="25">
        <f>IF($C459="","","AUD-2026-"&amp;TEXT(ROW()-1,"000000"))</f>
        <v/>
      </c>
      <c r="B459" s="26" t="n"/>
      <c r="C459" s="27" t="n"/>
      <c r="D459" s="25">
        <f>IF($C459="","",IFERROR(IF(INDEX(Roster!$A:$A,MATCH($C459,Roster!$B:$B,0))="","",INDEX(Roster!$A:$A,MATCH($C459,Roster!$B:$B,0))&amp;""),"—"))</f>
        <v/>
      </c>
      <c r="E459" s="25">
        <f>IF($C459="","",IFERROR(IF(INDEX(Roster!$C:$C,MATCH($C459,Roster!$B:$B,0))="","",INDEX(Roster!$C:$C,MATCH($C459,Roster!$B:$B,0))&amp;""),"—"))</f>
        <v/>
      </c>
      <c r="F459" s="25">
        <f>IF($C459="","",IFERROR(IF(INDEX(Roster!$D:$D,MATCH($C459,Roster!$B:$B,0))="","",INDEX(Roster!$D:$D,MATCH($C459,Roster!$B:$B,0))&amp;""),"—"))</f>
        <v/>
      </c>
      <c r="G459" s="25">
        <f>IF($C459="","",IFERROR(IF(INDEX(Roster!$E:$E,MATCH($C459,Roster!$B:$B,0))="","",INDEX(Roster!$E:$E,MATCH($C459,Roster!$B:$B,0))&amp;""),"—"))</f>
        <v/>
      </c>
      <c r="H459" s="25">
        <f>IF($C459="","",IFERROR(IF(INDEX(Roster!$F:$F,MATCH($C459,Roster!$B:$B,0))="","",INDEX(Roster!$F:$F,MATCH($C459,Roster!$B:$B,0))&amp;""),"—"))</f>
        <v/>
      </c>
      <c r="I459" s="25">
        <f>IF($C459="","",IFERROR(IF(INDEX(Roster!$G:$G,MATCH($C459,Roster!$B:$B,0))="","",INDEX(Roster!$G:$G,MATCH($C459,Roster!$B:$B,0))&amp;""),"—"))</f>
        <v/>
      </c>
      <c r="J459" s="25">
        <f>IF($C459="","",IFERROR(IF(INDEX(Roster!$I:$I,MATCH($C459,Roster!$B:$B,0))="","",INDEX(Roster!$I:$I,MATCH($C459,Roster!$B:$B,0))&amp;""),"—"))</f>
        <v/>
      </c>
      <c r="K459">
        <f>IF($C459="","",IFERROR(IF(INDEX(Roster!$J:$J,MATCH($C459,Roster!$B:$B,0))="","",INDEX(Roster!$J:$J,MATCH($C459,Roster!$B:$B,0))&amp;""),"—"))</f>
        <v/>
      </c>
      <c r="L459">
        <f>IF($C459="","",IFERROR(IF(INDEX(Roster!$K:$K,MATCH($C459,Roster!$B:$B,0))="","",INDEX(Roster!$K:$K,MATCH($C459,Roster!$B:$B,0))&amp;""),"—"))</f>
        <v/>
      </c>
      <c r="M459" s="27" t="n"/>
      <c r="N459" s="27" t="n"/>
      <c r="O459" s="25">
        <f>IF($C459="","",IF($P459="","—",IF($P459="Valid (Pass)","Valid","Invalid")))</f>
        <v/>
      </c>
      <c r="P459" s="27" t="n"/>
      <c r="Q459" s="27" t="n"/>
      <c r="R459" s="27" t="n"/>
      <c r="S459" s="27" t="n"/>
      <c r="T459" s="25">
        <f>IF($C459="","",IF(OR(ISNUMBER(SEARCH("quick case",$P459)),ISNUMBER(SEARCH("quick case",$Q459))),"Yes","No"))</f>
        <v/>
      </c>
      <c r="U459" s="25">
        <f>IF($O459="Invalid",HYPERLINK("mailto:"&amp;$G459&amp;";"&amp;$I459&amp;"?cc="&amp;Lists!$E$2&amp;"&amp;subject="&amp;_xlfn.ENCODEURL("[INVALID] Quality audit monitoring completed for "&amp;UPPER($C459))&amp;"&amp;body="&amp;_xlfn.ENCODEURL("Hi "&amp;$F459&amp;","&amp;CHAR(10)&amp;"Good day!"&amp;CHAR(10)&amp;CHAR(10)&amp;"A quality monitoring audit has been completed for "&amp;$C459&amp;"."&amp;CHAR(10)&amp;CHAR(10)&amp;"QUALITY AUDIT DETAILS"&amp;CHAR(10)&amp;"Agent Name: "&amp;$C459&amp;" (EID "&amp;$D459&amp;")"&amp;CHAR(10)&amp;"Audit Date: "&amp;TEXT($B459,"yyyy-mm-dd")&amp;CHAR(10)&amp;"Team Leader: "&amp;$F459&amp;CHAR(10)&amp;"Case Number: "&amp;$M459&amp;CHAR(10)&amp;"Transaction ID: "&amp;$N459&amp;CHAR(10)&amp;"Channel / LOB: "&amp;$K459&amp;" / "&amp;$L459&amp;CHAR(10)&amp;"Evaluator: "&amp;$S459&amp;CHAR(10)&amp;CHAR(10)&amp;"INVALID QUALITY AUDIT DETAILS"&amp;CHAR(10)&amp;"Validation: Invalid"&amp;CHAR(10)&amp;"Invalid Reason: "&amp;$P459&amp;CHAR(10)&amp;"Expected Resolution Code: "&amp;$Q459&amp;CHAR(10)&amp;"Remarks: "&amp;LEFT($R459,600)&amp;CHAR(10)&amp;CHAR(10)&amp;"This is an automated notification from HP Mainstream EQMS."),"✉ Open Email Draft"),"")</f>
        <v/>
      </c>
    </row>
    <row r="460">
      <c r="A460" s="25">
        <f>IF($C460="","","AUD-2026-"&amp;TEXT(ROW()-1,"000000"))</f>
        <v/>
      </c>
      <c r="B460" s="26" t="n"/>
      <c r="C460" s="27" t="n"/>
      <c r="D460" s="25">
        <f>IF($C460="","",IFERROR(IF(INDEX(Roster!$A:$A,MATCH($C460,Roster!$B:$B,0))="","",INDEX(Roster!$A:$A,MATCH($C460,Roster!$B:$B,0))&amp;""),"—"))</f>
        <v/>
      </c>
      <c r="E460" s="25">
        <f>IF($C460="","",IFERROR(IF(INDEX(Roster!$C:$C,MATCH($C460,Roster!$B:$B,0))="","",INDEX(Roster!$C:$C,MATCH($C460,Roster!$B:$B,0))&amp;""),"—"))</f>
        <v/>
      </c>
      <c r="F460" s="25">
        <f>IF($C460="","",IFERROR(IF(INDEX(Roster!$D:$D,MATCH($C460,Roster!$B:$B,0))="","",INDEX(Roster!$D:$D,MATCH($C460,Roster!$B:$B,0))&amp;""),"—"))</f>
        <v/>
      </c>
      <c r="G460" s="25">
        <f>IF($C460="","",IFERROR(IF(INDEX(Roster!$E:$E,MATCH($C460,Roster!$B:$B,0))="","",INDEX(Roster!$E:$E,MATCH($C460,Roster!$B:$B,0))&amp;""),"—"))</f>
        <v/>
      </c>
      <c r="H460" s="25">
        <f>IF($C460="","",IFERROR(IF(INDEX(Roster!$F:$F,MATCH($C460,Roster!$B:$B,0))="","",INDEX(Roster!$F:$F,MATCH($C460,Roster!$B:$B,0))&amp;""),"—"))</f>
        <v/>
      </c>
      <c r="I460" s="25">
        <f>IF($C460="","",IFERROR(IF(INDEX(Roster!$G:$G,MATCH($C460,Roster!$B:$B,0))="","",INDEX(Roster!$G:$G,MATCH($C460,Roster!$B:$B,0))&amp;""),"—"))</f>
        <v/>
      </c>
      <c r="J460" s="25">
        <f>IF($C460="","",IFERROR(IF(INDEX(Roster!$I:$I,MATCH($C460,Roster!$B:$B,0))="","",INDEX(Roster!$I:$I,MATCH($C460,Roster!$B:$B,0))&amp;""),"—"))</f>
        <v/>
      </c>
      <c r="K460">
        <f>IF($C460="","",IFERROR(IF(INDEX(Roster!$J:$J,MATCH($C460,Roster!$B:$B,0))="","",INDEX(Roster!$J:$J,MATCH($C460,Roster!$B:$B,0))&amp;""),"—"))</f>
        <v/>
      </c>
      <c r="L460">
        <f>IF($C460="","",IFERROR(IF(INDEX(Roster!$K:$K,MATCH($C460,Roster!$B:$B,0))="","",INDEX(Roster!$K:$K,MATCH($C460,Roster!$B:$B,0))&amp;""),"—"))</f>
        <v/>
      </c>
      <c r="M460" s="27" t="n"/>
      <c r="N460" s="27" t="n"/>
      <c r="O460" s="25">
        <f>IF($C460="","",IF($P460="","—",IF($P460="Valid (Pass)","Valid","Invalid")))</f>
        <v/>
      </c>
      <c r="P460" s="27" t="n"/>
      <c r="Q460" s="27" t="n"/>
      <c r="R460" s="27" t="n"/>
      <c r="S460" s="27" t="n"/>
      <c r="T460" s="25">
        <f>IF($C460="","",IF(OR(ISNUMBER(SEARCH("quick case",$P460)),ISNUMBER(SEARCH("quick case",$Q460))),"Yes","No"))</f>
        <v/>
      </c>
      <c r="U460" s="25">
        <f>IF($O460="Invalid",HYPERLINK("mailto:"&amp;$G460&amp;";"&amp;$I460&amp;"?cc="&amp;Lists!$E$2&amp;"&amp;subject="&amp;_xlfn.ENCODEURL("[INVALID] Quality audit monitoring completed for "&amp;UPPER($C460))&amp;"&amp;body="&amp;_xlfn.ENCODEURL("Hi "&amp;$F460&amp;","&amp;CHAR(10)&amp;"Good day!"&amp;CHAR(10)&amp;CHAR(10)&amp;"A quality monitoring audit has been completed for "&amp;$C460&amp;"."&amp;CHAR(10)&amp;CHAR(10)&amp;"QUALITY AUDIT DETAILS"&amp;CHAR(10)&amp;"Agent Name: "&amp;$C460&amp;" (EID "&amp;$D460&amp;")"&amp;CHAR(10)&amp;"Audit Date: "&amp;TEXT($B460,"yyyy-mm-dd")&amp;CHAR(10)&amp;"Team Leader: "&amp;$F460&amp;CHAR(10)&amp;"Case Number: "&amp;$M460&amp;CHAR(10)&amp;"Transaction ID: "&amp;$N460&amp;CHAR(10)&amp;"Channel / LOB: "&amp;$K460&amp;" / "&amp;$L460&amp;CHAR(10)&amp;"Evaluator: "&amp;$S460&amp;CHAR(10)&amp;CHAR(10)&amp;"INVALID QUALITY AUDIT DETAILS"&amp;CHAR(10)&amp;"Validation: Invalid"&amp;CHAR(10)&amp;"Invalid Reason: "&amp;$P460&amp;CHAR(10)&amp;"Expected Resolution Code: "&amp;$Q460&amp;CHAR(10)&amp;"Remarks: "&amp;LEFT($R460,600)&amp;CHAR(10)&amp;CHAR(10)&amp;"This is an automated notification from HP Mainstream EQMS."),"✉ Open Email Draft"),"")</f>
        <v/>
      </c>
    </row>
    <row r="461">
      <c r="A461" s="25">
        <f>IF($C461="","","AUD-2026-"&amp;TEXT(ROW()-1,"000000"))</f>
        <v/>
      </c>
      <c r="B461" s="26" t="n"/>
      <c r="C461" s="27" t="n"/>
      <c r="D461" s="25">
        <f>IF($C461="","",IFERROR(IF(INDEX(Roster!$A:$A,MATCH($C461,Roster!$B:$B,0))="","",INDEX(Roster!$A:$A,MATCH($C461,Roster!$B:$B,0))&amp;""),"—"))</f>
        <v/>
      </c>
      <c r="E461" s="25">
        <f>IF($C461="","",IFERROR(IF(INDEX(Roster!$C:$C,MATCH($C461,Roster!$B:$B,0))="","",INDEX(Roster!$C:$C,MATCH($C461,Roster!$B:$B,0))&amp;""),"—"))</f>
        <v/>
      </c>
      <c r="F461" s="25">
        <f>IF($C461="","",IFERROR(IF(INDEX(Roster!$D:$D,MATCH($C461,Roster!$B:$B,0))="","",INDEX(Roster!$D:$D,MATCH($C461,Roster!$B:$B,0))&amp;""),"—"))</f>
        <v/>
      </c>
      <c r="G461" s="25">
        <f>IF($C461="","",IFERROR(IF(INDEX(Roster!$E:$E,MATCH($C461,Roster!$B:$B,0))="","",INDEX(Roster!$E:$E,MATCH($C461,Roster!$B:$B,0))&amp;""),"—"))</f>
        <v/>
      </c>
      <c r="H461" s="25">
        <f>IF($C461="","",IFERROR(IF(INDEX(Roster!$F:$F,MATCH($C461,Roster!$B:$B,0))="","",INDEX(Roster!$F:$F,MATCH($C461,Roster!$B:$B,0))&amp;""),"—"))</f>
        <v/>
      </c>
      <c r="I461" s="25">
        <f>IF($C461="","",IFERROR(IF(INDEX(Roster!$G:$G,MATCH($C461,Roster!$B:$B,0))="","",INDEX(Roster!$G:$G,MATCH($C461,Roster!$B:$B,0))&amp;""),"—"))</f>
        <v/>
      </c>
      <c r="J461" s="25">
        <f>IF($C461="","",IFERROR(IF(INDEX(Roster!$I:$I,MATCH($C461,Roster!$B:$B,0))="","",INDEX(Roster!$I:$I,MATCH($C461,Roster!$B:$B,0))&amp;""),"—"))</f>
        <v/>
      </c>
      <c r="K461">
        <f>IF($C461="","",IFERROR(IF(INDEX(Roster!$J:$J,MATCH($C461,Roster!$B:$B,0))="","",INDEX(Roster!$J:$J,MATCH($C461,Roster!$B:$B,0))&amp;""),"—"))</f>
        <v/>
      </c>
      <c r="L461">
        <f>IF($C461="","",IFERROR(IF(INDEX(Roster!$K:$K,MATCH($C461,Roster!$B:$B,0))="","",INDEX(Roster!$K:$K,MATCH($C461,Roster!$B:$B,0))&amp;""),"—"))</f>
        <v/>
      </c>
      <c r="M461" s="27" t="n"/>
      <c r="N461" s="27" t="n"/>
      <c r="O461" s="25">
        <f>IF($C461="","",IF($P461="","—",IF($P461="Valid (Pass)","Valid","Invalid")))</f>
        <v/>
      </c>
      <c r="P461" s="27" t="n"/>
      <c r="Q461" s="27" t="n"/>
      <c r="R461" s="27" t="n"/>
      <c r="S461" s="27" t="n"/>
      <c r="T461" s="25">
        <f>IF($C461="","",IF(OR(ISNUMBER(SEARCH("quick case",$P461)),ISNUMBER(SEARCH("quick case",$Q461))),"Yes","No"))</f>
        <v/>
      </c>
      <c r="U461" s="25">
        <f>IF($O461="Invalid",HYPERLINK("mailto:"&amp;$G461&amp;";"&amp;$I461&amp;"?cc="&amp;Lists!$E$2&amp;"&amp;subject="&amp;_xlfn.ENCODEURL("[INVALID] Quality audit monitoring completed for "&amp;UPPER($C461))&amp;"&amp;body="&amp;_xlfn.ENCODEURL("Hi "&amp;$F461&amp;","&amp;CHAR(10)&amp;"Good day!"&amp;CHAR(10)&amp;CHAR(10)&amp;"A quality monitoring audit has been completed for "&amp;$C461&amp;"."&amp;CHAR(10)&amp;CHAR(10)&amp;"QUALITY AUDIT DETAILS"&amp;CHAR(10)&amp;"Agent Name: "&amp;$C461&amp;" (EID "&amp;$D461&amp;")"&amp;CHAR(10)&amp;"Audit Date: "&amp;TEXT($B461,"yyyy-mm-dd")&amp;CHAR(10)&amp;"Team Leader: "&amp;$F461&amp;CHAR(10)&amp;"Case Number: "&amp;$M461&amp;CHAR(10)&amp;"Transaction ID: "&amp;$N461&amp;CHAR(10)&amp;"Channel / LOB: "&amp;$K461&amp;" / "&amp;$L461&amp;CHAR(10)&amp;"Evaluator: "&amp;$S461&amp;CHAR(10)&amp;CHAR(10)&amp;"INVALID QUALITY AUDIT DETAILS"&amp;CHAR(10)&amp;"Validation: Invalid"&amp;CHAR(10)&amp;"Invalid Reason: "&amp;$P461&amp;CHAR(10)&amp;"Expected Resolution Code: "&amp;$Q461&amp;CHAR(10)&amp;"Remarks: "&amp;LEFT($R461,600)&amp;CHAR(10)&amp;CHAR(10)&amp;"This is an automated notification from HP Mainstream EQMS."),"✉ Open Email Draft"),"")</f>
        <v/>
      </c>
    </row>
    <row r="462">
      <c r="A462" s="25">
        <f>IF($C462="","","AUD-2026-"&amp;TEXT(ROW()-1,"000000"))</f>
        <v/>
      </c>
      <c r="B462" s="26" t="n"/>
      <c r="C462" s="27" t="n"/>
      <c r="D462" s="25">
        <f>IF($C462="","",IFERROR(IF(INDEX(Roster!$A:$A,MATCH($C462,Roster!$B:$B,0))="","",INDEX(Roster!$A:$A,MATCH($C462,Roster!$B:$B,0))&amp;""),"—"))</f>
        <v/>
      </c>
      <c r="E462" s="25">
        <f>IF($C462="","",IFERROR(IF(INDEX(Roster!$C:$C,MATCH($C462,Roster!$B:$B,0))="","",INDEX(Roster!$C:$C,MATCH($C462,Roster!$B:$B,0))&amp;""),"—"))</f>
        <v/>
      </c>
      <c r="F462" s="25">
        <f>IF($C462="","",IFERROR(IF(INDEX(Roster!$D:$D,MATCH($C462,Roster!$B:$B,0))="","",INDEX(Roster!$D:$D,MATCH($C462,Roster!$B:$B,0))&amp;""),"—"))</f>
        <v/>
      </c>
      <c r="G462" s="25">
        <f>IF($C462="","",IFERROR(IF(INDEX(Roster!$E:$E,MATCH($C462,Roster!$B:$B,0))="","",INDEX(Roster!$E:$E,MATCH($C462,Roster!$B:$B,0))&amp;""),"—"))</f>
        <v/>
      </c>
      <c r="H462" s="25">
        <f>IF($C462="","",IFERROR(IF(INDEX(Roster!$F:$F,MATCH($C462,Roster!$B:$B,0))="","",INDEX(Roster!$F:$F,MATCH($C462,Roster!$B:$B,0))&amp;""),"—"))</f>
        <v/>
      </c>
      <c r="I462" s="25">
        <f>IF($C462="","",IFERROR(IF(INDEX(Roster!$G:$G,MATCH($C462,Roster!$B:$B,0))="","",INDEX(Roster!$G:$G,MATCH($C462,Roster!$B:$B,0))&amp;""),"—"))</f>
        <v/>
      </c>
      <c r="J462" s="25">
        <f>IF($C462="","",IFERROR(IF(INDEX(Roster!$I:$I,MATCH($C462,Roster!$B:$B,0))="","",INDEX(Roster!$I:$I,MATCH($C462,Roster!$B:$B,0))&amp;""),"—"))</f>
        <v/>
      </c>
      <c r="K462">
        <f>IF($C462="","",IFERROR(IF(INDEX(Roster!$J:$J,MATCH($C462,Roster!$B:$B,0))="","",INDEX(Roster!$J:$J,MATCH($C462,Roster!$B:$B,0))&amp;""),"—"))</f>
        <v/>
      </c>
      <c r="L462">
        <f>IF($C462="","",IFERROR(IF(INDEX(Roster!$K:$K,MATCH($C462,Roster!$B:$B,0))="","",INDEX(Roster!$K:$K,MATCH($C462,Roster!$B:$B,0))&amp;""),"—"))</f>
        <v/>
      </c>
      <c r="M462" s="27" t="n"/>
      <c r="N462" s="27" t="n"/>
      <c r="O462" s="25">
        <f>IF($C462="","",IF($P462="","—",IF($P462="Valid (Pass)","Valid","Invalid")))</f>
        <v/>
      </c>
      <c r="P462" s="27" t="n"/>
      <c r="Q462" s="27" t="n"/>
      <c r="R462" s="27" t="n"/>
      <c r="S462" s="27" t="n"/>
      <c r="T462" s="25">
        <f>IF($C462="","",IF(OR(ISNUMBER(SEARCH("quick case",$P462)),ISNUMBER(SEARCH("quick case",$Q462))),"Yes","No"))</f>
        <v/>
      </c>
      <c r="U462" s="25">
        <f>IF($O462="Invalid",HYPERLINK("mailto:"&amp;$G462&amp;";"&amp;$I462&amp;"?cc="&amp;Lists!$E$2&amp;"&amp;subject="&amp;_xlfn.ENCODEURL("[INVALID] Quality audit monitoring completed for "&amp;UPPER($C462))&amp;"&amp;body="&amp;_xlfn.ENCODEURL("Hi "&amp;$F462&amp;","&amp;CHAR(10)&amp;"Good day!"&amp;CHAR(10)&amp;CHAR(10)&amp;"A quality monitoring audit has been completed for "&amp;$C462&amp;"."&amp;CHAR(10)&amp;CHAR(10)&amp;"QUALITY AUDIT DETAILS"&amp;CHAR(10)&amp;"Agent Name: "&amp;$C462&amp;" (EID "&amp;$D462&amp;")"&amp;CHAR(10)&amp;"Audit Date: "&amp;TEXT($B462,"yyyy-mm-dd")&amp;CHAR(10)&amp;"Team Leader: "&amp;$F462&amp;CHAR(10)&amp;"Case Number: "&amp;$M462&amp;CHAR(10)&amp;"Transaction ID: "&amp;$N462&amp;CHAR(10)&amp;"Channel / LOB: "&amp;$K462&amp;" / "&amp;$L462&amp;CHAR(10)&amp;"Evaluator: "&amp;$S462&amp;CHAR(10)&amp;CHAR(10)&amp;"INVALID QUALITY AUDIT DETAILS"&amp;CHAR(10)&amp;"Validation: Invalid"&amp;CHAR(10)&amp;"Invalid Reason: "&amp;$P462&amp;CHAR(10)&amp;"Expected Resolution Code: "&amp;$Q462&amp;CHAR(10)&amp;"Remarks: "&amp;LEFT($R462,600)&amp;CHAR(10)&amp;CHAR(10)&amp;"This is an automated notification from HP Mainstream EQMS."),"✉ Open Email Draft"),"")</f>
        <v/>
      </c>
    </row>
    <row r="463">
      <c r="A463" s="25">
        <f>IF($C463="","","AUD-2026-"&amp;TEXT(ROW()-1,"000000"))</f>
        <v/>
      </c>
      <c r="B463" s="26" t="n"/>
      <c r="C463" s="27" t="n"/>
      <c r="D463" s="25">
        <f>IF($C463="","",IFERROR(IF(INDEX(Roster!$A:$A,MATCH($C463,Roster!$B:$B,0))="","",INDEX(Roster!$A:$A,MATCH($C463,Roster!$B:$B,0))&amp;""),"—"))</f>
        <v/>
      </c>
      <c r="E463" s="25">
        <f>IF($C463="","",IFERROR(IF(INDEX(Roster!$C:$C,MATCH($C463,Roster!$B:$B,0))="","",INDEX(Roster!$C:$C,MATCH($C463,Roster!$B:$B,0))&amp;""),"—"))</f>
        <v/>
      </c>
      <c r="F463" s="25">
        <f>IF($C463="","",IFERROR(IF(INDEX(Roster!$D:$D,MATCH($C463,Roster!$B:$B,0))="","",INDEX(Roster!$D:$D,MATCH($C463,Roster!$B:$B,0))&amp;""),"—"))</f>
        <v/>
      </c>
      <c r="G463" s="25">
        <f>IF($C463="","",IFERROR(IF(INDEX(Roster!$E:$E,MATCH($C463,Roster!$B:$B,0))="","",INDEX(Roster!$E:$E,MATCH($C463,Roster!$B:$B,0))&amp;""),"—"))</f>
        <v/>
      </c>
      <c r="H463" s="25">
        <f>IF($C463="","",IFERROR(IF(INDEX(Roster!$F:$F,MATCH($C463,Roster!$B:$B,0))="","",INDEX(Roster!$F:$F,MATCH($C463,Roster!$B:$B,0))&amp;""),"—"))</f>
        <v/>
      </c>
      <c r="I463" s="25">
        <f>IF($C463="","",IFERROR(IF(INDEX(Roster!$G:$G,MATCH($C463,Roster!$B:$B,0))="","",INDEX(Roster!$G:$G,MATCH($C463,Roster!$B:$B,0))&amp;""),"—"))</f>
        <v/>
      </c>
      <c r="J463" s="25">
        <f>IF($C463="","",IFERROR(IF(INDEX(Roster!$I:$I,MATCH($C463,Roster!$B:$B,0))="","",INDEX(Roster!$I:$I,MATCH($C463,Roster!$B:$B,0))&amp;""),"—"))</f>
        <v/>
      </c>
      <c r="K463">
        <f>IF($C463="","",IFERROR(IF(INDEX(Roster!$J:$J,MATCH($C463,Roster!$B:$B,0))="","",INDEX(Roster!$J:$J,MATCH($C463,Roster!$B:$B,0))&amp;""),"—"))</f>
        <v/>
      </c>
      <c r="L463">
        <f>IF($C463="","",IFERROR(IF(INDEX(Roster!$K:$K,MATCH($C463,Roster!$B:$B,0))="","",INDEX(Roster!$K:$K,MATCH($C463,Roster!$B:$B,0))&amp;""),"—"))</f>
        <v/>
      </c>
      <c r="M463" s="27" t="n"/>
      <c r="N463" s="27" t="n"/>
      <c r="O463" s="25">
        <f>IF($C463="","",IF($P463="","—",IF($P463="Valid (Pass)","Valid","Invalid")))</f>
        <v/>
      </c>
      <c r="P463" s="27" t="n"/>
      <c r="Q463" s="27" t="n"/>
      <c r="R463" s="27" t="n"/>
      <c r="S463" s="27" t="n"/>
      <c r="T463" s="25">
        <f>IF($C463="","",IF(OR(ISNUMBER(SEARCH("quick case",$P463)),ISNUMBER(SEARCH("quick case",$Q463))),"Yes","No"))</f>
        <v/>
      </c>
      <c r="U463" s="25">
        <f>IF($O463="Invalid",HYPERLINK("mailto:"&amp;$G463&amp;";"&amp;$I463&amp;"?cc="&amp;Lists!$E$2&amp;"&amp;subject="&amp;_xlfn.ENCODEURL("[INVALID] Quality audit monitoring completed for "&amp;UPPER($C463))&amp;"&amp;body="&amp;_xlfn.ENCODEURL("Hi "&amp;$F463&amp;","&amp;CHAR(10)&amp;"Good day!"&amp;CHAR(10)&amp;CHAR(10)&amp;"A quality monitoring audit has been completed for "&amp;$C463&amp;"."&amp;CHAR(10)&amp;CHAR(10)&amp;"QUALITY AUDIT DETAILS"&amp;CHAR(10)&amp;"Agent Name: "&amp;$C463&amp;" (EID "&amp;$D463&amp;")"&amp;CHAR(10)&amp;"Audit Date: "&amp;TEXT($B463,"yyyy-mm-dd")&amp;CHAR(10)&amp;"Team Leader: "&amp;$F463&amp;CHAR(10)&amp;"Case Number: "&amp;$M463&amp;CHAR(10)&amp;"Transaction ID: "&amp;$N463&amp;CHAR(10)&amp;"Channel / LOB: "&amp;$K463&amp;" / "&amp;$L463&amp;CHAR(10)&amp;"Evaluator: "&amp;$S463&amp;CHAR(10)&amp;CHAR(10)&amp;"INVALID QUALITY AUDIT DETAILS"&amp;CHAR(10)&amp;"Validation: Invalid"&amp;CHAR(10)&amp;"Invalid Reason: "&amp;$P463&amp;CHAR(10)&amp;"Expected Resolution Code: "&amp;$Q463&amp;CHAR(10)&amp;"Remarks: "&amp;LEFT($R463,600)&amp;CHAR(10)&amp;CHAR(10)&amp;"This is an automated notification from HP Mainstream EQMS."),"✉ Open Email Draft"),"")</f>
        <v/>
      </c>
    </row>
    <row r="464">
      <c r="A464" s="25">
        <f>IF($C464="","","AUD-2026-"&amp;TEXT(ROW()-1,"000000"))</f>
        <v/>
      </c>
      <c r="B464" s="26" t="n"/>
      <c r="C464" s="27" t="n"/>
      <c r="D464" s="25">
        <f>IF($C464="","",IFERROR(IF(INDEX(Roster!$A:$A,MATCH($C464,Roster!$B:$B,0))="","",INDEX(Roster!$A:$A,MATCH($C464,Roster!$B:$B,0))&amp;""),"—"))</f>
        <v/>
      </c>
      <c r="E464" s="25">
        <f>IF($C464="","",IFERROR(IF(INDEX(Roster!$C:$C,MATCH($C464,Roster!$B:$B,0))="","",INDEX(Roster!$C:$C,MATCH($C464,Roster!$B:$B,0))&amp;""),"—"))</f>
        <v/>
      </c>
      <c r="F464" s="25">
        <f>IF($C464="","",IFERROR(IF(INDEX(Roster!$D:$D,MATCH($C464,Roster!$B:$B,0))="","",INDEX(Roster!$D:$D,MATCH($C464,Roster!$B:$B,0))&amp;""),"—"))</f>
        <v/>
      </c>
      <c r="G464" s="25">
        <f>IF($C464="","",IFERROR(IF(INDEX(Roster!$E:$E,MATCH($C464,Roster!$B:$B,0))="","",INDEX(Roster!$E:$E,MATCH($C464,Roster!$B:$B,0))&amp;""),"—"))</f>
        <v/>
      </c>
      <c r="H464" s="25">
        <f>IF($C464="","",IFERROR(IF(INDEX(Roster!$F:$F,MATCH($C464,Roster!$B:$B,0))="","",INDEX(Roster!$F:$F,MATCH($C464,Roster!$B:$B,0))&amp;""),"—"))</f>
        <v/>
      </c>
      <c r="I464" s="25">
        <f>IF($C464="","",IFERROR(IF(INDEX(Roster!$G:$G,MATCH($C464,Roster!$B:$B,0))="","",INDEX(Roster!$G:$G,MATCH($C464,Roster!$B:$B,0))&amp;""),"—"))</f>
        <v/>
      </c>
      <c r="J464" s="25">
        <f>IF($C464="","",IFERROR(IF(INDEX(Roster!$I:$I,MATCH($C464,Roster!$B:$B,0))="","",INDEX(Roster!$I:$I,MATCH($C464,Roster!$B:$B,0))&amp;""),"—"))</f>
        <v/>
      </c>
      <c r="K464">
        <f>IF($C464="","",IFERROR(IF(INDEX(Roster!$J:$J,MATCH($C464,Roster!$B:$B,0))="","",INDEX(Roster!$J:$J,MATCH($C464,Roster!$B:$B,0))&amp;""),"—"))</f>
        <v/>
      </c>
      <c r="L464">
        <f>IF($C464="","",IFERROR(IF(INDEX(Roster!$K:$K,MATCH($C464,Roster!$B:$B,0))="","",INDEX(Roster!$K:$K,MATCH($C464,Roster!$B:$B,0))&amp;""),"—"))</f>
        <v/>
      </c>
      <c r="M464" s="27" t="n"/>
      <c r="N464" s="27" t="n"/>
      <c r="O464" s="25">
        <f>IF($C464="","",IF($P464="","—",IF($P464="Valid (Pass)","Valid","Invalid")))</f>
        <v/>
      </c>
      <c r="P464" s="27" t="n"/>
      <c r="Q464" s="27" t="n"/>
      <c r="R464" s="27" t="n"/>
      <c r="S464" s="27" t="n"/>
      <c r="T464" s="25">
        <f>IF($C464="","",IF(OR(ISNUMBER(SEARCH("quick case",$P464)),ISNUMBER(SEARCH("quick case",$Q464))),"Yes","No"))</f>
        <v/>
      </c>
      <c r="U464" s="25">
        <f>IF($O464="Invalid",HYPERLINK("mailto:"&amp;$G464&amp;";"&amp;$I464&amp;"?cc="&amp;Lists!$E$2&amp;"&amp;subject="&amp;_xlfn.ENCODEURL("[INVALID] Quality audit monitoring completed for "&amp;UPPER($C464))&amp;"&amp;body="&amp;_xlfn.ENCODEURL("Hi "&amp;$F464&amp;","&amp;CHAR(10)&amp;"Good day!"&amp;CHAR(10)&amp;CHAR(10)&amp;"A quality monitoring audit has been completed for "&amp;$C464&amp;"."&amp;CHAR(10)&amp;CHAR(10)&amp;"QUALITY AUDIT DETAILS"&amp;CHAR(10)&amp;"Agent Name: "&amp;$C464&amp;" (EID "&amp;$D464&amp;")"&amp;CHAR(10)&amp;"Audit Date: "&amp;TEXT($B464,"yyyy-mm-dd")&amp;CHAR(10)&amp;"Team Leader: "&amp;$F464&amp;CHAR(10)&amp;"Case Number: "&amp;$M464&amp;CHAR(10)&amp;"Transaction ID: "&amp;$N464&amp;CHAR(10)&amp;"Channel / LOB: "&amp;$K464&amp;" / "&amp;$L464&amp;CHAR(10)&amp;"Evaluator: "&amp;$S464&amp;CHAR(10)&amp;CHAR(10)&amp;"INVALID QUALITY AUDIT DETAILS"&amp;CHAR(10)&amp;"Validation: Invalid"&amp;CHAR(10)&amp;"Invalid Reason: "&amp;$P464&amp;CHAR(10)&amp;"Expected Resolution Code: "&amp;$Q464&amp;CHAR(10)&amp;"Remarks: "&amp;LEFT($R464,600)&amp;CHAR(10)&amp;CHAR(10)&amp;"This is an automated notification from HP Mainstream EQMS."),"✉ Open Email Draft"),"")</f>
        <v/>
      </c>
    </row>
    <row r="465">
      <c r="A465" s="25">
        <f>IF($C465="","","AUD-2026-"&amp;TEXT(ROW()-1,"000000"))</f>
        <v/>
      </c>
      <c r="B465" s="26" t="n"/>
      <c r="C465" s="27" t="n"/>
      <c r="D465" s="25">
        <f>IF($C465="","",IFERROR(IF(INDEX(Roster!$A:$A,MATCH($C465,Roster!$B:$B,0))="","",INDEX(Roster!$A:$A,MATCH($C465,Roster!$B:$B,0))&amp;""),"—"))</f>
        <v/>
      </c>
      <c r="E465" s="25">
        <f>IF($C465="","",IFERROR(IF(INDEX(Roster!$C:$C,MATCH($C465,Roster!$B:$B,0))="","",INDEX(Roster!$C:$C,MATCH($C465,Roster!$B:$B,0))&amp;""),"—"))</f>
        <v/>
      </c>
      <c r="F465" s="25">
        <f>IF($C465="","",IFERROR(IF(INDEX(Roster!$D:$D,MATCH($C465,Roster!$B:$B,0))="","",INDEX(Roster!$D:$D,MATCH($C465,Roster!$B:$B,0))&amp;""),"—"))</f>
        <v/>
      </c>
      <c r="G465" s="25">
        <f>IF($C465="","",IFERROR(IF(INDEX(Roster!$E:$E,MATCH($C465,Roster!$B:$B,0))="","",INDEX(Roster!$E:$E,MATCH($C465,Roster!$B:$B,0))&amp;""),"—"))</f>
        <v/>
      </c>
      <c r="H465" s="25">
        <f>IF($C465="","",IFERROR(IF(INDEX(Roster!$F:$F,MATCH($C465,Roster!$B:$B,0))="","",INDEX(Roster!$F:$F,MATCH($C465,Roster!$B:$B,0))&amp;""),"—"))</f>
        <v/>
      </c>
      <c r="I465" s="25">
        <f>IF($C465="","",IFERROR(IF(INDEX(Roster!$G:$G,MATCH($C465,Roster!$B:$B,0))="","",INDEX(Roster!$G:$G,MATCH($C465,Roster!$B:$B,0))&amp;""),"—"))</f>
        <v/>
      </c>
      <c r="J465" s="25">
        <f>IF($C465="","",IFERROR(IF(INDEX(Roster!$I:$I,MATCH($C465,Roster!$B:$B,0))="","",INDEX(Roster!$I:$I,MATCH($C465,Roster!$B:$B,0))&amp;""),"—"))</f>
        <v/>
      </c>
      <c r="K465">
        <f>IF($C465="","",IFERROR(IF(INDEX(Roster!$J:$J,MATCH($C465,Roster!$B:$B,0))="","",INDEX(Roster!$J:$J,MATCH($C465,Roster!$B:$B,0))&amp;""),"—"))</f>
        <v/>
      </c>
      <c r="L465">
        <f>IF($C465="","",IFERROR(IF(INDEX(Roster!$K:$K,MATCH($C465,Roster!$B:$B,0))="","",INDEX(Roster!$K:$K,MATCH($C465,Roster!$B:$B,0))&amp;""),"—"))</f>
        <v/>
      </c>
      <c r="M465" s="27" t="n"/>
      <c r="N465" s="27" t="n"/>
      <c r="O465" s="25">
        <f>IF($C465="","",IF($P465="","—",IF($P465="Valid (Pass)","Valid","Invalid")))</f>
        <v/>
      </c>
      <c r="P465" s="27" t="n"/>
      <c r="Q465" s="27" t="n"/>
      <c r="R465" s="27" t="n"/>
      <c r="S465" s="27" t="n"/>
      <c r="T465" s="25">
        <f>IF($C465="","",IF(OR(ISNUMBER(SEARCH("quick case",$P465)),ISNUMBER(SEARCH("quick case",$Q465))),"Yes","No"))</f>
        <v/>
      </c>
      <c r="U465" s="25">
        <f>IF($O465="Invalid",HYPERLINK("mailto:"&amp;$G465&amp;";"&amp;$I465&amp;"?cc="&amp;Lists!$E$2&amp;"&amp;subject="&amp;_xlfn.ENCODEURL("[INVALID] Quality audit monitoring completed for "&amp;UPPER($C465))&amp;"&amp;body="&amp;_xlfn.ENCODEURL("Hi "&amp;$F465&amp;","&amp;CHAR(10)&amp;"Good day!"&amp;CHAR(10)&amp;CHAR(10)&amp;"A quality monitoring audit has been completed for "&amp;$C465&amp;"."&amp;CHAR(10)&amp;CHAR(10)&amp;"QUALITY AUDIT DETAILS"&amp;CHAR(10)&amp;"Agent Name: "&amp;$C465&amp;" (EID "&amp;$D465&amp;")"&amp;CHAR(10)&amp;"Audit Date: "&amp;TEXT($B465,"yyyy-mm-dd")&amp;CHAR(10)&amp;"Team Leader: "&amp;$F465&amp;CHAR(10)&amp;"Case Number: "&amp;$M465&amp;CHAR(10)&amp;"Transaction ID: "&amp;$N465&amp;CHAR(10)&amp;"Channel / LOB: "&amp;$K465&amp;" / "&amp;$L465&amp;CHAR(10)&amp;"Evaluator: "&amp;$S465&amp;CHAR(10)&amp;CHAR(10)&amp;"INVALID QUALITY AUDIT DETAILS"&amp;CHAR(10)&amp;"Validation: Invalid"&amp;CHAR(10)&amp;"Invalid Reason: "&amp;$P465&amp;CHAR(10)&amp;"Expected Resolution Code: "&amp;$Q465&amp;CHAR(10)&amp;"Remarks: "&amp;LEFT($R465,600)&amp;CHAR(10)&amp;CHAR(10)&amp;"This is an automated notification from HP Mainstream EQMS."),"✉ Open Email Draft"),"")</f>
        <v/>
      </c>
    </row>
    <row r="466">
      <c r="A466" s="25">
        <f>IF($C466="","","AUD-2026-"&amp;TEXT(ROW()-1,"000000"))</f>
        <v/>
      </c>
      <c r="B466" s="26" t="n"/>
      <c r="C466" s="27" t="n"/>
      <c r="D466" s="25">
        <f>IF($C466="","",IFERROR(IF(INDEX(Roster!$A:$A,MATCH($C466,Roster!$B:$B,0))="","",INDEX(Roster!$A:$A,MATCH($C466,Roster!$B:$B,0))&amp;""),"—"))</f>
        <v/>
      </c>
      <c r="E466" s="25">
        <f>IF($C466="","",IFERROR(IF(INDEX(Roster!$C:$C,MATCH($C466,Roster!$B:$B,0))="","",INDEX(Roster!$C:$C,MATCH($C466,Roster!$B:$B,0))&amp;""),"—"))</f>
        <v/>
      </c>
      <c r="F466" s="25">
        <f>IF($C466="","",IFERROR(IF(INDEX(Roster!$D:$D,MATCH($C466,Roster!$B:$B,0))="","",INDEX(Roster!$D:$D,MATCH($C466,Roster!$B:$B,0))&amp;""),"—"))</f>
        <v/>
      </c>
      <c r="G466" s="25">
        <f>IF($C466="","",IFERROR(IF(INDEX(Roster!$E:$E,MATCH($C466,Roster!$B:$B,0))="","",INDEX(Roster!$E:$E,MATCH($C466,Roster!$B:$B,0))&amp;""),"—"))</f>
        <v/>
      </c>
      <c r="H466" s="25">
        <f>IF($C466="","",IFERROR(IF(INDEX(Roster!$F:$F,MATCH($C466,Roster!$B:$B,0))="","",INDEX(Roster!$F:$F,MATCH($C466,Roster!$B:$B,0))&amp;""),"—"))</f>
        <v/>
      </c>
      <c r="I466" s="25">
        <f>IF($C466="","",IFERROR(IF(INDEX(Roster!$G:$G,MATCH($C466,Roster!$B:$B,0))="","",INDEX(Roster!$G:$G,MATCH($C466,Roster!$B:$B,0))&amp;""),"—"))</f>
        <v/>
      </c>
      <c r="J466" s="25">
        <f>IF($C466="","",IFERROR(IF(INDEX(Roster!$I:$I,MATCH($C466,Roster!$B:$B,0))="","",INDEX(Roster!$I:$I,MATCH($C466,Roster!$B:$B,0))&amp;""),"—"))</f>
        <v/>
      </c>
      <c r="K466">
        <f>IF($C466="","",IFERROR(IF(INDEX(Roster!$J:$J,MATCH($C466,Roster!$B:$B,0))="","",INDEX(Roster!$J:$J,MATCH($C466,Roster!$B:$B,0))&amp;""),"—"))</f>
        <v/>
      </c>
      <c r="L466">
        <f>IF($C466="","",IFERROR(IF(INDEX(Roster!$K:$K,MATCH($C466,Roster!$B:$B,0))="","",INDEX(Roster!$K:$K,MATCH($C466,Roster!$B:$B,0))&amp;""),"—"))</f>
        <v/>
      </c>
      <c r="M466" s="27" t="n"/>
      <c r="N466" s="27" t="n"/>
      <c r="O466" s="25">
        <f>IF($C466="","",IF($P466="","—",IF($P466="Valid (Pass)","Valid","Invalid")))</f>
        <v/>
      </c>
      <c r="P466" s="27" t="n"/>
      <c r="Q466" s="27" t="n"/>
      <c r="R466" s="27" t="n"/>
      <c r="S466" s="27" t="n"/>
      <c r="T466" s="25">
        <f>IF($C466="","",IF(OR(ISNUMBER(SEARCH("quick case",$P466)),ISNUMBER(SEARCH("quick case",$Q466))),"Yes","No"))</f>
        <v/>
      </c>
      <c r="U466" s="25">
        <f>IF($O466="Invalid",HYPERLINK("mailto:"&amp;$G466&amp;";"&amp;$I466&amp;"?cc="&amp;Lists!$E$2&amp;"&amp;subject="&amp;_xlfn.ENCODEURL("[INVALID] Quality audit monitoring completed for "&amp;UPPER($C466))&amp;"&amp;body="&amp;_xlfn.ENCODEURL("Hi "&amp;$F466&amp;","&amp;CHAR(10)&amp;"Good day!"&amp;CHAR(10)&amp;CHAR(10)&amp;"A quality monitoring audit has been completed for "&amp;$C466&amp;"."&amp;CHAR(10)&amp;CHAR(10)&amp;"QUALITY AUDIT DETAILS"&amp;CHAR(10)&amp;"Agent Name: "&amp;$C466&amp;" (EID "&amp;$D466&amp;")"&amp;CHAR(10)&amp;"Audit Date: "&amp;TEXT($B466,"yyyy-mm-dd")&amp;CHAR(10)&amp;"Team Leader: "&amp;$F466&amp;CHAR(10)&amp;"Case Number: "&amp;$M466&amp;CHAR(10)&amp;"Transaction ID: "&amp;$N466&amp;CHAR(10)&amp;"Channel / LOB: "&amp;$K466&amp;" / "&amp;$L466&amp;CHAR(10)&amp;"Evaluator: "&amp;$S466&amp;CHAR(10)&amp;CHAR(10)&amp;"INVALID QUALITY AUDIT DETAILS"&amp;CHAR(10)&amp;"Validation: Invalid"&amp;CHAR(10)&amp;"Invalid Reason: "&amp;$P466&amp;CHAR(10)&amp;"Expected Resolution Code: "&amp;$Q466&amp;CHAR(10)&amp;"Remarks: "&amp;LEFT($R466,600)&amp;CHAR(10)&amp;CHAR(10)&amp;"This is an automated notification from HP Mainstream EQMS."),"✉ Open Email Draft"),"")</f>
        <v/>
      </c>
    </row>
    <row r="467">
      <c r="A467" s="25">
        <f>IF($C467="","","AUD-2026-"&amp;TEXT(ROW()-1,"000000"))</f>
        <v/>
      </c>
      <c r="B467" s="26" t="n"/>
      <c r="C467" s="27" t="n"/>
      <c r="D467" s="25">
        <f>IF($C467="","",IFERROR(IF(INDEX(Roster!$A:$A,MATCH($C467,Roster!$B:$B,0))="","",INDEX(Roster!$A:$A,MATCH($C467,Roster!$B:$B,0))&amp;""),"—"))</f>
        <v/>
      </c>
      <c r="E467" s="25">
        <f>IF($C467="","",IFERROR(IF(INDEX(Roster!$C:$C,MATCH($C467,Roster!$B:$B,0))="","",INDEX(Roster!$C:$C,MATCH($C467,Roster!$B:$B,0))&amp;""),"—"))</f>
        <v/>
      </c>
      <c r="F467" s="25">
        <f>IF($C467="","",IFERROR(IF(INDEX(Roster!$D:$D,MATCH($C467,Roster!$B:$B,0))="","",INDEX(Roster!$D:$D,MATCH($C467,Roster!$B:$B,0))&amp;""),"—"))</f>
        <v/>
      </c>
      <c r="G467" s="25">
        <f>IF($C467="","",IFERROR(IF(INDEX(Roster!$E:$E,MATCH($C467,Roster!$B:$B,0))="","",INDEX(Roster!$E:$E,MATCH($C467,Roster!$B:$B,0))&amp;""),"—"))</f>
        <v/>
      </c>
      <c r="H467" s="25">
        <f>IF($C467="","",IFERROR(IF(INDEX(Roster!$F:$F,MATCH($C467,Roster!$B:$B,0))="","",INDEX(Roster!$F:$F,MATCH($C467,Roster!$B:$B,0))&amp;""),"—"))</f>
        <v/>
      </c>
      <c r="I467" s="25">
        <f>IF($C467="","",IFERROR(IF(INDEX(Roster!$G:$G,MATCH($C467,Roster!$B:$B,0))="","",INDEX(Roster!$G:$G,MATCH($C467,Roster!$B:$B,0))&amp;""),"—"))</f>
        <v/>
      </c>
      <c r="J467" s="25">
        <f>IF($C467="","",IFERROR(IF(INDEX(Roster!$I:$I,MATCH($C467,Roster!$B:$B,0))="","",INDEX(Roster!$I:$I,MATCH($C467,Roster!$B:$B,0))&amp;""),"—"))</f>
        <v/>
      </c>
      <c r="K467">
        <f>IF($C467="","",IFERROR(IF(INDEX(Roster!$J:$J,MATCH($C467,Roster!$B:$B,0))="","",INDEX(Roster!$J:$J,MATCH($C467,Roster!$B:$B,0))&amp;""),"—"))</f>
        <v/>
      </c>
      <c r="L467">
        <f>IF($C467="","",IFERROR(IF(INDEX(Roster!$K:$K,MATCH($C467,Roster!$B:$B,0))="","",INDEX(Roster!$K:$K,MATCH($C467,Roster!$B:$B,0))&amp;""),"—"))</f>
        <v/>
      </c>
      <c r="M467" s="27" t="n"/>
      <c r="N467" s="27" t="n"/>
      <c r="O467" s="25">
        <f>IF($C467="","",IF($P467="","—",IF($P467="Valid (Pass)","Valid","Invalid")))</f>
        <v/>
      </c>
      <c r="P467" s="27" t="n"/>
      <c r="Q467" s="27" t="n"/>
      <c r="R467" s="27" t="n"/>
      <c r="S467" s="27" t="n"/>
      <c r="T467" s="25">
        <f>IF($C467="","",IF(OR(ISNUMBER(SEARCH("quick case",$P467)),ISNUMBER(SEARCH("quick case",$Q467))),"Yes","No"))</f>
        <v/>
      </c>
      <c r="U467" s="25">
        <f>IF($O467="Invalid",HYPERLINK("mailto:"&amp;$G467&amp;";"&amp;$I467&amp;"?cc="&amp;Lists!$E$2&amp;"&amp;subject="&amp;_xlfn.ENCODEURL("[INVALID] Quality audit monitoring completed for "&amp;UPPER($C467))&amp;"&amp;body="&amp;_xlfn.ENCODEURL("Hi "&amp;$F467&amp;","&amp;CHAR(10)&amp;"Good day!"&amp;CHAR(10)&amp;CHAR(10)&amp;"A quality monitoring audit has been completed for "&amp;$C467&amp;"."&amp;CHAR(10)&amp;CHAR(10)&amp;"QUALITY AUDIT DETAILS"&amp;CHAR(10)&amp;"Agent Name: "&amp;$C467&amp;" (EID "&amp;$D467&amp;")"&amp;CHAR(10)&amp;"Audit Date: "&amp;TEXT($B467,"yyyy-mm-dd")&amp;CHAR(10)&amp;"Team Leader: "&amp;$F467&amp;CHAR(10)&amp;"Case Number: "&amp;$M467&amp;CHAR(10)&amp;"Transaction ID: "&amp;$N467&amp;CHAR(10)&amp;"Channel / LOB: "&amp;$K467&amp;" / "&amp;$L467&amp;CHAR(10)&amp;"Evaluator: "&amp;$S467&amp;CHAR(10)&amp;CHAR(10)&amp;"INVALID QUALITY AUDIT DETAILS"&amp;CHAR(10)&amp;"Validation: Invalid"&amp;CHAR(10)&amp;"Invalid Reason: "&amp;$P467&amp;CHAR(10)&amp;"Expected Resolution Code: "&amp;$Q467&amp;CHAR(10)&amp;"Remarks: "&amp;LEFT($R467,600)&amp;CHAR(10)&amp;CHAR(10)&amp;"This is an automated notification from HP Mainstream EQMS."),"✉ Open Email Draft"),"")</f>
        <v/>
      </c>
    </row>
    <row r="468">
      <c r="A468" s="25">
        <f>IF($C468="","","AUD-2026-"&amp;TEXT(ROW()-1,"000000"))</f>
        <v/>
      </c>
      <c r="B468" s="26" t="n"/>
      <c r="C468" s="27" t="n"/>
      <c r="D468" s="25">
        <f>IF($C468="","",IFERROR(IF(INDEX(Roster!$A:$A,MATCH($C468,Roster!$B:$B,0))="","",INDEX(Roster!$A:$A,MATCH($C468,Roster!$B:$B,0))&amp;""),"—"))</f>
        <v/>
      </c>
      <c r="E468" s="25">
        <f>IF($C468="","",IFERROR(IF(INDEX(Roster!$C:$C,MATCH($C468,Roster!$B:$B,0))="","",INDEX(Roster!$C:$C,MATCH($C468,Roster!$B:$B,0))&amp;""),"—"))</f>
        <v/>
      </c>
      <c r="F468" s="25">
        <f>IF($C468="","",IFERROR(IF(INDEX(Roster!$D:$D,MATCH($C468,Roster!$B:$B,0))="","",INDEX(Roster!$D:$D,MATCH($C468,Roster!$B:$B,0))&amp;""),"—"))</f>
        <v/>
      </c>
      <c r="G468" s="25">
        <f>IF($C468="","",IFERROR(IF(INDEX(Roster!$E:$E,MATCH($C468,Roster!$B:$B,0))="","",INDEX(Roster!$E:$E,MATCH($C468,Roster!$B:$B,0))&amp;""),"—"))</f>
        <v/>
      </c>
      <c r="H468" s="25">
        <f>IF($C468="","",IFERROR(IF(INDEX(Roster!$F:$F,MATCH($C468,Roster!$B:$B,0))="","",INDEX(Roster!$F:$F,MATCH($C468,Roster!$B:$B,0))&amp;""),"—"))</f>
        <v/>
      </c>
      <c r="I468" s="25">
        <f>IF($C468="","",IFERROR(IF(INDEX(Roster!$G:$G,MATCH($C468,Roster!$B:$B,0))="","",INDEX(Roster!$G:$G,MATCH($C468,Roster!$B:$B,0))&amp;""),"—"))</f>
        <v/>
      </c>
      <c r="J468" s="25">
        <f>IF($C468="","",IFERROR(IF(INDEX(Roster!$I:$I,MATCH($C468,Roster!$B:$B,0))="","",INDEX(Roster!$I:$I,MATCH($C468,Roster!$B:$B,0))&amp;""),"—"))</f>
        <v/>
      </c>
      <c r="K468">
        <f>IF($C468="","",IFERROR(IF(INDEX(Roster!$J:$J,MATCH($C468,Roster!$B:$B,0))="","",INDEX(Roster!$J:$J,MATCH($C468,Roster!$B:$B,0))&amp;""),"—"))</f>
        <v/>
      </c>
      <c r="L468">
        <f>IF($C468="","",IFERROR(IF(INDEX(Roster!$K:$K,MATCH($C468,Roster!$B:$B,0))="","",INDEX(Roster!$K:$K,MATCH($C468,Roster!$B:$B,0))&amp;""),"—"))</f>
        <v/>
      </c>
      <c r="M468" s="27" t="n"/>
      <c r="N468" s="27" t="n"/>
      <c r="O468" s="25">
        <f>IF($C468="","",IF($P468="","—",IF($P468="Valid (Pass)","Valid","Invalid")))</f>
        <v/>
      </c>
      <c r="P468" s="27" t="n"/>
      <c r="Q468" s="27" t="n"/>
      <c r="R468" s="27" t="n"/>
      <c r="S468" s="27" t="n"/>
      <c r="T468" s="25">
        <f>IF($C468="","",IF(OR(ISNUMBER(SEARCH("quick case",$P468)),ISNUMBER(SEARCH("quick case",$Q468))),"Yes","No"))</f>
        <v/>
      </c>
      <c r="U468" s="25">
        <f>IF($O468="Invalid",HYPERLINK("mailto:"&amp;$G468&amp;";"&amp;$I468&amp;"?cc="&amp;Lists!$E$2&amp;"&amp;subject="&amp;_xlfn.ENCODEURL("[INVALID] Quality audit monitoring completed for "&amp;UPPER($C468))&amp;"&amp;body="&amp;_xlfn.ENCODEURL("Hi "&amp;$F468&amp;","&amp;CHAR(10)&amp;"Good day!"&amp;CHAR(10)&amp;CHAR(10)&amp;"A quality monitoring audit has been completed for "&amp;$C468&amp;"."&amp;CHAR(10)&amp;CHAR(10)&amp;"QUALITY AUDIT DETAILS"&amp;CHAR(10)&amp;"Agent Name: "&amp;$C468&amp;" (EID "&amp;$D468&amp;")"&amp;CHAR(10)&amp;"Audit Date: "&amp;TEXT($B468,"yyyy-mm-dd")&amp;CHAR(10)&amp;"Team Leader: "&amp;$F468&amp;CHAR(10)&amp;"Case Number: "&amp;$M468&amp;CHAR(10)&amp;"Transaction ID: "&amp;$N468&amp;CHAR(10)&amp;"Channel / LOB: "&amp;$K468&amp;" / "&amp;$L468&amp;CHAR(10)&amp;"Evaluator: "&amp;$S468&amp;CHAR(10)&amp;CHAR(10)&amp;"INVALID QUALITY AUDIT DETAILS"&amp;CHAR(10)&amp;"Validation: Invalid"&amp;CHAR(10)&amp;"Invalid Reason: "&amp;$P468&amp;CHAR(10)&amp;"Expected Resolution Code: "&amp;$Q468&amp;CHAR(10)&amp;"Remarks: "&amp;LEFT($R468,600)&amp;CHAR(10)&amp;CHAR(10)&amp;"This is an automated notification from HP Mainstream EQMS."),"✉ Open Email Draft"),"")</f>
        <v/>
      </c>
    </row>
    <row r="469">
      <c r="A469" s="25">
        <f>IF($C469="","","AUD-2026-"&amp;TEXT(ROW()-1,"000000"))</f>
        <v/>
      </c>
      <c r="B469" s="26" t="n"/>
      <c r="C469" s="27" t="n"/>
      <c r="D469" s="25">
        <f>IF($C469="","",IFERROR(IF(INDEX(Roster!$A:$A,MATCH($C469,Roster!$B:$B,0))="","",INDEX(Roster!$A:$A,MATCH($C469,Roster!$B:$B,0))&amp;""),"—"))</f>
        <v/>
      </c>
      <c r="E469" s="25">
        <f>IF($C469="","",IFERROR(IF(INDEX(Roster!$C:$C,MATCH($C469,Roster!$B:$B,0))="","",INDEX(Roster!$C:$C,MATCH($C469,Roster!$B:$B,0))&amp;""),"—"))</f>
        <v/>
      </c>
      <c r="F469" s="25">
        <f>IF($C469="","",IFERROR(IF(INDEX(Roster!$D:$D,MATCH($C469,Roster!$B:$B,0))="","",INDEX(Roster!$D:$D,MATCH($C469,Roster!$B:$B,0))&amp;""),"—"))</f>
        <v/>
      </c>
      <c r="G469" s="25">
        <f>IF($C469="","",IFERROR(IF(INDEX(Roster!$E:$E,MATCH($C469,Roster!$B:$B,0))="","",INDEX(Roster!$E:$E,MATCH($C469,Roster!$B:$B,0))&amp;""),"—"))</f>
        <v/>
      </c>
      <c r="H469" s="25">
        <f>IF($C469="","",IFERROR(IF(INDEX(Roster!$F:$F,MATCH($C469,Roster!$B:$B,0))="","",INDEX(Roster!$F:$F,MATCH($C469,Roster!$B:$B,0))&amp;""),"—"))</f>
        <v/>
      </c>
      <c r="I469" s="25">
        <f>IF($C469="","",IFERROR(IF(INDEX(Roster!$G:$G,MATCH($C469,Roster!$B:$B,0))="","",INDEX(Roster!$G:$G,MATCH($C469,Roster!$B:$B,0))&amp;""),"—"))</f>
        <v/>
      </c>
      <c r="J469" s="25">
        <f>IF($C469="","",IFERROR(IF(INDEX(Roster!$I:$I,MATCH($C469,Roster!$B:$B,0))="","",INDEX(Roster!$I:$I,MATCH($C469,Roster!$B:$B,0))&amp;""),"—"))</f>
        <v/>
      </c>
      <c r="K469">
        <f>IF($C469="","",IFERROR(IF(INDEX(Roster!$J:$J,MATCH($C469,Roster!$B:$B,0))="","",INDEX(Roster!$J:$J,MATCH($C469,Roster!$B:$B,0))&amp;""),"—"))</f>
        <v/>
      </c>
      <c r="L469">
        <f>IF($C469="","",IFERROR(IF(INDEX(Roster!$K:$K,MATCH($C469,Roster!$B:$B,0))="","",INDEX(Roster!$K:$K,MATCH($C469,Roster!$B:$B,0))&amp;""),"—"))</f>
        <v/>
      </c>
      <c r="M469" s="27" t="n"/>
      <c r="N469" s="27" t="n"/>
      <c r="O469" s="25">
        <f>IF($C469="","",IF($P469="","—",IF($P469="Valid (Pass)","Valid","Invalid")))</f>
        <v/>
      </c>
      <c r="P469" s="27" t="n"/>
      <c r="Q469" s="27" t="n"/>
      <c r="R469" s="27" t="n"/>
      <c r="S469" s="27" t="n"/>
      <c r="T469" s="25">
        <f>IF($C469="","",IF(OR(ISNUMBER(SEARCH("quick case",$P469)),ISNUMBER(SEARCH("quick case",$Q469))),"Yes","No"))</f>
        <v/>
      </c>
      <c r="U469" s="25">
        <f>IF($O469="Invalid",HYPERLINK("mailto:"&amp;$G469&amp;";"&amp;$I469&amp;"?cc="&amp;Lists!$E$2&amp;"&amp;subject="&amp;_xlfn.ENCODEURL("[INVALID] Quality audit monitoring completed for "&amp;UPPER($C469))&amp;"&amp;body="&amp;_xlfn.ENCODEURL("Hi "&amp;$F469&amp;","&amp;CHAR(10)&amp;"Good day!"&amp;CHAR(10)&amp;CHAR(10)&amp;"A quality monitoring audit has been completed for "&amp;$C469&amp;"."&amp;CHAR(10)&amp;CHAR(10)&amp;"QUALITY AUDIT DETAILS"&amp;CHAR(10)&amp;"Agent Name: "&amp;$C469&amp;" (EID "&amp;$D469&amp;")"&amp;CHAR(10)&amp;"Audit Date: "&amp;TEXT($B469,"yyyy-mm-dd")&amp;CHAR(10)&amp;"Team Leader: "&amp;$F469&amp;CHAR(10)&amp;"Case Number: "&amp;$M469&amp;CHAR(10)&amp;"Transaction ID: "&amp;$N469&amp;CHAR(10)&amp;"Channel / LOB: "&amp;$K469&amp;" / "&amp;$L469&amp;CHAR(10)&amp;"Evaluator: "&amp;$S469&amp;CHAR(10)&amp;CHAR(10)&amp;"INVALID QUALITY AUDIT DETAILS"&amp;CHAR(10)&amp;"Validation: Invalid"&amp;CHAR(10)&amp;"Invalid Reason: "&amp;$P469&amp;CHAR(10)&amp;"Expected Resolution Code: "&amp;$Q469&amp;CHAR(10)&amp;"Remarks: "&amp;LEFT($R469,600)&amp;CHAR(10)&amp;CHAR(10)&amp;"This is an automated notification from HP Mainstream EQMS."),"✉ Open Email Draft"),"")</f>
        <v/>
      </c>
    </row>
    <row r="470">
      <c r="A470" s="25">
        <f>IF($C470="","","AUD-2026-"&amp;TEXT(ROW()-1,"000000"))</f>
        <v/>
      </c>
      <c r="B470" s="26" t="n"/>
      <c r="C470" s="27" t="n"/>
      <c r="D470" s="25">
        <f>IF($C470="","",IFERROR(IF(INDEX(Roster!$A:$A,MATCH($C470,Roster!$B:$B,0))="","",INDEX(Roster!$A:$A,MATCH($C470,Roster!$B:$B,0))&amp;""),"—"))</f>
        <v/>
      </c>
      <c r="E470" s="25">
        <f>IF($C470="","",IFERROR(IF(INDEX(Roster!$C:$C,MATCH($C470,Roster!$B:$B,0))="","",INDEX(Roster!$C:$C,MATCH($C470,Roster!$B:$B,0))&amp;""),"—"))</f>
        <v/>
      </c>
      <c r="F470" s="25">
        <f>IF($C470="","",IFERROR(IF(INDEX(Roster!$D:$D,MATCH($C470,Roster!$B:$B,0))="","",INDEX(Roster!$D:$D,MATCH($C470,Roster!$B:$B,0))&amp;""),"—"))</f>
        <v/>
      </c>
      <c r="G470" s="25">
        <f>IF($C470="","",IFERROR(IF(INDEX(Roster!$E:$E,MATCH($C470,Roster!$B:$B,0))="","",INDEX(Roster!$E:$E,MATCH($C470,Roster!$B:$B,0))&amp;""),"—"))</f>
        <v/>
      </c>
      <c r="H470" s="25">
        <f>IF($C470="","",IFERROR(IF(INDEX(Roster!$F:$F,MATCH($C470,Roster!$B:$B,0))="","",INDEX(Roster!$F:$F,MATCH($C470,Roster!$B:$B,0))&amp;""),"—"))</f>
        <v/>
      </c>
      <c r="I470" s="25">
        <f>IF($C470="","",IFERROR(IF(INDEX(Roster!$G:$G,MATCH($C470,Roster!$B:$B,0))="","",INDEX(Roster!$G:$G,MATCH($C470,Roster!$B:$B,0))&amp;""),"—"))</f>
        <v/>
      </c>
      <c r="J470" s="25">
        <f>IF($C470="","",IFERROR(IF(INDEX(Roster!$I:$I,MATCH($C470,Roster!$B:$B,0))="","",INDEX(Roster!$I:$I,MATCH($C470,Roster!$B:$B,0))&amp;""),"—"))</f>
        <v/>
      </c>
      <c r="K470">
        <f>IF($C470="","",IFERROR(IF(INDEX(Roster!$J:$J,MATCH($C470,Roster!$B:$B,0))="","",INDEX(Roster!$J:$J,MATCH($C470,Roster!$B:$B,0))&amp;""),"—"))</f>
        <v/>
      </c>
      <c r="L470">
        <f>IF($C470="","",IFERROR(IF(INDEX(Roster!$K:$K,MATCH($C470,Roster!$B:$B,0))="","",INDEX(Roster!$K:$K,MATCH($C470,Roster!$B:$B,0))&amp;""),"—"))</f>
        <v/>
      </c>
      <c r="M470" s="27" t="n"/>
      <c r="N470" s="27" t="n"/>
      <c r="O470" s="25">
        <f>IF($C470="","",IF($P470="","—",IF($P470="Valid (Pass)","Valid","Invalid")))</f>
        <v/>
      </c>
      <c r="P470" s="27" t="n"/>
      <c r="Q470" s="27" t="n"/>
      <c r="R470" s="27" t="n"/>
      <c r="S470" s="27" t="n"/>
      <c r="T470" s="25">
        <f>IF($C470="","",IF(OR(ISNUMBER(SEARCH("quick case",$P470)),ISNUMBER(SEARCH("quick case",$Q470))),"Yes","No"))</f>
        <v/>
      </c>
      <c r="U470" s="25">
        <f>IF($O470="Invalid",HYPERLINK("mailto:"&amp;$G470&amp;";"&amp;$I470&amp;"?cc="&amp;Lists!$E$2&amp;"&amp;subject="&amp;_xlfn.ENCODEURL("[INVALID] Quality audit monitoring completed for "&amp;UPPER($C470))&amp;"&amp;body="&amp;_xlfn.ENCODEURL("Hi "&amp;$F470&amp;","&amp;CHAR(10)&amp;"Good day!"&amp;CHAR(10)&amp;CHAR(10)&amp;"A quality monitoring audit has been completed for "&amp;$C470&amp;"."&amp;CHAR(10)&amp;CHAR(10)&amp;"QUALITY AUDIT DETAILS"&amp;CHAR(10)&amp;"Agent Name: "&amp;$C470&amp;" (EID "&amp;$D470&amp;")"&amp;CHAR(10)&amp;"Audit Date: "&amp;TEXT($B470,"yyyy-mm-dd")&amp;CHAR(10)&amp;"Team Leader: "&amp;$F470&amp;CHAR(10)&amp;"Case Number: "&amp;$M470&amp;CHAR(10)&amp;"Transaction ID: "&amp;$N470&amp;CHAR(10)&amp;"Channel / LOB: "&amp;$K470&amp;" / "&amp;$L470&amp;CHAR(10)&amp;"Evaluator: "&amp;$S470&amp;CHAR(10)&amp;CHAR(10)&amp;"INVALID QUALITY AUDIT DETAILS"&amp;CHAR(10)&amp;"Validation: Invalid"&amp;CHAR(10)&amp;"Invalid Reason: "&amp;$P470&amp;CHAR(10)&amp;"Expected Resolution Code: "&amp;$Q470&amp;CHAR(10)&amp;"Remarks: "&amp;LEFT($R470,600)&amp;CHAR(10)&amp;CHAR(10)&amp;"This is an automated notification from HP Mainstream EQMS."),"✉ Open Email Draft"),"")</f>
        <v/>
      </c>
    </row>
    <row r="471">
      <c r="A471" s="25">
        <f>IF($C471="","","AUD-2026-"&amp;TEXT(ROW()-1,"000000"))</f>
        <v/>
      </c>
      <c r="B471" s="26" t="n"/>
      <c r="C471" s="27" t="n"/>
      <c r="D471" s="25">
        <f>IF($C471="","",IFERROR(IF(INDEX(Roster!$A:$A,MATCH($C471,Roster!$B:$B,0))="","",INDEX(Roster!$A:$A,MATCH($C471,Roster!$B:$B,0))&amp;""),"—"))</f>
        <v/>
      </c>
      <c r="E471" s="25">
        <f>IF($C471="","",IFERROR(IF(INDEX(Roster!$C:$C,MATCH($C471,Roster!$B:$B,0))="","",INDEX(Roster!$C:$C,MATCH($C471,Roster!$B:$B,0))&amp;""),"—"))</f>
        <v/>
      </c>
      <c r="F471" s="25">
        <f>IF($C471="","",IFERROR(IF(INDEX(Roster!$D:$D,MATCH($C471,Roster!$B:$B,0))="","",INDEX(Roster!$D:$D,MATCH($C471,Roster!$B:$B,0))&amp;""),"—"))</f>
        <v/>
      </c>
      <c r="G471" s="25">
        <f>IF($C471="","",IFERROR(IF(INDEX(Roster!$E:$E,MATCH($C471,Roster!$B:$B,0))="","",INDEX(Roster!$E:$E,MATCH($C471,Roster!$B:$B,0))&amp;""),"—"))</f>
        <v/>
      </c>
      <c r="H471" s="25">
        <f>IF($C471="","",IFERROR(IF(INDEX(Roster!$F:$F,MATCH($C471,Roster!$B:$B,0))="","",INDEX(Roster!$F:$F,MATCH($C471,Roster!$B:$B,0))&amp;""),"—"))</f>
        <v/>
      </c>
      <c r="I471" s="25">
        <f>IF($C471="","",IFERROR(IF(INDEX(Roster!$G:$G,MATCH($C471,Roster!$B:$B,0))="","",INDEX(Roster!$G:$G,MATCH($C471,Roster!$B:$B,0))&amp;""),"—"))</f>
        <v/>
      </c>
      <c r="J471" s="25">
        <f>IF($C471="","",IFERROR(IF(INDEX(Roster!$I:$I,MATCH($C471,Roster!$B:$B,0))="","",INDEX(Roster!$I:$I,MATCH($C471,Roster!$B:$B,0))&amp;""),"—"))</f>
        <v/>
      </c>
      <c r="K471">
        <f>IF($C471="","",IFERROR(IF(INDEX(Roster!$J:$J,MATCH($C471,Roster!$B:$B,0))="","",INDEX(Roster!$J:$J,MATCH($C471,Roster!$B:$B,0))&amp;""),"—"))</f>
        <v/>
      </c>
      <c r="L471">
        <f>IF($C471="","",IFERROR(IF(INDEX(Roster!$K:$K,MATCH($C471,Roster!$B:$B,0))="","",INDEX(Roster!$K:$K,MATCH($C471,Roster!$B:$B,0))&amp;""),"—"))</f>
        <v/>
      </c>
      <c r="M471" s="27" t="n"/>
      <c r="N471" s="27" t="n"/>
      <c r="O471" s="25">
        <f>IF($C471="","",IF($P471="","—",IF($P471="Valid (Pass)","Valid","Invalid")))</f>
        <v/>
      </c>
      <c r="P471" s="27" t="n"/>
      <c r="Q471" s="27" t="n"/>
      <c r="R471" s="27" t="n"/>
      <c r="S471" s="27" t="n"/>
      <c r="T471" s="25">
        <f>IF($C471="","",IF(OR(ISNUMBER(SEARCH("quick case",$P471)),ISNUMBER(SEARCH("quick case",$Q471))),"Yes","No"))</f>
        <v/>
      </c>
      <c r="U471" s="25">
        <f>IF($O471="Invalid",HYPERLINK("mailto:"&amp;$G471&amp;";"&amp;$I471&amp;"?cc="&amp;Lists!$E$2&amp;"&amp;subject="&amp;_xlfn.ENCODEURL("[INVALID] Quality audit monitoring completed for "&amp;UPPER($C471))&amp;"&amp;body="&amp;_xlfn.ENCODEURL("Hi "&amp;$F471&amp;","&amp;CHAR(10)&amp;"Good day!"&amp;CHAR(10)&amp;CHAR(10)&amp;"A quality monitoring audit has been completed for "&amp;$C471&amp;"."&amp;CHAR(10)&amp;CHAR(10)&amp;"QUALITY AUDIT DETAILS"&amp;CHAR(10)&amp;"Agent Name: "&amp;$C471&amp;" (EID "&amp;$D471&amp;")"&amp;CHAR(10)&amp;"Audit Date: "&amp;TEXT($B471,"yyyy-mm-dd")&amp;CHAR(10)&amp;"Team Leader: "&amp;$F471&amp;CHAR(10)&amp;"Case Number: "&amp;$M471&amp;CHAR(10)&amp;"Transaction ID: "&amp;$N471&amp;CHAR(10)&amp;"Channel / LOB: "&amp;$K471&amp;" / "&amp;$L471&amp;CHAR(10)&amp;"Evaluator: "&amp;$S471&amp;CHAR(10)&amp;CHAR(10)&amp;"INVALID QUALITY AUDIT DETAILS"&amp;CHAR(10)&amp;"Validation: Invalid"&amp;CHAR(10)&amp;"Invalid Reason: "&amp;$P471&amp;CHAR(10)&amp;"Expected Resolution Code: "&amp;$Q471&amp;CHAR(10)&amp;"Remarks: "&amp;LEFT($R471,600)&amp;CHAR(10)&amp;CHAR(10)&amp;"This is an automated notification from HP Mainstream EQMS."),"✉ Open Email Draft"),"")</f>
        <v/>
      </c>
    </row>
    <row r="472">
      <c r="A472" s="25">
        <f>IF($C472="","","AUD-2026-"&amp;TEXT(ROW()-1,"000000"))</f>
        <v/>
      </c>
      <c r="B472" s="26" t="n"/>
      <c r="C472" s="27" t="n"/>
      <c r="D472" s="25">
        <f>IF($C472="","",IFERROR(IF(INDEX(Roster!$A:$A,MATCH($C472,Roster!$B:$B,0))="","",INDEX(Roster!$A:$A,MATCH($C472,Roster!$B:$B,0))&amp;""),"—"))</f>
        <v/>
      </c>
      <c r="E472" s="25">
        <f>IF($C472="","",IFERROR(IF(INDEX(Roster!$C:$C,MATCH($C472,Roster!$B:$B,0))="","",INDEX(Roster!$C:$C,MATCH($C472,Roster!$B:$B,0))&amp;""),"—"))</f>
        <v/>
      </c>
      <c r="F472" s="25">
        <f>IF($C472="","",IFERROR(IF(INDEX(Roster!$D:$D,MATCH($C472,Roster!$B:$B,0))="","",INDEX(Roster!$D:$D,MATCH($C472,Roster!$B:$B,0))&amp;""),"—"))</f>
        <v/>
      </c>
      <c r="G472" s="25">
        <f>IF($C472="","",IFERROR(IF(INDEX(Roster!$E:$E,MATCH($C472,Roster!$B:$B,0))="","",INDEX(Roster!$E:$E,MATCH($C472,Roster!$B:$B,0))&amp;""),"—"))</f>
        <v/>
      </c>
      <c r="H472" s="25">
        <f>IF($C472="","",IFERROR(IF(INDEX(Roster!$F:$F,MATCH($C472,Roster!$B:$B,0))="","",INDEX(Roster!$F:$F,MATCH($C472,Roster!$B:$B,0))&amp;""),"—"))</f>
        <v/>
      </c>
      <c r="I472" s="25">
        <f>IF($C472="","",IFERROR(IF(INDEX(Roster!$G:$G,MATCH($C472,Roster!$B:$B,0))="","",INDEX(Roster!$G:$G,MATCH($C472,Roster!$B:$B,0))&amp;""),"—"))</f>
        <v/>
      </c>
      <c r="J472" s="25">
        <f>IF($C472="","",IFERROR(IF(INDEX(Roster!$I:$I,MATCH($C472,Roster!$B:$B,0))="","",INDEX(Roster!$I:$I,MATCH($C472,Roster!$B:$B,0))&amp;""),"—"))</f>
        <v/>
      </c>
      <c r="K472">
        <f>IF($C472="","",IFERROR(IF(INDEX(Roster!$J:$J,MATCH($C472,Roster!$B:$B,0))="","",INDEX(Roster!$J:$J,MATCH($C472,Roster!$B:$B,0))&amp;""),"—"))</f>
        <v/>
      </c>
      <c r="L472">
        <f>IF($C472="","",IFERROR(IF(INDEX(Roster!$K:$K,MATCH($C472,Roster!$B:$B,0))="","",INDEX(Roster!$K:$K,MATCH($C472,Roster!$B:$B,0))&amp;""),"—"))</f>
        <v/>
      </c>
      <c r="M472" s="27" t="n"/>
      <c r="N472" s="27" t="n"/>
      <c r="O472" s="25">
        <f>IF($C472="","",IF($P472="","—",IF($P472="Valid (Pass)","Valid","Invalid")))</f>
        <v/>
      </c>
      <c r="P472" s="27" t="n"/>
      <c r="Q472" s="27" t="n"/>
      <c r="R472" s="27" t="n"/>
      <c r="S472" s="27" t="n"/>
      <c r="T472" s="25">
        <f>IF($C472="","",IF(OR(ISNUMBER(SEARCH("quick case",$P472)),ISNUMBER(SEARCH("quick case",$Q472))),"Yes","No"))</f>
        <v/>
      </c>
      <c r="U472" s="25">
        <f>IF($O472="Invalid",HYPERLINK("mailto:"&amp;$G472&amp;";"&amp;$I472&amp;"?cc="&amp;Lists!$E$2&amp;"&amp;subject="&amp;_xlfn.ENCODEURL("[INVALID] Quality audit monitoring completed for "&amp;UPPER($C472))&amp;"&amp;body="&amp;_xlfn.ENCODEURL("Hi "&amp;$F472&amp;","&amp;CHAR(10)&amp;"Good day!"&amp;CHAR(10)&amp;CHAR(10)&amp;"A quality monitoring audit has been completed for "&amp;$C472&amp;"."&amp;CHAR(10)&amp;CHAR(10)&amp;"QUALITY AUDIT DETAILS"&amp;CHAR(10)&amp;"Agent Name: "&amp;$C472&amp;" (EID "&amp;$D472&amp;")"&amp;CHAR(10)&amp;"Audit Date: "&amp;TEXT($B472,"yyyy-mm-dd")&amp;CHAR(10)&amp;"Team Leader: "&amp;$F472&amp;CHAR(10)&amp;"Case Number: "&amp;$M472&amp;CHAR(10)&amp;"Transaction ID: "&amp;$N472&amp;CHAR(10)&amp;"Channel / LOB: "&amp;$K472&amp;" / "&amp;$L472&amp;CHAR(10)&amp;"Evaluator: "&amp;$S472&amp;CHAR(10)&amp;CHAR(10)&amp;"INVALID QUALITY AUDIT DETAILS"&amp;CHAR(10)&amp;"Validation: Invalid"&amp;CHAR(10)&amp;"Invalid Reason: "&amp;$P472&amp;CHAR(10)&amp;"Expected Resolution Code: "&amp;$Q472&amp;CHAR(10)&amp;"Remarks: "&amp;LEFT($R472,600)&amp;CHAR(10)&amp;CHAR(10)&amp;"This is an automated notification from HP Mainstream EQMS."),"✉ Open Email Draft"),"")</f>
        <v/>
      </c>
    </row>
    <row r="473">
      <c r="A473" s="25">
        <f>IF($C473="","","AUD-2026-"&amp;TEXT(ROW()-1,"000000"))</f>
        <v/>
      </c>
      <c r="B473" s="26" t="n"/>
      <c r="C473" s="27" t="n"/>
      <c r="D473" s="25">
        <f>IF($C473="","",IFERROR(IF(INDEX(Roster!$A:$A,MATCH($C473,Roster!$B:$B,0))="","",INDEX(Roster!$A:$A,MATCH($C473,Roster!$B:$B,0))&amp;""),"—"))</f>
        <v/>
      </c>
      <c r="E473" s="25">
        <f>IF($C473="","",IFERROR(IF(INDEX(Roster!$C:$C,MATCH($C473,Roster!$B:$B,0))="","",INDEX(Roster!$C:$C,MATCH($C473,Roster!$B:$B,0))&amp;""),"—"))</f>
        <v/>
      </c>
      <c r="F473" s="25">
        <f>IF($C473="","",IFERROR(IF(INDEX(Roster!$D:$D,MATCH($C473,Roster!$B:$B,0))="","",INDEX(Roster!$D:$D,MATCH($C473,Roster!$B:$B,0))&amp;""),"—"))</f>
        <v/>
      </c>
      <c r="G473" s="25">
        <f>IF($C473="","",IFERROR(IF(INDEX(Roster!$E:$E,MATCH($C473,Roster!$B:$B,0))="","",INDEX(Roster!$E:$E,MATCH($C473,Roster!$B:$B,0))&amp;""),"—"))</f>
        <v/>
      </c>
      <c r="H473" s="25">
        <f>IF($C473="","",IFERROR(IF(INDEX(Roster!$F:$F,MATCH($C473,Roster!$B:$B,0))="","",INDEX(Roster!$F:$F,MATCH($C473,Roster!$B:$B,0))&amp;""),"—"))</f>
        <v/>
      </c>
      <c r="I473" s="25">
        <f>IF($C473="","",IFERROR(IF(INDEX(Roster!$G:$G,MATCH($C473,Roster!$B:$B,0))="","",INDEX(Roster!$G:$G,MATCH($C473,Roster!$B:$B,0))&amp;""),"—"))</f>
        <v/>
      </c>
      <c r="J473" s="25">
        <f>IF($C473="","",IFERROR(IF(INDEX(Roster!$I:$I,MATCH($C473,Roster!$B:$B,0))="","",INDEX(Roster!$I:$I,MATCH($C473,Roster!$B:$B,0))&amp;""),"—"))</f>
        <v/>
      </c>
      <c r="K473">
        <f>IF($C473="","",IFERROR(IF(INDEX(Roster!$J:$J,MATCH($C473,Roster!$B:$B,0))="","",INDEX(Roster!$J:$J,MATCH($C473,Roster!$B:$B,0))&amp;""),"—"))</f>
        <v/>
      </c>
      <c r="L473">
        <f>IF($C473="","",IFERROR(IF(INDEX(Roster!$K:$K,MATCH($C473,Roster!$B:$B,0))="","",INDEX(Roster!$K:$K,MATCH($C473,Roster!$B:$B,0))&amp;""),"—"))</f>
        <v/>
      </c>
      <c r="M473" s="27" t="n"/>
      <c r="N473" s="27" t="n"/>
      <c r="O473" s="25">
        <f>IF($C473="","",IF($P473="","—",IF($P473="Valid (Pass)","Valid","Invalid")))</f>
        <v/>
      </c>
      <c r="P473" s="27" t="n"/>
      <c r="Q473" s="27" t="n"/>
      <c r="R473" s="27" t="n"/>
      <c r="S473" s="27" t="n"/>
      <c r="T473" s="25">
        <f>IF($C473="","",IF(OR(ISNUMBER(SEARCH("quick case",$P473)),ISNUMBER(SEARCH("quick case",$Q473))),"Yes","No"))</f>
        <v/>
      </c>
      <c r="U473" s="25">
        <f>IF($O473="Invalid",HYPERLINK("mailto:"&amp;$G473&amp;";"&amp;$I473&amp;"?cc="&amp;Lists!$E$2&amp;"&amp;subject="&amp;_xlfn.ENCODEURL("[INVALID] Quality audit monitoring completed for "&amp;UPPER($C473))&amp;"&amp;body="&amp;_xlfn.ENCODEURL("Hi "&amp;$F473&amp;","&amp;CHAR(10)&amp;"Good day!"&amp;CHAR(10)&amp;CHAR(10)&amp;"A quality monitoring audit has been completed for "&amp;$C473&amp;"."&amp;CHAR(10)&amp;CHAR(10)&amp;"QUALITY AUDIT DETAILS"&amp;CHAR(10)&amp;"Agent Name: "&amp;$C473&amp;" (EID "&amp;$D473&amp;")"&amp;CHAR(10)&amp;"Audit Date: "&amp;TEXT($B473,"yyyy-mm-dd")&amp;CHAR(10)&amp;"Team Leader: "&amp;$F473&amp;CHAR(10)&amp;"Case Number: "&amp;$M473&amp;CHAR(10)&amp;"Transaction ID: "&amp;$N473&amp;CHAR(10)&amp;"Channel / LOB: "&amp;$K473&amp;" / "&amp;$L473&amp;CHAR(10)&amp;"Evaluator: "&amp;$S473&amp;CHAR(10)&amp;CHAR(10)&amp;"INVALID QUALITY AUDIT DETAILS"&amp;CHAR(10)&amp;"Validation: Invalid"&amp;CHAR(10)&amp;"Invalid Reason: "&amp;$P473&amp;CHAR(10)&amp;"Expected Resolution Code: "&amp;$Q473&amp;CHAR(10)&amp;"Remarks: "&amp;LEFT($R473,600)&amp;CHAR(10)&amp;CHAR(10)&amp;"This is an automated notification from HP Mainstream EQMS."),"✉ Open Email Draft"),"")</f>
        <v/>
      </c>
    </row>
    <row r="474">
      <c r="A474" s="25">
        <f>IF($C474="","","AUD-2026-"&amp;TEXT(ROW()-1,"000000"))</f>
        <v/>
      </c>
      <c r="B474" s="26" t="n"/>
      <c r="C474" s="27" t="n"/>
      <c r="D474" s="25">
        <f>IF($C474="","",IFERROR(IF(INDEX(Roster!$A:$A,MATCH($C474,Roster!$B:$B,0))="","",INDEX(Roster!$A:$A,MATCH($C474,Roster!$B:$B,0))&amp;""),"—"))</f>
        <v/>
      </c>
      <c r="E474" s="25">
        <f>IF($C474="","",IFERROR(IF(INDEX(Roster!$C:$C,MATCH($C474,Roster!$B:$B,0))="","",INDEX(Roster!$C:$C,MATCH($C474,Roster!$B:$B,0))&amp;""),"—"))</f>
        <v/>
      </c>
      <c r="F474" s="25">
        <f>IF($C474="","",IFERROR(IF(INDEX(Roster!$D:$D,MATCH($C474,Roster!$B:$B,0))="","",INDEX(Roster!$D:$D,MATCH($C474,Roster!$B:$B,0))&amp;""),"—"))</f>
        <v/>
      </c>
      <c r="G474" s="25">
        <f>IF($C474="","",IFERROR(IF(INDEX(Roster!$E:$E,MATCH($C474,Roster!$B:$B,0))="","",INDEX(Roster!$E:$E,MATCH($C474,Roster!$B:$B,0))&amp;""),"—"))</f>
        <v/>
      </c>
      <c r="H474" s="25">
        <f>IF($C474="","",IFERROR(IF(INDEX(Roster!$F:$F,MATCH($C474,Roster!$B:$B,0))="","",INDEX(Roster!$F:$F,MATCH($C474,Roster!$B:$B,0))&amp;""),"—"))</f>
        <v/>
      </c>
      <c r="I474" s="25">
        <f>IF($C474="","",IFERROR(IF(INDEX(Roster!$G:$G,MATCH($C474,Roster!$B:$B,0))="","",INDEX(Roster!$G:$G,MATCH($C474,Roster!$B:$B,0))&amp;""),"—"))</f>
        <v/>
      </c>
      <c r="J474" s="25">
        <f>IF($C474="","",IFERROR(IF(INDEX(Roster!$I:$I,MATCH($C474,Roster!$B:$B,0))="","",INDEX(Roster!$I:$I,MATCH($C474,Roster!$B:$B,0))&amp;""),"—"))</f>
        <v/>
      </c>
      <c r="K474">
        <f>IF($C474="","",IFERROR(IF(INDEX(Roster!$J:$J,MATCH($C474,Roster!$B:$B,0))="","",INDEX(Roster!$J:$J,MATCH($C474,Roster!$B:$B,0))&amp;""),"—"))</f>
        <v/>
      </c>
      <c r="L474">
        <f>IF($C474="","",IFERROR(IF(INDEX(Roster!$K:$K,MATCH($C474,Roster!$B:$B,0))="","",INDEX(Roster!$K:$K,MATCH($C474,Roster!$B:$B,0))&amp;""),"—"))</f>
        <v/>
      </c>
      <c r="M474" s="27" t="n"/>
      <c r="N474" s="27" t="n"/>
      <c r="O474" s="25">
        <f>IF($C474="","",IF($P474="","—",IF($P474="Valid (Pass)","Valid","Invalid")))</f>
        <v/>
      </c>
      <c r="P474" s="27" t="n"/>
      <c r="Q474" s="27" t="n"/>
      <c r="R474" s="27" t="n"/>
      <c r="S474" s="27" t="n"/>
      <c r="T474" s="25">
        <f>IF($C474="","",IF(OR(ISNUMBER(SEARCH("quick case",$P474)),ISNUMBER(SEARCH("quick case",$Q474))),"Yes","No"))</f>
        <v/>
      </c>
      <c r="U474" s="25">
        <f>IF($O474="Invalid",HYPERLINK("mailto:"&amp;$G474&amp;";"&amp;$I474&amp;"?cc="&amp;Lists!$E$2&amp;"&amp;subject="&amp;_xlfn.ENCODEURL("[INVALID] Quality audit monitoring completed for "&amp;UPPER($C474))&amp;"&amp;body="&amp;_xlfn.ENCODEURL("Hi "&amp;$F474&amp;","&amp;CHAR(10)&amp;"Good day!"&amp;CHAR(10)&amp;CHAR(10)&amp;"A quality monitoring audit has been completed for "&amp;$C474&amp;"."&amp;CHAR(10)&amp;CHAR(10)&amp;"QUALITY AUDIT DETAILS"&amp;CHAR(10)&amp;"Agent Name: "&amp;$C474&amp;" (EID "&amp;$D474&amp;")"&amp;CHAR(10)&amp;"Audit Date: "&amp;TEXT($B474,"yyyy-mm-dd")&amp;CHAR(10)&amp;"Team Leader: "&amp;$F474&amp;CHAR(10)&amp;"Case Number: "&amp;$M474&amp;CHAR(10)&amp;"Transaction ID: "&amp;$N474&amp;CHAR(10)&amp;"Channel / LOB: "&amp;$K474&amp;" / "&amp;$L474&amp;CHAR(10)&amp;"Evaluator: "&amp;$S474&amp;CHAR(10)&amp;CHAR(10)&amp;"INVALID QUALITY AUDIT DETAILS"&amp;CHAR(10)&amp;"Validation: Invalid"&amp;CHAR(10)&amp;"Invalid Reason: "&amp;$P474&amp;CHAR(10)&amp;"Expected Resolution Code: "&amp;$Q474&amp;CHAR(10)&amp;"Remarks: "&amp;LEFT($R474,600)&amp;CHAR(10)&amp;CHAR(10)&amp;"This is an automated notification from HP Mainstream EQMS."),"✉ Open Email Draft"),"")</f>
        <v/>
      </c>
    </row>
    <row r="475">
      <c r="A475" s="25">
        <f>IF($C475="","","AUD-2026-"&amp;TEXT(ROW()-1,"000000"))</f>
        <v/>
      </c>
      <c r="B475" s="26" t="n"/>
      <c r="C475" s="27" t="n"/>
      <c r="D475" s="25">
        <f>IF($C475="","",IFERROR(IF(INDEX(Roster!$A:$A,MATCH($C475,Roster!$B:$B,0))="","",INDEX(Roster!$A:$A,MATCH($C475,Roster!$B:$B,0))&amp;""),"—"))</f>
        <v/>
      </c>
      <c r="E475" s="25">
        <f>IF($C475="","",IFERROR(IF(INDEX(Roster!$C:$C,MATCH($C475,Roster!$B:$B,0))="","",INDEX(Roster!$C:$C,MATCH($C475,Roster!$B:$B,0))&amp;""),"—"))</f>
        <v/>
      </c>
      <c r="F475" s="25">
        <f>IF($C475="","",IFERROR(IF(INDEX(Roster!$D:$D,MATCH($C475,Roster!$B:$B,0))="","",INDEX(Roster!$D:$D,MATCH($C475,Roster!$B:$B,0))&amp;""),"—"))</f>
        <v/>
      </c>
      <c r="G475" s="25">
        <f>IF($C475="","",IFERROR(IF(INDEX(Roster!$E:$E,MATCH($C475,Roster!$B:$B,0))="","",INDEX(Roster!$E:$E,MATCH($C475,Roster!$B:$B,0))&amp;""),"—"))</f>
        <v/>
      </c>
      <c r="H475" s="25">
        <f>IF($C475="","",IFERROR(IF(INDEX(Roster!$F:$F,MATCH($C475,Roster!$B:$B,0))="","",INDEX(Roster!$F:$F,MATCH($C475,Roster!$B:$B,0))&amp;""),"—"))</f>
        <v/>
      </c>
      <c r="I475" s="25">
        <f>IF($C475="","",IFERROR(IF(INDEX(Roster!$G:$G,MATCH($C475,Roster!$B:$B,0))="","",INDEX(Roster!$G:$G,MATCH($C475,Roster!$B:$B,0))&amp;""),"—"))</f>
        <v/>
      </c>
      <c r="J475" s="25">
        <f>IF($C475="","",IFERROR(IF(INDEX(Roster!$I:$I,MATCH($C475,Roster!$B:$B,0))="","",INDEX(Roster!$I:$I,MATCH($C475,Roster!$B:$B,0))&amp;""),"—"))</f>
        <v/>
      </c>
      <c r="K475">
        <f>IF($C475="","",IFERROR(IF(INDEX(Roster!$J:$J,MATCH($C475,Roster!$B:$B,0))="","",INDEX(Roster!$J:$J,MATCH($C475,Roster!$B:$B,0))&amp;""),"—"))</f>
        <v/>
      </c>
      <c r="L475">
        <f>IF($C475="","",IFERROR(IF(INDEX(Roster!$K:$K,MATCH($C475,Roster!$B:$B,0))="","",INDEX(Roster!$K:$K,MATCH($C475,Roster!$B:$B,0))&amp;""),"—"))</f>
        <v/>
      </c>
      <c r="M475" s="27" t="n"/>
      <c r="N475" s="27" t="n"/>
      <c r="O475" s="25">
        <f>IF($C475="","",IF($P475="","—",IF($P475="Valid (Pass)","Valid","Invalid")))</f>
        <v/>
      </c>
      <c r="P475" s="27" t="n"/>
      <c r="Q475" s="27" t="n"/>
      <c r="R475" s="27" t="n"/>
      <c r="S475" s="27" t="n"/>
      <c r="T475" s="25">
        <f>IF($C475="","",IF(OR(ISNUMBER(SEARCH("quick case",$P475)),ISNUMBER(SEARCH("quick case",$Q475))),"Yes","No"))</f>
        <v/>
      </c>
      <c r="U475" s="25">
        <f>IF($O475="Invalid",HYPERLINK("mailto:"&amp;$G475&amp;";"&amp;$I475&amp;"?cc="&amp;Lists!$E$2&amp;"&amp;subject="&amp;_xlfn.ENCODEURL("[INVALID] Quality audit monitoring completed for "&amp;UPPER($C475))&amp;"&amp;body="&amp;_xlfn.ENCODEURL("Hi "&amp;$F475&amp;","&amp;CHAR(10)&amp;"Good day!"&amp;CHAR(10)&amp;CHAR(10)&amp;"A quality monitoring audit has been completed for "&amp;$C475&amp;"."&amp;CHAR(10)&amp;CHAR(10)&amp;"QUALITY AUDIT DETAILS"&amp;CHAR(10)&amp;"Agent Name: "&amp;$C475&amp;" (EID "&amp;$D475&amp;")"&amp;CHAR(10)&amp;"Audit Date: "&amp;TEXT($B475,"yyyy-mm-dd")&amp;CHAR(10)&amp;"Team Leader: "&amp;$F475&amp;CHAR(10)&amp;"Case Number: "&amp;$M475&amp;CHAR(10)&amp;"Transaction ID: "&amp;$N475&amp;CHAR(10)&amp;"Channel / LOB: "&amp;$K475&amp;" / "&amp;$L475&amp;CHAR(10)&amp;"Evaluator: "&amp;$S475&amp;CHAR(10)&amp;CHAR(10)&amp;"INVALID QUALITY AUDIT DETAILS"&amp;CHAR(10)&amp;"Validation: Invalid"&amp;CHAR(10)&amp;"Invalid Reason: "&amp;$P475&amp;CHAR(10)&amp;"Expected Resolution Code: "&amp;$Q475&amp;CHAR(10)&amp;"Remarks: "&amp;LEFT($R475,600)&amp;CHAR(10)&amp;CHAR(10)&amp;"This is an automated notification from HP Mainstream EQMS."),"✉ Open Email Draft"),"")</f>
        <v/>
      </c>
    </row>
    <row r="476">
      <c r="A476" s="25">
        <f>IF($C476="","","AUD-2026-"&amp;TEXT(ROW()-1,"000000"))</f>
        <v/>
      </c>
      <c r="B476" s="26" t="n"/>
      <c r="C476" s="27" t="n"/>
      <c r="D476" s="25">
        <f>IF($C476="","",IFERROR(IF(INDEX(Roster!$A:$A,MATCH($C476,Roster!$B:$B,0))="","",INDEX(Roster!$A:$A,MATCH($C476,Roster!$B:$B,0))&amp;""),"—"))</f>
        <v/>
      </c>
      <c r="E476" s="25">
        <f>IF($C476="","",IFERROR(IF(INDEX(Roster!$C:$C,MATCH($C476,Roster!$B:$B,0))="","",INDEX(Roster!$C:$C,MATCH($C476,Roster!$B:$B,0))&amp;""),"—"))</f>
        <v/>
      </c>
      <c r="F476" s="25">
        <f>IF($C476="","",IFERROR(IF(INDEX(Roster!$D:$D,MATCH($C476,Roster!$B:$B,0))="","",INDEX(Roster!$D:$D,MATCH($C476,Roster!$B:$B,0))&amp;""),"—"))</f>
        <v/>
      </c>
      <c r="G476" s="25">
        <f>IF($C476="","",IFERROR(IF(INDEX(Roster!$E:$E,MATCH($C476,Roster!$B:$B,0))="","",INDEX(Roster!$E:$E,MATCH($C476,Roster!$B:$B,0))&amp;""),"—"))</f>
        <v/>
      </c>
      <c r="H476" s="25">
        <f>IF($C476="","",IFERROR(IF(INDEX(Roster!$F:$F,MATCH($C476,Roster!$B:$B,0))="","",INDEX(Roster!$F:$F,MATCH($C476,Roster!$B:$B,0))&amp;""),"—"))</f>
        <v/>
      </c>
      <c r="I476" s="25">
        <f>IF($C476="","",IFERROR(IF(INDEX(Roster!$G:$G,MATCH($C476,Roster!$B:$B,0))="","",INDEX(Roster!$G:$G,MATCH($C476,Roster!$B:$B,0))&amp;""),"—"))</f>
        <v/>
      </c>
      <c r="J476" s="25">
        <f>IF($C476="","",IFERROR(IF(INDEX(Roster!$I:$I,MATCH($C476,Roster!$B:$B,0))="","",INDEX(Roster!$I:$I,MATCH($C476,Roster!$B:$B,0))&amp;""),"—"))</f>
        <v/>
      </c>
      <c r="K476">
        <f>IF($C476="","",IFERROR(IF(INDEX(Roster!$J:$J,MATCH($C476,Roster!$B:$B,0))="","",INDEX(Roster!$J:$J,MATCH($C476,Roster!$B:$B,0))&amp;""),"—"))</f>
        <v/>
      </c>
      <c r="L476">
        <f>IF($C476="","",IFERROR(IF(INDEX(Roster!$K:$K,MATCH($C476,Roster!$B:$B,0))="","",INDEX(Roster!$K:$K,MATCH($C476,Roster!$B:$B,0))&amp;""),"—"))</f>
        <v/>
      </c>
      <c r="M476" s="27" t="n"/>
      <c r="N476" s="27" t="n"/>
      <c r="O476" s="25">
        <f>IF($C476="","",IF($P476="","—",IF($P476="Valid (Pass)","Valid","Invalid")))</f>
        <v/>
      </c>
      <c r="P476" s="27" t="n"/>
      <c r="Q476" s="27" t="n"/>
      <c r="R476" s="27" t="n"/>
      <c r="S476" s="27" t="n"/>
      <c r="T476" s="25">
        <f>IF($C476="","",IF(OR(ISNUMBER(SEARCH("quick case",$P476)),ISNUMBER(SEARCH("quick case",$Q476))),"Yes","No"))</f>
        <v/>
      </c>
      <c r="U476" s="25">
        <f>IF($O476="Invalid",HYPERLINK("mailto:"&amp;$G476&amp;";"&amp;$I476&amp;"?cc="&amp;Lists!$E$2&amp;"&amp;subject="&amp;_xlfn.ENCODEURL("[INVALID] Quality audit monitoring completed for "&amp;UPPER($C476))&amp;"&amp;body="&amp;_xlfn.ENCODEURL("Hi "&amp;$F476&amp;","&amp;CHAR(10)&amp;"Good day!"&amp;CHAR(10)&amp;CHAR(10)&amp;"A quality monitoring audit has been completed for "&amp;$C476&amp;"."&amp;CHAR(10)&amp;CHAR(10)&amp;"QUALITY AUDIT DETAILS"&amp;CHAR(10)&amp;"Agent Name: "&amp;$C476&amp;" (EID "&amp;$D476&amp;")"&amp;CHAR(10)&amp;"Audit Date: "&amp;TEXT($B476,"yyyy-mm-dd")&amp;CHAR(10)&amp;"Team Leader: "&amp;$F476&amp;CHAR(10)&amp;"Case Number: "&amp;$M476&amp;CHAR(10)&amp;"Transaction ID: "&amp;$N476&amp;CHAR(10)&amp;"Channel / LOB: "&amp;$K476&amp;" / "&amp;$L476&amp;CHAR(10)&amp;"Evaluator: "&amp;$S476&amp;CHAR(10)&amp;CHAR(10)&amp;"INVALID QUALITY AUDIT DETAILS"&amp;CHAR(10)&amp;"Validation: Invalid"&amp;CHAR(10)&amp;"Invalid Reason: "&amp;$P476&amp;CHAR(10)&amp;"Expected Resolution Code: "&amp;$Q476&amp;CHAR(10)&amp;"Remarks: "&amp;LEFT($R476,600)&amp;CHAR(10)&amp;CHAR(10)&amp;"This is an automated notification from HP Mainstream EQMS."),"✉ Open Email Draft"),"")</f>
        <v/>
      </c>
    </row>
    <row r="477">
      <c r="A477" s="25">
        <f>IF($C477="","","AUD-2026-"&amp;TEXT(ROW()-1,"000000"))</f>
        <v/>
      </c>
      <c r="B477" s="26" t="n"/>
      <c r="C477" s="27" t="n"/>
      <c r="D477" s="25">
        <f>IF($C477="","",IFERROR(IF(INDEX(Roster!$A:$A,MATCH($C477,Roster!$B:$B,0))="","",INDEX(Roster!$A:$A,MATCH($C477,Roster!$B:$B,0))&amp;""),"—"))</f>
        <v/>
      </c>
      <c r="E477" s="25">
        <f>IF($C477="","",IFERROR(IF(INDEX(Roster!$C:$C,MATCH($C477,Roster!$B:$B,0))="","",INDEX(Roster!$C:$C,MATCH($C477,Roster!$B:$B,0))&amp;""),"—"))</f>
        <v/>
      </c>
      <c r="F477" s="25">
        <f>IF($C477="","",IFERROR(IF(INDEX(Roster!$D:$D,MATCH($C477,Roster!$B:$B,0))="","",INDEX(Roster!$D:$D,MATCH($C477,Roster!$B:$B,0))&amp;""),"—"))</f>
        <v/>
      </c>
      <c r="G477" s="25">
        <f>IF($C477="","",IFERROR(IF(INDEX(Roster!$E:$E,MATCH($C477,Roster!$B:$B,0))="","",INDEX(Roster!$E:$E,MATCH($C477,Roster!$B:$B,0))&amp;""),"—"))</f>
        <v/>
      </c>
      <c r="H477" s="25">
        <f>IF($C477="","",IFERROR(IF(INDEX(Roster!$F:$F,MATCH($C477,Roster!$B:$B,0))="","",INDEX(Roster!$F:$F,MATCH($C477,Roster!$B:$B,0))&amp;""),"—"))</f>
        <v/>
      </c>
      <c r="I477" s="25">
        <f>IF($C477="","",IFERROR(IF(INDEX(Roster!$G:$G,MATCH($C477,Roster!$B:$B,0))="","",INDEX(Roster!$G:$G,MATCH($C477,Roster!$B:$B,0))&amp;""),"—"))</f>
        <v/>
      </c>
      <c r="J477" s="25">
        <f>IF($C477="","",IFERROR(IF(INDEX(Roster!$I:$I,MATCH($C477,Roster!$B:$B,0))="","",INDEX(Roster!$I:$I,MATCH($C477,Roster!$B:$B,0))&amp;""),"—"))</f>
        <v/>
      </c>
      <c r="K477">
        <f>IF($C477="","",IFERROR(IF(INDEX(Roster!$J:$J,MATCH($C477,Roster!$B:$B,0))="","",INDEX(Roster!$J:$J,MATCH($C477,Roster!$B:$B,0))&amp;""),"—"))</f>
        <v/>
      </c>
      <c r="L477">
        <f>IF($C477="","",IFERROR(IF(INDEX(Roster!$K:$K,MATCH($C477,Roster!$B:$B,0))="","",INDEX(Roster!$K:$K,MATCH($C477,Roster!$B:$B,0))&amp;""),"—"))</f>
        <v/>
      </c>
      <c r="M477" s="27" t="n"/>
      <c r="N477" s="27" t="n"/>
      <c r="O477" s="25">
        <f>IF($C477="","",IF($P477="","—",IF($P477="Valid (Pass)","Valid","Invalid")))</f>
        <v/>
      </c>
      <c r="P477" s="27" t="n"/>
      <c r="Q477" s="27" t="n"/>
      <c r="R477" s="27" t="n"/>
      <c r="S477" s="27" t="n"/>
      <c r="T477" s="25">
        <f>IF($C477="","",IF(OR(ISNUMBER(SEARCH("quick case",$P477)),ISNUMBER(SEARCH("quick case",$Q477))),"Yes","No"))</f>
        <v/>
      </c>
      <c r="U477" s="25">
        <f>IF($O477="Invalid",HYPERLINK("mailto:"&amp;$G477&amp;";"&amp;$I477&amp;"?cc="&amp;Lists!$E$2&amp;"&amp;subject="&amp;_xlfn.ENCODEURL("[INVALID] Quality audit monitoring completed for "&amp;UPPER($C477))&amp;"&amp;body="&amp;_xlfn.ENCODEURL("Hi "&amp;$F477&amp;","&amp;CHAR(10)&amp;"Good day!"&amp;CHAR(10)&amp;CHAR(10)&amp;"A quality monitoring audit has been completed for "&amp;$C477&amp;"."&amp;CHAR(10)&amp;CHAR(10)&amp;"QUALITY AUDIT DETAILS"&amp;CHAR(10)&amp;"Agent Name: "&amp;$C477&amp;" (EID "&amp;$D477&amp;")"&amp;CHAR(10)&amp;"Audit Date: "&amp;TEXT($B477,"yyyy-mm-dd")&amp;CHAR(10)&amp;"Team Leader: "&amp;$F477&amp;CHAR(10)&amp;"Case Number: "&amp;$M477&amp;CHAR(10)&amp;"Transaction ID: "&amp;$N477&amp;CHAR(10)&amp;"Channel / LOB: "&amp;$K477&amp;" / "&amp;$L477&amp;CHAR(10)&amp;"Evaluator: "&amp;$S477&amp;CHAR(10)&amp;CHAR(10)&amp;"INVALID QUALITY AUDIT DETAILS"&amp;CHAR(10)&amp;"Validation: Invalid"&amp;CHAR(10)&amp;"Invalid Reason: "&amp;$P477&amp;CHAR(10)&amp;"Expected Resolution Code: "&amp;$Q477&amp;CHAR(10)&amp;"Remarks: "&amp;LEFT($R477,600)&amp;CHAR(10)&amp;CHAR(10)&amp;"This is an automated notification from HP Mainstream EQMS."),"✉ Open Email Draft"),"")</f>
        <v/>
      </c>
    </row>
    <row r="478">
      <c r="A478" s="25">
        <f>IF($C478="","","AUD-2026-"&amp;TEXT(ROW()-1,"000000"))</f>
        <v/>
      </c>
      <c r="B478" s="26" t="n"/>
      <c r="C478" s="27" t="n"/>
      <c r="D478" s="25">
        <f>IF($C478="","",IFERROR(IF(INDEX(Roster!$A:$A,MATCH($C478,Roster!$B:$B,0))="","",INDEX(Roster!$A:$A,MATCH($C478,Roster!$B:$B,0))&amp;""),"—"))</f>
        <v/>
      </c>
      <c r="E478" s="25">
        <f>IF($C478="","",IFERROR(IF(INDEX(Roster!$C:$C,MATCH($C478,Roster!$B:$B,0))="","",INDEX(Roster!$C:$C,MATCH($C478,Roster!$B:$B,0))&amp;""),"—"))</f>
        <v/>
      </c>
      <c r="F478" s="25">
        <f>IF($C478="","",IFERROR(IF(INDEX(Roster!$D:$D,MATCH($C478,Roster!$B:$B,0))="","",INDEX(Roster!$D:$D,MATCH($C478,Roster!$B:$B,0))&amp;""),"—"))</f>
        <v/>
      </c>
      <c r="G478" s="25">
        <f>IF($C478="","",IFERROR(IF(INDEX(Roster!$E:$E,MATCH($C478,Roster!$B:$B,0))="","",INDEX(Roster!$E:$E,MATCH($C478,Roster!$B:$B,0))&amp;""),"—"))</f>
        <v/>
      </c>
      <c r="H478" s="25">
        <f>IF($C478="","",IFERROR(IF(INDEX(Roster!$F:$F,MATCH($C478,Roster!$B:$B,0))="","",INDEX(Roster!$F:$F,MATCH($C478,Roster!$B:$B,0))&amp;""),"—"))</f>
        <v/>
      </c>
      <c r="I478" s="25">
        <f>IF($C478="","",IFERROR(IF(INDEX(Roster!$G:$G,MATCH($C478,Roster!$B:$B,0))="","",INDEX(Roster!$G:$G,MATCH($C478,Roster!$B:$B,0))&amp;""),"—"))</f>
        <v/>
      </c>
      <c r="J478" s="25">
        <f>IF($C478="","",IFERROR(IF(INDEX(Roster!$I:$I,MATCH($C478,Roster!$B:$B,0))="","",INDEX(Roster!$I:$I,MATCH($C478,Roster!$B:$B,0))&amp;""),"—"))</f>
        <v/>
      </c>
      <c r="K478">
        <f>IF($C478="","",IFERROR(IF(INDEX(Roster!$J:$J,MATCH($C478,Roster!$B:$B,0))="","",INDEX(Roster!$J:$J,MATCH($C478,Roster!$B:$B,0))&amp;""),"—"))</f>
        <v/>
      </c>
      <c r="L478">
        <f>IF($C478="","",IFERROR(IF(INDEX(Roster!$K:$K,MATCH($C478,Roster!$B:$B,0))="","",INDEX(Roster!$K:$K,MATCH($C478,Roster!$B:$B,0))&amp;""),"—"))</f>
        <v/>
      </c>
      <c r="M478" s="27" t="n"/>
      <c r="N478" s="27" t="n"/>
      <c r="O478" s="25">
        <f>IF($C478="","",IF($P478="","—",IF($P478="Valid (Pass)","Valid","Invalid")))</f>
        <v/>
      </c>
      <c r="P478" s="27" t="n"/>
      <c r="Q478" s="27" t="n"/>
      <c r="R478" s="27" t="n"/>
      <c r="S478" s="27" t="n"/>
      <c r="T478" s="25">
        <f>IF($C478="","",IF(OR(ISNUMBER(SEARCH("quick case",$P478)),ISNUMBER(SEARCH("quick case",$Q478))),"Yes","No"))</f>
        <v/>
      </c>
      <c r="U478" s="25">
        <f>IF($O478="Invalid",HYPERLINK("mailto:"&amp;$G478&amp;";"&amp;$I478&amp;"?cc="&amp;Lists!$E$2&amp;"&amp;subject="&amp;_xlfn.ENCODEURL("[INVALID] Quality audit monitoring completed for "&amp;UPPER($C478))&amp;"&amp;body="&amp;_xlfn.ENCODEURL("Hi "&amp;$F478&amp;","&amp;CHAR(10)&amp;"Good day!"&amp;CHAR(10)&amp;CHAR(10)&amp;"A quality monitoring audit has been completed for "&amp;$C478&amp;"."&amp;CHAR(10)&amp;CHAR(10)&amp;"QUALITY AUDIT DETAILS"&amp;CHAR(10)&amp;"Agent Name: "&amp;$C478&amp;" (EID "&amp;$D478&amp;")"&amp;CHAR(10)&amp;"Audit Date: "&amp;TEXT($B478,"yyyy-mm-dd")&amp;CHAR(10)&amp;"Team Leader: "&amp;$F478&amp;CHAR(10)&amp;"Case Number: "&amp;$M478&amp;CHAR(10)&amp;"Transaction ID: "&amp;$N478&amp;CHAR(10)&amp;"Channel / LOB: "&amp;$K478&amp;" / "&amp;$L478&amp;CHAR(10)&amp;"Evaluator: "&amp;$S478&amp;CHAR(10)&amp;CHAR(10)&amp;"INVALID QUALITY AUDIT DETAILS"&amp;CHAR(10)&amp;"Validation: Invalid"&amp;CHAR(10)&amp;"Invalid Reason: "&amp;$P478&amp;CHAR(10)&amp;"Expected Resolution Code: "&amp;$Q478&amp;CHAR(10)&amp;"Remarks: "&amp;LEFT($R478,600)&amp;CHAR(10)&amp;CHAR(10)&amp;"This is an automated notification from HP Mainstream EQMS."),"✉ Open Email Draft"),"")</f>
        <v/>
      </c>
    </row>
    <row r="479">
      <c r="A479" s="25">
        <f>IF($C479="","","AUD-2026-"&amp;TEXT(ROW()-1,"000000"))</f>
        <v/>
      </c>
      <c r="B479" s="26" t="n"/>
      <c r="C479" s="27" t="n"/>
      <c r="D479" s="25">
        <f>IF($C479="","",IFERROR(IF(INDEX(Roster!$A:$A,MATCH($C479,Roster!$B:$B,0))="","",INDEX(Roster!$A:$A,MATCH($C479,Roster!$B:$B,0))&amp;""),"—"))</f>
        <v/>
      </c>
      <c r="E479" s="25">
        <f>IF($C479="","",IFERROR(IF(INDEX(Roster!$C:$C,MATCH($C479,Roster!$B:$B,0))="","",INDEX(Roster!$C:$C,MATCH($C479,Roster!$B:$B,0))&amp;""),"—"))</f>
        <v/>
      </c>
      <c r="F479" s="25">
        <f>IF($C479="","",IFERROR(IF(INDEX(Roster!$D:$D,MATCH($C479,Roster!$B:$B,0))="","",INDEX(Roster!$D:$D,MATCH($C479,Roster!$B:$B,0))&amp;""),"—"))</f>
        <v/>
      </c>
      <c r="G479" s="25">
        <f>IF($C479="","",IFERROR(IF(INDEX(Roster!$E:$E,MATCH($C479,Roster!$B:$B,0))="","",INDEX(Roster!$E:$E,MATCH($C479,Roster!$B:$B,0))&amp;""),"—"))</f>
        <v/>
      </c>
      <c r="H479" s="25">
        <f>IF($C479="","",IFERROR(IF(INDEX(Roster!$F:$F,MATCH($C479,Roster!$B:$B,0))="","",INDEX(Roster!$F:$F,MATCH($C479,Roster!$B:$B,0))&amp;""),"—"))</f>
        <v/>
      </c>
      <c r="I479" s="25">
        <f>IF($C479="","",IFERROR(IF(INDEX(Roster!$G:$G,MATCH($C479,Roster!$B:$B,0))="","",INDEX(Roster!$G:$G,MATCH($C479,Roster!$B:$B,0))&amp;""),"—"))</f>
        <v/>
      </c>
      <c r="J479" s="25">
        <f>IF($C479="","",IFERROR(IF(INDEX(Roster!$I:$I,MATCH($C479,Roster!$B:$B,0))="","",INDEX(Roster!$I:$I,MATCH($C479,Roster!$B:$B,0))&amp;""),"—"))</f>
        <v/>
      </c>
      <c r="K479">
        <f>IF($C479="","",IFERROR(IF(INDEX(Roster!$J:$J,MATCH($C479,Roster!$B:$B,0))="","",INDEX(Roster!$J:$J,MATCH($C479,Roster!$B:$B,0))&amp;""),"—"))</f>
        <v/>
      </c>
      <c r="L479">
        <f>IF($C479="","",IFERROR(IF(INDEX(Roster!$K:$K,MATCH($C479,Roster!$B:$B,0))="","",INDEX(Roster!$K:$K,MATCH($C479,Roster!$B:$B,0))&amp;""),"—"))</f>
        <v/>
      </c>
      <c r="M479" s="27" t="n"/>
      <c r="N479" s="27" t="n"/>
      <c r="O479" s="25">
        <f>IF($C479="","",IF($P479="","—",IF($P479="Valid (Pass)","Valid","Invalid")))</f>
        <v/>
      </c>
      <c r="P479" s="27" t="n"/>
      <c r="Q479" s="27" t="n"/>
      <c r="R479" s="27" t="n"/>
      <c r="S479" s="27" t="n"/>
      <c r="T479" s="25">
        <f>IF($C479="","",IF(OR(ISNUMBER(SEARCH("quick case",$P479)),ISNUMBER(SEARCH("quick case",$Q479))),"Yes","No"))</f>
        <v/>
      </c>
      <c r="U479" s="25">
        <f>IF($O479="Invalid",HYPERLINK("mailto:"&amp;$G479&amp;";"&amp;$I479&amp;"?cc="&amp;Lists!$E$2&amp;"&amp;subject="&amp;_xlfn.ENCODEURL("[INVALID] Quality audit monitoring completed for "&amp;UPPER($C479))&amp;"&amp;body="&amp;_xlfn.ENCODEURL("Hi "&amp;$F479&amp;","&amp;CHAR(10)&amp;"Good day!"&amp;CHAR(10)&amp;CHAR(10)&amp;"A quality monitoring audit has been completed for "&amp;$C479&amp;"."&amp;CHAR(10)&amp;CHAR(10)&amp;"QUALITY AUDIT DETAILS"&amp;CHAR(10)&amp;"Agent Name: "&amp;$C479&amp;" (EID "&amp;$D479&amp;")"&amp;CHAR(10)&amp;"Audit Date: "&amp;TEXT($B479,"yyyy-mm-dd")&amp;CHAR(10)&amp;"Team Leader: "&amp;$F479&amp;CHAR(10)&amp;"Case Number: "&amp;$M479&amp;CHAR(10)&amp;"Transaction ID: "&amp;$N479&amp;CHAR(10)&amp;"Channel / LOB: "&amp;$K479&amp;" / "&amp;$L479&amp;CHAR(10)&amp;"Evaluator: "&amp;$S479&amp;CHAR(10)&amp;CHAR(10)&amp;"INVALID QUALITY AUDIT DETAILS"&amp;CHAR(10)&amp;"Validation: Invalid"&amp;CHAR(10)&amp;"Invalid Reason: "&amp;$P479&amp;CHAR(10)&amp;"Expected Resolution Code: "&amp;$Q479&amp;CHAR(10)&amp;"Remarks: "&amp;LEFT($R479,600)&amp;CHAR(10)&amp;CHAR(10)&amp;"This is an automated notification from HP Mainstream EQMS."),"✉ Open Email Draft"),"")</f>
        <v/>
      </c>
    </row>
    <row r="480">
      <c r="A480" s="25">
        <f>IF($C480="","","AUD-2026-"&amp;TEXT(ROW()-1,"000000"))</f>
        <v/>
      </c>
      <c r="B480" s="26" t="n"/>
      <c r="C480" s="27" t="n"/>
      <c r="D480" s="25">
        <f>IF($C480="","",IFERROR(IF(INDEX(Roster!$A:$A,MATCH($C480,Roster!$B:$B,0))="","",INDEX(Roster!$A:$A,MATCH($C480,Roster!$B:$B,0))&amp;""),"—"))</f>
        <v/>
      </c>
      <c r="E480" s="25">
        <f>IF($C480="","",IFERROR(IF(INDEX(Roster!$C:$C,MATCH($C480,Roster!$B:$B,0))="","",INDEX(Roster!$C:$C,MATCH($C480,Roster!$B:$B,0))&amp;""),"—"))</f>
        <v/>
      </c>
      <c r="F480" s="25">
        <f>IF($C480="","",IFERROR(IF(INDEX(Roster!$D:$D,MATCH($C480,Roster!$B:$B,0))="","",INDEX(Roster!$D:$D,MATCH($C480,Roster!$B:$B,0))&amp;""),"—"))</f>
        <v/>
      </c>
      <c r="G480" s="25">
        <f>IF($C480="","",IFERROR(IF(INDEX(Roster!$E:$E,MATCH($C480,Roster!$B:$B,0))="","",INDEX(Roster!$E:$E,MATCH($C480,Roster!$B:$B,0))&amp;""),"—"))</f>
        <v/>
      </c>
      <c r="H480" s="25">
        <f>IF($C480="","",IFERROR(IF(INDEX(Roster!$F:$F,MATCH($C480,Roster!$B:$B,0))="","",INDEX(Roster!$F:$F,MATCH($C480,Roster!$B:$B,0))&amp;""),"—"))</f>
        <v/>
      </c>
      <c r="I480" s="25">
        <f>IF($C480="","",IFERROR(IF(INDEX(Roster!$G:$G,MATCH($C480,Roster!$B:$B,0))="","",INDEX(Roster!$G:$G,MATCH($C480,Roster!$B:$B,0))&amp;""),"—"))</f>
        <v/>
      </c>
      <c r="J480" s="25">
        <f>IF($C480="","",IFERROR(IF(INDEX(Roster!$I:$I,MATCH($C480,Roster!$B:$B,0))="","",INDEX(Roster!$I:$I,MATCH($C480,Roster!$B:$B,0))&amp;""),"—"))</f>
        <v/>
      </c>
      <c r="K480">
        <f>IF($C480="","",IFERROR(IF(INDEX(Roster!$J:$J,MATCH($C480,Roster!$B:$B,0))="","",INDEX(Roster!$J:$J,MATCH($C480,Roster!$B:$B,0))&amp;""),"—"))</f>
        <v/>
      </c>
      <c r="L480">
        <f>IF($C480="","",IFERROR(IF(INDEX(Roster!$K:$K,MATCH($C480,Roster!$B:$B,0))="","",INDEX(Roster!$K:$K,MATCH($C480,Roster!$B:$B,0))&amp;""),"—"))</f>
        <v/>
      </c>
      <c r="M480" s="27" t="n"/>
      <c r="N480" s="27" t="n"/>
      <c r="O480" s="25">
        <f>IF($C480="","",IF($P480="","—",IF($P480="Valid (Pass)","Valid","Invalid")))</f>
        <v/>
      </c>
      <c r="P480" s="27" t="n"/>
      <c r="Q480" s="27" t="n"/>
      <c r="R480" s="27" t="n"/>
      <c r="S480" s="27" t="n"/>
      <c r="T480" s="25">
        <f>IF($C480="","",IF(OR(ISNUMBER(SEARCH("quick case",$P480)),ISNUMBER(SEARCH("quick case",$Q480))),"Yes","No"))</f>
        <v/>
      </c>
      <c r="U480" s="25">
        <f>IF($O480="Invalid",HYPERLINK("mailto:"&amp;$G480&amp;";"&amp;$I480&amp;"?cc="&amp;Lists!$E$2&amp;"&amp;subject="&amp;_xlfn.ENCODEURL("[INVALID] Quality audit monitoring completed for "&amp;UPPER($C480))&amp;"&amp;body="&amp;_xlfn.ENCODEURL("Hi "&amp;$F480&amp;","&amp;CHAR(10)&amp;"Good day!"&amp;CHAR(10)&amp;CHAR(10)&amp;"A quality monitoring audit has been completed for "&amp;$C480&amp;"."&amp;CHAR(10)&amp;CHAR(10)&amp;"QUALITY AUDIT DETAILS"&amp;CHAR(10)&amp;"Agent Name: "&amp;$C480&amp;" (EID "&amp;$D480&amp;")"&amp;CHAR(10)&amp;"Audit Date: "&amp;TEXT($B480,"yyyy-mm-dd")&amp;CHAR(10)&amp;"Team Leader: "&amp;$F480&amp;CHAR(10)&amp;"Case Number: "&amp;$M480&amp;CHAR(10)&amp;"Transaction ID: "&amp;$N480&amp;CHAR(10)&amp;"Channel / LOB: "&amp;$K480&amp;" / "&amp;$L480&amp;CHAR(10)&amp;"Evaluator: "&amp;$S480&amp;CHAR(10)&amp;CHAR(10)&amp;"INVALID QUALITY AUDIT DETAILS"&amp;CHAR(10)&amp;"Validation: Invalid"&amp;CHAR(10)&amp;"Invalid Reason: "&amp;$P480&amp;CHAR(10)&amp;"Expected Resolution Code: "&amp;$Q480&amp;CHAR(10)&amp;"Remarks: "&amp;LEFT($R480,600)&amp;CHAR(10)&amp;CHAR(10)&amp;"This is an automated notification from HP Mainstream EQMS."),"✉ Open Email Draft"),"")</f>
        <v/>
      </c>
    </row>
    <row r="481">
      <c r="A481" s="25">
        <f>IF($C481="","","AUD-2026-"&amp;TEXT(ROW()-1,"000000"))</f>
        <v/>
      </c>
      <c r="B481" s="26" t="n"/>
      <c r="C481" s="27" t="n"/>
      <c r="D481" s="25">
        <f>IF($C481="","",IFERROR(IF(INDEX(Roster!$A:$A,MATCH($C481,Roster!$B:$B,0))="","",INDEX(Roster!$A:$A,MATCH($C481,Roster!$B:$B,0))&amp;""),"—"))</f>
        <v/>
      </c>
      <c r="E481" s="25">
        <f>IF($C481="","",IFERROR(IF(INDEX(Roster!$C:$C,MATCH($C481,Roster!$B:$B,0))="","",INDEX(Roster!$C:$C,MATCH($C481,Roster!$B:$B,0))&amp;""),"—"))</f>
        <v/>
      </c>
      <c r="F481" s="25">
        <f>IF($C481="","",IFERROR(IF(INDEX(Roster!$D:$D,MATCH($C481,Roster!$B:$B,0))="","",INDEX(Roster!$D:$D,MATCH($C481,Roster!$B:$B,0))&amp;""),"—"))</f>
        <v/>
      </c>
      <c r="G481" s="25">
        <f>IF($C481="","",IFERROR(IF(INDEX(Roster!$E:$E,MATCH($C481,Roster!$B:$B,0))="","",INDEX(Roster!$E:$E,MATCH($C481,Roster!$B:$B,0))&amp;""),"—"))</f>
        <v/>
      </c>
      <c r="H481" s="25">
        <f>IF($C481="","",IFERROR(IF(INDEX(Roster!$F:$F,MATCH($C481,Roster!$B:$B,0))="","",INDEX(Roster!$F:$F,MATCH($C481,Roster!$B:$B,0))&amp;""),"—"))</f>
        <v/>
      </c>
      <c r="I481" s="25">
        <f>IF($C481="","",IFERROR(IF(INDEX(Roster!$G:$G,MATCH($C481,Roster!$B:$B,0))="","",INDEX(Roster!$G:$G,MATCH($C481,Roster!$B:$B,0))&amp;""),"—"))</f>
        <v/>
      </c>
      <c r="J481" s="25">
        <f>IF($C481="","",IFERROR(IF(INDEX(Roster!$I:$I,MATCH($C481,Roster!$B:$B,0))="","",INDEX(Roster!$I:$I,MATCH($C481,Roster!$B:$B,0))&amp;""),"—"))</f>
        <v/>
      </c>
      <c r="K481">
        <f>IF($C481="","",IFERROR(IF(INDEX(Roster!$J:$J,MATCH($C481,Roster!$B:$B,0))="","",INDEX(Roster!$J:$J,MATCH($C481,Roster!$B:$B,0))&amp;""),"—"))</f>
        <v/>
      </c>
      <c r="L481">
        <f>IF($C481="","",IFERROR(IF(INDEX(Roster!$K:$K,MATCH($C481,Roster!$B:$B,0))="","",INDEX(Roster!$K:$K,MATCH($C481,Roster!$B:$B,0))&amp;""),"—"))</f>
        <v/>
      </c>
      <c r="M481" s="27" t="n"/>
      <c r="N481" s="27" t="n"/>
      <c r="O481" s="25">
        <f>IF($C481="","",IF($P481="","—",IF($P481="Valid (Pass)","Valid","Invalid")))</f>
        <v/>
      </c>
      <c r="P481" s="27" t="n"/>
      <c r="Q481" s="27" t="n"/>
      <c r="R481" s="27" t="n"/>
      <c r="S481" s="27" t="n"/>
      <c r="T481" s="25">
        <f>IF($C481="","",IF(OR(ISNUMBER(SEARCH("quick case",$P481)),ISNUMBER(SEARCH("quick case",$Q481))),"Yes","No"))</f>
        <v/>
      </c>
      <c r="U481" s="25">
        <f>IF($O481="Invalid",HYPERLINK("mailto:"&amp;$G481&amp;";"&amp;$I481&amp;"?cc="&amp;Lists!$E$2&amp;"&amp;subject="&amp;_xlfn.ENCODEURL("[INVALID] Quality audit monitoring completed for "&amp;UPPER($C481))&amp;"&amp;body="&amp;_xlfn.ENCODEURL("Hi "&amp;$F481&amp;","&amp;CHAR(10)&amp;"Good day!"&amp;CHAR(10)&amp;CHAR(10)&amp;"A quality monitoring audit has been completed for "&amp;$C481&amp;"."&amp;CHAR(10)&amp;CHAR(10)&amp;"QUALITY AUDIT DETAILS"&amp;CHAR(10)&amp;"Agent Name: "&amp;$C481&amp;" (EID "&amp;$D481&amp;")"&amp;CHAR(10)&amp;"Audit Date: "&amp;TEXT($B481,"yyyy-mm-dd")&amp;CHAR(10)&amp;"Team Leader: "&amp;$F481&amp;CHAR(10)&amp;"Case Number: "&amp;$M481&amp;CHAR(10)&amp;"Transaction ID: "&amp;$N481&amp;CHAR(10)&amp;"Channel / LOB: "&amp;$K481&amp;" / "&amp;$L481&amp;CHAR(10)&amp;"Evaluator: "&amp;$S481&amp;CHAR(10)&amp;CHAR(10)&amp;"INVALID QUALITY AUDIT DETAILS"&amp;CHAR(10)&amp;"Validation: Invalid"&amp;CHAR(10)&amp;"Invalid Reason: "&amp;$P481&amp;CHAR(10)&amp;"Expected Resolution Code: "&amp;$Q481&amp;CHAR(10)&amp;"Remarks: "&amp;LEFT($R481,600)&amp;CHAR(10)&amp;CHAR(10)&amp;"This is an automated notification from HP Mainstream EQMS."),"✉ Open Email Draft"),"")</f>
        <v/>
      </c>
    </row>
    <row r="482">
      <c r="A482" s="25">
        <f>IF($C482="","","AUD-2026-"&amp;TEXT(ROW()-1,"000000"))</f>
        <v/>
      </c>
      <c r="B482" s="26" t="n"/>
      <c r="C482" s="27" t="n"/>
      <c r="D482" s="25">
        <f>IF($C482="","",IFERROR(IF(INDEX(Roster!$A:$A,MATCH($C482,Roster!$B:$B,0))="","",INDEX(Roster!$A:$A,MATCH($C482,Roster!$B:$B,0))&amp;""),"—"))</f>
        <v/>
      </c>
      <c r="E482" s="25">
        <f>IF($C482="","",IFERROR(IF(INDEX(Roster!$C:$C,MATCH($C482,Roster!$B:$B,0))="","",INDEX(Roster!$C:$C,MATCH($C482,Roster!$B:$B,0))&amp;""),"—"))</f>
        <v/>
      </c>
      <c r="F482" s="25">
        <f>IF($C482="","",IFERROR(IF(INDEX(Roster!$D:$D,MATCH($C482,Roster!$B:$B,0))="","",INDEX(Roster!$D:$D,MATCH($C482,Roster!$B:$B,0))&amp;""),"—"))</f>
        <v/>
      </c>
      <c r="G482" s="25">
        <f>IF($C482="","",IFERROR(IF(INDEX(Roster!$E:$E,MATCH($C482,Roster!$B:$B,0))="","",INDEX(Roster!$E:$E,MATCH($C482,Roster!$B:$B,0))&amp;""),"—"))</f>
        <v/>
      </c>
      <c r="H482" s="25">
        <f>IF($C482="","",IFERROR(IF(INDEX(Roster!$F:$F,MATCH($C482,Roster!$B:$B,0))="","",INDEX(Roster!$F:$F,MATCH($C482,Roster!$B:$B,0))&amp;""),"—"))</f>
        <v/>
      </c>
      <c r="I482" s="25">
        <f>IF($C482="","",IFERROR(IF(INDEX(Roster!$G:$G,MATCH($C482,Roster!$B:$B,0))="","",INDEX(Roster!$G:$G,MATCH($C482,Roster!$B:$B,0))&amp;""),"—"))</f>
        <v/>
      </c>
      <c r="J482" s="25">
        <f>IF($C482="","",IFERROR(IF(INDEX(Roster!$I:$I,MATCH($C482,Roster!$B:$B,0))="","",INDEX(Roster!$I:$I,MATCH($C482,Roster!$B:$B,0))&amp;""),"—"))</f>
        <v/>
      </c>
      <c r="K482">
        <f>IF($C482="","",IFERROR(IF(INDEX(Roster!$J:$J,MATCH($C482,Roster!$B:$B,0))="","",INDEX(Roster!$J:$J,MATCH($C482,Roster!$B:$B,0))&amp;""),"—"))</f>
        <v/>
      </c>
      <c r="L482">
        <f>IF($C482="","",IFERROR(IF(INDEX(Roster!$K:$K,MATCH($C482,Roster!$B:$B,0))="","",INDEX(Roster!$K:$K,MATCH($C482,Roster!$B:$B,0))&amp;""),"—"))</f>
        <v/>
      </c>
      <c r="M482" s="27" t="n"/>
      <c r="N482" s="27" t="n"/>
      <c r="O482" s="25">
        <f>IF($C482="","",IF($P482="","—",IF($P482="Valid (Pass)","Valid","Invalid")))</f>
        <v/>
      </c>
      <c r="P482" s="27" t="n"/>
      <c r="Q482" s="27" t="n"/>
      <c r="R482" s="27" t="n"/>
      <c r="S482" s="27" t="n"/>
      <c r="T482" s="25">
        <f>IF($C482="","",IF(OR(ISNUMBER(SEARCH("quick case",$P482)),ISNUMBER(SEARCH("quick case",$Q482))),"Yes","No"))</f>
        <v/>
      </c>
      <c r="U482" s="25">
        <f>IF($O482="Invalid",HYPERLINK("mailto:"&amp;$G482&amp;";"&amp;$I482&amp;"?cc="&amp;Lists!$E$2&amp;"&amp;subject="&amp;_xlfn.ENCODEURL("[INVALID] Quality audit monitoring completed for "&amp;UPPER($C482))&amp;"&amp;body="&amp;_xlfn.ENCODEURL("Hi "&amp;$F482&amp;","&amp;CHAR(10)&amp;"Good day!"&amp;CHAR(10)&amp;CHAR(10)&amp;"A quality monitoring audit has been completed for "&amp;$C482&amp;"."&amp;CHAR(10)&amp;CHAR(10)&amp;"QUALITY AUDIT DETAILS"&amp;CHAR(10)&amp;"Agent Name: "&amp;$C482&amp;" (EID "&amp;$D482&amp;")"&amp;CHAR(10)&amp;"Audit Date: "&amp;TEXT($B482,"yyyy-mm-dd")&amp;CHAR(10)&amp;"Team Leader: "&amp;$F482&amp;CHAR(10)&amp;"Case Number: "&amp;$M482&amp;CHAR(10)&amp;"Transaction ID: "&amp;$N482&amp;CHAR(10)&amp;"Channel / LOB: "&amp;$K482&amp;" / "&amp;$L482&amp;CHAR(10)&amp;"Evaluator: "&amp;$S482&amp;CHAR(10)&amp;CHAR(10)&amp;"INVALID QUALITY AUDIT DETAILS"&amp;CHAR(10)&amp;"Validation: Invalid"&amp;CHAR(10)&amp;"Invalid Reason: "&amp;$P482&amp;CHAR(10)&amp;"Expected Resolution Code: "&amp;$Q482&amp;CHAR(10)&amp;"Remarks: "&amp;LEFT($R482,600)&amp;CHAR(10)&amp;CHAR(10)&amp;"This is an automated notification from HP Mainstream EQMS."),"✉ Open Email Draft"),"")</f>
        <v/>
      </c>
    </row>
    <row r="483">
      <c r="A483" s="25">
        <f>IF($C483="","","AUD-2026-"&amp;TEXT(ROW()-1,"000000"))</f>
        <v/>
      </c>
      <c r="B483" s="26" t="n"/>
      <c r="C483" s="27" t="n"/>
      <c r="D483" s="25">
        <f>IF($C483="","",IFERROR(IF(INDEX(Roster!$A:$A,MATCH($C483,Roster!$B:$B,0))="","",INDEX(Roster!$A:$A,MATCH($C483,Roster!$B:$B,0))&amp;""),"—"))</f>
        <v/>
      </c>
      <c r="E483" s="25">
        <f>IF($C483="","",IFERROR(IF(INDEX(Roster!$C:$C,MATCH($C483,Roster!$B:$B,0))="","",INDEX(Roster!$C:$C,MATCH($C483,Roster!$B:$B,0))&amp;""),"—"))</f>
        <v/>
      </c>
      <c r="F483" s="25">
        <f>IF($C483="","",IFERROR(IF(INDEX(Roster!$D:$D,MATCH($C483,Roster!$B:$B,0))="","",INDEX(Roster!$D:$D,MATCH($C483,Roster!$B:$B,0))&amp;""),"—"))</f>
        <v/>
      </c>
      <c r="G483" s="25">
        <f>IF($C483="","",IFERROR(IF(INDEX(Roster!$E:$E,MATCH($C483,Roster!$B:$B,0))="","",INDEX(Roster!$E:$E,MATCH($C483,Roster!$B:$B,0))&amp;""),"—"))</f>
        <v/>
      </c>
      <c r="H483" s="25">
        <f>IF($C483="","",IFERROR(IF(INDEX(Roster!$F:$F,MATCH($C483,Roster!$B:$B,0))="","",INDEX(Roster!$F:$F,MATCH($C483,Roster!$B:$B,0))&amp;""),"—"))</f>
        <v/>
      </c>
      <c r="I483" s="25">
        <f>IF($C483="","",IFERROR(IF(INDEX(Roster!$G:$G,MATCH($C483,Roster!$B:$B,0))="","",INDEX(Roster!$G:$G,MATCH($C483,Roster!$B:$B,0))&amp;""),"—"))</f>
        <v/>
      </c>
      <c r="J483" s="25">
        <f>IF($C483="","",IFERROR(IF(INDEX(Roster!$I:$I,MATCH($C483,Roster!$B:$B,0))="","",INDEX(Roster!$I:$I,MATCH($C483,Roster!$B:$B,0))&amp;""),"—"))</f>
        <v/>
      </c>
      <c r="K483">
        <f>IF($C483="","",IFERROR(IF(INDEX(Roster!$J:$J,MATCH($C483,Roster!$B:$B,0))="","",INDEX(Roster!$J:$J,MATCH($C483,Roster!$B:$B,0))&amp;""),"—"))</f>
        <v/>
      </c>
      <c r="L483">
        <f>IF($C483="","",IFERROR(IF(INDEX(Roster!$K:$K,MATCH($C483,Roster!$B:$B,0))="","",INDEX(Roster!$K:$K,MATCH($C483,Roster!$B:$B,0))&amp;""),"—"))</f>
        <v/>
      </c>
      <c r="M483" s="27" t="n"/>
      <c r="N483" s="27" t="n"/>
      <c r="O483" s="25">
        <f>IF($C483="","",IF($P483="","—",IF($P483="Valid (Pass)","Valid","Invalid")))</f>
        <v/>
      </c>
      <c r="P483" s="27" t="n"/>
      <c r="Q483" s="27" t="n"/>
      <c r="R483" s="27" t="n"/>
      <c r="S483" s="27" t="n"/>
      <c r="T483" s="25">
        <f>IF($C483="","",IF(OR(ISNUMBER(SEARCH("quick case",$P483)),ISNUMBER(SEARCH("quick case",$Q483))),"Yes","No"))</f>
        <v/>
      </c>
      <c r="U483" s="25">
        <f>IF($O483="Invalid",HYPERLINK("mailto:"&amp;$G483&amp;";"&amp;$I483&amp;"?cc="&amp;Lists!$E$2&amp;"&amp;subject="&amp;_xlfn.ENCODEURL("[INVALID] Quality audit monitoring completed for "&amp;UPPER($C483))&amp;"&amp;body="&amp;_xlfn.ENCODEURL("Hi "&amp;$F483&amp;","&amp;CHAR(10)&amp;"Good day!"&amp;CHAR(10)&amp;CHAR(10)&amp;"A quality monitoring audit has been completed for "&amp;$C483&amp;"."&amp;CHAR(10)&amp;CHAR(10)&amp;"QUALITY AUDIT DETAILS"&amp;CHAR(10)&amp;"Agent Name: "&amp;$C483&amp;" (EID "&amp;$D483&amp;")"&amp;CHAR(10)&amp;"Audit Date: "&amp;TEXT($B483,"yyyy-mm-dd")&amp;CHAR(10)&amp;"Team Leader: "&amp;$F483&amp;CHAR(10)&amp;"Case Number: "&amp;$M483&amp;CHAR(10)&amp;"Transaction ID: "&amp;$N483&amp;CHAR(10)&amp;"Channel / LOB: "&amp;$K483&amp;" / "&amp;$L483&amp;CHAR(10)&amp;"Evaluator: "&amp;$S483&amp;CHAR(10)&amp;CHAR(10)&amp;"INVALID QUALITY AUDIT DETAILS"&amp;CHAR(10)&amp;"Validation: Invalid"&amp;CHAR(10)&amp;"Invalid Reason: "&amp;$P483&amp;CHAR(10)&amp;"Expected Resolution Code: "&amp;$Q483&amp;CHAR(10)&amp;"Remarks: "&amp;LEFT($R483,600)&amp;CHAR(10)&amp;CHAR(10)&amp;"This is an automated notification from HP Mainstream EQMS."),"✉ Open Email Draft"),"")</f>
        <v/>
      </c>
    </row>
    <row r="484">
      <c r="A484" s="25">
        <f>IF($C484="","","AUD-2026-"&amp;TEXT(ROW()-1,"000000"))</f>
        <v/>
      </c>
      <c r="B484" s="26" t="n"/>
      <c r="C484" s="27" t="n"/>
      <c r="D484" s="25">
        <f>IF($C484="","",IFERROR(IF(INDEX(Roster!$A:$A,MATCH($C484,Roster!$B:$B,0))="","",INDEX(Roster!$A:$A,MATCH($C484,Roster!$B:$B,0))&amp;""),"—"))</f>
        <v/>
      </c>
      <c r="E484" s="25">
        <f>IF($C484="","",IFERROR(IF(INDEX(Roster!$C:$C,MATCH($C484,Roster!$B:$B,0))="","",INDEX(Roster!$C:$C,MATCH($C484,Roster!$B:$B,0))&amp;""),"—"))</f>
        <v/>
      </c>
      <c r="F484" s="25">
        <f>IF($C484="","",IFERROR(IF(INDEX(Roster!$D:$D,MATCH($C484,Roster!$B:$B,0))="","",INDEX(Roster!$D:$D,MATCH($C484,Roster!$B:$B,0))&amp;""),"—"))</f>
        <v/>
      </c>
      <c r="G484" s="25">
        <f>IF($C484="","",IFERROR(IF(INDEX(Roster!$E:$E,MATCH($C484,Roster!$B:$B,0))="","",INDEX(Roster!$E:$E,MATCH($C484,Roster!$B:$B,0))&amp;""),"—"))</f>
        <v/>
      </c>
      <c r="H484" s="25">
        <f>IF($C484="","",IFERROR(IF(INDEX(Roster!$F:$F,MATCH($C484,Roster!$B:$B,0))="","",INDEX(Roster!$F:$F,MATCH($C484,Roster!$B:$B,0))&amp;""),"—"))</f>
        <v/>
      </c>
      <c r="I484" s="25">
        <f>IF($C484="","",IFERROR(IF(INDEX(Roster!$G:$G,MATCH($C484,Roster!$B:$B,0))="","",INDEX(Roster!$G:$G,MATCH($C484,Roster!$B:$B,0))&amp;""),"—"))</f>
        <v/>
      </c>
      <c r="J484" s="25">
        <f>IF($C484="","",IFERROR(IF(INDEX(Roster!$I:$I,MATCH($C484,Roster!$B:$B,0))="","",INDEX(Roster!$I:$I,MATCH($C484,Roster!$B:$B,0))&amp;""),"—"))</f>
        <v/>
      </c>
      <c r="K484">
        <f>IF($C484="","",IFERROR(IF(INDEX(Roster!$J:$J,MATCH($C484,Roster!$B:$B,0))="","",INDEX(Roster!$J:$J,MATCH($C484,Roster!$B:$B,0))&amp;""),"—"))</f>
        <v/>
      </c>
      <c r="L484">
        <f>IF($C484="","",IFERROR(IF(INDEX(Roster!$K:$K,MATCH($C484,Roster!$B:$B,0))="","",INDEX(Roster!$K:$K,MATCH($C484,Roster!$B:$B,0))&amp;""),"—"))</f>
        <v/>
      </c>
      <c r="M484" s="27" t="n"/>
      <c r="N484" s="27" t="n"/>
      <c r="O484" s="25">
        <f>IF($C484="","",IF($P484="","—",IF($P484="Valid (Pass)","Valid","Invalid")))</f>
        <v/>
      </c>
      <c r="P484" s="27" t="n"/>
      <c r="Q484" s="27" t="n"/>
      <c r="R484" s="27" t="n"/>
      <c r="S484" s="27" t="n"/>
      <c r="T484" s="25">
        <f>IF($C484="","",IF(OR(ISNUMBER(SEARCH("quick case",$P484)),ISNUMBER(SEARCH("quick case",$Q484))),"Yes","No"))</f>
        <v/>
      </c>
      <c r="U484" s="25">
        <f>IF($O484="Invalid",HYPERLINK("mailto:"&amp;$G484&amp;";"&amp;$I484&amp;"?cc="&amp;Lists!$E$2&amp;"&amp;subject="&amp;_xlfn.ENCODEURL("[INVALID] Quality audit monitoring completed for "&amp;UPPER($C484))&amp;"&amp;body="&amp;_xlfn.ENCODEURL("Hi "&amp;$F484&amp;","&amp;CHAR(10)&amp;"Good day!"&amp;CHAR(10)&amp;CHAR(10)&amp;"A quality monitoring audit has been completed for "&amp;$C484&amp;"."&amp;CHAR(10)&amp;CHAR(10)&amp;"QUALITY AUDIT DETAILS"&amp;CHAR(10)&amp;"Agent Name: "&amp;$C484&amp;" (EID "&amp;$D484&amp;")"&amp;CHAR(10)&amp;"Audit Date: "&amp;TEXT($B484,"yyyy-mm-dd")&amp;CHAR(10)&amp;"Team Leader: "&amp;$F484&amp;CHAR(10)&amp;"Case Number: "&amp;$M484&amp;CHAR(10)&amp;"Transaction ID: "&amp;$N484&amp;CHAR(10)&amp;"Channel / LOB: "&amp;$K484&amp;" / "&amp;$L484&amp;CHAR(10)&amp;"Evaluator: "&amp;$S484&amp;CHAR(10)&amp;CHAR(10)&amp;"INVALID QUALITY AUDIT DETAILS"&amp;CHAR(10)&amp;"Validation: Invalid"&amp;CHAR(10)&amp;"Invalid Reason: "&amp;$P484&amp;CHAR(10)&amp;"Expected Resolution Code: "&amp;$Q484&amp;CHAR(10)&amp;"Remarks: "&amp;LEFT($R484,600)&amp;CHAR(10)&amp;CHAR(10)&amp;"This is an automated notification from HP Mainstream EQMS."),"✉ Open Email Draft"),"")</f>
        <v/>
      </c>
    </row>
    <row r="485">
      <c r="A485" s="25">
        <f>IF($C485="","","AUD-2026-"&amp;TEXT(ROW()-1,"000000"))</f>
        <v/>
      </c>
      <c r="B485" s="26" t="n"/>
      <c r="C485" s="27" t="n"/>
      <c r="D485" s="25">
        <f>IF($C485="","",IFERROR(IF(INDEX(Roster!$A:$A,MATCH($C485,Roster!$B:$B,0))="","",INDEX(Roster!$A:$A,MATCH($C485,Roster!$B:$B,0))&amp;""),"—"))</f>
        <v/>
      </c>
      <c r="E485" s="25">
        <f>IF($C485="","",IFERROR(IF(INDEX(Roster!$C:$C,MATCH($C485,Roster!$B:$B,0))="","",INDEX(Roster!$C:$C,MATCH($C485,Roster!$B:$B,0))&amp;""),"—"))</f>
        <v/>
      </c>
      <c r="F485" s="25">
        <f>IF($C485="","",IFERROR(IF(INDEX(Roster!$D:$D,MATCH($C485,Roster!$B:$B,0))="","",INDEX(Roster!$D:$D,MATCH($C485,Roster!$B:$B,0))&amp;""),"—"))</f>
        <v/>
      </c>
      <c r="G485" s="25">
        <f>IF($C485="","",IFERROR(IF(INDEX(Roster!$E:$E,MATCH($C485,Roster!$B:$B,0))="","",INDEX(Roster!$E:$E,MATCH($C485,Roster!$B:$B,0))&amp;""),"—"))</f>
        <v/>
      </c>
      <c r="H485" s="25">
        <f>IF($C485="","",IFERROR(IF(INDEX(Roster!$F:$F,MATCH($C485,Roster!$B:$B,0))="","",INDEX(Roster!$F:$F,MATCH($C485,Roster!$B:$B,0))&amp;""),"—"))</f>
        <v/>
      </c>
      <c r="I485" s="25">
        <f>IF($C485="","",IFERROR(IF(INDEX(Roster!$G:$G,MATCH($C485,Roster!$B:$B,0))="","",INDEX(Roster!$G:$G,MATCH($C485,Roster!$B:$B,0))&amp;""),"—"))</f>
        <v/>
      </c>
      <c r="J485" s="25">
        <f>IF($C485="","",IFERROR(IF(INDEX(Roster!$I:$I,MATCH($C485,Roster!$B:$B,0))="","",INDEX(Roster!$I:$I,MATCH($C485,Roster!$B:$B,0))&amp;""),"—"))</f>
        <v/>
      </c>
      <c r="K485">
        <f>IF($C485="","",IFERROR(IF(INDEX(Roster!$J:$J,MATCH($C485,Roster!$B:$B,0))="","",INDEX(Roster!$J:$J,MATCH($C485,Roster!$B:$B,0))&amp;""),"—"))</f>
        <v/>
      </c>
      <c r="L485">
        <f>IF($C485="","",IFERROR(IF(INDEX(Roster!$K:$K,MATCH($C485,Roster!$B:$B,0))="","",INDEX(Roster!$K:$K,MATCH($C485,Roster!$B:$B,0))&amp;""),"—"))</f>
        <v/>
      </c>
      <c r="M485" s="27" t="n"/>
      <c r="N485" s="27" t="n"/>
      <c r="O485" s="25">
        <f>IF($C485="","",IF($P485="","—",IF($P485="Valid (Pass)","Valid","Invalid")))</f>
        <v/>
      </c>
      <c r="P485" s="27" t="n"/>
      <c r="Q485" s="27" t="n"/>
      <c r="R485" s="27" t="n"/>
      <c r="S485" s="27" t="n"/>
      <c r="T485" s="25">
        <f>IF($C485="","",IF(OR(ISNUMBER(SEARCH("quick case",$P485)),ISNUMBER(SEARCH("quick case",$Q485))),"Yes","No"))</f>
        <v/>
      </c>
      <c r="U485" s="25">
        <f>IF($O485="Invalid",HYPERLINK("mailto:"&amp;$G485&amp;";"&amp;$I485&amp;"?cc="&amp;Lists!$E$2&amp;"&amp;subject="&amp;_xlfn.ENCODEURL("[INVALID] Quality audit monitoring completed for "&amp;UPPER($C485))&amp;"&amp;body="&amp;_xlfn.ENCODEURL("Hi "&amp;$F485&amp;","&amp;CHAR(10)&amp;"Good day!"&amp;CHAR(10)&amp;CHAR(10)&amp;"A quality monitoring audit has been completed for "&amp;$C485&amp;"."&amp;CHAR(10)&amp;CHAR(10)&amp;"QUALITY AUDIT DETAILS"&amp;CHAR(10)&amp;"Agent Name: "&amp;$C485&amp;" (EID "&amp;$D485&amp;")"&amp;CHAR(10)&amp;"Audit Date: "&amp;TEXT($B485,"yyyy-mm-dd")&amp;CHAR(10)&amp;"Team Leader: "&amp;$F485&amp;CHAR(10)&amp;"Case Number: "&amp;$M485&amp;CHAR(10)&amp;"Transaction ID: "&amp;$N485&amp;CHAR(10)&amp;"Channel / LOB: "&amp;$K485&amp;" / "&amp;$L485&amp;CHAR(10)&amp;"Evaluator: "&amp;$S485&amp;CHAR(10)&amp;CHAR(10)&amp;"INVALID QUALITY AUDIT DETAILS"&amp;CHAR(10)&amp;"Validation: Invalid"&amp;CHAR(10)&amp;"Invalid Reason: "&amp;$P485&amp;CHAR(10)&amp;"Expected Resolution Code: "&amp;$Q485&amp;CHAR(10)&amp;"Remarks: "&amp;LEFT($R485,600)&amp;CHAR(10)&amp;CHAR(10)&amp;"This is an automated notification from HP Mainstream EQMS."),"✉ Open Email Draft"),"")</f>
        <v/>
      </c>
    </row>
    <row r="486">
      <c r="A486" s="25">
        <f>IF($C486="","","AUD-2026-"&amp;TEXT(ROW()-1,"000000"))</f>
        <v/>
      </c>
      <c r="B486" s="26" t="n"/>
      <c r="C486" s="27" t="n"/>
      <c r="D486" s="25">
        <f>IF($C486="","",IFERROR(IF(INDEX(Roster!$A:$A,MATCH($C486,Roster!$B:$B,0))="","",INDEX(Roster!$A:$A,MATCH($C486,Roster!$B:$B,0))&amp;""),"—"))</f>
        <v/>
      </c>
      <c r="E486" s="25">
        <f>IF($C486="","",IFERROR(IF(INDEX(Roster!$C:$C,MATCH($C486,Roster!$B:$B,0))="","",INDEX(Roster!$C:$C,MATCH($C486,Roster!$B:$B,0))&amp;""),"—"))</f>
        <v/>
      </c>
      <c r="F486" s="25">
        <f>IF($C486="","",IFERROR(IF(INDEX(Roster!$D:$D,MATCH($C486,Roster!$B:$B,0))="","",INDEX(Roster!$D:$D,MATCH($C486,Roster!$B:$B,0))&amp;""),"—"))</f>
        <v/>
      </c>
      <c r="G486" s="25">
        <f>IF($C486="","",IFERROR(IF(INDEX(Roster!$E:$E,MATCH($C486,Roster!$B:$B,0))="","",INDEX(Roster!$E:$E,MATCH($C486,Roster!$B:$B,0))&amp;""),"—"))</f>
        <v/>
      </c>
      <c r="H486" s="25">
        <f>IF($C486="","",IFERROR(IF(INDEX(Roster!$F:$F,MATCH($C486,Roster!$B:$B,0))="","",INDEX(Roster!$F:$F,MATCH($C486,Roster!$B:$B,0))&amp;""),"—"))</f>
        <v/>
      </c>
      <c r="I486" s="25">
        <f>IF($C486="","",IFERROR(IF(INDEX(Roster!$G:$G,MATCH($C486,Roster!$B:$B,0))="","",INDEX(Roster!$G:$G,MATCH($C486,Roster!$B:$B,0))&amp;""),"—"))</f>
        <v/>
      </c>
      <c r="J486" s="25">
        <f>IF($C486="","",IFERROR(IF(INDEX(Roster!$I:$I,MATCH($C486,Roster!$B:$B,0))="","",INDEX(Roster!$I:$I,MATCH($C486,Roster!$B:$B,0))&amp;""),"—"))</f>
        <v/>
      </c>
      <c r="K486">
        <f>IF($C486="","",IFERROR(IF(INDEX(Roster!$J:$J,MATCH($C486,Roster!$B:$B,0))="","",INDEX(Roster!$J:$J,MATCH($C486,Roster!$B:$B,0))&amp;""),"—"))</f>
        <v/>
      </c>
      <c r="L486">
        <f>IF($C486="","",IFERROR(IF(INDEX(Roster!$K:$K,MATCH($C486,Roster!$B:$B,0))="","",INDEX(Roster!$K:$K,MATCH($C486,Roster!$B:$B,0))&amp;""),"—"))</f>
        <v/>
      </c>
      <c r="M486" s="27" t="n"/>
      <c r="N486" s="27" t="n"/>
      <c r="O486" s="25">
        <f>IF($C486="","",IF($P486="","—",IF($P486="Valid (Pass)","Valid","Invalid")))</f>
        <v/>
      </c>
      <c r="P486" s="27" t="n"/>
      <c r="Q486" s="27" t="n"/>
      <c r="R486" s="27" t="n"/>
      <c r="S486" s="27" t="n"/>
      <c r="T486" s="25">
        <f>IF($C486="","",IF(OR(ISNUMBER(SEARCH("quick case",$P486)),ISNUMBER(SEARCH("quick case",$Q486))),"Yes","No"))</f>
        <v/>
      </c>
      <c r="U486" s="25">
        <f>IF($O486="Invalid",HYPERLINK("mailto:"&amp;$G486&amp;";"&amp;$I486&amp;"?cc="&amp;Lists!$E$2&amp;"&amp;subject="&amp;_xlfn.ENCODEURL("[INVALID] Quality audit monitoring completed for "&amp;UPPER($C486))&amp;"&amp;body="&amp;_xlfn.ENCODEURL("Hi "&amp;$F486&amp;","&amp;CHAR(10)&amp;"Good day!"&amp;CHAR(10)&amp;CHAR(10)&amp;"A quality monitoring audit has been completed for "&amp;$C486&amp;"."&amp;CHAR(10)&amp;CHAR(10)&amp;"QUALITY AUDIT DETAILS"&amp;CHAR(10)&amp;"Agent Name: "&amp;$C486&amp;" (EID "&amp;$D486&amp;")"&amp;CHAR(10)&amp;"Audit Date: "&amp;TEXT($B486,"yyyy-mm-dd")&amp;CHAR(10)&amp;"Team Leader: "&amp;$F486&amp;CHAR(10)&amp;"Case Number: "&amp;$M486&amp;CHAR(10)&amp;"Transaction ID: "&amp;$N486&amp;CHAR(10)&amp;"Channel / LOB: "&amp;$K486&amp;" / "&amp;$L486&amp;CHAR(10)&amp;"Evaluator: "&amp;$S486&amp;CHAR(10)&amp;CHAR(10)&amp;"INVALID QUALITY AUDIT DETAILS"&amp;CHAR(10)&amp;"Validation: Invalid"&amp;CHAR(10)&amp;"Invalid Reason: "&amp;$P486&amp;CHAR(10)&amp;"Expected Resolution Code: "&amp;$Q486&amp;CHAR(10)&amp;"Remarks: "&amp;LEFT($R486,600)&amp;CHAR(10)&amp;CHAR(10)&amp;"This is an automated notification from HP Mainstream EQMS."),"✉ Open Email Draft"),"")</f>
        <v/>
      </c>
    </row>
    <row r="487">
      <c r="A487" s="25">
        <f>IF($C487="","","AUD-2026-"&amp;TEXT(ROW()-1,"000000"))</f>
        <v/>
      </c>
      <c r="B487" s="26" t="n"/>
      <c r="C487" s="27" t="n"/>
      <c r="D487" s="25">
        <f>IF($C487="","",IFERROR(IF(INDEX(Roster!$A:$A,MATCH($C487,Roster!$B:$B,0))="","",INDEX(Roster!$A:$A,MATCH($C487,Roster!$B:$B,0))&amp;""),"—"))</f>
        <v/>
      </c>
      <c r="E487" s="25">
        <f>IF($C487="","",IFERROR(IF(INDEX(Roster!$C:$C,MATCH($C487,Roster!$B:$B,0))="","",INDEX(Roster!$C:$C,MATCH($C487,Roster!$B:$B,0))&amp;""),"—"))</f>
        <v/>
      </c>
      <c r="F487" s="25">
        <f>IF($C487="","",IFERROR(IF(INDEX(Roster!$D:$D,MATCH($C487,Roster!$B:$B,0))="","",INDEX(Roster!$D:$D,MATCH($C487,Roster!$B:$B,0))&amp;""),"—"))</f>
        <v/>
      </c>
      <c r="G487" s="25">
        <f>IF($C487="","",IFERROR(IF(INDEX(Roster!$E:$E,MATCH($C487,Roster!$B:$B,0))="","",INDEX(Roster!$E:$E,MATCH($C487,Roster!$B:$B,0))&amp;""),"—"))</f>
        <v/>
      </c>
      <c r="H487" s="25">
        <f>IF($C487="","",IFERROR(IF(INDEX(Roster!$F:$F,MATCH($C487,Roster!$B:$B,0))="","",INDEX(Roster!$F:$F,MATCH($C487,Roster!$B:$B,0))&amp;""),"—"))</f>
        <v/>
      </c>
      <c r="I487" s="25">
        <f>IF($C487="","",IFERROR(IF(INDEX(Roster!$G:$G,MATCH($C487,Roster!$B:$B,0))="","",INDEX(Roster!$G:$G,MATCH($C487,Roster!$B:$B,0))&amp;""),"—"))</f>
        <v/>
      </c>
      <c r="J487" s="25">
        <f>IF($C487="","",IFERROR(IF(INDEX(Roster!$I:$I,MATCH($C487,Roster!$B:$B,0))="","",INDEX(Roster!$I:$I,MATCH($C487,Roster!$B:$B,0))&amp;""),"—"))</f>
        <v/>
      </c>
      <c r="K487">
        <f>IF($C487="","",IFERROR(IF(INDEX(Roster!$J:$J,MATCH($C487,Roster!$B:$B,0))="","",INDEX(Roster!$J:$J,MATCH($C487,Roster!$B:$B,0))&amp;""),"—"))</f>
        <v/>
      </c>
      <c r="L487">
        <f>IF($C487="","",IFERROR(IF(INDEX(Roster!$K:$K,MATCH($C487,Roster!$B:$B,0))="","",INDEX(Roster!$K:$K,MATCH($C487,Roster!$B:$B,0))&amp;""),"—"))</f>
        <v/>
      </c>
      <c r="M487" s="27" t="n"/>
      <c r="N487" s="27" t="n"/>
      <c r="O487" s="25">
        <f>IF($C487="","",IF($P487="","—",IF($P487="Valid (Pass)","Valid","Invalid")))</f>
        <v/>
      </c>
      <c r="P487" s="27" t="n"/>
      <c r="Q487" s="27" t="n"/>
      <c r="R487" s="27" t="n"/>
      <c r="S487" s="27" t="n"/>
      <c r="T487" s="25">
        <f>IF($C487="","",IF(OR(ISNUMBER(SEARCH("quick case",$P487)),ISNUMBER(SEARCH("quick case",$Q487))),"Yes","No"))</f>
        <v/>
      </c>
      <c r="U487" s="25">
        <f>IF($O487="Invalid",HYPERLINK("mailto:"&amp;$G487&amp;";"&amp;$I487&amp;"?cc="&amp;Lists!$E$2&amp;"&amp;subject="&amp;_xlfn.ENCODEURL("[INVALID] Quality audit monitoring completed for "&amp;UPPER($C487))&amp;"&amp;body="&amp;_xlfn.ENCODEURL("Hi "&amp;$F487&amp;","&amp;CHAR(10)&amp;"Good day!"&amp;CHAR(10)&amp;CHAR(10)&amp;"A quality monitoring audit has been completed for "&amp;$C487&amp;"."&amp;CHAR(10)&amp;CHAR(10)&amp;"QUALITY AUDIT DETAILS"&amp;CHAR(10)&amp;"Agent Name: "&amp;$C487&amp;" (EID "&amp;$D487&amp;")"&amp;CHAR(10)&amp;"Audit Date: "&amp;TEXT($B487,"yyyy-mm-dd")&amp;CHAR(10)&amp;"Team Leader: "&amp;$F487&amp;CHAR(10)&amp;"Case Number: "&amp;$M487&amp;CHAR(10)&amp;"Transaction ID: "&amp;$N487&amp;CHAR(10)&amp;"Channel / LOB: "&amp;$K487&amp;" / "&amp;$L487&amp;CHAR(10)&amp;"Evaluator: "&amp;$S487&amp;CHAR(10)&amp;CHAR(10)&amp;"INVALID QUALITY AUDIT DETAILS"&amp;CHAR(10)&amp;"Validation: Invalid"&amp;CHAR(10)&amp;"Invalid Reason: "&amp;$P487&amp;CHAR(10)&amp;"Expected Resolution Code: "&amp;$Q487&amp;CHAR(10)&amp;"Remarks: "&amp;LEFT($R487,600)&amp;CHAR(10)&amp;CHAR(10)&amp;"This is an automated notification from HP Mainstream EQMS."),"✉ Open Email Draft"),"")</f>
        <v/>
      </c>
    </row>
    <row r="488">
      <c r="A488" s="25">
        <f>IF($C488="","","AUD-2026-"&amp;TEXT(ROW()-1,"000000"))</f>
        <v/>
      </c>
      <c r="B488" s="26" t="n"/>
      <c r="C488" s="27" t="n"/>
      <c r="D488" s="25">
        <f>IF($C488="","",IFERROR(IF(INDEX(Roster!$A:$A,MATCH($C488,Roster!$B:$B,0))="","",INDEX(Roster!$A:$A,MATCH($C488,Roster!$B:$B,0))&amp;""),"—"))</f>
        <v/>
      </c>
      <c r="E488" s="25">
        <f>IF($C488="","",IFERROR(IF(INDEX(Roster!$C:$C,MATCH($C488,Roster!$B:$B,0))="","",INDEX(Roster!$C:$C,MATCH($C488,Roster!$B:$B,0))&amp;""),"—"))</f>
        <v/>
      </c>
      <c r="F488" s="25">
        <f>IF($C488="","",IFERROR(IF(INDEX(Roster!$D:$D,MATCH($C488,Roster!$B:$B,0))="","",INDEX(Roster!$D:$D,MATCH($C488,Roster!$B:$B,0))&amp;""),"—"))</f>
        <v/>
      </c>
      <c r="G488" s="25">
        <f>IF($C488="","",IFERROR(IF(INDEX(Roster!$E:$E,MATCH($C488,Roster!$B:$B,0))="","",INDEX(Roster!$E:$E,MATCH($C488,Roster!$B:$B,0))&amp;""),"—"))</f>
        <v/>
      </c>
      <c r="H488" s="25">
        <f>IF($C488="","",IFERROR(IF(INDEX(Roster!$F:$F,MATCH($C488,Roster!$B:$B,0))="","",INDEX(Roster!$F:$F,MATCH($C488,Roster!$B:$B,0))&amp;""),"—"))</f>
        <v/>
      </c>
      <c r="I488" s="25">
        <f>IF($C488="","",IFERROR(IF(INDEX(Roster!$G:$G,MATCH($C488,Roster!$B:$B,0))="","",INDEX(Roster!$G:$G,MATCH($C488,Roster!$B:$B,0))&amp;""),"—"))</f>
        <v/>
      </c>
      <c r="J488" s="25">
        <f>IF($C488="","",IFERROR(IF(INDEX(Roster!$I:$I,MATCH($C488,Roster!$B:$B,0))="","",INDEX(Roster!$I:$I,MATCH($C488,Roster!$B:$B,0))&amp;""),"—"))</f>
        <v/>
      </c>
      <c r="K488">
        <f>IF($C488="","",IFERROR(IF(INDEX(Roster!$J:$J,MATCH($C488,Roster!$B:$B,0))="","",INDEX(Roster!$J:$J,MATCH($C488,Roster!$B:$B,0))&amp;""),"—"))</f>
        <v/>
      </c>
      <c r="L488">
        <f>IF($C488="","",IFERROR(IF(INDEX(Roster!$K:$K,MATCH($C488,Roster!$B:$B,0))="","",INDEX(Roster!$K:$K,MATCH($C488,Roster!$B:$B,0))&amp;""),"—"))</f>
        <v/>
      </c>
      <c r="M488" s="27" t="n"/>
      <c r="N488" s="27" t="n"/>
      <c r="O488" s="25">
        <f>IF($C488="","",IF($P488="","—",IF($P488="Valid (Pass)","Valid","Invalid")))</f>
        <v/>
      </c>
      <c r="P488" s="27" t="n"/>
      <c r="Q488" s="27" t="n"/>
      <c r="R488" s="27" t="n"/>
      <c r="S488" s="27" t="n"/>
      <c r="T488" s="25">
        <f>IF($C488="","",IF(OR(ISNUMBER(SEARCH("quick case",$P488)),ISNUMBER(SEARCH("quick case",$Q488))),"Yes","No"))</f>
        <v/>
      </c>
      <c r="U488" s="25">
        <f>IF($O488="Invalid",HYPERLINK("mailto:"&amp;$G488&amp;";"&amp;$I488&amp;"?cc="&amp;Lists!$E$2&amp;"&amp;subject="&amp;_xlfn.ENCODEURL("[INVALID] Quality audit monitoring completed for "&amp;UPPER($C488))&amp;"&amp;body="&amp;_xlfn.ENCODEURL("Hi "&amp;$F488&amp;","&amp;CHAR(10)&amp;"Good day!"&amp;CHAR(10)&amp;CHAR(10)&amp;"A quality monitoring audit has been completed for "&amp;$C488&amp;"."&amp;CHAR(10)&amp;CHAR(10)&amp;"QUALITY AUDIT DETAILS"&amp;CHAR(10)&amp;"Agent Name: "&amp;$C488&amp;" (EID "&amp;$D488&amp;")"&amp;CHAR(10)&amp;"Audit Date: "&amp;TEXT($B488,"yyyy-mm-dd")&amp;CHAR(10)&amp;"Team Leader: "&amp;$F488&amp;CHAR(10)&amp;"Case Number: "&amp;$M488&amp;CHAR(10)&amp;"Transaction ID: "&amp;$N488&amp;CHAR(10)&amp;"Channel / LOB: "&amp;$K488&amp;" / "&amp;$L488&amp;CHAR(10)&amp;"Evaluator: "&amp;$S488&amp;CHAR(10)&amp;CHAR(10)&amp;"INVALID QUALITY AUDIT DETAILS"&amp;CHAR(10)&amp;"Validation: Invalid"&amp;CHAR(10)&amp;"Invalid Reason: "&amp;$P488&amp;CHAR(10)&amp;"Expected Resolution Code: "&amp;$Q488&amp;CHAR(10)&amp;"Remarks: "&amp;LEFT($R488,600)&amp;CHAR(10)&amp;CHAR(10)&amp;"This is an automated notification from HP Mainstream EQMS."),"✉ Open Email Draft"),"")</f>
        <v/>
      </c>
    </row>
    <row r="489">
      <c r="A489" s="25">
        <f>IF($C489="","","AUD-2026-"&amp;TEXT(ROW()-1,"000000"))</f>
        <v/>
      </c>
      <c r="B489" s="26" t="n"/>
      <c r="C489" s="27" t="n"/>
      <c r="D489" s="25">
        <f>IF($C489="","",IFERROR(IF(INDEX(Roster!$A:$A,MATCH($C489,Roster!$B:$B,0))="","",INDEX(Roster!$A:$A,MATCH($C489,Roster!$B:$B,0))&amp;""),"—"))</f>
        <v/>
      </c>
      <c r="E489" s="25">
        <f>IF($C489="","",IFERROR(IF(INDEX(Roster!$C:$C,MATCH($C489,Roster!$B:$B,0))="","",INDEX(Roster!$C:$C,MATCH($C489,Roster!$B:$B,0))&amp;""),"—"))</f>
        <v/>
      </c>
      <c r="F489" s="25">
        <f>IF($C489="","",IFERROR(IF(INDEX(Roster!$D:$D,MATCH($C489,Roster!$B:$B,0))="","",INDEX(Roster!$D:$D,MATCH($C489,Roster!$B:$B,0))&amp;""),"—"))</f>
        <v/>
      </c>
      <c r="G489" s="25">
        <f>IF($C489="","",IFERROR(IF(INDEX(Roster!$E:$E,MATCH($C489,Roster!$B:$B,0))="","",INDEX(Roster!$E:$E,MATCH($C489,Roster!$B:$B,0))&amp;""),"—"))</f>
        <v/>
      </c>
      <c r="H489" s="25">
        <f>IF($C489="","",IFERROR(IF(INDEX(Roster!$F:$F,MATCH($C489,Roster!$B:$B,0))="","",INDEX(Roster!$F:$F,MATCH($C489,Roster!$B:$B,0))&amp;""),"—"))</f>
        <v/>
      </c>
      <c r="I489" s="25">
        <f>IF($C489="","",IFERROR(IF(INDEX(Roster!$G:$G,MATCH($C489,Roster!$B:$B,0))="","",INDEX(Roster!$G:$G,MATCH($C489,Roster!$B:$B,0))&amp;""),"—"))</f>
        <v/>
      </c>
      <c r="J489" s="25">
        <f>IF($C489="","",IFERROR(IF(INDEX(Roster!$I:$I,MATCH($C489,Roster!$B:$B,0))="","",INDEX(Roster!$I:$I,MATCH($C489,Roster!$B:$B,0))&amp;""),"—"))</f>
        <v/>
      </c>
      <c r="K489">
        <f>IF($C489="","",IFERROR(IF(INDEX(Roster!$J:$J,MATCH($C489,Roster!$B:$B,0))="","",INDEX(Roster!$J:$J,MATCH($C489,Roster!$B:$B,0))&amp;""),"—"))</f>
        <v/>
      </c>
      <c r="L489">
        <f>IF($C489="","",IFERROR(IF(INDEX(Roster!$K:$K,MATCH($C489,Roster!$B:$B,0))="","",INDEX(Roster!$K:$K,MATCH($C489,Roster!$B:$B,0))&amp;""),"—"))</f>
        <v/>
      </c>
      <c r="M489" s="27" t="n"/>
      <c r="N489" s="27" t="n"/>
      <c r="O489" s="25">
        <f>IF($C489="","",IF($P489="","—",IF($P489="Valid (Pass)","Valid","Invalid")))</f>
        <v/>
      </c>
      <c r="P489" s="27" t="n"/>
      <c r="Q489" s="27" t="n"/>
      <c r="R489" s="27" t="n"/>
      <c r="S489" s="27" t="n"/>
      <c r="T489" s="25">
        <f>IF($C489="","",IF(OR(ISNUMBER(SEARCH("quick case",$P489)),ISNUMBER(SEARCH("quick case",$Q489))),"Yes","No"))</f>
        <v/>
      </c>
      <c r="U489" s="25">
        <f>IF($O489="Invalid",HYPERLINK("mailto:"&amp;$G489&amp;";"&amp;$I489&amp;"?cc="&amp;Lists!$E$2&amp;"&amp;subject="&amp;_xlfn.ENCODEURL("[INVALID] Quality audit monitoring completed for "&amp;UPPER($C489))&amp;"&amp;body="&amp;_xlfn.ENCODEURL("Hi "&amp;$F489&amp;","&amp;CHAR(10)&amp;"Good day!"&amp;CHAR(10)&amp;CHAR(10)&amp;"A quality monitoring audit has been completed for "&amp;$C489&amp;"."&amp;CHAR(10)&amp;CHAR(10)&amp;"QUALITY AUDIT DETAILS"&amp;CHAR(10)&amp;"Agent Name: "&amp;$C489&amp;" (EID "&amp;$D489&amp;")"&amp;CHAR(10)&amp;"Audit Date: "&amp;TEXT($B489,"yyyy-mm-dd")&amp;CHAR(10)&amp;"Team Leader: "&amp;$F489&amp;CHAR(10)&amp;"Case Number: "&amp;$M489&amp;CHAR(10)&amp;"Transaction ID: "&amp;$N489&amp;CHAR(10)&amp;"Channel / LOB: "&amp;$K489&amp;" / "&amp;$L489&amp;CHAR(10)&amp;"Evaluator: "&amp;$S489&amp;CHAR(10)&amp;CHAR(10)&amp;"INVALID QUALITY AUDIT DETAILS"&amp;CHAR(10)&amp;"Validation: Invalid"&amp;CHAR(10)&amp;"Invalid Reason: "&amp;$P489&amp;CHAR(10)&amp;"Expected Resolution Code: "&amp;$Q489&amp;CHAR(10)&amp;"Remarks: "&amp;LEFT($R489,600)&amp;CHAR(10)&amp;CHAR(10)&amp;"This is an automated notification from HP Mainstream EQMS."),"✉ Open Email Draft"),"")</f>
        <v/>
      </c>
    </row>
    <row r="490">
      <c r="A490" s="25">
        <f>IF($C490="","","AUD-2026-"&amp;TEXT(ROW()-1,"000000"))</f>
        <v/>
      </c>
      <c r="B490" s="26" t="n"/>
      <c r="C490" s="27" t="n"/>
      <c r="D490" s="25">
        <f>IF($C490="","",IFERROR(IF(INDEX(Roster!$A:$A,MATCH($C490,Roster!$B:$B,0))="","",INDEX(Roster!$A:$A,MATCH($C490,Roster!$B:$B,0))&amp;""),"—"))</f>
        <v/>
      </c>
      <c r="E490" s="25">
        <f>IF($C490="","",IFERROR(IF(INDEX(Roster!$C:$C,MATCH($C490,Roster!$B:$B,0))="","",INDEX(Roster!$C:$C,MATCH($C490,Roster!$B:$B,0))&amp;""),"—"))</f>
        <v/>
      </c>
      <c r="F490" s="25">
        <f>IF($C490="","",IFERROR(IF(INDEX(Roster!$D:$D,MATCH($C490,Roster!$B:$B,0))="","",INDEX(Roster!$D:$D,MATCH($C490,Roster!$B:$B,0))&amp;""),"—"))</f>
        <v/>
      </c>
      <c r="G490" s="25">
        <f>IF($C490="","",IFERROR(IF(INDEX(Roster!$E:$E,MATCH($C490,Roster!$B:$B,0))="","",INDEX(Roster!$E:$E,MATCH($C490,Roster!$B:$B,0))&amp;""),"—"))</f>
        <v/>
      </c>
      <c r="H490" s="25">
        <f>IF($C490="","",IFERROR(IF(INDEX(Roster!$F:$F,MATCH($C490,Roster!$B:$B,0))="","",INDEX(Roster!$F:$F,MATCH($C490,Roster!$B:$B,0))&amp;""),"—"))</f>
        <v/>
      </c>
      <c r="I490" s="25">
        <f>IF($C490="","",IFERROR(IF(INDEX(Roster!$G:$G,MATCH($C490,Roster!$B:$B,0))="","",INDEX(Roster!$G:$G,MATCH($C490,Roster!$B:$B,0))&amp;""),"—"))</f>
        <v/>
      </c>
      <c r="J490" s="25">
        <f>IF($C490="","",IFERROR(IF(INDEX(Roster!$I:$I,MATCH($C490,Roster!$B:$B,0))="","",INDEX(Roster!$I:$I,MATCH($C490,Roster!$B:$B,0))&amp;""),"—"))</f>
        <v/>
      </c>
      <c r="K490">
        <f>IF($C490="","",IFERROR(IF(INDEX(Roster!$J:$J,MATCH($C490,Roster!$B:$B,0))="","",INDEX(Roster!$J:$J,MATCH($C490,Roster!$B:$B,0))&amp;""),"—"))</f>
        <v/>
      </c>
      <c r="L490">
        <f>IF($C490="","",IFERROR(IF(INDEX(Roster!$K:$K,MATCH($C490,Roster!$B:$B,0))="","",INDEX(Roster!$K:$K,MATCH($C490,Roster!$B:$B,0))&amp;""),"—"))</f>
        <v/>
      </c>
      <c r="M490" s="27" t="n"/>
      <c r="N490" s="27" t="n"/>
      <c r="O490" s="25">
        <f>IF($C490="","",IF($P490="","—",IF($P490="Valid (Pass)","Valid","Invalid")))</f>
        <v/>
      </c>
      <c r="P490" s="27" t="n"/>
      <c r="Q490" s="27" t="n"/>
      <c r="R490" s="27" t="n"/>
      <c r="S490" s="27" t="n"/>
      <c r="T490" s="25">
        <f>IF($C490="","",IF(OR(ISNUMBER(SEARCH("quick case",$P490)),ISNUMBER(SEARCH("quick case",$Q490))),"Yes","No"))</f>
        <v/>
      </c>
      <c r="U490" s="25">
        <f>IF($O490="Invalid",HYPERLINK("mailto:"&amp;$G490&amp;";"&amp;$I490&amp;"?cc="&amp;Lists!$E$2&amp;"&amp;subject="&amp;_xlfn.ENCODEURL("[INVALID] Quality audit monitoring completed for "&amp;UPPER($C490))&amp;"&amp;body="&amp;_xlfn.ENCODEURL("Hi "&amp;$F490&amp;","&amp;CHAR(10)&amp;"Good day!"&amp;CHAR(10)&amp;CHAR(10)&amp;"A quality monitoring audit has been completed for "&amp;$C490&amp;"."&amp;CHAR(10)&amp;CHAR(10)&amp;"QUALITY AUDIT DETAILS"&amp;CHAR(10)&amp;"Agent Name: "&amp;$C490&amp;" (EID "&amp;$D490&amp;")"&amp;CHAR(10)&amp;"Audit Date: "&amp;TEXT($B490,"yyyy-mm-dd")&amp;CHAR(10)&amp;"Team Leader: "&amp;$F490&amp;CHAR(10)&amp;"Case Number: "&amp;$M490&amp;CHAR(10)&amp;"Transaction ID: "&amp;$N490&amp;CHAR(10)&amp;"Channel / LOB: "&amp;$K490&amp;" / "&amp;$L490&amp;CHAR(10)&amp;"Evaluator: "&amp;$S490&amp;CHAR(10)&amp;CHAR(10)&amp;"INVALID QUALITY AUDIT DETAILS"&amp;CHAR(10)&amp;"Validation: Invalid"&amp;CHAR(10)&amp;"Invalid Reason: "&amp;$P490&amp;CHAR(10)&amp;"Expected Resolution Code: "&amp;$Q490&amp;CHAR(10)&amp;"Remarks: "&amp;LEFT($R490,600)&amp;CHAR(10)&amp;CHAR(10)&amp;"This is an automated notification from HP Mainstream EQMS."),"✉ Open Email Draft"),"")</f>
        <v/>
      </c>
    </row>
    <row r="491">
      <c r="A491" s="25">
        <f>IF($C491="","","AUD-2026-"&amp;TEXT(ROW()-1,"000000"))</f>
        <v/>
      </c>
      <c r="B491" s="26" t="n"/>
      <c r="C491" s="27" t="n"/>
      <c r="D491" s="25">
        <f>IF($C491="","",IFERROR(IF(INDEX(Roster!$A:$A,MATCH($C491,Roster!$B:$B,0))="","",INDEX(Roster!$A:$A,MATCH($C491,Roster!$B:$B,0))&amp;""),"—"))</f>
        <v/>
      </c>
      <c r="E491" s="25">
        <f>IF($C491="","",IFERROR(IF(INDEX(Roster!$C:$C,MATCH($C491,Roster!$B:$B,0))="","",INDEX(Roster!$C:$C,MATCH($C491,Roster!$B:$B,0))&amp;""),"—"))</f>
        <v/>
      </c>
      <c r="F491" s="25">
        <f>IF($C491="","",IFERROR(IF(INDEX(Roster!$D:$D,MATCH($C491,Roster!$B:$B,0))="","",INDEX(Roster!$D:$D,MATCH($C491,Roster!$B:$B,0))&amp;""),"—"))</f>
        <v/>
      </c>
      <c r="G491" s="25">
        <f>IF($C491="","",IFERROR(IF(INDEX(Roster!$E:$E,MATCH($C491,Roster!$B:$B,0))="","",INDEX(Roster!$E:$E,MATCH($C491,Roster!$B:$B,0))&amp;""),"—"))</f>
        <v/>
      </c>
      <c r="H491" s="25">
        <f>IF($C491="","",IFERROR(IF(INDEX(Roster!$F:$F,MATCH($C491,Roster!$B:$B,0))="","",INDEX(Roster!$F:$F,MATCH($C491,Roster!$B:$B,0))&amp;""),"—"))</f>
        <v/>
      </c>
      <c r="I491" s="25">
        <f>IF($C491="","",IFERROR(IF(INDEX(Roster!$G:$G,MATCH($C491,Roster!$B:$B,0))="","",INDEX(Roster!$G:$G,MATCH($C491,Roster!$B:$B,0))&amp;""),"—"))</f>
        <v/>
      </c>
      <c r="J491" s="25">
        <f>IF($C491="","",IFERROR(IF(INDEX(Roster!$I:$I,MATCH($C491,Roster!$B:$B,0))="","",INDEX(Roster!$I:$I,MATCH($C491,Roster!$B:$B,0))&amp;""),"—"))</f>
        <v/>
      </c>
      <c r="K491">
        <f>IF($C491="","",IFERROR(IF(INDEX(Roster!$J:$J,MATCH($C491,Roster!$B:$B,0))="","",INDEX(Roster!$J:$J,MATCH($C491,Roster!$B:$B,0))&amp;""),"—"))</f>
        <v/>
      </c>
      <c r="L491">
        <f>IF($C491="","",IFERROR(IF(INDEX(Roster!$K:$K,MATCH($C491,Roster!$B:$B,0))="","",INDEX(Roster!$K:$K,MATCH($C491,Roster!$B:$B,0))&amp;""),"—"))</f>
        <v/>
      </c>
      <c r="M491" s="27" t="n"/>
      <c r="N491" s="27" t="n"/>
      <c r="O491" s="25">
        <f>IF($C491="","",IF($P491="","—",IF($P491="Valid (Pass)","Valid","Invalid")))</f>
        <v/>
      </c>
      <c r="P491" s="27" t="n"/>
      <c r="Q491" s="27" t="n"/>
      <c r="R491" s="27" t="n"/>
      <c r="S491" s="27" t="n"/>
      <c r="T491" s="25">
        <f>IF($C491="","",IF(OR(ISNUMBER(SEARCH("quick case",$P491)),ISNUMBER(SEARCH("quick case",$Q491))),"Yes","No"))</f>
        <v/>
      </c>
      <c r="U491" s="25">
        <f>IF($O491="Invalid",HYPERLINK("mailto:"&amp;$G491&amp;";"&amp;$I491&amp;"?cc="&amp;Lists!$E$2&amp;"&amp;subject="&amp;_xlfn.ENCODEURL("[INVALID] Quality audit monitoring completed for "&amp;UPPER($C491))&amp;"&amp;body="&amp;_xlfn.ENCODEURL("Hi "&amp;$F491&amp;","&amp;CHAR(10)&amp;"Good day!"&amp;CHAR(10)&amp;CHAR(10)&amp;"A quality monitoring audit has been completed for "&amp;$C491&amp;"."&amp;CHAR(10)&amp;CHAR(10)&amp;"QUALITY AUDIT DETAILS"&amp;CHAR(10)&amp;"Agent Name: "&amp;$C491&amp;" (EID "&amp;$D491&amp;")"&amp;CHAR(10)&amp;"Audit Date: "&amp;TEXT($B491,"yyyy-mm-dd")&amp;CHAR(10)&amp;"Team Leader: "&amp;$F491&amp;CHAR(10)&amp;"Case Number: "&amp;$M491&amp;CHAR(10)&amp;"Transaction ID: "&amp;$N491&amp;CHAR(10)&amp;"Channel / LOB: "&amp;$K491&amp;" / "&amp;$L491&amp;CHAR(10)&amp;"Evaluator: "&amp;$S491&amp;CHAR(10)&amp;CHAR(10)&amp;"INVALID QUALITY AUDIT DETAILS"&amp;CHAR(10)&amp;"Validation: Invalid"&amp;CHAR(10)&amp;"Invalid Reason: "&amp;$P491&amp;CHAR(10)&amp;"Expected Resolution Code: "&amp;$Q491&amp;CHAR(10)&amp;"Remarks: "&amp;LEFT($R491,600)&amp;CHAR(10)&amp;CHAR(10)&amp;"This is an automated notification from HP Mainstream EQMS."),"✉ Open Email Draft"),"")</f>
        <v/>
      </c>
    </row>
    <row r="492">
      <c r="A492" s="25">
        <f>IF($C492="","","AUD-2026-"&amp;TEXT(ROW()-1,"000000"))</f>
        <v/>
      </c>
      <c r="B492" s="26" t="n"/>
      <c r="C492" s="27" t="n"/>
      <c r="D492" s="25">
        <f>IF($C492="","",IFERROR(IF(INDEX(Roster!$A:$A,MATCH($C492,Roster!$B:$B,0))="","",INDEX(Roster!$A:$A,MATCH($C492,Roster!$B:$B,0))&amp;""),"—"))</f>
        <v/>
      </c>
      <c r="E492" s="25">
        <f>IF($C492="","",IFERROR(IF(INDEX(Roster!$C:$C,MATCH($C492,Roster!$B:$B,0))="","",INDEX(Roster!$C:$C,MATCH($C492,Roster!$B:$B,0))&amp;""),"—"))</f>
        <v/>
      </c>
      <c r="F492" s="25">
        <f>IF($C492="","",IFERROR(IF(INDEX(Roster!$D:$D,MATCH($C492,Roster!$B:$B,0))="","",INDEX(Roster!$D:$D,MATCH($C492,Roster!$B:$B,0))&amp;""),"—"))</f>
        <v/>
      </c>
      <c r="G492" s="25">
        <f>IF($C492="","",IFERROR(IF(INDEX(Roster!$E:$E,MATCH($C492,Roster!$B:$B,0))="","",INDEX(Roster!$E:$E,MATCH($C492,Roster!$B:$B,0))&amp;""),"—"))</f>
        <v/>
      </c>
      <c r="H492" s="25">
        <f>IF($C492="","",IFERROR(IF(INDEX(Roster!$F:$F,MATCH($C492,Roster!$B:$B,0))="","",INDEX(Roster!$F:$F,MATCH($C492,Roster!$B:$B,0))&amp;""),"—"))</f>
        <v/>
      </c>
      <c r="I492" s="25">
        <f>IF($C492="","",IFERROR(IF(INDEX(Roster!$G:$G,MATCH($C492,Roster!$B:$B,0))="","",INDEX(Roster!$G:$G,MATCH($C492,Roster!$B:$B,0))&amp;""),"—"))</f>
        <v/>
      </c>
      <c r="J492" s="25">
        <f>IF($C492="","",IFERROR(IF(INDEX(Roster!$I:$I,MATCH($C492,Roster!$B:$B,0))="","",INDEX(Roster!$I:$I,MATCH($C492,Roster!$B:$B,0))&amp;""),"—"))</f>
        <v/>
      </c>
      <c r="K492">
        <f>IF($C492="","",IFERROR(IF(INDEX(Roster!$J:$J,MATCH($C492,Roster!$B:$B,0))="","",INDEX(Roster!$J:$J,MATCH($C492,Roster!$B:$B,0))&amp;""),"—"))</f>
        <v/>
      </c>
      <c r="L492">
        <f>IF($C492="","",IFERROR(IF(INDEX(Roster!$K:$K,MATCH($C492,Roster!$B:$B,0))="","",INDEX(Roster!$K:$K,MATCH($C492,Roster!$B:$B,0))&amp;""),"—"))</f>
        <v/>
      </c>
      <c r="M492" s="27" t="n"/>
      <c r="N492" s="27" t="n"/>
      <c r="O492" s="25">
        <f>IF($C492="","",IF($P492="","—",IF($P492="Valid (Pass)","Valid","Invalid")))</f>
        <v/>
      </c>
      <c r="P492" s="27" t="n"/>
      <c r="Q492" s="27" t="n"/>
      <c r="R492" s="27" t="n"/>
      <c r="S492" s="27" t="n"/>
      <c r="T492" s="25">
        <f>IF($C492="","",IF(OR(ISNUMBER(SEARCH("quick case",$P492)),ISNUMBER(SEARCH("quick case",$Q492))),"Yes","No"))</f>
        <v/>
      </c>
      <c r="U492" s="25">
        <f>IF($O492="Invalid",HYPERLINK("mailto:"&amp;$G492&amp;";"&amp;$I492&amp;"?cc="&amp;Lists!$E$2&amp;"&amp;subject="&amp;_xlfn.ENCODEURL("[INVALID] Quality audit monitoring completed for "&amp;UPPER($C492))&amp;"&amp;body="&amp;_xlfn.ENCODEURL("Hi "&amp;$F492&amp;","&amp;CHAR(10)&amp;"Good day!"&amp;CHAR(10)&amp;CHAR(10)&amp;"A quality monitoring audit has been completed for "&amp;$C492&amp;"."&amp;CHAR(10)&amp;CHAR(10)&amp;"QUALITY AUDIT DETAILS"&amp;CHAR(10)&amp;"Agent Name: "&amp;$C492&amp;" (EID "&amp;$D492&amp;")"&amp;CHAR(10)&amp;"Audit Date: "&amp;TEXT($B492,"yyyy-mm-dd")&amp;CHAR(10)&amp;"Team Leader: "&amp;$F492&amp;CHAR(10)&amp;"Case Number: "&amp;$M492&amp;CHAR(10)&amp;"Transaction ID: "&amp;$N492&amp;CHAR(10)&amp;"Channel / LOB: "&amp;$K492&amp;" / "&amp;$L492&amp;CHAR(10)&amp;"Evaluator: "&amp;$S492&amp;CHAR(10)&amp;CHAR(10)&amp;"INVALID QUALITY AUDIT DETAILS"&amp;CHAR(10)&amp;"Validation: Invalid"&amp;CHAR(10)&amp;"Invalid Reason: "&amp;$P492&amp;CHAR(10)&amp;"Expected Resolution Code: "&amp;$Q492&amp;CHAR(10)&amp;"Remarks: "&amp;LEFT($R492,600)&amp;CHAR(10)&amp;CHAR(10)&amp;"This is an automated notification from HP Mainstream EQMS."),"✉ Open Email Draft"),"")</f>
        <v/>
      </c>
    </row>
    <row r="493">
      <c r="A493" s="25">
        <f>IF($C493="","","AUD-2026-"&amp;TEXT(ROW()-1,"000000"))</f>
        <v/>
      </c>
      <c r="B493" s="26" t="n"/>
      <c r="C493" s="27" t="n"/>
      <c r="D493" s="25">
        <f>IF($C493="","",IFERROR(IF(INDEX(Roster!$A:$A,MATCH($C493,Roster!$B:$B,0))="","",INDEX(Roster!$A:$A,MATCH($C493,Roster!$B:$B,0))&amp;""),"—"))</f>
        <v/>
      </c>
      <c r="E493" s="25">
        <f>IF($C493="","",IFERROR(IF(INDEX(Roster!$C:$C,MATCH($C493,Roster!$B:$B,0))="","",INDEX(Roster!$C:$C,MATCH($C493,Roster!$B:$B,0))&amp;""),"—"))</f>
        <v/>
      </c>
      <c r="F493" s="25">
        <f>IF($C493="","",IFERROR(IF(INDEX(Roster!$D:$D,MATCH($C493,Roster!$B:$B,0))="","",INDEX(Roster!$D:$D,MATCH($C493,Roster!$B:$B,0))&amp;""),"—"))</f>
        <v/>
      </c>
      <c r="G493" s="25">
        <f>IF($C493="","",IFERROR(IF(INDEX(Roster!$E:$E,MATCH($C493,Roster!$B:$B,0))="","",INDEX(Roster!$E:$E,MATCH($C493,Roster!$B:$B,0))&amp;""),"—"))</f>
        <v/>
      </c>
      <c r="H493" s="25">
        <f>IF($C493="","",IFERROR(IF(INDEX(Roster!$F:$F,MATCH($C493,Roster!$B:$B,0))="","",INDEX(Roster!$F:$F,MATCH($C493,Roster!$B:$B,0))&amp;""),"—"))</f>
        <v/>
      </c>
      <c r="I493" s="25">
        <f>IF($C493="","",IFERROR(IF(INDEX(Roster!$G:$G,MATCH($C493,Roster!$B:$B,0))="","",INDEX(Roster!$G:$G,MATCH($C493,Roster!$B:$B,0))&amp;""),"—"))</f>
        <v/>
      </c>
      <c r="J493" s="25">
        <f>IF($C493="","",IFERROR(IF(INDEX(Roster!$I:$I,MATCH($C493,Roster!$B:$B,0))="","",INDEX(Roster!$I:$I,MATCH($C493,Roster!$B:$B,0))&amp;""),"—"))</f>
        <v/>
      </c>
      <c r="K493">
        <f>IF($C493="","",IFERROR(IF(INDEX(Roster!$J:$J,MATCH($C493,Roster!$B:$B,0))="","",INDEX(Roster!$J:$J,MATCH($C493,Roster!$B:$B,0))&amp;""),"—"))</f>
        <v/>
      </c>
      <c r="L493">
        <f>IF($C493="","",IFERROR(IF(INDEX(Roster!$K:$K,MATCH($C493,Roster!$B:$B,0))="","",INDEX(Roster!$K:$K,MATCH($C493,Roster!$B:$B,0))&amp;""),"—"))</f>
        <v/>
      </c>
      <c r="M493" s="27" t="n"/>
      <c r="N493" s="27" t="n"/>
      <c r="O493" s="25">
        <f>IF($C493="","",IF($P493="","—",IF($P493="Valid (Pass)","Valid","Invalid")))</f>
        <v/>
      </c>
      <c r="P493" s="27" t="n"/>
      <c r="Q493" s="27" t="n"/>
      <c r="R493" s="27" t="n"/>
      <c r="S493" s="27" t="n"/>
      <c r="T493" s="25">
        <f>IF($C493="","",IF(OR(ISNUMBER(SEARCH("quick case",$P493)),ISNUMBER(SEARCH("quick case",$Q493))),"Yes","No"))</f>
        <v/>
      </c>
      <c r="U493" s="25">
        <f>IF($O493="Invalid",HYPERLINK("mailto:"&amp;$G493&amp;";"&amp;$I493&amp;"?cc="&amp;Lists!$E$2&amp;"&amp;subject="&amp;_xlfn.ENCODEURL("[INVALID] Quality audit monitoring completed for "&amp;UPPER($C493))&amp;"&amp;body="&amp;_xlfn.ENCODEURL("Hi "&amp;$F493&amp;","&amp;CHAR(10)&amp;"Good day!"&amp;CHAR(10)&amp;CHAR(10)&amp;"A quality monitoring audit has been completed for "&amp;$C493&amp;"."&amp;CHAR(10)&amp;CHAR(10)&amp;"QUALITY AUDIT DETAILS"&amp;CHAR(10)&amp;"Agent Name: "&amp;$C493&amp;" (EID "&amp;$D493&amp;")"&amp;CHAR(10)&amp;"Audit Date: "&amp;TEXT($B493,"yyyy-mm-dd")&amp;CHAR(10)&amp;"Team Leader: "&amp;$F493&amp;CHAR(10)&amp;"Case Number: "&amp;$M493&amp;CHAR(10)&amp;"Transaction ID: "&amp;$N493&amp;CHAR(10)&amp;"Channel / LOB: "&amp;$K493&amp;" / "&amp;$L493&amp;CHAR(10)&amp;"Evaluator: "&amp;$S493&amp;CHAR(10)&amp;CHAR(10)&amp;"INVALID QUALITY AUDIT DETAILS"&amp;CHAR(10)&amp;"Validation: Invalid"&amp;CHAR(10)&amp;"Invalid Reason: "&amp;$P493&amp;CHAR(10)&amp;"Expected Resolution Code: "&amp;$Q493&amp;CHAR(10)&amp;"Remarks: "&amp;LEFT($R493,600)&amp;CHAR(10)&amp;CHAR(10)&amp;"This is an automated notification from HP Mainstream EQMS."),"✉ Open Email Draft"),"")</f>
        <v/>
      </c>
    </row>
    <row r="494">
      <c r="A494" s="25">
        <f>IF($C494="","","AUD-2026-"&amp;TEXT(ROW()-1,"000000"))</f>
        <v/>
      </c>
      <c r="B494" s="26" t="n"/>
      <c r="C494" s="27" t="n"/>
      <c r="D494" s="25">
        <f>IF($C494="","",IFERROR(IF(INDEX(Roster!$A:$A,MATCH($C494,Roster!$B:$B,0))="","",INDEX(Roster!$A:$A,MATCH($C494,Roster!$B:$B,0))&amp;""),"—"))</f>
        <v/>
      </c>
      <c r="E494" s="25">
        <f>IF($C494="","",IFERROR(IF(INDEX(Roster!$C:$C,MATCH($C494,Roster!$B:$B,0))="","",INDEX(Roster!$C:$C,MATCH($C494,Roster!$B:$B,0))&amp;""),"—"))</f>
        <v/>
      </c>
      <c r="F494" s="25">
        <f>IF($C494="","",IFERROR(IF(INDEX(Roster!$D:$D,MATCH($C494,Roster!$B:$B,0))="","",INDEX(Roster!$D:$D,MATCH($C494,Roster!$B:$B,0))&amp;""),"—"))</f>
        <v/>
      </c>
      <c r="G494" s="25">
        <f>IF($C494="","",IFERROR(IF(INDEX(Roster!$E:$E,MATCH($C494,Roster!$B:$B,0))="","",INDEX(Roster!$E:$E,MATCH($C494,Roster!$B:$B,0))&amp;""),"—"))</f>
        <v/>
      </c>
      <c r="H494" s="25">
        <f>IF($C494="","",IFERROR(IF(INDEX(Roster!$F:$F,MATCH($C494,Roster!$B:$B,0))="","",INDEX(Roster!$F:$F,MATCH($C494,Roster!$B:$B,0))&amp;""),"—"))</f>
        <v/>
      </c>
      <c r="I494" s="25">
        <f>IF($C494="","",IFERROR(IF(INDEX(Roster!$G:$G,MATCH($C494,Roster!$B:$B,0))="","",INDEX(Roster!$G:$G,MATCH($C494,Roster!$B:$B,0))&amp;""),"—"))</f>
        <v/>
      </c>
      <c r="J494" s="25">
        <f>IF($C494="","",IFERROR(IF(INDEX(Roster!$I:$I,MATCH($C494,Roster!$B:$B,0))="","",INDEX(Roster!$I:$I,MATCH($C494,Roster!$B:$B,0))&amp;""),"—"))</f>
        <v/>
      </c>
      <c r="K494">
        <f>IF($C494="","",IFERROR(IF(INDEX(Roster!$J:$J,MATCH($C494,Roster!$B:$B,0))="","",INDEX(Roster!$J:$J,MATCH($C494,Roster!$B:$B,0))&amp;""),"—"))</f>
        <v/>
      </c>
      <c r="L494">
        <f>IF($C494="","",IFERROR(IF(INDEX(Roster!$K:$K,MATCH($C494,Roster!$B:$B,0))="","",INDEX(Roster!$K:$K,MATCH($C494,Roster!$B:$B,0))&amp;""),"—"))</f>
        <v/>
      </c>
      <c r="M494" s="27" t="n"/>
      <c r="N494" s="27" t="n"/>
      <c r="O494" s="25">
        <f>IF($C494="","",IF($P494="","—",IF($P494="Valid (Pass)","Valid","Invalid")))</f>
        <v/>
      </c>
      <c r="P494" s="27" t="n"/>
      <c r="Q494" s="27" t="n"/>
      <c r="R494" s="27" t="n"/>
      <c r="S494" s="27" t="n"/>
      <c r="T494" s="25">
        <f>IF($C494="","",IF(OR(ISNUMBER(SEARCH("quick case",$P494)),ISNUMBER(SEARCH("quick case",$Q494))),"Yes","No"))</f>
        <v/>
      </c>
      <c r="U494" s="25">
        <f>IF($O494="Invalid",HYPERLINK("mailto:"&amp;$G494&amp;";"&amp;$I494&amp;"?cc="&amp;Lists!$E$2&amp;"&amp;subject="&amp;_xlfn.ENCODEURL("[INVALID] Quality audit monitoring completed for "&amp;UPPER($C494))&amp;"&amp;body="&amp;_xlfn.ENCODEURL("Hi "&amp;$F494&amp;","&amp;CHAR(10)&amp;"Good day!"&amp;CHAR(10)&amp;CHAR(10)&amp;"A quality monitoring audit has been completed for "&amp;$C494&amp;"."&amp;CHAR(10)&amp;CHAR(10)&amp;"QUALITY AUDIT DETAILS"&amp;CHAR(10)&amp;"Agent Name: "&amp;$C494&amp;" (EID "&amp;$D494&amp;")"&amp;CHAR(10)&amp;"Audit Date: "&amp;TEXT($B494,"yyyy-mm-dd")&amp;CHAR(10)&amp;"Team Leader: "&amp;$F494&amp;CHAR(10)&amp;"Case Number: "&amp;$M494&amp;CHAR(10)&amp;"Transaction ID: "&amp;$N494&amp;CHAR(10)&amp;"Channel / LOB: "&amp;$K494&amp;" / "&amp;$L494&amp;CHAR(10)&amp;"Evaluator: "&amp;$S494&amp;CHAR(10)&amp;CHAR(10)&amp;"INVALID QUALITY AUDIT DETAILS"&amp;CHAR(10)&amp;"Validation: Invalid"&amp;CHAR(10)&amp;"Invalid Reason: "&amp;$P494&amp;CHAR(10)&amp;"Expected Resolution Code: "&amp;$Q494&amp;CHAR(10)&amp;"Remarks: "&amp;LEFT($R494,600)&amp;CHAR(10)&amp;CHAR(10)&amp;"This is an automated notification from HP Mainstream EQMS."),"✉ Open Email Draft"),"")</f>
        <v/>
      </c>
    </row>
    <row r="495">
      <c r="A495" s="25">
        <f>IF($C495="","","AUD-2026-"&amp;TEXT(ROW()-1,"000000"))</f>
        <v/>
      </c>
      <c r="B495" s="26" t="n"/>
      <c r="C495" s="27" t="n"/>
      <c r="D495" s="25">
        <f>IF($C495="","",IFERROR(IF(INDEX(Roster!$A:$A,MATCH($C495,Roster!$B:$B,0))="","",INDEX(Roster!$A:$A,MATCH($C495,Roster!$B:$B,0))&amp;""),"—"))</f>
        <v/>
      </c>
      <c r="E495" s="25">
        <f>IF($C495="","",IFERROR(IF(INDEX(Roster!$C:$C,MATCH($C495,Roster!$B:$B,0))="","",INDEX(Roster!$C:$C,MATCH($C495,Roster!$B:$B,0))&amp;""),"—"))</f>
        <v/>
      </c>
      <c r="F495" s="25">
        <f>IF($C495="","",IFERROR(IF(INDEX(Roster!$D:$D,MATCH($C495,Roster!$B:$B,0))="","",INDEX(Roster!$D:$D,MATCH($C495,Roster!$B:$B,0))&amp;""),"—"))</f>
        <v/>
      </c>
      <c r="G495" s="25">
        <f>IF($C495="","",IFERROR(IF(INDEX(Roster!$E:$E,MATCH($C495,Roster!$B:$B,0))="","",INDEX(Roster!$E:$E,MATCH($C495,Roster!$B:$B,0))&amp;""),"—"))</f>
        <v/>
      </c>
      <c r="H495" s="25">
        <f>IF($C495="","",IFERROR(IF(INDEX(Roster!$F:$F,MATCH($C495,Roster!$B:$B,0))="","",INDEX(Roster!$F:$F,MATCH($C495,Roster!$B:$B,0))&amp;""),"—"))</f>
        <v/>
      </c>
      <c r="I495" s="25">
        <f>IF($C495="","",IFERROR(IF(INDEX(Roster!$G:$G,MATCH($C495,Roster!$B:$B,0))="","",INDEX(Roster!$G:$G,MATCH($C495,Roster!$B:$B,0))&amp;""),"—"))</f>
        <v/>
      </c>
      <c r="J495" s="25">
        <f>IF($C495="","",IFERROR(IF(INDEX(Roster!$I:$I,MATCH($C495,Roster!$B:$B,0))="","",INDEX(Roster!$I:$I,MATCH($C495,Roster!$B:$B,0))&amp;""),"—"))</f>
        <v/>
      </c>
      <c r="K495">
        <f>IF($C495="","",IFERROR(IF(INDEX(Roster!$J:$J,MATCH($C495,Roster!$B:$B,0))="","",INDEX(Roster!$J:$J,MATCH($C495,Roster!$B:$B,0))&amp;""),"—"))</f>
        <v/>
      </c>
      <c r="L495">
        <f>IF($C495="","",IFERROR(IF(INDEX(Roster!$K:$K,MATCH($C495,Roster!$B:$B,0))="","",INDEX(Roster!$K:$K,MATCH($C495,Roster!$B:$B,0))&amp;""),"—"))</f>
        <v/>
      </c>
      <c r="M495" s="27" t="n"/>
      <c r="N495" s="27" t="n"/>
      <c r="O495" s="25">
        <f>IF($C495="","",IF($P495="","—",IF($P495="Valid (Pass)","Valid","Invalid")))</f>
        <v/>
      </c>
      <c r="P495" s="27" t="n"/>
      <c r="Q495" s="27" t="n"/>
      <c r="R495" s="27" t="n"/>
      <c r="S495" s="27" t="n"/>
      <c r="T495" s="25">
        <f>IF($C495="","",IF(OR(ISNUMBER(SEARCH("quick case",$P495)),ISNUMBER(SEARCH("quick case",$Q495))),"Yes","No"))</f>
        <v/>
      </c>
      <c r="U495" s="25">
        <f>IF($O495="Invalid",HYPERLINK("mailto:"&amp;$G495&amp;";"&amp;$I495&amp;"?cc="&amp;Lists!$E$2&amp;"&amp;subject="&amp;_xlfn.ENCODEURL("[INVALID] Quality audit monitoring completed for "&amp;UPPER($C495))&amp;"&amp;body="&amp;_xlfn.ENCODEURL("Hi "&amp;$F495&amp;","&amp;CHAR(10)&amp;"Good day!"&amp;CHAR(10)&amp;CHAR(10)&amp;"A quality monitoring audit has been completed for "&amp;$C495&amp;"."&amp;CHAR(10)&amp;CHAR(10)&amp;"QUALITY AUDIT DETAILS"&amp;CHAR(10)&amp;"Agent Name: "&amp;$C495&amp;" (EID "&amp;$D495&amp;")"&amp;CHAR(10)&amp;"Audit Date: "&amp;TEXT($B495,"yyyy-mm-dd")&amp;CHAR(10)&amp;"Team Leader: "&amp;$F495&amp;CHAR(10)&amp;"Case Number: "&amp;$M495&amp;CHAR(10)&amp;"Transaction ID: "&amp;$N495&amp;CHAR(10)&amp;"Channel / LOB: "&amp;$K495&amp;" / "&amp;$L495&amp;CHAR(10)&amp;"Evaluator: "&amp;$S495&amp;CHAR(10)&amp;CHAR(10)&amp;"INVALID QUALITY AUDIT DETAILS"&amp;CHAR(10)&amp;"Validation: Invalid"&amp;CHAR(10)&amp;"Invalid Reason: "&amp;$P495&amp;CHAR(10)&amp;"Expected Resolution Code: "&amp;$Q495&amp;CHAR(10)&amp;"Remarks: "&amp;LEFT($R495,600)&amp;CHAR(10)&amp;CHAR(10)&amp;"This is an automated notification from HP Mainstream EQMS."),"✉ Open Email Draft"),"")</f>
        <v/>
      </c>
    </row>
    <row r="496">
      <c r="A496" s="25">
        <f>IF($C496="","","AUD-2026-"&amp;TEXT(ROW()-1,"000000"))</f>
        <v/>
      </c>
      <c r="B496" s="26" t="n"/>
      <c r="C496" s="27" t="n"/>
      <c r="D496" s="25">
        <f>IF($C496="","",IFERROR(IF(INDEX(Roster!$A:$A,MATCH($C496,Roster!$B:$B,0))="","",INDEX(Roster!$A:$A,MATCH($C496,Roster!$B:$B,0))&amp;""),"—"))</f>
        <v/>
      </c>
      <c r="E496" s="25">
        <f>IF($C496="","",IFERROR(IF(INDEX(Roster!$C:$C,MATCH($C496,Roster!$B:$B,0))="","",INDEX(Roster!$C:$C,MATCH($C496,Roster!$B:$B,0))&amp;""),"—"))</f>
        <v/>
      </c>
      <c r="F496" s="25">
        <f>IF($C496="","",IFERROR(IF(INDEX(Roster!$D:$D,MATCH($C496,Roster!$B:$B,0))="","",INDEX(Roster!$D:$D,MATCH($C496,Roster!$B:$B,0))&amp;""),"—"))</f>
        <v/>
      </c>
      <c r="G496" s="25">
        <f>IF($C496="","",IFERROR(IF(INDEX(Roster!$E:$E,MATCH($C496,Roster!$B:$B,0))="","",INDEX(Roster!$E:$E,MATCH($C496,Roster!$B:$B,0))&amp;""),"—"))</f>
        <v/>
      </c>
      <c r="H496" s="25">
        <f>IF($C496="","",IFERROR(IF(INDEX(Roster!$F:$F,MATCH($C496,Roster!$B:$B,0))="","",INDEX(Roster!$F:$F,MATCH($C496,Roster!$B:$B,0))&amp;""),"—"))</f>
        <v/>
      </c>
      <c r="I496" s="25">
        <f>IF($C496="","",IFERROR(IF(INDEX(Roster!$G:$G,MATCH($C496,Roster!$B:$B,0))="","",INDEX(Roster!$G:$G,MATCH($C496,Roster!$B:$B,0))&amp;""),"—"))</f>
        <v/>
      </c>
      <c r="J496" s="25">
        <f>IF($C496="","",IFERROR(IF(INDEX(Roster!$I:$I,MATCH($C496,Roster!$B:$B,0))="","",INDEX(Roster!$I:$I,MATCH($C496,Roster!$B:$B,0))&amp;""),"—"))</f>
        <v/>
      </c>
      <c r="K496">
        <f>IF($C496="","",IFERROR(IF(INDEX(Roster!$J:$J,MATCH($C496,Roster!$B:$B,0))="","",INDEX(Roster!$J:$J,MATCH($C496,Roster!$B:$B,0))&amp;""),"—"))</f>
        <v/>
      </c>
      <c r="L496">
        <f>IF($C496="","",IFERROR(IF(INDEX(Roster!$K:$K,MATCH($C496,Roster!$B:$B,0))="","",INDEX(Roster!$K:$K,MATCH($C496,Roster!$B:$B,0))&amp;""),"—"))</f>
        <v/>
      </c>
      <c r="M496" s="27" t="n"/>
      <c r="N496" s="27" t="n"/>
      <c r="O496" s="25">
        <f>IF($C496="","",IF($P496="","—",IF($P496="Valid (Pass)","Valid","Invalid")))</f>
        <v/>
      </c>
      <c r="P496" s="27" t="n"/>
      <c r="Q496" s="27" t="n"/>
      <c r="R496" s="27" t="n"/>
      <c r="S496" s="27" t="n"/>
      <c r="T496" s="25">
        <f>IF($C496="","",IF(OR(ISNUMBER(SEARCH("quick case",$P496)),ISNUMBER(SEARCH("quick case",$Q496))),"Yes","No"))</f>
        <v/>
      </c>
      <c r="U496" s="25">
        <f>IF($O496="Invalid",HYPERLINK("mailto:"&amp;$G496&amp;";"&amp;$I496&amp;"?cc="&amp;Lists!$E$2&amp;"&amp;subject="&amp;_xlfn.ENCODEURL("[INVALID] Quality audit monitoring completed for "&amp;UPPER($C496))&amp;"&amp;body="&amp;_xlfn.ENCODEURL("Hi "&amp;$F496&amp;","&amp;CHAR(10)&amp;"Good day!"&amp;CHAR(10)&amp;CHAR(10)&amp;"A quality monitoring audit has been completed for "&amp;$C496&amp;"."&amp;CHAR(10)&amp;CHAR(10)&amp;"QUALITY AUDIT DETAILS"&amp;CHAR(10)&amp;"Agent Name: "&amp;$C496&amp;" (EID "&amp;$D496&amp;")"&amp;CHAR(10)&amp;"Audit Date: "&amp;TEXT($B496,"yyyy-mm-dd")&amp;CHAR(10)&amp;"Team Leader: "&amp;$F496&amp;CHAR(10)&amp;"Case Number: "&amp;$M496&amp;CHAR(10)&amp;"Transaction ID: "&amp;$N496&amp;CHAR(10)&amp;"Channel / LOB: "&amp;$K496&amp;" / "&amp;$L496&amp;CHAR(10)&amp;"Evaluator: "&amp;$S496&amp;CHAR(10)&amp;CHAR(10)&amp;"INVALID QUALITY AUDIT DETAILS"&amp;CHAR(10)&amp;"Validation: Invalid"&amp;CHAR(10)&amp;"Invalid Reason: "&amp;$P496&amp;CHAR(10)&amp;"Expected Resolution Code: "&amp;$Q496&amp;CHAR(10)&amp;"Remarks: "&amp;LEFT($R496,600)&amp;CHAR(10)&amp;CHAR(10)&amp;"This is an automated notification from HP Mainstream EQMS."),"✉ Open Email Draft"),"")</f>
        <v/>
      </c>
    </row>
    <row r="497">
      <c r="A497" s="25">
        <f>IF($C497="","","AUD-2026-"&amp;TEXT(ROW()-1,"000000"))</f>
        <v/>
      </c>
      <c r="B497" s="26" t="n"/>
      <c r="C497" s="27" t="n"/>
      <c r="D497" s="25">
        <f>IF($C497="","",IFERROR(IF(INDEX(Roster!$A:$A,MATCH($C497,Roster!$B:$B,0))="","",INDEX(Roster!$A:$A,MATCH($C497,Roster!$B:$B,0))&amp;""),"—"))</f>
        <v/>
      </c>
      <c r="E497" s="25">
        <f>IF($C497="","",IFERROR(IF(INDEX(Roster!$C:$C,MATCH($C497,Roster!$B:$B,0))="","",INDEX(Roster!$C:$C,MATCH($C497,Roster!$B:$B,0))&amp;""),"—"))</f>
        <v/>
      </c>
      <c r="F497" s="25">
        <f>IF($C497="","",IFERROR(IF(INDEX(Roster!$D:$D,MATCH($C497,Roster!$B:$B,0))="","",INDEX(Roster!$D:$D,MATCH($C497,Roster!$B:$B,0))&amp;""),"—"))</f>
        <v/>
      </c>
      <c r="G497" s="25">
        <f>IF($C497="","",IFERROR(IF(INDEX(Roster!$E:$E,MATCH($C497,Roster!$B:$B,0))="","",INDEX(Roster!$E:$E,MATCH($C497,Roster!$B:$B,0))&amp;""),"—"))</f>
        <v/>
      </c>
      <c r="H497" s="25">
        <f>IF($C497="","",IFERROR(IF(INDEX(Roster!$F:$F,MATCH($C497,Roster!$B:$B,0))="","",INDEX(Roster!$F:$F,MATCH($C497,Roster!$B:$B,0))&amp;""),"—"))</f>
        <v/>
      </c>
      <c r="I497" s="25">
        <f>IF($C497="","",IFERROR(IF(INDEX(Roster!$G:$G,MATCH($C497,Roster!$B:$B,0))="","",INDEX(Roster!$G:$G,MATCH($C497,Roster!$B:$B,0))&amp;""),"—"))</f>
        <v/>
      </c>
      <c r="J497" s="25">
        <f>IF($C497="","",IFERROR(IF(INDEX(Roster!$I:$I,MATCH($C497,Roster!$B:$B,0))="","",INDEX(Roster!$I:$I,MATCH($C497,Roster!$B:$B,0))&amp;""),"—"))</f>
        <v/>
      </c>
      <c r="K497">
        <f>IF($C497="","",IFERROR(IF(INDEX(Roster!$J:$J,MATCH($C497,Roster!$B:$B,0))="","",INDEX(Roster!$J:$J,MATCH($C497,Roster!$B:$B,0))&amp;""),"—"))</f>
        <v/>
      </c>
      <c r="L497">
        <f>IF($C497="","",IFERROR(IF(INDEX(Roster!$K:$K,MATCH($C497,Roster!$B:$B,0))="","",INDEX(Roster!$K:$K,MATCH($C497,Roster!$B:$B,0))&amp;""),"—"))</f>
        <v/>
      </c>
      <c r="M497" s="27" t="n"/>
      <c r="N497" s="27" t="n"/>
      <c r="O497" s="25">
        <f>IF($C497="","",IF($P497="","—",IF($P497="Valid (Pass)","Valid","Invalid")))</f>
        <v/>
      </c>
      <c r="P497" s="27" t="n"/>
      <c r="Q497" s="27" t="n"/>
      <c r="R497" s="27" t="n"/>
      <c r="S497" s="27" t="n"/>
      <c r="T497" s="25">
        <f>IF($C497="","",IF(OR(ISNUMBER(SEARCH("quick case",$P497)),ISNUMBER(SEARCH("quick case",$Q497))),"Yes","No"))</f>
        <v/>
      </c>
      <c r="U497" s="25">
        <f>IF($O497="Invalid",HYPERLINK("mailto:"&amp;$G497&amp;";"&amp;$I497&amp;"?cc="&amp;Lists!$E$2&amp;"&amp;subject="&amp;_xlfn.ENCODEURL("[INVALID] Quality audit monitoring completed for "&amp;UPPER($C497))&amp;"&amp;body="&amp;_xlfn.ENCODEURL("Hi "&amp;$F497&amp;","&amp;CHAR(10)&amp;"Good day!"&amp;CHAR(10)&amp;CHAR(10)&amp;"A quality monitoring audit has been completed for "&amp;$C497&amp;"."&amp;CHAR(10)&amp;CHAR(10)&amp;"QUALITY AUDIT DETAILS"&amp;CHAR(10)&amp;"Agent Name: "&amp;$C497&amp;" (EID "&amp;$D497&amp;")"&amp;CHAR(10)&amp;"Audit Date: "&amp;TEXT($B497,"yyyy-mm-dd")&amp;CHAR(10)&amp;"Team Leader: "&amp;$F497&amp;CHAR(10)&amp;"Case Number: "&amp;$M497&amp;CHAR(10)&amp;"Transaction ID: "&amp;$N497&amp;CHAR(10)&amp;"Channel / LOB: "&amp;$K497&amp;" / "&amp;$L497&amp;CHAR(10)&amp;"Evaluator: "&amp;$S497&amp;CHAR(10)&amp;CHAR(10)&amp;"INVALID QUALITY AUDIT DETAILS"&amp;CHAR(10)&amp;"Validation: Invalid"&amp;CHAR(10)&amp;"Invalid Reason: "&amp;$P497&amp;CHAR(10)&amp;"Expected Resolution Code: "&amp;$Q497&amp;CHAR(10)&amp;"Remarks: "&amp;LEFT($R497,600)&amp;CHAR(10)&amp;CHAR(10)&amp;"This is an automated notification from HP Mainstream EQMS."),"✉ Open Email Draft"),"")</f>
        <v/>
      </c>
    </row>
    <row r="498">
      <c r="A498" s="25">
        <f>IF($C498="","","AUD-2026-"&amp;TEXT(ROW()-1,"000000"))</f>
        <v/>
      </c>
      <c r="B498" s="26" t="n"/>
      <c r="C498" s="27" t="n"/>
      <c r="D498" s="25">
        <f>IF($C498="","",IFERROR(IF(INDEX(Roster!$A:$A,MATCH($C498,Roster!$B:$B,0))="","",INDEX(Roster!$A:$A,MATCH($C498,Roster!$B:$B,0))&amp;""),"—"))</f>
        <v/>
      </c>
      <c r="E498" s="25">
        <f>IF($C498="","",IFERROR(IF(INDEX(Roster!$C:$C,MATCH($C498,Roster!$B:$B,0))="","",INDEX(Roster!$C:$C,MATCH($C498,Roster!$B:$B,0))&amp;""),"—"))</f>
        <v/>
      </c>
      <c r="F498" s="25">
        <f>IF($C498="","",IFERROR(IF(INDEX(Roster!$D:$D,MATCH($C498,Roster!$B:$B,0))="","",INDEX(Roster!$D:$D,MATCH($C498,Roster!$B:$B,0))&amp;""),"—"))</f>
        <v/>
      </c>
      <c r="G498" s="25">
        <f>IF($C498="","",IFERROR(IF(INDEX(Roster!$E:$E,MATCH($C498,Roster!$B:$B,0))="","",INDEX(Roster!$E:$E,MATCH($C498,Roster!$B:$B,0))&amp;""),"—"))</f>
        <v/>
      </c>
      <c r="H498" s="25">
        <f>IF($C498="","",IFERROR(IF(INDEX(Roster!$F:$F,MATCH($C498,Roster!$B:$B,0))="","",INDEX(Roster!$F:$F,MATCH($C498,Roster!$B:$B,0))&amp;""),"—"))</f>
        <v/>
      </c>
      <c r="I498" s="25">
        <f>IF($C498="","",IFERROR(IF(INDEX(Roster!$G:$G,MATCH($C498,Roster!$B:$B,0))="","",INDEX(Roster!$G:$G,MATCH($C498,Roster!$B:$B,0))&amp;""),"—"))</f>
        <v/>
      </c>
      <c r="J498" s="25">
        <f>IF($C498="","",IFERROR(IF(INDEX(Roster!$I:$I,MATCH($C498,Roster!$B:$B,0))="","",INDEX(Roster!$I:$I,MATCH($C498,Roster!$B:$B,0))&amp;""),"—"))</f>
        <v/>
      </c>
      <c r="K498">
        <f>IF($C498="","",IFERROR(IF(INDEX(Roster!$J:$J,MATCH($C498,Roster!$B:$B,0))="","",INDEX(Roster!$J:$J,MATCH($C498,Roster!$B:$B,0))&amp;""),"—"))</f>
        <v/>
      </c>
      <c r="L498">
        <f>IF($C498="","",IFERROR(IF(INDEX(Roster!$K:$K,MATCH($C498,Roster!$B:$B,0))="","",INDEX(Roster!$K:$K,MATCH($C498,Roster!$B:$B,0))&amp;""),"—"))</f>
        <v/>
      </c>
      <c r="M498" s="27" t="n"/>
      <c r="N498" s="27" t="n"/>
      <c r="O498" s="25">
        <f>IF($C498="","",IF($P498="","—",IF($P498="Valid (Pass)","Valid","Invalid")))</f>
        <v/>
      </c>
      <c r="P498" s="27" t="n"/>
      <c r="Q498" s="27" t="n"/>
      <c r="R498" s="27" t="n"/>
      <c r="S498" s="27" t="n"/>
      <c r="T498" s="25">
        <f>IF($C498="","",IF(OR(ISNUMBER(SEARCH("quick case",$P498)),ISNUMBER(SEARCH("quick case",$Q498))),"Yes","No"))</f>
        <v/>
      </c>
      <c r="U498" s="25">
        <f>IF($O498="Invalid",HYPERLINK("mailto:"&amp;$G498&amp;";"&amp;$I498&amp;"?cc="&amp;Lists!$E$2&amp;"&amp;subject="&amp;_xlfn.ENCODEURL("[INVALID] Quality audit monitoring completed for "&amp;UPPER($C498))&amp;"&amp;body="&amp;_xlfn.ENCODEURL("Hi "&amp;$F498&amp;","&amp;CHAR(10)&amp;"Good day!"&amp;CHAR(10)&amp;CHAR(10)&amp;"A quality monitoring audit has been completed for "&amp;$C498&amp;"."&amp;CHAR(10)&amp;CHAR(10)&amp;"QUALITY AUDIT DETAILS"&amp;CHAR(10)&amp;"Agent Name: "&amp;$C498&amp;" (EID "&amp;$D498&amp;")"&amp;CHAR(10)&amp;"Audit Date: "&amp;TEXT($B498,"yyyy-mm-dd")&amp;CHAR(10)&amp;"Team Leader: "&amp;$F498&amp;CHAR(10)&amp;"Case Number: "&amp;$M498&amp;CHAR(10)&amp;"Transaction ID: "&amp;$N498&amp;CHAR(10)&amp;"Channel / LOB: "&amp;$K498&amp;" / "&amp;$L498&amp;CHAR(10)&amp;"Evaluator: "&amp;$S498&amp;CHAR(10)&amp;CHAR(10)&amp;"INVALID QUALITY AUDIT DETAILS"&amp;CHAR(10)&amp;"Validation: Invalid"&amp;CHAR(10)&amp;"Invalid Reason: "&amp;$P498&amp;CHAR(10)&amp;"Expected Resolution Code: "&amp;$Q498&amp;CHAR(10)&amp;"Remarks: "&amp;LEFT($R498,600)&amp;CHAR(10)&amp;CHAR(10)&amp;"This is an automated notification from HP Mainstream EQMS."),"✉ Open Email Draft"),"")</f>
        <v/>
      </c>
    </row>
    <row r="499">
      <c r="A499" s="25">
        <f>IF($C499="","","AUD-2026-"&amp;TEXT(ROW()-1,"000000"))</f>
        <v/>
      </c>
      <c r="B499" s="26" t="n"/>
      <c r="C499" s="27" t="n"/>
      <c r="D499" s="25">
        <f>IF($C499="","",IFERROR(IF(INDEX(Roster!$A:$A,MATCH($C499,Roster!$B:$B,0))="","",INDEX(Roster!$A:$A,MATCH($C499,Roster!$B:$B,0))&amp;""),"—"))</f>
        <v/>
      </c>
      <c r="E499" s="25">
        <f>IF($C499="","",IFERROR(IF(INDEX(Roster!$C:$C,MATCH($C499,Roster!$B:$B,0))="","",INDEX(Roster!$C:$C,MATCH($C499,Roster!$B:$B,0))&amp;""),"—"))</f>
        <v/>
      </c>
      <c r="F499" s="25">
        <f>IF($C499="","",IFERROR(IF(INDEX(Roster!$D:$D,MATCH($C499,Roster!$B:$B,0))="","",INDEX(Roster!$D:$D,MATCH($C499,Roster!$B:$B,0))&amp;""),"—"))</f>
        <v/>
      </c>
      <c r="G499" s="25">
        <f>IF($C499="","",IFERROR(IF(INDEX(Roster!$E:$E,MATCH($C499,Roster!$B:$B,0))="","",INDEX(Roster!$E:$E,MATCH($C499,Roster!$B:$B,0))&amp;""),"—"))</f>
        <v/>
      </c>
      <c r="H499" s="25">
        <f>IF($C499="","",IFERROR(IF(INDEX(Roster!$F:$F,MATCH($C499,Roster!$B:$B,0))="","",INDEX(Roster!$F:$F,MATCH($C499,Roster!$B:$B,0))&amp;""),"—"))</f>
        <v/>
      </c>
      <c r="I499" s="25">
        <f>IF($C499="","",IFERROR(IF(INDEX(Roster!$G:$G,MATCH($C499,Roster!$B:$B,0))="","",INDEX(Roster!$G:$G,MATCH($C499,Roster!$B:$B,0))&amp;""),"—"))</f>
        <v/>
      </c>
      <c r="J499" s="25">
        <f>IF($C499="","",IFERROR(IF(INDEX(Roster!$I:$I,MATCH($C499,Roster!$B:$B,0))="","",INDEX(Roster!$I:$I,MATCH($C499,Roster!$B:$B,0))&amp;""),"—"))</f>
        <v/>
      </c>
      <c r="K499">
        <f>IF($C499="","",IFERROR(IF(INDEX(Roster!$J:$J,MATCH($C499,Roster!$B:$B,0))="","",INDEX(Roster!$J:$J,MATCH($C499,Roster!$B:$B,0))&amp;""),"—"))</f>
        <v/>
      </c>
      <c r="L499">
        <f>IF($C499="","",IFERROR(IF(INDEX(Roster!$K:$K,MATCH($C499,Roster!$B:$B,0))="","",INDEX(Roster!$K:$K,MATCH($C499,Roster!$B:$B,0))&amp;""),"—"))</f>
        <v/>
      </c>
      <c r="M499" s="27" t="n"/>
      <c r="N499" s="27" t="n"/>
      <c r="O499" s="25">
        <f>IF($C499="","",IF($P499="","—",IF($P499="Valid (Pass)","Valid","Invalid")))</f>
        <v/>
      </c>
      <c r="P499" s="27" t="n"/>
      <c r="Q499" s="27" t="n"/>
      <c r="R499" s="27" t="n"/>
      <c r="S499" s="27" t="n"/>
      <c r="T499" s="25">
        <f>IF($C499="","",IF(OR(ISNUMBER(SEARCH("quick case",$P499)),ISNUMBER(SEARCH("quick case",$Q499))),"Yes","No"))</f>
        <v/>
      </c>
      <c r="U499" s="25">
        <f>IF($O499="Invalid",HYPERLINK("mailto:"&amp;$G499&amp;";"&amp;$I499&amp;"?cc="&amp;Lists!$E$2&amp;"&amp;subject="&amp;_xlfn.ENCODEURL("[INVALID] Quality audit monitoring completed for "&amp;UPPER($C499))&amp;"&amp;body="&amp;_xlfn.ENCODEURL("Hi "&amp;$F499&amp;","&amp;CHAR(10)&amp;"Good day!"&amp;CHAR(10)&amp;CHAR(10)&amp;"A quality monitoring audit has been completed for "&amp;$C499&amp;"."&amp;CHAR(10)&amp;CHAR(10)&amp;"QUALITY AUDIT DETAILS"&amp;CHAR(10)&amp;"Agent Name: "&amp;$C499&amp;" (EID "&amp;$D499&amp;")"&amp;CHAR(10)&amp;"Audit Date: "&amp;TEXT($B499,"yyyy-mm-dd")&amp;CHAR(10)&amp;"Team Leader: "&amp;$F499&amp;CHAR(10)&amp;"Case Number: "&amp;$M499&amp;CHAR(10)&amp;"Transaction ID: "&amp;$N499&amp;CHAR(10)&amp;"Channel / LOB: "&amp;$K499&amp;" / "&amp;$L499&amp;CHAR(10)&amp;"Evaluator: "&amp;$S499&amp;CHAR(10)&amp;CHAR(10)&amp;"INVALID QUALITY AUDIT DETAILS"&amp;CHAR(10)&amp;"Validation: Invalid"&amp;CHAR(10)&amp;"Invalid Reason: "&amp;$P499&amp;CHAR(10)&amp;"Expected Resolution Code: "&amp;$Q499&amp;CHAR(10)&amp;"Remarks: "&amp;LEFT($R499,600)&amp;CHAR(10)&amp;CHAR(10)&amp;"This is an automated notification from HP Mainstream EQMS."),"✉ Open Email Draft"),"")</f>
        <v/>
      </c>
    </row>
    <row r="500">
      <c r="A500" s="25">
        <f>IF($C500="","","AUD-2026-"&amp;TEXT(ROW()-1,"000000"))</f>
        <v/>
      </c>
      <c r="B500" s="26" t="n"/>
      <c r="C500" s="27" t="n"/>
      <c r="D500" s="25">
        <f>IF($C500="","",IFERROR(IF(INDEX(Roster!$A:$A,MATCH($C500,Roster!$B:$B,0))="","",INDEX(Roster!$A:$A,MATCH($C500,Roster!$B:$B,0))&amp;""),"—"))</f>
        <v/>
      </c>
      <c r="E500" s="25">
        <f>IF($C500="","",IFERROR(IF(INDEX(Roster!$C:$C,MATCH($C500,Roster!$B:$B,0))="","",INDEX(Roster!$C:$C,MATCH($C500,Roster!$B:$B,0))&amp;""),"—"))</f>
        <v/>
      </c>
      <c r="F500" s="25">
        <f>IF($C500="","",IFERROR(IF(INDEX(Roster!$D:$D,MATCH($C500,Roster!$B:$B,0))="","",INDEX(Roster!$D:$D,MATCH($C500,Roster!$B:$B,0))&amp;""),"—"))</f>
        <v/>
      </c>
      <c r="G500" s="25">
        <f>IF($C500="","",IFERROR(IF(INDEX(Roster!$E:$E,MATCH($C500,Roster!$B:$B,0))="","",INDEX(Roster!$E:$E,MATCH($C500,Roster!$B:$B,0))&amp;""),"—"))</f>
        <v/>
      </c>
      <c r="H500" s="25">
        <f>IF($C500="","",IFERROR(IF(INDEX(Roster!$F:$F,MATCH($C500,Roster!$B:$B,0))="","",INDEX(Roster!$F:$F,MATCH($C500,Roster!$B:$B,0))&amp;""),"—"))</f>
        <v/>
      </c>
      <c r="I500" s="25">
        <f>IF($C500="","",IFERROR(IF(INDEX(Roster!$G:$G,MATCH($C500,Roster!$B:$B,0))="","",INDEX(Roster!$G:$G,MATCH($C500,Roster!$B:$B,0))&amp;""),"—"))</f>
        <v/>
      </c>
      <c r="J500" s="25">
        <f>IF($C500="","",IFERROR(IF(INDEX(Roster!$I:$I,MATCH($C500,Roster!$B:$B,0))="","",INDEX(Roster!$I:$I,MATCH($C500,Roster!$B:$B,0))&amp;""),"—"))</f>
        <v/>
      </c>
      <c r="K500">
        <f>IF($C500="","",IFERROR(IF(INDEX(Roster!$J:$J,MATCH($C500,Roster!$B:$B,0))="","",INDEX(Roster!$J:$J,MATCH($C500,Roster!$B:$B,0))&amp;""),"—"))</f>
        <v/>
      </c>
      <c r="L500">
        <f>IF($C500="","",IFERROR(IF(INDEX(Roster!$K:$K,MATCH($C500,Roster!$B:$B,0))="","",INDEX(Roster!$K:$K,MATCH($C500,Roster!$B:$B,0))&amp;""),"—"))</f>
        <v/>
      </c>
      <c r="M500" s="27" t="n"/>
      <c r="N500" s="27" t="n"/>
      <c r="O500" s="25">
        <f>IF($C500="","",IF($P500="","—",IF($P500="Valid (Pass)","Valid","Invalid")))</f>
        <v/>
      </c>
      <c r="P500" s="27" t="n"/>
      <c r="Q500" s="27" t="n"/>
      <c r="R500" s="27" t="n"/>
      <c r="S500" s="27" t="n"/>
      <c r="T500" s="25">
        <f>IF($C500="","",IF(OR(ISNUMBER(SEARCH("quick case",$P500)),ISNUMBER(SEARCH("quick case",$Q500))),"Yes","No"))</f>
        <v/>
      </c>
      <c r="U500" s="25">
        <f>IF($O500="Invalid",HYPERLINK("mailto:"&amp;$G500&amp;";"&amp;$I500&amp;"?cc="&amp;Lists!$E$2&amp;"&amp;subject="&amp;_xlfn.ENCODEURL("[INVALID] Quality audit monitoring completed for "&amp;UPPER($C500))&amp;"&amp;body="&amp;_xlfn.ENCODEURL("Hi "&amp;$F500&amp;","&amp;CHAR(10)&amp;"Good day!"&amp;CHAR(10)&amp;CHAR(10)&amp;"A quality monitoring audit has been completed for "&amp;$C500&amp;"."&amp;CHAR(10)&amp;CHAR(10)&amp;"QUALITY AUDIT DETAILS"&amp;CHAR(10)&amp;"Agent Name: "&amp;$C500&amp;" (EID "&amp;$D500&amp;")"&amp;CHAR(10)&amp;"Audit Date: "&amp;TEXT($B500,"yyyy-mm-dd")&amp;CHAR(10)&amp;"Team Leader: "&amp;$F500&amp;CHAR(10)&amp;"Case Number: "&amp;$M500&amp;CHAR(10)&amp;"Transaction ID: "&amp;$N500&amp;CHAR(10)&amp;"Channel / LOB: "&amp;$K500&amp;" / "&amp;$L500&amp;CHAR(10)&amp;"Evaluator: "&amp;$S500&amp;CHAR(10)&amp;CHAR(10)&amp;"INVALID QUALITY AUDIT DETAILS"&amp;CHAR(10)&amp;"Validation: Invalid"&amp;CHAR(10)&amp;"Invalid Reason: "&amp;$P500&amp;CHAR(10)&amp;"Expected Resolution Code: "&amp;$Q500&amp;CHAR(10)&amp;"Remarks: "&amp;LEFT($R500,600)&amp;CHAR(10)&amp;CHAR(10)&amp;"This is an automated notification from HP Mainstream EQMS."),"✉ Open Email Draft"),"")</f>
        <v/>
      </c>
    </row>
    <row r="501">
      <c r="A501" s="25">
        <f>IF($C501="","","AUD-2026-"&amp;TEXT(ROW()-1,"000000"))</f>
        <v/>
      </c>
      <c r="B501" s="26" t="n"/>
      <c r="C501" s="27" t="n"/>
      <c r="D501" s="25">
        <f>IF($C501="","",IFERROR(IF(INDEX(Roster!$A:$A,MATCH($C501,Roster!$B:$B,0))="","",INDEX(Roster!$A:$A,MATCH($C501,Roster!$B:$B,0))&amp;""),"—"))</f>
        <v/>
      </c>
      <c r="E501" s="25">
        <f>IF($C501="","",IFERROR(IF(INDEX(Roster!$C:$C,MATCH($C501,Roster!$B:$B,0))="","",INDEX(Roster!$C:$C,MATCH($C501,Roster!$B:$B,0))&amp;""),"—"))</f>
        <v/>
      </c>
      <c r="F501" s="25">
        <f>IF($C501="","",IFERROR(IF(INDEX(Roster!$D:$D,MATCH($C501,Roster!$B:$B,0))="","",INDEX(Roster!$D:$D,MATCH($C501,Roster!$B:$B,0))&amp;""),"—"))</f>
        <v/>
      </c>
      <c r="G501" s="25">
        <f>IF($C501="","",IFERROR(IF(INDEX(Roster!$E:$E,MATCH($C501,Roster!$B:$B,0))="","",INDEX(Roster!$E:$E,MATCH($C501,Roster!$B:$B,0))&amp;""),"—"))</f>
        <v/>
      </c>
      <c r="H501" s="25">
        <f>IF($C501="","",IFERROR(IF(INDEX(Roster!$F:$F,MATCH($C501,Roster!$B:$B,0))="","",INDEX(Roster!$F:$F,MATCH($C501,Roster!$B:$B,0))&amp;""),"—"))</f>
        <v/>
      </c>
      <c r="I501" s="25">
        <f>IF($C501="","",IFERROR(IF(INDEX(Roster!$G:$G,MATCH($C501,Roster!$B:$B,0))="","",INDEX(Roster!$G:$G,MATCH($C501,Roster!$B:$B,0))&amp;""),"—"))</f>
        <v/>
      </c>
      <c r="J501" s="25">
        <f>IF($C501="","",IFERROR(IF(INDEX(Roster!$I:$I,MATCH($C501,Roster!$B:$B,0))="","",INDEX(Roster!$I:$I,MATCH($C501,Roster!$B:$B,0))&amp;""),"—"))</f>
        <v/>
      </c>
      <c r="K501">
        <f>IF($C501="","",IFERROR(IF(INDEX(Roster!$J:$J,MATCH($C501,Roster!$B:$B,0))="","",INDEX(Roster!$J:$J,MATCH($C501,Roster!$B:$B,0))&amp;""),"—"))</f>
        <v/>
      </c>
      <c r="L501">
        <f>IF($C501="","",IFERROR(IF(INDEX(Roster!$K:$K,MATCH($C501,Roster!$B:$B,0))="","",INDEX(Roster!$K:$K,MATCH($C501,Roster!$B:$B,0))&amp;""),"—"))</f>
        <v/>
      </c>
      <c r="M501" s="27" t="n"/>
      <c r="N501" s="27" t="n"/>
      <c r="O501" s="25">
        <f>IF($C501="","",IF($P501="","—",IF($P501="Valid (Pass)","Valid","Invalid")))</f>
        <v/>
      </c>
      <c r="P501" s="27" t="n"/>
      <c r="Q501" s="27" t="n"/>
      <c r="R501" s="27" t="n"/>
      <c r="S501" s="27" t="n"/>
      <c r="T501" s="25">
        <f>IF($C501="","",IF(OR(ISNUMBER(SEARCH("quick case",$P501)),ISNUMBER(SEARCH("quick case",$Q501))),"Yes","No"))</f>
        <v/>
      </c>
      <c r="U501" s="25">
        <f>IF($O501="Invalid",HYPERLINK("mailto:"&amp;$G501&amp;";"&amp;$I501&amp;"?cc="&amp;Lists!$E$2&amp;"&amp;subject="&amp;_xlfn.ENCODEURL("[INVALID] Quality audit monitoring completed for "&amp;UPPER($C501))&amp;"&amp;body="&amp;_xlfn.ENCODEURL("Hi "&amp;$F501&amp;","&amp;CHAR(10)&amp;"Good day!"&amp;CHAR(10)&amp;CHAR(10)&amp;"A quality monitoring audit has been completed for "&amp;$C501&amp;"."&amp;CHAR(10)&amp;CHAR(10)&amp;"QUALITY AUDIT DETAILS"&amp;CHAR(10)&amp;"Agent Name: "&amp;$C501&amp;" (EID "&amp;$D501&amp;")"&amp;CHAR(10)&amp;"Audit Date: "&amp;TEXT($B501,"yyyy-mm-dd")&amp;CHAR(10)&amp;"Team Leader: "&amp;$F501&amp;CHAR(10)&amp;"Case Number: "&amp;$M501&amp;CHAR(10)&amp;"Transaction ID: "&amp;$N501&amp;CHAR(10)&amp;"Channel / LOB: "&amp;$K501&amp;" / "&amp;$L501&amp;CHAR(10)&amp;"Evaluator: "&amp;$S501&amp;CHAR(10)&amp;CHAR(10)&amp;"INVALID QUALITY AUDIT DETAILS"&amp;CHAR(10)&amp;"Validation: Invalid"&amp;CHAR(10)&amp;"Invalid Reason: "&amp;$P501&amp;CHAR(10)&amp;"Expected Resolution Code: "&amp;$Q501&amp;CHAR(10)&amp;"Remarks: "&amp;LEFT($R501,600)&amp;CHAR(10)&amp;CHAR(10)&amp;"This is an automated notification from HP Mainstream EQMS."),"✉ Open Email Draft"),"")</f>
        <v/>
      </c>
    </row>
    <row r="502">
      <c r="A502" s="25">
        <f>IF($C502="","","AUD-2026-"&amp;TEXT(ROW()-1,"000000"))</f>
        <v/>
      </c>
      <c r="B502" s="26" t="n"/>
      <c r="C502" s="27" t="n"/>
      <c r="D502" s="25">
        <f>IF($C502="","",IFERROR(IF(INDEX(Roster!$A:$A,MATCH($C502,Roster!$B:$B,0))="","",INDEX(Roster!$A:$A,MATCH($C502,Roster!$B:$B,0))&amp;""),"—"))</f>
        <v/>
      </c>
      <c r="E502" s="25">
        <f>IF($C502="","",IFERROR(IF(INDEX(Roster!$C:$C,MATCH($C502,Roster!$B:$B,0))="","",INDEX(Roster!$C:$C,MATCH($C502,Roster!$B:$B,0))&amp;""),"—"))</f>
        <v/>
      </c>
      <c r="F502" s="25">
        <f>IF($C502="","",IFERROR(IF(INDEX(Roster!$D:$D,MATCH($C502,Roster!$B:$B,0))="","",INDEX(Roster!$D:$D,MATCH($C502,Roster!$B:$B,0))&amp;""),"—"))</f>
        <v/>
      </c>
      <c r="G502" s="25">
        <f>IF($C502="","",IFERROR(IF(INDEX(Roster!$E:$E,MATCH($C502,Roster!$B:$B,0))="","",INDEX(Roster!$E:$E,MATCH($C502,Roster!$B:$B,0))&amp;""),"—"))</f>
        <v/>
      </c>
      <c r="H502" s="25">
        <f>IF($C502="","",IFERROR(IF(INDEX(Roster!$F:$F,MATCH($C502,Roster!$B:$B,0))="","",INDEX(Roster!$F:$F,MATCH($C502,Roster!$B:$B,0))&amp;""),"—"))</f>
        <v/>
      </c>
      <c r="I502" s="25">
        <f>IF($C502="","",IFERROR(IF(INDEX(Roster!$G:$G,MATCH($C502,Roster!$B:$B,0))="","",INDEX(Roster!$G:$G,MATCH($C502,Roster!$B:$B,0))&amp;""),"—"))</f>
        <v/>
      </c>
      <c r="J502" s="25">
        <f>IF($C502="","",IFERROR(IF(INDEX(Roster!$I:$I,MATCH($C502,Roster!$B:$B,0))="","",INDEX(Roster!$I:$I,MATCH($C502,Roster!$B:$B,0))&amp;""),"—"))</f>
        <v/>
      </c>
      <c r="K502">
        <f>IF($C502="","",IFERROR(IF(INDEX(Roster!$J:$J,MATCH($C502,Roster!$B:$B,0))="","",INDEX(Roster!$J:$J,MATCH($C502,Roster!$B:$B,0))&amp;""),"—"))</f>
        <v/>
      </c>
      <c r="L502">
        <f>IF($C502="","",IFERROR(IF(INDEX(Roster!$K:$K,MATCH($C502,Roster!$B:$B,0))="","",INDEX(Roster!$K:$K,MATCH($C502,Roster!$B:$B,0))&amp;""),"—"))</f>
        <v/>
      </c>
      <c r="M502" s="27" t="n"/>
      <c r="N502" s="27" t="n"/>
      <c r="O502" s="25">
        <f>IF($C502="","",IF($P502="","—",IF($P502="Valid (Pass)","Valid","Invalid")))</f>
        <v/>
      </c>
      <c r="P502" s="27" t="n"/>
      <c r="Q502" s="27" t="n"/>
      <c r="R502" s="27" t="n"/>
      <c r="S502" s="27" t="n"/>
      <c r="T502" s="25">
        <f>IF($C502="","",IF(OR(ISNUMBER(SEARCH("quick case",$P502)),ISNUMBER(SEARCH("quick case",$Q502))),"Yes","No"))</f>
        <v/>
      </c>
      <c r="U502" s="25">
        <f>IF($O502="Invalid",HYPERLINK("mailto:"&amp;$G502&amp;";"&amp;$I502&amp;"?cc="&amp;Lists!$E$2&amp;"&amp;subject="&amp;_xlfn.ENCODEURL("[INVALID] Quality audit monitoring completed for "&amp;UPPER($C502))&amp;"&amp;body="&amp;_xlfn.ENCODEURL("Hi "&amp;$F502&amp;","&amp;CHAR(10)&amp;"Good day!"&amp;CHAR(10)&amp;CHAR(10)&amp;"A quality monitoring audit has been completed for "&amp;$C502&amp;"."&amp;CHAR(10)&amp;CHAR(10)&amp;"QUALITY AUDIT DETAILS"&amp;CHAR(10)&amp;"Agent Name: "&amp;$C502&amp;" (EID "&amp;$D502&amp;")"&amp;CHAR(10)&amp;"Audit Date: "&amp;TEXT($B502,"yyyy-mm-dd")&amp;CHAR(10)&amp;"Team Leader: "&amp;$F502&amp;CHAR(10)&amp;"Case Number: "&amp;$M502&amp;CHAR(10)&amp;"Transaction ID: "&amp;$N502&amp;CHAR(10)&amp;"Channel / LOB: "&amp;$K502&amp;" / "&amp;$L502&amp;CHAR(10)&amp;"Evaluator: "&amp;$S502&amp;CHAR(10)&amp;CHAR(10)&amp;"INVALID QUALITY AUDIT DETAILS"&amp;CHAR(10)&amp;"Validation: Invalid"&amp;CHAR(10)&amp;"Invalid Reason: "&amp;$P502&amp;CHAR(10)&amp;"Expected Resolution Code: "&amp;$Q502&amp;CHAR(10)&amp;"Remarks: "&amp;LEFT($R502,600)&amp;CHAR(10)&amp;CHAR(10)&amp;"This is an automated notification from HP Mainstream EQMS."),"✉ Open Email Draft"),"")</f>
        <v/>
      </c>
    </row>
    <row r="503">
      <c r="A503" s="25">
        <f>IF($C503="","","AUD-2026-"&amp;TEXT(ROW()-1,"000000"))</f>
        <v/>
      </c>
      <c r="B503" s="26" t="n"/>
      <c r="C503" s="27" t="n"/>
      <c r="D503" s="25">
        <f>IF($C503="","",IFERROR(IF(INDEX(Roster!$A:$A,MATCH($C503,Roster!$B:$B,0))="","",INDEX(Roster!$A:$A,MATCH($C503,Roster!$B:$B,0))&amp;""),"—"))</f>
        <v/>
      </c>
      <c r="E503" s="25">
        <f>IF($C503="","",IFERROR(IF(INDEX(Roster!$C:$C,MATCH($C503,Roster!$B:$B,0))="","",INDEX(Roster!$C:$C,MATCH($C503,Roster!$B:$B,0))&amp;""),"—"))</f>
        <v/>
      </c>
      <c r="F503" s="25">
        <f>IF($C503="","",IFERROR(IF(INDEX(Roster!$D:$D,MATCH($C503,Roster!$B:$B,0))="","",INDEX(Roster!$D:$D,MATCH($C503,Roster!$B:$B,0))&amp;""),"—"))</f>
        <v/>
      </c>
      <c r="G503" s="25">
        <f>IF($C503="","",IFERROR(IF(INDEX(Roster!$E:$E,MATCH($C503,Roster!$B:$B,0))="","",INDEX(Roster!$E:$E,MATCH($C503,Roster!$B:$B,0))&amp;""),"—"))</f>
        <v/>
      </c>
      <c r="H503" s="25">
        <f>IF($C503="","",IFERROR(IF(INDEX(Roster!$F:$F,MATCH($C503,Roster!$B:$B,0))="","",INDEX(Roster!$F:$F,MATCH($C503,Roster!$B:$B,0))&amp;""),"—"))</f>
        <v/>
      </c>
      <c r="I503" s="25">
        <f>IF($C503="","",IFERROR(IF(INDEX(Roster!$G:$G,MATCH($C503,Roster!$B:$B,0))="","",INDEX(Roster!$G:$G,MATCH($C503,Roster!$B:$B,0))&amp;""),"—"))</f>
        <v/>
      </c>
      <c r="J503" s="25">
        <f>IF($C503="","",IFERROR(IF(INDEX(Roster!$I:$I,MATCH($C503,Roster!$B:$B,0))="","",INDEX(Roster!$I:$I,MATCH($C503,Roster!$B:$B,0))&amp;""),"—"))</f>
        <v/>
      </c>
      <c r="K503">
        <f>IF($C503="","",IFERROR(IF(INDEX(Roster!$J:$J,MATCH($C503,Roster!$B:$B,0))="","",INDEX(Roster!$J:$J,MATCH($C503,Roster!$B:$B,0))&amp;""),"—"))</f>
        <v/>
      </c>
      <c r="L503">
        <f>IF($C503="","",IFERROR(IF(INDEX(Roster!$K:$K,MATCH($C503,Roster!$B:$B,0))="","",INDEX(Roster!$K:$K,MATCH($C503,Roster!$B:$B,0))&amp;""),"—"))</f>
        <v/>
      </c>
      <c r="M503" s="27" t="n"/>
      <c r="N503" s="27" t="n"/>
      <c r="O503" s="25">
        <f>IF($C503="","",IF($P503="","—",IF($P503="Valid (Pass)","Valid","Invalid")))</f>
        <v/>
      </c>
      <c r="P503" s="27" t="n"/>
      <c r="Q503" s="27" t="n"/>
      <c r="R503" s="27" t="n"/>
      <c r="S503" s="27" t="n"/>
      <c r="T503" s="25">
        <f>IF($C503="","",IF(OR(ISNUMBER(SEARCH("quick case",$P503)),ISNUMBER(SEARCH("quick case",$Q503))),"Yes","No"))</f>
        <v/>
      </c>
      <c r="U503" s="25">
        <f>IF($O503="Invalid",HYPERLINK("mailto:"&amp;$G503&amp;";"&amp;$I503&amp;"?cc="&amp;Lists!$E$2&amp;"&amp;subject="&amp;_xlfn.ENCODEURL("[INVALID] Quality audit monitoring completed for "&amp;UPPER($C503))&amp;"&amp;body="&amp;_xlfn.ENCODEURL("Hi "&amp;$F503&amp;","&amp;CHAR(10)&amp;"Good day!"&amp;CHAR(10)&amp;CHAR(10)&amp;"A quality monitoring audit has been completed for "&amp;$C503&amp;"."&amp;CHAR(10)&amp;CHAR(10)&amp;"QUALITY AUDIT DETAILS"&amp;CHAR(10)&amp;"Agent Name: "&amp;$C503&amp;" (EID "&amp;$D503&amp;")"&amp;CHAR(10)&amp;"Audit Date: "&amp;TEXT($B503,"yyyy-mm-dd")&amp;CHAR(10)&amp;"Team Leader: "&amp;$F503&amp;CHAR(10)&amp;"Case Number: "&amp;$M503&amp;CHAR(10)&amp;"Transaction ID: "&amp;$N503&amp;CHAR(10)&amp;"Channel / LOB: "&amp;$K503&amp;" / "&amp;$L503&amp;CHAR(10)&amp;"Evaluator: "&amp;$S503&amp;CHAR(10)&amp;CHAR(10)&amp;"INVALID QUALITY AUDIT DETAILS"&amp;CHAR(10)&amp;"Validation: Invalid"&amp;CHAR(10)&amp;"Invalid Reason: "&amp;$P503&amp;CHAR(10)&amp;"Expected Resolution Code: "&amp;$Q503&amp;CHAR(10)&amp;"Remarks: "&amp;LEFT($R503,600)&amp;CHAR(10)&amp;CHAR(10)&amp;"This is an automated notification from HP Mainstream EQMS."),"✉ Open Email Draft"),"")</f>
        <v/>
      </c>
    </row>
    <row r="504">
      <c r="A504" s="25">
        <f>IF($C504="","","AUD-2026-"&amp;TEXT(ROW()-1,"000000"))</f>
        <v/>
      </c>
      <c r="B504" s="26" t="n"/>
      <c r="C504" s="27" t="n"/>
      <c r="D504" s="25">
        <f>IF($C504="","",IFERROR(IF(INDEX(Roster!$A:$A,MATCH($C504,Roster!$B:$B,0))="","",INDEX(Roster!$A:$A,MATCH($C504,Roster!$B:$B,0))&amp;""),"—"))</f>
        <v/>
      </c>
      <c r="E504" s="25">
        <f>IF($C504="","",IFERROR(IF(INDEX(Roster!$C:$C,MATCH($C504,Roster!$B:$B,0))="","",INDEX(Roster!$C:$C,MATCH($C504,Roster!$B:$B,0))&amp;""),"—"))</f>
        <v/>
      </c>
      <c r="F504" s="25">
        <f>IF($C504="","",IFERROR(IF(INDEX(Roster!$D:$D,MATCH($C504,Roster!$B:$B,0))="","",INDEX(Roster!$D:$D,MATCH($C504,Roster!$B:$B,0))&amp;""),"—"))</f>
        <v/>
      </c>
      <c r="G504" s="25">
        <f>IF($C504="","",IFERROR(IF(INDEX(Roster!$E:$E,MATCH($C504,Roster!$B:$B,0))="","",INDEX(Roster!$E:$E,MATCH($C504,Roster!$B:$B,0))&amp;""),"—"))</f>
        <v/>
      </c>
      <c r="H504" s="25">
        <f>IF($C504="","",IFERROR(IF(INDEX(Roster!$F:$F,MATCH($C504,Roster!$B:$B,0))="","",INDEX(Roster!$F:$F,MATCH($C504,Roster!$B:$B,0))&amp;""),"—"))</f>
        <v/>
      </c>
      <c r="I504" s="25">
        <f>IF($C504="","",IFERROR(IF(INDEX(Roster!$G:$G,MATCH($C504,Roster!$B:$B,0))="","",INDEX(Roster!$G:$G,MATCH($C504,Roster!$B:$B,0))&amp;""),"—"))</f>
        <v/>
      </c>
      <c r="J504" s="25">
        <f>IF($C504="","",IFERROR(IF(INDEX(Roster!$I:$I,MATCH($C504,Roster!$B:$B,0))="","",INDEX(Roster!$I:$I,MATCH($C504,Roster!$B:$B,0))&amp;""),"—"))</f>
        <v/>
      </c>
      <c r="K504">
        <f>IF($C504="","",IFERROR(IF(INDEX(Roster!$J:$J,MATCH($C504,Roster!$B:$B,0))="","",INDEX(Roster!$J:$J,MATCH($C504,Roster!$B:$B,0))&amp;""),"—"))</f>
        <v/>
      </c>
      <c r="L504">
        <f>IF($C504="","",IFERROR(IF(INDEX(Roster!$K:$K,MATCH($C504,Roster!$B:$B,0))="","",INDEX(Roster!$K:$K,MATCH($C504,Roster!$B:$B,0))&amp;""),"—"))</f>
        <v/>
      </c>
      <c r="M504" s="27" t="n"/>
      <c r="N504" s="27" t="n"/>
      <c r="O504" s="25">
        <f>IF($C504="","",IF($P504="","—",IF($P504="Valid (Pass)","Valid","Invalid")))</f>
        <v/>
      </c>
      <c r="P504" s="27" t="n"/>
      <c r="Q504" s="27" t="n"/>
      <c r="R504" s="27" t="n"/>
      <c r="S504" s="27" t="n"/>
      <c r="T504" s="25">
        <f>IF($C504="","",IF(OR(ISNUMBER(SEARCH("quick case",$P504)),ISNUMBER(SEARCH("quick case",$Q504))),"Yes","No"))</f>
        <v/>
      </c>
      <c r="U504" s="25">
        <f>IF($O504="Invalid",HYPERLINK("mailto:"&amp;$G504&amp;";"&amp;$I504&amp;"?cc="&amp;Lists!$E$2&amp;"&amp;subject="&amp;_xlfn.ENCODEURL("[INVALID] Quality audit monitoring completed for "&amp;UPPER($C504))&amp;"&amp;body="&amp;_xlfn.ENCODEURL("Hi "&amp;$F504&amp;","&amp;CHAR(10)&amp;"Good day!"&amp;CHAR(10)&amp;CHAR(10)&amp;"A quality monitoring audit has been completed for "&amp;$C504&amp;"."&amp;CHAR(10)&amp;CHAR(10)&amp;"QUALITY AUDIT DETAILS"&amp;CHAR(10)&amp;"Agent Name: "&amp;$C504&amp;" (EID "&amp;$D504&amp;")"&amp;CHAR(10)&amp;"Audit Date: "&amp;TEXT($B504,"yyyy-mm-dd")&amp;CHAR(10)&amp;"Team Leader: "&amp;$F504&amp;CHAR(10)&amp;"Case Number: "&amp;$M504&amp;CHAR(10)&amp;"Transaction ID: "&amp;$N504&amp;CHAR(10)&amp;"Channel / LOB: "&amp;$K504&amp;" / "&amp;$L504&amp;CHAR(10)&amp;"Evaluator: "&amp;$S504&amp;CHAR(10)&amp;CHAR(10)&amp;"INVALID QUALITY AUDIT DETAILS"&amp;CHAR(10)&amp;"Validation: Invalid"&amp;CHAR(10)&amp;"Invalid Reason: "&amp;$P504&amp;CHAR(10)&amp;"Expected Resolution Code: "&amp;$Q504&amp;CHAR(10)&amp;"Remarks: "&amp;LEFT($R504,600)&amp;CHAR(10)&amp;CHAR(10)&amp;"This is an automated notification from HP Mainstream EQMS."),"✉ Open Email Draft"),"")</f>
        <v/>
      </c>
    </row>
    <row r="505">
      <c r="A505" s="25">
        <f>IF($C505="","","AUD-2026-"&amp;TEXT(ROW()-1,"000000"))</f>
        <v/>
      </c>
      <c r="B505" s="26" t="n"/>
      <c r="C505" s="27" t="n"/>
      <c r="D505" s="25">
        <f>IF($C505="","",IFERROR(IF(INDEX(Roster!$A:$A,MATCH($C505,Roster!$B:$B,0))="","",INDEX(Roster!$A:$A,MATCH($C505,Roster!$B:$B,0))&amp;""),"—"))</f>
        <v/>
      </c>
      <c r="E505" s="25">
        <f>IF($C505="","",IFERROR(IF(INDEX(Roster!$C:$C,MATCH($C505,Roster!$B:$B,0))="","",INDEX(Roster!$C:$C,MATCH($C505,Roster!$B:$B,0))&amp;""),"—"))</f>
        <v/>
      </c>
      <c r="F505" s="25">
        <f>IF($C505="","",IFERROR(IF(INDEX(Roster!$D:$D,MATCH($C505,Roster!$B:$B,0))="","",INDEX(Roster!$D:$D,MATCH($C505,Roster!$B:$B,0))&amp;""),"—"))</f>
        <v/>
      </c>
      <c r="G505" s="25">
        <f>IF($C505="","",IFERROR(IF(INDEX(Roster!$E:$E,MATCH($C505,Roster!$B:$B,0))="","",INDEX(Roster!$E:$E,MATCH($C505,Roster!$B:$B,0))&amp;""),"—"))</f>
        <v/>
      </c>
      <c r="H505" s="25">
        <f>IF($C505="","",IFERROR(IF(INDEX(Roster!$F:$F,MATCH($C505,Roster!$B:$B,0))="","",INDEX(Roster!$F:$F,MATCH($C505,Roster!$B:$B,0))&amp;""),"—"))</f>
        <v/>
      </c>
      <c r="I505" s="25">
        <f>IF($C505="","",IFERROR(IF(INDEX(Roster!$G:$G,MATCH($C505,Roster!$B:$B,0))="","",INDEX(Roster!$G:$G,MATCH($C505,Roster!$B:$B,0))&amp;""),"—"))</f>
        <v/>
      </c>
      <c r="J505" s="25">
        <f>IF($C505="","",IFERROR(IF(INDEX(Roster!$I:$I,MATCH($C505,Roster!$B:$B,0))="","",INDEX(Roster!$I:$I,MATCH($C505,Roster!$B:$B,0))&amp;""),"—"))</f>
        <v/>
      </c>
      <c r="K505">
        <f>IF($C505="","",IFERROR(IF(INDEX(Roster!$J:$J,MATCH($C505,Roster!$B:$B,0))="","",INDEX(Roster!$J:$J,MATCH($C505,Roster!$B:$B,0))&amp;""),"—"))</f>
        <v/>
      </c>
      <c r="L505">
        <f>IF($C505="","",IFERROR(IF(INDEX(Roster!$K:$K,MATCH($C505,Roster!$B:$B,0))="","",INDEX(Roster!$K:$K,MATCH($C505,Roster!$B:$B,0))&amp;""),"—"))</f>
        <v/>
      </c>
      <c r="M505" s="27" t="n"/>
      <c r="N505" s="27" t="n"/>
      <c r="O505" s="25">
        <f>IF($C505="","",IF($P505="","—",IF($P505="Valid (Pass)","Valid","Invalid")))</f>
        <v/>
      </c>
      <c r="P505" s="27" t="n"/>
      <c r="Q505" s="27" t="n"/>
      <c r="R505" s="27" t="n"/>
      <c r="S505" s="27" t="n"/>
      <c r="T505" s="25">
        <f>IF($C505="","",IF(OR(ISNUMBER(SEARCH("quick case",$P505)),ISNUMBER(SEARCH("quick case",$Q505))),"Yes","No"))</f>
        <v/>
      </c>
      <c r="U505" s="25">
        <f>IF($O505="Invalid",HYPERLINK("mailto:"&amp;$G505&amp;";"&amp;$I505&amp;"?cc="&amp;Lists!$E$2&amp;"&amp;subject="&amp;_xlfn.ENCODEURL("[INVALID] Quality audit monitoring completed for "&amp;UPPER($C505))&amp;"&amp;body="&amp;_xlfn.ENCODEURL("Hi "&amp;$F505&amp;","&amp;CHAR(10)&amp;"Good day!"&amp;CHAR(10)&amp;CHAR(10)&amp;"A quality monitoring audit has been completed for "&amp;$C505&amp;"."&amp;CHAR(10)&amp;CHAR(10)&amp;"QUALITY AUDIT DETAILS"&amp;CHAR(10)&amp;"Agent Name: "&amp;$C505&amp;" (EID "&amp;$D505&amp;")"&amp;CHAR(10)&amp;"Audit Date: "&amp;TEXT($B505,"yyyy-mm-dd")&amp;CHAR(10)&amp;"Team Leader: "&amp;$F505&amp;CHAR(10)&amp;"Case Number: "&amp;$M505&amp;CHAR(10)&amp;"Transaction ID: "&amp;$N505&amp;CHAR(10)&amp;"Channel / LOB: "&amp;$K505&amp;" / "&amp;$L505&amp;CHAR(10)&amp;"Evaluator: "&amp;$S505&amp;CHAR(10)&amp;CHAR(10)&amp;"INVALID QUALITY AUDIT DETAILS"&amp;CHAR(10)&amp;"Validation: Invalid"&amp;CHAR(10)&amp;"Invalid Reason: "&amp;$P505&amp;CHAR(10)&amp;"Expected Resolution Code: "&amp;$Q505&amp;CHAR(10)&amp;"Remarks: "&amp;LEFT($R505,600)&amp;CHAR(10)&amp;CHAR(10)&amp;"This is an automated notification from HP Mainstream EQMS."),"✉ Open Email Draft"),"")</f>
        <v/>
      </c>
    </row>
    <row r="506">
      <c r="A506" s="25">
        <f>IF($C506="","","AUD-2026-"&amp;TEXT(ROW()-1,"000000"))</f>
        <v/>
      </c>
      <c r="B506" s="26" t="n"/>
      <c r="C506" s="27" t="n"/>
      <c r="D506" s="25">
        <f>IF($C506="","",IFERROR(IF(INDEX(Roster!$A:$A,MATCH($C506,Roster!$B:$B,0))="","",INDEX(Roster!$A:$A,MATCH($C506,Roster!$B:$B,0))&amp;""),"—"))</f>
        <v/>
      </c>
      <c r="E506" s="25">
        <f>IF($C506="","",IFERROR(IF(INDEX(Roster!$C:$C,MATCH($C506,Roster!$B:$B,0))="","",INDEX(Roster!$C:$C,MATCH($C506,Roster!$B:$B,0))&amp;""),"—"))</f>
        <v/>
      </c>
      <c r="F506" s="25">
        <f>IF($C506="","",IFERROR(IF(INDEX(Roster!$D:$D,MATCH($C506,Roster!$B:$B,0))="","",INDEX(Roster!$D:$D,MATCH($C506,Roster!$B:$B,0))&amp;""),"—"))</f>
        <v/>
      </c>
      <c r="G506" s="25">
        <f>IF($C506="","",IFERROR(IF(INDEX(Roster!$E:$E,MATCH($C506,Roster!$B:$B,0))="","",INDEX(Roster!$E:$E,MATCH($C506,Roster!$B:$B,0))&amp;""),"—"))</f>
        <v/>
      </c>
      <c r="H506" s="25">
        <f>IF($C506="","",IFERROR(IF(INDEX(Roster!$F:$F,MATCH($C506,Roster!$B:$B,0))="","",INDEX(Roster!$F:$F,MATCH($C506,Roster!$B:$B,0))&amp;""),"—"))</f>
        <v/>
      </c>
      <c r="I506" s="25">
        <f>IF($C506="","",IFERROR(IF(INDEX(Roster!$G:$G,MATCH($C506,Roster!$B:$B,0))="","",INDEX(Roster!$G:$G,MATCH($C506,Roster!$B:$B,0))&amp;""),"—"))</f>
        <v/>
      </c>
      <c r="J506" s="25">
        <f>IF($C506="","",IFERROR(IF(INDEX(Roster!$I:$I,MATCH($C506,Roster!$B:$B,0))="","",INDEX(Roster!$I:$I,MATCH($C506,Roster!$B:$B,0))&amp;""),"—"))</f>
        <v/>
      </c>
      <c r="K506">
        <f>IF($C506="","",IFERROR(IF(INDEX(Roster!$J:$J,MATCH($C506,Roster!$B:$B,0))="","",INDEX(Roster!$J:$J,MATCH($C506,Roster!$B:$B,0))&amp;""),"—"))</f>
        <v/>
      </c>
      <c r="L506">
        <f>IF($C506="","",IFERROR(IF(INDEX(Roster!$K:$K,MATCH($C506,Roster!$B:$B,0))="","",INDEX(Roster!$K:$K,MATCH($C506,Roster!$B:$B,0))&amp;""),"—"))</f>
        <v/>
      </c>
      <c r="M506" s="27" t="n"/>
      <c r="N506" s="27" t="n"/>
      <c r="O506" s="25">
        <f>IF($C506="","",IF($P506="","—",IF($P506="Valid (Pass)","Valid","Invalid")))</f>
        <v/>
      </c>
      <c r="P506" s="27" t="n"/>
      <c r="Q506" s="27" t="n"/>
      <c r="R506" s="27" t="n"/>
      <c r="S506" s="27" t="n"/>
      <c r="T506" s="25">
        <f>IF($C506="","",IF(OR(ISNUMBER(SEARCH("quick case",$P506)),ISNUMBER(SEARCH("quick case",$Q506))),"Yes","No"))</f>
        <v/>
      </c>
      <c r="U506" s="25">
        <f>IF($O506="Invalid",HYPERLINK("mailto:"&amp;$G506&amp;";"&amp;$I506&amp;"?cc="&amp;Lists!$E$2&amp;"&amp;subject="&amp;_xlfn.ENCODEURL("[INVALID] Quality audit monitoring completed for "&amp;UPPER($C506))&amp;"&amp;body="&amp;_xlfn.ENCODEURL("Hi "&amp;$F506&amp;","&amp;CHAR(10)&amp;"Good day!"&amp;CHAR(10)&amp;CHAR(10)&amp;"A quality monitoring audit has been completed for "&amp;$C506&amp;"."&amp;CHAR(10)&amp;CHAR(10)&amp;"QUALITY AUDIT DETAILS"&amp;CHAR(10)&amp;"Agent Name: "&amp;$C506&amp;" (EID "&amp;$D506&amp;")"&amp;CHAR(10)&amp;"Audit Date: "&amp;TEXT($B506,"yyyy-mm-dd")&amp;CHAR(10)&amp;"Team Leader: "&amp;$F506&amp;CHAR(10)&amp;"Case Number: "&amp;$M506&amp;CHAR(10)&amp;"Transaction ID: "&amp;$N506&amp;CHAR(10)&amp;"Channel / LOB: "&amp;$K506&amp;" / "&amp;$L506&amp;CHAR(10)&amp;"Evaluator: "&amp;$S506&amp;CHAR(10)&amp;CHAR(10)&amp;"INVALID QUALITY AUDIT DETAILS"&amp;CHAR(10)&amp;"Validation: Invalid"&amp;CHAR(10)&amp;"Invalid Reason: "&amp;$P506&amp;CHAR(10)&amp;"Expected Resolution Code: "&amp;$Q506&amp;CHAR(10)&amp;"Remarks: "&amp;LEFT($R506,600)&amp;CHAR(10)&amp;CHAR(10)&amp;"This is an automated notification from HP Mainstream EQMS."),"✉ Open Email Draft"),"")</f>
        <v/>
      </c>
    </row>
    <row r="507">
      <c r="A507" s="25">
        <f>IF($C507="","","AUD-2026-"&amp;TEXT(ROW()-1,"000000"))</f>
        <v/>
      </c>
      <c r="B507" s="26" t="n"/>
      <c r="C507" s="27" t="n"/>
      <c r="D507" s="25">
        <f>IF($C507="","",IFERROR(IF(INDEX(Roster!$A:$A,MATCH($C507,Roster!$B:$B,0))="","",INDEX(Roster!$A:$A,MATCH($C507,Roster!$B:$B,0))&amp;""),"—"))</f>
        <v/>
      </c>
      <c r="E507" s="25">
        <f>IF($C507="","",IFERROR(IF(INDEX(Roster!$C:$C,MATCH($C507,Roster!$B:$B,0))="","",INDEX(Roster!$C:$C,MATCH($C507,Roster!$B:$B,0))&amp;""),"—"))</f>
        <v/>
      </c>
      <c r="F507" s="25">
        <f>IF($C507="","",IFERROR(IF(INDEX(Roster!$D:$D,MATCH($C507,Roster!$B:$B,0))="","",INDEX(Roster!$D:$D,MATCH($C507,Roster!$B:$B,0))&amp;""),"—"))</f>
        <v/>
      </c>
      <c r="G507" s="25">
        <f>IF($C507="","",IFERROR(IF(INDEX(Roster!$E:$E,MATCH($C507,Roster!$B:$B,0))="","",INDEX(Roster!$E:$E,MATCH($C507,Roster!$B:$B,0))&amp;""),"—"))</f>
        <v/>
      </c>
      <c r="H507" s="25">
        <f>IF($C507="","",IFERROR(IF(INDEX(Roster!$F:$F,MATCH($C507,Roster!$B:$B,0))="","",INDEX(Roster!$F:$F,MATCH($C507,Roster!$B:$B,0))&amp;""),"—"))</f>
        <v/>
      </c>
      <c r="I507" s="25">
        <f>IF($C507="","",IFERROR(IF(INDEX(Roster!$G:$G,MATCH($C507,Roster!$B:$B,0))="","",INDEX(Roster!$G:$G,MATCH($C507,Roster!$B:$B,0))&amp;""),"—"))</f>
        <v/>
      </c>
      <c r="J507" s="25">
        <f>IF($C507="","",IFERROR(IF(INDEX(Roster!$I:$I,MATCH($C507,Roster!$B:$B,0))="","",INDEX(Roster!$I:$I,MATCH($C507,Roster!$B:$B,0))&amp;""),"—"))</f>
        <v/>
      </c>
      <c r="K507">
        <f>IF($C507="","",IFERROR(IF(INDEX(Roster!$J:$J,MATCH($C507,Roster!$B:$B,0))="","",INDEX(Roster!$J:$J,MATCH($C507,Roster!$B:$B,0))&amp;""),"—"))</f>
        <v/>
      </c>
      <c r="L507">
        <f>IF($C507="","",IFERROR(IF(INDEX(Roster!$K:$K,MATCH($C507,Roster!$B:$B,0))="","",INDEX(Roster!$K:$K,MATCH($C507,Roster!$B:$B,0))&amp;""),"—"))</f>
        <v/>
      </c>
      <c r="M507" s="27" t="n"/>
      <c r="N507" s="27" t="n"/>
      <c r="O507" s="25">
        <f>IF($C507="","",IF($P507="","—",IF($P507="Valid (Pass)","Valid","Invalid")))</f>
        <v/>
      </c>
      <c r="P507" s="27" t="n"/>
      <c r="Q507" s="27" t="n"/>
      <c r="R507" s="27" t="n"/>
      <c r="S507" s="27" t="n"/>
      <c r="T507" s="25">
        <f>IF($C507="","",IF(OR(ISNUMBER(SEARCH("quick case",$P507)),ISNUMBER(SEARCH("quick case",$Q507))),"Yes","No"))</f>
        <v/>
      </c>
      <c r="U507" s="25">
        <f>IF($O507="Invalid",HYPERLINK("mailto:"&amp;$G507&amp;";"&amp;$I507&amp;"?cc="&amp;Lists!$E$2&amp;"&amp;subject="&amp;_xlfn.ENCODEURL("[INVALID] Quality audit monitoring completed for "&amp;UPPER($C507))&amp;"&amp;body="&amp;_xlfn.ENCODEURL("Hi "&amp;$F507&amp;","&amp;CHAR(10)&amp;"Good day!"&amp;CHAR(10)&amp;CHAR(10)&amp;"A quality monitoring audit has been completed for "&amp;$C507&amp;"."&amp;CHAR(10)&amp;CHAR(10)&amp;"QUALITY AUDIT DETAILS"&amp;CHAR(10)&amp;"Agent Name: "&amp;$C507&amp;" (EID "&amp;$D507&amp;")"&amp;CHAR(10)&amp;"Audit Date: "&amp;TEXT($B507,"yyyy-mm-dd")&amp;CHAR(10)&amp;"Team Leader: "&amp;$F507&amp;CHAR(10)&amp;"Case Number: "&amp;$M507&amp;CHAR(10)&amp;"Transaction ID: "&amp;$N507&amp;CHAR(10)&amp;"Channel / LOB: "&amp;$K507&amp;" / "&amp;$L507&amp;CHAR(10)&amp;"Evaluator: "&amp;$S507&amp;CHAR(10)&amp;CHAR(10)&amp;"INVALID QUALITY AUDIT DETAILS"&amp;CHAR(10)&amp;"Validation: Invalid"&amp;CHAR(10)&amp;"Invalid Reason: "&amp;$P507&amp;CHAR(10)&amp;"Expected Resolution Code: "&amp;$Q507&amp;CHAR(10)&amp;"Remarks: "&amp;LEFT($R507,600)&amp;CHAR(10)&amp;CHAR(10)&amp;"This is an automated notification from HP Mainstream EQMS."),"✉ Open Email Draft"),"")</f>
        <v/>
      </c>
    </row>
    <row r="508">
      <c r="A508" s="25">
        <f>IF($C508="","","AUD-2026-"&amp;TEXT(ROW()-1,"000000"))</f>
        <v/>
      </c>
      <c r="B508" s="26" t="n"/>
      <c r="C508" s="27" t="n"/>
      <c r="D508" s="25">
        <f>IF($C508="","",IFERROR(IF(INDEX(Roster!$A:$A,MATCH($C508,Roster!$B:$B,0))="","",INDEX(Roster!$A:$A,MATCH($C508,Roster!$B:$B,0))&amp;""),"—"))</f>
        <v/>
      </c>
      <c r="E508" s="25">
        <f>IF($C508="","",IFERROR(IF(INDEX(Roster!$C:$C,MATCH($C508,Roster!$B:$B,0))="","",INDEX(Roster!$C:$C,MATCH($C508,Roster!$B:$B,0))&amp;""),"—"))</f>
        <v/>
      </c>
      <c r="F508" s="25">
        <f>IF($C508="","",IFERROR(IF(INDEX(Roster!$D:$D,MATCH($C508,Roster!$B:$B,0))="","",INDEX(Roster!$D:$D,MATCH($C508,Roster!$B:$B,0))&amp;""),"—"))</f>
        <v/>
      </c>
      <c r="G508" s="25">
        <f>IF($C508="","",IFERROR(IF(INDEX(Roster!$E:$E,MATCH($C508,Roster!$B:$B,0))="","",INDEX(Roster!$E:$E,MATCH($C508,Roster!$B:$B,0))&amp;""),"—"))</f>
        <v/>
      </c>
      <c r="H508" s="25">
        <f>IF($C508="","",IFERROR(IF(INDEX(Roster!$F:$F,MATCH($C508,Roster!$B:$B,0))="","",INDEX(Roster!$F:$F,MATCH($C508,Roster!$B:$B,0))&amp;""),"—"))</f>
        <v/>
      </c>
      <c r="I508" s="25">
        <f>IF($C508="","",IFERROR(IF(INDEX(Roster!$G:$G,MATCH($C508,Roster!$B:$B,0))="","",INDEX(Roster!$G:$G,MATCH($C508,Roster!$B:$B,0))&amp;""),"—"))</f>
        <v/>
      </c>
      <c r="J508" s="25">
        <f>IF($C508="","",IFERROR(IF(INDEX(Roster!$I:$I,MATCH($C508,Roster!$B:$B,0))="","",INDEX(Roster!$I:$I,MATCH($C508,Roster!$B:$B,0))&amp;""),"—"))</f>
        <v/>
      </c>
      <c r="K508">
        <f>IF($C508="","",IFERROR(IF(INDEX(Roster!$J:$J,MATCH($C508,Roster!$B:$B,0))="","",INDEX(Roster!$J:$J,MATCH($C508,Roster!$B:$B,0))&amp;""),"—"))</f>
        <v/>
      </c>
      <c r="L508">
        <f>IF($C508="","",IFERROR(IF(INDEX(Roster!$K:$K,MATCH($C508,Roster!$B:$B,0))="","",INDEX(Roster!$K:$K,MATCH($C508,Roster!$B:$B,0))&amp;""),"—"))</f>
        <v/>
      </c>
      <c r="M508" s="27" t="n"/>
      <c r="N508" s="27" t="n"/>
      <c r="O508" s="25">
        <f>IF($C508="","",IF($P508="","—",IF($P508="Valid (Pass)","Valid","Invalid")))</f>
        <v/>
      </c>
      <c r="P508" s="27" t="n"/>
      <c r="Q508" s="27" t="n"/>
      <c r="R508" s="27" t="n"/>
      <c r="S508" s="27" t="n"/>
      <c r="T508" s="25">
        <f>IF($C508="","",IF(OR(ISNUMBER(SEARCH("quick case",$P508)),ISNUMBER(SEARCH("quick case",$Q508))),"Yes","No"))</f>
        <v/>
      </c>
      <c r="U508" s="25">
        <f>IF($O508="Invalid",HYPERLINK("mailto:"&amp;$G508&amp;";"&amp;$I508&amp;"?cc="&amp;Lists!$E$2&amp;"&amp;subject="&amp;_xlfn.ENCODEURL("[INVALID] Quality audit monitoring completed for "&amp;UPPER($C508))&amp;"&amp;body="&amp;_xlfn.ENCODEURL("Hi "&amp;$F508&amp;","&amp;CHAR(10)&amp;"Good day!"&amp;CHAR(10)&amp;CHAR(10)&amp;"A quality monitoring audit has been completed for "&amp;$C508&amp;"."&amp;CHAR(10)&amp;CHAR(10)&amp;"QUALITY AUDIT DETAILS"&amp;CHAR(10)&amp;"Agent Name: "&amp;$C508&amp;" (EID "&amp;$D508&amp;")"&amp;CHAR(10)&amp;"Audit Date: "&amp;TEXT($B508,"yyyy-mm-dd")&amp;CHAR(10)&amp;"Team Leader: "&amp;$F508&amp;CHAR(10)&amp;"Case Number: "&amp;$M508&amp;CHAR(10)&amp;"Transaction ID: "&amp;$N508&amp;CHAR(10)&amp;"Channel / LOB: "&amp;$K508&amp;" / "&amp;$L508&amp;CHAR(10)&amp;"Evaluator: "&amp;$S508&amp;CHAR(10)&amp;CHAR(10)&amp;"INVALID QUALITY AUDIT DETAILS"&amp;CHAR(10)&amp;"Validation: Invalid"&amp;CHAR(10)&amp;"Invalid Reason: "&amp;$P508&amp;CHAR(10)&amp;"Expected Resolution Code: "&amp;$Q508&amp;CHAR(10)&amp;"Remarks: "&amp;LEFT($R508,600)&amp;CHAR(10)&amp;CHAR(10)&amp;"This is an automated notification from HP Mainstream EQMS."),"✉ Open Email Draft"),"")</f>
        <v/>
      </c>
    </row>
    <row r="509">
      <c r="A509" s="25">
        <f>IF($C509="","","AUD-2026-"&amp;TEXT(ROW()-1,"000000"))</f>
        <v/>
      </c>
      <c r="B509" s="26" t="n"/>
      <c r="C509" s="27" t="n"/>
      <c r="D509" s="25">
        <f>IF($C509="","",IFERROR(IF(INDEX(Roster!$A:$A,MATCH($C509,Roster!$B:$B,0))="","",INDEX(Roster!$A:$A,MATCH($C509,Roster!$B:$B,0))&amp;""),"—"))</f>
        <v/>
      </c>
      <c r="E509" s="25">
        <f>IF($C509="","",IFERROR(IF(INDEX(Roster!$C:$C,MATCH($C509,Roster!$B:$B,0))="","",INDEX(Roster!$C:$C,MATCH($C509,Roster!$B:$B,0))&amp;""),"—"))</f>
        <v/>
      </c>
      <c r="F509" s="25">
        <f>IF($C509="","",IFERROR(IF(INDEX(Roster!$D:$D,MATCH($C509,Roster!$B:$B,0))="","",INDEX(Roster!$D:$D,MATCH($C509,Roster!$B:$B,0))&amp;""),"—"))</f>
        <v/>
      </c>
      <c r="G509" s="25">
        <f>IF($C509="","",IFERROR(IF(INDEX(Roster!$E:$E,MATCH($C509,Roster!$B:$B,0))="","",INDEX(Roster!$E:$E,MATCH($C509,Roster!$B:$B,0))&amp;""),"—"))</f>
        <v/>
      </c>
      <c r="H509" s="25">
        <f>IF($C509="","",IFERROR(IF(INDEX(Roster!$F:$F,MATCH($C509,Roster!$B:$B,0))="","",INDEX(Roster!$F:$F,MATCH($C509,Roster!$B:$B,0))&amp;""),"—"))</f>
        <v/>
      </c>
      <c r="I509" s="25">
        <f>IF($C509="","",IFERROR(IF(INDEX(Roster!$G:$G,MATCH($C509,Roster!$B:$B,0))="","",INDEX(Roster!$G:$G,MATCH($C509,Roster!$B:$B,0))&amp;""),"—"))</f>
        <v/>
      </c>
      <c r="J509" s="25">
        <f>IF($C509="","",IFERROR(IF(INDEX(Roster!$I:$I,MATCH($C509,Roster!$B:$B,0))="","",INDEX(Roster!$I:$I,MATCH($C509,Roster!$B:$B,0))&amp;""),"—"))</f>
        <v/>
      </c>
      <c r="K509">
        <f>IF($C509="","",IFERROR(IF(INDEX(Roster!$J:$J,MATCH($C509,Roster!$B:$B,0))="","",INDEX(Roster!$J:$J,MATCH($C509,Roster!$B:$B,0))&amp;""),"—"))</f>
        <v/>
      </c>
      <c r="L509">
        <f>IF($C509="","",IFERROR(IF(INDEX(Roster!$K:$K,MATCH($C509,Roster!$B:$B,0))="","",INDEX(Roster!$K:$K,MATCH($C509,Roster!$B:$B,0))&amp;""),"—"))</f>
        <v/>
      </c>
      <c r="M509" s="27" t="n"/>
      <c r="N509" s="27" t="n"/>
      <c r="O509" s="25">
        <f>IF($C509="","",IF($P509="","—",IF($P509="Valid (Pass)","Valid","Invalid")))</f>
        <v/>
      </c>
      <c r="P509" s="27" t="n"/>
      <c r="Q509" s="27" t="n"/>
      <c r="R509" s="27" t="n"/>
      <c r="S509" s="27" t="n"/>
      <c r="T509" s="25">
        <f>IF($C509="","",IF(OR(ISNUMBER(SEARCH("quick case",$P509)),ISNUMBER(SEARCH("quick case",$Q509))),"Yes","No"))</f>
        <v/>
      </c>
      <c r="U509" s="25">
        <f>IF($O509="Invalid",HYPERLINK("mailto:"&amp;$G509&amp;";"&amp;$I509&amp;"?cc="&amp;Lists!$E$2&amp;"&amp;subject="&amp;_xlfn.ENCODEURL("[INVALID] Quality audit monitoring completed for "&amp;UPPER($C509))&amp;"&amp;body="&amp;_xlfn.ENCODEURL("Hi "&amp;$F509&amp;","&amp;CHAR(10)&amp;"Good day!"&amp;CHAR(10)&amp;CHAR(10)&amp;"A quality monitoring audit has been completed for "&amp;$C509&amp;"."&amp;CHAR(10)&amp;CHAR(10)&amp;"QUALITY AUDIT DETAILS"&amp;CHAR(10)&amp;"Agent Name: "&amp;$C509&amp;" (EID "&amp;$D509&amp;")"&amp;CHAR(10)&amp;"Audit Date: "&amp;TEXT($B509,"yyyy-mm-dd")&amp;CHAR(10)&amp;"Team Leader: "&amp;$F509&amp;CHAR(10)&amp;"Case Number: "&amp;$M509&amp;CHAR(10)&amp;"Transaction ID: "&amp;$N509&amp;CHAR(10)&amp;"Channel / LOB: "&amp;$K509&amp;" / "&amp;$L509&amp;CHAR(10)&amp;"Evaluator: "&amp;$S509&amp;CHAR(10)&amp;CHAR(10)&amp;"INVALID QUALITY AUDIT DETAILS"&amp;CHAR(10)&amp;"Validation: Invalid"&amp;CHAR(10)&amp;"Invalid Reason: "&amp;$P509&amp;CHAR(10)&amp;"Expected Resolution Code: "&amp;$Q509&amp;CHAR(10)&amp;"Remarks: "&amp;LEFT($R509,600)&amp;CHAR(10)&amp;CHAR(10)&amp;"This is an automated notification from HP Mainstream EQMS."),"✉ Open Email Draft"),"")</f>
        <v/>
      </c>
    </row>
    <row r="510">
      <c r="A510" s="25">
        <f>IF($C510="","","AUD-2026-"&amp;TEXT(ROW()-1,"000000"))</f>
        <v/>
      </c>
      <c r="B510" s="26" t="n"/>
      <c r="C510" s="27" t="n"/>
      <c r="D510" s="25">
        <f>IF($C510="","",IFERROR(IF(INDEX(Roster!$A:$A,MATCH($C510,Roster!$B:$B,0))="","",INDEX(Roster!$A:$A,MATCH($C510,Roster!$B:$B,0))&amp;""),"—"))</f>
        <v/>
      </c>
      <c r="E510" s="25">
        <f>IF($C510="","",IFERROR(IF(INDEX(Roster!$C:$C,MATCH($C510,Roster!$B:$B,0))="","",INDEX(Roster!$C:$C,MATCH($C510,Roster!$B:$B,0))&amp;""),"—"))</f>
        <v/>
      </c>
      <c r="F510" s="25">
        <f>IF($C510="","",IFERROR(IF(INDEX(Roster!$D:$D,MATCH($C510,Roster!$B:$B,0))="","",INDEX(Roster!$D:$D,MATCH($C510,Roster!$B:$B,0))&amp;""),"—"))</f>
        <v/>
      </c>
      <c r="G510" s="25">
        <f>IF($C510="","",IFERROR(IF(INDEX(Roster!$E:$E,MATCH($C510,Roster!$B:$B,0))="","",INDEX(Roster!$E:$E,MATCH($C510,Roster!$B:$B,0))&amp;""),"—"))</f>
        <v/>
      </c>
      <c r="H510" s="25">
        <f>IF($C510="","",IFERROR(IF(INDEX(Roster!$F:$F,MATCH($C510,Roster!$B:$B,0))="","",INDEX(Roster!$F:$F,MATCH($C510,Roster!$B:$B,0))&amp;""),"—"))</f>
        <v/>
      </c>
      <c r="I510" s="25">
        <f>IF($C510="","",IFERROR(IF(INDEX(Roster!$G:$G,MATCH($C510,Roster!$B:$B,0))="","",INDEX(Roster!$G:$G,MATCH($C510,Roster!$B:$B,0))&amp;""),"—"))</f>
        <v/>
      </c>
      <c r="J510" s="25">
        <f>IF($C510="","",IFERROR(IF(INDEX(Roster!$I:$I,MATCH($C510,Roster!$B:$B,0))="","",INDEX(Roster!$I:$I,MATCH($C510,Roster!$B:$B,0))&amp;""),"—"))</f>
        <v/>
      </c>
      <c r="K510">
        <f>IF($C510="","",IFERROR(IF(INDEX(Roster!$J:$J,MATCH($C510,Roster!$B:$B,0))="","",INDEX(Roster!$J:$J,MATCH($C510,Roster!$B:$B,0))&amp;""),"—"))</f>
        <v/>
      </c>
      <c r="L510">
        <f>IF($C510="","",IFERROR(IF(INDEX(Roster!$K:$K,MATCH($C510,Roster!$B:$B,0))="","",INDEX(Roster!$K:$K,MATCH($C510,Roster!$B:$B,0))&amp;""),"—"))</f>
        <v/>
      </c>
      <c r="M510" s="27" t="n"/>
      <c r="N510" s="27" t="n"/>
      <c r="O510" s="25">
        <f>IF($C510="","",IF($P510="","—",IF($P510="Valid (Pass)","Valid","Invalid")))</f>
        <v/>
      </c>
      <c r="P510" s="27" t="n"/>
      <c r="Q510" s="27" t="n"/>
      <c r="R510" s="27" t="n"/>
      <c r="S510" s="27" t="n"/>
      <c r="T510" s="25">
        <f>IF($C510="","",IF(OR(ISNUMBER(SEARCH("quick case",$P510)),ISNUMBER(SEARCH("quick case",$Q510))),"Yes","No"))</f>
        <v/>
      </c>
      <c r="U510" s="25">
        <f>IF($O510="Invalid",HYPERLINK("mailto:"&amp;$G510&amp;";"&amp;$I510&amp;"?cc="&amp;Lists!$E$2&amp;"&amp;subject="&amp;_xlfn.ENCODEURL("[INVALID] Quality audit monitoring completed for "&amp;UPPER($C510))&amp;"&amp;body="&amp;_xlfn.ENCODEURL("Hi "&amp;$F510&amp;","&amp;CHAR(10)&amp;"Good day!"&amp;CHAR(10)&amp;CHAR(10)&amp;"A quality monitoring audit has been completed for "&amp;$C510&amp;"."&amp;CHAR(10)&amp;CHAR(10)&amp;"QUALITY AUDIT DETAILS"&amp;CHAR(10)&amp;"Agent Name: "&amp;$C510&amp;" (EID "&amp;$D510&amp;")"&amp;CHAR(10)&amp;"Audit Date: "&amp;TEXT($B510,"yyyy-mm-dd")&amp;CHAR(10)&amp;"Team Leader: "&amp;$F510&amp;CHAR(10)&amp;"Case Number: "&amp;$M510&amp;CHAR(10)&amp;"Transaction ID: "&amp;$N510&amp;CHAR(10)&amp;"Channel / LOB: "&amp;$K510&amp;" / "&amp;$L510&amp;CHAR(10)&amp;"Evaluator: "&amp;$S510&amp;CHAR(10)&amp;CHAR(10)&amp;"INVALID QUALITY AUDIT DETAILS"&amp;CHAR(10)&amp;"Validation: Invalid"&amp;CHAR(10)&amp;"Invalid Reason: "&amp;$P510&amp;CHAR(10)&amp;"Expected Resolution Code: "&amp;$Q510&amp;CHAR(10)&amp;"Remarks: "&amp;LEFT($R510,600)&amp;CHAR(10)&amp;CHAR(10)&amp;"This is an automated notification from HP Mainstream EQMS."),"✉ Open Email Draft"),"")</f>
        <v/>
      </c>
    </row>
    <row r="511">
      <c r="A511" s="25">
        <f>IF($C511="","","AUD-2026-"&amp;TEXT(ROW()-1,"000000"))</f>
        <v/>
      </c>
      <c r="B511" s="26" t="n"/>
      <c r="C511" s="27" t="n"/>
      <c r="D511" s="25">
        <f>IF($C511="","",IFERROR(IF(INDEX(Roster!$A:$A,MATCH($C511,Roster!$B:$B,0))="","",INDEX(Roster!$A:$A,MATCH($C511,Roster!$B:$B,0))&amp;""),"—"))</f>
        <v/>
      </c>
      <c r="E511" s="25">
        <f>IF($C511="","",IFERROR(IF(INDEX(Roster!$C:$C,MATCH($C511,Roster!$B:$B,0))="","",INDEX(Roster!$C:$C,MATCH($C511,Roster!$B:$B,0))&amp;""),"—"))</f>
        <v/>
      </c>
      <c r="F511" s="25">
        <f>IF($C511="","",IFERROR(IF(INDEX(Roster!$D:$D,MATCH($C511,Roster!$B:$B,0))="","",INDEX(Roster!$D:$D,MATCH($C511,Roster!$B:$B,0))&amp;""),"—"))</f>
        <v/>
      </c>
      <c r="G511" s="25">
        <f>IF($C511="","",IFERROR(IF(INDEX(Roster!$E:$E,MATCH($C511,Roster!$B:$B,0))="","",INDEX(Roster!$E:$E,MATCH($C511,Roster!$B:$B,0))&amp;""),"—"))</f>
        <v/>
      </c>
      <c r="H511" s="25">
        <f>IF($C511="","",IFERROR(IF(INDEX(Roster!$F:$F,MATCH($C511,Roster!$B:$B,0))="","",INDEX(Roster!$F:$F,MATCH($C511,Roster!$B:$B,0))&amp;""),"—"))</f>
        <v/>
      </c>
      <c r="I511" s="25">
        <f>IF($C511="","",IFERROR(IF(INDEX(Roster!$G:$G,MATCH($C511,Roster!$B:$B,0))="","",INDEX(Roster!$G:$G,MATCH($C511,Roster!$B:$B,0))&amp;""),"—"))</f>
        <v/>
      </c>
      <c r="J511" s="25">
        <f>IF($C511="","",IFERROR(IF(INDEX(Roster!$I:$I,MATCH($C511,Roster!$B:$B,0))="","",INDEX(Roster!$I:$I,MATCH($C511,Roster!$B:$B,0))&amp;""),"—"))</f>
        <v/>
      </c>
      <c r="K511">
        <f>IF($C511="","",IFERROR(IF(INDEX(Roster!$J:$J,MATCH($C511,Roster!$B:$B,0))="","",INDEX(Roster!$J:$J,MATCH($C511,Roster!$B:$B,0))&amp;""),"—"))</f>
        <v/>
      </c>
      <c r="L511">
        <f>IF($C511="","",IFERROR(IF(INDEX(Roster!$K:$K,MATCH($C511,Roster!$B:$B,0))="","",INDEX(Roster!$K:$K,MATCH($C511,Roster!$B:$B,0))&amp;""),"—"))</f>
        <v/>
      </c>
      <c r="M511" s="27" t="n"/>
      <c r="N511" s="27" t="n"/>
      <c r="O511" s="25">
        <f>IF($C511="","",IF($P511="","—",IF($P511="Valid (Pass)","Valid","Invalid")))</f>
        <v/>
      </c>
      <c r="P511" s="27" t="n"/>
      <c r="Q511" s="27" t="n"/>
      <c r="R511" s="27" t="n"/>
      <c r="S511" s="27" t="n"/>
      <c r="T511" s="25">
        <f>IF($C511="","",IF(OR(ISNUMBER(SEARCH("quick case",$P511)),ISNUMBER(SEARCH("quick case",$Q511))),"Yes","No"))</f>
        <v/>
      </c>
      <c r="U511" s="25">
        <f>IF($O511="Invalid",HYPERLINK("mailto:"&amp;$G511&amp;";"&amp;$I511&amp;"?cc="&amp;Lists!$E$2&amp;"&amp;subject="&amp;_xlfn.ENCODEURL("[INVALID] Quality audit monitoring completed for "&amp;UPPER($C511))&amp;"&amp;body="&amp;_xlfn.ENCODEURL("Hi "&amp;$F511&amp;","&amp;CHAR(10)&amp;"Good day!"&amp;CHAR(10)&amp;CHAR(10)&amp;"A quality monitoring audit has been completed for "&amp;$C511&amp;"."&amp;CHAR(10)&amp;CHAR(10)&amp;"QUALITY AUDIT DETAILS"&amp;CHAR(10)&amp;"Agent Name: "&amp;$C511&amp;" (EID "&amp;$D511&amp;")"&amp;CHAR(10)&amp;"Audit Date: "&amp;TEXT($B511,"yyyy-mm-dd")&amp;CHAR(10)&amp;"Team Leader: "&amp;$F511&amp;CHAR(10)&amp;"Case Number: "&amp;$M511&amp;CHAR(10)&amp;"Transaction ID: "&amp;$N511&amp;CHAR(10)&amp;"Channel / LOB: "&amp;$K511&amp;" / "&amp;$L511&amp;CHAR(10)&amp;"Evaluator: "&amp;$S511&amp;CHAR(10)&amp;CHAR(10)&amp;"INVALID QUALITY AUDIT DETAILS"&amp;CHAR(10)&amp;"Validation: Invalid"&amp;CHAR(10)&amp;"Invalid Reason: "&amp;$P511&amp;CHAR(10)&amp;"Expected Resolution Code: "&amp;$Q511&amp;CHAR(10)&amp;"Remarks: "&amp;LEFT($R511,600)&amp;CHAR(10)&amp;CHAR(10)&amp;"This is an automated notification from HP Mainstream EQMS."),"✉ Open Email Draft"),"")</f>
        <v/>
      </c>
    </row>
    <row r="512">
      <c r="A512" s="25">
        <f>IF($C512="","","AUD-2026-"&amp;TEXT(ROW()-1,"000000"))</f>
        <v/>
      </c>
      <c r="B512" s="26" t="n"/>
      <c r="C512" s="27" t="n"/>
      <c r="D512" s="25">
        <f>IF($C512="","",IFERROR(IF(INDEX(Roster!$A:$A,MATCH($C512,Roster!$B:$B,0))="","",INDEX(Roster!$A:$A,MATCH($C512,Roster!$B:$B,0))&amp;""),"—"))</f>
        <v/>
      </c>
      <c r="E512" s="25">
        <f>IF($C512="","",IFERROR(IF(INDEX(Roster!$C:$C,MATCH($C512,Roster!$B:$B,0))="","",INDEX(Roster!$C:$C,MATCH($C512,Roster!$B:$B,0))&amp;""),"—"))</f>
        <v/>
      </c>
      <c r="F512" s="25">
        <f>IF($C512="","",IFERROR(IF(INDEX(Roster!$D:$D,MATCH($C512,Roster!$B:$B,0))="","",INDEX(Roster!$D:$D,MATCH($C512,Roster!$B:$B,0))&amp;""),"—"))</f>
        <v/>
      </c>
      <c r="G512" s="25">
        <f>IF($C512="","",IFERROR(IF(INDEX(Roster!$E:$E,MATCH($C512,Roster!$B:$B,0))="","",INDEX(Roster!$E:$E,MATCH($C512,Roster!$B:$B,0))&amp;""),"—"))</f>
        <v/>
      </c>
      <c r="H512" s="25">
        <f>IF($C512="","",IFERROR(IF(INDEX(Roster!$F:$F,MATCH($C512,Roster!$B:$B,0))="","",INDEX(Roster!$F:$F,MATCH($C512,Roster!$B:$B,0))&amp;""),"—"))</f>
        <v/>
      </c>
      <c r="I512" s="25">
        <f>IF($C512="","",IFERROR(IF(INDEX(Roster!$G:$G,MATCH($C512,Roster!$B:$B,0))="","",INDEX(Roster!$G:$G,MATCH($C512,Roster!$B:$B,0))&amp;""),"—"))</f>
        <v/>
      </c>
      <c r="J512" s="25">
        <f>IF($C512="","",IFERROR(IF(INDEX(Roster!$I:$I,MATCH($C512,Roster!$B:$B,0))="","",INDEX(Roster!$I:$I,MATCH($C512,Roster!$B:$B,0))&amp;""),"—"))</f>
        <v/>
      </c>
      <c r="K512">
        <f>IF($C512="","",IFERROR(IF(INDEX(Roster!$J:$J,MATCH($C512,Roster!$B:$B,0))="","",INDEX(Roster!$J:$J,MATCH($C512,Roster!$B:$B,0))&amp;""),"—"))</f>
        <v/>
      </c>
      <c r="L512">
        <f>IF($C512="","",IFERROR(IF(INDEX(Roster!$K:$K,MATCH($C512,Roster!$B:$B,0))="","",INDEX(Roster!$K:$K,MATCH($C512,Roster!$B:$B,0))&amp;""),"—"))</f>
        <v/>
      </c>
      <c r="M512" s="27" t="n"/>
      <c r="N512" s="27" t="n"/>
      <c r="O512" s="25">
        <f>IF($C512="","",IF($P512="","—",IF($P512="Valid (Pass)","Valid","Invalid")))</f>
        <v/>
      </c>
      <c r="P512" s="27" t="n"/>
      <c r="Q512" s="27" t="n"/>
      <c r="R512" s="27" t="n"/>
      <c r="S512" s="27" t="n"/>
      <c r="T512" s="25">
        <f>IF($C512="","",IF(OR(ISNUMBER(SEARCH("quick case",$P512)),ISNUMBER(SEARCH("quick case",$Q512))),"Yes","No"))</f>
        <v/>
      </c>
      <c r="U512" s="25">
        <f>IF($O512="Invalid",HYPERLINK("mailto:"&amp;$G512&amp;";"&amp;$I512&amp;"?cc="&amp;Lists!$E$2&amp;"&amp;subject="&amp;_xlfn.ENCODEURL("[INVALID] Quality audit monitoring completed for "&amp;UPPER($C512))&amp;"&amp;body="&amp;_xlfn.ENCODEURL("Hi "&amp;$F512&amp;","&amp;CHAR(10)&amp;"Good day!"&amp;CHAR(10)&amp;CHAR(10)&amp;"A quality monitoring audit has been completed for "&amp;$C512&amp;"."&amp;CHAR(10)&amp;CHAR(10)&amp;"QUALITY AUDIT DETAILS"&amp;CHAR(10)&amp;"Agent Name: "&amp;$C512&amp;" (EID "&amp;$D512&amp;")"&amp;CHAR(10)&amp;"Audit Date: "&amp;TEXT($B512,"yyyy-mm-dd")&amp;CHAR(10)&amp;"Team Leader: "&amp;$F512&amp;CHAR(10)&amp;"Case Number: "&amp;$M512&amp;CHAR(10)&amp;"Transaction ID: "&amp;$N512&amp;CHAR(10)&amp;"Channel / LOB: "&amp;$K512&amp;" / "&amp;$L512&amp;CHAR(10)&amp;"Evaluator: "&amp;$S512&amp;CHAR(10)&amp;CHAR(10)&amp;"INVALID QUALITY AUDIT DETAILS"&amp;CHAR(10)&amp;"Validation: Invalid"&amp;CHAR(10)&amp;"Invalid Reason: "&amp;$P512&amp;CHAR(10)&amp;"Expected Resolution Code: "&amp;$Q512&amp;CHAR(10)&amp;"Remarks: "&amp;LEFT($R512,600)&amp;CHAR(10)&amp;CHAR(10)&amp;"This is an automated notification from HP Mainstream EQMS."),"✉ Open Email Draft"),"")</f>
        <v/>
      </c>
    </row>
    <row r="513">
      <c r="A513" s="25">
        <f>IF($C513="","","AUD-2026-"&amp;TEXT(ROW()-1,"000000"))</f>
        <v/>
      </c>
      <c r="B513" s="26" t="n"/>
      <c r="C513" s="27" t="n"/>
      <c r="D513" s="25">
        <f>IF($C513="","",IFERROR(IF(INDEX(Roster!$A:$A,MATCH($C513,Roster!$B:$B,0))="","",INDEX(Roster!$A:$A,MATCH($C513,Roster!$B:$B,0))&amp;""),"—"))</f>
        <v/>
      </c>
      <c r="E513" s="25">
        <f>IF($C513="","",IFERROR(IF(INDEX(Roster!$C:$C,MATCH($C513,Roster!$B:$B,0))="","",INDEX(Roster!$C:$C,MATCH($C513,Roster!$B:$B,0))&amp;""),"—"))</f>
        <v/>
      </c>
      <c r="F513" s="25">
        <f>IF($C513="","",IFERROR(IF(INDEX(Roster!$D:$D,MATCH($C513,Roster!$B:$B,0))="","",INDEX(Roster!$D:$D,MATCH($C513,Roster!$B:$B,0))&amp;""),"—"))</f>
        <v/>
      </c>
      <c r="G513" s="25">
        <f>IF($C513="","",IFERROR(IF(INDEX(Roster!$E:$E,MATCH($C513,Roster!$B:$B,0))="","",INDEX(Roster!$E:$E,MATCH($C513,Roster!$B:$B,0))&amp;""),"—"))</f>
        <v/>
      </c>
      <c r="H513" s="25">
        <f>IF($C513="","",IFERROR(IF(INDEX(Roster!$F:$F,MATCH($C513,Roster!$B:$B,0))="","",INDEX(Roster!$F:$F,MATCH($C513,Roster!$B:$B,0))&amp;""),"—"))</f>
        <v/>
      </c>
      <c r="I513" s="25">
        <f>IF($C513="","",IFERROR(IF(INDEX(Roster!$G:$G,MATCH($C513,Roster!$B:$B,0))="","",INDEX(Roster!$G:$G,MATCH($C513,Roster!$B:$B,0))&amp;""),"—"))</f>
        <v/>
      </c>
      <c r="J513" s="25">
        <f>IF($C513="","",IFERROR(IF(INDEX(Roster!$I:$I,MATCH($C513,Roster!$B:$B,0))="","",INDEX(Roster!$I:$I,MATCH($C513,Roster!$B:$B,0))&amp;""),"—"))</f>
        <v/>
      </c>
      <c r="K513">
        <f>IF($C513="","",IFERROR(IF(INDEX(Roster!$J:$J,MATCH($C513,Roster!$B:$B,0))="","",INDEX(Roster!$J:$J,MATCH($C513,Roster!$B:$B,0))&amp;""),"—"))</f>
        <v/>
      </c>
      <c r="L513">
        <f>IF($C513="","",IFERROR(IF(INDEX(Roster!$K:$K,MATCH($C513,Roster!$B:$B,0))="","",INDEX(Roster!$K:$K,MATCH($C513,Roster!$B:$B,0))&amp;""),"—"))</f>
        <v/>
      </c>
      <c r="M513" s="27" t="n"/>
      <c r="N513" s="27" t="n"/>
      <c r="O513" s="25">
        <f>IF($C513="","",IF($P513="","—",IF($P513="Valid (Pass)","Valid","Invalid")))</f>
        <v/>
      </c>
      <c r="P513" s="27" t="n"/>
      <c r="Q513" s="27" t="n"/>
      <c r="R513" s="27" t="n"/>
      <c r="S513" s="27" t="n"/>
      <c r="T513" s="25">
        <f>IF($C513="","",IF(OR(ISNUMBER(SEARCH("quick case",$P513)),ISNUMBER(SEARCH("quick case",$Q513))),"Yes","No"))</f>
        <v/>
      </c>
      <c r="U513" s="25">
        <f>IF($O513="Invalid",HYPERLINK("mailto:"&amp;$G513&amp;";"&amp;$I513&amp;"?cc="&amp;Lists!$E$2&amp;"&amp;subject="&amp;_xlfn.ENCODEURL("[INVALID] Quality audit monitoring completed for "&amp;UPPER($C513))&amp;"&amp;body="&amp;_xlfn.ENCODEURL("Hi "&amp;$F513&amp;","&amp;CHAR(10)&amp;"Good day!"&amp;CHAR(10)&amp;CHAR(10)&amp;"A quality monitoring audit has been completed for "&amp;$C513&amp;"."&amp;CHAR(10)&amp;CHAR(10)&amp;"QUALITY AUDIT DETAILS"&amp;CHAR(10)&amp;"Agent Name: "&amp;$C513&amp;" (EID "&amp;$D513&amp;")"&amp;CHAR(10)&amp;"Audit Date: "&amp;TEXT($B513,"yyyy-mm-dd")&amp;CHAR(10)&amp;"Team Leader: "&amp;$F513&amp;CHAR(10)&amp;"Case Number: "&amp;$M513&amp;CHAR(10)&amp;"Transaction ID: "&amp;$N513&amp;CHAR(10)&amp;"Channel / LOB: "&amp;$K513&amp;" / "&amp;$L513&amp;CHAR(10)&amp;"Evaluator: "&amp;$S513&amp;CHAR(10)&amp;CHAR(10)&amp;"INVALID QUALITY AUDIT DETAILS"&amp;CHAR(10)&amp;"Validation: Invalid"&amp;CHAR(10)&amp;"Invalid Reason: "&amp;$P513&amp;CHAR(10)&amp;"Expected Resolution Code: "&amp;$Q513&amp;CHAR(10)&amp;"Remarks: "&amp;LEFT($R513,600)&amp;CHAR(10)&amp;CHAR(10)&amp;"This is an automated notification from HP Mainstream EQMS."),"✉ Open Email Draft"),"")</f>
        <v/>
      </c>
    </row>
    <row r="514">
      <c r="A514" s="25">
        <f>IF($C514="","","AUD-2026-"&amp;TEXT(ROW()-1,"000000"))</f>
        <v/>
      </c>
      <c r="B514" s="26" t="n"/>
      <c r="C514" s="27" t="n"/>
      <c r="D514" s="25">
        <f>IF($C514="","",IFERROR(IF(INDEX(Roster!$A:$A,MATCH($C514,Roster!$B:$B,0))="","",INDEX(Roster!$A:$A,MATCH($C514,Roster!$B:$B,0))&amp;""),"—"))</f>
        <v/>
      </c>
      <c r="E514" s="25">
        <f>IF($C514="","",IFERROR(IF(INDEX(Roster!$C:$C,MATCH($C514,Roster!$B:$B,0))="","",INDEX(Roster!$C:$C,MATCH($C514,Roster!$B:$B,0))&amp;""),"—"))</f>
        <v/>
      </c>
      <c r="F514" s="25">
        <f>IF($C514="","",IFERROR(IF(INDEX(Roster!$D:$D,MATCH($C514,Roster!$B:$B,0))="","",INDEX(Roster!$D:$D,MATCH($C514,Roster!$B:$B,0))&amp;""),"—"))</f>
        <v/>
      </c>
      <c r="G514" s="25">
        <f>IF($C514="","",IFERROR(IF(INDEX(Roster!$E:$E,MATCH($C514,Roster!$B:$B,0))="","",INDEX(Roster!$E:$E,MATCH($C514,Roster!$B:$B,0))&amp;""),"—"))</f>
        <v/>
      </c>
      <c r="H514" s="25">
        <f>IF($C514="","",IFERROR(IF(INDEX(Roster!$F:$F,MATCH($C514,Roster!$B:$B,0))="","",INDEX(Roster!$F:$F,MATCH($C514,Roster!$B:$B,0))&amp;""),"—"))</f>
        <v/>
      </c>
      <c r="I514" s="25">
        <f>IF($C514="","",IFERROR(IF(INDEX(Roster!$G:$G,MATCH($C514,Roster!$B:$B,0))="","",INDEX(Roster!$G:$G,MATCH($C514,Roster!$B:$B,0))&amp;""),"—"))</f>
        <v/>
      </c>
      <c r="J514" s="25">
        <f>IF($C514="","",IFERROR(IF(INDEX(Roster!$I:$I,MATCH($C514,Roster!$B:$B,0))="","",INDEX(Roster!$I:$I,MATCH($C514,Roster!$B:$B,0))&amp;""),"—"))</f>
        <v/>
      </c>
      <c r="K514">
        <f>IF($C514="","",IFERROR(IF(INDEX(Roster!$J:$J,MATCH($C514,Roster!$B:$B,0))="","",INDEX(Roster!$J:$J,MATCH($C514,Roster!$B:$B,0))&amp;""),"—"))</f>
        <v/>
      </c>
      <c r="L514">
        <f>IF($C514="","",IFERROR(IF(INDEX(Roster!$K:$K,MATCH($C514,Roster!$B:$B,0))="","",INDEX(Roster!$K:$K,MATCH($C514,Roster!$B:$B,0))&amp;""),"—"))</f>
        <v/>
      </c>
      <c r="M514" s="27" t="n"/>
      <c r="N514" s="27" t="n"/>
      <c r="O514" s="25">
        <f>IF($C514="","",IF($P514="","—",IF($P514="Valid (Pass)","Valid","Invalid")))</f>
        <v/>
      </c>
      <c r="P514" s="27" t="n"/>
      <c r="Q514" s="27" t="n"/>
      <c r="R514" s="27" t="n"/>
      <c r="S514" s="27" t="n"/>
      <c r="T514" s="25">
        <f>IF($C514="","",IF(OR(ISNUMBER(SEARCH("quick case",$P514)),ISNUMBER(SEARCH("quick case",$Q514))),"Yes","No"))</f>
        <v/>
      </c>
      <c r="U514" s="25">
        <f>IF($O514="Invalid",HYPERLINK("mailto:"&amp;$G514&amp;";"&amp;$I514&amp;"?cc="&amp;Lists!$E$2&amp;"&amp;subject="&amp;_xlfn.ENCODEURL("[INVALID] Quality audit monitoring completed for "&amp;UPPER($C514))&amp;"&amp;body="&amp;_xlfn.ENCODEURL("Hi "&amp;$F514&amp;","&amp;CHAR(10)&amp;"Good day!"&amp;CHAR(10)&amp;CHAR(10)&amp;"A quality monitoring audit has been completed for "&amp;$C514&amp;"."&amp;CHAR(10)&amp;CHAR(10)&amp;"QUALITY AUDIT DETAILS"&amp;CHAR(10)&amp;"Agent Name: "&amp;$C514&amp;" (EID "&amp;$D514&amp;")"&amp;CHAR(10)&amp;"Audit Date: "&amp;TEXT($B514,"yyyy-mm-dd")&amp;CHAR(10)&amp;"Team Leader: "&amp;$F514&amp;CHAR(10)&amp;"Case Number: "&amp;$M514&amp;CHAR(10)&amp;"Transaction ID: "&amp;$N514&amp;CHAR(10)&amp;"Channel / LOB: "&amp;$K514&amp;" / "&amp;$L514&amp;CHAR(10)&amp;"Evaluator: "&amp;$S514&amp;CHAR(10)&amp;CHAR(10)&amp;"INVALID QUALITY AUDIT DETAILS"&amp;CHAR(10)&amp;"Validation: Invalid"&amp;CHAR(10)&amp;"Invalid Reason: "&amp;$P514&amp;CHAR(10)&amp;"Expected Resolution Code: "&amp;$Q514&amp;CHAR(10)&amp;"Remarks: "&amp;LEFT($R514,600)&amp;CHAR(10)&amp;CHAR(10)&amp;"This is an automated notification from HP Mainstream EQMS."),"✉ Open Email Draft"),"")</f>
        <v/>
      </c>
    </row>
    <row r="515">
      <c r="A515" s="25">
        <f>IF($C515="","","AUD-2026-"&amp;TEXT(ROW()-1,"000000"))</f>
        <v/>
      </c>
      <c r="B515" s="26" t="n"/>
      <c r="C515" s="27" t="n"/>
      <c r="D515" s="25">
        <f>IF($C515="","",IFERROR(IF(INDEX(Roster!$A:$A,MATCH($C515,Roster!$B:$B,0))="","",INDEX(Roster!$A:$A,MATCH($C515,Roster!$B:$B,0))&amp;""),"—"))</f>
        <v/>
      </c>
      <c r="E515" s="25">
        <f>IF($C515="","",IFERROR(IF(INDEX(Roster!$C:$C,MATCH($C515,Roster!$B:$B,0))="","",INDEX(Roster!$C:$C,MATCH($C515,Roster!$B:$B,0))&amp;""),"—"))</f>
        <v/>
      </c>
      <c r="F515" s="25">
        <f>IF($C515="","",IFERROR(IF(INDEX(Roster!$D:$D,MATCH($C515,Roster!$B:$B,0))="","",INDEX(Roster!$D:$D,MATCH($C515,Roster!$B:$B,0))&amp;""),"—"))</f>
        <v/>
      </c>
      <c r="G515" s="25">
        <f>IF($C515="","",IFERROR(IF(INDEX(Roster!$E:$E,MATCH($C515,Roster!$B:$B,0))="","",INDEX(Roster!$E:$E,MATCH($C515,Roster!$B:$B,0))&amp;""),"—"))</f>
        <v/>
      </c>
      <c r="H515" s="25">
        <f>IF($C515="","",IFERROR(IF(INDEX(Roster!$F:$F,MATCH($C515,Roster!$B:$B,0))="","",INDEX(Roster!$F:$F,MATCH($C515,Roster!$B:$B,0))&amp;""),"—"))</f>
        <v/>
      </c>
      <c r="I515" s="25">
        <f>IF($C515="","",IFERROR(IF(INDEX(Roster!$G:$G,MATCH($C515,Roster!$B:$B,0))="","",INDEX(Roster!$G:$G,MATCH($C515,Roster!$B:$B,0))&amp;""),"—"))</f>
        <v/>
      </c>
      <c r="J515" s="25">
        <f>IF($C515="","",IFERROR(IF(INDEX(Roster!$I:$I,MATCH($C515,Roster!$B:$B,0))="","",INDEX(Roster!$I:$I,MATCH($C515,Roster!$B:$B,0))&amp;""),"—"))</f>
        <v/>
      </c>
      <c r="K515">
        <f>IF($C515="","",IFERROR(IF(INDEX(Roster!$J:$J,MATCH($C515,Roster!$B:$B,0))="","",INDEX(Roster!$J:$J,MATCH($C515,Roster!$B:$B,0))&amp;""),"—"))</f>
        <v/>
      </c>
      <c r="L515">
        <f>IF($C515="","",IFERROR(IF(INDEX(Roster!$K:$K,MATCH($C515,Roster!$B:$B,0))="","",INDEX(Roster!$K:$K,MATCH($C515,Roster!$B:$B,0))&amp;""),"—"))</f>
        <v/>
      </c>
      <c r="M515" s="27" t="n"/>
      <c r="N515" s="27" t="n"/>
      <c r="O515" s="25">
        <f>IF($C515="","",IF($P515="","—",IF($P515="Valid (Pass)","Valid","Invalid")))</f>
        <v/>
      </c>
      <c r="P515" s="27" t="n"/>
      <c r="Q515" s="27" t="n"/>
      <c r="R515" s="27" t="n"/>
      <c r="S515" s="27" t="n"/>
      <c r="T515" s="25">
        <f>IF($C515="","",IF(OR(ISNUMBER(SEARCH("quick case",$P515)),ISNUMBER(SEARCH("quick case",$Q515))),"Yes","No"))</f>
        <v/>
      </c>
      <c r="U515" s="25">
        <f>IF($O515="Invalid",HYPERLINK("mailto:"&amp;$G515&amp;";"&amp;$I515&amp;"?cc="&amp;Lists!$E$2&amp;"&amp;subject="&amp;_xlfn.ENCODEURL("[INVALID] Quality audit monitoring completed for "&amp;UPPER($C515))&amp;"&amp;body="&amp;_xlfn.ENCODEURL("Hi "&amp;$F515&amp;","&amp;CHAR(10)&amp;"Good day!"&amp;CHAR(10)&amp;CHAR(10)&amp;"A quality monitoring audit has been completed for "&amp;$C515&amp;"."&amp;CHAR(10)&amp;CHAR(10)&amp;"QUALITY AUDIT DETAILS"&amp;CHAR(10)&amp;"Agent Name: "&amp;$C515&amp;" (EID "&amp;$D515&amp;")"&amp;CHAR(10)&amp;"Audit Date: "&amp;TEXT($B515,"yyyy-mm-dd")&amp;CHAR(10)&amp;"Team Leader: "&amp;$F515&amp;CHAR(10)&amp;"Case Number: "&amp;$M515&amp;CHAR(10)&amp;"Transaction ID: "&amp;$N515&amp;CHAR(10)&amp;"Channel / LOB: "&amp;$K515&amp;" / "&amp;$L515&amp;CHAR(10)&amp;"Evaluator: "&amp;$S515&amp;CHAR(10)&amp;CHAR(10)&amp;"INVALID QUALITY AUDIT DETAILS"&amp;CHAR(10)&amp;"Validation: Invalid"&amp;CHAR(10)&amp;"Invalid Reason: "&amp;$P515&amp;CHAR(10)&amp;"Expected Resolution Code: "&amp;$Q515&amp;CHAR(10)&amp;"Remarks: "&amp;LEFT($R515,600)&amp;CHAR(10)&amp;CHAR(10)&amp;"This is an automated notification from HP Mainstream EQMS."),"✉ Open Email Draft"),"")</f>
        <v/>
      </c>
    </row>
    <row r="516">
      <c r="A516" s="25">
        <f>IF($C516="","","AUD-2026-"&amp;TEXT(ROW()-1,"000000"))</f>
        <v/>
      </c>
      <c r="B516" s="26" t="n"/>
      <c r="C516" s="27" t="n"/>
      <c r="D516" s="25">
        <f>IF($C516="","",IFERROR(IF(INDEX(Roster!$A:$A,MATCH($C516,Roster!$B:$B,0))="","",INDEX(Roster!$A:$A,MATCH($C516,Roster!$B:$B,0))&amp;""),"—"))</f>
        <v/>
      </c>
      <c r="E516" s="25">
        <f>IF($C516="","",IFERROR(IF(INDEX(Roster!$C:$C,MATCH($C516,Roster!$B:$B,0))="","",INDEX(Roster!$C:$C,MATCH($C516,Roster!$B:$B,0))&amp;""),"—"))</f>
        <v/>
      </c>
      <c r="F516" s="25">
        <f>IF($C516="","",IFERROR(IF(INDEX(Roster!$D:$D,MATCH($C516,Roster!$B:$B,0))="","",INDEX(Roster!$D:$D,MATCH($C516,Roster!$B:$B,0))&amp;""),"—"))</f>
        <v/>
      </c>
      <c r="G516" s="25">
        <f>IF($C516="","",IFERROR(IF(INDEX(Roster!$E:$E,MATCH($C516,Roster!$B:$B,0))="","",INDEX(Roster!$E:$E,MATCH($C516,Roster!$B:$B,0))&amp;""),"—"))</f>
        <v/>
      </c>
      <c r="H516" s="25">
        <f>IF($C516="","",IFERROR(IF(INDEX(Roster!$F:$F,MATCH($C516,Roster!$B:$B,0))="","",INDEX(Roster!$F:$F,MATCH($C516,Roster!$B:$B,0))&amp;""),"—"))</f>
        <v/>
      </c>
      <c r="I516" s="25">
        <f>IF($C516="","",IFERROR(IF(INDEX(Roster!$G:$G,MATCH($C516,Roster!$B:$B,0))="","",INDEX(Roster!$G:$G,MATCH($C516,Roster!$B:$B,0))&amp;""),"—"))</f>
        <v/>
      </c>
      <c r="J516" s="25">
        <f>IF($C516="","",IFERROR(IF(INDEX(Roster!$I:$I,MATCH($C516,Roster!$B:$B,0))="","",INDEX(Roster!$I:$I,MATCH($C516,Roster!$B:$B,0))&amp;""),"—"))</f>
        <v/>
      </c>
      <c r="K516">
        <f>IF($C516="","",IFERROR(IF(INDEX(Roster!$J:$J,MATCH($C516,Roster!$B:$B,0))="","",INDEX(Roster!$J:$J,MATCH($C516,Roster!$B:$B,0))&amp;""),"—"))</f>
        <v/>
      </c>
      <c r="L516">
        <f>IF($C516="","",IFERROR(IF(INDEX(Roster!$K:$K,MATCH($C516,Roster!$B:$B,0))="","",INDEX(Roster!$K:$K,MATCH($C516,Roster!$B:$B,0))&amp;""),"—"))</f>
        <v/>
      </c>
      <c r="M516" s="27" t="n"/>
      <c r="N516" s="27" t="n"/>
      <c r="O516" s="25">
        <f>IF($C516="","",IF($P516="","—",IF($P516="Valid (Pass)","Valid","Invalid")))</f>
        <v/>
      </c>
      <c r="P516" s="27" t="n"/>
      <c r="Q516" s="27" t="n"/>
      <c r="R516" s="27" t="n"/>
      <c r="S516" s="27" t="n"/>
      <c r="T516" s="25">
        <f>IF($C516="","",IF(OR(ISNUMBER(SEARCH("quick case",$P516)),ISNUMBER(SEARCH("quick case",$Q516))),"Yes","No"))</f>
        <v/>
      </c>
      <c r="U516" s="25">
        <f>IF($O516="Invalid",HYPERLINK("mailto:"&amp;$G516&amp;";"&amp;$I516&amp;"?cc="&amp;Lists!$E$2&amp;"&amp;subject="&amp;_xlfn.ENCODEURL("[INVALID] Quality audit monitoring completed for "&amp;UPPER($C516))&amp;"&amp;body="&amp;_xlfn.ENCODEURL("Hi "&amp;$F516&amp;","&amp;CHAR(10)&amp;"Good day!"&amp;CHAR(10)&amp;CHAR(10)&amp;"A quality monitoring audit has been completed for "&amp;$C516&amp;"."&amp;CHAR(10)&amp;CHAR(10)&amp;"QUALITY AUDIT DETAILS"&amp;CHAR(10)&amp;"Agent Name: "&amp;$C516&amp;" (EID "&amp;$D516&amp;")"&amp;CHAR(10)&amp;"Audit Date: "&amp;TEXT($B516,"yyyy-mm-dd")&amp;CHAR(10)&amp;"Team Leader: "&amp;$F516&amp;CHAR(10)&amp;"Case Number: "&amp;$M516&amp;CHAR(10)&amp;"Transaction ID: "&amp;$N516&amp;CHAR(10)&amp;"Channel / LOB: "&amp;$K516&amp;" / "&amp;$L516&amp;CHAR(10)&amp;"Evaluator: "&amp;$S516&amp;CHAR(10)&amp;CHAR(10)&amp;"INVALID QUALITY AUDIT DETAILS"&amp;CHAR(10)&amp;"Validation: Invalid"&amp;CHAR(10)&amp;"Invalid Reason: "&amp;$P516&amp;CHAR(10)&amp;"Expected Resolution Code: "&amp;$Q516&amp;CHAR(10)&amp;"Remarks: "&amp;LEFT($R516,600)&amp;CHAR(10)&amp;CHAR(10)&amp;"This is an automated notification from HP Mainstream EQMS."),"✉ Open Email Draft"),"")</f>
        <v/>
      </c>
    </row>
    <row r="517">
      <c r="A517" s="25">
        <f>IF($C517="","","AUD-2026-"&amp;TEXT(ROW()-1,"000000"))</f>
        <v/>
      </c>
      <c r="B517" s="26" t="n"/>
      <c r="C517" s="27" t="n"/>
      <c r="D517" s="25">
        <f>IF($C517="","",IFERROR(IF(INDEX(Roster!$A:$A,MATCH($C517,Roster!$B:$B,0))="","",INDEX(Roster!$A:$A,MATCH($C517,Roster!$B:$B,0))&amp;""),"—"))</f>
        <v/>
      </c>
      <c r="E517" s="25">
        <f>IF($C517="","",IFERROR(IF(INDEX(Roster!$C:$C,MATCH($C517,Roster!$B:$B,0))="","",INDEX(Roster!$C:$C,MATCH($C517,Roster!$B:$B,0))&amp;""),"—"))</f>
        <v/>
      </c>
      <c r="F517" s="25">
        <f>IF($C517="","",IFERROR(IF(INDEX(Roster!$D:$D,MATCH($C517,Roster!$B:$B,0))="","",INDEX(Roster!$D:$D,MATCH($C517,Roster!$B:$B,0))&amp;""),"—"))</f>
        <v/>
      </c>
      <c r="G517" s="25">
        <f>IF($C517="","",IFERROR(IF(INDEX(Roster!$E:$E,MATCH($C517,Roster!$B:$B,0))="","",INDEX(Roster!$E:$E,MATCH($C517,Roster!$B:$B,0))&amp;""),"—"))</f>
        <v/>
      </c>
      <c r="H517" s="25">
        <f>IF($C517="","",IFERROR(IF(INDEX(Roster!$F:$F,MATCH($C517,Roster!$B:$B,0))="","",INDEX(Roster!$F:$F,MATCH($C517,Roster!$B:$B,0))&amp;""),"—"))</f>
        <v/>
      </c>
      <c r="I517" s="25">
        <f>IF($C517="","",IFERROR(IF(INDEX(Roster!$G:$G,MATCH($C517,Roster!$B:$B,0))="","",INDEX(Roster!$G:$G,MATCH($C517,Roster!$B:$B,0))&amp;""),"—"))</f>
        <v/>
      </c>
      <c r="J517" s="25">
        <f>IF($C517="","",IFERROR(IF(INDEX(Roster!$I:$I,MATCH($C517,Roster!$B:$B,0))="","",INDEX(Roster!$I:$I,MATCH($C517,Roster!$B:$B,0))&amp;""),"—"))</f>
        <v/>
      </c>
      <c r="K517">
        <f>IF($C517="","",IFERROR(IF(INDEX(Roster!$J:$J,MATCH($C517,Roster!$B:$B,0))="","",INDEX(Roster!$J:$J,MATCH($C517,Roster!$B:$B,0))&amp;""),"—"))</f>
        <v/>
      </c>
      <c r="L517">
        <f>IF($C517="","",IFERROR(IF(INDEX(Roster!$K:$K,MATCH($C517,Roster!$B:$B,0))="","",INDEX(Roster!$K:$K,MATCH($C517,Roster!$B:$B,0))&amp;""),"—"))</f>
        <v/>
      </c>
      <c r="M517" s="27" t="n"/>
      <c r="N517" s="27" t="n"/>
      <c r="O517" s="25">
        <f>IF($C517="","",IF($P517="","—",IF($P517="Valid (Pass)","Valid","Invalid")))</f>
        <v/>
      </c>
      <c r="P517" s="27" t="n"/>
      <c r="Q517" s="27" t="n"/>
      <c r="R517" s="27" t="n"/>
      <c r="S517" s="27" t="n"/>
      <c r="T517" s="25">
        <f>IF($C517="","",IF(OR(ISNUMBER(SEARCH("quick case",$P517)),ISNUMBER(SEARCH("quick case",$Q517))),"Yes","No"))</f>
        <v/>
      </c>
      <c r="U517" s="25">
        <f>IF($O517="Invalid",HYPERLINK("mailto:"&amp;$G517&amp;";"&amp;$I517&amp;"?cc="&amp;Lists!$E$2&amp;"&amp;subject="&amp;_xlfn.ENCODEURL("[INVALID] Quality audit monitoring completed for "&amp;UPPER($C517))&amp;"&amp;body="&amp;_xlfn.ENCODEURL("Hi "&amp;$F517&amp;","&amp;CHAR(10)&amp;"Good day!"&amp;CHAR(10)&amp;CHAR(10)&amp;"A quality monitoring audit has been completed for "&amp;$C517&amp;"."&amp;CHAR(10)&amp;CHAR(10)&amp;"QUALITY AUDIT DETAILS"&amp;CHAR(10)&amp;"Agent Name: "&amp;$C517&amp;" (EID "&amp;$D517&amp;")"&amp;CHAR(10)&amp;"Audit Date: "&amp;TEXT($B517,"yyyy-mm-dd")&amp;CHAR(10)&amp;"Team Leader: "&amp;$F517&amp;CHAR(10)&amp;"Case Number: "&amp;$M517&amp;CHAR(10)&amp;"Transaction ID: "&amp;$N517&amp;CHAR(10)&amp;"Channel / LOB: "&amp;$K517&amp;" / "&amp;$L517&amp;CHAR(10)&amp;"Evaluator: "&amp;$S517&amp;CHAR(10)&amp;CHAR(10)&amp;"INVALID QUALITY AUDIT DETAILS"&amp;CHAR(10)&amp;"Validation: Invalid"&amp;CHAR(10)&amp;"Invalid Reason: "&amp;$P517&amp;CHAR(10)&amp;"Expected Resolution Code: "&amp;$Q517&amp;CHAR(10)&amp;"Remarks: "&amp;LEFT($R517,600)&amp;CHAR(10)&amp;CHAR(10)&amp;"This is an automated notification from HP Mainstream EQMS."),"✉ Open Email Draft"),"")</f>
        <v/>
      </c>
    </row>
    <row r="518">
      <c r="A518" s="25">
        <f>IF($C518="","","AUD-2026-"&amp;TEXT(ROW()-1,"000000"))</f>
        <v/>
      </c>
      <c r="B518" s="26" t="n"/>
      <c r="C518" s="27" t="n"/>
      <c r="D518" s="25">
        <f>IF($C518="","",IFERROR(IF(INDEX(Roster!$A:$A,MATCH($C518,Roster!$B:$B,0))="","",INDEX(Roster!$A:$A,MATCH($C518,Roster!$B:$B,0))&amp;""),"—"))</f>
        <v/>
      </c>
      <c r="E518" s="25">
        <f>IF($C518="","",IFERROR(IF(INDEX(Roster!$C:$C,MATCH($C518,Roster!$B:$B,0))="","",INDEX(Roster!$C:$C,MATCH($C518,Roster!$B:$B,0))&amp;""),"—"))</f>
        <v/>
      </c>
      <c r="F518" s="25">
        <f>IF($C518="","",IFERROR(IF(INDEX(Roster!$D:$D,MATCH($C518,Roster!$B:$B,0))="","",INDEX(Roster!$D:$D,MATCH($C518,Roster!$B:$B,0))&amp;""),"—"))</f>
        <v/>
      </c>
      <c r="G518" s="25">
        <f>IF($C518="","",IFERROR(IF(INDEX(Roster!$E:$E,MATCH($C518,Roster!$B:$B,0))="","",INDEX(Roster!$E:$E,MATCH($C518,Roster!$B:$B,0))&amp;""),"—"))</f>
        <v/>
      </c>
      <c r="H518" s="25">
        <f>IF($C518="","",IFERROR(IF(INDEX(Roster!$F:$F,MATCH($C518,Roster!$B:$B,0))="","",INDEX(Roster!$F:$F,MATCH($C518,Roster!$B:$B,0))&amp;""),"—"))</f>
        <v/>
      </c>
      <c r="I518" s="25">
        <f>IF($C518="","",IFERROR(IF(INDEX(Roster!$G:$G,MATCH($C518,Roster!$B:$B,0))="","",INDEX(Roster!$G:$G,MATCH($C518,Roster!$B:$B,0))&amp;""),"—"))</f>
        <v/>
      </c>
      <c r="J518" s="25">
        <f>IF($C518="","",IFERROR(IF(INDEX(Roster!$I:$I,MATCH($C518,Roster!$B:$B,0))="","",INDEX(Roster!$I:$I,MATCH($C518,Roster!$B:$B,0))&amp;""),"—"))</f>
        <v/>
      </c>
      <c r="K518">
        <f>IF($C518="","",IFERROR(IF(INDEX(Roster!$J:$J,MATCH($C518,Roster!$B:$B,0))="","",INDEX(Roster!$J:$J,MATCH($C518,Roster!$B:$B,0))&amp;""),"—"))</f>
        <v/>
      </c>
      <c r="L518">
        <f>IF($C518="","",IFERROR(IF(INDEX(Roster!$K:$K,MATCH($C518,Roster!$B:$B,0))="","",INDEX(Roster!$K:$K,MATCH($C518,Roster!$B:$B,0))&amp;""),"—"))</f>
        <v/>
      </c>
      <c r="M518" s="27" t="n"/>
      <c r="N518" s="27" t="n"/>
      <c r="O518" s="25">
        <f>IF($C518="","",IF($P518="","—",IF($P518="Valid (Pass)","Valid","Invalid")))</f>
        <v/>
      </c>
      <c r="P518" s="27" t="n"/>
      <c r="Q518" s="27" t="n"/>
      <c r="R518" s="27" t="n"/>
      <c r="S518" s="27" t="n"/>
      <c r="T518" s="25">
        <f>IF($C518="","",IF(OR(ISNUMBER(SEARCH("quick case",$P518)),ISNUMBER(SEARCH("quick case",$Q518))),"Yes","No"))</f>
        <v/>
      </c>
      <c r="U518" s="25">
        <f>IF($O518="Invalid",HYPERLINK("mailto:"&amp;$G518&amp;";"&amp;$I518&amp;"?cc="&amp;Lists!$E$2&amp;"&amp;subject="&amp;_xlfn.ENCODEURL("[INVALID] Quality audit monitoring completed for "&amp;UPPER($C518))&amp;"&amp;body="&amp;_xlfn.ENCODEURL("Hi "&amp;$F518&amp;","&amp;CHAR(10)&amp;"Good day!"&amp;CHAR(10)&amp;CHAR(10)&amp;"A quality monitoring audit has been completed for "&amp;$C518&amp;"."&amp;CHAR(10)&amp;CHAR(10)&amp;"QUALITY AUDIT DETAILS"&amp;CHAR(10)&amp;"Agent Name: "&amp;$C518&amp;" (EID "&amp;$D518&amp;")"&amp;CHAR(10)&amp;"Audit Date: "&amp;TEXT($B518,"yyyy-mm-dd")&amp;CHAR(10)&amp;"Team Leader: "&amp;$F518&amp;CHAR(10)&amp;"Case Number: "&amp;$M518&amp;CHAR(10)&amp;"Transaction ID: "&amp;$N518&amp;CHAR(10)&amp;"Channel / LOB: "&amp;$K518&amp;" / "&amp;$L518&amp;CHAR(10)&amp;"Evaluator: "&amp;$S518&amp;CHAR(10)&amp;CHAR(10)&amp;"INVALID QUALITY AUDIT DETAILS"&amp;CHAR(10)&amp;"Validation: Invalid"&amp;CHAR(10)&amp;"Invalid Reason: "&amp;$P518&amp;CHAR(10)&amp;"Expected Resolution Code: "&amp;$Q518&amp;CHAR(10)&amp;"Remarks: "&amp;LEFT($R518,600)&amp;CHAR(10)&amp;CHAR(10)&amp;"This is an automated notification from HP Mainstream EQMS."),"✉ Open Email Draft"),"")</f>
        <v/>
      </c>
    </row>
    <row r="519">
      <c r="A519" s="25">
        <f>IF($C519="","","AUD-2026-"&amp;TEXT(ROW()-1,"000000"))</f>
        <v/>
      </c>
      <c r="B519" s="26" t="n"/>
      <c r="C519" s="27" t="n"/>
      <c r="D519" s="25">
        <f>IF($C519="","",IFERROR(IF(INDEX(Roster!$A:$A,MATCH($C519,Roster!$B:$B,0))="","",INDEX(Roster!$A:$A,MATCH($C519,Roster!$B:$B,0))&amp;""),"—"))</f>
        <v/>
      </c>
      <c r="E519" s="25">
        <f>IF($C519="","",IFERROR(IF(INDEX(Roster!$C:$C,MATCH($C519,Roster!$B:$B,0))="","",INDEX(Roster!$C:$C,MATCH($C519,Roster!$B:$B,0))&amp;""),"—"))</f>
        <v/>
      </c>
      <c r="F519" s="25">
        <f>IF($C519="","",IFERROR(IF(INDEX(Roster!$D:$D,MATCH($C519,Roster!$B:$B,0))="","",INDEX(Roster!$D:$D,MATCH($C519,Roster!$B:$B,0))&amp;""),"—"))</f>
        <v/>
      </c>
      <c r="G519" s="25">
        <f>IF($C519="","",IFERROR(IF(INDEX(Roster!$E:$E,MATCH($C519,Roster!$B:$B,0))="","",INDEX(Roster!$E:$E,MATCH($C519,Roster!$B:$B,0))&amp;""),"—"))</f>
        <v/>
      </c>
      <c r="H519" s="25">
        <f>IF($C519="","",IFERROR(IF(INDEX(Roster!$F:$F,MATCH($C519,Roster!$B:$B,0))="","",INDEX(Roster!$F:$F,MATCH($C519,Roster!$B:$B,0))&amp;""),"—"))</f>
        <v/>
      </c>
      <c r="I519" s="25">
        <f>IF($C519="","",IFERROR(IF(INDEX(Roster!$G:$G,MATCH($C519,Roster!$B:$B,0))="","",INDEX(Roster!$G:$G,MATCH($C519,Roster!$B:$B,0))&amp;""),"—"))</f>
        <v/>
      </c>
      <c r="J519" s="25">
        <f>IF($C519="","",IFERROR(IF(INDEX(Roster!$I:$I,MATCH($C519,Roster!$B:$B,0))="","",INDEX(Roster!$I:$I,MATCH($C519,Roster!$B:$B,0))&amp;""),"—"))</f>
        <v/>
      </c>
      <c r="K519">
        <f>IF($C519="","",IFERROR(IF(INDEX(Roster!$J:$J,MATCH($C519,Roster!$B:$B,0))="","",INDEX(Roster!$J:$J,MATCH($C519,Roster!$B:$B,0))&amp;""),"—"))</f>
        <v/>
      </c>
      <c r="L519">
        <f>IF($C519="","",IFERROR(IF(INDEX(Roster!$K:$K,MATCH($C519,Roster!$B:$B,0))="","",INDEX(Roster!$K:$K,MATCH($C519,Roster!$B:$B,0))&amp;""),"—"))</f>
        <v/>
      </c>
      <c r="M519" s="27" t="n"/>
      <c r="N519" s="27" t="n"/>
      <c r="O519" s="25">
        <f>IF($C519="","",IF($P519="","—",IF($P519="Valid (Pass)","Valid","Invalid")))</f>
        <v/>
      </c>
      <c r="P519" s="27" t="n"/>
      <c r="Q519" s="27" t="n"/>
      <c r="R519" s="27" t="n"/>
      <c r="S519" s="27" t="n"/>
      <c r="T519" s="25">
        <f>IF($C519="","",IF(OR(ISNUMBER(SEARCH("quick case",$P519)),ISNUMBER(SEARCH("quick case",$Q519))),"Yes","No"))</f>
        <v/>
      </c>
      <c r="U519" s="25">
        <f>IF($O519="Invalid",HYPERLINK("mailto:"&amp;$G519&amp;";"&amp;$I519&amp;"?cc="&amp;Lists!$E$2&amp;"&amp;subject="&amp;_xlfn.ENCODEURL("[INVALID] Quality audit monitoring completed for "&amp;UPPER($C519))&amp;"&amp;body="&amp;_xlfn.ENCODEURL("Hi "&amp;$F519&amp;","&amp;CHAR(10)&amp;"Good day!"&amp;CHAR(10)&amp;CHAR(10)&amp;"A quality monitoring audit has been completed for "&amp;$C519&amp;"."&amp;CHAR(10)&amp;CHAR(10)&amp;"QUALITY AUDIT DETAILS"&amp;CHAR(10)&amp;"Agent Name: "&amp;$C519&amp;" (EID "&amp;$D519&amp;")"&amp;CHAR(10)&amp;"Audit Date: "&amp;TEXT($B519,"yyyy-mm-dd")&amp;CHAR(10)&amp;"Team Leader: "&amp;$F519&amp;CHAR(10)&amp;"Case Number: "&amp;$M519&amp;CHAR(10)&amp;"Transaction ID: "&amp;$N519&amp;CHAR(10)&amp;"Channel / LOB: "&amp;$K519&amp;" / "&amp;$L519&amp;CHAR(10)&amp;"Evaluator: "&amp;$S519&amp;CHAR(10)&amp;CHAR(10)&amp;"INVALID QUALITY AUDIT DETAILS"&amp;CHAR(10)&amp;"Validation: Invalid"&amp;CHAR(10)&amp;"Invalid Reason: "&amp;$P519&amp;CHAR(10)&amp;"Expected Resolution Code: "&amp;$Q519&amp;CHAR(10)&amp;"Remarks: "&amp;LEFT($R519,600)&amp;CHAR(10)&amp;CHAR(10)&amp;"This is an automated notification from HP Mainstream EQMS."),"✉ Open Email Draft"),"")</f>
        <v/>
      </c>
    </row>
    <row r="520">
      <c r="A520" s="25">
        <f>IF($C520="","","AUD-2026-"&amp;TEXT(ROW()-1,"000000"))</f>
        <v/>
      </c>
      <c r="B520" s="26" t="n"/>
      <c r="C520" s="27" t="n"/>
      <c r="D520" s="25">
        <f>IF($C520="","",IFERROR(IF(INDEX(Roster!$A:$A,MATCH($C520,Roster!$B:$B,0))="","",INDEX(Roster!$A:$A,MATCH($C520,Roster!$B:$B,0))&amp;""),"—"))</f>
        <v/>
      </c>
      <c r="E520" s="25">
        <f>IF($C520="","",IFERROR(IF(INDEX(Roster!$C:$C,MATCH($C520,Roster!$B:$B,0))="","",INDEX(Roster!$C:$C,MATCH($C520,Roster!$B:$B,0))&amp;""),"—"))</f>
        <v/>
      </c>
      <c r="F520" s="25">
        <f>IF($C520="","",IFERROR(IF(INDEX(Roster!$D:$D,MATCH($C520,Roster!$B:$B,0))="","",INDEX(Roster!$D:$D,MATCH($C520,Roster!$B:$B,0))&amp;""),"—"))</f>
        <v/>
      </c>
      <c r="G520" s="25">
        <f>IF($C520="","",IFERROR(IF(INDEX(Roster!$E:$E,MATCH($C520,Roster!$B:$B,0))="","",INDEX(Roster!$E:$E,MATCH($C520,Roster!$B:$B,0))&amp;""),"—"))</f>
        <v/>
      </c>
      <c r="H520" s="25">
        <f>IF($C520="","",IFERROR(IF(INDEX(Roster!$F:$F,MATCH($C520,Roster!$B:$B,0))="","",INDEX(Roster!$F:$F,MATCH($C520,Roster!$B:$B,0))&amp;""),"—"))</f>
        <v/>
      </c>
      <c r="I520" s="25">
        <f>IF($C520="","",IFERROR(IF(INDEX(Roster!$G:$G,MATCH($C520,Roster!$B:$B,0))="","",INDEX(Roster!$G:$G,MATCH($C520,Roster!$B:$B,0))&amp;""),"—"))</f>
        <v/>
      </c>
      <c r="J520" s="25">
        <f>IF($C520="","",IFERROR(IF(INDEX(Roster!$I:$I,MATCH($C520,Roster!$B:$B,0))="","",INDEX(Roster!$I:$I,MATCH($C520,Roster!$B:$B,0))&amp;""),"—"))</f>
        <v/>
      </c>
      <c r="K520">
        <f>IF($C520="","",IFERROR(IF(INDEX(Roster!$J:$J,MATCH($C520,Roster!$B:$B,0))="","",INDEX(Roster!$J:$J,MATCH($C520,Roster!$B:$B,0))&amp;""),"—"))</f>
        <v/>
      </c>
      <c r="L520">
        <f>IF($C520="","",IFERROR(IF(INDEX(Roster!$K:$K,MATCH($C520,Roster!$B:$B,0))="","",INDEX(Roster!$K:$K,MATCH($C520,Roster!$B:$B,0))&amp;""),"—"))</f>
        <v/>
      </c>
      <c r="M520" s="27" t="n"/>
      <c r="N520" s="27" t="n"/>
      <c r="O520" s="25">
        <f>IF($C520="","",IF($P520="","—",IF($P520="Valid (Pass)","Valid","Invalid")))</f>
        <v/>
      </c>
      <c r="P520" s="27" t="n"/>
      <c r="Q520" s="27" t="n"/>
      <c r="R520" s="27" t="n"/>
      <c r="S520" s="27" t="n"/>
      <c r="T520" s="25">
        <f>IF($C520="","",IF(OR(ISNUMBER(SEARCH("quick case",$P520)),ISNUMBER(SEARCH("quick case",$Q520))),"Yes","No"))</f>
        <v/>
      </c>
      <c r="U520" s="25">
        <f>IF($O520="Invalid",HYPERLINK("mailto:"&amp;$G520&amp;";"&amp;$I520&amp;"?cc="&amp;Lists!$E$2&amp;"&amp;subject="&amp;_xlfn.ENCODEURL("[INVALID] Quality audit monitoring completed for "&amp;UPPER($C520))&amp;"&amp;body="&amp;_xlfn.ENCODEURL("Hi "&amp;$F520&amp;","&amp;CHAR(10)&amp;"Good day!"&amp;CHAR(10)&amp;CHAR(10)&amp;"A quality monitoring audit has been completed for "&amp;$C520&amp;"."&amp;CHAR(10)&amp;CHAR(10)&amp;"QUALITY AUDIT DETAILS"&amp;CHAR(10)&amp;"Agent Name: "&amp;$C520&amp;" (EID "&amp;$D520&amp;")"&amp;CHAR(10)&amp;"Audit Date: "&amp;TEXT($B520,"yyyy-mm-dd")&amp;CHAR(10)&amp;"Team Leader: "&amp;$F520&amp;CHAR(10)&amp;"Case Number: "&amp;$M520&amp;CHAR(10)&amp;"Transaction ID: "&amp;$N520&amp;CHAR(10)&amp;"Channel / LOB: "&amp;$K520&amp;" / "&amp;$L520&amp;CHAR(10)&amp;"Evaluator: "&amp;$S520&amp;CHAR(10)&amp;CHAR(10)&amp;"INVALID QUALITY AUDIT DETAILS"&amp;CHAR(10)&amp;"Validation: Invalid"&amp;CHAR(10)&amp;"Invalid Reason: "&amp;$P520&amp;CHAR(10)&amp;"Expected Resolution Code: "&amp;$Q520&amp;CHAR(10)&amp;"Remarks: "&amp;LEFT($R520,600)&amp;CHAR(10)&amp;CHAR(10)&amp;"This is an automated notification from HP Mainstream EQMS."),"✉ Open Email Draft"),"")</f>
        <v/>
      </c>
    </row>
    <row r="521">
      <c r="A521" s="25">
        <f>IF($C521="","","AUD-2026-"&amp;TEXT(ROW()-1,"000000"))</f>
        <v/>
      </c>
      <c r="B521" s="26" t="n"/>
      <c r="C521" s="27" t="n"/>
      <c r="D521" s="25">
        <f>IF($C521="","",IFERROR(IF(INDEX(Roster!$A:$A,MATCH($C521,Roster!$B:$B,0))="","",INDEX(Roster!$A:$A,MATCH($C521,Roster!$B:$B,0))&amp;""),"—"))</f>
        <v/>
      </c>
      <c r="E521" s="25">
        <f>IF($C521="","",IFERROR(IF(INDEX(Roster!$C:$C,MATCH($C521,Roster!$B:$B,0))="","",INDEX(Roster!$C:$C,MATCH($C521,Roster!$B:$B,0))&amp;""),"—"))</f>
        <v/>
      </c>
      <c r="F521" s="25">
        <f>IF($C521="","",IFERROR(IF(INDEX(Roster!$D:$D,MATCH($C521,Roster!$B:$B,0))="","",INDEX(Roster!$D:$D,MATCH($C521,Roster!$B:$B,0))&amp;""),"—"))</f>
        <v/>
      </c>
      <c r="G521" s="25">
        <f>IF($C521="","",IFERROR(IF(INDEX(Roster!$E:$E,MATCH($C521,Roster!$B:$B,0))="","",INDEX(Roster!$E:$E,MATCH($C521,Roster!$B:$B,0))&amp;""),"—"))</f>
        <v/>
      </c>
      <c r="H521" s="25">
        <f>IF($C521="","",IFERROR(IF(INDEX(Roster!$F:$F,MATCH($C521,Roster!$B:$B,0))="","",INDEX(Roster!$F:$F,MATCH($C521,Roster!$B:$B,0))&amp;""),"—"))</f>
        <v/>
      </c>
      <c r="I521" s="25">
        <f>IF($C521="","",IFERROR(IF(INDEX(Roster!$G:$G,MATCH($C521,Roster!$B:$B,0))="","",INDEX(Roster!$G:$G,MATCH($C521,Roster!$B:$B,0))&amp;""),"—"))</f>
        <v/>
      </c>
      <c r="J521" s="25">
        <f>IF($C521="","",IFERROR(IF(INDEX(Roster!$I:$I,MATCH($C521,Roster!$B:$B,0))="","",INDEX(Roster!$I:$I,MATCH($C521,Roster!$B:$B,0))&amp;""),"—"))</f>
        <v/>
      </c>
      <c r="K521">
        <f>IF($C521="","",IFERROR(IF(INDEX(Roster!$J:$J,MATCH($C521,Roster!$B:$B,0))="","",INDEX(Roster!$J:$J,MATCH($C521,Roster!$B:$B,0))&amp;""),"—"))</f>
        <v/>
      </c>
      <c r="L521">
        <f>IF($C521="","",IFERROR(IF(INDEX(Roster!$K:$K,MATCH($C521,Roster!$B:$B,0))="","",INDEX(Roster!$K:$K,MATCH($C521,Roster!$B:$B,0))&amp;""),"—"))</f>
        <v/>
      </c>
      <c r="M521" s="27" t="n"/>
      <c r="N521" s="27" t="n"/>
      <c r="O521" s="25">
        <f>IF($C521="","",IF($P521="","—",IF($P521="Valid (Pass)","Valid","Invalid")))</f>
        <v/>
      </c>
      <c r="P521" s="27" t="n"/>
      <c r="Q521" s="27" t="n"/>
      <c r="R521" s="27" t="n"/>
      <c r="S521" s="27" t="n"/>
      <c r="T521" s="25">
        <f>IF($C521="","",IF(OR(ISNUMBER(SEARCH("quick case",$P521)),ISNUMBER(SEARCH("quick case",$Q521))),"Yes","No"))</f>
        <v/>
      </c>
      <c r="U521" s="25">
        <f>IF($O521="Invalid",HYPERLINK("mailto:"&amp;$G521&amp;";"&amp;$I521&amp;"?cc="&amp;Lists!$E$2&amp;"&amp;subject="&amp;_xlfn.ENCODEURL("[INVALID] Quality audit monitoring completed for "&amp;UPPER($C521))&amp;"&amp;body="&amp;_xlfn.ENCODEURL("Hi "&amp;$F521&amp;","&amp;CHAR(10)&amp;"Good day!"&amp;CHAR(10)&amp;CHAR(10)&amp;"A quality monitoring audit has been completed for "&amp;$C521&amp;"."&amp;CHAR(10)&amp;CHAR(10)&amp;"QUALITY AUDIT DETAILS"&amp;CHAR(10)&amp;"Agent Name: "&amp;$C521&amp;" (EID "&amp;$D521&amp;")"&amp;CHAR(10)&amp;"Audit Date: "&amp;TEXT($B521,"yyyy-mm-dd")&amp;CHAR(10)&amp;"Team Leader: "&amp;$F521&amp;CHAR(10)&amp;"Case Number: "&amp;$M521&amp;CHAR(10)&amp;"Transaction ID: "&amp;$N521&amp;CHAR(10)&amp;"Channel / LOB: "&amp;$K521&amp;" / "&amp;$L521&amp;CHAR(10)&amp;"Evaluator: "&amp;$S521&amp;CHAR(10)&amp;CHAR(10)&amp;"INVALID QUALITY AUDIT DETAILS"&amp;CHAR(10)&amp;"Validation: Invalid"&amp;CHAR(10)&amp;"Invalid Reason: "&amp;$P521&amp;CHAR(10)&amp;"Expected Resolution Code: "&amp;$Q521&amp;CHAR(10)&amp;"Remarks: "&amp;LEFT($R521,600)&amp;CHAR(10)&amp;CHAR(10)&amp;"This is an automated notification from HP Mainstream EQMS."),"✉ Open Email Draft"),"")</f>
        <v/>
      </c>
    </row>
    <row r="522">
      <c r="A522" s="25">
        <f>IF($C522="","","AUD-2026-"&amp;TEXT(ROW()-1,"000000"))</f>
        <v/>
      </c>
      <c r="B522" s="26" t="n"/>
      <c r="C522" s="27" t="n"/>
      <c r="D522" s="25">
        <f>IF($C522="","",IFERROR(IF(INDEX(Roster!$A:$A,MATCH($C522,Roster!$B:$B,0))="","",INDEX(Roster!$A:$A,MATCH($C522,Roster!$B:$B,0))&amp;""),"—"))</f>
        <v/>
      </c>
      <c r="E522" s="25">
        <f>IF($C522="","",IFERROR(IF(INDEX(Roster!$C:$C,MATCH($C522,Roster!$B:$B,0))="","",INDEX(Roster!$C:$C,MATCH($C522,Roster!$B:$B,0))&amp;""),"—"))</f>
        <v/>
      </c>
      <c r="F522" s="25">
        <f>IF($C522="","",IFERROR(IF(INDEX(Roster!$D:$D,MATCH($C522,Roster!$B:$B,0))="","",INDEX(Roster!$D:$D,MATCH($C522,Roster!$B:$B,0))&amp;""),"—"))</f>
        <v/>
      </c>
      <c r="G522" s="25">
        <f>IF($C522="","",IFERROR(IF(INDEX(Roster!$E:$E,MATCH($C522,Roster!$B:$B,0))="","",INDEX(Roster!$E:$E,MATCH($C522,Roster!$B:$B,0))&amp;""),"—"))</f>
        <v/>
      </c>
      <c r="H522" s="25">
        <f>IF($C522="","",IFERROR(IF(INDEX(Roster!$F:$F,MATCH($C522,Roster!$B:$B,0))="","",INDEX(Roster!$F:$F,MATCH($C522,Roster!$B:$B,0))&amp;""),"—"))</f>
        <v/>
      </c>
      <c r="I522" s="25">
        <f>IF($C522="","",IFERROR(IF(INDEX(Roster!$G:$G,MATCH($C522,Roster!$B:$B,0))="","",INDEX(Roster!$G:$G,MATCH($C522,Roster!$B:$B,0))&amp;""),"—"))</f>
        <v/>
      </c>
      <c r="J522" s="25">
        <f>IF($C522="","",IFERROR(IF(INDEX(Roster!$I:$I,MATCH($C522,Roster!$B:$B,0))="","",INDEX(Roster!$I:$I,MATCH($C522,Roster!$B:$B,0))&amp;""),"—"))</f>
        <v/>
      </c>
      <c r="K522">
        <f>IF($C522="","",IFERROR(IF(INDEX(Roster!$J:$J,MATCH($C522,Roster!$B:$B,0))="","",INDEX(Roster!$J:$J,MATCH($C522,Roster!$B:$B,0))&amp;""),"—"))</f>
        <v/>
      </c>
      <c r="L522">
        <f>IF($C522="","",IFERROR(IF(INDEX(Roster!$K:$K,MATCH($C522,Roster!$B:$B,0))="","",INDEX(Roster!$K:$K,MATCH($C522,Roster!$B:$B,0))&amp;""),"—"))</f>
        <v/>
      </c>
      <c r="M522" s="27" t="n"/>
      <c r="N522" s="27" t="n"/>
      <c r="O522" s="25">
        <f>IF($C522="","",IF($P522="","—",IF($P522="Valid (Pass)","Valid","Invalid")))</f>
        <v/>
      </c>
      <c r="P522" s="27" t="n"/>
      <c r="Q522" s="27" t="n"/>
      <c r="R522" s="27" t="n"/>
      <c r="S522" s="27" t="n"/>
      <c r="T522" s="25">
        <f>IF($C522="","",IF(OR(ISNUMBER(SEARCH("quick case",$P522)),ISNUMBER(SEARCH("quick case",$Q522))),"Yes","No"))</f>
        <v/>
      </c>
      <c r="U522" s="25">
        <f>IF($O522="Invalid",HYPERLINK("mailto:"&amp;$G522&amp;";"&amp;$I522&amp;"?cc="&amp;Lists!$E$2&amp;"&amp;subject="&amp;_xlfn.ENCODEURL("[INVALID] Quality audit monitoring completed for "&amp;UPPER($C522))&amp;"&amp;body="&amp;_xlfn.ENCODEURL("Hi "&amp;$F522&amp;","&amp;CHAR(10)&amp;"Good day!"&amp;CHAR(10)&amp;CHAR(10)&amp;"A quality monitoring audit has been completed for "&amp;$C522&amp;"."&amp;CHAR(10)&amp;CHAR(10)&amp;"QUALITY AUDIT DETAILS"&amp;CHAR(10)&amp;"Agent Name: "&amp;$C522&amp;" (EID "&amp;$D522&amp;")"&amp;CHAR(10)&amp;"Audit Date: "&amp;TEXT($B522,"yyyy-mm-dd")&amp;CHAR(10)&amp;"Team Leader: "&amp;$F522&amp;CHAR(10)&amp;"Case Number: "&amp;$M522&amp;CHAR(10)&amp;"Transaction ID: "&amp;$N522&amp;CHAR(10)&amp;"Channel / LOB: "&amp;$K522&amp;" / "&amp;$L522&amp;CHAR(10)&amp;"Evaluator: "&amp;$S522&amp;CHAR(10)&amp;CHAR(10)&amp;"INVALID QUALITY AUDIT DETAILS"&amp;CHAR(10)&amp;"Validation: Invalid"&amp;CHAR(10)&amp;"Invalid Reason: "&amp;$P522&amp;CHAR(10)&amp;"Expected Resolution Code: "&amp;$Q522&amp;CHAR(10)&amp;"Remarks: "&amp;LEFT($R522,600)&amp;CHAR(10)&amp;CHAR(10)&amp;"This is an automated notification from HP Mainstream EQMS."),"✉ Open Email Draft"),"")</f>
        <v/>
      </c>
    </row>
    <row r="523">
      <c r="A523" s="25">
        <f>IF($C523="","","AUD-2026-"&amp;TEXT(ROW()-1,"000000"))</f>
        <v/>
      </c>
      <c r="B523" s="26" t="n"/>
      <c r="C523" s="27" t="n"/>
      <c r="D523" s="25">
        <f>IF($C523="","",IFERROR(IF(INDEX(Roster!$A:$A,MATCH($C523,Roster!$B:$B,0))="","",INDEX(Roster!$A:$A,MATCH($C523,Roster!$B:$B,0))&amp;""),"—"))</f>
        <v/>
      </c>
      <c r="E523" s="25">
        <f>IF($C523="","",IFERROR(IF(INDEX(Roster!$C:$C,MATCH($C523,Roster!$B:$B,0))="","",INDEX(Roster!$C:$C,MATCH($C523,Roster!$B:$B,0))&amp;""),"—"))</f>
        <v/>
      </c>
      <c r="F523" s="25">
        <f>IF($C523="","",IFERROR(IF(INDEX(Roster!$D:$D,MATCH($C523,Roster!$B:$B,0))="","",INDEX(Roster!$D:$D,MATCH($C523,Roster!$B:$B,0))&amp;""),"—"))</f>
        <v/>
      </c>
      <c r="G523" s="25">
        <f>IF($C523="","",IFERROR(IF(INDEX(Roster!$E:$E,MATCH($C523,Roster!$B:$B,0))="","",INDEX(Roster!$E:$E,MATCH($C523,Roster!$B:$B,0))&amp;""),"—"))</f>
        <v/>
      </c>
      <c r="H523" s="25">
        <f>IF($C523="","",IFERROR(IF(INDEX(Roster!$F:$F,MATCH($C523,Roster!$B:$B,0))="","",INDEX(Roster!$F:$F,MATCH($C523,Roster!$B:$B,0))&amp;""),"—"))</f>
        <v/>
      </c>
      <c r="I523" s="25">
        <f>IF($C523="","",IFERROR(IF(INDEX(Roster!$G:$G,MATCH($C523,Roster!$B:$B,0))="","",INDEX(Roster!$G:$G,MATCH($C523,Roster!$B:$B,0))&amp;""),"—"))</f>
        <v/>
      </c>
      <c r="J523" s="25">
        <f>IF($C523="","",IFERROR(IF(INDEX(Roster!$I:$I,MATCH($C523,Roster!$B:$B,0))="","",INDEX(Roster!$I:$I,MATCH($C523,Roster!$B:$B,0))&amp;""),"—"))</f>
        <v/>
      </c>
      <c r="K523">
        <f>IF($C523="","",IFERROR(IF(INDEX(Roster!$J:$J,MATCH($C523,Roster!$B:$B,0))="","",INDEX(Roster!$J:$J,MATCH($C523,Roster!$B:$B,0))&amp;""),"—"))</f>
        <v/>
      </c>
      <c r="L523">
        <f>IF($C523="","",IFERROR(IF(INDEX(Roster!$K:$K,MATCH($C523,Roster!$B:$B,0))="","",INDEX(Roster!$K:$K,MATCH($C523,Roster!$B:$B,0))&amp;""),"—"))</f>
        <v/>
      </c>
      <c r="M523" s="27" t="n"/>
      <c r="N523" s="27" t="n"/>
      <c r="O523" s="25">
        <f>IF($C523="","",IF($P523="","—",IF($P523="Valid (Pass)","Valid","Invalid")))</f>
        <v/>
      </c>
      <c r="P523" s="27" t="n"/>
      <c r="Q523" s="27" t="n"/>
      <c r="R523" s="27" t="n"/>
      <c r="S523" s="27" t="n"/>
      <c r="T523" s="25">
        <f>IF($C523="","",IF(OR(ISNUMBER(SEARCH("quick case",$P523)),ISNUMBER(SEARCH("quick case",$Q523))),"Yes","No"))</f>
        <v/>
      </c>
      <c r="U523" s="25">
        <f>IF($O523="Invalid",HYPERLINK("mailto:"&amp;$G523&amp;";"&amp;$I523&amp;"?cc="&amp;Lists!$E$2&amp;"&amp;subject="&amp;_xlfn.ENCODEURL("[INVALID] Quality audit monitoring completed for "&amp;UPPER($C523))&amp;"&amp;body="&amp;_xlfn.ENCODEURL("Hi "&amp;$F523&amp;","&amp;CHAR(10)&amp;"Good day!"&amp;CHAR(10)&amp;CHAR(10)&amp;"A quality monitoring audit has been completed for "&amp;$C523&amp;"."&amp;CHAR(10)&amp;CHAR(10)&amp;"QUALITY AUDIT DETAILS"&amp;CHAR(10)&amp;"Agent Name: "&amp;$C523&amp;" (EID "&amp;$D523&amp;")"&amp;CHAR(10)&amp;"Audit Date: "&amp;TEXT($B523,"yyyy-mm-dd")&amp;CHAR(10)&amp;"Team Leader: "&amp;$F523&amp;CHAR(10)&amp;"Case Number: "&amp;$M523&amp;CHAR(10)&amp;"Transaction ID: "&amp;$N523&amp;CHAR(10)&amp;"Channel / LOB: "&amp;$K523&amp;" / "&amp;$L523&amp;CHAR(10)&amp;"Evaluator: "&amp;$S523&amp;CHAR(10)&amp;CHAR(10)&amp;"INVALID QUALITY AUDIT DETAILS"&amp;CHAR(10)&amp;"Validation: Invalid"&amp;CHAR(10)&amp;"Invalid Reason: "&amp;$P523&amp;CHAR(10)&amp;"Expected Resolution Code: "&amp;$Q523&amp;CHAR(10)&amp;"Remarks: "&amp;LEFT($R523,600)&amp;CHAR(10)&amp;CHAR(10)&amp;"This is an automated notification from HP Mainstream EQMS."),"✉ Open Email Draft"),"")</f>
        <v/>
      </c>
    </row>
    <row r="524">
      <c r="A524" s="25">
        <f>IF($C524="","","AUD-2026-"&amp;TEXT(ROW()-1,"000000"))</f>
        <v/>
      </c>
      <c r="B524" s="26" t="n"/>
      <c r="C524" s="27" t="n"/>
      <c r="D524" s="25">
        <f>IF($C524="","",IFERROR(IF(INDEX(Roster!$A:$A,MATCH($C524,Roster!$B:$B,0))="","",INDEX(Roster!$A:$A,MATCH($C524,Roster!$B:$B,0))&amp;""),"—"))</f>
        <v/>
      </c>
      <c r="E524" s="25">
        <f>IF($C524="","",IFERROR(IF(INDEX(Roster!$C:$C,MATCH($C524,Roster!$B:$B,0))="","",INDEX(Roster!$C:$C,MATCH($C524,Roster!$B:$B,0))&amp;""),"—"))</f>
        <v/>
      </c>
      <c r="F524" s="25">
        <f>IF($C524="","",IFERROR(IF(INDEX(Roster!$D:$D,MATCH($C524,Roster!$B:$B,0))="","",INDEX(Roster!$D:$D,MATCH($C524,Roster!$B:$B,0))&amp;""),"—"))</f>
        <v/>
      </c>
      <c r="G524" s="25">
        <f>IF($C524="","",IFERROR(IF(INDEX(Roster!$E:$E,MATCH($C524,Roster!$B:$B,0))="","",INDEX(Roster!$E:$E,MATCH($C524,Roster!$B:$B,0))&amp;""),"—"))</f>
        <v/>
      </c>
      <c r="H524" s="25">
        <f>IF($C524="","",IFERROR(IF(INDEX(Roster!$F:$F,MATCH($C524,Roster!$B:$B,0))="","",INDEX(Roster!$F:$F,MATCH($C524,Roster!$B:$B,0))&amp;""),"—"))</f>
        <v/>
      </c>
      <c r="I524" s="25">
        <f>IF($C524="","",IFERROR(IF(INDEX(Roster!$G:$G,MATCH($C524,Roster!$B:$B,0))="","",INDEX(Roster!$G:$G,MATCH($C524,Roster!$B:$B,0))&amp;""),"—"))</f>
        <v/>
      </c>
      <c r="J524" s="25">
        <f>IF($C524="","",IFERROR(IF(INDEX(Roster!$I:$I,MATCH($C524,Roster!$B:$B,0))="","",INDEX(Roster!$I:$I,MATCH($C524,Roster!$B:$B,0))&amp;""),"—"))</f>
        <v/>
      </c>
      <c r="K524">
        <f>IF($C524="","",IFERROR(IF(INDEX(Roster!$J:$J,MATCH($C524,Roster!$B:$B,0))="","",INDEX(Roster!$J:$J,MATCH($C524,Roster!$B:$B,0))&amp;""),"—"))</f>
        <v/>
      </c>
      <c r="L524">
        <f>IF($C524="","",IFERROR(IF(INDEX(Roster!$K:$K,MATCH($C524,Roster!$B:$B,0))="","",INDEX(Roster!$K:$K,MATCH($C524,Roster!$B:$B,0))&amp;""),"—"))</f>
        <v/>
      </c>
      <c r="M524" s="27" t="n"/>
      <c r="N524" s="27" t="n"/>
      <c r="O524" s="25">
        <f>IF($C524="","",IF($P524="","—",IF($P524="Valid (Pass)","Valid","Invalid")))</f>
        <v/>
      </c>
      <c r="P524" s="27" t="n"/>
      <c r="Q524" s="27" t="n"/>
      <c r="R524" s="27" t="n"/>
      <c r="S524" s="27" t="n"/>
      <c r="T524" s="25">
        <f>IF($C524="","",IF(OR(ISNUMBER(SEARCH("quick case",$P524)),ISNUMBER(SEARCH("quick case",$Q524))),"Yes","No"))</f>
        <v/>
      </c>
      <c r="U524" s="25">
        <f>IF($O524="Invalid",HYPERLINK("mailto:"&amp;$G524&amp;";"&amp;$I524&amp;"?cc="&amp;Lists!$E$2&amp;"&amp;subject="&amp;_xlfn.ENCODEURL("[INVALID] Quality audit monitoring completed for "&amp;UPPER($C524))&amp;"&amp;body="&amp;_xlfn.ENCODEURL("Hi "&amp;$F524&amp;","&amp;CHAR(10)&amp;"Good day!"&amp;CHAR(10)&amp;CHAR(10)&amp;"A quality monitoring audit has been completed for "&amp;$C524&amp;"."&amp;CHAR(10)&amp;CHAR(10)&amp;"QUALITY AUDIT DETAILS"&amp;CHAR(10)&amp;"Agent Name: "&amp;$C524&amp;" (EID "&amp;$D524&amp;")"&amp;CHAR(10)&amp;"Audit Date: "&amp;TEXT($B524,"yyyy-mm-dd")&amp;CHAR(10)&amp;"Team Leader: "&amp;$F524&amp;CHAR(10)&amp;"Case Number: "&amp;$M524&amp;CHAR(10)&amp;"Transaction ID: "&amp;$N524&amp;CHAR(10)&amp;"Channel / LOB: "&amp;$K524&amp;" / "&amp;$L524&amp;CHAR(10)&amp;"Evaluator: "&amp;$S524&amp;CHAR(10)&amp;CHAR(10)&amp;"INVALID QUALITY AUDIT DETAILS"&amp;CHAR(10)&amp;"Validation: Invalid"&amp;CHAR(10)&amp;"Invalid Reason: "&amp;$P524&amp;CHAR(10)&amp;"Expected Resolution Code: "&amp;$Q524&amp;CHAR(10)&amp;"Remarks: "&amp;LEFT($R524,600)&amp;CHAR(10)&amp;CHAR(10)&amp;"This is an automated notification from HP Mainstream EQMS."),"✉ Open Email Draft"),"")</f>
        <v/>
      </c>
    </row>
    <row r="525">
      <c r="A525" s="25">
        <f>IF($C525="","","AUD-2026-"&amp;TEXT(ROW()-1,"000000"))</f>
        <v/>
      </c>
      <c r="B525" s="26" t="n"/>
      <c r="C525" s="27" t="n"/>
      <c r="D525" s="25">
        <f>IF($C525="","",IFERROR(IF(INDEX(Roster!$A:$A,MATCH($C525,Roster!$B:$B,0))="","",INDEX(Roster!$A:$A,MATCH($C525,Roster!$B:$B,0))&amp;""),"—"))</f>
        <v/>
      </c>
      <c r="E525" s="25">
        <f>IF($C525="","",IFERROR(IF(INDEX(Roster!$C:$C,MATCH($C525,Roster!$B:$B,0))="","",INDEX(Roster!$C:$C,MATCH($C525,Roster!$B:$B,0))&amp;""),"—"))</f>
        <v/>
      </c>
      <c r="F525" s="25">
        <f>IF($C525="","",IFERROR(IF(INDEX(Roster!$D:$D,MATCH($C525,Roster!$B:$B,0))="","",INDEX(Roster!$D:$D,MATCH($C525,Roster!$B:$B,0))&amp;""),"—"))</f>
        <v/>
      </c>
      <c r="G525" s="25">
        <f>IF($C525="","",IFERROR(IF(INDEX(Roster!$E:$E,MATCH($C525,Roster!$B:$B,0))="","",INDEX(Roster!$E:$E,MATCH($C525,Roster!$B:$B,0))&amp;""),"—"))</f>
        <v/>
      </c>
      <c r="H525" s="25">
        <f>IF($C525="","",IFERROR(IF(INDEX(Roster!$F:$F,MATCH($C525,Roster!$B:$B,0))="","",INDEX(Roster!$F:$F,MATCH($C525,Roster!$B:$B,0))&amp;""),"—"))</f>
        <v/>
      </c>
      <c r="I525" s="25">
        <f>IF($C525="","",IFERROR(IF(INDEX(Roster!$G:$G,MATCH($C525,Roster!$B:$B,0))="","",INDEX(Roster!$G:$G,MATCH($C525,Roster!$B:$B,0))&amp;""),"—"))</f>
        <v/>
      </c>
      <c r="J525" s="25">
        <f>IF($C525="","",IFERROR(IF(INDEX(Roster!$I:$I,MATCH($C525,Roster!$B:$B,0))="","",INDEX(Roster!$I:$I,MATCH($C525,Roster!$B:$B,0))&amp;""),"—"))</f>
        <v/>
      </c>
      <c r="K525">
        <f>IF($C525="","",IFERROR(IF(INDEX(Roster!$J:$J,MATCH($C525,Roster!$B:$B,0))="","",INDEX(Roster!$J:$J,MATCH($C525,Roster!$B:$B,0))&amp;""),"—"))</f>
        <v/>
      </c>
      <c r="L525">
        <f>IF($C525="","",IFERROR(IF(INDEX(Roster!$K:$K,MATCH($C525,Roster!$B:$B,0))="","",INDEX(Roster!$K:$K,MATCH($C525,Roster!$B:$B,0))&amp;""),"—"))</f>
        <v/>
      </c>
      <c r="M525" s="27" t="n"/>
      <c r="N525" s="27" t="n"/>
      <c r="O525" s="25">
        <f>IF($C525="","",IF($P525="","—",IF($P525="Valid (Pass)","Valid","Invalid")))</f>
        <v/>
      </c>
      <c r="P525" s="27" t="n"/>
      <c r="Q525" s="27" t="n"/>
      <c r="R525" s="27" t="n"/>
      <c r="S525" s="27" t="n"/>
      <c r="T525" s="25">
        <f>IF($C525="","",IF(OR(ISNUMBER(SEARCH("quick case",$P525)),ISNUMBER(SEARCH("quick case",$Q525))),"Yes","No"))</f>
        <v/>
      </c>
      <c r="U525" s="25">
        <f>IF($O525="Invalid",HYPERLINK("mailto:"&amp;$G525&amp;";"&amp;$I525&amp;"?cc="&amp;Lists!$E$2&amp;"&amp;subject="&amp;_xlfn.ENCODEURL("[INVALID] Quality audit monitoring completed for "&amp;UPPER($C525))&amp;"&amp;body="&amp;_xlfn.ENCODEURL("Hi "&amp;$F525&amp;","&amp;CHAR(10)&amp;"Good day!"&amp;CHAR(10)&amp;CHAR(10)&amp;"A quality monitoring audit has been completed for "&amp;$C525&amp;"."&amp;CHAR(10)&amp;CHAR(10)&amp;"QUALITY AUDIT DETAILS"&amp;CHAR(10)&amp;"Agent Name: "&amp;$C525&amp;" (EID "&amp;$D525&amp;")"&amp;CHAR(10)&amp;"Audit Date: "&amp;TEXT($B525,"yyyy-mm-dd")&amp;CHAR(10)&amp;"Team Leader: "&amp;$F525&amp;CHAR(10)&amp;"Case Number: "&amp;$M525&amp;CHAR(10)&amp;"Transaction ID: "&amp;$N525&amp;CHAR(10)&amp;"Channel / LOB: "&amp;$K525&amp;" / "&amp;$L525&amp;CHAR(10)&amp;"Evaluator: "&amp;$S525&amp;CHAR(10)&amp;CHAR(10)&amp;"INVALID QUALITY AUDIT DETAILS"&amp;CHAR(10)&amp;"Validation: Invalid"&amp;CHAR(10)&amp;"Invalid Reason: "&amp;$P525&amp;CHAR(10)&amp;"Expected Resolution Code: "&amp;$Q525&amp;CHAR(10)&amp;"Remarks: "&amp;LEFT($R525,600)&amp;CHAR(10)&amp;CHAR(10)&amp;"This is an automated notification from HP Mainstream EQMS."),"✉ Open Email Draft"),"")</f>
        <v/>
      </c>
    </row>
    <row r="526">
      <c r="A526" s="25">
        <f>IF($C526="","","AUD-2026-"&amp;TEXT(ROW()-1,"000000"))</f>
        <v/>
      </c>
      <c r="B526" s="26" t="n"/>
      <c r="C526" s="27" t="n"/>
      <c r="D526" s="25">
        <f>IF($C526="","",IFERROR(IF(INDEX(Roster!$A:$A,MATCH($C526,Roster!$B:$B,0))="","",INDEX(Roster!$A:$A,MATCH($C526,Roster!$B:$B,0))&amp;""),"—"))</f>
        <v/>
      </c>
      <c r="E526" s="25">
        <f>IF($C526="","",IFERROR(IF(INDEX(Roster!$C:$C,MATCH($C526,Roster!$B:$B,0))="","",INDEX(Roster!$C:$C,MATCH($C526,Roster!$B:$B,0))&amp;""),"—"))</f>
        <v/>
      </c>
      <c r="F526" s="25">
        <f>IF($C526="","",IFERROR(IF(INDEX(Roster!$D:$D,MATCH($C526,Roster!$B:$B,0))="","",INDEX(Roster!$D:$D,MATCH($C526,Roster!$B:$B,0))&amp;""),"—"))</f>
        <v/>
      </c>
      <c r="G526" s="25">
        <f>IF($C526="","",IFERROR(IF(INDEX(Roster!$E:$E,MATCH($C526,Roster!$B:$B,0))="","",INDEX(Roster!$E:$E,MATCH($C526,Roster!$B:$B,0))&amp;""),"—"))</f>
        <v/>
      </c>
      <c r="H526" s="25">
        <f>IF($C526="","",IFERROR(IF(INDEX(Roster!$F:$F,MATCH($C526,Roster!$B:$B,0))="","",INDEX(Roster!$F:$F,MATCH($C526,Roster!$B:$B,0))&amp;""),"—"))</f>
        <v/>
      </c>
      <c r="I526" s="25">
        <f>IF($C526="","",IFERROR(IF(INDEX(Roster!$G:$G,MATCH($C526,Roster!$B:$B,0))="","",INDEX(Roster!$G:$G,MATCH($C526,Roster!$B:$B,0))&amp;""),"—"))</f>
        <v/>
      </c>
      <c r="J526" s="25">
        <f>IF($C526="","",IFERROR(IF(INDEX(Roster!$I:$I,MATCH($C526,Roster!$B:$B,0))="","",INDEX(Roster!$I:$I,MATCH($C526,Roster!$B:$B,0))&amp;""),"—"))</f>
        <v/>
      </c>
      <c r="K526">
        <f>IF($C526="","",IFERROR(IF(INDEX(Roster!$J:$J,MATCH($C526,Roster!$B:$B,0))="","",INDEX(Roster!$J:$J,MATCH($C526,Roster!$B:$B,0))&amp;""),"—"))</f>
        <v/>
      </c>
      <c r="L526">
        <f>IF($C526="","",IFERROR(IF(INDEX(Roster!$K:$K,MATCH($C526,Roster!$B:$B,0))="","",INDEX(Roster!$K:$K,MATCH($C526,Roster!$B:$B,0))&amp;""),"—"))</f>
        <v/>
      </c>
      <c r="M526" s="27" t="n"/>
      <c r="N526" s="27" t="n"/>
      <c r="O526" s="25">
        <f>IF($C526="","",IF($P526="","—",IF($P526="Valid (Pass)","Valid","Invalid")))</f>
        <v/>
      </c>
      <c r="P526" s="27" t="n"/>
      <c r="Q526" s="27" t="n"/>
      <c r="R526" s="27" t="n"/>
      <c r="S526" s="27" t="n"/>
      <c r="T526" s="25">
        <f>IF($C526="","",IF(OR(ISNUMBER(SEARCH("quick case",$P526)),ISNUMBER(SEARCH("quick case",$Q526))),"Yes","No"))</f>
        <v/>
      </c>
      <c r="U526" s="25">
        <f>IF($O526="Invalid",HYPERLINK("mailto:"&amp;$G526&amp;";"&amp;$I526&amp;"?cc="&amp;Lists!$E$2&amp;"&amp;subject="&amp;_xlfn.ENCODEURL("[INVALID] Quality audit monitoring completed for "&amp;UPPER($C526))&amp;"&amp;body="&amp;_xlfn.ENCODEURL("Hi "&amp;$F526&amp;","&amp;CHAR(10)&amp;"Good day!"&amp;CHAR(10)&amp;CHAR(10)&amp;"A quality monitoring audit has been completed for "&amp;$C526&amp;"."&amp;CHAR(10)&amp;CHAR(10)&amp;"QUALITY AUDIT DETAILS"&amp;CHAR(10)&amp;"Agent Name: "&amp;$C526&amp;" (EID "&amp;$D526&amp;")"&amp;CHAR(10)&amp;"Audit Date: "&amp;TEXT($B526,"yyyy-mm-dd")&amp;CHAR(10)&amp;"Team Leader: "&amp;$F526&amp;CHAR(10)&amp;"Case Number: "&amp;$M526&amp;CHAR(10)&amp;"Transaction ID: "&amp;$N526&amp;CHAR(10)&amp;"Channel / LOB: "&amp;$K526&amp;" / "&amp;$L526&amp;CHAR(10)&amp;"Evaluator: "&amp;$S526&amp;CHAR(10)&amp;CHAR(10)&amp;"INVALID QUALITY AUDIT DETAILS"&amp;CHAR(10)&amp;"Validation: Invalid"&amp;CHAR(10)&amp;"Invalid Reason: "&amp;$P526&amp;CHAR(10)&amp;"Expected Resolution Code: "&amp;$Q526&amp;CHAR(10)&amp;"Remarks: "&amp;LEFT($R526,600)&amp;CHAR(10)&amp;CHAR(10)&amp;"This is an automated notification from HP Mainstream EQMS."),"✉ Open Email Draft"),"")</f>
        <v/>
      </c>
    </row>
    <row r="527">
      <c r="A527" s="25">
        <f>IF($C527="","","AUD-2026-"&amp;TEXT(ROW()-1,"000000"))</f>
        <v/>
      </c>
      <c r="B527" s="26" t="n"/>
      <c r="C527" s="27" t="n"/>
      <c r="D527" s="25">
        <f>IF($C527="","",IFERROR(IF(INDEX(Roster!$A:$A,MATCH($C527,Roster!$B:$B,0))="","",INDEX(Roster!$A:$A,MATCH($C527,Roster!$B:$B,0))&amp;""),"—"))</f>
        <v/>
      </c>
      <c r="E527" s="25">
        <f>IF($C527="","",IFERROR(IF(INDEX(Roster!$C:$C,MATCH($C527,Roster!$B:$B,0))="","",INDEX(Roster!$C:$C,MATCH($C527,Roster!$B:$B,0))&amp;""),"—"))</f>
        <v/>
      </c>
      <c r="F527" s="25">
        <f>IF($C527="","",IFERROR(IF(INDEX(Roster!$D:$D,MATCH($C527,Roster!$B:$B,0))="","",INDEX(Roster!$D:$D,MATCH($C527,Roster!$B:$B,0))&amp;""),"—"))</f>
        <v/>
      </c>
      <c r="G527" s="25">
        <f>IF($C527="","",IFERROR(IF(INDEX(Roster!$E:$E,MATCH($C527,Roster!$B:$B,0))="","",INDEX(Roster!$E:$E,MATCH($C527,Roster!$B:$B,0))&amp;""),"—"))</f>
        <v/>
      </c>
      <c r="H527" s="25">
        <f>IF($C527="","",IFERROR(IF(INDEX(Roster!$F:$F,MATCH($C527,Roster!$B:$B,0))="","",INDEX(Roster!$F:$F,MATCH($C527,Roster!$B:$B,0))&amp;""),"—"))</f>
        <v/>
      </c>
      <c r="I527" s="25">
        <f>IF($C527="","",IFERROR(IF(INDEX(Roster!$G:$G,MATCH($C527,Roster!$B:$B,0))="","",INDEX(Roster!$G:$G,MATCH($C527,Roster!$B:$B,0))&amp;""),"—"))</f>
        <v/>
      </c>
      <c r="J527" s="25">
        <f>IF($C527="","",IFERROR(IF(INDEX(Roster!$I:$I,MATCH($C527,Roster!$B:$B,0))="","",INDEX(Roster!$I:$I,MATCH($C527,Roster!$B:$B,0))&amp;""),"—"))</f>
        <v/>
      </c>
      <c r="K527">
        <f>IF($C527="","",IFERROR(IF(INDEX(Roster!$J:$J,MATCH($C527,Roster!$B:$B,0))="","",INDEX(Roster!$J:$J,MATCH($C527,Roster!$B:$B,0))&amp;""),"—"))</f>
        <v/>
      </c>
      <c r="L527">
        <f>IF($C527="","",IFERROR(IF(INDEX(Roster!$K:$K,MATCH($C527,Roster!$B:$B,0))="","",INDEX(Roster!$K:$K,MATCH($C527,Roster!$B:$B,0))&amp;""),"—"))</f>
        <v/>
      </c>
      <c r="M527" s="27" t="n"/>
      <c r="N527" s="27" t="n"/>
      <c r="O527" s="25">
        <f>IF($C527="","",IF($P527="","—",IF($P527="Valid (Pass)","Valid","Invalid")))</f>
        <v/>
      </c>
      <c r="P527" s="27" t="n"/>
      <c r="Q527" s="27" t="n"/>
      <c r="R527" s="27" t="n"/>
      <c r="S527" s="27" t="n"/>
      <c r="T527" s="25">
        <f>IF($C527="","",IF(OR(ISNUMBER(SEARCH("quick case",$P527)),ISNUMBER(SEARCH("quick case",$Q527))),"Yes","No"))</f>
        <v/>
      </c>
      <c r="U527" s="25">
        <f>IF($O527="Invalid",HYPERLINK("mailto:"&amp;$G527&amp;";"&amp;$I527&amp;"?cc="&amp;Lists!$E$2&amp;"&amp;subject="&amp;_xlfn.ENCODEURL("[INVALID] Quality audit monitoring completed for "&amp;UPPER($C527))&amp;"&amp;body="&amp;_xlfn.ENCODEURL("Hi "&amp;$F527&amp;","&amp;CHAR(10)&amp;"Good day!"&amp;CHAR(10)&amp;CHAR(10)&amp;"A quality monitoring audit has been completed for "&amp;$C527&amp;"."&amp;CHAR(10)&amp;CHAR(10)&amp;"QUALITY AUDIT DETAILS"&amp;CHAR(10)&amp;"Agent Name: "&amp;$C527&amp;" (EID "&amp;$D527&amp;")"&amp;CHAR(10)&amp;"Audit Date: "&amp;TEXT($B527,"yyyy-mm-dd")&amp;CHAR(10)&amp;"Team Leader: "&amp;$F527&amp;CHAR(10)&amp;"Case Number: "&amp;$M527&amp;CHAR(10)&amp;"Transaction ID: "&amp;$N527&amp;CHAR(10)&amp;"Channel / LOB: "&amp;$K527&amp;" / "&amp;$L527&amp;CHAR(10)&amp;"Evaluator: "&amp;$S527&amp;CHAR(10)&amp;CHAR(10)&amp;"INVALID QUALITY AUDIT DETAILS"&amp;CHAR(10)&amp;"Validation: Invalid"&amp;CHAR(10)&amp;"Invalid Reason: "&amp;$P527&amp;CHAR(10)&amp;"Expected Resolution Code: "&amp;$Q527&amp;CHAR(10)&amp;"Remarks: "&amp;LEFT($R527,600)&amp;CHAR(10)&amp;CHAR(10)&amp;"This is an automated notification from HP Mainstream EQMS."),"✉ Open Email Draft"),"")</f>
        <v/>
      </c>
    </row>
    <row r="528">
      <c r="A528" s="25">
        <f>IF($C528="","","AUD-2026-"&amp;TEXT(ROW()-1,"000000"))</f>
        <v/>
      </c>
      <c r="B528" s="26" t="n"/>
      <c r="C528" s="27" t="n"/>
      <c r="D528" s="25">
        <f>IF($C528="","",IFERROR(IF(INDEX(Roster!$A:$A,MATCH($C528,Roster!$B:$B,0))="","",INDEX(Roster!$A:$A,MATCH($C528,Roster!$B:$B,0))&amp;""),"—"))</f>
        <v/>
      </c>
      <c r="E528" s="25">
        <f>IF($C528="","",IFERROR(IF(INDEX(Roster!$C:$C,MATCH($C528,Roster!$B:$B,0))="","",INDEX(Roster!$C:$C,MATCH($C528,Roster!$B:$B,0))&amp;""),"—"))</f>
        <v/>
      </c>
      <c r="F528" s="25">
        <f>IF($C528="","",IFERROR(IF(INDEX(Roster!$D:$D,MATCH($C528,Roster!$B:$B,0))="","",INDEX(Roster!$D:$D,MATCH($C528,Roster!$B:$B,0))&amp;""),"—"))</f>
        <v/>
      </c>
      <c r="G528" s="25">
        <f>IF($C528="","",IFERROR(IF(INDEX(Roster!$E:$E,MATCH($C528,Roster!$B:$B,0))="","",INDEX(Roster!$E:$E,MATCH($C528,Roster!$B:$B,0))&amp;""),"—"))</f>
        <v/>
      </c>
      <c r="H528" s="25">
        <f>IF($C528="","",IFERROR(IF(INDEX(Roster!$F:$F,MATCH($C528,Roster!$B:$B,0))="","",INDEX(Roster!$F:$F,MATCH($C528,Roster!$B:$B,0))&amp;""),"—"))</f>
        <v/>
      </c>
      <c r="I528" s="25">
        <f>IF($C528="","",IFERROR(IF(INDEX(Roster!$G:$G,MATCH($C528,Roster!$B:$B,0))="","",INDEX(Roster!$G:$G,MATCH($C528,Roster!$B:$B,0))&amp;""),"—"))</f>
        <v/>
      </c>
      <c r="J528" s="25">
        <f>IF($C528="","",IFERROR(IF(INDEX(Roster!$I:$I,MATCH($C528,Roster!$B:$B,0))="","",INDEX(Roster!$I:$I,MATCH($C528,Roster!$B:$B,0))&amp;""),"—"))</f>
        <v/>
      </c>
      <c r="K528">
        <f>IF($C528="","",IFERROR(IF(INDEX(Roster!$J:$J,MATCH($C528,Roster!$B:$B,0))="","",INDEX(Roster!$J:$J,MATCH($C528,Roster!$B:$B,0))&amp;""),"—"))</f>
        <v/>
      </c>
      <c r="L528">
        <f>IF($C528="","",IFERROR(IF(INDEX(Roster!$K:$K,MATCH($C528,Roster!$B:$B,0))="","",INDEX(Roster!$K:$K,MATCH($C528,Roster!$B:$B,0))&amp;""),"—"))</f>
        <v/>
      </c>
      <c r="M528" s="27" t="n"/>
      <c r="N528" s="27" t="n"/>
      <c r="O528" s="25">
        <f>IF($C528="","",IF($P528="","—",IF($P528="Valid (Pass)","Valid","Invalid")))</f>
        <v/>
      </c>
      <c r="P528" s="27" t="n"/>
      <c r="Q528" s="27" t="n"/>
      <c r="R528" s="27" t="n"/>
      <c r="S528" s="27" t="n"/>
      <c r="T528" s="25">
        <f>IF($C528="","",IF(OR(ISNUMBER(SEARCH("quick case",$P528)),ISNUMBER(SEARCH("quick case",$Q528))),"Yes","No"))</f>
        <v/>
      </c>
      <c r="U528" s="25">
        <f>IF($O528="Invalid",HYPERLINK("mailto:"&amp;$G528&amp;";"&amp;$I528&amp;"?cc="&amp;Lists!$E$2&amp;"&amp;subject="&amp;_xlfn.ENCODEURL("[INVALID] Quality audit monitoring completed for "&amp;UPPER($C528))&amp;"&amp;body="&amp;_xlfn.ENCODEURL("Hi "&amp;$F528&amp;","&amp;CHAR(10)&amp;"Good day!"&amp;CHAR(10)&amp;CHAR(10)&amp;"A quality monitoring audit has been completed for "&amp;$C528&amp;"."&amp;CHAR(10)&amp;CHAR(10)&amp;"QUALITY AUDIT DETAILS"&amp;CHAR(10)&amp;"Agent Name: "&amp;$C528&amp;" (EID "&amp;$D528&amp;")"&amp;CHAR(10)&amp;"Audit Date: "&amp;TEXT($B528,"yyyy-mm-dd")&amp;CHAR(10)&amp;"Team Leader: "&amp;$F528&amp;CHAR(10)&amp;"Case Number: "&amp;$M528&amp;CHAR(10)&amp;"Transaction ID: "&amp;$N528&amp;CHAR(10)&amp;"Channel / LOB: "&amp;$K528&amp;" / "&amp;$L528&amp;CHAR(10)&amp;"Evaluator: "&amp;$S528&amp;CHAR(10)&amp;CHAR(10)&amp;"INVALID QUALITY AUDIT DETAILS"&amp;CHAR(10)&amp;"Validation: Invalid"&amp;CHAR(10)&amp;"Invalid Reason: "&amp;$P528&amp;CHAR(10)&amp;"Expected Resolution Code: "&amp;$Q528&amp;CHAR(10)&amp;"Remarks: "&amp;LEFT($R528,600)&amp;CHAR(10)&amp;CHAR(10)&amp;"This is an automated notification from HP Mainstream EQMS."),"✉ Open Email Draft"),"")</f>
        <v/>
      </c>
    </row>
    <row r="529">
      <c r="A529" s="25">
        <f>IF($C529="","","AUD-2026-"&amp;TEXT(ROW()-1,"000000"))</f>
        <v/>
      </c>
      <c r="B529" s="26" t="n"/>
      <c r="C529" s="27" t="n"/>
      <c r="D529" s="25">
        <f>IF($C529="","",IFERROR(IF(INDEX(Roster!$A:$A,MATCH($C529,Roster!$B:$B,0))="","",INDEX(Roster!$A:$A,MATCH($C529,Roster!$B:$B,0))&amp;""),"—"))</f>
        <v/>
      </c>
      <c r="E529" s="25">
        <f>IF($C529="","",IFERROR(IF(INDEX(Roster!$C:$C,MATCH($C529,Roster!$B:$B,0))="","",INDEX(Roster!$C:$C,MATCH($C529,Roster!$B:$B,0))&amp;""),"—"))</f>
        <v/>
      </c>
      <c r="F529" s="25">
        <f>IF($C529="","",IFERROR(IF(INDEX(Roster!$D:$D,MATCH($C529,Roster!$B:$B,0))="","",INDEX(Roster!$D:$D,MATCH($C529,Roster!$B:$B,0))&amp;""),"—"))</f>
        <v/>
      </c>
      <c r="G529" s="25">
        <f>IF($C529="","",IFERROR(IF(INDEX(Roster!$E:$E,MATCH($C529,Roster!$B:$B,0))="","",INDEX(Roster!$E:$E,MATCH($C529,Roster!$B:$B,0))&amp;""),"—"))</f>
        <v/>
      </c>
      <c r="H529" s="25">
        <f>IF($C529="","",IFERROR(IF(INDEX(Roster!$F:$F,MATCH($C529,Roster!$B:$B,0))="","",INDEX(Roster!$F:$F,MATCH($C529,Roster!$B:$B,0))&amp;""),"—"))</f>
        <v/>
      </c>
      <c r="I529" s="25">
        <f>IF($C529="","",IFERROR(IF(INDEX(Roster!$G:$G,MATCH($C529,Roster!$B:$B,0))="","",INDEX(Roster!$G:$G,MATCH($C529,Roster!$B:$B,0))&amp;""),"—"))</f>
        <v/>
      </c>
      <c r="J529" s="25">
        <f>IF($C529="","",IFERROR(IF(INDEX(Roster!$I:$I,MATCH($C529,Roster!$B:$B,0))="","",INDEX(Roster!$I:$I,MATCH($C529,Roster!$B:$B,0))&amp;""),"—"))</f>
        <v/>
      </c>
      <c r="K529">
        <f>IF($C529="","",IFERROR(IF(INDEX(Roster!$J:$J,MATCH($C529,Roster!$B:$B,0))="","",INDEX(Roster!$J:$J,MATCH($C529,Roster!$B:$B,0))&amp;""),"—"))</f>
        <v/>
      </c>
      <c r="L529">
        <f>IF($C529="","",IFERROR(IF(INDEX(Roster!$K:$K,MATCH($C529,Roster!$B:$B,0))="","",INDEX(Roster!$K:$K,MATCH($C529,Roster!$B:$B,0))&amp;""),"—"))</f>
        <v/>
      </c>
      <c r="M529" s="27" t="n"/>
      <c r="N529" s="27" t="n"/>
      <c r="O529" s="25">
        <f>IF($C529="","",IF($P529="","—",IF($P529="Valid (Pass)","Valid","Invalid")))</f>
        <v/>
      </c>
      <c r="P529" s="27" t="n"/>
      <c r="Q529" s="27" t="n"/>
      <c r="R529" s="27" t="n"/>
      <c r="S529" s="27" t="n"/>
      <c r="T529" s="25">
        <f>IF($C529="","",IF(OR(ISNUMBER(SEARCH("quick case",$P529)),ISNUMBER(SEARCH("quick case",$Q529))),"Yes","No"))</f>
        <v/>
      </c>
      <c r="U529" s="25">
        <f>IF($O529="Invalid",HYPERLINK("mailto:"&amp;$G529&amp;";"&amp;$I529&amp;"?cc="&amp;Lists!$E$2&amp;"&amp;subject="&amp;_xlfn.ENCODEURL("[INVALID] Quality audit monitoring completed for "&amp;UPPER($C529))&amp;"&amp;body="&amp;_xlfn.ENCODEURL("Hi "&amp;$F529&amp;","&amp;CHAR(10)&amp;"Good day!"&amp;CHAR(10)&amp;CHAR(10)&amp;"A quality monitoring audit has been completed for "&amp;$C529&amp;"."&amp;CHAR(10)&amp;CHAR(10)&amp;"QUALITY AUDIT DETAILS"&amp;CHAR(10)&amp;"Agent Name: "&amp;$C529&amp;" (EID "&amp;$D529&amp;")"&amp;CHAR(10)&amp;"Audit Date: "&amp;TEXT($B529,"yyyy-mm-dd")&amp;CHAR(10)&amp;"Team Leader: "&amp;$F529&amp;CHAR(10)&amp;"Case Number: "&amp;$M529&amp;CHAR(10)&amp;"Transaction ID: "&amp;$N529&amp;CHAR(10)&amp;"Channel / LOB: "&amp;$K529&amp;" / "&amp;$L529&amp;CHAR(10)&amp;"Evaluator: "&amp;$S529&amp;CHAR(10)&amp;CHAR(10)&amp;"INVALID QUALITY AUDIT DETAILS"&amp;CHAR(10)&amp;"Validation: Invalid"&amp;CHAR(10)&amp;"Invalid Reason: "&amp;$P529&amp;CHAR(10)&amp;"Expected Resolution Code: "&amp;$Q529&amp;CHAR(10)&amp;"Remarks: "&amp;LEFT($R529,600)&amp;CHAR(10)&amp;CHAR(10)&amp;"This is an automated notification from HP Mainstream EQMS."),"✉ Open Email Draft"),"")</f>
        <v/>
      </c>
    </row>
    <row r="530">
      <c r="A530" s="25">
        <f>IF($C530="","","AUD-2026-"&amp;TEXT(ROW()-1,"000000"))</f>
        <v/>
      </c>
      <c r="B530" s="26" t="n"/>
      <c r="C530" s="27" t="n"/>
      <c r="D530" s="25">
        <f>IF($C530="","",IFERROR(IF(INDEX(Roster!$A:$A,MATCH($C530,Roster!$B:$B,0))="","",INDEX(Roster!$A:$A,MATCH($C530,Roster!$B:$B,0))&amp;""),"—"))</f>
        <v/>
      </c>
      <c r="E530" s="25">
        <f>IF($C530="","",IFERROR(IF(INDEX(Roster!$C:$C,MATCH($C530,Roster!$B:$B,0))="","",INDEX(Roster!$C:$C,MATCH($C530,Roster!$B:$B,0))&amp;""),"—"))</f>
        <v/>
      </c>
      <c r="F530" s="25">
        <f>IF($C530="","",IFERROR(IF(INDEX(Roster!$D:$D,MATCH($C530,Roster!$B:$B,0))="","",INDEX(Roster!$D:$D,MATCH($C530,Roster!$B:$B,0))&amp;""),"—"))</f>
        <v/>
      </c>
      <c r="G530" s="25">
        <f>IF($C530="","",IFERROR(IF(INDEX(Roster!$E:$E,MATCH($C530,Roster!$B:$B,0))="","",INDEX(Roster!$E:$E,MATCH($C530,Roster!$B:$B,0))&amp;""),"—"))</f>
        <v/>
      </c>
      <c r="H530" s="25">
        <f>IF($C530="","",IFERROR(IF(INDEX(Roster!$F:$F,MATCH($C530,Roster!$B:$B,0))="","",INDEX(Roster!$F:$F,MATCH($C530,Roster!$B:$B,0))&amp;""),"—"))</f>
        <v/>
      </c>
      <c r="I530" s="25">
        <f>IF($C530="","",IFERROR(IF(INDEX(Roster!$G:$G,MATCH($C530,Roster!$B:$B,0))="","",INDEX(Roster!$G:$G,MATCH($C530,Roster!$B:$B,0))&amp;""),"—"))</f>
        <v/>
      </c>
      <c r="J530" s="25">
        <f>IF($C530="","",IFERROR(IF(INDEX(Roster!$I:$I,MATCH($C530,Roster!$B:$B,0))="","",INDEX(Roster!$I:$I,MATCH($C530,Roster!$B:$B,0))&amp;""),"—"))</f>
        <v/>
      </c>
      <c r="K530">
        <f>IF($C530="","",IFERROR(IF(INDEX(Roster!$J:$J,MATCH($C530,Roster!$B:$B,0))="","",INDEX(Roster!$J:$J,MATCH($C530,Roster!$B:$B,0))&amp;""),"—"))</f>
        <v/>
      </c>
      <c r="L530">
        <f>IF($C530="","",IFERROR(IF(INDEX(Roster!$K:$K,MATCH($C530,Roster!$B:$B,0))="","",INDEX(Roster!$K:$K,MATCH($C530,Roster!$B:$B,0))&amp;""),"—"))</f>
        <v/>
      </c>
      <c r="M530" s="27" t="n"/>
      <c r="N530" s="27" t="n"/>
      <c r="O530" s="25">
        <f>IF($C530="","",IF($P530="","—",IF($P530="Valid (Pass)","Valid","Invalid")))</f>
        <v/>
      </c>
      <c r="P530" s="27" t="n"/>
      <c r="Q530" s="27" t="n"/>
      <c r="R530" s="27" t="n"/>
      <c r="S530" s="27" t="n"/>
      <c r="T530" s="25">
        <f>IF($C530="","",IF(OR(ISNUMBER(SEARCH("quick case",$P530)),ISNUMBER(SEARCH("quick case",$Q530))),"Yes","No"))</f>
        <v/>
      </c>
      <c r="U530" s="25">
        <f>IF($O530="Invalid",HYPERLINK("mailto:"&amp;$G530&amp;";"&amp;$I530&amp;"?cc="&amp;Lists!$E$2&amp;"&amp;subject="&amp;_xlfn.ENCODEURL("[INVALID] Quality audit monitoring completed for "&amp;UPPER($C530))&amp;"&amp;body="&amp;_xlfn.ENCODEURL("Hi "&amp;$F530&amp;","&amp;CHAR(10)&amp;"Good day!"&amp;CHAR(10)&amp;CHAR(10)&amp;"A quality monitoring audit has been completed for "&amp;$C530&amp;"."&amp;CHAR(10)&amp;CHAR(10)&amp;"QUALITY AUDIT DETAILS"&amp;CHAR(10)&amp;"Agent Name: "&amp;$C530&amp;" (EID "&amp;$D530&amp;")"&amp;CHAR(10)&amp;"Audit Date: "&amp;TEXT($B530,"yyyy-mm-dd")&amp;CHAR(10)&amp;"Team Leader: "&amp;$F530&amp;CHAR(10)&amp;"Case Number: "&amp;$M530&amp;CHAR(10)&amp;"Transaction ID: "&amp;$N530&amp;CHAR(10)&amp;"Channel / LOB: "&amp;$K530&amp;" / "&amp;$L530&amp;CHAR(10)&amp;"Evaluator: "&amp;$S530&amp;CHAR(10)&amp;CHAR(10)&amp;"INVALID QUALITY AUDIT DETAILS"&amp;CHAR(10)&amp;"Validation: Invalid"&amp;CHAR(10)&amp;"Invalid Reason: "&amp;$P530&amp;CHAR(10)&amp;"Expected Resolution Code: "&amp;$Q530&amp;CHAR(10)&amp;"Remarks: "&amp;LEFT($R530,600)&amp;CHAR(10)&amp;CHAR(10)&amp;"This is an automated notification from HP Mainstream EQMS."),"✉ Open Email Draft"),"")</f>
        <v/>
      </c>
    </row>
    <row r="531">
      <c r="A531" s="25">
        <f>IF($C531="","","AUD-2026-"&amp;TEXT(ROW()-1,"000000"))</f>
        <v/>
      </c>
      <c r="B531" s="26" t="n"/>
      <c r="C531" s="27" t="n"/>
      <c r="D531" s="25">
        <f>IF($C531="","",IFERROR(IF(INDEX(Roster!$A:$A,MATCH($C531,Roster!$B:$B,0))="","",INDEX(Roster!$A:$A,MATCH($C531,Roster!$B:$B,0))&amp;""),"—"))</f>
        <v/>
      </c>
      <c r="E531" s="25">
        <f>IF($C531="","",IFERROR(IF(INDEX(Roster!$C:$C,MATCH($C531,Roster!$B:$B,0))="","",INDEX(Roster!$C:$C,MATCH($C531,Roster!$B:$B,0))&amp;""),"—"))</f>
        <v/>
      </c>
      <c r="F531" s="25">
        <f>IF($C531="","",IFERROR(IF(INDEX(Roster!$D:$D,MATCH($C531,Roster!$B:$B,0))="","",INDEX(Roster!$D:$D,MATCH($C531,Roster!$B:$B,0))&amp;""),"—"))</f>
        <v/>
      </c>
      <c r="G531" s="25">
        <f>IF($C531="","",IFERROR(IF(INDEX(Roster!$E:$E,MATCH($C531,Roster!$B:$B,0))="","",INDEX(Roster!$E:$E,MATCH($C531,Roster!$B:$B,0))&amp;""),"—"))</f>
        <v/>
      </c>
      <c r="H531" s="25">
        <f>IF($C531="","",IFERROR(IF(INDEX(Roster!$F:$F,MATCH($C531,Roster!$B:$B,0))="","",INDEX(Roster!$F:$F,MATCH($C531,Roster!$B:$B,0))&amp;""),"—"))</f>
        <v/>
      </c>
      <c r="I531" s="25">
        <f>IF($C531="","",IFERROR(IF(INDEX(Roster!$G:$G,MATCH($C531,Roster!$B:$B,0))="","",INDEX(Roster!$G:$G,MATCH($C531,Roster!$B:$B,0))&amp;""),"—"))</f>
        <v/>
      </c>
      <c r="J531" s="25">
        <f>IF($C531="","",IFERROR(IF(INDEX(Roster!$I:$I,MATCH($C531,Roster!$B:$B,0))="","",INDEX(Roster!$I:$I,MATCH($C531,Roster!$B:$B,0))&amp;""),"—"))</f>
        <v/>
      </c>
      <c r="K531">
        <f>IF($C531="","",IFERROR(IF(INDEX(Roster!$J:$J,MATCH($C531,Roster!$B:$B,0))="","",INDEX(Roster!$J:$J,MATCH($C531,Roster!$B:$B,0))&amp;""),"—"))</f>
        <v/>
      </c>
      <c r="L531">
        <f>IF($C531="","",IFERROR(IF(INDEX(Roster!$K:$K,MATCH($C531,Roster!$B:$B,0))="","",INDEX(Roster!$K:$K,MATCH($C531,Roster!$B:$B,0))&amp;""),"—"))</f>
        <v/>
      </c>
      <c r="M531" s="27" t="n"/>
      <c r="N531" s="27" t="n"/>
      <c r="O531" s="25">
        <f>IF($C531="","",IF($P531="","—",IF($P531="Valid (Pass)","Valid","Invalid")))</f>
        <v/>
      </c>
      <c r="P531" s="27" t="n"/>
      <c r="Q531" s="27" t="n"/>
      <c r="R531" s="27" t="n"/>
      <c r="S531" s="27" t="n"/>
      <c r="T531" s="25">
        <f>IF($C531="","",IF(OR(ISNUMBER(SEARCH("quick case",$P531)),ISNUMBER(SEARCH("quick case",$Q531))),"Yes","No"))</f>
        <v/>
      </c>
      <c r="U531" s="25">
        <f>IF($O531="Invalid",HYPERLINK("mailto:"&amp;$G531&amp;";"&amp;$I531&amp;"?cc="&amp;Lists!$E$2&amp;"&amp;subject="&amp;_xlfn.ENCODEURL("[INVALID] Quality audit monitoring completed for "&amp;UPPER($C531))&amp;"&amp;body="&amp;_xlfn.ENCODEURL("Hi "&amp;$F531&amp;","&amp;CHAR(10)&amp;"Good day!"&amp;CHAR(10)&amp;CHAR(10)&amp;"A quality monitoring audit has been completed for "&amp;$C531&amp;"."&amp;CHAR(10)&amp;CHAR(10)&amp;"QUALITY AUDIT DETAILS"&amp;CHAR(10)&amp;"Agent Name: "&amp;$C531&amp;" (EID "&amp;$D531&amp;")"&amp;CHAR(10)&amp;"Audit Date: "&amp;TEXT($B531,"yyyy-mm-dd")&amp;CHAR(10)&amp;"Team Leader: "&amp;$F531&amp;CHAR(10)&amp;"Case Number: "&amp;$M531&amp;CHAR(10)&amp;"Transaction ID: "&amp;$N531&amp;CHAR(10)&amp;"Channel / LOB: "&amp;$K531&amp;" / "&amp;$L531&amp;CHAR(10)&amp;"Evaluator: "&amp;$S531&amp;CHAR(10)&amp;CHAR(10)&amp;"INVALID QUALITY AUDIT DETAILS"&amp;CHAR(10)&amp;"Validation: Invalid"&amp;CHAR(10)&amp;"Invalid Reason: "&amp;$P531&amp;CHAR(10)&amp;"Expected Resolution Code: "&amp;$Q531&amp;CHAR(10)&amp;"Remarks: "&amp;LEFT($R531,600)&amp;CHAR(10)&amp;CHAR(10)&amp;"This is an automated notification from HP Mainstream EQMS."),"✉ Open Email Draft"),"")</f>
        <v/>
      </c>
    </row>
    <row r="532">
      <c r="A532" s="25">
        <f>IF($C532="","","AUD-2026-"&amp;TEXT(ROW()-1,"000000"))</f>
        <v/>
      </c>
      <c r="B532" s="26" t="n"/>
      <c r="C532" s="27" t="n"/>
      <c r="D532" s="25">
        <f>IF($C532="","",IFERROR(IF(INDEX(Roster!$A:$A,MATCH($C532,Roster!$B:$B,0))="","",INDEX(Roster!$A:$A,MATCH($C532,Roster!$B:$B,0))&amp;""),"—"))</f>
        <v/>
      </c>
      <c r="E532" s="25">
        <f>IF($C532="","",IFERROR(IF(INDEX(Roster!$C:$C,MATCH($C532,Roster!$B:$B,0))="","",INDEX(Roster!$C:$C,MATCH($C532,Roster!$B:$B,0))&amp;""),"—"))</f>
        <v/>
      </c>
      <c r="F532" s="25">
        <f>IF($C532="","",IFERROR(IF(INDEX(Roster!$D:$D,MATCH($C532,Roster!$B:$B,0))="","",INDEX(Roster!$D:$D,MATCH($C532,Roster!$B:$B,0))&amp;""),"—"))</f>
        <v/>
      </c>
      <c r="G532" s="25">
        <f>IF($C532="","",IFERROR(IF(INDEX(Roster!$E:$E,MATCH($C532,Roster!$B:$B,0))="","",INDEX(Roster!$E:$E,MATCH($C532,Roster!$B:$B,0))&amp;""),"—"))</f>
        <v/>
      </c>
      <c r="H532" s="25">
        <f>IF($C532="","",IFERROR(IF(INDEX(Roster!$F:$F,MATCH($C532,Roster!$B:$B,0))="","",INDEX(Roster!$F:$F,MATCH($C532,Roster!$B:$B,0))&amp;""),"—"))</f>
        <v/>
      </c>
      <c r="I532" s="25">
        <f>IF($C532="","",IFERROR(IF(INDEX(Roster!$G:$G,MATCH($C532,Roster!$B:$B,0))="","",INDEX(Roster!$G:$G,MATCH($C532,Roster!$B:$B,0))&amp;""),"—"))</f>
        <v/>
      </c>
      <c r="J532" s="25">
        <f>IF($C532="","",IFERROR(IF(INDEX(Roster!$I:$I,MATCH($C532,Roster!$B:$B,0))="","",INDEX(Roster!$I:$I,MATCH($C532,Roster!$B:$B,0))&amp;""),"—"))</f>
        <v/>
      </c>
      <c r="K532">
        <f>IF($C532="","",IFERROR(IF(INDEX(Roster!$J:$J,MATCH($C532,Roster!$B:$B,0))="","",INDEX(Roster!$J:$J,MATCH($C532,Roster!$B:$B,0))&amp;""),"—"))</f>
        <v/>
      </c>
      <c r="L532">
        <f>IF($C532="","",IFERROR(IF(INDEX(Roster!$K:$K,MATCH($C532,Roster!$B:$B,0))="","",INDEX(Roster!$K:$K,MATCH($C532,Roster!$B:$B,0))&amp;""),"—"))</f>
        <v/>
      </c>
      <c r="M532" s="27" t="n"/>
      <c r="N532" s="27" t="n"/>
      <c r="O532" s="25">
        <f>IF($C532="","",IF($P532="","—",IF($P532="Valid (Pass)","Valid","Invalid")))</f>
        <v/>
      </c>
      <c r="P532" s="27" t="n"/>
      <c r="Q532" s="27" t="n"/>
      <c r="R532" s="27" t="n"/>
      <c r="S532" s="27" t="n"/>
      <c r="T532" s="25">
        <f>IF($C532="","",IF(OR(ISNUMBER(SEARCH("quick case",$P532)),ISNUMBER(SEARCH("quick case",$Q532))),"Yes","No"))</f>
        <v/>
      </c>
      <c r="U532" s="25">
        <f>IF($O532="Invalid",HYPERLINK("mailto:"&amp;$G532&amp;";"&amp;$I532&amp;"?cc="&amp;Lists!$E$2&amp;"&amp;subject="&amp;_xlfn.ENCODEURL("[INVALID] Quality audit monitoring completed for "&amp;UPPER($C532))&amp;"&amp;body="&amp;_xlfn.ENCODEURL("Hi "&amp;$F532&amp;","&amp;CHAR(10)&amp;"Good day!"&amp;CHAR(10)&amp;CHAR(10)&amp;"A quality monitoring audit has been completed for "&amp;$C532&amp;"."&amp;CHAR(10)&amp;CHAR(10)&amp;"QUALITY AUDIT DETAILS"&amp;CHAR(10)&amp;"Agent Name: "&amp;$C532&amp;" (EID "&amp;$D532&amp;")"&amp;CHAR(10)&amp;"Audit Date: "&amp;TEXT($B532,"yyyy-mm-dd")&amp;CHAR(10)&amp;"Team Leader: "&amp;$F532&amp;CHAR(10)&amp;"Case Number: "&amp;$M532&amp;CHAR(10)&amp;"Transaction ID: "&amp;$N532&amp;CHAR(10)&amp;"Channel / LOB: "&amp;$K532&amp;" / "&amp;$L532&amp;CHAR(10)&amp;"Evaluator: "&amp;$S532&amp;CHAR(10)&amp;CHAR(10)&amp;"INVALID QUALITY AUDIT DETAILS"&amp;CHAR(10)&amp;"Validation: Invalid"&amp;CHAR(10)&amp;"Invalid Reason: "&amp;$P532&amp;CHAR(10)&amp;"Expected Resolution Code: "&amp;$Q532&amp;CHAR(10)&amp;"Remarks: "&amp;LEFT($R532,600)&amp;CHAR(10)&amp;CHAR(10)&amp;"This is an automated notification from HP Mainstream EQMS."),"✉ Open Email Draft"),"")</f>
        <v/>
      </c>
    </row>
    <row r="533">
      <c r="A533" s="25">
        <f>IF($C533="","","AUD-2026-"&amp;TEXT(ROW()-1,"000000"))</f>
        <v/>
      </c>
      <c r="B533" s="26" t="n"/>
      <c r="C533" s="27" t="n"/>
      <c r="D533" s="25">
        <f>IF($C533="","",IFERROR(IF(INDEX(Roster!$A:$A,MATCH($C533,Roster!$B:$B,0))="","",INDEX(Roster!$A:$A,MATCH($C533,Roster!$B:$B,0))&amp;""),"—"))</f>
        <v/>
      </c>
      <c r="E533" s="25">
        <f>IF($C533="","",IFERROR(IF(INDEX(Roster!$C:$C,MATCH($C533,Roster!$B:$B,0))="","",INDEX(Roster!$C:$C,MATCH($C533,Roster!$B:$B,0))&amp;""),"—"))</f>
        <v/>
      </c>
      <c r="F533" s="25">
        <f>IF($C533="","",IFERROR(IF(INDEX(Roster!$D:$D,MATCH($C533,Roster!$B:$B,0))="","",INDEX(Roster!$D:$D,MATCH($C533,Roster!$B:$B,0))&amp;""),"—"))</f>
        <v/>
      </c>
      <c r="G533" s="25">
        <f>IF($C533="","",IFERROR(IF(INDEX(Roster!$E:$E,MATCH($C533,Roster!$B:$B,0))="","",INDEX(Roster!$E:$E,MATCH($C533,Roster!$B:$B,0))&amp;""),"—"))</f>
        <v/>
      </c>
      <c r="H533" s="25">
        <f>IF($C533="","",IFERROR(IF(INDEX(Roster!$F:$F,MATCH($C533,Roster!$B:$B,0))="","",INDEX(Roster!$F:$F,MATCH($C533,Roster!$B:$B,0))&amp;""),"—"))</f>
        <v/>
      </c>
      <c r="I533" s="25">
        <f>IF($C533="","",IFERROR(IF(INDEX(Roster!$G:$G,MATCH($C533,Roster!$B:$B,0))="","",INDEX(Roster!$G:$G,MATCH($C533,Roster!$B:$B,0))&amp;""),"—"))</f>
        <v/>
      </c>
      <c r="J533" s="25">
        <f>IF($C533="","",IFERROR(IF(INDEX(Roster!$I:$I,MATCH($C533,Roster!$B:$B,0))="","",INDEX(Roster!$I:$I,MATCH($C533,Roster!$B:$B,0))&amp;""),"—"))</f>
        <v/>
      </c>
      <c r="K533">
        <f>IF($C533="","",IFERROR(IF(INDEX(Roster!$J:$J,MATCH($C533,Roster!$B:$B,0))="","",INDEX(Roster!$J:$J,MATCH($C533,Roster!$B:$B,0))&amp;""),"—"))</f>
        <v/>
      </c>
      <c r="L533">
        <f>IF($C533="","",IFERROR(IF(INDEX(Roster!$K:$K,MATCH($C533,Roster!$B:$B,0))="","",INDEX(Roster!$K:$K,MATCH($C533,Roster!$B:$B,0))&amp;""),"—"))</f>
        <v/>
      </c>
      <c r="M533" s="27" t="n"/>
      <c r="N533" s="27" t="n"/>
      <c r="O533" s="25">
        <f>IF($C533="","",IF($P533="","—",IF($P533="Valid (Pass)","Valid","Invalid")))</f>
        <v/>
      </c>
      <c r="P533" s="27" t="n"/>
      <c r="Q533" s="27" t="n"/>
      <c r="R533" s="27" t="n"/>
      <c r="S533" s="27" t="n"/>
      <c r="T533" s="25">
        <f>IF($C533="","",IF(OR(ISNUMBER(SEARCH("quick case",$P533)),ISNUMBER(SEARCH("quick case",$Q533))),"Yes","No"))</f>
        <v/>
      </c>
      <c r="U533" s="25">
        <f>IF($O533="Invalid",HYPERLINK("mailto:"&amp;$G533&amp;";"&amp;$I533&amp;"?cc="&amp;Lists!$E$2&amp;"&amp;subject="&amp;_xlfn.ENCODEURL("[INVALID] Quality audit monitoring completed for "&amp;UPPER($C533))&amp;"&amp;body="&amp;_xlfn.ENCODEURL("Hi "&amp;$F533&amp;","&amp;CHAR(10)&amp;"Good day!"&amp;CHAR(10)&amp;CHAR(10)&amp;"A quality monitoring audit has been completed for "&amp;$C533&amp;"."&amp;CHAR(10)&amp;CHAR(10)&amp;"QUALITY AUDIT DETAILS"&amp;CHAR(10)&amp;"Agent Name: "&amp;$C533&amp;" (EID "&amp;$D533&amp;")"&amp;CHAR(10)&amp;"Audit Date: "&amp;TEXT($B533,"yyyy-mm-dd")&amp;CHAR(10)&amp;"Team Leader: "&amp;$F533&amp;CHAR(10)&amp;"Case Number: "&amp;$M533&amp;CHAR(10)&amp;"Transaction ID: "&amp;$N533&amp;CHAR(10)&amp;"Channel / LOB: "&amp;$K533&amp;" / "&amp;$L533&amp;CHAR(10)&amp;"Evaluator: "&amp;$S533&amp;CHAR(10)&amp;CHAR(10)&amp;"INVALID QUALITY AUDIT DETAILS"&amp;CHAR(10)&amp;"Validation: Invalid"&amp;CHAR(10)&amp;"Invalid Reason: "&amp;$P533&amp;CHAR(10)&amp;"Expected Resolution Code: "&amp;$Q533&amp;CHAR(10)&amp;"Remarks: "&amp;LEFT($R533,600)&amp;CHAR(10)&amp;CHAR(10)&amp;"This is an automated notification from HP Mainstream EQMS."),"✉ Open Email Draft"),"")</f>
        <v/>
      </c>
    </row>
    <row r="534">
      <c r="A534" s="25">
        <f>IF($C534="","","AUD-2026-"&amp;TEXT(ROW()-1,"000000"))</f>
        <v/>
      </c>
      <c r="B534" s="26" t="n"/>
      <c r="C534" s="27" t="n"/>
      <c r="D534" s="25">
        <f>IF($C534="","",IFERROR(IF(INDEX(Roster!$A:$A,MATCH($C534,Roster!$B:$B,0))="","",INDEX(Roster!$A:$A,MATCH($C534,Roster!$B:$B,0))&amp;""),"—"))</f>
        <v/>
      </c>
      <c r="E534" s="25">
        <f>IF($C534="","",IFERROR(IF(INDEX(Roster!$C:$C,MATCH($C534,Roster!$B:$B,0))="","",INDEX(Roster!$C:$C,MATCH($C534,Roster!$B:$B,0))&amp;""),"—"))</f>
        <v/>
      </c>
      <c r="F534" s="25">
        <f>IF($C534="","",IFERROR(IF(INDEX(Roster!$D:$D,MATCH($C534,Roster!$B:$B,0))="","",INDEX(Roster!$D:$D,MATCH($C534,Roster!$B:$B,0))&amp;""),"—"))</f>
        <v/>
      </c>
      <c r="G534" s="25">
        <f>IF($C534="","",IFERROR(IF(INDEX(Roster!$E:$E,MATCH($C534,Roster!$B:$B,0))="","",INDEX(Roster!$E:$E,MATCH($C534,Roster!$B:$B,0))&amp;""),"—"))</f>
        <v/>
      </c>
      <c r="H534" s="25">
        <f>IF($C534="","",IFERROR(IF(INDEX(Roster!$F:$F,MATCH($C534,Roster!$B:$B,0))="","",INDEX(Roster!$F:$F,MATCH($C534,Roster!$B:$B,0))&amp;""),"—"))</f>
        <v/>
      </c>
      <c r="I534" s="25">
        <f>IF($C534="","",IFERROR(IF(INDEX(Roster!$G:$G,MATCH($C534,Roster!$B:$B,0))="","",INDEX(Roster!$G:$G,MATCH($C534,Roster!$B:$B,0))&amp;""),"—"))</f>
        <v/>
      </c>
      <c r="J534" s="25">
        <f>IF($C534="","",IFERROR(IF(INDEX(Roster!$I:$I,MATCH($C534,Roster!$B:$B,0))="","",INDEX(Roster!$I:$I,MATCH($C534,Roster!$B:$B,0))&amp;""),"—"))</f>
        <v/>
      </c>
      <c r="K534">
        <f>IF($C534="","",IFERROR(IF(INDEX(Roster!$J:$J,MATCH($C534,Roster!$B:$B,0))="","",INDEX(Roster!$J:$J,MATCH($C534,Roster!$B:$B,0))&amp;""),"—"))</f>
        <v/>
      </c>
      <c r="L534">
        <f>IF($C534="","",IFERROR(IF(INDEX(Roster!$K:$K,MATCH($C534,Roster!$B:$B,0))="","",INDEX(Roster!$K:$K,MATCH($C534,Roster!$B:$B,0))&amp;""),"—"))</f>
        <v/>
      </c>
      <c r="M534" s="27" t="n"/>
      <c r="N534" s="27" t="n"/>
      <c r="O534" s="25">
        <f>IF($C534="","",IF($P534="","—",IF($P534="Valid (Pass)","Valid","Invalid")))</f>
        <v/>
      </c>
      <c r="P534" s="27" t="n"/>
      <c r="Q534" s="27" t="n"/>
      <c r="R534" s="27" t="n"/>
      <c r="S534" s="27" t="n"/>
      <c r="T534" s="25">
        <f>IF($C534="","",IF(OR(ISNUMBER(SEARCH("quick case",$P534)),ISNUMBER(SEARCH("quick case",$Q534))),"Yes","No"))</f>
        <v/>
      </c>
      <c r="U534" s="25">
        <f>IF($O534="Invalid",HYPERLINK("mailto:"&amp;$G534&amp;";"&amp;$I534&amp;"?cc="&amp;Lists!$E$2&amp;"&amp;subject="&amp;_xlfn.ENCODEURL("[INVALID] Quality audit monitoring completed for "&amp;UPPER($C534))&amp;"&amp;body="&amp;_xlfn.ENCODEURL("Hi "&amp;$F534&amp;","&amp;CHAR(10)&amp;"Good day!"&amp;CHAR(10)&amp;CHAR(10)&amp;"A quality monitoring audit has been completed for "&amp;$C534&amp;"."&amp;CHAR(10)&amp;CHAR(10)&amp;"QUALITY AUDIT DETAILS"&amp;CHAR(10)&amp;"Agent Name: "&amp;$C534&amp;" (EID "&amp;$D534&amp;")"&amp;CHAR(10)&amp;"Audit Date: "&amp;TEXT($B534,"yyyy-mm-dd")&amp;CHAR(10)&amp;"Team Leader: "&amp;$F534&amp;CHAR(10)&amp;"Case Number: "&amp;$M534&amp;CHAR(10)&amp;"Transaction ID: "&amp;$N534&amp;CHAR(10)&amp;"Channel / LOB: "&amp;$K534&amp;" / "&amp;$L534&amp;CHAR(10)&amp;"Evaluator: "&amp;$S534&amp;CHAR(10)&amp;CHAR(10)&amp;"INVALID QUALITY AUDIT DETAILS"&amp;CHAR(10)&amp;"Validation: Invalid"&amp;CHAR(10)&amp;"Invalid Reason: "&amp;$P534&amp;CHAR(10)&amp;"Expected Resolution Code: "&amp;$Q534&amp;CHAR(10)&amp;"Remarks: "&amp;LEFT($R534,600)&amp;CHAR(10)&amp;CHAR(10)&amp;"This is an automated notification from HP Mainstream EQMS."),"✉ Open Email Draft"),"")</f>
        <v/>
      </c>
    </row>
    <row r="535">
      <c r="A535" s="25">
        <f>IF($C535="","","AUD-2026-"&amp;TEXT(ROW()-1,"000000"))</f>
        <v/>
      </c>
      <c r="B535" s="26" t="n"/>
      <c r="C535" s="27" t="n"/>
      <c r="D535" s="25">
        <f>IF($C535="","",IFERROR(IF(INDEX(Roster!$A:$A,MATCH($C535,Roster!$B:$B,0))="","",INDEX(Roster!$A:$A,MATCH($C535,Roster!$B:$B,0))&amp;""),"—"))</f>
        <v/>
      </c>
      <c r="E535" s="25">
        <f>IF($C535="","",IFERROR(IF(INDEX(Roster!$C:$C,MATCH($C535,Roster!$B:$B,0))="","",INDEX(Roster!$C:$C,MATCH($C535,Roster!$B:$B,0))&amp;""),"—"))</f>
        <v/>
      </c>
      <c r="F535" s="25">
        <f>IF($C535="","",IFERROR(IF(INDEX(Roster!$D:$D,MATCH($C535,Roster!$B:$B,0))="","",INDEX(Roster!$D:$D,MATCH($C535,Roster!$B:$B,0))&amp;""),"—"))</f>
        <v/>
      </c>
      <c r="G535" s="25">
        <f>IF($C535="","",IFERROR(IF(INDEX(Roster!$E:$E,MATCH($C535,Roster!$B:$B,0))="","",INDEX(Roster!$E:$E,MATCH($C535,Roster!$B:$B,0))&amp;""),"—"))</f>
        <v/>
      </c>
      <c r="H535" s="25">
        <f>IF($C535="","",IFERROR(IF(INDEX(Roster!$F:$F,MATCH($C535,Roster!$B:$B,0))="","",INDEX(Roster!$F:$F,MATCH($C535,Roster!$B:$B,0))&amp;""),"—"))</f>
        <v/>
      </c>
      <c r="I535" s="25">
        <f>IF($C535="","",IFERROR(IF(INDEX(Roster!$G:$G,MATCH($C535,Roster!$B:$B,0))="","",INDEX(Roster!$G:$G,MATCH($C535,Roster!$B:$B,0))&amp;""),"—"))</f>
        <v/>
      </c>
      <c r="J535" s="25">
        <f>IF($C535="","",IFERROR(IF(INDEX(Roster!$I:$I,MATCH($C535,Roster!$B:$B,0))="","",INDEX(Roster!$I:$I,MATCH($C535,Roster!$B:$B,0))&amp;""),"—"))</f>
        <v/>
      </c>
      <c r="K535">
        <f>IF($C535="","",IFERROR(IF(INDEX(Roster!$J:$J,MATCH($C535,Roster!$B:$B,0))="","",INDEX(Roster!$J:$J,MATCH($C535,Roster!$B:$B,0))&amp;""),"—"))</f>
        <v/>
      </c>
      <c r="L535">
        <f>IF($C535="","",IFERROR(IF(INDEX(Roster!$K:$K,MATCH($C535,Roster!$B:$B,0))="","",INDEX(Roster!$K:$K,MATCH($C535,Roster!$B:$B,0))&amp;""),"—"))</f>
        <v/>
      </c>
      <c r="M535" s="27" t="n"/>
      <c r="N535" s="27" t="n"/>
      <c r="O535" s="25">
        <f>IF($C535="","",IF($P535="","—",IF($P535="Valid (Pass)","Valid","Invalid")))</f>
        <v/>
      </c>
      <c r="P535" s="27" t="n"/>
      <c r="Q535" s="27" t="n"/>
      <c r="R535" s="27" t="n"/>
      <c r="S535" s="27" t="n"/>
      <c r="T535" s="25">
        <f>IF($C535="","",IF(OR(ISNUMBER(SEARCH("quick case",$P535)),ISNUMBER(SEARCH("quick case",$Q535))),"Yes","No"))</f>
        <v/>
      </c>
      <c r="U535" s="25">
        <f>IF($O535="Invalid",HYPERLINK("mailto:"&amp;$G535&amp;";"&amp;$I535&amp;"?cc="&amp;Lists!$E$2&amp;"&amp;subject="&amp;_xlfn.ENCODEURL("[INVALID] Quality audit monitoring completed for "&amp;UPPER($C535))&amp;"&amp;body="&amp;_xlfn.ENCODEURL("Hi "&amp;$F535&amp;","&amp;CHAR(10)&amp;"Good day!"&amp;CHAR(10)&amp;CHAR(10)&amp;"A quality monitoring audit has been completed for "&amp;$C535&amp;"."&amp;CHAR(10)&amp;CHAR(10)&amp;"QUALITY AUDIT DETAILS"&amp;CHAR(10)&amp;"Agent Name: "&amp;$C535&amp;" (EID "&amp;$D535&amp;")"&amp;CHAR(10)&amp;"Audit Date: "&amp;TEXT($B535,"yyyy-mm-dd")&amp;CHAR(10)&amp;"Team Leader: "&amp;$F535&amp;CHAR(10)&amp;"Case Number: "&amp;$M535&amp;CHAR(10)&amp;"Transaction ID: "&amp;$N535&amp;CHAR(10)&amp;"Channel / LOB: "&amp;$K535&amp;" / "&amp;$L535&amp;CHAR(10)&amp;"Evaluator: "&amp;$S535&amp;CHAR(10)&amp;CHAR(10)&amp;"INVALID QUALITY AUDIT DETAILS"&amp;CHAR(10)&amp;"Validation: Invalid"&amp;CHAR(10)&amp;"Invalid Reason: "&amp;$P535&amp;CHAR(10)&amp;"Expected Resolution Code: "&amp;$Q535&amp;CHAR(10)&amp;"Remarks: "&amp;LEFT($R535,600)&amp;CHAR(10)&amp;CHAR(10)&amp;"This is an automated notification from HP Mainstream EQMS."),"✉ Open Email Draft"),"")</f>
        <v/>
      </c>
    </row>
    <row r="536">
      <c r="A536" s="25">
        <f>IF($C536="","","AUD-2026-"&amp;TEXT(ROW()-1,"000000"))</f>
        <v/>
      </c>
      <c r="B536" s="26" t="n"/>
      <c r="C536" s="27" t="n"/>
      <c r="D536" s="25">
        <f>IF($C536="","",IFERROR(IF(INDEX(Roster!$A:$A,MATCH($C536,Roster!$B:$B,0))="","",INDEX(Roster!$A:$A,MATCH($C536,Roster!$B:$B,0))&amp;""),"—"))</f>
        <v/>
      </c>
      <c r="E536" s="25">
        <f>IF($C536="","",IFERROR(IF(INDEX(Roster!$C:$C,MATCH($C536,Roster!$B:$B,0))="","",INDEX(Roster!$C:$C,MATCH($C536,Roster!$B:$B,0))&amp;""),"—"))</f>
        <v/>
      </c>
      <c r="F536" s="25">
        <f>IF($C536="","",IFERROR(IF(INDEX(Roster!$D:$D,MATCH($C536,Roster!$B:$B,0))="","",INDEX(Roster!$D:$D,MATCH($C536,Roster!$B:$B,0))&amp;""),"—"))</f>
        <v/>
      </c>
      <c r="G536" s="25">
        <f>IF($C536="","",IFERROR(IF(INDEX(Roster!$E:$E,MATCH($C536,Roster!$B:$B,0))="","",INDEX(Roster!$E:$E,MATCH($C536,Roster!$B:$B,0))&amp;""),"—"))</f>
        <v/>
      </c>
      <c r="H536" s="25">
        <f>IF($C536="","",IFERROR(IF(INDEX(Roster!$F:$F,MATCH($C536,Roster!$B:$B,0))="","",INDEX(Roster!$F:$F,MATCH($C536,Roster!$B:$B,0))&amp;""),"—"))</f>
        <v/>
      </c>
      <c r="I536" s="25">
        <f>IF($C536="","",IFERROR(IF(INDEX(Roster!$G:$G,MATCH($C536,Roster!$B:$B,0))="","",INDEX(Roster!$G:$G,MATCH($C536,Roster!$B:$B,0))&amp;""),"—"))</f>
        <v/>
      </c>
      <c r="J536" s="25">
        <f>IF($C536="","",IFERROR(IF(INDEX(Roster!$I:$I,MATCH($C536,Roster!$B:$B,0))="","",INDEX(Roster!$I:$I,MATCH($C536,Roster!$B:$B,0))&amp;""),"—"))</f>
        <v/>
      </c>
      <c r="K536">
        <f>IF($C536="","",IFERROR(IF(INDEX(Roster!$J:$J,MATCH($C536,Roster!$B:$B,0))="","",INDEX(Roster!$J:$J,MATCH($C536,Roster!$B:$B,0))&amp;""),"—"))</f>
        <v/>
      </c>
      <c r="L536">
        <f>IF($C536="","",IFERROR(IF(INDEX(Roster!$K:$K,MATCH($C536,Roster!$B:$B,0))="","",INDEX(Roster!$K:$K,MATCH($C536,Roster!$B:$B,0))&amp;""),"—"))</f>
        <v/>
      </c>
      <c r="M536" s="27" t="n"/>
      <c r="N536" s="27" t="n"/>
      <c r="O536" s="25">
        <f>IF($C536="","",IF($P536="","—",IF($P536="Valid (Pass)","Valid","Invalid")))</f>
        <v/>
      </c>
      <c r="P536" s="27" t="n"/>
      <c r="Q536" s="27" t="n"/>
      <c r="R536" s="27" t="n"/>
      <c r="S536" s="27" t="n"/>
      <c r="T536" s="25">
        <f>IF($C536="","",IF(OR(ISNUMBER(SEARCH("quick case",$P536)),ISNUMBER(SEARCH("quick case",$Q536))),"Yes","No"))</f>
        <v/>
      </c>
      <c r="U536" s="25">
        <f>IF($O536="Invalid",HYPERLINK("mailto:"&amp;$G536&amp;";"&amp;$I536&amp;"?cc="&amp;Lists!$E$2&amp;"&amp;subject="&amp;_xlfn.ENCODEURL("[INVALID] Quality audit monitoring completed for "&amp;UPPER($C536))&amp;"&amp;body="&amp;_xlfn.ENCODEURL("Hi "&amp;$F536&amp;","&amp;CHAR(10)&amp;"Good day!"&amp;CHAR(10)&amp;CHAR(10)&amp;"A quality monitoring audit has been completed for "&amp;$C536&amp;"."&amp;CHAR(10)&amp;CHAR(10)&amp;"QUALITY AUDIT DETAILS"&amp;CHAR(10)&amp;"Agent Name: "&amp;$C536&amp;" (EID "&amp;$D536&amp;")"&amp;CHAR(10)&amp;"Audit Date: "&amp;TEXT($B536,"yyyy-mm-dd")&amp;CHAR(10)&amp;"Team Leader: "&amp;$F536&amp;CHAR(10)&amp;"Case Number: "&amp;$M536&amp;CHAR(10)&amp;"Transaction ID: "&amp;$N536&amp;CHAR(10)&amp;"Channel / LOB: "&amp;$K536&amp;" / "&amp;$L536&amp;CHAR(10)&amp;"Evaluator: "&amp;$S536&amp;CHAR(10)&amp;CHAR(10)&amp;"INVALID QUALITY AUDIT DETAILS"&amp;CHAR(10)&amp;"Validation: Invalid"&amp;CHAR(10)&amp;"Invalid Reason: "&amp;$P536&amp;CHAR(10)&amp;"Expected Resolution Code: "&amp;$Q536&amp;CHAR(10)&amp;"Remarks: "&amp;LEFT($R536,600)&amp;CHAR(10)&amp;CHAR(10)&amp;"This is an automated notification from HP Mainstream EQMS."),"✉ Open Email Draft"),"")</f>
        <v/>
      </c>
    </row>
    <row r="537">
      <c r="A537" s="25">
        <f>IF($C537="","","AUD-2026-"&amp;TEXT(ROW()-1,"000000"))</f>
        <v/>
      </c>
      <c r="B537" s="26" t="n"/>
      <c r="C537" s="27" t="n"/>
      <c r="D537" s="25">
        <f>IF($C537="","",IFERROR(IF(INDEX(Roster!$A:$A,MATCH($C537,Roster!$B:$B,0))="","",INDEX(Roster!$A:$A,MATCH($C537,Roster!$B:$B,0))&amp;""),"—"))</f>
        <v/>
      </c>
      <c r="E537" s="25">
        <f>IF($C537="","",IFERROR(IF(INDEX(Roster!$C:$C,MATCH($C537,Roster!$B:$B,0))="","",INDEX(Roster!$C:$C,MATCH($C537,Roster!$B:$B,0))&amp;""),"—"))</f>
        <v/>
      </c>
      <c r="F537" s="25">
        <f>IF($C537="","",IFERROR(IF(INDEX(Roster!$D:$D,MATCH($C537,Roster!$B:$B,0))="","",INDEX(Roster!$D:$D,MATCH($C537,Roster!$B:$B,0))&amp;""),"—"))</f>
        <v/>
      </c>
      <c r="G537" s="25">
        <f>IF($C537="","",IFERROR(IF(INDEX(Roster!$E:$E,MATCH($C537,Roster!$B:$B,0))="","",INDEX(Roster!$E:$E,MATCH($C537,Roster!$B:$B,0))&amp;""),"—"))</f>
        <v/>
      </c>
      <c r="H537" s="25">
        <f>IF($C537="","",IFERROR(IF(INDEX(Roster!$F:$F,MATCH($C537,Roster!$B:$B,0))="","",INDEX(Roster!$F:$F,MATCH($C537,Roster!$B:$B,0))&amp;""),"—"))</f>
        <v/>
      </c>
      <c r="I537" s="25">
        <f>IF($C537="","",IFERROR(IF(INDEX(Roster!$G:$G,MATCH($C537,Roster!$B:$B,0))="","",INDEX(Roster!$G:$G,MATCH($C537,Roster!$B:$B,0))&amp;""),"—"))</f>
        <v/>
      </c>
      <c r="J537" s="25">
        <f>IF($C537="","",IFERROR(IF(INDEX(Roster!$I:$I,MATCH($C537,Roster!$B:$B,0))="","",INDEX(Roster!$I:$I,MATCH($C537,Roster!$B:$B,0))&amp;""),"—"))</f>
        <v/>
      </c>
      <c r="K537">
        <f>IF($C537="","",IFERROR(IF(INDEX(Roster!$J:$J,MATCH($C537,Roster!$B:$B,0))="","",INDEX(Roster!$J:$J,MATCH($C537,Roster!$B:$B,0))&amp;""),"—"))</f>
        <v/>
      </c>
      <c r="L537">
        <f>IF($C537="","",IFERROR(IF(INDEX(Roster!$K:$K,MATCH($C537,Roster!$B:$B,0))="","",INDEX(Roster!$K:$K,MATCH($C537,Roster!$B:$B,0))&amp;""),"—"))</f>
        <v/>
      </c>
      <c r="M537" s="27" t="n"/>
      <c r="N537" s="27" t="n"/>
      <c r="O537" s="25">
        <f>IF($C537="","",IF($P537="","—",IF($P537="Valid (Pass)","Valid","Invalid")))</f>
        <v/>
      </c>
      <c r="P537" s="27" t="n"/>
      <c r="Q537" s="27" t="n"/>
      <c r="R537" s="27" t="n"/>
      <c r="S537" s="27" t="n"/>
      <c r="T537" s="25">
        <f>IF($C537="","",IF(OR(ISNUMBER(SEARCH("quick case",$P537)),ISNUMBER(SEARCH("quick case",$Q537))),"Yes","No"))</f>
        <v/>
      </c>
      <c r="U537" s="25">
        <f>IF($O537="Invalid",HYPERLINK("mailto:"&amp;$G537&amp;";"&amp;$I537&amp;"?cc="&amp;Lists!$E$2&amp;"&amp;subject="&amp;_xlfn.ENCODEURL("[INVALID] Quality audit monitoring completed for "&amp;UPPER($C537))&amp;"&amp;body="&amp;_xlfn.ENCODEURL("Hi "&amp;$F537&amp;","&amp;CHAR(10)&amp;"Good day!"&amp;CHAR(10)&amp;CHAR(10)&amp;"A quality monitoring audit has been completed for "&amp;$C537&amp;"."&amp;CHAR(10)&amp;CHAR(10)&amp;"QUALITY AUDIT DETAILS"&amp;CHAR(10)&amp;"Agent Name: "&amp;$C537&amp;" (EID "&amp;$D537&amp;")"&amp;CHAR(10)&amp;"Audit Date: "&amp;TEXT($B537,"yyyy-mm-dd")&amp;CHAR(10)&amp;"Team Leader: "&amp;$F537&amp;CHAR(10)&amp;"Case Number: "&amp;$M537&amp;CHAR(10)&amp;"Transaction ID: "&amp;$N537&amp;CHAR(10)&amp;"Channel / LOB: "&amp;$K537&amp;" / "&amp;$L537&amp;CHAR(10)&amp;"Evaluator: "&amp;$S537&amp;CHAR(10)&amp;CHAR(10)&amp;"INVALID QUALITY AUDIT DETAILS"&amp;CHAR(10)&amp;"Validation: Invalid"&amp;CHAR(10)&amp;"Invalid Reason: "&amp;$P537&amp;CHAR(10)&amp;"Expected Resolution Code: "&amp;$Q537&amp;CHAR(10)&amp;"Remarks: "&amp;LEFT($R537,600)&amp;CHAR(10)&amp;CHAR(10)&amp;"This is an automated notification from HP Mainstream EQMS."),"✉ Open Email Draft"),"")</f>
        <v/>
      </c>
    </row>
    <row r="538">
      <c r="A538" s="25">
        <f>IF($C538="","","AUD-2026-"&amp;TEXT(ROW()-1,"000000"))</f>
        <v/>
      </c>
      <c r="B538" s="26" t="n"/>
      <c r="C538" s="27" t="n"/>
      <c r="D538" s="25">
        <f>IF($C538="","",IFERROR(IF(INDEX(Roster!$A:$A,MATCH($C538,Roster!$B:$B,0))="","",INDEX(Roster!$A:$A,MATCH($C538,Roster!$B:$B,0))&amp;""),"—"))</f>
        <v/>
      </c>
      <c r="E538" s="25">
        <f>IF($C538="","",IFERROR(IF(INDEX(Roster!$C:$C,MATCH($C538,Roster!$B:$B,0))="","",INDEX(Roster!$C:$C,MATCH($C538,Roster!$B:$B,0))&amp;""),"—"))</f>
        <v/>
      </c>
      <c r="F538" s="25">
        <f>IF($C538="","",IFERROR(IF(INDEX(Roster!$D:$D,MATCH($C538,Roster!$B:$B,0))="","",INDEX(Roster!$D:$D,MATCH($C538,Roster!$B:$B,0))&amp;""),"—"))</f>
        <v/>
      </c>
      <c r="G538" s="25">
        <f>IF($C538="","",IFERROR(IF(INDEX(Roster!$E:$E,MATCH($C538,Roster!$B:$B,0))="","",INDEX(Roster!$E:$E,MATCH($C538,Roster!$B:$B,0))&amp;""),"—"))</f>
        <v/>
      </c>
      <c r="H538" s="25">
        <f>IF($C538="","",IFERROR(IF(INDEX(Roster!$F:$F,MATCH($C538,Roster!$B:$B,0))="","",INDEX(Roster!$F:$F,MATCH($C538,Roster!$B:$B,0))&amp;""),"—"))</f>
        <v/>
      </c>
      <c r="I538" s="25">
        <f>IF($C538="","",IFERROR(IF(INDEX(Roster!$G:$G,MATCH($C538,Roster!$B:$B,0))="","",INDEX(Roster!$G:$G,MATCH($C538,Roster!$B:$B,0))&amp;""),"—"))</f>
        <v/>
      </c>
      <c r="J538" s="25">
        <f>IF($C538="","",IFERROR(IF(INDEX(Roster!$I:$I,MATCH($C538,Roster!$B:$B,0))="","",INDEX(Roster!$I:$I,MATCH($C538,Roster!$B:$B,0))&amp;""),"—"))</f>
        <v/>
      </c>
      <c r="K538">
        <f>IF($C538="","",IFERROR(IF(INDEX(Roster!$J:$J,MATCH($C538,Roster!$B:$B,0))="","",INDEX(Roster!$J:$J,MATCH($C538,Roster!$B:$B,0))&amp;""),"—"))</f>
        <v/>
      </c>
      <c r="L538">
        <f>IF($C538="","",IFERROR(IF(INDEX(Roster!$K:$K,MATCH($C538,Roster!$B:$B,0))="","",INDEX(Roster!$K:$K,MATCH($C538,Roster!$B:$B,0))&amp;""),"—"))</f>
        <v/>
      </c>
      <c r="M538" s="27" t="n"/>
      <c r="N538" s="27" t="n"/>
      <c r="O538" s="25">
        <f>IF($C538="","",IF($P538="","—",IF($P538="Valid (Pass)","Valid","Invalid")))</f>
        <v/>
      </c>
      <c r="P538" s="27" t="n"/>
      <c r="Q538" s="27" t="n"/>
      <c r="R538" s="27" t="n"/>
      <c r="S538" s="27" t="n"/>
      <c r="T538" s="25">
        <f>IF($C538="","",IF(OR(ISNUMBER(SEARCH("quick case",$P538)),ISNUMBER(SEARCH("quick case",$Q538))),"Yes","No"))</f>
        <v/>
      </c>
      <c r="U538" s="25">
        <f>IF($O538="Invalid",HYPERLINK("mailto:"&amp;$G538&amp;";"&amp;$I538&amp;"?cc="&amp;Lists!$E$2&amp;"&amp;subject="&amp;_xlfn.ENCODEURL("[INVALID] Quality audit monitoring completed for "&amp;UPPER($C538))&amp;"&amp;body="&amp;_xlfn.ENCODEURL("Hi "&amp;$F538&amp;","&amp;CHAR(10)&amp;"Good day!"&amp;CHAR(10)&amp;CHAR(10)&amp;"A quality monitoring audit has been completed for "&amp;$C538&amp;"."&amp;CHAR(10)&amp;CHAR(10)&amp;"QUALITY AUDIT DETAILS"&amp;CHAR(10)&amp;"Agent Name: "&amp;$C538&amp;" (EID "&amp;$D538&amp;")"&amp;CHAR(10)&amp;"Audit Date: "&amp;TEXT($B538,"yyyy-mm-dd")&amp;CHAR(10)&amp;"Team Leader: "&amp;$F538&amp;CHAR(10)&amp;"Case Number: "&amp;$M538&amp;CHAR(10)&amp;"Transaction ID: "&amp;$N538&amp;CHAR(10)&amp;"Channel / LOB: "&amp;$K538&amp;" / "&amp;$L538&amp;CHAR(10)&amp;"Evaluator: "&amp;$S538&amp;CHAR(10)&amp;CHAR(10)&amp;"INVALID QUALITY AUDIT DETAILS"&amp;CHAR(10)&amp;"Validation: Invalid"&amp;CHAR(10)&amp;"Invalid Reason: "&amp;$P538&amp;CHAR(10)&amp;"Expected Resolution Code: "&amp;$Q538&amp;CHAR(10)&amp;"Remarks: "&amp;LEFT($R538,600)&amp;CHAR(10)&amp;CHAR(10)&amp;"This is an automated notification from HP Mainstream EQMS."),"✉ Open Email Draft"),"")</f>
        <v/>
      </c>
    </row>
    <row r="539">
      <c r="A539" s="25">
        <f>IF($C539="","","AUD-2026-"&amp;TEXT(ROW()-1,"000000"))</f>
        <v/>
      </c>
      <c r="B539" s="26" t="n"/>
      <c r="C539" s="27" t="n"/>
      <c r="D539" s="25">
        <f>IF($C539="","",IFERROR(IF(INDEX(Roster!$A:$A,MATCH($C539,Roster!$B:$B,0))="","",INDEX(Roster!$A:$A,MATCH($C539,Roster!$B:$B,0))&amp;""),"—"))</f>
        <v/>
      </c>
      <c r="E539" s="25">
        <f>IF($C539="","",IFERROR(IF(INDEX(Roster!$C:$C,MATCH($C539,Roster!$B:$B,0))="","",INDEX(Roster!$C:$C,MATCH($C539,Roster!$B:$B,0))&amp;""),"—"))</f>
        <v/>
      </c>
      <c r="F539" s="25">
        <f>IF($C539="","",IFERROR(IF(INDEX(Roster!$D:$D,MATCH($C539,Roster!$B:$B,0))="","",INDEX(Roster!$D:$D,MATCH($C539,Roster!$B:$B,0))&amp;""),"—"))</f>
        <v/>
      </c>
      <c r="G539" s="25">
        <f>IF($C539="","",IFERROR(IF(INDEX(Roster!$E:$E,MATCH($C539,Roster!$B:$B,0))="","",INDEX(Roster!$E:$E,MATCH($C539,Roster!$B:$B,0))&amp;""),"—"))</f>
        <v/>
      </c>
      <c r="H539" s="25">
        <f>IF($C539="","",IFERROR(IF(INDEX(Roster!$F:$F,MATCH($C539,Roster!$B:$B,0))="","",INDEX(Roster!$F:$F,MATCH($C539,Roster!$B:$B,0))&amp;""),"—"))</f>
        <v/>
      </c>
      <c r="I539" s="25">
        <f>IF($C539="","",IFERROR(IF(INDEX(Roster!$G:$G,MATCH($C539,Roster!$B:$B,0))="","",INDEX(Roster!$G:$G,MATCH($C539,Roster!$B:$B,0))&amp;""),"—"))</f>
        <v/>
      </c>
      <c r="J539" s="25">
        <f>IF($C539="","",IFERROR(IF(INDEX(Roster!$I:$I,MATCH($C539,Roster!$B:$B,0))="","",INDEX(Roster!$I:$I,MATCH($C539,Roster!$B:$B,0))&amp;""),"—"))</f>
        <v/>
      </c>
      <c r="K539">
        <f>IF($C539="","",IFERROR(IF(INDEX(Roster!$J:$J,MATCH($C539,Roster!$B:$B,0))="","",INDEX(Roster!$J:$J,MATCH($C539,Roster!$B:$B,0))&amp;""),"—"))</f>
        <v/>
      </c>
      <c r="L539">
        <f>IF($C539="","",IFERROR(IF(INDEX(Roster!$K:$K,MATCH($C539,Roster!$B:$B,0))="","",INDEX(Roster!$K:$K,MATCH($C539,Roster!$B:$B,0))&amp;""),"—"))</f>
        <v/>
      </c>
      <c r="M539" s="27" t="n"/>
      <c r="N539" s="27" t="n"/>
      <c r="O539" s="25">
        <f>IF($C539="","",IF($P539="","—",IF($P539="Valid (Pass)","Valid","Invalid")))</f>
        <v/>
      </c>
      <c r="P539" s="27" t="n"/>
      <c r="Q539" s="27" t="n"/>
      <c r="R539" s="27" t="n"/>
      <c r="S539" s="27" t="n"/>
      <c r="T539" s="25">
        <f>IF($C539="","",IF(OR(ISNUMBER(SEARCH("quick case",$P539)),ISNUMBER(SEARCH("quick case",$Q539))),"Yes","No"))</f>
        <v/>
      </c>
      <c r="U539" s="25">
        <f>IF($O539="Invalid",HYPERLINK("mailto:"&amp;$G539&amp;";"&amp;$I539&amp;"?cc="&amp;Lists!$E$2&amp;"&amp;subject="&amp;_xlfn.ENCODEURL("[INVALID] Quality audit monitoring completed for "&amp;UPPER($C539))&amp;"&amp;body="&amp;_xlfn.ENCODEURL("Hi "&amp;$F539&amp;","&amp;CHAR(10)&amp;"Good day!"&amp;CHAR(10)&amp;CHAR(10)&amp;"A quality monitoring audit has been completed for "&amp;$C539&amp;"."&amp;CHAR(10)&amp;CHAR(10)&amp;"QUALITY AUDIT DETAILS"&amp;CHAR(10)&amp;"Agent Name: "&amp;$C539&amp;" (EID "&amp;$D539&amp;")"&amp;CHAR(10)&amp;"Audit Date: "&amp;TEXT($B539,"yyyy-mm-dd")&amp;CHAR(10)&amp;"Team Leader: "&amp;$F539&amp;CHAR(10)&amp;"Case Number: "&amp;$M539&amp;CHAR(10)&amp;"Transaction ID: "&amp;$N539&amp;CHAR(10)&amp;"Channel / LOB: "&amp;$K539&amp;" / "&amp;$L539&amp;CHAR(10)&amp;"Evaluator: "&amp;$S539&amp;CHAR(10)&amp;CHAR(10)&amp;"INVALID QUALITY AUDIT DETAILS"&amp;CHAR(10)&amp;"Validation: Invalid"&amp;CHAR(10)&amp;"Invalid Reason: "&amp;$P539&amp;CHAR(10)&amp;"Expected Resolution Code: "&amp;$Q539&amp;CHAR(10)&amp;"Remarks: "&amp;LEFT($R539,600)&amp;CHAR(10)&amp;CHAR(10)&amp;"This is an automated notification from HP Mainstream EQMS."),"✉ Open Email Draft"),"")</f>
        <v/>
      </c>
    </row>
    <row r="540">
      <c r="A540" s="25">
        <f>IF($C540="","","AUD-2026-"&amp;TEXT(ROW()-1,"000000"))</f>
        <v/>
      </c>
      <c r="B540" s="26" t="n"/>
      <c r="C540" s="27" t="n"/>
      <c r="D540" s="25">
        <f>IF($C540="","",IFERROR(IF(INDEX(Roster!$A:$A,MATCH($C540,Roster!$B:$B,0))="","",INDEX(Roster!$A:$A,MATCH($C540,Roster!$B:$B,0))&amp;""),"—"))</f>
        <v/>
      </c>
      <c r="E540" s="25">
        <f>IF($C540="","",IFERROR(IF(INDEX(Roster!$C:$C,MATCH($C540,Roster!$B:$B,0))="","",INDEX(Roster!$C:$C,MATCH($C540,Roster!$B:$B,0))&amp;""),"—"))</f>
        <v/>
      </c>
      <c r="F540" s="25">
        <f>IF($C540="","",IFERROR(IF(INDEX(Roster!$D:$D,MATCH($C540,Roster!$B:$B,0))="","",INDEX(Roster!$D:$D,MATCH($C540,Roster!$B:$B,0))&amp;""),"—"))</f>
        <v/>
      </c>
      <c r="G540" s="25">
        <f>IF($C540="","",IFERROR(IF(INDEX(Roster!$E:$E,MATCH($C540,Roster!$B:$B,0))="","",INDEX(Roster!$E:$E,MATCH($C540,Roster!$B:$B,0))&amp;""),"—"))</f>
        <v/>
      </c>
      <c r="H540" s="25">
        <f>IF($C540="","",IFERROR(IF(INDEX(Roster!$F:$F,MATCH($C540,Roster!$B:$B,0))="","",INDEX(Roster!$F:$F,MATCH($C540,Roster!$B:$B,0))&amp;""),"—"))</f>
        <v/>
      </c>
      <c r="I540" s="25">
        <f>IF($C540="","",IFERROR(IF(INDEX(Roster!$G:$G,MATCH($C540,Roster!$B:$B,0))="","",INDEX(Roster!$G:$G,MATCH($C540,Roster!$B:$B,0))&amp;""),"—"))</f>
        <v/>
      </c>
      <c r="J540" s="25">
        <f>IF($C540="","",IFERROR(IF(INDEX(Roster!$I:$I,MATCH($C540,Roster!$B:$B,0))="","",INDEX(Roster!$I:$I,MATCH($C540,Roster!$B:$B,0))&amp;""),"—"))</f>
        <v/>
      </c>
      <c r="K540">
        <f>IF($C540="","",IFERROR(IF(INDEX(Roster!$J:$J,MATCH($C540,Roster!$B:$B,0))="","",INDEX(Roster!$J:$J,MATCH($C540,Roster!$B:$B,0))&amp;""),"—"))</f>
        <v/>
      </c>
      <c r="L540">
        <f>IF($C540="","",IFERROR(IF(INDEX(Roster!$K:$K,MATCH($C540,Roster!$B:$B,0))="","",INDEX(Roster!$K:$K,MATCH($C540,Roster!$B:$B,0))&amp;""),"—"))</f>
        <v/>
      </c>
      <c r="M540" s="27" t="n"/>
      <c r="N540" s="27" t="n"/>
      <c r="O540" s="25">
        <f>IF($C540="","",IF($P540="","—",IF($P540="Valid (Pass)","Valid","Invalid")))</f>
        <v/>
      </c>
      <c r="P540" s="27" t="n"/>
      <c r="Q540" s="27" t="n"/>
      <c r="R540" s="27" t="n"/>
      <c r="S540" s="27" t="n"/>
      <c r="T540" s="25">
        <f>IF($C540="","",IF(OR(ISNUMBER(SEARCH("quick case",$P540)),ISNUMBER(SEARCH("quick case",$Q540))),"Yes","No"))</f>
        <v/>
      </c>
      <c r="U540" s="25">
        <f>IF($O540="Invalid",HYPERLINK("mailto:"&amp;$G540&amp;";"&amp;$I540&amp;"?cc="&amp;Lists!$E$2&amp;"&amp;subject="&amp;_xlfn.ENCODEURL("[INVALID] Quality audit monitoring completed for "&amp;UPPER($C540))&amp;"&amp;body="&amp;_xlfn.ENCODEURL("Hi "&amp;$F540&amp;","&amp;CHAR(10)&amp;"Good day!"&amp;CHAR(10)&amp;CHAR(10)&amp;"A quality monitoring audit has been completed for "&amp;$C540&amp;"."&amp;CHAR(10)&amp;CHAR(10)&amp;"QUALITY AUDIT DETAILS"&amp;CHAR(10)&amp;"Agent Name: "&amp;$C540&amp;" (EID "&amp;$D540&amp;")"&amp;CHAR(10)&amp;"Audit Date: "&amp;TEXT($B540,"yyyy-mm-dd")&amp;CHAR(10)&amp;"Team Leader: "&amp;$F540&amp;CHAR(10)&amp;"Case Number: "&amp;$M540&amp;CHAR(10)&amp;"Transaction ID: "&amp;$N540&amp;CHAR(10)&amp;"Channel / LOB: "&amp;$K540&amp;" / "&amp;$L540&amp;CHAR(10)&amp;"Evaluator: "&amp;$S540&amp;CHAR(10)&amp;CHAR(10)&amp;"INVALID QUALITY AUDIT DETAILS"&amp;CHAR(10)&amp;"Validation: Invalid"&amp;CHAR(10)&amp;"Invalid Reason: "&amp;$P540&amp;CHAR(10)&amp;"Expected Resolution Code: "&amp;$Q540&amp;CHAR(10)&amp;"Remarks: "&amp;LEFT($R540,600)&amp;CHAR(10)&amp;CHAR(10)&amp;"This is an automated notification from HP Mainstream EQMS."),"✉ Open Email Draft"),"")</f>
        <v/>
      </c>
    </row>
    <row r="541">
      <c r="A541" s="25">
        <f>IF($C541="","","AUD-2026-"&amp;TEXT(ROW()-1,"000000"))</f>
        <v/>
      </c>
      <c r="B541" s="26" t="n"/>
      <c r="C541" s="27" t="n"/>
      <c r="D541" s="25">
        <f>IF($C541="","",IFERROR(IF(INDEX(Roster!$A:$A,MATCH($C541,Roster!$B:$B,0))="","",INDEX(Roster!$A:$A,MATCH($C541,Roster!$B:$B,0))&amp;""),"—"))</f>
        <v/>
      </c>
      <c r="E541" s="25">
        <f>IF($C541="","",IFERROR(IF(INDEX(Roster!$C:$C,MATCH($C541,Roster!$B:$B,0))="","",INDEX(Roster!$C:$C,MATCH($C541,Roster!$B:$B,0))&amp;""),"—"))</f>
        <v/>
      </c>
      <c r="F541" s="25">
        <f>IF($C541="","",IFERROR(IF(INDEX(Roster!$D:$D,MATCH($C541,Roster!$B:$B,0))="","",INDEX(Roster!$D:$D,MATCH($C541,Roster!$B:$B,0))&amp;""),"—"))</f>
        <v/>
      </c>
      <c r="G541" s="25">
        <f>IF($C541="","",IFERROR(IF(INDEX(Roster!$E:$E,MATCH($C541,Roster!$B:$B,0))="","",INDEX(Roster!$E:$E,MATCH($C541,Roster!$B:$B,0))&amp;""),"—"))</f>
        <v/>
      </c>
      <c r="H541" s="25">
        <f>IF($C541="","",IFERROR(IF(INDEX(Roster!$F:$F,MATCH($C541,Roster!$B:$B,0))="","",INDEX(Roster!$F:$F,MATCH($C541,Roster!$B:$B,0))&amp;""),"—"))</f>
        <v/>
      </c>
      <c r="I541" s="25">
        <f>IF($C541="","",IFERROR(IF(INDEX(Roster!$G:$G,MATCH($C541,Roster!$B:$B,0))="","",INDEX(Roster!$G:$G,MATCH($C541,Roster!$B:$B,0))&amp;""),"—"))</f>
        <v/>
      </c>
      <c r="J541" s="25">
        <f>IF($C541="","",IFERROR(IF(INDEX(Roster!$I:$I,MATCH($C541,Roster!$B:$B,0))="","",INDEX(Roster!$I:$I,MATCH($C541,Roster!$B:$B,0))&amp;""),"—"))</f>
        <v/>
      </c>
      <c r="K541">
        <f>IF($C541="","",IFERROR(IF(INDEX(Roster!$J:$J,MATCH($C541,Roster!$B:$B,0))="","",INDEX(Roster!$J:$J,MATCH($C541,Roster!$B:$B,0))&amp;""),"—"))</f>
        <v/>
      </c>
      <c r="L541">
        <f>IF($C541="","",IFERROR(IF(INDEX(Roster!$K:$K,MATCH($C541,Roster!$B:$B,0))="","",INDEX(Roster!$K:$K,MATCH($C541,Roster!$B:$B,0))&amp;""),"—"))</f>
        <v/>
      </c>
      <c r="M541" s="27" t="n"/>
      <c r="N541" s="27" t="n"/>
      <c r="O541" s="25">
        <f>IF($C541="","",IF($P541="","—",IF($P541="Valid (Pass)","Valid","Invalid")))</f>
        <v/>
      </c>
      <c r="P541" s="27" t="n"/>
      <c r="Q541" s="27" t="n"/>
      <c r="R541" s="27" t="n"/>
      <c r="S541" s="27" t="n"/>
      <c r="T541" s="25">
        <f>IF($C541="","",IF(OR(ISNUMBER(SEARCH("quick case",$P541)),ISNUMBER(SEARCH("quick case",$Q541))),"Yes","No"))</f>
        <v/>
      </c>
      <c r="U541" s="25">
        <f>IF($O541="Invalid",HYPERLINK("mailto:"&amp;$G541&amp;";"&amp;$I541&amp;"?cc="&amp;Lists!$E$2&amp;"&amp;subject="&amp;_xlfn.ENCODEURL("[INVALID] Quality audit monitoring completed for "&amp;UPPER($C541))&amp;"&amp;body="&amp;_xlfn.ENCODEURL("Hi "&amp;$F541&amp;","&amp;CHAR(10)&amp;"Good day!"&amp;CHAR(10)&amp;CHAR(10)&amp;"A quality monitoring audit has been completed for "&amp;$C541&amp;"."&amp;CHAR(10)&amp;CHAR(10)&amp;"QUALITY AUDIT DETAILS"&amp;CHAR(10)&amp;"Agent Name: "&amp;$C541&amp;" (EID "&amp;$D541&amp;")"&amp;CHAR(10)&amp;"Audit Date: "&amp;TEXT($B541,"yyyy-mm-dd")&amp;CHAR(10)&amp;"Team Leader: "&amp;$F541&amp;CHAR(10)&amp;"Case Number: "&amp;$M541&amp;CHAR(10)&amp;"Transaction ID: "&amp;$N541&amp;CHAR(10)&amp;"Channel / LOB: "&amp;$K541&amp;" / "&amp;$L541&amp;CHAR(10)&amp;"Evaluator: "&amp;$S541&amp;CHAR(10)&amp;CHAR(10)&amp;"INVALID QUALITY AUDIT DETAILS"&amp;CHAR(10)&amp;"Validation: Invalid"&amp;CHAR(10)&amp;"Invalid Reason: "&amp;$P541&amp;CHAR(10)&amp;"Expected Resolution Code: "&amp;$Q541&amp;CHAR(10)&amp;"Remarks: "&amp;LEFT($R541,600)&amp;CHAR(10)&amp;CHAR(10)&amp;"This is an automated notification from HP Mainstream EQMS."),"✉ Open Email Draft"),"")</f>
        <v/>
      </c>
    </row>
    <row r="542">
      <c r="A542" s="25">
        <f>IF($C542="","","AUD-2026-"&amp;TEXT(ROW()-1,"000000"))</f>
        <v/>
      </c>
      <c r="B542" s="26" t="n"/>
      <c r="C542" s="27" t="n"/>
      <c r="D542" s="25">
        <f>IF($C542="","",IFERROR(IF(INDEX(Roster!$A:$A,MATCH($C542,Roster!$B:$B,0))="","",INDEX(Roster!$A:$A,MATCH($C542,Roster!$B:$B,0))&amp;""),"—"))</f>
        <v/>
      </c>
      <c r="E542" s="25">
        <f>IF($C542="","",IFERROR(IF(INDEX(Roster!$C:$C,MATCH($C542,Roster!$B:$B,0))="","",INDEX(Roster!$C:$C,MATCH($C542,Roster!$B:$B,0))&amp;""),"—"))</f>
        <v/>
      </c>
      <c r="F542" s="25">
        <f>IF($C542="","",IFERROR(IF(INDEX(Roster!$D:$D,MATCH($C542,Roster!$B:$B,0))="","",INDEX(Roster!$D:$D,MATCH($C542,Roster!$B:$B,0))&amp;""),"—"))</f>
        <v/>
      </c>
      <c r="G542" s="25">
        <f>IF($C542="","",IFERROR(IF(INDEX(Roster!$E:$E,MATCH($C542,Roster!$B:$B,0))="","",INDEX(Roster!$E:$E,MATCH($C542,Roster!$B:$B,0))&amp;""),"—"))</f>
        <v/>
      </c>
      <c r="H542" s="25">
        <f>IF($C542="","",IFERROR(IF(INDEX(Roster!$F:$F,MATCH($C542,Roster!$B:$B,0))="","",INDEX(Roster!$F:$F,MATCH($C542,Roster!$B:$B,0))&amp;""),"—"))</f>
        <v/>
      </c>
      <c r="I542" s="25">
        <f>IF($C542="","",IFERROR(IF(INDEX(Roster!$G:$G,MATCH($C542,Roster!$B:$B,0))="","",INDEX(Roster!$G:$G,MATCH($C542,Roster!$B:$B,0))&amp;""),"—"))</f>
        <v/>
      </c>
      <c r="J542" s="25">
        <f>IF($C542="","",IFERROR(IF(INDEX(Roster!$I:$I,MATCH($C542,Roster!$B:$B,0))="","",INDEX(Roster!$I:$I,MATCH($C542,Roster!$B:$B,0))&amp;""),"—"))</f>
        <v/>
      </c>
      <c r="K542">
        <f>IF($C542="","",IFERROR(IF(INDEX(Roster!$J:$J,MATCH($C542,Roster!$B:$B,0))="","",INDEX(Roster!$J:$J,MATCH($C542,Roster!$B:$B,0))&amp;""),"—"))</f>
        <v/>
      </c>
      <c r="L542">
        <f>IF($C542="","",IFERROR(IF(INDEX(Roster!$K:$K,MATCH($C542,Roster!$B:$B,0))="","",INDEX(Roster!$K:$K,MATCH($C542,Roster!$B:$B,0))&amp;""),"—"))</f>
        <v/>
      </c>
      <c r="M542" s="27" t="n"/>
      <c r="N542" s="27" t="n"/>
      <c r="O542" s="25">
        <f>IF($C542="","",IF($P542="","—",IF($P542="Valid (Pass)","Valid","Invalid")))</f>
        <v/>
      </c>
      <c r="P542" s="27" t="n"/>
      <c r="Q542" s="27" t="n"/>
      <c r="R542" s="27" t="n"/>
      <c r="S542" s="27" t="n"/>
      <c r="T542" s="25">
        <f>IF($C542="","",IF(OR(ISNUMBER(SEARCH("quick case",$P542)),ISNUMBER(SEARCH("quick case",$Q542))),"Yes","No"))</f>
        <v/>
      </c>
      <c r="U542" s="25">
        <f>IF($O542="Invalid",HYPERLINK("mailto:"&amp;$G542&amp;";"&amp;$I542&amp;"?cc="&amp;Lists!$E$2&amp;"&amp;subject="&amp;_xlfn.ENCODEURL("[INVALID] Quality audit monitoring completed for "&amp;UPPER($C542))&amp;"&amp;body="&amp;_xlfn.ENCODEURL("Hi "&amp;$F542&amp;","&amp;CHAR(10)&amp;"Good day!"&amp;CHAR(10)&amp;CHAR(10)&amp;"A quality monitoring audit has been completed for "&amp;$C542&amp;"."&amp;CHAR(10)&amp;CHAR(10)&amp;"QUALITY AUDIT DETAILS"&amp;CHAR(10)&amp;"Agent Name: "&amp;$C542&amp;" (EID "&amp;$D542&amp;")"&amp;CHAR(10)&amp;"Audit Date: "&amp;TEXT($B542,"yyyy-mm-dd")&amp;CHAR(10)&amp;"Team Leader: "&amp;$F542&amp;CHAR(10)&amp;"Case Number: "&amp;$M542&amp;CHAR(10)&amp;"Transaction ID: "&amp;$N542&amp;CHAR(10)&amp;"Channel / LOB: "&amp;$K542&amp;" / "&amp;$L542&amp;CHAR(10)&amp;"Evaluator: "&amp;$S542&amp;CHAR(10)&amp;CHAR(10)&amp;"INVALID QUALITY AUDIT DETAILS"&amp;CHAR(10)&amp;"Validation: Invalid"&amp;CHAR(10)&amp;"Invalid Reason: "&amp;$P542&amp;CHAR(10)&amp;"Expected Resolution Code: "&amp;$Q542&amp;CHAR(10)&amp;"Remarks: "&amp;LEFT($R542,600)&amp;CHAR(10)&amp;CHAR(10)&amp;"This is an automated notification from HP Mainstream EQMS."),"✉ Open Email Draft"),"")</f>
        <v/>
      </c>
    </row>
    <row r="543">
      <c r="A543" s="25">
        <f>IF($C543="","","AUD-2026-"&amp;TEXT(ROW()-1,"000000"))</f>
        <v/>
      </c>
      <c r="B543" s="26" t="n"/>
      <c r="C543" s="27" t="n"/>
      <c r="D543" s="25">
        <f>IF($C543="","",IFERROR(IF(INDEX(Roster!$A:$A,MATCH($C543,Roster!$B:$B,0))="","",INDEX(Roster!$A:$A,MATCH($C543,Roster!$B:$B,0))&amp;""),"—"))</f>
        <v/>
      </c>
      <c r="E543" s="25">
        <f>IF($C543="","",IFERROR(IF(INDEX(Roster!$C:$C,MATCH($C543,Roster!$B:$B,0))="","",INDEX(Roster!$C:$C,MATCH($C543,Roster!$B:$B,0))&amp;""),"—"))</f>
        <v/>
      </c>
      <c r="F543" s="25">
        <f>IF($C543="","",IFERROR(IF(INDEX(Roster!$D:$D,MATCH($C543,Roster!$B:$B,0))="","",INDEX(Roster!$D:$D,MATCH($C543,Roster!$B:$B,0))&amp;""),"—"))</f>
        <v/>
      </c>
      <c r="G543" s="25">
        <f>IF($C543="","",IFERROR(IF(INDEX(Roster!$E:$E,MATCH($C543,Roster!$B:$B,0))="","",INDEX(Roster!$E:$E,MATCH($C543,Roster!$B:$B,0))&amp;""),"—"))</f>
        <v/>
      </c>
      <c r="H543" s="25">
        <f>IF($C543="","",IFERROR(IF(INDEX(Roster!$F:$F,MATCH($C543,Roster!$B:$B,0))="","",INDEX(Roster!$F:$F,MATCH($C543,Roster!$B:$B,0))&amp;""),"—"))</f>
        <v/>
      </c>
      <c r="I543" s="25">
        <f>IF($C543="","",IFERROR(IF(INDEX(Roster!$G:$G,MATCH($C543,Roster!$B:$B,0))="","",INDEX(Roster!$G:$G,MATCH($C543,Roster!$B:$B,0))&amp;""),"—"))</f>
        <v/>
      </c>
      <c r="J543" s="25">
        <f>IF($C543="","",IFERROR(IF(INDEX(Roster!$I:$I,MATCH($C543,Roster!$B:$B,0))="","",INDEX(Roster!$I:$I,MATCH($C543,Roster!$B:$B,0))&amp;""),"—"))</f>
        <v/>
      </c>
      <c r="K543">
        <f>IF($C543="","",IFERROR(IF(INDEX(Roster!$J:$J,MATCH($C543,Roster!$B:$B,0))="","",INDEX(Roster!$J:$J,MATCH($C543,Roster!$B:$B,0))&amp;""),"—"))</f>
        <v/>
      </c>
      <c r="L543">
        <f>IF($C543="","",IFERROR(IF(INDEX(Roster!$K:$K,MATCH($C543,Roster!$B:$B,0))="","",INDEX(Roster!$K:$K,MATCH($C543,Roster!$B:$B,0))&amp;""),"—"))</f>
        <v/>
      </c>
      <c r="M543" s="27" t="n"/>
      <c r="N543" s="27" t="n"/>
      <c r="O543" s="25">
        <f>IF($C543="","",IF($P543="","—",IF($P543="Valid (Pass)","Valid","Invalid")))</f>
        <v/>
      </c>
      <c r="P543" s="27" t="n"/>
      <c r="Q543" s="27" t="n"/>
      <c r="R543" s="27" t="n"/>
      <c r="S543" s="27" t="n"/>
      <c r="T543" s="25">
        <f>IF($C543="","",IF(OR(ISNUMBER(SEARCH("quick case",$P543)),ISNUMBER(SEARCH("quick case",$Q543))),"Yes","No"))</f>
        <v/>
      </c>
      <c r="U543" s="25">
        <f>IF($O543="Invalid",HYPERLINK("mailto:"&amp;$G543&amp;";"&amp;$I543&amp;"?cc="&amp;Lists!$E$2&amp;"&amp;subject="&amp;_xlfn.ENCODEURL("[INVALID] Quality audit monitoring completed for "&amp;UPPER($C543))&amp;"&amp;body="&amp;_xlfn.ENCODEURL("Hi "&amp;$F543&amp;","&amp;CHAR(10)&amp;"Good day!"&amp;CHAR(10)&amp;CHAR(10)&amp;"A quality monitoring audit has been completed for "&amp;$C543&amp;"."&amp;CHAR(10)&amp;CHAR(10)&amp;"QUALITY AUDIT DETAILS"&amp;CHAR(10)&amp;"Agent Name: "&amp;$C543&amp;" (EID "&amp;$D543&amp;")"&amp;CHAR(10)&amp;"Audit Date: "&amp;TEXT($B543,"yyyy-mm-dd")&amp;CHAR(10)&amp;"Team Leader: "&amp;$F543&amp;CHAR(10)&amp;"Case Number: "&amp;$M543&amp;CHAR(10)&amp;"Transaction ID: "&amp;$N543&amp;CHAR(10)&amp;"Channel / LOB: "&amp;$K543&amp;" / "&amp;$L543&amp;CHAR(10)&amp;"Evaluator: "&amp;$S543&amp;CHAR(10)&amp;CHAR(10)&amp;"INVALID QUALITY AUDIT DETAILS"&amp;CHAR(10)&amp;"Validation: Invalid"&amp;CHAR(10)&amp;"Invalid Reason: "&amp;$P543&amp;CHAR(10)&amp;"Expected Resolution Code: "&amp;$Q543&amp;CHAR(10)&amp;"Remarks: "&amp;LEFT($R543,600)&amp;CHAR(10)&amp;CHAR(10)&amp;"This is an automated notification from HP Mainstream EQMS."),"✉ Open Email Draft"),"")</f>
        <v/>
      </c>
    </row>
    <row r="544">
      <c r="A544" s="25">
        <f>IF($C544="","","AUD-2026-"&amp;TEXT(ROW()-1,"000000"))</f>
        <v/>
      </c>
      <c r="B544" s="26" t="n"/>
      <c r="C544" s="27" t="n"/>
      <c r="D544" s="25">
        <f>IF($C544="","",IFERROR(IF(INDEX(Roster!$A:$A,MATCH($C544,Roster!$B:$B,0))="","",INDEX(Roster!$A:$A,MATCH($C544,Roster!$B:$B,0))&amp;""),"—"))</f>
        <v/>
      </c>
      <c r="E544" s="25">
        <f>IF($C544="","",IFERROR(IF(INDEX(Roster!$C:$C,MATCH($C544,Roster!$B:$B,0))="","",INDEX(Roster!$C:$C,MATCH($C544,Roster!$B:$B,0))&amp;""),"—"))</f>
        <v/>
      </c>
      <c r="F544" s="25">
        <f>IF($C544="","",IFERROR(IF(INDEX(Roster!$D:$D,MATCH($C544,Roster!$B:$B,0))="","",INDEX(Roster!$D:$D,MATCH($C544,Roster!$B:$B,0))&amp;""),"—"))</f>
        <v/>
      </c>
      <c r="G544" s="25">
        <f>IF($C544="","",IFERROR(IF(INDEX(Roster!$E:$E,MATCH($C544,Roster!$B:$B,0))="","",INDEX(Roster!$E:$E,MATCH($C544,Roster!$B:$B,0))&amp;""),"—"))</f>
        <v/>
      </c>
      <c r="H544" s="25">
        <f>IF($C544="","",IFERROR(IF(INDEX(Roster!$F:$F,MATCH($C544,Roster!$B:$B,0))="","",INDEX(Roster!$F:$F,MATCH($C544,Roster!$B:$B,0))&amp;""),"—"))</f>
        <v/>
      </c>
      <c r="I544" s="25">
        <f>IF($C544="","",IFERROR(IF(INDEX(Roster!$G:$G,MATCH($C544,Roster!$B:$B,0))="","",INDEX(Roster!$G:$G,MATCH($C544,Roster!$B:$B,0))&amp;""),"—"))</f>
        <v/>
      </c>
      <c r="J544" s="25">
        <f>IF($C544="","",IFERROR(IF(INDEX(Roster!$I:$I,MATCH($C544,Roster!$B:$B,0))="","",INDEX(Roster!$I:$I,MATCH($C544,Roster!$B:$B,0))&amp;""),"—"))</f>
        <v/>
      </c>
      <c r="K544">
        <f>IF($C544="","",IFERROR(IF(INDEX(Roster!$J:$J,MATCH($C544,Roster!$B:$B,0))="","",INDEX(Roster!$J:$J,MATCH($C544,Roster!$B:$B,0))&amp;""),"—"))</f>
        <v/>
      </c>
      <c r="L544">
        <f>IF($C544="","",IFERROR(IF(INDEX(Roster!$K:$K,MATCH($C544,Roster!$B:$B,0))="","",INDEX(Roster!$K:$K,MATCH($C544,Roster!$B:$B,0))&amp;""),"—"))</f>
        <v/>
      </c>
      <c r="M544" s="27" t="n"/>
      <c r="N544" s="27" t="n"/>
      <c r="O544" s="25">
        <f>IF($C544="","",IF($P544="","—",IF($P544="Valid (Pass)","Valid","Invalid")))</f>
        <v/>
      </c>
      <c r="P544" s="27" t="n"/>
      <c r="Q544" s="27" t="n"/>
      <c r="R544" s="27" t="n"/>
      <c r="S544" s="27" t="n"/>
      <c r="T544" s="25">
        <f>IF($C544="","",IF(OR(ISNUMBER(SEARCH("quick case",$P544)),ISNUMBER(SEARCH("quick case",$Q544))),"Yes","No"))</f>
        <v/>
      </c>
      <c r="U544" s="25">
        <f>IF($O544="Invalid",HYPERLINK("mailto:"&amp;$G544&amp;";"&amp;$I544&amp;"?cc="&amp;Lists!$E$2&amp;"&amp;subject="&amp;_xlfn.ENCODEURL("[INVALID] Quality audit monitoring completed for "&amp;UPPER($C544))&amp;"&amp;body="&amp;_xlfn.ENCODEURL("Hi "&amp;$F544&amp;","&amp;CHAR(10)&amp;"Good day!"&amp;CHAR(10)&amp;CHAR(10)&amp;"A quality monitoring audit has been completed for "&amp;$C544&amp;"."&amp;CHAR(10)&amp;CHAR(10)&amp;"QUALITY AUDIT DETAILS"&amp;CHAR(10)&amp;"Agent Name: "&amp;$C544&amp;" (EID "&amp;$D544&amp;")"&amp;CHAR(10)&amp;"Audit Date: "&amp;TEXT($B544,"yyyy-mm-dd")&amp;CHAR(10)&amp;"Team Leader: "&amp;$F544&amp;CHAR(10)&amp;"Case Number: "&amp;$M544&amp;CHAR(10)&amp;"Transaction ID: "&amp;$N544&amp;CHAR(10)&amp;"Channel / LOB: "&amp;$K544&amp;" / "&amp;$L544&amp;CHAR(10)&amp;"Evaluator: "&amp;$S544&amp;CHAR(10)&amp;CHAR(10)&amp;"INVALID QUALITY AUDIT DETAILS"&amp;CHAR(10)&amp;"Validation: Invalid"&amp;CHAR(10)&amp;"Invalid Reason: "&amp;$P544&amp;CHAR(10)&amp;"Expected Resolution Code: "&amp;$Q544&amp;CHAR(10)&amp;"Remarks: "&amp;LEFT($R544,600)&amp;CHAR(10)&amp;CHAR(10)&amp;"This is an automated notification from HP Mainstream EQMS."),"✉ Open Email Draft"),"")</f>
        <v/>
      </c>
    </row>
    <row r="545">
      <c r="A545" s="25">
        <f>IF($C545="","","AUD-2026-"&amp;TEXT(ROW()-1,"000000"))</f>
        <v/>
      </c>
      <c r="B545" s="26" t="n"/>
      <c r="C545" s="27" t="n"/>
      <c r="D545" s="25">
        <f>IF($C545="","",IFERROR(IF(INDEX(Roster!$A:$A,MATCH($C545,Roster!$B:$B,0))="","",INDEX(Roster!$A:$A,MATCH($C545,Roster!$B:$B,0))&amp;""),"—"))</f>
        <v/>
      </c>
      <c r="E545" s="25">
        <f>IF($C545="","",IFERROR(IF(INDEX(Roster!$C:$C,MATCH($C545,Roster!$B:$B,0))="","",INDEX(Roster!$C:$C,MATCH($C545,Roster!$B:$B,0))&amp;""),"—"))</f>
        <v/>
      </c>
      <c r="F545" s="25">
        <f>IF($C545="","",IFERROR(IF(INDEX(Roster!$D:$D,MATCH($C545,Roster!$B:$B,0))="","",INDEX(Roster!$D:$D,MATCH($C545,Roster!$B:$B,0))&amp;""),"—"))</f>
        <v/>
      </c>
      <c r="G545" s="25">
        <f>IF($C545="","",IFERROR(IF(INDEX(Roster!$E:$E,MATCH($C545,Roster!$B:$B,0))="","",INDEX(Roster!$E:$E,MATCH($C545,Roster!$B:$B,0))&amp;""),"—"))</f>
        <v/>
      </c>
      <c r="H545" s="25">
        <f>IF($C545="","",IFERROR(IF(INDEX(Roster!$F:$F,MATCH($C545,Roster!$B:$B,0))="","",INDEX(Roster!$F:$F,MATCH($C545,Roster!$B:$B,0))&amp;""),"—"))</f>
        <v/>
      </c>
      <c r="I545" s="25">
        <f>IF($C545="","",IFERROR(IF(INDEX(Roster!$G:$G,MATCH($C545,Roster!$B:$B,0))="","",INDEX(Roster!$G:$G,MATCH($C545,Roster!$B:$B,0))&amp;""),"—"))</f>
        <v/>
      </c>
      <c r="J545" s="25">
        <f>IF($C545="","",IFERROR(IF(INDEX(Roster!$I:$I,MATCH($C545,Roster!$B:$B,0))="","",INDEX(Roster!$I:$I,MATCH($C545,Roster!$B:$B,0))&amp;""),"—"))</f>
        <v/>
      </c>
      <c r="K545">
        <f>IF($C545="","",IFERROR(IF(INDEX(Roster!$J:$J,MATCH($C545,Roster!$B:$B,0))="","",INDEX(Roster!$J:$J,MATCH($C545,Roster!$B:$B,0))&amp;""),"—"))</f>
        <v/>
      </c>
      <c r="L545">
        <f>IF($C545="","",IFERROR(IF(INDEX(Roster!$K:$K,MATCH($C545,Roster!$B:$B,0))="","",INDEX(Roster!$K:$K,MATCH($C545,Roster!$B:$B,0))&amp;""),"—"))</f>
        <v/>
      </c>
      <c r="M545" s="27" t="n"/>
      <c r="N545" s="27" t="n"/>
      <c r="O545" s="25">
        <f>IF($C545="","",IF($P545="","—",IF($P545="Valid (Pass)","Valid","Invalid")))</f>
        <v/>
      </c>
      <c r="P545" s="27" t="n"/>
      <c r="Q545" s="27" t="n"/>
      <c r="R545" s="27" t="n"/>
      <c r="S545" s="27" t="n"/>
      <c r="T545" s="25">
        <f>IF($C545="","",IF(OR(ISNUMBER(SEARCH("quick case",$P545)),ISNUMBER(SEARCH("quick case",$Q545))),"Yes","No"))</f>
        <v/>
      </c>
      <c r="U545" s="25">
        <f>IF($O545="Invalid",HYPERLINK("mailto:"&amp;$G545&amp;";"&amp;$I545&amp;"?cc="&amp;Lists!$E$2&amp;"&amp;subject="&amp;_xlfn.ENCODEURL("[INVALID] Quality audit monitoring completed for "&amp;UPPER($C545))&amp;"&amp;body="&amp;_xlfn.ENCODEURL("Hi "&amp;$F545&amp;","&amp;CHAR(10)&amp;"Good day!"&amp;CHAR(10)&amp;CHAR(10)&amp;"A quality monitoring audit has been completed for "&amp;$C545&amp;"."&amp;CHAR(10)&amp;CHAR(10)&amp;"QUALITY AUDIT DETAILS"&amp;CHAR(10)&amp;"Agent Name: "&amp;$C545&amp;" (EID "&amp;$D545&amp;")"&amp;CHAR(10)&amp;"Audit Date: "&amp;TEXT($B545,"yyyy-mm-dd")&amp;CHAR(10)&amp;"Team Leader: "&amp;$F545&amp;CHAR(10)&amp;"Case Number: "&amp;$M545&amp;CHAR(10)&amp;"Transaction ID: "&amp;$N545&amp;CHAR(10)&amp;"Channel / LOB: "&amp;$K545&amp;" / "&amp;$L545&amp;CHAR(10)&amp;"Evaluator: "&amp;$S545&amp;CHAR(10)&amp;CHAR(10)&amp;"INVALID QUALITY AUDIT DETAILS"&amp;CHAR(10)&amp;"Validation: Invalid"&amp;CHAR(10)&amp;"Invalid Reason: "&amp;$P545&amp;CHAR(10)&amp;"Expected Resolution Code: "&amp;$Q545&amp;CHAR(10)&amp;"Remarks: "&amp;LEFT($R545,600)&amp;CHAR(10)&amp;CHAR(10)&amp;"This is an automated notification from HP Mainstream EQMS."),"✉ Open Email Draft"),"")</f>
        <v/>
      </c>
    </row>
    <row r="546">
      <c r="A546" s="25">
        <f>IF($C546="","","AUD-2026-"&amp;TEXT(ROW()-1,"000000"))</f>
        <v/>
      </c>
      <c r="B546" s="26" t="n"/>
      <c r="C546" s="27" t="n"/>
      <c r="D546" s="25">
        <f>IF($C546="","",IFERROR(IF(INDEX(Roster!$A:$A,MATCH($C546,Roster!$B:$B,0))="","",INDEX(Roster!$A:$A,MATCH($C546,Roster!$B:$B,0))&amp;""),"—"))</f>
        <v/>
      </c>
      <c r="E546" s="25">
        <f>IF($C546="","",IFERROR(IF(INDEX(Roster!$C:$C,MATCH($C546,Roster!$B:$B,0))="","",INDEX(Roster!$C:$C,MATCH($C546,Roster!$B:$B,0))&amp;""),"—"))</f>
        <v/>
      </c>
      <c r="F546" s="25">
        <f>IF($C546="","",IFERROR(IF(INDEX(Roster!$D:$D,MATCH($C546,Roster!$B:$B,0))="","",INDEX(Roster!$D:$D,MATCH($C546,Roster!$B:$B,0))&amp;""),"—"))</f>
        <v/>
      </c>
      <c r="G546" s="25">
        <f>IF($C546="","",IFERROR(IF(INDEX(Roster!$E:$E,MATCH($C546,Roster!$B:$B,0))="","",INDEX(Roster!$E:$E,MATCH($C546,Roster!$B:$B,0))&amp;""),"—"))</f>
        <v/>
      </c>
      <c r="H546" s="25">
        <f>IF($C546="","",IFERROR(IF(INDEX(Roster!$F:$F,MATCH($C546,Roster!$B:$B,0))="","",INDEX(Roster!$F:$F,MATCH($C546,Roster!$B:$B,0))&amp;""),"—"))</f>
        <v/>
      </c>
      <c r="I546" s="25">
        <f>IF($C546="","",IFERROR(IF(INDEX(Roster!$G:$G,MATCH($C546,Roster!$B:$B,0))="","",INDEX(Roster!$G:$G,MATCH($C546,Roster!$B:$B,0))&amp;""),"—"))</f>
        <v/>
      </c>
      <c r="J546" s="25">
        <f>IF($C546="","",IFERROR(IF(INDEX(Roster!$I:$I,MATCH($C546,Roster!$B:$B,0))="","",INDEX(Roster!$I:$I,MATCH($C546,Roster!$B:$B,0))&amp;""),"—"))</f>
        <v/>
      </c>
      <c r="K546">
        <f>IF($C546="","",IFERROR(IF(INDEX(Roster!$J:$J,MATCH($C546,Roster!$B:$B,0))="","",INDEX(Roster!$J:$J,MATCH($C546,Roster!$B:$B,0))&amp;""),"—"))</f>
        <v/>
      </c>
      <c r="L546">
        <f>IF($C546="","",IFERROR(IF(INDEX(Roster!$K:$K,MATCH($C546,Roster!$B:$B,0))="","",INDEX(Roster!$K:$K,MATCH($C546,Roster!$B:$B,0))&amp;""),"—"))</f>
        <v/>
      </c>
      <c r="M546" s="27" t="n"/>
      <c r="N546" s="27" t="n"/>
      <c r="O546" s="25">
        <f>IF($C546="","",IF($P546="","—",IF($P546="Valid (Pass)","Valid","Invalid")))</f>
        <v/>
      </c>
      <c r="P546" s="27" t="n"/>
      <c r="Q546" s="27" t="n"/>
      <c r="R546" s="27" t="n"/>
      <c r="S546" s="27" t="n"/>
      <c r="T546" s="25">
        <f>IF($C546="","",IF(OR(ISNUMBER(SEARCH("quick case",$P546)),ISNUMBER(SEARCH("quick case",$Q546))),"Yes","No"))</f>
        <v/>
      </c>
      <c r="U546" s="25">
        <f>IF($O546="Invalid",HYPERLINK("mailto:"&amp;$G546&amp;";"&amp;$I546&amp;"?cc="&amp;Lists!$E$2&amp;"&amp;subject="&amp;_xlfn.ENCODEURL("[INVALID] Quality audit monitoring completed for "&amp;UPPER($C546))&amp;"&amp;body="&amp;_xlfn.ENCODEURL("Hi "&amp;$F546&amp;","&amp;CHAR(10)&amp;"Good day!"&amp;CHAR(10)&amp;CHAR(10)&amp;"A quality monitoring audit has been completed for "&amp;$C546&amp;"."&amp;CHAR(10)&amp;CHAR(10)&amp;"QUALITY AUDIT DETAILS"&amp;CHAR(10)&amp;"Agent Name: "&amp;$C546&amp;" (EID "&amp;$D546&amp;")"&amp;CHAR(10)&amp;"Audit Date: "&amp;TEXT($B546,"yyyy-mm-dd")&amp;CHAR(10)&amp;"Team Leader: "&amp;$F546&amp;CHAR(10)&amp;"Case Number: "&amp;$M546&amp;CHAR(10)&amp;"Transaction ID: "&amp;$N546&amp;CHAR(10)&amp;"Channel / LOB: "&amp;$K546&amp;" / "&amp;$L546&amp;CHAR(10)&amp;"Evaluator: "&amp;$S546&amp;CHAR(10)&amp;CHAR(10)&amp;"INVALID QUALITY AUDIT DETAILS"&amp;CHAR(10)&amp;"Validation: Invalid"&amp;CHAR(10)&amp;"Invalid Reason: "&amp;$P546&amp;CHAR(10)&amp;"Expected Resolution Code: "&amp;$Q546&amp;CHAR(10)&amp;"Remarks: "&amp;LEFT($R546,600)&amp;CHAR(10)&amp;CHAR(10)&amp;"This is an automated notification from HP Mainstream EQMS."),"✉ Open Email Draft"),"")</f>
        <v/>
      </c>
    </row>
    <row r="547">
      <c r="A547" s="25">
        <f>IF($C547="","","AUD-2026-"&amp;TEXT(ROW()-1,"000000"))</f>
        <v/>
      </c>
      <c r="B547" s="26" t="n"/>
      <c r="C547" s="27" t="n"/>
      <c r="D547" s="25">
        <f>IF($C547="","",IFERROR(IF(INDEX(Roster!$A:$A,MATCH($C547,Roster!$B:$B,0))="","",INDEX(Roster!$A:$A,MATCH($C547,Roster!$B:$B,0))&amp;""),"—"))</f>
        <v/>
      </c>
      <c r="E547" s="25">
        <f>IF($C547="","",IFERROR(IF(INDEX(Roster!$C:$C,MATCH($C547,Roster!$B:$B,0))="","",INDEX(Roster!$C:$C,MATCH($C547,Roster!$B:$B,0))&amp;""),"—"))</f>
        <v/>
      </c>
      <c r="F547" s="25">
        <f>IF($C547="","",IFERROR(IF(INDEX(Roster!$D:$D,MATCH($C547,Roster!$B:$B,0))="","",INDEX(Roster!$D:$D,MATCH($C547,Roster!$B:$B,0))&amp;""),"—"))</f>
        <v/>
      </c>
      <c r="G547" s="25">
        <f>IF($C547="","",IFERROR(IF(INDEX(Roster!$E:$E,MATCH($C547,Roster!$B:$B,0))="","",INDEX(Roster!$E:$E,MATCH($C547,Roster!$B:$B,0))&amp;""),"—"))</f>
        <v/>
      </c>
      <c r="H547" s="25">
        <f>IF($C547="","",IFERROR(IF(INDEX(Roster!$F:$F,MATCH($C547,Roster!$B:$B,0))="","",INDEX(Roster!$F:$F,MATCH($C547,Roster!$B:$B,0))&amp;""),"—"))</f>
        <v/>
      </c>
      <c r="I547" s="25">
        <f>IF($C547="","",IFERROR(IF(INDEX(Roster!$G:$G,MATCH($C547,Roster!$B:$B,0))="","",INDEX(Roster!$G:$G,MATCH($C547,Roster!$B:$B,0))&amp;""),"—"))</f>
        <v/>
      </c>
      <c r="J547" s="25">
        <f>IF($C547="","",IFERROR(IF(INDEX(Roster!$I:$I,MATCH($C547,Roster!$B:$B,0))="","",INDEX(Roster!$I:$I,MATCH($C547,Roster!$B:$B,0))&amp;""),"—"))</f>
        <v/>
      </c>
      <c r="K547">
        <f>IF($C547="","",IFERROR(IF(INDEX(Roster!$J:$J,MATCH($C547,Roster!$B:$B,0))="","",INDEX(Roster!$J:$J,MATCH($C547,Roster!$B:$B,0))&amp;""),"—"))</f>
        <v/>
      </c>
      <c r="L547">
        <f>IF($C547="","",IFERROR(IF(INDEX(Roster!$K:$K,MATCH($C547,Roster!$B:$B,0))="","",INDEX(Roster!$K:$K,MATCH($C547,Roster!$B:$B,0))&amp;""),"—"))</f>
        <v/>
      </c>
      <c r="M547" s="27" t="n"/>
      <c r="N547" s="27" t="n"/>
      <c r="O547" s="25">
        <f>IF($C547="","",IF($P547="","—",IF($P547="Valid (Pass)","Valid","Invalid")))</f>
        <v/>
      </c>
      <c r="P547" s="27" t="n"/>
      <c r="Q547" s="27" t="n"/>
      <c r="R547" s="27" t="n"/>
      <c r="S547" s="27" t="n"/>
      <c r="T547" s="25">
        <f>IF($C547="","",IF(OR(ISNUMBER(SEARCH("quick case",$P547)),ISNUMBER(SEARCH("quick case",$Q547))),"Yes","No"))</f>
        <v/>
      </c>
      <c r="U547" s="25">
        <f>IF($O547="Invalid",HYPERLINK("mailto:"&amp;$G547&amp;";"&amp;$I547&amp;"?cc="&amp;Lists!$E$2&amp;"&amp;subject="&amp;_xlfn.ENCODEURL("[INVALID] Quality audit monitoring completed for "&amp;UPPER($C547))&amp;"&amp;body="&amp;_xlfn.ENCODEURL("Hi "&amp;$F547&amp;","&amp;CHAR(10)&amp;"Good day!"&amp;CHAR(10)&amp;CHAR(10)&amp;"A quality monitoring audit has been completed for "&amp;$C547&amp;"."&amp;CHAR(10)&amp;CHAR(10)&amp;"QUALITY AUDIT DETAILS"&amp;CHAR(10)&amp;"Agent Name: "&amp;$C547&amp;" (EID "&amp;$D547&amp;")"&amp;CHAR(10)&amp;"Audit Date: "&amp;TEXT($B547,"yyyy-mm-dd")&amp;CHAR(10)&amp;"Team Leader: "&amp;$F547&amp;CHAR(10)&amp;"Case Number: "&amp;$M547&amp;CHAR(10)&amp;"Transaction ID: "&amp;$N547&amp;CHAR(10)&amp;"Channel / LOB: "&amp;$K547&amp;" / "&amp;$L547&amp;CHAR(10)&amp;"Evaluator: "&amp;$S547&amp;CHAR(10)&amp;CHAR(10)&amp;"INVALID QUALITY AUDIT DETAILS"&amp;CHAR(10)&amp;"Validation: Invalid"&amp;CHAR(10)&amp;"Invalid Reason: "&amp;$P547&amp;CHAR(10)&amp;"Expected Resolution Code: "&amp;$Q547&amp;CHAR(10)&amp;"Remarks: "&amp;LEFT($R547,600)&amp;CHAR(10)&amp;CHAR(10)&amp;"This is an automated notification from HP Mainstream EQMS."),"✉ Open Email Draft"),"")</f>
        <v/>
      </c>
    </row>
    <row r="548">
      <c r="A548" s="25">
        <f>IF($C548="","","AUD-2026-"&amp;TEXT(ROW()-1,"000000"))</f>
        <v/>
      </c>
      <c r="B548" s="26" t="n"/>
      <c r="C548" s="27" t="n"/>
      <c r="D548" s="25">
        <f>IF($C548="","",IFERROR(IF(INDEX(Roster!$A:$A,MATCH($C548,Roster!$B:$B,0))="","",INDEX(Roster!$A:$A,MATCH($C548,Roster!$B:$B,0))&amp;""),"—"))</f>
        <v/>
      </c>
      <c r="E548" s="25">
        <f>IF($C548="","",IFERROR(IF(INDEX(Roster!$C:$C,MATCH($C548,Roster!$B:$B,0))="","",INDEX(Roster!$C:$C,MATCH($C548,Roster!$B:$B,0))&amp;""),"—"))</f>
        <v/>
      </c>
      <c r="F548" s="25">
        <f>IF($C548="","",IFERROR(IF(INDEX(Roster!$D:$D,MATCH($C548,Roster!$B:$B,0))="","",INDEX(Roster!$D:$D,MATCH($C548,Roster!$B:$B,0))&amp;""),"—"))</f>
        <v/>
      </c>
      <c r="G548" s="25">
        <f>IF($C548="","",IFERROR(IF(INDEX(Roster!$E:$E,MATCH($C548,Roster!$B:$B,0))="","",INDEX(Roster!$E:$E,MATCH($C548,Roster!$B:$B,0))&amp;""),"—"))</f>
        <v/>
      </c>
      <c r="H548" s="25">
        <f>IF($C548="","",IFERROR(IF(INDEX(Roster!$F:$F,MATCH($C548,Roster!$B:$B,0))="","",INDEX(Roster!$F:$F,MATCH($C548,Roster!$B:$B,0))&amp;""),"—"))</f>
        <v/>
      </c>
      <c r="I548" s="25">
        <f>IF($C548="","",IFERROR(IF(INDEX(Roster!$G:$G,MATCH($C548,Roster!$B:$B,0))="","",INDEX(Roster!$G:$G,MATCH($C548,Roster!$B:$B,0))&amp;""),"—"))</f>
        <v/>
      </c>
      <c r="J548" s="25">
        <f>IF($C548="","",IFERROR(IF(INDEX(Roster!$I:$I,MATCH($C548,Roster!$B:$B,0))="","",INDEX(Roster!$I:$I,MATCH($C548,Roster!$B:$B,0))&amp;""),"—"))</f>
        <v/>
      </c>
      <c r="K548">
        <f>IF($C548="","",IFERROR(IF(INDEX(Roster!$J:$J,MATCH($C548,Roster!$B:$B,0))="","",INDEX(Roster!$J:$J,MATCH($C548,Roster!$B:$B,0))&amp;""),"—"))</f>
        <v/>
      </c>
      <c r="L548">
        <f>IF($C548="","",IFERROR(IF(INDEX(Roster!$K:$K,MATCH($C548,Roster!$B:$B,0))="","",INDEX(Roster!$K:$K,MATCH($C548,Roster!$B:$B,0))&amp;""),"—"))</f>
        <v/>
      </c>
      <c r="M548" s="27" t="n"/>
      <c r="N548" s="27" t="n"/>
      <c r="O548" s="25">
        <f>IF($C548="","",IF($P548="","—",IF($P548="Valid (Pass)","Valid","Invalid")))</f>
        <v/>
      </c>
      <c r="P548" s="27" t="n"/>
      <c r="Q548" s="27" t="n"/>
      <c r="R548" s="27" t="n"/>
      <c r="S548" s="27" t="n"/>
      <c r="T548" s="25">
        <f>IF($C548="","",IF(OR(ISNUMBER(SEARCH("quick case",$P548)),ISNUMBER(SEARCH("quick case",$Q548))),"Yes","No"))</f>
        <v/>
      </c>
      <c r="U548" s="25">
        <f>IF($O548="Invalid",HYPERLINK("mailto:"&amp;$G548&amp;";"&amp;$I548&amp;"?cc="&amp;Lists!$E$2&amp;"&amp;subject="&amp;_xlfn.ENCODEURL("[INVALID] Quality audit monitoring completed for "&amp;UPPER($C548))&amp;"&amp;body="&amp;_xlfn.ENCODEURL("Hi "&amp;$F548&amp;","&amp;CHAR(10)&amp;"Good day!"&amp;CHAR(10)&amp;CHAR(10)&amp;"A quality monitoring audit has been completed for "&amp;$C548&amp;"."&amp;CHAR(10)&amp;CHAR(10)&amp;"QUALITY AUDIT DETAILS"&amp;CHAR(10)&amp;"Agent Name: "&amp;$C548&amp;" (EID "&amp;$D548&amp;")"&amp;CHAR(10)&amp;"Audit Date: "&amp;TEXT($B548,"yyyy-mm-dd")&amp;CHAR(10)&amp;"Team Leader: "&amp;$F548&amp;CHAR(10)&amp;"Case Number: "&amp;$M548&amp;CHAR(10)&amp;"Transaction ID: "&amp;$N548&amp;CHAR(10)&amp;"Channel / LOB: "&amp;$K548&amp;" / "&amp;$L548&amp;CHAR(10)&amp;"Evaluator: "&amp;$S548&amp;CHAR(10)&amp;CHAR(10)&amp;"INVALID QUALITY AUDIT DETAILS"&amp;CHAR(10)&amp;"Validation: Invalid"&amp;CHAR(10)&amp;"Invalid Reason: "&amp;$P548&amp;CHAR(10)&amp;"Expected Resolution Code: "&amp;$Q548&amp;CHAR(10)&amp;"Remarks: "&amp;LEFT($R548,600)&amp;CHAR(10)&amp;CHAR(10)&amp;"This is an automated notification from HP Mainstream EQMS."),"✉ Open Email Draft"),"")</f>
        <v/>
      </c>
    </row>
    <row r="549">
      <c r="A549" s="25">
        <f>IF($C549="","","AUD-2026-"&amp;TEXT(ROW()-1,"000000"))</f>
        <v/>
      </c>
      <c r="B549" s="26" t="n"/>
      <c r="C549" s="27" t="n"/>
      <c r="D549" s="25">
        <f>IF($C549="","",IFERROR(IF(INDEX(Roster!$A:$A,MATCH($C549,Roster!$B:$B,0))="","",INDEX(Roster!$A:$A,MATCH($C549,Roster!$B:$B,0))&amp;""),"—"))</f>
        <v/>
      </c>
      <c r="E549" s="25">
        <f>IF($C549="","",IFERROR(IF(INDEX(Roster!$C:$C,MATCH($C549,Roster!$B:$B,0))="","",INDEX(Roster!$C:$C,MATCH($C549,Roster!$B:$B,0))&amp;""),"—"))</f>
        <v/>
      </c>
      <c r="F549" s="25">
        <f>IF($C549="","",IFERROR(IF(INDEX(Roster!$D:$D,MATCH($C549,Roster!$B:$B,0))="","",INDEX(Roster!$D:$D,MATCH($C549,Roster!$B:$B,0))&amp;""),"—"))</f>
        <v/>
      </c>
      <c r="G549" s="25">
        <f>IF($C549="","",IFERROR(IF(INDEX(Roster!$E:$E,MATCH($C549,Roster!$B:$B,0))="","",INDEX(Roster!$E:$E,MATCH($C549,Roster!$B:$B,0))&amp;""),"—"))</f>
        <v/>
      </c>
      <c r="H549" s="25">
        <f>IF($C549="","",IFERROR(IF(INDEX(Roster!$F:$F,MATCH($C549,Roster!$B:$B,0))="","",INDEX(Roster!$F:$F,MATCH($C549,Roster!$B:$B,0))&amp;""),"—"))</f>
        <v/>
      </c>
      <c r="I549" s="25">
        <f>IF($C549="","",IFERROR(IF(INDEX(Roster!$G:$G,MATCH($C549,Roster!$B:$B,0))="","",INDEX(Roster!$G:$G,MATCH($C549,Roster!$B:$B,0))&amp;""),"—"))</f>
        <v/>
      </c>
      <c r="J549" s="25">
        <f>IF($C549="","",IFERROR(IF(INDEX(Roster!$I:$I,MATCH($C549,Roster!$B:$B,0))="","",INDEX(Roster!$I:$I,MATCH($C549,Roster!$B:$B,0))&amp;""),"—"))</f>
        <v/>
      </c>
      <c r="K549">
        <f>IF($C549="","",IFERROR(IF(INDEX(Roster!$J:$J,MATCH($C549,Roster!$B:$B,0))="","",INDEX(Roster!$J:$J,MATCH($C549,Roster!$B:$B,0))&amp;""),"—"))</f>
        <v/>
      </c>
      <c r="L549">
        <f>IF($C549="","",IFERROR(IF(INDEX(Roster!$K:$K,MATCH($C549,Roster!$B:$B,0))="","",INDEX(Roster!$K:$K,MATCH($C549,Roster!$B:$B,0))&amp;""),"—"))</f>
        <v/>
      </c>
      <c r="M549" s="27" t="n"/>
      <c r="N549" s="27" t="n"/>
      <c r="O549" s="25">
        <f>IF($C549="","",IF($P549="","—",IF($P549="Valid (Pass)","Valid","Invalid")))</f>
        <v/>
      </c>
      <c r="P549" s="27" t="n"/>
      <c r="Q549" s="27" t="n"/>
      <c r="R549" s="27" t="n"/>
      <c r="S549" s="27" t="n"/>
      <c r="T549" s="25">
        <f>IF($C549="","",IF(OR(ISNUMBER(SEARCH("quick case",$P549)),ISNUMBER(SEARCH("quick case",$Q549))),"Yes","No"))</f>
        <v/>
      </c>
      <c r="U549" s="25">
        <f>IF($O549="Invalid",HYPERLINK("mailto:"&amp;$G549&amp;";"&amp;$I549&amp;"?cc="&amp;Lists!$E$2&amp;"&amp;subject="&amp;_xlfn.ENCODEURL("[INVALID] Quality audit monitoring completed for "&amp;UPPER($C549))&amp;"&amp;body="&amp;_xlfn.ENCODEURL("Hi "&amp;$F549&amp;","&amp;CHAR(10)&amp;"Good day!"&amp;CHAR(10)&amp;CHAR(10)&amp;"A quality monitoring audit has been completed for "&amp;$C549&amp;"."&amp;CHAR(10)&amp;CHAR(10)&amp;"QUALITY AUDIT DETAILS"&amp;CHAR(10)&amp;"Agent Name: "&amp;$C549&amp;" (EID "&amp;$D549&amp;")"&amp;CHAR(10)&amp;"Audit Date: "&amp;TEXT($B549,"yyyy-mm-dd")&amp;CHAR(10)&amp;"Team Leader: "&amp;$F549&amp;CHAR(10)&amp;"Case Number: "&amp;$M549&amp;CHAR(10)&amp;"Transaction ID: "&amp;$N549&amp;CHAR(10)&amp;"Channel / LOB: "&amp;$K549&amp;" / "&amp;$L549&amp;CHAR(10)&amp;"Evaluator: "&amp;$S549&amp;CHAR(10)&amp;CHAR(10)&amp;"INVALID QUALITY AUDIT DETAILS"&amp;CHAR(10)&amp;"Validation: Invalid"&amp;CHAR(10)&amp;"Invalid Reason: "&amp;$P549&amp;CHAR(10)&amp;"Expected Resolution Code: "&amp;$Q549&amp;CHAR(10)&amp;"Remarks: "&amp;LEFT($R549,600)&amp;CHAR(10)&amp;CHAR(10)&amp;"This is an automated notification from HP Mainstream EQMS."),"✉ Open Email Draft"),"")</f>
        <v/>
      </c>
    </row>
    <row r="550">
      <c r="A550" s="25">
        <f>IF($C550="","","AUD-2026-"&amp;TEXT(ROW()-1,"000000"))</f>
        <v/>
      </c>
      <c r="B550" s="26" t="n"/>
      <c r="C550" s="27" t="n"/>
      <c r="D550" s="25">
        <f>IF($C550="","",IFERROR(IF(INDEX(Roster!$A:$A,MATCH($C550,Roster!$B:$B,0))="","",INDEX(Roster!$A:$A,MATCH($C550,Roster!$B:$B,0))&amp;""),"—"))</f>
        <v/>
      </c>
      <c r="E550" s="25">
        <f>IF($C550="","",IFERROR(IF(INDEX(Roster!$C:$C,MATCH($C550,Roster!$B:$B,0))="","",INDEX(Roster!$C:$C,MATCH($C550,Roster!$B:$B,0))&amp;""),"—"))</f>
        <v/>
      </c>
      <c r="F550" s="25">
        <f>IF($C550="","",IFERROR(IF(INDEX(Roster!$D:$D,MATCH($C550,Roster!$B:$B,0))="","",INDEX(Roster!$D:$D,MATCH($C550,Roster!$B:$B,0))&amp;""),"—"))</f>
        <v/>
      </c>
      <c r="G550" s="25">
        <f>IF($C550="","",IFERROR(IF(INDEX(Roster!$E:$E,MATCH($C550,Roster!$B:$B,0))="","",INDEX(Roster!$E:$E,MATCH($C550,Roster!$B:$B,0))&amp;""),"—"))</f>
        <v/>
      </c>
      <c r="H550" s="25">
        <f>IF($C550="","",IFERROR(IF(INDEX(Roster!$F:$F,MATCH($C550,Roster!$B:$B,0))="","",INDEX(Roster!$F:$F,MATCH($C550,Roster!$B:$B,0))&amp;""),"—"))</f>
        <v/>
      </c>
      <c r="I550" s="25">
        <f>IF($C550="","",IFERROR(IF(INDEX(Roster!$G:$G,MATCH($C550,Roster!$B:$B,0))="","",INDEX(Roster!$G:$G,MATCH($C550,Roster!$B:$B,0))&amp;""),"—"))</f>
        <v/>
      </c>
      <c r="J550" s="25">
        <f>IF($C550="","",IFERROR(IF(INDEX(Roster!$I:$I,MATCH($C550,Roster!$B:$B,0))="","",INDEX(Roster!$I:$I,MATCH($C550,Roster!$B:$B,0))&amp;""),"—"))</f>
        <v/>
      </c>
      <c r="K550">
        <f>IF($C550="","",IFERROR(IF(INDEX(Roster!$J:$J,MATCH($C550,Roster!$B:$B,0))="","",INDEX(Roster!$J:$J,MATCH($C550,Roster!$B:$B,0))&amp;""),"—"))</f>
        <v/>
      </c>
      <c r="L550">
        <f>IF($C550="","",IFERROR(IF(INDEX(Roster!$K:$K,MATCH($C550,Roster!$B:$B,0))="","",INDEX(Roster!$K:$K,MATCH($C550,Roster!$B:$B,0))&amp;""),"—"))</f>
        <v/>
      </c>
      <c r="M550" s="27" t="n"/>
      <c r="N550" s="27" t="n"/>
      <c r="O550" s="25">
        <f>IF($C550="","",IF($P550="","—",IF($P550="Valid (Pass)","Valid","Invalid")))</f>
        <v/>
      </c>
      <c r="P550" s="27" t="n"/>
      <c r="Q550" s="27" t="n"/>
      <c r="R550" s="27" t="n"/>
      <c r="S550" s="27" t="n"/>
      <c r="T550" s="25">
        <f>IF($C550="","",IF(OR(ISNUMBER(SEARCH("quick case",$P550)),ISNUMBER(SEARCH("quick case",$Q550))),"Yes","No"))</f>
        <v/>
      </c>
      <c r="U550" s="25">
        <f>IF($O550="Invalid",HYPERLINK("mailto:"&amp;$G550&amp;";"&amp;$I550&amp;"?cc="&amp;Lists!$E$2&amp;"&amp;subject="&amp;_xlfn.ENCODEURL("[INVALID] Quality audit monitoring completed for "&amp;UPPER($C550))&amp;"&amp;body="&amp;_xlfn.ENCODEURL("Hi "&amp;$F550&amp;","&amp;CHAR(10)&amp;"Good day!"&amp;CHAR(10)&amp;CHAR(10)&amp;"A quality monitoring audit has been completed for "&amp;$C550&amp;"."&amp;CHAR(10)&amp;CHAR(10)&amp;"QUALITY AUDIT DETAILS"&amp;CHAR(10)&amp;"Agent Name: "&amp;$C550&amp;" (EID "&amp;$D550&amp;")"&amp;CHAR(10)&amp;"Audit Date: "&amp;TEXT($B550,"yyyy-mm-dd")&amp;CHAR(10)&amp;"Team Leader: "&amp;$F550&amp;CHAR(10)&amp;"Case Number: "&amp;$M550&amp;CHAR(10)&amp;"Transaction ID: "&amp;$N550&amp;CHAR(10)&amp;"Channel / LOB: "&amp;$K550&amp;" / "&amp;$L550&amp;CHAR(10)&amp;"Evaluator: "&amp;$S550&amp;CHAR(10)&amp;CHAR(10)&amp;"INVALID QUALITY AUDIT DETAILS"&amp;CHAR(10)&amp;"Validation: Invalid"&amp;CHAR(10)&amp;"Invalid Reason: "&amp;$P550&amp;CHAR(10)&amp;"Expected Resolution Code: "&amp;$Q550&amp;CHAR(10)&amp;"Remarks: "&amp;LEFT($R550,600)&amp;CHAR(10)&amp;CHAR(10)&amp;"This is an automated notification from HP Mainstream EQMS."),"✉ Open Email Draft"),"")</f>
        <v/>
      </c>
    </row>
    <row r="551">
      <c r="A551" s="25">
        <f>IF($C551="","","AUD-2026-"&amp;TEXT(ROW()-1,"000000"))</f>
        <v/>
      </c>
      <c r="B551" s="26" t="n"/>
      <c r="C551" s="27" t="n"/>
      <c r="D551" s="25">
        <f>IF($C551="","",IFERROR(IF(INDEX(Roster!$A:$A,MATCH($C551,Roster!$B:$B,0))="","",INDEX(Roster!$A:$A,MATCH($C551,Roster!$B:$B,0))&amp;""),"—"))</f>
        <v/>
      </c>
      <c r="E551" s="25">
        <f>IF($C551="","",IFERROR(IF(INDEX(Roster!$C:$C,MATCH($C551,Roster!$B:$B,0))="","",INDEX(Roster!$C:$C,MATCH($C551,Roster!$B:$B,0))&amp;""),"—"))</f>
        <v/>
      </c>
      <c r="F551" s="25">
        <f>IF($C551="","",IFERROR(IF(INDEX(Roster!$D:$D,MATCH($C551,Roster!$B:$B,0))="","",INDEX(Roster!$D:$D,MATCH($C551,Roster!$B:$B,0))&amp;""),"—"))</f>
        <v/>
      </c>
      <c r="G551" s="25">
        <f>IF($C551="","",IFERROR(IF(INDEX(Roster!$E:$E,MATCH($C551,Roster!$B:$B,0))="","",INDEX(Roster!$E:$E,MATCH($C551,Roster!$B:$B,0))&amp;""),"—"))</f>
        <v/>
      </c>
      <c r="H551" s="25">
        <f>IF($C551="","",IFERROR(IF(INDEX(Roster!$F:$F,MATCH($C551,Roster!$B:$B,0))="","",INDEX(Roster!$F:$F,MATCH($C551,Roster!$B:$B,0))&amp;""),"—"))</f>
        <v/>
      </c>
      <c r="I551" s="25">
        <f>IF($C551="","",IFERROR(IF(INDEX(Roster!$G:$G,MATCH($C551,Roster!$B:$B,0))="","",INDEX(Roster!$G:$G,MATCH($C551,Roster!$B:$B,0))&amp;""),"—"))</f>
        <v/>
      </c>
      <c r="J551" s="25">
        <f>IF($C551="","",IFERROR(IF(INDEX(Roster!$I:$I,MATCH($C551,Roster!$B:$B,0))="","",INDEX(Roster!$I:$I,MATCH($C551,Roster!$B:$B,0))&amp;""),"—"))</f>
        <v/>
      </c>
      <c r="K551">
        <f>IF($C551="","",IFERROR(IF(INDEX(Roster!$J:$J,MATCH($C551,Roster!$B:$B,0))="","",INDEX(Roster!$J:$J,MATCH($C551,Roster!$B:$B,0))&amp;""),"—"))</f>
        <v/>
      </c>
      <c r="L551">
        <f>IF($C551="","",IFERROR(IF(INDEX(Roster!$K:$K,MATCH($C551,Roster!$B:$B,0))="","",INDEX(Roster!$K:$K,MATCH($C551,Roster!$B:$B,0))&amp;""),"—"))</f>
        <v/>
      </c>
      <c r="M551" s="27" t="n"/>
      <c r="N551" s="27" t="n"/>
      <c r="O551" s="25">
        <f>IF($C551="","",IF($P551="","—",IF($P551="Valid (Pass)","Valid","Invalid")))</f>
        <v/>
      </c>
      <c r="P551" s="27" t="n"/>
      <c r="Q551" s="27" t="n"/>
      <c r="R551" s="27" t="n"/>
      <c r="S551" s="27" t="n"/>
      <c r="T551" s="25">
        <f>IF($C551="","",IF(OR(ISNUMBER(SEARCH("quick case",$P551)),ISNUMBER(SEARCH("quick case",$Q551))),"Yes","No"))</f>
        <v/>
      </c>
      <c r="U551" s="25">
        <f>IF($O551="Invalid",HYPERLINK("mailto:"&amp;$G551&amp;";"&amp;$I551&amp;"?cc="&amp;Lists!$E$2&amp;"&amp;subject="&amp;_xlfn.ENCODEURL("[INVALID] Quality audit monitoring completed for "&amp;UPPER($C551))&amp;"&amp;body="&amp;_xlfn.ENCODEURL("Hi "&amp;$F551&amp;","&amp;CHAR(10)&amp;"Good day!"&amp;CHAR(10)&amp;CHAR(10)&amp;"A quality monitoring audit has been completed for "&amp;$C551&amp;"."&amp;CHAR(10)&amp;CHAR(10)&amp;"QUALITY AUDIT DETAILS"&amp;CHAR(10)&amp;"Agent Name: "&amp;$C551&amp;" (EID "&amp;$D551&amp;")"&amp;CHAR(10)&amp;"Audit Date: "&amp;TEXT($B551,"yyyy-mm-dd")&amp;CHAR(10)&amp;"Team Leader: "&amp;$F551&amp;CHAR(10)&amp;"Case Number: "&amp;$M551&amp;CHAR(10)&amp;"Transaction ID: "&amp;$N551&amp;CHAR(10)&amp;"Channel / LOB: "&amp;$K551&amp;" / "&amp;$L551&amp;CHAR(10)&amp;"Evaluator: "&amp;$S551&amp;CHAR(10)&amp;CHAR(10)&amp;"INVALID QUALITY AUDIT DETAILS"&amp;CHAR(10)&amp;"Validation: Invalid"&amp;CHAR(10)&amp;"Invalid Reason: "&amp;$P551&amp;CHAR(10)&amp;"Expected Resolution Code: "&amp;$Q551&amp;CHAR(10)&amp;"Remarks: "&amp;LEFT($R551,600)&amp;CHAR(10)&amp;CHAR(10)&amp;"This is an automated notification from HP Mainstream EQMS."),"✉ Open Email Draft"),"")</f>
        <v/>
      </c>
    </row>
    <row r="552">
      <c r="A552" s="25">
        <f>IF($C552="","","AUD-2026-"&amp;TEXT(ROW()-1,"000000"))</f>
        <v/>
      </c>
      <c r="B552" s="26" t="n"/>
      <c r="C552" s="27" t="n"/>
      <c r="D552" s="25">
        <f>IF($C552="","",IFERROR(IF(INDEX(Roster!$A:$A,MATCH($C552,Roster!$B:$B,0))="","",INDEX(Roster!$A:$A,MATCH($C552,Roster!$B:$B,0))&amp;""),"—"))</f>
        <v/>
      </c>
      <c r="E552" s="25">
        <f>IF($C552="","",IFERROR(IF(INDEX(Roster!$C:$C,MATCH($C552,Roster!$B:$B,0))="","",INDEX(Roster!$C:$C,MATCH($C552,Roster!$B:$B,0))&amp;""),"—"))</f>
        <v/>
      </c>
      <c r="F552" s="25">
        <f>IF($C552="","",IFERROR(IF(INDEX(Roster!$D:$D,MATCH($C552,Roster!$B:$B,0))="","",INDEX(Roster!$D:$D,MATCH($C552,Roster!$B:$B,0))&amp;""),"—"))</f>
        <v/>
      </c>
      <c r="G552" s="25">
        <f>IF($C552="","",IFERROR(IF(INDEX(Roster!$E:$E,MATCH($C552,Roster!$B:$B,0))="","",INDEX(Roster!$E:$E,MATCH($C552,Roster!$B:$B,0))&amp;""),"—"))</f>
        <v/>
      </c>
      <c r="H552" s="25">
        <f>IF($C552="","",IFERROR(IF(INDEX(Roster!$F:$F,MATCH($C552,Roster!$B:$B,0))="","",INDEX(Roster!$F:$F,MATCH($C552,Roster!$B:$B,0))&amp;""),"—"))</f>
        <v/>
      </c>
      <c r="I552" s="25">
        <f>IF($C552="","",IFERROR(IF(INDEX(Roster!$G:$G,MATCH($C552,Roster!$B:$B,0))="","",INDEX(Roster!$G:$G,MATCH($C552,Roster!$B:$B,0))&amp;""),"—"))</f>
        <v/>
      </c>
      <c r="J552" s="25">
        <f>IF($C552="","",IFERROR(IF(INDEX(Roster!$I:$I,MATCH($C552,Roster!$B:$B,0))="","",INDEX(Roster!$I:$I,MATCH($C552,Roster!$B:$B,0))&amp;""),"—"))</f>
        <v/>
      </c>
      <c r="K552">
        <f>IF($C552="","",IFERROR(IF(INDEX(Roster!$J:$J,MATCH($C552,Roster!$B:$B,0))="","",INDEX(Roster!$J:$J,MATCH($C552,Roster!$B:$B,0))&amp;""),"—"))</f>
        <v/>
      </c>
      <c r="L552">
        <f>IF($C552="","",IFERROR(IF(INDEX(Roster!$K:$K,MATCH($C552,Roster!$B:$B,0))="","",INDEX(Roster!$K:$K,MATCH($C552,Roster!$B:$B,0))&amp;""),"—"))</f>
        <v/>
      </c>
      <c r="M552" s="27" t="n"/>
      <c r="N552" s="27" t="n"/>
      <c r="O552" s="25">
        <f>IF($C552="","",IF($P552="","—",IF($P552="Valid (Pass)","Valid","Invalid")))</f>
        <v/>
      </c>
      <c r="P552" s="27" t="n"/>
      <c r="Q552" s="27" t="n"/>
      <c r="R552" s="27" t="n"/>
      <c r="S552" s="27" t="n"/>
      <c r="T552" s="25">
        <f>IF($C552="","",IF(OR(ISNUMBER(SEARCH("quick case",$P552)),ISNUMBER(SEARCH("quick case",$Q552))),"Yes","No"))</f>
        <v/>
      </c>
      <c r="U552" s="25">
        <f>IF($O552="Invalid",HYPERLINK("mailto:"&amp;$G552&amp;";"&amp;$I552&amp;"?cc="&amp;Lists!$E$2&amp;"&amp;subject="&amp;_xlfn.ENCODEURL("[INVALID] Quality audit monitoring completed for "&amp;UPPER($C552))&amp;"&amp;body="&amp;_xlfn.ENCODEURL("Hi "&amp;$F552&amp;","&amp;CHAR(10)&amp;"Good day!"&amp;CHAR(10)&amp;CHAR(10)&amp;"A quality monitoring audit has been completed for "&amp;$C552&amp;"."&amp;CHAR(10)&amp;CHAR(10)&amp;"QUALITY AUDIT DETAILS"&amp;CHAR(10)&amp;"Agent Name: "&amp;$C552&amp;" (EID "&amp;$D552&amp;")"&amp;CHAR(10)&amp;"Audit Date: "&amp;TEXT($B552,"yyyy-mm-dd")&amp;CHAR(10)&amp;"Team Leader: "&amp;$F552&amp;CHAR(10)&amp;"Case Number: "&amp;$M552&amp;CHAR(10)&amp;"Transaction ID: "&amp;$N552&amp;CHAR(10)&amp;"Channel / LOB: "&amp;$K552&amp;" / "&amp;$L552&amp;CHAR(10)&amp;"Evaluator: "&amp;$S552&amp;CHAR(10)&amp;CHAR(10)&amp;"INVALID QUALITY AUDIT DETAILS"&amp;CHAR(10)&amp;"Validation: Invalid"&amp;CHAR(10)&amp;"Invalid Reason: "&amp;$P552&amp;CHAR(10)&amp;"Expected Resolution Code: "&amp;$Q552&amp;CHAR(10)&amp;"Remarks: "&amp;LEFT($R552,600)&amp;CHAR(10)&amp;CHAR(10)&amp;"This is an automated notification from HP Mainstream EQMS."),"✉ Open Email Draft"),"")</f>
        <v/>
      </c>
    </row>
    <row r="553">
      <c r="A553" s="25">
        <f>IF($C553="","","AUD-2026-"&amp;TEXT(ROW()-1,"000000"))</f>
        <v/>
      </c>
      <c r="B553" s="26" t="n"/>
      <c r="C553" s="27" t="n"/>
      <c r="D553" s="25">
        <f>IF($C553="","",IFERROR(IF(INDEX(Roster!$A:$A,MATCH($C553,Roster!$B:$B,0))="","",INDEX(Roster!$A:$A,MATCH($C553,Roster!$B:$B,0))&amp;""),"—"))</f>
        <v/>
      </c>
      <c r="E553" s="25">
        <f>IF($C553="","",IFERROR(IF(INDEX(Roster!$C:$C,MATCH($C553,Roster!$B:$B,0))="","",INDEX(Roster!$C:$C,MATCH($C553,Roster!$B:$B,0))&amp;""),"—"))</f>
        <v/>
      </c>
      <c r="F553" s="25">
        <f>IF($C553="","",IFERROR(IF(INDEX(Roster!$D:$D,MATCH($C553,Roster!$B:$B,0))="","",INDEX(Roster!$D:$D,MATCH($C553,Roster!$B:$B,0))&amp;""),"—"))</f>
        <v/>
      </c>
      <c r="G553" s="25">
        <f>IF($C553="","",IFERROR(IF(INDEX(Roster!$E:$E,MATCH($C553,Roster!$B:$B,0))="","",INDEX(Roster!$E:$E,MATCH($C553,Roster!$B:$B,0))&amp;""),"—"))</f>
        <v/>
      </c>
      <c r="H553" s="25">
        <f>IF($C553="","",IFERROR(IF(INDEX(Roster!$F:$F,MATCH($C553,Roster!$B:$B,0))="","",INDEX(Roster!$F:$F,MATCH($C553,Roster!$B:$B,0))&amp;""),"—"))</f>
        <v/>
      </c>
      <c r="I553" s="25">
        <f>IF($C553="","",IFERROR(IF(INDEX(Roster!$G:$G,MATCH($C553,Roster!$B:$B,0))="","",INDEX(Roster!$G:$G,MATCH($C553,Roster!$B:$B,0))&amp;""),"—"))</f>
        <v/>
      </c>
      <c r="J553" s="25">
        <f>IF($C553="","",IFERROR(IF(INDEX(Roster!$I:$I,MATCH($C553,Roster!$B:$B,0))="","",INDEX(Roster!$I:$I,MATCH($C553,Roster!$B:$B,0))&amp;""),"—"))</f>
        <v/>
      </c>
      <c r="K553">
        <f>IF($C553="","",IFERROR(IF(INDEX(Roster!$J:$J,MATCH($C553,Roster!$B:$B,0))="","",INDEX(Roster!$J:$J,MATCH($C553,Roster!$B:$B,0))&amp;""),"—"))</f>
        <v/>
      </c>
      <c r="L553">
        <f>IF($C553="","",IFERROR(IF(INDEX(Roster!$K:$K,MATCH($C553,Roster!$B:$B,0))="","",INDEX(Roster!$K:$K,MATCH($C553,Roster!$B:$B,0))&amp;""),"—"))</f>
        <v/>
      </c>
      <c r="M553" s="27" t="n"/>
      <c r="N553" s="27" t="n"/>
      <c r="O553" s="25">
        <f>IF($C553="","",IF($P553="","—",IF($P553="Valid (Pass)","Valid","Invalid")))</f>
        <v/>
      </c>
      <c r="P553" s="27" t="n"/>
      <c r="Q553" s="27" t="n"/>
      <c r="R553" s="27" t="n"/>
      <c r="S553" s="27" t="n"/>
      <c r="T553" s="25">
        <f>IF($C553="","",IF(OR(ISNUMBER(SEARCH("quick case",$P553)),ISNUMBER(SEARCH("quick case",$Q553))),"Yes","No"))</f>
        <v/>
      </c>
      <c r="U553" s="25">
        <f>IF($O553="Invalid",HYPERLINK("mailto:"&amp;$G553&amp;";"&amp;$I553&amp;"?cc="&amp;Lists!$E$2&amp;"&amp;subject="&amp;_xlfn.ENCODEURL("[INVALID] Quality audit monitoring completed for "&amp;UPPER($C553))&amp;"&amp;body="&amp;_xlfn.ENCODEURL("Hi "&amp;$F553&amp;","&amp;CHAR(10)&amp;"Good day!"&amp;CHAR(10)&amp;CHAR(10)&amp;"A quality monitoring audit has been completed for "&amp;$C553&amp;"."&amp;CHAR(10)&amp;CHAR(10)&amp;"QUALITY AUDIT DETAILS"&amp;CHAR(10)&amp;"Agent Name: "&amp;$C553&amp;" (EID "&amp;$D553&amp;")"&amp;CHAR(10)&amp;"Audit Date: "&amp;TEXT($B553,"yyyy-mm-dd")&amp;CHAR(10)&amp;"Team Leader: "&amp;$F553&amp;CHAR(10)&amp;"Case Number: "&amp;$M553&amp;CHAR(10)&amp;"Transaction ID: "&amp;$N553&amp;CHAR(10)&amp;"Channel / LOB: "&amp;$K553&amp;" / "&amp;$L553&amp;CHAR(10)&amp;"Evaluator: "&amp;$S553&amp;CHAR(10)&amp;CHAR(10)&amp;"INVALID QUALITY AUDIT DETAILS"&amp;CHAR(10)&amp;"Validation: Invalid"&amp;CHAR(10)&amp;"Invalid Reason: "&amp;$P553&amp;CHAR(10)&amp;"Expected Resolution Code: "&amp;$Q553&amp;CHAR(10)&amp;"Remarks: "&amp;LEFT($R553,600)&amp;CHAR(10)&amp;CHAR(10)&amp;"This is an automated notification from HP Mainstream EQMS."),"✉ Open Email Draft"),"")</f>
        <v/>
      </c>
    </row>
    <row r="554">
      <c r="A554" s="25">
        <f>IF($C554="","","AUD-2026-"&amp;TEXT(ROW()-1,"000000"))</f>
        <v/>
      </c>
      <c r="B554" s="26" t="n"/>
      <c r="C554" s="27" t="n"/>
      <c r="D554" s="25">
        <f>IF($C554="","",IFERROR(IF(INDEX(Roster!$A:$A,MATCH($C554,Roster!$B:$B,0))="","",INDEX(Roster!$A:$A,MATCH($C554,Roster!$B:$B,0))&amp;""),"—"))</f>
        <v/>
      </c>
      <c r="E554" s="25">
        <f>IF($C554="","",IFERROR(IF(INDEX(Roster!$C:$C,MATCH($C554,Roster!$B:$B,0))="","",INDEX(Roster!$C:$C,MATCH($C554,Roster!$B:$B,0))&amp;""),"—"))</f>
        <v/>
      </c>
      <c r="F554" s="25">
        <f>IF($C554="","",IFERROR(IF(INDEX(Roster!$D:$D,MATCH($C554,Roster!$B:$B,0))="","",INDEX(Roster!$D:$D,MATCH($C554,Roster!$B:$B,0))&amp;""),"—"))</f>
        <v/>
      </c>
      <c r="G554" s="25">
        <f>IF($C554="","",IFERROR(IF(INDEX(Roster!$E:$E,MATCH($C554,Roster!$B:$B,0))="","",INDEX(Roster!$E:$E,MATCH($C554,Roster!$B:$B,0))&amp;""),"—"))</f>
        <v/>
      </c>
      <c r="H554" s="25">
        <f>IF($C554="","",IFERROR(IF(INDEX(Roster!$F:$F,MATCH($C554,Roster!$B:$B,0))="","",INDEX(Roster!$F:$F,MATCH($C554,Roster!$B:$B,0))&amp;""),"—"))</f>
        <v/>
      </c>
      <c r="I554" s="25">
        <f>IF($C554="","",IFERROR(IF(INDEX(Roster!$G:$G,MATCH($C554,Roster!$B:$B,0))="","",INDEX(Roster!$G:$G,MATCH($C554,Roster!$B:$B,0))&amp;""),"—"))</f>
        <v/>
      </c>
      <c r="J554" s="25">
        <f>IF($C554="","",IFERROR(IF(INDEX(Roster!$I:$I,MATCH($C554,Roster!$B:$B,0))="","",INDEX(Roster!$I:$I,MATCH($C554,Roster!$B:$B,0))&amp;""),"—"))</f>
        <v/>
      </c>
      <c r="K554">
        <f>IF($C554="","",IFERROR(IF(INDEX(Roster!$J:$J,MATCH($C554,Roster!$B:$B,0))="","",INDEX(Roster!$J:$J,MATCH($C554,Roster!$B:$B,0))&amp;""),"—"))</f>
        <v/>
      </c>
      <c r="L554">
        <f>IF($C554="","",IFERROR(IF(INDEX(Roster!$K:$K,MATCH($C554,Roster!$B:$B,0))="","",INDEX(Roster!$K:$K,MATCH($C554,Roster!$B:$B,0))&amp;""),"—"))</f>
        <v/>
      </c>
      <c r="M554" s="27" t="n"/>
      <c r="N554" s="27" t="n"/>
      <c r="O554" s="25">
        <f>IF($C554="","",IF($P554="","—",IF($P554="Valid (Pass)","Valid","Invalid")))</f>
        <v/>
      </c>
      <c r="P554" s="27" t="n"/>
      <c r="Q554" s="27" t="n"/>
      <c r="R554" s="27" t="n"/>
      <c r="S554" s="27" t="n"/>
      <c r="T554" s="25">
        <f>IF($C554="","",IF(OR(ISNUMBER(SEARCH("quick case",$P554)),ISNUMBER(SEARCH("quick case",$Q554))),"Yes","No"))</f>
        <v/>
      </c>
      <c r="U554" s="25">
        <f>IF($O554="Invalid",HYPERLINK("mailto:"&amp;$G554&amp;";"&amp;$I554&amp;"?cc="&amp;Lists!$E$2&amp;"&amp;subject="&amp;_xlfn.ENCODEURL("[INVALID] Quality audit monitoring completed for "&amp;UPPER($C554))&amp;"&amp;body="&amp;_xlfn.ENCODEURL("Hi "&amp;$F554&amp;","&amp;CHAR(10)&amp;"Good day!"&amp;CHAR(10)&amp;CHAR(10)&amp;"A quality monitoring audit has been completed for "&amp;$C554&amp;"."&amp;CHAR(10)&amp;CHAR(10)&amp;"QUALITY AUDIT DETAILS"&amp;CHAR(10)&amp;"Agent Name: "&amp;$C554&amp;" (EID "&amp;$D554&amp;")"&amp;CHAR(10)&amp;"Audit Date: "&amp;TEXT($B554,"yyyy-mm-dd")&amp;CHAR(10)&amp;"Team Leader: "&amp;$F554&amp;CHAR(10)&amp;"Case Number: "&amp;$M554&amp;CHAR(10)&amp;"Transaction ID: "&amp;$N554&amp;CHAR(10)&amp;"Channel / LOB: "&amp;$K554&amp;" / "&amp;$L554&amp;CHAR(10)&amp;"Evaluator: "&amp;$S554&amp;CHAR(10)&amp;CHAR(10)&amp;"INVALID QUALITY AUDIT DETAILS"&amp;CHAR(10)&amp;"Validation: Invalid"&amp;CHAR(10)&amp;"Invalid Reason: "&amp;$P554&amp;CHAR(10)&amp;"Expected Resolution Code: "&amp;$Q554&amp;CHAR(10)&amp;"Remarks: "&amp;LEFT($R554,600)&amp;CHAR(10)&amp;CHAR(10)&amp;"This is an automated notification from HP Mainstream EQMS."),"✉ Open Email Draft"),"")</f>
        <v/>
      </c>
    </row>
    <row r="555">
      <c r="A555" s="25">
        <f>IF($C555="","","AUD-2026-"&amp;TEXT(ROW()-1,"000000"))</f>
        <v/>
      </c>
      <c r="B555" s="26" t="n"/>
      <c r="C555" s="27" t="n"/>
      <c r="D555" s="25">
        <f>IF($C555="","",IFERROR(IF(INDEX(Roster!$A:$A,MATCH($C555,Roster!$B:$B,0))="","",INDEX(Roster!$A:$A,MATCH($C555,Roster!$B:$B,0))&amp;""),"—"))</f>
        <v/>
      </c>
      <c r="E555" s="25">
        <f>IF($C555="","",IFERROR(IF(INDEX(Roster!$C:$C,MATCH($C555,Roster!$B:$B,0))="","",INDEX(Roster!$C:$C,MATCH($C555,Roster!$B:$B,0))&amp;""),"—"))</f>
        <v/>
      </c>
      <c r="F555" s="25">
        <f>IF($C555="","",IFERROR(IF(INDEX(Roster!$D:$D,MATCH($C555,Roster!$B:$B,0))="","",INDEX(Roster!$D:$D,MATCH($C555,Roster!$B:$B,0))&amp;""),"—"))</f>
        <v/>
      </c>
      <c r="G555" s="25">
        <f>IF($C555="","",IFERROR(IF(INDEX(Roster!$E:$E,MATCH($C555,Roster!$B:$B,0))="","",INDEX(Roster!$E:$E,MATCH($C555,Roster!$B:$B,0))&amp;""),"—"))</f>
        <v/>
      </c>
      <c r="H555" s="25">
        <f>IF($C555="","",IFERROR(IF(INDEX(Roster!$F:$F,MATCH($C555,Roster!$B:$B,0))="","",INDEX(Roster!$F:$F,MATCH($C555,Roster!$B:$B,0))&amp;""),"—"))</f>
        <v/>
      </c>
      <c r="I555" s="25">
        <f>IF($C555="","",IFERROR(IF(INDEX(Roster!$G:$G,MATCH($C555,Roster!$B:$B,0))="","",INDEX(Roster!$G:$G,MATCH($C555,Roster!$B:$B,0))&amp;""),"—"))</f>
        <v/>
      </c>
      <c r="J555" s="25">
        <f>IF($C555="","",IFERROR(IF(INDEX(Roster!$I:$I,MATCH($C555,Roster!$B:$B,0))="","",INDEX(Roster!$I:$I,MATCH($C555,Roster!$B:$B,0))&amp;""),"—"))</f>
        <v/>
      </c>
      <c r="K555">
        <f>IF($C555="","",IFERROR(IF(INDEX(Roster!$J:$J,MATCH($C555,Roster!$B:$B,0))="","",INDEX(Roster!$J:$J,MATCH($C555,Roster!$B:$B,0))&amp;""),"—"))</f>
        <v/>
      </c>
      <c r="L555">
        <f>IF($C555="","",IFERROR(IF(INDEX(Roster!$K:$K,MATCH($C555,Roster!$B:$B,0))="","",INDEX(Roster!$K:$K,MATCH($C555,Roster!$B:$B,0))&amp;""),"—"))</f>
        <v/>
      </c>
      <c r="M555" s="27" t="n"/>
      <c r="N555" s="27" t="n"/>
      <c r="O555" s="25">
        <f>IF($C555="","",IF($P555="","—",IF($P555="Valid (Pass)","Valid","Invalid")))</f>
        <v/>
      </c>
      <c r="P555" s="27" t="n"/>
      <c r="Q555" s="27" t="n"/>
      <c r="R555" s="27" t="n"/>
      <c r="S555" s="27" t="n"/>
      <c r="T555" s="25">
        <f>IF($C555="","",IF(OR(ISNUMBER(SEARCH("quick case",$P555)),ISNUMBER(SEARCH("quick case",$Q555))),"Yes","No"))</f>
        <v/>
      </c>
      <c r="U555" s="25">
        <f>IF($O555="Invalid",HYPERLINK("mailto:"&amp;$G555&amp;";"&amp;$I555&amp;"?cc="&amp;Lists!$E$2&amp;"&amp;subject="&amp;_xlfn.ENCODEURL("[INVALID] Quality audit monitoring completed for "&amp;UPPER($C555))&amp;"&amp;body="&amp;_xlfn.ENCODEURL("Hi "&amp;$F555&amp;","&amp;CHAR(10)&amp;"Good day!"&amp;CHAR(10)&amp;CHAR(10)&amp;"A quality monitoring audit has been completed for "&amp;$C555&amp;"."&amp;CHAR(10)&amp;CHAR(10)&amp;"QUALITY AUDIT DETAILS"&amp;CHAR(10)&amp;"Agent Name: "&amp;$C555&amp;" (EID "&amp;$D555&amp;")"&amp;CHAR(10)&amp;"Audit Date: "&amp;TEXT($B555,"yyyy-mm-dd")&amp;CHAR(10)&amp;"Team Leader: "&amp;$F555&amp;CHAR(10)&amp;"Case Number: "&amp;$M555&amp;CHAR(10)&amp;"Transaction ID: "&amp;$N555&amp;CHAR(10)&amp;"Channel / LOB: "&amp;$K555&amp;" / "&amp;$L555&amp;CHAR(10)&amp;"Evaluator: "&amp;$S555&amp;CHAR(10)&amp;CHAR(10)&amp;"INVALID QUALITY AUDIT DETAILS"&amp;CHAR(10)&amp;"Validation: Invalid"&amp;CHAR(10)&amp;"Invalid Reason: "&amp;$P555&amp;CHAR(10)&amp;"Expected Resolution Code: "&amp;$Q555&amp;CHAR(10)&amp;"Remarks: "&amp;LEFT($R555,600)&amp;CHAR(10)&amp;CHAR(10)&amp;"This is an automated notification from HP Mainstream EQMS."),"✉ Open Email Draft"),"")</f>
        <v/>
      </c>
    </row>
    <row r="556">
      <c r="A556" s="25">
        <f>IF($C556="","","AUD-2026-"&amp;TEXT(ROW()-1,"000000"))</f>
        <v/>
      </c>
      <c r="B556" s="26" t="n"/>
      <c r="C556" s="27" t="n"/>
      <c r="D556" s="25">
        <f>IF($C556="","",IFERROR(IF(INDEX(Roster!$A:$A,MATCH($C556,Roster!$B:$B,0))="","",INDEX(Roster!$A:$A,MATCH($C556,Roster!$B:$B,0))&amp;""),"—"))</f>
        <v/>
      </c>
      <c r="E556" s="25">
        <f>IF($C556="","",IFERROR(IF(INDEX(Roster!$C:$C,MATCH($C556,Roster!$B:$B,0))="","",INDEX(Roster!$C:$C,MATCH($C556,Roster!$B:$B,0))&amp;""),"—"))</f>
        <v/>
      </c>
      <c r="F556" s="25">
        <f>IF($C556="","",IFERROR(IF(INDEX(Roster!$D:$D,MATCH($C556,Roster!$B:$B,0))="","",INDEX(Roster!$D:$D,MATCH($C556,Roster!$B:$B,0))&amp;""),"—"))</f>
        <v/>
      </c>
      <c r="G556" s="25">
        <f>IF($C556="","",IFERROR(IF(INDEX(Roster!$E:$E,MATCH($C556,Roster!$B:$B,0))="","",INDEX(Roster!$E:$E,MATCH($C556,Roster!$B:$B,0))&amp;""),"—"))</f>
        <v/>
      </c>
      <c r="H556" s="25">
        <f>IF($C556="","",IFERROR(IF(INDEX(Roster!$F:$F,MATCH($C556,Roster!$B:$B,0))="","",INDEX(Roster!$F:$F,MATCH($C556,Roster!$B:$B,0))&amp;""),"—"))</f>
        <v/>
      </c>
      <c r="I556" s="25">
        <f>IF($C556="","",IFERROR(IF(INDEX(Roster!$G:$G,MATCH($C556,Roster!$B:$B,0))="","",INDEX(Roster!$G:$G,MATCH($C556,Roster!$B:$B,0))&amp;""),"—"))</f>
        <v/>
      </c>
      <c r="J556" s="25">
        <f>IF($C556="","",IFERROR(IF(INDEX(Roster!$I:$I,MATCH($C556,Roster!$B:$B,0))="","",INDEX(Roster!$I:$I,MATCH($C556,Roster!$B:$B,0))&amp;""),"—"))</f>
        <v/>
      </c>
      <c r="K556">
        <f>IF($C556="","",IFERROR(IF(INDEX(Roster!$J:$J,MATCH($C556,Roster!$B:$B,0))="","",INDEX(Roster!$J:$J,MATCH($C556,Roster!$B:$B,0))&amp;""),"—"))</f>
        <v/>
      </c>
      <c r="L556">
        <f>IF($C556="","",IFERROR(IF(INDEX(Roster!$K:$K,MATCH($C556,Roster!$B:$B,0))="","",INDEX(Roster!$K:$K,MATCH($C556,Roster!$B:$B,0))&amp;""),"—"))</f>
        <v/>
      </c>
      <c r="M556" s="27" t="n"/>
      <c r="N556" s="27" t="n"/>
      <c r="O556" s="25">
        <f>IF($C556="","",IF($P556="","—",IF($P556="Valid (Pass)","Valid","Invalid")))</f>
        <v/>
      </c>
      <c r="P556" s="27" t="n"/>
      <c r="Q556" s="27" t="n"/>
      <c r="R556" s="27" t="n"/>
      <c r="S556" s="27" t="n"/>
      <c r="T556" s="25">
        <f>IF($C556="","",IF(OR(ISNUMBER(SEARCH("quick case",$P556)),ISNUMBER(SEARCH("quick case",$Q556))),"Yes","No"))</f>
        <v/>
      </c>
      <c r="U556" s="25">
        <f>IF($O556="Invalid",HYPERLINK("mailto:"&amp;$G556&amp;";"&amp;$I556&amp;"?cc="&amp;Lists!$E$2&amp;"&amp;subject="&amp;_xlfn.ENCODEURL("[INVALID] Quality audit monitoring completed for "&amp;UPPER($C556))&amp;"&amp;body="&amp;_xlfn.ENCODEURL("Hi "&amp;$F556&amp;","&amp;CHAR(10)&amp;"Good day!"&amp;CHAR(10)&amp;CHAR(10)&amp;"A quality monitoring audit has been completed for "&amp;$C556&amp;"."&amp;CHAR(10)&amp;CHAR(10)&amp;"QUALITY AUDIT DETAILS"&amp;CHAR(10)&amp;"Agent Name: "&amp;$C556&amp;" (EID "&amp;$D556&amp;")"&amp;CHAR(10)&amp;"Audit Date: "&amp;TEXT($B556,"yyyy-mm-dd")&amp;CHAR(10)&amp;"Team Leader: "&amp;$F556&amp;CHAR(10)&amp;"Case Number: "&amp;$M556&amp;CHAR(10)&amp;"Transaction ID: "&amp;$N556&amp;CHAR(10)&amp;"Channel / LOB: "&amp;$K556&amp;" / "&amp;$L556&amp;CHAR(10)&amp;"Evaluator: "&amp;$S556&amp;CHAR(10)&amp;CHAR(10)&amp;"INVALID QUALITY AUDIT DETAILS"&amp;CHAR(10)&amp;"Validation: Invalid"&amp;CHAR(10)&amp;"Invalid Reason: "&amp;$P556&amp;CHAR(10)&amp;"Expected Resolution Code: "&amp;$Q556&amp;CHAR(10)&amp;"Remarks: "&amp;LEFT($R556,600)&amp;CHAR(10)&amp;CHAR(10)&amp;"This is an automated notification from HP Mainstream EQMS."),"✉ Open Email Draft"),"")</f>
        <v/>
      </c>
    </row>
    <row r="557">
      <c r="A557" s="25">
        <f>IF($C557="","","AUD-2026-"&amp;TEXT(ROW()-1,"000000"))</f>
        <v/>
      </c>
      <c r="B557" s="26" t="n"/>
      <c r="C557" s="27" t="n"/>
      <c r="D557" s="25">
        <f>IF($C557="","",IFERROR(IF(INDEX(Roster!$A:$A,MATCH($C557,Roster!$B:$B,0))="","",INDEX(Roster!$A:$A,MATCH($C557,Roster!$B:$B,0))&amp;""),"—"))</f>
        <v/>
      </c>
      <c r="E557" s="25">
        <f>IF($C557="","",IFERROR(IF(INDEX(Roster!$C:$C,MATCH($C557,Roster!$B:$B,0))="","",INDEX(Roster!$C:$C,MATCH($C557,Roster!$B:$B,0))&amp;""),"—"))</f>
        <v/>
      </c>
      <c r="F557" s="25">
        <f>IF($C557="","",IFERROR(IF(INDEX(Roster!$D:$D,MATCH($C557,Roster!$B:$B,0))="","",INDEX(Roster!$D:$D,MATCH($C557,Roster!$B:$B,0))&amp;""),"—"))</f>
        <v/>
      </c>
      <c r="G557" s="25">
        <f>IF($C557="","",IFERROR(IF(INDEX(Roster!$E:$E,MATCH($C557,Roster!$B:$B,0))="","",INDEX(Roster!$E:$E,MATCH($C557,Roster!$B:$B,0))&amp;""),"—"))</f>
        <v/>
      </c>
      <c r="H557" s="25">
        <f>IF($C557="","",IFERROR(IF(INDEX(Roster!$F:$F,MATCH($C557,Roster!$B:$B,0))="","",INDEX(Roster!$F:$F,MATCH($C557,Roster!$B:$B,0))&amp;""),"—"))</f>
        <v/>
      </c>
      <c r="I557" s="25">
        <f>IF($C557="","",IFERROR(IF(INDEX(Roster!$G:$G,MATCH($C557,Roster!$B:$B,0))="","",INDEX(Roster!$G:$G,MATCH($C557,Roster!$B:$B,0))&amp;""),"—"))</f>
        <v/>
      </c>
      <c r="J557" s="25">
        <f>IF($C557="","",IFERROR(IF(INDEX(Roster!$I:$I,MATCH($C557,Roster!$B:$B,0))="","",INDEX(Roster!$I:$I,MATCH($C557,Roster!$B:$B,0))&amp;""),"—"))</f>
        <v/>
      </c>
      <c r="K557">
        <f>IF($C557="","",IFERROR(IF(INDEX(Roster!$J:$J,MATCH($C557,Roster!$B:$B,0))="","",INDEX(Roster!$J:$J,MATCH($C557,Roster!$B:$B,0))&amp;""),"—"))</f>
        <v/>
      </c>
      <c r="L557">
        <f>IF($C557="","",IFERROR(IF(INDEX(Roster!$K:$K,MATCH($C557,Roster!$B:$B,0))="","",INDEX(Roster!$K:$K,MATCH($C557,Roster!$B:$B,0))&amp;""),"—"))</f>
        <v/>
      </c>
      <c r="M557" s="27" t="n"/>
      <c r="N557" s="27" t="n"/>
      <c r="O557" s="25">
        <f>IF($C557="","",IF($P557="","—",IF($P557="Valid (Pass)","Valid","Invalid")))</f>
        <v/>
      </c>
      <c r="P557" s="27" t="n"/>
      <c r="Q557" s="27" t="n"/>
      <c r="R557" s="27" t="n"/>
      <c r="S557" s="27" t="n"/>
      <c r="T557" s="25">
        <f>IF($C557="","",IF(OR(ISNUMBER(SEARCH("quick case",$P557)),ISNUMBER(SEARCH("quick case",$Q557))),"Yes","No"))</f>
        <v/>
      </c>
      <c r="U557" s="25">
        <f>IF($O557="Invalid",HYPERLINK("mailto:"&amp;$G557&amp;";"&amp;$I557&amp;"?cc="&amp;Lists!$E$2&amp;"&amp;subject="&amp;_xlfn.ENCODEURL("[INVALID] Quality audit monitoring completed for "&amp;UPPER($C557))&amp;"&amp;body="&amp;_xlfn.ENCODEURL("Hi "&amp;$F557&amp;","&amp;CHAR(10)&amp;"Good day!"&amp;CHAR(10)&amp;CHAR(10)&amp;"A quality monitoring audit has been completed for "&amp;$C557&amp;"."&amp;CHAR(10)&amp;CHAR(10)&amp;"QUALITY AUDIT DETAILS"&amp;CHAR(10)&amp;"Agent Name: "&amp;$C557&amp;" (EID "&amp;$D557&amp;")"&amp;CHAR(10)&amp;"Audit Date: "&amp;TEXT($B557,"yyyy-mm-dd")&amp;CHAR(10)&amp;"Team Leader: "&amp;$F557&amp;CHAR(10)&amp;"Case Number: "&amp;$M557&amp;CHAR(10)&amp;"Transaction ID: "&amp;$N557&amp;CHAR(10)&amp;"Channel / LOB: "&amp;$K557&amp;" / "&amp;$L557&amp;CHAR(10)&amp;"Evaluator: "&amp;$S557&amp;CHAR(10)&amp;CHAR(10)&amp;"INVALID QUALITY AUDIT DETAILS"&amp;CHAR(10)&amp;"Validation: Invalid"&amp;CHAR(10)&amp;"Invalid Reason: "&amp;$P557&amp;CHAR(10)&amp;"Expected Resolution Code: "&amp;$Q557&amp;CHAR(10)&amp;"Remarks: "&amp;LEFT($R557,600)&amp;CHAR(10)&amp;CHAR(10)&amp;"This is an automated notification from HP Mainstream EQMS."),"✉ Open Email Draft"),"")</f>
        <v/>
      </c>
    </row>
    <row r="558">
      <c r="A558" s="25">
        <f>IF($C558="","","AUD-2026-"&amp;TEXT(ROW()-1,"000000"))</f>
        <v/>
      </c>
      <c r="B558" s="26" t="n"/>
      <c r="C558" s="27" t="n"/>
      <c r="D558" s="25">
        <f>IF($C558="","",IFERROR(IF(INDEX(Roster!$A:$A,MATCH($C558,Roster!$B:$B,0))="","",INDEX(Roster!$A:$A,MATCH($C558,Roster!$B:$B,0))&amp;""),"—"))</f>
        <v/>
      </c>
      <c r="E558" s="25">
        <f>IF($C558="","",IFERROR(IF(INDEX(Roster!$C:$C,MATCH($C558,Roster!$B:$B,0))="","",INDEX(Roster!$C:$C,MATCH($C558,Roster!$B:$B,0))&amp;""),"—"))</f>
        <v/>
      </c>
      <c r="F558" s="25">
        <f>IF($C558="","",IFERROR(IF(INDEX(Roster!$D:$D,MATCH($C558,Roster!$B:$B,0))="","",INDEX(Roster!$D:$D,MATCH($C558,Roster!$B:$B,0))&amp;""),"—"))</f>
        <v/>
      </c>
      <c r="G558" s="25">
        <f>IF($C558="","",IFERROR(IF(INDEX(Roster!$E:$E,MATCH($C558,Roster!$B:$B,0))="","",INDEX(Roster!$E:$E,MATCH($C558,Roster!$B:$B,0))&amp;""),"—"))</f>
        <v/>
      </c>
      <c r="H558" s="25">
        <f>IF($C558="","",IFERROR(IF(INDEX(Roster!$F:$F,MATCH($C558,Roster!$B:$B,0))="","",INDEX(Roster!$F:$F,MATCH($C558,Roster!$B:$B,0))&amp;""),"—"))</f>
        <v/>
      </c>
      <c r="I558" s="25">
        <f>IF($C558="","",IFERROR(IF(INDEX(Roster!$G:$G,MATCH($C558,Roster!$B:$B,0))="","",INDEX(Roster!$G:$G,MATCH($C558,Roster!$B:$B,0))&amp;""),"—"))</f>
        <v/>
      </c>
      <c r="J558" s="25">
        <f>IF($C558="","",IFERROR(IF(INDEX(Roster!$I:$I,MATCH($C558,Roster!$B:$B,0))="","",INDEX(Roster!$I:$I,MATCH($C558,Roster!$B:$B,0))&amp;""),"—"))</f>
        <v/>
      </c>
      <c r="K558">
        <f>IF($C558="","",IFERROR(IF(INDEX(Roster!$J:$J,MATCH($C558,Roster!$B:$B,0))="","",INDEX(Roster!$J:$J,MATCH($C558,Roster!$B:$B,0))&amp;""),"—"))</f>
        <v/>
      </c>
      <c r="L558">
        <f>IF($C558="","",IFERROR(IF(INDEX(Roster!$K:$K,MATCH($C558,Roster!$B:$B,0))="","",INDEX(Roster!$K:$K,MATCH($C558,Roster!$B:$B,0))&amp;""),"—"))</f>
        <v/>
      </c>
      <c r="M558" s="27" t="n"/>
      <c r="N558" s="27" t="n"/>
      <c r="O558" s="25">
        <f>IF($C558="","",IF($P558="","—",IF($P558="Valid (Pass)","Valid","Invalid")))</f>
        <v/>
      </c>
      <c r="P558" s="27" t="n"/>
      <c r="Q558" s="27" t="n"/>
      <c r="R558" s="27" t="n"/>
      <c r="S558" s="27" t="n"/>
      <c r="T558" s="25">
        <f>IF($C558="","",IF(OR(ISNUMBER(SEARCH("quick case",$P558)),ISNUMBER(SEARCH("quick case",$Q558))),"Yes","No"))</f>
        <v/>
      </c>
      <c r="U558" s="25">
        <f>IF($O558="Invalid",HYPERLINK("mailto:"&amp;$G558&amp;";"&amp;$I558&amp;"?cc="&amp;Lists!$E$2&amp;"&amp;subject="&amp;_xlfn.ENCODEURL("[INVALID] Quality audit monitoring completed for "&amp;UPPER($C558))&amp;"&amp;body="&amp;_xlfn.ENCODEURL("Hi "&amp;$F558&amp;","&amp;CHAR(10)&amp;"Good day!"&amp;CHAR(10)&amp;CHAR(10)&amp;"A quality monitoring audit has been completed for "&amp;$C558&amp;"."&amp;CHAR(10)&amp;CHAR(10)&amp;"QUALITY AUDIT DETAILS"&amp;CHAR(10)&amp;"Agent Name: "&amp;$C558&amp;" (EID "&amp;$D558&amp;")"&amp;CHAR(10)&amp;"Audit Date: "&amp;TEXT($B558,"yyyy-mm-dd")&amp;CHAR(10)&amp;"Team Leader: "&amp;$F558&amp;CHAR(10)&amp;"Case Number: "&amp;$M558&amp;CHAR(10)&amp;"Transaction ID: "&amp;$N558&amp;CHAR(10)&amp;"Channel / LOB: "&amp;$K558&amp;" / "&amp;$L558&amp;CHAR(10)&amp;"Evaluator: "&amp;$S558&amp;CHAR(10)&amp;CHAR(10)&amp;"INVALID QUALITY AUDIT DETAILS"&amp;CHAR(10)&amp;"Validation: Invalid"&amp;CHAR(10)&amp;"Invalid Reason: "&amp;$P558&amp;CHAR(10)&amp;"Expected Resolution Code: "&amp;$Q558&amp;CHAR(10)&amp;"Remarks: "&amp;LEFT($R558,600)&amp;CHAR(10)&amp;CHAR(10)&amp;"This is an automated notification from HP Mainstream EQMS."),"✉ Open Email Draft"),"")</f>
        <v/>
      </c>
    </row>
    <row r="559">
      <c r="A559" s="25">
        <f>IF($C559="","","AUD-2026-"&amp;TEXT(ROW()-1,"000000"))</f>
        <v/>
      </c>
      <c r="B559" s="26" t="n"/>
      <c r="C559" s="27" t="n"/>
      <c r="D559" s="25">
        <f>IF($C559="","",IFERROR(IF(INDEX(Roster!$A:$A,MATCH($C559,Roster!$B:$B,0))="","",INDEX(Roster!$A:$A,MATCH($C559,Roster!$B:$B,0))&amp;""),"—"))</f>
        <v/>
      </c>
      <c r="E559" s="25">
        <f>IF($C559="","",IFERROR(IF(INDEX(Roster!$C:$C,MATCH($C559,Roster!$B:$B,0))="","",INDEX(Roster!$C:$C,MATCH($C559,Roster!$B:$B,0))&amp;""),"—"))</f>
        <v/>
      </c>
      <c r="F559" s="25">
        <f>IF($C559="","",IFERROR(IF(INDEX(Roster!$D:$D,MATCH($C559,Roster!$B:$B,0))="","",INDEX(Roster!$D:$D,MATCH($C559,Roster!$B:$B,0))&amp;""),"—"))</f>
        <v/>
      </c>
      <c r="G559" s="25">
        <f>IF($C559="","",IFERROR(IF(INDEX(Roster!$E:$E,MATCH($C559,Roster!$B:$B,0))="","",INDEX(Roster!$E:$E,MATCH($C559,Roster!$B:$B,0))&amp;""),"—"))</f>
        <v/>
      </c>
      <c r="H559" s="25">
        <f>IF($C559="","",IFERROR(IF(INDEX(Roster!$F:$F,MATCH($C559,Roster!$B:$B,0))="","",INDEX(Roster!$F:$F,MATCH($C559,Roster!$B:$B,0))&amp;""),"—"))</f>
        <v/>
      </c>
      <c r="I559" s="25">
        <f>IF($C559="","",IFERROR(IF(INDEX(Roster!$G:$G,MATCH($C559,Roster!$B:$B,0))="","",INDEX(Roster!$G:$G,MATCH($C559,Roster!$B:$B,0))&amp;""),"—"))</f>
        <v/>
      </c>
      <c r="J559" s="25">
        <f>IF($C559="","",IFERROR(IF(INDEX(Roster!$I:$I,MATCH($C559,Roster!$B:$B,0))="","",INDEX(Roster!$I:$I,MATCH($C559,Roster!$B:$B,0))&amp;""),"—"))</f>
        <v/>
      </c>
      <c r="K559">
        <f>IF($C559="","",IFERROR(IF(INDEX(Roster!$J:$J,MATCH($C559,Roster!$B:$B,0))="","",INDEX(Roster!$J:$J,MATCH($C559,Roster!$B:$B,0))&amp;""),"—"))</f>
        <v/>
      </c>
      <c r="L559">
        <f>IF($C559="","",IFERROR(IF(INDEX(Roster!$K:$K,MATCH($C559,Roster!$B:$B,0))="","",INDEX(Roster!$K:$K,MATCH($C559,Roster!$B:$B,0))&amp;""),"—"))</f>
        <v/>
      </c>
      <c r="M559" s="27" t="n"/>
      <c r="N559" s="27" t="n"/>
      <c r="O559" s="25">
        <f>IF($C559="","",IF($P559="","—",IF($P559="Valid (Pass)","Valid","Invalid")))</f>
        <v/>
      </c>
      <c r="P559" s="27" t="n"/>
      <c r="Q559" s="27" t="n"/>
      <c r="R559" s="27" t="n"/>
      <c r="S559" s="27" t="n"/>
      <c r="T559" s="25">
        <f>IF($C559="","",IF(OR(ISNUMBER(SEARCH("quick case",$P559)),ISNUMBER(SEARCH("quick case",$Q559))),"Yes","No"))</f>
        <v/>
      </c>
      <c r="U559" s="25">
        <f>IF($O559="Invalid",HYPERLINK("mailto:"&amp;$G559&amp;";"&amp;$I559&amp;"?cc="&amp;Lists!$E$2&amp;"&amp;subject="&amp;_xlfn.ENCODEURL("[INVALID] Quality audit monitoring completed for "&amp;UPPER($C559))&amp;"&amp;body="&amp;_xlfn.ENCODEURL("Hi "&amp;$F559&amp;","&amp;CHAR(10)&amp;"Good day!"&amp;CHAR(10)&amp;CHAR(10)&amp;"A quality monitoring audit has been completed for "&amp;$C559&amp;"."&amp;CHAR(10)&amp;CHAR(10)&amp;"QUALITY AUDIT DETAILS"&amp;CHAR(10)&amp;"Agent Name: "&amp;$C559&amp;" (EID "&amp;$D559&amp;")"&amp;CHAR(10)&amp;"Audit Date: "&amp;TEXT($B559,"yyyy-mm-dd")&amp;CHAR(10)&amp;"Team Leader: "&amp;$F559&amp;CHAR(10)&amp;"Case Number: "&amp;$M559&amp;CHAR(10)&amp;"Transaction ID: "&amp;$N559&amp;CHAR(10)&amp;"Channel / LOB: "&amp;$K559&amp;" / "&amp;$L559&amp;CHAR(10)&amp;"Evaluator: "&amp;$S559&amp;CHAR(10)&amp;CHAR(10)&amp;"INVALID QUALITY AUDIT DETAILS"&amp;CHAR(10)&amp;"Validation: Invalid"&amp;CHAR(10)&amp;"Invalid Reason: "&amp;$P559&amp;CHAR(10)&amp;"Expected Resolution Code: "&amp;$Q559&amp;CHAR(10)&amp;"Remarks: "&amp;LEFT($R559,600)&amp;CHAR(10)&amp;CHAR(10)&amp;"This is an automated notification from HP Mainstream EQMS."),"✉ Open Email Draft"),"")</f>
        <v/>
      </c>
    </row>
    <row r="560">
      <c r="A560" s="25">
        <f>IF($C560="","","AUD-2026-"&amp;TEXT(ROW()-1,"000000"))</f>
        <v/>
      </c>
      <c r="B560" s="26" t="n"/>
      <c r="C560" s="27" t="n"/>
      <c r="D560" s="25">
        <f>IF($C560="","",IFERROR(IF(INDEX(Roster!$A:$A,MATCH($C560,Roster!$B:$B,0))="","",INDEX(Roster!$A:$A,MATCH($C560,Roster!$B:$B,0))&amp;""),"—"))</f>
        <v/>
      </c>
      <c r="E560" s="25">
        <f>IF($C560="","",IFERROR(IF(INDEX(Roster!$C:$C,MATCH($C560,Roster!$B:$B,0))="","",INDEX(Roster!$C:$C,MATCH($C560,Roster!$B:$B,0))&amp;""),"—"))</f>
        <v/>
      </c>
      <c r="F560" s="25">
        <f>IF($C560="","",IFERROR(IF(INDEX(Roster!$D:$D,MATCH($C560,Roster!$B:$B,0))="","",INDEX(Roster!$D:$D,MATCH($C560,Roster!$B:$B,0))&amp;""),"—"))</f>
        <v/>
      </c>
      <c r="G560" s="25">
        <f>IF($C560="","",IFERROR(IF(INDEX(Roster!$E:$E,MATCH($C560,Roster!$B:$B,0))="","",INDEX(Roster!$E:$E,MATCH($C560,Roster!$B:$B,0))&amp;""),"—"))</f>
        <v/>
      </c>
      <c r="H560" s="25">
        <f>IF($C560="","",IFERROR(IF(INDEX(Roster!$F:$F,MATCH($C560,Roster!$B:$B,0))="","",INDEX(Roster!$F:$F,MATCH($C560,Roster!$B:$B,0))&amp;""),"—"))</f>
        <v/>
      </c>
      <c r="I560" s="25">
        <f>IF($C560="","",IFERROR(IF(INDEX(Roster!$G:$G,MATCH($C560,Roster!$B:$B,0))="","",INDEX(Roster!$G:$G,MATCH($C560,Roster!$B:$B,0))&amp;""),"—"))</f>
        <v/>
      </c>
      <c r="J560" s="25">
        <f>IF($C560="","",IFERROR(IF(INDEX(Roster!$I:$I,MATCH($C560,Roster!$B:$B,0))="","",INDEX(Roster!$I:$I,MATCH($C560,Roster!$B:$B,0))&amp;""),"—"))</f>
        <v/>
      </c>
      <c r="K560">
        <f>IF($C560="","",IFERROR(IF(INDEX(Roster!$J:$J,MATCH($C560,Roster!$B:$B,0))="","",INDEX(Roster!$J:$J,MATCH($C560,Roster!$B:$B,0))&amp;""),"—"))</f>
        <v/>
      </c>
      <c r="L560">
        <f>IF($C560="","",IFERROR(IF(INDEX(Roster!$K:$K,MATCH($C560,Roster!$B:$B,0))="","",INDEX(Roster!$K:$K,MATCH($C560,Roster!$B:$B,0))&amp;""),"—"))</f>
        <v/>
      </c>
      <c r="M560" s="27" t="n"/>
      <c r="N560" s="27" t="n"/>
      <c r="O560" s="25">
        <f>IF($C560="","",IF($P560="","—",IF($P560="Valid (Pass)","Valid","Invalid")))</f>
        <v/>
      </c>
      <c r="P560" s="27" t="n"/>
      <c r="Q560" s="27" t="n"/>
      <c r="R560" s="27" t="n"/>
      <c r="S560" s="27" t="n"/>
      <c r="T560" s="25">
        <f>IF($C560="","",IF(OR(ISNUMBER(SEARCH("quick case",$P560)),ISNUMBER(SEARCH("quick case",$Q560))),"Yes","No"))</f>
        <v/>
      </c>
      <c r="U560" s="25">
        <f>IF($O560="Invalid",HYPERLINK("mailto:"&amp;$G560&amp;";"&amp;$I560&amp;"?cc="&amp;Lists!$E$2&amp;"&amp;subject="&amp;_xlfn.ENCODEURL("[INVALID] Quality audit monitoring completed for "&amp;UPPER($C560))&amp;"&amp;body="&amp;_xlfn.ENCODEURL("Hi "&amp;$F560&amp;","&amp;CHAR(10)&amp;"Good day!"&amp;CHAR(10)&amp;CHAR(10)&amp;"A quality monitoring audit has been completed for "&amp;$C560&amp;"."&amp;CHAR(10)&amp;CHAR(10)&amp;"QUALITY AUDIT DETAILS"&amp;CHAR(10)&amp;"Agent Name: "&amp;$C560&amp;" (EID "&amp;$D560&amp;")"&amp;CHAR(10)&amp;"Audit Date: "&amp;TEXT($B560,"yyyy-mm-dd")&amp;CHAR(10)&amp;"Team Leader: "&amp;$F560&amp;CHAR(10)&amp;"Case Number: "&amp;$M560&amp;CHAR(10)&amp;"Transaction ID: "&amp;$N560&amp;CHAR(10)&amp;"Channel / LOB: "&amp;$K560&amp;" / "&amp;$L560&amp;CHAR(10)&amp;"Evaluator: "&amp;$S560&amp;CHAR(10)&amp;CHAR(10)&amp;"INVALID QUALITY AUDIT DETAILS"&amp;CHAR(10)&amp;"Validation: Invalid"&amp;CHAR(10)&amp;"Invalid Reason: "&amp;$P560&amp;CHAR(10)&amp;"Expected Resolution Code: "&amp;$Q560&amp;CHAR(10)&amp;"Remarks: "&amp;LEFT($R560,600)&amp;CHAR(10)&amp;CHAR(10)&amp;"This is an automated notification from HP Mainstream EQMS."),"✉ Open Email Draft"),"")</f>
        <v/>
      </c>
    </row>
    <row r="561">
      <c r="A561" s="25">
        <f>IF($C561="","","AUD-2026-"&amp;TEXT(ROW()-1,"000000"))</f>
        <v/>
      </c>
      <c r="B561" s="26" t="n"/>
      <c r="C561" s="27" t="n"/>
      <c r="D561" s="25">
        <f>IF($C561="","",IFERROR(IF(INDEX(Roster!$A:$A,MATCH($C561,Roster!$B:$B,0))="","",INDEX(Roster!$A:$A,MATCH($C561,Roster!$B:$B,0))&amp;""),"—"))</f>
        <v/>
      </c>
      <c r="E561" s="25">
        <f>IF($C561="","",IFERROR(IF(INDEX(Roster!$C:$C,MATCH($C561,Roster!$B:$B,0))="","",INDEX(Roster!$C:$C,MATCH($C561,Roster!$B:$B,0))&amp;""),"—"))</f>
        <v/>
      </c>
      <c r="F561" s="25">
        <f>IF($C561="","",IFERROR(IF(INDEX(Roster!$D:$D,MATCH($C561,Roster!$B:$B,0))="","",INDEX(Roster!$D:$D,MATCH($C561,Roster!$B:$B,0))&amp;""),"—"))</f>
        <v/>
      </c>
      <c r="G561" s="25">
        <f>IF($C561="","",IFERROR(IF(INDEX(Roster!$E:$E,MATCH($C561,Roster!$B:$B,0))="","",INDEX(Roster!$E:$E,MATCH($C561,Roster!$B:$B,0))&amp;""),"—"))</f>
        <v/>
      </c>
      <c r="H561" s="25">
        <f>IF($C561="","",IFERROR(IF(INDEX(Roster!$F:$F,MATCH($C561,Roster!$B:$B,0))="","",INDEX(Roster!$F:$F,MATCH($C561,Roster!$B:$B,0))&amp;""),"—"))</f>
        <v/>
      </c>
      <c r="I561" s="25">
        <f>IF($C561="","",IFERROR(IF(INDEX(Roster!$G:$G,MATCH($C561,Roster!$B:$B,0))="","",INDEX(Roster!$G:$G,MATCH($C561,Roster!$B:$B,0))&amp;""),"—"))</f>
        <v/>
      </c>
      <c r="J561" s="25">
        <f>IF($C561="","",IFERROR(IF(INDEX(Roster!$I:$I,MATCH($C561,Roster!$B:$B,0))="","",INDEX(Roster!$I:$I,MATCH($C561,Roster!$B:$B,0))&amp;""),"—"))</f>
        <v/>
      </c>
      <c r="K561">
        <f>IF($C561="","",IFERROR(IF(INDEX(Roster!$J:$J,MATCH($C561,Roster!$B:$B,0))="","",INDEX(Roster!$J:$J,MATCH($C561,Roster!$B:$B,0))&amp;""),"—"))</f>
        <v/>
      </c>
      <c r="L561">
        <f>IF($C561="","",IFERROR(IF(INDEX(Roster!$K:$K,MATCH($C561,Roster!$B:$B,0))="","",INDEX(Roster!$K:$K,MATCH($C561,Roster!$B:$B,0))&amp;""),"—"))</f>
        <v/>
      </c>
      <c r="M561" s="27" t="n"/>
      <c r="N561" s="27" t="n"/>
      <c r="O561" s="25">
        <f>IF($C561="","",IF($P561="","—",IF($P561="Valid (Pass)","Valid","Invalid")))</f>
        <v/>
      </c>
      <c r="P561" s="27" t="n"/>
      <c r="Q561" s="27" t="n"/>
      <c r="R561" s="27" t="n"/>
      <c r="S561" s="27" t="n"/>
      <c r="T561" s="25">
        <f>IF($C561="","",IF(OR(ISNUMBER(SEARCH("quick case",$P561)),ISNUMBER(SEARCH("quick case",$Q561))),"Yes","No"))</f>
        <v/>
      </c>
      <c r="U561" s="25">
        <f>IF($O561="Invalid",HYPERLINK("mailto:"&amp;$G561&amp;";"&amp;$I561&amp;"?cc="&amp;Lists!$E$2&amp;"&amp;subject="&amp;_xlfn.ENCODEURL("[INVALID] Quality audit monitoring completed for "&amp;UPPER($C561))&amp;"&amp;body="&amp;_xlfn.ENCODEURL("Hi "&amp;$F561&amp;","&amp;CHAR(10)&amp;"Good day!"&amp;CHAR(10)&amp;CHAR(10)&amp;"A quality monitoring audit has been completed for "&amp;$C561&amp;"."&amp;CHAR(10)&amp;CHAR(10)&amp;"QUALITY AUDIT DETAILS"&amp;CHAR(10)&amp;"Agent Name: "&amp;$C561&amp;" (EID "&amp;$D561&amp;")"&amp;CHAR(10)&amp;"Audit Date: "&amp;TEXT($B561,"yyyy-mm-dd")&amp;CHAR(10)&amp;"Team Leader: "&amp;$F561&amp;CHAR(10)&amp;"Case Number: "&amp;$M561&amp;CHAR(10)&amp;"Transaction ID: "&amp;$N561&amp;CHAR(10)&amp;"Channel / LOB: "&amp;$K561&amp;" / "&amp;$L561&amp;CHAR(10)&amp;"Evaluator: "&amp;$S561&amp;CHAR(10)&amp;CHAR(10)&amp;"INVALID QUALITY AUDIT DETAILS"&amp;CHAR(10)&amp;"Validation: Invalid"&amp;CHAR(10)&amp;"Invalid Reason: "&amp;$P561&amp;CHAR(10)&amp;"Expected Resolution Code: "&amp;$Q561&amp;CHAR(10)&amp;"Remarks: "&amp;LEFT($R561,600)&amp;CHAR(10)&amp;CHAR(10)&amp;"This is an automated notification from HP Mainstream EQMS."),"✉ Open Email Draft"),"")</f>
        <v/>
      </c>
    </row>
    <row r="562">
      <c r="A562" s="25">
        <f>IF($C562="","","AUD-2026-"&amp;TEXT(ROW()-1,"000000"))</f>
        <v/>
      </c>
      <c r="B562" s="26" t="n"/>
      <c r="C562" s="27" t="n"/>
      <c r="D562" s="25">
        <f>IF($C562="","",IFERROR(IF(INDEX(Roster!$A:$A,MATCH($C562,Roster!$B:$B,0))="","",INDEX(Roster!$A:$A,MATCH($C562,Roster!$B:$B,0))&amp;""),"—"))</f>
        <v/>
      </c>
      <c r="E562" s="25">
        <f>IF($C562="","",IFERROR(IF(INDEX(Roster!$C:$C,MATCH($C562,Roster!$B:$B,0))="","",INDEX(Roster!$C:$C,MATCH($C562,Roster!$B:$B,0))&amp;""),"—"))</f>
        <v/>
      </c>
      <c r="F562" s="25">
        <f>IF($C562="","",IFERROR(IF(INDEX(Roster!$D:$D,MATCH($C562,Roster!$B:$B,0))="","",INDEX(Roster!$D:$D,MATCH($C562,Roster!$B:$B,0))&amp;""),"—"))</f>
        <v/>
      </c>
      <c r="G562" s="25">
        <f>IF($C562="","",IFERROR(IF(INDEX(Roster!$E:$E,MATCH($C562,Roster!$B:$B,0))="","",INDEX(Roster!$E:$E,MATCH($C562,Roster!$B:$B,0))&amp;""),"—"))</f>
        <v/>
      </c>
      <c r="H562" s="25">
        <f>IF($C562="","",IFERROR(IF(INDEX(Roster!$F:$F,MATCH($C562,Roster!$B:$B,0))="","",INDEX(Roster!$F:$F,MATCH($C562,Roster!$B:$B,0))&amp;""),"—"))</f>
        <v/>
      </c>
      <c r="I562" s="25">
        <f>IF($C562="","",IFERROR(IF(INDEX(Roster!$G:$G,MATCH($C562,Roster!$B:$B,0))="","",INDEX(Roster!$G:$G,MATCH($C562,Roster!$B:$B,0))&amp;""),"—"))</f>
        <v/>
      </c>
      <c r="J562" s="25">
        <f>IF($C562="","",IFERROR(IF(INDEX(Roster!$I:$I,MATCH($C562,Roster!$B:$B,0))="","",INDEX(Roster!$I:$I,MATCH($C562,Roster!$B:$B,0))&amp;""),"—"))</f>
        <v/>
      </c>
      <c r="K562">
        <f>IF($C562="","",IFERROR(IF(INDEX(Roster!$J:$J,MATCH($C562,Roster!$B:$B,0))="","",INDEX(Roster!$J:$J,MATCH($C562,Roster!$B:$B,0))&amp;""),"—"))</f>
        <v/>
      </c>
      <c r="L562">
        <f>IF($C562="","",IFERROR(IF(INDEX(Roster!$K:$K,MATCH($C562,Roster!$B:$B,0))="","",INDEX(Roster!$K:$K,MATCH($C562,Roster!$B:$B,0))&amp;""),"—"))</f>
        <v/>
      </c>
      <c r="M562" s="27" t="n"/>
      <c r="N562" s="27" t="n"/>
      <c r="O562" s="25">
        <f>IF($C562="","",IF($P562="","—",IF($P562="Valid (Pass)","Valid","Invalid")))</f>
        <v/>
      </c>
      <c r="P562" s="27" t="n"/>
      <c r="Q562" s="27" t="n"/>
      <c r="R562" s="27" t="n"/>
      <c r="S562" s="27" t="n"/>
      <c r="T562" s="25">
        <f>IF($C562="","",IF(OR(ISNUMBER(SEARCH("quick case",$P562)),ISNUMBER(SEARCH("quick case",$Q562))),"Yes","No"))</f>
        <v/>
      </c>
      <c r="U562" s="25">
        <f>IF($O562="Invalid",HYPERLINK("mailto:"&amp;$G562&amp;";"&amp;$I562&amp;"?cc="&amp;Lists!$E$2&amp;"&amp;subject="&amp;_xlfn.ENCODEURL("[INVALID] Quality audit monitoring completed for "&amp;UPPER($C562))&amp;"&amp;body="&amp;_xlfn.ENCODEURL("Hi "&amp;$F562&amp;","&amp;CHAR(10)&amp;"Good day!"&amp;CHAR(10)&amp;CHAR(10)&amp;"A quality monitoring audit has been completed for "&amp;$C562&amp;"."&amp;CHAR(10)&amp;CHAR(10)&amp;"QUALITY AUDIT DETAILS"&amp;CHAR(10)&amp;"Agent Name: "&amp;$C562&amp;" (EID "&amp;$D562&amp;")"&amp;CHAR(10)&amp;"Audit Date: "&amp;TEXT($B562,"yyyy-mm-dd")&amp;CHAR(10)&amp;"Team Leader: "&amp;$F562&amp;CHAR(10)&amp;"Case Number: "&amp;$M562&amp;CHAR(10)&amp;"Transaction ID: "&amp;$N562&amp;CHAR(10)&amp;"Channel / LOB: "&amp;$K562&amp;" / "&amp;$L562&amp;CHAR(10)&amp;"Evaluator: "&amp;$S562&amp;CHAR(10)&amp;CHAR(10)&amp;"INVALID QUALITY AUDIT DETAILS"&amp;CHAR(10)&amp;"Validation: Invalid"&amp;CHAR(10)&amp;"Invalid Reason: "&amp;$P562&amp;CHAR(10)&amp;"Expected Resolution Code: "&amp;$Q562&amp;CHAR(10)&amp;"Remarks: "&amp;LEFT($R562,600)&amp;CHAR(10)&amp;CHAR(10)&amp;"This is an automated notification from HP Mainstream EQMS."),"✉ Open Email Draft"),"")</f>
        <v/>
      </c>
    </row>
    <row r="563">
      <c r="A563" s="25">
        <f>IF($C563="","","AUD-2026-"&amp;TEXT(ROW()-1,"000000"))</f>
        <v/>
      </c>
      <c r="B563" s="26" t="n"/>
      <c r="C563" s="27" t="n"/>
      <c r="D563" s="25">
        <f>IF($C563="","",IFERROR(IF(INDEX(Roster!$A:$A,MATCH($C563,Roster!$B:$B,0))="","",INDEX(Roster!$A:$A,MATCH($C563,Roster!$B:$B,0))&amp;""),"—"))</f>
        <v/>
      </c>
      <c r="E563" s="25">
        <f>IF($C563="","",IFERROR(IF(INDEX(Roster!$C:$C,MATCH($C563,Roster!$B:$B,0))="","",INDEX(Roster!$C:$C,MATCH($C563,Roster!$B:$B,0))&amp;""),"—"))</f>
        <v/>
      </c>
      <c r="F563" s="25">
        <f>IF($C563="","",IFERROR(IF(INDEX(Roster!$D:$D,MATCH($C563,Roster!$B:$B,0))="","",INDEX(Roster!$D:$D,MATCH($C563,Roster!$B:$B,0))&amp;""),"—"))</f>
        <v/>
      </c>
      <c r="G563" s="25">
        <f>IF($C563="","",IFERROR(IF(INDEX(Roster!$E:$E,MATCH($C563,Roster!$B:$B,0))="","",INDEX(Roster!$E:$E,MATCH($C563,Roster!$B:$B,0))&amp;""),"—"))</f>
        <v/>
      </c>
      <c r="H563" s="25">
        <f>IF($C563="","",IFERROR(IF(INDEX(Roster!$F:$F,MATCH($C563,Roster!$B:$B,0))="","",INDEX(Roster!$F:$F,MATCH($C563,Roster!$B:$B,0))&amp;""),"—"))</f>
        <v/>
      </c>
      <c r="I563" s="25">
        <f>IF($C563="","",IFERROR(IF(INDEX(Roster!$G:$G,MATCH($C563,Roster!$B:$B,0))="","",INDEX(Roster!$G:$G,MATCH($C563,Roster!$B:$B,0))&amp;""),"—"))</f>
        <v/>
      </c>
      <c r="J563" s="25">
        <f>IF($C563="","",IFERROR(IF(INDEX(Roster!$I:$I,MATCH($C563,Roster!$B:$B,0))="","",INDEX(Roster!$I:$I,MATCH($C563,Roster!$B:$B,0))&amp;""),"—"))</f>
        <v/>
      </c>
      <c r="K563">
        <f>IF($C563="","",IFERROR(IF(INDEX(Roster!$J:$J,MATCH($C563,Roster!$B:$B,0))="","",INDEX(Roster!$J:$J,MATCH($C563,Roster!$B:$B,0))&amp;""),"—"))</f>
        <v/>
      </c>
      <c r="L563">
        <f>IF($C563="","",IFERROR(IF(INDEX(Roster!$K:$K,MATCH($C563,Roster!$B:$B,0))="","",INDEX(Roster!$K:$K,MATCH($C563,Roster!$B:$B,0))&amp;""),"—"))</f>
        <v/>
      </c>
      <c r="M563" s="27" t="n"/>
      <c r="N563" s="27" t="n"/>
      <c r="O563" s="25">
        <f>IF($C563="","",IF($P563="","—",IF($P563="Valid (Pass)","Valid","Invalid")))</f>
        <v/>
      </c>
      <c r="P563" s="27" t="n"/>
      <c r="Q563" s="27" t="n"/>
      <c r="R563" s="27" t="n"/>
      <c r="S563" s="27" t="n"/>
      <c r="T563" s="25">
        <f>IF($C563="","",IF(OR(ISNUMBER(SEARCH("quick case",$P563)),ISNUMBER(SEARCH("quick case",$Q563))),"Yes","No"))</f>
        <v/>
      </c>
      <c r="U563" s="25">
        <f>IF($O563="Invalid",HYPERLINK("mailto:"&amp;$G563&amp;";"&amp;$I563&amp;"?cc="&amp;Lists!$E$2&amp;"&amp;subject="&amp;_xlfn.ENCODEURL("[INVALID] Quality audit monitoring completed for "&amp;UPPER($C563))&amp;"&amp;body="&amp;_xlfn.ENCODEURL("Hi "&amp;$F563&amp;","&amp;CHAR(10)&amp;"Good day!"&amp;CHAR(10)&amp;CHAR(10)&amp;"A quality monitoring audit has been completed for "&amp;$C563&amp;"."&amp;CHAR(10)&amp;CHAR(10)&amp;"QUALITY AUDIT DETAILS"&amp;CHAR(10)&amp;"Agent Name: "&amp;$C563&amp;" (EID "&amp;$D563&amp;")"&amp;CHAR(10)&amp;"Audit Date: "&amp;TEXT($B563,"yyyy-mm-dd")&amp;CHAR(10)&amp;"Team Leader: "&amp;$F563&amp;CHAR(10)&amp;"Case Number: "&amp;$M563&amp;CHAR(10)&amp;"Transaction ID: "&amp;$N563&amp;CHAR(10)&amp;"Channel / LOB: "&amp;$K563&amp;" / "&amp;$L563&amp;CHAR(10)&amp;"Evaluator: "&amp;$S563&amp;CHAR(10)&amp;CHAR(10)&amp;"INVALID QUALITY AUDIT DETAILS"&amp;CHAR(10)&amp;"Validation: Invalid"&amp;CHAR(10)&amp;"Invalid Reason: "&amp;$P563&amp;CHAR(10)&amp;"Expected Resolution Code: "&amp;$Q563&amp;CHAR(10)&amp;"Remarks: "&amp;LEFT($R563,600)&amp;CHAR(10)&amp;CHAR(10)&amp;"This is an automated notification from HP Mainstream EQMS."),"✉ Open Email Draft"),"")</f>
        <v/>
      </c>
    </row>
    <row r="564">
      <c r="A564" s="25">
        <f>IF($C564="","","AUD-2026-"&amp;TEXT(ROW()-1,"000000"))</f>
        <v/>
      </c>
      <c r="B564" s="26" t="n"/>
      <c r="C564" s="27" t="n"/>
      <c r="D564" s="25">
        <f>IF($C564="","",IFERROR(IF(INDEX(Roster!$A:$A,MATCH($C564,Roster!$B:$B,0))="","",INDEX(Roster!$A:$A,MATCH($C564,Roster!$B:$B,0))&amp;""),"—"))</f>
        <v/>
      </c>
      <c r="E564" s="25">
        <f>IF($C564="","",IFERROR(IF(INDEX(Roster!$C:$C,MATCH($C564,Roster!$B:$B,0))="","",INDEX(Roster!$C:$C,MATCH($C564,Roster!$B:$B,0))&amp;""),"—"))</f>
        <v/>
      </c>
      <c r="F564" s="25">
        <f>IF($C564="","",IFERROR(IF(INDEX(Roster!$D:$D,MATCH($C564,Roster!$B:$B,0))="","",INDEX(Roster!$D:$D,MATCH($C564,Roster!$B:$B,0))&amp;""),"—"))</f>
        <v/>
      </c>
      <c r="G564" s="25">
        <f>IF($C564="","",IFERROR(IF(INDEX(Roster!$E:$E,MATCH($C564,Roster!$B:$B,0))="","",INDEX(Roster!$E:$E,MATCH($C564,Roster!$B:$B,0))&amp;""),"—"))</f>
        <v/>
      </c>
      <c r="H564" s="25">
        <f>IF($C564="","",IFERROR(IF(INDEX(Roster!$F:$F,MATCH($C564,Roster!$B:$B,0))="","",INDEX(Roster!$F:$F,MATCH($C564,Roster!$B:$B,0))&amp;""),"—"))</f>
        <v/>
      </c>
      <c r="I564" s="25">
        <f>IF($C564="","",IFERROR(IF(INDEX(Roster!$G:$G,MATCH($C564,Roster!$B:$B,0))="","",INDEX(Roster!$G:$G,MATCH($C564,Roster!$B:$B,0))&amp;""),"—"))</f>
        <v/>
      </c>
      <c r="J564" s="25">
        <f>IF($C564="","",IFERROR(IF(INDEX(Roster!$I:$I,MATCH($C564,Roster!$B:$B,0))="","",INDEX(Roster!$I:$I,MATCH($C564,Roster!$B:$B,0))&amp;""),"—"))</f>
        <v/>
      </c>
      <c r="K564">
        <f>IF($C564="","",IFERROR(IF(INDEX(Roster!$J:$J,MATCH($C564,Roster!$B:$B,0))="","",INDEX(Roster!$J:$J,MATCH($C564,Roster!$B:$B,0))&amp;""),"—"))</f>
        <v/>
      </c>
      <c r="L564">
        <f>IF($C564="","",IFERROR(IF(INDEX(Roster!$K:$K,MATCH($C564,Roster!$B:$B,0))="","",INDEX(Roster!$K:$K,MATCH($C564,Roster!$B:$B,0))&amp;""),"—"))</f>
        <v/>
      </c>
      <c r="M564" s="27" t="n"/>
      <c r="N564" s="27" t="n"/>
      <c r="O564" s="25">
        <f>IF($C564="","",IF($P564="","—",IF($P564="Valid (Pass)","Valid","Invalid")))</f>
        <v/>
      </c>
      <c r="P564" s="27" t="n"/>
      <c r="Q564" s="27" t="n"/>
      <c r="R564" s="27" t="n"/>
      <c r="S564" s="27" t="n"/>
      <c r="T564" s="25">
        <f>IF($C564="","",IF(OR(ISNUMBER(SEARCH("quick case",$P564)),ISNUMBER(SEARCH("quick case",$Q564))),"Yes","No"))</f>
        <v/>
      </c>
      <c r="U564" s="25">
        <f>IF($O564="Invalid",HYPERLINK("mailto:"&amp;$G564&amp;";"&amp;$I564&amp;"?cc="&amp;Lists!$E$2&amp;"&amp;subject="&amp;_xlfn.ENCODEURL("[INVALID] Quality audit monitoring completed for "&amp;UPPER($C564))&amp;"&amp;body="&amp;_xlfn.ENCODEURL("Hi "&amp;$F564&amp;","&amp;CHAR(10)&amp;"Good day!"&amp;CHAR(10)&amp;CHAR(10)&amp;"A quality monitoring audit has been completed for "&amp;$C564&amp;"."&amp;CHAR(10)&amp;CHAR(10)&amp;"QUALITY AUDIT DETAILS"&amp;CHAR(10)&amp;"Agent Name: "&amp;$C564&amp;" (EID "&amp;$D564&amp;")"&amp;CHAR(10)&amp;"Audit Date: "&amp;TEXT($B564,"yyyy-mm-dd")&amp;CHAR(10)&amp;"Team Leader: "&amp;$F564&amp;CHAR(10)&amp;"Case Number: "&amp;$M564&amp;CHAR(10)&amp;"Transaction ID: "&amp;$N564&amp;CHAR(10)&amp;"Channel / LOB: "&amp;$K564&amp;" / "&amp;$L564&amp;CHAR(10)&amp;"Evaluator: "&amp;$S564&amp;CHAR(10)&amp;CHAR(10)&amp;"INVALID QUALITY AUDIT DETAILS"&amp;CHAR(10)&amp;"Validation: Invalid"&amp;CHAR(10)&amp;"Invalid Reason: "&amp;$P564&amp;CHAR(10)&amp;"Expected Resolution Code: "&amp;$Q564&amp;CHAR(10)&amp;"Remarks: "&amp;LEFT($R564,600)&amp;CHAR(10)&amp;CHAR(10)&amp;"This is an automated notification from HP Mainstream EQMS."),"✉ Open Email Draft"),"")</f>
        <v/>
      </c>
    </row>
    <row r="565">
      <c r="A565" s="25">
        <f>IF($C565="","","AUD-2026-"&amp;TEXT(ROW()-1,"000000"))</f>
        <v/>
      </c>
      <c r="B565" s="26" t="n"/>
      <c r="C565" s="27" t="n"/>
      <c r="D565" s="25">
        <f>IF($C565="","",IFERROR(IF(INDEX(Roster!$A:$A,MATCH($C565,Roster!$B:$B,0))="","",INDEX(Roster!$A:$A,MATCH($C565,Roster!$B:$B,0))&amp;""),"—"))</f>
        <v/>
      </c>
      <c r="E565" s="25">
        <f>IF($C565="","",IFERROR(IF(INDEX(Roster!$C:$C,MATCH($C565,Roster!$B:$B,0))="","",INDEX(Roster!$C:$C,MATCH($C565,Roster!$B:$B,0))&amp;""),"—"))</f>
        <v/>
      </c>
      <c r="F565" s="25">
        <f>IF($C565="","",IFERROR(IF(INDEX(Roster!$D:$D,MATCH($C565,Roster!$B:$B,0))="","",INDEX(Roster!$D:$D,MATCH($C565,Roster!$B:$B,0))&amp;""),"—"))</f>
        <v/>
      </c>
      <c r="G565" s="25">
        <f>IF($C565="","",IFERROR(IF(INDEX(Roster!$E:$E,MATCH($C565,Roster!$B:$B,0))="","",INDEX(Roster!$E:$E,MATCH($C565,Roster!$B:$B,0))&amp;""),"—"))</f>
        <v/>
      </c>
      <c r="H565" s="25">
        <f>IF($C565="","",IFERROR(IF(INDEX(Roster!$F:$F,MATCH($C565,Roster!$B:$B,0))="","",INDEX(Roster!$F:$F,MATCH($C565,Roster!$B:$B,0))&amp;""),"—"))</f>
        <v/>
      </c>
      <c r="I565" s="25">
        <f>IF($C565="","",IFERROR(IF(INDEX(Roster!$G:$G,MATCH($C565,Roster!$B:$B,0))="","",INDEX(Roster!$G:$G,MATCH($C565,Roster!$B:$B,0))&amp;""),"—"))</f>
        <v/>
      </c>
      <c r="J565" s="25">
        <f>IF($C565="","",IFERROR(IF(INDEX(Roster!$I:$I,MATCH($C565,Roster!$B:$B,0))="","",INDEX(Roster!$I:$I,MATCH($C565,Roster!$B:$B,0))&amp;""),"—"))</f>
        <v/>
      </c>
      <c r="K565">
        <f>IF($C565="","",IFERROR(IF(INDEX(Roster!$J:$J,MATCH($C565,Roster!$B:$B,0))="","",INDEX(Roster!$J:$J,MATCH($C565,Roster!$B:$B,0))&amp;""),"—"))</f>
        <v/>
      </c>
      <c r="L565">
        <f>IF($C565="","",IFERROR(IF(INDEX(Roster!$K:$K,MATCH($C565,Roster!$B:$B,0))="","",INDEX(Roster!$K:$K,MATCH($C565,Roster!$B:$B,0))&amp;""),"—"))</f>
        <v/>
      </c>
      <c r="M565" s="27" t="n"/>
      <c r="N565" s="27" t="n"/>
      <c r="O565" s="25">
        <f>IF($C565="","",IF($P565="","—",IF($P565="Valid (Pass)","Valid","Invalid")))</f>
        <v/>
      </c>
      <c r="P565" s="27" t="n"/>
      <c r="Q565" s="27" t="n"/>
      <c r="R565" s="27" t="n"/>
      <c r="S565" s="27" t="n"/>
      <c r="T565" s="25">
        <f>IF($C565="","",IF(OR(ISNUMBER(SEARCH("quick case",$P565)),ISNUMBER(SEARCH("quick case",$Q565))),"Yes","No"))</f>
        <v/>
      </c>
      <c r="U565" s="25">
        <f>IF($O565="Invalid",HYPERLINK("mailto:"&amp;$G565&amp;";"&amp;$I565&amp;"?cc="&amp;Lists!$E$2&amp;"&amp;subject="&amp;_xlfn.ENCODEURL("[INVALID] Quality audit monitoring completed for "&amp;UPPER($C565))&amp;"&amp;body="&amp;_xlfn.ENCODEURL("Hi "&amp;$F565&amp;","&amp;CHAR(10)&amp;"Good day!"&amp;CHAR(10)&amp;CHAR(10)&amp;"A quality monitoring audit has been completed for "&amp;$C565&amp;"."&amp;CHAR(10)&amp;CHAR(10)&amp;"QUALITY AUDIT DETAILS"&amp;CHAR(10)&amp;"Agent Name: "&amp;$C565&amp;" (EID "&amp;$D565&amp;")"&amp;CHAR(10)&amp;"Audit Date: "&amp;TEXT($B565,"yyyy-mm-dd")&amp;CHAR(10)&amp;"Team Leader: "&amp;$F565&amp;CHAR(10)&amp;"Case Number: "&amp;$M565&amp;CHAR(10)&amp;"Transaction ID: "&amp;$N565&amp;CHAR(10)&amp;"Channel / LOB: "&amp;$K565&amp;" / "&amp;$L565&amp;CHAR(10)&amp;"Evaluator: "&amp;$S565&amp;CHAR(10)&amp;CHAR(10)&amp;"INVALID QUALITY AUDIT DETAILS"&amp;CHAR(10)&amp;"Validation: Invalid"&amp;CHAR(10)&amp;"Invalid Reason: "&amp;$P565&amp;CHAR(10)&amp;"Expected Resolution Code: "&amp;$Q565&amp;CHAR(10)&amp;"Remarks: "&amp;LEFT($R565,600)&amp;CHAR(10)&amp;CHAR(10)&amp;"This is an automated notification from HP Mainstream EQMS."),"✉ Open Email Draft"),"")</f>
        <v/>
      </c>
    </row>
    <row r="566">
      <c r="A566" s="25">
        <f>IF($C566="","","AUD-2026-"&amp;TEXT(ROW()-1,"000000"))</f>
        <v/>
      </c>
      <c r="B566" s="26" t="n"/>
      <c r="C566" s="27" t="n"/>
      <c r="D566" s="25">
        <f>IF($C566="","",IFERROR(IF(INDEX(Roster!$A:$A,MATCH($C566,Roster!$B:$B,0))="","",INDEX(Roster!$A:$A,MATCH($C566,Roster!$B:$B,0))&amp;""),"—"))</f>
        <v/>
      </c>
      <c r="E566" s="25">
        <f>IF($C566="","",IFERROR(IF(INDEX(Roster!$C:$C,MATCH($C566,Roster!$B:$B,0))="","",INDEX(Roster!$C:$C,MATCH($C566,Roster!$B:$B,0))&amp;""),"—"))</f>
        <v/>
      </c>
      <c r="F566" s="25">
        <f>IF($C566="","",IFERROR(IF(INDEX(Roster!$D:$D,MATCH($C566,Roster!$B:$B,0))="","",INDEX(Roster!$D:$D,MATCH($C566,Roster!$B:$B,0))&amp;""),"—"))</f>
        <v/>
      </c>
      <c r="G566" s="25">
        <f>IF($C566="","",IFERROR(IF(INDEX(Roster!$E:$E,MATCH($C566,Roster!$B:$B,0))="","",INDEX(Roster!$E:$E,MATCH($C566,Roster!$B:$B,0))&amp;""),"—"))</f>
        <v/>
      </c>
      <c r="H566" s="25">
        <f>IF($C566="","",IFERROR(IF(INDEX(Roster!$F:$F,MATCH($C566,Roster!$B:$B,0))="","",INDEX(Roster!$F:$F,MATCH($C566,Roster!$B:$B,0))&amp;""),"—"))</f>
        <v/>
      </c>
      <c r="I566" s="25">
        <f>IF($C566="","",IFERROR(IF(INDEX(Roster!$G:$G,MATCH($C566,Roster!$B:$B,0))="","",INDEX(Roster!$G:$G,MATCH($C566,Roster!$B:$B,0))&amp;""),"—"))</f>
        <v/>
      </c>
      <c r="J566" s="25">
        <f>IF($C566="","",IFERROR(IF(INDEX(Roster!$I:$I,MATCH($C566,Roster!$B:$B,0))="","",INDEX(Roster!$I:$I,MATCH($C566,Roster!$B:$B,0))&amp;""),"—"))</f>
        <v/>
      </c>
      <c r="K566">
        <f>IF($C566="","",IFERROR(IF(INDEX(Roster!$J:$J,MATCH($C566,Roster!$B:$B,0))="","",INDEX(Roster!$J:$J,MATCH($C566,Roster!$B:$B,0))&amp;""),"—"))</f>
        <v/>
      </c>
      <c r="L566">
        <f>IF($C566="","",IFERROR(IF(INDEX(Roster!$K:$K,MATCH($C566,Roster!$B:$B,0))="","",INDEX(Roster!$K:$K,MATCH($C566,Roster!$B:$B,0))&amp;""),"—"))</f>
        <v/>
      </c>
      <c r="M566" s="27" t="n"/>
      <c r="N566" s="27" t="n"/>
      <c r="O566" s="25">
        <f>IF($C566="","",IF($P566="","—",IF($P566="Valid (Pass)","Valid","Invalid")))</f>
        <v/>
      </c>
      <c r="P566" s="27" t="n"/>
      <c r="Q566" s="27" t="n"/>
      <c r="R566" s="27" t="n"/>
      <c r="S566" s="27" t="n"/>
      <c r="T566" s="25">
        <f>IF($C566="","",IF(OR(ISNUMBER(SEARCH("quick case",$P566)),ISNUMBER(SEARCH("quick case",$Q566))),"Yes","No"))</f>
        <v/>
      </c>
      <c r="U566" s="25">
        <f>IF($O566="Invalid",HYPERLINK("mailto:"&amp;$G566&amp;";"&amp;$I566&amp;"?cc="&amp;Lists!$E$2&amp;"&amp;subject="&amp;_xlfn.ENCODEURL("[INVALID] Quality audit monitoring completed for "&amp;UPPER($C566))&amp;"&amp;body="&amp;_xlfn.ENCODEURL("Hi "&amp;$F566&amp;","&amp;CHAR(10)&amp;"Good day!"&amp;CHAR(10)&amp;CHAR(10)&amp;"A quality monitoring audit has been completed for "&amp;$C566&amp;"."&amp;CHAR(10)&amp;CHAR(10)&amp;"QUALITY AUDIT DETAILS"&amp;CHAR(10)&amp;"Agent Name: "&amp;$C566&amp;" (EID "&amp;$D566&amp;")"&amp;CHAR(10)&amp;"Audit Date: "&amp;TEXT($B566,"yyyy-mm-dd")&amp;CHAR(10)&amp;"Team Leader: "&amp;$F566&amp;CHAR(10)&amp;"Case Number: "&amp;$M566&amp;CHAR(10)&amp;"Transaction ID: "&amp;$N566&amp;CHAR(10)&amp;"Channel / LOB: "&amp;$K566&amp;" / "&amp;$L566&amp;CHAR(10)&amp;"Evaluator: "&amp;$S566&amp;CHAR(10)&amp;CHAR(10)&amp;"INVALID QUALITY AUDIT DETAILS"&amp;CHAR(10)&amp;"Validation: Invalid"&amp;CHAR(10)&amp;"Invalid Reason: "&amp;$P566&amp;CHAR(10)&amp;"Expected Resolution Code: "&amp;$Q566&amp;CHAR(10)&amp;"Remarks: "&amp;LEFT($R566,600)&amp;CHAR(10)&amp;CHAR(10)&amp;"This is an automated notification from HP Mainstream EQMS."),"✉ Open Email Draft"),"")</f>
        <v/>
      </c>
    </row>
    <row r="567">
      <c r="A567" s="25">
        <f>IF($C567="","","AUD-2026-"&amp;TEXT(ROW()-1,"000000"))</f>
        <v/>
      </c>
      <c r="B567" s="26" t="n"/>
      <c r="C567" s="27" t="n"/>
      <c r="D567" s="25">
        <f>IF($C567="","",IFERROR(IF(INDEX(Roster!$A:$A,MATCH($C567,Roster!$B:$B,0))="","",INDEX(Roster!$A:$A,MATCH($C567,Roster!$B:$B,0))&amp;""),"—"))</f>
        <v/>
      </c>
      <c r="E567" s="25">
        <f>IF($C567="","",IFERROR(IF(INDEX(Roster!$C:$C,MATCH($C567,Roster!$B:$B,0))="","",INDEX(Roster!$C:$C,MATCH($C567,Roster!$B:$B,0))&amp;""),"—"))</f>
        <v/>
      </c>
      <c r="F567" s="25">
        <f>IF($C567="","",IFERROR(IF(INDEX(Roster!$D:$D,MATCH($C567,Roster!$B:$B,0))="","",INDEX(Roster!$D:$D,MATCH($C567,Roster!$B:$B,0))&amp;""),"—"))</f>
        <v/>
      </c>
      <c r="G567" s="25">
        <f>IF($C567="","",IFERROR(IF(INDEX(Roster!$E:$E,MATCH($C567,Roster!$B:$B,0))="","",INDEX(Roster!$E:$E,MATCH($C567,Roster!$B:$B,0))&amp;""),"—"))</f>
        <v/>
      </c>
      <c r="H567" s="25">
        <f>IF($C567="","",IFERROR(IF(INDEX(Roster!$F:$F,MATCH($C567,Roster!$B:$B,0))="","",INDEX(Roster!$F:$F,MATCH($C567,Roster!$B:$B,0))&amp;""),"—"))</f>
        <v/>
      </c>
      <c r="I567" s="25">
        <f>IF($C567="","",IFERROR(IF(INDEX(Roster!$G:$G,MATCH($C567,Roster!$B:$B,0))="","",INDEX(Roster!$G:$G,MATCH($C567,Roster!$B:$B,0))&amp;""),"—"))</f>
        <v/>
      </c>
      <c r="J567" s="25">
        <f>IF($C567="","",IFERROR(IF(INDEX(Roster!$I:$I,MATCH($C567,Roster!$B:$B,0))="","",INDEX(Roster!$I:$I,MATCH($C567,Roster!$B:$B,0))&amp;""),"—"))</f>
        <v/>
      </c>
      <c r="K567">
        <f>IF($C567="","",IFERROR(IF(INDEX(Roster!$J:$J,MATCH($C567,Roster!$B:$B,0))="","",INDEX(Roster!$J:$J,MATCH($C567,Roster!$B:$B,0))&amp;""),"—"))</f>
        <v/>
      </c>
      <c r="L567">
        <f>IF($C567="","",IFERROR(IF(INDEX(Roster!$K:$K,MATCH($C567,Roster!$B:$B,0))="","",INDEX(Roster!$K:$K,MATCH($C567,Roster!$B:$B,0))&amp;""),"—"))</f>
        <v/>
      </c>
      <c r="M567" s="27" t="n"/>
      <c r="N567" s="27" t="n"/>
      <c r="O567" s="25">
        <f>IF($C567="","",IF($P567="","—",IF($P567="Valid (Pass)","Valid","Invalid")))</f>
        <v/>
      </c>
      <c r="P567" s="27" t="n"/>
      <c r="Q567" s="27" t="n"/>
      <c r="R567" s="27" t="n"/>
      <c r="S567" s="27" t="n"/>
      <c r="T567" s="25">
        <f>IF($C567="","",IF(OR(ISNUMBER(SEARCH("quick case",$P567)),ISNUMBER(SEARCH("quick case",$Q567))),"Yes","No"))</f>
        <v/>
      </c>
      <c r="U567" s="25">
        <f>IF($O567="Invalid",HYPERLINK("mailto:"&amp;$G567&amp;";"&amp;$I567&amp;"?cc="&amp;Lists!$E$2&amp;"&amp;subject="&amp;_xlfn.ENCODEURL("[INVALID] Quality audit monitoring completed for "&amp;UPPER($C567))&amp;"&amp;body="&amp;_xlfn.ENCODEURL("Hi "&amp;$F567&amp;","&amp;CHAR(10)&amp;"Good day!"&amp;CHAR(10)&amp;CHAR(10)&amp;"A quality monitoring audit has been completed for "&amp;$C567&amp;"."&amp;CHAR(10)&amp;CHAR(10)&amp;"QUALITY AUDIT DETAILS"&amp;CHAR(10)&amp;"Agent Name: "&amp;$C567&amp;" (EID "&amp;$D567&amp;")"&amp;CHAR(10)&amp;"Audit Date: "&amp;TEXT($B567,"yyyy-mm-dd")&amp;CHAR(10)&amp;"Team Leader: "&amp;$F567&amp;CHAR(10)&amp;"Case Number: "&amp;$M567&amp;CHAR(10)&amp;"Transaction ID: "&amp;$N567&amp;CHAR(10)&amp;"Channel / LOB: "&amp;$K567&amp;" / "&amp;$L567&amp;CHAR(10)&amp;"Evaluator: "&amp;$S567&amp;CHAR(10)&amp;CHAR(10)&amp;"INVALID QUALITY AUDIT DETAILS"&amp;CHAR(10)&amp;"Validation: Invalid"&amp;CHAR(10)&amp;"Invalid Reason: "&amp;$P567&amp;CHAR(10)&amp;"Expected Resolution Code: "&amp;$Q567&amp;CHAR(10)&amp;"Remarks: "&amp;LEFT($R567,600)&amp;CHAR(10)&amp;CHAR(10)&amp;"This is an automated notification from HP Mainstream EQMS."),"✉ Open Email Draft"),"")</f>
        <v/>
      </c>
    </row>
    <row r="568">
      <c r="A568" s="25">
        <f>IF($C568="","","AUD-2026-"&amp;TEXT(ROW()-1,"000000"))</f>
        <v/>
      </c>
      <c r="B568" s="26" t="n"/>
      <c r="C568" s="27" t="n"/>
      <c r="D568" s="25">
        <f>IF($C568="","",IFERROR(IF(INDEX(Roster!$A:$A,MATCH($C568,Roster!$B:$B,0))="","",INDEX(Roster!$A:$A,MATCH($C568,Roster!$B:$B,0))&amp;""),"—"))</f>
        <v/>
      </c>
      <c r="E568" s="25">
        <f>IF($C568="","",IFERROR(IF(INDEX(Roster!$C:$C,MATCH($C568,Roster!$B:$B,0))="","",INDEX(Roster!$C:$C,MATCH($C568,Roster!$B:$B,0))&amp;""),"—"))</f>
        <v/>
      </c>
      <c r="F568" s="25">
        <f>IF($C568="","",IFERROR(IF(INDEX(Roster!$D:$D,MATCH($C568,Roster!$B:$B,0))="","",INDEX(Roster!$D:$D,MATCH($C568,Roster!$B:$B,0))&amp;""),"—"))</f>
        <v/>
      </c>
      <c r="G568" s="25">
        <f>IF($C568="","",IFERROR(IF(INDEX(Roster!$E:$E,MATCH($C568,Roster!$B:$B,0))="","",INDEX(Roster!$E:$E,MATCH($C568,Roster!$B:$B,0))&amp;""),"—"))</f>
        <v/>
      </c>
      <c r="H568" s="25">
        <f>IF($C568="","",IFERROR(IF(INDEX(Roster!$F:$F,MATCH($C568,Roster!$B:$B,0))="","",INDEX(Roster!$F:$F,MATCH($C568,Roster!$B:$B,0))&amp;""),"—"))</f>
        <v/>
      </c>
      <c r="I568" s="25">
        <f>IF($C568="","",IFERROR(IF(INDEX(Roster!$G:$G,MATCH($C568,Roster!$B:$B,0))="","",INDEX(Roster!$G:$G,MATCH($C568,Roster!$B:$B,0))&amp;""),"—"))</f>
        <v/>
      </c>
      <c r="J568" s="25">
        <f>IF($C568="","",IFERROR(IF(INDEX(Roster!$I:$I,MATCH($C568,Roster!$B:$B,0))="","",INDEX(Roster!$I:$I,MATCH($C568,Roster!$B:$B,0))&amp;""),"—"))</f>
        <v/>
      </c>
      <c r="K568">
        <f>IF($C568="","",IFERROR(IF(INDEX(Roster!$J:$J,MATCH($C568,Roster!$B:$B,0))="","",INDEX(Roster!$J:$J,MATCH($C568,Roster!$B:$B,0))&amp;""),"—"))</f>
        <v/>
      </c>
      <c r="L568">
        <f>IF($C568="","",IFERROR(IF(INDEX(Roster!$K:$K,MATCH($C568,Roster!$B:$B,0))="","",INDEX(Roster!$K:$K,MATCH($C568,Roster!$B:$B,0))&amp;""),"—"))</f>
        <v/>
      </c>
      <c r="M568" s="27" t="n"/>
      <c r="N568" s="27" t="n"/>
      <c r="O568" s="25">
        <f>IF($C568="","",IF($P568="","—",IF($P568="Valid (Pass)","Valid","Invalid")))</f>
        <v/>
      </c>
      <c r="P568" s="27" t="n"/>
      <c r="Q568" s="27" t="n"/>
      <c r="R568" s="27" t="n"/>
      <c r="S568" s="27" t="n"/>
      <c r="T568" s="25">
        <f>IF($C568="","",IF(OR(ISNUMBER(SEARCH("quick case",$P568)),ISNUMBER(SEARCH("quick case",$Q568))),"Yes","No"))</f>
        <v/>
      </c>
      <c r="U568" s="25">
        <f>IF($O568="Invalid",HYPERLINK("mailto:"&amp;$G568&amp;";"&amp;$I568&amp;"?cc="&amp;Lists!$E$2&amp;"&amp;subject="&amp;_xlfn.ENCODEURL("[INVALID] Quality audit monitoring completed for "&amp;UPPER($C568))&amp;"&amp;body="&amp;_xlfn.ENCODEURL("Hi "&amp;$F568&amp;","&amp;CHAR(10)&amp;"Good day!"&amp;CHAR(10)&amp;CHAR(10)&amp;"A quality monitoring audit has been completed for "&amp;$C568&amp;"."&amp;CHAR(10)&amp;CHAR(10)&amp;"QUALITY AUDIT DETAILS"&amp;CHAR(10)&amp;"Agent Name: "&amp;$C568&amp;" (EID "&amp;$D568&amp;")"&amp;CHAR(10)&amp;"Audit Date: "&amp;TEXT($B568,"yyyy-mm-dd")&amp;CHAR(10)&amp;"Team Leader: "&amp;$F568&amp;CHAR(10)&amp;"Case Number: "&amp;$M568&amp;CHAR(10)&amp;"Transaction ID: "&amp;$N568&amp;CHAR(10)&amp;"Channel / LOB: "&amp;$K568&amp;" / "&amp;$L568&amp;CHAR(10)&amp;"Evaluator: "&amp;$S568&amp;CHAR(10)&amp;CHAR(10)&amp;"INVALID QUALITY AUDIT DETAILS"&amp;CHAR(10)&amp;"Validation: Invalid"&amp;CHAR(10)&amp;"Invalid Reason: "&amp;$P568&amp;CHAR(10)&amp;"Expected Resolution Code: "&amp;$Q568&amp;CHAR(10)&amp;"Remarks: "&amp;LEFT($R568,600)&amp;CHAR(10)&amp;CHAR(10)&amp;"This is an automated notification from HP Mainstream EQMS."),"✉ Open Email Draft"),"")</f>
        <v/>
      </c>
    </row>
    <row r="569">
      <c r="A569" s="25">
        <f>IF($C569="","","AUD-2026-"&amp;TEXT(ROW()-1,"000000"))</f>
        <v/>
      </c>
      <c r="B569" s="26" t="n"/>
      <c r="C569" s="27" t="n"/>
      <c r="D569" s="25">
        <f>IF($C569="","",IFERROR(IF(INDEX(Roster!$A:$A,MATCH($C569,Roster!$B:$B,0))="","",INDEX(Roster!$A:$A,MATCH($C569,Roster!$B:$B,0))&amp;""),"—"))</f>
        <v/>
      </c>
      <c r="E569" s="25">
        <f>IF($C569="","",IFERROR(IF(INDEX(Roster!$C:$C,MATCH($C569,Roster!$B:$B,0))="","",INDEX(Roster!$C:$C,MATCH($C569,Roster!$B:$B,0))&amp;""),"—"))</f>
        <v/>
      </c>
      <c r="F569" s="25">
        <f>IF($C569="","",IFERROR(IF(INDEX(Roster!$D:$D,MATCH($C569,Roster!$B:$B,0))="","",INDEX(Roster!$D:$D,MATCH($C569,Roster!$B:$B,0))&amp;""),"—"))</f>
        <v/>
      </c>
      <c r="G569" s="25">
        <f>IF($C569="","",IFERROR(IF(INDEX(Roster!$E:$E,MATCH($C569,Roster!$B:$B,0))="","",INDEX(Roster!$E:$E,MATCH($C569,Roster!$B:$B,0))&amp;""),"—"))</f>
        <v/>
      </c>
      <c r="H569" s="25">
        <f>IF($C569="","",IFERROR(IF(INDEX(Roster!$F:$F,MATCH($C569,Roster!$B:$B,0))="","",INDEX(Roster!$F:$F,MATCH($C569,Roster!$B:$B,0))&amp;""),"—"))</f>
        <v/>
      </c>
      <c r="I569" s="25">
        <f>IF($C569="","",IFERROR(IF(INDEX(Roster!$G:$G,MATCH($C569,Roster!$B:$B,0))="","",INDEX(Roster!$G:$G,MATCH($C569,Roster!$B:$B,0))&amp;""),"—"))</f>
        <v/>
      </c>
      <c r="J569" s="25">
        <f>IF($C569="","",IFERROR(IF(INDEX(Roster!$I:$I,MATCH($C569,Roster!$B:$B,0))="","",INDEX(Roster!$I:$I,MATCH($C569,Roster!$B:$B,0))&amp;""),"—"))</f>
        <v/>
      </c>
      <c r="K569">
        <f>IF($C569="","",IFERROR(IF(INDEX(Roster!$J:$J,MATCH($C569,Roster!$B:$B,0))="","",INDEX(Roster!$J:$J,MATCH($C569,Roster!$B:$B,0))&amp;""),"—"))</f>
        <v/>
      </c>
      <c r="L569">
        <f>IF($C569="","",IFERROR(IF(INDEX(Roster!$K:$K,MATCH($C569,Roster!$B:$B,0))="","",INDEX(Roster!$K:$K,MATCH($C569,Roster!$B:$B,0))&amp;""),"—"))</f>
        <v/>
      </c>
      <c r="M569" s="27" t="n"/>
      <c r="N569" s="27" t="n"/>
      <c r="O569" s="25">
        <f>IF($C569="","",IF($P569="","—",IF($P569="Valid (Pass)","Valid","Invalid")))</f>
        <v/>
      </c>
      <c r="P569" s="27" t="n"/>
      <c r="Q569" s="27" t="n"/>
      <c r="R569" s="27" t="n"/>
      <c r="S569" s="27" t="n"/>
      <c r="T569" s="25">
        <f>IF($C569="","",IF(OR(ISNUMBER(SEARCH("quick case",$P569)),ISNUMBER(SEARCH("quick case",$Q569))),"Yes","No"))</f>
        <v/>
      </c>
      <c r="U569" s="25">
        <f>IF($O569="Invalid",HYPERLINK("mailto:"&amp;$G569&amp;";"&amp;$I569&amp;"?cc="&amp;Lists!$E$2&amp;"&amp;subject="&amp;_xlfn.ENCODEURL("[INVALID] Quality audit monitoring completed for "&amp;UPPER($C569))&amp;"&amp;body="&amp;_xlfn.ENCODEURL("Hi "&amp;$F569&amp;","&amp;CHAR(10)&amp;"Good day!"&amp;CHAR(10)&amp;CHAR(10)&amp;"A quality monitoring audit has been completed for "&amp;$C569&amp;"."&amp;CHAR(10)&amp;CHAR(10)&amp;"QUALITY AUDIT DETAILS"&amp;CHAR(10)&amp;"Agent Name: "&amp;$C569&amp;" (EID "&amp;$D569&amp;")"&amp;CHAR(10)&amp;"Audit Date: "&amp;TEXT($B569,"yyyy-mm-dd")&amp;CHAR(10)&amp;"Team Leader: "&amp;$F569&amp;CHAR(10)&amp;"Case Number: "&amp;$M569&amp;CHAR(10)&amp;"Transaction ID: "&amp;$N569&amp;CHAR(10)&amp;"Channel / LOB: "&amp;$K569&amp;" / "&amp;$L569&amp;CHAR(10)&amp;"Evaluator: "&amp;$S569&amp;CHAR(10)&amp;CHAR(10)&amp;"INVALID QUALITY AUDIT DETAILS"&amp;CHAR(10)&amp;"Validation: Invalid"&amp;CHAR(10)&amp;"Invalid Reason: "&amp;$P569&amp;CHAR(10)&amp;"Expected Resolution Code: "&amp;$Q569&amp;CHAR(10)&amp;"Remarks: "&amp;LEFT($R569,600)&amp;CHAR(10)&amp;CHAR(10)&amp;"This is an automated notification from HP Mainstream EQMS."),"✉ Open Email Draft"),"")</f>
        <v/>
      </c>
    </row>
    <row r="570">
      <c r="A570" s="25">
        <f>IF($C570="","","AUD-2026-"&amp;TEXT(ROW()-1,"000000"))</f>
        <v/>
      </c>
      <c r="B570" s="26" t="n"/>
      <c r="C570" s="27" t="n"/>
      <c r="D570" s="25">
        <f>IF($C570="","",IFERROR(IF(INDEX(Roster!$A:$A,MATCH($C570,Roster!$B:$B,0))="","",INDEX(Roster!$A:$A,MATCH($C570,Roster!$B:$B,0))&amp;""),"—"))</f>
        <v/>
      </c>
      <c r="E570" s="25">
        <f>IF($C570="","",IFERROR(IF(INDEX(Roster!$C:$C,MATCH($C570,Roster!$B:$B,0))="","",INDEX(Roster!$C:$C,MATCH($C570,Roster!$B:$B,0))&amp;""),"—"))</f>
        <v/>
      </c>
      <c r="F570" s="25">
        <f>IF($C570="","",IFERROR(IF(INDEX(Roster!$D:$D,MATCH($C570,Roster!$B:$B,0))="","",INDEX(Roster!$D:$D,MATCH($C570,Roster!$B:$B,0))&amp;""),"—"))</f>
        <v/>
      </c>
      <c r="G570" s="25">
        <f>IF($C570="","",IFERROR(IF(INDEX(Roster!$E:$E,MATCH($C570,Roster!$B:$B,0))="","",INDEX(Roster!$E:$E,MATCH($C570,Roster!$B:$B,0))&amp;""),"—"))</f>
        <v/>
      </c>
      <c r="H570" s="25">
        <f>IF($C570="","",IFERROR(IF(INDEX(Roster!$F:$F,MATCH($C570,Roster!$B:$B,0))="","",INDEX(Roster!$F:$F,MATCH($C570,Roster!$B:$B,0))&amp;""),"—"))</f>
        <v/>
      </c>
      <c r="I570" s="25">
        <f>IF($C570="","",IFERROR(IF(INDEX(Roster!$G:$G,MATCH($C570,Roster!$B:$B,0))="","",INDEX(Roster!$G:$G,MATCH($C570,Roster!$B:$B,0))&amp;""),"—"))</f>
        <v/>
      </c>
      <c r="J570" s="25">
        <f>IF($C570="","",IFERROR(IF(INDEX(Roster!$I:$I,MATCH($C570,Roster!$B:$B,0))="","",INDEX(Roster!$I:$I,MATCH($C570,Roster!$B:$B,0))&amp;""),"—"))</f>
        <v/>
      </c>
      <c r="K570">
        <f>IF($C570="","",IFERROR(IF(INDEX(Roster!$J:$J,MATCH($C570,Roster!$B:$B,0))="","",INDEX(Roster!$J:$J,MATCH($C570,Roster!$B:$B,0))&amp;""),"—"))</f>
        <v/>
      </c>
      <c r="L570">
        <f>IF($C570="","",IFERROR(IF(INDEX(Roster!$K:$K,MATCH($C570,Roster!$B:$B,0))="","",INDEX(Roster!$K:$K,MATCH($C570,Roster!$B:$B,0))&amp;""),"—"))</f>
        <v/>
      </c>
      <c r="M570" s="27" t="n"/>
      <c r="N570" s="27" t="n"/>
      <c r="O570" s="25">
        <f>IF($C570="","",IF($P570="","—",IF($P570="Valid (Pass)","Valid","Invalid")))</f>
        <v/>
      </c>
      <c r="P570" s="27" t="n"/>
      <c r="Q570" s="27" t="n"/>
      <c r="R570" s="27" t="n"/>
      <c r="S570" s="27" t="n"/>
      <c r="T570" s="25">
        <f>IF($C570="","",IF(OR(ISNUMBER(SEARCH("quick case",$P570)),ISNUMBER(SEARCH("quick case",$Q570))),"Yes","No"))</f>
        <v/>
      </c>
      <c r="U570" s="25">
        <f>IF($O570="Invalid",HYPERLINK("mailto:"&amp;$G570&amp;";"&amp;$I570&amp;"?cc="&amp;Lists!$E$2&amp;"&amp;subject="&amp;_xlfn.ENCODEURL("[INVALID] Quality audit monitoring completed for "&amp;UPPER($C570))&amp;"&amp;body="&amp;_xlfn.ENCODEURL("Hi "&amp;$F570&amp;","&amp;CHAR(10)&amp;"Good day!"&amp;CHAR(10)&amp;CHAR(10)&amp;"A quality monitoring audit has been completed for "&amp;$C570&amp;"."&amp;CHAR(10)&amp;CHAR(10)&amp;"QUALITY AUDIT DETAILS"&amp;CHAR(10)&amp;"Agent Name: "&amp;$C570&amp;" (EID "&amp;$D570&amp;")"&amp;CHAR(10)&amp;"Audit Date: "&amp;TEXT($B570,"yyyy-mm-dd")&amp;CHAR(10)&amp;"Team Leader: "&amp;$F570&amp;CHAR(10)&amp;"Case Number: "&amp;$M570&amp;CHAR(10)&amp;"Transaction ID: "&amp;$N570&amp;CHAR(10)&amp;"Channel / LOB: "&amp;$K570&amp;" / "&amp;$L570&amp;CHAR(10)&amp;"Evaluator: "&amp;$S570&amp;CHAR(10)&amp;CHAR(10)&amp;"INVALID QUALITY AUDIT DETAILS"&amp;CHAR(10)&amp;"Validation: Invalid"&amp;CHAR(10)&amp;"Invalid Reason: "&amp;$P570&amp;CHAR(10)&amp;"Expected Resolution Code: "&amp;$Q570&amp;CHAR(10)&amp;"Remarks: "&amp;LEFT($R570,600)&amp;CHAR(10)&amp;CHAR(10)&amp;"This is an automated notification from HP Mainstream EQMS."),"✉ Open Email Draft"),"")</f>
        <v/>
      </c>
    </row>
    <row r="571">
      <c r="A571" s="25">
        <f>IF($C571="","","AUD-2026-"&amp;TEXT(ROW()-1,"000000"))</f>
        <v/>
      </c>
      <c r="B571" s="26" t="n"/>
      <c r="C571" s="27" t="n"/>
      <c r="D571" s="25">
        <f>IF($C571="","",IFERROR(IF(INDEX(Roster!$A:$A,MATCH($C571,Roster!$B:$B,0))="","",INDEX(Roster!$A:$A,MATCH($C571,Roster!$B:$B,0))&amp;""),"—"))</f>
        <v/>
      </c>
      <c r="E571" s="25">
        <f>IF($C571="","",IFERROR(IF(INDEX(Roster!$C:$C,MATCH($C571,Roster!$B:$B,0))="","",INDEX(Roster!$C:$C,MATCH($C571,Roster!$B:$B,0))&amp;""),"—"))</f>
        <v/>
      </c>
      <c r="F571" s="25">
        <f>IF($C571="","",IFERROR(IF(INDEX(Roster!$D:$D,MATCH($C571,Roster!$B:$B,0))="","",INDEX(Roster!$D:$D,MATCH($C571,Roster!$B:$B,0))&amp;""),"—"))</f>
        <v/>
      </c>
      <c r="G571" s="25">
        <f>IF($C571="","",IFERROR(IF(INDEX(Roster!$E:$E,MATCH($C571,Roster!$B:$B,0))="","",INDEX(Roster!$E:$E,MATCH($C571,Roster!$B:$B,0))&amp;""),"—"))</f>
        <v/>
      </c>
      <c r="H571" s="25">
        <f>IF($C571="","",IFERROR(IF(INDEX(Roster!$F:$F,MATCH($C571,Roster!$B:$B,0))="","",INDEX(Roster!$F:$F,MATCH($C571,Roster!$B:$B,0))&amp;""),"—"))</f>
        <v/>
      </c>
      <c r="I571" s="25">
        <f>IF($C571="","",IFERROR(IF(INDEX(Roster!$G:$G,MATCH($C571,Roster!$B:$B,0))="","",INDEX(Roster!$G:$G,MATCH($C571,Roster!$B:$B,0))&amp;""),"—"))</f>
        <v/>
      </c>
      <c r="J571" s="25">
        <f>IF($C571="","",IFERROR(IF(INDEX(Roster!$I:$I,MATCH($C571,Roster!$B:$B,0))="","",INDEX(Roster!$I:$I,MATCH($C571,Roster!$B:$B,0))&amp;""),"—"))</f>
        <v/>
      </c>
      <c r="K571">
        <f>IF($C571="","",IFERROR(IF(INDEX(Roster!$J:$J,MATCH($C571,Roster!$B:$B,0))="","",INDEX(Roster!$J:$J,MATCH($C571,Roster!$B:$B,0))&amp;""),"—"))</f>
        <v/>
      </c>
      <c r="L571">
        <f>IF($C571="","",IFERROR(IF(INDEX(Roster!$K:$K,MATCH($C571,Roster!$B:$B,0))="","",INDEX(Roster!$K:$K,MATCH($C571,Roster!$B:$B,0))&amp;""),"—"))</f>
        <v/>
      </c>
      <c r="M571" s="27" t="n"/>
      <c r="N571" s="27" t="n"/>
      <c r="O571" s="25">
        <f>IF($C571="","",IF($P571="","—",IF($P571="Valid (Pass)","Valid","Invalid")))</f>
        <v/>
      </c>
      <c r="P571" s="27" t="n"/>
      <c r="Q571" s="27" t="n"/>
      <c r="R571" s="27" t="n"/>
      <c r="S571" s="27" t="n"/>
      <c r="T571" s="25">
        <f>IF($C571="","",IF(OR(ISNUMBER(SEARCH("quick case",$P571)),ISNUMBER(SEARCH("quick case",$Q571))),"Yes","No"))</f>
        <v/>
      </c>
      <c r="U571" s="25">
        <f>IF($O571="Invalid",HYPERLINK("mailto:"&amp;$G571&amp;";"&amp;$I571&amp;"?cc="&amp;Lists!$E$2&amp;"&amp;subject="&amp;_xlfn.ENCODEURL("[INVALID] Quality audit monitoring completed for "&amp;UPPER($C571))&amp;"&amp;body="&amp;_xlfn.ENCODEURL("Hi "&amp;$F571&amp;","&amp;CHAR(10)&amp;"Good day!"&amp;CHAR(10)&amp;CHAR(10)&amp;"A quality monitoring audit has been completed for "&amp;$C571&amp;"."&amp;CHAR(10)&amp;CHAR(10)&amp;"QUALITY AUDIT DETAILS"&amp;CHAR(10)&amp;"Agent Name: "&amp;$C571&amp;" (EID "&amp;$D571&amp;")"&amp;CHAR(10)&amp;"Audit Date: "&amp;TEXT($B571,"yyyy-mm-dd")&amp;CHAR(10)&amp;"Team Leader: "&amp;$F571&amp;CHAR(10)&amp;"Case Number: "&amp;$M571&amp;CHAR(10)&amp;"Transaction ID: "&amp;$N571&amp;CHAR(10)&amp;"Channel / LOB: "&amp;$K571&amp;" / "&amp;$L571&amp;CHAR(10)&amp;"Evaluator: "&amp;$S571&amp;CHAR(10)&amp;CHAR(10)&amp;"INVALID QUALITY AUDIT DETAILS"&amp;CHAR(10)&amp;"Validation: Invalid"&amp;CHAR(10)&amp;"Invalid Reason: "&amp;$P571&amp;CHAR(10)&amp;"Expected Resolution Code: "&amp;$Q571&amp;CHAR(10)&amp;"Remarks: "&amp;LEFT($R571,600)&amp;CHAR(10)&amp;CHAR(10)&amp;"This is an automated notification from HP Mainstream EQMS."),"✉ Open Email Draft"),"")</f>
        <v/>
      </c>
    </row>
    <row r="572">
      <c r="A572" s="25">
        <f>IF($C572="","","AUD-2026-"&amp;TEXT(ROW()-1,"000000"))</f>
        <v/>
      </c>
      <c r="B572" s="26" t="n"/>
      <c r="C572" s="27" t="n"/>
      <c r="D572" s="25">
        <f>IF($C572="","",IFERROR(IF(INDEX(Roster!$A:$A,MATCH($C572,Roster!$B:$B,0))="","",INDEX(Roster!$A:$A,MATCH($C572,Roster!$B:$B,0))&amp;""),"—"))</f>
        <v/>
      </c>
      <c r="E572" s="25">
        <f>IF($C572="","",IFERROR(IF(INDEX(Roster!$C:$C,MATCH($C572,Roster!$B:$B,0))="","",INDEX(Roster!$C:$C,MATCH($C572,Roster!$B:$B,0))&amp;""),"—"))</f>
        <v/>
      </c>
      <c r="F572" s="25">
        <f>IF($C572="","",IFERROR(IF(INDEX(Roster!$D:$D,MATCH($C572,Roster!$B:$B,0))="","",INDEX(Roster!$D:$D,MATCH($C572,Roster!$B:$B,0))&amp;""),"—"))</f>
        <v/>
      </c>
      <c r="G572" s="25">
        <f>IF($C572="","",IFERROR(IF(INDEX(Roster!$E:$E,MATCH($C572,Roster!$B:$B,0))="","",INDEX(Roster!$E:$E,MATCH($C572,Roster!$B:$B,0))&amp;""),"—"))</f>
        <v/>
      </c>
      <c r="H572" s="25">
        <f>IF($C572="","",IFERROR(IF(INDEX(Roster!$F:$F,MATCH($C572,Roster!$B:$B,0))="","",INDEX(Roster!$F:$F,MATCH($C572,Roster!$B:$B,0))&amp;""),"—"))</f>
        <v/>
      </c>
      <c r="I572" s="25">
        <f>IF($C572="","",IFERROR(IF(INDEX(Roster!$G:$G,MATCH($C572,Roster!$B:$B,0))="","",INDEX(Roster!$G:$G,MATCH($C572,Roster!$B:$B,0))&amp;""),"—"))</f>
        <v/>
      </c>
      <c r="J572" s="25">
        <f>IF($C572="","",IFERROR(IF(INDEX(Roster!$I:$I,MATCH($C572,Roster!$B:$B,0))="","",INDEX(Roster!$I:$I,MATCH($C572,Roster!$B:$B,0))&amp;""),"—"))</f>
        <v/>
      </c>
      <c r="K572">
        <f>IF($C572="","",IFERROR(IF(INDEX(Roster!$J:$J,MATCH($C572,Roster!$B:$B,0))="","",INDEX(Roster!$J:$J,MATCH($C572,Roster!$B:$B,0))&amp;""),"—"))</f>
        <v/>
      </c>
      <c r="L572">
        <f>IF($C572="","",IFERROR(IF(INDEX(Roster!$K:$K,MATCH($C572,Roster!$B:$B,0))="","",INDEX(Roster!$K:$K,MATCH($C572,Roster!$B:$B,0))&amp;""),"—"))</f>
        <v/>
      </c>
      <c r="M572" s="27" t="n"/>
      <c r="N572" s="27" t="n"/>
      <c r="O572" s="25">
        <f>IF($C572="","",IF($P572="","—",IF($P572="Valid (Pass)","Valid","Invalid")))</f>
        <v/>
      </c>
      <c r="P572" s="27" t="n"/>
      <c r="Q572" s="27" t="n"/>
      <c r="R572" s="27" t="n"/>
      <c r="S572" s="27" t="n"/>
      <c r="T572" s="25">
        <f>IF($C572="","",IF(OR(ISNUMBER(SEARCH("quick case",$P572)),ISNUMBER(SEARCH("quick case",$Q572))),"Yes","No"))</f>
        <v/>
      </c>
      <c r="U572" s="25">
        <f>IF($O572="Invalid",HYPERLINK("mailto:"&amp;$G572&amp;";"&amp;$I572&amp;"?cc="&amp;Lists!$E$2&amp;"&amp;subject="&amp;_xlfn.ENCODEURL("[INVALID] Quality audit monitoring completed for "&amp;UPPER($C572))&amp;"&amp;body="&amp;_xlfn.ENCODEURL("Hi "&amp;$F572&amp;","&amp;CHAR(10)&amp;"Good day!"&amp;CHAR(10)&amp;CHAR(10)&amp;"A quality monitoring audit has been completed for "&amp;$C572&amp;"."&amp;CHAR(10)&amp;CHAR(10)&amp;"QUALITY AUDIT DETAILS"&amp;CHAR(10)&amp;"Agent Name: "&amp;$C572&amp;" (EID "&amp;$D572&amp;")"&amp;CHAR(10)&amp;"Audit Date: "&amp;TEXT($B572,"yyyy-mm-dd")&amp;CHAR(10)&amp;"Team Leader: "&amp;$F572&amp;CHAR(10)&amp;"Case Number: "&amp;$M572&amp;CHAR(10)&amp;"Transaction ID: "&amp;$N572&amp;CHAR(10)&amp;"Channel / LOB: "&amp;$K572&amp;" / "&amp;$L572&amp;CHAR(10)&amp;"Evaluator: "&amp;$S572&amp;CHAR(10)&amp;CHAR(10)&amp;"INVALID QUALITY AUDIT DETAILS"&amp;CHAR(10)&amp;"Validation: Invalid"&amp;CHAR(10)&amp;"Invalid Reason: "&amp;$P572&amp;CHAR(10)&amp;"Expected Resolution Code: "&amp;$Q572&amp;CHAR(10)&amp;"Remarks: "&amp;LEFT($R572,600)&amp;CHAR(10)&amp;CHAR(10)&amp;"This is an automated notification from HP Mainstream EQMS."),"✉ Open Email Draft"),"")</f>
        <v/>
      </c>
    </row>
    <row r="573">
      <c r="A573" s="25">
        <f>IF($C573="","","AUD-2026-"&amp;TEXT(ROW()-1,"000000"))</f>
        <v/>
      </c>
      <c r="B573" s="26" t="n"/>
      <c r="C573" s="27" t="n"/>
      <c r="D573" s="25">
        <f>IF($C573="","",IFERROR(IF(INDEX(Roster!$A:$A,MATCH($C573,Roster!$B:$B,0))="","",INDEX(Roster!$A:$A,MATCH($C573,Roster!$B:$B,0))&amp;""),"—"))</f>
        <v/>
      </c>
      <c r="E573" s="25">
        <f>IF($C573="","",IFERROR(IF(INDEX(Roster!$C:$C,MATCH($C573,Roster!$B:$B,0))="","",INDEX(Roster!$C:$C,MATCH($C573,Roster!$B:$B,0))&amp;""),"—"))</f>
        <v/>
      </c>
      <c r="F573" s="25">
        <f>IF($C573="","",IFERROR(IF(INDEX(Roster!$D:$D,MATCH($C573,Roster!$B:$B,0))="","",INDEX(Roster!$D:$D,MATCH($C573,Roster!$B:$B,0))&amp;""),"—"))</f>
        <v/>
      </c>
      <c r="G573" s="25">
        <f>IF($C573="","",IFERROR(IF(INDEX(Roster!$E:$E,MATCH($C573,Roster!$B:$B,0))="","",INDEX(Roster!$E:$E,MATCH($C573,Roster!$B:$B,0))&amp;""),"—"))</f>
        <v/>
      </c>
      <c r="H573" s="25">
        <f>IF($C573="","",IFERROR(IF(INDEX(Roster!$F:$F,MATCH($C573,Roster!$B:$B,0))="","",INDEX(Roster!$F:$F,MATCH($C573,Roster!$B:$B,0))&amp;""),"—"))</f>
        <v/>
      </c>
      <c r="I573" s="25">
        <f>IF($C573="","",IFERROR(IF(INDEX(Roster!$G:$G,MATCH($C573,Roster!$B:$B,0))="","",INDEX(Roster!$G:$G,MATCH($C573,Roster!$B:$B,0))&amp;""),"—"))</f>
        <v/>
      </c>
      <c r="J573" s="25">
        <f>IF($C573="","",IFERROR(IF(INDEX(Roster!$I:$I,MATCH($C573,Roster!$B:$B,0))="","",INDEX(Roster!$I:$I,MATCH($C573,Roster!$B:$B,0))&amp;""),"—"))</f>
        <v/>
      </c>
      <c r="K573">
        <f>IF($C573="","",IFERROR(IF(INDEX(Roster!$J:$J,MATCH($C573,Roster!$B:$B,0))="","",INDEX(Roster!$J:$J,MATCH($C573,Roster!$B:$B,0))&amp;""),"—"))</f>
        <v/>
      </c>
      <c r="L573">
        <f>IF($C573="","",IFERROR(IF(INDEX(Roster!$K:$K,MATCH($C573,Roster!$B:$B,0))="","",INDEX(Roster!$K:$K,MATCH($C573,Roster!$B:$B,0))&amp;""),"—"))</f>
        <v/>
      </c>
      <c r="M573" s="27" t="n"/>
      <c r="N573" s="27" t="n"/>
      <c r="O573" s="25">
        <f>IF($C573="","",IF($P573="","—",IF($P573="Valid (Pass)","Valid","Invalid")))</f>
        <v/>
      </c>
      <c r="P573" s="27" t="n"/>
      <c r="Q573" s="27" t="n"/>
      <c r="R573" s="27" t="n"/>
      <c r="S573" s="27" t="n"/>
      <c r="T573" s="25">
        <f>IF($C573="","",IF(OR(ISNUMBER(SEARCH("quick case",$P573)),ISNUMBER(SEARCH("quick case",$Q573))),"Yes","No"))</f>
        <v/>
      </c>
      <c r="U573" s="25">
        <f>IF($O573="Invalid",HYPERLINK("mailto:"&amp;$G573&amp;";"&amp;$I573&amp;"?cc="&amp;Lists!$E$2&amp;"&amp;subject="&amp;_xlfn.ENCODEURL("[INVALID] Quality audit monitoring completed for "&amp;UPPER($C573))&amp;"&amp;body="&amp;_xlfn.ENCODEURL("Hi "&amp;$F573&amp;","&amp;CHAR(10)&amp;"Good day!"&amp;CHAR(10)&amp;CHAR(10)&amp;"A quality monitoring audit has been completed for "&amp;$C573&amp;"."&amp;CHAR(10)&amp;CHAR(10)&amp;"QUALITY AUDIT DETAILS"&amp;CHAR(10)&amp;"Agent Name: "&amp;$C573&amp;" (EID "&amp;$D573&amp;")"&amp;CHAR(10)&amp;"Audit Date: "&amp;TEXT($B573,"yyyy-mm-dd")&amp;CHAR(10)&amp;"Team Leader: "&amp;$F573&amp;CHAR(10)&amp;"Case Number: "&amp;$M573&amp;CHAR(10)&amp;"Transaction ID: "&amp;$N573&amp;CHAR(10)&amp;"Channel / LOB: "&amp;$K573&amp;" / "&amp;$L573&amp;CHAR(10)&amp;"Evaluator: "&amp;$S573&amp;CHAR(10)&amp;CHAR(10)&amp;"INVALID QUALITY AUDIT DETAILS"&amp;CHAR(10)&amp;"Validation: Invalid"&amp;CHAR(10)&amp;"Invalid Reason: "&amp;$P573&amp;CHAR(10)&amp;"Expected Resolution Code: "&amp;$Q573&amp;CHAR(10)&amp;"Remarks: "&amp;LEFT($R573,600)&amp;CHAR(10)&amp;CHAR(10)&amp;"This is an automated notification from HP Mainstream EQMS."),"✉ Open Email Draft"),"")</f>
        <v/>
      </c>
    </row>
    <row r="574">
      <c r="A574" s="25">
        <f>IF($C574="","","AUD-2026-"&amp;TEXT(ROW()-1,"000000"))</f>
        <v/>
      </c>
      <c r="B574" s="26" t="n"/>
      <c r="C574" s="27" t="n"/>
      <c r="D574" s="25">
        <f>IF($C574="","",IFERROR(IF(INDEX(Roster!$A:$A,MATCH($C574,Roster!$B:$B,0))="","",INDEX(Roster!$A:$A,MATCH($C574,Roster!$B:$B,0))&amp;""),"—"))</f>
        <v/>
      </c>
      <c r="E574" s="25">
        <f>IF($C574="","",IFERROR(IF(INDEX(Roster!$C:$C,MATCH($C574,Roster!$B:$B,0))="","",INDEX(Roster!$C:$C,MATCH($C574,Roster!$B:$B,0))&amp;""),"—"))</f>
        <v/>
      </c>
      <c r="F574" s="25">
        <f>IF($C574="","",IFERROR(IF(INDEX(Roster!$D:$D,MATCH($C574,Roster!$B:$B,0))="","",INDEX(Roster!$D:$D,MATCH($C574,Roster!$B:$B,0))&amp;""),"—"))</f>
        <v/>
      </c>
      <c r="G574" s="25">
        <f>IF($C574="","",IFERROR(IF(INDEX(Roster!$E:$E,MATCH($C574,Roster!$B:$B,0))="","",INDEX(Roster!$E:$E,MATCH($C574,Roster!$B:$B,0))&amp;""),"—"))</f>
        <v/>
      </c>
      <c r="H574" s="25">
        <f>IF($C574="","",IFERROR(IF(INDEX(Roster!$F:$F,MATCH($C574,Roster!$B:$B,0))="","",INDEX(Roster!$F:$F,MATCH($C574,Roster!$B:$B,0))&amp;""),"—"))</f>
        <v/>
      </c>
      <c r="I574" s="25">
        <f>IF($C574="","",IFERROR(IF(INDEX(Roster!$G:$G,MATCH($C574,Roster!$B:$B,0))="","",INDEX(Roster!$G:$G,MATCH($C574,Roster!$B:$B,0))&amp;""),"—"))</f>
        <v/>
      </c>
      <c r="J574" s="25">
        <f>IF($C574="","",IFERROR(IF(INDEX(Roster!$I:$I,MATCH($C574,Roster!$B:$B,0))="","",INDEX(Roster!$I:$I,MATCH($C574,Roster!$B:$B,0))&amp;""),"—"))</f>
        <v/>
      </c>
      <c r="K574">
        <f>IF($C574="","",IFERROR(IF(INDEX(Roster!$J:$J,MATCH($C574,Roster!$B:$B,0))="","",INDEX(Roster!$J:$J,MATCH($C574,Roster!$B:$B,0))&amp;""),"—"))</f>
        <v/>
      </c>
      <c r="L574">
        <f>IF($C574="","",IFERROR(IF(INDEX(Roster!$K:$K,MATCH($C574,Roster!$B:$B,0))="","",INDEX(Roster!$K:$K,MATCH($C574,Roster!$B:$B,0))&amp;""),"—"))</f>
        <v/>
      </c>
      <c r="M574" s="27" t="n"/>
      <c r="N574" s="27" t="n"/>
      <c r="O574" s="25">
        <f>IF($C574="","",IF($P574="","—",IF($P574="Valid (Pass)","Valid","Invalid")))</f>
        <v/>
      </c>
      <c r="P574" s="27" t="n"/>
      <c r="Q574" s="27" t="n"/>
      <c r="R574" s="27" t="n"/>
      <c r="S574" s="27" t="n"/>
      <c r="T574" s="25">
        <f>IF($C574="","",IF(OR(ISNUMBER(SEARCH("quick case",$P574)),ISNUMBER(SEARCH("quick case",$Q574))),"Yes","No"))</f>
        <v/>
      </c>
      <c r="U574" s="25">
        <f>IF($O574="Invalid",HYPERLINK("mailto:"&amp;$G574&amp;";"&amp;$I574&amp;"?cc="&amp;Lists!$E$2&amp;"&amp;subject="&amp;_xlfn.ENCODEURL("[INVALID] Quality audit monitoring completed for "&amp;UPPER($C574))&amp;"&amp;body="&amp;_xlfn.ENCODEURL("Hi "&amp;$F574&amp;","&amp;CHAR(10)&amp;"Good day!"&amp;CHAR(10)&amp;CHAR(10)&amp;"A quality monitoring audit has been completed for "&amp;$C574&amp;"."&amp;CHAR(10)&amp;CHAR(10)&amp;"QUALITY AUDIT DETAILS"&amp;CHAR(10)&amp;"Agent Name: "&amp;$C574&amp;" (EID "&amp;$D574&amp;")"&amp;CHAR(10)&amp;"Audit Date: "&amp;TEXT($B574,"yyyy-mm-dd")&amp;CHAR(10)&amp;"Team Leader: "&amp;$F574&amp;CHAR(10)&amp;"Case Number: "&amp;$M574&amp;CHAR(10)&amp;"Transaction ID: "&amp;$N574&amp;CHAR(10)&amp;"Channel / LOB: "&amp;$K574&amp;" / "&amp;$L574&amp;CHAR(10)&amp;"Evaluator: "&amp;$S574&amp;CHAR(10)&amp;CHAR(10)&amp;"INVALID QUALITY AUDIT DETAILS"&amp;CHAR(10)&amp;"Validation: Invalid"&amp;CHAR(10)&amp;"Invalid Reason: "&amp;$P574&amp;CHAR(10)&amp;"Expected Resolution Code: "&amp;$Q574&amp;CHAR(10)&amp;"Remarks: "&amp;LEFT($R574,600)&amp;CHAR(10)&amp;CHAR(10)&amp;"This is an automated notification from HP Mainstream EQMS."),"✉ Open Email Draft"),"")</f>
        <v/>
      </c>
    </row>
    <row r="575">
      <c r="A575" s="25">
        <f>IF($C575="","","AUD-2026-"&amp;TEXT(ROW()-1,"000000"))</f>
        <v/>
      </c>
      <c r="B575" s="26" t="n"/>
      <c r="C575" s="27" t="n"/>
      <c r="D575" s="25">
        <f>IF($C575="","",IFERROR(IF(INDEX(Roster!$A:$A,MATCH($C575,Roster!$B:$B,0))="","",INDEX(Roster!$A:$A,MATCH($C575,Roster!$B:$B,0))&amp;""),"—"))</f>
        <v/>
      </c>
      <c r="E575" s="25">
        <f>IF($C575="","",IFERROR(IF(INDEX(Roster!$C:$C,MATCH($C575,Roster!$B:$B,0))="","",INDEX(Roster!$C:$C,MATCH($C575,Roster!$B:$B,0))&amp;""),"—"))</f>
        <v/>
      </c>
      <c r="F575" s="25">
        <f>IF($C575="","",IFERROR(IF(INDEX(Roster!$D:$D,MATCH($C575,Roster!$B:$B,0))="","",INDEX(Roster!$D:$D,MATCH($C575,Roster!$B:$B,0))&amp;""),"—"))</f>
        <v/>
      </c>
      <c r="G575" s="25">
        <f>IF($C575="","",IFERROR(IF(INDEX(Roster!$E:$E,MATCH($C575,Roster!$B:$B,0))="","",INDEX(Roster!$E:$E,MATCH($C575,Roster!$B:$B,0))&amp;""),"—"))</f>
        <v/>
      </c>
      <c r="H575" s="25">
        <f>IF($C575="","",IFERROR(IF(INDEX(Roster!$F:$F,MATCH($C575,Roster!$B:$B,0))="","",INDEX(Roster!$F:$F,MATCH($C575,Roster!$B:$B,0))&amp;""),"—"))</f>
        <v/>
      </c>
      <c r="I575" s="25">
        <f>IF($C575="","",IFERROR(IF(INDEX(Roster!$G:$G,MATCH($C575,Roster!$B:$B,0))="","",INDEX(Roster!$G:$G,MATCH($C575,Roster!$B:$B,0))&amp;""),"—"))</f>
        <v/>
      </c>
      <c r="J575" s="25">
        <f>IF($C575="","",IFERROR(IF(INDEX(Roster!$I:$I,MATCH($C575,Roster!$B:$B,0))="","",INDEX(Roster!$I:$I,MATCH($C575,Roster!$B:$B,0))&amp;""),"—"))</f>
        <v/>
      </c>
      <c r="K575">
        <f>IF($C575="","",IFERROR(IF(INDEX(Roster!$J:$J,MATCH($C575,Roster!$B:$B,0))="","",INDEX(Roster!$J:$J,MATCH($C575,Roster!$B:$B,0))&amp;""),"—"))</f>
        <v/>
      </c>
      <c r="L575">
        <f>IF($C575="","",IFERROR(IF(INDEX(Roster!$K:$K,MATCH($C575,Roster!$B:$B,0))="","",INDEX(Roster!$K:$K,MATCH($C575,Roster!$B:$B,0))&amp;""),"—"))</f>
        <v/>
      </c>
      <c r="M575" s="27" t="n"/>
      <c r="N575" s="27" t="n"/>
      <c r="O575" s="25">
        <f>IF($C575="","",IF($P575="","—",IF($P575="Valid (Pass)","Valid","Invalid")))</f>
        <v/>
      </c>
      <c r="P575" s="27" t="n"/>
      <c r="Q575" s="27" t="n"/>
      <c r="R575" s="27" t="n"/>
      <c r="S575" s="27" t="n"/>
      <c r="T575" s="25">
        <f>IF($C575="","",IF(OR(ISNUMBER(SEARCH("quick case",$P575)),ISNUMBER(SEARCH("quick case",$Q575))),"Yes","No"))</f>
        <v/>
      </c>
      <c r="U575" s="25">
        <f>IF($O575="Invalid",HYPERLINK("mailto:"&amp;$G575&amp;";"&amp;$I575&amp;"?cc="&amp;Lists!$E$2&amp;"&amp;subject="&amp;_xlfn.ENCODEURL("[INVALID] Quality audit monitoring completed for "&amp;UPPER($C575))&amp;"&amp;body="&amp;_xlfn.ENCODEURL("Hi "&amp;$F575&amp;","&amp;CHAR(10)&amp;"Good day!"&amp;CHAR(10)&amp;CHAR(10)&amp;"A quality monitoring audit has been completed for "&amp;$C575&amp;"."&amp;CHAR(10)&amp;CHAR(10)&amp;"QUALITY AUDIT DETAILS"&amp;CHAR(10)&amp;"Agent Name: "&amp;$C575&amp;" (EID "&amp;$D575&amp;")"&amp;CHAR(10)&amp;"Audit Date: "&amp;TEXT($B575,"yyyy-mm-dd")&amp;CHAR(10)&amp;"Team Leader: "&amp;$F575&amp;CHAR(10)&amp;"Case Number: "&amp;$M575&amp;CHAR(10)&amp;"Transaction ID: "&amp;$N575&amp;CHAR(10)&amp;"Channel / LOB: "&amp;$K575&amp;" / "&amp;$L575&amp;CHAR(10)&amp;"Evaluator: "&amp;$S575&amp;CHAR(10)&amp;CHAR(10)&amp;"INVALID QUALITY AUDIT DETAILS"&amp;CHAR(10)&amp;"Validation: Invalid"&amp;CHAR(10)&amp;"Invalid Reason: "&amp;$P575&amp;CHAR(10)&amp;"Expected Resolution Code: "&amp;$Q575&amp;CHAR(10)&amp;"Remarks: "&amp;LEFT($R575,600)&amp;CHAR(10)&amp;CHAR(10)&amp;"This is an automated notification from HP Mainstream EQMS."),"✉ Open Email Draft"),"")</f>
        <v/>
      </c>
    </row>
    <row r="576">
      <c r="A576" s="25">
        <f>IF($C576="","","AUD-2026-"&amp;TEXT(ROW()-1,"000000"))</f>
        <v/>
      </c>
      <c r="B576" s="26" t="n"/>
      <c r="C576" s="27" t="n"/>
      <c r="D576" s="25">
        <f>IF($C576="","",IFERROR(IF(INDEX(Roster!$A:$A,MATCH($C576,Roster!$B:$B,0))="","",INDEX(Roster!$A:$A,MATCH($C576,Roster!$B:$B,0))&amp;""),"—"))</f>
        <v/>
      </c>
      <c r="E576" s="25">
        <f>IF($C576="","",IFERROR(IF(INDEX(Roster!$C:$C,MATCH($C576,Roster!$B:$B,0))="","",INDEX(Roster!$C:$C,MATCH($C576,Roster!$B:$B,0))&amp;""),"—"))</f>
        <v/>
      </c>
      <c r="F576" s="25">
        <f>IF($C576="","",IFERROR(IF(INDEX(Roster!$D:$D,MATCH($C576,Roster!$B:$B,0))="","",INDEX(Roster!$D:$D,MATCH($C576,Roster!$B:$B,0))&amp;""),"—"))</f>
        <v/>
      </c>
      <c r="G576" s="25">
        <f>IF($C576="","",IFERROR(IF(INDEX(Roster!$E:$E,MATCH($C576,Roster!$B:$B,0))="","",INDEX(Roster!$E:$E,MATCH($C576,Roster!$B:$B,0))&amp;""),"—"))</f>
        <v/>
      </c>
      <c r="H576" s="25">
        <f>IF($C576="","",IFERROR(IF(INDEX(Roster!$F:$F,MATCH($C576,Roster!$B:$B,0))="","",INDEX(Roster!$F:$F,MATCH($C576,Roster!$B:$B,0))&amp;""),"—"))</f>
        <v/>
      </c>
      <c r="I576" s="25">
        <f>IF($C576="","",IFERROR(IF(INDEX(Roster!$G:$G,MATCH($C576,Roster!$B:$B,0))="","",INDEX(Roster!$G:$G,MATCH($C576,Roster!$B:$B,0))&amp;""),"—"))</f>
        <v/>
      </c>
      <c r="J576" s="25">
        <f>IF($C576="","",IFERROR(IF(INDEX(Roster!$I:$I,MATCH($C576,Roster!$B:$B,0))="","",INDEX(Roster!$I:$I,MATCH($C576,Roster!$B:$B,0))&amp;""),"—"))</f>
        <v/>
      </c>
      <c r="K576">
        <f>IF($C576="","",IFERROR(IF(INDEX(Roster!$J:$J,MATCH($C576,Roster!$B:$B,0))="","",INDEX(Roster!$J:$J,MATCH($C576,Roster!$B:$B,0))&amp;""),"—"))</f>
        <v/>
      </c>
      <c r="L576">
        <f>IF($C576="","",IFERROR(IF(INDEX(Roster!$K:$K,MATCH($C576,Roster!$B:$B,0))="","",INDEX(Roster!$K:$K,MATCH($C576,Roster!$B:$B,0))&amp;""),"—"))</f>
        <v/>
      </c>
      <c r="M576" s="27" t="n"/>
      <c r="N576" s="27" t="n"/>
      <c r="O576" s="25">
        <f>IF($C576="","",IF($P576="","—",IF($P576="Valid (Pass)","Valid","Invalid")))</f>
        <v/>
      </c>
      <c r="P576" s="27" t="n"/>
      <c r="Q576" s="27" t="n"/>
      <c r="R576" s="27" t="n"/>
      <c r="S576" s="27" t="n"/>
      <c r="T576" s="25">
        <f>IF($C576="","",IF(OR(ISNUMBER(SEARCH("quick case",$P576)),ISNUMBER(SEARCH("quick case",$Q576))),"Yes","No"))</f>
        <v/>
      </c>
      <c r="U576" s="25">
        <f>IF($O576="Invalid",HYPERLINK("mailto:"&amp;$G576&amp;";"&amp;$I576&amp;"?cc="&amp;Lists!$E$2&amp;"&amp;subject="&amp;_xlfn.ENCODEURL("[INVALID] Quality audit monitoring completed for "&amp;UPPER($C576))&amp;"&amp;body="&amp;_xlfn.ENCODEURL("Hi "&amp;$F576&amp;","&amp;CHAR(10)&amp;"Good day!"&amp;CHAR(10)&amp;CHAR(10)&amp;"A quality monitoring audit has been completed for "&amp;$C576&amp;"."&amp;CHAR(10)&amp;CHAR(10)&amp;"QUALITY AUDIT DETAILS"&amp;CHAR(10)&amp;"Agent Name: "&amp;$C576&amp;" (EID "&amp;$D576&amp;")"&amp;CHAR(10)&amp;"Audit Date: "&amp;TEXT($B576,"yyyy-mm-dd")&amp;CHAR(10)&amp;"Team Leader: "&amp;$F576&amp;CHAR(10)&amp;"Case Number: "&amp;$M576&amp;CHAR(10)&amp;"Transaction ID: "&amp;$N576&amp;CHAR(10)&amp;"Channel / LOB: "&amp;$K576&amp;" / "&amp;$L576&amp;CHAR(10)&amp;"Evaluator: "&amp;$S576&amp;CHAR(10)&amp;CHAR(10)&amp;"INVALID QUALITY AUDIT DETAILS"&amp;CHAR(10)&amp;"Validation: Invalid"&amp;CHAR(10)&amp;"Invalid Reason: "&amp;$P576&amp;CHAR(10)&amp;"Expected Resolution Code: "&amp;$Q576&amp;CHAR(10)&amp;"Remarks: "&amp;LEFT($R576,600)&amp;CHAR(10)&amp;CHAR(10)&amp;"This is an automated notification from HP Mainstream EQMS."),"✉ Open Email Draft"),"")</f>
        <v/>
      </c>
    </row>
    <row r="577">
      <c r="A577" s="25">
        <f>IF($C577="","","AUD-2026-"&amp;TEXT(ROW()-1,"000000"))</f>
        <v/>
      </c>
      <c r="B577" s="26" t="n"/>
      <c r="C577" s="27" t="n"/>
      <c r="D577" s="25">
        <f>IF($C577="","",IFERROR(IF(INDEX(Roster!$A:$A,MATCH($C577,Roster!$B:$B,0))="","",INDEX(Roster!$A:$A,MATCH($C577,Roster!$B:$B,0))&amp;""),"—"))</f>
        <v/>
      </c>
      <c r="E577" s="25">
        <f>IF($C577="","",IFERROR(IF(INDEX(Roster!$C:$C,MATCH($C577,Roster!$B:$B,0))="","",INDEX(Roster!$C:$C,MATCH($C577,Roster!$B:$B,0))&amp;""),"—"))</f>
        <v/>
      </c>
      <c r="F577" s="25">
        <f>IF($C577="","",IFERROR(IF(INDEX(Roster!$D:$D,MATCH($C577,Roster!$B:$B,0))="","",INDEX(Roster!$D:$D,MATCH($C577,Roster!$B:$B,0))&amp;""),"—"))</f>
        <v/>
      </c>
      <c r="G577" s="25">
        <f>IF($C577="","",IFERROR(IF(INDEX(Roster!$E:$E,MATCH($C577,Roster!$B:$B,0))="","",INDEX(Roster!$E:$E,MATCH($C577,Roster!$B:$B,0))&amp;""),"—"))</f>
        <v/>
      </c>
      <c r="H577" s="25">
        <f>IF($C577="","",IFERROR(IF(INDEX(Roster!$F:$F,MATCH($C577,Roster!$B:$B,0))="","",INDEX(Roster!$F:$F,MATCH($C577,Roster!$B:$B,0))&amp;""),"—"))</f>
        <v/>
      </c>
      <c r="I577" s="25">
        <f>IF($C577="","",IFERROR(IF(INDEX(Roster!$G:$G,MATCH($C577,Roster!$B:$B,0))="","",INDEX(Roster!$G:$G,MATCH($C577,Roster!$B:$B,0))&amp;""),"—"))</f>
        <v/>
      </c>
      <c r="J577" s="25">
        <f>IF($C577="","",IFERROR(IF(INDEX(Roster!$I:$I,MATCH($C577,Roster!$B:$B,0))="","",INDEX(Roster!$I:$I,MATCH($C577,Roster!$B:$B,0))&amp;""),"—"))</f>
        <v/>
      </c>
      <c r="K577">
        <f>IF($C577="","",IFERROR(IF(INDEX(Roster!$J:$J,MATCH($C577,Roster!$B:$B,0))="","",INDEX(Roster!$J:$J,MATCH($C577,Roster!$B:$B,0))&amp;""),"—"))</f>
        <v/>
      </c>
      <c r="L577">
        <f>IF($C577="","",IFERROR(IF(INDEX(Roster!$K:$K,MATCH($C577,Roster!$B:$B,0))="","",INDEX(Roster!$K:$K,MATCH($C577,Roster!$B:$B,0))&amp;""),"—"))</f>
        <v/>
      </c>
      <c r="M577" s="27" t="n"/>
      <c r="N577" s="27" t="n"/>
      <c r="O577" s="25">
        <f>IF($C577="","",IF($P577="","—",IF($P577="Valid (Pass)","Valid","Invalid")))</f>
        <v/>
      </c>
      <c r="P577" s="27" t="n"/>
      <c r="Q577" s="27" t="n"/>
      <c r="R577" s="27" t="n"/>
      <c r="S577" s="27" t="n"/>
      <c r="T577" s="25">
        <f>IF($C577="","",IF(OR(ISNUMBER(SEARCH("quick case",$P577)),ISNUMBER(SEARCH("quick case",$Q577))),"Yes","No"))</f>
        <v/>
      </c>
      <c r="U577" s="25">
        <f>IF($O577="Invalid",HYPERLINK("mailto:"&amp;$G577&amp;";"&amp;$I577&amp;"?cc="&amp;Lists!$E$2&amp;"&amp;subject="&amp;_xlfn.ENCODEURL("[INVALID] Quality audit monitoring completed for "&amp;UPPER($C577))&amp;"&amp;body="&amp;_xlfn.ENCODEURL("Hi "&amp;$F577&amp;","&amp;CHAR(10)&amp;"Good day!"&amp;CHAR(10)&amp;CHAR(10)&amp;"A quality monitoring audit has been completed for "&amp;$C577&amp;"."&amp;CHAR(10)&amp;CHAR(10)&amp;"QUALITY AUDIT DETAILS"&amp;CHAR(10)&amp;"Agent Name: "&amp;$C577&amp;" (EID "&amp;$D577&amp;")"&amp;CHAR(10)&amp;"Audit Date: "&amp;TEXT($B577,"yyyy-mm-dd")&amp;CHAR(10)&amp;"Team Leader: "&amp;$F577&amp;CHAR(10)&amp;"Case Number: "&amp;$M577&amp;CHAR(10)&amp;"Transaction ID: "&amp;$N577&amp;CHAR(10)&amp;"Channel / LOB: "&amp;$K577&amp;" / "&amp;$L577&amp;CHAR(10)&amp;"Evaluator: "&amp;$S577&amp;CHAR(10)&amp;CHAR(10)&amp;"INVALID QUALITY AUDIT DETAILS"&amp;CHAR(10)&amp;"Validation: Invalid"&amp;CHAR(10)&amp;"Invalid Reason: "&amp;$P577&amp;CHAR(10)&amp;"Expected Resolution Code: "&amp;$Q577&amp;CHAR(10)&amp;"Remarks: "&amp;LEFT($R577,600)&amp;CHAR(10)&amp;CHAR(10)&amp;"This is an automated notification from HP Mainstream EQMS."),"✉ Open Email Draft"),"")</f>
        <v/>
      </c>
    </row>
    <row r="578">
      <c r="A578" s="25">
        <f>IF($C578="","","AUD-2026-"&amp;TEXT(ROW()-1,"000000"))</f>
        <v/>
      </c>
      <c r="B578" s="26" t="n"/>
      <c r="C578" s="27" t="n"/>
      <c r="D578" s="25">
        <f>IF($C578="","",IFERROR(IF(INDEX(Roster!$A:$A,MATCH($C578,Roster!$B:$B,0))="","",INDEX(Roster!$A:$A,MATCH($C578,Roster!$B:$B,0))&amp;""),"—"))</f>
        <v/>
      </c>
      <c r="E578" s="25">
        <f>IF($C578="","",IFERROR(IF(INDEX(Roster!$C:$C,MATCH($C578,Roster!$B:$B,0))="","",INDEX(Roster!$C:$C,MATCH($C578,Roster!$B:$B,0))&amp;""),"—"))</f>
        <v/>
      </c>
      <c r="F578" s="25">
        <f>IF($C578="","",IFERROR(IF(INDEX(Roster!$D:$D,MATCH($C578,Roster!$B:$B,0))="","",INDEX(Roster!$D:$D,MATCH($C578,Roster!$B:$B,0))&amp;""),"—"))</f>
        <v/>
      </c>
      <c r="G578" s="25">
        <f>IF($C578="","",IFERROR(IF(INDEX(Roster!$E:$E,MATCH($C578,Roster!$B:$B,0))="","",INDEX(Roster!$E:$E,MATCH($C578,Roster!$B:$B,0))&amp;""),"—"))</f>
        <v/>
      </c>
      <c r="H578" s="25">
        <f>IF($C578="","",IFERROR(IF(INDEX(Roster!$F:$F,MATCH($C578,Roster!$B:$B,0))="","",INDEX(Roster!$F:$F,MATCH($C578,Roster!$B:$B,0))&amp;""),"—"))</f>
        <v/>
      </c>
      <c r="I578" s="25">
        <f>IF($C578="","",IFERROR(IF(INDEX(Roster!$G:$G,MATCH($C578,Roster!$B:$B,0))="","",INDEX(Roster!$G:$G,MATCH($C578,Roster!$B:$B,0))&amp;""),"—"))</f>
        <v/>
      </c>
      <c r="J578" s="25">
        <f>IF($C578="","",IFERROR(IF(INDEX(Roster!$I:$I,MATCH($C578,Roster!$B:$B,0))="","",INDEX(Roster!$I:$I,MATCH($C578,Roster!$B:$B,0))&amp;""),"—"))</f>
        <v/>
      </c>
      <c r="K578">
        <f>IF($C578="","",IFERROR(IF(INDEX(Roster!$J:$J,MATCH($C578,Roster!$B:$B,0))="","",INDEX(Roster!$J:$J,MATCH($C578,Roster!$B:$B,0))&amp;""),"—"))</f>
        <v/>
      </c>
      <c r="L578">
        <f>IF($C578="","",IFERROR(IF(INDEX(Roster!$K:$K,MATCH($C578,Roster!$B:$B,0))="","",INDEX(Roster!$K:$K,MATCH($C578,Roster!$B:$B,0))&amp;""),"—"))</f>
        <v/>
      </c>
      <c r="M578" s="27" t="n"/>
      <c r="N578" s="27" t="n"/>
      <c r="O578" s="25">
        <f>IF($C578="","",IF($P578="","—",IF($P578="Valid (Pass)","Valid","Invalid")))</f>
        <v/>
      </c>
      <c r="P578" s="27" t="n"/>
      <c r="Q578" s="27" t="n"/>
      <c r="R578" s="27" t="n"/>
      <c r="S578" s="27" t="n"/>
      <c r="T578" s="25">
        <f>IF($C578="","",IF(OR(ISNUMBER(SEARCH("quick case",$P578)),ISNUMBER(SEARCH("quick case",$Q578))),"Yes","No"))</f>
        <v/>
      </c>
      <c r="U578" s="25">
        <f>IF($O578="Invalid",HYPERLINK("mailto:"&amp;$G578&amp;";"&amp;$I578&amp;"?cc="&amp;Lists!$E$2&amp;"&amp;subject="&amp;_xlfn.ENCODEURL("[INVALID] Quality audit monitoring completed for "&amp;UPPER($C578))&amp;"&amp;body="&amp;_xlfn.ENCODEURL("Hi "&amp;$F578&amp;","&amp;CHAR(10)&amp;"Good day!"&amp;CHAR(10)&amp;CHAR(10)&amp;"A quality monitoring audit has been completed for "&amp;$C578&amp;"."&amp;CHAR(10)&amp;CHAR(10)&amp;"QUALITY AUDIT DETAILS"&amp;CHAR(10)&amp;"Agent Name: "&amp;$C578&amp;" (EID "&amp;$D578&amp;")"&amp;CHAR(10)&amp;"Audit Date: "&amp;TEXT($B578,"yyyy-mm-dd")&amp;CHAR(10)&amp;"Team Leader: "&amp;$F578&amp;CHAR(10)&amp;"Case Number: "&amp;$M578&amp;CHAR(10)&amp;"Transaction ID: "&amp;$N578&amp;CHAR(10)&amp;"Channel / LOB: "&amp;$K578&amp;" / "&amp;$L578&amp;CHAR(10)&amp;"Evaluator: "&amp;$S578&amp;CHAR(10)&amp;CHAR(10)&amp;"INVALID QUALITY AUDIT DETAILS"&amp;CHAR(10)&amp;"Validation: Invalid"&amp;CHAR(10)&amp;"Invalid Reason: "&amp;$P578&amp;CHAR(10)&amp;"Expected Resolution Code: "&amp;$Q578&amp;CHAR(10)&amp;"Remarks: "&amp;LEFT($R578,600)&amp;CHAR(10)&amp;CHAR(10)&amp;"This is an automated notification from HP Mainstream EQMS."),"✉ Open Email Draft"),"")</f>
        <v/>
      </c>
    </row>
    <row r="579">
      <c r="A579" s="25">
        <f>IF($C579="","","AUD-2026-"&amp;TEXT(ROW()-1,"000000"))</f>
        <v/>
      </c>
      <c r="B579" s="26" t="n"/>
      <c r="C579" s="27" t="n"/>
      <c r="D579" s="25">
        <f>IF($C579="","",IFERROR(IF(INDEX(Roster!$A:$A,MATCH($C579,Roster!$B:$B,0))="","",INDEX(Roster!$A:$A,MATCH($C579,Roster!$B:$B,0))&amp;""),"—"))</f>
        <v/>
      </c>
      <c r="E579" s="25">
        <f>IF($C579="","",IFERROR(IF(INDEX(Roster!$C:$C,MATCH($C579,Roster!$B:$B,0))="","",INDEX(Roster!$C:$C,MATCH($C579,Roster!$B:$B,0))&amp;""),"—"))</f>
        <v/>
      </c>
      <c r="F579" s="25">
        <f>IF($C579="","",IFERROR(IF(INDEX(Roster!$D:$D,MATCH($C579,Roster!$B:$B,0))="","",INDEX(Roster!$D:$D,MATCH($C579,Roster!$B:$B,0))&amp;""),"—"))</f>
        <v/>
      </c>
      <c r="G579" s="25">
        <f>IF($C579="","",IFERROR(IF(INDEX(Roster!$E:$E,MATCH($C579,Roster!$B:$B,0))="","",INDEX(Roster!$E:$E,MATCH($C579,Roster!$B:$B,0))&amp;""),"—"))</f>
        <v/>
      </c>
      <c r="H579" s="25">
        <f>IF($C579="","",IFERROR(IF(INDEX(Roster!$F:$F,MATCH($C579,Roster!$B:$B,0))="","",INDEX(Roster!$F:$F,MATCH($C579,Roster!$B:$B,0))&amp;""),"—"))</f>
        <v/>
      </c>
      <c r="I579" s="25">
        <f>IF($C579="","",IFERROR(IF(INDEX(Roster!$G:$G,MATCH($C579,Roster!$B:$B,0))="","",INDEX(Roster!$G:$G,MATCH($C579,Roster!$B:$B,0))&amp;""),"—"))</f>
        <v/>
      </c>
      <c r="J579" s="25">
        <f>IF($C579="","",IFERROR(IF(INDEX(Roster!$I:$I,MATCH($C579,Roster!$B:$B,0))="","",INDEX(Roster!$I:$I,MATCH($C579,Roster!$B:$B,0))&amp;""),"—"))</f>
        <v/>
      </c>
      <c r="K579">
        <f>IF($C579="","",IFERROR(IF(INDEX(Roster!$J:$J,MATCH($C579,Roster!$B:$B,0))="","",INDEX(Roster!$J:$J,MATCH($C579,Roster!$B:$B,0))&amp;""),"—"))</f>
        <v/>
      </c>
      <c r="L579">
        <f>IF($C579="","",IFERROR(IF(INDEX(Roster!$K:$K,MATCH($C579,Roster!$B:$B,0))="","",INDEX(Roster!$K:$K,MATCH($C579,Roster!$B:$B,0))&amp;""),"—"))</f>
        <v/>
      </c>
      <c r="M579" s="27" t="n"/>
      <c r="N579" s="27" t="n"/>
      <c r="O579" s="25">
        <f>IF($C579="","",IF($P579="","—",IF($P579="Valid (Pass)","Valid","Invalid")))</f>
        <v/>
      </c>
      <c r="P579" s="27" t="n"/>
      <c r="Q579" s="27" t="n"/>
      <c r="R579" s="27" t="n"/>
      <c r="S579" s="27" t="n"/>
      <c r="T579" s="25">
        <f>IF($C579="","",IF(OR(ISNUMBER(SEARCH("quick case",$P579)),ISNUMBER(SEARCH("quick case",$Q579))),"Yes","No"))</f>
        <v/>
      </c>
      <c r="U579" s="25">
        <f>IF($O579="Invalid",HYPERLINK("mailto:"&amp;$G579&amp;";"&amp;$I579&amp;"?cc="&amp;Lists!$E$2&amp;"&amp;subject="&amp;_xlfn.ENCODEURL("[INVALID] Quality audit monitoring completed for "&amp;UPPER($C579))&amp;"&amp;body="&amp;_xlfn.ENCODEURL("Hi "&amp;$F579&amp;","&amp;CHAR(10)&amp;"Good day!"&amp;CHAR(10)&amp;CHAR(10)&amp;"A quality monitoring audit has been completed for "&amp;$C579&amp;"."&amp;CHAR(10)&amp;CHAR(10)&amp;"QUALITY AUDIT DETAILS"&amp;CHAR(10)&amp;"Agent Name: "&amp;$C579&amp;" (EID "&amp;$D579&amp;")"&amp;CHAR(10)&amp;"Audit Date: "&amp;TEXT($B579,"yyyy-mm-dd")&amp;CHAR(10)&amp;"Team Leader: "&amp;$F579&amp;CHAR(10)&amp;"Case Number: "&amp;$M579&amp;CHAR(10)&amp;"Transaction ID: "&amp;$N579&amp;CHAR(10)&amp;"Channel / LOB: "&amp;$K579&amp;" / "&amp;$L579&amp;CHAR(10)&amp;"Evaluator: "&amp;$S579&amp;CHAR(10)&amp;CHAR(10)&amp;"INVALID QUALITY AUDIT DETAILS"&amp;CHAR(10)&amp;"Validation: Invalid"&amp;CHAR(10)&amp;"Invalid Reason: "&amp;$P579&amp;CHAR(10)&amp;"Expected Resolution Code: "&amp;$Q579&amp;CHAR(10)&amp;"Remarks: "&amp;LEFT($R579,600)&amp;CHAR(10)&amp;CHAR(10)&amp;"This is an automated notification from HP Mainstream EQMS."),"✉ Open Email Draft"),"")</f>
        <v/>
      </c>
    </row>
    <row r="580">
      <c r="A580" s="25">
        <f>IF($C580="","","AUD-2026-"&amp;TEXT(ROW()-1,"000000"))</f>
        <v/>
      </c>
      <c r="B580" s="26" t="n"/>
      <c r="C580" s="27" t="n"/>
      <c r="D580" s="25">
        <f>IF($C580="","",IFERROR(IF(INDEX(Roster!$A:$A,MATCH($C580,Roster!$B:$B,0))="","",INDEX(Roster!$A:$A,MATCH($C580,Roster!$B:$B,0))&amp;""),"—"))</f>
        <v/>
      </c>
      <c r="E580" s="25">
        <f>IF($C580="","",IFERROR(IF(INDEX(Roster!$C:$C,MATCH($C580,Roster!$B:$B,0))="","",INDEX(Roster!$C:$C,MATCH($C580,Roster!$B:$B,0))&amp;""),"—"))</f>
        <v/>
      </c>
      <c r="F580" s="25">
        <f>IF($C580="","",IFERROR(IF(INDEX(Roster!$D:$D,MATCH($C580,Roster!$B:$B,0))="","",INDEX(Roster!$D:$D,MATCH($C580,Roster!$B:$B,0))&amp;""),"—"))</f>
        <v/>
      </c>
      <c r="G580" s="25">
        <f>IF($C580="","",IFERROR(IF(INDEX(Roster!$E:$E,MATCH($C580,Roster!$B:$B,0))="","",INDEX(Roster!$E:$E,MATCH($C580,Roster!$B:$B,0))&amp;""),"—"))</f>
        <v/>
      </c>
      <c r="H580" s="25">
        <f>IF($C580="","",IFERROR(IF(INDEX(Roster!$F:$F,MATCH($C580,Roster!$B:$B,0))="","",INDEX(Roster!$F:$F,MATCH($C580,Roster!$B:$B,0))&amp;""),"—"))</f>
        <v/>
      </c>
      <c r="I580" s="25">
        <f>IF($C580="","",IFERROR(IF(INDEX(Roster!$G:$G,MATCH($C580,Roster!$B:$B,0))="","",INDEX(Roster!$G:$G,MATCH($C580,Roster!$B:$B,0))&amp;""),"—"))</f>
        <v/>
      </c>
      <c r="J580" s="25">
        <f>IF($C580="","",IFERROR(IF(INDEX(Roster!$I:$I,MATCH($C580,Roster!$B:$B,0))="","",INDEX(Roster!$I:$I,MATCH($C580,Roster!$B:$B,0))&amp;""),"—"))</f>
        <v/>
      </c>
      <c r="K580">
        <f>IF($C580="","",IFERROR(IF(INDEX(Roster!$J:$J,MATCH($C580,Roster!$B:$B,0))="","",INDEX(Roster!$J:$J,MATCH($C580,Roster!$B:$B,0))&amp;""),"—"))</f>
        <v/>
      </c>
      <c r="L580">
        <f>IF($C580="","",IFERROR(IF(INDEX(Roster!$K:$K,MATCH($C580,Roster!$B:$B,0))="","",INDEX(Roster!$K:$K,MATCH($C580,Roster!$B:$B,0))&amp;""),"—"))</f>
        <v/>
      </c>
      <c r="M580" s="27" t="n"/>
      <c r="N580" s="27" t="n"/>
      <c r="O580" s="25">
        <f>IF($C580="","",IF($P580="","—",IF($P580="Valid (Pass)","Valid","Invalid")))</f>
        <v/>
      </c>
      <c r="P580" s="27" t="n"/>
      <c r="Q580" s="27" t="n"/>
      <c r="R580" s="27" t="n"/>
      <c r="S580" s="27" t="n"/>
      <c r="T580" s="25">
        <f>IF($C580="","",IF(OR(ISNUMBER(SEARCH("quick case",$P580)),ISNUMBER(SEARCH("quick case",$Q580))),"Yes","No"))</f>
        <v/>
      </c>
      <c r="U580" s="25">
        <f>IF($O580="Invalid",HYPERLINK("mailto:"&amp;$G580&amp;";"&amp;$I580&amp;"?cc="&amp;Lists!$E$2&amp;"&amp;subject="&amp;_xlfn.ENCODEURL("[INVALID] Quality audit monitoring completed for "&amp;UPPER($C580))&amp;"&amp;body="&amp;_xlfn.ENCODEURL("Hi "&amp;$F580&amp;","&amp;CHAR(10)&amp;"Good day!"&amp;CHAR(10)&amp;CHAR(10)&amp;"A quality monitoring audit has been completed for "&amp;$C580&amp;"."&amp;CHAR(10)&amp;CHAR(10)&amp;"QUALITY AUDIT DETAILS"&amp;CHAR(10)&amp;"Agent Name: "&amp;$C580&amp;" (EID "&amp;$D580&amp;")"&amp;CHAR(10)&amp;"Audit Date: "&amp;TEXT($B580,"yyyy-mm-dd")&amp;CHAR(10)&amp;"Team Leader: "&amp;$F580&amp;CHAR(10)&amp;"Case Number: "&amp;$M580&amp;CHAR(10)&amp;"Transaction ID: "&amp;$N580&amp;CHAR(10)&amp;"Channel / LOB: "&amp;$K580&amp;" / "&amp;$L580&amp;CHAR(10)&amp;"Evaluator: "&amp;$S580&amp;CHAR(10)&amp;CHAR(10)&amp;"INVALID QUALITY AUDIT DETAILS"&amp;CHAR(10)&amp;"Validation: Invalid"&amp;CHAR(10)&amp;"Invalid Reason: "&amp;$P580&amp;CHAR(10)&amp;"Expected Resolution Code: "&amp;$Q580&amp;CHAR(10)&amp;"Remarks: "&amp;LEFT($R580,600)&amp;CHAR(10)&amp;CHAR(10)&amp;"This is an automated notification from HP Mainstream EQMS."),"✉ Open Email Draft"),"")</f>
        <v/>
      </c>
    </row>
    <row r="581">
      <c r="A581" s="25">
        <f>IF($C581="","","AUD-2026-"&amp;TEXT(ROW()-1,"000000"))</f>
        <v/>
      </c>
      <c r="B581" s="26" t="n"/>
      <c r="C581" s="27" t="n"/>
      <c r="D581" s="25">
        <f>IF($C581="","",IFERROR(IF(INDEX(Roster!$A:$A,MATCH($C581,Roster!$B:$B,0))="","",INDEX(Roster!$A:$A,MATCH($C581,Roster!$B:$B,0))&amp;""),"—"))</f>
        <v/>
      </c>
      <c r="E581" s="25">
        <f>IF($C581="","",IFERROR(IF(INDEX(Roster!$C:$C,MATCH($C581,Roster!$B:$B,0))="","",INDEX(Roster!$C:$C,MATCH($C581,Roster!$B:$B,0))&amp;""),"—"))</f>
        <v/>
      </c>
      <c r="F581" s="25">
        <f>IF($C581="","",IFERROR(IF(INDEX(Roster!$D:$D,MATCH($C581,Roster!$B:$B,0))="","",INDEX(Roster!$D:$D,MATCH($C581,Roster!$B:$B,0))&amp;""),"—"))</f>
        <v/>
      </c>
      <c r="G581" s="25">
        <f>IF($C581="","",IFERROR(IF(INDEX(Roster!$E:$E,MATCH($C581,Roster!$B:$B,0))="","",INDEX(Roster!$E:$E,MATCH($C581,Roster!$B:$B,0))&amp;""),"—"))</f>
        <v/>
      </c>
      <c r="H581" s="25">
        <f>IF($C581="","",IFERROR(IF(INDEX(Roster!$F:$F,MATCH($C581,Roster!$B:$B,0))="","",INDEX(Roster!$F:$F,MATCH($C581,Roster!$B:$B,0))&amp;""),"—"))</f>
        <v/>
      </c>
      <c r="I581" s="25">
        <f>IF($C581="","",IFERROR(IF(INDEX(Roster!$G:$G,MATCH($C581,Roster!$B:$B,0))="","",INDEX(Roster!$G:$G,MATCH($C581,Roster!$B:$B,0))&amp;""),"—"))</f>
        <v/>
      </c>
      <c r="J581" s="25">
        <f>IF($C581="","",IFERROR(IF(INDEX(Roster!$I:$I,MATCH($C581,Roster!$B:$B,0))="","",INDEX(Roster!$I:$I,MATCH($C581,Roster!$B:$B,0))&amp;""),"—"))</f>
        <v/>
      </c>
      <c r="K581">
        <f>IF($C581="","",IFERROR(IF(INDEX(Roster!$J:$J,MATCH($C581,Roster!$B:$B,0))="","",INDEX(Roster!$J:$J,MATCH($C581,Roster!$B:$B,0))&amp;""),"—"))</f>
        <v/>
      </c>
      <c r="L581">
        <f>IF($C581="","",IFERROR(IF(INDEX(Roster!$K:$K,MATCH($C581,Roster!$B:$B,0))="","",INDEX(Roster!$K:$K,MATCH($C581,Roster!$B:$B,0))&amp;""),"—"))</f>
        <v/>
      </c>
      <c r="M581" s="27" t="n"/>
      <c r="N581" s="27" t="n"/>
      <c r="O581" s="25">
        <f>IF($C581="","",IF($P581="","—",IF($P581="Valid (Pass)","Valid","Invalid")))</f>
        <v/>
      </c>
      <c r="P581" s="27" t="n"/>
      <c r="Q581" s="27" t="n"/>
      <c r="R581" s="27" t="n"/>
      <c r="S581" s="27" t="n"/>
      <c r="T581" s="25">
        <f>IF($C581="","",IF(OR(ISNUMBER(SEARCH("quick case",$P581)),ISNUMBER(SEARCH("quick case",$Q581))),"Yes","No"))</f>
        <v/>
      </c>
      <c r="U581" s="25">
        <f>IF($O581="Invalid",HYPERLINK("mailto:"&amp;$G581&amp;";"&amp;$I581&amp;"?cc="&amp;Lists!$E$2&amp;"&amp;subject="&amp;_xlfn.ENCODEURL("[INVALID] Quality audit monitoring completed for "&amp;UPPER($C581))&amp;"&amp;body="&amp;_xlfn.ENCODEURL("Hi "&amp;$F581&amp;","&amp;CHAR(10)&amp;"Good day!"&amp;CHAR(10)&amp;CHAR(10)&amp;"A quality monitoring audit has been completed for "&amp;$C581&amp;"."&amp;CHAR(10)&amp;CHAR(10)&amp;"QUALITY AUDIT DETAILS"&amp;CHAR(10)&amp;"Agent Name: "&amp;$C581&amp;" (EID "&amp;$D581&amp;")"&amp;CHAR(10)&amp;"Audit Date: "&amp;TEXT($B581,"yyyy-mm-dd")&amp;CHAR(10)&amp;"Team Leader: "&amp;$F581&amp;CHAR(10)&amp;"Case Number: "&amp;$M581&amp;CHAR(10)&amp;"Transaction ID: "&amp;$N581&amp;CHAR(10)&amp;"Channel / LOB: "&amp;$K581&amp;" / "&amp;$L581&amp;CHAR(10)&amp;"Evaluator: "&amp;$S581&amp;CHAR(10)&amp;CHAR(10)&amp;"INVALID QUALITY AUDIT DETAILS"&amp;CHAR(10)&amp;"Validation: Invalid"&amp;CHAR(10)&amp;"Invalid Reason: "&amp;$P581&amp;CHAR(10)&amp;"Expected Resolution Code: "&amp;$Q581&amp;CHAR(10)&amp;"Remarks: "&amp;LEFT($R581,600)&amp;CHAR(10)&amp;CHAR(10)&amp;"This is an automated notification from HP Mainstream EQMS."),"✉ Open Email Draft"),"")</f>
        <v/>
      </c>
    </row>
    <row r="582">
      <c r="A582" s="25">
        <f>IF($C582="","","AUD-2026-"&amp;TEXT(ROW()-1,"000000"))</f>
        <v/>
      </c>
      <c r="B582" s="26" t="n"/>
      <c r="C582" s="27" t="n"/>
      <c r="D582" s="25">
        <f>IF($C582="","",IFERROR(IF(INDEX(Roster!$A:$A,MATCH($C582,Roster!$B:$B,0))="","",INDEX(Roster!$A:$A,MATCH($C582,Roster!$B:$B,0))&amp;""),"—"))</f>
        <v/>
      </c>
      <c r="E582" s="25">
        <f>IF($C582="","",IFERROR(IF(INDEX(Roster!$C:$C,MATCH($C582,Roster!$B:$B,0))="","",INDEX(Roster!$C:$C,MATCH($C582,Roster!$B:$B,0))&amp;""),"—"))</f>
        <v/>
      </c>
      <c r="F582" s="25">
        <f>IF($C582="","",IFERROR(IF(INDEX(Roster!$D:$D,MATCH($C582,Roster!$B:$B,0))="","",INDEX(Roster!$D:$D,MATCH($C582,Roster!$B:$B,0))&amp;""),"—"))</f>
        <v/>
      </c>
      <c r="G582" s="25">
        <f>IF($C582="","",IFERROR(IF(INDEX(Roster!$E:$E,MATCH($C582,Roster!$B:$B,0))="","",INDEX(Roster!$E:$E,MATCH($C582,Roster!$B:$B,0))&amp;""),"—"))</f>
        <v/>
      </c>
      <c r="H582" s="25">
        <f>IF($C582="","",IFERROR(IF(INDEX(Roster!$F:$F,MATCH($C582,Roster!$B:$B,0))="","",INDEX(Roster!$F:$F,MATCH($C582,Roster!$B:$B,0))&amp;""),"—"))</f>
        <v/>
      </c>
      <c r="I582" s="25">
        <f>IF($C582="","",IFERROR(IF(INDEX(Roster!$G:$G,MATCH($C582,Roster!$B:$B,0))="","",INDEX(Roster!$G:$G,MATCH($C582,Roster!$B:$B,0))&amp;""),"—"))</f>
        <v/>
      </c>
      <c r="J582" s="25">
        <f>IF($C582="","",IFERROR(IF(INDEX(Roster!$I:$I,MATCH($C582,Roster!$B:$B,0))="","",INDEX(Roster!$I:$I,MATCH($C582,Roster!$B:$B,0))&amp;""),"—"))</f>
        <v/>
      </c>
      <c r="K582">
        <f>IF($C582="","",IFERROR(IF(INDEX(Roster!$J:$J,MATCH($C582,Roster!$B:$B,0))="","",INDEX(Roster!$J:$J,MATCH($C582,Roster!$B:$B,0))&amp;""),"—"))</f>
        <v/>
      </c>
      <c r="L582">
        <f>IF($C582="","",IFERROR(IF(INDEX(Roster!$K:$K,MATCH($C582,Roster!$B:$B,0))="","",INDEX(Roster!$K:$K,MATCH($C582,Roster!$B:$B,0))&amp;""),"—"))</f>
        <v/>
      </c>
      <c r="M582" s="27" t="n"/>
      <c r="N582" s="27" t="n"/>
      <c r="O582" s="25">
        <f>IF($C582="","",IF($P582="","—",IF($P582="Valid (Pass)","Valid","Invalid")))</f>
        <v/>
      </c>
      <c r="P582" s="27" t="n"/>
      <c r="Q582" s="27" t="n"/>
      <c r="R582" s="27" t="n"/>
      <c r="S582" s="27" t="n"/>
      <c r="T582" s="25">
        <f>IF($C582="","",IF(OR(ISNUMBER(SEARCH("quick case",$P582)),ISNUMBER(SEARCH("quick case",$Q582))),"Yes","No"))</f>
        <v/>
      </c>
      <c r="U582" s="25">
        <f>IF($O582="Invalid",HYPERLINK("mailto:"&amp;$G582&amp;";"&amp;$I582&amp;"?cc="&amp;Lists!$E$2&amp;"&amp;subject="&amp;_xlfn.ENCODEURL("[INVALID] Quality audit monitoring completed for "&amp;UPPER($C582))&amp;"&amp;body="&amp;_xlfn.ENCODEURL("Hi "&amp;$F582&amp;","&amp;CHAR(10)&amp;"Good day!"&amp;CHAR(10)&amp;CHAR(10)&amp;"A quality monitoring audit has been completed for "&amp;$C582&amp;"."&amp;CHAR(10)&amp;CHAR(10)&amp;"QUALITY AUDIT DETAILS"&amp;CHAR(10)&amp;"Agent Name: "&amp;$C582&amp;" (EID "&amp;$D582&amp;")"&amp;CHAR(10)&amp;"Audit Date: "&amp;TEXT($B582,"yyyy-mm-dd")&amp;CHAR(10)&amp;"Team Leader: "&amp;$F582&amp;CHAR(10)&amp;"Case Number: "&amp;$M582&amp;CHAR(10)&amp;"Transaction ID: "&amp;$N582&amp;CHAR(10)&amp;"Channel / LOB: "&amp;$K582&amp;" / "&amp;$L582&amp;CHAR(10)&amp;"Evaluator: "&amp;$S582&amp;CHAR(10)&amp;CHAR(10)&amp;"INVALID QUALITY AUDIT DETAILS"&amp;CHAR(10)&amp;"Validation: Invalid"&amp;CHAR(10)&amp;"Invalid Reason: "&amp;$P582&amp;CHAR(10)&amp;"Expected Resolution Code: "&amp;$Q582&amp;CHAR(10)&amp;"Remarks: "&amp;LEFT($R582,600)&amp;CHAR(10)&amp;CHAR(10)&amp;"This is an automated notification from HP Mainstream EQMS."),"✉ Open Email Draft"),"")</f>
        <v/>
      </c>
    </row>
    <row r="583">
      <c r="A583" s="25">
        <f>IF($C583="","","AUD-2026-"&amp;TEXT(ROW()-1,"000000"))</f>
        <v/>
      </c>
      <c r="B583" s="26" t="n"/>
      <c r="C583" s="27" t="n"/>
      <c r="D583" s="25">
        <f>IF($C583="","",IFERROR(IF(INDEX(Roster!$A:$A,MATCH($C583,Roster!$B:$B,0))="","",INDEX(Roster!$A:$A,MATCH($C583,Roster!$B:$B,0))&amp;""),"—"))</f>
        <v/>
      </c>
      <c r="E583" s="25">
        <f>IF($C583="","",IFERROR(IF(INDEX(Roster!$C:$C,MATCH($C583,Roster!$B:$B,0))="","",INDEX(Roster!$C:$C,MATCH($C583,Roster!$B:$B,0))&amp;""),"—"))</f>
        <v/>
      </c>
      <c r="F583" s="25">
        <f>IF($C583="","",IFERROR(IF(INDEX(Roster!$D:$D,MATCH($C583,Roster!$B:$B,0))="","",INDEX(Roster!$D:$D,MATCH($C583,Roster!$B:$B,0))&amp;""),"—"))</f>
        <v/>
      </c>
      <c r="G583" s="25">
        <f>IF($C583="","",IFERROR(IF(INDEX(Roster!$E:$E,MATCH($C583,Roster!$B:$B,0))="","",INDEX(Roster!$E:$E,MATCH($C583,Roster!$B:$B,0))&amp;""),"—"))</f>
        <v/>
      </c>
      <c r="H583" s="25">
        <f>IF($C583="","",IFERROR(IF(INDEX(Roster!$F:$F,MATCH($C583,Roster!$B:$B,0))="","",INDEX(Roster!$F:$F,MATCH($C583,Roster!$B:$B,0))&amp;""),"—"))</f>
        <v/>
      </c>
      <c r="I583" s="25">
        <f>IF($C583="","",IFERROR(IF(INDEX(Roster!$G:$G,MATCH($C583,Roster!$B:$B,0))="","",INDEX(Roster!$G:$G,MATCH($C583,Roster!$B:$B,0))&amp;""),"—"))</f>
        <v/>
      </c>
      <c r="J583" s="25">
        <f>IF($C583="","",IFERROR(IF(INDEX(Roster!$I:$I,MATCH($C583,Roster!$B:$B,0))="","",INDEX(Roster!$I:$I,MATCH($C583,Roster!$B:$B,0))&amp;""),"—"))</f>
        <v/>
      </c>
      <c r="K583">
        <f>IF($C583="","",IFERROR(IF(INDEX(Roster!$J:$J,MATCH($C583,Roster!$B:$B,0))="","",INDEX(Roster!$J:$J,MATCH($C583,Roster!$B:$B,0))&amp;""),"—"))</f>
        <v/>
      </c>
      <c r="L583">
        <f>IF($C583="","",IFERROR(IF(INDEX(Roster!$K:$K,MATCH($C583,Roster!$B:$B,0))="","",INDEX(Roster!$K:$K,MATCH($C583,Roster!$B:$B,0))&amp;""),"—"))</f>
        <v/>
      </c>
      <c r="M583" s="27" t="n"/>
      <c r="N583" s="27" t="n"/>
      <c r="O583" s="25">
        <f>IF($C583="","",IF($P583="","—",IF($P583="Valid (Pass)","Valid","Invalid")))</f>
        <v/>
      </c>
      <c r="P583" s="27" t="n"/>
      <c r="Q583" s="27" t="n"/>
      <c r="R583" s="27" t="n"/>
      <c r="S583" s="27" t="n"/>
      <c r="T583" s="25">
        <f>IF($C583="","",IF(OR(ISNUMBER(SEARCH("quick case",$P583)),ISNUMBER(SEARCH("quick case",$Q583))),"Yes","No"))</f>
        <v/>
      </c>
      <c r="U583" s="25">
        <f>IF($O583="Invalid",HYPERLINK("mailto:"&amp;$G583&amp;";"&amp;$I583&amp;"?cc="&amp;Lists!$E$2&amp;"&amp;subject="&amp;_xlfn.ENCODEURL("[INVALID] Quality audit monitoring completed for "&amp;UPPER($C583))&amp;"&amp;body="&amp;_xlfn.ENCODEURL("Hi "&amp;$F583&amp;","&amp;CHAR(10)&amp;"Good day!"&amp;CHAR(10)&amp;CHAR(10)&amp;"A quality monitoring audit has been completed for "&amp;$C583&amp;"."&amp;CHAR(10)&amp;CHAR(10)&amp;"QUALITY AUDIT DETAILS"&amp;CHAR(10)&amp;"Agent Name: "&amp;$C583&amp;" (EID "&amp;$D583&amp;")"&amp;CHAR(10)&amp;"Audit Date: "&amp;TEXT($B583,"yyyy-mm-dd")&amp;CHAR(10)&amp;"Team Leader: "&amp;$F583&amp;CHAR(10)&amp;"Case Number: "&amp;$M583&amp;CHAR(10)&amp;"Transaction ID: "&amp;$N583&amp;CHAR(10)&amp;"Channel / LOB: "&amp;$K583&amp;" / "&amp;$L583&amp;CHAR(10)&amp;"Evaluator: "&amp;$S583&amp;CHAR(10)&amp;CHAR(10)&amp;"INVALID QUALITY AUDIT DETAILS"&amp;CHAR(10)&amp;"Validation: Invalid"&amp;CHAR(10)&amp;"Invalid Reason: "&amp;$P583&amp;CHAR(10)&amp;"Expected Resolution Code: "&amp;$Q583&amp;CHAR(10)&amp;"Remarks: "&amp;LEFT($R583,600)&amp;CHAR(10)&amp;CHAR(10)&amp;"This is an automated notification from HP Mainstream EQMS."),"✉ Open Email Draft"),"")</f>
        <v/>
      </c>
    </row>
    <row r="584">
      <c r="A584" s="25">
        <f>IF($C584="","","AUD-2026-"&amp;TEXT(ROW()-1,"000000"))</f>
        <v/>
      </c>
      <c r="B584" s="26" t="n"/>
      <c r="C584" s="27" t="n"/>
      <c r="D584" s="25">
        <f>IF($C584="","",IFERROR(IF(INDEX(Roster!$A:$A,MATCH($C584,Roster!$B:$B,0))="","",INDEX(Roster!$A:$A,MATCH($C584,Roster!$B:$B,0))&amp;""),"—"))</f>
        <v/>
      </c>
      <c r="E584" s="25">
        <f>IF($C584="","",IFERROR(IF(INDEX(Roster!$C:$C,MATCH($C584,Roster!$B:$B,0))="","",INDEX(Roster!$C:$C,MATCH($C584,Roster!$B:$B,0))&amp;""),"—"))</f>
        <v/>
      </c>
      <c r="F584" s="25">
        <f>IF($C584="","",IFERROR(IF(INDEX(Roster!$D:$D,MATCH($C584,Roster!$B:$B,0))="","",INDEX(Roster!$D:$D,MATCH($C584,Roster!$B:$B,0))&amp;""),"—"))</f>
        <v/>
      </c>
      <c r="G584" s="25">
        <f>IF($C584="","",IFERROR(IF(INDEX(Roster!$E:$E,MATCH($C584,Roster!$B:$B,0))="","",INDEX(Roster!$E:$E,MATCH($C584,Roster!$B:$B,0))&amp;""),"—"))</f>
        <v/>
      </c>
      <c r="H584" s="25">
        <f>IF($C584="","",IFERROR(IF(INDEX(Roster!$F:$F,MATCH($C584,Roster!$B:$B,0))="","",INDEX(Roster!$F:$F,MATCH($C584,Roster!$B:$B,0))&amp;""),"—"))</f>
        <v/>
      </c>
      <c r="I584" s="25">
        <f>IF($C584="","",IFERROR(IF(INDEX(Roster!$G:$G,MATCH($C584,Roster!$B:$B,0))="","",INDEX(Roster!$G:$G,MATCH($C584,Roster!$B:$B,0))&amp;""),"—"))</f>
        <v/>
      </c>
      <c r="J584" s="25">
        <f>IF($C584="","",IFERROR(IF(INDEX(Roster!$I:$I,MATCH($C584,Roster!$B:$B,0))="","",INDEX(Roster!$I:$I,MATCH($C584,Roster!$B:$B,0))&amp;""),"—"))</f>
        <v/>
      </c>
      <c r="K584">
        <f>IF($C584="","",IFERROR(IF(INDEX(Roster!$J:$J,MATCH($C584,Roster!$B:$B,0))="","",INDEX(Roster!$J:$J,MATCH($C584,Roster!$B:$B,0))&amp;""),"—"))</f>
        <v/>
      </c>
      <c r="L584">
        <f>IF($C584="","",IFERROR(IF(INDEX(Roster!$K:$K,MATCH($C584,Roster!$B:$B,0))="","",INDEX(Roster!$K:$K,MATCH($C584,Roster!$B:$B,0))&amp;""),"—"))</f>
        <v/>
      </c>
      <c r="M584" s="27" t="n"/>
      <c r="N584" s="27" t="n"/>
      <c r="O584" s="25">
        <f>IF($C584="","",IF($P584="","—",IF($P584="Valid (Pass)","Valid","Invalid")))</f>
        <v/>
      </c>
      <c r="P584" s="27" t="n"/>
      <c r="Q584" s="27" t="n"/>
      <c r="R584" s="27" t="n"/>
      <c r="S584" s="27" t="n"/>
      <c r="T584" s="25">
        <f>IF($C584="","",IF(OR(ISNUMBER(SEARCH("quick case",$P584)),ISNUMBER(SEARCH("quick case",$Q584))),"Yes","No"))</f>
        <v/>
      </c>
      <c r="U584" s="25">
        <f>IF($O584="Invalid",HYPERLINK("mailto:"&amp;$G584&amp;";"&amp;$I584&amp;"?cc="&amp;Lists!$E$2&amp;"&amp;subject="&amp;_xlfn.ENCODEURL("[INVALID] Quality audit monitoring completed for "&amp;UPPER($C584))&amp;"&amp;body="&amp;_xlfn.ENCODEURL("Hi "&amp;$F584&amp;","&amp;CHAR(10)&amp;"Good day!"&amp;CHAR(10)&amp;CHAR(10)&amp;"A quality monitoring audit has been completed for "&amp;$C584&amp;"."&amp;CHAR(10)&amp;CHAR(10)&amp;"QUALITY AUDIT DETAILS"&amp;CHAR(10)&amp;"Agent Name: "&amp;$C584&amp;" (EID "&amp;$D584&amp;")"&amp;CHAR(10)&amp;"Audit Date: "&amp;TEXT($B584,"yyyy-mm-dd")&amp;CHAR(10)&amp;"Team Leader: "&amp;$F584&amp;CHAR(10)&amp;"Case Number: "&amp;$M584&amp;CHAR(10)&amp;"Transaction ID: "&amp;$N584&amp;CHAR(10)&amp;"Channel / LOB: "&amp;$K584&amp;" / "&amp;$L584&amp;CHAR(10)&amp;"Evaluator: "&amp;$S584&amp;CHAR(10)&amp;CHAR(10)&amp;"INVALID QUALITY AUDIT DETAILS"&amp;CHAR(10)&amp;"Validation: Invalid"&amp;CHAR(10)&amp;"Invalid Reason: "&amp;$P584&amp;CHAR(10)&amp;"Expected Resolution Code: "&amp;$Q584&amp;CHAR(10)&amp;"Remarks: "&amp;LEFT($R584,600)&amp;CHAR(10)&amp;CHAR(10)&amp;"This is an automated notification from HP Mainstream EQMS."),"✉ Open Email Draft"),"")</f>
        <v/>
      </c>
    </row>
    <row r="585">
      <c r="A585" s="25">
        <f>IF($C585="","","AUD-2026-"&amp;TEXT(ROW()-1,"000000"))</f>
        <v/>
      </c>
      <c r="B585" s="26" t="n"/>
      <c r="C585" s="27" t="n"/>
      <c r="D585" s="25">
        <f>IF($C585="","",IFERROR(IF(INDEX(Roster!$A:$A,MATCH($C585,Roster!$B:$B,0))="","",INDEX(Roster!$A:$A,MATCH($C585,Roster!$B:$B,0))&amp;""),"—"))</f>
        <v/>
      </c>
      <c r="E585" s="25">
        <f>IF($C585="","",IFERROR(IF(INDEX(Roster!$C:$C,MATCH($C585,Roster!$B:$B,0))="","",INDEX(Roster!$C:$C,MATCH($C585,Roster!$B:$B,0))&amp;""),"—"))</f>
        <v/>
      </c>
      <c r="F585" s="25">
        <f>IF($C585="","",IFERROR(IF(INDEX(Roster!$D:$D,MATCH($C585,Roster!$B:$B,0))="","",INDEX(Roster!$D:$D,MATCH($C585,Roster!$B:$B,0))&amp;""),"—"))</f>
        <v/>
      </c>
      <c r="G585" s="25">
        <f>IF($C585="","",IFERROR(IF(INDEX(Roster!$E:$E,MATCH($C585,Roster!$B:$B,0))="","",INDEX(Roster!$E:$E,MATCH($C585,Roster!$B:$B,0))&amp;""),"—"))</f>
        <v/>
      </c>
      <c r="H585" s="25">
        <f>IF($C585="","",IFERROR(IF(INDEX(Roster!$F:$F,MATCH($C585,Roster!$B:$B,0))="","",INDEX(Roster!$F:$F,MATCH($C585,Roster!$B:$B,0))&amp;""),"—"))</f>
        <v/>
      </c>
      <c r="I585" s="25">
        <f>IF($C585="","",IFERROR(IF(INDEX(Roster!$G:$G,MATCH($C585,Roster!$B:$B,0))="","",INDEX(Roster!$G:$G,MATCH($C585,Roster!$B:$B,0))&amp;""),"—"))</f>
        <v/>
      </c>
      <c r="J585" s="25">
        <f>IF($C585="","",IFERROR(IF(INDEX(Roster!$I:$I,MATCH($C585,Roster!$B:$B,0))="","",INDEX(Roster!$I:$I,MATCH($C585,Roster!$B:$B,0))&amp;""),"—"))</f>
        <v/>
      </c>
      <c r="K585">
        <f>IF($C585="","",IFERROR(IF(INDEX(Roster!$J:$J,MATCH($C585,Roster!$B:$B,0))="","",INDEX(Roster!$J:$J,MATCH($C585,Roster!$B:$B,0))&amp;""),"—"))</f>
        <v/>
      </c>
      <c r="L585">
        <f>IF($C585="","",IFERROR(IF(INDEX(Roster!$K:$K,MATCH($C585,Roster!$B:$B,0))="","",INDEX(Roster!$K:$K,MATCH($C585,Roster!$B:$B,0))&amp;""),"—"))</f>
        <v/>
      </c>
      <c r="M585" s="27" t="n"/>
      <c r="N585" s="27" t="n"/>
      <c r="O585" s="25">
        <f>IF($C585="","",IF($P585="","—",IF($P585="Valid (Pass)","Valid","Invalid")))</f>
        <v/>
      </c>
      <c r="P585" s="27" t="n"/>
      <c r="Q585" s="27" t="n"/>
      <c r="R585" s="27" t="n"/>
      <c r="S585" s="27" t="n"/>
      <c r="T585" s="25">
        <f>IF($C585="","",IF(OR(ISNUMBER(SEARCH("quick case",$P585)),ISNUMBER(SEARCH("quick case",$Q585))),"Yes","No"))</f>
        <v/>
      </c>
      <c r="U585" s="25">
        <f>IF($O585="Invalid",HYPERLINK("mailto:"&amp;$G585&amp;";"&amp;$I585&amp;"?cc="&amp;Lists!$E$2&amp;"&amp;subject="&amp;_xlfn.ENCODEURL("[INVALID] Quality audit monitoring completed for "&amp;UPPER($C585))&amp;"&amp;body="&amp;_xlfn.ENCODEURL("Hi "&amp;$F585&amp;","&amp;CHAR(10)&amp;"Good day!"&amp;CHAR(10)&amp;CHAR(10)&amp;"A quality monitoring audit has been completed for "&amp;$C585&amp;"."&amp;CHAR(10)&amp;CHAR(10)&amp;"QUALITY AUDIT DETAILS"&amp;CHAR(10)&amp;"Agent Name: "&amp;$C585&amp;" (EID "&amp;$D585&amp;")"&amp;CHAR(10)&amp;"Audit Date: "&amp;TEXT($B585,"yyyy-mm-dd")&amp;CHAR(10)&amp;"Team Leader: "&amp;$F585&amp;CHAR(10)&amp;"Case Number: "&amp;$M585&amp;CHAR(10)&amp;"Transaction ID: "&amp;$N585&amp;CHAR(10)&amp;"Channel / LOB: "&amp;$K585&amp;" / "&amp;$L585&amp;CHAR(10)&amp;"Evaluator: "&amp;$S585&amp;CHAR(10)&amp;CHAR(10)&amp;"INVALID QUALITY AUDIT DETAILS"&amp;CHAR(10)&amp;"Validation: Invalid"&amp;CHAR(10)&amp;"Invalid Reason: "&amp;$P585&amp;CHAR(10)&amp;"Expected Resolution Code: "&amp;$Q585&amp;CHAR(10)&amp;"Remarks: "&amp;LEFT($R585,600)&amp;CHAR(10)&amp;CHAR(10)&amp;"This is an automated notification from HP Mainstream EQMS."),"✉ Open Email Draft"),"")</f>
        <v/>
      </c>
    </row>
    <row r="586">
      <c r="A586" s="25">
        <f>IF($C586="","","AUD-2026-"&amp;TEXT(ROW()-1,"000000"))</f>
        <v/>
      </c>
      <c r="B586" s="26" t="n"/>
      <c r="C586" s="27" t="n"/>
      <c r="D586" s="25">
        <f>IF($C586="","",IFERROR(IF(INDEX(Roster!$A:$A,MATCH($C586,Roster!$B:$B,0))="","",INDEX(Roster!$A:$A,MATCH($C586,Roster!$B:$B,0))&amp;""),"—"))</f>
        <v/>
      </c>
      <c r="E586" s="25">
        <f>IF($C586="","",IFERROR(IF(INDEX(Roster!$C:$C,MATCH($C586,Roster!$B:$B,0))="","",INDEX(Roster!$C:$C,MATCH($C586,Roster!$B:$B,0))&amp;""),"—"))</f>
        <v/>
      </c>
      <c r="F586" s="25">
        <f>IF($C586="","",IFERROR(IF(INDEX(Roster!$D:$D,MATCH($C586,Roster!$B:$B,0))="","",INDEX(Roster!$D:$D,MATCH($C586,Roster!$B:$B,0))&amp;""),"—"))</f>
        <v/>
      </c>
      <c r="G586" s="25">
        <f>IF($C586="","",IFERROR(IF(INDEX(Roster!$E:$E,MATCH($C586,Roster!$B:$B,0))="","",INDEX(Roster!$E:$E,MATCH($C586,Roster!$B:$B,0))&amp;""),"—"))</f>
        <v/>
      </c>
      <c r="H586" s="25">
        <f>IF($C586="","",IFERROR(IF(INDEX(Roster!$F:$F,MATCH($C586,Roster!$B:$B,0))="","",INDEX(Roster!$F:$F,MATCH($C586,Roster!$B:$B,0))&amp;""),"—"))</f>
        <v/>
      </c>
      <c r="I586" s="25">
        <f>IF($C586="","",IFERROR(IF(INDEX(Roster!$G:$G,MATCH($C586,Roster!$B:$B,0))="","",INDEX(Roster!$G:$G,MATCH($C586,Roster!$B:$B,0))&amp;""),"—"))</f>
        <v/>
      </c>
      <c r="J586" s="25">
        <f>IF($C586="","",IFERROR(IF(INDEX(Roster!$I:$I,MATCH($C586,Roster!$B:$B,0))="","",INDEX(Roster!$I:$I,MATCH($C586,Roster!$B:$B,0))&amp;""),"—"))</f>
        <v/>
      </c>
      <c r="K586">
        <f>IF($C586="","",IFERROR(IF(INDEX(Roster!$J:$J,MATCH($C586,Roster!$B:$B,0))="","",INDEX(Roster!$J:$J,MATCH($C586,Roster!$B:$B,0))&amp;""),"—"))</f>
        <v/>
      </c>
      <c r="L586">
        <f>IF($C586="","",IFERROR(IF(INDEX(Roster!$K:$K,MATCH($C586,Roster!$B:$B,0))="","",INDEX(Roster!$K:$K,MATCH($C586,Roster!$B:$B,0))&amp;""),"—"))</f>
        <v/>
      </c>
      <c r="M586" s="27" t="n"/>
      <c r="N586" s="27" t="n"/>
      <c r="O586" s="25">
        <f>IF($C586="","",IF($P586="","—",IF($P586="Valid (Pass)","Valid","Invalid")))</f>
        <v/>
      </c>
      <c r="P586" s="27" t="n"/>
      <c r="Q586" s="27" t="n"/>
      <c r="R586" s="27" t="n"/>
      <c r="S586" s="27" t="n"/>
      <c r="T586" s="25">
        <f>IF($C586="","",IF(OR(ISNUMBER(SEARCH("quick case",$P586)),ISNUMBER(SEARCH("quick case",$Q586))),"Yes","No"))</f>
        <v/>
      </c>
      <c r="U586" s="25">
        <f>IF($O586="Invalid",HYPERLINK("mailto:"&amp;$G586&amp;";"&amp;$I586&amp;"?cc="&amp;Lists!$E$2&amp;"&amp;subject="&amp;_xlfn.ENCODEURL("[INVALID] Quality audit monitoring completed for "&amp;UPPER($C586))&amp;"&amp;body="&amp;_xlfn.ENCODEURL("Hi "&amp;$F586&amp;","&amp;CHAR(10)&amp;"Good day!"&amp;CHAR(10)&amp;CHAR(10)&amp;"A quality monitoring audit has been completed for "&amp;$C586&amp;"."&amp;CHAR(10)&amp;CHAR(10)&amp;"QUALITY AUDIT DETAILS"&amp;CHAR(10)&amp;"Agent Name: "&amp;$C586&amp;" (EID "&amp;$D586&amp;")"&amp;CHAR(10)&amp;"Audit Date: "&amp;TEXT($B586,"yyyy-mm-dd")&amp;CHAR(10)&amp;"Team Leader: "&amp;$F586&amp;CHAR(10)&amp;"Case Number: "&amp;$M586&amp;CHAR(10)&amp;"Transaction ID: "&amp;$N586&amp;CHAR(10)&amp;"Channel / LOB: "&amp;$K586&amp;" / "&amp;$L586&amp;CHAR(10)&amp;"Evaluator: "&amp;$S586&amp;CHAR(10)&amp;CHAR(10)&amp;"INVALID QUALITY AUDIT DETAILS"&amp;CHAR(10)&amp;"Validation: Invalid"&amp;CHAR(10)&amp;"Invalid Reason: "&amp;$P586&amp;CHAR(10)&amp;"Expected Resolution Code: "&amp;$Q586&amp;CHAR(10)&amp;"Remarks: "&amp;LEFT($R586,600)&amp;CHAR(10)&amp;CHAR(10)&amp;"This is an automated notification from HP Mainstream EQMS."),"✉ Open Email Draft"),"")</f>
        <v/>
      </c>
    </row>
    <row r="587">
      <c r="A587" s="25">
        <f>IF($C587="","","AUD-2026-"&amp;TEXT(ROW()-1,"000000"))</f>
        <v/>
      </c>
      <c r="B587" s="26" t="n"/>
      <c r="C587" s="27" t="n"/>
      <c r="D587" s="25">
        <f>IF($C587="","",IFERROR(IF(INDEX(Roster!$A:$A,MATCH($C587,Roster!$B:$B,0))="","",INDEX(Roster!$A:$A,MATCH($C587,Roster!$B:$B,0))&amp;""),"—"))</f>
        <v/>
      </c>
      <c r="E587" s="25">
        <f>IF($C587="","",IFERROR(IF(INDEX(Roster!$C:$C,MATCH($C587,Roster!$B:$B,0))="","",INDEX(Roster!$C:$C,MATCH($C587,Roster!$B:$B,0))&amp;""),"—"))</f>
        <v/>
      </c>
      <c r="F587" s="25">
        <f>IF($C587="","",IFERROR(IF(INDEX(Roster!$D:$D,MATCH($C587,Roster!$B:$B,0))="","",INDEX(Roster!$D:$D,MATCH($C587,Roster!$B:$B,0))&amp;""),"—"))</f>
        <v/>
      </c>
      <c r="G587" s="25">
        <f>IF($C587="","",IFERROR(IF(INDEX(Roster!$E:$E,MATCH($C587,Roster!$B:$B,0))="","",INDEX(Roster!$E:$E,MATCH($C587,Roster!$B:$B,0))&amp;""),"—"))</f>
        <v/>
      </c>
      <c r="H587" s="25">
        <f>IF($C587="","",IFERROR(IF(INDEX(Roster!$F:$F,MATCH($C587,Roster!$B:$B,0))="","",INDEX(Roster!$F:$F,MATCH($C587,Roster!$B:$B,0))&amp;""),"—"))</f>
        <v/>
      </c>
      <c r="I587" s="25">
        <f>IF($C587="","",IFERROR(IF(INDEX(Roster!$G:$G,MATCH($C587,Roster!$B:$B,0))="","",INDEX(Roster!$G:$G,MATCH($C587,Roster!$B:$B,0))&amp;""),"—"))</f>
        <v/>
      </c>
      <c r="J587" s="25">
        <f>IF($C587="","",IFERROR(IF(INDEX(Roster!$I:$I,MATCH($C587,Roster!$B:$B,0))="","",INDEX(Roster!$I:$I,MATCH($C587,Roster!$B:$B,0))&amp;""),"—"))</f>
        <v/>
      </c>
      <c r="K587">
        <f>IF($C587="","",IFERROR(IF(INDEX(Roster!$J:$J,MATCH($C587,Roster!$B:$B,0))="","",INDEX(Roster!$J:$J,MATCH($C587,Roster!$B:$B,0))&amp;""),"—"))</f>
        <v/>
      </c>
      <c r="L587">
        <f>IF($C587="","",IFERROR(IF(INDEX(Roster!$K:$K,MATCH($C587,Roster!$B:$B,0))="","",INDEX(Roster!$K:$K,MATCH($C587,Roster!$B:$B,0))&amp;""),"—"))</f>
        <v/>
      </c>
      <c r="M587" s="27" t="n"/>
      <c r="N587" s="27" t="n"/>
      <c r="O587" s="25">
        <f>IF($C587="","",IF($P587="","—",IF($P587="Valid (Pass)","Valid","Invalid")))</f>
        <v/>
      </c>
      <c r="P587" s="27" t="n"/>
      <c r="Q587" s="27" t="n"/>
      <c r="R587" s="27" t="n"/>
      <c r="S587" s="27" t="n"/>
      <c r="T587" s="25">
        <f>IF($C587="","",IF(OR(ISNUMBER(SEARCH("quick case",$P587)),ISNUMBER(SEARCH("quick case",$Q587))),"Yes","No"))</f>
        <v/>
      </c>
      <c r="U587" s="25">
        <f>IF($O587="Invalid",HYPERLINK("mailto:"&amp;$G587&amp;";"&amp;$I587&amp;"?cc="&amp;Lists!$E$2&amp;"&amp;subject="&amp;_xlfn.ENCODEURL("[INVALID] Quality audit monitoring completed for "&amp;UPPER($C587))&amp;"&amp;body="&amp;_xlfn.ENCODEURL("Hi "&amp;$F587&amp;","&amp;CHAR(10)&amp;"Good day!"&amp;CHAR(10)&amp;CHAR(10)&amp;"A quality monitoring audit has been completed for "&amp;$C587&amp;"."&amp;CHAR(10)&amp;CHAR(10)&amp;"QUALITY AUDIT DETAILS"&amp;CHAR(10)&amp;"Agent Name: "&amp;$C587&amp;" (EID "&amp;$D587&amp;")"&amp;CHAR(10)&amp;"Audit Date: "&amp;TEXT($B587,"yyyy-mm-dd")&amp;CHAR(10)&amp;"Team Leader: "&amp;$F587&amp;CHAR(10)&amp;"Case Number: "&amp;$M587&amp;CHAR(10)&amp;"Transaction ID: "&amp;$N587&amp;CHAR(10)&amp;"Channel / LOB: "&amp;$K587&amp;" / "&amp;$L587&amp;CHAR(10)&amp;"Evaluator: "&amp;$S587&amp;CHAR(10)&amp;CHAR(10)&amp;"INVALID QUALITY AUDIT DETAILS"&amp;CHAR(10)&amp;"Validation: Invalid"&amp;CHAR(10)&amp;"Invalid Reason: "&amp;$P587&amp;CHAR(10)&amp;"Expected Resolution Code: "&amp;$Q587&amp;CHAR(10)&amp;"Remarks: "&amp;LEFT($R587,600)&amp;CHAR(10)&amp;CHAR(10)&amp;"This is an automated notification from HP Mainstream EQMS."),"✉ Open Email Draft"),"")</f>
        <v/>
      </c>
    </row>
    <row r="588">
      <c r="A588" s="25">
        <f>IF($C588="","","AUD-2026-"&amp;TEXT(ROW()-1,"000000"))</f>
        <v/>
      </c>
      <c r="B588" s="26" t="n"/>
      <c r="C588" s="27" t="n"/>
      <c r="D588" s="25">
        <f>IF($C588="","",IFERROR(IF(INDEX(Roster!$A:$A,MATCH($C588,Roster!$B:$B,0))="","",INDEX(Roster!$A:$A,MATCH($C588,Roster!$B:$B,0))&amp;""),"—"))</f>
        <v/>
      </c>
      <c r="E588" s="25">
        <f>IF($C588="","",IFERROR(IF(INDEX(Roster!$C:$C,MATCH($C588,Roster!$B:$B,0))="","",INDEX(Roster!$C:$C,MATCH($C588,Roster!$B:$B,0))&amp;""),"—"))</f>
        <v/>
      </c>
      <c r="F588" s="25">
        <f>IF($C588="","",IFERROR(IF(INDEX(Roster!$D:$D,MATCH($C588,Roster!$B:$B,0))="","",INDEX(Roster!$D:$D,MATCH($C588,Roster!$B:$B,0))&amp;""),"—"))</f>
        <v/>
      </c>
      <c r="G588" s="25">
        <f>IF($C588="","",IFERROR(IF(INDEX(Roster!$E:$E,MATCH($C588,Roster!$B:$B,0))="","",INDEX(Roster!$E:$E,MATCH($C588,Roster!$B:$B,0))&amp;""),"—"))</f>
        <v/>
      </c>
      <c r="H588" s="25">
        <f>IF($C588="","",IFERROR(IF(INDEX(Roster!$F:$F,MATCH($C588,Roster!$B:$B,0))="","",INDEX(Roster!$F:$F,MATCH($C588,Roster!$B:$B,0))&amp;""),"—"))</f>
        <v/>
      </c>
      <c r="I588" s="25">
        <f>IF($C588="","",IFERROR(IF(INDEX(Roster!$G:$G,MATCH($C588,Roster!$B:$B,0))="","",INDEX(Roster!$G:$G,MATCH($C588,Roster!$B:$B,0))&amp;""),"—"))</f>
        <v/>
      </c>
      <c r="J588" s="25">
        <f>IF($C588="","",IFERROR(IF(INDEX(Roster!$I:$I,MATCH($C588,Roster!$B:$B,0))="","",INDEX(Roster!$I:$I,MATCH($C588,Roster!$B:$B,0))&amp;""),"—"))</f>
        <v/>
      </c>
      <c r="K588">
        <f>IF($C588="","",IFERROR(IF(INDEX(Roster!$J:$J,MATCH($C588,Roster!$B:$B,0))="","",INDEX(Roster!$J:$J,MATCH($C588,Roster!$B:$B,0))&amp;""),"—"))</f>
        <v/>
      </c>
      <c r="L588">
        <f>IF($C588="","",IFERROR(IF(INDEX(Roster!$K:$K,MATCH($C588,Roster!$B:$B,0))="","",INDEX(Roster!$K:$K,MATCH($C588,Roster!$B:$B,0))&amp;""),"—"))</f>
        <v/>
      </c>
      <c r="M588" s="27" t="n"/>
      <c r="N588" s="27" t="n"/>
      <c r="O588" s="25">
        <f>IF($C588="","",IF($P588="","—",IF($P588="Valid (Pass)","Valid","Invalid")))</f>
        <v/>
      </c>
      <c r="P588" s="27" t="n"/>
      <c r="Q588" s="27" t="n"/>
      <c r="R588" s="27" t="n"/>
      <c r="S588" s="27" t="n"/>
      <c r="T588" s="25">
        <f>IF($C588="","",IF(OR(ISNUMBER(SEARCH("quick case",$P588)),ISNUMBER(SEARCH("quick case",$Q588))),"Yes","No"))</f>
        <v/>
      </c>
      <c r="U588" s="25">
        <f>IF($O588="Invalid",HYPERLINK("mailto:"&amp;$G588&amp;";"&amp;$I588&amp;"?cc="&amp;Lists!$E$2&amp;"&amp;subject="&amp;_xlfn.ENCODEURL("[INVALID] Quality audit monitoring completed for "&amp;UPPER($C588))&amp;"&amp;body="&amp;_xlfn.ENCODEURL("Hi "&amp;$F588&amp;","&amp;CHAR(10)&amp;"Good day!"&amp;CHAR(10)&amp;CHAR(10)&amp;"A quality monitoring audit has been completed for "&amp;$C588&amp;"."&amp;CHAR(10)&amp;CHAR(10)&amp;"QUALITY AUDIT DETAILS"&amp;CHAR(10)&amp;"Agent Name: "&amp;$C588&amp;" (EID "&amp;$D588&amp;")"&amp;CHAR(10)&amp;"Audit Date: "&amp;TEXT($B588,"yyyy-mm-dd")&amp;CHAR(10)&amp;"Team Leader: "&amp;$F588&amp;CHAR(10)&amp;"Case Number: "&amp;$M588&amp;CHAR(10)&amp;"Transaction ID: "&amp;$N588&amp;CHAR(10)&amp;"Channel / LOB: "&amp;$K588&amp;" / "&amp;$L588&amp;CHAR(10)&amp;"Evaluator: "&amp;$S588&amp;CHAR(10)&amp;CHAR(10)&amp;"INVALID QUALITY AUDIT DETAILS"&amp;CHAR(10)&amp;"Validation: Invalid"&amp;CHAR(10)&amp;"Invalid Reason: "&amp;$P588&amp;CHAR(10)&amp;"Expected Resolution Code: "&amp;$Q588&amp;CHAR(10)&amp;"Remarks: "&amp;LEFT($R588,600)&amp;CHAR(10)&amp;CHAR(10)&amp;"This is an automated notification from HP Mainstream EQMS."),"✉ Open Email Draft"),"")</f>
        <v/>
      </c>
    </row>
    <row r="589">
      <c r="A589" s="25">
        <f>IF($C589="","","AUD-2026-"&amp;TEXT(ROW()-1,"000000"))</f>
        <v/>
      </c>
      <c r="B589" s="26" t="n"/>
      <c r="C589" s="27" t="n"/>
      <c r="D589" s="25">
        <f>IF($C589="","",IFERROR(IF(INDEX(Roster!$A:$A,MATCH($C589,Roster!$B:$B,0))="","",INDEX(Roster!$A:$A,MATCH($C589,Roster!$B:$B,0))&amp;""),"—"))</f>
        <v/>
      </c>
      <c r="E589" s="25">
        <f>IF($C589="","",IFERROR(IF(INDEX(Roster!$C:$C,MATCH($C589,Roster!$B:$B,0))="","",INDEX(Roster!$C:$C,MATCH($C589,Roster!$B:$B,0))&amp;""),"—"))</f>
        <v/>
      </c>
      <c r="F589" s="25">
        <f>IF($C589="","",IFERROR(IF(INDEX(Roster!$D:$D,MATCH($C589,Roster!$B:$B,0))="","",INDEX(Roster!$D:$D,MATCH($C589,Roster!$B:$B,0))&amp;""),"—"))</f>
        <v/>
      </c>
      <c r="G589" s="25">
        <f>IF($C589="","",IFERROR(IF(INDEX(Roster!$E:$E,MATCH($C589,Roster!$B:$B,0))="","",INDEX(Roster!$E:$E,MATCH($C589,Roster!$B:$B,0))&amp;""),"—"))</f>
        <v/>
      </c>
      <c r="H589" s="25">
        <f>IF($C589="","",IFERROR(IF(INDEX(Roster!$F:$F,MATCH($C589,Roster!$B:$B,0))="","",INDEX(Roster!$F:$F,MATCH($C589,Roster!$B:$B,0))&amp;""),"—"))</f>
        <v/>
      </c>
      <c r="I589" s="25">
        <f>IF($C589="","",IFERROR(IF(INDEX(Roster!$G:$G,MATCH($C589,Roster!$B:$B,0))="","",INDEX(Roster!$G:$G,MATCH($C589,Roster!$B:$B,0))&amp;""),"—"))</f>
        <v/>
      </c>
      <c r="J589" s="25">
        <f>IF($C589="","",IFERROR(IF(INDEX(Roster!$I:$I,MATCH($C589,Roster!$B:$B,0))="","",INDEX(Roster!$I:$I,MATCH($C589,Roster!$B:$B,0))&amp;""),"—"))</f>
        <v/>
      </c>
      <c r="K589">
        <f>IF($C589="","",IFERROR(IF(INDEX(Roster!$J:$J,MATCH($C589,Roster!$B:$B,0))="","",INDEX(Roster!$J:$J,MATCH($C589,Roster!$B:$B,0))&amp;""),"—"))</f>
        <v/>
      </c>
      <c r="L589">
        <f>IF($C589="","",IFERROR(IF(INDEX(Roster!$K:$K,MATCH($C589,Roster!$B:$B,0))="","",INDEX(Roster!$K:$K,MATCH($C589,Roster!$B:$B,0))&amp;""),"—"))</f>
        <v/>
      </c>
      <c r="M589" s="27" t="n"/>
      <c r="N589" s="27" t="n"/>
      <c r="O589" s="25">
        <f>IF($C589="","",IF($P589="","—",IF($P589="Valid (Pass)","Valid","Invalid")))</f>
        <v/>
      </c>
      <c r="P589" s="27" t="n"/>
      <c r="Q589" s="27" t="n"/>
      <c r="R589" s="27" t="n"/>
      <c r="S589" s="27" t="n"/>
      <c r="T589" s="25">
        <f>IF($C589="","",IF(OR(ISNUMBER(SEARCH("quick case",$P589)),ISNUMBER(SEARCH("quick case",$Q589))),"Yes","No"))</f>
        <v/>
      </c>
      <c r="U589" s="25">
        <f>IF($O589="Invalid",HYPERLINK("mailto:"&amp;$G589&amp;";"&amp;$I589&amp;"?cc="&amp;Lists!$E$2&amp;"&amp;subject="&amp;_xlfn.ENCODEURL("[INVALID] Quality audit monitoring completed for "&amp;UPPER($C589))&amp;"&amp;body="&amp;_xlfn.ENCODEURL("Hi "&amp;$F589&amp;","&amp;CHAR(10)&amp;"Good day!"&amp;CHAR(10)&amp;CHAR(10)&amp;"A quality monitoring audit has been completed for "&amp;$C589&amp;"."&amp;CHAR(10)&amp;CHAR(10)&amp;"QUALITY AUDIT DETAILS"&amp;CHAR(10)&amp;"Agent Name: "&amp;$C589&amp;" (EID "&amp;$D589&amp;")"&amp;CHAR(10)&amp;"Audit Date: "&amp;TEXT($B589,"yyyy-mm-dd")&amp;CHAR(10)&amp;"Team Leader: "&amp;$F589&amp;CHAR(10)&amp;"Case Number: "&amp;$M589&amp;CHAR(10)&amp;"Transaction ID: "&amp;$N589&amp;CHAR(10)&amp;"Channel / LOB: "&amp;$K589&amp;" / "&amp;$L589&amp;CHAR(10)&amp;"Evaluator: "&amp;$S589&amp;CHAR(10)&amp;CHAR(10)&amp;"INVALID QUALITY AUDIT DETAILS"&amp;CHAR(10)&amp;"Validation: Invalid"&amp;CHAR(10)&amp;"Invalid Reason: "&amp;$P589&amp;CHAR(10)&amp;"Expected Resolution Code: "&amp;$Q589&amp;CHAR(10)&amp;"Remarks: "&amp;LEFT($R589,600)&amp;CHAR(10)&amp;CHAR(10)&amp;"This is an automated notification from HP Mainstream EQMS."),"✉ Open Email Draft"),"")</f>
        <v/>
      </c>
    </row>
    <row r="590">
      <c r="A590" s="25">
        <f>IF($C590="","","AUD-2026-"&amp;TEXT(ROW()-1,"000000"))</f>
        <v/>
      </c>
      <c r="B590" s="26" t="n"/>
      <c r="C590" s="27" t="n"/>
      <c r="D590" s="25">
        <f>IF($C590="","",IFERROR(IF(INDEX(Roster!$A:$A,MATCH($C590,Roster!$B:$B,0))="","",INDEX(Roster!$A:$A,MATCH($C590,Roster!$B:$B,0))&amp;""),"—"))</f>
        <v/>
      </c>
      <c r="E590" s="25">
        <f>IF($C590="","",IFERROR(IF(INDEX(Roster!$C:$C,MATCH($C590,Roster!$B:$B,0))="","",INDEX(Roster!$C:$C,MATCH($C590,Roster!$B:$B,0))&amp;""),"—"))</f>
        <v/>
      </c>
      <c r="F590" s="25">
        <f>IF($C590="","",IFERROR(IF(INDEX(Roster!$D:$D,MATCH($C590,Roster!$B:$B,0))="","",INDEX(Roster!$D:$D,MATCH($C590,Roster!$B:$B,0))&amp;""),"—"))</f>
        <v/>
      </c>
      <c r="G590" s="25">
        <f>IF($C590="","",IFERROR(IF(INDEX(Roster!$E:$E,MATCH($C590,Roster!$B:$B,0))="","",INDEX(Roster!$E:$E,MATCH($C590,Roster!$B:$B,0))&amp;""),"—"))</f>
        <v/>
      </c>
      <c r="H590" s="25">
        <f>IF($C590="","",IFERROR(IF(INDEX(Roster!$F:$F,MATCH($C590,Roster!$B:$B,0))="","",INDEX(Roster!$F:$F,MATCH($C590,Roster!$B:$B,0))&amp;""),"—"))</f>
        <v/>
      </c>
      <c r="I590" s="25">
        <f>IF($C590="","",IFERROR(IF(INDEX(Roster!$G:$G,MATCH($C590,Roster!$B:$B,0))="","",INDEX(Roster!$G:$G,MATCH($C590,Roster!$B:$B,0))&amp;""),"—"))</f>
        <v/>
      </c>
      <c r="J590" s="25">
        <f>IF($C590="","",IFERROR(IF(INDEX(Roster!$I:$I,MATCH($C590,Roster!$B:$B,0))="","",INDEX(Roster!$I:$I,MATCH($C590,Roster!$B:$B,0))&amp;""),"—"))</f>
        <v/>
      </c>
      <c r="K590">
        <f>IF($C590="","",IFERROR(IF(INDEX(Roster!$J:$J,MATCH($C590,Roster!$B:$B,0))="","",INDEX(Roster!$J:$J,MATCH($C590,Roster!$B:$B,0))&amp;""),"—"))</f>
        <v/>
      </c>
      <c r="L590">
        <f>IF($C590="","",IFERROR(IF(INDEX(Roster!$K:$K,MATCH($C590,Roster!$B:$B,0))="","",INDEX(Roster!$K:$K,MATCH($C590,Roster!$B:$B,0))&amp;""),"—"))</f>
        <v/>
      </c>
      <c r="M590" s="27" t="n"/>
      <c r="N590" s="27" t="n"/>
      <c r="O590" s="25">
        <f>IF($C590="","",IF($P590="","—",IF($P590="Valid (Pass)","Valid","Invalid")))</f>
        <v/>
      </c>
      <c r="P590" s="27" t="n"/>
      <c r="Q590" s="27" t="n"/>
      <c r="R590" s="27" t="n"/>
      <c r="S590" s="27" t="n"/>
      <c r="T590" s="25">
        <f>IF($C590="","",IF(OR(ISNUMBER(SEARCH("quick case",$P590)),ISNUMBER(SEARCH("quick case",$Q590))),"Yes","No"))</f>
        <v/>
      </c>
      <c r="U590" s="25">
        <f>IF($O590="Invalid",HYPERLINK("mailto:"&amp;$G590&amp;";"&amp;$I590&amp;"?cc="&amp;Lists!$E$2&amp;"&amp;subject="&amp;_xlfn.ENCODEURL("[INVALID] Quality audit monitoring completed for "&amp;UPPER($C590))&amp;"&amp;body="&amp;_xlfn.ENCODEURL("Hi "&amp;$F590&amp;","&amp;CHAR(10)&amp;"Good day!"&amp;CHAR(10)&amp;CHAR(10)&amp;"A quality monitoring audit has been completed for "&amp;$C590&amp;"."&amp;CHAR(10)&amp;CHAR(10)&amp;"QUALITY AUDIT DETAILS"&amp;CHAR(10)&amp;"Agent Name: "&amp;$C590&amp;" (EID "&amp;$D590&amp;")"&amp;CHAR(10)&amp;"Audit Date: "&amp;TEXT($B590,"yyyy-mm-dd")&amp;CHAR(10)&amp;"Team Leader: "&amp;$F590&amp;CHAR(10)&amp;"Case Number: "&amp;$M590&amp;CHAR(10)&amp;"Transaction ID: "&amp;$N590&amp;CHAR(10)&amp;"Channel / LOB: "&amp;$K590&amp;" / "&amp;$L590&amp;CHAR(10)&amp;"Evaluator: "&amp;$S590&amp;CHAR(10)&amp;CHAR(10)&amp;"INVALID QUALITY AUDIT DETAILS"&amp;CHAR(10)&amp;"Validation: Invalid"&amp;CHAR(10)&amp;"Invalid Reason: "&amp;$P590&amp;CHAR(10)&amp;"Expected Resolution Code: "&amp;$Q590&amp;CHAR(10)&amp;"Remarks: "&amp;LEFT($R590,600)&amp;CHAR(10)&amp;CHAR(10)&amp;"This is an automated notification from HP Mainstream EQMS."),"✉ Open Email Draft"),"")</f>
        <v/>
      </c>
    </row>
    <row r="591">
      <c r="A591" s="25">
        <f>IF($C591="","","AUD-2026-"&amp;TEXT(ROW()-1,"000000"))</f>
        <v/>
      </c>
      <c r="B591" s="26" t="n"/>
      <c r="C591" s="27" t="n"/>
      <c r="D591" s="25">
        <f>IF($C591="","",IFERROR(IF(INDEX(Roster!$A:$A,MATCH($C591,Roster!$B:$B,0))="","",INDEX(Roster!$A:$A,MATCH($C591,Roster!$B:$B,0))&amp;""),"—"))</f>
        <v/>
      </c>
      <c r="E591" s="25">
        <f>IF($C591="","",IFERROR(IF(INDEX(Roster!$C:$C,MATCH($C591,Roster!$B:$B,0))="","",INDEX(Roster!$C:$C,MATCH($C591,Roster!$B:$B,0))&amp;""),"—"))</f>
        <v/>
      </c>
      <c r="F591" s="25">
        <f>IF($C591="","",IFERROR(IF(INDEX(Roster!$D:$D,MATCH($C591,Roster!$B:$B,0))="","",INDEX(Roster!$D:$D,MATCH($C591,Roster!$B:$B,0))&amp;""),"—"))</f>
        <v/>
      </c>
      <c r="G591" s="25">
        <f>IF($C591="","",IFERROR(IF(INDEX(Roster!$E:$E,MATCH($C591,Roster!$B:$B,0))="","",INDEX(Roster!$E:$E,MATCH($C591,Roster!$B:$B,0))&amp;""),"—"))</f>
        <v/>
      </c>
      <c r="H591" s="25">
        <f>IF($C591="","",IFERROR(IF(INDEX(Roster!$F:$F,MATCH($C591,Roster!$B:$B,0))="","",INDEX(Roster!$F:$F,MATCH($C591,Roster!$B:$B,0))&amp;""),"—"))</f>
        <v/>
      </c>
      <c r="I591" s="25">
        <f>IF($C591="","",IFERROR(IF(INDEX(Roster!$G:$G,MATCH($C591,Roster!$B:$B,0))="","",INDEX(Roster!$G:$G,MATCH($C591,Roster!$B:$B,0))&amp;""),"—"))</f>
        <v/>
      </c>
      <c r="J591" s="25">
        <f>IF($C591="","",IFERROR(IF(INDEX(Roster!$I:$I,MATCH($C591,Roster!$B:$B,0))="","",INDEX(Roster!$I:$I,MATCH($C591,Roster!$B:$B,0))&amp;""),"—"))</f>
        <v/>
      </c>
      <c r="K591">
        <f>IF($C591="","",IFERROR(IF(INDEX(Roster!$J:$J,MATCH($C591,Roster!$B:$B,0))="","",INDEX(Roster!$J:$J,MATCH($C591,Roster!$B:$B,0))&amp;""),"—"))</f>
        <v/>
      </c>
      <c r="L591">
        <f>IF($C591="","",IFERROR(IF(INDEX(Roster!$K:$K,MATCH($C591,Roster!$B:$B,0))="","",INDEX(Roster!$K:$K,MATCH($C591,Roster!$B:$B,0))&amp;""),"—"))</f>
        <v/>
      </c>
      <c r="M591" s="27" t="n"/>
      <c r="N591" s="27" t="n"/>
      <c r="O591" s="25">
        <f>IF($C591="","",IF($P591="","—",IF($P591="Valid (Pass)","Valid","Invalid")))</f>
        <v/>
      </c>
      <c r="P591" s="27" t="n"/>
      <c r="Q591" s="27" t="n"/>
      <c r="R591" s="27" t="n"/>
      <c r="S591" s="27" t="n"/>
      <c r="T591" s="25">
        <f>IF($C591="","",IF(OR(ISNUMBER(SEARCH("quick case",$P591)),ISNUMBER(SEARCH("quick case",$Q591))),"Yes","No"))</f>
        <v/>
      </c>
      <c r="U591" s="25">
        <f>IF($O591="Invalid",HYPERLINK("mailto:"&amp;$G591&amp;";"&amp;$I591&amp;"?cc="&amp;Lists!$E$2&amp;"&amp;subject="&amp;_xlfn.ENCODEURL("[INVALID] Quality audit monitoring completed for "&amp;UPPER($C591))&amp;"&amp;body="&amp;_xlfn.ENCODEURL("Hi "&amp;$F591&amp;","&amp;CHAR(10)&amp;"Good day!"&amp;CHAR(10)&amp;CHAR(10)&amp;"A quality monitoring audit has been completed for "&amp;$C591&amp;"."&amp;CHAR(10)&amp;CHAR(10)&amp;"QUALITY AUDIT DETAILS"&amp;CHAR(10)&amp;"Agent Name: "&amp;$C591&amp;" (EID "&amp;$D591&amp;")"&amp;CHAR(10)&amp;"Audit Date: "&amp;TEXT($B591,"yyyy-mm-dd")&amp;CHAR(10)&amp;"Team Leader: "&amp;$F591&amp;CHAR(10)&amp;"Case Number: "&amp;$M591&amp;CHAR(10)&amp;"Transaction ID: "&amp;$N591&amp;CHAR(10)&amp;"Channel / LOB: "&amp;$K591&amp;" / "&amp;$L591&amp;CHAR(10)&amp;"Evaluator: "&amp;$S591&amp;CHAR(10)&amp;CHAR(10)&amp;"INVALID QUALITY AUDIT DETAILS"&amp;CHAR(10)&amp;"Validation: Invalid"&amp;CHAR(10)&amp;"Invalid Reason: "&amp;$P591&amp;CHAR(10)&amp;"Expected Resolution Code: "&amp;$Q591&amp;CHAR(10)&amp;"Remarks: "&amp;LEFT($R591,600)&amp;CHAR(10)&amp;CHAR(10)&amp;"This is an automated notification from HP Mainstream EQMS."),"✉ Open Email Draft"),"")</f>
        <v/>
      </c>
    </row>
    <row r="592">
      <c r="A592" s="25">
        <f>IF($C592="","","AUD-2026-"&amp;TEXT(ROW()-1,"000000"))</f>
        <v/>
      </c>
      <c r="B592" s="26" t="n"/>
      <c r="C592" s="27" t="n"/>
      <c r="D592" s="25">
        <f>IF($C592="","",IFERROR(IF(INDEX(Roster!$A:$A,MATCH($C592,Roster!$B:$B,0))="","",INDEX(Roster!$A:$A,MATCH($C592,Roster!$B:$B,0))&amp;""),"—"))</f>
        <v/>
      </c>
      <c r="E592" s="25">
        <f>IF($C592="","",IFERROR(IF(INDEX(Roster!$C:$C,MATCH($C592,Roster!$B:$B,0))="","",INDEX(Roster!$C:$C,MATCH($C592,Roster!$B:$B,0))&amp;""),"—"))</f>
        <v/>
      </c>
      <c r="F592" s="25">
        <f>IF($C592="","",IFERROR(IF(INDEX(Roster!$D:$D,MATCH($C592,Roster!$B:$B,0))="","",INDEX(Roster!$D:$D,MATCH($C592,Roster!$B:$B,0))&amp;""),"—"))</f>
        <v/>
      </c>
      <c r="G592" s="25">
        <f>IF($C592="","",IFERROR(IF(INDEX(Roster!$E:$E,MATCH($C592,Roster!$B:$B,0))="","",INDEX(Roster!$E:$E,MATCH($C592,Roster!$B:$B,0))&amp;""),"—"))</f>
        <v/>
      </c>
      <c r="H592" s="25">
        <f>IF($C592="","",IFERROR(IF(INDEX(Roster!$F:$F,MATCH($C592,Roster!$B:$B,0))="","",INDEX(Roster!$F:$F,MATCH($C592,Roster!$B:$B,0))&amp;""),"—"))</f>
        <v/>
      </c>
      <c r="I592" s="25">
        <f>IF($C592="","",IFERROR(IF(INDEX(Roster!$G:$G,MATCH($C592,Roster!$B:$B,0))="","",INDEX(Roster!$G:$G,MATCH($C592,Roster!$B:$B,0))&amp;""),"—"))</f>
        <v/>
      </c>
      <c r="J592" s="25">
        <f>IF($C592="","",IFERROR(IF(INDEX(Roster!$I:$I,MATCH($C592,Roster!$B:$B,0))="","",INDEX(Roster!$I:$I,MATCH($C592,Roster!$B:$B,0))&amp;""),"—"))</f>
        <v/>
      </c>
      <c r="K592">
        <f>IF($C592="","",IFERROR(IF(INDEX(Roster!$J:$J,MATCH($C592,Roster!$B:$B,0))="","",INDEX(Roster!$J:$J,MATCH($C592,Roster!$B:$B,0))&amp;""),"—"))</f>
        <v/>
      </c>
      <c r="L592">
        <f>IF($C592="","",IFERROR(IF(INDEX(Roster!$K:$K,MATCH($C592,Roster!$B:$B,0))="","",INDEX(Roster!$K:$K,MATCH($C592,Roster!$B:$B,0))&amp;""),"—"))</f>
        <v/>
      </c>
      <c r="M592" s="27" t="n"/>
      <c r="N592" s="27" t="n"/>
      <c r="O592" s="25">
        <f>IF($C592="","",IF($P592="","—",IF($P592="Valid (Pass)","Valid","Invalid")))</f>
        <v/>
      </c>
      <c r="P592" s="27" t="n"/>
      <c r="Q592" s="27" t="n"/>
      <c r="R592" s="27" t="n"/>
      <c r="S592" s="27" t="n"/>
      <c r="T592" s="25">
        <f>IF($C592="","",IF(OR(ISNUMBER(SEARCH("quick case",$P592)),ISNUMBER(SEARCH("quick case",$Q592))),"Yes","No"))</f>
        <v/>
      </c>
      <c r="U592" s="25">
        <f>IF($O592="Invalid",HYPERLINK("mailto:"&amp;$G592&amp;";"&amp;$I592&amp;"?cc="&amp;Lists!$E$2&amp;"&amp;subject="&amp;_xlfn.ENCODEURL("[INVALID] Quality audit monitoring completed for "&amp;UPPER($C592))&amp;"&amp;body="&amp;_xlfn.ENCODEURL("Hi "&amp;$F592&amp;","&amp;CHAR(10)&amp;"Good day!"&amp;CHAR(10)&amp;CHAR(10)&amp;"A quality monitoring audit has been completed for "&amp;$C592&amp;"."&amp;CHAR(10)&amp;CHAR(10)&amp;"QUALITY AUDIT DETAILS"&amp;CHAR(10)&amp;"Agent Name: "&amp;$C592&amp;" (EID "&amp;$D592&amp;")"&amp;CHAR(10)&amp;"Audit Date: "&amp;TEXT($B592,"yyyy-mm-dd")&amp;CHAR(10)&amp;"Team Leader: "&amp;$F592&amp;CHAR(10)&amp;"Case Number: "&amp;$M592&amp;CHAR(10)&amp;"Transaction ID: "&amp;$N592&amp;CHAR(10)&amp;"Channel / LOB: "&amp;$K592&amp;" / "&amp;$L592&amp;CHAR(10)&amp;"Evaluator: "&amp;$S592&amp;CHAR(10)&amp;CHAR(10)&amp;"INVALID QUALITY AUDIT DETAILS"&amp;CHAR(10)&amp;"Validation: Invalid"&amp;CHAR(10)&amp;"Invalid Reason: "&amp;$P592&amp;CHAR(10)&amp;"Expected Resolution Code: "&amp;$Q592&amp;CHAR(10)&amp;"Remarks: "&amp;LEFT($R592,600)&amp;CHAR(10)&amp;CHAR(10)&amp;"This is an automated notification from HP Mainstream EQMS."),"✉ Open Email Draft"),"")</f>
        <v/>
      </c>
    </row>
    <row r="593">
      <c r="A593" s="25">
        <f>IF($C593="","","AUD-2026-"&amp;TEXT(ROW()-1,"000000"))</f>
        <v/>
      </c>
      <c r="B593" s="26" t="n"/>
      <c r="C593" s="27" t="n"/>
      <c r="D593" s="25">
        <f>IF($C593="","",IFERROR(IF(INDEX(Roster!$A:$A,MATCH($C593,Roster!$B:$B,0))="","",INDEX(Roster!$A:$A,MATCH($C593,Roster!$B:$B,0))&amp;""),"—"))</f>
        <v/>
      </c>
      <c r="E593" s="25">
        <f>IF($C593="","",IFERROR(IF(INDEX(Roster!$C:$C,MATCH($C593,Roster!$B:$B,0))="","",INDEX(Roster!$C:$C,MATCH($C593,Roster!$B:$B,0))&amp;""),"—"))</f>
        <v/>
      </c>
      <c r="F593" s="25">
        <f>IF($C593="","",IFERROR(IF(INDEX(Roster!$D:$D,MATCH($C593,Roster!$B:$B,0))="","",INDEX(Roster!$D:$D,MATCH($C593,Roster!$B:$B,0))&amp;""),"—"))</f>
        <v/>
      </c>
      <c r="G593" s="25">
        <f>IF($C593="","",IFERROR(IF(INDEX(Roster!$E:$E,MATCH($C593,Roster!$B:$B,0))="","",INDEX(Roster!$E:$E,MATCH($C593,Roster!$B:$B,0))&amp;""),"—"))</f>
        <v/>
      </c>
      <c r="H593" s="25">
        <f>IF($C593="","",IFERROR(IF(INDEX(Roster!$F:$F,MATCH($C593,Roster!$B:$B,0))="","",INDEX(Roster!$F:$F,MATCH($C593,Roster!$B:$B,0))&amp;""),"—"))</f>
        <v/>
      </c>
      <c r="I593" s="25">
        <f>IF($C593="","",IFERROR(IF(INDEX(Roster!$G:$G,MATCH($C593,Roster!$B:$B,0))="","",INDEX(Roster!$G:$G,MATCH($C593,Roster!$B:$B,0))&amp;""),"—"))</f>
        <v/>
      </c>
      <c r="J593" s="25">
        <f>IF($C593="","",IFERROR(IF(INDEX(Roster!$I:$I,MATCH($C593,Roster!$B:$B,0))="","",INDEX(Roster!$I:$I,MATCH($C593,Roster!$B:$B,0))&amp;""),"—"))</f>
        <v/>
      </c>
      <c r="K593">
        <f>IF($C593="","",IFERROR(IF(INDEX(Roster!$J:$J,MATCH($C593,Roster!$B:$B,0))="","",INDEX(Roster!$J:$J,MATCH($C593,Roster!$B:$B,0))&amp;""),"—"))</f>
        <v/>
      </c>
      <c r="L593">
        <f>IF($C593="","",IFERROR(IF(INDEX(Roster!$K:$K,MATCH($C593,Roster!$B:$B,0))="","",INDEX(Roster!$K:$K,MATCH($C593,Roster!$B:$B,0))&amp;""),"—"))</f>
        <v/>
      </c>
      <c r="M593" s="27" t="n"/>
      <c r="N593" s="27" t="n"/>
      <c r="O593" s="25">
        <f>IF($C593="","",IF($P593="","—",IF($P593="Valid (Pass)","Valid","Invalid")))</f>
        <v/>
      </c>
      <c r="P593" s="27" t="n"/>
      <c r="Q593" s="27" t="n"/>
      <c r="R593" s="27" t="n"/>
      <c r="S593" s="27" t="n"/>
      <c r="T593" s="25">
        <f>IF($C593="","",IF(OR(ISNUMBER(SEARCH("quick case",$P593)),ISNUMBER(SEARCH("quick case",$Q593))),"Yes","No"))</f>
        <v/>
      </c>
      <c r="U593" s="25">
        <f>IF($O593="Invalid",HYPERLINK("mailto:"&amp;$G593&amp;";"&amp;$I593&amp;"?cc="&amp;Lists!$E$2&amp;"&amp;subject="&amp;_xlfn.ENCODEURL("[INVALID] Quality audit monitoring completed for "&amp;UPPER($C593))&amp;"&amp;body="&amp;_xlfn.ENCODEURL("Hi "&amp;$F593&amp;","&amp;CHAR(10)&amp;"Good day!"&amp;CHAR(10)&amp;CHAR(10)&amp;"A quality monitoring audit has been completed for "&amp;$C593&amp;"."&amp;CHAR(10)&amp;CHAR(10)&amp;"QUALITY AUDIT DETAILS"&amp;CHAR(10)&amp;"Agent Name: "&amp;$C593&amp;" (EID "&amp;$D593&amp;")"&amp;CHAR(10)&amp;"Audit Date: "&amp;TEXT($B593,"yyyy-mm-dd")&amp;CHAR(10)&amp;"Team Leader: "&amp;$F593&amp;CHAR(10)&amp;"Case Number: "&amp;$M593&amp;CHAR(10)&amp;"Transaction ID: "&amp;$N593&amp;CHAR(10)&amp;"Channel / LOB: "&amp;$K593&amp;" / "&amp;$L593&amp;CHAR(10)&amp;"Evaluator: "&amp;$S593&amp;CHAR(10)&amp;CHAR(10)&amp;"INVALID QUALITY AUDIT DETAILS"&amp;CHAR(10)&amp;"Validation: Invalid"&amp;CHAR(10)&amp;"Invalid Reason: "&amp;$P593&amp;CHAR(10)&amp;"Expected Resolution Code: "&amp;$Q593&amp;CHAR(10)&amp;"Remarks: "&amp;LEFT($R593,600)&amp;CHAR(10)&amp;CHAR(10)&amp;"This is an automated notification from HP Mainstream EQMS."),"✉ Open Email Draft"),"")</f>
        <v/>
      </c>
    </row>
    <row r="594">
      <c r="A594" s="25">
        <f>IF($C594="","","AUD-2026-"&amp;TEXT(ROW()-1,"000000"))</f>
        <v/>
      </c>
      <c r="B594" s="26" t="n"/>
      <c r="C594" s="27" t="n"/>
      <c r="D594" s="25">
        <f>IF($C594="","",IFERROR(IF(INDEX(Roster!$A:$A,MATCH($C594,Roster!$B:$B,0))="","",INDEX(Roster!$A:$A,MATCH($C594,Roster!$B:$B,0))&amp;""),"—"))</f>
        <v/>
      </c>
      <c r="E594" s="25">
        <f>IF($C594="","",IFERROR(IF(INDEX(Roster!$C:$C,MATCH($C594,Roster!$B:$B,0))="","",INDEX(Roster!$C:$C,MATCH($C594,Roster!$B:$B,0))&amp;""),"—"))</f>
        <v/>
      </c>
      <c r="F594" s="25">
        <f>IF($C594="","",IFERROR(IF(INDEX(Roster!$D:$D,MATCH($C594,Roster!$B:$B,0))="","",INDEX(Roster!$D:$D,MATCH($C594,Roster!$B:$B,0))&amp;""),"—"))</f>
        <v/>
      </c>
      <c r="G594" s="25">
        <f>IF($C594="","",IFERROR(IF(INDEX(Roster!$E:$E,MATCH($C594,Roster!$B:$B,0))="","",INDEX(Roster!$E:$E,MATCH($C594,Roster!$B:$B,0))&amp;""),"—"))</f>
        <v/>
      </c>
      <c r="H594" s="25">
        <f>IF($C594="","",IFERROR(IF(INDEX(Roster!$F:$F,MATCH($C594,Roster!$B:$B,0))="","",INDEX(Roster!$F:$F,MATCH($C594,Roster!$B:$B,0))&amp;""),"—"))</f>
        <v/>
      </c>
      <c r="I594" s="25">
        <f>IF($C594="","",IFERROR(IF(INDEX(Roster!$G:$G,MATCH($C594,Roster!$B:$B,0))="","",INDEX(Roster!$G:$G,MATCH($C594,Roster!$B:$B,0))&amp;""),"—"))</f>
        <v/>
      </c>
      <c r="J594" s="25">
        <f>IF($C594="","",IFERROR(IF(INDEX(Roster!$I:$I,MATCH($C594,Roster!$B:$B,0))="","",INDEX(Roster!$I:$I,MATCH($C594,Roster!$B:$B,0))&amp;""),"—"))</f>
        <v/>
      </c>
      <c r="K594">
        <f>IF($C594="","",IFERROR(IF(INDEX(Roster!$J:$J,MATCH($C594,Roster!$B:$B,0))="","",INDEX(Roster!$J:$J,MATCH($C594,Roster!$B:$B,0))&amp;""),"—"))</f>
        <v/>
      </c>
      <c r="L594">
        <f>IF($C594="","",IFERROR(IF(INDEX(Roster!$K:$K,MATCH($C594,Roster!$B:$B,0))="","",INDEX(Roster!$K:$K,MATCH($C594,Roster!$B:$B,0))&amp;""),"—"))</f>
        <v/>
      </c>
      <c r="M594" s="27" t="n"/>
      <c r="N594" s="27" t="n"/>
      <c r="O594" s="25">
        <f>IF($C594="","",IF($P594="","—",IF($P594="Valid (Pass)","Valid","Invalid")))</f>
        <v/>
      </c>
      <c r="P594" s="27" t="n"/>
      <c r="Q594" s="27" t="n"/>
      <c r="R594" s="27" t="n"/>
      <c r="S594" s="27" t="n"/>
      <c r="T594" s="25">
        <f>IF($C594="","",IF(OR(ISNUMBER(SEARCH("quick case",$P594)),ISNUMBER(SEARCH("quick case",$Q594))),"Yes","No"))</f>
        <v/>
      </c>
      <c r="U594" s="25">
        <f>IF($O594="Invalid",HYPERLINK("mailto:"&amp;$G594&amp;";"&amp;$I594&amp;"?cc="&amp;Lists!$E$2&amp;"&amp;subject="&amp;_xlfn.ENCODEURL("[INVALID] Quality audit monitoring completed for "&amp;UPPER($C594))&amp;"&amp;body="&amp;_xlfn.ENCODEURL("Hi "&amp;$F594&amp;","&amp;CHAR(10)&amp;"Good day!"&amp;CHAR(10)&amp;CHAR(10)&amp;"A quality monitoring audit has been completed for "&amp;$C594&amp;"."&amp;CHAR(10)&amp;CHAR(10)&amp;"QUALITY AUDIT DETAILS"&amp;CHAR(10)&amp;"Agent Name: "&amp;$C594&amp;" (EID "&amp;$D594&amp;")"&amp;CHAR(10)&amp;"Audit Date: "&amp;TEXT($B594,"yyyy-mm-dd")&amp;CHAR(10)&amp;"Team Leader: "&amp;$F594&amp;CHAR(10)&amp;"Case Number: "&amp;$M594&amp;CHAR(10)&amp;"Transaction ID: "&amp;$N594&amp;CHAR(10)&amp;"Channel / LOB: "&amp;$K594&amp;" / "&amp;$L594&amp;CHAR(10)&amp;"Evaluator: "&amp;$S594&amp;CHAR(10)&amp;CHAR(10)&amp;"INVALID QUALITY AUDIT DETAILS"&amp;CHAR(10)&amp;"Validation: Invalid"&amp;CHAR(10)&amp;"Invalid Reason: "&amp;$P594&amp;CHAR(10)&amp;"Expected Resolution Code: "&amp;$Q594&amp;CHAR(10)&amp;"Remarks: "&amp;LEFT($R594,600)&amp;CHAR(10)&amp;CHAR(10)&amp;"This is an automated notification from HP Mainstream EQMS."),"✉ Open Email Draft"),"")</f>
        <v/>
      </c>
    </row>
    <row r="595">
      <c r="A595" s="25">
        <f>IF($C595="","","AUD-2026-"&amp;TEXT(ROW()-1,"000000"))</f>
        <v/>
      </c>
      <c r="B595" s="26" t="n"/>
      <c r="C595" s="27" t="n"/>
      <c r="D595" s="25">
        <f>IF($C595="","",IFERROR(IF(INDEX(Roster!$A:$A,MATCH($C595,Roster!$B:$B,0))="","",INDEX(Roster!$A:$A,MATCH($C595,Roster!$B:$B,0))&amp;""),"—"))</f>
        <v/>
      </c>
      <c r="E595" s="25">
        <f>IF($C595="","",IFERROR(IF(INDEX(Roster!$C:$C,MATCH($C595,Roster!$B:$B,0))="","",INDEX(Roster!$C:$C,MATCH($C595,Roster!$B:$B,0))&amp;""),"—"))</f>
        <v/>
      </c>
      <c r="F595" s="25">
        <f>IF($C595="","",IFERROR(IF(INDEX(Roster!$D:$D,MATCH($C595,Roster!$B:$B,0))="","",INDEX(Roster!$D:$D,MATCH($C595,Roster!$B:$B,0))&amp;""),"—"))</f>
        <v/>
      </c>
      <c r="G595" s="25">
        <f>IF($C595="","",IFERROR(IF(INDEX(Roster!$E:$E,MATCH($C595,Roster!$B:$B,0))="","",INDEX(Roster!$E:$E,MATCH($C595,Roster!$B:$B,0))&amp;""),"—"))</f>
        <v/>
      </c>
      <c r="H595" s="25">
        <f>IF($C595="","",IFERROR(IF(INDEX(Roster!$F:$F,MATCH($C595,Roster!$B:$B,0))="","",INDEX(Roster!$F:$F,MATCH($C595,Roster!$B:$B,0))&amp;""),"—"))</f>
        <v/>
      </c>
      <c r="I595" s="25">
        <f>IF($C595="","",IFERROR(IF(INDEX(Roster!$G:$G,MATCH($C595,Roster!$B:$B,0))="","",INDEX(Roster!$G:$G,MATCH($C595,Roster!$B:$B,0))&amp;""),"—"))</f>
        <v/>
      </c>
      <c r="J595" s="25">
        <f>IF($C595="","",IFERROR(IF(INDEX(Roster!$I:$I,MATCH($C595,Roster!$B:$B,0))="","",INDEX(Roster!$I:$I,MATCH($C595,Roster!$B:$B,0))&amp;""),"—"))</f>
        <v/>
      </c>
      <c r="K595">
        <f>IF($C595="","",IFERROR(IF(INDEX(Roster!$J:$J,MATCH($C595,Roster!$B:$B,0))="","",INDEX(Roster!$J:$J,MATCH($C595,Roster!$B:$B,0))&amp;""),"—"))</f>
        <v/>
      </c>
      <c r="L595">
        <f>IF($C595="","",IFERROR(IF(INDEX(Roster!$K:$K,MATCH($C595,Roster!$B:$B,0))="","",INDEX(Roster!$K:$K,MATCH($C595,Roster!$B:$B,0))&amp;""),"—"))</f>
        <v/>
      </c>
      <c r="M595" s="27" t="n"/>
      <c r="N595" s="27" t="n"/>
      <c r="O595" s="25">
        <f>IF($C595="","",IF($P595="","—",IF($P595="Valid (Pass)","Valid","Invalid")))</f>
        <v/>
      </c>
      <c r="P595" s="27" t="n"/>
      <c r="Q595" s="27" t="n"/>
      <c r="R595" s="27" t="n"/>
      <c r="S595" s="27" t="n"/>
      <c r="T595" s="25">
        <f>IF($C595="","",IF(OR(ISNUMBER(SEARCH("quick case",$P595)),ISNUMBER(SEARCH("quick case",$Q595))),"Yes","No"))</f>
        <v/>
      </c>
      <c r="U595" s="25">
        <f>IF($O595="Invalid",HYPERLINK("mailto:"&amp;$G595&amp;";"&amp;$I595&amp;"?cc="&amp;Lists!$E$2&amp;"&amp;subject="&amp;_xlfn.ENCODEURL("[INVALID] Quality audit monitoring completed for "&amp;UPPER($C595))&amp;"&amp;body="&amp;_xlfn.ENCODEURL("Hi "&amp;$F595&amp;","&amp;CHAR(10)&amp;"Good day!"&amp;CHAR(10)&amp;CHAR(10)&amp;"A quality monitoring audit has been completed for "&amp;$C595&amp;"."&amp;CHAR(10)&amp;CHAR(10)&amp;"QUALITY AUDIT DETAILS"&amp;CHAR(10)&amp;"Agent Name: "&amp;$C595&amp;" (EID "&amp;$D595&amp;")"&amp;CHAR(10)&amp;"Audit Date: "&amp;TEXT($B595,"yyyy-mm-dd")&amp;CHAR(10)&amp;"Team Leader: "&amp;$F595&amp;CHAR(10)&amp;"Case Number: "&amp;$M595&amp;CHAR(10)&amp;"Transaction ID: "&amp;$N595&amp;CHAR(10)&amp;"Channel / LOB: "&amp;$K595&amp;" / "&amp;$L595&amp;CHAR(10)&amp;"Evaluator: "&amp;$S595&amp;CHAR(10)&amp;CHAR(10)&amp;"INVALID QUALITY AUDIT DETAILS"&amp;CHAR(10)&amp;"Validation: Invalid"&amp;CHAR(10)&amp;"Invalid Reason: "&amp;$P595&amp;CHAR(10)&amp;"Expected Resolution Code: "&amp;$Q595&amp;CHAR(10)&amp;"Remarks: "&amp;LEFT($R595,600)&amp;CHAR(10)&amp;CHAR(10)&amp;"This is an automated notification from HP Mainstream EQMS."),"✉ Open Email Draft"),"")</f>
        <v/>
      </c>
    </row>
    <row r="596">
      <c r="A596" s="25">
        <f>IF($C596="","","AUD-2026-"&amp;TEXT(ROW()-1,"000000"))</f>
        <v/>
      </c>
      <c r="B596" s="26" t="n"/>
      <c r="C596" s="27" t="n"/>
      <c r="D596" s="25">
        <f>IF($C596="","",IFERROR(IF(INDEX(Roster!$A:$A,MATCH($C596,Roster!$B:$B,0))="","",INDEX(Roster!$A:$A,MATCH($C596,Roster!$B:$B,0))&amp;""),"—"))</f>
        <v/>
      </c>
      <c r="E596" s="25">
        <f>IF($C596="","",IFERROR(IF(INDEX(Roster!$C:$C,MATCH($C596,Roster!$B:$B,0))="","",INDEX(Roster!$C:$C,MATCH($C596,Roster!$B:$B,0))&amp;""),"—"))</f>
        <v/>
      </c>
      <c r="F596" s="25">
        <f>IF($C596="","",IFERROR(IF(INDEX(Roster!$D:$D,MATCH($C596,Roster!$B:$B,0))="","",INDEX(Roster!$D:$D,MATCH($C596,Roster!$B:$B,0))&amp;""),"—"))</f>
        <v/>
      </c>
      <c r="G596" s="25">
        <f>IF($C596="","",IFERROR(IF(INDEX(Roster!$E:$E,MATCH($C596,Roster!$B:$B,0))="","",INDEX(Roster!$E:$E,MATCH($C596,Roster!$B:$B,0))&amp;""),"—"))</f>
        <v/>
      </c>
      <c r="H596" s="25">
        <f>IF($C596="","",IFERROR(IF(INDEX(Roster!$F:$F,MATCH($C596,Roster!$B:$B,0))="","",INDEX(Roster!$F:$F,MATCH($C596,Roster!$B:$B,0))&amp;""),"—"))</f>
        <v/>
      </c>
      <c r="I596" s="25">
        <f>IF($C596="","",IFERROR(IF(INDEX(Roster!$G:$G,MATCH($C596,Roster!$B:$B,0))="","",INDEX(Roster!$G:$G,MATCH($C596,Roster!$B:$B,0))&amp;""),"—"))</f>
        <v/>
      </c>
      <c r="J596" s="25">
        <f>IF($C596="","",IFERROR(IF(INDEX(Roster!$I:$I,MATCH($C596,Roster!$B:$B,0))="","",INDEX(Roster!$I:$I,MATCH($C596,Roster!$B:$B,0))&amp;""),"—"))</f>
        <v/>
      </c>
      <c r="K596">
        <f>IF($C596="","",IFERROR(IF(INDEX(Roster!$J:$J,MATCH($C596,Roster!$B:$B,0))="","",INDEX(Roster!$J:$J,MATCH($C596,Roster!$B:$B,0))&amp;""),"—"))</f>
        <v/>
      </c>
      <c r="L596">
        <f>IF($C596="","",IFERROR(IF(INDEX(Roster!$K:$K,MATCH($C596,Roster!$B:$B,0))="","",INDEX(Roster!$K:$K,MATCH($C596,Roster!$B:$B,0))&amp;""),"—"))</f>
        <v/>
      </c>
      <c r="M596" s="27" t="n"/>
      <c r="N596" s="27" t="n"/>
      <c r="O596" s="25">
        <f>IF($C596="","",IF($P596="","—",IF($P596="Valid (Pass)","Valid","Invalid")))</f>
        <v/>
      </c>
      <c r="P596" s="27" t="n"/>
      <c r="Q596" s="27" t="n"/>
      <c r="R596" s="27" t="n"/>
      <c r="S596" s="27" t="n"/>
      <c r="T596" s="25">
        <f>IF($C596="","",IF(OR(ISNUMBER(SEARCH("quick case",$P596)),ISNUMBER(SEARCH("quick case",$Q596))),"Yes","No"))</f>
        <v/>
      </c>
      <c r="U596" s="25">
        <f>IF($O596="Invalid",HYPERLINK("mailto:"&amp;$G596&amp;";"&amp;$I596&amp;"?cc="&amp;Lists!$E$2&amp;"&amp;subject="&amp;_xlfn.ENCODEURL("[INVALID] Quality audit monitoring completed for "&amp;UPPER($C596))&amp;"&amp;body="&amp;_xlfn.ENCODEURL("Hi "&amp;$F596&amp;","&amp;CHAR(10)&amp;"Good day!"&amp;CHAR(10)&amp;CHAR(10)&amp;"A quality monitoring audit has been completed for "&amp;$C596&amp;"."&amp;CHAR(10)&amp;CHAR(10)&amp;"QUALITY AUDIT DETAILS"&amp;CHAR(10)&amp;"Agent Name: "&amp;$C596&amp;" (EID "&amp;$D596&amp;")"&amp;CHAR(10)&amp;"Audit Date: "&amp;TEXT($B596,"yyyy-mm-dd")&amp;CHAR(10)&amp;"Team Leader: "&amp;$F596&amp;CHAR(10)&amp;"Case Number: "&amp;$M596&amp;CHAR(10)&amp;"Transaction ID: "&amp;$N596&amp;CHAR(10)&amp;"Channel / LOB: "&amp;$K596&amp;" / "&amp;$L596&amp;CHAR(10)&amp;"Evaluator: "&amp;$S596&amp;CHAR(10)&amp;CHAR(10)&amp;"INVALID QUALITY AUDIT DETAILS"&amp;CHAR(10)&amp;"Validation: Invalid"&amp;CHAR(10)&amp;"Invalid Reason: "&amp;$P596&amp;CHAR(10)&amp;"Expected Resolution Code: "&amp;$Q596&amp;CHAR(10)&amp;"Remarks: "&amp;LEFT($R596,600)&amp;CHAR(10)&amp;CHAR(10)&amp;"This is an automated notification from HP Mainstream EQMS."),"✉ Open Email Draft"),"")</f>
        <v/>
      </c>
    </row>
    <row r="597">
      <c r="A597" s="25">
        <f>IF($C597="","","AUD-2026-"&amp;TEXT(ROW()-1,"000000"))</f>
        <v/>
      </c>
      <c r="B597" s="26" t="n"/>
      <c r="C597" s="27" t="n"/>
      <c r="D597" s="25">
        <f>IF($C597="","",IFERROR(IF(INDEX(Roster!$A:$A,MATCH($C597,Roster!$B:$B,0))="","",INDEX(Roster!$A:$A,MATCH($C597,Roster!$B:$B,0))&amp;""),"—"))</f>
        <v/>
      </c>
      <c r="E597" s="25">
        <f>IF($C597="","",IFERROR(IF(INDEX(Roster!$C:$C,MATCH($C597,Roster!$B:$B,0))="","",INDEX(Roster!$C:$C,MATCH($C597,Roster!$B:$B,0))&amp;""),"—"))</f>
        <v/>
      </c>
      <c r="F597" s="25">
        <f>IF($C597="","",IFERROR(IF(INDEX(Roster!$D:$D,MATCH($C597,Roster!$B:$B,0))="","",INDEX(Roster!$D:$D,MATCH($C597,Roster!$B:$B,0))&amp;""),"—"))</f>
        <v/>
      </c>
      <c r="G597" s="25">
        <f>IF($C597="","",IFERROR(IF(INDEX(Roster!$E:$E,MATCH($C597,Roster!$B:$B,0))="","",INDEX(Roster!$E:$E,MATCH($C597,Roster!$B:$B,0))&amp;""),"—"))</f>
        <v/>
      </c>
      <c r="H597" s="25">
        <f>IF($C597="","",IFERROR(IF(INDEX(Roster!$F:$F,MATCH($C597,Roster!$B:$B,0))="","",INDEX(Roster!$F:$F,MATCH($C597,Roster!$B:$B,0))&amp;""),"—"))</f>
        <v/>
      </c>
      <c r="I597" s="25">
        <f>IF($C597="","",IFERROR(IF(INDEX(Roster!$G:$G,MATCH($C597,Roster!$B:$B,0))="","",INDEX(Roster!$G:$G,MATCH($C597,Roster!$B:$B,0))&amp;""),"—"))</f>
        <v/>
      </c>
      <c r="J597" s="25">
        <f>IF($C597="","",IFERROR(IF(INDEX(Roster!$I:$I,MATCH($C597,Roster!$B:$B,0))="","",INDEX(Roster!$I:$I,MATCH($C597,Roster!$B:$B,0))&amp;""),"—"))</f>
        <v/>
      </c>
      <c r="K597">
        <f>IF($C597="","",IFERROR(IF(INDEX(Roster!$J:$J,MATCH($C597,Roster!$B:$B,0))="","",INDEX(Roster!$J:$J,MATCH($C597,Roster!$B:$B,0))&amp;""),"—"))</f>
        <v/>
      </c>
      <c r="L597">
        <f>IF($C597="","",IFERROR(IF(INDEX(Roster!$K:$K,MATCH($C597,Roster!$B:$B,0))="","",INDEX(Roster!$K:$K,MATCH($C597,Roster!$B:$B,0))&amp;""),"—"))</f>
        <v/>
      </c>
      <c r="M597" s="27" t="n"/>
      <c r="N597" s="27" t="n"/>
      <c r="O597" s="25">
        <f>IF($C597="","",IF($P597="","—",IF($P597="Valid (Pass)","Valid","Invalid")))</f>
        <v/>
      </c>
      <c r="P597" s="27" t="n"/>
      <c r="Q597" s="27" t="n"/>
      <c r="R597" s="27" t="n"/>
      <c r="S597" s="27" t="n"/>
      <c r="T597" s="25">
        <f>IF($C597="","",IF(OR(ISNUMBER(SEARCH("quick case",$P597)),ISNUMBER(SEARCH("quick case",$Q597))),"Yes","No"))</f>
        <v/>
      </c>
      <c r="U597" s="25">
        <f>IF($O597="Invalid",HYPERLINK("mailto:"&amp;$G597&amp;";"&amp;$I597&amp;"?cc="&amp;Lists!$E$2&amp;"&amp;subject="&amp;_xlfn.ENCODEURL("[INVALID] Quality audit monitoring completed for "&amp;UPPER($C597))&amp;"&amp;body="&amp;_xlfn.ENCODEURL("Hi "&amp;$F597&amp;","&amp;CHAR(10)&amp;"Good day!"&amp;CHAR(10)&amp;CHAR(10)&amp;"A quality monitoring audit has been completed for "&amp;$C597&amp;"."&amp;CHAR(10)&amp;CHAR(10)&amp;"QUALITY AUDIT DETAILS"&amp;CHAR(10)&amp;"Agent Name: "&amp;$C597&amp;" (EID "&amp;$D597&amp;")"&amp;CHAR(10)&amp;"Audit Date: "&amp;TEXT($B597,"yyyy-mm-dd")&amp;CHAR(10)&amp;"Team Leader: "&amp;$F597&amp;CHAR(10)&amp;"Case Number: "&amp;$M597&amp;CHAR(10)&amp;"Transaction ID: "&amp;$N597&amp;CHAR(10)&amp;"Channel / LOB: "&amp;$K597&amp;" / "&amp;$L597&amp;CHAR(10)&amp;"Evaluator: "&amp;$S597&amp;CHAR(10)&amp;CHAR(10)&amp;"INVALID QUALITY AUDIT DETAILS"&amp;CHAR(10)&amp;"Validation: Invalid"&amp;CHAR(10)&amp;"Invalid Reason: "&amp;$P597&amp;CHAR(10)&amp;"Expected Resolution Code: "&amp;$Q597&amp;CHAR(10)&amp;"Remarks: "&amp;LEFT($R597,600)&amp;CHAR(10)&amp;CHAR(10)&amp;"This is an automated notification from HP Mainstream EQMS."),"✉ Open Email Draft"),"")</f>
        <v/>
      </c>
    </row>
    <row r="598">
      <c r="A598" s="25">
        <f>IF($C598="","","AUD-2026-"&amp;TEXT(ROW()-1,"000000"))</f>
        <v/>
      </c>
      <c r="B598" s="26" t="n"/>
      <c r="C598" s="27" t="n"/>
      <c r="D598" s="25">
        <f>IF($C598="","",IFERROR(IF(INDEX(Roster!$A:$A,MATCH($C598,Roster!$B:$B,0))="","",INDEX(Roster!$A:$A,MATCH($C598,Roster!$B:$B,0))&amp;""),"—"))</f>
        <v/>
      </c>
      <c r="E598" s="25">
        <f>IF($C598="","",IFERROR(IF(INDEX(Roster!$C:$C,MATCH($C598,Roster!$B:$B,0))="","",INDEX(Roster!$C:$C,MATCH($C598,Roster!$B:$B,0))&amp;""),"—"))</f>
        <v/>
      </c>
      <c r="F598" s="25">
        <f>IF($C598="","",IFERROR(IF(INDEX(Roster!$D:$D,MATCH($C598,Roster!$B:$B,0))="","",INDEX(Roster!$D:$D,MATCH($C598,Roster!$B:$B,0))&amp;""),"—"))</f>
        <v/>
      </c>
      <c r="G598" s="25">
        <f>IF($C598="","",IFERROR(IF(INDEX(Roster!$E:$E,MATCH($C598,Roster!$B:$B,0))="","",INDEX(Roster!$E:$E,MATCH($C598,Roster!$B:$B,0))&amp;""),"—"))</f>
        <v/>
      </c>
      <c r="H598" s="25">
        <f>IF($C598="","",IFERROR(IF(INDEX(Roster!$F:$F,MATCH($C598,Roster!$B:$B,0))="","",INDEX(Roster!$F:$F,MATCH($C598,Roster!$B:$B,0))&amp;""),"—"))</f>
        <v/>
      </c>
      <c r="I598" s="25">
        <f>IF($C598="","",IFERROR(IF(INDEX(Roster!$G:$G,MATCH($C598,Roster!$B:$B,0))="","",INDEX(Roster!$G:$G,MATCH($C598,Roster!$B:$B,0))&amp;""),"—"))</f>
        <v/>
      </c>
      <c r="J598" s="25">
        <f>IF($C598="","",IFERROR(IF(INDEX(Roster!$I:$I,MATCH($C598,Roster!$B:$B,0))="","",INDEX(Roster!$I:$I,MATCH($C598,Roster!$B:$B,0))&amp;""),"—"))</f>
        <v/>
      </c>
      <c r="K598">
        <f>IF($C598="","",IFERROR(IF(INDEX(Roster!$J:$J,MATCH($C598,Roster!$B:$B,0))="","",INDEX(Roster!$J:$J,MATCH($C598,Roster!$B:$B,0))&amp;""),"—"))</f>
        <v/>
      </c>
      <c r="L598">
        <f>IF($C598="","",IFERROR(IF(INDEX(Roster!$K:$K,MATCH($C598,Roster!$B:$B,0))="","",INDEX(Roster!$K:$K,MATCH($C598,Roster!$B:$B,0))&amp;""),"—"))</f>
        <v/>
      </c>
      <c r="M598" s="27" t="n"/>
      <c r="N598" s="27" t="n"/>
      <c r="O598" s="25">
        <f>IF($C598="","",IF($P598="","—",IF($P598="Valid (Pass)","Valid","Invalid")))</f>
        <v/>
      </c>
      <c r="P598" s="27" t="n"/>
      <c r="Q598" s="27" t="n"/>
      <c r="R598" s="27" t="n"/>
      <c r="S598" s="27" t="n"/>
      <c r="T598" s="25">
        <f>IF($C598="","",IF(OR(ISNUMBER(SEARCH("quick case",$P598)),ISNUMBER(SEARCH("quick case",$Q598))),"Yes","No"))</f>
        <v/>
      </c>
      <c r="U598" s="25">
        <f>IF($O598="Invalid",HYPERLINK("mailto:"&amp;$G598&amp;";"&amp;$I598&amp;"?cc="&amp;Lists!$E$2&amp;"&amp;subject="&amp;_xlfn.ENCODEURL("[INVALID] Quality audit monitoring completed for "&amp;UPPER($C598))&amp;"&amp;body="&amp;_xlfn.ENCODEURL("Hi "&amp;$F598&amp;","&amp;CHAR(10)&amp;"Good day!"&amp;CHAR(10)&amp;CHAR(10)&amp;"A quality monitoring audit has been completed for "&amp;$C598&amp;"."&amp;CHAR(10)&amp;CHAR(10)&amp;"QUALITY AUDIT DETAILS"&amp;CHAR(10)&amp;"Agent Name: "&amp;$C598&amp;" (EID "&amp;$D598&amp;")"&amp;CHAR(10)&amp;"Audit Date: "&amp;TEXT($B598,"yyyy-mm-dd")&amp;CHAR(10)&amp;"Team Leader: "&amp;$F598&amp;CHAR(10)&amp;"Case Number: "&amp;$M598&amp;CHAR(10)&amp;"Transaction ID: "&amp;$N598&amp;CHAR(10)&amp;"Channel / LOB: "&amp;$K598&amp;" / "&amp;$L598&amp;CHAR(10)&amp;"Evaluator: "&amp;$S598&amp;CHAR(10)&amp;CHAR(10)&amp;"INVALID QUALITY AUDIT DETAILS"&amp;CHAR(10)&amp;"Validation: Invalid"&amp;CHAR(10)&amp;"Invalid Reason: "&amp;$P598&amp;CHAR(10)&amp;"Expected Resolution Code: "&amp;$Q598&amp;CHAR(10)&amp;"Remarks: "&amp;LEFT($R598,600)&amp;CHAR(10)&amp;CHAR(10)&amp;"This is an automated notification from HP Mainstream EQMS."),"✉ Open Email Draft"),"")</f>
        <v/>
      </c>
    </row>
    <row r="599">
      <c r="A599" s="25">
        <f>IF($C599="","","AUD-2026-"&amp;TEXT(ROW()-1,"000000"))</f>
        <v/>
      </c>
      <c r="B599" s="26" t="n"/>
      <c r="C599" s="27" t="n"/>
      <c r="D599" s="25">
        <f>IF($C599="","",IFERROR(IF(INDEX(Roster!$A:$A,MATCH($C599,Roster!$B:$B,0))="","",INDEX(Roster!$A:$A,MATCH($C599,Roster!$B:$B,0))&amp;""),"—"))</f>
        <v/>
      </c>
      <c r="E599" s="25">
        <f>IF($C599="","",IFERROR(IF(INDEX(Roster!$C:$C,MATCH($C599,Roster!$B:$B,0))="","",INDEX(Roster!$C:$C,MATCH($C599,Roster!$B:$B,0))&amp;""),"—"))</f>
        <v/>
      </c>
      <c r="F599" s="25">
        <f>IF($C599="","",IFERROR(IF(INDEX(Roster!$D:$D,MATCH($C599,Roster!$B:$B,0))="","",INDEX(Roster!$D:$D,MATCH($C599,Roster!$B:$B,0))&amp;""),"—"))</f>
        <v/>
      </c>
      <c r="G599" s="25">
        <f>IF($C599="","",IFERROR(IF(INDEX(Roster!$E:$E,MATCH($C599,Roster!$B:$B,0))="","",INDEX(Roster!$E:$E,MATCH($C599,Roster!$B:$B,0))&amp;""),"—"))</f>
        <v/>
      </c>
      <c r="H599" s="25">
        <f>IF($C599="","",IFERROR(IF(INDEX(Roster!$F:$F,MATCH($C599,Roster!$B:$B,0))="","",INDEX(Roster!$F:$F,MATCH($C599,Roster!$B:$B,0))&amp;""),"—"))</f>
        <v/>
      </c>
      <c r="I599" s="25">
        <f>IF($C599="","",IFERROR(IF(INDEX(Roster!$G:$G,MATCH($C599,Roster!$B:$B,0))="","",INDEX(Roster!$G:$G,MATCH($C599,Roster!$B:$B,0))&amp;""),"—"))</f>
        <v/>
      </c>
      <c r="J599" s="25">
        <f>IF($C599="","",IFERROR(IF(INDEX(Roster!$I:$I,MATCH($C599,Roster!$B:$B,0))="","",INDEX(Roster!$I:$I,MATCH($C599,Roster!$B:$B,0))&amp;""),"—"))</f>
        <v/>
      </c>
      <c r="K599">
        <f>IF($C599="","",IFERROR(IF(INDEX(Roster!$J:$J,MATCH($C599,Roster!$B:$B,0))="","",INDEX(Roster!$J:$J,MATCH($C599,Roster!$B:$B,0))&amp;""),"—"))</f>
        <v/>
      </c>
      <c r="L599">
        <f>IF($C599="","",IFERROR(IF(INDEX(Roster!$K:$K,MATCH($C599,Roster!$B:$B,0))="","",INDEX(Roster!$K:$K,MATCH($C599,Roster!$B:$B,0))&amp;""),"—"))</f>
        <v/>
      </c>
      <c r="M599" s="27" t="n"/>
      <c r="N599" s="27" t="n"/>
      <c r="O599" s="25">
        <f>IF($C599="","",IF($P599="","—",IF($P599="Valid (Pass)","Valid","Invalid")))</f>
        <v/>
      </c>
      <c r="P599" s="27" t="n"/>
      <c r="Q599" s="27" t="n"/>
      <c r="R599" s="27" t="n"/>
      <c r="S599" s="27" t="n"/>
      <c r="T599" s="25">
        <f>IF($C599="","",IF(OR(ISNUMBER(SEARCH("quick case",$P599)),ISNUMBER(SEARCH("quick case",$Q599))),"Yes","No"))</f>
        <v/>
      </c>
      <c r="U599" s="25">
        <f>IF($O599="Invalid",HYPERLINK("mailto:"&amp;$G599&amp;";"&amp;$I599&amp;"?cc="&amp;Lists!$E$2&amp;"&amp;subject="&amp;_xlfn.ENCODEURL("[INVALID] Quality audit monitoring completed for "&amp;UPPER($C599))&amp;"&amp;body="&amp;_xlfn.ENCODEURL("Hi "&amp;$F599&amp;","&amp;CHAR(10)&amp;"Good day!"&amp;CHAR(10)&amp;CHAR(10)&amp;"A quality monitoring audit has been completed for "&amp;$C599&amp;"."&amp;CHAR(10)&amp;CHAR(10)&amp;"QUALITY AUDIT DETAILS"&amp;CHAR(10)&amp;"Agent Name: "&amp;$C599&amp;" (EID "&amp;$D599&amp;")"&amp;CHAR(10)&amp;"Audit Date: "&amp;TEXT($B599,"yyyy-mm-dd")&amp;CHAR(10)&amp;"Team Leader: "&amp;$F599&amp;CHAR(10)&amp;"Case Number: "&amp;$M599&amp;CHAR(10)&amp;"Transaction ID: "&amp;$N599&amp;CHAR(10)&amp;"Channel / LOB: "&amp;$K599&amp;" / "&amp;$L599&amp;CHAR(10)&amp;"Evaluator: "&amp;$S599&amp;CHAR(10)&amp;CHAR(10)&amp;"INVALID QUALITY AUDIT DETAILS"&amp;CHAR(10)&amp;"Validation: Invalid"&amp;CHAR(10)&amp;"Invalid Reason: "&amp;$P599&amp;CHAR(10)&amp;"Expected Resolution Code: "&amp;$Q599&amp;CHAR(10)&amp;"Remarks: "&amp;LEFT($R599,600)&amp;CHAR(10)&amp;CHAR(10)&amp;"This is an automated notification from HP Mainstream EQMS."),"✉ Open Email Draft"),"")</f>
        <v/>
      </c>
    </row>
    <row r="600">
      <c r="A600" s="25">
        <f>IF($C600="","","AUD-2026-"&amp;TEXT(ROW()-1,"000000"))</f>
        <v/>
      </c>
      <c r="B600" s="26" t="n"/>
      <c r="C600" s="27" t="n"/>
      <c r="D600" s="25">
        <f>IF($C600="","",IFERROR(IF(INDEX(Roster!$A:$A,MATCH($C600,Roster!$B:$B,0))="","",INDEX(Roster!$A:$A,MATCH($C600,Roster!$B:$B,0))&amp;""),"—"))</f>
        <v/>
      </c>
      <c r="E600" s="25">
        <f>IF($C600="","",IFERROR(IF(INDEX(Roster!$C:$C,MATCH($C600,Roster!$B:$B,0))="","",INDEX(Roster!$C:$C,MATCH($C600,Roster!$B:$B,0))&amp;""),"—"))</f>
        <v/>
      </c>
      <c r="F600" s="25">
        <f>IF($C600="","",IFERROR(IF(INDEX(Roster!$D:$D,MATCH($C600,Roster!$B:$B,0))="","",INDEX(Roster!$D:$D,MATCH($C600,Roster!$B:$B,0))&amp;""),"—"))</f>
        <v/>
      </c>
      <c r="G600" s="25">
        <f>IF($C600="","",IFERROR(IF(INDEX(Roster!$E:$E,MATCH($C600,Roster!$B:$B,0))="","",INDEX(Roster!$E:$E,MATCH($C600,Roster!$B:$B,0))&amp;""),"—"))</f>
        <v/>
      </c>
      <c r="H600" s="25">
        <f>IF($C600="","",IFERROR(IF(INDEX(Roster!$F:$F,MATCH($C600,Roster!$B:$B,0))="","",INDEX(Roster!$F:$F,MATCH($C600,Roster!$B:$B,0))&amp;""),"—"))</f>
        <v/>
      </c>
      <c r="I600" s="25">
        <f>IF($C600="","",IFERROR(IF(INDEX(Roster!$G:$G,MATCH($C600,Roster!$B:$B,0))="","",INDEX(Roster!$G:$G,MATCH($C600,Roster!$B:$B,0))&amp;""),"—"))</f>
        <v/>
      </c>
      <c r="J600" s="25">
        <f>IF($C600="","",IFERROR(IF(INDEX(Roster!$I:$I,MATCH($C600,Roster!$B:$B,0))="","",INDEX(Roster!$I:$I,MATCH($C600,Roster!$B:$B,0))&amp;""),"—"))</f>
        <v/>
      </c>
      <c r="K600">
        <f>IF($C600="","",IFERROR(IF(INDEX(Roster!$J:$J,MATCH($C600,Roster!$B:$B,0))="","",INDEX(Roster!$J:$J,MATCH($C600,Roster!$B:$B,0))&amp;""),"—"))</f>
        <v/>
      </c>
      <c r="L600">
        <f>IF($C600="","",IFERROR(IF(INDEX(Roster!$K:$K,MATCH($C600,Roster!$B:$B,0))="","",INDEX(Roster!$K:$K,MATCH($C600,Roster!$B:$B,0))&amp;""),"—"))</f>
        <v/>
      </c>
      <c r="M600" s="27" t="n"/>
      <c r="N600" s="27" t="n"/>
      <c r="O600" s="25">
        <f>IF($C600="","",IF($P600="","—",IF($P600="Valid (Pass)","Valid","Invalid")))</f>
        <v/>
      </c>
      <c r="P600" s="27" t="n"/>
      <c r="Q600" s="27" t="n"/>
      <c r="R600" s="27" t="n"/>
      <c r="S600" s="27" t="n"/>
      <c r="T600" s="25">
        <f>IF($C600="","",IF(OR(ISNUMBER(SEARCH("quick case",$P600)),ISNUMBER(SEARCH("quick case",$Q600))),"Yes","No"))</f>
        <v/>
      </c>
      <c r="U600" s="25">
        <f>IF($O600="Invalid",HYPERLINK("mailto:"&amp;$G600&amp;";"&amp;$I600&amp;"?cc="&amp;Lists!$E$2&amp;"&amp;subject="&amp;_xlfn.ENCODEURL("[INVALID] Quality audit monitoring completed for "&amp;UPPER($C600))&amp;"&amp;body="&amp;_xlfn.ENCODEURL("Hi "&amp;$F600&amp;","&amp;CHAR(10)&amp;"Good day!"&amp;CHAR(10)&amp;CHAR(10)&amp;"A quality monitoring audit has been completed for "&amp;$C600&amp;"."&amp;CHAR(10)&amp;CHAR(10)&amp;"QUALITY AUDIT DETAILS"&amp;CHAR(10)&amp;"Agent Name: "&amp;$C600&amp;" (EID "&amp;$D600&amp;")"&amp;CHAR(10)&amp;"Audit Date: "&amp;TEXT($B600,"yyyy-mm-dd")&amp;CHAR(10)&amp;"Team Leader: "&amp;$F600&amp;CHAR(10)&amp;"Case Number: "&amp;$M600&amp;CHAR(10)&amp;"Transaction ID: "&amp;$N600&amp;CHAR(10)&amp;"Channel / LOB: "&amp;$K600&amp;" / "&amp;$L600&amp;CHAR(10)&amp;"Evaluator: "&amp;$S600&amp;CHAR(10)&amp;CHAR(10)&amp;"INVALID QUALITY AUDIT DETAILS"&amp;CHAR(10)&amp;"Validation: Invalid"&amp;CHAR(10)&amp;"Invalid Reason: "&amp;$P600&amp;CHAR(10)&amp;"Expected Resolution Code: "&amp;$Q600&amp;CHAR(10)&amp;"Remarks: "&amp;LEFT($R600,600)&amp;CHAR(10)&amp;CHAR(10)&amp;"This is an automated notification from HP Mainstream EQMS."),"✉ Open Email Draft"),"")</f>
        <v/>
      </c>
    </row>
    <row r="601">
      <c r="A601" s="25">
        <f>IF($C601="","","AUD-2026-"&amp;TEXT(ROW()-1,"000000"))</f>
        <v/>
      </c>
      <c r="B601" s="26" t="n"/>
      <c r="C601" s="27" t="n"/>
      <c r="D601" s="25">
        <f>IF($C601="","",IFERROR(IF(INDEX(Roster!$A:$A,MATCH($C601,Roster!$B:$B,0))="","",INDEX(Roster!$A:$A,MATCH($C601,Roster!$B:$B,0))&amp;""),"—"))</f>
        <v/>
      </c>
      <c r="E601" s="25">
        <f>IF($C601="","",IFERROR(IF(INDEX(Roster!$C:$C,MATCH($C601,Roster!$B:$B,0))="","",INDEX(Roster!$C:$C,MATCH($C601,Roster!$B:$B,0))&amp;""),"—"))</f>
        <v/>
      </c>
      <c r="F601" s="25">
        <f>IF($C601="","",IFERROR(IF(INDEX(Roster!$D:$D,MATCH($C601,Roster!$B:$B,0))="","",INDEX(Roster!$D:$D,MATCH($C601,Roster!$B:$B,0))&amp;""),"—"))</f>
        <v/>
      </c>
      <c r="G601" s="25">
        <f>IF($C601="","",IFERROR(IF(INDEX(Roster!$E:$E,MATCH($C601,Roster!$B:$B,0))="","",INDEX(Roster!$E:$E,MATCH($C601,Roster!$B:$B,0))&amp;""),"—"))</f>
        <v/>
      </c>
      <c r="H601" s="25">
        <f>IF($C601="","",IFERROR(IF(INDEX(Roster!$F:$F,MATCH($C601,Roster!$B:$B,0))="","",INDEX(Roster!$F:$F,MATCH($C601,Roster!$B:$B,0))&amp;""),"—"))</f>
        <v/>
      </c>
      <c r="I601" s="25">
        <f>IF($C601="","",IFERROR(IF(INDEX(Roster!$G:$G,MATCH($C601,Roster!$B:$B,0))="","",INDEX(Roster!$G:$G,MATCH($C601,Roster!$B:$B,0))&amp;""),"—"))</f>
        <v/>
      </c>
      <c r="J601" s="25">
        <f>IF($C601="","",IFERROR(IF(INDEX(Roster!$I:$I,MATCH($C601,Roster!$B:$B,0))="","",INDEX(Roster!$I:$I,MATCH($C601,Roster!$B:$B,0))&amp;""),"—"))</f>
        <v/>
      </c>
      <c r="K601">
        <f>IF($C601="","",IFERROR(IF(INDEX(Roster!$J:$J,MATCH($C601,Roster!$B:$B,0))="","",INDEX(Roster!$J:$J,MATCH($C601,Roster!$B:$B,0))&amp;""),"—"))</f>
        <v/>
      </c>
      <c r="L601">
        <f>IF($C601="","",IFERROR(IF(INDEX(Roster!$K:$K,MATCH($C601,Roster!$B:$B,0))="","",INDEX(Roster!$K:$K,MATCH($C601,Roster!$B:$B,0))&amp;""),"—"))</f>
        <v/>
      </c>
      <c r="M601" s="27" t="n"/>
      <c r="N601" s="27" t="n"/>
      <c r="O601" s="25">
        <f>IF($C601="","",IF($P601="","—",IF($P601="Valid (Pass)","Valid","Invalid")))</f>
        <v/>
      </c>
      <c r="P601" s="27" t="n"/>
      <c r="Q601" s="27" t="n"/>
      <c r="R601" s="27" t="n"/>
      <c r="S601" s="27" t="n"/>
      <c r="T601" s="25">
        <f>IF($C601="","",IF(OR(ISNUMBER(SEARCH("quick case",$P601)),ISNUMBER(SEARCH("quick case",$Q601))),"Yes","No"))</f>
        <v/>
      </c>
      <c r="U601" s="25">
        <f>IF($O601="Invalid",HYPERLINK("mailto:"&amp;$G601&amp;";"&amp;$I601&amp;"?cc="&amp;Lists!$E$2&amp;"&amp;subject="&amp;_xlfn.ENCODEURL("[INVALID] Quality audit monitoring completed for "&amp;UPPER($C601))&amp;"&amp;body="&amp;_xlfn.ENCODEURL("Hi "&amp;$F601&amp;","&amp;CHAR(10)&amp;"Good day!"&amp;CHAR(10)&amp;CHAR(10)&amp;"A quality monitoring audit has been completed for "&amp;$C601&amp;"."&amp;CHAR(10)&amp;CHAR(10)&amp;"QUALITY AUDIT DETAILS"&amp;CHAR(10)&amp;"Agent Name: "&amp;$C601&amp;" (EID "&amp;$D601&amp;")"&amp;CHAR(10)&amp;"Audit Date: "&amp;TEXT($B601,"yyyy-mm-dd")&amp;CHAR(10)&amp;"Team Leader: "&amp;$F601&amp;CHAR(10)&amp;"Case Number: "&amp;$M601&amp;CHAR(10)&amp;"Transaction ID: "&amp;$N601&amp;CHAR(10)&amp;"Channel / LOB: "&amp;$K601&amp;" / "&amp;$L601&amp;CHAR(10)&amp;"Evaluator: "&amp;$S601&amp;CHAR(10)&amp;CHAR(10)&amp;"INVALID QUALITY AUDIT DETAILS"&amp;CHAR(10)&amp;"Validation: Invalid"&amp;CHAR(10)&amp;"Invalid Reason: "&amp;$P601&amp;CHAR(10)&amp;"Expected Resolution Code: "&amp;$Q601&amp;CHAR(10)&amp;"Remarks: "&amp;LEFT($R601,600)&amp;CHAR(10)&amp;CHAR(10)&amp;"This is an automated notification from HP Mainstream EQMS."),"✉ Open Email Draft"),"")</f>
        <v/>
      </c>
    </row>
    <row r="602">
      <c r="A602" s="25">
        <f>IF($C602="","","AUD-2026-"&amp;TEXT(ROW()-1,"000000"))</f>
        <v/>
      </c>
      <c r="B602" s="26" t="n"/>
      <c r="C602" s="27" t="n"/>
      <c r="D602" s="25">
        <f>IF($C602="","",IFERROR(IF(INDEX(Roster!$A:$A,MATCH($C602,Roster!$B:$B,0))="","",INDEX(Roster!$A:$A,MATCH($C602,Roster!$B:$B,0))&amp;""),"—"))</f>
        <v/>
      </c>
      <c r="E602" s="25">
        <f>IF($C602="","",IFERROR(IF(INDEX(Roster!$C:$C,MATCH($C602,Roster!$B:$B,0))="","",INDEX(Roster!$C:$C,MATCH($C602,Roster!$B:$B,0))&amp;""),"—"))</f>
        <v/>
      </c>
      <c r="F602" s="25">
        <f>IF($C602="","",IFERROR(IF(INDEX(Roster!$D:$D,MATCH($C602,Roster!$B:$B,0))="","",INDEX(Roster!$D:$D,MATCH($C602,Roster!$B:$B,0))&amp;""),"—"))</f>
        <v/>
      </c>
      <c r="G602" s="25">
        <f>IF($C602="","",IFERROR(IF(INDEX(Roster!$E:$E,MATCH($C602,Roster!$B:$B,0))="","",INDEX(Roster!$E:$E,MATCH($C602,Roster!$B:$B,0))&amp;""),"—"))</f>
        <v/>
      </c>
      <c r="H602" s="25">
        <f>IF($C602="","",IFERROR(IF(INDEX(Roster!$F:$F,MATCH($C602,Roster!$B:$B,0))="","",INDEX(Roster!$F:$F,MATCH($C602,Roster!$B:$B,0))&amp;""),"—"))</f>
        <v/>
      </c>
      <c r="I602" s="25">
        <f>IF($C602="","",IFERROR(IF(INDEX(Roster!$G:$G,MATCH($C602,Roster!$B:$B,0))="","",INDEX(Roster!$G:$G,MATCH($C602,Roster!$B:$B,0))&amp;""),"—"))</f>
        <v/>
      </c>
      <c r="J602" s="25">
        <f>IF($C602="","",IFERROR(IF(INDEX(Roster!$I:$I,MATCH($C602,Roster!$B:$B,0))="","",INDEX(Roster!$I:$I,MATCH($C602,Roster!$B:$B,0))&amp;""),"—"))</f>
        <v/>
      </c>
      <c r="K602">
        <f>IF($C602="","",IFERROR(IF(INDEX(Roster!$J:$J,MATCH($C602,Roster!$B:$B,0))="","",INDEX(Roster!$J:$J,MATCH($C602,Roster!$B:$B,0))&amp;""),"—"))</f>
        <v/>
      </c>
      <c r="L602">
        <f>IF($C602="","",IFERROR(IF(INDEX(Roster!$K:$K,MATCH($C602,Roster!$B:$B,0))="","",INDEX(Roster!$K:$K,MATCH($C602,Roster!$B:$B,0))&amp;""),"—"))</f>
        <v/>
      </c>
      <c r="M602" s="27" t="n"/>
      <c r="N602" s="27" t="n"/>
      <c r="O602" s="25">
        <f>IF($C602="","",IF($P602="","—",IF($P602="Valid (Pass)","Valid","Invalid")))</f>
        <v/>
      </c>
      <c r="P602" s="27" t="n"/>
      <c r="Q602" s="27" t="n"/>
      <c r="R602" s="27" t="n"/>
      <c r="S602" s="27" t="n"/>
      <c r="T602" s="25">
        <f>IF($C602="","",IF(OR(ISNUMBER(SEARCH("quick case",$P602)),ISNUMBER(SEARCH("quick case",$Q602))),"Yes","No"))</f>
        <v/>
      </c>
      <c r="U602" s="25">
        <f>IF($O602="Invalid",HYPERLINK("mailto:"&amp;$G602&amp;";"&amp;$I602&amp;"?cc="&amp;Lists!$E$2&amp;"&amp;subject="&amp;_xlfn.ENCODEURL("[INVALID] Quality audit monitoring completed for "&amp;UPPER($C602))&amp;"&amp;body="&amp;_xlfn.ENCODEURL("Hi "&amp;$F602&amp;","&amp;CHAR(10)&amp;"Good day!"&amp;CHAR(10)&amp;CHAR(10)&amp;"A quality monitoring audit has been completed for "&amp;$C602&amp;"."&amp;CHAR(10)&amp;CHAR(10)&amp;"QUALITY AUDIT DETAILS"&amp;CHAR(10)&amp;"Agent Name: "&amp;$C602&amp;" (EID "&amp;$D602&amp;")"&amp;CHAR(10)&amp;"Audit Date: "&amp;TEXT($B602,"yyyy-mm-dd")&amp;CHAR(10)&amp;"Team Leader: "&amp;$F602&amp;CHAR(10)&amp;"Case Number: "&amp;$M602&amp;CHAR(10)&amp;"Transaction ID: "&amp;$N602&amp;CHAR(10)&amp;"Channel / LOB: "&amp;$K602&amp;" / "&amp;$L602&amp;CHAR(10)&amp;"Evaluator: "&amp;$S602&amp;CHAR(10)&amp;CHAR(10)&amp;"INVALID QUALITY AUDIT DETAILS"&amp;CHAR(10)&amp;"Validation: Invalid"&amp;CHAR(10)&amp;"Invalid Reason: "&amp;$P602&amp;CHAR(10)&amp;"Expected Resolution Code: "&amp;$Q602&amp;CHAR(10)&amp;"Remarks: "&amp;LEFT($R602,600)&amp;CHAR(10)&amp;CHAR(10)&amp;"This is an automated notification from HP Mainstream EQMS."),"✉ Open Email Draft"),"")</f>
        <v/>
      </c>
    </row>
    <row r="603">
      <c r="A603" s="25">
        <f>IF($C603="","","AUD-2026-"&amp;TEXT(ROW()-1,"000000"))</f>
        <v/>
      </c>
      <c r="B603" s="26" t="n"/>
      <c r="C603" s="27" t="n"/>
      <c r="D603" s="25">
        <f>IF($C603="","",IFERROR(IF(INDEX(Roster!$A:$A,MATCH($C603,Roster!$B:$B,0))="","",INDEX(Roster!$A:$A,MATCH($C603,Roster!$B:$B,0))&amp;""),"—"))</f>
        <v/>
      </c>
      <c r="E603" s="25">
        <f>IF($C603="","",IFERROR(IF(INDEX(Roster!$C:$C,MATCH($C603,Roster!$B:$B,0))="","",INDEX(Roster!$C:$C,MATCH($C603,Roster!$B:$B,0))&amp;""),"—"))</f>
        <v/>
      </c>
      <c r="F603" s="25">
        <f>IF($C603="","",IFERROR(IF(INDEX(Roster!$D:$D,MATCH($C603,Roster!$B:$B,0))="","",INDEX(Roster!$D:$D,MATCH($C603,Roster!$B:$B,0))&amp;""),"—"))</f>
        <v/>
      </c>
      <c r="G603" s="25">
        <f>IF($C603="","",IFERROR(IF(INDEX(Roster!$E:$E,MATCH($C603,Roster!$B:$B,0))="","",INDEX(Roster!$E:$E,MATCH($C603,Roster!$B:$B,0))&amp;""),"—"))</f>
        <v/>
      </c>
      <c r="H603" s="25">
        <f>IF($C603="","",IFERROR(IF(INDEX(Roster!$F:$F,MATCH($C603,Roster!$B:$B,0))="","",INDEX(Roster!$F:$F,MATCH($C603,Roster!$B:$B,0))&amp;""),"—"))</f>
        <v/>
      </c>
      <c r="I603" s="25">
        <f>IF($C603="","",IFERROR(IF(INDEX(Roster!$G:$G,MATCH($C603,Roster!$B:$B,0))="","",INDEX(Roster!$G:$G,MATCH($C603,Roster!$B:$B,0))&amp;""),"—"))</f>
        <v/>
      </c>
      <c r="J603" s="25">
        <f>IF($C603="","",IFERROR(IF(INDEX(Roster!$I:$I,MATCH($C603,Roster!$B:$B,0))="","",INDEX(Roster!$I:$I,MATCH($C603,Roster!$B:$B,0))&amp;""),"—"))</f>
        <v/>
      </c>
      <c r="K603">
        <f>IF($C603="","",IFERROR(IF(INDEX(Roster!$J:$J,MATCH($C603,Roster!$B:$B,0))="","",INDEX(Roster!$J:$J,MATCH($C603,Roster!$B:$B,0))&amp;""),"—"))</f>
        <v/>
      </c>
      <c r="L603">
        <f>IF($C603="","",IFERROR(IF(INDEX(Roster!$K:$K,MATCH($C603,Roster!$B:$B,0))="","",INDEX(Roster!$K:$K,MATCH($C603,Roster!$B:$B,0))&amp;""),"—"))</f>
        <v/>
      </c>
      <c r="M603" s="27" t="n"/>
      <c r="N603" s="27" t="n"/>
      <c r="O603" s="25">
        <f>IF($C603="","",IF($P603="","—",IF($P603="Valid (Pass)","Valid","Invalid")))</f>
        <v/>
      </c>
      <c r="P603" s="27" t="n"/>
      <c r="Q603" s="27" t="n"/>
      <c r="R603" s="27" t="n"/>
      <c r="S603" s="27" t="n"/>
      <c r="T603" s="25">
        <f>IF($C603="","",IF(OR(ISNUMBER(SEARCH("quick case",$P603)),ISNUMBER(SEARCH("quick case",$Q603))),"Yes","No"))</f>
        <v/>
      </c>
      <c r="U603" s="25">
        <f>IF($O603="Invalid",HYPERLINK("mailto:"&amp;$G603&amp;";"&amp;$I603&amp;"?cc="&amp;Lists!$E$2&amp;"&amp;subject="&amp;_xlfn.ENCODEURL("[INVALID] Quality audit monitoring completed for "&amp;UPPER($C603))&amp;"&amp;body="&amp;_xlfn.ENCODEURL("Hi "&amp;$F603&amp;","&amp;CHAR(10)&amp;"Good day!"&amp;CHAR(10)&amp;CHAR(10)&amp;"A quality monitoring audit has been completed for "&amp;$C603&amp;"."&amp;CHAR(10)&amp;CHAR(10)&amp;"QUALITY AUDIT DETAILS"&amp;CHAR(10)&amp;"Agent Name: "&amp;$C603&amp;" (EID "&amp;$D603&amp;")"&amp;CHAR(10)&amp;"Audit Date: "&amp;TEXT($B603,"yyyy-mm-dd")&amp;CHAR(10)&amp;"Team Leader: "&amp;$F603&amp;CHAR(10)&amp;"Case Number: "&amp;$M603&amp;CHAR(10)&amp;"Transaction ID: "&amp;$N603&amp;CHAR(10)&amp;"Channel / LOB: "&amp;$K603&amp;" / "&amp;$L603&amp;CHAR(10)&amp;"Evaluator: "&amp;$S603&amp;CHAR(10)&amp;CHAR(10)&amp;"INVALID QUALITY AUDIT DETAILS"&amp;CHAR(10)&amp;"Validation: Invalid"&amp;CHAR(10)&amp;"Invalid Reason: "&amp;$P603&amp;CHAR(10)&amp;"Expected Resolution Code: "&amp;$Q603&amp;CHAR(10)&amp;"Remarks: "&amp;LEFT($R603,600)&amp;CHAR(10)&amp;CHAR(10)&amp;"This is an automated notification from HP Mainstream EQMS."),"✉ Open Email Draft"),"")</f>
        <v/>
      </c>
    </row>
    <row r="604">
      <c r="A604" s="25">
        <f>IF($C604="","","AUD-2026-"&amp;TEXT(ROW()-1,"000000"))</f>
        <v/>
      </c>
      <c r="B604" s="26" t="n"/>
      <c r="C604" s="27" t="n"/>
      <c r="D604" s="25">
        <f>IF($C604="","",IFERROR(IF(INDEX(Roster!$A:$A,MATCH($C604,Roster!$B:$B,0))="","",INDEX(Roster!$A:$A,MATCH($C604,Roster!$B:$B,0))&amp;""),"—"))</f>
        <v/>
      </c>
      <c r="E604" s="25">
        <f>IF($C604="","",IFERROR(IF(INDEX(Roster!$C:$C,MATCH($C604,Roster!$B:$B,0))="","",INDEX(Roster!$C:$C,MATCH($C604,Roster!$B:$B,0))&amp;""),"—"))</f>
        <v/>
      </c>
      <c r="F604" s="25">
        <f>IF($C604="","",IFERROR(IF(INDEX(Roster!$D:$D,MATCH($C604,Roster!$B:$B,0))="","",INDEX(Roster!$D:$D,MATCH($C604,Roster!$B:$B,0))&amp;""),"—"))</f>
        <v/>
      </c>
      <c r="G604" s="25">
        <f>IF($C604="","",IFERROR(IF(INDEX(Roster!$E:$E,MATCH($C604,Roster!$B:$B,0))="","",INDEX(Roster!$E:$E,MATCH($C604,Roster!$B:$B,0))&amp;""),"—"))</f>
        <v/>
      </c>
      <c r="H604" s="25">
        <f>IF($C604="","",IFERROR(IF(INDEX(Roster!$F:$F,MATCH($C604,Roster!$B:$B,0))="","",INDEX(Roster!$F:$F,MATCH($C604,Roster!$B:$B,0))&amp;""),"—"))</f>
        <v/>
      </c>
      <c r="I604" s="25">
        <f>IF($C604="","",IFERROR(IF(INDEX(Roster!$G:$G,MATCH($C604,Roster!$B:$B,0))="","",INDEX(Roster!$G:$G,MATCH($C604,Roster!$B:$B,0))&amp;""),"—"))</f>
        <v/>
      </c>
      <c r="J604" s="25">
        <f>IF($C604="","",IFERROR(IF(INDEX(Roster!$I:$I,MATCH($C604,Roster!$B:$B,0))="","",INDEX(Roster!$I:$I,MATCH($C604,Roster!$B:$B,0))&amp;""),"—"))</f>
        <v/>
      </c>
      <c r="K604">
        <f>IF($C604="","",IFERROR(IF(INDEX(Roster!$J:$J,MATCH($C604,Roster!$B:$B,0))="","",INDEX(Roster!$J:$J,MATCH($C604,Roster!$B:$B,0))&amp;""),"—"))</f>
        <v/>
      </c>
      <c r="L604">
        <f>IF($C604="","",IFERROR(IF(INDEX(Roster!$K:$K,MATCH($C604,Roster!$B:$B,0))="","",INDEX(Roster!$K:$K,MATCH($C604,Roster!$B:$B,0))&amp;""),"—"))</f>
        <v/>
      </c>
      <c r="M604" s="27" t="n"/>
      <c r="N604" s="27" t="n"/>
      <c r="O604" s="25">
        <f>IF($C604="","",IF($P604="","—",IF($P604="Valid (Pass)","Valid","Invalid")))</f>
        <v/>
      </c>
      <c r="P604" s="27" t="n"/>
      <c r="Q604" s="27" t="n"/>
      <c r="R604" s="27" t="n"/>
      <c r="S604" s="27" t="n"/>
      <c r="T604" s="25">
        <f>IF($C604="","",IF(OR(ISNUMBER(SEARCH("quick case",$P604)),ISNUMBER(SEARCH("quick case",$Q604))),"Yes","No"))</f>
        <v/>
      </c>
      <c r="U604" s="25">
        <f>IF($O604="Invalid",HYPERLINK("mailto:"&amp;$G604&amp;";"&amp;$I604&amp;"?cc="&amp;Lists!$E$2&amp;"&amp;subject="&amp;_xlfn.ENCODEURL("[INVALID] Quality audit monitoring completed for "&amp;UPPER($C604))&amp;"&amp;body="&amp;_xlfn.ENCODEURL("Hi "&amp;$F604&amp;","&amp;CHAR(10)&amp;"Good day!"&amp;CHAR(10)&amp;CHAR(10)&amp;"A quality monitoring audit has been completed for "&amp;$C604&amp;"."&amp;CHAR(10)&amp;CHAR(10)&amp;"QUALITY AUDIT DETAILS"&amp;CHAR(10)&amp;"Agent Name: "&amp;$C604&amp;" (EID "&amp;$D604&amp;")"&amp;CHAR(10)&amp;"Audit Date: "&amp;TEXT($B604,"yyyy-mm-dd")&amp;CHAR(10)&amp;"Team Leader: "&amp;$F604&amp;CHAR(10)&amp;"Case Number: "&amp;$M604&amp;CHAR(10)&amp;"Transaction ID: "&amp;$N604&amp;CHAR(10)&amp;"Channel / LOB: "&amp;$K604&amp;" / "&amp;$L604&amp;CHAR(10)&amp;"Evaluator: "&amp;$S604&amp;CHAR(10)&amp;CHAR(10)&amp;"INVALID QUALITY AUDIT DETAILS"&amp;CHAR(10)&amp;"Validation: Invalid"&amp;CHAR(10)&amp;"Invalid Reason: "&amp;$P604&amp;CHAR(10)&amp;"Expected Resolution Code: "&amp;$Q604&amp;CHAR(10)&amp;"Remarks: "&amp;LEFT($R604,600)&amp;CHAR(10)&amp;CHAR(10)&amp;"This is an automated notification from HP Mainstream EQMS."),"✉ Open Email Draft"),"")</f>
        <v/>
      </c>
    </row>
    <row r="605">
      <c r="A605" s="25">
        <f>IF($C605="","","AUD-2026-"&amp;TEXT(ROW()-1,"000000"))</f>
        <v/>
      </c>
      <c r="B605" s="26" t="n"/>
      <c r="C605" s="27" t="n"/>
      <c r="D605" s="25">
        <f>IF($C605="","",IFERROR(IF(INDEX(Roster!$A:$A,MATCH($C605,Roster!$B:$B,0))="","",INDEX(Roster!$A:$A,MATCH($C605,Roster!$B:$B,0))&amp;""),"—"))</f>
        <v/>
      </c>
      <c r="E605" s="25">
        <f>IF($C605="","",IFERROR(IF(INDEX(Roster!$C:$C,MATCH($C605,Roster!$B:$B,0))="","",INDEX(Roster!$C:$C,MATCH($C605,Roster!$B:$B,0))&amp;""),"—"))</f>
        <v/>
      </c>
      <c r="F605" s="25">
        <f>IF($C605="","",IFERROR(IF(INDEX(Roster!$D:$D,MATCH($C605,Roster!$B:$B,0))="","",INDEX(Roster!$D:$D,MATCH($C605,Roster!$B:$B,0))&amp;""),"—"))</f>
        <v/>
      </c>
      <c r="G605" s="25">
        <f>IF($C605="","",IFERROR(IF(INDEX(Roster!$E:$E,MATCH($C605,Roster!$B:$B,0))="","",INDEX(Roster!$E:$E,MATCH($C605,Roster!$B:$B,0))&amp;""),"—"))</f>
        <v/>
      </c>
      <c r="H605" s="25">
        <f>IF($C605="","",IFERROR(IF(INDEX(Roster!$F:$F,MATCH($C605,Roster!$B:$B,0))="","",INDEX(Roster!$F:$F,MATCH($C605,Roster!$B:$B,0))&amp;""),"—"))</f>
        <v/>
      </c>
      <c r="I605" s="25">
        <f>IF($C605="","",IFERROR(IF(INDEX(Roster!$G:$G,MATCH($C605,Roster!$B:$B,0))="","",INDEX(Roster!$G:$G,MATCH($C605,Roster!$B:$B,0))&amp;""),"—"))</f>
        <v/>
      </c>
      <c r="J605" s="25">
        <f>IF($C605="","",IFERROR(IF(INDEX(Roster!$I:$I,MATCH($C605,Roster!$B:$B,0))="","",INDEX(Roster!$I:$I,MATCH($C605,Roster!$B:$B,0))&amp;""),"—"))</f>
        <v/>
      </c>
      <c r="K605">
        <f>IF($C605="","",IFERROR(IF(INDEX(Roster!$J:$J,MATCH($C605,Roster!$B:$B,0))="","",INDEX(Roster!$J:$J,MATCH($C605,Roster!$B:$B,0))&amp;""),"—"))</f>
        <v/>
      </c>
      <c r="L605">
        <f>IF($C605="","",IFERROR(IF(INDEX(Roster!$K:$K,MATCH($C605,Roster!$B:$B,0))="","",INDEX(Roster!$K:$K,MATCH($C605,Roster!$B:$B,0))&amp;""),"—"))</f>
        <v/>
      </c>
      <c r="M605" s="27" t="n"/>
      <c r="N605" s="27" t="n"/>
      <c r="O605" s="25">
        <f>IF($C605="","",IF($P605="","—",IF($P605="Valid (Pass)","Valid","Invalid")))</f>
        <v/>
      </c>
      <c r="P605" s="27" t="n"/>
      <c r="Q605" s="27" t="n"/>
      <c r="R605" s="27" t="n"/>
      <c r="S605" s="27" t="n"/>
      <c r="T605" s="25">
        <f>IF($C605="","",IF(OR(ISNUMBER(SEARCH("quick case",$P605)),ISNUMBER(SEARCH("quick case",$Q605))),"Yes","No"))</f>
        <v/>
      </c>
      <c r="U605" s="25">
        <f>IF($O605="Invalid",HYPERLINK("mailto:"&amp;$G605&amp;";"&amp;$I605&amp;"?cc="&amp;Lists!$E$2&amp;"&amp;subject="&amp;_xlfn.ENCODEURL("[INVALID] Quality audit monitoring completed for "&amp;UPPER($C605))&amp;"&amp;body="&amp;_xlfn.ENCODEURL("Hi "&amp;$F605&amp;","&amp;CHAR(10)&amp;"Good day!"&amp;CHAR(10)&amp;CHAR(10)&amp;"A quality monitoring audit has been completed for "&amp;$C605&amp;"."&amp;CHAR(10)&amp;CHAR(10)&amp;"QUALITY AUDIT DETAILS"&amp;CHAR(10)&amp;"Agent Name: "&amp;$C605&amp;" (EID "&amp;$D605&amp;")"&amp;CHAR(10)&amp;"Audit Date: "&amp;TEXT($B605,"yyyy-mm-dd")&amp;CHAR(10)&amp;"Team Leader: "&amp;$F605&amp;CHAR(10)&amp;"Case Number: "&amp;$M605&amp;CHAR(10)&amp;"Transaction ID: "&amp;$N605&amp;CHAR(10)&amp;"Channel / LOB: "&amp;$K605&amp;" / "&amp;$L605&amp;CHAR(10)&amp;"Evaluator: "&amp;$S605&amp;CHAR(10)&amp;CHAR(10)&amp;"INVALID QUALITY AUDIT DETAILS"&amp;CHAR(10)&amp;"Validation: Invalid"&amp;CHAR(10)&amp;"Invalid Reason: "&amp;$P605&amp;CHAR(10)&amp;"Expected Resolution Code: "&amp;$Q605&amp;CHAR(10)&amp;"Remarks: "&amp;LEFT($R605,600)&amp;CHAR(10)&amp;CHAR(10)&amp;"This is an automated notification from HP Mainstream EQMS."),"✉ Open Email Draft"),"")</f>
        <v/>
      </c>
    </row>
    <row r="606">
      <c r="A606" s="25">
        <f>IF($C606="","","AUD-2026-"&amp;TEXT(ROW()-1,"000000"))</f>
        <v/>
      </c>
      <c r="B606" s="26" t="n"/>
      <c r="C606" s="27" t="n"/>
      <c r="D606" s="25">
        <f>IF($C606="","",IFERROR(IF(INDEX(Roster!$A:$A,MATCH($C606,Roster!$B:$B,0))="","",INDEX(Roster!$A:$A,MATCH($C606,Roster!$B:$B,0))&amp;""),"—"))</f>
        <v/>
      </c>
      <c r="E606" s="25">
        <f>IF($C606="","",IFERROR(IF(INDEX(Roster!$C:$C,MATCH($C606,Roster!$B:$B,0))="","",INDEX(Roster!$C:$C,MATCH($C606,Roster!$B:$B,0))&amp;""),"—"))</f>
        <v/>
      </c>
      <c r="F606" s="25">
        <f>IF($C606="","",IFERROR(IF(INDEX(Roster!$D:$D,MATCH($C606,Roster!$B:$B,0))="","",INDEX(Roster!$D:$D,MATCH($C606,Roster!$B:$B,0))&amp;""),"—"))</f>
        <v/>
      </c>
      <c r="G606" s="25">
        <f>IF($C606="","",IFERROR(IF(INDEX(Roster!$E:$E,MATCH($C606,Roster!$B:$B,0))="","",INDEX(Roster!$E:$E,MATCH($C606,Roster!$B:$B,0))&amp;""),"—"))</f>
        <v/>
      </c>
      <c r="H606" s="25">
        <f>IF($C606="","",IFERROR(IF(INDEX(Roster!$F:$F,MATCH($C606,Roster!$B:$B,0))="","",INDEX(Roster!$F:$F,MATCH($C606,Roster!$B:$B,0))&amp;""),"—"))</f>
        <v/>
      </c>
      <c r="I606" s="25">
        <f>IF($C606="","",IFERROR(IF(INDEX(Roster!$G:$G,MATCH($C606,Roster!$B:$B,0))="","",INDEX(Roster!$G:$G,MATCH($C606,Roster!$B:$B,0))&amp;""),"—"))</f>
        <v/>
      </c>
      <c r="J606" s="25">
        <f>IF($C606="","",IFERROR(IF(INDEX(Roster!$I:$I,MATCH($C606,Roster!$B:$B,0))="","",INDEX(Roster!$I:$I,MATCH($C606,Roster!$B:$B,0))&amp;""),"—"))</f>
        <v/>
      </c>
      <c r="K606">
        <f>IF($C606="","",IFERROR(IF(INDEX(Roster!$J:$J,MATCH($C606,Roster!$B:$B,0))="","",INDEX(Roster!$J:$J,MATCH($C606,Roster!$B:$B,0))&amp;""),"—"))</f>
        <v/>
      </c>
      <c r="L606">
        <f>IF($C606="","",IFERROR(IF(INDEX(Roster!$K:$K,MATCH($C606,Roster!$B:$B,0))="","",INDEX(Roster!$K:$K,MATCH($C606,Roster!$B:$B,0))&amp;""),"—"))</f>
        <v/>
      </c>
      <c r="M606" s="27" t="n"/>
      <c r="N606" s="27" t="n"/>
      <c r="O606" s="25">
        <f>IF($C606="","",IF($P606="","—",IF($P606="Valid (Pass)","Valid","Invalid")))</f>
        <v/>
      </c>
      <c r="P606" s="27" t="n"/>
      <c r="Q606" s="27" t="n"/>
      <c r="R606" s="27" t="n"/>
      <c r="S606" s="27" t="n"/>
      <c r="T606" s="25">
        <f>IF($C606="","",IF(OR(ISNUMBER(SEARCH("quick case",$P606)),ISNUMBER(SEARCH("quick case",$Q606))),"Yes","No"))</f>
        <v/>
      </c>
      <c r="U606" s="25">
        <f>IF($O606="Invalid",HYPERLINK("mailto:"&amp;$G606&amp;";"&amp;$I606&amp;"?cc="&amp;Lists!$E$2&amp;"&amp;subject="&amp;_xlfn.ENCODEURL("[INVALID] Quality audit monitoring completed for "&amp;UPPER($C606))&amp;"&amp;body="&amp;_xlfn.ENCODEURL("Hi "&amp;$F606&amp;","&amp;CHAR(10)&amp;"Good day!"&amp;CHAR(10)&amp;CHAR(10)&amp;"A quality monitoring audit has been completed for "&amp;$C606&amp;"."&amp;CHAR(10)&amp;CHAR(10)&amp;"QUALITY AUDIT DETAILS"&amp;CHAR(10)&amp;"Agent Name: "&amp;$C606&amp;" (EID "&amp;$D606&amp;")"&amp;CHAR(10)&amp;"Audit Date: "&amp;TEXT($B606,"yyyy-mm-dd")&amp;CHAR(10)&amp;"Team Leader: "&amp;$F606&amp;CHAR(10)&amp;"Case Number: "&amp;$M606&amp;CHAR(10)&amp;"Transaction ID: "&amp;$N606&amp;CHAR(10)&amp;"Channel / LOB: "&amp;$K606&amp;" / "&amp;$L606&amp;CHAR(10)&amp;"Evaluator: "&amp;$S606&amp;CHAR(10)&amp;CHAR(10)&amp;"INVALID QUALITY AUDIT DETAILS"&amp;CHAR(10)&amp;"Validation: Invalid"&amp;CHAR(10)&amp;"Invalid Reason: "&amp;$P606&amp;CHAR(10)&amp;"Expected Resolution Code: "&amp;$Q606&amp;CHAR(10)&amp;"Remarks: "&amp;LEFT($R606,600)&amp;CHAR(10)&amp;CHAR(10)&amp;"This is an automated notification from HP Mainstream EQMS."),"✉ Open Email Draft"),"")</f>
        <v/>
      </c>
    </row>
    <row r="607">
      <c r="A607" s="25">
        <f>IF($C607="","","AUD-2026-"&amp;TEXT(ROW()-1,"000000"))</f>
        <v/>
      </c>
      <c r="B607" s="26" t="n"/>
      <c r="C607" s="27" t="n"/>
      <c r="D607" s="25">
        <f>IF($C607="","",IFERROR(IF(INDEX(Roster!$A:$A,MATCH($C607,Roster!$B:$B,0))="","",INDEX(Roster!$A:$A,MATCH($C607,Roster!$B:$B,0))&amp;""),"—"))</f>
        <v/>
      </c>
      <c r="E607" s="25">
        <f>IF($C607="","",IFERROR(IF(INDEX(Roster!$C:$C,MATCH($C607,Roster!$B:$B,0))="","",INDEX(Roster!$C:$C,MATCH($C607,Roster!$B:$B,0))&amp;""),"—"))</f>
        <v/>
      </c>
      <c r="F607" s="25">
        <f>IF($C607="","",IFERROR(IF(INDEX(Roster!$D:$D,MATCH($C607,Roster!$B:$B,0))="","",INDEX(Roster!$D:$D,MATCH($C607,Roster!$B:$B,0))&amp;""),"—"))</f>
        <v/>
      </c>
      <c r="G607" s="25">
        <f>IF($C607="","",IFERROR(IF(INDEX(Roster!$E:$E,MATCH($C607,Roster!$B:$B,0))="","",INDEX(Roster!$E:$E,MATCH($C607,Roster!$B:$B,0))&amp;""),"—"))</f>
        <v/>
      </c>
      <c r="H607" s="25">
        <f>IF($C607="","",IFERROR(IF(INDEX(Roster!$F:$F,MATCH($C607,Roster!$B:$B,0))="","",INDEX(Roster!$F:$F,MATCH($C607,Roster!$B:$B,0))&amp;""),"—"))</f>
        <v/>
      </c>
      <c r="I607" s="25">
        <f>IF($C607="","",IFERROR(IF(INDEX(Roster!$G:$G,MATCH($C607,Roster!$B:$B,0))="","",INDEX(Roster!$G:$G,MATCH($C607,Roster!$B:$B,0))&amp;""),"—"))</f>
        <v/>
      </c>
      <c r="J607" s="25">
        <f>IF($C607="","",IFERROR(IF(INDEX(Roster!$I:$I,MATCH($C607,Roster!$B:$B,0))="","",INDEX(Roster!$I:$I,MATCH($C607,Roster!$B:$B,0))&amp;""),"—"))</f>
        <v/>
      </c>
      <c r="K607">
        <f>IF($C607="","",IFERROR(IF(INDEX(Roster!$J:$J,MATCH($C607,Roster!$B:$B,0))="","",INDEX(Roster!$J:$J,MATCH($C607,Roster!$B:$B,0))&amp;""),"—"))</f>
        <v/>
      </c>
      <c r="L607">
        <f>IF($C607="","",IFERROR(IF(INDEX(Roster!$K:$K,MATCH($C607,Roster!$B:$B,0))="","",INDEX(Roster!$K:$K,MATCH($C607,Roster!$B:$B,0))&amp;""),"—"))</f>
        <v/>
      </c>
      <c r="M607" s="27" t="n"/>
      <c r="N607" s="27" t="n"/>
      <c r="O607" s="25">
        <f>IF($C607="","",IF($P607="","—",IF($P607="Valid (Pass)","Valid","Invalid")))</f>
        <v/>
      </c>
      <c r="P607" s="27" t="n"/>
      <c r="Q607" s="27" t="n"/>
      <c r="R607" s="27" t="n"/>
      <c r="S607" s="27" t="n"/>
      <c r="T607" s="25">
        <f>IF($C607="","",IF(OR(ISNUMBER(SEARCH("quick case",$P607)),ISNUMBER(SEARCH("quick case",$Q607))),"Yes","No"))</f>
        <v/>
      </c>
      <c r="U607" s="25">
        <f>IF($O607="Invalid",HYPERLINK("mailto:"&amp;$G607&amp;";"&amp;$I607&amp;"?cc="&amp;Lists!$E$2&amp;"&amp;subject="&amp;_xlfn.ENCODEURL("[INVALID] Quality audit monitoring completed for "&amp;UPPER($C607))&amp;"&amp;body="&amp;_xlfn.ENCODEURL("Hi "&amp;$F607&amp;","&amp;CHAR(10)&amp;"Good day!"&amp;CHAR(10)&amp;CHAR(10)&amp;"A quality monitoring audit has been completed for "&amp;$C607&amp;"."&amp;CHAR(10)&amp;CHAR(10)&amp;"QUALITY AUDIT DETAILS"&amp;CHAR(10)&amp;"Agent Name: "&amp;$C607&amp;" (EID "&amp;$D607&amp;")"&amp;CHAR(10)&amp;"Audit Date: "&amp;TEXT($B607,"yyyy-mm-dd")&amp;CHAR(10)&amp;"Team Leader: "&amp;$F607&amp;CHAR(10)&amp;"Case Number: "&amp;$M607&amp;CHAR(10)&amp;"Transaction ID: "&amp;$N607&amp;CHAR(10)&amp;"Channel / LOB: "&amp;$K607&amp;" / "&amp;$L607&amp;CHAR(10)&amp;"Evaluator: "&amp;$S607&amp;CHAR(10)&amp;CHAR(10)&amp;"INVALID QUALITY AUDIT DETAILS"&amp;CHAR(10)&amp;"Validation: Invalid"&amp;CHAR(10)&amp;"Invalid Reason: "&amp;$P607&amp;CHAR(10)&amp;"Expected Resolution Code: "&amp;$Q607&amp;CHAR(10)&amp;"Remarks: "&amp;LEFT($R607,600)&amp;CHAR(10)&amp;CHAR(10)&amp;"This is an automated notification from HP Mainstream EQMS."),"✉ Open Email Draft"),"")</f>
        <v/>
      </c>
    </row>
    <row r="608">
      <c r="A608" s="25">
        <f>IF($C608="","","AUD-2026-"&amp;TEXT(ROW()-1,"000000"))</f>
        <v/>
      </c>
      <c r="B608" s="26" t="n"/>
      <c r="C608" s="27" t="n"/>
      <c r="D608" s="25">
        <f>IF($C608="","",IFERROR(IF(INDEX(Roster!$A:$A,MATCH($C608,Roster!$B:$B,0))="","",INDEX(Roster!$A:$A,MATCH($C608,Roster!$B:$B,0))&amp;""),"—"))</f>
        <v/>
      </c>
      <c r="E608" s="25">
        <f>IF($C608="","",IFERROR(IF(INDEX(Roster!$C:$C,MATCH($C608,Roster!$B:$B,0))="","",INDEX(Roster!$C:$C,MATCH($C608,Roster!$B:$B,0))&amp;""),"—"))</f>
        <v/>
      </c>
      <c r="F608" s="25">
        <f>IF($C608="","",IFERROR(IF(INDEX(Roster!$D:$D,MATCH($C608,Roster!$B:$B,0))="","",INDEX(Roster!$D:$D,MATCH($C608,Roster!$B:$B,0))&amp;""),"—"))</f>
        <v/>
      </c>
      <c r="G608" s="25">
        <f>IF($C608="","",IFERROR(IF(INDEX(Roster!$E:$E,MATCH($C608,Roster!$B:$B,0))="","",INDEX(Roster!$E:$E,MATCH($C608,Roster!$B:$B,0))&amp;""),"—"))</f>
        <v/>
      </c>
      <c r="H608" s="25">
        <f>IF($C608="","",IFERROR(IF(INDEX(Roster!$F:$F,MATCH($C608,Roster!$B:$B,0))="","",INDEX(Roster!$F:$F,MATCH($C608,Roster!$B:$B,0))&amp;""),"—"))</f>
        <v/>
      </c>
      <c r="I608" s="25">
        <f>IF($C608="","",IFERROR(IF(INDEX(Roster!$G:$G,MATCH($C608,Roster!$B:$B,0))="","",INDEX(Roster!$G:$G,MATCH($C608,Roster!$B:$B,0))&amp;""),"—"))</f>
        <v/>
      </c>
      <c r="J608" s="25">
        <f>IF($C608="","",IFERROR(IF(INDEX(Roster!$I:$I,MATCH($C608,Roster!$B:$B,0))="","",INDEX(Roster!$I:$I,MATCH($C608,Roster!$B:$B,0))&amp;""),"—"))</f>
        <v/>
      </c>
      <c r="K608">
        <f>IF($C608="","",IFERROR(IF(INDEX(Roster!$J:$J,MATCH($C608,Roster!$B:$B,0))="","",INDEX(Roster!$J:$J,MATCH($C608,Roster!$B:$B,0))&amp;""),"—"))</f>
        <v/>
      </c>
      <c r="L608">
        <f>IF($C608="","",IFERROR(IF(INDEX(Roster!$K:$K,MATCH($C608,Roster!$B:$B,0))="","",INDEX(Roster!$K:$K,MATCH($C608,Roster!$B:$B,0))&amp;""),"—"))</f>
        <v/>
      </c>
      <c r="M608" s="27" t="n"/>
      <c r="N608" s="27" t="n"/>
      <c r="O608" s="25">
        <f>IF($C608="","",IF($P608="","—",IF($P608="Valid (Pass)","Valid","Invalid")))</f>
        <v/>
      </c>
      <c r="P608" s="27" t="n"/>
      <c r="Q608" s="27" t="n"/>
      <c r="R608" s="27" t="n"/>
      <c r="S608" s="27" t="n"/>
      <c r="T608" s="25">
        <f>IF($C608="","",IF(OR(ISNUMBER(SEARCH("quick case",$P608)),ISNUMBER(SEARCH("quick case",$Q608))),"Yes","No"))</f>
        <v/>
      </c>
      <c r="U608" s="25">
        <f>IF($O608="Invalid",HYPERLINK("mailto:"&amp;$G608&amp;";"&amp;$I608&amp;"?cc="&amp;Lists!$E$2&amp;"&amp;subject="&amp;_xlfn.ENCODEURL("[INVALID] Quality audit monitoring completed for "&amp;UPPER($C608))&amp;"&amp;body="&amp;_xlfn.ENCODEURL("Hi "&amp;$F608&amp;","&amp;CHAR(10)&amp;"Good day!"&amp;CHAR(10)&amp;CHAR(10)&amp;"A quality monitoring audit has been completed for "&amp;$C608&amp;"."&amp;CHAR(10)&amp;CHAR(10)&amp;"QUALITY AUDIT DETAILS"&amp;CHAR(10)&amp;"Agent Name: "&amp;$C608&amp;" (EID "&amp;$D608&amp;")"&amp;CHAR(10)&amp;"Audit Date: "&amp;TEXT($B608,"yyyy-mm-dd")&amp;CHAR(10)&amp;"Team Leader: "&amp;$F608&amp;CHAR(10)&amp;"Case Number: "&amp;$M608&amp;CHAR(10)&amp;"Transaction ID: "&amp;$N608&amp;CHAR(10)&amp;"Channel / LOB: "&amp;$K608&amp;" / "&amp;$L608&amp;CHAR(10)&amp;"Evaluator: "&amp;$S608&amp;CHAR(10)&amp;CHAR(10)&amp;"INVALID QUALITY AUDIT DETAILS"&amp;CHAR(10)&amp;"Validation: Invalid"&amp;CHAR(10)&amp;"Invalid Reason: "&amp;$P608&amp;CHAR(10)&amp;"Expected Resolution Code: "&amp;$Q608&amp;CHAR(10)&amp;"Remarks: "&amp;LEFT($R608,600)&amp;CHAR(10)&amp;CHAR(10)&amp;"This is an automated notification from HP Mainstream EQMS."),"✉ Open Email Draft"),"")</f>
        <v/>
      </c>
    </row>
    <row r="609">
      <c r="A609" s="25">
        <f>IF($C609="","","AUD-2026-"&amp;TEXT(ROW()-1,"000000"))</f>
        <v/>
      </c>
      <c r="B609" s="26" t="n"/>
      <c r="C609" s="27" t="n"/>
      <c r="D609" s="25">
        <f>IF($C609="","",IFERROR(IF(INDEX(Roster!$A:$A,MATCH($C609,Roster!$B:$B,0))="","",INDEX(Roster!$A:$A,MATCH($C609,Roster!$B:$B,0))&amp;""),"—"))</f>
        <v/>
      </c>
      <c r="E609" s="25">
        <f>IF($C609="","",IFERROR(IF(INDEX(Roster!$C:$C,MATCH($C609,Roster!$B:$B,0))="","",INDEX(Roster!$C:$C,MATCH($C609,Roster!$B:$B,0))&amp;""),"—"))</f>
        <v/>
      </c>
      <c r="F609" s="25">
        <f>IF($C609="","",IFERROR(IF(INDEX(Roster!$D:$D,MATCH($C609,Roster!$B:$B,0))="","",INDEX(Roster!$D:$D,MATCH($C609,Roster!$B:$B,0))&amp;""),"—"))</f>
        <v/>
      </c>
      <c r="G609" s="25">
        <f>IF($C609="","",IFERROR(IF(INDEX(Roster!$E:$E,MATCH($C609,Roster!$B:$B,0))="","",INDEX(Roster!$E:$E,MATCH($C609,Roster!$B:$B,0))&amp;""),"—"))</f>
        <v/>
      </c>
      <c r="H609" s="25">
        <f>IF($C609="","",IFERROR(IF(INDEX(Roster!$F:$F,MATCH($C609,Roster!$B:$B,0))="","",INDEX(Roster!$F:$F,MATCH($C609,Roster!$B:$B,0))&amp;""),"—"))</f>
        <v/>
      </c>
      <c r="I609" s="25">
        <f>IF($C609="","",IFERROR(IF(INDEX(Roster!$G:$G,MATCH($C609,Roster!$B:$B,0))="","",INDEX(Roster!$G:$G,MATCH($C609,Roster!$B:$B,0))&amp;""),"—"))</f>
        <v/>
      </c>
      <c r="J609" s="25">
        <f>IF($C609="","",IFERROR(IF(INDEX(Roster!$I:$I,MATCH($C609,Roster!$B:$B,0))="","",INDEX(Roster!$I:$I,MATCH($C609,Roster!$B:$B,0))&amp;""),"—"))</f>
        <v/>
      </c>
      <c r="K609">
        <f>IF($C609="","",IFERROR(IF(INDEX(Roster!$J:$J,MATCH($C609,Roster!$B:$B,0))="","",INDEX(Roster!$J:$J,MATCH($C609,Roster!$B:$B,0))&amp;""),"—"))</f>
        <v/>
      </c>
      <c r="L609">
        <f>IF($C609="","",IFERROR(IF(INDEX(Roster!$K:$K,MATCH($C609,Roster!$B:$B,0))="","",INDEX(Roster!$K:$K,MATCH($C609,Roster!$B:$B,0))&amp;""),"—"))</f>
        <v/>
      </c>
      <c r="M609" s="27" t="n"/>
      <c r="N609" s="27" t="n"/>
      <c r="O609" s="25">
        <f>IF($C609="","",IF($P609="","—",IF($P609="Valid (Pass)","Valid","Invalid")))</f>
        <v/>
      </c>
      <c r="P609" s="27" t="n"/>
      <c r="Q609" s="27" t="n"/>
      <c r="R609" s="27" t="n"/>
      <c r="S609" s="27" t="n"/>
      <c r="T609" s="25">
        <f>IF($C609="","",IF(OR(ISNUMBER(SEARCH("quick case",$P609)),ISNUMBER(SEARCH("quick case",$Q609))),"Yes","No"))</f>
        <v/>
      </c>
      <c r="U609" s="25">
        <f>IF($O609="Invalid",HYPERLINK("mailto:"&amp;$G609&amp;";"&amp;$I609&amp;"?cc="&amp;Lists!$E$2&amp;"&amp;subject="&amp;_xlfn.ENCODEURL("[INVALID] Quality audit monitoring completed for "&amp;UPPER($C609))&amp;"&amp;body="&amp;_xlfn.ENCODEURL("Hi "&amp;$F609&amp;","&amp;CHAR(10)&amp;"Good day!"&amp;CHAR(10)&amp;CHAR(10)&amp;"A quality monitoring audit has been completed for "&amp;$C609&amp;"."&amp;CHAR(10)&amp;CHAR(10)&amp;"QUALITY AUDIT DETAILS"&amp;CHAR(10)&amp;"Agent Name: "&amp;$C609&amp;" (EID "&amp;$D609&amp;")"&amp;CHAR(10)&amp;"Audit Date: "&amp;TEXT($B609,"yyyy-mm-dd")&amp;CHAR(10)&amp;"Team Leader: "&amp;$F609&amp;CHAR(10)&amp;"Case Number: "&amp;$M609&amp;CHAR(10)&amp;"Transaction ID: "&amp;$N609&amp;CHAR(10)&amp;"Channel / LOB: "&amp;$K609&amp;" / "&amp;$L609&amp;CHAR(10)&amp;"Evaluator: "&amp;$S609&amp;CHAR(10)&amp;CHAR(10)&amp;"INVALID QUALITY AUDIT DETAILS"&amp;CHAR(10)&amp;"Validation: Invalid"&amp;CHAR(10)&amp;"Invalid Reason: "&amp;$P609&amp;CHAR(10)&amp;"Expected Resolution Code: "&amp;$Q609&amp;CHAR(10)&amp;"Remarks: "&amp;LEFT($R609,600)&amp;CHAR(10)&amp;CHAR(10)&amp;"This is an automated notification from HP Mainstream EQMS."),"✉ Open Email Draft"),"")</f>
        <v/>
      </c>
    </row>
    <row r="610">
      <c r="A610" s="25">
        <f>IF($C610="","","AUD-2026-"&amp;TEXT(ROW()-1,"000000"))</f>
        <v/>
      </c>
      <c r="B610" s="26" t="n"/>
      <c r="C610" s="27" t="n"/>
      <c r="D610" s="25">
        <f>IF($C610="","",IFERROR(IF(INDEX(Roster!$A:$A,MATCH($C610,Roster!$B:$B,0))="","",INDEX(Roster!$A:$A,MATCH($C610,Roster!$B:$B,0))&amp;""),"—"))</f>
        <v/>
      </c>
      <c r="E610" s="25">
        <f>IF($C610="","",IFERROR(IF(INDEX(Roster!$C:$C,MATCH($C610,Roster!$B:$B,0))="","",INDEX(Roster!$C:$C,MATCH($C610,Roster!$B:$B,0))&amp;""),"—"))</f>
        <v/>
      </c>
      <c r="F610" s="25">
        <f>IF($C610="","",IFERROR(IF(INDEX(Roster!$D:$D,MATCH($C610,Roster!$B:$B,0))="","",INDEX(Roster!$D:$D,MATCH($C610,Roster!$B:$B,0))&amp;""),"—"))</f>
        <v/>
      </c>
      <c r="G610" s="25">
        <f>IF($C610="","",IFERROR(IF(INDEX(Roster!$E:$E,MATCH($C610,Roster!$B:$B,0))="","",INDEX(Roster!$E:$E,MATCH($C610,Roster!$B:$B,0))&amp;""),"—"))</f>
        <v/>
      </c>
      <c r="H610" s="25">
        <f>IF($C610="","",IFERROR(IF(INDEX(Roster!$F:$F,MATCH($C610,Roster!$B:$B,0))="","",INDEX(Roster!$F:$F,MATCH($C610,Roster!$B:$B,0))&amp;""),"—"))</f>
        <v/>
      </c>
      <c r="I610" s="25">
        <f>IF($C610="","",IFERROR(IF(INDEX(Roster!$G:$G,MATCH($C610,Roster!$B:$B,0))="","",INDEX(Roster!$G:$G,MATCH($C610,Roster!$B:$B,0))&amp;""),"—"))</f>
        <v/>
      </c>
      <c r="J610" s="25">
        <f>IF($C610="","",IFERROR(IF(INDEX(Roster!$I:$I,MATCH($C610,Roster!$B:$B,0))="","",INDEX(Roster!$I:$I,MATCH($C610,Roster!$B:$B,0))&amp;""),"—"))</f>
        <v/>
      </c>
      <c r="K610">
        <f>IF($C610="","",IFERROR(IF(INDEX(Roster!$J:$J,MATCH($C610,Roster!$B:$B,0))="","",INDEX(Roster!$J:$J,MATCH($C610,Roster!$B:$B,0))&amp;""),"—"))</f>
        <v/>
      </c>
      <c r="L610">
        <f>IF($C610="","",IFERROR(IF(INDEX(Roster!$K:$K,MATCH($C610,Roster!$B:$B,0))="","",INDEX(Roster!$K:$K,MATCH($C610,Roster!$B:$B,0))&amp;""),"—"))</f>
        <v/>
      </c>
      <c r="M610" s="27" t="n"/>
      <c r="N610" s="27" t="n"/>
      <c r="O610" s="25">
        <f>IF($C610="","",IF($P610="","—",IF($P610="Valid (Pass)","Valid","Invalid")))</f>
        <v/>
      </c>
      <c r="P610" s="27" t="n"/>
      <c r="Q610" s="27" t="n"/>
      <c r="R610" s="27" t="n"/>
      <c r="S610" s="27" t="n"/>
      <c r="T610" s="25">
        <f>IF($C610="","",IF(OR(ISNUMBER(SEARCH("quick case",$P610)),ISNUMBER(SEARCH("quick case",$Q610))),"Yes","No"))</f>
        <v/>
      </c>
      <c r="U610" s="25">
        <f>IF($O610="Invalid",HYPERLINK("mailto:"&amp;$G610&amp;";"&amp;$I610&amp;"?cc="&amp;Lists!$E$2&amp;"&amp;subject="&amp;_xlfn.ENCODEURL("[INVALID] Quality audit monitoring completed for "&amp;UPPER($C610))&amp;"&amp;body="&amp;_xlfn.ENCODEURL("Hi "&amp;$F610&amp;","&amp;CHAR(10)&amp;"Good day!"&amp;CHAR(10)&amp;CHAR(10)&amp;"A quality monitoring audit has been completed for "&amp;$C610&amp;"."&amp;CHAR(10)&amp;CHAR(10)&amp;"QUALITY AUDIT DETAILS"&amp;CHAR(10)&amp;"Agent Name: "&amp;$C610&amp;" (EID "&amp;$D610&amp;")"&amp;CHAR(10)&amp;"Audit Date: "&amp;TEXT($B610,"yyyy-mm-dd")&amp;CHAR(10)&amp;"Team Leader: "&amp;$F610&amp;CHAR(10)&amp;"Case Number: "&amp;$M610&amp;CHAR(10)&amp;"Transaction ID: "&amp;$N610&amp;CHAR(10)&amp;"Channel / LOB: "&amp;$K610&amp;" / "&amp;$L610&amp;CHAR(10)&amp;"Evaluator: "&amp;$S610&amp;CHAR(10)&amp;CHAR(10)&amp;"INVALID QUALITY AUDIT DETAILS"&amp;CHAR(10)&amp;"Validation: Invalid"&amp;CHAR(10)&amp;"Invalid Reason: "&amp;$P610&amp;CHAR(10)&amp;"Expected Resolution Code: "&amp;$Q610&amp;CHAR(10)&amp;"Remarks: "&amp;LEFT($R610,600)&amp;CHAR(10)&amp;CHAR(10)&amp;"This is an automated notification from HP Mainstream EQMS."),"✉ Open Email Draft"),"")</f>
        <v/>
      </c>
    </row>
    <row r="611">
      <c r="A611" s="25">
        <f>IF($C611="","","AUD-2026-"&amp;TEXT(ROW()-1,"000000"))</f>
        <v/>
      </c>
      <c r="B611" s="26" t="n"/>
      <c r="C611" s="27" t="n"/>
      <c r="D611" s="25">
        <f>IF($C611="","",IFERROR(IF(INDEX(Roster!$A:$A,MATCH($C611,Roster!$B:$B,0))="","",INDEX(Roster!$A:$A,MATCH($C611,Roster!$B:$B,0))&amp;""),"—"))</f>
        <v/>
      </c>
      <c r="E611" s="25">
        <f>IF($C611="","",IFERROR(IF(INDEX(Roster!$C:$C,MATCH($C611,Roster!$B:$B,0))="","",INDEX(Roster!$C:$C,MATCH($C611,Roster!$B:$B,0))&amp;""),"—"))</f>
        <v/>
      </c>
      <c r="F611" s="25">
        <f>IF($C611="","",IFERROR(IF(INDEX(Roster!$D:$D,MATCH($C611,Roster!$B:$B,0))="","",INDEX(Roster!$D:$D,MATCH($C611,Roster!$B:$B,0))&amp;""),"—"))</f>
        <v/>
      </c>
      <c r="G611" s="25">
        <f>IF($C611="","",IFERROR(IF(INDEX(Roster!$E:$E,MATCH($C611,Roster!$B:$B,0))="","",INDEX(Roster!$E:$E,MATCH($C611,Roster!$B:$B,0))&amp;""),"—"))</f>
        <v/>
      </c>
      <c r="H611" s="25">
        <f>IF($C611="","",IFERROR(IF(INDEX(Roster!$F:$F,MATCH($C611,Roster!$B:$B,0))="","",INDEX(Roster!$F:$F,MATCH($C611,Roster!$B:$B,0))&amp;""),"—"))</f>
        <v/>
      </c>
      <c r="I611" s="25">
        <f>IF($C611="","",IFERROR(IF(INDEX(Roster!$G:$G,MATCH($C611,Roster!$B:$B,0))="","",INDEX(Roster!$G:$G,MATCH($C611,Roster!$B:$B,0))&amp;""),"—"))</f>
        <v/>
      </c>
      <c r="J611" s="25">
        <f>IF($C611="","",IFERROR(IF(INDEX(Roster!$I:$I,MATCH($C611,Roster!$B:$B,0))="","",INDEX(Roster!$I:$I,MATCH($C611,Roster!$B:$B,0))&amp;""),"—"))</f>
        <v/>
      </c>
      <c r="K611">
        <f>IF($C611="","",IFERROR(IF(INDEX(Roster!$J:$J,MATCH($C611,Roster!$B:$B,0))="","",INDEX(Roster!$J:$J,MATCH($C611,Roster!$B:$B,0))&amp;""),"—"))</f>
        <v/>
      </c>
      <c r="L611">
        <f>IF($C611="","",IFERROR(IF(INDEX(Roster!$K:$K,MATCH($C611,Roster!$B:$B,0))="","",INDEX(Roster!$K:$K,MATCH($C611,Roster!$B:$B,0))&amp;""),"—"))</f>
        <v/>
      </c>
      <c r="M611" s="27" t="n"/>
      <c r="N611" s="27" t="n"/>
      <c r="O611" s="25">
        <f>IF($C611="","",IF($P611="","—",IF($P611="Valid (Pass)","Valid","Invalid")))</f>
        <v/>
      </c>
      <c r="P611" s="27" t="n"/>
      <c r="Q611" s="27" t="n"/>
      <c r="R611" s="27" t="n"/>
      <c r="S611" s="27" t="n"/>
      <c r="T611" s="25">
        <f>IF($C611="","",IF(OR(ISNUMBER(SEARCH("quick case",$P611)),ISNUMBER(SEARCH("quick case",$Q611))),"Yes","No"))</f>
        <v/>
      </c>
      <c r="U611" s="25">
        <f>IF($O611="Invalid",HYPERLINK("mailto:"&amp;$G611&amp;";"&amp;$I611&amp;"?cc="&amp;Lists!$E$2&amp;"&amp;subject="&amp;_xlfn.ENCODEURL("[INVALID] Quality audit monitoring completed for "&amp;UPPER($C611))&amp;"&amp;body="&amp;_xlfn.ENCODEURL("Hi "&amp;$F611&amp;","&amp;CHAR(10)&amp;"Good day!"&amp;CHAR(10)&amp;CHAR(10)&amp;"A quality monitoring audit has been completed for "&amp;$C611&amp;"."&amp;CHAR(10)&amp;CHAR(10)&amp;"QUALITY AUDIT DETAILS"&amp;CHAR(10)&amp;"Agent Name: "&amp;$C611&amp;" (EID "&amp;$D611&amp;")"&amp;CHAR(10)&amp;"Audit Date: "&amp;TEXT($B611,"yyyy-mm-dd")&amp;CHAR(10)&amp;"Team Leader: "&amp;$F611&amp;CHAR(10)&amp;"Case Number: "&amp;$M611&amp;CHAR(10)&amp;"Transaction ID: "&amp;$N611&amp;CHAR(10)&amp;"Channel / LOB: "&amp;$K611&amp;" / "&amp;$L611&amp;CHAR(10)&amp;"Evaluator: "&amp;$S611&amp;CHAR(10)&amp;CHAR(10)&amp;"INVALID QUALITY AUDIT DETAILS"&amp;CHAR(10)&amp;"Validation: Invalid"&amp;CHAR(10)&amp;"Invalid Reason: "&amp;$P611&amp;CHAR(10)&amp;"Expected Resolution Code: "&amp;$Q611&amp;CHAR(10)&amp;"Remarks: "&amp;LEFT($R611,600)&amp;CHAR(10)&amp;CHAR(10)&amp;"This is an automated notification from HP Mainstream EQMS."),"✉ Open Email Draft"),"")</f>
        <v/>
      </c>
    </row>
    <row r="612">
      <c r="A612" s="25">
        <f>IF($C612="","","AUD-2026-"&amp;TEXT(ROW()-1,"000000"))</f>
        <v/>
      </c>
      <c r="B612" s="26" t="n"/>
      <c r="C612" s="27" t="n"/>
      <c r="D612" s="25">
        <f>IF($C612="","",IFERROR(IF(INDEX(Roster!$A:$A,MATCH($C612,Roster!$B:$B,0))="","",INDEX(Roster!$A:$A,MATCH($C612,Roster!$B:$B,0))&amp;""),"—"))</f>
        <v/>
      </c>
      <c r="E612" s="25">
        <f>IF($C612="","",IFERROR(IF(INDEX(Roster!$C:$C,MATCH($C612,Roster!$B:$B,0))="","",INDEX(Roster!$C:$C,MATCH($C612,Roster!$B:$B,0))&amp;""),"—"))</f>
        <v/>
      </c>
      <c r="F612" s="25">
        <f>IF($C612="","",IFERROR(IF(INDEX(Roster!$D:$D,MATCH($C612,Roster!$B:$B,0))="","",INDEX(Roster!$D:$D,MATCH($C612,Roster!$B:$B,0))&amp;""),"—"))</f>
        <v/>
      </c>
      <c r="G612" s="25">
        <f>IF($C612="","",IFERROR(IF(INDEX(Roster!$E:$E,MATCH($C612,Roster!$B:$B,0))="","",INDEX(Roster!$E:$E,MATCH($C612,Roster!$B:$B,0))&amp;""),"—"))</f>
        <v/>
      </c>
      <c r="H612" s="25">
        <f>IF($C612="","",IFERROR(IF(INDEX(Roster!$F:$F,MATCH($C612,Roster!$B:$B,0))="","",INDEX(Roster!$F:$F,MATCH($C612,Roster!$B:$B,0))&amp;""),"—"))</f>
        <v/>
      </c>
      <c r="I612" s="25">
        <f>IF($C612="","",IFERROR(IF(INDEX(Roster!$G:$G,MATCH($C612,Roster!$B:$B,0))="","",INDEX(Roster!$G:$G,MATCH($C612,Roster!$B:$B,0))&amp;""),"—"))</f>
        <v/>
      </c>
      <c r="J612" s="25">
        <f>IF($C612="","",IFERROR(IF(INDEX(Roster!$I:$I,MATCH($C612,Roster!$B:$B,0))="","",INDEX(Roster!$I:$I,MATCH($C612,Roster!$B:$B,0))&amp;""),"—"))</f>
        <v/>
      </c>
      <c r="K612">
        <f>IF($C612="","",IFERROR(IF(INDEX(Roster!$J:$J,MATCH($C612,Roster!$B:$B,0))="","",INDEX(Roster!$J:$J,MATCH($C612,Roster!$B:$B,0))&amp;""),"—"))</f>
        <v/>
      </c>
      <c r="L612">
        <f>IF($C612="","",IFERROR(IF(INDEX(Roster!$K:$K,MATCH($C612,Roster!$B:$B,0))="","",INDEX(Roster!$K:$K,MATCH($C612,Roster!$B:$B,0))&amp;""),"—"))</f>
        <v/>
      </c>
      <c r="M612" s="27" t="n"/>
      <c r="N612" s="27" t="n"/>
      <c r="O612" s="25">
        <f>IF($C612="","",IF($P612="","—",IF($P612="Valid (Pass)","Valid","Invalid")))</f>
        <v/>
      </c>
      <c r="P612" s="27" t="n"/>
      <c r="Q612" s="27" t="n"/>
      <c r="R612" s="27" t="n"/>
      <c r="S612" s="27" t="n"/>
      <c r="T612" s="25">
        <f>IF($C612="","",IF(OR(ISNUMBER(SEARCH("quick case",$P612)),ISNUMBER(SEARCH("quick case",$Q612))),"Yes","No"))</f>
        <v/>
      </c>
      <c r="U612" s="25">
        <f>IF($O612="Invalid",HYPERLINK("mailto:"&amp;$G612&amp;";"&amp;$I612&amp;"?cc="&amp;Lists!$E$2&amp;"&amp;subject="&amp;_xlfn.ENCODEURL("[INVALID] Quality audit monitoring completed for "&amp;UPPER($C612))&amp;"&amp;body="&amp;_xlfn.ENCODEURL("Hi "&amp;$F612&amp;","&amp;CHAR(10)&amp;"Good day!"&amp;CHAR(10)&amp;CHAR(10)&amp;"A quality monitoring audit has been completed for "&amp;$C612&amp;"."&amp;CHAR(10)&amp;CHAR(10)&amp;"QUALITY AUDIT DETAILS"&amp;CHAR(10)&amp;"Agent Name: "&amp;$C612&amp;" (EID "&amp;$D612&amp;")"&amp;CHAR(10)&amp;"Audit Date: "&amp;TEXT($B612,"yyyy-mm-dd")&amp;CHAR(10)&amp;"Team Leader: "&amp;$F612&amp;CHAR(10)&amp;"Case Number: "&amp;$M612&amp;CHAR(10)&amp;"Transaction ID: "&amp;$N612&amp;CHAR(10)&amp;"Channel / LOB: "&amp;$K612&amp;" / "&amp;$L612&amp;CHAR(10)&amp;"Evaluator: "&amp;$S612&amp;CHAR(10)&amp;CHAR(10)&amp;"INVALID QUALITY AUDIT DETAILS"&amp;CHAR(10)&amp;"Validation: Invalid"&amp;CHAR(10)&amp;"Invalid Reason: "&amp;$P612&amp;CHAR(10)&amp;"Expected Resolution Code: "&amp;$Q612&amp;CHAR(10)&amp;"Remarks: "&amp;LEFT($R612,600)&amp;CHAR(10)&amp;CHAR(10)&amp;"This is an automated notification from HP Mainstream EQMS."),"✉ Open Email Draft"),"")</f>
        <v/>
      </c>
    </row>
    <row r="613">
      <c r="A613" s="25">
        <f>IF($C613="","","AUD-2026-"&amp;TEXT(ROW()-1,"000000"))</f>
        <v/>
      </c>
      <c r="B613" s="26" t="n"/>
      <c r="C613" s="27" t="n"/>
      <c r="D613" s="25">
        <f>IF($C613="","",IFERROR(IF(INDEX(Roster!$A:$A,MATCH($C613,Roster!$B:$B,0))="","",INDEX(Roster!$A:$A,MATCH($C613,Roster!$B:$B,0))&amp;""),"—"))</f>
        <v/>
      </c>
      <c r="E613" s="25">
        <f>IF($C613="","",IFERROR(IF(INDEX(Roster!$C:$C,MATCH($C613,Roster!$B:$B,0))="","",INDEX(Roster!$C:$C,MATCH($C613,Roster!$B:$B,0))&amp;""),"—"))</f>
        <v/>
      </c>
      <c r="F613" s="25">
        <f>IF($C613="","",IFERROR(IF(INDEX(Roster!$D:$D,MATCH($C613,Roster!$B:$B,0))="","",INDEX(Roster!$D:$D,MATCH($C613,Roster!$B:$B,0))&amp;""),"—"))</f>
        <v/>
      </c>
      <c r="G613" s="25">
        <f>IF($C613="","",IFERROR(IF(INDEX(Roster!$E:$E,MATCH($C613,Roster!$B:$B,0))="","",INDEX(Roster!$E:$E,MATCH($C613,Roster!$B:$B,0))&amp;""),"—"))</f>
        <v/>
      </c>
      <c r="H613" s="25">
        <f>IF($C613="","",IFERROR(IF(INDEX(Roster!$F:$F,MATCH($C613,Roster!$B:$B,0))="","",INDEX(Roster!$F:$F,MATCH($C613,Roster!$B:$B,0))&amp;""),"—"))</f>
        <v/>
      </c>
      <c r="I613" s="25">
        <f>IF($C613="","",IFERROR(IF(INDEX(Roster!$G:$G,MATCH($C613,Roster!$B:$B,0))="","",INDEX(Roster!$G:$G,MATCH($C613,Roster!$B:$B,0))&amp;""),"—"))</f>
        <v/>
      </c>
      <c r="J613" s="25">
        <f>IF($C613="","",IFERROR(IF(INDEX(Roster!$I:$I,MATCH($C613,Roster!$B:$B,0))="","",INDEX(Roster!$I:$I,MATCH($C613,Roster!$B:$B,0))&amp;""),"—"))</f>
        <v/>
      </c>
      <c r="K613">
        <f>IF($C613="","",IFERROR(IF(INDEX(Roster!$J:$J,MATCH($C613,Roster!$B:$B,0))="","",INDEX(Roster!$J:$J,MATCH($C613,Roster!$B:$B,0))&amp;""),"—"))</f>
        <v/>
      </c>
      <c r="L613">
        <f>IF($C613="","",IFERROR(IF(INDEX(Roster!$K:$K,MATCH($C613,Roster!$B:$B,0))="","",INDEX(Roster!$K:$K,MATCH($C613,Roster!$B:$B,0))&amp;""),"—"))</f>
        <v/>
      </c>
      <c r="M613" s="27" t="n"/>
      <c r="N613" s="27" t="n"/>
      <c r="O613" s="25">
        <f>IF($C613="","",IF($P613="","—",IF($P613="Valid (Pass)","Valid","Invalid")))</f>
        <v/>
      </c>
      <c r="P613" s="27" t="n"/>
      <c r="Q613" s="27" t="n"/>
      <c r="R613" s="27" t="n"/>
      <c r="S613" s="27" t="n"/>
      <c r="T613" s="25">
        <f>IF($C613="","",IF(OR(ISNUMBER(SEARCH("quick case",$P613)),ISNUMBER(SEARCH("quick case",$Q613))),"Yes","No"))</f>
        <v/>
      </c>
      <c r="U613" s="25">
        <f>IF($O613="Invalid",HYPERLINK("mailto:"&amp;$G613&amp;";"&amp;$I613&amp;"?cc="&amp;Lists!$E$2&amp;"&amp;subject="&amp;_xlfn.ENCODEURL("[INVALID] Quality audit monitoring completed for "&amp;UPPER($C613))&amp;"&amp;body="&amp;_xlfn.ENCODEURL("Hi "&amp;$F613&amp;","&amp;CHAR(10)&amp;"Good day!"&amp;CHAR(10)&amp;CHAR(10)&amp;"A quality monitoring audit has been completed for "&amp;$C613&amp;"."&amp;CHAR(10)&amp;CHAR(10)&amp;"QUALITY AUDIT DETAILS"&amp;CHAR(10)&amp;"Agent Name: "&amp;$C613&amp;" (EID "&amp;$D613&amp;")"&amp;CHAR(10)&amp;"Audit Date: "&amp;TEXT($B613,"yyyy-mm-dd")&amp;CHAR(10)&amp;"Team Leader: "&amp;$F613&amp;CHAR(10)&amp;"Case Number: "&amp;$M613&amp;CHAR(10)&amp;"Transaction ID: "&amp;$N613&amp;CHAR(10)&amp;"Channel / LOB: "&amp;$K613&amp;" / "&amp;$L613&amp;CHAR(10)&amp;"Evaluator: "&amp;$S613&amp;CHAR(10)&amp;CHAR(10)&amp;"INVALID QUALITY AUDIT DETAILS"&amp;CHAR(10)&amp;"Validation: Invalid"&amp;CHAR(10)&amp;"Invalid Reason: "&amp;$P613&amp;CHAR(10)&amp;"Expected Resolution Code: "&amp;$Q613&amp;CHAR(10)&amp;"Remarks: "&amp;LEFT($R613,600)&amp;CHAR(10)&amp;CHAR(10)&amp;"This is an automated notification from HP Mainstream EQMS."),"✉ Open Email Draft"),"")</f>
        <v/>
      </c>
    </row>
    <row r="614">
      <c r="A614" s="25">
        <f>IF($C614="","","AUD-2026-"&amp;TEXT(ROW()-1,"000000"))</f>
        <v/>
      </c>
      <c r="B614" s="26" t="n"/>
      <c r="C614" s="27" t="n"/>
      <c r="D614" s="25">
        <f>IF($C614="","",IFERROR(IF(INDEX(Roster!$A:$A,MATCH($C614,Roster!$B:$B,0))="","",INDEX(Roster!$A:$A,MATCH($C614,Roster!$B:$B,0))&amp;""),"—"))</f>
        <v/>
      </c>
      <c r="E614" s="25">
        <f>IF($C614="","",IFERROR(IF(INDEX(Roster!$C:$C,MATCH($C614,Roster!$B:$B,0))="","",INDEX(Roster!$C:$C,MATCH($C614,Roster!$B:$B,0))&amp;""),"—"))</f>
        <v/>
      </c>
      <c r="F614" s="25">
        <f>IF($C614="","",IFERROR(IF(INDEX(Roster!$D:$D,MATCH($C614,Roster!$B:$B,0))="","",INDEX(Roster!$D:$D,MATCH($C614,Roster!$B:$B,0))&amp;""),"—"))</f>
        <v/>
      </c>
      <c r="G614" s="25">
        <f>IF($C614="","",IFERROR(IF(INDEX(Roster!$E:$E,MATCH($C614,Roster!$B:$B,0))="","",INDEX(Roster!$E:$E,MATCH($C614,Roster!$B:$B,0))&amp;""),"—"))</f>
        <v/>
      </c>
      <c r="H614" s="25">
        <f>IF($C614="","",IFERROR(IF(INDEX(Roster!$F:$F,MATCH($C614,Roster!$B:$B,0))="","",INDEX(Roster!$F:$F,MATCH($C614,Roster!$B:$B,0))&amp;""),"—"))</f>
        <v/>
      </c>
      <c r="I614" s="25">
        <f>IF($C614="","",IFERROR(IF(INDEX(Roster!$G:$G,MATCH($C614,Roster!$B:$B,0))="","",INDEX(Roster!$G:$G,MATCH($C614,Roster!$B:$B,0))&amp;""),"—"))</f>
        <v/>
      </c>
      <c r="J614" s="25">
        <f>IF($C614="","",IFERROR(IF(INDEX(Roster!$I:$I,MATCH($C614,Roster!$B:$B,0))="","",INDEX(Roster!$I:$I,MATCH($C614,Roster!$B:$B,0))&amp;""),"—"))</f>
        <v/>
      </c>
      <c r="K614">
        <f>IF($C614="","",IFERROR(IF(INDEX(Roster!$J:$J,MATCH($C614,Roster!$B:$B,0))="","",INDEX(Roster!$J:$J,MATCH($C614,Roster!$B:$B,0))&amp;""),"—"))</f>
        <v/>
      </c>
      <c r="L614">
        <f>IF($C614="","",IFERROR(IF(INDEX(Roster!$K:$K,MATCH($C614,Roster!$B:$B,0))="","",INDEX(Roster!$K:$K,MATCH($C614,Roster!$B:$B,0))&amp;""),"—"))</f>
        <v/>
      </c>
      <c r="M614" s="27" t="n"/>
      <c r="N614" s="27" t="n"/>
      <c r="O614" s="25">
        <f>IF($C614="","",IF($P614="","—",IF($P614="Valid (Pass)","Valid","Invalid")))</f>
        <v/>
      </c>
      <c r="P614" s="27" t="n"/>
      <c r="Q614" s="27" t="n"/>
      <c r="R614" s="27" t="n"/>
      <c r="S614" s="27" t="n"/>
      <c r="T614" s="25">
        <f>IF($C614="","",IF(OR(ISNUMBER(SEARCH("quick case",$P614)),ISNUMBER(SEARCH("quick case",$Q614))),"Yes","No"))</f>
        <v/>
      </c>
      <c r="U614" s="25">
        <f>IF($O614="Invalid",HYPERLINK("mailto:"&amp;$G614&amp;";"&amp;$I614&amp;"?cc="&amp;Lists!$E$2&amp;"&amp;subject="&amp;_xlfn.ENCODEURL("[INVALID] Quality audit monitoring completed for "&amp;UPPER($C614))&amp;"&amp;body="&amp;_xlfn.ENCODEURL("Hi "&amp;$F614&amp;","&amp;CHAR(10)&amp;"Good day!"&amp;CHAR(10)&amp;CHAR(10)&amp;"A quality monitoring audit has been completed for "&amp;$C614&amp;"."&amp;CHAR(10)&amp;CHAR(10)&amp;"QUALITY AUDIT DETAILS"&amp;CHAR(10)&amp;"Agent Name: "&amp;$C614&amp;" (EID "&amp;$D614&amp;")"&amp;CHAR(10)&amp;"Audit Date: "&amp;TEXT($B614,"yyyy-mm-dd")&amp;CHAR(10)&amp;"Team Leader: "&amp;$F614&amp;CHAR(10)&amp;"Case Number: "&amp;$M614&amp;CHAR(10)&amp;"Transaction ID: "&amp;$N614&amp;CHAR(10)&amp;"Channel / LOB: "&amp;$K614&amp;" / "&amp;$L614&amp;CHAR(10)&amp;"Evaluator: "&amp;$S614&amp;CHAR(10)&amp;CHAR(10)&amp;"INVALID QUALITY AUDIT DETAILS"&amp;CHAR(10)&amp;"Validation: Invalid"&amp;CHAR(10)&amp;"Invalid Reason: "&amp;$P614&amp;CHAR(10)&amp;"Expected Resolution Code: "&amp;$Q614&amp;CHAR(10)&amp;"Remarks: "&amp;LEFT($R614,600)&amp;CHAR(10)&amp;CHAR(10)&amp;"This is an automated notification from HP Mainstream EQMS."),"✉ Open Email Draft"),"")</f>
        <v/>
      </c>
    </row>
    <row r="615">
      <c r="A615" s="25">
        <f>IF($C615="","","AUD-2026-"&amp;TEXT(ROW()-1,"000000"))</f>
        <v/>
      </c>
      <c r="B615" s="26" t="n"/>
      <c r="C615" s="27" t="n"/>
      <c r="D615" s="25">
        <f>IF($C615="","",IFERROR(IF(INDEX(Roster!$A:$A,MATCH($C615,Roster!$B:$B,0))="","",INDEX(Roster!$A:$A,MATCH($C615,Roster!$B:$B,0))&amp;""),"—"))</f>
        <v/>
      </c>
      <c r="E615" s="25">
        <f>IF($C615="","",IFERROR(IF(INDEX(Roster!$C:$C,MATCH($C615,Roster!$B:$B,0))="","",INDEX(Roster!$C:$C,MATCH($C615,Roster!$B:$B,0))&amp;""),"—"))</f>
        <v/>
      </c>
      <c r="F615" s="25">
        <f>IF($C615="","",IFERROR(IF(INDEX(Roster!$D:$D,MATCH($C615,Roster!$B:$B,0))="","",INDEX(Roster!$D:$D,MATCH($C615,Roster!$B:$B,0))&amp;""),"—"))</f>
        <v/>
      </c>
      <c r="G615" s="25">
        <f>IF($C615="","",IFERROR(IF(INDEX(Roster!$E:$E,MATCH($C615,Roster!$B:$B,0))="","",INDEX(Roster!$E:$E,MATCH($C615,Roster!$B:$B,0))&amp;""),"—"))</f>
        <v/>
      </c>
      <c r="H615" s="25">
        <f>IF($C615="","",IFERROR(IF(INDEX(Roster!$F:$F,MATCH($C615,Roster!$B:$B,0))="","",INDEX(Roster!$F:$F,MATCH($C615,Roster!$B:$B,0))&amp;""),"—"))</f>
        <v/>
      </c>
      <c r="I615" s="25">
        <f>IF($C615="","",IFERROR(IF(INDEX(Roster!$G:$G,MATCH($C615,Roster!$B:$B,0))="","",INDEX(Roster!$G:$G,MATCH($C615,Roster!$B:$B,0))&amp;""),"—"))</f>
        <v/>
      </c>
      <c r="J615" s="25">
        <f>IF($C615="","",IFERROR(IF(INDEX(Roster!$I:$I,MATCH($C615,Roster!$B:$B,0))="","",INDEX(Roster!$I:$I,MATCH($C615,Roster!$B:$B,0))&amp;""),"—"))</f>
        <v/>
      </c>
      <c r="K615">
        <f>IF($C615="","",IFERROR(IF(INDEX(Roster!$J:$J,MATCH($C615,Roster!$B:$B,0))="","",INDEX(Roster!$J:$J,MATCH($C615,Roster!$B:$B,0))&amp;""),"—"))</f>
        <v/>
      </c>
      <c r="L615">
        <f>IF($C615="","",IFERROR(IF(INDEX(Roster!$K:$K,MATCH($C615,Roster!$B:$B,0))="","",INDEX(Roster!$K:$K,MATCH($C615,Roster!$B:$B,0))&amp;""),"—"))</f>
        <v/>
      </c>
      <c r="M615" s="27" t="n"/>
      <c r="N615" s="27" t="n"/>
      <c r="O615" s="25">
        <f>IF($C615="","",IF($P615="","—",IF($P615="Valid (Pass)","Valid","Invalid")))</f>
        <v/>
      </c>
      <c r="P615" s="27" t="n"/>
      <c r="Q615" s="27" t="n"/>
      <c r="R615" s="27" t="n"/>
      <c r="S615" s="27" t="n"/>
      <c r="T615" s="25">
        <f>IF($C615="","",IF(OR(ISNUMBER(SEARCH("quick case",$P615)),ISNUMBER(SEARCH("quick case",$Q615))),"Yes","No"))</f>
        <v/>
      </c>
      <c r="U615" s="25">
        <f>IF($O615="Invalid",HYPERLINK("mailto:"&amp;$G615&amp;";"&amp;$I615&amp;"?cc="&amp;Lists!$E$2&amp;"&amp;subject="&amp;_xlfn.ENCODEURL("[INVALID] Quality audit monitoring completed for "&amp;UPPER($C615))&amp;"&amp;body="&amp;_xlfn.ENCODEURL("Hi "&amp;$F615&amp;","&amp;CHAR(10)&amp;"Good day!"&amp;CHAR(10)&amp;CHAR(10)&amp;"A quality monitoring audit has been completed for "&amp;$C615&amp;"."&amp;CHAR(10)&amp;CHAR(10)&amp;"QUALITY AUDIT DETAILS"&amp;CHAR(10)&amp;"Agent Name: "&amp;$C615&amp;" (EID "&amp;$D615&amp;")"&amp;CHAR(10)&amp;"Audit Date: "&amp;TEXT($B615,"yyyy-mm-dd")&amp;CHAR(10)&amp;"Team Leader: "&amp;$F615&amp;CHAR(10)&amp;"Case Number: "&amp;$M615&amp;CHAR(10)&amp;"Transaction ID: "&amp;$N615&amp;CHAR(10)&amp;"Channel / LOB: "&amp;$K615&amp;" / "&amp;$L615&amp;CHAR(10)&amp;"Evaluator: "&amp;$S615&amp;CHAR(10)&amp;CHAR(10)&amp;"INVALID QUALITY AUDIT DETAILS"&amp;CHAR(10)&amp;"Validation: Invalid"&amp;CHAR(10)&amp;"Invalid Reason: "&amp;$P615&amp;CHAR(10)&amp;"Expected Resolution Code: "&amp;$Q615&amp;CHAR(10)&amp;"Remarks: "&amp;LEFT($R615,600)&amp;CHAR(10)&amp;CHAR(10)&amp;"This is an automated notification from HP Mainstream EQMS."),"✉ Open Email Draft"),"")</f>
        <v/>
      </c>
    </row>
    <row r="616">
      <c r="A616" s="25">
        <f>IF($C616="","","AUD-2026-"&amp;TEXT(ROW()-1,"000000"))</f>
        <v/>
      </c>
      <c r="B616" s="26" t="n"/>
      <c r="C616" s="27" t="n"/>
      <c r="D616" s="25">
        <f>IF($C616="","",IFERROR(IF(INDEX(Roster!$A:$A,MATCH($C616,Roster!$B:$B,0))="","",INDEX(Roster!$A:$A,MATCH($C616,Roster!$B:$B,0))&amp;""),"—"))</f>
        <v/>
      </c>
      <c r="E616" s="25">
        <f>IF($C616="","",IFERROR(IF(INDEX(Roster!$C:$C,MATCH($C616,Roster!$B:$B,0))="","",INDEX(Roster!$C:$C,MATCH($C616,Roster!$B:$B,0))&amp;""),"—"))</f>
        <v/>
      </c>
      <c r="F616" s="25">
        <f>IF($C616="","",IFERROR(IF(INDEX(Roster!$D:$D,MATCH($C616,Roster!$B:$B,0))="","",INDEX(Roster!$D:$D,MATCH($C616,Roster!$B:$B,0))&amp;""),"—"))</f>
        <v/>
      </c>
      <c r="G616" s="25">
        <f>IF($C616="","",IFERROR(IF(INDEX(Roster!$E:$E,MATCH($C616,Roster!$B:$B,0))="","",INDEX(Roster!$E:$E,MATCH($C616,Roster!$B:$B,0))&amp;""),"—"))</f>
        <v/>
      </c>
      <c r="H616" s="25">
        <f>IF($C616="","",IFERROR(IF(INDEX(Roster!$F:$F,MATCH($C616,Roster!$B:$B,0))="","",INDEX(Roster!$F:$F,MATCH($C616,Roster!$B:$B,0))&amp;""),"—"))</f>
        <v/>
      </c>
      <c r="I616" s="25">
        <f>IF($C616="","",IFERROR(IF(INDEX(Roster!$G:$G,MATCH($C616,Roster!$B:$B,0))="","",INDEX(Roster!$G:$G,MATCH($C616,Roster!$B:$B,0))&amp;""),"—"))</f>
        <v/>
      </c>
      <c r="J616" s="25">
        <f>IF($C616="","",IFERROR(IF(INDEX(Roster!$I:$I,MATCH($C616,Roster!$B:$B,0))="","",INDEX(Roster!$I:$I,MATCH($C616,Roster!$B:$B,0))&amp;""),"—"))</f>
        <v/>
      </c>
      <c r="K616">
        <f>IF($C616="","",IFERROR(IF(INDEX(Roster!$J:$J,MATCH($C616,Roster!$B:$B,0))="","",INDEX(Roster!$J:$J,MATCH($C616,Roster!$B:$B,0))&amp;""),"—"))</f>
        <v/>
      </c>
      <c r="L616">
        <f>IF($C616="","",IFERROR(IF(INDEX(Roster!$K:$K,MATCH($C616,Roster!$B:$B,0))="","",INDEX(Roster!$K:$K,MATCH($C616,Roster!$B:$B,0))&amp;""),"—"))</f>
        <v/>
      </c>
      <c r="M616" s="27" t="n"/>
      <c r="N616" s="27" t="n"/>
      <c r="O616" s="25">
        <f>IF($C616="","",IF($P616="","—",IF($P616="Valid (Pass)","Valid","Invalid")))</f>
        <v/>
      </c>
      <c r="P616" s="27" t="n"/>
      <c r="Q616" s="27" t="n"/>
      <c r="R616" s="27" t="n"/>
      <c r="S616" s="27" t="n"/>
      <c r="T616" s="25">
        <f>IF($C616="","",IF(OR(ISNUMBER(SEARCH("quick case",$P616)),ISNUMBER(SEARCH("quick case",$Q616))),"Yes","No"))</f>
        <v/>
      </c>
      <c r="U616" s="25">
        <f>IF($O616="Invalid",HYPERLINK("mailto:"&amp;$G616&amp;";"&amp;$I616&amp;"?cc="&amp;Lists!$E$2&amp;"&amp;subject="&amp;_xlfn.ENCODEURL("[INVALID] Quality audit monitoring completed for "&amp;UPPER($C616))&amp;"&amp;body="&amp;_xlfn.ENCODEURL("Hi "&amp;$F616&amp;","&amp;CHAR(10)&amp;"Good day!"&amp;CHAR(10)&amp;CHAR(10)&amp;"A quality monitoring audit has been completed for "&amp;$C616&amp;"."&amp;CHAR(10)&amp;CHAR(10)&amp;"QUALITY AUDIT DETAILS"&amp;CHAR(10)&amp;"Agent Name: "&amp;$C616&amp;" (EID "&amp;$D616&amp;")"&amp;CHAR(10)&amp;"Audit Date: "&amp;TEXT($B616,"yyyy-mm-dd")&amp;CHAR(10)&amp;"Team Leader: "&amp;$F616&amp;CHAR(10)&amp;"Case Number: "&amp;$M616&amp;CHAR(10)&amp;"Transaction ID: "&amp;$N616&amp;CHAR(10)&amp;"Channel / LOB: "&amp;$K616&amp;" / "&amp;$L616&amp;CHAR(10)&amp;"Evaluator: "&amp;$S616&amp;CHAR(10)&amp;CHAR(10)&amp;"INVALID QUALITY AUDIT DETAILS"&amp;CHAR(10)&amp;"Validation: Invalid"&amp;CHAR(10)&amp;"Invalid Reason: "&amp;$P616&amp;CHAR(10)&amp;"Expected Resolution Code: "&amp;$Q616&amp;CHAR(10)&amp;"Remarks: "&amp;LEFT($R616,600)&amp;CHAR(10)&amp;CHAR(10)&amp;"This is an automated notification from HP Mainstream EQMS."),"✉ Open Email Draft"),"")</f>
        <v/>
      </c>
    </row>
    <row r="617">
      <c r="A617" s="25">
        <f>IF($C617="","","AUD-2026-"&amp;TEXT(ROW()-1,"000000"))</f>
        <v/>
      </c>
      <c r="B617" s="26" t="n"/>
      <c r="C617" s="27" t="n"/>
      <c r="D617" s="25">
        <f>IF($C617="","",IFERROR(IF(INDEX(Roster!$A:$A,MATCH($C617,Roster!$B:$B,0))="","",INDEX(Roster!$A:$A,MATCH($C617,Roster!$B:$B,0))&amp;""),"—"))</f>
        <v/>
      </c>
      <c r="E617" s="25">
        <f>IF($C617="","",IFERROR(IF(INDEX(Roster!$C:$C,MATCH($C617,Roster!$B:$B,0))="","",INDEX(Roster!$C:$C,MATCH($C617,Roster!$B:$B,0))&amp;""),"—"))</f>
        <v/>
      </c>
      <c r="F617" s="25">
        <f>IF($C617="","",IFERROR(IF(INDEX(Roster!$D:$D,MATCH($C617,Roster!$B:$B,0))="","",INDEX(Roster!$D:$D,MATCH($C617,Roster!$B:$B,0))&amp;""),"—"))</f>
        <v/>
      </c>
      <c r="G617" s="25">
        <f>IF($C617="","",IFERROR(IF(INDEX(Roster!$E:$E,MATCH($C617,Roster!$B:$B,0))="","",INDEX(Roster!$E:$E,MATCH($C617,Roster!$B:$B,0))&amp;""),"—"))</f>
        <v/>
      </c>
      <c r="H617" s="25">
        <f>IF($C617="","",IFERROR(IF(INDEX(Roster!$F:$F,MATCH($C617,Roster!$B:$B,0))="","",INDEX(Roster!$F:$F,MATCH($C617,Roster!$B:$B,0))&amp;""),"—"))</f>
        <v/>
      </c>
      <c r="I617" s="25">
        <f>IF($C617="","",IFERROR(IF(INDEX(Roster!$G:$G,MATCH($C617,Roster!$B:$B,0))="","",INDEX(Roster!$G:$G,MATCH($C617,Roster!$B:$B,0))&amp;""),"—"))</f>
        <v/>
      </c>
      <c r="J617" s="25">
        <f>IF($C617="","",IFERROR(IF(INDEX(Roster!$I:$I,MATCH($C617,Roster!$B:$B,0))="","",INDEX(Roster!$I:$I,MATCH($C617,Roster!$B:$B,0))&amp;""),"—"))</f>
        <v/>
      </c>
      <c r="K617">
        <f>IF($C617="","",IFERROR(IF(INDEX(Roster!$J:$J,MATCH($C617,Roster!$B:$B,0))="","",INDEX(Roster!$J:$J,MATCH($C617,Roster!$B:$B,0))&amp;""),"—"))</f>
        <v/>
      </c>
      <c r="L617">
        <f>IF($C617="","",IFERROR(IF(INDEX(Roster!$K:$K,MATCH($C617,Roster!$B:$B,0))="","",INDEX(Roster!$K:$K,MATCH($C617,Roster!$B:$B,0))&amp;""),"—"))</f>
        <v/>
      </c>
      <c r="M617" s="27" t="n"/>
      <c r="N617" s="27" t="n"/>
      <c r="O617" s="25">
        <f>IF($C617="","",IF($P617="","—",IF($P617="Valid (Pass)","Valid","Invalid")))</f>
        <v/>
      </c>
      <c r="P617" s="27" t="n"/>
      <c r="Q617" s="27" t="n"/>
      <c r="R617" s="27" t="n"/>
      <c r="S617" s="27" t="n"/>
      <c r="T617" s="25">
        <f>IF($C617="","",IF(OR(ISNUMBER(SEARCH("quick case",$P617)),ISNUMBER(SEARCH("quick case",$Q617))),"Yes","No"))</f>
        <v/>
      </c>
      <c r="U617" s="25">
        <f>IF($O617="Invalid",HYPERLINK("mailto:"&amp;$G617&amp;";"&amp;$I617&amp;"?cc="&amp;Lists!$E$2&amp;"&amp;subject="&amp;_xlfn.ENCODEURL("[INVALID] Quality audit monitoring completed for "&amp;UPPER($C617))&amp;"&amp;body="&amp;_xlfn.ENCODEURL("Hi "&amp;$F617&amp;","&amp;CHAR(10)&amp;"Good day!"&amp;CHAR(10)&amp;CHAR(10)&amp;"A quality monitoring audit has been completed for "&amp;$C617&amp;"."&amp;CHAR(10)&amp;CHAR(10)&amp;"QUALITY AUDIT DETAILS"&amp;CHAR(10)&amp;"Agent Name: "&amp;$C617&amp;" (EID "&amp;$D617&amp;")"&amp;CHAR(10)&amp;"Audit Date: "&amp;TEXT($B617,"yyyy-mm-dd")&amp;CHAR(10)&amp;"Team Leader: "&amp;$F617&amp;CHAR(10)&amp;"Case Number: "&amp;$M617&amp;CHAR(10)&amp;"Transaction ID: "&amp;$N617&amp;CHAR(10)&amp;"Channel / LOB: "&amp;$K617&amp;" / "&amp;$L617&amp;CHAR(10)&amp;"Evaluator: "&amp;$S617&amp;CHAR(10)&amp;CHAR(10)&amp;"INVALID QUALITY AUDIT DETAILS"&amp;CHAR(10)&amp;"Validation: Invalid"&amp;CHAR(10)&amp;"Invalid Reason: "&amp;$P617&amp;CHAR(10)&amp;"Expected Resolution Code: "&amp;$Q617&amp;CHAR(10)&amp;"Remarks: "&amp;LEFT($R617,600)&amp;CHAR(10)&amp;CHAR(10)&amp;"This is an automated notification from HP Mainstream EQMS."),"✉ Open Email Draft"),"")</f>
        <v/>
      </c>
    </row>
    <row r="618">
      <c r="A618" s="25">
        <f>IF($C618="","","AUD-2026-"&amp;TEXT(ROW()-1,"000000"))</f>
        <v/>
      </c>
      <c r="B618" s="26" t="n"/>
      <c r="C618" s="27" t="n"/>
      <c r="D618" s="25">
        <f>IF($C618="","",IFERROR(IF(INDEX(Roster!$A:$A,MATCH($C618,Roster!$B:$B,0))="","",INDEX(Roster!$A:$A,MATCH($C618,Roster!$B:$B,0))&amp;""),"—"))</f>
        <v/>
      </c>
      <c r="E618" s="25">
        <f>IF($C618="","",IFERROR(IF(INDEX(Roster!$C:$C,MATCH($C618,Roster!$B:$B,0))="","",INDEX(Roster!$C:$C,MATCH($C618,Roster!$B:$B,0))&amp;""),"—"))</f>
        <v/>
      </c>
      <c r="F618" s="25">
        <f>IF($C618="","",IFERROR(IF(INDEX(Roster!$D:$D,MATCH($C618,Roster!$B:$B,0))="","",INDEX(Roster!$D:$D,MATCH($C618,Roster!$B:$B,0))&amp;""),"—"))</f>
        <v/>
      </c>
      <c r="G618" s="25">
        <f>IF($C618="","",IFERROR(IF(INDEX(Roster!$E:$E,MATCH($C618,Roster!$B:$B,0))="","",INDEX(Roster!$E:$E,MATCH($C618,Roster!$B:$B,0))&amp;""),"—"))</f>
        <v/>
      </c>
      <c r="H618" s="25">
        <f>IF($C618="","",IFERROR(IF(INDEX(Roster!$F:$F,MATCH($C618,Roster!$B:$B,0))="","",INDEX(Roster!$F:$F,MATCH($C618,Roster!$B:$B,0))&amp;""),"—"))</f>
        <v/>
      </c>
      <c r="I618" s="25">
        <f>IF($C618="","",IFERROR(IF(INDEX(Roster!$G:$G,MATCH($C618,Roster!$B:$B,0))="","",INDEX(Roster!$G:$G,MATCH($C618,Roster!$B:$B,0))&amp;""),"—"))</f>
        <v/>
      </c>
      <c r="J618" s="25">
        <f>IF($C618="","",IFERROR(IF(INDEX(Roster!$I:$I,MATCH($C618,Roster!$B:$B,0))="","",INDEX(Roster!$I:$I,MATCH($C618,Roster!$B:$B,0))&amp;""),"—"))</f>
        <v/>
      </c>
      <c r="K618">
        <f>IF($C618="","",IFERROR(IF(INDEX(Roster!$J:$J,MATCH($C618,Roster!$B:$B,0))="","",INDEX(Roster!$J:$J,MATCH($C618,Roster!$B:$B,0))&amp;""),"—"))</f>
        <v/>
      </c>
      <c r="L618">
        <f>IF($C618="","",IFERROR(IF(INDEX(Roster!$K:$K,MATCH($C618,Roster!$B:$B,0))="","",INDEX(Roster!$K:$K,MATCH($C618,Roster!$B:$B,0))&amp;""),"—"))</f>
        <v/>
      </c>
      <c r="M618" s="27" t="n"/>
      <c r="N618" s="27" t="n"/>
      <c r="O618" s="25">
        <f>IF($C618="","",IF($P618="","—",IF($P618="Valid (Pass)","Valid","Invalid")))</f>
        <v/>
      </c>
      <c r="P618" s="27" t="n"/>
      <c r="Q618" s="27" t="n"/>
      <c r="R618" s="27" t="n"/>
      <c r="S618" s="27" t="n"/>
      <c r="T618" s="25">
        <f>IF($C618="","",IF(OR(ISNUMBER(SEARCH("quick case",$P618)),ISNUMBER(SEARCH("quick case",$Q618))),"Yes","No"))</f>
        <v/>
      </c>
      <c r="U618" s="25">
        <f>IF($O618="Invalid",HYPERLINK("mailto:"&amp;$G618&amp;";"&amp;$I618&amp;"?cc="&amp;Lists!$E$2&amp;"&amp;subject="&amp;_xlfn.ENCODEURL("[INVALID] Quality audit monitoring completed for "&amp;UPPER($C618))&amp;"&amp;body="&amp;_xlfn.ENCODEURL("Hi "&amp;$F618&amp;","&amp;CHAR(10)&amp;"Good day!"&amp;CHAR(10)&amp;CHAR(10)&amp;"A quality monitoring audit has been completed for "&amp;$C618&amp;"."&amp;CHAR(10)&amp;CHAR(10)&amp;"QUALITY AUDIT DETAILS"&amp;CHAR(10)&amp;"Agent Name: "&amp;$C618&amp;" (EID "&amp;$D618&amp;")"&amp;CHAR(10)&amp;"Audit Date: "&amp;TEXT($B618,"yyyy-mm-dd")&amp;CHAR(10)&amp;"Team Leader: "&amp;$F618&amp;CHAR(10)&amp;"Case Number: "&amp;$M618&amp;CHAR(10)&amp;"Transaction ID: "&amp;$N618&amp;CHAR(10)&amp;"Channel / LOB: "&amp;$K618&amp;" / "&amp;$L618&amp;CHAR(10)&amp;"Evaluator: "&amp;$S618&amp;CHAR(10)&amp;CHAR(10)&amp;"INVALID QUALITY AUDIT DETAILS"&amp;CHAR(10)&amp;"Validation: Invalid"&amp;CHAR(10)&amp;"Invalid Reason: "&amp;$P618&amp;CHAR(10)&amp;"Expected Resolution Code: "&amp;$Q618&amp;CHAR(10)&amp;"Remarks: "&amp;LEFT($R618,600)&amp;CHAR(10)&amp;CHAR(10)&amp;"This is an automated notification from HP Mainstream EQMS."),"✉ Open Email Draft"),"")</f>
        <v/>
      </c>
    </row>
    <row r="619">
      <c r="A619" s="25">
        <f>IF($C619="","","AUD-2026-"&amp;TEXT(ROW()-1,"000000"))</f>
        <v/>
      </c>
      <c r="B619" s="26" t="n"/>
      <c r="C619" s="27" t="n"/>
      <c r="D619" s="25">
        <f>IF($C619="","",IFERROR(IF(INDEX(Roster!$A:$A,MATCH($C619,Roster!$B:$B,0))="","",INDEX(Roster!$A:$A,MATCH($C619,Roster!$B:$B,0))&amp;""),"—"))</f>
        <v/>
      </c>
      <c r="E619" s="25">
        <f>IF($C619="","",IFERROR(IF(INDEX(Roster!$C:$C,MATCH($C619,Roster!$B:$B,0))="","",INDEX(Roster!$C:$C,MATCH($C619,Roster!$B:$B,0))&amp;""),"—"))</f>
        <v/>
      </c>
      <c r="F619" s="25">
        <f>IF($C619="","",IFERROR(IF(INDEX(Roster!$D:$D,MATCH($C619,Roster!$B:$B,0))="","",INDEX(Roster!$D:$D,MATCH($C619,Roster!$B:$B,0))&amp;""),"—"))</f>
        <v/>
      </c>
      <c r="G619" s="25">
        <f>IF($C619="","",IFERROR(IF(INDEX(Roster!$E:$E,MATCH($C619,Roster!$B:$B,0))="","",INDEX(Roster!$E:$E,MATCH($C619,Roster!$B:$B,0))&amp;""),"—"))</f>
        <v/>
      </c>
      <c r="H619" s="25">
        <f>IF($C619="","",IFERROR(IF(INDEX(Roster!$F:$F,MATCH($C619,Roster!$B:$B,0))="","",INDEX(Roster!$F:$F,MATCH($C619,Roster!$B:$B,0))&amp;""),"—"))</f>
        <v/>
      </c>
      <c r="I619" s="25">
        <f>IF($C619="","",IFERROR(IF(INDEX(Roster!$G:$G,MATCH($C619,Roster!$B:$B,0))="","",INDEX(Roster!$G:$G,MATCH($C619,Roster!$B:$B,0))&amp;""),"—"))</f>
        <v/>
      </c>
      <c r="J619" s="25">
        <f>IF($C619="","",IFERROR(IF(INDEX(Roster!$I:$I,MATCH($C619,Roster!$B:$B,0))="","",INDEX(Roster!$I:$I,MATCH($C619,Roster!$B:$B,0))&amp;""),"—"))</f>
        <v/>
      </c>
      <c r="K619">
        <f>IF($C619="","",IFERROR(IF(INDEX(Roster!$J:$J,MATCH($C619,Roster!$B:$B,0))="","",INDEX(Roster!$J:$J,MATCH($C619,Roster!$B:$B,0))&amp;""),"—"))</f>
        <v/>
      </c>
      <c r="L619">
        <f>IF($C619="","",IFERROR(IF(INDEX(Roster!$K:$K,MATCH($C619,Roster!$B:$B,0))="","",INDEX(Roster!$K:$K,MATCH($C619,Roster!$B:$B,0))&amp;""),"—"))</f>
        <v/>
      </c>
      <c r="M619" s="27" t="n"/>
      <c r="N619" s="27" t="n"/>
      <c r="O619" s="25">
        <f>IF($C619="","",IF($P619="","—",IF($P619="Valid (Pass)","Valid","Invalid")))</f>
        <v/>
      </c>
      <c r="P619" s="27" t="n"/>
      <c r="Q619" s="27" t="n"/>
      <c r="R619" s="27" t="n"/>
      <c r="S619" s="27" t="n"/>
      <c r="T619" s="25">
        <f>IF($C619="","",IF(OR(ISNUMBER(SEARCH("quick case",$P619)),ISNUMBER(SEARCH("quick case",$Q619))),"Yes","No"))</f>
        <v/>
      </c>
      <c r="U619" s="25">
        <f>IF($O619="Invalid",HYPERLINK("mailto:"&amp;$G619&amp;";"&amp;$I619&amp;"?cc="&amp;Lists!$E$2&amp;"&amp;subject="&amp;_xlfn.ENCODEURL("[INVALID] Quality audit monitoring completed for "&amp;UPPER($C619))&amp;"&amp;body="&amp;_xlfn.ENCODEURL("Hi "&amp;$F619&amp;","&amp;CHAR(10)&amp;"Good day!"&amp;CHAR(10)&amp;CHAR(10)&amp;"A quality monitoring audit has been completed for "&amp;$C619&amp;"."&amp;CHAR(10)&amp;CHAR(10)&amp;"QUALITY AUDIT DETAILS"&amp;CHAR(10)&amp;"Agent Name: "&amp;$C619&amp;" (EID "&amp;$D619&amp;")"&amp;CHAR(10)&amp;"Audit Date: "&amp;TEXT($B619,"yyyy-mm-dd")&amp;CHAR(10)&amp;"Team Leader: "&amp;$F619&amp;CHAR(10)&amp;"Case Number: "&amp;$M619&amp;CHAR(10)&amp;"Transaction ID: "&amp;$N619&amp;CHAR(10)&amp;"Channel / LOB: "&amp;$K619&amp;" / "&amp;$L619&amp;CHAR(10)&amp;"Evaluator: "&amp;$S619&amp;CHAR(10)&amp;CHAR(10)&amp;"INVALID QUALITY AUDIT DETAILS"&amp;CHAR(10)&amp;"Validation: Invalid"&amp;CHAR(10)&amp;"Invalid Reason: "&amp;$P619&amp;CHAR(10)&amp;"Expected Resolution Code: "&amp;$Q619&amp;CHAR(10)&amp;"Remarks: "&amp;LEFT($R619,600)&amp;CHAR(10)&amp;CHAR(10)&amp;"This is an automated notification from HP Mainstream EQMS."),"✉ Open Email Draft"),"")</f>
        <v/>
      </c>
    </row>
    <row r="620">
      <c r="A620" s="25">
        <f>IF($C620="","","AUD-2026-"&amp;TEXT(ROW()-1,"000000"))</f>
        <v/>
      </c>
      <c r="B620" s="26" t="n"/>
      <c r="C620" s="27" t="n"/>
      <c r="D620" s="25">
        <f>IF($C620="","",IFERROR(IF(INDEX(Roster!$A:$A,MATCH($C620,Roster!$B:$B,0))="","",INDEX(Roster!$A:$A,MATCH($C620,Roster!$B:$B,0))&amp;""),"—"))</f>
        <v/>
      </c>
      <c r="E620" s="25">
        <f>IF($C620="","",IFERROR(IF(INDEX(Roster!$C:$C,MATCH($C620,Roster!$B:$B,0))="","",INDEX(Roster!$C:$C,MATCH($C620,Roster!$B:$B,0))&amp;""),"—"))</f>
        <v/>
      </c>
      <c r="F620" s="25">
        <f>IF($C620="","",IFERROR(IF(INDEX(Roster!$D:$D,MATCH($C620,Roster!$B:$B,0))="","",INDEX(Roster!$D:$D,MATCH($C620,Roster!$B:$B,0))&amp;""),"—"))</f>
        <v/>
      </c>
      <c r="G620" s="25">
        <f>IF($C620="","",IFERROR(IF(INDEX(Roster!$E:$E,MATCH($C620,Roster!$B:$B,0))="","",INDEX(Roster!$E:$E,MATCH($C620,Roster!$B:$B,0))&amp;""),"—"))</f>
        <v/>
      </c>
      <c r="H620" s="25">
        <f>IF($C620="","",IFERROR(IF(INDEX(Roster!$F:$F,MATCH($C620,Roster!$B:$B,0))="","",INDEX(Roster!$F:$F,MATCH($C620,Roster!$B:$B,0))&amp;""),"—"))</f>
        <v/>
      </c>
      <c r="I620" s="25">
        <f>IF($C620="","",IFERROR(IF(INDEX(Roster!$G:$G,MATCH($C620,Roster!$B:$B,0))="","",INDEX(Roster!$G:$G,MATCH($C620,Roster!$B:$B,0))&amp;""),"—"))</f>
        <v/>
      </c>
      <c r="J620" s="25">
        <f>IF($C620="","",IFERROR(IF(INDEX(Roster!$I:$I,MATCH($C620,Roster!$B:$B,0))="","",INDEX(Roster!$I:$I,MATCH($C620,Roster!$B:$B,0))&amp;""),"—"))</f>
        <v/>
      </c>
      <c r="K620">
        <f>IF($C620="","",IFERROR(IF(INDEX(Roster!$J:$J,MATCH($C620,Roster!$B:$B,0))="","",INDEX(Roster!$J:$J,MATCH($C620,Roster!$B:$B,0))&amp;""),"—"))</f>
        <v/>
      </c>
      <c r="L620">
        <f>IF($C620="","",IFERROR(IF(INDEX(Roster!$K:$K,MATCH($C620,Roster!$B:$B,0))="","",INDEX(Roster!$K:$K,MATCH($C620,Roster!$B:$B,0))&amp;""),"—"))</f>
        <v/>
      </c>
      <c r="M620" s="27" t="n"/>
      <c r="N620" s="27" t="n"/>
      <c r="O620" s="25">
        <f>IF($C620="","",IF($P620="","—",IF($P620="Valid (Pass)","Valid","Invalid")))</f>
        <v/>
      </c>
      <c r="P620" s="27" t="n"/>
      <c r="Q620" s="27" t="n"/>
      <c r="R620" s="27" t="n"/>
      <c r="S620" s="27" t="n"/>
      <c r="T620" s="25">
        <f>IF($C620="","",IF(OR(ISNUMBER(SEARCH("quick case",$P620)),ISNUMBER(SEARCH("quick case",$Q620))),"Yes","No"))</f>
        <v/>
      </c>
      <c r="U620" s="25">
        <f>IF($O620="Invalid",HYPERLINK("mailto:"&amp;$G620&amp;";"&amp;$I620&amp;"?cc="&amp;Lists!$E$2&amp;"&amp;subject="&amp;_xlfn.ENCODEURL("[INVALID] Quality audit monitoring completed for "&amp;UPPER($C620))&amp;"&amp;body="&amp;_xlfn.ENCODEURL("Hi "&amp;$F620&amp;","&amp;CHAR(10)&amp;"Good day!"&amp;CHAR(10)&amp;CHAR(10)&amp;"A quality monitoring audit has been completed for "&amp;$C620&amp;"."&amp;CHAR(10)&amp;CHAR(10)&amp;"QUALITY AUDIT DETAILS"&amp;CHAR(10)&amp;"Agent Name: "&amp;$C620&amp;" (EID "&amp;$D620&amp;")"&amp;CHAR(10)&amp;"Audit Date: "&amp;TEXT($B620,"yyyy-mm-dd")&amp;CHAR(10)&amp;"Team Leader: "&amp;$F620&amp;CHAR(10)&amp;"Case Number: "&amp;$M620&amp;CHAR(10)&amp;"Transaction ID: "&amp;$N620&amp;CHAR(10)&amp;"Channel / LOB: "&amp;$K620&amp;" / "&amp;$L620&amp;CHAR(10)&amp;"Evaluator: "&amp;$S620&amp;CHAR(10)&amp;CHAR(10)&amp;"INVALID QUALITY AUDIT DETAILS"&amp;CHAR(10)&amp;"Validation: Invalid"&amp;CHAR(10)&amp;"Invalid Reason: "&amp;$P620&amp;CHAR(10)&amp;"Expected Resolution Code: "&amp;$Q620&amp;CHAR(10)&amp;"Remarks: "&amp;LEFT($R620,600)&amp;CHAR(10)&amp;CHAR(10)&amp;"This is an automated notification from HP Mainstream EQMS."),"✉ Open Email Draft"),"")</f>
        <v/>
      </c>
    </row>
    <row r="621">
      <c r="A621" s="25">
        <f>IF($C621="","","AUD-2026-"&amp;TEXT(ROW()-1,"000000"))</f>
        <v/>
      </c>
      <c r="B621" s="26" t="n"/>
      <c r="C621" s="27" t="n"/>
      <c r="D621" s="25">
        <f>IF($C621="","",IFERROR(IF(INDEX(Roster!$A:$A,MATCH($C621,Roster!$B:$B,0))="","",INDEX(Roster!$A:$A,MATCH($C621,Roster!$B:$B,0))&amp;""),"—"))</f>
        <v/>
      </c>
      <c r="E621" s="25">
        <f>IF($C621="","",IFERROR(IF(INDEX(Roster!$C:$C,MATCH($C621,Roster!$B:$B,0))="","",INDEX(Roster!$C:$C,MATCH($C621,Roster!$B:$B,0))&amp;""),"—"))</f>
        <v/>
      </c>
      <c r="F621" s="25">
        <f>IF($C621="","",IFERROR(IF(INDEX(Roster!$D:$D,MATCH($C621,Roster!$B:$B,0))="","",INDEX(Roster!$D:$D,MATCH($C621,Roster!$B:$B,0))&amp;""),"—"))</f>
        <v/>
      </c>
      <c r="G621" s="25">
        <f>IF($C621="","",IFERROR(IF(INDEX(Roster!$E:$E,MATCH($C621,Roster!$B:$B,0))="","",INDEX(Roster!$E:$E,MATCH($C621,Roster!$B:$B,0))&amp;""),"—"))</f>
        <v/>
      </c>
      <c r="H621" s="25">
        <f>IF($C621="","",IFERROR(IF(INDEX(Roster!$F:$F,MATCH($C621,Roster!$B:$B,0))="","",INDEX(Roster!$F:$F,MATCH($C621,Roster!$B:$B,0))&amp;""),"—"))</f>
        <v/>
      </c>
      <c r="I621" s="25">
        <f>IF($C621="","",IFERROR(IF(INDEX(Roster!$G:$G,MATCH($C621,Roster!$B:$B,0))="","",INDEX(Roster!$G:$G,MATCH($C621,Roster!$B:$B,0))&amp;""),"—"))</f>
        <v/>
      </c>
      <c r="J621" s="25">
        <f>IF($C621="","",IFERROR(IF(INDEX(Roster!$I:$I,MATCH($C621,Roster!$B:$B,0))="","",INDEX(Roster!$I:$I,MATCH($C621,Roster!$B:$B,0))&amp;""),"—"))</f>
        <v/>
      </c>
      <c r="K621">
        <f>IF($C621="","",IFERROR(IF(INDEX(Roster!$J:$J,MATCH($C621,Roster!$B:$B,0))="","",INDEX(Roster!$J:$J,MATCH($C621,Roster!$B:$B,0))&amp;""),"—"))</f>
        <v/>
      </c>
      <c r="L621">
        <f>IF($C621="","",IFERROR(IF(INDEX(Roster!$K:$K,MATCH($C621,Roster!$B:$B,0))="","",INDEX(Roster!$K:$K,MATCH($C621,Roster!$B:$B,0))&amp;""),"—"))</f>
        <v/>
      </c>
      <c r="M621" s="27" t="n"/>
      <c r="N621" s="27" t="n"/>
      <c r="O621" s="25">
        <f>IF($C621="","",IF($P621="","—",IF($P621="Valid (Pass)","Valid","Invalid")))</f>
        <v/>
      </c>
      <c r="P621" s="27" t="n"/>
      <c r="Q621" s="27" t="n"/>
      <c r="R621" s="27" t="n"/>
      <c r="S621" s="27" t="n"/>
      <c r="T621" s="25">
        <f>IF($C621="","",IF(OR(ISNUMBER(SEARCH("quick case",$P621)),ISNUMBER(SEARCH("quick case",$Q621))),"Yes","No"))</f>
        <v/>
      </c>
      <c r="U621" s="25">
        <f>IF($O621="Invalid",HYPERLINK("mailto:"&amp;$G621&amp;";"&amp;$I621&amp;"?cc="&amp;Lists!$E$2&amp;"&amp;subject="&amp;_xlfn.ENCODEURL("[INVALID] Quality audit monitoring completed for "&amp;UPPER($C621))&amp;"&amp;body="&amp;_xlfn.ENCODEURL("Hi "&amp;$F621&amp;","&amp;CHAR(10)&amp;"Good day!"&amp;CHAR(10)&amp;CHAR(10)&amp;"A quality monitoring audit has been completed for "&amp;$C621&amp;"."&amp;CHAR(10)&amp;CHAR(10)&amp;"QUALITY AUDIT DETAILS"&amp;CHAR(10)&amp;"Agent Name: "&amp;$C621&amp;" (EID "&amp;$D621&amp;")"&amp;CHAR(10)&amp;"Audit Date: "&amp;TEXT($B621,"yyyy-mm-dd")&amp;CHAR(10)&amp;"Team Leader: "&amp;$F621&amp;CHAR(10)&amp;"Case Number: "&amp;$M621&amp;CHAR(10)&amp;"Transaction ID: "&amp;$N621&amp;CHAR(10)&amp;"Channel / LOB: "&amp;$K621&amp;" / "&amp;$L621&amp;CHAR(10)&amp;"Evaluator: "&amp;$S621&amp;CHAR(10)&amp;CHAR(10)&amp;"INVALID QUALITY AUDIT DETAILS"&amp;CHAR(10)&amp;"Validation: Invalid"&amp;CHAR(10)&amp;"Invalid Reason: "&amp;$P621&amp;CHAR(10)&amp;"Expected Resolution Code: "&amp;$Q621&amp;CHAR(10)&amp;"Remarks: "&amp;LEFT($R621,600)&amp;CHAR(10)&amp;CHAR(10)&amp;"This is an automated notification from HP Mainstream EQMS."),"✉ Open Email Draft"),"")</f>
        <v/>
      </c>
    </row>
    <row r="622">
      <c r="A622" s="25">
        <f>IF($C622="","","AUD-2026-"&amp;TEXT(ROW()-1,"000000"))</f>
        <v/>
      </c>
      <c r="B622" s="26" t="n"/>
      <c r="C622" s="27" t="n"/>
      <c r="D622" s="25">
        <f>IF($C622="","",IFERROR(IF(INDEX(Roster!$A:$A,MATCH($C622,Roster!$B:$B,0))="","",INDEX(Roster!$A:$A,MATCH($C622,Roster!$B:$B,0))&amp;""),"—"))</f>
        <v/>
      </c>
      <c r="E622" s="25">
        <f>IF($C622="","",IFERROR(IF(INDEX(Roster!$C:$C,MATCH($C622,Roster!$B:$B,0))="","",INDEX(Roster!$C:$C,MATCH($C622,Roster!$B:$B,0))&amp;""),"—"))</f>
        <v/>
      </c>
      <c r="F622" s="25">
        <f>IF($C622="","",IFERROR(IF(INDEX(Roster!$D:$D,MATCH($C622,Roster!$B:$B,0))="","",INDEX(Roster!$D:$D,MATCH($C622,Roster!$B:$B,0))&amp;""),"—"))</f>
        <v/>
      </c>
      <c r="G622" s="25">
        <f>IF($C622="","",IFERROR(IF(INDEX(Roster!$E:$E,MATCH($C622,Roster!$B:$B,0))="","",INDEX(Roster!$E:$E,MATCH($C622,Roster!$B:$B,0))&amp;""),"—"))</f>
        <v/>
      </c>
      <c r="H622" s="25">
        <f>IF($C622="","",IFERROR(IF(INDEX(Roster!$F:$F,MATCH($C622,Roster!$B:$B,0))="","",INDEX(Roster!$F:$F,MATCH($C622,Roster!$B:$B,0))&amp;""),"—"))</f>
        <v/>
      </c>
      <c r="I622" s="25">
        <f>IF($C622="","",IFERROR(IF(INDEX(Roster!$G:$G,MATCH($C622,Roster!$B:$B,0))="","",INDEX(Roster!$G:$G,MATCH($C622,Roster!$B:$B,0))&amp;""),"—"))</f>
        <v/>
      </c>
      <c r="J622" s="25">
        <f>IF($C622="","",IFERROR(IF(INDEX(Roster!$I:$I,MATCH($C622,Roster!$B:$B,0))="","",INDEX(Roster!$I:$I,MATCH($C622,Roster!$B:$B,0))&amp;""),"—"))</f>
        <v/>
      </c>
      <c r="K622">
        <f>IF($C622="","",IFERROR(IF(INDEX(Roster!$J:$J,MATCH($C622,Roster!$B:$B,0))="","",INDEX(Roster!$J:$J,MATCH($C622,Roster!$B:$B,0))&amp;""),"—"))</f>
        <v/>
      </c>
      <c r="L622">
        <f>IF($C622="","",IFERROR(IF(INDEX(Roster!$K:$K,MATCH($C622,Roster!$B:$B,0))="","",INDEX(Roster!$K:$K,MATCH($C622,Roster!$B:$B,0))&amp;""),"—"))</f>
        <v/>
      </c>
      <c r="M622" s="27" t="n"/>
      <c r="N622" s="27" t="n"/>
      <c r="O622" s="25">
        <f>IF($C622="","",IF($P622="","—",IF($P622="Valid (Pass)","Valid","Invalid")))</f>
        <v/>
      </c>
      <c r="P622" s="27" t="n"/>
      <c r="Q622" s="27" t="n"/>
      <c r="R622" s="27" t="n"/>
      <c r="S622" s="27" t="n"/>
      <c r="T622" s="25">
        <f>IF($C622="","",IF(OR(ISNUMBER(SEARCH("quick case",$P622)),ISNUMBER(SEARCH("quick case",$Q622))),"Yes","No"))</f>
        <v/>
      </c>
      <c r="U622" s="25">
        <f>IF($O622="Invalid",HYPERLINK("mailto:"&amp;$G622&amp;";"&amp;$I622&amp;"?cc="&amp;Lists!$E$2&amp;"&amp;subject="&amp;_xlfn.ENCODEURL("[INVALID] Quality audit monitoring completed for "&amp;UPPER($C622))&amp;"&amp;body="&amp;_xlfn.ENCODEURL("Hi "&amp;$F622&amp;","&amp;CHAR(10)&amp;"Good day!"&amp;CHAR(10)&amp;CHAR(10)&amp;"A quality monitoring audit has been completed for "&amp;$C622&amp;"."&amp;CHAR(10)&amp;CHAR(10)&amp;"QUALITY AUDIT DETAILS"&amp;CHAR(10)&amp;"Agent Name: "&amp;$C622&amp;" (EID "&amp;$D622&amp;")"&amp;CHAR(10)&amp;"Audit Date: "&amp;TEXT($B622,"yyyy-mm-dd")&amp;CHAR(10)&amp;"Team Leader: "&amp;$F622&amp;CHAR(10)&amp;"Case Number: "&amp;$M622&amp;CHAR(10)&amp;"Transaction ID: "&amp;$N622&amp;CHAR(10)&amp;"Channel / LOB: "&amp;$K622&amp;" / "&amp;$L622&amp;CHAR(10)&amp;"Evaluator: "&amp;$S622&amp;CHAR(10)&amp;CHAR(10)&amp;"INVALID QUALITY AUDIT DETAILS"&amp;CHAR(10)&amp;"Validation: Invalid"&amp;CHAR(10)&amp;"Invalid Reason: "&amp;$P622&amp;CHAR(10)&amp;"Expected Resolution Code: "&amp;$Q622&amp;CHAR(10)&amp;"Remarks: "&amp;LEFT($R622,600)&amp;CHAR(10)&amp;CHAR(10)&amp;"This is an automated notification from HP Mainstream EQMS."),"✉ Open Email Draft"),"")</f>
        <v/>
      </c>
    </row>
    <row r="623">
      <c r="A623" s="25">
        <f>IF($C623="","","AUD-2026-"&amp;TEXT(ROW()-1,"000000"))</f>
        <v/>
      </c>
      <c r="B623" s="26" t="n"/>
      <c r="C623" s="27" t="n"/>
      <c r="D623" s="25">
        <f>IF($C623="","",IFERROR(IF(INDEX(Roster!$A:$A,MATCH($C623,Roster!$B:$B,0))="","",INDEX(Roster!$A:$A,MATCH($C623,Roster!$B:$B,0))&amp;""),"—"))</f>
        <v/>
      </c>
      <c r="E623" s="25">
        <f>IF($C623="","",IFERROR(IF(INDEX(Roster!$C:$C,MATCH($C623,Roster!$B:$B,0))="","",INDEX(Roster!$C:$C,MATCH($C623,Roster!$B:$B,0))&amp;""),"—"))</f>
        <v/>
      </c>
      <c r="F623" s="25">
        <f>IF($C623="","",IFERROR(IF(INDEX(Roster!$D:$D,MATCH($C623,Roster!$B:$B,0))="","",INDEX(Roster!$D:$D,MATCH($C623,Roster!$B:$B,0))&amp;""),"—"))</f>
        <v/>
      </c>
      <c r="G623" s="25">
        <f>IF($C623="","",IFERROR(IF(INDEX(Roster!$E:$E,MATCH($C623,Roster!$B:$B,0))="","",INDEX(Roster!$E:$E,MATCH($C623,Roster!$B:$B,0))&amp;""),"—"))</f>
        <v/>
      </c>
      <c r="H623" s="25">
        <f>IF($C623="","",IFERROR(IF(INDEX(Roster!$F:$F,MATCH($C623,Roster!$B:$B,0))="","",INDEX(Roster!$F:$F,MATCH($C623,Roster!$B:$B,0))&amp;""),"—"))</f>
        <v/>
      </c>
      <c r="I623" s="25">
        <f>IF($C623="","",IFERROR(IF(INDEX(Roster!$G:$G,MATCH($C623,Roster!$B:$B,0))="","",INDEX(Roster!$G:$G,MATCH($C623,Roster!$B:$B,0))&amp;""),"—"))</f>
        <v/>
      </c>
      <c r="J623" s="25">
        <f>IF($C623="","",IFERROR(IF(INDEX(Roster!$I:$I,MATCH($C623,Roster!$B:$B,0))="","",INDEX(Roster!$I:$I,MATCH($C623,Roster!$B:$B,0))&amp;""),"—"))</f>
        <v/>
      </c>
      <c r="K623">
        <f>IF($C623="","",IFERROR(IF(INDEX(Roster!$J:$J,MATCH($C623,Roster!$B:$B,0))="","",INDEX(Roster!$J:$J,MATCH($C623,Roster!$B:$B,0))&amp;""),"—"))</f>
        <v/>
      </c>
      <c r="L623">
        <f>IF($C623="","",IFERROR(IF(INDEX(Roster!$K:$K,MATCH($C623,Roster!$B:$B,0))="","",INDEX(Roster!$K:$K,MATCH($C623,Roster!$B:$B,0))&amp;""),"—"))</f>
        <v/>
      </c>
      <c r="M623" s="27" t="n"/>
      <c r="N623" s="27" t="n"/>
      <c r="O623" s="25">
        <f>IF($C623="","",IF($P623="","—",IF($P623="Valid (Pass)","Valid","Invalid")))</f>
        <v/>
      </c>
      <c r="P623" s="27" t="n"/>
      <c r="Q623" s="27" t="n"/>
      <c r="R623" s="27" t="n"/>
      <c r="S623" s="27" t="n"/>
      <c r="T623" s="25">
        <f>IF($C623="","",IF(OR(ISNUMBER(SEARCH("quick case",$P623)),ISNUMBER(SEARCH("quick case",$Q623))),"Yes","No"))</f>
        <v/>
      </c>
      <c r="U623" s="25">
        <f>IF($O623="Invalid",HYPERLINK("mailto:"&amp;$G623&amp;";"&amp;$I623&amp;"?cc="&amp;Lists!$E$2&amp;"&amp;subject="&amp;_xlfn.ENCODEURL("[INVALID] Quality audit monitoring completed for "&amp;UPPER($C623))&amp;"&amp;body="&amp;_xlfn.ENCODEURL("Hi "&amp;$F623&amp;","&amp;CHAR(10)&amp;"Good day!"&amp;CHAR(10)&amp;CHAR(10)&amp;"A quality monitoring audit has been completed for "&amp;$C623&amp;"."&amp;CHAR(10)&amp;CHAR(10)&amp;"QUALITY AUDIT DETAILS"&amp;CHAR(10)&amp;"Agent Name: "&amp;$C623&amp;" (EID "&amp;$D623&amp;")"&amp;CHAR(10)&amp;"Audit Date: "&amp;TEXT($B623,"yyyy-mm-dd")&amp;CHAR(10)&amp;"Team Leader: "&amp;$F623&amp;CHAR(10)&amp;"Case Number: "&amp;$M623&amp;CHAR(10)&amp;"Transaction ID: "&amp;$N623&amp;CHAR(10)&amp;"Channel / LOB: "&amp;$K623&amp;" / "&amp;$L623&amp;CHAR(10)&amp;"Evaluator: "&amp;$S623&amp;CHAR(10)&amp;CHAR(10)&amp;"INVALID QUALITY AUDIT DETAILS"&amp;CHAR(10)&amp;"Validation: Invalid"&amp;CHAR(10)&amp;"Invalid Reason: "&amp;$P623&amp;CHAR(10)&amp;"Expected Resolution Code: "&amp;$Q623&amp;CHAR(10)&amp;"Remarks: "&amp;LEFT($R623,600)&amp;CHAR(10)&amp;CHAR(10)&amp;"This is an automated notification from HP Mainstream EQMS."),"✉ Open Email Draft"),"")</f>
        <v/>
      </c>
    </row>
    <row r="624">
      <c r="A624" s="25">
        <f>IF($C624="","","AUD-2026-"&amp;TEXT(ROW()-1,"000000"))</f>
        <v/>
      </c>
      <c r="B624" s="26" t="n"/>
      <c r="C624" s="27" t="n"/>
      <c r="D624" s="25">
        <f>IF($C624="","",IFERROR(IF(INDEX(Roster!$A:$A,MATCH($C624,Roster!$B:$B,0))="","",INDEX(Roster!$A:$A,MATCH($C624,Roster!$B:$B,0))&amp;""),"—"))</f>
        <v/>
      </c>
      <c r="E624" s="25">
        <f>IF($C624="","",IFERROR(IF(INDEX(Roster!$C:$C,MATCH($C624,Roster!$B:$B,0))="","",INDEX(Roster!$C:$C,MATCH($C624,Roster!$B:$B,0))&amp;""),"—"))</f>
        <v/>
      </c>
      <c r="F624" s="25">
        <f>IF($C624="","",IFERROR(IF(INDEX(Roster!$D:$D,MATCH($C624,Roster!$B:$B,0))="","",INDEX(Roster!$D:$D,MATCH($C624,Roster!$B:$B,0))&amp;""),"—"))</f>
        <v/>
      </c>
      <c r="G624" s="25">
        <f>IF($C624="","",IFERROR(IF(INDEX(Roster!$E:$E,MATCH($C624,Roster!$B:$B,0))="","",INDEX(Roster!$E:$E,MATCH($C624,Roster!$B:$B,0))&amp;""),"—"))</f>
        <v/>
      </c>
      <c r="H624" s="25">
        <f>IF($C624="","",IFERROR(IF(INDEX(Roster!$F:$F,MATCH($C624,Roster!$B:$B,0))="","",INDEX(Roster!$F:$F,MATCH($C624,Roster!$B:$B,0))&amp;""),"—"))</f>
        <v/>
      </c>
      <c r="I624" s="25">
        <f>IF($C624="","",IFERROR(IF(INDEX(Roster!$G:$G,MATCH($C624,Roster!$B:$B,0))="","",INDEX(Roster!$G:$G,MATCH($C624,Roster!$B:$B,0))&amp;""),"—"))</f>
        <v/>
      </c>
      <c r="J624" s="25">
        <f>IF($C624="","",IFERROR(IF(INDEX(Roster!$I:$I,MATCH($C624,Roster!$B:$B,0))="","",INDEX(Roster!$I:$I,MATCH($C624,Roster!$B:$B,0))&amp;""),"—"))</f>
        <v/>
      </c>
      <c r="K624">
        <f>IF($C624="","",IFERROR(IF(INDEX(Roster!$J:$J,MATCH($C624,Roster!$B:$B,0))="","",INDEX(Roster!$J:$J,MATCH($C624,Roster!$B:$B,0))&amp;""),"—"))</f>
        <v/>
      </c>
      <c r="L624">
        <f>IF($C624="","",IFERROR(IF(INDEX(Roster!$K:$K,MATCH($C624,Roster!$B:$B,0))="","",INDEX(Roster!$K:$K,MATCH($C624,Roster!$B:$B,0))&amp;""),"—"))</f>
        <v/>
      </c>
      <c r="M624" s="27" t="n"/>
      <c r="N624" s="27" t="n"/>
      <c r="O624" s="25">
        <f>IF($C624="","",IF($P624="","—",IF($P624="Valid (Pass)","Valid","Invalid")))</f>
        <v/>
      </c>
      <c r="P624" s="27" t="n"/>
      <c r="Q624" s="27" t="n"/>
      <c r="R624" s="27" t="n"/>
      <c r="S624" s="27" t="n"/>
      <c r="T624" s="25">
        <f>IF($C624="","",IF(OR(ISNUMBER(SEARCH("quick case",$P624)),ISNUMBER(SEARCH("quick case",$Q624))),"Yes","No"))</f>
        <v/>
      </c>
      <c r="U624" s="25">
        <f>IF($O624="Invalid",HYPERLINK("mailto:"&amp;$G624&amp;";"&amp;$I624&amp;"?cc="&amp;Lists!$E$2&amp;"&amp;subject="&amp;_xlfn.ENCODEURL("[INVALID] Quality audit monitoring completed for "&amp;UPPER($C624))&amp;"&amp;body="&amp;_xlfn.ENCODEURL("Hi "&amp;$F624&amp;","&amp;CHAR(10)&amp;"Good day!"&amp;CHAR(10)&amp;CHAR(10)&amp;"A quality monitoring audit has been completed for "&amp;$C624&amp;"."&amp;CHAR(10)&amp;CHAR(10)&amp;"QUALITY AUDIT DETAILS"&amp;CHAR(10)&amp;"Agent Name: "&amp;$C624&amp;" (EID "&amp;$D624&amp;")"&amp;CHAR(10)&amp;"Audit Date: "&amp;TEXT($B624,"yyyy-mm-dd")&amp;CHAR(10)&amp;"Team Leader: "&amp;$F624&amp;CHAR(10)&amp;"Case Number: "&amp;$M624&amp;CHAR(10)&amp;"Transaction ID: "&amp;$N624&amp;CHAR(10)&amp;"Channel / LOB: "&amp;$K624&amp;" / "&amp;$L624&amp;CHAR(10)&amp;"Evaluator: "&amp;$S624&amp;CHAR(10)&amp;CHAR(10)&amp;"INVALID QUALITY AUDIT DETAILS"&amp;CHAR(10)&amp;"Validation: Invalid"&amp;CHAR(10)&amp;"Invalid Reason: "&amp;$P624&amp;CHAR(10)&amp;"Expected Resolution Code: "&amp;$Q624&amp;CHAR(10)&amp;"Remarks: "&amp;LEFT($R624,600)&amp;CHAR(10)&amp;CHAR(10)&amp;"This is an automated notification from HP Mainstream EQMS."),"✉ Open Email Draft"),"")</f>
        <v/>
      </c>
    </row>
    <row r="625">
      <c r="A625" s="25">
        <f>IF($C625="","","AUD-2026-"&amp;TEXT(ROW()-1,"000000"))</f>
        <v/>
      </c>
      <c r="B625" s="26" t="n"/>
      <c r="C625" s="27" t="n"/>
      <c r="D625" s="25">
        <f>IF($C625="","",IFERROR(IF(INDEX(Roster!$A:$A,MATCH($C625,Roster!$B:$B,0))="","",INDEX(Roster!$A:$A,MATCH($C625,Roster!$B:$B,0))&amp;""),"—"))</f>
        <v/>
      </c>
      <c r="E625" s="25">
        <f>IF($C625="","",IFERROR(IF(INDEX(Roster!$C:$C,MATCH($C625,Roster!$B:$B,0))="","",INDEX(Roster!$C:$C,MATCH($C625,Roster!$B:$B,0))&amp;""),"—"))</f>
        <v/>
      </c>
      <c r="F625" s="25">
        <f>IF($C625="","",IFERROR(IF(INDEX(Roster!$D:$D,MATCH($C625,Roster!$B:$B,0))="","",INDEX(Roster!$D:$D,MATCH($C625,Roster!$B:$B,0))&amp;""),"—"))</f>
        <v/>
      </c>
      <c r="G625" s="25">
        <f>IF($C625="","",IFERROR(IF(INDEX(Roster!$E:$E,MATCH($C625,Roster!$B:$B,0))="","",INDEX(Roster!$E:$E,MATCH($C625,Roster!$B:$B,0))&amp;""),"—"))</f>
        <v/>
      </c>
      <c r="H625" s="25">
        <f>IF($C625="","",IFERROR(IF(INDEX(Roster!$F:$F,MATCH($C625,Roster!$B:$B,0))="","",INDEX(Roster!$F:$F,MATCH($C625,Roster!$B:$B,0))&amp;""),"—"))</f>
        <v/>
      </c>
      <c r="I625" s="25">
        <f>IF($C625="","",IFERROR(IF(INDEX(Roster!$G:$G,MATCH($C625,Roster!$B:$B,0))="","",INDEX(Roster!$G:$G,MATCH($C625,Roster!$B:$B,0))&amp;""),"—"))</f>
        <v/>
      </c>
      <c r="J625" s="25">
        <f>IF($C625="","",IFERROR(IF(INDEX(Roster!$I:$I,MATCH($C625,Roster!$B:$B,0))="","",INDEX(Roster!$I:$I,MATCH($C625,Roster!$B:$B,0))&amp;""),"—"))</f>
        <v/>
      </c>
      <c r="K625">
        <f>IF($C625="","",IFERROR(IF(INDEX(Roster!$J:$J,MATCH($C625,Roster!$B:$B,0))="","",INDEX(Roster!$J:$J,MATCH($C625,Roster!$B:$B,0))&amp;""),"—"))</f>
        <v/>
      </c>
      <c r="L625">
        <f>IF($C625="","",IFERROR(IF(INDEX(Roster!$K:$K,MATCH($C625,Roster!$B:$B,0))="","",INDEX(Roster!$K:$K,MATCH($C625,Roster!$B:$B,0))&amp;""),"—"))</f>
        <v/>
      </c>
      <c r="M625" s="27" t="n"/>
      <c r="N625" s="27" t="n"/>
      <c r="O625" s="25">
        <f>IF($C625="","",IF($P625="","—",IF($P625="Valid (Pass)","Valid","Invalid")))</f>
        <v/>
      </c>
      <c r="P625" s="27" t="n"/>
      <c r="Q625" s="27" t="n"/>
      <c r="R625" s="27" t="n"/>
      <c r="S625" s="27" t="n"/>
      <c r="T625" s="25">
        <f>IF($C625="","",IF(OR(ISNUMBER(SEARCH("quick case",$P625)),ISNUMBER(SEARCH("quick case",$Q625))),"Yes","No"))</f>
        <v/>
      </c>
      <c r="U625" s="25">
        <f>IF($O625="Invalid",HYPERLINK("mailto:"&amp;$G625&amp;";"&amp;$I625&amp;"?cc="&amp;Lists!$E$2&amp;"&amp;subject="&amp;_xlfn.ENCODEURL("[INVALID] Quality audit monitoring completed for "&amp;UPPER($C625))&amp;"&amp;body="&amp;_xlfn.ENCODEURL("Hi "&amp;$F625&amp;","&amp;CHAR(10)&amp;"Good day!"&amp;CHAR(10)&amp;CHAR(10)&amp;"A quality monitoring audit has been completed for "&amp;$C625&amp;"."&amp;CHAR(10)&amp;CHAR(10)&amp;"QUALITY AUDIT DETAILS"&amp;CHAR(10)&amp;"Agent Name: "&amp;$C625&amp;" (EID "&amp;$D625&amp;")"&amp;CHAR(10)&amp;"Audit Date: "&amp;TEXT($B625,"yyyy-mm-dd")&amp;CHAR(10)&amp;"Team Leader: "&amp;$F625&amp;CHAR(10)&amp;"Case Number: "&amp;$M625&amp;CHAR(10)&amp;"Transaction ID: "&amp;$N625&amp;CHAR(10)&amp;"Channel / LOB: "&amp;$K625&amp;" / "&amp;$L625&amp;CHAR(10)&amp;"Evaluator: "&amp;$S625&amp;CHAR(10)&amp;CHAR(10)&amp;"INVALID QUALITY AUDIT DETAILS"&amp;CHAR(10)&amp;"Validation: Invalid"&amp;CHAR(10)&amp;"Invalid Reason: "&amp;$P625&amp;CHAR(10)&amp;"Expected Resolution Code: "&amp;$Q625&amp;CHAR(10)&amp;"Remarks: "&amp;LEFT($R625,600)&amp;CHAR(10)&amp;CHAR(10)&amp;"This is an automated notification from HP Mainstream EQMS."),"✉ Open Email Draft"),"")</f>
        <v/>
      </c>
    </row>
    <row r="626">
      <c r="A626" s="25">
        <f>IF($C626="","","AUD-2026-"&amp;TEXT(ROW()-1,"000000"))</f>
        <v/>
      </c>
      <c r="B626" s="26" t="n"/>
      <c r="C626" s="27" t="n"/>
      <c r="D626" s="25">
        <f>IF($C626="","",IFERROR(IF(INDEX(Roster!$A:$A,MATCH($C626,Roster!$B:$B,0))="","",INDEX(Roster!$A:$A,MATCH($C626,Roster!$B:$B,0))&amp;""),"—"))</f>
        <v/>
      </c>
      <c r="E626" s="25">
        <f>IF($C626="","",IFERROR(IF(INDEX(Roster!$C:$C,MATCH($C626,Roster!$B:$B,0))="","",INDEX(Roster!$C:$C,MATCH($C626,Roster!$B:$B,0))&amp;""),"—"))</f>
        <v/>
      </c>
      <c r="F626" s="25">
        <f>IF($C626="","",IFERROR(IF(INDEX(Roster!$D:$D,MATCH($C626,Roster!$B:$B,0))="","",INDEX(Roster!$D:$D,MATCH($C626,Roster!$B:$B,0))&amp;""),"—"))</f>
        <v/>
      </c>
      <c r="G626" s="25">
        <f>IF($C626="","",IFERROR(IF(INDEX(Roster!$E:$E,MATCH($C626,Roster!$B:$B,0))="","",INDEX(Roster!$E:$E,MATCH($C626,Roster!$B:$B,0))&amp;""),"—"))</f>
        <v/>
      </c>
      <c r="H626" s="25">
        <f>IF($C626="","",IFERROR(IF(INDEX(Roster!$F:$F,MATCH($C626,Roster!$B:$B,0))="","",INDEX(Roster!$F:$F,MATCH($C626,Roster!$B:$B,0))&amp;""),"—"))</f>
        <v/>
      </c>
      <c r="I626" s="25">
        <f>IF($C626="","",IFERROR(IF(INDEX(Roster!$G:$G,MATCH($C626,Roster!$B:$B,0))="","",INDEX(Roster!$G:$G,MATCH($C626,Roster!$B:$B,0))&amp;""),"—"))</f>
        <v/>
      </c>
      <c r="J626" s="25">
        <f>IF($C626="","",IFERROR(IF(INDEX(Roster!$I:$I,MATCH($C626,Roster!$B:$B,0))="","",INDEX(Roster!$I:$I,MATCH($C626,Roster!$B:$B,0))&amp;""),"—"))</f>
        <v/>
      </c>
      <c r="K626">
        <f>IF($C626="","",IFERROR(IF(INDEX(Roster!$J:$J,MATCH($C626,Roster!$B:$B,0))="","",INDEX(Roster!$J:$J,MATCH($C626,Roster!$B:$B,0))&amp;""),"—"))</f>
        <v/>
      </c>
      <c r="L626">
        <f>IF($C626="","",IFERROR(IF(INDEX(Roster!$K:$K,MATCH($C626,Roster!$B:$B,0))="","",INDEX(Roster!$K:$K,MATCH($C626,Roster!$B:$B,0))&amp;""),"—"))</f>
        <v/>
      </c>
      <c r="M626" s="27" t="n"/>
      <c r="N626" s="27" t="n"/>
      <c r="O626" s="25">
        <f>IF($C626="","",IF($P626="","—",IF($P626="Valid (Pass)","Valid","Invalid")))</f>
        <v/>
      </c>
      <c r="P626" s="27" t="n"/>
      <c r="Q626" s="27" t="n"/>
      <c r="R626" s="27" t="n"/>
      <c r="S626" s="27" t="n"/>
      <c r="T626" s="25">
        <f>IF($C626="","",IF(OR(ISNUMBER(SEARCH("quick case",$P626)),ISNUMBER(SEARCH("quick case",$Q626))),"Yes","No"))</f>
        <v/>
      </c>
      <c r="U626" s="25">
        <f>IF($O626="Invalid",HYPERLINK("mailto:"&amp;$G626&amp;";"&amp;$I626&amp;"?cc="&amp;Lists!$E$2&amp;"&amp;subject="&amp;_xlfn.ENCODEURL("[INVALID] Quality audit monitoring completed for "&amp;UPPER($C626))&amp;"&amp;body="&amp;_xlfn.ENCODEURL("Hi "&amp;$F626&amp;","&amp;CHAR(10)&amp;"Good day!"&amp;CHAR(10)&amp;CHAR(10)&amp;"A quality monitoring audit has been completed for "&amp;$C626&amp;"."&amp;CHAR(10)&amp;CHAR(10)&amp;"QUALITY AUDIT DETAILS"&amp;CHAR(10)&amp;"Agent Name: "&amp;$C626&amp;" (EID "&amp;$D626&amp;")"&amp;CHAR(10)&amp;"Audit Date: "&amp;TEXT($B626,"yyyy-mm-dd")&amp;CHAR(10)&amp;"Team Leader: "&amp;$F626&amp;CHAR(10)&amp;"Case Number: "&amp;$M626&amp;CHAR(10)&amp;"Transaction ID: "&amp;$N626&amp;CHAR(10)&amp;"Channel / LOB: "&amp;$K626&amp;" / "&amp;$L626&amp;CHAR(10)&amp;"Evaluator: "&amp;$S626&amp;CHAR(10)&amp;CHAR(10)&amp;"INVALID QUALITY AUDIT DETAILS"&amp;CHAR(10)&amp;"Validation: Invalid"&amp;CHAR(10)&amp;"Invalid Reason: "&amp;$P626&amp;CHAR(10)&amp;"Expected Resolution Code: "&amp;$Q626&amp;CHAR(10)&amp;"Remarks: "&amp;LEFT($R626,600)&amp;CHAR(10)&amp;CHAR(10)&amp;"This is an automated notification from HP Mainstream EQMS."),"✉ Open Email Draft"),"")</f>
        <v/>
      </c>
    </row>
    <row r="627">
      <c r="A627" s="25">
        <f>IF($C627="","","AUD-2026-"&amp;TEXT(ROW()-1,"000000"))</f>
        <v/>
      </c>
      <c r="B627" s="26" t="n"/>
      <c r="C627" s="27" t="n"/>
      <c r="D627" s="25">
        <f>IF($C627="","",IFERROR(IF(INDEX(Roster!$A:$A,MATCH($C627,Roster!$B:$B,0))="","",INDEX(Roster!$A:$A,MATCH($C627,Roster!$B:$B,0))&amp;""),"—"))</f>
        <v/>
      </c>
      <c r="E627" s="25">
        <f>IF($C627="","",IFERROR(IF(INDEX(Roster!$C:$C,MATCH($C627,Roster!$B:$B,0))="","",INDEX(Roster!$C:$C,MATCH($C627,Roster!$B:$B,0))&amp;""),"—"))</f>
        <v/>
      </c>
      <c r="F627" s="25">
        <f>IF($C627="","",IFERROR(IF(INDEX(Roster!$D:$D,MATCH($C627,Roster!$B:$B,0))="","",INDEX(Roster!$D:$D,MATCH($C627,Roster!$B:$B,0))&amp;""),"—"))</f>
        <v/>
      </c>
      <c r="G627" s="25">
        <f>IF($C627="","",IFERROR(IF(INDEX(Roster!$E:$E,MATCH($C627,Roster!$B:$B,0))="","",INDEX(Roster!$E:$E,MATCH($C627,Roster!$B:$B,0))&amp;""),"—"))</f>
        <v/>
      </c>
      <c r="H627" s="25">
        <f>IF($C627="","",IFERROR(IF(INDEX(Roster!$F:$F,MATCH($C627,Roster!$B:$B,0))="","",INDEX(Roster!$F:$F,MATCH($C627,Roster!$B:$B,0))&amp;""),"—"))</f>
        <v/>
      </c>
      <c r="I627" s="25">
        <f>IF($C627="","",IFERROR(IF(INDEX(Roster!$G:$G,MATCH($C627,Roster!$B:$B,0))="","",INDEX(Roster!$G:$G,MATCH($C627,Roster!$B:$B,0))&amp;""),"—"))</f>
        <v/>
      </c>
      <c r="J627" s="25">
        <f>IF($C627="","",IFERROR(IF(INDEX(Roster!$I:$I,MATCH($C627,Roster!$B:$B,0))="","",INDEX(Roster!$I:$I,MATCH($C627,Roster!$B:$B,0))&amp;""),"—"))</f>
        <v/>
      </c>
      <c r="K627">
        <f>IF($C627="","",IFERROR(IF(INDEX(Roster!$J:$J,MATCH($C627,Roster!$B:$B,0))="","",INDEX(Roster!$J:$J,MATCH($C627,Roster!$B:$B,0))&amp;""),"—"))</f>
        <v/>
      </c>
      <c r="L627">
        <f>IF($C627="","",IFERROR(IF(INDEX(Roster!$K:$K,MATCH($C627,Roster!$B:$B,0))="","",INDEX(Roster!$K:$K,MATCH($C627,Roster!$B:$B,0))&amp;""),"—"))</f>
        <v/>
      </c>
      <c r="M627" s="27" t="n"/>
      <c r="N627" s="27" t="n"/>
      <c r="O627" s="25">
        <f>IF($C627="","",IF($P627="","—",IF($P627="Valid (Pass)","Valid","Invalid")))</f>
        <v/>
      </c>
      <c r="P627" s="27" t="n"/>
      <c r="Q627" s="27" t="n"/>
      <c r="R627" s="27" t="n"/>
      <c r="S627" s="27" t="n"/>
      <c r="T627" s="25">
        <f>IF($C627="","",IF(OR(ISNUMBER(SEARCH("quick case",$P627)),ISNUMBER(SEARCH("quick case",$Q627))),"Yes","No"))</f>
        <v/>
      </c>
      <c r="U627" s="25">
        <f>IF($O627="Invalid",HYPERLINK("mailto:"&amp;$G627&amp;";"&amp;$I627&amp;"?cc="&amp;Lists!$E$2&amp;"&amp;subject="&amp;_xlfn.ENCODEURL("[INVALID] Quality audit monitoring completed for "&amp;UPPER($C627))&amp;"&amp;body="&amp;_xlfn.ENCODEURL("Hi "&amp;$F627&amp;","&amp;CHAR(10)&amp;"Good day!"&amp;CHAR(10)&amp;CHAR(10)&amp;"A quality monitoring audit has been completed for "&amp;$C627&amp;"."&amp;CHAR(10)&amp;CHAR(10)&amp;"QUALITY AUDIT DETAILS"&amp;CHAR(10)&amp;"Agent Name: "&amp;$C627&amp;" (EID "&amp;$D627&amp;")"&amp;CHAR(10)&amp;"Audit Date: "&amp;TEXT($B627,"yyyy-mm-dd")&amp;CHAR(10)&amp;"Team Leader: "&amp;$F627&amp;CHAR(10)&amp;"Case Number: "&amp;$M627&amp;CHAR(10)&amp;"Transaction ID: "&amp;$N627&amp;CHAR(10)&amp;"Channel / LOB: "&amp;$K627&amp;" / "&amp;$L627&amp;CHAR(10)&amp;"Evaluator: "&amp;$S627&amp;CHAR(10)&amp;CHAR(10)&amp;"INVALID QUALITY AUDIT DETAILS"&amp;CHAR(10)&amp;"Validation: Invalid"&amp;CHAR(10)&amp;"Invalid Reason: "&amp;$P627&amp;CHAR(10)&amp;"Expected Resolution Code: "&amp;$Q627&amp;CHAR(10)&amp;"Remarks: "&amp;LEFT($R627,600)&amp;CHAR(10)&amp;CHAR(10)&amp;"This is an automated notification from HP Mainstream EQMS."),"✉ Open Email Draft"),"")</f>
        <v/>
      </c>
    </row>
    <row r="628">
      <c r="A628" s="25">
        <f>IF($C628="","","AUD-2026-"&amp;TEXT(ROW()-1,"000000"))</f>
        <v/>
      </c>
      <c r="B628" s="26" t="n"/>
      <c r="C628" s="27" t="n"/>
      <c r="D628" s="25">
        <f>IF($C628="","",IFERROR(IF(INDEX(Roster!$A:$A,MATCH($C628,Roster!$B:$B,0))="","",INDEX(Roster!$A:$A,MATCH($C628,Roster!$B:$B,0))&amp;""),"—"))</f>
        <v/>
      </c>
      <c r="E628" s="25">
        <f>IF($C628="","",IFERROR(IF(INDEX(Roster!$C:$C,MATCH($C628,Roster!$B:$B,0))="","",INDEX(Roster!$C:$C,MATCH($C628,Roster!$B:$B,0))&amp;""),"—"))</f>
        <v/>
      </c>
      <c r="F628" s="25">
        <f>IF($C628="","",IFERROR(IF(INDEX(Roster!$D:$D,MATCH($C628,Roster!$B:$B,0))="","",INDEX(Roster!$D:$D,MATCH($C628,Roster!$B:$B,0))&amp;""),"—"))</f>
        <v/>
      </c>
      <c r="G628" s="25">
        <f>IF($C628="","",IFERROR(IF(INDEX(Roster!$E:$E,MATCH($C628,Roster!$B:$B,0))="","",INDEX(Roster!$E:$E,MATCH($C628,Roster!$B:$B,0))&amp;""),"—"))</f>
        <v/>
      </c>
      <c r="H628" s="25">
        <f>IF($C628="","",IFERROR(IF(INDEX(Roster!$F:$F,MATCH($C628,Roster!$B:$B,0))="","",INDEX(Roster!$F:$F,MATCH($C628,Roster!$B:$B,0))&amp;""),"—"))</f>
        <v/>
      </c>
      <c r="I628" s="25">
        <f>IF($C628="","",IFERROR(IF(INDEX(Roster!$G:$G,MATCH($C628,Roster!$B:$B,0))="","",INDEX(Roster!$G:$G,MATCH($C628,Roster!$B:$B,0))&amp;""),"—"))</f>
        <v/>
      </c>
      <c r="J628" s="25">
        <f>IF($C628="","",IFERROR(IF(INDEX(Roster!$I:$I,MATCH($C628,Roster!$B:$B,0))="","",INDEX(Roster!$I:$I,MATCH($C628,Roster!$B:$B,0))&amp;""),"—"))</f>
        <v/>
      </c>
      <c r="K628">
        <f>IF($C628="","",IFERROR(IF(INDEX(Roster!$J:$J,MATCH($C628,Roster!$B:$B,0))="","",INDEX(Roster!$J:$J,MATCH($C628,Roster!$B:$B,0))&amp;""),"—"))</f>
        <v/>
      </c>
      <c r="L628">
        <f>IF($C628="","",IFERROR(IF(INDEX(Roster!$K:$K,MATCH($C628,Roster!$B:$B,0))="","",INDEX(Roster!$K:$K,MATCH($C628,Roster!$B:$B,0))&amp;""),"—"))</f>
        <v/>
      </c>
      <c r="M628" s="27" t="n"/>
      <c r="N628" s="27" t="n"/>
      <c r="O628" s="25">
        <f>IF($C628="","",IF($P628="","—",IF($P628="Valid (Pass)","Valid","Invalid")))</f>
        <v/>
      </c>
      <c r="P628" s="27" t="n"/>
      <c r="Q628" s="27" t="n"/>
      <c r="R628" s="27" t="n"/>
      <c r="S628" s="27" t="n"/>
      <c r="T628" s="25">
        <f>IF($C628="","",IF(OR(ISNUMBER(SEARCH("quick case",$P628)),ISNUMBER(SEARCH("quick case",$Q628))),"Yes","No"))</f>
        <v/>
      </c>
      <c r="U628" s="25">
        <f>IF($O628="Invalid",HYPERLINK("mailto:"&amp;$G628&amp;";"&amp;$I628&amp;"?cc="&amp;Lists!$E$2&amp;"&amp;subject="&amp;_xlfn.ENCODEURL("[INVALID] Quality audit monitoring completed for "&amp;UPPER($C628))&amp;"&amp;body="&amp;_xlfn.ENCODEURL("Hi "&amp;$F628&amp;","&amp;CHAR(10)&amp;"Good day!"&amp;CHAR(10)&amp;CHAR(10)&amp;"A quality monitoring audit has been completed for "&amp;$C628&amp;"."&amp;CHAR(10)&amp;CHAR(10)&amp;"QUALITY AUDIT DETAILS"&amp;CHAR(10)&amp;"Agent Name: "&amp;$C628&amp;" (EID "&amp;$D628&amp;")"&amp;CHAR(10)&amp;"Audit Date: "&amp;TEXT($B628,"yyyy-mm-dd")&amp;CHAR(10)&amp;"Team Leader: "&amp;$F628&amp;CHAR(10)&amp;"Case Number: "&amp;$M628&amp;CHAR(10)&amp;"Transaction ID: "&amp;$N628&amp;CHAR(10)&amp;"Channel / LOB: "&amp;$K628&amp;" / "&amp;$L628&amp;CHAR(10)&amp;"Evaluator: "&amp;$S628&amp;CHAR(10)&amp;CHAR(10)&amp;"INVALID QUALITY AUDIT DETAILS"&amp;CHAR(10)&amp;"Validation: Invalid"&amp;CHAR(10)&amp;"Invalid Reason: "&amp;$P628&amp;CHAR(10)&amp;"Expected Resolution Code: "&amp;$Q628&amp;CHAR(10)&amp;"Remarks: "&amp;LEFT($R628,600)&amp;CHAR(10)&amp;CHAR(10)&amp;"This is an automated notification from HP Mainstream EQMS."),"✉ Open Email Draft"),"")</f>
        <v/>
      </c>
    </row>
    <row r="629">
      <c r="A629" s="25">
        <f>IF($C629="","","AUD-2026-"&amp;TEXT(ROW()-1,"000000"))</f>
        <v/>
      </c>
      <c r="B629" s="26" t="n"/>
      <c r="C629" s="27" t="n"/>
      <c r="D629" s="25">
        <f>IF($C629="","",IFERROR(IF(INDEX(Roster!$A:$A,MATCH($C629,Roster!$B:$B,0))="","",INDEX(Roster!$A:$A,MATCH($C629,Roster!$B:$B,0))&amp;""),"—"))</f>
        <v/>
      </c>
      <c r="E629" s="25">
        <f>IF($C629="","",IFERROR(IF(INDEX(Roster!$C:$C,MATCH($C629,Roster!$B:$B,0))="","",INDEX(Roster!$C:$C,MATCH($C629,Roster!$B:$B,0))&amp;""),"—"))</f>
        <v/>
      </c>
      <c r="F629" s="25">
        <f>IF($C629="","",IFERROR(IF(INDEX(Roster!$D:$D,MATCH($C629,Roster!$B:$B,0))="","",INDEX(Roster!$D:$D,MATCH($C629,Roster!$B:$B,0))&amp;""),"—"))</f>
        <v/>
      </c>
      <c r="G629" s="25">
        <f>IF($C629="","",IFERROR(IF(INDEX(Roster!$E:$E,MATCH($C629,Roster!$B:$B,0))="","",INDEX(Roster!$E:$E,MATCH($C629,Roster!$B:$B,0))&amp;""),"—"))</f>
        <v/>
      </c>
      <c r="H629" s="25">
        <f>IF($C629="","",IFERROR(IF(INDEX(Roster!$F:$F,MATCH($C629,Roster!$B:$B,0))="","",INDEX(Roster!$F:$F,MATCH($C629,Roster!$B:$B,0))&amp;""),"—"))</f>
        <v/>
      </c>
      <c r="I629" s="25">
        <f>IF($C629="","",IFERROR(IF(INDEX(Roster!$G:$G,MATCH($C629,Roster!$B:$B,0))="","",INDEX(Roster!$G:$G,MATCH($C629,Roster!$B:$B,0))&amp;""),"—"))</f>
        <v/>
      </c>
      <c r="J629" s="25">
        <f>IF($C629="","",IFERROR(IF(INDEX(Roster!$I:$I,MATCH($C629,Roster!$B:$B,0))="","",INDEX(Roster!$I:$I,MATCH($C629,Roster!$B:$B,0))&amp;""),"—"))</f>
        <v/>
      </c>
      <c r="K629">
        <f>IF($C629="","",IFERROR(IF(INDEX(Roster!$J:$J,MATCH($C629,Roster!$B:$B,0))="","",INDEX(Roster!$J:$J,MATCH($C629,Roster!$B:$B,0))&amp;""),"—"))</f>
        <v/>
      </c>
      <c r="L629">
        <f>IF($C629="","",IFERROR(IF(INDEX(Roster!$K:$K,MATCH($C629,Roster!$B:$B,0))="","",INDEX(Roster!$K:$K,MATCH($C629,Roster!$B:$B,0))&amp;""),"—"))</f>
        <v/>
      </c>
      <c r="M629" s="27" t="n"/>
      <c r="N629" s="27" t="n"/>
      <c r="O629" s="25">
        <f>IF($C629="","",IF($P629="","—",IF($P629="Valid (Pass)","Valid","Invalid")))</f>
        <v/>
      </c>
      <c r="P629" s="27" t="n"/>
      <c r="Q629" s="27" t="n"/>
      <c r="R629" s="27" t="n"/>
      <c r="S629" s="27" t="n"/>
      <c r="T629" s="25">
        <f>IF($C629="","",IF(OR(ISNUMBER(SEARCH("quick case",$P629)),ISNUMBER(SEARCH("quick case",$Q629))),"Yes","No"))</f>
        <v/>
      </c>
      <c r="U629" s="25">
        <f>IF($O629="Invalid",HYPERLINK("mailto:"&amp;$G629&amp;";"&amp;$I629&amp;"?cc="&amp;Lists!$E$2&amp;"&amp;subject="&amp;_xlfn.ENCODEURL("[INVALID] Quality audit monitoring completed for "&amp;UPPER($C629))&amp;"&amp;body="&amp;_xlfn.ENCODEURL("Hi "&amp;$F629&amp;","&amp;CHAR(10)&amp;"Good day!"&amp;CHAR(10)&amp;CHAR(10)&amp;"A quality monitoring audit has been completed for "&amp;$C629&amp;"."&amp;CHAR(10)&amp;CHAR(10)&amp;"QUALITY AUDIT DETAILS"&amp;CHAR(10)&amp;"Agent Name: "&amp;$C629&amp;" (EID "&amp;$D629&amp;")"&amp;CHAR(10)&amp;"Audit Date: "&amp;TEXT($B629,"yyyy-mm-dd")&amp;CHAR(10)&amp;"Team Leader: "&amp;$F629&amp;CHAR(10)&amp;"Case Number: "&amp;$M629&amp;CHAR(10)&amp;"Transaction ID: "&amp;$N629&amp;CHAR(10)&amp;"Channel / LOB: "&amp;$K629&amp;" / "&amp;$L629&amp;CHAR(10)&amp;"Evaluator: "&amp;$S629&amp;CHAR(10)&amp;CHAR(10)&amp;"INVALID QUALITY AUDIT DETAILS"&amp;CHAR(10)&amp;"Validation: Invalid"&amp;CHAR(10)&amp;"Invalid Reason: "&amp;$P629&amp;CHAR(10)&amp;"Expected Resolution Code: "&amp;$Q629&amp;CHAR(10)&amp;"Remarks: "&amp;LEFT($R629,600)&amp;CHAR(10)&amp;CHAR(10)&amp;"This is an automated notification from HP Mainstream EQMS."),"✉ Open Email Draft"),"")</f>
        <v/>
      </c>
    </row>
    <row r="630">
      <c r="A630" s="25">
        <f>IF($C630="","","AUD-2026-"&amp;TEXT(ROW()-1,"000000"))</f>
        <v/>
      </c>
      <c r="B630" s="26" t="n"/>
      <c r="C630" s="27" t="n"/>
      <c r="D630" s="25">
        <f>IF($C630="","",IFERROR(IF(INDEX(Roster!$A:$A,MATCH($C630,Roster!$B:$B,0))="","",INDEX(Roster!$A:$A,MATCH($C630,Roster!$B:$B,0))&amp;""),"—"))</f>
        <v/>
      </c>
      <c r="E630" s="25">
        <f>IF($C630="","",IFERROR(IF(INDEX(Roster!$C:$C,MATCH($C630,Roster!$B:$B,0))="","",INDEX(Roster!$C:$C,MATCH($C630,Roster!$B:$B,0))&amp;""),"—"))</f>
        <v/>
      </c>
      <c r="F630" s="25">
        <f>IF($C630="","",IFERROR(IF(INDEX(Roster!$D:$D,MATCH($C630,Roster!$B:$B,0))="","",INDEX(Roster!$D:$D,MATCH($C630,Roster!$B:$B,0))&amp;""),"—"))</f>
        <v/>
      </c>
      <c r="G630" s="25">
        <f>IF($C630="","",IFERROR(IF(INDEX(Roster!$E:$E,MATCH($C630,Roster!$B:$B,0))="","",INDEX(Roster!$E:$E,MATCH($C630,Roster!$B:$B,0))&amp;""),"—"))</f>
        <v/>
      </c>
      <c r="H630" s="25">
        <f>IF($C630="","",IFERROR(IF(INDEX(Roster!$F:$F,MATCH($C630,Roster!$B:$B,0))="","",INDEX(Roster!$F:$F,MATCH($C630,Roster!$B:$B,0))&amp;""),"—"))</f>
        <v/>
      </c>
      <c r="I630" s="25">
        <f>IF($C630="","",IFERROR(IF(INDEX(Roster!$G:$G,MATCH($C630,Roster!$B:$B,0))="","",INDEX(Roster!$G:$G,MATCH($C630,Roster!$B:$B,0))&amp;""),"—"))</f>
        <v/>
      </c>
      <c r="J630" s="25">
        <f>IF($C630="","",IFERROR(IF(INDEX(Roster!$I:$I,MATCH($C630,Roster!$B:$B,0))="","",INDEX(Roster!$I:$I,MATCH($C630,Roster!$B:$B,0))&amp;""),"—"))</f>
        <v/>
      </c>
      <c r="K630">
        <f>IF($C630="","",IFERROR(IF(INDEX(Roster!$J:$J,MATCH($C630,Roster!$B:$B,0))="","",INDEX(Roster!$J:$J,MATCH($C630,Roster!$B:$B,0))&amp;""),"—"))</f>
        <v/>
      </c>
      <c r="L630">
        <f>IF($C630="","",IFERROR(IF(INDEX(Roster!$K:$K,MATCH($C630,Roster!$B:$B,0))="","",INDEX(Roster!$K:$K,MATCH($C630,Roster!$B:$B,0))&amp;""),"—"))</f>
        <v/>
      </c>
      <c r="M630" s="27" t="n"/>
      <c r="N630" s="27" t="n"/>
      <c r="O630" s="25">
        <f>IF($C630="","",IF($P630="","—",IF($P630="Valid (Pass)","Valid","Invalid")))</f>
        <v/>
      </c>
      <c r="P630" s="27" t="n"/>
      <c r="Q630" s="27" t="n"/>
      <c r="R630" s="27" t="n"/>
      <c r="S630" s="27" t="n"/>
      <c r="T630" s="25">
        <f>IF($C630="","",IF(OR(ISNUMBER(SEARCH("quick case",$P630)),ISNUMBER(SEARCH("quick case",$Q630))),"Yes","No"))</f>
        <v/>
      </c>
      <c r="U630" s="25">
        <f>IF($O630="Invalid",HYPERLINK("mailto:"&amp;$G630&amp;";"&amp;$I630&amp;"?cc="&amp;Lists!$E$2&amp;"&amp;subject="&amp;_xlfn.ENCODEURL("[INVALID] Quality audit monitoring completed for "&amp;UPPER($C630))&amp;"&amp;body="&amp;_xlfn.ENCODEURL("Hi "&amp;$F630&amp;","&amp;CHAR(10)&amp;"Good day!"&amp;CHAR(10)&amp;CHAR(10)&amp;"A quality monitoring audit has been completed for "&amp;$C630&amp;"."&amp;CHAR(10)&amp;CHAR(10)&amp;"QUALITY AUDIT DETAILS"&amp;CHAR(10)&amp;"Agent Name: "&amp;$C630&amp;" (EID "&amp;$D630&amp;")"&amp;CHAR(10)&amp;"Audit Date: "&amp;TEXT($B630,"yyyy-mm-dd")&amp;CHAR(10)&amp;"Team Leader: "&amp;$F630&amp;CHAR(10)&amp;"Case Number: "&amp;$M630&amp;CHAR(10)&amp;"Transaction ID: "&amp;$N630&amp;CHAR(10)&amp;"Channel / LOB: "&amp;$K630&amp;" / "&amp;$L630&amp;CHAR(10)&amp;"Evaluator: "&amp;$S630&amp;CHAR(10)&amp;CHAR(10)&amp;"INVALID QUALITY AUDIT DETAILS"&amp;CHAR(10)&amp;"Validation: Invalid"&amp;CHAR(10)&amp;"Invalid Reason: "&amp;$P630&amp;CHAR(10)&amp;"Expected Resolution Code: "&amp;$Q630&amp;CHAR(10)&amp;"Remarks: "&amp;LEFT($R630,600)&amp;CHAR(10)&amp;CHAR(10)&amp;"This is an automated notification from HP Mainstream EQMS."),"✉ Open Email Draft"),"")</f>
        <v/>
      </c>
    </row>
    <row r="631">
      <c r="A631" s="25">
        <f>IF($C631="","","AUD-2026-"&amp;TEXT(ROW()-1,"000000"))</f>
        <v/>
      </c>
      <c r="B631" s="26" t="n"/>
      <c r="C631" s="27" t="n"/>
      <c r="D631" s="25">
        <f>IF($C631="","",IFERROR(IF(INDEX(Roster!$A:$A,MATCH($C631,Roster!$B:$B,0))="","",INDEX(Roster!$A:$A,MATCH($C631,Roster!$B:$B,0))&amp;""),"—"))</f>
        <v/>
      </c>
      <c r="E631" s="25">
        <f>IF($C631="","",IFERROR(IF(INDEX(Roster!$C:$C,MATCH($C631,Roster!$B:$B,0))="","",INDEX(Roster!$C:$C,MATCH($C631,Roster!$B:$B,0))&amp;""),"—"))</f>
        <v/>
      </c>
      <c r="F631" s="25">
        <f>IF($C631="","",IFERROR(IF(INDEX(Roster!$D:$D,MATCH($C631,Roster!$B:$B,0))="","",INDEX(Roster!$D:$D,MATCH($C631,Roster!$B:$B,0))&amp;""),"—"))</f>
        <v/>
      </c>
      <c r="G631" s="25">
        <f>IF($C631="","",IFERROR(IF(INDEX(Roster!$E:$E,MATCH($C631,Roster!$B:$B,0))="","",INDEX(Roster!$E:$E,MATCH($C631,Roster!$B:$B,0))&amp;""),"—"))</f>
        <v/>
      </c>
      <c r="H631" s="25">
        <f>IF($C631="","",IFERROR(IF(INDEX(Roster!$F:$F,MATCH($C631,Roster!$B:$B,0))="","",INDEX(Roster!$F:$F,MATCH($C631,Roster!$B:$B,0))&amp;""),"—"))</f>
        <v/>
      </c>
      <c r="I631" s="25">
        <f>IF($C631="","",IFERROR(IF(INDEX(Roster!$G:$G,MATCH($C631,Roster!$B:$B,0))="","",INDEX(Roster!$G:$G,MATCH($C631,Roster!$B:$B,0))&amp;""),"—"))</f>
        <v/>
      </c>
      <c r="J631" s="25">
        <f>IF($C631="","",IFERROR(IF(INDEX(Roster!$I:$I,MATCH($C631,Roster!$B:$B,0))="","",INDEX(Roster!$I:$I,MATCH($C631,Roster!$B:$B,0))&amp;""),"—"))</f>
        <v/>
      </c>
      <c r="K631">
        <f>IF($C631="","",IFERROR(IF(INDEX(Roster!$J:$J,MATCH($C631,Roster!$B:$B,0))="","",INDEX(Roster!$J:$J,MATCH($C631,Roster!$B:$B,0))&amp;""),"—"))</f>
        <v/>
      </c>
      <c r="L631">
        <f>IF($C631="","",IFERROR(IF(INDEX(Roster!$K:$K,MATCH($C631,Roster!$B:$B,0))="","",INDEX(Roster!$K:$K,MATCH($C631,Roster!$B:$B,0))&amp;""),"—"))</f>
        <v/>
      </c>
      <c r="M631" s="27" t="n"/>
      <c r="N631" s="27" t="n"/>
      <c r="O631" s="25">
        <f>IF($C631="","",IF($P631="","—",IF($P631="Valid (Pass)","Valid","Invalid")))</f>
        <v/>
      </c>
      <c r="P631" s="27" t="n"/>
      <c r="Q631" s="27" t="n"/>
      <c r="R631" s="27" t="n"/>
      <c r="S631" s="27" t="n"/>
      <c r="T631" s="25">
        <f>IF($C631="","",IF(OR(ISNUMBER(SEARCH("quick case",$P631)),ISNUMBER(SEARCH("quick case",$Q631))),"Yes","No"))</f>
        <v/>
      </c>
      <c r="U631" s="25">
        <f>IF($O631="Invalid",HYPERLINK("mailto:"&amp;$G631&amp;";"&amp;$I631&amp;"?cc="&amp;Lists!$E$2&amp;"&amp;subject="&amp;_xlfn.ENCODEURL("[INVALID] Quality audit monitoring completed for "&amp;UPPER($C631))&amp;"&amp;body="&amp;_xlfn.ENCODEURL("Hi "&amp;$F631&amp;","&amp;CHAR(10)&amp;"Good day!"&amp;CHAR(10)&amp;CHAR(10)&amp;"A quality monitoring audit has been completed for "&amp;$C631&amp;"."&amp;CHAR(10)&amp;CHAR(10)&amp;"QUALITY AUDIT DETAILS"&amp;CHAR(10)&amp;"Agent Name: "&amp;$C631&amp;" (EID "&amp;$D631&amp;")"&amp;CHAR(10)&amp;"Audit Date: "&amp;TEXT($B631,"yyyy-mm-dd")&amp;CHAR(10)&amp;"Team Leader: "&amp;$F631&amp;CHAR(10)&amp;"Case Number: "&amp;$M631&amp;CHAR(10)&amp;"Transaction ID: "&amp;$N631&amp;CHAR(10)&amp;"Channel / LOB: "&amp;$K631&amp;" / "&amp;$L631&amp;CHAR(10)&amp;"Evaluator: "&amp;$S631&amp;CHAR(10)&amp;CHAR(10)&amp;"INVALID QUALITY AUDIT DETAILS"&amp;CHAR(10)&amp;"Validation: Invalid"&amp;CHAR(10)&amp;"Invalid Reason: "&amp;$P631&amp;CHAR(10)&amp;"Expected Resolution Code: "&amp;$Q631&amp;CHAR(10)&amp;"Remarks: "&amp;LEFT($R631,600)&amp;CHAR(10)&amp;CHAR(10)&amp;"This is an automated notification from HP Mainstream EQMS."),"✉ Open Email Draft"),"")</f>
        <v/>
      </c>
    </row>
    <row r="632">
      <c r="A632" s="25">
        <f>IF($C632="","","AUD-2026-"&amp;TEXT(ROW()-1,"000000"))</f>
        <v/>
      </c>
      <c r="B632" s="26" t="n"/>
      <c r="C632" s="27" t="n"/>
      <c r="D632" s="25">
        <f>IF($C632="","",IFERROR(IF(INDEX(Roster!$A:$A,MATCH($C632,Roster!$B:$B,0))="","",INDEX(Roster!$A:$A,MATCH($C632,Roster!$B:$B,0))&amp;""),"—"))</f>
        <v/>
      </c>
      <c r="E632" s="25">
        <f>IF($C632="","",IFERROR(IF(INDEX(Roster!$C:$C,MATCH($C632,Roster!$B:$B,0))="","",INDEX(Roster!$C:$C,MATCH($C632,Roster!$B:$B,0))&amp;""),"—"))</f>
        <v/>
      </c>
      <c r="F632" s="25">
        <f>IF($C632="","",IFERROR(IF(INDEX(Roster!$D:$D,MATCH($C632,Roster!$B:$B,0))="","",INDEX(Roster!$D:$D,MATCH($C632,Roster!$B:$B,0))&amp;""),"—"))</f>
        <v/>
      </c>
      <c r="G632" s="25">
        <f>IF($C632="","",IFERROR(IF(INDEX(Roster!$E:$E,MATCH($C632,Roster!$B:$B,0))="","",INDEX(Roster!$E:$E,MATCH($C632,Roster!$B:$B,0))&amp;""),"—"))</f>
        <v/>
      </c>
      <c r="H632" s="25">
        <f>IF($C632="","",IFERROR(IF(INDEX(Roster!$F:$F,MATCH($C632,Roster!$B:$B,0))="","",INDEX(Roster!$F:$F,MATCH($C632,Roster!$B:$B,0))&amp;""),"—"))</f>
        <v/>
      </c>
      <c r="I632" s="25">
        <f>IF($C632="","",IFERROR(IF(INDEX(Roster!$G:$G,MATCH($C632,Roster!$B:$B,0))="","",INDEX(Roster!$G:$G,MATCH($C632,Roster!$B:$B,0))&amp;""),"—"))</f>
        <v/>
      </c>
      <c r="J632" s="25">
        <f>IF($C632="","",IFERROR(IF(INDEX(Roster!$I:$I,MATCH($C632,Roster!$B:$B,0))="","",INDEX(Roster!$I:$I,MATCH($C632,Roster!$B:$B,0))&amp;""),"—"))</f>
        <v/>
      </c>
      <c r="K632">
        <f>IF($C632="","",IFERROR(IF(INDEX(Roster!$J:$J,MATCH($C632,Roster!$B:$B,0))="","",INDEX(Roster!$J:$J,MATCH($C632,Roster!$B:$B,0))&amp;""),"—"))</f>
        <v/>
      </c>
      <c r="L632">
        <f>IF($C632="","",IFERROR(IF(INDEX(Roster!$K:$K,MATCH($C632,Roster!$B:$B,0))="","",INDEX(Roster!$K:$K,MATCH($C632,Roster!$B:$B,0))&amp;""),"—"))</f>
        <v/>
      </c>
      <c r="M632" s="27" t="n"/>
      <c r="N632" s="27" t="n"/>
      <c r="O632" s="25">
        <f>IF($C632="","",IF($P632="","—",IF($P632="Valid (Pass)","Valid","Invalid")))</f>
        <v/>
      </c>
      <c r="P632" s="27" t="n"/>
      <c r="Q632" s="27" t="n"/>
      <c r="R632" s="27" t="n"/>
      <c r="S632" s="27" t="n"/>
      <c r="T632" s="25">
        <f>IF($C632="","",IF(OR(ISNUMBER(SEARCH("quick case",$P632)),ISNUMBER(SEARCH("quick case",$Q632))),"Yes","No"))</f>
        <v/>
      </c>
      <c r="U632" s="25">
        <f>IF($O632="Invalid",HYPERLINK("mailto:"&amp;$G632&amp;";"&amp;$I632&amp;"?cc="&amp;Lists!$E$2&amp;"&amp;subject="&amp;_xlfn.ENCODEURL("[INVALID] Quality audit monitoring completed for "&amp;UPPER($C632))&amp;"&amp;body="&amp;_xlfn.ENCODEURL("Hi "&amp;$F632&amp;","&amp;CHAR(10)&amp;"Good day!"&amp;CHAR(10)&amp;CHAR(10)&amp;"A quality monitoring audit has been completed for "&amp;$C632&amp;"."&amp;CHAR(10)&amp;CHAR(10)&amp;"QUALITY AUDIT DETAILS"&amp;CHAR(10)&amp;"Agent Name: "&amp;$C632&amp;" (EID "&amp;$D632&amp;")"&amp;CHAR(10)&amp;"Audit Date: "&amp;TEXT($B632,"yyyy-mm-dd")&amp;CHAR(10)&amp;"Team Leader: "&amp;$F632&amp;CHAR(10)&amp;"Case Number: "&amp;$M632&amp;CHAR(10)&amp;"Transaction ID: "&amp;$N632&amp;CHAR(10)&amp;"Channel / LOB: "&amp;$K632&amp;" / "&amp;$L632&amp;CHAR(10)&amp;"Evaluator: "&amp;$S632&amp;CHAR(10)&amp;CHAR(10)&amp;"INVALID QUALITY AUDIT DETAILS"&amp;CHAR(10)&amp;"Validation: Invalid"&amp;CHAR(10)&amp;"Invalid Reason: "&amp;$P632&amp;CHAR(10)&amp;"Expected Resolution Code: "&amp;$Q632&amp;CHAR(10)&amp;"Remarks: "&amp;LEFT($R632,600)&amp;CHAR(10)&amp;CHAR(10)&amp;"This is an automated notification from HP Mainstream EQMS."),"✉ Open Email Draft"),"")</f>
        <v/>
      </c>
    </row>
    <row r="633">
      <c r="A633" s="25">
        <f>IF($C633="","","AUD-2026-"&amp;TEXT(ROW()-1,"000000"))</f>
        <v/>
      </c>
      <c r="B633" s="26" t="n"/>
      <c r="C633" s="27" t="n"/>
      <c r="D633" s="25">
        <f>IF($C633="","",IFERROR(IF(INDEX(Roster!$A:$A,MATCH($C633,Roster!$B:$B,0))="","",INDEX(Roster!$A:$A,MATCH($C633,Roster!$B:$B,0))&amp;""),"—"))</f>
        <v/>
      </c>
      <c r="E633" s="25">
        <f>IF($C633="","",IFERROR(IF(INDEX(Roster!$C:$C,MATCH($C633,Roster!$B:$B,0))="","",INDEX(Roster!$C:$C,MATCH($C633,Roster!$B:$B,0))&amp;""),"—"))</f>
        <v/>
      </c>
      <c r="F633" s="25">
        <f>IF($C633="","",IFERROR(IF(INDEX(Roster!$D:$D,MATCH($C633,Roster!$B:$B,0))="","",INDEX(Roster!$D:$D,MATCH($C633,Roster!$B:$B,0))&amp;""),"—"))</f>
        <v/>
      </c>
      <c r="G633" s="25">
        <f>IF($C633="","",IFERROR(IF(INDEX(Roster!$E:$E,MATCH($C633,Roster!$B:$B,0))="","",INDEX(Roster!$E:$E,MATCH($C633,Roster!$B:$B,0))&amp;""),"—"))</f>
        <v/>
      </c>
      <c r="H633" s="25">
        <f>IF($C633="","",IFERROR(IF(INDEX(Roster!$F:$F,MATCH($C633,Roster!$B:$B,0))="","",INDEX(Roster!$F:$F,MATCH($C633,Roster!$B:$B,0))&amp;""),"—"))</f>
        <v/>
      </c>
      <c r="I633" s="25">
        <f>IF($C633="","",IFERROR(IF(INDEX(Roster!$G:$G,MATCH($C633,Roster!$B:$B,0))="","",INDEX(Roster!$G:$G,MATCH($C633,Roster!$B:$B,0))&amp;""),"—"))</f>
        <v/>
      </c>
      <c r="J633" s="25">
        <f>IF($C633="","",IFERROR(IF(INDEX(Roster!$I:$I,MATCH($C633,Roster!$B:$B,0))="","",INDEX(Roster!$I:$I,MATCH($C633,Roster!$B:$B,0))&amp;""),"—"))</f>
        <v/>
      </c>
      <c r="K633">
        <f>IF($C633="","",IFERROR(IF(INDEX(Roster!$J:$J,MATCH($C633,Roster!$B:$B,0))="","",INDEX(Roster!$J:$J,MATCH($C633,Roster!$B:$B,0))&amp;""),"—"))</f>
        <v/>
      </c>
      <c r="L633">
        <f>IF($C633="","",IFERROR(IF(INDEX(Roster!$K:$K,MATCH($C633,Roster!$B:$B,0))="","",INDEX(Roster!$K:$K,MATCH($C633,Roster!$B:$B,0))&amp;""),"—"))</f>
        <v/>
      </c>
      <c r="M633" s="27" t="n"/>
      <c r="N633" s="27" t="n"/>
      <c r="O633" s="25">
        <f>IF($C633="","",IF($P633="","—",IF($P633="Valid (Pass)","Valid","Invalid")))</f>
        <v/>
      </c>
      <c r="P633" s="27" t="n"/>
      <c r="Q633" s="27" t="n"/>
      <c r="R633" s="27" t="n"/>
      <c r="S633" s="27" t="n"/>
      <c r="T633" s="25">
        <f>IF($C633="","",IF(OR(ISNUMBER(SEARCH("quick case",$P633)),ISNUMBER(SEARCH("quick case",$Q633))),"Yes","No"))</f>
        <v/>
      </c>
      <c r="U633" s="25">
        <f>IF($O633="Invalid",HYPERLINK("mailto:"&amp;$G633&amp;";"&amp;$I633&amp;"?cc="&amp;Lists!$E$2&amp;"&amp;subject="&amp;_xlfn.ENCODEURL("[INVALID] Quality audit monitoring completed for "&amp;UPPER($C633))&amp;"&amp;body="&amp;_xlfn.ENCODEURL("Hi "&amp;$F633&amp;","&amp;CHAR(10)&amp;"Good day!"&amp;CHAR(10)&amp;CHAR(10)&amp;"A quality monitoring audit has been completed for "&amp;$C633&amp;"."&amp;CHAR(10)&amp;CHAR(10)&amp;"QUALITY AUDIT DETAILS"&amp;CHAR(10)&amp;"Agent Name: "&amp;$C633&amp;" (EID "&amp;$D633&amp;")"&amp;CHAR(10)&amp;"Audit Date: "&amp;TEXT($B633,"yyyy-mm-dd")&amp;CHAR(10)&amp;"Team Leader: "&amp;$F633&amp;CHAR(10)&amp;"Case Number: "&amp;$M633&amp;CHAR(10)&amp;"Transaction ID: "&amp;$N633&amp;CHAR(10)&amp;"Channel / LOB: "&amp;$K633&amp;" / "&amp;$L633&amp;CHAR(10)&amp;"Evaluator: "&amp;$S633&amp;CHAR(10)&amp;CHAR(10)&amp;"INVALID QUALITY AUDIT DETAILS"&amp;CHAR(10)&amp;"Validation: Invalid"&amp;CHAR(10)&amp;"Invalid Reason: "&amp;$P633&amp;CHAR(10)&amp;"Expected Resolution Code: "&amp;$Q633&amp;CHAR(10)&amp;"Remarks: "&amp;LEFT($R633,600)&amp;CHAR(10)&amp;CHAR(10)&amp;"This is an automated notification from HP Mainstream EQMS."),"✉ Open Email Draft"),"")</f>
        <v/>
      </c>
    </row>
    <row r="634">
      <c r="A634" s="25">
        <f>IF($C634="","","AUD-2026-"&amp;TEXT(ROW()-1,"000000"))</f>
        <v/>
      </c>
      <c r="B634" s="26" t="n"/>
      <c r="C634" s="27" t="n"/>
      <c r="D634" s="25">
        <f>IF($C634="","",IFERROR(IF(INDEX(Roster!$A:$A,MATCH($C634,Roster!$B:$B,0))="","",INDEX(Roster!$A:$A,MATCH($C634,Roster!$B:$B,0))&amp;""),"—"))</f>
        <v/>
      </c>
      <c r="E634" s="25">
        <f>IF($C634="","",IFERROR(IF(INDEX(Roster!$C:$C,MATCH($C634,Roster!$B:$B,0))="","",INDEX(Roster!$C:$C,MATCH($C634,Roster!$B:$B,0))&amp;""),"—"))</f>
        <v/>
      </c>
      <c r="F634" s="25">
        <f>IF($C634="","",IFERROR(IF(INDEX(Roster!$D:$D,MATCH($C634,Roster!$B:$B,0))="","",INDEX(Roster!$D:$D,MATCH($C634,Roster!$B:$B,0))&amp;""),"—"))</f>
        <v/>
      </c>
      <c r="G634" s="25">
        <f>IF($C634="","",IFERROR(IF(INDEX(Roster!$E:$E,MATCH($C634,Roster!$B:$B,0))="","",INDEX(Roster!$E:$E,MATCH($C634,Roster!$B:$B,0))&amp;""),"—"))</f>
        <v/>
      </c>
      <c r="H634" s="25">
        <f>IF($C634="","",IFERROR(IF(INDEX(Roster!$F:$F,MATCH($C634,Roster!$B:$B,0))="","",INDEX(Roster!$F:$F,MATCH($C634,Roster!$B:$B,0))&amp;""),"—"))</f>
        <v/>
      </c>
      <c r="I634" s="25">
        <f>IF($C634="","",IFERROR(IF(INDEX(Roster!$G:$G,MATCH($C634,Roster!$B:$B,0))="","",INDEX(Roster!$G:$G,MATCH($C634,Roster!$B:$B,0))&amp;""),"—"))</f>
        <v/>
      </c>
      <c r="J634" s="25">
        <f>IF($C634="","",IFERROR(IF(INDEX(Roster!$I:$I,MATCH($C634,Roster!$B:$B,0))="","",INDEX(Roster!$I:$I,MATCH($C634,Roster!$B:$B,0))&amp;""),"—"))</f>
        <v/>
      </c>
      <c r="K634">
        <f>IF($C634="","",IFERROR(IF(INDEX(Roster!$J:$J,MATCH($C634,Roster!$B:$B,0))="","",INDEX(Roster!$J:$J,MATCH($C634,Roster!$B:$B,0))&amp;""),"—"))</f>
        <v/>
      </c>
      <c r="L634">
        <f>IF($C634="","",IFERROR(IF(INDEX(Roster!$K:$K,MATCH($C634,Roster!$B:$B,0))="","",INDEX(Roster!$K:$K,MATCH($C634,Roster!$B:$B,0))&amp;""),"—"))</f>
        <v/>
      </c>
      <c r="M634" s="27" t="n"/>
      <c r="N634" s="27" t="n"/>
      <c r="O634" s="25">
        <f>IF($C634="","",IF($P634="","—",IF($P634="Valid (Pass)","Valid","Invalid")))</f>
        <v/>
      </c>
      <c r="P634" s="27" t="n"/>
      <c r="Q634" s="27" t="n"/>
      <c r="R634" s="27" t="n"/>
      <c r="S634" s="27" t="n"/>
      <c r="T634" s="25">
        <f>IF($C634="","",IF(OR(ISNUMBER(SEARCH("quick case",$P634)),ISNUMBER(SEARCH("quick case",$Q634))),"Yes","No"))</f>
        <v/>
      </c>
      <c r="U634" s="25">
        <f>IF($O634="Invalid",HYPERLINK("mailto:"&amp;$G634&amp;";"&amp;$I634&amp;"?cc="&amp;Lists!$E$2&amp;"&amp;subject="&amp;_xlfn.ENCODEURL("[INVALID] Quality audit monitoring completed for "&amp;UPPER($C634))&amp;"&amp;body="&amp;_xlfn.ENCODEURL("Hi "&amp;$F634&amp;","&amp;CHAR(10)&amp;"Good day!"&amp;CHAR(10)&amp;CHAR(10)&amp;"A quality monitoring audit has been completed for "&amp;$C634&amp;"."&amp;CHAR(10)&amp;CHAR(10)&amp;"QUALITY AUDIT DETAILS"&amp;CHAR(10)&amp;"Agent Name: "&amp;$C634&amp;" (EID "&amp;$D634&amp;")"&amp;CHAR(10)&amp;"Audit Date: "&amp;TEXT($B634,"yyyy-mm-dd")&amp;CHAR(10)&amp;"Team Leader: "&amp;$F634&amp;CHAR(10)&amp;"Case Number: "&amp;$M634&amp;CHAR(10)&amp;"Transaction ID: "&amp;$N634&amp;CHAR(10)&amp;"Channel / LOB: "&amp;$K634&amp;" / "&amp;$L634&amp;CHAR(10)&amp;"Evaluator: "&amp;$S634&amp;CHAR(10)&amp;CHAR(10)&amp;"INVALID QUALITY AUDIT DETAILS"&amp;CHAR(10)&amp;"Validation: Invalid"&amp;CHAR(10)&amp;"Invalid Reason: "&amp;$P634&amp;CHAR(10)&amp;"Expected Resolution Code: "&amp;$Q634&amp;CHAR(10)&amp;"Remarks: "&amp;LEFT($R634,600)&amp;CHAR(10)&amp;CHAR(10)&amp;"This is an automated notification from HP Mainstream EQMS."),"✉ Open Email Draft"),"")</f>
        <v/>
      </c>
    </row>
    <row r="635">
      <c r="A635" s="25">
        <f>IF($C635="","","AUD-2026-"&amp;TEXT(ROW()-1,"000000"))</f>
        <v/>
      </c>
      <c r="B635" s="26" t="n"/>
      <c r="C635" s="27" t="n"/>
      <c r="D635" s="25">
        <f>IF($C635="","",IFERROR(IF(INDEX(Roster!$A:$A,MATCH($C635,Roster!$B:$B,0))="","",INDEX(Roster!$A:$A,MATCH($C635,Roster!$B:$B,0))&amp;""),"—"))</f>
        <v/>
      </c>
      <c r="E635" s="25">
        <f>IF($C635="","",IFERROR(IF(INDEX(Roster!$C:$C,MATCH($C635,Roster!$B:$B,0))="","",INDEX(Roster!$C:$C,MATCH($C635,Roster!$B:$B,0))&amp;""),"—"))</f>
        <v/>
      </c>
      <c r="F635" s="25">
        <f>IF($C635="","",IFERROR(IF(INDEX(Roster!$D:$D,MATCH($C635,Roster!$B:$B,0))="","",INDEX(Roster!$D:$D,MATCH($C635,Roster!$B:$B,0))&amp;""),"—"))</f>
        <v/>
      </c>
      <c r="G635" s="25">
        <f>IF($C635="","",IFERROR(IF(INDEX(Roster!$E:$E,MATCH($C635,Roster!$B:$B,0))="","",INDEX(Roster!$E:$E,MATCH($C635,Roster!$B:$B,0))&amp;""),"—"))</f>
        <v/>
      </c>
      <c r="H635" s="25">
        <f>IF($C635="","",IFERROR(IF(INDEX(Roster!$F:$F,MATCH($C635,Roster!$B:$B,0))="","",INDEX(Roster!$F:$F,MATCH($C635,Roster!$B:$B,0))&amp;""),"—"))</f>
        <v/>
      </c>
      <c r="I635" s="25">
        <f>IF($C635="","",IFERROR(IF(INDEX(Roster!$G:$G,MATCH($C635,Roster!$B:$B,0))="","",INDEX(Roster!$G:$G,MATCH($C635,Roster!$B:$B,0))&amp;""),"—"))</f>
        <v/>
      </c>
      <c r="J635" s="25">
        <f>IF($C635="","",IFERROR(IF(INDEX(Roster!$I:$I,MATCH($C635,Roster!$B:$B,0))="","",INDEX(Roster!$I:$I,MATCH($C635,Roster!$B:$B,0))&amp;""),"—"))</f>
        <v/>
      </c>
      <c r="K635">
        <f>IF($C635="","",IFERROR(IF(INDEX(Roster!$J:$J,MATCH($C635,Roster!$B:$B,0))="","",INDEX(Roster!$J:$J,MATCH($C635,Roster!$B:$B,0))&amp;""),"—"))</f>
        <v/>
      </c>
      <c r="L635">
        <f>IF($C635="","",IFERROR(IF(INDEX(Roster!$K:$K,MATCH($C635,Roster!$B:$B,0))="","",INDEX(Roster!$K:$K,MATCH($C635,Roster!$B:$B,0))&amp;""),"—"))</f>
        <v/>
      </c>
      <c r="M635" s="27" t="n"/>
      <c r="N635" s="27" t="n"/>
      <c r="O635" s="25">
        <f>IF($C635="","",IF($P635="","—",IF($P635="Valid (Pass)","Valid","Invalid")))</f>
        <v/>
      </c>
      <c r="P635" s="27" t="n"/>
      <c r="Q635" s="27" t="n"/>
      <c r="R635" s="27" t="n"/>
      <c r="S635" s="27" t="n"/>
      <c r="T635" s="25">
        <f>IF($C635="","",IF(OR(ISNUMBER(SEARCH("quick case",$P635)),ISNUMBER(SEARCH("quick case",$Q635))),"Yes","No"))</f>
        <v/>
      </c>
      <c r="U635" s="25">
        <f>IF($O635="Invalid",HYPERLINK("mailto:"&amp;$G635&amp;";"&amp;$I635&amp;"?cc="&amp;Lists!$E$2&amp;"&amp;subject="&amp;_xlfn.ENCODEURL("[INVALID] Quality audit monitoring completed for "&amp;UPPER($C635))&amp;"&amp;body="&amp;_xlfn.ENCODEURL("Hi "&amp;$F635&amp;","&amp;CHAR(10)&amp;"Good day!"&amp;CHAR(10)&amp;CHAR(10)&amp;"A quality monitoring audit has been completed for "&amp;$C635&amp;"."&amp;CHAR(10)&amp;CHAR(10)&amp;"QUALITY AUDIT DETAILS"&amp;CHAR(10)&amp;"Agent Name: "&amp;$C635&amp;" (EID "&amp;$D635&amp;")"&amp;CHAR(10)&amp;"Audit Date: "&amp;TEXT($B635,"yyyy-mm-dd")&amp;CHAR(10)&amp;"Team Leader: "&amp;$F635&amp;CHAR(10)&amp;"Case Number: "&amp;$M635&amp;CHAR(10)&amp;"Transaction ID: "&amp;$N635&amp;CHAR(10)&amp;"Channel / LOB: "&amp;$K635&amp;" / "&amp;$L635&amp;CHAR(10)&amp;"Evaluator: "&amp;$S635&amp;CHAR(10)&amp;CHAR(10)&amp;"INVALID QUALITY AUDIT DETAILS"&amp;CHAR(10)&amp;"Validation: Invalid"&amp;CHAR(10)&amp;"Invalid Reason: "&amp;$P635&amp;CHAR(10)&amp;"Expected Resolution Code: "&amp;$Q635&amp;CHAR(10)&amp;"Remarks: "&amp;LEFT($R635,600)&amp;CHAR(10)&amp;CHAR(10)&amp;"This is an automated notification from HP Mainstream EQMS."),"✉ Open Email Draft"),"")</f>
        <v/>
      </c>
    </row>
    <row r="636">
      <c r="A636" s="25">
        <f>IF($C636="","","AUD-2026-"&amp;TEXT(ROW()-1,"000000"))</f>
        <v/>
      </c>
      <c r="B636" s="26" t="n"/>
      <c r="C636" s="27" t="n"/>
      <c r="D636" s="25">
        <f>IF($C636="","",IFERROR(IF(INDEX(Roster!$A:$A,MATCH($C636,Roster!$B:$B,0))="","",INDEX(Roster!$A:$A,MATCH($C636,Roster!$B:$B,0))&amp;""),"—"))</f>
        <v/>
      </c>
      <c r="E636" s="25">
        <f>IF($C636="","",IFERROR(IF(INDEX(Roster!$C:$C,MATCH($C636,Roster!$B:$B,0))="","",INDEX(Roster!$C:$C,MATCH($C636,Roster!$B:$B,0))&amp;""),"—"))</f>
        <v/>
      </c>
      <c r="F636" s="25">
        <f>IF($C636="","",IFERROR(IF(INDEX(Roster!$D:$D,MATCH($C636,Roster!$B:$B,0))="","",INDEX(Roster!$D:$D,MATCH($C636,Roster!$B:$B,0))&amp;""),"—"))</f>
        <v/>
      </c>
      <c r="G636" s="25">
        <f>IF($C636="","",IFERROR(IF(INDEX(Roster!$E:$E,MATCH($C636,Roster!$B:$B,0))="","",INDEX(Roster!$E:$E,MATCH($C636,Roster!$B:$B,0))&amp;""),"—"))</f>
        <v/>
      </c>
      <c r="H636" s="25">
        <f>IF($C636="","",IFERROR(IF(INDEX(Roster!$F:$F,MATCH($C636,Roster!$B:$B,0))="","",INDEX(Roster!$F:$F,MATCH($C636,Roster!$B:$B,0))&amp;""),"—"))</f>
        <v/>
      </c>
      <c r="I636" s="25">
        <f>IF($C636="","",IFERROR(IF(INDEX(Roster!$G:$G,MATCH($C636,Roster!$B:$B,0))="","",INDEX(Roster!$G:$G,MATCH($C636,Roster!$B:$B,0))&amp;""),"—"))</f>
        <v/>
      </c>
      <c r="J636" s="25">
        <f>IF($C636="","",IFERROR(IF(INDEX(Roster!$I:$I,MATCH($C636,Roster!$B:$B,0))="","",INDEX(Roster!$I:$I,MATCH($C636,Roster!$B:$B,0))&amp;""),"—"))</f>
        <v/>
      </c>
      <c r="K636">
        <f>IF($C636="","",IFERROR(IF(INDEX(Roster!$J:$J,MATCH($C636,Roster!$B:$B,0))="","",INDEX(Roster!$J:$J,MATCH($C636,Roster!$B:$B,0))&amp;""),"—"))</f>
        <v/>
      </c>
      <c r="L636">
        <f>IF($C636="","",IFERROR(IF(INDEX(Roster!$K:$K,MATCH($C636,Roster!$B:$B,0))="","",INDEX(Roster!$K:$K,MATCH($C636,Roster!$B:$B,0))&amp;""),"—"))</f>
        <v/>
      </c>
      <c r="M636" s="27" t="n"/>
      <c r="N636" s="27" t="n"/>
      <c r="O636" s="25">
        <f>IF($C636="","",IF($P636="","—",IF($P636="Valid (Pass)","Valid","Invalid")))</f>
        <v/>
      </c>
      <c r="P636" s="27" t="n"/>
      <c r="Q636" s="27" t="n"/>
      <c r="R636" s="27" t="n"/>
      <c r="S636" s="27" t="n"/>
      <c r="T636" s="25">
        <f>IF($C636="","",IF(OR(ISNUMBER(SEARCH("quick case",$P636)),ISNUMBER(SEARCH("quick case",$Q636))),"Yes","No"))</f>
        <v/>
      </c>
      <c r="U636" s="25">
        <f>IF($O636="Invalid",HYPERLINK("mailto:"&amp;$G636&amp;";"&amp;$I636&amp;"?cc="&amp;Lists!$E$2&amp;"&amp;subject="&amp;_xlfn.ENCODEURL("[INVALID] Quality audit monitoring completed for "&amp;UPPER($C636))&amp;"&amp;body="&amp;_xlfn.ENCODEURL("Hi "&amp;$F636&amp;","&amp;CHAR(10)&amp;"Good day!"&amp;CHAR(10)&amp;CHAR(10)&amp;"A quality monitoring audit has been completed for "&amp;$C636&amp;"."&amp;CHAR(10)&amp;CHAR(10)&amp;"QUALITY AUDIT DETAILS"&amp;CHAR(10)&amp;"Agent Name: "&amp;$C636&amp;" (EID "&amp;$D636&amp;")"&amp;CHAR(10)&amp;"Audit Date: "&amp;TEXT($B636,"yyyy-mm-dd")&amp;CHAR(10)&amp;"Team Leader: "&amp;$F636&amp;CHAR(10)&amp;"Case Number: "&amp;$M636&amp;CHAR(10)&amp;"Transaction ID: "&amp;$N636&amp;CHAR(10)&amp;"Channel / LOB: "&amp;$K636&amp;" / "&amp;$L636&amp;CHAR(10)&amp;"Evaluator: "&amp;$S636&amp;CHAR(10)&amp;CHAR(10)&amp;"INVALID QUALITY AUDIT DETAILS"&amp;CHAR(10)&amp;"Validation: Invalid"&amp;CHAR(10)&amp;"Invalid Reason: "&amp;$P636&amp;CHAR(10)&amp;"Expected Resolution Code: "&amp;$Q636&amp;CHAR(10)&amp;"Remarks: "&amp;LEFT($R636,600)&amp;CHAR(10)&amp;CHAR(10)&amp;"This is an automated notification from HP Mainstream EQMS."),"✉ Open Email Draft"),"")</f>
        <v/>
      </c>
    </row>
    <row r="637">
      <c r="A637" s="25">
        <f>IF($C637="","","AUD-2026-"&amp;TEXT(ROW()-1,"000000"))</f>
        <v/>
      </c>
      <c r="B637" s="26" t="n"/>
      <c r="C637" s="27" t="n"/>
      <c r="D637" s="25">
        <f>IF($C637="","",IFERROR(IF(INDEX(Roster!$A:$A,MATCH($C637,Roster!$B:$B,0))="","",INDEX(Roster!$A:$A,MATCH($C637,Roster!$B:$B,0))&amp;""),"—"))</f>
        <v/>
      </c>
      <c r="E637" s="25">
        <f>IF($C637="","",IFERROR(IF(INDEX(Roster!$C:$C,MATCH($C637,Roster!$B:$B,0))="","",INDEX(Roster!$C:$C,MATCH($C637,Roster!$B:$B,0))&amp;""),"—"))</f>
        <v/>
      </c>
      <c r="F637" s="25">
        <f>IF($C637="","",IFERROR(IF(INDEX(Roster!$D:$D,MATCH($C637,Roster!$B:$B,0))="","",INDEX(Roster!$D:$D,MATCH($C637,Roster!$B:$B,0))&amp;""),"—"))</f>
        <v/>
      </c>
      <c r="G637" s="25">
        <f>IF($C637="","",IFERROR(IF(INDEX(Roster!$E:$E,MATCH($C637,Roster!$B:$B,0))="","",INDEX(Roster!$E:$E,MATCH($C637,Roster!$B:$B,0))&amp;""),"—"))</f>
        <v/>
      </c>
      <c r="H637" s="25">
        <f>IF($C637="","",IFERROR(IF(INDEX(Roster!$F:$F,MATCH($C637,Roster!$B:$B,0))="","",INDEX(Roster!$F:$F,MATCH($C637,Roster!$B:$B,0))&amp;""),"—"))</f>
        <v/>
      </c>
      <c r="I637" s="25">
        <f>IF($C637="","",IFERROR(IF(INDEX(Roster!$G:$G,MATCH($C637,Roster!$B:$B,0))="","",INDEX(Roster!$G:$G,MATCH($C637,Roster!$B:$B,0))&amp;""),"—"))</f>
        <v/>
      </c>
      <c r="J637" s="25">
        <f>IF($C637="","",IFERROR(IF(INDEX(Roster!$I:$I,MATCH($C637,Roster!$B:$B,0))="","",INDEX(Roster!$I:$I,MATCH($C637,Roster!$B:$B,0))&amp;""),"—"))</f>
        <v/>
      </c>
      <c r="K637">
        <f>IF($C637="","",IFERROR(IF(INDEX(Roster!$J:$J,MATCH($C637,Roster!$B:$B,0))="","",INDEX(Roster!$J:$J,MATCH($C637,Roster!$B:$B,0))&amp;""),"—"))</f>
        <v/>
      </c>
      <c r="L637">
        <f>IF($C637="","",IFERROR(IF(INDEX(Roster!$K:$K,MATCH($C637,Roster!$B:$B,0))="","",INDEX(Roster!$K:$K,MATCH($C637,Roster!$B:$B,0))&amp;""),"—"))</f>
        <v/>
      </c>
      <c r="M637" s="27" t="n"/>
      <c r="N637" s="27" t="n"/>
      <c r="O637" s="25">
        <f>IF($C637="","",IF($P637="","—",IF($P637="Valid (Pass)","Valid","Invalid")))</f>
        <v/>
      </c>
      <c r="P637" s="27" t="n"/>
      <c r="Q637" s="27" t="n"/>
      <c r="R637" s="27" t="n"/>
      <c r="S637" s="27" t="n"/>
      <c r="T637" s="25">
        <f>IF($C637="","",IF(OR(ISNUMBER(SEARCH("quick case",$P637)),ISNUMBER(SEARCH("quick case",$Q637))),"Yes","No"))</f>
        <v/>
      </c>
      <c r="U637" s="25">
        <f>IF($O637="Invalid",HYPERLINK("mailto:"&amp;$G637&amp;";"&amp;$I637&amp;"?cc="&amp;Lists!$E$2&amp;"&amp;subject="&amp;_xlfn.ENCODEURL("[INVALID] Quality audit monitoring completed for "&amp;UPPER($C637))&amp;"&amp;body="&amp;_xlfn.ENCODEURL("Hi "&amp;$F637&amp;","&amp;CHAR(10)&amp;"Good day!"&amp;CHAR(10)&amp;CHAR(10)&amp;"A quality monitoring audit has been completed for "&amp;$C637&amp;"."&amp;CHAR(10)&amp;CHAR(10)&amp;"QUALITY AUDIT DETAILS"&amp;CHAR(10)&amp;"Agent Name: "&amp;$C637&amp;" (EID "&amp;$D637&amp;")"&amp;CHAR(10)&amp;"Audit Date: "&amp;TEXT($B637,"yyyy-mm-dd")&amp;CHAR(10)&amp;"Team Leader: "&amp;$F637&amp;CHAR(10)&amp;"Case Number: "&amp;$M637&amp;CHAR(10)&amp;"Transaction ID: "&amp;$N637&amp;CHAR(10)&amp;"Channel / LOB: "&amp;$K637&amp;" / "&amp;$L637&amp;CHAR(10)&amp;"Evaluator: "&amp;$S637&amp;CHAR(10)&amp;CHAR(10)&amp;"INVALID QUALITY AUDIT DETAILS"&amp;CHAR(10)&amp;"Validation: Invalid"&amp;CHAR(10)&amp;"Invalid Reason: "&amp;$P637&amp;CHAR(10)&amp;"Expected Resolution Code: "&amp;$Q637&amp;CHAR(10)&amp;"Remarks: "&amp;LEFT($R637,600)&amp;CHAR(10)&amp;CHAR(10)&amp;"This is an automated notification from HP Mainstream EQMS."),"✉ Open Email Draft"),"")</f>
        <v/>
      </c>
    </row>
    <row r="638">
      <c r="A638" s="25">
        <f>IF($C638="","","AUD-2026-"&amp;TEXT(ROW()-1,"000000"))</f>
        <v/>
      </c>
      <c r="B638" s="26" t="n"/>
      <c r="C638" s="27" t="n"/>
      <c r="D638" s="25">
        <f>IF($C638="","",IFERROR(IF(INDEX(Roster!$A:$A,MATCH($C638,Roster!$B:$B,0))="","",INDEX(Roster!$A:$A,MATCH($C638,Roster!$B:$B,0))&amp;""),"—"))</f>
        <v/>
      </c>
      <c r="E638" s="25">
        <f>IF($C638="","",IFERROR(IF(INDEX(Roster!$C:$C,MATCH($C638,Roster!$B:$B,0))="","",INDEX(Roster!$C:$C,MATCH($C638,Roster!$B:$B,0))&amp;""),"—"))</f>
        <v/>
      </c>
      <c r="F638" s="25">
        <f>IF($C638="","",IFERROR(IF(INDEX(Roster!$D:$D,MATCH($C638,Roster!$B:$B,0))="","",INDEX(Roster!$D:$D,MATCH($C638,Roster!$B:$B,0))&amp;""),"—"))</f>
        <v/>
      </c>
      <c r="G638" s="25">
        <f>IF($C638="","",IFERROR(IF(INDEX(Roster!$E:$E,MATCH($C638,Roster!$B:$B,0))="","",INDEX(Roster!$E:$E,MATCH($C638,Roster!$B:$B,0))&amp;""),"—"))</f>
        <v/>
      </c>
      <c r="H638" s="25">
        <f>IF($C638="","",IFERROR(IF(INDEX(Roster!$F:$F,MATCH($C638,Roster!$B:$B,0))="","",INDEX(Roster!$F:$F,MATCH($C638,Roster!$B:$B,0))&amp;""),"—"))</f>
        <v/>
      </c>
      <c r="I638" s="25">
        <f>IF($C638="","",IFERROR(IF(INDEX(Roster!$G:$G,MATCH($C638,Roster!$B:$B,0))="","",INDEX(Roster!$G:$G,MATCH($C638,Roster!$B:$B,0))&amp;""),"—"))</f>
        <v/>
      </c>
      <c r="J638" s="25">
        <f>IF($C638="","",IFERROR(IF(INDEX(Roster!$I:$I,MATCH($C638,Roster!$B:$B,0))="","",INDEX(Roster!$I:$I,MATCH($C638,Roster!$B:$B,0))&amp;""),"—"))</f>
        <v/>
      </c>
      <c r="K638">
        <f>IF($C638="","",IFERROR(IF(INDEX(Roster!$J:$J,MATCH($C638,Roster!$B:$B,0))="","",INDEX(Roster!$J:$J,MATCH($C638,Roster!$B:$B,0))&amp;""),"—"))</f>
        <v/>
      </c>
      <c r="L638">
        <f>IF($C638="","",IFERROR(IF(INDEX(Roster!$K:$K,MATCH($C638,Roster!$B:$B,0))="","",INDEX(Roster!$K:$K,MATCH($C638,Roster!$B:$B,0))&amp;""),"—"))</f>
        <v/>
      </c>
      <c r="M638" s="27" t="n"/>
      <c r="N638" s="27" t="n"/>
      <c r="O638" s="25">
        <f>IF($C638="","",IF($P638="","—",IF($P638="Valid (Pass)","Valid","Invalid")))</f>
        <v/>
      </c>
      <c r="P638" s="27" t="n"/>
      <c r="Q638" s="27" t="n"/>
      <c r="R638" s="27" t="n"/>
      <c r="S638" s="27" t="n"/>
      <c r="T638" s="25">
        <f>IF($C638="","",IF(OR(ISNUMBER(SEARCH("quick case",$P638)),ISNUMBER(SEARCH("quick case",$Q638))),"Yes","No"))</f>
        <v/>
      </c>
      <c r="U638" s="25">
        <f>IF($O638="Invalid",HYPERLINK("mailto:"&amp;$G638&amp;";"&amp;$I638&amp;"?cc="&amp;Lists!$E$2&amp;"&amp;subject="&amp;_xlfn.ENCODEURL("[INVALID] Quality audit monitoring completed for "&amp;UPPER($C638))&amp;"&amp;body="&amp;_xlfn.ENCODEURL("Hi "&amp;$F638&amp;","&amp;CHAR(10)&amp;"Good day!"&amp;CHAR(10)&amp;CHAR(10)&amp;"A quality monitoring audit has been completed for "&amp;$C638&amp;"."&amp;CHAR(10)&amp;CHAR(10)&amp;"QUALITY AUDIT DETAILS"&amp;CHAR(10)&amp;"Agent Name: "&amp;$C638&amp;" (EID "&amp;$D638&amp;")"&amp;CHAR(10)&amp;"Audit Date: "&amp;TEXT($B638,"yyyy-mm-dd")&amp;CHAR(10)&amp;"Team Leader: "&amp;$F638&amp;CHAR(10)&amp;"Case Number: "&amp;$M638&amp;CHAR(10)&amp;"Transaction ID: "&amp;$N638&amp;CHAR(10)&amp;"Channel / LOB: "&amp;$K638&amp;" / "&amp;$L638&amp;CHAR(10)&amp;"Evaluator: "&amp;$S638&amp;CHAR(10)&amp;CHAR(10)&amp;"INVALID QUALITY AUDIT DETAILS"&amp;CHAR(10)&amp;"Validation: Invalid"&amp;CHAR(10)&amp;"Invalid Reason: "&amp;$P638&amp;CHAR(10)&amp;"Expected Resolution Code: "&amp;$Q638&amp;CHAR(10)&amp;"Remarks: "&amp;LEFT($R638,600)&amp;CHAR(10)&amp;CHAR(10)&amp;"This is an automated notification from HP Mainstream EQMS."),"✉ Open Email Draft"),"")</f>
        <v/>
      </c>
    </row>
    <row r="639">
      <c r="A639" s="25">
        <f>IF($C639="","","AUD-2026-"&amp;TEXT(ROW()-1,"000000"))</f>
        <v/>
      </c>
      <c r="B639" s="26" t="n"/>
      <c r="C639" s="27" t="n"/>
      <c r="D639" s="25">
        <f>IF($C639="","",IFERROR(IF(INDEX(Roster!$A:$A,MATCH($C639,Roster!$B:$B,0))="","",INDEX(Roster!$A:$A,MATCH($C639,Roster!$B:$B,0))&amp;""),"—"))</f>
        <v/>
      </c>
      <c r="E639" s="25">
        <f>IF($C639="","",IFERROR(IF(INDEX(Roster!$C:$C,MATCH($C639,Roster!$B:$B,0))="","",INDEX(Roster!$C:$C,MATCH($C639,Roster!$B:$B,0))&amp;""),"—"))</f>
        <v/>
      </c>
      <c r="F639" s="25">
        <f>IF($C639="","",IFERROR(IF(INDEX(Roster!$D:$D,MATCH($C639,Roster!$B:$B,0))="","",INDEX(Roster!$D:$D,MATCH($C639,Roster!$B:$B,0))&amp;""),"—"))</f>
        <v/>
      </c>
      <c r="G639" s="25">
        <f>IF($C639="","",IFERROR(IF(INDEX(Roster!$E:$E,MATCH($C639,Roster!$B:$B,0))="","",INDEX(Roster!$E:$E,MATCH($C639,Roster!$B:$B,0))&amp;""),"—"))</f>
        <v/>
      </c>
      <c r="H639" s="25">
        <f>IF($C639="","",IFERROR(IF(INDEX(Roster!$F:$F,MATCH($C639,Roster!$B:$B,0))="","",INDEX(Roster!$F:$F,MATCH($C639,Roster!$B:$B,0))&amp;""),"—"))</f>
        <v/>
      </c>
      <c r="I639" s="25">
        <f>IF($C639="","",IFERROR(IF(INDEX(Roster!$G:$G,MATCH($C639,Roster!$B:$B,0))="","",INDEX(Roster!$G:$G,MATCH($C639,Roster!$B:$B,0))&amp;""),"—"))</f>
        <v/>
      </c>
      <c r="J639" s="25">
        <f>IF($C639="","",IFERROR(IF(INDEX(Roster!$I:$I,MATCH($C639,Roster!$B:$B,0))="","",INDEX(Roster!$I:$I,MATCH($C639,Roster!$B:$B,0))&amp;""),"—"))</f>
        <v/>
      </c>
      <c r="K639">
        <f>IF($C639="","",IFERROR(IF(INDEX(Roster!$J:$J,MATCH($C639,Roster!$B:$B,0))="","",INDEX(Roster!$J:$J,MATCH($C639,Roster!$B:$B,0))&amp;""),"—"))</f>
        <v/>
      </c>
      <c r="L639">
        <f>IF($C639="","",IFERROR(IF(INDEX(Roster!$K:$K,MATCH($C639,Roster!$B:$B,0))="","",INDEX(Roster!$K:$K,MATCH($C639,Roster!$B:$B,0))&amp;""),"—"))</f>
        <v/>
      </c>
      <c r="M639" s="27" t="n"/>
      <c r="N639" s="27" t="n"/>
      <c r="O639" s="25">
        <f>IF($C639="","",IF($P639="","—",IF($P639="Valid (Pass)","Valid","Invalid")))</f>
        <v/>
      </c>
      <c r="P639" s="27" t="n"/>
      <c r="Q639" s="27" t="n"/>
      <c r="R639" s="27" t="n"/>
      <c r="S639" s="27" t="n"/>
      <c r="T639" s="25">
        <f>IF($C639="","",IF(OR(ISNUMBER(SEARCH("quick case",$P639)),ISNUMBER(SEARCH("quick case",$Q639))),"Yes","No"))</f>
        <v/>
      </c>
      <c r="U639" s="25">
        <f>IF($O639="Invalid",HYPERLINK("mailto:"&amp;$G639&amp;";"&amp;$I639&amp;"?cc="&amp;Lists!$E$2&amp;"&amp;subject="&amp;_xlfn.ENCODEURL("[INVALID] Quality audit monitoring completed for "&amp;UPPER($C639))&amp;"&amp;body="&amp;_xlfn.ENCODEURL("Hi "&amp;$F639&amp;","&amp;CHAR(10)&amp;"Good day!"&amp;CHAR(10)&amp;CHAR(10)&amp;"A quality monitoring audit has been completed for "&amp;$C639&amp;"."&amp;CHAR(10)&amp;CHAR(10)&amp;"QUALITY AUDIT DETAILS"&amp;CHAR(10)&amp;"Agent Name: "&amp;$C639&amp;" (EID "&amp;$D639&amp;")"&amp;CHAR(10)&amp;"Audit Date: "&amp;TEXT($B639,"yyyy-mm-dd")&amp;CHAR(10)&amp;"Team Leader: "&amp;$F639&amp;CHAR(10)&amp;"Case Number: "&amp;$M639&amp;CHAR(10)&amp;"Transaction ID: "&amp;$N639&amp;CHAR(10)&amp;"Channel / LOB: "&amp;$K639&amp;" / "&amp;$L639&amp;CHAR(10)&amp;"Evaluator: "&amp;$S639&amp;CHAR(10)&amp;CHAR(10)&amp;"INVALID QUALITY AUDIT DETAILS"&amp;CHAR(10)&amp;"Validation: Invalid"&amp;CHAR(10)&amp;"Invalid Reason: "&amp;$P639&amp;CHAR(10)&amp;"Expected Resolution Code: "&amp;$Q639&amp;CHAR(10)&amp;"Remarks: "&amp;LEFT($R639,600)&amp;CHAR(10)&amp;CHAR(10)&amp;"This is an automated notification from HP Mainstream EQMS."),"✉ Open Email Draft"),"")</f>
        <v/>
      </c>
    </row>
    <row r="640">
      <c r="A640" s="25">
        <f>IF($C640="","","AUD-2026-"&amp;TEXT(ROW()-1,"000000"))</f>
        <v/>
      </c>
      <c r="B640" s="26" t="n"/>
      <c r="C640" s="27" t="n"/>
      <c r="D640" s="25">
        <f>IF($C640="","",IFERROR(IF(INDEX(Roster!$A:$A,MATCH($C640,Roster!$B:$B,0))="","",INDEX(Roster!$A:$A,MATCH($C640,Roster!$B:$B,0))&amp;""),"—"))</f>
        <v/>
      </c>
      <c r="E640" s="25">
        <f>IF($C640="","",IFERROR(IF(INDEX(Roster!$C:$C,MATCH($C640,Roster!$B:$B,0))="","",INDEX(Roster!$C:$C,MATCH($C640,Roster!$B:$B,0))&amp;""),"—"))</f>
        <v/>
      </c>
      <c r="F640" s="25">
        <f>IF($C640="","",IFERROR(IF(INDEX(Roster!$D:$D,MATCH($C640,Roster!$B:$B,0))="","",INDEX(Roster!$D:$D,MATCH($C640,Roster!$B:$B,0))&amp;""),"—"))</f>
        <v/>
      </c>
      <c r="G640" s="25">
        <f>IF($C640="","",IFERROR(IF(INDEX(Roster!$E:$E,MATCH($C640,Roster!$B:$B,0))="","",INDEX(Roster!$E:$E,MATCH($C640,Roster!$B:$B,0))&amp;""),"—"))</f>
        <v/>
      </c>
      <c r="H640" s="25">
        <f>IF($C640="","",IFERROR(IF(INDEX(Roster!$F:$F,MATCH($C640,Roster!$B:$B,0))="","",INDEX(Roster!$F:$F,MATCH($C640,Roster!$B:$B,0))&amp;""),"—"))</f>
        <v/>
      </c>
      <c r="I640" s="25">
        <f>IF($C640="","",IFERROR(IF(INDEX(Roster!$G:$G,MATCH($C640,Roster!$B:$B,0))="","",INDEX(Roster!$G:$G,MATCH($C640,Roster!$B:$B,0))&amp;""),"—"))</f>
        <v/>
      </c>
      <c r="J640" s="25">
        <f>IF($C640="","",IFERROR(IF(INDEX(Roster!$I:$I,MATCH($C640,Roster!$B:$B,0))="","",INDEX(Roster!$I:$I,MATCH($C640,Roster!$B:$B,0))&amp;""),"—"))</f>
        <v/>
      </c>
      <c r="K640">
        <f>IF($C640="","",IFERROR(IF(INDEX(Roster!$J:$J,MATCH($C640,Roster!$B:$B,0))="","",INDEX(Roster!$J:$J,MATCH($C640,Roster!$B:$B,0))&amp;""),"—"))</f>
        <v/>
      </c>
      <c r="L640">
        <f>IF($C640="","",IFERROR(IF(INDEX(Roster!$K:$K,MATCH($C640,Roster!$B:$B,0))="","",INDEX(Roster!$K:$K,MATCH($C640,Roster!$B:$B,0))&amp;""),"—"))</f>
        <v/>
      </c>
      <c r="M640" s="27" t="n"/>
      <c r="N640" s="27" t="n"/>
      <c r="O640" s="25">
        <f>IF($C640="","",IF($P640="","—",IF($P640="Valid (Pass)","Valid","Invalid")))</f>
        <v/>
      </c>
      <c r="P640" s="27" t="n"/>
      <c r="Q640" s="27" t="n"/>
      <c r="R640" s="27" t="n"/>
      <c r="S640" s="27" t="n"/>
      <c r="T640" s="25">
        <f>IF($C640="","",IF(OR(ISNUMBER(SEARCH("quick case",$P640)),ISNUMBER(SEARCH("quick case",$Q640))),"Yes","No"))</f>
        <v/>
      </c>
      <c r="U640" s="25">
        <f>IF($O640="Invalid",HYPERLINK("mailto:"&amp;$G640&amp;";"&amp;$I640&amp;"?cc="&amp;Lists!$E$2&amp;"&amp;subject="&amp;_xlfn.ENCODEURL("[INVALID] Quality audit monitoring completed for "&amp;UPPER($C640))&amp;"&amp;body="&amp;_xlfn.ENCODEURL("Hi "&amp;$F640&amp;","&amp;CHAR(10)&amp;"Good day!"&amp;CHAR(10)&amp;CHAR(10)&amp;"A quality monitoring audit has been completed for "&amp;$C640&amp;"."&amp;CHAR(10)&amp;CHAR(10)&amp;"QUALITY AUDIT DETAILS"&amp;CHAR(10)&amp;"Agent Name: "&amp;$C640&amp;" (EID "&amp;$D640&amp;")"&amp;CHAR(10)&amp;"Audit Date: "&amp;TEXT($B640,"yyyy-mm-dd")&amp;CHAR(10)&amp;"Team Leader: "&amp;$F640&amp;CHAR(10)&amp;"Case Number: "&amp;$M640&amp;CHAR(10)&amp;"Transaction ID: "&amp;$N640&amp;CHAR(10)&amp;"Channel / LOB: "&amp;$K640&amp;" / "&amp;$L640&amp;CHAR(10)&amp;"Evaluator: "&amp;$S640&amp;CHAR(10)&amp;CHAR(10)&amp;"INVALID QUALITY AUDIT DETAILS"&amp;CHAR(10)&amp;"Validation: Invalid"&amp;CHAR(10)&amp;"Invalid Reason: "&amp;$P640&amp;CHAR(10)&amp;"Expected Resolution Code: "&amp;$Q640&amp;CHAR(10)&amp;"Remarks: "&amp;LEFT($R640,600)&amp;CHAR(10)&amp;CHAR(10)&amp;"This is an automated notification from HP Mainstream EQMS."),"✉ Open Email Draft"),"")</f>
        <v/>
      </c>
    </row>
    <row r="641">
      <c r="A641" s="25">
        <f>IF($C641="","","AUD-2026-"&amp;TEXT(ROW()-1,"000000"))</f>
        <v/>
      </c>
      <c r="B641" s="26" t="n"/>
      <c r="C641" s="27" t="n"/>
      <c r="D641" s="25">
        <f>IF($C641="","",IFERROR(IF(INDEX(Roster!$A:$A,MATCH($C641,Roster!$B:$B,0))="","",INDEX(Roster!$A:$A,MATCH($C641,Roster!$B:$B,0))&amp;""),"—"))</f>
        <v/>
      </c>
      <c r="E641" s="25">
        <f>IF($C641="","",IFERROR(IF(INDEX(Roster!$C:$C,MATCH($C641,Roster!$B:$B,0))="","",INDEX(Roster!$C:$C,MATCH($C641,Roster!$B:$B,0))&amp;""),"—"))</f>
        <v/>
      </c>
      <c r="F641" s="25">
        <f>IF($C641="","",IFERROR(IF(INDEX(Roster!$D:$D,MATCH($C641,Roster!$B:$B,0))="","",INDEX(Roster!$D:$D,MATCH($C641,Roster!$B:$B,0))&amp;""),"—"))</f>
        <v/>
      </c>
      <c r="G641" s="25">
        <f>IF($C641="","",IFERROR(IF(INDEX(Roster!$E:$E,MATCH($C641,Roster!$B:$B,0))="","",INDEX(Roster!$E:$E,MATCH($C641,Roster!$B:$B,0))&amp;""),"—"))</f>
        <v/>
      </c>
      <c r="H641" s="25">
        <f>IF($C641="","",IFERROR(IF(INDEX(Roster!$F:$F,MATCH($C641,Roster!$B:$B,0))="","",INDEX(Roster!$F:$F,MATCH($C641,Roster!$B:$B,0))&amp;""),"—"))</f>
        <v/>
      </c>
      <c r="I641" s="25">
        <f>IF($C641="","",IFERROR(IF(INDEX(Roster!$G:$G,MATCH($C641,Roster!$B:$B,0))="","",INDEX(Roster!$G:$G,MATCH($C641,Roster!$B:$B,0))&amp;""),"—"))</f>
        <v/>
      </c>
      <c r="J641" s="25">
        <f>IF($C641="","",IFERROR(IF(INDEX(Roster!$I:$I,MATCH($C641,Roster!$B:$B,0))="","",INDEX(Roster!$I:$I,MATCH($C641,Roster!$B:$B,0))&amp;""),"—"))</f>
        <v/>
      </c>
      <c r="K641">
        <f>IF($C641="","",IFERROR(IF(INDEX(Roster!$J:$J,MATCH($C641,Roster!$B:$B,0))="","",INDEX(Roster!$J:$J,MATCH($C641,Roster!$B:$B,0))&amp;""),"—"))</f>
        <v/>
      </c>
      <c r="L641">
        <f>IF($C641="","",IFERROR(IF(INDEX(Roster!$K:$K,MATCH($C641,Roster!$B:$B,0))="","",INDEX(Roster!$K:$K,MATCH($C641,Roster!$B:$B,0))&amp;""),"—"))</f>
        <v/>
      </c>
      <c r="M641" s="27" t="n"/>
      <c r="N641" s="27" t="n"/>
      <c r="O641" s="25">
        <f>IF($C641="","",IF($P641="","—",IF($P641="Valid (Pass)","Valid","Invalid")))</f>
        <v/>
      </c>
      <c r="P641" s="27" t="n"/>
      <c r="Q641" s="27" t="n"/>
      <c r="R641" s="27" t="n"/>
      <c r="S641" s="27" t="n"/>
      <c r="T641" s="25">
        <f>IF($C641="","",IF(OR(ISNUMBER(SEARCH("quick case",$P641)),ISNUMBER(SEARCH("quick case",$Q641))),"Yes","No"))</f>
        <v/>
      </c>
      <c r="U641" s="25">
        <f>IF($O641="Invalid",HYPERLINK("mailto:"&amp;$G641&amp;";"&amp;$I641&amp;"?cc="&amp;Lists!$E$2&amp;"&amp;subject="&amp;_xlfn.ENCODEURL("[INVALID] Quality audit monitoring completed for "&amp;UPPER($C641))&amp;"&amp;body="&amp;_xlfn.ENCODEURL("Hi "&amp;$F641&amp;","&amp;CHAR(10)&amp;"Good day!"&amp;CHAR(10)&amp;CHAR(10)&amp;"A quality monitoring audit has been completed for "&amp;$C641&amp;"."&amp;CHAR(10)&amp;CHAR(10)&amp;"QUALITY AUDIT DETAILS"&amp;CHAR(10)&amp;"Agent Name: "&amp;$C641&amp;" (EID "&amp;$D641&amp;")"&amp;CHAR(10)&amp;"Audit Date: "&amp;TEXT($B641,"yyyy-mm-dd")&amp;CHAR(10)&amp;"Team Leader: "&amp;$F641&amp;CHAR(10)&amp;"Case Number: "&amp;$M641&amp;CHAR(10)&amp;"Transaction ID: "&amp;$N641&amp;CHAR(10)&amp;"Channel / LOB: "&amp;$K641&amp;" / "&amp;$L641&amp;CHAR(10)&amp;"Evaluator: "&amp;$S641&amp;CHAR(10)&amp;CHAR(10)&amp;"INVALID QUALITY AUDIT DETAILS"&amp;CHAR(10)&amp;"Validation: Invalid"&amp;CHAR(10)&amp;"Invalid Reason: "&amp;$P641&amp;CHAR(10)&amp;"Expected Resolution Code: "&amp;$Q641&amp;CHAR(10)&amp;"Remarks: "&amp;LEFT($R641,600)&amp;CHAR(10)&amp;CHAR(10)&amp;"This is an automated notification from HP Mainstream EQMS."),"✉ Open Email Draft"),"")</f>
        <v/>
      </c>
    </row>
    <row r="642">
      <c r="A642" s="25">
        <f>IF($C642="","","AUD-2026-"&amp;TEXT(ROW()-1,"000000"))</f>
        <v/>
      </c>
      <c r="B642" s="26" t="n"/>
      <c r="C642" s="27" t="n"/>
      <c r="D642" s="25">
        <f>IF($C642="","",IFERROR(IF(INDEX(Roster!$A:$A,MATCH($C642,Roster!$B:$B,0))="","",INDEX(Roster!$A:$A,MATCH($C642,Roster!$B:$B,0))&amp;""),"—"))</f>
        <v/>
      </c>
      <c r="E642" s="25">
        <f>IF($C642="","",IFERROR(IF(INDEX(Roster!$C:$C,MATCH($C642,Roster!$B:$B,0))="","",INDEX(Roster!$C:$C,MATCH($C642,Roster!$B:$B,0))&amp;""),"—"))</f>
        <v/>
      </c>
      <c r="F642" s="25">
        <f>IF($C642="","",IFERROR(IF(INDEX(Roster!$D:$D,MATCH($C642,Roster!$B:$B,0))="","",INDEX(Roster!$D:$D,MATCH($C642,Roster!$B:$B,0))&amp;""),"—"))</f>
        <v/>
      </c>
      <c r="G642" s="25">
        <f>IF($C642="","",IFERROR(IF(INDEX(Roster!$E:$E,MATCH($C642,Roster!$B:$B,0))="","",INDEX(Roster!$E:$E,MATCH($C642,Roster!$B:$B,0))&amp;""),"—"))</f>
        <v/>
      </c>
      <c r="H642" s="25">
        <f>IF($C642="","",IFERROR(IF(INDEX(Roster!$F:$F,MATCH($C642,Roster!$B:$B,0))="","",INDEX(Roster!$F:$F,MATCH($C642,Roster!$B:$B,0))&amp;""),"—"))</f>
        <v/>
      </c>
      <c r="I642" s="25">
        <f>IF($C642="","",IFERROR(IF(INDEX(Roster!$G:$G,MATCH($C642,Roster!$B:$B,0))="","",INDEX(Roster!$G:$G,MATCH($C642,Roster!$B:$B,0))&amp;""),"—"))</f>
        <v/>
      </c>
      <c r="J642" s="25">
        <f>IF($C642="","",IFERROR(IF(INDEX(Roster!$I:$I,MATCH($C642,Roster!$B:$B,0))="","",INDEX(Roster!$I:$I,MATCH($C642,Roster!$B:$B,0))&amp;""),"—"))</f>
        <v/>
      </c>
      <c r="K642">
        <f>IF($C642="","",IFERROR(IF(INDEX(Roster!$J:$J,MATCH($C642,Roster!$B:$B,0))="","",INDEX(Roster!$J:$J,MATCH($C642,Roster!$B:$B,0))&amp;""),"—"))</f>
        <v/>
      </c>
      <c r="L642">
        <f>IF($C642="","",IFERROR(IF(INDEX(Roster!$K:$K,MATCH($C642,Roster!$B:$B,0))="","",INDEX(Roster!$K:$K,MATCH($C642,Roster!$B:$B,0))&amp;""),"—"))</f>
        <v/>
      </c>
      <c r="M642" s="27" t="n"/>
      <c r="N642" s="27" t="n"/>
      <c r="O642" s="25">
        <f>IF($C642="","",IF($P642="","—",IF($P642="Valid (Pass)","Valid","Invalid")))</f>
        <v/>
      </c>
      <c r="P642" s="27" t="n"/>
      <c r="Q642" s="27" t="n"/>
      <c r="R642" s="27" t="n"/>
      <c r="S642" s="27" t="n"/>
      <c r="T642" s="25">
        <f>IF($C642="","",IF(OR(ISNUMBER(SEARCH("quick case",$P642)),ISNUMBER(SEARCH("quick case",$Q642))),"Yes","No"))</f>
        <v/>
      </c>
      <c r="U642" s="25">
        <f>IF($O642="Invalid",HYPERLINK("mailto:"&amp;$G642&amp;";"&amp;$I642&amp;"?cc="&amp;Lists!$E$2&amp;"&amp;subject="&amp;_xlfn.ENCODEURL("[INVALID] Quality audit monitoring completed for "&amp;UPPER($C642))&amp;"&amp;body="&amp;_xlfn.ENCODEURL("Hi "&amp;$F642&amp;","&amp;CHAR(10)&amp;"Good day!"&amp;CHAR(10)&amp;CHAR(10)&amp;"A quality monitoring audit has been completed for "&amp;$C642&amp;"."&amp;CHAR(10)&amp;CHAR(10)&amp;"QUALITY AUDIT DETAILS"&amp;CHAR(10)&amp;"Agent Name: "&amp;$C642&amp;" (EID "&amp;$D642&amp;")"&amp;CHAR(10)&amp;"Audit Date: "&amp;TEXT($B642,"yyyy-mm-dd")&amp;CHAR(10)&amp;"Team Leader: "&amp;$F642&amp;CHAR(10)&amp;"Case Number: "&amp;$M642&amp;CHAR(10)&amp;"Transaction ID: "&amp;$N642&amp;CHAR(10)&amp;"Channel / LOB: "&amp;$K642&amp;" / "&amp;$L642&amp;CHAR(10)&amp;"Evaluator: "&amp;$S642&amp;CHAR(10)&amp;CHAR(10)&amp;"INVALID QUALITY AUDIT DETAILS"&amp;CHAR(10)&amp;"Validation: Invalid"&amp;CHAR(10)&amp;"Invalid Reason: "&amp;$P642&amp;CHAR(10)&amp;"Expected Resolution Code: "&amp;$Q642&amp;CHAR(10)&amp;"Remarks: "&amp;LEFT($R642,600)&amp;CHAR(10)&amp;CHAR(10)&amp;"This is an automated notification from HP Mainstream EQMS."),"✉ Open Email Draft"),"")</f>
        <v/>
      </c>
    </row>
    <row r="643">
      <c r="A643" s="25">
        <f>IF($C643="","","AUD-2026-"&amp;TEXT(ROW()-1,"000000"))</f>
        <v/>
      </c>
      <c r="B643" s="26" t="n"/>
      <c r="C643" s="27" t="n"/>
      <c r="D643" s="25">
        <f>IF($C643="","",IFERROR(IF(INDEX(Roster!$A:$A,MATCH($C643,Roster!$B:$B,0))="","",INDEX(Roster!$A:$A,MATCH($C643,Roster!$B:$B,0))&amp;""),"—"))</f>
        <v/>
      </c>
      <c r="E643" s="25">
        <f>IF($C643="","",IFERROR(IF(INDEX(Roster!$C:$C,MATCH($C643,Roster!$B:$B,0))="","",INDEX(Roster!$C:$C,MATCH($C643,Roster!$B:$B,0))&amp;""),"—"))</f>
        <v/>
      </c>
      <c r="F643" s="25">
        <f>IF($C643="","",IFERROR(IF(INDEX(Roster!$D:$D,MATCH($C643,Roster!$B:$B,0))="","",INDEX(Roster!$D:$D,MATCH($C643,Roster!$B:$B,0))&amp;""),"—"))</f>
        <v/>
      </c>
      <c r="G643" s="25">
        <f>IF($C643="","",IFERROR(IF(INDEX(Roster!$E:$E,MATCH($C643,Roster!$B:$B,0))="","",INDEX(Roster!$E:$E,MATCH($C643,Roster!$B:$B,0))&amp;""),"—"))</f>
        <v/>
      </c>
      <c r="H643" s="25">
        <f>IF($C643="","",IFERROR(IF(INDEX(Roster!$F:$F,MATCH($C643,Roster!$B:$B,0))="","",INDEX(Roster!$F:$F,MATCH($C643,Roster!$B:$B,0))&amp;""),"—"))</f>
        <v/>
      </c>
      <c r="I643" s="25">
        <f>IF($C643="","",IFERROR(IF(INDEX(Roster!$G:$G,MATCH($C643,Roster!$B:$B,0))="","",INDEX(Roster!$G:$G,MATCH($C643,Roster!$B:$B,0))&amp;""),"—"))</f>
        <v/>
      </c>
      <c r="J643" s="25">
        <f>IF($C643="","",IFERROR(IF(INDEX(Roster!$I:$I,MATCH($C643,Roster!$B:$B,0))="","",INDEX(Roster!$I:$I,MATCH($C643,Roster!$B:$B,0))&amp;""),"—"))</f>
        <v/>
      </c>
      <c r="K643">
        <f>IF($C643="","",IFERROR(IF(INDEX(Roster!$J:$J,MATCH($C643,Roster!$B:$B,0))="","",INDEX(Roster!$J:$J,MATCH($C643,Roster!$B:$B,0))&amp;""),"—"))</f>
        <v/>
      </c>
      <c r="L643">
        <f>IF($C643="","",IFERROR(IF(INDEX(Roster!$K:$K,MATCH($C643,Roster!$B:$B,0))="","",INDEX(Roster!$K:$K,MATCH($C643,Roster!$B:$B,0))&amp;""),"—"))</f>
        <v/>
      </c>
      <c r="M643" s="27" t="n"/>
      <c r="N643" s="27" t="n"/>
      <c r="O643" s="25">
        <f>IF($C643="","",IF($P643="","—",IF($P643="Valid (Pass)","Valid","Invalid")))</f>
        <v/>
      </c>
      <c r="P643" s="27" t="n"/>
      <c r="Q643" s="27" t="n"/>
      <c r="R643" s="27" t="n"/>
      <c r="S643" s="27" t="n"/>
      <c r="T643" s="25">
        <f>IF($C643="","",IF(OR(ISNUMBER(SEARCH("quick case",$P643)),ISNUMBER(SEARCH("quick case",$Q643))),"Yes","No"))</f>
        <v/>
      </c>
      <c r="U643" s="25">
        <f>IF($O643="Invalid",HYPERLINK("mailto:"&amp;$G643&amp;";"&amp;$I643&amp;"?cc="&amp;Lists!$E$2&amp;"&amp;subject="&amp;_xlfn.ENCODEURL("[INVALID] Quality audit monitoring completed for "&amp;UPPER($C643))&amp;"&amp;body="&amp;_xlfn.ENCODEURL("Hi "&amp;$F643&amp;","&amp;CHAR(10)&amp;"Good day!"&amp;CHAR(10)&amp;CHAR(10)&amp;"A quality monitoring audit has been completed for "&amp;$C643&amp;"."&amp;CHAR(10)&amp;CHAR(10)&amp;"QUALITY AUDIT DETAILS"&amp;CHAR(10)&amp;"Agent Name: "&amp;$C643&amp;" (EID "&amp;$D643&amp;")"&amp;CHAR(10)&amp;"Audit Date: "&amp;TEXT($B643,"yyyy-mm-dd")&amp;CHAR(10)&amp;"Team Leader: "&amp;$F643&amp;CHAR(10)&amp;"Case Number: "&amp;$M643&amp;CHAR(10)&amp;"Transaction ID: "&amp;$N643&amp;CHAR(10)&amp;"Channel / LOB: "&amp;$K643&amp;" / "&amp;$L643&amp;CHAR(10)&amp;"Evaluator: "&amp;$S643&amp;CHAR(10)&amp;CHAR(10)&amp;"INVALID QUALITY AUDIT DETAILS"&amp;CHAR(10)&amp;"Validation: Invalid"&amp;CHAR(10)&amp;"Invalid Reason: "&amp;$P643&amp;CHAR(10)&amp;"Expected Resolution Code: "&amp;$Q643&amp;CHAR(10)&amp;"Remarks: "&amp;LEFT($R643,600)&amp;CHAR(10)&amp;CHAR(10)&amp;"This is an automated notification from HP Mainstream EQMS."),"✉ Open Email Draft"),"")</f>
        <v/>
      </c>
    </row>
    <row r="644">
      <c r="A644" s="25">
        <f>IF($C644="","","AUD-2026-"&amp;TEXT(ROW()-1,"000000"))</f>
        <v/>
      </c>
      <c r="B644" s="26" t="n"/>
      <c r="C644" s="27" t="n"/>
      <c r="D644" s="25">
        <f>IF($C644="","",IFERROR(IF(INDEX(Roster!$A:$A,MATCH($C644,Roster!$B:$B,0))="","",INDEX(Roster!$A:$A,MATCH($C644,Roster!$B:$B,0))&amp;""),"—"))</f>
        <v/>
      </c>
      <c r="E644" s="25">
        <f>IF($C644="","",IFERROR(IF(INDEX(Roster!$C:$C,MATCH($C644,Roster!$B:$B,0))="","",INDEX(Roster!$C:$C,MATCH($C644,Roster!$B:$B,0))&amp;""),"—"))</f>
        <v/>
      </c>
      <c r="F644" s="25">
        <f>IF($C644="","",IFERROR(IF(INDEX(Roster!$D:$D,MATCH($C644,Roster!$B:$B,0))="","",INDEX(Roster!$D:$D,MATCH($C644,Roster!$B:$B,0))&amp;""),"—"))</f>
        <v/>
      </c>
      <c r="G644" s="25">
        <f>IF($C644="","",IFERROR(IF(INDEX(Roster!$E:$E,MATCH($C644,Roster!$B:$B,0))="","",INDEX(Roster!$E:$E,MATCH($C644,Roster!$B:$B,0))&amp;""),"—"))</f>
        <v/>
      </c>
      <c r="H644" s="25">
        <f>IF($C644="","",IFERROR(IF(INDEX(Roster!$F:$F,MATCH($C644,Roster!$B:$B,0))="","",INDEX(Roster!$F:$F,MATCH($C644,Roster!$B:$B,0))&amp;""),"—"))</f>
        <v/>
      </c>
      <c r="I644" s="25">
        <f>IF($C644="","",IFERROR(IF(INDEX(Roster!$G:$G,MATCH($C644,Roster!$B:$B,0))="","",INDEX(Roster!$G:$G,MATCH($C644,Roster!$B:$B,0))&amp;""),"—"))</f>
        <v/>
      </c>
      <c r="J644" s="25">
        <f>IF($C644="","",IFERROR(IF(INDEX(Roster!$I:$I,MATCH($C644,Roster!$B:$B,0))="","",INDEX(Roster!$I:$I,MATCH($C644,Roster!$B:$B,0))&amp;""),"—"))</f>
        <v/>
      </c>
      <c r="K644">
        <f>IF($C644="","",IFERROR(IF(INDEX(Roster!$J:$J,MATCH($C644,Roster!$B:$B,0))="","",INDEX(Roster!$J:$J,MATCH($C644,Roster!$B:$B,0))&amp;""),"—"))</f>
        <v/>
      </c>
      <c r="L644">
        <f>IF($C644="","",IFERROR(IF(INDEX(Roster!$K:$K,MATCH($C644,Roster!$B:$B,0))="","",INDEX(Roster!$K:$K,MATCH($C644,Roster!$B:$B,0))&amp;""),"—"))</f>
        <v/>
      </c>
      <c r="M644" s="27" t="n"/>
      <c r="N644" s="27" t="n"/>
      <c r="O644" s="25">
        <f>IF($C644="","",IF($P644="","—",IF($P644="Valid (Pass)","Valid","Invalid")))</f>
        <v/>
      </c>
      <c r="P644" s="27" t="n"/>
      <c r="Q644" s="27" t="n"/>
      <c r="R644" s="27" t="n"/>
      <c r="S644" s="27" t="n"/>
      <c r="T644" s="25">
        <f>IF($C644="","",IF(OR(ISNUMBER(SEARCH("quick case",$P644)),ISNUMBER(SEARCH("quick case",$Q644))),"Yes","No"))</f>
        <v/>
      </c>
      <c r="U644" s="25">
        <f>IF($O644="Invalid",HYPERLINK("mailto:"&amp;$G644&amp;";"&amp;$I644&amp;"?cc="&amp;Lists!$E$2&amp;"&amp;subject="&amp;_xlfn.ENCODEURL("[INVALID] Quality audit monitoring completed for "&amp;UPPER($C644))&amp;"&amp;body="&amp;_xlfn.ENCODEURL("Hi "&amp;$F644&amp;","&amp;CHAR(10)&amp;"Good day!"&amp;CHAR(10)&amp;CHAR(10)&amp;"A quality monitoring audit has been completed for "&amp;$C644&amp;"."&amp;CHAR(10)&amp;CHAR(10)&amp;"QUALITY AUDIT DETAILS"&amp;CHAR(10)&amp;"Agent Name: "&amp;$C644&amp;" (EID "&amp;$D644&amp;")"&amp;CHAR(10)&amp;"Audit Date: "&amp;TEXT($B644,"yyyy-mm-dd")&amp;CHAR(10)&amp;"Team Leader: "&amp;$F644&amp;CHAR(10)&amp;"Case Number: "&amp;$M644&amp;CHAR(10)&amp;"Transaction ID: "&amp;$N644&amp;CHAR(10)&amp;"Channel / LOB: "&amp;$K644&amp;" / "&amp;$L644&amp;CHAR(10)&amp;"Evaluator: "&amp;$S644&amp;CHAR(10)&amp;CHAR(10)&amp;"INVALID QUALITY AUDIT DETAILS"&amp;CHAR(10)&amp;"Validation: Invalid"&amp;CHAR(10)&amp;"Invalid Reason: "&amp;$P644&amp;CHAR(10)&amp;"Expected Resolution Code: "&amp;$Q644&amp;CHAR(10)&amp;"Remarks: "&amp;LEFT($R644,600)&amp;CHAR(10)&amp;CHAR(10)&amp;"This is an automated notification from HP Mainstream EQMS."),"✉ Open Email Draft"),"")</f>
        <v/>
      </c>
    </row>
    <row r="645">
      <c r="A645" s="25">
        <f>IF($C645="","","AUD-2026-"&amp;TEXT(ROW()-1,"000000"))</f>
        <v/>
      </c>
      <c r="B645" s="26" t="n"/>
      <c r="C645" s="27" t="n"/>
      <c r="D645" s="25">
        <f>IF($C645="","",IFERROR(IF(INDEX(Roster!$A:$A,MATCH($C645,Roster!$B:$B,0))="","",INDEX(Roster!$A:$A,MATCH($C645,Roster!$B:$B,0))&amp;""),"—"))</f>
        <v/>
      </c>
      <c r="E645" s="25">
        <f>IF($C645="","",IFERROR(IF(INDEX(Roster!$C:$C,MATCH($C645,Roster!$B:$B,0))="","",INDEX(Roster!$C:$C,MATCH($C645,Roster!$B:$B,0))&amp;""),"—"))</f>
        <v/>
      </c>
      <c r="F645" s="25">
        <f>IF($C645="","",IFERROR(IF(INDEX(Roster!$D:$D,MATCH($C645,Roster!$B:$B,0))="","",INDEX(Roster!$D:$D,MATCH($C645,Roster!$B:$B,0))&amp;""),"—"))</f>
        <v/>
      </c>
      <c r="G645" s="25">
        <f>IF($C645="","",IFERROR(IF(INDEX(Roster!$E:$E,MATCH($C645,Roster!$B:$B,0))="","",INDEX(Roster!$E:$E,MATCH($C645,Roster!$B:$B,0))&amp;""),"—"))</f>
        <v/>
      </c>
      <c r="H645" s="25">
        <f>IF($C645="","",IFERROR(IF(INDEX(Roster!$F:$F,MATCH($C645,Roster!$B:$B,0))="","",INDEX(Roster!$F:$F,MATCH($C645,Roster!$B:$B,0))&amp;""),"—"))</f>
        <v/>
      </c>
      <c r="I645" s="25">
        <f>IF($C645="","",IFERROR(IF(INDEX(Roster!$G:$G,MATCH($C645,Roster!$B:$B,0))="","",INDEX(Roster!$G:$G,MATCH($C645,Roster!$B:$B,0))&amp;""),"—"))</f>
        <v/>
      </c>
      <c r="J645" s="25">
        <f>IF($C645="","",IFERROR(IF(INDEX(Roster!$I:$I,MATCH($C645,Roster!$B:$B,0))="","",INDEX(Roster!$I:$I,MATCH($C645,Roster!$B:$B,0))&amp;""),"—"))</f>
        <v/>
      </c>
      <c r="K645">
        <f>IF($C645="","",IFERROR(IF(INDEX(Roster!$J:$J,MATCH($C645,Roster!$B:$B,0))="","",INDEX(Roster!$J:$J,MATCH($C645,Roster!$B:$B,0))&amp;""),"—"))</f>
        <v/>
      </c>
      <c r="L645">
        <f>IF($C645="","",IFERROR(IF(INDEX(Roster!$K:$K,MATCH($C645,Roster!$B:$B,0))="","",INDEX(Roster!$K:$K,MATCH($C645,Roster!$B:$B,0))&amp;""),"—"))</f>
        <v/>
      </c>
      <c r="M645" s="27" t="n"/>
      <c r="N645" s="27" t="n"/>
      <c r="O645" s="25">
        <f>IF($C645="","",IF($P645="","—",IF($P645="Valid (Pass)","Valid","Invalid")))</f>
        <v/>
      </c>
      <c r="P645" s="27" t="n"/>
      <c r="Q645" s="27" t="n"/>
      <c r="R645" s="27" t="n"/>
      <c r="S645" s="27" t="n"/>
      <c r="T645" s="25">
        <f>IF($C645="","",IF(OR(ISNUMBER(SEARCH("quick case",$P645)),ISNUMBER(SEARCH("quick case",$Q645))),"Yes","No"))</f>
        <v/>
      </c>
      <c r="U645" s="25">
        <f>IF($O645="Invalid",HYPERLINK("mailto:"&amp;$G645&amp;";"&amp;$I645&amp;"?cc="&amp;Lists!$E$2&amp;"&amp;subject="&amp;_xlfn.ENCODEURL("[INVALID] Quality audit monitoring completed for "&amp;UPPER($C645))&amp;"&amp;body="&amp;_xlfn.ENCODEURL("Hi "&amp;$F645&amp;","&amp;CHAR(10)&amp;"Good day!"&amp;CHAR(10)&amp;CHAR(10)&amp;"A quality monitoring audit has been completed for "&amp;$C645&amp;"."&amp;CHAR(10)&amp;CHAR(10)&amp;"QUALITY AUDIT DETAILS"&amp;CHAR(10)&amp;"Agent Name: "&amp;$C645&amp;" (EID "&amp;$D645&amp;")"&amp;CHAR(10)&amp;"Audit Date: "&amp;TEXT($B645,"yyyy-mm-dd")&amp;CHAR(10)&amp;"Team Leader: "&amp;$F645&amp;CHAR(10)&amp;"Case Number: "&amp;$M645&amp;CHAR(10)&amp;"Transaction ID: "&amp;$N645&amp;CHAR(10)&amp;"Channel / LOB: "&amp;$K645&amp;" / "&amp;$L645&amp;CHAR(10)&amp;"Evaluator: "&amp;$S645&amp;CHAR(10)&amp;CHAR(10)&amp;"INVALID QUALITY AUDIT DETAILS"&amp;CHAR(10)&amp;"Validation: Invalid"&amp;CHAR(10)&amp;"Invalid Reason: "&amp;$P645&amp;CHAR(10)&amp;"Expected Resolution Code: "&amp;$Q645&amp;CHAR(10)&amp;"Remarks: "&amp;LEFT($R645,600)&amp;CHAR(10)&amp;CHAR(10)&amp;"This is an automated notification from HP Mainstream EQMS."),"✉ Open Email Draft"),"")</f>
        <v/>
      </c>
    </row>
    <row r="646">
      <c r="A646" s="25">
        <f>IF($C646="","","AUD-2026-"&amp;TEXT(ROW()-1,"000000"))</f>
        <v/>
      </c>
      <c r="B646" s="26" t="n"/>
      <c r="C646" s="27" t="n"/>
      <c r="D646" s="25">
        <f>IF($C646="","",IFERROR(IF(INDEX(Roster!$A:$A,MATCH($C646,Roster!$B:$B,0))="","",INDEX(Roster!$A:$A,MATCH($C646,Roster!$B:$B,0))&amp;""),"—"))</f>
        <v/>
      </c>
      <c r="E646" s="25">
        <f>IF($C646="","",IFERROR(IF(INDEX(Roster!$C:$C,MATCH($C646,Roster!$B:$B,0))="","",INDEX(Roster!$C:$C,MATCH($C646,Roster!$B:$B,0))&amp;""),"—"))</f>
        <v/>
      </c>
      <c r="F646" s="25">
        <f>IF($C646="","",IFERROR(IF(INDEX(Roster!$D:$D,MATCH($C646,Roster!$B:$B,0))="","",INDEX(Roster!$D:$D,MATCH($C646,Roster!$B:$B,0))&amp;""),"—"))</f>
        <v/>
      </c>
      <c r="G646" s="25">
        <f>IF($C646="","",IFERROR(IF(INDEX(Roster!$E:$E,MATCH($C646,Roster!$B:$B,0))="","",INDEX(Roster!$E:$E,MATCH($C646,Roster!$B:$B,0))&amp;""),"—"))</f>
        <v/>
      </c>
      <c r="H646" s="25">
        <f>IF($C646="","",IFERROR(IF(INDEX(Roster!$F:$F,MATCH($C646,Roster!$B:$B,0))="","",INDEX(Roster!$F:$F,MATCH($C646,Roster!$B:$B,0))&amp;""),"—"))</f>
        <v/>
      </c>
      <c r="I646" s="25">
        <f>IF($C646="","",IFERROR(IF(INDEX(Roster!$G:$G,MATCH($C646,Roster!$B:$B,0))="","",INDEX(Roster!$G:$G,MATCH($C646,Roster!$B:$B,0))&amp;""),"—"))</f>
        <v/>
      </c>
      <c r="J646" s="25">
        <f>IF($C646="","",IFERROR(IF(INDEX(Roster!$I:$I,MATCH($C646,Roster!$B:$B,0))="","",INDEX(Roster!$I:$I,MATCH($C646,Roster!$B:$B,0))&amp;""),"—"))</f>
        <v/>
      </c>
      <c r="K646">
        <f>IF($C646="","",IFERROR(IF(INDEX(Roster!$J:$J,MATCH($C646,Roster!$B:$B,0))="","",INDEX(Roster!$J:$J,MATCH($C646,Roster!$B:$B,0))&amp;""),"—"))</f>
        <v/>
      </c>
      <c r="L646">
        <f>IF($C646="","",IFERROR(IF(INDEX(Roster!$K:$K,MATCH($C646,Roster!$B:$B,0))="","",INDEX(Roster!$K:$K,MATCH($C646,Roster!$B:$B,0))&amp;""),"—"))</f>
        <v/>
      </c>
      <c r="M646" s="27" t="n"/>
      <c r="N646" s="27" t="n"/>
      <c r="O646" s="25">
        <f>IF($C646="","",IF($P646="","—",IF($P646="Valid (Pass)","Valid","Invalid")))</f>
        <v/>
      </c>
      <c r="P646" s="27" t="n"/>
      <c r="Q646" s="27" t="n"/>
      <c r="R646" s="27" t="n"/>
      <c r="S646" s="27" t="n"/>
      <c r="T646" s="25">
        <f>IF($C646="","",IF(OR(ISNUMBER(SEARCH("quick case",$P646)),ISNUMBER(SEARCH("quick case",$Q646))),"Yes","No"))</f>
        <v/>
      </c>
      <c r="U646" s="25">
        <f>IF($O646="Invalid",HYPERLINK("mailto:"&amp;$G646&amp;";"&amp;$I646&amp;"?cc="&amp;Lists!$E$2&amp;"&amp;subject="&amp;_xlfn.ENCODEURL("[INVALID] Quality audit monitoring completed for "&amp;UPPER($C646))&amp;"&amp;body="&amp;_xlfn.ENCODEURL("Hi "&amp;$F646&amp;","&amp;CHAR(10)&amp;"Good day!"&amp;CHAR(10)&amp;CHAR(10)&amp;"A quality monitoring audit has been completed for "&amp;$C646&amp;"."&amp;CHAR(10)&amp;CHAR(10)&amp;"QUALITY AUDIT DETAILS"&amp;CHAR(10)&amp;"Agent Name: "&amp;$C646&amp;" (EID "&amp;$D646&amp;")"&amp;CHAR(10)&amp;"Audit Date: "&amp;TEXT($B646,"yyyy-mm-dd")&amp;CHAR(10)&amp;"Team Leader: "&amp;$F646&amp;CHAR(10)&amp;"Case Number: "&amp;$M646&amp;CHAR(10)&amp;"Transaction ID: "&amp;$N646&amp;CHAR(10)&amp;"Channel / LOB: "&amp;$K646&amp;" / "&amp;$L646&amp;CHAR(10)&amp;"Evaluator: "&amp;$S646&amp;CHAR(10)&amp;CHAR(10)&amp;"INVALID QUALITY AUDIT DETAILS"&amp;CHAR(10)&amp;"Validation: Invalid"&amp;CHAR(10)&amp;"Invalid Reason: "&amp;$P646&amp;CHAR(10)&amp;"Expected Resolution Code: "&amp;$Q646&amp;CHAR(10)&amp;"Remarks: "&amp;LEFT($R646,600)&amp;CHAR(10)&amp;CHAR(10)&amp;"This is an automated notification from HP Mainstream EQMS."),"✉ Open Email Draft"),"")</f>
        <v/>
      </c>
    </row>
    <row r="647">
      <c r="A647" s="25">
        <f>IF($C647="","","AUD-2026-"&amp;TEXT(ROW()-1,"000000"))</f>
        <v/>
      </c>
      <c r="B647" s="26" t="n"/>
      <c r="C647" s="27" t="n"/>
      <c r="D647" s="25">
        <f>IF($C647="","",IFERROR(IF(INDEX(Roster!$A:$A,MATCH($C647,Roster!$B:$B,0))="","",INDEX(Roster!$A:$A,MATCH($C647,Roster!$B:$B,0))&amp;""),"—"))</f>
        <v/>
      </c>
      <c r="E647" s="25">
        <f>IF($C647="","",IFERROR(IF(INDEX(Roster!$C:$C,MATCH($C647,Roster!$B:$B,0))="","",INDEX(Roster!$C:$C,MATCH($C647,Roster!$B:$B,0))&amp;""),"—"))</f>
        <v/>
      </c>
      <c r="F647" s="25">
        <f>IF($C647="","",IFERROR(IF(INDEX(Roster!$D:$D,MATCH($C647,Roster!$B:$B,0))="","",INDEX(Roster!$D:$D,MATCH($C647,Roster!$B:$B,0))&amp;""),"—"))</f>
        <v/>
      </c>
      <c r="G647" s="25">
        <f>IF($C647="","",IFERROR(IF(INDEX(Roster!$E:$E,MATCH($C647,Roster!$B:$B,0))="","",INDEX(Roster!$E:$E,MATCH($C647,Roster!$B:$B,0))&amp;""),"—"))</f>
        <v/>
      </c>
      <c r="H647" s="25">
        <f>IF($C647="","",IFERROR(IF(INDEX(Roster!$F:$F,MATCH($C647,Roster!$B:$B,0))="","",INDEX(Roster!$F:$F,MATCH($C647,Roster!$B:$B,0))&amp;""),"—"))</f>
        <v/>
      </c>
      <c r="I647" s="25">
        <f>IF($C647="","",IFERROR(IF(INDEX(Roster!$G:$G,MATCH($C647,Roster!$B:$B,0))="","",INDEX(Roster!$G:$G,MATCH($C647,Roster!$B:$B,0))&amp;""),"—"))</f>
        <v/>
      </c>
      <c r="J647" s="25">
        <f>IF($C647="","",IFERROR(IF(INDEX(Roster!$I:$I,MATCH($C647,Roster!$B:$B,0))="","",INDEX(Roster!$I:$I,MATCH($C647,Roster!$B:$B,0))&amp;""),"—"))</f>
        <v/>
      </c>
      <c r="K647">
        <f>IF($C647="","",IFERROR(IF(INDEX(Roster!$J:$J,MATCH($C647,Roster!$B:$B,0))="","",INDEX(Roster!$J:$J,MATCH($C647,Roster!$B:$B,0))&amp;""),"—"))</f>
        <v/>
      </c>
      <c r="L647">
        <f>IF($C647="","",IFERROR(IF(INDEX(Roster!$K:$K,MATCH($C647,Roster!$B:$B,0))="","",INDEX(Roster!$K:$K,MATCH($C647,Roster!$B:$B,0))&amp;""),"—"))</f>
        <v/>
      </c>
      <c r="M647" s="27" t="n"/>
      <c r="N647" s="27" t="n"/>
      <c r="O647" s="25">
        <f>IF($C647="","",IF($P647="","—",IF($P647="Valid (Pass)","Valid","Invalid")))</f>
        <v/>
      </c>
      <c r="P647" s="27" t="n"/>
      <c r="Q647" s="27" t="n"/>
      <c r="R647" s="27" t="n"/>
      <c r="S647" s="27" t="n"/>
      <c r="T647" s="25">
        <f>IF($C647="","",IF(OR(ISNUMBER(SEARCH("quick case",$P647)),ISNUMBER(SEARCH("quick case",$Q647))),"Yes","No"))</f>
        <v/>
      </c>
      <c r="U647" s="25">
        <f>IF($O647="Invalid",HYPERLINK("mailto:"&amp;$G647&amp;";"&amp;$I647&amp;"?cc="&amp;Lists!$E$2&amp;"&amp;subject="&amp;_xlfn.ENCODEURL("[INVALID] Quality audit monitoring completed for "&amp;UPPER($C647))&amp;"&amp;body="&amp;_xlfn.ENCODEURL("Hi "&amp;$F647&amp;","&amp;CHAR(10)&amp;"Good day!"&amp;CHAR(10)&amp;CHAR(10)&amp;"A quality monitoring audit has been completed for "&amp;$C647&amp;"."&amp;CHAR(10)&amp;CHAR(10)&amp;"QUALITY AUDIT DETAILS"&amp;CHAR(10)&amp;"Agent Name: "&amp;$C647&amp;" (EID "&amp;$D647&amp;")"&amp;CHAR(10)&amp;"Audit Date: "&amp;TEXT($B647,"yyyy-mm-dd")&amp;CHAR(10)&amp;"Team Leader: "&amp;$F647&amp;CHAR(10)&amp;"Case Number: "&amp;$M647&amp;CHAR(10)&amp;"Transaction ID: "&amp;$N647&amp;CHAR(10)&amp;"Channel / LOB: "&amp;$K647&amp;" / "&amp;$L647&amp;CHAR(10)&amp;"Evaluator: "&amp;$S647&amp;CHAR(10)&amp;CHAR(10)&amp;"INVALID QUALITY AUDIT DETAILS"&amp;CHAR(10)&amp;"Validation: Invalid"&amp;CHAR(10)&amp;"Invalid Reason: "&amp;$P647&amp;CHAR(10)&amp;"Expected Resolution Code: "&amp;$Q647&amp;CHAR(10)&amp;"Remarks: "&amp;LEFT($R647,600)&amp;CHAR(10)&amp;CHAR(10)&amp;"This is an automated notification from HP Mainstream EQMS."),"✉ Open Email Draft"),"")</f>
        <v/>
      </c>
    </row>
    <row r="648">
      <c r="A648" s="25">
        <f>IF($C648="","","AUD-2026-"&amp;TEXT(ROW()-1,"000000"))</f>
        <v/>
      </c>
      <c r="B648" s="26" t="n"/>
      <c r="C648" s="27" t="n"/>
      <c r="D648" s="25">
        <f>IF($C648="","",IFERROR(IF(INDEX(Roster!$A:$A,MATCH($C648,Roster!$B:$B,0))="","",INDEX(Roster!$A:$A,MATCH($C648,Roster!$B:$B,0))&amp;""),"—"))</f>
        <v/>
      </c>
      <c r="E648" s="25">
        <f>IF($C648="","",IFERROR(IF(INDEX(Roster!$C:$C,MATCH($C648,Roster!$B:$B,0))="","",INDEX(Roster!$C:$C,MATCH($C648,Roster!$B:$B,0))&amp;""),"—"))</f>
        <v/>
      </c>
      <c r="F648" s="25">
        <f>IF($C648="","",IFERROR(IF(INDEX(Roster!$D:$D,MATCH($C648,Roster!$B:$B,0))="","",INDEX(Roster!$D:$D,MATCH($C648,Roster!$B:$B,0))&amp;""),"—"))</f>
        <v/>
      </c>
      <c r="G648" s="25">
        <f>IF($C648="","",IFERROR(IF(INDEX(Roster!$E:$E,MATCH($C648,Roster!$B:$B,0))="","",INDEX(Roster!$E:$E,MATCH($C648,Roster!$B:$B,0))&amp;""),"—"))</f>
        <v/>
      </c>
      <c r="H648" s="25">
        <f>IF($C648="","",IFERROR(IF(INDEX(Roster!$F:$F,MATCH($C648,Roster!$B:$B,0))="","",INDEX(Roster!$F:$F,MATCH($C648,Roster!$B:$B,0))&amp;""),"—"))</f>
        <v/>
      </c>
      <c r="I648" s="25">
        <f>IF($C648="","",IFERROR(IF(INDEX(Roster!$G:$G,MATCH($C648,Roster!$B:$B,0))="","",INDEX(Roster!$G:$G,MATCH($C648,Roster!$B:$B,0))&amp;""),"—"))</f>
        <v/>
      </c>
      <c r="J648" s="25">
        <f>IF($C648="","",IFERROR(IF(INDEX(Roster!$I:$I,MATCH($C648,Roster!$B:$B,0))="","",INDEX(Roster!$I:$I,MATCH($C648,Roster!$B:$B,0))&amp;""),"—"))</f>
        <v/>
      </c>
      <c r="K648">
        <f>IF($C648="","",IFERROR(IF(INDEX(Roster!$J:$J,MATCH($C648,Roster!$B:$B,0))="","",INDEX(Roster!$J:$J,MATCH($C648,Roster!$B:$B,0))&amp;""),"—"))</f>
        <v/>
      </c>
      <c r="L648">
        <f>IF($C648="","",IFERROR(IF(INDEX(Roster!$K:$K,MATCH($C648,Roster!$B:$B,0))="","",INDEX(Roster!$K:$K,MATCH($C648,Roster!$B:$B,0))&amp;""),"—"))</f>
        <v/>
      </c>
      <c r="M648" s="27" t="n"/>
      <c r="N648" s="27" t="n"/>
      <c r="O648" s="25">
        <f>IF($C648="","",IF($P648="","—",IF($P648="Valid (Pass)","Valid","Invalid")))</f>
        <v/>
      </c>
      <c r="P648" s="27" t="n"/>
      <c r="Q648" s="27" t="n"/>
      <c r="R648" s="27" t="n"/>
      <c r="S648" s="27" t="n"/>
      <c r="T648" s="25">
        <f>IF($C648="","",IF(OR(ISNUMBER(SEARCH("quick case",$P648)),ISNUMBER(SEARCH("quick case",$Q648))),"Yes","No"))</f>
        <v/>
      </c>
      <c r="U648" s="25">
        <f>IF($O648="Invalid",HYPERLINK("mailto:"&amp;$G648&amp;";"&amp;$I648&amp;"?cc="&amp;Lists!$E$2&amp;"&amp;subject="&amp;_xlfn.ENCODEURL("[INVALID] Quality audit monitoring completed for "&amp;UPPER($C648))&amp;"&amp;body="&amp;_xlfn.ENCODEURL("Hi "&amp;$F648&amp;","&amp;CHAR(10)&amp;"Good day!"&amp;CHAR(10)&amp;CHAR(10)&amp;"A quality monitoring audit has been completed for "&amp;$C648&amp;"."&amp;CHAR(10)&amp;CHAR(10)&amp;"QUALITY AUDIT DETAILS"&amp;CHAR(10)&amp;"Agent Name: "&amp;$C648&amp;" (EID "&amp;$D648&amp;")"&amp;CHAR(10)&amp;"Audit Date: "&amp;TEXT($B648,"yyyy-mm-dd")&amp;CHAR(10)&amp;"Team Leader: "&amp;$F648&amp;CHAR(10)&amp;"Case Number: "&amp;$M648&amp;CHAR(10)&amp;"Transaction ID: "&amp;$N648&amp;CHAR(10)&amp;"Channel / LOB: "&amp;$K648&amp;" / "&amp;$L648&amp;CHAR(10)&amp;"Evaluator: "&amp;$S648&amp;CHAR(10)&amp;CHAR(10)&amp;"INVALID QUALITY AUDIT DETAILS"&amp;CHAR(10)&amp;"Validation: Invalid"&amp;CHAR(10)&amp;"Invalid Reason: "&amp;$P648&amp;CHAR(10)&amp;"Expected Resolution Code: "&amp;$Q648&amp;CHAR(10)&amp;"Remarks: "&amp;LEFT($R648,600)&amp;CHAR(10)&amp;CHAR(10)&amp;"This is an automated notification from HP Mainstream EQMS."),"✉ Open Email Draft"),"")</f>
        <v/>
      </c>
    </row>
    <row r="649">
      <c r="A649" s="25">
        <f>IF($C649="","","AUD-2026-"&amp;TEXT(ROW()-1,"000000"))</f>
        <v/>
      </c>
      <c r="B649" s="26" t="n"/>
      <c r="C649" s="27" t="n"/>
      <c r="D649" s="25">
        <f>IF($C649="","",IFERROR(IF(INDEX(Roster!$A:$A,MATCH($C649,Roster!$B:$B,0))="","",INDEX(Roster!$A:$A,MATCH($C649,Roster!$B:$B,0))&amp;""),"—"))</f>
        <v/>
      </c>
      <c r="E649" s="25">
        <f>IF($C649="","",IFERROR(IF(INDEX(Roster!$C:$C,MATCH($C649,Roster!$B:$B,0))="","",INDEX(Roster!$C:$C,MATCH($C649,Roster!$B:$B,0))&amp;""),"—"))</f>
        <v/>
      </c>
      <c r="F649" s="25">
        <f>IF($C649="","",IFERROR(IF(INDEX(Roster!$D:$D,MATCH($C649,Roster!$B:$B,0))="","",INDEX(Roster!$D:$D,MATCH($C649,Roster!$B:$B,0))&amp;""),"—"))</f>
        <v/>
      </c>
      <c r="G649" s="25">
        <f>IF($C649="","",IFERROR(IF(INDEX(Roster!$E:$E,MATCH($C649,Roster!$B:$B,0))="","",INDEX(Roster!$E:$E,MATCH($C649,Roster!$B:$B,0))&amp;""),"—"))</f>
        <v/>
      </c>
      <c r="H649" s="25">
        <f>IF($C649="","",IFERROR(IF(INDEX(Roster!$F:$F,MATCH($C649,Roster!$B:$B,0))="","",INDEX(Roster!$F:$F,MATCH($C649,Roster!$B:$B,0))&amp;""),"—"))</f>
        <v/>
      </c>
      <c r="I649" s="25">
        <f>IF($C649="","",IFERROR(IF(INDEX(Roster!$G:$G,MATCH($C649,Roster!$B:$B,0))="","",INDEX(Roster!$G:$G,MATCH($C649,Roster!$B:$B,0))&amp;""),"—"))</f>
        <v/>
      </c>
      <c r="J649" s="25">
        <f>IF($C649="","",IFERROR(IF(INDEX(Roster!$I:$I,MATCH($C649,Roster!$B:$B,0))="","",INDEX(Roster!$I:$I,MATCH($C649,Roster!$B:$B,0))&amp;""),"—"))</f>
        <v/>
      </c>
      <c r="K649">
        <f>IF($C649="","",IFERROR(IF(INDEX(Roster!$J:$J,MATCH($C649,Roster!$B:$B,0))="","",INDEX(Roster!$J:$J,MATCH($C649,Roster!$B:$B,0))&amp;""),"—"))</f>
        <v/>
      </c>
      <c r="L649">
        <f>IF($C649="","",IFERROR(IF(INDEX(Roster!$K:$K,MATCH($C649,Roster!$B:$B,0))="","",INDEX(Roster!$K:$K,MATCH($C649,Roster!$B:$B,0))&amp;""),"—"))</f>
        <v/>
      </c>
      <c r="M649" s="27" t="n"/>
      <c r="N649" s="27" t="n"/>
      <c r="O649" s="25">
        <f>IF($C649="","",IF($P649="","—",IF($P649="Valid (Pass)","Valid","Invalid")))</f>
        <v/>
      </c>
      <c r="P649" s="27" t="n"/>
      <c r="Q649" s="27" t="n"/>
      <c r="R649" s="27" t="n"/>
      <c r="S649" s="27" t="n"/>
      <c r="T649" s="25">
        <f>IF($C649="","",IF(OR(ISNUMBER(SEARCH("quick case",$P649)),ISNUMBER(SEARCH("quick case",$Q649))),"Yes","No"))</f>
        <v/>
      </c>
      <c r="U649" s="25">
        <f>IF($O649="Invalid",HYPERLINK("mailto:"&amp;$G649&amp;";"&amp;$I649&amp;"?cc="&amp;Lists!$E$2&amp;"&amp;subject="&amp;_xlfn.ENCODEURL("[INVALID] Quality audit monitoring completed for "&amp;UPPER($C649))&amp;"&amp;body="&amp;_xlfn.ENCODEURL("Hi "&amp;$F649&amp;","&amp;CHAR(10)&amp;"Good day!"&amp;CHAR(10)&amp;CHAR(10)&amp;"A quality monitoring audit has been completed for "&amp;$C649&amp;"."&amp;CHAR(10)&amp;CHAR(10)&amp;"QUALITY AUDIT DETAILS"&amp;CHAR(10)&amp;"Agent Name: "&amp;$C649&amp;" (EID "&amp;$D649&amp;")"&amp;CHAR(10)&amp;"Audit Date: "&amp;TEXT($B649,"yyyy-mm-dd")&amp;CHAR(10)&amp;"Team Leader: "&amp;$F649&amp;CHAR(10)&amp;"Case Number: "&amp;$M649&amp;CHAR(10)&amp;"Transaction ID: "&amp;$N649&amp;CHAR(10)&amp;"Channel / LOB: "&amp;$K649&amp;" / "&amp;$L649&amp;CHAR(10)&amp;"Evaluator: "&amp;$S649&amp;CHAR(10)&amp;CHAR(10)&amp;"INVALID QUALITY AUDIT DETAILS"&amp;CHAR(10)&amp;"Validation: Invalid"&amp;CHAR(10)&amp;"Invalid Reason: "&amp;$P649&amp;CHAR(10)&amp;"Expected Resolution Code: "&amp;$Q649&amp;CHAR(10)&amp;"Remarks: "&amp;LEFT($R649,600)&amp;CHAR(10)&amp;CHAR(10)&amp;"This is an automated notification from HP Mainstream EQMS."),"✉ Open Email Draft"),"")</f>
        <v/>
      </c>
    </row>
    <row r="650">
      <c r="A650" s="25">
        <f>IF($C650="","","AUD-2026-"&amp;TEXT(ROW()-1,"000000"))</f>
        <v/>
      </c>
      <c r="B650" s="26" t="n"/>
      <c r="C650" s="27" t="n"/>
      <c r="D650" s="25">
        <f>IF($C650="","",IFERROR(IF(INDEX(Roster!$A:$A,MATCH($C650,Roster!$B:$B,0))="","",INDEX(Roster!$A:$A,MATCH($C650,Roster!$B:$B,0))&amp;""),"—"))</f>
        <v/>
      </c>
      <c r="E650" s="25">
        <f>IF($C650="","",IFERROR(IF(INDEX(Roster!$C:$C,MATCH($C650,Roster!$B:$B,0))="","",INDEX(Roster!$C:$C,MATCH($C650,Roster!$B:$B,0))&amp;""),"—"))</f>
        <v/>
      </c>
      <c r="F650" s="25">
        <f>IF($C650="","",IFERROR(IF(INDEX(Roster!$D:$D,MATCH($C650,Roster!$B:$B,0))="","",INDEX(Roster!$D:$D,MATCH($C650,Roster!$B:$B,0))&amp;""),"—"))</f>
        <v/>
      </c>
      <c r="G650" s="25">
        <f>IF($C650="","",IFERROR(IF(INDEX(Roster!$E:$E,MATCH($C650,Roster!$B:$B,0))="","",INDEX(Roster!$E:$E,MATCH($C650,Roster!$B:$B,0))&amp;""),"—"))</f>
        <v/>
      </c>
      <c r="H650" s="25">
        <f>IF($C650="","",IFERROR(IF(INDEX(Roster!$F:$F,MATCH($C650,Roster!$B:$B,0))="","",INDEX(Roster!$F:$F,MATCH($C650,Roster!$B:$B,0))&amp;""),"—"))</f>
        <v/>
      </c>
      <c r="I650" s="25">
        <f>IF($C650="","",IFERROR(IF(INDEX(Roster!$G:$G,MATCH($C650,Roster!$B:$B,0))="","",INDEX(Roster!$G:$G,MATCH($C650,Roster!$B:$B,0))&amp;""),"—"))</f>
        <v/>
      </c>
      <c r="J650" s="25">
        <f>IF($C650="","",IFERROR(IF(INDEX(Roster!$I:$I,MATCH($C650,Roster!$B:$B,0))="","",INDEX(Roster!$I:$I,MATCH($C650,Roster!$B:$B,0))&amp;""),"—"))</f>
        <v/>
      </c>
      <c r="K650">
        <f>IF($C650="","",IFERROR(IF(INDEX(Roster!$J:$J,MATCH($C650,Roster!$B:$B,0))="","",INDEX(Roster!$J:$J,MATCH($C650,Roster!$B:$B,0))&amp;""),"—"))</f>
        <v/>
      </c>
      <c r="L650">
        <f>IF($C650="","",IFERROR(IF(INDEX(Roster!$K:$K,MATCH($C650,Roster!$B:$B,0))="","",INDEX(Roster!$K:$K,MATCH($C650,Roster!$B:$B,0))&amp;""),"—"))</f>
        <v/>
      </c>
      <c r="M650" s="27" t="n"/>
      <c r="N650" s="27" t="n"/>
      <c r="O650" s="25">
        <f>IF($C650="","",IF($P650="","—",IF($P650="Valid (Pass)","Valid","Invalid")))</f>
        <v/>
      </c>
      <c r="P650" s="27" t="n"/>
      <c r="Q650" s="27" t="n"/>
      <c r="R650" s="27" t="n"/>
      <c r="S650" s="27" t="n"/>
      <c r="T650" s="25">
        <f>IF($C650="","",IF(OR(ISNUMBER(SEARCH("quick case",$P650)),ISNUMBER(SEARCH("quick case",$Q650))),"Yes","No"))</f>
        <v/>
      </c>
      <c r="U650" s="25">
        <f>IF($O650="Invalid",HYPERLINK("mailto:"&amp;$G650&amp;";"&amp;$I650&amp;"?cc="&amp;Lists!$E$2&amp;"&amp;subject="&amp;_xlfn.ENCODEURL("[INVALID] Quality audit monitoring completed for "&amp;UPPER($C650))&amp;"&amp;body="&amp;_xlfn.ENCODEURL("Hi "&amp;$F650&amp;","&amp;CHAR(10)&amp;"Good day!"&amp;CHAR(10)&amp;CHAR(10)&amp;"A quality monitoring audit has been completed for "&amp;$C650&amp;"."&amp;CHAR(10)&amp;CHAR(10)&amp;"QUALITY AUDIT DETAILS"&amp;CHAR(10)&amp;"Agent Name: "&amp;$C650&amp;" (EID "&amp;$D650&amp;")"&amp;CHAR(10)&amp;"Audit Date: "&amp;TEXT($B650,"yyyy-mm-dd")&amp;CHAR(10)&amp;"Team Leader: "&amp;$F650&amp;CHAR(10)&amp;"Case Number: "&amp;$M650&amp;CHAR(10)&amp;"Transaction ID: "&amp;$N650&amp;CHAR(10)&amp;"Channel / LOB: "&amp;$K650&amp;" / "&amp;$L650&amp;CHAR(10)&amp;"Evaluator: "&amp;$S650&amp;CHAR(10)&amp;CHAR(10)&amp;"INVALID QUALITY AUDIT DETAILS"&amp;CHAR(10)&amp;"Validation: Invalid"&amp;CHAR(10)&amp;"Invalid Reason: "&amp;$P650&amp;CHAR(10)&amp;"Expected Resolution Code: "&amp;$Q650&amp;CHAR(10)&amp;"Remarks: "&amp;LEFT($R650,600)&amp;CHAR(10)&amp;CHAR(10)&amp;"This is an automated notification from HP Mainstream EQMS."),"✉ Open Email Draft"),"")</f>
        <v/>
      </c>
    </row>
    <row r="651">
      <c r="A651" s="25">
        <f>IF($C651="","","AUD-2026-"&amp;TEXT(ROW()-1,"000000"))</f>
        <v/>
      </c>
      <c r="B651" s="26" t="n"/>
      <c r="C651" s="27" t="n"/>
      <c r="D651" s="25">
        <f>IF($C651="","",IFERROR(IF(INDEX(Roster!$A:$A,MATCH($C651,Roster!$B:$B,0))="","",INDEX(Roster!$A:$A,MATCH($C651,Roster!$B:$B,0))&amp;""),"—"))</f>
        <v/>
      </c>
      <c r="E651" s="25">
        <f>IF($C651="","",IFERROR(IF(INDEX(Roster!$C:$C,MATCH($C651,Roster!$B:$B,0))="","",INDEX(Roster!$C:$C,MATCH($C651,Roster!$B:$B,0))&amp;""),"—"))</f>
        <v/>
      </c>
      <c r="F651" s="25">
        <f>IF($C651="","",IFERROR(IF(INDEX(Roster!$D:$D,MATCH($C651,Roster!$B:$B,0))="","",INDEX(Roster!$D:$D,MATCH($C651,Roster!$B:$B,0))&amp;""),"—"))</f>
        <v/>
      </c>
      <c r="G651" s="25">
        <f>IF($C651="","",IFERROR(IF(INDEX(Roster!$E:$E,MATCH($C651,Roster!$B:$B,0))="","",INDEX(Roster!$E:$E,MATCH($C651,Roster!$B:$B,0))&amp;""),"—"))</f>
        <v/>
      </c>
      <c r="H651" s="25">
        <f>IF($C651="","",IFERROR(IF(INDEX(Roster!$F:$F,MATCH($C651,Roster!$B:$B,0))="","",INDEX(Roster!$F:$F,MATCH($C651,Roster!$B:$B,0))&amp;""),"—"))</f>
        <v/>
      </c>
      <c r="I651" s="25">
        <f>IF($C651="","",IFERROR(IF(INDEX(Roster!$G:$G,MATCH($C651,Roster!$B:$B,0))="","",INDEX(Roster!$G:$G,MATCH($C651,Roster!$B:$B,0))&amp;""),"—"))</f>
        <v/>
      </c>
      <c r="J651" s="25">
        <f>IF($C651="","",IFERROR(IF(INDEX(Roster!$I:$I,MATCH($C651,Roster!$B:$B,0))="","",INDEX(Roster!$I:$I,MATCH($C651,Roster!$B:$B,0))&amp;""),"—"))</f>
        <v/>
      </c>
      <c r="K651">
        <f>IF($C651="","",IFERROR(IF(INDEX(Roster!$J:$J,MATCH($C651,Roster!$B:$B,0))="","",INDEX(Roster!$J:$J,MATCH($C651,Roster!$B:$B,0))&amp;""),"—"))</f>
        <v/>
      </c>
      <c r="L651">
        <f>IF($C651="","",IFERROR(IF(INDEX(Roster!$K:$K,MATCH($C651,Roster!$B:$B,0))="","",INDEX(Roster!$K:$K,MATCH($C651,Roster!$B:$B,0))&amp;""),"—"))</f>
        <v/>
      </c>
      <c r="M651" s="27" t="n"/>
      <c r="N651" s="27" t="n"/>
      <c r="O651" s="25">
        <f>IF($C651="","",IF($P651="","—",IF($P651="Valid (Pass)","Valid","Invalid")))</f>
        <v/>
      </c>
      <c r="P651" s="27" t="n"/>
      <c r="Q651" s="27" t="n"/>
      <c r="R651" s="27" t="n"/>
      <c r="S651" s="27" t="n"/>
      <c r="T651" s="25">
        <f>IF($C651="","",IF(OR(ISNUMBER(SEARCH("quick case",$P651)),ISNUMBER(SEARCH("quick case",$Q651))),"Yes","No"))</f>
        <v/>
      </c>
      <c r="U651" s="25">
        <f>IF($O651="Invalid",HYPERLINK("mailto:"&amp;$G651&amp;";"&amp;$I651&amp;"?cc="&amp;Lists!$E$2&amp;"&amp;subject="&amp;_xlfn.ENCODEURL("[INVALID] Quality audit monitoring completed for "&amp;UPPER($C651))&amp;"&amp;body="&amp;_xlfn.ENCODEURL("Hi "&amp;$F651&amp;","&amp;CHAR(10)&amp;"Good day!"&amp;CHAR(10)&amp;CHAR(10)&amp;"A quality monitoring audit has been completed for "&amp;$C651&amp;"."&amp;CHAR(10)&amp;CHAR(10)&amp;"QUALITY AUDIT DETAILS"&amp;CHAR(10)&amp;"Agent Name: "&amp;$C651&amp;" (EID "&amp;$D651&amp;")"&amp;CHAR(10)&amp;"Audit Date: "&amp;TEXT($B651,"yyyy-mm-dd")&amp;CHAR(10)&amp;"Team Leader: "&amp;$F651&amp;CHAR(10)&amp;"Case Number: "&amp;$M651&amp;CHAR(10)&amp;"Transaction ID: "&amp;$N651&amp;CHAR(10)&amp;"Channel / LOB: "&amp;$K651&amp;" / "&amp;$L651&amp;CHAR(10)&amp;"Evaluator: "&amp;$S651&amp;CHAR(10)&amp;CHAR(10)&amp;"INVALID QUALITY AUDIT DETAILS"&amp;CHAR(10)&amp;"Validation: Invalid"&amp;CHAR(10)&amp;"Invalid Reason: "&amp;$P651&amp;CHAR(10)&amp;"Expected Resolution Code: "&amp;$Q651&amp;CHAR(10)&amp;"Remarks: "&amp;LEFT($R651,600)&amp;CHAR(10)&amp;CHAR(10)&amp;"This is an automated notification from HP Mainstream EQMS."),"✉ Open Email Draft"),"")</f>
        <v/>
      </c>
    </row>
    <row r="652">
      <c r="A652" s="25">
        <f>IF($C652="","","AUD-2026-"&amp;TEXT(ROW()-1,"000000"))</f>
        <v/>
      </c>
      <c r="B652" s="26" t="n"/>
      <c r="C652" s="27" t="n"/>
      <c r="D652" s="25">
        <f>IF($C652="","",IFERROR(IF(INDEX(Roster!$A:$A,MATCH($C652,Roster!$B:$B,0))="","",INDEX(Roster!$A:$A,MATCH($C652,Roster!$B:$B,0))&amp;""),"—"))</f>
        <v/>
      </c>
      <c r="E652" s="25">
        <f>IF($C652="","",IFERROR(IF(INDEX(Roster!$C:$C,MATCH($C652,Roster!$B:$B,0))="","",INDEX(Roster!$C:$C,MATCH($C652,Roster!$B:$B,0))&amp;""),"—"))</f>
        <v/>
      </c>
      <c r="F652" s="25">
        <f>IF($C652="","",IFERROR(IF(INDEX(Roster!$D:$D,MATCH($C652,Roster!$B:$B,0))="","",INDEX(Roster!$D:$D,MATCH($C652,Roster!$B:$B,0))&amp;""),"—"))</f>
        <v/>
      </c>
      <c r="G652" s="25">
        <f>IF($C652="","",IFERROR(IF(INDEX(Roster!$E:$E,MATCH($C652,Roster!$B:$B,0))="","",INDEX(Roster!$E:$E,MATCH($C652,Roster!$B:$B,0))&amp;""),"—"))</f>
        <v/>
      </c>
      <c r="H652" s="25">
        <f>IF($C652="","",IFERROR(IF(INDEX(Roster!$F:$F,MATCH($C652,Roster!$B:$B,0))="","",INDEX(Roster!$F:$F,MATCH($C652,Roster!$B:$B,0))&amp;""),"—"))</f>
        <v/>
      </c>
      <c r="I652" s="25">
        <f>IF($C652="","",IFERROR(IF(INDEX(Roster!$G:$G,MATCH($C652,Roster!$B:$B,0))="","",INDEX(Roster!$G:$G,MATCH($C652,Roster!$B:$B,0))&amp;""),"—"))</f>
        <v/>
      </c>
      <c r="J652" s="25">
        <f>IF($C652="","",IFERROR(IF(INDEX(Roster!$I:$I,MATCH($C652,Roster!$B:$B,0))="","",INDEX(Roster!$I:$I,MATCH($C652,Roster!$B:$B,0))&amp;""),"—"))</f>
        <v/>
      </c>
      <c r="K652">
        <f>IF($C652="","",IFERROR(IF(INDEX(Roster!$J:$J,MATCH($C652,Roster!$B:$B,0))="","",INDEX(Roster!$J:$J,MATCH($C652,Roster!$B:$B,0))&amp;""),"—"))</f>
        <v/>
      </c>
      <c r="L652">
        <f>IF($C652="","",IFERROR(IF(INDEX(Roster!$K:$K,MATCH($C652,Roster!$B:$B,0))="","",INDEX(Roster!$K:$K,MATCH($C652,Roster!$B:$B,0))&amp;""),"—"))</f>
        <v/>
      </c>
      <c r="M652" s="27" t="n"/>
      <c r="N652" s="27" t="n"/>
      <c r="O652" s="25">
        <f>IF($C652="","",IF($P652="","—",IF($P652="Valid (Pass)","Valid","Invalid")))</f>
        <v/>
      </c>
      <c r="P652" s="27" t="n"/>
      <c r="Q652" s="27" t="n"/>
      <c r="R652" s="27" t="n"/>
      <c r="S652" s="27" t="n"/>
      <c r="T652" s="25">
        <f>IF($C652="","",IF(OR(ISNUMBER(SEARCH("quick case",$P652)),ISNUMBER(SEARCH("quick case",$Q652))),"Yes","No"))</f>
        <v/>
      </c>
      <c r="U652" s="25">
        <f>IF($O652="Invalid",HYPERLINK("mailto:"&amp;$G652&amp;";"&amp;$I652&amp;"?cc="&amp;Lists!$E$2&amp;"&amp;subject="&amp;_xlfn.ENCODEURL("[INVALID] Quality audit monitoring completed for "&amp;UPPER($C652))&amp;"&amp;body="&amp;_xlfn.ENCODEURL("Hi "&amp;$F652&amp;","&amp;CHAR(10)&amp;"Good day!"&amp;CHAR(10)&amp;CHAR(10)&amp;"A quality monitoring audit has been completed for "&amp;$C652&amp;"."&amp;CHAR(10)&amp;CHAR(10)&amp;"QUALITY AUDIT DETAILS"&amp;CHAR(10)&amp;"Agent Name: "&amp;$C652&amp;" (EID "&amp;$D652&amp;")"&amp;CHAR(10)&amp;"Audit Date: "&amp;TEXT($B652,"yyyy-mm-dd")&amp;CHAR(10)&amp;"Team Leader: "&amp;$F652&amp;CHAR(10)&amp;"Case Number: "&amp;$M652&amp;CHAR(10)&amp;"Transaction ID: "&amp;$N652&amp;CHAR(10)&amp;"Channel / LOB: "&amp;$K652&amp;" / "&amp;$L652&amp;CHAR(10)&amp;"Evaluator: "&amp;$S652&amp;CHAR(10)&amp;CHAR(10)&amp;"INVALID QUALITY AUDIT DETAILS"&amp;CHAR(10)&amp;"Validation: Invalid"&amp;CHAR(10)&amp;"Invalid Reason: "&amp;$P652&amp;CHAR(10)&amp;"Expected Resolution Code: "&amp;$Q652&amp;CHAR(10)&amp;"Remarks: "&amp;LEFT($R652,600)&amp;CHAR(10)&amp;CHAR(10)&amp;"This is an automated notification from HP Mainstream EQMS."),"✉ Open Email Draft"),"")</f>
        <v/>
      </c>
    </row>
    <row r="653">
      <c r="A653" s="25">
        <f>IF($C653="","","AUD-2026-"&amp;TEXT(ROW()-1,"000000"))</f>
        <v/>
      </c>
      <c r="B653" s="26" t="n"/>
      <c r="C653" s="27" t="n"/>
      <c r="D653" s="25">
        <f>IF($C653="","",IFERROR(IF(INDEX(Roster!$A:$A,MATCH($C653,Roster!$B:$B,0))="","",INDEX(Roster!$A:$A,MATCH($C653,Roster!$B:$B,0))&amp;""),"—"))</f>
        <v/>
      </c>
      <c r="E653" s="25">
        <f>IF($C653="","",IFERROR(IF(INDEX(Roster!$C:$C,MATCH($C653,Roster!$B:$B,0))="","",INDEX(Roster!$C:$C,MATCH($C653,Roster!$B:$B,0))&amp;""),"—"))</f>
        <v/>
      </c>
      <c r="F653" s="25">
        <f>IF($C653="","",IFERROR(IF(INDEX(Roster!$D:$D,MATCH($C653,Roster!$B:$B,0))="","",INDEX(Roster!$D:$D,MATCH($C653,Roster!$B:$B,0))&amp;""),"—"))</f>
        <v/>
      </c>
      <c r="G653" s="25">
        <f>IF($C653="","",IFERROR(IF(INDEX(Roster!$E:$E,MATCH($C653,Roster!$B:$B,0))="","",INDEX(Roster!$E:$E,MATCH($C653,Roster!$B:$B,0))&amp;""),"—"))</f>
        <v/>
      </c>
      <c r="H653" s="25">
        <f>IF($C653="","",IFERROR(IF(INDEX(Roster!$F:$F,MATCH($C653,Roster!$B:$B,0))="","",INDEX(Roster!$F:$F,MATCH($C653,Roster!$B:$B,0))&amp;""),"—"))</f>
        <v/>
      </c>
      <c r="I653" s="25">
        <f>IF($C653="","",IFERROR(IF(INDEX(Roster!$G:$G,MATCH($C653,Roster!$B:$B,0))="","",INDEX(Roster!$G:$G,MATCH($C653,Roster!$B:$B,0))&amp;""),"—"))</f>
        <v/>
      </c>
      <c r="J653" s="25">
        <f>IF($C653="","",IFERROR(IF(INDEX(Roster!$I:$I,MATCH($C653,Roster!$B:$B,0))="","",INDEX(Roster!$I:$I,MATCH($C653,Roster!$B:$B,0))&amp;""),"—"))</f>
        <v/>
      </c>
      <c r="K653">
        <f>IF($C653="","",IFERROR(IF(INDEX(Roster!$J:$J,MATCH($C653,Roster!$B:$B,0))="","",INDEX(Roster!$J:$J,MATCH($C653,Roster!$B:$B,0))&amp;""),"—"))</f>
        <v/>
      </c>
      <c r="L653">
        <f>IF($C653="","",IFERROR(IF(INDEX(Roster!$K:$K,MATCH($C653,Roster!$B:$B,0))="","",INDEX(Roster!$K:$K,MATCH($C653,Roster!$B:$B,0))&amp;""),"—"))</f>
        <v/>
      </c>
      <c r="M653" s="27" t="n"/>
      <c r="N653" s="27" t="n"/>
      <c r="O653" s="25">
        <f>IF($C653="","",IF($P653="","—",IF($P653="Valid (Pass)","Valid","Invalid")))</f>
        <v/>
      </c>
      <c r="P653" s="27" t="n"/>
      <c r="Q653" s="27" t="n"/>
      <c r="R653" s="27" t="n"/>
      <c r="S653" s="27" t="n"/>
      <c r="T653" s="25">
        <f>IF($C653="","",IF(OR(ISNUMBER(SEARCH("quick case",$P653)),ISNUMBER(SEARCH("quick case",$Q653))),"Yes","No"))</f>
        <v/>
      </c>
      <c r="U653" s="25">
        <f>IF($O653="Invalid",HYPERLINK("mailto:"&amp;$G653&amp;";"&amp;$I653&amp;"?cc="&amp;Lists!$E$2&amp;"&amp;subject="&amp;_xlfn.ENCODEURL("[INVALID] Quality audit monitoring completed for "&amp;UPPER($C653))&amp;"&amp;body="&amp;_xlfn.ENCODEURL("Hi "&amp;$F653&amp;","&amp;CHAR(10)&amp;"Good day!"&amp;CHAR(10)&amp;CHAR(10)&amp;"A quality monitoring audit has been completed for "&amp;$C653&amp;"."&amp;CHAR(10)&amp;CHAR(10)&amp;"QUALITY AUDIT DETAILS"&amp;CHAR(10)&amp;"Agent Name: "&amp;$C653&amp;" (EID "&amp;$D653&amp;")"&amp;CHAR(10)&amp;"Audit Date: "&amp;TEXT($B653,"yyyy-mm-dd")&amp;CHAR(10)&amp;"Team Leader: "&amp;$F653&amp;CHAR(10)&amp;"Case Number: "&amp;$M653&amp;CHAR(10)&amp;"Transaction ID: "&amp;$N653&amp;CHAR(10)&amp;"Channel / LOB: "&amp;$K653&amp;" / "&amp;$L653&amp;CHAR(10)&amp;"Evaluator: "&amp;$S653&amp;CHAR(10)&amp;CHAR(10)&amp;"INVALID QUALITY AUDIT DETAILS"&amp;CHAR(10)&amp;"Validation: Invalid"&amp;CHAR(10)&amp;"Invalid Reason: "&amp;$P653&amp;CHAR(10)&amp;"Expected Resolution Code: "&amp;$Q653&amp;CHAR(10)&amp;"Remarks: "&amp;LEFT($R653,600)&amp;CHAR(10)&amp;CHAR(10)&amp;"This is an automated notification from HP Mainstream EQMS."),"✉ Open Email Draft"),"")</f>
        <v/>
      </c>
    </row>
    <row r="654">
      <c r="A654" s="25">
        <f>IF($C654="","","AUD-2026-"&amp;TEXT(ROW()-1,"000000"))</f>
        <v/>
      </c>
      <c r="B654" s="26" t="n"/>
      <c r="C654" s="27" t="n"/>
      <c r="D654" s="25">
        <f>IF($C654="","",IFERROR(IF(INDEX(Roster!$A:$A,MATCH($C654,Roster!$B:$B,0))="","",INDEX(Roster!$A:$A,MATCH($C654,Roster!$B:$B,0))&amp;""),"—"))</f>
        <v/>
      </c>
      <c r="E654" s="25">
        <f>IF($C654="","",IFERROR(IF(INDEX(Roster!$C:$C,MATCH($C654,Roster!$B:$B,0))="","",INDEX(Roster!$C:$C,MATCH($C654,Roster!$B:$B,0))&amp;""),"—"))</f>
        <v/>
      </c>
      <c r="F654" s="25">
        <f>IF($C654="","",IFERROR(IF(INDEX(Roster!$D:$D,MATCH($C654,Roster!$B:$B,0))="","",INDEX(Roster!$D:$D,MATCH($C654,Roster!$B:$B,0))&amp;""),"—"))</f>
        <v/>
      </c>
      <c r="G654" s="25">
        <f>IF($C654="","",IFERROR(IF(INDEX(Roster!$E:$E,MATCH($C654,Roster!$B:$B,0))="","",INDEX(Roster!$E:$E,MATCH($C654,Roster!$B:$B,0))&amp;""),"—"))</f>
        <v/>
      </c>
      <c r="H654" s="25">
        <f>IF($C654="","",IFERROR(IF(INDEX(Roster!$F:$F,MATCH($C654,Roster!$B:$B,0))="","",INDEX(Roster!$F:$F,MATCH($C654,Roster!$B:$B,0))&amp;""),"—"))</f>
        <v/>
      </c>
      <c r="I654" s="25">
        <f>IF($C654="","",IFERROR(IF(INDEX(Roster!$G:$G,MATCH($C654,Roster!$B:$B,0))="","",INDEX(Roster!$G:$G,MATCH($C654,Roster!$B:$B,0))&amp;""),"—"))</f>
        <v/>
      </c>
      <c r="J654" s="25">
        <f>IF($C654="","",IFERROR(IF(INDEX(Roster!$I:$I,MATCH($C654,Roster!$B:$B,0))="","",INDEX(Roster!$I:$I,MATCH($C654,Roster!$B:$B,0))&amp;""),"—"))</f>
        <v/>
      </c>
      <c r="K654">
        <f>IF($C654="","",IFERROR(IF(INDEX(Roster!$J:$J,MATCH($C654,Roster!$B:$B,0))="","",INDEX(Roster!$J:$J,MATCH($C654,Roster!$B:$B,0))&amp;""),"—"))</f>
        <v/>
      </c>
      <c r="L654">
        <f>IF($C654="","",IFERROR(IF(INDEX(Roster!$K:$K,MATCH($C654,Roster!$B:$B,0))="","",INDEX(Roster!$K:$K,MATCH($C654,Roster!$B:$B,0))&amp;""),"—"))</f>
        <v/>
      </c>
      <c r="M654" s="27" t="n"/>
      <c r="N654" s="27" t="n"/>
      <c r="O654" s="25">
        <f>IF($C654="","",IF($P654="","—",IF($P654="Valid (Pass)","Valid","Invalid")))</f>
        <v/>
      </c>
      <c r="P654" s="27" t="n"/>
      <c r="Q654" s="27" t="n"/>
      <c r="R654" s="27" t="n"/>
      <c r="S654" s="27" t="n"/>
      <c r="T654" s="25">
        <f>IF($C654="","",IF(OR(ISNUMBER(SEARCH("quick case",$P654)),ISNUMBER(SEARCH("quick case",$Q654))),"Yes","No"))</f>
        <v/>
      </c>
      <c r="U654" s="25">
        <f>IF($O654="Invalid",HYPERLINK("mailto:"&amp;$G654&amp;";"&amp;$I654&amp;"?cc="&amp;Lists!$E$2&amp;"&amp;subject="&amp;_xlfn.ENCODEURL("[INVALID] Quality audit monitoring completed for "&amp;UPPER($C654))&amp;"&amp;body="&amp;_xlfn.ENCODEURL("Hi "&amp;$F654&amp;","&amp;CHAR(10)&amp;"Good day!"&amp;CHAR(10)&amp;CHAR(10)&amp;"A quality monitoring audit has been completed for "&amp;$C654&amp;"."&amp;CHAR(10)&amp;CHAR(10)&amp;"QUALITY AUDIT DETAILS"&amp;CHAR(10)&amp;"Agent Name: "&amp;$C654&amp;" (EID "&amp;$D654&amp;")"&amp;CHAR(10)&amp;"Audit Date: "&amp;TEXT($B654,"yyyy-mm-dd")&amp;CHAR(10)&amp;"Team Leader: "&amp;$F654&amp;CHAR(10)&amp;"Case Number: "&amp;$M654&amp;CHAR(10)&amp;"Transaction ID: "&amp;$N654&amp;CHAR(10)&amp;"Channel / LOB: "&amp;$K654&amp;" / "&amp;$L654&amp;CHAR(10)&amp;"Evaluator: "&amp;$S654&amp;CHAR(10)&amp;CHAR(10)&amp;"INVALID QUALITY AUDIT DETAILS"&amp;CHAR(10)&amp;"Validation: Invalid"&amp;CHAR(10)&amp;"Invalid Reason: "&amp;$P654&amp;CHAR(10)&amp;"Expected Resolution Code: "&amp;$Q654&amp;CHAR(10)&amp;"Remarks: "&amp;LEFT($R654,600)&amp;CHAR(10)&amp;CHAR(10)&amp;"This is an automated notification from HP Mainstream EQMS."),"✉ Open Email Draft"),"")</f>
        <v/>
      </c>
    </row>
    <row r="655">
      <c r="A655" s="25">
        <f>IF($C655="","","AUD-2026-"&amp;TEXT(ROW()-1,"000000"))</f>
        <v/>
      </c>
      <c r="B655" s="26" t="n"/>
      <c r="C655" s="27" t="n"/>
      <c r="D655" s="25">
        <f>IF($C655="","",IFERROR(IF(INDEX(Roster!$A:$A,MATCH($C655,Roster!$B:$B,0))="","",INDEX(Roster!$A:$A,MATCH($C655,Roster!$B:$B,0))&amp;""),"—"))</f>
        <v/>
      </c>
      <c r="E655" s="25">
        <f>IF($C655="","",IFERROR(IF(INDEX(Roster!$C:$C,MATCH($C655,Roster!$B:$B,0))="","",INDEX(Roster!$C:$C,MATCH($C655,Roster!$B:$B,0))&amp;""),"—"))</f>
        <v/>
      </c>
      <c r="F655" s="25">
        <f>IF($C655="","",IFERROR(IF(INDEX(Roster!$D:$D,MATCH($C655,Roster!$B:$B,0))="","",INDEX(Roster!$D:$D,MATCH($C655,Roster!$B:$B,0))&amp;""),"—"))</f>
        <v/>
      </c>
      <c r="G655" s="25">
        <f>IF($C655="","",IFERROR(IF(INDEX(Roster!$E:$E,MATCH($C655,Roster!$B:$B,0))="","",INDEX(Roster!$E:$E,MATCH($C655,Roster!$B:$B,0))&amp;""),"—"))</f>
        <v/>
      </c>
      <c r="H655" s="25">
        <f>IF($C655="","",IFERROR(IF(INDEX(Roster!$F:$F,MATCH($C655,Roster!$B:$B,0))="","",INDEX(Roster!$F:$F,MATCH($C655,Roster!$B:$B,0))&amp;""),"—"))</f>
        <v/>
      </c>
      <c r="I655" s="25">
        <f>IF($C655="","",IFERROR(IF(INDEX(Roster!$G:$G,MATCH($C655,Roster!$B:$B,0))="","",INDEX(Roster!$G:$G,MATCH($C655,Roster!$B:$B,0))&amp;""),"—"))</f>
        <v/>
      </c>
      <c r="J655" s="25">
        <f>IF($C655="","",IFERROR(IF(INDEX(Roster!$I:$I,MATCH($C655,Roster!$B:$B,0))="","",INDEX(Roster!$I:$I,MATCH($C655,Roster!$B:$B,0))&amp;""),"—"))</f>
        <v/>
      </c>
      <c r="K655">
        <f>IF($C655="","",IFERROR(IF(INDEX(Roster!$J:$J,MATCH($C655,Roster!$B:$B,0))="","",INDEX(Roster!$J:$J,MATCH($C655,Roster!$B:$B,0))&amp;""),"—"))</f>
        <v/>
      </c>
      <c r="L655">
        <f>IF($C655="","",IFERROR(IF(INDEX(Roster!$K:$K,MATCH($C655,Roster!$B:$B,0))="","",INDEX(Roster!$K:$K,MATCH($C655,Roster!$B:$B,0))&amp;""),"—"))</f>
        <v/>
      </c>
      <c r="M655" s="27" t="n"/>
      <c r="N655" s="27" t="n"/>
      <c r="O655" s="25">
        <f>IF($C655="","",IF($P655="","—",IF($P655="Valid (Pass)","Valid","Invalid")))</f>
        <v/>
      </c>
      <c r="P655" s="27" t="n"/>
      <c r="Q655" s="27" t="n"/>
      <c r="R655" s="27" t="n"/>
      <c r="S655" s="27" t="n"/>
      <c r="T655" s="25">
        <f>IF($C655="","",IF(OR(ISNUMBER(SEARCH("quick case",$P655)),ISNUMBER(SEARCH("quick case",$Q655))),"Yes","No"))</f>
        <v/>
      </c>
      <c r="U655" s="25">
        <f>IF($O655="Invalid",HYPERLINK("mailto:"&amp;$G655&amp;";"&amp;$I655&amp;"?cc="&amp;Lists!$E$2&amp;"&amp;subject="&amp;_xlfn.ENCODEURL("[INVALID] Quality audit monitoring completed for "&amp;UPPER($C655))&amp;"&amp;body="&amp;_xlfn.ENCODEURL("Hi "&amp;$F655&amp;","&amp;CHAR(10)&amp;"Good day!"&amp;CHAR(10)&amp;CHAR(10)&amp;"A quality monitoring audit has been completed for "&amp;$C655&amp;"."&amp;CHAR(10)&amp;CHAR(10)&amp;"QUALITY AUDIT DETAILS"&amp;CHAR(10)&amp;"Agent Name: "&amp;$C655&amp;" (EID "&amp;$D655&amp;")"&amp;CHAR(10)&amp;"Audit Date: "&amp;TEXT($B655,"yyyy-mm-dd")&amp;CHAR(10)&amp;"Team Leader: "&amp;$F655&amp;CHAR(10)&amp;"Case Number: "&amp;$M655&amp;CHAR(10)&amp;"Transaction ID: "&amp;$N655&amp;CHAR(10)&amp;"Channel / LOB: "&amp;$K655&amp;" / "&amp;$L655&amp;CHAR(10)&amp;"Evaluator: "&amp;$S655&amp;CHAR(10)&amp;CHAR(10)&amp;"INVALID QUALITY AUDIT DETAILS"&amp;CHAR(10)&amp;"Validation: Invalid"&amp;CHAR(10)&amp;"Invalid Reason: "&amp;$P655&amp;CHAR(10)&amp;"Expected Resolution Code: "&amp;$Q655&amp;CHAR(10)&amp;"Remarks: "&amp;LEFT($R655,600)&amp;CHAR(10)&amp;CHAR(10)&amp;"This is an automated notification from HP Mainstream EQMS."),"✉ Open Email Draft"),"")</f>
        <v/>
      </c>
    </row>
    <row r="656">
      <c r="A656" s="25">
        <f>IF($C656="","","AUD-2026-"&amp;TEXT(ROW()-1,"000000"))</f>
        <v/>
      </c>
      <c r="B656" s="26" t="n"/>
      <c r="C656" s="27" t="n"/>
      <c r="D656" s="25">
        <f>IF($C656="","",IFERROR(IF(INDEX(Roster!$A:$A,MATCH($C656,Roster!$B:$B,0))="","",INDEX(Roster!$A:$A,MATCH($C656,Roster!$B:$B,0))&amp;""),"—"))</f>
        <v/>
      </c>
      <c r="E656" s="25">
        <f>IF($C656="","",IFERROR(IF(INDEX(Roster!$C:$C,MATCH($C656,Roster!$B:$B,0))="","",INDEX(Roster!$C:$C,MATCH($C656,Roster!$B:$B,0))&amp;""),"—"))</f>
        <v/>
      </c>
      <c r="F656" s="25">
        <f>IF($C656="","",IFERROR(IF(INDEX(Roster!$D:$D,MATCH($C656,Roster!$B:$B,0))="","",INDEX(Roster!$D:$D,MATCH($C656,Roster!$B:$B,0))&amp;""),"—"))</f>
        <v/>
      </c>
      <c r="G656" s="25">
        <f>IF($C656="","",IFERROR(IF(INDEX(Roster!$E:$E,MATCH($C656,Roster!$B:$B,0))="","",INDEX(Roster!$E:$E,MATCH($C656,Roster!$B:$B,0))&amp;""),"—"))</f>
        <v/>
      </c>
      <c r="H656" s="25">
        <f>IF($C656="","",IFERROR(IF(INDEX(Roster!$F:$F,MATCH($C656,Roster!$B:$B,0))="","",INDEX(Roster!$F:$F,MATCH($C656,Roster!$B:$B,0))&amp;""),"—"))</f>
        <v/>
      </c>
      <c r="I656" s="25">
        <f>IF($C656="","",IFERROR(IF(INDEX(Roster!$G:$G,MATCH($C656,Roster!$B:$B,0))="","",INDEX(Roster!$G:$G,MATCH($C656,Roster!$B:$B,0))&amp;""),"—"))</f>
        <v/>
      </c>
      <c r="J656" s="25">
        <f>IF($C656="","",IFERROR(IF(INDEX(Roster!$I:$I,MATCH($C656,Roster!$B:$B,0))="","",INDEX(Roster!$I:$I,MATCH($C656,Roster!$B:$B,0))&amp;""),"—"))</f>
        <v/>
      </c>
      <c r="K656">
        <f>IF($C656="","",IFERROR(IF(INDEX(Roster!$J:$J,MATCH($C656,Roster!$B:$B,0))="","",INDEX(Roster!$J:$J,MATCH($C656,Roster!$B:$B,0))&amp;""),"—"))</f>
        <v/>
      </c>
      <c r="L656">
        <f>IF($C656="","",IFERROR(IF(INDEX(Roster!$K:$K,MATCH($C656,Roster!$B:$B,0))="","",INDEX(Roster!$K:$K,MATCH($C656,Roster!$B:$B,0))&amp;""),"—"))</f>
        <v/>
      </c>
      <c r="M656" s="27" t="n"/>
      <c r="N656" s="27" t="n"/>
      <c r="O656" s="25">
        <f>IF($C656="","",IF($P656="","—",IF($P656="Valid (Pass)","Valid","Invalid")))</f>
        <v/>
      </c>
      <c r="P656" s="27" t="n"/>
      <c r="Q656" s="27" t="n"/>
      <c r="R656" s="27" t="n"/>
      <c r="S656" s="27" t="n"/>
      <c r="T656" s="25">
        <f>IF($C656="","",IF(OR(ISNUMBER(SEARCH("quick case",$P656)),ISNUMBER(SEARCH("quick case",$Q656))),"Yes","No"))</f>
        <v/>
      </c>
      <c r="U656" s="25">
        <f>IF($O656="Invalid",HYPERLINK("mailto:"&amp;$G656&amp;";"&amp;$I656&amp;"?cc="&amp;Lists!$E$2&amp;"&amp;subject="&amp;_xlfn.ENCODEURL("[INVALID] Quality audit monitoring completed for "&amp;UPPER($C656))&amp;"&amp;body="&amp;_xlfn.ENCODEURL("Hi "&amp;$F656&amp;","&amp;CHAR(10)&amp;"Good day!"&amp;CHAR(10)&amp;CHAR(10)&amp;"A quality monitoring audit has been completed for "&amp;$C656&amp;"."&amp;CHAR(10)&amp;CHAR(10)&amp;"QUALITY AUDIT DETAILS"&amp;CHAR(10)&amp;"Agent Name: "&amp;$C656&amp;" (EID "&amp;$D656&amp;")"&amp;CHAR(10)&amp;"Audit Date: "&amp;TEXT($B656,"yyyy-mm-dd")&amp;CHAR(10)&amp;"Team Leader: "&amp;$F656&amp;CHAR(10)&amp;"Case Number: "&amp;$M656&amp;CHAR(10)&amp;"Transaction ID: "&amp;$N656&amp;CHAR(10)&amp;"Channel / LOB: "&amp;$K656&amp;" / "&amp;$L656&amp;CHAR(10)&amp;"Evaluator: "&amp;$S656&amp;CHAR(10)&amp;CHAR(10)&amp;"INVALID QUALITY AUDIT DETAILS"&amp;CHAR(10)&amp;"Validation: Invalid"&amp;CHAR(10)&amp;"Invalid Reason: "&amp;$P656&amp;CHAR(10)&amp;"Expected Resolution Code: "&amp;$Q656&amp;CHAR(10)&amp;"Remarks: "&amp;LEFT($R656,600)&amp;CHAR(10)&amp;CHAR(10)&amp;"This is an automated notification from HP Mainstream EQMS."),"✉ Open Email Draft"),"")</f>
        <v/>
      </c>
    </row>
    <row r="657">
      <c r="A657" s="25">
        <f>IF($C657="","","AUD-2026-"&amp;TEXT(ROW()-1,"000000"))</f>
        <v/>
      </c>
      <c r="B657" s="26" t="n"/>
      <c r="C657" s="27" t="n"/>
      <c r="D657" s="25">
        <f>IF($C657="","",IFERROR(IF(INDEX(Roster!$A:$A,MATCH($C657,Roster!$B:$B,0))="","",INDEX(Roster!$A:$A,MATCH($C657,Roster!$B:$B,0))&amp;""),"—"))</f>
        <v/>
      </c>
      <c r="E657" s="25">
        <f>IF($C657="","",IFERROR(IF(INDEX(Roster!$C:$C,MATCH($C657,Roster!$B:$B,0))="","",INDEX(Roster!$C:$C,MATCH($C657,Roster!$B:$B,0))&amp;""),"—"))</f>
        <v/>
      </c>
      <c r="F657" s="25">
        <f>IF($C657="","",IFERROR(IF(INDEX(Roster!$D:$D,MATCH($C657,Roster!$B:$B,0))="","",INDEX(Roster!$D:$D,MATCH($C657,Roster!$B:$B,0))&amp;""),"—"))</f>
        <v/>
      </c>
      <c r="G657" s="25">
        <f>IF($C657="","",IFERROR(IF(INDEX(Roster!$E:$E,MATCH($C657,Roster!$B:$B,0))="","",INDEX(Roster!$E:$E,MATCH($C657,Roster!$B:$B,0))&amp;""),"—"))</f>
        <v/>
      </c>
      <c r="H657" s="25">
        <f>IF($C657="","",IFERROR(IF(INDEX(Roster!$F:$F,MATCH($C657,Roster!$B:$B,0))="","",INDEX(Roster!$F:$F,MATCH($C657,Roster!$B:$B,0))&amp;""),"—"))</f>
        <v/>
      </c>
      <c r="I657" s="25">
        <f>IF($C657="","",IFERROR(IF(INDEX(Roster!$G:$G,MATCH($C657,Roster!$B:$B,0))="","",INDEX(Roster!$G:$G,MATCH($C657,Roster!$B:$B,0))&amp;""),"—"))</f>
        <v/>
      </c>
      <c r="J657" s="25">
        <f>IF($C657="","",IFERROR(IF(INDEX(Roster!$I:$I,MATCH($C657,Roster!$B:$B,0))="","",INDEX(Roster!$I:$I,MATCH($C657,Roster!$B:$B,0))&amp;""),"—"))</f>
        <v/>
      </c>
      <c r="K657">
        <f>IF($C657="","",IFERROR(IF(INDEX(Roster!$J:$J,MATCH($C657,Roster!$B:$B,0))="","",INDEX(Roster!$J:$J,MATCH($C657,Roster!$B:$B,0))&amp;""),"—"))</f>
        <v/>
      </c>
      <c r="L657">
        <f>IF($C657="","",IFERROR(IF(INDEX(Roster!$K:$K,MATCH($C657,Roster!$B:$B,0))="","",INDEX(Roster!$K:$K,MATCH($C657,Roster!$B:$B,0))&amp;""),"—"))</f>
        <v/>
      </c>
      <c r="M657" s="27" t="n"/>
      <c r="N657" s="27" t="n"/>
      <c r="O657" s="25">
        <f>IF($C657="","",IF($P657="","—",IF($P657="Valid (Pass)","Valid","Invalid")))</f>
        <v/>
      </c>
      <c r="P657" s="27" t="n"/>
      <c r="Q657" s="27" t="n"/>
      <c r="R657" s="27" t="n"/>
      <c r="S657" s="27" t="n"/>
      <c r="T657" s="25">
        <f>IF($C657="","",IF(OR(ISNUMBER(SEARCH("quick case",$P657)),ISNUMBER(SEARCH("quick case",$Q657))),"Yes","No"))</f>
        <v/>
      </c>
      <c r="U657" s="25">
        <f>IF($O657="Invalid",HYPERLINK("mailto:"&amp;$G657&amp;";"&amp;$I657&amp;"?cc="&amp;Lists!$E$2&amp;"&amp;subject="&amp;_xlfn.ENCODEURL("[INVALID] Quality audit monitoring completed for "&amp;UPPER($C657))&amp;"&amp;body="&amp;_xlfn.ENCODEURL("Hi "&amp;$F657&amp;","&amp;CHAR(10)&amp;"Good day!"&amp;CHAR(10)&amp;CHAR(10)&amp;"A quality monitoring audit has been completed for "&amp;$C657&amp;"."&amp;CHAR(10)&amp;CHAR(10)&amp;"QUALITY AUDIT DETAILS"&amp;CHAR(10)&amp;"Agent Name: "&amp;$C657&amp;" (EID "&amp;$D657&amp;")"&amp;CHAR(10)&amp;"Audit Date: "&amp;TEXT($B657,"yyyy-mm-dd")&amp;CHAR(10)&amp;"Team Leader: "&amp;$F657&amp;CHAR(10)&amp;"Case Number: "&amp;$M657&amp;CHAR(10)&amp;"Transaction ID: "&amp;$N657&amp;CHAR(10)&amp;"Channel / LOB: "&amp;$K657&amp;" / "&amp;$L657&amp;CHAR(10)&amp;"Evaluator: "&amp;$S657&amp;CHAR(10)&amp;CHAR(10)&amp;"INVALID QUALITY AUDIT DETAILS"&amp;CHAR(10)&amp;"Validation: Invalid"&amp;CHAR(10)&amp;"Invalid Reason: "&amp;$P657&amp;CHAR(10)&amp;"Expected Resolution Code: "&amp;$Q657&amp;CHAR(10)&amp;"Remarks: "&amp;LEFT($R657,600)&amp;CHAR(10)&amp;CHAR(10)&amp;"This is an automated notification from HP Mainstream EQMS."),"✉ Open Email Draft"),"")</f>
        <v/>
      </c>
    </row>
    <row r="658">
      <c r="A658" s="25">
        <f>IF($C658="","","AUD-2026-"&amp;TEXT(ROW()-1,"000000"))</f>
        <v/>
      </c>
      <c r="B658" s="26" t="n"/>
      <c r="C658" s="27" t="n"/>
      <c r="D658" s="25">
        <f>IF($C658="","",IFERROR(IF(INDEX(Roster!$A:$A,MATCH($C658,Roster!$B:$B,0))="","",INDEX(Roster!$A:$A,MATCH($C658,Roster!$B:$B,0))&amp;""),"—"))</f>
        <v/>
      </c>
      <c r="E658" s="25">
        <f>IF($C658="","",IFERROR(IF(INDEX(Roster!$C:$C,MATCH($C658,Roster!$B:$B,0))="","",INDEX(Roster!$C:$C,MATCH($C658,Roster!$B:$B,0))&amp;""),"—"))</f>
        <v/>
      </c>
      <c r="F658" s="25">
        <f>IF($C658="","",IFERROR(IF(INDEX(Roster!$D:$D,MATCH($C658,Roster!$B:$B,0))="","",INDEX(Roster!$D:$D,MATCH($C658,Roster!$B:$B,0))&amp;""),"—"))</f>
        <v/>
      </c>
      <c r="G658" s="25">
        <f>IF($C658="","",IFERROR(IF(INDEX(Roster!$E:$E,MATCH($C658,Roster!$B:$B,0))="","",INDEX(Roster!$E:$E,MATCH($C658,Roster!$B:$B,0))&amp;""),"—"))</f>
        <v/>
      </c>
      <c r="H658" s="25">
        <f>IF($C658="","",IFERROR(IF(INDEX(Roster!$F:$F,MATCH($C658,Roster!$B:$B,0))="","",INDEX(Roster!$F:$F,MATCH($C658,Roster!$B:$B,0))&amp;""),"—"))</f>
        <v/>
      </c>
      <c r="I658" s="25">
        <f>IF($C658="","",IFERROR(IF(INDEX(Roster!$G:$G,MATCH($C658,Roster!$B:$B,0))="","",INDEX(Roster!$G:$G,MATCH($C658,Roster!$B:$B,0))&amp;""),"—"))</f>
        <v/>
      </c>
      <c r="J658" s="25">
        <f>IF($C658="","",IFERROR(IF(INDEX(Roster!$I:$I,MATCH($C658,Roster!$B:$B,0))="","",INDEX(Roster!$I:$I,MATCH($C658,Roster!$B:$B,0))&amp;""),"—"))</f>
        <v/>
      </c>
      <c r="K658">
        <f>IF($C658="","",IFERROR(IF(INDEX(Roster!$J:$J,MATCH($C658,Roster!$B:$B,0))="","",INDEX(Roster!$J:$J,MATCH($C658,Roster!$B:$B,0))&amp;""),"—"))</f>
        <v/>
      </c>
      <c r="L658">
        <f>IF($C658="","",IFERROR(IF(INDEX(Roster!$K:$K,MATCH($C658,Roster!$B:$B,0))="","",INDEX(Roster!$K:$K,MATCH($C658,Roster!$B:$B,0))&amp;""),"—"))</f>
        <v/>
      </c>
      <c r="M658" s="27" t="n"/>
      <c r="N658" s="27" t="n"/>
      <c r="O658" s="25">
        <f>IF($C658="","",IF($P658="","—",IF($P658="Valid (Pass)","Valid","Invalid")))</f>
        <v/>
      </c>
      <c r="P658" s="27" t="n"/>
      <c r="Q658" s="27" t="n"/>
      <c r="R658" s="27" t="n"/>
      <c r="S658" s="27" t="n"/>
      <c r="T658" s="25">
        <f>IF($C658="","",IF(OR(ISNUMBER(SEARCH("quick case",$P658)),ISNUMBER(SEARCH("quick case",$Q658))),"Yes","No"))</f>
        <v/>
      </c>
      <c r="U658" s="25">
        <f>IF($O658="Invalid",HYPERLINK("mailto:"&amp;$G658&amp;";"&amp;$I658&amp;"?cc="&amp;Lists!$E$2&amp;"&amp;subject="&amp;_xlfn.ENCODEURL("[INVALID] Quality audit monitoring completed for "&amp;UPPER($C658))&amp;"&amp;body="&amp;_xlfn.ENCODEURL("Hi "&amp;$F658&amp;","&amp;CHAR(10)&amp;"Good day!"&amp;CHAR(10)&amp;CHAR(10)&amp;"A quality monitoring audit has been completed for "&amp;$C658&amp;"."&amp;CHAR(10)&amp;CHAR(10)&amp;"QUALITY AUDIT DETAILS"&amp;CHAR(10)&amp;"Agent Name: "&amp;$C658&amp;" (EID "&amp;$D658&amp;")"&amp;CHAR(10)&amp;"Audit Date: "&amp;TEXT($B658,"yyyy-mm-dd")&amp;CHAR(10)&amp;"Team Leader: "&amp;$F658&amp;CHAR(10)&amp;"Case Number: "&amp;$M658&amp;CHAR(10)&amp;"Transaction ID: "&amp;$N658&amp;CHAR(10)&amp;"Channel / LOB: "&amp;$K658&amp;" / "&amp;$L658&amp;CHAR(10)&amp;"Evaluator: "&amp;$S658&amp;CHAR(10)&amp;CHAR(10)&amp;"INVALID QUALITY AUDIT DETAILS"&amp;CHAR(10)&amp;"Validation: Invalid"&amp;CHAR(10)&amp;"Invalid Reason: "&amp;$P658&amp;CHAR(10)&amp;"Expected Resolution Code: "&amp;$Q658&amp;CHAR(10)&amp;"Remarks: "&amp;LEFT($R658,600)&amp;CHAR(10)&amp;CHAR(10)&amp;"This is an automated notification from HP Mainstream EQMS."),"✉ Open Email Draft"),"")</f>
        <v/>
      </c>
    </row>
    <row r="659">
      <c r="A659" s="25">
        <f>IF($C659="","","AUD-2026-"&amp;TEXT(ROW()-1,"000000"))</f>
        <v/>
      </c>
      <c r="B659" s="26" t="n"/>
      <c r="C659" s="27" t="n"/>
      <c r="D659" s="25">
        <f>IF($C659="","",IFERROR(IF(INDEX(Roster!$A:$A,MATCH($C659,Roster!$B:$B,0))="","",INDEX(Roster!$A:$A,MATCH($C659,Roster!$B:$B,0))&amp;""),"—"))</f>
        <v/>
      </c>
      <c r="E659" s="25">
        <f>IF($C659="","",IFERROR(IF(INDEX(Roster!$C:$C,MATCH($C659,Roster!$B:$B,0))="","",INDEX(Roster!$C:$C,MATCH($C659,Roster!$B:$B,0))&amp;""),"—"))</f>
        <v/>
      </c>
      <c r="F659" s="25">
        <f>IF($C659="","",IFERROR(IF(INDEX(Roster!$D:$D,MATCH($C659,Roster!$B:$B,0))="","",INDEX(Roster!$D:$D,MATCH($C659,Roster!$B:$B,0))&amp;""),"—"))</f>
        <v/>
      </c>
      <c r="G659" s="25">
        <f>IF($C659="","",IFERROR(IF(INDEX(Roster!$E:$E,MATCH($C659,Roster!$B:$B,0))="","",INDEX(Roster!$E:$E,MATCH($C659,Roster!$B:$B,0))&amp;""),"—"))</f>
        <v/>
      </c>
      <c r="H659" s="25">
        <f>IF($C659="","",IFERROR(IF(INDEX(Roster!$F:$F,MATCH($C659,Roster!$B:$B,0))="","",INDEX(Roster!$F:$F,MATCH($C659,Roster!$B:$B,0))&amp;""),"—"))</f>
        <v/>
      </c>
      <c r="I659" s="25">
        <f>IF($C659="","",IFERROR(IF(INDEX(Roster!$G:$G,MATCH($C659,Roster!$B:$B,0))="","",INDEX(Roster!$G:$G,MATCH($C659,Roster!$B:$B,0))&amp;""),"—"))</f>
        <v/>
      </c>
      <c r="J659" s="25">
        <f>IF($C659="","",IFERROR(IF(INDEX(Roster!$I:$I,MATCH($C659,Roster!$B:$B,0))="","",INDEX(Roster!$I:$I,MATCH($C659,Roster!$B:$B,0))&amp;""),"—"))</f>
        <v/>
      </c>
      <c r="K659">
        <f>IF($C659="","",IFERROR(IF(INDEX(Roster!$J:$J,MATCH($C659,Roster!$B:$B,0))="","",INDEX(Roster!$J:$J,MATCH($C659,Roster!$B:$B,0))&amp;""),"—"))</f>
        <v/>
      </c>
      <c r="L659">
        <f>IF($C659="","",IFERROR(IF(INDEX(Roster!$K:$K,MATCH($C659,Roster!$B:$B,0))="","",INDEX(Roster!$K:$K,MATCH($C659,Roster!$B:$B,0))&amp;""),"—"))</f>
        <v/>
      </c>
      <c r="M659" s="27" t="n"/>
      <c r="N659" s="27" t="n"/>
      <c r="O659" s="25">
        <f>IF($C659="","",IF($P659="","—",IF($P659="Valid (Pass)","Valid","Invalid")))</f>
        <v/>
      </c>
      <c r="P659" s="27" t="n"/>
      <c r="Q659" s="27" t="n"/>
      <c r="R659" s="27" t="n"/>
      <c r="S659" s="27" t="n"/>
      <c r="T659" s="25">
        <f>IF($C659="","",IF(OR(ISNUMBER(SEARCH("quick case",$P659)),ISNUMBER(SEARCH("quick case",$Q659))),"Yes","No"))</f>
        <v/>
      </c>
      <c r="U659" s="25">
        <f>IF($O659="Invalid",HYPERLINK("mailto:"&amp;$G659&amp;";"&amp;$I659&amp;"?cc="&amp;Lists!$E$2&amp;"&amp;subject="&amp;_xlfn.ENCODEURL("[INVALID] Quality audit monitoring completed for "&amp;UPPER($C659))&amp;"&amp;body="&amp;_xlfn.ENCODEURL("Hi "&amp;$F659&amp;","&amp;CHAR(10)&amp;"Good day!"&amp;CHAR(10)&amp;CHAR(10)&amp;"A quality monitoring audit has been completed for "&amp;$C659&amp;"."&amp;CHAR(10)&amp;CHAR(10)&amp;"QUALITY AUDIT DETAILS"&amp;CHAR(10)&amp;"Agent Name: "&amp;$C659&amp;" (EID "&amp;$D659&amp;")"&amp;CHAR(10)&amp;"Audit Date: "&amp;TEXT($B659,"yyyy-mm-dd")&amp;CHAR(10)&amp;"Team Leader: "&amp;$F659&amp;CHAR(10)&amp;"Case Number: "&amp;$M659&amp;CHAR(10)&amp;"Transaction ID: "&amp;$N659&amp;CHAR(10)&amp;"Channel / LOB: "&amp;$K659&amp;" / "&amp;$L659&amp;CHAR(10)&amp;"Evaluator: "&amp;$S659&amp;CHAR(10)&amp;CHAR(10)&amp;"INVALID QUALITY AUDIT DETAILS"&amp;CHAR(10)&amp;"Validation: Invalid"&amp;CHAR(10)&amp;"Invalid Reason: "&amp;$P659&amp;CHAR(10)&amp;"Expected Resolution Code: "&amp;$Q659&amp;CHAR(10)&amp;"Remarks: "&amp;LEFT($R659,600)&amp;CHAR(10)&amp;CHAR(10)&amp;"This is an automated notification from HP Mainstream EQMS."),"✉ Open Email Draft"),"")</f>
        <v/>
      </c>
    </row>
    <row r="660">
      <c r="A660" s="25">
        <f>IF($C660="","","AUD-2026-"&amp;TEXT(ROW()-1,"000000"))</f>
        <v/>
      </c>
      <c r="B660" s="26" t="n"/>
      <c r="C660" s="27" t="n"/>
      <c r="D660" s="25">
        <f>IF($C660="","",IFERROR(IF(INDEX(Roster!$A:$A,MATCH($C660,Roster!$B:$B,0))="","",INDEX(Roster!$A:$A,MATCH($C660,Roster!$B:$B,0))&amp;""),"—"))</f>
        <v/>
      </c>
      <c r="E660" s="25">
        <f>IF($C660="","",IFERROR(IF(INDEX(Roster!$C:$C,MATCH($C660,Roster!$B:$B,0))="","",INDEX(Roster!$C:$C,MATCH($C660,Roster!$B:$B,0))&amp;""),"—"))</f>
        <v/>
      </c>
      <c r="F660" s="25">
        <f>IF($C660="","",IFERROR(IF(INDEX(Roster!$D:$D,MATCH($C660,Roster!$B:$B,0))="","",INDEX(Roster!$D:$D,MATCH($C660,Roster!$B:$B,0))&amp;""),"—"))</f>
        <v/>
      </c>
      <c r="G660" s="25">
        <f>IF($C660="","",IFERROR(IF(INDEX(Roster!$E:$E,MATCH($C660,Roster!$B:$B,0))="","",INDEX(Roster!$E:$E,MATCH($C660,Roster!$B:$B,0))&amp;""),"—"))</f>
        <v/>
      </c>
      <c r="H660" s="25">
        <f>IF($C660="","",IFERROR(IF(INDEX(Roster!$F:$F,MATCH($C660,Roster!$B:$B,0))="","",INDEX(Roster!$F:$F,MATCH($C660,Roster!$B:$B,0))&amp;""),"—"))</f>
        <v/>
      </c>
      <c r="I660" s="25">
        <f>IF($C660="","",IFERROR(IF(INDEX(Roster!$G:$G,MATCH($C660,Roster!$B:$B,0))="","",INDEX(Roster!$G:$G,MATCH($C660,Roster!$B:$B,0))&amp;""),"—"))</f>
        <v/>
      </c>
      <c r="J660" s="25">
        <f>IF($C660="","",IFERROR(IF(INDEX(Roster!$I:$I,MATCH($C660,Roster!$B:$B,0))="","",INDEX(Roster!$I:$I,MATCH($C660,Roster!$B:$B,0))&amp;""),"—"))</f>
        <v/>
      </c>
      <c r="K660">
        <f>IF($C660="","",IFERROR(IF(INDEX(Roster!$J:$J,MATCH($C660,Roster!$B:$B,0))="","",INDEX(Roster!$J:$J,MATCH($C660,Roster!$B:$B,0))&amp;""),"—"))</f>
        <v/>
      </c>
      <c r="L660">
        <f>IF($C660="","",IFERROR(IF(INDEX(Roster!$K:$K,MATCH($C660,Roster!$B:$B,0))="","",INDEX(Roster!$K:$K,MATCH($C660,Roster!$B:$B,0))&amp;""),"—"))</f>
        <v/>
      </c>
      <c r="M660" s="27" t="n"/>
      <c r="N660" s="27" t="n"/>
      <c r="O660" s="25">
        <f>IF($C660="","",IF($P660="","—",IF($P660="Valid (Pass)","Valid","Invalid")))</f>
        <v/>
      </c>
      <c r="P660" s="27" t="n"/>
      <c r="Q660" s="27" t="n"/>
      <c r="R660" s="27" t="n"/>
      <c r="S660" s="27" t="n"/>
      <c r="T660" s="25">
        <f>IF($C660="","",IF(OR(ISNUMBER(SEARCH("quick case",$P660)),ISNUMBER(SEARCH("quick case",$Q660))),"Yes","No"))</f>
        <v/>
      </c>
      <c r="U660" s="25">
        <f>IF($O660="Invalid",HYPERLINK("mailto:"&amp;$G660&amp;";"&amp;$I660&amp;"?cc="&amp;Lists!$E$2&amp;"&amp;subject="&amp;_xlfn.ENCODEURL("[INVALID] Quality audit monitoring completed for "&amp;UPPER($C660))&amp;"&amp;body="&amp;_xlfn.ENCODEURL("Hi "&amp;$F660&amp;","&amp;CHAR(10)&amp;"Good day!"&amp;CHAR(10)&amp;CHAR(10)&amp;"A quality monitoring audit has been completed for "&amp;$C660&amp;"."&amp;CHAR(10)&amp;CHAR(10)&amp;"QUALITY AUDIT DETAILS"&amp;CHAR(10)&amp;"Agent Name: "&amp;$C660&amp;" (EID "&amp;$D660&amp;")"&amp;CHAR(10)&amp;"Audit Date: "&amp;TEXT($B660,"yyyy-mm-dd")&amp;CHAR(10)&amp;"Team Leader: "&amp;$F660&amp;CHAR(10)&amp;"Case Number: "&amp;$M660&amp;CHAR(10)&amp;"Transaction ID: "&amp;$N660&amp;CHAR(10)&amp;"Channel / LOB: "&amp;$K660&amp;" / "&amp;$L660&amp;CHAR(10)&amp;"Evaluator: "&amp;$S660&amp;CHAR(10)&amp;CHAR(10)&amp;"INVALID QUALITY AUDIT DETAILS"&amp;CHAR(10)&amp;"Validation: Invalid"&amp;CHAR(10)&amp;"Invalid Reason: "&amp;$P660&amp;CHAR(10)&amp;"Expected Resolution Code: "&amp;$Q660&amp;CHAR(10)&amp;"Remarks: "&amp;LEFT($R660,600)&amp;CHAR(10)&amp;CHAR(10)&amp;"This is an automated notification from HP Mainstream EQMS."),"✉ Open Email Draft"),"")</f>
        <v/>
      </c>
    </row>
    <row r="661">
      <c r="A661" s="25">
        <f>IF($C661="","","AUD-2026-"&amp;TEXT(ROW()-1,"000000"))</f>
        <v/>
      </c>
      <c r="B661" s="26" t="n"/>
      <c r="C661" s="27" t="n"/>
      <c r="D661" s="25">
        <f>IF($C661="","",IFERROR(IF(INDEX(Roster!$A:$A,MATCH($C661,Roster!$B:$B,0))="","",INDEX(Roster!$A:$A,MATCH($C661,Roster!$B:$B,0))&amp;""),"—"))</f>
        <v/>
      </c>
      <c r="E661" s="25">
        <f>IF($C661="","",IFERROR(IF(INDEX(Roster!$C:$C,MATCH($C661,Roster!$B:$B,0))="","",INDEX(Roster!$C:$C,MATCH($C661,Roster!$B:$B,0))&amp;""),"—"))</f>
        <v/>
      </c>
      <c r="F661" s="25">
        <f>IF($C661="","",IFERROR(IF(INDEX(Roster!$D:$D,MATCH($C661,Roster!$B:$B,0))="","",INDEX(Roster!$D:$D,MATCH($C661,Roster!$B:$B,0))&amp;""),"—"))</f>
        <v/>
      </c>
      <c r="G661" s="25">
        <f>IF($C661="","",IFERROR(IF(INDEX(Roster!$E:$E,MATCH($C661,Roster!$B:$B,0))="","",INDEX(Roster!$E:$E,MATCH($C661,Roster!$B:$B,0))&amp;""),"—"))</f>
        <v/>
      </c>
      <c r="H661" s="25">
        <f>IF($C661="","",IFERROR(IF(INDEX(Roster!$F:$F,MATCH($C661,Roster!$B:$B,0))="","",INDEX(Roster!$F:$F,MATCH($C661,Roster!$B:$B,0))&amp;""),"—"))</f>
        <v/>
      </c>
      <c r="I661" s="25">
        <f>IF($C661="","",IFERROR(IF(INDEX(Roster!$G:$G,MATCH($C661,Roster!$B:$B,0))="","",INDEX(Roster!$G:$G,MATCH($C661,Roster!$B:$B,0))&amp;""),"—"))</f>
        <v/>
      </c>
      <c r="J661" s="25">
        <f>IF($C661="","",IFERROR(IF(INDEX(Roster!$I:$I,MATCH($C661,Roster!$B:$B,0))="","",INDEX(Roster!$I:$I,MATCH($C661,Roster!$B:$B,0))&amp;""),"—"))</f>
        <v/>
      </c>
      <c r="K661">
        <f>IF($C661="","",IFERROR(IF(INDEX(Roster!$J:$J,MATCH($C661,Roster!$B:$B,0))="","",INDEX(Roster!$J:$J,MATCH($C661,Roster!$B:$B,0))&amp;""),"—"))</f>
        <v/>
      </c>
      <c r="L661">
        <f>IF($C661="","",IFERROR(IF(INDEX(Roster!$K:$K,MATCH($C661,Roster!$B:$B,0))="","",INDEX(Roster!$K:$K,MATCH($C661,Roster!$B:$B,0))&amp;""),"—"))</f>
        <v/>
      </c>
      <c r="M661" s="27" t="n"/>
      <c r="N661" s="27" t="n"/>
      <c r="O661" s="25">
        <f>IF($C661="","",IF($P661="","—",IF($P661="Valid (Pass)","Valid","Invalid")))</f>
        <v/>
      </c>
      <c r="P661" s="27" t="n"/>
      <c r="Q661" s="27" t="n"/>
      <c r="R661" s="27" t="n"/>
      <c r="S661" s="27" t="n"/>
      <c r="T661" s="25">
        <f>IF($C661="","",IF(OR(ISNUMBER(SEARCH("quick case",$P661)),ISNUMBER(SEARCH("quick case",$Q661))),"Yes","No"))</f>
        <v/>
      </c>
      <c r="U661" s="25">
        <f>IF($O661="Invalid",HYPERLINK("mailto:"&amp;$G661&amp;";"&amp;$I661&amp;"?cc="&amp;Lists!$E$2&amp;"&amp;subject="&amp;_xlfn.ENCODEURL("[INVALID] Quality audit monitoring completed for "&amp;UPPER($C661))&amp;"&amp;body="&amp;_xlfn.ENCODEURL("Hi "&amp;$F661&amp;","&amp;CHAR(10)&amp;"Good day!"&amp;CHAR(10)&amp;CHAR(10)&amp;"A quality monitoring audit has been completed for "&amp;$C661&amp;"."&amp;CHAR(10)&amp;CHAR(10)&amp;"QUALITY AUDIT DETAILS"&amp;CHAR(10)&amp;"Agent Name: "&amp;$C661&amp;" (EID "&amp;$D661&amp;")"&amp;CHAR(10)&amp;"Audit Date: "&amp;TEXT($B661,"yyyy-mm-dd")&amp;CHAR(10)&amp;"Team Leader: "&amp;$F661&amp;CHAR(10)&amp;"Case Number: "&amp;$M661&amp;CHAR(10)&amp;"Transaction ID: "&amp;$N661&amp;CHAR(10)&amp;"Channel / LOB: "&amp;$K661&amp;" / "&amp;$L661&amp;CHAR(10)&amp;"Evaluator: "&amp;$S661&amp;CHAR(10)&amp;CHAR(10)&amp;"INVALID QUALITY AUDIT DETAILS"&amp;CHAR(10)&amp;"Validation: Invalid"&amp;CHAR(10)&amp;"Invalid Reason: "&amp;$P661&amp;CHAR(10)&amp;"Expected Resolution Code: "&amp;$Q661&amp;CHAR(10)&amp;"Remarks: "&amp;LEFT($R661,600)&amp;CHAR(10)&amp;CHAR(10)&amp;"This is an automated notification from HP Mainstream EQMS."),"✉ Open Email Draft"),"")</f>
        <v/>
      </c>
    </row>
    <row r="662">
      <c r="A662" s="25">
        <f>IF($C662="","","AUD-2026-"&amp;TEXT(ROW()-1,"000000"))</f>
        <v/>
      </c>
      <c r="B662" s="26" t="n"/>
      <c r="C662" s="27" t="n"/>
      <c r="D662" s="25">
        <f>IF($C662="","",IFERROR(IF(INDEX(Roster!$A:$A,MATCH($C662,Roster!$B:$B,0))="","",INDEX(Roster!$A:$A,MATCH($C662,Roster!$B:$B,0))&amp;""),"—"))</f>
        <v/>
      </c>
      <c r="E662" s="25">
        <f>IF($C662="","",IFERROR(IF(INDEX(Roster!$C:$C,MATCH($C662,Roster!$B:$B,0))="","",INDEX(Roster!$C:$C,MATCH($C662,Roster!$B:$B,0))&amp;""),"—"))</f>
        <v/>
      </c>
      <c r="F662" s="25">
        <f>IF($C662="","",IFERROR(IF(INDEX(Roster!$D:$D,MATCH($C662,Roster!$B:$B,0))="","",INDEX(Roster!$D:$D,MATCH($C662,Roster!$B:$B,0))&amp;""),"—"))</f>
        <v/>
      </c>
      <c r="G662" s="25">
        <f>IF($C662="","",IFERROR(IF(INDEX(Roster!$E:$E,MATCH($C662,Roster!$B:$B,0))="","",INDEX(Roster!$E:$E,MATCH($C662,Roster!$B:$B,0))&amp;""),"—"))</f>
        <v/>
      </c>
      <c r="H662" s="25">
        <f>IF($C662="","",IFERROR(IF(INDEX(Roster!$F:$F,MATCH($C662,Roster!$B:$B,0))="","",INDEX(Roster!$F:$F,MATCH($C662,Roster!$B:$B,0))&amp;""),"—"))</f>
        <v/>
      </c>
      <c r="I662" s="25">
        <f>IF($C662="","",IFERROR(IF(INDEX(Roster!$G:$G,MATCH($C662,Roster!$B:$B,0))="","",INDEX(Roster!$G:$G,MATCH($C662,Roster!$B:$B,0))&amp;""),"—"))</f>
        <v/>
      </c>
      <c r="J662" s="25">
        <f>IF($C662="","",IFERROR(IF(INDEX(Roster!$I:$I,MATCH($C662,Roster!$B:$B,0))="","",INDEX(Roster!$I:$I,MATCH($C662,Roster!$B:$B,0))&amp;""),"—"))</f>
        <v/>
      </c>
      <c r="K662">
        <f>IF($C662="","",IFERROR(IF(INDEX(Roster!$J:$J,MATCH($C662,Roster!$B:$B,0))="","",INDEX(Roster!$J:$J,MATCH($C662,Roster!$B:$B,0))&amp;""),"—"))</f>
        <v/>
      </c>
      <c r="L662">
        <f>IF($C662="","",IFERROR(IF(INDEX(Roster!$K:$K,MATCH($C662,Roster!$B:$B,0))="","",INDEX(Roster!$K:$K,MATCH($C662,Roster!$B:$B,0))&amp;""),"—"))</f>
        <v/>
      </c>
      <c r="M662" s="27" t="n"/>
      <c r="N662" s="27" t="n"/>
      <c r="O662" s="25">
        <f>IF($C662="","",IF($P662="","—",IF($P662="Valid (Pass)","Valid","Invalid")))</f>
        <v/>
      </c>
      <c r="P662" s="27" t="n"/>
      <c r="Q662" s="27" t="n"/>
      <c r="R662" s="27" t="n"/>
      <c r="S662" s="27" t="n"/>
      <c r="T662" s="25">
        <f>IF($C662="","",IF(OR(ISNUMBER(SEARCH("quick case",$P662)),ISNUMBER(SEARCH("quick case",$Q662))),"Yes","No"))</f>
        <v/>
      </c>
      <c r="U662" s="25">
        <f>IF($O662="Invalid",HYPERLINK("mailto:"&amp;$G662&amp;";"&amp;$I662&amp;"?cc="&amp;Lists!$E$2&amp;"&amp;subject="&amp;_xlfn.ENCODEURL("[INVALID] Quality audit monitoring completed for "&amp;UPPER($C662))&amp;"&amp;body="&amp;_xlfn.ENCODEURL("Hi "&amp;$F662&amp;","&amp;CHAR(10)&amp;"Good day!"&amp;CHAR(10)&amp;CHAR(10)&amp;"A quality monitoring audit has been completed for "&amp;$C662&amp;"."&amp;CHAR(10)&amp;CHAR(10)&amp;"QUALITY AUDIT DETAILS"&amp;CHAR(10)&amp;"Agent Name: "&amp;$C662&amp;" (EID "&amp;$D662&amp;")"&amp;CHAR(10)&amp;"Audit Date: "&amp;TEXT($B662,"yyyy-mm-dd")&amp;CHAR(10)&amp;"Team Leader: "&amp;$F662&amp;CHAR(10)&amp;"Case Number: "&amp;$M662&amp;CHAR(10)&amp;"Transaction ID: "&amp;$N662&amp;CHAR(10)&amp;"Channel / LOB: "&amp;$K662&amp;" / "&amp;$L662&amp;CHAR(10)&amp;"Evaluator: "&amp;$S662&amp;CHAR(10)&amp;CHAR(10)&amp;"INVALID QUALITY AUDIT DETAILS"&amp;CHAR(10)&amp;"Validation: Invalid"&amp;CHAR(10)&amp;"Invalid Reason: "&amp;$P662&amp;CHAR(10)&amp;"Expected Resolution Code: "&amp;$Q662&amp;CHAR(10)&amp;"Remarks: "&amp;LEFT($R662,600)&amp;CHAR(10)&amp;CHAR(10)&amp;"This is an automated notification from HP Mainstream EQMS."),"✉ Open Email Draft"),"")</f>
        <v/>
      </c>
    </row>
    <row r="663">
      <c r="A663" s="25">
        <f>IF($C663="","","AUD-2026-"&amp;TEXT(ROW()-1,"000000"))</f>
        <v/>
      </c>
      <c r="B663" s="26" t="n"/>
      <c r="C663" s="27" t="n"/>
      <c r="D663" s="25">
        <f>IF($C663="","",IFERROR(IF(INDEX(Roster!$A:$A,MATCH($C663,Roster!$B:$B,0))="","",INDEX(Roster!$A:$A,MATCH($C663,Roster!$B:$B,0))&amp;""),"—"))</f>
        <v/>
      </c>
      <c r="E663" s="25">
        <f>IF($C663="","",IFERROR(IF(INDEX(Roster!$C:$C,MATCH($C663,Roster!$B:$B,0))="","",INDEX(Roster!$C:$C,MATCH($C663,Roster!$B:$B,0))&amp;""),"—"))</f>
        <v/>
      </c>
      <c r="F663" s="25">
        <f>IF($C663="","",IFERROR(IF(INDEX(Roster!$D:$D,MATCH($C663,Roster!$B:$B,0))="","",INDEX(Roster!$D:$D,MATCH($C663,Roster!$B:$B,0))&amp;""),"—"))</f>
        <v/>
      </c>
      <c r="G663" s="25">
        <f>IF($C663="","",IFERROR(IF(INDEX(Roster!$E:$E,MATCH($C663,Roster!$B:$B,0))="","",INDEX(Roster!$E:$E,MATCH($C663,Roster!$B:$B,0))&amp;""),"—"))</f>
        <v/>
      </c>
      <c r="H663" s="25">
        <f>IF($C663="","",IFERROR(IF(INDEX(Roster!$F:$F,MATCH($C663,Roster!$B:$B,0))="","",INDEX(Roster!$F:$F,MATCH($C663,Roster!$B:$B,0))&amp;""),"—"))</f>
        <v/>
      </c>
      <c r="I663" s="25">
        <f>IF($C663="","",IFERROR(IF(INDEX(Roster!$G:$G,MATCH($C663,Roster!$B:$B,0))="","",INDEX(Roster!$G:$G,MATCH($C663,Roster!$B:$B,0))&amp;""),"—"))</f>
        <v/>
      </c>
      <c r="J663" s="25">
        <f>IF($C663="","",IFERROR(IF(INDEX(Roster!$I:$I,MATCH($C663,Roster!$B:$B,0))="","",INDEX(Roster!$I:$I,MATCH($C663,Roster!$B:$B,0))&amp;""),"—"))</f>
        <v/>
      </c>
      <c r="K663">
        <f>IF($C663="","",IFERROR(IF(INDEX(Roster!$J:$J,MATCH($C663,Roster!$B:$B,0))="","",INDEX(Roster!$J:$J,MATCH($C663,Roster!$B:$B,0))&amp;""),"—"))</f>
        <v/>
      </c>
      <c r="L663">
        <f>IF($C663="","",IFERROR(IF(INDEX(Roster!$K:$K,MATCH($C663,Roster!$B:$B,0))="","",INDEX(Roster!$K:$K,MATCH($C663,Roster!$B:$B,0))&amp;""),"—"))</f>
        <v/>
      </c>
      <c r="M663" s="27" t="n"/>
      <c r="N663" s="27" t="n"/>
      <c r="O663" s="25">
        <f>IF($C663="","",IF($P663="","—",IF($P663="Valid (Pass)","Valid","Invalid")))</f>
        <v/>
      </c>
      <c r="P663" s="27" t="n"/>
      <c r="Q663" s="27" t="n"/>
      <c r="R663" s="27" t="n"/>
      <c r="S663" s="27" t="n"/>
      <c r="T663" s="25">
        <f>IF($C663="","",IF(OR(ISNUMBER(SEARCH("quick case",$P663)),ISNUMBER(SEARCH("quick case",$Q663))),"Yes","No"))</f>
        <v/>
      </c>
      <c r="U663" s="25">
        <f>IF($O663="Invalid",HYPERLINK("mailto:"&amp;$G663&amp;";"&amp;$I663&amp;"?cc="&amp;Lists!$E$2&amp;"&amp;subject="&amp;_xlfn.ENCODEURL("[INVALID] Quality audit monitoring completed for "&amp;UPPER($C663))&amp;"&amp;body="&amp;_xlfn.ENCODEURL("Hi "&amp;$F663&amp;","&amp;CHAR(10)&amp;"Good day!"&amp;CHAR(10)&amp;CHAR(10)&amp;"A quality monitoring audit has been completed for "&amp;$C663&amp;"."&amp;CHAR(10)&amp;CHAR(10)&amp;"QUALITY AUDIT DETAILS"&amp;CHAR(10)&amp;"Agent Name: "&amp;$C663&amp;" (EID "&amp;$D663&amp;")"&amp;CHAR(10)&amp;"Audit Date: "&amp;TEXT($B663,"yyyy-mm-dd")&amp;CHAR(10)&amp;"Team Leader: "&amp;$F663&amp;CHAR(10)&amp;"Case Number: "&amp;$M663&amp;CHAR(10)&amp;"Transaction ID: "&amp;$N663&amp;CHAR(10)&amp;"Channel / LOB: "&amp;$K663&amp;" / "&amp;$L663&amp;CHAR(10)&amp;"Evaluator: "&amp;$S663&amp;CHAR(10)&amp;CHAR(10)&amp;"INVALID QUALITY AUDIT DETAILS"&amp;CHAR(10)&amp;"Validation: Invalid"&amp;CHAR(10)&amp;"Invalid Reason: "&amp;$P663&amp;CHAR(10)&amp;"Expected Resolution Code: "&amp;$Q663&amp;CHAR(10)&amp;"Remarks: "&amp;LEFT($R663,600)&amp;CHAR(10)&amp;CHAR(10)&amp;"This is an automated notification from HP Mainstream EQMS."),"✉ Open Email Draft"),"")</f>
        <v/>
      </c>
    </row>
    <row r="664">
      <c r="A664" s="25">
        <f>IF($C664="","","AUD-2026-"&amp;TEXT(ROW()-1,"000000"))</f>
        <v/>
      </c>
      <c r="B664" s="26" t="n"/>
      <c r="C664" s="27" t="n"/>
      <c r="D664" s="25">
        <f>IF($C664="","",IFERROR(IF(INDEX(Roster!$A:$A,MATCH($C664,Roster!$B:$B,0))="","",INDEX(Roster!$A:$A,MATCH($C664,Roster!$B:$B,0))&amp;""),"—"))</f>
        <v/>
      </c>
      <c r="E664" s="25">
        <f>IF($C664="","",IFERROR(IF(INDEX(Roster!$C:$C,MATCH($C664,Roster!$B:$B,0))="","",INDEX(Roster!$C:$C,MATCH($C664,Roster!$B:$B,0))&amp;""),"—"))</f>
        <v/>
      </c>
      <c r="F664" s="25">
        <f>IF($C664="","",IFERROR(IF(INDEX(Roster!$D:$D,MATCH($C664,Roster!$B:$B,0))="","",INDEX(Roster!$D:$D,MATCH($C664,Roster!$B:$B,0))&amp;""),"—"))</f>
        <v/>
      </c>
      <c r="G664" s="25">
        <f>IF($C664="","",IFERROR(IF(INDEX(Roster!$E:$E,MATCH($C664,Roster!$B:$B,0))="","",INDEX(Roster!$E:$E,MATCH($C664,Roster!$B:$B,0))&amp;""),"—"))</f>
        <v/>
      </c>
      <c r="H664" s="25">
        <f>IF($C664="","",IFERROR(IF(INDEX(Roster!$F:$F,MATCH($C664,Roster!$B:$B,0))="","",INDEX(Roster!$F:$F,MATCH($C664,Roster!$B:$B,0))&amp;""),"—"))</f>
        <v/>
      </c>
      <c r="I664" s="25">
        <f>IF($C664="","",IFERROR(IF(INDEX(Roster!$G:$G,MATCH($C664,Roster!$B:$B,0))="","",INDEX(Roster!$G:$G,MATCH($C664,Roster!$B:$B,0))&amp;""),"—"))</f>
        <v/>
      </c>
      <c r="J664" s="25">
        <f>IF($C664="","",IFERROR(IF(INDEX(Roster!$I:$I,MATCH($C664,Roster!$B:$B,0))="","",INDEX(Roster!$I:$I,MATCH($C664,Roster!$B:$B,0))&amp;""),"—"))</f>
        <v/>
      </c>
      <c r="K664">
        <f>IF($C664="","",IFERROR(IF(INDEX(Roster!$J:$J,MATCH($C664,Roster!$B:$B,0))="","",INDEX(Roster!$J:$J,MATCH($C664,Roster!$B:$B,0))&amp;""),"—"))</f>
        <v/>
      </c>
      <c r="L664">
        <f>IF($C664="","",IFERROR(IF(INDEX(Roster!$K:$K,MATCH($C664,Roster!$B:$B,0))="","",INDEX(Roster!$K:$K,MATCH($C664,Roster!$B:$B,0))&amp;""),"—"))</f>
        <v/>
      </c>
      <c r="M664" s="27" t="n"/>
      <c r="N664" s="27" t="n"/>
      <c r="O664" s="25">
        <f>IF($C664="","",IF($P664="","—",IF($P664="Valid (Pass)","Valid","Invalid")))</f>
        <v/>
      </c>
      <c r="P664" s="27" t="n"/>
      <c r="Q664" s="27" t="n"/>
      <c r="R664" s="27" t="n"/>
      <c r="S664" s="27" t="n"/>
      <c r="T664" s="25">
        <f>IF($C664="","",IF(OR(ISNUMBER(SEARCH("quick case",$P664)),ISNUMBER(SEARCH("quick case",$Q664))),"Yes","No"))</f>
        <v/>
      </c>
      <c r="U664" s="25">
        <f>IF($O664="Invalid",HYPERLINK("mailto:"&amp;$G664&amp;";"&amp;$I664&amp;"?cc="&amp;Lists!$E$2&amp;"&amp;subject="&amp;_xlfn.ENCODEURL("[INVALID] Quality audit monitoring completed for "&amp;UPPER($C664))&amp;"&amp;body="&amp;_xlfn.ENCODEURL("Hi "&amp;$F664&amp;","&amp;CHAR(10)&amp;"Good day!"&amp;CHAR(10)&amp;CHAR(10)&amp;"A quality monitoring audit has been completed for "&amp;$C664&amp;"."&amp;CHAR(10)&amp;CHAR(10)&amp;"QUALITY AUDIT DETAILS"&amp;CHAR(10)&amp;"Agent Name: "&amp;$C664&amp;" (EID "&amp;$D664&amp;")"&amp;CHAR(10)&amp;"Audit Date: "&amp;TEXT($B664,"yyyy-mm-dd")&amp;CHAR(10)&amp;"Team Leader: "&amp;$F664&amp;CHAR(10)&amp;"Case Number: "&amp;$M664&amp;CHAR(10)&amp;"Transaction ID: "&amp;$N664&amp;CHAR(10)&amp;"Channel / LOB: "&amp;$K664&amp;" / "&amp;$L664&amp;CHAR(10)&amp;"Evaluator: "&amp;$S664&amp;CHAR(10)&amp;CHAR(10)&amp;"INVALID QUALITY AUDIT DETAILS"&amp;CHAR(10)&amp;"Validation: Invalid"&amp;CHAR(10)&amp;"Invalid Reason: "&amp;$P664&amp;CHAR(10)&amp;"Expected Resolution Code: "&amp;$Q664&amp;CHAR(10)&amp;"Remarks: "&amp;LEFT($R664,600)&amp;CHAR(10)&amp;CHAR(10)&amp;"This is an automated notification from HP Mainstream EQMS."),"✉ Open Email Draft"),"")</f>
        <v/>
      </c>
    </row>
    <row r="665">
      <c r="A665" s="25">
        <f>IF($C665="","","AUD-2026-"&amp;TEXT(ROW()-1,"000000"))</f>
        <v/>
      </c>
      <c r="B665" s="26" t="n"/>
      <c r="C665" s="27" t="n"/>
      <c r="D665" s="25">
        <f>IF($C665="","",IFERROR(IF(INDEX(Roster!$A:$A,MATCH($C665,Roster!$B:$B,0))="","",INDEX(Roster!$A:$A,MATCH($C665,Roster!$B:$B,0))&amp;""),"—"))</f>
        <v/>
      </c>
      <c r="E665" s="25">
        <f>IF($C665="","",IFERROR(IF(INDEX(Roster!$C:$C,MATCH($C665,Roster!$B:$B,0))="","",INDEX(Roster!$C:$C,MATCH($C665,Roster!$B:$B,0))&amp;""),"—"))</f>
        <v/>
      </c>
      <c r="F665" s="25">
        <f>IF($C665="","",IFERROR(IF(INDEX(Roster!$D:$D,MATCH($C665,Roster!$B:$B,0))="","",INDEX(Roster!$D:$D,MATCH($C665,Roster!$B:$B,0))&amp;""),"—"))</f>
        <v/>
      </c>
      <c r="G665" s="25">
        <f>IF($C665="","",IFERROR(IF(INDEX(Roster!$E:$E,MATCH($C665,Roster!$B:$B,0))="","",INDEX(Roster!$E:$E,MATCH($C665,Roster!$B:$B,0))&amp;""),"—"))</f>
        <v/>
      </c>
      <c r="H665" s="25">
        <f>IF($C665="","",IFERROR(IF(INDEX(Roster!$F:$F,MATCH($C665,Roster!$B:$B,0))="","",INDEX(Roster!$F:$F,MATCH($C665,Roster!$B:$B,0))&amp;""),"—"))</f>
        <v/>
      </c>
      <c r="I665" s="25">
        <f>IF($C665="","",IFERROR(IF(INDEX(Roster!$G:$G,MATCH($C665,Roster!$B:$B,0))="","",INDEX(Roster!$G:$G,MATCH($C665,Roster!$B:$B,0))&amp;""),"—"))</f>
        <v/>
      </c>
      <c r="J665" s="25">
        <f>IF($C665="","",IFERROR(IF(INDEX(Roster!$I:$I,MATCH($C665,Roster!$B:$B,0))="","",INDEX(Roster!$I:$I,MATCH($C665,Roster!$B:$B,0))&amp;""),"—"))</f>
        <v/>
      </c>
      <c r="K665">
        <f>IF($C665="","",IFERROR(IF(INDEX(Roster!$J:$J,MATCH($C665,Roster!$B:$B,0))="","",INDEX(Roster!$J:$J,MATCH($C665,Roster!$B:$B,0))&amp;""),"—"))</f>
        <v/>
      </c>
      <c r="L665">
        <f>IF($C665="","",IFERROR(IF(INDEX(Roster!$K:$K,MATCH($C665,Roster!$B:$B,0))="","",INDEX(Roster!$K:$K,MATCH($C665,Roster!$B:$B,0))&amp;""),"—"))</f>
        <v/>
      </c>
      <c r="M665" s="27" t="n"/>
      <c r="N665" s="27" t="n"/>
      <c r="O665" s="25">
        <f>IF($C665="","",IF($P665="","—",IF($P665="Valid (Pass)","Valid","Invalid")))</f>
        <v/>
      </c>
      <c r="P665" s="27" t="n"/>
      <c r="Q665" s="27" t="n"/>
      <c r="R665" s="27" t="n"/>
      <c r="S665" s="27" t="n"/>
      <c r="T665" s="25">
        <f>IF($C665="","",IF(OR(ISNUMBER(SEARCH("quick case",$P665)),ISNUMBER(SEARCH("quick case",$Q665))),"Yes","No"))</f>
        <v/>
      </c>
      <c r="U665" s="25">
        <f>IF($O665="Invalid",HYPERLINK("mailto:"&amp;$G665&amp;";"&amp;$I665&amp;"?cc="&amp;Lists!$E$2&amp;"&amp;subject="&amp;_xlfn.ENCODEURL("[INVALID] Quality audit monitoring completed for "&amp;UPPER($C665))&amp;"&amp;body="&amp;_xlfn.ENCODEURL("Hi "&amp;$F665&amp;","&amp;CHAR(10)&amp;"Good day!"&amp;CHAR(10)&amp;CHAR(10)&amp;"A quality monitoring audit has been completed for "&amp;$C665&amp;"."&amp;CHAR(10)&amp;CHAR(10)&amp;"QUALITY AUDIT DETAILS"&amp;CHAR(10)&amp;"Agent Name: "&amp;$C665&amp;" (EID "&amp;$D665&amp;")"&amp;CHAR(10)&amp;"Audit Date: "&amp;TEXT($B665,"yyyy-mm-dd")&amp;CHAR(10)&amp;"Team Leader: "&amp;$F665&amp;CHAR(10)&amp;"Case Number: "&amp;$M665&amp;CHAR(10)&amp;"Transaction ID: "&amp;$N665&amp;CHAR(10)&amp;"Channel / LOB: "&amp;$K665&amp;" / "&amp;$L665&amp;CHAR(10)&amp;"Evaluator: "&amp;$S665&amp;CHAR(10)&amp;CHAR(10)&amp;"INVALID QUALITY AUDIT DETAILS"&amp;CHAR(10)&amp;"Validation: Invalid"&amp;CHAR(10)&amp;"Invalid Reason: "&amp;$P665&amp;CHAR(10)&amp;"Expected Resolution Code: "&amp;$Q665&amp;CHAR(10)&amp;"Remarks: "&amp;LEFT($R665,600)&amp;CHAR(10)&amp;CHAR(10)&amp;"This is an automated notification from HP Mainstream EQMS."),"✉ Open Email Draft"),"")</f>
        <v/>
      </c>
    </row>
    <row r="666">
      <c r="A666" s="25">
        <f>IF($C666="","","AUD-2026-"&amp;TEXT(ROW()-1,"000000"))</f>
        <v/>
      </c>
      <c r="B666" s="26" t="n"/>
      <c r="C666" s="27" t="n"/>
      <c r="D666" s="25">
        <f>IF($C666="","",IFERROR(IF(INDEX(Roster!$A:$A,MATCH($C666,Roster!$B:$B,0))="","",INDEX(Roster!$A:$A,MATCH($C666,Roster!$B:$B,0))&amp;""),"—"))</f>
        <v/>
      </c>
      <c r="E666" s="25">
        <f>IF($C666="","",IFERROR(IF(INDEX(Roster!$C:$C,MATCH($C666,Roster!$B:$B,0))="","",INDEX(Roster!$C:$C,MATCH($C666,Roster!$B:$B,0))&amp;""),"—"))</f>
        <v/>
      </c>
      <c r="F666" s="25">
        <f>IF($C666="","",IFERROR(IF(INDEX(Roster!$D:$D,MATCH($C666,Roster!$B:$B,0))="","",INDEX(Roster!$D:$D,MATCH($C666,Roster!$B:$B,0))&amp;""),"—"))</f>
        <v/>
      </c>
      <c r="G666" s="25">
        <f>IF($C666="","",IFERROR(IF(INDEX(Roster!$E:$E,MATCH($C666,Roster!$B:$B,0))="","",INDEX(Roster!$E:$E,MATCH($C666,Roster!$B:$B,0))&amp;""),"—"))</f>
        <v/>
      </c>
      <c r="H666" s="25">
        <f>IF($C666="","",IFERROR(IF(INDEX(Roster!$F:$F,MATCH($C666,Roster!$B:$B,0))="","",INDEX(Roster!$F:$F,MATCH($C666,Roster!$B:$B,0))&amp;""),"—"))</f>
        <v/>
      </c>
      <c r="I666" s="25">
        <f>IF($C666="","",IFERROR(IF(INDEX(Roster!$G:$G,MATCH($C666,Roster!$B:$B,0))="","",INDEX(Roster!$G:$G,MATCH($C666,Roster!$B:$B,0))&amp;""),"—"))</f>
        <v/>
      </c>
      <c r="J666" s="25">
        <f>IF($C666="","",IFERROR(IF(INDEX(Roster!$I:$I,MATCH($C666,Roster!$B:$B,0))="","",INDEX(Roster!$I:$I,MATCH($C666,Roster!$B:$B,0))&amp;""),"—"))</f>
        <v/>
      </c>
      <c r="K666">
        <f>IF($C666="","",IFERROR(IF(INDEX(Roster!$J:$J,MATCH($C666,Roster!$B:$B,0))="","",INDEX(Roster!$J:$J,MATCH($C666,Roster!$B:$B,0))&amp;""),"—"))</f>
        <v/>
      </c>
      <c r="L666">
        <f>IF($C666="","",IFERROR(IF(INDEX(Roster!$K:$K,MATCH($C666,Roster!$B:$B,0))="","",INDEX(Roster!$K:$K,MATCH($C666,Roster!$B:$B,0))&amp;""),"—"))</f>
        <v/>
      </c>
      <c r="M666" s="27" t="n"/>
      <c r="N666" s="27" t="n"/>
      <c r="O666" s="25">
        <f>IF($C666="","",IF($P666="","—",IF($P666="Valid (Pass)","Valid","Invalid")))</f>
        <v/>
      </c>
      <c r="P666" s="27" t="n"/>
      <c r="Q666" s="27" t="n"/>
      <c r="R666" s="27" t="n"/>
      <c r="S666" s="27" t="n"/>
      <c r="T666" s="25">
        <f>IF($C666="","",IF(OR(ISNUMBER(SEARCH("quick case",$P666)),ISNUMBER(SEARCH("quick case",$Q666))),"Yes","No"))</f>
        <v/>
      </c>
      <c r="U666" s="25">
        <f>IF($O666="Invalid",HYPERLINK("mailto:"&amp;$G666&amp;";"&amp;$I666&amp;"?cc="&amp;Lists!$E$2&amp;"&amp;subject="&amp;_xlfn.ENCODEURL("[INVALID] Quality audit monitoring completed for "&amp;UPPER($C666))&amp;"&amp;body="&amp;_xlfn.ENCODEURL("Hi "&amp;$F666&amp;","&amp;CHAR(10)&amp;"Good day!"&amp;CHAR(10)&amp;CHAR(10)&amp;"A quality monitoring audit has been completed for "&amp;$C666&amp;"."&amp;CHAR(10)&amp;CHAR(10)&amp;"QUALITY AUDIT DETAILS"&amp;CHAR(10)&amp;"Agent Name: "&amp;$C666&amp;" (EID "&amp;$D666&amp;")"&amp;CHAR(10)&amp;"Audit Date: "&amp;TEXT($B666,"yyyy-mm-dd")&amp;CHAR(10)&amp;"Team Leader: "&amp;$F666&amp;CHAR(10)&amp;"Case Number: "&amp;$M666&amp;CHAR(10)&amp;"Transaction ID: "&amp;$N666&amp;CHAR(10)&amp;"Channel / LOB: "&amp;$K666&amp;" / "&amp;$L666&amp;CHAR(10)&amp;"Evaluator: "&amp;$S666&amp;CHAR(10)&amp;CHAR(10)&amp;"INVALID QUALITY AUDIT DETAILS"&amp;CHAR(10)&amp;"Validation: Invalid"&amp;CHAR(10)&amp;"Invalid Reason: "&amp;$P666&amp;CHAR(10)&amp;"Expected Resolution Code: "&amp;$Q666&amp;CHAR(10)&amp;"Remarks: "&amp;LEFT($R666,600)&amp;CHAR(10)&amp;CHAR(10)&amp;"This is an automated notification from HP Mainstream EQMS."),"✉ Open Email Draft"),"")</f>
        <v/>
      </c>
    </row>
    <row r="667">
      <c r="A667" s="25">
        <f>IF($C667="","","AUD-2026-"&amp;TEXT(ROW()-1,"000000"))</f>
        <v/>
      </c>
      <c r="B667" s="26" t="n"/>
      <c r="C667" s="27" t="n"/>
      <c r="D667" s="25">
        <f>IF($C667="","",IFERROR(IF(INDEX(Roster!$A:$A,MATCH($C667,Roster!$B:$B,0))="","",INDEX(Roster!$A:$A,MATCH($C667,Roster!$B:$B,0))&amp;""),"—"))</f>
        <v/>
      </c>
      <c r="E667" s="25">
        <f>IF($C667="","",IFERROR(IF(INDEX(Roster!$C:$C,MATCH($C667,Roster!$B:$B,0))="","",INDEX(Roster!$C:$C,MATCH($C667,Roster!$B:$B,0))&amp;""),"—"))</f>
        <v/>
      </c>
      <c r="F667" s="25">
        <f>IF($C667="","",IFERROR(IF(INDEX(Roster!$D:$D,MATCH($C667,Roster!$B:$B,0))="","",INDEX(Roster!$D:$D,MATCH($C667,Roster!$B:$B,0))&amp;""),"—"))</f>
        <v/>
      </c>
      <c r="G667" s="25">
        <f>IF($C667="","",IFERROR(IF(INDEX(Roster!$E:$E,MATCH($C667,Roster!$B:$B,0))="","",INDEX(Roster!$E:$E,MATCH($C667,Roster!$B:$B,0))&amp;""),"—"))</f>
        <v/>
      </c>
      <c r="H667" s="25">
        <f>IF($C667="","",IFERROR(IF(INDEX(Roster!$F:$F,MATCH($C667,Roster!$B:$B,0))="","",INDEX(Roster!$F:$F,MATCH($C667,Roster!$B:$B,0))&amp;""),"—"))</f>
        <v/>
      </c>
      <c r="I667" s="25">
        <f>IF($C667="","",IFERROR(IF(INDEX(Roster!$G:$G,MATCH($C667,Roster!$B:$B,0))="","",INDEX(Roster!$G:$G,MATCH($C667,Roster!$B:$B,0))&amp;""),"—"))</f>
        <v/>
      </c>
      <c r="J667" s="25">
        <f>IF($C667="","",IFERROR(IF(INDEX(Roster!$I:$I,MATCH($C667,Roster!$B:$B,0))="","",INDEX(Roster!$I:$I,MATCH($C667,Roster!$B:$B,0))&amp;""),"—"))</f>
        <v/>
      </c>
      <c r="K667">
        <f>IF($C667="","",IFERROR(IF(INDEX(Roster!$J:$J,MATCH($C667,Roster!$B:$B,0))="","",INDEX(Roster!$J:$J,MATCH($C667,Roster!$B:$B,0))&amp;""),"—"))</f>
        <v/>
      </c>
      <c r="L667">
        <f>IF($C667="","",IFERROR(IF(INDEX(Roster!$K:$K,MATCH($C667,Roster!$B:$B,0))="","",INDEX(Roster!$K:$K,MATCH($C667,Roster!$B:$B,0))&amp;""),"—"))</f>
        <v/>
      </c>
      <c r="M667" s="27" t="n"/>
      <c r="N667" s="27" t="n"/>
      <c r="O667" s="25">
        <f>IF($C667="","",IF($P667="","—",IF($P667="Valid (Pass)","Valid","Invalid")))</f>
        <v/>
      </c>
      <c r="P667" s="27" t="n"/>
      <c r="Q667" s="27" t="n"/>
      <c r="R667" s="27" t="n"/>
      <c r="S667" s="27" t="n"/>
      <c r="T667" s="25">
        <f>IF($C667="","",IF(OR(ISNUMBER(SEARCH("quick case",$P667)),ISNUMBER(SEARCH("quick case",$Q667))),"Yes","No"))</f>
        <v/>
      </c>
      <c r="U667" s="25">
        <f>IF($O667="Invalid",HYPERLINK("mailto:"&amp;$G667&amp;";"&amp;$I667&amp;"?cc="&amp;Lists!$E$2&amp;"&amp;subject="&amp;_xlfn.ENCODEURL("[INVALID] Quality audit monitoring completed for "&amp;UPPER($C667))&amp;"&amp;body="&amp;_xlfn.ENCODEURL("Hi "&amp;$F667&amp;","&amp;CHAR(10)&amp;"Good day!"&amp;CHAR(10)&amp;CHAR(10)&amp;"A quality monitoring audit has been completed for "&amp;$C667&amp;"."&amp;CHAR(10)&amp;CHAR(10)&amp;"QUALITY AUDIT DETAILS"&amp;CHAR(10)&amp;"Agent Name: "&amp;$C667&amp;" (EID "&amp;$D667&amp;")"&amp;CHAR(10)&amp;"Audit Date: "&amp;TEXT($B667,"yyyy-mm-dd")&amp;CHAR(10)&amp;"Team Leader: "&amp;$F667&amp;CHAR(10)&amp;"Case Number: "&amp;$M667&amp;CHAR(10)&amp;"Transaction ID: "&amp;$N667&amp;CHAR(10)&amp;"Channel / LOB: "&amp;$K667&amp;" / "&amp;$L667&amp;CHAR(10)&amp;"Evaluator: "&amp;$S667&amp;CHAR(10)&amp;CHAR(10)&amp;"INVALID QUALITY AUDIT DETAILS"&amp;CHAR(10)&amp;"Validation: Invalid"&amp;CHAR(10)&amp;"Invalid Reason: "&amp;$P667&amp;CHAR(10)&amp;"Expected Resolution Code: "&amp;$Q667&amp;CHAR(10)&amp;"Remarks: "&amp;LEFT($R667,600)&amp;CHAR(10)&amp;CHAR(10)&amp;"This is an automated notification from HP Mainstream EQMS."),"✉ Open Email Draft"),"")</f>
        <v/>
      </c>
    </row>
    <row r="668">
      <c r="A668" s="25">
        <f>IF($C668="","","AUD-2026-"&amp;TEXT(ROW()-1,"000000"))</f>
        <v/>
      </c>
      <c r="B668" s="26" t="n"/>
      <c r="C668" s="27" t="n"/>
      <c r="D668" s="25">
        <f>IF($C668="","",IFERROR(IF(INDEX(Roster!$A:$A,MATCH($C668,Roster!$B:$B,0))="","",INDEX(Roster!$A:$A,MATCH($C668,Roster!$B:$B,0))&amp;""),"—"))</f>
        <v/>
      </c>
      <c r="E668" s="25">
        <f>IF($C668="","",IFERROR(IF(INDEX(Roster!$C:$C,MATCH($C668,Roster!$B:$B,0))="","",INDEX(Roster!$C:$C,MATCH($C668,Roster!$B:$B,0))&amp;""),"—"))</f>
        <v/>
      </c>
      <c r="F668" s="25">
        <f>IF($C668="","",IFERROR(IF(INDEX(Roster!$D:$D,MATCH($C668,Roster!$B:$B,0))="","",INDEX(Roster!$D:$D,MATCH($C668,Roster!$B:$B,0))&amp;""),"—"))</f>
        <v/>
      </c>
      <c r="G668" s="25">
        <f>IF($C668="","",IFERROR(IF(INDEX(Roster!$E:$E,MATCH($C668,Roster!$B:$B,0))="","",INDEX(Roster!$E:$E,MATCH($C668,Roster!$B:$B,0))&amp;""),"—"))</f>
        <v/>
      </c>
      <c r="H668" s="25">
        <f>IF($C668="","",IFERROR(IF(INDEX(Roster!$F:$F,MATCH($C668,Roster!$B:$B,0))="","",INDEX(Roster!$F:$F,MATCH($C668,Roster!$B:$B,0))&amp;""),"—"))</f>
        <v/>
      </c>
      <c r="I668" s="25">
        <f>IF($C668="","",IFERROR(IF(INDEX(Roster!$G:$G,MATCH($C668,Roster!$B:$B,0))="","",INDEX(Roster!$G:$G,MATCH($C668,Roster!$B:$B,0))&amp;""),"—"))</f>
        <v/>
      </c>
      <c r="J668" s="25">
        <f>IF($C668="","",IFERROR(IF(INDEX(Roster!$I:$I,MATCH($C668,Roster!$B:$B,0))="","",INDEX(Roster!$I:$I,MATCH($C668,Roster!$B:$B,0))&amp;""),"—"))</f>
        <v/>
      </c>
      <c r="K668">
        <f>IF($C668="","",IFERROR(IF(INDEX(Roster!$J:$J,MATCH($C668,Roster!$B:$B,0))="","",INDEX(Roster!$J:$J,MATCH($C668,Roster!$B:$B,0))&amp;""),"—"))</f>
        <v/>
      </c>
      <c r="L668">
        <f>IF($C668="","",IFERROR(IF(INDEX(Roster!$K:$K,MATCH($C668,Roster!$B:$B,0))="","",INDEX(Roster!$K:$K,MATCH($C668,Roster!$B:$B,0))&amp;""),"—"))</f>
        <v/>
      </c>
      <c r="M668" s="27" t="n"/>
      <c r="N668" s="27" t="n"/>
      <c r="O668" s="25">
        <f>IF($C668="","",IF($P668="","—",IF($P668="Valid (Pass)","Valid","Invalid")))</f>
        <v/>
      </c>
      <c r="P668" s="27" t="n"/>
      <c r="Q668" s="27" t="n"/>
      <c r="R668" s="27" t="n"/>
      <c r="S668" s="27" t="n"/>
      <c r="T668" s="25">
        <f>IF($C668="","",IF(OR(ISNUMBER(SEARCH("quick case",$P668)),ISNUMBER(SEARCH("quick case",$Q668))),"Yes","No"))</f>
        <v/>
      </c>
      <c r="U668" s="25">
        <f>IF($O668="Invalid",HYPERLINK("mailto:"&amp;$G668&amp;";"&amp;$I668&amp;"?cc="&amp;Lists!$E$2&amp;"&amp;subject="&amp;_xlfn.ENCODEURL("[INVALID] Quality audit monitoring completed for "&amp;UPPER($C668))&amp;"&amp;body="&amp;_xlfn.ENCODEURL("Hi "&amp;$F668&amp;","&amp;CHAR(10)&amp;"Good day!"&amp;CHAR(10)&amp;CHAR(10)&amp;"A quality monitoring audit has been completed for "&amp;$C668&amp;"."&amp;CHAR(10)&amp;CHAR(10)&amp;"QUALITY AUDIT DETAILS"&amp;CHAR(10)&amp;"Agent Name: "&amp;$C668&amp;" (EID "&amp;$D668&amp;")"&amp;CHAR(10)&amp;"Audit Date: "&amp;TEXT($B668,"yyyy-mm-dd")&amp;CHAR(10)&amp;"Team Leader: "&amp;$F668&amp;CHAR(10)&amp;"Case Number: "&amp;$M668&amp;CHAR(10)&amp;"Transaction ID: "&amp;$N668&amp;CHAR(10)&amp;"Channel / LOB: "&amp;$K668&amp;" / "&amp;$L668&amp;CHAR(10)&amp;"Evaluator: "&amp;$S668&amp;CHAR(10)&amp;CHAR(10)&amp;"INVALID QUALITY AUDIT DETAILS"&amp;CHAR(10)&amp;"Validation: Invalid"&amp;CHAR(10)&amp;"Invalid Reason: "&amp;$P668&amp;CHAR(10)&amp;"Expected Resolution Code: "&amp;$Q668&amp;CHAR(10)&amp;"Remarks: "&amp;LEFT($R668,600)&amp;CHAR(10)&amp;CHAR(10)&amp;"This is an automated notification from HP Mainstream EQMS."),"✉ Open Email Draft"),"")</f>
        <v/>
      </c>
    </row>
    <row r="669">
      <c r="A669" s="25">
        <f>IF($C669="","","AUD-2026-"&amp;TEXT(ROW()-1,"000000"))</f>
        <v/>
      </c>
      <c r="B669" s="26" t="n"/>
      <c r="C669" s="27" t="n"/>
      <c r="D669" s="25">
        <f>IF($C669="","",IFERROR(IF(INDEX(Roster!$A:$A,MATCH($C669,Roster!$B:$B,0))="","",INDEX(Roster!$A:$A,MATCH($C669,Roster!$B:$B,0))&amp;""),"—"))</f>
        <v/>
      </c>
      <c r="E669" s="25">
        <f>IF($C669="","",IFERROR(IF(INDEX(Roster!$C:$C,MATCH($C669,Roster!$B:$B,0))="","",INDEX(Roster!$C:$C,MATCH($C669,Roster!$B:$B,0))&amp;""),"—"))</f>
        <v/>
      </c>
      <c r="F669" s="25">
        <f>IF($C669="","",IFERROR(IF(INDEX(Roster!$D:$D,MATCH($C669,Roster!$B:$B,0))="","",INDEX(Roster!$D:$D,MATCH($C669,Roster!$B:$B,0))&amp;""),"—"))</f>
        <v/>
      </c>
      <c r="G669" s="25">
        <f>IF($C669="","",IFERROR(IF(INDEX(Roster!$E:$E,MATCH($C669,Roster!$B:$B,0))="","",INDEX(Roster!$E:$E,MATCH($C669,Roster!$B:$B,0))&amp;""),"—"))</f>
        <v/>
      </c>
      <c r="H669" s="25">
        <f>IF($C669="","",IFERROR(IF(INDEX(Roster!$F:$F,MATCH($C669,Roster!$B:$B,0))="","",INDEX(Roster!$F:$F,MATCH($C669,Roster!$B:$B,0))&amp;""),"—"))</f>
        <v/>
      </c>
      <c r="I669" s="25">
        <f>IF($C669="","",IFERROR(IF(INDEX(Roster!$G:$G,MATCH($C669,Roster!$B:$B,0))="","",INDEX(Roster!$G:$G,MATCH($C669,Roster!$B:$B,0))&amp;""),"—"))</f>
        <v/>
      </c>
      <c r="J669" s="25">
        <f>IF($C669="","",IFERROR(IF(INDEX(Roster!$I:$I,MATCH($C669,Roster!$B:$B,0))="","",INDEX(Roster!$I:$I,MATCH($C669,Roster!$B:$B,0))&amp;""),"—"))</f>
        <v/>
      </c>
      <c r="K669">
        <f>IF($C669="","",IFERROR(IF(INDEX(Roster!$J:$J,MATCH($C669,Roster!$B:$B,0))="","",INDEX(Roster!$J:$J,MATCH($C669,Roster!$B:$B,0))&amp;""),"—"))</f>
        <v/>
      </c>
      <c r="L669">
        <f>IF($C669="","",IFERROR(IF(INDEX(Roster!$K:$K,MATCH($C669,Roster!$B:$B,0))="","",INDEX(Roster!$K:$K,MATCH($C669,Roster!$B:$B,0))&amp;""),"—"))</f>
        <v/>
      </c>
      <c r="M669" s="27" t="n"/>
      <c r="N669" s="27" t="n"/>
      <c r="O669" s="25">
        <f>IF($C669="","",IF($P669="","—",IF($P669="Valid (Pass)","Valid","Invalid")))</f>
        <v/>
      </c>
      <c r="P669" s="27" t="n"/>
      <c r="Q669" s="27" t="n"/>
      <c r="R669" s="27" t="n"/>
      <c r="S669" s="27" t="n"/>
      <c r="T669" s="25">
        <f>IF($C669="","",IF(OR(ISNUMBER(SEARCH("quick case",$P669)),ISNUMBER(SEARCH("quick case",$Q669))),"Yes","No"))</f>
        <v/>
      </c>
      <c r="U669" s="25">
        <f>IF($O669="Invalid",HYPERLINK("mailto:"&amp;$G669&amp;";"&amp;$I669&amp;"?cc="&amp;Lists!$E$2&amp;"&amp;subject="&amp;_xlfn.ENCODEURL("[INVALID] Quality audit monitoring completed for "&amp;UPPER($C669))&amp;"&amp;body="&amp;_xlfn.ENCODEURL("Hi "&amp;$F669&amp;","&amp;CHAR(10)&amp;"Good day!"&amp;CHAR(10)&amp;CHAR(10)&amp;"A quality monitoring audit has been completed for "&amp;$C669&amp;"."&amp;CHAR(10)&amp;CHAR(10)&amp;"QUALITY AUDIT DETAILS"&amp;CHAR(10)&amp;"Agent Name: "&amp;$C669&amp;" (EID "&amp;$D669&amp;")"&amp;CHAR(10)&amp;"Audit Date: "&amp;TEXT($B669,"yyyy-mm-dd")&amp;CHAR(10)&amp;"Team Leader: "&amp;$F669&amp;CHAR(10)&amp;"Case Number: "&amp;$M669&amp;CHAR(10)&amp;"Transaction ID: "&amp;$N669&amp;CHAR(10)&amp;"Channel / LOB: "&amp;$K669&amp;" / "&amp;$L669&amp;CHAR(10)&amp;"Evaluator: "&amp;$S669&amp;CHAR(10)&amp;CHAR(10)&amp;"INVALID QUALITY AUDIT DETAILS"&amp;CHAR(10)&amp;"Validation: Invalid"&amp;CHAR(10)&amp;"Invalid Reason: "&amp;$P669&amp;CHAR(10)&amp;"Expected Resolution Code: "&amp;$Q669&amp;CHAR(10)&amp;"Remarks: "&amp;LEFT($R669,600)&amp;CHAR(10)&amp;CHAR(10)&amp;"This is an automated notification from HP Mainstream EQMS."),"✉ Open Email Draft"),"")</f>
        <v/>
      </c>
    </row>
    <row r="670">
      <c r="A670" s="25">
        <f>IF($C670="","","AUD-2026-"&amp;TEXT(ROW()-1,"000000"))</f>
        <v/>
      </c>
      <c r="B670" s="26" t="n"/>
      <c r="C670" s="27" t="n"/>
      <c r="D670" s="25">
        <f>IF($C670="","",IFERROR(IF(INDEX(Roster!$A:$A,MATCH($C670,Roster!$B:$B,0))="","",INDEX(Roster!$A:$A,MATCH($C670,Roster!$B:$B,0))&amp;""),"—"))</f>
        <v/>
      </c>
      <c r="E670" s="25">
        <f>IF($C670="","",IFERROR(IF(INDEX(Roster!$C:$C,MATCH($C670,Roster!$B:$B,0))="","",INDEX(Roster!$C:$C,MATCH($C670,Roster!$B:$B,0))&amp;""),"—"))</f>
        <v/>
      </c>
      <c r="F670" s="25">
        <f>IF($C670="","",IFERROR(IF(INDEX(Roster!$D:$D,MATCH($C670,Roster!$B:$B,0))="","",INDEX(Roster!$D:$D,MATCH($C670,Roster!$B:$B,0))&amp;""),"—"))</f>
        <v/>
      </c>
      <c r="G670" s="25">
        <f>IF($C670="","",IFERROR(IF(INDEX(Roster!$E:$E,MATCH($C670,Roster!$B:$B,0))="","",INDEX(Roster!$E:$E,MATCH($C670,Roster!$B:$B,0))&amp;""),"—"))</f>
        <v/>
      </c>
      <c r="H670" s="25">
        <f>IF($C670="","",IFERROR(IF(INDEX(Roster!$F:$F,MATCH($C670,Roster!$B:$B,0))="","",INDEX(Roster!$F:$F,MATCH($C670,Roster!$B:$B,0))&amp;""),"—"))</f>
        <v/>
      </c>
      <c r="I670" s="25">
        <f>IF($C670="","",IFERROR(IF(INDEX(Roster!$G:$G,MATCH($C670,Roster!$B:$B,0))="","",INDEX(Roster!$G:$G,MATCH($C670,Roster!$B:$B,0))&amp;""),"—"))</f>
        <v/>
      </c>
      <c r="J670" s="25">
        <f>IF($C670="","",IFERROR(IF(INDEX(Roster!$I:$I,MATCH($C670,Roster!$B:$B,0))="","",INDEX(Roster!$I:$I,MATCH($C670,Roster!$B:$B,0))&amp;""),"—"))</f>
        <v/>
      </c>
      <c r="K670">
        <f>IF($C670="","",IFERROR(IF(INDEX(Roster!$J:$J,MATCH($C670,Roster!$B:$B,0))="","",INDEX(Roster!$J:$J,MATCH($C670,Roster!$B:$B,0))&amp;""),"—"))</f>
        <v/>
      </c>
      <c r="L670">
        <f>IF($C670="","",IFERROR(IF(INDEX(Roster!$K:$K,MATCH($C670,Roster!$B:$B,0))="","",INDEX(Roster!$K:$K,MATCH($C670,Roster!$B:$B,0))&amp;""),"—"))</f>
        <v/>
      </c>
      <c r="M670" s="27" t="n"/>
      <c r="N670" s="27" t="n"/>
      <c r="O670" s="25">
        <f>IF($C670="","",IF($P670="","—",IF($P670="Valid (Pass)","Valid","Invalid")))</f>
        <v/>
      </c>
      <c r="P670" s="27" t="n"/>
      <c r="Q670" s="27" t="n"/>
      <c r="R670" s="27" t="n"/>
      <c r="S670" s="27" t="n"/>
      <c r="T670" s="25">
        <f>IF($C670="","",IF(OR(ISNUMBER(SEARCH("quick case",$P670)),ISNUMBER(SEARCH("quick case",$Q670))),"Yes","No"))</f>
        <v/>
      </c>
      <c r="U670" s="25">
        <f>IF($O670="Invalid",HYPERLINK("mailto:"&amp;$G670&amp;";"&amp;$I670&amp;"?cc="&amp;Lists!$E$2&amp;"&amp;subject="&amp;_xlfn.ENCODEURL("[INVALID] Quality audit monitoring completed for "&amp;UPPER($C670))&amp;"&amp;body="&amp;_xlfn.ENCODEURL("Hi "&amp;$F670&amp;","&amp;CHAR(10)&amp;"Good day!"&amp;CHAR(10)&amp;CHAR(10)&amp;"A quality monitoring audit has been completed for "&amp;$C670&amp;"."&amp;CHAR(10)&amp;CHAR(10)&amp;"QUALITY AUDIT DETAILS"&amp;CHAR(10)&amp;"Agent Name: "&amp;$C670&amp;" (EID "&amp;$D670&amp;")"&amp;CHAR(10)&amp;"Audit Date: "&amp;TEXT($B670,"yyyy-mm-dd")&amp;CHAR(10)&amp;"Team Leader: "&amp;$F670&amp;CHAR(10)&amp;"Case Number: "&amp;$M670&amp;CHAR(10)&amp;"Transaction ID: "&amp;$N670&amp;CHAR(10)&amp;"Channel / LOB: "&amp;$K670&amp;" / "&amp;$L670&amp;CHAR(10)&amp;"Evaluator: "&amp;$S670&amp;CHAR(10)&amp;CHAR(10)&amp;"INVALID QUALITY AUDIT DETAILS"&amp;CHAR(10)&amp;"Validation: Invalid"&amp;CHAR(10)&amp;"Invalid Reason: "&amp;$P670&amp;CHAR(10)&amp;"Expected Resolution Code: "&amp;$Q670&amp;CHAR(10)&amp;"Remarks: "&amp;LEFT($R670,600)&amp;CHAR(10)&amp;CHAR(10)&amp;"This is an automated notification from HP Mainstream EQMS."),"✉ Open Email Draft"),"")</f>
        <v/>
      </c>
    </row>
    <row r="671">
      <c r="A671" s="25">
        <f>IF($C671="","","AUD-2026-"&amp;TEXT(ROW()-1,"000000"))</f>
        <v/>
      </c>
      <c r="B671" s="26" t="n"/>
      <c r="C671" s="27" t="n"/>
      <c r="D671" s="25">
        <f>IF($C671="","",IFERROR(IF(INDEX(Roster!$A:$A,MATCH($C671,Roster!$B:$B,0))="","",INDEX(Roster!$A:$A,MATCH($C671,Roster!$B:$B,0))&amp;""),"—"))</f>
        <v/>
      </c>
      <c r="E671" s="25">
        <f>IF($C671="","",IFERROR(IF(INDEX(Roster!$C:$C,MATCH($C671,Roster!$B:$B,0))="","",INDEX(Roster!$C:$C,MATCH($C671,Roster!$B:$B,0))&amp;""),"—"))</f>
        <v/>
      </c>
      <c r="F671" s="25">
        <f>IF($C671="","",IFERROR(IF(INDEX(Roster!$D:$D,MATCH($C671,Roster!$B:$B,0))="","",INDEX(Roster!$D:$D,MATCH($C671,Roster!$B:$B,0))&amp;""),"—"))</f>
        <v/>
      </c>
      <c r="G671" s="25">
        <f>IF($C671="","",IFERROR(IF(INDEX(Roster!$E:$E,MATCH($C671,Roster!$B:$B,0))="","",INDEX(Roster!$E:$E,MATCH($C671,Roster!$B:$B,0))&amp;""),"—"))</f>
        <v/>
      </c>
      <c r="H671" s="25">
        <f>IF($C671="","",IFERROR(IF(INDEX(Roster!$F:$F,MATCH($C671,Roster!$B:$B,0))="","",INDEX(Roster!$F:$F,MATCH($C671,Roster!$B:$B,0))&amp;""),"—"))</f>
        <v/>
      </c>
      <c r="I671" s="25">
        <f>IF($C671="","",IFERROR(IF(INDEX(Roster!$G:$G,MATCH($C671,Roster!$B:$B,0))="","",INDEX(Roster!$G:$G,MATCH($C671,Roster!$B:$B,0))&amp;""),"—"))</f>
        <v/>
      </c>
      <c r="J671" s="25">
        <f>IF($C671="","",IFERROR(IF(INDEX(Roster!$I:$I,MATCH($C671,Roster!$B:$B,0))="","",INDEX(Roster!$I:$I,MATCH($C671,Roster!$B:$B,0))&amp;""),"—"))</f>
        <v/>
      </c>
      <c r="K671">
        <f>IF($C671="","",IFERROR(IF(INDEX(Roster!$J:$J,MATCH($C671,Roster!$B:$B,0))="","",INDEX(Roster!$J:$J,MATCH($C671,Roster!$B:$B,0))&amp;""),"—"))</f>
        <v/>
      </c>
      <c r="L671">
        <f>IF($C671="","",IFERROR(IF(INDEX(Roster!$K:$K,MATCH($C671,Roster!$B:$B,0))="","",INDEX(Roster!$K:$K,MATCH($C671,Roster!$B:$B,0))&amp;""),"—"))</f>
        <v/>
      </c>
      <c r="M671" s="27" t="n"/>
      <c r="N671" s="27" t="n"/>
      <c r="O671" s="25">
        <f>IF($C671="","",IF($P671="","—",IF($P671="Valid (Pass)","Valid","Invalid")))</f>
        <v/>
      </c>
      <c r="P671" s="27" t="n"/>
      <c r="Q671" s="27" t="n"/>
      <c r="R671" s="27" t="n"/>
      <c r="S671" s="27" t="n"/>
      <c r="T671" s="25">
        <f>IF($C671="","",IF(OR(ISNUMBER(SEARCH("quick case",$P671)),ISNUMBER(SEARCH("quick case",$Q671))),"Yes","No"))</f>
        <v/>
      </c>
      <c r="U671" s="25">
        <f>IF($O671="Invalid",HYPERLINK("mailto:"&amp;$G671&amp;";"&amp;$I671&amp;"?cc="&amp;Lists!$E$2&amp;"&amp;subject="&amp;_xlfn.ENCODEURL("[INVALID] Quality audit monitoring completed for "&amp;UPPER($C671))&amp;"&amp;body="&amp;_xlfn.ENCODEURL("Hi "&amp;$F671&amp;","&amp;CHAR(10)&amp;"Good day!"&amp;CHAR(10)&amp;CHAR(10)&amp;"A quality monitoring audit has been completed for "&amp;$C671&amp;"."&amp;CHAR(10)&amp;CHAR(10)&amp;"QUALITY AUDIT DETAILS"&amp;CHAR(10)&amp;"Agent Name: "&amp;$C671&amp;" (EID "&amp;$D671&amp;")"&amp;CHAR(10)&amp;"Audit Date: "&amp;TEXT($B671,"yyyy-mm-dd")&amp;CHAR(10)&amp;"Team Leader: "&amp;$F671&amp;CHAR(10)&amp;"Case Number: "&amp;$M671&amp;CHAR(10)&amp;"Transaction ID: "&amp;$N671&amp;CHAR(10)&amp;"Channel / LOB: "&amp;$K671&amp;" / "&amp;$L671&amp;CHAR(10)&amp;"Evaluator: "&amp;$S671&amp;CHAR(10)&amp;CHAR(10)&amp;"INVALID QUALITY AUDIT DETAILS"&amp;CHAR(10)&amp;"Validation: Invalid"&amp;CHAR(10)&amp;"Invalid Reason: "&amp;$P671&amp;CHAR(10)&amp;"Expected Resolution Code: "&amp;$Q671&amp;CHAR(10)&amp;"Remarks: "&amp;LEFT($R671,600)&amp;CHAR(10)&amp;CHAR(10)&amp;"This is an automated notification from HP Mainstream EQMS."),"✉ Open Email Draft"),"")</f>
        <v/>
      </c>
    </row>
    <row r="672">
      <c r="A672" s="25">
        <f>IF($C672="","","AUD-2026-"&amp;TEXT(ROW()-1,"000000"))</f>
        <v/>
      </c>
      <c r="B672" s="26" t="n"/>
      <c r="C672" s="27" t="n"/>
      <c r="D672" s="25">
        <f>IF($C672="","",IFERROR(IF(INDEX(Roster!$A:$A,MATCH($C672,Roster!$B:$B,0))="","",INDEX(Roster!$A:$A,MATCH($C672,Roster!$B:$B,0))&amp;""),"—"))</f>
        <v/>
      </c>
      <c r="E672" s="25">
        <f>IF($C672="","",IFERROR(IF(INDEX(Roster!$C:$C,MATCH($C672,Roster!$B:$B,0))="","",INDEX(Roster!$C:$C,MATCH($C672,Roster!$B:$B,0))&amp;""),"—"))</f>
        <v/>
      </c>
      <c r="F672" s="25">
        <f>IF($C672="","",IFERROR(IF(INDEX(Roster!$D:$D,MATCH($C672,Roster!$B:$B,0))="","",INDEX(Roster!$D:$D,MATCH($C672,Roster!$B:$B,0))&amp;""),"—"))</f>
        <v/>
      </c>
      <c r="G672" s="25">
        <f>IF($C672="","",IFERROR(IF(INDEX(Roster!$E:$E,MATCH($C672,Roster!$B:$B,0))="","",INDEX(Roster!$E:$E,MATCH($C672,Roster!$B:$B,0))&amp;""),"—"))</f>
        <v/>
      </c>
      <c r="H672" s="25">
        <f>IF($C672="","",IFERROR(IF(INDEX(Roster!$F:$F,MATCH($C672,Roster!$B:$B,0))="","",INDEX(Roster!$F:$F,MATCH($C672,Roster!$B:$B,0))&amp;""),"—"))</f>
        <v/>
      </c>
      <c r="I672" s="25">
        <f>IF($C672="","",IFERROR(IF(INDEX(Roster!$G:$G,MATCH($C672,Roster!$B:$B,0))="","",INDEX(Roster!$G:$G,MATCH($C672,Roster!$B:$B,0))&amp;""),"—"))</f>
        <v/>
      </c>
      <c r="J672" s="25">
        <f>IF($C672="","",IFERROR(IF(INDEX(Roster!$I:$I,MATCH($C672,Roster!$B:$B,0))="","",INDEX(Roster!$I:$I,MATCH($C672,Roster!$B:$B,0))&amp;""),"—"))</f>
        <v/>
      </c>
      <c r="K672">
        <f>IF($C672="","",IFERROR(IF(INDEX(Roster!$J:$J,MATCH($C672,Roster!$B:$B,0))="","",INDEX(Roster!$J:$J,MATCH($C672,Roster!$B:$B,0))&amp;""),"—"))</f>
        <v/>
      </c>
      <c r="L672">
        <f>IF($C672="","",IFERROR(IF(INDEX(Roster!$K:$K,MATCH($C672,Roster!$B:$B,0))="","",INDEX(Roster!$K:$K,MATCH($C672,Roster!$B:$B,0))&amp;""),"—"))</f>
        <v/>
      </c>
      <c r="M672" s="27" t="n"/>
      <c r="N672" s="27" t="n"/>
      <c r="O672" s="25">
        <f>IF($C672="","",IF($P672="","—",IF($P672="Valid (Pass)","Valid","Invalid")))</f>
        <v/>
      </c>
      <c r="P672" s="27" t="n"/>
      <c r="Q672" s="27" t="n"/>
      <c r="R672" s="27" t="n"/>
      <c r="S672" s="27" t="n"/>
      <c r="T672" s="25">
        <f>IF($C672="","",IF(OR(ISNUMBER(SEARCH("quick case",$P672)),ISNUMBER(SEARCH("quick case",$Q672))),"Yes","No"))</f>
        <v/>
      </c>
      <c r="U672" s="25">
        <f>IF($O672="Invalid",HYPERLINK("mailto:"&amp;$G672&amp;";"&amp;$I672&amp;"?cc="&amp;Lists!$E$2&amp;"&amp;subject="&amp;_xlfn.ENCODEURL("[INVALID] Quality audit monitoring completed for "&amp;UPPER($C672))&amp;"&amp;body="&amp;_xlfn.ENCODEURL("Hi "&amp;$F672&amp;","&amp;CHAR(10)&amp;"Good day!"&amp;CHAR(10)&amp;CHAR(10)&amp;"A quality monitoring audit has been completed for "&amp;$C672&amp;"."&amp;CHAR(10)&amp;CHAR(10)&amp;"QUALITY AUDIT DETAILS"&amp;CHAR(10)&amp;"Agent Name: "&amp;$C672&amp;" (EID "&amp;$D672&amp;")"&amp;CHAR(10)&amp;"Audit Date: "&amp;TEXT($B672,"yyyy-mm-dd")&amp;CHAR(10)&amp;"Team Leader: "&amp;$F672&amp;CHAR(10)&amp;"Case Number: "&amp;$M672&amp;CHAR(10)&amp;"Transaction ID: "&amp;$N672&amp;CHAR(10)&amp;"Channel / LOB: "&amp;$K672&amp;" / "&amp;$L672&amp;CHAR(10)&amp;"Evaluator: "&amp;$S672&amp;CHAR(10)&amp;CHAR(10)&amp;"INVALID QUALITY AUDIT DETAILS"&amp;CHAR(10)&amp;"Validation: Invalid"&amp;CHAR(10)&amp;"Invalid Reason: "&amp;$P672&amp;CHAR(10)&amp;"Expected Resolution Code: "&amp;$Q672&amp;CHAR(10)&amp;"Remarks: "&amp;LEFT($R672,600)&amp;CHAR(10)&amp;CHAR(10)&amp;"This is an automated notification from HP Mainstream EQMS."),"✉ Open Email Draft"),"")</f>
        <v/>
      </c>
    </row>
    <row r="673">
      <c r="A673" s="25">
        <f>IF($C673="","","AUD-2026-"&amp;TEXT(ROW()-1,"000000"))</f>
        <v/>
      </c>
      <c r="B673" s="26" t="n"/>
      <c r="C673" s="27" t="n"/>
      <c r="D673" s="25">
        <f>IF($C673="","",IFERROR(IF(INDEX(Roster!$A:$A,MATCH($C673,Roster!$B:$B,0))="","",INDEX(Roster!$A:$A,MATCH($C673,Roster!$B:$B,0))&amp;""),"—"))</f>
        <v/>
      </c>
      <c r="E673" s="25">
        <f>IF($C673="","",IFERROR(IF(INDEX(Roster!$C:$C,MATCH($C673,Roster!$B:$B,0))="","",INDEX(Roster!$C:$C,MATCH($C673,Roster!$B:$B,0))&amp;""),"—"))</f>
        <v/>
      </c>
      <c r="F673" s="25">
        <f>IF($C673="","",IFERROR(IF(INDEX(Roster!$D:$D,MATCH($C673,Roster!$B:$B,0))="","",INDEX(Roster!$D:$D,MATCH($C673,Roster!$B:$B,0))&amp;""),"—"))</f>
        <v/>
      </c>
      <c r="G673" s="25">
        <f>IF($C673="","",IFERROR(IF(INDEX(Roster!$E:$E,MATCH($C673,Roster!$B:$B,0))="","",INDEX(Roster!$E:$E,MATCH($C673,Roster!$B:$B,0))&amp;""),"—"))</f>
        <v/>
      </c>
      <c r="H673" s="25">
        <f>IF($C673="","",IFERROR(IF(INDEX(Roster!$F:$F,MATCH($C673,Roster!$B:$B,0))="","",INDEX(Roster!$F:$F,MATCH($C673,Roster!$B:$B,0))&amp;""),"—"))</f>
        <v/>
      </c>
      <c r="I673" s="25">
        <f>IF($C673="","",IFERROR(IF(INDEX(Roster!$G:$G,MATCH($C673,Roster!$B:$B,0))="","",INDEX(Roster!$G:$G,MATCH($C673,Roster!$B:$B,0))&amp;""),"—"))</f>
        <v/>
      </c>
      <c r="J673" s="25">
        <f>IF($C673="","",IFERROR(IF(INDEX(Roster!$I:$I,MATCH($C673,Roster!$B:$B,0))="","",INDEX(Roster!$I:$I,MATCH($C673,Roster!$B:$B,0))&amp;""),"—"))</f>
        <v/>
      </c>
      <c r="K673">
        <f>IF($C673="","",IFERROR(IF(INDEX(Roster!$J:$J,MATCH($C673,Roster!$B:$B,0))="","",INDEX(Roster!$J:$J,MATCH($C673,Roster!$B:$B,0))&amp;""),"—"))</f>
        <v/>
      </c>
      <c r="L673">
        <f>IF($C673="","",IFERROR(IF(INDEX(Roster!$K:$K,MATCH($C673,Roster!$B:$B,0))="","",INDEX(Roster!$K:$K,MATCH($C673,Roster!$B:$B,0))&amp;""),"—"))</f>
        <v/>
      </c>
      <c r="M673" s="27" t="n"/>
      <c r="N673" s="27" t="n"/>
      <c r="O673" s="25">
        <f>IF($C673="","",IF($P673="","—",IF($P673="Valid (Pass)","Valid","Invalid")))</f>
        <v/>
      </c>
      <c r="P673" s="27" t="n"/>
      <c r="Q673" s="27" t="n"/>
      <c r="R673" s="27" t="n"/>
      <c r="S673" s="27" t="n"/>
      <c r="T673" s="25">
        <f>IF($C673="","",IF(OR(ISNUMBER(SEARCH("quick case",$P673)),ISNUMBER(SEARCH("quick case",$Q673))),"Yes","No"))</f>
        <v/>
      </c>
      <c r="U673" s="25">
        <f>IF($O673="Invalid",HYPERLINK("mailto:"&amp;$G673&amp;";"&amp;$I673&amp;"?cc="&amp;Lists!$E$2&amp;"&amp;subject="&amp;_xlfn.ENCODEURL("[INVALID] Quality audit monitoring completed for "&amp;UPPER($C673))&amp;"&amp;body="&amp;_xlfn.ENCODEURL("Hi "&amp;$F673&amp;","&amp;CHAR(10)&amp;"Good day!"&amp;CHAR(10)&amp;CHAR(10)&amp;"A quality monitoring audit has been completed for "&amp;$C673&amp;"."&amp;CHAR(10)&amp;CHAR(10)&amp;"QUALITY AUDIT DETAILS"&amp;CHAR(10)&amp;"Agent Name: "&amp;$C673&amp;" (EID "&amp;$D673&amp;")"&amp;CHAR(10)&amp;"Audit Date: "&amp;TEXT($B673,"yyyy-mm-dd")&amp;CHAR(10)&amp;"Team Leader: "&amp;$F673&amp;CHAR(10)&amp;"Case Number: "&amp;$M673&amp;CHAR(10)&amp;"Transaction ID: "&amp;$N673&amp;CHAR(10)&amp;"Channel / LOB: "&amp;$K673&amp;" / "&amp;$L673&amp;CHAR(10)&amp;"Evaluator: "&amp;$S673&amp;CHAR(10)&amp;CHAR(10)&amp;"INVALID QUALITY AUDIT DETAILS"&amp;CHAR(10)&amp;"Validation: Invalid"&amp;CHAR(10)&amp;"Invalid Reason: "&amp;$P673&amp;CHAR(10)&amp;"Expected Resolution Code: "&amp;$Q673&amp;CHAR(10)&amp;"Remarks: "&amp;LEFT($R673,600)&amp;CHAR(10)&amp;CHAR(10)&amp;"This is an automated notification from HP Mainstream EQMS."),"✉ Open Email Draft"),"")</f>
        <v/>
      </c>
    </row>
    <row r="674">
      <c r="A674" s="25">
        <f>IF($C674="","","AUD-2026-"&amp;TEXT(ROW()-1,"000000"))</f>
        <v/>
      </c>
      <c r="B674" s="26" t="n"/>
      <c r="C674" s="27" t="n"/>
      <c r="D674" s="25">
        <f>IF($C674="","",IFERROR(IF(INDEX(Roster!$A:$A,MATCH($C674,Roster!$B:$B,0))="","",INDEX(Roster!$A:$A,MATCH($C674,Roster!$B:$B,0))&amp;""),"—"))</f>
        <v/>
      </c>
      <c r="E674" s="25">
        <f>IF($C674="","",IFERROR(IF(INDEX(Roster!$C:$C,MATCH($C674,Roster!$B:$B,0))="","",INDEX(Roster!$C:$C,MATCH($C674,Roster!$B:$B,0))&amp;""),"—"))</f>
        <v/>
      </c>
      <c r="F674" s="25">
        <f>IF($C674="","",IFERROR(IF(INDEX(Roster!$D:$D,MATCH($C674,Roster!$B:$B,0))="","",INDEX(Roster!$D:$D,MATCH($C674,Roster!$B:$B,0))&amp;""),"—"))</f>
        <v/>
      </c>
      <c r="G674" s="25">
        <f>IF($C674="","",IFERROR(IF(INDEX(Roster!$E:$E,MATCH($C674,Roster!$B:$B,0))="","",INDEX(Roster!$E:$E,MATCH($C674,Roster!$B:$B,0))&amp;""),"—"))</f>
        <v/>
      </c>
      <c r="H674" s="25">
        <f>IF($C674="","",IFERROR(IF(INDEX(Roster!$F:$F,MATCH($C674,Roster!$B:$B,0))="","",INDEX(Roster!$F:$F,MATCH($C674,Roster!$B:$B,0))&amp;""),"—"))</f>
        <v/>
      </c>
      <c r="I674" s="25">
        <f>IF($C674="","",IFERROR(IF(INDEX(Roster!$G:$G,MATCH($C674,Roster!$B:$B,0))="","",INDEX(Roster!$G:$G,MATCH($C674,Roster!$B:$B,0))&amp;""),"—"))</f>
        <v/>
      </c>
      <c r="J674" s="25">
        <f>IF($C674="","",IFERROR(IF(INDEX(Roster!$I:$I,MATCH($C674,Roster!$B:$B,0))="","",INDEX(Roster!$I:$I,MATCH($C674,Roster!$B:$B,0))&amp;""),"—"))</f>
        <v/>
      </c>
      <c r="K674">
        <f>IF($C674="","",IFERROR(IF(INDEX(Roster!$J:$J,MATCH($C674,Roster!$B:$B,0))="","",INDEX(Roster!$J:$J,MATCH($C674,Roster!$B:$B,0))&amp;""),"—"))</f>
        <v/>
      </c>
      <c r="L674">
        <f>IF($C674="","",IFERROR(IF(INDEX(Roster!$K:$K,MATCH($C674,Roster!$B:$B,0))="","",INDEX(Roster!$K:$K,MATCH($C674,Roster!$B:$B,0))&amp;""),"—"))</f>
        <v/>
      </c>
      <c r="M674" s="27" t="n"/>
      <c r="N674" s="27" t="n"/>
      <c r="O674" s="25">
        <f>IF($C674="","",IF($P674="","—",IF($P674="Valid (Pass)","Valid","Invalid")))</f>
        <v/>
      </c>
      <c r="P674" s="27" t="n"/>
      <c r="Q674" s="27" t="n"/>
      <c r="R674" s="27" t="n"/>
      <c r="S674" s="27" t="n"/>
      <c r="T674" s="25">
        <f>IF($C674="","",IF(OR(ISNUMBER(SEARCH("quick case",$P674)),ISNUMBER(SEARCH("quick case",$Q674))),"Yes","No"))</f>
        <v/>
      </c>
      <c r="U674" s="25">
        <f>IF($O674="Invalid",HYPERLINK("mailto:"&amp;$G674&amp;";"&amp;$I674&amp;"?cc="&amp;Lists!$E$2&amp;"&amp;subject="&amp;_xlfn.ENCODEURL("[INVALID] Quality audit monitoring completed for "&amp;UPPER($C674))&amp;"&amp;body="&amp;_xlfn.ENCODEURL("Hi "&amp;$F674&amp;","&amp;CHAR(10)&amp;"Good day!"&amp;CHAR(10)&amp;CHAR(10)&amp;"A quality monitoring audit has been completed for "&amp;$C674&amp;"."&amp;CHAR(10)&amp;CHAR(10)&amp;"QUALITY AUDIT DETAILS"&amp;CHAR(10)&amp;"Agent Name: "&amp;$C674&amp;" (EID "&amp;$D674&amp;")"&amp;CHAR(10)&amp;"Audit Date: "&amp;TEXT($B674,"yyyy-mm-dd")&amp;CHAR(10)&amp;"Team Leader: "&amp;$F674&amp;CHAR(10)&amp;"Case Number: "&amp;$M674&amp;CHAR(10)&amp;"Transaction ID: "&amp;$N674&amp;CHAR(10)&amp;"Channel / LOB: "&amp;$K674&amp;" / "&amp;$L674&amp;CHAR(10)&amp;"Evaluator: "&amp;$S674&amp;CHAR(10)&amp;CHAR(10)&amp;"INVALID QUALITY AUDIT DETAILS"&amp;CHAR(10)&amp;"Validation: Invalid"&amp;CHAR(10)&amp;"Invalid Reason: "&amp;$P674&amp;CHAR(10)&amp;"Expected Resolution Code: "&amp;$Q674&amp;CHAR(10)&amp;"Remarks: "&amp;LEFT($R674,600)&amp;CHAR(10)&amp;CHAR(10)&amp;"This is an automated notification from HP Mainstream EQMS."),"✉ Open Email Draft"),"")</f>
        <v/>
      </c>
    </row>
    <row r="675">
      <c r="A675" s="25">
        <f>IF($C675="","","AUD-2026-"&amp;TEXT(ROW()-1,"000000"))</f>
        <v/>
      </c>
      <c r="B675" s="26" t="n"/>
      <c r="C675" s="27" t="n"/>
      <c r="D675" s="25">
        <f>IF($C675="","",IFERROR(IF(INDEX(Roster!$A:$A,MATCH($C675,Roster!$B:$B,0))="","",INDEX(Roster!$A:$A,MATCH($C675,Roster!$B:$B,0))&amp;""),"—"))</f>
        <v/>
      </c>
      <c r="E675" s="25">
        <f>IF($C675="","",IFERROR(IF(INDEX(Roster!$C:$C,MATCH($C675,Roster!$B:$B,0))="","",INDEX(Roster!$C:$C,MATCH($C675,Roster!$B:$B,0))&amp;""),"—"))</f>
        <v/>
      </c>
      <c r="F675" s="25">
        <f>IF($C675="","",IFERROR(IF(INDEX(Roster!$D:$D,MATCH($C675,Roster!$B:$B,0))="","",INDEX(Roster!$D:$D,MATCH($C675,Roster!$B:$B,0))&amp;""),"—"))</f>
        <v/>
      </c>
      <c r="G675" s="25">
        <f>IF($C675="","",IFERROR(IF(INDEX(Roster!$E:$E,MATCH($C675,Roster!$B:$B,0))="","",INDEX(Roster!$E:$E,MATCH($C675,Roster!$B:$B,0))&amp;""),"—"))</f>
        <v/>
      </c>
      <c r="H675" s="25">
        <f>IF($C675="","",IFERROR(IF(INDEX(Roster!$F:$F,MATCH($C675,Roster!$B:$B,0))="","",INDEX(Roster!$F:$F,MATCH($C675,Roster!$B:$B,0))&amp;""),"—"))</f>
        <v/>
      </c>
      <c r="I675" s="25">
        <f>IF($C675="","",IFERROR(IF(INDEX(Roster!$G:$G,MATCH($C675,Roster!$B:$B,0))="","",INDEX(Roster!$G:$G,MATCH($C675,Roster!$B:$B,0))&amp;""),"—"))</f>
        <v/>
      </c>
      <c r="J675" s="25">
        <f>IF($C675="","",IFERROR(IF(INDEX(Roster!$I:$I,MATCH($C675,Roster!$B:$B,0))="","",INDEX(Roster!$I:$I,MATCH($C675,Roster!$B:$B,0))&amp;""),"—"))</f>
        <v/>
      </c>
      <c r="K675">
        <f>IF($C675="","",IFERROR(IF(INDEX(Roster!$J:$J,MATCH($C675,Roster!$B:$B,0))="","",INDEX(Roster!$J:$J,MATCH($C675,Roster!$B:$B,0))&amp;""),"—"))</f>
        <v/>
      </c>
      <c r="L675">
        <f>IF($C675="","",IFERROR(IF(INDEX(Roster!$K:$K,MATCH($C675,Roster!$B:$B,0))="","",INDEX(Roster!$K:$K,MATCH($C675,Roster!$B:$B,0))&amp;""),"—"))</f>
        <v/>
      </c>
      <c r="M675" s="27" t="n"/>
      <c r="N675" s="27" t="n"/>
      <c r="O675" s="25">
        <f>IF($C675="","",IF($P675="","—",IF($P675="Valid (Pass)","Valid","Invalid")))</f>
        <v/>
      </c>
      <c r="P675" s="27" t="n"/>
      <c r="Q675" s="27" t="n"/>
      <c r="R675" s="27" t="n"/>
      <c r="S675" s="27" t="n"/>
      <c r="T675" s="25">
        <f>IF($C675="","",IF(OR(ISNUMBER(SEARCH("quick case",$P675)),ISNUMBER(SEARCH("quick case",$Q675))),"Yes","No"))</f>
        <v/>
      </c>
      <c r="U675" s="25">
        <f>IF($O675="Invalid",HYPERLINK("mailto:"&amp;$G675&amp;";"&amp;$I675&amp;"?cc="&amp;Lists!$E$2&amp;"&amp;subject="&amp;_xlfn.ENCODEURL("[INVALID] Quality audit monitoring completed for "&amp;UPPER($C675))&amp;"&amp;body="&amp;_xlfn.ENCODEURL("Hi "&amp;$F675&amp;","&amp;CHAR(10)&amp;"Good day!"&amp;CHAR(10)&amp;CHAR(10)&amp;"A quality monitoring audit has been completed for "&amp;$C675&amp;"."&amp;CHAR(10)&amp;CHAR(10)&amp;"QUALITY AUDIT DETAILS"&amp;CHAR(10)&amp;"Agent Name: "&amp;$C675&amp;" (EID "&amp;$D675&amp;")"&amp;CHAR(10)&amp;"Audit Date: "&amp;TEXT($B675,"yyyy-mm-dd")&amp;CHAR(10)&amp;"Team Leader: "&amp;$F675&amp;CHAR(10)&amp;"Case Number: "&amp;$M675&amp;CHAR(10)&amp;"Transaction ID: "&amp;$N675&amp;CHAR(10)&amp;"Channel / LOB: "&amp;$K675&amp;" / "&amp;$L675&amp;CHAR(10)&amp;"Evaluator: "&amp;$S675&amp;CHAR(10)&amp;CHAR(10)&amp;"INVALID QUALITY AUDIT DETAILS"&amp;CHAR(10)&amp;"Validation: Invalid"&amp;CHAR(10)&amp;"Invalid Reason: "&amp;$P675&amp;CHAR(10)&amp;"Expected Resolution Code: "&amp;$Q675&amp;CHAR(10)&amp;"Remarks: "&amp;LEFT($R675,600)&amp;CHAR(10)&amp;CHAR(10)&amp;"This is an automated notification from HP Mainstream EQMS."),"✉ Open Email Draft"),"")</f>
        <v/>
      </c>
    </row>
    <row r="676">
      <c r="A676" s="25">
        <f>IF($C676="","","AUD-2026-"&amp;TEXT(ROW()-1,"000000"))</f>
        <v/>
      </c>
      <c r="B676" s="26" t="n"/>
      <c r="C676" s="27" t="n"/>
      <c r="D676" s="25">
        <f>IF($C676="","",IFERROR(IF(INDEX(Roster!$A:$A,MATCH($C676,Roster!$B:$B,0))="","",INDEX(Roster!$A:$A,MATCH($C676,Roster!$B:$B,0))&amp;""),"—"))</f>
        <v/>
      </c>
      <c r="E676" s="25">
        <f>IF($C676="","",IFERROR(IF(INDEX(Roster!$C:$C,MATCH($C676,Roster!$B:$B,0))="","",INDEX(Roster!$C:$C,MATCH($C676,Roster!$B:$B,0))&amp;""),"—"))</f>
        <v/>
      </c>
      <c r="F676" s="25">
        <f>IF($C676="","",IFERROR(IF(INDEX(Roster!$D:$D,MATCH($C676,Roster!$B:$B,0))="","",INDEX(Roster!$D:$D,MATCH($C676,Roster!$B:$B,0))&amp;""),"—"))</f>
        <v/>
      </c>
      <c r="G676" s="25">
        <f>IF($C676="","",IFERROR(IF(INDEX(Roster!$E:$E,MATCH($C676,Roster!$B:$B,0))="","",INDEX(Roster!$E:$E,MATCH($C676,Roster!$B:$B,0))&amp;""),"—"))</f>
        <v/>
      </c>
      <c r="H676" s="25">
        <f>IF($C676="","",IFERROR(IF(INDEX(Roster!$F:$F,MATCH($C676,Roster!$B:$B,0))="","",INDEX(Roster!$F:$F,MATCH($C676,Roster!$B:$B,0))&amp;""),"—"))</f>
        <v/>
      </c>
      <c r="I676" s="25">
        <f>IF($C676="","",IFERROR(IF(INDEX(Roster!$G:$G,MATCH($C676,Roster!$B:$B,0))="","",INDEX(Roster!$G:$G,MATCH($C676,Roster!$B:$B,0))&amp;""),"—"))</f>
        <v/>
      </c>
      <c r="J676" s="25">
        <f>IF($C676="","",IFERROR(IF(INDEX(Roster!$I:$I,MATCH($C676,Roster!$B:$B,0))="","",INDEX(Roster!$I:$I,MATCH($C676,Roster!$B:$B,0))&amp;""),"—"))</f>
        <v/>
      </c>
      <c r="K676">
        <f>IF($C676="","",IFERROR(IF(INDEX(Roster!$J:$J,MATCH($C676,Roster!$B:$B,0))="","",INDEX(Roster!$J:$J,MATCH($C676,Roster!$B:$B,0))&amp;""),"—"))</f>
        <v/>
      </c>
      <c r="L676">
        <f>IF($C676="","",IFERROR(IF(INDEX(Roster!$K:$K,MATCH($C676,Roster!$B:$B,0))="","",INDEX(Roster!$K:$K,MATCH($C676,Roster!$B:$B,0))&amp;""),"—"))</f>
        <v/>
      </c>
      <c r="M676" s="27" t="n"/>
      <c r="N676" s="27" t="n"/>
      <c r="O676" s="25">
        <f>IF($C676="","",IF($P676="","—",IF($P676="Valid (Pass)","Valid","Invalid")))</f>
        <v/>
      </c>
      <c r="P676" s="27" t="n"/>
      <c r="Q676" s="27" t="n"/>
      <c r="R676" s="27" t="n"/>
      <c r="S676" s="27" t="n"/>
      <c r="T676" s="25">
        <f>IF($C676="","",IF(OR(ISNUMBER(SEARCH("quick case",$P676)),ISNUMBER(SEARCH("quick case",$Q676))),"Yes","No"))</f>
        <v/>
      </c>
      <c r="U676" s="25">
        <f>IF($O676="Invalid",HYPERLINK("mailto:"&amp;$G676&amp;";"&amp;$I676&amp;"?cc="&amp;Lists!$E$2&amp;"&amp;subject="&amp;_xlfn.ENCODEURL("[INVALID] Quality audit monitoring completed for "&amp;UPPER($C676))&amp;"&amp;body="&amp;_xlfn.ENCODEURL("Hi "&amp;$F676&amp;","&amp;CHAR(10)&amp;"Good day!"&amp;CHAR(10)&amp;CHAR(10)&amp;"A quality monitoring audit has been completed for "&amp;$C676&amp;"."&amp;CHAR(10)&amp;CHAR(10)&amp;"QUALITY AUDIT DETAILS"&amp;CHAR(10)&amp;"Agent Name: "&amp;$C676&amp;" (EID "&amp;$D676&amp;")"&amp;CHAR(10)&amp;"Audit Date: "&amp;TEXT($B676,"yyyy-mm-dd")&amp;CHAR(10)&amp;"Team Leader: "&amp;$F676&amp;CHAR(10)&amp;"Case Number: "&amp;$M676&amp;CHAR(10)&amp;"Transaction ID: "&amp;$N676&amp;CHAR(10)&amp;"Channel / LOB: "&amp;$K676&amp;" / "&amp;$L676&amp;CHAR(10)&amp;"Evaluator: "&amp;$S676&amp;CHAR(10)&amp;CHAR(10)&amp;"INVALID QUALITY AUDIT DETAILS"&amp;CHAR(10)&amp;"Validation: Invalid"&amp;CHAR(10)&amp;"Invalid Reason: "&amp;$P676&amp;CHAR(10)&amp;"Expected Resolution Code: "&amp;$Q676&amp;CHAR(10)&amp;"Remarks: "&amp;LEFT($R676,600)&amp;CHAR(10)&amp;CHAR(10)&amp;"This is an automated notification from HP Mainstream EQMS."),"✉ Open Email Draft"),"")</f>
        <v/>
      </c>
    </row>
    <row r="677">
      <c r="A677" s="25">
        <f>IF($C677="","","AUD-2026-"&amp;TEXT(ROW()-1,"000000"))</f>
        <v/>
      </c>
      <c r="B677" s="26" t="n"/>
      <c r="C677" s="27" t="n"/>
      <c r="D677" s="25">
        <f>IF($C677="","",IFERROR(IF(INDEX(Roster!$A:$A,MATCH($C677,Roster!$B:$B,0))="","",INDEX(Roster!$A:$A,MATCH($C677,Roster!$B:$B,0))&amp;""),"—"))</f>
        <v/>
      </c>
      <c r="E677" s="25">
        <f>IF($C677="","",IFERROR(IF(INDEX(Roster!$C:$C,MATCH($C677,Roster!$B:$B,0))="","",INDEX(Roster!$C:$C,MATCH($C677,Roster!$B:$B,0))&amp;""),"—"))</f>
        <v/>
      </c>
      <c r="F677" s="25">
        <f>IF($C677="","",IFERROR(IF(INDEX(Roster!$D:$D,MATCH($C677,Roster!$B:$B,0))="","",INDEX(Roster!$D:$D,MATCH($C677,Roster!$B:$B,0))&amp;""),"—"))</f>
        <v/>
      </c>
      <c r="G677" s="25">
        <f>IF($C677="","",IFERROR(IF(INDEX(Roster!$E:$E,MATCH($C677,Roster!$B:$B,0))="","",INDEX(Roster!$E:$E,MATCH($C677,Roster!$B:$B,0))&amp;""),"—"))</f>
        <v/>
      </c>
      <c r="H677" s="25">
        <f>IF($C677="","",IFERROR(IF(INDEX(Roster!$F:$F,MATCH($C677,Roster!$B:$B,0))="","",INDEX(Roster!$F:$F,MATCH($C677,Roster!$B:$B,0))&amp;""),"—"))</f>
        <v/>
      </c>
      <c r="I677" s="25">
        <f>IF($C677="","",IFERROR(IF(INDEX(Roster!$G:$G,MATCH($C677,Roster!$B:$B,0))="","",INDEX(Roster!$G:$G,MATCH($C677,Roster!$B:$B,0))&amp;""),"—"))</f>
        <v/>
      </c>
      <c r="J677" s="25">
        <f>IF($C677="","",IFERROR(IF(INDEX(Roster!$I:$I,MATCH($C677,Roster!$B:$B,0))="","",INDEX(Roster!$I:$I,MATCH($C677,Roster!$B:$B,0))&amp;""),"—"))</f>
        <v/>
      </c>
      <c r="K677">
        <f>IF($C677="","",IFERROR(IF(INDEX(Roster!$J:$J,MATCH($C677,Roster!$B:$B,0))="","",INDEX(Roster!$J:$J,MATCH($C677,Roster!$B:$B,0))&amp;""),"—"))</f>
        <v/>
      </c>
      <c r="L677">
        <f>IF($C677="","",IFERROR(IF(INDEX(Roster!$K:$K,MATCH($C677,Roster!$B:$B,0))="","",INDEX(Roster!$K:$K,MATCH($C677,Roster!$B:$B,0))&amp;""),"—"))</f>
        <v/>
      </c>
      <c r="M677" s="27" t="n"/>
      <c r="N677" s="27" t="n"/>
      <c r="O677" s="25">
        <f>IF($C677="","",IF($P677="","—",IF($P677="Valid (Pass)","Valid","Invalid")))</f>
        <v/>
      </c>
      <c r="P677" s="27" t="n"/>
      <c r="Q677" s="27" t="n"/>
      <c r="R677" s="27" t="n"/>
      <c r="S677" s="27" t="n"/>
      <c r="T677" s="25">
        <f>IF($C677="","",IF(OR(ISNUMBER(SEARCH("quick case",$P677)),ISNUMBER(SEARCH("quick case",$Q677))),"Yes","No"))</f>
        <v/>
      </c>
      <c r="U677" s="25">
        <f>IF($O677="Invalid",HYPERLINK("mailto:"&amp;$G677&amp;";"&amp;$I677&amp;"?cc="&amp;Lists!$E$2&amp;"&amp;subject="&amp;_xlfn.ENCODEURL("[INVALID] Quality audit monitoring completed for "&amp;UPPER($C677))&amp;"&amp;body="&amp;_xlfn.ENCODEURL("Hi "&amp;$F677&amp;","&amp;CHAR(10)&amp;"Good day!"&amp;CHAR(10)&amp;CHAR(10)&amp;"A quality monitoring audit has been completed for "&amp;$C677&amp;"."&amp;CHAR(10)&amp;CHAR(10)&amp;"QUALITY AUDIT DETAILS"&amp;CHAR(10)&amp;"Agent Name: "&amp;$C677&amp;" (EID "&amp;$D677&amp;")"&amp;CHAR(10)&amp;"Audit Date: "&amp;TEXT($B677,"yyyy-mm-dd")&amp;CHAR(10)&amp;"Team Leader: "&amp;$F677&amp;CHAR(10)&amp;"Case Number: "&amp;$M677&amp;CHAR(10)&amp;"Transaction ID: "&amp;$N677&amp;CHAR(10)&amp;"Channel / LOB: "&amp;$K677&amp;" / "&amp;$L677&amp;CHAR(10)&amp;"Evaluator: "&amp;$S677&amp;CHAR(10)&amp;CHAR(10)&amp;"INVALID QUALITY AUDIT DETAILS"&amp;CHAR(10)&amp;"Validation: Invalid"&amp;CHAR(10)&amp;"Invalid Reason: "&amp;$P677&amp;CHAR(10)&amp;"Expected Resolution Code: "&amp;$Q677&amp;CHAR(10)&amp;"Remarks: "&amp;LEFT($R677,600)&amp;CHAR(10)&amp;CHAR(10)&amp;"This is an automated notification from HP Mainstream EQMS."),"✉ Open Email Draft"),"")</f>
        <v/>
      </c>
    </row>
    <row r="678">
      <c r="A678" s="25">
        <f>IF($C678="","","AUD-2026-"&amp;TEXT(ROW()-1,"000000"))</f>
        <v/>
      </c>
      <c r="B678" s="26" t="n"/>
      <c r="C678" s="27" t="n"/>
      <c r="D678" s="25">
        <f>IF($C678="","",IFERROR(IF(INDEX(Roster!$A:$A,MATCH($C678,Roster!$B:$B,0))="","",INDEX(Roster!$A:$A,MATCH($C678,Roster!$B:$B,0))&amp;""),"—"))</f>
        <v/>
      </c>
      <c r="E678" s="25">
        <f>IF($C678="","",IFERROR(IF(INDEX(Roster!$C:$C,MATCH($C678,Roster!$B:$B,0))="","",INDEX(Roster!$C:$C,MATCH($C678,Roster!$B:$B,0))&amp;""),"—"))</f>
        <v/>
      </c>
      <c r="F678" s="25">
        <f>IF($C678="","",IFERROR(IF(INDEX(Roster!$D:$D,MATCH($C678,Roster!$B:$B,0))="","",INDEX(Roster!$D:$D,MATCH($C678,Roster!$B:$B,0))&amp;""),"—"))</f>
        <v/>
      </c>
      <c r="G678" s="25">
        <f>IF($C678="","",IFERROR(IF(INDEX(Roster!$E:$E,MATCH($C678,Roster!$B:$B,0))="","",INDEX(Roster!$E:$E,MATCH($C678,Roster!$B:$B,0))&amp;""),"—"))</f>
        <v/>
      </c>
      <c r="H678" s="25">
        <f>IF($C678="","",IFERROR(IF(INDEX(Roster!$F:$F,MATCH($C678,Roster!$B:$B,0))="","",INDEX(Roster!$F:$F,MATCH($C678,Roster!$B:$B,0))&amp;""),"—"))</f>
        <v/>
      </c>
      <c r="I678" s="25">
        <f>IF($C678="","",IFERROR(IF(INDEX(Roster!$G:$G,MATCH($C678,Roster!$B:$B,0))="","",INDEX(Roster!$G:$G,MATCH($C678,Roster!$B:$B,0))&amp;""),"—"))</f>
        <v/>
      </c>
      <c r="J678" s="25">
        <f>IF($C678="","",IFERROR(IF(INDEX(Roster!$I:$I,MATCH($C678,Roster!$B:$B,0))="","",INDEX(Roster!$I:$I,MATCH($C678,Roster!$B:$B,0))&amp;""),"—"))</f>
        <v/>
      </c>
      <c r="K678">
        <f>IF($C678="","",IFERROR(IF(INDEX(Roster!$J:$J,MATCH($C678,Roster!$B:$B,0))="","",INDEX(Roster!$J:$J,MATCH($C678,Roster!$B:$B,0))&amp;""),"—"))</f>
        <v/>
      </c>
      <c r="L678">
        <f>IF($C678="","",IFERROR(IF(INDEX(Roster!$K:$K,MATCH($C678,Roster!$B:$B,0))="","",INDEX(Roster!$K:$K,MATCH($C678,Roster!$B:$B,0))&amp;""),"—"))</f>
        <v/>
      </c>
      <c r="M678" s="27" t="n"/>
      <c r="N678" s="27" t="n"/>
      <c r="O678" s="25">
        <f>IF($C678="","",IF($P678="","—",IF($P678="Valid (Pass)","Valid","Invalid")))</f>
        <v/>
      </c>
      <c r="P678" s="27" t="n"/>
      <c r="Q678" s="27" t="n"/>
      <c r="R678" s="27" t="n"/>
      <c r="S678" s="27" t="n"/>
      <c r="T678" s="25">
        <f>IF($C678="","",IF(OR(ISNUMBER(SEARCH("quick case",$P678)),ISNUMBER(SEARCH("quick case",$Q678))),"Yes","No"))</f>
        <v/>
      </c>
      <c r="U678" s="25">
        <f>IF($O678="Invalid",HYPERLINK("mailto:"&amp;$G678&amp;";"&amp;$I678&amp;"?cc="&amp;Lists!$E$2&amp;"&amp;subject="&amp;_xlfn.ENCODEURL("[INVALID] Quality audit monitoring completed for "&amp;UPPER($C678))&amp;"&amp;body="&amp;_xlfn.ENCODEURL("Hi "&amp;$F678&amp;","&amp;CHAR(10)&amp;"Good day!"&amp;CHAR(10)&amp;CHAR(10)&amp;"A quality monitoring audit has been completed for "&amp;$C678&amp;"."&amp;CHAR(10)&amp;CHAR(10)&amp;"QUALITY AUDIT DETAILS"&amp;CHAR(10)&amp;"Agent Name: "&amp;$C678&amp;" (EID "&amp;$D678&amp;")"&amp;CHAR(10)&amp;"Audit Date: "&amp;TEXT($B678,"yyyy-mm-dd")&amp;CHAR(10)&amp;"Team Leader: "&amp;$F678&amp;CHAR(10)&amp;"Case Number: "&amp;$M678&amp;CHAR(10)&amp;"Transaction ID: "&amp;$N678&amp;CHAR(10)&amp;"Channel / LOB: "&amp;$K678&amp;" / "&amp;$L678&amp;CHAR(10)&amp;"Evaluator: "&amp;$S678&amp;CHAR(10)&amp;CHAR(10)&amp;"INVALID QUALITY AUDIT DETAILS"&amp;CHAR(10)&amp;"Validation: Invalid"&amp;CHAR(10)&amp;"Invalid Reason: "&amp;$P678&amp;CHAR(10)&amp;"Expected Resolution Code: "&amp;$Q678&amp;CHAR(10)&amp;"Remarks: "&amp;LEFT($R678,600)&amp;CHAR(10)&amp;CHAR(10)&amp;"This is an automated notification from HP Mainstream EQMS."),"✉ Open Email Draft"),"")</f>
        <v/>
      </c>
    </row>
    <row r="679">
      <c r="A679" s="25">
        <f>IF($C679="","","AUD-2026-"&amp;TEXT(ROW()-1,"000000"))</f>
        <v/>
      </c>
      <c r="B679" s="26" t="n"/>
      <c r="C679" s="27" t="n"/>
      <c r="D679" s="25">
        <f>IF($C679="","",IFERROR(IF(INDEX(Roster!$A:$A,MATCH($C679,Roster!$B:$B,0))="","",INDEX(Roster!$A:$A,MATCH($C679,Roster!$B:$B,0))&amp;""),"—"))</f>
        <v/>
      </c>
      <c r="E679" s="25">
        <f>IF($C679="","",IFERROR(IF(INDEX(Roster!$C:$C,MATCH($C679,Roster!$B:$B,0))="","",INDEX(Roster!$C:$C,MATCH($C679,Roster!$B:$B,0))&amp;""),"—"))</f>
        <v/>
      </c>
      <c r="F679" s="25">
        <f>IF($C679="","",IFERROR(IF(INDEX(Roster!$D:$D,MATCH($C679,Roster!$B:$B,0))="","",INDEX(Roster!$D:$D,MATCH($C679,Roster!$B:$B,0))&amp;""),"—"))</f>
        <v/>
      </c>
      <c r="G679" s="25">
        <f>IF($C679="","",IFERROR(IF(INDEX(Roster!$E:$E,MATCH($C679,Roster!$B:$B,0))="","",INDEX(Roster!$E:$E,MATCH($C679,Roster!$B:$B,0))&amp;""),"—"))</f>
        <v/>
      </c>
      <c r="H679" s="25">
        <f>IF($C679="","",IFERROR(IF(INDEX(Roster!$F:$F,MATCH($C679,Roster!$B:$B,0))="","",INDEX(Roster!$F:$F,MATCH($C679,Roster!$B:$B,0))&amp;""),"—"))</f>
        <v/>
      </c>
      <c r="I679" s="25">
        <f>IF($C679="","",IFERROR(IF(INDEX(Roster!$G:$G,MATCH($C679,Roster!$B:$B,0))="","",INDEX(Roster!$G:$G,MATCH($C679,Roster!$B:$B,0))&amp;""),"—"))</f>
        <v/>
      </c>
      <c r="J679" s="25">
        <f>IF($C679="","",IFERROR(IF(INDEX(Roster!$I:$I,MATCH($C679,Roster!$B:$B,0))="","",INDEX(Roster!$I:$I,MATCH($C679,Roster!$B:$B,0))&amp;""),"—"))</f>
        <v/>
      </c>
      <c r="K679">
        <f>IF($C679="","",IFERROR(IF(INDEX(Roster!$J:$J,MATCH($C679,Roster!$B:$B,0))="","",INDEX(Roster!$J:$J,MATCH($C679,Roster!$B:$B,0))&amp;""),"—"))</f>
        <v/>
      </c>
      <c r="L679">
        <f>IF($C679="","",IFERROR(IF(INDEX(Roster!$K:$K,MATCH($C679,Roster!$B:$B,0))="","",INDEX(Roster!$K:$K,MATCH($C679,Roster!$B:$B,0))&amp;""),"—"))</f>
        <v/>
      </c>
      <c r="M679" s="27" t="n"/>
      <c r="N679" s="27" t="n"/>
      <c r="O679" s="25">
        <f>IF($C679="","",IF($P679="","—",IF($P679="Valid (Pass)","Valid","Invalid")))</f>
        <v/>
      </c>
      <c r="P679" s="27" t="n"/>
      <c r="Q679" s="27" t="n"/>
      <c r="R679" s="27" t="n"/>
      <c r="S679" s="27" t="n"/>
      <c r="T679" s="25">
        <f>IF($C679="","",IF(OR(ISNUMBER(SEARCH("quick case",$P679)),ISNUMBER(SEARCH("quick case",$Q679))),"Yes","No"))</f>
        <v/>
      </c>
      <c r="U679" s="25">
        <f>IF($O679="Invalid",HYPERLINK("mailto:"&amp;$G679&amp;";"&amp;$I679&amp;"?cc="&amp;Lists!$E$2&amp;"&amp;subject="&amp;_xlfn.ENCODEURL("[INVALID] Quality audit monitoring completed for "&amp;UPPER($C679))&amp;"&amp;body="&amp;_xlfn.ENCODEURL("Hi "&amp;$F679&amp;","&amp;CHAR(10)&amp;"Good day!"&amp;CHAR(10)&amp;CHAR(10)&amp;"A quality monitoring audit has been completed for "&amp;$C679&amp;"."&amp;CHAR(10)&amp;CHAR(10)&amp;"QUALITY AUDIT DETAILS"&amp;CHAR(10)&amp;"Agent Name: "&amp;$C679&amp;" (EID "&amp;$D679&amp;")"&amp;CHAR(10)&amp;"Audit Date: "&amp;TEXT($B679,"yyyy-mm-dd")&amp;CHAR(10)&amp;"Team Leader: "&amp;$F679&amp;CHAR(10)&amp;"Case Number: "&amp;$M679&amp;CHAR(10)&amp;"Transaction ID: "&amp;$N679&amp;CHAR(10)&amp;"Channel / LOB: "&amp;$K679&amp;" / "&amp;$L679&amp;CHAR(10)&amp;"Evaluator: "&amp;$S679&amp;CHAR(10)&amp;CHAR(10)&amp;"INVALID QUALITY AUDIT DETAILS"&amp;CHAR(10)&amp;"Validation: Invalid"&amp;CHAR(10)&amp;"Invalid Reason: "&amp;$P679&amp;CHAR(10)&amp;"Expected Resolution Code: "&amp;$Q679&amp;CHAR(10)&amp;"Remarks: "&amp;LEFT($R679,600)&amp;CHAR(10)&amp;CHAR(10)&amp;"This is an automated notification from HP Mainstream EQMS."),"✉ Open Email Draft"),"")</f>
        <v/>
      </c>
    </row>
    <row r="680">
      <c r="A680" s="25">
        <f>IF($C680="","","AUD-2026-"&amp;TEXT(ROW()-1,"000000"))</f>
        <v/>
      </c>
      <c r="B680" s="26" t="n"/>
      <c r="C680" s="27" t="n"/>
      <c r="D680" s="25">
        <f>IF($C680="","",IFERROR(IF(INDEX(Roster!$A:$A,MATCH($C680,Roster!$B:$B,0))="","",INDEX(Roster!$A:$A,MATCH($C680,Roster!$B:$B,0))&amp;""),"—"))</f>
        <v/>
      </c>
      <c r="E680" s="25">
        <f>IF($C680="","",IFERROR(IF(INDEX(Roster!$C:$C,MATCH($C680,Roster!$B:$B,0))="","",INDEX(Roster!$C:$C,MATCH($C680,Roster!$B:$B,0))&amp;""),"—"))</f>
        <v/>
      </c>
      <c r="F680" s="25">
        <f>IF($C680="","",IFERROR(IF(INDEX(Roster!$D:$D,MATCH($C680,Roster!$B:$B,0))="","",INDEX(Roster!$D:$D,MATCH($C680,Roster!$B:$B,0))&amp;""),"—"))</f>
        <v/>
      </c>
      <c r="G680" s="25">
        <f>IF($C680="","",IFERROR(IF(INDEX(Roster!$E:$E,MATCH($C680,Roster!$B:$B,0))="","",INDEX(Roster!$E:$E,MATCH($C680,Roster!$B:$B,0))&amp;""),"—"))</f>
        <v/>
      </c>
      <c r="H680" s="25">
        <f>IF($C680="","",IFERROR(IF(INDEX(Roster!$F:$F,MATCH($C680,Roster!$B:$B,0))="","",INDEX(Roster!$F:$F,MATCH($C680,Roster!$B:$B,0))&amp;""),"—"))</f>
        <v/>
      </c>
      <c r="I680" s="25">
        <f>IF($C680="","",IFERROR(IF(INDEX(Roster!$G:$G,MATCH($C680,Roster!$B:$B,0))="","",INDEX(Roster!$G:$G,MATCH($C680,Roster!$B:$B,0))&amp;""),"—"))</f>
        <v/>
      </c>
      <c r="J680" s="25">
        <f>IF($C680="","",IFERROR(IF(INDEX(Roster!$I:$I,MATCH($C680,Roster!$B:$B,0))="","",INDEX(Roster!$I:$I,MATCH($C680,Roster!$B:$B,0))&amp;""),"—"))</f>
        <v/>
      </c>
      <c r="K680">
        <f>IF($C680="","",IFERROR(IF(INDEX(Roster!$J:$J,MATCH($C680,Roster!$B:$B,0))="","",INDEX(Roster!$J:$J,MATCH($C680,Roster!$B:$B,0))&amp;""),"—"))</f>
        <v/>
      </c>
      <c r="L680">
        <f>IF($C680="","",IFERROR(IF(INDEX(Roster!$K:$K,MATCH($C680,Roster!$B:$B,0))="","",INDEX(Roster!$K:$K,MATCH($C680,Roster!$B:$B,0))&amp;""),"—"))</f>
        <v/>
      </c>
      <c r="M680" s="27" t="n"/>
      <c r="N680" s="27" t="n"/>
      <c r="O680" s="25">
        <f>IF($C680="","",IF($P680="","—",IF($P680="Valid (Pass)","Valid","Invalid")))</f>
        <v/>
      </c>
      <c r="P680" s="27" t="n"/>
      <c r="Q680" s="27" t="n"/>
      <c r="R680" s="27" t="n"/>
      <c r="S680" s="27" t="n"/>
      <c r="T680" s="25">
        <f>IF($C680="","",IF(OR(ISNUMBER(SEARCH("quick case",$P680)),ISNUMBER(SEARCH("quick case",$Q680))),"Yes","No"))</f>
        <v/>
      </c>
      <c r="U680" s="25">
        <f>IF($O680="Invalid",HYPERLINK("mailto:"&amp;$G680&amp;";"&amp;$I680&amp;"?cc="&amp;Lists!$E$2&amp;"&amp;subject="&amp;_xlfn.ENCODEURL("[INVALID] Quality audit monitoring completed for "&amp;UPPER($C680))&amp;"&amp;body="&amp;_xlfn.ENCODEURL("Hi "&amp;$F680&amp;","&amp;CHAR(10)&amp;"Good day!"&amp;CHAR(10)&amp;CHAR(10)&amp;"A quality monitoring audit has been completed for "&amp;$C680&amp;"."&amp;CHAR(10)&amp;CHAR(10)&amp;"QUALITY AUDIT DETAILS"&amp;CHAR(10)&amp;"Agent Name: "&amp;$C680&amp;" (EID "&amp;$D680&amp;")"&amp;CHAR(10)&amp;"Audit Date: "&amp;TEXT($B680,"yyyy-mm-dd")&amp;CHAR(10)&amp;"Team Leader: "&amp;$F680&amp;CHAR(10)&amp;"Case Number: "&amp;$M680&amp;CHAR(10)&amp;"Transaction ID: "&amp;$N680&amp;CHAR(10)&amp;"Channel / LOB: "&amp;$K680&amp;" / "&amp;$L680&amp;CHAR(10)&amp;"Evaluator: "&amp;$S680&amp;CHAR(10)&amp;CHAR(10)&amp;"INVALID QUALITY AUDIT DETAILS"&amp;CHAR(10)&amp;"Validation: Invalid"&amp;CHAR(10)&amp;"Invalid Reason: "&amp;$P680&amp;CHAR(10)&amp;"Expected Resolution Code: "&amp;$Q680&amp;CHAR(10)&amp;"Remarks: "&amp;LEFT($R680,600)&amp;CHAR(10)&amp;CHAR(10)&amp;"This is an automated notification from HP Mainstream EQMS."),"✉ Open Email Draft"),"")</f>
        <v/>
      </c>
    </row>
    <row r="681">
      <c r="A681" s="25">
        <f>IF($C681="","","AUD-2026-"&amp;TEXT(ROW()-1,"000000"))</f>
        <v/>
      </c>
      <c r="B681" s="26" t="n"/>
      <c r="C681" s="27" t="n"/>
      <c r="D681" s="25">
        <f>IF($C681="","",IFERROR(IF(INDEX(Roster!$A:$A,MATCH($C681,Roster!$B:$B,0))="","",INDEX(Roster!$A:$A,MATCH($C681,Roster!$B:$B,0))&amp;""),"—"))</f>
        <v/>
      </c>
      <c r="E681" s="25">
        <f>IF($C681="","",IFERROR(IF(INDEX(Roster!$C:$C,MATCH($C681,Roster!$B:$B,0))="","",INDEX(Roster!$C:$C,MATCH($C681,Roster!$B:$B,0))&amp;""),"—"))</f>
        <v/>
      </c>
      <c r="F681" s="25">
        <f>IF($C681="","",IFERROR(IF(INDEX(Roster!$D:$D,MATCH($C681,Roster!$B:$B,0))="","",INDEX(Roster!$D:$D,MATCH($C681,Roster!$B:$B,0))&amp;""),"—"))</f>
        <v/>
      </c>
      <c r="G681" s="25">
        <f>IF($C681="","",IFERROR(IF(INDEX(Roster!$E:$E,MATCH($C681,Roster!$B:$B,0))="","",INDEX(Roster!$E:$E,MATCH($C681,Roster!$B:$B,0))&amp;""),"—"))</f>
        <v/>
      </c>
      <c r="H681" s="25">
        <f>IF($C681="","",IFERROR(IF(INDEX(Roster!$F:$F,MATCH($C681,Roster!$B:$B,0))="","",INDEX(Roster!$F:$F,MATCH($C681,Roster!$B:$B,0))&amp;""),"—"))</f>
        <v/>
      </c>
      <c r="I681" s="25">
        <f>IF($C681="","",IFERROR(IF(INDEX(Roster!$G:$G,MATCH($C681,Roster!$B:$B,0))="","",INDEX(Roster!$G:$G,MATCH($C681,Roster!$B:$B,0))&amp;""),"—"))</f>
        <v/>
      </c>
      <c r="J681" s="25">
        <f>IF($C681="","",IFERROR(IF(INDEX(Roster!$I:$I,MATCH($C681,Roster!$B:$B,0))="","",INDEX(Roster!$I:$I,MATCH($C681,Roster!$B:$B,0))&amp;""),"—"))</f>
        <v/>
      </c>
      <c r="K681">
        <f>IF($C681="","",IFERROR(IF(INDEX(Roster!$J:$J,MATCH($C681,Roster!$B:$B,0))="","",INDEX(Roster!$J:$J,MATCH($C681,Roster!$B:$B,0))&amp;""),"—"))</f>
        <v/>
      </c>
      <c r="L681">
        <f>IF($C681="","",IFERROR(IF(INDEX(Roster!$K:$K,MATCH($C681,Roster!$B:$B,0))="","",INDEX(Roster!$K:$K,MATCH($C681,Roster!$B:$B,0))&amp;""),"—"))</f>
        <v/>
      </c>
      <c r="M681" s="27" t="n"/>
      <c r="N681" s="27" t="n"/>
      <c r="O681" s="25">
        <f>IF($C681="","",IF($P681="","—",IF($P681="Valid (Pass)","Valid","Invalid")))</f>
        <v/>
      </c>
      <c r="P681" s="27" t="n"/>
      <c r="Q681" s="27" t="n"/>
      <c r="R681" s="27" t="n"/>
      <c r="S681" s="27" t="n"/>
      <c r="T681" s="25">
        <f>IF($C681="","",IF(OR(ISNUMBER(SEARCH("quick case",$P681)),ISNUMBER(SEARCH("quick case",$Q681))),"Yes","No"))</f>
        <v/>
      </c>
      <c r="U681" s="25">
        <f>IF($O681="Invalid",HYPERLINK("mailto:"&amp;$G681&amp;";"&amp;$I681&amp;"?cc="&amp;Lists!$E$2&amp;"&amp;subject="&amp;_xlfn.ENCODEURL("[INVALID] Quality audit monitoring completed for "&amp;UPPER($C681))&amp;"&amp;body="&amp;_xlfn.ENCODEURL("Hi "&amp;$F681&amp;","&amp;CHAR(10)&amp;"Good day!"&amp;CHAR(10)&amp;CHAR(10)&amp;"A quality monitoring audit has been completed for "&amp;$C681&amp;"."&amp;CHAR(10)&amp;CHAR(10)&amp;"QUALITY AUDIT DETAILS"&amp;CHAR(10)&amp;"Agent Name: "&amp;$C681&amp;" (EID "&amp;$D681&amp;")"&amp;CHAR(10)&amp;"Audit Date: "&amp;TEXT($B681,"yyyy-mm-dd")&amp;CHAR(10)&amp;"Team Leader: "&amp;$F681&amp;CHAR(10)&amp;"Case Number: "&amp;$M681&amp;CHAR(10)&amp;"Transaction ID: "&amp;$N681&amp;CHAR(10)&amp;"Channel / LOB: "&amp;$K681&amp;" / "&amp;$L681&amp;CHAR(10)&amp;"Evaluator: "&amp;$S681&amp;CHAR(10)&amp;CHAR(10)&amp;"INVALID QUALITY AUDIT DETAILS"&amp;CHAR(10)&amp;"Validation: Invalid"&amp;CHAR(10)&amp;"Invalid Reason: "&amp;$P681&amp;CHAR(10)&amp;"Expected Resolution Code: "&amp;$Q681&amp;CHAR(10)&amp;"Remarks: "&amp;LEFT($R681,600)&amp;CHAR(10)&amp;CHAR(10)&amp;"This is an automated notification from HP Mainstream EQMS."),"✉ Open Email Draft"),"")</f>
        <v/>
      </c>
    </row>
    <row r="682">
      <c r="A682" s="25">
        <f>IF($C682="","","AUD-2026-"&amp;TEXT(ROW()-1,"000000"))</f>
        <v/>
      </c>
      <c r="B682" s="26" t="n"/>
      <c r="C682" s="27" t="n"/>
      <c r="D682" s="25">
        <f>IF($C682="","",IFERROR(IF(INDEX(Roster!$A:$A,MATCH($C682,Roster!$B:$B,0))="","",INDEX(Roster!$A:$A,MATCH($C682,Roster!$B:$B,0))&amp;""),"—"))</f>
        <v/>
      </c>
      <c r="E682" s="25">
        <f>IF($C682="","",IFERROR(IF(INDEX(Roster!$C:$C,MATCH($C682,Roster!$B:$B,0))="","",INDEX(Roster!$C:$C,MATCH($C682,Roster!$B:$B,0))&amp;""),"—"))</f>
        <v/>
      </c>
      <c r="F682" s="25">
        <f>IF($C682="","",IFERROR(IF(INDEX(Roster!$D:$D,MATCH($C682,Roster!$B:$B,0))="","",INDEX(Roster!$D:$D,MATCH($C682,Roster!$B:$B,0))&amp;""),"—"))</f>
        <v/>
      </c>
      <c r="G682" s="25">
        <f>IF($C682="","",IFERROR(IF(INDEX(Roster!$E:$E,MATCH($C682,Roster!$B:$B,0))="","",INDEX(Roster!$E:$E,MATCH($C682,Roster!$B:$B,0))&amp;""),"—"))</f>
        <v/>
      </c>
      <c r="H682" s="25">
        <f>IF($C682="","",IFERROR(IF(INDEX(Roster!$F:$F,MATCH($C682,Roster!$B:$B,0))="","",INDEX(Roster!$F:$F,MATCH($C682,Roster!$B:$B,0))&amp;""),"—"))</f>
        <v/>
      </c>
      <c r="I682" s="25">
        <f>IF($C682="","",IFERROR(IF(INDEX(Roster!$G:$G,MATCH($C682,Roster!$B:$B,0))="","",INDEX(Roster!$G:$G,MATCH($C682,Roster!$B:$B,0))&amp;""),"—"))</f>
        <v/>
      </c>
      <c r="J682" s="25">
        <f>IF($C682="","",IFERROR(IF(INDEX(Roster!$I:$I,MATCH($C682,Roster!$B:$B,0))="","",INDEX(Roster!$I:$I,MATCH($C682,Roster!$B:$B,0))&amp;""),"—"))</f>
        <v/>
      </c>
      <c r="K682">
        <f>IF($C682="","",IFERROR(IF(INDEX(Roster!$J:$J,MATCH($C682,Roster!$B:$B,0))="","",INDEX(Roster!$J:$J,MATCH($C682,Roster!$B:$B,0))&amp;""),"—"))</f>
        <v/>
      </c>
      <c r="L682">
        <f>IF($C682="","",IFERROR(IF(INDEX(Roster!$K:$K,MATCH($C682,Roster!$B:$B,0))="","",INDEX(Roster!$K:$K,MATCH($C682,Roster!$B:$B,0))&amp;""),"—"))</f>
        <v/>
      </c>
      <c r="M682" s="27" t="n"/>
      <c r="N682" s="27" t="n"/>
      <c r="O682" s="25">
        <f>IF($C682="","",IF($P682="","—",IF($P682="Valid (Pass)","Valid","Invalid")))</f>
        <v/>
      </c>
      <c r="P682" s="27" t="n"/>
      <c r="Q682" s="27" t="n"/>
      <c r="R682" s="27" t="n"/>
      <c r="S682" s="27" t="n"/>
      <c r="T682" s="25">
        <f>IF($C682="","",IF(OR(ISNUMBER(SEARCH("quick case",$P682)),ISNUMBER(SEARCH("quick case",$Q682))),"Yes","No"))</f>
        <v/>
      </c>
      <c r="U682" s="25">
        <f>IF($O682="Invalid",HYPERLINK("mailto:"&amp;$G682&amp;";"&amp;$I682&amp;"?cc="&amp;Lists!$E$2&amp;"&amp;subject="&amp;_xlfn.ENCODEURL("[INVALID] Quality audit monitoring completed for "&amp;UPPER($C682))&amp;"&amp;body="&amp;_xlfn.ENCODEURL("Hi "&amp;$F682&amp;","&amp;CHAR(10)&amp;"Good day!"&amp;CHAR(10)&amp;CHAR(10)&amp;"A quality monitoring audit has been completed for "&amp;$C682&amp;"."&amp;CHAR(10)&amp;CHAR(10)&amp;"QUALITY AUDIT DETAILS"&amp;CHAR(10)&amp;"Agent Name: "&amp;$C682&amp;" (EID "&amp;$D682&amp;")"&amp;CHAR(10)&amp;"Audit Date: "&amp;TEXT($B682,"yyyy-mm-dd")&amp;CHAR(10)&amp;"Team Leader: "&amp;$F682&amp;CHAR(10)&amp;"Case Number: "&amp;$M682&amp;CHAR(10)&amp;"Transaction ID: "&amp;$N682&amp;CHAR(10)&amp;"Channel / LOB: "&amp;$K682&amp;" / "&amp;$L682&amp;CHAR(10)&amp;"Evaluator: "&amp;$S682&amp;CHAR(10)&amp;CHAR(10)&amp;"INVALID QUALITY AUDIT DETAILS"&amp;CHAR(10)&amp;"Validation: Invalid"&amp;CHAR(10)&amp;"Invalid Reason: "&amp;$P682&amp;CHAR(10)&amp;"Expected Resolution Code: "&amp;$Q682&amp;CHAR(10)&amp;"Remarks: "&amp;LEFT($R682,600)&amp;CHAR(10)&amp;CHAR(10)&amp;"This is an automated notification from HP Mainstream EQMS."),"✉ Open Email Draft"),"")</f>
        <v/>
      </c>
    </row>
    <row r="683">
      <c r="A683" s="25">
        <f>IF($C683="","","AUD-2026-"&amp;TEXT(ROW()-1,"000000"))</f>
        <v/>
      </c>
      <c r="B683" s="26" t="n"/>
      <c r="C683" s="27" t="n"/>
      <c r="D683" s="25">
        <f>IF($C683="","",IFERROR(IF(INDEX(Roster!$A:$A,MATCH($C683,Roster!$B:$B,0))="","",INDEX(Roster!$A:$A,MATCH($C683,Roster!$B:$B,0))&amp;""),"—"))</f>
        <v/>
      </c>
      <c r="E683" s="25">
        <f>IF($C683="","",IFERROR(IF(INDEX(Roster!$C:$C,MATCH($C683,Roster!$B:$B,0))="","",INDEX(Roster!$C:$C,MATCH($C683,Roster!$B:$B,0))&amp;""),"—"))</f>
        <v/>
      </c>
      <c r="F683" s="25">
        <f>IF($C683="","",IFERROR(IF(INDEX(Roster!$D:$D,MATCH($C683,Roster!$B:$B,0))="","",INDEX(Roster!$D:$D,MATCH($C683,Roster!$B:$B,0))&amp;""),"—"))</f>
        <v/>
      </c>
      <c r="G683" s="25">
        <f>IF($C683="","",IFERROR(IF(INDEX(Roster!$E:$E,MATCH($C683,Roster!$B:$B,0))="","",INDEX(Roster!$E:$E,MATCH($C683,Roster!$B:$B,0))&amp;""),"—"))</f>
        <v/>
      </c>
      <c r="H683" s="25">
        <f>IF($C683="","",IFERROR(IF(INDEX(Roster!$F:$F,MATCH($C683,Roster!$B:$B,0))="","",INDEX(Roster!$F:$F,MATCH($C683,Roster!$B:$B,0))&amp;""),"—"))</f>
        <v/>
      </c>
      <c r="I683" s="25">
        <f>IF($C683="","",IFERROR(IF(INDEX(Roster!$G:$G,MATCH($C683,Roster!$B:$B,0))="","",INDEX(Roster!$G:$G,MATCH($C683,Roster!$B:$B,0))&amp;""),"—"))</f>
        <v/>
      </c>
      <c r="J683" s="25">
        <f>IF($C683="","",IFERROR(IF(INDEX(Roster!$I:$I,MATCH($C683,Roster!$B:$B,0))="","",INDEX(Roster!$I:$I,MATCH($C683,Roster!$B:$B,0))&amp;""),"—"))</f>
        <v/>
      </c>
      <c r="K683">
        <f>IF($C683="","",IFERROR(IF(INDEX(Roster!$J:$J,MATCH($C683,Roster!$B:$B,0))="","",INDEX(Roster!$J:$J,MATCH($C683,Roster!$B:$B,0))&amp;""),"—"))</f>
        <v/>
      </c>
      <c r="L683">
        <f>IF($C683="","",IFERROR(IF(INDEX(Roster!$K:$K,MATCH($C683,Roster!$B:$B,0))="","",INDEX(Roster!$K:$K,MATCH($C683,Roster!$B:$B,0))&amp;""),"—"))</f>
        <v/>
      </c>
      <c r="M683" s="27" t="n"/>
      <c r="N683" s="27" t="n"/>
      <c r="O683" s="25">
        <f>IF($C683="","",IF($P683="","—",IF($P683="Valid (Pass)","Valid","Invalid")))</f>
        <v/>
      </c>
      <c r="P683" s="27" t="n"/>
      <c r="Q683" s="27" t="n"/>
      <c r="R683" s="27" t="n"/>
      <c r="S683" s="27" t="n"/>
      <c r="T683" s="25">
        <f>IF($C683="","",IF(OR(ISNUMBER(SEARCH("quick case",$P683)),ISNUMBER(SEARCH("quick case",$Q683))),"Yes","No"))</f>
        <v/>
      </c>
      <c r="U683" s="25">
        <f>IF($O683="Invalid",HYPERLINK("mailto:"&amp;$G683&amp;";"&amp;$I683&amp;"?cc="&amp;Lists!$E$2&amp;"&amp;subject="&amp;_xlfn.ENCODEURL("[INVALID] Quality audit monitoring completed for "&amp;UPPER($C683))&amp;"&amp;body="&amp;_xlfn.ENCODEURL("Hi "&amp;$F683&amp;","&amp;CHAR(10)&amp;"Good day!"&amp;CHAR(10)&amp;CHAR(10)&amp;"A quality monitoring audit has been completed for "&amp;$C683&amp;"."&amp;CHAR(10)&amp;CHAR(10)&amp;"QUALITY AUDIT DETAILS"&amp;CHAR(10)&amp;"Agent Name: "&amp;$C683&amp;" (EID "&amp;$D683&amp;")"&amp;CHAR(10)&amp;"Audit Date: "&amp;TEXT($B683,"yyyy-mm-dd")&amp;CHAR(10)&amp;"Team Leader: "&amp;$F683&amp;CHAR(10)&amp;"Case Number: "&amp;$M683&amp;CHAR(10)&amp;"Transaction ID: "&amp;$N683&amp;CHAR(10)&amp;"Channel / LOB: "&amp;$K683&amp;" / "&amp;$L683&amp;CHAR(10)&amp;"Evaluator: "&amp;$S683&amp;CHAR(10)&amp;CHAR(10)&amp;"INVALID QUALITY AUDIT DETAILS"&amp;CHAR(10)&amp;"Validation: Invalid"&amp;CHAR(10)&amp;"Invalid Reason: "&amp;$P683&amp;CHAR(10)&amp;"Expected Resolution Code: "&amp;$Q683&amp;CHAR(10)&amp;"Remarks: "&amp;LEFT($R683,600)&amp;CHAR(10)&amp;CHAR(10)&amp;"This is an automated notification from HP Mainstream EQMS."),"✉ Open Email Draft"),"")</f>
        <v/>
      </c>
    </row>
    <row r="684">
      <c r="A684" s="25">
        <f>IF($C684="","","AUD-2026-"&amp;TEXT(ROW()-1,"000000"))</f>
        <v/>
      </c>
      <c r="B684" s="26" t="n"/>
      <c r="C684" s="27" t="n"/>
      <c r="D684" s="25">
        <f>IF($C684="","",IFERROR(IF(INDEX(Roster!$A:$A,MATCH($C684,Roster!$B:$B,0))="","",INDEX(Roster!$A:$A,MATCH($C684,Roster!$B:$B,0))&amp;""),"—"))</f>
        <v/>
      </c>
      <c r="E684" s="25">
        <f>IF($C684="","",IFERROR(IF(INDEX(Roster!$C:$C,MATCH($C684,Roster!$B:$B,0))="","",INDEX(Roster!$C:$C,MATCH($C684,Roster!$B:$B,0))&amp;""),"—"))</f>
        <v/>
      </c>
      <c r="F684" s="25">
        <f>IF($C684="","",IFERROR(IF(INDEX(Roster!$D:$D,MATCH($C684,Roster!$B:$B,0))="","",INDEX(Roster!$D:$D,MATCH($C684,Roster!$B:$B,0))&amp;""),"—"))</f>
        <v/>
      </c>
      <c r="G684" s="25">
        <f>IF($C684="","",IFERROR(IF(INDEX(Roster!$E:$E,MATCH($C684,Roster!$B:$B,0))="","",INDEX(Roster!$E:$E,MATCH($C684,Roster!$B:$B,0))&amp;""),"—"))</f>
        <v/>
      </c>
      <c r="H684" s="25">
        <f>IF($C684="","",IFERROR(IF(INDEX(Roster!$F:$F,MATCH($C684,Roster!$B:$B,0))="","",INDEX(Roster!$F:$F,MATCH($C684,Roster!$B:$B,0))&amp;""),"—"))</f>
        <v/>
      </c>
      <c r="I684" s="25">
        <f>IF($C684="","",IFERROR(IF(INDEX(Roster!$G:$G,MATCH($C684,Roster!$B:$B,0))="","",INDEX(Roster!$G:$G,MATCH($C684,Roster!$B:$B,0))&amp;""),"—"))</f>
        <v/>
      </c>
      <c r="J684" s="25">
        <f>IF($C684="","",IFERROR(IF(INDEX(Roster!$I:$I,MATCH($C684,Roster!$B:$B,0))="","",INDEX(Roster!$I:$I,MATCH($C684,Roster!$B:$B,0))&amp;""),"—"))</f>
        <v/>
      </c>
      <c r="K684">
        <f>IF($C684="","",IFERROR(IF(INDEX(Roster!$J:$J,MATCH($C684,Roster!$B:$B,0))="","",INDEX(Roster!$J:$J,MATCH($C684,Roster!$B:$B,0))&amp;""),"—"))</f>
        <v/>
      </c>
      <c r="L684">
        <f>IF($C684="","",IFERROR(IF(INDEX(Roster!$K:$K,MATCH($C684,Roster!$B:$B,0))="","",INDEX(Roster!$K:$K,MATCH($C684,Roster!$B:$B,0))&amp;""),"—"))</f>
        <v/>
      </c>
      <c r="M684" s="27" t="n"/>
      <c r="N684" s="27" t="n"/>
      <c r="O684" s="25">
        <f>IF($C684="","",IF($P684="","—",IF($P684="Valid (Pass)","Valid","Invalid")))</f>
        <v/>
      </c>
      <c r="P684" s="27" t="n"/>
      <c r="Q684" s="27" t="n"/>
      <c r="R684" s="27" t="n"/>
      <c r="S684" s="27" t="n"/>
      <c r="T684" s="25">
        <f>IF($C684="","",IF(OR(ISNUMBER(SEARCH("quick case",$P684)),ISNUMBER(SEARCH("quick case",$Q684))),"Yes","No"))</f>
        <v/>
      </c>
      <c r="U684" s="25">
        <f>IF($O684="Invalid",HYPERLINK("mailto:"&amp;$G684&amp;";"&amp;$I684&amp;"?cc="&amp;Lists!$E$2&amp;"&amp;subject="&amp;_xlfn.ENCODEURL("[INVALID] Quality audit monitoring completed for "&amp;UPPER($C684))&amp;"&amp;body="&amp;_xlfn.ENCODEURL("Hi "&amp;$F684&amp;","&amp;CHAR(10)&amp;"Good day!"&amp;CHAR(10)&amp;CHAR(10)&amp;"A quality monitoring audit has been completed for "&amp;$C684&amp;"."&amp;CHAR(10)&amp;CHAR(10)&amp;"QUALITY AUDIT DETAILS"&amp;CHAR(10)&amp;"Agent Name: "&amp;$C684&amp;" (EID "&amp;$D684&amp;")"&amp;CHAR(10)&amp;"Audit Date: "&amp;TEXT($B684,"yyyy-mm-dd")&amp;CHAR(10)&amp;"Team Leader: "&amp;$F684&amp;CHAR(10)&amp;"Case Number: "&amp;$M684&amp;CHAR(10)&amp;"Transaction ID: "&amp;$N684&amp;CHAR(10)&amp;"Channel / LOB: "&amp;$K684&amp;" / "&amp;$L684&amp;CHAR(10)&amp;"Evaluator: "&amp;$S684&amp;CHAR(10)&amp;CHAR(10)&amp;"INVALID QUALITY AUDIT DETAILS"&amp;CHAR(10)&amp;"Validation: Invalid"&amp;CHAR(10)&amp;"Invalid Reason: "&amp;$P684&amp;CHAR(10)&amp;"Expected Resolution Code: "&amp;$Q684&amp;CHAR(10)&amp;"Remarks: "&amp;LEFT($R684,600)&amp;CHAR(10)&amp;CHAR(10)&amp;"This is an automated notification from HP Mainstream EQMS."),"✉ Open Email Draft"),"")</f>
        <v/>
      </c>
    </row>
    <row r="685">
      <c r="A685" s="25">
        <f>IF($C685="","","AUD-2026-"&amp;TEXT(ROW()-1,"000000"))</f>
        <v/>
      </c>
      <c r="B685" s="26" t="n"/>
      <c r="C685" s="27" t="n"/>
      <c r="D685" s="25">
        <f>IF($C685="","",IFERROR(IF(INDEX(Roster!$A:$A,MATCH($C685,Roster!$B:$B,0))="","",INDEX(Roster!$A:$A,MATCH($C685,Roster!$B:$B,0))&amp;""),"—"))</f>
        <v/>
      </c>
      <c r="E685" s="25">
        <f>IF($C685="","",IFERROR(IF(INDEX(Roster!$C:$C,MATCH($C685,Roster!$B:$B,0))="","",INDEX(Roster!$C:$C,MATCH($C685,Roster!$B:$B,0))&amp;""),"—"))</f>
        <v/>
      </c>
      <c r="F685" s="25">
        <f>IF($C685="","",IFERROR(IF(INDEX(Roster!$D:$D,MATCH($C685,Roster!$B:$B,0))="","",INDEX(Roster!$D:$D,MATCH($C685,Roster!$B:$B,0))&amp;""),"—"))</f>
        <v/>
      </c>
      <c r="G685" s="25">
        <f>IF($C685="","",IFERROR(IF(INDEX(Roster!$E:$E,MATCH($C685,Roster!$B:$B,0))="","",INDEX(Roster!$E:$E,MATCH($C685,Roster!$B:$B,0))&amp;""),"—"))</f>
        <v/>
      </c>
      <c r="H685" s="25">
        <f>IF($C685="","",IFERROR(IF(INDEX(Roster!$F:$F,MATCH($C685,Roster!$B:$B,0))="","",INDEX(Roster!$F:$F,MATCH($C685,Roster!$B:$B,0))&amp;""),"—"))</f>
        <v/>
      </c>
      <c r="I685" s="25">
        <f>IF($C685="","",IFERROR(IF(INDEX(Roster!$G:$G,MATCH($C685,Roster!$B:$B,0))="","",INDEX(Roster!$G:$G,MATCH($C685,Roster!$B:$B,0))&amp;""),"—"))</f>
        <v/>
      </c>
      <c r="J685" s="25">
        <f>IF($C685="","",IFERROR(IF(INDEX(Roster!$I:$I,MATCH($C685,Roster!$B:$B,0))="","",INDEX(Roster!$I:$I,MATCH($C685,Roster!$B:$B,0))&amp;""),"—"))</f>
        <v/>
      </c>
      <c r="K685">
        <f>IF($C685="","",IFERROR(IF(INDEX(Roster!$J:$J,MATCH($C685,Roster!$B:$B,0))="","",INDEX(Roster!$J:$J,MATCH($C685,Roster!$B:$B,0))&amp;""),"—"))</f>
        <v/>
      </c>
      <c r="L685">
        <f>IF($C685="","",IFERROR(IF(INDEX(Roster!$K:$K,MATCH($C685,Roster!$B:$B,0))="","",INDEX(Roster!$K:$K,MATCH($C685,Roster!$B:$B,0))&amp;""),"—"))</f>
        <v/>
      </c>
      <c r="M685" s="27" t="n"/>
      <c r="N685" s="27" t="n"/>
      <c r="O685" s="25">
        <f>IF($C685="","",IF($P685="","—",IF($P685="Valid (Pass)","Valid","Invalid")))</f>
        <v/>
      </c>
      <c r="P685" s="27" t="n"/>
      <c r="Q685" s="27" t="n"/>
      <c r="R685" s="27" t="n"/>
      <c r="S685" s="27" t="n"/>
      <c r="T685" s="25">
        <f>IF($C685="","",IF(OR(ISNUMBER(SEARCH("quick case",$P685)),ISNUMBER(SEARCH("quick case",$Q685))),"Yes","No"))</f>
        <v/>
      </c>
      <c r="U685" s="25">
        <f>IF($O685="Invalid",HYPERLINK("mailto:"&amp;$G685&amp;";"&amp;$I685&amp;"?cc="&amp;Lists!$E$2&amp;"&amp;subject="&amp;_xlfn.ENCODEURL("[INVALID] Quality audit monitoring completed for "&amp;UPPER($C685))&amp;"&amp;body="&amp;_xlfn.ENCODEURL("Hi "&amp;$F685&amp;","&amp;CHAR(10)&amp;"Good day!"&amp;CHAR(10)&amp;CHAR(10)&amp;"A quality monitoring audit has been completed for "&amp;$C685&amp;"."&amp;CHAR(10)&amp;CHAR(10)&amp;"QUALITY AUDIT DETAILS"&amp;CHAR(10)&amp;"Agent Name: "&amp;$C685&amp;" (EID "&amp;$D685&amp;")"&amp;CHAR(10)&amp;"Audit Date: "&amp;TEXT($B685,"yyyy-mm-dd")&amp;CHAR(10)&amp;"Team Leader: "&amp;$F685&amp;CHAR(10)&amp;"Case Number: "&amp;$M685&amp;CHAR(10)&amp;"Transaction ID: "&amp;$N685&amp;CHAR(10)&amp;"Channel / LOB: "&amp;$K685&amp;" / "&amp;$L685&amp;CHAR(10)&amp;"Evaluator: "&amp;$S685&amp;CHAR(10)&amp;CHAR(10)&amp;"INVALID QUALITY AUDIT DETAILS"&amp;CHAR(10)&amp;"Validation: Invalid"&amp;CHAR(10)&amp;"Invalid Reason: "&amp;$P685&amp;CHAR(10)&amp;"Expected Resolution Code: "&amp;$Q685&amp;CHAR(10)&amp;"Remarks: "&amp;LEFT($R685,600)&amp;CHAR(10)&amp;CHAR(10)&amp;"This is an automated notification from HP Mainstream EQMS."),"✉ Open Email Draft"),"")</f>
        <v/>
      </c>
    </row>
    <row r="686">
      <c r="A686" s="25">
        <f>IF($C686="","","AUD-2026-"&amp;TEXT(ROW()-1,"000000"))</f>
        <v/>
      </c>
      <c r="B686" s="26" t="n"/>
      <c r="C686" s="27" t="n"/>
      <c r="D686" s="25">
        <f>IF($C686="","",IFERROR(IF(INDEX(Roster!$A:$A,MATCH($C686,Roster!$B:$B,0))="","",INDEX(Roster!$A:$A,MATCH($C686,Roster!$B:$B,0))&amp;""),"—"))</f>
        <v/>
      </c>
      <c r="E686" s="25">
        <f>IF($C686="","",IFERROR(IF(INDEX(Roster!$C:$C,MATCH($C686,Roster!$B:$B,0))="","",INDEX(Roster!$C:$C,MATCH($C686,Roster!$B:$B,0))&amp;""),"—"))</f>
        <v/>
      </c>
      <c r="F686" s="25">
        <f>IF($C686="","",IFERROR(IF(INDEX(Roster!$D:$D,MATCH($C686,Roster!$B:$B,0))="","",INDEX(Roster!$D:$D,MATCH($C686,Roster!$B:$B,0))&amp;""),"—"))</f>
        <v/>
      </c>
      <c r="G686" s="25">
        <f>IF($C686="","",IFERROR(IF(INDEX(Roster!$E:$E,MATCH($C686,Roster!$B:$B,0))="","",INDEX(Roster!$E:$E,MATCH($C686,Roster!$B:$B,0))&amp;""),"—"))</f>
        <v/>
      </c>
      <c r="H686" s="25">
        <f>IF($C686="","",IFERROR(IF(INDEX(Roster!$F:$F,MATCH($C686,Roster!$B:$B,0))="","",INDEX(Roster!$F:$F,MATCH($C686,Roster!$B:$B,0))&amp;""),"—"))</f>
        <v/>
      </c>
      <c r="I686" s="25">
        <f>IF($C686="","",IFERROR(IF(INDEX(Roster!$G:$G,MATCH($C686,Roster!$B:$B,0))="","",INDEX(Roster!$G:$G,MATCH($C686,Roster!$B:$B,0))&amp;""),"—"))</f>
        <v/>
      </c>
      <c r="J686" s="25">
        <f>IF($C686="","",IFERROR(IF(INDEX(Roster!$I:$I,MATCH($C686,Roster!$B:$B,0))="","",INDEX(Roster!$I:$I,MATCH($C686,Roster!$B:$B,0))&amp;""),"—"))</f>
        <v/>
      </c>
      <c r="K686">
        <f>IF($C686="","",IFERROR(IF(INDEX(Roster!$J:$J,MATCH($C686,Roster!$B:$B,0))="","",INDEX(Roster!$J:$J,MATCH($C686,Roster!$B:$B,0))&amp;""),"—"))</f>
        <v/>
      </c>
      <c r="L686">
        <f>IF($C686="","",IFERROR(IF(INDEX(Roster!$K:$K,MATCH($C686,Roster!$B:$B,0))="","",INDEX(Roster!$K:$K,MATCH($C686,Roster!$B:$B,0))&amp;""),"—"))</f>
        <v/>
      </c>
      <c r="M686" s="27" t="n"/>
      <c r="N686" s="27" t="n"/>
      <c r="O686" s="25">
        <f>IF($C686="","",IF($P686="","—",IF($P686="Valid (Pass)","Valid","Invalid")))</f>
        <v/>
      </c>
      <c r="P686" s="27" t="n"/>
      <c r="Q686" s="27" t="n"/>
      <c r="R686" s="27" t="n"/>
      <c r="S686" s="27" t="n"/>
      <c r="T686" s="25">
        <f>IF($C686="","",IF(OR(ISNUMBER(SEARCH("quick case",$P686)),ISNUMBER(SEARCH("quick case",$Q686))),"Yes","No"))</f>
        <v/>
      </c>
      <c r="U686" s="25">
        <f>IF($O686="Invalid",HYPERLINK("mailto:"&amp;$G686&amp;";"&amp;$I686&amp;"?cc="&amp;Lists!$E$2&amp;"&amp;subject="&amp;_xlfn.ENCODEURL("[INVALID] Quality audit monitoring completed for "&amp;UPPER($C686))&amp;"&amp;body="&amp;_xlfn.ENCODEURL("Hi "&amp;$F686&amp;","&amp;CHAR(10)&amp;"Good day!"&amp;CHAR(10)&amp;CHAR(10)&amp;"A quality monitoring audit has been completed for "&amp;$C686&amp;"."&amp;CHAR(10)&amp;CHAR(10)&amp;"QUALITY AUDIT DETAILS"&amp;CHAR(10)&amp;"Agent Name: "&amp;$C686&amp;" (EID "&amp;$D686&amp;")"&amp;CHAR(10)&amp;"Audit Date: "&amp;TEXT($B686,"yyyy-mm-dd")&amp;CHAR(10)&amp;"Team Leader: "&amp;$F686&amp;CHAR(10)&amp;"Case Number: "&amp;$M686&amp;CHAR(10)&amp;"Transaction ID: "&amp;$N686&amp;CHAR(10)&amp;"Channel / LOB: "&amp;$K686&amp;" / "&amp;$L686&amp;CHAR(10)&amp;"Evaluator: "&amp;$S686&amp;CHAR(10)&amp;CHAR(10)&amp;"INVALID QUALITY AUDIT DETAILS"&amp;CHAR(10)&amp;"Validation: Invalid"&amp;CHAR(10)&amp;"Invalid Reason: "&amp;$P686&amp;CHAR(10)&amp;"Expected Resolution Code: "&amp;$Q686&amp;CHAR(10)&amp;"Remarks: "&amp;LEFT($R686,600)&amp;CHAR(10)&amp;CHAR(10)&amp;"This is an automated notification from HP Mainstream EQMS."),"✉ Open Email Draft"),"")</f>
        <v/>
      </c>
    </row>
    <row r="687">
      <c r="A687" s="25">
        <f>IF($C687="","","AUD-2026-"&amp;TEXT(ROW()-1,"000000"))</f>
        <v/>
      </c>
      <c r="B687" s="26" t="n"/>
      <c r="C687" s="27" t="n"/>
      <c r="D687" s="25">
        <f>IF($C687="","",IFERROR(IF(INDEX(Roster!$A:$A,MATCH($C687,Roster!$B:$B,0))="","",INDEX(Roster!$A:$A,MATCH($C687,Roster!$B:$B,0))&amp;""),"—"))</f>
        <v/>
      </c>
      <c r="E687" s="25">
        <f>IF($C687="","",IFERROR(IF(INDEX(Roster!$C:$C,MATCH($C687,Roster!$B:$B,0))="","",INDEX(Roster!$C:$C,MATCH($C687,Roster!$B:$B,0))&amp;""),"—"))</f>
        <v/>
      </c>
      <c r="F687" s="25">
        <f>IF($C687="","",IFERROR(IF(INDEX(Roster!$D:$D,MATCH($C687,Roster!$B:$B,0))="","",INDEX(Roster!$D:$D,MATCH($C687,Roster!$B:$B,0))&amp;""),"—"))</f>
        <v/>
      </c>
      <c r="G687" s="25">
        <f>IF($C687="","",IFERROR(IF(INDEX(Roster!$E:$E,MATCH($C687,Roster!$B:$B,0))="","",INDEX(Roster!$E:$E,MATCH($C687,Roster!$B:$B,0))&amp;""),"—"))</f>
        <v/>
      </c>
      <c r="H687" s="25">
        <f>IF($C687="","",IFERROR(IF(INDEX(Roster!$F:$F,MATCH($C687,Roster!$B:$B,0))="","",INDEX(Roster!$F:$F,MATCH($C687,Roster!$B:$B,0))&amp;""),"—"))</f>
        <v/>
      </c>
      <c r="I687" s="25">
        <f>IF($C687="","",IFERROR(IF(INDEX(Roster!$G:$G,MATCH($C687,Roster!$B:$B,0))="","",INDEX(Roster!$G:$G,MATCH($C687,Roster!$B:$B,0))&amp;""),"—"))</f>
        <v/>
      </c>
      <c r="J687" s="25">
        <f>IF($C687="","",IFERROR(IF(INDEX(Roster!$I:$I,MATCH($C687,Roster!$B:$B,0))="","",INDEX(Roster!$I:$I,MATCH($C687,Roster!$B:$B,0))&amp;""),"—"))</f>
        <v/>
      </c>
      <c r="K687">
        <f>IF($C687="","",IFERROR(IF(INDEX(Roster!$J:$J,MATCH($C687,Roster!$B:$B,0))="","",INDEX(Roster!$J:$J,MATCH($C687,Roster!$B:$B,0))&amp;""),"—"))</f>
        <v/>
      </c>
      <c r="L687">
        <f>IF($C687="","",IFERROR(IF(INDEX(Roster!$K:$K,MATCH($C687,Roster!$B:$B,0))="","",INDEX(Roster!$K:$K,MATCH($C687,Roster!$B:$B,0))&amp;""),"—"))</f>
        <v/>
      </c>
      <c r="M687" s="27" t="n"/>
      <c r="N687" s="27" t="n"/>
      <c r="O687" s="25">
        <f>IF($C687="","",IF($P687="","—",IF($P687="Valid (Pass)","Valid","Invalid")))</f>
        <v/>
      </c>
      <c r="P687" s="27" t="n"/>
      <c r="Q687" s="27" t="n"/>
      <c r="R687" s="27" t="n"/>
      <c r="S687" s="27" t="n"/>
      <c r="T687" s="25">
        <f>IF($C687="","",IF(OR(ISNUMBER(SEARCH("quick case",$P687)),ISNUMBER(SEARCH("quick case",$Q687))),"Yes","No"))</f>
        <v/>
      </c>
      <c r="U687" s="25">
        <f>IF($O687="Invalid",HYPERLINK("mailto:"&amp;$G687&amp;";"&amp;$I687&amp;"?cc="&amp;Lists!$E$2&amp;"&amp;subject="&amp;_xlfn.ENCODEURL("[INVALID] Quality audit monitoring completed for "&amp;UPPER($C687))&amp;"&amp;body="&amp;_xlfn.ENCODEURL("Hi "&amp;$F687&amp;","&amp;CHAR(10)&amp;"Good day!"&amp;CHAR(10)&amp;CHAR(10)&amp;"A quality monitoring audit has been completed for "&amp;$C687&amp;"."&amp;CHAR(10)&amp;CHAR(10)&amp;"QUALITY AUDIT DETAILS"&amp;CHAR(10)&amp;"Agent Name: "&amp;$C687&amp;" (EID "&amp;$D687&amp;")"&amp;CHAR(10)&amp;"Audit Date: "&amp;TEXT($B687,"yyyy-mm-dd")&amp;CHAR(10)&amp;"Team Leader: "&amp;$F687&amp;CHAR(10)&amp;"Case Number: "&amp;$M687&amp;CHAR(10)&amp;"Transaction ID: "&amp;$N687&amp;CHAR(10)&amp;"Channel / LOB: "&amp;$K687&amp;" / "&amp;$L687&amp;CHAR(10)&amp;"Evaluator: "&amp;$S687&amp;CHAR(10)&amp;CHAR(10)&amp;"INVALID QUALITY AUDIT DETAILS"&amp;CHAR(10)&amp;"Validation: Invalid"&amp;CHAR(10)&amp;"Invalid Reason: "&amp;$P687&amp;CHAR(10)&amp;"Expected Resolution Code: "&amp;$Q687&amp;CHAR(10)&amp;"Remarks: "&amp;LEFT($R687,600)&amp;CHAR(10)&amp;CHAR(10)&amp;"This is an automated notification from HP Mainstream EQMS."),"✉ Open Email Draft"),"")</f>
        <v/>
      </c>
    </row>
    <row r="688">
      <c r="A688" s="25">
        <f>IF($C688="","","AUD-2026-"&amp;TEXT(ROW()-1,"000000"))</f>
        <v/>
      </c>
      <c r="B688" s="26" t="n"/>
      <c r="C688" s="27" t="n"/>
      <c r="D688" s="25">
        <f>IF($C688="","",IFERROR(IF(INDEX(Roster!$A:$A,MATCH($C688,Roster!$B:$B,0))="","",INDEX(Roster!$A:$A,MATCH($C688,Roster!$B:$B,0))&amp;""),"—"))</f>
        <v/>
      </c>
      <c r="E688" s="25">
        <f>IF($C688="","",IFERROR(IF(INDEX(Roster!$C:$C,MATCH($C688,Roster!$B:$B,0))="","",INDEX(Roster!$C:$C,MATCH($C688,Roster!$B:$B,0))&amp;""),"—"))</f>
        <v/>
      </c>
      <c r="F688" s="25">
        <f>IF($C688="","",IFERROR(IF(INDEX(Roster!$D:$D,MATCH($C688,Roster!$B:$B,0))="","",INDEX(Roster!$D:$D,MATCH($C688,Roster!$B:$B,0))&amp;""),"—"))</f>
        <v/>
      </c>
      <c r="G688" s="25">
        <f>IF($C688="","",IFERROR(IF(INDEX(Roster!$E:$E,MATCH($C688,Roster!$B:$B,0))="","",INDEX(Roster!$E:$E,MATCH($C688,Roster!$B:$B,0))&amp;""),"—"))</f>
        <v/>
      </c>
      <c r="H688" s="25">
        <f>IF($C688="","",IFERROR(IF(INDEX(Roster!$F:$F,MATCH($C688,Roster!$B:$B,0))="","",INDEX(Roster!$F:$F,MATCH($C688,Roster!$B:$B,0))&amp;""),"—"))</f>
        <v/>
      </c>
      <c r="I688" s="25">
        <f>IF($C688="","",IFERROR(IF(INDEX(Roster!$G:$G,MATCH($C688,Roster!$B:$B,0))="","",INDEX(Roster!$G:$G,MATCH($C688,Roster!$B:$B,0))&amp;""),"—"))</f>
        <v/>
      </c>
      <c r="J688" s="25">
        <f>IF($C688="","",IFERROR(IF(INDEX(Roster!$I:$I,MATCH($C688,Roster!$B:$B,0))="","",INDEX(Roster!$I:$I,MATCH($C688,Roster!$B:$B,0))&amp;""),"—"))</f>
        <v/>
      </c>
      <c r="K688">
        <f>IF($C688="","",IFERROR(IF(INDEX(Roster!$J:$J,MATCH($C688,Roster!$B:$B,0))="","",INDEX(Roster!$J:$J,MATCH($C688,Roster!$B:$B,0))&amp;""),"—"))</f>
        <v/>
      </c>
      <c r="L688">
        <f>IF($C688="","",IFERROR(IF(INDEX(Roster!$K:$K,MATCH($C688,Roster!$B:$B,0))="","",INDEX(Roster!$K:$K,MATCH($C688,Roster!$B:$B,0))&amp;""),"—"))</f>
        <v/>
      </c>
      <c r="M688" s="27" t="n"/>
      <c r="N688" s="27" t="n"/>
      <c r="O688" s="25">
        <f>IF($C688="","",IF($P688="","—",IF($P688="Valid (Pass)","Valid","Invalid")))</f>
        <v/>
      </c>
      <c r="P688" s="27" t="n"/>
      <c r="Q688" s="27" t="n"/>
      <c r="R688" s="27" t="n"/>
      <c r="S688" s="27" t="n"/>
      <c r="T688" s="25">
        <f>IF($C688="","",IF(OR(ISNUMBER(SEARCH("quick case",$P688)),ISNUMBER(SEARCH("quick case",$Q688))),"Yes","No"))</f>
        <v/>
      </c>
      <c r="U688" s="25">
        <f>IF($O688="Invalid",HYPERLINK("mailto:"&amp;$G688&amp;";"&amp;$I688&amp;"?cc="&amp;Lists!$E$2&amp;"&amp;subject="&amp;_xlfn.ENCODEURL("[INVALID] Quality audit monitoring completed for "&amp;UPPER($C688))&amp;"&amp;body="&amp;_xlfn.ENCODEURL("Hi "&amp;$F688&amp;","&amp;CHAR(10)&amp;"Good day!"&amp;CHAR(10)&amp;CHAR(10)&amp;"A quality monitoring audit has been completed for "&amp;$C688&amp;"."&amp;CHAR(10)&amp;CHAR(10)&amp;"QUALITY AUDIT DETAILS"&amp;CHAR(10)&amp;"Agent Name: "&amp;$C688&amp;" (EID "&amp;$D688&amp;")"&amp;CHAR(10)&amp;"Audit Date: "&amp;TEXT($B688,"yyyy-mm-dd")&amp;CHAR(10)&amp;"Team Leader: "&amp;$F688&amp;CHAR(10)&amp;"Case Number: "&amp;$M688&amp;CHAR(10)&amp;"Transaction ID: "&amp;$N688&amp;CHAR(10)&amp;"Channel / LOB: "&amp;$K688&amp;" / "&amp;$L688&amp;CHAR(10)&amp;"Evaluator: "&amp;$S688&amp;CHAR(10)&amp;CHAR(10)&amp;"INVALID QUALITY AUDIT DETAILS"&amp;CHAR(10)&amp;"Validation: Invalid"&amp;CHAR(10)&amp;"Invalid Reason: "&amp;$P688&amp;CHAR(10)&amp;"Expected Resolution Code: "&amp;$Q688&amp;CHAR(10)&amp;"Remarks: "&amp;LEFT($R688,600)&amp;CHAR(10)&amp;CHAR(10)&amp;"This is an automated notification from HP Mainstream EQMS."),"✉ Open Email Draft"),"")</f>
        <v/>
      </c>
    </row>
    <row r="689">
      <c r="A689" s="25">
        <f>IF($C689="","","AUD-2026-"&amp;TEXT(ROW()-1,"000000"))</f>
        <v/>
      </c>
      <c r="B689" s="26" t="n"/>
      <c r="C689" s="27" t="n"/>
      <c r="D689" s="25">
        <f>IF($C689="","",IFERROR(IF(INDEX(Roster!$A:$A,MATCH($C689,Roster!$B:$B,0))="","",INDEX(Roster!$A:$A,MATCH($C689,Roster!$B:$B,0))&amp;""),"—"))</f>
        <v/>
      </c>
      <c r="E689" s="25">
        <f>IF($C689="","",IFERROR(IF(INDEX(Roster!$C:$C,MATCH($C689,Roster!$B:$B,0))="","",INDEX(Roster!$C:$C,MATCH($C689,Roster!$B:$B,0))&amp;""),"—"))</f>
        <v/>
      </c>
      <c r="F689" s="25">
        <f>IF($C689="","",IFERROR(IF(INDEX(Roster!$D:$D,MATCH($C689,Roster!$B:$B,0))="","",INDEX(Roster!$D:$D,MATCH($C689,Roster!$B:$B,0))&amp;""),"—"))</f>
        <v/>
      </c>
      <c r="G689" s="25">
        <f>IF($C689="","",IFERROR(IF(INDEX(Roster!$E:$E,MATCH($C689,Roster!$B:$B,0))="","",INDEX(Roster!$E:$E,MATCH($C689,Roster!$B:$B,0))&amp;""),"—"))</f>
        <v/>
      </c>
      <c r="H689" s="25">
        <f>IF($C689="","",IFERROR(IF(INDEX(Roster!$F:$F,MATCH($C689,Roster!$B:$B,0))="","",INDEX(Roster!$F:$F,MATCH($C689,Roster!$B:$B,0))&amp;""),"—"))</f>
        <v/>
      </c>
      <c r="I689" s="25">
        <f>IF($C689="","",IFERROR(IF(INDEX(Roster!$G:$G,MATCH($C689,Roster!$B:$B,0))="","",INDEX(Roster!$G:$G,MATCH($C689,Roster!$B:$B,0))&amp;""),"—"))</f>
        <v/>
      </c>
      <c r="J689" s="25">
        <f>IF($C689="","",IFERROR(IF(INDEX(Roster!$I:$I,MATCH($C689,Roster!$B:$B,0))="","",INDEX(Roster!$I:$I,MATCH($C689,Roster!$B:$B,0))&amp;""),"—"))</f>
        <v/>
      </c>
      <c r="K689">
        <f>IF($C689="","",IFERROR(IF(INDEX(Roster!$J:$J,MATCH($C689,Roster!$B:$B,0))="","",INDEX(Roster!$J:$J,MATCH($C689,Roster!$B:$B,0))&amp;""),"—"))</f>
        <v/>
      </c>
      <c r="L689">
        <f>IF($C689="","",IFERROR(IF(INDEX(Roster!$K:$K,MATCH($C689,Roster!$B:$B,0))="","",INDEX(Roster!$K:$K,MATCH($C689,Roster!$B:$B,0))&amp;""),"—"))</f>
        <v/>
      </c>
      <c r="M689" s="27" t="n"/>
      <c r="N689" s="27" t="n"/>
      <c r="O689" s="25">
        <f>IF($C689="","",IF($P689="","—",IF($P689="Valid (Pass)","Valid","Invalid")))</f>
        <v/>
      </c>
      <c r="P689" s="27" t="n"/>
      <c r="Q689" s="27" t="n"/>
      <c r="R689" s="27" t="n"/>
      <c r="S689" s="27" t="n"/>
      <c r="T689" s="25">
        <f>IF($C689="","",IF(OR(ISNUMBER(SEARCH("quick case",$P689)),ISNUMBER(SEARCH("quick case",$Q689))),"Yes","No"))</f>
        <v/>
      </c>
      <c r="U689" s="25">
        <f>IF($O689="Invalid",HYPERLINK("mailto:"&amp;$G689&amp;";"&amp;$I689&amp;"?cc="&amp;Lists!$E$2&amp;"&amp;subject="&amp;_xlfn.ENCODEURL("[INVALID] Quality audit monitoring completed for "&amp;UPPER($C689))&amp;"&amp;body="&amp;_xlfn.ENCODEURL("Hi "&amp;$F689&amp;","&amp;CHAR(10)&amp;"Good day!"&amp;CHAR(10)&amp;CHAR(10)&amp;"A quality monitoring audit has been completed for "&amp;$C689&amp;"."&amp;CHAR(10)&amp;CHAR(10)&amp;"QUALITY AUDIT DETAILS"&amp;CHAR(10)&amp;"Agent Name: "&amp;$C689&amp;" (EID "&amp;$D689&amp;")"&amp;CHAR(10)&amp;"Audit Date: "&amp;TEXT($B689,"yyyy-mm-dd")&amp;CHAR(10)&amp;"Team Leader: "&amp;$F689&amp;CHAR(10)&amp;"Case Number: "&amp;$M689&amp;CHAR(10)&amp;"Transaction ID: "&amp;$N689&amp;CHAR(10)&amp;"Channel / LOB: "&amp;$K689&amp;" / "&amp;$L689&amp;CHAR(10)&amp;"Evaluator: "&amp;$S689&amp;CHAR(10)&amp;CHAR(10)&amp;"INVALID QUALITY AUDIT DETAILS"&amp;CHAR(10)&amp;"Validation: Invalid"&amp;CHAR(10)&amp;"Invalid Reason: "&amp;$P689&amp;CHAR(10)&amp;"Expected Resolution Code: "&amp;$Q689&amp;CHAR(10)&amp;"Remarks: "&amp;LEFT($R689,600)&amp;CHAR(10)&amp;CHAR(10)&amp;"This is an automated notification from HP Mainstream EQMS."),"✉ Open Email Draft"),"")</f>
        <v/>
      </c>
    </row>
    <row r="690">
      <c r="A690" s="25">
        <f>IF($C690="","","AUD-2026-"&amp;TEXT(ROW()-1,"000000"))</f>
        <v/>
      </c>
      <c r="B690" s="26" t="n"/>
      <c r="C690" s="27" t="n"/>
      <c r="D690" s="25">
        <f>IF($C690="","",IFERROR(IF(INDEX(Roster!$A:$A,MATCH($C690,Roster!$B:$B,0))="","",INDEX(Roster!$A:$A,MATCH($C690,Roster!$B:$B,0))&amp;""),"—"))</f>
        <v/>
      </c>
      <c r="E690" s="25">
        <f>IF($C690="","",IFERROR(IF(INDEX(Roster!$C:$C,MATCH($C690,Roster!$B:$B,0))="","",INDEX(Roster!$C:$C,MATCH($C690,Roster!$B:$B,0))&amp;""),"—"))</f>
        <v/>
      </c>
      <c r="F690" s="25">
        <f>IF($C690="","",IFERROR(IF(INDEX(Roster!$D:$D,MATCH($C690,Roster!$B:$B,0))="","",INDEX(Roster!$D:$D,MATCH($C690,Roster!$B:$B,0))&amp;""),"—"))</f>
        <v/>
      </c>
      <c r="G690" s="25">
        <f>IF($C690="","",IFERROR(IF(INDEX(Roster!$E:$E,MATCH($C690,Roster!$B:$B,0))="","",INDEX(Roster!$E:$E,MATCH($C690,Roster!$B:$B,0))&amp;""),"—"))</f>
        <v/>
      </c>
      <c r="H690" s="25">
        <f>IF($C690="","",IFERROR(IF(INDEX(Roster!$F:$F,MATCH($C690,Roster!$B:$B,0))="","",INDEX(Roster!$F:$F,MATCH($C690,Roster!$B:$B,0))&amp;""),"—"))</f>
        <v/>
      </c>
      <c r="I690" s="25">
        <f>IF($C690="","",IFERROR(IF(INDEX(Roster!$G:$G,MATCH($C690,Roster!$B:$B,0))="","",INDEX(Roster!$G:$G,MATCH($C690,Roster!$B:$B,0))&amp;""),"—"))</f>
        <v/>
      </c>
      <c r="J690" s="25">
        <f>IF($C690="","",IFERROR(IF(INDEX(Roster!$I:$I,MATCH($C690,Roster!$B:$B,0))="","",INDEX(Roster!$I:$I,MATCH($C690,Roster!$B:$B,0))&amp;""),"—"))</f>
        <v/>
      </c>
      <c r="K690">
        <f>IF($C690="","",IFERROR(IF(INDEX(Roster!$J:$J,MATCH($C690,Roster!$B:$B,0))="","",INDEX(Roster!$J:$J,MATCH($C690,Roster!$B:$B,0))&amp;""),"—"))</f>
        <v/>
      </c>
      <c r="L690">
        <f>IF($C690="","",IFERROR(IF(INDEX(Roster!$K:$K,MATCH($C690,Roster!$B:$B,0))="","",INDEX(Roster!$K:$K,MATCH($C690,Roster!$B:$B,0))&amp;""),"—"))</f>
        <v/>
      </c>
      <c r="M690" s="27" t="n"/>
      <c r="N690" s="27" t="n"/>
      <c r="O690" s="25">
        <f>IF($C690="","",IF($P690="","—",IF($P690="Valid (Pass)","Valid","Invalid")))</f>
        <v/>
      </c>
      <c r="P690" s="27" t="n"/>
      <c r="Q690" s="27" t="n"/>
      <c r="R690" s="27" t="n"/>
      <c r="S690" s="27" t="n"/>
      <c r="T690" s="25">
        <f>IF($C690="","",IF(OR(ISNUMBER(SEARCH("quick case",$P690)),ISNUMBER(SEARCH("quick case",$Q690))),"Yes","No"))</f>
        <v/>
      </c>
      <c r="U690" s="25">
        <f>IF($O690="Invalid",HYPERLINK("mailto:"&amp;$G690&amp;";"&amp;$I690&amp;"?cc="&amp;Lists!$E$2&amp;"&amp;subject="&amp;_xlfn.ENCODEURL("[INVALID] Quality audit monitoring completed for "&amp;UPPER($C690))&amp;"&amp;body="&amp;_xlfn.ENCODEURL("Hi "&amp;$F690&amp;","&amp;CHAR(10)&amp;"Good day!"&amp;CHAR(10)&amp;CHAR(10)&amp;"A quality monitoring audit has been completed for "&amp;$C690&amp;"."&amp;CHAR(10)&amp;CHAR(10)&amp;"QUALITY AUDIT DETAILS"&amp;CHAR(10)&amp;"Agent Name: "&amp;$C690&amp;" (EID "&amp;$D690&amp;")"&amp;CHAR(10)&amp;"Audit Date: "&amp;TEXT($B690,"yyyy-mm-dd")&amp;CHAR(10)&amp;"Team Leader: "&amp;$F690&amp;CHAR(10)&amp;"Case Number: "&amp;$M690&amp;CHAR(10)&amp;"Transaction ID: "&amp;$N690&amp;CHAR(10)&amp;"Channel / LOB: "&amp;$K690&amp;" / "&amp;$L690&amp;CHAR(10)&amp;"Evaluator: "&amp;$S690&amp;CHAR(10)&amp;CHAR(10)&amp;"INVALID QUALITY AUDIT DETAILS"&amp;CHAR(10)&amp;"Validation: Invalid"&amp;CHAR(10)&amp;"Invalid Reason: "&amp;$P690&amp;CHAR(10)&amp;"Expected Resolution Code: "&amp;$Q690&amp;CHAR(10)&amp;"Remarks: "&amp;LEFT($R690,600)&amp;CHAR(10)&amp;CHAR(10)&amp;"This is an automated notification from HP Mainstream EQMS."),"✉ Open Email Draft"),"")</f>
        <v/>
      </c>
    </row>
    <row r="691">
      <c r="A691" s="25">
        <f>IF($C691="","","AUD-2026-"&amp;TEXT(ROW()-1,"000000"))</f>
        <v/>
      </c>
      <c r="B691" s="26" t="n"/>
      <c r="C691" s="27" t="n"/>
      <c r="D691" s="25">
        <f>IF($C691="","",IFERROR(IF(INDEX(Roster!$A:$A,MATCH($C691,Roster!$B:$B,0))="","",INDEX(Roster!$A:$A,MATCH($C691,Roster!$B:$B,0))&amp;""),"—"))</f>
        <v/>
      </c>
      <c r="E691" s="25">
        <f>IF($C691="","",IFERROR(IF(INDEX(Roster!$C:$C,MATCH($C691,Roster!$B:$B,0))="","",INDEX(Roster!$C:$C,MATCH($C691,Roster!$B:$B,0))&amp;""),"—"))</f>
        <v/>
      </c>
      <c r="F691" s="25">
        <f>IF($C691="","",IFERROR(IF(INDEX(Roster!$D:$D,MATCH($C691,Roster!$B:$B,0))="","",INDEX(Roster!$D:$D,MATCH($C691,Roster!$B:$B,0))&amp;""),"—"))</f>
        <v/>
      </c>
      <c r="G691" s="25">
        <f>IF($C691="","",IFERROR(IF(INDEX(Roster!$E:$E,MATCH($C691,Roster!$B:$B,0))="","",INDEX(Roster!$E:$E,MATCH($C691,Roster!$B:$B,0))&amp;""),"—"))</f>
        <v/>
      </c>
      <c r="H691" s="25">
        <f>IF($C691="","",IFERROR(IF(INDEX(Roster!$F:$F,MATCH($C691,Roster!$B:$B,0))="","",INDEX(Roster!$F:$F,MATCH($C691,Roster!$B:$B,0))&amp;""),"—"))</f>
        <v/>
      </c>
      <c r="I691" s="25">
        <f>IF($C691="","",IFERROR(IF(INDEX(Roster!$G:$G,MATCH($C691,Roster!$B:$B,0))="","",INDEX(Roster!$G:$G,MATCH($C691,Roster!$B:$B,0))&amp;""),"—"))</f>
        <v/>
      </c>
      <c r="J691" s="25">
        <f>IF($C691="","",IFERROR(IF(INDEX(Roster!$I:$I,MATCH($C691,Roster!$B:$B,0))="","",INDEX(Roster!$I:$I,MATCH($C691,Roster!$B:$B,0))&amp;""),"—"))</f>
        <v/>
      </c>
      <c r="K691">
        <f>IF($C691="","",IFERROR(IF(INDEX(Roster!$J:$J,MATCH($C691,Roster!$B:$B,0))="","",INDEX(Roster!$J:$J,MATCH($C691,Roster!$B:$B,0))&amp;""),"—"))</f>
        <v/>
      </c>
      <c r="L691">
        <f>IF($C691="","",IFERROR(IF(INDEX(Roster!$K:$K,MATCH($C691,Roster!$B:$B,0))="","",INDEX(Roster!$K:$K,MATCH($C691,Roster!$B:$B,0))&amp;""),"—"))</f>
        <v/>
      </c>
      <c r="M691" s="27" t="n"/>
      <c r="N691" s="27" t="n"/>
      <c r="O691" s="25">
        <f>IF($C691="","",IF($P691="","—",IF($P691="Valid (Pass)","Valid","Invalid")))</f>
        <v/>
      </c>
      <c r="P691" s="27" t="n"/>
      <c r="Q691" s="27" t="n"/>
      <c r="R691" s="27" t="n"/>
      <c r="S691" s="27" t="n"/>
      <c r="T691" s="25">
        <f>IF($C691="","",IF(OR(ISNUMBER(SEARCH("quick case",$P691)),ISNUMBER(SEARCH("quick case",$Q691))),"Yes","No"))</f>
        <v/>
      </c>
      <c r="U691" s="25">
        <f>IF($O691="Invalid",HYPERLINK("mailto:"&amp;$G691&amp;";"&amp;$I691&amp;"?cc="&amp;Lists!$E$2&amp;"&amp;subject="&amp;_xlfn.ENCODEURL("[INVALID] Quality audit monitoring completed for "&amp;UPPER($C691))&amp;"&amp;body="&amp;_xlfn.ENCODEURL("Hi "&amp;$F691&amp;","&amp;CHAR(10)&amp;"Good day!"&amp;CHAR(10)&amp;CHAR(10)&amp;"A quality monitoring audit has been completed for "&amp;$C691&amp;"."&amp;CHAR(10)&amp;CHAR(10)&amp;"QUALITY AUDIT DETAILS"&amp;CHAR(10)&amp;"Agent Name: "&amp;$C691&amp;" (EID "&amp;$D691&amp;")"&amp;CHAR(10)&amp;"Audit Date: "&amp;TEXT($B691,"yyyy-mm-dd")&amp;CHAR(10)&amp;"Team Leader: "&amp;$F691&amp;CHAR(10)&amp;"Case Number: "&amp;$M691&amp;CHAR(10)&amp;"Transaction ID: "&amp;$N691&amp;CHAR(10)&amp;"Channel / LOB: "&amp;$K691&amp;" / "&amp;$L691&amp;CHAR(10)&amp;"Evaluator: "&amp;$S691&amp;CHAR(10)&amp;CHAR(10)&amp;"INVALID QUALITY AUDIT DETAILS"&amp;CHAR(10)&amp;"Validation: Invalid"&amp;CHAR(10)&amp;"Invalid Reason: "&amp;$P691&amp;CHAR(10)&amp;"Expected Resolution Code: "&amp;$Q691&amp;CHAR(10)&amp;"Remarks: "&amp;LEFT($R691,600)&amp;CHAR(10)&amp;CHAR(10)&amp;"This is an automated notification from HP Mainstream EQMS."),"✉ Open Email Draft"),"")</f>
        <v/>
      </c>
    </row>
    <row r="692">
      <c r="A692" s="25">
        <f>IF($C692="","","AUD-2026-"&amp;TEXT(ROW()-1,"000000"))</f>
        <v/>
      </c>
      <c r="B692" s="26" t="n"/>
      <c r="C692" s="27" t="n"/>
      <c r="D692" s="25">
        <f>IF($C692="","",IFERROR(IF(INDEX(Roster!$A:$A,MATCH($C692,Roster!$B:$B,0))="","",INDEX(Roster!$A:$A,MATCH($C692,Roster!$B:$B,0))&amp;""),"—"))</f>
        <v/>
      </c>
      <c r="E692" s="25">
        <f>IF($C692="","",IFERROR(IF(INDEX(Roster!$C:$C,MATCH($C692,Roster!$B:$B,0))="","",INDEX(Roster!$C:$C,MATCH($C692,Roster!$B:$B,0))&amp;""),"—"))</f>
        <v/>
      </c>
      <c r="F692" s="25">
        <f>IF($C692="","",IFERROR(IF(INDEX(Roster!$D:$D,MATCH($C692,Roster!$B:$B,0))="","",INDEX(Roster!$D:$D,MATCH($C692,Roster!$B:$B,0))&amp;""),"—"))</f>
        <v/>
      </c>
      <c r="G692" s="25">
        <f>IF($C692="","",IFERROR(IF(INDEX(Roster!$E:$E,MATCH($C692,Roster!$B:$B,0))="","",INDEX(Roster!$E:$E,MATCH($C692,Roster!$B:$B,0))&amp;""),"—"))</f>
        <v/>
      </c>
      <c r="H692" s="25">
        <f>IF($C692="","",IFERROR(IF(INDEX(Roster!$F:$F,MATCH($C692,Roster!$B:$B,0))="","",INDEX(Roster!$F:$F,MATCH($C692,Roster!$B:$B,0))&amp;""),"—"))</f>
        <v/>
      </c>
      <c r="I692" s="25">
        <f>IF($C692="","",IFERROR(IF(INDEX(Roster!$G:$G,MATCH($C692,Roster!$B:$B,0))="","",INDEX(Roster!$G:$G,MATCH($C692,Roster!$B:$B,0))&amp;""),"—"))</f>
        <v/>
      </c>
      <c r="J692" s="25">
        <f>IF($C692="","",IFERROR(IF(INDEX(Roster!$I:$I,MATCH($C692,Roster!$B:$B,0))="","",INDEX(Roster!$I:$I,MATCH($C692,Roster!$B:$B,0))&amp;""),"—"))</f>
        <v/>
      </c>
      <c r="K692">
        <f>IF($C692="","",IFERROR(IF(INDEX(Roster!$J:$J,MATCH($C692,Roster!$B:$B,0))="","",INDEX(Roster!$J:$J,MATCH($C692,Roster!$B:$B,0))&amp;""),"—"))</f>
        <v/>
      </c>
      <c r="L692">
        <f>IF($C692="","",IFERROR(IF(INDEX(Roster!$K:$K,MATCH($C692,Roster!$B:$B,0))="","",INDEX(Roster!$K:$K,MATCH($C692,Roster!$B:$B,0))&amp;""),"—"))</f>
        <v/>
      </c>
      <c r="M692" s="27" t="n"/>
      <c r="N692" s="27" t="n"/>
      <c r="O692" s="25">
        <f>IF($C692="","",IF($P692="","—",IF($P692="Valid (Pass)","Valid","Invalid")))</f>
        <v/>
      </c>
      <c r="P692" s="27" t="n"/>
      <c r="Q692" s="27" t="n"/>
      <c r="R692" s="27" t="n"/>
      <c r="S692" s="27" t="n"/>
      <c r="T692" s="25">
        <f>IF($C692="","",IF(OR(ISNUMBER(SEARCH("quick case",$P692)),ISNUMBER(SEARCH("quick case",$Q692))),"Yes","No"))</f>
        <v/>
      </c>
      <c r="U692" s="25">
        <f>IF($O692="Invalid",HYPERLINK("mailto:"&amp;$G692&amp;";"&amp;$I692&amp;"?cc="&amp;Lists!$E$2&amp;"&amp;subject="&amp;_xlfn.ENCODEURL("[INVALID] Quality audit monitoring completed for "&amp;UPPER($C692))&amp;"&amp;body="&amp;_xlfn.ENCODEURL("Hi "&amp;$F692&amp;","&amp;CHAR(10)&amp;"Good day!"&amp;CHAR(10)&amp;CHAR(10)&amp;"A quality monitoring audit has been completed for "&amp;$C692&amp;"."&amp;CHAR(10)&amp;CHAR(10)&amp;"QUALITY AUDIT DETAILS"&amp;CHAR(10)&amp;"Agent Name: "&amp;$C692&amp;" (EID "&amp;$D692&amp;")"&amp;CHAR(10)&amp;"Audit Date: "&amp;TEXT($B692,"yyyy-mm-dd")&amp;CHAR(10)&amp;"Team Leader: "&amp;$F692&amp;CHAR(10)&amp;"Case Number: "&amp;$M692&amp;CHAR(10)&amp;"Transaction ID: "&amp;$N692&amp;CHAR(10)&amp;"Channel / LOB: "&amp;$K692&amp;" / "&amp;$L692&amp;CHAR(10)&amp;"Evaluator: "&amp;$S692&amp;CHAR(10)&amp;CHAR(10)&amp;"INVALID QUALITY AUDIT DETAILS"&amp;CHAR(10)&amp;"Validation: Invalid"&amp;CHAR(10)&amp;"Invalid Reason: "&amp;$P692&amp;CHAR(10)&amp;"Expected Resolution Code: "&amp;$Q692&amp;CHAR(10)&amp;"Remarks: "&amp;LEFT($R692,600)&amp;CHAR(10)&amp;CHAR(10)&amp;"This is an automated notification from HP Mainstream EQMS."),"✉ Open Email Draft"),"")</f>
        <v/>
      </c>
    </row>
    <row r="693">
      <c r="A693" s="25">
        <f>IF($C693="","","AUD-2026-"&amp;TEXT(ROW()-1,"000000"))</f>
        <v/>
      </c>
      <c r="B693" s="26" t="n"/>
      <c r="C693" s="27" t="n"/>
      <c r="D693" s="25">
        <f>IF($C693="","",IFERROR(IF(INDEX(Roster!$A:$A,MATCH($C693,Roster!$B:$B,0))="","",INDEX(Roster!$A:$A,MATCH($C693,Roster!$B:$B,0))&amp;""),"—"))</f>
        <v/>
      </c>
      <c r="E693" s="25">
        <f>IF($C693="","",IFERROR(IF(INDEX(Roster!$C:$C,MATCH($C693,Roster!$B:$B,0))="","",INDEX(Roster!$C:$C,MATCH($C693,Roster!$B:$B,0))&amp;""),"—"))</f>
        <v/>
      </c>
      <c r="F693" s="25">
        <f>IF($C693="","",IFERROR(IF(INDEX(Roster!$D:$D,MATCH($C693,Roster!$B:$B,0))="","",INDEX(Roster!$D:$D,MATCH($C693,Roster!$B:$B,0))&amp;""),"—"))</f>
        <v/>
      </c>
      <c r="G693" s="25">
        <f>IF($C693="","",IFERROR(IF(INDEX(Roster!$E:$E,MATCH($C693,Roster!$B:$B,0))="","",INDEX(Roster!$E:$E,MATCH($C693,Roster!$B:$B,0))&amp;""),"—"))</f>
        <v/>
      </c>
      <c r="H693" s="25">
        <f>IF($C693="","",IFERROR(IF(INDEX(Roster!$F:$F,MATCH($C693,Roster!$B:$B,0))="","",INDEX(Roster!$F:$F,MATCH($C693,Roster!$B:$B,0))&amp;""),"—"))</f>
        <v/>
      </c>
      <c r="I693" s="25">
        <f>IF($C693="","",IFERROR(IF(INDEX(Roster!$G:$G,MATCH($C693,Roster!$B:$B,0))="","",INDEX(Roster!$G:$G,MATCH($C693,Roster!$B:$B,0))&amp;""),"—"))</f>
        <v/>
      </c>
      <c r="J693" s="25">
        <f>IF($C693="","",IFERROR(IF(INDEX(Roster!$I:$I,MATCH($C693,Roster!$B:$B,0))="","",INDEX(Roster!$I:$I,MATCH($C693,Roster!$B:$B,0))&amp;""),"—"))</f>
        <v/>
      </c>
      <c r="K693">
        <f>IF($C693="","",IFERROR(IF(INDEX(Roster!$J:$J,MATCH($C693,Roster!$B:$B,0))="","",INDEX(Roster!$J:$J,MATCH($C693,Roster!$B:$B,0))&amp;""),"—"))</f>
        <v/>
      </c>
      <c r="L693">
        <f>IF($C693="","",IFERROR(IF(INDEX(Roster!$K:$K,MATCH($C693,Roster!$B:$B,0))="","",INDEX(Roster!$K:$K,MATCH($C693,Roster!$B:$B,0))&amp;""),"—"))</f>
        <v/>
      </c>
      <c r="M693" s="27" t="n"/>
      <c r="N693" s="27" t="n"/>
      <c r="O693" s="25">
        <f>IF($C693="","",IF($P693="","—",IF($P693="Valid (Pass)","Valid","Invalid")))</f>
        <v/>
      </c>
      <c r="P693" s="27" t="n"/>
      <c r="Q693" s="27" t="n"/>
      <c r="R693" s="27" t="n"/>
      <c r="S693" s="27" t="n"/>
      <c r="T693" s="25">
        <f>IF($C693="","",IF(OR(ISNUMBER(SEARCH("quick case",$P693)),ISNUMBER(SEARCH("quick case",$Q693))),"Yes","No"))</f>
        <v/>
      </c>
      <c r="U693" s="25">
        <f>IF($O693="Invalid",HYPERLINK("mailto:"&amp;$G693&amp;";"&amp;$I693&amp;"?cc="&amp;Lists!$E$2&amp;"&amp;subject="&amp;_xlfn.ENCODEURL("[INVALID] Quality audit monitoring completed for "&amp;UPPER($C693))&amp;"&amp;body="&amp;_xlfn.ENCODEURL("Hi "&amp;$F693&amp;","&amp;CHAR(10)&amp;"Good day!"&amp;CHAR(10)&amp;CHAR(10)&amp;"A quality monitoring audit has been completed for "&amp;$C693&amp;"."&amp;CHAR(10)&amp;CHAR(10)&amp;"QUALITY AUDIT DETAILS"&amp;CHAR(10)&amp;"Agent Name: "&amp;$C693&amp;" (EID "&amp;$D693&amp;")"&amp;CHAR(10)&amp;"Audit Date: "&amp;TEXT($B693,"yyyy-mm-dd")&amp;CHAR(10)&amp;"Team Leader: "&amp;$F693&amp;CHAR(10)&amp;"Case Number: "&amp;$M693&amp;CHAR(10)&amp;"Transaction ID: "&amp;$N693&amp;CHAR(10)&amp;"Channel / LOB: "&amp;$K693&amp;" / "&amp;$L693&amp;CHAR(10)&amp;"Evaluator: "&amp;$S693&amp;CHAR(10)&amp;CHAR(10)&amp;"INVALID QUALITY AUDIT DETAILS"&amp;CHAR(10)&amp;"Validation: Invalid"&amp;CHAR(10)&amp;"Invalid Reason: "&amp;$P693&amp;CHAR(10)&amp;"Expected Resolution Code: "&amp;$Q693&amp;CHAR(10)&amp;"Remarks: "&amp;LEFT($R693,600)&amp;CHAR(10)&amp;CHAR(10)&amp;"This is an automated notification from HP Mainstream EQMS."),"✉ Open Email Draft"),"")</f>
        <v/>
      </c>
    </row>
    <row r="694">
      <c r="A694" s="25">
        <f>IF($C694="","","AUD-2026-"&amp;TEXT(ROW()-1,"000000"))</f>
        <v/>
      </c>
      <c r="B694" s="26" t="n"/>
      <c r="C694" s="27" t="n"/>
      <c r="D694" s="25">
        <f>IF($C694="","",IFERROR(IF(INDEX(Roster!$A:$A,MATCH($C694,Roster!$B:$B,0))="","",INDEX(Roster!$A:$A,MATCH($C694,Roster!$B:$B,0))&amp;""),"—"))</f>
        <v/>
      </c>
      <c r="E694" s="25">
        <f>IF($C694="","",IFERROR(IF(INDEX(Roster!$C:$C,MATCH($C694,Roster!$B:$B,0))="","",INDEX(Roster!$C:$C,MATCH($C694,Roster!$B:$B,0))&amp;""),"—"))</f>
        <v/>
      </c>
      <c r="F694" s="25">
        <f>IF($C694="","",IFERROR(IF(INDEX(Roster!$D:$D,MATCH($C694,Roster!$B:$B,0))="","",INDEX(Roster!$D:$D,MATCH($C694,Roster!$B:$B,0))&amp;""),"—"))</f>
        <v/>
      </c>
      <c r="G694" s="25">
        <f>IF($C694="","",IFERROR(IF(INDEX(Roster!$E:$E,MATCH($C694,Roster!$B:$B,0))="","",INDEX(Roster!$E:$E,MATCH($C694,Roster!$B:$B,0))&amp;""),"—"))</f>
        <v/>
      </c>
      <c r="H694" s="25">
        <f>IF($C694="","",IFERROR(IF(INDEX(Roster!$F:$F,MATCH($C694,Roster!$B:$B,0))="","",INDEX(Roster!$F:$F,MATCH($C694,Roster!$B:$B,0))&amp;""),"—"))</f>
        <v/>
      </c>
      <c r="I694" s="25">
        <f>IF($C694="","",IFERROR(IF(INDEX(Roster!$G:$G,MATCH($C694,Roster!$B:$B,0))="","",INDEX(Roster!$G:$G,MATCH($C694,Roster!$B:$B,0))&amp;""),"—"))</f>
        <v/>
      </c>
      <c r="J694" s="25">
        <f>IF($C694="","",IFERROR(IF(INDEX(Roster!$I:$I,MATCH($C694,Roster!$B:$B,0))="","",INDEX(Roster!$I:$I,MATCH($C694,Roster!$B:$B,0))&amp;""),"—"))</f>
        <v/>
      </c>
      <c r="K694">
        <f>IF($C694="","",IFERROR(IF(INDEX(Roster!$J:$J,MATCH($C694,Roster!$B:$B,0))="","",INDEX(Roster!$J:$J,MATCH($C694,Roster!$B:$B,0))&amp;""),"—"))</f>
        <v/>
      </c>
      <c r="L694">
        <f>IF($C694="","",IFERROR(IF(INDEX(Roster!$K:$K,MATCH($C694,Roster!$B:$B,0))="","",INDEX(Roster!$K:$K,MATCH($C694,Roster!$B:$B,0))&amp;""),"—"))</f>
        <v/>
      </c>
      <c r="M694" s="27" t="n"/>
      <c r="N694" s="27" t="n"/>
      <c r="O694" s="25">
        <f>IF($C694="","",IF($P694="","—",IF($P694="Valid (Pass)","Valid","Invalid")))</f>
        <v/>
      </c>
      <c r="P694" s="27" t="n"/>
      <c r="Q694" s="27" t="n"/>
      <c r="R694" s="27" t="n"/>
      <c r="S694" s="27" t="n"/>
      <c r="T694" s="25">
        <f>IF($C694="","",IF(OR(ISNUMBER(SEARCH("quick case",$P694)),ISNUMBER(SEARCH("quick case",$Q694))),"Yes","No"))</f>
        <v/>
      </c>
      <c r="U694" s="25">
        <f>IF($O694="Invalid",HYPERLINK("mailto:"&amp;$G694&amp;";"&amp;$I694&amp;"?cc="&amp;Lists!$E$2&amp;"&amp;subject="&amp;_xlfn.ENCODEURL("[INVALID] Quality audit monitoring completed for "&amp;UPPER($C694))&amp;"&amp;body="&amp;_xlfn.ENCODEURL("Hi "&amp;$F694&amp;","&amp;CHAR(10)&amp;"Good day!"&amp;CHAR(10)&amp;CHAR(10)&amp;"A quality monitoring audit has been completed for "&amp;$C694&amp;"."&amp;CHAR(10)&amp;CHAR(10)&amp;"QUALITY AUDIT DETAILS"&amp;CHAR(10)&amp;"Agent Name: "&amp;$C694&amp;" (EID "&amp;$D694&amp;")"&amp;CHAR(10)&amp;"Audit Date: "&amp;TEXT($B694,"yyyy-mm-dd")&amp;CHAR(10)&amp;"Team Leader: "&amp;$F694&amp;CHAR(10)&amp;"Case Number: "&amp;$M694&amp;CHAR(10)&amp;"Transaction ID: "&amp;$N694&amp;CHAR(10)&amp;"Channel / LOB: "&amp;$K694&amp;" / "&amp;$L694&amp;CHAR(10)&amp;"Evaluator: "&amp;$S694&amp;CHAR(10)&amp;CHAR(10)&amp;"INVALID QUALITY AUDIT DETAILS"&amp;CHAR(10)&amp;"Validation: Invalid"&amp;CHAR(10)&amp;"Invalid Reason: "&amp;$P694&amp;CHAR(10)&amp;"Expected Resolution Code: "&amp;$Q694&amp;CHAR(10)&amp;"Remarks: "&amp;LEFT($R694,600)&amp;CHAR(10)&amp;CHAR(10)&amp;"This is an automated notification from HP Mainstream EQMS."),"✉ Open Email Draft"),"")</f>
        <v/>
      </c>
    </row>
    <row r="695">
      <c r="A695" s="25">
        <f>IF($C695="","","AUD-2026-"&amp;TEXT(ROW()-1,"000000"))</f>
        <v/>
      </c>
      <c r="B695" s="26" t="n"/>
      <c r="C695" s="27" t="n"/>
      <c r="D695" s="25">
        <f>IF($C695="","",IFERROR(IF(INDEX(Roster!$A:$A,MATCH($C695,Roster!$B:$B,0))="","",INDEX(Roster!$A:$A,MATCH($C695,Roster!$B:$B,0))&amp;""),"—"))</f>
        <v/>
      </c>
      <c r="E695" s="25">
        <f>IF($C695="","",IFERROR(IF(INDEX(Roster!$C:$C,MATCH($C695,Roster!$B:$B,0))="","",INDEX(Roster!$C:$C,MATCH($C695,Roster!$B:$B,0))&amp;""),"—"))</f>
        <v/>
      </c>
      <c r="F695" s="25">
        <f>IF($C695="","",IFERROR(IF(INDEX(Roster!$D:$D,MATCH($C695,Roster!$B:$B,0))="","",INDEX(Roster!$D:$D,MATCH($C695,Roster!$B:$B,0))&amp;""),"—"))</f>
        <v/>
      </c>
      <c r="G695" s="25">
        <f>IF($C695="","",IFERROR(IF(INDEX(Roster!$E:$E,MATCH($C695,Roster!$B:$B,0))="","",INDEX(Roster!$E:$E,MATCH($C695,Roster!$B:$B,0))&amp;""),"—"))</f>
        <v/>
      </c>
      <c r="H695" s="25">
        <f>IF($C695="","",IFERROR(IF(INDEX(Roster!$F:$F,MATCH($C695,Roster!$B:$B,0))="","",INDEX(Roster!$F:$F,MATCH($C695,Roster!$B:$B,0))&amp;""),"—"))</f>
        <v/>
      </c>
      <c r="I695" s="25">
        <f>IF($C695="","",IFERROR(IF(INDEX(Roster!$G:$G,MATCH($C695,Roster!$B:$B,0))="","",INDEX(Roster!$G:$G,MATCH($C695,Roster!$B:$B,0))&amp;""),"—"))</f>
        <v/>
      </c>
      <c r="J695" s="25">
        <f>IF($C695="","",IFERROR(IF(INDEX(Roster!$I:$I,MATCH($C695,Roster!$B:$B,0))="","",INDEX(Roster!$I:$I,MATCH($C695,Roster!$B:$B,0))&amp;""),"—"))</f>
        <v/>
      </c>
      <c r="K695">
        <f>IF($C695="","",IFERROR(IF(INDEX(Roster!$J:$J,MATCH($C695,Roster!$B:$B,0))="","",INDEX(Roster!$J:$J,MATCH($C695,Roster!$B:$B,0))&amp;""),"—"))</f>
        <v/>
      </c>
      <c r="L695">
        <f>IF($C695="","",IFERROR(IF(INDEX(Roster!$K:$K,MATCH($C695,Roster!$B:$B,0))="","",INDEX(Roster!$K:$K,MATCH($C695,Roster!$B:$B,0))&amp;""),"—"))</f>
        <v/>
      </c>
      <c r="M695" s="27" t="n"/>
      <c r="N695" s="27" t="n"/>
      <c r="O695" s="25">
        <f>IF($C695="","",IF($P695="","—",IF($P695="Valid (Pass)","Valid","Invalid")))</f>
        <v/>
      </c>
      <c r="P695" s="27" t="n"/>
      <c r="Q695" s="27" t="n"/>
      <c r="R695" s="27" t="n"/>
      <c r="S695" s="27" t="n"/>
      <c r="T695" s="25">
        <f>IF($C695="","",IF(OR(ISNUMBER(SEARCH("quick case",$P695)),ISNUMBER(SEARCH("quick case",$Q695))),"Yes","No"))</f>
        <v/>
      </c>
      <c r="U695" s="25">
        <f>IF($O695="Invalid",HYPERLINK("mailto:"&amp;$G695&amp;";"&amp;$I695&amp;"?cc="&amp;Lists!$E$2&amp;"&amp;subject="&amp;_xlfn.ENCODEURL("[INVALID] Quality audit monitoring completed for "&amp;UPPER($C695))&amp;"&amp;body="&amp;_xlfn.ENCODEURL("Hi "&amp;$F695&amp;","&amp;CHAR(10)&amp;"Good day!"&amp;CHAR(10)&amp;CHAR(10)&amp;"A quality monitoring audit has been completed for "&amp;$C695&amp;"."&amp;CHAR(10)&amp;CHAR(10)&amp;"QUALITY AUDIT DETAILS"&amp;CHAR(10)&amp;"Agent Name: "&amp;$C695&amp;" (EID "&amp;$D695&amp;")"&amp;CHAR(10)&amp;"Audit Date: "&amp;TEXT($B695,"yyyy-mm-dd")&amp;CHAR(10)&amp;"Team Leader: "&amp;$F695&amp;CHAR(10)&amp;"Case Number: "&amp;$M695&amp;CHAR(10)&amp;"Transaction ID: "&amp;$N695&amp;CHAR(10)&amp;"Channel / LOB: "&amp;$K695&amp;" / "&amp;$L695&amp;CHAR(10)&amp;"Evaluator: "&amp;$S695&amp;CHAR(10)&amp;CHAR(10)&amp;"INVALID QUALITY AUDIT DETAILS"&amp;CHAR(10)&amp;"Validation: Invalid"&amp;CHAR(10)&amp;"Invalid Reason: "&amp;$P695&amp;CHAR(10)&amp;"Expected Resolution Code: "&amp;$Q695&amp;CHAR(10)&amp;"Remarks: "&amp;LEFT($R695,600)&amp;CHAR(10)&amp;CHAR(10)&amp;"This is an automated notification from HP Mainstream EQMS."),"✉ Open Email Draft"),"")</f>
        <v/>
      </c>
    </row>
    <row r="696">
      <c r="A696" s="25">
        <f>IF($C696="","","AUD-2026-"&amp;TEXT(ROW()-1,"000000"))</f>
        <v/>
      </c>
      <c r="B696" s="26" t="n"/>
      <c r="C696" s="27" t="n"/>
      <c r="D696" s="25">
        <f>IF($C696="","",IFERROR(IF(INDEX(Roster!$A:$A,MATCH($C696,Roster!$B:$B,0))="","",INDEX(Roster!$A:$A,MATCH($C696,Roster!$B:$B,0))&amp;""),"—"))</f>
        <v/>
      </c>
      <c r="E696" s="25">
        <f>IF($C696="","",IFERROR(IF(INDEX(Roster!$C:$C,MATCH($C696,Roster!$B:$B,0))="","",INDEX(Roster!$C:$C,MATCH($C696,Roster!$B:$B,0))&amp;""),"—"))</f>
        <v/>
      </c>
      <c r="F696" s="25">
        <f>IF($C696="","",IFERROR(IF(INDEX(Roster!$D:$D,MATCH($C696,Roster!$B:$B,0))="","",INDEX(Roster!$D:$D,MATCH($C696,Roster!$B:$B,0))&amp;""),"—"))</f>
        <v/>
      </c>
      <c r="G696" s="25">
        <f>IF($C696="","",IFERROR(IF(INDEX(Roster!$E:$E,MATCH($C696,Roster!$B:$B,0))="","",INDEX(Roster!$E:$E,MATCH($C696,Roster!$B:$B,0))&amp;""),"—"))</f>
        <v/>
      </c>
      <c r="H696" s="25">
        <f>IF($C696="","",IFERROR(IF(INDEX(Roster!$F:$F,MATCH($C696,Roster!$B:$B,0))="","",INDEX(Roster!$F:$F,MATCH($C696,Roster!$B:$B,0))&amp;""),"—"))</f>
        <v/>
      </c>
      <c r="I696" s="25">
        <f>IF($C696="","",IFERROR(IF(INDEX(Roster!$G:$G,MATCH($C696,Roster!$B:$B,0))="","",INDEX(Roster!$G:$G,MATCH($C696,Roster!$B:$B,0))&amp;""),"—"))</f>
        <v/>
      </c>
      <c r="J696" s="25">
        <f>IF($C696="","",IFERROR(IF(INDEX(Roster!$I:$I,MATCH($C696,Roster!$B:$B,0))="","",INDEX(Roster!$I:$I,MATCH($C696,Roster!$B:$B,0))&amp;""),"—"))</f>
        <v/>
      </c>
      <c r="K696">
        <f>IF($C696="","",IFERROR(IF(INDEX(Roster!$J:$J,MATCH($C696,Roster!$B:$B,0))="","",INDEX(Roster!$J:$J,MATCH($C696,Roster!$B:$B,0))&amp;""),"—"))</f>
        <v/>
      </c>
      <c r="L696">
        <f>IF($C696="","",IFERROR(IF(INDEX(Roster!$K:$K,MATCH($C696,Roster!$B:$B,0))="","",INDEX(Roster!$K:$K,MATCH($C696,Roster!$B:$B,0))&amp;""),"—"))</f>
        <v/>
      </c>
      <c r="M696" s="27" t="n"/>
      <c r="N696" s="27" t="n"/>
      <c r="O696" s="25">
        <f>IF($C696="","",IF($P696="","—",IF($P696="Valid (Pass)","Valid","Invalid")))</f>
        <v/>
      </c>
      <c r="P696" s="27" t="n"/>
      <c r="Q696" s="27" t="n"/>
      <c r="R696" s="27" t="n"/>
      <c r="S696" s="27" t="n"/>
      <c r="T696" s="25">
        <f>IF($C696="","",IF(OR(ISNUMBER(SEARCH("quick case",$P696)),ISNUMBER(SEARCH("quick case",$Q696))),"Yes","No"))</f>
        <v/>
      </c>
      <c r="U696" s="25">
        <f>IF($O696="Invalid",HYPERLINK("mailto:"&amp;$G696&amp;";"&amp;$I696&amp;"?cc="&amp;Lists!$E$2&amp;"&amp;subject="&amp;_xlfn.ENCODEURL("[INVALID] Quality audit monitoring completed for "&amp;UPPER($C696))&amp;"&amp;body="&amp;_xlfn.ENCODEURL("Hi "&amp;$F696&amp;","&amp;CHAR(10)&amp;"Good day!"&amp;CHAR(10)&amp;CHAR(10)&amp;"A quality monitoring audit has been completed for "&amp;$C696&amp;"."&amp;CHAR(10)&amp;CHAR(10)&amp;"QUALITY AUDIT DETAILS"&amp;CHAR(10)&amp;"Agent Name: "&amp;$C696&amp;" (EID "&amp;$D696&amp;")"&amp;CHAR(10)&amp;"Audit Date: "&amp;TEXT($B696,"yyyy-mm-dd")&amp;CHAR(10)&amp;"Team Leader: "&amp;$F696&amp;CHAR(10)&amp;"Case Number: "&amp;$M696&amp;CHAR(10)&amp;"Transaction ID: "&amp;$N696&amp;CHAR(10)&amp;"Channel / LOB: "&amp;$K696&amp;" / "&amp;$L696&amp;CHAR(10)&amp;"Evaluator: "&amp;$S696&amp;CHAR(10)&amp;CHAR(10)&amp;"INVALID QUALITY AUDIT DETAILS"&amp;CHAR(10)&amp;"Validation: Invalid"&amp;CHAR(10)&amp;"Invalid Reason: "&amp;$P696&amp;CHAR(10)&amp;"Expected Resolution Code: "&amp;$Q696&amp;CHAR(10)&amp;"Remarks: "&amp;LEFT($R696,600)&amp;CHAR(10)&amp;CHAR(10)&amp;"This is an automated notification from HP Mainstream EQMS."),"✉ Open Email Draft"),"")</f>
        <v/>
      </c>
    </row>
    <row r="697">
      <c r="A697" s="25">
        <f>IF($C697="","","AUD-2026-"&amp;TEXT(ROW()-1,"000000"))</f>
        <v/>
      </c>
      <c r="B697" s="26" t="n"/>
      <c r="C697" s="27" t="n"/>
      <c r="D697" s="25">
        <f>IF($C697="","",IFERROR(IF(INDEX(Roster!$A:$A,MATCH($C697,Roster!$B:$B,0))="","",INDEX(Roster!$A:$A,MATCH($C697,Roster!$B:$B,0))&amp;""),"—"))</f>
        <v/>
      </c>
      <c r="E697" s="25">
        <f>IF($C697="","",IFERROR(IF(INDEX(Roster!$C:$C,MATCH($C697,Roster!$B:$B,0))="","",INDEX(Roster!$C:$C,MATCH($C697,Roster!$B:$B,0))&amp;""),"—"))</f>
        <v/>
      </c>
      <c r="F697" s="25">
        <f>IF($C697="","",IFERROR(IF(INDEX(Roster!$D:$D,MATCH($C697,Roster!$B:$B,0))="","",INDEX(Roster!$D:$D,MATCH($C697,Roster!$B:$B,0))&amp;""),"—"))</f>
        <v/>
      </c>
      <c r="G697" s="25">
        <f>IF($C697="","",IFERROR(IF(INDEX(Roster!$E:$E,MATCH($C697,Roster!$B:$B,0))="","",INDEX(Roster!$E:$E,MATCH($C697,Roster!$B:$B,0))&amp;""),"—"))</f>
        <v/>
      </c>
      <c r="H697" s="25">
        <f>IF($C697="","",IFERROR(IF(INDEX(Roster!$F:$F,MATCH($C697,Roster!$B:$B,0))="","",INDEX(Roster!$F:$F,MATCH($C697,Roster!$B:$B,0))&amp;""),"—"))</f>
        <v/>
      </c>
      <c r="I697" s="25">
        <f>IF($C697="","",IFERROR(IF(INDEX(Roster!$G:$G,MATCH($C697,Roster!$B:$B,0))="","",INDEX(Roster!$G:$G,MATCH($C697,Roster!$B:$B,0))&amp;""),"—"))</f>
        <v/>
      </c>
      <c r="J697" s="25">
        <f>IF($C697="","",IFERROR(IF(INDEX(Roster!$I:$I,MATCH($C697,Roster!$B:$B,0))="","",INDEX(Roster!$I:$I,MATCH($C697,Roster!$B:$B,0))&amp;""),"—"))</f>
        <v/>
      </c>
      <c r="K697">
        <f>IF($C697="","",IFERROR(IF(INDEX(Roster!$J:$J,MATCH($C697,Roster!$B:$B,0))="","",INDEX(Roster!$J:$J,MATCH($C697,Roster!$B:$B,0))&amp;""),"—"))</f>
        <v/>
      </c>
      <c r="L697">
        <f>IF($C697="","",IFERROR(IF(INDEX(Roster!$K:$K,MATCH($C697,Roster!$B:$B,0))="","",INDEX(Roster!$K:$K,MATCH($C697,Roster!$B:$B,0))&amp;""),"—"))</f>
        <v/>
      </c>
      <c r="M697" s="27" t="n"/>
      <c r="N697" s="27" t="n"/>
      <c r="O697" s="25">
        <f>IF($C697="","",IF($P697="","—",IF($P697="Valid (Pass)","Valid","Invalid")))</f>
        <v/>
      </c>
      <c r="P697" s="27" t="n"/>
      <c r="Q697" s="27" t="n"/>
      <c r="R697" s="27" t="n"/>
      <c r="S697" s="27" t="n"/>
      <c r="T697" s="25">
        <f>IF($C697="","",IF(OR(ISNUMBER(SEARCH("quick case",$P697)),ISNUMBER(SEARCH("quick case",$Q697))),"Yes","No"))</f>
        <v/>
      </c>
      <c r="U697" s="25">
        <f>IF($O697="Invalid",HYPERLINK("mailto:"&amp;$G697&amp;";"&amp;$I697&amp;"?cc="&amp;Lists!$E$2&amp;"&amp;subject="&amp;_xlfn.ENCODEURL("[INVALID] Quality audit monitoring completed for "&amp;UPPER($C697))&amp;"&amp;body="&amp;_xlfn.ENCODEURL("Hi "&amp;$F697&amp;","&amp;CHAR(10)&amp;"Good day!"&amp;CHAR(10)&amp;CHAR(10)&amp;"A quality monitoring audit has been completed for "&amp;$C697&amp;"."&amp;CHAR(10)&amp;CHAR(10)&amp;"QUALITY AUDIT DETAILS"&amp;CHAR(10)&amp;"Agent Name: "&amp;$C697&amp;" (EID "&amp;$D697&amp;")"&amp;CHAR(10)&amp;"Audit Date: "&amp;TEXT($B697,"yyyy-mm-dd")&amp;CHAR(10)&amp;"Team Leader: "&amp;$F697&amp;CHAR(10)&amp;"Case Number: "&amp;$M697&amp;CHAR(10)&amp;"Transaction ID: "&amp;$N697&amp;CHAR(10)&amp;"Channel / LOB: "&amp;$K697&amp;" / "&amp;$L697&amp;CHAR(10)&amp;"Evaluator: "&amp;$S697&amp;CHAR(10)&amp;CHAR(10)&amp;"INVALID QUALITY AUDIT DETAILS"&amp;CHAR(10)&amp;"Validation: Invalid"&amp;CHAR(10)&amp;"Invalid Reason: "&amp;$P697&amp;CHAR(10)&amp;"Expected Resolution Code: "&amp;$Q697&amp;CHAR(10)&amp;"Remarks: "&amp;LEFT($R697,600)&amp;CHAR(10)&amp;CHAR(10)&amp;"This is an automated notification from HP Mainstream EQMS."),"✉ Open Email Draft"),"")</f>
        <v/>
      </c>
    </row>
    <row r="698">
      <c r="A698" s="25">
        <f>IF($C698="","","AUD-2026-"&amp;TEXT(ROW()-1,"000000"))</f>
        <v/>
      </c>
      <c r="B698" s="26" t="n"/>
      <c r="C698" s="27" t="n"/>
      <c r="D698" s="25">
        <f>IF($C698="","",IFERROR(IF(INDEX(Roster!$A:$A,MATCH($C698,Roster!$B:$B,0))="","",INDEX(Roster!$A:$A,MATCH($C698,Roster!$B:$B,0))&amp;""),"—"))</f>
        <v/>
      </c>
      <c r="E698" s="25">
        <f>IF($C698="","",IFERROR(IF(INDEX(Roster!$C:$C,MATCH($C698,Roster!$B:$B,0))="","",INDEX(Roster!$C:$C,MATCH($C698,Roster!$B:$B,0))&amp;""),"—"))</f>
        <v/>
      </c>
      <c r="F698" s="25">
        <f>IF($C698="","",IFERROR(IF(INDEX(Roster!$D:$D,MATCH($C698,Roster!$B:$B,0))="","",INDEX(Roster!$D:$D,MATCH($C698,Roster!$B:$B,0))&amp;""),"—"))</f>
        <v/>
      </c>
      <c r="G698" s="25">
        <f>IF($C698="","",IFERROR(IF(INDEX(Roster!$E:$E,MATCH($C698,Roster!$B:$B,0))="","",INDEX(Roster!$E:$E,MATCH($C698,Roster!$B:$B,0))&amp;""),"—"))</f>
        <v/>
      </c>
      <c r="H698" s="25">
        <f>IF($C698="","",IFERROR(IF(INDEX(Roster!$F:$F,MATCH($C698,Roster!$B:$B,0))="","",INDEX(Roster!$F:$F,MATCH($C698,Roster!$B:$B,0))&amp;""),"—"))</f>
        <v/>
      </c>
      <c r="I698" s="25">
        <f>IF($C698="","",IFERROR(IF(INDEX(Roster!$G:$G,MATCH($C698,Roster!$B:$B,0))="","",INDEX(Roster!$G:$G,MATCH($C698,Roster!$B:$B,0))&amp;""),"—"))</f>
        <v/>
      </c>
      <c r="J698" s="25">
        <f>IF($C698="","",IFERROR(IF(INDEX(Roster!$I:$I,MATCH($C698,Roster!$B:$B,0))="","",INDEX(Roster!$I:$I,MATCH($C698,Roster!$B:$B,0))&amp;""),"—"))</f>
        <v/>
      </c>
      <c r="K698">
        <f>IF($C698="","",IFERROR(IF(INDEX(Roster!$J:$J,MATCH($C698,Roster!$B:$B,0))="","",INDEX(Roster!$J:$J,MATCH($C698,Roster!$B:$B,0))&amp;""),"—"))</f>
        <v/>
      </c>
      <c r="L698">
        <f>IF($C698="","",IFERROR(IF(INDEX(Roster!$K:$K,MATCH($C698,Roster!$B:$B,0))="","",INDEX(Roster!$K:$K,MATCH($C698,Roster!$B:$B,0))&amp;""),"—"))</f>
        <v/>
      </c>
      <c r="M698" s="27" t="n"/>
      <c r="N698" s="27" t="n"/>
      <c r="O698" s="25">
        <f>IF($C698="","",IF($P698="","—",IF($P698="Valid (Pass)","Valid","Invalid")))</f>
        <v/>
      </c>
      <c r="P698" s="27" t="n"/>
      <c r="Q698" s="27" t="n"/>
      <c r="R698" s="27" t="n"/>
      <c r="S698" s="27" t="n"/>
      <c r="T698" s="25">
        <f>IF($C698="","",IF(OR(ISNUMBER(SEARCH("quick case",$P698)),ISNUMBER(SEARCH("quick case",$Q698))),"Yes","No"))</f>
        <v/>
      </c>
      <c r="U698" s="25">
        <f>IF($O698="Invalid",HYPERLINK("mailto:"&amp;$G698&amp;";"&amp;$I698&amp;"?cc="&amp;Lists!$E$2&amp;"&amp;subject="&amp;_xlfn.ENCODEURL("[INVALID] Quality audit monitoring completed for "&amp;UPPER($C698))&amp;"&amp;body="&amp;_xlfn.ENCODEURL("Hi "&amp;$F698&amp;","&amp;CHAR(10)&amp;"Good day!"&amp;CHAR(10)&amp;CHAR(10)&amp;"A quality monitoring audit has been completed for "&amp;$C698&amp;"."&amp;CHAR(10)&amp;CHAR(10)&amp;"QUALITY AUDIT DETAILS"&amp;CHAR(10)&amp;"Agent Name: "&amp;$C698&amp;" (EID "&amp;$D698&amp;")"&amp;CHAR(10)&amp;"Audit Date: "&amp;TEXT($B698,"yyyy-mm-dd")&amp;CHAR(10)&amp;"Team Leader: "&amp;$F698&amp;CHAR(10)&amp;"Case Number: "&amp;$M698&amp;CHAR(10)&amp;"Transaction ID: "&amp;$N698&amp;CHAR(10)&amp;"Channel / LOB: "&amp;$K698&amp;" / "&amp;$L698&amp;CHAR(10)&amp;"Evaluator: "&amp;$S698&amp;CHAR(10)&amp;CHAR(10)&amp;"INVALID QUALITY AUDIT DETAILS"&amp;CHAR(10)&amp;"Validation: Invalid"&amp;CHAR(10)&amp;"Invalid Reason: "&amp;$P698&amp;CHAR(10)&amp;"Expected Resolution Code: "&amp;$Q698&amp;CHAR(10)&amp;"Remarks: "&amp;LEFT($R698,600)&amp;CHAR(10)&amp;CHAR(10)&amp;"This is an automated notification from HP Mainstream EQMS."),"✉ Open Email Draft"),"")</f>
        <v/>
      </c>
    </row>
    <row r="699">
      <c r="A699" s="25">
        <f>IF($C699="","","AUD-2026-"&amp;TEXT(ROW()-1,"000000"))</f>
        <v/>
      </c>
      <c r="B699" s="26" t="n"/>
      <c r="C699" s="27" t="n"/>
      <c r="D699" s="25">
        <f>IF($C699="","",IFERROR(IF(INDEX(Roster!$A:$A,MATCH($C699,Roster!$B:$B,0))="","",INDEX(Roster!$A:$A,MATCH($C699,Roster!$B:$B,0))&amp;""),"—"))</f>
        <v/>
      </c>
      <c r="E699" s="25">
        <f>IF($C699="","",IFERROR(IF(INDEX(Roster!$C:$C,MATCH($C699,Roster!$B:$B,0))="","",INDEX(Roster!$C:$C,MATCH($C699,Roster!$B:$B,0))&amp;""),"—"))</f>
        <v/>
      </c>
      <c r="F699" s="25">
        <f>IF($C699="","",IFERROR(IF(INDEX(Roster!$D:$D,MATCH($C699,Roster!$B:$B,0))="","",INDEX(Roster!$D:$D,MATCH($C699,Roster!$B:$B,0))&amp;""),"—"))</f>
        <v/>
      </c>
      <c r="G699" s="25">
        <f>IF($C699="","",IFERROR(IF(INDEX(Roster!$E:$E,MATCH($C699,Roster!$B:$B,0))="","",INDEX(Roster!$E:$E,MATCH($C699,Roster!$B:$B,0))&amp;""),"—"))</f>
        <v/>
      </c>
      <c r="H699" s="25">
        <f>IF($C699="","",IFERROR(IF(INDEX(Roster!$F:$F,MATCH($C699,Roster!$B:$B,0))="","",INDEX(Roster!$F:$F,MATCH($C699,Roster!$B:$B,0))&amp;""),"—"))</f>
        <v/>
      </c>
      <c r="I699" s="25">
        <f>IF($C699="","",IFERROR(IF(INDEX(Roster!$G:$G,MATCH($C699,Roster!$B:$B,0))="","",INDEX(Roster!$G:$G,MATCH($C699,Roster!$B:$B,0))&amp;""),"—"))</f>
        <v/>
      </c>
      <c r="J699" s="25">
        <f>IF($C699="","",IFERROR(IF(INDEX(Roster!$I:$I,MATCH($C699,Roster!$B:$B,0))="","",INDEX(Roster!$I:$I,MATCH($C699,Roster!$B:$B,0))&amp;""),"—"))</f>
        <v/>
      </c>
      <c r="K699">
        <f>IF($C699="","",IFERROR(IF(INDEX(Roster!$J:$J,MATCH($C699,Roster!$B:$B,0))="","",INDEX(Roster!$J:$J,MATCH($C699,Roster!$B:$B,0))&amp;""),"—"))</f>
        <v/>
      </c>
      <c r="L699">
        <f>IF($C699="","",IFERROR(IF(INDEX(Roster!$K:$K,MATCH($C699,Roster!$B:$B,0))="","",INDEX(Roster!$K:$K,MATCH($C699,Roster!$B:$B,0))&amp;""),"—"))</f>
        <v/>
      </c>
      <c r="M699" s="27" t="n"/>
      <c r="N699" s="27" t="n"/>
      <c r="O699" s="25">
        <f>IF($C699="","",IF($P699="","—",IF($P699="Valid (Pass)","Valid","Invalid")))</f>
        <v/>
      </c>
      <c r="P699" s="27" t="n"/>
      <c r="Q699" s="27" t="n"/>
      <c r="R699" s="27" t="n"/>
      <c r="S699" s="27" t="n"/>
      <c r="T699" s="25">
        <f>IF($C699="","",IF(OR(ISNUMBER(SEARCH("quick case",$P699)),ISNUMBER(SEARCH("quick case",$Q699))),"Yes","No"))</f>
        <v/>
      </c>
      <c r="U699" s="25">
        <f>IF($O699="Invalid",HYPERLINK("mailto:"&amp;$G699&amp;";"&amp;$I699&amp;"?cc="&amp;Lists!$E$2&amp;"&amp;subject="&amp;_xlfn.ENCODEURL("[INVALID] Quality audit monitoring completed for "&amp;UPPER($C699))&amp;"&amp;body="&amp;_xlfn.ENCODEURL("Hi "&amp;$F699&amp;","&amp;CHAR(10)&amp;"Good day!"&amp;CHAR(10)&amp;CHAR(10)&amp;"A quality monitoring audit has been completed for "&amp;$C699&amp;"."&amp;CHAR(10)&amp;CHAR(10)&amp;"QUALITY AUDIT DETAILS"&amp;CHAR(10)&amp;"Agent Name: "&amp;$C699&amp;" (EID "&amp;$D699&amp;")"&amp;CHAR(10)&amp;"Audit Date: "&amp;TEXT($B699,"yyyy-mm-dd")&amp;CHAR(10)&amp;"Team Leader: "&amp;$F699&amp;CHAR(10)&amp;"Case Number: "&amp;$M699&amp;CHAR(10)&amp;"Transaction ID: "&amp;$N699&amp;CHAR(10)&amp;"Channel / LOB: "&amp;$K699&amp;" / "&amp;$L699&amp;CHAR(10)&amp;"Evaluator: "&amp;$S699&amp;CHAR(10)&amp;CHAR(10)&amp;"INVALID QUALITY AUDIT DETAILS"&amp;CHAR(10)&amp;"Validation: Invalid"&amp;CHAR(10)&amp;"Invalid Reason: "&amp;$P699&amp;CHAR(10)&amp;"Expected Resolution Code: "&amp;$Q699&amp;CHAR(10)&amp;"Remarks: "&amp;LEFT($R699,600)&amp;CHAR(10)&amp;CHAR(10)&amp;"This is an automated notification from HP Mainstream EQMS."),"✉ Open Email Draft"),"")</f>
        <v/>
      </c>
    </row>
    <row r="700">
      <c r="A700" s="25">
        <f>IF($C700="","","AUD-2026-"&amp;TEXT(ROW()-1,"000000"))</f>
        <v/>
      </c>
      <c r="B700" s="26" t="n"/>
      <c r="C700" s="27" t="n"/>
      <c r="D700" s="25">
        <f>IF($C700="","",IFERROR(IF(INDEX(Roster!$A:$A,MATCH($C700,Roster!$B:$B,0))="","",INDEX(Roster!$A:$A,MATCH($C700,Roster!$B:$B,0))&amp;""),"—"))</f>
        <v/>
      </c>
      <c r="E700" s="25">
        <f>IF($C700="","",IFERROR(IF(INDEX(Roster!$C:$C,MATCH($C700,Roster!$B:$B,0))="","",INDEX(Roster!$C:$C,MATCH($C700,Roster!$B:$B,0))&amp;""),"—"))</f>
        <v/>
      </c>
      <c r="F700" s="25">
        <f>IF($C700="","",IFERROR(IF(INDEX(Roster!$D:$D,MATCH($C700,Roster!$B:$B,0))="","",INDEX(Roster!$D:$D,MATCH($C700,Roster!$B:$B,0))&amp;""),"—"))</f>
        <v/>
      </c>
      <c r="G700" s="25">
        <f>IF($C700="","",IFERROR(IF(INDEX(Roster!$E:$E,MATCH($C700,Roster!$B:$B,0))="","",INDEX(Roster!$E:$E,MATCH($C700,Roster!$B:$B,0))&amp;""),"—"))</f>
        <v/>
      </c>
      <c r="H700" s="25">
        <f>IF($C700="","",IFERROR(IF(INDEX(Roster!$F:$F,MATCH($C700,Roster!$B:$B,0))="","",INDEX(Roster!$F:$F,MATCH($C700,Roster!$B:$B,0))&amp;""),"—"))</f>
        <v/>
      </c>
      <c r="I700" s="25">
        <f>IF($C700="","",IFERROR(IF(INDEX(Roster!$G:$G,MATCH($C700,Roster!$B:$B,0))="","",INDEX(Roster!$G:$G,MATCH($C700,Roster!$B:$B,0))&amp;""),"—"))</f>
        <v/>
      </c>
      <c r="J700" s="25">
        <f>IF($C700="","",IFERROR(IF(INDEX(Roster!$I:$I,MATCH($C700,Roster!$B:$B,0))="","",INDEX(Roster!$I:$I,MATCH($C700,Roster!$B:$B,0))&amp;""),"—"))</f>
        <v/>
      </c>
      <c r="K700">
        <f>IF($C700="","",IFERROR(IF(INDEX(Roster!$J:$J,MATCH($C700,Roster!$B:$B,0))="","",INDEX(Roster!$J:$J,MATCH($C700,Roster!$B:$B,0))&amp;""),"—"))</f>
        <v/>
      </c>
      <c r="L700">
        <f>IF($C700="","",IFERROR(IF(INDEX(Roster!$K:$K,MATCH($C700,Roster!$B:$B,0))="","",INDEX(Roster!$K:$K,MATCH($C700,Roster!$B:$B,0))&amp;""),"—"))</f>
        <v/>
      </c>
      <c r="M700" s="27" t="n"/>
      <c r="N700" s="27" t="n"/>
      <c r="O700" s="25">
        <f>IF($C700="","",IF($P700="","—",IF($P700="Valid (Pass)","Valid","Invalid")))</f>
        <v/>
      </c>
      <c r="P700" s="27" t="n"/>
      <c r="Q700" s="27" t="n"/>
      <c r="R700" s="27" t="n"/>
      <c r="S700" s="27" t="n"/>
      <c r="T700" s="25">
        <f>IF($C700="","",IF(OR(ISNUMBER(SEARCH("quick case",$P700)),ISNUMBER(SEARCH("quick case",$Q700))),"Yes","No"))</f>
        <v/>
      </c>
      <c r="U700" s="25">
        <f>IF($O700="Invalid",HYPERLINK("mailto:"&amp;$G700&amp;";"&amp;$I700&amp;"?cc="&amp;Lists!$E$2&amp;"&amp;subject="&amp;_xlfn.ENCODEURL("[INVALID] Quality audit monitoring completed for "&amp;UPPER($C700))&amp;"&amp;body="&amp;_xlfn.ENCODEURL("Hi "&amp;$F700&amp;","&amp;CHAR(10)&amp;"Good day!"&amp;CHAR(10)&amp;CHAR(10)&amp;"A quality monitoring audit has been completed for "&amp;$C700&amp;"."&amp;CHAR(10)&amp;CHAR(10)&amp;"QUALITY AUDIT DETAILS"&amp;CHAR(10)&amp;"Agent Name: "&amp;$C700&amp;" (EID "&amp;$D700&amp;")"&amp;CHAR(10)&amp;"Audit Date: "&amp;TEXT($B700,"yyyy-mm-dd")&amp;CHAR(10)&amp;"Team Leader: "&amp;$F700&amp;CHAR(10)&amp;"Case Number: "&amp;$M700&amp;CHAR(10)&amp;"Transaction ID: "&amp;$N700&amp;CHAR(10)&amp;"Channel / LOB: "&amp;$K700&amp;" / "&amp;$L700&amp;CHAR(10)&amp;"Evaluator: "&amp;$S700&amp;CHAR(10)&amp;CHAR(10)&amp;"INVALID QUALITY AUDIT DETAILS"&amp;CHAR(10)&amp;"Validation: Invalid"&amp;CHAR(10)&amp;"Invalid Reason: "&amp;$P700&amp;CHAR(10)&amp;"Expected Resolution Code: "&amp;$Q700&amp;CHAR(10)&amp;"Remarks: "&amp;LEFT($R700,600)&amp;CHAR(10)&amp;CHAR(10)&amp;"This is an automated notification from HP Mainstream EQMS."),"✉ Open Email Draft"),"")</f>
        <v/>
      </c>
    </row>
    <row r="701">
      <c r="A701" s="25">
        <f>IF($C701="","","AUD-2026-"&amp;TEXT(ROW()-1,"000000"))</f>
        <v/>
      </c>
      <c r="B701" s="26" t="n"/>
      <c r="C701" s="27" t="n"/>
      <c r="D701" s="25">
        <f>IF($C701="","",IFERROR(IF(INDEX(Roster!$A:$A,MATCH($C701,Roster!$B:$B,0))="","",INDEX(Roster!$A:$A,MATCH($C701,Roster!$B:$B,0))&amp;""),"—"))</f>
        <v/>
      </c>
      <c r="E701" s="25">
        <f>IF($C701="","",IFERROR(IF(INDEX(Roster!$C:$C,MATCH($C701,Roster!$B:$B,0))="","",INDEX(Roster!$C:$C,MATCH($C701,Roster!$B:$B,0))&amp;""),"—"))</f>
        <v/>
      </c>
      <c r="F701" s="25">
        <f>IF($C701="","",IFERROR(IF(INDEX(Roster!$D:$D,MATCH($C701,Roster!$B:$B,0))="","",INDEX(Roster!$D:$D,MATCH($C701,Roster!$B:$B,0))&amp;""),"—"))</f>
        <v/>
      </c>
      <c r="G701" s="25">
        <f>IF($C701="","",IFERROR(IF(INDEX(Roster!$E:$E,MATCH($C701,Roster!$B:$B,0))="","",INDEX(Roster!$E:$E,MATCH($C701,Roster!$B:$B,0))&amp;""),"—"))</f>
        <v/>
      </c>
      <c r="H701" s="25">
        <f>IF($C701="","",IFERROR(IF(INDEX(Roster!$F:$F,MATCH($C701,Roster!$B:$B,0))="","",INDEX(Roster!$F:$F,MATCH($C701,Roster!$B:$B,0))&amp;""),"—"))</f>
        <v/>
      </c>
      <c r="I701" s="25">
        <f>IF($C701="","",IFERROR(IF(INDEX(Roster!$G:$G,MATCH($C701,Roster!$B:$B,0))="","",INDEX(Roster!$G:$G,MATCH($C701,Roster!$B:$B,0))&amp;""),"—"))</f>
        <v/>
      </c>
      <c r="J701" s="25">
        <f>IF($C701="","",IFERROR(IF(INDEX(Roster!$I:$I,MATCH($C701,Roster!$B:$B,0))="","",INDEX(Roster!$I:$I,MATCH($C701,Roster!$B:$B,0))&amp;""),"—"))</f>
        <v/>
      </c>
      <c r="K701">
        <f>IF($C701="","",IFERROR(IF(INDEX(Roster!$J:$J,MATCH($C701,Roster!$B:$B,0))="","",INDEX(Roster!$J:$J,MATCH($C701,Roster!$B:$B,0))&amp;""),"—"))</f>
        <v/>
      </c>
      <c r="L701">
        <f>IF($C701="","",IFERROR(IF(INDEX(Roster!$K:$K,MATCH($C701,Roster!$B:$B,0))="","",INDEX(Roster!$K:$K,MATCH($C701,Roster!$B:$B,0))&amp;""),"—"))</f>
        <v/>
      </c>
      <c r="M701" s="27" t="n"/>
      <c r="N701" s="27" t="n"/>
      <c r="O701" s="25">
        <f>IF($C701="","",IF($P701="","—",IF($P701="Valid (Pass)","Valid","Invalid")))</f>
        <v/>
      </c>
      <c r="P701" s="27" t="n"/>
      <c r="Q701" s="27" t="n"/>
      <c r="R701" s="27" t="n"/>
      <c r="S701" s="27" t="n"/>
      <c r="T701" s="25">
        <f>IF($C701="","",IF(OR(ISNUMBER(SEARCH("quick case",$P701)),ISNUMBER(SEARCH("quick case",$Q701))),"Yes","No"))</f>
        <v/>
      </c>
      <c r="U701" s="25">
        <f>IF($O701="Invalid",HYPERLINK("mailto:"&amp;$G701&amp;";"&amp;$I701&amp;"?cc="&amp;Lists!$E$2&amp;"&amp;subject="&amp;_xlfn.ENCODEURL("[INVALID] Quality audit monitoring completed for "&amp;UPPER($C701))&amp;"&amp;body="&amp;_xlfn.ENCODEURL("Hi "&amp;$F701&amp;","&amp;CHAR(10)&amp;"Good day!"&amp;CHAR(10)&amp;CHAR(10)&amp;"A quality monitoring audit has been completed for "&amp;$C701&amp;"."&amp;CHAR(10)&amp;CHAR(10)&amp;"QUALITY AUDIT DETAILS"&amp;CHAR(10)&amp;"Agent Name: "&amp;$C701&amp;" (EID "&amp;$D701&amp;")"&amp;CHAR(10)&amp;"Audit Date: "&amp;TEXT($B701,"yyyy-mm-dd")&amp;CHAR(10)&amp;"Team Leader: "&amp;$F701&amp;CHAR(10)&amp;"Case Number: "&amp;$M701&amp;CHAR(10)&amp;"Transaction ID: "&amp;$N701&amp;CHAR(10)&amp;"Channel / LOB: "&amp;$K701&amp;" / "&amp;$L701&amp;CHAR(10)&amp;"Evaluator: "&amp;$S701&amp;CHAR(10)&amp;CHAR(10)&amp;"INVALID QUALITY AUDIT DETAILS"&amp;CHAR(10)&amp;"Validation: Invalid"&amp;CHAR(10)&amp;"Invalid Reason: "&amp;$P701&amp;CHAR(10)&amp;"Expected Resolution Code: "&amp;$Q701&amp;CHAR(10)&amp;"Remarks: "&amp;LEFT($R701,600)&amp;CHAR(10)&amp;CHAR(10)&amp;"This is an automated notification from HP Mainstream EQMS."),"✉ Open Email Draft"),"")</f>
        <v/>
      </c>
    </row>
    <row r="702">
      <c r="A702" s="25">
        <f>IF($C702="","","AUD-2026-"&amp;TEXT(ROW()-1,"000000"))</f>
        <v/>
      </c>
      <c r="B702" s="26" t="n"/>
      <c r="C702" s="27" t="n"/>
      <c r="D702" s="25">
        <f>IF($C702="","",IFERROR(IF(INDEX(Roster!$A:$A,MATCH($C702,Roster!$B:$B,0))="","",INDEX(Roster!$A:$A,MATCH($C702,Roster!$B:$B,0))&amp;""),"—"))</f>
        <v/>
      </c>
      <c r="E702" s="25">
        <f>IF($C702="","",IFERROR(IF(INDEX(Roster!$C:$C,MATCH($C702,Roster!$B:$B,0))="","",INDEX(Roster!$C:$C,MATCH($C702,Roster!$B:$B,0))&amp;""),"—"))</f>
        <v/>
      </c>
      <c r="F702" s="25">
        <f>IF($C702="","",IFERROR(IF(INDEX(Roster!$D:$D,MATCH($C702,Roster!$B:$B,0))="","",INDEX(Roster!$D:$D,MATCH($C702,Roster!$B:$B,0))&amp;""),"—"))</f>
        <v/>
      </c>
      <c r="G702" s="25">
        <f>IF($C702="","",IFERROR(IF(INDEX(Roster!$E:$E,MATCH($C702,Roster!$B:$B,0))="","",INDEX(Roster!$E:$E,MATCH($C702,Roster!$B:$B,0))&amp;""),"—"))</f>
        <v/>
      </c>
      <c r="H702" s="25">
        <f>IF($C702="","",IFERROR(IF(INDEX(Roster!$F:$F,MATCH($C702,Roster!$B:$B,0))="","",INDEX(Roster!$F:$F,MATCH($C702,Roster!$B:$B,0))&amp;""),"—"))</f>
        <v/>
      </c>
      <c r="I702" s="25">
        <f>IF($C702="","",IFERROR(IF(INDEX(Roster!$G:$G,MATCH($C702,Roster!$B:$B,0))="","",INDEX(Roster!$G:$G,MATCH($C702,Roster!$B:$B,0))&amp;""),"—"))</f>
        <v/>
      </c>
      <c r="J702" s="25">
        <f>IF($C702="","",IFERROR(IF(INDEX(Roster!$I:$I,MATCH($C702,Roster!$B:$B,0))="","",INDEX(Roster!$I:$I,MATCH($C702,Roster!$B:$B,0))&amp;""),"—"))</f>
        <v/>
      </c>
      <c r="K702">
        <f>IF($C702="","",IFERROR(IF(INDEX(Roster!$J:$J,MATCH($C702,Roster!$B:$B,0))="","",INDEX(Roster!$J:$J,MATCH($C702,Roster!$B:$B,0))&amp;""),"—"))</f>
        <v/>
      </c>
      <c r="L702">
        <f>IF($C702="","",IFERROR(IF(INDEX(Roster!$K:$K,MATCH($C702,Roster!$B:$B,0))="","",INDEX(Roster!$K:$K,MATCH($C702,Roster!$B:$B,0))&amp;""),"—"))</f>
        <v/>
      </c>
      <c r="M702" s="27" t="n"/>
      <c r="N702" s="27" t="n"/>
      <c r="O702" s="25">
        <f>IF($C702="","",IF($P702="","—",IF($P702="Valid (Pass)","Valid","Invalid")))</f>
        <v/>
      </c>
      <c r="P702" s="27" t="n"/>
      <c r="Q702" s="27" t="n"/>
      <c r="R702" s="27" t="n"/>
      <c r="S702" s="27" t="n"/>
      <c r="T702" s="25">
        <f>IF($C702="","",IF(OR(ISNUMBER(SEARCH("quick case",$P702)),ISNUMBER(SEARCH("quick case",$Q702))),"Yes","No"))</f>
        <v/>
      </c>
      <c r="U702" s="25">
        <f>IF($O702="Invalid",HYPERLINK("mailto:"&amp;$G702&amp;";"&amp;$I702&amp;"?cc="&amp;Lists!$E$2&amp;"&amp;subject="&amp;_xlfn.ENCODEURL("[INVALID] Quality audit monitoring completed for "&amp;UPPER($C702))&amp;"&amp;body="&amp;_xlfn.ENCODEURL("Hi "&amp;$F702&amp;","&amp;CHAR(10)&amp;"Good day!"&amp;CHAR(10)&amp;CHAR(10)&amp;"A quality monitoring audit has been completed for "&amp;$C702&amp;"."&amp;CHAR(10)&amp;CHAR(10)&amp;"QUALITY AUDIT DETAILS"&amp;CHAR(10)&amp;"Agent Name: "&amp;$C702&amp;" (EID "&amp;$D702&amp;")"&amp;CHAR(10)&amp;"Audit Date: "&amp;TEXT($B702,"yyyy-mm-dd")&amp;CHAR(10)&amp;"Team Leader: "&amp;$F702&amp;CHAR(10)&amp;"Case Number: "&amp;$M702&amp;CHAR(10)&amp;"Transaction ID: "&amp;$N702&amp;CHAR(10)&amp;"Channel / LOB: "&amp;$K702&amp;" / "&amp;$L702&amp;CHAR(10)&amp;"Evaluator: "&amp;$S702&amp;CHAR(10)&amp;CHAR(10)&amp;"INVALID QUALITY AUDIT DETAILS"&amp;CHAR(10)&amp;"Validation: Invalid"&amp;CHAR(10)&amp;"Invalid Reason: "&amp;$P702&amp;CHAR(10)&amp;"Expected Resolution Code: "&amp;$Q702&amp;CHAR(10)&amp;"Remarks: "&amp;LEFT($R702,600)&amp;CHAR(10)&amp;CHAR(10)&amp;"This is an automated notification from HP Mainstream EQMS."),"✉ Open Email Draft"),"")</f>
        <v/>
      </c>
    </row>
    <row r="703">
      <c r="A703" s="25">
        <f>IF($C703="","","AUD-2026-"&amp;TEXT(ROW()-1,"000000"))</f>
        <v/>
      </c>
      <c r="B703" s="26" t="n"/>
      <c r="C703" s="27" t="n"/>
      <c r="D703" s="25">
        <f>IF($C703="","",IFERROR(IF(INDEX(Roster!$A:$A,MATCH($C703,Roster!$B:$B,0))="","",INDEX(Roster!$A:$A,MATCH($C703,Roster!$B:$B,0))&amp;""),"—"))</f>
        <v/>
      </c>
      <c r="E703" s="25">
        <f>IF($C703="","",IFERROR(IF(INDEX(Roster!$C:$C,MATCH($C703,Roster!$B:$B,0))="","",INDEX(Roster!$C:$C,MATCH($C703,Roster!$B:$B,0))&amp;""),"—"))</f>
        <v/>
      </c>
      <c r="F703" s="25">
        <f>IF($C703="","",IFERROR(IF(INDEX(Roster!$D:$D,MATCH($C703,Roster!$B:$B,0))="","",INDEX(Roster!$D:$D,MATCH($C703,Roster!$B:$B,0))&amp;""),"—"))</f>
        <v/>
      </c>
      <c r="G703" s="25">
        <f>IF($C703="","",IFERROR(IF(INDEX(Roster!$E:$E,MATCH($C703,Roster!$B:$B,0))="","",INDEX(Roster!$E:$E,MATCH($C703,Roster!$B:$B,0))&amp;""),"—"))</f>
        <v/>
      </c>
      <c r="H703" s="25">
        <f>IF($C703="","",IFERROR(IF(INDEX(Roster!$F:$F,MATCH($C703,Roster!$B:$B,0))="","",INDEX(Roster!$F:$F,MATCH($C703,Roster!$B:$B,0))&amp;""),"—"))</f>
        <v/>
      </c>
      <c r="I703" s="25">
        <f>IF($C703="","",IFERROR(IF(INDEX(Roster!$G:$G,MATCH($C703,Roster!$B:$B,0))="","",INDEX(Roster!$G:$G,MATCH($C703,Roster!$B:$B,0))&amp;""),"—"))</f>
        <v/>
      </c>
      <c r="J703" s="25">
        <f>IF($C703="","",IFERROR(IF(INDEX(Roster!$I:$I,MATCH($C703,Roster!$B:$B,0))="","",INDEX(Roster!$I:$I,MATCH($C703,Roster!$B:$B,0))&amp;""),"—"))</f>
        <v/>
      </c>
      <c r="K703">
        <f>IF($C703="","",IFERROR(IF(INDEX(Roster!$J:$J,MATCH($C703,Roster!$B:$B,0))="","",INDEX(Roster!$J:$J,MATCH($C703,Roster!$B:$B,0))&amp;""),"—"))</f>
        <v/>
      </c>
      <c r="L703">
        <f>IF($C703="","",IFERROR(IF(INDEX(Roster!$K:$K,MATCH($C703,Roster!$B:$B,0))="","",INDEX(Roster!$K:$K,MATCH($C703,Roster!$B:$B,0))&amp;""),"—"))</f>
        <v/>
      </c>
      <c r="M703" s="27" t="n"/>
      <c r="N703" s="27" t="n"/>
      <c r="O703" s="25">
        <f>IF($C703="","",IF($P703="","—",IF($P703="Valid (Pass)","Valid","Invalid")))</f>
        <v/>
      </c>
      <c r="P703" s="27" t="n"/>
      <c r="Q703" s="27" t="n"/>
      <c r="R703" s="27" t="n"/>
      <c r="S703" s="27" t="n"/>
      <c r="T703" s="25">
        <f>IF($C703="","",IF(OR(ISNUMBER(SEARCH("quick case",$P703)),ISNUMBER(SEARCH("quick case",$Q703))),"Yes","No"))</f>
        <v/>
      </c>
      <c r="U703" s="25">
        <f>IF($O703="Invalid",HYPERLINK("mailto:"&amp;$G703&amp;";"&amp;$I703&amp;"?cc="&amp;Lists!$E$2&amp;"&amp;subject="&amp;_xlfn.ENCODEURL("[INVALID] Quality audit monitoring completed for "&amp;UPPER($C703))&amp;"&amp;body="&amp;_xlfn.ENCODEURL("Hi "&amp;$F703&amp;","&amp;CHAR(10)&amp;"Good day!"&amp;CHAR(10)&amp;CHAR(10)&amp;"A quality monitoring audit has been completed for "&amp;$C703&amp;"."&amp;CHAR(10)&amp;CHAR(10)&amp;"QUALITY AUDIT DETAILS"&amp;CHAR(10)&amp;"Agent Name: "&amp;$C703&amp;" (EID "&amp;$D703&amp;")"&amp;CHAR(10)&amp;"Audit Date: "&amp;TEXT($B703,"yyyy-mm-dd")&amp;CHAR(10)&amp;"Team Leader: "&amp;$F703&amp;CHAR(10)&amp;"Case Number: "&amp;$M703&amp;CHAR(10)&amp;"Transaction ID: "&amp;$N703&amp;CHAR(10)&amp;"Channel / LOB: "&amp;$K703&amp;" / "&amp;$L703&amp;CHAR(10)&amp;"Evaluator: "&amp;$S703&amp;CHAR(10)&amp;CHAR(10)&amp;"INVALID QUALITY AUDIT DETAILS"&amp;CHAR(10)&amp;"Validation: Invalid"&amp;CHAR(10)&amp;"Invalid Reason: "&amp;$P703&amp;CHAR(10)&amp;"Expected Resolution Code: "&amp;$Q703&amp;CHAR(10)&amp;"Remarks: "&amp;LEFT($R703,600)&amp;CHAR(10)&amp;CHAR(10)&amp;"This is an automated notification from HP Mainstream EQMS."),"✉ Open Email Draft"),"")</f>
        <v/>
      </c>
    </row>
    <row r="704">
      <c r="A704" s="25">
        <f>IF($C704="","","AUD-2026-"&amp;TEXT(ROW()-1,"000000"))</f>
        <v/>
      </c>
      <c r="B704" s="26" t="n"/>
      <c r="C704" s="27" t="n"/>
      <c r="D704" s="25">
        <f>IF($C704="","",IFERROR(IF(INDEX(Roster!$A:$A,MATCH($C704,Roster!$B:$B,0))="","",INDEX(Roster!$A:$A,MATCH($C704,Roster!$B:$B,0))&amp;""),"—"))</f>
        <v/>
      </c>
      <c r="E704" s="25">
        <f>IF($C704="","",IFERROR(IF(INDEX(Roster!$C:$C,MATCH($C704,Roster!$B:$B,0))="","",INDEX(Roster!$C:$C,MATCH($C704,Roster!$B:$B,0))&amp;""),"—"))</f>
        <v/>
      </c>
      <c r="F704" s="25">
        <f>IF($C704="","",IFERROR(IF(INDEX(Roster!$D:$D,MATCH($C704,Roster!$B:$B,0))="","",INDEX(Roster!$D:$D,MATCH($C704,Roster!$B:$B,0))&amp;""),"—"))</f>
        <v/>
      </c>
      <c r="G704" s="25">
        <f>IF($C704="","",IFERROR(IF(INDEX(Roster!$E:$E,MATCH($C704,Roster!$B:$B,0))="","",INDEX(Roster!$E:$E,MATCH($C704,Roster!$B:$B,0))&amp;""),"—"))</f>
        <v/>
      </c>
      <c r="H704" s="25">
        <f>IF($C704="","",IFERROR(IF(INDEX(Roster!$F:$F,MATCH($C704,Roster!$B:$B,0))="","",INDEX(Roster!$F:$F,MATCH($C704,Roster!$B:$B,0))&amp;""),"—"))</f>
        <v/>
      </c>
      <c r="I704" s="25">
        <f>IF($C704="","",IFERROR(IF(INDEX(Roster!$G:$G,MATCH($C704,Roster!$B:$B,0))="","",INDEX(Roster!$G:$G,MATCH($C704,Roster!$B:$B,0))&amp;""),"—"))</f>
        <v/>
      </c>
      <c r="J704" s="25">
        <f>IF($C704="","",IFERROR(IF(INDEX(Roster!$I:$I,MATCH($C704,Roster!$B:$B,0))="","",INDEX(Roster!$I:$I,MATCH($C704,Roster!$B:$B,0))&amp;""),"—"))</f>
        <v/>
      </c>
      <c r="K704">
        <f>IF($C704="","",IFERROR(IF(INDEX(Roster!$J:$J,MATCH($C704,Roster!$B:$B,0))="","",INDEX(Roster!$J:$J,MATCH($C704,Roster!$B:$B,0))&amp;""),"—"))</f>
        <v/>
      </c>
      <c r="L704">
        <f>IF($C704="","",IFERROR(IF(INDEX(Roster!$K:$K,MATCH($C704,Roster!$B:$B,0))="","",INDEX(Roster!$K:$K,MATCH($C704,Roster!$B:$B,0))&amp;""),"—"))</f>
        <v/>
      </c>
      <c r="M704" s="27" t="n"/>
      <c r="N704" s="27" t="n"/>
      <c r="O704" s="25">
        <f>IF($C704="","",IF($P704="","—",IF($P704="Valid (Pass)","Valid","Invalid")))</f>
        <v/>
      </c>
      <c r="P704" s="27" t="n"/>
      <c r="Q704" s="27" t="n"/>
      <c r="R704" s="27" t="n"/>
      <c r="S704" s="27" t="n"/>
      <c r="T704" s="25">
        <f>IF($C704="","",IF(OR(ISNUMBER(SEARCH("quick case",$P704)),ISNUMBER(SEARCH("quick case",$Q704))),"Yes","No"))</f>
        <v/>
      </c>
      <c r="U704" s="25">
        <f>IF($O704="Invalid",HYPERLINK("mailto:"&amp;$G704&amp;";"&amp;$I704&amp;"?cc="&amp;Lists!$E$2&amp;"&amp;subject="&amp;_xlfn.ENCODEURL("[INVALID] Quality audit monitoring completed for "&amp;UPPER($C704))&amp;"&amp;body="&amp;_xlfn.ENCODEURL("Hi "&amp;$F704&amp;","&amp;CHAR(10)&amp;"Good day!"&amp;CHAR(10)&amp;CHAR(10)&amp;"A quality monitoring audit has been completed for "&amp;$C704&amp;"."&amp;CHAR(10)&amp;CHAR(10)&amp;"QUALITY AUDIT DETAILS"&amp;CHAR(10)&amp;"Agent Name: "&amp;$C704&amp;" (EID "&amp;$D704&amp;")"&amp;CHAR(10)&amp;"Audit Date: "&amp;TEXT($B704,"yyyy-mm-dd")&amp;CHAR(10)&amp;"Team Leader: "&amp;$F704&amp;CHAR(10)&amp;"Case Number: "&amp;$M704&amp;CHAR(10)&amp;"Transaction ID: "&amp;$N704&amp;CHAR(10)&amp;"Channel / LOB: "&amp;$K704&amp;" / "&amp;$L704&amp;CHAR(10)&amp;"Evaluator: "&amp;$S704&amp;CHAR(10)&amp;CHAR(10)&amp;"INVALID QUALITY AUDIT DETAILS"&amp;CHAR(10)&amp;"Validation: Invalid"&amp;CHAR(10)&amp;"Invalid Reason: "&amp;$P704&amp;CHAR(10)&amp;"Expected Resolution Code: "&amp;$Q704&amp;CHAR(10)&amp;"Remarks: "&amp;LEFT($R704,600)&amp;CHAR(10)&amp;CHAR(10)&amp;"This is an automated notification from HP Mainstream EQMS."),"✉ Open Email Draft"),"")</f>
        <v/>
      </c>
    </row>
    <row r="705">
      <c r="A705" s="25">
        <f>IF($C705="","","AUD-2026-"&amp;TEXT(ROW()-1,"000000"))</f>
        <v/>
      </c>
      <c r="B705" s="26" t="n"/>
      <c r="C705" s="27" t="n"/>
      <c r="D705" s="25">
        <f>IF($C705="","",IFERROR(IF(INDEX(Roster!$A:$A,MATCH($C705,Roster!$B:$B,0))="","",INDEX(Roster!$A:$A,MATCH($C705,Roster!$B:$B,0))&amp;""),"—"))</f>
        <v/>
      </c>
      <c r="E705" s="25">
        <f>IF($C705="","",IFERROR(IF(INDEX(Roster!$C:$C,MATCH($C705,Roster!$B:$B,0))="","",INDEX(Roster!$C:$C,MATCH($C705,Roster!$B:$B,0))&amp;""),"—"))</f>
        <v/>
      </c>
      <c r="F705" s="25">
        <f>IF($C705="","",IFERROR(IF(INDEX(Roster!$D:$D,MATCH($C705,Roster!$B:$B,0))="","",INDEX(Roster!$D:$D,MATCH($C705,Roster!$B:$B,0))&amp;""),"—"))</f>
        <v/>
      </c>
      <c r="G705" s="25">
        <f>IF($C705="","",IFERROR(IF(INDEX(Roster!$E:$E,MATCH($C705,Roster!$B:$B,0))="","",INDEX(Roster!$E:$E,MATCH($C705,Roster!$B:$B,0))&amp;""),"—"))</f>
        <v/>
      </c>
      <c r="H705" s="25">
        <f>IF($C705="","",IFERROR(IF(INDEX(Roster!$F:$F,MATCH($C705,Roster!$B:$B,0))="","",INDEX(Roster!$F:$F,MATCH($C705,Roster!$B:$B,0))&amp;""),"—"))</f>
        <v/>
      </c>
      <c r="I705" s="25">
        <f>IF($C705="","",IFERROR(IF(INDEX(Roster!$G:$G,MATCH($C705,Roster!$B:$B,0))="","",INDEX(Roster!$G:$G,MATCH($C705,Roster!$B:$B,0))&amp;""),"—"))</f>
        <v/>
      </c>
      <c r="J705" s="25">
        <f>IF($C705="","",IFERROR(IF(INDEX(Roster!$I:$I,MATCH($C705,Roster!$B:$B,0))="","",INDEX(Roster!$I:$I,MATCH($C705,Roster!$B:$B,0))&amp;""),"—"))</f>
        <v/>
      </c>
      <c r="K705">
        <f>IF($C705="","",IFERROR(IF(INDEX(Roster!$J:$J,MATCH($C705,Roster!$B:$B,0))="","",INDEX(Roster!$J:$J,MATCH($C705,Roster!$B:$B,0))&amp;""),"—"))</f>
        <v/>
      </c>
      <c r="L705">
        <f>IF($C705="","",IFERROR(IF(INDEX(Roster!$K:$K,MATCH($C705,Roster!$B:$B,0))="","",INDEX(Roster!$K:$K,MATCH($C705,Roster!$B:$B,0))&amp;""),"—"))</f>
        <v/>
      </c>
      <c r="M705" s="27" t="n"/>
      <c r="N705" s="27" t="n"/>
      <c r="O705" s="25">
        <f>IF($C705="","",IF($P705="","—",IF($P705="Valid (Pass)","Valid","Invalid")))</f>
        <v/>
      </c>
      <c r="P705" s="27" t="n"/>
      <c r="Q705" s="27" t="n"/>
      <c r="R705" s="27" t="n"/>
      <c r="S705" s="27" t="n"/>
      <c r="T705" s="25">
        <f>IF($C705="","",IF(OR(ISNUMBER(SEARCH("quick case",$P705)),ISNUMBER(SEARCH("quick case",$Q705))),"Yes","No"))</f>
        <v/>
      </c>
      <c r="U705" s="25">
        <f>IF($O705="Invalid",HYPERLINK("mailto:"&amp;$G705&amp;";"&amp;$I705&amp;"?cc="&amp;Lists!$E$2&amp;"&amp;subject="&amp;_xlfn.ENCODEURL("[INVALID] Quality audit monitoring completed for "&amp;UPPER($C705))&amp;"&amp;body="&amp;_xlfn.ENCODEURL("Hi "&amp;$F705&amp;","&amp;CHAR(10)&amp;"Good day!"&amp;CHAR(10)&amp;CHAR(10)&amp;"A quality monitoring audit has been completed for "&amp;$C705&amp;"."&amp;CHAR(10)&amp;CHAR(10)&amp;"QUALITY AUDIT DETAILS"&amp;CHAR(10)&amp;"Agent Name: "&amp;$C705&amp;" (EID "&amp;$D705&amp;")"&amp;CHAR(10)&amp;"Audit Date: "&amp;TEXT($B705,"yyyy-mm-dd")&amp;CHAR(10)&amp;"Team Leader: "&amp;$F705&amp;CHAR(10)&amp;"Case Number: "&amp;$M705&amp;CHAR(10)&amp;"Transaction ID: "&amp;$N705&amp;CHAR(10)&amp;"Channel / LOB: "&amp;$K705&amp;" / "&amp;$L705&amp;CHAR(10)&amp;"Evaluator: "&amp;$S705&amp;CHAR(10)&amp;CHAR(10)&amp;"INVALID QUALITY AUDIT DETAILS"&amp;CHAR(10)&amp;"Validation: Invalid"&amp;CHAR(10)&amp;"Invalid Reason: "&amp;$P705&amp;CHAR(10)&amp;"Expected Resolution Code: "&amp;$Q705&amp;CHAR(10)&amp;"Remarks: "&amp;LEFT($R705,600)&amp;CHAR(10)&amp;CHAR(10)&amp;"This is an automated notification from HP Mainstream EQMS."),"✉ Open Email Draft"),"")</f>
        <v/>
      </c>
    </row>
    <row r="706">
      <c r="A706" s="25">
        <f>IF($C706="","","AUD-2026-"&amp;TEXT(ROW()-1,"000000"))</f>
        <v/>
      </c>
      <c r="B706" s="26" t="n"/>
      <c r="C706" s="27" t="n"/>
      <c r="D706" s="25">
        <f>IF($C706="","",IFERROR(IF(INDEX(Roster!$A:$A,MATCH($C706,Roster!$B:$B,0))="","",INDEX(Roster!$A:$A,MATCH($C706,Roster!$B:$B,0))&amp;""),"—"))</f>
        <v/>
      </c>
      <c r="E706" s="25">
        <f>IF($C706="","",IFERROR(IF(INDEX(Roster!$C:$C,MATCH($C706,Roster!$B:$B,0))="","",INDEX(Roster!$C:$C,MATCH($C706,Roster!$B:$B,0))&amp;""),"—"))</f>
        <v/>
      </c>
      <c r="F706" s="25">
        <f>IF($C706="","",IFERROR(IF(INDEX(Roster!$D:$D,MATCH($C706,Roster!$B:$B,0))="","",INDEX(Roster!$D:$D,MATCH($C706,Roster!$B:$B,0))&amp;""),"—"))</f>
        <v/>
      </c>
      <c r="G706" s="25">
        <f>IF($C706="","",IFERROR(IF(INDEX(Roster!$E:$E,MATCH($C706,Roster!$B:$B,0))="","",INDEX(Roster!$E:$E,MATCH($C706,Roster!$B:$B,0))&amp;""),"—"))</f>
        <v/>
      </c>
      <c r="H706" s="25">
        <f>IF($C706="","",IFERROR(IF(INDEX(Roster!$F:$F,MATCH($C706,Roster!$B:$B,0))="","",INDEX(Roster!$F:$F,MATCH($C706,Roster!$B:$B,0))&amp;""),"—"))</f>
        <v/>
      </c>
      <c r="I706" s="25">
        <f>IF($C706="","",IFERROR(IF(INDEX(Roster!$G:$G,MATCH($C706,Roster!$B:$B,0))="","",INDEX(Roster!$G:$G,MATCH($C706,Roster!$B:$B,0))&amp;""),"—"))</f>
        <v/>
      </c>
      <c r="J706" s="25">
        <f>IF($C706="","",IFERROR(IF(INDEX(Roster!$I:$I,MATCH($C706,Roster!$B:$B,0))="","",INDEX(Roster!$I:$I,MATCH($C706,Roster!$B:$B,0))&amp;""),"—"))</f>
        <v/>
      </c>
      <c r="K706">
        <f>IF($C706="","",IFERROR(IF(INDEX(Roster!$J:$J,MATCH($C706,Roster!$B:$B,0))="","",INDEX(Roster!$J:$J,MATCH($C706,Roster!$B:$B,0))&amp;""),"—"))</f>
        <v/>
      </c>
      <c r="L706">
        <f>IF($C706="","",IFERROR(IF(INDEX(Roster!$K:$K,MATCH($C706,Roster!$B:$B,0))="","",INDEX(Roster!$K:$K,MATCH($C706,Roster!$B:$B,0))&amp;""),"—"))</f>
        <v/>
      </c>
      <c r="M706" s="27" t="n"/>
      <c r="N706" s="27" t="n"/>
      <c r="O706" s="25">
        <f>IF($C706="","",IF($P706="","—",IF($P706="Valid (Pass)","Valid","Invalid")))</f>
        <v/>
      </c>
      <c r="P706" s="27" t="n"/>
      <c r="Q706" s="27" t="n"/>
      <c r="R706" s="27" t="n"/>
      <c r="S706" s="27" t="n"/>
      <c r="T706" s="25">
        <f>IF($C706="","",IF(OR(ISNUMBER(SEARCH("quick case",$P706)),ISNUMBER(SEARCH("quick case",$Q706))),"Yes","No"))</f>
        <v/>
      </c>
      <c r="U706" s="25">
        <f>IF($O706="Invalid",HYPERLINK("mailto:"&amp;$G706&amp;";"&amp;$I706&amp;"?cc="&amp;Lists!$E$2&amp;"&amp;subject="&amp;_xlfn.ENCODEURL("[INVALID] Quality audit monitoring completed for "&amp;UPPER($C706))&amp;"&amp;body="&amp;_xlfn.ENCODEURL("Hi "&amp;$F706&amp;","&amp;CHAR(10)&amp;"Good day!"&amp;CHAR(10)&amp;CHAR(10)&amp;"A quality monitoring audit has been completed for "&amp;$C706&amp;"."&amp;CHAR(10)&amp;CHAR(10)&amp;"QUALITY AUDIT DETAILS"&amp;CHAR(10)&amp;"Agent Name: "&amp;$C706&amp;" (EID "&amp;$D706&amp;")"&amp;CHAR(10)&amp;"Audit Date: "&amp;TEXT($B706,"yyyy-mm-dd")&amp;CHAR(10)&amp;"Team Leader: "&amp;$F706&amp;CHAR(10)&amp;"Case Number: "&amp;$M706&amp;CHAR(10)&amp;"Transaction ID: "&amp;$N706&amp;CHAR(10)&amp;"Channel / LOB: "&amp;$K706&amp;" / "&amp;$L706&amp;CHAR(10)&amp;"Evaluator: "&amp;$S706&amp;CHAR(10)&amp;CHAR(10)&amp;"INVALID QUALITY AUDIT DETAILS"&amp;CHAR(10)&amp;"Validation: Invalid"&amp;CHAR(10)&amp;"Invalid Reason: "&amp;$P706&amp;CHAR(10)&amp;"Expected Resolution Code: "&amp;$Q706&amp;CHAR(10)&amp;"Remarks: "&amp;LEFT($R706,600)&amp;CHAR(10)&amp;CHAR(10)&amp;"This is an automated notification from HP Mainstream EQMS."),"✉ Open Email Draft"),"")</f>
        <v/>
      </c>
    </row>
    <row r="707">
      <c r="A707" s="25">
        <f>IF($C707="","","AUD-2026-"&amp;TEXT(ROW()-1,"000000"))</f>
        <v/>
      </c>
      <c r="B707" s="26" t="n"/>
      <c r="C707" s="27" t="n"/>
      <c r="D707" s="25">
        <f>IF($C707="","",IFERROR(IF(INDEX(Roster!$A:$A,MATCH($C707,Roster!$B:$B,0))="","",INDEX(Roster!$A:$A,MATCH($C707,Roster!$B:$B,0))&amp;""),"—"))</f>
        <v/>
      </c>
      <c r="E707" s="25">
        <f>IF($C707="","",IFERROR(IF(INDEX(Roster!$C:$C,MATCH($C707,Roster!$B:$B,0))="","",INDEX(Roster!$C:$C,MATCH($C707,Roster!$B:$B,0))&amp;""),"—"))</f>
        <v/>
      </c>
      <c r="F707" s="25">
        <f>IF($C707="","",IFERROR(IF(INDEX(Roster!$D:$D,MATCH($C707,Roster!$B:$B,0))="","",INDEX(Roster!$D:$D,MATCH($C707,Roster!$B:$B,0))&amp;""),"—"))</f>
        <v/>
      </c>
      <c r="G707" s="25">
        <f>IF($C707="","",IFERROR(IF(INDEX(Roster!$E:$E,MATCH($C707,Roster!$B:$B,0))="","",INDEX(Roster!$E:$E,MATCH($C707,Roster!$B:$B,0))&amp;""),"—"))</f>
        <v/>
      </c>
      <c r="H707" s="25">
        <f>IF($C707="","",IFERROR(IF(INDEX(Roster!$F:$F,MATCH($C707,Roster!$B:$B,0))="","",INDEX(Roster!$F:$F,MATCH($C707,Roster!$B:$B,0))&amp;""),"—"))</f>
        <v/>
      </c>
      <c r="I707" s="25">
        <f>IF($C707="","",IFERROR(IF(INDEX(Roster!$G:$G,MATCH($C707,Roster!$B:$B,0))="","",INDEX(Roster!$G:$G,MATCH($C707,Roster!$B:$B,0))&amp;""),"—"))</f>
        <v/>
      </c>
      <c r="J707" s="25">
        <f>IF($C707="","",IFERROR(IF(INDEX(Roster!$I:$I,MATCH($C707,Roster!$B:$B,0))="","",INDEX(Roster!$I:$I,MATCH($C707,Roster!$B:$B,0))&amp;""),"—"))</f>
        <v/>
      </c>
      <c r="K707">
        <f>IF($C707="","",IFERROR(IF(INDEX(Roster!$J:$J,MATCH($C707,Roster!$B:$B,0))="","",INDEX(Roster!$J:$J,MATCH($C707,Roster!$B:$B,0))&amp;""),"—"))</f>
        <v/>
      </c>
      <c r="L707">
        <f>IF($C707="","",IFERROR(IF(INDEX(Roster!$K:$K,MATCH($C707,Roster!$B:$B,0))="","",INDEX(Roster!$K:$K,MATCH($C707,Roster!$B:$B,0))&amp;""),"—"))</f>
        <v/>
      </c>
      <c r="M707" s="27" t="n"/>
      <c r="N707" s="27" t="n"/>
      <c r="O707" s="25">
        <f>IF($C707="","",IF($P707="","—",IF($P707="Valid (Pass)","Valid","Invalid")))</f>
        <v/>
      </c>
      <c r="P707" s="27" t="n"/>
      <c r="Q707" s="27" t="n"/>
      <c r="R707" s="27" t="n"/>
      <c r="S707" s="27" t="n"/>
      <c r="T707" s="25">
        <f>IF($C707="","",IF(OR(ISNUMBER(SEARCH("quick case",$P707)),ISNUMBER(SEARCH("quick case",$Q707))),"Yes","No"))</f>
        <v/>
      </c>
      <c r="U707" s="25">
        <f>IF($O707="Invalid",HYPERLINK("mailto:"&amp;$G707&amp;";"&amp;$I707&amp;"?cc="&amp;Lists!$E$2&amp;"&amp;subject="&amp;_xlfn.ENCODEURL("[INVALID] Quality audit monitoring completed for "&amp;UPPER($C707))&amp;"&amp;body="&amp;_xlfn.ENCODEURL("Hi "&amp;$F707&amp;","&amp;CHAR(10)&amp;"Good day!"&amp;CHAR(10)&amp;CHAR(10)&amp;"A quality monitoring audit has been completed for "&amp;$C707&amp;"."&amp;CHAR(10)&amp;CHAR(10)&amp;"QUALITY AUDIT DETAILS"&amp;CHAR(10)&amp;"Agent Name: "&amp;$C707&amp;" (EID "&amp;$D707&amp;")"&amp;CHAR(10)&amp;"Audit Date: "&amp;TEXT($B707,"yyyy-mm-dd")&amp;CHAR(10)&amp;"Team Leader: "&amp;$F707&amp;CHAR(10)&amp;"Case Number: "&amp;$M707&amp;CHAR(10)&amp;"Transaction ID: "&amp;$N707&amp;CHAR(10)&amp;"Channel / LOB: "&amp;$K707&amp;" / "&amp;$L707&amp;CHAR(10)&amp;"Evaluator: "&amp;$S707&amp;CHAR(10)&amp;CHAR(10)&amp;"INVALID QUALITY AUDIT DETAILS"&amp;CHAR(10)&amp;"Validation: Invalid"&amp;CHAR(10)&amp;"Invalid Reason: "&amp;$P707&amp;CHAR(10)&amp;"Expected Resolution Code: "&amp;$Q707&amp;CHAR(10)&amp;"Remarks: "&amp;LEFT($R707,600)&amp;CHAR(10)&amp;CHAR(10)&amp;"This is an automated notification from HP Mainstream EQMS."),"✉ Open Email Draft"),"")</f>
        <v/>
      </c>
    </row>
    <row r="708">
      <c r="A708" s="25">
        <f>IF($C708="","","AUD-2026-"&amp;TEXT(ROW()-1,"000000"))</f>
        <v/>
      </c>
      <c r="B708" s="26" t="n"/>
      <c r="C708" s="27" t="n"/>
      <c r="D708" s="25">
        <f>IF($C708="","",IFERROR(IF(INDEX(Roster!$A:$A,MATCH($C708,Roster!$B:$B,0))="","",INDEX(Roster!$A:$A,MATCH($C708,Roster!$B:$B,0))&amp;""),"—"))</f>
        <v/>
      </c>
      <c r="E708" s="25">
        <f>IF($C708="","",IFERROR(IF(INDEX(Roster!$C:$C,MATCH($C708,Roster!$B:$B,0))="","",INDEX(Roster!$C:$C,MATCH($C708,Roster!$B:$B,0))&amp;""),"—"))</f>
        <v/>
      </c>
      <c r="F708" s="25">
        <f>IF($C708="","",IFERROR(IF(INDEX(Roster!$D:$D,MATCH($C708,Roster!$B:$B,0))="","",INDEX(Roster!$D:$D,MATCH($C708,Roster!$B:$B,0))&amp;""),"—"))</f>
        <v/>
      </c>
      <c r="G708" s="25">
        <f>IF($C708="","",IFERROR(IF(INDEX(Roster!$E:$E,MATCH($C708,Roster!$B:$B,0))="","",INDEX(Roster!$E:$E,MATCH($C708,Roster!$B:$B,0))&amp;""),"—"))</f>
        <v/>
      </c>
      <c r="H708" s="25">
        <f>IF($C708="","",IFERROR(IF(INDEX(Roster!$F:$F,MATCH($C708,Roster!$B:$B,0))="","",INDEX(Roster!$F:$F,MATCH($C708,Roster!$B:$B,0))&amp;""),"—"))</f>
        <v/>
      </c>
      <c r="I708" s="25">
        <f>IF($C708="","",IFERROR(IF(INDEX(Roster!$G:$G,MATCH($C708,Roster!$B:$B,0))="","",INDEX(Roster!$G:$G,MATCH($C708,Roster!$B:$B,0))&amp;""),"—"))</f>
        <v/>
      </c>
      <c r="J708" s="25">
        <f>IF($C708="","",IFERROR(IF(INDEX(Roster!$I:$I,MATCH($C708,Roster!$B:$B,0))="","",INDEX(Roster!$I:$I,MATCH($C708,Roster!$B:$B,0))&amp;""),"—"))</f>
        <v/>
      </c>
      <c r="K708">
        <f>IF($C708="","",IFERROR(IF(INDEX(Roster!$J:$J,MATCH($C708,Roster!$B:$B,0))="","",INDEX(Roster!$J:$J,MATCH($C708,Roster!$B:$B,0))&amp;""),"—"))</f>
        <v/>
      </c>
      <c r="L708">
        <f>IF($C708="","",IFERROR(IF(INDEX(Roster!$K:$K,MATCH($C708,Roster!$B:$B,0))="","",INDEX(Roster!$K:$K,MATCH($C708,Roster!$B:$B,0))&amp;""),"—"))</f>
        <v/>
      </c>
      <c r="M708" s="27" t="n"/>
      <c r="N708" s="27" t="n"/>
      <c r="O708" s="25">
        <f>IF($C708="","",IF($P708="","—",IF($P708="Valid (Pass)","Valid","Invalid")))</f>
        <v/>
      </c>
      <c r="P708" s="27" t="n"/>
      <c r="Q708" s="27" t="n"/>
      <c r="R708" s="27" t="n"/>
      <c r="S708" s="27" t="n"/>
      <c r="T708" s="25">
        <f>IF($C708="","",IF(OR(ISNUMBER(SEARCH("quick case",$P708)),ISNUMBER(SEARCH("quick case",$Q708))),"Yes","No"))</f>
        <v/>
      </c>
      <c r="U708" s="25">
        <f>IF($O708="Invalid",HYPERLINK("mailto:"&amp;$G708&amp;";"&amp;$I708&amp;"?cc="&amp;Lists!$E$2&amp;"&amp;subject="&amp;_xlfn.ENCODEURL("[INVALID] Quality audit monitoring completed for "&amp;UPPER($C708))&amp;"&amp;body="&amp;_xlfn.ENCODEURL("Hi "&amp;$F708&amp;","&amp;CHAR(10)&amp;"Good day!"&amp;CHAR(10)&amp;CHAR(10)&amp;"A quality monitoring audit has been completed for "&amp;$C708&amp;"."&amp;CHAR(10)&amp;CHAR(10)&amp;"QUALITY AUDIT DETAILS"&amp;CHAR(10)&amp;"Agent Name: "&amp;$C708&amp;" (EID "&amp;$D708&amp;")"&amp;CHAR(10)&amp;"Audit Date: "&amp;TEXT($B708,"yyyy-mm-dd")&amp;CHAR(10)&amp;"Team Leader: "&amp;$F708&amp;CHAR(10)&amp;"Case Number: "&amp;$M708&amp;CHAR(10)&amp;"Transaction ID: "&amp;$N708&amp;CHAR(10)&amp;"Channel / LOB: "&amp;$K708&amp;" / "&amp;$L708&amp;CHAR(10)&amp;"Evaluator: "&amp;$S708&amp;CHAR(10)&amp;CHAR(10)&amp;"INVALID QUALITY AUDIT DETAILS"&amp;CHAR(10)&amp;"Validation: Invalid"&amp;CHAR(10)&amp;"Invalid Reason: "&amp;$P708&amp;CHAR(10)&amp;"Expected Resolution Code: "&amp;$Q708&amp;CHAR(10)&amp;"Remarks: "&amp;LEFT($R708,600)&amp;CHAR(10)&amp;CHAR(10)&amp;"This is an automated notification from HP Mainstream EQMS."),"✉ Open Email Draft"),"")</f>
        <v/>
      </c>
    </row>
    <row r="709">
      <c r="A709" s="25">
        <f>IF($C709="","","AUD-2026-"&amp;TEXT(ROW()-1,"000000"))</f>
        <v/>
      </c>
      <c r="B709" s="26" t="n"/>
      <c r="C709" s="27" t="n"/>
      <c r="D709" s="25">
        <f>IF($C709="","",IFERROR(IF(INDEX(Roster!$A:$A,MATCH($C709,Roster!$B:$B,0))="","",INDEX(Roster!$A:$A,MATCH($C709,Roster!$B:$B,0))&amp;""),"—"))</f>
        <v/>
      </c>
      <c r="E709" s="25">
        <f>IF($C709="","",IFERROR(IF(INDEX(Roster!$C:$C,MATCH($C709,Roster!$B:$B,0))="","",INDEX(Roster!$C:$C,MATCH($C709,Roster!$B:$B,0))&amp;""),"—"))</f>
        <v/>
      </c>
      <c r="F709" s="25">
        <f>IF($C709="","",IFERROR(IF(INDEX(Roster!$D:$D,MATCH($C709,Roster!$B:$B,0))="","",INDEX(Roster!$D:$D,MATCH($C709,Roster!$B:$B,0))&amp;""),"—"))</f>
        <v/>
      </c>
      <c r="G709" s="25">
        <f>IF($C709="","",IFERROR(IF(INDEX(Roster!$E:$E,MATCH($C709,Roster!$B:$B,0))="","",INDEX(Roster!$E:$E,MATCH($C709,Roster!$B:$B,0))&amp;""),"—"))</f>
        <v/>
      </c>
      <c r="H709" s="25">
        <f>IF($C709="","",IFERROR(IF(INDEX(Roster!$F:$F,MATCH($C709,Roster!$B:$B,0))="","",INDEX(Roster!$F:$F,MATCH($C709,Roster!$B:$B,0))&amp;""),"—"))</f>
        <v/>
      </c>
      <c r="I709" s="25">
        <f>IF($C709="","",IFERROR(IF(INDEX(Roster!$G:$G,MATCH($C709,Roster!$B:$B,0))="","",INDEX(Roster!$G:$G,MATCH($C709,Roster!$B:$B,0))&amp;""),"—"))</f>
        <v/>
      </c>
      <c r="J709" s="25">
        <f>IF($C709="","",IFERROR(IF(INDEX(Roster!$I:$I,MATCH($C709,Roster!$B:$B,0))="","",INDEX(Roster!$I:$I,MATCH($C709,Roster!$B:$B,0))&amp;""),"—"))</f>
        <v/>
      </c>
      <c r="K709">
        <f>IF($C709="","",IFERROR(IF(INDEX(Roster!$J:$J,MATCH($C709,Roster!$B:$B,0))="","",INDEX(Roster!$J:$J,MATCH($C709,Roster!$B:$B,0))&amp;""),"—"))</f>
        <v/>
      </c>
      <c r="L709">
        <f>IF($C709="","",IFERROR(IF(INDEX(Roster!$K:$K,MATCH($C709,Roster!$B:$B,0))="","",INDEX(Roster!$K:$K,MATCH($C709,Roster!$B:$B,0))&amp;""),"—"))</f>
        <v/>
      </c>
      <c r="M709" s="27" t="n"/>
      <c r="N709" s="27" t="n"/>
      <c r="O709" s="25">
        <f>IF($C709="","",IF($P709="","—",IF($P709="Valid (Pass)","Valid","Invalid")))</f>
        <v/>
      </c>
      <c r="P709" s="27" t="n"/>
      <c r="Q709" s="27" t="n"/>
      <c r="R709" s="27" t="n"/>
      <c r="S709" s="27" t="n"/>
      <c r="T709" s="25">
        <f>IF($C709="","",IF(OR(ISNUMBER(SEARCH("quick case",$P709)),ISNUMBER(SEARCH("quick case",$Q709))),"Yes","No"))</f>
        <v/>
      </c>
      <c r="U709" s="25">
        <f>IF($O709="Invalid",HYPERLINK("mailto:"&amp;$G709&amp;";"&amp;$I709&amp;"?cc="&amp;Lists!$E$2&amp;"&amp;subject="&amp;_xlfn.ENCODEURL("[INVALID] Quality audit monitoring completed for "&amp;UPPER($C709))&amp;"&amp;body="&amp;_xlfn.ENCODEURL("Hi "&amp;$F709&amp;","&amp;CHAR(10)&amp;"Good day!"&amp;CHAR(10)&amp;CHAR(10)&amp;"A quality monitoring audit has been completed for "&amp;$C709&amp;"."&amp;CHAR(10)&amp;CHAR(10)&amp;"QUALITY AUDIT DETAILS"&amp;CHAR(10)&amp;"Agent Name: "&amp;$C709&amp;" (EID "&amp;$D709&amp;")"&amp;CHAR(10)&amp;"Audit Date: "&amp;TEXT($B709,"yyyy-mm-dd")&amp;CHAR(10)&amp;"Team Leader: "&amp;$F709&amp;CHAR(10)&amp;"Case Number: "&amp;$M709&amp;CHAR(10)&amp;"Transaction ID: "&amp;$N709&amp;CHAR(10)&amp;"Channel / LOB: "&amp;$K709&amp;" / "&amp;$L709&amp;CHAR(10)&amp;"Evaluator: "&amp;$S709&amp;CHAR(10)&amp;CHAR(10)&amp;"INVALID QUALITY AUDIT DETAILS"&amp;CHAR(10)&amp;"Validation: Invalid"&amp;CHAR(10)&amp;"Invalid Reason: "&amp;$P709&amp;CHAR(10)&amp;"Expected Resolution Code: "&amp;$Q709&amp;CHAR(10)&amp;"Remarks: "&amp;LEFT($R709,600)&amp;CHAR(10)&amp;CHAR(10)&amp;"This is an automated notification from HP Mainstream EQMS."),"✉ Open Email Draft"),"")</f>
        <v/>
      </c>
    </row>
    <row r="710">
      <c r="A710" s="25">
        <f>IF($C710="","","AUD-2026-"&amp;TEXT(ROW()-1,"000000"))</f>
        <v/>
      </c>
      <c r="B710" s="26" t="n"/>
      <c r="C710" s="27" t="n"/>
      <c r="D710" s="25">
        <f>IF($C710="","",IFERROR(IF(INDEX(Roster!$A:$A,MATCH($C710,Roster!$B:$B,0))="","",INDEX(Roster!$A:$A,MATCH($C710,Roster!$B:$B,0))&amp;""),"—"))</f>
        <v/>
      </c>
      <c r="E710" s="25">
        <f>IF($C710="","",IFERROR(IF(INDEX(Roster!$C:$C,MATCH($C710,Roster!$B:$B,0))="","",INDEX(Roster!$C:$C,MATCH($C710,Roster!$B:$B,0))&amp;""),"—"))</f>
        <v/>
      </c>
      <c r="F710" s="25">
        <f>IF($C710="","",IFERROR(IF(INDEX(Roster!$D:$D,MATCH($C710,Roster!$B:$B,0))="","",INDEX(Roster!$D:$D,MATCH($C710,Roster!$B:$B,0))&amp;""),"—"))</f>
        <v/>
      </c>
      <c r="G710" s="25">
        <f>IF($C710="","",IFERROR(IF(INDEX(Roster!$E:$E,MATCH($C710,Roster!$B:$B,0))="","",INDEX(Roster!$E:$E,MATCH($C710,Roster!$B:$B,0))&amp;""),"—"))</f>
        <v/>
      </c>
      <c r="H710" s="25">
        <f>IF($C710="","",IFERROR(IF(INDEX(Roster!$F:$F,MATCH($C710,Roster!$B:$B,0))="","",INDEX(Roster!$F:$F,MATCH($C710,Roster!$B:$B,0))&amp;""),"—"))</f>
        <v/>
      </c>
      <c r="I710" s="25">
        <f>IF($C710="","",IFERROR(IF(INDEX(Roster!$G:$G,MATCH($C710,Roster!$B:$B,0))="","",INDEX(Roster!$G:$G,MATCH($C710,Roster!$B:$B,0))&amp;""),"—"))</f>
        <v/>
      </c>
      <c r="J710" s="25">
        <f>IF($C710="","",IFERROR(IF(INDEX(Roster!$I:$I,MATCH($C710,Roster!$B:$B,0))="","",INDEX(Roster!$I:$I,MATCH($C710,Roster!$B:$B,0))&amp;""),"—"))</f>
        <v/>
      </c>
      <c r="K710">
        <f>IF($C710="","",IFERROR(IF(INDEX(Roster!$J:$J,MATCH($C710,Roster!$B:$B,0))="","",INDEX(Roster!$J:$J,MATCH($C710,Roster!$B:$B,0))&amp;""),"—"))</f>
        <v/>
      </c>
      <c r="L710">
        <f>IF($C710="","",IFERROR(IF(INDEX(Roster!$K:$K,MATCH($C710,Roster!$B:$B,0))="","",INDEX(Roster!$K:$K,MATCH($C710,Roster!$B:$B,0))&amp;""),"—"))</f>
        <v/>
      </c>
      <c r="M710" s="27" t="n"/>
      <c r="N710" s="27" t="n"/>
      <c r="O710" s="25">
        <f>IF($C710="","",IF($P710="","—",IF($P710="Valid (Pass)","Valid","Invalid")))</f>
        <v/>
      </c>
      <c r="P710" s="27" t="n"/>
      <c r="Q710" s="27" t="n"/>
      <c r="R710" s="27" t="n"/>
      <c r="S710" s="27" t="n"/>
      <c r="T710" s="25">
        <f>IF($C710="","",IF(OR(ISNUMBER(SEARCH("quick case",$P710)),ISNUMBER(SEARCH("quick case",$Q710))),"Yes","No"))</f>
        <v/>
      </c>
      <c r="U710" s="25">
        <f>IF($O710="Invalid",HYPERLINK("mailto:"&amp;$G710&amp;";"&amp;$I710&amp;"?cc="&amp;Lists!$E$2&amp;"&amp;subject="&amp;_xlfn.ENCODEURL("[INVALID] Quality audit monitoring completed for "&amp;UPPER($C710))&amp;"&amp;body="&amp;_xlfn.ENCODEURL("Hi "&amp;$F710&amp;","&amp;CHAR(10)&amp;"Good day!"&amp;CHAR(10)&amp;CHAR(10)&amp;"A quality monitoring audit has been completed for "&amp;$C710&amp;"."&amp;CHAR(10)&amp;CHAR(10)&amp;"QUALITY AUDIT DETAILS"&amp;CHAR(10)&amp;"Agent Name: "&amp;$C710&amp;" (EID "&amp;$D710&amp;")"&amp;CHAR(10)&amp;"Audit Date: "&amp;TEXT($B710,"yyyy-mm-dd")&amp;CHAR(10)&amp;"Team Leader: "&amp;$F710&amp;CHAR(10)&amp;"Case Number: "&amp;$M710&amp;CHAR(10)&amp;"Transaction ID: "&amp;$N710&amp;CHAR(10)&amp;"Channel / LOB: "&amp;$K710&amp;" / "&amp;$L710&amp;CHAR(10)&amp;"Evaluator: "&amp;$S710&amp;CHAR(10)&amp;CHAR(10)&amp;"INVALID QUALITY AUDIT DETAILS"&amp;CHAR(10)&amp;"Validation: Invalid"&amp;CHAR(10)&amp;"Invalid Reason: "&amp;$P710&amp;CHAR(10)&amp;"Expected Resolution Code: "&amp;$Q710&amp;CHAR(10)&amp;"Remarks: "&amp;LEFT($R710,600)&amp;CHAR(10)&amp;CHAR(10)&amp;"This is an automated notification from HP Mainstream EQMS."),"✉ Open Email Draft"),"")</f>
        <v/>
      </c>
    </row>
    <row r="711">
      <c r="A711" s="25">
        <f>IF($C711="","","AUD-2026-"&amp;TEXT(ROW()-1,"000000"))</f>
        <v/>
      </c>
      <c r="B711" s="26" t="n"/>
      <c r="C711" s="27" t="n"/>
      <c r="D711" s="25">
        <f>IF($C711="","",IFERROR(IF(INDEX(Roster!$A:$A,MATCH($C711,Roster!$B:$B,0))="","",INDEX(Roster!$A:$A,MATCH($C711,Roster!$B:$B,0))&amp;""),"—"))</f>
        <v/>
      </c>
      <c r="E711" s="25">
        <f>IF($C711="","",IFERROR(IF(INDEX(Roster!$C:$C,MATCH($C711,Roster!$B:$B,0))="","",INDEX(Roster!$C:$C,MATCH($C711,Roster!$B:$B,0))&amp;""),"—"))</f>
        <v/>
      </c>
      <c r="F711" s="25">
        <f>IF($C711="","",IFERROR(IF(INDEX(Roster!$D:$D,MATCH($C711,Roster!$B:$B,0))="","",INDEX(Roster!$D:$D,MATCH($C711,Roster!$B:$B,0))&amp;""),"—"))</f>
        <v/>
      </c>
      <c r="G711" s="25">
        <f>IF($C711="","",IFERROR(IF(INDEX(Roster!$E:$E,MATCH($C711,Roster!$B:$B,0))="","",INDEX(Roster!$E:$E,MATCH($C711,Roster!$B:$B,0))&amp;""),"—"))</f>
        <v/>
      </c>
      <c r="H711" s="25">
        <f>IF($C711="","",IFERROR(IF(INDEX(Roster!$F:$F,MATCH($C711,Roster!$B:$B,0))="","",INDEX(Roster!$F:$F,MATCH($C711,Roster!$B:$B,0))&amp;""),"—"))</f>
        <v/>
      </c>
      <c r="I711" s="25">
        <f>IF($C711="","",IFERROR(IF(INDEX(Roster!$G:$G,MATCH($C711,Roster!$B:$B,0))="","",INDEX(Roster!$G:$G,MATCH($C711,Roster!$B:$B,0))&amp;""),"—"))</f>
        <v/>
      </c>
      <c r="J711" s="25">
        <f>IF($C711="","",IFERROR(IF(INDEX(Roster!$I:$I,MATCH($C711,Roster!$B:$B,0))="","",INDEX(Roster!$I:$I,MATCH($C711,Roster!$B:$B,0))&amp;""),"—"))</f>
        <v/>
      </c>
      <c r="K711">
        <f>IF($C711="","",IFERROR(IF(INDEX(Roster!$J:$J,MATCH($C711,Roster!$B:$B,0))="","",INDEX(Roster!$J:$J,MATCH($C711,Roster!$B:$B,0))&amp;""),"—"))</f>
        <v/>
      </c>
      <c r="L711">
        <f>IF($C711="","",IFERROR(IF(INDEX(Roster!$K:$K,MATCH($C711,Roster!$B:$B,0))="","",INDEX(Roster!$K:$K,MATCH($C711,Roster!$B:$B,0))&amp;""),"—"))</f>
        <v/>
      </c>
      <c r="M711" s="27" t="n"/>
      <c r="N711" s="27" t="n"/>
      <c r="O711" s="25">
        <f>IF($C711="","",IF($P711="","—",IF($P711="Valid (Pass)","Valid","Invalid")))</f>
        <v/>
      </c>
      <c r="P711" s="27" t="n"/>
      <c r="Q711" s="27" t="n"/>
      <c r="R711" s="27" t="n"/>
      <c r="S711" s="27" t="n"/>
      <c r="T711" s="25">
        <f>IF($C711="","",IF(OR(ISNUMBER(SEARCH("quick case",$P711)),ISNUMBER(SEARCH("quick case",$Q711))),"Yes","No"))</f>
        <v/>
      </c>
      <c r="U711" s="25">
        <f>IF($O711="Invalid",HYPERLINK("mailto:"&amp;$G711&amp;";"&amp;$I711&amp;"?cc="&amp;Lists!$E$2&amp;"&amp;subject="&amp;_xlfn.ENCODEURL("[INVALID] Quality audit monitoring completed for "&amp;UPPER($C711))&amp;"&amp;body="&amp;_xlfn.ENCODEURL("Hi "&amp;$F711&amp;","&amp;CHAR(10)&amp;"Good day!"&amp;CHAR(10)&amp;CHAR(10)&amp;"A quality monitoring audit has been completed for "&amp;$C711&amp;"."&amp;CHAR(10)&amp;CHAR(10)&amp;"QUALITY AUDIT DETAILS"&amp;CHAR(10)&amp;"Agent Name: "&amp;$C711&amp;" (EID "&amp;$D711&amp;")"&amp;CHAR(10)&amp;"Audit Date: "&amp;TEXT($B711,"yyyy-mm-dd")&amp;CHAR(10)&amp;"Team Leader: "&amp;$F711&amp;CHAR(10)&amp;"Case Number: "&amp;$M711&amp;CHAR(10)&amp;"Transaction ID: "&amp;$N711&amp;CHAR(10)&amp;"Channel / LOB: "&amp;$K711&amp;" / "&amp;$L711&amp;CHAR(10)&amp;"Evaluator: "&amp;$S711&amp;CHAR(10)&amp;CHAR(10)&amp;"INVALID QUALITY AUDIT DETAILS"&amp;CHAR(10)&amp;"Validation: Invalid"&amp;CHAR(10)&amp;"Invalid Reason: "&amp;$P711&amp;CHAR(10)&amp;"Expected Resolution Code: "&amp;$Q711&amp;CHAR(10)&amp;"Remarks: "&amp;LEFT($R711,600)&amp;CHAR(10)&amp;CHAR(10)&amp;"This is an automated notification from HP Mainstream EQMS."),"✉ Open Email Draft"),"")</f>
        <v/>
      </c>
    </row>
    <row r="712">
      <c r="A712" s="25">
        <f>IF($C712="","","AUD-2026-"&amp;TEXT(ROW()-1,"000000"))</f>
        <v/>
      </c>
      <c r="B712" s="26" t="n"/>
      <c r="C712" s="27" t="n"/>
      <c r="D712" s="25">
        <f>IF($C712="","",IFERROR(IF(INDEX(Roster!$A:$A,MATCH($C712,Roster!$B:$B,0))="","",INDEX(Roster!$A:$A,MATCH($C712,Roster!$B:$B,0))&amp;""),"—"))</f>
        <v/>
      </c>
      <c r="E712" s="25">
        <f>IF($C712="","",IFERROR(IF(INDEX(Roster!$C:$C,MATCH($C712,Roster!$B:$B,0))="","",INDEX(Roster!$C:$C,MATCH($C712,Roster!$B:$B,0))&amp;""),"—"))</f>
        <v/>
      </c>
      <c r="F712" s="25">
        <f>IF($C712="","",IFERROR(IF(INDEX(Roster!$D:$D,MATCH($C712,Roster!$B:$B,0))="","",INDEX(Roster!$D:$D,MATCH($C712,Roster!$B:$B,0))&amp;""),"—"))</f>
        <v/>
      </c>
      <c r="G712" s="25">
        <f>IF($C712="","",IFERROR(IF(INDEX(Roster!$E:$E,MATCH($C712,Roster!$B:$B,0))="","",INDEX(Roster!$E:$E,MATCH($C712,Roster!$B:$B,0))&amp;""),"—"))</f>
        <v/>
      </c>
      <c r="H712" s="25">
        <f>IF($C712="","",IFERROR(IF(INDEX(Roster!$F:$F,MATCH($C712,Roster!$B:$B,0))="","",INDEX(Roster!$F:$F,MATCH($C712,Roster!$B:$B,0))&amp;""),"—"))</f>
        <v/>
      </c>
      <c r="I712" s="25">
        <f>IF($C712="","",IFERROR(IF(INDEX(Roster!$G:$G,MATCH($C712,Roster!$B:$B,0))="","",INDEX(Roster!$G:$G,MATCH($C712,Roster!$B:$B,0))&amp;""),"—"))</f>
        <v/>
      </c>
      <c r="J712" s="25">
        <f>IF($C712="","",IFERROR(IF(INDEX(Roster!$I:$I,MATCH($C712,Roster!$B:$B,0))="","",INDEX(Roster!$I:$I,MATCH($C712,Roster!$B:$B,0))&amp;""),"—"))</f>
        <v/>
      </c>
      <c r="K712">
        <f>IF($C712="","",IFERROR(IF(INDEX(Roster!$J:$J,MATCH($C712,Roster!$B:$B,0))="","",INDEX(Roster!$J:$J,MATCH($C712,Roster!$B:$B,0))&amp;""),"—"))</f>
        <v/>
      </c>
      <c r="L712">
        <f>IF($C712="","",IFERROR(IF(INDEX(Roster!$K:$K,MATCH($C712,Roster!$B:$B,0))="","",INDEX(Roster!$K:$K,MATCH($C712,Roster!$B:$B,0))&amp;""),"—"))</f>
        <v/>
      </c>
      <c r="M712" s="27" t="n"/>
      <c r="N712" s="27" t="n"/>
      <c r="O712" s="25">
        <f>IF($C712="","",IF($P712="","—",IF($P712="Valid (Pass)","Valid","Invalid")))</f>
        <v/>
      </c>
      <c r="P712" s="27" t="n"/>
      <c r="Q712" s="27" t="n"/>
      <c r="R712" s="27" t="n"/>
      <c r="S712" s="27" t="n"/>
      <c r="T712" s="25">
        <f>IF($C712="","",IF(OR(ISNUMBER(SEARCH("quick case",$P712)),ISNUMBER(SEARCH("quick case",$Q712))),"Yes","No"))</f>
        <v/>
      </c>
      <c r="U712" s="25">
        <f>IF($O712="Invalid",HYPERLINK("mailto:"&amp;$G712&amp;";"&amp;$I712&amp;"?cc="&amp;Lists!$E$2&amp;"&amp;subject="&amp;_xlfn.ENCODEURL("[INVALID] Quality audit monitoring completed for "&amp;UPPER($C712))&amp;"&amp;body="&amp;_xlfn.ENCODEURL("Hi "&amp;$F712&amp;","&amp;CHAR(10)&amp;"Good day!"&amp;CHAR(10)&amp;CHAR(10)&amp;"A quality monitoring audit has been completed for "&amp;$C712&amp;"."&amp;CHAR(10)&amp;CHAR(10)&amp;"QUALITY AUDIT DETAILS"&amp;CHAR(10)&amp;"Agent Name: "&amp;$C712&amp;" (EID "&amp;$D712&amp;")"&amp;CHAR(10)&amp;"Audit Date: "&amp;TEXT($B712,"yyyy-mm-dd")&amp;CHAR(10)&amp;"Team Leader: "&amp;$F712&amp;CHAR(10)&amp;"Case Number: "&amp;$M712&amp;CHAR(10)&amp;"Transaction ID: "&amp;$N712&amp;CHAR(10)&amp;"Channel / LOB: "&amp;$K712&amp;" / "&amp;$L712&amp;CHAR(10)&amp;"Evaluator: "&amp;$S712&amp;CHAR(10)&amp;CHAR(10)&amp;"INVALID QUALITY AUDIT DETAILS"&amp;CHAR(10)&amp;"Validation: Invalid"&amp;CHAR(10)&amp;"Invalid Reason: "&amp;$P712&amp;CHAR(10)&amp;"Expected Resolution Code: "&amp;$Q712&amp;CHAR(10)&amp;"Remarks: "&amp;LEFT($R712,600)&amp;CHAR(10)&amp;CHAR(10)&amp;"This is an automated notification from HP Mainstream EQMS."),"✉ Open Email Draft"),"")</f>
        <v/>
      </c>
    </row>
    <row r="713">
      <c r="A713" s="25">
        <f>IF($C713="","","AUD-2026-"&amp;TEXT(ROW()-1,"000000"))</f>
        <v/>
      </c>
      <c r="B713" s="26" t="n"/>
      <c r="C713" s="27" t="n"/>
      <c r="D713" s="25">
        <f>IF($C713="","",IFERROR(IF(INDEX(Roster!$A:$A,MATCH($C713,Roster!$B:$B,0))="","",INDEX(Roster!$A:$A,MATCH($C713,Roster!$B:$B,0))&amp;""),"—"))</f>
        <v/>
      </c>
      <c r="E713" s="25">
        <f>IF($C713="","",IFERROR(IF(INDEX(Roster!$C:$C,MATCH($C713,Roster!$B:$B,0))="","",INDEX(Roster!$C:$C,MATCH($C713,Roster!$B:$B,0))&amp;""),"—"))</f>
        <v/>
      </c>
      <c r="F713" s="25">
        <f>IF($C713="","",IFERROR(IF(INDEX(Roster!$D:$D,MATCH($C713,Roster!$B:$B,0))="","",INDEX(Roster!$D:$D,MATCH($C713,Roster!$B:$B,0))&amp;""),"—"))</f>
        <v/>
      </c>
      <c r="G713" s="25">
        <f>IF($C713="","",IFERROR(IF(INDEX(Roster!$E:$E,MATCH($C713,Roster!$B:$B,0))="","",INDEX(Roster!$E:$E,MATCH($C713,Roster!$B:$B,0))&amp;""),"—"))</f>
        <v/>
      </c>
      <c r="H713" s="25">
        <f>IF($C713="","",IFERROR(IF(INDEX(Roster!$F:$F,MATCH($C713,Roster!$B:$B,0))="","",INDEX(Roster!$F:$F,MATCH($C713,Roster!$B:$B,0))&amp;""),"—"))</f>
        <v/>
      </c>
      <c r="I713" s="25">
        <f>IF($C713="","",IFERROR(IF(INDEX(Roster!$G:$G,MATCH($C713,Roster!$B:$B,0))="","",INDEX(Roster!$G:$G,MATCH($C713,Roster!$B:$B,0))&amp;""),"—"))</f>
        <v/>
      </c>
      <c r="J713" s="25">
        <f>IF($C713="","",IFERROR(IF(INDEX(Roster!$I:$I,MATCH($C713,Roster!$B:$B,0))="","",INDEX(Roster!$I:$I,MATCH($C713,Roster!$B:$B,0))&amp;""),"—"))</f>
        <v/>
      </c>
      <c r="K713">
        <f>IF($C713="","",IFERROR(IF(INDEX(Roster!$J:$J,MATCH($C713,Roster!$B:$B,0))="","",INDEX(Roster!$J:$J,MATCH($C713,Roster!$B:$B,0))&amp;""),"—"))</f>
        <v/>
      </c>
      <c r="L713">
        <f>IF($C713="","",IFERROR(IF(INDEX(Roster!$K:$K,MATCH($C713,Roster!$B:$B,0))="","",INDEX(Roster!$K:$K,MATCH($C713,Roster!$B:$B,0))&amp;""),"—"))</f>
        <v/>
      </c>
      <c r="M713" s="27" t="n"/>
      <c r="N713" s="27" t="n"/>
      <c r="O713" s="25">
        <f>IF($C713="","",IF($P713="","—",IF($P713="Valid (Pass)","Valid","Invalid")))</f>
        <v/>
      </c>
      <c r="P713" s="27" t="n"/>
      <c r="Q713" s="27" t="n"/>
      <c r="R713" s="27" t="n"/>
      <c r="S713" s="27" t="n"/>
      <c r="T713" s="25">
        <f>IF($C713="","",IF(OR(ISNUMBER(SEARCH("quick case",$P713)),ISNUMBER(SEARCH("quick case",$Q713))),"Yes","No"))</f>
        <v/>
      </c>
      <c r="U713" s="25">
        <f>IF($O713="Invalid",HYPERLINK("mailto:"&amp;$G713&amp;";"&amp;$I713&amp;"?cc="&amp;Lists!$E$2&amp;"&amp;subject="&amp;_xlfn.ENCODEURL("[INVALID] Quality audit monitoring completed for "&amp;UPPER($C713))&amp;"&amp;body="&amp;_xlfn.ENCODEURL("Hi "&amp;$F713&amp;","&amp;CHAR(10)&amp;"Good day!"&amp;CHAR(10)&amp;CHAR(10)&amp;"A quality monitoring audit has been completed for "&amp;$C713&amp;"."&amp;CHAR(10)&amp;CHAR(10)&amp;"QUALITY AUDIT DETAILS"&amp;CHAR(10)&amp;"Agent Name: "&amp;$C713&amp;" (EID "&amp;$D713&amp;")"&amp;CHAR(10)&amp;"Audit Date: "&amp;TEXT($B713,"yyyy-mm-dd")&amp;CHAR(10)&amp;"Team Leader: "&amp;$F713&amp;CHAR(10)&amp;"Case Number: "&amp;$M713&amp;CHAR(10)&amp;"Transaction ID: "&amp;$N713&amp;CHAR(10)&amp;"Channel / LOB: "&amp;$K713&amp;" / "&amp;$L713&amp;CHAR(10)&amp;"Evaluator: "&amp;$S713&amp;CHAR(10)&amp;CHAR(10)&amp;"INVALID QUALITY AUDIT DETAILS"&amp;CHAR(10)&amp;"Validation: Invalid"&amp;CHAR(10)&amp;"Invalid Reason: "&amp;$P713&amp;CHAR(10)&amp;"Expected Resolution Code: "&amp;$Q713&amp;CHAR(10)&amp;"Remarks: "&amp;LEFT($R713,600)&amp;CHAR(10)&amp;CHAR(10)&amp;"This is an automated notification from HP Mainstream EQMS."),"✉ Open Email Draft"),"")</f>
        <v/>
      </c>
    </row>
    <row r="714">
      <c r="A714" s="25">
        <f>IF($C714="","","AUD-2026-"&amp;TEXT(ROW()-1,"000000"))</f>
        <v/>
      </c>
      <c r="B714" s="26" t="n"/>
      <c r="C714" s="27" t="n"/>
      <c r="D714" s="25">
        <f>IF($C714="","",IFERROR(IF(INDEX(Roster!$A:$A,MATCH($C714,Roster!$B:$B,0))="","",INDEX(Roster!$A:$A,MATCH($C714,Roster!$B:$B,0))&amp;""),"—"))</f>
        <v/>
      </c>
      <c r="E714" s="25">
        <f>IF($C714="","",IFERROR(IF(INDEX(Roster!$C:$C,MATCH($C714,Roster!$B:$B,0))="","",INDEX(Roster!$C:$C,MATCH($C714,Roster!$B:$B,0))&amp;""),"—"))</f>
        <v/>
      </c>
      <c r="F714" s="25">
        <f>IF($C714="","",IFERROR(IF(INDEX(Roster!$D:$D,MATCH($C714,Roster!$B:$B,0))="","",INDEX(Roster!$D:$D,MATCH($C714,Roster!$B:$B,0))&amp;""),"—"))</f>
        <v/>
      </c>
      <c r="G714" s="25">
        <f>IF($C714="","",IFERROR(IF(INDEX(Roster!$E:$E,MATCH($C714,Roster!$B:$B,0))="","",INDEX(Roster!$E:$E,MATCH($C714,Roster!$B:$B,0))&amp;""),"—"))</f>
        <v/>
      </c>
      <c r="H714" s="25">
        <f>IF($C714="","",IFERROR(IF(INDEX(Roster!$F:$F,MATCH($C714,Roster!$B:$B,0))="","",INDEX(Roster!$F:$F,MATCH($C714,Roster!$B:$B,0))&amp;""),"—"))</f>
        <v/>
      </c>
      <c r="I714" s="25">
        <f>IF($C714="","",IFERROR(IF(INDEX(Roster!$G:$G,MATCH($C714,Roster!$B:$B,0))="","",INDEX(Roster!$G:$G,MATCH($C714,Roster!$B:$B,0))&amp;""),"—"))</f>
        <v/>
      </c>
      <c r="J714" s="25">
        <f>IF($C714="","",IFERROR(IF(INDEX(Roster!$I:$I,MATCH($C714,Roster!$B:$B,0))="","",INDEX(Roster!$I:$I,MATCH($C714,Roster!$B:$B,0))&amp;""),"—"))</f>
        <v/>
      </c>
      <c r="K714">
        <f>IF($C714="","",IFERROR(IF(INDEX(Roster!$J:$J,MATCH($C714,Roster!$B:$B,0))="","",INDEX(Roster!$J:$J,MATCH($C714,Roster!$B:$B,0))&amp;""),"—"))</f>
        <v/>
      </c>
      <c r="L714">
        <f>IF($C714="","",IFERROR(IF(INDEX(Roster!$K:$K,MATCH($C714,Roster!$B:$B,0))="","",INDEX(Roster!$K:$K,MATCH($C714,Roster!$B:$B,0))&amp;""),"—"))</f>
        <v/>
      </c>
      <c r="M714" s="27" t="n"/>
      <c r="N714" s="27" t="n"/>
      <c r="O714" s="25">
        <f>IF($C714="","",IF($P714="","—",IF($P714="Valid (Pass)","Valid","Invalid")))</f>
        <v/>
      </c>
      <c r="P714" s="27" t="n"/>
      <c r="Q714" s="27" t="n"/>
      <c r="R714" s="27" t="n"/>
      <c r="S714" s="27" t="n"/>
      <c r="T714" s="25">
        <f>IF($C714="","",IF(OR(ISNUMBER(SEARCH("quick case",$P714)),ISNUMBER(SEARCH("quick case",$Q714))),"Yes","No"))</f>
        <v/>
      </c>
      <c r="U714" s="25">
        <f>IF($O714="Invalid",HYPERLINK("mailto:"&amp;$G714&amp;";"&amp;$I714&amp;"?cc="&amp;Lists!$E$2&amp;"&amp;subject="&amp;_xlfn.ENCODEURL("[INVALID] Quality audit monitoring completed for "&amp;UPPER($C714))&amp;"&amp;body="&amp;_xlfn.ENCODEURL("Hi "&amp;$F714&amp;","&amp;CHAR(10)&amp;"Good day!"&amp;CHAR(10)&amp;CHAR(10)&amp;"A quality monitoring audit has been completed for "&amp;$C714&amp;"."&amp;CHAR(10)&amp;CHAR(10)&amp;"QUALITY AUDIT DETAILS"&amp;CHAR(10)&amp;"Agent Name: "&amp;$C714&amp;" (EID "&amp;$D714&amp;")"&amp;CHAR(10)&amp;"Audit Date: "&amp;TEXT($B714,"yyyy-mm-dd")&amp;CHAR(10)&amp;"Team Leader: "&amp;$F714&amp;CHAR(10)&amp;"Case Number: "&amp;$M714&amp;CHAR(10)&amp;"Transaction ID: "&amp;$N714&amp;CHAR(10)&amp;"Channel / LOB: "&amp;$K714&amp;" / "&amp;$L714&amp;CHAR(10)&amp;"Evaluator: "&amp;$S714&amp;CHAR(10)&amp;CHAR(10)&amp;"INVALID QUALITY AUDIT DETAILS"&amp;CHAR(10)&amp;"Validation: Invalid"&amp;CHAR(10)&amp;"Invalid Reason: "&amp;$P714&amp;CHAR(10)&amp;"Expected Resolution Code: "&amp;$Q714&amp;CHAR(10)&amp;"Remarks: "&amp;LEFT($R714,600)&amp;CHAR(10)&amp;CHAR(10)&amp;"This is an automated notification from HP Mainstream EQMS."),"✉ Open Email Draft"),"")</f>
        <v/>
      </c>
    </row>
    <row r="715">
      <c r="A715" s="25">
        <f>IF($C715="","","AUD-2026-"&amp;TEXT(ROW()-1,"000000"))</f>
        <v/>
      </c>
      <c r="B715" s="26" t="n"/>
      <c r="C715" s="27" t="n"/>
      <c r="D715" s="25">
        <f>IF($C715="","",IFERROR(IF(INDEX(Roster!$A:$A,MATCH($C715,Roster!$B:$B,0))="","",INDEX(Roster!$A:$A,MATCH($C715,Roster!$B:$B,0))&amp;""),"—"))</f>
        <v/>
      </c>
      <c r="E715" s="25">
        <f>IF($C715="","",IFERROR(IF(INDEX(Roster!$C:$C,MATCH($C715,Roster!$B:$B,0))="","",INDEX(Roster!$C:$C,MATCH($C715,Roster!$B:$B,0))&amp;""),"—"))</f>
        <v/>
      </c>
      <c r="F715" s="25">
        <f>IF($C715="","",IFERROR(IF(INDEX(Roster!$D:$D,MATCH($C715,Roster!$B:$B,0))="","",INDEX(Roster!$D:$D,MATCH($C715,Roster!$B:$B,0))&amp;""),"—"))</f>
        <v/>
      </c>
      <c r="G715" s="25">
        <f>IF($C715="","",IFERROR(IF(INDEX(Roster!$E:$E,MATCH($C715,Roster!$B:$B,0))="","",INDEX(Roster!$E:$E,MATCH($C715,Roster!$B:$B,0))&amp;""),"—"))</f>
        <v/>
      </c>
      <c r="H715" s="25">
        <f>IF($C715="","",IFERROR(IF(INDEX(Roster!$F:$F,MATCH($C715,Roster!$B:$B,0))="","",INDEX(Roster!$F:$F,MATCH($C715,Roster!$B:$B,0))&amp;""),"—"))</f>
        <v/>
      </c>
      <c r="I715" s="25">
        <f>IF($C715="","",IFERROR(IF(INDEX(Roster!$G:$G,MATCH($C715,Roster!$B:$B,0))="","",INDEX(Roster!$G:$G,MATCH($C715,Roster!$B:$B,0))&amp;""),"—"))</f>
        <v/>
      </c>
      <c r="J715" s="25">
        <f>IF($C715="","",IFERROR(IF(INDEX(Roster!$I:$I,MATCH($C715,Roster!$B:$B,0))="","",INDEX(Roster!$I:$I,MATCH($C715,Roster!$B:$B,0))&amp;""),"—"))</f>
        <v/>
      </c>
      <c r="K715">
        <f>IF($C715="","",IFERROR(IF(INDEX(Roster!$J:$J,MATCH($C715,Roster!$B:$B,0))="","",INDEX(Roster!$J:$J,MATCH($C715,Roster!$B:$B,0))&amp;""),"—"))</f>
        <v/>
      </c>
      <c r="L715">
        <f>IF($C715="","",IFERROR(IF(INDEX(Roster!$K:$K,MATCH($C715,Roster!$B:$B,0))="","",INDEX(Roster!$K:$K,MATCH($C715,Roster!$B:$B,0))&amp;""),"—"))</f>
        <v/>
      </c>
      <c r="M715" s="27" t="n"/>
      <c r="N715" s="27" t="n"/>
      <c r="O715" s="25">
        <f>IF($C715="","",IF($P715="","—",IF($P715="Valid (Pass)","Valid","Invalid")))</f>
        <v/>
      </c>
      <c r="P715" s="27" t="n"/>
      <c r="Q715" s="27" t="n"/>
      <c r="R715" s="27" t="n"/>
      <c r="S715" s="27" t="n"/>
      <c r="T715" s="25">
        <f>IF($C715="","",IF(OR(ISNUMBER(SEARCH("quick case",$P715)),ISNUMBER(SEARCH("quick case",$Q715))),"Yes","No"))</f>
        <v/>
      </c>
      <c r="U715" s="25">
        <f>IF($O715="Invalid",HYPERLINK("mailto:"&amp;$G715&amp;";"&amp;$I715&amp;"?cc="&amp;Lists!$E$2&amp;"&amp;subject="&amp;_xlfn.ENCODEURL("[INVALID] Quality audit monitoring completed for "&amp;UPPER($C715))&amp;"&amp;body="&amp;_xlfn.ENCODEURL("Hi "&amp;$F715&amp;","&amp;CHAR(10)&amp;"Good day!"&amp;CHAR(10)&amp;CHAR(10)&amp;"A quality monitoring audit has been completed for "&amp;$C715&amp;"."&amp;CHAR(10)&amp;CHAR(10)&amp;"QUALITY AUDIT DETAILS"&amp;CHAR(10)&amp;"Agent Name: "&amp;$C715&amp;" (EID "&amp;$D715&amp;")"&amp;CHAR(10)&amp;"Audit Date: "&amp;TEXT($B715,"yyyy-mm-dd")&amp;CHAR(10)&amp;"Team Leader: "&amp;$F715&amp;CHAR(10)&amp;"Case Number: "&amp;$M715&amp;CHAR(10)&amp;"Transaction ID: "&amp;$N715&amp;CHAR(10)&amp;"Channel / LOB: "&amp;$K715&amp;" / "&amp;$L715&amp;CHAR(10)&amp;"Evaluator: "&amp;$S715&amp;CHAR(10)&amp;CHAR(10)&amp;"INVALID QUALITY AUDIT DETAILS"&amp;CHAR(10)&amp;"Validation: Invalid"&amp;CHAR(10)&amp;"Invalid Reason: "&amp;$P715&amp;CHAR(10)&amp;"Expected Resolution Code: "&amp;$Q715&amp;CHAR(10)&amp;"Remarks: "&amp;LEFT($R715,600)&amp;CHAR(10)&amp;CHAR(10)&amp;"This is an automated notification from HP Mainstream EQMS."),"✉ Open Email Draft"),"")</f>
        <v/>
      </c>
    </row>
    <row r="716">
      <c r="A716" s="25">
        <f>IF($C716="","","AUD-2026-"&amp;TEXT(ROW()-1,"000000"))</f>
        <v/>
      </c>
      <c r="B716" s="26" t="n"/>
      <c r="C716" s="27" t="n"/>
      <c r="D716" s="25">
        <f>IF($C716="","",IFERROR(IF(INDEX(Roster!$A:$A,MATCH($C716,Roster!$B:$B,0))="","",INDEX(Roster!$A:$A,MATCH($C716,Roster!$B:$B,0))&amp;""),"—"))</f>
        <v/>
      </c>
      <c r="E716" s="25">
        <f>IF($C716="","",IFERROR(IF(INDEX(Roster!$C:$C,MATCH($C716,Roster!$B:$B,0))="","",INDEX(Roster!$C:$C,MATCH($C716,Roster!$B:$B,0))&amp;""),"—"))</f>
        <v/>
      </c>
      <c r="F716" s="25">
        <f>IF($C716="","",IFERROR(IF(INDEX(Roster!$D:$D,MATCH($C716,Roster!$B:$B,0))="","",INDEX(Roster!$D:$D,MATCH($C716,Roster!$B:$B,0))&amp;""),"—"))</f>
        <v/>
      </c>
      <c r="G716" s="25">
        <f>IF($C716="","",IFERROR(IF(INDEX(Roster!$E:$E,MATCH($C716,Roster!$B:$B,0))="","",INDEX(Roster!$E:$E,MATCH($C716,Roster!$B:$B,0))&amp;""),"—"))</f>
        <v/>
      </c>
      <c r="H716" s="25">
        <f>IF($C716="","",IFERROR(IF(INDEX(Roster!$F:$F,MATCH($C716,Roster!$B:$B,0))="","",INDEX(Roster!$F:$F,MATCH($C716,Roster!$B:$B,0))&amp;""),"—"))</f>
        <v/>
      </c>
      <c r="I716" s="25">
        <f>IF($C716="","",IFERROR(IF(INDEX(Roster!$G:$G,MATCH($C716,Roster!$B:$B,0))="","",INDEX(Roster!$G:$G,MATCH($C716,Roster!$B:$B,0))&amp;""),"—"))</f>
        <v/>
      </c>
      <c r="J716" s="25">
        <f>IF($C716="","",IFERROR(IF(INDEX(Roster!$I:$I,MATCH($C716,Roster!$B:$B,0))="","",INDEX(Roster!$I:$I,MATCH($C716,Roster!$B:$B,0))&amp;""),"—"))</f>
        <v/>
      </c>
      <c r="K716">
        <f>IF($C716="","",IFERROR(IF(INDEX(Roster!$J:$J,MATCH($C716,Roster!$B:$B,0))="","",INDEX(Roster!$J:$J,MATCH($C716,Roster!$B:$B,0))&amp;""),"—"))</f>
        <v/>
      </c>
      <c r="L716">
        <f>IF($C716="","",IFERROR(IF(INDEX(Roster!$K:$K,MATCH($C716,Roster!$B:$B,0))="","",INDEX(Roster!$K:$K,MATCH($C716,Roster!$B:$B,0))&amp;""),"—"))</f>
        <v/>
      </c>
      <c r="M716" s="27" t="n"/>
      <c r="N716" s="27" t="n"/>
      <c r="O716" s="25">
        <f>IF($C716="","",IF($P716="","—",IF($P716="Valid (Pass)","Valid","Invalid")))</f>
        <v/>
      </c>
      <c r="P716" s="27" t="n"/>
      <c r="Q716" s="27" t="n"/>
      <c r="R716" s="27" t="n"/>
      <c r="S716" s="27" t="n"/>
      <c r="T716" s="25">
        <f>IF($C716="","",IF(OR(ISNUMBER(SEARCH("quick case",$P716)),ISNUMBER(SEARCH("quick case",$Q716))),"Yes","No"))</f>
        <v/>
      </c>
      <c r="U716" s="25">
        <f>IF($O716="Invalid",HYPERLINK("mailto:"&amp;$G716&amp;";"&amp;$I716&amp;"?cc="&amp;Lists!$E$2&amp;"&amp;subject="&amp;_xlfn.ENCODEURL("[INVALID] Quality audit monitoring completed for "&amp;UPPER($C716))&amp;"&amp;body="&amp;_xlfn.ENCODEURL("Hi "&amp;$F716&amp;","&amp;CHAR(10)&amp;"Good day!"&amp;CHAR(10)&amp;CHAR(10)&amp;"A quality monitoring audit has been completed for "&amp;$C716&amp;"."&amp;CHAR(10)&amp;CHAR(10)&amp;"QUALITY AUDIT DETAILS"&amp;CHAR(10)&amp;"Agent Name: "&amp;$C716&amp;" (EID "&amp;$D716&amp;")"&amp;CHAR(10)&amp;"Audit Date: "&amp;TEXT($B716,"yyyy-mm-dd")&amp;CHAR(10)&amp;"Team Leader: "&amp;$F716&amp;CHAR(10)&amp;"Case Number: "&amp;$M716&amp;CHAR(10)&amp;"Transaction ID: "&amp;$N716&amp;CHAR(10)&amp;"Channel / LOB: "&amp;$K716&amp;" / "&amp;$L716&amp;CHAR(10)&amp;"Evaluator: "&amp;$S716&amp;CHAR(10)&amp;CHAR(10)&amp;"INVALID QUALITY AUDIT DETAILS"&amp;CHAR(10)&amp;"Validation: Invalid"&amp;CHAR(10)&amp;"Invalid Reason: "&amp;$P716&amp;CHAR(10)&amp;"Expected Resolution Code: "&amp;$Q716&amp;CHAR(10)&amp;"Remarks: "&amp;LEFT($R716,600)&amp;CHAR(10)&amp;CHAR(10)&amp;"This is an automated notification from HP Mainstream EQMS."),"✉ Open Email Draft"),"")</f>
        <v/>
      </c>
    </row>
    <row r="717">
      <c r="A717" s="25">
        <f>IF($C717="","","AUD-2026-"&amp;TEXT(ROW()-1,"000000"))</f>
        <v/>
      </c>
      <c r="B717" s="26" t="n"/>
      <c r="C717" s="27" t="n"/>
      <c r="D717" s="25">
        <f>IF($C717="","",IFERROR(IF(INDEX(Roster!$A:$A,MATCH($C717,Roster!$B:$B,0))="","",INDEX(Roster!$A:$A,MATCH($C717,Roster!$B:$B,0))&amp;""),"—"))</f>
        <v/>
      </c>
      <c r="E717" s="25">
        <f>IF($C717="","",IFERROR(IF(INDEX(Roster!$C:$C,MATCH($C717,Roster!$B:$B,0))="","",INDEX(Roster!$C:$C,MATCH($C717,Roster!$B:$B,0))&amp;""),"—"))</f>
        <v/>
      </c>
      <c r="F717" s="25">
        <f>IF($C717="","",IFERROR(IF(INDEX(Roster!$D:$D,MATCH($C717,Roster!$B:$B,0))="","",INDEX(Roster!$D:$D,MATCH($C717,Roster!$B:$B,0))&amp;""),"—"))</f>
        <v/>
      </c>
      <c r="G717" s="25">
        <f>IF($C717="","",IFERROR(IF(INDEX(Roster!$E:$E,MATCH($C717,Roster!$B:$B,0))="","",INDEX(Roster!$E:$E,MATCH($C717,Roster!$B:$B,0))&amp;""),"—"))</f>
        <v/>
      </c>
      <c r="H717" s="25">
        <f>IF($C717="","",IFERROR(IF(INDEX(Roster!$F:$F,MATCH($C717,Roster!$B:$B,0))="","",INDEX(Roster!$F:$F,MATCH($C717,Roster!$B:$B,0))&amp;""),"—"))</f>
        <v/>
      </c>
      <c r="I717" s="25">
        <f>IF($C717="","",IFERROR(IF(INDEX(Roster!$G:$G,MATCH($C717,Roster!$B:$B,0))="","",INDEX(Roster!$G:$G,MATCH($C717,Roster!$B:$B,0))&amp;""),"—"))</f>
        <v/>
      </c>
      <c r="J717" s="25">
        <f>IF($C717="","",IFERROR(IF(INDEX(Roster!$I:$I,MATCH($C717,Roster!$B:$B,0))="","",INDEX(Roster!$I:$I,MATCH($C717,Roster!$B:$B,0))&amp;""),"—"))</f>
        <v/>
      </c>
      <c r="K717">
        <f>IF($C717="","",IFERROR(IF(INDEX(Roster!$J:$J,MATCH($C717,Roster!$B:$B,0))="","",INDEX(Roster!$J:$J,MATCH($C717,Roster!$B:$B,0))&amp;""),"—"))</f>
        <v/>
      </c>
      <c r="L717">
        <f>IF($C717="","",IFERROR(IF(INDEX(Roster!$K:$K,MATCH($C717,Roster!$B:$B,0))="","",INDEX(Roster!$K:$K,MATCH($C717,Roster!$B:$B,0))&amp;""),"—"))</f>
        <v/>
      </c>
      <c r="M717" s="27" t="n"/>
      <c r="N717" s="27" t="n"/>
      <c r="O717" s="25">
        <f>IF($C717="","",IF($P717="","—",IF($P717="Valid (Pass)","Valid","Invalid")))</f>
        <v/>
      </c>
      <c r="P717" s="27" t="n"/>
      <c r="Q717" s="27" t="n"/>
      <c r="R717" s="27" t="n"/>
      <c r="S717" s="27" t="n"/>
      <c r="T717" s="25">
        <f>IF($C717="","",IF(OR(ISNUMBER(SEARCH("quick case",$P717)),ISNUMBER(SEARCH("quick case",$Q717))),"Yes","No"))</f>
        <v/>
      </c>
      <c r="U717" s="25">
        <f>IF($O717="Invalid",HYPERLINK("mailto:"&amp;$G717&amp;";"&amp;$I717&amp;"?cc="&amp;Lists!$E$2&amp;"&amp;subject="&amp;_xlfn.ENCODEURL("[INVALID] Quality audit monitoring completed for "&amp;UPPER($C717))&amp;"&amp;body="&amp;_xlfn.ENCODEURL("Hi "&amp;$F717&amp;","&amp;CHAR(10)&amp;"Good day!"&amp;CHAR(10)&amp;CHAR(10)&amp;"A quality monitoring audit has been completed for "&amp;$C717&amp;"."&amp;CHAR(10)&amp;CHAR(10)&amp;"QUALITY AUDIT DETAILS"&amp;CHAR(10)&amp;"Agent Name: "&amp;$C717&amp;" (EID "&amp;$D717&amp;")"&amp;CHAR(10)&amp;"Audit Date: "&amp;TEXT($B717,"yyyy-mm-dd")&amp;CHAR(10)&amp;"Team Leader: "&amp;$F717&amp;CHAR(10)&amp;"Case Number: "&amp;$M717&amp;CHAR(10)&amp;"Transaction ID: "&amp;$N717&amp;CHAR(10)&amp;"Channel / LOB: "&amp;$K717&amp;" / "&amp;$L717&amp;CHAR(10)&amp;"Evaluator: "&amp;$S717&amp;CHAR(10)&amp;CHAR(10)&amp;"INVALID QUALITY AUDIT DETAILS"&amp;CHAR(10)&amp;"Validation: Invalid"&amp;CHAR(10)&amp;"Invalid Reason: "&amp;$P717&amp;CHAR(10)&amp;"Expected Resolution Code: "&amp;$Q717&amp;CHAR(10)&amp;"Remarks: "&amp;LEFT($R717,600)&amp;CHAR(10)&amp;CHAR(10)&amp;"This is an automated notification from HP Mainstream EQMS."),"✉ Open Email Draft"),"")</f>
        <v/>
      </c>
    </row>
    <row r="718">
      <c r="A718" s="25">
        <f>IF($C718="","","AUD-2026-"&amp;TEXT(ROW()-1,"000000"))</f>
        <v/>
      </c>
      <c r="B718" s="26" t="n"/>
      <c r="C718" s="27" t="n"/>
      <c r="D718" s="25">
        <f>IF($C718="","",IFERROR(IF(INDEX(Roster!$A:$A,MATCH($C718,Roster!$B:$B,0))="","",INDEX(Roster!$A:$A,MATCH($C718,Roster!$B:$B,0))&amp;""),"—"))</f>
        <v/>
      </c>
      <c r="E718" s="25">
        <f>IF($C718="","",IFERROR(IF(INDEX(Roster!$C:$C,MATCH($C718,Roster!$B:$B,0))="","",INDEX(Roster!$C:$C,MATCH($C718,Roster!$B:$B,0))&amp;""),"—"))</f>
        <v/>
      </c>
      <c r="F718" s="25">
        <f>IF($C718="","",IFERROR(IF(INDEX(Roster!$D:$D,MATCH($C718,Roster!$B:$B,0))="","",INDEX(Roster!$D:$D,MATCH($C718,Roster!$B:$B,0))&amp;""),"—"))</f>
        <v/>
      </c>
      <c r="G718" s="25">
        <f>IF($C718="","",IFERROR(IF(INDEX(Roster!$E:$E,MATCH($C718,Roster!$B:$B,0))="","",INDEX(Roster!$E:$E,MATCH($C718,Roster!$B:$B,0))&amp;""),"—"))</f>
        <v/>
      </c>
      <c r="H718" s="25">
        <f>IF($C718="","",IFERROR(IF(INDEX(Roster!$F:$F,MATCH($C718,Roster!$B:$B,0))="","",INDEX(Roster!$F:$F,MATCH($C718,Roster!$B:$B,0))&amp;""),"—"))</f>
        <v/>
      </c>
      <c r="I718" s="25">
        <f>IF($C718="","",IFERROR(IF(INDEX(Roster!$G:$G,MATCH($C718,Roster!$B:$B,0))="","",INDEX(Roster!$G:$G,MATCH($C718,Roster!$B:$B,0))&amp;""),"—"))</f>
        <v/>
      </c>
      <c r="J718" s="25">
        <f>IF($C718="","",IFERROR(IF(INDEX(Roster!$I:$I,MATCH($C718,Roster!$B:$B,0))="","",INDEX(Roster!$I:$I,MATCH($C718,Roster!$B:$B,0))&amp;""),"—"))</f>
        <v/>
      </c>
      <c r="K718">
        <f>IF($C718="","",IFERROR(IF(INDEX(Roster!$J:$J,MATCH($C718,Roster!$B:$B,0))="","",INDEX(Roster!$J:$J,MATCH($C718,Roster!$B:$B,0))&amp;""),"—"))</f>
        <v/>
      </c>
      <c r="L718">
        <f>IF($C718="","",IFERROR(IF(INDEX(Roster!$K:$K,MATCH($C718,Roster!$B:$B,0))="","",INDEX(Roster!$K:$K,MATCH($C718,Roster!$B:$B,0))&amp;""),"—"))</f>
        <v/>
      </c>
      <c r="M718" s="27" t="n"/>
      <c r="N718" s="27" t="n"/>
      <c r="O718" s="25">
        <f>IF($C718="","",IF($P718="","—",IF($P718="Valid (Pass)","Valid","Invalid")))</f>
        <v/>
      </c>
      <c r="P718" s="27" t="n"/>
      <c r="Q718" s="27" t="n"/>
      <c r="R718" s="27" t="n"/>
      <c r="S718" s="27" t="n"/>
      <c r="T718" s="25">
        <f>IF($C718="","",IF(OR(ISNUMBER(SEARCH("quick case",$P718)),ISNUMBER(SEARCH("quick case",$Q718))),"Yes","No"))</f>
        <v/>
      </c>
      <c r="U718" s="25">
        <f>IF($O718="Invalid",HYPERLINK("mailto:"&amp;$G718&amp;";"&amp;$I718&amp;"?cc="&amp;Lists!$E$2&amp;"&amp;subject="&amp;_xlfn.ENCODEURL("[INVALID] Quality audit monitoring completed for "&amp;UPPER($C718))&amp;"&amp;body="&amp;_xlfn.ENCODEURL("Hi "&amp;$F718&amp;","&amp;CHAR(10)&amp;"Good day!"&amp;CHAR(10)&amp;CHAR(10)&amp;"A quality monitoring audit has been completed for "&amp;$C718&amp;"."&amp;CHAR(10)&amp;CHAR(10)&amp;"QUALITY AUDIT DETAILS"&amp;CHAR(10)&amp;"Agent Name: "&amp;$C718&amp;" (EID "&amp;$D718&amp;")"&amp;CHAR(10)&amp;"Audit Date: "&amp;TEXT($B718,"yyyy-mm-dd")&amp;CHAR(10)&amp;"Team Leader: "&amp;$F718&amp;CHAR(10)&amp;"Case Number: "&amp;$M718&amp;CHAR(10)&amp;"Transaction ID: "&amp;$N718&amp;CHAR(10)&amp;"Channel / LOB: "&amp;$K718&amp;" / "&amp;$L718&amp;CHAR(10)&amp;"Evaluator: "&amp;$S718&amp;CHAR(10)&amp;CHAR(10)&amp;"INVALID QUALITY AUDIT DETAILS"&amp;CHAR(10)&amp;"Validation: Invalid"&amp;CHAR(10)&amp;"Invalid Reason: "&amp;$P718&amp;CHAR(10)&amp;"Expected Resolution Code: "&amp;$Q718&amp;CHAR(10)&amp;"Remarks: "&amp;LEFT($R718,600)&amp;CHAR(10)&amp;CHAR(10)&amp;"This is an automated notification from HP Mainstream EQMS."),"✉ Open Email Draft"),"")</f>
        <v/>
      </c>
    </row>
    <row r="719">
      <c r="A719" s="25">
        <f>IF($C719="","","AUD-2026-"&amp;TEXT(ROW()-1,"000000"))</f>
        <v/>
      </c>
      <c r="B719" s="26" t="n"/>
      <c r="C719" s="27" t="n"/>
      <c r="D719" s="25">
        <f>IF($C719="","",IFERROR(IF(INDEX(Roster!$A:$A,MATCH($C719,Roster!$B:$B,0))="","",INDEX(Roster!$A:$A,MATCH($C719,Roster!$B:$B,0))&amp;""),"—"))</f>
        <v/>
      </c>
      <c r="E719" s="25">
        <f>IF($C719="","",IFERROR(IF(INDEX(Roster!$C:$C,MATCH($C719,Roster!$B:$B,0))="","",INDEX(Roster!$C:$C,MATCH($C719,Roster!$B:$B,0))&amp;""),"—"))</f>
        <v/>
      </c>
      <c r="F719" s="25">
        <f>IF($C719="","",IFERROR(IF(INDEX(Roster!$D:$D,MATCH($C719,Roster!$B:$B,0))="","",INDEX(Roster!$D:$D,MATCH($C719,Roster!$B:$B,0))&amp;""),"—"))</f>
        <v/>
      </c>
      <c r="G719" s="25">
        <f>IF($C719="","",IFERROR(IF(INDEX(Roster!$E:$E,MATCH($C719,Roster!$B:$B,0))="","",INDEX(Roster!$E:$E,MATCH($C719,Roster!$B:$B,0))&amp;""),"—"))</f>
        <v/>
      </c>
      <c r="H719" s="25">
        <f>IF($C719="","",IFERROR(IF(INDEX(Roster!$F:$F,MATCH($C719,Roster!$B:$B,0))="","",INDEX(Roster!$F:$F,MATCH($C719,Roster!$B:$B,0))&amp;""),"—"))</f>
        <v/>
      </c>
      <c r="I719" s="25">
        <f>IF($C719="","",IFERROR(IF(INDEX(Roster!$G:$G,MATCH($C719,Roster!$B:$B,0))="","",INDEX(Roster!$G:$G,MATCH($C719,Roster!$B:$B,0))&amp;""),"—"))</f>
        <v/>
      </c>
      <c r="J719" s="25">
        <f>IF($C719="","",IFERROR(IF(INDEX(Roster!$I:$I,MATCH($C719,Roster!$B:$B,0))="","",INDEX(Roster!$I:$I,MATCH($C719,Roster!$B:$B,0))&amp;""),"—"))</f>
        <v/>
      </c>
      <c r="K719">
        <f>IF($C719="","",IFERROR(IF(INDEX(Roster!$J:$J,MATCH($C719,Roster!$B:$B,0))="","",INDEX(Roster!$J:$J,MATCH($C719,Roster!$B:$B,0))&amp;""),"—"))</f>
        <v/>
      </c>
      <c r="L719">
        <f>IF($C719="","",IFERROR(IF(INDEX(Roster!$K:$K,MATCH($C719,Roster!$B:$B,0))="","",INDEX(Roster!$K:$K,MATCH($C719,Roster!$B:$B,0))&amp;""),"—"))</f>
        <v/>
      </c>
      <c r="M719" s="27" t="n"/>
      <c r="N719" s="27" t="n"/>
      <c r="O719" s="25">
        <f>IF($C719="","",IF($P719="","—",IF($P719="Valid (Pass)","Valid","Invalid")))</f>
        <v/>
      </c>
      <c r="P719" s="27" t="n"/>
      <c r="Q719" s="27" t="n"/>
      <c r="R719" s="27" t="n"/>
      <c r="S719" s="27" t="n"/>
      <c r="T719" s="25">
        <f>IF($C719="","",IF(OR(ISNUMBER(SEARCH("quick case",$P719)),ISNUMBER(SEARCH("quick case",$Q719))),"Yes","No"))</f>
        <v/>
      </c>
      <c r="U719" s="25">
        <f>IF($O719="Invalid",HYPERLINK("mailto:"&amp;$G719&amp;";"&amp;$I719&amp;"?cc="&amp;Lists!$E$2&amp;"&amp;subject="&amp;_xlfn.ENCODEURL("[INVALID] Quality audit monitoring completed for "&amp;UPPER($C719))&amp;"&amp;body="&amp;_xlfn.ENCODEURL("Hi "&amp;$F719&amp;","&amp;CHAR(10)&amp;"Good day!"&amp;CHAR(10)&amp;CHAR(10)&amp;"A quality monitoring audit has been completed for "&amp;$C719&amp;"."&amp;CHAR(10)&amp;CHAR(10)&amp;"QUALITY AUDIT DETAILS"&amp;CHAR(10)&amp;"Agent Name: "&amp;$C719&amp;" (EID "&amp;$D719&amp;")"&amp;CHAR(10)&amp;"Audit Date: "&amp;TEXT($B719,"yyyy-mm-dd")&amp;CHAR(10)&amp;"Team Leader: "&amp;$F719&amp;CHAR(10)&amp;"Case Number: "&amp;$M719&amp;CHAR(10)&amp;"Transaction ID: "&amp;$N719&amp;CHAR(10)&amp;"Channel / LOB: "&amp;$K719&amp;" / "&amp;$L719&amp;CHAR(10)&amp;"Evaluator: "&amp;$S719&amp;CHAR(10)&amp;CHAR(10)&amp;"INVALID QUALITY AUDIT DETAILS"&amp;CHAR(10)&amp;"Validation: Invalid"&amp;CHAR(10)&amp;"Invalid Reason: "&amp;$P719&amp;CHAR(10)&amp;"Expected Resolution Code: "&amp;$Q719&amp;CHAR(10)&amp;"Remarks: "&amp;LEFT($R719,600)&amp;CHAR(10)&amp;CHAR(10)&amp;"This is an automated notification from HP Mainstream EQMS."),"✉ Open Email Draft"),"")</f>
        <v/>
      </c>
    </row>
    <row r="720">
      <c r="A720" s="25">
        <f>IF($C720="","","AUD-2026-"&amp;TEXT(ROW()-1,"000000"))</f>
        <v/>
      </c>
      <c r="B720" s="26" t="n"/>
      <c r="C720" s="27" t="n"/>
      <c r="D720" s="25">
        <f>IF($C720="","",IFERROR(IF(INDEX(Roster!$A:$A,MATCH($C720,Roster!$B:$B,0))="","",INDEX(Roster!$A:$A,MATCH($C720,Roster!$B:$B,0))&amp;""),"—"))</f>
        <v/>
      </c>
      <c r="E720" s="25">
        <f>IF($C720="","",IFERROR(IF(INDEX(Roster!$C:$C,MATCH($C720,Roster!$B:$B,0))="","",INDEX(Roster!$C:$C,MATCH($C720,Roster!$B:$B,0))&amp;""),"—"))</f>
        <v/>
      </c>
      <c r="F720" s="25">
        <f>IF($C720="","",IFERROR(IF(INDEX(Roster!$D:$D,MATCH($C720,Roster!$B:$B,0))="","",INDEX(Roster!$D:$D,MATCH($C720,Roster!$B:$B,0))&amp;""),"—"))</f>
        <v/>
      </c>
      <c r="G720" s="25">
        <f>IF($C720="","",IFERROR(IF(INDEX(Roster!$E:$E,MATCH($C720,Roster!$B:$B,0))="","",INDEX(Roster!$E:$E,MATCH($C720,Roster!$B:$B,0))&amp;""),"—"))</f>
        <v/>
      </c>
      <c r="H720" s="25">
        <f>IF($C720="","",IFERROR(IF(INDEX(Roster!$F:$F,MATCH($C720,Roster!$B:$B,0))="","",INDEX(Roster!$F:$F,MATCH($C720,Roster!$B:$B,0))&amp;""),"—"))</f>
        <v/>
      </c>
      <c r="I720" s="25">
        <f>IF($C720="","",IFERROR(IF(INDEX(Roster!$G:$G,MATCH($C720,Roster!$B:$B,0))="","",INDEX(Roster!$G:$G,MATCH($C720,Roster!$B:$B,0))&amp;""),"—"))</f>
        <v/>
      </c>
      <c r="J720" s="25">
        <f>IF($C720="","",IFERROR(IF(INDEX(Roster!$I:$I,MATCH($C720,Roster!$B:$B,0))="","",INDEX(Roster!$I:$I,MATCH($C720,Roster!$B:$B,0))&amp;""),"—"))</f>
        <v/>
      </c>
      <c r="K720">
        <f>IF($C720="","",IFERROR(IF(INDEX(Roster!$J:$J,MATCH($C720,Roster!$B:$B,0))="","",INDEX(Roster!$J:$J,MATCH($C720,Roster!$B:$B,0))&amp;""),"—"))</f>
        <v/>
      </c>
      <c r="L720">
        <f>IF($C720="","",IFERROR(IF(INDEX(Roster!$K:$K,MATCH($C720,Roster!$B:$B,0))="","",INDEX(Roster!$K:$K,MATCH($C720,Roster!$B:$B,0))&amp;""),"—"))</f>
        <v/>
      </c>
      <c r="M720" s="27" t="n"/>
      <c r="N720" s="27" t="n"/>
      <c r="O720" s="25">
        <f>IF($C720="","",IF($P720="","—",IF($P720="Valid (Pass)","Valid","Invalid")))</f>
        <v/>
      </c>
      <c r="P720" s="27" t="n"/>
      <c r="Q720" s="27" t="n"/>
      <c r="R720" s="27" t="n"/>
      <c r="S720" s="27" t="n"/>
      <c r="T720" s="25">
        <f>IF($C720="","",IF(OR(ISNUMBER(SEARCH("quick case",$P720)),ISNUMBER(SEARCH("quick case",$Q720))),"Yes","No"))</f>
        <v/>
      </c>
      <c r="U720" s="25">
        <f>IF($O720="Invalid",HYPERLINK("mailto:"&amp;$G720&amp;";"&amp;$I720&amp;"?cc="&amp;Lists!$E$2&amp;"&amp;subject="&amp;_xlfn.ENCODEURL("[INVALID] Quality audit monitoring completed for "&amp;UPPER($C720))&amp;"&amp;body="&amp;_xlfn.ENCODEURL("Hi "&amp;$F720&amp;","&amp;CHAR(10)&amp;"Good day!"&amp;CHAR(10)&amp;CHAR(10)&amp;"A quality monitoring audit has been completed for "&amp;$C720&amp;"."&amp;CHAR(10)&amp;CHAR(10)&amp;"QUALITY AUDIT DETAILS"&amp;CHAR(10)&amp;"Agent Name: "&amp;$C720&amp;" (EID "&amp;$D720&amp;")"&amp;CHAR(10)&amp;"Audit Date: "&amp;TEXT($B720,"yyyy-mm-dd")&amp;CHAR(10)&amp;"Team Leader: "&amp;$F720&amp;CHAR(10)&amp;"Case Number: "&amp;$M720&amp;CHAR(10)&amp;"Transaction ID: "&amp;$N720&amp;CHAR(10)&amp;"Channel / LOB: "&amp;$K720&amp;" / "&amp;$L720&amp;CHAR(10)&amp;"Evaluator: "&amp;$S720&amp;CHAR(10)&amp;CHAR(10)&amp;"INVALID QUALITY AUDIT DETAILS"&amp;CHAR(10)&amp;"Validation: Invalid"&amp;CHAR(10)&amp;"Invalid Reason: "&amp;$P720&amp;CHAR(10)&amp;"Expected Resolution Code: "&amp;$Q720&amp;CHAR(10)&amp;"Remarks: "&amp;LEFT($R720,600)&amp;CHAR(10)&amp;CHAR(10)&amp;"This is an automated notification from HP Mainstream EQMS."),"✉ Open Email Draft"),"")</f>
        <v/>
      </c>
    </row>
    <row r="721">
      <c r="A721" s="25">
        <f>IF($C721="","","AUD-2026-"&amp;TEXT(ROW()-1,"000000"))</f>
        <v/>
      </c>
      <c r="B721" s="26" t="n"/>
      <c r="C721" s="27" t="n"/>
      <c r="D721" s="25">
        <f>IF($C721="","",IFERROR(IF(INDEX(Roster!$A:$A,MATCH($C721,Roster!$B:$B,0))="","",INDEX(Roster!$A:$A,MATCH($C721,Roster!$B:$B,0))&amp;""),"—"))</f>
        <v/>
      </c>
      <c r="E721" s="25">
        <f>IF($C721="","",IFERROR(IF(INDEX(Roster!$C:$C,MATCH($C721,Roster!$B:$B,0))="","",INDEX(Roster!$C:$C,MATCH($C721,Roster!$B:$B,0))&amp;""),"—"))</f>
        <v/>
      </c>
      <c r="F721" s="25">
        <f>IF($C721="","",IFERROR(IF(INDEX(Roster!$D:$D,MATCH($C721,Roster!$B:$B,0))="","",INDEX(Roster!$D:$D,MATCH($C721,Roster!$B:$B,0))&amp;""),"—"))</f>
        <v/>
      </c>
      <c r="G721" s="25">
        <f>IF($C721="","",IFERROR(IF(INDEX(Roster!$E:$E,MATCH($C721,Roster!$B:$B,0))="","",INDEX(Roster!$E:$E,MATCH($C721,Roster!$B:$B,0))&amp;""),"—"))</f>
        <v/>
      </c>
      <c r="H721" s="25">
        <f>IF($C721="","",IFERROR(IF(INDEX(Roster!$F:$F,MATCH($C721,Roster!$B:$B,0))="","",INDEX(Roster!$F:$F,MATCH($C721,Roster!$B:$B,0))&amp;""),"—"))</f>
        <v/>
      </c>
      <c r="I721" s="25">
        <f>IF($C721="","",IFERROR(IF(INDEX(Roster!$G:$G,MATCH($C721,Roster!$B:$B,0))="","",INDEX(Roster!$G:$G,MATCH($C721,Roster!$B:$B,0))&amp;""),"—"))</f>
        <v/>
      </c>
      <c r="J721" s="25">
        <f>IF($C721="","",IFERROR(IF(INDEX(Roster!$I:$I,MATCH($C721,Roster!$B:$B,0))="","",INDEX(Roster!$I:$I,MATCH($C721,Roster!$B:$B,0))&amp;""),"—"))</f>
        <v/>
      </c>
      <c r="K721">
        <f>IF($C721="","",IFERROR(IF(INDEX(Roster!$J:$J,MATCH($C721,Roster!$B:$B,0))="","",INDEX(Roster!$J:$J,MATCH($C721,Roster!$B:$B,0))&amp;""),"—"))</f>
        <v/>
      </c>
      <c r="L721">
        <f>IF($C721="","",IFERROR(IF(INDEX(Roster!$K:$K,MATCH($C721,Roster!$B:$B,0))="","",INDEX(Roster!$K:$K,MATCH($C721,Roster!$B:$B,0))&amp;""),"—"))</f>
        <v/>
      </c>
      <c r="M721" s="27" t="n"/>
      <c r="N721" s="27" t="n"/>
      <c r="O721" s="25">
        <f>IF($C721="","",IF($P721="","—",IF($P721="Valid (Pass)","Valid","Invalid")))</f>
        <v/>
      </c>
      <c r="P721" s="27" t="n"/>
      <c r="Q721" s="27" t="n"/>
      <c r="R721" s="27" t="n"/>
      <c r="S721" s="27" t="n"/>
      <c r="T721" s="25">
        <f>IF($C721="","",IF(OR(ISNUMBER(SEARCH("quick case",$P721)),ISNUMBER(SEARCH("quick case",$Q721))),"Yes","No"))</f>
        <v/>
      </c>
      <c r="U721" s="25">
        <f>IF($O721="Invalid",HYPERLINK("mailto:"&amp;$G721&amp;";"&amp;$I721&amp;"?cc="&amp;Lists!$E$2&amp;"&amp;subject="&amp;_xlfn.ENCODEURL("[INVALID] Quality audit monitoring completed for "&amp;UPPER($C721))&amp;"&amp;body="&amp;_xlfn.ENCODEURL("Hi "&amp;$F721&amp;","&amp;CHAR(10)&amp;"Good day!"&amp;CHAR(10)&amp;CHAR(10)&amp;"A quality monitoring audit has been completed for "&amp;$C721&amp;"."&amp;CHAR(10)&amp;CHAR(10)&amp;"QUALITY AUDIT DETAILS"&amp;CHAR(10)&amp;"Agent Name: "&amp;$C721&amp;" (EID "&amp;$D721&amp;")"&amp;CHAR(10)&amp;"Audit Date: "&amp;TEXT($B721,"yyyy-mm-dd")&amp;CHAR(10)&amp;"Team Leader: "&amp;$F721&amp;CHAR(10)&amp;"Case Number: "&amp;$M721&amp;CHAR(10)&amp;"Transaction ID: "&amp;$N721&amp;CHAR(10)&amp;"Channel / LOB: "&amp;$K721&amp;" / "&amp;$L721&amp;CHAR(10)&amp;"Evaluator: "&amp;$S721&amp;CHAR(10)&amp;CHAR(10)&amp;"INVALID QUALITY AUDIT DETAILS"&amp;CHAR(10)&amp;"Validation: Invalid"&amp;CHAR(10)&amp;"Invalid Reason: "&amp;$P721&amp;CHAR(10)&amp;"Expected Resolution Code: "&amp;$Q721&amp;CHAR(10)&amp;"Remarks: "&amp;LEFT($R721,600)&amp;CHAR(10)&amp;CHAR(10)&amp;"This is an automated notification from HP Mainstream EQMS."),"✉ Open Email Draft"),"")</f>
        <v/>
      </c>
    </row>
    <row r="722">
      <c r="A722" s="25">
        <f>IF($C722="","","AUD-2026-"&amp;TEXT(ROW()-1,"000000"))</f>
        <v/>
      </c>
      <c r="B722" s="26" t="n"/>
      <c r="C722" s="27" t="n"/>
      <c r="D722" s="25">
        <f>IF($C722="","",IFERROR(IF(INDEX(Roster!$A:$A,MATCH($C722,Roster!$B:$B,0))="","",INDEX(Roster!$A:$A,MATCH($C722,Roster!$B:$B,0))&amp;""),"—"))</f>
        <v/>
      </c>
      <c r="E722" s="25">
        <f>IF($C722="","",IFERROR(IF(INDEX(Roster!$C:$C,MATCH($C722,Roster!$B:$B,0))="","",INDEX(Roster!$C:$C,MATCH($C722,Roster!$B:$B,0))&amp;""),"—"))</f>
        <v/>
      </c>
      <c r="F722" s="25">
        <f>IF($C722="","",IFERROR(IF(INDEX(Roster!$D:$D,MATCH($C722,Roster!$B:$B,0))="","",INDEX(Roster!$D:$D,MATCH($C722,Roster!$B:$B,0))&amp;""),"—"))</f>
        <v/>
      </c>
      <c r="G722" s="25">
        <f>IF($C722="","",IFERROR(IF(INDEX(Roster!$E:$E,MATCH($C722,Roster!$B:$B,0))="","",INDEX(Roster!$E:$E,MATCH($C722,Roster!$B:$B,0))&amp;""),"—"))</f>
        <v/>
      </c>
      <c r="H722" s="25">
        <f>IF($C722="","",IFERROR(IF(INDEX(Roster!$F:$F,MATCH($C722,Roster!$B:$B,0))="","",INDEX(Roster!$F:$F,MATCH($C722,Roster!$B:$B,0))&amp;""),"—"))</f>
        <v/>
      </c>
      <c r="I722" s="25">
        <f>IF($C722="","",IFERROR(IF(INDEX(Roster!$G:$G,MATCH($C722,Roster!$B:$B,0))="","",INDEX(Roster!$G:$G,MATCH($C722,Roster!$B:$B,0))&amp;""),"—"))</f>
        <v/>
      </c>
      <c r="J722" s="25">
        <f>IF($C722="","",IFERROR(IF(INDEX(Roster!$I:$I,MATCH($C722,Roster!$B:$B,0))="","",INDEX(Roster!$I:$I,MATCH($C722,Roster!$B:$B,0))&amp;""),"—"))</f>
        <v/>
      </c>
      <c r="K722">
        <f>IF($C722="","",IFERROR(IF(INDEX(Roster!$J:$J,MATCH($C722,Roster!$B:$B,0))="","",INDEX(Roster!$J:$J,MATCH($C722,Roster!$B:$B,0))&amp;""),"—"))</f>
        <v/>
      </c>
      <c r="L722">
        <f>IF($C722="","",IFERROR(IF(INDEX(Roster!$K:$K,MATCH($C722,Roster!$B:$B,0))="","",INDEX(Roster!$K:$K,MATCH($C722,Roster!$B:$B,0))&amp;""),"—"))</f>
        <v/>
      </c>
      <c r="M722" s="27" t="n"/>
      <c r="N722" s="27" t="n"/>
      <c r="O722" s="25">
        <f>IF($C722="","",IF($P722="","—",IF($P722="Valid (Pass)","Valid","Invalid")))</f>
        <v/>
      </c>
      <c r="P722" s="27" t="n"/>
      <c r="Q722" s="27" t="n"/>
      <c r="R722" s="27" t="n"/>
      <c r="S722" s="27" t="n"/>
      <c r="T722" s="25">
        <f>IF($C722="","",IF(OR(ISNUMBER(SEARCH("quick case",$P722)),ISNUMBER(SEARCH("quick case",$Q722))),"Yes","No"))</f>
        <v/>
      </c>
      <c r="U722" s="25">
        <f>IF($O722="Invalid",HYPERLINK("mailto:"&amp;$G722&amp;";"&amp;$I722&amp;"?cc="&amp;Lists!$E$2&amp;"&amp;subject="&amp;_xlfn.ENCODEURL("[INVALID] Quality audit monitoring completed for "&amp;UPPER($C722))&amp;"&amp;body="&amp;_xlfn.ENCODEURL("Hi "&amp;$F722&amp;","&amp;CHAR(10)&amp;"Good day!"&amp;CHAR(10)&amp;CHAR(10)&amp;"A quality monitoring audit has been completed for "&amp;$C722&amp;"."&amp;CHAR(10)&amp;CHAR(10)&amp;"QUALITY AUDIT DETAILS"&amp;CHAR(10)&amp;"Agent Name: "&amp;$C722&amp;" (EID "&amp;$D722&amp;")"&amp;CHAR(10)&amp;"Audit Date: "&amp;TEXT($B722,"yyyy-mm-dd")&amp;CHAR(10)&amp;"Team Leader: "&amp;$F722&amp;CHAR(10)&amp;"Case Number: "&amp;$M722&amp;CHAR(10)&amp;"Transaction ID: "&amp;$N722&amp;CHAR(10)&amp;"Channel / LOB: "&amp;$K722&amp;" / "&amp;$L722&amp;CHAR(10)&amp;"Evaluator: "&amp;$S722&amp;CHAR(10)&amp;CHAR(10)&amp;"INVALID QUALITY AUDIT DETAILS"&amp;CHAR(10)&amp;"Validation: Invalid"&amp;CHAR(10)&amp;"Invalid Reason: "&amp;$P722&amp;CHAR(10)&amp;"Expected Resolution Code: "&amp;$Q722&amp;CHAR(10)&amp;"Remarks: "&amp;LEFT($R722,600)&amp;CHAR(10)&amp;CHAR(10)&amp;"This is an automated notification from HP Mainstream EQMS."),"✉ Open Email Draft"),"")</f>
        <v/>
      </c>
    </row>
    <row r="723">
      <c r="A723" s="25">
        <f>IF($C723="","","AUD-2026-"&amp;TEXT(ROW()-1,"000000"))</f>
        <v/>
      </c>
      <c r="B723" s="26" t="n"/>
      <c r="C723" s="27" t="n"/>
      <c r="D723" s="25">
        <f>IF($C723="","",IFERROR(IF(INDEX(Roster!$A:$A,MATCH($C723,Roster!$B:$B,0))="","",INDEX(Roster!$A:$A,MATCH($C723,Roster!$B:$B,0))&amp;""),"—"))</f>
        <v/>
      </c>
      <c r="E723" s="25">
        <f>IF($C723="","",IFERROR(IF(INDEX(Roster!$C:$C,MATCH($C723,Roster!$B:$B,0))="","",INDEX(Roster!$C:$C,MATCH($C723,Roster!$B:$B,0))&amp;""),"—"))</f>
        <v/>
      </c>
      <c r="F723" s="25">
        <f>IF($C723="","",IFERROR(IF(INDEX(Roster!$D:$D,MATCH($C723,Roster!$B:$B,0))="","",INDEX(Roster!$D:$D,MATCH($C723,Roster!$B:$B,0))&amp;""),"—"))</f>
        <v/>
      </c>
      <c r="G723" s="25">
        <f>IF($C723="","",IFERROR(IF(INDEX(Roster!$E:$E,MATCH($C723,Roster!$B:$B,0))="","",INDEX(Roster!$E:$E,MATCH($C723,Roster!$B:$B,0))&amp;""),"—"))</f>
        <v/>
      </c>
      <c r="H723" s="25">
        <f>IF($C723="","",IFERROR(IF(INDEX(Roster!$F:$F,MATCH($C723,Roster!$B:$B,0))="","",INDEX(Roster!$F:$F,MATCH($C723,Roster!$B:$B,0))&amp;""),"—"))</f>
        <v/>
      </c>
      <c r="I723" s="25">
        <f>IF($C723="","",IFERROR(IF(INDEX(Roster!$G:$G,MATCH($C723,Roster!$B:$B,0))="","",INDEX(Roster!$G:$G,MATCH($C723,Roster!$B:$B,0))&amp;""),"—"))</f>
        <v/>
      </c>
      <c r="J723" s="25">
        <f>IF($C723="","",IFERROR(IF(INDEX(Roster!$I:$I,MATCH($C723,Roster!$B:$B,0))="","",INDEX(Roster!$I:$I,MATCH($C723,Roster!$B:$B,0))&amp;""),"—"))</f>
        <v/>
      </c>
      <c r="K723">
        <f>IF($C723="","",IFERROR(IF(INDEX(Roster!$J:$J,MATCH($C723,Roster!$B:$B,0))="","",INDEX(Roster!$J:$J,MATCH($C723,Roster!$B:$B,0))&amp;""),"—"))</f>
        <v/>
      </c>
      <c r="L723">
        <f>IF($C723="","",IFERROR(IF(INDEX(Roster!$K:$K,MATCH($C723,Roster!$B:$B,0))="","",INDEX(Roster!$K:$K,MATCH($C723,Roster!$B:$B,0))&amp;""),"—"))</f>
        <v/>
      </c>
      <c r="M723" s="27" t="n"/>
      <c r="N723" s="27" t="n"/>
      <c r="O723" s="25">
        <f>IF($C723="","",IF($P723="","—",IF($P723="Valid (Pass)","Valid","Invalid")))</f>
        <v/>
      </c>
      <c r="P723" s="27" t="n"/>
      <c r="Q723" s="27" t="n"/>
      <c r="R723" s="27" t="n"/>
      <c r="S723" s="27" t="n"/>
      <c r="T723" s="25">
        <f>IF($C723="","",IF(OR(ISNUMBER(SEARCH("quick case",$P723)),ISNUMBER(SEARCH("quick case",$Q723))),"Yes","No"))</f>
        <v/>
      </c>
      <c r="U723" s="25">
        <f>IF($O723="Invalid",HYPERLINK("mailto:"&amp;$G723&amp;";"&amp;$I723&amp;"?cc="&amp;Lists!$E$2&amp;"&amp;subject="&amp;_xlfn.ENCODEURL("[INVALID] Quality audit monitoring completed for "&amp;UPPER($C723))&amp;"&amp;body="&amp;_xlfn.ENCODEURL("Hi "&amp;$F723&amp;","&amp;CHAR(10)&amp;"Good day!"&amp;CHAR(10)&amp;CHAR(10)&amp;"A quality monitoring audit has been completed for "&amp;$C723&amp;"."&amp;CHAR(10)&amp;CHAR(10)&amp;"QUALITY AUDIT DETAILS"&amp;CHAR(10)&amp;"Agent Name: "&amp;$C723&amp;" (EID "&amp;$D723&amp;")"&amp;CHAR(10)&amp;"Audit Date: "&amp;TEXT($B723,"yyyy-mm-dd")&amp;CHAR(10)&amp;"Team Leader: "&amp;$F723&amp;CHAR(10)&amp;"Case Number: "&amp;$M723&amp;CHAR(10)&amp;"Transaction ID: "&amp;$N723&amp;CHAR(10)&amp;"Channel / LOB: "&amp;$K723&amp;" / "&amp;$L723&amp;CHAR(10)&amp;"Evaluator: "&amp;$S723&amp;CHAR(10)&amp;CHAR(10)&amp;"INVALID QUALITY AUDIT DETAILS"&amp;CHAR(10)&amp;"Validation: Invalid"&amp;CHAR(10)&amp;"Invalid Reason: "&amp;$P723&amp;CHAR(10)&amp;"Expected Resolution Code: "&amp;$Q723&amp;CHAR(10)&amp;"Remarks: "&amp;LEFT($R723,600)&amp;CHAR(10)&amp;CHAR(10)&amp;"This is an automated notification from HP Mainstream EQMS."),"✉ Open Email Draft"),"")</f>
        <v/>
      </c>
    </row>
    <row r="724">
      <c r="A724" s="25">
        <f>IF($C724="","","AUD-2026-"&amp;TEXT(ROW()-1,"000000"))</f>
        <v/>
      </c>
      <c r="B724" s="26" t="n"/>
      <c r="C724" s="27" t="n"/>
      <c r="D724" s="25">
        <f>IF($C724="","",IFERROR(IF(INDEX(Roster!$A:$A,MATCH($C724,Roster!$B:$B,0))="","",INDEX(Roster!$A:$A,MATCH($C724,Roster!$B:$B,0))&amp;""),"—"))</f>
        <v/>
      </c>
      <c r="E724" s="25">
        <f>IF($C724="","",IFERROR(IF(INDEX(Roster!$C:$C,MATCH($C724,Roster!$B:$B,0))="","",INDEX(Roster!$C:$C,MATCH($C724,Roster!$B:$B,0))&amp;""),"—"))</f>
        <v/>
      </c>
      <c r="F724" s="25">
        <f>IF($C724="","",IFERROR(IF(INDEX(Roster!$D:$D,MATCH($C724,Roster!$B:$B,0))="","",INDEX(Roster!$D:$D,MATCH($C724,Roster!$B:$B,0))&amp;""),"—"))</f>
        <v/>
      </c>
      <c r="G724" s="25">
        <f>IF($C724="","",IFERROR(IF(INDEX(Roster!$E:$E,MATCH($C724,Roster!$B:$B,0))="","",INDEX(Roster!$E:$E,MATCH($C724,Roster!$B:$B,0))&amp;""),"—"))</f>
        <v/>
      </c>
      <c r="H724" s="25">
        <f>IF($C724="","",IFERROR(IF(INDEX(Roster!$F:$F,MATCH($C724,Roster!$B:$B,0))="","",INDEX(Roster!$F:$F,MATCH($C724,Roster!$B:$B,0))&amp;""),"—"))</f>
        <v/>
      </c>
      <c r="I724" s="25">
        <f>IF($C724="","",IFERROR(IF(INDEX(Roster!$G:$G,MATCH($C724,Roster!$B:$B,0))="","",INDEX(Roster!$G:$G,MATCH($C724,Roster!$B:$B,0))&amp;""),"—"))</f>
        <v/>
      </c>
      <c r="J724" s="25">
        <f>IF($C724="","",IFERROR(IF(INDEX(Roster!$I:$I,MATCH($C724,Roster!$B:$B,0))="","",INDEX(Roster!$I:$I,MATCH($C724,Roster!$B:$B,0))&amp;""),"—"))</f>
        <v/>
      </c>
      <c r="K724">
        <f>IF($C724="","",IFERROR(IF(INDEX(Roster!$J:$J,MATCH($C724,Roster!$B:$B,0))="","",INDEX(Roster!$J:$J,MATCH($C724,Roster!$B:$B,0))&amp;""),"—"))</f>
        <v/>
      </c>
      <c r="L724">
        <f>IF($C724="","",IFERROR(IF(INDEX(Roster!$K:$K,MATCH($C724,Roster!$B:$B,0))="","",INDEX(Roster!$K:$K,MATCH($C724,Roster!$B:$B,0))&amp;""),"—"))</f>
        <v/>
      </c>
      <c r="M724" s="27" t="n"/>
      <c r="N724" s="27" t="n"/>
      <c r="O724" s="25">
        <f>IF($C724="","",IF($P724="","—",IF($P724="Valid (Pass)","Valid","Invalid")))</f>
        <v/>
      </c>
      <c r="P724" s="27" t="n"/>
      <c r="Q724" s="27" t="n"/>
      <c r="R724" s="27" t="n"/>
      <c r="S724" s="27" t="n"/>
      <c r="T724" s="25">
        <f>IF($C724="","",IF(OR(ISNUMBER(SEARCH("quick case",$P724)),ISNUMBER(SEARCH("quick case",$Q724))),"Yes","No"))</f>
        <v/>
      </c>
      <c r="U724" s="25">
        <f>IF($O724="Invalid",HYPERLINK("mailto:"&amp;$G724&amp;";"&amp;$I724&amp;"?cc="&amp;Lists!$E$2&amp;"&amp;subject="&amp;_xlfn.ENCODEURL("[INVALID] Quality audit monitoring completed for "&amp;UPPER($C724))&amp;"&amp;body="&amp;_xlfn.ENCODEURL("Hi "&amp;$F724&amp;","&amp;CHAR(10)&amp;"Good day!"&amp;CHAR(10)&amp;CHAR(10)&amp;"A quality monitoring audit has been completed for "&amp;$C724&amp;"."&amp;CHAR(10)&amp;CHAR(10)&amp;"QUALITY AUDIT DETAILS"&amp;CHAR(10)&amp;"Agent Name: "&amp;$C724&amp;" (EID "&amp;$D724&amp;")"&amp;CHAR(10)&amp;"Audit Date: "&amp;TEXT($B724,"yyyy-mm-dd")&amp;CHAR(10)&amp;"Team Leader: "&amp;$F724&amp;CHAR(10)&amp;"Case Number: "&amp;$M724&amp;CHAR(10)&amp;"Transaction ID: "&amp;$N724&amp;CHAR(10)&amp;"Channel / LOB: "&amp;$K724&amp;" / "&amp;$L724&amp;CHAR(10)&amp;"Evaluator: "&amp;$S724&amp;CHAR(10)&amp;CHAR(10)&amp;"INVALID QUALITY AUDIT DETAILS"&amp;CHAR(10)&amp;"Validation: Invalid"&amp;CHAR(10)&amp;"Invalid Reason: "&amp;$P724&amp;CHAR(10)&amp;"Expected Resolution Code: "&amp;$Q724&amp;CHAR(10)&amp;"Remarks: "&amp;LEFT($R724,600)&amp;CHAR(10)&amp;CHAR(10)&amp;"This is an automated notification from HP Mainstream EQMS."),"✉ Open Email Draft"),"")</f>
        <v/>
      </c>
    </row>
    <row r="725">
      <c r="A725" s="25">
        <f>IF($C725="","","AUD-2026-"&amp;TEXT(ROW()-1,"000000"))</f>
        <v/>
      </c>
      <c r="B725" s="26" t="n"/>
      <c r="C725" s="27" t="n"/>
      <c r="D725" s="25">
        <f>IF($C725="","",IFERROR(IF(INDEX(Roster!$A:$A,MATCH($C725,Roster!$B:$B,0))="","",INDEX(Roster!$A:$A,MATCH($C725,Roster!$B:$B,0))&amp;""),"—"))</f>
        <v/>
      </c>
      <c r="E725" s="25">
        <f>IF($C725="","",IFERROR(IF(INDEX(Roster!$C:$C,MATCH($C725,Roster!$B:$B,0))="","",INDEX(Roster!$C:$C,MATCH($C725,Roster!$B:$B,0))&amp;""),"—"))</f>
        <v/>
      </c>
      <c r="F725" s="25">
        <f>IF($C725="","",IFERROR(IF(INDEX(Roster!$D:$D,MATCH($C725,Roster!$B:$B,0))="","",INDEX(Roster!$D:$D,MATCH($C725,Roster!$B:$B,0))&amp;""),"—"))</f>
        <v/>
      </c>
      <c r="G725" s="25">
        <f>IF($C725="","",IFERROR(IF(INDEX(Roster!$E:$E,MATCH($C725,Roster!$B:$B,0))="","",INDEX(Roster!$E:$E,MATCH($C725,Roster!$B:$B,0))&amp;""),"—"))</f>
        <v/>
      </c>
      <c r="H725" s="25">
        <f>IF($C725="","",IFERROR(IF(INDEX(Roster!$F:$F,MATCH($C725,Roster!$B:$B,0))="","",INDEX(Roster!$F:$F,MATCH($C725,Roster!$B:$B,0))&amp;""),"—"))</f>
        <v/>
      </c>
      <c r="I725" s="25">
        <f>IF($C725="","",IFERROR(IF(INDEX(Roster!$G:$G,MATCH($C725,Roster!$B:$B,0))="","",INDEX(Roster!$G:$G,MATCH($C725,Roster!$B:$B,0))&amp;""),"—"))</f>
        <v/>
      </c>
      <c r="J725" s="25">
        <f>IF($C725="","",IFERROR(IF(INDEX(Roster!$I:$I,MATCH($C725,Roster!$B:$B,0))="","",INDEX(Roster!$I:$I,MATCH($C725,Roster!$B:$B,0))&amp;""),"—"))</f>
        <v/>
      </c>
      <c r="K725">
        <f>IF($C725="","",IFERROR(IF(INDEX(Roster!$J:$J,MATCH($C725,Roster!$B:$B,0))="","",INDEX(Roster!$J:$J,MATCH($C725,Roster!$B:$B,0))&amp;""),"—"))</f>
        <v/>
      </c>
      <c r="L725">
        <f>IF($C725="","",IFERROR(IF(INDEX(Roster!$K:$K,MATCH($C725,Roster!$B:$B,0))="","",INDEX(Roster!$K:$K,MATCH($C725,Roster!$B:$B,0))&amp;""),"—"))</f>
        <v/>
      </c>
      <c r="M725" s="27" t="n"/>
      <c r="N725" s="27" t="n"/>
      <c r="O725" s="25">
        <f>IF($C725="","",IF($P725="","—",IF($P725="Valid (Pass)","Valid","Invalid")))</f>
        <v/>
      </c>
      <c r="P725" s="27" t="n"/>
      <c r="Q725" s="27" t="n"/>
      <c r="R725" s="27" t="n"/>
      <c r="S725" s="27" t="n"/>
      <c r="T725" s="25">
        <f>IF($C725="","",IF(OR(ISNUMBER(SEARCH("quick case",$P725)),ISNUMBER(SEARCH("quick case",$Q725))),"Yes","No"))</f>
        <v/>
      </c>
      <c r="U725" s="25">
        <f>IF($O725="Invalid",HYPERLINK("mailto:"&amp;$G725&amp;";"&amp;$I725&amp;"?cc="&amp;Lists!$E$2&amp;"&amp;subject="&amp;_xlfn.ENCODEURL("[INVALID] Quality audit monitoring completed for "&amp;UPPER($C725))&amp;"&amp;body="&amp;_xlfn.ENCODEURL("Hi "&amp;$F725&amp;","&amp;CHAR(10)&amp;"Good day!"&amp;CHAR(10)&amp;CHAR(10)&amp;"A quality monitoring audit has been completed for "&amp;$C725&amp;"."&amp;CHAR(10)&amp;CHAR(10)&amp;"QUALITY AUDIT DETAILS"&amp;CHAR(10)&amp;"Agent Name: "&amp;$C725&amp;" (EID "&amp;$D725&amp;")"&amp;CHAR(10)&amp;"Audit Date: "&amp;TEXT($B725,"yyyy-mm-dd")&amp;CHAR(10)&amp;"Team Leader: "&amp;$F725&amp;CHAR(10)&amp;"Case Number: "&amp;$M725&amp;CHAR(10)&amp;"Transaction ID: "&amp;$N725&amp;CHAR(10)&amp;"Channel / LOB: "&amp;$K725&amp;" / "&amp;$L725&amp;CHAR(10)&amp;"Evaluator: "&amp;$S725&amp;CHAR(10)&amp;CHAR(10)&amp;"INVALID QUALITY AUDIT DETAILS"&amp;CHAR(10)&amp;"Validation: Invalid"&amp;CHAR(10)&amp;"Invalid Reason: "&amp;$P725&amp;CHAR(10)&amp;"Expected Resolution Code: "&amp;$Q725&amp;CHAR(10)&amp;"Remarks: "&amp;LEFT($R725,600)&amp;CHAR(10)&amp;CHAR(10)&amp;"This is an automated notification from HP Mainstream EQMS."),"✉ Open Email Draft"),"")</f>
        <v/>
      </c>
    </row>
    <row r="726">
      <c r="A726" s="25">
        <f>IF($C726="","","AUD-2026-"&amp;TEXT(ROW()-1,"000000"))</f>
        <v/>
      </c>
      <c r="B726" s="26" t="n"/>
      <c r="C726" s="27" t="n"/>
      <c r="D726" s="25">
        <f>IF($C726="","",IFERROR(IF(INDEX(Roster!$A:$A,MATCH($C726,Roster!$B:$B,0))="","",INDEX(Roster!$A:$A,MATCH($C726,Roster!$B:$B,0))&amp;""),"—"))</f>
        <v/>
      </c>
      <c r="E726" s="25">
        <f>IF($C726="","",IFERROR(IF(INDEX(Roster!$C:$C,MATCH($C726,Roster!$B:$B,0))="","",INDEX(Roster!$C:$C,MATCH($C726,Roster!$B:$B,0))&amp;""),"—"))</f>
        <v/>
      </c>
      <c r="F726" s="25">
        <f>IF($C726="","",IFERROR(IF(INDEX(Roster!$D:$D,MATCH($C726,Roster!$B:$B,0))="","",INDEX(Roster!$D:$D,MATCH($C726,Roster!$B:$B,0))&amp;""),"—"))</f>
        <v/>
      </c>
      <c r="G726" s="25">
        <f>IF($C726="","",IFERROR(IF(INDEX(Roster!$E:$E,MATCH($C726,Roster!$B:$B,0))="","",INDEX(Roster!$E:$E,MATCH($C726,Roster!$B:$B,0))&amp;""),"—"))</f>
        <v/>
      </c>
      <c r="H726" s="25">
        <f>IF($C726="","",IFERROR(IF(INDEX(Roster!$F:$F,MATCH($C726,Roster!$B:$B,0))="","",INDEX(Roster!$F:$F,MATCH($C726,Roster!$B:$B,0))&amp;""),"—"))</f>
        <v/>
      </c>
      <c r="I726" s="25">
        <f>IF($C726="","",IFERROR(IF(INDEX(Roster!$G:$G,MATCH($C726,Roster!$B:$B,0))="","",INDEX(Roster!$G:$G,MATCH($C726,Roster!$B:$B,0))&amp;""),"—"))</f>
        <v/>
      </c>
      <c r="J726" s="25">
        <f>IF($C726="","",IFERROR(IF(INDEX(Roster!$I:$I,MATCH($C726,Roster!$B:$B,0))="","",INDEX(Roster!$I:$I,MATCH($C726,Roster!$B:$B,0))&amp;""),"—"))</f>
        <v/>
      </c>
      <c r="K726">
        <f>IF($C726="","",IFERROR(IF(INDEX(Roster!$J:$J,MATCH($C726,Roster!$B:$B,0))="","",INDEX(Roster!$J:$J,MATCH($C726,Roster!$B:$B,0))&amp;""),"—"))</f>
        <v/>
      </c>
      <c r="L726">
        <f>IF($C726="","",IFERROR(IF(INDEX(Roster!$K:$K,MATCH($C726,Roster!$B:$B,0))="","",INDEX(Roster!$K:$K,MATCH($C726,Roster!$B:$B,0))&amp;""),"—"))</f>
        <v/>
      </c>
      <c r="M726" s="27" t="n"/>
      <c r="N726" s="27" t="n"/>
      <c r="O726" s="25">
        <f>IF($C726="","",IF($P726="","—",IF($P726="Valid (Pass)","Valid","Invalid")))</f>
        <v/>
      </c>
      <c r="P726" s="27" t="n"/>
      <c r="Q726" s="27" t="n"/>
      <c r="R726" s="27" t="n"/>
      <c r="S726" s="27" t="n"/>
      <c r="T726" s="25">
        <f>IF($C726="","",IF(OR(ISNUMBER(SEARCH("quick case",$P726)),ISNUMBER(SEARCH("quick case",$Q726))),"Yes","No"))</f>
        <v/>
      </c>
      <c r="U726" s="25">
        <f>IF($O726="Invalid",HYPERLINK("mailto:"&amp;$G726&amp;";"&amp;$I726&amp;"?cc="&amp;Lists!$E$2&amp;"&amp;subject="&amp;_xlfn.ENCODEURL("[INVALID] Quality audit monitoring completed for "&amp;UPPER($C726))&amp;"&amp;body="&amp;_xlfn.ENCODEURL("Hi "&amp;$F726&amp;","&amp;CHAR(10)&amp;"Good day!"&amp;CHAR(10)&amp;CHAR(10)&amp;"A quality monitoring audit has been completed for "&amp;$C726&amp;"."&amp;CHAR(10)&amp;CHAR(10)&amp;"QUALITY AUDIT DETAILS"&amp;CHAR(10)&amp;"Agent Name: "&amp;$C726&amp;" (EID "&amp;$D726&amp;")"&amp;CHAR(10)&amp;"Audit Date: "&amp;TEXT($B726,"yyyy-mm-dd")&amp;CHAR(10)&amp;"Team Leader: "&amp;$F726&amp;CHAR(10)&amp;"Case Number: "&amp;$M726&amp;CHAR(10)&amp;"Transaction ID: "&amp;$N726&amp;CHAR(10)&amp;"Channel / LOB: "&amp;$K726&amp;" / "&amp;$L726&amp;CHAR(10)&amp;"Evaluator: "&amp;$S726&amp;CHAR(10)&amp;CHAR(10)&amp;"INVALID QUALITY AUDIT DETAILS"&amp;CHAR(10)&amp;"Validation: Invalid"&amp;CHAR(10)&amp;"Invalid Reason: "&amp;$P726&amp;CHAR(10)&amp;"Expected Resolution Code: "&amp;$Q726&amp;CHAR(10)&amp;"Remarks: "&amp;LEFT($R726,600)&amp;CHAR(10)&amp;CHAR(10)&amp;"This is an automated notification from HP Mainstream EQMS."),"✉ Open Email Draft"),"")</f>
        <v/>
      </c>
    </row>
    <row r="727">
      <c r="A727" s="25">
        <f>IF($C727="","","AUD-2026-"&amp;TEXT(ROW()-1,"000000"))</f>
        <v/>
      </c>
      <c r="B727" s="26" t="n"/>
      <c r="C727" s="27" t="n"/>
      <c r="D727" s="25">
        <f>IF($C727="","",IFERROR(IF(INDEX(Roster!$A:$A,MATCH($C727,Roster!$B:$B,0))="","",INDEX(Roster!$A:$A,MATCH($C727,Roster!$B:$B,0))&amp;""),"—"))</f>
        <v/>
      </c>
      <c r="E727" s="25">
        <f>IF($C727="","",IFERROR(IF(INDEX(Roster!$C:$C,MATCH($C727,Roster!$B:$B,0))="","",INDEX(Roster!$C:$C,MATCH($C727,Roster!$B:$B,0))&amp;""),"—"))</f>
        <v/>
      </c>
      <c r="F727" s="25">
        <f>IF($C727="","",IFERROR(IF(INDEX(Roster!$D:$D,MATCH($C727,Roster!$B:$B,0))="","",INDEX(Roster!$D:$D,MATCH($C727,Roster!$B:$B,0))&amp;""),"—"))</f>
        <v/>
      </c>
      <c r="G727" s="25">
        <f>IF($C727="","",IFERROR(IF(INDEX(Roster!$E:$E,MATCH($C727,Roster!$B:$B,0))="","",INDEX(Roster!$E:$E,MATCH($C727,Roster!$B:$B,0))&amp;""),"—"))</f>
        <v/>
      </c>
      <c r="H727" s="25">
        <f>IF($C727="","",IFERROR(IF(INDEX(Roster!$F:$F,MATCH($C727,Roster!$B:$B,0))="","",INDEX(Roster!$F:$F,MATCH($C727,Roster!$B:$B,0))&amp;""),"—"))</f>
        <v/>
      </c>
      <c r="I727" s="25">
        <f>IF($C727="","",IFERROR(IF(INDEX(Roster!$G:$G,MATCH($C727,Roster!$B:$B,0))="","",INDEX(Roster!$G:$G,MATCH($C727,Roster!$B:$B,0))&amp;""),"—"))</f>
        <v/>
      </c>
      <c r="J727" s="25">
        <f>IF($C727="","",IFERROR(IF(INDEX(Roster!$I:$I,MATCH($C727,Roster!$B:$B,0))="","",INDEX(Roster!$I:$I,MATCH($C727,Roster!$B:$B,0))&amp;""),"—"))</f>
        <v/>
      </c>
      <c r="K727">
        <f>IF($C727="","",IFERROR(IF(INDEX(Roster!$J:$J,MATCH($C727,Roster!$B:$B,0))="","",INDEX(Roster!$J:$J,MATCH($C727,Roster!$B:$B,0))&amp;""),"—"))</f>
        <v/>
      </c>
      <c r="L727">
        <f>IF($C727="","",IFERROR(IF(INDEX(Roster!$K:$K,MATCH($C727,Roster!$B:$B,0))="","",INDEX(Roster!$K:$K,MATCH($C727,Roster!$B:$B,0))&amp;""),"—"))</f>
        <v/>
      </c>
      <c r="M727" s="27" t="n"/>
      <c r="N727" s="27" t="n"/>
      <c r="O727" s="25">
        <f>IF($C727="","",IF($P727="","—",IF($P727="Valid (Pass)","Valid","Invalid")))</f>
        <v/>
      </c>
      <c r="P727" s="27" t="n"/>
      <c r="Q727" s="27" t="n"/>
      <c r="R727" s="27" t="n"/>
      <c r="S727" s="27" t="n"/>
      <c r="T727" s="25">
        <f>IF($C727="","",IF(OR(ISNUMBER(SEARCH("quick case",$P727)),ISNUMBER(SEARCH("quick case",$Q727))),"Yes","No"))</f>
        <v/>
      </c>
      <c r="U727" s="25">
        <f>IF($O727="Invalid",HYPERLINK("mailto:"&amp;$G727&amp;";"&amp;$I727&amp;"?cc="&amp;Lists!$E$2&amp;"&amp;subject="&amp;_xlfn.ENCODEURL("[INVALID] Quality audit monitoring completed for "&amp;UPPER($C727))&amp;"&amp;body="&amp;_xlfn.ENCODEURL("Hi "&amp;$F727&amp;","&amp;CHAR(10)&amp;"Good day!"&amp;CHAR(10)&amp;CHAR(10)&amp;"A quality monitoring audit has been completed for "&amp;$C727&amp;"."&amp;CHAR(10)&amp;CHAR(10)&amp;"QUALITY AUDIT DETAILS"&amp;CHAR(10)&amp;"Agent Name: "&amp;$C727&amp;" (EID "&amp;$D727&amp;")"&amp;CHAR(10)&amp;"Audit Date: "&amp;TEXT($B727,"yyyy-mm-dd")&amp;CHAR(10)&amp;"Team Leader: "&amp;$F727&amp;CHAR(10)&amp;"Case Number: "&amp;$M727&amp;CHAR(10)&amp;"Transaction ID: "&amp;$N727&amp;CHAR(10)&amp;"Channel / LOB: "&amp;$K727&amp;" / "&amp;$L727&amp;CHAR(10)&amp;"Evaluator: "&amp;$S727&amp;CHAR(10)&amp;CHAR(10)&amp;"INVALID QUALITY AUDIT DETAILS"&amp;CHAR(10)&amp;"Validation: Invalid"&amp;CHAR(10)&amp;"Invalid Reason: "&amp;$P727&amp;CHAR(10)&amp;"Expected Resolution Code: "&amp;$Q727&amp;CHAR(10)&amp;"Remarks: "&amp;LEFT($R727,600)&amp;CHAR(10)&amp;CHAR(10)&amp;"This is an automated notification from HP Mainstream EQMS."),"✉ Open Email Draft"),"")</f>
        <v/>
      </c>
    </row>
    <row r="728">
      <c r="A728" s="25">
        <f>IF($C728="","","AUD-2026-"&amp;TEXT(ROW()-1,"000000"))</f>
        <v/>
      </c>
      <c r="B728" s="26" t="n"/>
      <c r="C728" s="27" t="n"/>
      <c r="D728" s="25">
        <f>IF($C728="","",IFERROR(IF(INDEX(Roster!$A:$A,MATCH($C728,Roster!$B:$B,0))="","",INDEX(Roster!$A:$A,MATCH($C728,Roster!$B:$B,0))&amp;""),"—"))</f>
        <v/>
      </c>
      <c r="E728" s="25">
        <f>IF($C728="","",IFERROR(IF(INDEX(Roster!$C:$C,MATCH($C728,Roster!$B:$B,0))="","",INDEX(Roster!$C:$C,MATCH($C728,Roster!$B:$B,0))&amp;""),"—"))</f>
        <v/>
      </c>
      <c r="F728" s="25">
        <f>IF($C728="","",IFERROR(IF(INDEX(Roster!$D:$D,MATCH($C728,Roster!$B:$B,0))="","",INDEX(Roster!$D:$D,MATCH($C728,Roster!$B:$B,0))&amp;""),"—"))</f>
        <v/>
      </c>
      <c r="G728" s="25">
        <f>IF($C728="","",IFERROR(IF(INDEX(Roster!$E:$E,MATCH($C728,Roster!$B:$B,0))="","",INDEX(Roster!$E:$E,MATCH($C728,Roster!$B:$B,0))&amp;""),"—"))</f>
        <v/>
      </c>
      <c r="H728" s="25">
        <f>IF($C728="","",IFERROR(IF(INDEX(Roster!$F:$F,MATCH($C728,Roster!$B:$B,0))="","",INDEX(Roster!$F:$F,MATCH($C728,Roster!$B:$B,0))&amp;""),"—"))</f>
        <v/>
      </c>
      <c r="I728" s="25">
        <f>IF($C728="","",IFERROR(IF(INDEX(Roster!$G:$G,MATCH($C728,Roster!$B:$B,0))="","",INDEX(Roster!$G:$G,MATCH($C728,Roster!$B:$B,0))&amp;""),"—"))</f>
        <v/>
      </c>
      <c r="J728" s="25">
        <f>IF($C728="","",IFERROR(IF(INDEX(Roster!$I:$I,MATCH($C728,Roster!$B:$B,0))="","",INDEX(Roster!$I:$I,MATCH($C728,Roster!$B:$B,0))&amp;""),"—"))</f>
        <v/>
      </c>
      <c r="K728">
        <f>IF($C728="","",IFERROR(IF(INDEX(Roster!$J:$J,MATCH($C728,Roster!$B:$B,0))="","",INDEX(Roster!$J:$J,MATCH($C728,Roster!$B:$B,0))&amp;""),"—"))</f>
        <v/>
      </c>
      <c r="L728">
        <f>IF($C728="","",IFERROR(IF(INDEX(Roster!$K:$K,MATCH($C728,Roster!$B:$B,0))="","",INDEX(Roster!$K:$K,MATCH($C728,Roster!$B:$B,0))&amp;""),"—"))</f>
        <v/>
      </c>
      <c r="M728" s="27" t="n"/>
      <c r="N728" s="27" t="n"/>
      <c r="O728" s="25">
        <f>IF($C728="","",IF($P728="","—",IF($P728="Valid (Pass)","Valid","Invalid")))</f>
        <v/>
      </c>
      <c r="P728" s="27" t="n"/>
      <c r="Q728" s="27" t="n"/>
      <c r="R728" s="27" t="n"/>
      <c r="S728" s="27" t="n"/>
      <c r="T728" s="25">
        <f>IF($C728="","",IF(OR(ISNUMBER(SEARCH("quick case",$P728)),ISNUMBER(SEARCH("quick case",$Q728))),"Yes","No"))</f>
        <v/>
      </c>
      <c r="U728" s="25">
        <f>IF($O728="Invalid",HYPERLINK("mailto:"&amp;$G728&amp;";"&amp;$I728&amp;"?cc="&amp;Lists!$E$2&amp;"&amp;subject="&amp;_xlfn.ENCODEURL("[INVALID] Quality audit monitoring completed for "&amp;UPPER($C728))&amp;"&amp;body="&amp;_xlfn.ENCODEURL("Hi "&amp;$F728&amp;","&amp;CHAR(10)&amp;"Good day!"&amp;CHAR(10)&amp;CHAR(10)&amp;"A quality monitoring audit has been completed for "&amp;$C728&amp;"."&amp;CHAR(10)&amp;CHAR(10)&amp;"QUALITY AUDIT DETAILS"&amp;CHAR(10)&amp;"Agent Name: "&amp;$C728&amp;" (EID "&amp;$D728&amp;")"&amp;CHAR(10)&amp;"Audit Date: "&amp;TEXT($B728,"yyyy-mm-dd")&amp;CHAR(10)&amp;"Team Leader: "&amp;$F728&amp;CHAR(10)&amp;"Case Number: "&amp;$M728&amp;CHAR(10)&amp;"Transaction ID: "&amp;$N728&amp;CHAR(10)&amp;"Channel / LOB: "&amp;$K728&amp;" / "&amp;$L728&amp;CHAR(10)&amp;"Evaluator: "&amp;$S728&amp;CHAR(10)&amp;CHAR(10)&amp;"INVALID QUALITY AUDIT DETAILS"&amp;CHAR(10)&amp;"Validation: Invalid"&amp;CHAR(10)&amp;"Invalid Reason: "&amp;$P728&amp;CHAR(10)&amp;"Expected Resolution Code: "&amp;$Q728&amp;CHAR(10)&amp;"Remarks: "&amp;LEFT($R728,600)&amp;CHAR(10)&amp;CHAR(10)&amp;"This is an automated notification from HP Mainstream EQMS."),"✉ Open Email Draft"),"")</f>
        <v/>
      </c>
    </row>
    <row r="729">
      <c r="A729" s="25">
        <f>IF($C729="","","AUD-2026-"&amp;TEXT(ROW()-1,"000000"))</f>
        <v/>
      </c>
      <c r="B729" s="26" t="n"/>
      <c r="C729" s="27" t="n"/>
      <c r="D729" s="25">
        <f>IF($C729="","",IFERROR(IF(INDEX(Roster!$A:$A,MATCH($C729,Roster!$B:$B,0))="","",INDEX(Roster!$A:$A,MATCH($C729,Roster!$B:$B,0))&amp;""),"—"))</f>
        <v/>
      </c>
      <c r="E729" s="25">
        <f>IF($C729="","",IFERROR(IF(INDEX(Roster!$C:$C,MATCH($C729,Roster!$B:$B,0))="","",INDEX(Roster!$C:$C,MATCH($C729,Roster!$B:$B,0))&amp;""),"—"))</f>
        <v/>
      </c>
      <c r="F729" s="25">
        <f>IF($C729="","",IFERROR(IF(INDEX(Roster!$D:$D,MATCH($C729,Roster!$B:$B,0))="","",INDEX(Roster!$D:$D,MATCH($C729,Roster!$B:$B,0))&amp;""),"—"))</f>
        <v/>
      </c>
      <c r="G729" s="25">
        <f>IF($C729="","",IFERROR(IF(INDEX(Roster!$E:$E,MATCH($C729,Roster!$B:$B,0))="","",INDEX(Roster!$E:$E,MATCH($C729,Roster!$B:$B,0))&amp;""),"—"))</f>
        <v/>
      </c>
      <c r="H729" s="25">
        <f>IF($C729="","",IFERROR(IF(INDEX(Roster!$F:$F,MATCH($C729,Roster!$B:$B,0))="","",INDEX(Roster!$F:$F,MATCH($C729,Roster!$B:$B,0))&amp;""),"—"))</f>
        <v/>
      </c>
      <c r="I729" s="25">
        <f>IF($C729="","",IFERROR(IF(INDEX(Roster!$G:$G,MATCH($C729,Roster!$B:$B,0))="","",INDEX(Roster!$G:$G,MATCH($C729,Roster!$B:$B,0))&amp;""),"—"))</f>
        <v/>
      </c>
      <c r="J729" s="25">
        <f>IF($C729="","",IFERROR(IF(INDEX(Roster!$I:$I,MATCH($C729,Roster!$B:$B,0))="","",INDEX(Roster!$I:$I,MATCH($C729,Roster!$B:$B,0))&amp;""),"—"))</f>
        <v/>
      </c>
      <c r="K729">
        <f>IF($C729="","",IFERROR(IF(INDEX(Roster!$J:$J,MATCH($C729,Roster!$B:$B,0))="","",INDEX(Roster!$J:$J,MATCH($C729,Roster!$B:$B,0))&amp;""),"—"))</f>
        <v/>
      </c>
      <c r="L729">
        <f>IF($C729="","",IFERROR(IF(INDEX(Roster!$K:$K,MATCH($C729,Roster!$B:$B,0))="","",INDEX(Roster!$K:$K,MATCH($C729,Roster!$B:$B,0))&amp;""),"—"))</f>
        <v/>
      </c>
      <c r="M729" s="27" t="n"/>
      <c r="N729" s="27" t="n"/>
      <c r="O729" s="25">
        <f>IF($C729="","",IF($P729="","—",IF($P729="Valid (Pass)","Valid","Invalid")))</f>
        <v/>
      </c>
      <c r="P729" s="27" t="n"/>
      <c r="Q729" s="27" t="n"/>
      <c r="R729" s="27" t="n"/>
      <c r="S729" s="27" t="n"/>
      <c r="T729" s="25">
        <f>IF($C729="","",IF(OR(ISNUMBER(SEARCH("quick case",$P729)),ISNUMBER(SEARCH("quick case",$Q729))),"Yes","No"))</f>
        <v/>
      </c>
      <c r="U729" s="25">
        <f>IF($O729="Invalid",HYPERLINK("mailto:"&amp;$G729&amp;";"&amp;$I729&amp;"?cc="&amp;Lists!$E$2&amp;"&amp;subject="&amp;_xlfn.ENCODEURL("[INVALID] Quality audit monitoring completed for "&amp;UPPER($C729))&amp;"&amp;body="&amp;_xlfn.ENCODEURL("Hi "&amp;$F729&amp;","&amp;CHAR(10)&amp;"Good day!"&amp;CHAR(10)&amp;CHAR(10)&amp;"A quality monitoring audit has been completed for "&amp;$C729&amp;"."&amp;CHAR(10)&amp;CHAR(10)&amp;"QUALITY AUDIT DETAILS"&amp;CHAR(10)&amp;"Agent Name: "&amp;$C729&amp;" (EID "&amp;$D729&amp;")"&amp;CHAR(10)&amp;"Audit Date: "&amp;TEXT($B729,"yyyy-mm-dd")&amp;CHAR(10)&amp;"Team Leader: "&amp;$F729&amp;CHAR(10)&amp;"Case Number: "&amp;$M729&amp;CHAR(10)&amp;"Transaction ID: "&amp;$N729&amp;CHAR(10)&amp;"Channel / LOB: "&amp;$K729&amp;" / "&amp;$L729&amp;CHAR(10)&amp;"Evaluator: "&amp;$S729&amp;CHAR(10)&amp;CHAR(10)&amp;"INVALID QUALITY AUDIT DETAILS"&amp;CHAR(10)&amp;"Validation: Invalid"&amp;CHAR(10)&amp;"Invalid Reason: "&amp;$P729&amp;CHAR(10)&amp;"Expected Resolution Code: "&amp;$Q729&amp;CHAR(10)&amp;"Remarks: "&amp;LEFT($R729,600)&amp;CHAR(10)&amp;CHAR(10)&amp;"This is an automated notification from HP Mainstream EQMS."),"✉ Open Email Draft"),"")</f>
        <v/>
      </c>
    </row>
    <row r="730">
      <c r="A730" s="25">
        <f>IF($C730="","","AUD-2026-"&amp;TEXT(ROW()-1,"000000"))</f>
        <v/>
      </c>
      <c r="B730" s="26" t="n"/>
      <c r="C730" s="27" t="n"/>
      <c r="D730" s="25">
        <f>IF($C730="","",IFERROR(IF(INDEX(Roster!$A:$A,MATCH($C730,Roster!$B:$B,0))="","",INDEX(Roster!$A:$A,MATCH($C730,Roster!$B:$B,0))&amp;""),"—"))</f>
        <v/>
      </c>
      <c r="E730" s="25">
        <f>IF($C730="","",IFERROR(IF(INDEX(Roster!$C:$C,MATCH($C730,Roster!$B:$B,0))="","",INDEX(Roster!$C:$C,MATCH($C730,Roster!$B:$B,0))&amp;""),"—"))</f>
        <v/>
      </c>
      <c r="F730" s="25">
        <f>IF($C730="","",IFERROR(IF(INDEX(Roster!$D:$D,MATCH($C730,Roster!$B:$B,0))="","",INDEX(Roster!$D:$D,MATCH($C730,Roster!$B:$B,0))&amp;""),"—"))</f>
        <v/>
      </c>
      <c r="G730" s="25">
        <f>IF($C730="","",IFERROR(IF(INDEX(Roster!$E:$E,MATCH($C730,Roster!$B:$B,0))="","",INDEX(Roster!$E:$E,MATCH($C730,Roster!$B:$B,0))&amp;""),"—"))</f>
        <v/>
      </c>
      <c r="H730" s="25">
        <f>IF($C730="","",IFERROR(IF(INDEX(Roster!$F:$F,MATCH($C730,Roster!$B:$B,0))="","",INDEX(Roster!$F:$F,MATCH($C730,Roster!$B:$B,0))&amp;""),"—"))</f>
        <v/>
      </c>
      <c r="I730" s="25">
        <f>IF($C730="","",IFERROR(IF(INDEX(Roster!$G:$G,MATCH($C730,Roster!$B:$B,0))="","",INDEX(Roster!$G:$G,MATCH($C730,Roster!$B:$B,0))&amp;""),"—"))</f>
        <v/>
      </c>
      <c r="J730" s="25">
        <f>IF($C730="","",IFERROR(IF(INDEX(Roster!$I:$I,MATCH($C730,Roster!$B:$B,0))="","",INDEX(Roster!$I:$I,MATCH($C730,Roster!$B:$B,0))&amp;""),"—"))</f>
        <v/>
      </c>
      <c r="K730">
        <f>IF($C730="","",IFERROR(IF(INDEX(Roster!$J:$J,MATCH($C730,Roster!$B:$B,0))="","",INDEX(Roster!$J:$J,MATCH($C730,Roster!$B:$B,0))&amp;""),"—"))</f>
        <v/>
      </c>
      <c r="L730">
        <f>IF($C730="","",IFERROR(IF(INDEX(Roster!$K:$K,MATCH($C730,Roster!$B:$B,0))="","",INDEX(Roster!$K:$K,MATCH($C730,Roster!$B:$B,0))&amp;""),"—"))</f>
        <v/>
      </c>
      <c r="M730" s="27" t="n"/>
      <c r="N730" s="27" t="n"/>
      <c r="O730" s="25">
        <f>IF($C730="","",IF($P730="","—",IF($P730="Valid (Pass)","Valid","Invalid")))</f>
        <v/>
      </c>
      <c r="P730" s="27" t="n"/>
      <c r="Q730" s="27" t="n"/>
      <c r="R730" s="27" t="n"/>
      <c r="S730" s="27" t="n"/>
      <c r="T730" s="25">
        <f>IF($C730="","",IF(OR(ISNUMBER(SEARCH("quick case",$P730)),ISNUMBER(SEARCH("quick case",$Q730))),"Yes","No"))</f>
        <v/>
      </c>
      <c r="U730" s="25">
        <f>IF($O730="Invalid",HYPERLINK("mailto:"&amp;$G730&amp;";"&amp;$I730&amp;"?cc="&amp;Lists!$E$2&amp;"&amp;subject="&amp;_xlfn.ENCODEURL("[INVALID] Quality audit monitoring completed for "&amp;UPPER($C730))&amp;"&amp;body="&amp;_xlfn.ENCODEURL("Hi "&amp;$F730&amp;","&amp;CHAR(10)&amp;"Good day!"&amp;CHAR(10)&amp;CHAR(10)&amp;"A quality monitoring audit has been completed for "&amp;$C730&amp;"."&amp;CHAR(10)&amp;CHAR(10)&amp;"QUALITY AUDIT DETAILS"&amp;CHAR(10)&amp;"Agent Name: "&amp;$C730&amp;" (EID "&amp;$D730&amp;")"&amp;CHAR(10)&amp;"Audit Date: "&amp;TEXT($B730,"yyyy-mm-dd")&amp;CHAR(10)&amp;"Team Leader: "&amp;$F730&amp;CHAR(10)&amp;"Case Number: "&amp;$M730&amp;CHAR(10)&amp;"Transaction ID: "&amp;$N730&amp;CHAR(10)&amp;"Channel / LOB: "&amp;$K730&amp;" / "&amp;$L730&amp;CHAR(10)&amp;"Evaluator: "&amp;$S730&amp;CHAR(10)&amp;CHAR(10)&amp;"INVALID QUALITY AUDIT DETAILS"&amp;CHAR(10)&amp;"Validation: Invalid"&amp;CHAR(10)&amp;"Invalid Reason: "&amp;$P730&amp;CHAR(10)&amp;"Expected Resolution Code: "&amp;$Q730&amp;CHAR(10)&amp;"Remarks: "&amp;LEFT($R730,600)&amp;CHAR(10)&amp;CHAR(10)&amp;"This is an automated notification from HP Mainstream EQMS."),"✉ Open Email Draft"),"")</f>
        <v/>
      </c>
    </row>
    <row r="731">
      <c r="A731" s="25">
        <f>IF($C731="","","AUD-2026-"&amp;TEXT(ROW()-1,"000000"))</f>
        <v/>
      </c>
      <c r="B731" s="26" t="n"/>
      <c r="C731" s="27" t="n"/>
      <c r="D731" s="25">
        <f>IF($C731="","",IFERROR(IF(INDEX(Roster!$A:$A,MATCH($C731,Roster!$B:$B,0))="","",INDEX(Roster!$A:$A,MATCH($C731,Roster!$B:$B,0))&amp;""),"—"))</f>
        <v/>
      </c>
      <c r="E731" s="25">
        <f>IF($C731="","",IFERROR(IF(INDEX(Roster!$C:$C,MATCH($C731,Roster!$B:$B,0))="","",INDEX(Roster!$C:$C,MATCH($C731,Roster!$B:$B,0))&amp;""),"—"))</f>
        <v/>
      </c>
      <c r="F731" s="25">
        <f>IF($C731="","",IFERROR(IF(INDEX(Roster!$D:$D,MATCH($C731,Roster!$B:$B,0))="","",INDEX(Roster!$D:$D,MATCH($C731,Roster!$B:$B,0))&amp;""),"—"))</f>
        <v/>
      </c>
      <c r="G731" s="25">
        <f>IF($C731="","",IFERROR(IF(INDEX(Roster!$E:$E,MATCH($C731,Roster!$B:$B,0))="","",INDEX(Roster!$E:$E,MATCH($C731,Roster!$B:$B,0))&amp;""),"—"))</f>
        <v/>
      </c>
      <c r="H731" s="25">
        <f>IF($C731="","",IFERROR(IF(INDEX(Roster!$F:$F,MATCH($C731,Roster!$B:$B,0))="","",INDEX(Roster!$F:$F,MATCH($C731,Roster!$B:$B,0))&amp;""),"—"))</f>
        <v/>
      </c>
      <c r="I731" s="25">
        <f>IF($C731="","",IFERROR(IF(INDEX(Roster!$G:$G,MATCH($C731,Roster!$B:$B,0))="","",INDEX(Roster!$G:$G,MATCH($C731,Roster!$B:$B,0))&amp;""),"—"))</f>
        <v/>
      </c>
      <c r="J731" s="25">
        <f>IF($C731="","",IFERROR(IF(INDEX(Roster!$I:$I,MATCH($C731,Roster!$B:$B,0))="","",INDEX(Roster!$I:$I,MATCH($C731,Roster!$B:$B,0))&amp;""),"—"))</f>
        <v/>
      </c>
      <c r="K731">
        <f>IF($C731="","",IFERROR(IF(INDEX(Roster!$J:$J,MATCH($C731,Roster!$B:$B,0))="","",INDEX(Roster!$J:$J,MATCH($C731,Roster!$B:$B,0))&amp;""),"—"))</f>
        <v/>
      </c>
      <c r="L731">
        <f>IF($C731="","",IFERROR(IF(INDEX(Roster!$K:$K,MATCH($C731,Roster!$B:$B,0))="","",INDEX(Roster!$K:$K,MATCH($C731,Roster!$B:$B,0))&amp;""),"—"))</f>
        <v/>
      </c>
      <c r="M731" s="27" t="n"/>
      <c r="N731" s="27" t="n"/>
      <c r="O731" s="25">
        <f>IF($C731="","",IF($P731="","—",IF($P731="Valid (Pass)","Valid","Invalid")))</f>
        <v/>
      </c>
      <c r="P731" s="27" t="n"/>
      <c r="Q731" s="27" t="n"/>
      <c r="R731" s="27" t="n"/>
      <c r="S731" s="27" t="n"/>
      <c r="T731" s="25">
        <f>IF($C731="","",IF(OR(ISNUMBER(SEARCH("quick case",$P731)),ISNUMBER(SEARCH("quick case",$Q731))),"Yes","No"))</f>
        <v/>
      </c>
      <c r="U731" s="25">
        <f>IF($O731="Invalid",HYPERLINK("mailto:"&amp;$G731&amp;";"&amp;$I731&amp;"?cc="&amp;Lists!$E$2&amp;"&amp;subject="&amp;_xlfn.ENCODEURL("[INVALID] Quality audit monitoring completed for "&amp;UPPER($C731))&amp;"&amp;body="&amp;_xlfn.ENCODEURL("Hi "&amp;$F731&amp;","&amp;CHAR(10)&amp;"Good day!"&amp;CHAR(10)&amp;CHAR(10)&amp;"A quality monitoring audit has been completed for "&amp;$C731&amp;"."&amp;CHAR(10)&amp;CHAR(10)&amp;"QUALITY AUDIT DETAILS"&amp;CHAR(10)&amp;"Agent Name: "&amp;$C731&amp;" (EID "&amp;$D731&amp;")"&amp;CHAR(10)&amp;"Audit Date: "&amp;TEXT($B731,"yyyy-mm-dd")&amp;CHAR(10)&amp;"Team Leader: "&amp;$F731&amp;CHAR(10)&amp;"Case Number: "&amp;$M731&amp;CHAR(10)&amp;"Transaction ID: "&amp;$N731&amp;CHAR(10)&amp;"Channel / LOB: "&amp;$K731&amp;" / "&amp;$L731&amp;CHAR(10)&amp;"Evaluator: "&amp;$S731&amp;CHAR(10)&amp;CHAR(10)&amp;"INVALID QUALITY AUDIT DETAILS"&amp;CHAR(10)&amp;"Validation: Invalid"&amp;CHAR(10)&amp;"Invalid Reason: "&amp;$P731&amp;CHAR(10)&amp;"Expected Resolution Code: "&amp;$Q731&amp;CHAR(10)&amp;"Remarks: "&amp;LEFT($R731,600)&amp;CHAR(10)&amp;CHAR(10)&amp;"This is an automated notification from HP Mainstream EQMS."),"✉ Open Email Draft"),"")</f>
        <v/>
      </c>
    </row>
    <row r="732">
      <c r="A732" s="25">
        <f>IF($C732="","","AUD-2026-"&amp;TEXT(ROW()-1,"000000"))</f>
        <v/>
      </c>
      <c r="B732" s="26" t="n"/>
      <c r="C732" s="27" t="n"/>
      <c r="D732" s="25">
        <f>IF($C732="","",IFERROR(IF(INDEX(Roster!$A:$A,MATCH($C732,Roster!$B:$B,0))="","",INDEX(Roster!$A:$A,MATCH($C732,Roster!$B:$B,0))&amp;""),"—"))</f>
        <v/>
      </c>
      <c r="E732" s="25">
        <f>IF($C732="","",IFERROR(IF(INDEX(Roster!$C:$C,MATCH($C732,Roster!$B:$B,0))="","",INDEX(Roster!$C:$C,MATCH($C732,Roster!$B:$B,0))&amp;""),"—"))</f>
        <v/>
      </c>
      <c r="F732" s="25">
        <f>IF($C732="","",IFERROR(IF(INDEX(Roster!$D:$D,MATCH($C732,Roster!$B:$B,0))="","",INDEX(Roster!$D:$D,MATCH($C732,Roster!$B:$B,0))&amp;""),"—"))</f>
        <v/>
      </c>
      <c r="G732" s="25">
        <f>IF($C732="","",IFERROR(IF(INDEX(Roster!$E:$E,MATCH($C732,Roster!$B:$B,0))="","",INDEX(Roster!$E:$E,MATCH($C732,Roster!$B:$B,0))&amp;""),"—"))</f>
        <v/>
      </c>
      <c r="H732" s="25">
        <f>IF($C732="","",IFERROR(IF(INDEX(Roster!$F:$F,MATCH($C732,Roster!$B:$B,0))="","",INDEX(Roster!$F:$F,MATCH($C732,Roster!$B:$B,0))&amp;""),"—"))</f>
        <v/>
      </c>
      <c r="I732" s="25">
        <f>IF($C732="","",IFERROR(IF(INDEX(Roster!$G:$G,MATCH($C732,Roster!$B:$B,0))="","",INDEX(Roster!$G:$G,MATCH($C732,Roster!$B:$B,0))&amp;""),"—"))</f>
        <v/>
      </c>
      <c r="J732" s="25">
        <f>IF($C732="","",IFERROR(IF(INDEX(Roster!$I:$I,MATCH($C732,Roster!$B:$B,0))="","",INDEX(Roster!$I:$I,MATCH($C732,Roster!$B:$B,0))&amp;""),"—"))</f>
        <v/>
      </c>
      <c r="K732">
        <f>IF($C732="","",IFERROR(IF(INDEX(Roster!$J:$J,MATCH($C732,Roster!$B:$B,0))="","",INDEX(Roster!$J:$J,MATCH($C732,Roster!$B:$B,0))&amp;""),"—"))</f>
        <v/>
      </c>
      <c r="L732">
        <f>IF($C732="","",IFERROR(IF(INDEX(Roster!$K:$K,MATCH($C732,Roster!$B:$B,0))="","",INDEX(Roster!$K:$K,MATCH($C732,Roster!$B:$B,0))&amp;""),"—"))</f>
        <v/>
      </c>
      <c r="M732" s="27" t="n"/>
      <c r="N732" s="27" t="n"/>
      <c r="O732" s="25">
        <f>IF($C732="","",IF($P732="","—",IF($P732="Valid (Pass)","Valid","Invalid")))</f>
        <v/>
      </c>
      <c r="P732" s="27" t="n"/>
      <c r="Q732" s="27" t="n"/>
      <c r="R732" s="27" t="n"/>
      <c r="S732" s="27" t="n"/>
      <c r="T732" s="25">
        <f>IF($C732="","",IF(OR(ISNUMBER(SEARCH("quick case",$P732)),ISNUMBER(SEARCH("quick case",$Q732))),"Yes","No"))</f>
        <v/>
      </c>
      <c r="U732" s="25">
        <f>IF($O732="Invalid",HYPERLINK("mailto:"&amp;$G732&amp;";"&amp;$I732&amp;"?cc="&amp;Lists!$E$2&amp;"&amp;subject="&amp;_xlfn.ENCODEURL("[INVALID] Quality audit monitoring completed for "&amp;UPPER($C732))&amp;"&amp;body="&amp;_xlfn.ENCODEURL("Hi "&amp;$F732&amp;","&amp;CHAR(10)&amp;"Good day!"&amp;CHAR(10)&amp;CHAR(10)&amp;"A quality monitoring audit has been completed for "&amp;$C732&amp;"."&amp;CHAR(10)&amp;CHAR(10)&amp;"QUALITY AUDIT DETAILS"&amp;CHAR(10)&amp;"Agent Name: "&amp;$C732&amp;" (EID "&amp;$D732&amp;")"&amp;CHAR(10)&amp;"Audit Date: "&amp;TEXT($B732,"yyyy-mm-dd")&amp;CHAR(10)&amp;"Team Leader: "&amp;$F732&amp;CHAR(10)&amp;"Case Number: "&amp;$M732&amp;CHAR(10)&amp;"Transaction ID: "&amp;$N732&amp;CHAR(10)&amp;"Channel / LOB: "&amp;$K732&amp;" / "&amp;$L732&amp;CHAR(10)&amp;"Evaluator: "&amp;$S732&amp;CHAR(10)&amp;CHAR(10)&amp;"INVALID QUALITY AUDIT DETAILS"&amp;CHAR(10)&amp;"Validation: Invalid"&amp;CHAR(10)&amp;"Invalid Reason: "&amp;$P732&amp;CHAR(10)&amp;"Expected Resolution Code: "&amp;$Q732&amp;CHAR(10)&amp;"Remarks: "&amp;LEFT($R732,600)&amp;CHAR(10)&amp;CHAR(10)&amp;"This is an automated notification from HP Mainstream EQMS."),"✉ Open Email Draft"),"")</f>
        <v/>
      </c>
    </row>
    <row r="733">
      <c r="A733" s="25">
        <f>IF($C733="","","AUD-2026-"&amp;TEXT(ROW()-1,"000000"))</f>
        <v/>
      </c>
      <c r="B733" s="26" t="n"/>
      <c r="C733" s="27" t="n"/>
      <c r="D733" s="25">
        <f>IF($C733="","",IFERROR(IF(INDEX(Roster!$A:$A,MATCH($C733,Roster!$B:$B,0))="","",INDEX(Roster!$A:$A,MATCH($C733,Roster!$B:$B,0))&amp;""),"—"))</f>
        <v/>
      </c>
      <c r="E733" s="25">
        <f>IF($C733="","",IFERROR(IF(INDEX(Roster!$C:$C,MATCH($C733,Roster!$B:$B,0))="","",INDEX(Roster!$C:$C,MATCH($C733,Roster!$B:$B,0))&amp;""),"—"))</f>
        <v/>
      </c>
      <c r="F733" s="25">
        <f>IF($C733="","",IFERROR(IF(INDEX(Roster!$D:$D,MATCH($C733,Roster!$B:$B,0))="","",INDEX(Roster!$D:$D,MATCH($C733,Roster!$B:$B,0))&amp;""),"—"))</f>
        <v/>
      </c>
      <c r="G733" s="25">
        <f>IF($C733="","",IFERROR(IF(INDEX(Roster!$E:$E,MATCH($C733,Roster!$B:$B,0))="","",INDEX(Roster!$E:$E,MATCH($C733,Roster!$B:$B,0))&amp;""),"—"))</f>
        <v/>
      </c>
      <c r="H733" s="25">
        <f>IF($C733="","",IFERROR(IF(INDEX(Roster!$F:$F,MATCH($C733,Roster!$B:$B,0))="","",INDEX(Roster!$F:$F,MATCH($C733,Roster!$B:$B,0))&amp;""),"—"))</f>
        <v/>
      </c>
      <c r="I733" s="25">
        <f>IF($C733="","",IFERROR(IF(INDEX(Roster!$G:$G,MATCH($C733,Roster!$B:$B,0))="","",INDEX(Roster!$G:$G,MATCH($C733,Roster!$B:$B,0))&amp;""),"—"))</f>
        <v/>
      </c>
      <c r="J733" s="25">
        <f>IF($C733="","",IFERROR(IF(INDEX(Roster!$I:$I,MATCH($C733,Roster!$B:$B,0))="","",INDEX(Roster!$I:$I,MATCH($C733,Roster!$B:$B,0))&amp;""),"—"))</f>
        <v/>
      </c>
      <c r="K733">
        <f>IF($C733="","",IFERROR(IF(INDEX(Roster!$J:$J,MATCH($C733,Roster!$B:$B,0))="","",INDEX(Roster!$J:$J,MATCH($C733,Roster!$B:$B,0))&amp;""),"—"))</f>
        <v/>
      </c>
      <c r="L733">
        <f>IF($C733="","",IFERROR(IF(INDEX(Roster!$K:$K,MATCH($C733,Roster!$B:$B,0))="","",INDEX(Roster!$K:$K,MATCH($C733,Roster!$B:$B,0))&amp;""),"—"))</f>
        <v/>
      </c>
      <c r="M733" s="27" t="n"/>
      <c r="N733" s="27" t="n"/>
      <c r="O733" s="25">
        <f>IF($C733="","",IF($P733="","—",IF($P733="Valid (Pass)","Valid","Invalid")))</f>
        <v/>
      </c>
      <c r="P733" s="27" t="n"/>
      <c r="Q733" s="27" t="n"/>
      <c r="R733" s="27" t="n"/>
      <c r="S733" s="27" t="n"/>
      <c r="T733" s="25">
        <f>IF($C733="","",IF(OR(ISNUMBER(SEARCH("quick case",$P733)),ISNUMBER(SEARCH("quick case",$Q733))),"Yes","No"))</f>
        <v/>
      </c>
      <c r="U733" s="25">
        <f>IF($O733="Invalid",HYPERLINK("mailto:"&amp;$G733&amp;";"&amp;$I733&amp;"?cc="&amp;Lists!$E$2&amp;"&amp;subject="&amp;_xlfn.ENCODEURL("[INVALID] Quality audit monitoring completed for "&amp;UPPER($C733))&amp;"&amp;body="&amp;_xlfn.ENCODEURL("Hi "&amp;$F733&amp;","&amp;CHAR(10)&amp;"Good day!"&amp;CHAR(10)&amp;CHAR(10)&amp;"A quality monitoring audit has been completed for "&amp;$C733&amp;"."&amp;CHAR(10)&amp;CHAR(10)&amp;"QUALITY AUDIT DETAILS"&amp;CHAR(10)&amp;"Agent Name: "&amp;$C733&amp;" (EID "&amp;$D733&amp;")"&amp;CHAR(10)&amp;"Audit Date: "&amp;TEXT($B733,"yyyy-mm-dd")&amp;CHAR(10)&amp;"Team Leader: "&amp;$F733&amp;CHAR(10)&amp;"Case Number: "&amp;$M733&amp;CHAR(10)&amp;"Transaction ID: "&amp;$N733&amp;CHAR(10)&amp;"Channel / LOB: "&amp;$K733&amp;" / "&amp;$L733&amp;CHAR(10)&amp;"Evaluator: "&amp;$S733&amp;CHAR(10)&amp;CHAR(10)&amp;"INVALID QUALITY AUDIT DETAILS"&amp;CHAR(10)&amp;"Validation: Invalid"&amp;CHAR(10)&amp;"Invalid Reason: "&amp;$P733&amp;CHAR(10)&amp;"Expected Resolution Code: "&amp;$Q733&amp;CHAR(10)&amp;"Remarks: "&amp;LEFT($R733,600)&amp;CHAR(10)&amp;CHAR(10)&amp;"This is an automated notification from HP Mainstream EQMS."),"✉ Open Email Draft"),"")</f>
        <v/>
      </c>
    </row>
    <row r="734">
      <c r="A734" s="25">
        <f>IF($C734="","","AUD-2026-"&amp;TEXT(ROW()-1,"000000"))</f>
        <v/>
      </c>
      <c r="B734" s="26" t="n"/>
      <c r="C734" s="27" t="n"/>
      <c r="D734" s="25">
        <f>IF($C734="","",IFERROR(IF(INDEX(Roster!$A:$A,MATCH($C734,Roster!$B:$B,0))="","",INDEX(Roster!$A:$A,MATCH($C734,Roster!$B:$B,0))&amp;""),"—"))</f>
        <v/>
      </c>
      <c r="E734" s="25">
        <f>IF($C734="","",IFERROR(IF(INDEX(Roster!$C:$C,MATCH($C734,Roster!$B:$B,0))="","",INDEX(Roster!$C:$C,MATCH($C734,Roster!$B:$B,0))&amp;""),"—"))</f>
        <v/>
      </c>
      <c r="F734" s="25">
        <f>IF($C734="","",IFERROR(IF(INDEX(Roster!$D:$D,MATCH($C734,Roster!$B:$B,0))="","",INDEX(Roster!$D:$D,MATCH($C734,Roster!$B:$B,0))&amp;""),"—"))</f>
        <v/>
      </c>
      <c r="G734" s="25">
        <f>IF($C734="","",IFERROR(IF(INDEX(Roster!$E:$E,MATCH($C734,Roster!$B:$B,0))="","",INDEX(Roster!$E:$E,MATCH($C734,Roster!$B:$B,0))&amp;""),"—"))</f>
        <v/>
      </c>
      <c r="H734" s="25">
        <f>IF($C734="","",IFERROR(IF(INDEX(Roster!$F:$F,MATCH($C734,Roster!$B:$B,0))="","",INDEX(Roster!$F:$F,MATCH($C734,Roster!$B:$B,0))&amp;""),"—"))</f>
        <v/>
      </c>
      <c r="I734" s="25">
        <f>IF($C734="","",IFERROR(IF(INDEX(Roster!$G:$G,MATCH($C734,Roster!$B:$B,0))="","",INDEX(Roster!$G:$G,MATCH($C734,Roster!$B:$B,0))&amp;""),"—"))</f>
        <v/>
      </c>
      <c r="J734" s="25">
        <f>IF($C734="","",IFERROR(IF(INDEX(Roster!$I:$I,MATCH($C734,Roster!$B:$B,0))="","",INDEX(Roster!$I:$I,MATCH($C734,Roster!$B:$B,0))&amp;""),"—"))</f>
        <v/>
      </c>
      <c r="K734">
        <f>IF($C734="","",IFERROR(IF(INDEX(Roster!$J:$J,MATCH($C734,Roster!$B:$B,0))="","",INDEX(Roster!$J:$J,MATCH($C734,Roster!$B:$B,0))&amp;""),"—"))</f>
        <v/>
      </c>
      <c r="L734">
        <f>IF($C734="","",IFERROR(IF(INDEX(Roster!$K:$K,MATCH($C734,Roster!$B:$B,0))="","",INDEX(Roster!$K:$K,MATCH($C734,Roster!$B:$B,0))&amp;""),"—"))</f>
        <v/>
      </c>
      <c r="M734" s="27" t="n"/>
      <c r="N734" s="27" t="n"/>
      <c r="O734" s="25">
        <f>IF($C734="","",IF($P734="","—",IF($P734="Valid (Pass)","Valid","Invalid")))</f>
        <v/>
      </c>
      <c r="P734" s="27" t="n"/>
      <c r="Q734" s="27" t="n"/>
      <c r="R734" s="27" t="n"/>
      <c r="S734" s="27" t="n"/>
      <c r="T734" s="25">
        <f>IF($C734="","",IF(OR(ISNUMBER(SEARCH("quick case",$P734)),ISNUMBER(SEARCH("quick case",$Q734))),"Yes","No"))</f>
        <v/>
      </c>
      <c r="U734" s="25">
        <f>IF($O734="Invalid",HYPERLINK("mailto:"&amp;$G734&amp;";"&amp;$I734&amp;"?cc="&amp;Lists!$E$2&amp;"&amp;subject="&amp;_xlfn.ENCODEURL("[INVALID] Quality audit monitoring completed for "&amp;UPPER($C734))&amp;"&amp;body="&amp;_xlfn.ENCODEURL("Hi "&amp;$F734&amp;","&amp;CHAR(10)&amp;"Good day!"&amp;CHAR(10)&amp;CHAR(10)&amp;"A quality monitoring audit has been completed for "&amp;$C734&amp;"."&amp;CHAR(10)&amp;CHAR(10)&amp;"QUALITY AUDIT DETAILS"&amp;CHAR(10)&amp;"Agent Name: "&amp;$C734&amp;" (EID "&amp;$D734&amp;")"&amp;CHAR(10)&amp;"Audit Date: "&amp;TEXT($B734,"yyyy-mm-dd")&amp;CHAR(10)&amp;"Team Leader: "&amp;$F734&amp;CHAR(10)&amp;"Case Number: "&amp;$M734&amp;CHAR(10)&amp;"Transaction ID: "&amp;$N734&amp;CHAR(10)&amp;"Channel / LOB: "&amp;$K734&amp;" / "&amp;$L734&amp;CHAR(10)&amp;"Evaluator: "&amp;$S734&amp;CHAR(10)&amp;CHAR(10)&amp;"INVALID QUALITY AUDIT DETAILS"&amp;CHAR(10)&amp;"Validation: Invalid"&amp;CHAR(10)&amp;"Invalid Reason: "&amp;$P734&amp;CHAR(10)&amp;"Expected Resolution Code: "&amp;$Q734&amp;CHAR(10)&amp;"Remarks: "&amp;LEFT($R734,600)&amp;CHAR(10)&amp;CHAR(10)&amp;"This is an automated notification from HP Mainstream EQMS."),"✉ Open Email Draft"),"")</f>
        <v/>
      </c>
    </row>
    <row r="735">
      <c r="A735" s="25">
        <f>IF($C735="","","AUD-2026-"&amp;TEXT(ROW()-1,"000000"))</f>
        <v/>
      </c>
      <c r="B735" s="26" t="n"/>
      <c r="C735" s="27" t="n"/>
      <c r="D735" s="25">
        <f>IF($C735="","",IFERROR(IF(INDEX(Roster!$A:$A,MATCH($C735,Roster!$B:$B,0))="","",INDEX(Roster!$A:$A,MATCH($C735,Roster!$B:$B,0))&amp;""),"—"))</f>
        <v/>
      </c>
      <c r="E735" s="25">
        <f>IF($C735="","",IFERROR(IF(INDEX(Roster!$C:$C,MATCH($C735,Roster!$B:$B,0))="","",INDEX(Roster!$C:$C,MATCH($C735,Roster!$B:$B,0))&amp;""),"—"))</f>
        <v/>
      </c>
      <c r="F735" s="25">
        <f>IF($C735="","",IFERROR(IF(INDEX(Roster!$D:$D,MATCH($C735,Roster!$B:$B,0))="","",INDEX(Roster!$D:$D,MATCH($C735,Roster!$B:$B,0))&amp;""),"—"))</f>
        <v/>
      </c>
      <c r="G735" s="25">
        <f>IF($C735="","",IFERROR(IF(INDEX(Roster!$E:$E,MATCH($C735,Roster!$B:$B,0))="","",INDEX(Roster!$E:$E,MATCH($C735,Roster!$B:$B,0))&amp;""),"—"))</f>
        <v/>
      </c>
      <c r="H735" s="25">
        <f>IF($C735="","",IFERROR(IF(INDEX(Roster!$F:$F,MATCH($C735,Roster!$B:$B,0))="","",INDEX(Roster!$F:$F,MATCH($C735,Roster!$B:$B,0))&amp;""),"—"))</f>
        <v/>
      </c>
      <c r="I735" s="25">
        <f>IF($C735="","",IFERROR(IF(INDEX(Roster!$G:$G,MATCH($C735,Roster!$B:$B,0))="","",INDEX(Roster!$G:$G,MATCH($C735,Roster!$B:$B,0))&amp;""),"—"))</f>
        <v/>
      </c>
      <c r="J735" s="25">
        <f>IF($C735="","",IFERROR(IF(INDEX(Roster!$I:$I,MATCH($C735,Roster!$B:$B,0))="","",INDEX(Roster!$I:$I,MATCH($C735,Roster!$B:$B,0))&amp;""),"—"))</f>
        <v/>
      </c>
      <c r="K735">
        <f>IF($C735="","",IFERROR(IF(INDEX(Roster!$J:$J,MATCH($C735,Roster!$B:$B,0))="","",INDEX(Roster!$J:$J,MATCH($C735,Roster!$B:$B,0))&amp;""),"—"))</f>
        <v/>
      </c>
      <c r="L735">
        <f>IF($C735="","",IFERROR(IF(INDEX(Roster!$K:$K,MATCH($C735,Roster!$B:$B,0))="","",INDEX(Roster!$K:$K,MATCH($C735,Roster!$B:$B,0))&amp;""),"—"))</f>
        <v/>
      </c>
      <c r="M735" s="27" t="n"/>
      <c r="N735" s="27" t="n"/>
      <c r="O735" s="25">
        <f>IF($C735="","",IF($P735="","—",IF($P735="Valid (Pass)","Valid","Invalid")))</f>
        <v/>
      </c>
      <c r="P735" s="27" t="n"/>
      <c r="Q735" s="27" t="n"/>
      <c r="R735" s="27" t="n"/>
      <c r="S735" s="27" t="n"/>
      <c r="T735" s="25">
        <f>IF($C735="","",IF(OR(ISNUMBER(SEARCH("quick case",$P735)),ISNUMBER(SEARCH("quick case",$Q735))),"Yes","No"))</f>
        <v/>
      </c>
      <c r="U735" s="25">
        <f>IF($O735="Invalid",HYPERLINK("mailto:"&amp;$G735&amp;";"&amp;$I735&amp;"?cc="&amp;Lists!$E$2&amp;"&amp;subject="&amp;_xlfn.ENCODEURL("[INVALID] Quality audit monitoring completed for "&amp;UPPER($C735))&amp;"&amp;body="&amp;_xlfn.ENCODEURL("Hi "&amp;$F735&amp;","&amp;CHAR(10)&amp;"Good day!"&amp;CHAR(10)&amp;CHAR(10)&amp;"A quality monitoring audit has been completed for "&amp;$C735&amp;"."&amp;CHAR(10)&amp;CHAR(10)&amp;"QUALITY AUDIT DETAILS"&amp;CHAR(10)&amp;"Agent Name: "&amp;$C735&amp;" (EID "&amp;$D735&amp;")"&amp;CHAR(10)&amp;"Audit Date: "&amp;TEXT($B735,"yyyy-mm-dd")&amp;CHAR(10)&amp;"Team Leader: "&amp;$F735&amp;CHAR(10)&amp;"Case Number: "&amp;$M735&amp;CHAR(10)&amp;"Transaction ID: "&amp;$N735&amp;CHAR(10)&amp;"Channel / LOB: "&amp;$K735&amp;" / "&amp;$L735&amp;CHAR(10)&amp;"Evaluator: "&amp;$S735&amp;CHAR(10)&amp;CHAR(10)&amp;"INVALID QUALITY AUDIT DETAILS"&amp;CHAR(10)&amp;"Validation: Invalid"&amp;CHAR(10)&amp;"Invalid Reason: "&amp;$P735&amp;CHAR(10)&amp;"Expected Resolution Code: "&amp;$Q735&amp;CHAR(10)&amp;"Remarks: "&amp;LEFT($R735,600)&amp;CHAR(10)&amp;CHAR(10)&amp;"This is an automated notification from HP Mainstream EQMS."),"✉ Open Email Draft"),"")</f>
        <v/>
      </c>
    </row>
    <row r="736">
      <c r="A736" s="25">
        <f>IF($C736="","","AUD-2026-"&amp;TEXT(ROW()-1,"000000"))</f>
        <v/>
      </c>
      <c r="B736" s="26" t="n"/>
      <c r="C736" s="27" t="n"/>
      <c r="D736" s="25">
        <f>IF($C736="","",IFERROR(IF(INDEX(Roster!$A:$A,MATCH($C736,Roster!$B:$B,0))="","",INDEX(Roster!$A:$A,MATCH($C736,Roster!$B:$B,0))&amp;""),"—"))</f>
        <v/>
      </c>
      <c r="E736" s="25">
        <f>IF($C736="","",IFERROR(IF(INDEX(Roster!$C:$C,MATCH($C736,Roster!$B:$B,0))="","",INDEX(Roster!$C:$C,MATCH($C736,Roster!$B:$B,0))&amp;""),"—"))</f>
        <v/>
      </c>
      <c r="F736" s="25">
        <f>IF($C736="","",IFERROR(IF(INDEX(Roster!$D:$D,MATCH($C736,Roster!$B:$B,0))="","",INDEX(Roster!$D:$D,MATCH($C736,Roster!$B:$B,0))&amp;""),"—"))</f>
        <v/>
      </c>
      <c r="G736" s="25">
        <f>IF($C736="","",IFERROR(IF(INDEX(Roster!$E:$E,MATCH($C736,Roster!$B:$B,0))="","",INDEX(Roster!$E:$E,MATCH($C736,Roster!$B:$B,0))&amp;""),"—"))</f>
        <v/>
      </c>
      <c r="H736" s="25">
        <f>IF($C736="","",IFERROR(IF(INDEX(Roster!$F:$F,MATCH($C736,Roster!$B:$B,0))="","",INDEX(Roster!$F:$F,MATCH($C736,Roster!$B:$B,0))&amp;""),"—"))</f>
        <v/>
      </c>
      <c r="I736" s="25">
        <f>IF($C736="","",IFERROR(IF(INDEX(Roster!$G:$G,MATCH($C736,Roster!$B:$B,0))="","",INDEX(Roster!$G:$G,MATCH($C736,Roster!$B:$B,0))&amp;""),"—"))</f>
        <v/>
      </c>
      <c r="J736" s="25">
        <f>IF($C736="","",IFERROR(IF(INDEX(Roster!$I:$I,MATCH($C736,Roster!$B:$B,0))="","",INDEX(Roster!$I:$I,MATCH($C736,Roster!$B:$B,0))&amp;""),"—"))</f>
        <v/>
      </c>
      <c r="K736">
        <f>IF($C736="","",IFERROR(IF(INDEX(Roster!$J:$J,MATCH($C736,Roster!$B:$B,0))="","",INDEX(Roster!$J:$J,MATCH($C736,Roster!$B:$B,0))&amp;""),"—"))</f>
        <v/>
      </c>
      <c r="L736">
        <f>IF($C736="","",IFERROR(IF(INDEX(Roster!$K:$K,MATCH($C736,Roster!$B:$B,0))="","",INDEX(Roster!$K:$K,MATCH($C736,Roster!$B:$B,0))&amp;""),"—"))</f>
        <v/>
      </c>
      <c r="M736" s="27" t="n"/>
      <c r="N736" s="27" t="n"/>
      <c r="O736" s="25">
        <f>IF($C736="","",IF($P736="","—",IF($P736="Valid (Pass)","Valid","Invalid")))</f>
        <v/>
      </c>
      <c r="P736" s="27" t="n"/>
      <c r="Q736" s="27" t="n"/>
      <c r="R736" s="27" t="n"/>
      <c r="S736" s="27" t="n"/>
      <c r="T736" s="25">
        <f>IF($C736="","",IF(OR(ISNUMBER(SEARCH("quick case",$P736)),ISNUMBER(SEARCH("quick case",$Q736))),"Yes","No"))</f>
        <v/>
      </c>
      <c r="U736" s="25">
        <f>IF($O736="Invalid",HYPERLINK("mailto:"&amp;$G736&amp;";"&amp;$I736&amp;"?cc="&amp;Lists!$E$2&amp;"&amp;subject="&amp;_xlfn.ENCODEURL("[INVALID] Quality audit monitoring completed for "&amp;UPPER($C736))&amp;"&amp;body="&amp;_xlfn.ENCODEURL("Hi "&amp;$F736&amp;","&amp;CHAR(10)&amp;"Good day!"&amp;CHAR(10)&amp;CHAR(10)&amp;"A quality monitoring audit has been completed for "&amp;$C736&amp;"."&amp;CHAR(10)&amp;CHAR(10)&amp;"QUALITY AUDIT DETAILS"&amp;CHAR(10)&amp;"Agent Name: "&amp;$C736&amp;" (EID "&amp;$D736&amp;")"&amp;CHAR(10)&amp;"Audit Date: "&amp;TEXT($B736,"yyyy-mm-dd")&amp;CHAR(10)&amp;"Team Leader: "&amp;$F736&amp;CHAR(10)&amp;"Case Number: "&amp;$M736&amp;CHAR(10)&amp;"Transaction ID: "&amp;$N736&amp;CHAR(10)&amp;"Channel / LOB: "&amp;$K736&amp;" / "&amp;$L736&amp;CHAR(10)&amp;"Evaluator: "&amp;$S736&amp;CHAR(10)&amp;CHAR(10)&amp;"INVALID QUALITY AUDIT DETAILS"&amp;CHAR(10)&amp;"Validation: Invalid"&amp;CHAR(10)&amp;"Invalid Reason: "&amp;$P736&amp;CHAR(10)&amp;"Expected Resolution Code: "&amp;$Q736&amp;CHAR(10)&amp;"Remarks: "&amp;LEFT($R736,600)&amp;CHAR(10)&amp;CHAR(10)&amp;"This is an automated notification from HP Mainstream EQMS."),"✉ Open Email Draft"),"")</f>
        <v/>
      </c>
    </row>
    <row r="737">
      <c r="A737" s="25">
        <f>IF($C737="","","AUD-2026-"&amp;TEXT(ROW()-1,"000000"))</f>
        <v/>
      </c>
      <c r="B737" s="26" t="n"/>
      <c r="C737" s="27" t="n"/>
      <c r="D737" s="25">
        <f>IF($C737="","",IFERROR(IF(INDEX(Roster!$A:$A,MATCH($C737,Roster!$B:$B,0))="","",INDEX(Roster!$A:$A,MATCH($C737,Roster!$B:$B,0))&amp;""),"—"))</f>
        <v/>
      </c>
      <c r="E737" s="25">
        <f>IF($C737="","",IFERROR(IF(INDEX(Roster!$C:$C,MATCH($C737,Roster!$B:$B,0))="","",INDEX(Roster!$C:$C,MATCH($C737,Roster!$B:$B,0))&amp;""),"—"))</f>
        <v/>
      </c>
      <c r="F737" s="25">
        <f>IF($C737="","",IFERROR(IF(INDEX(Roster!$D:$D,MATCH($C737,Roster!$B:$B,0))="","",INDEX(Roster!$D:$D,MATCH($C737,Roster!$B:$B,0))&amp;""),"—"))</f>
        <v/>
      </c>
      <c r="G737" s="25">
        <f>IF($C737="","",IFERROR(IF(INDEX(Roster!$E:$E,MATCH($C737,Roster!$B:$B,0))="","",INDEX(Roster!$E:$E,MATCH($C737,Roster!$B:$B,0))&amp;""),"—"))</f>
        <v/>
      </c>
      <c r="H737" s="25">
        <f>IF($C737="","",IFERROR(IF(INDEX(Roster!$F:$F,MATCH($C737,Roster!$B:$B,0))="","",INDEX(Roster!$F:$F,MATCH($C737,Roster!$B:$B,0))&amp;""),"—"))</f>
        <v/>
      </c>
      <c r="I737" s="25">
        <f>IF($C737="","",IFERROR(IF(INDEX(Roster!$G:$G,MATCH($C737,Roster!$B:$B,0))="","",INDEX(Roster!$G:$G,MATCH($C737,Roster!$B:$B,0))&amp;""),"—"))</f>
        <v/>
      </c>
      <c r="J737" s="25">
        <f>IF($C737="","",IFERROR(IF(INDEX(Roster!$I:$I,MATCH($C737,Roster!$B:$B,0))="","",INDEX(Roster!$I:$I,MATCH($C737,Roster!$B:$B,0))&amp;""),"—"))</f>
        <v/>
      </c>
      <c r="K737">
        <f>IF($C737="","",IFERROR(IF(INDEX(Roster!$J:$J,MATCH($C737,Roster!$B:$B,0))="","",INDEX(Roster!$J:$J,MATCH($C737,Roster!$B:$B,0))&amp;""),"—"))</f>
        <v/>
      </c>
      <c r="L737">
        <f>IF($C737="","",IFERROR(IF(INDEX(Roster!$K:$K,MATCH($C737,Roster!$B:$B,0))="","",INDEX(Roster!$K:$K,MATCH($C737,Roster!$B:$B,0))&amp;""),"—"))</f>
        <v/>
      </c>
      <c r="M737" s="27" t="n"/>
      <c r="N737" s="27" t="n"/>
      <c r="O737" s="25">
        <f>IF($C737="","",IF($P737="","—",IF($P737="Valid (Pass)","Valid","Invalid")))</f>
        <v/>
      </c>
      <c r="P737" s="27" t="n"/>
      <c r="Q737" s="27" t="n"/>
      <c r="R737" s="27" t="n"/>
      <c r="S737" s="27" t="n"/>
      <c r="T737" s="25">
        <f>IF($C737="","",IF(OR(ISNUMBER(SEARCH("quick case",$P737)),ISNUMBER(SEARCH("quick case",$Q737))),"Yes","No"))</f>
        <v/>
      </c>
      <c r="U737" s="25">
        <f>IF($O737="Invalid",HYPERLINK("mailto:"&amp;$G737&amp;";"&amp;$I737&amp;"?cc="&amp;Lists!$E$2&amp;"&amp;subject="&amp;_xlfn.ENCODEURL("[INVALID] Quality audit monitoring completed for "&amp;UPPER($C737))&amp;"&amp;body="&amp;_xlfn.ENCODEURL("Hi "&amp;$F737&amp;","&amp;CHAR(10)&amp;"Good day!"&amp;CHAR(10)&amp;CHAR(10)&amp;"A quality monitoring audit has been completed for "&amp;$C737&amp;"."&amp;CHAR(10)&amp;CHAR(10)&amp;"QUALITY AUDIT DETAILS"&amp;CHAR(10)&amp;"Agent Name: "&amp;$C737&amp;" (EID "&amp;$D737&amp;")"&amp;CHAR(10)&amp;"Audit Date: "&amp;TEXT($B737,"yyyy-mm-dd")&amp;CHAR(10)&amp;"Team Leader: "&amp;$F737&amp;CHAR(10)&amp;"Case Number: "&amp;$M737&amp;CHAR(10)&amp;"Transaction ID: "&amp;$N737&amp;CHAR(10)&amp;"Channel / LOB: "&amp;$K737&amp;" / "&amp;$L737&amp;CHAR(10)&amp;"Evaluator: "&amp;$S737&amp;CHAR(10)&amp;CHAR(10)&amp;"INVALID QUALITY AUDIT DETAILS"&amp;CHAR(10)&amp;"Validation: Invalid"&amp;CHAR(10)&amp;"Invalid Reason: "&amp;$P737&amp;CHAR(10)&amp;"Expected Resolution Code: "&amp;$Q737&amp;CHAR(10)&amp;"Remarks: "&amp;LEFT($R737,600)&amp;CHAR(10)&amp;CHAR(10)&amp;"This is an automated notification from HP Mainstream EQMS."),"✉ Open Email Draft"),"")</f>
        <v/>
      </c>
    </row>
    <row r="738">
      <c r="A738" s="25">
        <f>IF($C738="","","AUD-2026-"&amp;TEXT(ROW()-1,"000000"))</f>
        <v/>
      </c>
      <c r="B738" s="26" t="n"/>
      <c r="C738" s="27" t="n"/>
      <c r="D738" s="25">
        <f>IF($C738="","",IFERROR(IF(INDEX(Roster!$A:$A,MATCH($C738,Roster!$B:$B,0))="","",INDEX(Roster!$A:$A,MATCH($C738,Roster!$B:$B,0))&amp;""),"—"))</f>
        <v/>
      </c>
      <c r="E738" s="25">
        <f>IF($C738="","",IFERROR(IF(INDEX(Roster!$C:$C,MATCH($C738,Roster!$B:$B,0))="","",INDEX(Roster!$C:$C,MATCH($C738,Roster!$B:$B,0))&amp;""),"—"))</f>
        <v/>
      </c>
      <c r="F738" s="25">
        <f>IF($C738="","",IFERROR(IF(INDEX(Roster!$D:$D,MATCH($C738,Roster!$B:$B,0))="","",INDEX(Roster!$D:$D,MATCH($C738,Roster!$B:$B,0))&amp;""),"—"))</f>
        <v/>
      </c>
      <c r="G738" s="25">
        <f>IF($C738="","",IFERROR(IF(INDEX(Roster!$E:$E,MATCH($C738,Roster!$B:$B,0))="","",INDEX(Roster!$E:$E,MATCH($C738,Roster!$B:$B,0))&amp;""),"—"))</f>
        <v/>
      </c>
      <c r="H738" s="25">
        <f>IF($C738="","",IFERROR(IF(INDEX(Roster!$F:$F,MATCH($C738,Roster!$B:$B,0))="","",INDEX(Roster!$F:$F,MATCH($C738,Roster!$B:$B,0))&amp;""),"—"))</f>
        <v/>
      </c>
      <c r="I738" s="25">
        <f>IF($C738="","",IFERROR(IF(INDEX(Roster!$G:$G,MATCH($C738,Roster!$B:$B,0))="","",INDEX(Roster!$G:$G,MATCH($C738,Roster!$B:$B,0))&amp;""),"—"))</f>
        <v/>
      </c>
      <c r="J738" s="25">
        <f>IF($C738="","",IFERROR(IF(INDEX(Roster!$I:$I,MATCH($C738,Roster!$B:$B,0))="","",INDEX(Roster!$I:$I,MATCH($C738,Roster!$B:$B,0))&amp;""),"—"))</f>
        <v/>
      </c>
      <c r="K738">
        <f>IF($C738="","",IFERROR(IF(INDEX(Roster!$J:$J,MATCH($C738,Roster!$B:$B,0))="","",INDEX(Roster!$J:$J,MATCH($C738,Roster!$B:$B,0))&amp;""),"—"))</f>
        <v/>
      </c>
      <c r="L738">
        <f>IF($C738="","",IFERROR(IF(INDEX(Roster!$K:$K,MATCH($C738,Roster!$B:$B,0))="","",INDEX(Roster!$K:$K,MATCH($C738,Roster!$B:$B,0))&amp;""),"—"))</f>
        <v/>
      </c>
      <c r="M738" s="27" t="n"/>
      <c r="N738" s="27" t="n"/>
      <c r="O738" s="25">
        <f>IF($C738="","",IF($P738="","—",IF($P738="Valid (Pass)","Valid","Invalid")))</f>
        <v/>
      </c>
      <c r="P738" s="27" t="n"/>
      <c r="Q738" s="27" t="n"/>
      <c r="R738" s="27" t="n"/>
      <c r="S738" s="27" t="n"/>
      <c r="T738" s="25">
        <f>IF($C738="","",IF(OR(ISNUMBER(SEARCH("quick case",$P738)),ISNUMBER(SEARCH("quick case",$Q738))),"Yes","No"))</f>
        <v/>
      </c>
      <c r="U738" s="25">
        <f>IF($O738="Invalid",HYPERLINK("mailto:"&amp;$G738&amp;";"&amp;$I738&amp;"?cc="&amp;Lists!$E$2&amp;"&amp;subject="&amp;_xlfn.ENCODEURL("[INVALID] Quality audit monitoring completed for "&amp;UPPER($C738))&amp;"&amp;body="&amp;_xlfn.ENCODEURL("Hi "&amp;$F738&amp;","&amp;CHAR(10)&amp;"Good day!"&amp;CHAR(10)&amp;CHAR(10)&amp;"A quality monitoring audit has been completed for "&amp;$C738&amp;"."&amp;CHAR(10)&amp;CHAR(10)&amp;"QUALITY AUDIT DETAILS"&amp;CHAR(10)&amp;"Agent Name: "&amp;$C738&amp;" (EID "&amp;$D738&amp;")"&amp;CHAR(10)&amp;"Audit Date: "&amp;TEXT($B738,"yyyy-mm-dd")&amp;CHAR(10)&amp;"Team Leader: "&amp;$F738&amp;CHAR(10)&amp;"Case Number: "&amp;$M738&amp;CHAR(10)&amp;"Transaction ID: "&amp;$N738&amp;CHAR(10)&amp;"Channel / LOB: "&amp;$K738&amp;" / "&amp;$L738&amp;CHAR(10)&amp;"Evaluator: "&amp;$S738&amp;CHAR(10)&amp;CHAR(10)&amp;"INVALID QUALITY AUDIT DETAILS"&amp;CHAR(10)&amp;"Validation: Invalid"&amp;CHAR(10)&amp;"Invalid Reason: "&amp;$P738&amp;CHAR(10)&amp;"Expected Resolution Code: "&amp;$Q738&amp;CHAR(10)&amp;"Remarks: "&amp;LEFT($R738,600)&amp;CHAR(10)&amp;CHAR(10)&amp;"This is an automated notification from HP Mainstream EQMS."),"✉ Open Email Draft"),"")</f>
        <v/>
      </c>
    </row>
    <row r="739">
      <c r="A739" s="25">
        <f>IF($C739="","","AUD-2026-"&amp;TEXT(ROW()-1,"000000"))</f>
        <v/>
      </c>
      <c r="B739" s="26" t="n"/>
      <c r="C739" s="27" t="n"/>
      <c r="D739" s="25">
        <f>IF($C739="","",IFERROR(IF(INDEX(Roster!$A:$A,MATCH($C739,Roster!$B:$B,0))="","",INDEX(Roster!$A:$A,MATCH($C739,Roster!$B:$B,0))&amp;""),"—"))</f>
        <v/>
      </c>
      <c r="E739" s="25">
        <f>IF($C739="","",IFERROR(IF(INDEX(Roster!$C:$C,MATCH($C739,Roster!$B:$B,0))="","",INDEX(Roster!$C:$C,MATCH($C739,Roster!$B:$B,0))&amp;""),"—"))</f>
        <v/>
      </c>
      <c r="F739" s="25">
        <f>IF($C739="","",IFERROR(IF(INDEX(Roster!$D:$D,MATCH($C739,Roster!$B:$B,0))="","",INDEX(Roster!$D:$D,MATCH($C739,Roster!$B:$B,0))&amp;""),"—"))</f>
        <v/>
      </c>
      <c r="G739" s="25">
        <f>IF($C739="","",IFERROR(IF(INDEX(Roster!$E:$E,MATCH($C739,Roster!$B:$B,0))="","",INDEX(Roster!$E:$E,MATCH($C739,Roster!$B:$B,0))&amp;""),"—"))</f>
        <v/>
      </c>
      <c r="H739" s="25">
        <f>IF($C739="","",IFERROR(IF(INDEX(Roster!$F:$F,MATCH($C739,Roster!$B:$B,0))="","",INDEX(Roster!$F:$F,MATCH($C739,Roster!$B:$B,0))&amp;""),"—"))</f>
        <v/>
      </c>
      <c r="I739" s="25">
        <f>IF($C739="","",IFERROR(IF(INDEX(Roster!$G:$G,MATCH($C739,Roster!$B:$B,0))="","",INDEX(Roster!$G:$G,MATCH($C739,Roster!$B:$B,0))&amp;""),"—"))</f>
        <v/>
      </c>
      <c r="J739" s="25">
        <f>IF($C739="","",IFERROR(IF(INDEX(Roster!$I:$I,MATCH($C739,Roster!$B:$B,0))="","",INDEX(Roster!$I:$I,MATCH($C739,Roster!$B:$B,0))&amp;""),"—"))</f>
        <v/>
      </c>
      <c r="K739">
        <f>IF($C739="","",IFERROR(IF(INDEX(Roster!$J:$J,MATCH($C739,Roster!$B:$B,0))="","",INDEX(Roster!$J:$J,MATCH($C739,Roster!$B:$B,0))&amp;""),"—"))</f>
        <v/>
      </c>
      <c r="L739">
        <f>IF($C739="","",IFERROR(IF(INDEX(Roster!$K:$K,MATCH($C739,Roster!$B:$B,0))="","",INDEX(Roster!$K:$K,MATCH($C739,Roster!$B:$B,0))&amp;""),"—"))</f>
        <v/>
      </c>
      <c r="M739" s="27" t="n"/>
      <c r="N739" s="27" t="n"/>
      <c r="O739" s="25">
        <f>IF($C739="","",IF($P739="","—",IF($P739="Valid (Pass)","Valid","Invalid")))</f>
        <v/>
      </c>
      <c r="P739" s="27" t="n"/>
      <c r="Q739" s="27" t="n"/>
      <c r="R739" s="27" t="n"/>
      <c r="S739" s="27" t="n"/>
      <c r="T739" s="25">
        <f>IF($C739="","",IF(OR(ISNUMBER(SEARCH("quick case",$P739)),ISNUMBER(SEARCH("quick case",$Q739))),"Yes","No"))</f>
        <v/>
      </c>
      <c r="U739" s="25">
        <f>IF($O739="Invalid",HYPERLINK("mailto:"&amp;$G739&amp;";"&amp;$I739&amp;"?cc="&amp;Lists!$E$2&amp;"&amp;subject="&amp;_xlfn.ENCODEURL("[INVALID] Quality audit monitoring completed for "&amp;UPPER($C739))&amp;"&amp;body="&amp;_xlfn.ENCODEURL("Hi "&amp;$F739&amp;","&amp;CHAR(10)&amp;"Good day!"&amp;CHAR(10)&amp;CHAR(10)&amp;"A quality monitoring audit has been completed for "&amp;$C739&amp;"."&amp;CHAR(10)&amp;CHAR(10)&amp;"QUALITY AUDIT DETAILS"&amp;CHAR(10)&amp;"Agent Name: "&amp;$C739&amp;" (EID "&amp;$D739&amp;")"&amp;CHAR(10)&amp;"Audit Date: "&amp;TEXT($B739,"yyyy-mm-dd")&amp;CHAR(10)&amp;"Team Leader: "&amp;$F739&amp;CHAR(10)&amp;"Case Number: "&amp;$M739&amp;CHAR(10)&amp;"Transaction ID: "&amp;$N739&amp;CHAR(10)&amp;"Channel / LOB: "&amp;$K739&amp;" / "&amp;$L739&amp;CHAR(10)&amp;"Evaluator: "&amp;$S739&amp;CHAR(10)&amp;CHAR(10)&amp;"INVALID QUALITY AUDIT DETAILS"&amp;CHAR(10)&amp;"Validation: Invalid"&amp;CHAR(10)&amp;"Invalid Reason: "&amp;$P739&amp;CHAR(10)&amp;"Expected Resolution Code: "&amp;$Q739&amp;CHAR(10)&amp;"Remarks: "&amp;LEFT($R739,600)&amp;CHAR(10)&amp;CHAR(10)&amp;"This is an automated notification from HP Mainstream EQMS."),"✉ Open Email Draft"),"")</f>
        <v/>
      </c>
    </row>
    <row r="740">
      <c r="A740" s="25">
        <f>IF($C740="","","AUD-2026-"&amp;TEXT(ROW()-1,"000000"))</f>
        <v/>
      </c>
      <c r="B740" s="26" t="n"/>
      <c r="C740" s="27" t="n"/>
      <c r="D740" s="25">
        <f>IF($C740="","",IFERROR(IF(INDEX(Roster!$A:$A,MATCH($C740,Roster!$B:$B,0))="","",INDEX(Roster!$A:$A,MATCH($C740,Roster!$B:$B,0))&amp;""),"—"))</f>
        <v/>
      </c>
      <c r="E740" s="25">
        <f>IF($C740="","",IFERROR(IF(INDEX(Roster!$C:$C,MATCH($C740,Roster!$B:$B,0))="","",INDEX(Roster!$C:$C,MATCH($C740,Roster!$B:$B,0))&amp;""),"—"))</f>
        <v/>
      </c>
      <c r="F740" s="25">
        <f>IF($C740="","",IFERROR(IF(INDEX(Roster!$D:$D,MATCH($C740,Roster!$B:$B,0))="","",INDEX(Roster!$D:$D,MATCH($C740,Roster!$B:$B,0))&amp;""),"—"))</f>
        <v/>
      </c>
      <c r="G740" s="25">
        <f>IF($C740="","",IFERROR(IF(INDEX(Roster!$E:$E,MATCH($C740,Roster!$B:$B,0))="","",INDEX(Roster!$E:$E,MATCH($C740,Roster!$B:$B,0))&amp;""),"—"))</f>
        <v/>
      </c>
      <c r="H740" s="25">
        <f>IF($C740="","",IFERROR(IF(INDEX(Roster!$F:$F,MATCH($C740,Roster!$B:$B,0))="","",INDEX(Roster!$F:$F,MATCH($C740,Roster!$B:$B,0))&amp;""),"—"))</f>
        <v/>
      </c>
      <c r="I740" s="25">
        <f>IF($C740="","",IFERROR(IF(INDEX(Roster!$G:$G,MATCH($C740,Roster!$B:$B,0))="","",INDEX(Roster!$G:$G,MATCH($C740,Roster!$B:$B,0))&amp;""),"—"))</f>
        <v/>
      </c>
      <c r="J740" s="25">
        <f>IF($C740="","",IFERROR(IF(INDEX(Roster!$I:$I,MATCH($C740,Roster!$B:$B,0))="","",INDEX(Roster!$I:$I,MATCH($C740,Roster!$B:$B,0))&amp;""),"—"))</f>
        <v/>
      </c>
      <c r="K740">
        <f>IF($C740="","",IFERROR(IF(INDEX(Roster!$J:$J,MATCH($C740,Roster!$B:$B,0))="","",INDEX(Roster!$J:$J,MATCH($C740,Roster!$B:$B,0))&amp;""),"—"))</f>
        <v/>
      </c>
      <c r="L740">
        <f>IF($C740="","",IFERROR(IF(INDEX(Roster!$K:$K,MATCH($C740,Roster!$B:$B,0))="","",INDEX(Roster!$K:$K,MATCH($C740,Roster!$B:$B,0))&amp;""),"—"))</f>
        <v/>
      </c>
      <c r="M740" s="27" t="n"/>
      <c r="N740" s="27" t="n"/>
      <c r="O740" s="25">
        <f>IF($C740="","",IF($P740="","—",IF($P740="Valid (Pass)","Valid","Invalid")))</f>
        <v/>
      </c>
      <c r="P740" s="27" t="n"/>
      <c r="Q740" s="27" t="n"/>
      <c r="R740" s="27" t="n"/>
      <c r="S740" s="27" t="n"/>
      <c r="T740" s="25">
        <f>IF($C740="","",IF(OR(ISNUMBER(SEARCH("quick case",$P740)),ISNUMBER(SEARCH("quick case",$Q740))),"Yes","No"))</f>
        <v/>
      </c>
      <c r="U740" s="25">
        <f>IF($O740="Invalid",HYPERLINK("mailto:"&amp;$G740&amp;";"&amp;$I740&amp;"?cc="&amp;Lists!$E$2&amp;"&amp;subject="&amp;_xlfn.ENCODEURL("[INVALID] Quality audit monitoring completed for "&amp;UPPER($C740))&amp;"&amp;body="&amp;_xlfn.ENCODEURL("Hi "&amp;$F740&amp;","&amp;CHAR(10)&amp;"Good day!"&amp;CHAR(10)&amp;CHAR(10)&amp;"A quality monitoring audit has been completed for "&amp;$C740&amp;"."&amp;CHAR(10)&amp;CHAR(10)&amp;"QUALITY AUDIT DETAILS"&amp;CHAR(10)&amp;"Agent Name: "&amp;$C740&amp;" (EID "&amp;$D740&amp;")"&amp;CHAR(10)&amp;"Audit Date: "&amp;TEXT($B740,"yyyy-mm-dd")&amp;CHAR(10)&amp;"Team Leader: "&amp;$F740&amp;CHAR(10)&amp;"Case Number: "&amp;$M740&amp;CHAR(10)&amp;"Transaction ID: "&amp;$N740&amp;CHAR(10)&amp;"Channel / LOB: "&amp;$K740&amp;" / "&amp;$L740&amp;CHAR(10)&amp;"Evaluator: "&amp;$S740&amp;CHAR(10)&amp;CHAR(10)&amp;"INVALID QUALITY AUDIT DETAILS"&amp;CHAR(10)&amp;"Validation: Invalid"&amp;CHAR(10)&amp;"Invalid Reason: "&amp;$P740&amp;CHAR(10)&amp;"Expected Resolution Code: "&amp;$Q740&amp;CHAR(10)&amp;"Remarks: "&amp;LEFT($R740,600)&amp;CHAR(10)&amp;CHAR(10)&amp;"This is an automated notification from HP Mainstream EQMS."),"✉ Open Email Draft"),"")</f>
        <v/>
      </c>
    </row>
    <row r="741">
      <c r="A741" s="25">
        <f>IF($C741="","","AUD-2026-"&amp;TEXT(ROW()-1,"000000"))</f>
        <v/>
      </c>
      <c r="B741" s="26" t="n"/>
      <c r="C741" s="27" t="n"/>
      <c r="D741" s="25">
        <f>IF($C741="","",IFERROR(IF(INDEX(Roster!$A:$A,MATCH($C741,Roster!$B:$B,0))="","",INDEX(Roster!$A:$A,MATCH($C741,Roster!$B:$B,0))&amp;""),"—"))</f>
        <v/>
      </c>
      <c r="E741" s="25">
        <f>IF($C741="","",IFERROR(IF(INDEX(Roster!$C:$C,MATCH($C741,Roster!$B:$B,0))="","",INDEX(Roster!$C:$C,MATCH($C741,Roster!$B:$B,0))&amp;""),"—"))</f>
        <v/>
      </c>
      <c r="F741" s="25">
        <f>IF($C741="","",IFERROR(IF(INDEX(Roster!$D:$D,MATCH($C741,Roster!$B:$B,0))="","",INDEX(Roster!$D:$D,MATCH($C741,Roster!$B:$B,0))&amp;""),"—"))</f>
        <v/>
      </c>
      <c r="G741" s="25">
        <f>IF($C741="","",IFERROR(IF(INDEX(Roster!$E:$E,MATCH($C741,Roster!$B:$B,0))="","",INDEX(Roster!$E:$E,MATCH($C741,Roster!$B:$B,0))&amp;""),"—"))</f>
        <v/>
      </c>
      <c r="H741" s="25">
        <f>IF($C741="","",IFERROR(IF(INDEX(Roster!$F:$F,MATCH($C741,Roster!$B:$B,0))="","",INDEX(Roster!$F:$F,MATCH($C741,Roster!$B:$B,0))&amp;""),"—"))</f>
        <v/>
      </c>
      <c r="I741" s="25">
        <f>IF($C741="","",IFERROR(IF(INDEX(Roster!$G:$G,MATCH($C741,Roster!$B:$B,0))="","",INDEX(Roster!$G:$G,MATCH($C741,Roster!$B:$B,0))&amp;""),"—"))</f>
        <v/>
      </c>
      <c r="J741" s="25">
        <f>IF($C741="","",IFERROR(IF(INDEX(Roster!$I:$I,MATCH($C741,Roster!$B:$B,0))="","",INDEX(Roster!$I:$I,MATCH($C741,Roster!$B:$B,0))&amp;""),"—"))</f>
        <v/>
      </c>
      <c r="K741">
        <f>IF($C741="","",IFERROR(IF(INDEX(Roster!$J:$J,MATCH($C741,Roster!$B:$B,0))="","",INDEX(Roster!$J:$J,MATCH($C741,Roster!$B:$B,0))&amp;""),"—"))</f>
        <v/>
      </c>
      <c r="L741">
        <f>IF($C741="","",IFERROR(IF(INDEX(Roster!$K:$K,MATCH($C741,Roster!$B:$B,0))="","",INDEX(Roster!$K:$K,MATCH($C741,Roster!$B:$B,0))&amp;""),"—"))</f>
        <v/>
      </c>
      <c r="M741" s="27" t="n"/>
      <c r="N741" s="27" t="n"/>
      <c r="O741" s="25">
        <f>IF($C741="","",IF($P741="","—",IF($P741="Valid (Pass)","Valid","Invalid")))</f>
        <v/>
      </c>
      <c r="P741" s="27" t="n"/>
      <c r="Q741" s="27" t="n"/>
      <c r="R741" s="27" t="n"/>
      <c r="S741" s="27" t="n"/>
      <c r="T741" s="25">
        <f>IF($C741="","",IF(OR(ISNUMBER(SEARCH("quick case",$P741)),ISNUMBER(SEARCH("quick case",$Q741))),"Yes","No"))</f>
        <v/>
      </c>
      <c r="U741" s="25">
        <f>IF($O741="Invalid",HYPERLINK("mailto:"&amp;$G741&amp;";"&amp;$I741&amp;"?cc="&amp;Lists!$E$2&amp;"&amp;subject="&amp;_xlfn.ENCODEURL("[INVALID] Quality audit monitoring completed for "&amp;UPPER($C741))&amp;"&amp;body="&amp;_xlfn.ENCODEURL("Hi "&amp;$F741&amp;","&amp;CHAR(10)&amp;"Good day!"&amp;CHAR(10)&amp;CHAR(10)&amp;"A quality monitoring audit has been completed for "&amp;$C741&amp;"."&amp;CHAR(10)&amp;CHAR(10)&amp;"QUALITY AUDIT DETAILS"&amp;CHAR(10)&amp;"Agent Name: "&amp;$C741&amp;" (EID "&amp;$D741&amp;")"&amp;CHAR(10)&amp;"Audit Date: "&amp;TEXT($B741,"yyyy-mm-dd")&amp;CHAR(10)&amp;"Team Leader: "&amp;$F741&amp;CHAR(10)&amp;"Case Number: "&amp;$M741&amp;CHAR(10)&amp;"Transaction ID: "&amp;$N741&amp;CHAR(10)&amp;"Channel / LOB: "&amp;$K741&amp;" / "&amp;$L741&amp;CHAR(10)&amp;"Evaluator: "&amp;$S741&amp;CHAR(10)&amp;CHAR(10)&amp;"INVALID QUALITY AUDIT DETAILS"&amp;CHAR(10)&amp;"Validation: Invalid"&amp;CHAR(10)&amp;"Invalid Reason: "&amp;$P741&amp;CHAR(10)&amp;"Expected Resolution Code: "&amp;$Q741&amp;CHAR(10)&amp;"Remarks: "&amp;LEFT($R741,600)&amp;CHAR(10)&amp;CHAR(10)&amp;"This is an automated notification from HP Mainstream EQMS."),"✉ Open Email Draft"),"")</f>
        <v/>
      </c>
    </row>
    <row r="742">
      <c r="A742" s="25">
        <f>IF($C742="","","AUD-2026-"&amp;TEXT(ROW()-1,"000000"))</f>
        <v/>
      </c>
      <c r="B742" s="26" t="n"/>
      <c r="C742" s="27" t="n"/>
      <c r="D742" s="25">
        <f>IF($C742="","",IFERROR(IF(INDEX(Roster!$A:$A,MATCH($C742,Roster!$B:$B,0))="","",INDEX(Roster!$A:$A,MATCH($C742,Roster!$B:$B,0))&amp;""),"—"))</f>
        <v/>
      </c>
      <c r="E742" s="25">
        <f>IF($C742="","",IFERROR(IF(INDEX(Roster!$C:$C,MATCH($C742,Roster!$B:$B,0))="","",INDEX(Roster!$C:$C,MATCH($C742,Roster!$B:$B,0))&amp;""),"—"))</f>
        <v/>
      </c>
      <c r="F742" s="25">
        <f>IF($C742="","",IFERROR(IF(INDEX(Roster!$D:$D,MATCH($C742,Roster!$B:$B,0))="","",INDEX(Roster!$D:$D,MATCH($C742,Roster!$B:$B,0))&amp;""),"—"))</f>
        <v/>
      </c>
      <c r="G742" s="25">
        <f>IF($C742="","",IFERROR(IF(INDEX(Roster!$E:$E,MATCH($C742,Roster!$B:$B,0))="","",INDEX(Roster!$E:$E,MATCH($C742,Roster!$B:$B,0))&amp;""),"—"))</f>
        <v/>
      </c>
      <c r="H742" s="25">
        <f>IF($C742="","",IFERROR(IF(INDEX(Roster!$F:$F,MATCH($C742,Roster!$B:$B,0))="","",INDEX(Roster!$F:$F,MATCH($C742,Roster!$B:$B,0))&amp;""),"—"))</f>
        <v/>
      </c>
      <c r="I742" s="25">
        <f>IF($C742="","",IFERROR(IF(INDEX(Roster!$G:$G,MATCH($C742,Roster!$B:$B,0))="","",INDEX(Roster!$G:$G,MATCH($C742,Roster!$B:$B,0))&amp;""),"—"))</f>
        <v/>
      </c>
      <c r="J742" s="25">
        <f>IF($C742="","",IFERROR(IF(INDEX(Roster!$I:$I,MATCH($C742,Roster!$B:$B,0))="","",INDEX(Roster!$I:$I,MATCH($C742,Roster!$B:$B,0))&amp;""),"—"))</f>
        <v/>
      </c>
      <c r="K742">
        <f>IF($C742="","",IFERROR(IF(INDEX(Roster!$J:$J,MATCH($C742,Roster!$B:$B,0))="","",INDEX(Roster!$J:$J,MATCH($C742,Roster!$B:$B,0))&amp;""),"—"))</f>
        <v/>
      </c>
      <c r="L742">
        <f>IF($C742="","",IFERROR(IF(INDEX(Roster!$K:$K,MATCH($C742,Roster!$B:$B,0))="","",INDEX(Roster!$K:$K,MATCH($C742,Roster!$B:$B,0))&amp;""),"—"))</f>
        <v/>
      </c>
      <c r="M742" s="27" t="n"/>
      <c r="N742" s="27" t="n"/>
      <c r="O742" s="25">
        <f>IF($C742="","",IF($P742="","—",IF($P742="Valid (Pass)","Valid","Invalid")))</f>
        <v/>
      </c>
      <c r="P742" s="27" t="n"/>
      <c r="Q742" s="27" t="n"/>
      <c r="R742" s="27" t="n"/>
      <c r="S742" s="27" t="n"/>
      <c r="T742" s="25">
        <f>IF($C742="","",IF(OR(ISNUMBER(SEARCH("quick case",$P742)),ISNUMBER(SEARCH("quick case",$Q742))),"Yes","No"))</f>
        <v/>
      </c>
      <c r="U742" s="25">
        <f>IF($O742="Invalid",HYPERLINK("mailto:"&amp;$G742&amp;";"&amp;$I742&amp;"?cc="&amp;Lists!$E$2&amp;"&amp;subject="&amp;_xlfn.ENCODEURL("[INVALID] Quality audit monitoring completed for "&amp;UPPER($C742))&amp;"&amp;body="&amp;_xlfn.ENCODEURL("Hi "&amp;$F742&amp;","&amp;CHAR(10)&amp;"Good day!"&amp;CHAR(10)&amp;CHAR(10)&amp;"A quality monitoring audit has been completed for "&amp;$C742&amp;"."&amp;CHAR(10)&amp;CHAR(10)&amp;"QUALITY AUDIT DETAILS"&amp;CHAR(10)&amp;"Agent Name: "&amp;$C742&amp;" (EID "&amp;$D742&amp;")"&amp;CHAR(10)&amp;"Audit Date: "&amp;TEXT($B742,"yyyy-mm-dd")&amp;CHAR(10)&amp;"Team Leader: "&amp;$F742&amp;CHAR(10)&amp;"Case Number: "&amp;$M742&amp;CHAR(10)&amp;"Transaction ID: "&amp;$N742&amp;CHAR(10)&amp;"Channel / LOB: "&amp;$K742&amp;" / "&amp;$L742&amp;CHAR(10)&amp;"Evaluator: "&amp;$S742&amp;CHAR(10)&amp;CHAR(10)&amp;"INVALID QUALITY AUDIT DETAILS"&amp;CHAR(10)&amp;"Validation: Invalid"&amp;CHAR(10)&amp;"Invalid Reason: "&amp;$P742&amp;CHAR(10)&amp;"Expected Resolution Code: "&amp;$Q742&amp;CHAR(10)&amp;"Remarks: "&amp;LEFT($R742,600)&amp;CHAR(10)&amp;CHAR(10)&amp;"This is an automated notification from HP Mainstream EQMS."),"✉ Open Email Draft"),"")</f>
        <v/>
      </c>
    </row>
    <row r="743">
      <c r="A743" s="25">
        <f>IF($C743="","","AUD-2026-"&amp;TEXT(ROW()-1,"000000"))</f>
        <v/>
      </c>
      <c r="B743" s="26" t="n"/>
      <c r="C743" s="27" t="n"/>
      <c r="D743" s="25">
        <f>IF($C743="","",IFERROR(IF(INDEX(Roster!$A:$A,MATCH($C743,Roster!$B:$B,0))="","",INDEX(Roster!$A:$A,MATCH($C743,Roster!$B:$B,0))&amp;""),"—"))</f>
        <v/>
      </c>
      <c r="E743" s="25">
        <f>IF($C743="","",IFERROR(IF(INDEX(Roster!$C:$C,MATCH($C743,Roster!$B:$B,0))="","",INDEX(Roster!$C:$C,MATCH($C743,Roster!$B:$B,0))&amp;""),"—"))</f>
        <v/>
      </c>
      <c r="F743" s="25">
        <f>IF($C743="","",IFERROR(IF(INDEX(Roster!$D:$D,MATCH($C743,Roster!$B:$B,0))="","",INDEX(Roster!$D:$D,MATCH($C743,Roster!$B:$B,0))&amp;""),"—"))</f>
        <v/>
      </c>
      <c r="G743" s="25">
        <f>IF($C743="","",IFERROR(IF(INDEX(Roster!$E:$E,MATCH($C743,Roster!$B:$B,0))="","",INDEX(Roster!$E:$E,MATCH($C743,Roster!$B:$B,0))&amp;""),"—"))</f>
        <v/>
      </c>
      <c r="H743" s="25">
        <f>IF($C743="","",IFERROR(IF(INDEX(Roster!$F:$F,MATCH($C743,Roster!$B:$B,0))="","",INDEX(Roster!$F:$F,MATCH($C743,Roster!$B:$B,0))&amp;""),"—"))</f>
        <v/>
      </c>
      <c r="I743" s="25">
        <f>IF($C743="","",IFERROR(IF(INDEX(Roster!$G:$G,MATCH($C743,Roster!$B:$B,0))="","",INDEX(Roster!$G:$G,MATCH($C743,Roster!$B:$B,0))&amp;""),"—"))</f>
        <v/>
      </c>
      <c r="J743" s="25">
        <f>IF($C743="","",IFERROR(IF(INDEX(Roster!$I:$I,MATCH($C743,Roster!$B:$B,0))="","",INDEX(Roster!$I:$I,MATCH($C743,Roster!$B:$B,0))&amp;""),"—"))</f>
        <v/>
      </c>
      <c r="K743">
        <f>IF($C743="","",IFERROR(IF(INDEX(Roster!$J:$J,MATCH($C743,Roster!$B:$B,0))="","",INDEX(Roster!$J:$J,MATCH($C743,Roster!$B:$B,0))&amp;""),"—"))</f>
        <v/>
      </c>
      <c r="L743">
        <f>IF($C743="","",IFERROR(IF(INDEX(Roster!$K:$K,MATCH($C743,Roster!$B:$B,0))="","",INDEX(Roster!$K:$K,MATCH($C743,Roster!$B:$B,0))&amp;""),"—"))</f>
        <v/>
      </c>
      <c r="M743" s="27" t="n"/>
      <c r="N743" s="27" t="n"/>
      <c r="O743" s="25">
        <f>IF($C743="","",IF($P743="","—",IF($P743="Valid (Pass)","Valid","Invalid")))</f>
        <v/>
      </c>
      <c r="P743" s="27" t="n"/>
      <c r="Q743" s="27" t="n"/>
      <c r="R743" s="27" t="n"/>
      <c r="S743" s="27" t="n"/>
      <c r="T743" s="25">
        <f>IF($C743="","",IF(OR(ISNUMBER(SEARCH("quick case",$P743)),ISNUMBER(SEARCH("quick case",$Q743))),"Yes","No"))</f>
        <v/>
      </c>
      <c r="U743" s="25">
        <f>IF($O743="Invalid",HYPERLINK("mailto:"&amp;$G743&amp;";"&amp;$I743&amp;"?cc="&amp;Lists!$E$2&amp;"&amp;subject="&amp;_xlfn.ENCODEURL("[INVALID] Quality audit monitoring completed for "&amp;UPPER($C743))&amp;"&amp;body="&amp;_xlfn.ENCODEURL("Hi "&amp;$F743&amp;","&amp;CHAR(10)&amp;"Good day!"&amp;CHAR(10)&amp;CHAR(10)&amp;"A quality monitoring audit has been completed for "&amp;$C743&amp;"."&amp;CHAR(10)&amp;CHAR(10)&amp;"QUALITY AUDIT DETAILS"&amp;CHAR(10)&amp;"Agent Name: "&amp;$C743&amp;" (EID "&amp;$D743&amp;")"&amp;CHAR(10)&amp;"Audit Date: "&amp;TEXT($B743,"yyyy-mm-dd")&amp;CHAR(10)&amp;"Team Leader: "&amp;$F743&amp;CHAR(10)&amp;"Case Number: "&amp;$M743&amp;CHAR(10)&amp;"Transaction ID: "&amp;$N743&amp;CHAR(10)&amp;"Channel / LOB: "&amp;$K743&amp;" / "&amp;$L743&amp;CHAR(10)&amp;"Evaluator: "&amp;$S743&amp;CHAR(10)&amp;CHAR(10)&amp;"INVALID QUALITY AUDIT DETAILS"&amp;CHAR(10)&amp;"Validation: Invalid"&amp;CHAR(10)&amp;"Invalid Reason: "&amp;$P743&amp;CHAR(10)&amp;"Expected Resolution Code: "&amp;$Q743&amp;CHAR(10)&amp;"Remarks: "&amp;LEFT($R743,600)&amp;CHAR(10)&amp;CHAR(10)&amp;"This is an automated notification from HP Mainstream EQMS."),"✉ Open Email Draft"),"")</f>
        <v/>
      </c>
    </row>
    <row r="744">
      <c r="A744" s="25">
        <f>IF($C744="","","AUD-2026-"&amp;TEXT(ROW()-1,"000000"))</f>
        <v/>
      </c>
      <c r="B744" s="26" t="n"/>
      <c r="C744" s="27" t="n"/>
      <c r="D744" s="25">
        <f>IF($C744="","",IFERROR(IF(INDEX(Roster!$A:$A,MATCH($C744,Roster!$B:$B,0))="","",INDEX(Roster!$A:$A,MATCH($C744,Roster!$B:$B,0))&amp;""),"—"))</f>
        <v/>
      </c>
      <c r="E744" s="25">
        <f>IF($C744="","",IFERROR(IF(INDEX(Roster!$C:$C,MATCH($C744,Roster!$B:$B,0))="","",INDEX(Roster!$C:$C,MATCH($C744,Roster!$B:$B,0))&amp;""),"—"))</f>
        <v/>
      </c>
      <c r="F744" s="25">
        <f>IF($C744="","",IFERROR(IF(INDEX(Roster!$D:$D,MATCH($C744,Roster!$B:$B,0))="","",INDEX(Roster!$D:$D,MATCH($C744,Roster!$B:$B,0))&amp;""),"—"))</f>
        <v/>
      </c>
      <c r="G744" s="25">
        <f>IF($C744="","",IFERROR(IF(INDEX(Roster!$E:$E,MATCH($C744,Roster!$B:$B,0))="","",INDEX(Roster!$E:$E,MATCH($C744,Roster!$B:$B,0))&amp;""),"—"))</f>
        <v/>
      </c>
      <c r="H744" s="25">
        <f>IF($C744="","",IFERROR(IF(INDEX(Roster!$F:$F,MATCH($C744,Roster!$B:$B,0))="","",INDEX(Roster!$F:$F,MATCH($C744,Roster!$B:$B,0))&amp;""),"—"))</f>
        <v/>
      </c>
      <c r="I744" s="25">
        <f>IF($C744="","",IFERROR(IF(INDEX(Roster!$G:$G,MATCH($C744,Roster!$B:$B,0))="","",INDEX(Roster!$G:$G,MATCH($C744,Roster!$B:$B,0))&amp;""),"—"))</f>
        <v/>
      </c>
      <c r="J744" s="25">
        <f>IF($C744="","",IFERROR(IF(INDEX(Roster!$I:$I,MATCH($C744,Roster!$B:$B,0))="","",INDEX(Roster!$I:$I,MATCH($C744,Roster!$B:$B,0))&amp;""),"—"))</f>
        <v/>
      </c>
      <c r="K744">
        <f>IF($C744="","",IFERROR(IF(INDEX(Roster!$J:$J,MATCH($C744,Roster!$B:$B,0))="","",INDEX(Roster!$J:$J,MATCH($C744,Roster!$B:$B,0))&amp;""),"—"))</f>
        <v/>
      </c>
      <c r="L744">
        <f>IF($C744="","",IFERROR(IF(INDEX(Roster!$K:$K,MATCH($C744,Roster!$B:$B,0))="","",INDEX(Roster!$K:$K,MATCH($C744,Roster!$B:$B,0))&amp;""),"—"))</f>
        <v/>
      </c>
      <c r="M744" s="27" t="n"/>
      <c r="N744" s="27" t="n"/>
      <c r="O744" s="25">
        <f>IF($C744="","",IF($P744="","—",IF($P744="Valid (Pass)","Valid","Invalid")))</f>
        <v/>
      </c>
      <c r="P744" s="27" t="n"/>
      <c r="Q744" s="27" t="n"/>
      <c r="R744" s="27" t="n"/>
      <c r="S744" s="27" t="n"/>
      <c r="T744" s="25">
        <f>IF($C744="","",IF(OR(ISNUMBER(SEARCH("quick case",$P744)),ISNUMBER(SEARCH("quick case",$Q744))),"Yes","No"))</f>
        <v/>
      </c>
      <c r="U744" s="25">
        <f>IF($O744="Invalid",HYPERLINK("mailto:"&amp;$G744&amp;";"&amp;$I744&amp;"?cc="&amp;Lists!$E$2&amp;"&amp;subject="&amp;_xlfn.ENCODEURL("[INVALID] Quality audit monitoring completed for "&amp;UPPER($C744))&amp;"&amp;body="&amp;_xlfn.ENCODEURL("Hi "&amp;$F744&amp;","&amp;CHAR(10)&amp;"Good day!"&amp;CHAR(10)&amp;CHAR(10)&amp;"A quality monitoring audit has been completed for "&amp;$C744&amp;"."&amp;CHAR(10)&amp;CHAR(10)&amp;"QUALITY AUDIT DETAILS"&amp;CHAR(10)&amp;"Agent Name: "&amp;$C744&amp;" (EID "&amp;$D744&amp;")"&amp;CHAR(10)&amp;"Audit Date: "&amp;TEXT($B744,"yyyy-mm-dd")&amp;CHAR(10)&amp;"Team Leader: "&amp;$F744&amp;CHAR(10)&amp;"Case Number: "&amp;$M744&amp;CHAR(10)&amp;"Transaction ID: "&amp;$N744&amp;CHAR(10)&amp;"Channel / LOB: "&amp;$K744&amp;" / "&amp;$L744&amp;CHAR(10)&amp;"Evaluator: "&amp;$S744&amp;CHAR(10)&amp;CHAR(10)&amp;"INVALID QUALITY AUDIT DETAILS"&amp;CHAR(10)&amp;"Validation: Invalid"&amp;CHAR(10)&amp;"Invalid Reason: "&amp;$P744&amp;CHAR(10)&amp;"Expected Resolution Code: "&amp;$Q744&amp;CHAR(10)&amp;"Remarks: "&amp;LEFT($R744,600)&amp;CHAR(10)&amp;CHAR(10)&amp;"This is an automated notification from HP Mainstream EQMS."),"✉ Open Email Draft"),"")</f>
        <v/>
      </c>
    </row>
    <row r="745">
      <c r="A745" s="25">
        <f>IF($C745="","","AUD-2026-"&amp;TEXT(ROW()-1,"000000"))</f>
        <v/>
      </c>
      <c r="B745" s="26" t="n"/>
      <c r="C745" s="27" t="n"/>
      <c r="D745" s="25">
        <f>IF($C745="","",IFERROR(IF(INDEX(Roster!$A:$A,MATCH($C745,Roster!$B:$B,0))="","",INDEX(Roster!$A:$A,MATCH($C745,Roster!$B:$B,0))&amp;""),"—"))</f>
        <v/>
      </c>
      <c r="E745" s="25">
        <f>IF($C745="","",IFERROR(IF(INDEX(Roster!$C:$C,MATCH($C745,Roster!$B:$B,0))="","",INDEX(Roster!$C:$C,MATCH($C745,Roster!$B:$B,0))&amp;""),"—"))</f>
        <v/>
      </c>
      <c r="F745" s="25">
        <f>IF($C745="","",IFERROR(IF(INDEX(Roster!$D:$D,MATCH($C745,Roster!$B:$B,0))="","",INDEX(Roster!$D:$D,MATCH($C745,Roster!$B:$B,0))&amp;""),"—"))</f>
        <v/>
      </c>
      <c r="G745" s="25">
        <f>IF($C745="","",IFERROR(IF(INDEX(Roster!$E:$E,MATCH($C745,Roster!$B:$B,0))="","",INDEX(Roster!$E:$E,MATCH($C745,Roster!$B:$B,0))&amp;""),"—"))</f>
        <v/>
      </c>
      <c r="H745" s="25">
        <f>IF($C745="","",IFERROR(IF(INDEX(Roster!$F:$F,MATCH($C745,Roster!$B:$B,0))="","",INDEX(Roster!$F:$F,MATCH($C745,Roster!$B:$B,0))&amp;""),"—"))</f>
        <v/>
      </c>
      <c r="I745" s="25">
        <f>IF($C745="","",IFERROR(IF(INDEX(Roster!$G:$G,MATCH($C745,Roster!$B:$B,0))="","",INDEX(Roster!$G:$G,MATCH($C745,Roster!$B:$B,0))&amp;""),"—"))</f>
        <v/>
      </c>
      <c r="J745" s="25">
        <f>IF($C745="","",IFERROR(IF(INDEX(Roster!$I:$I,MATCH($C745,Roster!$B:$B,0))="","",INDEX(Roster!$I:$I,MATCH($C745,Roster!$B:$B,0))&amp;""),"—"))</f>
        <v/>
      </c>
      <c r="K745">
        <f>IF($C745="","",IFERROR(IF(INDEX(Roster!$J:$J,MATCH($C745,Roster!$B:$B,0))="","",INDEX(Roster!$J:$J,MATCH($C745,Roster!$B:$B,0))&amp;""),"—"))</f>
        <v/>
      </c>
      <c r="L745">
        <f>IF($C745="","",IFERROR(IF(INDEX(Roster!$K:$K,MATCH($C745,Roster!$B:$B,0))="","",INDEX(Roster!$K:$K,MATCH($C745,Roster!$B:$B,0))&amp;""),"—"))</f>
        <v/>
      </c>
      <c r="M745" s="27" t="n"/>
      <c r="N745" s="27" t="n"/>
      <c r="O745" s="25">
        <f>IF($C745="","",IF($P745="","—",IF($P745="Valid (Pass)","Valid","Invalid")))</f>
        <v/>
      </c>
      <c r="P745" s="27" t="n"/>
      <c r="Q745" s="27" t="n"/>
      <c r="R745" s="27" t="n"/>
      <c r="S745" s="27" t="n"/>
      <c r="T745" s="25">
        <f>IF($C745="","",IF(OR(ISNUMBER(SEARCH("quick case",$P745)),ISNUMBER(SEARCH("quick case",$Q745))),"Yes","No"))</f>
        <v/>
      </c>
      <c r="U745" s="25">
        <f>IF($O745="Invalid",HYPERLINK("mailto:"&amp;$G745&amp;";"&amp;$I745&amp;"?cc="&amp;Lists!$E$2&amp;"&amp;subject="&amp;_xlfn.ENCODEURL("[INVALID] Quality audit monitoring completed for "&amp;UPPER($C745))&amp;"&amp;body="&amp;_xlfn.ENCODEURL("Hi "&amp;$F745&amp;","&amp;CHAR(10)&amp;"Good day!"&amp;CHAR(10)&amp;CHAR(10)&amp;"A quality monitoring audit has been completed for "&amp;$C745&amp;"."&amp;CHAR(10)&amp;CHAR(10)&amp;"QUALITY AUDIT DETAILS"&amp;CHAR(10)&amp;"Agent Name: "&amp;$C745&amp;" (EID "&amp;$D745&amp;")"&amp;CHAR(10)&amp;"Audit Date: "&amp;TEXT($B745,"yyyy-mm-dd")&amp;CHAR(10)&amp;"Team Leader: "&amp;$F745&amp;CHAR(10)&amp;"Case Number: "&amp;$M745&amp;CHAR(10)&amp;"Transaction ID: "&amp;$N745&amp;CHAR(10)&amp;"Channel / LOB: "&amp;$K745&amp;" / "&amp;$L745&amp;CHAR(10)&amp;"Evaluator: "&amp;$S745&amp;CHAR(10)&amp;CHAR(10)&amp;"INVALID QUALITY AUDIT DETAILS"&amp;CHAR(10)&amp;"Validation: Invalid"&amp;CHAR(10)&amp;"Invalid Reason: "&amp;$P745&amp;CHAR(10)&amp;"Expected Resolution Code: "&amp;$Q745&amp;CHAR(10)&amp;"Remarks: "&amp;LEFT($R745,600)&amp;CHAR(10)&amp;CHAR(10)&amp;"This is an automated notification from HP Mainstream EQMS."),"✉ Open Email Draft"),"")</f>
        <v/>
      </c>
    </row>
    <row r="746">
      <c r="A746" s="25">
        <f>IF($C746="","","AUD-2026-"&amp;TEXT(ROW()-1,"000000"))</f>
        <v/>
      </c>
      <c r="B746" s="26" t="n"/>
      <c r="C746" s="27" t="n"/>
      <c r="D746" s="25">
        <f>IF($C746="","",IFERROR(IF(INDEX(Roster!$A:$A,MATCH($C746,Roster!$B:$B,0))="","",INDEX(Roster!$A:$A,MATCH($C746,Roster!$B:$B,0))&amp;""),"—"))</f>
        <v/>
      </c>
      <c r="E746" s="25">
        <f>IF($C746="","",IFERROR(IF(INDEX(Roster!$C:$C,MATCH($C746,Roster!$B:$B,0))="","",INDEX(Roster!$C:$C,MATCH($C746,Roster!$B:$B,0))&amp;""),"—"))</f>
        <v/>
      </c>
      <c r="F746" s="25">
        <f>IF($C746="","",IFERROR(IF(INDEX(Roster!$D:$D,MATCH($C746,Roster!$B:$B,0))="","",INDEX(Roster!$D:$D,MATCH($C746,Roster!$B:$B,0))&amp;""),"—"))</f>
        <v/>
      </c>
      <c r="G746" s="25">
        <f>IF($C746="","",IFERROR(IF(INDEX(Roster!$E:$E,MATCH($C746,Roster!$B:$B,0))="","",INDEX(Roster!$E:$E,MATCH($C746,Roster!$B:$B,0))&amp;""),"—"))</f>
        <v/>
      </c>
      <c r="H746" s="25">
        <f>IF($C746="","",IFERROR(IF(INDEX(Roster!$F:$F,MATCH($C746,Roster!$B:$B,0))="","",INDEX(Roster!$F:$F,MATCH($C746,Roster!$B:$B,0))&amp;""),"—"))</f>
        <v/>
      </c>
      <c r="I746" s="25">
        <f>IF($C746="","",IFERROR(IF(INDEX(Roster!$G:$G,MATCH($C746,Roster!$B:$B,0))="","",INDEX(Roster!$G:$G,MATCH($C746,Roster!$B:$B,0))&amp;""),"—"))</f>
        <v/>
      </c>
      <c r="J746" s="25">
        <f>IF($C746="","",IFERROR(IF(INDEX(Roster!$I:$I,MATCH($C746,Roster!$B:$B,0))="","",INDEX(Roster!$I:$I,MATCH($C746,Roster!$B:$B,0))&amp;""),"—"))</f>
        <v/>
      </c>
      <c r="K746">
        <f>IF($C746="","",IFERROR(IF(INDEX(Roster!$J:$J,MATCH($C746,Roster!$B:$B,0))="","",INDEX(Roster!$J:$J,MATCH($C746,Roster!$B:$B,0))&amp;""),"—"))</f>
        <v/>
      </c>
      <c r="L746">
        <f>IF($C746="","",IFERROR(IF(INDEX(Roster!$K:$K,MATCH($C746,Roster!$B:$B,0))="","",INDEX(Roster!$K:$K,MATCH($C746,Roster!$B:$B,0))&amp;""),"—"))</f>
        <v/>
      </c>
      <c r="M746" s="27" t="n"/>
      <c r="N746" s="27" t="n"/>
      <c r="O746" s="25">
        <f>IF($C746="","",IF($P746="","—",IF($P746="Valid (Pass)","Valid","Invalid")))</f>
        <v/>
      </c>
      <c r="P746" s="27" t="n"/>
      <c r="Q746" s="27" t="n"/>
      <c r="R746" s="27" t="n"/>
      <c r="S746" s="27" t="n"/>
      <c r="T746" s="25">
        <f>IF($C746="","",IF(OR(ISNUMBER(SEARCH("quick case",$P746)),ISNUMBER(SEARCH("quick case",$Q746))),"Yes","No"))</f>
        <v/>
      </c>
      <c r="U746" s="25">
        <f>IF($O746="Invalid",HYPERLINK("mailto:"&amp;$G746&amp;";"&amp;$I746&amp;"?cc="&amp;Lists!$E$2&amp;"&amp;subject="&amp;_xlfn.ENCODEURL("[INVALID] Quality audit monitoring completed for "&amp;UPPER($C746))&amp;"&amp;body="&amp;_xlfn.ENCODEURL("Hi "&amp;$F746&amp;","&amp;CHAR(10)&amp;"Good day!"&amp;CHAR(10)&amp;CHAR(10)&amp;"A quality monitoring audit has been completed for "&amp;$C746&amp;"."&amp;CHAR(10)&amp;CHAR(10)&amp;"QUALITY AUDIT DETAILS"&amp;CHAR(10)&amp;"Agent Name: "&amp;$C746&amp;" (EID "&amp;$D746&amp;")"&amp;CHAR(10)&amp;"Audit Date: "&amp;TEXT($B746,"yyyy-mm-dd")&amp;CHAR(10)&amp;"Team Leader: "&amp;$F746&amp;CHAR(10)&amp;"Case Number: "&amp;$M746&amp;CHAR(10)&amp;"Transaction ID: "&amp;$N746&amp;CHAR(10)&amp;"Channel / LOB: "&amp;$K746&amp;" / "&amp;$L746&amp;CHAR(10)&amp;"Evaluator: "&amp;$S746&amp;CHAR(10)&amp;CHAR(10)&amp;"INVALID QUALITY AUDIT DETAILS"&amp;CHAR(10)&amp;"Validation: Invalid"&amp;CHAR(10)&amp;"Invalid Reason: "&amp;$P746&amp;CHAR(10)&amp;"Expected Resolution Code: "&amp;$Q746&amp;CHAR(10)&amp;"Remarks: "&amp;LEFT($R746,600)&amp;CHAR(10)&amp;CHAR(10)&amp;"This is an automated notification from HP Mainstream EQMS."),"✉ Open Email Draft"),"")</f>
        <v/>
      </c>
    </row>
    <row r="747">
      <c r="A747" s="25">
        <f>IF($C747="","","AUD-2026-"&amp;TEXT(ROW()-1,"000000"))</f>
        <v/>
      </c>
      <c r="B747" s="26" t="n"/>
      <c r="C747" s="27" t="n"/>
      <c r="D747" s="25">
        <f>IF($C747="","",IFERROR(IF(INDEX(Roster!$A:$A,MATCH($C747,Roster!$B:$B,0))="","",INDEX(Roster!$A:$A,MATCH($C747,Roster!$B:$B,0))&amp;""),"—"))</f>
        <v/>
      </c>
      <c r="E747" s="25">
        <f>IF($C747="","",IFERROR(IF(INDEX(Roster!$C:$C,MATCH($C747,Roster!$B:$B,0))="","",INDEX(Roster!$C:$C,MATCH($C747,Roster!$B:$B,0))&amp;""),"—"))</f>
        <v/>
      </c>
      <c r="F747" s="25">
        <f>IF($C747="","",IFERROR(IF(INDEX(Roster!$D:$D,MATCH($C747,Roster!$B:$B,0))="","",INDEX(Roster!$D:$D,MATCH($C747,Roster!$B:$B,0))&amp;""),"—"))</f>
        <v/>
      </c>
      <c r="G747" s="25">
        <f>IF($C747="","",IFERROR(IF(INDEX(Roster!$E:$E,MATCH($C747,Roster!$B:$B,0))="","",INDEX(Roster!$E:$E,MATCH($C747,Roster!$B:$B,0))&amp;""),"—"))</f>
        <v/>
      </c>
      <c r="H747" s="25">
        <f>IF($C747="","",IFERROR(IF(INDEX(Roster!$F:$F,MATCH($C747,Roster!$B:$B,0))="","",INDEX(Roster!$F:$F,MATCH($C747,Roster!$B:$B,0))&amp;""),"—"))</f>
        <v/>
      </c>
      <c r="I747" s="25">
        <f>IF($C747="","",IFERROR(IF(INDEX(Roster!$G:$G,MATCH($C747,Roster!$B:$B,0))="","",INDEX(Roster!$G:$G,MATCH($C747,Roster!$B:$B,0))&amp;""),"—"))</f>
        <v/>
      </c>
      <c r="J747" s="25">
        <f>IF($C747="","",IFERROR(IF(INDEX(Roster!$I:$I,MATCH($C747,Roster!$B:$B,0))="","",INDEX(Roster!$I:$I,MATCH($C747,Roster!$B:$B,0))&amp;""),"—"))</f>
        <v/>
      </c>
      <c r="K747">
        <f>IF($C747="","",IFERROR(IF(INDEX(Roster!$J:$J,MATCH($C747,Roster!$B:$B,0))="","",INDEX(Roster!$J:$J,MATCH($C747,Roster!$B:$B,0))&amp;""),"—"))</f>
        <v/>
      </c>
      <c r="L747">
        <f>IF($C747="","",IFERROR(IF(INDEX(Roster!$K:$K,MATCH($C747,Roster!$B:$B,0))="","",INDEX(Roster!$K:$K,MATCH($C747,Roster!$B:$B,0))&amp;""),"—"))</f>
        <v/>
      </c>
      <c r="M747" s="27" t="n"/>
      <c r="N747" s="27" t="n"/>
      <c r="O747" s="25">
        <f>IF($C747="","",IF($P747="","—",IF($P747="Valid (Pass)","Valid","Invalid")))</f>
        <v/>
      </c>
      <c r="P747" s="27" t="n"/>
      <c r="Q747" s="27" t="n"/>
      <c r="R747" s="27" t="n"/>
      <c r="S747" s="27" t="n"/>
      <c r="T747" s="25">
        <f>IF($C747="","",IF(OR(ISNUMBER(SEARCH("quick case",$P747)),ISNUMBER(SEARCH("quick case",$Q747))),"Yes","No"))</f>
        <v/>
      </c>
      <c r="U747" s="25">
        <f>IF($O747="Invalid",HYPERLINK("mailto:"&amp;$G747&amp;";"&amp;$I747&amp;"?cc="&amp;Lists!$E$2&amp;"&amp;subject="&amp;_xlfn.ENCODEURL("[INVALID] Quality audit monitoring completed for "&amp;UPPER($C747))&amp;"&amp;body="&amp;_xlfn.ENCODEURL("Hi "&amp;$F747&amp;","&amp;CHAR(10)&amp;"Good day!"&amp;CHAR(10)&amp;CHAR(10)&amp;"A quality monitoring audit has been completed for "&amp;$C747&amp;"."&amp;CHAR(10)&amp;CHAR(10)&amp;"QUALITY AUDIT DETAILS"&amp;CHAR(10)&amp;"Agent Name: "&amp;$C747&amp;" (EID "&amp;$D747&amp;")"&amp;CHAR(10)&amp;"Audit Date: "&amp;TEXT($B747,"yyyy-mm-dd")&amp;CHAR(10)&amp;"Team Leader: "&amp;$F747&amp;CHAR(10)&amp;"Case Number: "&amp;$M747&amp;CHAR(10)&amp;"Transaction ID: "&amp;$N747&amp;CHAR(10)&amp;"Channel / LOB: "&amp;$K747&amp;" / "&amp;$L747&amp;CHAR(10)&amp;"Evaluator: "&amp;$S747&amp;CHAR(10)&amp;CHAR(10)&amp;"INVALID QUALITY AUDIT DETAILS"&amp;CHAR(10)&amp;"Validation: Invalid"&amp;CHAR(10)&amp;"Invalid Reason: "&amp;$P747&amp;CHAR(10)&amp;"Expected Resolution Code: "&amp;$Q747&amp;CHAR(10)&amp;"Remarks: "&amp;LEFT($R747,600)&amp;CHAR(10)&amp;CHAR(10)&amp;"This is an automated notification from HP Mainstream EQMS."),"✉ Open Email Draft"),"")</f>
        <v/>
      </c>
    </row>
    <row r="748">
      <c r="A748" s="25">
        <f>IF($C748="","","AUD-2026-"&amp;TEXT(ROW()-1,"000000"))</f>
        <v/>
      </c>
      <c r="B748" s="26" t="n"/>
      <c r="C748" s="27" t="n"/>
      <c r="D748" s="25">
        <f>IF($C748="","",IFERROR(IF(INDEX(Roster!$A:$A,MATCH($C748,Roster!$B:$B,0))="","",INDEX(Roster!$A:$A,MATCH($C748,Roster!$B:$B,0))&amp;""),"—"))</f>
        <v/>
      </c>
      <c r="E748" s="25">
        <f>IF($C748="","",IFERROR(IF(INDEX(Roster!$C:$C,MATCH($C748,Roster!$B:$B,0))="","",INDEX(Roster!$C:$C,MATCH($C748,Roster!$B:$B,0))&amp;""),"—"))</f>
        <v/>
      </c>
      <c r="F748" s="25">
        <f>IF($C748="","",IFERROR(IF(INDEX(Roster!$D:$D,MATCH($C748,Roster!$B:$B,0))="","",INDEX(Roster!$D:$D,MATCH($C748,Roster!$B:$B,0))&amp;""),"—"))</f>
        <v/>
      </c>
      <c r="G748" s="25">
        <f>IF($C748="","",IFERROR(IF(INDEX(Roster!$E:$E,MATCH($C748,Roster!$B:$B,0))="","",INDEX(Roster!$E:$E,MATCH($C748,Roster!$B:$B,0))&amp;""),"—"))</f>
        <v/>
      </c>
      <c r="H748" s="25">
        <f>IF($C748="","",IFERROR(IF(INDEX(Roster!$F:$F,MATCH($C748,Roster!$B:$B,0))="","",INDEX(Roster!$F:$F,MATCH($C748,Roster!$B:$B,0))&amp;""),"—"))</f>
        <v/>
      </c>
      <c r="I748" s="25">
        <f>IF($C748="","",IFERROR(IF(INDEX(Roster!$G:$G,MATCH($C748,Roster!$B:$B,0))="","",INDEX(Roster!$G:$G,MATCH($C748,Roster!$B:$B,0))&amp;""),"—"))</f>
        <v/>
      </c>
      <c r="J748" s="25">
        <f>IF($C748="","",IFERROR(IF(INDEX(Roster!$I:$I,MATCH($C748,Roster!$B:$B,0))="","",INDEX(Roster!$I:$I,MATCH($C748,Roster!$B:$B,0))&amp;""),"—"))</f>
        <v/>
      </c>
      <c r="K748">
        <f>IF($C748="","",IFERROR(IF(INDEX(Roster!$J:$J,MATCH($C748,Roster!$B:$B,0))="","",INDEX(Roster!$J:$J,MATCH($C748,Roster!$B:$B,0))&amp;""),"—"))</f>
        <v/>
      </c>
      <c r="L748">
        <f>IF($C748="","",IFERROR(IF(INDEX(Roster!$K:$K,MATCH($C748,Roster!$B:$B,0))="","",INDEX(Roster!$K:$K,MATCH($C748,Roster!$B:$B,0))&amp;""),"—"))</f>
        <v/>
      </c>
      <c r="M748" s="27" t="n"/>
      <c r="N748" s="27" t="n"/>
      <c r="O748" s="25">
        <f>IF($C748="","",IF($P748="","—",IF($P748="Valid (Pass)","Valid","Invalid")))</f>
        <v/>
      </c>
      <c r="P748" s="27" t="n"/>
      <c r="Q748" s="27" t="n"/>
      <c r="R748" s="27" t="n"/>
      <c r="S748" s="27" t="n"/>
      <c r="T748" s="25">
        <f>IF($C748="","",IF(OR(ISNUMBER(SEARCH("quick case",$P748)),ISNUMBER(SEARCH("quick case",$Q748))),"Yes","No"))</f>
        <v/>
      </c>
      <c r="U748" s="25">
        <f>IF($O748="Invalid",HYPERLINK("mailto:"&amp;$G748&amp;";"&amp;$I748&amp;"?cc="&amp;Lists!$E$2&amp;"&amp;subject="&amp;_xlfn.ENCODEURL("[INVALID] Quality audit monitoring completed for "&amp;UPPER($C748))&amp;"&amp;body="&amp;_xlfn.ENCODEURL("Hi "&amp;$F748&amp;","&amp;CHAR(10)&amp;"Good day!"&amp;CHAR(10)&amp;CHAR(10)&amp;"A quality monitoring audit has been completed for "&amp;$C748&amp;"."&amp;CHAR(10)&amp;CHAR(10)&amp;"QUALITY AUDIT DETAILS"&amp;CHAR(10)&amp;"Agent Name: "&amp;$C748&amp;" (EID "&amp;$D748&amp;")"&amp;CHAR(10)&amp;"Audit Date: "&amp;TEXT($B748,"yyyy-mm-dd")&amp;CHAR(10)&amp;"Team Leader: "&amp;$F748&amp;CHAR(10)&amp;"Case Number: "&amp;$M748&amp;CHAR(10)&amp;"Transaction ID: "&amp;$N748&amp;CHAR(10)&amp;"Channel / LOB: "&amp;$K748&amp;" / "&amp;$L748&amp;CHAR(10)&amp;"Evaluator: "&amp;$S748&amp;CHAR(10)&amp;CHAR(10)&amp;"INVALID QUALITY AUDIT DETAILS"&amp;CHAR(10)&amp;"Validation: Invalid"&amp;CHAR(10)&amp;"Invalid Reason: "&amp;$P748&amp;CHAR(10)&amp;"Expected Resolution Code: "&amp;$Q748&amp;CHAR(10)&amp;"Remarks: "&amp;LEFT($R748,600)&amp;CHAR(10)&amp;CHAR(10)&amp;"This is an automated notification from HP Mainstream EQMS."),"✉ Open Email Draft"),"")</f>
        <v/>
      </c>
    </row>
    <row r="749">
      <c r="A749" s="25">
        <f>IF($C749="","","AUD-2026-"&amp;TEXT(ROW()-1,"000000"))</f>
        <v/>
      </c>
      <c r="B749" s="26" t="n"/>
      <c r="C749" s="27" t="n"/>
      <c r="D749" s="25">
        <f>IF($C749="","",IFERROR(IF(INDEX(Roster!$A:$A,MATCH($C749,Roster!$B:$B,0))="","",INDEX(Roster!$A:$A,MATCH($C749,Roster!$B:$B,0))&amp;""),"—"))</f>
        <v/>
      </c>
      <c r="E749" s="25">
        <f>IF($C749="","",IFERROR(IF(INDEX(Roster!$C:$C,MATCH($C749,Roster!$B:$B,0))="","",INDEX(Roster!$C:$C,MATCH($C749,Roster!$B:$B,0))&amp;""),"—"))</f>
        <v/>
      </c>
      <c r="F749" s="25">
        <f>IF($C749="","",IFERROR(IF(INDEX(Roster!$D:$D,MATCH($C749,Roster!$B:$B,0))="","",INDEX(Roster!$D:$D,MATCH($C749,Roster!$B:$B,0))&amp;""),"—"))</f>
        <v/>
      </c>
      <c r="G749" s="25">
        <f>IF($C749="","",IFERROR(IF(INDEX(Roster!$E:$E,MATCH($C749,Roster!$B:$B,0))="","",INDEX(Roster!$E:$E,MATCH($C749,Roster!$B:$B,0))&amp;""),"—"))</f>
        <v/>
      </c>
      <c r="H749" s="25">
        <f>IF($C749="","",IFERROR(IF(INDEX(Roster!$F:$F,MATCH($C749,Roster!$B:$B,0))="","",INDEX(Roster!$F:$F,MATCH($C749,Roster!$B:$B,0))&amp;""),"—"))</f>
        <v/>
      </c>
      <c r="I749" s="25">
        <f>IF($C749="","",IFERROR(IF(INDEX(Roster!$G:$G,MATCH($C749,Roster!$B:$B,0))="","",INDEX(Roster!$G:$G,MATCH($C749,Roster!$B:$B,0))&amp;""),"—"))</f>
        <v/>
      </c>
      <c r="J749" s="25">
        <f>IF($C749="","",IFERROR(IF(INDEX(Roster!$I:$I,MATCH($C749,Roster!$B:$B,0))="","",INDEX(Roster!$I:$I,MATCH($C749,Roster!$B:$B,0))&amp;""),"—"))</f>
        <v/>
      </c>
      <c r="K749">
        <f>IF($C749="","",IFERROR(IF(INDEX(Roster!$J:$J,MATCH($C749,Roster!$B:$B,0))="","",INDEX(Roster!$J:$J,MATCH($C749,Roster!$B:$B,0))&amp;""),"—"))</f>
        <v/>
      </c>
      <c r="L749">
        <f>IF($C749="","",IFERROR(IF(INDEX(Roster!$K:$K,MATCH($C749,Roster!$B:$B,0))="","",INDEX(Roster!$K:$K,MATCH($C749,Roster!$B:$B,0))&amp;""),"—"))</f>
        <v/>
      </c>
      <c r="M749" s="27" t="n"/>
      <c r="N749" s="27" t="n"/>
      <c r="O749" s="25">
        <f>IF($C749="","",IF($P749="","—",IF($P749="Valid (Pass)","Valid","Invalid")))</f>
        <v/>
      </c>
      <c r="P749" s="27" t="n"/>
      <c r="Q749" s="27" t="n"/>
      <c r="R749" s="27" t="n"/>
      <c r="S749" s="27" t="n"/>
      <c r="T749" s="25">
        <f>IF($C749="","",IF(OR(ISNUMBER(SEARCH("quick case",$P749)),ISNUMBER(SEARCH("quick case",$Q749))),"Yes","No"))</f>
        <v/>
      </c>
      <c r="U749" s="25">
        <f>IF($O749="Invalid",HYPERLINK("mailto:"&amp;$G749&amp;";"&amp;$I749&amp;"?cc="&amp;Lists!$E$2&amp;"&amp;subject="&amp;_xlfn.ENCODEURL("[INVALID] Quality audit monitoring completed for "&amp;UPPER($C749))&amp;"&amp;body="&amp;_xlfn.ENCODEURL("Hi "&amp;$F749&amp;","&amp;CHAR(10)&amp;"Good day!"&amp;CHAR(10)&amp;CHAR(10)&amp;"A quality monitoring audit has been completed for "&amp;$C749&amp;"."&amp;CHAR(10)&amp;CHAR(10)&amp;"QUALITY AUDIT DETAILS"&amp;CHAR(10)&amp;"Agent Name: "&amp;$C749&amp;" (EID "&amp;$D749&amp;")"&amp;CHAR(10)&amp;"Audit Date: "&amp;TEXT($B749,"yyyy-mm-dd")&amp;CHAR(10)&amp;"Team Leader: "&amp;$F749&amp;CHAR(10)&amp;"Case Number: "&amp;$M749&amp;CHAR(10)&amp;"Transaction ID: "&amp;$N749&amp;CHAR(10)&amp;"Channel / LOB: "&amp;$K749&amp;" / "&amp;$L749&amp;CHAR(10)&amp;"Evaluator: "&amp;$S749&amp;CHAR(10)&amp;CHAR(10)&amp;"INVALID QUALITY AUDIT DETAILS"&amp;CHAR(10)&amp;"Validation: Invalid"&amp;CHAR(10)&amp;"Invalid Reason: "&amp;$P749&amp;CHAR(10)&amp;"Expected Resolution Code: "&amp;$Q749&amp;CHAR(10)&amp;"Remarks: "&amp;LEFT($R749,600)&amp;CHAR(10)&amp;CHAR(10)&amp;"This is an automated notification from HP Mainstream EQMS."),"✉ Open Email Draft"),"")</f>
        <v/>
      </c>
    </row>
    <row r="750">
      <c r="A750" s="25">
        <f>IF($C750="","","AUD-2026-"&amp;TEXT(ROW()-1,"000000"))</f>
        <v/>
      </c>
      <c r="B750" s="26" t="n"/>
      <c r="C750" s="27" t="n"/>
      <c r="D750" s="25">
        <f>IF($C750="","",IFERROR(IF(INDEX(Roster!$A:$A,MATCH($C750,Roster!$B:$B,0))="","",INDEX(Roster!$A:$A,MATCH($C750,Roster!$B:$B,0))&amp;""),"—"))</f>
        <v/>
      </c>
      <c r="E750" s="25">
        <f>IF($C750="","",IFERROR(IF(INDEX(Roster!$C:$C,MATCH($C750,Roster!$B:$B,0))="","",INDEX(Roster!$C:$C,MATCH($C750,Roster!$B:$B,0))&amp;""),"—"))</f>
        <v/>
      </c>
      <c r="F750" s="25">
        <f>IF($C750="","",IFERROR(IF(INDEX(Roster!$D:$D,MATCH($C750,Roster!$B:$B,0))="","",INDEX(Roster!$D:$D,MATCH($C750,Roster!$B:$B,0))&amp;""),"—"))</f>
        <v/>
      </c>
      <c r="G750" s="25">
        <f>IF($C750="","",IFERROR(IF(INDEX(Roster!$E:$E,MATCH($C750,Roster!$B:$B,0))="","",INDEX(Roster!$E:$E,MATCH($C750,Roster!$B:$B,0))&amp;""),"—"))</f>
        <v/>
      </c>
      <c r="H750" s="25">
        <f>IF($C750="","",IFERROR(IF(INDEX(Roster!$F:$F,MATCH($C750,Roster!$B:$B,0))="","",INDEX(Roster!$F:$F,MATCH($C750,Roster!$B:$B,0))&amp;""),"—"))</f>
        <v/>
      </c>
      <c r="I750" s="25">
        <f>IF($C750="","",IFERROR(IF(INDEX(Roster!$G:$G,MATCH($C750,Roster!$B:$B,0))="","",INDEX(Roster!$G:$G,MATCH($C750,Roster!$B:$B,0))&amp;""),"—"))</f>
        <v/>
      </c>
      <c r="J750" s="25">
        <f>IF($C750="","",IFERROR(IF(INDEX(Roster!$I:$I,MATCH($C750,Roster!$B:$B,0))="","",INDEX(Roster!$I:$I,MATCH($C750,Roster!$B:$B,0))&amp;""),"—"))</f>
        <v/>
      </c>
      <c r="K750">
        <f>IF($C750="","",IFERROR(IF(INDEX(Roster!$J:$J,MATCH($C750,Roster!$B:$B,0))="","",INDEX(Roster!$J:$J,MATCH($C750,Roster!$B:$B,0))&amp;""),"—"))</f>
        <v/>
      </c>
      <c r="L750">
        <f>IF($C750="","",IFERROR(IF(INDEX(Roster!$K:$K,MATCH($C750,Roster!$B:$B,0))="","",INDEX(Roster!$K:$K,MATCH($C750,Roster!$B:$B,0))&amp;""),"—"))</f>
        <v/>
      </c>
      <c r="M750" s="27" t="n"/>
      <c r="N750" s="27" t="n"/>
      <c r="O750" s="25">
        <f>IF($C750="","",IF($P750="","—",IF($P750="Valid (Pass)","Valid","Invalid")))</f>
        <v/>
      </c>
      <c r="P750" s="27" t="n"/>
      <c r="Q750" s="27" t="n"/>
      <c r="R750" s="27" t="n"/>
      <c r="S750" s="27" t="n"/>
      <c r="T750" s="25">
        <f>IF($C750="","",IF(OR(ISNUMBER(SEARCH("quick case",$P750)),ISNUMBER(SEARCH("quick case",$Q750))),"Yes","No"))</f>
        <v/>
      </c>
      <c r="U750" s="25">
        <f>IF($O750="Invalid",HYPERLINK("mailto:"&amp;$G750&amp;";"&amp;$I750&amp;"?cc="&amp;Lists!$E$2&amp;"&amp;subject="&amp;_xlfn.ENCODEURL("[INVALID] Quality audit monitoring completed for "&amp;UPPER($C750))&amp;"&amp;body="&amp;_xlfn.ENCODEURL("Hi "&amp;$F750&amp;","&amp;CHAR(10)&amp;"Good day!"&amp;CHAR(10)&amp;CHAR(10)&amp;"A quality monitoring audit has been completed for "&amp;$C750&amp;"."&amp;CHAR(10)&amp;CHAR(10)&amp;"QUALITY AUDIT DETAILS"&amp;CHAR(10)&amp;"Agent Name: "&amp;$C750&amp;" (EID "&amp;$D750&amp;")"&amp;CHAR(10)&amp;"Audit Date: "&amp;TEXT($B750,"yyyy-mm-dd")&amp;CHAR(10)&amp;"Team Leader: "&amp;$F750&amp;CHAR(10)&amp;"Case Number: "&amp;$M750&amp;CHAR(10)&amp;"Transaction ID: "&amp;$N750&amp;CHAR(10)&amp;"Channel / LOB: "&amp;$K750&amp;" / "&amp;$L750&amp;CHAR(10)&amp;"Evaluator: "&amp;$S750&amp;CHAR(10)&amp;CHAR(10)&amp;"INVALID QUALITY AUDIT DETAILS"&amp;CHAR(10)&amp;"Validation: Invalid"&amp;CHAR(10)&amp;"Invalid Reason: "&amp;$P750&amp;CHAR(10)&amp;"Expected Resolution Code: "&amp;$Q750&amp;CHAR(10)&amp;"Remarks: "&amp;LEFT($R750,600)&amp;CHAR(10)&amp;CHAR(10)&amp;"This is an automated notification from HP Mainstream EQMS."),"✉ Open Email Draft"),"")</f>
        <v/>
      </c>
    </row>
    <row r="751">
      <c r="A751" s="25">
        <f>IF($C751="","","AUD-2026-"&amp;TEXT(ROW()-1,"000000"))</f>
        <v/>
      </c>
      <c r="B751" s="26" t="n"/>
      <c r="C751" s="27" t="n"/>
      <c r="D751" s="25">
        <f>IF($C751="","",IFERROR(IF(INDEX(Roster!$A:$A,MATCH($C751,Roster!$B:$B,0))="","",INDEX(Roster!$A:$A,MATCH($C751,Roster!$B:$B,0))&amp;""),"—"))</f>
        <v/>
      </c>
      <c r="E751" s="25">
        <f>IF($C751="","",IFERROR(IF(INDEX(Roster!$C:$C,MATCH($C751,Roster!$B:$B,0))="","",INDEX(Roster!$C:$C,MATCH($C751,Roster!$B:$B,0))&amp;""),"—"))</f>
        <v/>
      </c>
      <c r="F751" s="25">
        <f>IF($C751="","",IFERROR(IF(INDEX(Roster!$D:$D,MATCH($C751,Roster!$B:$B,0))="","",INDEX(Roster!$D:$D,MATCH($C751,Roster!$B:$B,0))&amp;""),"—"))</f>
        <v/>
      </c>
      <c r="G751" s="25">
        <f>IF($C751="","",IFERROR(IF(INDEX(Roster!$E:$E,MATCH($C751,Roster!$B:$B,0))="","",INDEX(Roster!$E:$E,MATCH($C751,Roster!$B:$B,0))&amp;""),"—"))</f>
        <v/>
      </c>
      <c r="H751" s="25">
        <f>IF($C751="","",IFERROR(IF(INDEX(Roster!$F:$F,MATCH($C751,Roster!$B:$B,0))="","",INDEX(Roster!$F:$F,MATCH($C751,Roster!$B:$B,0))&amp;""),"—"))</f>
        <v/>
      </c>
      <c r="I751" s="25">
        <f>IF($C751="","",IFERROR(IF(INDEX(Roster!$G:$G,MATCH($C751,Roster!$B:$B,0))="","",INDEX(Roster!$G:$G,MATCH($C751,Roster!$B:$B,0))&amp;""),"—"))</f>
        <v/>
      </c>
      <c r="J751" s="25">
        <f>IF($C751="","",IFERROR(IF(INDEX(Roster!$I:$I,MATCH($C751,Roster!$B:$B,0))="","",INDEX(Roster!$I:$I,MATCH($C751,Roster!$B:$B,0))&amp;""),"—"))</f>
        <v/>
      </c>
      <c r="K751">
        <f>IF($C751="","",IFERROR(IF(INDEX(Roster!$J:$J,MATCH($C751,Roster!$B:$B,0))="","",INDEX(Roster!$J:$J,MATCH($C751,Roster!$B:$B,0))&amp;""),"—"))</f>
        <v/>
      </c>
      <c r="L751">
        <f>IF($C751="","",IFERROR(IF(INDEX(Roster!$K:$K,MATCH($C751,Roster!$B:$B,0))="","",INDEX(Roster!$K:$K,MATCH($C751,Roster!$B:$B,0))&amp;""),"—"))</f>
        <v/>
      </c>
      <c r="M751" s="27" t="n"/>
      <c r="N751" s="27" t="n"/>
      <c r="O751" s="25">
        <f>IF($C751="","",IF($P751="","—",IF($P751="Valid (Pass)","Valid","Invalid")))</f>
        <v/>
      </c>
      <c r="P751" s="27" t="n"/>
      <c r="Q751" s="27" t="n"/>
      <c r="R751" s="27" t="n"/>
      <c r="S751" s="27" t="n"/>
      <c r="T751" s="25">
        <f>IF($C751="","",IF(OR(ISNUMBER(SEARCH("quick case",$P751)),ISNUMBER(SEARCH("quick case",$Q751))),"Yes","No"))</f>
        <v/>
      </c>
      <c r="U751" s="25">
        <f>IF($O751="Invalid",HYPERLINK("mailto:"&amp;$G751&amp;";"&amp;$I751&amp;"?cc="&amp;Lists!$E$2&amp;"&amp;subject="&amp;_xlfn.ENCODEURL("[INVALID] Quality audit monitoring completed for "&amp;UPPER($C751))&amp;"&amp;body="&amp;_xlfn.ENCODEURL("Hi "&amp;$F751&amp;","&amp;CHAR(10)&amp;"Good day!"&amp;CHAR(10)&amp;CHAR(10)&amp;"A quality monitoring audit has been completed for "&amp;$C751&amp;"."&amp;CHAR(10)&amp;CHAR(10)&amp;"QUALITY AUDIT DETAILS"&amp;CHAR(10)&amp;"Agent Name: "&amp;$C751&amp;" (EID "&amp;$D751&amp;")"&amp;CHAR(10)&amp;"Audit Date: "&amp;TEXT($B751,"yyyy-mm-dd")&amp;CHAR(10)&amp;"Team Leader: "&amp;$F751&amp;CHAR(10)&amp;"Case Number: "&amp;$M751&amp;CHAR(10)&amp;"Transaction ID: "&amp;$N751&amp;CHAR(10)&amp;"Channel / LOB: "&amp;$K751&amp;" / "&amp;$L751&amp;CHAR(10)&amp;"Evaluator: "&amp;$S751&amp;CHAR(10)&amp;CHAR(10)&amp;"INVALID QUALITY AUDIT DETAILS"&amp;CHAR(10)&amp;"Validation: Invalid"&amp;CHAR(10)&amp;"Invalid Reason: "&amp;$P751&amp;CHAR(10)&amp;"Expected Resolution Code: "&amp;$Q751&amp;CHAR(10)&amp;"Remarks: "&amp;LEFT($R751,600)&amp;CHAR(10)&amp;CHAR(10)&amp;"This is an automated notification from HP Mainstream EQMS."),"✉ Open Email Draft"),"")</f>
        <v/>
      </c>
    </row>
    <row r="752">
      <c r="A752" s="25">
        <f>IF($C752="","","AUD-2026-"&amp;TEXT(ROW()-1,"000000"))</f>
        <v/>
      </c>
      <c r="B752" s="26" t="n"/>
      <c r="C752" s="27" t="n"/>
      <c r="D752" s="25">
        <f>IF($C752="","",IFERROR(IF(INDEX(Roster!$A:$A,MATCH($C752,Roster!$B:$B,0))="","",INDEX(Roster!$A:$A,MATCH($C752,Roster!$B:$B,0))&amp;""),"—"))</f>
        <v/>
      </c>
      <c r="E752" s="25">
        <f>IF($C752="","",IFERROR(IF(INDEX(Roster!$C:$C,MATCH($C752,Roster!$B:$B,0))="","",INDEX(Roster!$C:$C,MATCH($C752,Roster!$B:$B,0))&amp;""),"—"))</f>
        <v/>
      </c>
      <c r="F752" s="25">
        <f>IF($C752="","",IFERROR(IF(INDEX(Roster!$D:$D,MATCH($C752,Roster!$B:$B,0))="","",INDEX(Roster!$D:$D,MATCH($C752,Roster!$B:$B,0))&amp;""),"—"))</f>
        <v/>
      </c>
      <c r="G752" s="25">
        <f>IF($C752="","",IFERROR(IF(INDEX(Roster!$E:$E,MATCH($C752,Roster!$B:$B,0))="","",INDEX(Roster!$E:$E,MATCH($C752,Roster!$B:$B,0))&amp;""),"—"))</f>
        <v/>
      </c>
      <c r="H752" s="25">
        <f>IF($C752="","",IFERROR(IF(INDEX(Roster!$F:$F,MATCH($C752,Roster!$B:$B,0))="","",INDEX(Roster!$F:$F,MATCH($C752,Roster!$B:$B,0))&amp;""),"—"))</f>
        <v/>
      </c>
      <c r="I752" s="25">
        <f>IF($C752="","",IFERROR(IF(INDEX(Roster!$G:$G,MATCH($C752,Roster!$B:$B,0))="","",INDEX(Roster!$G:$G,MATCH($C752,Roster!$B:$B,0))&amp;""),"—"))</f>
        <v/>
      </c>
      <c r="J752" s="25">
        <f>IF($C752="","",IFERROR(IF(INDEX(Roster!$I:$I,MATCH($C752,Roster!$B:$B,0))="","",INDEX(Roster!$I:$I,MATCH($C752,Roster!$B:$B,0))&amp;""),"—"))</f>
        <v/>
      </c>
      <c r="K752">
        <f>IF($C752="","",IFERROR(IF(INDEX(Roster!$J:$J,MATCH($C752,Roster!$B:$B,0))="","",INDEX(Roster!$J:$J,MATCH($C752,Roster!$B:$B,0))&amp;""),"—"))</f>
        <v/>
      </c>
      <c r="L752">
        <f>IF($C752="","",IFERROR(IF(INDEX(Roster!$K:$K,MATCH($C752,Roster!$B:$B,0))="","",INDEX(Roster!$K:$K,MATCH($C752,Roster!$B:$B,0))&amp;""),"—"))</f>
        <v/>
      </c>
      <c r="M752" s="27" t="n"/>
      <c r="N752" s="27" t="n"/>
      <c r="O752" s="25">
        <f>IF($C752="","",IF($P752="","—",IF($P752="Valid (Pass)","Valid","Invalid")))</f>
        <v/>
      </c>
      <c r="P752" s="27" t="n"/>
      <c r="Q752" s="27" t="n"/>
      <c r="R752" s="27" t="n"/>
      <c r="S752" s="27" t="n"/>
      <c r="T752" s="25">
        <f>IF($C752="","",IF(OR(ISNUMBER(SEARCH("quick case",$P752)),ISNUMBER(SEARCH("quick case",$Q752))),"Yes","No"))</f>
        <v/>
      </c>
      <c r="U752" s="25">
        <f>IF($O752="Invalid",HYPERLINK("mailto:"&amp;$G752&amp;";"&amp;$I752&amp;"?cc="&amp;Lists!$E$2&amp;"&amp;subject="&amp;_xlfn.ENCODEURL("[INVALID] Quality audit monitoring completed for "&amp;UPPER($C752))&amp;"&amp;body="&amp;_xlfn.ENCODEURL("Hi "&amp;$F752&amp;","&amp;CHAR(10)&amp;"Good day!"&amp;CHAR(10)&amp;CHAR(10)&amp;"A quality monitoring audit has been completed for "&amp;$C752&amp;"."&amp;CHAR(10)&amp;CHAR(10)&amp;"QUALITY AUDIT DETAILS"&amp;CHAR(10)&amp;"Agent Name: "&amp;$C752&amp;" (EID "&amp;$D752&amp;")"&amp;CHAR(10)&amp;"Audit Date: "&amp;TEXT($B752,"yyyy-mm-dd")&amp;CHAR(10)&amp;"Team Leader: "&amp;$F752&amp;CHAR(10)&amp;"Case Number: "&amp;$M752&amp;CHAR(10)&amp;"Transaction ID: "&amp;$N752&amp;CHAR(10)&amp;"Channel / LOB: "&amp;$K752&amp;" / "&amp;$L752&amp;CHAR(10)&amp;"Evaluator: "&amp;$S752&amp;CHAR(10)&amp;CHAR(10)&amp;"INVALID QUALITY AUDIT DETAILS"&amp;CHAR(10)&amp;"Validation: Invalid"&amp;CHAR(10)&amp;"Invalid Reason: "&amp;$P752&amp;CHAR(10)&amp;"Expected Resolution Code: "&amp;$Q752&amp;CHAR(10)&amp;"Remarks: "&amp;LEFT($R752,600)&amp;CHAR(10)&amp;CHAR(10)&amp;"This is an automated notification from HP Mainstream EQMS."),"✉ Open Email Draft"),"")</f>
        <v/>
      </c>
    </row>
    <row r="753">
      <c r="A753" s="25">
        <f>IF($C753="","","AUD-2026-"&amp;TEXT(ROW()-1,"000000"))</f>
        <v/>
      </c>
      <c r="B753" s="26" t="n"/>
      <c r="C753" s="27" t="n"/>
      <c r="D753" s="25">
        <f>IF($C753="","",IFERROR(IF(INDEX(Roster!$A:$A,MATCH($C753,Roster!$B:$B,0))="","",INDEX(Roster!$A:$A,MATCH($C753,Roster!$B:$B,0))&amp;""),"—"))</f>
        <v/>
      </c>
      <c r="E753" s="25">
        <f>IF($C753="","",IFERROR(IF(INDEX(Roster!$C:$C,MATCH($C753,Roster!$B:$B,0))="","",INDEX(Roster!$C:$C,MATCH($C753,Roster!$B:$B,0))&amp;""),"—"))</f>
        <v/>
      </c>
      <c r="F753" s="25">
        <f>IF($C753="","",IFERROR(IF(INDEX(Roster!$D:$D,MATCH($C753,Roster!$B:$B,0))="","",INDEX(Roster!$D:$D,MATCH($C753,Roster!$B:$B,0))&amp;""),"—"))</f>
        <v/>
      </c>
      <c r="G753" s="25">
        <f>IF($C753="","",IFERROR(IF(INDEX(Roster!$E:$E,MATCH($C753,Roster!$B:$B,0))="","",INDEX(Roster!$E:$E,MATCH($C753,Roster!$B:$B,0))&amp;""),"—"))</f>
        <v/>
      </c>
      <c r="H753" s="25">
        <f>IF($C753="","",IFERROR(IF(INDEX(Roster!$F:$F,MATCH($C753,Roster!$B:$B,0))="","",INDEX(Roster!$F:$F,MATCH($C753,Roster!$B:$B,0))&amp;""),"—"))</f>
        <v/>
      </c>
      <c r="I753" s="25">
        <f>IF($C753="","",IFERROR(IF(INDEX(Roster!$G:$G,MATCH($C753,Roster!$B:$B,0))="","",INDEX(Roster!$G:$G,MATCH($C753,Roster!$B:$B,0))&amp;""),"—"))</f>
        <v/>
      </c>
      <c r="J753" s="25">
        <f>IF($C753="","",IFERROR(IF(INDEX(Roster!$I:$I,MATCH($C753,Roster!$B:$B,0))="","",INDEX(Roster!$I:$I,MATCH($C753,Roster!$B:$B,0))&amp;""),"—"))</f>
        <v/>
      </c>
      <c r="K753">
        <f>IF($C753="","",IFERROR(IF(INDEX(Roster!$J:$J,MATCH($C753,Roster!$B:$B,0))="","",INDEX(Roster!$J:$J,MATCH($C753,Roster!$B:$B,0))&amp;""),"—"))</f>
        <v/>
      </c>
      <c r="L753">
        <f>IF($C753="","",IFERROR(IF(INDEX(Roster!$K:$K,MATCH($C753,Roster!$B:$B,0))="","",INDEX(Roster!$K:$K,MATCH($C753,Roster!$B:$B,0))&amp;""),"—"))</f>
        <v/>
      </c>
      <c r="M753" s="27" t="n"/>
      <c r="N753" s="27" t="n"/>
      <c r="O753" s="25">
        <f>IF($C753="","",IF($P753="","—",IF($P753="Valid (Pass)","Valid","Invalid")))</f>
        <v/>
      </c>
      <c r="P753" s="27" t="n"/>
      <c r="Q753" s="27" t="n"/>
      <c r="R753" s="27" t="n"/>
      <c r="S753" s="27" t="n"/>
      <c r="T753" s="25">
        <f>IF($C753="","",IF(OR(ISNUMBER(SEARCH("quick case",$P753)),ISNUMBER(SEARCH("quick case",$Q753))),"Yes","No"))</f>
        <v/>
      </c>
      <c r="U753" s="25">
        <f>IF($O753="Invalid",HYPERLINK("mailto:"&amp;$G753&amp;";"&amp;$I753&amp;"?cc="&amp;Lists!$E$2&amp;"&amp;subject="&amp;_xlfn.ENCODEURL("[INVALID] Quality audit monitoring completed for "&amp;UPPER($C753))&amp;"&amp;body="&amp;_xlfn.ENCODEURL("Hi "&amp;$F753&amp;","&amp;CHAR(10)&amp;"Good day!"&amp;CHAR(10)&amp;CHAR(10)&amp;"A quality monitoring audit has been completed for "&amp;$C753&amp;"."&amp;CHAR(10)&amp;CHAR(10)&amp;"QUALITY AUDIT DETAILS"&amp;CHAR(10)&amp;"Agent Name: "&amp;$C753&amp;" (EID "&amp;$D753&amp;")"&amp;CHAR(10)&amp;"Audit Date: "&amp;TEXT($B753,"yyyy-mm-dd")&amp;CHAR(10)&amp;"Team Leader: "&amp;$F753&amp;CHAR(10)&amp;"Case Number: "&amp;$M753&amp;CHAR(10)&amp;"Transaction ID: "&amp;$N753&amp;CHAR(10)&amp;"Channel / LOB: "&amp;$K753&amp;" / "&amp;$L753&amp;CHAR(10)&amp;"Evaluator: "&amp;$S753&amp;CHAR(10)&amp;CHAR(10)&amp;"INVALID QUALITY AUDIT DETAILS"&amp;CHAR(10)&amp;"Validation: Invalid"&amp;CHAR(10)&amp;"Invalid Reason: "&amp;$P753&amp;CHAR(10)&amp;"Expected Resolution Code: "&amp;$Q753&amp;CHAR(10)&amp;"Remarks: "&amp;LEFT($R753,600)&amp;CHAR(10)&amp;CHAR(10)&amp;"This is an automated notification from HP Mainstream EQMS."),"✉ Open Email Draft"),"")</f>
        <v/>
      </c>
    </row>
    <row r="754">
      <c r="A754" s="25">
        <f>IF($C754="","","AUD-2026-"&amp;TEXT(ROW()-1,"000000"))</f>
        <v/>
      </c>
      <c r="B754" s="26" t="n"/>
      <c r="C754" s="27" t="n"/>
      <c r="D754" s="25">
        <f>IF($C754="","",IFERROR(IF(INDEX(Roster!$A:$A,MATCH($C754,Roster!$B:$B,0))="","",INDEX(Roster!$A:$A,MATCH($C754,Roster!$B:$B,0))&amp;""),"—"))</f>
        <v/>
      </c>
      <c r="E754" s="25">
        <f>IF($C754="","",IFERROR(IF(INDEX(Roster!$C:$C,MATCH($C754,Roster!$B:$B,0))="","",INDEX(Roster!$C:$C,MATCH($C754,Roster!$B:$B,0))&amp;""),"—"))</f>
        <v/>
      </c>
      <c r="F754" s="25">
        <f>IF($C754="","",IFERROR(IF(INDEX(Roster!$D:$D,MATCH($C754,Roster!$B:$B,0))="","",INDEX(Roster!$D:$D,MATCH($C754,Roster!$B:$B,0))&amp;""),"—"))</f>
        <v/>
      </c>
      <c r="G754" s="25">
        <f>IF($C754="","",IFERROR(IF(INDEX(Roster!$E:$E,MATCH($C754,Roster!$B:$B,0))="","",INDEX(Roster!$E:$E,MATCH($C754,Roster!$B:$B,0))&amp;""),"—"))</f>
        <v/>
      </c>
      <c r="H754" s="25">
        <f>IF($C754="","",IFERROR(IF(INDEX(Roster!$F:$F,MATCH($C754,Roster!$B:$B,0))="","",INDEX(Roster!$F:$F,MATCH($C754,Roster!$B:$B,0))&amp;""),"—"))</f>
        <v/>
      </c>
      <c r="I754" s="25">
        <f>IF($C754="","",IFERROR(IF(INDEX(Roster!$G:$G,MATCH($C754,Roster!$B:$B,0))="","",INDEX(Roster!$G:$G,MATCH($C754,Roster!$B:$B,0))&amp;""),"—"))</f>
        <v/>
      </c>
      <c r="J754" s="25">
        <f>IF($C754="","",IFERROR(IF(INDEX(Roster!$I:$I,MATCH($C754,Roster!$B:$B,0))="","",INDEX(Roster!$I:$I,MATCH($C754,Roster!$B:$B,0))&amp;""),"—"))</f>
        <v/>
      </c>
      <c r="K754">
        <f>IF($C754="","",IFERROR(IF(INDEX(Roster!$J:$J,MATCH($C754,Roster!$B:$B,0))="","",INDEX(Roster!$J:$J,MATCH($C754,Roster!$B:$B,0))&amp;""),"—"))</f>
        <v/>
      </c>
      <c r="L754">
        <f>IF($C754="","",IFERROR(IF(INDEX(Roster!$K:$K,MATCH($C754,Roster!$B:$B,0))="","",INDEX(Roster!$K:$K,MATCH($C754,Roster!$B:$B,0))&amp;""),"—"))</f>
        <v/>
      </c>
      <c r="M754" s="27" t="n"/>
      <c r="N754" s="27" t="n"/>
      <c r="O754" s="25">
        <f>IF($C754="","",IF($P754="","—",IF($P754="Valid (Pass)","Valid","Invalid")))</f>
        <v/>
      </c>
      <c r="P754" s="27" t="n"/>
      <c r="Q754" s="27" t="n"/>
      <c r="R754" s="27" t="n"/>
      <c r="S754" s="27" t="n"/>
      <c r="T754" s="25">
        <f>IF($C754="","",IF(OR(ISNUMBER(SEARCH("quick case",$P754)),ISNUMBER(SEARCH("quick case",$Q754))),"Yes","No"))</f>
        <v/>
      </c>
      <c r="U754" s="25">
        <f>IF($O754="Invalid",HYPERLINK("mailto:"&amp;$G754&amp;";"&amp;$I754&amp;"?cc="&amp;Lists!$E$2&amp;"&amp;subject="&amp;_xlfn.ENCODEURL("[INVALID] Quality audit monitoring completed for "&amp;UPPER($C754))&amp;"&amp;body="&amp;_xlfn.ENCODEURL("Hi "&amp;$F754&amp;","&amp;CHAR(10)&amp;"Good day!"&amp;CHAR(10)&amp;CHAR(10)&amp;"A quality monitoring audit has been completed for "&amp;$C754&amp;"."&amp;CHAR(10)&amp;CHAR(10)&amp;"QUALITY AUDIT DETAILS"&amp;CHAR(10)&amp;"Agent Name: "&amp;$C754&amp;" (EID "&amp;$D754&amp;")"&amp;CHAR(10)&amp;"Audit Date: "&amp;TEXT($B754,"yyyy-mm-dd")&amp;CHAR(10)&amp;"Team Leader: "&amp;$F754&amp;CHAR(10)&amp;"Case Number: "&amp;$M754&amp;CHAR(10)&amp;"Transaction ID: "&amp;$N754&amp;CHAR(10)&amp;"Channel / LOB: "&amp;$K754&amp;" / "&amp;$L754&amp;CHAR(10)&amp;"Evaluator: "&amp;$S754&amp;CHAR(10)&amp;CHAR(10)&amp;"INVALID QUALITY AUDIT DETAILS"&amp;CHAR(10)&amp;"Validation: Invalid"&amp;CHAR(10)&amp;"Invalid Reason: "&amp;$P754&amp;CHAR(10)&amp;"Expected Resolution Code: "&amp;$Q754&amp;CHAR(10)&amp;"Remarks: "&amp;LEFT($R754,600)&amp;CHAR(10)&amp;CHAR(10)&amp;"This is an automated notification from HP Mainstream EQMS."),"✉ Open Email Draft"),"")</f>
        <v/>
      </c>
    </row>
    <row r="755">
      <c r="A755" s="25">
        <f>IF($C755="","","AUD-2026-"&amp;TEXT(ROW()-1,"000000"))</f>
        <v/>
      </c>
      <c r="B755" s="26" t="n"/>
      <c r="C755" s="27" t="n"/>
      <c r="D755" s="25">
        <f>IF($C755="","",IFERROR(IF(INDEX(Roster!$A:$A,MATCH($C755,Roster!$B:$B,0))="","",INDEX(Roster!$A:$A,MATCH($C755,Roster!$B:$B,0))&amp;""),"—"))</f>
        <v/>
      </c>
      <c r="E755" s="25">
        <f>IF($C755="","",IFERROR(IF(INDEX(Roster!$C:$C,MATCH($C755,Roster!$B:$B,0))="","",INDEX(Roster!$C:$C,MATCH($C755,Roster!$B:$B,0))&amp;""),"—"))</f>
        <v/>
      </c>
      <c r="F755" s="25">
        <f>IF($C755="","",IFERROR(IF(INDEX(Roster!$D:$D,MATCH($C755,Roster!$B:$B,0))="","",INDEX(Roster!$D:$D,MATCH($C755,Roster!$B:$B,0))&amp;""),"—"))</f>
        <v/>
      </c>
      <c r="G755" s="25">
        <f>IF($C755="","",IFERROR(IF(INDEX(Roster!$E:$E,MATCH($C755,Roster!$B:$B,0))="","",INDEX(Roster!$E:$E,MATCH($C755,Roster!$B:$B,0))&amp;""),"—"))</f>
        <v/>
      </c>
      <c r="H755" s="25">
        <f>IF($C755="","",IFERROR(IF(INDEX(Roster!$F:$F,MATCH($C755,Roster!$B:$B,0))="","",INDEX(Roster!$F:$F,MATCH($C755,Roster!$B:$B,0))&amp;""),"—"))</f>
        <v/>
      </c>
      <c r="I755" s="25">
        <f>IF($C755="","",IFERROR(IF(INDEX(Roster!$G:$G,MATCH($C755,Roster!$B:$B,0))="","",INDEX(Roster!$G:$G,MATCH($C755,Roster!$B:$B,0))&amp;""),"—"))</f>
        <v/>
      </c>
      <c r="J755" s="25">
        <f>IF($C755="","",IFERROR(IF(INDEX(Roster!$I:$I,MATCH($C755,Roster!$B:$B,0))="","",INDEX(Roster!$I:$I,MATCH($C755,Roster!$B:$B,0))&amp;""),"—"))</f>
        <v/>
      </c>
      <c r="K755">
        <f>IF($C755="","",IFERROR(IF(INDEX(Roster!$J:$J,MATCH($C755,Roster!$B:$B,0))="","",INDEX(Roster!$J:$J,MATCH($C755,Roster!$B:$B,0))&amp;""),"—"))</f>
        <v/>
      </c>
      <c r="L755">
        <f>IF($C755="","",IFERROR(IF(INDEX(Roster!$K:$K,MATCH($C755,Roster!$B:$B,0))="","",INDEX(Roster!$K:$K,MATCH($C755,Roster!$B:$B,0))&amp;""),"—"))</f>
        <v/>
      </c>
      <c r="M755" s="27" t="n"/>
      <c r="N755" s="27" t="n"/>
      <c r="O755" s="25">
        <f>IF($C755="","",IF($P755="","—",IF($P755="Valid (Pass)","Valid","Invalid")))</f>
        <v/>
      </c>
      <c r="P755" s="27" t="n"/>
      <c r="Q755" s="27" t="n"/>
      <c r="R755" s="27" t="n"/>
      <c r="S755" s="27" t="n"/>
      <c r="T755" s="25">
        <f>IF($C755="","",IF(OR(ISNUMBER(SEARCH("quick case",$P755)),ISNUMBER(SEARCH("quick case",$Q755))),"Yes","No"))</f>
        <v/>
      </c>
      <c r="U755" s="25">
        <f>IF($O755="Invalid",HYPERLINK("mailto:"&amp;$G755&amp;";"&amp;$I755&amp;"?cc="&amp;Lists!$E$2&amp;"&amp;subject="&amp;_xlfn.ENCODEURL("[INVALID] Quality audit monitoring completed for "&amp;UPPER($C755))&amp;"&amp;body="&amp;_xlfn.ENCODEURL("Hi "&amp;$F755&amp;","&amp;CHAR(10)&amp;"Good day!"&amp;CHAR(10)&amp;CHAR(10)&amp;"A quality monitoring audit has been completed for "&amp;$C755&amp;"."&amp;CHAR(10)&amp;CHAR(10)&amp;"QUALITY AUDIT DETAILS"&amp;CHAR(10)&amp;"Agent Name: "&amp;$C755&amp;" (EID "&amp;$D755&amp;")"&amp;CHAR(10)&amp;"Audit Date: "&amp;TEXT($B755,"yyyy-mm-dd")&amp;CHAR(10)&amp;"Team Leader: "&amp;$F755&amp;CHAR(10)&amp;"Case Number: "&amp;$M755&amp;CHAR(10)&amp;"Transaction ID: "&amp;$N755&amp;CHAR(10)&amp;"Channel / LOB: "&amp;$K755&amp;" / "&amp;$L755&amp;CHAR(10)&amp;"Evaluator: "&amp;$S755&amp;CHAR(10)&amp;CHAR(10)&amp;"INVALID QUALITY AUDIT DETAILS"&amp;CHAR(10)&amp;"Validation: Invalid"&amp;CHAR(10)&amp;"Invalid Reason: "&amp;$P755&amp;CHAR(10)&amp;"Expected Resolution Code: "&amp;$Q755&amp;CHAR(10)&amp;"Remarks: "&amp;LEFT($R755,600)&amp;CHAR(10)&amp;CHAR(10)&amp;"This is an automated notification from HP Mainstream EQMS."),"✉ Open Email Draft"),"")</f>
        <v/>
      </c>
    </row>
    <row r="756">
      <c r="A756" s="25">
        <f>IF($C756="","","AUD-2026-"&amp;TEXT(ROW()-1,"000000"))</f>
        <v/>
      </c>
      <c r="B756" s="26" t="n"/>
      <c r="C756" s="27" t="n"/>
      <c r="D756" s="25">
        <f>IF($C756="","",IFERROR(IF(INDEX(Roster!$A:$A,MATCH($C756,Roster!$B:$B,0))="","",INDEX(Roster!$A:$A,MATCH($C756,Roster!$B:$B,0))&amp;""),"—"))</f>
        <v/>
      </c>
      <c r="E756" s="25">
        <f>IF($C756="","",IFERROR(IF(INDEX(Roster!$C:$C,MATCH($C756,Roster!$B:$B,0))="","",INDEX(Roster!$C:$C,MATCH($C756,Roster!$B:$B,0))&amp;""),"—"))</f>
        <v/>
      </c>
      <c r="F756" s="25">
        <f>IF($C756="","",IFERROR(IF(INDEX(Roster!$D:$D,MATCH($C756,Roster!$B:$B,0))="","",INDEX(Roster!$D:$D,MATCH($C756,Roster!$B:$B,0))&amp;""),"—"))</f>
        <v/>
      </c>
      <c r="G756" s="25">
        <f>IF($C756="","",IFERROR(IF(INDEX(Roster!$E:$E,MATCH($C756,Roster!$B:$B,0))="","",INDEX(Roster!$E:$E,MATCH($C756,Roster!$B:$B,0))&amp;""),"—"))</f>
        <v/>
      </c>
      <c r="H756" s="25">
        <f>IF($C756="","",IFERROR(IF(INDEX(Roster!$F:$F,MATCH($C756,Roster!$B:$B,0))="","",INDEX(Roster!$F:$F,MATCH($C756,Roster!$B:$B,0))&amp;""),"—"))</f>
        <v/>
      </c>
      <c r="I756" s="25">
        <f>IF($C756="","",IFERROR(IF(INDEX(Roster!$G:$G,MATCH($C756,Roster!$B:$B,0))="","",INDEX(Roster!$G:$G,MATCH($C756,Roster!$B:$B,0))&amp;""),"—"))</f>
        <v/>
      </c>
      <c r="J756" s="25">
        <f>IF($C756="","",IFERROR(IF(INDEX(Roster!$I:$I,MATCH($C756,Roster!$B:$B,0))="","",INDEX(Roster!$I:$I,MATCH($C756,Roster!$B:$B,0))&amp;""),"—"))</f>
        <v/>
      </c>
      <c r="K756">
        <f>IF($C756="","",IFERROR(IF(INDEX(Roster!$J:$J,MATCH($C756,Roster!$B:$B,0))="","",INDEX(Roster!$J:$J,MATCH($C756,Roster!$B:$B,0))&amp;""),"—"))</f>
        <v/>
      </c>
      <c r="L756">
        <f>IF($C756="","",IFERROR(IF(INDEX(Roster!$K:$K,MATCH($C756,Roster!$B:$B,0))="","",INDEX(Roster!$K:$K,MATCH($C756,Roster!$B:$B,0))&amp;""),"—"))</f>
        <v/>
      </c>
      <c r="M756" s="27" t="n"/>
      <c r="N756" s="27" t="n"/>
      <c r="O756" s="25">
        <f>IF($C756="","",IF($P756="","—",IF($P756="Valid (Pass)","Valid","Invalid")))</f>
        <v/>
      </c>
      <c r="P756" s="27" t="n"/>
      <c r="Q756" s="27" t="n"/>
      <c r="R756" s="27" t="n"/>
      <c r="S756" s="27" t="n"/>
      <c r="T756" s="25">
        <f>IF($C756="","",IF(OR(ISNUMBER(SEARCH("quick case",$P756)),ISNUMBER(SEARCH("quick case",$Q756))),"Yes","No"))</f>
        <v/>
      </c>
      <c r="U756" s="25">
        <f>IF($O756="Invalid",HYPERLINK("mailto:"&amp;$G756&amp;";"&amp;$I756&amp;"?cc="&amp;Lists!$E$2&amp;"&amp;subject="&amp;_xlfn.ENCODEURL("[INVALID] Quality audit monitoring completed for "&amp;UPPER($C756))&amp;"&amp;body="&amp;_xlfn.ENCODEURL("Hi "&amp;$F756&amp;","&amp;CHAR(10)&amp;"Good day!"&amp;CHAR(10)&amp;CHAR(10)&amp;"A quality monitoring audit has been completed for "&amp;$C756&amp;"."&amp;CHAR(10)&amp;CHAR(10)&amp;"QUALITY AUDIT DETAILS"&amp;CHAR(10)&amp;"Agent Name: "&amp;$C756&amp;" (EID "&amp;$D756&amp;")"&amp;CHAR(10)&amp;"Audit Date: "&amp;TEXT($B756,"yyyy-mm-dd")&amp;CHAR(10)&amp;"Team Leader: "&amp;$F756&amp;CHAR(10)&amp;"Case Number: "&amp;$M756&amp;CHAR(10)&amp;"Transaction ID: "&amp;$N756&amp;CHAR(10)&amp;"Channel / LOB: "&amp;$K756&amp;" / "&amp;$L756&amp;CHAR(10)&amp;"Evaluator: "&amp;$S756&amp;CHAR(10)&amp;CHAR(10)&amp;"INVALID QUALITY AUDIT DETAILS"&amp;CHAR(10)&amp;"Validation: Invalid"&amp;CHAR(10)&amp;"Invalid Reason: "&amp;$P756&amp;CHAR(10)&amp;"Expected Resolution Code: "&amp;$Q756&amp;CHAR(10)&amp;"Remarks: "&amp;LEFT($R756,600)&amp;CHAR(10)&amp;CHAR(10)&amp;"This is an automated notification from HP Mainstream EQMS."),"✉ Open Email Draft"),"")</f>
        <v/>
      </c>
    </row>
    <row r="757">
      <c r="A757" s="25">
        <f>IF($C757="","","AUD-2026-"&amp;TEXT(ROW()-1,"000000"))</f>
        <v/>
      </c>
      <c r="B757" s="26" t="n"/>
      <c r="C757" s="27" t="n"/>
      <c r="D757" s="25">
        <f>IF($C757="","",IFERROR(IF(INDEX(Roster!$A:$A,MATCH($C757,Roster!$B:$B,0))="","",INDEX(Roster!$A:$A,MATCH($C757,Roster!$B:$B,0))&amp;""),"—"))</f>
        <v/>
      </c>
      <c r="E757" s="25">
        <f>IF($C757="","",IFERROR(IF(INDEX(Roster!$C:$C,MATCH($C757,Roster!$B:$B,0))="","",INDEX(Roster!$C:$C,MATCH($C757,Roster!$B:$B,0))&amp;""),"—"))</f>
        <v/>
      </c>
      <c r="F757" s="25">
        <f>IF($C757="","",IFERROR(IF(INDEX(Roster!$D:$D,MATCH($C757,Roster!$B:$B,0))="","",INDEX(Roster!$D:$D,MATCH($C757,Roster!$B:$B,0))&amp;""),"—"))</f>
        <v/>
      </c>
      <c r="G757" s="25">
        <f>IF($C757="","",IFERROR(IF(INDEX(Roster!$E:$E,MATCH($C757,Roster!$B:$B,0))="","",INDEX(Roster!$E:$E,MATCH($C757,Roster!$B:$B,0))&amp;""),"—"))</f>
        <v/>
      </c>
      <c r="H757" s="25">
        <f>IF($C757="","",IFERROR(IF(INDEX(Roster!$F:$F,MATCH($C757,Roster!$B:$B,0))="","",INDEX(Roster!$F:$F,MATCH($C757,Roster!$B:$B,0))&amp;""),"—"))</f>
        <v/>
      </c>
      <c r="I757" s="25">
        <f>IF($C757="","",IFERROR(IF(INDEX(Roster!$G:$G,MATCH($C757,Roster!$B:$B,0))="","",INDEX(Roster!$G:$G,MATCH($C757,Roster!$B:$B,0))&amp;""),"—"))</f>
        <v/>
      </c>
      <c r="J757" s="25">
        <f>IF($C757="","",IFERROR(IF(INDEX(Roster!$I:$I,MATCH($C757,Roster!$B:$B,0))="","",INDEX(Roster!$I:$I,MATCH($C757,Roster!$B:$B,0))&amp;""),"—"))</f>
        <v/>
      </c>
      <c r="K757">
        <f>IF($C757="","",IFERROR(IF(INDEX(Roster!$J:$J,MATCH($C757,Roster!$B:$B,0))="","",INDEX(Roster!$J:$J,MATCH($C757,Roster!$B:$B,0))&amp;""),"—"))</f>
        <v/>
      </c>
      <c r="L757">
        <f>IF($C757="","",IFERROR(IF(INDEX(Roster!$K:$K,MATCH($C757,Roster!$B:$B,0))="","",INDEX(Roster!$K:$K,MATCH($C757,Roster!$B:$B,0))&amp;""),"—"))</f>
        <v/>
      </c>
      <c r="M757" s="27" t="n"/>
      <c r="N757" s="27" t="n"/>
      <c r="O757" s="25">
        <f>IF($C757="","",IF($P757="","—",IF($P757="Valid (Pass)","Valid","Invalid")))</f>
        <v/>
      </c>
      <c r="P757" s="27" t="n"/>
      <c r="Q757" s="27" t="n"/>
      <c r="R757" s="27" t="n"/>
      <c r="S757" s="27" t="n"/>
      <c r="T757" s="25">
        <f>IF($C757="","",IF(OR(ISNUMBER(SEARCH("quick case",$P757)),ISNUMBER(SEARCH("quick case",$Q757))),"Yes","No"))</f>
        <v/>
      </c>
      <c r="U757" s="25">
        <f>IF($O757="Invalid",HYPERLINK("mailto:"&amp;$G757&amp;";"&amp;$I757&amp;"?cc="&amp;Lists!$E$2&amp;"&amp;subject="&amp;_xlfn.ENCODEURL("[INVALID] Quality audit monitoring completed for "&amp;UPPER($C757))&amp;"&amp;body="&amp;_xlfn.ENCODEURL("Hi "&amp;$F757&amp;","&amp;CHAR(10)&amp;"Good day!"&amp;CHAR(10)&amp;CHAR(10)&amp;"A quality monitoring audit has been completed for "&amp;$C757&amp;"."&amp;CHAR(10)&amp;CHAR(10)&amp;"QUALITY AUDIT DETAILS"&amp;CHAR(10)&amp;"Agent Name: "&amp;$C757&amp;" (EID "&amp;$D757&amp;")"&amp;CHAR(10)&amp;"Audit Date: "&amp;TEXT($B757,"yyyy-mm-dd")&amp;CHAR(10)&amp;"Team Leader: "&amp;$F757&amp;CHAR(10)&amp;"Case Number: "&amp;$M757&amp;CHAR(10)&amp;"Transaction ID: "&amp;$N757&amp;CHAR(10)&amp;"Channel / LOB: "&amp;$K757&amp;" / "&amp;$L757&amp;CHAR(10)&amp;"Evaluator: "&amp;$S757&amp;CHAR(10)&amp;CHAR(10)&amp;"INVALID QUALITY AUDIT DETAILS"&amp;CHAR(10)&amp;"Validation: Invalid"&amp;CHAR(10)&amp;"Invalid Reason: "&amp;$P757&amp;CHAR(10)&amp;"Expected Resolution Code: "&amp;$Q757&amp;CHAR(10)&amp;"Remarks: "&amp;LEFT($R757,600)&amp;CHAR(10)&amp;CHAR(10)&amp;"This is an automated notification from HP Mainstream EQMS."),"✉ Open Email Draft"),"")</f>
        <v/>
      </c>
    </row>
    <row r="758">
      <c r="A758" s="25">
        <f>IF($C758="","","AUD-2026-"&amp;TEXT(ROW()-1,"000000"))</f>
        <v/>
      </c>
      <c r="B758" s="26" t="n"/>
      <c r="C758" s="27" t="n"/>
      <c r="D758" s="25">
        <f>IF($C758="","",IFERROR(IF(INDEX(Roster!$A:$A,MATCH($C758,Roster!$B:$B,0))="","",INDEX(Roster!$A:$A,MATCH($C758,Roster!$B:$B,0))&amp;""),"—"))</f>
        <v/>
      </c>
      <c r="E758" s="25">
        <f>IF($C758="","",IFERROR(IF(INDEX(Roster!$C:$C,MATCH($C758,Roster!$B:$B,0))="","",INDEX(Roster!$C:$C,MATCH($C758,Roster!$B:$B,0))&amp;""),"—"))</f>
        <v/>
      </c>
      <c r="F758" s="25">
        <f>IF($C758="","",IFERROR(IF(INDEX(Roster!$D:$D,MATCH($C758,Roster!$B:$B,0))="","",INDEX(Roster!$D:$D,MATCH($C758,Roster!$B:$B,0))&amp;""),"—"))</f>
        <v/>
      </c>
      <c r="G758" s="25">
        <f>IF($C758="","",IFERROR(IF(INDEX(Roster!$E:$E,MATCH($C758,Roster!$B:$B,0))="","",INDEX(Roster!$E:$E,MATCH($C758,Roster!$B:$B,0))&amp;""),"—"))</f>
        <v/>
      </c>
      <c r="H758" s="25">
        <f>IF($C758="","",IFERROR(IF(INDEX(Roster!$F:$F,MATCH($C758,Roster!$B:$B,0))="","",INDEX(Roster!$F:$F,MATCH($C758,Roster!$B:$B,0))&amp;""),"—"))</f>
        <v/>
      </c>
      <c r="I758" s="25">
        <f>IF($C758="","",IFERROR(IF(INDEX(Roster!$G:$G,MATCH($C758,Roster!$B:$B,0))="","",INDEX(Roster!$G:$G,MATCH($C758,Roster!$B:$B,0))&amp;""),"—"))</f>
        <v/>
      </c>
      <c r="J758" s="25">
        <f>IF($C758="","",IFERROR(IF(INDEX(Roster!$I:$I,MATCH($C758,Roster!$B:$B,0))="","",INDEX(Roster!$I:$I,MATCH($C758,Roster!$B:$B,0))&amp;""),"—"))</f>
        <v/>
      </c>
      <c r="K758">
        <f>IF($C758="","",IFERROR(IF(INDEX(Roster!$J:$J,MATCH($C758,Roster!$B:$B,0))="","",INDEX(Roster!$J:$J,MATCH($C758,Roster!$B:$B,0))&amp;""),"—"))</f>
        <v/>
      </c>
      <c r="L758">
        <f>IF($C758="","",IFERROR(IF(INDEX(Roster!$K:$K,MATCH($C758,Roster!$B:$B,0))="","",INDEX(Roster!$K:$K,MATCH($C758,Roster!$B:$B,0))&amp;""),"—"))</f>
        <v/>
      </c>
      <c r="M758" s="27" t="n"/>
      <c r="N758" s="27" t="n"/>
      <c r="O758" s="25">
        <f>IF($C758="","",IF($P758="","—",IF($P758="Valid (Pass)","Valid","Invalid")))</f>
        <v/>
      </c>
      <c r="P758" s="27" t="n"/>
      <c r="Q758" s="27" t="n"/>
      <c r="R758" s="27" t="n"/>
      <c r="S758" s="27" t="n"/>
      <c r="T758" s="25">
        <f>IF($C758="","",IF(OR(ISNUMBER(SEARCH("quick case",$P758)),ISNUMBER(SEARCH("quick case",$Q758))),"Yes","No"))</f>
        <v/>
      </c>
      <c r="U758" s="25">
        <f>IF($O758="Invalid",HYPERLINK("mailto:"&amp;$G758&amp;";"&amp;$I758&amp;"?cc="&amp;Lists!$E$2&amp;"&amp;subject="&amp;_xlfn.ENCODEURL("[INVALID] Quality audit monitoring completed for "&amp;UPPER($C758))&amp;"&amp;body="&amp;_xlfn.ENCODEURL("Hi "&amp;$F758&amp;","&amp;CHAR(10)&amp;"Good day!"&amp;CHAR(10)&amp;CHAR(10)&amp;"A quality monitoring audit has been completed for "&amp;$C758&amp;"."&amp;CHAR(10)&amp;CHAR(10)&amp;"QUALITY AUDIT DETAILS"&amp;CHAR(10)&amp;"Agent Name: "&amp;$C758&amp;" (EID "&amp;$D758&amp;")"&amp;CHAR(10)&amp;"Audit Date: "&amp;TEXT($B758,"yyyy-mm-dd")&amp;CHAR(10)&amp;"Team Leader: "&amp;$F758&amp;CHAR(10)&amp;"Case Number: "&amp;$M758&amp;CHAR(10)&amp;"Transaction ID: "&amp;$N758&amp;CHAR(10)&amp;"Channel / LOB: "&amp;$K758&amp;" / "&amp;$L758&amp;CHAR(10)&amp;"Evaluator: "&amp;$S758&amp;CHAR(10)&amp;CHAR(10)&amp;"INVALID QUALITY AUDIT DETAILS"&amp;CHAR(10)&amp;"Validation: Invalid"&amp;CHAR(10)&amp;"Invalid Reason: "&amp;$P758&amp;CHAR(10)&amp;"Expected Resolution Code: "&amp;$Q758&amp;CHAR(10)&amp;"Remarks: "&amp;LEFT($R758,600)&amp;CHAR(10)&amp;CHAR(10)&amp;"This is an automated notification from HP Mainstream EQMS."),"✉ Open Email Draft"),"")</f>
        <v/>
      </c>
    </row>
    <row r="759">
      <c r="A759" s="25">
        <f>IF($C759="","","AUD-2026-"&amp;TEXT(ROW()-1,"000000"))</f>
        <v/>
      </c>
      <c r="B759" s="26" t="n"/>
      <c r="C759" s="27" t="n"/>
      <c r="D759" s="25">
        <f>IF($C759="","",IFERROR(IF(INDEX(Roster!$A:$A,MATCH($C759,Roster!$B:$B,0))="","",INDEX(Roster!$A:$A,MATCH($C759,Roster!$B:$B,0))&amp;""),"—"))</f>
        <v/>
      </c>
      <c r="E759" s="25">
        <f>IF($C759="","",IFERROR(IF(INDEX(Roster!$C:$C,MATCH($C759,Roster!$B:$B,0))="","",INDEX(Roster!$C:$C,MATCH($C759,Roster!$B:$B,0))&amp;""),"—"))</f>
        <v/>
      </c>
      <c r="F759" s="25">
        <f>IF($C759="","",IFERROR(IF(INDEX(Roster!$D:$D,MATCH($C759,Roster!$B:$B,0))="","",INDEX(Roster!$D:$D,MATCH($C759,Roster!$B:$B,0))&amp;""),"—"))</f>
        <v/>
      </c>
      <c r="G759" s="25">
        <f>IF($C759="","",IFERROR(IF(INDEX(Roster!$E:$E,MATCH($C759,Roster!$B:$B,0))="","",INDEX(Roster!$E:$E,MATCH($C759,Roster!$B:$B,0))&amp;""),"—"))</f>
        <v/>
      </c>
      <c r="H759" s="25">
        <f>IF($C759="","",IFERROR(IF(INDEX(Roster!$F:$F,MATCH($C759,Roster!$B:$B,0))="","",INDEX(Roster!$F:$F,MATCH($C759,Roster!$B:$B,0))&amp;""),"—"))</f>
        <v/>
      </c>
      <c r="I759" s="25">
        <f>IF($C759="","",IFERROR(IF(INDEX(Roster!$G:$G,MATCH($C759,Roster!$B:$B,0))="","",INDEX(Roster!$G:$G,MATCH($C759,Roster!$B:$B,0))&amp;""),"—"))</f>
        <v/>
      </c>
      <c r="J759" s="25">
        <f>IF($C759="","",IFERROR(IF(INDEX(Roster!$I:$I,MATCH($C759,Roster!$B:$B,0))="","",INDEX(Roster!$I:$I,MATCH($C759,Roster!$B:$B,0))&amp;""),"—"))</f>
        <v/>
      </c>
      <c r="K759">
        <f>IF($C759="","",IFERROR(IF(INDEX(Roster!$J:$J,MATCH($C759,Roster!$B:$B,0))="","",INDEX(Roster!$J:$J,MATCH($C759,Roster!$B:$B,0))&amp;""),"—"))</f>
        <v/>
      </c>
      <c r="L759">
        <f>IF($C759="","",IFERROR(IF(INDEX(Roster!$K:$K,MATCH($C759,Roster!$B:$B,0))="","",INDEX(Roster!$K:$K,MATCH($C759,Roster!$B:$B,0))&amp;""),"—"))</f>
        <v/>
      </c>
      <c r="M759" s="27" t="n"/>
      <c r="N759" s="27" t="n"/>
      <c r="O759" s="25">
        <f>IF($C759="","",IF($P759="","—",IF($P759="Valid (Pass)","Valid","Invalid")))</f>
        <v/>
      </c>
      <c r="P759" s="27" t="n"/>
      <c r="Q759" s="27" t="n"/>
      <c r="R759" s="27" t="n"/>
      <c r="S759" s="27" t="n"/>
      <c r="T759" s="25">
        <f>IF($C759="","",IF(OR(ISNUMBER(SEARCH("quick case",$P759)),ISNUMBER(SEARCH("quick case",$Q759))),"Yes","No"))</f>
        <v/>
      </c>
      <c r="U759" s="25">
        <f>IF($O759="Invalid",HYPERLINK("mailto:"&amp;$G759&amp;";"&amp;$I759&amp;"?cc="&amp;Lists!$E$2&amp;"&amp;subject="&amp;_xlfn.ENCODEURL("[INVALID] Quality audit monitoring completed for "&amp;UPPER($C759))&amp;"&amp;body="&amp;_xlfn.ENCODEURL("Hi "&amp;$F759&amp;","&amp;CHAR(10)&amp;"Good day!"&amp;CHAR(10)&amp;CHAR(10)&amp;"A quality monitoring audit has been completed for "&amp;$C759&amp;"."&amp;CHAR(10)&amp;CHAR(10)&amp;"QUALITY AUDIT DETAILS"&amp;CHAR(10)&amp;"Agent Name: "&amp;$C759&amp;" (EID "&amp;$D759&amp;")"&amp;CHAR(10)&amp;"Audit Date: "&amp;TEXT($B759,"yyyy-mm-dd")&amp;CHAR(10)&amp;"Team Leader: "&amp;$F759&amp;CHAR(10)&amp;"Case Number: "&amp;$M759&amp;CHAR(10)&amp;"Transaction ID: "&amp;$N759&amp;CHAR(10)&amp;"Channel / LOB: "&amp;$K759&amp;" / "&amp;$L759&amp;CHAR(10)&amp;"Evaluator: "&amp;$S759&amp;CHAR(10)&amp;CHAR(10)&amp;"INVALID QUALITY AUDIT DETAILS"&amp;CHAR(10)&amp;"Validation: Invalid"&amp;CHAR(10)&amp;"Invalid Reason: "&amp;$P759&amp;CHAR(10)&amp;"Expected Resolution Code: "&amp;$Q759&amp;CHAR(10)&amp;"Remarks: "&amp;LEFT($R759,600)&amp;CHAR(10)&amp;CHAR(10)&amp;"This is an automated notification from HP Mainstream EQMS."),"✉ Open Email Draft"),"")</f>
        <v/>
      </c>
    </row>
    <row r="760">
      <c r="A760" s="25">
        <f>IF($C760="","","AUD-2026-"&amp;TEXT(ROW()-1,"000000"))</f>
        <v/>
      </c>
      <c r="B760" s="26" t="n"/>
      <c r="C760" s="27" t="n"/>
      <c r="D760" s="25">
        <f>IF($C760="","",IFERROR(IF(INDEX(Roster!$A:$A,MATCH($C760,Roster!$B:$B,0))="","",INDEX(Roster!$A:$A,MATCH($C760,Roster!$B:$B,0))&amp;""),"—"))</f>
        <v/>
      </c>
      <c r="E760" s="25">
        <f>IF($C760="","",IFERROR(IF(INDEX(Roster!$C:$C,MATCH($C760,Roster!$B:$B,0))="","",INDEX(Roster!$C:$C,MATCH($C760,Roster!$B:$B,0))&amp;""),"—"))</f>
        <v/>
      </c>
      <c r="F760" s="25">
        <f>IF($C760="","",IFERROR(IF(INDEX(Roster!$D:$D,MATCH($C760,Roster!$B:$B,0))="","",INDEX(Roster!$D:$D,MATCH($C760,Roster!$B:$B,0))&amp;""),"—"))</f>
        <v/>
      </c>
      <c r="G760" s="25">
        <f>IF($C760="","",IFERROR(IF(INDEX(Roster!$E:$E,MATCH($C760,Roster!$B:$B,0))="","",INDEX(Roster!$E:$E,MATCH($C760,Roster!$B:$B,0))&amp;""),"—"))</f>
        <v/>
      </c>
      <c r="H760" s="25">
        <f>IF($C760="","",IFERROR(IF(INDEX(Roster!$F:$F,MATCH($C760,Roster!$B:$B,0))="","",INDEX(Roster!$F:$F,MATCH($C760,Roster!$B:$B,0))&amp;""),"—"))</f>
        <v/>
      </c>
      <c r="I760" s="25">
        <f>IF($C760="","",IFERROR(IF(INDEX(Roster!$G:$G,MATCH($C760,Roster!$B:$B,0))="","",INDEX(Roster!$G:$G,MATCH($C760,Roster!$B:$B,0))&amp;""),"—"))</f>
        <v/>
      </c>
      <c r="J760" s="25">
        <f>IF($C760="","",IFERROR(IF(INDEX(Roster!$I:$I,MATCH($C760,Roster!$B:$B,0))="","",INDEX(Roster!$I:$I,MATCH($C760,Roster!$B:$B,0))&amp;""),"—"))</f>
        <v/>
      </c>
      <c r="K760">
        <f>IF($C760="","",IFERROR(IF(INDEX(Roster!$J:$J,MATCH($C760,Roster!$B:$B,0))="","",INDEX(Roster!$J:$J,MATCH($C760,Roster!$B:$B,0))&amp;""),"—"))</f>
        <v/>
      </c>
      <c r="L760">
        <f>IF($C760="","",IFERROR(IF(INDEX(Roster!$K:$K,MATCH($C760,Roster!$B:$B,0))="","",INDEX(Roster!$K:$K,MATCH($C760,Roster!$B:$B,0))&amp;""),"—"))</f>
        <v/>
      </c>
      <c r="M760" s="27" t="n"/>
      <c r="N760" s="27" t="n"/>
      <c r="O760" s="25">
        <f>IF($C760="","",IF($P760="","—",IF($P760="Valid (Pass)","Valid","Invalid")))</f>
        <v/>
      </c>
      <c r="P760" s="27" t="n"/>
      <c r="Q760" s="27" t="n"/>
      <c r="R760" s="27" t="n"/>
      <c r="S760" s="27" t="n"/>
      <c r="T760" s="25">
        <f>IF($C760="","",IF(OR(ISNUMBER(SEARCH("quick case",$P760)),ISNUMBER(SEARCH("quick case",$Q760))),"Yes","No"))</f>
        <v/>
      </c>
      <c r="U760" s="25">
        <f>IF($O760="Invalid",HYPERLINK("mailto:"&amp;$G760&amp;";"&amp;$I760&amp;"?cc="&amp;Lists!$E$2&amp;"&amp;subject="&amp;_xlfn.ENCODEURL("[INVALID] Quality audit monitoring completed for "&amp;UPPER($C760))&amp;"&amp;body="&amp;_xlfn.ENCODEURL("Hi "&amp;$F760&amp;","&amp;CHAR(10)&amp;"Good day!"&amp;CHAR(10)&amp;CHAR(10)&amp;"A quality monitoring audit has been completed for "&amp;$C760&amp;"."&amp;CHAR(10)&amp;CHAR(10)&amp;"QUALITY AUDIT DETAILS"&amp;CHAR(10)&amp;"Agent Name: "&amp;$C760&amp;" (EID "&amp;$D760&amp;")"&amp;CHAR(10)&amp;"Audit Date: "&amp;TEXT($B760,"yyyy-mm-dd")&amp;CHAR(10)&amp;"Team Leader: "&amp;$F760&amp;CHAR(10)&amp;"Case Number: "&amp;$M760&amp;CHAR(10)&amp;"Transaction ID: "&amp;$N760&amp;CHAR(10)&amp;"Channel / LOB: "&amp;$K760&amp;" / "&amp;$L760&amp;CHAR(10)&amp;"Evaluator: "&amp;$S760&amp;CHAR(10)&amp;CHAR(10)&amp;"INVALID QUALITY AUDIT DETAILS"&amp;CHAR(10)&amp;"Validation: Invalid"&amp;CHAR(10)&amp;"Invalid Reason: "&amp;$P760&amp;CHAR(10)&amp;"Expected Resolution Code: "&amp;$Q760&amp;CHAR(10)&amp;"Remarks: "&amp;LEFT($R760,600)&amp;CHAR(10)&amp;CHAR(10)&amp;"This is an automated notification from HP Mainstream EQMS."),"✉ Open Email Draft"),"")</f>
        <v/>
      </c>
    </row>
    <row r="761">
      <c r="A761" s="25">
        <f>IF($C761="","","AUD-2026-"&amp;TEXT(ROW()-1,"000000"))</f>
        <v/>
      </c>
      <c r="B761" s="26" t="n"/>
      <c r="C761" s="27" t="n"/>
      <c r="D761" s="25">
        <f>IF($C761="","",IFERROR(IF(INDEX(Roster!$A:$A,MATCH($C761,Roster!$B:$B,0))="","",INDEX(Roster!$A:$A,MATCH($C761,Roster!$B:$B,0))&amp;""),"—"))</f>
        <v/>
      </c>
      <c r="E761" s="25">
        <f>IF($C761="","",IFERROR(IF(INDEX(Roster!$C:$C,MATCH($C761,Roster!$B:$B,0))="","",INDEX(Roster!$C:$C,MATCH($C761,Roster!$B:$B,0))&amp;""),"—"))</f>
        <v/>
      </c>
      <c r="F761" s="25">
        <f>IF($C761="","",IFERROR(IF(INDEX(Roster!$D:$D,MATCH($C761,Roster!$B:$B,0))="","",INDEX(Roster!$D:$D,MATCH($C761,Roster!$B:$B,0))&amp;""),"—"))</f>
        <v/>
      </c>
      <c r="G761" s="25">
        <f>IF($C761="","",IFERROR(IF(INDEX(Roster!$E:$E,MATCH($C761,Roster!$B:$B,0))="","",INDEX(Roster!$E:$E,MATCH($C761,Roster!$B:$B,0))&amp;""),"—"))</f>
        <v/>
      </c>
      <c r="H761" s="25">
        <f>IF($C761="","",IFERROR(IF(INDEX(Roster!$F:$F,MATCH($C761,Roster!$B:$B,0))="","",INDEX(Roster!$F:$F,MATCH($C761,Roster!$B:$B,0))&amp;""),"—"))</f>
        <v/>
      </c>
      <c r="I761" s="25">
        <f>IF($C761="","",IFERROR(IF(INDEX(Roster!$G:$G,MATCH($C761,Roster!$B:$B,0))="","",INDEX(Roster!$G:$G,MATCH($C761,Roster!$B:$B,0))&amp;""),"—"))</f>
        <v/>
      </c>
      <c r="J761" s="25">
        <f>IF($C761="","",IFERROR(IF(INDEX(Roster!$I:$I,MATCH($C761,Roster!$B:$B,0))="","",INDEX(Roster!$I:$I,MATCH($C761,Roster!$B:$B,0))&amp;""),"—"))</f>
        <v/>
      </c>
      <c r="K761">
        <f>IF($C761="","",IFERROR(IF(INDEX(Roster!$J:$J,MATCH($C761,Roster!$B:$B,0))="","",INDEX(Roster!$J:$J,MATCH($C761,Roster!$B:$B,0))&amp;""),"—"))</f>
        <v/>
      </c>
      <c r="L761">
        <f>IF($C761="","",IFERROR(IF(INDEX(Roster!$K:$K,MATCH($C761,Roster!$B:$B,0))="","",INDEX(Roster!$K:$K,MATCH($C761,Roster!$B:$B,0))&amp;""),"—"))</f>
        <v/>
      </c>
      <c r="M761" s="27" t="n"/>
      <c r="N761" s="27" t="n"/>
      <c r="O761" s="25">
        <f>IF($C761="","",IF($P761="","—",IF($P761="Valid (Pass)","Valid","Invalid")))</f>
        <v/>
      </c>
      <c r="P761" s="27" t="n"/>
      <c r="Q761" s="27" t="n"/>
      <c r="R761" s="27" t="n"/>
      <c r="S761" s="27" t="n"/>
      <c r="T761" s="25">
        <f>IF($C761="","",IF(OR(ISNUMBER(SEARCH("quick case",$P761)),ISNUMBER(SEARCH("quick case",$Q761))),"Yes","No"))</f>
        <v/>
      </c>
      <c r="U761" s="25">
        <f>IF($O761="Invalid",HYPERLINK("mailto:"&amp;$G761&amp;";"&amp;$I761&amp;"?cc="&amp;Lists!$E$2&amp;"&amp;subject="&amp;_xlfn.ENCODEURL("[INVALID] Quality audit monitoring completed for "&amp;UPPER($C761))&amp;"&amp;body="&amp;_xlfn.ENCODEURL("Hi "&amp;$F761&amp;","&amp;CHAR(10)&amp;"Good day!"&amp;CHAR(10)&amp;CHAR(10)&amp;"A quality monitoring audit has been completed for "&amp;$C761&amp;"."&amp;CHAR(10)&amp;CHAR(10)&amp;"QUALITY AUDIT DETAILS"&amp;CHAR(10)&amp;"Agent Name: "&amp;$C761&amp;" (EID "&amp;$D761&amp;")"&amp;CHAR(10)&amp;"Audit Date: "&amp;TEXT($B761,"yyyy-mm-dd")&amp;CHAR(10)&amp;"Team Leader: "&amp;$F761&amp;CHAR(10)&amp;"Case Number: "&amp;$M761&amp;CHAR(10)&amp;"Transaction ID: "&amp;$N761&amp;CHAR(10)&amp;"Channel / LOB: "&amp;$K761&amp;" / "&amp;$L761&amp;CHAR(10)&amp;"Evaluator: "&amp;$S761&amp;CHAR(10)&amp;CHAR(10)&amp;"INVALID QUALITY AUDIT DETAILS"&amp;CHAR(10)&amp;"Validation: Invalid"&amp;CHAR(10)&amp;"Invalid Reason: "&amp;$P761&amp;CHAR(10)&amp;"Expected Resolution Code: "&amp;$Q761&amp;CHAR(10)&amp;"Remarks: "&amp;LEFT($R761,600)&amp;CHAR(10)&amp;CHAR(10)&amp;"This is an automated notification from HP Mainstream EQMS."),"✉ Open Email Draft"),"")</f>
        <v/>
      </c>
    </row>
    <row r="762">
      <c r="A762" s="25">
        <f>IF($C762="","","AUD-2026-"&amp;TEXT(ROW()-1,"000000"))</f>
        <v/>
      </c>
      <c r="B762" s="26" t="n"/>
      <c r="C762" s="27" t="n"/>
      <c r="D762" s="25">
        <f>IF($C762="","",IFERROR(IF(INDEX(Roster!$A:$A,MATCH($C762,Roster!$B:$B,0))="","",INDEX(Roster!$A:$A,MATCH($C762,Roster!$B:$B,0))&amp;""),"—"))</f>
        <v/>
      </c>
      <c r="E762" s="25">
        <f>IF($C762="","",IFERROR(IF(INDEX(Roster!$C:$C,MATCH($C762,Roster!$B:$B,0))="","",INDEX(Roster!$C:$C,MATCH($C762,Roster!$B:$B,0))&amp;""),"—"))</f>
        <v/>
      </c>
      <c r="F762" s="25">
        <f>IF($C762="","",IFERROR(IF(INDEX(Roster!$D:$D,MATCH($C762,Roster!$B:$B,0))="","",INDEX(Roster!$D:$D,MATCH($C762,Roster!$B:$B,0))&amp;""),"—"))</f>
        <v/>
      </c>
      <c r="G762" s="25">
        <f>IF($C762="","",IFERROR(IF(INDEX(Roster!$E:$E,MATCH($C762,Roster!$B:$B,0))="","",INDEX(Roster!$E:$E,MATCH($C762,Roster!$B:$B,0))&amp;""),"—"))</f>
        <v/>
      </c>
      <c r="H762" s="25">
        <f>IF($C762="","",IFERROR(IF(INDEX(Roster!$F:$F,MATCH($C762,Roster!$B:$B,0))="","",INDEX(Roster!$F:$F,MATCH($C762,Roster!$B:$B,0))&amp;""),"—"))</f>
        <v/>
      </c>
      <c r="I762" s="25">
        <f>IF($C762="","",IFERROR(IF(INDEX(Roster!$G:$G,MATCH($C762,Roster!$B:$B,0))="","",INDEX(Roster!$G:$G,MATCH($C762,Roster!$B:$B,0))&amp;""),"—"))</f>
        <v/>
      </c>
      <c r="J762" s="25">
        <f>IF($C762="","",IFERROR(IF(INDEX(Roster!$I:$I,MATCH($C762,Roster!$B:$B,0))="","",INDEX(Roster!$I:$I,MATCH($C762,Roster!$B:$B,0))&amp;""),"—"))</f>
        <v/>
      </c>
      <c r="K762">
        <f>IF($C762="","",IFERROR(IF(INDEX(Roster!$J:$J,MATCH($C762,Roster!$B:$B,0))="","",INDEX(Roster!$J:$J,MATCH($C762,Roster!$B:$B,0))&amp;""),"—"))</f>
        <v/>
      </c>
      <c r="L762">
        <f>IF($C762="","",IFERROR(IF(INDEX(Roster!$K:$K,MATCH($C762,Roster!$B:$B,0))="","",INDEX(Roster!$K:$K,MATCH($C762,Roster!$B:$B,0))&amp;""),"—"))</f>
        <v/>
      </c>
      <c r="M762" s="27" t="n"/>
      <c r="N762" s="27" t="n"/>
      <c r="O762" s="25">
        <f>IF($C762="","",IF($P762="","—",IF($P762="Valid (Pass)","Valid","Invalid")))</f>
        <v/>
      </c>
      <c r="P762" s="27" t="n"/>
      <c r="Q762" s="27" t="n"/>
      <c r="R762" s="27" t="n"/>
      <c r="S762" s="27" t="n"/>
      <c r="T762" s="25">
        <f>IF($C762="","",IF(OR(ISNUMBER(SEARCH("quick case",$P762)),ISNUMBER(SEARCH("quick case",$Q762))),"Yes","No"))</f>
        <v/>
      </c>
      <c r="U762" s="25">
        <f>IF($O762="Invalid",HYPERLINK("mailto:"&amp;$G762&amp;";"&amp;$I762&amp;"?cc="&amp;Lists!$E$2&amp;"&amp;subject="&amp;_xlfn.ENCODEURL("[INVALID] Quality audit monitoring completed for "&amp;UPPER($C762))&amp;"&amp;body="&amp;_xlfn.ENCODEURL("Hi "&amp;$F762&amp;","&amp;CHAR(10)&amp;"Good day!"&amp;CHAR(10)&amp;CHAR(10)&amp;"A quality monitoring audit has been completed for "&amp;$C762&amp;"."&amp;CHAR(10)&amp;CHAR(10)&amp;"QUALITY AUDIT DETAILS"&amp;CHAR(10)&amp;"Agent Name: "&amp;$C762&amp;" (EID "&amp;$D762&amp;")"&amp;CHAR(10)&amp;"Audit Date: "&amp;TEXT($B762,"yyyy-mm-dd")&amp;CHAR(10)&amp;"Team Leader: "&amp;$F762&amp;CHAR(10)&amp;"Case Number: "&amp;$M762&amp;CHAR(10)&amp;"Transaction ID: "&amp;$N762&amp;CHAR(10)&amp;"Channel / LOB: "&amp;$K762&amp;" / "&amp;$L762&amp;CHAR(10)&amp;"Evaluator: "&amp;$S762&amp;CHAR(10)&amp;CHAR(10)&amp;"INVALID QUALITY AUDIT DETAILS"&amp;CHAR(10)&amp;"Validation: Invalid"&amp;CHAR(10)&amp;"Invalid Reason: "&amp;$P762&amp;CHAR(10)&amp;"Expected Resolution Code: "&amp;$Q762&amp;CHAR(10)&amp;"Remarks: "&amp;LEFT($R762,600)&amp;CHAR(10)&amp;CHAR(10)&amp;"This is an automated notification from HP Mainstream EQMS."),"✉ Open Email Draft"),"")</f>
        <v/>
      </c>
    </row>
    <row r="763">
      <c r="A763" s="25">
        <f>IF($C763="","","AUD-2026-"&amp;TEXT(ROW()-1,"000000"))</f>
        <v/>
      </c>
      <c r="B763" s="26" t="n"/>
      <c r="C763" s="27" t="n"/>
      <c r="D763" s="25">
        <f>IF($C763="","",IFERROR(IF(INDEX(Roster!$A:$A,MATCH($C763,Roster!$B:$B,0))="","",INDEX(Roster!$A:$A,MATCH($C763,Roster!$B:$B,0))&amp;""),"—"))</f>
        <v/>
      </c>
      <c r="E763" s="25">
        <f>IF($C763="","",IFERROR(IF(INDEX(Roster!$C:$C,MATCH($C763,Roster!$B:$B,0))="","",INDEX(Roster!$C:$C,MATCH($C763,Roster!$B:$B,0))&amp;""),"—"))</f>
        <v/>
      </c>
      <c r="F763" s="25">
        <f>IF($C763="","",IFERROR(IF(INDEX(Roster!$D:$D,MATCH($C763,Roster!$B:$B,0))="","",INDEX(Roster!$D:$D,MATCH($C763,Roster!$B:$B,0))&amp;""),"—"))</f>
        <v/>
      </c>
      <c r="G763" s="25">
        <f>IF($C763="","",IFERROR(IF(INDEX(Roster!$E:$E,MATCH($C763,Roster!$B:$B,0))="","",INDEX(Roster!$E:$E,MATCH($C763,Roster!$B:$B,0))&amp;""),"—"))</f>
        <v/>
      </c>
      <c r="H763" s="25">
        <f>IF($C763="","",IFERROR(IF(INDEX(Roster!$F:$F,MATCH($C763,Roster!$B:$B,0))="","",INDEX(Roster!$F:$F,MATCH($C763,Roster!$B:$B,0))&amp;""),"—"))</f>
        <v/>
      </c>
      <c r="I763" s="25">
        <f>IF($C763="","",IFERROR(IF(INDEX(Roster!$G:$G,MATCH($C763,Roster!$B:$B,0))="","",INDEX(Roster!$G:$G,MATCH($C763,Roster!$B:$B,0))&amp;""),"—"))</f>
        <v/>
      </c>
      <c r="J763" s="25">
        <f>IF($C763="","",IFERROR(IF(INDEX(Roster!$I:$I,MATCH($C763,Roster!$B:$B,0))="","",INDEX(Roster!$I:$I,MATCH($C763,Roster!$B:$B,0))&amp;""),"—"))</f>
        <v/>
      </c>
      <c r="K763">
        <f>IF($C763="","",IFERROR(IF(INDEX(Roster!$J:$J,MATCH($C763,Roster!$B:$B,0))="","",INDEX(Roster!$J:$J,MATCH($C763,Roster!$B:$B,0))&amp;""),"—"))</f>
        <v/>
      </c>
      <c r="L763">
        <f>IF($C763="","",IFERROR(IF(INDEX(Roster!$K:$K,MATCH($C763,Roster!$B:$B,0))="","",INDEX(Roster!$K:$K,MATCH($C763,Roster!$B:$B,0))&amp;""),"—"))</f>
        <v/>
      </c>
      <c r="M763" s="27" t="n"/>
      <c r="N763" s="27" t="n"/>
      <c r="O763" s="25">
        <f>IF($C763="","",IF($P763="","—",IF($P763="Valid (Pass)","Valid","Invalid")))</f>
        <v/>
      </c>
      <c r="P763" s="27" t="n"/>
      <c r="Q763" s="27" t="n"/>
      <c r="R763" s="27" t="n"/>
      <c r="S763" s="27" t="n"/>
      <c r="T763" s="25">
        <f>IF($C763="","",IF(OR(ISNUMBER(SEARCH("quick case",$P763)),ISNUMBER(SEARCH("quick case",$Q763))),"Yes","No"))</f>
        <v/>
      </c>
      <c r="U763" s="25">
        <f>IF($O763="Invalid",HYPERLINK("mailto:"&amp;$G763&amp;";"&amp;$I763&amp;"?cc="&amp;Lists!$E$2&amp;"&amp;subject="&amp;_xlfn.ENCODEURL("[INVALID] Quality audit monitoring completed for "&amp;UPPER($C763))&amp;"&amp;body="&amp;_xlfn.ENCODEURL("Hi "&amp;$F763&amp;","&amp;CHAR(10)&amp;"Good day!"&amp;CHAR(10)&amp;CHAR(10)&amp;"A quality monitoring audit has been completed for "&amp;$C763&amp;"."&amp;CHAR(10)&amp;CHAR(10)&amp;"QUALITY AUDIT DETAILS"&amp;CHAR(10)&amp;"Agent Name: "&amp;$C763&amp;" (EID "&amp;$D763&amp;")"&amp;CHAR(10)&amp;"Audit Date: "&amp;TEXT($B763,"yyyy-mm-dd")&amp;CHAR(10)&amp;"Team Leader: "&amp;$F763&amp;CHAR(10)&amp;"Case Number: "&amp;$M763&amp;CHAR(10)&amp;"Transaction ID: "&amp;$N763&amp;CHAR(10)&amp;"Channel / LOB: "&amp;$K763&amp;" / "&amp;$L763&amp;CHAR(10)&amp;"Evaluator: "&amp;$S763&amp;CHAR(10)&amp;CHAR(10)&amp;"INVALID QUALITY AUDIT DETAILS"&amp;CHAR(10)&amp;"Validation: Invalid"&amp;CHAR(10)&amp;"Invalid Reason: "&amp;$P763&amp;CHAR(10)&amp;"Expected Resolution Code: "&amp;$Q763&amp;CHAR(10)&amp;"Remarks: "&amp;LEFT($R763,600)&amp;CHAR(10)&amp;CHAR(10)&amp;"This is an automated notification from HP Mainstream EQMS."),"✉ Open Email Draft"),"")</f>
        <v/>
      </c>
    </row>
    <row r="764">
      <c r="A764" s="25">
        <f>IF($C764="","","AUD-2026-"&amp;TEXT(ROW()-1,"000000"))</f>
        <v/>
      </c>
      <c r="B764" s="26" t="n"/>
      <c r="C764" s="27" t="n"/>
      <c r="D764" s="25">
        <f>IF($C764="","",IFERROR(IF(INDEX(Roster!$A:$A,MATCH($C764,Roster!$B:$B,0))="","",INDEX(Roster!$A:$A,MATCH($C764,Roster!$B:$B,0))&amp;""),"—"))</f>
        <v/>
      </c>
      <c r="E764" s="25">
        <f>IF($C764="","",IFERROR(IF(INDEX(Roster!$C:$C,MATCH($C764,Roster!$B:$B,0))="","",INDEX(Roster!$C:$C,MATCH($C764,Roster!$B:$B,0))&amp;""),"—"))</f>
        <v/>
      </c>
      <c r="F764" s="25">
        <f>IF($C764="","",IFERROR(IF(INDEX(Roster!$D:$D,MATCH($C764,Roster!$B:$B,0))="","",INDEX(Roster!$D:$D,MATCH($C764,Roster!$B:$B,0))&amp;""),"—"))</f>
        <v/>
      </c>
      <c r="G764" s="25">
        <f>IF($C764="","",IFERROR(IF(INDEX(Roster!$E:$E,MATCH($C764,Roster!$B:$B,0))="","",INDEX(Roster!$E:$E,MATCH($C764,Roster!$B:$B,0))&amp;""),"—"))</f>
        <v/>
      </c>
      <c r="H764" s="25">
        <f>IF($C764="","",IFERROR(IF(INDEX(Roster!$F:$F,MATCH($C764,Roster!$B:$B,0))="","",INDEX(Roster!$F:$F,MATCH($C764,Roster!$B:$B,0))&amp;""),"—"))</f>
        <v/>
      </c>
      <c r="I764" s="25">
        <f>IF($C764="","",IFERROR(IF(INDEX(Roster!$G:$G,MATCH($C764,Roster!$B:$B,0))="","",INDEX(Roster!$G:$G,MATCH($C764,Roster!$B:$B,0))&amp;""),"—"))</f>
        <v/>
      </c>
      <c r="J764" s="25">
        <f>IF($C764="","",IFERROR(IF(INDEX(Roster!$I:$I,MATCH($C764,Roster!$B:$B,0))="","",INDEX(Roster!$I:$I,MATCH($C764,Roster!$B:$B,0))&amp;""),"—"))</f>
        <v/>
      </c>
      <c r="K764">
        <f>IF($C764="","",IFERROR(IF(INDEX(Roster!$J:$J,MATCH($C764,Roster!$B:$B,0))="","",INDEX(Roster!$J:$J,MATCH($C764,Roster!$B:$B,0))&amp;""),"—"))</f>
        <v/>
      </c>
      <c r="L764">
        <f>IF($C764="","",IFERROR(IF(INDEX(Roster!$K:$K,MATCH($C764,Roster!$B:$B,0))="","",INDEX(Roster!$K:$K,MATCH($C764,Roster!$B:$B,0))&amp;""),"—"))</f>
        <v/>
      </c>
      <c r="M764" s="27" t="n"/>
      <c r="N764" s="27" t="n"/>
      <c r="O764" s="25">
        <f>IF($C764="","",IF($P764="","—",IF($P764="Valid (Pass)","Valid","Invalid")))</f>
        <v/>
      </c>
      <c r="P764" s="27" t="n"/>
      <c r="Q764" s="27" t="n"/>
      <c r="R764" s="27" t="n"/>
      <c r="S764" s="27" t="n"/>
      <c r="T764" s="25">
        <f>IF($C764="","",IF(OR(ISNUMBER(SEARCH("quick case",$P764)),ISNUMBER(SEARCH("quick case",$Q764))),"Yes","No"))</f>
        <v/>
      </c>
      <c r="U764" s="25">
        <f>IF($O764="Invalid",HYPERLINK("mailto:"&amp;$G764&amp;";"&amp;$I764&amp;"?cc="&amp;Lists!$E$2&amp;"&amp;subject="&amp;_xlfn.ENCODEURL("[INVALID] Quality audit monitoring completed for "&amp;UPPER($C764))&amp;"&amp;body="&amp;_xlfn.ENCODEURL("Hi "&amp;$F764&amp;","&amp;CHAR(10)&amp;"Good day!"&amp;CHAR(10)&amp;CHAR(10)&amp;"A quality monitoring audit has been completed for "&amp;$C764&amp;"."&amp;CHAR(10)&amp;CHAR(10)&amp;"QUALITY AUDIT DETAILS"&amp;CHAR(10)&amp;"Agent Name: "&amp;$C764&amp;" (EID "&amp;$D764&amp;")"&amp;CHAR(10)&amp;"Audit Date: "&amp;TEXT($B764,"yyyy-mm-dd")&amp;CHAR(10)&amp;"Team Leader: "&amp;$F764&amp;CHAR(10)&amp;"Case Number: "&amp;$M764&amp;CHAR(10)&amp;"Transaction ID: "&amp;$N764&amp;CHAR(10)&amp;"Channel / LOB: "&amp;$K764&amp;" / "&amp;$L764&amp;CHAR(10)&amp;"Evaluator: "&amp;$S764&amp;CHAR(10)&amp;CHAR(10)&amp;"INVALID QUALITY AUDIT DETAILS"&amp;CHAR(10)&amp;"Validation: Invalid"&amp;CHAR(10)&amp;"Invalid Reason: "&amp;$P764&amp;CHAR(10)&amp;"Expected Resolution Code: "&amp;$Q764&amp;CHAR(10)&amp;"Remarks: "&amp;LEFT($R764,600)&amp;CHAR(10)&amp;CHAR(10)&amp;"This is an automated notification from HP Mainstream EQMS."),"✉ Open Email Draft"),"")</f>
        <v/>
      </c>
    </row>
    <row r="765">
      <c r="A765" s="25">
        <f>IF($C765="","","AUD-2026-"&amp;TEXT(ROW()-1,"000000"))</f>
        <v/>
      </c>
      <c r="B765" s="26" t="n"/>
      <c r="C765" s="27" t="n"/>
      <c r="D765" s="25">
        <f>IF($C765="","",IFERROR(IF(INDEX(Roster!$A:$A,MATCH($C765,Roster!$B:$B,0))="","",INDEX(Roster!$A:$A,MATCH($C765,Roster!$B:$B,0))&amp;""),"—"))</f>
        <v/>
      </c>
      <c r="E765" s="25">
        <f>IF($C765="","",IFERROR(IF(INDEX(Roster!$C:$C,MATCH($C765,Roster!$B:$B,0))="","",INDEX(Roster!$C:$C,MATCH($C765,Roster!$B:$B,0))&amp;""),"—"))</f>
        <v/>
      </c>
      <c r="F765" s="25">
        <f>IF($C765="","",IFERROR(IF(INDEX(Roster!$D:$D,MATCH($C765,Roster!$B:$B,0))="","",INDEX(Roster!$D:$D,MATCH($C765,Roster!$B:$B,0))&amp;""),"—"))</f>
        <v/>
      </c>
      <c r="G765" s="25">
        <f>IF($C765="","",IFERROR(IF(INDEX(Roster!$E:$E,MATCH($C765,Roster!$B:$B,0))="","",INDEX(Roster!$E:$E,MATCH($C765,Roster!$B:$B,0))&amp;""),"—"))</f>
        <v/>
      </c>
      <c r="H765" s="25">
        <f>IF($C765="","",IFERROR(IF(INDEX(Roster!$F:$F,MATCH($C765,Roster!$B:$B,0))="","",INDEX(Roster!$F:$F,MATCH($C765,Roster!$B:$B,0))&amp;""),"—"))</f>
        <v/>
      </c>
      <c r="I765" s="25">
        <f>IF($C765="","",IFERROR(IF(INDEX(Roster!$G:$G,MATCH($C765,Roster!$B:$B,0))="","",INDEX(Roster!$G:$G,MATCH($C765,Roster!$B:$B,0))&amp;""),"—"))</f>
        <v/>
      </c>
      <c r="J765" s="25">
        <f>IF($C765="","",IFERROR(IF(INDEX(Roster!$I:$I,MATCH($C765,Roster!$B:$B,0))="","",INDEX(Roster!$I:$I,MATCH($C765,Roster!$B:$B,0))&amp;""),"—"))</f>
        <v/>
      </c>
      <c r="K765">
        <f>IF($C765="","",IFERROR(IF(INDEX(Roster!$J:$J,MATCH($C765,Roster!$B:$B,0))="","",INDEX(Roster!$J:$J,MATCH($C765,Roster!$B:$B,0))&amp;""),"—"))</f>
        <v/>
      </c>
      <c r="L765">
        <f>IF($C765="","",IFERROR(IF(INDEX(Roster!$K:$K,MATCH($C765,Roster!$B:$B,0))="","",INDEX(Roster!$K:$K,MATCH($C765,Roster!$B:$B,0))&amp;""),"—"))</f>
        <v/>
      </c>
      <c r="M765" s="27" t="n"/>
      <c r="N765" s="27" t="n"/>
      <c r="O765" s="25">
        <f>IF($C765="","",IF($P765="","—",IF($P765="Valid (Pass)","Valid","Invalid")))</f>
        <v/>
      </c>
      <c r="P765" s="27" t="n"/>
      <c r="Q765" s="27" t="n"/>
      <c r="R765" s="27" t="n"/>
      <c r="S765" s="27" t="n"/>
      <c r="T765" s="25">
        <f>IF($C765="","",IF(OR(ISNUMBER(SEARCH("quick case",$P765)),ISNUMBER(SEARCH("quick case",$Q765))),"Yes","No"))</f>
        <v/>
      </c>
      <c r="U765" s="25">
        <f>IF($O765="Invalid",HYPERLINK("mailto:"&amp;$G765&amp;";"&amp;$I765&amp;"?cc="&amp;Lists!$E$2&amp;"&amp;subject="&amp;_xlfn.ENCODEURL("[INVALID] Quality audit monitoring completed for "&amp;UPPER($C765))&amp;"&amp;body="&amp;_xlfn.ENCODEURL("Hi "&amp;$F765&amp;","&amp;CHAR(10)&amp;"Good day!"&amp;CHAR(10)&amp;CHAR(10)&amp;"A quality monitoring audit has been completed for "&amp;$C765&amp;"."&amp;CHAR(10)&amp;CHAR(10)&amp;"QUALITY AUDIT DETAILS"&amp;CHAR(10)&amp;"Agent Name: "&amp;$C765&amp;" (EID "&amp;$D765&amp;")"&amp;CHAR(10)&amp;"Audit Date: "&amp;TEXT($B765,"yyyy-mm-dd")&amp;CHAR(10)&amp;"Team Leader: "&amp;$F765&amp;CHAR(10)&amp;"Case Number: "&amp;$M765&amp;CHAR(10)&amp;"Transaction ID: "&amp;$N765&amp;CHAR(10)&amp;"Channel / LOB: "&amp;$K765&amp;" / "&amp;$L765&amp;CHAR(10)&amp;"Evaluator: "&amp;$S765&amp;CHAR(10)&amp;CHAR(10)&amp;"INVALID QUALITY AUDIT DETAILS"&amp;CHAR(10)&amp;"Validation: Invalid"&amp;CHAR(10)&amp;"Invalid Reason: "&amp;$P765&amp;CHAR(10)&amp;"Expected Resolution Code: "&amp;$Q765&amp;CHAR(10)&amp;"Remarks: "&amp;LEFT($R765,600)&amp;CHAR(10)&amp;CHAR(10)&amp;"This is an automated notification from HP Mainstream EQMS."),"✉ Open Email Draft"),"")</f>
        <v/>
      </c>
    </row>
    <row r="766">
      <c r="A766" s="25">
        <f>IF($C766="","","AUD-2026-"&amp;TEXT(ROW()-1,"000000"))</f>
        <v/>
      </c>
      <c r="B766" s="26" t="n"/>
      <c r="C766" s="27" t="n"/>
      <c r="D766" s="25">
        <f>IF($C766="","",IFERROR(IF(INDEX(Roster!$A:$A,MATCH($C766,Roster!$B:$B,0))="","",INDEX(Roster!$A:$A,MATCH($C766,Roster!$B:$B,0))&amp;""),"—"))</f>
        <v/>
      </c>
      <c r="E766" s="25">
        <f>IF($C766="","",IFERROR(IF(INDEX(Roster!$C:$C,MATCH($C766,Roster!$B:$B,0))="","",INDEX(Roster!$C:$C,MATCH($C766,Roster!$B:$B,0))&amp;""),"—"))</f>
        <v/>
      </c>
      <c r="F766" s="25">
        <f>IF($C766="","",IFERROR(IF(INDEX(Roster!$D:$D,MATCH($C766,Roster!$B:$B,0))="","",INDEX(Roster!$D:$D,MATCH($C766,Roster!$B:$B,0))&amp;""),"—"))</f>
        <v/>
      </c>
      <c r="G766" s="25">
        <f>IF($C766="","",IFERROR(IF(INDEX(Roster!$E:$E,MATCH($C766,Roster!$B:$B,0))="","",INDEX(Roster!$E:$E,MATCH($C766,Roster!$B:$B,0))&amp;""),"—"))</f>
        <v/>
      </c>
      <c r="H766" s="25">
        <f>IF($C766="","",IFERROR(IF(INDEX(Roster!$F:$F,MATCH($C766,Roster!$B:$B,0))="","",INDEX(Roster!$F:$F,MATCH($C766,Roster!$B:$B,0))&amp;""),"—"))</f>
        <v/>
      </c>
      <c r="I766" s="25">
        <f>IF($C766="","",IFERROR(IF(INDEX(Roster!$G:$G,MATCH($C766,Roster!$B:$B,0))="","",INDEX(Roster!$G:$G,MATCH($C766,Roster!$B:$B,0))&amp;""),"—"))</f>
        <v/>
      </c>
      <c r="J766" s="25">
        <f>IF($C766="","",IFERROR(IF(INDEX(Roster!$I:$I,MATCH($C766,Roster!$B:$B,0))="","",INDEX(Roster!$I:$I,MATCH($C766,Roster!$B:$B,0))&amp;""),"—"))</f>
        <v/>
      </c>
      <c r="K766">
        <f>IF($C766="","",IFERROR(IF(INDEX(Roster!$J:$J,MATCH($C766,Roster!$B:$B,0))="","",INDEX(Roster!$J:$J,MATCH($C766,Roster!$B:$B,0))&amp;""),"—"))</f>
        <v/>
      </c>
      <c r="L766">
        <f>IF($C766="","",IFERROR(IF(INDEX(Roster!$K:$K,MATCH($C766,Roster!$B:$B,0))="","",INDEX(Roster!$K:$K,MATCH($C766,Roster!$B:$B,0))&amp;""),"—"))</f>
        <v/>
      </c>
      <c r="M766" s="27" t="n"/>
      <c r="N766" s="27" t="n"/>
      <c r="O766" s="25">
        <f>IF($C766="","",IF($P766="","—",IF($P766="Valid (Pass)","Valid","Invalid")))</f>
        <v/>
      </c>
      <c r="P766" s="27" t="n"/>
      <c r="Q766" s="27" t="n"/>
      <c r="R766" s="27" t="n"/>
      <c r="S766" s="27" t="n"/>
      <c r="T766" s="25">
        <f>IF($C766="","",IF(OR(ISNUMBER(SEARCH("quick case",$P766)),ISNUMBER(SEARCH("quick case",$Q766))),"Yes","No"))</f>
        <v/>
      </c>
      <c r="U766" s="25">
        <f>IF($O766="Invalid",HYPERLINK("mailto:"&amp;$G766&amp;";"&amp;$I766&amp;"?cc="&amp;Lists!$E$2&amp;"&amp;subject="&amp;_xlfn.ENCODEURL("[INVALID] Quality audit monitoring completed for "&amp;UPPER($C766))&amp;"&amp;body="&amp;_xlfn.ENCODEURL("Hi "&amp;$F766&amp;","&amp;CHAR(10)&amp;"Good day!"&amp;CHAR(10)&amp;CHAR(10)&amp;"A quality monitoring audit has been completed for "&amp;$C766&amp;"."&amp;CHAR(10)&amp;CHAR(10)&amp;"QUALITY AUDIT DETAILS"&amp;CHAR(10)&amp;"Agent Name: "&amp;$C766&amp;" (EID "&amp;$D766&amp;")"&amp;CHAR(10)&amp;"Audit Date: "&amp;TEXT($B766,"yyyy-mm-dd")&amp;CHAR(10)&amp;"Team Leader: "&amp;$F766&amp;CHAR(10)&amp;"Case Number: "&amp;$M766&amp;CHAR(10)&amp;"Transaction ID: "&amp;$N766&amp;CHAR(10)&amp;"Channel / LOB: "&amp;$K766&amp;" / "&amp;$L766&amp;CHAR(10)&amp;"Evaluator: "&amp;$S766&amp;CHAR(10)&amp;CHAR(10)&amp;"INVALID QUALITY AUDIT DETAILS"&amp;CHAR(10)&amp;"Validation: Invalid"&amp;CHAR(10)&amp;"Invalid Reason: "&amp;$P766&amp;CHAR(10)&amp;"Expected Resolution Code: "&amp;$Q766&amp;CHAR(10)&amp;"Remarks: "&amp;LEFT($R766,600)&amp;CHAR(10)&amp;CHAR(10)&amp;"This is an automated notification from HP Mainstream EQMS."),"✉ Open Email Draft"),"")</f>
        <v/>
      </c>
    </row>
    <row r="767">
      <c r="A767" s="25">
        <f>IF($C767="","","AUD-2026-"&amp;TEXT(ROW()-1,"000000"))</f>
        <v/>
      </c>
      <c r="B767" s="26" t="n"/>
      <c r="C767" s="27" t="n"/>
      <c r="D767" s="25">
        <f>IF($C767="","",IFERROR(IF(INDEX(Roster!$A:$A,MATCH($C767,Roster!$B:$B,0))="","",INDEX(Roster!$A:$A,MATCH($C767,Roster!$B:$B,0))&amp;""),"—"))</f>
        <v/>
      </c>
      <c r="E767" s="25">
        <f>IF($C767="","",IFERROR(IF(INDEX(Roster!$C:$C,MATCH($C767,Roster!$B:$B,0))="","",INDEX(Roster!$C:$C,MATCH($C767,Roster!$B:$B,0))&amp;""),"—"))</f>
        <v/>
      </c>
      <c r="F767" s="25">
        <f>IF($C767="","",IFERROR(IF(INDEX(Roster!$D:$D,MATCH($C767,Roster!$B:$B,0))="","",INDEX(Roster!$D:$D,MATCH($C767,Roster!$B:$B,0))&amp;""),"—"))</f>
        <v/>
      </c>
      <c r="G767" s="25">
        <f>IF($C767="","",IFERROR(IF(INDEX(Roster!$E:$E,MATCH($C767,Roster!$B:$B,0))="","",INDEX(Roster!$E:$E,MATCH($C767,Roster!$B:$B,0))&amp;""),"—"))</f>
        <v/>
      </c>
      <c r="H767" s="25">
        <f>IF($C767="","",IFERROR(IF(INDEX(Roster!$F:$F,MATCH($C767,Roster!$B:$B,0))="","",INDEX(Roster!$F:$F,MATCH($C767,Roster!$B:$B,0))&amp;""),"—"))</f>
        <v/>
      </c>
      <c r="I767" s="25">
        <f>IF($C767="","",IFERROR(IF(INDEX(Roster!$G:$G,MATCH($C767,Roster!$B:$B,0))="","",INDEX(Roster!$G:$G,MATCH($C767,Roster!$B:$B,0))&amp;""),"—"))</f>
        <v/>
      </c>
      <c r="J767" s="25">
        <f>IF($C767="","",IFERROR(IF(INDEX(Roster!$I:$I,MATCH($C767,Roster!$B:$B,0))="","",INDEX(Roster!$I:$I,MATCH($C767,Roster!$B:$B,0))&amp;""),"—"))</f>
        <v/>
      </c>
      <c r="K767">
        <f>IF($C767="","",IFERROR(IF(INDEX(Roster!$J:$J,MATCH($C767,Roster!$B:$B,0))="","",INDEX(Roster!$J:$J,MATCH($C767,Roster!$B:$B,0))&amp;""),"—"))</f>
        <v/>
      </c>
      <c r="L767">
        <f>IF($C767="","",IFERROR(IF(INDEX(Roster!$K:$K,MATCH($C767,Roster!$B:$B,0))="","",INDEX(Roster!$K:$K,MATCH($C767,Roster!$B:$B,0))&amp;""),"—"))</f>
        <v/>
      </c>
      <c r="M767" s="27" t="n"/>
      <c r="N767" s="27" t="n"/>
      <c r="O767" s="25">
        <f>IF($C767="","",IF($P767="","—",IF($P767="Valid (Pass)","Valid","Invalid")))</f>
        <v/>
      </c>
      <c r="P767" s="27" t="n"/>
      <c r="Q767" s="27" t="n"/>
      <c r="R767" s="27" t="n"/>
      <c r="S767" s="27" t="n"/>
      <c r="T767" s="25">
        <f>IF($C767="","",IF(OR(ISNUMBER(SEARCH("quick case",$P767)),ISNUMBER(SEARCH("quick case",$Q767))),"Yes","No"))</f>
        <v/>
      </c>
      <c r="U767" s="25">
        <f>IF($O767="Invalid",HYPERLINK("mailto:"&amp;$G767&amp;";"&amp;$I767&amp;"?cc="&amp;Lists!$E$2&amp;"&amp;subject="&amp;_xlfn.ENCODEURL("[INVALID] Quality audit monitoring completed for "&amp;UPPER($C767))&amp;"&amp;body="&amp;_xlfn.ENCODEURL("Hi "&amp;$F767&amp;","&amp;CHAR(10)&amp;"Good day!"&amp;CHAR(10)&amp;CHAR(10)&amp;"A quality monitoring audit has been completed for "&amp;$C767&amp;"."&amp;CHAR(10)&amp;CHAR(10)&amp;"QUALITY AUDIT DETAILS"&amp;CHAR(10)&amp;"Agent Name: "&amp;$C767&amp;" (EID "&amp;$D767&amp;")"&amp;CHAR(10)&amp;"Audit Date: "&amp;TEXT($B767,"yyyy-mm-dd")&amp;CHAR(10)&amp;"Team Leader: "&amp;$F767&amp;CHAR(10)&amp;"Case Number: "&amp;$M767&amp;CHAR(10)&amp;"Transaction ID: "&amp;$N767&amp;CHAR(10)&amp;"Channel / LOB: "&amp;$K767&amp;" / "&amp;$L767&amp;CHAR(10)&amp;"Evaluator: "&amp;$S767&amp;CHAR(10)&amp;CHAR(10)&amp;"INVALID QUALITY AUDIT DETAILS"&amp;CHAR(10)&amp;"Validation: Invalid"&amp;CHAR(10)&amp;"Invalid Reason: "&amp;$P767&amp;CHAR(10)&amp;"Expected Resolution Code: "&amp;$Q767&amp;CHAR(10)&amp;"Remarks: "&amp;LEFT($R767,600)&amp;CHAR(10)&amp;CHAR(10)&amp;"This is an automated notification from HP Mainstream EQMS."),"✉ Open Email Draft"),"")</f>
        <v/>
      </c>
    </row>
    <row r="768">
      <c r="A768" s="25">
        <f>IF($C768="","","AUD-2026-"&amp;TEXT(ROW()-1,"000000"))</f>
        <v/>
      </c>
      <c r="B768" s="26" t="n"/>
      <c r="C768" s="27" t="n"/>
      <c r="D768" s="25">
        <f>IF($C768="","",IFERROR(IF(INDEX(Roster!$A:$A,MATCH($C768,Roster!$B:$B,0))="","",INDEX(Roster!$A:$A,MATCH($C768,Roster!$B:$B,0))&amp;""),"—"))</f>
        <v/>
      </c>
      <c r="E768" s="25">
        <f>IF($C768="","",IFERROR(IF(INDEX(Roster!$C:$C,MATCH($C768,Roster!$B:$B,0))="","",INDEX(Roster!$C:$C,MATCH($C768,Roster!$B:$B,0))&amp;""),"—"))</f>
        <v/>
      </c>
      <c r="F768" s="25">
        <f>IF($C768="","",IFERROR(IF(INDEX(Roster!$D:$D,MATCH($C768,Roster!$B:$B,0))="","",INDEX(Roster!$D:$D,MATCH($C768,Roster!$B:$B,0))&amp;""),"—"))</f>
        <v/>
      </c>
      <c r="G768" s="25">
        <f>IF($C768="","",IFERROR(IF(INDEX(Roster!$E:$E,MATCH($C768,Roster!$B:$B,0))="","",INDEX(Roster!$E:$E,MATCH($C768,Roster!$B:$B,0))&amp;""),"—"))</f>
        <v/>
      </c>
      <c r="H768" s="25">
        <f>IF($C768="","",IFERROR(IF(INDEX(Roster!$F:$F,MATCH($C768,Roster!$B:$B,0))="","",INDEX(Roster!$F:$F,MATCH($C768,Roster!$B:$B,0))&amp;""),"—"))</f>
        <v/>
      </c>
      <c r="I768" s="25">
        <f>IF($C768="","",IFERROR(IF(INDEX(Roster!$G:$G,MATCH($C768,Roster!$B:$B,0))="","",INDEX(Roster!$G:$G,MATCH($C768,Roster!$B:$B,0))&amp;""),"—"))</f>
        <v/>
      </c>
      <c r="J768" s="25">
        <f>IF($C768="","",IFERROR(IF(INDEX(Roster!$I:$I,MATCH($C768,Roster!$B:$B,0))="","",INDEX(Roster!$I:$I,MATCH($C768,Roster!$B:$B,0))&amp;""),"—"))</f>
        <v/>
      </c>
      <c r="K768">
        <f>IF($C768="","",IFERROR(IF(INDEX(Roster!$J:$J,MATCH($C768,Roster!$B:$B,0))="","",INDEX(Roster!$J:$J,MATCH($C768,Roster!$B:$B,0))&amp;""),"—"))</f>
        <v/>
      </c>
      <c r="L768">
        <f>IF($C768="","",IFERROR(IF(INDEX(Roster!$K:$K,MATCH($C768,Roster!$B:$B,0))="","",INDEX(Roster!$K:$K,MATCH($C768,Roster!$B:$B,0))&amp;""),"—"))</f>
        <v/>
      </c>
      <c r="M768" s="27" t="n"/>
      <c r="N768" s="27" t="n"/>
      <c r="O768" s="25">
        <f>IF($C768="","",IF($P768="","—",IF($P768="Valid (Pass)","Valid","Invalid")))</f>
        <v/>
      </c>
      <c r="P768" s="27" t="n"/>
      <c r="Q768" s="27" t="n"/>
      <c r="R768" s="27" t="n"/>
      <c r="S768" s="27" t="n"/>
      <c r="T768" s="25">
        <f>IF($C768="","",IF(OR(ISNUMBER(SEARCH("quick case",$P768)),ISNUMBER(SEARCH("quick case",$Q768))),"Yes","No"))</f>
        <v/>
      </c>
      <c r="U768" s="25">
        <f>IF($O768="Invalid",HYPERLINK("mailto:"&amp;$G768&amp;";"&amp;$I768&amp;"?cc="&amp;Lists!$E$2&amp;"&amp;subject="&amp;_xlfn.ENCODEURL("[INVALID] Quality audit monitoring completed for "&amp;UPPER($C768))&amp;"&amp;body="&amp;_xlfn.ENCODEURL("Hi "&amp;$F768&amp;","&amp;CHAR(10)&amp;"Good day!"&amp;CHAR(10)&amp;CHAR(10)&amp;"A quality monitoring audit has been completed for "&amp;$C768&amp;"."&amp;CHAR(10)&amp;CHAR(10)&amp;"QUALITY AUDIT DETAILS"&amp;CHAR(10)&amp;"Agent Name: "&amp;$C768&amp;" (EID "&amp;$D768&amp;")"&amp;CHAR(10)&amp;"Audit Date: "&amp;TEXT($B768,"yyyy-mm-dd")&amp;CHAR(10)&amp;"Team Leader: "&amp;$F768&amp;CHAR(10)&amp;"Case Number: "&amp;$M768&amp;CHAR(10)&amp;"Transaction ID: "&amp;$N768&amp;CHAR(10)&amp;"Channel / LOB: "&amp;$K768&amp;" / "&amp;$L768&amp;CHAR(10)&amp;"Evaluator: "&amp;$S768&amp;CHAR(10)&amp;CHAR(10)&amp;"INVALID QUALITY AUDIT DETAILS"&amp;CHAR(10)&amp;"Validation: Invalid"&amp;CHAR(10)&amp;"Invalid Reason: "&amp;$P768&amp;CHAR(10)&amp;"Expected Resolution Code: "&amp;$Q768&amp;CHAR(10)&amp;"Remarks: "&amp;LEFT($R768,600)&amp;CHAR(10)&amp;CHAR(10)&amp;"This is an automated notification from HP Mainstream EQMS."),"✉ Open Email Draft"),"")</f>
        <v/>
      </c>
    </row>
    <row r="769">
      <c r="A769" s="25">
        <f>IF($C769="","","AUD-2026-"&amp;TEXT(ROW()-1,"000000"))</f>
        <v/>
      </c>
      <c r="B769" s="26" t="n"/>
      <c r="C769" s="27" t="n"/>
      <c r="D769" s="25">
        <f>IF($C769="","",IFERROR(IF(INDEX(Roster!$A:$A,MATCH($C769,Roster!$B:$B,0))="","",INDEX(Roster!$A:$A,MATCH($C769,Roster!$B:$B,0))&amp;""),"—"))</f>
        <v/>
      </c>
      <c r="E769" s="25">
        <f>IF($C769="","",IFERROR(IF(INDEX(Roster!$C:$C,MATCH($C769,Roster!$B:$B,0))="","",INDEX(Roster!$C:$C,MATCH($C769,Roster!$B:$B,0))&amp;""),"—"))</f>
        <v/>
      </c>
      <c r="F769" s="25">
        <f>IF($C769="","",IFERROR(IF(INDEX(Roster!$D:$D,MATCH($C769,Roster!$B:$B,0))="","",INDEX(Roster!$D:$D,MATCH($C769,Roster!$B:$B,0))&amp;""),"—"))</f>
        <v/>
      </c>
      <c r="G769" s="25">
        <f>IF($C769="","",IFERROR(IF(INDEX(Roster!$E:$E,MATCH($C769,Roster!$B:$B,0))="","",INDEX(Roster!$E:$E,MATCH($C769,Roster!$B:$B,0))&amp;""),"—"))</f>
        <v/>
      </c>
      <c r="H769" s="25">
        <f>IF($C769="","",IFERROR(IF(INDEX(Roster!$F:$F,MATCH($C769,Roster!$B:$B,0))="","",INDEX(Roster!$F:$F,MATCH($C769,Roster!$B:$B,0))&amp;""),"—"))</f>
        <v/>
      </c>
      <c r="I769" s="25">
        <f>IF($C769="","",IFERROR(IF(INDEX(Roster!$G:$G,MATCH($C769,Roster!$B:$B,0))="","",INDEX(Roster!$G:$G,MATCH($C769,Roster!$B:$B,0))&amp;""),"—"))</f>
        <v/>
      </c>
      <c r="J769" s="25">
        <f>IF($C769="","",IFERROR(IF(INDEX(Roster!$I:$I,MATCH($C769,Roster!$B:$B,0))="","",INDEX(Roster!$I:$I,MATCH($C769,Roster!$B:$B,0))&amp;""),"—"))</f>
        <v/>
      </c>
      <c r="K769">
        <f>IF($C769="","",IFERROR(IF(INDEX(Roster!$J:$J,MATCH($C769,Roster!$B:$B,0))="","",INDEX(Roster!$J:$J,MATCH($C769,Roster!$B:$B,0))&amp;""),"—"))</f>
        <v/>
      </c>
      <c r="L769">
        <f>IF($C769="","",IFERROR(IF(INDEX(Roster!$K:$K,MATCH($C769,Roster!$B:$B,0))="","",INDEX(Roster!$K:$K,MATCH($C769,Roster!$B:$B,0))&amp;""),"—"))</f>
        <v/>
      </c>
      <c r="M769" s="27" t="n"/>
      <c r="N769" s="27" t="n"/>
      <c r="O769" s="25">
        <f>IF($C769="","",IF($P769="","—",IF($P769="Valid (Pass)","Valid","Invalid")))</f>
        <v/>
      </c>
      <c r="P769" s="27" t="n"/>
      <c r="Q769" s="27" t="n"/>
      <c r="R769" s="27" t="n"/>
      <c r="S769" s="27" t="n"/>
      <c r="T769" s="25">
        <f>IF($C769="","",IF(OR(ISNUMBER(SEARCH("quick case",$P769)),ISNUMBER(SEARCH("quick case",$Q769))),"Yes","No"))</f>
        <v/>
      </c>
      <c r="U769" s="25">
        <f>IF($O769="Invalid",HYPERLINK("mailto:"&amp;$G769&amp;";"&amp;$I769&amp;"?cc="&amp;Lists!$E$2&amp;"&amp;subject="&amp;_xlfn.ENCODEURL("[INVALID] Quality audit monitoring completed for "&amp;UPPER($C769))&amp;"&amp;body="&amp;_xlfn.ENCODEURL("Hi "&amp;$F769&amp;","&amp;CHAR(10)&amp;"Good day!"&amp;CHAR(10)&amp;CHAR(10)&amp;"A quality monitoring audit has been completed for "&amp;$C769&amp;"."&amp;CHAR(10)&amp;CHAR(10)&amp;"QUALITY AUDIT DETAILS"&amp;CHAR(10)&amp;"Agent Name: "&amp;$C769&amp;" (EID "&amp;$D769&amp;")"&amp;CHAR(10)&amp;"Audit Date: "&amp;TEXT($B769,"yyyy-mm-dd")&amp;CHAR(10)&amp;"Team Leader: "&amp;$F769&amp;CHAR(10)&amp;"Case Number: "&amp;$M769&amp;CHAR(10)&amp;"Transaction ID: "&amp;$N769&amp;CHAR(10)&amp;"Channel / LOB: "&amp;$K769&amp;" / "&amp;$L769&amp;CHAR(10)&amp;"Evaluator: "&amp;$S769&amp;CHAR(10)&amp;CHAR(10)&amp;"INVALID QUALITY AUDIT DETAILS"&amp;CHAR(10)&amp;"Validation: Invalid"&amp;CHAR(10)&amp;"Invalid Reason: "&amp;$P769&amp;CHAR(10)&amp;"Expected Resolution Code: "&amp;$Q769&amp;CHAR(10)&amp;"Remarks: "&amp;LEFT($R769,600)&amp;CHAR(10)&amp;CHAR(10)&amp;"This is an automated notification from HP Mainstream EQMS."),"✉ Open Email Draft"),"")</f>
        <v/>
      </c>
    </row>
    <row r="770">
      <c r="A770" s="25">
        <f>IF($C770="","","AUD-2026-"&amp;TEXT(ROW()-1,"000000"))</f>
        <v/>
      </c>
      <c r="B770" s="26" t="n"/>
      <c r="C770" s="27" t="n"/>
      <c r="D770" s="25">
        <f>IF($C770="","",IFERROR(IF(INDEX(Roster!$A:$A,MATCH($C770,Roster!$B:$B,0))="","",INDEX(Roster!$A:$A,MATCH($C770,Roster!$B:$B,0))&amp;""),"—"))</f>
        <v/>
      </c>
      <c r="E770" s="25">
        <f>IF($C770="","",IFERROR(IF(INDEX(Roster!$C:$C,MATCH($C770,Roster!$B:$B,0))="","",INDEX(Roster!$C:$C,MATCH($C770,Roster!$B:$B,0))&amp;""),"—"))</f>
        <v/>
      </c>
      <c r="F770" s="25">
        <f>IF($C770="","",IFERROR(IF(INDEX(Roster!$D:$D,MATCH($C770,Roster!$B:$B,0))="","",INDEX(Roster!$D:$D,MATCH($C770,Roster!$B:$B,0))&amp;""),"—"))</f>
        <v/>
      </c>
      <c r="G770" s="25">
        <f>IF($C770="","",IFERROR(IF(INDEX(Roster!$E:$E,MATCH($C770,Roster!$B:$B,0))="","",INDEX(Roster!$E:$E,MATCH($C770,Roster!$B:$B,0))&amp;""),"—"))</f>
        <v/>
      </c>
      <c r="H770" s="25">
        <f>IF($C770="","",IFERROR(IF(INDEX(Roster!$F:$F,MATCH($C770,Roster!$B:$B,0))="","",INDEX(Roster!$F:$F,MATCH($C770,Roster!$B:$B,0))&amp;""),"—"))</f>
        <v/>
      </c>
      <c r="I770" s="25">
        <f>IF($C770="","",IFERROR(IF(INDEX(Roster!$G:$G,MATCH($C770,Roster!$B:$B,0))="","",INDEX(Roster!$G:$G,MATCH($C770,Roster!$B:$B,0))&amp;""),"—"))</f>
        <v/>
      </c>
      <c r="J770" s="25">
        <f>IF($C770="","",IFERROR(IF(INDEX(Roster!$I:$I,MATCH($C770,Roster!$B:$B,0))="","",INDEX(Roster!$I:$I,MATCH($C770,Roster!$B:$B,0))&amp;""),"—"))</f>
        <v/>
      </c>
      <c r="K770">
        <f>IF($C770="","",IFERROR(IF(INDEX(Roster!$J:$J,MATCH($C770,Roster!$B:$B,0))="","",INDEX(Roster!$J:$J,MATCH($C770,Roster!$B:$B,0))&amp;""),"—"))</f>
        <v/>
      </c>
      <c r="L770">
        <f>IF($C770="","",IFERROR(IF(INDEX(Roster!$K:$K,MATCH($C770,Roster!$B:$B,0))="","",INDEX(Roster!$K:$K,MATCH($C770,Roster!$B:$B,0))&amp;""),"—"))</f>
        <v/>
      </c>
      <c r="M770" s="27" t="n"/>
      <c r="N770" s="27" t="n"/>
      <c r="O770" s="25">
        <f>IF($C770="","",IF($P770="","—",IF($P770="Valid (Pass)","Valid","Invalid")))</f>
        <v/>
      </c>
      <c r="P770" s="27" t="n"/>
      <c r="Q770" s="27" t="n"/>
      <c r="R770" s="27" t="n"/>
      <c r="S770" s="27" t="n"/>
      <c r="T770" s="25">
        <f>IF($C770="","",IF(OR(ISNUMBER(SEARCH("quick case",$P770)),ISNUMBER(SEARCH("quick case",$Q770))),"Yes","No"))</f>
        <v/>
      </c>
      <c r="U770" s="25">
        <f>IF($O770="Invalid",HYPERLINK("mailto:"&amp;$G770&amp;";"&amp;$I770&amp;"?cc="&amp;Lists!$E$2&amp;"&amp;subject="&amp;_xlfn.ENCODEURL("[INVALID] Quality audit monitoring completed for "&amp;UPPER($C770))&amp;"&amp;body="&amp;_xlfn.ENCODEURL("Hi "&amp;$F770&amp;","&amp;CHAR(10)&amp;"Good day!"&amp;CHAR(10)&amp;CHAR(10)&amp;"A quality monitoring audit has been completed for "&amp;$C770&amp;"."&amp;CHAR(10)&amp;CHAR(10)&amp;"QUALITY AUDIT DETAILS"&amp;CHAR(10)&amp;"Agent Name: "&amp;$C770&amp;" (EID "&amp;$D770&amp;")"&amp;CHAR(10)&amp;"Audit Date: "&amp;TEXT($B770,"yyyy-mm-dd")&amp;CHAR(10)&amp;"Team Leader: "&amp;$F770&amp;CHAR(10)&amp;"Case Number: "&amp;$M770&amp;CHAR(10)&amp;"Transaction ID: "&amp;$N770&amp;CHAR(10)&amp;"Channel / LOB: "&amp;$K770&amp;" / "&amp;$L770&amp;CHAR(10)&amp;"Evaluator: "&amp;$S770&amp;CHAR(10)&amp;CHAR(10)&amp;"INVALID QUALITY AUDIT DETAILS"&amp;CHAR(10)&amp;"Validation: Invalid"&amp;CHAR(10)&amp;"Invalid Reason: "&amp;$P770&amp;CHAR(10)&amp;"Expected Resolution Code: "&amp;$Q770&amp;CHAR(10)&amp;"Remarks: "&amp;LEFT($R770,600)&amp;CHAR(10)&amp;CHAR(10)&amp;"This is an automated notification from HP Mainstream EQMS."),"✉ Open Email Draft"),"")</f>
        <v/>
      </c>
    </row>
    <row r="771">
      <c r="A771" s="25">
        <f>IF($C771="","","AUD-2026-"&amp;TEXT(ROW()-1,"000000"))</f>
        <v/>
      </c>
      <c r="B771" s="26" t="n"/>
      <c r="C771" s="27" t="n"/>
      <c r="D771" s="25">
        <f>IF($C771="","",IFERROR(IF(INDEX(Roster!$A:$A,MATCH($C771,Roster!$B:$B,0))="","",INDEX(Roster!$A:$A,MATCH($C771,Roster!$B:$B,0))&amp;""),"—"))</f>
        <v/>
      </c>
      <c r="E771" s="25">
        <f>IF($C771="","",IFERROR(IF(INDEX(Roster!$C:$C,MATCH($C771,Roster!$B:$B,0))="","",INDEX(Roster!$C:$C,MATCH($C771,Roster!$B:$B,0))&amp;""),"—"))</f>
        <v/>
      </c>
      <c r="F771" s="25">
        <f>IF($C771="","",IFERROR(IF(INDEX(Roster!$D:$D,MATCH($C771,Roster!$B:$B,0))="","",INDEX(Roster!$D:$D,MATCH($C771,Roster!$B:$B,0))&amp;""),"—"))</f>
        <v/>
      </c>
      <c r="G771" s="25">
        <f>IF($C771="","",IFERROR(IF(INDEX(Roster!$E:$E,MATCH($C771,Roster!$B:$B,0))="","",INDEX(Roster!$E:$E,MATCH($C771,Roster!$B:$B,0))&amp;""),"—"))</f>
        <v/>
      </c>
      <c r="H771" s="25">
        <f>IF($C771="","",IFERROR(IF(INDEX(Roster!$F:$F,MATCH($C771,Roster!$B:$B,0))="","",INDEX(Roster!$F:$F,MATCH($C771,Roster!$B:$B,0))&amp;""),"—"))</f>
        <v/>
      </c>
      <c r="I771" s="25">
        <f>IF($C771="","",IFERROR(IF(INDEX(Roster!$G:$G,MATCH($C771,Roster!$B:$B,0))="","",INDEX(Roster!$G:$G,MATCH($C771,Roster!$B:$B,0))&amp;""),"—"))</f>
        <v/>
      </c>
      <c r="J771" s="25">
        <f>IF($C771="","",IFERROR(IF(INDEX(Roster!$I:$I,MATCH($C771,Roster!$B:$B,0))="","",INDEX(Roster!$I:$I,MATCH($C771,Roster!$B:$B,0))&amp;""),"—"))</f>
        <v/>
      </c>
      <c r="K771">
        <f>IF($C771="","",IFERROR(IF(INDEX(Roster!$J:$J,MATCH($C771,Roster!$B:$B,0))="","",INDEX(Roster!$J:$J,MATCH($C771,Roster!$B:$B,0))&amp;""),"—"))</f>
        <v/>
      </c>
      <c r="L771">
        <f>IF($C771="","",IFERROR(IF(INDEX(Roster!$K:$K,MATCH($C771,Roster!$B:$B,0))="","",INDEX(Roster!$K:$K,MATCH($C771,Roster!$B:$B,0))&amp;""),"—"))</f>
        <v/>
      </c>
      <c r="M771" s="27" t="n"/>
      <c r="N771" s="27" t="n"/>
      <c r="O771" s="25">
        <f>IF($C771="","",IF($P771="","—",IF($P771="Valid (Pass)","Valid","Invalid")))</f>
        <v/>
      </c>
      <c r="P771" s="27" t="n"/>
      <c r="Q771" s="27" t="n"/>
      <c r="R771" s="27" t="n"/>
      <c r="S771" s="27" t="n"/>
      <c r="T771" s="25">
        <f>IF($C771="","",IF(OR(ISNUMBER(SEARCH("quick case",$P771)),ISNUMBER(SEARCH("quick case",$Q771))),"Yes","No"))</f>
        <v/>
      </c>
      <c r="U771" s="25">
        <f>IF($O771="Invalid",HYPERLINK("mailto:"&amp;$G771&amp;";"&amp;$I771&amp;"?cc="&amp;Lists!$E$2&amp;"&amp;subject="&amp;_xlfn.ENCODEURL("[INVALID] Quality audit monitoring completed for "&amp;UPPER($C771))&amp;"&amp;body="&amp;_xlfn.ENCODEURL("Hi "&amp;$F771&amp;","&amp;CHAR(10)&amp;"Good day!"&amp;CHAR(10)&amp;CHAR(10)&amp;"A quality monitoring audit has been completed for "&amp;$C771&amp;"."&amp;CHAR(10)&amp;CHAR(10)&amp;"QUALITY AUDIT DETAILS"&amp;CHAR(10)&amp;"Agent Name: "&amp;$C771&amp;" (EID "&amp;$D771&amp;")"&amp;CHAR(10)&amp;"Audit Date: "&amp;TEXT($B771,"yyyy-mm-dd")&amp;CHAR(10)&amp;"Team Leader: "&amp;$F771&amp;CHAR(10)&amp;"Case Number: "&amp;$M771&amp;CHAR(10)&amp;"Transaction ID: "&amp;$N771&amp;CHAR(10)&amp;"Channel / LOB: "&amp;$K771&amp;" / "&amp;$L771&amp;CHAR(10)&amp;"Evaluator: "&amp;$S771&amp;CHAR(10)&amp;CHAR(10)&amp;"INVALID QUALITY AUDIT DETAILS"&amp;CHAR(10)&amp;"Validation: Invalid"&amp;CHAR(10)&amp;"Invalid Reason: "&amp;$P771&amp;CHAR(10)&amp;"Expected Resolution Code: "&amp;$Q771&amp;CHAR(10)&amp;"Remarks: "&amp;LEFT($R771,600)&amp;CHAR(10)&amp;CHAR(10)&amp;"This is an automated notification from HP Mainstream EQMS."),"✉ Open Email Draft"),"")</f>
        <v/>
      </c>
    </row>
    <row r="772">
      <c r="A772" s="25">
        <f>IF($C772="","","AUD-2026-"&amp;TEXT(ROW()-1,"000000"))</f>
        <v/>
      </c>
      <c r="B772" s="26" t="n"/>
      <c r="C772" s="27" t="n"/>
      <c r="D772" s="25">
        <f>IF($C772="","",IFERROR(IF(INDEX(Roster!$A:$A,MATCH($C772,Roster!$B:$B,0))="","",INDEX(Roster!$A:$A,MATCH($C772,Roster!$B:$B,0))&amp;""),"—"))</f>
        <v/>
      </c>
      <c r="E772" s="25">
        <f>IF($C772="","",IFERROR(IF(INDEX(Roster!$C:$C,MATCH($C772,Roster!$B:$B,0))="","",INDEX(Roster!$C:$C,MATCH($C772,Roster!$B:$B,0))&amp;""),"—"))</f>
        <v/>
      </c>
      <c r="F772" s="25">
        <f>IF($C772="","",IFERROR(IF(INDEX(Roster!$D:$D,MATCH($C772,Roster!$B:$B,0))="","",INDEX(Roster!$D:$D,MATCH($C772,Roster!$B:$B,0))&amp;""),"—"))</f>
        <v/>
      </c>
      <c r="G772" s="25">
        <f>IF($C772="","",IFERROR(IF(INDEX(Roster!$E:$E,MATCH($C772,Roster!$B:$B,0))="","",INDEX(Roster!$E:$E,MATCH($C772,Roster!$B:$B,0))&amp;""),"—"))</f>
        <v/>
      </c>
      <c r="H772" s="25">
        <f>IF($C772="","",IFERROR(IF(INDEX(Roster!$F:$F,MATCH($C772,Roster!$B:$B,0))="","",INDEX(Roster!$F:$F,MATCH($C772,Roster!$B:$B,0))&amp;""),"—"))</f>
        <v/>
      </c>
      <c r="I772" s="25">
        <f>IF($C772="","",IFERROR(IF(INDEX(Roster!$G:$G,MATCH($C772,Roster!$B:$B,0))="","",INDEX(Roster!$G:$G,MATCH($C772,Roster!$B:$B,0))&amp;""),"—"))</f>
        <v/>
      </c>
      <c r="J772" s="25">
        <f>IF($C772="","",IFERROR(IF(INDEX(Roster!$I:$I,MATCH($C772,Roster!$B:$B,0))="","",INDEX(Roster!$I:$I,MATCH($C772,Roster!$B:$B,0))&amp;""),"—"))</f>
        <v/>
      </c>
      <c r="K772">
        <f>IF($C772="","",IFERROR(IF(INDEX(Roster!$J:$J,MATCH($C772,Roster!$B:$B,0))="","",INDEX(Roster!$J:$J,MATCH($C772,Roster!$B:$B,0))&amp;""),"—"))</f>
        <v/>
      </c>
      <c r="L772">
        <f>IF($C772="","",IFERROR(IF(INDEX(Roster!$K:$K,MATCH($C772,Roster!$B:$B,0))="","",INDEX(Roster!$K:$K,MATCH($C772,Roster!$B:$B,0))&amp;""),"—"))</f>
        <v/>
      </c>
      <c r="M772" s="27" t="n"/>
      <c r="N772" s="27" t="n"/>
      <c r="O772" s="25">
        <f>IF($C772="","",IF($P772="","—",IF($P772="Valid (Pass)","Valid","Invalid")))</f>
        <v/>
      </c>
      <c r="P772" s="27" t="n"/>
      <c r="Q772" s="27" t="n"/>
      <c r="R772" s="27" t="n"/>
      <c r="S772" s="27" t="n"/>
      <c r="T772" s="25">
        <f>IF($C772="","",IF(OR(ISNUMBER(SEARCH("quick case",$P772)),ISNUMBER(SEARCH("quick case",$Q772))),"Yes","No"))</f>
        <v/>
      </c>
      <c r="U772" s="25">
        <f>IF($O772="Invalid",HYPERLINK("mailto:"&amp;$G772&amp;";"&amp;$I772&amp;"?cc="&amp;Lists!$E$2&amp;"&amp;subject="&amp;_xlfn.ENCODEURL("[INVALID] Quality audit monitoring completed for "&amp;UPPER($C772))&amp;"&amp;body="&amp;_xlfn.ENCODEURL("Hi "&amp;$F772&amp;","&amp;CHAR(10)&amp;"Good day!"&amp;CHAR(10)&amp;CHAR(10)&amp;"A quality monitoring audit has been completed for "&amp;$C772&amp;"."&amp;CHAR(10)&amp;CHAR(10)&amp;"QUALITY AUDIT DETAILS"&amp;CHAR(10)&amp;"Agent Name: "&amp;$C772&amp;" (EID "&amp;$D772&amp;")"&amp;CHAR(10)&amp;"Audit Date: "&amp;TEXT($B772,"yyyy-mm-dd")&amp;CHAR(10)&amp;"Team Leader: "&amp;$F772&amp;CHAR(10)&amp;"Case Number: "&amp;$M772&amp;CHAR(10)&amp;"Transaction ID: "&amp;$N772&amp;CHAR(10)&amp;"Channel / LOB: "&amp;$K772&amp;" / "&amp;$L772&amp;CHAR(10)&amp;"Evaluator: "&amp;$S772&amp;CHAR(10)&amp;CHAR(10)&amp;"INVALID QUALITY AUDIT DETAILS"&amp;CHAR(10)&amp;"Validation: Invalid"&amp;CHAR(10)&amp;"Invalid Reason: "&amp;$P772&amp;CHAR(10)&amp;"Expected Resolution Code: "&amp;$Q772&amp;CHAR(10)&amp;"Remarks: "&amp;LEFT($R772,600)&amp;CHAR(10)&amp;CHAR(10)&amp;"This is an automated notification from HP Mainstream EQMS."),"✉ Open Email Draft"),"")</f>
        <v/>
      </c>
    </row>
    <row r="773">
      <c r="A773" s="25">
        <f>IF($C773="","","AUD-2026-"&amp;TEXT(ROW()-1,"000000"))</f>
        <v/>
      </c>
      <c r="B773" s="26" t="n"/>
      <c r="C773" s="27" t="n"/>
      <c r="D773" s="25">
        <f>IF($C773="","",IFERROR(IF(INDEX(Roster!$A:$A,MATCH($C773,Roster!$B:$B,0))="","",INDEX(Roster!$A:$A,MATCH($C773,Roster!$B:$B,0))&amp;""),"—"))</f>
        <v/>
      </c>
      <c r="E773" s="25">
        <f>IF($C773="","",IFERROR(IF(INDEX(Roster!$C:$C,MATCH($C773,Roster!$B:$B,0))="","",INDEX(Roster!$C:$C,MATCH($C773,Roster!$B:$B,0))&amp;""),"—"))</f>
        <v/>
      </c>
      <c r="F773" s="25">
        <f>IF($C773="","",IFERROR(IF(INDEX(Roster!$D:$D,MATCH($C773,Roster!$B:$B,0))="","",INDEX(Roster!$D:$D,MATCH($C773,Roster!$B:$B,0))&amp;""),"—"))</f>
        <v/>
      </c>
      <c r="G773" s="25">
        <f>IF($C773="","",IFERROR(IF(INDEX(Roster!$E:$E,MATCH($C773,Roster!$B:$B,0))="","",INDEX(Roster!$E:$E,MATCH($C773,Roster!$B:$B,0))&amp;""),"—"))</f>
        <v/>
      </c>
      <c r="H773" s="25">
        <f>IF($C773="","",IFERROR(IF(INDEX(Roster!$F:$F,MATCH($C773,Roster!$B:$B,0))="","",INDEX(Roster!$F:$F,MATCH($C773,Roster!$B:$B,0))&amp;""),"—"))</f>
        <v/>
      </c>
      <c r="I773" s="25">
        <f>IF($C773="","",IFERROR(IF(INDEX(Roster!$G:$G,MATCH($C773,Roster!$B:$B,0))="","",INDEX(Roster!$G:$G,MATCH($C773,Roster!$B:$B,0))&amp;""),"—"))</f>
        <v/>
      </c>
      <c r="J773" s="25">
        <f>IF($C773="","",IFERROR(IF(INDEX(Roster!$I:$I,MATCH($C773,Roster!$B:$B,0))="","",INDEX(Roster!$I:$I,MATCH($C773,Roster!$B:$B,0))&amp;""),"—"))</f>
        <v/>
      </c>
      <c r="K773">
        <f>IF($C773="","",IFERROR(IF(INDEX(Roster!$J:$J,MATCH($C773,Roster!$B:$B,0))="","",INDEX(Roster!$J:$J,MATCH($C773,Roster!$B:$B,0))&amp;""),"—"))</f>
        <v/>
      </c>
      <c r="L773">
        <f>IF($C773="","",IFERROR(IF(INDEX(Roster!$K:$K,MATCH($C773,Roster!$B:$B,0))="","",INDEX(Roster!$K:$K,MATCH($C773,Roster!$B:$B,0))&amp;""),"—"))</f>
        <v/>
      </c>
      <c r="M773" s="27" t="n"/>
      <c r="N773" s="27" t="n"/>
      <c r="O773" s="25">
        <f>IF($C773="","",IF($P773="","—",IF($P773="Valid (Pass)","Valid","Invalid")))</f>
        <v/>
      </c>
      <c r="P773" s="27" t="n"/>
      <c r="Q773" s="27" t="n"/>
      <c r="R773" s="27" t="n"/>
      <c r="S773" s="27" t="n"/>
      <c r="T773" s="25">
        <f>IF($C773="","",IF(OR(ISNUMBER(SEARCH("quick case",$P773)),ISNUMBER(SEARCH("quick case",$Q773))),"Yes","No"))</f>
        <v/>
      </c>
      <c r="U773" s="25">
        <f>IF($O773="Invalid",HYPERLINK("mailto:"&amp;$G773&amp;";"&amp;$I773&amp;"?cc="&amp;Lists!$E$2&amp;"&amp;subject="&amp;_xlfn.ENCODEURL("[INVALID] Quality audit monitoring completed for "&amp;UPPER($C773))&amp;"&amp;body="&amp;_xlfn.ENCODEURL("Hi "&amp;$F773&amp;","&amp;CHAR(10)&amp;"Good day!"&amp;CHAR(10)&amp;CHAR(10)&amp;"A quality monitoring audit has been completed for "&amp;$C773&amp;"."&amp;CHAR(10)&amp;CHAR(10)&amp;"QUALITY AUDIT DETAILS"&amp;CHAR(10)&amp;"Agent Name: "&amp;$C773&amp;" (EID "&amp;$D773&amp;")"&amp;CHAR(10)&amp;"Audit Date: "&amp;TEXT($B773,"yyyy-mm-dd")&amp;CHAR(10)&amp;"Team Leader: "&amp;$F773&amp;CHAR(10)&amp;"Case Number: "&amp;$M773&amp;CHAR(10)&amp;"Transaction ID: "&amp;$N773&amp;CHAR(10)&amp;"Channel / LOB: "&amp;$K773&amp;" / "&amp;$L773&amp;CHAR(10)&amp;"Evaluator: "&amp;$S773&amp;CHAR(10)&amp;CHAR(10)&amp;"INVALID QUALITY AUDIT DETAILS"&amp;CHAR(10)&amp;"Validation: Invalid"&amp;CHAR(10)&amp;"Invalid Reason: "&amp;$P773&amp;CHAR(10)&amp;"Expected Resolution Code: "&amp;$Q773&amp;CHAR(10)&amp;"Remarks: "&amp;LEFT($R773,600)&amp;CHAR(10)&amp;CHAR(10)&amp;"This is an automated notification from HP Mainstream EQMS."),"✉ Open Email Draft"),"")</f>
        <v/>
      </c>
    </row>
    <row r="774">
      <c r="A774" s="25">
        <f>IF($C774="","","AUD-2026-"&amp;TEXT(ROW()-1,"000000"))</f>
        <v/>
      </c>
      <c r="B774" s="26" t="n"/>
      <c r="C774" s="27" t="n"/>
      <c r="D774" s="25">
        <f>IF($C774="","",IFERROR(IF(INDEX(Roster!$A:$A,MATCH($C774,Roster!$B:$B,0))="","",INDEX(Roster!$A:$A,MATCH($C774,Roster!$B:$B,0))&amp;""),"—"))</f>
        <v/>
      </c>
      <c r="E774" s="25">
        <f>IF($C774="","",IFERROR(IF(INDEX(Roster!$C:$C,MATCH($C774,Roster!$B:$B,0))="","",INDEX(Roster!$C:$C,MATCH($C774,Roster!$B:$B,0))&amp;""),"—"))</f>
        <v/>
      </c>
      <c r="F774" s="25">
        <f>IF($C774="","",IFERROR(IF(INDEX(Roster!$D:$D,MATCH($C774,Roster!$B:$B,0))="","",INDEX(Roster!$D:$D,MATCH($C774,Roster!$B:$B,0))&amp;""),"—"))</f>
        <v/>
      </c>
      <c r="G774" s="25">
        <f>IF($C774="","",IFERROR(IF(INDEX(Roster!$E:$E,MATCH($C774,Roster!$B:$B,0))="","",INDEX(Roster!$E:$E,MATCH($C774,Roster!$B:$B,0))&amp;""),"—"))</f>
        <v/>
      </c>
      <c r="H774" s="25">
        <f>IF($C774="","",IFERROR(IF(INDEX(Roster!$F:$F,MATCH($C774,Roster!$B:$B,0))="","",INDEX(Roster!$F:$F,MATCH($C774,Roster!$B:$B,0))&amp;""),"—"))</f>
        <v/>
      </c>
      <c r="I774" s="25">
        <f>IF($C774="","",IFERROR(IF(INDEX(Roster!$G:$G,MATCH($C774,Roster!$B:$B,0))="","",INDEX(Roster!$G:$G,MATCH($C774,Roster!$B:$B,0))&amp;""),"—"))</f>
        <v/>
      </c>
      <c r="J774" s="25">
        <f>IF($C774="","",IFERROR(IF(INDEX(Roster!$I:$I,MATCH($C774,Roster!$B:$B,0))="","",INDEX(Roster!$I:$I,MATCH($C774,Roster!$B:$B,0))&amp;""),"—"))</f>
        <v/>
      </c>
      <c r="K774">
        <f>IF($C774="","",IFERROR(IF(INDEX(Roster!$J:$J,MATCH($C774,Roster!$B:$B,0))="","",INDEX(Roster!$J:$J,MATCH($C774,Roster!$B:$B,0))&amp;""),"—"))</f>
        <v/>
      </c>
      <c r="L774">
        <f>IF($C774="","",IFERROR(IF(INDEX(Roster!$K:$K,MATCH($C774,Roster!$B:$B,0))="","",INDEX(Roster!$K:$K,MATCH($C774,Roster!$B:$B,0))&amp;""),"—"))</f>
        <v/>
      </c>
      <c r="M774" s="27" t="n"/>
      <c r="N774" s="27" t="n"/>
      <c r="O774" s="25">
        <f>IF($C774="","",IF($P774="","—",IF($P774="Valid (Pass)","Valid","Invalid")))</f>
        <v/>
      </c>
      <c r="P774" s="27" t="n"/>
      <c r="Q774" s="27" t="n"/>
      <c r="R774" s="27" t="n"/>
      <c r="S774" s="27" t="n"/>
      <c r="T774" s="25">
        <f>IF($C774="","",IF(OR(ISNUMBER(SEARCH("quick case",$P774)),ISNUMBER(SEARCH("quick case",$Q774))),"Yes","No"))</f>
        <v/>
      </c>
      <c r="U774" s="25">
        <f>IF($O774="Invalid",HYPERLINK("mailto:"&amp;$G774&amp;";"&amp;$I774&amp;"?cc="&amp;Lists!$E$2&amp;"&amp;subject="&amp;_xlfn.ENCODEURL("[INVALID] Quality audit monitoring completed for "&amp;UPPER($C774))&amp;"&amp;body="&amp;_xlfn.ENCODEURL("Hi "&amp;$F774&amp;","&amp;CHAR(10)&amp;"Good day!"&amp;CHAR(10)&amp;CHAR(10)&amp;"A quality monitoring audit has been completed for "&amp;$C774&amp;"."&amp;CHAR(10)&amp;CHAR(10)&amp;"QUALITY AUDIT DETAILS"&amp;CHAR(10)&amp;"Agent Name: "&amp;$C774&amp;" (EID "&amp;$D774&amp;")"&amp;CHAR(10)&amp;"Audit Date: "&amp;TEXT($B774,"yyyy-mm-dd")&amp;CHAR(10)&amp;"Team Leader: "&amp;$F774&amp;CHAR(10)&amp;"Case Number: "&amp;$M774&amp;CHAR(10)&amp;"Transaction ID: "&amp;$N774&amp;CHAR(10)&amp;"Channel / LOB: "&amp;$K774&amp;" / "&amp;$L774&amp;CHAR(10)&amp;"Evaluator: "&amp;$S774&amp;CHAR(10)&amp;CHAR(10)&amp;"INVALID QUALITY AUDIT DETAILS"&amp;CHAR(10)&amp;"Validation: Invalid"&amp;CHAR(10)&amp;"Invalid Reason: "&amp;$P774&amp;CHAR(10)&amp;"Expected Resolution Code: "&amp;$Q774&amp;CHAR(10)&amp;"Remarks: "&amp;LEFT($R774,600)&amp;CHAR(10)&amp;CHAR(10)&amp;"This is an automated notification from HP Mainstream EQMS."),"✉ Open Email Draft"),"")</f>
        <v/>
      </c>
    </row>
    <row r="775">
      <c r="A775" s="25">
        <f>IF($C775="","","AUD-2026-"&amp;TEXT(ROW()-1,"000000"))</f>
        <v/>
      </c>
      <c r="B775" s="26" t="n"/>
      <c r="C775" s="27" t="n"/>
      <c r="D775" s="25">
        <f>IF($C775="","",IFERROR(IF(INDEX(Roster!$A:$A,MATCH($C775,Roster!$B:$B,0))="","",INDEX(Roster!$A:$A,MATCH($C775,Roster!$B:$B,0))&amp;""),"—"))</f>
        <v/>
      </c>
      <c r="E775" s="25">
        <f>IF($C775="","",IFERROR(IF(INDEX(Roster!$C:$C,MATCH($C775,Roster!$B:$B,0))="","",INDEX(Roster!$C:$C,MATCH($C775,Roster!$B:$B,0))&amp;""),"—"))</f>
        <v/>
      </c>
      <c r="F775" s="25">
        <f>IF($C775="","",IFERROR(IF(INDEX(Roster!$D:$D,MATCH($C775,Roster!$B:$B,0))="","",INDEX(Roster!$D:$D,MATCH($C775,Roster!$B:$B,0))&amp;""),"—"))</f>
        <v/>
      </c>
      <c r="G775" s="25">
        <f>IF($C775="","",IFERROR(IF(INDEX(Roster!$E:$E,MATCH($C775,Roster!$B:$B,0))="","",INDEX(Roster!$E:$E,MATCH($C775,Roster!$B:$B,0))&amp;""),"—"))</f>
        <v/>
      </c>
      <c r="H775" s="25">
        <f>IF($C775="","",IFERROR(IF(INDEX(Roster!$F:$F,MATCH($C775,Roster!$B:$B,0))="","",INDEX(Roster!$F:$F,MATCH($C775,Roster!$B:$B,0))&amp;""),"—"))</f>
        <v/>
      </c>
      <c r="I775" s="25">
        <f>IF($C775="","",IFERROR(IF(INDEX(Roster!$G:$G,MATCH($C775,Roster!$B:$B,0))="","",INDEX(Roster!$G:$G,MATCH($C775,Roster!$B:$B,0))&amp;""),"—"))</f>
        <v/>
      </c>
      <c r="J775" s="25">
        <f>IF($C775="","",IFERROR(IF(INDEX(Roster!$I:$I,MATCH($C775,Roster!$B:$B,0))="","",INDEX(Roster!$I:$I,MATCH($C775,Roster!$B:$B,0))&amp;""),"—"))</f>
        <v/>
      </c>
      <c r="K775">
        <f>IF($C775="","",IFERROR(IF(INDEX(Roster!$J:$J,MATCH($C775,Roster!$B:$B,0))="","",INDEX(Roster!$J:$J,MATCH($C775,Roster!$B:$B,0))&amp;""),"—"))</f>
        <v/>
      </c>
      <c r="L775">
        <f>IF($C775="","",IFERROR(IF(INDEX(Roster!$K:$K,MATCH($C775,Roster!$B:$B,0))="","",INDEX(Roster!$K:$K,MATCH($C775,Roster!$B:$B,0))&amp;""),"—"))</f>
        <v/>
      </c>
      <c r="M775" s="27" t="n"/>
      <c r="N775" s="27" t="n"/>
      <c r="O775" s="25">
        <f>IF($C775="","",IF($P775="","—",IF($P775="Valid (Pass)","Valid","Invalid")))</f>
        <v/>
      </c>
      <c r="P775" s="27" t="n"/>
      <c r="Q775" s="27" t="n"/>
      <c r="R775" s="27" t="n"/>
      <c r="S775" s="27" t="n"/>
      <c r="T775" s="25">
        <f>IF($C775="","",IF(OR(ISNUMBER(SEARCH("quick case",$P775)),ISNUMBER(SEARCH("quick case",$Q775))),"Yes","No"))</f>
        <v/>
      </c>
      <c r="U775" s="25">
        <f>IF($O775="Invalid",HYPERLINK("mailto:"&amp;$G775&amp;";"&amp;$I775&amp;"?cc="&amp;Lists!$E$2&amp;"&amp;subject="&amp;_xlfn.ENCODEURL("[INVALID] Quality audit monitoring completed for "&amp;UPPER($C775))&amp;"&amp;body="&amp;_xlfn.ENCODEURL("Hi "&amp;$F775&amp;","&amp;CHAR(10)&amp;"Good day!"&amp;CHAR(10)&amp;CHAR(10)&amp;"A quality monitoring audit has been completed for "&amp;$C775&amp;"."&amp;CHAR(10)&amp;CHAR(10)&amp;"QUALITY AUDIT DETAILS"&amp;CHAR(10)&amp;"Agent Name: "&amp;$C775&amp;" (EID "&amp;$D775&amp;")"&amp;CHAR(10)&amp;"Audit Date: "&amp;TEXT($B775,"yyyy-mm-dd")&amp;CHAR(10)&amp;"Team Leader: "&amp;$F775&amp;CHAR(10)&amp;"Case Number: "&amp;$M775&amp;CHAR(10)&amp;"Transaction ID: "&amp;$N775&amp;CHAR(10)&amp;"Channel / LOB: "&amp;$K775&amp;" / "&amp;$L775&amp;CHAR(10)&amp;"Evaluator: "&amp;$S775&amp;CHAR(10)&amp;CHAR(10)&amp;"INVALID QUALITY AUDIT DETAILS"&amp;CHAR(10)&amp;"Validation: Invalid"&amp;CHAR(10)&amp;"Invalid Reason: "&amp;$P775&amp;CHAR(10)&amp;"Expected Resolution Code: "&amp;$Q775&amp;CHAR(10)&amp;"Remarks: "&amp;LEFT($R775,600)&amp;CHAR(10)&amp;CHAR(10)&amp;"This is an automated notification from HP Mainstream EQMS."),"✉ Open Email Draft"),"")</f>
        <v/>
      </c>
    </row>
    <row r="776">
      <c r="A776" s="25">
        <f>IF($C776="","","AUD-2026-"&amp;TEXT(ROW()-1,"000000"))</f>
        <v/>
      </c>
      <c r="B776" s="26" t="n"/>
      <c r="C776" s="27" t="n"/>
      <c r="D776" s="25">
        <f>IF($C776="","",IFERROR(IF(INDEX(Roster!$A:$A,MATCH($C776,Roster!$B:$B,0))="","",INDEX(Roster!$A:$A,MATCH($C776,Roster!$B:$B,0))&amp;""),"—"))</f>
        <v/>
      </c>
      <c r="E776" s="25">
        <f>IF($C776="","",IFERROR(IF(INDEX(Roster!$C:$C,MATCH($C776,Roster!$B:$B,0))="","",INDEX(Roster!$C:$C,MATCH($C776,Roster!$B:$B,0))&amp;""),"—"))</f>
        <v/>
      </c>
      <c r="F776" s="25">
        <f>IF($C776="","",IFERROR(IF(INDEX(Roster!$D:$D,MATCH($C776,Roster!$B:$B,0))="","",INDEX(Roster!$D:$D,MATCH($C776,Roster!$B:$B,0))&amp;""),"—"))</f>
        <v/>
      </c>
      <c r="G776" s="25">
        <f>IF($C776="","",IFERROR(IF(INDEX(Roster!$E:$E,MATCH($C776,Roster!$B:$B,0))="","",INDEX(Roster!$E:$E,MATCH($C776,Roster!$B:$B,0))&amp;""),"—"))</f>
        <v/>
      </c>
      <c r="H776" s="25">
        <f>IF($C776="","",IFERROR(IF(INDEX(Roster!$F:$F,MATCH($C776,Roster!$B:$B,0))="","",INDEX(Roster!$F:$F,MATCH($C776,Roster!$B:$B,0))&amp;""),"—"))</f>
        <v/>
      </c>
      <c r="I776" s="25">
        <f>IF($C776="","",IFERROR(IF(INDEX(Roster!$G:$G,MATCH($C776,Roster!$B:$B,0))="","",INDEX(Roster!$G:$G,MATCH($C776,Roster!$B:$B,0))&amp;""),"—"))</f>
        <v/>
      </c>
      <c r="J776" s="25">
        <f>IF($C776="","",IFERROR(IF(INDEX(Roster!$I:$I,MATCH($C776,Roster!$B:$B,0))="","",INDEX(Roster!$I:$I,MATCH($C776,Roster!$B:$B,0))&amp;""),"—"))</f>
        <v/>
      </c>
      <c r="K776">
        <f>IF($C776="","",IFERROR(IF(INDEX(Roster!$J:$J,MATCH($C776,Roster!$B:$B,0))="","",INDEX(Roster!$J:$J,MATCH($C776,Roster!$B:$B,0))&amp;""),"—"))</f>
        <v/>
      </c>
      <c r="L776">
        <f>IF($C776="","",IFERROR(IF(INDEX(Roster!$K:$K,MATCH($C776,Roster!$B:$B,0))="","",INDEX(Roster!$K:$K,MATCH($C776,Roster!$B:$B,0))&amp;""),"—"))</f>
        <v/>
      </c>
      <c r="M776" s="27" t="n"/>
      <c r="N776" s="27" t="n"/>
      <c r="O776" s="25">
        <f>IF($C776="","",IF($P776="","—",IF($P776="Valid (Pass)","Valid","Invalid")))</f>
        <v/>
      </c>
      <c r="P776" s="27" t="n"/>
      <c r="Q776" s="27" t="n"/>
      <c r="R776" s="27" t="n"/>
      <c r="S776" s="27" t="n"/>
      <c r="T776" s="25">
        <f>IF($C776="","",IF(OR(ISNUMBER(SEARCH("quick case",$P776)),ISNUMBER(SEARCH("quick case",$Q776))),"Yes","No"))</f>
        <v/>
      </c>
      <c r="U776" s="25">
        <f>IF($O776="Invalid",HYPERLINK("mailto:"&amp;$G776&amp;";"&amp;$I776&amp;"?cc="&amp;Lists!$E$2&amp;"&amp;subject="&amp;_xlfn.ENCODEURL("[INVALID] Quality audit monitoring completed for "&amp;UPPER($C776))&amp;"&amp;body="&amp;_xlfn.ENCODEURL("Hi "&amp;$F776&amp;","&amp;CHAR(10)&amp;"Good day!"&amp;CHAR(10)&amp;CHAR(10)&amp;"A quality monitoring audit has been completed for "&amp;$C776&amp;"."&amp;CHAR(10)&amp;CHAR(10)&amp;"QUALITY AUDIT DETAILS"&amp;CHAR(10)&amp;"Agent Name: "&amp;$C776&amp;" (EID "&amp;$D776&amp;")"&amp;CHAR(10)&amp;"Audit Date: "&amp;TEXT($B776,"yyyy-mm-dd")&amp;CHAR(10)&amp;"Team Leader: "&amp;$F776&amp;CHAR(10)&amp;"Case Number: "&amp;$M776&amp;CHAR(10)&amp;"Transaction ID: "&amp;$N776&amp;CHAR(10)&amp;"Channel / LOB: "&amp;$K776&amp;" / "&amp;$L776&amp;CHAR(10)&amp;"Evaluator: "&amp;$S776&amp;CHAR(10)&amp;CHAR(10)&amp;"INVALID QUALITY AUDIT DETAILS"&amp;CHAR(10)&amp;"Validation: Invalid"&amp;CHAR(10)&amp;"Invalid Reason: "&amp;$P776&amp;CHAR(10)&amp;"Expected Resolution Code: "&amp;$Q776&amp;CHAR(10)&amp;"Remarks: "&amp;LEFT($R776,600)&amp;CHAR(10)&amp;CHAR(10)&amp;"This is an automated notification from HP Mainstream EQMS."),"✉ Open Email Draft"),"")</f>
        <v/>
      </c>
    </row>
    <row r="777">
      <c r="A777" s="25">
        <f>IF($C777="","","AUD-2026-"&amp;TEXT(ROW()-1,"000000"))</f>
        <v/>
      </c>
      <c r="B777" s="26" t="n"/>
      <c r="C777" s="27" t="n"/>
      <c r="D777" s="25">
        <f>IF($C777="","",IFERROR(IF(INDEX(Roster!$A:$A,MATCH($C777,Roster!$B:$B,0))="","",INDEX(Roster!$A:$A,MATCH($C777,Roster!$B:$B,0))&amp;""),"—"))</f>
        <v/>
      </c>
      <c r="E777" s="25">
        <f>IF($C777="","",IFERROR(IF(INDEX(Roster!$C:$C,MATCH($C777,Roster!$B:$B,0))="","",INDEX(Roster!$C:$C,MATCH($C777,Roster!$B:$B,0))&amp;""),"—"))</f>
        <v/>
      </c>
      <c r="F777" s="25">
        <f>IF($C777="","",IFERROR(IF(INDEX(Roster!$D:$D,MATCH($C777,Roster!$B:$B,0))="","",INDEX(Roster!$D:$D,MATCH($C777,Roster!$B:$B,0))&amp;""),"—"))</f>
        <v/>
      </c>
      <c r="G777" s="25">
        <f>IF($C777="","",IFERROR(IF(INDEX(Roster!$E:$E,MATCH($C777,Roster!$B:$B,0))="","",INDEX(Roster!$E:$E,MATCH($C777,Roster!$B:$B,0))&amp;""),"—"))</f>
        <v/>
      </c>
      <c r="H777" s="25">
        <f>IF($C777="","",IFERROR(IF(INDEX(Roster!$F:$F,MATCH($C777,Roster!$B:$B,0))="","",INDEX(Roster!$F:$F,MATCH($C777,Roster!$B:$B,0))&amp;""),"—"))</f>
        <v/>
      </c>
      <c r="I777" s="25">
        <f>IF($C777="","",IFERROR(IF(INDEX(Roster!$G:$G,MATCH($C777,Roster!$B:$B,0))="","",INDEX(Roster!$G:$G,MATCH($C777,Roster!$B:$B,0))&amp;""),"—"))</f>
        <v/>
      </c>
      <c r="J777" s="25">
        <f>IF($C777="","",IFERROR(IF(INDEX(Roster!$I:$I,MATCH($C777,Roster!$B:$B,0))="","",INDEX(Roster!$I:$I,MATCH($C777,Roster!$B:$B,0))&amp;""),"—"))</f>
        <v/>
      </c>
      <c r="K777">
        <f>IF($C777="","",IFERROR(IF(INDEX(Roster!$J:$J,MATCH($C777,Roster!$B:$B,0))="","",INDEX(Roster!$J:$J,MATCH($C777,Roster!$B:$B,0))&amp;""),"—"))</f>
        <v/>
      </c>
      <c r="L777">
        <f>IF($C777="","",IFERROR(IF(INDEX(Roster!$K:$K,MATCH($C777,Roster!$B:$B,0))="","",INDEX(Roster!$K:$K,MATCH($C777,Roster!$B:$B,0))&amp;""),"—"))</f>
        <v/>
      </c>
      <c r="M777" s="27" t="n"/>
      <c r="N777" s="27" t="n"/>
      <c r="O777" s="25">
        <f>IF($C777="","",IF($P777="","—",IF($P777="Valid (Pass)","Valid","Invalid")))</f>
        <v/>
      </c>
      <c r="P777" s="27" t="n"/>
      <c r="Q777" s="27" t="n"/>
      <c r="R777" s="27" t="n"/>
      <c r="S777" s="27" t="n"/>
      <c r="T777" s="25">
        <f>IF($C777="","",IF(OR(ISNUMBER(SEARCH("quick case",$P777)),ISNUMBER(SEARCH("quick case",$Q777))),"Yes","No"))</f>
        <v/>
      </c>
      <c r="U777" s="25">
        <f>IF($O777="Invalid",HYPERLINK("mailto:"&amp;$G777&amp;";"&amp;$I777&amp;"?cc="&amp;Lists!$E$2&amp;"&amp;subject="&amp;_xlfn.ENCODEURL("[INVALID] Quality audit monitoring completed for "&amp;UPPER($C777))&amp;"&amp;body="&amp;_xlfn.ENCODEURL("Hi "&amp;$F777&amp;","&amp;CHAR(10)&amp;"Good day!"&amp;CHAR(10)&amp;CHAR(10)&amp;"A quality monitoring audit has been completed for "&amp;$C777&amp;"."&amp;CHAR(10)&amp;CHAR(10)&amp;"QUALITY AUDIT DETAILS"&amp;CHAR(10)&amp;"Agent Name: "&amp;$C777&amp;" (EID "&amp;$D777&amp;")"&amp;CHAR(10)&amp;"Audit Date: "&amp;TEXT($B777,"yyyy-mm-dd")&amp;CHAR(10)&amp;"Team Leader: "&amp;$F777&amp;CHAR(10)&amp;"Case Number: "&amp;$M777&amp;CHAR(10)&amp;"Transaction ID: "&amp;$N777&amp;CHAR(10)&amp;"Channel / LOB: "&amp;$K777&amp;" / "&amp;$L777&amp;CHAR(10)&amp;"Evaluator: "&amp;$S777&amp;CHAR(10)&amp;CHAR(10)&amp;"INVALID QUALITY AUDIT DETAILS"&amp;CHAR(10)&amp;"Validation: Invalid"&amp;CHAR(10)&amp;"Invalid Reason: "&amp;$P777&amp;CHAR(10)&amp;"Expected Resolution Code: "&amp;$Q777&amp;CHAR(10)&amp;"Remarks: "&amp;LEFT($R777,600)&amp;CHAR(10)&amp;CHAR(10)&amp;"This is an automated notification from HP Mainstream EQMS."),"✉ Open Email Draft"),"")</f>
        <v/>
      </c>
    </row>
    <row r="778">
      <c r="A778" s="25">
        <f>IF($C778="","","AUD-2026-"&amp;TEXT(ROW()-1,"000000"))</f>
        <v/>
      </c>
      <c r="B778" s="26" t="n"/>
      <c r="C778" s="27" t="n"/>
      <c r="D778" s="25">
        <f>IF($C778="","",IFERROR(IF(INDEX(Roster!$A:$A,MATCH($C778,Roster!$B:$B,0))="","",INDEX(Roster!$A:$A,MATCH($C778,Roster!$B:$B,0))&amp;""),"—"))</f>
        <v/>
      </c>
      <c r="E778" s="25">
        <f>IF($C778="","",IFERROR(IF(INDEX(Roster!$C:$C,MATCH($C778,Roster!$B:$B,0))="","",INDEX(Roster!$C:$C,MATCH($C778,Roster!$B:$B,0))&amp;""),"—"))</f>
        <v/>
      </c>
      <c r="F778" s="25">
        <f>IF($C778="","",IFERROR(IF(INDEX(Roster!$D:$D,MATCH($C778,Roster!$B:$B,0))="","",INDEX(Roster!$D:$D,MATCH($C778,Roster!$B:$B,0))&amp;""),"—"))</f>
        <v/>
      </c>
      <c r="G778" s="25">
        <f>IF($C778="","",IFERROR(IF(INDEX(Roster!$E:$E,MATCH($C778,Roster!$B:$B,0))="","",INDEX(Roster!$E:$E,MATCH($C778,Roster!$B:$B,0))&amp;""),"—"))</f>
        <v/>
      </c>
      <c r="H778" s="25">
        <f>IF($C778="","",IFERROR(IF(INDEX(Roster!$F:$F,MATCH($C778,Roster!$B:$B,0))="","",INDEX(Roster!$F:$F,MATCH($C778,Roster!$B:$B,0))&amp;""),"—"))</f>
        <v/>
      </c>
      <c r="I778" s="25">
        <f>IF($C778="","",IFERROR(IF(INDEX(Roster!$G:$G,MATCH($C778,Roster!$B:$B,0))="","",INDEX(Roster!$G:$G,MATCH($C778,Roster!$B:$B,0))&amp;""),"—"))</f>
        <v/>
      </c>
      <c r="J778" s="25">
        <f>IF($C778="","",IFERROR(IF(INDEX(Roster!$I:$I,MATCH($C778,Roster!$B:$B,0))="","",INDEX(Roster!$I:$I,MATCH($C778,Roster!$B:$B,0))&amp;""),"—"))</f>
        <v/>
      </c>
      <c r="K778">
        <f>IF($C778="","",IFERROR(IF(INDEX(Roster!$J:$J,MATCH($C778,Roster!$B:$B,0))="","",INDEX(Roster!$J:$J,MATCH($C778,Roster!$B:$B,0))&amp;""),"—"))</f>
        <v/>
      </c>
      <c r="L778">
        <f>IF($C778="","",IFERROR(IF(INDEX(Roster!$K:$K,MATCH($C778,Roster!$B:$B,0))="","",INDEX(Roster!$K:$K,MATCH($C778,Roster!$B:$B,0))&amp;""),"—"))</f>
        <v/>
      </c>
      <c r="M778" s="27" t="n"/>
      <c r="N778" s="27" t="n"/>
      <c r="O778" s="25">
        <f>IF($C778="","",IF($P778="","—",IF($P778="Valid (Pass)","Valid","Invalid")))</f>
        <v/>
      </c>
      <c r="P778" s="27" t="n"/>
      <c r="Q778" s="27" t="n"/>
      <c r="R778" s="27" t="n"/>
      <c r="S778" s="27" t="n"/>
      <c r="T778" s="25">
        <f>IF($C778="","",IF(OR(ISNUMBER(SEARCH("quick case",$P778)),ISNUMBER(SEARCH("quick case",$Q778))),"Yes","No"))</f>
        <v/>
      </c>
      <c r="U778" s="25">
        <f>IF($O778="Invalid",HYPERLINK("mailto:"&amp;$G778&amp;";"&amp;$I778&amp;"?cc="&amp;Lists!$E$2&amp;"&amp;subject="&amp;_xlfn.ENCODEURL("[INVALID] Quality audit monitoring completed for "&amp;UPPER($C778))&amp;"&amp;body="&amp;_xlfn.ENCODEURL("Hi "&amp;$F778&amp;","&amp;CHAR(10)&amp;"Good day!"&amp;CHAR(10)&amp;CHAR(10)&amp;"A quality monitoring audit has been completed for "&amp;$C778&amp;"."&amp;CHAR(10)&amp;CHAR(10)&amp;"QUALITY AUDIT DETAILS"&amp;CHAR(10)&amp;"Agent Name: "&amp;$C778&amp;" (EID "&amp;$D778&amp;")"&amp;CHAR(10)&amp;"Audit Date: "&amp;TEXT($B778,"yyyy-mm-dd")&amp;CHAR(10)&amp;"Team Leader: "&amp;$F778&amp;CHAR(10)&amp;"Case Number: "&amp;$M778&amp;CHAR(10)&amp;"Transaction ID: "&amp;$N778&amp;CHAR(10)&amp;"Channel / LOB: "&amp;$K778&amp;" / "&amp;$L778&amp;CHAR(10)&amp;"Evaluator: "&amp;$S778&amp;CHAR(10)&amp;CHAR(10)&amp;"INVALID QUALITY AUDIT DETAILS"&amp;CHAR(10)&amp;"Validation: Invalid"&amp;CHAR(10)&amp;"Invalid Reason: "&amp;$P778&amp;CHAR(10)&amp;"Expected Resolution Code: "&amp;$Q778&amp;CHAR(10)&amp;"Remarks: "&amp;LEFT($R778,600)&amp;CHAR(10)&amp;CHAR(10)&amp;"This is an automated notification from HP Mainstream EQMS."),"✉ Open Email Draft"),"")</f>
        <v/>
      </c>
    </row>
    <row r="779">
      <c r="A779" s="25">
        <f>IF($C779="","","AUD-2026-"&amp;TEXT(ROW()-1,"000000"))</f>
        <v/>
      </c>
      <c r="B779" s="26" t="n"/>
      <c r="C779" s="27" t="n"/>
      <c r="D779" s="25">
        <f>IF($C779="","",IFERROR(IF(INDEX(Roster!$A:$A,MATCH($C779,Roster!$B:$B,0))="","",INDEX(Roster!$A:$A,MATCH($C779,Roster!$B:$B,0))&amp;""),"—"))</f>
        <v/>
      </c>
      <c r="E779" s="25">
        <f>IF($C779="","",IFERROR(IF(INDEX(Roster!$C:$C,MATCH($C779,Roster!$B:$B,0))="","",INDEX(Roster!$C:$C,MATCH($C779,Roster!$B:$B,0))&amp;""),"—"))</f>
        <v/>
      </c>
      <c r="F779" s="25">
        <f>IF($C779="","",IFERROR(IF(INDEX(Roster!$D:$D,MATCH($C779,Roster!$B:$B,0))="","",INDEX(Roster!$D:$D,MATCH($C779,Roster!$B:$B,0))&amp;""),"—"))</f>
        <v/>
      </c>
      <c r="G779" s="25">
        <f>IF($C779="","",IFERROR(IF(INDEX(Roster!$E:$E,MATCH($C779,Roster!$B:$B,0))="","",INDEX(Roster!$E:$E,MATCH($C779,Roster!$B:$B,0))&amp;""),"—"))</f>
        <v/>
      </c>
      <c r="H779" s="25">
        <f>IF($C779="","",IFERROR(IF(INDEX(Roster!$F:$F,MATCH($C779,Roster!$B:$B,0))="","",INDEX(Roster!$F:$F,MATCH($C779,Roster!$B:$B,0))&amp;""),"—"))</f>
        <v/>
      </c>
      <c r="I779" s="25">
        <f>IF($C779="","",IFERROR(IF(INDEX(Roster!$G:$G,MATCH($C779,Roster!$B:$B,0))="","",INDEX(Roster!$G:$G,MATCH($C779,Roster!$B:$B,0))&amp;""),"—"))</f>
        <v/>
      </c>
      <c r="J779" s="25">
        <f>IF($C779="","",IFERROR(IF(INDEX(Roster!$I:$I,MATCH($C779,Roster!$B:$B,0))="","",INDEX(Roster!$I:$I,MATCH($C779,Roster!$B:$B,0))&amp;""),"—"))</f>
        <v/>
      </c>
      <c r="K779">
        <f>IF($C779="","",IFERROR(IF(INDEX(Roster!$J:$J,MATCH($C779,Roster!$B:$B,0))="","",INDEX(Roster!$J:$J,MATCH($C779,Roster!$B:$B,0))&amp;""),"—"))</f>
        <v/>
      </c>
      <c r="L779">
        <f>IF($C779="","",IFERROR(IF(INDEX(Roster!$K:$K,MATCH($C779,Roster!$B:$B,0))="","",INDEX(Roster!$K:$K,MATCH($C779,Roster!$B:$B,0))&amp;""),"—"))</f>
        <v/>
      </c>
      <c r="M779" s="27" t="n"/>
      <c r="N779" s="27" t="n"/>
      <c r="O779" s="25">
        <f>IF($C779="","",IF($P779="","—",IF($P779="Valid (Pass)","Valid","Invalid")))</f>
        <v/>
      </c>
      <c r="P779" s="27" t="n"/>
      <c r="Q779" s="27" t="n"/>
      <c r="R779" s="27" t="n"/>
      <c r="S779" s="27" t="n"/>
      <c r="T779" s="25">
        <f>IF($C779="","",IF(OR(ISNUMBER(SEARCH("quick case",$P779)),ISNUMBER(SEARCH("quick case",$Q779))),"Yes","No"))</f>
        <v/>
      </c>
      <c r="U779" s="25">
        <f>IF($O779="Invalid",HYPERLINK("mailto:"&amp;$G779&amp;";"&amp;$I779&amp;"?cc="&amp;Lists!$E$2&amp;"&amp;subject="&amp;_xlfn.ENCODEURL("[INVALID] Quality audit monitoring completed for "&amp;UPPER($C779))&amp;"&amp;body="&amp;_xlfn.ENCODEURL("Hi "&amp;$F779&amp;","&amp;CHAR(10)&amp;"Good day!"&amp;CHAR(10)&amp;CHAR(10)&amp;"A quality monitoring audit has been completed for "&amp;$C779&amp;"."&amp;CHAR(10)&amp;CHAR(10)&amp;"QUALITY AUDIT DETAILS"&amp;CHAR(10)&amp;"Agent Name: "&amp;$C779&amp;" (EID "&amp;$D779&amp;")"&amp;CHAR(10)&amp;"Audit Date: "&amp;TEXT($B779,"yyyy-mm-dd")&amp;CHAR(10)&amp;"Team Leader: "&amp;$F779&amp;CHAR(10)&amp;"Case Number: "&amp;$M779&amp;CHAR(10)&amp;"Transaction ID: "&amp;$N779&amp;CHAR(10)&amp;"Channel / LOB: "&amp;$K779&amp;" / "&amp;$L779&amp;CHAR(10)&amp;"Evaluator: "&amp;$S779&amp;CHAR(10)&amp;CHAR(10)&amp;"INVALID QUALITY AUDIT DETAILS"&amp;CHAR(10)&amp;"Validation: Invalid"&amp;CHAR(10)&amp;"Invalid Reason: "&amp;$P779&amp;CHAR(10)&amp;"Expected Resolution Code: "&amp;$Q779&amp;CHAR(10)&amp;"Remarks: "&amp;LEFT($R779,600)&amp;CHAR(10)&amp;CHAR(10)&amp;"This is an automated notification from HP Mainstream EQMS."),"✉ Open Email Draft"),"")</f>
        <v/>
      </c>
    </row>
    <row r="780">
      <c r="A780" s="25">
        <f>IF($C780="","","AUD-2026-"&amp;TEXT(ROW()-1,"000000"))</f>
        <v/>
      </c>
      <c r="B780" s="26" t="n"/>
      <c r="C780" s="27" t="n"/>
      <c r="D780" s="25">
        <f>IF($C780="","",IFERROR(IF(INDEX(Roster!$A:$A,MATCH($C780,Roster!$B:$B,0))="","",INDEX(Roster!$A:$A,MATCH($C780,Roster!$B:$B,0))&amp;""),"—"))</f>
        <v/>
      </c>
      <c r="E780" s="25">
        <f>IF($C780="","",IFERROR(IF(INDEX(Roster!$C:$C,MATCH($C780,Roster!$B:$B,0))="","",INDEX(Roster!$C:$C,MATCH($C780,Roster!$B:$B,0))&amp;""),"—"))</f>
        <v/>
      </c>
      <c r="F780" s="25">
        <f>IF($C780="","",IFERROR(IF(INDEX(Roster!$D:$D,MATCH($C780,Roster!$B:$B,0))="","",INDEX(Roster!$D:$D,MATCH($C780,Roster!$B:$B,0))&amp;""),"—"))</f>
        <v/>
      </c>
      <c r="G780" s="25">
        <f>IF($C780="","",IFERROR(IF(INDEX(Roster!$E:$E,MATCH($C780,Roster!$B:$B,0))="","",INDEX(Roster!$E:$E,MATCH($C780,Roster!$B:$B,0))&amp;""),"—"))</f>
        <v/>
      </c>
      <c r="H780" s="25">
        <f>IF($C780="","",IFERROR(IF(INDEX(Roster!$F:$F,MATCH($C780,Roster!$B:$B,0))="","",INDEX(Roster!$F:$F,MATCH($C780,Roster!$B:$B,0))&amp;""),"—"))</f>
        <v/>
      </c>
      <c r="I780" s="25">
        <f>IF($C780="","",IFERROR(IF(INDEX(Roster!$G:$G,MATCH($C780,Roster!$B:$B,0))="","",INDEX(Roster!$G:$G,MATCH($C780,Roster!$B:$B,0))&amp;""),"—"))</f>
        <v/>
      </c>
      <c r="J780" s="25">
        <f>IF($C780="","",IFERROR(IF(INDEX(Roster!$I:$I,MATCH($C780,Roster!$B:$B,0))="","",INDEX(Roster!$I:$I,MATCH($C780,Roster!$B:$B,0))&amp;""),"—"))</f>
        <v/>
      </c>
      <c r="K780">
        <f>IF($C780="","",IFERROR(IF(INDEX(Roster!$J:$J,MATCH($C780,Roster!$B:$B,0))="","",INDEX(Roster!$J:$J,MATCH($C780,Roster!$B:$B,0))&amp;""),"—"))</f>
        <v/>
      </c>
      <c r="L780">
        <f>IF($C780="","",IFERROR(IF(INDEX(Roster!$K:$K,MATCH($C780,Roster!$B:$B,0))="","",INDEX(Roster!$K:$K,MATCH($C780,Roster!$B:$B,0))&amp;""),"—"))</f>
        <v/>
      </c>
      <c r="M780" s="27" t="n"/>
      <c r="N780" s="27" t="n"/>
      <c r="O780" s="25">
        <f>IF($C780="","",IF($P780="","—",IF($P780="Valid (Pass)","Valid","Invalid")))</f>
        <v/>
      </c>
      <c r="P780" s="27" t="n"/>
      <c r="Q780" s="27" t="n"/>
      <c r="R780" s="27" t="n"/>
      <c r="S780" s="27" t="n"/>
      <c r="T780" s="25">
        <f>IF($C780="","",IF(OR(ISNUMBER(SEARCH("quick case",$P780)),ISNUMBER(SEARCH("quick case",$Q780))),"Yes","No"))</f>
        <v/>
      </c>
      <c r="U780" s="25">
        <f>IF($O780="Invalid",HYPERLINK("mailto:"&amp;$G780&amp;";"&amp;$I780&amp;"?cc="&amp;Lists!$E$2&amp;"&amp;subject="&amp;_xlfn.ENCODEURL("[INVALID] Quality audit monitoring completed for "&amp;UPPER($C780))&amp;"&amp;body="&amp;_xlfn.ENCODEURL("Hi "&amp;$F780&amp;","&amp;CHAR(10)&amp;"Good day!"&amp;CHAR(10)&amp;CHAR(10)&amp;"A quality monitoring audit has been completed for "&amp;$C780&amp;"."&amp;CHAR(10)&amp;CHAR(10)&amp;"QUALITY AUDIT DETAILS"&amp;CHAR(10)&amp;"Agent Name: "&amp;$C780&amp;" (EID "&amp;$D780&amp;")"&amp;CHAR(10)&amp;"Audit Date: "&amp;TEXT($B780,"yyyy-mm-dd")&amp;CHAR(10)&amp;"Team Leader: "&amp;$F780&amp;CHAR(10)&amp;"Case Number: "&amp;$M780&amp;CHAR(10)&amp;"Transaction ID: "&amp;$N780&amp;CHAR(10)&amp;"Channel / LOB: "&amp;$K780&amp;" / "&amp;$L780&amp;CHAR(10)&amp;"Evaluator: "&amp;$S780&amp;CHAR(10)&amp;CHAR(10)&amp;"INVALID QUALITY AUDIT DETAILS"&amp;CHAR(10)&amp;"Validation: Invalid"&amp;CHAR(10)&amp;"Invalid Reason: "&amp;$P780&amp;CHAR(10)&amp;"Expected Resolution Code: "&amp;$Q780&amp;CHAR(10)&amp;"Remarks: "&amp;LEFT($R780,600)&amp;CHAR(10)&amp;CHAR(10)&amp;"This is an automated notification from HP Mainstream EQMS."),"✉ Open Email Draft"),"")</f>
        <v/>
      </c>
    </row>
    <row r="781">
      <c r="A781" s="25">
        <f>IF($C781="","","AUD-2026-"&amp;TEXT(ROW()-1,"000000"))</f>
        <v/>
      </c>
      <c r="B781" s="26" t="n"/>
      <c r="C781" s="27" t="n"/>
      <c r="D781" s="25">
        <f>IF($C781="","",IFERROR(IF(INDEX(Roster!$A:$A,MATCH($C781,Roster!$B:$B,0))="","",INDEX(Roster!$A:$A,MATCH($C781,Roster!$B:$B,0))&amp;""),"—"))</f>
        <v/>
      </c>
      <c r="E781" s="25">
        <f>IF($C781="","",IFERROR(IF(INDEX(Roster!$C:$C,MATCH($C781,Roster!$B:$B,0))="","",INDEX(Roster!$C:$C,MATCH($C781,Roster!$B:$B,0))&amp;""),"—"))</f>
        <v/>
      </c>
      <c r="F781" s="25">
        <f>IF($C781="","",IFERROR(IF(INDEX(Roster!$D:$D,MATCH($C781,Roster!$B:$B,0))="","",INDEX(Roster!$D:$D,MATCH($C781,Roster!$B:$B,0))&amp;""),"—"))</f>
        <v/>
      </c>
      <c r="G781" s="25">
        <f>IF($C781="","",IFERROR(IF(INDEX(Roster!$E:$E,MATCH($C781,Roster!$B:$B,0))="","",INDEX(Roster!$E:$E,MATCH($C781,Roster!$B:$B,0))&amp;""),"—"))</f>
        <v/>
      </c>
      <c r="H781" s="25">
        <f>IF($C781="","",IFERROR(IF(INDEX(Roster!$F:$F,MATCH($C781,Roster!$B:$B,0))="","",INDEX(Roster!$F:$F,MATCH($C781,Roster!$B:$B,0))&amp;""),"—"))</f>
        <v/>
      </c>
      <c r="I781" s="25">
        <f>IF($C781="","",IFERROR(IF(INDEX(Roster!$G:$G,MATCH($C781,Roster!$B:$B,0))="","",INDEX(Roster!$G:$G,MATCH($C781,Roster!$B:$B,0))&amp;""),"—"))</f>
        <v/>
      </c>
      <c r="J781" s="25">
        <f>IF($C781="","",IFERROR(IF(INDEX(Roster!$I:$I,MATCH($C781,Roster!$B:$B,0))="","",INDEX(Roster!$I:$I,MATCH($C781,Roster!$B:$B,0))&amp;""),"—"))</f>
        <v/>
      </c>
      <c r="K781">
        <f>IF($C781="","",IFERROR(IF(INDEX(Roster!$J:$J,MATCH($C781,Roster!$B:$B,0))="","",INDEX(Roster!$J:$J,MATCH($C781,Roster!$B:$B,0))&amp;""),"—"))</f>
        <v/>
      </c>
      <c r="L781">
        <f>IF($C781="","",IFERROR(IF(INDEX(Roster!$K:$K,MATCH($C781,Roster!$B:$B,0))="","",INDEX(Roster!$K:$K,MATCH($C781,Roster!$B:$B,0))&amp;""),"—"))</f>
        <v/>
      </c>
      <c r="M781" s="27" t="n"/>
      <c r="N781" s="27" t="n"/>
      <c r="O781" s="25">
        <f>IF($C781="","",IF($P781="","—",IF($P781="Valid (Pass)","Valid","Invalid")))</f>
        <v/>
      </c>
      <c r="P781" s="27" t="n"/>
      <c r="Q781" s="27" t="n"/>
      <c r="R781" s="27" t="n"/>
      <c r="S781" s="27" t="n"/>
      <c r="T781" s="25">
        <f>IF($C781="","",IF(OR(ISNUMBER(SEARCH("quick case",$P781)),ISNUMBER(SEARCH("quick case",$Q781))),"Yes","No"))</f>
        <v/>
      </c>
      <c r="U781" s="25">
        <f>IF($O781="Invalid",HYPERLINK("mailto:"&amp;$G781&amp;";"&amp;$I781&amp;"?cc="&amp;Lists!$E$2&amp;"&amp;subject="&amp;_xlfn.ENCODEURL("[INVALID] Quality audit monitoring completed for "&amp;UPPER($C781))&amp;"&amp;body="&amp;_xlfn.ENCODEURL("Hi "&amp;$F781&amp;","&amp;CHAR(10)&amp;"Good day!"&amp;CHAR(10)&amp;CHAR(10)&amp;"A quality monitoring audit has been completed for "&amp;$C781&amp;"."&amp;CHAR(10)&amp;CHAR(10)&amp;"QUALITY AUDIT DETAILS"&amp;CHAR(10)&amp;"Agent Name: "&amp;$C781&amp;" (EID "&amp;$D781&amp;")"&amp;CHAR(10)&amp;"Audit Date: "&amp;TEXT($B781,"yyyy-mm-dd")&amp;CHAR(10)&amp;"Team Leader: "&amp;$F781&amp;CHAR(10)&amp;"Case Number: "&amp;$M781&amp;CHAR(10)&amp;"Transaction ID: "&amp;$N781&amp;CHAR(10)&amp;"Channel / LOB: "&amp;$K781&amp;" / "&amp;$L781&amp;CHAR(10)&amp;"Evaluator: "&amp;$S781&amp;CHAR(10)&amp;CHAR(10)&amp;"INVALID QUALITY AUDIT DETAILS"&amp;CHAR(10)&amp;"Validation: Invalid"&amp;CHAR(10)&amp;"Invalid Reason: "&amp;$P781&amp;CHAR(10)&amp;"Expected Resolution Code: "&amp;$Q781&amp;CHAR(10)&amp;"Remarks: "&amp;LEFT($R781,600)&amp;CHAR(10)&amp;CHAR(10)&amp;"This is an automated notification from HP Mainstream EQMS."),"✉ Open Email Draft"),"")</f>
        <v/>
      </c>
    </row>
    <row r="782">
      <c r="A782" s="25">
        <f>IF($C782="","","AUD-2026-"&amp;TEXT(ROW()-1,"000000"))</f>
        <v/>
      </c>
      <c r="B782" s="26" t="n"/>
      <c r="C782" s="27" t="n"/>
      <c r="D782" s="25">
        <f>IF($C782="","",IFERROR(IF(INDEX(Roster!$A:$A,MATCH($C782,Roster!$B:$B,0))="","",INDEX(Roster!$A:$A,MATCH($C782,Roster!$B:$B,0))&amp;""),"—"))</f>
        <v/>
      </c>
      <c r="E782" s="25">
        <f>IF($C782="","",IFERROR(IF(INDEX(Roster!$C:$C,MATCH($C782,Roster!$B:$B,0))="","",INDEX(Roster!$C:$C,MATCH($C782,Roster!$B:$B,0))&amp;""),"—"))</f>
        <v/>
      </c>
      <c r="F782" s="25">
        <f>IF($C782="","",IFERROR(IF(INDEX(Roster!$D:$D,MATCH($C782,Roster!$B:$B,0))="","",INDEX(Roster!$D:$D,MATCH($C782,Roster!$B:$B,0))&amp;""),"—"))</f>
        <v/>
      </c>
      <c r="G782" s="25">
        <f>IF($C782="","",IFERROR(IF(INDEX(Roster!$E:$E,MATCH($C782,Roster!$B:$B,0))="","",INDEX(Roster!$E:$E,MATCH($C782,Roster!$B:$B,0))&amp;""),"—"))</f>
        <v/>
      </c>
      <c r="H782" s="25">
        <f>IF($C782="","",IFERROR(IF(INDEX(Roster!$F:$F,MATCH($C782,Roster!$B:$B,0))="","",INDEX(Roster!$F:$F,MATCH($C782,Roster!$B:$B,0))&amp;""),"—"))</f>
        <v/>
      </c>
      <c r="I782" s="25">
        <f>IF($C782="","",IFERROR(IF(INDEX(Roster!$G:$G,MATCH($C782,Roster!$B:$B,0))="","",INDEX(Roster!$G:$G,MATCH($C782,Roster!$B:$B,0))&amp;""),"—"))</f>
        <v/>
      </c>
      <c r="J782" s="25">
        <f>IF($C782="","",IFERROR(IF(INDEX(Roster!$I:$I,MATCH($C782,Roster!$B:$B,0))="","",INDEX(Roster!$I:$I,MATCH($C782,Roster!$B:$B,0))&amp;""),"—"))</f>
        <v/>
      </c>
      <c r="K782">
        <f>IF($C782="","",IFERROR(IF(INDEX(Roster!$J:$J,MATCH($C782,Roster!$B:$B,0))="","",INDEX(Roster!$J:$J,MATCH($C782,Roster!$B:$B,0))&amp;""),"—"))</f>
        <v/>
      </c>
      <c r="L782">
        <f>IF($C782="","",IFERROR(IF(INDEX(Roster!$K:$K,MATCH($C782,Roster!$B:$B,0))="","",INDEX(Roster!$K:$K,MATCH($C782,Roster!$B:$B,0))&amp;""),"—"))</f>
        <v/>
      </c>
      <c r="M782" s="27" t="n"/>
      <c r="N782" s="27" t="n"/>
      <c r="O782" s="25">
        <f>IF($C782="","",IF($P782="","—",IF($P782="Valid (Pass)","Valid","Invalid")))</f>
        <v/>
      </c>
      <c r="P782" s="27" t="n"/>
      <c r="Q782" s="27" t="n"/>
      <c r="R782" s="27" t="n"/>
      <c r="S782" s="27" t="n"/>
      <c r="T782" s="25">
        <f>IF($C782="","",IF(OR(ISNUMBER(SEARCH("quick case",$P782)),ISNUMBER(SEARCH("quick case",$Q782))),"Yes","No"))</f>
        <v/>
      </c>
      <c r="U782" s="25">
        <f>IF($O782="Invalid",HYPERLINK("mailto:"&amp;$G782&amp;";"&amp;$I782&amp;"?cc="&amp;Lists!$E$2&amp;"&amp;subject="&amp;_xlfn.ENCODEURL("[INVALID] Quality audit monitoring completed for "&amp;UPPER($C782))&amp;"&amp;body="&amp;_xlfn.ENCODEURL("Hi "&amp;$F782&amp;","&amp;CHAR(10)&amp;"Good day!"&amp;CHAR(10)&amp;CHAR(10)&amp;"A quality monitoring audit has been completed for "&amp;$C782&amp;"."&amp;CHAR(10)&amp;CHAR(10)&amp;"QUALITY AUDIT DETAILS"&amp;CHAR(10)&amp;"Agent Name: "&amp;$C782&amp;" (EID "&amp;$D782&amp;")"&amp;CHAR(10)&amp;"Audit Date: "&amp;TEXT($B782,"yyyy-mm-dd")&amp;CHAR(10)&amp;"Team Leader: "&amp;$F782&amp;CHAR(10)&amp;"Case Number: "&amp;$M782&amp;CHAR(10)&amp;"Transaction ID: "&amp;$N782&amp;CHAR(10)&amp;"Channel / LOB: "&amp;$K782&amp;" / "&amp;$L782&amp;CHAR(10)&amp;"Evaluator: "&amp;$S782&amp;CHAR(10)&amp;CHAR(10)&amp;"INVALID QUALITY AUDIT DETAILS"&amp;CHAR(10)&amp;"Validation: Invalid"&amp;CHAR(10)&amp;"Invalid Reason: "&amp;$P782&amp;CHAR(10)&amp;"Expected Resolution Code: "&amp;$Q782&amp;CHAR(10)&amp;"Remarks: "&amp;LEFT($R782,600)&amp;CHAR(10)&amp;CHAR(10)&amp;"This is an automated notification from HP Mainstream EQMS."),"✉ Open Email Draft"),"")</f>
        <v/>
      </c>
    </row>
    <row r="783">
      <c r="A783" s="25">
        <f>IF($C783="","","AUD-2026-"&amp;TEXT(ROW()-1,"000000"))</f>
        <v/>
      </c>
      <c r="B783" s="26" t="n"/>
      <c r="C783" s="27" t="n"/>
      <c r="D783" s="25">
        <f>IF($C783="","",IFERROR(IF(INDEX(Roster!$A:$A,MATCH($C783,Roster!$B:$B,0))="","",INDEX(Roster!$A:$A,MATCH($C783,Roster!$B:$B,0))&amp;""),"—"))</f>
        <v/>
      </c>
      <c r="E783" s="25">
        <f>IF($C783="","",IFERROR(IF(INDEX(Roster!$C:$C,MATCH($C783,Roster!$B:$B,0))="","",INDEX(Roster!$C:$C,MATCH($C783,Roster!$B:$B,0))&amp;""),"—"))</f>
        <v/>
      </c>
      <c r="F783" s="25">
        <f>IF($C783="","",IFERROR(IF(INDEX(Roster!$D:$D,MATCH($C783,Roster!$B:$B,0))="","",INDEX(Roster!$D:$D,MATCH($C783,Roster!$B:$B,0))&amp;""),"—"))</f>
        <v/>
      </c>
      <c r="G783" s="25">
        <f>IF($C783="","",IFERROR(IF(INDEX(Roster!$E:$E,MATCH($C783,Roster!$B:$B,0))="","",INDEX(Roster!$E:$E,MATCH($C783,Roster!$B:$B,0))&amp;""),"—"))</f>
        <v/>
      </c>
      <c r="H783" s="25">
        <f>IF($C783="","",IFERROR(IF(INDEX(Roster!$F:$F,MATCH($C783,Roster!$B:$B,0))="","",INDEX(Roster!$F:$F,MATCH($C783,Roster!$B:$B,0))&amp;""),"—"))</f>
        <v/>
      </c>
      <c r="I783" s="25">
        <f>IF($C783="","",IFERROR(IF(INDEX(Roster!$G:$G,MATCH($C783,Roster!$B:$B,0))="","",INDEX(Roster!$G:$G,MATCH($C783,Roster!$B:$B,0))&amp;""),"—"))</f>
        <v/>
      </c>
      <c r="J783" s="25">
        <f>IF($C783="","",IFERROR(IF(INDEX(Roster!$I:$I,MATCH($C783,Roster!$B:$B,0))="","",INDEX(Roster!$I:$I,MATCH($C783,Roster!$B:$B,0))&amp;""),"—"))</f>
        <v/>
      </c>
      <c r="K783">
        <f>IF($C783="","",IFERROR(IF(INDEX(Roster!$J:$J,MATCH($C783,Roster!$B:$B,0))="","",INDEX(Roster!$J:$J,MATCH($C783,Roster!$B:$B,0))&amp;""),"—"))</f>
        <v/>
      </c>
      <c r="L783">
        <f>IF($C783="","",IFERROR(IF(INDEX(Roster!$K:$K,MATCH($C783,Roster!$B:$B,0))="","",INDEX(Roster!$K:$K,MATCH($C783,Roster!$B:$B,0))&amp;""),"—"))</f>
        <v/>
      </c>
      <c r="M783" s="27" t="n"/>
      <c r="N783" s="27" t="n"/>
      <c r="O783" s="25">
        <f>IF($C783="","",IF($P783="","—",IF($P783="Valid (Pass)","Valid","Invalid")))</f>
        <v/>
      </c>
      <c r="P783" s="27" t="n"/>
      <c r="Q783" s="27" t="n"/>
      <c r="R783" s="27" t="n"/>
      <c r="S783" s="27" t="n"/>
      <c r="T783" s="25">
        <f>IF($C783="","",IF(OR(ISNUMBER(SEARCH("quick case",$P783)),ISNUMBER(SEARCH("quick case",$Q783))),"Yes","No"))</f>
        <v/>
      </c>
      <c r="U783" s="25">
        <f>IF($O783="Invalid",HYPERLINK("mailto:"&amp;$G783&amp;";"&amp;$I783&amp;"?cc="&amp;Lists!$E$2&amp;"&amp;subject="&amp;_xlfn.ENCODEURL("[INVALID] Quality audit monitoring completed for "&amp;UPPER($C783))&amp;"&amp;body="&amp;_xlfn.ENCODEURL("Hi "&amp;$F783&amp;","&amp;CHAR(10)&amp;"Good day!"&amp;CHAR(10)&amp;CHAR(10)&amp;"A quality monitoring audit has been completed for "&amp;$C783&amp;"."&amp;CHAR(10)&amp;CHAR(10)&amp;"QUALITY AUDIT DETAILS"&amp;CHAR(10)&amp;"Agent Name: "&amp;$C783&amp;" (EID "&amp;$D783&amp;")"&amp;CHAR(10)&amp;"Audit Date: "&amp;TEXT($B783,"yyyy-mm-dd")&amp;CHAR(10)&amp;"Team Leader: "&amp;$F783&amp;CHAR(10)&amp;"Case Number: "&amp;$M783&amp;CHAR(10)&amp;"Transaction ID: "&amp;$N783&amp;CHAR(10)&amp;"Channel / LOB: "&amp;$K783&amp;" / "&amp;$L783&amp;CHAR(10)&amp;"Evaluator: "&amp;$S783&amp;CHAR(10)&amp;CHAR(10)&amp;"INVALID QUALITY AUDIT DETAILS"&amp;CHAR(10)&amp;"Validation: Invalid"&amp;CHAR(10)&amp;"Invalid Reason: "&amp;$P783&amp;CHAR(10)&amp;"Expected Resolution Code: "&amp;$Q783&amp;CHAR(10)&amp;"Remarks: "&amp;LEFT($R783,600)&amp;CHAR(10)&amp;CHAR(10)&amp;"This is an automated notification from HP Mainstream EQMS."),"✉ Open Email Draft"),"")</f>
        <v/>
      </c>
    </row>
    <row r="784">
      <c r="A784" s="25">
        <f>IF($C784="","","AUD-2026-"&amp;TEXT(ROW()-1,"000000"))</f>
        <v/>
      </c>
      <c r="B784" s="26" t="n"/>
      <c r="C784" s="27" t="n"/>
      <c r="D784" s="25">
        <f>IF($C784="","",IFERROR(IF(INDEX(Roster!$A:$A,MATCH($C784,Roster!$B:$B,0))="","",INDEX(Roster!$A:$A,MATCH($C784,Roster!$B:$B,0))&amp;""),"—"))</f>
        <v/>
      </c>
      <c r="E784" s="25">
        <f>IF($C784="","",IFERROR(IF(INDEX(Roster!$C:$C,MATCH($C784,Roster!$B:$B,0))="","",INDEX(Roster!$C:$C,MATCH($C784,Roster!$B:$B,0))&amp;""),"—"))</f>
        <v/>
      </c>
      <c r="F784" s="25">
        <f>IF($C784="","",IFERROR(IF(INDEX(Roster!$D:$D,MATCH($C784,Roster!$B:$B,0))="","",INDEX(Roster!$D:$D,MATCH($C784,Roster!$B:$B,0))&amp;""),"—"))</f>
        <v/>
      </c>
      <c r="G784" s="25">
        <f>IF($C784="","",IFERROR(IF(INDEX(Roster!$E:$E,MATCH($C784,Roster!$B:$B,0))="","",INDEX(Roster!$E:$E,MATCH($C784,Roster!$B:$B,0))&amp;""),"—"))</f>
        <v/>
      </c>
      <c r="H784" s="25">
        <f>IF($C784="","",IFERROR(IF(INDEX(Roster!$F:$F,MATCH($C784,Roster!$B:$B,0))="","",INDEX(Roster!$F:$F,MATCH($C784,Roster!$B:$B,0))&amp;""),"—"))</f>
        <v/>
      </c>
      <c r="I784" s="25">
        <f>IF($C784="","",IFERROR(IF(INDEX(Roster!$G:$G,MATCH($C784,Roster!$B:$B,0))="","",INDEX(Roster!$G:$G,MATCH($C784,Roster!$B:$B,0))&amp;""),"—"))</f>
        <v/>
      </c>
      <c r="J784" s="25">
        <f>IF($C784="","",IFERROR(IF(INDEX(Roster!$I:$I,MATCH($C784,Roster!$B:$B,0))="","",INDEX(Roster!$I:$I,MATCH($C784,Roster!$B:$B,0))&amp;""),"—"))</f>
        <v/>
      </c>
      <c r="K784">
        <f>IF($C784="","",IFERROR(IF(INDEX(Roster!$J:$J,MATCH($C784,Roster!$B:$B,0))="","",INDEX(Roster!$J:$J,MATCH($C784,Roster!$B:$B,0))&amp;""),"—"))</f>
        <v/>
      </c>
      <c r="L784">
        <f>IF($C784="","",IFERROR(IF(INDEX(Roster!$K:$K,MATCH($C784,Roster!$B:$B,0))="","",INDEX(Roster!$K:$K,MATCH($C784,Roster!$B:$B,0))&amp;""),"—"))</f>
        <v/>
      </c>
      <c r="M784" s="27" t="n"/>
      <c r="N784" s="27" t="n"/>
      <c r="O784" s="25">
        <f>IF($C784="","",IF($P784="","—",IF($P784="Valid (Pass)","Valid","Invalid")))</f>
        <v/>
      </c>
      <c r="P784" s="27" t="n"/>
      <c r="Q784" s="27" t="n"/>
      <c r="R784" s="27" t="n"/>
      <c r="S784" s="27" t="n"/>
      <c r="T784" s="25">
        <f>IF($C784="","",IF(OR(ISNUMBER(SEARCH("quick case",$P784)),ISNUMBER(SEARCH("quick case",$Q784))),"Yes","No"))</f>
        <v/>
      </c>
      <c r="U784" s="25">
        <f>IF($O784="Invalid",HYPERLINK("mailto:"&amp;$G784&amp;";"&amp;$I784&amp;"?cc="&amp;Lists!$E$2&amp;"&amp;subject="&amp;_xlfn.ENCODEURL("[INVALID] Quality audit monitoring completed for "&amp;UPPER($C784))&amp;"&amp;body="&amp;_xlfn.ENCODEURL("Hi "&amp;$F784&amp;","&amp;CHAR(10)&amp;"Good day!"&amp;CHAR(10)&amp;CHAR(10)&amp;"A quality monitoring audit has been completed for "&amp;$C784&amp;"."&amp;CHAR(10)&amp;CHAR(10)&amp;"QUALITY AUDIT DETAILS"&amp;CHAR(10)&amp;"Agent Name: "&amp;$C784&amp;" (EID "&amp;$D784&amp;")"&amp;CHAR(10)&amp;"Audit Date: "&amp;TEXT($B784,"yyyy-mm-dd")&amp;CHAR(10)&amp;"Team Leader: "&amp;$F784&amp;CHAR(10)&amp;"Case Number: "&amp;$M784&amp;CHAR(10)&amp;"Transaction ID: "&amp;$N784&amp;CHAR(10)&amp;"Channel / LOB: "&amp;$K784&amp;" / "&amp;$L784&amp;CHAR(10)&amp;"Evaluator: "&amp;$S784&amp;CHAR(10)&amp;CHAR(10)&amp;"INVALID QUALITY AUDIT DETAILS"&amp;CHAR(10)&amp;"Validation: Invalid"&amp;CHAR(10)&amp;"Invalid Reason: "&amp;$P784&amp;CHAR(10)&amp;"Expected Resolution Code: "&amp;$Q784&amp;CHAR(10)&amp;"Remarks: "&amp;LEFT($R784,600)&amp;CHAR(10)&amp;CHAR(10)&amp;"This is an automated notification from HP Mainstream EQMS."),"✉ Open Email Draft"),"")</f>
        <v/>
      </c>
    </row>
    <row r="785">
      <c r="A785" s="25">
        <f>IF($C785="","","AUD-2026-"&amp;TEXT(ROW()-1,"000000"))</f>
        <v/>
      </c>
      <c r="B785" s="26" t="n"/>
      <c r="C785" s="27" t="n"/>
      <c r="D785" s="25">
        <f>IF($C785="","",IFERROR(IF(INDEX(Roster!$A:$A,MATCH($C785,Roster!$B:$B,0))="","",INDEX(Roster!$A:$A,MATCH($C785,Roster!$B:$B,0))&amp;""),"—"))</f>
        <v/>
      </c>
      <c r="E785" s="25">
        <f>IF($C785="","",IFERROR(IF(INDEX(Roster!$C:$C,MATCH($C785,Roster!$B:$B,0))="","",INDEX(Roster!$C:$C,MATCH($C785,Roster!$B:$B,0))&amp;""),"—"))</f>
        <v/>
      </c>
      <c r="F785" s="25">
        <f>IF($C785="","",IFERROR(IF(INDEX(Roster!$D:$D,MATCH($C785,Roster!$B:$B,0))="","",INDEX(Roster!$D:$D,MATCH($C785,Roster!$B:$B,0))&amp;""),"—"))</f>
        <v/>
      </c>
      <c r="G785" s="25">
        <f>IF($C785="","",IFERROR(IF(INDEX(Roster!$E:$E,MATCH($C785,Roster!$B:$B,0))="","",INDEX(Roster!$E:$E,MATCH($C785,Roster!$B:$B,0))&amp;""),"—"))</f>
        <v/>
      </c>
      <c r="H785" s="25">
        <f>IF($C785="","",IFERROR(IF(INDEX(Roster!$F:$F,MATCH($C785,Roster!$B:$B,0))="","",INDEX(Roster!$F:$F,MATCH($C785,Roster!$B:$B,0))&amp;""),"—"))</f>
        <v/>
      </c>
      <c r="I785" s="25">
        <f>IF($C785="","",IFERROR(IF(INDEX(Roster!$G:$G,MATCH($C785,Roster!$B:$B,0))="","",INDEX(Roster!$G:$G,MATCH($C785,Roster!$B:$B,0))&amp;""),"—"))</f>
        <v/>
      </c>
      <c r="J785" s="25">
        <f>IF($C785="","",IFERROR(IF(INDEX(Roster!$I:$I,MATCH($C785,Roster!$B:$B,0))="","",INDEX(Roster!$I:$I,MATCH($C785,Roster!$B:$B,0))&amp;""),"—"))</f>
        <v/>
      </c>
      <c r="K785">
        <f>IF($C785="","",IFERROR(IF(INDEX(Roster!$J:$J,MATCH($C785,Roster!$B:$B,0))="","",INDEX(Roster!$J:$J,MATCH($C785,Roster!$B:$B,0))&amp;""),"—"))</f>
        <v/>
      </c>
      <c r="L785">
        <f>IF($C785="","",IFERROR(IF(INDEX(Roster!$K:$K,MATCH($C785,Roster!$B:$B,0))="","",INDEX(Roster!$K:$K,MATCH($C785,Roster!$B:$B,0))&amp;""),"—"))</f>
        <v/>
      </c>
      <c r="M785" s="27" t="n"/>
      <c r="N785" s="27" t="n"/>
      <c r="O785" s="25">
        <f>IF($C785="","",IF($P785="","—",IF($P785="Valid (Pass)","Valid","Invalid")))</f>
        <v/>
      </c>
      <c r="P785" s="27" t="n"/>
      <c r="Q785" s="27" t="n"/>
      <c r="R785" s="27" t="n"/>
      <c r="S785" s="27" t="n"/>
      <c r="T785" s="25">
        <f>IF($C785="","",IF(OR(ISNUMBER(SEARCH("quick case",$P785)),ISNUMBER(SEARCH("quick case",$Q785))),"Yes","No"))</f>
        <v/>
      </c>
      <c r="U785" s="25">
        <f>IF($O785="Invalid",HYPERLINK("mailto:"&amp;$G785&amp;";"&amp;$I785&amp;"?cc="&amp;Lists!$E$2&amp;"&amp;subject="&amp;_xlfn.ENCODEURL("[INVALID] Quality audit monitoring completed for "&amp;UPPER($C785))&amp;"&amp;body="&amp;_xlfn.ENCODEURL("Hi "&amp;$F785&amp;","&amp;CHAR(10)&amp;"Good day!"&amp;CHAR(10)&amp;CHAR(10)&amp;"A quality monitoring audit has been completed for "&amp;$C785&amp;"."&amp;CHAR(10)&amp;CHAR(10)&amp;"QUALITY AUDIT DETAILS"&amp;CHAR(10)&amp;"Agent Name: "&amp;$C785&amp;" (EID "&amp;$D785&amp;")"&amp;CHAR(10)&amp;"Audit Date: "&amp;TEXT($B785,"yyyy-mm-dd")&amp;CHAR(10)&amp;"Team Leader: "&amp;$F785&amp;CHAR(10)&amp;"Case Number: "&amp;$M785&amp;CHAR(10)&amp;"Transaction ID: "&amp;$N785&amp;CHAR(10)&amp;"Channel / LOB: "&amp;$K785&amp;" / "&amp;$L785&amp;CHAR(10)&amp;"Evaluator: "&amp;$S785&amp;CHAR(10)&amp;CHAR(10)&amp;"INVALID QUALITY AUDIT DETAILS"&amp;CHAR(10)&amp;"Validation: Invalid"&amp;CHAR(10)&amp;"Invalid Reason: "&amp;$P785&amp;CHAR(10)&amp;"Expected Resolution Code: "&amp;$Q785&amp;CHAR(10)&amp;"Remarks: "&amp;LEFT($R785,600)&amp;CHAR(10)&amp;CHAR(10)&amp;"This is an automated notification from HP Mainstream EQMS."),"✉ Open Email Draft"),"")</f>
        <v/>
      </c>
    </row>
    <row r="786">
      <c r="A786" s="25">
        <f>IF($C786="","","AUD-2026-"&amp;TEXT(ROW()-1,"000000"))</f>
        <v/>
      </c>
      <c r="B786" s="26" t="n"/>
      <c r="C786" s="27" t="n"/>
      <c r="D786" s="25">
        <f>IF($C786="","",IFERROR(IF(INDEX(Roster!$A:$A,MATCH($C786,Roster!$B:$B,0))="","",INDEX(Roster!$A:$A,MATCH($C786,Roster!$B:$B,0))&amp;""),"—"))</f>
        <v/>
      </c>
      <c r="E786" s="25">
        <f>IF($C786="","",IFERROR(IF(INDEX(Roster!$C:$C,MATCH($C786,Roster!$B:$B,0))="","",INDEX(Roster!$C:$C,MATCH($C786,Roster!$B:$B,0))&amp;""),"—"))</f>
        <v/>
      </c>
      <c r="F786" s="25">
        <f>IF($C786="","",IFERROR(IF(INDEX(Roster!$D:$D,MATCH($C786,Roster!$B:$B,0))="","",INDEX(Roster!$D:$D,MATCH($C786,Roster!$B:$B,0))&amp;""),"—"))</f>
        <v/>
      </c>
      <c r="G786" s="25">
        <f>IF($C786="","",IFERROR(IF(INDEX(Roster!$E:$E,MATCH($C786,Roster!$B:$B,0))="","",INDEX(Roster!$E:$E,MATCH($C786,Roster!$B:$B,0))&amp;""),"—"))</f>
        <v/>
      </c>
      <c r="H786" s="25">
        <f>IF($C786="","",IFERROR(IF(INDEX(Roster!$F:$F,MATCH($C786,Roster!$B:$B,0))="","",INDEX(Roster!$F:$F,MATCH($C786,Roster!$B:$B,0))&amp;""),"—"))</f>
        <v/>
      </c>
      <c r="I786" s="25">
        <f>IF($C786="","",IFERROR(IF(INDEX(Roster!$G:$G,MATCH($C786,Roster!$B:$B,0))="","",INDEX(Roster!$G:$G,MATCH($C786,Roster!$B:$B,0))&amp;""),"—"))</f>
        <v/>
      </c>
      <c r="J786" s="25">
        <f>IF($C786="","",IFERROR(IF(INDEX(Roster!$I:$I,MATCH($C786,Roster!$B:$B,0))="","",INDEX(Roster!$I:$I,MATCH($C786,Roster!$B:$B,0))&amp;""),"—"))</f>
        <v/>
      </c>
      <c r="K786">
        <f>IF($C786="","",IFERROR(IF(INDEX(Roster!$J:$J,MATCH($C786,Roster!$B:$B,0))="","",INDEX(Roster!$J:$J,MATCH($C786,Roster!$B:$B,0))&amp;""),"—"))</f>
        <v/>
      </c>
      <c r="L786">
        <f>IF($C786="","",IFERROR(IF(INDEX(Roster!$K:$K,MATCH($C786,Roster!$B:$B,0))="","",INDEX(Roster!$K:$K,MATCH($C786,Roster!$B:$B,0))&amp;""),"—"))</f>
        <v/>
      </c>
      <c r="M786" s="27" t="n"/>
      <c r="N786" s="27" t="n"/>
      <c r="O786" s="25">
        <f>IF($C786="","",IF($P786="","—",IF($P786="Valid (Pass)","Valid","Invalid")))</f>
        <v/>
      </c>
      <c r="P786" s="27" t="n"/>
      <c r="Q786" s="27" t="n"/>
      <c r="R786" s="27" t="n"/>
      <c r="S786" s="27" t="n"/>
      <c r="T786" s="25">
        <f>IF($C786="","",IF(OR(ISNUMBER(SEARCH("quick case",$P786)),ISNUMBER(SEARCH("quick case",$Q786))),"Yes","No"))</f>
        <v/>
      </c>
      <c r="U786" s="25">
        <f>IF($O786="Invalid",HYPERLINK("mailto:"&amp;$G786&amp;";"&amp;$I786&amp;"?cc="&amp;Lists!$E$2&amp;"&amp;subject="&amp;_xlfn.ENCODEURL("[INVALID] Quality audit monitoring completed for "&amp;UPPER($C786))&amp;"&amp;body="&amp;_xlfn.ENCODEURL("Hi "&amp;$F786&amp;","&amp;CHAR(10)&amp;"Good day!"&amp;CHAR(10)&amp;CHAR(10)&amp;"A quality monitoring audit has been completed for "&amp;$C786&amp;"."&amp;CHAR(10)&amp;CHAR(10)&amp;"QUALITY AUDIT DETAILS"&amp;CHAR(10)&amp;"Agent Name: "&amp;$C786&amp;" (EID "&amp;$D786&amp;")"&amp;CHAR(10)&amp;"Audit Date: "&amp;TEXT($B786,"yyyy-mm-dd")&amp;CHAR(10)&amp;"Team Leader: "&amp;$F786&amp;CHAR(10)&amp;"Case Number: "&amp;$M786&amp;CHAR(10)&amp;"Transaction ID: "&amp;$N786&amp;CHAR(10)&amp;"Channel / LOB: "&amp;$K786&amp;" / "&amp;$L786&amp;CHAR(10)&amp;"Evaluator: "&amp;$S786&amp;CHAR(10)&amp;CHAR(10)&amp;"INVALID QUALITY AUDIT DETAILS"&amp;CHAR(10)&amp;"Validation: Invalid"&amp;CHAR(10)&amp;"Invalid Reason: "&amp;$P786&amp;CHAR(10)&amp;"Expected Resolution Code: "&amp;$Q786&amp;CHAR(10)&amp;"Remarks: "&amp;LEFT($R786,600)&amp;CHAR(10)&amp;CHAR(10)&amp;"This is an automated notification from HP Mainstream EQMS."),"✉ Open Email Draft"),"")</f>
        <v/>
      </c>
    </row>
    <row r="787">
      <c r="A787" s="25">
        <f>IF($C787="","","AUD-2026-"&amp;TEXT(ROW()-1,"000000"))</f>
        <v/>
      </c>
      <c r="B787" s="26" t="n"/>
      <c r="C787" s="27" t="n"/>
      <c r="D787" s="25">
        <f>IF($C787="","",IFERROR(IF(INDEX(Roster!$A:$A,MATCH($C787,Roster!$B:$B,0))="","",INDEX(Roster!$A:$A,MATCH($C787,Roster!$B:$B,0))&amp;""),"—"))</f>
        <v/>
      </c>
      <c r="E787" s="25">
        <f>IF($C787="","",IFERROR(IF(INDEX(Roster!$C:$C,MATCH($C787,Roster!$B:$B,0))="","",INDEX(Roster!$C:$C,MATCH($C787,Roster!$B:$B,0))&amp;""),"—"))</f>
        <v/>
      </c>
      <c r="F787" s="25">
        <f>IF($C787="","",IFERROR(IF(INDEX(Roster!$D:$D,MATCH($C787,Roster!$B:$B,0))="","",INDEX(Roster!$D:$D,MATCH($C787,Roster!$B:$B,0))&amp;""),"—"))</f>
        <v/>
      </c>
      <c r="G787" s="25">
        <f>IF($C787="","",IFERROR(IF(INDEX(Roster!$E:$E,MATCH($C787,Roster!$B:$B,0))="","",INDEX(Roster!$E:$E,MATCH($C787,Roster!$B:$B,0))&amp;""),"—"))</f>
        <v/>
      </c>
      <c r="H787" s="25">
        <f>IF($C787="","",IFERROR(IF(INDEX(Roster!$F:$F,MATCH($C787,Roster!$B:$B,0))="","",INDEX(Roster!$F:$F,MATCH($C787,Roster!$B:$B,0))&amp;""),"—"))</f>
        <v/>
      </c>
      <c r="I787" s="25">
        <f>IF($C787="","",IFERROR(IF(INDEX(Roster!$G:$G,MATCH($C787,Roster!$B:$B,0))="","",INDEX(Roster!$G:$G,MATCH($C787,Roster!$B:$B,0))&amp;""),"—"))</f>
        <v/>
      </c>
      <c r="J787" s="25">
        <f>IF($C787="","",IFERROR(IF(INDEX(Roster!$I:$I,MATCH($C787,Roster!$B:$B,0))="","",INDEX(Roster!$I:$I,MATCH($C787,Roster!$B:$B,0))&amp;""),"—"))</f>
        <v/>
      </c>
      <c r="K787">
        <f>IF($C787="","",IFERROR(IF(INDEX(Roster!$J:$J,MATCH($C787,Roster!$B:$B,0))="","",INDEX(Roster!$J:$J,MATCH($C787,Roster!$B:$B,0))&amp;""),"—"))</f>
        <v/>
      </c>
      <c r="L787">
        <f>IF($C787="","",IFERROR(IF(INDEX(Roster!$K:$K,MATCH($C787,Roster!$B:$B,0))="","",INDEX(Roster!$K:$K,MATCH($C787,Roster!$B:$B,0))&amp;""),"—"))</f>
        <v/>
      </c>
      <c r="M787" s="27" t="n"/>
      <c r="N787" s="27" t="n"/>
      <c r="O787" s="25">
        <f>IF($C787="","",IF($P787="","—",IF($P787="Valid (Pass)","Valid","Invalid")))</f>
        <v/>
      </c>
      <c r="P787" s="27" t="n"/>
      <c r="Q787" s="27" t="n"/>
      <c r="R787" s="27" t="n"/>
      <c r="S787" s="27" t="n"/>
      <c r="T787" s="25">
        <f>IF($C787="","",IF(OR(ISNUMBER(SEARCH("quick case",$P787)),ISNUMBER(SEARCH("quick case",$Q787))),"Yes","No"))</f>
        <v/>
      </c>
      <c r="U787" s="25">
        <f>IF($O787="Invalid",HYPERLINK("mailto:"&amp;$G787&amp;";"&amp;$I787&amp;"?cc="&amp;Lists!$E$2&amp;"&amp;subject="&amp;_xlfn.ENCODEURL("[INVALID] Quality audit monitoring completed for "&amp;UPPER($C787))&amp;"&amp;body="&amp;_xlfn.ENCODEURL("Hi "&amp;$F787&amp;","&amp;CHAR(10)&amp;"Good day!"&amp;CHAR(10)&amp;CHAR(10)&amp;"A quality monitoring audit has been completed for "&amp;$C787&amp;"."&amp;CHAR(10)&amp;CHAR(10)&amp;"QUALITY AUDIT DETAILS"&amp;CHAR(10)&amp;"Agent Name: "&amp;$C787&amp;" (EID "&amp;$D787&amp;")"&amp;CHAR(10)&amp;"Audit Date: "&amp;TEXT($B787,"yyyy-mm-dd")&amp;CHAR(10)&amp;"Team Leader: "&amp;$F787&amp;CHAR(10)&amp;"Case Number: "&amp;$M787&amp;CHAR(10)&amp;"Transaction ID: "&amp;$N787&amp;CHAR(10)&amp;"Channel / LOB: "&amp;$K787&amp;" / "&amp;$L787&amp;CHAR(10)&amp;"Evaluator: "&amp;$S787&amp;CHAR(10)&amp;CHAR(10)&amp;"INVALID QUALITY AUDIT DETAILS"&amp;CHAR(10)&amp;"Validation: Invalid"&amp;CHAR(10)&amp;"Invalid Reason: "&amp;$P787&amp;CHAR(10)&amp;"Expected Resolution Code: "&amp;$Q787&amp;CHAR(10)&amp;"Remarks: "&amp;LEFT($R787,600)&amp;CHAR(10)&amp;CHAR(10)&amp;"This is an automated notification from HP Mainstream EQMS."),"✉ Open Email Draft"),"")</f>
        <v/>
      </c>
    </row>
    <row r="788">
      <c r="A788" s="25">
        <f>IF($C788="","","AUD-2026-"&amp;TEXT(ROW()-1,"000000"))</f>
        <v/>
      </c>
      <c r="B788" s="26" t="n"/>
      <c r="C788" s="27" t="n"/>
      <c r="D788" s="25">
        <f>IF($C788="","",IFERROR(IF(INDEX(Roster!$A:$A,MATCH($C788,Roster!$B:$B,0))="","",INDEX(Roster!$A:$A,MATCH($C788,Roster!$B:$B,0))&amp;""),"—"))</f>
        <v/>
      </c>
      <c r="E788" s="25">
        <f>IF($C788="","",IFERROR(IF(INDEX(Roster!$C:$C,MATCH($C788,Roster!$B:$B,0))="","",INDEX(Roster!$C:$C,MATCH($C788,Roster!$B:$B,0))&amp;""),"—"))</f>
        <v/>
      </c>
      <c r="F788" s="25">
        <f>IF($C788="","",IFERROR(IF(INDEX(Roster!$D:$D,MATCH($C788,Roster!$B:$B,0))="","",INDEX(Roster!$D:$D,MATCH($C788,Roster!$B:$B,0))&amp;""),"—"))</f>
        <v/>
      </c>
      <c r="G788" s="25">
        <f>IF($C788="","",IFERROR(IF(INDEX(Roster!$E:$E,MATCH($C788,Roster!$B:$B,0))="","",INDEX(Roster!$E:$E,MATCH($C788,Roster!$B:$B,0))&amp;""),"—"))</f>
        <v/>
      </c>
      <c r="H788" s="25">
        <f>IF($C788="","",IFERROR(IF(INDEX(Roster!$F:$F,MATCH($C788,Roster!$B:$B,0))="","",INDEX(Roster!$F:$F,MATCH($C788,Roster!$B:$B,0))&amp;""),"—"))</f>
        <v/>
      </c>
      <c r="I788" s="25">
        <f>IF($C788="","",IFERROR(IF(INDEX(Roster!$G:$G,MATCH($C788,Roster!$B:$B,0))="","",INDEX(Roster!$G:$G,MATCH($C788,Roster!$B:$B,0))&amp;""),"—"))</f>
        <v/>
      </c>
      <c r="J788" s="25">
        <f>IF($C788="","",IFERROR(IF(INDEX(Roster!$I:$I,MATCH($C788,Roster!$B:$B,0))="","",INDEX(Roster!$I:$I,MATCH($C788,Roster!$B:$B,0))&amp;""),"—"))</f>
        <v/>
      </c>
      <c r="K788">
        <f>IF($C788="","",IFERROR(IF(INDEX(Roster!$J:$J,MATCH($C788,Roster!$B:$B,0))="","",INDEX(Roster!$J:$J,MATCH($C788,Roster!$B:$B,0))&amp;""),"—"))</f>
        <v/>
      </c>
      <c r="L788">
        <f>IF($C788="","",IFERROR(IF(INDEX(Roster!$K:$K,MATCH($C788,Roster!$B:$B,0))="","",INDEX(Roster!$K:$K,MATCH($C788,Roster!$B:$B,0))&amp;""),"—"))</f>
        <v/>
      </c>
      <c r="M788" s="27" t="n"/>
      <c r="N788" s="27" t="n"/>
      <c r="O788" s="25">
        <f>IF($C788="","",IF($P788="","—",IF($P788="Valid (Pass)","Valid","Invalid")))</f>
        <v/>
      </c>
      <c r="P788" s="27" t="n"/>
      <c r="Q788" s="27" t="n"/>
      <c r="R788" s="27" t="n"/>
      <c r="S788" s="27" t="n"/>
      <c r="T788" s="25">
        <f>IF($C788="","",IF(OR(ISNUMBER(SEARCH("quick case",$P788)),ISNUMBER(SEARCH("quick case",$Q788))),"Yes","No"))</f>
        <v/>
      </c>
      <c r="U788" s="25">
        <f>IF($O788="Invalid",HYPERLINK("mailto:"&amp;$G788&amp;";"&amp;$I788&amp;"?cc="&amp;Lists!$E$2&amp;"&amp;subject="&amp;_xlfn.ENCODEURL("[INVALID] Quality audit monitoring completed for "&amp;UPPER($C788))&amp;"&amp;body="&amp;_xlfn.ENCODEURL("Hi "&amp;$F788&amp;","&amp;CHAR(10)&amp;"Good day!"&amp;CHAR(10)&amp;CHAR(10)&amp;"A quality monitoring audit has been completed for "&amp;$C788&amp;"."&amp;CHAR(10)&amp;CHAR(10)&amp;"QUALITY AUDIT DETAILS"&amp;CHAR(10)&amp;"Agent Name: "&amp;$C788&amp;" (EID "&amp;$D788&amp;")"&amp;CHAR(10)&amp;"Audit Date: "&amp;TEXT($B788,"yyyy-mm-dd")&amp;CHAR(10)&amp;"Team Leader: "&amp;$F788&amp;CHAR(10)&amp;"Case Number: "&amp;$M788&amp;CHAR(10)&amp;"Transaction ID: "&amp;$N788&amp;CHAR(10)&amp;"Channel / LOB: "&amp;$K788&amp;" / "&amp;$L788&amp;CHAR(10)&amp;"Evaluator: "&amp;$S788&amp;CHAR(10)&amp;CHAR(10)&amp;"INVALID QUALITY AUDIT DETAILS"&amp;CHAR(10)&amp;"Validation: Invalid"&amp;CHAR(10)&amp;"Invalid Reason: "&amp;$P788&amp;CHAR(10)&amp;"Expected Resolution Code: "&amp;$Q788&amp;CHAR(10)&amp;"Remarks: "&amp;LEFT($R788,600)&amp;CHAR(10)&amp;CHAR(10)&amp;"This is an automated notification from HP Mainstream EQMS."),"✉ Open Email Draft"),"")</f>
        <v/>
      </c>
    </row>
    <row r="789">
      <c r="A789" s="25">
        <f>IF($C789="","","AUD-2026-"&amp;TEXT(ROW()-1,"000000"))</f>
        <v/>
      </c>
      <c r="B789" s="26" t="n"/>
      <c r="C789" s="27" t="n"/>
      <c r="D789" s="25">
        <f>IF($C789="","",IFERROR(IF(INDEX(Roster!$A:$A,MATCH($C789,Roster!$B:$B,0))="","",INDEX(Roster!$A:$A,MATCH($C789,Roster!$B:$B,0))&amp;""),"—"))</f>
        <v/>
      </c>
      <c r="E789" s="25">
        <f>IF($C789="","",IFERROR(IF(INDEX(Roster!$C:$C,MATCH($C789,Roster!$B:$B,0))="","",INDEX(Roster!$C:$C,MATCH($C789,Roster!$B:$B,0))&amp;""),"—"))</f>
        <v/>
      </c>
      <c r="F789" s="25">
        <f>IF($C789="","",IFERROR(IF(INDEX(Roster!$D:$D,MATCH($C789,Roster!$B:$B,0))="","",INDEX(Roster!$D:$D,MATCH($C789,Roster!$B:$B,0))&amp;""),"—"))</f>
        <v/>
      </c>
      <c r="G789" s="25">
        <f>IF($C789="","",IFERROR(IF(INDEX(Roster!$E:$E,MATCH($C789,Roster!$B:$B,0))="","",INDEX(Roster!$E:$E,MATCH($C789,Roster!$B:$B,0))&amp;""),"—"))</f>
        <v/>
      </c>
      <c r="H789" s="25">
        <f>IF($C789="","",IFERROR(IF(INDEX(Roster!$F:$F,MATCH($C789,Roster!$B:$B,0))="","",INDEX(Roster!$F:$F,MATCH($C789,Roster!$B:$B,0))&amp;""),"—"))</f>
        <v/>
      </c>
      <c r="I789" s="25">
        <f>IF($C789="","",IFERROR(IF(INDEX(Roster!$G:$G,MATCH($C789,Roster!$B:$B,0))="","",INDEX(Roster!$G:$G,MATCH($C789,Roster!$B:$B,0))&amp;""),"—"))</f>
        <v/>
      </c>
      <c r="J789" s="25">
        <f>IF($C789="","",IFERROR(IF(INDEX(Roster!$I:$I,MATCH($C789,Roster!$B:$B,0))="","",INDEX(Roster!$I:$I,MATCH($C789,Roster!$B:$B,0))&amp;""),"—"))</f>
        <v/>
      </c>
      <c r="K789">
        <f>IF($C789="","",IFERROR(IF(INDEX(Roster!$J:$J,MATCH($C789,Roster!$B:$B,0))="","",INDEX(Roster!$J:$J,MATCH($C789,Roster!$B:$B,0))&amp;""),"—"))</f>
        <v/>
      </c>
      <c r="L789">
        <f>IF($C789="","",IFERROR(IF(INDEX(Roster!$K:$K,MATCH($C789,Roster!$B:$B,0))="","",INDEX(Roster!$K:$K,MATCH($C789,Roster!$B:$B,0))&amp;""),"—"))</f>
        <v/>
      </c>
      <c r="M789" s="27" t="n"/>
      <c r="N789" s="27" t="n"/>
      <c r="O789" s="25">
        <f>IF($C789="","",IF($P789="","—",IF($P789="Valid (Pass)","Valid","Invalid")))</f>
        <v/>
      </c>
      <c r="P789" s="27" t="n"/>
      <c r="Q789" s="27" t="n"/>
      <c r="R789" s="27" t="n"/>
      <c r="S789" s="27" t="n"/>
      <c r="T789" s="25">
        <f>IF($C789="","",IF(OR(ISNUMBER(SEARCH("quick case",$P789)),ISNUMBER(SEARCH("quick case",$Q789))),"Yes","No"))</f>
        <v/>
      </c>
      <c r="U789" s="25">
        <f>IF($O789="Invalid",HYPERLINK("mailto:"&amp;$G789&amp;";"&amp;$I789&amp;"?cc="&amp;Lists!$E$2&amp;"&amp;subject="&amp;_xlfn.ENCODEURL("[INVALID] Quality audit monitoring completed for "&amp;UPPER($C789))&amp;"&amp;body="&amp;_xlfn.ENCODEURL("Hi "&amp;$F789&amp;","&amp;CHAR(10)&amp;"Good day!"&amp;CHAR(10)&amp;CHAR(10)&amp;"A quality monitoring audit has been completed for "&amp;$C789&amp;"."&amp;CHAR(10)&amp;CHAR(10)&amp;"QUALITY AUDIT DETAILS"&amp;CHAR(10)&amp;"Agent Name: "&amp;$C789&amp;" (EID "&amp;$D789&amp;")"&amp;CHAR(10)&amp;"Audit Date: "&amp;TEXT($B789,"yyyy-mm-dd")&amp;CHAR(10)&amp;"Team Leader: "&amp;$F789&amp;CHAR(10)&amp;"Case Number: "&amp;$M789&amp;CHAR(10)&amp;"Transaction ID: "&amp;$N789&amp;CHAR(10)&amp;"Channel / LOB: "&amp;$K789&amp;" / "&amp;$L789&amp;CHAR(10)&amp;"Evaluator: "&amp;$S789&amp;CHAR(10)&amp;CHAR(10)&amp;"INVALID QUALITY AUDIT DETAILS"&amp;CHAR(10)&amp;"Validation: Invalid"&amp;CHAR(10)&amp;"Invalid Reason: "&amp;$P789&amp;CHAR(10)&amp;"Expected Resolution Code: "&amp;$Q789&amp;CHAR(10)&amp;"Remarks: "&amp;LEFT($R789,600)&amp;CHAR(10)&amp;CHAR(10)&amp;"This is an automated notification from HP Mainstream EQMS."),"✉ Open Email Draft"),"")</f>
        <v/>
      </c>
    </row>
    <row r="790">
      <c r="A790" s="25">
        <f>IF($C790="","","AUD-2026-"&amp;TEXT(ROW()-1,"000000"))</f>
        <v/>
      </c>
      <c r="B790" s="26" t="n"/>
      <c r="C790" s="27" t="n"/>
      <c r="D790" s="25">
        <f>IF($C790="","",IFERROR(IF(INDEX(Roster!$A:$A,MATCH($C790,Roster!$B:$B,0))="","",INDEX(Roster!$A:$A,MATCH($C790,Roster!$B:$B,0))&amp;""),"—"))</f>
        <v/>
      </c>
      <c r="E790" s="25">
        <f>IF($C790="","",IFERROR(IF(INDEX(Roster!$C:$C,MATCH($C790,Roster!$B:$B,0))="","",INDEX(Roster!$C:$C,MATCH($C790,Roster!$B:$B,0))&amp;""),"—"))</f>
        <v/>
      </c>
      <c r="F790" s="25">
        <f>IF($C790="","",IFERROR(IF(INDEX(Roster!$D:$D,MATCH($C790,Roster!$B:$B,0))="","",INDEX(Roster!$D:$D,MATCH($C790,Roster!$B:$B,0))&amp;""),"—"))</f>
        <v/>
      </c>
      <c r="G790" s="25">
        <f>IF($C790="","",IFERROR(IF(INDEX(Roster!$E:$E,MATCH($C790,Roster!$B:$B,0))="","",INDEX(Roster!$E:$E,MATCH($C790,Roster!$B:$B,0))&amp;""),"—"))</f>
        <v/>
      </c>
      <c r="H790" s="25">
        <f>IF($C790="","",IFERROR(IF(INDEX(Roster!$F:$F,MATCH($C790,Roster!$B:$B,0))="","",INDEX(Roster!$F:$F,MATCH($C790,Roster!$B:$B,0))&amp;""),"—"))</f>
        <v/>
      </c>
      <c r="I790" s="25">
        <f>IF($C790="","",IFERROR(IF(INDEX(Roster!$G:$G,MATCH($C790,Roster!$B:$B,0))="","",INDEX(Roster!$G:$G,MATCH($C790,Roster!$B:$B,0))&amp;""),"—"))</f>
        <v/>
      </c>
      <c r="J790" s="25">
        <f>IF($C790="","",IFERROR(IF(INDEX(Roster!$I:$I,MATCH($C790,Roster!$B:$B,0))="","",INDEX(Roster!$I:$I,MATCH($C790,Roster!$B:$B,0))&amp;""),"—"))</f>
        <v/>
      </c>
      <c r="K790">
        <f>IF($C790="","",IFERROR(IF(INDEX(Roster!$J:$J,MATCH($C790,Roster!$B:$B,0))="","",INDEX(Roster!$J:$J,MATCH($C790,Roster!$B:$B,0))&amp;""),"—"))</f>
        <v/>
      </c>
      <c r="L790">
        <f>IF($C790="","",IFERROR(IF(INDEX(Roster!$K:$K,MATCH($C790,Roster!$B:$B,0))="","",INDEX(Roster!$K:$K,MATCH($C790,Roster!$B:$B,0))&amp;""),"—"))</f>
        <v/>
      </c>
      <c r="M790" s="27" t="n"/>
      <c r="N790" s="27" t="n"/>
      <c r="O790" s="25">
        <f>IF($C790="","",IF($P790="","—",IF($P790="Valid (Pass)","Valid","Invalid")))</f>
        <v/>
      </c>
      <c r="P790" s="27" t="n"/>
      <c r="Q790" s="27" t="n"/>
      <c r="R790" s="27" t="n"/>
      <c r="S790" s="27" t="n"/>
      <c r="T790" s="25">
        <f>IF($C790="","",IF(OR(ISNUMBER(SEARCH("quick case",$P790)),ISNUMBER(SEARCH("quick case",$Q790))),"Yes","No"))</f>
        <v/>
      </c>
      <c r="U790" s="25">
        <f>IF($O790="Invalid",HYPERLINK("mailto:"&amp;$G790&amp;";"&amp;$I790&amp;"?cc="&amp;Lists!$E$2&amp;"&amp;subject="&amp;_xlfn.ENCODEURL("[INVALID] Quality audit monitoring completed for "&amp;UPPER($C790))&amp;"&amp;body="&amp;_xlfn.ENCODEURL("Hi "&amp;$F790&amp;","&amp;CHAR(10)&amp;"Good day!"&amp;CHAR(10)&amp;CHAR(10)&amp;"A quality monitoring audit has been completed for "&amp;$C790&amp;"."&amp;CHAR(10)&amp;CHAR(10)&amp;"QUALITY AUDIT DETAILS"&amp;CHAR(10)&amp;"Agent Name: "&amp;$C790&amp;" (EID "&amp;$D790&amp;")"&amp;CHAR(10)&amp;"Audit Date: "&amp;TEXT($B790,"yyyy-mm-dd")&amp;CHAR(10)&amp;"Team Leader: "&amp;$F790&amp;CHAR(10)&amp;"Case Number: "&amp;$M790&amp;CHAR(10)&amp;"Transaction ID: "&amp;$N790&amp;CHAR(10)&amp;"Channel / LOB: "&amp;$K790&amp;" / "&amp;$L790&amp;CHAR(10)&amp;"Evaluator: "&amp;$S790&amp;CHAR(10)&amp;CHAR(10)&amp;"INVALID QUALITY AUDIT DETAILS"&amp;CHAR(10)&amp;"Validation: Invalid"&amp;CHAR(10)&amp;"Invalid Reason: "&amp;$P790&amp;CHAR(10)&amp;"Expected Resolution Code: "&amp;$Q790&amp;CHAR(10)&amp;"Remarks: "&amp;LEFT($R790,600)&amp;CHAR(10)&amp;CHAR(10)&amp;"This is an automated notification from HP Mainstream EQMS."),"✉ Open Email Draft"),"")</f>
        <v/>
      </c>
    </row>
    <row r="791">
      <c r="A791" s="25">
        <f>IF($C791="","","AUD-2026-"&amp;TEXT(ROW()-1,"000000"))</f>
        <v/>
      </c>
      <c r="B791" s="26" t="n"/>
      <c r="C791" s="27" t="n"/>
      <c r="D791" s="25">
        <f>IF($C791="","",IFERROR(IF(INDEX(Roster!$A:$A,MATCH($C791,Roster!$B:$B,0))="","",INDEX(Roster!$A:$A,MATCH($C791,Roster!$B:$B,0))&amp;""),"—"))</f>
        <v/>
      </c>
      <c r="E791" s="25">
        <f>IF($C791="","",IFERROR(IF(INDEX(Roster!$C:$C,MATCH($C791,Roster!$B:$B,0))="","",INDEX(Roster!$C:$C,MATCH($C791,Roster!$B:$B,0))&amp;""),"—"))</f>
        <v/>
      </c>
      <c r="F791" s="25">
        <f>IF($C791="","",IFERROR(IF(INDEX(Roster!$D:$D,MATCH($C791,Roster!$B:$B,0))="","",INDEX(Roster!$D:$D,MATCH($C791,Roster!$B:$B,0))&amp;""),"—"))</f>
        <v/>
      </c>
      <c r="G791" s="25">
        <f>IF($C791="","",IFERROR(IF(INDEX(Roster!$E:$E,MATCH($C791,Roster!$B:$B,0))="","",INDEX(Roster!$E:$E,MATCH($C791,Roster!$B:$B,0))&amp;""),"—"))</f>
        <v/>
      </c>
      <c r="H791" s="25">
        <f>IF($C791="","",IFERROR(IF(INDEX(Roster!$F:$F,MATCH($C791,Roster!$B:$B,0))="","",INDEX(Roster!$F:$F,MATCH($C791,Roster!$B:$B,0))&amp;""),"—"))</f>
        <v/>
      </c>
      <c r="I791" s="25">
        <f>IF($C791="","",IFERROR(IF(INDEX(Roster!$G:$G,MATCH($C791,Roster!$B:$B,0))="","",INDEX(Roster!$G:$G,MATCH($C791,Roster!$B:$B,0))&amp;""),"—"))</f>
        <v/>
      </c>
      <c r="J791" s="25">
        <f>IF($C791="","",IFERROR(IF(INDEX(Roster!$I:$I,MATCH($C791,Roster!$B:$B,0))="","",INDEX(Roster!$I:$I,MATCH($C791,Roster!$B:$B,0))&amp;""),"—"))</f>
        <v/>
      </c>
      <c r="K791">
        <f>IF($C791="","",IFERROR(IF(INDEX(Roster!$J:$J,MATCH($C791,Roster!$B:$B,0))="","",INDEX(Roster!$J:$J,MATCH($C791,Roster!$B:$B,0))&amp;""),"—"))</f>
        <v/>
      </c>
      <c r="L791">
        <f>IF($C791="","",IFERROR(IF(INDEX(Roster!$K:$K,MATCH($C791,Roster!$B:$B,0))="","",INDEX(Roster!$K:$K,MATCH($C791,Roster!$B:$B,0))&amp;""),"—"))</f>
        <v/>
      </c>
      <c r="M791" s="27" t="n"/>
      <c r="N791" s="27" t="n"/>
      <c r="O791" s="25">
        <f>IF($C791="","",IF($P791="","—",IF($P791="Valid (Pass)","Valid","Invalid")))</f>
        <v/>
      </c>
      <c r="P791" s="27" t="n"/>
      <c r="Q791" s="27" t="n"/>
      <c r="R791" s="27" t="n"/>
      <c r="S791" s="27" t="n"/>
      <c r="T791" s="25">
        <f>IF($C791="","",IF(OR(ISNUMBER(SEARCH("quick case",$P791)),ISNUMBER(SEARCH("quick case",$Q791))),"Yes","No"))</f>
        <v/>
      </c>
      <c r="U791" s="25">
        <f>IF($O791="Invalid",HYPERLINK("mailto:"&amp;$G791&amp;";"&amp;$I791&amp;"?cc="&amp;Lists!$E$2&amp;"&amp;subject="&amp;_xlfn.ENCODEURL("[INVALID] Quality audit monitoring completed for "&amp;UPPER($C791))&amp;"&amp;body="&amp;_xlfn.ENCODEURL("Hi "&amp;$F791&amp;","&amp;CHAR(10)&amp;"Good day!"&amp;CHAR(10)&amp;CHAR(10)&amp;"A quality monitoring audit has been completed for "&amp;$C791&amp;"."&amp;CHAR(10)&amp;CHAR(10)&amp;"QUALITY AUDIT DETAILS"&amp;CHAR(10)&amp;"Agent Name: "&amp;$C791&amp;" (EID "&amp;$D791&amp;")"&amp;CHAR(10)&amp;"Audit Date: "&amp;TEXT($B791,"yyyy-mm-dd")&amp;CHAR(10)&amp;"Team Leader: "&amp;$F791&amp;CHAR(10)&amp;"Case Number: "&amp;$M791&amp;CHAR(10)&amp;"Transaction ID: "&amp;$N791&amp;CHAR(10)&amp;"Channel / LOB: "&amp;$K791&amp;" / "&amp;$L791&amp;CHAR(10)&amp;"Evaluator: "&amp;$S791&amp;CHAR(10)&amp;CHAR(10)&amp;"INVALID QUALITY AUDIT DETAILS"&amp;CHAR(10)&amp;"Validation: Invalid"&amp;CHAR(10)&amp;"Invalid Reason: "&amp;$P791&amp;CHAR(10)&amp;"Expected Resolution Code: "&amp;$Q791&amp;CHAR(10)&amp;"Remarks: "&amp;LEFT($R791,600)&amp;CHAR(10)&amp;CHAR(10)&amp;"This is an automated notification from HP Mainstream EQMS."),"✉ Open Email Draft"),"")</f>
        <v/>
      </c>
    </row>
    <row r="792">
      <c r="A792" s="25">
        <f>IF($C792="","","AUD-2026-"&amp;TEXT(ROW()-1,"000000"))</f>
        <v/>
      </c>
      <c r="B792" s="26" t="n"/>
      <c r="C792" s="27" t="n"/>
      <c r="D792" s="25">
        <f>IF($C792="","",IFERROR(IF(INDEX(Roster!$A:$A,MATCH($C792,Roster!$B:$B,0))="","",INDEX(Roster!$A:$A,MATCH($C792,Roster!$B:$B,0))&amp;""),"—"))</f>
        <v/>
      </c>
      <c r="E792" s="25">
        <f>IF($C792="","",IFERROR(IF(INDEX(Roster!$C:$C,MATCH($C792,Roster!$B:$B,0))="","",INDEX(Roster!$C:$C,MATCH($C792,Roster!$B:$B,0))&amp;""),"—"))</f>
        <v/>
      </c>
      <c r="F792" s="25">
        <f>IF($C792="","",IFERROR(IF(INDEX(Roster!$D:$D,MATCH($C792,Roster!$B:$B,0))="","",INDEX(Roster!$D:$D,MATCH($C792,Roster!$B:$B,0))&amp;""),"—"))</f>
        <v/>
      </c>
      <c r="G792" s="25">
        <f>IF($C792="","",IFERROR(IF(INDEX(Roster!$E:$E,MATCH($C792,Roster!$B:$B,0))="","",INDEX(Roster!$E:$E,MATCH($C792,Roster!$B:$B,0))&amp;""),"—"))</f>
        <v/>
      </c>
      <c r="H792" s="25">
        <f>IF($C792="","",IFERROR(IF(INDEX(Roster!$F:$F,MATCH($C792,Roster!$B:$B,0))="","",INDEX(Roster!$F:$F,MATCH($C792,Roster!$B:$B,0))&amp;""),"—"))</f>
        <v/>
      </c>
      <c r="I792" s="25">
        <f>IF($C792="","",IFERROR(IF(INDEX(Roster!$G:$G,MATCH($C792,Roster!$B:$B,0))="","",INDEX(Roster!$G:$G,MATCH($C792,Roster!$B:$B,0))&amp;""),"—"))</f>
        <v/>
      </c>
      <c r="J792" s="25">
        <f>IF($C792="","",IFERROR(IF(INDEX(Roster!$I:$I,MATCH($C792,Roster!$B:$B,0))="","",INDEX(Roster!$I:$I,MATCH($C792,Roster!$B:$B,0))&amp;""),"—"))</f>
        <v/>
      </c>
      <c r="K792">
        <f>IF($C792="","",IFERROR(IF(INDEX(Roster!$J:$J,MATCH($C792,Roster!$B:$B,0))="","",INDEX(Roster!$J:$J,MATCH($C792,Roster!$B:$B,0))&amp;""),"—"))</f>
        <v/>
      </c>
      <c r="L792">
        <f>IF($C792="","",IFERROR(IF(INDEX(Roster!$K:$K,MATCH($C792,Roster!$B:$B,0))="","",INDEX(Roster!$K:$K,MATCH($C792,Roster!$B:$B,0))&amp;""),"—"))</f>
        <v/>
      </c>
      <c r="M792" s="27" t="n"/>
      <c r="N792" s="27" t="n"/>
      <c r="O792" s="25">
        <f>IF($C792="","",IF($P792="","—",IF($P792="Valid (Pass)","Valid","Invalid")))</f>
        <v/>
      </c>
      <c r="P792" s="27" t="n"/>
      <c r="Q792" s="27" t="n"/>
      <c r="R792" s="27" t="n"/>
      <c r="S792" s="27" t="n"/>
      <c r="T792" s="25">
        <f>IF($C792="","",IF(OR(ISNUMBER(SEARCH("quick case",$P792)),ISNUMBER(SEARCH("quick case",$Q792))),"Yes","No"))</f>
        <v/>
      </c>
      <c r="U792" s="25">
        <f>IF($O792="Invalid",HYPERLINK("mailto:"&amp;$G792&amp;";"&amp;$I792&amp;"?cc="&amp;Lists!$E$2&amp;"&amp;subject="&amp;_xlfn.ENCODEURL("[INVALID] Quality audit monitoring completed for "&amp;UPPER($C792))&amp;"&amp;body="&amp;_xlfn.ENCODEURL("Hi "&amp;$F792&amp;","&amp;CHAR(10)&amp;"Good day!"&amp;CHAR(10)&amp;CHAR(10)&amp;"A quality monitoring audit has been completed for "&amp;$C792&amp;"."&amp;CHAR(10)&amp;CHAR(10)&amp;"QUALITY AUDIT DETAILS"&amp;CHAR(10)&amp;"Agent Name: "&amp;$C792&amp;" (EID "&amp;$D792&amp;")"&amp;CHAR(10)&amp;"Audit Date: "&amp;TEXT($B792,"yyyy-mm-dd")&amp;CHAR(10)&amp;"Team Leader: "&amp;$F792&amp;CHAR(10)&amp;"Case Number: "&amp;$M792&amp;CHAR(10)&amp;"Transaction ID: "&amp;$N792&amp;CHAR(10)&amp;"Channel / LOB: "&amp;$K792&amp;" / "&amp;$L792&amp;CHAR(10)&amp;"Evaluator: "&amp;$S792&amp;CHAR(10)&amp;CHAR(10)&amp;"INVALID QUALITY AUDIT DETAILS"&amp;CHAR(10)&amp;"Validation: Invalid"&amp;CHAR(10)&amp;"Invalid Reason: "&amp;$P792&amp;CHAR(10)&amp;"Expected Resolution Code: "&amp;$Q792&amp;CHAR(10)&amp;"Remarks: "&amp;LEFT($R792,600)&amp;CHAR(10)&amp;CHAR(10)&amp;"This is an automated notification from HP Mainstream EQMS."),"✉ Open Email Draft"),"")</f>
        <v/>
      </c>
    </row>
    <row r="793">
      <c r="A793" s="25">
        <f>IF($C793="","","AUD-2026-"&amp;TEXT(ROW()-1,"000000"))</f>
        <v/>
      </c>
      <c r="B793" s="26" t="n"/>
      <c r="C793" s="27" t="n"/>
      <c r="D793" s="25">
        <f>IF($C793="","",IFERROR(IF(INDEX(Roster!$A:$A,MATCH($C793,Roster!$B:$B,0))="","",INDEX(Roster!$A:$A,MATCH($C793,Roster!$B:$B,0))&amp;""),"—"))</f>
        <v/>
      </c>
      <c r="E793" s="25">
        <f>IF($C793="","",IFERROR(IF(INDEX(Roster!$C:$C,MATCH($C793,Roster!$B:$B,0))="","",INDEX(Roster!$C:$C,MATCH($C793,Roster!$B:$B,0))&amp;""),"—"))</f>
        <v/>
      </c>
      <c r="F793" s="25">
        <f>IF($C793="","",IFERROR(IF(INDEX(Roster!$D:$D,MATCH($C793,Roster!$B:$B,0))="","",INDEX(Roster!$D:$D,MATCH($C793,Roster!$B:$B,0))&amp;""),"—"))</f>
        <v/>
      </c>
      <c r="G793" s="25">
        <f>IF($C793="","",IFERROR(IF(INDEX(Roster!$E:$E,MATCH($C793,Roster!$B:$B,0))="","",INDEX(Roster!$E:$E,MATCH($C793,Roster!$B:$B,0))&amp;""),"—"))</f>
        <v/>
      </c>
      <c r="H793" s="25">
        <f>IF($C793="","",IFERROR(IF(INDEX(Roster!$F:$F,MATCH($C793,Roster!$B:$B,0))="","",INDEX(Roster!$F:$F,MATCH($C793,Roster!$B:$B,0))&amp;""),"—"))</f>
        <v/>
      </c>
      <c r="I793" s="25">
        <f>IF($C793="","",IFERROR(IF(INDEX(Roster!$G:$G,MATCH($C793,Roster!$B:$B,0))="","",INDEX(Roster!$G:$G,MATCH($C793,Roster!$B:$B,0))&amp;""),"—"))</f>
        <v/>
      </c>
      <c r="J793" s="25">
        <f>IF($C793="","",IFERROR(IF(INDEX(Roster!$I:$I,MATCH($C793,Roster!$B:$B,0))="","",INDEX(Roster!$I:$I,MATCH($C793,Roster!$B:$B,0))&amp;""),"—"))</f>
        <v/>
      </c>
      <c r="K793">
        <f>IF($C793="","",IFERROR(IF(INDEX(Roster!$J:$J,MATCH($C793,Roster!$B:$B,0))="","",INDEX(Roster!$J:$J,MATCH($C793,Roster!$B:$B,0))&amp;""),"—"))</f>
        <v/>
      </c>
      <c r="L793">
        <f>IF($C793="","",IFERROR(IF(INDEX(Roster!$K:$K,MATCH($C793,Roster!$B:$B,0))="","",INDEX(Roster!$K:$K,MATCH($C793,Roster!$B:$B,0))&amp;""),"—"))</f>
        <v/>
      </c>
      <c r="M793" s="27" t="n"/>
      <c r="N793" s="27" t="n"/>
      <c r="O793" s="25">
        <f>IF($C793="","",IF($P793="","—",IF($P793="Valid (Pass)","Valid","Invalid")))</f>
        <v/>
      </c>
      <c r="P793" s="27" t="n"/>
      <c r="Q793" s="27" t="n"/>
      <c r="R793" s="27" t="n"/>
      <c r="S793" s="27" t="n"/>
      <c r="T793" s="25">
        <f>IF($C793="","",IF(OR(ISNUMBER(SEARCH("quick case",$P793)),ISNUMBER(SEARCH("quick case",$Q793))),"Yes","No"))</f>
        <v/>
      </c>
      <c r="U793" s="25">
        <f>IF($O793="Invalid",HYPERLINK("mailto:"&amp;$G793&amp;";"&amp;$I793&amp;"?cc="&amp;Lists!$E$2&amp;"&amp;subject="&amp;_xlfn.ENCODEURL("[INVALID] Quality audit monitoring completed for "&amp;UPPER($C793))&amp;"&amp;body="&amp;_xlfn.ENCODEURL("Hi "&amp;$F793&amp;","&amp;CHAR(10)&amp;"Good day!"&amp;CHAR(10)&amp;CHAR(10)&amp;"A quality monitoring audit has been completed for "&amp;$C793&amp;"."&amp;CHAR(10)&amp;CHAR(10)&amp;"QUALITY AUDIT DETAILS"&amp;CHAR(10)&amp;"Agent Name: "&amp;$C793&amp;" (EID "&amp;$D793&amp;")"&amp;CHAR(10)&amp;"Audit Date: "&amp;TEXT($B793,"yyyy-mm-dd")&amp;CHAR(10)&amp;"Team Leader: "&amp;$F793&amp;CHAR(10)&amp;"Case Number: "&amp;$M793&amp;CHAR(10)&amp;"Transaction ID: "&amp;$N793&amp;CHAR(10)&amp;"Channel / LOB: "&amp;$K793&amp;" / "&amp;$L793&amp;CHAR(10)&amp;"Evaluator: "&amp;$S793&amp;CHAR(10)&amp;CHAR(10)&amp;"INVALID QUALITY AUDIT DETAILS"&amp;CHAR(10)&amp;"Validation: Invalid"&amp;CHAR(10)&amp;"Invalid Reason: "&amp;$P793&amp;CHAR(10)&amp;"Expected Resolution Code: "&amp;$Q793&amp;CHAR(10)&amp;"Remarks: "&amp;LEFT($R793,600)&amp;CHAR(10)&amp;CHAR(10)&amp;"This is an automated notification from HP Mainstream EQMS."),"✉ Open Email Draft"),"")</f>
        <v/>
      </c>
    </row>
    <row r="794">
      <c r="A794" s="25">
        <f>IF($C794="","","AUD-2026-"&amp;TEXT(ROW()-1,"000000"))</f>
        <v/>
      </c>
      <c r="B794" s="26" t="n"/>
      <c r="C794" s="27" t="n"/>
      <c r="D794" s="25">
        <f>IF($C794="","",IFERROR(IF(INDEX(Roster!$A:$A,MATCH($C794,Roster!$B:$B,0))="","",INDEX(Roster!$A:$A,MATCH($C794,Roster!$B:$B,0))&amp;""),"—"))</f>
        <v/>
      </c>
      <c r="E794" s="25">
        <f>IF($C794="","",IFERROR(IF(INDEX(Roster!$C:$C,MATCH($C794,Roster!$B:$B,0))="","",INDEX(Roster!$C:$C,MATCH($C794,Roster!$B:$B,0))&amp;""),"—"))</f>
        <v/>
      </c>
      <c r="F794" s="25">
        <f>IF($C794="","",IFERROR(IF(INDEX(Roster!$D:$D,MATCH($C794,Roster!$B:$B,0))="","",INDEX(Roster!$D:$D,MATCH($C794,Roster!$B:$B,0))&amp;""),"—"))</f>
        <v/>
      </c>
      <c r="G794" s="25">
        <f>IF($C794="","",IFERROR(IF(INDEX(Roster!$E:$E,MATCH($C794,Roster!$B:$B,0))="","",INDEX(Roster!$E:$E,MATCH($C794,Roster!$B:$B,0))&amp;""),"—"))</f>
        <v/>
      </c>
      <c r="H794" s="25">
        <f>IF($C794="","",IFERROR(IF(INDEX(Roster!$F:$F,MATCH($C794,Roster!$B:$B,0))="","",INDEX(Roster!$F:$F,MATCH($C794,Roster!$B:$B,0))&amp;""),"—"))</f>
        <v/>
      </c>
      <c r="I794" s="25">
        <f>IF($C794="","",IFERROR(IF(INDEX(Roster!$G:$G,MATCH($C794,Roster!$B:$B,0))="","",INDEX(Roster!$G:$G,MATCH($C794,Roster!$B:$B,0))&amp;""),"—"))</f>
        <v/>
      </c>
      <c r="J794" s="25">
        <f>IF($C794="","",IFERROR(IF(INDEX(Roster!$I:$I,MATCH($C794,Roster!$B:$B,0))="","",INDEX(Roster!$I:$I,MATCH($C794,Roster!$B:$B,0))&amp;""),"—"))</f>
        <v/>
      </c>
      <c r="K794">
        <f>IF($C794="","",IFERROR(IF(INDEX(Roster!$J:$J,MATCH($C794,Roster!$B:$B,0))="","",INDEX(Roster!$J:$J,MATCH($C794,Roster!$B:$B,0))&amp;""),"—"))</f>
        <v/>
      </c>
      <c r="L794">
        <f>IF($C794="","",IFERROR(IF(INDEX(Roster!$K:$K,MATCH($C794,Roster!$B:$B,0))="","",INDEX(Roster!$K:$K,MATCH($C794,Roster!$B:$B,0))&amp;""),"—"))</f>
        <v/>
      </c>
      <c r="M794" s="27" t="n"/>
      <c r="N794" s="27" t="n"/>
      <c r="O794" s="25">
        <f>IF($C794="","",IF($P794="","—",IF($P794="Valid (Pass)","Valid","Invalid")))</f>
        <v/>
      </c>
      <c r="P794" s="27" t="n"/>
      <c r="Q794" s="27" t="n"/>
      <c r="R794" s="27" t="n"/>
      <c r="S794" s="27" t="n"/>
      <c r="T794" s="25">
        <f>IF($C794="","",IF(OR(ISNUMBER(SEARCH("quick case",$P794)),ISNUMBER(SEARCH("quick case",$Q794))),"Yes","No"))</f>
        <v/>
      </c>
      <c r="U794" s="25">
        <f>IF($O794="Invalid",HYPERLINK("mailto:"&amp;$G794&amp;";"&amp;$I794&amp;"?cc="&amp;Lists!$E$2&amp;"&amp;subject="&amp;_xlfn.ENCODEURL("[INVALID] Quality audit monitoring completed for "&amp;UPPER($C794))&amp;"&amp;body="&amp;_xlfn.ENCODEURL("Hi "&amp;$F794&amp;","&amp;CHAR(10)&amp;"Good day!"&amp;CHAR(10)&amp;CHAR(10)&amp;"A quality monitoring audit has been completed for "&amp;$C794&amp;"."&amp;CHAR(10)&amp;CHAR(10)&amp;"QUALITY AUDIT DETAILS"&amp;CHAR(10)&amp;"Agent Name: "&amp;$C794&amp;" (EID "&amp;$D794&amp;")"&amp;CHAR(10)&amp;"Audit Date: "&amp;TEXT($B794,"yyyy-mm-dd")&amp;CHAR(10)&amp;"Team Leader: "&amp;$F794&amp;CHAR(10)&amp;"Case Number: "&amp;$M794&amp;CHAR(10)&amp;"Transaction ID: "&amp;$N794&amp;CHAR(10)&amp;"Channel / LOB: "&amp;$K794&amp;" / "&amp;$L794&amp;CHAR(10)&amp;"Evaluator: "&amp;$S794&amp;CHAR(10)&amp;CHAR(10)&amp;"INVALID QUALITY AUDIT DETAILS"&amp;CHAR(10)&amp;"Validation: Invalid"&amp;CHAR(10)&amp;"Invalid Reason: "&amp;$P794&amp;CHAR(10)&amp;"Expected Resolution Code: "&amp;$Q794&amp;CHAR(10)&amp;"Remarks: "&amp;LEFT($R794,600)&amp;CHAR(10)&amp;CHAR(10)&amp;"This is an automated notification from HP Mainstream EQMS."),"✉ Open Email Draft"),"")</f>
        <v/>
      </c>
    </row>
    <row r="795">
      <c r="A795" s="25">
        <f>IF($C795="","","AUD-2026-"&amp;TEXT(ROW()-1,"000000"))</f>
        <v/>
      </c>
      <c r="B795" s="26" t="n"/>
      <c r="C795" s="27" t="n"/>
      <c r="D795" s="25">
        <f>IF($C795="","",IFERROR(IF(INDEX(Roster!$A:$A,MATCH($C795,Roster!$B:$B,0))="","",INDEX(Roster!$A:$A,MATCH($C795,Roster!$B:$B,0))&amp;""),"—"))</f>
        <v/>
      </c>
      <c r="E795" s="25">
        <f>IF($C795="","",IFERROR(IF(INDEX(Roster!$C:$C,MATCH($C795,Roster!$B:$B,0))="","",INDEX(Roster!$C:$C,MATCH($C795,Roster!$B:$B,0))&amp;""),"—"))</f>
        <v/>
      </c>
      <c r="F795" s="25">
        <f>IF($C795="","",IFERROR(IF(INDEX(Roster!$D:$D,MATCH($C795,Roster!$B:$B,0))="","",INDEX(Roster!$D:$D,MATCH($C795,Roster!$B:$B,0))&amp;""),"—"))</f>
        <v/>
      </c>
      <c r="G795" s="25">
        <f>IF($C795="","",IFERROR(IF(INDEX(Roster!$E:$E,MATCH($C795,Roster!$B:$B,0))="","",INDEX(Roster!$E:$E,MATCH($C795,Roster!$B:$B,0))&amp;""),"—"))</f>
        <v/>
      </c>
      <c r="H795" s="25">
        <f>IF($C795="","",IFERROR(IF(INDEX(Roster!$F:$F,MATCH($C795,Roster!$B:$B,0))="","",INDEX(Roster!$F:$F,MATCH($C795,Roster!$B:$B,0))&amp;""),"—"))</f>
        <v/>
      </c>
      <c r="I795" s="25">
        <f>IF($C795="","",IFERROR(IF(INDEX(Roster!$G:$G,MATCH($C795,Roster!$B:$B,0))="","",INDEX(Roster!$G:$G,MATCH($C795,Roster!$B:$B,0))&amp;""),"—"))</f>
        <v/>
      </c>
      <c r="J795" s="25">
        <f>IF($C795="","",IFERROR(IF(INDEX(Roster!$I:$I,MATCH($C795,Roster!$B:$B,0))="","",INDEX(Roster!$I:$I,MATCH($C795,Roster!$B:$B,0))&amp;""),"—"))</f>
        <v/>
      </c>
      <c r="K795">
        <f>IF($C795="","",IFERROR(IF(INDEX(Roster!$J:$J,MATCH($C795,Roster!$B:$B,0))="","",INDEX(Roster!$J:$J,MATCH($C795,Roster!$B:$B,0))&amp;""),"—"))</f>
        <v/>
      </c>
      <c r="L795">
        <f>IF($C795="","",IFERROR(IF(INDEX(Roster!$K:$K,MATCH($C795,Roster!$B:$B,0))="","",INDEX(Roster!$K:$K,MATCH($C795,Roster!$B:$B,0))&amp;""),"—"))</f>
        <v/>
      </c>
      <c r="M795" s="27" t="n"/>
      <c r="N795" s="27" t="n"/>
      <c r="O795" s="25">
        <f>IF($C795="","",IF($P795="","—",IF($P795="Valid (Pass)","Valid","Invalid")))</f>
        <v/>
      </c>
      <c r="P795" s="27" t="n"/>
      <c r="Q795" s="27" t="n"/>
      <c r="R795" s="27" t="n"/>
      <c r="S795" s="27" t="n"/>
      <c r="T795" s="25">
        <f>IF($C795="","",IF(OR(ISNUMBER(SEARCH("quick case",$P795)),ISNUMBER(SEARCH("quick case",$Q795))),"Yes","No"))</f>
        <v/>
      </c>
      <c r="U795" s="25">
        <f>IF($O795="Invalid",HYPERLINK("mailto:"&amp;$G795&amp;";"&amp;$I795&amp;"?cc="&amp;Lists!$E$2&amp;"&amp;subject="&amp;_xlfn.ENCODEURL("[INVALID] Quality audit monitoring completed for "&amp;UPPER($C795))&amp;"&amp;body="&amp;_xlfn.ENCODEURL("Hi "&amp;$F795&amp;","&amp;CHAR(10)&amp;"Good day!"&amp;CHAR(10)&amp;CHAR(10)&amp;"A quality monitoring audit has been completed for "&amp;$C795&amp;"."&amp;CHAR(10)&amp;CHAR(10)&amp;"QUALITY AUDIT DETAILS"&amp;CHAR(10)&amp;"Agent Name: "&amp;$C795&amp;" (EID "&amp;$D795&amp;")"&amp;CHAR(10)&amp;"Audit Date: "&amp;TEXT($B795,"yyyy-mm-dd")&amp;CHAR(10)&amp;"Team Leader: "&amp;$F795&amp;CHAR(10)&amp;"Case Number: "&amp;$M795&amp;CHAR(10)&amp;"Transaction ID: "&amp;$N795&amp;CHAR(10)&amp;"Channel / LOB: "&amp;$K795&amp;" / "&amp;$L795&amp;CHAR(10)&amp;"Evaluator: "&amp;$S795&amp;CHAR(10)&amp;CHAR(10)&amp;"INVALID QUALITY AUDIT DETAILS"&amp;CHAR(10)&amp;"Validation: Invalid"&amp;CHAR(10)&amp;"Invalid Reason: "&amp;$P795&amp;CHAR(10)&amp;"Expected Resolution Code: "&amp;$Q795&amp;CHAR(10)&amp;"Remarks: "&amp;LEFT($R795,600)&amp;CHAR(10)&amp;CHAR(10)&amp;"This is an automated notification from HP Mainstream EQMS."),"✉ Open Email Draft"),"")</f>
        <v/>
      </c>
    </row>
    <row r="796">
      <c r="A796" s="25">
        <f>IF($C796="","","AUD-2026-"&amp;TEXT(ROW()-1,"000000"))</f>
        <v/>
      </c>
      <c r="B796" s="26" t="n"/>
      <c r="C796" s="27" t="n"/>
      <c r="D796" s="25">
        <f>IF($C796="","",IFERROR(IF(INDEX(Roster!$A:$A,MATCH($C796,Roster!$B:$B,0))="","",INDEX(Roster!$A:$A,MATCH($C796,Roster!$B:$B,0))&amp;""),"—"))</f>
        <v/>
      </c>
      <c r="E796" s="25">
        <f>IF($C796="","",IFERROR(IF(INDEX(Roster!$C:$C,MATCH($C796,Roster!$B:$B,0))="","",INDEX(Roster!$C:$C,MATCH($C796,Roster!$B:$B,0))&amp;""),"—"))</f>
        <v/>
      </c>
      <c r="F796" s="25">
        <f>IF($C796="","",IFERROR(IF(INDEX(Roster!$D:$D,MATCH($C796,Roster!$B:$B,0))="","",INDEX(Roster!$D:$D,MATCH($C796,Roster!$B:$B,0))&amp;""),"—"))</f>
        <v/>
      </c>
      <c r="G796" s="25">
        <f>IF($C796="","",IFERROR(IF(INDEX(Roster!$E:$E,MATCH($C796,Roster!$B:$B,0))="","",INDEX(Roster!$E:$E,MATCH($C796,Roster!$B:$B,0))&amp;""),"—"))</f>
        <v/>
      </c>
      <c r="H796" s="25">
        <f>IF($C796="","",IFERROR(IF(INDEX(Roster!$F:$F,MATCH($C796,Roster!$B:$B,0))="","",INDEX(Roster!$F:$F,MATCH($C796,Roster!$B:$B,0))&amp;""),"—"))</f>
        <v/>
      </c>
      <c r="I796" s="25">
        <f>IF($C796="","",IFERROR(IF(INDEX(Roster!$G:$G,MATCH($C796,Roster!$B:$B,0))="","",INDEX(Roster!$G:$G,MATCH($C796,Roster!$B:$B,0))&amp;""),"—"))</f>
        <v/>
      </c>
      <c r="J796" s="25">
        <f>IF($C796="","",IFERROR(IF(INDEX(Roster!$I:$I,MATCH($C796,Roster!$B:$B,0))="","",INDEX(Roster!$I:$I,MATCH($C796,Roster!$B:$B,0))&amp;""),"—"))</f>
        <v/>
      </c>
      <c r="K796">
        <f>IF($C796="","",IFERROR(IF(INDEX(Roster!$J:$J,MATCH($C796,Roster!$B:$B,0))="","",INDEX(Roster!$J:$J,MATCH($C796,Roster!$B:$B,0))&amp;""),"—"))</f>
        <v/>
      </c>
      <c r="L796">
        <f>IF($C796="","",IFERROR(IF(INDEX(Roster!$K:$K,MATCH($C796,Roster!$B:$B,0))="","",INDEX(Roster!$K:$K,MATCH($C796,Roster!$B:$B,0))&amp;""),"—"))</f>
        <v/>
      </c>
      <c r="M796" s="27" t="n"/>
      <c r="N796" s="27" t="n"/>
      <c r="O796" s="25">
        <f>IF($C796="","",IF($P796="","—",IF($P796="Valid (Pass)","Valid","Invalid")))</f>
        <v/>
      </c>
      <c r="P796" s="27" t="n"/>
      <c r="Q796" s="27" t="n"/>
      <c r="R796" s="27" t="n"/>
      <c r="S796" s="27" t="n"/>
      <c r="T796" s="25">
        <f>IF($C796="","",IF(OR(ISNUMBER(SEARCH("quick case",$P796)),ISNUMBER(SEARCH("quick case",$Q796))),"Yes","No"))</f>
        <v/>
      </c>
      <c r="U796" s="25">
        <f>IF($O796="Invalid",HYPERLINK("mailto:"&amp;$G796&amp;";"&amp;$I796&amp;"?cc="&amp;Lists!$E$2&amp;"&amp;subject="&amp;_xlfn.ENCODEURL("[INVALID] Quality audit monitoring completed for "&amp;UPPER($C796))&amp;"&amp;body="&amp;_xlfn.ENCODEURL("Hi "&amp;$F796&amp;","&amp;CHAR(10)&amp;"Good day!"&amp;CHAR(10)&amp;CHAR(10)&amp;"A quality monitoring audit has been completed for "&amp;$C796&amp;"."&amp;CHAR(10)&amp;CHAR(10)&amp;"QUALITY AUDIT DETAILS"&amp;CHAR(10)&amp;"Agent Name: "&amp;$C796&amp;" (EID "&amp;$D796&amp;")"&amp;CHAR(10)&amp;"Audit Date: "&amp;TEXT($B796,"yyyy-mm-dd")&amp;CHAR(10)&amp;"Team Leader: "&amp;$F796&amp;CHAR(10)&amp;"Case Number: "&amp;$M796&amp;CHAR(10)&amp;"Transaction ID: "&amp;$N796&amp;CHAR(10)&amp;"Channel / LOB: "&amp;$K796&amp;" / "&amp;$L796&amp;CHAR(10)&amp;"Evaluator: "&amp;$S796&amp;CHAR(10)&amp;CHAR(10)&amp;"INVALID QUALITY AUDIT DETAILS"&amp;CHAR(10)&amp;"Validation: Invalid"&amp;CHAR(10)&amp;"Invalid Reason: "&amp;$P796&amp;CHAR(10)&amp;"Expected Resolution Code: "&amp;$Q796&amp;CHAR(10)&amp;"Remarks: "&amp;LEFT($R796,600)&amp;CHAR(10)&amp;CHAR(10)&amp;"This is an automated notification from HP Mainstream EQMS."),"✉ Open Email Draft"),"")</f>
        <v/>
      </c>
    </row>
    <row r="797">
      <c r="A797" s="25">
        <f>IF($C797="","","AUD-2026-"&amp;TEXT(ROW()-1,"000000"))</f>
        <v/>
      </c>
      <c r="B797" s="26" t="n"/>
      <c r="C797" s="27" t="n"/>
      <c r="D797" s="25">
        <f>IF($C797="","",IFERROR(IF(INDEX(Roster!$A:$A,MATCH($C797,Roster!$B:$B,0))="","",INDEX(Roster!$A:$A,MATCH($C797,Roster!$B:$B,0))&amp;""),"—"))</f>
        <v/>
      </c>
      <c r="E797" s="25">
        <f>IF($C797="","",IFERROR(IF(INDEX(Roster!$C:$C,MATCH($C797,Roster!$B:$B,0))="","",INDEX(Roster!$C:$C,MATCH($C797,Roster!$B:$B,0))&amp;""),"—"))</f>
        <v/>
      </c>
      <c r="F797" s="25">
        <f>IF($C797="","",IFERROR(IF(INDEX(Roster!$D:$D,MATCH($C797,Roster!$B:$B,0))="","",INDEX(Roster!$D:$D,MATCH($C797,Roster!$B:$B,0))&amp;""),"—"))</f>
        <v/>
      </c>
      <c r="G797" s="25">
        <f>IF($C797="","",IFERROR(IF(INDEX(Roster!$E:$E,MATCH($C797,Roster!$B:$B,0))="","",INDEX(Roster!$E:$E,MATCH($C797,Roster!$B:$B,0))&amp;""),"—"))</f>
        <v/>
      </c>
      <c r="H797" s="25">
        <f>IF($C797="","",IFERROR(IF(INDEX(Roster!$F:$F,MATCH($C797,Roster!$B:$B,0))="","",INDEX(Roster!$F:$F,MATCH($C797,Roster!$B:$B,0))&amp;""),"—"))</f>
        <v/>
      </c>
      <c r="I797" s="25">
        <f>IF($C797="","",IFERROR(IF(INDEX(Roster!$G:$G,MATCH($C797,Roster!$B:$B,0))="","",INDEX(Roster!$G:$G,MATCH($C797,Roster!$B:$B,0))&amp;""),"—"))</f>
        <v/>
      </c>
      <c r="J797" s="25">
        <f>IF($C797="","",IFERROR(IF(INDEX(Roster!$I:$I,MATCH($C797,Roster!$B:$B,0))="","",INDEX(Roster!$I:$I,MATCH($C797,Roster!$B:$B,0))&amp;""),"—"))</f>
        <v/>
      </c>
      <c r="K797">
        <f>IF($C797="","",IFERROR(IF(INDEX(Roster!$J:$J,MATCH($C797,Roster!$B:$B,0))="","",INDEX(Roster!$J:$J,MATCH($C797,Roster!$B:$B,0))&amp;""),"—"))</f>
        <v/>
      </c>
      <c r="L797">
        <f>IF($C797="","",IFERROR(IF(INDEX(Roster!$K:$K,MATCH($C797,Roster!$B:$B,0))="","",INDEX(Roster!$K:$K,MATCH($C797,Roster!$B:$B,0))&amp;""),"—"))</f>
        <v/>
      </c>
      <c r="M797" s="27" t="n"/>
      <c r="N797" s="27" t="n"/>
      <c r="O797" s="25">
        <f>IF($C797="","",IF($P797="","—",IF($P797="Valid (Pass)","Valid","Invalid")))</f>
        <v/>
      </c>
      <c r="P797" s="27" t="n"/>
      <c r="Q797" s="27" t="n"/>
      <c r="R797" s="27" t="n"/>
      <c r="S797" s="27" t="n"/>
      <c r="T797" s="25">
        <f>IF($C797="","",IF(OR(ISNUMBER(SEARCH("quick case",$P797)),ISNUMBER(SEARCH("quick case",$Q797))),"Yes","No"))</f>
        <v/>
      </c>
      <c r="U797" s="25">
        <f>IF($O797="Invalid",HYPERLINK("mailto:"&amp;$G797&amp;";"&amp;$I797&amp;"?cc="&amp;Lists!$E$2&amp;"&amp;subject="&amp;_xlfn.ENCODEURL("[INVALID] Quality audit monitoring completed for "&amp;UPPER($C797))&amp;"&amp;body="&amp;_xlfn.ENCODEURL("Hi "&amp;$F797&amp;","&amp;CHAR(10)&amp;"Good day!"&amp;CHAR(10)&amp;CHAR(10)&amp;"A quality monitoring audit has been completed for "&amp;$C797&amp;"."&amp;CHAR(10)&amp;CHAR(10)&amp;"QUALITY AUDIT DETAILS"&amp;CHAR(10)&amp;"Agent Name: "&amp;$C797&amp;" (EID "&amp;$D797&amp;")"&amp;CHAR(10)&amp;"Audit Date: "&amp;TEXT($B797,"yyyy-mm-dd")&amp;CHAR(10)&amp;"Team Leader: "&amp;$F797&amp;CHAR(10)&amp;"Case Number: "&amp;$M797&amp;CHAR(10)&amp;"Transaction ID: "&amp;$N797&amp;CHAR(10)&amp;"Channel / LOB: "&amp;$K797&amp;" / "&amp;$L797&amp;CHAR(10)&amp;"Evaluator: "&amp;$S797&amp;CHAR(10)&amp;CHAR(10)&amp;"INVALID QUALITY AUDIT DETAILS"&amp;CHAR(10)&amp;"Validation: Invalid"&amp;CHAR(10)&amp;"Invalid Reason: "&amp;$P797&amp;CHAR(10)&amp;"Expected Resolution Code: "&amp;$Q797&amp;CHAR(10)&amp;"Remarks: "&amp;LEFT($R797,600)&amp;CHAR(10)&amp;CHAR(10)&amp;"This is an automated notification from HP Mainstream EQMS."),"✉ Open Email Draft"),"")</f>
        <v/>
      </c>
    </row>
    <row r="798">
      <c r="A798" s="25">
        <f>IF($C798="","","AUD-2026-"&amp;TEXT(ROW()-1,"000000"))</f>
        <v/>
      </c>
      <c r="B798" s="26" t="n"/>
      <c r="C798" s="27" t="n"/>
      <c r="D798" s="25">
        <f>IF($C798="","",IFERROR(IF(INDEX(Roster!$A:$A,MATCH($C798,Roster!$B:$B,0))="","",INDEX(Roster!$A:$A,MATCH($C798,Roster!$B:$B,0))&amp;""),"—"))</f>
        <v/>
      </c>
      <c r="E798" s="25">
        <f>IF($C798="","",IFERROR(IF(INDEX(Roster!$C:$C,MATCH($C798,Roster!$B:$B,0))="","",INDEX(Roster!$C:$C,MATCH($C798,Roster!$B:$B,0))&amp;""),"—"))</f>
        <v/>
      </c>
      <c r="F798" s="25">
        <f>IF($C798="","",IFERROR(IF(INDEX(Roster!$D:$D,MATCH($C798,Roster!$B:$B,0))="","",INDEX(Roster!$D:$D,MATCH($C798,Roster!$B:$B,0))&amp;""),"—"))</f>
        <v/>
      </c>
      <c r="G798" s="25">
        <f>IF($C798="","",IFERROR(IF(INDEX(Roster!$E:$E,MATCH($C798,Roster!$B:$B,0))="","",INDEX(Roster!$E:$E,MATCH($C798,Roster!$B:$B,0))&amp;""),"—"))</f>
        <v/>
      </c>
      <c r="H798" s="25">
        <f>IF($C798="","",IFERROR(IF(INDEX(Roster!$F:$F,MATCH($C798,Roster!$B:$B,0))="","",INDEX(Roster!$F:$F,MATCH($C798,Roster!$B:$B,0))&amp;""),"—"))</f>
        <v/>
      </c>
      <c r="I798" s="25">
        <f>IF($C798="","",IFERROR(IF(INDEX(Roster!$G:$G,MATCH($C798,Roster!$B:$B,0))="","",INDEX(Roster!$G:$G,MATCH($C798,Roster!$B:$B,0))&amp;""),"—"))</f>
        <v/>
      </c>
      <c r="J798" s="25">
        <f>IF($C798="","",IFERROR(IF(INDEX(Roster!$I:$I,MATCH($C798,Roster!$B:$B,0))="","",INDEX(Roster!$I:$I,MATCH($C798,Roster!$B:$B,0))&amp;""),"—"))</f>
        <v/>
      </c>
      <c r="K798">
        <f>IF($C798="","",IFERROR(IF(INDEX(Roster!$J:$J,MATCH($C798,Roster!$B:$B,0))="","",INDEX(Roster!$J:$J,MATCH($C798,Roster!$B:$B,0))&amp;""),"—"))</f>
        <v/>
      </c>
      <c r="L798">
        <f>IF($C798="","",IFERROR(IF(INDEX(Roster!$K:$K,MATCH($C798,Roster!$B:$B,0))="","",INDEX(Roster!$K:$K,MATCH($C798,Roster!$B:$B,0))&amp;""),"—"))</f>
        <v/>
      </c>
      <c r="M798" s="27" t="n"/>
      <c r="N798" s="27" t="n"/>
      <c r="O798" s="25">
        <f>IF($C798="","",IF($P798="","—",IF($P798="Valid (Pass)","Valid","Invalid")))</f>
        <v/>
      </c>
      <c r="P798" s="27" t="n"/>
      <c r="Q798" s="27" t="n"/>
      <c r="R798" s="27" t="n"/>
      <c r="S798" s="27" t="n"/>
      <c r="T798" s="25">
        <f>IF($C798="","",IF(OR(ISNUMBER(SEARCH("quick case",$P798)),ISNUMBER(SEARCH("quick case",$Q798))),"Yes","No"))</f>
        <v/>
      </c>
      <c r="U798" s="25">
        <f>IF($O798="Invalid",HYPERLINK("mailto:"&amp;$G798&amp;";"&amp;$I798&amp;"?cc="&amp;Lists!$E$2&amp;"&amp;subject="&amp;_xlfn.ENCODEURL("[INVALID] Quality audit monitoring completed for "&amp;UPPER($C798))&amp;"&amp;body="&amp;_xlfn.ENCODEURL("Hi "&amp;$F798&amp;","&amp;CHAR(10)&amp;"Good day!"&amp;CHAR(10)&amp;CHAR(10)&amp;"A quality monitoring audit has been completed for "&amp;$C798&amp;"."&amp;CHAR(10)&amp;CHAR(10)&amp;"QUALITY AUDIT DETAILS"&amp;CHAR(10)&amp;"Agent Name: "&amp;$C798&amp;" (EID "&amp;$D798&amp;")"&amp;CHAR(10)&amp;"Audit Date: "&amp;TEXT($B798,"yyyy-mm-dd")&amp;CHAR(10)&amp;"Team Leader: "&amp;$F798&amp;CHAR(10)&amp;"Case Number: "&amp;$M798&amp;CHAR(10)&amp;"Transaction ID: "&amp;$N798&amp;CHAR(10)&amp;"Channel / LOB: "&amp;$K798&amp;" / "&amp;$L798&amp;CHAR(10)&amp;"Evaluator: "&amp;$S798&amp;CHAR(10)&amp;CHAR(10)&amp;"INVALID QUALITY AUDIT DETAILS"&amp;CHAR(10)&amp;"Validation: Invalid"&amp;CHAR(10)&amp;"Invalid Reason: "&amp;$P798&amp;CHAR(10)&amp;"Expected Resolution Code: "&amp;$Q798&amp;CHAR(10)&amp;"Remarks: "&amp;LEFT($R798,600)&amp;CHAR(10)&amp;CHAR(10)&amp;"This is an automated notification from HP Mainstream EQMS."),"✉ Open Email Draft"),"")</f>
        <v/>
      </c>
    </row>
    <row r="799">
      <c r="A799" s="25">
        <f>IF($C799="","","AUD-2026-"&amp;TEXT(ROW()-1,"000000"))</f>
        <v/>
      </c>
      <c r="B799" s="26" t="n"/>
      <c r="C799" s="27" t="n"/>
      <c r="D799" s="25">
        <f>IF($C799="","",IFERROR(IF(INDEX(Roster!$A:$A,MATCH($C799,Roster!$B:$B,0))="","",INDEX(Roster!$A:$A,MATCH($C799,Roster!$B:$B,0))&amp;""),"—"))</f>
        <v/>
      </c>
      <c r="E799" s="25">
        <f>IF($C799="","",IFERROR(IF(INDEX(Roster!$C:$C,MATCH($C799,Roster!$B:$B,0))="","",INDEX(Roster!$C:$C,MATCH($C799,Roster!$B:$B,0))&amp;""),"—"))</f>
        <v/>
      </c>
      <c r="F799" s="25">
        <f>IF($C799="","",IFERROR(IF(INDEX(Roster!$D:$D,MATCH($C799,Roster!$B:$B,0))="","",INDEX(Roster!$D:$D,MATCH($C799,Roster!$B:$B,0))&amp;""),"—"))</f>
        <v/>
      </c>
      <c r="G799" s="25">
        <f>IF($C799="","",IFERROR(IF(INDEX(Roster!$E:$E,MATCH($C799,Roster!$B:$B,0))="","",INDEX(Roster!$E:$E,MATCH($C799,Roster!$B:$B,0))&amp;""),"—"))</f>
        <v/>
      </c>
      <c r="H799" s="25">
        <f>IF($C799="","",IFERROR(IF(INDEX(Roster!$F:$F,MATCH($C799,Roster!$B:$B,0))="","",INDEX(Roster!$F:$F,MATCH($C799,Roster!$B:$B,0))&amp;""),"—"))</f>
        <v/>
      </c>
      <c r="I799" s="25">
        <f>IF($C799="","",IFERROR(IF(INDEX(Roster!$G:$G,MATCH($C799,Roster!$B:$B,0))="","",INDEX(Roster!$G:$G,MATCH($C799,Roster!$B:$B,0))&amp;""),"—"))</f>
        <v/>
      </c>
      <c r="J799" s="25">
        <f>IF($C799="","",IFERROR(IF(INDEX(Roster!$I:$I,MATCH($C799,Roster!$B:$B,0))="","",INDEX(Roster!$I:$I,MATCH($C799,Roster!$B:$B,0))&amp;""),"—"))</f>
        <v/>
      </c>
      <c r="K799">
        <f>IF($C799="","",IFERROR(IF(INDEX(Roster!$J:$J,MATCH($C799,Roster!$B:$B,0))="","",INDEX(Roster!$J:$J,MATCH($C799,Roster!$B:$B,0))&amp;""),"—"))</f>
        <v/>
      </c>
      <c r="L799">
        <f>IF($C799="","",IFERROR(IF(INDEX(Roster!$K:$K,MATCH($C799,Roster!$B:$B,0))="","",INDEX(Roster!$K:$K,MATCH($C799,Roster!$B:$B,0))&amp;""),"—"))</f>
        <v/>
      </c>
      <c r="M799" s="27" t="n"/>
      <c r="N799" s="27" t="n"/>
      <c r="O799" s="25">
        <f>IF($C799="","",IF($P799="","—",IF($P799="Valid (Pass)","Valid","Invalid")))</f>
        <v/>
      </c>
      <c r="P799" s="27" t="n"/>
      <c r="Q799" s="27" t="n"/>
      <c r="R799" s="27" t="n"/>
      <c r="S799" s="27" t="n"/>
      <c r="T799" s="25">
        <f>IF($C799="","",IF(OR(ISNUMBER(SEARCH("quick case",$P799)),ISNUMBER(SEARCH("quick case",$Q799))),"Yes","No"))</f>
        <v/>
      </c>
      <c r="U799" s="25">
        <f>IF($O799="Invalid",HYPERLINK("mailto:"&amp;$G799&amp;";"&amp;$I799&amp;"?cc="&amp;Lists!$E$2&amp;"&amp;subject="&amp;_xlfn.ENCODEURL("[INVALID] Quality audit monitoring completed for "&amp;UPPER($C799))&amp;"&amp;body="&amp;_xlfn.ENCODEURL("Hi "&amp;$F799&amp;","&amp;CHAR(10)&amp;"Good day!"&amp;CHAR(10)&amp;CHAR(10)&amp;"A quality monitoring audit has been completed for "&amp;$C799&amp;"."&amp;CHAR(10)&amp;CHAR(10)&amp;"QUALITY AUDIT DETAILS"&amp;CHAR(10)&amp;"Agent Name: "&amp;$C799&amp;" (EID "&amp;$D799&amp;")"&amp;CHAR(10)&amp;"Audit Date: "&amp;TEXT($B799,"yyyy-mm-dd")&amp;CHAR(10)&amp;"Team Leader: "&amp;$F799&amp;CHAR(10)&amp;"Case Number: "&amp;$M799&amp;CHAR(10)&amp;"Transaction ID: "&amp;$N799&amp;CHAR(10)&amp;"Channel / LOB: "&amp;$K799&amp;" / "&amp;$L799&amp;CHAR(10)&amp;"Evaluator: "&amp;$S799&amp;CHAR(10)&amp;CHAR(10)&amp;"INVALID QUALITY AUDIT DETAILS"&amp;CHAR(10)&amp;"Validation: Invalid"&amp;CHAR(10)&amp;"Invalid Reason: "&amp;$P799&amp;CHAR(10)&amp;"Expected Resolution Code: "&amp;$Q799&amp;CHAR(10)&amp;"Remarks: "&amp;LEFT($R799,600)&amp;CHAR(10)&amp;CHAR(10)&amp;"This is an automated notification from HP Mainstream EQMS."),"✉ Open Email Draft"),"")</f>
        <v/>
      </c>
    </row>
    <row r="800">
      <c r="A800" s="25">
        <f>IF($C800="","","AUD-2026-"&amp;TEXT(ROW()-1,"000000"))</f>
        <v/>
      </c>
      <c r="B800" s="26" t="n"/>
      <c r="C800" s="27" t="n"/>
      <c r="D800" s="25">
        <f>IF($C800="","",IFERROR(IF(INDEX(Roster!$A:$A,MATCH($C800,Roster!$B:$B,0))="","",INDEX(Roster!$A:$A,MATCH($C800,Roster!$B:$B,0))&amp;""),"—"))</f>
        <v/>
      </c>
      <c r="E800" s="25">
        <f>IF($C800="","",IFERROR(IF(INDEX(Roster!$C:$C,MATCH($C800,Roster!$B:$B,0))="","",INDEX(Roster!$C:$C,MATCH($C800,Roster!$B:$B,0))&amp;""),"—"))</f>
        <v/>
      </c>
      <c r="F800" s="25">
        <f>IF($C800="","",IFERROR(IF(INDEX(Roster!$D:$D,MATCH($C800,Roster!$B:$B,0))="","",INDEX(Roster!$D:$D,MATCH($C800,Roster!$B:$B,0))&amp;""),"—"))</f>
        <v/>
      </c>
      <c r="G800" s="25">
        <f>IF($C800="","",IFERROR(IF(INDEX(Roster!$E:$E,MATCH($C800,Roster!$B:$B,0))="","",INDEX(Roster!$E:$E,MATCH($C800,Roster!$B:$B,0))&amp;""),"—"))</f>
        <v/>
      </c>
      <c r="H800" s="25">
        <f>IF($C800="","",IFERROR(IF(INDEX(Roster!$F:$F,MATCH($C800,Roster!$B:$B,0))="","",INDEX(Roster!$F:$F,MATCH($C800,Roster!$B:$B,0))&amp;""),"—"))</f>
        <v/>
      </c>
      <c r="I800" s="25">
        <f>IF($C800="","",IFERROR(IF(INDEX(Roster!$G:$G,MATCH($C800,Roster!$B:$B,0))="","",INDEX(Roster!$G:$G,MATCH($C800,Roster!$B:$B,0))&amp;""),"—"))</f>
        <v/>
      </c>
      <c r="J800" s="25">
        <f>IF($C800="","",IFERROR(IF(INDEX(Roster!$I:$I,MATCH($C800,Roster!$B:$B,0))="","",INDEX(Roster!$I:$I,MATCH($C800,Roster!$B:$B,0))&amp;""),"—"))</f>
        <v/>
      </c>
      <c r="K800">
        <f>IF($C800="","",IFERROR(IF(INDEX(Roster!$J:$J,MATCH($C800,Roster!$B:$B,0))="","",INDEX(Roster!$J:$J,MATCH($C800,Roster!$B:$B,0))&amp;""),"—"))</f>
        <v/>
      </c>
      <c r="L800">
        <f>IF($C800="","",IFERROR(IF(INDEX(Roster!$K:$K,MATCH($C800,Roster!$B:$B,0))="","",INDEX(Roster!$K:$K,MATCH($C800,Roster!$B:$B,0))&amp;""),"—"))</f>
        <v/>
      </c>
      <c r="M800" s="27" t="n"/>
      <c r="N800" s="27" t="n"/>
      <c r="O800" s="25">
        <f>IF($C800="","",IF($P800="","—",IF($P800="Valid (Pass)","Valid","Invalid")))</f>
        <v/>
      </c>
      <c r="P800" s="27" t="n"/>
      <c r="Q800" s="27" t="n"/>
      <c r="R800" s="27" t="n"/>
      <c r="S800" s="27" t="n"/>
      <c r="T800" s="25">
        <f>IF($C800="","",IF(OR(ISNUMBER(SEARCH("quick case",$P800)),ISNUMBER(SEARCH("quick case",$Q800))),"Yes","No"))</f>
        <v/>
      </c>
      <c r="U800" s="25">
        <f>IF($O800="Invalid",HYPERLINK("mailto:"&amp;$G800&amp;";"&amp;$I800&amp;"?cc="&amp;Lists!$E$2&amp;"&amp;subject="&amp;_xlfn.ENCODEURL("[INVALID] Quality audit monitoring completed for "&amp;UPPER($C800))&amp;"&amp;body="&amp;_xlfn.ENCODEURL("Hi "&amp;$F800&amp;","&amp;CHAR(10)&amp;"Good day!"&amp;CHAR(10)&amp;CHAR(10)&amp;"A quality monitoring audit has been completed for "&amp;$C800&amp;"."&amp;CHAR(10)&amp;CHAR(10)&amp;"QUALITY AUDIT DETAILS"&amp;CHAR(10)&amp;"Agent Name: "&amp;$C800&amp;" (EID "&amp;$D800&amp;")"&amp;CHAR(10)&amp;"Audit Date: "&amp;TEXT($B800,"yyyy-mm-dd")&amp;CHAR(10)&amp;"Team Leader: "&amp;$F800&amp;CHAR(10)&amp;"Case Number: "&amp;$M800&amp;CHAR(10)&amp;"Transaction ID: "&amp;$N800&amp;CHAR(10)&amp;"Channel / LOB: "&amp;$K800&amp;" / "&amp;$L800&amp;CHAR(10)&amp;"Evaluator: "&amp;$S800&amp;CHAR(10)&amp;CHAR(10)&amp;"INVALID QUALITY AUDIT DETAILS"&amp;CHAR(10)&amp;"Validation: Invalid"&amp;CHAR(10)&amp;"Invalid Reason: "&amp;$P800&amp;CHAR(10)&amp;"Expected Resolution Code: "&amp;$Q800&amp;CHAR(10)&amp;"Remarks: "&amp;LEFT($R800,600)&amp;CHAR(10)&amp;CHAR(10)&amp;"This is an automated notification from HP Mainstream EQMS."),"✉ Open Email Draft"),"")</f>
        <v/>
      </c>
    </row>
    <row r="801">
      <c r="A801" s="25">
        <f>IF($C801="","","AUD-2026-"&amp;TEXT(ROW()-1,"000000"))</f>
        <v/>
      </c>
      <c r="B801" s="26" t="n"/>
      <c r="C801" s="27" t="n"/>
      <c r="D801" s="25">
        <f>IF($C801="","",IFERROR(IF(INDEX(Roster!$A:$A,MATCH($C801,Roster!$B:$B,0))="","",INDEX(Roster!$A:$A,MATCH($C801,Roster!$B:$B,0))&amp;""),"—"))</f>
        <v/>
      </c>
      <c r="E801" s="25">
        <f>IF($C801="","",IFERROR(IF(INDEX(Roster!$C:$C,MATCH($C801,Roster!$B:$B,0))="","",INDEX(Roster!$C:$C,MATCH($C801,Roster!$B:$B,0))&amp;""),"—"))</f>
        <v/>
      </c>
      <c r="F801" s="25">
        <f>IF($C801="","",IFERROR(IF(INDEX(Roster!$D:$D,MATCH($C801,Roster!$B:$B,0))="","",INDEX(Roster!$D:$D,MATCH($C801,Roster!$B:$B,0))&amp;""),"—"))</f>
        <v/>
      </c>
      <c r="G801" s="25">
        <f>IF($C801="","",IFERROR(IF(INDEX(Roster!$E:$E,MATCH($C801,Roster!$B:$B,0))="","",INDEX(Roster!$E:$E,MATCH($C801,Roster!$B:$B,0))&amp;""),"—"))</f>
        <v/>
      </c>
      <c r="H801" s="25">
        <f>IF($C801="","",IFERROR(IF(INDEX(Roster!$F:$F,MATCH($C801,Roster!$B:$B,0))="","",INDEX(Roster!$F:$F,MATCH($C801,Roster!$B:$B,0))&amp;""),"—"))</f>
        <v/>
      </c>
      <c r="I801" s="25">
        <f>IF($C801="","",IFERROR(IF(INDEX(Roster!$G:$G,MATCH($C801,Roster!$B:$B,0))="","",INDEX(Roster!$G:$G,MATCH($C801,Roster!$B:$B,0))&amp;""),"—"))</f>
        <v/>
      </c>
      <c r="J801" s="25">
        <f>IF($C801="","",IFERROR(IF(INDEX(Roster!$I:$I,MATCH($C801,Roster!$B:$B,0))="","",INDEX(Roster!$I:$I,MATCH($C801,Roster!$B:$B,0))&amp;""),"—"))</f>
        <v/>
      </c>
      <c r="K801">
        <f>IF($C801="","",IFERROR(IF(INDEX(Roster!$J:$J,MATCH($C801,Roster!$B:$B,0))="","",INDEX(Roster!$J:$J,MATCH($C801,Roster!$B:$B,0))&amp;""),"—"))</f>
        <v/>
      </c>
      <c r="L801">
        <f>IF($C801="","",IFERROR(IF(INDEX(Roster!$K:$K,MATCH($C801,Roster!$B:$B,0))="","",INDEX(Roster!$K:$K,MATCH($C801,Roster!$B:$B,0))&amp;""),"—"))</f>
        <v/>
      </c>
      <c r="M801" s="27" t="n"/>
      <c r="N801" s="27" t="n"/>
      <c r="O801" s="25">
        <f>IF($C801="","",IF($P801="","—",IF($P801="Valid (Pass)","Valid","Invalid")))</f>
        <v/>
      </c>
      <c r="P801" s="27" t="n"/>
      <c r="Q801" s="27" t="n"/>
      <c r="R801" s="27" t="n"/>
      <c r="S801" s="27" t="n"/>
      <c r="T801" s="25">
        <f>IF($C801="","",IF(OR(ISNUMBER(SEARCH("quick case",$P801)),ISNUMBER(SEARCH("quick case",$Q801))),"Yes","No"))</f>
        <v/>
      </c>
      <c r="U801" s="25">
        <f>IF($O801="Invalid",HYPERLINK("mailto:"&amp;$G801&amp;";"&amp;$I801&amp;"?cc="&amp;Lists!$E$2&amp;"&amp;subject="&amp;_xlfn.ENCODEURL("[INVALID] Quality audit monitoring completed for "&amp;UPPER($C801))&amp;"&amp;body="&amp;_xlfn.ENCODEURL("Hi "&amp;$F801&amp;","&amp;CHAR(10)&amp;"Good day!"&amp;CHAR(10)&amp;CHAR(10)&amp;"A quality monitoring audit has been completed for "&amp;$C801&amp;"."&amp;CHAR(10)&amp;CHAR(10)&amp;"QUALITY AUDIT DETAILS"&amp;CHAR(10)&amp;"Agent Name: "&amp;$C801&amp;" (EID "&amp;$D801&amp;")"&amp;CHAR(10)&amp;"Audit Date: "&amp;TEXT($B801,"yyyy-mm-dd")&amp;CHAR(10)&amp;"Team Leader: "&amp;$F801&amp;CHAR(10)&amp;"Case Number: "&amp;$M801&amp;CHAR(10)&amp;"Transaction ID: "&amp;$N801&amp;CHAR(10)&amp;"Channel / LOB: "&amp;$K801&amp;" / "&amp;$L801&amp;CHAR(10)&amp;"Evaluator: "&amp;$S801&amp;CHAR(10)&amp;CHAR(10)&amp;"INVALID QUALITY AUDIT DETAILS"&amp;CHAR(10)&amp;"Validation: Invalid"&amp;CHAR(10)&amp;"Invalid Reason: "&amp;$P801&amp;CHAR(10)&amp;"Expected Resolution Code: "&amp;$Q801&amp;CHAR(10)&amp;"Remarks: "&amp;LEFT($R801,600)&amp;CHAR(10)&amp;CHAR(10)&amp;"This is an automated notification from HP Mainstream EQMS."),"✉ Open Email Draft"),"")</f>
        <v/>
      </c>
    </row>
    <row r="802">
      <c r="A802" s="25">
        <f>IF($C802="","","AUD-2026-"&amp;TEXT(ROW()-1,"000000"))</f>
        <v/>
      </c>
      <c r="B802" s="26" t="n"/>
      <c r="C802" s="27" t="n"/>
      <c r="D802" s="25">
        <f>IF($C802="","",IFERROR(IF(INDEX(Roster!$A:$A,MATCH($C802,Roster!$B:$B,0))="","",INDEX(Roster!$A:$A,MATCH($C802,Roster!$B:$B,0))&amp;""),"—"))</f>
        <v/>
      </c>
      <c r="E802" s="25">
        <f>IF($C802="","",IFERROR(IF(INDEX(Roster!$C:$C,MATCH($C802,Roster!$B:$B,0))="","",INDEX(Roster!$C:$C,MATCH($C802,Roster!$B:$B,0))&amp;""),"—"))</f>
        <v/>
      </c>
      <c r="F802" s="25">
        <f>IF($C802="","",IFERROR(IF(INDEX(Roster!$D:$D,MATCH($C802,Roster!$B:$B,0))="","",INDEX(Roster!$D:$D,MATCH($C802,Roster!$B:$B,0))&amp;""),"—"))</f>
        <v/>
      </c>
      <c r="G802" s="25">
        <f>IF($C802="","",IFERROR(IF(INDEX(Roster!$E:$E,MATCH($C802,Roster!$B:$B,0))="","",INDEX(Roster!$E:$E,MATCH($C802,Roster!$B:$B,0))&amp;""),"—"))</f>
        <v/>
      </c>
      <c r="H802" s="25">
        <f>IF($C802="","",IFERROR(IF(INDEX(Roster!$F:$F,MATCH($C802,Roster!$B:$B,0))="","",INDEX(Roster!$F:$F,MATCH($C802,Roster!$B:$B,0))&amp;""),"—"))</f>
        <v/>
      </c>
      <c r="I802" s="25">
        <f>IF($C802="","",IFERROR(IF(INDEX(Roster!$G:$G,MATCH($C802,Roster!$B:$B,0))="","",INDEX(Roster!$G:$G,MATCH($C802,Roster!$B:$B,0))&amp;""),"—"))</f>
        <v/>
      </c>
      <c r="J802" s="25">
        <f>IF($C802="","",IFERROR(IF(INDEX(Roster!$I:$I,MATCH($C802,Roster!$B:$B,0))="","",INDEX(Roster!$I:$I,MATCH($C802,Roster!$B:$B,0))&amp;""),"—"))</f>
        <v/>
      </c>
      <c r="K802">
        <f>IF($C802="","",IFERROR(IF(INDEX(Roster!$J:$J,MATCH($C802,Roster!$B:$B,0))="","",INDEX(Roster!$J:$J,MATCH($C802,Roster!$B:$B,0))&amp;""),"—"))</f>
        <v/>
      </c>
      <c r="L802">
        <f>IF($C802="","",IFERROR(IF(INDEX(Roster!$K:$K,MATCH($C802,Roster!$B:$B,0))="","",INDEX(Roster!$K:$K,MATCH($C802,Roster!$B:$B,0))&amp;""),"—"))</f>
        <v/>
      </c>
      <c r="M802" s="27" t="n"/>
      <c r="N802" s="27" t="n"/>
      <c r="O802" s="25">
        <f>IF($C802="","",IF($P802="","—",IF($P802="Valid (Pass)","Valid","Invalid")))</f>
        <v/>
      </c>
      <c r="P802" s="27" t="n"/>
      <c r="Q802" s="27" t="n"/>
      <c r="R802" s="27" t="n"/>
      <c r="S802" s="27" t="n"/>
      <c r="T802" s="25">
        <f>IF($C802="","",IF(OR(ISNUMBER(SEARCH("quick case",$P802)),ISNUMBER(SEARCH("quick case",$Q802))),"Yes","No"))</f>
        <v/>
      </c>
      <c r="U802" s="25">
        <f>IF($O802="Invalid",HYPERLINK("mailto:"&amp;$G802&amp;";"&amp;$I802&amp;"?cc="&amp;Lists!$E$2&amp;"&amp;subject="&amp;_xlfn.ENCODEURL("[INVALID] Quality audit monitoring completed for "&amp;UPPER($C802))&amp;"&amp;body="&amp;_xlfn.ENCODEURL("Hi "&amp;$F802&amp;","&amp;CHAR(10)&amp;"Good day!"&amp;CHAR(10)&amp;CHAR(10)&amp;"A quality monitoring audit has been completed for "&amp;$C802&amp;"."&amp;CHAR(10)&amp;CHAR(10)&amp;"QUALITY AUDIT DETAILS"&amp;CHAR(10)&amp;"Agent Name: "&amp;$C802&amp;" (EID "&amp;$D802&amp;")"&amp;CHAR(10)&amp;"Audit Date: "&amp;TEXT($B802,"yyyy-mm-dd")&amp;CHAR(10)&amp;"Team Leader: "&amp;$F802&amp;CHAR(10)&amp;"Case Number: "&amp;$M802&amp;CHAR(10)&amp;"Transaction ID: "&amp;$N802&amp;CHAR(10)&amp;"Channel / LOB: "&amp;$K802&amp;" / "&amp;$L802&amp;CHAR(10)&amp;"Evaluator: "&amp;$S802&amp;CHAR(10)&amp;CHAR(10)&amp;"INVALID QUALITY AUDIT DETAILS"&amp;CHAR(10)&amp;"Validation: Invalid"&amp;CHAR(10)&amp;"Invalid Reason: "&amp;$P802&amp;CHAR(10)&amp;"Expected Resolution Code: "&amp;$Q802&amp;CHAR(10)&amp;"Remarks: "&amp;LEFT($R802,600)&amp;CHAR(10)&amp;CHAR(10)&amp;"This is an automated notification from HP Mainstream EQMS."),"✉ Open Email Draft"),"")</f>
        <v/>
      </c>
    </row>
    <row r="803">
      <c r="A803" s="25">
        <f>IF($C803="","","AUD-2026-"&amp;TEXT(ROW()-1,"000000"))</f>
        <v/>
      </c>
      <c r="B803" s="26" t="n"/>
      <c r="C803" s="27" t="n"/>
      <c r="D803" s="25">
        <f>IF($C803="","",IFERROR(IF(INDEX(Roster!$A:$A,MATCH($C803,Roster!$B:$B,0))="","",INDEX(Roster!$A:$A,MATCH($C803,Roster!$B:$B,0))&amp;""),"—"))</f>
        <v/>
      </c>
      <c r="E803" s="25">
        <f>IF($C803="","",IFERROR(IF(INDEX(Roster!$C:$C,MATCH($C803,Roster!$B:$B,0))="","",INDEX(Roster!$C:$C,MATCH($C803,Roster!$B:$B,0))&amp;""),"—"))</f>
        <v/>
      </c>
      <c r="F803" s="25">
        <f>IF($C803="","",IFERROR(IF(INDEX(Roster!$D:$D,MATCH($C803,Roster!$B:$B,0))="","",INDEX(Roster!$D:$D,MATCH($C803,Roster!$B:$B,0))&amp;""),"—"))</f>
        <v/>
      </c>
      <c r="G803" s="25">
        <f>IF($C803="","",IFERROR(IF(INDEX(Roster!$E:$E,MATCH($C803,Roster!$B:$B,0))="","",INDEX(Roster!$E:$E,MATCH($C803,Roster!$B:$B,0))&amp;""),"—"))</f>
        <v/>
      </c>
      <c r="H803" s="25">
        <f>IF($C803="","",IFERROR(IF(INDEX(Roster!$F:$F,MATCH($C803,Roster!$B:$B,0))="","",INDEX(Roster!$F:$F,MATCH($C803,Roster!$B:$B,0))&amp;""),"—"))</f>
        <v/>
      </c>
      <c r="I803" s="25">
        <f>IF($C803="","",IFERROR(IF(INDEX(Roster!$G:$G,MATCH($C803,Roster!$B:$B,0))="","",INDEX(Roster!$G:$G,MATCH($C803,Roster!$B:$B,0))&amp;""),"—"))</f>
        <v/>
      </c>
      <c r="J803" s="25">
        <f>IF($C803="","",IFERROR(IF(INDEX(Roster!$I:$I,MATCH($C803,Roster!$B:$B,0))="","",INDEX(Roster!$I:$I,MATCH($C803,Roster!$B:$B,0))&amp;""),"—"))</f>
        <v/>
      </c>
      <c r="K803">
        <f>IF($C803="","",IFERROR(IF(INDEX(Roster!$J:$J,MATCH($C803,Roster!$B:$B,0))="","",INDEX(Roster!$J:$J,MATCH($C803,Roster!$B:$B,0))&amp;""),"—"))</f>
        <v/>
      </c>
      <c r="L803">
        <f>IF($C803="","",IFERROR(IF(INDEX(Roster!$K:$K,MATCH($C803,Roster!$B:$B,0))="","",INDEX(Roster!$K:$K,MATCH($C803,Roster!$B:$B,0))&amp;""),"—"))</f>
        <v/>
      </c>
      <c r="M803" s="27" t="n"/>
      <c r="N803" s="27" t="n"/>
      <c r="O803" s="25">
        <f>IF($C803="","",IF($P803="","—",IF($P803="Valid (Pass)","Valid","Invalid")))</f>
        <v/>
      </c>
      <c r="P803" s="27" t="n"/>
      <c r="Q803" s="27" t="n"/>
      <c r="R803" s="27" t="n"/>
      <c r="S803" s="27" t="n"/>
      <c r="T803" s="25">
        <f>IF($C803="","",IF(OR(ISNUMBER(SEARCH("quick case",$P803)),ISNUMBER(SEARCH("quick case",$Q803))),"Yes","No"))</f>
        <v/>
      </c>
      <c r="U803" s="25">
        <f>IF($O803="Invalid",HYPERLINK("mailto:"&amp;$G803&amp;";"&amp;$I803&amp;"?cc="&amp;Lists!$E$2&amp;"&amp;subject="&amp;_xlfn.ENCODEURL("[INVALID] Quality audit monitoring completed for "&amp;UPPER($C803))&amp;"&amp;body="&amp;_xlfn.ENCODEURL("Hi "&amp;$F803&amp;","&amp;CHAR(10)&amp;"Good day!"&amp;CHAR(10)&amp;CHAR(10)&amp;"A quality monitoring audit has been completed for "&amp;$C803&amp;"."&amp;CHAR(10)&amp;CHAR(10)&amp;"QUALITY AUDIT DETAILS"&amp;CHAR(10)&amp;"Agent Name: "&amp;$C803&amp;" (EID "&amp;$D803&amp;")"&amp;CHAR(10)&amp;"Audit Date: "&amp;TEXT($B803,"yyyy-mm-dd")&amp;CHAR(10)&amp;"Team Leader: "&amp;$F803&amp;CHAR(10)&amp;"Case Number: "&amp;$M803&amp;CHAR(10)&amp;"Transaction ID: "&amp;$N803&amp;CHAR(10)&amp;"Channel / LOB: "&amp;$K803&amp;" / "&amp;$L803&amp;CHAR(10)&amp;"Evaluator: "&amp;$S803&amp;CHAR(10)&amp;CHAR(10)&amp;"INVALID QUALITY AUDIT DETAILS"&amp;CHAR(10)&amp;"Validation: Invalid"&amp;CHAR(10)&amp;"Invalid Reason: "&amp;$P803&amp;CHAR(10)&amp;"Expected Resolution Code: "&amp;$Q803&amp;CHAR(10)&amp;"Remarks: "&amp;LEFT($R803,600)&amp;CHAR(10)&amp;CHAR(10)&amp;"This is an automated notification from HP Mainstream EQMS."),"✉ Open Email Draft"),"")</f>
        <v/>
      </c>
    </row>
    <row r="804">
      <c r="A804" s="25">
        <f>IF($C804="","","AUD-2026-"&amp;TEXT(ROW()-1,"000000"))</f>
        <v/>
      </c>
      <c r="B804" s="26" t="n"/>
      <c r="C804" s="27" t="n"/>
      <c r="D804" s="25">
        <f>IF($C804="","",IFERROR(IF(INDEX(Roster!$A:$A,MATCH($C804,Roster!$B:$B,0))="","",INDEX(Roster!$A:$A,MATCH($C804,Roster!$B:$B,0))&amp;""),"—"))</f>
        <v/>
      </c>
      <c r="E804" s="25">
        <f>IF($C804="","",IFERROR(IF(INDEX(Roster!$C:$C,MATCH($C804,Roster!$B:$B,0))="","",INDEX(Roster!$C:$C,MATCH($C804,Roster!$B:$B,0))&amp;""),"—"))</f>
        <v/>
      </c>
      <c r="F804" s="25">
        <f>IF($C804="","",IFERROR(IF(INDEX(Roster!$D:$D,MATCH($C804,Roster!$B:$B,0))="","",INDEX(Roster!$D:$D,MATCH($C804,Roster!$B:$B,0))&amp;""),"—"))</f>
        <v/>
      </c>
      <c r="G804" s="25">
        <f>IF($C804="","",IFERROR(IF(INDEX(Roster!$E:$E,MATCH($C804,Roster!$B:$B,0))="","",INDEX(Roster!$E:$E,MATCH($C804,Roster!$B:$B,0))&amp;""),"—"))</f>
        <v/>
      </c>
      <c r="H804" s="25">
        <f>IF($C804="","",IFERROR(IF(INDEX(Roster!$F:$F,MATCH($C804,Roster!$B:$B,0))="","",INDEX(Roster!$F:$F,MATCH($C804,Roster!$B:$B,0))&amp;""),"—"))</f>
        <v/>
      </c>
      <c r="I804" s="25">
        <f>IF($C804="","",IFERROR(IF(INDEX(Roster!$G:$G,MATCH($C804,Roster!$B:$B,0))="","",INDEX(Roster!$G:$G,MATCH($C804,Roster!$B:$B,0))&amp;""),"—"))</f>
        <v/>
      </c>
      <c r="J804" s="25">
        <f>IF($C804="","",IFERROR(IF(INDEX(Roster!$I:$I,MATCH($C804,Roster!$B:$B,0))="","",INDEX(Roster!$I:$I,MATCH($C804,Roster!$B:$B,0))&amp;""),"—"))</f>
        <v/>
      </c>
      <c r="K804">
        <f>IF($C804="","",IFERROR(IF(INDEX(Roster!$J:$J,MATCH($C804,Roster!$B:$B,0))="","",INDEX(Roster!$J:$J,MATCH($C804,Roster!$B:$B,0))&amp;""),"—"))</f>
        <v/>
      </c>
      <c r="L804">
        <f>IF($C804="","",IFERROR(IF(INDEX(Roster!$K:$K,MATCH($C804,Roster!$B:$B,0))="","",INDEX(Roster!$K:$K,MATCH($C804,Roster!$B:$B,0))&amp;""),"—"))</f>
        <v/>
      </c>
      <c r="M804" s="27" t="n"/>
      <c r="N804" s="27" t="n"/>
      <c r="O804" s="25">
        <f>IF($C804="","",IF($P804="","—",IF($P804="Valid (Pass)","Valid","Invalid")))</f>
        <v/>
      </c>
      <c r="P804" s="27" t="n"/>
      <c r="Q804" s="27" t="n"/>
      <c r="R804" s="27" t="n"/>
      <c r="S804" s="27" t="n"/>
      <c r="T804" s="25">
        <f>IF($C804="","",IF(OR(ISNUMBER(SEARCH("quick case",$P804)),ISNUMBER(SEARCH("quick case",$Q804))),"Yes","No"))</f>
        <v/>
      </c>
      <c r="U804" s="25">
        <f>IF($O804="Invalid",HYPERLINK("mailto:"&amp;$G804&amp;";"&amp;$I804&amp;"?cc="&amp;Lists!$E$2&amp;"&amp;subject="&amp;_xlfn.ENCODEURL("[INVALID] Quality audit monitoring completed for "&amp;UPPER($C804))&amp;"&amp;body="&amp;_xlfn.ENCODEURL("Hi "&amp;$F804&amp;","&amp;CHAR(10)&amp;"Good day!"&amp;CHAR(10)&amp;CHAR(10)&amp;"A quality monitoring audit has been completed for "&amp;$C804&amp;"."&amp;CHAR(10)&amp;CHAR(10)&amp;"QUALITY AUDIT DETAILS"&amp;CHAR(10)&amp;"Agent Name: "&amp;$C804&amp;" (EID "&amp;$D804&amp;")"&amp;CHAR(10)&amp;"Audit Date: "&amp;TEXT($B804,"yyyy-mm-dd")&amp;CHAR(10)&amp;"Team Leader: "&amp;$F804&amp;CHAR(10)&amp;"Case Number: "&amp;$M804&amp;CHAR(10)&amp;"Transaction ID: "&amp;$N804&amp;CHAR(10)&amp;"Channel / LOB: "&amp;$K804&amp;" / "&amp;$L804&amp;CHAR(10)&amp;"Evaluator: "&amp;$S804&amp;CHAR(10)&amp;CHAR(10)&amp;"INVALID QUALITY AUDIT DETAILS"&amp;CHAR(10)&amp;"Validation: Invalid"&amp;CHAR(10)&amp;"Invalid Reason: "&amp;$P804&amp;CHAR(10)&amp;"Expected Resolution Code: "&amp;$Q804&amp;CHAR(10)&amp;"Remarks: "&amp;LEFT($R804,600)&amp;CHAR(10)&amp;CHAR(10)&amp;"This is an automated notification from HP Mainstream EQMS."),"✉ Open Email Draft"),"")</f>
        <v/>
      </c>
    </row>
    <row r="805">
      <c r="A805" s="25">
        <f>IF($C805="","","AUD-2026-"&amp;TEXT(ROW()-1,"000000"))</f>
        <v/>
      </c>
      <c r="B805" s="26" t="n"/>
      <c r="C805" s="27" t="n"/>
      <c r="D805" s="25">
        <f>IF($C805="","",IFERROR(IF(INDEX(Roster!$A:$A,MATCH($C805,Roster!$B:$B,0))="","",INDEX(Roster!$A:$A,MATCH($C805,Roster!$B:$B,0))&amp;""),"—"))</f>
        <v/>
      </c>
      <c r="E805" s="25">
        <f>IF($C805="","",IFERROR(IF(INDEX(Roster!$C:$C,MATCH($C805,Roster!$B:$B,0))="","",INDEX(Roster!$C:$C,MATCH($C805,Roster!$B:$B,0))&amp;""),"—"))</f>
        <v/>
      </c>
      <c r="F805" s="25">
        <f>IF($C805="","",IFERROR(IF(INDEX(Roster!$D:$D,MATCH($C805,Roster!$B:$B,0))="","",INDEX(Roster!$D:$D,MATCH($C805,Roster!$B:$B,0))&amp;""),"—"))</f>
        <v/>
      </c>
      <c r="G805" s="25">
        <f>IF($C805="","",IFERROR(IF(INDEX(Roster!$E:$E,MATCH($C805,Roster!$B:$B,0))="","",INDEX(Roster!$E:$E,MATCH($C805,Roster!$B:$B,0))&amp;""),"—"))</f>
        <v/>
      </c>
      <c r="H805" s="25">
        <f>IF($C805="","",IFERROR(IF(INDEX(Roster!$F:$F,MATCH($C805,Roster!$B:$B,0))="","",INDEX(Roster!$F:$F,MATCH($C805,Roster!$B:$B,0))&amp;""),"—"))</f>
        <v/>
      </c>
      <c r="I805" s="25">
        <f>IF($C805="","",IFERROR(IF(INDEX(Roster!$G:$G,MATCH($C805,Roster!$B:$B,0))="","",INDEX(Roster!$G:$G,MATCH($C805,Roster!$B:$B,0))&amp;""),"—"))</f>
        <v/>
      </c>
      <c r="J805" s="25">
        <f>IF($C805="","",IFERROR(IF(INDEX(Roster!$I:$I,MATCH($C805,Roster!$B:$B,0))="","",INDEX(Roster!$I:$I,MATCH($C805,Roster!$B:$B,0))&amp;""),"—"))</f>
        <v/>
      </c>
      <c r="K805">
        <f>IF($C805="","",IFERROR(IF(INDEX(Roster!$J:$J,MATCH($C805,Roster!$B:$B,0))="","",INDEX(Roster!$J:$J,MATCH($C805,Roster!$B:$B,0))&amp;""),"—"))</f>
        <v/>
      </c>
      <c r="L805">
        <f>IF($C805="","",IFERROR(IF(INDEX(Roster!$K:$K,MATCH($C805,Roster!$B:$B,0))="","",INDEX(Roster!$K:$K,MATCH($C805,Roster!$B:$B,0))&amp;""),"—"))</f>
        <v/>
      </c>
      <c r="M805" s="27" t="n"/>
      <c r="N805" s="27" t="n"/>
      <c r="O805" s="25">
        <f>IF($C805="","",IF($P805="","—",IF($P805="Valid (Pass)","Valid","Invalid")))</f>
        <v/>
      </c>
      <c r="P805" s="27" t="n"/>
      <c r="Q805" s="27" t="n"/>
      <c r="R805" s="27" t="n"/>
      <c r="S805" s="27" t="n"/>
      <c r="T805" s="25">
        <f>IF($C805="","",IF(OR(ISNUMBER(SEARCH("quick case",$P805)),ISNUMBER(SEARCH("quick case",$Q805))),"Yes","No"))</f>
        <v/>
      </c>
      <c r="U805" s="25">
        <f>IF($O805="Invalid",HYPERLINK("mailto:"&amp;$G805&amp;";"&amp;$I805&amp;"?cc="&amp;Lists!$E$2&amp;"&amp;subject="&amp;_xlfn.ENCODEURL("[INVALID] Quality audit monitoring completed for "&amp;UPPER($C805))&amp;"&amp;body="&amp;_xlfn.ENCODEURL("Hi "&amp;$F805&amp;","&amp;CHAR(10)&amp;"Good day!"&amp;CHAR(10)&amp;CHAR(10)&amp;"A quality monitoring audit has been completed for "&amp;$C805&amp;"."&amp;CHAR(10)&amp;CHAR(10)&amp;"QUALITY AUDIT DETAILS"&amp;CHAR(10)&amp;"Agent Name: "&amp;$C805&amp;" (EID "&amp;$D805&amp;")"&amp;CHAR(10)&amp;"Audit Date: "&amp;TEXT($B805,"yyyy-mm-dd")&amp;CHAR(10)&amp;"Team Leader: "&amp;$F805&amp;CHAR(10)&amp;"Case Number: "&amp;$M805&amp;CHAR(10)&amp;"Transaction ID: "&amp;$N805&amp;CHAR(10)&amp;"Channel / LOB: "&amp;$K805&amp;" / "&amp;$L805&amp;CHAR(10)&amp;"Evaluator: "&amp;$S805&amp;CHAR(10)&amp;CHAR(10)&amp;"INVALID QUALITY AUDIT DETAILS"&amp;CHAR(10)&amp;"Validation: Invalid"&amp;CHAR(10)&amp;"Invalid Reason: "&amp;$P805&amp;CHAR(10)&amp;"Expected Resolution Code: "&amp;$Q805&amp;CHAR(10)&amp;"Remarks: "&amp;LEFT($R805,600)&amp;CHAR(10)&amp;CHAR(10)&amp;"This is an automated notification from HP Mainstream EQMS."),"✉ Open Email Draft"),"")</f>
        <v/>
      </c>
    </row>
    <row r="806">
      <c r="A806" s="25">
        <f>IF($C806="","","AUD-2026-"&amp;TEXT(ROW()-1,"000000"))</f>
        <v/>
      </c>
      <c r="B806" s="26" t="n"/>
      <c r="C806" s="27" t="n"/>
      <c r="D806" s="25">
        <f>IF($C806="","",IFERROR(IF(INDEX(Roster!$A:$A,MATCH($C806,Roster!$B:$B,0))="","",INDEX(Roster!$A:$A,MATCH($C806,Roster!$B:$B,0))&amp;""),"—"))</f>
        <v/>
      </c>
      <c r="E806" s="25">
        <f>IF($C806="","",IFERROR(IF(INDEX(Roster!$C:$C,MATCH($C806,Roster!$B:$B,0))="","",INDEX(Roster!$C:$C,MATCH($C806,Roster!$B:$B,0))&amp;""),"—"))</f>
        <v/>
      </c>
      <c r="F806" s="25">
        <f>IF($C806="","",IFERROR(IF(INDEX(Roster!$D:$D,MATCH($C806,Roster!$B:$B,0))="","",INDEX(Roster!$D:$D,MATCH($C806,Roster!$B:$B,0))&amp;""),"—"))</f>
        <v/>
      </c>
      <c r="G806" s="25">
        <f>IF($C806="","",IFERROR(IF(INDEX(Roster!$E:$E,MATCH($C806,Roster!$B:$B,0))="","",INDEX(Roster!$E:$E,MATCH($C806,Roster!$B:$B,0))&amp;""),"—"))</f>
        <v/>
      </c>
      <c r="H806" s="25">
        <f>IF($C806="","",IFERROR(IF(INDEX(Roster!$F:$F,MATCH($C806,Roster!$B:$B,0))="","",INDEX(Roster!$F:$F,MATCH($C806,Roster!$B:$B,0))&amp;""),"—"))</f>
        <v/>
      </c>
      <c r="I806" s="25">
        <f>IF($C806="","",IFERROR(IF(INDEX(Roster!$G:$G,MATCH($C806,Roster!$B:$B,0))="","",INDEX(Roster!$G:$G,MATCH($C806,Roster!$B:$B,0))&amp;""),"—"))</f>
        <v/>
      </c>
      <c r="J806" s="25">
        <f>IF($C806="","",IFERROR(IF(INDEX(Roster!$I:$I,MATCH($C806,Roster!$B:$B,0))="","",INDEX(Roster!$I:$I,MATCH($C806,Roster!$B:$B,0))&amp;""),"—"))</f>
        <v/>
      </c>
      <c r="K806">
        <f>IF($C806="","",IFERROR(IF(INDEX(Roster!$J:$J,MATCH($C806,Roster!$B:$B,0))="","",INDEX(Roster!$J:$J,MATCH($C806,Roster!$B:$B,0))&amp;""),"—"))</f>
        <v/>
      </c>
      <c r="L806">
        <f>IF($C806="","",IFERROR(IF(INDEX(Roster!$K:$K,MATCH($C806,Roster!$B:$B,0))="","",INDEX(Roster!$K:$K,MATCH($C806,Roster!$B:$B,0))&amp;""),"—"))</f>
        <v/>
      </c>
      <c r="M806" s="27" t="n"/>
      <c r="N806" s="27" t="n"/>
      <c r="O806" s="25">
        <f>IF($C806="","",IF($P806="","—",IF($P806="Valid (Pass)","Valid","Invalid")))</f>
        <v/>
      </c>
      <c r="P806" s="27" t="n"/>
      <c r="Q806" s="27" t="n"/>
      <c r="R806" s="27" t="n"/>
      <c r="S806" s="27" t="n"/>
      <c r="T806" s="25">
        <f>IF($C806="","",IF(OR(ISNUMBER(SEARCH("quick case",$P806)),ISNUMBER(SEARCH("quick case",$Q806))),"Yes","No"))</f>
        <v/>
      </c>
      <c r="U806" s="25">
        <f>IF($O806="Invalid",HYPERLINK("mailto:"&amp;$G806&amp;";"&amp;$I806&amp;"?cc="&amp;Lists!$E$2&amp;"&amp;subject="&amp;_xlfn.ENCODEURL("[INVALID] Quality audit monitoring completed for "&amp;UPPER($C806))&amp;"&amp;body="&amp;_xlfn.ENCODEURL("Hi "&amp;$F806&amp;","&amp;CHAR(10)&amp;"Good day!"&amp;CHAR(10)&amp;CHAR(10)&amp;"A quality monitoring audit has been completed for "&amp;$C806&amp;"."&amp;CHAR(10)&amp;CHAR(10)&amp;"QUALITY AUDIT DETAILS"&amp;CHAR(10)&amp;"Agent Name: "&amp;$C806&amp;" (EID "&amp;$D806&amp;")"&amp;CHAR(10)&amp;"Audit Date: "&amp;TEXT($B806,"yyyy-mm-dd")&amp;CHAR(10)&amp;"Team Leader: "&amp;$F806&amp;CHAR(10)&amp;"Case Number: "&amp;$M806&amp;CHAR(10)&amp;"Transaction ID: "&amp;$N806&amp;CHAR(10)&amp;"Channel / LOB: "&amp;$K806&amp;" / "&amp;$L806&amp;CHAR(10)&amp;"Evaluator: "&amp;$S806&amp;CHAR(10)&amp;CHAR(10)&amp;"INVALID QUALITY AUDIT DETAILS"&amp;CHAR(10)&amp;"Validation: Invalid"&amp;CHAR(10)&amp;"Invalid Reason: "&amp;$P806&amp;CHAR(10)&amp;"Expected Resolution Code: "&amp;$Q806&amp;CHAR(10)&amp;"Remarks: "&amp;LEFT($R806,600)&amp;CHAR(10)&amp;CHAR(10)&amp;"This is an automated notification from HP Mainstream EQMS."),"✉ Open Email Draft"),"")</f>
        <v/>
      </c>
    </row>
    <row r="807">
      <c r="A807" s="25">
        <f>IF($C807="","","AUD-2026-"&amp;TEXT(ROW()-1,"000000"))</f>
        <v/>
      </c>
      <c r="B807" s="26" t="n"/>
      <c r="C807" s="27" t="n"/>
      <c r="D807" s="25">
        <f>IF($C807="","",IFERROR(IF(INDEX(Roster!$A:$A,MATCH($C807,Roster!$B:$B,0))="","",INDEX(Roster!$A:$A,MATCH($C807,Roster!$B:$B,0))&amp;""),"—"))</f>
        <v/>
      </c>
      <c r="E807" s="25">
        <f>IF($C807="","",IFERROR(IF(INDEX(Roster!$C:$C,MATCH($C807,Roster!$B:$B,0))="","",INDEX(Roster!$C:$C,MATCH($C807,Roster!$B:$B,0))&amp;""),"—"))</f>
        <v/>
      </c>
      <c r="F807" s="25">
        <f>IF($C807="","",IFERROR(IF(INDEX(Roster!$D:$D,MATCH($C807,Roster!$B:$B,0))="","",INDEX(Roster!$D:$D,MATCH($C807,Roster!$B:$B,0))&amp;""),"—"))</f>
        <v/>
      </c>
      <c r="G807" s="25">
        <f>IF($C807="","",IFERROR(IF(INDEX(Roster!$E:$E,MATCH($C807,Roster!$B:$B,0))="","",INDEX(Roster!$E:$E,MATCH($C807,Roster!$B:$B,0))&amp;""),"—"))</f>
        <v/>
      </c>
      <c r="H807" s="25">
        <f>IF($C807="","",IFERROR(IF(INDEX(Roster!$F:$F,MATCH($C807,Roster!$B:$B,0))="","",INDEX(Roster!$F:$F,MATCH($C807,Roster!$B:$B,0))&amp;""),"—"))</f>
        <v/>
      </c>
      <c r="I807" s="25">
        <f>IF($C807="","",IFERROR(IF(INDEX(Roster!$G:$G,MATCH($C807,Roster!$B:$B,0))="","",INDEX(Roster!$G:$G,MATCH($C807,Roster!$B:$B,0))&amp;""),"—"))</f>
        <v/>
      </c>
      <c r="J807" s="25">
        <f>IF($C807="","",IFERROR(IF(INDEX(Roster!$I:$I,MATCH($C807,Roster!$B:$B,0))="","",INDEX(Roster!$I:$I,MATCH($C807,Roster!$B:$B,0))&amp;""),"—"))</f>
        <v/>
      </c>
      <c r="K807">
        <f>IF($C807="","",IFERROR(IF(INDEX(Roster!$J:$J,MATCH($C807,Roster!$B:$B,0))="","",INDEX(Roster!$J:$J,MATCH($C807,Roster!$B:$B,0))&amp;""),"—"))</f>
        <v/>
      </c>
      <c r="L807">
        <f>IF($C807="","",IFERROR(IF(INDEX(Roster!$K:$K,MATCH($C807,Roster!$B:$B,0))="","",INDEX(Roster!$K:$K,MATCH($C807,Roster!$B:$B,0))&amp;""),"—"))</f>
        <v/>
      </c>
      <c r="M807" s="27" t="n"/>
      <c r="N807" s="27" t="n"/>
      <c r="O807" s="25">
        <f>IF($C807="","",IF($P807="","—",IF($P807="Valid (Pass)","Valid","Invalid")))</f>
        <v/>
      </c>
      <c r="P807" s="27" t="n"/>
      <c r="Q807" s="27" t="n"/>
      <c r="R807" s="27" t="n"/>
      <c r="S807" s="27" t="n"/>
      <c r="T807" s="25">
        <f>IF($C807="","",IF(OR(ISNUMBER(SEARCH("quick case",$P807)),ISNUMBER(SEARCH("quick case",$Q807))),"Yes","No"))</f>
        <v/>
      </c>
      <c r="U807" s="25">
        <f>IF($O807="Invalid",HYPERLINK("mailto:"&amp;$G807&amp;";"&amp;$I807&amp;"?cc="&amp;Lists!$E$2&amp;"&amp;subject="&amp;_xlfn.ENCODEURL("[INVALID] Quality audit monitoring completed for "&amp;UPPER($C807))&amp;"&amp;body="&amp;_xlfn.ENCODEURL("Hi "&amp;$F807&amp;","&amp;CHAR(10)&amp;"Good day!"&amp;CHAR(10)&amp;CHAR(10)&amp;"A quality monitoring audit has been completed for "&amp;$C807&amp;"."&amp;CHAR(10)&amp;CHAR(10)&amp;"QUALITY AUDIT DETAILS"&amp;CHAR(10)&amp;"Agent Name: "&amp;$C807&amp;" (EID "&amp;$D807&amp;")"&amp;CHAR(10)&amp;"Audit Date: "&amp;TEXT($B807,"yyyy-mm-dd")&amp;CHAR(10)&amp;"Team Leader: "&amp;$F807&amp;CHAR(10)&amp;"Case Number: "&amp;$M807&amp;CHAR(10)&amp;"Transaction ID: "&amp;$N807&amp;CHAR(10)&amp;"Channel / LOB: "&amp;$K807&amp;" / "&amp;$L807&amp;CHAR(10)&amp;"Evaluator: "&amp;$S807&amp;CHAR(10)&amp;CHAR(10)&amp;"INVALID QUALITY AUDIT DETAILS"&amp;CHAR(10)&amp;"Validation: Invalid"&amp;CHAR(10)&amp;"Invalid Reason: "&amp;$P807&amp;CHAR(10)&amp;"Expected Resolution Code: "&amp;$Q807&amp;CHAR(10)&amp;"Remarks: "&amp;LEFT($R807,600)&amp;CHAR(10)&amp;CHAR(10)&amp;"This is an automated notification from HP Mainstream EQMS."),"✉ Open Email Draft"),"")</f>
        <v/>
      </c>
    </row>
    <row r="808">
      <c r="A808" s="25">
        <f>IF($C808="","","AUD-2026-"&amp;TEXT(ROW()-1,"000000"))</f>
        <v/>
      </c>
      <c r="B808" s="26" t="n"/>
      <c r="C808" s="27" t="n"/>
      <c r="D808" s="25">
        <f>IF($C808="","",IFERROR(IF(INDEX(Roster!$A:$A,MATCH($C808,Roster!$B:$B,0))="","",INDEX(Roster!$A:$A,MATCH($C808,Roster!$B:$B,0))&amp;""),"—"))</f>
        <v/>
      </c>
      <c r="E808" s="25">
        <f>IF($C808="","",IFERROR(IF(INDEX(Roster!$C:$C,MATCH($C808,Roster!$B:$B,0))="","",INDEX(Roster!$C:$C,MATCH($C808,Roster!$B:$B,0))&amp;""),"—"))</f>
        <v/>
      </c>
      <c r="F808" s="25">
        <f>IF($C808="","",IFERROR(IF(INDEX(Roster!$D:$D,MATCH($C808,Roster!$B:$B,0))="","",INDEX(Roster!$D:$D,MATCH($C808,Roster!$B:$B,0))&amp;""),"—"))</f>
        <v/>
      </c>
      <c r="G808" s="25">
        <f>IF($C808="","",IFERROR(IF(INDEX(Roster!$E:$E,MATCH($C808,Roster!$B:$B,0))="","",INDEX(Roster!$E:$E,MATCH($C808,Roster!$B:$B,0))&amp;""),"—"))</f>
        <v/>
      </c>
      <c r="H808" s="25">
        <f>IF($C808="","",IFERROR(IF(INDEX(Roster!$F:$F,MATCH($C808,Roster!$B:$B,0))="","",INDEX(Roster!$F:$F,MATCH($C808,Roster!$B:$B,0))&amp;""),"—"))</f>
        <v/>
      </c>
      <c r="I808" s="25">
        <f>IF($C808="","",IFERROR(IF(INDEX(Roster!$G:$G,MATCH($C808,Roster!$B:$B,0))="","",INDEX(Roster!$G:$G,MATCH($C808,Roster!$B:$B,0))&amp;""),"—"))</f>
        <v/>
      </c>
      <c r="J808" s="25">
        <f>IF($C808="","",IFERROR(IF(INDEX(Roster!$I:$I,MATCH($C808,Roster!$B:$B,0))="","",INDEX(Roster!$I:$I,MATCH($C808,Roster!$B:$B,0))&amp;""),"—"))</f>
        <v/>
      </c>
      <c r="K808">
        <f>IF($C808="","",IFERROR(IF(INDEX(Roster!$J:$J,MATCH($C808,Roster!$B:$B,0))="","",INDEX(Roster!$J:$J,MATCH($C808,Roster!$B:$B,0))&amp;""),"—"))</f>
        <v/>
      </c>
      <c r="L808">
        <f>IF($C808="","",IFERROR(IF(INDEX(Roster!$K:$K,MATCH($C808,Roster!$B:$B,0))="","",INDEX(Roster!$K:$K,MATCH($C808,Roster!$B:$B,0))&amp;""),"—"))</f>
        <v/>
      </c>
      <c r="M808" s="27" t="n"/>
      <c r="N808" s="27" t="n"/>
      <c r="O808" s="25">
        <f>IF($C808="","",IF($P808="","—",IF($P808="Valid (Pass)","Valid","Invalid")))</f>
        <v/>
      </c>
      <c r="P808" s="27" t="n"/>
      <c r="Q808" s="27" t="n"/>
      <c r="R808" s="27" t="n"/>
      <c r="S808" s="27" t="n"/>
      <c r="T808" s="25">
        <f>IF($C808="","",IF(OR(ISNUMBER(SEARCH("quick case",$P808)),ISNUMBER(SEARCH("quick case",$Q808))),"Yes","No"))</f>
        <v/>
      </c>
      <c r="U808" s="25">
        <f>IF($O808="Invalid",HYPERLINK("mailto:"&amp;$G808&amp;";"&amp;$I808&amp;"?cc="&amp;Lists!$E$2&amp;"&amp;subject="&amp;_xlfn.ENCODEURL("[INVALID] Quality audit monitoring completed for "&amp;UPPER($C808))&amp;"&amp;body="&amp;_xlfn.ENCODEURL("Hi "&amp;$F808&amp;","&amp;CHAR(10)&amp;"Good day!"&amp;CHAR(10)&amp;CHAR(10)&amp;"A quality monitoring audit has been completed for "&amp;$C808&amp;"."&amp;CHAR(10)&amp;CHAR(10)&amp;"QUALITY AUDIT DETAILS"&amp;CHAR(10)&amp;"Agent Name: "&amp;$C808&amp;" (EID "&amp;$D808&amp;")"&amp;CHAR(10)&amp;"Audit Date: "&amp;TEXT($B808,"yyyy-mm-dd")&amp;CHAR(10)&amp;"Team Leader: "&amp;$F808&amp;CHAR(10)&amp;"Case Number: "&amp;$M808&amp;CHAR(10)&amp;"Transaction ID: "&amp;$N808&amp;CHAR(10)&amp;"Channel / LOB: "&amp;$K808&amp;" / "&amp;$L808&amp;CHAR(10)&amp;"Evaluator: "&amp;$S808&amp;CHAR(10)&amp;CHAR(10)&amp;"INVALID QUALITY AUDIT DETAILS"&amp;CHAR(10)&amp;"Validation: Invalid"&amp;CHAR(10)&amp;"Invalid Reason: "&amp;$P808&amp;CHAR(10)&amp;"Expected Resolution Code: "&amp;$Q808&amp;CHAR(10)&amp;"Remarks: "&amp;LEFT($R808,600)&amp;CHAR(10)&amp;CHAR(10)&amp;"This is an automated notification from HP Mainstream EQMS."),"✉ Open Email Draft"),"")</f>
        <v/>
      </c>
    </row>
    <row r="809">
      <c r="A809" s="25">
        <f>IF($C809="","","AUD-2026-"&amp;TEXT(ROW()-1,"000000"))</f>
        <v/>
      </c>
      <c r="B809" s="26" t="n"/>
      <c r="C809" s="27" t="n"/>
      <c r="D809" s="25">
        <f>IF($C809="","",IFERROR(IF(INDEX(Roster!$A:$A,MATCH($C809,Roster!$B:$B,0))="","",INDEX(Roster!$A:$A,MATCH($C809,Roster!$B:$B,0))&amp;""),"—"))</f>
        <v/>
      </c>
      <c r="E809" s="25">
        <f>IF($C809="","",IFERROR(IF(INDEX(Roster!$C:$C,MATCH($C809,Roster!$B:$B,0))="","",INDEX(Roster!$C:$C,MATCH($C809,Roster!$B:$B,0))&amp;""),"—"))</f>
        <v/>
      </c>
      <c r="F809" s="25">
        <f>IF($C809="","",IFERROR(IF(INDEX(Roster!$D:$D,MATCH($C809,Roster!$B:$B,0))="","",INDEX(Roster!$D:$D,MATCH($C809,Roster!$B:$B,0))&amp;""),"—"))</f>
        <v/>
      </c>
      <c r="G809" s="25">
        <f>IF($C809="","",IFERROR(IF(INDEX(Roster!$E:$E,MATCH($C809,Roster!$B:$B,0))="","",INDEX(Roster!$E:$E,MATCH($C809,Roster!$B:$B,0))&amp;""),"—"))</f>
        <v/>
      </c>
      <c r="H809" s="25">
        <f>IF($C809="","",IFERROR(IF(INDEX(Roster!$F:$F,MATCH($C809,Roster!$B:$B,0))="","",INDEX(Roster!$F:$F,MATCH($C809,Roster!$B:$B,0))&amp;""),"—"))</f>
        <v/>
      </c>
      <c r="I809" s="25">
        <f>IF($C809="","",IFERROR(IF(INDEX(Roster!$G:$G,MATCH($C809,Roster!$B:$B,0))="","",INDEX(Roster!$G:$G,MATCH($C809,Roster!$B:$B,0))&amp;""),"—"))</f>
        <v/>
      </c>
      <c r="J809" s="25">
        <f>IF($C809="","",IFERROR(IF(INDEX(Roster!$I:$I,MATCH($C809,Roster!$B:$B,0))="","",INDEX(Roster!$I:$I,MATCH($C809,Roster!$B:$B,0))&amp;""),"—"))</f>
        <v/>
      </c>
      <c r="K809">
        <f>IF($C809="","",IFERROR(IF(INDEX(Roster!$J:$J,MATCH($C809,Roster!$B:$B,0))="","",INDEX(Roster!$J:$J,MATCH($C809,Roster!$B:$B,0))&amp;""),"—"))</f>
        <v/>
      </c>
      <c r="L809">
        <f>IF($C809="","",IFERROR(IF(INDEX(Roster!$K:$K,MATCH($C809,Roster!$B:$B,0))="","",INDEX(Roster!$K:$K,MATCH($C809,Roster!$B:$B,0))&amp;""),"—"))</f>
        <v/>
      </c>
      <c r="M809" s="27" t="n"/>
      <c r="N809" s="27" t="n"/>
      <c r="O809" s="25">
        <f>IF($C809="","",IF($P809="","—",IF($P809="Valid (Pass)","Valid","Invalid")))</f>
        <v/>
      </c>
      <c r="P809" s="27" t="n"/>
      <c r="Q809" s="27" t="n"/>
      <c r="R809" s="27" t="n"/>
      <c r="S809" s="27" t="n"/>
      <c r="T809" s="25">
        <f>IF($C809="","",IF(OR(ISNUMBER(SEARCH("quick case",$P809)),ISNUMBER(SEARCH("quick case",$Q809))),"Yes","No"))</f>
        <v/>
      </c>
      <c r="U809" s="25">
        <f>IF($O809="Invalid",HYPERLINK("mailto:"&amp;$G809&amp;";"&amp;$I809&amp;"?cc="&amp;Lists!$E$2&amp;"&amp;subject="&amp;_xlfn.ENCODEURL("[INVALID] Quality audit monitoring completed for "&amp;UPPER($C809))&amp;"&amp;body="&amp;_xlfn.ENCODEURL("Hi "&amp;$F809&amp;","&amp;CHAR(10)&amp;"Good day!"&amp;CHAR(10)&amp;CHAR(10)&amp;"A quality monitoring audit has been completed for "&amp;$C809&amp;"."&amp;CHAR(10)&amp;CHAR(10)&amp;"QUALITY AUDIT DETAILS"&amp;CHAR(10)&amp;"Agent Name: "&amp;$C809&amp;" (EID "&amp;$D809&amp;")"&amp;CHAR(10)&amp;"Audit Date: "&amp;TEXT($B809,"yyyy-mm-dd")&amp;CHAR(10)&amp;"Team Leader: "&amp;$F809&amp;CHAR(10)&amp;"Case Number: "&amp;$M809&amp;CHAR(10)&amp;"Transaction ID: "&amp;$N809&amp;CHAR(10)&amp;"Channel / LOB: "&amp;$K809&amp;" / "&amp;$L809&amp;CHAR(10)&amp;"Evaluator: "&amp;$S809&amp;CHAR(10)&amp;CHAR(10)&amp;"INVALID QUALITY AUDIT DETAILS"&amp;CHAR(10)&amp;"Validation: Invalid"&amp;CHAR(10)&amp;"Invalid Reason: "&amp;$P809&amp;CHAR(10)&amp;"Expected Resolution Code: "&amp;$Q809&amp;CHAR(10)&amp;"Remarks: "&amp;LEFT($R809,600)&amp;CHAR(10)&amp;CHAR(10)&amp;"This is an automated notification from HP Mainstream EQMS."),"✉ Open Email Draft"),"")</f>
        <v/>
      </c>
    </row>
    <row r="810">
      <c r="A810" s="25">
        <f>IF($C810="","","AUD-2026-"&amp;TEXT(ROW()-1,"000000"))</f>
        <v/>
      </c>
      <c r="B810" s="26" t="n"/>
      <c r="C810" s="27" t="n"/>
      <c r="D810" s="25">
        <f>IF($C810="","",IFERROR(IF(INDEX(Roster!$A:$A,MATCH($C810,Roster!$B:$B,0))="","",INDEX(Roster!$A:$A,MATCH($C810,Roster!$B:$B,0))&amp;""),"—"))</f>
        <v/>
      </c>
      <c r="E810" s="25">
        <f>IF($C810="","",IFERROR(IF(INDEX(Roster!$C:$C,MATCH($C810,Roster!$B:$B,0))="","",INDEX(Roster!$C:$C,MATCH($C810,Roster!$B:$B,0))&amp;""),"—"))</f>
        <v/>
      </c>
      <c r="F810" s="25">
        <f>IF($C810="","",IFERROR(IF(INDEX(Roster!$D:$D,MATCH($C810,Roster!$B:$B,0))="","",INDEX(Roster!$D:$D,MATCH($C810,Roster!$B:$B,0))&amp;""),"—"))</f>
        <v/>
      </c>
      <c r="G810" s="25">
        <f>IF($C810="","",IFERROR(IF(INDEX(Roster!$E:$E,MATCH($C810,Roster!$B:$B,0))="","",INDEX(Roster!$E:$E,MATCH($C810,Roster!$B:$B,0))&amp;""),"—"))</f>
        <v/>
      </c>
      <c r="H810" s="25">
        <f>IF($C810="","",IFERROR(IF(INDEX(Roster!$F:$F,MATCH($C810,Roster!$B:$B,0))="","",INDEX(Roster!$F:$F,MATCH($C810,Roster!$B:$B,0))&amp;""),"—"))</f>
        <v/>
      </c>
      <c r="I810" s="25">
        <f>IF($C810="","",IFERROR(IF(INDEX(Roster!$G:$G,MATCH($C810,Roster!$B:$B,0))="","",INDEX(Roster!$G:$G,MATCH($C810,Roster!$B:$B,0))&amp;""),"—"))</f>
        <v/>
      </c>
      <c r="J810" s="25">
        <f>IF($C810="","",IFERROR(IF(INDEX(Roster!$I:$I,MATCH($C810,Roster!$B:$B,0))="","",INDEX(Roster!$I:$I,MATCH($C810,Roster!$B:$B,0))&amp;""),"—"))</f>
        <v/>
      </c>
      <c r="K810">
        <f>IF($C810="","",IFERROR(IF(INDEX(Roster!$J:$J,MATCH($C810,Roster!$B:$B,0))="","",INDEX(Roster!$J:$J,MATCH($C810,Roster!$B:$B,0))&amp;""),"—"))</f>
        <v/>
      </c>
      <c r="L810">
        <f>IF($C810="","",IFERROR(IF(INDEX(Roster!$K:$K,MATCH($C810,Roster!$B:$B,0))="","",INDEX(Roster!$K:$K,MATCH($C810,Roster!$B:$B,0))&amp;""),"—"))</f>
        <v/>
      </c>
      <c r="M810" s="27" t="n"/>
      <c r="N810" s="27" t="n"/>
      <c r="O810" s="25">
        <f>IF($C810="","",IF($P810="","—",IF($P810="Valid (Pass)","Valid","Invalid")))</f>
        <v/>
      </c>
      <c r="P810" s="27" t="n"/>
      <c r="Q810" s="27" t="n"/>
      <c r="R810" s="27" t="n"/>
      <c r="S810" s="27" t="n"/>
      <c r="T810" s="25">
        <f>IF($C810="","",IF(OR(ISNUMBER(SEARCH("quick case",$P810)),ISNUMBER(SEARCH("quick case",$Q810))),"Yes","No"))</f>
        <v/>
      </c>
      <c r="U810" s="25">
        <f>IF($O810="Invalid",HYPERLINK("mailto:"&amp;$G810&amp;";"&amp;$I810&amp;"?cc="&amp;Lists!$E$2&amp;"&amp;subject="&amp;_xlfn.ENCODEURL("[INVALID] Quality audit monitoring completed for "&amp;UPPER($C810))&amp;"&amp;body="&amp;_xlfn.ENCODEURL("Hi "&amp;$F810&amp;","&amp;CHAR(10)&amp;"Good day!"&amp;CHAR(10)&amp;CHAR(10)&amp;"A quality monitoring audit has been completed for "&amp;$C810&amp;"."&amp;CHAR(10)&amp;CHAR(10)&amp;"QUALITY AUDIT DETAILS"&amp;CHAR(10)&amp;"Agent Name: "&amp;$C810&amp;" (EID "&amp;$D810&amp;")"&amp;CHAR(10)&amp;"Audit Date: "&amp;TEXT($B810,"yyyy-mm-dd")&amp;CHAR(10)&amp;"Team Leader: "&amp;$F810&amp;CHAR(10)&amp;"Case Number: "&amp;$M810&amp;CHAR(10)&amp;"Transaction ID: "&amp;$N810&amp;CHAR(10)&amp;"Channel / LOB: "&amp;$K810&amp;" / "&amp;$L810&amp;CHAR(10)&amp;"Evaluator: "&amp;$S810&amp;CHAR(10)&amp;CHAR(10)&amp;"INVALID QUALITY AUDIT DETAILS"&amp;CHAR(10)&amp;"Validation: Invalid"&amp;CHAR(10)&amp;"Invalid Reason: "&amp;$P810&amp;CHAR(10)&amp;"Expected Resolution Code: "&amp;$Q810&amp;CHAR(10)&amp;"Remarks: "&amp;LEFT($R810,600)&amp;CHAR(10)&amp;CHAR(10)&amp;"This is an automated notification from HP Mainstream EQMS."),"✉ Open Email Draft"),"")</f>
        <v/>
      </c>
    </row>
    <row r="811">
      <c r="A811" s="25">
        <f>IF($C811="","","AUD-2026-"&amp;TEXT(ROW()-1,"000000"))</f>
        <v/>
      </c>
      <c r="B811" s="26" t="n"/>
      <c r="C811" s="27" t="n"/>
      <c r="D811" s="25">
        <f>IF($C811="","",IFERROR(IF(INDEX(Roster!$A:$A,MATCH($C811,Roster!$B:$B,0))="","",INDEX(Roster!$A:$A,MATCH($C811,Roster!$B:$B,0))&amp;""),"—"))</f>
        <v/>
      </c>
      <c r="E811" s="25">
        <f>IF($C811="","",IFERROR(IF(INDEX(Roster!$C:$C,MATCH($C811,Roster!$B:$B,0))="","",INDEX(Roster!$C:$C,MATCH($C811,Roster!$B:$B,0))&amp;""),"—"))</f>
        <v/>
      </c>
      <c r="F811" s="25">
        <f>IF($C811="","",IFERROR(IF(INDEX(Roster!$D:$D,MATCH($C811,Roster!$B:$B,0))="","",INDEX(Roster!$D:$D,MATCH($C811,Roster!$B:$B,0))&amp;""),"—"))</f>
        <v/>
      </c>
      <c r="G811" s="25">
        <f>IF($C811="","",IFERROR(IF(INDEX(Roster!$E:$E,MATCH($C811,Roster!$B:$B,0))="","",INDEX(Roster!$E:$E,MATCH($C811,Roster!$B:$B,0))&amp;""),"—"))</f>
        <v/>
      </c>
      <c r="H811" s="25">
        <f>IF($C811="","",IFERROR(IF(INDEX(Roster!$F:$F,MATCH($C811,Roster!$B:$B,0))="","",INDEX(Roster!$F:$F,MATCH($C811,Roster!$B:$B,0))&amp;""),"—"))</f>
        <v/>
      </c>
      <c r="I811" s="25">
        <f>IF($C811="","",IFERROR(IF(INDEX(Roster!$G:$G,MATCH($C811,Roster!$B:$B,0))="","",INDEX(Roster!$G:$G,MATCH($C811,Roster!$B:$B,0))&amp;""),"—"))</f>
        <v/>
      </c>
      <c r="J811" s="25">
        <f>IF($C811="","",IFERROR(IF(INDEX(Roster!$I:$I,MATCH($C811,Roster!$B:$B,0))="","",INDEX(Roster!$I:$I,MATCH($C811,Roster!$B:$B,0))&amp;""),"—"))</f>
        <v/>
      </c>
      <c r="K811">
        <f>IF($C811="","",IFERROR(IF(INDEX(Roster!$J:$J,MATCH($C811,Roster!$B:$B,0))="","",INDEX(Roster!$J:$J,MATCH($C811,Roster!$B:$B,0))&amp;""),"—"))</f>
        <v/>
      </c>
      <c r="L811">
        <f>IF($C811="","",IFERROR(IF(INDEX(Roster!$K:$K,MATCH($C811,Roster!$B:$B,0))="","",INDEX(Roster!$K:$K,MATCH($C811,Roster!$B:$B,0))&amp;""),"—"))</f>
        <v/>
      </c>
      <c r="M811" s="27" t="n"/>
      <c r="N811" s="27" t="n"/>
      <c r="O811" s="25">
        <f>IF($C811="","",IF($P811="","—",IF($P811="Valid (Pass)","Valid","Invalid")))</f>
        <v/>
      </c>
      <c r="P811" s="27" t="n"/>
      <c r="Q811" s="27" t="n"/>
      <c r="R811" s="27" t="n"/>
      <c r="S811" s="27" t="n"/>
      <c r="T811" s="25">
        <f>IF($C811="","",IF(OR(ISNUMBER(SEARCH("quick case",$P811)),ISNUMBER(SEARCH("quick case",$Q811))),"Yes","No"))</f>
        <v/>
      </c>
      <c r="U811" s="25">
        <f>IF($O811="Invalid",HYPERLINK("mailto:"&amp;$G811&amp;";"&amp;$I811&amp;"?cc="&amp;Lists!$E$2&amp;"&amp;subject="&amp;_xlfn.ENCODEURL("[INVALID] Quality audit monitoring completed for "&amp;UPPER($C811))&amp;"&amp;body="&amp;_xlfn.ENCODEURL("Hi "&amp;$F811&amp;","&amp;CHAR(10)&amp;"Good day!"&amp;CHAR(10)&amp;CHAR(10)&amp;"A quality monitoring audit has been completed for "&amp;$C811&amp;"."&amp;CHAR(10)&amp;CHAR(10)&amp;"QUALITY AUDIT DETAILS"&amp;CHAR(10)&amp;"Agent Name: "&amp;$C811&amp;" (EID "&amp;$D811&amp;")"&amp;CHAR(10)&amp;"Audit Date: "&amp;TEXT($B811,"yyyy-mm-dd")&amp;CHAR(10)&amp;"Team Leader: "&amp;$F811&amp;CHAR(10)&amp;"Case Number: "&amp;$M811&amp;CHAR(10)&amp;"Transaction ID: "&amp;$N811&amp;CHAR(10)&amp;"Channel / LOB: "&amp;$K811&amp;" / "&amp;$L811&amp;CHAR(10)&amp;"Evaluator: "&amp;$S811&amp;CHAR(10)&amp;CHAR(10)&amp;"INVALID QUALITY AUDIT DETAILS"&amp;CHAR(10)&amp;"Validation: Invalid"&amp;CHAR(10)&amp;"Invalid Reason: "&amp;$P811&amp;CHAR(10)&amp;"Expected Resolution Code: "&amp;$Q811&amp;CHAR(10)&amp;"Remarks: "&amp;LEFT($R811,600)&amp;CHAR(10)&amp;CHAR(10)&amp;"This is an automated notification from HP Mainstream EQMS."),"✉ Open Email Draft"),"")</f>
        <v/>
      </c>
    </row>
    <row r="812">
      <c r="A812" s="25">
        <f>IF($C812="","","AUD-2026-"&amp;TEXT(ROW()-1,"000000"))</f>
        <v/>
      </c>
      <c r="B812" s="26" t="n"/>
      <c r="C812" s="27" t="n"/>
      <c r="D812" s="25">
        <f>IF($C812="","",IFERROR(IF(INDEX(Roster!$A:$A,MATCH($C812,Roster!$B:$B,0))="","",INDEX(Roster!$A:$A,MATCH($C812,Roster!$B:$B,0))&amp;""),"—"))</f>
        <v/>
      </c>
      <c r="E812" s="25">
        <f>IF($C812="","",IFERROR(IF(INDEX(Roster!$C:$C,MATCH($C812,Roster!$B:$B,0))="","",INDEX(Roster!$C:$C,MATCH($C812,Roster!$B:$B,0))&amp;""),"—"))</f>
        <v/>
      </c>
      <c r="F812" s="25">
        <f>IF($C812="","",IFERROR(IF(INDEX(Roster!$D:$D,MATCH($C812,Roster!$B:$B,0))="","",INDEX(Roster!$D:$D,MATCH($C812,Roster!$B:$B,0))&amp;""),"—"))</f>
        <v/>
      </c>
      <c r="G812" s="25">
        <f>IF($C812="","",IFERROR(IF(INDEX(Roster!$E:$E,MATCH($C812,Roster!$B:$B,0))="","",INDEX(Roster!$E:$E,MATCH($C812,Roster!$B:$B,0))&amp;""),"—"))</f>
        <v/>
      </c>
      <c r="H812" s="25">
        <f>IF($C812="","",IFERROR(IF(INDEX(Roster!$F:$F,MATCH($C812,Roster!$B:$B,0))="","",INDEX(Roster!$F:$F,MATCH($C812,Roster!$B:$B,0))&amp;""),"—"))</f>
        <v/>
      </c>
      <c r="I812" s="25">
        <f>IF($C812="","",IFERROR(IF(INDEX(Roster!$G:$G,MATCH($C812,Roster!$B:$B,0))="","",INDEX(Roster!$G:$G,MATCH($C812,Roster!$B:$B,0))&amp;""),"—"))</f>
        <v/>
      </c>
      <c r="J812" s="25">
        <f>IF($C812="","",IFERROR(IF(INDEX(Roster!$I:$I,MATCH($C812,Roster!$B:$B,0))="","",INDEX(Roster!$I:$I,MATCH($C812,Roster!$B:$B,0))&amp;""),"—"))</f>
        <v/>
      </c>
      <c r="K812">
        <f>IF($C812="","",IFERROR(IF(INDEX(Roster!$J:$J,MATCH($C812,Roster!$B:$B,0))="","",INDEX(Roster!$J:$J,MATCH($C812,Roster!$B:$B,0))&amp;""),"—"))</f>
        <v/>
      </c>
      <c r="L812">
        <f>IF($C812="","",IFERROR(IF(INDEX(Roster!$K:$K,MATCH($C812,Roster!$B:$B,0))="","",INDEX(Roster!$K:$K,MATCH($C812,Roster!$B:$B,0))&amp;""),"—"))</f>
        <v/>
      </c>
      <c r="M812" s="27" t="n"/>
      <c r="N812" s="27" t="n"/>
      <c r="O812" s="25">
        <f>IF($C812="","",IF($P812="","—",IF($P812="Valid (Pass)","Valid","Invalid")))</f>
        <v/>
      </c>
      <c r="P812" s="27" t="n"/>
      <c r="Q812" s="27" t="n"/>
      <c r="R812" s="27" t="n"/>
      <c r="S812" s="27" t="n"/>
      <c r="T812" s="25">
        <f>IF($C812="","",IF(OR(ISNUMBER(SEARCH("quick case",$P812)),ISNUMBER(SEARCH("quick case",$Q812))),"Yes","No"))</f>
        <v/>
      </c>
      <c r="U812" s="25">
        <f>IF($O812="Invalid",HYPERLINK("mailto:"&amp;$G812&amp;";"&amp;$I812&amp;"?cc="&amp;Lists!$E$2&amp;"&amp;subject="&amp;_xlfn.ENCODEURL("[INVALID] Quality audit monitoring completed for "&amp;UPPER($C812))&amp;"&amp;body="&amp;_xlfn.ENCODEURL("Hi "&amp;$F812&amp;","&amp;CHAR(10)&amp;"Good day!"&amp;CHAR(10)&amp;CHAR(10)&amp;"A quality monitoring audit has been completed for "&amp;$C812&amp;"."&amp;CHAR(10)&amp;CHAR(10)&amp;"QUALITY AUDIT DETAILS"&amp;CHAR(10)&amp;"Agent Name: "&amp;$C812&amp;" (EID "&amp;$D812&amp;")"&amp;CHAR(10)&amp;"Audit Date: "&amp;TEXT($B812,"yyyy-mm-dd")&amp;CHAR(10)&amp;"Team Leader: "&amp;$F812&amp;CHAR(10)&amp;"Case Number: "&amp;$M812&amp;CHAR(10)&amp;"Transaction ID: "&amp;$N812&amp;CHAR(10)&amp;"Channel / LOB: "&amp;$K812&amp;" / "&amp;$L812&amp;CHAR(10)&amp;"Evaluator: "&amp;$S812&amp;CHAR(10)&amp;CHAR(10)&amp;"INVALID QUALITY AUDIT DETAILS"&amp;CHAR(10)&amp;"Validation: Invalid"&amp;CHAR(10)&amp;"Invalid Reason: "&amp;$P812&amp;CHAR(10)&amp;"Expected Resolution Code: "&amp;$Q812&amp;CHAR(10)&amp;"Remarks: "&amp;LEFT($R812,600)&amp;CHAR(10)&amp;CHAR(10)&amp;"This is an automated notification from HP Mainstream EQMS."),"✉ Open Email Draft"),"")</f>
        <v/>
      </c>
    </row>
    <row r="813">
      <c r="A813" s="25">
        <f>IF($C813="","","AUD-2026-"&amp;TEXT(ROW()-1,"000000"))</f>
        <v/>
      </c>
      <c r="B813" s="26" t="n"/>
      <c r="C813" s="27" t="n"/>
      <c r="D813" s="25">
        <f>IF($C813="","",IFERROR(IF(INDEX(Roster!$A:$A,MATCH($C813,Roster!$B:$B,0))="","",INDEX(Roster!$A:$A,MATCH($C813,Roster!$B:$B,0))&amp;""),"—"))</f>
        <v/>
      </c>
      <c r="E813" s="25">
        <f>IF($C813="","",IFERROR(IF(INDEX(Roster!$C:$C,MATCH($C813,Roster!$B:$B,0))="","",INDEX(Roster!$C:$C,MATCH($C813,Roster!$B:$B,0))&amp;""),"—"))</f>
        <v/>
      </c>
      <c r="F813" s="25">
        <f>IF($C813="","",IFERROR(IF(INDEX(Roster!$D:$D,MATCH($C813,Roster!$B:$B,0))="","",INDEX(Roster!$D:$D,MATCH($C813,Roster!$B:$B,0))&amp;""),"—"))</f>
        <v/>
      </c>
      <c r="G813" s="25">
        <f>IF($C813="","",IFERROR(IF(INDEX(Roster!$E:$E,MATCH($C813,Roster!$B:$B,0))="","",INDEX(Roster!$E:$E,MATCH($C813,Roster!$B:$B,0))&amp;""),"—"))</f>
        <v/>
      </c>
      <c r="H813" s="25">
        <f>IF($C813="","",IFERROR(IF(INDEX(Roster!$F:$F,MATCH($C813,Roster!$B:$B,0))="","",INDEX(Roster!$F:$F,MATCH($C813,Roster!$B:$B,0))&amp;""),"—"))</f>
        <v/>
      </c>
      <c r="I813" s="25">
        <f>IF($C813="","",IFERROR(IF(INDEX(Roster!$G:$G,MATCH($C813,Roster!$B:$B,0))="","",INDEX(Roster!$G:$G,MATCH($C813,Roster!$B:$B,0))&amp;""),"—"))</f>
        <v/>
      </c>
      <c r="J813" s="25">
        <f>IF($C813="","",IFERROR(IF(INDEX(Roster!$I:$I,MATCH($C813,Roster!$B:$B,0))="","",INDEX(Roster!$I:$I,MATCH($C813,Roster!$B:$B,0))&amp;""),"—"))</f>
        <v/>
      </c>
      <c r="K813">
        <f>IF($C813="","",IFERROR(IF(INDEX(Roster!$J:$J,MATCH($C813,Roster!$B:$B,0))="","",INDEX(Roster!$J:$J,MATCH($C813,Roster!$B:$B,0))&amp;""),"—"))</f>
        <v/>
      </c>
      <c r="L813">
        <f>IF($C813="","",IFERROR(IF(INDEX(Roster!$K:$K,MATCH($C813,Roster!$B:$B,0))="","",INDEX(Roster!$K:$K,MATCH($C813,Roster!$B:$B,0))&amp;""),"—"))</f>
        <v/>
      </c>
      <c r="M813" s="27" t="n"/>
      <c r="N813" s="27" t="n"/>
      <c r="O813" s="25">
        <f>IF($C813="","",IF($P813="","—",IF($P813="Valid (Pass)","Valid","Invalid")))</f>
        <v/>
      </c>
      <c r="P813" s="27" t="n"/>
      <c r="Q813" s="27" t="n"/>
      <c r="R813" s="27" t="n"/>
      <c r="S813" s="27" t="n"/>
      <c r="T813" s="25">
        <f>IF($C813="","",IF(OR(ISNUMBER(SEARCH("quick case",$P813)),ISNUMBER(SEARCH("quick case",$Q813))),"Yes","No"))</f>
        <v/>
      </c>
      <c r="U813" s="25">
        <f>IF($O813="Invalid",HYPERLINK("mailto:"&amp;$G813&amp;";"&amp;$I813&amp;"?cc="&amp;Lists!$E$2&amp;"&amp;subject="&amp;_xlfn.ENCODEURL("[INVALID] Quality audit monitoring completed for "&amp;UPPER($C813))&amp;"&amp;body="&amp;_xlfn.ENCODEURL("Hi "&amp;$F813&amp;","&amp;CHAR(10)&amp;"Good day!"&amp;CHAR(10)&amp;CHAR(10)&amp;"A quality monitoring audit has been completed for "&amp;$C813&amp;"."&amp;CHAR(10)&amp;CHAR(10)&amp;"QUALITY AUDIT DETAILS"&amp;CHAR(10)&amp;"Agent Name: "&amp;$C813&amp;" (EID "&amp;$D813&amp;")"&amp;CHAR(10)&amp;"Audit Date: "&amp;TEXT($B813,"yyyy-mm-dd")&amp;CHAR(10)&amp;"Team Leader: "&amp;$F813&amp;CHAR(10)&amp;"Case Number: "&amp;$M813&amp;CHAR(10)&amp;"Transaction ID: "&amp;$N813&amp;CHAR(10)&amp;"Channel / LOB: "&amp;$K813&amp;" / "&amp;$L813&amp;CHAR(10)&amp;"Evaluator: "&amp;$S813&amp;CHAR(10)&amp;CHAR(10)&amp;"INVALID QUALITY AUDIT DETAILS"&amp;CHAR(10)&amp;"Validation: Invalid"&amp;CHAR(10)&amp;"Invalid Reason: "&amp;$P813&amp;CHAR(10)&amp;"Expected Resolution Code: "&amp;$Q813&amp;CHAR(10)&amp;"Remarks: "&amp;LEFT($R813,600)&amp;CHAR(10)&amp;CHAR(10)&amp;"This is an automated notification from HP Mainstream EQMS."),"✉ Open Email Draft"),"")</f>
        <v/>
      </c>
    </row>
    <row r="814">
      <c r="A814" s="25">
        <f>IF($C814="","","AUD-2026-"&amp;TEXT(ROW()-1,"000000"))</f>
        <v/>
      </c>
      <c r="B814" s="26" t="n"/>
      <c r="C814" s="27" t="n"/>
      <c r="D814" s="25">
        <f>IF($C814="","",IFERROR(IF(INDEX(Roster!$A:$A,MATCH($C814,Roster!$B:$B,0))="","",INDEX(Roster!$A:$A,MATCH($C814,Roster!$B:$B,0))&amp;""),"—"))</f>
        <v/>
      </c>
      <c r="E814" s="25">
        <f>IF($C814="","",IFERROR(IF(INDEX(Roster!$C:$C,MATCH($C814,Roster!$B:$B,0))="","",INDEX(Roster!$C:$C,MATCH($C814,Roster!$B:$B,0))&amp;""),"—"))</f>
        <v/>
      </c>
      <c r="F814" s="25">
        <f>IF($C814="","",IFERROR(IF(INDEX(Roster!$D:$D,MATCH($C814,Roster!$B:$B,0))="","",INDEX(Roster!$D:$D,MATCH($C814,Roster!$B:$B,0))&amp;""),"—"))</f>
        <v/>
      </c>
      <c r="G814" s="25">
        <f>IF($C814="","",IFERROR(IF(INDEX(Roster!$E:$E,MATCH($C814,Roster!$B:$B,0))="","",INDEX(Roster!$E:$E,MATCH($C814,Roster!$B:$B,0))&amp;""),"—"))</f>
        <v/>
      </c>
      <c r="H814" s="25">
        <f>IF($C814="","",IFERROR(IF(INDEX(Roster!$F:$F,MATCH($C814,Roster!$B:$B,0))="","",INDEX(Roster!$F:$F,MATCH($C814,Roster!$B:$B,0))&amp;""),"—"))</f>
        <v/>
      </c>
      <c r="I814" s="25">
        <f>IF($C814="","",IFERROR(IF(INDEX(Roster!$G:$G,MATCH($C814,Roster!$B:$B,0))="","",INDEX(Roster!$G:$G,MATCH($C814,Roster!$B:$B,0))&amp;""),"—"))</f>
        <v/>
      </c>
      <c r="J814" s="25">
        <f>IF($C814="","",IFERROR(IF(INDEX(Roster!$I:$I,MATCH($C814,Roster!$B:$B,0))="","",INDEX(Roster!$I:$I,MATCH($C814,Roster!$B:$B,0))&amp;""),"—"))</f>
        <v/>
      </c>
      <c r="K814">
        <f>IF($C814="","",IFERROR(IF(INDEX(Roster!$J:$J,MATCH($C814,Roster!$B:$B,0))="","",INDEX(Roster!$J:$J,MATCH($C814,Roster!$B:$B,0))&amp;""),"—"))</f>
        <v/>
      </c>
      <c r="L814">
        <f>IF($C814="","",IFERROR(IF(INDEX(Roster!$K:$K,MATCH($C814,Roster!$B:$B,0))="","",INDEX(Roster!$K:$K,MATCH($C814,Roster!$B:$B,0))&amp;""),"—"))</f>
        <v/>
      </c>
      <c r="M814" s="27" t="n"/>
      <c r="N814" s="27" t="n"/>
      <c r="O814" s="25">
        <f>IF($C814="","",IF($P814="","—",IF($P814="Valid (Pass)","Valid","Invalid")))</f>
        <v/>
      </c>
      <c r="P814" s="27" t="n"/>
      <c r="Q814" s="27" t="n"/>
      <c r="R814" s="27" t="n"/>
      <c r="S814" s="27" t="n"/>
      <c r="T814" s="25">
        <f>IF($C814="","",IF(OR(ISNUMBER(SEARCH("quick case",$P814)),ISNUMBER(SEARCH("quick case",$Q814))),"Yes","No"))</f>
        <v/>
      </c>
      <c r="U814" s="25">
        <f>IF($O814="Invalid",HYPERLINK("mailto:"&amp;$G814&amp;";"&amp;$I814&amp;"?cc="&amp;Lists!$E$2&amp;"&amp;subject="&amp;_xlfn.ENCODEURL("[INVALID] Quality audit monitoring completed for "&amp;UPPER($C814))&amp;"&amp;body="&amp;_xlfn.ENCODEURL("Hi "&amp;$F814&amp;","&amp;CHAR(10)&amp;"Good day!"&amp;CHAR(10)&amp;CHAR(10)&amp;"A quality monitoring audit has been completed for "&amp;$C814&amp;"."&amp;CHAR(10)&amp;CHAR(10)&amp;"QUALITY AUDIT DETAILS"&amp;CHAR(10)&amp;"Agent Name: "&amp;$C814&amp;" (EID "&amp;$D814&amp;")"&amp;CHAR(10)&amp;"Audit Date: "&amp;TEXT($B814,"yyyy-mm-dd")&amp;CHAR(10)&amp;"Team Leader: "&amp;$F814&amp;CHAR(10)&amp;"Case Number: "&amp;$M814&amp;CHAR(10)&amp;"Transaction ID: "&amp;$N814&amp;CHAR(10)&amp;"Channel / LOB: "&amp;$K814&amp;" / "&amp;$L814&amp;CHAR(10)&amp;"Evaluator: "&amp;$S814&amp;CHAR(10)&amp;CHAR(10)&amp;"INVALID QUALITY AUDIT DETAILS"&amp;CHAR(10)&amp;"Validation: Invalid"&amp;CHAR(10)&amp;"Invalid Reason: "&amp;$P814&amp;CHAR(10)&amp;"Expected Resolution Code: "&amp;$Q814&amp;CHAR(10)&amp;"Remarks: "&amp;LEFT($R814,600)&amp;CHAR(10)&amp;CHAR(10)&amp;"This is an automated notification from HP Mainstream EQMS."),"✉ Open Email Draft"),"")</f>
        <v/>
      </c>
    </row>
    <row r="815">
      <c r="A815" s="25">
        <f>IF($C815="","","AUD-2026-"&amp;TEXT(ROW()-1,"000000"))</f>
        <v/>
      </c>
      <c r="B815" s="26" t="n"/>
      <c r="C815" s="27" t="n"/>
      <c r="D815" s="25">
        <f>IF($C815="","",IFERROR(IF(INDEX(Roster!$A:$A,MATCH($C815,Roster!$B:$B,0))="","",INDEX(Roster!$A:$A,MATCH($C815,Roster!$B:$B,0))&amp;""),"—"))</f>
        <v/>
      </c>
      <c r="E815" s="25">
        <f>IF($C815="","",IFERROR(IF(INDEX(Roster!$C:$C,MATCH($C815,Roster!$B:$B,0))="","",INDEX(Roster!$C:$C,MATCH($C815,Roster!$B:$B,0))&amp;""),"—"))</f>
        <v/>
      </c>
      <c r="F815" s="25">
        <f>IF($C815="","",IFERROR(IF(INDEX(Roster!$D:$D,MATCH($C815,Roster!$B:$B,0))="","",INDEX(Roster!$D:$D,MATCH($C815,Roster!$B:$B,0))&amp;""),"—"))</f>
        <v/>
      </c>
      <c r="G815" s="25">
        <f>IF($C815="","",IFERROR(IF(INDEX(Roster!$E:$E,MATCH($C815,Roster!$B:$B,0))="","",INDEX(Roster!$E:$E,MATCH($C815,Roster!$B:$B,0))&amp;""),"—"))</f>
        <v/>
      </c>
      <c r="H815" s="25">
        <f>IF($C815="","",IFERROR(IF(INDEX(Roster!$F:$F,MATCH($C815,Roster!$B:$B,0))="","",INDEX(Roster!$F:$F,MATCH($C815,Roster!$B:$B,0))&amp;""),"—"))</f>
        <v/>
      </c>
      <c r="I815" s="25">
        <f>IF($C815="","",IFERROR(IF(INDEX(Roster!$G:$G,MATCH($C815,Roster!$B:$B,0))="","",INDEX(Roster!$G:$G,MATCH($C815,Roster!$B:$B,0))&amp;""),"—"))</f>
        <v/>
      </c>
      <c r="J815" s="25">
        <f>IF($C815="","",IFERROR(IF(INDEX(Roster!$I:$I,MATCH($C815,Roster!$B:$B,0))="","",INDEX(Roster!$I:$I,MATCH($C815,Roster!$B:$B,0))&amp;""),"—"))</f>
        <v/>
      </c>
      <c r="K815">
        <f>IF($C815="","",IFERROR(IF(INDEX(Roster!$J:$J,MATCH($C815,Roster!$B:$B,0))="","",INDEX(Roster!$J:$J,MATCH($C815,Roster!$B:$B,0))&amp;""),"—"))</f>
        <v/>
      </c>
      <c r="L815">
        <f>IF($C815="","",IFERROR(IF(INDEX(Roster!$K:$K,MATCH($C815,Roster!$B:$B,0))="","",INDEX(Roster!$K:$K,MATCH($C815,Roster!$B:$B,0))&amp;""),"—"))</f>
        <v/>
      </c>
      <c r="M815" s="27" t="n"/>
      <c r="N815" s="27" t="n"/>
      <c r="O815" s="25">
        <f>IF($C815="","",IF($P815="","—",IF($P815="Valid (Pass)","Valid","Invalid")))</f>
        <v/>
      </c>
      <c r="P815" s="27" t="n"/>
      <c r="Q815" s="27" t="n"/>
      <c r="R815" s="27" t="n"/>
      <c r="S815" s="27" t="n"/>
      <c r="T815" s="25">
        <f>IF($C815="","",IF(OR(ISNUMBER(SEARCH("quick case",$P815)),ISNUMBER(SEARCH("quick case",$Q815))),"Yes","No"))</f>
        <v/>
      </c>
      <c r="U815" s="25">
        <f>IF($O815="Invalid",HYPERLINK("mailto:"&amp;$G815&amp;";"&amp;$I815&amp;"?cc="&amp;Lists!$E$2&amp;"&amp;subject="&amp;_xlfn.ENCODEURL("[INVALID] Quality audit monitoring completed for "&amp;UPPER($C815))&amp;"&amp;body="&amp;_xlfn.ENCODEURL("Hi "&amp;$F815&amp;","&amp;CHAR(10)&amp;"Good day!"&amp;CHAR(10)&amp;CHAR(10)&amp;"A quality monitoring audit has been completed for "&amp;$C815&amp;"."&amp;CHAR(10)&amp;CHAR(10)&amp;"QUALITY AUDIT DETAILS"&amp;CHAR(10)&amp;"Agent Name: "&amp;$C815&amp;" (EID "&amp;$D815&amp;")"&amp;CHAR(10)&amp;"Audit Date: "&amp;TEXT($B815,"yyyy-mm-dd")&amp;CHAR(10)&amp;"Team Leader: "&amp;$F815&amp;CHAR(10)&amp;"Case Number: "&amp;$M815&amp;CHAR(10)&amp;"Transaction ID: "&amp;$N815&amp;CHAR(10)&amp;"Channel / LOB: "&amp;$K815&amp;" / "&amp;$L815&amp;CHAR(10)&amp;"Evaluator: "&amp;$S815&amp;CHAR(10)&amp;CHAR(10)&amp;"INVALID QUALITY AUDIT DETAILS"&amp;CHAR(10)&amp;"Validation: Invalid"&amp;CHAR(10)&amp;"Invalid Reason: "&amp;$P815&amp;CHAR(10)&amp;"Expected Resolution Code: "&amp;$Q815&amp;CHAR(10)&amp;"Remarks: "&amp;LEFT($R815,600)&amp;CHAR(10)&amp;CHAR(10)&amp;"This is an automated notification from HP Mainstream EQMS."),"✉ Open Email Draft"),"")</f>
        <v/>
      </c>
    </row>
    <row r="816">
      <c r="A816" s="25">
        <f>IF($C816="","","AUD-2026-"&amp;TEXT(ROW()-1,"000000"))</f>
        <v/>
      </c>
      <c r="B816" s="26" t="n"/>
      <c r="C816" s="27" t="n"/>
      <c r="D816" s="25">
        <f>IF($C816="","",IFERROR(IF(INDEX(Roster!$A:$A,MATCH($C816,Roster!$B:$B,0))="","",INDEX(Roster!$A:$A,MATCH($C816,Roster!$B:$B,0))&amp;""),"—"))</f>
        <v/>
      </c>
      <c r="E816" s="25">
        <f>IF($C816="","",IFERROR(IF(INDEX(Roster!$C:$C,MATCH($C816,Roster!$B:$B,0))="","",INDEX(Roster!$C:$C,MATCH($C816,Roster!$B:$B,0))&amp;""),"—"))</f>
        <v/>
      </c>
      <c r="F816" s="25">
        <f>IF($C816="","",IFERROR(IF(INDEX(Roster!$D:$D,MATCH($C816,Roster!$B:$B,0))="","",INDEX(Roster!$D:$D,MATCH($C816,Roster!$B:$B,0))&amp;""),"—"))</f>
        <v/>
      </c>
      <c r="G816" s="25">
        <f>IF($C816="","",IFERROR(IF(INDEX(Roster!$E:$E,MATCH($C816,Roster!$B:$B,0))="","",INDEX(Roster!$E:$E,MATCH($C816,Roster!$B:$B,0))&amp;""),"—"))</f>
        <v/>
      </c>
      <c r="H816" s="25">
        <f>IF($C816="","",IFERROR(IF(INDEX(Roster!$F:$F,MATCH($C816,Roster!$B:$B,0))="","",INDEX(Roster!$F:$F,MATCH($C816,Roster!$B:$B,0))&amp;""),"—"))</f>
        <v/>
      </c>
      <c r="I816" s="25">
        <f>IF($C816="","",IFERROR(IF(INDEX(Roster!$G:$G,MATCH($C816,Roster!$B:$B,0))="","",INDEX(Roster!$G:$G,MATCH($C816,Roster!$B:$B,0))&amp;""),"—"))</f>
        <v/>
      </c>
      <c r="J816" s="25">
        <f>IF($C816="","",IFERROR(IF(INDEX(Roster!$I:$I,MATCH($C816,Roster!$B:$B,0))="","",INDEX(Roster!$I:$I,MATCH($C816,Roster!$B:$B,0))&amp;""),"—"))</f>
        <v/>
      </c>
      <c r="K816">
        <f>IF($C816="","",IFERROR(IF(INDEX(Roster!$J:$J,MATCH($C816,Roster!$B:$B,0))="","",INDEX(Roster!$J:$J,MATCH($C816,Roster!$B:$B,0))&amp;""),"—"))</f>
        <v/>
      </c>
      <c r="L816">
        <f>IF($C816="","",IFERROR(IF(INDEX(Roster!$K:$K,MATCH($C816,Roster!$B:$B,0))="","",INDEX(Roster!$K:$K,MATCH($C816,Roster!$B:$B,0))&amp;""),"—"))</f>
        <v/>
      </c>
      <c r="M816" s="27" t="n"/>
      <c r="N816" s="27" t="n"/>
      <c r="O816" s="25">
        <f>IF($C816="","",IF($P816="","—",IF($P816="Valid (Pass)","Valid","Invalid")))</f>
        <v/>
      </c>
      <c r="P816" s="27" t="n"/>
      <c r="Q816" s="27" t="n"/>
      <c r="R816" s="27" t="n"/>
      <c r="S816" s="27" t="n"/>
      <c r="T816" s="25">
        <f>IF($C816="","",IF(OR(ISNUMBER(SEARCH("quick case",$P816)),ISNUMBER(SEARCH("quick case",$Q816))),"Yes","No"))</f>
        <v/>
      </c>
      <c r="U816" s="25">
        <f>IF($O816="Invalid",HYPERLINK("mailto:"&amp;$G816&amp;";"&amp;$I816&amp;"?cc="&amp;Lists!$E$2&amp;"&amp;subject="&amp;_xlfn.ENCODEURL("[INVALID] Quality audit monitoring completed for "&amp;UPPER($C816))&amp;"&amp;body="&amp;_xlfn.ENCODEURL("Hi "&amp;$F816&amp;","&amp;CHAR(10)&amp;"Good day!"&amp;CHAR(10)&amp;CHAR(10)&amp;"A quality monitoring audit has been completed for "&amp;$C816&amp;"."&amp;CHAR(10)&amp;CHAR(10)&amp;"QUALITY AUDIT DETAILS"&amp;CHAR(10)&amp;"Agent Name: "&amp;$C816&amp;" (EID "&amp;$D816&amp;")"&amp;CHAR(10)&amp;"Audit Date: "&amp;TEXT($B816,"yyyy-mm-dd")&amp;CHAR(10)&amp;"Team Leader: "&amp;$F816&amp;CHAR(10)&amp;"Case Number: "&amp;$M816&amp;CHAR(10)&amp;"Transaction ID: "&amp;$N816&amp;CHAR(10)&amp;"Channel / LOB: "&amp;$K816&amp;" / "&amp;$L816&amp;CHAR(10)&amp;"Evaluator: "&amp;$S816&amp;CHAR(10)&amp;CHAR(10)&amp;"INVALID QUALITY AUDIT DETAILS"&amp;CHAR(10)&amp;"Validation: Invalid"&amp;CHAR(10)&amp;"Invalid Reason: "&amp;$P816&amp;CHAR(10)&amp;"Expected Resolution Code: "&amp;$Q816&amp;CHAR(10)&amp;"Remarks: "&amp;LEFT($R816,600)&amp;CHAR(10)&amp;CHAR(10)&amp;"This is an automated notification from HP Mainstream EQMS."),"✉ Open Email Draft"),"")</f>
        <v/>
      </c>
    </row>
    <row r="817">
      <c r="A817" s="25">
        <f>IF($C817="","","AUD-2026-"&amp;TEXT(ROW()-1,"000000"))</f>
        <v/>
      </c>
      <c r="B817" s="26" t="n"/>
      <c r="C817" s="27" t="n"/>
      <c r="D817" s="25">
        <f>IF($C817="","",IFERROR(IF(INDEX(Roster!$A:$A,MATCH($C817,Roster!$B:$B,0))="","",INDEX(Roster!$A:$A,MATCH($C817,Roster!$B:$B,0))&amp;""),"—"))</f>
        <v/>
      </c>
      <c r="E817" s="25">
        <f>IF($C817="","",IFERROR(IF(INDEX(Roster!$C:$C,MATCH($C817,Roster!$B:$B,0))="","",INDEX(Roster!$C:$C,MATCH($C817,Roster!$B:$B,0))&amp;""),"—"))</f>
        <v/>
      </c>
      <c r="F817" s="25">
        <f>IF($C817="","",IFERROR(IF(INDEX(Roster!$D:$D,MATCH($C817,Roster!$B:$B,0))="","",INDEX(Roster!$D:$D,MATCH($C817,Roster!$B:$B,0))&amp;""),"—"))</f>
        <v/>
      </c>
      <c r="G817" s="25">
        <f>IF($C817="","",IFERROR(IF(INDEX(Roster!$E:$E,MATCH($C817,Roster!$B:$B,0))="","",INDEX(Roster!$E:$E,MATCH($C817,Roster!$B:$B,0))&amp;""),"—"))</f>
        <v/>
      </c>
      <c r="H817" s="25">
        <f>IF($C817="","",IFERROR(IF(INDEX(Roster!$F:$F,MATCH($C817,Roster!$B:$B,0))="","",INDEX(Roster!$F:$F,MATCH($C817,Roster!$B:$B,0))&amp;""),"—"))</f>
        <v/>
      </c>
      <c r="I817" s="25">
        <f>IF($C817="","",IFERROR(IF(INDEX(Roster!$G:$G,MATCH($C817,Roster!$B:$B,0))="","",INDEX(Roster!$G:$G,MATCH($C817,Roster!$B:$B,0))&amp;""),"—"))</f>
        <v/>
      </c>
      <c r="J817" s="25">
        <f>IF($C817="","",IFERROR(IF(INDEX(Roster!$I:$I,MATCH($C817,Roster!$B:$B,0))="","",INDEX(Roster!$I:$I,MATCH($C817,Roster!$B:$B,0))&amp;""),"—"))</f>
        <v/>
      </c>
      <c r="K817">
        <f>IF($C817="","",IFERROR(IF(INDEX(Roster!$J:$J,MATCH($C817,Roster!$B:$B,0))="","",INDEX(Roster!$J:$J,MATCH($C817,Roster!$B:$B,0))&amp;""),"—"))</f>
        <v/>
      </c>
      <c r="L817">
        <f>IF($C817="","",IFERROR(IF(INDEX(Roster!$K:$K,MATCH($C817,Roster!$B:$B,0))="","",INDEX(Roster!$K:$K,MATCH($C817,Roster!$B:$B,0))&amp;""),"—"))</f>
        <v/>
      </c>
      <c r="M817" s="27" t="n"/>
      <c r="N817" s="27" t="n"/>
      <c r="O817" s="25">
        <f>IF($C817="","",IF($P817="","—",IF($P817="Valid (Pass)","Valid","Invalid")))</f>
        <v/>
      </c>
      <c r="P817" s="27" t="n"/>
      <c r="Q817" s="27" t="n"/>
      <c r="R817" s="27" t="n"/>
      <c r="S817" s="27" t="n"/>
      <c r="T817" s="25">
        <f>IF($C817="","",IF(OR(ISNUMBER(SEARCH("quick case",$P817)),ISNUMBER(SEARCH("quick case",$Q817))),"Yes","No"))</f>
        <v/>
      </c>
      <c r="U817" s="25">
        <f>IF($O817="Invalid",HYPERLINK("mailto:"&amp;$G817&amp;";"&amp;$I817&amp;"?cc="&amp;Lists!$E$2&amp;"&amp;subject="&amp;_xlfn.ENCODEURL("[INVALID] Quality audit monitoring completed for "&amp;UPPER($C817))&amp;"&amp;body="&amp;_xlfn.ENCODEURL("Hi "&amp;$F817&amp;","&amp;CHAR(10)&amp;"Good day!"&amp;CHAR(10)&amp;CHAR(10)&amp;"A quality monitoring audit has been completed for "&amp;$C817&amp;"."&amp;CHAR(10)&amp;CHAR(10)&amp;"QUALITY AUDIT DETAILS"&amp;CHAR(10)&amp;"Agent Name: "&amp;$C817&amp;" (EID "&amp;$D817&amp;")"&amp;CHAR(10)&amp;"Audit Date: "&amp;TEXT($B817,"yyyy-mm-dd")&amp;CHAR(10)&amp;"Team Leader: "&amp;$F817&amp;CHAR(10)&amp;"Case Number: "&amp;$M817&amp;CHAR(10)&amp;"Transaction ID: "&amp;$N817&amp;CHAR(10)&amp;"Channel / LOB: "&amp;$K817&amp;" / "&amp;$L817&amp;CHAR(10)&amp;"Evaluator: "&amp;$S817&amp;CHAR(10)&amp;CHAR(10)&amp;"INVALID QUALITY AUDIT DETAILS"&amp;CHAR(10)&amp;"Validation: Invalid"&amp;CHAR(10)&amp;"Invalid Reason: "&amp;$P817&amp;CHAR(10)&amp;"Expected Resolution Code: "&amp;$Q817&amp;CHAR(10)&amp;"Remarks: "&amp;LEFT($R817,600)&amp;CHAR(10)&amp;CHAR(10)&amp;"This is an automated notification from HP Mainstream EQMS."),"✉ Open Email Draft"),"")</f>
        <v/>
      </c>
    </row>
    <row r="818">
      <c r="A818" s="25">
        <f>IF($C818="","","AUD-2026-"&amp;TEXT(ROW()-1,"000000"))</f>
        <v/>
      </c>
      <c r="B818" s="26" t="n"/>
      <c r="C818" s="27" t="n"/>
      <c r="D818" s="25">
        <f>IF($C818="","",IFERROR(IF(INDEX(Roster!$A:$A,MATCH($C818,Roster!$B:$B,0))="","",INDEX(Roster!$A:$A,MATCH($C818,Roster!$B:$B,0))&amp;""),"—"))</f>
        <v/>
      </c>
      <c r="E818" s="25">
        <f>IF($C818="","",IFERROR(IF(INDEX(Roster!$C:$C,MATCH($C818,Roster!$B:$B,0))="","",INDEX(Roster!$C:$C,MATCH($C818,Roster!$B:$B,0))&amp;""),"—"))</f>
        <v/>
      </c>
      <c r="F818" s="25">
        <f>IF($C818="","",IFERROR(IF(INDEX(Roster!$D:$D,MATCH($C818,Roster!$B:$B,0))="","",INDEX(Roster!$D:$D,MATCH($C818,Roster!$B:$B,0))&amp;""),"—"))</f>
        <v/>
      </c>
      <c r="G818" s="25">
        <f>IF($C818="","",IFERROR(IF(INDEX(Roster!$E:$E,MATCH($C818,Roster!$B:$B,0))="","",INDEX(Roster!$E:$E,MATCH($C818,Roster!$B:$B,0))&amp;""),"—"))</f>
        <v/>
      </c>
      <c r="H818" s="25">
        <f>IF($C818="","",IFERROR(IF(INDEX(Roster!$F:$F,MATCH($C818,Roster!$B:$B,0))="","",INDEX(Roster!$F:$F,MATCH($C818,Roster!$B:$B,0))&amp;""),"—"))</f>
        <v/>
      </c>
      <c r="I818" s="25">
        <f>IF($C818="","",IFERROR(IF(INDEX(Roster!$G:$G,MATCH($C818,Roster!$B:$B,0))="","",INDEX(Roster!$G:$G,MATCH($C818,Roster!$B:$B,0))&amp;""),"—"))</f>
        <v/>
      </c>
      <c r="J818" s="25">
        <f>IF($C818="","",IFERROR(IF(INDEX(Roster!$I:$I,MATCH($C818,Roster!$B:$B,0))="","",INDEX(Roster!$I:$I,MATCH($C818,Roster!$B:$B,0))&amp;""),"—"))</f>
        <v/>
      </c>
      <c r="K818">
        <f>IF($C818="","",IFERROR(IF(INDEX(Roster!$J:$J,MATCH($C818,Roster!$B:$B,0))="","",INDEX(Roster!$J:$J,MATCH($C818,Roster!$B:$B,0))&amp;""),"—"))</f>
        <v/>
      </c>
      <c r="L818">
        <f>IF($C818="","",IFERROR(IF(INDEX(Roster!$K:$K,MATCH($C818,Roster!$B:$B,0))="","",INDEX(Roster!$K:$K,MATCH($C818,Roster!$B:$B,0))&amp;""),"—"))</f>
        <v/>
      </c>
      <c r="M818" s="27" t="n"/>
      <c r="N818" s="27" t="n"/>
      <c r="O818" s="25">
        <f>IF($C818="","",IF($P818="","—",IF($P818="Valid (Pass)","Valid","Invalid")))</f>
        <v/>
      </c>
      <c r="P818" s="27" t="n"/>
      <c r="Q818" s="27" t="n"/>
      <c r="R818" s="27" t="n"/>
      <c r="S818" s="27" t="n"/>
      <c r="T818" s="25">
        <f>IF($C818="","",IF(OR(ISNUMBER(SEARCH("quick case",$P818)),ISNUMBER(SEARCH("quick case",$Q818))),"Yes","No"))</f>
        <v/>
      </c>
      <c r="U818" s="25">
        <f>IF($O818="Invalid",HYPERLINK("mailto:"&amp;$G818&amp;";"&amp;$I818&amp;"?cc="&amp;Lists!$E$2&amp;"&amp;subject="&amp;_xlfn.ENCODEURL("[INVALID] Quality audit monitoring completed for "&amp;UPPER($C818))&amp;"&amp;body="&amp;_xlfn.ENCODEURL("Hi "&amp;$F818&amp;","&amp;CHAR(10)&amp;"Good day!"&amp;CHAR(10)&amp;CHAR(10)&amp;"A quality monitoring audit has been completed for "&amp;$C818&amp;"."&amp;CHAR(10)&amp;CHAR(10)&amp;"QUALITY AUDIT DETAILS"&amp;CHAR(10)&amp;"Agent Name: "&amp;$C818&amp;" (EID "&amp;$D818&amp;")"&amp;CHAR(10)&amp;"Audit Date: "&amp;TEXT($B818,"yyyy-mm-dd")&amp;CHAR(10)&amp;"Team Leader: "&amp;$F818&amp;CHAR(10)&amp;"Case Number: "&amp;$M818&amp;CHAR(10)&amp;"Transaction ID: "&amp;$N818&amp;CHAR(10)&amp;"Channel / LOB: "&amp;$K818&amp;" / "&amp;$L818&amp;CHAR(10)&amp;"Evaluator: "&amp;$S818&amp;CHAR(10)&amp;CHAR(10)&amp;"INVALID QUALITY AUDIT DETAILS"&amp;CHAR(10)&amp;"Validation: Invalid"&amp;CHAR(10)&amp;"Invalid Reason: "&amp;$P818&amp;CHAR(10)&amp;"Expected Resolution Code: "&amp;$Q818&amp;CHAR(10)&amp;"Remarks: "&amp;LEFT($R818,600)&amp;CHAR(10)&amp;CHAR(10)&amp;"This is an automated notification from HP Mainstream EQMS."),"✉ Open Email Draft"),"")</f>
        <v/>
      </c>
    </row>
    <row r="819">
      <c r="A819" s="25">
        <f>IF($C819="","","AUD-2026-"&amp;TEXT(ROW()-1,"000000"))</f>
        <v/>
      </c>
      <c r="B819" s="26" t="n"/>
      <c r="C819" s="27" t="n"/>
      <c r="D819" s="25">
        <f>IF($C819="","",IFERROR(IF(INDEX(Roster!$A:$A,MATCH($C819,Roster!$B:$B,0))="","",INDEX(Roster!$A:$A,MATCH($C819,Roster!$B:$B,0))&amp;""),"—"))</f>
        <v/>
      </c>
      <c r="E819" s="25">
        <f>IF($C819="","",IFERROR(IF(INDEX(Roster!$C:$C,MATCH($C819,Roster!$B:$B,0))="","",INDEX(Roster!$C:$C,MATCH($C819,Roster!$B:$B,0))&amp;""),"—"))</f>
        <v/>
      </c>
      <c r="F819" s="25">
        <f>IF($C819="","",IFERROR(IF(INDEX(Roster!$D:$D,MATCH($C819,Roster!$B:$B,0))="","",INDEX(Roster!$D:$D,MATCH($C819,Roster!$B:$B,0))&amp;""),"—"))</f>
        <v/>
      </c>
      <c r="G819" s="25">
        <f>IF($C819="","",IFERROR(IF(INDEX(Roster!$E:$E,MATCH($C819,Roster!$B:$B,0))="","",INDEX(Roster!$E:$E,MATCH($C819,Roster!$B:$B,0))&amp;""),"—"))</f>
        <v/>
      </c>
      <c r="H819" s="25">
        <f>IF($C819="","",IFERROR(IF(INDEX(Roster!$F:$F,MATCH($C819,Roster!$B:$B,0))="","",INDEX(Roster!$F:$F,MATCH($C819,Roster!$B:$B,0))&amp;""),"—"))</f>
        <v/>
      </c>
      <c r="I819" s="25">
        <f>IF($C819="","",IFERROR(IF(INDEX(Roster!$G:$G,MATCH($C819,Roster!$B:$B,0))="","",INDEX(Roster!$G:$G,MATCH($C819,Roster!$B:$B,0))&amp;""),"—"))</f>
        <v/>
      </c>
      <c r="J819" s="25">
        <f>IF($C819="","",IFERROR(IF(INDEX(Roster!$I:$I,MATCH($C819,Roster!$B:$B,0))="","",INDEX(Roster!$I:$I,MATCH($C819,Roster!$B:$B,0))&amp;""),"—"))</f>
        <v/>
      </c>
      <c r="K819">
        <f>IF($C819="","",IFERROR(IF(INDEX(Roster!$J:$J,MATCH($C819,Roster!$B:$B,0))="","",INDEX(Roster!$J:$J,MATCH($C819,Roster!$B:$B,0))&amp;""),"—"))</f>
        <v/>
      </c>
      <c r="L819">
        <f>IF($C819="","",IFERROR(IF(INDEX(Roster!$K:$K,MATCH($C819,Roster!$B:$B,0))="","",INDEX(Roster!$K:$K,MATCH($C819,Roster!$B:$B,0))&amp;""),"—"))</f>
        <v/>
      </c>
      <c r="M819" s="27" t="n"/>
      <c r="N819" s="27" t="n"/>
      <c r="O819" s="25">
        <f>IF($C819="","",IF($P819="","—",IF($P819="Valid (Pass)","Valid","Invalid")))</f>
        <v/>
      </c>
      <c r="P819" s="27" t="n"/>
      <c r="Q819" s="27" t="n"/>
      <c r="R819" s="27" t="n"/>
      <c r="S819" s="27" t="n"/>
      <c r="T819" s="25">
        <f>IF($C819="","",IF(OR(ISNUMBER(SEARCH("quick case",$P819)),ISNUMBER(SEARCH("quick case",$Q819))),"Yes","No"))</f>
        <v/>
      </c>
      <c r="U819" s="25">
        <f>IF($O819="Invalid",HYPERLINK("mailto:"&amp;$G819&amp;";"&amp;$I819&amp;"?cc="&amp;Lists!$E$2&amp;"&amp;subject="&amp;_xlfn.ENCODEURL("[INVALID] Quality audit monitoring completed for "&amp;UPPER($C819))&amp;"&amp;body="&amp;_xlfn.ENCODEURL("Hi "&amp;$F819&amp;","&amp;CHAR(10)&amp;"Good day!"&amp;CHAR(10)&amp;CHAR(10)&amp;"A quality monitoring audit has been completed for "&amp;$C819&amp;"."&amp;CHAR(10)&amp;CHAR(10)&amp;"QUALITY AUDIT DETAILS"&amp;CHAR(10)&amp;"Agent Name: "&amp;$C819&amp;" (EID "&amp;$D819&amp;")"&amp;CHAR(10)&amp;"Audit Date: "&amp;TEXT($B819,"yyyy-mm-dd")&amp;CHAR(10)&amp;"Team Leader: "&amp;$F819&amp;CHAR(10)&amp;"Case Number: "&amp;$M819&amp;CHAR(10)&amp;"Transaction ID: "&amp;$N819&amp;CHAR(10)&amp;"Channel / LOB: "&amp;$K819&amp;" / "&amp;$L819&amp;CHAR(10)&amp;"Evaluator: "&amp;$S819&amp;CHAR(10)&amp;CHAR(10)&amp;"INVALID QUALITY AUDIT DETAILS"&amp;CHAR(10)&amp;"Validation: Invalid"&amp;CHAR(10)&amp;"Invalid Reason: "&amp;$P819&amp;CHAR(10)&amp;"Expected Resolution Code: "&amp;$Q819&amp;CHAR(10)&amp;"Remarks: "&amp;LEFT($R819,600)&amp;CHAR(10)&amp;CHAR(10)&amp;"This is an automated notification from HP Mainstream EQMS."),"✉ Open Email Draft"),"")</f>
        <v/>
      </c>
    </row>
    <row r="820">
      <c r="A820" s="25">
        <f>IF($C820="","","AUD-2026-"&amp;TEXT(ROW()-1,"000000"))</f>
        <v/>
      </c>
      <c r="B820" s="26" t="n"/>
      <c r="C820" s="27" t="n"/>
      <c r="D820" s="25">
        <f>IF($C820="","",IFERROR(IF(INDEX(Roster!$A:$A,MATCH($C820,Roster!$B:$B,0))="","",INDEX(Roster!$A:$A,MATCH($C820,Roster!$B:$B,0))&amp;""),"—"))</f>
        <v/>
      </c>
      <c r="E820" s="25">
        <f>IF($C820="","",IFERROR(IF(INDEX(Roster!$C:$C,MATCH($C820,Roster!$B:$B,0))="","",INDEX(Roster!$C:$C,MATCH($C820,Roster!$B:$B,0))&amp;""),"—"))</f>
        <v/>
      </c>
      <c r="F820" s="25">
        <f>IF($C820="","",IFERROR(IF(INDEX(Roster!$D:$D,MATCH($C820,Roster!$B:$B,0))="","",INDEX(Roster!$D:$D,MATCH($C820,Roster!$B:$B,0))&amp;""),"—"))</f>
        <v/>
      </c>
      <c r="G820" s="25">
        <f>IF($C820="","",IFERROR(IF(INDEX(Roster!$E:$E,MATCH($C820,Roster!$B:$B,0))="","",INDEX(Roster!$E:$E,MATCH($C820,Roster!$B:$B,0))&amp;""),"—"))</f>
        <v/>
      </c>
      <c r="H820" s="25">
        <f>IF($C820="","",IFERROR(IF(INDEX(Roster!$F:$F,MATCH($C820,Roster!$B:$B,0))="","",INDEX(Roster!$F:$F,MATCH($C820,Roster!$B:$B,0))&amp;""),"—"))</f>
        <v/>
      </c>
      <c r="I820" s="25">
        <f>IF($C820="","",IFERROR(IF(INDEX(Roster!$G:$G,MATCH($C820,Roster!$B:$B,0))="","",INDEX(Roster!$G:$G,MATCH($C820,Roster!$B:$B,0))&amp;""),"—"))</f>
        <v/>
      </c>
      <c r="J820" s="25">
        <f>IF($C820="","",IFERROR(IF(INDEX(Roster!$I:$I,MATCH($C820,Roster!$B:$B,0))="","",INDEX(Roster!$I:$I,MATCH($C820,Roster!$B:$B,0))&amp;""),"—"))</f>
        <v/>
      </c>
      <c r="K820">
        <f>IF($C820="","",IFERROR(IF(INDEX(Roster!$J:$J,MATCH($C820,Roster!$B:$B,0))="","",INDEX(Roster!$J:$J,MATCH($C820,Roster!$B:$B,0))&amp;""),"—"))</f>
        <v/>
      </c>
      <c r="L820">
        <f>IF($C820="","",IFERROR(IF(INDEX(Roster!$K:$K,MATCH($C820,Roster!$B:$B,0))="","",INDEX(Roster!$K:$K,MATCH($C820,Roster!$B:$B,0))&amp;""),"—"))</f>
        <v/>
      </c>
      <c r="M820" s="27" t="n"/>
      <c r="N820" s="27" t="n"/>
      <c r="O820" s="25">
        <f>IF($C820="","",IF($P820="","—",IF($P820="Valid (Pass)","Valid","Invalid")))</f>
        <v/>
      </c>
      <c r="P820" s="27" t="n"/>
      <c r="Q820" s="27" t="n"/>
      <c r="R820" s="27" t="n"/>
      <c r="S820" s="27" t="n"/>
      <c r="T820" s="25">
        <f>IF($C820="","",IF(OR(ISNUMBER(SEARCH("quick case",$P820)),ISNUMBER(SEARCH("quick case",$Q820))),"Yes","No"))</f>
        <v/>
      </c>
      <c r="U820" s="25">
        <f>IF($O820="Invalid",HYPERLINK("mailto:"&amp;$G820&amp;";"&amp;$I820&amp;"?cc="&amp;Lists!$E$2&amp;"&amp;subject="&amp;_xlfn.ENCODEURL("[INVALID] Quality audit monitoring completed for "&amp;UPPER($C820))&amp;"&amp;body="&amp;_xlfn.ENCODEURL("Hi "&amp;$F820&amp;","&amp;CHAR(10)&amp;"Good day!"&amp;CHAR(10)&amp;CHAR(10)&amp;"A quality monitoring audit has been completed for "&amp;$C820&amp;"."&amp;CHAR(10)&amp;CHAR(10)&amp;"QUALITY AUDIT DETAILS"&amp;CHAR(10)&amp;"Agent Name: "&amp;$C820&amp;" (EID "&amp;$D820&amp;")"&amp;CHAR(10)&amp;"Audit Date: "&amp;TEXT($B820,"yyyy-mm-dd")&amp;CHAR(10)&amp;"Team Leader: "&amp;$F820&amp;CHAR(10)&amp;"Case Number: "&amp;$M820&amp;CHAR(10)&amp;"Transaction ID: "&amp;$N820&amp;CHAR(10)&amp;"Channel / LOB: "&amp;$K820&amp;" / "&amp;$L820&amp;CHAR(10)&amp;"Evaluator: "&amp;$S820&amp;CHAR(10)&amp;CHAR(10)&amp;"INVALID QUALITY AUDIT DETAILS"&amp;CHAR(10)&amp;"Validation: Invalid"&amp;CHAR(10)&amp;"Invalid Reason: "&amp;$P820&amp;CHAR(10)&amp;"Expected Resolution Code: "&amp;$Q820&amp;CHAR(10)&amp;"Remarks: "&amp;LEFT($R820,600)&amp;CHAR(10)&amp;CHAR(10)&amp;"This is an automated notification from HP Mainstream EQMS."),"✉ Open Email Draft"),"")</f>
        <v/>
      </c>
    </row>
    <row r="821">
      <c r="A821" s="25">
        <f>IF($C821="","","AUD-2026-"&amp;TEXT(ROW()-1,"000000"))</f>
        <v/>
      </c>
      <c r="B821" s="26" t="n"/>
      <c r="C821" s="27" t="n"/>
      <c r="D821" s="25">
        <f>IF($C821="","",IFERROR(IF(INDEX(Roster!$A:$A,MATCH($C821,Roster!$B:$B,0))="","",INDEX(Roster!$A:$A,MATCH($C821,Roster!$B:$B,0))&amp;""),"—"))</f>
        <v/>
      </c>
      <c r="E821" s="25">
        <f>IF($C821="","",IFERROR(IF(INDEX(Roster!$C:$C,MATCH($C821,Roster!$B:$B,0))="","",INDEX(Roster!$C:$C,MATCH($C821,Roster!$B:$B,0))&amp;""),"—"))</f>
        <v/>
      </c>
      <c r="F821" s="25">
        <f>IF($C821="","",IFERROR(IF(INDEX(Roster!$D:$D,MATCH($C821,Roster!$B:$B,0))="","",INDEX(Roster!$D:$D,MATCH($C821,Roster!$B:$B,0))&amp;""),"—"))</f>
        <v/>
      </c>
      <c r="G821" s="25">
        <f>IF($C821="","",IFERROR(IF(INDEX(Roster!$E:$E,MATCH($C821,Roster!$B:$B,0))="","",INDEX(Roster!$E:$E,MATCH($C821,Roster!$B:$B,0))&amp;""),"—"))</f>
        <v/>
      </c>
      <c r="H821" s="25">
        <f>IF($C821="","",IFERROR(IF(INDEX(Roster!$F:$F,MATCH($C821,Roster!$B:$B,0))="","",INDEX(Roster!$F:$F,MATCH($C821,Roster!$B:$B,0))&amp;""),"—"))</f>
        <v/>
      </c>
      <c r="I821" s="25">
        <f>IF($C821="","",IFERROR(IF(INDEX(Roster!$G:$G,MATCH($C821,Roster!$B:$B,0))="","",INDEX(Roster!$G:$G,MATCH($C821,Roster!$B:$B,0))&amp;""),"—"))</f>
        <v/>
      </c>
      <c r="J821" s="25">
        <f>IF($C821="","",IFERROR(IF(INDEX(Roster!$I:$I,MATCH($C821,Roster!$B:$B,0))="","",INDEX(Roster!$I:$I,MATCH($C821,Roster!$B:$B,0))&amp;""),"—"))</f>
        <v/>
      </c>
      <c r="K821">
        <f>IF($C821="","",IFERROR(IF(INDEX(Roster!$J:$J,MATCH($C821,Roster!$B:$B,0))="","",INDEX(Roster!$J:$J,MATCH($C821,Roster!$B:$B,0))&amp;""),"—"))</f>
        <v/>
      </c>
      <c r="L821">
        <f>IF($C821="","",IFERROR(IF(INDEX(Roster!$K:$K,MATCH($C821,Roster!$B:$B,0))="","",INDEX(Roster!$K:$K,MATCH($C821,Roster!$B:$B,0))&amp;""),"—"))</f>
        <v/>
      </c>
      <c r="M821" s="27" t="n"/>
      <c r="N821" s="27" t="n"/>
      <c r="O821" s="25">
        <f>IF($C821="","",IF($P821="","—",IF($P821="Valid (Pass)","Valid","Invalid")))</f>
        <v/>
      </c>
      <c r="P821" s="27" t="n"/>
      <c r="Q821" s="27" t="n"/>
      <c r="R821" s="27" t="n"/>
      <c r="S821" s="27" t="n"/>
      <c r="T821" s="25">
        <f>IF($C821="","",IF(OR(ISNUMBER(SEARCH("quick case",$P821)),ISNUMBER(SEARCH("quick case",$Q821))),"Yes","No"))</f>
        <v/>
      </c>
      <c r="U821" s="25">
        <f>IF($O821="Invalid",HYPERLINK("mailto:"&amp;$G821&amp;";"&amp;$I821&amp;"?cc="&amp;Lists!$E$2&amp;"&amp;subject="&amp;_xlfn.ENCODEURL("[INVALID] Quality audit monitoring completed for "&amp;UPPER($C821))&amp;"&amp;body="&amp;_xlfn.ENCODEURL("Hi "&amp;$F821&amp;","&amp;CHAR(10)&amp;"Good day!"&amp;CHAR(10)&amp;CHAR(10)&amp;"A quality monitoring audit has been completed for "&amp;$C821&amp;"."&amp;CHAR(10)&amp;CHAR(10)&amp;"QUALITY AUDIT DETAILS"&amp;CHAR(10)&amp;"Agent Name: "&amp;$C821&amp;" (EID "&amp;$D821&amp;")"&amp;CHAR(10)&amp;"Audit Date: "&amp;TEXT($B821,"yyyy-mm-dd")&amp;CHAR(10)&amp;"Team Leader: "&amp;$F821&amp;CHAR(10)&amp;"Case Number: "&amp;$M821&amp;CHAR(10)&amp;"Transaction ID: "&amp;$N821&amp;CHAR(10)&amp;"Channel / LOB: "&amp;$K821&amp;" / "&amp;$L821&amp;CHAR(10)&amp;"Evaluator: "&amp;$S821&amp;CHAR(10)&amp;CHAR(10)&amp;"INVALID QUALITY AUDIT DETAILS"&amp;CHAR(10)&amp;"Validation: Invalid"&amp;CHAR(10)&amp;"Invalid Reason: "&amp;$P821&amp;CHAR(10)&amp;"Expected Resolution Code: "&amp;$Q821&amp;CHAR(10)&amp;"Remarks: "&amp;LEFT($R821,600)&amp;CHAR(10)&amp;CHAR(10)&amp;"This is an automated notification from HP Mainstream EQMS."),"✉ Open Email Draft"),"")</f>
        <v/>
      </c>
    </row>
    <row r="822">
      <c r="A822" s="25">
        <f>IF($C822="","","AUD-2026-"&amp;TEXT(ROW()-1,"000000"))</f>
        <v/>
      </c>
      <c r="B822" s="26" t="n"/>
      <c r="C822" s="27" t="n"/>
      <c r="D822" s="25">
        <f>IF($C822="","",IFERROR(IF(INDEX(Roster!$A:$A,MATCH($C822,Roster!$B:$B,0))="","",INDEX(Roster!$A:$A,MATCH($C822,Roster!$B:$B,0))&amp;""),"—"))</f>
        <v/>
      </c>
      <c r="E822" s="25">
        <f>IF($C822="","",IFERROR(IF(INDEX(Roster!$C:$C,MATCH($C822,Roster!$B:$B,0))="","",INDEX(Roster!$C:$C,MATCH($C822,Roster!$B:$B,0))&amp;""),"—"))</f>
        <v/>
      </c>
      <c r="F822" s="25">
        <f>IF($C822="","",IFERROR(IF(INDEX(Roster!$D:$D,MATCH($C822,Roster!$B:$B,0))="","",INDEX(Roster!$D:$D,MATCH($C822,Roster!$B:$B,0))&amp;""),"—"))</f>
        <v/>
      </c>
      <c r="G822" s="25">
        <f>IF($C822="","",IFERROR(IF(INDEX(Roster!$E:$E,MATCH($C822,Roster!$B:$B,0))="","",INDEX(Roster!$E:$E,MATCH($C822,Roster!$B:$B,0))&amp;""),"—"))</f>
        <v/>
      </c>
      <c r="H822" s="25">
        <f>IF($C822="","",IFERROR(IF(INDEX(Roster!$F:$F,MATCH($C822,Roster!$B:$B,0))="","",INDEX(Roster!$F:$F,MATCH($C822,Roster!$B:$B,0))&amp;""),"—"))</f>
        <v/>
      </c>
      <c r="I822" s="25">
        <f>IF($C822="","",IFERROR(IF(INDEX(Roster!$G:$G,MATCH($C822,Roster!$B:$B,0))="","",INDEX(Roster!$G:$G,MATCH($C822,Roster!$B:$B,0))&amp;""),"—"))</f>
        <v/>
      </c>
      <c r="J822" s="25">
        <f>IF($C822="","",IFERROR(IF(INDEX(Roster!$I:$I,MATCH($C822,Roster!$B:$B,0))="","",INDEX(Roster!$I:$I,MATCH($C822,Roster!$B:$B,0))&amp;""),"—"))</f>
        <v/>
      </c>
      <c r="K822">
        <f>IF($C822="","",IFERROR(IF(INDEX(Roster!$J:$J,MATCH($C822,Roster!$B:$B,0))="","",INDEX(Roster!$J:$J,MATCH($C822,Roster!$B:$B,0))&amp;""),"—"))</f>
        <v/>
      </c>
      <c r="L822">
        <f>IF($C822="","",IFERROR(IF(INDEX(Roster!$K:$K,MATCH($C822,Roster!$B:$B,0))="","",INDEX(Roster!$K:$K,MATCH($C822,Roster!$B:$B,0))&amp;""),"—"))</f>
        <v/>
      </c>
      <c r="M822" s="27" t="n"/>
      <c r="N822" s="27" t="n"/>
      <c r="O822" s="25">
        <f>IF($C822="","",IF($P822="","—",IF($P822="Valid (Pass)","Valid","Invalid")))</f>
        <v/>
      </c>
      <c r="P822" s="27" t="n"/>
      <c r="Q822" s="27" t="n"/>
      <c r="R822" s="27" t="n"/>
      <c r="S822" s="27" t="n"/>
      <c r="T822" s="25">
        <f>IF($C822="","",IF(OR(ISNUMBER(SEARCH("quick case",$P822)),ISNUMBER(SEARCH("quick case",$Q822))),"Yes","No"))</f>
        <v/>
      </c>
      <c r="U822" s="25">
        <f>IF($O822="Invalid",HYPERLINK("mailto:"&amp;$G822&amp;";"&amp;$I822&amp;"?cc="&amp;Lists!$E$2&amp;"&amp;subject="&amp;_xlfn.ENCODEURL("[INVALID] Quality audit monitoring completed for "&amp;UPPER($C822))&amp;"&amp;body="&amp;_xlfn.ENCODEURL("Hi "&amp;$F822&amp;","&amp;CHAR(10)&amp;"Good day!"&amp;CHAR(10)&amp;CHAR(10)&amp;"A quality monitoring audit has been completed for "&amp;$C822&amp;"."&amp;CHAR(10)&amp;CHAR(10)&amp;"QUALITY AUDIT DETAILS"&amp;CHAR(10)&amp;"Agent Name: "&amp;$C822&amp;" (EID "&amp;$D822&amp;")"&amp;CHAR(10)&amp;"Audit Date: "&amp;TEXT($B822,"yyyy-mm-dd")&amp;CHAR(10)&amp;"Team Leader: "&amp;$F822&amp;CHAR(10)&amp;"Case Number: "&amp;$M822&amp;CHAR(10)&amp;"Transaction ID: "&amp;$N822&amp;CHAR(10)&amp;"Channel / LOB: "&amp;$K822&amp;" / "&amp;$L822&amp;CHAR(10)&amp;"Evaluator: "&amp;$S822&amp;CHAR(10)&amp;CHAR(10)&amp;"INVALID QUALITY AUDIT DETAILS"&amp;CHAR(10)&amp;"Validation: Invalid"&amp;CHAR(10)&amp;"Invalid Reason: "&amp;$P822&amp;CHAR(10)&amp;"Expected Resolution Code: "&amp;$Q822&amp;CHAR(10)&amp;"Remarks: "&amp;LEFT($R822,600)&amp;CHAR(10)&amp;CHAR(10)&amp;"This is an automated notification from HP Mainstream EQMS."),"✉ Open Email Draft"),"")</f>
        <v/>
      </c>
    </row>
    <row r="823">
      <c r="A823" s="25">
        <f>IF($C823="","","AUD-2026-"&amp;TEXT(ROW()-1,"000000"))</f>
        <v/>
      </c>
      <c r="B823" s="26" t="n"/>
      <c r="C823" s="27" t="n"/>
      <c r="D823" s="25">
        <f>IF($C823="","",IFERROR(IF(INDEX(Roster!$A:$A,MATCH($C823,Roster!$B:$B,0))="","",INDEX(Roster!$A:$A,MATCH($C823,Roster!$B:$B,0))&amp;""),"—"))</f>
        <v/>
      </c>
      <c r="E823" s="25">
        <f>IF($C823="","",IFERROR(IF(INDEX(Roster!$C:$C,MATCH($C823,Roster!$B:$B,0))="","",INDEX(Roster!$C:$C,MATCH($C823,Roster!$B:$B,0))&amp;""),"—"))</f>
        <v/>
      </c>
      <c r="F823" s="25">
        <f>IF($C823="","",IFERROR(IF(INDEX(Roster!$D:$D,MATCH($C823,Roster!$B:$B,0))="","",INDEX(Roster!$D:$D,MATCH($C823,Roster!$B:$B,0))&amp;""),"—"))</f>
        <v/>
      </c>
      <c r="G823" s="25">
        <f>IF($C823="","",IFERROR(IF(INDEX(Roster!$E:$E,MATCH($C823,Roster!$B:$B,0))="","",INDEX(Roster!$E:$E,MATCH($C823,Roster!$B:$B,0))&amp;""),"—"))</f>
        <v/>
      </c>
      <c r="H823" s="25">
        <f>IF($C823="","",IFERROR(IF(INDEX(Roster!$F:$F,MATCH($C823,Roster!$B:$B,0))="","",INDEX(Roster!$F:$F,MATCH($C823,Roster!$B:$B,0))&amp;""),"—"))</f>
        <v/>
      </c>
      <c r="I823" s="25">
        <f>IF($C823="","",IFERROR(IF(INDEX(Roster!$G:$G,MATCH($C823,Roster!$B:$B,0))="","",INDEX(Roster!$G:$G,MATCH($C823,Roster!$B:$B,0))&amp;""),"—"))</f>
        <v/>
      </c>
      <c r="J823" s="25">
        <f>IF($C823="","",IFERROR(IF(INDEX(Roster!$I:$I,MATCH($C823,Roster!$B:$B,0))="","",INDEX(Roster!$I:$I,MATCH($C823,Roster!$B:$B,0))&amp;""),"—"))</f>
        <v/>
      </c>
      <c r="K823">
        <f>IF($C823="","",IFERROR(IF(INDEX(Roster!$J:$J,MATCH($C823,Roster!$B:$B,0))="","",INDEX(Roster!$J:$J,MATCH($C823,Roster!$B:$B,0))&amp;""),"—"))</f>
        <v/>
      </c>
      <c r="L823">
        <f>IF($C823="","",IFERROR(IF(INDEX(Roster!$K:$K,MATCH($C823,Roster!$B:$B,0))="","",INDEX(Roster!$K:$K,MATCH($C823,Roster!$B:$B,0))&amp;""),"—"))</f>
        <v/>
      </c>
      <c r="M823" s="27" t="n"/>
      <c r="N823" s="27" t="n"/>
      <c r="O823" s="25">
        <f>IF($C823="","",IF($P823="","—",IF($P823="Valid (Pass)","Valid","Invalid")))</f>
        <v/>
      </c>
      <c r="P823" s="27" t="n"/>
      <c r="Q823" s="27" t="n"/>
      <c r="R823" s="27" t="n"/>
      <c r="S823" s="27" t="n"/>
      <c r="T823" s="25">
        <f>IF($C823="","",IF(OR(ISNUMBER(SEARCH("quick case",$P823)),ISNUMBER(SEARCH("quick case",$Q823))),"Yes","No"))</f>
        <v/>
      </c>
      <c r="U823" s="25">
        <f>IF($O823="Invalid",HYPERLINK("mailto:"&amp;$G823&amp;";"&amp;$I823&amp;"?cc="&amp;Lists!$E$2&amp;"&amp;subject="&amp;_xlfn.ENCODEURL("[INVALID] Quality audit monitoring completed for "&amp;UPPER($C823))&amp;"&amp;body="&amp;_xlfn.ENCODEURL("Hi "&amp;$F823&amp;","&amp;CHAR(10)&amp;"Good day!"&amp;CHAR(10)&amp;CHAR(10)&amp;"A quality monitoring audit has been completed for "&amp;$C823&amp;"."&amp;CHAR(10)&amp;CHAR(10)&amp;"QUALITY AUDIT DETAILS"&amp;CHAR(10)&amp;"Agent Name: "&amp;$C823&amp;" (EID "&amp;$D823&amp;")"&amp;CHAR(10)&amp;"Audit Date: "&amp;TEXT($B823,"yyyy-mm-dd")&amp;CHAR(10)&amp;"Team Leader: "&amp;$F823&amp;CHAR(10)&amp;"Case Number: "&amp;$M823&amp;CHAR(10)&amp;"Transaction ID: "&amp;$N823&amp;CHAR(10)&amp;"Channel / LOB: "&amp;$K823&amp;" / "&amp;$L823&amp;CHAR(10)&amp;"Evaluator: "&amp;$S823&amp;CHAR(10)&amp;CHAR(10)&amp;"INVALID QUALITY AUDIT DETAILS"&amp;CHAR(10)&amp;"Validation: Invalid"&amp;CHAR(10)&amp;"Invalid Reason: "&amp;$P823&amp;CHAR(10)&amp;"Expected Resolution Code: "&amp;$Q823&amp;CHAR(10)&amp;"Remarks: "&amp;LEFT($R823,600)&amp;CHAR(10)&amp;CHAR(10)&amp;"This is an automated notification from HP Mainstream EQMS."),"✉ Open Email Draft"),"")</f>
        <v/>
      </c>
    </row>
    <row r="824">
      <c r="A824" s="25">
        <f>IF($C824="","","AUD-2026-"&amp;TEXT(ROW()-1,"000000"))</f>
        <v/>
      </c>
      <c r="B824" s="26" t="n"/>
      <c r="C824" s="27" t="n"/>
      <c r="D824" s="25">
        <f>IF($C824="","",IFERROR(IF(INDEX(Roster!$A:$A,MATCH($C824,Roster!$B:$B,0))="","",INDEX(Roster!$A:$A,MATCH($C824,Roster!$B:$B,0))&amp;""),"—"))</f>
        <v/>
      </c>
      <c r="E824" s="25">
        <f>IF($C824="","",IFERROR(IF(INDEX(Roster!$C:$C,MATCH($C824,Roster!$B:$B,0))="","",INDEX(Roster!$C:$C,MATCH($C824,Roster!$B:$B,0))&amp;""),"—"))</f>
        <v/>
      </c>
      <c r="F824" s="25">
        <f>IF($C824="","",IFERROR(IF(INDEX(Roster!$D:$D,MATCH($C824,Roster!$B:$B,0))="","",INDEX(Roster!$D:$D,MATCH($C824,Roster!$B:$B,0))&amp;""),"—"))</f>
        <v/>
      </c>
      <c r="G824" s="25">
        <f>IF($C824="","",IFERROR(IF(INDEX(Roster!$E:$E,MATCH($C824,Roster!$B:$B,0))="","",INDEX(Roster!$E:$E,MATCH($C824,Roster!$B:$B,0))&amp;""),"—"))</f>
        <v/>
      </c>
      <c r="H824" s="25">
        <f>IF($C824="","",IFERROR(IF(INDEX(Roster!$F:$F,MATCH($C824,Roster!$B:$B,0))="","",INDEX(Roster!$F:$F,MATCH($C824,Roster!$B:$B,0))&amp;""),"—"))</f>
        <v/>
      </c>
      <c r="I824" s="25">
        <f>IF($C824="","",IFERROR(IF(INDEX(Roster!$G:$G,MATCH($C824,Roster!$B:$B,0))="","",INDEX(Roster!$G:$G,MATCH($C824,Roster!$B:$B,0))&amp;""),"—"))</f>
        <v/>
      </c>
      <c r="J824" s="25">
        <f>IF($C824="","",IFERROR(IF(INDEX(Roster!$I:$I,MATCH($C824,Roster!$B:$B,0))="","",INDEX(Roster!$I:$I,MATCH($C824,Roster!$B:$B,0))&amp;""),"—"))</f>
        <v/>
      </c>
      <c r="K824">
        <f>IF($C824="","",IFERROR(IF(INDEX(Roster!$J:$J,MATCH($C824,Roster!$B:$B,0))="","",INDEX(Roster!$J:$J,MATCH($C824,Roster!$B:$B,0))&amp;""),"—"))</f>
        <v/>
      </c>
      <c r="L824">
        <f>IF($C824="","",IFERROR(IF(INDEX(Roster!$K:$K,MATCH($C824,Roster!$B:$B,0))="","",INDEX(Roster!$K:$K,MATCH($C824,Roster!$B:$B,0))&amp;""),"—"))</f>
        <v/>
      </c>
      <c r="M824" s="27" t="n"/>
      <c r="N824" s="27" t="n"/>
      <c r="O824" s="25">
        <f>IF($C824="","",IF($P824="","—",IF($P824="Valid (Pass)","Valid","Invalid")))</f>
        <v/>
      </c>
      <c r="P824" s="27" t="n"/>
      <c r="Q824" s="27" t="n"/>
      <c r="R824" s="27" t="n"/>
      <c r="S824" s="27" t="n"/>
      <c r="T824" s="25">
        <f>IF($C824="","",IF(OR(ISNUMBER(SEARCH("quick case",$P824)),ISNUMBER(SEARCH("quick case",$Q824))),"Yes","No"))</f>
        <v/>
      </c>
      <c r="U824" s="25">
        <f>IF($O824="Invalid",HYPERLINK("mailto:"&amp;$G824&amp;";"&amp;$I824&amp;"?cc="&amp;Lists!$E$2&amp;"&amp;subject="&amp;_xlfn.ENCODEURL("[INVALID] Quality audit monitoring completed for "&amp;UPPER($C824))&amp;"&amp;body="&amp;_xlfn.ENCODEURL("Hi "&amp;$F824&amp;","&amp;CHAR(10)&amp;"Good day!"&amp;CHAR(10)&amp;CHAR(10)&amp;"A quality monitoring audit has been completed for "&amp;$C824&amp;"."&amp;CHAR(10)&amp;CHAR(10)&amp;"QUALITY AUDIT DETAILS"&amp;CHAR(10)&amp;"Agent Name: "&amp;$C824&amp;" (EID "&amp;$D824&amp;")"&amp;CHAR(10)&amp;"Audit Date: "&amp;TEXT($B824,"yyyy-mm-dd")&amp;CHAR(10)&amp;"Team Leader: "&amp;$F824&amp;CHAR(10)&amp;"Case Number: "&amp;$M824&amp;CHAR(10)&amp;"Transaction ID: "&amp;$N824&amp;CHAR(10)&amp;"Channel / LOB: "&amp;$K824&amp;" / "&amp;$L824&amp;CHAR(10)&amp;"Evaluator: "&amp;$S824&amp;CHAR(10)&amp;CHAR(10)&amp;"INVALID QUALITY AUDIT DETAILS"&amp;CHAR(10)&amp;"Validation: Invalid"&amp;CHAR(10)&amp;"Invalid Reason: "&amp;$P824&amp;CHAR(10)&amp;"Expected Resolution Code: "&amp;$Q824&amp;CHAR(10)&amp;"Remarks: "&amp;LEFT($R824,600)&amp;CHAR(10)&amp;CHAR(10)&amp;"This is an automated notification from HP Mainstream EQMS."),"✉ Open Email Draft"),"")</f>
        <v/>
      </c>
    </row>
    <row r="825">
      <c r="A825" s="25">
        <f>IF($C825="","","AUD-2026-"&amp;TEXT(ROW()-1,"000000"))</f>
        <v/>
      </c>
      <c r="B825" s="26" t="n"/>
      <c r="C825" s="27" t="n"/>
      <c r="D825" s="25">
        <f>IF($C825="","",IFERROR(IF(INDEX(Roster!$A:$A,MATCH($C825,Roster!$B:$B,0))="","",INDEX(Roster!$A:$A,MATCH($C825,Roster!$B:$B,0))&amp;""),"—"))</f>
        <v/>
      </c>
      <c r="E825" s="25">
        <f>IF($C825="","",IFERROR(IF(INDEX(Roster!$C:$C,MATCH($C825,Roster!$B:$B,0))="","",INDEX(Roster!$C:$C,MATCH($C825,Roster!$B:$B,0))&amp;""),"—"))</f>
        <v/>
      </c>
      <c r="F825" s="25">
        <f>IF($C825="","",IFERROR(IF(INDEX(Roster!$D:$D,MATCH($C825,Roster!$B:$B,0))="","",INDEX(Roster!$D:$D,MATCH($C825,Roster!$B:$B,0))&amp;""),"—"))</f>
        <v/>
      </c>
      <c r="G825" s="25">
        <f>IF($C825="","",IFERROR(IF(INDEX(Roster!$E:$E,MATCH($C825,Roster!$B:$B,0))="","",INDEX(Roster!$E:$E,MATCH($C825,Roster!$B:$B,0))&amp;""),"—"))</f>
        <v/>
      </c>
      <c r="H825" s="25">
        <f>IF($C825="","",IFERROR(IF(INDEX(Roster!$F:$F,MATCH($C825,Roster!$B:$B,0))="","",INDEX(Roster!$F:$F,MATCH($C825,Roster!$B:$B,0))&amp;""),"—"))</f>
        <v/>
      </c>
      <c r="I825" s="25">
        <f>IF($C825="","",IFERROR(IF(INDEX(Roster!$G:$G,MATCH($C825,Roster!$B:$B,0))="","",INDEX(Roster!$G:$G,MATCH($C825,Roster!$B:$B,0))&amp;""),"—"))</f>
        <v/>
      </c>
      <c r="J825" s="25">
        <f>IF($C825="","",IFERROR(IF(INDEX(Roster!$I:$I,MATCH($C825,Roster!$B:$B,0))="","",INDEX(Roster!$I:$I,MATCH($C825,Roster!$B:$B,0))&amp;""),"—"))</f>
        <v/>
      </c>
      <c r="K825">
        <f>IF($C825="","",IFERROR(IF(INDEX(Roster!$J:$J,MATCH($C825,Roster!$B:$B,0))="","",INDEX(Roster!$J:$J,MATCH($C825,Roster!$B:$B,0))&amp;""),"—"))</f>
        <v/>
      </c>
      <c r="L825">
        <f>IF($C825="","",IFERROR(IF(INDEX(Roster!$K:$K,MATCH($C825,Roster!$B:$B,0))="","",INDEX(Roster!$K:$K,MATCH($C825,Roster!$B:$B,0))&amp;""),"—"))</f>
        <v/>
      </c>
      <c r="M825" s="27" t="n"/>
      <c r="N825" s="27" t="n"/>
      <c r="O825" s="25">
        <f>IF($C825="","",IF($P825="","—",IF($P825="Valid (Pass)","Valid","Invalid")))</f>
        <v/>
      </c>
      <c r="P825" s="27" t="n"/>
      <c r="Q825" s="27" t="n"/>
      <c r="R825" s="27" t="n"/>
      <c r="S825" s="27" t="n"/>
      <c r="T825" s="25">
        <f>IF($C825="","",IF(OR(ISNUMBER(SEARCH("quick case",$P825)),ISNUMBER(SEARCH("quick case",$Q825))),"Yes","No"))</f>
        <v/>
      </c>
      <c r="U825" s="25">
        <f>IF($O825="Invalid",HYPERLINK("mailto:"&amp;$G825&amp;";"&amp;$I825&amp;"?cc="&amp;Lists!$E$2&amp;"&amp;subject="&amp;_xlfn.ENCODEURL("[INVALID] Quality audit monitoring completed for "&amp;UPPER($C825))&amp;"&amp;body="&amp;_xlfn.ENCODEURL("Hi "&amp;$F825&amp;","&amp;CHAR(10)&amp;"Good day!"&amp;CHAR(10)&amp;CHAR(10)&amp;"A quality monitoring audit has been completed for "&amp;$C825&amp;"."&amp;CHAR(10)&amp;CHAR(10)&amp;"QUALITY AUDIT DETAILS"&amp;CHAR(10)&amp;"Agent Name: "&amp;$C825&amp;" (EID "&amp;$D825&amp;")"&amp;CHAR(10)&amp;"Audit Date: "&amp;TEXT($B825,"yyyy-mm-dd")&amp;CHAR(10)&amp;"Team Leader: "&amp;$F825&amp;CHAR(10)&amp;"Case Number: "&amp;$M825&amp;CHAR(10)&amp;"Transaction ID: "&amp;$N825&amp;CHAR(10)&amp;"Channel / LOB: "&amp;$K825&amp;" / "&amp;$L825&amp;CHAR(10)&amp;"Evaluator: "&amp;$S825&amp;CHAR(10)&amp;CHAR(10)&amp;"INVALID QUALITY AUDIT DETAILS"&amp;CHAR(10)&amp;"Validation: Invalid"&amp;CHAR(10)&amp;"Invalid Reason: "&amp;$P825&amp;CHAR(10)&amp;"Expected Resolution Code: "&amp;$Q825&amp;CHAR(10)&amp;"Remarks: "&amp;LEFT($R825,600)&amp;CHAR(10)&amp;CHAR(10)&amp;"This is an automated notification from HP Mainstream EQMS."),"✉ Open Email Draft"),"")</f>
        <v/>
      </c>
    </row>
    <row r="826">
      <c r="A826" s="25">
        <f>IF($C826="","","AUD-2026-"&amp;TEXT(ROW()-1,"000000"))</f>
        <v/>
      </c>
      <c r="B826" s="26" t="n"/>
      <c r="C826" s="27" t="n"/>
      <c r="D826" s="25">
        <f>IF($C826="","",IFERROR(IF(INDEX(Roster!$A:$A,MATCH($C826,Roster!$B:$B,0))="","",INDEX(Roster!$A:$A,MATCH($C826,Roster!$B:$B,0))&amp;""),"—"))</f>
        <v/>
      </c>
      <c r="E826" s="25">
        <f>IF($C826="","",IFERROR(IF(INDEX(Roster!$C:$C,MATCH($C826,Roster!$B:$B,0))="","",INDEX(Roster!$C:$C,MATCH($C826,Roster!$B:$B,0))&amp;""),"—"))</f>
        <v/>
      </c>
      <c r="F826" s="25">
        <f>IF($C826="","",IFERROR(IF(INDEX(Roster!$D:$D,MATCH($C826,Roster!$B:$B,0))="","",INDEX(Roster!$D:$D,MATCH($C826,Roster!$B:$B,0))&amp;""),"—"))</f>
        <v/>
      </c>
      <c r="G826" s="25">
        <f>IF($C826="","",IFERROR(IF(INDEX(Roster!$E:$E,MATCH($C826,Roster!$B:$B,0))="","",INDEX(Roster!$E:$E,MATCH($C826,Roster!$B:$B,0))&amp;""),"—"))</f>
        <v/>
      </c>
      <c r="H826" s="25">
        <f>IF($C826="","",IFERROR(IF(INDEX(Roster!$F:$F,MATCH($C826,Roster!$B:$B,0))="","",INDEX(Roster!$F:$F,MATCH($C826,Roster!$B:$B,0))&amp;""),"—"))</f>
        <v/>
      </c>
      <c r="I826" s="25">
        <f>IF($C826="","",IFERROR(IF(INDEX(Roster!$G:$G,MATCH($C826,Roster!$B:$B,0))="","",INDEX(Roster!$G:$G,MATCH($C826,Roster!$B:$B,0))&amp;""),"—"))</f>
        <v/>
      </c>
      <c r="J826" s="25">
        <f>IF($C826="","",IFERROR(IF(INDEX(Roster!$I:$I,MATCH($C826,Roster!$B:$B,0))="","",INDEX(Roster!$I:$I,MATCH($C826,Roster!$B:$B,0))&amp;""),"—"))</f>
        <v/>
      </c>
      <c r="K826">
        <f>IF($C826="","",IFERROR(IF(INDEX(Roster!$J:$J,MATCH($C826,Roster!$B:$B,0))="","",INDEX(Roster!$J:$J,MATCH($C826,Roster!$B:$B,0))&amp;""),"—"))</f>
        <v/>
      </c>
      <c r="L826">
        <f>IF($C826="","",IFERROR(IF(INDEX(Roster!$K:$K,MATCH($C826,Roster!$B:$B,0))="","",INDEX(Roster!$K:$K,MATCH($C826,Roster!$B:$B,0))&amp;""),"—"))</f>
        <v/>
      </c>
      <c r="M826" s="27" t="n"/>
      <c r="N826" s="27" t="n"/>
      <c r="O826" s="25">
        <f>IF($C826="","",IF($P826="","—",IF($P826="Valid (Pass)","Valid","Invalid")))</f>
        <v/>
      </c>
      <c r="P826" s="27" t="n"/>
      <c r="Q826" s="27" t="n"/>
      <c r="R826" s="27" t="n"/>
      <c r="S826" s="27" t="n"/>
      <c r="T826" s="25">
        <f>IF($C826="","",IF(OR(ISNUMBER(SEARCH("quick case",$P826)),ISNUMBER(SEARCH("quick case",$Q826))),"Yes","No"))</f>
        <v/>
      </c>
      <c r="U826" s="25">
        <f>IF($O826="Invalid",HYPERLINK("mailto:"&amp;$G826&amp;";"&amp;$I826&amp;"?cc="&amp;Lists!$E$2&amp;"&amp;subject="&amp;_xlfn.ENCODEURL("[INVALID] Quality audit monitoring completed for "&amp;UPPER($C826))&amp;"&amp;body="&amp;_xlfn.ENCODEURL("Hi "&amp;$F826&amp;","&amp;CHAR(10)&amp;"Good day!"&amp;CHAR(10)&amp;CHAR(10)&amp;"A quality monitoring audit has been completed for "&amp;$C826&amp;"."&amp;CHAR(10)&amp;CHAR(10)&amp;"QUALITY AUDIT DETAILS"&amp;CHAR(10)&amp;"Agent Name: "&amp;$C826&amp;" (EID "&amp;$D826&amp;")"&amp;CHAR(10)&amp;"Audit Date: "&amp;TEXT($B826,"yyyy-mm-dd")&amp;CHAR(10)&amp;"Team Leader: "&amp;$F826&amp;CHAR(10)&amp;"Case Number: "&amp;$M826&amp;CHAR(10)&amp;"Transaction ID: "&amp;$N826&amp;CHAR(10)&amp;"Channel / LOB: "&amp;$K826&amp;" / "&amp;$L826&amp;CHAR(10)&amp;"Evaluator: "&amp;$S826&amp;CHAR(10)&amp;CHAR(10)&amp;"INVALID QUALITY AUDIT DETAILS"&amp;CHAR(10)&amp;"Validation: Invalid"&amp;CHAR(10)&amp;"Invalid Reason: "&amp;$P826&amp;CHAR(10)&amp;"Expected Resolution Code: "&amp;$Q826&amp;CHAR(10)&amp;"Remarks: "&amp;LEFT($R826,600)&amp;CHAR(10)&amp;CHAR(10)&amp;"This is an automated notification from HP Mainstream EQMS."),"✉ Open Email Draft"),"")</f>
        <v/>
      </c>
    </row>
    <row r="827">
      <c r="A827" s="25">
        <f>IF($C827="","","AUD-2026-"&amp;TEXT(ROW()-1,"000000"))</f>
        <v/>
      </c>
      <c r="B827" s="26" t="n"/>
      <c r="C827" s="27" t="n"/>
      <c r="D827" s="25">
        <f>IF($C827="","",IFERROR(IF(INDEX(Roster!$A:$A,MATCH($C827,Roster!$B:$B,0))="","",INDEX(Roster!$A:$A,MATCH($C827,Roster!$B:$B,0))&amp;""),"—"))</f>
        <v/>
      </c>
      <c r="E827" s="25">
        <f>IF($C827="","",IFERROR(IF(INDEX(Roster!$C:$C,MATCH($C827,Roster!$B:$B,0))="","",INDEX(Roster!$C:$C,MATCH($C827,Roster!$B:$B,0))&amp;""),"—"))</f>
        <v/>
      </c>
      <c r="F827" s="25">
        <f>IF($C827="","",IFERROR(IF(INDEX(Roster!$D:$D,MATCH($C827,Roster!$B:$B,0))="","",INDEX(Roster!$D:$D,MATCH($C827,Roster!$B:$B,0))&amp;""),"—"))</f>
        <v/>
      </c>
      <c r="G827" s="25">
        <f>IF($C827="","",IFERROR(IF(INDEX(Roster!$E:$E,MATCH($C827,Roster!$B:$B,0))="","",INDEX(Roster!$E:$E,MATCH($C827,Roster!$B:$B,0))&amp;""),"—"))</f>
        <v/>
      </c>
      <c r="H827" s="25">
        <f>IF($C827="","",IFERROR(IF(INDEX(Roster!$F:$F,MATCH($C827,Roster!$B:$B,0))="","",INDEX(Roster!$F:$F,MATCH($C827,Roster!$B:$B,0))&amp;""),"—"))</f>
        <v/>
      </c>
      <c r="I827" s="25">
        <f>IF($C827="","",IFERROR(IF(INDEX(Roster!$G:$G,MATCH($C827,Roster!$B:$B,0))="","",INDEX(Roster!$G:$G,MATCH($C827,Roster!$B:$B,0))&amp;""),"—"))</f>
        <v/>
      </c>
      <c r="J827" s="25">
        <f>IF($C827="","",IFERROR(IF(INDEX(Roster!$I:$I,MATCH($C827,Roster!$B:$B,0))="","",INDEX(Roster!$I:$I,MATCH($C827,Roster!$B:$B,0))&amp;""),"—"))</f>
        <v/>
      </c>
      <c r="K827">
        <f>IF($C827="","",IFERROR(IF(INDEX(Roster!$J:$J,MATCH($C827,Roster!$B:$B,0))="","",INDEX(Roster!$J:$J,MATCH($C827,Roster!$B:$B,0))&amp;""),"—"))</f>
        <v/>
      </c>
      <c r="L827">
        <f>IF($C827="","",IFERROR(IF(INDEX(Roster!$K:$K,MATCH($C827,Roster!$B:$B,0))="","",INDEX(Roster!$K:$K,MATCH($C827,Roster!$B:$B,0))&amp;""),"—"))</f>
        <v/>
      </c>
      <c r="M827" s="27" t="n"/>
      <c r="N827" s="27" t="n"/>
      <c r="O827" s="25">
        <f>IF($C827="","",IF($P827="","—",IF($P827="Valid (Pass)","Valid","Invalid")))</f>
        <v/>
      </c>
      <c r="P827" s="27" t="n"/>
      <c r="Q827" s="27" t="n"/>
      <c r="R827" s="27" t="n"/>
      <c r="S827" s="27" t="n"/>
      <c r="T827" s="25">
        <f>IF($C827="","",IF(OR(ISNUMBER(SEARCH("quick case",$P827)),ISNUMBER(SEARCH("quick case",$Q827))),"Yes","No"))</f>
        <v/>
      </c>
      <c r="U827" s="25">
        <f>IF($O827="Invalid",HYPERLINK("mailto:"&amp;$G827&amp;";"&amp;$I827&amp;"?cc="&amp;Lists!$E$2&amp;"&amp;subject="&amp;_xlfn.ENCODEURL("[INVALID] Quality audit monitoring completed for "&amp;UPPER($C827))&amp;"&amp;body="&amp;_xlfn.ENCODEURL("Hi "&amp;$F827&amp;","&amp;CHAR(10)&amp;"Good day!"&amp;CHAR(10)&amp;CHAR(10)&amp;"A quality monitoring audit has been completed for "&amp;$C827&amp;"."&amp;CHAR(10)&amp;CHAR(10)&amp;"QUALITY AUDIT DETAILS"&amp;CHAR(10)&amp;"Agent Name: "&amp;$C827&amp;" (EID "&amp;$D827&amp;")"&amp;CHAR(10)&amp;"Audit Date: "&amp;TEXT($B827,"yyyy-mm-dd")&amp;CHAR(10)&amp;"Team Leader: "&amp;$F827&amp;CHAR(10)&amp;"Case Number: "&amp;$M827&amp;CHAR(10)&amp;"Transaction ID: "&amp;$N827&amp;CHAR(10)&amp;"Channel / LOB: "&amp;$K827&amp;" / "&amp;$L827&amp;CHAR(10)&amp;"Evaluator: "&amp;$S827&amp;CHAR(10)&amp;CHAR(10)&amp;"INVALID QUALITY AUDIT DETAILS"&amp;CHAR(10)&amp;"Validation: Invalid"&amp;CHAR(10)&amp;"Invalid Reason: "&amp;$P827&amp;CHAR(10)&amp;"Expected Resolution Code: "&amp;$Q827&amp;CHAR(10)&amp;"Remarks: "&amp;LEFT($R827,600)&amp;CHAR(10)&amp;CHAR(10)&amp;"This is an automated notification from HP Mainstream EQMS."),"✉ Open Email Draft"),"")</f>
        <v/>
      </c>
    </row>
    <row r="828">
      <c r="A828" s="25">
        <f>IF($C828="","","AUD-2026-"&amp;TEXT(ROW()-1,"000000"))</f>
        <v/>
      </c>
      <c r="B828" s="26" t="n"/>
      <c r="C828" s="27" t="n"/>
      <c r="D828" s="25">
        <f>IF($C828="","",IFERROR(IF(INDEX(Roster!$A:$A,MATCH($C828,Roster!$B:$B,0))="","",INDEX(Roster!$A:$A,MATCH($C828,Roster!$B:$B,0))&amp;""),"—"))</f>
        <v/>
      </c>
      <c r="E828" s="25">
        <f>IF($C828="","",IFERROR(IF(INDEX(Roster!$C:$C,MATCH($C828,Roster!$B:$B,0))="","",INDEX(Roster!$C:$C,MATCH($C828,Roster!$B:$B,0))&amp;""),"—"))</f>
        <v/>
      </c>
      <c r="F828" s="25">
        <f>IF($C828="","",IFERROR(IF(INDEX(Roster!$D:$D,MATCH($C828,Roster!$B:$B,0))="","",INDEX(Roster!$D:$D,MATCH($C828,Roster!$B:$B,0))&amp;""),"—"))</f>
        <v/>
      </c>
      <c r="G828" s="25">
        <f>IF($C828="","",IFERROR(IF(INDEX(Roster!$E:$E,MATCH($C828,Roster!$B:$B,0))="","",INDEX(Roster!$E:$E,MATCH($C828,Roster!$B:$B,0))&amp;""),"—"))</f>
        <v/>
      </c>
      <c r="H828" s="25">
        <f>IF($C828="","",IFERROR(IF(INDEX(Roster!$F:$F,MATCH($C828,Roster!$B:$B,0))="","",INDEX(Roster!$F:$F,MATCH($C828,Roster!$B:$B,0))&amp;""),"—"))</f>
        <v/>
      </c>
      <c r="I828" s="25">
        <f>IF($C828="","",IFERROR(IF(INDEX(Roster!$G:$G,MATCH($C828,Roster!$B:$B,0))="","",INDEX(Roster!$G:$G,MATCH($C828,Roster!$B:$B,0))&amp;""),"—"))</f>
        <v/>
      </c>
      <c r="J828" s="25">
        <f>IF($C828="","",IFERROR(IF(INDEX(Roster!$I:$I,MATCH($C828,Roster!$B:$B,0))="","",INDEX(Roster!$I:$I,MATCH($C828,Roster!$B:$B,0))&amp;""),"—"))</f>
        <v/>
      </c>
      <c r="K828">
        <f>IF($C828="","",IFERROR(IF(INDEX(Roster!$J:$J,MATCH($C828,Roster!$B:$B,0))="","",INDEX(Roster!$J:$J,MATCH($C828,Roster!$B:$B,0))&amp;""),"—"))</f>
        <v/>
      </c>
      <c r="L828">
        <f>IF($C828="","",IFERROR(IF(INDEX(Roster!$K:$K,MATCH($C828,Roster!$B:$B,0))="","",INDEX(Roster!$K:$K,MATCH($C828,Roster!$B:$B,0))&amp;""),"—"))</f>
        <v/>
      </c>
      <c r="M828" s="27" t="n"/>
      <c r="N828" s="27" t="n"/>
      <c r="O828" s="25">
        <f>IF($C828="","",IF($P828="","—",IF($P828="Valid (Pass)","Valid","Invalid")))</f>
        <v/>
      </c>
      <c r="P828" s="27" t="n"/>
      <c r="Q828" s="27" t="n"/>
      <c r="R828" s="27" t="n"/>
      <c r="S828" s="27" t="n"/>
      <c r="T828" s="25">
        <f>IF($C828="","",IF(OR(ISNUMBER(SEARCH("quick case",$P828)),ISNUMBER(SEARCH("quick case",$Q828))),"Yes","No"))</f>
        <v/>
      </c>
      <c r="U828" s="25">
        <f>IF($O828="Invalid",HYPERLINK("mailto:"&amp;$G828&amp;";"&amp;$I828&amp;"?cc="&amp;Lists!$E$2&amp;"&amp;subject="&amp;_xlfn.ENCODEURL("[INVALID] Quality audit monitoring completed for "&amp;UPPER($C828))&amp;"&amp;body="&amp;_xlfn.ENCODEURL("Hi "&amp;$F828&amp;","&amp;CHAR(10)&amp;"Good day!"&amp;CHAR(10)&amp;CHAR(10)&amp;"A quality monitoring audit has been completed for "&amp;$C828&amp;"."&amp;CHAR(10)&amp;CHAR(10)&amp;"QUALITY AUDIT DETAILS"&amp;CHAR(10)&amp;"Agent Name: "&amp;$C828&amp;" (EID "&amp;$D828&amp;")"&amp;CHAR(10)&amp;"Audit Date: "&amp;TEXT($B828,"yyyy-mm-dd")&amp;CHAR(10)&amp;"Team Leader: "&amp;$F828&amp;CHAR(10)&amp;"Case Number: "&amp;$M828&amp;CHAR(10)&amp;"Transaction ID: "&amp;$N828&amp;CHAR(10)&amp;"Channel / LOB: "&amp;$K828&amp;" / "&amp;$L828&amp;CHAR(10)&amp;"Evaluator: "&amp;$S828&amp;CHAR(10)&amp;CHAR(10)&amp;"INVALID QUALITY AUDIT DETAILS"&amp;CHAR(10)&amp;"Validation: Invalid"&amp;CHAR(10)&amp;"Invalid Reason: "&amp;$P828&amp;CHAR(10)&amp;"Expected Resolution Code: "&amp;$Q828&amp;CHAR(10)&amp;"Remarks: "&amp;LEFT($R828,600)&amp;CHAR(10)&amp;CHAR(10)&amp;"This is an automated notification from HP Mainstream EQMS."),"✉ Open Email Draft"),"")</f>
        <v/>
      </c>
    </row>
    <row r="829">
      <c r="A829" s="25">
        <f>IF($C829="","","AUD-2026-"&amp;TEXT(ROW()-1,"000000"))</f>
        <v/>
      </c>
      <c r="B829" s="26" t="n"/>
      <c r="C829" s="27" t="n"/>
      <c r="D829" s="25">
        <f>IF($C829="","",IFERROR(IF(INDEX(Roster!$A:$A,MATCH($C829,Roster!$B:$B,0))="","",INDEX(Roster!$A:$A,MATCH($C829,Roster!$B:$B,0))&amp;""),"—"))</f>
        <v/>
      </c>
      <c r="E829" s="25">
        <f>IF($C829="","",IFERROR(IF(INDEX(Roster!$C:$C,MATCH($C829,Roster!$B:$B,0))="","",INDEX(Roster!$C:$C,MATCH($C829,Roster!$B:$B,0))&amp;""),"—"))</f>
        <v/>
      </c>
      <c r="F829" s="25">
        <f>IF($C829="","",IFERROR(IF(INDEX(Roster!$D:$D,MATCH($C829,Roster!$B:$B,0))="","",INDEX(Roster!$D:$D,MATCH($C829,Roster!$B:$B,0))&amp;""),"—"))</f>
        <v/>
      </c>
      <c r="G829" s="25">
        <f>IF($C829="","",IFERROR(IF(INDEX(Roster!$E:$E,MATCH($C829,Roster!$B:$B,0))="","",INDEX(Roster!$E:$E,MATCH($C829,Roster!$B:$B,0))&amp;""),"—"))</f>
        <v/>
      </c>
      <c r="H829" s="25">
        <f>IF($C829="","",IFERROR(IF(INDEX(Roster!$F:$F,MATCH($C829,Roster!$B:$B,0))="","",INDEX(Roster!$F:$F,MATCH($C829,Roster!$B:$B,0))&amp;""),"—"))</f>
        <v/>
      </c>
      <c r="I829" s="25">
        <f>IF($C829="","",IFERROR(IF(INDEX(Roster!$G:$G,MATCH($C829,Roster!$B:$B,0))="","",INDEX(Roster!$G:$G,MATCH($C829,Roster!$B:$B,0))&amp;""),"—"))</f>
        <v/>
      </c>
      <c r="J829" s="25">
        <f>IF($C829="","",IFERROR(IF(INDEX(Roster!$I:$I,MATCH($C829,Roster!$B:$B,0))="","",INDEX(Roster!$I:$I,MATCH($C829,Roster!$B:$B,0))&amp;""),"—"))</f>
        <v/>
      </c>
      <c r="K829">
        <f>IF($C829="","",IFERROR(IF(INDEX(Roster!$J:$J,MATCH($C829,Roster!$B:$B,0))="","",INDEX(Roster!$J:$J,MATCH($C829,Roster!$B:$B,0))&amp;""),"—"))</f>
        <v/>
      </c>
      <c r="L829">
        <f>IF($C829="","",IFERROR(IF(INDEX(Roster!$K:$K,MATCH($C829,Roster!$B:$B,0))="","",INDEX(Roster!$K:$K,MATCH($C829,Roster!$B:$B,0))&amp;""),"—"))</f>
        <v/>
      </c>
      <c r="M829" s="27" t="n"/>
      <c r="N829" s="27" t="n"/>
      <c r="O829" s="25">
        <f>IF($C829="","",IF($P829="","—",IF($P829="Valid (Pass)","Valid","Invalid")))</f>
        <v/>
      </c>
      <c r="P829" s="27" t="n"/>
      <c r="Q829" s="27" t="n"/>
      <c r="R829" s="27" t="n"/>
      <c r="S829" s="27" t="n"/>
      <c r="T829" s="25">
        <f>IF($C829="","",IF(OR(ISNUMBER(SEARCH("quick case",$P829)),ISNUMBER(SEARCH("quick case",$Q829))),"Yes","No"))</f>
        <v/>
      </c>
      <c r="U829" s="25">
        <f>IF($O829="Invalid",HYPERLINK("mailto:"&amp;$G829&amp;";"&amp;$I829&amp;"?cc="&amp;Lists!$E$2&amp;"&amp;subject="&amp;_xlfn.ENCODEURL("[INVALID] Quality audit monitoring completed for "&amp;UPPER($C829))&amp;"&amp;body="&amp;_xlfn.ENCODEURL("Hi "&amp;$F829&amp;","&amp;CHAR(10)&amp;"Good day!"&amp;CHAR(10)&amp;CHAR(10)&amp;"A quality monitoring audit has been completed for "&amp;$C829&amp;"."&amp;CHAR(10)&amp;CHAR(10)&amp;"QUALITY AUDIT DETAILS"&amp;CHAR(10)&amp;"Agent Name: "&amp;$C829&amp;" (EID "&amp;$D829&amp;")"&amp;CHAR(10)&amp;"Audit Date: "&amp;TEXT($B829,"yyyy-mm-dd")&amp;CHAR(10)&amp;"Team Leader: "&amp;$F829&amp;CHAR(10)&amp;"Case Number: "&amp;$M829&amp;CHAR(10)&amp;"Transaction ID: "&amp;$N829&amp;CHAR(10)&amp;"Channel / LOB: "&amp;$K829&amp;" / "&amp;$L829&amp;CHAR(10)&amp;"Evaluator: "&amp;$S829&amp;CHAR(10)&amp;CHAR(10)&amp;"INVALID QUALITY AUDIT DETAILS"&amp;CHAR(10)&amp;"Validation: Invalid"&amp;CHAR(10)&amp;"Invalid Reason: "&amp;$P829&amp;CHAR(10)&amp;"Expected Resolution Code: "&amp;$Q829&amp;CHAR(10)&amp;"Remarks: "&amp;LEFT($R829,600)&amp;CHAR(10)&amp;CHAR(10)&amp;"This is an automated notification from HP Mainstream EQMS."),"✉ Open Email Draft"),"")</f>
        <v/>
      </c>
    </row>
    <row r="830">
      <c r="A830" s="25">
        <f>IF($C830="","","AUD-2026-"&amp;TEXT(ROW()-1,"000000"))</f>
        <v/>
      </c>
      <c r="B830" s="26" t="n"/>
      <c r="C830" s="27" t="n"/>
      <c r="D830" s="25">
        <f>IF($C830="","",IFERROR(IF(INDEX(Roster!$A:$A,MATCH($C830,Roster!$B:$B,0))="","",INDEX(Roster!$A:$A,MATCH($C830,Roster!$B:$B,0))&amp;""),"—"))</f>
        <v/>
      </c>
      <c r="E830" s="25">
        <f>IF($C830="","",IFERROR(IF(INDEX(Roster!$C:$C,MATCH($C830,Roster!$B:$B,0))="","",INDEX(Roster!$C:$C,MATCH($C830,Roster!$B:$B,0))&amp;""),"—"))</f>
        <v/>
      </c>
      <c r="F830" s="25">
        <f>IF($C830="","",IFERROR(IF(INDEX(Roster!$D:$D,MATCH($C830,Roster!$B:$B,0))="","",INDEX(Roster!$D:$D,MATCH($C830,Roster!$B:$B,0))&amp;""),"—"))</f>
        <v/>
      </c>
      <c r="G830" s="25">
        <f>IF($C830="","",IFERROR(IF(INDEX(Roster!$E:$E,MATCH($C830,Roster!$B:$B,0))="","",INDEX(Roster!$E:$E,MATCH($C830,Roster!$B:$B,0))&amp;""),"—"))</f>
        <v/>
      </c>
      <c r="H830" s="25">
        <f>IF($C830="","",IFERROR(IF(INDEX(Roster!$F:$F,MATCH($C830,Roster!$B:$B,0))="","",INDEX(Roster!$F:$F,MATCH($C830,Roster!$B:$B,0))&amp;""),"—"))</f>
        <v/>
      </c>
      <c r="I830" s="25">
        <f>IF($C830="","",IFERROR(IF(INDEX(Roster!$G:$G,MATCH($C830,Roster!$B:$B,0))="","",INDEX(Roster!$G:$G,MATCH($C830,Roster!$B:$B,0))&amp;""),"—"))</f>
        <v/>
      </c>
      <c r="J830" s="25">
        <f>IF($C830="","",IFERROR(IF(INDEX(Roster!$I:$I,MATCH($C830,Roster!$B:$B,0))="","",INDEX(Roster!$I:$I,MATCH($C830,Roster!$B:$B,0))&amp;""),"—"))</f>
        <v/>
      </c>
      <c r="K830">
        <f>IF($C830="","",IFERROR(IF(INDEX(Roster!$J:$J,MATCH($C830,Roster!$B:$B,0))="","",INDEX(Roster!$J:$J,MATCH($C830,Roster!$B:$B,0))&amp;""),"—"))</f>
        <v/>
      </c>
      <c r="L830">
        <f>IF($C830="","",IFERROR(IF(INDEX(Roster!$K:$K,MATCH($C830,Roster!$B:$B,0))="","",INDEX(Roster!$K:$K,MATCH($C830,Roster!$B:$B,0))&amp;""),"—"))</f>
        <v/>
      </c>
      <c r="M830" s="27" t="n"/>
      <c r="N830" s="27" t="n"/>
      <c r="O830" s="25">
        <f>IF($C830="","",IF($P830="","—",IF($P830="Valid (Pass)","Valid","Invalid")))</f>
        <v/>
      </c>
      <c r="P830" s="27" t="n"/>
      <c r="Q830" s="27" t="n"/>
      <c r="R830" s="27" t="n"/>
      <c r="S830" s="27" t="n"/>
      <c r="T830" s="25">
        <f>IF($C830="","",IF(OR(ISNUMBER(SEARCH("quick case",$P830)),ISNUMBER(SEARCH("quick case",$Q830))),"Yes","No"))</f>
        <v/>
      </c>
      <c r="U830" s="25">
        <f>IF($O830="Invalid",HYPERLINK("mailto:"&amp;$G830&amp;";"&amp;$I830&amp;"?cc="&amp;Lists!$E$2&amp;"&amp;subject="&amp;_xlfn.ENCODEURL("[INVALID] Quality audit monitoring completed for "&amp;UPPER($C830))&amp;"&amp;body="&amp;_xlfn.ENCODEURL("Hi "&amp;$F830&amp;","&amp;CHAR(10)&amp;"Good day!"&amp;CHAR(10)&amp;CHAR(10)&amp;"A quality monitoring audit has been completed for "&amp;$C830&amp;"."&amp;CHAR(10)&amp;CHAR(10)&amp;"QUALITY AUDIT DETAILS"&amp;CHAR(10)&amp;"Agent Name: "&amp;$C830&amp;" (EID "&amp;$D830&amp;")"&amp;CHAR(10)&amp;"Audit Date: "&amp;TEXT($B830,"yyyy-mm-dd")&amp;CHAR(10)&amp;"Team Leader: "&amp;$F830&amp;CHAR(10)&amp;"Case Number: "&amp;$M830&amp;CHAR(10)&amp;"Transaction ID: "&amp;$N830&amp;CHAR(10)&amp;"Channel / LOB: "&amp;$K830&amp;" / "&amp;$L830&amp;CHAR(10)&amp;"Evaluator: "&amp;$S830&amp;CHAR(10)&amp;CHAR(10)&amp;"INVALID QUALITY AUDIT DETAILS"&amp;CHAR(10)&amp;"Validation: Invalid"&amp;CHAR(10)&amp;"Invalid Reason: "&amp;$P830&amp;CHAR(10)&amp;"Expected Resolution Code: "&amp;$Q830&amp;CHAR(10)&amp;"Remarks: "&amp;LEFT($R830,600)&amp;CHAR(10)&amp;CHAR(10)&amp;"This is an automated notification from HP Mainstream EQMS."),"✉ Open Email Draft"),"")</f>
        <v/>
      </c>
    </row>
    <row r="831">
      <c r="A831" s="25">
        <f>IF($C831="","","AUD-2026-"&amp;TEXT(ROW()-1,"000000"))</f>
        <v/>
      </c>
      <c r="B831" s="26" t="n"/>
      <c r="C831" s="27" t="n"/>
      <c r="D831" s="25">
        <f>IF($C831="","",IFERROR(IF(INDEX(Roster!$A:$A,MATCH($C831,Roster!$B:$B,0))="","",INDEX(Roster!$A:$A,MATCH($C831,Roster!$B:$B,0))&amp;""),"—"))</f>
        <v/>
      </c>
      <c r="E831" s="25">
        <f>IF($C831="","",IFERROR(IF(INDEX(Roster!$C:$C,MATCH($C831,Roster!$B:$B,0))="","",INDEX(Roster!$C:$C,MATCH($C831,Roster!$B:$B,0))&amp;""),"—"))</f>
        <v/>
      </c>
      <c r="F831" s="25">
        <f>IF($C831="","",IFERROR(IF(INDEX(Roster!$D:$D,MATCH($C831,Roster!$B:$B,0))="","",INDEX(Roster!$D:$D,MATCH($C831,Roster!$B:$B,0))&amp;""),"—"))</f>
        <v/>
      </c>
      <c r="G831" s="25">
        <f>IF($C831="","",IFERROR(IF(INDEX(Roster!$E:$E,MATCH($C831,Roster!$B:$B,0))="","",INDEX(Roster!$E:$E,MATCH($C831,Roster!$B:$B,0))&amp;""),"—"))</f>
        <v/>
      </c>
      <c r="H831" s="25">
        <f>IF($C831="","",IFERROR(IF(INDEX(Roster!$F:$F,MATCH($C831,Roster!$B:$B,0))="","",INDEX(Roster!$F:$F,MATCH($C831,Roster!$B:$B,0))&amp;""),"—"))</f>
        <v/>
      </c>
      <c r="I831" s="25">
        <f>IF($C831="","",IFERROR(IF(INDEX(Roster!$G:$G,MATCH($C831,Roster!$B:$B,0))="","",INDEX(Roster!$G:$G,MATCH($C831,Roster!$B:$B,0))&amp;""),"—"))</f>
        <v/>
      </c>
      <c r="J831" s="25">
        <f>IF($C831="","",IFERROR(IF(INDEX(Roster!$I:$I,MATCH($C831,Roster!$B:$B,0))="","",INDEX(Roster!$I:$I,MATCH($C831,Roster!$B:$B,0))&amp;""),"—"))</f>
        <v/>
      </c>
      <c r="K831">
        <f>IF($C831="","",IFERROR(IF(INDEX(Roster!$J:$J,MATCH($C831,Roster!$B:$B,0))="","",INDEX(Roster!$J:$J,MATCH($C831,Roster!$B:$B,0))&amp;""),"—"))</f>
        <v/>
      </c>
      <c r="L831">
        <f>IF($C831="","",IFERROR(IF(INDEX(Roster!$K:$K,MATCH($C831,Roster!$B:$B,0))="","",INDEX(Roster!$K:$K,MATCH($C831,Roster!$B:$B,0))&amp;""),"—"))</f>
        <v/>
      </c>
      <c r="M831" s="27" t="n"/>
      <c r="N831" s="27" t="n"/>
      <c r="O831" s="25">
        <f>IF($C831="","",IF($P831="","—",IF($P831="Valid (Pass)","Valid","Invalid")))</f>
        <v/>
      </c>
      <c r="P831" s="27" t="n"/>
      <c r="Q831" s="27" t="n"/>
      <c r="R831" s="27" t="n"/>
      <c r="S831" s="27" t="n"/>
      <c r="T831" s="25">
        <f>IF($C831="","",IF(OR(ISNUMBER(SEARCH("quick case",$P831)),ISNUMBER(SEARCH("quick case",$Q831))),"Yes","No"))</f>
        <v/>
      </c>
      <c r="U831" s="25">
        <f>IF($O831="Invalid",HYPERLINK("mailto:"&amp;$G831&amp;";"&amp;$I831&amp;"?cc="&amp;Lists!$E$2&amp;"&amp;subject="&amp;_xlfn.ENCODEURL("[INVALID] Quality audit monitoring completed for "&amp;UPPER($C831))&amp;"&amp;body="&amp;_xlfn.ENCODEURL("Hi "&amp;$F831&amp;","&amp;CHAR(10)&amp;"Good day!"&amp;CHAR(10)&amp;CHAR(10)&amp;"A quality monitoring audit has been completed for "&amp;$C831&amp;"."&amp;CHAR(10)&amp;CHAR(10)&amp;"QUALITY AUDIT DETAILS"&amp;CHAR(10)&amp;"Agent Name: "&amp;$C831&amp;" (EID "&amp;$D831&amp;")"&amp;CHAR(10)&amp;"Audit Date: "&amp;TEXT($B831,"yyyy-mm-dd")&amp;CHAR(10)&amp;"Team Leader: "&amp;$F831&amp;CHAR(10)&amp;"Case Number: "&amp;$M831&amp;CHAR(10)&amp;"Transaction ID: "&amp;$N831&amp;CHAR(10)&amp;"Channel / LOB: "&amp;$K831&amp;" / "&amp;$L831&amp;CHAR(10)&amp;"Evaluator: "&amp;$S831&amp;CHAR(10)&amp;CHAR(10)&amp;"INVALID QUALITY AUDIT DETAILS"&amp;CHAR(10)&amp;"Validation: Invalid"&amp;CHAR(10)&amp;"Invalid Reason: "&amp;$P831&amp;CHAR(10)&amp;"Expected Resolution Code: "&amp;$Q831&amp;CHAR(10)&amp;"Remarks: "&amp;LEFT($R831,600)&amp;CHAR(10)&amp;CHAR(10)&amp;"This is an automated notification from HP Mainstream EQMS."),"✉ Open Email Draft"),"")</f>
        <v/>
      </c>
    </row>
    <row r="832">
      <c r="A832" s="25">
        <f>IF($C832="","","AUD-2026-"&amp;TEXT(ROW()-1,"000000"))</f>
        <v/>
      </c>
      <c r="B832" s="26" t="n"/>
      <c r="C832" s="27" t="n"/>
      <c r="D832" s="25">
        <f>IF($C832="","",IFERROR(IF(INDEX(Roster!$A:$A,MATCH($C832,Roster!$B:$B,0))="","",INDEX(Roster!$A:$A,MATCH($C832,Roster!$B:$B,0))&amp;""),"—"))</f>
        <v/>
      </c>
      <c r="E832" s="25">
        <f>IF($C832="","",IFERROR(IF(INDEX(Roster!$C:$C,MATCH($C832,Roster!$B:$B,0))="","",INDEX(Roster!$C:$C,MATCH($C832,Roster!$B:$B,0))&amp;""),"—"))</f>
        <v/>
      </c>
      <c r="F832" s="25">
        <f>IF($C832="","",IFERROR(IF(INDEX(Roster!$D:$D,MATCH($C832,Roster!$B:$B,0))="","",INDEX(Roster!$D:$D,MATCH($C832,Roster!$B:$B,0))&amp;""),"—"))</f>
        <v/>
      </c>
      <c r="G832" s="25">
        <f>IF($C832="","",IFERROR(IF(INDEX(Roster!$E:$E,MATCH($C832,Roster!$B:$B,0))="","",INDEX(Roster!$E:$E,MATCH($C832,Roster!$B:$B,0))&amp;""),"—"))</f>
        <v/>
      </c>
      <c r="H832" s="25">
        <f>IF($C832="","",IFERROR(IF(INDEX(Roster!$F:$F,MATCH($C832,Roster!$B:$B,0))="","",INDEX(Roster!$F:$F,MATCH($C832,Roster!$B:$B,0))&amp;""),"—"))</f>
        <v/>
      </c>
      <c r="I832" s="25">
        <f>IF($C832="","",IFERROR(IF(INDEX(Roster!$G:$G,MATCH($C832,Roster!$B:$B,0))="","",INDEX(Roster!$G:$G,MATCH($C832,Roster!$B:$B,0))&amp;""),"—"))</f>
        <v/>
      </c>
      <c r="J832" s="25">
        <f>IF($C832="","",IFERROR(IF(INDEX(Roster!$I:$I,MATCH($C832,Roster!$B:$B,0))="","",INDEX(Roster!$I:$I,MATCH($C832,Roster!$B:$B,0))&amp;""),"—"))</f>
        <v/>
      </c>
      <c r="K832">
        <f>IF($C832="","",IFERROR(IF(INDEX(Roster!$J:$J,MATCH($C832,Roster!$B:$B,0))="","",INDEX(Roster!$J:$J,MATCH($C832,Roster!$B:$B,0))&amp;""),"—"))</f>
        <v/>
      </c>
      <c r="L832">
        <f>IF($C832="","",IFERROR(IF(INDEX(Roster!$K:$K,MATCH($C832,Roster!$B:$B,0))="","",INDEX(Roster!$K:$K,MATCH($C832,Roster!$B:$B,0))&amp;""),"—"))</f>
        <v/>
      </c>
      <c r="M832" s="27" t="n"/>
      <c r="N832" s="27" t="n"/>
      <c r="O832" s="25">
        <f>IF($C832="","",IF($P832="","—",IF($P832="Valid (Pass)","Valid","Invalid")))</f>
        <v/>
      </c>
      <c r="P832" s="27" t="n"/>
      <c r="Q832" s="27" t="n"/>
      <c r="R832" s="27" t="n"/>
      <c r="S832" s="27" t="n"/>
      <c r="T832" s="25">
        <f>IF($C832="","",IF(OR(ISNUMBER(SEARCH("quick case",$P832)),ISNUMBER(SEARCH("quick case",$Q832))),"Yes","No"))</f>
        <v/>
      </c>
      <c r="U832" s="25">
        <f>IF($O832="Invalid",HYPERLINK("mailto:"&amp;$G832&amp;";"&amp;$I832&amp;"?cc="&amp;Lists!$E$2&amp;"&amp;subject="&amp;_xlfn.ENCODEURL("[INVALID] Quality audit monitoring completed for "&amp;UPPER($C832))&amp;"&amp;body="&amp;_xlfn.ENCODEURL("Hi "&amp;$F832&amp;","&amp;CHAR(10)&amp;"Good day!"&amp;CHAR(10)&amp;CHAR(10)&amp;"A quality monitoring audit has been completed for "&amp;$C832&amp;"."&amp;CHAR(10)&amp;CHAR(10)&amp;"QUALITY AUDIT DETAILS"&amp;CHAR(10)&amp;"Agent Name: "&amp;$C832&amp;" (EID "&amp;$D832&amp;")"&amp;CHAR(10)&amp;"Audit Date: "&amp;TEXT($B832,"yyyy-mm-dd")&amp;CHAR(10)&amp;"Team Leader: "&amp;$F832&amp;CHAR(10)&amp;"Case Number: "&amp;$M832&amp;CHAR(10)&amp;"Transaction ID: "&amp;$N832&amp;CHAR(10)&amp;"Channel / LOB: "&amp;$K832&amp;" / "&amp;$L832&amp;CHAR(10)&amp;"Evaluator: "&amp;$S832&amp;CHAR(10)&amp;CHAR(10)&amp;"INVALID QUALITY AUDIT DETAILS"&amp;CHAR(10)&amp;"Validation: Invalid"&amp;CHAR(10)&amp;"Invalid Reason: "&amp;$P832&amp;CHAR(10)&amp;"Expected Resolution Code: "&amp;$Q832&amp;CHAR(10)&amp;"Remarks: "&amp;LEFT($R832,600)&amp;CHAR(10)&amp;CHAR(10)&amp;"This is an automated notification from HP Mainstream EQMS."),"✉ Open Email Draft"),"")</f>
        <v/>
      </c>
    </row>
    <row r="833">
      <c r="A833" s="25">
        <f>IF($C833="","","AUD-2026-"&amp;TEXT(ROW()-1,"000000"))</f>
        <v/>
      </c>
      <c r="B833" s="26" t="n"/>
      <c r="C833" s="27" t="n"/>
      <c r="D833" s="25">
        <f>IF($C833="","",IFERROR(IF(INDEX(Roster!$A:$A,MATCH($C833,Roster!$B:$B,0))="","",INDEX(Roster!$A:$A,MATCH($C833,Roster!$B:$B,0))&amp;""),"—"))</f>
        <v/>
      </c>
      <c r="E833" s="25">
        <f>IF($C833="","",IFERROR(IF(INDEX(Roster!$C:$C,MATCH($C833,Roster!$B:$B,0))="","",INDEX(Roster!$C:$C,MATCH($C833,Roster!$B:$B,0))&amp;""),"—"))</f>
        <v/>
      </c>
      <c r="F833" s="25">
        <f>IF($C833="","",IFERROR(IF(INDEX(Roster!$D:$D,MATCH($C833,Roster!$B:$B,0))="","",INDEX(Roster!$D:$D,MATCH($C833,Roster!$B:$B,0))&amp;""),"—"))</f>
        <v/>
      </c>
      <c r="G833" s="25">
        <f>IF($C833="","",IFERROR(IF(INDEX(Roster!$E:$E,MATCH($C833,Roster!$B:$B,0))="","",INDEX(Roster!$E:$E,MATCH($C833,Roster!$B:$B,0))&amp;""),"—"))</f>
        <v/>
      </c>
      <c r="H833" s="25">
        <f>IF($C833="","",IFERROR(IF(INDEX(Roster!$F:$F,MATCH($C833,Roster!$B:$B,0))="","",INDEX(Roster!$F:$F,MATCH($C833,Roster!$B:$B,0))&amp;""),"—"))</f>
        <v/>
      </c>
      <c r="I833" s="25">
        <f>IF($C833="","",IFERROR(IF(INDEX(Roster!$G:$G,MATCH($C833,Roster!$B:$B,0))="","",INDEX(Roster!$G:$G,MATCH($C833,Roster!$B:$B,0))&amp;""),"—"))</f>
        <v/>
      </c>
      <c r="J833" s="25">
        <f>IF($C833="","",IFERROR(IF(INDEX(Roster!$I:$I,MATCH($C833,Roster!$B:$B,0))="","",INDEX(Roster!$I:$I,MATCH($C833,Roster!$B:$B,0))&amp;""),"—"))</f>
        <v/>
      </c>
      <c r="K833">
        <f>IF($C833="","",IFERROR(IF(INDEX(Roster!$J:$J,MATCH($C833,Roster!$B:$B,0))="","",INDEX(Roster!$J:$J,MATCH($C833,Roster!$B:$B,0))&amp;""),"—"))</f>
        <v/>
      </c>
      <c r="L833">
        <f>IF($C833="","",IFERROR(IF(INDEX(Roster!$K:$K,MATCH($C833,Roster!$B:$B,0))="","",INDEX(Roster!$K:$K,MATCH($C833,Roster!$B:$B,0))&amp;""),"—"))</f>
        <v/>
      </c>
      <c r="M833" s="27" t="n"/>
      <c r="N833" s="27" t="n"/>
      <c r="O833" s="25">
        <f>IF($C833="","",IF($P833="","—",IF($P833="Valid (Pass)","Valid","Invalid")))</f>
        <v/>
      </c>
      <c r="P833" s="27" t="n"/>
      <c r="Q833" s="27" t="n"/>
      <c r="R833" s="27" t="n"/>
      <c r="S833" s="27" t="n"/>
      <c r="T833" s="25">
        <f>IF($C833="","",IF(OR(ISNUMBER(SEARCH("quick case",$P833)),ISNUMBER(SEARCH("quick case",$Q833))),"Yes","No"))</f>
        <v/>
      </c>
      <c r="U833" s="25">
        <f>IF($O833="Invalid",HYPERLINK("mailto:"&amp;$G833&amp;";"&amp;$I833&amp;"?cc="&amp;Lists!$E$2&amp;"&amp;subject="&amp;_xlfn.ENCODEURL("[INVALID] Quality audit monitoring completed for "&amp;UPPER($C833))&amp;"&amp;body="&amp;_xlfn.ENCODEURL("Hi "&amp;$F833&amp;","&amp;CHAR(10)&amp;"Good day!"&amp;CHAR(10)&amp;CHAR(10)&amp;"A quality monitoring audit has been completed for "&amp;$C833&amp;"."&amp;CHAR(10)&amp;CHAR(10)&amp;"QUALITY AUDIT DETAILS"&amp;CHAR(10)&amp;"Agent Name: "&amp;$C833&amp;" (EID "&amp;$D833&amp;")"&amp;CHAR(10)&amp;"Audit Date: "&amp;TEXT($B833,"yyyy-mm-dd")&amp;CHAR(10)&amp;"Team Leader: "&amp;$F833&amp;CHAR(10)&amp;"Case Number: "&amp;$M833&amp;CHAR(10)&amp;"Transaction ID: "&amp;$N833&amp;CHAR(10)&amp;"Channel / LOB: "&amp;$K833&amp;" / "&amp;$L833&amp;CHAR(10)&amp;"Evaluator: "&amp;$S833&amp;CHAR(10)&amp;CHAR(10)&amp;"INVALID QUALITY AUDIT DETAILS"&amp;CHAR(10)&amp;"Validation: Invalid"&amp;CHAR(10)&amp;"Invalid Reason: "&amp;$P833&amp;CHAR(10)&amp;"Expected Resolution Code: "&amp;$Q833&amp;CHAR(10)&amp;"Remarks: "&amp;LEFT($R833,600)&amp;CHAR(10)&amp;CHAR(10)&amp;"This is an automated notification from HP Mainstream EQMS."),"✉ Open Email Draft"),"")</f>
        <v/>
      </c>
    </row>
    <row r="834">
      <c r="A834" s="25">
        <f>IF($C834="","","AUD-2026-"&amp;TEXT(ROW()-1,"000000"))</f>
        <v/>
      </c>
      <c r="B834" s="26" t="n"/>
      <c r="C834" s="27" t="n"/>
      <c r="D834" s="25">
        <f>IF($C834="","",IFERROR(IF(INDEX(Roster!$A:$A,MATCH($C834,Roster!$B:$B,0))="","",INDEX(Roster!$A:$A,MATCH($C834,Roster!$B:$B,0))&amp;""),"—"))</f>
        <v/>
      </c>
      <c r="E834" s="25">
        <f>IF($C834="","",IFERROR(IF(INDEX(Roster!$C:$C,MATCH($C834,Roster!$B:$B,0))="","",INDEX(Roster!$C:$C,MATCH($C834,Roster!$B:$B,0))&amp;""),"—"))</f>
        <v/>
      </c>
      <c r="F834" s="25">
        <f>IF($C834="","",IFERROR(IF(INDEX(Roster!$D:$D,MATCH($C834,Roster!$B:$B,0))="","",INDEX(Roster!$D:$D,MATCH($C834,Roster!$B:$B,0))&amp;""),"—"))</f>
        <v/>
      </c>
      <c r="G834" s="25">
        <f>IF($C834="","",IFERROR(IF(INDEX(Roster!$E:$E,MATCH($C834,Roster!$B:$B,0))="","",INDEX(Roster!$E:$E,MATCH($C834,Roster!$B:$B,0))&amp;""),"—"))</f>
        <v/>
      </c>
      <c r="H834" s="25">
        <f>IF($C834="","",IFERROR(IF(INDEX(Roster!$F:$F,MATCH($C834,Roster!$B:$B,0))="","",INDEX(Roster!$F:$F,MATCH($C834,Roster!$B:$B,0))&amp;""),"—"))</f>
        <v/>
      </c>
      <c r="I834" s="25">
        <f>IF($C834="","",IFERROR(IF(INDEX(Roster!$G:$G,MATCH($C834,Roster!$B:$B,0))="","",INDEX(Roster!$G:$G,MATCH($C834,Roster!$B:$B,0))&amp;""),"—"))</f>
        <v/>
      </c>
      <c r="J834" s="25">
        <f>IF($C834="","",IFERROR(IF(INDEX(Roster!$I:$I,MATCH($C834,Roster!$B:$B,0))="","",INDEX(Roster!$I:$I,MATCH($C834,Roster!$B:$B,0))&amp;""),"—"))</f>
        <v/>
      </c>
      <c r="K834">
        <f>IF($C834="","",IFERROR(IF(INDEX(Roster!$J:$J,MATCH($C834,Roster!$B:$B,0))="","",INDEX(Roster!$J:$J,MATCH($C834,Roster!$B:$B,0))&amp;""),"—"))</f>
        <v/>
      </c>
      <c r="L834">
        <f>IF($C834="","",IFERROR(IF(INDEX(Roster!$K:$K,MATCH($C834,Roster!$B:$B,0))="","",INDEX(Roster!$K:$K,MATCH($C834,Roster!$B:$B,0))&amp;""),"—"))</f>
        <v/>
      </c>
      <c r="M834" s="27" t="n"/>
      <c r="N834" s="27" t="n"/>
      <c r="O834" s="25">
        <f>IF($C834="","",IF($P834="","—",IF($P834="Valid (Pass)","Valid","Invalid")))</f>
        <v/>
      </c>
      <c r="P834" s="27" t="n"/>
      <c r="Q834" s="27" t="n"/>
      <c r="R834" s="27" t="n"/>
      <c r="S834" s="27" t="n"/>
      <c r="T834" s="25">
        <f>IF($C834="","",IF(OR(ISNUMBER(SEARCH("quick case",$P834)),ISNUMBER(SEARCH("quick case",$Q834))),"Yes","No"))</f>
        <v/>
      </c>
      <c r="U834" s="25">
        <f>IF($O834="Invalid",HYPERLINK("mailto:"&amp;$G834&amp;";"&amp;$I834&amp;"?cc="&amp;Lists!$E$2&amp;"&amp;subject="&amp;_xlfn.ENCODEURL("[INVALID] Quality audit monitoring completed for "&amp;UPPER($C834))&amp;"&amp;body="&amp;_xlfn.ENCODEURL("Hi "&amp;$F834&amp;","&amp;CHAR(10)&amp;"Good day!"&amp;CHAR(10)&amp;CHAR(10)&amp;"A quality monitoring audit has been completed for "&amp;$C834&amp;"."&amp;CHAR(10)&amp;CHAR(10)&amp;"QUALITY AUDIT DETAILS"&amp;CHAR(10)&amp;"Agent Name: "&amp;$C834&amp;" (EID "&amp;$D834&amp;")"&amp;CHAR(10)&amp;"Audit Date: "&amp;TEXT($B834,"yyyy-mm-dd")&amp;CHAR(10)&amp;"Team Leader: "&amp;$F834&amp;CHAR(10)&amp;"Case Number: "&amp;$M834&amp;CHAR(10)&amp;"Transaction ID: "&amp;$N834&amp;CHAR(10)&amp;"Channel / LOB: "&amp;$K834&amp;" / "&amp;$L834&amp;CHAR(10)&amp;"Evaluator: "&amp;$S834&amp;CHAR(10)&amp;CHAR(10)&amp;"INVALID QUALITY AUDIT DETAILS"&amp;CHAR(10)&amp;"Validation: Invalid"&amp;CHAR(10)&amp;"Invalid Reason: "&amp;$P834&amp;CHAR(10)&amp;"Expected Resolution Code: "&amp;$Q834&amp;CHAR(10)&amp;"Remarks: "&amp;LEFT($R834,600)&amp;CHAR(10)&amp;CHAR(10)&amp;"This is an automated notification from HP Mainstream EQMS."),"✉ Open Email Draft"),"")</f>
        <v/>
      </c>
    </row>
    <row r="835">
      <c r="A835" s="25">
        <f>IF($C835="","","AUD-2026-"&amp;TEXT(ROW()-1,"000000"))</f>
        <v/>
      </c>
      <c r="B835" s="26" t="n"/>
      <c r="C835" s="27" t="n"/>
      <c r="D835" s="25">
        <f>IF($C835="","",IFERROR(IF(INDEX(Roster!$A:$A,MATCH($C835,Roster!$B:$B,0))="","",INDEX(Roster!$A:$A,MATCH($C835,Roster!$B:$B,0))&amp;""),"—"))</f>
        <v/>
      </c>
      <c r="E835" s="25">
        <f>IF($C835="","",IFERROR(IF(INDEX(Roster!$C:$C,MATCH($C835,Roster!$B:$B,0))="","",INDEX(Roster!$C:$C,MATCH($C835,Roster!$B:$B,0))&amp;""),"—"))</f>
        <v/>
      </c>
      <c r="F835" s="25">
        <f>IF($C835="","",IFERROR(IF(INDEX(Roster!$D:$D,MATCH($C835,Roster!$B:$B,0))="","",INDEX(Roster!$D:$D,MATCH($C835,Roster!$B:$B,0))&amp;""),"—"))</f>
        <v/>
      </c>
      <c r="G835" s="25">
        <f>IF($C835="","",IFERROR(IF(INDEX(Roster!$E:$E,MATCH($C835,Roster!$B:$B,0))="","",INDEX(Roster!$E:$E,MATCH($C835,Roster!$B:$B,0))&amp;""),"—"))</f>
        <v/>
      </c>
      <c r="H835" s="25">
        <f>IF($C835="","",IFERROR(IF(INDEX(Roster!$F:$F,MATCH($C835,Roster!$B:$B,0))="","",INDEX(Roster!$F:$F,MATCH($C835,Roster!$B:$B,0))&amp;""),"—"))</f>
        <v/>
      </c>
      <c r="I835" s="25">
        <f>IF($C835="","",IFERROR(IF(INDEX(Roster!$G:$G,MATCH($C835,Roster!$B:$B,0))="","",INDEX(Roster!$G:$G,MATCH($C835,Roster!$B:$B,0))&amp;""),"—"))</f>
        <v/>
      </c>
      <c r="J835" s="25">
        <f>IF($C835="","",IFERROR(IF(INDEX(Roster!$I:$I,MATCH($C835,Roster!$B:$B,0))="","",INDEX(Roster!$I:$I,MATCH($C835,Roster!$B:$B,0))&amp;""),"—"))</f>
        <v/>
      </c>
      <c r="K835">
        <f>IF($C835="","",IFERROR(IF(INDEX(Roster!$J:$J,MATCH($C835,Roster!$B:$B,0))="","",INDEX(Roster!$J:$J,MATCH($C835,Roster!$B:$B,0))&amp;""),"—"))</f>
        <v/>
      </c>
      <c r="L835">
        <f>IF($C835="","",IFERROR(IF(INDEX(Roster!$K:$K,MATCH($C835,Roster!$B:$B,0))="","",INDEX(Roster!$K:$K,MATCH($C835,Roster!$B:$B,0))&amp;""),"—"))</f>
        <v/>
      </c>
      <c r="M835" s="27" t="n"/>
      <c r="N835" s="27" t="n"/>
      <c r="O835" s="25">
        <f>IF($C835="","",IF($P835="","—",IF($P835="Valid (Pass)","Valid","Invalid")))</f>
        <v/>
      </c>
      <c r="P835" s="27" t="n"/>
      <c r="Q835" s="27" t="n"/>
      <c r="R835" s="27" t="n"/>
      <c r="S835" s="27" t="n"/>
      <c r="T835" s="25">
        <f>IF($C835="","",IF(OR(ISNUMBER(SEARCH("quick case",$P835)),ISNUMBER(SEARCH("quick case",$Q835))),"Yes","No"))</f>
        <v/>
      </c>
      <c r="U835" s="25">
        <f>IF($O835="Invalid",HYPERLINK("mailto:"&amp;$G835&amp;";"&amp;$I835&amp;"?cc="&amp;Lists!$E$2&amp;"&amp;subject="&amp;_xlfn.ENCODEURL("[INVALID] Quality audit monitoring completed for "&amp;UPPER($C835))&amp;"&amp;body="&amp;_xlfn.ENCODEURL("Hi "&amp;$F835&amp;","&amp;CHAR(10)&amp;"Good day!"&amp;CHAR(10)&amp;CHAR(10)&amp;"A quality monitoring audit has been completed for "&amp;$C835&amp;"."&amp;CHAR(10)&amp;CHAR(10)&amp;"QUALITY AUDIT DETAILS"&amp;CHAR(10)&amp;"Agent Name: "&amp;$C835&amp;" (EID "&amp;$D835&amp;")"&amp;CHAR(10)&amp;"Audit Date: "&amp;TEXT($B835,"yyyy-mm-dd")&amp;CHAR(10)&amp;"Team Leader: "&amp;$F835&amp;CHAR(10)&amp;"Case Number: "&amp;$M835&amp;CHAR(10)&amp;"Transaction ID: "&amp;$N835&amp;CHAR(10)&amp;"Channel / LOB: "&amp;$K835&amp;" / "&amp;$L835&amp;CHAR(10)&amp;"Evaluator: "&amp;$S835&amp;CHAR(10)&amp;CHAR(10)&amp;"INVALID QUALITY AUDIT DETAILS"&amp;CHAR(10)&amp;"Validation: Invalid"&amp;CHAR(10)&amp;"Invalid Reason: "&amp;$P835&amp;CHAR(10)&amp;"Expected Resolution Code: "&amp;$Q835&amp;CHAR(10)&amp;"Remarks: "&amp;LEFT($R835,600)&amp;CHAR(10)&amp;CHAR(10)&amp;"This is an automated notification from HP Mainstream EQMS."),"✉ Open Email Draft"),"")</f>
        <v/>
      </c>
    </row>
    <row r="836">
      <c r="A836" s="25">
        <f>IF($C836="","","AUD-2026-"&amp;TEXT(ROW()-1,"000000"))</f>
        <v/>
      </c>
      <c r="B836" s="26" t="n"/>
      <c r="C836" s="27" t="n"/>
      <c r="D836" s="25">
        <f>IF($C836="","",IFERROR(IF(INDEX(Roster!$A:$A,MATCH($C836,Roster!$B:$B,0))="","",INDEX(Roster!$A:$A,MATCH($C836,Roster!$B:$B,0))&amp;""),"—"))</f>
        <v/>
      </c>
      <c r="E836" s="25">
        <f>IF($C836="","",IFERROR(IF(INDEX(Roster!$C:$C,MATCH($C836,Roster!$B:$B,0))="","",INDEX(Roster!$C:$C,MATCH($C836,Roster!$B:$B,0))&amp;""),"—"))</f>
        <v/>
      </c>
      <c r="F836" s="25">
        <f>IF($C836="","",IFERROR(IF(INDEX(Roster!$D:$D,MATCH($C836,Roster!$B:$B,0))="","",INDEX(Roster!$D:$D,MATCH($C836,Roster!$B:$B,0))&amp;""),"—"))</f>
        <v/>
      </c>
      <c r="G836" s="25">
        <f>IF($C836="","",IFERROR(IF(INDEX(Roster!$E:$E,MATCH($C836,Roster!$B:$B,0))="","",INDEX(Roster!$E:$E,MATCH($C836,Roster!$B:$B,0))&amp;""),"—"))</f>
        <v/>
      </c>
      <c r="H836" s="25">
        <f>IF($C836="","",IFERROR(IF(INDEX(Roster!$F:$F,MATCH($C836,Roster!$B:$B,0))="","",INDEX(Roster!$F:$F,MATCH($C836,Roster!$B:$B,0))&amp;""),"—"))</f>
        <v/>
      </c>
      <c r="I836" s="25">
        <f>IF($C836="","",IFERROR(IF(INDEX(Roster!$G:$G,MATCH($C836,Roster!$B:$B,0))="","",INDEX(Roster!$G:$G,MATCH($C836,Roster!$B:$B,0))&amp;""),"—"))</f>
        <v/>
      </c>
      <c r="J836" s="25">
        <f>IF($C836="","",IFERROR(IF(INDEX(Roster!$I:$I,MATCH($C836,Roster!$B:$B,0))="","",INDEX(Roster!$I:$I,MATCH($C836,Roster!$B:$B,0))&amp;""),"—"))</f>
        <v/>
      </c>
      <c r="K836">
        <f>IF($C836="","",IFERROR(IF(INDEX(Roster!$J:$J,MATCH($C836,Roster!$B:$B,0))="","",INDEX(Roster!$J:$J,MATCH($C836,Roster!$B:$B,0))&amp;""),"—"))</f>
        <v/>
      </c>
      <c r="L836">
        <f>IF($C836="","",IFERROR(IF(INDEX(Roster!$K:$K,MATCH($C836,Roster!$B:$B,0))="","",INDEX(Roster!$K:$K,MATCH($C836,Roster!$B:$B,0))&amp;""),"—"))</f>
        <v/>
      </c>
      <c r="M836" s="27" t="n"/>
      <c r="N836" s="27" t="n"/>
      <c r="O836" s="25">
        <f>IF($C836="","",IF($P836="","—",IF($P836="Valid (Pass)","Valid","Invalid")))</f>
        <v/>
      </c>
      <c r="P836" s="27" t="n"/>
      <c r="Q836" s="27" t="n"/>
      <c r="R836" s="27" t="n"/>
      <c r="S836" s="27" t="n"/>
      <c r="T836" s="25">
        <f>IF($C836="","",IF(OR(ISNUMBER(SEARCH("quick case",$P836)),ISNUMBER(SEARCH("quick case",$Q836))),"Yes","No"))</f>
        <v/>
      </c>
      <c r="U836" s="25">
        <f>IF($O836="Invalid",HYPERLINK("mailto:"&amp;$G836&amp;";"&amp;$I836&amp;"?cc="&amp;Lists!$E$2&amp;"&amp;subject="&amp;_xlfn.ENCODEURL("[INVALID] Quality audit monitoring completed for "&amp;UPPER($C836))&amp;"&amp;body="&amp;_xlfn.ENCODEURL("Hi "&amp;$F836&amp;","&amp;CHAR(10)&amp;"Good day!"&amp;CHAR(10)&amp;CHAR(10)&amp;"A quality monitoring audit has been completed for "&amp;$C836&amp;"."&amp;CHAR(10)&amp;CHAR(10)&amp;"QUALITY AUDIT DETAILS"&amp;CHAR(10)&amp;"Agent Name: "&amp;$C836&amp;" (EID "&amp;$D836&amp;")"&amp;CHAR(10)&amp;"Audit Date: "&amp;TEXT($B836,"yyyy-mm-dd")&amp;CHAR(10)&amp;"Team Leader: "&amp;$F836&amp;CHAR(10)&amp;"Case Number: "&amp;$M836&amp;CHAR(10)&amp;"Transaction ID: "&amp;$N836&amp;CHAR(10)&amp;"Channel / LOB: "&amp;$K836&amp;" / "&amp;$L836&amp;CHAR(10)&amp;"Evaluator: "&amp;$S836&amp;CHAR(10)&amp;CHAR(10)&amp;"INVALID QUALITY AUDIT DETAILS"&amp;CHAR(10)&amp;"Validation: Invalid"&amp;CHAR(10)&amp;"Invalid Reason: "&amp;$P836&amp;CHAR(10)&amp;"Expected Resolution Code: "&amp;$Q836&amp;CHAR(10)&amp;"Remarks: "&amp;LEFT($R836,600)&amp;CHAR(10)&amp;CHAR(10)&amp;"This is an automated notification from HP Mainstream EQMS."),"✉ Open Email Draft"),"")</f>
        <v/>
      </c>
    </row>
    <row r="837">
      <c r="A837" s="25">
        <f>IF($C837="","","AUD-2026-"&amp;TEXT(ROW()-1,"000000"))</f>
        <v/>
      </c>
      <c r="B837" s="26" t="n"/>
      <c r="C837" s="27" t="n"/>
      <c r="D837" s="25">
        <f>IF($C837="","",IFERROR(IF(INDEX(Roster!$A:$A,MATCH($C837,Roster!$B:$B,0))="","",INDEX(Roster!$A:$A,MATCH($C837,Roster!$B:$B,0))&amp;""),"—"))</f>
        <v/>
      </c>
      <c r="E837" s="25">
        <f>IF($C837="","",IFERROR(IF(INDEX(Roster!$C:$C,MATCH($C837,Roster!$B:$B,0))="","",INDEX(Roster!$C:$C,MATCH($C837,Roster!$B:$B,0))&amp;""),"—"))</f>
        <v/>
      </c>
      <c r="F837" s="25">
        <f>IF($C837="","",IFERROR(IF(INDEX(Roster!$D:$D,MATCH($C837,Roster!$B:$B,0))="","",INDEX(Roster!$D:$D,MATCH($C837,Roster!$B:$B,0))&amp;""),"—"))</f>
        <v/>
      </c>
      <c r="G837" s="25">
        <f>IF($C837="","",IFERROR(IF(INDEX(Roster!$E:$E,MATCH($C837,Roster!$B:$B,0))="","",INDEX(Roster!$E:$E,MATCH($C837,Roster!$B:$B,0))&amp;""),"—"))</f>
        <v/>
      </c>
      <c r="H837" s="25">
        <f>IF($C837="","",IFERROR(IF(INDEX(Roster!$F:$F,MATCH($C837,Roster!$B:$B,0))="","",INDEX(Roster!$F:$F,MATCH($C837,Roster!$B:$B,0))&amp;""),"—"))</f>
        <v/>
      </c>
      <c r="I837" s="25">
        <f>IF($C837="","",IFERROR(IF(INDEX(Roster!$G:$G,MATCH($C837,Roster!$B:$B,0))="","",INDEX(Roster!$G:$G,MATCH($C837,Roster!$B:$B,0))&amp;""),"—"))</f>
        <v/>
      </c>
      <c r="J837" s="25">
        <f>IF($C837="","",IFERROR(IF(INDEX(Roster!$I:$I,MATCH($C837,Roster!$B:$B,0))="","",INDEX(Roster!$I:$I,MATCH($C837,Roster!$B:$B,0))&amp;""),"—"))</f>
        <v/>
      </c>
      <c r="K837">
        <f>IF($C837="","",IFERROR(IF(INDEX(Roster!$J:$J,MATCH($C837,Roster!$B:$B,0))="","",INDEX(Roster!$J:$J,MATCH($C837,Roster!$B:$B,0))&amp;""),"—"))</f>
        <v/>
      </c>
      <c r="L837">
        <f>IF($C837="","",IFERROR(IF(INDEX(Roster!$K:$K,MATCH($C837,Roster!$B:$B,0))="","",INDEX(Roster!$K:$K,MATCH($C837,Roster!$B:$B,0))&amp;""),"—"))</f>
        <v/>
      </c>
      <c r="M837" s="27" t="n"/>
      <c r="N837" s="27" t="n"/>
      <c r="O837" s="25">
        <f>IF($C837="","",IF($P837="","—",IF($P837="Valid (Pass)","Valid","Invalid")))</f>
        <v/>
      </c>
      <c r="P837" s="27" t="n"/>
      <c r="Q837" s="27" t="n"/>
      <c r="R837" s="27" t="n"/>
      <c r="S837" s="27" t="n"/>
      <c r="T837" s="25">
        <f>IF($C837="","",IF(OR(ISNUMBER(SEARCH("quick case",$P837)),ISNUMBER(SEARCH("quick case",$Q837))),"Yes","No"))</f>
        <v/>
      </c>
      <c r="U837" s="25">
        <f>IF($O837="Invalid",HYPERLINK("mailto:"&amp;$G837&amp;";"&amp;$I837&amp;"?cc="&amp;Lists!$E$2&amp;"&amp;subject="&amp;_xlfn.ENCODEURL("[INVALID] Quality audit monitoring completed for "&amp;UPPER($C837))&amp;"&amp;body="&amp;_xlfn.ENCODEURL("Hi "&amp;$F837&amp;","&amp;CHAR(10)&amp;"Good day!"&amp;CHAR(10)&amp;CHAR(10)&amp;"A quality monitoring audit has been completed for "&amp;$C837&amp;"."&amp;CHAR(10)&amp;CHAR(10)&amp;"QUALITY AUDIT DETAILS"&amp;CHAR(10)&amp;"Agent Name: "&amp;$C837&amp;" (EID "&amp;$D837&amp;")"&amp;CHAR(10)&amp;"Audit Date: "&amp;TEXT($B837,"yyyy-mm-dd")&amp;CHAR(10)&amp;"Team Leader: "&amp;$F837&amp;CHAR(10)&amp;"Case Number: "&amp;$M837&amp;CHAR(10)&amp;"Transaction ID: "&amp;$N837&amp;CHAR(10)&amp;"Channel / LOB: "&amp;$K837&amp;" / "&amp;$L837&amp;CHAR(10)&amp;"Evaluator: "&amp;$S837&amp;CHAR(10)&amp;CHAR(10)&amp;"INVALID QUALITY AUDIT DETAILS"&amp;CHAR(10)&amp;"Validation: Invalid"&amp;CHAR(10)&amp;"Invalid Reason: "&amp;$P837&amp;CHAR(10)&amp;"Expected Resolution Code: "&amp;$Q837&amp;CHAR(10)&amp;"Remarks: "&amp;LEFT($R837,600)&amp;CHAR(10)&amp;CHAR(10)&amp;"This is an automated notification from HP Mainstream EQMS."),"✉ Open Email Draft"),"")</f>
        <v/>
      </c>
    </row>
    <row r="838">
      <c r="A838" s="25">
        <f>IF($C838="","","AUD-2026-"&amp;TEXT(ROW()-1,"000000"))</f>
        <v/>
      </c>
      <c r="B838" s="26" t="n"/>
      <c r="C838" s="27" t="n"/>
      <c r="D838" s="25">
        <f>IF($C838="","",IFERROR(IF(INDEX(Roster!$A:$A,MATCH($C838,Roster!$B:$B,0))="","",INDEX(Roster!$A:$A,MATCH($C838,Roster!$B:$B,0))&amp;""),"—"))</f>
        <v/>
      </c>
      <c r="E838" s="25">
        <f>IF($C838="","",IFERROR(IF(INDEX(Roster!$C:$C,MATCH($C838,Roster!$B:$B,0))="","",INDEX(Roster!$C:$C,MATCH($C838,Roster!$B:$B,0))&amp;""),"—"))</f>
        <v/>
      </c>
      <c r="F838" s="25">
        <f>IF($C838="","",IFERROR(IF(INDEX(Roster!$D:$D,MATCH($C838,Roster!$B:$B,0))="","",INDEX(Roster!$D:$D,MATCH($C838,Roster!$B:$B,0))&amp;""),"—"))</f>
        <v/>
      </c>
      <c r="G838" s="25">
        <f>IF($C838="","",IFERROR(IF(INDEX(Roster!$E:$E,MATCH($C838,Roster!$B:$B,0))="","",INDEX(Roster!$E:$E,MATCH($C838,Roster!$B:$B,0))&amp;""),"—"))</f>
        <v/>
      </c>
      <c r="H838" s="25">
        <f>IF($C838="","",IFERROR(IF(INDEX(Roster!$F:$F,MATCH($C838,Roster!$B:$B,0))="","",INDEX(Roster!$F:$F,MATCH($C838,Roster!$B:$B,0))&amp;""),"—"))</f>
        <v/>
      </c>
      <c r="I838" s="25">
        <f>IF($C838="","",IFERROR(IF(INDEX(Roster!$G:$G,MATCH($C838,Roster!$B:$B,0))="","",INDEX(Roster!$G:$G,MATCH($C838,Roster!$B:$B,0))&amp;""),"—"))</f>
        <v/>
      </c>
      <c r="J838" s="25">
        <f>IF($C838="","",IFERROR(IF(INDEX(Roster!$I:$I,MATCH($C838,Roster!$B:$B,0))="","",INDEX(Roster!$I:$I,MATCH($C838,Roster!$B:$B,0))&amp;""),"—"))</f>
        <v/>
      </c>
      <c r="K838">
        <f>IF($C838="","",IFERROR(IF(INDEX(Roster!$J:$J,MATCH($C838,Roster!$B:$B,0))="","",INDEX(Roster!$J:$J,MATCH($C838,Roster!$B:$B,0))&amp;""),"—"))</f>
        <v/>
      </c>
      <c r="L838">
        <f>IF($C838="","",IFERROR(IF(INDEX(Roster!$K:$K,MATCH($C838,Roster!$B:$B,0))="","",INDEX(Roster!$K:$K,MATCH($C838,Roster!$B:$B,0))&amp;""),"—"))</f>
        <v/>
      </c>
      <c r="M838" s="27" t="n"/>
      <c r="N838" s="27" t="n"/>
      <c r="O838" s="25">
        <f>IF($C838="","",IF($P838="","—",IF($P838="Valid (Pass)","Valid","Invalid")))</f>
        <v/>
      </c>
      <c r="P838" s="27" t="n"/>
      <c r="Q838" s="27" t="n"/>
      <c r="R838" s="27" t="n"/>
      <c r="S838" s="27" t="n"/>
      <c r="T838" s="25">
        <f>IF($C838="","",IF(OR(ISNUMBER(SEARCH("quick case",$P838)),ISNUMBER(SEARCH("quick case",$Q838))),"Yes","No"))</f>
        <v/>
      </c>
      <c r="U838" s="25">
        <f>IF($O838="Invalid",HYPERLINK("mailto:"&amp;$G838&amp;";"&amp;$I838&amp;"?cc="&amp;Lists!$E$2&amp;"&amp;subject="&amp;_xlfn.ENCODEURL("[INVALID] Quality audit monitoring completed for "&amp;UPPER($C838))&amp;"&amp;body="&amp;_xlfn.ENCODEURL("Hi "&amp;$F838&amp;","&amp;CHAR(10)&amp;"Good day!"&amp;CHAR(10)&amp;CHAR(10)&amp;"A quality monitoring audit has been completed for "&amp;$C838&amp;"."&amp;CHAR(10)&amp;CHAR(10)&amp;"QUALITY AUDIT DETAILS"&amp;CHAR(10)&amp;"Agent Name: "&amp;$C838&amp;" (EID "&amp;$D838&amp;")"&amp;CHAR(10)&amp;"Audit Date: "&amp;TEXT($B838,"yyyy-mm-dd")&amp;CHAR(10)&amp;"Team Leader: "&amp;$F838&amp;CHAR(10)&amp;"Case Number: "&amp;$M838&amp;CHAR(10)&amp;"Transaction ID: "&amp;$N838&amp;CHAR(10)&amp;"Channel / LOB: "&amp;$K838&amp;" / "&amp;$L838&amp;CHAR(10)&amp;"Evaluator: "&amp;$S838&amp;CHAR(10)&amp;CHAR(10)&amp;"INVALID QUALITY AUDIT DETAILS"&amp;CHAR(10)&amp;"Validation: Invalid"&amp;CHAR(10)&amp;"Invalid Reason: "&amp;$P838&amp;CHAR(10)&amp;"Expected Resolution Code: "&amp;$Q838&amp;CHAR(10)&amp;"Remarks: "&amp;LEFT($R838,600)&amp;CHAR(10)&amp;CHAR(10)&amp;"This is an automated notification from HP Mainstream EQMS."),"✉ Open Email Draft"),"")</f>
        <v/>
      </c>
    </row>
    <row r="839">
      <c r="A839" s="25">
        <f>IF($C839="","","AUD-2026-"&amp;TEXT(ROW()-1,"000000"))</f>
        <v/>
      </c>
      <c r="B839" s="26" t="n"/>
      <c r="C839" s="27" t="n"/>
      <c r="D839" s="25">
        <f>IF($C839="","",IFERROR(IF(INDEX(Roster!$A:$A,MATCH($C839,Roster!$B:$B,0))="","",INDEX(Roster!$A:$A,MATCH($C839,Roster!$B:$B,0))&amp;""),"—"))</f>
        <v/>
      </c>
      <c r="E839" s="25">
        <f>IF($C839="","",IFERROR(IF(INDEX(Roster!$C:$C,MATCH($C839,Roster!$B:$B,0))="","",INDEX(Roster!$C:$C,MATCH($C839,Roster!$B:$B,0))&amp;""),"—"))</f>
        <v/>
      </c>
      <c r="F839" s="25">
        <f>IF($C839="","",IFERROR(IF(INDEX(Roster!$D:$D,MATCH($C839,Roster!$B:$B,0))="","",INDEX(Roster!$D:$D,MATCH($C839,Roster!$B:$B,0))&amp;""),"—"))</f>
        <v/>
      </c>
      <c r="G839" s="25">
        <f>IF($C839="","",IFERROR(IF(INDEX(Roster!$E:$E,MATCH($C839,Roster!$B:$B,0))="","",INDEX(Roster!$E:$E,MATCH($C839,Roster!$B:$B,0))&amp;""),"—"))</f>
        <v/>
      </c>
      <c r="H839" s="25">
        <f>IF($C839="","",IFERROR(IF(INDEX(Roster!$F:$F,MATCH($C839,Roster!$B:$B,0))="","",INDEX(Roster!$F:$F,MATCH($C839,Roster!$B:$B,0))&amp;""),"—"))</f>
        <v/>
      </c>
      <c r="I839" s="25">
        <f>IF($C839="","",IFERROR(IF(INDEX(Roster!$G:$G,MATCH($C839,Roster!$B:$B,0))="","",INDEX(Roster!$G:$G,MATCH($C839,Roster!$B:$B,0))&amp;""),"—"))</f>
        <v/>
      </c>
      <c r="J839" s="25">
        <f>IF($C839="","",IFERROR(IF(INDEX(Roster!$I:$I,MATCH($C839,Roster!$B:$B,0))="","",INDEX(Roster!$I:$I,MATCH($C839,Roster!$B:$B,0))&amp;""),"—"))</f>
        <v/>
      </c>
      <c r="K839">
        <f>IF($C839="","",IFERROR(IF(INDEX(Roster!$J:$J,MATCH($C839,Roster!$B:$B,0))="","",INDEX(Roster!$J:$J,MATCH($C839,Roster!$B:$B,0))&amp;""),"—"))</f>
        <v/>
      </c>
      <c r="L839">
        <f>IF($C839="","",IFERROR(IF(INDEX(Roster!$K:$K,MATCH($C839,Roster!$B:$B,0))="","",INDEX(Roster!$K:$K,MATCH($C839,Roster!$B:$B,0))&amp;""),"—"))</f>
        <v/>
      </c>
      <c r="M839" s="27" t="n"/>
      <c r="N839" s="27" t="n"/>
      <c r="O839" s="25">
        <f>IF($C839="","",IF($P839="","—",IF($P839="Valid (Pass)","Valid","Invalid")))</f>
        <v/>
      </c>
      <c r="P839" s="27" t="n"/>
      <c r="Q839" s="27" t="n"/>
      <c r="R839" s="27" t="n"/>
      <c r="S839" s="27" t="n"/>
      <c r="T839" s="25">
        <f>IF($C839="","",IF(OR(ISNUMBER(SEARCH("quick case",$P839)),ISNUMBER(SEARCH("quick case",$Q839))),"Yes","No"))</f>
        <v/>
      </c>
      <c r="U839" s="25">
        <f>IF($O839="Invalid",HYPERLINK("mailto:"&amp;$G839&amp;";"&amp;$I839&amp;"?cc="&amp;Lists!$E$2&amp;"&amp;subject="&amp;_xlfn.ENCODEURL("[INVALID] Quality audit monitoring completed for "&amp;UPPER($C839))&amp;"&amp;body="&amp;_xlfn.ENCODEURL("Hi "&amp;$F839&amp;","&amp;CHAR(10)&amp;"Good day!"&amp;CHAR(10)&amp;CHAR(10)&amp;"A quality monitoring audit has been completed for "&amp;$C839&amp;"."&amp;CHAR(10)&amp;CHAR(10)&amp;"QUALITY AUDIT DETAILS"&amp;CHAR(10)&amp;"Agent Name: "&amp;$C839&amp;" (EID "&amp;$D839&amp;")"&amp;CHAR(10)&amp;"Audit Date: "&amp;TEXT($B839,"yyyy-mm-dd")&amp;CHAR(10)&amp;"Team Leader: "&amp;$F839&amp;CHAR(10)&amp;"Case Number: "&amp;$M839&amp;CHAR(10)&amp;"Transaction ID: "&amp;$N839&amp;CHAR(10)&amp;"Channel / LOB: "&amp;$K839&amp;" / "&amp;$L839&amp;CHAR(10)&amp;"Evaluator: "&amp;$S839&amp;CHAR(10)&amp;CHAR(10)&amp;"INVALID QUALITY AUDIT DETAILS"&amp;CHAR(10)&amp;"Validation: Invalid"&amp;CHAR(10)&amp;"Invalid Reason: "&amp;$P839&amp;CHAR(10)&amp;"Expected Resolution Code: "&amp;$Q839&amp;CHAR(10)&amp;"Remarks: "&amp;LEFT($R839,600)&amp;CHAR(10)&amp;CHAR(10)&amp;"This is an automated notification from HP Mainstream EQMS."),"✉ Open Email Draft"),"")</f>
        <v/>
      </c>
    </row>
    <row r="840">
      <c r="A840" s="25">
        <f>IF($C840="","","AUD-2026-"&amp;TEXT(ROW()-1,"000000"))</f>
        <v/>
      </c>
      <c r="B840" s="26" t="n"/>
      <c r="C840" s="27" t="n"/>
      <c r="D840" s="25">
        <f>IF($C840="","",IFERROR(IF(INDEX(Roster!$A:$A,MATCH($C840,Roster!$B:$B,0))="","",INDEX(Roster!$A:$A,MATCH($C840,Roster!$B:$B,0))&amp;""),"—"))</f>
        <v/>
      </c>
      <c r="E840" s="25">
        <f>IF($C840="","",IFERROR(IF(INDEX(Roster!$C:$C,MATCH($C840,Roster!$B:$B,0))="","",INDEX(Roster!$C:$C,MATCH($C840,Roster!$B:$B,0))&amp;""),"—"))</f>
        <v/>
      </c>
      <c r="F840" s="25">
        <f>IF($C840="","",IFERROR(IF(INDEX(Roster!$D:$D,MATCH($C840,Roster!$B:$B,0))="","",INDEX(Roster!$D:$D,MATCH($C840,Roster!$B:$B,0))&amp;""),"—"))</f>
        <v/>
      </c>
      <c r="G840" s="25">
        <f>IF($C840="","",IFERROR(IF(INDEX(Roster!$E:$E,MATCH($C840,Roster!$B:$B,0))="","",INDEX(Roster!$E:$E,MATCH($C840,Roster!$B:$B,0))&amp;""),"—"))</f>
        <v/>
      </c>
      <c r="H840" s="25">
        <f>IF($C840="","",IFERROR(IF(INDEX(Roster!$F:$F,MATCH($C840,Roster!$B:$B,0))="","",INDEX(Roster!$F:$F,MATCH($C840,Roster!$B:$B,0))&amp;""),"—"))</f>
        <v/>
      </c>
      <c r="I840" s="25">
        <f>IF($C840="","",IFERROR(IF(INDEX(Roster!$G:$G,MATCH($C840,Roster!$B:$B,0))="","",INDEX(Roster!$G:$G,MATCH($C840,Roster!$B:$B,0))&amp;""),"—"))</f>
        <v/>
      </c>
      <c r="J840" s="25">
        <f>IF($C840="","",IFERROR(IF(INDEX(Roster!$I:$I,MATCH($C840,Roster!$B:$B,0))="","",INDEX(Roster!$I:$I,MATCH($C840,Roster!$B:$B,0))&amp;""),"—"))</f>
        <v/>
      </c>
      <c r="K840">
        <f>IF($C840="","",IFERROR(IF(INDEX(Roster!$J:$J,MATCH($C840,Roster!$B:$B,0))="","",INDEX(Roster!$J:$J,MATCH($C840,Roster!$B:$B,0))&amp;""),"—"))</f>
        <v/>
      </c>
      <c r="L840">
        <f>IF($C840="","",IFERROR(IF(INDEX(Roster!$K:$K,MATCH($C840,Roster!$B:$B,0))="","",INDEX(Roster!$K:$K,MATCH($C840,Roster!$B:$B,0))&amp;""),"—"))</f>
        <v/>
      </c>
      <c r="M840" s="27" t="n"/>
      <c r="N840" s="27" t="n"/>
      <c r="O840" s="25">
        <f>IF($C840="","",IF($P840="","—",IF($P840="Valid (Pass)","Valid","Invalid")))</f>
        <v/>
      </c>
      <c r="P840" s="27" t="n"/>
      <c r="Q840" s="27" t="n"/>
      <c r="R840" s="27" t="n"/>
      <c r="S840" s="27" t="n"/>
      <c r="T840" s="25">
        <f>IF($C840="","",IF(OR(ISNUMBER(SEARCH("quick case",$P840)),ISNUMBER(SEARCH("quick case",$Q840))),"Yes","No"))</f>
        <v/>
      </c>
      <c r="U840" s="25">
        <f>IF($O840="Invalid",HYPERLINK("mailto:"&amp;$G840&amp;";"&amp;$I840&amp;"?cc="&amp;Lists!$E$2&amp;"&amp;subject="&amp;_xlfn.ENCODEURL("[INVALID] Quality audit monitoring completed for "&amp;UPPER($C840))&amp;"&amp;body="&amp;_xlfn.ENCODEURL("Hi "&amp;$F840&amp;","&amp;CHAR(10)&amp;"Good day!"&amp;CHAR(10)&amp;CHAR(10)&amp;"A quality monitoring audit has been completed for "&amp;$C840&amp;"."&amp;CHAR(10)&amp;CHAR(10)&amp;"QUALITY AUDIT DETAILS"&amp;CHAR(10)&amp;"Agent Name: "&amp;$C840&amp;" (EID "&amp;$D840&amp;")"&amp;CHAR(10)&amp;"Audit Date: "&amp;TEXT($B840,"yyyy-mm-dd")&amp;CHAR(10)&amp;"Team Leader: "&amp;$F840&amp;CHAR(10)&amp;"Case Number: "&amp;$M840&amp;CHAR(10)&amp;"Transaction ID: "&amp;$N840&amp;CHAR(10)&amp;"Channel / LOB: "&amp;$K840&amp;" / "&amp;$L840&amp;CHAR(10)&amp;"Evaluator: "&amp;$S840&amp;CHAR(10)&amp;CHAR(10)&amp;"INVALID QUALITY AUDIT DETAILS"&amp;CHAR(10)&amp;"Validation: Invalid"&amp;CHAR(10)&amp;"Invalid Reason: "&amp;$P840&amp;CHAR(10)&amp;"Expected Resolution Code: "&amp;$Q840&amp;CHAR(10)&amp;"Remarks: "&amp;LEFT($R840,600)&amp;CHAR(10)&amp;CHAR(10)&amp;"This is an automated notification from HP Mainstream EQMS."),"✉ Open Email Draft"),"")</f>
        <v/>
      </c>
    </row>
    <row r="841">
      <c r="A841" s="25">
        <f>IF($C841="","","AUD-2026-"&amp;TEXT(ROW()-1,"000000"))</f>
        <v/>
      </c>
      <c r="B841" s="26" t="n"/>
      <c r="C841" s="27" t="n"/>
      <c r="D841" s="25">
        <f>IF($C841="","",IFERROR(IF(INDEX(Roster!$A:$A,MATCH($C841,Roster!$B:$B,0))="","",INDEX(Roster!$A:$A,MATCH($C841,Roster!$B:$B,0))&amp;""),"—"))</f>
        <v/>
      </c>
      <c r="E841" s="25">
        <f>IF($C841="","",IFERROR(IF(INDEX(Roster!$C:$C,MATCH($C841,Roster!$B:$B,0))="","",INDEX(Roster!$C:$C,MATCH($C841,Roster!$B:$B,0))&amp;""),"—"))</f>
        <v/>
      </c>
      <c r="F841" s="25">
        <f>IF($C841="","",IFERROR(IF(INDEX(Roster!$D:$D,MATCH($C841,Roster!$B:$B,0))="","",INDEX(Roster!$D:$D,MATCH($C841,Roster!$B:$B,0))&amp;""),"—"))</f>
        <v/>
      </c>
      <c r="G841" s="25">
        <f>IF($C841="","",IFERROR(IF(INDEX(Roster!$E:$E,MATCH($C841,Roster!$B:$B,0))="","",INDEX(Roster!$E:$E,MATCH($C841,Roster!$B:$B,0))&amp;""),"—"))</f>
        <v/>
      </c>
      <c r="H841" s="25">
        <f>IF($C841="","",IFERROR(IF(INDEX(Roster!$F:$F,MATCH($C841,Roster!$B:$B,0))="","",INDEX(Roster!$F:$F,MATCH($C841,Roster!$B:$B,0))&amp;""),"—"))</f>
        <v/>
      </c>
      <c r="I841" s="25">
        <f>IF($C841="","",IFERROR(IF(INDEX(Roster!$G:$G,MATCH($C841,Roster!$B:$B,0))="","",INDEX(Roster!$G:$G,MATCH($C841,Roster!$B:$B,0))&amp;""),"—"))</f>
        <v/>
      </c>
      <c r="J841" s="25">
        <f>IF($C841="","",IFERROR(IF(INDEX(Roster!$I:$I,MATCH($C841,Roster!$B:$B,0))="","",INDEX(Roster!$I:$I,MATCH($C841,Roster!$B:$B,0))&amp;""),"—"))</f>
        <v/>
      </c>
      <c r="K841">
        <f>IF($C841="","",IFERROR(IF(INDEX(Roster!$J:$J,MATCH($C841,Roster!$B:$B,0))="","",INDEX(Roster!$J:$J,MATCH($C841,Roster!$B:$B,0))&amp;""),"—"))</f>
        <v/>
      </c>
      <c r="L841">
        <f>IF($C841="","",IFERROR(IF(INDEX(Roster!$K:$K,MATCH($C841,Roster!$B:$B,0))="","",INDEX(Roster!$K:$K,MATCH($C841,Roster!$B:$B,0))&amp;""),"—"))</f>
        <v/>
      </c>
      <c r="M841" s="27" t="n"/>
      <c r="N841" s="27" t="n"/>
      <c r="O841" s="25">
        <f>IF($C841="","",IF($P841="","—",IF($P841="Valid (Pass)","Valid","Invalid")))</f>
        <v/>
      </c>
      <c r="P841" s="27" t="n"/>
      <c r="Q841" s="27" t="n"/>
      <c r="R841" s="27" t="n"/>
      <c r="S841" s="27" t="n"/>
      <c r="T841" s="25">
        <f>IF($C841="","",IF(OR(ISNUMBER(SEARCH("quick case",$P841)),ISNUMBER(SEARCH("quick case",$Q841))),"Yes","No"))</f>
        <v/>
      </c>
      <c r="U841" s="25">
        <f>IF($O841="Invalid",HYPERLINK("mailto:"&amp;$G841&amp;";"&amp;$I841&amp;"?cc="&amp;Lists!$E$2&amp;"&amp;subject="&amp;_xlfn.ENCODEURL("[INVALID] Quality audit monitoring completed for "&amp;UPPER($C841))&amp;"&amp;body="&amp;_xlfn.ENCODEURL("Hi "&amp;$F841&amp;","&amp;CHAR(10)&amp;"Good day!"&amp;CHAR(10)&amp;CHAR(10)&amp;"A quality monitoring audit has been completed for "&amp;$C841&amp;"."&amp;CHAR(10)&amp;CHAR(10)&amp;"QUALITY AUDIT DETAILS"&amp;CHAR(10)&amp;"Agent Name: "&amp;$C841&amp;" (EID "&amp;$D841&amp;")"&amp;CHAR(10)&amp;"Audit Date: "&amp;TEXT($B841,"yyyy-mm-dd")&amp;CHAR(10)&amp;"Team Leader: "&amp;$F841&amp;CHAR(10)&amp;"Case Number: "&amp;$M841&amp;CHAR(10)&amp;"Transaction ID: "&amp;$N841&amp;CHAR(10)&amp;"Channel / LOB: "&amp;$K841&amp;" / "&amp;$L841&amp;CHAR(10)&amp;"Evaluator: "&amp;$S841&amp;CHAR(10)&amp;CHAR(10)&amp;"INVALID QUALITY AUDIT DETAILS"&amp;CHAR(10)&amp;"Validation: Invalid"&amp;CHAR(10)&amp;"Invalid Reason: "&amp;$P841&amp;CHAR(10)&amp;"Expected Resolution Code: "&amp;$Q841&amp;CHAR(10)&amp;"Remarks: "&amp;LEFT($R841,600)&amp;CHAR(10)&amp;CHAR(10)&amp;"This is an automated notification from HP Mainstream EQMS."),"✉ Open Email Draft"),"")</f>
        <v/>
      </c>
    </row>
    <row r="842">
      <c r="A842" s="25">
        <f>IF($C842="","","AUD-2026-"&amp;TEXT(ROW()-1,"000000"))</f>
        <v/>
      </c>
      <c r="B842" s="26" t="n"/>
      <c r="C842" s="27" t="n"/>
      <c r="D842" s="25">
        <f>IF($C842="","",IFERROR(IF(INDEX(Roster!$A:$A,MATCH($C842,Roster!$B:$B,0))="","",INDEX(Roster!$A:$A,MATCH($C842,Roster!$B:$B,0))&amp;""),"—"))</f>
        <v/>
      </c>
      <c r="E842" s="25">
        <f>IF($C842="","",IFERROR(IF(INDEX(Roster!$C:$C,MATCH($C842,Roster!$B:$B,0))="","",INDEX(Roster!$C:$C,MATCH($C842,Roster!$B:$B,0))&amp;""),"—"))</f>
        <v/>
      </c>
      <c r="F842" s="25">
        <f>IF($C842="","",IFERROR(IF(INDEX(Roster!$D:$D,MATCH($C842,Roster!$B:$B,0))="","",INDEX(Roster!$D:$D,MATCH($C842,Roster!$B:$B,0))&amp;""),"—"))</f>
        <v/>
      </c>
      <c r="G842" s="25">
        <f>IF($C842="","",IFERROR(IF(INDEX(Roster!$E:$E,MATCH($C842,Roster!$B:$B,0))="","",INDEX(Roster!$E:$E,MATCH($C842,Roster!$B:$B,0))&amp;""),"—"))</f>
        <v/>
      </c>
      <c r="H842" s="25">
        <f>IF($C842="","",IFERROR(IF(INDEX(Roster!$F:$F,MATCH($C842,Roster!$B:$B,0))="","",INDEX(Roster!$F:$F,MATCH($C842,Roster!$B:$B,0))&amp;""),"—"))</f>
        <v/>
      </c>
      <c r="I842" s="25">
        <f>IF($C842="","",IFERROR(IF(INDEX(Roster!$G:$G,MATCH($C842,Roster!$B:$B,0))="","",INDEX(Roster!$G:$G,MATCH($C842,Roster!$B:$B,0))&amp;""),"—"))</f>
        <v/>
      </c>
      <c r="J842" s="25">
        <f>IF($C842="","",IFERROR(IF(INDEX(Roster!$I:$I,MATCH($C842,Roster!$B:$B,0))="","",INDEX(Roster!$I:$I,MATCH($C842,Roster!$B:$B,0))&amp;""),"—"))</f>
        <v/>
      </c>
      <c r="K842">
        <f>IF($C842="","",IFERROR(IF(INDEX(Roster!$J:$J,MATCH($C842,Roster!$B:$B,0))="","",INDEX(Roster!$J:$J,MATCH($C842,Roster!$B:$B,0))&amp;""),"—"))</f>
        <v/>
      </c>
      <c r="L842">
        <f>IF($C842="","",IFERROR(IF(INDEX(Roster!$K:$K,MATCH($C842,Roster!$B:$B,0))="","",INDEX(Roster!$K:$K,MATCH($C842,Roster!$B:$B,0))&amp;""),"—"))</f>
        <v/>
      </c>
      <c r="M842" s="27" t="n"/>
      <c r="N842" s="27" t="n"/>
      <c r="O842" s="25">
        <f>IF($C842="","",IF($P842="","—",IF($P842="Valid (Pass)","Valid","Invalid")))</f>
        <v/>
      </c>
      <c r="P842" s="27" t="n"/>
      <c r="Q842" s="27" t="n"/>
      <c r="R842" s="27" t="n"/>
      <c r="S842" s="27" t="n"/>
      <c r="T842" s="25">
        <f>IF($C842="","",IF(OR(ISNUMBER(SEARCH("quick case",$P842)),ISNUMBER(SEARCH("quick case",$Q842))),"Yes","No"))</f>
        <v/>
      </c>
      <c r="U842" s="25">
        <f>IF($O842="Invalid",HYPERLINK("mailto:"&amp;$G842&amp;";"&amp;$I842&amp;"?cc="&amp;Lists!$E$2&amp;"&amp;subject="&amp;_xlfn.ENCODEURL("[INVALID] Quality audit monitoring completed for "&amp;UPPER($C842))&amp;"&amp;body="&amp;_xlfn.ENCODEURL("Hi "&amp;$F842&amp;","&amp;CHAR(10)&amp;"Good day!"&amp;CHAR(10)&amp;CHAR(10)&amp;"A quality monitoring audit has been completed for "&amp;$C842&amp;"."&amp;CHAR(10)&amp;CHAR(10)&amp;"QUALITY AUDIT DETAILS"&amp;CHAR(10)&amp;"Agent Name: "&amp;$C842&amp;" (EID "&amp;$D842&amp;")"&amp;CHAR(10)&amp;"Audit Date: "&amp;TEXT($B842,"yyyy-mm-dd")&amp;CHAR(10)&amp;"Team Leader: "&amp;$F842&amp;CHAR(10)&amp;"Case Number: "&amp;$M842&amp;CHAR(10)&amp;"Transaction ID: "&amp;$N842&amp;CHAR(10)&amp;"Channel / LOB: "&amp;$K842&amp;" / "&amp;$L842&amp;CHAR(10)&amp;"Evaluator: "&amp;$S842&amp;CHAR(10)&amp;CHAR(10)&amp;"INVALID QUALITY AUDIT DETAILS"&amp;CHAR(10)&amp;"Validation: Invalid"&amp;CHAR(10)&amp;"Invalid Reason: "&amp;$P842&amp;CHAR(10)&amp;"Expected Resolution Code: "&amp;$Q842&amp;CHAR(10)&amp;"Remarks: "&amp;LEFT($R842,600)&amp;CHAR(10)&amp;CHAR(10)&amp;"This is an automated notification from HP Mainstream EQMS."),"✉ Open Email Draft"),"")</f>
        <v/>
      </c>
    </row>
    <row r="843">
      <c r="A843" s="25">
        <f>IF($C843="","","AUD-2026-"&amp;TEXT(ROW()-1,"000000"))</f>
        <v/>
      </c>
      <c r="B843" s="26" t="n"/>
      <c r="C843" s="27" t="n"/>
      <c r="D843" s="25">
        <f>IF($C843="","",IFERROR(IF(INDEX(Roster!$A:$A,MATCH($C843,Roster!$B:$B,0))="","",INDEX(Roster!$A:$A,MATCH($C843,Roster!$B:$B,0))&amp;""),"—"))</f>
        <v/>
      </c>
      <c r="E843" s="25">
        <f>IF($C843="","",IFERROR(IF(INDEX(Roster!$C:$C,MATCH($C843,Roster!$B:$B,0))="","",INDEX(Roster!$C:$C,MATCH($C843,Roster!$B:$B,0))&amp;""),"—"))</f>
        <v/>
      </c>
      <c r="F843" s="25">
        <f>IF($C843="","",IFERROR(IF(INDEX(Roster!$D:$D,MATCH($C843,Roster!$B:$B,0))="","",INDEX(Roster!$D:$D,MATCH($C843,Roster!$B:$B,0))&amp;""),"—"))</f>
        <v/>
      </c>
      <c r="G843" s="25">
        <f>IF($C843="","",IFERROR(IF(INDEX(Roster!$E:$E,MATCH($C843,Roster!$B:$B,0))="","",INDEX(Roster!$E:$E,MATCH($C843,Roster!$B:$B,0))&amp;""),"—"))</f>
        <v/>
      </c>
      <c r="H843" s="25">
        <f>IF($C843="","",IFERROR(IF(INDEX(Roster!$F:$F,MATCH($C843,Roster!$B:$B,0))="","",INDEX(Roster!$F:$F,MATCH($C843,Roster!$B:$B,0))&amp;""),"—"))</f>
        <v/>
      </c>
      <c r="I843" s="25">
        <f>IF($C843="","",IFERROR(IF(INDEX(Roster!$G:$G,MATCH($C843,Roster!$B:$B,0))="","",INDEX(Roster!$G:$G,MATCH($C843,Roster!$B:$B,0))&amp;""),"—"))</f>
        <v/>
      </c>
      <c r="J843" s="25">
        <f>IF($C843="","",IFERROR(IF(INDEX(Roster!$I:$I,MATCH($C843,Roster!$B:$B,0))="","",INDEX(Roster!$I:$I,MATCH($C843,Roster!$B:$B,0))&amp;""),"—"))</f>
        <v/>
      </c>
      <c r="K843">
        <f>IF($C843="","",IFERROR(IF(INDEX(Roster!$J:$J,MATCH($C843,Roster!$B:$B,0))="","",INDEX(Roster!$J:$J,MATCH($C843,Roster!$B:$B,0))&amp;""),"—"))</f>
        <v/>
      </c>
      <c r="L843">
        <f>IF($C843="","",IFERROR(IF(INDEX(Roster!$K:$K,MATCH($C843,Roster!$B:$B,0))="","",INDEX(Roster!$K:$K,MATCH($C843,Roster!$B:$B,0))&amp;""),"—"))</f>
        <v/>
      </c>
      <c r="M843" s="27" t="n"/>
      <c r="N843" s="27" t="n"/>
      <c r="O843" s="25">
        <f>IF($C843="","",IF($P843="","—",IF($P843="Valid (Pass)","Valid","Invalid")))</f>
        <v/>
      </c>
      <c r="P843" s="27" t="n"/>
      <c r="Q843" s="27" t="n"/>
      <c r="R843" s="27" t="n"/>
      <c r="S843" s="27" t="n"/>
      <c r="T843" s="25">
        <f>IF($C843="","",IF(OR(ISNUMBER(SEARCH("quick case",$P843)),ISNUMBER(SEARCH("quick case",$Q843))),"Yes","No"))</f>
        <v/>
      </c>
      <c r="U843" s="25">
        <f>IF($O843="Invalid",HYPERLINK("mailto:"&amp;$G843&amp;";"&amp;$I843&amp;"?cc="&amp;Lists!$E$2&amp;"&amp;subject="&amp;_xlfn.ENCODEURL("[INVALID] Quality audit monitoring completed for "&amp;UPPER($C843))&amp;"&amp;body="&amp;_xlfn.ENCODEURL("Hi "&amp;$F843&amp;","&amp;CHAR(10)&amp;"Good day!"&amp;CHAR(10)&amp;CHAR(10)&amp;"A quality monitoring audit has been completed for "&amp;$C843&amp;"."&amp;CHAR(10)&amp;CHAR(10)&amp;"QUALITY AUDIT DETAILS"&amp;CHAR(10)&amp;"Agent Name: "&amp;$C843&amp;" (EID "&amp;$D843&amp;")"&amp;CHAR(10)&amp;"Audit Date: "&amp;TEXT($B843,"yyyy-mm-dd")&amp;CHAR(10)&amp;"Team Leader: "&amp;$F843&amp;CHAR(10)&amp;"Case Number: "&amp;$M843&amp;CHAR(10)&amp;"Transaction ID: "&amp;$N843&amp;CHAR(10)&amp;"Channel / LOB: "&amp;$K843&amp;" / "&amp;$L843&amp;CHAR(10)&amp;"Evaluator: "&amp;$S843&amp;CHAR(10)&amp;CHAR(10)&amp;"INVALID QUALITY AUDIT DETAILS"&amp;CHAR(10)&amp;"Validation: Invalid"&amp;CHAR(10)&amp;"Invalid Reason: "&amp;$P843&amp;CHAR(10)&amp;"Expected Resolution Code: "&amp;$Q843&amp;CHAR(10)&amp;"Remarks: "&amp;LEFT($R843,600)&amp;CHAR(10)&amp;CHAR(10)&amp;"This is an automated notification from HP Mainstream EQMS."),"✉ Open Email Draft"),"")</f>
        <v/>
      </c>
    </row>
    <row r="844">
      <c r="A844" s="25">
        <f>IF($C844="","","AUD-2026-"&amp;TEXT(ROW()-1,"000000"))</f>
        <v/>
      </c>
      <c r="B844" s="26" t="n"/>
      <c r="C844" s="27" t="n"/>
      <c r="D844" s="25">
        <f>IF($C844="","",IFERROR(IF(INDEX(Roster!$A:$A,MATCH($C844,Roster!$B:$B,0))="","",INDEX(Roster!$A:$A,MATCH($C844,Roster!$B:$B,0))&amp;""),"—"))</f>
        <v/>
      </c>
      <c r="E844" s="25">
        <f>IF($C844="","",IFERROR(IF(INDEX(Roster!$C:$C,MATCH($C844,Roster!$B:$B,0))="","",INDEX(Roster!$C:$C,MATCH($C844,Roster!$B:$B,0))&amp;""),"—"))</f>
        <v/>
      </c>
      <c r="F844" s="25">
        <f>IF($C844="","",IFERROR(IF(INDEX(Roster!$D:$D,MATCH($C844,Roster!$B:$B,0))="","",INDEX(Roster!$D:$D,MATCH($C844,Roster!$B:$B,0))&amp;""),"—"))</f>
        <v/>
      </c>
      <c r="G844" s="25">
        <f>IF($C844="","",IFERROR(IF(INDEX(Roster!$E:$E,MATCH($C844,Roster!$B:$B,0))="","",INDEX(Roster!$E:$E,MATCH($C844,Roster!$B:$B,0))&amp;""),"—"))</f>
        <v/>
      </c>
      <c r="H844" s="25">
        <f>IF($C844="","",IFERROR(IF(INDEX(Roster!$F:$F,MATCH($C844,Roster!$B:$B,0))="","",INDEX(Roster!$F:$F,MATCH($C844,Roster!$B:$B,0))&amp;""),"—"))</f>
        <v/>
      </c>
      <c r="I844" s="25">
        <f>IF($C844="","",IFERROR(IF(INDEX(Roster!$G:$G,MATCH($C844,Roster!$B:$B,0))="","",INDEX(Roster!$G:$G,MATCH($C844,Roster!$B:$B,0))&amp;""),"—"))</f>
        <v/>
      </c>
      <c r="J844" s="25">
        <f>IF($C844="","",IFERROR(IF(INDEX(Roster!$I:$I,MATCH($C844,Roster!$B:$B,0))="","",INDEX(Roster!$I:$I,MATCH($C844,Roster!$B:$B,0))&amp;""),"—"))</f>
        <v/>
      </c>
      <c r="K844">
        <f>IF($C844="","",IFERROR(IF(INDEX(Roster!$J:$J,MATCH($C844,Roster!$B:$B,0))="","",INDEX(Roster!$J:$J,MATCH($C844,Roster!$B:$B,0))&amp;""),"—"))</f>
        <v/>
      </c>
      <c r="L844">
        <f>IF($C844="","",IFERROR(IF(INDEX(Roster!$K:$K,MATCH($C844,Roster!$B:$B,0))="","",INDEX(Roster!$K:$K,MATCH($C844,Roster!$B:$B,0))&amp;""),"—"))</f>
        <v/>
      </c>
      <c r="M844" s="27" t="n"/>
      <c r="N844" s="27" t="n"/>
      <c r="O844" s="25">
        <f>IF($C844="","",IF($P844="","—",IF($P844="Valid (Pass)","Valid","Invalid")))</f>
        <v/>
      </c>
      <c r="P844" s="27" t="n"/>
      <c r="Q844" s="27" t="n"/>
      <c r="R844" s="27" t="n"/>
      <c r="S844" s="27" t="n"/>
      <c r="T844" s="25">
        <f>IF($C844="","",IF(OR(ISNUMBER(SEARCH("quick case",$P844)),ISNUMBER(SEARCH("quick case",$Q844))),"Yes","No"))</f>
        <v/>
      </c>
      <c r="U844" s="25">
        <f>IF($O844="Invalid",HYPERLINK("mailto:"&amp;$G844&amp;";"&amp;$I844&amp;"?cc="&amp;Lists!$E$2&amp;"&amp;subject="&amp;_xlfn.ENCODEURL("[INVALID] Quality audit monitoring completed for "&amp;UPPER($C844))&amp;"&amp;body="&amp;_xlfn.ENCODEURL("Hi "&amp;$F844&amp;","&amp;CHAR(10)&amp;"Good day!"&amp;CHAR(10)&amp;CHAR(10)&amp;"A quality monitoring audit has been completed for "&amp;$C844&amp;"."&amp;CHAR(10)&amp;CHAR(10)&amp;"QUALITY AUDIT DETAILS"&amp;CHAR(10)&amp;"Agent Name: "&amp;$C844&amp;" (EID "&amp;$D844&amp;")"&amp;CHAR(10)&amp;"Audit Date: "&amp;TEXT($B844,"yyyy-mm-dd")&amp;CHAR(10)&amp;"Team Leader: "&amp;$F844&amp;CHAR(10)&amp;"Case Number: "&amp;$M844&amp;CHAR(10)&amp;"Transaction ID: "&amp;$N844&amp;CHAR(10)&amp;"Channel / LOB: "&amp;$K844&amp;" / "&amp;$L844&amp;CHAR(10)&amp;"Evaluator: "&amp;$S844&amp;CHAR(10)&amp;CHAR(10)&amp;"INVALID QUALITY AUDIT DETAILS"&amp;CHAR(10)&amp;"Validation: Invalid"&amp;CHAR(10)&amp;"Invalid Reason: "&amp;$P844&amp;CHAR(10)&amp;"Expected Resolution Code: "&amp;$Q844&amp;CHAR(10)&amp;"Remarks: "&amp;LEFT($R844,600)&amp;CHAR(10)&amp;CHAR(10)&amp;"This is an automated notification from HP Mainstream EQMS."),"✉ Open Email Draft"),"")</f>
        <v/>
      </c>
    </row>
    <row r="845">
      <c r="A845" s="25">
        <f>IF($C845="","","AUD-2026-"&amp;TEXT(ROW()-1,"000000"))</f>
        <v/>
      </c>
      <c r="B845" s="26" t="n"/>
      <c r="C845" s="27" t="n"/>
      <c r="D845" s="25">
        <f>IF($C845="","",IFERROR(IF(INDEX(Roster!$A:$A,MATCH($C845,Roster!$B:$B,0))="","",INDEX(Roster!$A:$A,MATCH($C845,Roster!$B:$B,0))&amp;""),"—"))</f>
        <v/>
      </c>
      <c r="E845" s="25">
        <f>IF($C845="","",IFERROR(IF(INDEX(Roster!$C:$C,MATCH($C845,Roster!$B:$B,0))="","",INDEX(Roster!$C:$C,MATCH($C845,Roster!$B:$B,0))&amp;""),"—"))</f>
        <v/>
      </c>
      <c r="F845" s="25">
        <f>IF($C845="","",IFERROR(IF(INDEX(Roster!$D:$D,MATCH($C845,Roster!$B:$B,0))="","",INDEX(Roster!$D:$D,MATCH($C845,Roster!$B:$B,0))&amp;""),"—"))</f>
        <v/>
      </c>
      <c r="G845" s="25">
        <f>IF($C845="","",IFERROR(IF(INDEX(Roster!$E:$E,MATCH($C845,Roster!$B:$B,0))="","",INDEX(Roster!$E:$E,MATCH($C845,Roster!$B:$B,0))&amp;""),"—"))</f>
        <v/>
      </c>
      <c r="H845" s="25">
        <f>IF($C845="","",IFERROR(IF(INDEX(Roster!$F:$F,MATCH($C845,Roster!$B:$B,0))="","",INDEX(Roster!$F:$F,MATCH($C845,Roster!$B:$B,0))&amp;""),"—"))</f>
        <v/>
      </c>
      <c r="I845" s="25">
        <f>IF($C845="","",IFERROR(IF(INDEX(Roster!$G:$G,MATCH($C845,Roster!$B:$B,0))="","",INDEX(Roster!$G:$G,MATCH($C845,Roster!$B:$B,0))&amp;""),"—"))</f>
        <v/>
      </c>
      <c r="J845" s="25">
        <f>IF($C845="","",IFERROR(IF(INDEX(Roster!$I:$I,MATCH($C845,Roster!$B:$B,0))="","",INDEX(Roster!$I:$I,MATCH($C845,Roster!$B:$B,0))&amp;""),"—"))</f>
        <v/>
      </c>
      <c r="K845">
        <f>IF($C845="","",IFERROR(IF(INDEX(Roster!$J:$J,MATCH($C845,Roster!$B:$B,0))="","",INDEX(Roster!$J:$J,MATCH($C845,Roster!$B:$B,0))&amp;""),"—"))</f>
        <v/>
      </c>
      <c r="L845">
        <f>IF($C845="","",IFERROR(IF(INDEX(Roster!$K:$K,MATCH($C845,Roster!$B:$B,0))="","",INDEX(Roster!$K:$K,MATCH($C845,Roster!$B:$B,0))&amp;""),"—"))</f>
        <v/>
      </c>
      <c r="M845" s="27" t="n"/>
      <c r="N845" s="27" t="n"/>
      <c r="O845" s="25">
        <f>IF($C845="","",IF($P845="","—",IF($P845="Valid (Pass)","Valid","Invalid")))</f>
        <v/>
      </c>
      <c r="P845" s="27" t="n"/>
      <c r="Q845" s="27" t="n"/>
      <c r="R845" s="27" t="n"/>
      <c r="S845" s="27" t="n"/>
      <c r="T845" s="25">
        <f>IF($C845="","",IF(OR(ISNUMBER(SEARCH("quick case",$P845)),ISNUMBER(SEARCH("quick case",$Q845))),"Yes","No"))</f>
        <v/>
      </c>
      <c r="U845" s="25">
        <f>IF($O845="Invalid",HYPERLINK("mailto:"&amp;$G845&amp;";"&amp;$I845&amp;"?cc="&amp;Lists!$E$2&amp;"&amp;subject="&amp;_xlfn.ENCODEURL("[INVALID] Quality audit monitoring completed for "&amp;UPPER($C845))&amp;"&amp;body="&amp;_xlfn.ENCODEURL("Hi "&amp;$F845&amp;","&amp;CHAR(10)&amp;"Good day!"&amp;CHAR(10)&amp;CHAR(10)&amp;"A quality monitoring audit has been completed for "&amp;$C845&amp;"."&amp;CHAR(10)&amp;CHAR(10)&amp;"QUALITY AUDIT DETAILS"&amp;CHAR(10)&amp;"Agent Name: "&amp;$C845&amp;" (EID "&amp;$D845&amp;")"&amp;CHAR(10)&amp;"Audit Date: "&amp;TEXT($B845,"yyyy-mm-dd")&amp;CHAR(10)&amp;"Team Leader: "&amp;$F845&amp;CHAR(10)&amp;"Case Number: "&amp;$M845&amp;CHAR(10)&amp;"Transaction ID: "&amp;$N845&amp;CHAR(10)&amp;"Channel / LOB: "&amp;$K845&amp;" / "&amp;$L845&amp;CHAR(10)&amp;"Evaluator: "&amp;$S845&amp;CHAR(10)&amp;CHAR(10)&amp;"INVALID QUALITY AUDIT DETAILS"&amp;CHAR(10)&amp;"Validation: Invalid"&amp;CHAR(10)&amp;"Invalid Reason: "&amp;$P845&amp;CHAR(10)&amp;"Expected Resolution Code: "&amp;$Q845&amp;CHAR(10)&amp;"Remarks: "&amp;LEFT($R845,600)&amp;CHAR(10)&amp;CHAR(10)&amp;"This is an automated notification from HP Mainstream EQMS."),"✉ Open Email Draft"),"")</f>
        <v/>
      </c>
    </row>
    <row r="846">
      <c r="A846" s="25">
        <f>IF($C846="","","AUD-2026-"&amp;TEXT(ROW()-1,"000000"))</f>
        <v/>
      </c>
      <c r="B846" s="26" t="n"/>
      <c r="C846" s="27" t="n"/>
      <c r="D846" s="25">
        <f>IF($C846="","",IFERROR(IF(INDEX(Roster!$A:$A,MATCH($C846,Roster!$B:$B,0))="","",INDEX(Roster!$A:$A,MATCH($C846,Roster!$B:$B,0))&amp;""),"—"))</f>
        <v/>
      </c>
      <c r="E846" s="25">
        <f>IF($C846="","",IFERROR(IF(INDEX(Roster!$C:$C,MATCH($C846,Roster!$B:$B,0))="","",INDEX(Roster!$C:$C,MATCH($C846,Roster!$B:$B,0))&amp;""),"—"))</f>
        <v/>
      </c>
      <c r="F846" s="25">
        <f>IF($C846="","",IFERROR(IF(INDEX(Roster!$D:$D,MATCH($C846,Roster!$B:$B,0))="","",INDEX(Roster!$D:$D,MATCH($C846,Roster!$B:$B,0))&amp;""),"—"))</f>
        <v/>
      </c>
      <c r="G846" s="25">
        <f>IF($C846="","",IFERROR(IF(INDEX(Roster!$E:$E,MATCH($C846,Roster!$B:$B,0))="","",INDEX(Roster!$E:$E,MATCH($C846,Roster!$B:$B,0))&amp;""),"—"))</f>
        <v/>
      </c>
      <c r="H846" s="25">
        <f>IF($C846="","",IFERROR(IF(INDEX(Roster!$F:$F,MATCH($C846,Roster!$B:$B,0))="","",INDEX(Roster!$F:$F,MATCH($C846,Roster!$B:$B,0))&amp;""),"—"))</f>
        <v/>
      </c>
      <c r="I846" s="25">
        <f>IF($C846="","",IFERROR(IF(INDEX(Roster!$G:$G,MATCH($C846,Roster!$B:$B,0))="","",INDEX(Roster!$G:$G,MATCH($C846,Roster!$B:$B,0))&amp;""),"—"))</f>
        <v/>
      </c>
      <c r="J846" s="25">
        <f>IF($C846="","",IFERROR(IF(INDEX(Roster!$I:$I,MATCH($C846,Roster!$B:$B,0))="","",INDEX(Roster!$I:$I,MATCH($C846,Roster!$B:$B,0))&amp;""),"—"))</f>
        <v/>
      </c>
      <c r="K846">
        <f>IF($C846="","",IFERROR(IF(INDEX(Roster!$J:$J,MATCH($C846,Roster!$B:$B,0))="","",INDEX(Roster!$J:$J,MATCH($C846,Roster!$B:$B,0))&amp;""),"—"))</f>
        <v/>
      </c>
      <c r="L846">
        <f>IF($C846="","",IFERROR(IF(INDEX(Roster!$K:$K,MATCH($C846,Roster!$B:$B,0))="","",INDEX(Roster!$K:$K,MATCH($C846,Roster!$B:$B,0))&amp;""),"—"))</f>
        <v/>
      </c>
      <c r="M846" s="27" t="n"/>
      <c r="N846" s="27" t="n"/>
      <c r="O846" s="25">
        <f>IF($C846="","",IF($P846="","—",IF($P846="Valid (Pass)","Valid","Invalid")))</f>
        <v/>
      </c>
      <c r="P846" s="27" t="n"/>
      <c r="Q846" s="27" t="n"/>
      <c r="R846" s="27" t="n"/>
      <c r="S846" s="27" t="n"/>
      <c r="T846" s="25">
        <f>IF($C846="","",IF(OR(ISNUMBER(SEARCH("quick case",$P846)),ISNUMBER(SEARCH("quick case",$Q846))),"Yes","No"))</f>
        <v/>
      </c>
      <c r="U846" s="25">
        <f>IF($O846="Invalid",HYPERLINK("mailto:"&amp;$G846&amp;";"&amp;$I846&amp;"?cc="&amp;Lists!$E$2&amp;"&amp;subject="&amp;_xlfn.ENCODEURL("[INVALID] Quality audit monitoring completed for "&amp;UPPER($C846))&amp;"&amp;body="&amp;_xlfn.ENCODEURL("Hi "&amp;$F846&amp;","&amp;CHAR(10)&amp;"Good day!"&amp;CHAR(10)&amp;CHAR(10)&amp;"A quality monitoring audit has been completed for "&amp;$C846&amp;"."&amp;CHAR(10)&amp;CHAR(10)&amp;"QUALITY AUDIT DETAILS"&amp;CHAR(10)&amp;"Agent Name: "&amp;$C846&amp;" (EID "&amp;$D846&amp;")"&amp;CHAR(10)&amp;"Audit Date: "&amp;TEXT($B846,"yyyy-mm-dd")&amp;CHAR(10)&amp;"Team Leader: "&amp;$F846&amp;CHAR(10)&amp;"Case Number: "&amp;$M846&amp;CHAR(10)&amp;"Transaction ID: "&amp;$N846&amp;CHAR(10)&amp;"Channel / LOB: "&amp;$K846&amp;" / "&amp;$L846&amp;CHAR(10)&amp;"Evaluator: "&amp;$S846&amp;CHAR(10)&amp;CHAR(10)&amp;"INVALID QUALITY AUDIT DETAILS"&amp;CHAR(10)&amp;"Validation: Invalid"&amp;CHAR(10)&amp;"Invalid Reason: "&amp;$P846&amp;CHAR(10)&amp;"Expected Resolution Code: "&amp;$Q846&amp;CHAR(10)&amp;"Remarks: "&amp;LEFT($R846,600)&amp;CHAR(10)&amp;CHAR(10)&amp;"This is an automated notification from HP Mainstream EQMS."),"✉ Open Email Draft"),"")</f>
        <v/>
      </c>
    </row>
    <row r="847">
      <c r="A847" s="25">
        <f>IF($C847="","","AUD-2026-"&amp;TEXT(ROW()-1,"000000"))</f>
        <v/>
      </c>
      <c r="B847" s="26" t="n"/>
      <c r="C847" s="27" t="n"/>
      <c r="D847" s="25">
        <f>IF($C847="","",IFERROR(IF(INDEX(Roster!$A:$A,MATCH($C847,Roster!$B:$B,0))="","",INDEX(Roster!$A:$A,MATCH($C847,Roster!$B:$B,0))&amp;""),"—"))</f>
        <v/>
      </c>
      <c r="E847" s="25">
        <f>IF($C847="","",IFERROR(IF(INDEX(Roster!$C:$C,MATCH($C847,Roster!$B:$B,0))="","",INDEX(Roster!$C:$C,MATCH($C847,Roster!$B:$B,0))&amp;""),"—"))</f>
        <v/>
      </c>
      <c r="F847" s="25">
        <f>IF($C847="","",IFERROR(IF(INDEX(Roster!$D:$D,MATCH($C847,Roster!$B:$B,0))="","",INDEX(Roster!$D:$D,MATCH($C847,Roster!$B:$B,0))&amp;""),"—"))</f>
        <v/>
      </c>
      <c r="G847" s="25">
        <f>IF($C847="","",IFERROR(IF(INDEX(Roster!$E:$E,MATCH($C847,Roster!$B:$B,0))="","",INDEX(Roster!$E:$E,MATCH($C847,Roster!$B:$B,0))&amp;""),"—"))</f>
        <v/>
      </c>
      <c r="H847" s="25">
        <f>IF($C847="","",IFERROR(IF(INDEX(Roster!$F:$F,MATCH($C847,Roster!$B:$B,0))="","",INDEX(Roster!$F:$F,MATCH($C847,Roster!$B:$B,0))&amp;""),"—"))</f>
        <v/>
      </c>
      <c r="I847" s="25">
        <f>IF($C847="","",IFERROR(IF(INDEX(Roster!$G:$G,MATCH($C847,Roster!$B:$B,0))="","",INDEX(Roster!$G:$G,MATCH($C847,Roster!$B:$B,0))&amp;""),"—"))</f>
        <v/>
      </c>
      <c r="J847" s="25">
        <f>IF($C847="","",IFERROR(IF(INDEX(Roster!$I:$I,MATCH($C847,Roster!$B:$B,0))="","",INDEX(Roster!$I:$I,MATCH($C847,Roster!$B:$B,0))&amp;""),"—"))</f>
        <v/>
      </c>
      <c r="K847">
        <f>IF($C847="","",IFERROR(IF(INDEX(Roster!$J:$J,MATCH($C847,Roster!$B:$B,0))="","",INDEX(Roster!$J:$J,MATCH($C847,Roster!$B:$B,0))&amp;""),"—"))</f>
        <v/>
      </c>
      <c r="L847">
        <f>IF($C847="","",IFERROR(IF(INDEX(Roster!$K:$K,MATCH($C847,Roster!$B:$B,0))="","",INDEX(Roster!$K:$K,MATCH($C847,Roster!$B:$B,0))&amp;""),"—"))</f>
        <v/>
      </c>
      <c r="M847" s="27" t="n"/>
      <c r="N847" s="27" t="n"/>
      <c r="O847" s="25">
        <f>IF($C847="","",IF($P847="","—",IF($P847="Valid (Pass)","Valid","Invalid")))</f>
        <v/>
      </c>
      <c r="P847" s="27" t="n"/>
      <c r="Q847" s="27" t="n"/>
      <c r="R847" s="27" t="n"/>
      <c r="S847" s="27" t="n"/>
      <c r="T847" s="25">
        <f>IF($C847="","",IF(OR(ISNUMBER(SEARCH("quick case",$P847)),ISNUMBER(SEARCH("quick case",$Q847))),"Yes","No"))</f>
        <v/>
      </c>
      <c r="U847" s="25">
        <f>IF($O847="Invalid",HYPERLINK("mailto:"&amp;$G847&amp;";"&amp;$I847&amp;"?cc="&amp;Lists!$E$2&amp;"&amp;subject="&amp;_xlfn.ENCODEURL("[INVALID] Quality audit monitoring completed for "&amp;UPPER($C847))&amp;"&amp;body="&amp;_xlfn.ENCODEURL("Hi "&amp;$F847&amp;","&amp;CHAR(10)&amp;"Good day!"&amp;CHAR(10)&amp;CHAR(10)&amp;"A quality monitoring audit has been completed for "&amp;$C847&amp;"."&amp;CHAR(10)&amp;CHAR(10)&amp;"QUALITY AUDIT DETAILS"&amp;CHAR(10)&amp;"Agent Name: "&amp;$C847&amp;" (EID "&amp;$D847&amp;")"&amp;CHAR(10)&amp;"Audit Date: "&amp;TEXT($B847,"yyyy-mm-dd")&amp;CHAR(10)&amp;"Team Leader: "&amp;$F847&amp;CHAR(10)&amp;"Case Number: "&amp;$M847&amp;CHAR(10)&amp;"Transaction ID: "&amp;$N847&amp;CHAR(10)&amp;"Channel / LOB: "&amp;$K847&amp;" / "&amp;$L847&amp;CHAR(10)&amp;"Evaluator: "&amp;$S847&amp;CHAR(10)&amp;CHAR(10)&amp;"INVALID QUALITY AUDIT DETAILS"&amp;CHAR(10)&amp;"Validation: Invalid"&amp;CHAR(10)&amp;"Invalid Reason: "&amp;$P847&amp;CHAR(10)&amp;"Expected Resolution Code: "&amp;$Q847&amp;CHAR(10)&amp;"Remarks: "&amp;LEFT($R847,600)&amp;CHAR(10)&amp;CHAR(10)&amp;"This is an automated notification from HP Mainstream EQMS."),"✉ Open Email Draft"),"")</f>
        <v/>
      </c>
    </row>
    <row r="848">
      <c r="A848" s="25">
        <f>IF($C848="","","AUD-2026-"&amp;TEXT(ROW()-1,"000000"))</f>
        <v/>
      </c>
      <c r="B848" s="26" t="n"/>
      <c r="C848" s="27" t="n"/>
      <c r="D848" s="25">
        <f>IF($C848="","",IFERROR(IF(INDEX(Roster!$A:$A,MATCH($C848,Roster!$B:$B,0))="","",INDEX(Roster!$A:$A,MATCH($C848,Roster!$B:$B,0))&amp;""),"—"))</f>
        <v/>
      </c>
      <c r="E848" s="25">
        <f>IF($C848="","",IFERROR(IF(INDEX(Roster!$C:$C,MATCH($C848,Roster!$B:$B,0))="","",INDEX(Roster!$C:$C,MATCH($C848,Roster!$B:$B,0))&amp;""),"—"))</f>
        <v/>
      </c>
      <c r="F848" s="25">
        <f>IF($C848="","",IFERROR(IF(INDEX(Roster!$D:$D,MATCH($C848,Roster!$B:$B,0))="","",INDEX(Roster!$D:$D,MATCH($C848,Roster!$B:$B,0))&amp;""),"—"))</f>
        <v/>
      </c>
      <c r="G848" s="25">
        <f>IF($C848="","",IFERROR(IF(INDEX(Roster!$E:$E,MATCH($C848,Roster!$B:$B,0))="","",INDEX(Roster!$E:$E,MATCH($C848,Roster!$B:$B,0))&amp;""),"—"))</f>
        <v/>
      </c>
      <c r="H848" s="25">
        <f>IF($C848="","",IFERROR(IF(INDEX(Roster!$F:$F,MATCH($C848,Roster!$B:$B,0))="","",INDEX(Roster!$F:$F,MATCH($C848,Roster!$B:$B,0))&amp;""),"—"))</f>
        <v/>
      </c>
      <c r="I848" s="25">
        <f>IF($C848="","",IFERROR(IF(INDEX(Roster!$G:$G,MATCH($C848,Roster!$B:$B,0))="","",INDEX(Roster!$G:$G,MATCH($C848,Roster!$B:$B,0))&amp;""),"—"))</f>
        <v/>
      </c>
      <c r="J848" s="25">
        <f>IF($C848="","",IFERROR(IF(INDEX(Roster!$I:$I,MATCH($C848,Roster!$B:$B,0))="","",INDEX(Roster!$I:$I,MATCH($C848,Roster!$B:$B,0))&amp;""),"—"))</f>
        <v/>
      </c>
      <c r="K848">
        <f>IF($C848="","",IFERROR(IF(INDEX(Roster!$J:$J,MATCH($C848,Roster!$B:$B,0))="","",INDEX(Roster!$J:$J,MATCH($C848,Roster!$B:$B,0))&amp;""),"—"))</f>
        <v/>
      </c>
      <c r="L848">
        <f>IF($C848="","",IFERROR(IF(INDEX(Roster!$K:$K,MATCH($C848,Roster!$B:$B,0))="","",INDEX(Roster!$K:$K,MATCH($C848,Roster!$B:$B,0))&amp;""),"—"))</f>
        <v/>
      </c>
      <c r="M848" s="27" t="n"/>
      <c r="N848" s="27" t="n"/>
      <c r="O848" s="25">
        <f>IF($C848="","",IF($P848="","—",IF($P848="Valid (Pass)","Valid","Invalid")))</f>
        <v/>
      </c>
      <c r="P848" s="27" t="n"/>
      <c r="Q848" s="27" t="n"/>
      <c r="R848" s="27" t="n"/>
      <c r="S848" s="27" t="n"/>
      <c r="T848" s="25">
        <f>IF($C848="","",IF(OR(ISNUMBER(SEARCH("quick case",$P848)),ISNUMBER(SEARCH("quick case",$Q848))),"Yes","No"))</f>
        <v/>
      </c>
      <c r="U848" s="25">
        <f>IF($O848="Invalid",HYPERLINK("mailto:"&amp;$G848&amp;";"&amp;$I848&amp;"?cc="&amp;Lists!$E$2&amp;"&amp;subject="&amp;_xlfn.ENCODEURL("[INVALID] Quality audit monitoring completed for "&amp;UPPER($C848))&amp;"&amp;body="&amp;_xlfn.ENCODEURL("Hi "&amp;$F848&amp;","&amp;CHAR(10)&amp;"Good day!"&amp;CHAR(10)&amp;CHAR(10)&amp;"A quality monitoring audit has been completed for "&amp;$C848&amp;"."&amp;CHAR(10)&amp;CHAR(10)&amp;"QUALITY AUDIT DETAILS"&amp;CHAR(10)&amp;"Agent Name: "&amp;$C848&amp;" (EID "&amp;$D848&amp;")"&amp;CHAR(10)&amp;"Audit Date: "&amp;TEXT($B848,"yyyy-mm-dd")&amp;CHAR(10)&amp;"Team Leader: "&amp;$F848&amp;CHAR(10)&amp;"Case Number: "&amp;$M848&amp;CHAR(10)&amp;"Transaction ID: "&amp;$N848&amp;CHAR(10)&amp;"Channel / LOB: "&amp;$K848&amp;" / "&amp;$L848&amp;CHAR(10)&amp;"Evaluator: "&amp;$S848&amp;CHAR(10)&amp;CHAR(10)&amp;"INVALID QUALITY AUDIT DETAILS"&amp;CHAR(10)&amp;"Validation: Invalid"&amp;CHAR(10)&amp;"Invalid Reason: "&amp;$P848&amp;CHAR(10)&amp;"Expected Resolution Code: "&amp;$Q848&amp;CHAR(10)&amp;"Remarks: "&amp;LEFT($R848,600)&amp;CHAR(10)&amp;CHAR(10)&amp;"This is an automated notification from HP Mainstream EQMS."),"✉ Open Email Draft"),"")</f>
        <v/>
      </c>
    </row>
    <row r="849">
      <c r="A849" s="25">
        <f>IF($C849="","","AUD-2026-"&amp;TEXT(ROW()-1,"000000"))</f>
        <v/>
      </c>
      <c r="B849" s="26" t="n"/>
      <c r="C849" s="27" t="n"/>
      <c r="D849" s="25">
        <f>IF($C849="","",IFERROR(IF(INDEX(Roster!$A:$A,MATCH($C849,Roster!$B:$B,0))="","",INDEX(Roster!$A:$A,MATCH($C849,Roster!$B:$B,0))&amp;""),"—"))</f>
        <v/>
      </c>
      <c r="E849" s="25">
        <f>IF($C849="","",IFERROR(IF(INDEX(Roster!$C:$C,MATCH($C849,Roster!$B:$B,0))="","",INDEX(Roster!$C:$C,MATCH($C849,Roster!$B:$B,0))&amp;""),"—"))</f>
        <v/>
      </c>
      <c r="F849" s="25">
        <f>IF($C849="","",IFERROR(IF(INDEX(Roster!$D:$D,MATCH($C849,Roster!$B:$B,0))="","",INDEX(Roster!$D:$D,MATCH($C849,Roster!$B:$B,0))&amp;""),"—"))</f>
        <v/>
      </c>
      <c r="G849" s="25">
        <f>IF($C849="","",IFERROR(IF(INDEX(Roster!$E:$E,MATCH($C849,Roster!$B:$B,0))="","",INDEX(Roster!$E:$E,MATCH($C849,Roster!$B:$B,0))&amp;""),"—"))</f>
        <v/>
      </c>
      <c r="H849" s="25">
        <f>IF($C849="","",IFERROR(IF(INDEX(Roster!$F:$F,MATCH($C849,Roster!$B:$B,0))="","",INDEX(Roster!$F:$F,MATCH($C849,Roster!$B:$B,0))&amp;""),"—"))</f>
        <v/>
      </c>
      <c r="I849" s="25">
        <f>IF($C849="","",IFERROR(IF(INDEX(Roster!$G:$G,MATCH($C849,Roster!$B:$B,0))="","",INDEX(Roster!$G:$G,MATCH($C849,Roster!$B:$B,0))&amp;""),"—"))</f>
        <v/>
      </c>
      <c r="J849" s="25">
        <f>IF($C849="","",IFERROR(IF(INDEX(Roster!$I:$I,MATCH($C849,Roster!$B:$B,0))="","",INDEX(Roster!$I:$I,MATCH($C849,Roster!$B:$B,0))&amp;""),"—"))</f>
        <v/>
      </c>
      <c r="K849">
        <f>IF($C849="","",IFERROR(IF(INDEX(Roster!$J:$J,MATCH($C849,Roster!$B:$B,0))="","",INDEX(Roster!$J:$J,MATCH($C849,Roster!$B:$B,0))&amp;""),"—"))</f>
        <v/>
      </c>
      <c r="L849">
        <f>IF($C849="","",IFERROR(IF(INDEX(Roster!$K:$K,MATCH($C849,Roster!$B:$B,0))="","",INDEX(Roster!$K:$K,MATCH($C849,Roster!$B:$B,0))&amp;""),"—"))</f>
        <v/>
      </c>
      <c r="M849" s="27" t="n"/>
      <c r="N849" s="27" t="n"/>
      <c r="O849" s="25">
        <f>IF($C849="","",IF($P849="","—",IF($P849="Valid (Pass)","Valid","Invalid")))</f>
        <v/>
      </c>
      <c r="P849" s="27" t="n"/>
      <c r="Q849" s="27" t="n"/>
      <c r="R849" s="27" t="n"/>
      <c r="S849" s="27" t="n"/>
      <c r="T849" s="25">
        <f>IF($C849="","",IF(OR(ISNUMBER(SEARCH("quick case",$P849)),ISNUMBER(SEARCH("quick case",$Q849))),"Yes","No"))</f>
        <v/>
      </c>
      <c r="U849" s="25">
        <f>IF($O849="Invalid",HYPERLINK("mailto:"&amp;$G849&amp;";"&amp;$I849&amp;"?cc="&amp;Lists!$E$2&amp;"&amp;subject="&amp;_xlfn.ENCODEURL("[INVALID] Quality audit monitoring completed for "&amp;UPPER($C849))&amp;"&amp;body="&amp;_xlfn.ENCODEURL("Hi "&amp;$F849&amp;","&amp;CHAR(10)&amp;"Good day!"&amp;CHAR(10)&amp;CHAR(10)&amp;"A quality monitoring audit has been completed for "&amp;$C849&amp;"."&amp;CHAR(10)&amp;CHAR(10)&amp;"QUALITY AUDIT DETAILS"&amp;CHAR(10)&amp;"Agent Name: "&amp;$C849&amp;" (EID "&amp;$D849&amp;")"&amp;CHAR(10)&amp;"Audit Date: "&amp;TEXT($B849,"yyyy-mm-dd")&amp;CHAR(10)&amp;"Team Leader: "&amp;$F849&amp;CHAR(10)&amp;"Case Number: "&amp;$M849&amp;CHAR(10)&amp;"Transaction ID: "&amp;$N849&amp;CHAR(10)&amp;"Channel / LOB: "&amp;$K849&amp;" / "&amp;$L849&amp;CHAR(10)&amp;"Evaluator: "&amp;$S849&amp;CHAR(10)&amp;CHAR(10)&amp;"INVALID QUALITY AUDIT DETAILS"&amp;CHAR(10)&amp;"Validation: Invalid"&amp;CHAR(10)&amp;"Invalid Reason: "&amp;$P849&amp;CHAR(10)&amp;"Expected Resolution Code: "&amp;$Q849&amp;CHAR(10)&amp;"Remarks: "&amp;LEFT($R849,600)&amp;CHAR(10)&amp;CHAR(10)&amp;"This is an automated notification from HP Mainstream EQMS."),"✉ Open Email Draft"),"")</f>
        <v/>
      </c>
    </row>
    <row r="850">
      <c r="A850" s="25">
        <f>IF($C850="","","AUD-2026-"&amp;TEXT(ROW()-1,"000000"))</f>
        <v/>
      </c>
      <c r="B850" s="26" t="n"/>
      <c r="C850" s="27" t="n"/>
      <c r="D850" s="25">
        <f>IF($C850="","",IFERROR(IF(INDEX(Roster!$A:$A,MATCH($C850,Roster!$B:$B,0))="","",INDEX(Roster!$A:$A,MATCH($C850,Roster!$B:$B,0))&amp;""),"—"))</f>
        <v/>
      </c>
      <c r="E850" s="25">
        <f>IF($C850="","",IFERROR(IF(INDEX(Roster!$C:$C,MATCH($C850,Roster!$B:$B,0))="","",INDEX(Roster!$C:$C,MATCH($C850,Roster!$B:$B,0))&amp;""),"—"))</f>
        <v/>
      </c>
      <c r="F850" s="25">
        <f>IF($C850="","",IFERROR(IF(INDEX(Roster!$D:$D,MATCH($C850,Roster!$B:$B,0))="","",INDEX(Roster!$D:$D,MATCH($C850,Roster!$B:$B,0))&amp;""),"—"))</f>
        <v/>
      </c>
      <c r="G850" s="25">
        <f>IF($C850="","",IFERROR(IF(INDEX(Roster!$E:$E,MATCH($C850,Roster!$B:$B,0))="","",INDEX(Roster!$E:$E,MATCH($C850,Roster!$B:$B,0))&amp;""),"—"))</f>
        <v/>
      </c>
      <c r="H850" s="25">
        <f>IF($C850="","",IFERROR(IF(INDEX(Roster!$F:$F,MATCH($C850,Roster!$B:$B,0))="","",INDEX(Roster!$F:$F,MATCH($C850,Roster!$B:$B,0))&amp;""),"—"))</f>
        <v/>
      </c>
      <c r="I850" s="25">
        <f>IF($C850="","",IFERROR(IF(INDEX(Roster!$G:$G,MATCH($C850,Roster!$B:$B,0))="","",INDEX(Roster!$G:$G,MATCH($C850,Roster!$B:$B,0))&amp;""),"—"))</f>
        <v/>
      </c>
      <c r="J850" s="25">
        <f>IF($C850="","",IFERROR(IF(INDEX(Roster!$I:$I,MATCH($C850,Roster!$B:$B,0))="","",INDEX(Roster!$I:$I,MATCH($C850,Roster!$B:$B,0))&amp;""),"—"))</f>
        <v/>
      </c>
      <c r="K850">
        <f>IF($C850="","",IFERROR(IF(INDEX(Roster!$J:$J,MATCH($C850,Roster!$B:$B,0))="","",INDEX(Roster!$J:$J,MATCH($C850,Roster!$B:$B,0))&amp;""),"—"))</f>
        <v/>
      </c>
      <c r="L850">
        <f>IF($C850="","",IFERROR(IF(INDEX(Roster!$K:$K,MATCH($C850,Roster!$B:$B,0))="","",INDEX(Roster!$K:$K,MATCH($C850,Roster!$B:$B,0))&amp;""),"—"))</f>
        <v/>
      </c>
      <c r="M850" s="27" t="n"/>
      <c r="N850" s="27" t="n"/>
      <c r="O850" s="25">
        <f>IF($C850="","",IF($P850="","—",IF($P850="Valid (Pass)","Valid","Invalid")))</f>
        <v/>
      </c>
      <c r="P850" s="27" t="n"/>
      <c r="Q850" s="27" t="n"/>
      <c r="R850" s="27" t="n"/>
      <c r="S850" s="27" t="n"/>
      <c r="T850" s="25">
        <f>IF($C850="","",IF(OR(ISNUMBER(SEARCH("quick case",$P850)),ISNUMBER(SEARCH("quick case",$Q850))),"Yes","No"))</f>
        <v/>
      </c>
      <c r="U850" s="25">
        <f>IF($O850="Invalid",HYPERLINK("mailto:"&amp;$G850&amp;";"&amp;$I850&amp;"?cc="&amp;Lists!$E$2&amp;"&amp;subject="&amp;_xlfn.ENCODEURL("[INVALID] Quality audit monitoring completed for "&amp;UPPER($C850))&amp;"&amp;body="&amp;_xlfn.ENCODEURL("Hi "&amp;$F850&amp;","&amp;CHAR(10)&amp;"Good day!"&amp;CHAR(10)&amp;CHAR(10)&amp;"A quality monitoring audit has been completed for "&amp;$C850&amp;"."&amp;CHAR(10)&amp;CHAR(10)&amp;"QUALITY AUDIT DETAILS"&amp;CHAR(10)&amp;"Agent Name: "&amp;$C850&amp;" (EID "&amp;$D850&amp;")"&amp;CHAR(10)&amp;"Audit Date: "&amp;TEXT($B850,"yyyy-mm-dd")&amp;CHAR(10)&amp;"Team Leader: "&amp;$F850&amp;CHAR(10)&amp;"Case Number: "&amp;$M850&amp;CHAR(10)&amp;"Transaction ID: "&amp;$N850&amp;CHAR(10)&amp;"Channel / LOB: "&amp;$K850&amp;" / "&amp;$L850&amp;CHAR(10)&amp;"Evaluator: "&amp;$S850&amp;CHAR(10)&amp;CHAR(10)&amp;"INVALID QUALITY AUDIT DETAILS"&amp;CHAR(10)&amp;"Validation: Invalid"&amp;CHAR(10)&amp;"Invalid Reason: "&amp;$P850&amp;CHAR(10)&amp;"Expected Resolution Code: "&amp;$Q850&amp;CHAR(10)&amp;"Remarks: "&amp;LEFT($R850,600)&amp;CHAR(10)&amp;CHAR(10)&amp;"This is an automated notification from HP Mainstream EQMS."),"✉ Open Email Draft"),"")</f>
        <v/>
      </c>
    </row>
    <row r="851">
      <c r="A851" s="25">
        <f>IF($C851="","","AUD-2026-"&amp;TEXT(ROW()-1,"000000"))</f>
        <v/>
      </c>
      <c r="B851" s="26" t="n"/>
      <c r="C851" s="27" t="n"/>
      <c r="D851" s="25">
        <f>IF($C851="","",IFERROR(IF(INDEX(Roster!$A:$A,MATCH($C851,Roster!$B:$B,0))="","",INDEX(Roster!$A:$A,MATCH($C851,Roster!$B:$B,0))&amp;""),"—"))</f>
        <v/>
      </c>
      <c r="E851" s="25">
        <f>IF($C851="","",IFERROR(IF(INDEX(Roster!$C:$C,MATCH($C851,Roster!$B:$B,0))="","",INDEX(Roster!$C:$C,MATCH($C851,Roster!$B:$B,0))&amp;""),"—"))</f>
        <v/>
      </c>
      <c r="F851" s="25">
        <f>IF($C851="","",IFERROR(IF(INDEX(Roster!$D:$D,MATCH($C851,Roster!$B:$B,0))="","",INDEX(Roster!$D:$D,MATCH($C851,Roster!$B:$B,0))&amp;""),"—"))</f>
        <v/>
      </c>
      <c r="G851" s="25">
        <f>IF($C851="","",IFERROR(IF(INDEX(Roster!$E:$E,MATCH($C851,Roster!$B:$B,0))="","",INDEX(Roster!$E:$E,MATCH($C851,Roster!$B:$B,0))&amp;""),"—"))</f>
        <v/>
      </c>
      <c r="H851" s="25">
        <f>IF($C851="","",IFERROR(IF(INDEX(Roster!$F:$F,MATCH($C851,Roster!$B:$B,0))="","",INDEX(Roster!$F:$F,MATCH($C851,Roster!$B:$B,0))&amp;""),"—"))</f>
        <v/>
      </c>
      <c r="I851" s="25">
        <f>IF($C851="","",IFERROR(IF(INDEX(Roster!$G:$G,MATCH($C851,Roster!$B:$B,0))="","",INDEX(Roster!$G:$G,MATCH($C851,Roster!$B:$B,0))&amp;""),"—"))</f>
        <v/>
      </c>
      <c r="J851" s="25">
        <f>IF($C851="","",IFERROR(IF(INDEX(Roster!$I:$I,MATCH($C851,Roster!$B:$B,0))="","",INDEX(Roster!$I:$I,MATCH($C851,Roster!$B:$B,0))&amp;""),"—"))</f>
        <v/>
      </c>
      <c r="K851">
        <f>IF($C851="","",IFERROR(IF(INDEX(Roster!$J:$J,MATCH($C851,Roster!$B:$B,0))="","",INDEX(Roster!$J:$J,MATCH($C851,Roster!$B:$B,0))&amp;""),"—"))</f>
        <v/>
      </c>
      <c r="L851">
        <f>IF($C851="","",IFERROR(IF(INDEX(Roster!$K:$K,MATCH($C851,Roster!$B:$B,0))="","",INDEX(Roster!$K:$K,MATCH($C851,Roster!$B:$B,0))&amp;""),"—"))</f>
        <v/>
      </c>
      <c r="M851" s="27" t="n"/>
      <c r="N851" s="27" t="n"/>
      <c r="O851" s="25">
        <f>IF($C851="","",IF($P851="","—",IF($P851="Valid (Pass)","Valid","Invalid")))</f>
        <v/>
      </c>
      <c r="P851" s="27" t="n"/>
      <c r="Q851" s="27" t="n"/>
      <c r="R851" s="27" t="n"/>
      <c r="S851" s="27" t="n"/>
      <c r="T851" s="25">
        <f>IF($C851="","",IF(OR(ISNUMBER(SEARCH("quick case",$P851)),ISNUMBER(SEARCH("quick case",$Q851))),"Yes","No"))</f>
        <v/>
      </c>
      <c r="U851" s="25">
        <f>IF($O851="Invalid",HYPERLINK("mailto:"&amp;$G851&amp;";"&amp;$I851&amp;"?cc="&amp;Lists!$E$2&amp;"&amp;subject="&amp;_xlfn.ENCODEURL("[INVALID] Quality audit monitoring completed for "&amp;UPPER($C851))&amp;"&amp;body="&amp;_xlfn.ENCODEURL("Hi "&amp;$F851&amp;","&amp;CHAR(10)&amp;"Good day!"&amp;CHAR(10)&amp;CHAR(10)&amp;"A quality monitoring audit has been completed for "&amp;$C851&amp;"."&amp;CHAR(10)&amp;CHAR(10)&amp;"QUALITY AUDIT DETAILS"&amp;CHAR(10)&amp;"Agent Name: "&amp;$C851&amp;" (EID "&amp;$D851&amp;")"&amp;CHAR(10)&amp;"Audit Date: "&amp;TEXT($B851,"yyyy-mm-dd")&amp;CHAR(10)&amp;"Team Leader: "&amp;$F851&amp;CHAR(10)&amp;"Case Number: "&amp;$M851&amp;CHAR(10)&amp;"Transaction ID: "&amp;$N851&amp;CHAR(10)&amp;"Channel / LOB: "&amp;$K851&amp;" / "&amp;$L851&amp;CHAR(10)&amp;"Evaluator: "&amp;$S851&amp;CHAR(10)&amp;CHAR(10)&amp;"INVALID QUALITY AUDIT DETAILS"&amp;CHAR(10)&amp;"Validation: Invalid"&amp;CHAR(10)&amp;"Invalid Reason: "&amp;$P851&amp;CHAR(10)&amp;"Expected Resolution Code: "&amp;$Q851&amp;CHAR(10)&amp;"Remarks: "&amp;LEFT($R851,600)&amp;CHAR(10)&amp;CHAR(10)&amp;"This is an automated notification from HP Mainstream EQMS."),"✉ Open Email Draft"),"")</f>
        <v/>
      </c>
    </row>
    <row r="852">
      <c r="A852" s="25">
        <f>IF($C852="","","AUD-2026-"&amp;TEXT(ROW()-1,"000000"))</f>
        <v/>
      </c>
      <c r="B852" s="26" t="n"/>
      <c r="C852" s="27" t="n"/>
      <c r="D852" s="25">
        <f>IF($C852="","",IFERROR(IF(INDEX(Roster!$A:$A,MATCH($C852,Roster!$B:$B,0))="","",INDEX(Roster!$A:$A,MATCH($C852,Roster!$B:$B,0))&amp;""),"—"))</f>
        <v/>
      </c>
      <c r="E852" s="25">
        <f>IF($C852="","",IFERROR(IF(INDEX(Roster!$C:$C,MATCH($C852,Roster!$B:$B,0))="","",INDEX(Roster!$C:$C,MATCH($C852,Roster!$B:$B,0))&amp;""),"—"))</f>
        <v/>
      </c>
      <c r="F852" s="25">
        <f>IF($C852="","",IFERROR(IF(INDEX(Roster!$D:$D,MATCH($C852,Roster!$B:$B,0))="","",INDEX(Roster!$D:$D,MATCH($C852,Roster!$B:$B,0))&amp;""),"—"))</f>
        <v/>
      </c>
      <c r="G852" s="25">
        <f>IF($C852="","",IFERROR(IF(INDEX(Roster!$E:$E,MATCH($C852,Roster!$B:$B,0))="","",INDEX(Roster!$E:$E,MATCH($C852,Roster!$B:$B,0))&amp;""),"—"))</f>
        <v/>
      </c>
      <c r="H852" s="25">
        <f>IF($C852="","",IFERROR(IF(INDEX(Roster!$F:$F,MATCH($C852,Roster!$B:$B,0))="","",INDEX(Roster!$F:$F,MATCH($C852,Roster!$B:$B,0))&amp;""),"—"))</f>
        <v/>
      </c>
      <c r="I852" s="25">
        <f>IF($C852="","",IFERROR(IF(INDEX(Roster!$G:$G,MATCH($C852,Roster!$B:$B,0))="","",INDEX(Roster!$G:$G,MATCH($C852,Roster!$B:$B,0))&amp;""),"—"))</f>
        <v/>
      </c>
      <c r="J852" s="25">
        <f>IF($C852="","",IFERROR(IF(INDEX(Roster!$I:$I,MATCH($C852,Roster!$B:$B,0))="","",INDEX(Roster!$I:$I,MATCH($C852,Roster!$B:$B,0))&amp;""),"—"))</f>
        <v/>
      </c>
      <c r="K852">
        <f>IF($C852="","",IFERROR(IF(INDEX(Roster!$J:$J,MATCH($C852,Roster!$B:$B,0))="","",INDEX(Roster!$J:$J,MATCH($C852,Roster!$B:$B,0))&amp;""),"—"))</f>
        <v/>
      </c>
      <c r="L852">
        <f>IF($C852="","",IFERROR(IF(INDEX(Roster!$K:$K,MATCH($C852,Roster!$B:$B,0))="","",INDEX(Roster!$K:$K,MATCH($C852,Roster!$B:$B,0))&amp;""),"—"))</f>
        <v/>
      </c>
      <c r="M852" s="27" t="n"/>
      <c r="N852" s="27" t="n"/>
      <c r="O852" s="25">
        <f>IF($C852="","",IF($P852="","—",IF($P852="Valid (Pass)","Valid","Invalid")))</f>
        <v/>
      </c>
      <c r="P852" s="27" t="n"/>
      <c r="Q852" s="27" t="n"/>
      <c r="R852" s="27" t="n"/>
      <c r="S852" s="27" t="n"/>
      <c r="T852" s="25">
        <f>IF($C852="","",IF(OR(ISNUMBER(SEARCH("quick case",$P852)),ISNUMBER(SEARCH("quick case",$Q852))),"Yes","No"))</f>
        <v/>
      </c>
      <c r="U852" s="25">
        <f>IF($O852="Invalid",HYPERLINK("mailto:"&amp;$G852&amp;";"&amp;$I852&amp;"?cc="&amp;Lists!$E$2&amp;"&amp;subject="&amp;_xlfn.ENCODEURL("[INVALID] Quality audit monitoring completed for "&amp;UPPER($C852))&amp;"&amp;body="&amp;_xlfn.ENCODEURL("Hi "&amp;$F852&amp;","&amp;CHAR(10)&amp;"Good day!"&amp;CHAR(10)&amp;CHAR(10)&amp;"A quality monitoring audit has been completed for "&amp;$C852&amp;"."&amp;CHAR(10)&amp;CHAR(10)&amp;"QUALITY AUDIT DETAILS"&amp;CHAR(10)&amp;"Agent Name: "&amp;$C852&amp;" (EID "&amp;$D852&amp;")"&amp;CHAR(10)&amp;"Audit Date: "&amp;TEXT($B852,"yyyy-mm-dd")&amp;CHAR(10)&amp;"Team Leader: "&amp;$F852&amp;CHAR(10)&amp;"Case Number: "&amp;$M852&amp;CHAR(10)&amp;"Transaction ID: "&amp;$N852&amp;CHAR(10)&amp;"Channel / LOB: "&amp;$K852&amp;" / "&amp;$L852&amp;CHAR(10)&amp;"Evaluator: "&amp;$S852&amp;CHAR(10)&amp;CHAR(10)&amp;"INVALID QUALITY AUDIT DETAILS"&amp;CHAR(10)&amp;"Validation: Invalid"&amp;CHAR(10)&amp;"Invalid Reason: "&amp;$P852&amp;CHAR(10)&amp;"Expected Resolution Code: "&amp;$Q852&amp;CHAR(10)&amp;"Remarks: "&amp;LEFT($R852,600)&amp;CHAR(10)&amp;CHAR(10)&amp;"This is an automated notification from HP Mainstream EQMS."),"✉ Open Email Draft"),"")</f>
        <v/>
      </c>
    </row>
    <row r="853">
      <c r="A853" s="25">
        <f>IF($C853="","","AUD-2026-"&amp;TEXT(ROW()-1,"000000"))</f>
        <v/>
      </c>
      <c r="B853" s="26" t="n"/>
      <c r="C853" s="27" t="n"/>
      <c r="D853" s="25">
        <f>IF($C853="","",IFERROR(IF(INDEX(Roster!$A:$A,MATCH($C853,Roster!$B:$B,0))="","",INDEX(Roster!$A:$A,MATCH($C853,Roster!$B:$B,0))&amp;""),"—"))</f>
        <v/>
      </c>
      <c r="E853" s="25">
        <f>IF($C853="","",IFERROR(IF(INDEX(Roster!$C:$C,MATCH($C853,Roster!$B:$B,0))="","",INDEX(Roster!$C:$C,MATCH($C853,Roster!$B:$B,0))&amp;""),"—"))</f>
        <v/>
      </c>
      <c r="F853" s="25">
        <f>IF($C853="","",IFERROR(IF(INDEX(Roster!$D:$D,MATCH($C853,Roster!$B:$B,0))="","",INDEX(Roster!$D:$D,MATCH($C853,Roster!$B:$B,0))&amp;""),"—"))</f>
        <v/>
      </c>
      <c r="G853" s="25">
        <f>IF($C853="","",IFERROR(IF(INDEX(Roster!$E:$E,MATCH($C853,Roster!$B:$B,0))="","",INDEX(Roster!$E:$E,MATCH($C853,Roster!$B:$B,0))&amp;""),"—"))</f>
        <v/>
      </c>
      <c r="H853" s="25">
        <f>IF($C853="","",IFERROR(IF(INDEX(Roster!$F:$F,MATCH($C853,Roster!$B:$B,0))="","",INDEX(Roster!$F:$F,MATCH($C853,Roster!$B:$B,0))&amp;""),"—"))</f>
        <v/>
      </c>
      <c r="I853" s="25">
        <f>IF($C853="","",IFERROR(IF(INDEX(Roster!$G:$G,MATCH($C853,Roster!$B:$B,0))="","",INDEX(Roster!$G:$G,MATCH($C853,Roster!$B:$B,0))&amp;""),"—"))</f>
        <v/>
      </c>
      <c r="J853" s="25">
        <f>IF($C853="","",IFERROR(IF(INDEX(Roster!$I:$I,MATCH($C853,Roster!$B:$B,0))="","",INDEX(Roster!$I:$I,MATCH($C853,Roster!$B:$B,0))&amp;""),"—"))</f>
        <v/>
      </c>
      <c r="K853">
        <f>IF($C853="","",IFERROR(IF(INDEX(Roster!$J:$J,MATCH($C853,Roster!$B:$B,0))="","",INDEX(Roster!$J:$J,MATCH($C853,Roster!$B:$B,0))&amp;""),"—"))</f>
        <v/>
      </c>
      <c r="L853">
        <f>IF($C853="","",IFERROR(IF(INDEX(Roster!$K:$K,MATCH($C853,Roster!$B:$B,0))="","",INDEX(Roster!$K:$K,MATCH($C853,Roster!$B:$B,0))&amp;""),"—"))</f>
        <v/>
      </c>
      <c r="M853" s="27" t="n"/>
      <c r="N853" s="27" t="n"/>
      <c r="O853" s="25">
        <f>IF($C853="","",IF($P853="","—",IF($P853="Valid (Pass)","Valid","Invalid")))</f>
        <v/>
      </c>
      <c r="P853" s="27" t="n"/>
      <c r="Q853" s="27" t="n"/>
      <c r="R853" s="27" t="n"/>
      <c r="S853" s="27" t="n"/>
      <c r="T853" s="25">
        <f>IF($C853="","",IF(OR(ISNUMBER(SEARCH("quick case",$P853)),ISNUMBER(SEARCH("quick case",$Q853))),"Yes","No"))</f>
        <v/>
      </c>
      <c r="U853" s="25">
        <f>IF($O853="Invalid",HYPERLINK("mailto:"&amp;$G853&amp;";"&amp;$I853&amp;"?cc="&amp;Lists!$E$2&amp;"&amp;subject="&amp;_xlfn.ENCODEURL("[INVALID] Quality audit monitoring completed for "&amp;UPPER($C853))&amp;"&amp;body="&amp;_xlfn.ENCODEURL("Hi "&amp;$F853&amp;","&amp;CHAR(10)&amp;"Good day!"&amp;CHAR(10)&amp;CHAR(10)&amp;"A quality monitoring audit has been completed for "&amp;$C853&amp;"."&amp;CHAR(10)&amp;CHAR(10)&amp;"QUALITY AUDIT DETAILS"&amp;CHAR(10)&amp;"Agent Name: "&amp;$C853&amp;" (EID "&amp;$D853&amp;")"&amp;CHAR(10)&amp;"Audit Date: "&amp;TEXT($B853,"yyyy-mm-dd")&amp;CHAR(10)&amp;"Team Leader: "&amp;$F853&amp;CHAR(10)&amp;"Case Number: "&amp;$M853&amp;CHAR(10)&amp;"Transaction ID: "&amp;$N853&amp;CHAR(10)&amp;"Channel / LOB: "&amp;$K853&amp;" / "&amp;$L853&amp;CHAR(10)&amp;"Evaluator: "&amp;$S853&amp;CHAR(10)&amp;CHAR(10)&amp;"INVALID QUALITY AUDIT DETAILS"&amp;CHAR(10)&amp;"Validation: Invalid"&amp;CHAR(10)&amp;"Invalid Reason: "&amp;$P853&amp;CHAR(10)&amp;"Expected Resolution Code: "&amp;$Q853&amp;CHAR(10)&amp;"Remarks: "&amp;LEFT($R853,600)&amp;CHAR(10)&amp;CHAR(10)&amp;"This is an automated notification from HP Mainstream EQMS."),"✉ Open Email Draft"),"")</f>
        <v/>
      </c>
    </row>
    <row r="854">
      <c r="A854" s="25">
        <f>IF($C854="","","AUD-2026-"&amp;TEXT(ROW()-1,"000000"))</f>
        <v/>
      </c>
      <c r="B854" s="26" t="n"/>
      <c r="C854" s="27" t="n"/>
      <c r="D854" s="25">
        <f>IF($C854="","",IFERROR(IF(INDEX(Roster!$A:$A,MATCH($C854,Roster!$B:$B,0))="","",INDEX(Roster!$A:$A,MATCH($C854,Roster!$B:$B,0))&amp;""),"—"))</f>
        <v/>
      </c>
      <c r="E854" s="25">
        <f>IF($C854="","",IFERROR(IF(INDEX(Roster!$C:$C,MATCH($C854,Roster!$B:$B,0))="","",INDEX(Roster!$C:$C,MATCH($C854,Roster!$B:$B,0))&amp;""),"—"))</f>
        <v/>
      </c>
      <c r="F854" s="25">
        <f>IF($C854="","",IFERROR(IF(INDEX(Roster!$D:$D,MATCH($C854,Roster!$B:$B,0))="","",INDEX(Roster!$D:$D,MATCH($C854,Roster!$B:$B,0))&amp;""),"—"))</f>
        <v/>
      </c>
      <c r="G854" s="25">
        <f>IF($C854="","",IFERROR(IF(INDEX(Roster!$E:$E,MATCH($C854,Roster!$B:$B,0))="","",INDEX(Roster!$E:$E,MATCH($C854,Roster!$B:$B,0))&amp;""),"—"))</f>
        <v/>
      </c>
      <c r="H854" s="25">
        <f>IF($C854="","",IFERROR(IF(INDEX(Roster!$F:$F,MATCH($C854,Roster!$B:$B,0))="","",INDEX(Roster!$F:$F,MATCH($C854,Roster!$B:$B,0))&amp;""),"—"))</f>
        <v/>
      </c>
      <c r="I854" s="25">
        <f>IF($C854="","",IFERROR(IF(INDEX(Roster!$G:$G,MATCH($C854,Roster!$B:$B,0))="","",INDEX(Roster!$G:$G,MATCH($C854,Roster!$B:$B,0))&amp;""),"—"))</f>
        <v/>
      </c>
      <c r="J854" s="25">
        <f>IF($C854="","",IFERROR(IF(INDEX(Roster!$I:$I,MATCH($C854,Roster!$B:$B,0))="","",INDEX(Roster!$I:$I,MATCH($C854,Roster!$B:$B,0))&amp;""),"—"))</f>
        <v/>
      </c>
      <c r="K854">
        <f>IF($C854="","",IFERROR(IF(INDEX(Roster!$J:$J,MATCH($C854,Roster!$B:$B,0))="","",INDEX(Roster!$J:$J,MATCH($C854,Roster!$B:$B,0))&amp;""),"—"))</f>
        <v/>
      </c>
      <c r="L854">
        <f>IF($C854="","",IFERROR(IF(INDEX(Roster!$K:$K,MATCH($C854,Roster!$B:$B,0))="","",INDEX(Roster!$K:$K,MATCH($C854,Roster!$B:$B,0))&amp;""),"—"))</f>
        <v/>
      </c>
      <c r="M854" s="27" t="n"/>
      <c r="N854" s="27" t="n"/>
      <c r="O854" s="25">
        <f>IF($C854="","",IF($P854="","—",IF($P854="Valid (Pass)","Valid","Invalid")))</f>
        <v/>
      </c>
      <c r="P854" s="27" t="n"/>
      <c r="Q854" s="27" t="n"/>
      <c r="R854" s="27" t="n"/>
      <c r="S854" s="27" t="n"/>
      <c r="T854" s="25">
        <f>IF($C854="","",IF(OR(ISNUMBER(SEARCH("quick case",$P854)),ISNUMBER(SEARCH("quick case",$Q854))),"Yes","No"))</f>
        <v/>
      </c>
      <c r="U854" s="25">
        <f>IF($O854="Invalid",HYPERLINK("mailto:"&amp;$G854&amp;";"&amp;$I854&amp;"?cc="&amp;Lists!$E$2&amp;"&amp;subject="&amp;_xlfn.ENCODEURL("[INVALID] Quality audit monitoring completed for "&amp;UPPER($C854))&amp;"&amp;body="&amp;_xlfn.ENCODEURL("Hi "&amp;$F854&amp;","&amp;CHAR(10)&amp;"Good day!"&amp;CHAR(10)&amp;CHAR(10)&amp;"A quality monitoring audit has been completed for "&amp;$C854&amp;"."&amp;CHAR(10)&amp;CHAR(10)&amp;"QUALITY AUDIT DETAILS"&amp;CHAR(10)&amp;"Agent Name: "&amp;$C854&amp;" (EID "&amp;$D854&amp;")"&amp;CHAR(10)&amp;"Audit Date: "&amp;TEXT($B854,"yyyy-mm-dd")&amp;CHAR(10)&amp;"Team Leader: "&amp;$F854&amp;CHAR(10)&amp;"Case Number: "&amp;$M854&amp;CHAR(10)&amp;"Transaction ID: "&amp;$N854&amp;CHAR(10)&amp;"Channel / LOB: "&amp;$K854&amp;" / "&amp;$L854&amp;CHAR(10)&amp;"Evaluator: "&amp;$S854&amp;CHAR(10)&amp;CHAR(10)&amp;"INVALID QUALITY AUDIT DETAILS"&amp;CHAR(10)&amp;"Validation: Invalid"&amp;CHAR(10)&amp;"Invalid Reason: "&amp;$P854&amp;CHAR(10)&amp;"Expected Resolution Code: "&amp;$Q854&amp;CHAR(10)&amp;"Remarks: "&amp;LEFT($R854,600)&amp;CHAR(10)&amp;CHAR(10)&amp;"This is an automated notification from HP Mainstream EQMS."),"✉ Open Email Draft"),"")</f>
        <v/>
      </c>
    </row>
    <row r="855">
      <c r="A855" s="25">
        <f>IF($C855="","","AUD-2026-"&amp;TEXT(ROW()-1,"000000"))</f>
        <v/>
      </c>
      <c r="B855" s="26" t="n"/>
      <c r="C855" s="27" t="n"/>
      <c r="D855" s="25">
        <f>IF($C855="","",IFERROR(IF(INDEX(Roster!$A:$A,MATCH($C855,Roster!$B:$B,0))="","",INDEX(Roster!$A:$A,MATCH($C855,Roster!$B:$B,0))&amp;""),"—"))</f>
        <v/>
      </c>
      <c r="E855" s="25">
        <f>IF($C855="","",IFERROR(IF(INDEX(Roster!$C:$C,MATCH($C855,Roster!$B:$B,0))="","",INDEX(Roster!$C:$C,MATCH($C855,Roster!$B:$B,0))&amp;""),"—"))</f>
        <v/>
      </c>
      <c r="F855" s="25">
        <f>IF($C855="","",IFERROR(IF(INDEX(Roster!$D:$D,MATCH($C855,Roster!$B:$B,0))="","",INDEX(Roster!$D:$D,MATCH($C855,Roster!$B:$B,0))&amp;""),"—"))</f>
        <v/>
      </c>
      <c r="G855" s="25">
        <f>IF($C855="","",IFERROR(IF(INDEX(Roster!$E:$E,MATCH($C855,Roster!$B:$B,0))="","",INDEX(Roster!$E:$E,MATCH($C855,Roster!$B:$B,0))&amp;""),"—"))</f>
        <v/>
      </c>
      <c r="H855" s="25">
        <f>IF($C855="","",IFERROR(IF(INDEX(Roster!$F:$F,MATCH($C855,Roster!$B:$B,0))="","",INDEX(Roster!$F:$F,MATCH($C855,Roster!$B:$B,0))&amp;""),"—"))</f>
        <v/>
      </c>
      <c r="I855" s="25">
        <f>IF($C855="","",IFERROR(IF(INDEX(Roster!$G:$G,MATCH($C855,Roster!$B:$B,0))="","",INDEX(Roster!$G:$G,MATCH($C855,Roster!$B:$B,0))&amp;""),"—"))</f>
        <v/>
      </c>
      <c r="J855" s="25">
        <f>IF($C855="","",IFERROR(IF(INDEX(Roster!$I:$I,MATCH($C855,Roster!$B:$B,0))="","",INDEX(Roster!$I:$I,MATCH($C855,Roster!$B:$B,0))&amp;""),"—"))</f>
        <v/>
      </c>
      <c r="K855">
        <f>IF($C855="","",IFERROR(IF(INDEX(Roster!$J:$J,MATCH($C855,Roster!$B:$B,0))="","",INDEX(Roster!$J:$J,MATCH($C855,Roster!$B:$B,0))&amp;""),"—"))</f>
        <v/>
      </c>
      <c r="L855">
        <f>IF($C855="","",IFERROR(IF(INDEX(Roster!$K:$K,MATCH($C855,Roster!$B:$B,0))="","",INDEX(Roster!$K:$K,MATCH($C855,Roster!$B:$B,0))&amp;""),"—"))</f>
        <v/>
      </c>
      <c r="M855" s="27" t="n"/>
      <c r="N855" s="27" t="n"/>
      <c r="O855" s="25">
        <f>IF($C855="","",IF($P855="","—",IF($P855="Valid (Pass)","Valid","Invalid")))</f>
        <v/>
      </c>
      <c r="P855" s="27" t="n"/>
      <c r="Q855" s="27" t="n"/>
      <c r="R855" s="27" t="n"/>
      <c r="S855" s="27" t="n"/>
      <c r="T855" s="25">
        <f>IF($C855="","",IF(OR(ISNUMBER(SEARCH("quick case",$P855)),ISNUMBER(SEARCH("quick case",$Q855))),"Yes","No"))</f>
        <v/>
      </c>
      <c r="U855" s="25">
        <f>IF($O855="Invalid",HYPERLINK("mailto:"&amp;$G855&amp;";"&amp;$I855&amp;"?cc="&amp;Lists!$E$2&amp;"&amp;subject="&amp;_xlfn.ENCODEURL("[INVALID] Quality audit monitoring completed for "&amp;UPPER($C855))&amp;"&amp;body="&amp;_xlfn.ENCODEURL("Hi "&amp;$F855&amp;","&amp;CHAR(10)&amp;"Good day!"&amp;CHAR(10)&amp;CHAR(10)&amp;"A quality monitoring audit has been completed for "&amp;$C855&amp;"."&amp;CHAR(10)&amp;CHAR(10)&amp;"QUALITY AUDIT DETAILS"&amp;CHAR(10)&amp;"Agent Name: "&amp;$C855&amp;" (EID "&amp;$D855&amp;")"&amp;CHAR(10)&amp;"Audit Date: "&amp;TEXT($B855,"yyyy-mm-dd")&amp;CHAR(10)&amp;"Team Leader: "&amp;$F855&amp;CHAR(10)&amp;"Case Number: "&amp;$M855&amp;CHAR(10)&amp;"Transaction ID: "&amp;$N855&amp;CHAR(10)&amp;"Channel / LOB: "&amp;$K855&amp;" / "&amp;$L855&amp;CHAR(10)&amp;"Evaluator: "&amp;$S855&amp;CHAR(10)&amp;CHAR(10)&amp;"INVALID QUALITY AUDIT DETAILS"&amp;CHAR(10)&amp;"Validation: Invalid"&amp;CHAR(10)&amp;"Invalid Reason: "&amp;$P855&amp;CHAR(10)&amp;"Expected Resolution Code: "&amp;$Q855&amp;CHAR(10)&amp;"Remarks: "&amp;LEFT($R855,600)&amp;CHAR(10)&amp;CHAR(10)&amp;"This is an automated notification from HP Mainstream EQMS."),"✉ Open Email Draft"),"")</f>
        <v/>
      </c>
    </row>
    <row r="856">
      <c r="A856" s="25">
        <f>IF($C856="","","AUD-2026-"&amp;TEXT(ROW()-1,"000000"))</f>
        <v/>
      </c>
      <c r="B856" s="26" t="n"/>
      <c r="C856" s="27" t="n"/>
      <c r="D856" s="25">
        <f>IF($C856="","",IFERROR(IF(INDEX(Roster!$A:$A,MATCH($C856,Roster!$B:$B,0))="","",INDEX(Roster!$A:$A,MATCH($C856,Roster!$B:$B,0))&amp;""),"—"))</f>
        <v/>
      </c>
      <c r="E856" s="25">
        <f>IF($C856="","",IFERROR(IF(INDEX(Roster!$C:$C,MATCH($C856,Roster!$B:$B,0))="","",INDEX(Roster!$C:$C,MATCH($C856,Roster!$B:$B,0))&amp;""),"—"))</f>
        <v/>
      </c>
      <c r="F856" s="25">
        <f>IF($C856="","",IFERROR(IF(INDEX(Roster!$D:$D,MATCH($C856,Roster!$B:$B,0))="","",INDEX(Roster!$D:$D,MATCH($C856,Roster!$B:$B,0))&amp;""),"—"))</f>
        <v/>
      </c>
      <c r="G856" s="25">
        <f>IF($C856="","",IFERROR(IF(INDEX(Roster!$E:$E,MATCH($C856,Roster!$B:$B,0))="","",INDEX(Roster!$E:$E,MATCH($C856,Roster!$B:$B,0))&amp;""),"—"))</f>
        <v/>
      </c>
      <c r="H856" s="25">
        <f>IF($C856="","",IFERROR(IF(INDEX(Roster!$F:$F,MATCH($C856,Roster!$B:$B,0))="","",INDEX(Roster!$F:$F,MATCH($C856,Roster!$B:$B,0))&amp;""),"—"))</f>
        <v/>
      </c>
      <c r="I856" s="25">
        <f>IF($C856="","",IFERROR(IF(INDEX(Roster!$G:$G,MATCH($C856,Roster!$B:$B,0))="","",INDEX(Roster!$G:$G,MATCH($C856,Roster!$B:$B,0))&amp;""),"—"))</f>
        <v/>
      </c>
      <c r="J856" s="25">
        <f>IF($C856="","",IFERROR(IF(INDEX(Roster!$I:$I,MATCH($C856,Roster!$B:$B,0))="","",INDEX(Roster!$I:$I,MATCH($C856,Roster!$B:$B,0))&amp;""),"—"))</f>
        <v/>
      </c>
      <c r="K856">
        <f>IF($C856="","",IFERROR(IF(INDEX(Roster!$J:$J,MATCH($C856,Roster!$B:$B,0))="","",INDEX(Roster!$J:$J,MATCH($C856,Roster!$B:$B,0))&amp;""),"—"))</f>
        <v/>
      </c>
      <c r="L856">
        <f>IF($C856="","",IFERROR(IF(INDEX(Roster!$K:$K,MATCH($C856,Roster!$B:$B,0))="","",INDEX(Roster!$K:$K,MATCH($C856,Roster!$B:$B,0))&amp;""),"—"))</f>
        <v/>
      </c>
      <c r="M856" s="27" t="n"/>
      <c r="N856" s="27" t="n"/>
      <c r="O856" s="25">
        <f>IF($C856="","",IF($P856="","—",IF($P856="Valid (Pass)","Valid","Invalid")))</f>
        <v/>
      </c>
      <c r="P856" s="27" t="n"/>
      <c r="Q856" s="27" t="n"/>
      <c r="R856" s="27" t="n"/>
      <c r="S856" s="27" t="n"/>
      <c r="T856" s="25">
        <f>IF($C856="","",IF(OR(ISNUMBER(SEARCH("quick case",$P856)),ISNUMBER(SEARCH("quick case",$Q856))),"Yes","No"))</f>
        <v/>
      </c>
      <c r="U856" s="25">
        <f>IF($O856="Invalid",HYPERLINK("mailto:"&amp;$G856&amp;";"&amp;$I856&amp;"?cc="&amp;Lists!$E$2&amp;"&amp;subject="&amp;_xlfn.ENCODEURL("[INVALID] Quality audit monitoring completed for "&amp;UPPER($C856))&amp;"&amp;body="&amp;_xlfn.ENCODEURL("Hi "&amp;$F856&amp;","&amp;CHAR(10)&amp;"Good day!"&amp;CHAR(10)&amp;CHAR(10)&amp;"A quality monitoring audit has been completed for "&amp;$C856&amp;"."&amp;CHAR(10)&amp;CHAR(10)&amp;"QUALITY AUDIT DETAILS"&amp;CHAR(10)&amp;"Agent Name: "&amp;$C856&amp;" (EID "&amp;$D856&amp;")"&amp;CHAR(10)&amp;"Audit Date: "&amp;TEXT($B856,"yyyy-mm-dd")&amp;CHAR(10)&amp;"Team Leader: "&amp;$F856&amp;CHAR(10)&amp;"Case Number: "&amp;$M856&amp;CHAR(10)&amp;"Transaction ID: "&amp;$N856&amp;CHAR(10)&amp;"Channel / LOB: "&amp;$K856&amp;" / "&amp;$L856&amp;CHAR(10)&amp;"Evaluator: "&amp;$S856&amp;CHAR(10)&amp;CHAR(10)&amp;"INVALID QUALITY AUDIT DETAILS"&amp;CHAR(10)&amp;"Validation: Invalid"&amp;CHAR(10)&amp;"Invalid Reason: "&amp;$P856&amp;CHAR(10)&amp;"Expected Resolution Code: "&amp;$Q856&amp;CHAR(10)&amp;"Remarks: "&amp;LEFT($R856,600)&amp;CHAR(10)&amp;CHAR(10)&amp;"This is an automated notification from HP Mainstream EQMS."),"✉ Open Email Draft"),"")</f>
        <v/>
      </c>
    </row>
    <row r="857">
      <c r="A857" s="25">
        <f>IF($C857="","","AUD-2026-"&amp;TEXT(ROW()-1,"000000"))</f>
        <v/>
      </c>
      <c r="B857" s="26" t="n"/>
      <c r="C857" s="27" t="n"/>
      <c r="D857" s="25">
        <f>IF($C857="","",IFERROR(IF(INDEX(Roster!$A:$A,MATCH($C857,Roster!$B:$B,0))="","",INDEX(Roster!$A:$A,MATCH($C857,Roster!$B:$B,0))&amp;""),"—"))</f>
        <v/>
      </c>
      <c r="E857" s="25">
        <f>IF($C857="","",IFERROR(IF(INDEX(Roster!$C:$C,MATCH($C857,Roster!$B:$B,0))="","",INDEX(Roster!$C:$C,MATCH($C857,Roster!$B:$B,0))&amp;""),"—"))</f>
        <v/>
      </c>
      <c r="F857" s="25">
        <f>IF($C857="","",IFERROR(IF(INDEX(Roster!$D:$D,MATCH($C857,Roster!$B:$B,0))="","",INDEX(Roster!$D:$D,MATCH($C857,Roster!$B:$B,0))&amp;""),"—"))</f>
        <v/>
      </c>
      <c r="G857" s="25">
        <f>IF($C857="","",IFERROR(IF(INDEX(Roster!$E:$E,MATCH($C857,Roster!$B:$B,0))="","",INDEX(Roster!$E:$E,MATCH($C857,Roster!$B:$B,0))&amp;""),"—"))</f>
        <v/>
      </c>
      <c r="H857" s="25">
        <f>IF($C857="","",IFERROR(IF(INDEX(Roster!$F:$F,MATCH($C857,Roster!$B:$B,0))="","",INDEX(Roster!$F:$F,MATCH($C857,Roster!$B:$B,0))&amp;""),"—"))</f>
        <v/>
      </c>
      <c r="I857" s="25">
        <f>IF($C857="","",IFERROR(IF(INDEX(Roster!$G:$G,MATCH($C857,Roster!$B:$B,0))="","",INDEX(Roster!$G:$G,MATCH($C857,Roster!$B:$B,0))&amp;""),"—"))</f>
        <v/>
      </c>
      <c r="J857" s="25">
        <f>IF($C857="","",IFERROR(IF(INDEX(Roster!$I:$I,MATCH($C857,Roster!$B:$B,0))="","",INDEX(Roster!$I:$I,MATCH($C857,Roster!$B:$B,0))&amp;""),"—"))</f>
        <v/>
      </c>
      <c r="K857">
        <f>IF($C857="","",IFERROR(IF(INDEX(Roster!$J:$J,MATCH($C857,Roster!$B:$B,0))="","",INDEX(Roster!$J:$J,MATCH($C857,Roster!$B:$B,0))&amp;""),"—"))</f>
        <v/>
      </c>
      <c r="L857">
        <f>IF($C857="","",IFERROR(IF(INDEX(Roster!$K:$K,MATCH($C857,Roster!$B:$B,0))="","",INDEX(Roster!$K:$K,MATCH($C857,Roster!$B:$B,0))&amp;""),"—"))</f>
        <v/>
      </c>
      <c r="M857" s="27" t="n"/>
      <c r="N857" s="27" t="n"/>
      <c r="O857" s="25">
        <f>IF($C857="","",IF($P857="","—",IF($P857="Valid (Pass)","Valid","Invalid")))</f>
        <v/>
      </c>
      <c r="P857" s="27" t="n"/>
      <c r="Q857" s="27" t="n"/>
      <c r="R857" s="27" t="n"/>
      <c r="S857" s="27" t="n"/>
      <c r="T857" s="25">
        <f>IF($C857="","",IF(OR(ISNUMBER(SEARCH("quick case",$P857)),ISNUMBER(SEARCH("quick case",$Q857))),"Yes","No"))</f>
        <v/>
      </c>
      <c r="U857" s="25">
        <f>IF($O857="Invalid",HYPERLINK("mailto:"&amp;$G857&amp;";"&amp;$I857&amp;"?cc="&amp;Lists!$E$2&amp;"&amp;subject="&amp;_xlfn.ENCODEURL("[INVALID] Quality audit monitoring completed for "&amp;UPPER($C857))&amp;"&amp;body="&amp;_xlfn.ENCODEURL("Hi "&amp;$F857&amp;","&amp;CHAR(10)&amp;"Good day!"&amp;CHAR(10)&amp;CHAR(10)&amp;"A quality monitoring audit has been completed for "&amp;$C857&amp;"."&amp;CHAR(10)&amp;CHAR(10)&amp;"QUALITY AUDIT DETAILS"&amp;CHAR(10)&amp;"Agent Name: "&amp;$C857&amp;" (EID "&amp;$D857&amp;")"&amp;CHAR(10)&amp;"Audit Date: "&amp;TEXT($B857,"yyyy-mm-dd")&amp;CHAR(10)&amp;"Team Leader: "&amp;$F857&amp;CHAR(10)&amp;"Case Number: "&amp;$M857&amp;CHAR(10)&amp;"Transaction ID: "&amp;$N857&amp;CHAR(10)&amp;"Channel / LOB: "&amp;$K857&amp;" / "&amp;$L857&amp;CHAR(10)&amp;"Evaluator: "&amp;$S857&amp;CHAR(10)&amp;CHAR(10)&amp;"INVALID QUALITY AUDIT DETAILS"&amp;CHAR(10)&amp;"Validation: Invalid"&amp;CHAR(10)&amp;"Invalid Reason: "&amp;$P857&amp;CHAR(10)&amp;"Expected Resolution Code: "&amp;$Q857&amp;CHAR(10)&amp;"Remarks: "&amp;LEFT($R857,600)&amp;CHAR(10)&amp;CHAR(10)&amp;"This is an automated notification from HP Mainstream EQMS."),"✉ Open Email Draft"),"")</f>
        <v/>
      </c>
    </row>
    <row r="858">
      <c r="A858" s="25">
        <f>IF($C858="","","AUD-2026-"&amp;TEXT(ROW()-1,"000000"))</f>
        <v/>
      </c>
      <c r="B858" s="26" t="n"/>
      <c r="C858" s="27" t="n"/>
      <c r="D858" s="25">
        <f>IF($C858="","",IFERROR(IF(INDEX(Roster!$A:$A,MATCH($C858,Roster!$B:$B,0))="","",INDEX(Roster!$A:$A,MATCH($C858,Roster!$B:$B,0))&amp;""),"—"))</f>
        <v/>
      </c>
      <c r="E858" s="25">
        <f>IF($C858="","",IFERROR(IF(INDEX(Roster!$C:$C,MATCH($C858,Roster!$B:$B,0))="","",INDEX(Roster!$C:$C,MATCH($C858,Roster!$B:$B,0))&amp;""),"—"))</f>
        <v/>
      </c>
      <c r="F858" s="25">
        <f>IF($C858="","",IFERROR(IF(INDEX(Roster!$D:$D,MATCH($C858,Roster!$B:$B,0))="","",INDEX(Roster!$D:$D,MATCH($C858,Roster!$B:$B,0))&amp;""),"—"))</f>
        <v/>
      </c>
      <c r="G858" s="25">
        <f>IF($C858="","",IFERROR(IF(INDEX(Roster!$E:$E,MATCH($C858,Roster!$B:$B,0))="","",INDEX(Roster!$E:$E,MATCH($C858,Roster!$B:$B,0))&amp;""),"—"))</f>
        <v/>
      </c>
      <c r="H858" s="25">
        <f>IF($C858="","",IFERROR(IF(INDEX(Roster!$F:$F,MATCH($C858,Roster!$B:$B,0))="","",INDEX(Roster!$F:$F,MATCH($C858,Roster!$B:$B,0))&amp;""),"—"))</f>
        <v/>
      </c>
      <c r="I858" s="25">
        <f>IF($C858="","",IFERROR(IF(INDEX(Roster!$G:$G,MATCH($C858,Roster!$B:$B,0))="","",INDEX(Roster!$G:$G,MATCH($C858,Roster!$B:$B,0))&amp;""),"—"))</f>
        <v/>
      </c>
      <c r="J858" s="25">
        <f>IF($C858="","",IFERROR(IF(INDEX(Roster!$I:$I,MATCH($C858,Roster!$B:$B,0))="","",INDEX(Roster!$I:$I,MATCH($C858,Roster!$B:$B,0))&amp;""),"—"))</f>
        <v/>
      </c>
      <c r="K858">
        <f>IF($C858="","",IFERROR(IF(INDEX(Roster!$J:$J,MATCH($C858,Roster!$B:$B,0))="","",INDEX(Roster!$J:$J,MATCH($C858,Roster!$B:$B,0))&amp;""),"—"))</f>
        <v/>
      </c>
      <c r="L858">
        <f>IF($C858="","",IFERROR(IF(INDEX(Roster!$K:$K,MATCH($C858,Roster!$B:$B,0))="","",INDEX(Roster!$K:$K,MATCH($C858,Roster!$B:$B,0))&amp;""),"—"))</f>
        <v/>
      </c>
      <c r="M858" s="27" t="n"/>
      <c r="N858" s="27" t="n"/>
      <c r="O858" s="25">
        <f>IF($C858="","",IF($P858="","—",IF($P858="Valid (Pass)","Valid","Invalid")))</f>
        <v/>
      </c>
      <c r="P858" s="27" t="n"/>
      <c r="Q858" s="27" t="n"/>
      <c r="R858" s="27" t="n"/>
      <c r="S858" s="27" t="n"/>
      <c r="T858" s="25">
        <f>IF($C858="","",IF(OR(ISNUMBER(SEARCH("quick case",$P858)),ISNUMBER(SEARCH("quick case",$Q858))),"Yes","No"))</f>
        <v/>
      </c>
      <c r="U858" s="25">
        <f>IF($O858="Invalid",HYPERLINK("mailto:"&amp;$G858&amp;";"&amp;$I858&amp;"?cc="&amp;Lists!$E$2&amp;"&amp;subject="&amp;_xlfn.ENCODEURL("[INVALID] Quality audit monitoring completed for "&amp;UPPER($C858))&amp;"&amp;body="&amp;_xlfn.ENCODEURL("Hi "&amp;$F858&amp;","&amp;CHAR(10)&amp;"Good day!"&amp;CHAR(10)&amp;CHAR(10)&amp;"A quality monitoring audit has been completed for "&amp;$C858&amp;"."&amp;CHAR(10)&amp;CHAR(10)&amp;"QUALITY AUDIT DETAILS"&amp;CHAR(10)&amp;"Agent Name: "&amp;$C858&amp;" (EID "&amp;$D858&amp;")"&amp;CHAR(10)&amp;"Audit Date: "&amp;TEXT($B858,"yyyy-mm-dd")&amp;CHAR(10)&amp;"Team Leader: "&amp;$F858&amp;CHAR(10)&amp;"Case Number: "&amp;$M858&amp;CHAR(10)&amp;"Transaction ID: "&amp;$N858&amp;CHAR(10)&amp;"Channel / LOB: "&amp;$K858&amp;" / "&amp;$L858&amp;CHAR(10)&amp;"Evaluator: "&amp;$S858&amp;CHAR(10)&amp;CHAR(10)&amp;"INVALID QUALITY AUDIT DETAILS"&amp;CHAR(10)&amp;"Validation: Invalid"&amp;CHAR(10)&amp;"Invalid Reason: "&amp;$P858&amp;CHAR(10)&amp;"Expected Resolution Code: "&amp;$Q858&amp;CHAR(10)&amp;"Remarks: "&amp;LEFT($R858,600)&amp;CHAR(10)&amp;CHAR(10)&amp;"This is an automated notification from HP Mainstream EQMS."),"✉ Open Email Draft"),"")</f>
        <v/>
      </c>
    </row>
    <row r="859">
      <c r="A859" s="25">
        <f>IF($C859="","","AUD-2026-"&amp;TEXT(ROW()-1,"000000"))</f>
        <v/>
      </c>
      <c r="B859" s="26" t="n"/>
      <c r="C859" s="27" t="n"/>
      <c r="D859" s="25">
        <f>IF($C859="","",IFERROR(IF(INDEX(Roster!$A:$A,MATCH($C859,Roster!$B:$B,0))="","",INDEX(Roster!$A:$A,MATCH($C859,Roster!$B:$B,0))&amp;""),"—"))</f>
        <v/>
      </c>
      <c r="E859" s="25">
        <f>IF($C859="","",IFERROR(IF(INDEX(Roster!$C:$C,MATCH($C859,Roster!$B:$B,0))="","",INDEX(Roster!$C:$C,MATCH($C859,Roster!$B:$B,0))&amp;""),"—"))</f>
        <v/>
      </c>
      <c r="F859" s="25">
        <f>IF($C859="","",IFERROR(IF(INDEX(Roster!$D:$D,MATCH($C859,Roster!$B:$B,0))="","",INDEX(Roster!$D:$D,MATCH($C859,Roster!$B:$B,0))&amp;""),"—"))</f>
        <v/>
      </c>
      <c r="G859" s="25">
        <f>IF($C859="","",IFERROR(IF(INDEX(Roster!$E:$E,MATCH($C859,Roster!$B:$B,0))="","",INDEX(Roster!$E:$E,MATCH($C859,Roster!$B:$B,0))&amp;""),"—"))</f>
        <v/>
      </c>
      <c r="H859" s="25">
        <f>IF($C859="","",IFERROR(IF(INDEX(Roster!$F:$F,MATCH($C859,Roster!$B:$B,0))="","",INDEX(Roster!$F:$F,MATCH($C859,Roster!$B:$B,0))&amp;""),"—"))</f>
        <v/>
      </c>
      <c r="I859" s="25">
        <f>IF($C859="","",IFERROR(IF(INDEX(Roster!$G:$G,MATCH($C859,Roster!$B:$B,0))="","",INDEX(Roster!$G:$G,MATCH($C859,Roster!$B:$B,0))&amp;""),"—"))</f>
        <v/>
      </c>
      <c r="J859" s="25">
        <f>IF($C859="","",IFERROR(IF(INDEX(Roster!$I:$I,MATCH($C859,Roster!$B:$B,0))="","",INDEX(Roster!$I:$I,MATCH($C859,Roster!$B:$B,0))&amp;""),"—"))</f>
        <v/>
      </c>
      <c r="K859">
        <f>IF($C859="","",IFERROR(IF(INDEX(Roster!$J:$J,MATCH($C859,Roster!$B:$B,0))="","",INDEX(Roster!$J:$J,MATCH($C859,Roster!$B:$B,0))&amp;""),"—"))</f>
        <v/>
      </c>
      <c r="L859">
        <f>IF($C859="","",IFERROR(IF(INDEX(Roster!$K:$K,MATCH($C859,Roster!$B:$B,0))="","",INDEX(Roster!$K:$K,MATCH($C859,Roster!$B:$B,0))&amp;""),"—"))</f>
        <v/>
      </c>
      <c r="M859" s="27" t="n"/>
      <c r="N859" s="27" t="n"/>
      <c r="O859" s="25">
        <f>IF($C859="","",IF($P859="","—",IF($P859="Valid (Pass)","Valid","Invalid")))</f>
        <v/>
      </c>
      <c r="P859" s="27" t="n"/>
      <c r="Q859" s="27" t="n"/>
      <c r="R859" s="27" t="n"/>
      <c r="S859" s="27" t="n"/>
      <c r="T859" s="25">
        <f>IF($C859="","",IF(OR(ISNUMBER(SEARCH("quick case",$P859)),ISNUMBER(SEARCH("quick case",$Q859))),"Yes","No"))</f>
        <v/>
      </c>
      <c r="U859" s="25">
        <f>IF($O859="Invalid",HYPERLINK("mailto:"&amp;$G859&amp;";"&amp;$I859&amp;"?cc="&amp;Lists!$E$2&amp;"&amp;subject="&amp;_xlfn.ENCODEURL("[INVALID] Quality audit monitoring completed for "&amp;UPPER($C859))&amp;"&amp;body="&amp;_xlfn.ENCODEURL("Hi "&amp;$F859&amp;","&amp;CHAR(10)&amp;"Good day!"&amp;CHAR(10)&amp;CHAR(10)&amp;"A quality monitoring audit has been completed for "&amp;$C859&amp;"."&amp;CHAR(10)&amp;CHAR(10)&amp;"QUALITY AUDIT DETAILS"&amp;CHAR(10)&amp;"Agent Name: "&amp;$C859&amp;" (EID "&amp;$D859&amp;")"&amp;CHAR(10)&amp;"Audit Date: "&amp;TEXT($B859,"yyyy-mm-dd")&amp;CHAR(10)&amp;"Team Leader: "&amp;$F859&amp;CHAR(10)&amp;"Case Number: "&amp;$M859&amp;CHAR(10)&amp;"Transaction ID: "&amp;$N859&amp;CHAR(10)&amp;"Channel / LOB: "&amp;$K859&amp;" / "&amp;$L859&amp;CHAR(10)&amp;"Evaluator: "&amp;$S859&amp;CHAR(10)&amp;CHAR(10)&amp;"INVALID QUALITY AUDIT DETAILS"&amp;CHAR(10)&amp;"Validation: Invalid"&amp;CHAR(10)&amp;"Invalid Reason: "&amp;$P859&amp;CHAR(10)&amp;"Expected Resolution Code: "&amp;$Q859&amp;CHAR(10)&amp;"Remarks: "&amp;LEFT($R859,600)&amp;CHAR(10)&amp;CHAR(10)&amp;"This is an automated notification from HP Mainstream EQMS."),"✉ Open Email Draft"),"")</f>
        <v/>
      </c>
    </row>
    <row r="860">
      <c r="A860" s="25">
        <f>IF($C860="","","AUD-2026-"&amp;TEXT(ROW()-1,"000000"))</f>
        <v/>
      </c>
      <c r="B860" s="26" t="n"/>
      <c r="C860" s="27" t="n"/>
      <c r="D860" s="25">
        <f>IF($C860="","",IFERROR(IF(INDEX(Roster!$A:$A,MATCH($C860,Roster!$B:$B,0))="","",INDEX(Roster!$A:$A,MATCH($C860,Roster!$B:$B,0))&amp;""),"—"))</f>
        <v/>
      </c>
      <c r="E860" s="25">
        <f>IF($C860="","",IFERROR(IF(INDEX(Roster!$C:$C,MATCH($C860,Roster!$B:$B,0))="","",INDEX(Roster!$C:$C,MATCH($C860,Roster!$B:$B,0))&amp;""),"—"))</f>
        <v/>
      </c>
      <c r="F860" s="25">
        <f>IF($C860="","",IFERROR(IF(INDEX(Roster!$D:$D,MATCH($C860,Roster!$B:$B,0))="","",INDEX(Roster!$D:$D,MATCH($C860,Roster!$B:$B,0))&amp;""),"—"))</f>
        <v/>
      </c>
      <c r="G860" s="25">
        <f>IF($C860="","",IFERROR(IF(INDEX(Roster!$E:$E,MATCH($C860,Roster!$B:$B,0))="","",INDEX(Roster!$E:$E,MATCH($C860,Roster!$B:$B,0))&amp;""),"—"))</f>
        <v/>
      </c>
      <c r="H860" s="25">
        <f>IF($C860="","",IFERROR(IF(INDEX(Roster!$F:$F,MATCH($C860,Roster!$B:$B,0))="","",INDEX(Roster!$F:$F,MATCH($C860,Roster!$B:$B,0))&amp;""),"—"))</f>
        <v/>
      </c>
      <c r="I860" s="25">
        <f>IF($C860="","",IFERROR(IF(INDEX(Roster!$G:$G,MATCH($C860,Roster!$B:$B,0))="","",INDEX(Roster!$G:$G,MATCH($C860,Roster!$B:$B,0))&amp;""),"—"))</f>
        <v/>
      </c>
      <c r="J860" s="25">
        <f>IF($C860="","",IFERROR(IF(INDEX(Roster!$I:$I,MATCH($C860,Roster!$B:$B,0))="","",INDEX(Roster!$I:$I,MATCH($C860,Roster!$B:$B,0))&amp;""),"—"))</f>
        <v/>
      </c>
      <c r="K860">
        <f>IF($C860="","",IFERROR(IF(INDEX(Roster!$J:$J,MATCH($C860,Roster!$B:$B,0))="","",INDEX(Roster!$J:$J,MATCH($C860,Roster!$B:$B,0))&amp;""),"—"))</f>
        <v/>
      </c>
      <c r="L860">
        <f>IF($C860="","",IFERROR(IF(INDEX(Roster!$K:$K,MATCH($C860,Roster!$B:$B,0))="","",INDEX(Roster!$K:$K,MATCH($C860,Roster!$B:$B,0))&amp;""),"—"))</f>
        <v/>
      </c>
      <c r="M860" s="27" t="n"/>
      <c r="N860" s="27" t="n"/>
      <c r="O860" s="25">
        <f>IF($C860="","",IF($P860="","—",IF($P860="Valid (Pass)","Valid","Invalid")))</f>
        <v/>
      </c>
      <c r="P860" s="27" t="n"/>
      <c r="Q860" s="27" t="n"/>
      <c r="R860" s="27" t="n"/>
      <c r="S860" s="27" t="n"/>
      <c r="T860" s="25">
        <f>IF($C860="","",IF(OR(ISNUMBER(SEARCH("quick case",$P860)),ISNUMBER(SEARCH("quick case",$Q860))),"Yes","No"))</f>
        <v/>
      </c>
      <c r="U860" s="25">
        <f>IF($O860="Invalid",HYPERLINK("mailto:"&amp;$G860&amp;";"&amp;$I860&amp;"?cc="&amp;Lists!$E$2&amp;"&amp;subject="&amp;_xlfn.ENCODEURL("[INVALID] Quality audit monitoring completed for "&amp;UPPER($C860))&amp;"&amp;body="&amp;_xlfn.ENCODEURL("Hi "&amp;$F860&amp;","&amp;CHAR(10)&amp;"Good day!"&amp;CHAR(10)&amp;CHAR(10)&amp;"A quality monitoring audit has been completed for "&amp;$C860&amp;"."&amp;CHAR(10)&amp;CHAR(10)&amp;"QUALITY AUDIT DETAILS"&amp;CHAR(10)&amp;"Agent Name: "&amp;$C860&amp;" (EID "&amp;$D860&amp;")"&amp;CHAR(10)&amp;"Audit Date: "&amp;TEXT($B860,"yyyy-mm-dd")&amp;CHAR(10)&amp;"Team Leader: "&amp;$F860&amp;CHAR(10)&amp;"Case Number: "&amp;$M860&amp;CHAR(10)&amp;"Transaction ID: "&amp;$N860&amp;CHAR(10)&amp;"Channel / LOB: "&amp;$K860&amp;" / "&amp;$L860&amp;CHAR(10)&amp;"Evaluator: "&amp;$S860&amp;CHAR(10)&amp;CHAR(10)&amp;"INVALID QUALITY AUDIT DETAILS"&amp;CHAR(10)&amp;"Validation: Invalid"&amp;CHAR(10)&amp;"Invalid Reason: "&amp;$P860&amp;CHAR(10)&amp;"Expected Resolution Code: "&amp;$Q860&amp;CHAR(10)&amp;"Remarks: "&amp;LEFT($R860,600)&amp;CHAR(10)&amp;CHAR(10)&amp;"This is an automated notification from HP Mainstream EQMS."),"✉ Open Email Draft"),"")</f>
        <v/>
      </c>
    </row>
    <row r="861">
      <c r="A861" s="25">
        <f>IF($C861="","","AUD-2026-"&amp;TEXT(ROW()-1,"000000"))</f>
        <v/>
      </c>
      <c r="B861" s="26" t="n"/>
      <c r="C861" s="27" t="n"/>
      <c r="D861" s="25">
        <f>IF($C861="","",IFERROR(IF(INDEX(Roster!$A:$A,MATCH($C861,Roster!$B:$B,0))="","",INDEX(Roster!$A:$A,MATCH($C861,Roster!$B:$B,0))&amp;""),"—"))</f>
        <v/>
      </c>
      <c r="E861" s="25">
        <f>IF($C861="","",IFERROR(IF(INDEX(Roster!$C:$C,MATCH($C861,Roster!$B:$B,0))="","",INDEX(Roster!$C:$C,MATCH($C861,Roster!$B:$B,0))&amp;""),"—"))</f>
        <v/>
      </c>
      <c r="F861" s="25">
        <f>IF($C861="","",IFERROR(IF(INDEX(Roster!$D:$D,MATCH($C861,Roster!$B:$B,0))="","",INDEX(Roster!$D:$D,MATCH($C861,Roster!$B:$B,0))&amp;""),"—"))</f>
        <v/>
      </c>
      <c r="G861" s="25">
        <f>IF($C861="","",IFERROR(IF(INDEX(Roster!$E:$E,MATCH($C861,Roster!$B:$B,0))="","",INDEX(Roster!$E:$E,MATCH($C861,Roster!$B:$B,0))&amp;""),"—"))</f>
        <v/>
      </c>
      <c r="H861" s="25">
        <f>IF($C861="","",IFERROR(IF(INDEX(Roster!$F:$F,MATCH($C861,Roster!$B:$B,0))="","",INDEX(Roster!$F:$F,MATCH($C861,Roster!$B:$B,0))&amp;""),"—"))</f>
        <v/>
      </c>
      <c r="I861" s="25">
        <f>IF($C861="","",IFERROR(IF(INDEX(Roster!$G:$G,MATCH($C861,Roster!$B:$B,0))="","",INDEX(Roster!$G:$G,MATCH($C861,Roster!$B:$B,0))&amp;""),"—"))</f>
        <v/>
      </c>
      <c r="J861" s="25">
        <f>IF($C861="","",IFERROR(IF(INDEX(Roster!$I:$I,MATCH($C861,Roster!$B:$B,0))="","",INDEX(Roster!$I:$I,MATCH($C861,Roster!$B:$B,0))&amp;""),"—"))</f>
        <v/>
      </c>
      <c r="K861">
        <f>IF($C861="","",IFERROR(IF(INDEX(Roster!$J:$J,MATCH($C861,Roster!$B:$B,0))="","",INDEX(Roster!$J:$J,MATCH($C861,Roster!$B:$B,0))&amp;""),"—"))</f>
        <v/>
      </c>
      <c r="L861">
        <f>IF($C861="","",IFERROR(IF(INDEX(Roster!$K:$K,MATCH($C861,Roster!$B:$B,0))="","",INDEX(Roster!$K:$K,MATCH($C861,Roster!$B:$B,0))&amp;""),"—"))</f>
        <v/>
      </c>
      <c r="M861" s="27" t="n"/>
      <c r="N861" s="27" t="n"/>
      <c r="O861" s="25">
        <f>IF($C861="","",IF($P861="","—",IF($P861="Valid (Pass)","Valid","Invalid")))</f>
        <v/>
      </c>
      <c r="P861" s="27" t="n"/>
      <c r="Q861" s="27" t="n"/>
      <c r="R861" s="27" t="n"/>
      <c r="S861" s="27" t="n"/>
      <c r="T861" s="25">
        <f>IF($C861="","",IF(OR(ISNUMBER(SEARCH("quick case",$P861)),ISNUMBER(SEARCH("quick case",$Q861))),"Yes","No"))</f>
        <v/>
      </c>
      <c r="U861" s="25">
        <f>IF($O861="Invalid",HYPERLINK("mailto:"&amp;$G861&amp;";"&amp;$I861&amp;"?cc="&amp;Lists!$E$2&amp;"&amp;subject="&amp;_xlfn.ENCODEURL("[INVALID] Quality audit monitoring completed for "&amp;UPPER($C861))&amp;"&amp;body="&amp;_xlfn.ENCODEURL("Hi "&amp;$F861&amp;","&amp;CHAR(10)&amp;"Good day!"&amp;CHAR(10)&amp;CHAR(10)&amp;"A quality monitoring audit has been completed for "&amp;$C861&amp;"."&amp;CHAR(10)&amp;CHAR(10)&amp;"QUALITY AUDIT DETAILS"&amp;CHAR(10)&amp;"Agent Name: "&amp;$C861&amp;" (EID "&amp;$D861&amp;")"&amp;CHAR(10)&amp;"Audit Date: "&amp;TEXT($B861,"yyyy-mm-dd")&amp;CHAR(10)&amp;"Team Leader: "&amp;$F861&amp;CHAR(10)&amp;"Case Number: "&amp;$M861&amp;CHAR(10)&amp;"Transaction ID: "&amp;$N861&amp;CHAR(10)&amp;"Channel / LOB: "&amp;$K861&amp;" / "&amp;$L861&amp;CHAR(10)&amp;"Evaluator: "&amp;$S861&amp;CHAR(10)&amp;CHAR(10)&amp;"INVALID QUALITY AUDIT DETAILS"&amp;CHAR(10)&amp;"Validation: Invalid"&amp;CHAR(10)&amp;"Invalid Reason: "&amp;$P861&amp;CHAR(10)&amp;"Expected Resolution Code: "&amp;$Q861&amp;CHAR(10)&amp;"Remarks: "&amp;LEFT($R861,600)&amp;CHAR(10)&amp;CHAR(10)&amp;"This is an automated notification from HP Mainstream EQMS."),"✉ Open Email Draft"),"")</f>
        <v/>
      </c>
    </row>
    <row r="862">
      <c r="A862" s="25">
        <f>IF($C862="","","AUD-2026-"&amp;TEXT(ROW()-1,"000000"))</f>
        <v/>
      </c>
      <c r="B862" s="26" t="n"/>
      <c r="C862" s="27" t="n"/>
      <c r="D862" s="25">
        <f>IF($C862="","",IFERROR(IF(INDEX(Roster!$A:$A,MATCH($C862,Roster!$B:$B,0))="","",INDEX(Roster!$A:$A,MATCH($C862,Roster!$B:$B,0))&amp;""),"—"))</f>
        <v/>
      </c>
      <c r="E862" s="25">
        <f>IF($C862="","",IFERROR(IF(INDEX(Roster!$C:$C,MATCH($C862,Roster!$B:$B,0))="","",INDEX(Roster!$C:$C,MATCH($C862,Roster!$B:$B,0))&amp;""),"—"))</f>
        <v/>
      </c>
      <c r="F862" s="25">
        <f>IF($C862="","",IFERROR(IF(INDEX(Roster!$D:$D,MATCH($C862,Roster!$B:$B,0))="","",INDEX(Roster!$D:$D,MATCH($C862,Roster!$B:$B,0))&amp;""),"—"))</f>
        <v/>
      </c>
      <c r="G862" s="25">
        <f>IF($C862="","",IFERROR(IF(INDEX(Roster!$E:$E,MATCH($C862,Roster!$B:$B,0))="","",INDEX(Roster!$E:$E,MATCH($C862,Roster!$B:$B,0))&amp;""),"—"))</f>
        <v/>
      </c>
      <c r="H862" s="25">
        <f>IF($C862="","",IFERROR(IF(INDEX(Roster!$F:$F,MATCH($C862,Roster!$B:$B,0))="","",INDEX(Roster!$F:$F,MATCH($C862,Roster!$B:$B,0))&amp;""),"—"))</f>
        <v/>
      </c>
      <c r="I862" s="25">
        <f>IF($C862="","",IFERROR(IF(INDEX(Roster!$G:$G,MATCH($C862,Roster!$B:$B,0))="","",INDEX(Roster!$G:$G,MATCH($C862,Roster!$B:$B,0))&amp;""),"—"))</f>
        <v/>
      </c>
      <c r="J862" s="25">
        <f>IF($C862="","",IFERROR(IF(INDEX(Roster!$I:$I,MATCH($C862,Roster!$B:$B,0))="","",INDEX(Roster!$I:$I,MATCH($C862,Roster!$B:$B,0))&amp;""),"—"))</f>
        <v/>
      </c>
      <c r="K862">
        <f>IF($C862="","",IFERROR(IF(INDEX(Roster!$J:$J,MATCH($C862,Roster!$B:$B,0))="","",INDEX(Roster!$J:$J,MATCH($C862,Roster!$B:$B,0))&amp;""),"—"))</f>
        <v/>
      </c>
      <c r="L862">
        <f>IF($C862="","",IFERROR(IF(INDEX(Roster!$K:$K,MATCH($C862,Roster!$B:$B,0))="","",INDEX(Roster!$K:$K,MATCH($C862,Roster!$B:$B,0))&amp;""),"—"))</f>
        <v/>
      </c>
      <c r="M862" s="27" t="n"/>
      <c r="N862" s="27" t="n"/>
      <c r="O862" s="25">
        <f>IF($C862="","",IF($P862="","—",IF($P862="Valid (Pass)","Valid","Invalid")))</f>
        <v/>
      </c>
      <c r="P862" s="27" t="n"/>
      <c r="Q862" s="27" t="n"/>
      <c r="R862" s="27" t="n"/>
      <c r="S862" s="27" t="n"/>
      <c r="T862" s="25">
        <f>IF($C862="","",IF(OR(ISNUMBER(SEARCH("quick case",$P862)),ISNUMBER(SEARCH("quick case",$Q862))),"Yes","No"))</f>
        <v/>
      </c>
      <c r="U862" s="25">
        <f>IF($O862="Invalid",HYPERLINK("mailto:"&amp;$G862&amp;";"&amp;$I862&amp;"?cc="&amp;Lists!$E$2&amp;"&amp;subject="&amp;_xlfn.ENCODEURL("[INVALID] Quality audit monitoring completed for "&amp;UPPER($C862))&amp;"&amp;body="&amp;_xlfn.ENCODEURL("Hi "&amp;$F862&amp;","&amp;CHAR(10)&amp;"Good day!"&amp;CHAR(10)&amp;CHAR(10)&amp;"A quality monitoring audit has been completed for "&amp;$C862&amp;"."&amp;CHAR(10)&amp;CHAR(10)&amp;"QUALITY AUDIT DETAILS"&amp;CHAR(10)&amp;"Agent Name: "&amp;$C862&amp;" (EID "&amp;$D862&amp;")"&amp;CHAR(10)&amp;"Audit Date: "&amp;TEXT($B862,"yyyy-mm-dd")&amp;CHAR(10)&amp;"Team Leader: "&amp;$F862&amp;CHAR(10)&amp;"Case Number: "&amp;$M862&amp;CHAR(10)&amp;"Transaction ID: "&amp;$N862&amp;CHAR(10)&amp;"Channel / LOB: "&amp;$K862&amp;" / "&amp;$L862&amp;CHAR(10)&amp;"Evaluator: "&amp;$S862&amp;CHAR(10)&amp;CHAR(10)&amp;"INVALID QUALITY AUDIT DETAILS"&amp;CHAR(10)&amp;"Validation: Invalid"&amp;CHAR(10)&amp;"Invalid Reason: "&amp;$P862&amp;CHAR(10)&amp;"Expected Resolution Code: "&amp;$Q862&amp;CHAR(10)&amp;"Remarks: "&amp;LEFT($R862,600)&amp;CHAR(10)&amp;CHAR(10)&amp;"This is an automated notification from HP Mainstream EQMS."),"✉ Open Email Draft"),"")</f>
        <v/>
      </c>
    </row>
    <row r="863">
      <c r="A863" s="25">
        <f>IF($C863="","","AUD-2026-"&amp;TEXT(ROW()-1,"000000"))</f>
        <v/>
      </c>
      <c r="B863" s="26" t="n"/>
      <c r="C863" s="27" t="n"/>
      <c r="D863" s="25">
        <f>IF($C863="","",IFERROR(IF(INDEX(Roster!$A:$A,MATCH($C863,Roster!$B:$B,0))="","",INDEX(Roster!$A:$A,MATCH($C863,Roster!$B:$B,0))&amp;""),"—"))</f>
        <v/>
      </c>
      <c r="E863" s="25">
        <f>IF($C863="","",IFERROR(IF(INDEX(Roster!$C:$C,MATCH($C863,Roster!$B:$B,0))="","",INDEX(Roster!$C:$C,MATCH($C863,Roster!$B:$B,0))&amp;""),"—"))</f>
        <v/>
      </c>
      <c r="F863" s="25">
        <f>IF($C863="","",IFERROR(IF(INDEX(Roster!$D:$D,MATCH($C863,Roster!$B:$B,0))="","",INDEX(Roster!$D:$D,MATCH($C863,Roster!$B:$B,0))&amp;""),"—"))</f>
        <v/>
      </c>
      <c r="G863" s="25">
        <f>IF($C863="","",IFERROR(IF(INDEX(Roster!$E:$E,MATCH($C863,Roster!$B:$B,0))="","",INDEX(Roster!$E:$E,MATCH($C863,Roster!$B:$B,0))&amp;""),"—"))</f>
        <v/>
      </c>
      <c r="H863" s="25">
        <f>IF($C863="","",IFERROR(IF(INDEX(Roster!$F:$F,MATCH($C863,Roster!$B:$B,0))="","",INDEX(Roster!$F:$F,MATCH($C863,Roster!$B:$B,0))&amp;""),"—"))</f>
        <v/>
      </c>
      <c r="I863" s="25">
        <f>IF($C863="","",IFERROR(IF(INDEX(Roster!$G:$G,MATCH($C863,Roster!$B:$B,0))="","",INDEX(Roster!$G:$G,MATCH($C863,Roster!$B:$B,0))&amp;""),"—"))</f>
        <v/>
      </c>
      <c r="J863" s="25">
        <f>IF($C863="","",IFERROR(IF(INDEX(Roster!$I:$I,MATCH($C863,Roster!$B:$B,0))="","",INDEX(Roster!$I:$I,MATCH($C863,Roster!$B:$B,0))&amp;""),"—"))</f>
        <v/>
      </c>
      <c r="K863">
        <f>IF($C863="","",IFERROR(IF(INDEX(Roster!$J:$J,MATCH($C863,Roster!$B:$B,0))="","",INDEX(Roster!$J:$J,MATCH($C863,Roster!$B:$B,0))&amp;""),"—"))</f>
        <v/>
      </c>
      <c r="L863">
        <f>IF($C863="","",IFERROR(IF(INDEX(Roster!$K:$K,MATCH($C863,Roster!$B:$B,0))="","",INDEX(Roster!$K:$K,MATCH($C863,Roster!$B:$B,0))&amp;""),"—"))</f>
        <v/>
      </c>
      <c r="M863" s="27" t="n"/>
      <c r="N863" s="27" t="n"/>
      <c r="O863" s="25">
        <f>IF($C863="","",IF($P863="","—",IF($P863="Valid (Pass)","Valid","Invalid")))</f>
        <v/>
      </c>
      <c r="P863" s="27" t="n"/>
      <c r="Q863" s="27" t="n"/>
      <c r="R863" s="27" t="n"/>
      <c r="S863" s="27" t="n"/>
      <c r="T863" s="25">
        <f>IF($C863="","",IF(OR(ISNUMBER(SEARCH("quick case",$P863)),ISNUMBER(SEARCH("quick case",$Q863))),"Yes","No"))</f>
        <v/>
      </c>
      <c r="U863" s="25">
        <f>IF($O863="Invalid",HYPERLINK("mailto:"&amp;$G863&amp;";"&amp;$I863&amp;"?cc="&amp;Lists!$E$2&amp;"&amp;subject="&amp;_xlfn.ENCODEURL("[INVALID] Quality audit monitoring completed for "&amp;UPPER($C863))&amp;"&amp;body="&amp;_xlfn.ENCODEURL("Hi "&amp;$F863&amp;","&amp;CHAR(10)&amp;"Good day!"&amp;CHAR(10)&amp;CHAR(10)&amp;"A quality monitoring audit has been completed for "&amp;$C863&amp;"."&amp;CHAR(10)&amp;CHAR(10)&amp;"QUALITY AUDIT DETAILS"&amp;CHAR(10)&amp;"Agent Name: "&amp;$C863&amp;" (EID "&amp;$D863&amp;")"&amp;CHAR(10)&amp;"Audit Date: "&amp;TEXT($B863,"yyyy-mm-dd")&amp;CHAR(10)&amp;"Team Leader: "&amp;$F863&amp;CHAR(10)&amp;"Case Number: "&amp;$M863&amp;CHAR(10)&amp;"Transaction ID: "&amp;$N863&amp;CHAR(10)&amp;"Channel / LOB: "&amp;$K863&amp;" / "&amp;$L863&amp;CHAR(10)&amp;"Evaluator: "&amp;$S863&amp;CHAR(10)&amp;CHAR(10)&amp;"INVALID QUALITY AUDIT DETAILS"&amp;CHAR(10)&amp;"Validation: Invalid"&amp;CHAR(10)&amp;"Invalid Reason: "&amp;$P863&amp;CHAR(10)&amp;"Expected Resolution Code: "&amp;$Q863&amp;CHAR(10)&amp;"Remarks: "&amp;LEFT($R863,600)&amp;CHAR(10)&amp;CHAR(10)&amp;"This is an automated notification from HP Mainstream EQMS."),"✉ Open Email Draft"),"")</f>
        <v/>
      </c>
    </row>
    <row r="864">
      <c r="A864" s="25">
        <f>IF($C864="","","AUD-2026-"&amp;TEXT(ROW()-1,"000000"))</f>
        <v/>
      </c>
      <c r="B864" s="26" t="n"/>
      <c r="C864" s="27" t="n"/>
      <c r="D864" s="25">
        <f>IF($C864="","",IFERROR(IF(INDEX(Roster!$A:$A,MATCH($C864,Roster!$B:$B,0))="","",INDEX(Roster!$A:$A,MATCH($C864,Roster!$B:$B,0))&amp;""),"—"))</f>
        <v/>
      </c>
      <c r="E864" s="25">
        <f>IF($C864="","",IFERROR(IF(INDEX(Roster!$C:$C,MATCH($C864,Roster!$B:$B,0))="","",INDEX(Roster!$C:$C,MATCH($C864,Roster!$B:$B,0))&amp;""),"—"))</f>
        <v/>
      </c>
      <c r="F864" s="25">
        <f>IF($C864="","",IFERROR(IF(INDEX(Roster!$D:$D,MATCH($C864,Roster!$B:$B,0))="","",INDEX(Roster!$D:$D,MATCH($C864,Roster!$B:$B,0))&amp;""),"—"))</f>
        <v/>
      </c>
      <c r="G864" s="25">
        <f>IF($C864="","",IFERROR(IF(INDEX(Roster!$E:$E,MATCH($C864,Roster!$B:$B,0))="","",INDEX(Roster!$E:$E,MATCH($C864,Roster!$B:$B,0))&amp;""),"—"))</f>
        <v/>
      </c>
      <c r="H864" s="25">
        <f>IF($C864="","",IFERROR(IF(INDEX(Roster!$F:$F,MATCH($C864,Roster!$B:$B,0))="","",INDEX(Roster!$F:$F,MATCH($C864,Roster!$B:$B,0))&amp;""),"—"))</f>
        <v/>
      </c>
      <c r="I864" s="25">
        <f>IF($C864="","",IFERROR(IF(INDEX(Roster!$G:$G,MATCH($C864,Roster!$B:$B,0))="","",INDEX(Roster!$G:$G,MATCH($C864,Roster!$B:$B,0))&amp;""),"—"))</f>
        <v/>
      </c>
      <c r="J864" s="25">
        <f>IF($C864="","",IFERROR(IF(INDEX(Roster!$I:$I,MATCH($C864,Roster!$B:$B,0))="","",INDEX(Roster!$I:$I,MATCH($C864,Roster!$B:$B,0))&amp;""),"—"))</f>
        <v/>
      </c>
      <c r="K864">
        <f>IF($C864="","",IFERROR(IF(INDEX(Roster!$J:$J,MATCH($C864,Roster!$B:$B,0))="","",INDEX(Roster!$J:$J,MATCH($C864,Roster!$B:$B,0))&amp;""),"—"))</f>
        <v/>
      </c>
      <c r="L864">
        <f>IF($C864="","",IFERROR(IF(INDEX(Roster!$K:$K,MATCH($C864,Roster!$B:$B,0))="","",INDEX(Roster!$K:$K,MATCH($C864,Roster!$B:$B,0))&amp;""),"—"))</f>
        <v/>
      </c>
      <c r="M864" s="27" t="n"/>
      <c r="N864" s="27" t="n"/>
      <c r="O864" s="25">
        <f>IF($C864="","",IF($P864="","—",IF($P864="Valid (Pass)","Valid","Invalid")))</f>
        <v/>
      </c>
      <c r="P864" s="27" t="n"/>
      <c r="Q864" s="27" t="n"/>
      <c r="R864" s="27" t="n"/>
      <c r="S864" s="27" t="n"/>
      <c r="T864" s="25">
        <f>IF($C864="","",IF(OR(ISNUMBER(SEARCH("quick case",$P864)),ISNUMBER(SEARCH("quick case",$Q864))),"Yes","No"))</f>
        <v/>
      </c>
      <c r="U864" s="25">
        <f>IF($O864="Invalid",HYPERLINK("mailto:"&amp;$G864&amp;";"&amp;$I864&amp;"?cc="&amp;Lists!$E$2&amp;"&amp;subject="&amp;_xlfn.ENCODEURL("[INVALID] Quality audit monitoring completed for "&amp;UPPER($C864))&amp;"&amp;body="&amp;_xlfn.ENCODEURL("Hi "&amp;$F864&amp;","&amp;CHAR(10)&amp;"Good day!"&amp;CHAR(10)&amp;CHAR(10)&amp;"A quality monitoring audit has been completed for "&amp;$C864&amp;"."&amp;CHAR(10)&amp;CHAR(10)&amp;"QUALITY AUDIT DETAILS"&amp;CHAR(10)&amp;"Agent Name: "&amp;$C864&amp;" (EID "&amp;$D864&amp;")"&amp;CHAR(10)&amp;"Audit Date: "&amp;TEXT($B864,"yyyy-mm-dd")&amp;CHAR(10)&amp;"Team Leader: "&amp;$F864&amp;CHAR(10)&amp;"Case Number: "&amp;$M864&amp;CHAR(10)&amp;"Transaction ID: "&amp;$N864&amp;CHAR(10)&amp;"Channel / LOB: "&amp;$K864&amp;" / "&amp;$L864&amp;CHAR(10)&amp;"Evaluator: "&amp;$S864&amp;CHAR(10)&amp;CHAR(10)&amp;"INVALID QUALITY AUDIT DETAILS"&amp;CHAR(10)&amp;"Validation: Invalid"&amp;CHAR(10)&amp;"Invalid Reason: "&amp;$P864&amp;CHAR(10)&amp;"Expected Resolution Code: "&amp;$Q864&amp;CHAR(10)&amp;"Remarks: "&amp;LEFT($R864,600)&amp;CHAR(10)&amp;CHAR(10)&amp;"This is an automated notification from HP Mainstream EQMS."),"✉ Open Email Draft"),"")</f>
        <v/>
      </c>
    </row>
    <row r="865">
      <c r="A865" s="25">
        <f>IF($C865="","","AUD-2026-"&amp;TEXT(ROW()-1,"000000"))</f>
        <v/>
      </c>
      <c r="B865" s="26" t="n"/>
      <c r="C865" s="27" t="n"/>
      <c r="D865" s="25">
        <f>IF($C865="","",IFERROR(IF(INDEX(Roster!$A:$A,MATCH($C865,Roster!$B:$B,0))="","",INDEX(Roster!$A:$A,MATCH($C865,Roster!$B:$B,0))&amp;""),"—"))</f>
        <v/>
      </c>
      <c r="E865" s="25">
        <f>IF($C865="","",IFERROR(IF(INDEX(Roster!$C:$C,MATCH($C865,Roster!$B:$B,0))="","",INDEX(Roster!$C:$C,MATCH($C865,Roster!$B:$B,0))&amp;""),"—"))</f>
        <v/>
      </c>
      <c r="F865" s="25">
        <f>IF($C865="","",IFERROR(IF(INDEX(Roster!$D:$D,MATCH($C865,Roster!$B:$B,0))="","",INDEX(Roster!$D:$D,MATCH($C865,Roster!$B:$B,0))&amp;""),"—"))</f>
        <v/>
      </c>
      <c r="G865" s="25">
        <f>IF($C865="","",IFERROR(IF(INDEX(Roster!$E:$E,MATCH($C865,Roster!$B:$B,0))="","",INDEX(Roster!$E:$E,MATCH($C865,Roster!$B:$B,0))&amp;""),"—"))</f>
        <v/>
      </c>
      <c r="H865" s="25">
        <f>IF($C865="","",IFERROR(IF(INDEX(Roster!$F:$F,MATCH($C865,Roster!$B:$B,0))="","",INDEX(Roster!$F:$F,MATCH($C865,Roster!$B:$B,0))&amp;""),"—"))</f>
        <v/>
      </c>
      <c r="I865" s="25">
        <f>IF($C865="","",IFERROR(IF(INDEX(Roster!$G:$G,MATCH($C865,Roster!$B:$B,0))="","",INDEX(Roster!$G:$G,MATCH($C865,Roster!$B:$B,0))&amp;""),"—"))</f>
        <v/>
      </c>
      <c r="J865" s="25">
        <f>IF($C865="","",IFERROR(IF(INDEX(Roster!$I:$I,MATCH($C865,Roster!$B:$B,0))="","",INDEX(Roster!$I:$I,MATCH($C865,Roster!$B:$B,0))&amp;""),"—"))</f>
        <v/>
      </c>
      <c r="K865">
        <f>IF($C865="","",IFERROR(IF(INDEX(Roster!$J:$J,MATCH($C865,Roster!$B:$B,0))="","",INDEX(Roster!$J:$J,MATCH($C865,Roster!$B:$B,0))&amp;""),"—"))</f>
        <v/>
      </c>
      <c r="L865">
        <f>IF($C865="","",IFERROR(IF(INDEX(Roster!$K:$K,MATCH($C865,Roster!$B:$B,0))="","",INDEX(Roster!$K:$K,MATCH($C865,Roster!$B:$B,0))&amp;""),"—"))</f>
        <v/>
      </c>
      <c r="M865" s="27" t="n"/>
      <c r="N865" s="27" t="n"/>
      <c r="O865" s="25">
        <f>IF($C865="","",IF($P865="","—",IF($P865="Valid (Pass)","Valid","Invalid")))</f>
        <v/>
      </c>
      <c r="P865" s="27" t="n"/>
      <c r="Q865" s="27" t="n"/>
      <c r="R865" s="27" t="n"/>
      <c r="S865" s="27" t="n"/>
      <c r="T865" s="25">
        <f>IF($C865="","",IF(OR(ISNUMBER(SEARCH("quick case",$P865)),ISNUMBER(SEARCH("quick case",$Q865))),"Yes","No"))</f>
        <v/>
      </c>
      <c r="U865" s="25">
        <f>IF($O865="Invalid",HYPERLINK("mailto:"&amp;$G865&amp;";"&amp;$I865&amp;"?cc="&amp;Lists!$E$2&amp;"&amp;subject="&amp;_xlfn.ENCODEURL("[INVALID] Quality audit monitoring completed for "&amp;UPPER($C865))&amp;"&amp;body="&amp;_xlfn.ENCODEURL("Hi "&amp;$F865&amp;","&amp;CHAR(10)&amp;"Good day!"&amp;CHAR(10)&amp;CHAR(10)&amp;"A quality monitoring audit has been completed for "&amp;$C865&amp;"."&amp;CHAR(10)&amp;CHAR(10)&amp;"QUALITY AUDIT DETAILS"&amp;CHAR(10)&amp;"Agent Name: "&amp;$C865&amp;" (EID "&amp;$D865&amp;")"&amp;CHAR(10)&amp;"Audit Date: "&amp;TEXT($B865,"yyyy-mm-dd")&amp;CHAR(10)&amp;"Team Leader: "&amp;$F865&amp;CHAR(10)&amp;"Case Number: "&amp;$M865&amp;CHAR(10)&amp;"Transaction ID: "&amp;$N865&amp;CHAR(10)&amp;"Channel / LOB: "&amp;$K865&amp;" / "&amp;$L865&amp;CHAR(10)&amp;"Evaluator: "&amp;$S865&amp;CHAR(10)&amp;CHAR(10)&amp;"INVALID QUALITY AUDIT DETAILS"&amp;CHAR(10)&amp;"Validation: Invalid"&amp;CHAR(10)&amp;"Invalid Reason: "&amp;$P865&amp;CHAR(10)&amp;"Expected Resolution Code: "&amp;$Q865&amp;CHAR(10)&amp;"Remarks: "&amp;LEFT($R865,600)&amp;CHAR(10)&amp;CHAR(10)&amp;"This is an automated notification from HP Mainstream EQMS."),"✉ Open Email Draft"),"")</f>
        <v/>
      </c>
    </row>
    <row r="866">
      <c r="A866" s="25">
        <f>IF($C866="","","AUD-2026-"&amp;TEXT(ROW()-1,"000000"))</f>
        <v/>
      </c>
      <c r="B866" s="26" t="n"/>
      <c r="C866" s="27" t="n"/>
      <c r="D866" s="25">
        <f>IF($C866="","",IFERROR(IF(INDEX(Roster!$A:$A,MATCH($C866,Roster!$B:$B,0))="","",INDEX(Roster!$A:$A,MATCH($C866,Roster!$B:$B,0))&amp;""),"—"))</f>
        <v/>
      </c>
      <c r="E866" s="25">
        <f>IF($C866="","",IFERROR(IF(INDEX(Roster!$C:$C,MATCH($C866,Roster!$B:$B,0))="","",INDEX(Roster!$C:$C,MATCH($C866,Roster!$B:$B,0))&amp;""),"—"))</f>
        <v/>
      </c>
      <c r="F866" s="25">
        <f>IF($C866="","",IFERROR(IF(INDEX(Roster!$D:$D,MATCH($C866,Roster!$B:$B,0))="","",INDEX(Roster!$D:$D,MATCH($C866,Roster!$B:$B,0))&amp;""),"—"))</f>
        <v/>
      </c>
      <c r="G866" s="25">
        <f>IF($C866="","",IFERROR(IF(INDEX(Roster!$E:$E,MATCH($C866,Roster!$B:$B,0))="","",INDEX(Roster!$E:$E,MATCH($C866,Roster!$B:$B,0))&amp;""),"—"))</f>
        <v/>
      </c>
      <c r="H866" s="25">
        <f>IF($C866="","",IFERROR(IF(INDEX(Roster!$F:$F,MATCH($C866,Roster!$B:$B,0))="","",INDEX(Roster!$F:$F,MATCH($C866,Roster!$B:$B,0))&amp;""),"—"))</f>
        <v/>
      </c>
      <c r="I866" s="25">
        <f>IF($C866="","",IFERROR(IF(INDEX(Roster!$G:$G,MATCH($C866,Roster!$B:$B,0))="","",INDEX(Roster!$G:$G,MATCH($C866,Roster!$B:$B,0))&amp;""),"—"))</f>
        <v/>
      </c>
      <c r="J866" s="25">
        <f>IF($C866="","",IFERROR(IF(INDEX(Roster!$I:$I,MATCH($C866,Roster!$B:$B,0))="","",INDEX(Roster!$I:$I,MATCH($C866,Roster!$B:$B,0))&amp;""),"—"))</f>
        <v/>
      </c>
      <c r="K866">
        <f>IF($C866="","",IFERROR(IF(INDEX(Roster!$J:$J,MATCH($C866,Roster!$B:$B,0))="","",INDEX(Roster!$J:$J,MATCH($C866,Roster!$B:$B,0))&amp;""),"—"))</f>
        <v/>
      </c>
      <c r="L866">
        <f>IF($C866="","",IFERROR(IF(INDEX(Roster!$K:$K,MATCH($C866,Roster!$B:$B,0))="","",INDEX(Roster!$K:$K,MATCH($C866,Roster!$B:$B,0))&amp;""),"—"))</f>
        <v/>
      </c>
      <c r="M866" s="27" t="n"/>
      <c r="N866" s="27" t="n"/>
      <c r="O866" s="25">
        <f>IF($C866="","",IF($P866="","—",IF($P866="Valid (Pass)","Valid","Invalid")))</f>
        <v/>
      </c>
      <c r="P866" s="27" t="n"/>
      <c r="Q866" s="27" t="n"/>
      <c r="R866" s="27" t="n"/>
      <c r="S866" s="27" t="n"/>
      <c r="T866" s="25">
        <f>IF($C866="","",IF(OR(ISNUMBER(SEARCH("quick case",$P866)),ISNUMBER(SEARCH("quick case",$Q866))),"Yes","No"))</f>
        <v/>
      </c>
      <c r="U866" s="25">
        <f>IF($O866="Invalid",HYPERLINK("mailto:"&amp;$G866&amp;";"&amp;$I866&amp;"?cc="&amp;Lists!$E$2&amp;"&amp;subject="&amp;_xlfn.ENCODEURL("[INVALID] Quality audit monitoring completed for "&amp;UPPER($C866))&amp;"&amp;body="&amp;_xlfn.ENCODEURL("Hi "&amp;$F866&amp;","&amp;CHAR(10)&amp;"Good day!"&amp;CHAR(10)&amp;CHAR(10)&amp;"A quality monitoring audit has been completed for "&amp;$C866&amp;"."&amp;CHAR(10)&amp;CHAR(10)&amp;"QUALITY AUDIT DETAILS"&amp;CHAR(10)&amp;"Agent Name: "&amp;$C866&amp;" (EID "&amp;$D866&amp;")"&amp;CHAR(10)&amp;"Audit Date: "&amp;TEXT($B866,"yyyy-mm-dd")&amp;CHAR(10)&amp;"Team Leader: "&amp;$F866&amp;CHAR(10)&amp;"Case Number: "&amp;$M866&amp;CHAR(10)&amp;"Transaction ID: "&amp;$N866&amp;CHAR(10)&amp;"Channel / LOB: "&amp;$K866&amp;" / "&amp;$L866&amp;CHAR(10)&amp;"Evaluator: "&amp;$S866&amp;CHAR(10)&amp;CHAR(10)&amp;"INVALID QUALITY AUDIT DETAILS"&amp;CHAR(10)&amp;"Validation: Invalid"&amp;CHAR(10)&amp;"Invalid Reason: "&amp;$P866&amp;CHAR(10)&amp;"Expected Resolution Code: "&amp;$Q866&amp;CHAR(10)&amp;"Remarks: "&amp;LEFT($R866,600)&amp;CHAR(10)&amp;CHAR(10)&amp;"This is an automated notification from HP Mainstream EQMS."),"✉ Open Email Draft"),"")</f>
        <v/>
      </c>
    </row>
    <row r="867">
      <c r="A867" s="25">
        <f>IF($C867="","","AUD-2026-"&amp;TEXT(ROW()-1,"000000"))</f>
        <v/>
      </c>
      <c r="B867" s="26" t="n"/>
      <c r="C867" s="27" t="n"/>
      <c r="D867" s="25">
        <f>IF($C867="","",IFERROR(IF(INDEX(Roster!$A:$A,MATCH($C867,Roster!$B:$B,0))="","",INDEX(Roster!$A:$A,MATCH($C867,Roster!$B:$B,0))&amp;""),"—"))</f>
        <v/>
      </c>
      <c r="E867" s="25">
        <f>IF($C867="","",IFERROR(IF(INDEX(Roster!$C:$C,MATCH($C867,Roster!$B:$B,0))="","",INDEX(Roster!$C:$C,MATCH($C867,Roster!$B:$B,0))&amp;""),"—"))</f>
        <v/>
      </c>
      <c r="F867" s="25">
        <f>IF($C867="","",IFERROR(IF(INDEX(Roster!$D:$D,MATCH($C867,Roster!$B:$B,0))="","",INDEX(Roster!$D:$D,MATCH($C867,Roster!$B:$B,0))&amp;""),"—"))</f>
        <v/>
      </c>
      <c r="G867" s="25">
        <f>IF($C867="","",IFERROR(IF(INDEX(Roster!$E:$E,MATCH($C867,Roster!$B:$B,0))="","",INDEX(Roster!$E:$E,MATCH($C867,Roster!$B:$B,0))&amp;""),"—"))</f>
        <v/>
      </c>
      <c r="H867" s="25">
        <f>IF($C867="","",IFERROR(IF(INDEX(Roster!$F:$F,MATCH($C867,Roster!$B:$B,0))="","",INDEX(Roster!$F:$F,MATCH($C867,Roster!$B:$B,0))&amp;""),"—"))</f>
        <v/>
      </c>
      <c r="I867" s="25">
        <f>IF($C867="","",IFERROR(IF(INDEX(Roster!$G:$G,MATCH($C867,Roster!$B:$B,0))="","",INDEX(Roster!$G:$G,MATCH($C867,Roster!$B:$B,0))&amp;""),"—"))</f>
        <v/>
      </c>
      <c r="J867" s="25">
        <f>IF($C867="","",IFERROR(IF(INDEX(Roster!$I:$I,MATCH($C867,Roster!$B:$B,0))="","",INDEX(Roster!$I:$I,MATCH($C867,Roster!$B:$B,0))&amp;""),"—"))</f>
        <v/>
      </c>
      <c r="K867">
        <f>IF($C867="","",IFERROR(IF(INDEX(Roster!$J:$J,MATCH($C867,Roster!$B:$B,0))="","",INDEX(Roster!$J:$J,MATCH($C867,Roster!$B:$B,0))&amp;""),"—"))</f>
        <v/>
      </c>
      <c r="L867">
        <f>IF($C867="","",IFERROR(IF(INDEX(Roster!$K:$K,MATCH($C867,Roster!$B:$B,0))="","",INDEX(Roster!$K:$K,MATCH($C867,Roster!$B:$B,0))&amp;""),"—"))</f>
        <v/>
      </c>
      <c r="M867" s="27" t="n"/>
      <c r="N867" s="27" t="n"/>
      <c r="O867" s="25">
        <f>IF($C867="","",IF($P867="","—",IF($P867="Valid (Pass)","Valid","Invalid")))</f>
        <v/>
      </c>
      <c r="P867" s="27" t="n"/>
      <c r="Q867" s="27" t="n"/>
      <c r="R867" s="27" t="n"/>
      <c r="S867" s="27" t="n"/>
      <c r="T867" s="25">
        <f>IF($C867="","",IF(OR(ISNUMBER(SEARCH("quick case",$P867)),ISNUMBER(SEARCH("quick case",$Q867))),"Yes","No"))</f>
        <v/>
      </c>
      <c r="U867" s="25">
        <f>IF($O867="Invalid",HYPERLINK("mailto:"&amp;$G867&amp;";"&amp;$I867&amp;"?cc="&amp;Lists!$E$2&amp;"&amp;subject="&amp;_xlfn.ENCODEURL("[INVALID] Quality audit monitoring completed for "&amp;UPPER($C867))&amp;"&amp;body="&amp;_xlfn.ENCODEURL("Hi "&amp;$F867&amp;","&amp;CHAR(10)&amp;"Good day!"&amp;CHAR(10)&amp;CHAR(10)&amp;"A quality monitoring audit has been completed for "&amp;$C867&amp;"."&amp;CHAR(10)&amp;CHAR(10)&amp;"QUALITY AUDIT DETAILS"&amp;CHAR(10)&amp;"Agent Name: "&amp;$C867&amp;" (EID "&amp;$D867&amp;")"&amp;CHAR(10)&amp;"Audit Date: "&amp;TEXT($B867,"yyyy-mm-dd")&amp;CHAR(10)&amp;"Team Leader: "&amp;$F867&amp;CHAR(10)&amp;"Case Number: "&amp;$M867&amp;CHAR(10)&amp;"Transaction ID: "&amp;$N867&amp;CHAR(10)&amp;"Channel / LOB: "&amp;$K867&amp;" / "&amp;$L867&amp;CHAR(10)&amp;"Evaluator: "&amp;$S867&amp;CHAR(10)&amp;CHAR(10)&amp;"INVALID QUALITY AUDIT DETAILS"&amp;CHAR(10)&amp;"Validation: Invalid"&amp;CHAR(10)&amp;"Invalid Reason: "&amp;$P867&amp;CHAR(10)&amp;"Expected Resolution Code: "&amp;$Q867&amp;CHAR(10)&amp;"Remarks: "&amp;LEFT($R867,600)&amp;CHAR(10)&amp;CHAR(10)&amp;"This is an automated notification from HP Mainstream EQMS."),"✉ Open Email Draft"),"")</f>
        <v/>
      </c>
    </row>
    <row r="868">
      <c r="A868" s="25">
        <f>IF($C868="","","AUD-2026-"&amp;TEXT(ROW()-1,"000000"))</f>
        <v/>
      </c>
      <c r="B868" s="26" t="n"/>
      <c r="C868" s="27" t="n"/>
      <c r="D868" s="25">
        <f>IF($C868="","",IFERROR(IF(INDEX(Roster!$A:$A,MATCH($C868,Roster!$B:$B,0))="","",INDEX(Roster!$A:$A,MATCH($C868,Roster!$B:$B,0))&amp;""),"—"))</f>
        <v/>
      </c>
      <c r="E868" s="25">
        <f>IF($C868="","",IFERROR(IF(INDEX(Roster!$C:$C,MATCH($C868,Roster!$B:$B,0))="","",INDEX(Roster!$C:$C,MATCH($C868,Roster!$B:$B,0))&amp;""),"—"))</f>
        <v/>
      </c>
      <c r="F868" s="25">
        <f>IF($C868="","",IFERROR(IF(INDEX(Roster!$D:$D,MATCH($C868,Roster!$B:$B,0))="","",INDEX(Roster!$D:$D,MATCH($C868,Roster!$B:$B,0))&amp;""),"—"))</f>
        <v/>
      </c>
      <c r="G868" s="25">
        <f>IF($C868="","",IFERROR(IF(INDEX(Roster!$E:$E,MATCH($C868,Roster!$B:$B,0))="","",INDEX(Roster!$E:$E,MATCH($C868,Roster!$B:$B,0))&amp;""),"—"))</f>
        <v/>
      </c>
      <c r="H868" s="25">
        <f>IF($C868="","",IFERROR(IF(INDEX(Roster!$F:$F,MATCH($C868,Roster!$B:$B,0))="","",INDEX(Roster!$F:$F,MATCH($C868,Roster!$B:$B,0))&amp;""),"—"))</f>
        <v/>
      </c>
      <c r="I868" s="25">
        <f>IF($C868="","",IFERROR(IF(INDEX(Roster!$G:$G,MATCH($C868,Roster!$B:$B,0))="","",INDEX(Roster!$G:$G,MATCH($C868,Roster!$B:$B,0))&amp;""),"—"))</f>
        <v/>
      </c>
      <c r="J868" s="25">
        <f>IF($C868="","",IFERROR(IF(INDEX(Roster!$I:$I,MATCH($C868,Roster!$B:$B,0))="","",INDEX(Roster!$I:$I,MATCH($C868,Roster!$B:$B,0))&amp;""),"—"))</f>
        <v/>
      </c>
      <c r="K868">
        <f>IF($C868="","",IFERROR(IF(INDEX(Roster!$J:$J,MATCH($C868,Roster!$B:$B,0))="","",INDEX(Roster!$J:$J,MATCH($C868,Roster!$B:$B,0))&amp;""),"—"))</f>
        <v/>
      </c>
      <c r="L868">
        <f>IF($C868="","",IFERROR(IF(INDEX(Roster!$K:$K,MATCH($C868,Roster!$B:$B,0))="","",INDEX(Roster!$K:$K,MATCH($C868,Roster!$B:$B,0))&amp;""),"—"))</f>
        <v/>
      </c>
      <c r="M868" s="27" t="n"/>
      <c r="N868" s="27" t="n"/>
      <c r="O868" s="25">
        <f>IF($C868="","",IF($P868="","—",IF($P868="Valid (Pass)","Valid","Invalid")))</f>
        <v/>
      </c>
      <c r="P868" s="27" t="n"/>
      <c r="Q868" s="27" t="n"/>
      <c r="R868" s="27" t="n"/>
      <c r="S868" s="27" t="n"/>
      <c r="T868" s="25">
        <f>IF($C868="","",IF(OR(ISNUMBER(SEARCH("quick case",$P868)),ISNUMBER(SEARCH("quick case",$Q868))),"Yes","No"))</f>
        <v/>
      </c>
      <c r="U868" s="25">
        <f>IF($O868="Invalid",HYPERLINK("mailto:"&amp;$G868&amp;";"&amp;$I868&amp;"?cc="&amp;Lists!$E$2&amp;"&amp;subject="&amp;_xlfn.ENCODEURL("[INVALID] Quality audit monitoring completed for "&amp;UPPER($C868))&amp;"&amp;body="&amp;_xlfn.ENCODEURL("Hi "&amp;$F868&amp;","&amp;CHAR(10)&amp;"Good day!"&amp;CHAR(10)&amp;CHAR(10)&amp;"A quality monitoring audit has been completed for "&amp;$C868&amp;"."&amp;CHAR(10)&amp;CHAR(10)&amp;"QUALITY AUDIT DETAILS"&amp;CHAR(10)&amp;"Agent Name: "&amp;$C868&amp;" (EID "&amp;$D868&amp;")"&amp;CHAR(10)&amp;"Audit Date: "&amp;TEXT($B868,"yyyy-mm-dd")&amp;CHAR(10)&amp;"Team Leader: "&amp;$F868&amp;CHAR(10)&amp;"Case Number: "&amp;$M868&amp;CHAR(10)&amp;"Transaction ID: "&amp;$N868&amp;CHAR(10)&amp;"Channel / LOB: "&amp;$K868&amp;" / "&amp;$L868&amp;CHAR(10)&amp;"Evaluator: "&amp;$S868&amp;CHAR(10)&amp;CHAR(10)&amp;"INVALID QUALITY AUDIT DETAILS"&amp;CHAR(10)&amp;"Validation: Invalid"&amp;CHAR(10)&amp;"Invalid Reason: "&amp;$P868&amp;CHAR(10)&amp;"Expected Resolution Code: "&amp;$Q868&amp;CHAR(10)&amp;"Remarks: "&amp;LEFT($R868,600)&amp;CHAR(10)&amp;CHAR(10)&amp;"This is an automated notification from HP Mainstream EQMS."),"✉ Open Email Draft"),"")</f>
        <v/>
      </c>
    </row>
    <row r="869">
      <c r="A869" s="25">
        <f>IF($C869="","","AUD-2026-"&amp;TEXT(ROW()-1,"000000"))</f>
        <v/>
      </c>
      <c r="B869" s="26" t="n"/>
      <c r="C869" s="27" t="n"/>
      <c r="D869" s="25">
        <f>IF($C869="","",IFERROR(IF(INDEX(Roster!$A:$A,MATCH($C869,Roster!$B:$B,0))="","",INDEX(Roster!$A:$A,MATCH($C869,Roster!$B:$B,0))&amp;""),"—"))</f>
        <v/>
      </c>
      <c r="E869" s="25">
        <f>IF($C869="","",IFERROR(IF(INDEX(Roster!$C:$C,MATCH($C869,Roster!$B:$B,0))="","",INDEX(Roster!$C:$C,MATCH($C869,Roster!$B:$B,0))&amp;""),"—"))</f>
        <v/>
      </c>
      <c r="F869" s="25">
        <f>IF($C869="","",IFERROR(IF(INDEX(Roster!$D:$D,MATCH($C869,Roster!$B:$B,0))="","",INDEX(Roster!$D:$D,MATCH($C869,Roster!$B:$B,0))&amp;""),"—"))</f>
        <v/>
      </c>
      <c r="G869" s="25">
        <f>IF($C869="","",IFERROR(IF(INDEX(Roster!$E:$E,MATCH($C869,Roster!$B:$B,0))="","",INDEX(Roster!$E:$E,MATCH($C869,Roster!$B:$B,0))&amp;""),"—"))</f>
        <v/>
      </c>
      <c r="H869" s="25">
        <f>IF($C869="","",IFERROR(IF(INDEX(Roster!$F:$F,MATCH($C869,Roster!$B:$B,0))="","",INDEX(Roster!$F:$F,MATCH($C869,Roster!$B:$B,0))&amp;""),"—"))</f>
        <v/>
      </c>
      <c r="I869" s="25">
        <f>IF($C869="","",IFERROR(IF(INDEX(Roster!$G:$G,MATCH($C869,Roster!$B:$B,0))="","",INDEX(Roster!$G:$G,MATCH($C869,Roster!$B:$B,0))&amp;""),"—"))</f>
        <v/>
      </c>
      <c r="J869" s="25">
        <f>IF($C869="","",IFERROR(IF(INDEX(Roster!$I:$I,MATCH($C869,Roster!$B:$B,0))="","",INDEX(Roster!$I:$I,MATCH($C869,Roster!$B:$B,0))&amp;""),"—"))</f>
        <v/>
      </c>
      <c r="K869">
        <f>IF($C869="","",IFERROR(IF(INDEX(Roster!$J:$J,MATCH($C869,Roster!$B:$B,0))="","",INDEX(Roster!$J:$J,MATCH($C869,Roster!$B:$B,0))&amp;""),"—"))</f>
        <v/>
      </c>
      <c r="L869">
        <f>IF($C869="","",IFERROR(IF(INDEX(Roster!$K:$K,MATCH($C869,Roster!$B:$B,0))="","",INDEX(Roster!$K:$K,MATCH($C869,Roster!$B:$B,0))&amp;""),"—"))</f>
        <v/>
      </c>
      <c r="M869" s="27" t="n"/>
      <c r="N869" s="27" t="n"/>
      <c r="O869" s="25">
        <f>IF($C869="","",IF($P869="","—",IF($P869="Valid (Pass)","Valid","Invalid")))</f>
        <v/>
      </c>
      <c r="P869" s="27" t="n"/>
      <c r="Q869" s="27" t="n"/>
      <c r="R869" s="27" t="n"/>
      <c r="S869" s="27" t="n"/>
      <c r="T869" s="25">
        <f>IF($C869="","",IF(OR(ISNUMBER(SEARCH("quick case",$P869)),ISNUMBER(SEARCH("quick case",$Q869))),"Yes","No"))</f>
        <v/>
      </c>
      <c r="U869" s="25">
        <f>IF($O869="Invalid",HYPERLINK("mailto:"&amp;$G869&amp;";"&amp;$I869&amp;"?cc="&amp;Lists!$E$2&amp;"&amp;subject="&amp;_xlfn.ENCODEURL("[INVALID] Quality audit monitoring completed for "&amp;UPPER($C869))&amp;"&amp;body="&amp;_xlfn.ENCODEURL("Hi "&amp;$F869&amp;","&amp;CHAR(10)&amp;"Good day!"&amp;CHAR(10)&amp;CHAR(10)&amp;"A quality monitoring audit has been completed for "&amp;$C869&amp;"."&amp;CHAR(10)&amp;CHAR(10)&amp;"QUALITY AUDIT DETAILS"&amp;CHAR(10)&amp;"Agent Name: "&amp;$C869&amp;" (EID "&amp;$D869&amp;")"&amp;CHAR(10)&amp;"Audit Date: "&amp;TEXT($B869,"yyyy-mm-dd")&amp;CHAR(10)&amp;"Team Leader: "&amp;$F869&amp;CHAR(10)&amp;"Case Number: "&amp;$M869&amp;CHAR(10)&amp;"Transaction ID: "&amp;$N869&amp;CHAR(10)&amp;"Channel / LOB: "&amp;$K869&amp;" / "&amp;$L869&amp;CHAR(10)&amp;"Evaluator: "&amp;$S869&amp;CHAR(10)&amp;CHAR(10)&amp;"INVALID QUALITY AUDIT DETAILS"&amp;CHAR(10)&amp;"Validation: Invalid"&amp;CHAR(10)&amp;"Invalid Reason: "&amp;$P869&amp;CHAR(10)&amp;"Expected Resolution Code: "&amp;$Q869&amp;CHAR(10)&amp;"Remarks: "&amp;LEFT($R869,600)&amp;CHAR(10)&amp;CHAR(10)&amp;"This is an automated notification from HP Mainstream EQMS."),"✉ Open Email Draft"),"")</f>
        <v/>
      </c>
    </row>
    <row r="870">
      <c r="A870" s="25">
        <f>IF($C870="","","AUD-2026-"&amp;TEXT(ROW()-1,"000000"))</f>
        <v/>
      </c>
      <c r="B870" s="26" t="n"/>
      <c r="C870" s="27" t="n"/>
      <c r="D870" s="25">
        <f>IF($C870="","",IFERROR(IF(INDEX(Roster!$A:$A,MATCH($C870,Roster!$B:$B,0))="","",INDEX(Roster!$A:$A,MATCH($C870,Roster!$B:$B,0))&amp;""),"—"))</f>
        <v/>
      </c>
      <c r="E870" s="25">
        <f>IF($C870="","",IFERROR(IF(INDEX(Roster!$C:$C,MATCH($C870,Roster!$B:$B,0))="","",INDEX(Roster!$C:$C,MATCH($C870,Roster!$B:$B,0))&amp;""),"—"))</f>
        <v/>
      </c>
      <c r="F870" s="25">
        <f>IF($C870="","",IFERROR(IF(INDEX(Roster!$D:$D,MATCH($C870,Roster!$B:$B,0))="","",INDEX(Roster!$D:$D,MATCH($C870,Roster!$B:$B,0))&amp;""),"—"))</f>
        <v/>
      </c>
      <c r="G870" s="25">
        <f>IF($C870="","",IFERROR(IF(INDEX(Roster!$E:$E,MATCH($C870,Roster!$B:$B,0))="","",INDEX(Roster!$E:$E,MATCH($C870,Roster!$B:$B,0))&amp;""),"—"))</f>
        <v/>
      </c>
      <c r="H870" s="25">
        <f>IF($C870="","",IFERROR(IF(INDEX(Roster!$F:$F,MATCH($C870,Roster!$B:$B,0))="","",INDEX(Roster!$F:$F,MATCH($C870,Roster!$B:$B,0))&amp;""),"—"))</f>
        <v/>
      </c>
      <c r="I870" s="25">
        <f>IF($C870="","",IFERROR(IF(INDEX(Roster!$G:$G,MATCH($C870,Roster!$B:$B,0))="","",INDEX(Roster!$G:$G,MATCH($C870,Roster!$B:$B,0))&amp;""),"—"))</f>
        <v/>
      </c>
      <c r="J870" s="25">
        <f>IF($C870="","",IFERROR(IF(INDEX(Roster!$I:$I,MATCH($C870,Roster!$B:$B,0))="","",INDEX(Roster!$I:$I,MATCH($C870,Roster!$B:$B,0))&amp;""),"—"))</f>
        <v/>
      </c>
      <c r="K870">
        <f>IF($C870="","",IFERROR(IF(INDEX(Roster!$J:$J,MATCH($C870,Roster!$B:$B,0))="","",INDEX(Roster!$J:$J,MATCH($C870,Roster!$B:$B,0))&amp;""),"—"))</f>
        <v/>
      </c>
      <c r="L870">
        <f>IF($C870="","",IFERROR(IF(INDEX(Roster!$K:$K,MATCH($C870,Roster!$B:$B,0))="","",INDEX(Roster!$K:$K,MATCH($C870,Roster!$B:$B,0))&amp;""),"—"))</f>
        <v/>
      </c>
      <c r="M870" s="27" t="n"/>
      <c r="N870" s="27" t="n"/>
      <c r="O870" s="25">
        <f>IF($C870="","",IF($P870="","—",IF($P870="Valid (Pass)","Valid","Invalid")))</f>
        <v/>
      </c>
      <c r="P870" s="27" t="n"/>
      <c r="Q870" s="27" t="n"/>
      <c r="R870" s="27" t="n"/>
      <c r="S870" s="27" t="n"/>
      <c r="T870" s="25">
        <f>IF($C870="","",IF(OR(ISNUMBER(SEARCH("quick case",$P870)),ISNUMBER(SEARCH("quick case",$Q870))),"Yes","No"))</f>
        <v/>
      </c>
      <c r="U870" s="25">
        <f>IF($O870="Invalid",HYPERLINK("mailto:"&amp;$G870&amp;";"&amp;$I870&amp;"?cc="&amp;Lists!$E$2&amp;"&amp;subject="&amp;_xlfn.ENCODEURL("[INVALID] Quality audit monitoring completed for "&amp;UPPER($C870))&amp;"&amp;body="&amp;_xlfn.ENCODEURL("Hi "&amp;$F870&amp;","&amp;CHAR(10)&amp;"Good day!"&amp;CHAR(10)&amp;CHAR(10)&amp;"A quality monitoring audit has been completed for "&amp;$C870&amp;"."&amp;CHAR(10)&amp;CHAR(10)&amp;"QUALITY AUDIT DETAILS"&amp;CHAR(10)&amp;"Agent Name: "&amp;$C870&amp;" (EID "&amp;$D870&amp;")"&amp;CHAR(10)&amp;"Audit Date: "&amp;TEXT($B870,"yyyy-mm-dd")&amp;CHAR(10)&amp;"Team Leader: "&amp;$F870&amp;CHAR(10)&amp;"Case Number: "&amp;$M870&amp;CHAR(10)&amp;"Transaction ID: "&amp;$N870&amp;CHAR(10)&amp;"Channel / LOB: "&amp;$K870&amp;" / "&amp;$L870&amp;CHAR(10)&amp;"Evaluator: "&amp;$S870&amp;CHAR(10)&amp;CHAR(10)&amp;"INVALID QUALITY AUDIT DETAILS"&amp;CHAR(10)&amp;"Validation: Invalid"&amp;CHAR(10)&amp;"Invalid Reason: "&amp;$P870&amp;CHAR(10)&amp;"Expected Resolution Code: "&amp;$Q870&amp;CHAR(10)&amp;"Remarks: "&amp;LEFT($R870,600)&amp;CHAR(10)&amp;CHAR(10)&amp;"This is an automated notification from HP Mainstream EQMS."),"✉ Open Email Draft"),"")</f>
        <v/>
      </c>
    </row>
    <row r="871">
      <c r="A871" s="25">
        <f>IF($C871="","","AUD-2026-"&amp;TEXT(ROW()-1,"000000"))</f>
        <v/>
      </c>
      <c r="B871" s="26" t="n"/>
      <c r="C871" s="27" t="n"/>
      <c r="D871" s="25">
        <f>IF($C871="","",IFERROR(IF(INDEX(Roster!$A:$A,MATCH($C871,Roster!$B:$B,0))="","",INDEX(Roster!$A:$A,MATCH($C871,Roster!$B:$B,0))&amp;""),"—"))</f>
        <v/>
      </c>
      <c r="E871" s="25">
        <f>IF($C871="","",IFERROR(IF(INDEX(Roster!$C:$C,MATCH($C871,Roster!$B:$B,0))="","",INDEX(Roster!$C:$C,MATCH($C871,Roster!$B:$B,0))&amp;""),"—"))</f>
        <v/>
      </c>
      <c r="F871" s="25">
        <f>IF($C871="","",IFERROR(IF(INDEX(Roster!$D:$D,MATCH($C871,Roster!$B:$B,0))="","",INDEX(Roster!$D:$D,MATCH($C871,Roster!$B:$B,0))&amp;""),"—"))</f>
        <v/>
      </c>
      <c r="G871" s="25">
        <f>IF($C871="","",IFERROR(IF(INDEX(Roster!$E:$E,MATCH($C871,Roster!$B:$B,0))="","",INDEX(Roster!$E:$E,MATCH($C871,Roster!$B:$B,0))&amp;""),"—"))</f>
        <v/>
      </c>
      <c r="H871" s="25">
        <f>IF($C871="","",IFERROR(IF(INDEX(Roster!$F:$F,MATCH($C871,Roster!$B:$B,0))="","",INDEX(Roster!$F:$F,MATCH($C871,Roster!$B:$B,0))&amp;""),"—"))</f>
        <v/>
      </c>
      <c r="I871" s="25">
        <f>IF($C871="","",IFERROR(IF(INDEX(Roster!$G:$G,MATCH($C871,Roster!$B:$B,0))="","",INDEX(Roster!$G:$G,MATCH($C871,Roster!$B:$B,0))&amp;""),"—"))</f>
        <v/>
      </c>
      <c r="J871" s="25">
        <f>IF($C871="","",IFERROR(IF(INDEX(Roster!$I:$I,MATCH($C871,Roster!$B:$B,0))="","",INDEX(Roster!$I:$I,MATCH($C871,Roster!$B:$B,0))&amp;""),"—"))</f>
        <v/>
      </c>
      <c r="K871">
        <f>IF($C871="","",IFERROR(IF(INDEX(Roster!$J:$J,MATCH($C871,Roster!$B:$B,0))="","",INDEX(Roster!$J:$J,MATCH($C871,Roster!$B:$B,0))&amp;""),"—"))</f>
        <v/>
      </c>
      <c r="L871">
        <f>IF($C871="","",IFERROR(IF(INDEX(Roster!$K:$K,MATCH($C871,Roster!$B:$B,0))="","",INDEX(Roster!$K:$K,MATCH($C871,Roster!$B:$B,0))&amp;""),"—"))</f>
        <v/>
      </c>
      <c r="M871" s="27" t="n"/>
      <c r="N871" s="27" t="n"/>
      <c r="O871" s="25">
        <f>IF($C871="","",IF($P871="","—",IF($P871="Valid (Pass)","Valid","Invalid")))</f>
        <v/>
      </c>
      <c r="P871" s="27" t="n"/>
      <c r="Q871" s="27" t="n"/>
      <c r="R871" s="27" t="n"/>
      <c r="S871" s="27" t="n"/>
      <c r="T871" s="25">
        <f>IF($C871="","",IF(OR(ISNUMBER(SEARCH("quick case",$P871)),ISNUMBER(SEARCH("quick case",$Q871))),"Yes","No"))</f>
        <v/>
      </c>
      <c r="U871" s="25">
        <f>IF($O871="Invalid",HYPERLINK("mailto:"&amp;$G871&amp;";"&amp;$I871&amp;"?cc="&amp;Lists!$E$2&amp;"&amp;subject="&amp;_xlfn.ENCODEURL("[INVALID] Quality audit monitoring completed for "&amp;UPPER($C871))&amp;"&amp;body="&amp;_xlfn.ENCODEURL("Hi "&amp;$F871&amp;","&amp;CHAR(10)&amp;"Good day!"&amp;CHAR(10)&amp;CHAR(10)&amp;"A quality monitoring audit has been completed for "&amp;$C871&amp;"."&amp;CHAR(10)&amp;CHAR(10)&amp;"QUALITY AUDIT DETAILS"&amp;CHAR(10)&amp;"Agent Name: "&amp;$C871&amp;" (EID "&amp;$D871&amp;")"&amp;CHAR(10)&amp;"Audit Date: "&amp;TEXT($B871,"yyyy-mm-dd")&amp;CHAR(10)&amp;"Team Leader: "&amp;$F871&amp;CHAR(10)&amp;"Case Number: "&amp;$M871&amp;CHAR(10)&amp;"Transaction ID: "&amp;$N871&amp;CHAR(10)&amp;"Channel / LOB: "&amp;$K871&amp;" / "&amp;$L871&amp;CHAR(10)&amp;"Evaluator: "&amp;$S871&amp;CHAR(10)&amp;CHAR(10)&amp;"INVALID QUALITY AUDIT DETAILS"&amp;CHAR(10)&amp;"Validation: Invalid"&amp;CHAR(10)&amp;"Invalid Reason: "&amp;$P871&amp;CHAR(10)&amp;"Expected Resolution Code: "&amp;$Q871&amp;CHAR(10)&amp;"Remarks: "&amp;LEFT($R871,600)&amp;CHAR(10)&amp;CHAR(10)&amp;"This is an automated notification from HP Mainstream EQMS."),"✉ Open Email Draft"),"")</f>
        <v/>
      </c>
    </row>
    <row r="872">
      <c r="A872" s="25">
        <f>IF($C872="","","AUD-2026-"&amp;TEXT(ROW()-1,"000000"))</f>
        <v/>
      </c>
      <c r="B872" s="26" t="n"/>
      <c r="C872" s="27" t="n"/>
      <c r="D872" s="25">
        <f>IF($C872="","",IFERROR(IF(INDEX(Roster!$A:$A,MATCH($C872,Roster!$B:$B,0))="","",INDEX(Roster!$A:$A,MATCH($C872,Roster!$B:$B,0))&amp;""),"—"))</f>
        <v/>
      </c>
      <c r="E872" s="25">
        <f>IF($C872="","",IFERROR(IF(INDEX(Roster!$C:$C,MATCH($C872,Roster!$B:$B,0))="","",INDEX(Roster!$C:$C,MATCH($C872,Roster!$B:$B,0))&amp;""),"—"))</f>
        <v/>
      </c>
      <c r="F872" s="25">
        <f>IF($C872="","",IFERROR(IF(INDEX(Roster!$D:$D,MATCH($C872,Roster!$B:$B,0))="","",INDEX(Roster!$D:$D,MATCH($C872,Roster!$B:$B,0))&amp;""),"—"))</f>
        <v/>
      </c>
      <c r="G872" s="25">
        <f>IF($C872="","",IFERROR(IF(INDEX(Roster!$E:$E,MATCH($C872,Roster!$B:$B,0))="","",INDEX(Roster!$E:$E,MATCH($C872,Roster!$B:$B,0))&amp;""),"—"))</f>
        <v/>
      </c>
      <c r="H872" s="25">
        <f>IF($C872="","",IFERROR(IF(INDEX(Roster!$F:$F,MATCH($C872,Roster!$B:$B,0))="","",INDEX(Roster!$F:$F,MATCH($C872,Roster!$B:$B,0))&amp;""),"—"))</f>
        <v/>
      </c>
      <c r="I872" s="25">
        <f>IF($C872="","",IFERROR(IF(INDEX(Roster!$G:$G,MATCH($C872,Roster!$B:$B,0))="","",INDEX(Roster!$G:$G,MATCH($C872,Roster!$B:$B,0))&amp;""),"—"))</f>
        <v/>
      </c>
      <c r="J872" s="25">
        <f>IF($C872="","",IFERROR(IF(INDEX(Roster!$I:$I,MATCH($C872,Roster!$B:$B,0))="","",INDEX(Roster!$I:$I,MATCH($C872,Roster!$B:$B,0))&amp;""),"—"))</f>
        <v/>
      </c>
      <c r="K872">
        <f>IF($C872="","",IFERROR(IF(INDEX(Roster!$J:$J,MATCH($C872,Roster!$B:$B,0))="","",INDEX(Roster!$J:$J,MATCH($C872,Roster!$B:$B,0))&amp;""),"—"))</f>
        <v/>
      </c>
      <c r="L872">
        <f>IF($C872="","",IFERROR(IF(INDEX(Roster!$K:$K,MATCH($C872,Roster!$B:$B,0))="","",INDEX(Roster!$K:$K,MATCH($C872,Roster!$B:$B,0))&amp;""),"—"))</f>
        <v/>
      </c>
      <c r="M872" s="27" t="n"/>
      <c r="N872" s="27" t="n"/>
      <c r="O872" s="25">
        <f>IF($C872="","",IF($P872="","—",IF($P872="Valid (Pass)","Valid","Invalid")))</f>
        <v/>
      </c>
      <c r="P872" s="27" t="n"/>
      <c r="Q872" s="27" t="n"/>
      <c r="R872" s="27" t="n"/>
      <c r="S872" s="27" t="n"/>
      <c r="T872" s="25">
        <f>IF($C872="","",IF(OR(ISNUMBER(SEARCH("quick case",$P872)),ISNUMBER(SEARCH("quick case",$Q872))),"Yes","No"))</f>
        <v/>
      </c>
      <c r="U872" s="25">
        <f>IF($O872="Invalid",HYPERLINK("mailto:"&amp;$G872&amp;";"&amp;$I872&amp;"?cc="&amp;Lists!$E$2&amp;"&amp;subject="&amp;_xlfn.ENCODEURL("[INVALID] Quality audit monitoring completed for "&amp;UPPER($C872))&amp;"&amp;body="&amp;_xlfn.ENCODEURL("Hi "&amp;$F872&amp;","&amp;CHAR(10)&amp;"Good day!"&amp;CHAR(10)&amp;CHAR(10)&amp;"A quality monitoring audit has been completed for "&amp;$C872&amp;"."&amp;CHAR(10)&amp;CHAR(10)&amp;"QUALITY AUDIT DETAILS"&amp;CHAR(10)&amp;"Agent Name: "&amp;$C872&amp;" (EID "&amp;$D872&amp;")"&amp;CHAR(10)&amp;"Audit Date: "&amp;TEXT($B872,"yyyy-mm-dd")&amp;CHAR(10)&amp;"Team Leader: "&amp;$F872&amp;CHAR(10)&amp;"Case Number: "&amp;$M872&amp;CHAR(10)&amp;"Transaction ID: "&amp;$N872&amp;CHAR(10)&amp;"Channel / LOB: "&amp;$K872&amp;" / "&amp;$L872&amp;CHAR(10)&amp;"Evaluator: "&amp;$S872&amp;CHAR(10)&amp;CHAR(10)&amp;"INVALID QUALITY AUDIT DETAILS"&amp;CHAR(10)&amp;"Validation: Invalid"&amp;CHAR(10)&amp;"Invalid Reason: "&amp;$P872&amp;CHAR(10)&amp;"Expected Resolution Code: "&amp;$Q872&amp;CHAR(10)&amp;"Remarks: "&amp;LEFT($R872,600)&amp;CHAR(10)&amp;CHAR(10)&amp;"This is an automated notification from HP Mainstream EQMS."),"✉ Open Email Draft"),"")</f>
        <v/>
      </c>
    </row>
    <row r="873">
      <c r="A873" s="25">
        <f>IF($C873="","","AUD-2026-"&amp;TEXT(ROW()-1,"000000"))</f>
        <v/>
      </c>
      <c r="B873" s="26" t="n"/>
      <c r="C873" s="27" t="n"/>
      <c r="D873" s="25">
        <f>IF($C873="","",IFERROR(IF(INDEX(Roster!$A:$A,MATCH($C873,Roster!$B:$B,0))="","",INDEX(Roster!$A:$A,MATCH($C873,Roster!$B:$B,0))&amp;""),"—"))</f>
        <v/>
      </c>
      <c r="E873" s="25">
        <f>IF($C873="","",IFERROR(IF(INDEX(Roster!$C:$C,MATCH($C873,Roster!$B:$B,0))="","",INDEX(Roster!$C:$C,MATCH($C873,Roster!$B:$B,0))&amp;""),"—"))</f>
        <v/>
      </c>
      <c r="F873" s="25">
        <f>IF($C873="","",IFERROR(IF(INDEX(Roster!$D:$D,MATCH($C873,Roster!$B:$B,0))="","",INDEX(Roster!$D:$D,MATCH($C873,Roster!$B:$B,0))&amp;""),"—"))</f>
        <v/>
      </c>
      <c r="G873" s="25">
        <f>IF($C873="","",IFERROR(IF(INDEX(Roster!$E:$E,MATCH($C873,Roster!$B:$B,0))="","",INDEX(Roster!$E:$E,MATCH($C873,Roster!$B:$B,0))&amp;""),"—"))</f>
        <v/>
      </c>
      <c r="H873" s="25">
        <f>IF($C873="","",IFERROR(IF(INDEX(Roster!$F:$F,MATCH($C873,Roster!$B:$B,0))="","",INDEX(Roster!$F:$F,MATCH($C873,Roster!$B:$B,0))&amp;""),"—"))</f>
        <v/>
      </c>
      <c r="I873" s="25">
        <f>IF($C873="","",IFERROR(IF(INDEX(Roster!$G:$G,MATCH($C873,Roster!$B:$B,0))="","",INDEX(Roster!$G:$G,MATCH($C873,Roster!$B:$B,0))&amp;""),"—"))</f>
        <v/>
      </c>
      <c r="J873" s="25">
        <f>IF($C873="","",IFERROR(IF(INDEX(Roster!$I:$I,MATCH($C873,Roster!$B:$B,0))="","",INDEX(Roster!$I:$I,MATCH($C873,Roster!$B:$B,0))&amp;""),"—"))</f>
        <v/>
      </c>
      <c r="K873">
        <f>IF($C873="","",IFERROR(IF(INDEX(Roster!$J:$J,MATCH($C873,Roster!$B:$B,0))="","",INDEX(Roster!$J:$J,MATCH($C873,Roster!$B:$B,0))&amp;""),"—"))</f>
        <v/>
      </c>
      <c r="L873">
        <f>IF($C873="","",IFERROR(IF(INDEX(Roster!$K:$K,MATCH($C873,Roster!$B:$B,0))="","",INDEX(Roster!$K:$K,MATCH($C873,Roster!$B:$B,0))&amp;""),"—"))</f>
        <v/>
      </c>
      <c r="M873" s="27" t="n"/>
      <c r="N873" s="27" t="n"/>
      <c r="O873" s="25">
        <f>IF($C873="","",IF($P873="","—",IF($P873="Valid (Pass)","Valid","Invalid")))</f>
        <v/>
      </c>
      <c r="P873" s="27" t="n"/>
      <c r="Q873" s="27" t="n"/>
      <c r="R873" s="27" t="n"/>
      <c r="S873" s="27" t="n"/>
      <c r="T873" s="25">
        <f>IF($C873="","",IF(OR(ISNUMBER(SEARCH("quick case",$P873)),ISNUMBER(SEARCH("quick case",$Q873))),"Yes","No"))</f>
        <v/>
      </c>
      <c r="U873" s="25">
        <f>IF($O873="Invalid",HYPERLINK("mailto:"&amp;$G873&amp;";"&amp;$I873&amp;"?cc="&amp;Lists!$E$2&amp;"&amp;subject="&amp;_xlfn.ENCODEURL("[INVALID] Quality audit monitoring completed for "&amp;UPPER($C873))&amp;"&amp;body="&amp;_xlfn.ENCODEURL("Hi "&amp;$F873&amp;","&amp;CHAR(10)&amp;"Good day!"&amp;CHAR(10)&amp;CHAR(10)&amp;"A quality monitoring audit has been completed for "&amp;$C873&amp;"."&amp;CHAR(10)&amp;CHAR(10)&amp;"QUALITY AUDIT DETAILS"&amp;CHAR(10)&amp;"Agent Name: "&amp;$C873&amp;" (EID "&amp;$D873&amp;")"&amp;CHAR(10)&amp;"Audit Date: "&amp;TEXT($B873,"yyyy-mm-dd")&amp;CHAR(10)&amp;"Team Leader: "&amp;$F873&amp;CHAR(10)&amp;"Case Number: "&amp;$M873&amp;CHAR(10)&amp;"Transaction ID: "&amp;$N873&amp;CHAR(10)&amp;"Channel / LOB: "&amp;$K873&amp;" / "&amp;$L873&amp;CHAR(10)&amp;"Evaluator: "&amp;$S873&amp;CHAR(10)&amp;CHAR(10)&amp;"INVALID QUALITY AUDIT DETAILS"&amp;CHAR(10)&amp;"Validation: Invalid"&amp;CHAR(10)&amp;"Invalid Reason: "&amp;$P873&amp;CHAR(10)&amp;"Expected Resolution Code: "&amp;$Q873&amp;CHAR(10)&amp;"Remarks: "&amp;LEFT($R873,600)&amp;CHAR(10)&amp;CHAR(10)&amp;"This is an automated notification from HP Mainstream EQMS."),"✉ Open Email Draft"),"")</f>
        <v/>
      </c>
    </row>
    <row r="874">
      <c r="A874" s="25">
        <f>IF($C874="","","AUD-2026-"&amp;TEXT(ROW()-1,"000000"))</f>
        <v/>
      </c>
      <c r="B874" s="26" t="n"/>
      <c r="C874" s="27" t="n"/>
      <c r="D874" s="25">
        <f>IF($C874="","",IFERROR(IF(INDEX(Roster!$A:$A,MATCH($C874,Roster!$B:$B,0))="","",INDEX(Roster!$A:$A,MATCH($C874,Roster!$B:$B,0))&amp;""),"—"))</f>
        <v/>
      </c>
      <c r="E874" s="25">
        <f>IF($C874="","",IFERROR(IF(INDEX(Roster!$C:$C,MATCH($C874,Roster!$B:$B,0))="","",INDEX(Roster!$C:$C,MATCH($C874,Roster!$B:$B,0))&amp;""),"—"))</f>
        <v/>
      </c>
      <c r="F874" s="25">
        <f>IF($C874="","",IFERROR(IF(INDEX(Roster!$D:$D,MATCH($C874,Roster!$B:$B,0))="","",INDEX(Roster!$D:$D,MATCH($C874,Roster!$B:$B,0))&amp;""),"—"))</f>
        <v/>
      </c>
      <c r="G874" s="25">
        <f>IF($C874="","",IFERROR(IF(INDEX(Roster!$E:$E,MATCH($C874,Roster!$B:$B,0))="","",INDEX(Roster!$E:$E,MATCH($C874,Roster!$B:$B,0))&amp;""),"—"))</f>
        <v/>
      </c>
      <c r="H874" s="25">
        <f>IF($C874="","",IFERROR(IF(INDEX(Roster!$F:$F,MATCH($C874,Roster!$B:$B,0))="","",INDEX(Roster!$F:$F,MATCH($C874,Roster!$B:$B,0))&amp;""),"—"))</f>
        <v/>
      </c>
      <c r="I874" s="25">
        <f>IF($C874="","",IFERROR(IF(INDEX(Roster!$G:$G,MATCH($C874,Roster!$B:$B,0))="","",INDEX(Roster!$G:$G,MATCH($C874,Roster!$B:$B,0))&amp;""),"—"))</f>
        <v/>
      </c>
      <c r="J874" s="25">
        <f>IF($C874="","",IFERROR(IF(INDEX(Roster!$I:$I,MATCH($C874,Roster!$B:$B,0))="","",INDEX(Roster!$I:$I,MATCH($C874,Roster!$B:$B,0))&amp;""),"—"))</f>
        <v/>
      </c>
      <c r="K874">
        <f>IF($C874="","",IFERROR(IF(INDEX(Roster!$J:$J,MATCH($C874,Roster!$B:$B,0))="","",INDEX(Roster!$J:$J,MATCH($C874,Roster!$B:$B,0))&amp;""),"—"))</f>
        <v/>
      </c>
      <c r="L874">
        <f>IF($C874="","",IFERROR(IF(INDEX(Roster!$K:$K,MATCH($C874,Roster!$B:$B,0))="","",INDEX(Roster!$K:$K,MATCH($C874,Roster!$B:$B,0))&amp;""),"—"))</f>
        <v/>
      </c>
      <c r="M874" s="27" t="n"/>
      <c r="N874" s="27" t="n"/>
      <c r="O874" s="25">
        <f>IF($C874="","",IF($P874="","—",IF($P874="Valid (Pass)","Valid","Invalid")))</f>
        <v/>
      </c>
      <c r="P874" s="27" t="n"/>
      <c r="Q874" s="27" t="n"/>
      <c r="R874" s="27" t="n"/>
      <c r="S874" s="27" t="n"/>
      <c r="T874" s="25">
        <f>IF($C874="","",IF(OR(ISNUMBER(SEARCH("quick case",$P874)),ISNUMBER(SEARCH("quick case",$Q874))),"Yes","No"))</f>
        <v/>
      </c>
      <c r="U874" s="25">
        <f>IF($O874="Invalid",HYPERLINK("mailto:"&amp;$G874&amp;";"&amp;$I874&amp;"?cc="&amp;Lists!$E$2&amp;"&amp;subject="&amp;_xlfn.ENCODEURL("[INVALID] Quality audit monitoring completed for "&amp;UPPER($C874))&amp;"&amp;body="&amp;_xlfn.ENCODEURL("Hi "&amp;$F874&amp;","&amp;CHAR(10)&amp;"Good day!"&amp;CHAR(10)&amp;CHAR(10)&amp;"A quality monitoring audit has been completed for "&amp;$C874&amp;"."&amp;CHAR(10)&amp;CHAR(10)&amp;"QUALITY AUDIT DETAILS"&amp;CHAR(10)&amp;"Agent Name: "&amp;$C874&amp;" (EID "&amp;$D874&amp;")"&amp;CHAR(10)&amp;"Audit Date: "&amp;TEXT($B874,"yyyy-mm-dd")&amp;CHAR(10)&amp;"Team Leader: "&amp;$F874&amp;CHAR(10)&amp;"Case Number: "&amp;$M874&amp;CHAR(10)&amp;"Transaction ID: "&amp;$N874&amp;CHAR(10)&amp;"Channel / LOB: "&amp;$K874&amp;" / "&amp;$L874&amp;CHAR(10)&amp;"Evaluator: "&amp;$S874&amp;CHAR(10)&amp;CHAR(10)&amp;"INVALID QUALITY AUDIT DETAILS"&amp;CHAR(10)&amp;"Validation: Invalid"&amp;CHAR(10)&amp;"Invalid Reason: "&amp;$P874&amp;CHAR(10)&amp;"Expected Resolution Code: "&amp;$Q874&amp;CHAR(10)&amp;"Remarks: "&amp;LEFT($R874,600)&amp;CHAR(10)&amp;CHAR(10)&amp;"This is an automated notification from HP Mainstream EQMS."),"✉ Open Email Draft"),"")</f>
        <v/>
      </c>
    </row>
    <row r="875">
      <c r="A875" s="25">
        <f>IF($C875="","","AUD-2026-"&amp;TEXT(ROW()-1,"000000"))</f>
        <v/>
      </c>
      <c r="B875" s="26" t="n"/>
      <c r="C875" s="27" t="n"/>
      <c r="D875" s="25">
        <f>IF($C875="","",IFERROR(IF(INDEX(Roster!$A:$A,MATCH($C875,Roster!$B:$B,0))="","",INDEX(Roster!$A:$A,MATCH($C875,Roster!$B:$B,0))&amp;""),"—"))</f>
        <v/>
      </c>
      <c r="E875" s="25">
        <f>IF($C875="","",IFERROR(IF(INDEX(Roster!$C:$C,MATCH($C875,Roster!$B:$B,0))="","",INDEX(Roster!$C:$C,MATCH($C875,Roster!$B:$B,0))&amp;""),"—"))</f>
        <v/>
      </c>
      <c r="F875" s="25">
        <f>IF($C875="","",IFERROR(IF(INDEX(Roster!$D:$D,MATCH($C875,Roster!$B:$B,0))="","",INDEX(Roster!$D:$D,MATCH($C875,Roster!$B:$B,0))&amp;""),"—"))</f>
        <v/>
      </c>
      <c r="G875" s="25">
        <f>IF($C875="","",IFERROR(IF(INDEX(Roster!$E:$E,MATCH($C875,Roster!$B:$B,0))="","",INDEX(Roster!$E:$E,MATCH($C875,Roster!$B:$B,0))&amp;""),"—"))</f>
        <v/>
      </c>
      <c r="H875" s="25">
        <f>IF($C875="","",IFERROR(IF(INDEX(Roster!$F:$F,MATCH($C875,Roster!$B:$B,0))="","",INDEX(Roster!$F:$F,MATCH($C875,Roster!$B:$B,0))&amp;""),"—"))</f>
        <v/>
      </c>
      <c r="I875" s="25">
        <f>IF($C875="","",IFERROR(IF(INDEX(Roster!$G:$G,MATCH($C875,Roster!$B:$B,0))="","",INDEX(Roster!$G:$G,MATCH($C875,Roster!$B:$B,0))&amp;""),"—"))</f>
        <v/>
      </c>
      <c r="J875" s="25">
        <f>IF($C875="","",IFERROR(IF(INDEX(Roster!$I:$I,MATCH($C875,Roster!$B:$B,0))="","",INDEX(Roster!$I:$I,MATCH($C875,Roster!$B:$B,0))&amp;""),"—"))</f>
        <v/>
      </c>
      <c r="K875">
        <f>IF($C875="","",IFERROR(IF(INDEX(Roster!$J:$J,MATCH($C875,Roster!$B:$B,0))="","",INDEX(Roster!$J:$J,MATCH($C875,Roster!$B:$B,0))&amp;""),"—"))</f>
        <v/>
      </c>
      <c r="L875">
        <f>IF($C875="","",IFERROR(IF(INDEX(Roster!$K:$K,MATCH($C875,Roster!$B:$B,0))="","",INDEX(Roster!$K:$K,MATCH($C875,Roster!$B:$B,0))&amp;""),"—"))</f>
        <v/>
      </c>
      <c r="M875" s="27" t="n"/>
      <c r="N875" s="27" t="n"/>
      <c r="O875" s="25">
        <f>IF($C875="","",IF($P875="","—",IF($P875="Valid (Pass)","Valid","Invalid")))</f>
        <v/>
      </c>
      <c r="P875" s="27" t="n"/>
      <c r="Q875" s="27" t="n"/>
      <c r="R875" s="27" t="n"/>
      <c r="S875" s="27" t="n"/>
      <c r="T875" s="25">
        <f>IF($C875="","",IF(OR(ISNUMBER(SEARCH("quick case",$P875)),ISNUMBER(SEARCH("quick case",$Q875))),"Yes","No"))</f>
        <v/>
      </c>
      <c r="U875" s="25">
        <f>IF($O875="Invalid",HYPERLINK("mailto:"&amp;$G875&amp;";"&amp;$I875&amp;"?cc="&amp;Lists!$E$2&amp;"&amp;subject="&amp;_xlfn.ENCODEURL("[INVALID] Quality audit monitoring completed for "&amp;UPPER($C875))&amp;"&amp;body="&amp;_xlfn.ENCODEURL("Hi "&amp;$F875&amp;","&amp;CHAR(10)&amp;"Good day!"&amp;CHAR(10)&amp;CHAR(10)&amp;"A quality monitoring audit has been completed for "&amp;$C875&amp;"."&amp;CHAR(10)&amp;CHAR(10)&amp;"QUALITY AUDIT DETAILS"&amp;CHAR(10)&amp;"Agent Name: "&amp;$C875&amp;" (EID "&amp;$D875&amp;")"&amp;CHAR(10)&amp;"Audit Date: "&amp;TEXT($B875,"yyyy-mm-dd")&amp;CHAR(10)&amp;"Team Leader: "&amp;$F875&amp;CHAR(10)&amp;"Case Number: "&amp;$M875&amp;CHAR(10)&amp;"Transaction ID: "&amp;$N875&amp;CHAR(10)&amp;"Channel / LOB: "&amp;$K875&amp;" / "&amp;$L875&amp;CHAR(10)&amp;"Evaluator: "&amp;$S875&amp;CHAR(10)&amp;CHAR(10)&amp;"INVALID QUALITY AUDIT DETAILS"&amp;CHAR(10)&amp;"Validation: Invalid"&amp;CHAR(10)&amp;"Invalid Reason: "&amp;$P875&amp;CHAR(10)&amp;"Expected Resolution Code: "&amp;$Q875&amp;CHAR(10)&amp;"Remarks: "&amp;LEFT($R875,600)&amp;CHAR(10)&amp;CHAR(10)&amp;"This is an automated notification from HP Mainstream EQMS."),"✉ Open Email Draft"),"")</f>
        <v/>
      </c>
    </row>
    <row r="876">
      <c r="A876" s="25">
        <f>IF($C876="","","AUD-2026-"&amp;TEXT(ROW()-1,"000000"))</f>
        <v/>
      </c>
      <c r="B876" s="26" t="n"/>
      <c r="C876" s="27" t="n"/>
      <c r="D876" s="25">
        <f>IF($C876="","",IFERROR(IF(INDEX(Roster!$A:$A,MATCH($C876,Roster!$B:$B,0))="","",INDEX(Roster!$A:$A,MATCH($C876,Roster!$B:$B,0))&amp;""),"—"))</f>
        <v/>
      </c>
      <c r="E876" s="25">
        <f>IF($C876="","",IFERROR(IF(INDEX(Roster!$C:$C,MATCH($C876,Roster!$B:$B,0))="","",INDEX(Roster!$C:$C,MATCH($C876,Roster!$B:$B,0))&amp;""),"—"))</f>
        <v/>
      </c>
      <c r="F876" s="25">
        <f>IF($C876="","",IFERROR(IF(INDEX(Roster!$D:$D,MATCH($C876,Roster!$B:$B,0))="","",INDEX(Roster!$D:$D,MATCH($C876,Roster!$B:$B,0))&amp;""),"—"))</f>
        <v/>
      </c>
      <c r="G876" s="25">
        <f>IF($C876="","",IFERROR(IF(INDEX(Roster!$E:$E,MATCH($C876,Roster!$B:$B,0))="","",INDEX(Roster!$E:$E,MATCH($C876,Roster!$B:$B,0))&amp;""),"—"))</f>
        <v/>
      </c>
      <c r="H876" s="25">
        <f>IF($C876="","",IFERROR(IF(INDEX(Roster!$F:$F,MATCH($C876,Roster!$B:$B,0))="","",INDEX(Roster!$F:$F,MATCH($C876,Roster!$B:$B,0))&amp;""),"—"))</f>
        <v/>
      </c>
      <c r="I876" s="25">
        <f>IF($C876="","",IFERROR(IF(INDEX(Roster!$G:$G,MATCH($C876,Roster!$B:$B,0))="","",INDEX(Roster!$G:$G,MATCH($C876,Roster!$B:$B,0))&amp;""),"—"))</f>
        <v/>
      </c>
      <c r="J876" s="25">
        <f>IF($C876="","",IFERROR(IF(INDEX(Roster!$I:$I,MATCH($C876,Roster!$B:$B,0))="","",INDEX(Roster!$I:$I,MATCH($C876,Roster!$B:$B,0))&amp;""),"—"))</f>
        <v/>
      </c>
      <c r="K876">
        <f>IF($C876="","",IFERROR(IF(INDEX(Roster!$J:$J,MATCH($C876,Roster!$B:$B,0))="","",INDEX(Roster!$J:$J,MATCH($C876,Roster!$B:$B,0))&amp;""),"—"))</f>
        <v/>
      </c>
      <c r="L876">
        <f>IF($C876="","",IFERROR(IF(INDEX(Roster!$K:$K,MATCH($C876,Roster!$B:$B,0))="","",INDEX(Roster!$K:$K,MATCH($C876,Roster!$B:$B,0))&amp;""),"—"))</f>
        <v/>
      </c>
      <c r="M876" s="27" t="n"/>
      <c r="N876" s="27" t="n"/>
      <c r="O876" s="25">
        <f>IF($C876="","",IF($P876="","—",IF($P876="Valid (Pass)","Valid","Invalid")))</f>
        <v/>
      </c>
      <c r="P876" s="27" t="n"/>
      <c r="Q876" s="27" t="n"/>
      <c r="R876" s="27" t="n"/>
      <c r="S876" s="27" t="n"/>
      <c r="T876" s="25">
        <f>IF($C876="","",IF(OR(ISNUMBER(SEARCH("quick case",$P876)),ISNUMBER(SEARCH("quick case",$Q876))),"Yes","No"))</f>
        <v/>
      </c>
      <c r="U876" s="25">
        <f>IF($O876="Invalid",HYPERLINK("mailto:"&amp;$G876&amp;";"&amp;$I876&amp;"?cc="&amp;Lists!$E$2&amp;"&amp;subject="&amp;_xlfn.ENCODEURL("[INVALID] Quality audit monitoring completed for "&amp;UPPER($C876))&amp;"&amp;body="&amp;_xlfn.ENCODEURL("Hi "&amp;$F876&amp;","&amp;CHAR(10)&amp;"Good day!"&amp;CHAR(10)&amp;CHAR(10)&amp;"A quality monitoring audit has been completed for "&amp;$C876&amp;"."&amp;CHAR(10)&amp;CHAR(10)&amp;"QUALITY AUDIT DETAILS"&amp;CHAR(10)&amp;"Agent Name: "&amp;$C876&amp;" (EID "&amp;$D876&amp;")"&amp;CHAR(10)&amp;"Audit Date: "&amp;TEXT($B876,"yyyy-mm-dd")&amp;CHAR(10)&amp;"Team Leader: "&amp;$F876&amp;CHAR(10)&amp;"Case Number: "&amp;$M876&amp;CHAR(10)&amp;"Transaction ID: "&amp;$N876&amp;CHAR(10)&amp;"Channel / LOB: "&amp;$K876&amp;" / "&amp;$L876&amp;CHAR(10)&amp;"Evaluator: "&amp;$S876&amp;CHAR(10)&amp;CHAR(10)&amp;"INVALID QUALITY AUDIT DETAILS"&amp;CHAR(10)&amp;"Validation: Invalid"&amp;CHAR(10)&amp;"Invalid Reason: "&amp;$P876&amp;CHAR(10)&amp;"Expected Resolution Code: "&amp;$Q876&amp;CHAR(10)&amp;"Remarks: "&amp;LEFT($R876,600)&amp;CHAR(10)&amp;CHAR(10)&amp;"This is an automated notification from HP Mainstream EQMS."),"✉ Open Email Draft"),"")</f>
        <v/>
      </c>
    </row>
    <row r="877">
      <c r="A877" s="25">
        <f>IF($C877="","","AUD-2026-"&amp;TEXT(ROW()-1,"000000"))</f>
        <v/>
      </c>
      <c r="B877" s="26" t="n"/>
      <c r="C877" s="27" t="n"/>
      <c r="D877" s="25">
        <f>IF($C877="","",IFERROR(IF(INDEX(Roster!$A:$A,MATCH($C877,Roster!$B:$B,0))="","",INDEX(Roster!$A:$A,MATCH($C877,Roster!$B:$B,0))&amp;""),"—"))</f>
        <v/>
      </c>
      <c r="E877" s="25">
        <f>IF($C877="","",IFERROR(IF(INDEX(Roster!$C:$C,MATCH($C877,Roster!$B:$B,0))="","",INDEX(Roster!$C:$C,MATCH($C877,Roster!$B:$B,0))&amp;""),"—"))</f>
        <v/>
      </c>
      <c r="F877" s="25">
        <f>IF($C877="","",IFERROR(IF(INDEX(Roster!$D:$D,MATCH($C877,Roster!$B:$B,0))="","",INDEX(Roster!$D:$D,MATCH($C877,Roster!$B:$B,0))&amp;""),"—"))</f>
        <v/>
      </c>
      <c r="G877" s="25">
        <f>IF($C877="","",IFERROR(IF(INDEX(Roster!$E:$E,MATCH($C877,Roster!$B:$B,0))="","",INDEX(Roster!$E:$E,MATCH($C877,Roster!$B:$B,0))&amp;""),"—"))</f>
        <v/>
      </c>
      <c r="H877" s="25">
        <f>IF($C877="","",IFERROR(IF(INDEX(Roster!$F:$F,MATCH($C877,Roster!$B:$B,0))="","",INDEX(Roster!$F:$F,MATCH($C877,Roster!$B:$B,0))&amp;""),"—"))</f>
        <v/>
      </c>
      <c r="I877" s="25">
        <f>IF($C877="","",IFERROR(IF(INDEX(Roster!$G:$G,MATCH($C877,Roster!$B:$B,0))="","",INDEX(Roster!$G:$G,MATCH($C877,Roster!$B:$B,0))&amp;""),"—"))</f>
        <v/>
      </c>
      <c r="J877" s="25">
        <f>IF($C877="","",IFERROR(IF(INDEX(Roster!$I:$I,MATCH($C877,Roster!$B:$B,0))="","",INDEX(Roster!$I:$I,MATCH($C877,Roster!$B:$B,0))&amp;""),"—"))</f>
        <v/>
      </c>
      <c r="K877">
        <f>IF($C877="","",IFERROR(IF(INDEX(Roster!$J:$J,MATCH($C877,Roster!$B:$B,0))="","",INDEX(Roster!$J:$J,MATCH($C877,Roster!$B:$B,0))&amp;""),"—"))</f>
        <v/>
      </c>
      <c r="L877">
        <f>IF($C877="","",IFERROR(IF(INDEX(Roster!$K:$K,MATCH($C877,Roster!$B:$B,0))="","",INDEX(Roster!$K:$K,MATCH($C877,Roster!$B:$B,0))&amp;""),"—"))</f>
        <v/>
      </c>
      <c r="M877" s="27" t="n"/>
      <c r="N877" s="27" t="n"/>
      <c r="O877" s="25">
        <f>IF($C877="","",IF($P877="","—",IF($P877="Valid (Pass)","Valid","Invalid")))</f>
        <v/>
      </c>
      <c r="P877" s="27" t="n"/>
      <c r="Q877" s="27" t="n"/>
      <c r="R877" s="27" t="n"/>
      <c r="S877" s="27" t="n"/>
      <c r="T877" s="25">
        <f>IF($C877="","",IF(OR(ISNUMBER(SEARCH("quick case",$P877)),ISNUMBER(SEARCH("quick case",$Q877))),"Yes","No"))</f>
        <v/>
      </c>
      <c r="U877" s="25">
        <f>IF($O877="Invalid",HYPERLINK("mailto:"&amp;$G877&amp;";"&amp;$I877&amp;"?cc="&amp;Lists!$E$2&amp;"&amp;subject="&amp;_xlfn.ENCODEURL("[INVALID] Quality audit monitoring completed for "&amp;UPPER($C877))&amp;"&amp;body="&amp;_xlfn.ENCODEURL("Hi "&amp;$F877&amp;","&amp;CHAR(10)&amp;"Good day!"&amp;CHAR(10)&amp;CHAR(10)&amp;"A quality monitoring audit has been completed for "&amp;$C877&amp;"."&amp;CHAR(10)&amp;CHAR(10)&amp;"QUALITY AUDIT DETAILS"&amp;CHAR(10)&amp;"Agent Name: "&amp;$C877&amp;" (EID "&amp;$D877&amp;")"&amp;CHAR(10)&amp;"Audit Date: "&amp;TEXT($B877,"yyyy-mm-dd")&amp;CHAR(10)&amp;"Team Leader: "&amp;$F877&amp;CHAR(10)&amp;"Case Number: "&amp;$M877&amp;CHAR(10)&amp;"Transaction ID: "&amp;$N877&amp;CHAR(10)&amp;"Channel / LOB: "&amp;$K877&amp;" / "&amp;$L877&amp;CHAR(10)&amp;"Evaluator: "&amp;$S877&amp;CHAR(10)&amp;CHAR(10)&amp;"INVALID QUALITY AUDIT DETAILS"&amp;CHAR(10)&amp;"Validation: Invalid"&amp;CHAR(10)&amp;"Invalid Reason: "&amp;$P877&amp;CHAR(10)&amp;"Expected Resolution Code: "&amp;$Q877&amp;CHAR(10)&amp;"Remarks: "&amp;LEFT($R877,600)&amp;CHAR(10)&amp;CHAR(10)&amp;"This is an automated notification from HP Mainstream EQMS."),"✉ Open Email Draft"),"")</f>
        <v/>
      </c>
    </row>
    <row r="878">
      <c r="A878" s="25">
        <f>IF($C878="","","AUD-2026-"&amp;TEXT(ROW()-1,"000000"))</f>
        <v/>
      </c>
      <c r="B878" s="26" t="n"/>
      <c r="C878" s="27" t="n"/>
      <c r="D878" s="25">
        <f>IF($C878="","",IFERROR(IF(INDEX(Roster!$A:$A,MATCH($C878,Roster!$B:$B,0))="","",INDEX(Roster!$A:$A,MATCH($C878,Roster!$B:$B,0))&amp;""),"—"))</f>
        <v/>
      </c>
      <c r="E878" s="25">
        <f>IF($C878="","",IFERROR(IF(INDEX(Roster!$C:$C,MATCH($C878,Roster!$B:$B,0))="","",INDEX(Roster!$C:$C,MATCH($C878,Roster!$B:$B,0))&amp;""),"—"))</f>
        <v/>
      </c>
      <c r="F878" s="25">
        <f>IF($C878="","",IFERROR(IF(INDEX(Roster!$D:$D,MATCH($C878,Roster!$B:$B,0))="","",INDEX(Roster!$D:$D,MATCH($C878,Roster!$B:$B,0))&amp;""),"—"))</f>
        <v/>
      </c>
      <c r="G878" s="25">
        <f>IF($C878="","",IFERROR(IF(INDEX(Roster!$E:$E,MATCH($C878,Roster!$B:$B,0))="","",INDEX(Roster!$E:$E,MATCH($C878,Roster!$B:$B,0))&amp;""),"—"))</f>
        <v/>
      </c>
      <c r="H878" s="25">
        <f>IF($C878="","",IFERROR(IF(INDEX(Roster!$F:$F,MATCH($C878,Roster!$B:$B,0))="","",INDEX(Roster!$F:$F,MATCH($C878,Roster!$B:$B,0))&amp;""),"—"))</f>
        <v/>
      </c>
      <c r="I878" s="25">
        <f>IF($C878="","",IFERROR(IF(INDEX(Roster!$G:$G,MATCH($C878,Roster!$B:$B,0))="","",INDEX(Roster!$G:$G,MATCH($C878,Roster!$B:$B,0))&amp;""),"—"))</f>
        <v/>
      </c>
      <c r="J878" s="25">
        <f>IF($C878="","",IFERROR(IF(INDEX(Roster!$I:$I,MATCH($C878,Roster!$B:$B,0))="","",INDEX(Roster!$I:$I,MATCH($C878,Roster!$B:$B,0))&amp;""),"—"))</f>
        <v/>
      </c>
      <c r="K878">
        <f>IF($C878="","",IFERROR(IF(INDEX(Roster!$J:$J,MATCH($C878,Roster!$B:$B,0))="","",INDEX(Roster!$J:$J,MATCH($C878,Roster!$B:$B,0))&amp;""),"—"))</f>
        <v/>
      </c>
      <c r="L878">
        <f>IF($C878="","",IFERROR(IF(INDEX(Roster!$K:$K,MATCH($C878,Roster!$B:$B,0))="","",INDEX(Roster!$K:$K,MATCH($C878,Roster!$B:$B,0))&amp;""),"—"))</f>
        <v/>
      </c>
      <c r="M878" s="27" t="n"/>
      <c r="N878" s="27" t="n"/>
      <c r="O878" s="25">
        <f>IF($C878="","",IF($P878="","—",IF($P878="Valid (Pass)","Valid","Invalid")))</f>
        <v/>
      </c>
      <c r="P878" s="27" t="n"/>
      <c r="Q878" s="27" t="n"/>
      <c r="R878" s="27" t="n"/>
      <c r="S878" s="27" t="n"/>
      <c r="T878" s="25">
        <f>IF($C878="","",IF(OR(ISNUMBER(SEARCH("quick case",$P878)),ISNUMBER(SEARCH("quick case",$Q878))),"Yes","No"))</f>
        <v/>
      </c>
      <c r="U878" s="25">
        <f>IF($O878="Invalid",HYPERLINK("mailto:"&amp;$G878&amp;";"&amp;$I878&amp;"?cc="&amp;Lists!$E$2&amp;"&amp;subject="&amp;_xlfn.ENCODEURL("[INVALID] Quality audit monitoring completed for "&amp;UPPER($C878))&amp;"&amp;body="&amp;_xlfn.ENCODEURL("Hi "&amp;$F878&amp;","&amp;CHAR(10)&amp;"Good day!"&amp;CHAR(10)&amp;CHAR(10)&amp;"A quality monitoring audit has been completed for "&amp;$C878&amp;"."&amp;CHAR(10)&amp;CHAR(10)&amp;"QUALITY AUDIT DETAILS"&amp;CHAR(10)&amp;"Agent Name: "&amp;$C878&amp;" (EID "&amp;$D878&amp;")"&amp;CHAR(10)&amp;"Audit Date: "&amp;TEXT($B878,"yyyy-mm-dd")&amp;CHAR(10)&amp;"Team Leader: "&amp;$F878&amp;CHAR(10)&amp;"Case Number: "&amp;$M878&amp;CHAR(10)&amp;"Transaction ID: "&amp;$N878&amp;CHAR(10)&amp;"Channel / LOB: "&amp;$K878&amp;" / "&amp;$L878&amp;CHAR(10)&amp;"Evaluator: "&amp;$S878&amp;CHAR(10)&amp;CHAR(10)&amp;"INVALID QUALITY AUDIT DETAILS"&amp;CHAR(10)&amp;"Validation: Invalid"&amp;CHAR(10)&amp;"Invalid Reason: "&amp;$P878&amp;CHAR(10)&amp;"Expected Resolution Code: "&amp;$Q878&amp;CHAR(10)&amp;"Remarks: "&amp;LEFT($R878,600)&amp;CHAR(10)&amp;CHAR(10)&amp;"This is an automated notification from HP Mainstream EQMS."),"✉ Open Email Draft"),"")</f>
        <v/>
      </c>
    </row>
    <row r="879">
      <c r="A879" s="25">
        <f>IF($C879="","","AUD-2026-"&amp;TEXT(ROW()-1,"000000"))</f>
        <v/>
      </c>
      <c r="B879" s="26" t="n"/>
      <c r="C879" s="27" t="n"/>
      <c r="D879" s="25">
        <f>IF($C879="","",IFERROR(IF(INDEX(Roster!$A:$A,MATCH($C879,Roster!$B:$B,0))="","",INDEX(Roster!$A:$A,MATCH($C879,Roster!$B:$B,0))&amp;""),"—"))</f>
        <v/>
      </c>
      <c r="E879" s="25">
        <f>IF($C879="","",IFERROR(IF(INDEX(Roster!$C:$C,MATCH($C879,Roster!$B:$B,0))="","",INDEX(Roster!$C:$C,MATCH($C879,Roster!$B:$B,0))&amp;""),"—"))</f>
        <v/>
      </c>
      <c r="F879" s="25">
        <f>IF($C879="","",IFERROR(IF(INDEX(Roster!$D:$D,MATCH($C879,Roster!$B:$B,0))="","",INDEX(Roster!$D:$D,MATCH($C879,Roster!$B:$B,0))&amp;""),"—"))</f>
        <v/>
      </c>
      <c r="G879" s="25">
        <f>IF($C879="","",IFERROR(IF(INDEX(Roster!$E:$E,MATCH($C879,Roster!$B:$B,0))="","",INDEX(Roster!$E:$E,MATCH($C879,Roster!$B:$B,0))&amp;""),"—"))</f>
        <v/>
      </c>
      <c r="H879" s="25">
        <f>IF($C879="","",IFERROR(IF(INDEX(Roster!$F:$F,MATCH($C879,Roster!$B:$B,0))="","",INDEX(Roster!$F:$F,MATCH($C879,Roster!$B:$B,0))&amp;""),"—"))</f>
        <v/>
      </c>
      <c r="I879" s="25">
        <f>IF($C879="","",IFERROR(IF(INDEX(Roster!$G:$G,MATCH($C879,Roster!$B:$B,0))="","",INDEX(Roster!$G:$G,MATCH($C879,Roster!$B:$B,0))&amp;""),"—"))</f>
        <v/>
      </c>
      <c r="J879" s="25">
        <f>IF($C879="","",IFERROR(IF(INDEX(Roster!$I:$I,MATCH($C879,Roster!$B:$B,0))="","",INDEX(Roster!$I:$I,MATCH($C879,Roster!$B:$B,0))&amp;""),"—"))</f>
        <v/>
      </c>
      <c r="K879">
        <f>IF($C879="","",IFERROR(IF(INDEX(Roster!$J:$J,MATCH($C879,Roster!$B:$B,0))="","",INDEX(Roster!$J:$J,MATCH($C879,Roster!$B:$B,0))&amp;""),"—"))</f>
        <v/>
      </c>
      <c r="L879">
        <f>IF($C879="","",IFERROR(IF(INDEX(Roster!$K:$K,MATCH($C879,Roster!$B:$B,0))="","",INDEX(Roster!$K:$K,MATCH($C879,Roster!$B:$B,0))&amp;""),"—"))</f>
        <v/>
      </c>
      <c r="M879" s="27" t="n"/>
      <c r="N879" s="27" t="n"/>
      <c r="O879" s="25">
        <f>IF($C879="","",IF($P879="","—",IF($P879="Valid (Pass)","Valid","Invalid")))</f>
        <v/>
      </c>
      <c r="P879" s="27" t="n"/>
      <c r="Q879" s="27" t="n"/>
      <c r="R879" s="27" t="n"/>
      <c r="S879" s="27" t="n"/>
      <c r="T879" s="25">
        <f>IF($C879="","",IF(OR(ISNUMBER(SEARCH("quick case",$P879)),ISNUMBER(SEARCH("quick case",$Q879))),"Yes","No"))</f>
        <v/>
      </c>
      <c r="U879" s="25">
        <f>IF($O879="Invalid",HYPERLINK("mailto:"&amp;$G879&amp;";"&amp;$I879&amp;"?cc="&amp;Lists!$E$2&amp;"&amp;subject="&amp;_xlfn.ENCODEURL("[INVALID] Quality audit monitoring completed for "&amp;UPPER($C879))&amp;"&amp;body="&amp;_xlfn.ENCODEURL("Hi "&amp;$F879&amp;","&amp;CHAR(10)&amp;"Good day!"&amp;CHAR(10)&amp;CHAR(10)&amp;"A quality monitoring audit has been completed for "&amp;$C879&amp;"."&amp;CHAR(10)&amp;CHAR(10)&amp;"QUALITY AUDIT DETAILS"&amp;CHAR(10)&amp;"Agent Name: "&amp;$C879&amp;" (EID "&amp;$D879&amp;")"&amp;CHAR(10)&amp;"Audit Date: "&amp;TEXT($B879,"yyyy-mm-dd")&amp;CHAR(10)&amp;"Team Leader: "&amp;$F879&amp;CHAR(10)&amp;"Case Number: "&amp;$M879&amp;CHAR(10)&amp;"Transaction ID: "&amp;$N879&amp;CHAR(10)&amp;"Channel / LOB: "&amp;$K879&amp;" / "&amp;$L879&amp;CHAR(10)&amp;"Evaluator: "&amp;$S879&amp;CHAR(10)&amp;CHAR(10)&amp;"INVALID QUALITY AUDIT DETAILS"&amp;CHAR(10)&amp;"Validation: Invalid"&amp;CHAR(10)&amp;"Invalid Reason: "&amp;$P879&amp;CHAR(10)&amp;"Expected Resolution Code: "&amp;$Q879&amp;CHAR(10)&amp;"Remarks: "&amp;LEFT($R879,600)&amp;CHAR(10)&amp;CHAR(10)&amp;"This is an automated notification from HP Mainstream EQMS."),"✉ Open Email Draft"),"")</f>
        <v/>
      </c>
    </row>
    <row r="880">
      <c r="A880" s="25">
        <f>IF($C880="","","AUD-2026-"&amp;TEXT(ROW()-1,"000000"))</f>
        <v/>
      </c>
      <c r="B880" s="26" t="n"/>
      <c r="C880" s="27" t="n"/>
      <c r="D880" s="25">
        <f>IF($C880="","",IFERROR(IF(INDEX(Roster!$A:$A,MATCH($C880,Roster!$B:$B,0))="","",INDEX(Roster!$A:$A,MATCH($C880,Roster!$B:$B,0))&amp;""),"—"))</f>
        <v/>
      </c>
      <c r="E880" s="25">
        <f>IF($C880="","",IFERROR(IF(INDEX(Roster!$C:$C,MATCH($C880,Roster!$B:$B,0))="","",INDEX(Roster!$C:$C,MATCH($C880,Roster!$B:$B,0))&amp;""),"—"))</f>
        <v/>
      </c>
      <c r="F880" s="25">
        <f>IF($C880="","",IFERROR(IF(INDEX(Roster!$D:$D,MATCH($C880,Roster!$B:$B,0))="","",INDEX(Roster!$D:$D,MATCH($C880,Roster!$B:$B,0))&amp;""),"—"))</f>
        <v/>
      </c>
      <c r="G880" s="25">
        <f>IF($C880="","",IFERROR(IF(INDEX(Roster!$E:$E,MATCH($C880,Roster!$B:$B,0))="","",INDEX(Roster!$E:$E,MATCH($C880,Roster!$B:$B,0))&amp;""),"—"))</f>
        <v/>
      </c>
      <c r="H880" s="25">
        <f>IF($C880="","",IFERROR(IF(INDEX(Roster!$F:$F,MATCH($C880,Roster!$B:$B,0))="","",INDEX(Roster!$F:$F,MATCH($C880,Roster!$B:$B,0))&amp;""),"—"))</f>
        <v/>
      </c>
      <c r="I880" s="25">
        <f>IF($C880="","",IFERROR(IF(INDEX(Roster!$G:$G,MATCH($C880,Roster!$B:$B,0))="","",INDEX(Roster!$G:$G,MATCH($C880,Roster!$B:$B,0))&amp;""),"—"))</f>
        <v/>
      </c>
      <c r="J880" s="25">
        <f>IF($C880="","",IFERROR(IF(INDEX(Roster!$I:$I,MATCH($C880,Roster!$B:$B,0))="","",INDEX(Roster!$I:$I,MATCH($C880,Roster!$B:$B,0))&amp;""),"—"))</f>
        <v/>
      </c>
      <c r="K880">
        <f>IF($C880="","",IFERROR(IF(INDEX(Roster!$J:$J,MATCH($C880,Roster!$B:$B,0))="","",INDEX(Roster!$J:$J,MATCH($C880,Roster!$B:$B,0))&amp;""),"—"))</f>
        <v/>
      </c>
      <c r="L880">
        <f>IF($C880="","",IFERROR(IF(INDEX(Roster!$K:$K,MATCH($C880,Roster!$B:$B,0))="","",INDEX(Roster!$K:$K,MATCH($C880,Roster!$B:$B,0))&amp;""),"—"))</f>
        <v/>
      </c>
      <c r="M880" s="27" t="n"/>
      <c r="N880" s="27" t="n"/>
      <c r="O880" s="25">
        <f>IF($C880="","",IF($P880="","—",IF($P880="Valid (Pass)","Valid","Invalid")))</f>
        <v/>
      </c>
      <c r="P880" s="27" t="n"/>
      <c r="Q880" s="27" t="n"/>
      <c r="R880" s="27" t="n"/>
      <c r="S880" s="27" t="n"/>
      <c r="T880" s="25">
        <f>IF($C880="","",IF(OR(ISNUMBER(SEARCH("quick case",$P880)),ISNUMBER(SEARCH("quick case",$Q880))),"Yes","No"))</f>
        <v/>
      </c>
      <c r="U880" s="25">
        <f>IF($O880="Invalid",HYPERLINK("mailto:"&amp;$G880&amp;";"&amp;$I880&amp;"?cc="&amp;Lists!$E$2&amp;"&amp;subject="&amp;_xlfn.ENCODEURL("[INVALID] Quality audit monitoring completed for "&amp;UPPER($C880))&amp;"&amp;body="&amp;_xlfn.ENCODEURL("Hi "&amp;$F880&amp;","&amp;CHAR(10)&amp;"Good day!"&amp;CHAR(10)&amp;CHAR(10)&amp;"A quality monitoring audit has been completed for "&amp;$C880&amp;"."&amp;CHAR(10)&amp;CHAR(10)&amp;"QUALITY AUDIT DETAILS"&amp;CHAR(10)&amp;"Agent Name: "&amp;$C880&amp;" (EID "&amp;$D880&amp;")"&amp;CHAR(10)&amp;"Audit Date: "&amp;TEXT($B880,"yyyy-mm-dd")&amp;CHAR(10)&amp;"Team Leader: "&amp;$F880&amp;CHAR(10)&amp;"Case Number: "&amp;$M880&amp;CHAR(10)&amp;"Transaction ID: "&amp;$N880&amp;CHAR(10)&amp;"Channel / LOB: "&amp;$K880&amp;" / "&amp;$L880&amp;CHAR(10)&amp;"Evaluator: "&amp;$S880&amp;CHAR(10)&amp;CHAR(10)&amp;"INVALID QUALITY AUDIT DETAILS"&amp;CHAR(10)&amp;"Validation: Invalid"&amp;CHAR(10)&amp;"Invalid Reason: "&amp;$P880&amp;CHAR(10)&amp;"Expected Resolution Code: "&amp;$Q880&amp;CHAR(10)&amp;"Remarks: "&amp;LEFT($R880,600)&amp;CHAR(10)&amp;CHAR(10)&amp;"This is an automated notification from HP Mainstream EQMS."),"✉ Open Email Draft"),"")</f>
        <v/>
      </c>
    </row>
    <row r="881">
      <c r="A881" s="25">
        <f>IF($C881="","","AUD-2026-"&amp;TEXT(ROW()-1,"000000"))</f>
        <v/>
      </c>
      <c r="B881" s="26" t="n"/>
      <c r="C881" s="27" t="n"/>
      <c r="D881" s="25">
        <f>IF($C881="","",IFERROR(IF(INDEX(Roster!$A:$A,MATCH($C881,Roster!$B:$B,0))="","",INDEX(Roster!$A:$A,MATCH($C881,Roster!$B:$B,0))&amp;""),"—"))</f>
        <v/>
      </c>
      <c r="E881" s="25">
        <f>IF($C881="","",IFERROR(IF(INDEX(Roster!$C:$C,MATCH($C881,Roster!$B:$B,0))="","",INDEX(Roster!$C:$C,MATCH($C881,Roster!$B:$B,0))&amp;""),"—"))</f>
        <v/>
      </c>
      <c r="F881" s="25">
        <f>IF($C881="","",IFERROR(IF(INDEX(Roster!$D:$D,MATCH($C881,Roster!$B:$B,0))="","",INDEX(Roster!$D:$D,MATCH($C881,Roster!$B:$B,0))&amp;""),"—"))</f>
        <v/>
      </c>
      <c r="G881" s="25">
        <f>IF($C881="","",IFERROR(IF(INDEX(Roster!$E:$E,MATCH($C881,Roster!$B:$B,0))="","",INDEX(Roster!$E:$E,MATCH($C881,Roster!$B:$B,0))&amp;""),"—"))</f>
        <v/>
      </c>
      <c r="H881" s="25">
        <f>IF($C881="","",IFERROR(IF(INDEX(Roster!$F:$F,MATCH($C881,Roster!$B:$B,0))="","",INDEX(Roster!$F:$F,MATCH($C881,Roster!$B:$B,0))&amp;""),"—"))</f>
        <v/>
      </c>
      <c r="I881" s="25">
        <f>IF($C881="","",IFERROR(IF(INDEX(Roster!$G:$G,MATCH($C881,Roster!$B:$B,0))="","",INDEX(Roster!$G:$G,MATCH($C881,Roster!$B:$B,0))&amp;""),"—"))</f>
        <v/>
      </c>
      <c r="J881" s="25">
        <f>IF($C881="","",IFERROR(IF(INDEX(Roster!$I:$I,MATCH($C881,Roster!$B:$B,0))="","",INDEX(Roster!$I:$I,MATCH($C881,Roster!$B:$B,0))&amp;""),"—"))</f>
        <v/>
      </c>
      <c r="K881">
        <f>IF($C881="","",IFERROR(IF(INDEX(Roster!$J:$J,MATCH($C881,Roster!$B:$B,0))="","",INDEX(Roster!$J:$J,MATCH($C881,Roster!$B:$B,0))&amp;""),"—"))</f>
        <v/>
      </c>
      <c r="L881">
        <f>IF($C881="","",IFERROR(IF(INDEX(Roster!$K:$K,MATCH($C881,Roster!$B:$B,0))="","",INDEX(Roster!$K:$K,MATCH($C881,Roster!$B:$B,0))&amp;""),"—"))</f>
        <v/>
      </c>
      <c r="M881" s="27" t="n"/>
      <c r="N881" s="27" t="n"/>
      <c r="O881" s="25">
        <f>IF($C881="","",IF($P881="","—",IF($P881="Valid (Pass)","Valid","Invalid")))</f>
        <v/>
      </c>
      <c r="P881" s="27" t="n"/>
      <c r="Q881" s="27" t="n"/>
      <c r="R881" s="27" t="n"/>
      <c r="S881" s="27" t="n"/>
      <c r="T881" s="25">
        <f>IF($C881="","",IF(OR(ISNUMBER(SEARCH("quick case",$P881)),ISNUMBER(SEARCH("quick case",$Q881))),"Yes","No"))</f>
        <v/>
      </c>
      <c r="U881" s="25">
        <f>IF($O881="Invalid",HYPERLINK("mailto:"&amp;$G881&amp;";"&amp;$I881&amp;"?cc="&amp;Lists!$E$2&amp;"&amp;subject="&amp;_xlfn.ENCODEURL("[INVALID] Quality audit monitoring completed for "&amp;UPPER($C881))&amp;"&amp;body="&amp;_xlfn.ENCODEURL("Hi "&amp;$F881&amp;","&amp;CHAR(10)&amp;"Good day!"&amp;CHAR(10)&amp;CHAR(10)&amp;"A quality monitoring audit has been completed for "&amp;$C881&amp;"."&amp;CHAR(10)&amp;CHAR(10)&amp;"QUALITY AUDIT DETAILS"&amp;CHAR(10)&amp;"Agent Name: "&amp;$C881&amp;" (EID "&amp;$D881&amp;")"&amp;CHAR(10)&amp;"Audit Date: "&amp;TEXT($B881,"yyyy-mm-dd")&amp;CHAR(10)&amp;"Team Leader: "&amp;$F881&amp;CHAR(10)&amp;"Case Number: "&amp;$M881&amp;CHAR(10)&amp;"Transaction ID: "&amp;$N881&amp;CHAR(10)&amp;"Channel / LOB: "&amp;$K881&amp;" / "&amp;$L881&amp;CHAR(10)&amp;"Evaluator: "&amp;$S881&amp;CHAR(10)&amp;CHAR(10)&amp;"INVALID QUALITY AUDIT DETAILS"&amp;CHAR(10)&amp;"Validation: Invalid"&amp;CHAR(10)&amp;"Invalid Reason: "&amp;$P881&amp;CHAR(10)&amp;"Expected Resolution Code: "&amp;$Q881&amp;CHAR(10)&amp;"Remarks: "&amp;LEFT($R881,600)&amp;CHAR(10)&amp;CHAR(10)&amp;"This is an automated notification from HP Mainstream EQMS."),"✉ Open Email Draft"),"")</f>
        <v/>
      </c>
    </row>
    <row r="882">
      <c r="A882" s="25">
        <f>IF($C882="","","AUD-2026-"&amp;TEXT(ROW()-1,"000000"))</f>
        <v/>
      </c>
      <c r="B882" s="26" t="n"/>
      <c r="C882" s="27" t="n"/>
      <c r="D882" s="25">
        <f>IF($C882="","",IFERROR(IF(INDEX(Roster!$A:$A,MATCH($C882,Roster!$B:$B,0))="","",INDEX(Roster!$A:$A,MATCH($C882,Roster!$B:$B,0))&amp;""),"—"))</f>
        <v/>
      </c>
      <c r="E882" s="25">
        <f>IF($C882="","",IFERROR(IF(INDEX(Roster!$C:$C,MATCH($C882,Roster!$B:$B,0))="","",INDEX(Roster!$C:$C,MATCH($C882,Roster!$B:$B,0))&amp;""),"—"))</f>
        <v/>
      </c>
      <c r="F882" s="25">
        <f>IF($C882="","",IFERROR(IF(INDEX(Roster!$D:$D,MATCH($C882,Roster!$B:$B,0))="","",INDEX(Roster!$D:$D,MATCH($C882,Roster!$B:$B,0))&amp;""),"—"))</f>
        <v/>
      </c>
      <c r="G882" s="25">
        <f>IF($C882="","",IFERROR(IF(INDEX(Roster!$E:$E,MATCH($C882,Roster!$B:$B,0))="","",INDEX(Roster!$E:$E,MATCH($C882,Roster!$B:$B,0))&amp;""),"—"))</f>
        <v/>
      </c>
      <c r="H882" s="25">
        <f>IF($C882="","",IFERROR(IF(INDEX(Roster!$F:$F,MATCH($C882,Roster!$B:$B,0))="","",INDEX(Roster!$F:$F,MATCH($C882,Roster!$B:$B,0))&amp;""),"—"))</f>
        <v/>
      </c>
      <c r="I882" s="25">
        <f>IF($C882="","",IFERROR(IF(INDEX(Roster!$G:$G,MATCH($C882,Roster!$B:$B,0))="","",INDEX(Roster!$G:$G,MATCH($C882,Roster!$B:$B,0))&amp;""),"—"))</f>
        <v/>
      </c>
      <c r="J882" s="25">
        <f>IF($C882="","",IFERROR(IF(INDEX(Roster!$I:$I,MATCH($C882,Roster!$B:$B,0))="","",INDEX(Roster!$I:$I,MATCH($C882,Roster!$B:$B,0))&amp;""),"—"))</f>
        <v/>
      </c>
      <c r="K882">
        <f>IF($C882="","",IFERROR(IF(INDEX(Roster!$J:$J,MATCH($C882,Roster!$B:$B,0))="","",INDEX(Roster!$J:$J,MATCH($C882,Roster!$B:$B,0))&amp;""),"—"))</f>
        <v/>
      </c>
      <c r="L882">
        <f>IF($C882="","",IFERROR(IF(INDEX(Roster!$K:$K,MATCH($C882,Roster!$B:$B,0))="","",INDEX(Roster!$K:$K,MATCH($C882,Roster!$B:$B,0))&amp;""),"—"))</f>
        <v/>
      </c>
      <c r="M882" s="27" t="n"/>
      <c r="N882" s="27" t="n"/>
      <c r="O882" s="25">
        <f>IF($C882="","",IF($P882="","—",IF($P882="Valid (Pass)","Valid","Invalid")))</f>
        <v/>
      </c>
      <c r="P882" s="27" t="n"/>
      <c r="Q882" s="27" t="n"/>
      <c r="R882" s="27" t="n"/>
      <c r="S882" s="27" t="n"/>
      <c r="T882" s="25">
        <f>IF($C882="","",IF(OR(ISNUMBER(SEARCH("quick case",$P882)),ISNUMBER(SEARCH("quick case",$Q882))),"Yes","No"))</f>
        <v/>
      </c>
      <c r="U882" s="25">
        <f>IF($O882="Invalid",HYPERLINK("mailto:"&amp;$G882&amp;";"&amp;$I882&amp;"?cc="&amp;Lists!$E$2&amp;"&amp;subject="&amp;_xlfn.ENCODEURL("[INVALID] Quality audit monitoring completed for "&amp;UPPER($C882))&amp;"&amp;body="&amp;_xlfn.ENCODEURL("Hi "&amp;$F882&amp;","&amp;CHAR(10)&amp;"Good day!"&amp;CHAR(10)&amp;CHAR(10)&amp;"A quality monitoring audit has been completed for "&amp;$C882&amp;"."&amp;CHAR(10)&amp;CHAR(10)&amp;"QUALITY AUDIT DETAILS"&amp;CHAR(10)&amp;"Agent Name: "&amp;$C882&amp;" (EID "&amp;$D882&amp;")"&amp;CHAR(10)&amp;"Audit Date: "&amp;TEXT($B882,"yyyy-mm-dd")&amp;CHAR(10)&amp;"Team Leader: "&amp;$F882&amp;CHAR(10)&amp;"Case Number: "&amp;$M882&amp;CHAR(10)&amp;"Transaction ID: "&amp;$N882&amp;CHAR(10)&amp;"Channel / LOB: "&amp;$K882&amp;" / "&amp;$L882&amp;CHAR(10)&amp;"Evaluator: "&amp;$S882&amp;CHAR(10)&amp;CHAR(10)&amp;"INVALID QUALITY AUDIT DETAILS"&amp;CHAR(10)&amp;"Validation: Invalid"&amp;CHAR(10)&amp;"Invalid Reason: "&amp;$P882&amp;CHAR(10)&amp;"Expected Resolution Code: "&amp;$Q882&amp;CHAR(10)&amp;"Remarks: "&amp;LEFT($R882,600)&amp;CHAR(10)&amp;CHAR(10)&amp;"This is an automated notification from HP Mainstream EQMS."),"✉ Open Email Draft"),"")</f>
        <v/>
      </c>
    </row>
    <row r="883">
      <c r="A883" s="25">
        <f>IF($C883="","","AUD-2026-"&amp;TEXT(ROW()-1,"000000"))</f>
        <v/>
      </c>
      <c r="B883" s="26" t="n"/>
      <c r="C883" s="27" t="n"/>
      <c r="D883" s="25">
        <f>IF($C883="","",IFERROR(IF(INDEX(Roster!$A:$A,MATCH($C883,Roster!$B:$B,0))="","",INDEX(Roster!$A:$A,MATCH($C883,Roster!$B:$B,0))&amp;""),"—"))</f>
        <v/>
      </c>
      <c r="E883" s="25">
        <f>IF($C883="","",IFERROR(IF(INDEX(Roster!$C:$C,MATCH($C883,Roster!$B:$B,0))="","",INDEX(Roster!$C:$C,MATCH($C883,Roster!$B:$B,0))&amp;""),"—"))</f>
        <v/>
      </c>
      <c r="F883" s="25">
        <f>IF($C883="","",IFERROR(IF(INDEX(Roster!$D:$D,MATCH($C883,Roster!$B:$B,0))="","",INDEX(Roster!$D:$D,MATCH($C883,Roster!$B:$B,0))&amp;""),"—"))</f>
        <v/>
      </c>
      <c r="G883" s="25">
        <f>IF($C883="","",IFERROR(IF(INDEX(Roster!$E:$E,MATCH($C883,Roster!$B:$B,0))="","",INDEX(Roster!$E:$E,MATCH($C883,Roster!$B:$B,0))&amp;""),"—"))</f>
        <v/>
      </c>
      <c r="H883" s="25">
        <f>IF($C883="","",IFERROR(IF(INDEX(Roster!$F:$F,MATCH($C883,Roster!$B:$B,0))="","",INDEX(Roster!$F:$F,MATCH($C883,Roster!$B:$B,0))&amp;""),"—"))</f>
        <v/>
      </c>
      <c r="I883" s="25">
        <f>IF($C883="","",IFERROR(IF(INDEX(Roster!$G:$G,MATCH($C883,Roster!$B:$B,0))="","",INDEX(Roster!$G:$G,MATCH($C883,Roster!$B:$B,0))&amp;""),"—"))</f>
        <v/>
      </c>
      <c r="J883" s="25">
        <f>IF($C883="","",IFERROR(IF(INDEX(Roster!$I:$I,MATCH($C883,Roster!$B:$B,0))="","",INDEX(Roster!$I:$I,MATCH($C883,Roster!$B:$B,0))&amp;""),"—"))</f>
        <v/>
      </c>
      <c r="K883">
        <f>IF($C883="","",IFERROR(IF(INDEX(Roster!$J:$J,MATCH($C883,Roster!$B:$B,0))="","",INDEX(Roster!$J:$J,MATCH($C883,Roster!$B:$B,0))&amp;""),"—"))</f>
        <v/>
      </c>
      <c r="L883">
        <f>IF($C883="","",IFERROR(IF(INDEX(Roster!$K:$K,MATCH($C883,Roster!$B:$B,0))="","",INDEX(Roster!$K:$K,MATCH($C883,Roster!$B:$B,0))&amp;""),"—"))</f>
        <v/>
      </c>
      <c r="M883" s="27" t="n"/>
      <c r="N883" s="27" t="n"/>
      <c r="O883" s="25">
        <f>IF($C883="","",IF($P883="","—",IF($P883="Valid (Pass)","Valid","Invalid")))</f>
        <v/>
      </c>
      <c r="P883" s="27" t="n"/>
      <c r="Q883" s="27" t="n"/>
      <c r="R883" s="27" t="n"/>
      <c r="S883" s="27" t="n"/>
      <c r="T883" s="25">
        <f>IF($C883="","",IF(OR(ISNUMBER(SEARCH("quick case",$P883)),ISNUMBER(SEARCH("quick case",$Q883))),"Yes","No"))</f>
        <v/>
      </c>
      <c r="U883" s="25">
        <f>IF($O883="Invalid",HYPERLINK("mailto:"&amp;$G883&amp;";"&amp;$I883&amp;"?cc="&amp;Lists!$E$2&amp;"&amp;subject="&amp;_xlfn.ENCODEURL("[INVALID] Quality audit monitoring completed for "&amp;UPPER($C883))&amp;"&amp;body="&amp;_xlfn.ENCODEURL("Hi "&amp;$F883&amp;","&amp;CHAR(10)&amp;"Good day!"&amp;CHAR(10)&amp;CHAR(10)&amp;"A quality monitoring audit has been completed for "&amp;$C883&amp;"."&amp;CHAR(10)&amp;CHAR(10)&amp;"QUALITY AUDIT DETAILS"&amp;CHAR(10)&amp;"Agent Name: "&amp;$C883&amp;" (EID "&amp;$D883&amp;")"&amp;CHAR(10)&amp;"Audit Date: "&amp;TEXT($B883,"yyyy-mm-dd")&amp;CHAR(10)&amp;"Team Leader: "&amp;$F883&amp;CHAR(10)&amp;"Case Number: "&amp;$M883&amp;CHAR(10)&amp;"Transaction ID: "&amp;$N883&amp;CHAR(10)&amp;"Channel / LOB: "&amp;$K883&amp;" / "&amp;$L883&amp;CHAR(10)&amp;"Evaluator: "&amp;$S883&amp;CHAR(10)&amp;CHAR(10)&amp;"INVALID QUALITY AUDIT DETAILS"&amp;CHAR(10)&amp;"Validation: Invalid"&amp;CHAR(10)&amp;"Invalid Reason: "&amp;$P883&amp;CHAR(10)&amp;"Expected Resolution Code: "&amp;$Q883&amp;CHAR(10)&amp;"Remarks: "&amp;LEFT($R883,600)&amp;CHAR(10)&amp;CHAR(10)&amp;"This is an automated notification from HP Mainstream EQMS."),"✉ Open Email Draft"),"")</f>
        <v/>
      </c>
    </row>
    <row r="884">
      <c r="A884" s="25">
        <f>IF($C884="","","AUD-2026-"&amp;TEXT(ROW()-1,"000000"))</f>
        <v/>
      </c>
      <c r="B884" s="26" t="n"/>
      <c r="C884" s="27" t="n"/>
      <c r="D884" s="25">
        <f>IF($C884="","",IFERROR(IF(INDEX(Roster!$A:$A,MATCH($C884,Roster!$B:$B,0))="","",INDEX(Roster!$A:$A,MATCH($C884,Roster!$B:$B,0))&amp;""),"—"))</f>
        <v/>
      </c>
      <c r="E884" s="25">
        <f>IF($C884="","",IFERROR(IF(INDEX(Roster!$C:$C,MATCH($C884,Roster!$B:$B,0))="","",INDEX(Roster!$C:$C,MATCH($C884,Roster!$B:$B,0))&amp;""),"—"))</f>
        <v/>
      </c>
      <c r="F884" s="25">
        <f>IF($C884="","",IFERROR(IF(INDEX(Roster!$D:$D,MATCH($C884,Roster!$B:$B,0))="","",INDEX(Roster!$D:$D,MATCH($C884,Roster!$B:$B,0))&amp;""),"—"))</f>
        <v/>
      </c>
      <c r="G884" s="25">
        <f>IF($C884="","",IFERROR(IF(INDEX(Roster!$E:$E,MATCH($C884,Roster!$B:$B,0))="","",INDEX(Roster!$E:$E,MATCH($C884,Roster!$B:$B,0))&amp;""),"—"))</f>
        <v/>
      </c>
      <c r="H884" s="25">
        <f>IF($C884="","",IFERROR(IF(INDEX(Roster!$F:$F,MATCH($C884,Roster!$B:$B,0))="","",INDEX(Roster!$F:$F,MATCH($C884,Roster!$B:$B,0))&amp;""),"—"))</f>
        <v/>
      </c>
      <c r="I884" s="25">
        <f>IF($C884="","",IFERROR(IF(INDEX(Roster!$G:$G,MATCH($C884,Roster!$B:$B,0))="","",INDEX(Roster!$G:$G,MATCH($C884,Roster!$B:$B,0))&amp;""),"—"))</f>
        <v/>
      </c>
      <c r="J884" s="25">
        <f>IF($C884="","",IFERROR(IF(INDEX(Roster!$I:$I,MATCH($C884,Roster!$B:$B,0))="","",INDEX(Roster!$I:$I,MATCH($C884,Roster!$B:$B,0))&amp;""),"—"))</f>
        <v/>
      </c>
      <c r="K884">
        <f>IF($C884="","",IFERROR(IF(INDEX(Roster!$J:$J,MATCH($C884,Roster!$B:$B,0))="","",INDEX(Roster!$J:$J,MATCH($C884,Roster!$B:$B,0))&amp;""),"—"))</f>
        <v/>
      </c>
      <c r="L884">
        <f>IF($C884="","",IFERROR(IF(INDEX(Roster!$K:$K,MATCH($C884,Roster!$B:$B,0))="","",INDEX(Roster!$K:$K,MATCH($C884,Roster!$B:$B,0))&amp;""),"—"))</f>
        <v/>
      </c>
      <c r="M884" s="27" t="n"/>
      <c r="N884" s="27" t="n"/>
      <c r="O884" s="25">
        <f>IF($C884="","",IF($P884="","—",IF($P884="Valid (Pass)","Valid","Invalid")))</f>
        <v/>
      </c>
      <c r="P884" s="27" t="n"/>
      <c r="Q884" s="27" t="n"/>
      <c r="R884" s="27" t="n"/>
      <c r="S884" s="27" t="n"/>
      <c r="T884" s="25">
        <f>IF($C884="","",IF(OR(ISNUMBER(SEARCH("quick case",$P884)),ISNUMBER(SEARCH("quick case",$Q884))),"Yes","No"))</f>
        <v/>
      </c>
      <c r="U884" s="25">
        <f>IF($O884="Invalid",HYPERLINK("mailto:"&amp;$G884&amp;";"&amp;$I884&amp;"?cc="&amp;Lists!$E$2&amp;"&amp;subject="&amp;_xlfn.ENCODEURL("[INVALID] Quality audit monitoring completed for "&amp;UPPER($C884))&amp;"&amp;body="&amp;_xlfn.ENCODEURL("Hi "&amp;$F884&amp;","&amp;CHAR(10)&amp;"Good day!"&amp;CHAR(10)&amp;CHAR(10)&amp;"A quality monitoring audit has been completed for "&amp;$C884&amp;"."&amp;CHAR(10)&amp;CHAR(10)&amp;"QUALITY AUDIT DETAILS"&amp;CHAR(10)&amp;"Agent Name: "&amp;$C884&amp;" (EID "&amp;$D884&amp;")"&amp;CHAR(10)&amp;"Audit Date: "&amp;TEXT($B884,"yyyy-mm-dd")&amp;CHAR(10)&amp;"Team Leader: "&amp;$F884&amp;CHAR(10)&amp;"Case Number: "&amp;$M884&amp;CHAR(10)&amp;"Transaction ID: "&amp;$N884&amp;CHAR(10)&amp;"Channel / LOB: "&amp;$K884&amp;" / "&amp;$L884&amp;CHAR(10)&amp;"Evaluator: "&amp;$S884&amp;CHAR(10)&amp;CHAR(10)&amp;"INVALID QUALITY AUDIT DETAILS"&amp;CHAR(10)&amp;"Validation: Invalid"&amp;CHAR(10)&amp;"Invalid Reason: "&amp;$P884&amp;CHAR(10)&amp;"Expected Resolution Code: "&amp;$Q884&amp;CHAR(10)&amp;"Remarks: "&amp;LEFT($R884,600)&amp;CHAR(10)&amp;CHAR(10)&amp;"This is an automated notification from HP Mainstream EQMS."),"✉ Open Email Draft"),"")</f>
        <v/>
      </c>
    </row>
    <row r="885">
      <c r="A885" s="25">
        <f>IF($C885="","","AUD-2026-"&amp;TEXT(ROW()-1,"000000"))</f>
        <v/>
      </c>
      <c r="B885" s="26" t="n"/>
      <c r="C885" s="27" t="n"/>
      <c r="D885" s="25">
        <f>IF($C885="","",IFERROR(IF(INDEX(Roster!$A:$A,MATCH($C885,Roster!$B:$B,0))="","",INDEX(Roster!$A:$A,MATCH($C885,Roster!$B:$B,0))&amp;""),"—"))</f>
        <v/>
      </c>
      <c r="E885" s="25">
        <f>IF($C885="","",IFERROR(IF(INDEX(Roster!$C:$C,MATCH($C885,Roster!$B:$B,0))="","",INDEX(Roster!$C:$C,MATCH($C885,Roster!$B:$B,0))&amp;""),"—"))</f>
        <v/>
      </c>
      <c r="F885" s="25">
        <f>IF($C885="","",IFERROR(IF(INDEX(Roster!$D:$D,MATCH($C885,Roster!$B:$B,0))="","",INDEX(Roster!$D:$D,MATCH($C885,Roster!$B:$B,0))&amp;""),"—"))</f>
        <v/>
      </c>
      <c r="G885" s="25">
        <f>IF($C885="","",IFERROR(IF(INDEX(Roster!$E:$E,MATCH($C885,Roster!$B:$B,0))="","",INDEX(Roster!$E:$E,MATCH($C885,Roster!$B:$B,0))&amp;""),"—"))</f>
        <v/>
      </c>
      <c r="H885" s="25">
        <f>IF($C885="","",IFERROR(IF(INDEX(Roster!$F:$F,MATCH($C885,Roster!$B:$B,0))="","",INDEX(Roster!$F:$F,MATCH($C885,Roster!$B:$B,0))&amp;""),"—"))</f>
        <v/>
      </c>
      <c r="I885" s="25">
        <f>IF($C885="","",IFERROR(IF(INDEX(Roster!$G:$G,MATCH($C885,Roster!$B:$B,0))="","",INDEX(Roster!$G:$G,MATCH($C885,Roster!$B:$B,0))&amp;""),"—"))</f>
        <v/>
      </c>
      <c r="J885" s="25">
        <f>IF($C885="","",IFERROR(IF(INDEX(Roster!$I:$I,MATCH($C885,Roster!$B:$B,0))="","",INDEX(Roster!$I:$I,MATCH($C885,Roster!$B:$B,0))&amp;""),"—"))</f>
        <v/>
      </c>
      <c r="K885">
        <f>IF($C885="","",IFERROR(IF(INDEX(Roster!$J:$J,MATCH($C885,Roster!$B:$B,0))="","",INDEX(Roster!$J:$J,MATCH($C885,Roster!$B:$B,0))&amp;""),"—"))</f>
        <v/>
      </c>
      <c r="L885">
        <f>IF($C885="","",IFERROR(IF(INDEX(Roster!$K:$K,MATCH($C885,Roster!$B:$B,0))="","",INDEX(Roster!$K:$K,MATCH($C885,Roster!$B:$B,0))&amp;""),"—"))</f>
        <v/>
      </c>
      <c r="M885" s="27" t="n"/>
      <c r="N885" s="27" t="n"/>
      <c r="O885" s="25">
        <f>IF($C885="","",IF($P885="","—",IF($P885="Valid (Pass)","Valid","Invalid")))</f>
        <v/>
      </c>
      <c r="P885" s="27" t="n"/>
      <c r="Q885" s="27" t="n"/>
      <c r="R885" s="27" t="n"/>
      <c r="S885" s="27" t="n"/>
      <c r="T885" s="25">
        <f>IF($C885="","",IF(OR(ISNUMBER(SEARCH("quick case",$P885)),ISNUMBER(SEARCH("quick case",$Q885))),"Yes","No"))</f>
        <v/>
      </c>
      <c r="U885" s="25">
        <f>IF($O885="Invalid",HYPERLINK("mailto:"&amp;$G885&amp;";"&amp;$I885&amp;"?cc="&amp;Lists!$E$2&amp;"&amp;subject="&amp;_xlfn.ENCODEURL("[INVALID] Quality audit monitoring completed for "&amp;UPPER($C885))&amp;"&amp;body="&amp;_xlfn.ENCODEURL("Hi "&amp;$F885&amp;","&amp;CHAR(10)&amp;"Good day!"&amp;CHAR(10)&amp;CHAR(10)&amp;"A quality monitoring audit has been completed for "&amp;$C885&amp;"."&amp;CHAR(10)&amp;CHAR(10)&amp;"QUALITY AUDIT DETAILS"&amp;CHAR(10)&amp;"Agent Name: "&amp;$C885&amp;" (EID "&amp;$D885&amp;")"&amp;CHAR(10)&amp;"Audit Date: "&amp;TEXT($B885,"yyyy-mm-dd")&amp;CHAR(10)&amp;"Team Leader: "&amp;$F885&amp;CHAR(10)&amp;"Case Number: "&amp;$M885&amp;CHAR(10)&amp;"Transaction ID: "&amp;$N885&amp;CHAR(10)&amp;"Channel / LOB: "&amp;$K885&amp;" / "&amp;$L885&amp;CHAR(10)&amp;"Evaluator: "&amp;$S885&amp;CHAR(10)&amp;CHAR(10)&amp;"INVALID QUALITY AUDIT DETAILS"&amp;CHAR(10)&amp;"Validation: Invalid"&amp;CHAR(10)&amp;"Invalid Reason: "&amp;$P885&amp;CHAR(10)&amp;"Expected Resolution Code: "&amp;$Q885&amp;CHAR(10)&amp;"Remarks: "&amp;LEFT($R885,600)&amp;CHAR(10)&amp;CHAR(10)&amp;"This is an automated notification from HP Mainstream EQMS."),"✉ Open Email Draft"),"")</f>
        <v/>
      </c>
    </row>
    <row r="886">
      <c r="A886" s="25">
        <f>IF($C886="","","AUD-2026-"&amp;TEXT(ROW()-1,"000000"))</f>
        <v/>
      </c>
      <c r="B886" s="26" t="n"/>
      <c r="C886" s="27" t="n"/>
      <c r="D886" s="25">
        <f>IF($C886="","",IFERROR(IF(INDEX(Roster!$A:$A,MATCH($C886,Roster!$B:$B,0))="","",INDEX(Roster!$A:$A,MATCH($C886,Roster!$B:$B,0))&amp;""),"—"))</f>
        <v/>
      </c>
      <c r="E886" s="25">
        <f>IF($C886="","",IFERROR(IF(INDEX(Roster!$C:$C,MATCH($C886,Roster!$B:$B,0))="","",INDEX(Roster!$C:$C,MATCH($C886,Roster!$B:$B,0))&amp;""),"—"))</f>
        <v/>
      </c>
      <c r="F886" s="25">
        <f>IF($C886="","",IFERROR(IF(INDEX(Roster!$D:$D,MATCH($C886,Roster!$B:$B,0))="","",INDEX(Roster!$D:$D,MATCH($C886,Roster!$B:$B,0))&amp;""),"—"))</f>
        <v/>
      </c>
      <c r="G886" s="25">
        <f>IF($C886="","",IFERROR(IF(INDEX(Roster!$E:$E,MATCH($C886,Roster!$B:$B,0))="","",INDEX(Roster!$E:$E,MATCH($C886,Roster!$B:$B,0))&amp;""),"—"))</f>
        <v/>
      </c>
      <c r="H886" s="25">
        <f>IF($C886="","",IFERROR(IF(INDEX(Roster!$F:$F,MATCH($C886,Roster!$B:$B,0))="","",INDEX(Roster!$F:$F,MATCH($C886,Roster!$B:$B,0))&amp;""),"—"))</f>
        <v/>
      </c>
      <c r="I886" s="25">
        <f>IF($C886="","",IFERROR(IF(INDEX(Roster!$G:$G,MATCH($C886,Roster!$B:$B,0))="","",INDEX(Roster!$G:$G,MATCH($C886,Roster!$B:$B,0))&amp;""),"—"))</f>
        <v/>
      </c>
      <c r="J886" s="25">
        <f>IF($C886="","",IFERROR(IF(INDEX(Roster!$I:$I,MATCH($C886,Roster!$B:$B,0))="","",INDEX(Roster!$I:$I,MATCH($C886,Roster!$B:$B,0))&amp;""),"—"))</f>
        <v/>
      </c>
      <c r="K886">
        <f>IF($C886="","",IFERROR(IF(INDEX(Roster!$J:$J,MATCH($C886,Roster!$B:$B,0))="","",INDEX(Roster!$J:$J,MATCH($C886,Roster!$B:$B,0))&amp;""),"—"))</f>
        <v/>
      </c>
      <c r="L886">
        <f>IF($C886="","",IFERROR(IF(INDEX(Roster!$K:$K,MATCH($C886,Roster!$B:$B,0))="","",INDEX(Roster!$K:$K,MATCH($C886,Roster!$B:$B,0))&amp;""),"—"))</f>
        <v/>
      </c>
      <c r="M886" s="27" t="n"/>
      <c r="N886" s="27" t="n"/>
      <c r="O886" s="25">
        <f>IF($C886="","",IF($P886="","—",IF($P886="Valid (Pass)","Valid","Invalid")))</f>
        <v/>
      </c>
      <c r="P886" s="27" t="n"/>
      <c r="Q886" s="27" t="n"/>
      <c r="R886" s="27" t="n"/>
      <c r="S886" s="27" t="n"/>
      <c r="T886" s="25">
        <f>IF($C886="","",IF(OR(ISNUMBER(SEARCH("quick case",$P886)),ISNUMBER(SEARCH("quick case",$Q886))),"Yes","No"))</f>
        <v/>
      </c>
      <c r="U886" s="25">
        <f>IF($O886="Invalid",HYPERLINK("mailto:"&amp;$G886&amp;";"&amp;$I886&amp;"?cc="&amp;Lists!$E$2&amp;"&amp;subject="&amp;_xlfn.ENCODEURL("[INVALID] Quality audit monitoring completed for "&amp;UPPER($C886))&amp;"&amp;body="&amp;_xlfn.ENCODEURL("Hi "&amp;$F886&amp;","&amp;CHAR(10)&amp;"Good day!"&amp;CHAR(10)&amp;CHAR(10)&amp;"A quality monitoring audit has been completed for "&amp;$C886&amp;"."&amp;CHAR(10)&amp;CHAR(10)&amp;"QUALITY AUDIT DETAILS"&amp;CHAR(10)&amp;"Agent Name: "&amp;$C886&amp;" (EID "&amp;$D886&amp;")"&amp;CHAR(10)&amp;"Audit Date: "&amp;TEXT($B886,"yyyy-mm-dd")&amp;CHAR(10)&amp;"Team Leader: "&amp;$F886&amp;CHAR(10)&amp;"Case Number: "&amp;$M886&amp;CHAR(10)&amp;"Transaction ID: "&amp;$N886&amp;CHAR(10)&amp;"Channel / LOB: "&amp;$K886&amp;" / "&amp;$L886&amp;CHAR(10)&amp;"Evaluator: "&amp;$S886&amp;CHAR(10)&amp;CHAR(10)&amp;"INVALID QUALITY AUDIT DETAILS"&amp;CHAR(10)&amp;"Validation: Invalid"&amp;CHAR(10)&amp;"Invalid Reason: "&amp;$P886&amp;CHAR(10)&amp;"Expected Resolution Code: "&amp;$Q886&amp;CHAR(10)&amp;"Remarks: "&amp;LEFT($R886,600)&amp;CHAR(10)&amp;CHAR(10)&amp;"This is an automated notification from HP Mainstream EQMS."),"✉ Open Email Draft"),"")</f>
        <v/>
      </c>
    </row>
    <row r="887">
      <c r="A887" s="25">
        <f>IF($C887="","","AUD-2026-"&amp;TEXT(ROW()-1,"000000"))</f>
        <v/>
      </c>
      <c r="B887" s="26" t="n"/>
      <c r="C887" s="27" t="n"/>
      <c r="D887" s="25">
        <f>IF($C887="","",IFERROR(IF(INDEX(Roster!$A:$A,MATCH($C887,Roster!$B:$B,0))="","",INDEX(Roster!$A:$A,MATCH($C887,Roster!$B:$B,0))&amp;""),"—"))</f>
        <v/>
      </c>
      <c r="E887" s="25">
        <f>IF($C887="","",IFERROR(IF(INDEX(Roster!$C:$C,MATCH($C887,Roster!$B:$B,0))="","",INDEX(Roster!$C:$C,MATCH($C887,Roster!$B:$B,0))&amp;""),"—"))</f>
        <v/>
      </c>
      <c r="F887" s="25">
        <f>IF($C887="","",IFERROR(IF(INDEX(Roster!$D:$D,MATCH($C887,Roster!$B:$B,0))="","",INDEX(Roster!$D:$D,MATCH($C887,Roster!$B:$B,0))&amp;""),"—"))</f>
        <v/>
      </c>
      <c r="G887" s="25">
        <f>IF($C887="","",IFERROR(IF(INDEX(Roster!$E:$E,MATCH($C887,Roster!$B:$B,0))="","",INDEX(Roster!$E:$E,MATCH($C887,Roster!$B:$B,0))&amp;""),"—"))</f>
        <v/>
      </c>
      <c r="H887" s="25">
        <f>IF($C887="","",IFERROR(IF(INDEX(Roster!$F:$F,MATCH($C887,Roster!$B:$B,0))="","",INDEX(Roster!$F:$F,MATCH($C887,Roster!$B:$B,0))&amp;""),"—"))</f>
        <v/>
      </c>
      <c r="I887" s="25">
        <f>IF($C887="","",IFERROR(IF(INDEX(Roster!$G:$G,MATCH($C887,Roster!$B:$B,0))="","",INDEX(Roster!$G:$G,MATCH($C887,Roster!$B:$B,0))&amp;""),"—"))</f>
        <v/>
      </c>
      <c r="J887" s="25">
        <f>IF($C887="","",IFERROR(IF(INDEX(Roster!$I:$I,MATCH($C887,Roster!$B:$B,0))="","",INDEX(Roster!$I:$I,MATCH($C887,Roster!$B:$B,0))&amp;""),"—"))</f>
        <v/>
      </c>
      <c r="K887">
        <f>IF($C887="","",IFERROR(IF(INDEX(Roster!$J:$J,MATCH($C887,Roster!$B:$B,0))="","",INDEX(Roster!$J:$J,MATCH($C887,Roster!$B:$B,0))&amp;""),"—"))</f>
        <v/>
      </c>
      <c r="L887">
        <f>IF($C887="","",IFERROR(IF(INDEX(Roster!$K:$K,MATCH($C887,Roster!$B:$B,0))="","",INDEX(Roster!$K:$K,MATCH($C887,Roster!$B:$B,0))&amp;""),"—"))</f>
        <v/>
      </c>
      <c r="M887" s="27" t="n"/>
      <c r="N887" s="27" t="n"/>
      <c r="O887" s="25">
        <f>IF($C887="","",IF($P887="","—",IF($P887="Valid (Pass)","Valid","Invalid")))</f>
        <v/>
      </c>
      <c r="P887" s="27" t="n"/>
      <c r="Q887" s="27" t="n"/>
      <c r="R887" s="27" t="n"/>
      <c r="S887" s="27" t="n"/>
      <c r="T887" s="25">
        <f>IF($C887="","",IF(OR(ISNUMBER(SEARCH("quick case",$P887)),ISNUMBER(SEARCH("quick case",$Q887))),"Yes","No"))</f>
        <v/>
      </c>
      <c r="U887" s="25">
        <f>IF($O887="Invalid",HYPERLINK("mailto:"&amp;$G887&amp;";"&amp;$I887&amp;"?cc="&amp;Lists!$E$2&amp;"&amp;subject="&amp;_xlfn.ENCODEURL("[INVALID] Quality audit monitoring completed for "&amp;UPPER($C887))&amp;"&amp;body="&amp;_xlfn.ENCODEURL("Hi "&amp;$F887&amp;","&amp;CHAR(10)&amp;"Good day!"&amp;CHAR(10)&amp;CHAR(10)&amp;"A quality monitoring audit has been completed for "&amp;$C887&amp;"."&amp;CHAR(10)&amp;CHAR(10)&amp;"QUALITY AUDIT DETAILS"&amp;CHAR(10)&amp;"Agent Name: "&amp;$C887&amp;" (EID "&amp;$D887&amp;")"&amp;CHAR(10)&amp;"Audit Date: "&amp;TEXT($B887,"yyyy-mm-dd")&amp;CHAR(10)&amp;"Team Leader: "&amp;$F887&amp;CHAR(10)&amp;"Case Number: "&amp;$M887&amp;CHAR(10)&amp;"Transaction ID: "&amp;$N887&amp;CHAR(10)&amp;"Channel / LOB: "&amp;$K887&amp;" / "&amp;$L887&amp;CHAR(10)&amp;"Evaluator: "&amp;$S887&amp;CHAR(10)&amp;CHAR(10)&amp;"INVALID QUALITY AUDIT DETAILS"&amp;CHAR(10)&amp;"Validation: Invalid"&amp;CHAR(10)&amp;"Invalid Reason: "&amp;$P887&amp;CHAR(10)&amp;"Expected Resolution Code: "&amp;$Q887&amp;CHAR(10)&amp;"Remarks: "&amp;LEFT($R887,600)&amp;CHAR(10)&amp;CHAR(10)&amp;"This is an automated notification from HP Mainstream EQMS."),"✉ Open Email Draft"),"")</f>
        <v/>
      </c>
    </row>
    <row r="888">
      <c r="A888" s="25">
        <f>IF($C888="","","AUD-2026-"&amp;TEXT(ROW()-1,"000000"))</f>
        <v/>
      </c>
      <c r="B888" s="26" t="n"/>
      <c r="C888" s="27" t="n"/>
      <c r="D888" s="25">
        <f>IF($C888="","",IFERROR(IF(INDEX(Roster!$A:$A,MATCH($C888,Roster!$B:$B,0))="","",INDEX(Roster!$A:$A,MATCH($C888,Roster!$B:$B,0))&amp;""),"—"))</f>
        <v/>
      </c>
      <c r="E888" s="25">
        <f>IF($C888="","",IFERROR(IF(INDEX(Roster!$C:$C,MATCH($C888,Roster!$B:$B,0))="","",INDEX(Roster!$C:$C,MATCH($C888,Roster!$B:$B,0))&amp;""),"—"))</f>
        <v/>
      </c>
      <c r="F888" s="25">
        <f>IF($C888="","",IFERROR(IF(INDEX(Roster!$D:$D,MATCH($C888,Roster!$B:$B,0))="","",INDEX(Roster!$D:$D,MATCH($C888,Roster!$B:$B,0))&amp;""),"—"))</f>
        <v/>
      </c>
      <c r="G888" s="25">
        <f>IF($C888="","",IFERROR(IF(INDEX(Roster!$E:$E,MATCH($C888,Roster!$B:$B,0))="","",INDEX(Roster!$E:$E,MATCH($C888,Roster!$B:$B,0))&amp;""),"—"))</f>
        <v/>
      </c>
      <c r="H888" s="25">
        <f>IF($C888="","",IFERROR(IF(INDEX(Roster!$F:$F,MATCH($C888,Roster!$B:$B,0))="","",INDEX(Roster!$F:$F,MATCH($C888,Roster!$B:$B,0))&amp;""),"—"))</f>
        <v/>
      </c>
      <c r="I888" s="25">
        <f>IF($C888="","",IFERROR(IF(INDEX(Roster!$G:$G,MATCH($C888,Roster!$B:$B,0))="","",INDEX(Roster!$G:$G,MATCH($C888,Roster!$B:$B,0))&amp;""),"—"))</f>
        <v/>
      </c>
      <c r="J888" s="25">
        <f>IF($C888="","",IFERROR(IF(INDEX(Roster!$I:$I,MATCH($C888,Roster!$B:$B,0))="","",INDEX(Roster!$I:$I,MATCH($C888,Roster!$B:$B,0))&amp;""),"—"))</f>
        <v/>
      </c>
      <c r="K888">
        <f>IF($C888="","",IFERROR(IF(INDEX(Roster!$J:$J,MATCH($C888,Roster!$B:$B,0))="","",INDEX(Roster!$J:$J,MATCH($C888,Roster!$B:$B,0))&amp;""),"—"))</f>
        <v/>
      </c>
      <c r="L888">
        <f>IF($C888="","",IFERROR(IF(INDEX(Roster!$K:$K,MATCH($C888,Roster!$B:$B,0))="","",INDEX(Roster!$K:$K,MATCH($C888,Roster!$B:$B,0))&amp;""),"—"))</f>
        <v/>
      </c>
      <c r="M888" s="27" t="n"/>
      <c r="N888" s="27" t="n"/>
      <c r="O888" s="25">
        <f>IF($C888="","",IF($P888="","—",IF($P888="Valid (Pass)","Valid","Invalid")))</f>
        <v/>
      </c>
      <c r="P888" s="27" t="n"/>
      <c r="Q888" s="27" t="n"/>
      <c r="R888" s="27" t="n"/>
      <c r="S888" s="27" t="n"/>
      <c r="T888" s="25">
        <f>IF($C888="","",IF(OR(ISNUMBER(SEARCH("quick case",$P888)),ISNUMBER(SEARCH("quick case",$Q888))),"Yes","No"))</f>
        <v/>
      </c>
      <c r="U888" s="25">
        <f>IF($O888="Invalid",HYPERLINK("mailto:"&amp;$G888&amp;";"&amp;$I888&amp;"?cc="&amp;Lists!$E$2&amp;"&amp;subject="&amp;_xlfn.ENCODEURL("[INVALID] Quality audit monitoring completed for "&amp;UPPER($C888))&amp;"&amp;body="&amp;_xlfn.ENCODEURL("Hi "&amp;$F888&amp;","&amp;CHAR(10)&amp;"Good day!"&amp;CHAR(10)&amp;CHAR(10)&amp;"A quality monitoring audit has been completed for "&amp;$C888&amp;"."&amp;CHAR(10)&amp;CHAR(10)&amp;"QUALITY AUDIT DETAILS"&amp;CHAR(10)&amp;"Agent Name: "&amp;$C888&amp;" (EID "&amp;$D888&amp;")"&amp;CHAR(10)&amp;"Audit Date: "&amp;TEXT($B888,"yyyy-mm-dd")&amp;CHAR(10)&amp;"Team Leader: "&amp;$F888&amp;CHAR(10)&amp;"Case Number: "&amp;$M888&amp;CHAR(10)&amp;"Transaction ID: "&amp;$N888&amp;CHAR(10)&amp;"Channel / LOB: "&amp;$K888&amp;" / "&amp;$L888&amp;CHAR(10)&amp;"Evaluator: "&amp;$S888&amp;CHAR(10)&amp;CHAR(10)&amp;"INVALID QUALITY AUDIT DETAILS"&amp;CHAR(10)&amp;"Validation: Invalid"&amp;CHAR(10)&amp;"Invalid Reason: "&amp;$P888&amp;CHAR(10)&amp;"Expected Resolution Code: "&amp;$Q888&amp;CHAR(10)&amp;"Remarks: "&amp;LEFT($R888,600)&amp;CHAR(10)&amp;CHAR(10)&amp;"This is an automated notification from HP Mainstream EQMS."),"✉ Open Email Draft"),"")</f>
        <v/>
      </c>
    </row>
    <row r="889">
      <c r="A889" s="25">
        <f>IF($C889="","","AUD-2026-"&amp;TEXT(ROW()-1,"000000"))</f>
        <v/>
      </c>
      <c r="B889" s="26" t="n"/>
      <c r="C889" s="27" t="n"/>
      <c r="D889" s="25">
        <f>IF($C889="","",IFERROR(IF(INDEX(Roster!$A:$A,MATCH($C889,Roster!$B:$B,0))="","",INDEX(Roster!$A:$A,MATCH($C889,Roster!$B:$B,0))&amp;""),"—"))</f>
        <v/>
      </c>
      <c r="E889" s="25">
        <f>IF($C889="","",IFERROR(IF(INDEX(Roster!$C:$C,MATCH($C889,Roster!$B:$B,0))="","",INDEX(Roster!$C:$C,MATCH($C889,Roster!$B:$B,0))&amp;""),"—"))</f>
        <v/>
      </c>
      <c r="F889" s="25">
        <f>IF($C889="","",IFERROR(IF(INDEX(Roster!$D:$D,MATCH($C889,Roster!$B:$B,0))="","",INDEX(Roster!$D:$D,MATCH($C889,Roster!$B:$B,0))&amp;""),"—"))</f>
        <v/>
      </c>
      <c r="G889" s="25">
        <f>IF($C889="","",IFERROR(IF(INDEX(Roster!$E:$E,MATCH($C889,Roster!$B:$B,0))="","",INDEX(Roster!$E:$E,MATCH($C889,Roster!$B:$B,0))&amp;""),"—"))</f>
        <v/>
      </c>
      <c r="H889" s="25">
        <f>IF($C889="","",IFERROR(IF(INDEX(Roster!$F:$F,MATCH($C889,Roster!$B:$B,0))="","",INDEX(Roster!$F:$F,MATCH($C889,Roster!$B:$B,0))&amp;""),"—"))</f>
        <v/>
      </c>
      <c r="I889" s="25">
        <f>IF($C889="","",IFERROR(IF(INDEX(Roster!$G:$G,MATCH($C889,Roster!$B:$B,0))="","",INDEX(Roster!$G:$G,MATCH($C889,Roster!$B:$B,0))&amp;""),"—"))</f>
        <v/>
      </c>
      <c r="J889" s="25">
        <f>IF($C889="","",IFERROR(IF(INDEX(Roster!$I:$I,MATCH($C889,Roster!$B:$B,0))="","",INDEX(Roster!$I:$I,MATCH($C889,Roster!$B:$B,0))&amp;""),"—"))</f>
        <v/>
      </c>
      <c r="K889">
        <f>IF($C889="","",IFERROR(IF(INDEX(Roster!$J:$J,MATCH($C889,Roster!$B:$B,0))="","",INDEX(Roster!$J:$J,MATCH($C889,Roster!$B:$B,0))&amp;""),"—"))</f>
        <v/>
      </c>
      <c r="L889">
        <f>IF($C889="","",IFERROR(IF(INDEX(Roster!$K:$K,MATCH($C889,Roster!$B:$B,0))="","",INDEX(Roster!$K:$K,MATCH($C889,Roster!$B:$B,0))&amp;""),"—"))</f>
        <v/>
      </c>
      <c r="M889" s="27" t="n"/>
      <c r="N889" s="27" t="n"/>
      <c r="O889" s="25">
        <f>IF($C889="","",IF($P889="","—",IF($P889="Valid (Pass)","Valid","Invalid")))</f>
        <v/>
      </c>
      <c r="P889" s="27" t="n"/>
      <c r="Q889" s="27" t="n"/>
      <c r="R889" s="27" t="n"/>
      <c r="S889" s="27" t="n"/>
      <c r="T889" s="25">
        <f>IF($C889="","",IF(OR(ISNUMBER(SEARCH("quick case",$P889)),ISNUMBER(SEARCH("quick case",$Q889))),"Yes","No"))</f>
        <v/>
      </c>
      <c r="U889" s="25">
        <f>IF($O889="Invalid",HYPERLINK("mailto:"&amp;$G889&amp;";"&amp;$I889&amp;"?cc="&amp;Lists!$E$2&amp;"&amp;subject="&amp;_xlfn.ENCODEURL("[INVALID] Quality audit monitoring completed for "&amp;UPPER($C889))&amp;"&amp;body="&amp;_xlfn.ENCODEURL("Hi "&amp;$F889&amp;","&amp;CHAR(10)&amp;"Good day!"&amp;CHAR(10)&amp;CHAR(10)&amp;"A quality monitoring audit has been completed for "&amp;$C889&amp;"."&amp;CHAR(10)&amp;CHAR(10)&amp;"QUALITY AUDIT DETAILS"&amp;CHAR(10)&amp;"Agent Name: "&amp;$C889&amp;" (EID "&amp;$D889&amp;")"&amp;CHAR(10)&amp;"Audit Date: "&amp;TEXT($B889,"yyyy-mm-dd")&amp;CHAR(10)&amp;"Team Leader: "&amp;$F889&amp;CHAR(10)&amp;"Case Number: "&amp;$M889&amp;CHAR(10)&amp;"Transaction ID: "&amp;$N889&amp;CHAR(10)&amp;"Channel / LOB: "&amp;$K889&amp;" / "&amp;$L889&amp;CHAR(10)&amp;"Evaluator: "&amp;$S889&amp;CHAR(10)&amp;CHAR(10)&amp;"INVALID QUALITY AUDIT DETAILS"&amp;CHAR(10)&amp;"Validation: Invalid"&amp;CHAR(10)&amp;"Invalid Reason: "&amp;$P889&amp;CHAR(10)&amp;"Expected Resolution Code: "&amp;$Q889&amp;CHAR(10)&amp;"Remarks: "&amp;LEFT($R889,600)&amp;CHAR(10)&amp;CHAR(10)&amp;"This is an automated notification from HP Mainstream EQMS."),"✉ Open Email Draft"),"")</f>
        <v/>
      </c>
    </row>
    <row r="890">
      <c r="A890" s="25">
        <f>IF($C890="","","AUD-2026-"&amp;TEXT(ROW()-1,"000000"))</f>
        <v/>
      </c>
      <c r="B890" s="26" t="n"/>
      <c r="C890" s="27" t="n"/>
      <c r="D890" s="25">
        <f>IF($C890="","",IFERROR(IF(INDEX(Roster!$A:$A,MATCH($C890,Roster!$B:$B,0))="","",INDEX(Roster!$A:$A,MATCH($C890,Roster!$B:$B,0))&amp;""),"—"))</f>
        <v/>
      </c>
      <c r="E890" s="25">
        <f>IF($C890="","",IFERROR(IF(INDEX(Roster!$C:$C,MATCH($C890,Roster!$B:$B,0))="","",INDEX(Roster!$C:$C,MATCH($C890,Roster!$B:$B,0))&amp;""),"—"))</f>
        <v/>
      </c>
      <c r="F890" s="25">
        <f>IF($C890="","",IFERROR(IF(INDEX(Roster!$D:$D,MATCH($C890,Roster!$B:$B,0))="","",INDEX(Roster!$D:$D,MATCH($C890,Roster!$B:$B,0))&amp;""),"—"))</f>
        <v/>
      </c>
      <c r="G890" s="25">
        <f>IF($C890="","",IFERROR(IF(INDEX(Roster!$E:$E,MATCH($C890,Roster!$B:$B,0))="","",INDEX(Roster!$E:$E,MATCH($C890,Roster!$B:$B,0))&amp;""),"—"))</f>
        <v/>
      </c>
      <c r="H890" s="25">
        <f>IF($C890="","",IFERROR(IF(INDEX(Roster!$F:$F,MATCH($C890,Roster!$B:$B,0))="","",INDEX(Roster!$F:$F,MATCH($C890,Roster!$B:$B,0))&amp;""),"—"))</f>
        <v/>
      </c>
      <c r="I890" s="25">
        <f>IF($C890="","",IFERROR(IF(INDEX(Roster!$G:$G,MATCH($C890,Roster!$B:$B,0))="","",INDEX(Roster!$G:$G,MATCH($C890,Roster!$B:$B,0))&amp;""),"—"))</f>
        <v/>
      </c>
      <c r="J890" s="25">
        <f>IF($C890="","",IFERROR(IF(INDEX(Roster!$I:$I,MATCH($C890,Roster!$B:$B,0))="","",INDEX(Roster!$I:$I,MATCH($C890,Roster!$B:$B,0))&amp;""),"—"))</f>
        <v/>
      </c>
      <c r="K890">
        <f>IF($C890="","",IFERROR(IF(INDEX(Roster!$J:$J,MATCH($C890,Roster!$B:$B,0))="","",INDEX(Roster!$J:$J,MATCH($C890,Roster!$B:$B,0))&amp;""),"—"))</f>
        <v/>
      </c>
      <c r="L890">
        <f>IF($C890="","",IFERROR(IF(INDEX(Roster!$K:$K,MATCH($C890,Roster!$B:$B,0))="","",INDEX(Roster!$K:$K,MATCH($C890,Roster!$B:$B,0))&amp;""),"—"))</f>
        <v/>
      </c>
      <c r="M890" s="27" t="n"/>
      <c r="N890" s="27" t="n"/>
      <c r="O890" s="25">
        <f>IF($C890="","",IF($P890="","—",IF($P890="Valid (Pass)","Valid","Invalid")))</f>
        <v/>
      </c>
      <c r="P890" s="27" t="n"/>
      <c r="Q890" s="27" t="n"/>
      <c r="R890" s="27" t="n"/>
      <c r="S890" s="27" t="n"/>
      <c r="T890" s="25">
        <f>IF($C890="","",IF(OR(ISNUMBER(SEARCH("quick case",$P890)),ISNUMBER(SEARCH("quick case",$Q890))),"Yes","No"))</f>
        <v/>
      </c>
      <c r="U890" s="25">
        <f>IF($O890="Invalid",HYPERLINK("mailto:"&amp;$G890&amp;";"&amp;$I890&amp;"?cc="&amp;Lists!$E$2&amp;"&amp;subject="&amp;_xlfn.ENCODEURL("[INVALID] Quality audit monitoring completed for "&amp;UPPER($C890))&amp;"&amp;body="&amp;_xlfn.ENCODEURL("Hi "&amp;$F890&amp;","&amp;CHAR(10)&amp;"Good day!"&amp;CHAR(10)&amp;CHAR(10)&amp;"A quality monitoring audit has been completed for "&amp;$C890&amp;"."&amp;CHAR(10)&amp;CHAR(10)&amp;"QUALITY AUDIT DETAILS"&amp;CHAR(10)&amp;"Agent Name: "&amp;$C890&amp;" (EID "&amp;$D890&amp;")"&amp;CHAR(10)&amp;"Audit Date: "&amp;TEXT($B890,"yyyy-mm-dd")&amp;CHAR(10)&amp;"Team Leader: "&amp;$F890&amp;CHAR(10)&amp;"Case Number: "&amp;$M890&amp;CHAR(10)&amp;"Transaction ID: "&amp;$N890&amp;CHAR(10)&amp;"Channel / LOB: "&amp;$K890&amp;" / "&amp;$L890&amp;CHAR(10)&amp;"Evaluator: "&amp;$S890&amp;CHAR(10)&amp;CHAR(10)&amp;"INVALID QUALITY AUDIT DETAILS"&amp;CHAR(10)&amp;"Validation: Invalid"&amp;CHAR(10)&amp;"Invalid Reason: "&amp;$P890&amp;CHAR(10)&amp;"Expected Resolution Code: "&amp;$Q890&amp;CHAR(10)&amp;"Remarks: "&amp;LEFT($R890,600)&amp;CHAR(10)&amp;CHAR(10)&amp;"This is an automated notification from HP Mainstream EQMS."),"✉ Open Email Draft"),"")</f>
        <v/>
      </c>
    </row>
    <row r="891">
      <c r="A891" s="25">
        <f>IF($C891="","","AUD-2026-"&amp;TEXT(ROW()-1,"000000"))</f>
        <v/>
      </c>
      <c r="B891" s="26" t="n"/>
      <c r="C891" s="27" t="n"/>
      <c r="D891" s="25">
        <f>IF($C891="","",IFERROR(IF(INDEX(Roster!$A:$A,MATCH($C891,Roster!$B:$B,0))="","",INDEX(Roster!$A:$A,MATCH($C891,Roster!$B:$B,0))&amp;""),"—"))</f>
        <v/>
      </c>
      <c r="E891" s="25">
        <f>IF($C891="","",IFERROR(IF(INDEX(Roster!$C:$C,MATCH($C891,Roster!$B:$B,0))="","",INDEX(Roster!$C:$C,MATCH($C891,Roster!$B:$B,0))&amp;""),"—"))</f>
        <v/>
      </c>
      <c r="F891" s="25">
        <f>IF($C891="","",IFERROR(IF(INDEX(Roster!$D:$D,MATCH($C891,Roster!$B:$B,0))="","",INDEX(Roster!$D:$D,MATCH($C891,Roster!$B:$B,0))&amp;""),"—"))</f>
        <v/>
      </c>
      <c r="G891" s="25">
        <f>IF($C891="","",IFERROR(IF(INDEX(Roster!$E:$E,MATCH($C891,Roster!$B:$B,0))="","",INDEX(Roster!$E:$E,MATCH($C891,Roster!$B:$B,0))&amp;""),"—"))</f>
        <v/>
      </c>
      <c r="H891" s="25">
        <f>IF($C891="","",IFERROR(IF(INDEX(Roster!$F:$F,MATCH($C891,Roster!$B:$B,0))="","",INDEX(Roster!$F:$F,MATCH($C891,Roster!$B:$B,0))&amp;""),"—"))</f>
        <v/>
      </c>
      <c r="I891" s="25">
        <f>IF($C891="","",IFERROR(IF(INDEX(Roster!$G:$G,MATCH($C891,Roster!$B:$B,0))="","",INDEX(Roster!$G:$G,MATCH($C891,Roster!$B:$B,0))&amp;""),"—"))</f>
        <v/>
      </c>
      <c r="J891" s="25">
        <f>IF($C891="","",IFERROR(IF(INDEX(Roster!$I:$I,MATCH($C891,Roster!$B:$B,0))="","",INDEX(Roster!$I:$I,MATCH($C891,Roster!$B:$B,0))&amp;""),"—"))</f>
        <v/>
      </c>
      <c r="K891">
        <f>IF($C891="","",IFERROR(IF(INDEX(Roster!$J:$J,MATCH($C891,Roster!$B:$B,0))="","",INDEX(Roster!$J:$J,MATCH($C891,Roster!$B:$B,0))&amp;""),"—"))</f>
        <v/>
      </c>
      <c r="L891">
        <f>IF($C891="","",IFERROR(IF(INDEX(Roster!$K:$K,MATCH($C891,Roster!$B:$B,0))="","",INDEX(Roster!$K:$K,MATCH($C891,Roster!$B:$B,0))&amp;""),"—"))</f>
        <v/>
      </c>
      <c r="M891" s="27" t="n"/>
      <c r="N891" s="27" t="n"/>
      <c r="O891" s="25">
        <f>IF($C891="","",IF($P891="","—",IF($P891="Valid (Pass)","Valid","Invalid")))</f>
        <v/>
      </c>
      <c r="P891" s="27" t="n"/>
      <c r="Q891" s="27" t="n"/>
      <c r="R891" s="27" t="n"/>
      <c r="S891" s="27" t="n"/>
      <c r="T891" s="25">
        <f>IF($C891="","",IF(OR(ISNUMBER(SEARCH("quick case",$P891)),ISNUMBER(SEARCH("quick case",$Q891))),"Yes","No"))</f>
        <v/>
      </c>
      <c r="U891" s="25">
        <f>IF($O891="Invalid",HYPERLINK("mailto:"&amp;$G891&amp;";"&amp;$I891&amp;"?cc="&amp;Lists!$E$2&amp;"&amp;subject="&amp;_xlfn.ENCODEURL("[INVALID] Quality audit monitoring completed for "&amp;UPPER($C891))&amp;"&amp;body="&amp;_xlfn.ENCODEURL("Hi "&amp;$F891&amp;","&amp;CHAR(10)&amp;"Good day!"&amp;CHAR(10)&amp;CHAR(10)&amp;"A quality monitoring audit has been completed for "&amp;$C891&amp;"."&amp;CHAR(10)&amp;CHAR(10)&amp;"QUALITY AUDIT DETAILS"&amp;CHAR(10)&amp;"Agent Name: "&amp;$C891&amp;" (EID "&amp;$D891&amp;")"&amp;CHAR(10)&amp;"Audit Date: "&amp;TEXT($B891,"yyyy-mm-dd")&amp;CHAR(10)&amp;"Team Leader: "&amp;$F891&amp;CHAR(10)&amp;"Case Number: "&amp;$M891&amp;CHAR(10)&amp;"Transaction ID: "&amp;$N891&amp;CHAR(10)&amp;"Channel / LOB: "&amp;$K891&amp;" / "&amp;$L891&amp;CHAR(10)&amp;"Evaluator: "&amp;$S891&amp;CHAR(10)&amp;CHAR(10)&amp;"INVALID QUALITY AUDIT DETAILS"&amp;CHAR(10)&amp;"Validation: Invalid"&amp;CHAR(10)&amp;"Invalid Reason: "&amp;$P891&amp;CHAR(10)&amp;"Expected Resolution Code: "&amp;$Q891&amp;CHAR(10)&amp;"Remarks: "&amp;LEFT($R891,600)&amp;CHAR(10)&amp;CHAR(10)&amp;"This is an automated notification from HP Mainstream EQMS."),"✉ Open Email Draft"),"")</f>
        <v/>
      </c>
    </row>
    <row r="892">
      <c r="A892" s="25">
        <f>IF($C892="","","AUD-2026-"&amp;TEXT(ROW()-1,"000000"))</f>
        <v/>
      </c>
      <c r="B892" s="26" t="n"/>
      <c r="C892" s="27" t="n"/>
      <c r="D892" s="25">
        <f>IF($C892="","",IFERROR(IF(INDEX(Roster!$A:$A,MATCH($C892,Roster!$B:$B,0))="","",INDEX(Roster!$A:$A,MATCH($C892,Roster!$B:$B,0))&amp;""),"—"))</f>
        <v/>
      </c>
      <c r="E892" s="25">
        <f>IF($C892="","",IFERROR(IF(INDEX(Roster!$C:$C,MATCH($C892,Roster!$B:$B,0))="","",INDEX(Roster!$C:$C,MATCH($C892,Roster!$B:$B,0))&amp;""),"—"))</f>
        <v/>
      </c>
      <c r="F892" s="25">
        <f>IF($C892="","",IFERROR(IF(INDEX(Roster!$D:$D,MATCH($C892,Roster!$B:$B,0))="","",INDEX(Roster!$D:$D,MATCH($C892,Roster!$B:$B,0))&amp;""),"—"))</f>
        <v/>
      </c>
      <c r="G892" s="25">
        <f>IF($C892="","",IFERROR(IF(INDEX(Roster!$E:$E,MATCH($C892,Roster!$B:$B,0))="","",INDEX(Roster!$E:$E,MATCH($C892,Roster!$B:$B,0))&amp;""),"—"))</f>
        <v/>
      </c>
      <c r="H892" s="25">
        <f>IF($C892="","",IFERROR(IF(INDEX(Roster!$F:$F,MATCH($C892,Roster!$B:$B,0))="","",INDEX(Roster!$F:$F,MATCH($C892,Roster!$B:$B,0))&amp;""),"—"))</f>
        <v/>
      </c>
      <c r="I892" s="25">
        <f>IF($C892="","",IFERROR(IF(INDEX(Roster!$G:$G,MATCH($C892,Roster!$B:$B,0))="","",INDEX(Roster!$G:$G,MATCH($C892,Roster!$B:$B,0))&amp;""),"—"))</f>
        <v/>
      </c>
      <c r="J892" s="25">
        <f>IF($C892="","",IFERROR(IF(INDEX(Roster!$I:$I,MATCH($C892,Roster!$B:$B,0))="","",INDEX(Roster!$I:$I,MATCH($C892,Roster!$B:$B,0))&amp;""),"—"))</f>
        <v/>
      </c>
      <c r="K892">
        <f>IF($C892="","",IFERROR(IF(INDEX(Roster!$J:$J,MATCH($C892,Roster!$B:$B,0))="","",INDEX(Roster!$J:$J,MATCH($C892,Roster!$B:$B,0))&amp;""),"—"))</f>
        <v/>
      </c>
      <c r="L892">
        <f>IF($C892="","",IFERROR(IF(INDEX(Roster!$K:$K,MATCH($C892,Roster!$B:$B,0))="","",INDEX(Roster!$K:$K,MATCH($C892,Roster!$B:$B,0))&amp;""),"—"))</f>
        <v/>
      </c>
      <c r="M892" s="27" t="n"/>
      <c r="N892" s="27" t="n"/>
      <c r="O892" s="25">
        <f>IF($C892="","",IF($P892="","—",IF($P892="Valid (Pass)","Valid","Invalid")))</f>
        <v/>
      </c>
      <c r="P892" s="27" t="n"/>
      <c r="Q892" s="27" t="n"/>
      <c r="R892" s="27" t="n"/>
      <c r="S892" s="27" t="n"/>
      <c r="T892" s="25">
        <f>IF($C892="","",IF(OR(ISNUMBER(SEARCH("quick case",$P892)),ISNUMBER(SEARCH("quick case",$Q892))),"Yes","No"))</f>
        <v/>
      </c>
      <c r="U892" s="25">
        <f>IF($O892="Invalid",HYPERLINK("mailto:"&amp;$G892&amp;";"&amp;$I892&amp;"?cc="&amp;Lists!$E$2&amp;"&amp;subject="&amp;_xlfn.ENCODEURL("[INVALID] Quality audit monitoring completed for "&amp;UPPER($C892))&amp;"&amp;body="&amp;_xlfn.ENCODEURL("Hi "&amp;$F892&amp;","&amp;CHAR(10)&amp;"Good day!"&amp;CHAR(10)&amp;CHAR(10)&amp;"A quality monitoring audit has been completed for "&amp;$C892&amp;"."&amp;CHAR(10)&amp;CHAR(10)&amp;"QUALITY AUDIT DETAILS"&amp;CHAR(10)&amp;"Agent Name: "&amp;$C892&amp;" (EID "&amp;$D892&amp;")"&amp;CHAR(10)&amp;"Audit Date: "&amp;TEXT($B892,"yyyy-mm-dd")&amp;CHAR(10)&amp;"Team Leader: "&amp;$F892&amp;CHAR(10)&amp;"Case Number: "&amp;$M892&amp;CHAR(10)&amp;"Transaction ID: "&amp;$N892&amp;CHAR(10)&amp;"Channel / LOB: "&amp;$K892&amp;" / "&amp;$L892&amp;CHAR(10)&amp;"Evaluator: "&amp;$S892&amp;CHAR(10)&amp;CHAR(10)&amp;"INVALID QUALITY AUDIT DETAILS"&amp;CHAR(10)&amp;"Validation: Invalid"&amp;CHAR(10)&amp;"Invalid Reason: "&amp;$P892&amp;CHAR(10)&amp;"Expected Resolution Code: "&amp;$Q892&amp;CHAR(10)&amp;"Remarks: "&amp;LEFT($R892,600)&amp;CHAR(10)&amp;CHAR(10)&amp;"This is an automated notification from HP Mainstream EQMS."),"✉ Open Email Draft"),"")</f>
        <v/>
      </c>
    </row>
    <row r="893">
      <c r="A893" s="25">
        <f>IF($C893="","","AUD-2026-"&amp;TEXT(ROW()-1,"000000"))</f>
        <v/>
      </c>
      <c r="B893" s="26" t="n"/>
      <c r="C893" s="27" t="n"/>
      <c r="D893" s="25">
        <f>IF($C893="","",IFERROR(IF(INDEX(Roster!$A:$A,MATCH($C893,Roster!$B:$B,0))="","",INDEX(Roster!$A:$A,MATCH($C893,Roster!$B:$B,0))&amp;""),"—"))</f>
        <v/>
      </c>
      <c r="E893" s="25">
        <f>IF($C893="","",IFERROR(IF(INDEX(Roster!$C:$C,MATCH($C893,Roster!$B:$B,0))="","",INDEX(Roster!$C:$C,MATCH($C893,Roster!$B:$B,0))&amp;""),"—"))</f>
        <v/>
      </c>
      <c r="F893" s="25">
        <f>IF($C893="","",IFERROR(IF(INDEX(Roster!$D:$D,MATCH($C893,Roster!$B:$B,0))="","",INDEX(Roster!$D:$D,MATCH($C893,Roster!$B:$B,0))&amp;""),"—"))</f>
        <v/>
      </c>
      <c r="G893" s="25">
        <f>IF($C893="","",IFERROR(IF(INDEX(Roster!$E:$E,MATCH($C893,Roster!$B:$B,0))="","",INDEX(Roster!$E:$E,MATCH($C893,Roster!$B:$B,0))&amp;""),"—"))</f>
        <v/>
      </c>
      <c r="H893" s="25">
        <f>IF($C893="","",IFERROR(IF(INDEX(Roster!$F:$F,MATCH($C893,Roster!$B:$B,0))="","",INDEX(Roster!$F:$F,MATCH($C893,Roster!$B:$B,0))&amp;""),"—"))</f>
        <v/>
      </c>
      <c r="I893" s="25">
        <f>IF($C893="","",IFERROR(IF(INDEX(Roster!$G:$G,MATCH($C893,Roster!$B:$B,0))="","",INDEX(Roster!$G:$G,MATCH($C893,Roster!$B:$B,0))&amp;""),"—"))</f>
        <v/>
      </c>
      <c r="J893" s="25">
        <f>IF($C893="","",IFERROR(IF(INDEX(Roster!$I:$I,MATCH($C893,Roster!$B:$B,0))="","",INDEX(Roster!$I:$I,MATCH($C893,Roster!$B:$B,0))&amp;""),"—"))</f>
        <v/>
      </c>
      <c r="K893">
        <f>IF($C893="","",IFERROR(IF(INDEX(Roster!$J:$J,MATCH($C893,Roster!$B:$B,0))="","",INDEX(Roster!$J:$J,MATCH($C893,Roster!$B:$B,0))&amp;""),"—"))</f>
        <v/>
      </c>
      <c r="L893">
        <f>IF($C893="","",IFERROR(IF(INDEX(Roster!$K:$K,MATCH($C893,Roster!$B:$B,0))="","",INDEX(Roster!$K:$K,MATCH($C893,Roster!$B:$B,0))&amp;""),"—"))</f>
        <v/>
      </c>
      <c r="M893" s="27" t="n"/>
      <c r="N893" s="27" t="n"/>
      <c r="O893" s="25">
        <f>IF($C893="","",IF($P893="","—",IF($P893="Valid (Pass)","Valid","Invalid")))</f>
        <v/>
      </c>
      <c r="P893" s="27" t="n"/>
      <c r="Q893" s="27" t="n"/>
      <c r="R893" s="27" t="n"/>
      <c r="S893" s="27" t="n"/>
      <c r="T893" s="25">
        <f>IF($C893="","",IF(OR(ISNUMBER(SEARCH("quick case",$P893)),ISNUMBER(SEARCH("quick case",$Q893))),"Yes","No"))</f>
        <v/>
      </c>
      <c r="U893" s="25">
        <f>IF($O893="Invalid",HYPERLINK("mailto:"&amp;$G893&amp;";"&amp;$I893&amp;"?cc="&amp;Lists!$E$2&amp;"&amp;subject="&amp;_xlfn.ENCODEURL("[INVALID] Quality audit monitoring completed for "&amp;UPPER($C893))&amp;"&amp;body="&amp;_xlfn.ENCODEURL("Hi "&amp;$F893&amp;","&amp;CHAR(10)&amp;"Good day!"&amp;CHAR(10)&amp;CHAR(10)&amp;"A quality monitoring audit has been completed for "&amp;$C893&amp;"."&amp;CHAR(10)&amp;CHAR(10)&amp;"QUALITY AUDIT DETAILS"&amp;CHAR(10)&amp;"Agent Name: "&amp;$C893&amp;" (EID "&amp;$D893&amp;")"&amp;CHAR(10)&amp;"Audit Date: "&amp;TEXT($B893,"yyyy-mm-dd")&amp;CHAR(10)&amp;"Team Leader: "&amp;$F893&amp;CHAR(10)&amp;"Case Number: "&amp;$M893&amp;CHAR(10)&amp;"Transaction ID: "&amp;$N893&amp;CHAR(10)&amp;"Channel / LOB: "&amp;$K893&amp;" / "&amp;$L893&amp;CHAR(10)&amp;"Evaluator: "&amp;$S893&amp;CHAR(10)&amp;CHAR(10)&amp;"INVALID QUALITY AUDIT DETAILS"&amp;CHAR(10)&amp;"Validation: Invalid"&amp;CHAR(10)&amp;"Invalid Reason: "&amp;$P893&amp;CHAR(10)&amp;"Expected Resolution Code: "&amp;$Q893&amp;CHAR(10)&amp;"Remarks: "&amp;LEFT($R893,600)&amp;CHAR(10)&amp;CHAR(10)&amp;"This is an automated notification from HP Mainstream EQMS."),"✉ Open Email Draft"),"")</f>
        <v/>
      </c>
    </row>
    <row r="894">
      <c r="A894" s="25">
        <f>IF($C894="","","AUD-2026-"&amp;TEXT(ROW()-1,"000000"))</f>
        <v/>
      </c>
      <c r="B894" s="26" t="n"/>
      <c r="C894" s="27" t="n"/>
      <c r="D894" s="25">
        <f>IF($C894="","",IFERROR(IF(INDEX(Roster!$A:$A,MATCH($C894,Roster!$B:$B,0))="","",INDEX(Roster!$A:$A,MATCH($C894,Roster!$B:$B,0))&amp;""),"—"))</f>
        <v/>
      </c>
      <c r="E894" s="25">
        <f>IF($C894="","",IFERROR(IF(INDEX(Roster!$C:$C,MATCH($C894,Roster!$B:$B,0))="","",INDEX(Roster!$C:$C,MATCH($C894,Roster!$B:$B,0))&amp;""),"—"))</f>
        <v/>
      </c>
      <c r="F894" s="25">
        <f>IF($C894="","",IFERROR(IF(INDEX(Roster!$D:$D,MATCH($C894,Roster!$B:$B,0))="","",INDEX(Roster!$D:$D,MATCH($C894,Roster!$B:$B,0))&amp;""),"—"))</f>
        <v/>
      </c>
      <c r="G894" s="25">
        <f>IF($C894="","",IFERROR(IF(INDEX(Roster!$E:$E,MATCH($C894,Roster!$B:$B,0))="","",INDEX(Roster!$E:$E,MATCH($C894,Roster!$B:$B,0))&amp;""),"—"))</f>
        <v/>
      </c>
      <c r="H894" s="25">
        <f>IF($C894="","",IFERROR(IF(INDEX(Roster!$F:$F,MATCH($C894,Roster!$B:$B,0))="","",INDEX(Roster!$F:$F,MATCH($C894,Roster!$B:$B,0))&amp;""),"—"))</f>
        <v/>
      </c>
      <c r="I894" s="25">
        <f>IF($C894="","",IFERROR(IF(INDEX(Roster!$G:$G,MATCH($C894,Roster!$B:$B,0))="","",INDEX(Roster!$G:$G,MATCH($C894,Roster!$B:$B,0))&amp;""),"—"))</f>
        <v/>
      </c>
      <c r="J894" s="25">
        <f>IF($C894="","",IFERROR(IF(INDEX(Roster!$I:$I,MATCH($C894,Roster!$B:$B,0))="","",INDEX(Roster!$I:$I,MATCH($C894,Roster!$B:$B,0))&amp;""),"—"))</f>
        <v/>
      </c>
      <c r="K894">
        <f>IF($C894="","",IFERROR(IF(INDEX(Roster!$J:$J,MATCH($C894,Roster!$B:$B,0))="","",INDEX(Roster!$J:$J,MATCH($C894,Roster!$B:$B,0))&amp;""),"—"))</f>
        <v/>
      </c>
      <c r="L894">
        <f>IF($C894="","",IFERROR(IF(INDEX(Roster!$K:$K,MATCH($C894,Roster!$B:$B,0))="","",INDEX(Roster!$K:$K,MATCH($C894,Roster!$B:$B,0))&amp;""),"—"))</f>
        <v/>
      </c>
      <c r="M894" s="27" t="n"/>
      <c r="N894" s="27" t="n"/>
      <c r="O894" s="25">
        <f>IF($C894="","",IF($P894="","—",IF($P894="Valid (Pass)","Valid","Invalid")))</f>
        <v/>
      </c>
      <c r="P894" s="27" t="n"/>
      <c r="Q894" s="27" t="n"/>
      <c r="R894" s="27" t="n"/>
      <c r="S894" s="27" t="n"/>
      <c r="T894" s="25">
        <f>IF($C894="","",IF(OR(ISNUMBER(SEARCH("quick case",$P894)),ISNUMBER(SEARCH("quick case",$Q894))),"Yes","No"))</f>
        <v/>
      </c>
      <c r="U894" s="25">
        <f>IF($O894="Invalid",HYPERLINK("mailto:"&amp;$G894&amp;";"&amp;$I894&amp;"?cc="&amp;Lists!$E$2&amp;"&amp;subject="&amp;_xlfn.ENCODEURL("[INVALID] Quality audit monitoring completed for "&amp;UPPER($C894))&amp;"&amp;body="&amp;_xlfn.ENCODEURL("Hi "&amp;$F894&amp;","&amp;CHAR(10)&amp;"Good day!"&amp;CHAR(10)&amp;CHAR(10)&amp;"A quality monitoring audit has been completed for "&amp;$C894&amp;"."&amp;CHAR(10)&amp;CHAR(10)&amp;"QUALITY AUDIT DETAILS"&amp;CHAR(10)&amp;"Agent Name: "&amp;$C894&amp;" (EID "&amp;$D894&amp;")"&amp;CHAR(10)&amp;"Audit Date: "&amp;TEXT($B894,"yyyy-mm-dd")&amp;CHAR(10)&amp;"Team Leader: "&amp;$F894&amp;CHAR(10)&amp;"Case Number: "&amp;$M894&amp;CHAR(10)&amp;"Transaction ID: "&amp;$N894&amp;CHAR(10)&amp;"Channel / LOB: "&amp;$K894&amp;" / "&amp;$L894&amp;CHAR(10)&amp;"Evaluator: "&amp;$S894&amp;CHAR(10)&amp;CHAR(10)&amp;"INVALID QUALITY AUDIT DETAILS"&amp;CHAR(10)&amp;"Validation: Invalid"&amp;CHAR(10)&amp;"Invalid Reason: "&amp;$P894&amp;CHAR(10)&amp;"Expected Resolution Code: "&amp;$Q894&amp;CHAR(10)&amp;"Remarks: "&amp;LEFT($R894,600)&amp;CHAR(10)&amp;CHAR(10)&amp;"This is an automated notification from HP Mainstream EQMS."),"✉ Open Email Draft"),"")</f>
        <v/>
      </c>
    </row>
    <row r="895">
      <c r="A895" s="25">
        <f>IF($C895="","","AUD-2026-"&amp;TEXT(ROW()-1,"000000"))</f>
        <v/>
      </c>
      <c r="B895" s="26" t="n"/>
      <c r="C895" s="27" t="n"/>
      <c r="D895" s="25">
        <f>IF($C895="","",IFERROR(IF(INDEX(Roster!$A:$A,MATCH($C895,Roster!$B:$B,0))="","",INDEX(Roster!$A:$A,MATCH($C895,Roster!$B:$B,0))&amp;""),"—"))</f>
        <v/>
      </c>
      <c r="E895" s="25">
        <f>IF($C895="","",IFERROR(IF(INDEX(Roster!$C:$C,MATCH($C895,Roster!$B:$B,0))="","",INDEX(Roster!$C:$C,MATCH($C895,Roster!$B:$B,0))&amp;""),"—"))</f>
        <v/>
      </c>
      <c r="F895" s="25">
        <f>IF($C895="","",IFERROR(IF(INDEX(Roster!$D:$D,MATCH($C895,Roster!$B:$B,0))="","",INDEX(Roster!$D:$D,MATCH($C895,Roster!$B:$B,0))&amp;""),"—"))</f>
        <v/>
      </c>
      <c r="G895" s="25">
        <f>IF($C895="","",IFERROR(IF(INDEX(Roster!$E:$E,MATCH($C895,Roster!$B:$B,0))="","",INDEX(Roster!$E:$E,MATCH($C895,Roster!$B:$B,0))&amp;""),"—"))</f>
        <v/>
      </c>
      <c r="H895" s="25">
        <f>IF($C895="","",IFERROR(IF(INDEX(Roster!$F:$F,MATCH($C895,Roster!$B:$B,0))="","",INDEX(Roster!$F:$F,MATCH($C895,Roster!$B:$B,0))&amp;""),"—"))</f>
        <v/>
      </c>
      <c r="I895" s="25">
        <f>IF($C895="","",IFERROR(IF(INDEX(Roster!$G:$G,MATCH($C895,Roster!$B:$B,0))="","",INDEX(Roster!$G:$G,MATCH($C895,Roster!$B:$B,0))&amp;""),"—"))</f>
        <v/>
      </c>
      <c r="J895" s="25">
        <f>IF($C895="","",IFERROR(IF(INDEX(Roster!$I:$I,MATCH($C895,Roster!$B:$B,0))="","",INDEX(Roster!$I:$I,MATCH($C895,Roster!$B:$B,0))&amp;""),"—"))</f>
        <v/>
      </c>
      <c r="K895">
        <f>IF($C895="","",IFERROR(IF(INDEX(Roster!$J:$J,MATCH($C895,Roster!$B:$B,0))="","",INDEX(Roster!$J:$J,MATCH($C895,Roster!$B:$B,0))&amp;""),"—"))</f>
        <v/>
      </c>
      <c r="L895">
        <f>IF($C895="","",IFERROR(IF(INDEX(Roster!$K:$K,MATCH($C895,Roster!$B:$B,0))="","",INDEX(Roster!$K:$K,MATCH($C895,Roster!$B:$B,0))&amp;""),"—"))</f>
        <v/>
      </c>
      <c r="M895" s="27" t="n"/>
      <c r="N895" s="27" t="n"/>
      <c r="O895" s="25">
        <f>IF($C895="","",IF($P895="","—",IF($P895="Valid (Pass)","Valid","Invalid")))</f>
        <v/>
      </c>
      <c r="P895" s="27" t="n"/>
      <c r="Q895" s="27" t="n"/>
      <c r="R895" s="27" t="n"/>
      <c r="S895" s="27" t="n"/>
      <c r="T895" s="25">
        <f>IF($C895="","",IF(OR(ISNUMBER(SEARCH("quick case",$P895)),ISNUMBER(SEARCH("quick case",$Q895))),"Yes","No"))</f>
        <v/>
      </c>
      <c r="U895" s="25">
        <f>IF($O895="Invalid",HYPERLINK("mailto:"&amp;$G895&amp;";"&amp;$I895&amp;"?cc="&amp;Lists!$E$2&amp;"&amp;subject="&amp;_xlfn.ENCODEURL("[INVALID] Quality audit monitoring completed for "&amp;UPPER($C895))&amp;"&amp;body="&amp;_xlfn.ENCODEURL("Hi "&amp;$F895&amp;","&amp;CHAR(10)&amp;"Good day!"&amp;CHAR(10)&amp;CHAR(10)&amp;"A quality monitoring audit has been completed for "&amp;$C895&amp;"."&amp;CHAR(10)&amp;CHAR(10)&amp;"QUALITY AUDIT DETAILS"&amp;CHAR(10)&amp;"Agent Name: "&amp;$C895&amp;" (EID "&amp;$D895&amp;")"&amp;CHAR(10)&amp;"Audit Date: "&amp;TEXT($B895,"yyyy-mm-dd")&amp;CHAR(10)&amp;"Team Leader: "&amp;$F895&amp;CHAR(10)&amp;"Case Number: "&amp;$M895&amp;CHAR(10)&amp;"Transaction ID: "&amp;$N895&amp;CHAR(10)&amp;"Channel / LOB: "&amp;$K895&amp;" / "&amp;$L895&amp;CHAR(10)&amp;"Evaluator: "&amp;$S895&amp;CHAR(10)&amp;CHAR(10)&amp;"INVALID QUALITY AUDIT DETAILS"&amp;CHAR(10)&amp;"Validation: Invalid"&amp;CHAR(10)&amp;"Invalid Reason: "&amp;$P895&amp;CHAR(10)&amp;"Expected Resolution Code: "&amp;$Q895&amp;CHAR(10)&amp;"Remarks: "&amp;LEFT($R895,600)&amp;CHAR(10)&amp;CHAR(10)&amp;"This is an automated notification from HP Mainstream EQMS."),"✉ Open Email Draft"),"")</f>
        <v/>
      </c>
    </row>
    <row r="896">
      <c r="A896" s="25">
        <f>IF($C896="","","AUD-2026-"&amp;TEXT(ROW()-1,"000000"))</f>
        <v/>
      </c>
      <c r="B896" s="26" t="n"/>
      <c r="C896" s="27" t="n"/>
      <c r="D896" s="25">
        <f>IF($C896="","",IFERROR(IF(INDEX(Roster!$A:$A,MATCH($C896,Roster!$B:$B,0))="","",INDEX(Roster!$A:$A,MATCH($C896,Roster!$B:$B,0))&amp;""),"—"))</f>
        <v/>
      </c>
      <c r="E896" s="25">
        <f>IF($C896="","",IFERROR(IF(INDEX(Roster!$C:$C,MATCH($C896,Roster!$B:$B,0))="","",INDEX(Roster!$C:$C,MATCH($C896,Roster!$B:$B,0))&amp;""),"—"))</f>
        <v/>
      </c>
      <c r="F896" s="25">
        <f>IF($C896="","",IFERROR(IF(INDEX(Roster!$D:$D,MATCH($C896,Roster!$B:$B,0))="","",INDEX(Roster!$D:$D,MATCH($C896,Roster!$B:$B,0))&amp;""),"—"))</f>
        <v/>
      </c>
      <c r="G896" s="25">
        <f>IF($C896="","",IFERROR(IF(INDEX(Roster!$E:$E,MATCH($C896,Roster!$B:$B,0))="","",INDEX(Roster!$E:$E,MATCH($C896,Roster!$B:$B,0))&amp;""),"—"))</f>
        <v/>
      </c>
      <c r="H896" s="25">
        <f>IF($C896="","",IFERROR(IF(INDEX(Roster!$F:$F,MATCH($C896,Roster!$B:$B,0))="","",INDEX(Roster!$F:$F,MATCH($C896,Roster!$B:$B,0))&amp;""),"—"))</f>
        <v/>
      </c>
      <c r="I896" s="25">
        <f>IF($C896="","",IFERROR(IF(INDEX(Roster!$G:$G,MATCH($C896,Roster!$B:$B,0))="","",INDEX(Roster!$G:$G,MATCH($C896,Roster!$B:$B,0))&amp;""),"—"))</f>
        <v/>
      </c>
      <c r="J896" s="25">
        <f>IF($C896="","",IFERROR(IF(INDEX(Roster!$I:$I,MATCH($C896,Roster!$B:$B,0))="","",INDEX(Roster!$I:$I,MATCH($C896,Roster!$B:$B,0))&amp;""),"—"))</f>
        <v/>
      </c>
      <c r="K896">
        <f>IF($C896="","",IFERROR(IF(INDEX(Roster!$J:$J,MATCH($C896,Roster!$B:$B,0))="","",INDEX(Roster!$J:$J,MATCH($C896,Roster!$B:$B,0))&amp;""),"—"))</f>
        <v/>
      </c>
      <c r="L896">
        <f>IF($C896="","",IFERROR(IF(INDEX(Roster!$K:$K,MATCH($C896,Roster!$B:$B,0))="","",INDEX(Roster!$K:$K,MATCH($C896,Roster!$B:$B,0))&amp;""),"—"))</f>
        <v/>
      </c>
      <c r="M896" s="27" t="n"/>
      <c r="N896" s="27" t="n"/>
      <c r="O896" s="25">
        <f>IF($C896="","",IF($P896="","—",IF($P896="Valid (Pass)","Valid","Invalid")))</f>
        <v/>
      </c>
      <c r="P896" s="27" t="n"/>
      <c r="Q896" s="27" t="n"/>
      <c r="R896" s="27" t="n"/>
      <c r="S896" s="27" t="n"/>
      <c r="T896" s="25">
        <f>IF($C896="","",IF(OR(ISNUMBER(SEARCH("quick case",$P896)),ISNUMBER(SEARCH("quick case",$Q896))),"Yes","No"))</f>
        <v/>
      </c>
      <c r="U896" s="25">
        <f>IF($O896="Invalid",HYPERLINK("mailto:"&amp;$G896&amp;";"&amp;$I896&amp;"?cc="&amp;Lists!$E$2&amp;"&amp;subject="&amp;_xlfn.ENCODEURL("[INVALID] Quality audit monitoring completed for "&amp;UPPER($C896))&amp;"&amp;body="&amp;_xlfn.ENCODEURL("Hi "&amp;$F896&amp;","&amp;CHAR(10)&amp;"Good day!"&amp;CHAR(10)&amp;CHAR(10)&amp;"A quality monitoring audit has been completed for "&amp;$C896&amp;"."&amp;CHAR(10)&amp;CHAR(10)&amp;"QUALITY AUDIT DETAILS"&amp;CHAR(10)&amp;"Agent Name: "&amp;$C896&amp;" (EID "&amp;$D896&amp;")"&amp;CHAR(10)&amp;"Audit Date: "&amp;TEXT($B896,"yyyy-mm-dd")&amp;CHAR(10)&amp;"Team Leader: "&amp;$F896&amp;CHAR(10)&amp;"Case Number: "&amp;$M896&amp;CHAR(10)&amp;"Transaction ID: "&amp;$N896&amp;CHAR(10)&amp;"Channel / LOB: "&amp;$K896&amp;" / "&amp;$L896&amp;CHAR(10)&amp;"Evaluator: "&amp;$S896&amp;CHAR(10)&amp;CHAR(10)&amp;"INVALID QUALITY AUDIT DETAILS"&amp;CHAR(10)&amp;"Validation: Invalid"&amp;CHAR(10)&amp;"Invalid Reason: "&amp;$P896&amp;CHAR(10)&amp;"Expected Resolution Code: "&amp;$Q896&amp;CHAR(10)&amp;"Remarks: "&amp;LEFT($R896,600)&amp;CHAR(10)&amp;CHAR(10)&amp;"This is an automated notification from HP Mainstream EQMS."),"✉ Open Email Draft"),"")</f>
        <v/>
      </c>
    </row>
    <row r="897">
      <c r="A897" s="25">
        <f>IF($C897="","","AUD-2026-"&amp;TEXT(ROW()-1,"000000"))</f>
        <v/>
      </c>
      <c r="B897" s="26" t="n"/>
      <c r="C897" s="27" t="n"/>
      <c r="D897" s="25">
        <f>IF($C897="","",IFERROR(IF(INDEX(Roster!$A:$A,MATCH($C897,Roster!$B:$B,0))="","",INDEX(Roster!$A:$A,MATCH($C897,Roster!$B:$B,0))&amp;""),"—"))</f>
        <v/>
      </c>
      <c r="E897" s="25">
        <f>IF($C897="","",IFERROR(IF(INDEX(Roster!$C:$C,MATCH($C897,Roster!$B:$B,0))="","",INDEX(Roster!$C:$C,MATCH($C897,Roster!$B:$B,0))&amp;""),"—"))</f>
        <v/>
      </c>
      <c r="F897" s="25">
        <f>IF($C897="","",IFERROR(IF(INDEX(Roster!$D:$D,MATCH($C897,Roster!$B:$B,0))="","",INDEX(Roster!$D:$D,MATCH($C897,Roster!$B:$B,0))&amp;""),"—"))</f>
        <v/>
      </c>
      <c r="G897" s="25">
        <f>IF($C897="","",IFERROR(IF(INDEX(Roster!$E:$E,MATCH($C897,Roster!$B:$B,0))="","",INDEX(Roster!$E:$E,MATCH($C897,Roster!$B:$B,0))&amp;""),"—"))</f>
        <v/>
      </c>
      <c r="H897" s="25">
        <f>IF($C897="","",IFERROR(IF(INDEX(Roster!$F:$F,MATCH($C897,Roster!$B:$B,0))="","",INDEX(Roster!$F:$F,MATCH($C897,Roster!$B:$B,0))&amp;""),"—"))</f>
        <v/>
      </c>
      <c r="I897" s="25">
        <f>IF($C897="","",IFERROR(IF(INDEX(Roster!$G:$G,MATCH($C897,Roster!$B:$B,0))="","",INDEX(Roster!$G:$G,MATCH($C897,Roster!$B:$B,0))&amp;""),"—"))</f>
        <v/>
      </c>
      <c r="J897" s="25">
        <f>IF($C897="","",IFERROR(IF(INDEX(Roster!$I:$I,MATCH($C897,Roster!$B:$B,0))="","",INDEX(Roster!$I:$I,MATCH($C897,Roster!$B:$B,0))&amp;""),"—"))</f>
        <v/>
      </c>
      <c r="K897">
        <f>IF($C897="","",IFERROR(IF(INDEX(Roster!$J:$J,MATCH($C897,Roster!$B:$B,0))="","",INDEX(Roster!$J:$J,MATCH($C897,Roster!$B:$B,0))&amp;""),"—"))</f>
        <v/>
      </c>
      <c r="L897">
        <f>IF($C897="","",IFERROR(IF(INDEX(Roster!$K:$K,MATCH($C897,Roster!$B:$B,0))="","",INDEX(Roster!$K:$K,MATCH($C897,Roster!$B:$B,0))&amp;""),"—"))</f>
        <v/>
      </c>
      <c r="M897" s="27" t="n"/>
      <c r="N897" s="27" t="n"/>
      <c r="O897" s="25">
        <f>IF($C897="","",IF($P897="","—",IF($P897="Valid (Pass)","Valid","Invalid")))</f>
        <v/>
      </c>
      <c r="P897" s="27" t="n"/>
      <c r="Q897" s="27" t="n"/>
      <c r="R897" s="27" t="n"/>
      <c r="S897" s="27" t="n"/>
      <c r="T897" s="25">
        <f>IF($C897="","",IF(OR(ISNUMBER(SEARCH("quick case",$P897)),ISNUMBER(SEARCH("quick case",$Q897))),"Yes","No"))</f>
        <v/>
      </c>
      <c r="U897" s="25">
        <f>IF($O897="Invalid",HYPERLINK("mailto:"&amp;$G897&amp;";"&amp;$I897&amp;"?cc="&amp;Lists!$E$2&amp;"&amp;subject="&amp;_xlfn.ENCODEURL("[INVALID] Quality audit monitoring completed for "&amp;UPPER($C897))&amp;"&amp;body="&amp;_xlfn.ENCODEURL("Hi "&amp;$F897&amp;","&amp;CHAR(10)&amp;"Good day!"&amp;CHAR(10)&amp;CHAR(10)&amp;"A quality monitoring audit has been completed for "&amp;$C897&amp;"."&amp;CHAR(10)&amp;CHAR(10)&amp;"QUALITY AUDIT DETAILS"&amp;CHAR(10)&amp;"Agent Name: "&amp;$C897&amp;" (EID "&amp;$D897&amp;")"&amp;CHAR(10)&amp;"Audit Date: "&amp;TEXT($B897,"yyyy-mm-dd")&amp;CHAR(10)&amp;"Team Leader: "&amp;$F897&amp;CHAR(10)&amp;"Case Number: "&amp;$M897&amp;CHAR(10)&amp;"Transaction ID: "&amp;$N897&amp;CHAR(10)&amp;"Channel / LOB: "&amp;$K897&amp;" / "&amp;$L897&amp;CHAR(10)&amp;"Evaluator: "&amp;$S897&amp;CHAR(10)&amp;CHAR(10)&amp;"INVALID QUALITY AUDIT DETAILS"&amp;CHAR(10)&amp;"Validation: Invalid"&amp;CHAR(10)&amp;"Invalid Reason: "&amp;$P897&amp;CHAR(10)&amp;"Expected Resolution Code: "&amp;$Q897&amp;CHAR(10)&amp;"Remarks: "&amp;LEFT($R897,600)&amp;CHAR(10)&amp;CHAR(10)&amp;"This is an automated notification from HP Mainstream EQMS."),"✉ Open Email Draft"),"")</f>
        <v/>
      </c>
    </row>
    <row r="898">
      <c r="A898" s="25">
        <f>IF($C898="","","AUD-2026-"&amp;TEXT(ROW()-1,"000000"))</f>
        <v/>
      </c>
      <c r="B898" s="26" t="n"/>
      <c r="C898" s="27" t="n"/>
      <c r="D898" s="25">
        <f>IF($C898="","",IFERROR(IF(INDEX(Roster!$A:$A,MATCH($C898,Roster!$B:$B,0))="","",INDEX(Roster!$A:$A,MATCH($C898,Roster!$B:$B,0))&amp;""),"—"))</f>
        <v/>
      </c>
      <c r="E898" s="25">
        <f>IF($C898="","",IFERROR(IF(INDEX(Roster!$C:$C,MATCH($C898,Roster!$B:$B,0))="","",INDEX(Roster!$C:$C,MATCH($C898,Roster!$B:$B,0))&amp;""),"—"))</f>
        <v/>
      </c>
      <c r="F898" s="25">
        <f>IF($C898="","",IFERROR(IF(INDEX(Roster!$D:$D,MATCH($C898,Roster!$B:$B,0))="","",INDEX(Roster!$D:$D,MATCH($C898,Roster!$B:$B,0))&amp;""),"—"))</f>
        <v/>
      </c>
      <c r="G898" s="25">
        <f>IF($C898="","",IFERROR(IF(INDEX(Roster!$E:$E,MATCH($C898,Roster!$B:$B,0))="","",INDEX(Roster!$E:$E,MATCH($C898,Roster!$B:$B,0))&amp;""),"—"))</f>
        <v/>
      </c>
      <c r="H898" s="25">
        <f>IF($C898="","",IFERROR(IF(INDEX(Roster!$F:$F,MATCH($C898,Roster!$B:$B,0))="","",INDEX(Roster!$F:$F,MATCH($C898,Roster!$B:$B,0))&amp;""),"—"))</f>
        <v/>
      </c>
      <c r="I898" s="25">
        <f>IF($C898="","",IFERROR(IF(INDEX(Roster!$G:$G,MATCH($C898,Roster!$B:$B,0))="","",INDEX(Roster!$G:$G,MATCH($C898,Roster!$B:$B,0))&amp;""),"—"))</f>
        <v/>
      </c>
      <c r="J898" s="25">
        <f>IF($C898="","",IFERROR(IF(INDEX(Roster!$I:$I,MATCH($C898,Roster!$B:$B,0))="","",INDEX(Roster!$I:$I,MATCH($C898,Roster!$B:$B,0))&amp;""),"—"))</f>
        <v/>
      </c>
      <c r="K898">
        <f>IF($C898="","",IFERROR(IF(INDEX(Roster!$J:$J,MATCH($C898,Roster!$B:$B,0))="","",INDEX(Roster!$J:$J,MATCH($C898,Roster!$B:$B,0))&amp;""),"—"))</f>
        <v/>
      </c>
      <c r="L898">
        <f>IF($C898="","",IFERROR(IF(INDEX(Roster!$K:$K,MATCH($C898,Roster!$B:$B,0))="","",INDEX(Roster!$K:$K,MATCH($C898,Roster!$B:$B,0))&amp;""),"—"))</f>
        <v/>
      </c>
      <c r="M898" s="27" t="n"/>
      <c r="N898" s="27" t="n"/>
      <c r="O898" s="25">
        <f>IF($C898="","",IF($P898="","—",IF($P898="Valid (Pass)","Valid","Invalid")))</f>
        <v/>
      </c>
      <c r="P898" s="27" t="n"/>
      <c r="Q898" s="27" t="n"/>
      <c r="R898" s="27" t="n"/>
      <c r="S898" s="27" t="n"/>
      <c r="T898" s="25">
        <f>IF($C898="","",IF(OR(ISNUMBER(SEARCH("quick case",$P898)),ISNUMBER(SEARCH("quick case",$Q898))),"Yes","No"))</f>
        <v/>
      </c>
      <c r="U898" s="25">
        <f>IF($O898="Invalid",HYPERLINK("mailto:"&amp;$G898&amp;";"&amp;$I898&amp;"?cc="&amp;Lists!$E$2&amp;"&amp;subject="&amp;_xlfn.ENCODEURL("[INVALID] Quality audit monitoring completed for "&amp;UPPER($C898))&amp;"&amp;body="&amp;_xlfn.ENCODEURL("Hi "&amp;$F898&amp;","&amp;CHAR(10)&amp;"Good day!"&amp;CHAR(10)&amp;CHAR(10)&amp;"A quality monitoring audit has been completed for "&amp;$C898&amp;"."&amp;CHAR(10)&amp;CHAR(10)&amp;"QUALITY AUDIT DETAILS"&amp;CHAR(10)&amp;"Agent Name: "&amp;$C898&amp;" (EID "&amp;$D898&amp;")"&amp;CHAR(10)&amp;"Audit Date: "&amp;TEXT($B898,"yyyy-mm-dd")&amp;CHAR(10)&amp;"Team Leader: "&amp;$F898&amp;CHAR(10)&amp;"Case Number: "&amp;$M898&amp;CHAR(10)&amp;"Transaction ID: "&amp;$N898&amp;CHAR(10)&amp;"Channel / LOB: "&amp;$K898&amp;" / "&amp;$L898&amp;CHAR(10)&amp;"Evaluator: "&amp;$S898&amp;CHAR(10)&amp;CHAR(10)&amp;"INVALID QUALITY AUDIT DETAILS"&amp;CHAR(10)&amp;"Validation: Invalid"&amp;CHAR(10)&amp;"Invalid Reason: "&amp;$P898&amp;CHAR(10)&amp;"Expected Resolution Code: "&amp;$Q898&amp;CHAR(10)&amp;"Remarks: "&amp;LEFT($R898,600)&amp;CHAR(10)&amp;CHAR(10)&amp;"This is an automated notification from HP Mainstream EQMS."),"✉ Open Email Draft"),"")</f>
        <v/>
      </c>
    </row>
    <row r="899">
      <c r="A899" s="25">
        <f>IF($C899="","","AUD-2026-"&amp;TEXT(ROW()-1,"000000"))</f>
        <v/>
      </c>
      <c r="B899" s="26" t="n"/>
      <c r="C899" s="27" t="n"/>
      <c r="D899" s="25">
        <f>IF($C899="","",IFERROR(IF(INDEX(Roster!$A:$A,MATCH($C899,Roster!$B:$B,0))="","",INDEX(Roster!$A:$A,MATCH($C899,Roster!$B:$B,0))&amp;""),"—"))</f>
        <v/>
      </c>
      <c r="E899" s="25">
        <f>IF($C899="","",IFERROR(IF(INDEX(Roster!$C:$C,MATCH($C899,Roster!$B:$B,0))="","",INDEX(Roster!$C:$C,MATCH($C899,Roster!$B:$B,0))&amp;""),"—"))</f>
        <v/>
      </c>
      <c r="F899" s="25">
        <f>IF($C899="","",IFERROR(IF(INDEX(Roster!$D:$D,MATCH($C899,Roster!$B:$B,0))="","",INDEX(Roster!$D:$D,MATCH($C899,Roster!$B:$B,0))&amp;""),"—"))</f>
        <v/>
      </c>
      <c r="G899" s="25">
        <f>IF($C899="","",IFERROR(IF(INDEX(Roster!$E:$E,MATCH($C899,Roster!$B:$B,0))="","",INDEX(Roster!$E:$E,MATCH($C899,Roster!$B:$B,0))&amp;""),"—"))</f>
        <v/>
      </c>
      <c r="H899" s="25">
        <f>IF($C899="","",IFERROR(IF(INDEX(Roster!$F:$F,MATCH($C899,Roster!$B:$B,0))="","",INDEX(Roster!$F:$F,MATCH($C899,Roster!$B:$B,0))&amp;""),"—"))</f>
        <v/>
      </c>
      <c r="I899" s="25">
        <f>IF($C899="","",IFERROR(IF(INDEX(Roster!$G:$G,MATCH($C899,Roster!$B:$B,0))="","",INDEX(Roster!$G:$G,MATCH($C899,Roster!$B:$B,0))&amp;""),"—"))</f>
        <v/>
      </c>
      <c r="J899" s="25">
        <f>IF($C899="","",IFERROR(IF(INDEX(Roster!$I:$I,MATCH($C899,Roster!$B:$B,0))="","",INDEX(Roster!$I:$I,MATCH($C899,Roster!$B:$B,0))&amp;""),"—"))</f>
        <v/>
      </c>
      <c r="K899">
        <f>IF($C899="","",IFERROR(IF(INDEX(Roster!$J:$J,MATCH($C899,Roster!$B:$B,0))="","",INDEX(Roster!$J:$J,MATCH($C899,Roster!$B:$B,0))&amp;""),"—"))</f>
        <v/>
      </c>
      <c r="L899">
        <f>IF($C899="","",IFERROR(IF(INDEX(Roster!$K:$K,MATCH($C899,Roster!$B:$B,0))="","",INDEX(Roster!$K:$K,MATCH($C899,Roster!$B:$B,0))&amp;""),"—"))</f>
        <v/>
      </c>
      <c r="M899" s="27" t="n"/>
      <c r="N899" s="27" t="n"/>
      <c r="O899" s="25">
        <f>IF($C899="","",IF($P899="","—",IF($P899="Valid (Pass)","Valid","Invalid")))</f>
        <v/>
      </c>
      <c r="P899" s="27" t="n"/>
      <c r="Q899" s="27" t="n"/>
      <c r="R899" s="27" t="n"/>
      <c r="S899" s="27" t="n"/>
      <c r="T899" s="25">
        <f>IF($C899="","",IF(OR(ISNUMBER(SEARCH("quick case",$P899)),ISNUMBER(SEARCH("quick case",$Q899))),"Yes","No"))</f>
        <v/>
      </c>
      <c r="U899" s="25">
        <f>IF($O899="Invalid",HYPERLINK("mailto:"&amp;$G899&amp;";"&amp;$I899&amp;"?cc="&amp;Lists!$E$2&amp;"&amp;subject="&amp;_xlfn.ENCODEURL("[INVALID] Quality audit monitoring completed for "&amp;UPPER($C899))&amp;"&amp;body="&amp;_xlfn.ENCODEURL("Hi "&amp;$F899&amp;","&amp;CHAR(10)&amp;"Good day!"&amp;CHAR(10)&amp;CHAR(10)&amp;"A quality monitoring audit has been completed for "&amp;$C899&amp;"."&amp;CHAR(10)&amp;CHAR(10)&amp;"QUALITY AUDIT DETAILS"&amp;CHAR(10)&amp;"Agent Name: "&amp;$C899&amp;" (EID "&amp;$D899&amp;")"&amp;CHAR(10)&amp;"Audit Date: "&amp;TEXT($B899,"yyyy-mm-dd")&amp;CHAR(10)&amp;"Team Leader: "&amp;$F899&amp;CHAR(10)&amp;"Case Number: "&amp;$M899&amp;CHAR(10)&amp;"Transaction ID: "&amp;$N899&amp;CHAR(10)&amp;"Channel / LOB: "&amp;$K899&amp;" / "&amp;$L899&amp;CHAR(10)&amp;"Evaluator: "&amp;$S899&amp;CHAR(10)&amp;CHAR(10)&amp;"INVALID QUALITY AUDIT DETAILS"&amp;CHAR(10)&amp;"Validation: Invalid"&amp;CHAR(10)&amp;"Invalid Reason: "&amp;$P899&amp;CHAR(10)&amp;"Expected Resolution Code: "&amp;$Q899&amp;CHAR(10)&amp;"Remarks: "&amp;LEFT($R899,600)&amp;CHAR(10)&amp;CHAR(10)&amp;"This is an automated notification from HP Mainstream EQMS."),"✉ Open Email Draft"),"")</f>
        <v/>
      </c>
    </row>
    <row r="900">
      <c r="A900" s="25">
        <f>IF($C900="","","AUD-2026-"&amp;TEXT(ROW()-1,"000000"))</f>
        <v/>
      </c>
      <c r="B900" s="26" t="n"/>
      <c r="C900" s="27" t="n"/>
      <c r="D900" s="25">
        <f>IF($C900="","",IFERROR(IF(INDEX(Roster!$A:$A,MATCH($C900,Roster!$B:$B,0))="","",INDEX(Roster!$A:$A,MATCH($C900,Roster!$B:$B,0))&amp;""),"—"))</f>
        <v/>
      </c>
      <c r="E900" s="25">
        <f>IF($C900="","",IFERROR(IF(INDEX(Roster!$C:$C,MATCH($C900,Roster!$B:$B,0))="","",INDEX(Roster!$C:$C,MATCH($C900,Roster!$B:$B,0))&amp;""),"—"))</f>
        <v/>
      </c>
      <c r="F900" s="25">
        <f>IF($C900="","",IFERROR(IF(INDEX(Roster!$D:$D,MATCH($C900,Roster!$B:$B,0))="","",INDEX(Roster!$D:$D,MATCH($C900,Roster!$B:$B,0))&amp;""),"—"))</f>
        <v/>
      </c>
      <c r="G900" s="25">
        <f>IF($C900="","",IFERROR(IF(INDEX(Roster!$E:$E,MATCH($C900,Roster!$B:$B,0))="","",INDEX(Roster!$E:$E,MATCH($C900,Roster!$B:$B,0))&amp;""),"—"))</f>
        <v/>
      </c>
      <c r="H900" s="25">
        <f>IF($C900="","",IFERROR(IF(INDEX(Roster!$F:$F,MATCH($C900,Roster!$B:$B,0))="","",INDEX(Roster!$F:$F,MATCH($C900,Roster!$B:$B,0))&amp;""),"—"))</f>
        <v/>
      </c>
      <c r="I900" s="25">
        <f>IF($C900="","",IFERROR(IF(INDEX(Roster!$G:$G,MATCH($C900,Roster!$B:$B,0))="","",INDEX(Roster!$G:$G,MATCH($C900,Roster!$B:$B,0))&amp;""),"—"))</f>
        <v/>
      </c>
      <c r="J900" s="25">
        <f>IF($C900="","",IFERROR(IF(INDEX(Roster!$I:$I,MATCH($C900,Roster!$B:$B,0))="","",INDEX(Roster!$I:$I,MATCH($C900,Roster!$B:$B,0))&amp;""),"—"))</f>
        <v/>
      </c>
      <c r="K900">
        <f>IF($C900="","",IFERROR(IF(INDEX(Roster!$J:$J,MATCH($C900,Roster!$B:$B,0))="","",INDEX(Roster!$J:$J,MATCH($C900,Roster!$B:$B,0))&amp;""),"—"))</f>
        <v/>
      </c>
      <c r="L900">
        <f>IF($C900="","",IFERROR(IF(INDEX(Roster!$K:$K,MATCH($C900,Roster!$B:$B,0))="","",INDEX(Roster!$K:$K,MATCH($C900,Roster!$B:$B,0))&amp;""),"—"))</f>
        <v/>
      </c>
      <c r="M900" s="27" t="n"/>
      <c r="N900" s="27" t="n"/>
      <c r="O900" s="25">
        <f>IF($C900="","",IF($P900="","—",IF($P900="Valid (Pass)","Valid","Invalid")))</f>
        <v/>
      </c>
      <c r="P900" s="27" t="n"/>
      <c r="Q900" s="27" t="n"/>
      <c r="R900" s="27" t="n"/>
      <c r="S900" s="27" t="n"/>
      <c r="T900" s="25">
        <f>IF($C900="","",IF(OR(ISNUMBER(SEARCH("quick case",$P900)),ISNUMBER(SEARCH("quick case",$Q900))),"Yes","No"))</f>
        <v/>
      </c>
      <c r="U900" s="25">
        <f>IF($O900="Invalid",HYPERLINK("mailto:"&amp;$G900&amp;";"&amp;$I900&amp;"?cc="&amp;Lists!$E$2&amp;"&amp;subject="&amp;_xlfn.ENCODEURL("[INVALID] Quality audit monitoring completed for "&amp;UPPER($C900))&amp;"&amp;body="&amp;_xlfn.ENCODEURL("Hi "&amp;$F900&amp;","&amp;CHAR(10)&amp;"Good day!"&amp;CHAR(10)&amp;CHAR(10)&amp;"A quality monitoring audit has been completed for "&amp;$C900&amp;"."&amp;CHAR(10)&amp;CHAR(10)&amp;"QUALITY AUDIT DETAILS"&amp;CHAR(10)&amp;"Agent Name: "&amp;$C900&amp;" (EID "&amp;$D900&amp;")"&amp;CHAR(10)&amp;"Audit Date: "&amp;TEXT($B900,"yyyy-mm-dd")&amp;CHAR(10)&amp;"Team Leader: "&amp;$F900&amp;CHAR(10)&amp;"Case Number: "&amp;$M900&amp;CHAR(10)&amp;"Transaction ID: "&amp;$N900&amp;CHAR(10)&amp;"Channel / LOB: "&amp;$K900&amp;" / "&amp;$L900&amp;CHAR(10)&amp;"Evaluator: "&amp;$S900&amp;CHAR(10)&amp;CHAR(10)&amp;"INVALID QUALITY AUDIT DETAILS"&amp;CHAR(10)&amp;"Validation: Invalid"&amp;CHAR(10)&amp;"Invalid Reason: "&amp;$P900&amp;CHAR(10)&amp;"Expected Resolution Code: "&amp;$Q900&amp;CHAR(10)&amp;"Remarks: "&amp;LEFT($R900,600)&amp;CHAR(10)&amp;CHAR(10)&amp;"This is an automated notification from HP Mainstream EQMS."),"✉ Open Email Draft"),"")</f>
        <v/>
      </c>
    </row>
    <row r="901">
      <c r="A901" s="25">
        <f>IF($C901="","","AUD-2026-"&amp;TEXT(ROW()-1,"000000"))</f>
        <v/>
      </c>
      <c r="B901" s="26" t="n"/>
      <c r="C901" s="27" t="n"/>
      <c r="D901" s="25">
        <f>IF($C901="","",IFERROR(IF(INDEX(Roster!$A:$A,MATCH($C901,Roster!$B:$B,0))="","",INDEX(Roster!$A:$A,MATCH($C901,Roster!$B:$B,0))&amp;""),"—"))</f>
        <v/>
      </c>
      <c r="E901" s="25">
        <f>IF($C901="","",IFERROR(IF(INDEX(Roster!$C:$C,MATCH($C901,Roster!$B:$B,0))="","",INDEX(Roster!$C:$C,MATCH($C901,Roster!$B:$B,0))&amp;""),"—"))</f>
        <v/>
      </c>
      <c r="F901" s="25">
        <f>IF($C901="","",IFERROR(IF(INDEX(Roster!$D:$D,MATCH($C901,Roster!$B:$B,0))="","",INDEX(Roster!$D:$D,MATCH($C901,Roster!$B:$B,0))&amp;""),"—"))</f>
        <v/>
      </c>
      <c r="G901" s="25">
        <f>IF($C901="","",IFERROR(IF(INDEX(Roster!$E:$E,MATCH($C901,Roster!$B:$B,0))="","",INDEX(Roster!$E:$E,MATCH($C901,Roster!$B:$B,0))&amp;""),"—"))</f>
        <v/>
      </c>
      <c r="H901" s="25">
        <f>IF($C901="","",IFERROR(IF(INDEX(Roster!$F:$F,MATCH($C901,Roster!$B:$B,0))="","",INDEX(Roster!$F:$F,MATCH($C901,Roster!$B:$B,0))&amp;""),"—"))</f>
        <v/>
      </c>
      <c r="I901" s="25">
        <f>IF($C901="","",IFERROR(IF(INDEX(Roster!$G:$G,MATCH($C901,Roster!$B:$B,0))="","",INDEX(Roster!$G:$G,MATCH($C901,Roster!$B:$B,0))&amp;""),"—"))</f>
        <v/>
      </c>
      <c r="J901" s="25">
        <f>IF($C901="","",IFERROR(IF(INDEX(Roster!$I:$I,MATCH($C901,Roster!$B:$B,0))="","",INDEX(Roster!$I:$I,MATCH($C901,Roster!$B:$B,0))&amp;""),"—"))</f>
        <v/>
      </c>
      <c r="K901">
        <f>IF($C901="","",IFERROR(IF(INDEX(Roster!$J:$J,MATCH($C901,Roster!$B:$B,0))="","",INDEX(Roster!$J:$J,MATCH($C901,Roster!$B:$B,0))&amp;""),"—"))</f>
        <v/>
      </c>
      <c r="L901">
        <f>IF($C901="","",IFERROR(IF(INDEX(Roster!$K:$K,MATCH($C901,Roster!$B:$B,0))="","",INDEX(Roster!$K:$K,MATCH($C901,Roster!$B:$B,0))&amp;""),"—"))</f>
        <v/>
      </c>
      <c r="M901" s="27" t="n"/>
      <c r="N901" s="27" t="n"/>
      <c r="O901" s="25">
        <f>IF($C901="","",IF($P901="","—",IF($P901="Valid (Pass)","Valid","Invalid")))</f>
        <v/>
      </c>
      <c r="P901" s="27" t="n"/>
      <c r="Q901" s="27" t="n"/>
      <c r="R901" s="27" t="n"/>
      <c r="S901" s="27" t="n"/>
      <c r="T901" s="25">
        <f>IF($C901="","",IF(OR(ISNUMBER(SEARCH("quick case",$P901)),ISNUMBER(SEARCH("quick case",$Q901))),"Yes","No"))</f>
        <v/>
      </c>
      <c r="U901" s="25">
        <f>IF($O901="Invalid",HYPERLINK("mailto:"&amp;$G901&amp;";"&amp;$I901&amp;"?cc="&amp;Lists!$E$2&amp;"&amp;subject="&amp;_xlfn.ENCODEURL("[INVALID] Quality audit monitoring completed for "&amp;UPPER($C901))&amp;"&amp;body="&amp;_xlfn.ENCODEURL("Hi "&amp;$F901&amp;","&amp;CHAR(10)&amp;"Good day!"&amp;CHAR(10)&amp;CHAR(10)&amp;"A quality monitoring audit has been completed for "&amp;$C901&amp;"."&amp;CHAR(10)&amp;CHAR(10)&amp;"QUALITY AUDIT DETAILS"&amp;CHAR(10)&amp;"Agent Name: "&amp;$C901&amp;" (EID "&amp;$D901&amp;")"&amp;CHAR(10)&amp;"Audit Date: "&amp;TEXT($B901,"yyyy-mm-dd")&amp;CHAR(10)&amp;"Team Leader: "&amp;$F901&amp;CHAR(10)&amp;"Case Number: "&amp;$M901&amp;CHAR(10)&amp;"Transaction ID: "&amp;$N901&amp;CHAR(10)&amp;"Channel / LOB: "&amp;$K901&amp;" / "&amp;$L901&amp;CHAR(10)&amp;"Evaluator: "&amp;$S901&amp;CHAR(10)&amp;CHAR(10)&amp;"INVALID QUALITY AUDIT DETAILS"&amp;CHAR(10)&amp;"Validation: Invalid"&amp;CHAR(10)&amp;"Invalid Reason: "&amp;$P901&amp;CHAR(10)&amp;"Expected Resolution Code: "&amp;$Q901&amp;CHAR(10)&amp;"Remarks: "&amp;LEFT($R901,600)&amp;CHAR(10)&amp;CHAR(10)&amp;"This is an automated notification from HP Mainstream EQMS."),"✉ Open Email Draft"),"")</f>
        <v/>
      </c>
    </row>
    <row r="902">
      <c r="A902" s="25">
        <f>IF($C902="","","AUD-2026-"&amp;TEXT(ROW()-1,"000000"))</f>
        <v/>
      </c>
      <c r="B902" s="26" t="n"/>
      <c r="C902" s="27" t="n"/>
      <c r="D902" s="25">
        <f>IF($C902="","",IFERROR(IF(INDEX(Roster!$A:$A,MATCH($C902,Roster!$B:$B,0))="","",INDEX(Roster!$A:$A,MATCH($C902,Roster!$B:$B,0))&amp;""),"—"))</f>
        <v/>
      </c>
      <c r="E902" s="25">
        <f>IF($C902="","",IFERROR(IF(INDEX(Roster!$C:$C,MATCH($C902,Roster!$B:$B,0))="","",INDEX(Roster!$C:$C,MATCH($C902,Roster!$B:$B,0))&amp;""),"—"))</f>
        <v/>
      </c>
      <c r="F902" s="25">
        <f>IF($C902="","",IFERROR(IF(INDEX(Roster!$D:$D,MATCH($C902,Roster!$B:$B,0))="","",INDEX(Roster!$D:$D,MATCH($C902,Roster!$B:$B,0))&amp;""),"—"))</f>
        <v/>
      </c>
      <c r="G902" s="25">
        <f>IF($C902="","",IFERROR(IF(INDEX(Roster!$E:$E,MATCH($C902,Roster!$B:$B,0))="","",INDEX(Roster!$E:$E,MATCH($C902,Roster!$B:$B,0))&amp;""),"—"))</f>
        <v/>
      </c>
      <c r="H902" s="25">
        <f>IF($C902="","",IFERROR(IF(INDEX(Roster!$F:$F,MATCH($C902,Roster!$B:$B,0))="","",INDEX(Roster!$F:$F,MATCH($C902,Roster!$B:$B,0))&amp;""),"—"))</f>
        <v/>
      </c>
      <c r="I902" s="25">
        <f>IF($C902="","",IFERROR(IF(INDEX(Roster!$G:$G,MATCH($C902,Roster!$B:$B,0))="","",INDEX(Roster!$G:$G,MATCH($C902,Roster!$B:$B,0))&amp;""),"—"))</f>
        <v/>
      </c>
      <c r="J902" s="25">
        <f>IF($C902="","",IFERROR(IF(INDEX(Roster!$I:$I,MATCH($C902,Roster!$B:$B,0))="","",INDEX(Roster!$I:$I,MATCH($C902,Roster!$B:$B,0))&amp;""),"—"))</f>
        <v/>
      </c>
      <c r="K902">
        <f>IF($C902="","",IFERROR(IF(INDEX(Roster!$J:$J,MATCH($C902,Roster!$B:$B,0))="","",INDEX(Roster!$J:$J,MATCH($C902,Roster!$B:$B,0))&amp;""),"—"))</f>
        <v/>
      </c>
      <c r="L902">
        <f>IF($C902="","",IFERROR(IF(INDEX(Roster!$K:$K,MATCH($C902,Roster!$B:$B,0))="","",INDEX(Roster!$K:$K,MATCH($C902,Roster!$B:$B,0))&amp;""),"—"))</f>
        <v/>
      </c>
      <c r="M902" s="27" t="n"/>
      <c r="N902" s="27" t="n"/>
      <c r="O902" s="25">
        <f>IF($C902="","",IF($P902="","—",IF($P902="Valid (Pass)","Valid","Invalid")))</f>
        <v/>
      </c>
      <c r="P902" s="27" t="n"/>
      <c r="Q902" s="27" t="n"/>
      <c r="R902" s="27" t="n"/>
      <c r="S902" s="27" t="n"/>
      <c r="T902" s="25">
        <f>IF($C902="","",IF(OR(ISNUMBER(SEARCH("quick case",$P902)),ISNUMBER(SEARCH("quick case",$Q902))),"Yes","No"))</f>
        <v/>
      </c>
      <c r="U902" s="25">
        <f>IF($O902="Invalid",HYPERLINK("mailto:"&amp;$G902&amp;";"&amp;$I902&amp;"?cc="&amp;Lists!$E$2&amp;"&amp;subject="&amp;_xlfn.ENCODEURL("[INVALID] Quality audit monitoring completed for "&amp;UPPER($C902))&amp;"&amp;body="&amp;_xlfn.ENCODEURL("Hi "&amp;$F902&amp;","&amp;CHAR(10)&amp;"Good day!"&amp;CHAR(10)&amp;CHAR(10)&amp;"A quality monitoring audit has been completed for "&amp;$C902&amp;"."&amp;CHAR(10)&amp;CHAR(10)&amp;"QUALITY AUDIT DETAILS"&amp;CHAR(10)&amp;"Agent Name: "&amp;$C902&amp;" (EID "&amp;$D902&amp;")"&amp;CHAR(10)&amp;"Audit Date: "&amp;TEXT($B902,"yyyy-mm-dd")&amp;CHAR(10)&amp;"Team Leader: "&amp;$F902&amp;CHAR(10)&amp;"Case Number: "&amp;$M902&amp;CHAR(10)&amp;"Transaction ID: "&amp;$N902&amp;CHAR(10)&amp;"Channel / LOB: "&amp;$K902&amp;" / "&amp;$L902&amp;CHAR(10)&amp;"Evaluator: "&amp;$S902&amp;CHAR(10)&amp;CHAR(10)&amp;"INVALID QUALITY AUDIT DETAILS"&amp;CHAR(10)&amp;"Validation: Invalid"&amp;CHAR(10)&amp;"Invalid Reason: "&amp;$P902&amp;CHAR(10)&amp;"Expected Resolution Code: "&amp;$Q902&amp;CHAR(10)&amp;"Remarks: "&amp;LEFT($R902,600)&amp;CHAR(10)&amp;CHAR(10)&amp;"This is an automated notification from HP Mainstream EQMS."),"✉ Open Email Draft"),"")</f>
        <v/>
      </c>
    </row>
    <row r="903">
      <c r="A903" s="25">
        <f>IF($C903="","","AUD-2026-"&amp;TEXT(ROW()-1,"000000"))</f>
        <v/>
      </c>
      <c r="B903" s="26" t="n"/>
      <c r="C903" s="27" t="n"/>
      <c r="D903" s="25">
        <f>IF($C903="","",IFERROR(IF(INDEX(Roster!$A:$A,MATCH($C903,Roster!$B:$B,0))="","",INDEX(Roster!$A:$A,MATCH($C903,Roster!$B:$B,0))&amp;""),"—"))</f>
        <v/>
      </c>
      <c r="E903" s="25">
        <f>IF($C903="","",IFERROR(IF(INDEX(Roster!$C:$C,MATCH($C903,Roster!$B:$B,0))="","",INDEX(Roster!$C:$C,MATCH($C903,Roster!$B:$B,0))&amp;""),"—"))</f>
        <v/>
      </c>
      <c r="F903" s="25">
        <f>IF($C903="","",IFERROR(IF(INDEX(Roster!$D:$D,MATCH($C903,Roster!$B:$B,0))="","",INDEX(Roster!$D:$D,MATCH($C903,Roster!$B:$B,0))&amp;""),"—"))</f>
        <v/>
      </c>
      <c r="G903" s="25">
        <f>IF($C903="","",IFERROR(IF(INDEX(Roster!$E:$E,MATCH($C903,Roster!$B:$B,0))="","",INDEX(Roster!$E:$E,MATCH($C903,Roster!$B:$B,0))&amp;""),"—"))</f>
        <v/>
      </c>
      <c r="H903" s="25">
        <f>IF($C903="","",IFERROR(IF(INDEX(Roster!$F:$F,MATCH($C903,Roster!$B:$B,0))="","",INDEX(Roster!$F:$F,MATCH($C903,Roster!$B:$B,0))&amp;""),"—"))</f>
        <v/>
      </c>
      <c r="I903" s="25">
        <f>IF($C903="","",IFERROR(IF(INDEX(Roster!$G:$G,MATCH($C903,Roster!$B:$B,0))="","",INDEX(Roster!$G:$G,MATCH($C903,Roster!$B:$B,0))&amp;""),"—"))</f>
        <v/>
      </c>
      <c r="J903" s="25">
        <f>IF($C903="","",IFERROR(IF(INDEX(Roster!$I:$I,MATCH($C903,Roster!$B:$B,0))="","",INDEX(Roster!$I:$I,MATCH($C903,Roster!$B:$B,0))&amp;""),"—"))</f>
        <v/>
      </c>
      <c r="K903">
        <f>IF($C903="","",IFERROR(IF(INDEX(Roster!$J:$J,MATCH($C903,Roster!$B:$B,0))="","",INDEX(Roster!$J:$J,MATCH($C903,Roster!$B:$B,0))&amp;""),"—"))</f>
        <v/>
      </c>
      <c r="L903">
        <f>IF($C903="","",IFERROR(IF(INDEX(Roster!$K:$K,MATCH($C903,Roster!$B:$B,0))="","",INDEX(Roster!$K:$K,MATCH($C903,Roster!$B:$B,0))&amp;""),"—"))</f>
        <v/>
      </c>
      <c r="M903" s="27" t="n"/>
      <c r="N903" s="27" t="n"/>
      <c r="O903" s="25">
        <f>IF($C903="","",IF($P903="","—",IF($P903="Valid (Pass)","Valid","Invalid")))</f>
        <v/>
      </c>
      <c r="P903" s="27" t="n"/>
      <c r="Q903" s="27" t="n"/>
      <c r="R903" s="27" t="n"/>
      <c r="S903" s="27" t="n"/>
      <c r="T903" s="25">
        <f>IF($C903="","",IF(OR(ISNUMBER(SEARCH("quick case",$P903)),ISNUMBER(SEARCH("quick case",$Q903))),"Yes","No"))</f>
        <v/>
      </c>
      <c r="U903" s="25">
        <f>IF($O903="Invalid",HYPERLINK("mailto:"&amp;$G903&amp;";"&amp;$I903&amp;"?cc="&amp;Lists!$E$2&amp;"&amp;subject="&amp;_xlfn.ENCODEURL("[INVALID] Quality audit monitoring completed for "&amp;UPPER($C903))&amp;"&amp;body="&amp;_xlfn.ENCODEURL("Hi "&amp;$F903&amp;","&amp;CHAR(10)&amp;"Good day!"&amp;CHAR(10)&amp;CHAR(10)&amp;"A quality monitoring audit has been completed for "&amp;$C903&amp;"."&amp;CHAR(10)&amp;CHAR(10)&amp;"QUALITY AUDIT DETAILS"&amp;CHAR(10)&amp;"Agent Name: "&amp;$C903&amp;" (EID "&amp;$D903&amp;")"&amp;CHAR(10)&amp;"Audit Date: "&amp;TEXT($B903,"yyyy-mm-dd")&amp;CHAR(10)&amp;"Team Leader: "&amp;$F903&amp;CHAR(10)&amp;"Case Number: "&amp;$M903&amp;CHAR(10)&amp;"Transaction ID: "&amp;$N903&amp;CHAR(10)&amp;"Channel / LOB: "&amp;$K903&amp;" / "&amp;$L903&amp;CHAR(10)&amp;"Evaluator: "&amp;$S903&amp;CHAR(10)&amp;CHAR(10)&amp;"INVALID QUALITY AUDIT DETAILS"&amp;CHAR(10)&amp;"Validation: Invalid"&amp;CHAR(10)&amp;"Invalid Reason: "&amp;$P903&amp;CHAR(10)&amp;"Expected Resolution Code: "&amp;$Q903&amp;CHAR(10)&amp;"Remarks: "&amp;LEFT($R903,600)&amp;CHAR(10)&amp;CHAR(10)&amp;"This is an automated notification from HP Mainstream EQMS."),"✉ Open Email Draft"),"")</f>
        <v/>
      </c>
    </row>
    <row r="904">
      <c r="A904" s="25">
        <f>IF($C904="","","AUD-2026-"&amp;TEXT(ROW()-1,"000000"))</f>
        <v/>
      </c>
      <c r="B904" s="26" t="n"/>
      <c r="C904" s="27" t="n"/>
      <c r="D904" s="25">
        <f>IF($C904="","",IFERROR(IF(INDEX(Roster!$A:$A,MATCH($C904,Roster!$B:$B,0))="","",INDEX(Roster!$A:$A,MATCH($C904,Roster!$B:$B,0))&amp;""),"—"))</f>
        <v/>
      </c>
      <c r="E904" s="25">
        <f>IF($C904="","",IFERROR(IF(INDEX(Roster!$C:$C,MATCH($C904,Roster!$B:$B,0))="","",INDEX(Roster!$C:$C,MATCH($C904,Roster!$B:$B,0))&amp;""),"—"))</f>
        <v/>
      </c>
      <c r="F904" s="25">
        <f>IF($C904="","",IFERROR(IF(INDEX(Roster!$D:$D,MATCH($C904,Roster!$B:$B,0))="","",INDEX(Roster!$D:$D,MATCH($C904,Roster!$B:$B,0))&amp;""),"—"))</f>
        <v/>
      </c>
      <c r="G904" s="25">
        <f>IF($C904="","",IFERROR(IF(INDEX(Roster!$E:$E,MATCH($C904,Roster!$B:$B,0))="","",INDEX(Roster!$E:$E,MATCH($C904,Roster!$B:$B,0))&amp;""),"—"))</f>
        <v/>
      </c>
      <c r="H904" s="25">
        <f>IF($C904="","",IFERROR(IF(INDEX(Roster!$F:$F,MATCH($C904,Roster!$B:$B,0))="","",INDEX(Roster!$F:$F,MATCH($C904,Roster!$B:$B,0))&amp;""),"—"))</f>
        <v/>
      </c>
      <c r="I904" s="25">
        <f>IF($C904="","",IFERROR(IF(INDEX(Roster!$G:$G,MATCH($C904,Roster!$B:$B,0))="","",INDEX(Roster!$G:$G,MATCH($C904,Roster!$B:$B,0))&amp;""),"—"))</f>
        <v/>
      </c>
      <c r="J904" s="25">
        <f>IF($C904="","",IFERROR(IF(INDEX(Roster!$I:$I,MATCH($C904,Roster!$B:$B,0))="","",INDEX(Roster!$I:$I,MATCH($C904,Roster!$B:$B,0))&amp;""),"—"))</f>
        <v/>
      </c>
      <c r="K904">
        <f>IF($C904="","",IFERROR(IF(INDEX(Roster!$J:$J,MATCH($C904,Roster!$B:$B,0))="","",INDEX(Roster!$J:$J,MATCH($C904,Roster!$B:$B,0))&amp;""),"—"))</f>
        <v/>
      </c>
      <c r="L904">
        <f>IF($C904="","",IFERROR(IF(INDEX(Roster!$K:$K,MATCH($C904,Roster!$B:$B,0))="","",INDEX(Roster!$K:$K,MATCH($C904,Roster!$B:$B,0))&amp;""),"—"))</f>
        <v/>
      </c>
      <c r="M904" s="27" t="n"/>
      <c r="N904" s="27" t="n"/>
      <c r="O904" s="25">
        <f>IF($C904="","",IF($P904="","—",IF($P904="Valid (Pass)","Valid","Invalid")))</f>
        <v/>
      </c>
      <c r="P904" s="27" t="n"/>
      <c r="Q904" s="27" t="n"/>
      <c r="R904" s="27" t="n"/>
      <c r="S904" s="27" t="n"/>
      <c r="T904" s="25">
        <f>IF($C904="","",IF(OR(ISNUMBER(SEARCH("quick case",$P904)),ISNUMBER(SEARCH("quick case",$Q904))),"Yes","No"))</f>
        <v/>
      </c>
      <c r="U904" s="25">
        <f>IF($O904="Invalid",HYPERLINK("mailto:"&amp;$G904&amp;";"&amp;$I904&amp;"?cc="&amp;Lists!$E$2&amp;"&amp;subject="&amp;_xlfn.ENCODEURL("[INVALID] Quality audit monitoring completed for "&amp;UPPER($C904))&amp;"&amp;body="&amp;_xlfn.ENCODEURL("Hi "&amp;$F904&amp;","&amp;CHAR(10)&amp;"Good day!"&amp;CHAR(10)&amp;CHAR(10)&amp;"A quality monitoring audit has been completed for "&amp;$C904&amp;"."&amp;CHAR(10)&amp;CHAR(10)&amp;"QUALITY AUDIT DETAILS"&amp;CHAR(10)&amp;"Agent Name: "&amp;$C904&amp;" (EID "&amp;$D904&amp;")"&amp;CHAR(10)&amp;"Audit Date: "&amp;TEXT($B904,"yyyy-mm-dd")&amp;CHAR(10)&amp;"Team Leader: "&amp;$F904&amp;CHAR(10)&amp;"Case Number: "&amp;$M904&amp;CHAR(10)&amp;"Transaction ID: "&amp;$N904&amp;CHAR(10)&amp;"Channel / LOB: "&amp;$K904&amp;" / "&amp;$L904&amp;CHAR(10)&amp;"Evaluator: "&amp;$S904&amp;CHAR(10)&amp;CHAR(10)&amp;"INVALID QUALITY AUDIT DETAILS"&amp;CHAR(10)&amp;"Validation: Invalid"&amp;CHAR(10)&amp;"Invalid Reason: "&amp;$P904&amp;CHAR(10)&amp;"Expected Resolution Code: "&amp;$Q904&amp;CHAR(10)&amp;"Remarks: "&amp;LEFT($R904,600)&amp;CHAR(10)&amp;CHAR(10)&amp;"This is an automated notification from HP Mainstream EQMS."),"✉ Open Email Draft"),"")</f>
        <v/>
      </c>
    </row>
    <row r="905">
      <c r="A905" s="25">
        <f>IF($C905="","","AUD-2026-"&amp;TEXT(ROW()-1,"000000"))</f>
        <v/>
      </c>
      <c r="B905" s="26" t="n"/>
      <c r="C905" s="27" t="n"/>
      <c r="D905" s="25">
        <f>IF($C905="","",IFERROR(IF(INDEX(Roster!$A:$A,MATCH($C905,Roster!$B:$B,0))="","",INDEX(Roster!$A:$A,MATCH($C905,Roster!$B:$B,0))&amp;""),"—"))</f>
        <v/>
      </c>
      <c r="E905" s="25">
        <f>IF($C905="","",IFERROR(IF(INDEX(Roster!$C:$C,MATCH($C905,Roster!$B:$B,0))="","",INDEX(Roster!$C:$C,MATCH($C905,Roster!$B:$B,0))&amp;""),"—"))</f>
        <v/>
      </c>
      <c r="F905" s="25">
        <f>IF($C905="","",IFERROR(IF(INDEX(Roster!$D:$D,MATCH($C905,Roster!$B:$B,0))="","",INDEX(Roster!$D:$D,MATCH($C905,Roster!$B:$B,0))&amp;""),"—"))</f>
        <v/>
      </c>
      <c r="G905" s="25">
        <f>IF($C905="","",IFERROR(IF(INDEX(Roster!$E:$E,MATCH($C905,Roster!$B:$B,0))="","",INDEX(Roster!$E:$E,MATCH($C905,Roster!$B:$B,0))&amp;""),"—"))</f>
        <v/>
      </c>
      <c r="H905" s="25">
        <f>IF($C905="","",IFERROR(IF(INDEX(Roster!$F:$F,MATCH($C905,Roster!$B:$B,0))="","",INDEX(Roster!$F:$F,MATCH($C905,Roster!$B:$B,0))&amp;""),"—"))</f>
        <v/>
      </c>
      <c r="I905" s="25">
        <f>IF($C905="","",IFERROR(IF(INDEX(Roster!$G:$G,MATCH($C905,Roster!$B:$B,0))="","",INDEX(Roster!$G:$G,MATCH($C905,Roster!$B:$B,0))&amp;""),"—"))</f>
        <v/>
      </c>
      <c r="J905" s="25">
        <f>IF($C905="","",IFERROR(IF(INDEX(Roster!$I:$I,MATCH($C905,Roster!$B:$B,0))="","",INDEX(Roster!$I:$I,MATCH($C905,Roster!$B:$B,0))&amp;""),"—"))</f>
        <v/>
      </c>
      <c r="K905">
        <f>IF($C905="","",IFERROR(IF(INDEX(Roster!$J:$J,MATCH($C905,Roster!$B:$B,0))="","",INDEX(Roster!$J:$J,MATCH($C905,Roster!$B:$B,0))&amp;""),"—"))</f>
        <v/>
      </c>
      <c r="L905">
        <f>IF($C905="","",IFERROR(IF(INDEX(Roster!$K:$K,MATCH($C905,Roster!$B:$B,0))="","",INDEX(Roster!$K:$K,MATCH($C905,Roster!$B:$B,0))&amp;""),"—"))</f>
        <v/>
      </c>
      <c r="M905" s="27" t="n"/>
      <c r="N905" s="27" t="n"/>
      <c r="O905" s="25">
        <f>IF($C905="","",IF($P905="","—",IF($P905="Valid (Pass)","Valid","Invalid")))</f>
        <v/>
      </c>
      <c r="P905" s="27" t="n"/>
      <c r="Q905" s="27" t="n"/>
      <c r="R905" s="27" t="n"/>
      <c r="S905" s="27" t="n"/>
      <c r="T905" s="25">
        <f>IF($C905="","",IF(OR(ISNUMBER(SEARCH("quick case",$P905)),ISNUMBER(SEARCH("quick case",$Q905))),"Yes","No"))</f>
        <v/>
      </c>
      <c r="U905" s="25">
        <f>IF($O905="Invalid",HYPERLINK("mailto:"&amp;$G905&amp;";"&amp;$I905&amp;"?cc="&amp;Lists!$E$2&amp;"&amp;subject="&amp;_xlfn.ENCODEURL("[INVALID] Quality audit monitoring completed for "&amp;UPPER($C905))&amp;"&amp;body="&amp;_xlfn.ENCODEURL("Hi "&amp;$F905&amp;","&amp;CHAR(10)&amp;"Good day!"&amp;CHAR(10)&amp;CHAR(10)&amp;"A quality monitoring audit has been completed for "&amp;$C905&amp;"."&amp;CHAR(10)&amp;CHAR(10)&amp;"QUALITY AUDIT DETAILS"&amp;CHAR(10)&amp;"Agent Name: "&amp;$C905&amp;" (EID "&amp;$D905&amp;")"&amp;CHAR(10)&amp;"Audit Date: "&amp;TEXT($B905,"yyyy-mm-dd")&amp;CHAR(10)&amp;"Team Leader: "&amp;$F905&amp;CHAR(10)&amp;"Case Number: "&amp;$M905&amp;CHAR(10)&amp;"Transaction ID: "&amp;$N905&amp;CHAR(10)&amp;"Channel / LOB: "&amp;$K905&amp;" / "&amp;$L905&amp;CHAR(10)&amp;"Evaluator: "&amp;$S905&amp;CHAR(10)&amp;CHAR(10)&amp;"INVALID QUALITY AUDIT DETAILS"&amp;CHAR(10)&amp;"Validation: Invalid"&amp;CHAR(10)&amp;"Invalid Reason: "&amp;$P905&amp;CHAR(10)&amp;"Expected Resolution Code: "&amp;$Q905&amp;CHAR(10)&amp;"Remarks: "&amp;LEFT($R905,600)&amp;CHAR(10)&amp;CHAR(10)&amp;"This is an automated notification from HP Mainstream EQMS."),"✉ Open Email Draft"),"")</f>
        <v/>
      </c>
    </row>
    <row r="906">
      <c r="A906" s="25">
        <f>IF($C906="","","AUD-2026-"&amp;TEXT(ROW()-1,"000000"))</f>
        <v/>
      </c>
      <c r="B906" s="26" t="n"/>
      <c r="C906" s="27" t="n"/>
      <c r="D906" s="25">
        <f>IF($C906="","",IFERROR(IF(INDEX(Roster!$A:$A,MATCH($C906,Roster!$B:$B,0))="","",INDEX(Roster!$A:$A,MATCH($C906,Roster!$B:$B,0))&amp;""),"—"))</f>
        <v/>
      </c>
      <c r="E906" s="25">
        <f>IF($C906="","",IFERROR(IF(INDEX(Roster!$C:$C,MATCH($C906,Roster!$B:$B,0))="","",INDEX(Roster!$C:$C,MATCH($C906,Roster!$B:$B,0))&amp;""),"—"))</f>
        <v/>
      </c>
      <c r="F906" s="25">
        <f>IF($C906="","",IFERROR(IF(INDEX(Roster!$D:$D,MATCH($C906,Roster!$B:$B,0))="","",INDEX(Roster!$D:$D,MATCH($C906,Roster!$B:$B,0))&amp;""),"—"))</f>
        <v/>
      </c>
      <c r="G906" s="25">
        <f>IF($C906="","",IFERROR(IF(INDEX(Roster!$E:$E,MATCH($C906,Roster!$B:$B,0))="","",INDEX(Roster!$E:$E,MATCH($C906,Roster!$B:$B,0))&amp;""),"—"))</f>
        <v/>
      </c>
      <c r="H906" s="25">
        <f>IF($C906="","",IFERROR(IF(INDEX(Roster!$F:$F,MATCH($C906,Roster!$B:$B,0))="","",INDEX(Roster!$F:$F,MATCH($C906,Roster!$B:$B,0))&amp;""),"—"))</f>
        <v/>
      </c>
      <c r="I906" s="25">
        <f>IF($C906="","",IFERROR(IF(INDEX(Roster!$G:$G,MATCH($C906,Roster!$B:$B,0))="","",INDEX(Roster!$G:$G,MATCH($C906,Roster!$B:$B,0))&amp;""),"—"))</f>
        <v/>
      </c>
      <c r="J906" s="25">
        <f>IF($C906="","",IFERROR(IF(INDEX(Roster!$I:$I,MATCH($C906,Roster!$B:$B,0))="","",INDEX(Roster!$I:$I,MATCH($C906,Roster!$B:$B,0))&amp;""),"—"))</f>
        <v/>
      </c>
      <c r="K906">
        <f>IF($C906="","",IFERROR(IF(INDEX(Roster!$J:$J,MATCH($C906,Roster!$B:$B,0))="","",INDEX(Roster!$J:$J,MATCH($C906,Roster!$B:$B,0))&amp;""),"—"))</f>
        <v/>
      </c>
      <c r="L906">
        <f>IF($C906="","",IFERROR(IF(INDEX(Roster!$K:$K,MATCH($C906,Roster!$B:$B,0))="","",INDEX(Roster!$K:$K,MATCH($C906,Roster!$B:$B,0))&amp;""),"—"))</f>
        <v/>
      </c>
      <c r="M906" s="27" t="n"/>
      <c r="N906" s="27" t="n"/>
      <c r="O906" s="25">
        <f>IF($C906="","",IF($P906="","—",IF($P906="Valid (Pass)","Valid","Invalid")))</f>
        <v/>
      </c>
      <c r="P906" s="27" t="n"/>
      <c r="Q906" s="27" t="n"/>
      <c r="R906" s="27" t="n"/>
      <c r="S906" s="27" t="n"/>
      <c r="T906" s="25">
        <f>IF($C906="","",IF(OR(ISNUMBER(SEARCH("quick case",$P906)),ISNUMBER(SEARCH("quick case",$Q906))),"Yes","No"))</f>
        <v/>
      </c>
      <c r="U906" s="25">
        <f>IF($O906="Invalid",HYPERLINK("mailto:"&amp;$G906&amp;";"&amp;$I906&amp;"?cc="&amp;Lists!$E$2&amp;"&amp;subject="&amp;_xlfn.ENCODEURL("[INVALID] Quality audit monitoring completed for "&amp;UPPER($C906))&amp;"&amp;body="&amp;_xlfn.ENCODEURL("Hi "&amp;$F906&amp;","&amp;CHAR(10)&amp;"Good day!"&amp;CHAR(10)&amp;CHAR(10)&amp;"A quality monitoring audit has been completed for "&amp;$C906&amp;"."&amp;CHAR(10)&amp;CHAR(10)&amp;"QUALITY AUDIT DETAILS"&amp;CHAR(10)&amp;"Agent Name: "&amp;$C906&amp;" (EID "&amp;$D906&amp;")"&amp;CHAR(10)&amp;"Audit Date: "&amp;TEXT($B906,"yyyy-mm-dd")&amp;CHAR(10)&amp;"Team Leader: "&amp;$F906&amp;CHAR(10)&amp;"Case Number: "&amp;$M906&amp;CHAR(10)&amp;"Transaction ID: "&amp;$N906&amp;CHAR(10)&amp;"Channel / LOB: "&amp;$K906&amp;" / "&amp;$L906&amp;CHAR(10)&amp;"Evaluator: "&amp;$S906&amp;CHAR(10)&amp;CHAR(10)&amp;"INVALID QUALITY AUDIT DETAILS"&amp;CHAR(10)&amp;"Validation: Invalid"&amp;CHAR(10)&amp;"Invalid Reason: "&amp;$P906&amp;CHAR(10)&amp;"Expected Resolution Code: "&amp;$Q906&amp;CHAR(10)&amp;"Remarks: "&amp;LEFT($R906,600)&amp;CHAR(10)&amp;CHAR(10)&amp;"This is an automated notification from HP Mainstream EQMS."),"✉ Open Email Draft"),"")</f>
        <v/>
      </c>
    </row>
    <row r="907">
      <c r="A907" s="25">
        <f>IF($C907="","","AUD-2026-"&amp;TEXT(ROW()-1,"000000"))</f>
        <v/>
      </c>
      <c r="B907" s="26" t="n"/>
      <c r="C907" s="27" t="n"/>
      <c r="D907" s="25">
        <f>IF($C907="","",IFERROR(IF(INDEX(Roster!$A:$A,MATCH($C907,Roster!$B:$B,0))="","",INDEX(Roster!$A:$A,MATCH($C907,Roster!$B:$B,0))&amp;""),"—"))</f>
        <v/>
      </c>
      <c r="E907" s="25">
        <f>IF($C907="","",IFERROR(IF(INDEX(Roster!$C:$C,MATCH($C907,Roster!$B:$B,0))="","",INDEX(Roster!$C:$C,MATCH($C907,Roster!$B:$B,0))&amp;""),"—"))</f>
        <v/>
      </c>
      <c r="F907" s="25">
        <f>IF($C907="","",IFERROR(IF(INDEX(Roster!$D:$D,MATCH($C907,Roster!$B:$B,0))="","",INDEX(Roster!$D:$D,MATCH($C907,Roster!$B:$B,0))&amp;""),"—"))</f>
        <v/>
      </c>
      <c r="G907" s="25">
        <f>IF($C907="","",IFERROR(IF(INDEX(Roster!$E:$E,MATCH($C907,Roster!$B:$B,0))="","",INDEX(Roster!$E:$E,MATCH($C907,Roster!$B:$B,0))&amp;""),"—"))</f>
        <v/>
      </c>
      <c r="H907" s="25">
        <f>IF($C907="","",IFERROR(IF(INDEX(Roster!$F:$F,MATCH($C907,Roster!$B:$B,0))="","",INDEX(Roster!$F:$F,MATCH($C907,Roster!$B:$B,0))&amp;""),"—"))</f>
        <v/>
      </c>
      <c r="I907" s="25">
        <f>IF($C907="","",IFERROR(IF(INDEX(Roster!$G:$G,MATCH($C907,Roster!$B:$B,0))="","",INDEX(Roster!$G:$G,MATCH($C907,Roster!$B:$B,0))&amp;""),"—"))</f>
        <v/>
      </c>
      <c r="J907" s="25">
        <f>IF($C907="","",IFERROR(IF(INDEX(Roster!$I:$I,MATCH($C907,Roster!$B:$B,0))="","",INDEX(Roster!$I:$I,MATCH($C907,Roster!$B:$B,0))&amp;""),"—"))</f>
        <v/>
      </c>
      <c r="K907">
        <f>IF($C907="","",IFERROR(IF(INDEX(Roster!$J:$J,MATCH($C907,Roster!$B:$B,0))="","",INDEX(Roster!$J:$J,MATCH($C907,Roster!$B:$B,0))&amp;""),"—"))</f>
        <v/>
      </c>
      <c r="L907">
        <f>IF($C907="","",IFERROR(IF(INDEX(Roster!$K:$K,MATCH($C907,Roster!$B:$B,0))="","",INDEX(Roster!$K:$K,MATCH($C907,Roster!$B:$B,0))&amp;""),"—"))</f>
        <v/>
      </c>
      <c r="M907" s="27" t="n"/>
      <c r="N907" s="27" t="n"/>
      <c r="O907" s="25">
        <f>IF($C907="","",IF($P907="","—",IF($P907="Valid (Pass)","Valid","Invalid")))</f>
        <v/>
      </c>
      <c r="P907" s="27" t="n"/>
      <c r="Q907" s="27" t="n"/>
      <c r="R907" s="27" t="n"/>
      <c r="S907" s="27" t="n"/>
      <c r="T907" s="25">
        <f>IF($C907="","",IF(OR(ISNUMBER(SEARCH("quick case",$P907)),ISNUMBER(SEARCH("quick case",$Q907))),"Yes","No"))</f>
        <v/>
      </c>
      <c r="U907" s="25">
        <f>IF($O907="Invalid",HYPERLINK("mailto:"&amp;$G907&amp;";"&amp;$I907&amp;"?cc="&amp;Lists!$E$2&amp;"&amp;subject="&amp;_xlfn.ENCODEURL("[INVALID] Quality audit monitoring completed for "&amp;UPPER($C907))&amp;"&amp;body="&amp;_xlfn.ENCODEURL("Hi "&amp;$F907&amp;","&amp;CHAR(10)&amp;"Good day!"&amp;CHAR(10)&amp;CHAR(10)&amp;"A quality monitoring audit has been completed for "&amp;$C907&amp;"."&amp;CHAR(10)&amp;CHAR(10)&amp;"QUALITY AUDIT DETAILS"&amp;CHAR(10)&amp;"Agent Name: "&amp;$C907&amp;" (EID "&amp;$D907&amp;")"&amp;CHAR(10)&amp;"Audit Date: "&amp;TEXT($B907,"yyyy-mm-dd")&amp;CHAR(10)&amp;"Team Leader: "&amp;$F907&amp;CHAR(10)&amp;"Case Number: "&amp;$M907&amp;CHAR(10)&amp;"Transaction ID: "&amp;$N907&amp;CHAR(10)&amp;"Channel / LOB: "&amp;$K907&amp;" / "&amp;$L907&amp;CHAR(10)&amp;"Evaluator: "&amp;$S907&amp;CHAR(10)&amp;CHAR(10)&amp;"INVALID QUALITY AUDIT DETAILS"&amp;CHAR(10)&amp;"Validation: Invalid"&amp;CHAR(10)&amp;"Invalid Reason: "&amp;$P907&amp;CHAR(10)&amp;"Expected Resolution Code: "&amp;$Q907&amp;CHAR(10)&amp;"Remarks: "&amp;LEFT($R907,600)&amp;CHAR(10)&amp;CHAR(10)&amp;"This is an automated notification from HP Mainstream EQMS."),"✉ Open Email Draft"),"")</f>
        <v/>
      </c>
    </row>
    <row r="908">
      <c r="A908" s="25">
        <f>IF($C908="","","AUD-2026-"&amp;TEXT(ROW()-1,"000000"))</f>
        <v/>
      </c>
      <c r="B908" s="26" t="n"/>
      <c r="C908" s="27" t="n"/>
      <c r="D908" s="25">
        <f>IF($C908="","",IFERROR(IF(INDEX(Roster!$A:$A,MATCH($C908,Roster!$B:$B,0))="","",INDEX(Roster!$A:$A,MATCH($C908,Roster!$B:$B,0))&amp;""),"—"))</f>
        <v/>
      </c>
      <c r="E908" s="25">
        <f>IF($C908="","",IFERROR(IF(INDEX(Roster!$C:$C,MATCH($C908,Roster!$B:$B,0))="","",INDEX(Roster!$C:$C,MATCH($C908,Roster!$B:$B,0))&amp;""),"—"))</f>
        <v/>
      </c>
      <c r="F908" s="25">
        <f>IF($C908="","",IFERROR(IF(INDEX(Roster!$D:$D,MATCH($C908,Roster!$B:$B,0))="","",INDEX(Roster!$D:$D,MATCH($C908,Roster!$B:$B,0))&amp;""),"—"))</f>
        <v/>
      </c>
      <c r="G908" s="25">
        <f>IF($C908="","",IFERROR(IF(INDEX(Roster!$E:$E,MATCH($C908,Roster!$B:$B,0))="","",INDEX(Roster!$E:$E,MATCH($C908,Roster!$B:$B,0))&amp;""),"—"))</f>
        <v/>
      </c>
      <c r="H908" s="25">
        <f>IF($C908="","",IFERROR(IF(INDEX(Roster!$F:$F,MATCH($C908,Roster!$B:$B,0))="","",INDEX(Roster!$F:$F,MATCH($C908,Roster!$B:$B,0))&amp;""),"—"))</f>
        <v/>
      </c>
      <c r="I908" s="25">
        <f>IF($C908="","",IFERROR(IF(INDEX(Roster!$G:$G,MATCH($C908,Roster!$B:$B,0))="","",INDEX(Roster!$G:$G,MATCH($C908,Roster!$B:$B,0))&amp;""),"—"))</f>
        <v/>
      </c>
      <c r="J908" s="25">
        <f>IF($C908="","",IFERROR(IF(INDEX(Roster!$I:$I,MATCH($C908,Roster!$B:$B,0))="","",INDEX(Roster!$I:$I,MATCH($C908,Roster!$B:$B,0))&amp;""),"—"))</f>
        <v/>
      </c>
      <c r="K908">
        <f>IF($C908="","",IFERROR(IF(INDEX(Roster!$J:$J,MATCH($C908,Roster!$B:$B,0))="","",INDEX(Roster!$J:$J,MATCH($C908,Roster!$B:$B,0))&amp;""),"—"))</f>
        <v/>
      </c>
      <c r="L908">
        <f>IF($C908="","",IFERROR(IF(INDEX(Roster!$K:$K,MATCH($C908,Roster!$B:$B,0))="","",INDEX(Roster!$K:$K,MATCH($C908,Roster!$B:$B,0))&amp;""),"—"))</f>
        <v/>
      </c>
      <c r="M908" s="27" t="n"/>
      <c r="N908" s="27" t="n"/>
      <c r="O908" s="25">
        <f>IF($C908="","",IF($P908="","—",IF($P908="Valid (Pass)","Valid","Invalid")))</f>
        <v/>
      </c>
      <c r="P908" s="27" t="n"/>
      <c r="Q908" s="27" t="n"/>
      <c r="R908" s="27" t="n"/>
      <c r="S908" s="27" t="n"/>
      <c r="T908" s="25">
        <f>IF($C908="","",IF(OR(ISNUMBER(SEARCH("quick case",$P908)),ISNUMBER(SEARCH("quick case",$Q908))),"Yes","No"))</f>
        <v/>
      </c>
      <c r="U908" s="25">
        <f>IF($O908="Invalid",HYPERLINK("mailto:"&amp;$G908&amp;";"&amp;$I908&amp;"?cc="&amp;Lists!$E$2&amp;"&amp;subject="&amp;_xlfn.ENCODEURL("[INVALID] Quality audit monitoring completed for "&amp;UPPER($C908))&amp;"&amp;body="&amp;_xlfn.ENCODEURL("Hi "&amp;$F908&amp;","&amp;CHAR(10)&amp;"Good day!"&amp;CHAR(10)&amp;CHAR(10)&amp;"A quality monitoring audit has been completed for "&amp;$C908&amp;"."&amp;CHAR(10)&amp;CHAR(10)&amp;"QUALITY AUDIT DETAILS"&amp;CHAR(10)&amp;"Agent Name: "&amp;$C908&amp;" (EID "&amp;$D908&amp;")"&amp;CHAR(10)&amp;"Audit Date: "&amp;TEXT($B908,"yyyy-mm-dd")&amp;CHAR(10)&amp;"Team Leader: "&amp;$F908&amp;CHAR(10)&amp;"Case Number: "&amp;$M908&amp;CHAR(10)&amp;"Transaction ID: "&amp;$N908&amp;CHAR(10)&amp;"Channel / LOB: "&amp;$K908&amp;" / "&amp;$L908&amp;CHAR(10)&amp;"Evaluator: "&amp;$S908&amp;CHAR(10)&amp;CHAR(10)&amp;"INVALID QUALITY AUDIT DETAILS"&amp;CHAR(10)&amp;"Validation: Invalid"&amp;CHAR(10)&amp;"Invalid Reason: "&amp;$P908&amp;CHAR(10)&amp;"Expected Resolution Code: "&amp;$Q908&amp;CHAR(10)&amp;"Remarks: "&amp;LEFT($R908,600)&amp;CHAR(10)&amp;CHAR(10)&amp;"This is an automated notification from HP Mainstream EQMS."),"✉ Open Email Draft"),"")</f>
        <v/>
      </c>
    </row>
    <row r="909">
      <c r="A909" s="25">
        <f>IF($C909="","","AUD-2026-"&amp;TEXT(ROW()-1,"000000"))</f>
        <v/>
      </c>
      <c r="B909" s="26" t="n"/>
      <c r="C909" s="27" t="n"/>
      <c r="D909" s="25">
        <f>IF($C909="","",IFERROR(IF(INDEX(Roster!$A:$A,MATCH($C909,Roster!$B:$B,0))="","",INDEX(Roster!$A:$A,MATCH($C909,Roster!$B:$B,0))&amp;""),"—"))</f>
        <v/>
      </c>
      <c r="E909" s="25">
        <f>IF($C909="","",IFERROR(IF(INDEX(Roster!$C:$C,MATCH($C909,Roster!$B:$B,0))="","",INDEX(Roster!$C:$C,MATCH($C909,Roster!$B:$B,0))&amp;""),"—"))</f>
        <v/>
      </c>
      <c r="F909" s="25">
        <f>IF($C909="","",IFERROR(IF(INDEX(Roster!$D:$D,MATCH($C909,Roster!$B:$B,0))="","",INDEX(Roster!$D:$D,MATCH($C909,Roster!$B:$B,0))&amp;""),"—"))</f>
        <v/>
      </c>
      <c r="G909" s="25">
        <f>IF($C909="","",IFERROR(IF(INDEX(Roster!$E:$E,MATCH($C909,Roster!$B:$B,0))="","",INDEX(Roster!$E:$E,MATCH($C909,Roster!$B:$B,0))&amp;""),"—"))</f>
        <v/>
      </c>
      <c r="H909" s="25">
        <f>IF($C909="","",IFERROR(IF(INDEX(Roster!$F:$F,MATCH($C909,Roster!$B:$B,0))="","",INDEX(Roster!$F:$F,MATCH($C909,Roster!$B:$B,0))&amp;""),"—"))</f>
        <v/>
      </c>
      <c r="I909" s="25">
        <f>IF($C909="","",IFERROR(IF(INDEX(Roster!$G:$G,MATCH($C909,Roster!$B:$B,0))="","",INDEX(Roster!$G:$G,MATCH($C909,Roster!$B:$B,0))&amp;""),"—"))</f>
        <v/>
      </c>
      <c r="J909" s="25">
        <f>IF($C909="","",IFERROR(IF(INDEX(Roster!$I:$I,MATCH($C909,Roster!$B:$B,0))="","",INDEX(Roster!$I:$I,MATCH($C909,Roster!$B:$B,0))&amp;""),"—"))</f>
        <v/>
      </c>
      <c r="K909">
        <f>IF($C909="","",IFERROR(IF(INDEX(Roster!$J:$J,MATCH($C909,Roster!$B:$B,0))="","",INDEX(Roster!$J:$J,MATCH($C909,Roster!$B:$B,0))&amp;""),"—"))</f>
        <v/>
      </c>
      <c r="L909">
        <f>IF($C909="","",IFERROR(IF(INDEX(Roster!$K:$K,MATCH($C909,Roster!$B:$B,0))="","",INDEX(Roster!$K:$K,MATCH($C909,Roster!$B:$B,0))&amp;""),"—"))</f>
        <v/>
      </c>
      <c r="M909" s="27" t="n"/>
      <c r="N909" s="27" t="n"/>
      <c r="O909" s="25">
        <f>IF($C909="","",IF($P909="","—",IF($P909="Valid (Pass)","Valid","Invalid")))</f>
        <v/>
      </c>
      <c r="P909" s="27" t="n"/>
      <c r="Q909" s="27" t="n"/>
      <c r="R909" s="27" t="n"/>
      <c r="S909" s="27" t="n"/>
      <c r="T909" s="25">
        <f>IF($C909="","",IF(OR(ISNUMBER(SEARCH("quick case",$P909)),ISNUMBER(SEARCH("quick case",$Q909))),"Yes","No"))</f>
        <v/>
      </c>
      <c r="U909" s="25">
        <f>IF($O909="Invalid",HYPERLINK("mailto:"&amp;$G909&amp;";"&amp;$I909&amp;"?cc="&amp;Lists!$E$2&amp;"&amp;subject="&amp;_xlfn.ENCODEURL("[INVALID] Quality audit monitoring completed for "&amp;UPPER($C909))&amp;"&amp;body="&amp;_xlfn.ENCODEURL("Hi "&amp;$F909&amp;","&amp;CHAR(10)&amp;"Good day!"&amp;CHAR(10)&amp;CHAR(10)&amp;"A quality monitoring audit has been completed for "&amp;$C909&amp;"."&amp;CHAR(10)&amp;CHAR(10)&amp;"QUALITY AUDIT DETAILS"&amp;CHAR(10)&amp;"Agent Name: "&amp;$C909&amp;" (EID "&amp;$D909&amp;")"&amp;CHAR(10)&amp;"Audit Date: "&amp;TEXT($B909,"yyyy-mm-dd")&amp;CHAR(10)&amp;"Team Leader: "&amp;$F909&amp;CHAR(10)&amp;"Case Number: "&amp;$M909&amp;CHAR(10)&amp;"Transaction ID: "&amp;$N909&amp;CHAR(10)&amp;"Channel / LOB: "&amp;$K909&amp;" / "&amp;$L909&amp;CHAR(10)&amp;"Evaluator: "&amp;$S909&amp;CHAR(10)&amp;CHAR(10)&amp;"INVALID QUALITY AUDIT DETAILS"&amp;CHAR(10)&amp;"Validation: Invalid"&amp;CHAR(10)&amp;"Invalid Reason: "&amp;$P909&amp;CHAR(10)&amp;"Expected Resolution Code: "&amp;$Q909&amp;CHAR(10)&amp;"Remarks: "&amp;LEFT($R909,600)&amp;CHAR(10)&amp;CHAR(10)&amp;"This is an automated notification from HP Mainstream EQMS."),"✉ Open Email Draft"),"")</f>
        <v/>
      </c>
    </row>
    <row r="910">
      <c r="A910" s="25">
        <f>IF($C910="","","AUD-2026-"&amp;TEXT(ROW()-1,"000000"))</f>
        <v/>
      </c>
      <c r="B910" s="26" t="n"/>
      <c r="C910" s="27" t="n"/>
      <c r="D910" s="25">
        <f>IF($C910="","",IFERROR(IF(INDEX(Roster!$A:$A,MATCH($C910,Roster!$B:$B,0))="","",INDEX(Roster!$A:$A,MATCH($C910,Roster!$B:$B,0))&amp;""),"—"))</f>
        <v/>
      </c>
      <c r="E910" s="25">
        <f>IF($C910="","",IFERROR(IF(INDEX(Roster!$C:$C,MATCH($C910,Roster!$B:$B,0))="","",INDEX(Roster!$C:$C,MATCH($C910,Roster!$B:$B,0))&amp;""),"—"))</f>
        <v/>
      </c>
      <c r="F910" s="25">
        <f>IF($C910="","",IFERROR(IF(INDEX(Roster!$D:$D,MATCH($C910,Roster!$B:$B,0))="","",INDEX(Roster!$D:$D,MATCH($C910,Roster!$B:$B,0))&amp;""),"—"))</f>
        <v/>
      </c>
      <c r="G910" s="25">
        <f>IF($C910="","",IFERROR(IF(INDEX(Roster!$E:$E,MATCH($C910,Roster!$B:$B,0))="","",INDEX(Roster!$E:$E,MATCH($C910,Roster!$B:$B,0))&amp;""),"—"))</f>
        <v/>
      </c>
      <c r="H910" s="25">
        <f>IF($C910="","",IFERROR(IF(INDEX(Roster!$F:$F,MATCH($C910,Roster!$B:$B,0))="","",INDEX(Roster!$F:$F,MATCH($C910,Roster!$B:$B,0))&amp;""),"—"))</f>
        <v/>
      </c>
      <c r="I910" s="25">
        <f>IF($C910="","",IFERROR(IF(INDEX(Roster!$G:$G,MATCH($C910,Roster!$B:$B,0))="","",INDEX(Roster!$G:$G,MATCH($C910,Roster!$B:$B,0))&amp;""),"—"))</f>
        <v/>
      </c>
      <c r="J910" s="25">
        <f>IF($C910="","",IFERROR(IF(INDEX(Roster!$I:$I,MATCH($C910,Roster!$B:$B,0))="","",INDEX(Roster!$I:$I,MATCH($C910,Roster!$B:$B,0))&amp;""),"—"))</f>
        <v/>
      </c>
      <c r="K910">
        <f>IF($C910="","",IFERROR(IF(INDEX(Roster!$J:$J,MATCH($C910,Roster!$B:$B,0))="","",INDEX(Roster!$J:$J,MATCH($C910,Roster!$B:$B,0))&amp;""),"—"))</f>
        <v/>
      </c>
      <c r="L910">
        <f>IF($C910="","",IFERROR(IF(INDEX(Roster!$K:$K,MATCH($C910,Roster!$B:$B,0))="","",INDEX(Roster!$K:$K,MATCH($C910,Roster!$B:$B,0))&amp;""),"—"))</f>
        <v/>
      </c>
      <c r="M910" s="27" t="n"/>
      <c r="N910" s="27" t="n"/>
      <c r="O910" s="25">
        <f>IF($C910="","",IF($P910="","—",IF($P910="Valid (Pass)","Valid","Invalid")))</f>
        <v/>
      </c>
      <c r="P910" s="27" t="n"/>
      <c r="Q910" s="27" t="n"/>
      <c r="R910" s="27" t="n"/>
      <c r="S910" s="27" t="n"/>
      <c r="T910" s="25">
        <f>IF($C910="","",IF(OR(ISNUMBER(SEARCH("quick case",$P910)),ISNUMBER(SEARCH("quick case",$Q910))),"Yes","No"))</f>
        <v/>
      </c>
      <c r="U910" s="25">
        <f>IF($O910="Invalid",HYPERLINK("mailto:"&amp;$G910&amp;";"&amp;$I910&amp;"?cc="&amp;Lists!$E$2&amp;"&amp;subject="&amp;_xlfn.ENCODEURL("[INVALID] Quality audit monitoring completed for "&amp;UPPER($C910))&amp;"&amp;body="&amp;_xlfn.ENCODEURL("Hi "&amp;$F910&amp;","&amp;CHAR(10)&amp;"Good day!"&amp;CHAR(10)&amp;CHAR(10)&amp;"A quality monitoring audit has been completed for "&amp;$C910&amp;"."&amp;CHAR(10)&amp;CHAR(10)&amp;"QUALITY AUDIT DETAILS"&amp;CHAR(10)&amp;"Agent Name: "&amp;$C910&amp;" (EID "&amp;$D910&amp;")"&amp;CHAR(10)&amp;"Audit Date: "&amp;TEXT($B910,"yyyy-mm-dd")&amp;CHAR(10)&amp;"Team Leader: "&amp;$F910&amp;CHAR(10)&amp;"Case Number: "&amp;$M910&amp;CHAR(10)&amp;"Transaction ID: "&amp;$N910&amp;CHAR(10)&amp;"Channel / LOB: "&amp;$K910&amp;" / "&amp;$L910&amp;CHAR(10)&amp;"Evaluator: "&amp;$S910&amp;CHAR(10)&amp;CHAR(10)&amp;"INVALID QUALITY AUDIT DETAILS"&amp;CHAR(10)&amp;"Validation: Invalid"&amp;CHAR(10)&amp;"Invalid Reason: "&amp;$P910&amp;CHAR(10)&amp;"Expected Resolution Code: "&amp;$Q910&amp;CHAR(10)&amp;"Remarks: "&amp;LEFT($R910,600)&amp;CHAR(10)&amp;CHAR(10)&amp;"This is an automated notification from HP Mainstream EQMS."),"✉ Open Email Draft"),"")</f>
        <v/>
      </c>
    </row>
    <row r="911">
      <c r="A911" s="25">
        <f>IF($C911="","","AUD-2026-"&amp;TEXT(ROW()-1,"000000"))</f>
        <v/>
      </c>
      <c r="B911" s="26" t="n"/>
      <c r="C911" s="27" t="n"/>
      <c r="D911" s="25">
        <f>IF($C911="","",IFERROR(IF(INDEX(Roster!$A:$A,MATCH($C911,Roster!$B:$B,0))="","",INDEX(Roster!$A:$A,MATCH($C911,Roster!$B:$B,0))&amp;""),"—"))</f>
        <v/>
      </c>
      <c r="E911" s="25">
        <f>IF($C911="","",IFERROR(IF(INDEX(Roster!$C:$C,MATCH($C911,Roster!$B:$B,0))="","",INDEX(Roster!$C:$C,MATCH($C911,Roster!$B:$B,0))&amp;""),"—"))</f>
        <v/>
      </c>
      <c r="F911" s="25">
        <f>IF($C911="","",IFERROR(IF(INDEX(Roster!$D:$D,MATCH($C911,Roster!$B:$B,0))="","",INDEX(Roster!$D:$D,MATCH($C911,Roster!$B:$B,0))&amp;""),"—"))</f>
        <v/>
      </c>
      <c r="G911" s="25">
        <f>IF($C911="","",IFERROR(IF(INDEX(Roster!$E:$E,MATCH($C911,Roster!$B:$B,0))="","",INDEX(Roster!$E:$E,MATCH($C911,Roster!$B:$B,0))&amp;""),"—"))</f>
        <v/>
      </c>
      <c r="H911" s="25">
        <f>IF($C911="","",IFERROR(IF(INDEX(Roster!$F:$F,MATCH($C911,Roster!$B:$B,0))="","",INDEX(Roster!$F:$F,MATCH($C911,Roster!$B:$B,0))&amp;""),"—"))</f>
        <v/>
      </c>
      <c r="I911" s="25">
        <f>IF($C911="","",IFERROR(IF(INDEX(Roster!$G:$G,MATCH($C911,Roster!$B:$B,0))="","",INDEX(Roster!$G:$G,MATCH($C911,Roster!$B:$B,0))&amp;""),"—"))</f>
        <v/>
      </c>
      <c r="J911" s="25">
        <f>IF($C911="","",IFERROR(IF(INDEX(Roster!$I:$I,MATCH($C911,Roster!$B:$B,0))="","",INDEX(Roster!$I:$I,MATCH($C911,Roster!$B:$B,0))&amp;""),"—"))</f>
        <v/>
      </c>
      <c r="K911">
        <f>IF($C911="","",IFERROR(IF(INDEX(Roster!$J:$J,MATCH($C911,Roster!$B:$B,0))="","",INDEX(Roster!$J:$J,MATCH($C911,Roster!$B:$B,0))&amp;""),"—"))</f>
        <v/>
      </c>
      <c r="L911">
        <f>IF($C911="","",IFERROR(IF(INDEX(Roster!$K:$K,MATCH($C911,Roster!$B:$B,0))="","",INDEX(Roster!$K:$K,MATCH($C911,Roster!$B:$B,0))&amp;""),"—"))</f>
        <v/>
      </c>
      <c r="M911" s="27" t="n"/>
      <c r="N911" s="27" t="n"/>
      <c r="O911" s="25">
        <f>IF($C911="","",IF($P911="","—",IF($P911="Valid (Pass)","Valid","Invalid")))</f>
        <v/>
      </c>
      <c r="P911" s="27" t="n"/>
      <c r="Q911" s="27" t="n"/>
      <c r="R911" s="27" t="n"/>
      <c r="S911" s="27" t="n"/>
      <c r="T911" s="25">
        <f>IF($C911="","",IF(OR(ISNUMBER(SEARCH("quick case",$P911)),ISNUMBER(SEARCH("quick case",$Q911))),"Yes","No"))</f>
        <v/>
      </c>
      <c r="U911" s="25">
        <f>IF($O911="Invalid",HYPERLINK("mailto:"&amp;$G911&amp;";"&amp;$I911&amp;"?cc="&amp;Lists!$E$2&amp;"&amp;subject="&amp;_xlfn.ENCODEURL("[INVALID] Quality audit monitoring completed for "&amp;UPPER($C911))&amp;"&amp;body="&amp;_xlfn.ENCODEURL("Hi "&amp;$F911&amp;","&amp;CHAR(10)&amp;"Good day!"&amp;CHAR(10)&amp;CHAR(10)&amp;"A quality monitoring audit has been completed for "&amp;$C911&amp;"."&amp;CHAR(10)&amp;CHAR(10)&amp;"QUALITY AUDIT DETAILS"&amp;CHAR(10)&amp;"Agent Name: "&amp;$C911&amp;" (EID "&amp;$D911&amp;")"&amp;CHAR(10)&amp;"Audit Date: "&amp;TEXT($B911,"yyyy-mm-dd")&amp;CHAR(10)&amp;"Team Leader: "&amp;$F911&amp;CHAR(10)&amp;"Case Number: "&amp;$M911&amp;CHAR(10)&amp;"Transaction ID: "&amp;$N911&amp;CHAR(10)&amp;"Channel / LOB: "&amp;$K911&amp;" / "&amp;$L911&amp;CHAR(10)&amp;"Evaluator: "&amp;$S911&amp;CHAR(10)&amp;CHAR(10)&amp;"INVALID QUALITY AUDIT DETAILS"&amp;CHAR(10)&amp;"Validation: Invalid"&amp;CHAR(10)&amp;"Invalid Reason: "&amp;$P911&amp;CHAR(10)&amp;"Expected Resolution Code: "&amp;$Q911&amp;CHAR(10)&amp;"Remarks: "&amp;LEFT($R911,600)&amp;CHAR(10)&amp;CHAR(10)&amp;"This is an automated notification from HP Mainstream EQMS."),"✉ Open Email Draft"),"")</f>
        <v/>
      </c>
    </row>
    <row r="912">
      <c r="A912" s="25">
        <f>IF($C912="","","AUD-2026-"&amp;TEXT(ROW()-1,"000000"))</f>
        <v/>
      </c>
      <c r="B912" s="26" t="n"/>
      <c r="C912" s="27" t="n"/>
      <c r="D912" s="25">
        <f>IF($C912="","",IFERROR(IF(INDEX(Roster!$A:$A,MATCH($C912,Roster!$B:$B,0))="","",INDEX(Roster!$A:$A,MATCH($C912,Roster!$B:$B,0))&amp;""),"—"))</f>
        <v/>
      </c>
      <c r="E912" s="25">
        <f>IF($C912="","",IFERROR(IF(INDEX(Roster!$C:$C,MATCH($C912,Roster!$B:$B,0))="","",INDEX(Roster!$C:$C,MATCH($C912,Roster!$B:$B,0))&amp;""),"—"))</f>
        <v/>
      </c>
      <c r="F912" s="25">
        <f>IF($C912="","",IFERROR(IF(INDEX(Roster!$D:$D,MATCH($C912,Roster!$B:$B,0))="","",INDEX(Roster!$D:$D,MATCH($C912,Roster!$B:$B,0))&amp;""),"—"))</f>
        <v/>
      </c>
      <c r="G912" s="25">
        <f>IF($C912="","",IFERROR(IF(INDEX(Roster!$E:$E,MATCH($C912,Roster!$B:$B,0))="","",INDEX(Roster!$E:$E,MATCH($C912,Roster!$B:$B,0))&amp;""),"—"))</f>
        <v/>
      </c>
      <c r="H912" s="25">
        <f>IF($C912="","",IFERROR(IF(INDEX(Roster!$F:$F,MATCH($C912,Roster!$B:$B,0))="","",INDEX(Roster!$F:$F,MATCH($C912,Roster!$B:$B,0))&amp;""),"—"))</f>
        <v/>
      </c>
      <c r="I912" s="25">
        <f>IF($C912="","",IFERROR(IF(INDEX(Roster!$G:$G,MATCH($C912,Roster!$B:$B,0))="","",INDEX(Roster!$G:$G,MATCH($C912,Roster!$B:$B,0))&amp;""),"—"))</f>
        <v/>
      </c>
      <c r="J912" s="25">
        <f>IF($C912="","",IFERROR(IF(INDEX(Roster!$I:$I,MATCH($C912,Roster!$B:$B,0))="","",INDEX(Roster!$I:$I,MATCH($C912,Roster!$B:$B,0))&amp;""),"—"))</f>
        <v/>
      </c>
      <c r="K912">
        <f>IF($C912="","",IFERROR(IF(INDEX(Roster!$J:$J,MATCH($C912,Roster!$B:$B,0))="","",INDEX(Roster!$J:$J,MATCH($C912,Roster!$B:$B,0))&amp;""),"—"))</f>
        <v/>
      </c>
      <c r="L912">
        <f>IF($C912="","",IFERROR(IF(INDEX(Roster!$K:$K,MATCH($C912,Roster!$B:$B,0))="","",INDEX(Roster!$K:$K,MATCH($C912,Roster!$B:$B,0))&amp;""),"—"))</f>
        <v/>
      </c>
      <c r="M912" s="27" t="n"/>
      <c r="N912" s="27" t="n"/>
      <c r="O912" s="25">
        <f>IF($C912="","",IF($P912="","—",IF($P912="Valid (Pass)","Valid","Invalid")))</f>
        <v/>
      </c>
      <c r="P912" s="27" t="n"/>
      <c r="Q912" s="27" t="n"/>
      <c r="R912" s="27" t="n"/>
      <c r="S912" s="27" t="n"/>
      <c r="T912" s="25">
        <f>IF($C912="","",IF(OR(ISNUMBER(SEARCH("quick case",$P912)),ISNUMBER(SEARCH("quick case",$Q912))),"Yes","No"))</f>
        <v/>
      </c>
      <c r="U912" s="25">
        <f>IF($O912="Invalid",HYPERLINK("mailto:"&amp;$G912&amp;";"&amp;$I912&amp;"?cc="&amp;Lists!$E$2&amp;"&amp;subject="&amp;_xlfn.ENCODEURL("[INVALID] Quality audit monitoring completed for "&amp;UPPER($C912))&amp;"&amp;body="&amp;_xlfn.ENCODEURL("Hi "&amp;$F912&amp;","&amp;CHAR(10)&amp;"Good day!"&amp;CHAR(10)&amp;CHAR(10)&amp;"A quality monitoring audit has been completed for "&amp;$C912&amp;"."&amp;CHAR(10)&amp;CHAR(10)&amp;"QUALITY AUDIT DETAILS"&amp;CHAR(10)&amp;"Agent Name: "&amp;$C912&amp;" (EID "&amp;$D912&amp;")"&amp;CHAR(10)&amp;"Audit Date: "&amp;TEXT($B912,"yyyy-mm-dd")&amp;CHAR(10)&amp;"Team Leader: "&amp;$F912&amp;CHAR(10)&amp;"Case Number: "&amp;$M912&amp;CHAR(10)&amp;"Transaction ID: "&amp;$N912&amp;CHAR(10)&amp;"Channel / LOB: "&amp;$K912&amp;" / "&amp;$L912&amp;CHAR(10)&amp;"Evaluator: "&amp;$S912&amp;CHAR(10)&amp;CHAR(10)&amp;"INVALID QUALITY AUDIT DETAILS"&amp;CHAR(10)&amp;"Validation: Invalid"&amp;CHAR(10)&amp;"Invalid Reason: "&amp;$P912&amp;CHAR(10)&amp;"Expected Resolution Code: "&amp;$Q912&amp;CHAR(10)&amp;"Remarks: "&amp;LEFT($R912,600)&amp;CHAR(10)&amp;CHAR(10)&amp;"This is an automated notification from HP Mainstream EQMS."),"✉ Open Email Draft"),"")</f>
        <v/>
      </c>
    </row>
    <row r="913">
      <c r="A913" s="25">
        <f>IF($C913="","","AUD-2026-"&amp;TEXT(ROW()-1,"000000"))</f>
        <v/>
      </c>
      <c r="B913" s="26" t="n"/>
      <c r="C913" s="27" t="n"/>
      <c r="D913" s="25">
        <f>IF($C913="","",IFERROR(IF(INDEX(Roster!$A:$A,MATCH($C913,Roster!$B:$B,0))="","",INDEX(Roster!$A:$A,MATCH($C913,Roster!$B:$B,0))&amp;""),"—"))</f>
        <v/>
      </c>
      <c r="E913" s="25">
        <f>IF($C913="","",IFERROR(IF(INDEX(Roster!$C:$C,MATCH($C913,Roster!$B:$B,0))="","",INDEX(Roster!$C:$C,MATCH($C913,Roster!$B:$B,0))&amp;""),"—"))</f>
        <v/>
      </c>
      <c r="F913" s="25">
        <f>IF($C913="","",IFERROR(IF(INDEX(Roster!$D:$D,MATCH($C913,Roster!$B:$B,0))="","",INDEX(Roster!$D:$D,MATCH($C913,Roster!$B:$B,0))&amp;""),"—"))</f>
        <v/>
      </c>
      <c r="G913" s="25">
        <f>IF($C913="","",IFERROR(IF(INDEX(Roster!$E:$E,MATCH($C913,Roster!$B:$B,0))="","",INDEX(Roster!$E:$E,MATCH($C913,Roster!$B:$B,0))&amp;""),"—"))</f>
        <v/>
      </c>
      <c r="H913" s="25">
        <f>IF($C913="","",IFERROR(IF(INDEX(Roster!$F:$F,MATCH($C913,Roster!$B:$B,0))="","",INDEX(Roster!$F:$F,MATCH($C913,Roster!$B:$B,0))&amp;""),"—"))</f>
        <v/>
      </c>
      <c r="I913" s="25">
        <f>IF($C913="","",IFERROR(IF(INDEX(Roster!$G:$G,MATCH($C913,Roster!$B:$B,0))="","",INDEX(Roster!$G:$G,MATCH($C913,Roster!$B:$B,0))&amp;""),"—"))</f>
        <v/>
      </c>
      <c r="J913" s="25">
        <f>IF($C913="","",IFERROR(IF(INDEX(Roster!$I:$I,MATCH($C913,Roster!$B:$B,0))="","",INDEX(Roster!$I:$I,MATCH($C913,Roster!$B:$B,0))&amp;""),"—"))</f>
        <v/>
      </c>
      <c r="K913">
        <f>IF($C913="","",IFERROR(IF(INDEX(Roster!$J:$J,MATCH($C913,Roster!$B:$B,0))="","",INDEX(Roster!$J:$J,MATCH($C913,Roster!$B:$B,0))&amp;""),"—"))</f>
        <v/>
      </c>
      <c r="L913">
        <f>IF($C913="","",IFERROR(IF(INDEX(Roster!$K:$K,MATCH($C913,Roster!$B:$B,0))="","",INDEX(Roster!$K:$K,MATCH($C913,Roster!$B:$B,0))&amp;""),"—"))</f>
        <v/>
      </c>
      <c r="M913" s="27" t="n"/>
      <c r="N913" s="27" t="n"/>
      <c r="O913" s="25">
        <f>IF($C913="","",IF($P913="","—",IF($P913="Valid (Pass)","Valid","Invalid")))</f>
        <v/>
      </c>
      <c r="P913" s="27" t="n"/>
      <c r="Q913" s="27" t="n"/>
      <c r="R913" s="27" t="n"/>
      <c r="S913" s="27" t="n"/>
      <c r="T913" s="25">
        <f>IF($C913="","",IF(OR(ISNUMBER(SEARCH("quick case",$P913)),ISNUMBER(SEARCH("quick case",$Q913))),"Yes","No"))</f>
        <v/>
      </c>
      <c r="U913" s="25">
        <f>IF($O913="Invalid",HYPERLINK("mailto:"&amp;$G913&amp;";"&amp;$I913&amp;"?cc="&amp;Lists!$E$2&amp;"&amp;subject="&amp;_xlfn.ENCODEURL("[INVALID] Quality audit monitoring completed for "&amp;UPPER($C913))&amp;"&amp;body="&amp;_xlfn.ENCODEURL("Hi "&amp;$F913&amp;","&amp;CHAR(10)&amp;"Good day!"&amp;CHAR(10)&amp;CHAR(10)&amp;"A quality monitoring audit has been completed for "&amp;$C913&amp;"."&amp;CHAR(10)&amp;CHAR(10)&amp;"QUALITY AUDIT DETAILS"&amp;CHAR(10)&amp;"Agent Name: "&amp;$C913&amp;" (EID "&amp;$D913&amp;")"&amp;CHAR(10)&amp;"Audit Date: "&amp;TEXT($B913,"yyyy-mm-dd")&amp;CHAR(10)&amp;"Team Leader: "&amp;$F913&amp;CHAR(10)&amp;"Case Number: "&amp;$M913&amp;CHAR(10)&amp;"Transaction ID: "&amp;$N913&amp;CHAR(10)&amp;"Channel / LOB: "&amp;$K913&amp;" / "&amp;$L913&amp;CHAR(10)&amp;"Evaluator: "&amp;$S913&amp;CHAR(10)&amp;CHAR(10)&amp;"INVALID QUALITY AUDIT DETAILS"&amp;CHAR(10)&amp;"Validation: Invalid"&amp;CHAR(10)&amp;"Invalid Reason: "&amp;$P913&amp;CHAR(10)&amp;"Expected Resolution Code: "&amp;$Q913&amp;CHAR(10)&amp;"Remarks: "&amp;LEFT($R913,600)&amp;CHAR(10)&amp;CHAR(10)&amp;"This is an automated notification from HP Mainstream EQMS."),"✉ Open Email Draft"),"")</f>
        <v/>
      </c>
    </row>
    <row r="914">
      <c r="A914" s="25">
        <f>IF($C914="","","AUD-2026-"&amp;TEXT(ROW()-1,"000000"))</f>
        <v/>
      </c>
      <c r="B914" s="26" t="n"/>
      <c r="C914" s="27" t="n"/>
      <c r="D914" s="25">
        <f>IF($C914="","",IFERROR(IF(INDEX(Roster!$A:$A,MATCH($C914,Roster!$B:$B,0))="","",INDEX(Roster!$A:$A,MATCH($C914,Roster!$B:$B,0))&amp;""),"—"))</f>
        <v/>
      </c>
      <c r="E914" s="25">
        <f>IF($C914="","",IFERROR(IF(INDEX(Roster!$C:$C,MATCH($C914,Roster!$B:$B,0))="","",INDEX(Roster!$C:$C,MATCH($C914,Roster!$B:$B,0))&amp;""),"—"))</f>
        <v/>
      </c>
      <c r="F914" s="25">
        <f>IF($C914="","",IFERROR(IF(INDEX(Roster!$D:$D,MATCH($C914,Roster!$B:$B,0))="","",INDEX(Roster!$D:$D,MATCH($C914,Roster!$B:$B,0))&amp;""),"—"))</f>
        <v/>
      </c>
      <c r="G914" s="25">
        <f>IF($C914="","",IFERROR(IF(INDEX(Roster!$E:$E,MATCH($C914,Roster!$B:$B,0))="","",INDEX(Roster!$E:$E,MATCH($C914,Roster!$B:$B,0))&amp;""),"—"))</f>
        <v/>
      </c>
      <c r="H914" s="25">
        <f>IF($C914="","",IFERROR(IF(INDEX(Roster!$F:$F,MATCH($C914,Roster!$B:$B,0))="","",INDEX(Roster!$F:$F,MATCH($C914,Roster!$B:$B,0))&amp;""),"—"))</f>
        <v/>
      </c>
      <c r="I914" s="25">
        <f>IF($C914="","",IFERROR(IF(INDEX(Roster!$G:$G,MATCH($C914,Roster!$B:$B,0))="","",INDEX(Roster!$G:$G,MATCH($C914,Roster!$B:$B,0))&amp;""),"—"))</f>
        <v/>
      </c>
      <c r="J914" s="25">
        <f>IF($C914="","",IFERROR(IF(INDEX(Roster!$I:$I,MATCH($C914,Roster!$B:$B,0))="","",INDEX(Roster!$I:$I,MATCH($C914,Roster!$B:$B,0))&amp;""),"—"))</f>
        <v/>
      </c>
      <c r="K914">
        <f>IF($C914="","",IFERROR(IF(INDEX(Roster!$J:$J,MATCH($C914,Roster!$B:$B,0))="","",INDEX(Roster!$J:$J,MATCH($C914,Roster!$B:$B,0))&amp;""),"—"))</f>
        <v/>
      </c>
      <c r="L914">
        <f>IF($C914="","",IFERROR(IF(INDEX(Roster!$K:$K,MATCH($C914,Roster!$B:$B,0))="","",INDEX(Roster!$K:$K,MATCH($C914,Roster!$B:$B,0))&amp;""),"—"))</f>
        <v/>
      </c>
      <c r="M914" s="27" t="n"/>
      <c r="N914" s="27" t="n"/>
      <c r="O914" s="25">
        <f>IF($C914="","",IF($P914="","—",IF($P914="Valid (Pass)","Valid","Invalid")))</f>
        <v/>
      </c>
      <c r="P914" s="27" t="n"/>
      <c r="Q914" s="27" t="n"/>
      <c r="R914" s="27" t="n"/>
      <c r="S914" s="27" t="n"/>
      <c r="T914" s="25">
        <f>IF($C914="","",IF(OR(ISNUMBER(SEARCH("quick case",$P914)),ISNUMBER(SEARCH("quick case",$Q914))),"Yes","No"))</f>
        <v/>
      </c>
      <c r="U914" s="25">
        <f>IF($O914="Invalid",HYPERLINK("mailto:"&amp;$G914&amp;";"&amp;$I914&amp;"?cc="&amp;Lists!$E$2&amp;"&amp;subject="&amp;_xlfn.ENCODEURL("[INVALID] Quality audit monitoring completed for "&amp;UPPER($C914))&amp;"&amp;body="&amp;_xlfn.ENCODEURL("Hi "&amp;$F914&amp;","&amp;CHAR(10)&amp;"Good day!"&amp;CHAR(10)&amp;CHAR(10)&amp;"A quality monitoring audit has been completed for "&amp;$C914&amp;"."&amp;CHAR(10)&amp;CHAR(10)&amp;"QUALITY AUDIT DETAILS"&amp;CHAR(10)&amp;"Agent Name: "&amp;$C914&amp;" (EID "&amp;$D914&amp;")"&amp;CHAR(10)&amp;"Audit Date: "&amp;TEXT($B914,"yyyy-mm-dd")&amp;CHAR(10)&amp;"Team Leader: "&amp;$F914&amp;CHAR(10)&amp;"Case Number: "&amp;$M914&amp;CHAR(10)&amp;"Transaction ID: "&amp;$N914&amp;CHAR(10)&amp;"Channel / LOB: "&amp;$K914&amp;" / "&amp;$L914&amp;CHAR(10)&amp;"Evaluator: "&amp;$S914&amp;CHAR(10)&amp;CHAR(10)&amp;"INVALID QUALITY AUDIT DETAILS"&amp;CHAR(10)&amp;"Validation: Invalid"&amp;CHAR(10)&amp;"Invalid Reason: "&amp;$P914&amp;CHAR(10)&amp;"Expected Resolution Code: "&amp;$Q914&amp;CHAR(10)&amp;"Remarks: "&amp;LEFT($R914,600)&amp;CHAR(10)&amp;CHAR(10)&amp;"This is an automated notification from HP Mainstream EQMS."),"✉ Open Email Draft"),"")</f>
        <v/>
      </c>
    </row>
    <row r="915">
      <c r="A915" s="25">
        <f>IF($C915="","","AUD-2026-"&amp;TEXT(ROW()-1,"000000"))</f>
        <v/>
      </c>
      <c r="B915" s="26" t="n"/>
      <c r="C915" s="27" t="n"/>
      <c r="D915" s="25">
        <f>IF($C915="","",IFERROR(IF(INDEX(Roster!$A:$A,MATCH($C915,Roster!$B:$B,0))="","",INDEX(Roster!$A:$A,MATCH($C915,Roster!$B:$B,0))&amp;""),"—"))</f>
        <v/>
      </c>
      <c r="E915" s="25">
        <f>IF($C915="","",IFERROR(IF(INDEX(Roster!$C:$C,MATCH($C915,Roster!$B:$B,0))="","",INDEX(Roster!$C:$C,MATCH($C915,Roster!$B:$B,0))&amp;""),"—"))</f>
        <v/>
      </c>
      <c r="F915" s="25">
        <f>IF($C915="","",IFERROR(IF(INDEX(Roster!$D:$D,MATCH($C915,Roster!$B:$B,0))="","",INDEX(Roster!$D:$D,MATCH($C915,Roster!$B:$B,0))&amp;""),"—"))</f>
        <v/>
      </c>
      <c r="G915" s="25">
        <f>IF($C915="","",IFERROR(IF(INDEX(Roster!$E:$E,MATCH($C915,Roster!$B:$B,0))="","",INDEX(Roster!$E:$E,MATCH($C915,Roster!$B:$B,0))&amp;""),"—"))</f>
        <v/>
      </c>
      <c r="H915" s="25">
        <f>IF($C915="","",IFERROR(IF(INDEX(Roster!$F:$F,MATCH($C915,Roster!$B:$B,0))="","",INDEX(Roster!$F:$F,MATCH($C915,Roster!$B:$B,0))&amp;""),"—"))</f>
        <v/>
      </c>
      <c r="I915" s="25">
        <f>IF($C915="","",IFERROR(IF(INDEX(Roster!$G:$G,MATCH($C915,Roster!$B:$B,0))="","",INDEX(Roster!$G:$G,MATCH($C915,Roster!$B:$B,0))&amp;""),"—"))</f>
        <v/>
      </c>
      <c r="J915" s="25">
        <f>IF($C915="","",IFERROR(IF(INDEX(Roster!$I:$I,MATCH($C915,Roster!$B:$B,0))="","",INDEX(Roster!$I:$I,MATCH($C915,Roster!$B:$B,0))&amp;""),"—"))</f>
        <v/>
      </c>
      <c r="K915">
        <f>IF($C915="","",IFERROR(IF(INDEX(Roster!$J:$J,MATCH($C915,Roster!$B:$B,0))="","",INDEX(Roster!$J:$J,MATCH($C915,Roster!$B:$B,0))&amp;""),"—"))</f>
        <v/>
      </c>
      <c r="L915">
        <f>IF($C915="","",IFERROR(IF(INDEX(Roster!$K:$K,MATCH($C915,Roster!$B:$B,0))="","",INDEX(Roster!$K:$K,MATCH($C915,Roster!$B:$B,0))&amp;""),"—"))</f>
        <v/>
      </c>
      <c r="M915" s="27" t="n"/>
      <c r="N915" s="27" t="n"/>
      <c r="O915" s="25">
        <f>IF($C915="","",IF($P915="","—",IF($P915="Valid (Pass)","Valid","Invalid")))</f>
        <v/>
      </c>
      <c r="P915" s="27" t="n"/>
      <c r="Q915" s="27" t="n"/>
      <c r="R915" s="27" t="n"/>
      <c r="S915" s="27" t="n"/>
      <c r="T915" s="25">
        <f>IF($C915="","",IF(OR(ISNUMBER(SEARCH("quick case",$P915)),ISNUMBER(SEARCH("quick case",$Q915))),"Yes","No"))</f>
        <v/>
      </c>
      <c r="U915" s="25">
        <f>IF($O915="Invalid",HYPERLINK("mailto:"&amp;$G915&amp;";"&amp;$I915&amp;"?cc="&amp;Lists!$E$2&amp;"&amp;subject="&amp;_xlfn.ENCODEURL("[INVALID] Quality audit monitoring completed for "&amp;UPPER($C915))&amp;"&amp;body="&amp;_xlfn.ENCODEURL("Hi "&amp;$F915&amp;","&amp;CHAR(10)&amp;"Good day!"&amp;CHAR(10)&amp;CHAR(10)&amp;"A quality monitoring audit has been completed for "&amp;$C915&amp;"."&amp;CHAR(10)&amp;CHAR(10)&amp;"QUALITY AUDIT DETAILS"&amp;CHAR(10)&amp;"Agent Name: "&amp;$C915&amp;" (EID "&amp;$D915&amp;")"&amp;CHAR(10)&amp;"Audit Date: "&amp;TEXT($B915,"yyyy-mm-dd")&amp;CHAR(10)&amp;"Team Leader: "&amp;$F915&amp;CHAR(10)&amp;"Case Number: "&amp;$M915&amp;CHAR(10)&amp;"Transaction ID: "&amp;$N915&amp;CHAR(10)&amp;"Channel / LOB: "&amp;$K915&amp;" / "&amp;$L915&amp;CHAR(10)&amp;"Evaluator: "&amp;$S915&amp;CHAR(10)&amp;CHAR(10)&amp;"INVALID QUALITY AUDIT DETAILS"&amp;CHAR(10)&amp;"Validation: Invalid"&amp;CHAR(10)&amp;"Invalid Reason: "&amp;$P915&amp;CHAR(10)&amp;"Expected Resolution Code: "&amp;$Q915&amp;CHAR(10)&amp;"Remarks: "&amp;LEFT($R915,600)&amp;CHAR(10)&amp;CHAR(10)&amp;"This is an automated notification from HP Mainstream EQMS."),"✉ Open Email Draft"),"")</f>
        <v/>
      </c>
    </row>
    <row r="916">
      <c r="A916" s="25">
        <f>IF($C916="","","AUD-2026-"&amp;TEXT(ROW()-1,"000000"))</f>
        <v/>
      </c>
      <c r="B916" s="26" t="n"/>
      <c r="C916" s="27" t="n"/>
      <c r="D916" s="25">
        <f>IF($C916="","",IFERROR(IF(INDEX(Roster!$A:$A,MATCH($C916,Roster!$B:$B,0))="","",INDEX(Roster!$A:$A,MATCH($C916,Roster!$B:$B,0))&amp;""),"—"))</f>
        <v/>
      </c>
      <c r="E916" s="25">
        <f>IF($C916="","",IFERROR(IF(INDEX(Roster!$C:$C,MATCH($C916,Roster!$B:$B,0))="","",INDEX(Roster!$C:$C,MATCH($C916,Roster!$B:$B,0))&amp;""),"—"))</f>
        <v/>
      </c>
      <c r="F916" s="25">
        <f>IF($C916="","",IFERROR(IF(INDEX(Roster!$D:$D,MATCH($C916,Roster!$B:$B,0))="","",INDEX(Roster!$D:$D,MATCH($C916,Roster!$B:$B,0))&amp;""),"—"))</f>
        <v/>
      </c>
      <c r="G916" s="25">
        <f>IF($C916="","",IFERROR(IF(INDEX(Roster!$E:$E,MATCH($C916,Roster!$B:$B,0))="","",INDEX(Roster!$E:$E,MATCH($C916,Roster!$B:$B,0))&amp;""),"—"))</f>
        <v/>
      </c>
      <c r="H916" s="25">
        <f>IF($C916="","",IFERROR(IF(INDEX(Roster!$F:$F,MATCH($C916,Roster!$B:$B,0))="","",INDEX(Roster!$F:$F,MATCH($C916,Roster!$B:$B,0))&amp;""),"—"))</f>
        <v/>
      </c>
      <c r="I916" s="25">
        <f>IF($C916="","",IFERROR(IF(INDEX(Roster!$G:$G,MATCH($C916,Roster!$B:$B,0))="","",INDEX(Roster!$G:$G,MATCH($C916,Roster!$B:$B,0))&amp;""),"—"))</f>
        <v/>
      </c>
      <c r="J916" s="25">
        <f>IF($C916="","",IFERROR(IF(INDEX(Roster!$I:$I,MATCH($C916,Roster!$B:$B,0))="","",INDEX(Roster!$I:$I,MATCH($C916,Roster!$B:$B,0))&amp;""),"—"))</f>
        <v/>
      </c>
      <c r="K916">
        <f>IF($C916="","",IFERROR(IF(INDEX(Roster!$J:$J,MATCH($C916,Roster!$B:$B,0))="","",INDEX(Roster!$J:$J,MATCH($C916,Roster!$B:$B,0))&amp;""),"—"))</f>
        <v/>
      </c>
      <c r="L916">
        <f>IF($C916="","",IFERROR(IF(INDEX(Roster!$K:$K,MATCH($C916,Roster!$B:$B,0))="","",INDEX(Roster!$K:$K,MATCH($C916,Roster!$B:$B,0))&amp;""),"—"))</f>
        <v/>
      </c>
      <c r="M916" s="27" t="n"/>
      <c r="N916" s="27" t="n"/>
      <c r="O916" s="25">
        <f>IF($C916="","",IF($P916="","—",IF($P916="Valid (Pass)","Valid","Invalid")))</f>
        <v/>
      </c>
      <c r="P916" s="27" t="n"/>
      <c r="Q916" s="27" t="n"/>
      <c r="R916" s="27" t="n"/>
      <c r="S916" s="27" t="n"/>
      <c r="T916" s="25">
        <f>IF($C916="","",IF(OR(ISNUMBER(SEARCH("quick case",$P916)),ISNUMBER(SEARCH("quick case",$Q916))),"Yes","No"))</f>
        <v/>
      </c>
      <c r="U916" s="25">
        <f>IF($O916="Invalid",HYPERLINK("mailto:"&amp;$G916&amp;";"&amp;$I916&amp;"?cc="&amp;Lists!$E$2&amp;"&amp;subject="&amp;_xlfn.ENCODEURL("[INVALID] Quality audit monitoring completed for "&amp;UPPER($C916))&amp;"&amp;body="&amp;_xlfn.ENCODEURL("Hi "&amp;$F916&amp;","&amp;CHAR(10)&amp;"Good day!"&amp;CHAR(10)&amp;CHAR(10)&amp;"A quality monitoring audit has been completed for "&amp;$C916&amp;"."&amp;CHAR(10)&amp;CHAR(10)&amp;"QUALITY AUDIT DETAILS"&amp;CHAR(10)&amp;"Agent Name: "&amp;$C916&amp;" (EID "&amp;$D916&amp;")"&amp;CHAR(10)&amp;"Audit Date: "&amp;TEXT($B916,"yyyy-mm-dd")&amp;CHAR(10)&amp;"Team Leader: "&amp;$F916&amp;CHAR(10)&amp;"Case Number: "&amp;$M916&amp;CHAR(10)&amp;"Transaction ID: "&amp;$N916&amp;CHAR(10)&amp;"Channel / LOB: "&amp;$K916&amp;" / "&amp;$L916&amp;CHAR(10)&amp;"Evaluator: "&amp;$S916&amp;CHAR(10)&amp;CHAR(10)&amp;"INVALID QUALITY AUDIT DETAILS"&amp;CHAR(10)&amp;"Validation: Invalid"&amp;CHAR(10)&amp;"Invalid Reason: "&amp;$P916&amp;CHAR(10)&amp;"Expected Resolution Code: "&amp;$Q916&amp;CHAR(10)&amp;"Remarks: "&amp;LEFT($R916,600)&amp;CHAR(10)&amp;CHAR(10)&amp;"This is an automated notification from HP Mainstream EQMS."),"✉ Open Email Draft"),"")</f>
        <v/>
      </c>
    </row>
    <row r="917">
      <c r="A917" s="25">
        <f>IF($C917="","","AUD-2026-"&amp;TEXT(ROW()-1,"000000"))</f>
        <v/>
      </c>
      <c r="B917" s="26" t="n"/>
      <c r="C917" s="27" t="n"/>
      <c r="D917" s="25">
        <f>IF($C917="","",IFERROR(IF(INDEX(Roster!$A:$A,MATCH($C917,Roster!$B:$B,0))="","",INDEX(Roster!$A:$A,MATCH($C917,Roster!$B:$B,0))&amp;""),"—"))</f>
        <v/>
      </c>
      <c r="E917" s="25">
        <f>IF($C917="","",IFERROR(IF(INDEX(Roster!$C:$C,MATCH($C917,Roster!$B:$B,0))="","",INDEX(Roster!$C:$C,MATCH($C917,Roster!$B:$B,0))&amp;""),"—"))</f>
        <v/>
      </c>
      <c r="F917" s="25">
        <f>IF($C917="","",IFERROR(IF(INDEX(Roster!$D:$D,MATCH($C917,Roster!$B:$B,0))="","",INDEX(Roster!$D:$D,MATCH($C917,Roster!$B:$B,0))&amp;""),"—"))</f>
        <v/>
      </c>
      <c r="G917" s="25">
        <f>IF($C917="","",IFERROR(IF(INDEX(Roster!$E:$E,MATCH($C917,Roster!$B:$B,0))="","",INDEX(Roster!$E:$E,MATCH($C917,Roster!$B:$B,0))&amp;""),"—"))</f>
        <v/>
      </c>
      <c r="H917" s="25">
        <f>IF($C917="","",IFERROR(IF(INDEX(Roster!$F:$F,MATCH($C917,Roster!$B:$B,0))="","",INDEX(Roster!$F:$F,MATCH($C917,Roster!$B:$B,0))&amp;""),"—"))</f>
        <v/>
      </c>
      <c r="I917" s="25">
        <f>IF($C917="","",IFERROR(IF(INDEX(Roster!$G:$G,MATCH($C917,Roster!$B:$B,0))="","",INDEX(Roster!$G:$G,MATCH($C917,Roster!$B:$B,0))&amp;""),"—"))</f>
        <v/>
      </c>
      <c r="J917" s="25">
        <f>IF($C917="","",IFERROR(IF(INDEX(Roster!$I:$I,MATCH($C917,Roster!$B:$B,0))="","",INDEX(Roster!$I:$I,MATCH($C917,Roster!$B:$B,0))&amp;""),"—"))</f>
        <v/>
      </c>
      <c r="K917">
        <f>IF($C917="","",IFERROR(IF(INDEX(Roster!$J:$J,MATCH($C917,Roster!$B:$B,0))="","",INDEX(Roster!$J:$J,MATCH($C917,Roster!$B:$B,0))&amp;""),"—"))</f>
        <v/>
      </c>
      <c r="L917">
        <f>IF($C917="","",IFERROR(IF(INDEX(Roster!$K:$K,MATCH($C917,Roster!$B:$B,0))="","",INDEX(Roster!$K:$K,MATCH($C917,Roster!$B:$B,0))&amp;""),"—"))</f>
        <v/>
      </c>
      <c r="M917" s="27" t="n"/>
      <c r="N917" s="27" t="n"/>
      <c r="O917" s="25">
        <f>IF($C917="","",IF($P917="","—",IF($P917="Valid (Pass)","Valid","Invalid")))</f>
        <v/>
      </c>
      <c r="P917" s="27" t="n"/>
      <c r="Q917" s="27" t="n"/>
      <c r="R917" s="27" t="n"/>
      <c r="S917" s="27" t="n"/>
      <c r="T917" s="25">
        <f>IF($C917="","",IF(OR(ISNUMBER(SEARCH("quick case",$P917)),ISNUMBER(SEARCH("quick case",$Q917))),"Yes","No"))</f>
        <v/>
      </c>
      <c r="U917" s="25">
        <f>IF($O917="Invalid",HYPERLINK("mailto:"&amp;$G917&amp;";"&amp;$I917&amp;"?cc="&amp;Lists!$E$2&amp;"&amp;subject="&amp;_xlfn.ENCODEURL("[INVALID] Quality audit monitoring completed for "&amp;UPPER($C917))&amp;"&amp;body="&amp;_xlfn.ENCODEURL("Hi "&amp;$F917&amp;","&amp;CHAR(10)&amp;"Good day!"&amp;CHAR(10)&amp;CHAR(10)&amp;"A quality monitoring audit has been completed for "&amp;$C917&amp;"."&amp;CHAR(10)&amp;CHAR(10)&amp;"QUALITY AUDIT DETAILS"&amp;CHAR(10)&amp;"Agent Name: "&amp;$C917&amp;" (EID "&amp;$D917&amp;")"&amp;CHAR(10)&amp;"Audit Date: "&amp;TEXT($B917,"yyyy-mm-dd")&amp;CHAR(10)&amp;"Team Leader: "&amp;$F917&amp;CHAR(10)&amp;"Case Number: "&amp;$M917&amp;CHAR(10)&amp;"Transaction ID: "&amp;$N917&amp;CHAR(10)&amp;"Channel / LOB: "&amp;$K917&amp;" / "&amp;$L917&amp;CHAR(10)&amp;"Evaluator: "&amp;$S917&amp;CHAR(10)&amp;CHAR(10)&amp;"INVALID QUALITY AUDIT DETAILS"&amp;CHAR(10)&amp;"Validation: Invalid"&amp;CHAR(10)&amp;"Invalid Reason: "&amp;$P917&amp;CHAR(10)&amp;"Expected Resolution Code: "&amp;$Q917&amp;CHAR(10)&amp;"Remarks: "&amp;LEFT($R917,600)&amp;CHAR(10)&amp;CHAR(10)&amp;"This is an automated notification from HP Mainstream EQMS."),"✉ Open Email Draft"),"")</f>
        <v/>
      </c>
    </row>
    <row r="918">
      <c r="A918" s="25">
        <f>IF($C918="","","AUD-2026-"&amp;TEXT(ROW()-1,"000000"))</f>
        <v/>
      </c>
      <c r="B918" s="26" t="n"/>
      <c r="C918" s="27" t="n"/>
      <c r="D918" s="25">
        <f>IF($C918="","",IFERROR(IF(INDEX(Roster!$A:$A,MATCH($C918,Roster!$B:$B,0))="","",INDEX(Roster!$A:$A,MATCH($C918,Roster!$B:$B,0))&amp;""),"—"))</f>
        <v/>
      </c>
      <c r="E918" s="25">
        <f>IF($C918="","",IFERROR(IF(INDEX(Roster!$C:$C,MATCH($C918,Roster!$B:$B,0))="","",INDEX(Roster!$C:$C,MATCH($C918,Roster!$B:$B,0))&amp;""),"—"))</f>
        <v/>
      </c>
      <c r="F918" s="25">
        <f>IF($C918="","",IFERROR(IF(INDEX(Roster!$D:$D,MATCH($C918,Roster!$B:$B,0))="","",INDEX(Roster!$D:$D,MATCH($C918,Roster!$B:$B,0))&amp;""),"—"))</f>
        <v/>
      </c>
      <c r="G918" s="25">
        <f>IF($C918="","",IFERROR(IF(INDEX(Roster!$E:$E,MATCH($C918,Roster!$B:$B,0))="","",INDEX(Roster!$E:$E,MATCH($C918,Roster!$B:$B,0))&amp;""),"—"))</f>
        <v/>
      </c>
      <c r="H918" s="25">
        <f>IF($C918="","",IFERROR(IF(INDEX(Roster!$F:$F,MATCH($C918,Roster!$B:$B,0))="","",INDEX(Roster!$F:$F,MATCH($C918,Roster!$B:$B,0))&amp;""),"—"))</f>
        <v/>
      </c>
      <c r="I918" s="25">
        <f>IF($C918="","",IFERROR(IF(INDEX(Roster!$G:$G,MATCH($C918,Roster!$B:$B,0))="","",INDEX(Roster!$G:$G,MATCH($C918,Roster!$B:$B,0))&amp;""),"—"))</f>
        <v/>
      </c>
      <c r="J918" s="25">
        <f>IF($C918="","",IFERROR(IF(INDEX(Roster!$I:$I,MATCH($C918,Roster!$B:$B,0))="","",INDEX(Roster!$I:$I,MATCH($C918,Roster!$B:$B,0))&amp;""),"—"))</f>
        <v/>
      </c>
      <c r="K918">
        <f>IF($C918="","",IFERROR(IF(INDEX(Roster!$J:$J,MATCH($C918,Roster!$B:$B,0))="","",INDEX(Roster!$J:$J,MATCH($C918,Roster!$B:$B,0))&amp;""),"—"))</f>
        <v/>
      </c>
      <c r="L918">
        <f>IF($C918="","",IFERROR(IF(INDEX(Roster!$K:$K,MATCH($C918,Roster!$B:$B,0))="","",INDEX(Roster!$K:$K,MATCH($C918,Roster!$B:$B,0))&amp;""),"—"))</f>
        <v/>
      </c>
      <c r="M918" s="27" t="n"/>
      <c r="N918" s="27" t="n"/>
      <c r="O918" s="25">
        <f>IF($C918="","",IF($P918="","—",IF($P918="Valid (Pass)","Valid","Invalid")))</f>
        <v/>
      </c>
      <c r="P918" s="27" t="n"/>
      <c r="Q918" s="27" t="n"/>
      <c r="R918" s="27" t="n"/>
      <c r="S918" s="27" t="n"/>
      <c r="T918" s="25">
        <f>IF($C918="","",IF(OR(ISNUMBER(SEARCH("quick case",$P918)),ISNUMBER(SEARCH("quick case",$Q918))),"Yes","No"))</f>
        <v/>
      </c>
      <c r="U918" s="25">
        <f>IF($O918="Invalid",HYPERLINK("mailto:"&amp;$G918&amp;";"&amp;$I918&amp;"?cc="&amp;Lists!$E$2&amp;"&amp;subject="&amp;_xlfn.ENCODEURL("[INVALID] Quality audit monitoring completed for "&amp;UPPER($C918))&amp;"&amp;body="&amp;_xlfn.ENCODEURL("Hi "&amp;$F918&amp;","&amp;CHAR(10)&amp;"Good day!"&amp;CHAR(10)&amp;CHAR(10)&amp;"A quality monitoring audit has been completed for "&amp;$C918&amp;"."&amp;CHAR(10)&amp;CHAR(10)&amp;"QUALITY AUDIT DETAILS"&amp;CHAR(10)&amp;"Agent Name: "&amp;$C918&amp;" (EID "&amp;$D918&amp;")"&amp;CHAR(10)&amp;"Audit Date: "&amp;TEXT($B918,"yyyy-mm-dd")&amp;CHAR(10)&amp;"Team Leader: "&amp;$F918&amp;CHAR(10)&amp;"Case Number: "&amp;$M918&amp;CHAR(10)&amp;"Transaction ID: "&amp;$N918&amp;CHAR(10)&amp;"Channel / LOB: "&amp;$K918&amp;" / "&amp;$L918&amp;CHAR(10)&amp;"Evaluator: "&amp;$S918&amp;CHAR(10)&amp;CHAR(10)&amp;"INVALID QUALITY AUDIT DETAILS"&amp;CHAR(10)&amp;"Validation: Invalid"&amp;CHAR(10)&amp;"Invalid Reason: "&amp;$P918&amp;CHAR(10)&amp;"Expected Resolution Code: "&amp;$Q918&amp;CHAR(10)&amp;"Remarks: "&amp;LEFT($R918,600)&amp;CHAR(10)&amp;CHAR(10)&amp;"This is an automated notification from HP Mainstream EQMS."),"✉ Open Email Draft"),"")</f>
        <v/>
      </c>
    </row>
    <row r="919">
      <c r="A919" s="25">
        <f>IF($C919="","","AUD-2026-"&amp;TEXT(ROW()-1,"000000"))</f>
        <v/>
      </c>
      <c r="B919" s="26" t="n"/>
      <c r="C919" s="27" t="n"/>
      <c r="D919" s="25">
        <f>IF($C919="","",IFERROR(IF(INDEX(Roster!$A:$A,MATCH($C919,Roster!$B:$B,0))="","",INDEX(Roster!$A:$A,MATCH($C919,Roster!$B:$B,0))&amp;""),"—"))</f>
        <v/>
      </c>
      <c r="E919" s="25">
        <f>IF($C919="","",IFERROR(IF(INDEX(Roster!$C:$C,MATCH($C919,Roster!$B:$B,0))="","",INDEX(Roster!$C:$C,MATCH($C919,Roster!$B:$B,0))&amp;""),"—"))</f>
        <v/>
      </c>
      <c r="F919" s="25">
        <f>IF($C919="","",IFERROR(IF(INDEX(Roster!$D:$D,MATCH($C919,Roster!$B:$B,0))="","",INDEX(Roster!$D:$D,MATCH($C919,Roster!$B:$B,0))&amp;""),"—"))</f>
        <v/>
      </c>
      <c r="G919" s="25">
        <f>IF($C919="","",IFERROR(IF(INDEX(Roster!$E:$E,MATCH($C919,Roster!$B:$B,0))="","",INDEX(Roster!$E:$E,MATCH($C919,Roster!$B:$B,0))&amp;""),"—"))</f>
        <v/>
      </c>
      <c r="H919" s="25">
        <f>IF($C919="","",IFERROR(IF(INDEX(Roster!$F:$F,MATCH($C919,Roster!$B:$B,0))="","",INDEX(Roster!$F:$F,MATCH($C919,Roster!$B:$B,0))&amp;""),"—"))</f>
        <v/>
      </c>
      <c r="I919" s="25">
        <f>IF($C919="","",IFERROR(IF(INDEX(Roster!$G:$G,MATCH($C919,Roster!$B:$B,0))="","",INDEX(Roster!$G:$G,MATCH($C919,Roster!$B:$B,0))&amp;""),"—"))</f>
        <v/>
      </c>
      <c r="J919" s="25">
        <f>IF($C919="","",IFERROR(IF(INDEX(Roster!$I:$I,MATCH($C919,Roster!$B:$B,0))="","",INDEX(Roster!$I:$I,MATCH($C919,Roster!$B:$B,0))&amp;""),"—"))</f>
        <v/>
      </c>
      <c r="K919">
        <f>IF($C919="","",IFERROR(IF(INDEX(Roster!$J:$J,MATCH($C919,Roster!$B:$B,0))="","",INDEX(Roster!$J:$J,MATCH($C919,Roster!$B:$B,0))&amp;""),"—"))</f>
        <v/>
      </c>
      <c r="L919">
        <f>IF($C919="","",IFERROR(IF(INDEX(Roster!$K:$K,MATCH($C919,Roster!$B:$B,0))="","",INDEX(Roster!$K:$K,MATCH($C919,Roster!$B:$B,0))&amp;""),"—"))</f>
        <v/>
      </c>
      <c r="M919" s="27" t="n"/>
      <c r="N919" s="27" t="n"/>
      <c r="O919" s="25">
        <f>IF($C919="","",IF($P919="","—",IF($P919="Valid (Pass)","Valid","Invalid")))</f>
        <v/>
      </c>
      <c r="P919" s="27" t="n"/>
      <c r="Q919" s="27" t="n"/>
      <c r="R919" s="27" t="n"/>
      <c r="S919" s="27" t="n"/>
      <c r="T919" s="25">
        <f>IF($C919="","",IF(OR(ISNUMBER(SEARCH("quick case",$P919)),ISNUMBER(SEARCH("quick case",$Q919))),"Yes","No"))</f>
        <v/>
      </c>
      <c r="U919" s="25">
        <f>IF($O919="Invalid",HYPERLINK("mailto:"&amp;$G919&amp;";"&amp;$I919&amp;"?cc="&amp;Lists!$E$2&amp;"&amp;subject="&amp;_xlfn.ENCODEURL("[INVALID] Quality audit monitoring completed for "&amp;UPPER($C919))&amp;"&amp;body="&amp;_xlfn.ENCODEURL("Hi "&amp;$F919&amp;","&amp;CHAR(10)&amp;"Good day!"&amp;CHAR(10)&amp;CHAR(10)&amp;"A quality monitoring audit has been completed for "&amp;$C919&amp;"."&amp;CHAR(10)&amp;CHAR(10)&amp;"QUALITY AUDIT DETAILS"&amp;CHAR(10)&amp;"Agent Name: "&amp;$C919&amp;" (EID "&amp;$D919&amp;")"&amp;CHAR(10)&amp;"Audit Date: "&amp;TEXT($B919,"yyyy-mm-dd")&amp;CHAR(10)&amp;"Team Leader: "&amp;$F919&amp;CHAR(10)&amp;"Case Number: "&amp;$M919&amp;CHAR(10)&amp;"Transaction ID: "&amp;$N919&amp;CHAR(10)&amp;"Channel / LOB: "&amp;$K919&amp;" / "&amp;$L919&amp;CHAR(10)&amp;"Evaluator: "&amp;$S919&amp;CHAR(10)&amp;CHAR(10)&amp;"INVALID QUALITY AUDIT DETAILS"&amp;CHAR(10)&amp;"Validation: Invalid"&amp;CHAR(10)&amp;"Invalid Reason: "&amp;$P919&amp;CHAR(10)&amp;"Expected Resolution Code: "&amp;$Q919&amp;CHAR(10)&amp;"Remarks: "&amp;LEFT($R919,600)&amp;CHAR(10)&amp;CHAR(10)&amp;"This is an automated notification from HP Mainstream EQMS."),"✉ Open Email Draft"),"")</f>
        <v/>
      </c>
    </row>
    <row r="920">
      <c r="A920" s="25">
        <f>IF($C920="","","AUD-2026-"&amp;TEXT(ROW()-1,"000000"))</f>
        <v/>
      </c>
      <c r="B920" s="26" t="n"/>
      <c r="C920" s="27" t="n"/>
      <c r="D920" s="25">
        <f>IF($C920="","",IFERROR(IF(INDEX(Roster!$A:$A,MATCH($C920,Roster!$B:$B,0))="","",INDEX(Roster!$A:$A,MATCH($C920,Roster!$B:$B,0))&amp;""),"—"))</f>
        <v/>
      </c>
      <c r="E920" s="25">
        <f>IF($C920="","",IFERROR(IF(INDEX(Roster!$C:$C,MATCH($C920,Roster!$B:$B,0))="","",INDEX(Roster!$C:$C,MATCH($C920,Roster!$B:$B,0))&amp;""),"—"))</f>
        <v/>
      </c>
      <c r="F920" s="25">
        <f>IF($C920="","",IFERROR(IF(INDEX(Roster!$D:$D,MATCH($C920,Roster!$B:$B,0))="","",INDEX(Roster!$D:$D,MATCH($C920,Roster!$B:$B,0))&amp;""),"—"))</f>
        <v/>
      </c>
      <c r="G920" s="25">
        <f>IF($C920="","",IFERROR(IF(INDEX(Roster!$E:$E,MATCH($C920,Roster!$B:$B,0))="","",INDEX(Roster!$E:$E,MATCH($C920,Roster!$B:$B,0))&amp;""),"—"))</f>
        <v/>
      </c>
      <c r="H920" s="25">
        <f>IF($C920="","",IFERROR(IF(INDEX(Roster!$F:$F,MATCH($C920,Roster!$B:$B,0))="","",INDEX(Roster!$F:$F,MATCH($C920,Roster!$B:$B,0))&amp;""),"—"))</f>
        <v/>
      </c>
      <c r="I920" s="25">
        <f>IF($C920="","",IFERROR(IF(INDEX(Roster!$G:$G,MATCH($C920,Roster!$B:$B,0))="","",INDEX(Roster!$G:$G,MATCH($C920,Roster!$B:$B,0))&amp;""),"—"))</f>
        <v/>
      </c>
      <c r="J920" s="25">
        <f>IF($C920="","",IFERROR(IF(INDEX(Roster!$I:$I,MATCH($C920,Roster!$B:$B,0))="","",INDEX(Roster!$I:$I,MATCH($C920,Roster!$B:$B,0))&amp;""),"—"))</f>
        <v/>
      </c>
      <c r="K920">
        <f>IF($C920="","",IFERROR(IF(INDEX(Roster!$J:$J,MATCH($C920,Roster!$B:$B,0))="","",INDEX(Roster!$J:$J,MATCH($C920,Roster!$B:$B,0))&amp;""),"—"))</f>
        <v/>
      </c>
      <c r="L920">
        <f>IF($C920="","",IFERROR(IF(INDEX(Roster!$K:$K,MATCH($C920,Roster!$B:$B,0))="","",INDEX(Roster!$K:$K,MATCH($C920,Roster!$B:$B,0))&amp;""),"—"))</f>
        <v/>
      </c>
      <c r="M920" s="27" t="n"/>
      <c r="N920" s="27" t="n"/>
      <c r="O920" s="25">
        <f>IF($C920="","",IF($P920="","—",IF($P920="Valid (Pass)","Valid","Invalid")))</f>
        <v/>
      </c>
      <c r="P920" s="27" t="n"/>
      <c r="Q920" s="27" t="n"/>
      <c r="R920" s="27" t="n"/>
      <c r="S920" s="27" t="n"/>
      <c r="T920" s="25">
        <f>IF($C920="","",IF(OR(ISNUMBER(SEARCH("quick case",$P920)),ISNUMBER(SEARCH("quick case",$Q920))),"Yes","No"))</f>
        <v/>
      </c>
      <c r="U920" s="25">
        <f>IF($O920="Invalid",HYPERLINK("mailto:"&amp;$G920&amp;";"&amp;$I920&amp;"?cc="&amp;Lists!$E$2&amp;"&amp;subject="&amp;_xlfn.ENCODEURL("[INVALID] Quality audit monitoring completed for "&amp;UPPER($C920))&amp;"&amp;body="&amp;_xlfn.ENCODEURL("Hi "&amp;$F920&amp;","&amp;CHAR(10)&amp;"Good day!"&amp;CHAR(10)&amp;CHAR(10)&amp;"A quality monitoring audit has been completed for "&amp;$C920&amp;"."&amp;CHAR(10)&amp;CHAR(10)&amp;"QUALITY AUDIT DETAILS"&amp;CHAR(10)&amp;"Agent Name: "&amp;$C920&amp;" (EID "&amp;$D920&amp;")"&amp;CHAR(10)&amp;"Audit Date: "&amp;TEXT($B920,"yyyy-mm-dd")&amp;CHAR(10)&amp;"Team Leader: "&amp;$F920&amp;CHAR(10)&amp;"Case Number: "&amp;$M920&amp;CHAR(10)&amp;"Transaction ID: "&amp;$N920&amp;CHAR(10)&amp;"Channel / LOB: "&amp;$K920&amp;" / "&amp;$L920&amp;CHAR(10)&amp;"Evaluator: "&amp;$S920&amp;CHAR(10)&amp;CHAR(10)&amp;"INVALID QUALITY AUDIT DETAILS"&amp;CHAR(10)&amp;"Validation: Invalid"&amp;CHAR(10)&amp;"Invalid Reason: "&amp;$P920&amp;CHAR(10)&amp;"Expected Resolution Code: "&amp;$Q920&amp;CHAR(10)&amp;"Remarks: "&amp;LEFT($R920,600)&amp;CHAR(10)&amp;CHAR(10)&amp;"This is an automated notification from HP Mainstream EQMS."),"✉ Open Email Draft"),"")</f>
        <v/>
      </c>
    </row>
    <row r="921">
      <c r="A921" s="25">
        <f>IF($C921="","","AUD-2026-"&amp;TEXT(ROW()-1,"000000"))</f>
        <v/>
      </c>
      <c r="B921" s="26" t="n"/>
      <c r="C921" s="27" t="n"/>
      <c r="D921" s="25">
        <f>IF($C921="","",IFERROR(IF(INDEX(Roster!$A:$A,MATCH($C921,Roster!$B:$B,0))="","",INDEX(Roster!$A:$A,MATCH($C921,Roster!$B:$B,0))&amp;""),"—"))</f>
        <v/>
      </c>
      <c r="E921" s="25">
        <f>IF($C921="","",IFERROR(IF(INDEX(Roster!$C:$C,MATCH($C921,Roster!$B:$B,0))="","",INDEX(Roster!$C:$C,MATCH($C921,Roster!$B:$B,0))&amp;""),"—"))</f>
        <v/>
      </c>
      <c r="F921" s="25">
        <f>IF($C921="","",IFERROR(IF(INDEX(Roster!$D:$D,MATCH($C921,Roster!$B:$B,0))="","",INDEX(Roster!$D:$D,MATCH($C921,Roster!$B:$B,0))&amp;""),"—"))</f>
        <v/>
      </c>
      <c r="G921" s="25">
        <f>IF($C921="","",IFERROR(IF(INDEX(Roster!$E:$E,MATCH($C921,Roster!$B:$B,0))="","",INDEX(Roster!$E:$E,MATCH($C921,Roster!$B:$B,0))&amp;""),"—"))</f>
        <v/>
      </c>
      <c r="H921" s="25">
        <f>IF($C921="","",IFERROR(IF(INDEX(Roster!$F:$F,MATCH($C921,Roster!$B:$B,0))="","",INDEX(Roster!$F:$F,MATCH($C921,Roster!$B:$B,0))&amp;""),"—"))</f>
        <v/>
      </c>
      <c r="I921" s="25">
        <f>IF($C921="","",IFERROR(IF(INDEX(Roster!$G:$G,MATCH($C921,Roster!$B:$B,0))="","",INDEX(Roster!$G:$G,MATCH($C921,Roster!$B:$B,0))&amp;""),"—"))</f>
        <v/>
      </c>
      <c r="J921" s="25">
        <f>IF($C921="","",IFERROR(IF(INDEX(Roster!$I:$I,MATCH($C921,Roster!$B:$B,0))="","",INDEX(Roster!$I:$I,MATCH($C921,Roster!$B:$B,0))&amp;""),"—"))</f>
        <v/>
      </c>
      <c r="K921">
        <f>IF($C921="","",IFERROR(IF(INDEX(Roster!$J:$J,MATCH($C921,Roster!$B:$B,0))="","",INDEX(Roster!$J:$J,MATCH($C921,Roster!$B:$B,0))&amp;""),"—"))</f>
        <v/>
      </c>
      <c r="L921">
        <f>IF($C921="","",IFERROR(IF(INDEX(Roster!$K:$K,MATCH($C921,Roster!$B:$B,0))="","",INDEX(Roster!$K:$K,MATCH($C921,Roster!$B:$B,0))&amp;""),"—"))</f>
        <v/>
      </c>
      <c r="M921" s="27" t="n"/>
      <c r="N921" s="27" t="n"/>
      <c r="O921" s="25">
        <f>IF($C921="","",IF($P921="","—",IF($P921="Valid (Pass)","Valid","Invalid")))</f>
        <v/>
      </c>
      <c r="P921" s="27" t="n"/>
      <c r="Q921" s="27" t="n"/>
      <c r="R921" s="27" t="n"/>
      <c r="S921" s="27" t="n"/>
      <c r="T921" s="25">
        <f>IF($C921="","",IF(OR(ISNUMBER(SEARCH("quick case",$P921)),ISNUMBER(SEARCH("quick case",$Q921))),"Yes","No"))</f>
        <v/>
      </c>
      <c r="U921" s="25">
        <f>IF($O921="Invalid",HYPERLINK("mailto:"&amp;$G921&amp;";"&amp;$I921&amp;"?cc="&amp;Lists!$E$2&amp;"&amp;subject="&amp;_xlfn.ENCODEURL("[INVALID] Quality audit monitoring completed for "&amp;UPPER($C921))&amp;"&amp;body="&amp;_xlfn.ENCODEURL("Hi "&amp;$F921&amp;","&amp;CHAR(10)&amp;"Good day!"&amp;CHAR(10)&amp;CHAR(10)&amp;"A quality monitoring audit has been completed for "&amp;$C921&amp;"."&amp;CHAR(10)&amp;CHAR(10)&amp;"QUALITY AUDIT DETAILS"&amp;CHAR(10)&amp;"Agent Name: "&amp;$C921&amp;" (EID "&amp;$D921&amp;")"&amp;CHAR(10)&amp;"Audit Date: "&amp;TEXT($B921,"yyyy-mm-dd")&amp;CHAR(10)&amp;"Team Leader: "&amp;$F921&amp;CHAR(10)&amp;"Case Number: "&amp;$M921&amp;CHAR(10)&amp;"Transaction ID: "&amp;$N921&amp;CHAR(10)&amp;"Channel / LOB: "&amp;$K921&amp;" / "&amp;$L921&amp;CHAR(10)&amp;"Evaluator: "&amp;$S921&amp;CHAR(10)&amp;CHAR(10)&amp;"INVALID QUALITY AUDIT DETAILS"&amp;CHAR(10)&amp;"Validation: Invalid"&amp;CHAR(10)&amp;"Invalid Reason: "&amp;$P921&amp;CHAR(10)&amp;"Expected Resolution Code: "&amp;$Q921&amp;CHAR(10)&amp;"Remarks: "&amp;LEFT($R921,600)&amp;CHAR(10)&amp;CHAR(10)&amp;"This is an automated notification from HP Mainstream EQMS."),"✉ Open Email Draft"),"")</f>
        <v/>
      </c>
    </row>
    <row r="922">
      <c r="A922" s="25">
        <f>IF($C922="","","AUD-2026-"&amp;TEXT(ROW()-1,"000000"))</f>
        <v/>
      </c>
      <c r="B922" s="26" t="n"/>
      <c r="C922" s="27" t="n"/>
      <c r="D922" s="25">
        <f>IF($C922="","",IFERROR(IF(INDEX(Roster!$A:$A,MATCH($C922,Roster!$B:$B,0))="","",INDEX(Roster!$A:$A,MATCH($C922,Roster!$B:$B,0))&amp;""),"—"))</f>
        <v/>
      </c>
      <c r="E922" s="25">
        <f>IF($C922="","",IFERROR(IF(INDEX(Roster!$C:$C,MATCH($C922,Roster!$B:$B,0))="","",INDEX(Roster!$C:$C,MATCH($C922,Roster!$B:$B,0))&amp;""),"—"))</f>
        <v/>
      </c>
      <c r="F922" s="25">
        <f>IF($C922="","",IFERROR(IF(INDEX(Roster!$D:$D,MATCH($C922,Roster!$B:$B,0))="","",INDEX(Roster!$D:$D,MATCH($C922,Roster!$B:$B,0))&amp;""),"—"))</f>
        <v/>
      </c>
      <c r="G922" s="25">
        <f>IF($C922="","",IFERROR(IF(INDEX(Roster!$E:$E,MATCH($C922,Roster!$B:$B,0))="","",INDEX(Roster!$E:$E,MATCH($C922,Roster!$B:$B,0))&amp;""),"—"))</f>
        <v/>
      </c>
      <c r="H922" s="25">
        <f>IF($C922="","",IFERROR(IF(INDEX(Roster!$F:$F,MATCH($C922,Roster!$B:$B,0))="","",INDEX(Roster!$F:$F,MATCH($C922,Roster!$B:$B,0))&amp;""),"—"))</f>
        <v/>
      </c>
      <c r="I922" s="25">
        <f>IF($C922="","",IFERROR(IF(INDEX(Roster!$G:$G,MATCH($C922,Roster!$B:$B,0))="","",INDEX(Roster!$G:$G,MATCH($C922,Roster!$B:$B,0))&amp;""),"—"))</f>
        <v/>
      </c>
      <c r="J922" s="25">
        <f>IF($C922="","",IFERROR(IF(INDEX(Roster!$I:$I,MATCH($C922,Roster!$B:$B,0))="","",INDEX(Roster!$I:$I,MATCH($C922,Roster!$B:$B,0))&amp;""),"—"))</f>
        <v/>
      </c>
      <c r="K922">
        <f>IF($C922="","",IFERROR(IF(INDEX(Roster!$J:$J,MATCH($C922,Roster!$B:$B,0))="","",INDEX(Roster!$J:$J,MATCH($C922,Roster!$B:$B,0))&amp;""),"—"))</f>
        <v/>
      </c>
      <c r="L922">
        <f>IF($C922="","",IFERROR(IF(INDEX(Roster!$K:$K,MATCH($C922,Roster!$B:$B,0))="","",INDEX(Roster!$K:$K,MATCH($C922,Roster!$B:$B,0))&amp;""),"—"))</f>
        <v/>
      </c>
      <c r="M922" s="27" t="n"/>
      <c r="N922" s="27" t="n"/>
      <c r="O922" s="25">
        <f>IF($C922="","",IF($P922="","—",IF($P922="Valid (Pass)","Valid","Invalid")))</f>
        <v/>
      </c>
      <c r="P922" s="27" t="n"/>
      <c r="Q922" s="27" t="n"/>
      <c r="R922" s="27" t="n"/>
      <c r="S922" s="27" t="n"/>
      <c r="T922" s="25">
        <f>IF($C922="","",IF(OR(ISNUMBER(SEARCH("quick case",$P922)),ISNUMBER(SEARCH("quick case",$Q922))),"Yes","No"))</f>
        <v/>
      </c>
      <c r="U922" s="25">
        <f>IF($O922="Invalid",HYPERLINK("mailto:"&amp;$G922&amp;";"&amp;$I922&amp;"?cc="&amp;Lists!$E$2&amp;"&amp;subject="&amp;_xlfn.ENCODEURL("[INVALID] Quality audit monitoring completed for "&amp;UPPER($C922))&amp;"&amp;body="&amp;_xlfn.ENCODEURL("Hi "&amp;$F922&amp;","&amp;CHAR(10)&amp;"Good day!"&amp;CHAR(10)&amp;CHAR(10)&amp;"A quality monitoring audit has been completed for "&amp;$C922&amp;"."&amp;CHAR(10)&amp;CHAR(10)&amp;"QUALITY AUDIT DETAILS"&amp;CHAR(10)&amp;"Agent Name: "&amp;$C922&amp;" (EID "&amp;$D922&amp;")"&amp;CHAR(10)&amp;"Audit Date: "&amp;TEXT($B922,"yyyy-mm-dd")&amp;CHAR(10)&amp;"Team Leader: "&amp;$F922&amp;CHAR(10)&amp;"Case Number: "&amp;$M922&amp;CHAR(10)&amp;"Transaction ID: "&amp;$N922&amp;CHAR(10)&amp;"Channel / LOB: "&amp;$K922&amp;" / "&amp;$L922&amp;CHAR(10)&amp;"Evaluator: "&amp;$S922&amp;CHAR(10)&amp;CHAR(10)&amp;"INVALID QUALITY AUDIT DETAILS"&amp;CHAR(10)&amp;"Validation: Invalid"&amp;CHAR(10)&amp;"Invalid Reason: "&amp;$P922&amp;CHAR(10)&amp;"Expected Resolution Code: "&amp;$Q922&amp;CHAR(10)&amp;"Remarks: "&amp;LEFT($R922,600)&amp;CHAR(10)&amp;CHAR(10)&amp;"This is an automated notification from HP Mainstream EQMS."),"✉ Open Email Draft"),"")</f>
        <v/>
      </c>
    </row>
    <row r="923">
      <c r="A923" s="25">
        <f>IF($C923="","","AUD-2026-"&amp;TEXT(ROW()-1,"000000"))</f>
        <v/>
      </c>
      <c r="B923" s="26" t="n"/>
      <c r="C923" s="27" t="n"/>
      <c r="D923" s="25">
        <f>IF($C923="","",IFERROR(IF(INDEX(Roster!$A:$A,MATCH($C923,Roster!$B:$B,0))="","",INDEX(Roster!$A:$A,MATCH($C923,Roster!$B:$B,0))&amp;""),"—"))</f>
        <v/>
      </c>
      <c r="E923" s="25">
        <f>IF($C923="","",IFERROR(IF(INDEX(Roster!$C:$C,MATCH($C923,Roster!$B:$B,0))="","",INDEX(Roster!$C:$C,MATCH($C923,Roster!$B:$B,0))&amp;""),"—"))</f>
        <v/>
      </c>
      <c r="F923" s="25">
        <f>IF($C923="","",IFERROR(IF(INDEX(Roster!$D:$D,MATCH($C923,Roster!$B:$B,0))="","",INDEX(Roster!$D:$D,MATCH($C923,Roster!$B:$B,0))&amp;""),"—"))</f>
        <v/>
      </c>
      <c r="G923" s="25">
        <f>IF($C923="","",IFERROR(IF(INDEX(Roster!$E:$E,MATCH($C923,Roster!$B:$B,0))="","",INDEX(Roster!$E:$E,MATCH($C923,Roster!$B:$B,0))&amp;""),"—"))</f>
        <v/>
      </c>
      <c r="H923" s="25">
        <f>IF($C923="","",IFERROR(IF(INDEX(Roster!$F:$F,MATCH($C923,Roster!$B:$B,0))="","",INDEX(Roster!$F:$F,MATCH($C923,Roster!$B:$B,0))&amp;""),"—"))</f>
        <v/>
      </c>
      <c r="I923" s="25">
        <f>IF($C923="","",IFERROR(IF(INDEX(Roster!$G:$G,MATCH($C923,Roster!$B:$B,0))="","",INDEX(Roster!$G:$G,MATCH($C923,Roster!$B:$B,0))&amp;""),"—"))</f>
        <v/>
      </c>
      <c r="J923" s="25">
        <f>IF($C923="","",IFERROR(IF(INDEX(Roster!$I:$I,MATCH($C923,Roster!$B:$B,0))="","",INDEX(Roster!$I:$I,MATCH($C923,Roster!$B:$B,0))&amp;""),"—"))</f>
        <v/>
      </c>
      <c r="K923">
        <f>IF($C923="","",IFERROR(IF(INDEX(Roster!$J:$J,MATCH($C923,Roster!$B:$B,0))="","",INDEX(Roster!$J:$J,MATCH($C923,Roster!$B:$B,0))&amp;""),"—"))</f>
        <v/>
      </c>
      <c r="L923">
        <f>IF($C923="","",IFERROR(IF(INDEX(Roster!$K:$K,MATCH($C923,Roster!$B:$B,0))="","",INDEX(Roster!$K:$K,MATCH($C923,Roster!$B:$B,0))&amp;""),"—"))</f>
        <v/>
      </c>
      <c r="M923" s="27" t="n"/>
      <c r="N923" s="27" t="n"/>
      <c r="O923" s="25">
        <f>IF($C923="","",IF($P923="","—",IF($P923="Valid (Pass)","Valid","Invalid")))</f>
        <v/>
      </c>
      <c r="P923" s="27" t="n"/>
      <c r="Q923" s="27" t="n"/>
      <c r="R923" s="27" t="n"/>
      <c r="S923" s="27" t="n"/>
      <c r="T923" s="25">
        <f>IF($C923="","",IF(OR(ISNUMBER(SEARCH("quick case",$P923)),ISNUMBER(SEARCH("quick case",$Q923))),"Yes","No"))</f>
        <v/>
      </c>
      <c r="U923" s="25">
        <f>IF($O923="Invalid",HYPERLINK("mailto:"&amp;$G923&amp;";"&amp;$I923&amp;"?cc="&amp;Lists!$E$2&amp;"&amp;subject="&amp;_xlfn.ENCODEURL("[INVALID] Quality audit monitoring completed for "&amp;UPPER($C923))&amp;"&amp;body="&amp;_xlfn.ENCODEURL("Hi "&amp;$F923&amp;","&amp;CHAR(10)&amp;"Good day!"&amp;CHAR(10)&amp;CHAR(10)&amp;"A quality monitoring audit has been completed for "&amp;$C923&amp;"."&amp;CHAR(10)&amp;CHAR(10)&amp;"QUALITY AUDIT DETAILS"&amp;CHAR(10)&amp;"Agent Name: "&amp;$C923&amp;" (EID "&amp;$D923&amp;")"&amp;CHAR(10)&amp;"Audit Date: "&amp;TEXT($B923,"yyyy-mm-dd")&amp;CHAR(10)&amp;"Team Leader: "&amp;$F923&amp;CHAR(10)&amp;"Case Number: "&amp;$M923&amp;CHAR(10)&amp;"Transaction ID: "&amp;$N923&amp;CHAR(10)&amp;"Channel / LOB: "&amp;$K923&amp;" / "&amp;$L923&amp;CHAR(10)&amp;"Evaluator: "&amp;$S923&amp;CHAR(10)&amp;CHAR(10)&amp;"INVALID QUALITY AUDIT DETAILS"&amp;CHAR(10)&amp;"Validation: Invalid"&amp;CHAR(10)&amp;"Invalid Reason: "&amp;$P923&amp;CHAR(10)&amp;"Expected Resolution Code: "&amp;$Q923&amp;CHAR(10)&amp;"Remarks: "&amp;LEFT($R923,600)&amp;CHAR(10)&amp;CHAR(10)&amp;"This is an automated notification from HP Mainstream EQMS."),"✉ Open Email Draft"),"")</f>
        <v/>
      </c>
    </row>
    <row r="924">
      <c r="A924" s="25">
        <f>IF($C924="","","AUD-2026-"&amp;TEXT(ROW()-1,"000000"))</f>
        <v/>
      </c>
      <c r="B924" s="26" t="n"/>
      <c r="C924" s="27" t="n"/>
      <c r="D924" s="25">
        <f>IF($C924="","",IFERROR(IF(INDEX(Roster!$A:$A,MATCH($C924,Roster!$B:$B,0))="","",INDEX(Roster!$A:$A,MATCH($C924,Roster!$B:$B,0))&amp;""),"—"))</f>
        <v/>
      </c>
      <c r="E924" s="25">
        <f>IF($C924="","",IFERROR(IF(INDEX(Roster!$C:$C,MATCH($C924,Roster!$B:$B,0))="","",INDEX(Roster!$C:$C,MATCH($C924,Roster!$B:$B,0))&amp;""),"—"))</f>
        <v/>
      </c>
      <c r="F924" s="25">
        <f>IF($C924="","",IFERROR(IF(INDEX(Roster!$D:$D,MATCH($C924,Roster!$B:$B,0))="","",INDEX(Roster!$D:$D,MATCH($C924,Roster!$B:$B,0))&amp;""),"—"))</f>
        <v/>
      </c>
      <c r="G924" s="25">
        <f>IF($C924="","",IFERROR(IF(INDEX(Roster!$E:$E,MATCH($C924,Roster!$B:$B,0))="","",INDEX(Roster!$E:$E,MATCH($C924,Roster!$B:$B,0))&amp;""),"—"))</f>
        <v/>
      </c>
      <c r="H924" s="25">
        <f>IF($C924="","",IFERROR(IF(INDEX(Roster!$F:$F,MATCH($C924,Roster!$B:$B,0))="","",INDEX(Roster!$F:$F,MATCH($C924,Roster!$B:$B,0))&amp;""),"—"))</f>
        <v/>
      </c>
      <c r="I924" s="25">
        <f>IF($C924="","",IFERROR(IF(INDEX(Roster!$G:$G,MATCH($C924,Roster!$B:$B,0))="","",INDEX(Roster!$G:$G,MATCH($C924,Roster!$B:$B,0))&amp;""),"—"))</f>
        <v/>
      </c>
      <c r="J924" s="25">
        <f>IF($C924="","",IFERROR(IF(INDEX(Roster!$I:$I,MATCH($C924,Roster!$B:$B,0))="","",INDEX(Roster!$I:$I,MATCH($C924,Roster!$B:$B,0))&amp;""),"—"))</f>
        <v/>
      </c>
      <c r="K924">
        <f>IF($C924="","",IFERROR(IF(INDEX(Roster!$J:$J,MATCH($C924,Roster!$B:$B,0))="","",INDEX(Roster!$J:$J,MATCH($C924,Roster!$B:$B,0))&amp;""),"—"))</f>
        <v/>
      </c>
      <c r="L924">
        <f>IF($C924="","",IFERROR(IF(INDEX(Roster!$K:$K,MATCH($C924,Roster!$B:$B,0))="","",INDEX(Roster!$K:$K,MATCH($C924,Roster!$B:$B,0))&amp;""),"—"))</f>
        <v/>
      </c>
      <c r="M924" s="27" t="n"/>
      <c r="N924" s="27" t="n"/>
      <c r="O924" s="25">
        <f>IF($C924="","",IF($P924="","—",IF($P924="Valid (Pass)","Valid","Invalid")))</f>
        <v/>
      </c>
      <c r="P924" s="27" t="n"/>
      <c r="Q924" s="27" t="n"/>
      <c r="R924" s="27" t="n"/>
      <c r="S924" s="27" t="n"/>
      <c r="T924" s="25">
        <f>IF($C924="","",IF(OR(ISNUMBER(SEARCH("quick case",$P924)),ISNUMBER(SEARCH("quick case",$Q924))),"Yes","No"))</f>
        <v/>
      </c>
      <c r="U924" s="25">
        <f>IF($O924="Invalid",HYPERLINK("mailto:"&amp;$G924&amp;";"&amp;$I924&amp;"?cc="&amp;Lists!$E$2&amp;"&amp;subject="&amp;_xlfn.ENCODEURL("[INVALID] Quality audit monitoring completed for "&amp;UPPER($C924))&amp;"&amp;body="&amp;_xlfn.ENCODEURL("Hi "&amp;$F924&amp;","&amp;CHAR(10)&amp;"Good day!"&amp;CHAR(10)&amp;CHAR(10)&amp;"A quality monitoring audit has been completed for "&amp;$C924&amp;"."&amp;CHAR(10)&amp;CHAR(10)&amp;"QUALITY AUDIT DETAILS"&amp;CHAR(10)&amp;"Agent Name: "&amp;$C924&amp;" (EID "&amp;$D924&amp;")"&amp;CHAR(10)&amp;"Audit Date: "&amp;TEXT($B924,"yyyy-mm-dd")&amp;CHAR(10)&amp;"Team Leader: "&amp;$F924&amp;CHAR(10)&amp;"Case Number: "&amp;$M924&amp;CHAR(10)&amp;"Transaction ID: "&amp;$N924&amp;CHAR(10)&amp;"Channel / LOB: "&amp;$K924&amp;" / "&amp;$L924&amp;CHAR(10)&amp;"Evaluator: "&amp;$S924&amp;CHAR(10)&amp;CHAR(10)&amp;"INVALID QUALITY AUDIT DETAILS"&amp;CHAR(10)&amp;"Validation: Invalid"&amp;CHAR(10)&amp;"Invalid Reason: "&amp;$P924&amp;CHAR(10)&amp;"Expected Resolution Code: "&amp;$Q924&amp;CHAR(10)&amp;"Remarks: "&amp;LEFT($R924,600)&amp;CHAR(10)&amp;CHAR(10)&amp;"This is an automated notification from HP Mainstream EQMS."),"✉ Open Email Draft"),"")</f>
        <v/>
      </c>
    </row>
    <row r="925">
      <c r="A925" s="25">
        <f>IF($C925="","","AUD-2026-"&amp;TEXT(ROW()-1,"000000"))</f>
        <v/>
      </c>
      <c r="B925" s="26" t="n"/>
      <c r="C925" s="27" t="n"/>
      <c r="D925" s="25">
        <f>IF($C925="","",IFERROR(IF(INDEX(Roster!$A:$A,MATCH($C925,Roster!$B:$B,0))="","",INDEX(Roster!$A:$A,MATCH($C925,Roster!$B:$B,0))&amp;""),"—"))</f>
        <v/>
      </c>
      <c r="E925" s="25">
        <f>IF($C925="","",IFERROR(IF(INDEX(Roster!$C:$C,MATCH($C925,Roster!$B:$B,0))="","",INDEX(Roster!$C:$C,MATCH($C925,Roster!$B:$B,0))&amp;""),"—"))</f>
        <v/>
      </c>
      <c r="F925" s="25">
        <f>IF($C925="","",IFERROR(IF(INDEX(Roster!$D:$D,MATCH($C925,Roster!$B:$B,0))="","",INDEX(Roster!$D:$D,MATCH($C925,Roster!$B:$B,0))&amp;""),"—"))</f>
        <v/>
      </c>
      <c r="G925" s="25">
        <f>IF($C925="","",IFERROR(IF(INDEX(Roster!$E:$E,MATCH($C925,Roster!$B:$B,0))="","",INDEX(Roster!$E:$E,MATCH($C925,Roster!$B:$B,0))&amp;""),"—"))</f>
        <v/>
      </c>
      <c r="H925" s="25">
        <f>IF($C925="","",IFERROR(IF(INDEX(Roster!$F:$F,MATCH($C925,Roster!$B:$B,0))="","",INDEX(Roster!$F:$F,MATCH($C925,Roster!$B:$B,0))&amp;""),"—"))</f>
        <v/>
      </c>
      <c r="I925" s="25">
        <f>IF($C925="","",IFERROR(IF(INDEX(Roster!$G:$G,MATCH($C925,Roster!$B:$B,0))="","",INDEX(Roster!$G:$G,MATCH($C925,Roster!$B:$B,0))&amp;""),"—"))</f>
        <v/>
      </c>
      <c r="J925" s="25">
        <f>IF($C925="","",IFERROR(IF(INDEX(Roster!$I:$I,MATCH($C925,Roster!$B:$B,0))="","",INDEX(Roster!$I:$I,MATCH($C925,Roster!$B:$B,0))&amp;""),"—"))</f>
        <v/>
      </c>
      <c r="K925">
        <f>IF($C925="","",IFERROR(IF(INDEX(Roster!$J:$J,MATCH($C925,Roster!$B:$B,0))="","",INDEX(Roster!$J:$J,MATCH($C925,Roster!$B:$B,0))&amp;""),"—"))</f>
        <v/>
      </c>
      <c r="L925">
        <f>IF($C925="","",IFERROR(IF(INDEX(Roster!$K:$K,MATCH($C925,Roster!$B:$B,0))="","",INDEX(Roster!$K:$K,MATCH($C925,Roster!$B:$B,0))&amp;""),"—"))</f>
        <v/>
      </c>
      <c r="M925" s="27" t="n"/>
      <c r="N925" s="27" t="n"/>
      <c r="O925" s="25">
        <f>IF($C925="","",IF($P925="","—",IF($P925="Valid (Pass)","Valid","Invalid")))</f>
        <v/>
      </c>
      <c r="P925" s="27" t="n"/>
      <c r="Q925" s="27" t="n"/>
      <c r="R925" s="27" t="n"/>
      <c r="S925" s="27" t="n"/>
      <c r="T925" s="25">
        <f>IF($C925="","",IF(OR(ISNUMBER(SEARCH("quick case",$P925)),ISNUMBER(SEARCH("quick case",$Q925))),"Yes","No"))</f>
        <v/>
      </c>
      <c r="U925" s="25">
        <f>IF($O925="Invalid",HYPERLINK("mailto:"&amp;$G925&amp;";"&amp;$I925&amp;"?cc="&amp;Lists!$E$2&amp;"&amp;subject="&amp;_xlfn.ENCODEURL("[INVALID] Quality audit monitoring completed for "&amp;UPPER($C925))&amp;"&amp;body="&amp;_xlfn.ENCODEURL("Hi "&amp;$F925&amp;","&amp;CHAR(10)&amp;"Good day!"&amp;CHAR(10)&amp;CHAR(10)&amp;"A quality monitoring audit has been completed for "&amp;$C925&amp;"."&amp;CHAR(10)&amp;CHAR(10)&amp;"QUALITY AUDIT DETAILS"&amp;CHAR(10)&amp;"Agent Name: "&amp;$C925&amp;" (EID "&amp;$D925&amp;")"&amp;CHAR(10)&amp;"Audit Date: "&amp;TEXT($B925,"yyyy-mm-dd")&amp;CHAR(10)&amp;"Team Leader: "&amp;$F925&amp;CHAR(10)&amp;"Case Number: "&amp;$M925&amp;CHAR(10)&amp;"Transaction ID: "&amp;$N925&amp;CHAR(10)&amp;"Channel / LOB: "&amp;$K925&amp;" / "&amp;$L925&amp;CHAR(10)&amp;"Evaluator: "&amp;$S925&amp;CHAR(10)&amp;CHAR(10)&amp;"INVALID QUALITY AUDIT DETAILS"&amp;CHAR(10)&amp;"Validation: Invalid"&amp;CHAR(10)&amp;"Invalid Reason: "&amp;$P925&amp;CHAR(10)&amp;"Expected Resolution Code: "&amp;$Q925&amp;CHAR(10)&amp;"Remarks: "&amp;LEFT($R925,600)&amp;CHAR(10)&amp;CHAR(10)&amp;"This is an automated notification from HP Mainstream EQMS."),"✉ Open Email Draft"),"")</f>
        <v/>
      </c>
    </row>
    <row r="926">
      <c r="A926" s="25">
        <f>IF($C926="","","AUD-2026-"&amp;TEXT(ROW()-1,"000000"))</f>
        <v/>
      </c>
      <c r="B926" s="26" t="n"/>
      <c r="C926" s="27" t="n"/>
      <c r="D926" s="25">
        <f>IF($C926="","",IFERROR(IF(INDEX(Roster!$A:$A,MATCH($C926,Roster!$B:$B,0))="","",INDEX(Roster!$A:$A,MATCH($C926,Roster!$B:$B,0))&amp;""),"—"))</f>
        <v/>
      </c>
      <c r="E926" s="25">
        <f>IF($C926="","",IFERROR(IF(INDEX(Roster!$C:$C,MATCH($C926,Roster!$B:$B,0))="","",INDEX(Roster!$C:$C,MATCH($C926,Roster!$B:$B,0))&amp;""),"—"))</f>
        <v/>
      </c>
      <c r="F926" s="25">
        <f>IF($C926="","",IFERROR(IF(INDEX(Roster!$D:$D,MATCH($C926,Roster!$B:$B,0))="","",INDEX(Roster!$D:$D,MATCH($C926,Roster!$B:$B,0))&amp;""),"—"))</f>
        <v/>
      </c>
      <c r="G926" s="25">
        <f>IF($C926="","",IFERROR(IF(INDEX(Roster!$E:$E,MATCH($C926,Roster!$B:$B,0))="","",INDEX(Roster!$E:$E,MATCH($C926,Roster!$B:$B,0))&amp;""),"—"))</f>
        <v/>
      </c>
      <c r="H926" s="25">
        <f>IF($C926="","",IFERROR(IF(INDEX(Roster!$F:$F,MATCH($C926,Roster!$B:$B,0))="","",INDEX(Roster!$F:$F,MATCH($C926,Roster!$B:$B,0))&amp;""),"—"))</f>
        <v/>
      </c>
      <c r="I926" s="25">
        <f>IF($C926="","",IFERROR(IF(INDEX(Roster!$G:$G,MATCH($C926,Roster!$B:$B,0))="","",INDEX(Roster!$G:$G,MATCH($C926,Roster!$B:$B,0))&amp;""),"—"))</f>
        <v/>
      </c>
      <c r="J926" s="25">
        <f>IF($C926="","",IFERROR(IF(INDEX(Roster!$I:$I,MATCH($C926,Roster!$B:$B,0))="","",INDEX(Roster!$I:$I,MATCH($C926,Roster!$B:$B,0))&amp;""),"—"))</f>
        <v/>
      </c>
      <c r="K926">
        <f>IF($C926="","",IFERROR(IF(INDEX(Roster!$J:$J,MATCH($C926,Roster!$B:$B,0))="","",INDEX(Roster!$J:$J,MATCH($C926,Roster!$B:$B,0))&amp;""),"—"))</f>
        <v/>
      </c>
      <c r="L926">
        <f>IF($C926="","",IFERROR(IF(INDEX(Roster!$K:$K,MATCH($C926,Roster!$B:$B,0))="","",INDEX(Roster!$K:$K,MATCH($C926,Roster!$B:$B,0))&amp;""),"—"))</f>
        <v/>
      </c>
      <c r="M926" s="27" t="n"/>
      <c r="N926" s="27" t="n"/>
      <c r="O926" s="25">
        <f>IF($C926="","",IF($P926="","—",IF($P926="Valid (Pass)","Valid","Invalid")))</f>
        <v/>
      </c>
      <c r="P926" s="27" t="n"/>
      <c r="Q926" s="27" t="n"/>
      <c r="R926" s="27" t="n"/>
      <c r="S926" s="27" t="n"/>
      <c r="T926" s="25">
        <f>IF($C926="","",IF(OR(ISNUMBER(SEARCH("quick case",$P926)),ISNUMBER(SEARCH("quick case",$Q926))),"Yes","No"))</f>
        <v/>
      </c>
      <c r="U926" s="25">
        <f>IF($O926="Invalid",HYPERLINK("mailto:"&amp;$G926&amp;";"&amp;$I926&amp;"?cc="&amp;Lists!$E$2&amp;"&amp;subject="&amp;_xlfn.ENCODEURL("[INVALID] Quality audit monitoring completed for "&amp;UPPER($C926))&amp;"&amp;body="&amp;_xlfn.ENCODEURL("Hi "&amp;$F926&amp;","&amp;CHAR(10)&amp;"Good day!"&amp;CHAR(10)&amp;CHAR(10)&amp;"A quality monitoring audit has been completed for "&amp;$C926&amp;"."&amp;CHAR(10)&amp;CHAR(10)&amp;"QUALITY AUDIT DETAILS"&amp;CHAR(10)&amp;"Agent Name: "&amp;$C926&amp;" (EID "&amp;$D926&amp;")"&amp;CHAR(10)&amp;"Audit Date: "&amp;TEXT($B926,"yyyy-mm-dd")&amp;CHAR(10)&amp;"Team Leader: "&amp;$F926&amp;CHAR(10)&amp;"Case Number: "&amp;$M926&amp;CHAR(10)&amp;"Transaction ID: "&amp;$N926&amp;CHAR(10)&amp;"Channel / LOB: "&amp;$K926&amp;" / "&amp;$L926&amp;CHAR(10)&amp;"Evaluator: "&amp;$S926&amp;CHAR(10)&amp;CHAR(10)&amp;"INVALID QUALITY AUDIT DETAILS"&amp;CHAR(10)&amp;"Validation: Invalid"&amp;CHAR(10)&amp;"Invalid Reason: "&amp;$P926&amp;CHAR(10)&amp;"Expected Resolution Code: "&amp;$Q926&amp;CHAR(10)&amp;"Remarks: "&amp;LEFT($R926,600)&amp;CHAR(10)&amp;CHAR(10)&amp;"This is an automated notification from HP Mainstream EQMS."),"✉ Open Email Draft"),"")</f>
        <v/>
      </c>
    </row>
    <row r="927">
      <c r="A927" s="25">
        <f>IF($C927="","","AUD-2026-"&amp;TEXT(ROW()-1,"000000"))</f>
        <v/>
      </c>
      <c r="B927" s="26" t="n"/>
      <c r="C927" s="27" t="n"/>
      <c r="D927" s="25">
        <f>IF($C927="","",IFERROR(IF(INDEX(Roster!$A:$A,MATCH($C927,Roster!$B:$B,0))="","",INDEX(Roster!$A:$A,MATCH($C927,Roster!$B:$B,0))&amp;""),"—"))</f>
        <v/>
      </c>
      <c r="E927" s="25">
        <f>IF($C927="","",IFERROR(IF(INDEX(Roster!$C:$C,MATCH($C927,Roster!$B:$B,0))="","",INDEX(Roster!$C:$C,MATCH($C927,Roster!$B:$B,0))&amp;""),"—"))</f>
        <v/>
      </c>
      <c r="F927" s="25">
        <f>IF($C927="","",IFERROR(IF(INDEX(Roster!$D:$D,MATCH($C927,Roster!$B:$B,0))="","",INDEX(Roster!$D:$D,MATCH($C927,Roster!$B:$B,0))&amp;""),"—"))</f>
        <v/>
      </c>
      <c r="G927" s="25">
        <f>IF($C927="","",IFERROR(IF(INDEX(Roster!$E:$E,MATCH($C927,Roster!$B:$B,0))="","",INDEX(Roster!$E:$E,MATCH($C927,Roster!$B:$B,0))&amp;""),"—"))</f>
        <v/>
      </c>
      <c r="H927" s="25">
        <f>IF($C927="","",IFERROR(IF(INDEX(Roster!$F:$F,MATCH($C927,Roster!$B:$B,0))="","",INDEX(Roster!$F:$F,MATCH($C927,Roster!$B:$B,0))&amp;""),"—"))</f>
        <v/>
      </c>
      <c r="I927" s="25">
        <f>IF($C927="","",IFERROR(IF(INDEX(Roster!$G:$G,MATCH($C927,Roster!$B:$B,0))="","",INDEX(Roster!$G:$G,MATCH($C927,Roster!$B:$B,0))&amp;""),"—"))</f>
        <v/>
      </c>
      <c r="J927" s="25">
        <f>IF($C927="","",IFERROR(IF(INDEX(Roster!$I:$I,MATCH($C927,Roster!$B:$B,0))="","",INDEX(Roster!$I:$I,MATCH($C927,Roster!$B:$B,0))&amp;""),"—"))</f>
        <v/>
      </c>
      <c r="K927">
        <f>IF($C927="","",IFERROR(IF(INDEX(Roster!$J:$J,MATCH($C927,Roster!$B:$B,0))="","",INDEX(Roster!$J:$J,MATCH($C927,Roster!$B:$B,0))&amp;""),"—"))</f>
        <v/>
      </c>
      <c r="L927">
        <f>IF($C927="","",IFERROR(IF(INDEX(Roster!$K:$K,MATCH($C927,Roster!$B:$B,0))="","",INDEX(Roster!$K:$K,MATCH($C927,Roster!$B:$B,0))&amp;""),"—"))</f>
        <v/>
      </c>
      <c r="M927" s="27" t="n"/>
      <c r="N927" s="27" t="n"/>
      <c r="O927" s="25">
        <f>IF($C927="","",IF($P927="","—",IF($P927="Valid (Pass)","Valid","Invalid")))</f>
        <v/>
      </c>
      <c r="P927" s="27" t="n"/>
      <c r="Q927" s="27" t="n"/>
      <c r="R927" s="27" t="n"/>
      <c r="S927" s="27" t="n"/>
      <c r="T927" s="25">
        <f>IF($C927="","",IF(OR(ISNUMBER(SEARCH("quick case",$P927)),ISNUMBER(SEARCH("quick case",$Q927))),"Yes","No"))</f>
        <v/>
      </c>
      <c r="U927" s="25">
        <f>IF($O927="Invalid",HYPERLINK("mailto:"&amp;$G927&amp;";"&amp;$I927&amp;"?cc="&amp;Lists!$E$2&amp;"&amp;subject="&amp;_xlfn.ENCODEURL("[INVALID] Quality audit monitoring completed for "&amp;UPPER($C927))&amp;"&amp;body="&amp;_xlfn.ENCODEURL("Hi "&amp;$F927&amp;","&amp;CHAR(10)&amp;"Good day!"&amp;CHAR(10)&amp;CHAR(10)&amp;"A quality monitoring audit has been completed for "&amp;$C927&amp;"."&amp;CHAR(10)&amp;CHAR(10)&amp;"QUALITY AUDIT DETAILS"&amp;CHAR(10)&amp;"Agent Name: "&amp;$C927&amp;" (EID "&amp;$D927&amp;")"&amp;CHAR(10)&amp;"Audit Date: "&amp;TEXT($B927,"yyyy-mm-dd")&amp;CHAR(10)&amp;"Team Leader: "&amp;$F927&amp;CHAR(10)&amp;"Case Number: "&amp;$M927&amp;CHAR(10)&amp;"Transaction ID: "&amp;$N927&amp;CHAR(10)&amp;"Channel / LOB: "&amp;$K927&amp;" / "&amp;$L927&amp;CHAR(10)&amp;"Evaluator: "&amp;$S927&amp;CHAR(10)&amp;CHAR(10)&amp;"INVALID QUALITY AUDIT DETAILS"&amp;CHAR(10)&amp;"Validation: Invalid"&amp;CHAR(10)&amp;"Invalid Reason: "&amp;$P927&amp;CHAR(10)&amp;"Expected Resolution Code: "&amp;$Q927&amp;CHAR(10)&amp;"Remarks: "&amp;LEFT($R927,600)&amp;CHAR(10)&amp;CHAR(10)&amp;"This is an automated notification from HP Mainstream EQMS."),"✉ Open Email Draft"),"")</f>
        <v/>
      </c>
    </row>
    <row r="928">
      <c r="A928" s="25">
        <f>IF($C928="","","AUD-2026-"&amp;TEXT(ROW()-1,"000000"))</f>
        <v/>
      </c>
      <c r="B928" s="26" t="n"/>
      <c r="C928" s="27" t="n"/>
      <c r="D928" s="25">
        <f>IF($C928="","",IFERROR(IF(INDEX(Roster!$A:$A,MATCH($C928,Roster!$B:$B,0))="","",INDEX(Roster!$A:$A,MATCH($C928,Roster!$B:$B,0))&amp;""),"—"))</f>
        <v/>
      </c>
      <c r="E928" s="25">
        <f>IF($C928="","",IFERROR(IF(INDEX(Roster!$C:$C,MATCH($C928,Roster!$B:$B,0))="","",INDEX(Roster!$C:$C,MATCH($C928,Roster!$B:$B,0))&amp;""),"—"))</f>
        <v/>
      </c>
      <c r="F928" s="25">
        <f>IF($C928="","",IFERROR(IF(INDEX(Roster!$D:$D,MATCH($C928,Roster!$B:$B,0))="","",INDEX(Roster!$D:$D,MATCH($C928,Roster!$B:$B,0))&amp;""),"—"))</f>
        <v/>
      </c>
      <c r="G928" s="25">
        <f>IF($C928="","",IFERROR(IF(INDEX(Roster!$E:$E,MATCH($C928,Roster!$B:$B,0))="","",INDEX(Roster!$E:$E,MATCH($C928,Roster!$B:$B,0))&amp;""),"—"))</f>
        <v/>
      </c>
      <c r="H928" s="25">
        <f>IF($C928="","",IFERROR(IF(INDEX(Roster!$F:$F,MATCH($C928,Roster!$B:$B,0))="","",INDEX(Roster!$F:$F,MATCH($C928,Roster!$B:$B,0))&amp;""),"—"))</f>
        <v/>
      </c>
      <c r="I928" s="25">
        <f>IF($C928="","",IFERROR(IF(INDEX(Roster!$G:$G,MATCH($C928,Roster!$B:$B,0))="","",INDEX(Roster!$G:$G,MATCH($C928,Roster!$B:$B,0))&amp;""),"—"))</f>
        <v/>
      </c>
      <c r="J928" s="25">
        <f>IF($C928="","",IFERROR(IF(INDEX(Roster!$I:$I,MATCH($C928,Roster!$B:$B,0))="","",INDEX(Roster!$I:$I,MATCH($C928,Roster!$B:$B,0))&amp;""),"—"))</f>
        <v/>
      </c>
      <c r="K928">
        <f>IF($C928="","",IFERROR(IF(INDEX(Roster!$J:$J,MATCH($C928,Roster!$B:$B,0))="","",INDEX(Roster!$J:$J,MATCH($C928,Roster!$B:$B,0))&amp;""),"—"))</f>
        <v/>
      </c>
      <c r="L928">
        <f>IF($C928="","",IFERROR(IF(INDEX(Roster!$K:$K,MATCH($C928,Roster!$B:$B,0))="","",INDEX(Roster!$K:$K,MATCH($C928,Roster!$B:$B,0))&amp;""),"—"))</f>
        <v/>
      </c>
      <c r="M928" s="27" t="n"/>
      <c r="N928" s="27" t="n"/>
      <c r="O928" s="25">
        <f>IF($C928="","",IF($P928="","—",IF($P928="Valid (Pass)","Valid","Invalid")))</f>
        <v/>
      </c>
      <c r="P928" s="27" t="n"/>
      <c r="Q928" s="27" t="n"/>
      <c r="R928" s="27" t="n"/>
      <c r="S928" s="27" t="n"/>
      <c r="T928" s="25">
        <f>IF($C928="","",IF(OR(ISNUMBER(SEARCH("quick case",$P928)),ISNUMBER(SEARCH("quick case",$Q928))),"Yes","No"))</f>
        <v/>
      </c>
      <c r="U928" s="25">
        <f>IF($O928="Invalid",HYPERLINK("mailto:"&amp;$G928&amp;";"&amp;$I928&amp;"?cc="&amp;Lists!$E$2&amp;"&amp;subject="&amp;_xlfn.ENCODEURL("[INVALID] Quality audit monitoring completed for "&amp;UPPER($C928))&amp;"&amp;body="&amp;_xlfn.ENCODEURL("Hi "&amp;$F928&amp;","&amp;CHAR(10)&amp;"Good day!"&amp;CHAR(10)&amp;CHAR(10)&amp;"A quality monitoring audit has been completed for "&amp;$C928&amp;"."&amp;CHAR(10)&amp;CHAR(10)&amp;"QUALITY AUDIT DETAILS"&amp;CHAR(10)&amp;"Agent Name: "&amp;$C928&amp;" (EID "&amp;$D928&amp;")"&amp;CHAR(10)&amp;"Audit Date: "&amp;TEXT($B928,"yyyy-mm-dd")&amp;CHAR(10)&amp;"Team Leader: "&amp;$F928&amp;CHAR(10)&amp;"Case Number: "&amp;$M928&amp;CHAR(10)&amp;"Transaction ID: "&amp;$N928&amp;CHAR(10)&amp;"Channel / LOB: "&amp;$K928&amp;" / "&amp;$L928&amp;CHAR(10)&amp;"Evaluator: "&amp;$S928&amp;CHAR(10)&amp;CHAR(10)&amp;"INVALID QUALITY AUDIT DETAILS"&amp;CHAR(10)&amp;"Validation: Invalid"&amp;CHAR(10)&amp;"Invalid Reason: "&amp;$P928&amp;CHAR(10)&amp;"Expected Resolution Code: "&amp;$Q928&amp;CHAR(10)&amp;"Remarks: "&amp;LEFT($R928,600)&amp;CHAR(10)&amp;CHAR(10)&amp;"This is an automated notification from HP Mainstream EQMS."),"✉ Open Email Draft"),"")</f>
        <v/>
      </c>
    </row>
    <row r="929">
      <c r="A929" s="25">
        <f>IF($C929="","","AUD-2026-"&amp;TEXT(ROW()-1,"000000"))</f>
        <v/>
      </c>
      <c r="B929" s="26" t="n"/>
      <c r="C929" s="27" t="n"/>
      <c r="D929" s="25">
        <f>IF($C929="","",IFERROR(IF(INDEX(Roster!$A:$A,MATCH($C929,Roster!$B:$B,0))="","",INDEX(Roster!$A:$A,MATCH($C929,Roster!$B:$B,0))&amp;""),"—"))</f>
        <v/>
      </c>
      <c r="E929" s="25">
        <f>IF($C929="","",IFERROR(IF(INDEX(Roster!$C:$C,MATCH($C929,Roster!$B:$B,0))="","",INDEX(Roster!$C:$C,MATCH($C929,Roster!$B:$B,0))&amp;""),"—"))</f>
        <v/>
      </c>
      <c r="F929" s="25">
        <f>IF($C929="","",IFERROR(IF(INDEX(Roster!$D:$D,MATCH($C929,Roster!$B:$B,0))="","",INDEX(Roster!$D:$D,MATCH($C929,Roster!$B:$B,0))&amp;""),"—"))</f>
        <v/>
      </c>
      <c r="G929" s="25">
        <f>IF($C929="","",IFERROR(IF(INDEX(Roster!$E:$E,MATCH($C929,Roster!$B:$B,0))="","",INDEX(Roster!$E:$E,MATCH($C929,Roster!$B:$B,0))&amp;""),"—"))</f>
        <v/>
      </c>
      <c r="H929" s="25">
        <f>IF($C929="","",IFERROR(IF(INDEX(Roster!$F:$F,MATCH($C929,Roster!$B:$B,0))="","",INDEX(Roster!$F:$F,MATCH($C929,Roster!$B:$B,0))&amp;""),"—"))</f>
        <v/>
      </c>
      <c r="I929" s="25">
        <f>IF($C929="","",IFERROR(IF(INDEX(Roster!$G:$G,MATCH($C929,Roster!$B:$B,0))="","",INDEX(Roster!$G:$G,MATCH($C929,Roster!$B:$B,0))&amp;""),"—"))</f>
        <v/>
      </c>
      <c r="J929" s="25">
        <f>IF($C929="","",IFERROR(IF(INDEX(Roster!$I:$I,MATCH($C929,Roster!$B:$B,0))="","",INDEX(Roster!$I:$I,MATCH($C929,Roster!$B:$B,0))&amp;""),"—"))</f>
        <v/>
      </c>
      <c r="K929">
        <f>IF($C929="","",IFERROR(IF(INDEX(Roster!$J:$J,MATCH($C929,Roster!$B:$B,0))="","",INDEX(Roster!$J:$J,MATCH($C929,Roster!$B:$B,0))&amp;""),"—"))</f>
        <v/>
      </c>
      <c r="L929">
        <f>IF($C929="","",IFERROR(IF(INDEX(Roster!$K:$K,MATCH($C929,Roster!$B:$B,0))="","",INDEX(Roster!$K:$K,MATCH($C929,Roster!$B:$B,0))&amp;""),"—"))</f>
        <v/>
      </c>
      <c r="M929" s="27" t="n"/>
      <c r="N929" s="27" t="n"/>
      <c r="O929" s="25">
        <f>IF($C929="","",IF($P929="","—",IF($P929="Valid (Pass)","Valid","Invalid")))</f>
        <v/>
      </c>
      <c r="P929" s="27" t="n"/>
      <c r="Q929" s="27" t="n"/>
      <c r="R929" s="27" t="n"/>
      <c r="S929" s="27" t="n"/>
      <c r="T929" s="25">
        <f>IF($C929="","",IF(OR(ISNUMBER(SEARCH("quick case",$P929)),ISNUMBER(SEARCH("quick case",$Q929))),"Yes","No"))</f>
        <v/>
      </c>
      <c r="U929" s="25">
        <f>IF($O929="Invalid",HYPERLINK("mailto:"&amp;$G929&amp;";"&amp;$I929&amp;"?cc="&amp;Lists!$E$2&amp;"&amp;subject="&amp;_xlfn.ENCODEURL("[INVALID] Quality audit monitoring completed for "&amp;UPPER($C929))&amp;"&amp;body="&amp;_xlfn.ENCODEURL("Hi "&amp;$F929&amp;","&amp;CHAR(10)&amp;"Good day!"&amp;CHAR(10)&amp;CHAR(10)&amp;"A quality monitoring audit has been completed for "&amp;$C929&amp;"."&amp;CHAR(10)&amp;CHAR(10)&amp;"QUALITY AUDIT DETAILS"&amp;CHAR(10)&amp;"Agent Name: "&amp;$C929&amp;" (EID "&amp;$D929&amp;")"&amp;CHAR(10)&amp;"Audit Date: "&amp;TEXT($B929,"yyyy-mm-dd")&amp;CHAR(10)&amp;"Team Leader: "&amp;$F929&amp;CHAR(10)&amp;"Case Number: "&amp;$M929&amp;CHAR(10)&amp;"Transaction ID: "&amp;$N929&amp;CHAR(10)&amp;"Channel / LOB: "&amp;$K929&amp;" / "&amp;$L929&amp;CHAR(10)&amp;"Evaluator: "&amp;$S929&amp;CHAR(10)&amp;CHAR(10)&amp;"INVALID QUALITY AUDIT DETAILS"&amp;CHAR(10)&amp;"Validation: Invalid"&amp;CHAR(10)&amp;"Invalid Reason: "&amp;$P929&amp;CHAR(10)&amp;"Expected Resolution Code: "&amp;$Q929&amp;CHAR(10)&amp;"Remarks: "&amp;LEFT($R929,600)&amp;CHAR(10)&amp;CHAR(10)&amp;"This is an automated notification from HP Mainstream EQMS."),"✉ Open Email Draft"),"")</f>
        <v/>
      </c>
    </row>
    <row r="930">
      <c r="A930" s="25">
        <f>IF($C930="","","AUD-2026-"&amp;TEXT(ROW()-1,"000000"))</f>
        <v/>
      </c>
      <c r="B930" s="26" t="n"/>
      <c r="C930" s="27" t="n"/>
      <c r="D930" s="25">
        <f>IF($C930="","",IFERROR(IF(INDEX(Roster!$A:$A,MATCH($C930,Roster!$B:$B,0))="","",INDEX(Roster!$A:$A,MATCH($C930,Roster!$B:$B,0))&amp;""),"—"))</f>
        <v/>
      </c>
      <c r="E930" s="25">
        <f>IF($C930="","",IFERROR(IF(INDEX(Roster!$C:$C,MATCH($C930,Roster!$B:$B,0))="","",INDEX(Roster!$C:$C,MATCH($C930,Roster!$B:$B,0))&amp;""),"—"))</f>
        <v/>
      </c>
      <c r="F930" s="25">
        <f>IF($C930="","",IFERROR(IF(INDEX(Roster!$D:$D,MATCH($C930,Roster!$B:$B,0))="","",INDEX(Roster!$D:$D,MATCH($C930,Roster!$B:$B,0))&amp;""),"—"))</f>
        <v/>
      </c>
      <c r="G930" s="25">
        <f>IF($C930="","",IFERROR(IF(INDEX(Roster!$E:$E,MATCH($C930,Roster!$B:$B,0))="","",INDEX(Roster!$E:$E,MATCH($C930,Roster!$B:$B,0))&amp;""),"—"))</f>
        <v/>
      </c>
      <c r="H930" s="25">
        <f>IF($C930="","",IFERROR(IF(INDEX(Roster!$F:$F,MATCH($C930,Roster!$B:$B,0))="","",INDEX(Roster!$F:$F,MATCH($C930,Roster!$B:$B,0))&amp;""),"—"))</f>
        <v/>
      </c>
      <c r="I930" s="25">
        <f>IF($C930="","",IFERROR(IF(INDEX(Roster!$G:$G,MATCH($C930,Roster!$B:$B,0))="","",INDEX(Roster!$G:$G,MATCH($C930,Roster!$B:$B,0))&amp;""),"—"))</f>
        <v/>
      </c>
      <c r="J930" s="25">
        <f>IF($C930="","",IFERROR(IF(INDEX(Roster!$I:$I,MATCH($C930,Roster!$B:$B,0))="","",INDEX(Roster!$I:$I,MATCH($C930,Roster!$B:$B,0))&amp;""),"—"))</f>
        <v/>
      </c>
      <c r="K930">
        <f>IF($C930="","",IFERROR(IF(INDEX(Roster!$J:$J,MATCH($C930,Roster!$B:$B,0))="","",INDEX(Roster!$J:$J,MATCH($C930,Roster!$B:$B,0))&amp;""),"—"))</f>
        <v/>
      </c>
      <c r="L930">
        <f>IF($C930="","",IFERROR(IF(INDEX(Roster!$K:$K,MATCH($C930,Roster!$B:$B,0))="","",INDEX(Roster!$K:$K,MATCH($C930,Roster!$B:$B,0))&amp;""),"—"))</f>
        <v/>
      </c>
      <c r="M930" s="27" t="n"/>
      <c r="N930" s="27" t="n"/>
      <c r="O930" s="25">
        <f>IF($C930="","",IF($P930="","—",IF($P930="Valid (Pass)","Valid","Invalid")))</f>
        <v/>
      </c>
      <c r="P930" s="27" t="n"/>
      <c r="Q930" s="27" t="n"/>
      <c r="R930" s="27" t="n"/>
      <c r="S930" s="27" t="n"/>
      <c r="T930" s="25">
        <f>IF($C930="","",IF(OR(ISNUMBER(SEARCH("quick case",$P930)),ISNUMBER(SEARCH("quick case",$Q930))),"Yes","No"))</f>
        <v/>
      </c>
      <c r="U930" s="25">
        <f>IF($O930="Invalid",HYPERLINK("mailto:"&amp;$G930&amp;";"&amp;$I930&amp;"?cc="&amp;Lists!$E$2&amp;"&amp;subject="&amp;_xlfn.ENCODEURL("[INVALID] Quality audit monitoring completed for "&amp;UPPER($C930))&amp;"&amp;body="&amp;_xlfn.ENCODEURL("Hi "&amp;$F930&amp;","&amp;CHAR(10)&amp;"Good day!"&amp;CHAR(10)&amp;CHAR(10)&amp;"A quality monitoring audit has been completed for "&amp;$C930&amp;"."&amp;CHAR(10)&amp;CHAR(10)&amp;"QUALITY AUDIT DETAILS"&amp;CHAR(10)&amp;"Agent Name: "&amp;$C930&amp;" (EID "&amp;$D930&amp;")"&amp;CHAR(10)&amp;"Audit Date: "&amp;TEXT($B930,"yyyy-mm-dd")&amp;CHAR(10)&amp;"Team Leader: "&amp;$F930&amp;CHAR(10)&amp;"Case Number: "&amp;$M930&amp;CHAR(10)&amp;"Transaction ID: "&amp;$N930&amp;CHAR(10)&amp;"Channel / LOB: "&amp;$K930&amp;" / "&amp;$L930&amp;CHAR(10)&amp;"Evaluator: "&amp;$S930&amp;CHAR(10)&amp;CHAR(10)&amp;"INVALID QUALITY AUDIT DETAILS"&amp;CHAR(10)&amp;"Validation: Invalid"&amp;CHAR(10)&amp;"Invalid Reason: "&amp;$P930&amp;CHAR(10)&amp;"Expected Resolution Code: "&amp;$Q930&amp;CHAR(10)&amp;"Remarks: "&amp;LEFT($R930,600)&amp;CHAR(10)&amp;CHAR(10)&amp;"This is an automated notification from HP Mainstream EQMS."),"✉ Open Email Draft"),"")</f>
        <v/>
      </c>
    </row>
    <row r="931">
      <c r="A931" s="25">
        <f>IF($C931="","","AUD-2026-"&amp;TEXT(ROW()-1,"000000"))</f>
        <v/>
      </c>
      <c r="B931" s="26" t="n"/>
      <c r="C931" s="27" t="n"/>
      <c r="D931" s="25">
        <f>IF($C931="","",IFERROR(IF(INDEX(Roster!$A:$A,MATCH($C931,Roster!$B:$B,0))="","",INDEX(Roster!$A:$A,MATCH($C931,Roster!$B:$B,0))&amp;""),"—"))</f>
        <v/>
      </c>
      <c r="E931" s="25">
        <f>IF($C931="","",IFERROR(IF(INDEX(Roster!$C:$C,MATCH($C931,Roster!$B:$B,0))="","",INDEX(Roster!$C:$C,MATCH($C931,Roster!$B:$B,0))&amp;""),"—"))</f>
        <v/>
      </c>
      <c r="F931" s="25">
        <f>IF($C931="","",IFERROR(IF(INDEX(Roster!$D:$D,MATCH($C931,Roster!$B:$B,0))="","",INDEX(Roster!$D:$D,MATCH($C931,Roster!$B:$B,0))&amp;""),"—"))</f>
        <v/>
      </c>
      <c r="G931" s="25">
        <f>IF($C931="","",IFERROR(IF(INDEX(Roster!$E:$E,MATCH($C931,Roster!$B:$B,0))="","",INDEX(Roster!$E:$E,MATCH($C931,Roster!$B:$B,0))&amp;""),"—"))</f>
        <v/>
      </c>
      <c r="H931" s="25">
        <f>IF($C931="","",IFERROR(IF(INDEX(Roster!$F:$F,MATCH($C931,Roster!$B:$B,0))="","",INDEX(Roster!$F:$F,MATCH($C931,Roster!$B:$B,0))&amp;""),"—"))</f>
        <v/>
      </c>
      <c r="I931" s="25">
        <f>IF($C931="","",IFERROR(IF(INDEX(Roster!$G:$G,MATCH($C931,Roster!$B:$B,0))="","",INDEX(Roster!$G:$G,MATCH($C931,Roster!$B:$B,0))&amp;""),"—"))</f>
        <v/>
      </c>
      <c r="J931" s="25">
        <f>IF($C931="","",IFERROR(IF(INDEX(Roster!$I:$I,MATCH($C931,Roster!$B:$B,0))="","",INDEX(Roster!$I:$I,MATCH($C931,Roster!$B:$B,0))&amp;""),"—"))</f>
        <v/>
      </c>
      <c r="K931">
        <f>IF($C931="","",IFERROR(IF(INDEX(Roster!$J:$J,MATCH($C931,Roster!$B:$B,0))="","",INDEX(Roster!$J:$J,MATCH($C931,Roster!$B:$B,0))&amp;""),"—"))</f>
        <v/>
      </c>
      <c r="L931">
        <f>IF($C931="","",IFERROR(IF(INDEX(Roster!$K:$K,MATCH($C931,Roster!$B:$B,0))="","",INDEX(Roster!$K:$K,MATCH($C931,Roster!$B:$B,0))&amp;""),"—"))</f>
        <v/>
      </c>
      <c r="M931" s="27" t="n"/>
      <c r="N931" s="27" t="n"/>
      <c r="O931" s="25">
        <f>IF($C931="","",IF($P931="","—",IF($P931="Valid (Pass)","Valid","Invalid")))</f>
        <v/>
      </c>
      <c r="P931" s="27" t="n"/>
      <c r="Q931" s="27" t="n"/>
      <c r="R931" s="27" t="n"/>
      <c r="S931" s="27" t="n"/>
      <c r="T931" s="25">
        <f>IF($C931="","",IF(OR(ISNUMBER(SEARCH("quick case",$P931)),ISNUMBER(SEARCH("quick case",$Q931))),"Yes","No"))</f>
        <v/>
      </c>
      <c r="U931" s="25">
        <f>IF($O931="Invalid",HYPERLINK("mailto:"&amp;$G931&amp;";"&amp;$I931&amp;"?cc="&amp;Lists!$E$2&amp;"&amp;subject="&amp;_xlfn.ENCODEURL("[INVALID] Quality audit monitoring completed for "&amp;UPPER($C931))&amp;"&amp;body="&amp;_xlfn.ENCODEURL("Hi "&amp;$F931&amp;","&amp;CHAR(10)&amp;"Good day!"&amp;CHAR(10)&amp;CHAR(10)&amp;"A quality monitoring audit has been completed for "&amp;$C931&amp;"."&amp;CHAR(10)&amp;CHAR(10)&amp;"QUALITY AUDIT DETAILS"&amp;CHAR(10)&amp;"Agent Name: "&amp;$C931&amp;" (EID "&amp;$D931&amp;")"&amp;CHAR(10)&amp;"Audit Date: "&amp;TEXT($B931,"yyyy-mm-dd")&amp;CHAR(10)&amp;"Team Leader: "&amp;$F931&amp;CHAR(10)&amp;"Case Number: "&amp;$M931&amp;CHAR(10)&amp;"Transaction ID: "&amp;$N931&amp;CHAR(10)&amp;"Channel / LOB: "&amp;$K931&amp;" / "&amp;$L931&amp;CHAR(10)&amp;"Evaluator: "&amp;$S931&amp;CHAR(10)&amp;CHAR(10)&amp;"INVALID QUALITY AUDIT DETAILS"&amp;CHAR(10)&amp;"Validation: Invalid"&amp;CHAR(10)&amp;"Invalid Reason: "&amp;$P931&amp;CHAR(10)&amp;"Expected Resolution Code: "&amp;$Q931&amp;CHAR(10)&amp;"Remarks: "&amp;LEFT($R931,600)&amp;CHAR(10)&amp;CHAR(10)&amp;"This is an automated notification from HP Mainstream EQMS."),"✉ Open Email Draft"),"")</f>
        <v/>
      </c>
    </row>
    <row r="932">
      <c r="A932" s="25">
        <f>IF($C932="","","AUD-2026-"&amp;TEXT(ROW()-1,"000000"))</f>
        <v/>
      </c>
      <c r="B932" s="26" t="n"/>
      <c r="C932" s="27" t="n"/>
      <c r="D932" s="25">
        <f>IF($C932="","",IFERROR(IF(INDEX(Roster!$A:$A,MATCH($C932,Roster!$B:$B,0))="","",INDEX(Roster!$A:$A,MATCH($C932,Roster!$B:$B,0))&amp;""),"—"))</f>
        <v/>
      </c>
      <c r="E932" s="25">
        <f>IF($C932="","",IFERROR(IF(INDEX(Roster!$C:$C,MATCH($C932,Roster!$B:$B,0))="","",INDEX(Roster!$C:$C,MATCH($C932,Roster!$B:$B,0))&amp;""),"—"))</f>
        <v/>
      </c>
      <c r="F932" s="25">
        <f>IF($C932="","",IFERROR(IF(INDEX(Roster!$D:$D,MATCH($C932,Roster!$B:$B,0))="","",INDEX(Roster!$D:$D,MATCH($C932,Roster!$B:$B,0))&amp;""),"—"))</f>
        <v/>
      </c>
      <c r="G932" s="25">
        <f>IF($C932="","",IFERROR(IF(INDEX(Roster!$E:$E,MATCH($C932,Roster!$B:$B,0))="","",INDEX(Roster!$E:$E,MATCH($C932,Roster!$B:$B,0))&amp;""),"—"))</f>
        <v/>
      </c>
      <c r="H932" s="25">
        <f>IF($C932="","",IFERROR(IF(INDEX(Roster!$F:$F,MATCH($C932,Roster!$B:$B,0))="","",INDEX(Roster!$F:$F,MATCH($C932,Roster!$B:$B,0))&amp;""),"—"))</f>
        <v/>
      </c>
      <c r="I932" s="25">
        <f>IF($C932="","",IFERROR(IF(INDEX(Roster!$G:$G,MATCH($C932,Roster!$B:$B,0))="","",INDEX(Roster!$G:$G,MATCH($C932,Roster!$B:$B,0))&amp;""),"—"))</f>
        <v/>
      </c>
      <c r="J932" s="25">
        <f>IF($C932="","",IFERROR(IF(INDEX(Roster!$I:$I,MATCH($C932,Roster!$B:$B,0))="","",INDEX(Roster!$I:$I,MATCH($C932,Roster!$B:$B,0))&amp;""),"—"))</f>
        <v/>
      </c>
      <c r="K932">
        <f>IF($C932="","",IFERROR(IF(INDEX(Roster!$J:$J,MATCH($C932,Roster!$B:$B,0))="","",INDEX(Roster!$J:$J,MATCH($C932,Roster!$B:$B,0))&amp;""),"—"))</f>
        <v/>
      </c>
      <c r="L932">
        <f>IF($C932="","",IFERROR(IF(INDEX(Roster!$K:$K,MATCH($C932,Roster!$B:$B,0))="","",INDEX(Roster!$K:$K,MATCH($C932,Roster!$B:$B,0))&amp;""),"—"))</f>
        <v/>
      </c>
      <c r="M932" s="27" t="n"/>
      <c r="N932" s="27" t="n"/>
      <c r="O932" s="25">
        <f>IF($C932="","",IF($P932="","—",IF($P932="Valid (Pass)","Valid","Invalid")))</f>
        <v/>
      </c>
      <c r="P932" s="27" t="n"/>
      <c r="Q932" s="27" t="n"/>
      <c r="R932" s="27" t="n"/>
      <c r="S932" s="27" t="n"/>
      <c r="T932" s="25">
        <f>IF($C932="","",IF(OR(ISNUMBER(SEARCH("quick case",$P932)),ISNUMBER(SEARCH("quick case",$Q932))),"Yes","No"))</f>
        <v/>
      </c>
      <c r="U932" s="25">
        <f>IF($O932="Invalid",HYPERLINK("mailto:"&amp;$G932&amp;";"&amp;$I932&amp;"?cc="&amp;Lists!$E$2&amp;"&amp;subject="&amp;_xlfn.ENCODEURL("[INVALID] Quality audit monitoring completed for "&amp;UPPER($C932))&amp;"&amp;body="&amp;_xlfn.ENCODEURL("Hi "&amp;$F932&amp;","&amp;CHAR(10)&amp;"Good day!"&amp;CHAR(10)&amp;CHAR(10)&amp;"A quality monitoring audit has been completed for "&amp;$C932&amp;"."&amp;CHAR(10)&amp;CHAR(10)&amp;"QUALITY AUDIT DETAILS"&amp;CHAR(10)&amp;"Agent Name: "&amp;$C932&amp;" (EID "&amp;$D932&amp;")"&amp;CHAR(10)&amp;"Audit Date: "&amp;TEXT($B932,"yyyy-mm-dd")&amp;CHAR(10)&amp;"Team Leader: "&amp;$F932&amp;CHAR(10)&amp;"Case Number: "&amp;$M932&amp;CHAR(10)&amp;"Transaction ID: "&amp;$N932&amp;CHAR(10)&amp;"Channel / LOB: "&amp;$K932&amp;" / "&amp;$L932&amp;CHAR(10)&amp;"Evaluator: "&amp;$S932&amp;CHAR(10)&amp;CHAR(10)&amp;"INVALID QUALITY AUDIT DETAILS"&amp;CHAR(10)&amp;"Validation: Invalid"&amp;CHAR(10)&amp;"Invalid Reason: "&amp;$P932&amp;CHAR(10)&amp;"Expected Resolution Code: "&amp;$Q932&amp;CHAR(10)&amp;"Remarks: "&amp;LEFT($R932,600)&amp;CHAR(10)&amp;CHAR(10)&amp;"This is an automated notification from HP Mainstream EQMS."),"✉ Open Email Draft"),"")</f>
        <v/>
      </c>
    </row>
    <row r="933">
      <c r="A933" s="25">
        <f>IF($C933="","","AUD-2026-"&amp;TEXT(ROW()-1,"000000"))</f>
        <v/>
      </c>
      <c r="B933" s="26" t="n"/>
      <c r="C933" s="27" t="n"/>
      <c r="D933" s="25">
        <f>IF($C933="","",IFERROR(IF(INDEX(Roster!$A:$A,MATCH($C933,Roster!$B:$B,0))="","",INDEX(Roster!$A:$A,MATCH($C933,Roster!$B:$B,0))&amp;""),"—"))</f>
        <v/>
      </c>
      <c r="E933" s="25">
        <f>IF($C933="","",IFERROR(IF(INDEX(Roster!$C:$C,MATCH($C933,Roster!$B:$B,0))="","",INDEX(Roster!$C:$C,MATCH($C933,Roster!$B:$B,0))&amp;""),"—"))</f>
        <v/>
      </c>
      <c r="F933" s="25">
        <f>IF($C933="","",IFERROR(IF(INDEX(Roster!$D:$D,MATCH($C933,Roster!$B:$B,0))="","",INDEX(Roster!$D:$D,MATCH($C933,Roster!$B:$B,0))&amp;""),"—"))</f>
        <v/>
      </c>
      <c r="G933" s="25">
        <f>IF($C933="","",IFERROR(IF(INDEX(Roster!$E:$E,MATCH($C933,Roster!$B:$B,0))="","",INDEX(Roster!$E:$E,MATCH($C933,Roster!$B:$B,0))&amp;""),"—"))</f>
        <v/>
      </c>
      <c r="H933" s="25">
        <f>IF($C933="","",IFERROR(IF(INDEX(Roster!$F:$F,MATCH($C933,Roster!$B:$B,0))="","",INDEX(Roster!$F:$F,MATCH($C933,Roster!$B:$B,0))&amp;""),"—"))</f>
        <v/>
      </c>
      <c r="I933" s="25">
        <f>IF($C933="","",IFERROR(IF(INDEX(Roster!$G:$G,MATCH($C933,Roster!$B:$B,0))="","",INDEX(Roster!$G:$G,MATCH($C933,Roster!$B:$B,0))&amp;""),"—"))</f>
        <v/>
      </c>
      <c r="J933" s="25">
        <f>IF($C933="","",IFERROR(IF(INDEX(Roster!$I:$I,MATCH($C933,Roster!$B:$B,0))="","",INDEX(Roster!$I:$I,MATCH($C933,Roster!$B:$B,0))&amp;""),"—"))</f>
        <v/>
      </c>
      <c r="K933">
        <f>IF($C933="","",IFERROR(IF(INDEX(Roster!$J:$J,MATCH($C933,Roster!$B:$B,0))="","",INDEX(Roster!$J:$J,MATCH($C933,Roster!$B:$B,0))&amp;""),"—"))</f>
        <v/>
      </c>
      <c r="L933">
        <f>IF($C933="","",IFERROR(IF(INDEX(Roster!$K:$K,MATCH($C933,Roster!$B:$B,0))="","",INDEX(Roster!$K:$K,MATCH($C933,Roster!$B:$B,0))&amp;""),"—"))</f>
        <v/>
      </c>
      <c r="M933" s="27" t="n"/>
      <c r="N933" s="27" t="n"/>
      <c r="O933" s="25">
        <f>IF($C933="","",IF($P933="","—",IF($P933="Valid (Pass)","Valid","Invalid")))</f>
        <v/>
      </c>
      <c r="P933" s="27" t="n"/>
      <c r="Q933" s="27" t="n"/>
      <c r="R933" s="27" t="n"/>
      <c r="S933" s="27" t="n"/>
      <c r="T933" s="25">
        <f>IF($C933="","",IF(OR(ISNUMBER(SEARCH("quick case",$P933)),ISNUMBER(SEARCH("quick case",$Q933))),"Yes","No"))</f>
        <v/>
      </c>
      <c r="U933" s="25">
        <f>IF($O933="Invalid",HYPERLINK("mailto:"&amp;$G933&amp;";"&amp;$I933&amp;"?cc="&amp;Lists!$E$2&amp;"&amp;subject="&amp;_xlfn.ENCODEURL("[INVALID] Quality audit monitoring completed for "&amp;UPPER($C933))&amp;"&amp;body="&amp;_xlfn.ENCODEURL("Hi "&amp;$F933&amp;","&amp;CHAR(10)&amp;"Good day!"&amp;CHAR(10)&amp;CHAR(10)&amp;"A quality monitoring audit has been completed for "&amp;$C933&amp;"."&amp;CHAR(10)&amp;CHAR(10)&amp;"QUALITY AUDIT DETAILS"&amp;CHAR(10)&amp;"Agent Name: "&amp;$C933&amp;" (EID "&amp;$D933&amp;")"&amp;CHAR(10)&amp;"Audit Date: "&amp;TEXT($B933,"yyyy-mm-dd")&amp;CHAR(10)&amp;"Team Leader: "&amp;$F933&amp;CHAR(10)&amp;"Case Number: "&amp;$M933&amp;CHAR(10)&amp;"Transaction ID: "&amp;$N933&amp;CHAR(10)&amp;"Channel / LOB: "&amp;$K933&amp;" / "&amp;$L933&amp;CHAR(10)&amp;"Evaluator: "&amp;$S933&amp;CHAR(10)&amp;CHAR(10)&amp;"INVALID QUALITY AUDIT DETAILS"&amp;CHAR(10)&amp;"Validation: Invalid"&amp;CHAR(10)&amp;"Invalid Reason: "&amp;$P933&amp;CHAR(10)&amp;"Expected Resolution Code: "&amp;$Q933&amp;CHAR(10)&amp;"Remarks: "&amp;LEFT($R933,600)&amp;CHAR(10)&amp;CHAR(10)&amp;"This is an automated notification from HP Mainstream EQMS."),"✉ Open Email Draft"),"")</f>
        <v/>
      </c>
    </row>
    <row r="934">
      <c r="A934" s="25">
        <f>IF($C934="","","AUD-2026-"&amp;TEXT(ROW()-1,"000000"))</f>
        <v/>
      </c>
      <c r="B934" s="26" t="n"/>
      <c r="C934" s="27" t="n"/>
      <c r="D934" s="25">
        <f>IF($C934="","",IFERROR(IF(INDEX(Roster!$A:$A,MATCH($C934,Roster!$B:$B,0))="","",INDEX(Roster!$A:$A,MATCH($C934,Roster!$B:$B,0))&amp;""),"—"))</f>
        <v/>
      </c>
      <c r="E934" s="25">
        <f>IF($C934="","",IFERROR(IF(INDEX(Roster!$C:$C,MATCH($C934,Roster!$B:$B,0))="","",INDEX(Roster!$C:$C,MATCH($C934,Roster!$B:$B,0))&amp;""),"—"))</f>
        <v/>
      </c>
      <c r="F934" s="25">
        <f>IF($C934="","",IFERROR(IF(INDEX(Roster!$D:$D,MATCH($C934,Roster!$B:$B,0))="","",INDEX(Roster!$D:$D,MATCH($C934,Roster!$B:$B,0))&amp;""),"—"))</f>
        <v/>
      </c>
      <c r="G934" s="25">
        <f>IF($C934="","",IFERROR(IF(INDEX(Roster!$E:$E,MATCH($C934,Roster!$B:$B,0))="","",INDEX(Roster!$E:$E,MATCH($C934,Roster!$B:$B,0))&amp;""),"—"))</f>
        <v/>
      </c>
      <c r="H934" s="25">
        <f>IF($C934="","",IFERROR(IF(INDEX(Roster!$F:$F,MATCH($C934,Roster!$B:$B,0))="","",INDEX(Roster!$F:$F,MATCH($C934,Roster!$B:$B,0))&amp;""),"—"))</f>
        <v/>
      </c>
      <c r="I934" s="25">
        <f>IF($C934="","",IFERROR(IF(INDEX(Roster!$G:$G,MATCH($C934,Roster!$B:$B,0))="","",INDEX(Roster!$G:$G,MATCH($C934,Roster!$B:$B,0))&amp;""),"—"))</f>
        <v/>
      </c>
      <c r="J934" s="25">
        <f>IF($C934="","",IFERROR(IF(INDEX(Roster!$I:$I,MATCH($C934,Roster!$B:$B,0))="","",INDEX(Roster!$I:$I,MATCH($C934,Roster!$B:$B,0))&amp;""),"—"))</f>
        <v/>
      </c>
      <c r="K934">
        <f>IF($C934="","",IFERROR(IF(INDEX(Roster!$J:$J,MATCH($C934,Roster!$B:$B,0))="","",INDEX(Roster!$J:$J,MATCH($C934,Roster!$B:$B,0))&amp;""),"—"))</f>
        <v/>
      </c>
      <c r="L934">
        <f>IF($C934="","",IFERROR(IF(INDEX(Roster!$K:$K,MATCH($C934,Roster!$B:$B,0))="","",INDEX(Roster!$K:$K,MATCH($C934,Roster!$B:$B,0))&amp;""),"—"))</f>
        <v/>
      </c>
      <c r="M934" s="27" t="n"/>
      <c r="N934" s="27" t="n"/>
      <c r="O934" s="25">
        <f>IF($C934="","",IF($P934="","—",IF($P934="Valid (Pass)","Valid","Invalid")))</f>
        <v/>
      </c>
      <c r="P934" s="27" t="n"/>
      <c r="Q934" s="27" t="n"/>
      <c r="R934" s="27" t="n"/>
      <c r="S934" s="27" t="n"/>
      <c r="T934" s="25">
        <f>IF($C934="","",IF(OR(ISNUMBER(SEARCH("quick case",$P934)),ISNUMBER(SEARCH("quick case",$Q934))),"Yes","No"))</f>
        <v/>
      </c>
      <c r="U934" s="25">
        <f>IF($O934="Invalid",HYPERLINK("mailto:"&amp;$G934&amp;";"&amp;$I934&amp;"?cc="&amp;Lists!$E$2&amp;"&amp;subject="&amp;_xlfn.ENCODEURL("[INVALID] Quality audit monitoring completed for "&amp;UPPER($C934))&amp;"&amp;body="&amp;_xlfn.ENCODEURL("Hi "&amp;$F934&amp;","&amp;CHAR(10)&amp;"Good day!"&amp;CHAR(10)&amp;CHAR(10)&amp;"A quality monitoring audit has been completed for "&amp;$C934&amp;"."&amp;CHAR(10)&amp;CHAR(10)&amp;"QUALITY AUDIT DETAILS"&amp;CHAR(10)&amp;"Agent Name: "&amp;$C934&amp;" (EID "&amp;$D934&amp;")"&amp;CHAR(10)&amp;"Audit Date: "&amp;TEXT($B934,"yyyy-mm-dd")&amp;CHAR(10)&amp;"Team Leader: "&amp;$F934&amp;CHAR(10)&amp;"Case Number: "&amp;$M934&amp;CHAR(10)&amp;"Transaction ID: "&amp;$N934&amp;CHAR(10)&amp;"Channel / LOB: "&amp;$K934&amp;" / "&amp;$L934&amp;CHAR(10)&amp;"Evaluator: "&amp;$S934&amp;CHAR(10)&amp;CHAR(10)&amp;"INVALID QUALITY AUDIT DETAILS"&amp;CHAR(10)&amp;"Validation: Invalid"&amp;CHAR(10)&amp;"Invalid Reason: "&amp;$P934&amp;CHAR(10)&amp;"Expected Resolution Code: "&amp;$Q934&amp;CHAR(10)&amp;"Remarks: "&amp;LEFT($R934,600)&amp;CHAR(10)&amp;CHAR(10)&amp;"This is an automated notification from HP Mainstream EQMS."),"✉ Open Email Draft"),"")</f>
        <v/>
      </c>
    </row>
    <row r="935">
      <c r="A935" s="25">
        <f>IF($C935="","","AUD-2026-"&amp;TEXT(ROW()-1,"000000"))</f>
        <v/>
      </c>
      <c r="B935" s="26" t="n"/>
      <c r="C935" s="27" t="n"/>
      <c r="D935" s="25">
        <f>IF($C935="","",IFERROR(IF(INDEX(Roster!$A:$A,MATCH($C935,Roster!$B:$B,0))="","",INDEX(Roster!$A:$A,MATCH($C935,Roster!$B:$B,0))&amp;""),"—"))</f>
        <v/>
      </c>
      <c r="E935" s="25">
        <f>IF($C935="","",IFERROR(IF(INDEX(Roster!$C:$C,MATCH($C935,Roster!$B:$B,0))="","",INDEX(Roster!$C:$C,MATCH($C935,Roster!$B:$B,0))&amp;""),"—"))</f>
        <v/>
      </c>
      <c r="F935" s="25">
        <f>IF($C935="","",IFERROR(IF(INDEX(Roster!$D:$D,MATCH($C935,Roster!$B:$B,0))="","",INDEX(Roster!$D:$D,MATCH($C935,Roster!$B:$B,0))&amp;""),"—"))</f>
        <v/>
      </c>
      <c r="G935" s="25">
        <f>IF($C935="","",IFERROR(IF(INDEX(Roster!$E:$E,MATCH($C935,Roster!$B:$B,0))="","",INDEX(Roster!$E:$E,MATCH($C935,Roster!$B:$B,0))&amp;""),"—"))</f>
        <v/>
      </c>
      <c r="H935" s="25">
        <f>IF($C935="","",IFERROR(IF(INDEX(Roster!$F:$F,MATCH($C935,Roster!$B:$B,0))="","",INDEX(Roster!$F:$F,MATCH($C935,Roster!$B:$B,0))&amp;""),"—"))</f>
        <v/>
      </c>
      <c r="I935" s="25">
        <f>IF($C935="","",IFERROR(IF(INDEX(Roster!$G:$G,MATCH($C935,Roster!$B:$B,0))="","",INDEX(Roster!$G:$G,MATCH($C935,Roster!$B:$B,0))&amp;""),"—"))</f>
        <v/>
      </c>
      <c r="J935" s="25">
        <f>IF($C935="","",IFERROR(IF(INDEX(Roster!$I:$I,MATCH($C935,Roster!$B:$B,0))="","",INDEX(Roster!$I:$I,MATCH($C935,Roster!$B:$B,0))&amp;""),"—"))</f>
        <v/>
      </c>
      <c r="K935">
        <f>IF($C935="","",IFERROR(IF(INDEX(Roster!$J:$J,MATCH($C935,Roster!$B:$B,0))="","",INDEX(Roster!$J:$J,MATCH($C935,Roster!$B:$B,0))&amp;""),"—"))</f>
        <v/>
      </c>
      <c r="L935">
        <f>IF($C935="","",IFERROR(IF(INDEX(Roster!$K:$K,MATCH($C935,Roster!$B:$B,0))="","",INDEX(Roster!$K:$K,MATCH($C935,Roster!$B:$B,0))&amp;""),"—"))</f>
        <v/>
      </c>
      <c r="M935" s="27" t="n"/>
      <c r="N935" s="27" t="n"/>
      <c r="O935" s="25">
        <f>IF($C935="","",IF($P935="","—",IF($P935="Valid (Pass)","Valid","Invalid")))</f>
        <v/>
      </c>
      <c r="P935" s="27" t="n"/>
      <c r="Q935" s="27" t="n"/>
      <c r="R935" s="27" t="n"/>
      <c r="S935" s="27" t="n"/>
      <c r="T935" s="25">
        <f>IF($C935="","",IF(OR(ISNUMBER(SEARCH("quick case",$P935)),ISNUMBER(SEARCH("quick case",$Q935))),"Yes","No"))</f>
        <v/>
      </c>
      <c r="U935" s="25">
        <f>IF($O935="Invalid",HYPERLINK("mailto:"&amp;$G935&amp;";"&amp;$I935&amp;"?cc="&amp;Lists!$E$2&amp;"&amp;subject="&amp;_xlfn.ENCODEURL("[INVALID] Quality audit monitoring completed for "&amp;UPPER($C935))&amp;"&amp;body="&amp;_xlfn.ENCODEURL("Hi "&amp;$F935&amp;","&amp;CHAR(10)&amp;"Good day!"&amp;CHAR(10)&amp;CHAR(10)&amp;"A quality monitoring audit has been completed for "&amp;$C935&amp;"."&amp;CHAR(10)&amp;CHAR(10)&amp;"QUALITY AUDIT DETAILS"&amp;CHAR(10)&amp;"Agent Name: "&amp;$C935&amp;" (EID "&amp;$D935&amp;")"&amp;CHAR(10)&amp;"Audit Date: "&amp;TEXT($B935,"yyyy-mm-dd")&amp;CHAR(10)&amp;"Team Leader: "&amp;$F935&amp;CHAR(10)&amp;"Case Number: "&amp;$M935&amp;CHAR(10)&amp;"Transaction ID: "&amp;$N935&amp;CHAR(10)&amp;"Channel / LOB: "&amp;$K935&amp;" / "&amp;$L935&amp;CHAR(10)&amp;"Evaluator: "&amp;$S935&amp;CHAR(10)&amp;CHAR(10)&amp;"INVALID QUALITY AUDIT DETAILS"&amp;CHAR(10)&amp;"Validation: Invalid"&amp;CHAR(10)&amp;"Invalid Reason: "&amp;$P935&amp;CHAR(10)&amp;"Expected Resolution Code: "&amp;$Q935&amp;CHAR(10)&amp;"Remarks: "&amp;LEFT($R935,600)&amp;CHAR(10)&amp;CHAR(10)&amp;"This is an automated notification from HP Mainstream EQMS."),"✉ Open Email Draft"),"")</f>
        <v/>
      </c>
    </row>
    <row r="936">
      <c r="A936" s="25">
        <f>IF($C936="","","AUD-2026-"&amp;TEXT(ROW()-1,"000000"))</f>
        <v/>
      </c>
      <c r="B936" s="26" t="n"/>
      <c r="C936" s="27" t="n"/>
      <c r="D936" s="25">
        <f>IF($C936="","",IFERROR(IF(INDEX(Roster!$A:$A,MATCH($C936,Roster!$B:$B,0))="","",INDEX(Roster!$A:$A,MATCH($C936,Roster!$B:$B,0))&amp;""),"—"))</f>
        <v/>
      </c>
      <c r="E936" s="25">
        <f>IF($C936="","",IFERROR(IF(INDEX(Roster!$C:$C,MATCH($C936,Roster!$B:$B,0))="","",INDEX(Roster!$C:$C,MATCH($C936,Roster!$B:$B,0))&amp;""),"—"))</f>
        <v/>
      </c>
      <c r="F936" s="25">
        <f>IF($C936="","",IFERROR(IF(INDEX(Roster!$D:$D,MATCH($C936,Roster!$B:$B,0))="","",INDEX(Roster!$D:$D,MATCH($C936,Roster!$B:$B,0))&amp;""),"—"))</f>
        <v/>
      </c>
      <c r="G936" s="25">
        <f>IF($C936="","",IFERROR(IF(INDEX(Roster!$E:$E,MATCH($C936,Roster!$B:$B,0))="","",INDEX(Roster!$E:$E,MATCH($C936,Roster!$B:$B,0))&amp;""),"—"))</f>
        <v/>
      </c>
      <c r="H936" s="25">
        <f>IF($C936="","",IFERROR(IF(INDEX(Roster!$F:$F,MATCH($C936,Roster!$B:$B,0))="","",INDEX(Roster!$F:$F,MATCH($C936,Roster!$B:$B,0))&amp;""),"—"))</f>
        <v/>
      </c>
      <c r="I936" s="25">
        <f>IF($C936="","",IFERROR(IF(INDEX(Roster!$G:$G,MATCH($C936,Roster!$B:$B,0))="","",INDEX(Roster!$G:$G,MATCH($C936,Roster!$B:$B,0))&amp;""),"—"))</f>
        <v/>
      </c>
      <c r="J936" s="25">
        <f>IF($C936="","",IFERROR(IF(INDEX(Roster!$I:$I,MATCH($C936,Roster!$B:$B,0))="","",INDEX(Roster!$I:$I,MATCH($C936,Roster!$B:$B,0))&amp;""),"—"))</f>
        <v/>
      </c>
      <c r="K936">
        <f>IF($C936="","",IFERROR(IF(INDEX(Roster!$J:$J,MATCH($C936,Roster!$B:$B,0))="","",INDEX(Roster!$J:$J,MATCH($C936,Roster!$B:$B,0))&amp;""),"—"))</f>
        <v/>
      </c>
      <c r="L936">
        <f>IF($C936="","",IFERROR(IF(INDEX(Roster!$K:$K,MATCH($C936,Roster!$B:$B,0))="","",INDEX(Roster!$K:$K,MATCH($C936,Roster!$B:$B,0))&amp;""),"—"))</f>
        <v/>
      </c>
      <c r="M936" s="27" t="n"/>
      <c r="N936" s="27" t="n"/>
      <c r="O936" s="25">
        <f>IF($C936="","",IF($P936="","—",IF($P936="Valid (Pass)","Valid","Invalid")))</f>
        <v/>
      </c>
      <c r="P936" s="27" t="n"/>
      <c r="Q936" s="27" t="n"/>
      <c r="R936" s="27" t="n"/>
      <c r="S936" s="27" t="n"/>
      <c r="T936" s="25">
        <f>IF($C936="","",IF(OR(ISNUMBER(SEARCH("quick case",$P936)),ISNUMBER(SEARCH("quick case",$Q936))),"Yes","No"))</f>
        <v/>
      </c>
      <c r="U936" s="25">
        <f>IF($O936="Invalid",HYPERLINK("mailto:"&amp;$G936&amp;";"&amp;$I936&amp;"?cc="&amp;Lists!$E$2&amp;"&amp;subject="&amp;_xlfn.ENCODEURL("[INVALID] Quality audit monitoring completed for "&amp;UPPER($C936))&amp;"&amp;body="&amp;_xlfn.ENCODEURL("Hi "&amp;$F936&amp;","&amp;CHAR(10)&amp;"Good day!"&amp;CHAR(10)&amp;CHAR(10)&amp;"A quality monitoring audit has been completed for "&amp;$C936&amp;"."&amp;CHAR(10)&amp;CHAR(10)&amp;"QUALITY AUDIT DETAILS"&amp;CHAR(10)&amp;"Agent Name: "&amp;$C936&amp;" (EID "&amp;$D936&amp;")"&amp;CHAR(10)&amp;"Audit Date: "&amp;TEXT($B936,"yyyy-mm-dd")&amp;CHAR(10)&amp;"Team Leader: "&amp;$F936&amp;CHAR(10)&amp;"Case Number: "&amp;$M936&amp;CHAR(10)&amp;"Transaction ID: "&amp;$N936&amp;CHAR(10)&amp;"Channel / LOB: "&amp;$K936&amp;" / "&amp;$L936&amp;CHAR(10)&amp;"Evaluator: "&amp;$S936&amp;CHAR(10)&amp;CHAR(10)&amp;"INVALID QUALITY AUDIT DETAILS"&amp;CHAR(10)&amp;"Validation: Invalid"&amp;CHAR(10)&amp;"Invalid Reason: "&amp;$P936&amp;CHAR(10)&amp;"Expected Resolution Code: "&amp;$Q936&amp;CHAR(10)&amp;"Remarks: "&amp;LEFT($R936,600)&amp;CHAR(10)&amp;CHAR(10)&amp;"This is an automated notification from HP Mainstream EQMS."),"✉ Open Email Draft"),"")</f>
        <v/>
      </c>
    </row>
    <row r="937">
      <c r="A937" s="25">
        <f>IF($C937="","","AUD-2026-"&amp;TEXT(ROW()-1,"000000"))</f>
        <v/>
      </c>
      <c r="B937" s="26" t="n"/>
      <c r="C937" s="27" t="n"/>
      <c r="D937" s="25">
        <f>IF($C937="","",IFERROR(IF(INDEX(Roster!$A:$A,MATCH($C937,Roster!$B:$B,0))="","",INDEX(Roster!$A:$A,MATCH($C937,Roster!$B:$B,0))&amp;""),"—"))</f>
        <v/>
      </c>
      <c r="E937" s="25">
        <f>IF($C937="","",IFERROR(IF(INDEX(Roster!$C:$C,MATCH($C937,Roster!$B:$B,0))="","",INDEX(Roster!$C:$C,MATCH($C937,Roster!$B:$B,0))&amp;""),"—"))</f>
        <v/>
      </c>
      <c r="F937" s="25">
        <f>IF($C937="","",IFERROR(IF(INDEX(Roster!$D:$D,MATCH($C937,Roster!$B:$B,0))="","",INDEX(Roster!$D:$D,MATCH($C937,Roster!$B:$B,0))&amp;""),"—"))</f>
        <v/>
      </c>
      <c r="G937" s="25">
        <f>IF($C937="","",IFERROR(IF(INDEX(Roster!$E:$E,MATCH($C937,Roster!$B:$B,0))="","",INDEX(Roster!$E:$E,MATCH($C937,Roster!$B:$B,0))&amp;""),"—"))</f>
        <v/>
      </c>
      <c r="H937" s="25">
        <f>IF($C937="","",IFERROR(IF(INDEX(Roster!$F:$F,MATCH($C937,Roster!$B:$B,0))="","",INDEX(Roster!$F:$F,MATCH($C937,Roster!$B:$B,0))&amp;""),"—"))</f>
        <v/>
      </c>
      <c r="I937" s="25">
        <f>IF($C937="","",IFERROR(IF(INDEX(Roster!$G:$G,MATCH($C937,Roster!$B:$B,0))="","",INDEX(Roster!$G:$G,MATCH($C937,Roster!$B:$B,0))&amp;""),"—"))</f>
        <v/>
      </c>
      <c r="J937" s="25">
        <f>IF($C937="","",IFERROR(IF(INDEX(Roster!$I:$I,MATCH($C937,Roster!$B:$B,0))="","",INDEX(Roster!$I:$I,MATCH($C937,Roster!$B:$B,0))&amp;""),"—"))</f>
        <v/>
      </c>
      <c r="K937">
        <f>IF($C937="","",IFERROR(IF(INDEX(Roster!$J:$J,MATCH($C937,Roster!$B:$B,0))="","",INDEX(Roster!$J:$J,MATCH($C937,Roster!$B:$B,0))&amp;""),"—"))</f>
        <v/>
      </c>
      <c r="L937">
        <f>IF($C937="","",IFERROR(IF(INDEX(Roster!$K:$K,MATCH($C937,Roster!$B:$B,0))="","",INDEX(Roster!$K:$K,MATCH($C937,Roster!$B:$B,0))&amp;""),"—"))</f>
        <v/>
      </c>
      <c r="M937" s="27" t="n"/>
      <c r="N937" s="27" t="n"/>
      <c r="O937" s="25">
        <f>IF($C937="","",IF($P937="","—",IF($P937="Valid (Pass)","Valid","Invalid")))</f>
        <v/>
      </c>
      <c r="P937" s="27" t="n"/>
      <c r="Q937" s="27" t="n"/>
      <c r="R937" s="27" t="n"/>
      <c r="S937" s="27" t="n"/>
      <c r="T937" s="25">
        <f>IF($C937="","",IF(OR(ISNUMBER(SEARCH("quick case",$P937)),ISNUMBER(SEARCH("quick case",$Q937))),"Yes","No"))</f>
        <v/>
      </c>
      <c r="U937" s="25">
        <f>IF($O937="Invalid",HYPERLINK("mailto:"&amp;$G937&amp;";"&amp;$I937&amp;"?cc="&amp;Lists!$E$2&amp;"&amp;subject="&amp;_xlfn.ENCODEURL("[INVALID] Quality audit monitoring completed for "&amp;UPPER($C937))&amp;"&amp;body="&amp;_xlfn.ENCODEURL("Hi "&amp;$F937&amp;","&amp;CHAR(10)&amp;"Good day!"&amp;CHAR(10)&amp;CHAR(10)&amp;"A quality monitoring audit has been completed for "&amp;$C937&amp;"."&amp;CHAR(10)&amp;CHAR(10)&amp;"QUALITY AUDIT DETAILS"&amp;CHAR(10)&amp;"Agent Name: "&amp;$C937&amp;" (EID "&amp;$D937&amp;")"&amp;CHAR(10)&amp;"Audit Date: "&amp;TEXT($B937,"yyyy-mm-dd")&amp;CHAR(10)&amp;"Team Leader: "&amp;$F937&amp;CHAR(10)&amp;"Case Number: "&amp;$M937&amp;CHAR(10)&amp;"Transaction ID: "&amp;$N937&amp;CHAR(10)&amp;"Channel / LOB: "&amp;$K937&amp;" / "&amp;$L937&amp;CHAR(10)&amp;"Evaluator: "&amp;$S937&amp;CHAR(10)&amp;CHAR(10)&amp;"INVALID QUALITY AUDIT DETAILS"&amp;CHAR(10)&amp;"Validation: Invalid"&amp;CHAR(10)&amp;"Invalid Reason: "&amp;$P937&amp;CHAR(10)&amp;"Expected Resolution Code: "&amp;$Q937&amp;CHAR(10)&amp;"Remarks: "&amp;LEFT($R937,600)&amp;CHAR(10)&amp;CHAR(10)&amp;"This is an automated notification from HP Mainstream EQMS."),"✉ Open Email Draft"),"")</f>
        <v/>
      </c>
    </row>
    <row r="938">
      <c r="A938" s="25">
        <f>IF($C938="","","AUD-2026-"&amp;TEXT(ROW()-1,"000000"))</f>
        <v/>
      </c>
      <c r="B938" s="26" t="n"/>
      <c r="C938" s="27" t="n"/>
      <c r="D938" s="25">
        <f>IF($C938="","",IFERROR(IF(INDEX(Roster!$A:$A,MATCH($C938,Roster!$B:$B,0))="","",INDEX(Roster!$A:$A,MATCH($C938,Roster!$B:$B,0))&amp;""),"—"))</f>
        <v/>
      </c>
      <c r="E938" s="25">
        <f>IF($C938="","",IFERROR(IF(INDEX(Roster!$C:$C,MATCH($C938,Roster!$B:$B,0))="","",INDEX(Roster!$C:$C,MATCH($C938,Roster!$B:$B,0))&amp;""),"—"))</f>
        <v/>
      </c>
      <c r="F938" s="25">
        <f>IF($C938="","",IFERROR(IF(INDEX(Roster!$D:$D,MATCH($C938,Roster!$B:$B,0))="","",INDEX(Roster!$D:$D,MATCH($C938,Roster!$B:$B,0))&amp;""),"—"))</f>
        <v/>
      </c>
      <c r="G938" s="25">
        <f>IF($C938="","",IFERROR(IF(INDEX(Roster!$E:$E,MATCH($C938,Roster!$B:$B,0))="","",INDEX(Roster!$E:$E,MATCH($C938,Roster!$B:$B,0))&amp;""),"—"))</f>
        <v/>
      </c>
      <c r="H938" s="25">
        <f>IF($C938="","",IFERROR(IF(INDEX(Roster!$F:$F,MATCH($C938,Roster!$B:$B,0))="","",INDEX(Roster!$F:$F,MATCH($C938,Roster!$B:$B,0))&amp;""),"—"))</f>
        <v/>
      </c>
      <c r="I938" s="25">
        <f>IF($C938="","",IFERROR(IF(INDEX(Roster!$G:$G,MATCH($C938,Roster!$B:$B,0))="","",INDEX(Roster!$G:$G,MATCH($C938,Roster!$B:$B,0))&amp;""),"—"))</f>
        <v/>
      </c>
      <c r="J938" s="25">
        <f>IF($C938="","",IFERROR(IF(INDEX(Roster!$I:$I,MATCH($C938,Roster!$B:$B,0))="","",INDEX(Roster!$I:$I,MATCH($C938,Roster!$B:$B,0))&amp;""),"—"))</f>
        <v/>
      </c>
      <c r="K938">
        <f>IF($C938="","",IFERROR(IF(INDEX(Roster!$J:$J,MATCH($C938,Roster!$B:$B,0))="","",INDEX(Roster!$J:$J,MATCH($C938,Roster!$B:$B,0))&amp;""),"—"))</f>
        <v/>
      </c>
      <c r="L938">
        <f>IF($C938="","",IFERROR(IF(INDEX(Roster!$K:$K,MATCH($C938,Roster!$B:$B,0))="","",INDEX(Roster!$K:$K,MATCH($C938,Roster!$B:$B,0))&amp;""),"—"))</f>
        <v/>
      </c>
      <c r="M938" s="27" t="n"/>
      <c r="N938" s="27" t="n"/>
      <c r="O938" s="25">
        <f>IF($C938="","",IF($P938="","—",IF($P938="Valid (Pass)","Valid","Invalid")))</f>
        <v/>
      </c>
      <c r="P938" s="27" t="n"/>
      <c r="Q938" s="27" t="n"/>
      <c r="R938" s="27" t="n"/>
      <c r="S938" s="27" t="n"/>
      <c r="T938" s="25">
        <f>IF($C938="","",IF(OR(ISNUMBER(SEARCH("quick case",$P938)),ISNUMBER(SEARCH("quick case",$Q938))),"Yes","No"))</f>
        <v/>
      </c>
      <c r="U938" s="25">
        <f>IF($O938="Invalid",HYPERLINK("mailto:"&amp;$G938&amp;";"&amp;$I938&amp;"?cc="&amp;Lists!$E$2&amp;"&amp;subject="&amp;_xlfn.ENCODEURL("[INVALID] Quality audit monitoring completed for "&amp;UPPER($C938))&amp;"&amp;body="&amp;_xlfn.ENCODEURL("Hi "&amp;$F938&amp;","&amp;CHAR(10)&amp;"Good day!"&amp;CHAR(10)&amp;CHAR(10)&amp;"A quality monitoring audit has been completed for "&amp;$C938&amp;"."&amp;CHAR(10)&amp;CHAR(10)&amp;"QUALITY AUDIT DETAILS"&amp;CHAR(10)&amp;"Agent Name: "&amp;$C938&amp;" (EID "&amp;$D938&amp;")"&amp;CHAR(10)&amp;"Audit Date: "&amp;TEXT($B938,"yyyy-mm-dd")&amp;CHAR(10)&amp;"Team Leader: "&amp;$F938&amp;CHAR(10)&amp;"Case Number: "&amp;$M938&amp;CHAR(10)&amp;"Transaction ID: "&amp;$N938&amp;CHAR(10)&amp;"Channel / LOB: "&amp;$K938&amp;" / "&amp;$L938&amp;CHAR(10)&amp;"Evaluator: "&amp;$S938&amp;CHAR(10)&amp;CHAR(10)&amp;"INVALID QUALITY AUDIT DETAILS"&amp;CHAR(10)&amp;"Validation: Invalid"&amp;CHAR(10)&amp;"Invalid Reason: "&amp;$P938&amp;CHAR(10)&amp;"Expected Resolution Code: "&amp;$Q938&amp;CHAR(10)&amp;"Remarks: "&amp;LEFT($R938,600)&amp;CHAR(10)&amp;CHAR(10)&amp;"This is an automated notification from HP Mainstream EQMS."),"✉ Open Email Draft"),"")</f>
        <v/>
      </c>
    </row>
    <row r="939">
      <c r="A939" s="25">
        <f>IF($C939="","","AUD-2026-"&amp;TEXT(ROW()-1,"000000"))</f>
        <v/>
      </c>
      <c r="B939" s="26" t="n"/>
      <c r="C939" s="27" t="n"/>
      <c r="D939" s="25">
        <f>IF($C939="","",IFERROR(IF(INDEX(Roster!$A:$A,MATCH($C939,Roster!$B:$B,0))="","",INDEX(Roster!$A:$A,MATCH($C939,Roster!$B:$B,0))&amp;""),"—"))</f>
        <v/>
      </c>
      <c r="E939" s="25">
        <f>IF($C939="","",IFERROR(IF(INDEX(Roster!$C:$C,MATCH($C939,Roster!$B:$B,0))="","",INDEX(Roster!$C:$C,MATCH($C939,Roster!$B:$B,0))&amp;""),"—"))</f>
        <v/>
      </c>
      <c r="F939" s="25">
        <f>IF($C939="","",IFERROR(IF(INDEX(Roster!$D:$D,MATCH($C939,Roster!$B:$B,0))="","",INDEX(Roster!$D:$D,MATCH($C939,Roster!$B:$B,0))&amp;""),"—"))</f>
        <v/>
      </c>
      <c r="G939" s="25">
        <f>IF($C939="","",IFERROR(IF(INDEX(Roster!$E:$E,MATCH($C939,Roster!$B:$B,0))="","",INDEX(Roster!$E:$E,MATCH($C939,Roster!$B:$B,0))&amp;""),"—"))</f>
        <v/>
      </c>
      <c r="H939" s="25">
        <f>IF($C939="","",IFERROR(IF(INDEX(Roster!$F:$F,MATCH($C939,Roster!$B:$B,0))="","",INDEX(Roster!$F:$F,MATCH($C939,Roster!$B:$B,0))&amp;""),"—"))</f>
        <v/>
      </c>
      <c r="I939" s="25">
        <f>IF($C939="","",IFERROR(IF(INDEX(Roster!$G:$G,MATCH($C939,Roster!$B:$B,0))="","",INDEX(Roster!$G:$G,MATCH($C939,Roster!$B:$B,0))&amp;""),"—"))</f>
        <v/>
      </c>
      <c r="J939" s="25">
        <f>IF($C939="","",IFERROR(IF(INDEX(Roster!$I:$I,MATCH($C939,Roster!$B:$B,0))="","",INDEX(Roster!$I:$I,MATCH($C939,Roster!$B:$B,0))&amp;""),"—"))</f>
        <v/>
      </c>
      <c r="K939">
        <f>IF($C939="","",IFERROR(IF(INDEX(Roster!$J:$J,MATCH($C939,Roster!$B:$B,0))="","",INDEX(Roster!$J:$J,MATCH($C939,Roster!$B:$B,0))&amp;""),"—"))</f>
        <v/>
      </c>
      <c r="L939">
        <f>IF($C939="","",IFERROR(IF(INDEX(Roster!$K:$K,MATCH($C939,Roster!$B:$B,0))="","",INDEX(Roster!$K:$K,MATCH($C939,Roster!$B:$B,0))&amp;""),"—"))</f>
        <v/>
      </c>
      <c r="M939" s="27" t="n"/>
      <c r="N939" s="27" t="n"/>
      <c r="O939" s="25">
        <f>IF($C939="","",IF($P939="","—",IF($P939="Valid (Pass)","Valid","Invalid")))</f>
        <v/>
      </c>
      <c r="P939" s="27" t="n"/>
      <c r="Q939" s="27" t="n"/>
      <c r="R939" s="27" t="n"/>
      <c r="S939" s="27" t="n"/>
      <c r="T939" s="25">
        <f>IF($C939="","",IF(OR(ISNUMBER(SEARCH("quick case",$P939)),ISNUMBER(SEARCH("quick case",$Q939))),"Yes","No"))</f>
        <v/>
      </c>
      <c r="U939" s="25">
        <f>IF($O939="Invalid",HYPERLINK("mailto:"&amp;$G939&amp;";"&amp;$I939&amp;"?cc="&amp;Lists!$E$2&amp;"&amp;subject="&amp;_xlfn.ENCODEURL("[INVALID] Quality audit monitoring completed for "&amp;UPPER($C939))&amp;"&amp;body="&amp;_xlfn.ENCODEURL("Hi "&amp;$F939&amp;","&amp;CHAR(10)&amp;"Good day!"&amp;CHAR(10)&amp;CHAR(10)&amp;"A quality monitoring audit has been completed for "&amp;$C939&amp;"."&amp;CHAR(10)&amp;CHAR(10)&amp;"QUALITY AUDIT DETAILS"&amp;CHAR(10)&amp;"Agent Name: "&amp;$C939&amp;" (EID "&amp;$D939&amp;")"&amp;CHAR(10)&amp;"Audit Date: "&amp;TEXT($B939,"yyyy-mm-dd")&amp;CHAR(10)&amp;"Team Leader: "&amp;$F939&amp;CHAR(10)&amp;"Case Number: "&amp;$M939&amp;CHAR(10)&amp;"Transaction ID: "&amp;$N939&amp;CHAR(10)&amp;"Channel / LOB: "&amp;$K939&amp;" / "&amp;$L939&amp;CHAR(10)&amp;"Evaluator: "&amp;$S939&amp;CHAR(10)&amp;CHAR(10)&amp;"INVALID QUALITY AUDIT DETAILS"&amp;CHAR(10)&amp;"Validation: Invalid"&amp;CHAR(10)&amp;"Invalid Reason: "&amp;$P939&amp;CHAR(10)&amp;"Expected Resolution Code: "&amp;$Q939&amp;CHAR(10)&amp;"Remarks: "&amp;LEFT($R939,600)&amp;CHAR(10)&amp;CHAR(10)&amp;"This is an automated notification from HP Mainstream EQMS."),"✉ Open Email Draft"),"")</f>
        <v/>
      </c>
    </row>
    <row r="940">
      <c r="A940" s="25">
        <f>IF($C940="","","AUD-2026-"&amp;TEXT(ROW()-1,"000000"))</f>
        <v/>
      </c>
      <c r="B940" s="26" t="n"/>
      <c r="C940" s="27" t="n"/>
      <c r="D940" s="25">
        <f>IF($C940="","",IFERROR(IF(INDEX(Roster!$A:$A,MATCH($C940,Roster!$B:$B,0))="","",INDEX(Roster!$A:$A,MATCH($C940,Roster!$B:$B,0))&amp;""),"—"))</f>
        <v/>
      </c>
      <c r="E940" s="25">
        <f>IF($C940="","",IFERROR(IF(INDEX(Roster!$C:$C,MATCH($C940,Roster!$B:$B,0))="","",INDEX(Roster!$C:$C,MATCH($C940,Roster!$B:$B,0))&amp;""),"—"))</f>
        <v/>
      </c>
      <c r="F940" s="25">
        <f>IF($C940="","",IFERROR(IF(INDEX(Roster!$D:$D,MATCH($C940,Roster!$B:$B,0))="","",INDEX(Roster!$D:$D,MATCH($C940,Roster!$B:$B,0))&amp;""),"—"))</f>
        <v/>
      </c>
      <c r="G940" s="25">
        <f>IF($C940="","",IFERROR(IF(INDEX(Roster!$E:$E,MATCH($C940,Roster!$B:$B,0))="","",INDEX(Roster!$E:$E,MATCH($C940,Roster!$B:$B,0))&amp;""),"—"))</f>
        <v/>
      </c>
      <c r="H940" s="25">
        <f>IF($C940="","",IFERROR(IF(INDEX(Roster!$F:$F,MATCH($C940,Roster!$B:$B,0))="","",INDEX(Roster!$F:$F,MATCH($C940,Roster!$B:$B,0))&amp;""),"—"))</f>
        <v/>
      </c>
      <c r="I940" s="25">
        <f>IF($C940="","",IFERROR(IF(INDEX(Roster!$G:$G,MATCH($C940,Roster!$B:$B,0))="","",INDEX(Roster!$G:$G,MATCH($C940,Roster!$B:$B,0))&amp;""),"—"))</f>
        <v/>
      </c>
      <c r="J940" s="25">
        <f>IF($C940="","",IFERROR(IF(INDEX(Roster!$I:$I,MATCH($C940,Roster!$B:$B,0))="","",INDEX(Roster!$I:$I,MATCH($C940,Roster!$B:$B,0))&amp;""),"—"))</f>
        <v/>
      </c>
      <c r="K940">
        <f>IF($C940="","",IFERROR(IF(INDEX(Roster!$J:$J,MATCH($C940,Roster!$B:$B,0))="","",INDEX(Roster!$J:$J,MATCH($C940,Roster!$B:$B,0))&amp;""),"—"))</f>
        <v/>
      </c>
      <c r="L940">
        <f>IF($C940="","",IFERROR(IF(INDEX(Roster!$K:$K,MATCH($C940,Roster!$B:$B,0))="","",INDEX(Roster!$K:$K,MATCH($C940,Roster!$B:$B,0))&amp;""),"—"))</f>
        <v/>
      </c>
      <c r="M940" s="27" t="n"/>
      <c r="N940" s="27" t="n"/>
      <c r="O940" s="25">
        <f>IF($C940="","",IF($P940="","—",IF($P940="Valid (Pass)","Valid","Invalid")))</f>
        <v/>
      </c>
      <c r="P940" s="27" t="n"/>
      <c r="Q940" s="27" t="n"/>
      <c r="R940" s="27" t="n"/>
      <c r="S940" s="27" t="n"/>
      <c r="T940" s="25">
        <f>IF($C940="","",IF(OR(ISNUMBER(SEARCH("quick case",$P940)),ISNUMBER(SEARCH("quick case",$Q940))),"Yes","No"))</f>
        <v/>
      </c>
      <c r="U940" s="25">
        <f>IF($O940="Invalid",HYPERLINK("mailto:"&amp;$G940&amp;";"&amp;$I940&amp;"?cc="&amp;Lists!$E$2&amp;"&amp;subject="&amp;_xlfn.ENCODEURL("[INVALID] Quality audit monitoring completed for "&amp;UPPER($C940))&amp;"&amp;body="&amp;_xlfn.ENCODEURL("Hi "&amp;$F940&amp;","&amp;CHAR(10)&amp;"Good day!"&amp;CHAR(10)&amp;CHAR(10)&amp;"A quality monitoring audit has been completed for "&amp;$C940&amp;"."&amp;CHAR(10)&amp;CHAR(10)&amp;"QUALITY AUDIT DETAILS"&amp;CHAR(10)&amp;"Agent Name: "&amp;$C940&amp;" (EID "&amp;$D940&amp;")"&amp;CHAR(10)&amp;"Audit Date: "&amp;TEXT($B940,"yyyy-mm-dd")&amp;CHAR(10)&amp;"Team Leader: "&amp;$F940&amp;CHAR(10)&amp;"Case Number: "&amp;$M940&amp;CHAR(10)&amp;"Transaction ID: "&amp;$N940&amp;CHAR(10)&amp;"Channel / LOB: "&amp;$K940&amp;" / "&amp;$L940&amp;CHAR(10)&amp;"Evaluator: "&amp;$S940&amp;CHAR(10)&amp;CHAR(10)&amp;"INVALID QUALITY AUDIT DETAILS"&amp;CHAR(10)&amp;"Validation: Invalid"&amp;CHAR(10)&amp;"Invalid Reason: "&amp;$P940&amp;CHAR(10)&amp;"Expected Resolution Code: "&amp;$Q940&amp;CHAR(10)&amp;"Remarks: "&amp;LEFT($R940,600)&amp;CHAR(10)&amp;CHAR(10)&amp;"This is an automated notification from HP Mainstream EQMS."),"✉ Open Email Draft"),"")</f>
        <v/>
      </c>
    </row>
    <row r="941">
      <c r="A941" s="25">
        <f>IF($C941="","","AUD-2026-"&amp;TEXT(ROW()-1,"000000"))</f>
        <v/>
      </c>
      <c r="B941" s="26" t="n"/>
      <c r="C941" s="27" t="n"/>
      <c r="D941" s="25">
        <f>IF($C941="","",IFERROR(IF(INDEX(Roster!$A:$A,MATCH($C941,Roster!$B:$B,0))="","",INDEX(Roster!$A:$A,MATCH($C941,Roster!$B:$B,0))&amp;""),"—"))</f>
        <v/>
      </c>
      <c r="E941" s="25">
        <f>IF($C941="","",IFERROR(IF(INDEX(Roster!$C:$C,MATCH($C941,Roster!$B:$B,0))="","",INDEX(Roster!$C:$C,MATCH($C941,Roster!$B:$B,0))&amp;""),"—"))</f>
        <v/>
      </c>
      <c r="F941" s="25">
        <f>IF($C941="","",IFERROR(IF(INDEX(Roster!$D:$D,MATCH($C941,Roster!$B:$B,0))="","",INDEX(Roster!$D:$D,MATCH($C941,Roster!$B:$B,0))&amp;""),"—"))</f>
        <v/>
      </c>
      <c r="G941" s="25">
        <f>IF($C941="","",IFERROR(IF(INDEX(Roster!$E:$E,MATCH($C941,Roster!$B:$B,0))="","",INDEX(Roster!$E:$E,MATCH($C941,Roster!$B:$B,0))&amp;""),"—"))</f>
        <v/>
      </c>
      <c r="H941" s="25">
        <f>IF($C941="","",IFERROR(IF(INDEX(Roster!$F:$F,MATCH($C941,Roster!$B:$B,0))="","",INDEX(Roster!$F:$F,MATCH($C941,Roster!$B:$B,0))&amp;""),"—"))</f>
        <v/>
      </c>
      <c r="I941" s="25">
        <f>IF($C941="","",IFERROR(IF(INDEX(Roster!$G:$G,MATCH($C941,Roster!$B:$B,0))="","",INDEX(Roster!$G:$G,MATCH($C941,Roster!$B:$B,0))&amp;""),"—"))</f>
        <v/>
      </c>
      <c r="J941" s="25">
        <f>IF($C941="","",IFERROR(IF(INDEX(Roster!$I:$I,MATCH($C941,Roster!$B:$B,0))="","",INDEX(Roster!$I:$I,MATCH($C941,Roster!$B:$B,0))&amp;""),"—"))</f>
        <v/>
      </c>
      <c r="K941">
        <f>IF($C941="","",IFERROR(IF(INDEX(Roster!$J:$J,MATCH($C941,Roster!$B:$B,0))="","",INDEX(Roster!$J:$J,MATCH($C941,Roster!$B:$B,0))&amp;""),"—"))</f>
        <v/>
      </c>
      <c r="L941">
        <f>IF($C941="","",IFERROR(IF(INDEX(Roster!$K:$K,MATCH($C941,Roster!$B:$B,0))="","",INDEX(Roster!$K:$K,MATCH($C941,Roster!$B:$B,0))&amp;""),"—"))</f>
        <v/>
      </c>
      <c r="M941" s="27" t="n"/>
      <c r="N941" s="27" t="n"/>
      <c r="O941" s="25">
        <f>IF($C941="","",IF($P941="","—",IF($P941="Valid (Pass)","Valid","Invalid")))</f>
        <v/>
      </c>
      <c r="P941" s="27" t="n"/>
      <c r="Q941" s="27" t="n"/>
      <c r="R941" s="27" t="n"/>
      <c r="S941" s="27" t="n"/>
      <c r="T941" s="25">
        <f>IF($C941="","",IF(OR(ISNUMBER(SEARCH("quick case",$P941)),ISNUMBER(SEARCH("quick case",$Q941))),"Yes","No"))</f>
        <v/>
      </c>
      <c r="U941" s="25">
        <f>IF($O941="Invalid",HYPERLINK("mailto:"&amp;$G941&amp;";"&amp;$I941&amp;"?cc="&amp;Lists!$E$2&amp;"&amp;subject="&amp;_xlfn.ENCODEURL("[INVALID] Quality audit monitoring completed for "&amp;UPPER($C941))&amp;"&amp;body="&amp;_xlfn.ENCODEURL("Hi "&amp;$F941&amp;","&amp;CHAR(10)&amp;"Good day!"&amp;CHAR(10)&amp;CHAR(10)&amp;"A quality monitoring audit has been completed for "&amp;$C941&amp;"."&amp;CHAR(10)&amp;CHAR(10)&amp;"QUALITY AUDIT DETAILS"&amp;CHAR(10)&amp;"Agent Name: "&amp;$C941&amp;" (EID "&amp;$D941&amp;")"&amp;CHAR(10)&amp;"Audit Date: "&amp;TEXT($B941,"yyyy-mm-dd")&amp;CHAR(10)&amp;"Team Leader: "&amp;$F941&amp;CHAR(10)&amp;"Case Number: "&amp;$M941&amp;CHAR(10)&amp;"Transaction ID: "&amp;$N941&amp;CHAR(10)&amp;"Channel / LOB: "&amp;$K941&amp;" / "&amp;$L941&amp;CHAR(10)&amp;"Evaluator: "&amp;$S941&amp;CHAR(10)&amp;CHAR(10)&amp;"INVALID QUALITY AUDIT DETAILS"&amp;CHAR(10)&amp;"Validation: Invalid"&amp;CHAR(10)&amp;"Invalid Reason: "&amp;$P941&amp;CHAR(10)&amp;"Expected Resolution Code: "&amp;$Q941&amp;CHAR(10)&amp;"Remarks: "&amp;LEFT($R941,600)&amp;CHAR(10)&amp;CHAR(10)&amp;"This is an automated notification from HP Mainstream EQMS."),"✉ Open Email Draft"),"")</f>
        <v/>
      </c>
    </row>
    <row r="942">
      <c r="A942" s="25">
        <f>IF($C942="","","AUD-2026-"&amp;TEXT(ROW()-1,"000000"))</f>
        <v/>
      </c>
      <c r="B942" s="26" t="n"/>
      <c r="C942" s="27" t="n"/>
      <c r="D942" s="25">
        <f>IF($C942="","",IFERROR(IF(INDEX(Roster!$A:$A,MATCH($C942,Roster!$B:$B,0))="","",INDEX(Roster!$A:$A,MATCH($C942,Roster!$B:$B,0))&amp;""),"—"))</f>
        <v/>
      </c>
      <c r="E942" s="25">
        <f>IF($C942="","",IFERROR(IF(INDEX(Roster!$C:$C,MATCH($C942,Roster!$B:$B,0))="","",INDEX(Roster!$C:$C,MATCH($C942,Roster!$B:$B,0))&amp;""),"—"))</f>
        <v/>
      </c>
      <c r="F942" s="25">
        <f>IF($C942="","",IFERROR(IF(INDEX(Roster!$D:$D,MATCH($C942,Roster!$B:$B,0))="","",INDEX(Roster!$D:$D,MATCH($C942,Roster!$B:$B,0))&amp;""),"—"))</f>
        <v/>
      </c>
      <c r="G942" s="25">
        <f>IF($C942="","",IFERROR(IF(INDEX(Roster!$E:$E,MATCH($C942,Roster!$B:$B,0))="","",INDEX(Roster!$E:$E,MATCH($C942,Roster!$B:$B,0))&amp;""),"—"))</f>
        <v/>
      </c>
      <c r="H942" s="25">
        <f>IF($C942="","",IFERROR(IF(INDEX(Roster!$F:$F,MATCH($C942,Roster!$B:$B,0))="","",INDEX(Roster!$F:$F,MATCH($C942,Roster!$B:$B,0))&amp;""),"—"))</f>
        <v/>
      </c>
      <c r="I942" s="25">
        <f>IF($C942="","",IFERROR(IF(INDEX(Roster!$G:$G,MATCH($C942,Roster!$B:$B,0))="","",INDEX(Roster!$G:$G,MATCH($C942,Roster!$B:$B,0))&amp;""),"—"))</f>
        <v/>
      </c>
      <c r="J942" s="25">
        <f>IF($C942="","",IFERROR(IF(INDEX(Roster!$I:$I,MATCH($C942,Roster!$B:$B,0))="","",INDEX(Roster!$I:$I,MATCH($C942,Roster!$B:$B,0))&amp;""),"—"))</f>
        <v/>
      </c>
      <c r="K942">
        <f>IF($C942="","",IFERROR(IF(INDEX(Roster!$J:$J,MATCH($C942,Roster!$B:$B,0))="","",INDEX(Roster!$J:$J,MATCH($C942,Roster!$B:$B,0))&amp;""),"—"))</f>
        <v/>
      </c>
      <c r="L942">
        <f>IF($C942="","",IFERROR(IF(INDEX(Roster!$K:$K,MATCH($C942,Roster!$B:$B,0))="","",INDEX(Roster!$K:$K,MATCH($C942,Roster!$B:$B,0))&amp;""),"—"))</f>
        <v/>
      </c>
      <c r="M942" s="27" t="n"/>
      <c r="N942" s="27" t="n"/>
      <c r="O942" s="25">
        <f>IF($C942="","",IF($P942="","—",IF($P942="Valid (Pass)","Valid","Invalid")))</f>
        <v/>
      </c>
      <c r="P942" s="27" t="n"/>
      <c r="Q942" s="27" t="n"/>
      <c r="R942" s="27" t="n"/>
      <c r="S942" s="27" t="n"/>
      <c r="T942" s="25">
        <f>IF($C942="","",IF(OR(ISNUMBER(SEARCH("quick case",$P942)),ISNUMBER(SEARCH("quick case",$Q942))),"Yes","No"))</f>
        <v/>
      </c>
      <c r="U942" s="25">
        <f>IF($O942="Invalid",HYPERLINK("mailto:"&amp;$G942&amp;";"&amp;$I942&amp;"?cc="&amp;Lists!$E$2&amp;"&amp;subject="&amp;_xlfn.ENCODEURL("[INVALID] Quality audit monitoring completed for "&amp;UPPER($C942))&amp;"&amp;body="&amp;_xlfn.ENCODEURL("Hi "&amp;$F942&amp;","&amp;CHAR(10)&amp;"Good day!"&amp;CHAR(10)&amp;CHAR(10)&amp;"A quality monitoring audit has been completed for "&amp;$C942&amp;"."&amp;CHAR(10)&amp;CHAR(10)&amp;"QUALITY AUDIT DETAILS"&amp;CHAR(10)&amp;"Agent Name: "&amp;$C942&amp;" (EID "&amp;$D942&amp;")"&amp;CHAR(10)&amp;"Audit Date: "&amp;TEXT($B942,"yyyy-mm-dd")&amp;CHAR(10)&amp;"Team Leader: "&amp;$F942&amp;CHAR(10)&amp;"Case Number: "&amp;$M942&amp;CHAR(10)&amp;"Transaction ID: "&amp;$N942&amp;CHAR(10)&amp;"Channel / LOB: "&amp;$K942&amp;" / "&amp;$L942&amp;CHAR(10)&amp;"Evaluator: "&amp;$S942&amp;CHAR(10)&amp;CHAR(10)&amp;"INVALID QUALITY AUDIT DETAILS"&amp;CHAR(10)&amp;"Validation: Invalid"&amp;CHAR(10)&amp;"Invalid Reason: "&amp;$P942&amp;CHAR(10)&amp;"Expected Resolution Code: "&amp;$Q942&amp;CHAR(10)&amp;"Remarks: "&amp;LEFT($R942,600)&amp;CHAR(10)&amp;CHAR(10)&amp;"This is an automated notification from HP Mainstream EQMS."),"✉ Open Email Draft"),"")</f>
        <v/>
      </c>
    </row>
    <row r="943">
      <c r="A943" s="25">
        <f>IF($C943="","","AUD-2026-"&amp;TEXT(ROW()-1,"000000"))</f>
        <v/>
      </c>
      <c r="B943" s="26" t="n"/>
      <c r="C943" s="27" t="n"/>
      <c r="D943" s="25">
        <f>IF($C943="","",IFERROR(IF(INDEX(Roster!$A:$A,MATCH($C943,Roster!$B:$B,0))="","",INDEX(Roster!$A:$A,MATCH($C943,Roster!$B:$B,0))&amp;""),"—"))</f>
        <v/>
      </c>
      <c r="E943" s="25">
        <f>IF($C943="","",IFERROR(IF(INDEX(Roster!$C:$C,MATCH($C943,Roster!$B:$B,0))="","",INDEX(Roster!$C:$C,MATCH($C943,Roster!$B:$B,0))&amp;""),"—"))</f>
        <v/>
      </c>
      <c r="F943" s="25">
        <f>IF($C943="","",IFERROR(IF(INDEX(Roster!$D:$D,MATCH($C943,Roster!$B:$B,0))="","",INDEX(Roster!$D:$D,MATCH($C943,Roster!$B:$B,0))&amp;""),"—"))</f>
        <v/>
      </c>
      <c r="G943" s="25">
        <f>IF($C943="","",IFERROR(IF(INDEX(Roster!$E:$E,MATCH($C943,Roster!$B:$B,0))="","",INDEX(Roster!$E:$E,MATCH($C943,Roster!$B:$B,0))&amp;""),"—"))</f>
        <v/>
      </c>
      <c r="H943" s="25">
        <f>IF($C943="","",IFERROR(IF(INDEX(Roster!$F:$F,MATCH($C943,Roster!$B:$B,0))="","",INDEX(Roster!$F:$F,MATCH($C943,Roster!$B:$B,0))&amp;""),"—"))</f>
        <v/>
      </c>
      <c r="I943" s="25">
        <f>IF($C943="","",IFERROR(IF(INDEX(Roster!$G:$G,MATCH($C943,Roster!$B:$B,0))="","",INDEX(Roster!$G:$G,MATCH($C943,Roster!$B:$B,0))&amp;""),"—"))</f>
        <v/>
      </c>
      <c r="J943" s="25">
        <f>IF($C943="","",IFERROR(IF(INDEX(Roster!$I:$I,MATCH($C943,Roster!$B:$B,0))="","",INDEX(Roster!$I:$I,MATCH($C943,Roster!$B:$B,0))&amp;""),"—"))</f>
        <v/>
      </c>
      <c r="K943">
        <f>IF($C943="","",IFERROR(IF(INDEX(Roster!$J:$J,MATCH($C943,Roster!$B:$B,0))="","",INDEX(Roster!$J:$J,MATCH($C943,Roster!$B:$B,0))&amp;""),"—"))</f>
        <v/>
      </c>
      <c r="L943">
        <f>IF($C943="","",IFERROR(IF(INDEX(Roster!$K:$K,MATCH($C943,Roster!$B:$B,0))="","",INDEX(Roster!$K:$K,MATCH($C943,Roster!$B:$B,0))&amp;""),"—"))</f>
        <v/>
      </c>
      <c r="M943" s="27" t="n"/>
      <c r="N943" s="27" t="n"/>
      <c r="O943" s="25">
        <f>IF($C943="","",IF($P943="","—",IF($P943="Valid (Pass)","Valid","Invalid")))</f>
        <v/>
      </c>
      <c r="P943" s="27" t="n"/>
      <c r="Q943" s="27" t="n"/>
      <c r="R943" s="27" t="n"/>
      <c r="S943" s="27" t="n"/>
      <c r="T943" s="25">
        <f>IF($C943="","",IF(OR(ISNUMBER(SEARCH("quick case",$P943)),ISNUMBER(SEARCH("quick case",$Q943))),"Yes","No"))</f>
        <v/>
      </c>
      <c r="U943" s="25">
        <f>IF($O943="Invalid",HYPERLINK("mailto:"&amp;$G943&amp;";"&amp;$I943&amp;"?cc="&amp;Lists!$E$2&amp;"&amp;subject="&amp;_xlfn.ENCODEURL("[INVALID] Quality audit monitoring completed for "&amp;UPPER($C943))&amp;"&amp;body="&amp;_xlfn.ENCODEURL("Hi "&amp;$F943&amp;","&amp;CHAR(10)&amp;"Good day!"&amp;CHAR(10)&amp;CHAR(10)&amp;"A quality monitoring audit has been completed for "&amp;$C943&amp;"."&amp;CHAR(10)&amp;CHAR(10)&amp;"QUALITY AUDIT DETAILS"&amp;CHAR(10)&amp;"Agent Name: "&amp;$C943&amp;" (EID "&amp;$D943&amp;")"&amp;CHAR(10)&amp;"Audit Date: "&amp;TEXT($B943,"yyyy-mm-dd")&amp;CHAR(10)&amp;"Team Leader: "&amp;$F943&amp;CHAR(10)&amp;"Case Number: "&amp;$M943&amp;CHAR(10)&amp;"Transaction ID: "&amp;$N943&amp;CHAR(10)&amp;"Channel / LOB: "&amp;$K943&amp;" / "&amp;$L943&amp;CHAR(10)&amp;"Evaluator: "&amp;$S943&amp;CHAR(10)&amp;CHAR(10)&amp;"INVALID QUALITY AUDIT DETAILS"&amp;CHAR(10)&amp;"Validation: Invalid"&amp;CHAR(10)&amp;"Invalid Reason: "&amp;$P943&amp;CHAR(10)&amp;"Expected Resolution Code: "&amp;$Q943&amp;CHAR(10)&amp;"Remarks: "&amp;LEFT($R943,600)&amp;CHAR(10)&amp;CHAR(10)&amp;"This is an automated notification from HP Mainstream EQMS."),"✉ Open Email Draft"),"")</f>
        <v/>
      </c>
    </row>
    <row r="944">
      <c r="A944" s="25">
        <f>IF($C944="","","AUD-2026-"&amp;TEXT(ROW()-1,"000000"))</f>
        <v/>
      </c>
      <c r="B944" s="26" t="n"/>
      <c r="C944" s="27" t="n"/>
      <c r="D944" s="25">
        <f>IF($C944="","",IFERROR(IF(INDEX(Roster!$A:$A,MATCH($C944,Roster!$B:$B,0))="","",INDEX(Roster!$A:$A,MATCH($C944,Roster!$B:$B,0))&amp;""),"—"))</f>
        <v/>
      </c>
      <c r="E944" s="25">
        <f>IF($C944="","",IFERROR(IF(INDEX(Roster!$C:$C,MATCH($C944,Roster!$B:$B,0))="","",INDEX(Roster!$C:$C,MATCH($C944,Roster!$B:$B,0))&amp;""),"—"))</f>
        <v/>
      </c>
      <c r="F944" s="25">
        <f>IF($C944="","",IFERROR(IF(INDEX(Roster!$D:$D,MATCH($C944,Roster!$B:$B,0))="","",INDEX(Roster!$D:$D,MATCH($C944,Roster!$B:$B,0))&amp;""),"—"))</f>
        <v/>
      </c>
      <c r="G944" s="25">
        <f>IF($C944="","",IFERROR(IF(INDEX(Roster!$E:$E,MATCH($C944,Roster!$B:$B,0))="","",INDEX(Roster!$E:$E,MATCH($C944,Roster!$B:$B,0))&amp;""),"—"))</f>
        <v/>
      </c>
      <c r="H944" s="25">
        <f>IF($C944="","",IFERROR(IF(INDEX(Roster!$F:$F,MATCH($C944,Roster!$B:$B,0))="","",INDEX(Roster!$F:$F,MATCH($C944,Roster!$B:$B,0))&amp;""),"—"))</f>
        <v/>
      </c>
      <c r="I944" s="25">
        <f>IF($C944="","",IFERROR(IF(INDEX(Roster!$G:$G,MATCH($C944,Roster!$B:$B,0))="","",INDEX(Roster!$G:$G,MATCH($C944,Roster!$B:$B,0))&amp;""),"—"))</f>
        <v/>
      </c>
      <c r="J944" s="25">
        <f>IF($C944="","",IFERROR(IF(INDEX(Roster!$I:$I,MATCH($C944,Roster!$B:$B,0))="","",INDEX(Roster!$I:$I,MATCH($C944,Roster!$B:$B,0))&amp;""),"—"))</f>
        <v/>
      </c>
      <c r="K944">
        <f>IF($C944="","",IFERROR(IF(INDEX(Roster!$J:$J,MATCH($C944,Roster!$B:$B,0))="","",INDEX(Roster!$J:$J,MATCH($C944,Roster!$B:$B,0))&amp;""),"—"))</f>
        <v/>
      </c>
      <c r="L944">
        <f>IF($C944="","",IFERROR(IF(INDEX(Roster!$K:$K,MATCH($C944,Roster!$B:$B,0))="","",INDEX(Roster!$K:$K,MATCH($C944,Roster!$B:$B,0))&amp;""),"—"))</f>
        <v/>
      </c>
      <c r="M944" s="27" t="n"/>
      <c r="N944" s="27" t="n"/>
      <c r="O944" s="25">
        <f>IF($C944="","",IF($P944="","—",IF($P944="Valid (Pass)","Valid","Invalid")))</f>
        <v/>
      </c>
      <c r="P944" s="27" t="n"/>
      <c r="Q944" s="27" t="n"/>
      <c r="R944" s="27" t="n"/>
      <c r="S944" s="27" t="n"/>
      <c r="T944" s="25">
        <f>IF($C944="","",IF(OR(ISNUMBER(SEARCH("quick case",$P944)),ISNUMBER(SEARCH("quick case",$Q944))),"Yes","No"))</f>
        <v/>
      </c>
      <c r="U944" s="25">
        <f>IF($O944="Invalid",HYPERLINK("mailto:"&amp;$G944&amp;";"&amp;$I944&amp;"?cc="&amp;Lists!$E$2&amp;"&amp;subject="&amp;_xlfn.ENCODEURL("[INVALID] Quality audit monitoring completed for "&amp;UPPER($C944))&amp;"&amp;body="&amp;_xlfn.ENCODEURL("Hi "&amp;$F944&amp;","&amp;CHAR(10)&amp;"Good day!"&amp;CHAR(10)&amp;CHAR(10)&amp;"A quality monitoring audit has been completed for "&amp;$C944&amp;"."&amp;CHAR(10)&amp;CHAR(10)&amp;"QUALITY AUDIT DETAILS"&amp;CHAR(10)&amp;"Agent Name: "&amp;$C944&amp;" (EID "&amp;$D944&amp;")"&amp;CHAR(10)&amp;"Audit Date: "&amp;TEXT($B944,"yyyy-mm-dd")&amp;CHAR(10)&amp;"Team Leader: "&amp;$F944&amp;CHAR(10)&amp;"Case Number: "&amp;$M944&amp;CHAR(10)&amp;"Transaction ID: "&amp;$N944&amp;CHAR(10)&amp;"Channel / LOB: "&amp;$K944&amp;" / "&amp;$L944&amp;CHAR(10)&amp;"Evaluator: "&amp;$S944&amp;CHAR(10)&amp;CHAR(10)&amp;"INVALID QUALITY AUDIT DETAILS"&amp;CHAR(10)&amp;"Validation: Invalid"&amp;CHAR(10)&amp;"Invalid Reason: "&amp;$P944&amp;CHAR(10)&amp;"Expected Resolution Code: "&amp;$Q944&amp;CHAR(10)&amp;"Remarks: "&amp;LEFT($R944,600)&amp;CHAR(10)&amp;CHAR(10)&amp;"This is an automated notification from HP Mainstream EQMS."),"✉ Open Email Draft"),"")</f>
        <v/>
      </c>
    </row>
    <row r="945">
      <c r="A945" s="25">
        <f>IF($C945="","","AUD-2026-"&amp;TEXT(ROW()-1,"000000"))</f>
        <v/>
      </c>
      <c r="B945" s="26" t="n"/>
      <c r="C945" s="27" t="n"/>
      <c r="D945" s="25">
        <f>IF($C945="","",IFERROR(IF(INDEX(Roster!$A:$A,MATCH($C945,Roster!$B:$B,0))="","",INDEX(Roster!$A:$A,MATCH($C945,Roster!$B:$B,0))&amp;""),"—"))</f>
        <v/>
      </c>
      <c r="E945" s="25">
        <f>IF($C945="","",IFERROR(IF(INDEX(Roster!$C:$C,MATCH($C945,Roster!$B:$B,0))="","",INDEX(Roster!$C:$C,MATCH($C945,Roster!$B:$B,0))&amp;""),"—"))</f>
        <v/>
      </c>
      <c r="F945" s="25">
        <f>IF($C945="","",IFERROR(IF(INDEX(Roster!$D:$D,MATCH($C945,Roster!$B:$B,0))="","",INDEX(Roster!$D:$D,MATCH($C945,Roster!$B:$B,0))&amp;""),"—"))</f>
        <v/>
      </c>
      <c r="G945" s="25">
        <f>IF($C945="","",IFERROR(IF(INDEX(Roster!$E:$E,MATCH($C945,Roster!$B:$B,0))="","",INDEX(Roster!$E:$E,MATCH($C945,Roster!$B:$B,0))&amp;""),"—"))</f>
        <v/>
      </c>
      <c r="H945" s="25">
        <f>IF($C945="","",IFERROR(IF(INDEX(Roster!$F:$F,MATCH($C945,Roster!$B:$B,0))="","",INDEX(Roster!$F:$F,MATCH($C945,Roster!$B:$B,0))&amp;""),"—"))</f>
        <v/>
      </c>
      <c r="I945" s="25">
        <f>IF($C945="","",IFERROR(IF(INDEX(Roster!$G:$G,MATCH($C945,Roster!$B:$B,0))="","",INDEX(Roster!$G:$G,MATCH($C945,Roster!$B:$B,0))&amp;""),"—"))</f>
        <v/>
      </c>
      <c r="J945" s="25">
        <f>IF($C945="","",IFERROR(IF(INDEX(Roster!$I:$I,MATCH($C945,Roster!$B:$B,0))="","",INDEX(Roster!$I:$I,MATCH($C945,Roster!$B:$B,0))&amp;""),"—"))</f>
        <v/>
      </c>
      <c r="K945">
        <f>IF($C945="","",IFERROR(IF(INDEX(Roster!$J:$J,MATCH($C945,Roster!$B:$B,0))="","",INDEX(Roster!$J:$J,MATCH($C945,Roster!$B:$B,0))&amp;""),"—"))</f>
        <v/>
      </c>
      <c r="L945">
        <f>IF($C945="","",IFERROR(IF(INDEX(Roster!$K:$K,MATCH($C945,Roster!$B:$B,0))="","",INDEX(Roster!$K:$K,MATCH($C945,Roster!$B:$B,0))&amp;""),"—"))</f>
        <v/>
      </c>
      <c r="M945" s="27" t="n"/>
      <c r="N945" s="27" t="n"/>
      <c r="O945" s="25">
        <f>IF($C945="","",IF($P945="","—",IF($P945="Valid (Pass)","Valid","Invalid")))</f>
        <v/>
      </c>
      <c r="P945" s="27" t="n"/>
      <c r="Q945" s="27" t="n"/>
      <c r="R945" s="27" t="n"/>
      <c r="S945" s="27" t="n"/>
      <c r="T945" s="25">
        <f>IF($C945="","",IF(OR(ISNUMBER(SEARCH("quick case",$P945)),ISNUMBER(SEARCH("quick case",$Q945))),"Yes","No"))</f>
        <v/>
      </c>
      <c r="U945" s="25">
        <f>IF($O945="Invalid",HYPERLINK("mailto:"&amp;$G945&amp;";"&amp;$I945&amp;"?cc="&amp;Lists!$E$2&amp;"&amp;subject="&amp;_xlfn.ENCODEURL("[INVALID] Quality audit monitoring completed for "&amp;UPPER($C945))&amp;"&amp;body="&amp;_xlfn.ENCODEURL("Hi "&amp;$F945&amp;","&amp;CHAR(10)&amp;"Good day!"&amp;CHAR(10)&amp;CHAR(10)&amp;"A quality monitoring audit has been completed for "&amp;$C945&amp;"."&amp;CHAR(10)&amp;CHAR(10)&amp;"QUALITY AUDIT DETAILS"&amp;CHAR(10)&amp;"Agent Name: "&amp;$C945&amp;" (EID "&amp;$D945&amp;")"&amp;CHAR(10)&amp;"Audit Date: "&amp;TEXT($B945,"yyyy-mm-dd")&amp;CHAR(10)&amp;"Team Leader: "&amp;$F945&amp;CHAR(10)&amp;"Case Number: "&amp;$M945&amp;CHAR(10)&amp;"Transaction ID: "&amp;$N945&amp;CHAR(10)&amp;"Channel / LOB: "&amp;$K945&amp;" / "&amp;$L945&amp;CHAR(10)&amp;"Evaluator: "&amp;$S945&amp;CHAR(10)&amp;CHAR(10)&amp;"INVALID QUALITY AUDIT DETAILS"&amp;CHAR(10)&amp;"Validation: Invalid"&amp;CHAR(10)&amp;"Invalid Reason: "&amp;$P945&amp;CHAR(10)&amp;"Expected Resolution Code: "&amp;$Q945&amp;CHAR(10)&amp;"Remarks: "&amp;LEFT($R945,600)&amp;CHAR(10)&amp;CHAR(10)&amp;"This is an automated notification from HP Mainstream EQMS."),"✉ Open Email Draft"),"")</f>
        <v/>
      </c>
    </row>
    <row r="946">
      <c r="A946" s="25">
        <f>IF($C946="","","AUD-2026-"&amp;TEXT(ROW()-1,"000000"))</f>
        <v/>
      </c>
      <c r="B946" s="26" t="n"/>
      <c r="C946" s="27" t="n"/>
      <c r="D946" s="25">
        <f>IF($C946="","",IFERROR(IF(INDEX(Roster!$A:$A,MATCH($C946,Roster!$B:$B,0))="","",INDEX(Roster!$A:$A,MATCH($C946,Roster!$B:$B,0))&amp;""),"—"))</f>
        <v/>
      </c>
      <c r="E946" s="25">
        <f>IF($C946="","",IFERROR(IF(INDEX(Roster!$C:$C,MATCH($C946,Roster!$B:$B,0))="","",INDEX(Roster!$C:$C,MATCH($C946,Roster!$B:$B,0))&amp;""),"—"))</f>
        <v/>
      </c>
      <c r="F946" s="25">
        <f>IF($C946="","",IFERROR(IF(INDEX(Roster!$D:$D,MATCH($C946,Roster!$B:$B,0))="","",INDEX(Roster!$D:$D,MATCH($C946,Roster!$B:$B,0))&amp;""),"—"))</f>
        <v/>
      </c>
      <c r="G946" s="25">
        <f>IF($C946="","",IFERROR(IF(INDEX(Roster!$E:$E,MATCH($C946,Roster!$B:$B,0))="","",INDEX(Roster!$E:$E,MATCH($C946,Roster!$B:$B,0))&amp;""),"—"))</f>
        <v/>
      </c>
      <c r="H946" s="25">
        <f>IF($C946="","",IFERROR(IF(INDEX(Roster!$F:$F,MATCH($C946,Roster!$B:$B,0))="","",INDEX(Roster!$F:$F,MATCH($C946,Roster!$B:$B,0))&amp;""),"—"))</f>
        <v/>
      </c>
      <c r="I946" s="25">
        <f>IF($C946="","",IFERROR(IF(INDEX(Roster!$G:$G,MATCH($C946,Roster!$B:$B,0))="","",INDEX(Roster!$G:$G,MATCH($C946,Roster!$B:$B,0))&amp;""),"—"))</f>
        <v/>
      </c>
      <c r="J946" s="25">
        <f>IF($C946="","",IFERROR(IF(INDEX(Roster!$I:$I,MATCH($C946,Roster!$B:$B,0))="","",INDEX(Roster!$I:$I,MATCH($C946,Roster!$B:$B,0))&amp;""),"—"))</f>
        <v/>
      </c>
      <c r="K946">
        <f>IF($C946="","",IFERROR(IF(INDEX(Roster!$J:$J,MATCH($C946,Roster!$B:$B,0))="","",INDEX(Roster!$J:$J,MATCH($C946,Roster!$B:$B,0))&amp;""),"—"))</f>
        <v/>
      </c>
      <c r="L946">
        <f>IF($C946="","",IFERROR(IF(INDEX(Roster!$K:$K,MATCH($C946,Roster!$B:$B,0))="","",INDEX(Roster!$K:$K,MATCH($C946,Roster!$B:$B,0))&amp;""),"—"))</f>
        <v/>
      </c>
      <c r="M946" s="27" t="n"/>
      <c r="N946" s="27" t="n"/>
      <c r="O946" s="25">
        <f>IF($C946="","",IF($P946="","—",IF($P946="Valid (Pass)","Valid","Invalid")))</f>
        <v/>
      </c>
      <c r="P946" s="27" t="n"/>
      <c r="Q946" s="27" t="n"/>
      <c r="R946" s="27" t="n"/>
      <c r="S946" s="27" t="n"/>
      <c r="T946" s="25">
        <f>IF($C946="","",IF(OR(ISNUMBER(SEARCH("quick case",$P946)),ISNUMBER(SEARCH("quick case",$Q946))),"Yes","No"))</f>
        <v/>
      </c>
      <c r="U946" s="25">
        <f>IF($O946="Invalid",HYPERLINK("mailto:"&amp;$G946&amp;";"&amp;$I946&amp;"?cc="&amp;Lists!$E$2&amp;"&amp;subject="&amp;_xlfn.ENCODEURL("[INVALID] Quality audit monitoring completed for "&amp;UPPER($C946))&amp;"&amp;body="&amp;_xlfn.ENCODEURL("Hi "&amp;$F946&amp;","&amp;CHAR(10)&amp;"Good day!"&amp;CHAR(10)&amp;CHAR(10)&amp;"A quality monitoring audit has been completed for "&amp;$C946&amp;"."&amp;CHAR(10)&amp;CHAR(10)&amp;"QUALITY AUDIT DETAILS"&amp;CHAR(10)&amp;"Agent Name: "&amp;$C946&amp;" (EID "&amp;$D946&amp;")"&amp;CHAR(10)&amp;"Audit Date: "&amp;TEXT($B946,"yyyy-mm-dd")&amp;CHAR(10)&amp;"Team Leader: "&amp;$F946&amp;CHAR(10)&amp;"Case Number: "&amp;$M946&amp;CHAR(10)&amp;"Transaction ID: "&amp;$N946&amp;CHAR(10)&amp;"Channel / LOB: "&amp;$K946&amp;" / "&amp;$L946&amp;CHAR(10)&amp;"Evaluator: "&amp;$S946&amp;CHAR(10)&amp;CHAR(10)&amp;"INVALID QUALITY AUDIT DETAILS"&amp;CHAR(10)&amp;"Validation: Invalid"&amp;CHAR(10)&amp;"Invalid Reason: "&amp;$P946&amp;CHAR(10)&amp;"Expected Resolution Code: "&amp;$Q946&amp;CHAR(10)&amp;"Remarks: "&amp;LEFT($R946,600)&amp;CHAR(10)&amp;CHAR(10)&amp;"This is an automated notification from HP Mainstream EQMS."),"✉ Open Email Draft"),"")</f>
        <v/>
      </c>
    </row>
    <row r="947">
      <c r="A947" s="25">
        <f>IF($C947="","","AUD-2026-"&amp;TEXT(ROW()-1,"000000"))</f>
        <v/>
      </c>
      <c r="B947" s="26" t="n"/>
      <c r="C947" s="27" t="n"/>
      <c r="D947" s="25">
        <f>IF($C947="","",IFERROR(IF(INDEX(Roster!$A:$A,MATCH($C947,Roster!$B:$B,0))="","",INDEX(Roster!$A:$A,MATCH($C947,Roster!$B:$B,0))&amp;""),"—"))</f>
        <v/>
      </c>
      <c r="E947" s="25">
        <f>IF($C947="","",IFERROR(IF(INDEX(Roster!$C:$C,MATCH($C947,Roster!$B:$B,0))="","",INDEX(Roster!$C:$C,MATCH($C947,Roster!$B:$B,0))&amp;""),"—"))</f>
        <v/>
      </c>
      <c r="F947" s="25">
        <f>IF($C947="","",IFERROR(IF(INDEX(Roster!$D:$D,MATCH($C947,Roster!$B:$B,0))="","",INDEX(Roster!$D:$D,MATCH($C947,Roster!$B:$B,0))&amp;""),"—"))</f>
        <v/>
      </c>
      <c r="G947" s="25">
        <f>IF($C947="","",IFERROR(IF(INDEX(Roster!$E:$E,MATCH($C947,Roster!$B:$B,0))="","",INDEX(Roster!$E:$E,MATCH($C947,Roster!$B:$B,0))&amp;""),"—"))</f>
        <v/>
      </c>
      <c r="H947" s="25">
        <f>IF($C947="","",IFERROR(IF(INDEX(Roster!$F:$F,MATCH($C947,Roster!$B:$B,0))="","",INDEX(Roster!$F:$F,MATCH($C947,Roster!$B:$B,0))&amp;""),"—"))</f>
        <v/>
      </c>
      <c r="I947" s="25">
        <f>IF($C947="","",IFERROR(IF(INDEX(Roster!$G:$G,MATCH($C947,Roster!$B:$B,0))="","",INDEX(Roster!$G:$G,MATCH($C947,Roster!$B:$B,0))&amp;""),"—"))</f>
        <v/>
      </c>
      <c r="J947" s="25">
        <f>IF($C947="","",IFERROR(IF(INDEX(Roster!$I:$I,MATCH($C947,Roster!$B:$B,0))="","",INDEX(Roster!$I:$I,MATCH($C947,Roster!$B:$B,0))&amp;""),"—"))</f>
        <v/>
      </c>
      <c r="K947">
        <f>IF($C947="","",IFERROR(IF(INDEX(Roster!$J:$J,MATCH($C947,Roster!$B:$B,0))="","",INDEX(Roster!$J:$J,MATCH($C947,Roster!$B:$B,0))&amp;""),"—"))</f>
        <v/>
      </c>
      <c r="L947">
        <f>IF($C947="","",IFERROR(IF(INDEX(Roster!$K:$K,MATCH($C947,Roster!$B:$B,0))="","",INDEX(Roster!$K:$K,MATCH($C947,Roster!$B:$B,0))&amp;""),"—"))</f>
        <v/>
      </c>
      <c r="M947" s="27" t="n"/>
      <c r="N947" s="27" t="n"/>
      <c r="O947" s="25">
        <f>IF($C947="","",IF($P947="","—",IF($P947="Valid (Pass)","Valid","Invalid")))</f>
        <v/>
      </c>
      <c r="P947" s="27" t="n"/>
      <c r="Q947" s="27" t="n"/>
      <c r="R947" s="27" t="n"/>
      <c r="S947" s="27" t="n"/>
      <c r="T947" s="25">
        <f>IF($C947="","",IF(OR(ISNUMBER(SEARCH("quick case",$P947)),ISNUMBER(SEARCH("quick case",$Q947))),"Yes","No"))</f>
        <v/>
      </c>
      <c r="U947" s="25">
        <f>IF($O947="Invalid",HYPERLINK("mailto:"&amp;$G947&amp;";"&amp;$I947&amp;"?cc="&amp;Lists!$E$2&amp;"&amp;subject="&amp;_xlfn.ENCODEURL("[INVALID] Quality audit monitoring completed for "&amp;UPPER($C947))&amp;"&amp;body="&amp;_xlfn.ENCODEURL("Hi "&amp;$F947&amp;","&amp;CHAR(10)&amp;"Good day!"&amp;CHAR(10)&amp;CHAR(10)&amp;"A quality monitoring audit has been completed for "&amp;$C947&amp;"."&amp;CHAR(10)&amp;CHAR(10)&amp;"QUALITY AUDIT DETAILS"&amp;CHAR(10)&amp;"Agent Name: "&amp;$C947&amp;" (EID "&amp;$D947&amp;")"&amp;CHAR(10)&amp;"Audit Date: "&amp;TEXT($B947,"yyyy-mm-dd")&amp;CHAR(10)&amp;"Team Leader: "&amp;$F947&amp;CHAR(10)&amp;"Case Number: "&amp;$M947&amp;CHAR(10)&amp;"Transaction ID: "&amp;$N947&amp;CHAR(10)&amp;"Channel / LOB: "&amp;$K947&amp;" / "&amp;$L947&amp;CHAR(10)&amp;"Evaluator: "&amp;$S947&amp;CHAR(10)&amp;CHAR(10)&amp;"INVALID QUALITY AUDIT DETAILS"&amp;CHAR(10)&amp;"Validation: Invalid"&amp;CHAR(10)&amp;"Invalid Reason: "&amp;$P947&amp;CHAR(10)&amp;"Expected Resolution Code: "&amp;$Q947&amp;CHAR(10)&amp;"Remarks: "&amp;LEFT($R947,600)&amp;CHAR(10)&amp;CHAR(10)&amp;"This is an automated notification from HP Mainstream EQMS."),"✉ Open Email Draft"),"")</f>
        <v/>
      </c>
    </row>
    <row r="948">
      <c r="A948" s="25">
        <f>IF($C948="","","AUD-2026-"&amp;TEXT(ROW()-1,"000000"))</f>
        <v/>
      </c>
      <c r="B948" s="26" t="n"/>
      <c r="C948" s="27" t="n"/>
      <c r="D948" s="25">
        <f>IF($C948="","",IFERROR(IF(INDEX(Roster!$A:$A,MATCH($C948,Roster!$B:$B,0))="","",INDEX(Roster!$A:$A,MATCH($C948,Roster!$B:$B,0))&amp;""),"—"))</f>
        <v/>
      </c>
      <c r="E948" s="25">
        <f>IF($C948="","",IFERROR(IF(INDEX(Roster!$C:$C,MATCH($C948,Roster!$B:$B,0))="","",INDEX(Roster!$C:$C,MATCH($C948,Roster!$B:$B,0))&amp;""),"—"))</f>
        <v/>
      </c>
      <c r="F948" s="25">
        <f>IF($C948="","",IFERROR(IF(INDEX(Roster!$D:$D,MATCH($C948,Roster!$B:$B,0))="","",INDEX(Roster!$D:$D,MATCH($C948,Roster!$B:$B,0))&amp;""),"—"))</f>
        <v/>
      </c>
      <c r="G948" s="25">
        <f>IF($C948="","",IFERROR(IF(INDEX(Roster!$E:$E,MATCH($C948,Roster!$B:$B,0))="","",INDEX(Roster!$E:$E,MATCH($C948,Roster!$B:$B,0))&amp;""),"—"))</f>
        <v/>
      </c>
      <c r="H948" s="25">
        <f>IF($C948="","",IFERROR(IF(INDEX(Roster!$F:$F,MATCH($C948,Roster!$B:$B,0))="","",INDEX(Roster!$F:$F,MATCH($C948,Roster!$B:$B,0))&amp;""),"—"))</f>
        <v/>
      </c>
      <c r="I948" s="25">
        <f>IF($C948="","",IFERROR(IF(INDEX(Roster!$G:$G,MATCH($C948,Roster!$B:$B,0))="","",INDEX(Roster!$G:$G,MATCH($C948,Roster!$B:$B,0))&amp;""),"—"))</f>
        <v/>
      </c>
      <c r="J948" s="25">
        <f>IF($C948="","",IFERROR(IF(INDEX(Roster!$I:$I,MATCH($C948,Roster!$B:$B,0))="","",INDEX(Roster!$I:$I,MATCH($C948,Roster!$B:$B,0))&amp;""),"—"))</f>
        <v/>
      </c>
      <c r="K948">
        <f>IF($C948="","",IFERROR(IF(INDEX(Roster!$J:$J,MATCH($C948,Roster!$B:$B,0))="","",INDEX(Roster!$J:$J,MATCH($C948,Roster!$B:$B,0))&amp;""),"—"))</f>
        <v/>
      </c>
      <c r="L948">
        <f>IF($C948="","",IFERROR(IF(INDEX(Roster!$K:$K,MATCH($C948,Roster!$B:$B,0))="","",INDEX(Roster!$K:$K,MATCH($C948,Roster!$B:$B,0))&amp;""),"—"))</f>
        <v/>
      </c>
      <c r="M948" s="27" t="n"/>
      <c r="N948" s="27" t="n"/>
      <c r="O948" s="25">
        <f>IF($C948="","",IF($P948="","—",IF($P948="Valid (Pass)","Valid","Invalid")))</f>
        <v/>
      </c>
      <c r="P948" s="27" t="n"/>
      <c r="Q948" s="27" t="n"/>
      <c r="R948" s="27" t="n"/>
      <c r="S948" s="27" t="n"/>
      <c r="T948" s="25">
        <f>IF($C948="","",IF(OR(ISNUMBER(SEARCH("quick case",$P948)),ISNUMBER(SEARCH("quick case",$Q948))),"Yes","No"))</f>
        <v/>
      </c>
      <c r="U948" s="25">
        <f>IF($O948="Invalid",HYPERLINK("mailto:"&amp;$G948&amp;";"&amp;$I948&amp;"?cc="&amp;Lists!$E$2&amp;"&amp;subject="&amp;_xlfn.ENCODEURL("[INVALID] Quality audit monitoring completed for "&amp;UPPER($C948))&amp;"&amp;body="&amp;_xlfn.ENCODEURL("Hi "&amp;$F948&amp;","&amp;CHAR(10)&amp;"Good day!"&amp;CHAR(10)&amp;CHAR(10)&amp;"A quality monitoring audit has been completed for "&amp;$C948&amp;"."&amp;CHAR(10)&amp;CHAR(10)&amp;"QUALITY AUDIT DETAILS"&amp;CHAR(10)&amp;"Agent Name: "&amp;$C948&amp;" (EID "&amp;$D948&amp;")"&amp;CHAR(10)&amp;"Audit Date: "&amp;TEXT($B948,"yyyy-mm-dd")&amp;CHAR(10)&amp;"Team Leader: "&amp;$F948&amp;CHAR(10)&amp;"Case Number: "&amp;$M948&amp;CHAR(10)&amp;"Transaction ID: "&amp;$N948&amp;CHAR(10)&amp;"Channel / LOB: "&amp;$K948&amp;" / "&amp;$L948&amp;CHAR(10)&amp;"Evaluator: "&amp;$S948&amp;CHAR(10)&amp;CHAR(10)&amp;"INVALID QUALITY AUDIT DETAILS"&amp;CHAR(10)&amp;"Validation: Invalid"&amp;CHAR(10)&amp;"Invalid Reason: "&amp;$P948&amp;CHAR(10)&amp;"Expected Resolution Code: "&amp;$Q948&amp;CHAR(10)&amp;"Remarks: "&amp;LEFT($R948,600)&amp;CHAR(10)&amp;CHAR(10)&amp;"This is an automated notification from HP Mainstream EQMS."),"✉ Open Email Draft"),"")</f>
        <v/>
      </c>
    </row>
    <row r="949">
      <c r="A949" s="25">
        <f>IF($C949="","","AUD-2026-"&amp;TEXT(ROW()-1,"000000"))</f>
        <v/>
      </c>
      <c r="B949" s="26" t="n"/>
      <c r="C949" s="27" t="n"/>
      <c r="D949" s="25">
        <f>IF($C949="","",IFERROR(IF(INDEX(Roster!$A:$A,MATCH($C949,Roster!$B:$B,0))="","",INDEX(Roster!$A:$A,MATCH($C949,Roster!$B:$B,0))&amp;""),"—"))</f>
        <v/>
      </c>
      <c r="E949" s="25">
        <f>IF($C949="","",IFERROR(IF(INDEX(Roster!$C:$C,MATCH($C949,Roster!$B:$B,0))="","",INDEX(Roster!$C:$C,MATCH($C949,Roster!$B:$B,0))&amp;""),"—"))</f>
        <v/>
      </c>
      <c r="F949" s="25">
        <f>IF($C949="","",IFERROR(IF(INDEX(Roster!$D:$D,MATCH($C949,Roster!$B:$B,0))="","",INDEX(Roster!$D:$D,MATCH($C949,Roster!$B:$B,0))&amp;""),"—"))</f>
        <v/>
      </c>
      <c r="G949" s="25">
        <f>IF($C949="","",IFERROR(IF(INDEX(Roster!$E:$E,MATCH($C949,Roster!$B:$B,0))="","",INDEX(Roster!$E:$E,MATCH($C949,Roster!$B:$B,0))&amp;""),"—"))</f>
        <v/>
      </c>
      <c r="H949" s="25">
        <f>IF($C949="","",IFERROR(IF(INDEX(Roster!$F:$F,MATCH($C949,Roster!$B:$B,0))="","",INDEX(Roster!$F:$F,MATCH($C949,Roster!$B:$B,0))&amp;""),"—"))</f>
        <v/>
      </c>
      <c r="I949" s="25">
        <f>IF($C949="","",IFERROR(IF(INDEX(Roster!$G:$G,MATCH($C949,Roster!$B:$B,0))="","",INDEX(Roster!$G:$G,MATCH($C949,Roster!$B:$B,0))&amp;""),"—"))</f>
        <v/>
      </c>
      <c r="J949" s="25">
        <f>IF($C949="","",IFERROR(IF(INDEX(Roster!$I:$I,MATCH($C949,Roster!$B:$B,0))="","",INDEX(Roster!$I:$I,MATCH($C949,Roster!$B:$B,0))&amp;""),"—"))</f>
        <v/>
      </c>
      <c r="K949">
        <f>IF($C949="","",IFERROR(IF(INDEX(Roster!$J:$J,MATCH($C949,Roster!$B:$B,0))="","",INDEX(Roster!$J:$J,MATCH($C949,Roster!$B:$B,0))&amp;""),"—"))</f>
        <v/>
      </c>
      <c r="L949">
        <f>IF($C949="","",IFERROR(IF(INDEX(Roster!$K:$K,MATCH($C949,Roster!$B:$B,0))="","",INDEX(Roster!$K:$K,MATCH($C949,Roster!$B:$B,0))&amp;""),"—"))</f>
        <v/>
      </c>
      <c r="M949" s="27" t="n"/>
      <c r="N949" s="27" t="n"/>
      <c r="O949" s="25">
        <f>IF($C949="","",IF($P949="","—",IF($P949="Valid (Pass)","Valid","Invalid")))</f>
        <v/>
      </c>
      <c r="P949" s="27" t="n"/>
      <c r="Q949" s="27" t="n"/>
      <c r="R949" s="27" t="n"/>
      <c r="S949" s="27" t="n"/>
      <c r="T949" s="25">
        <f>IF($C949="","",IF(OR(ISNUMBER(SEARCH("quick case",$P949)),ISNUMBER(SEARCH("quick case",$Q949))),"Yes","No"))</f>
        <v/>
      </c>
      <c r="U949" s="25">
        <f>IF($O949="Invalid",HYPERLINK("mailto:"&amp;$G949&amp;";"&amp;$I949&amp;"?cc="&amp;Lists!$E$2&amp;"&amp;subject="&amp;_xlfn.ENCODEURL("[INVALID] Quality audit monitoring completed for "&amp;UPPER($C949))&amp;"&amp;body="&amp;_xlfn.ENCODEURL("Hi "&amp;$F949&amp;","&amp;CHAR(10)&amp;"Good day!"&amp;CHAR(10)&amp;CHAR(10)&amp;"A quality monitoring audit has been completed for "&amp;$C949&amp;"."&amp;CHAR(10)&amp;CHAR(10)&amp;"QUALITY AUDIT DETAILS"&amp;CHAR(10)&amp;"Agent Name: "&amp;$C949&amp;" (EID "&amp;$D949&amp;")"&amp;CHAR(10)&amp;"Audit Date: "&amp;TEXT($B949,"yyyy-mm-dd")&amp;CHAR(10)&amp;"Team Leader: "&amp;$F949&amp;CHAR(10)&amp;"Case Number: "&amp;$M949&amp;CHAR(10)&amp;"Transaction ID: "&amp;$N949&amp;CHAR(10)&amp;"Channel / LOB: "&amp;$K949&amp;" / "&amp;$L949&amp;CHAR(10)&amp;"Evaluator: "&amp;$S949&amp;CHAR(10)&amp;CHAR(10)&amp;"INVALID QUALITY AUDIT DETAILS"&amp;CHAR(10)&amp;"Validation: Invalid"&amp;CHAR(10)&amp;"Invalid Reason: "&amp;$P949&amp;CHAR(10)&amp;"Expected Resolution Code: "&amp;$Q949&amp;CHAR(10)&amp;"Remarks: "&amp;LEFT($R949,600)&amp;CHAR(10)&amp;CHAR(10)&amp;"This is an automated notification from HP Mainstream EQMS."),"✉ Open Email Draft"),"")</f>
        <v/>
      </c>
    </row>
    <row r="950">
      <c r="A950" s="25">
        <f>IF($C950="","","AUD-2026-"&amp;TEXT(ROW()-1,"000000"))</f>
        <v/>
      </c>
      <c r="B950" s="26" t="n"/>
      <c r="C950" s="27" t="n"/>
      <c r="D950" s="25">
        <f>IF($C950="","",IFERROR(IF(INDEX(Roster!$A:$A,MATCH($C950,Roster!$B:$B,0))="","",INDEX(Roster!$A:$A,MATCH($C950,Roster!$B:$B,0))&amp;""),"—"))</f>
        <v/>
      </c>
      <c r="E950" s="25">
        <f>IF($C950="","",IFERROR(IF(INDEX(Roster!$C:$C,MATCH($C950,Roster!$B:$B,0))="","",INDEX(Roster!$C:$C,MATCH($C950,Roster!$B:$B,0))&amp;""),"—"))</f>
        <v/>
      </c>
      <c r="F950" s="25">
        <f>IF($C950="","",IFERROR(IF(INDEX(Roster!$D:$D,MATCH($C950,Roster!$B:$B,0))="","",INDEX(Roster!$D:$D,MATCH($C950,Roster!$B:$B,0))&amp;""),"—"))</f>
        <v/>
      </c>
      <c r="G950" s="25">
        <f>IF($C950="","",IFERROR(IF(INDEX(Roster!$E:$E,MATCH($C950,Roster!$B:$B,0))="","",INDEX(Roster!$E:$E,MATCH($C950,Roster!$B:$B,0))&amp;""),"—"))</f>
        <v/>
      </c>
      <c r="H950" s="25">
        <f>IF($C950="","",IFERROR(IF(INDEX(Roster!$F:$F,MATCH($C950,Roster!$B:$B,0))="","",INDEX(Roster!$F:$F,MATCH($C950,Roster!$B:$B,0))&amp;""),"—"))</f>
        <v/>
      </c>
      <c r="I950" s="25">
        <f>IF($C950="","",IFERROR(IF(INDEX(Roster!$G:$G,MATCH($C950,Roster!$B:$B,0))="","",INDEX(Roster!$G:$G,MATCH($C950,Roster!$B:$B,0))&amp;""),"—"))</f>
        <v/>
      </c>
      <c r="J950" s="25">
        <f>IF($C950="","",IFERROR(IF(INDEX(Roster!$I:$I,MATCH($C950,Roster!$B:$B,0))="","",INDEX(Roster!$I:$I,MATCH($C950,Roster!$B:$B,0))&amp;""),"—"))</f>
        <v/>
      </c>
      <c r="K950">
        <f>IF($C950="","",IFERROR(IF(INDEX(Roster!$J:$J,MATCH($C950,Roster!$B:$B,0))="","",INDEX(Roster!$J:$J,MATCH($C950,Roster!$B:$B,0))&amp;""),"—"))</f>
        <v/>
      </c>
      <c r="L950">
        <f>IF($C950="","",IFERROR(IF(INDEX(Roster!$K:$K,MATCH($C950,Roster!$B:$B,0))="","",INDEX(Roster!$K:$K,MATCH($C950,Roster!$B:$B,0))&amp;""),"—"))</f>
        <v/>
      </c>
      <c r="M950" s="27" t="n"/>
      <c r="N950" s="27" t="n"/>
      <c r="O950" s="25">
        <f>IF($C950="","",IF($P950="","—",IF($P950="Valid (Pass)","Valid","Invalid")))</f>
        <v/>
      </c>
      <c r="P950" s="27" t="n"/>
      <c r="Q950" s="27" t="n"/>
      <c r="R950" s="27" t="n"/>
      <c r="S950" s="27" t="n"/>
      <c r="T950" s="25">
        <f>IF($C950="","",IF(OR(ISNUMBER(SEARCH("quick case",$P950)),ISNUMBER(SEARCH("quick case",$Q950))),"Yes","No"))</f>
        <v/>
      </c>
      <c r="U950" s="25">
        <f>IF($O950="Invalid",HYPERLINK("mailto:"&amp;$G950&amp;";"&amp;$I950&amp;"?cc="&amp;Lists!$E$2&amp;"&amp;subject="&amp;_xlfn.ENCODEURL("[INVALID] Quality audit monitoring completed for "&amp;UPPER($C950))&amp;"&amp;body="&amp;_xlfn.ENCODEURL("Hi "&amp;$F950&amp;","&amp;CHAR(10)&amp;"Good day!"&amp;CHAR(10)&amp;CHAR(10)&amp;"A quality monitoring audit has been completed for "&amp;$C950&amp;"."&amp;CHAR(10)&amp;CHAR(10)&amp;"QUALITY AUDIT DETAILS"&amp;CHAR(10)&amp;"Agent Name: "&amp;$C950&amp;" (EID "&amp;$D950&amp;")"&amp;CHAR(10)&amp;"Audit Date: "&amp;TEXT($B950,"yyyy-mm-dd")&amp;CHAR(10)&amp;"Team Leader: "&amp;$F950&amp;CHAR(10)&amp;"Case Number: "&amp;$M950&amp;CHAR(10)&amp;"Transaction ID: "&amp;$N950&amp;CHAR(10)&amp;"Channel / LOB: "&amp;$K950&amp;" / "&amp;$L950&amp;CHAR(10)&amp;"Evaluator: "&amp;$S950&amp;CHAR(10)&amp;CHAR(10)&amp;"INVALID QUALITY AUDIT DETAILS"&amp;CHAR(10)&amp;"Validation: Invalid"&amp;CHAR(10)&amp;"Invalid Reason: "&amp;$P950&amp;CHAR(10)&amp;"Expected Resolution Code: "&amp;$Q950&amp;CHAR(10)&amp;"Remarks: "&amp;LEFT($R950,600)&amp;CHAR(10)&amp;CHAR(10)&amp;"This is an automated notification from HP Mainstream EQMS."),"✉ Open Email Draft"),"")</f>
        <v/>
      </c>
    </row>
    <row r="951">
      <c r="A951" s="25">
        <f>IF($C951="","","AUD-2026-"&amp;TEXT(ROW()-1,"000000"))</f>
        <v/>
      </c>
      <c r="B951" s="26" t="n"/>
      <c r="C951" s="27" t="n"/>
      <c r="D951" s="25">
        <f>IF($C951="","",IFERROR(IF(INDEX(Roster!$A:$A,MATCH($C951,Roster!$B:$B,0))="","",INDEX(Roster!$A:$A,MATCH($C951,Roster!$B:$B,0))&amp;""),"—"))</f>
        <v/>
      </c>
      <c r="E951" s="25">
        <f>IF($C951="","",IFERROR(IF(INDEX(Roster!$C:$C,MATCH($C951,Roster!$B:$B,0))="","",INDEX(Roster!$C:$C,MATCH($C951,Roster!$B:$B,0))&amp;""),"—"))</f>
        <v/>
      </c>
      <c r="F951" s="25">
        <f>IF($C951="","",IFERROR(IF(INDEX(Roster!$D:$D,MATCH($C951,Roster!$B:$B,0))="","",INDEX(Roster!$D:$D,MATCH($C951,Roster!$B:$B,0))&amp;""),"—"))</f>
        <v/>
      </c>
      <c r="G951" s="25">
        <f>IF($C951="","",IFERROR(IF(INDEX(Roster!$E:$E,MATCH($C951,Roster!$B:$B,0))="","",INDEX(Roster!$E:$E,MATCH($C951,Roster!$B:$B,0))&amp;""),"—"))</f>
        <v/>
      </c>
      <c r="H951" s="25">
        <f>IF($C951="","",IFERROR(IF(INDEX(Roster!$F:$F,MATCH($C951,Roster!$B:$B,0))="","",INDEX(Roster!$F:$F,MATCH($C951,Roster!$B:$B,0))&amp;""),"—"))</f>
        <v/>
      </c>
      <c r="I951" s="25">
        <f>IF($C951="","",IFERROR(IF(INDEX(Roster!$G:$G,MATCH($C951,Roster!$B:$B,0))="","",INDEX(Roster!$G:$G,MATCH($C951,Roster!$B:$B,0))&amp;""),"—"))</f>
        <v/>
      </c>
      <c r="J951" s="25">
        <f>IF($C951="","",IFERROR(IF(INDEX(Roster!$I:$I,MATCH($C951,Roster!$B:$B,0))="","",INDEX(Roster!$I:$I,MATCH($C951,Roster!$B:$B,0))&amp;""),"—"))</f>
        <v/>
      </c>
      <c r="K951">
        <f>IF($C951="","",IFERROR(IF(INDEX(Roster!$J:$J,MATCH($C951,Roster!$B:$B,0))="","",INDEX(Roster!$J:$J,MATCH($C951,Roster!$B:$B,0))&amp;""),"—"))</f>
        <v/>
      </c>
      <c r="L951">
        <f>IF($C951="","",IFERROR(IF(INDEX(Roster!$K:$K,MATCH($C951,Roster!$B:$B,0))="","",INDEX(Roster!$K:$K,MATCH($C951,Roster!$B:$B,0))&amp;""),"—"))</f>
        <v/>
      </c>
      <c r="M951" s="27" t="n"/>
      <c r="N951" s="27" t="n"/>
      <c r="O951" s="25">
        <f>IF($C951="","",IF($P951="","—",IF($P951="Valid (Pass)","Valid","Invalid")))</f>
        <v/>
      </c>
      <c r="P951" s="27" t="n"/>
      <c r="Q951" s="27" t="n"/>
      <c r="R951" s="27" t="n"/>
      <c r="S951" s="27" t="n"/>
      <c r="T951" s="25">
        <f>IF($C951="","",IF(OR(ISNUMBER(SEARCH("quick case",$P951)),ISNUMBER(SEARCH("quick case",$Q951))),"Yes","No"))</f>
        <v/>
      </c>
      <c r="U951" s="25">
        <f>IF($O951="Invalid",HYPERLINK("mailto:"&amp;$G951&amp;";"&amp;$I951&amp;"?cc="&amp;Lists!$E$2&amp;"&amp;subject="&amp;_xlfn.ENCODEURL("[INVALID] Quality audit monitoring completed for "&amp;UPPER($C951))&amp;"&amp;body="&amp;_xlfn.ENCODEURL("Hi "&amp;$F951&amp;","&amp;CHAR(10)&amp;"Good day!"&amp;CHAR(10)&amp;CHAR(10)&amp;"A quality monitoring audit has been completed for "&amp;$C951&amp;"."&amp;CHAR(10)&amp;CHAR(10)&amp;"QUALITY AUDIT DETAILS"&amp;CHAR(10)&amp;"Agent Name: "&amp;$C951&amp;" (EID "&amp;$D951&amp;")"&amp;CHAR(10)&amp;"Audit Date: "&amp;TEXT($B951,"yyyy-mm-dd")&amp;CHAR(10)&amp;"Team Leader: "&amp;$F951&amp;CHAR(10)&amp;"Case Number: "&amp;$M951&amp;CHAR(10)&amp;"Transaction ID: "&amp;$N951&amp;CHAR(10)&amp;"Channel / LOB: "&amp;$K951&amp;" / "&amp;$L951&amp;CHAR(10)&amp;"Evaluator: "&amp;$S951&amp;CHAR(10)&amp;CHAR(10)&amp;"INVALID QUALITY AUDIT DETAILS"&amp;CHAR(10)&amp;"Validation: Invalid"&amp;CHAR(10)&amp;"Invalid Reason: "&amp;$P951&amp;CHAR(10)&amp;"Expected Resolution Code: "&amp;$Q951&amp;CHAR(10)&amp;"Remarks: "&amp;LEFT($R951,600)&amp;CHAR(10)&amp;CHAR(10)&amp;"This is an automated notification from HP Mainstream EQMS."),"✉ Open Email Draft"),"")</f>
        <v/>
      </c>
    </row>
    <row r="952">
      <c r="A952" s="25">
        <f>IF($C952="","","AUD-2026-"&amp;TEXT(ROW()-1,"000000"))</f>
        <v/>
      </c>
      <c r="B952" s="26" t="n"/>
      <c r="C952" s="27" t="n"/>
      <c r="D952" s="25">
        <f>IF($C952="","",IFERROR(IF(INDEX(Roster!$A:$A,MATCH($C952,Roster!$B:$B,0))="","",INDEX(Roster!$A:$A,MATCH($C952,Roster!$B:$B,0))&amp;""),"—"))</f>
        <v/>
      </c>
      <c r="E952" s="25">
        <f>IF($C952="","",IFERROR(IF(INDEX(Roster!$C:$C,MATCH($C952,Roster!$B:$B,0))="","",INDEX(Roster!$C:$C,MATCH($C952,Roster!$B:$B,0))&amp;""),"—"))</f>
        <v/>
      </c>
      <c r="F952" s="25">
        <f>IF($C952="","",IFERROR(IF(INDEX(Roster!$D:$D,MATCH($C952,Roster!$B:$B,0))="","",INDEX(Roster!$D:$D,MATCH($C952,Roster!$B:$B,0))&amp;""),"—"))</f>
        <v/>
      </c>
      <c r="G952" s="25">
        <f>IF($C952="","",IFERROR(IF(INDEX(Roster!$E:$E,MATCH($C952,Roster!$B:$B,0))="","",INDEX(Roster!$E:$E,MATCH($C952,Roster!$B:$B,0))&amp;""),"—"))</f>
        <v/>
      </c>
      <c r="H952" s="25">
        <f>IF($C952="","",IFERROR(IF(INDEX(Roster!$F:$F,MATCH($C952,Roster!$B:$B,0))="","",INDEX(Roster!$F:$F,MATCH($C952,Roster!$B:$B,0))&amp;""),"—"))</f>
        <v/>
      </c>
      <c r="I952" s="25">
        <f>IF($C952="","",IFERROR(IF(INDEX(Roster!$G:$G,MATCH($C952,Roster!$B:$B,0))="","",INDEX(Roster!$G:$G,MATCH($C952,Roster!$B:$B,0))&amp;""),"—"))</f>
        <v/>
      </c>
      <c r="J952" s="25">
        <f>IF($C952="","",IFERROR(IF(INDEX(Roster!$I:$I,MATCH($C952,Roster!$B:$B,0))="","",INDEX(Roster!$I:$I,MATCH($C952,Roster!$B:$B,0))&amp;""),"—"))</f>
        <v/>
      </c>
      <c r="K952">
        <f>IF($C952="","",IFERROR(IF(INDEX(Roster!$J:$J,MATCH($C952,Roster!$B:$B,0))="","",INDEX(Roster!$J:$J,MATCH($C952,Roster!$B:$B,0))&amp;""),"—"))</f>
        <v/>
      </c>
      <c r="L952">
        <f>IF($C952="","",IFERROR(IF(INDEX(Roster!$K:$K,MATCH($C952,Roster!$B:$B,0))="","",INDEX(Roster!$K:$K,MATCH($C952,Roster!$B:$B,0))&amp;""),"—"))</f>
        <v/>
      </c>
      <c r="M952" s="27" t="n"/>
      <c r="N952" s="27" t="n"/>
      <c r="O952" s="25">
        <f>IF($C952="","",IF($P952="","—",IF($P952="Valid (Pass)","Valid","Invalid")))</f>
        <v/>
      </c>
      <c r="P952" s="27" t="n"/>
      <c r="Q952" s="27" t="n"/>
      <c r="R952" s="27" t="n"/>
      <c r="S952" s="27" t="n"/>
      <c r="T952" s="25">
        <f>IF($C952="","",IF(OR(ISNUMBER(SEARCH("quick case",$P952)),ISNUMBER(SEARCH("quick case",$Q952))),"Yes","No"))</f>
        <v/>
      </c>
      <c r="U952" s="25">
        <f>IF($O952="Invalid",HYPERLINK("mailto:"&amp;$G952&amp;";"&amp;$I952&amp;"?cc="&amp;Lists!$E$2&amp;"&amp;subject="&amp;_xlfn.ENCODEURL("[INVALID] Quality audit monitoring completed for "&amp;UPPER($C952))&amp;"&amp;body="&amp;_xlfn.ENCODEURL("Hi "&amp;$F952&amp;","&amp;CHAR(10)&amp;"Good day!"&amp;CHAR(10)&amp;CHAR(10)&amp;"A quality monitoring audit has been completed for "&amp;$C952&amp;"."&amp;CHAR(10)&amp;CHAR(10)&amp;"QUALITY AUDIT DETAILS"&amp;CHAR(10)&amp;"Agent Name: "&amp;$C952&amp;" (EID "&amp;$D952&amp;")"&amp;CHAR(10)&amp;"Audit Date: "&amp;TEXT($B952,"yyyy-mm-dd")&amp;CHAR(10)&amp;"Team Leader: "&amp;$F952&amp;CHAR(10)&amp;"Case Number: "&amp;$M952&amp;CHAR(10)&amp;"Transaction ID: "&amp;$N952&amp;CHAR(10)&amp;"Channel / LOB: "&amp;$K952&amp;" / "&amp;$L952&amp;CHAR(10)&amp;"Evaluator: "&amp;$S952&amp;CHAR(10)&amp;CHAR(10)&amp;"INVALID QUALITY AUDIT DETAILS"&amp;CHAR(10)&amp;"Validation: Invalid"&amp;CHAR(10)&amp;"Invalid Reason: "&amp;$P952&amp;CHAR(10)&amp;"Expected Resolution Code: "&amp;$Q952&amp;CHAR(10)&amp;"Remarks: "&amp;LEFT($R952,600)&amp;CHAR(10)&amp;CHAR(10)&amp;"This is an automated notification from HP Mainstream EQMS."),"✉ Open Email Draft"),"")</f>
        <v/>
      </c>
    </row>
    <row r="953">
      <c r="A953" s="25">
        <f>IF($C953="","","AUD-2026-"&amp;TEXT(ROW()-1,"000000"))</f>
        <v/>
      </c>
      <c r="B953" s="26" t="n"/>
      <c r="C953" s="27" t="n"/>
      <c r="D953" s="25">
        <f>IF($C953="","",IFERROR(IF(INDEX(Roster!$A:$A,MATCH($C953,Roster!$B:$B,0))="","",INDEX(Roster!$A:$A,MATCH($C953,Roster!$B:$B,0))&amp;""),"—"))</f>
        <v/>
      </c>
      <c r="E953" s="25">
        <f>IF($C953="","",IFERROR(IF(INDEX(Roster!$C:$C,MATCH($C953,Roster!$B:$B,0))="","",INDEX(Roster!$C:$C,MATCH($C953,Roster!$B:$B,0))&amp;""),"—"))</f>
        <v/>
      </c>
      <c r="F953" s="25">
        <f>IF($C953="","",IFERROR(IF(INDEX(Roster!$D:$D,MATCH($C953,Roster!$B:$B,0))="","",INDEX(Roster!$D:$D,MATCH($C953,Roster!$B:$B,0))&amp;""),"—"))</f>
        <v/>
      </c>
      <c r="G953" s="25">
        <f>IF($C953="","",IFERROR(IF(INDEX(Roster!$E:$E,MATCH($C953,Roster!$B:$B,0))="","",INDEX(Roster!$E:$E,MATCH($C953,Roster!$B:$B,0))&amp;""),"—"))</f>
        <v/>
      </c>
      <c r="H953" s="25">
        <f>IF($C953="","",IFERROR(IF(INDEX(Roster!$F:$F,MATCH($C953,Roster!$B:$B,0))="","",INDEX(Roster!$F:$F,MATCH($C953,Roster!$B:$B,0))&amp;""),"—"))</f>
        <v/>
      </c>
      <c r="I953" s="25">
        <f>IF($C953="","",IFERROR(IF(INDEX(Roster!$G:$G,MATCH($C953,Roster!$B:$B,0))="","",INDEX(Roster!$G:$G,MATCH($C953,Roster!$B:$B,0))&amp;""),"—"))</f>
        <v/>
      </c>
      <c r="J953" s="25">
        <f>IF($C953="","",IFERROR(IF(INDEX(Roster!$I:$I,MATCH($C953,Roster!$B:$B,0))="","",INDEX(Roster!$I:$I,MATCH($C953,Roster!$B:$B,0))&amp;""),"—"))</f>
        <v/>
      </c>
      <c r="K953">
        <f>IF($C953="","",IFERROR(IF(INDEX(Roster!$J:$J,MATCH($C953,Roster!$B:$B,0))="","",INDEX(Roster!$J:$J,MATCH($C953,Roster!$B:$B,0))&amp;""),"—"))</f>
        <v/>
      </c>
      <c r="L953">
        <f>IF($C953="","",IFERROR(IF(INDEX(Roster!$K:$K,MATCH($C953,Roster!$B:$B,0))="","",INDEX(Roster!$K:$K,MATCH($C953,Roster!$B:$B,0))&amp;""),"—"))</f>
        <v/>
      </c>
      <c r="M953" s="27" t="n"/>
      <c r="N953" s="27" t="n"/>
      <c r="O953" s="25">
        <f>IF($C953="","",IF($P953="","—",IF($P953="Valid (Pass)","Valid","Invalid")))</f>
        <v/>
      </c>
      <c r="P953" s="27" t="n"/>
      <c r="Q953" s="27" t="n"/>
      <c r="R953" s="27" t="n"/>
      <c r="S953" s="27" t="n"/>
      <c r="T953" s="25">
        <f>IF($C953="","",IF(OR(ISNUMBER(SEARCH("quick case",$P953)),ISNUMBER(SEARCH("quick case",$Q953))),"Yes","No"))</f>
        <v/>
      </c>
      <c r="U953" s="25">
        <f>IF($O953="Invalid",HYPERLINK("mailto:"&amp;$G953&amp;";"&amp;$I953&amp;"?cc="&amp;Lists!$E$2&amp;"&amp;subject="&amp;_xlfn.ENCODEURL("[INVALID] Quality audit monitoring completed for "&amp;UPPER($C953))&amp;"&amp;body="&amp;_xlfn.ENCODEURL("Hi "&amp;$F953&amp;","&amp;CHAR(10)&amp;"Good day!"&amp;CHAR(10)&amp;CHAR(10)&amp;"A quality monitoring audit has been completed for "&amp;$C953&amp;"."&amp;CHAR(10)&amp;CHAR(10)&amp;"QUALITY AUDIT DETAILS"&amp;CHAR(10)&amp;"Agent Name: "&amp;$C953&amp;" (EID "&amp;$D953&amp;")"&amp;CHAR(10)&amp;"Audit Date: "&amp;TEXT($B953,"yyyy-mm-dd")&amp;CHAR(10)&amp;"Team Leader: "&amp;$F953&amp;CHAR(10)&amp;"Case Number: "&amp;$M953&amp;CHAR(10)&amp;"Transaction ID: "&amp;$N953&amp;CHAR(10)&amp;"Channel / LOB: "&amp;$K953&amp;" / "&amp;$L953&amp;CHAR(10)&amp;"Evaluator: "&amp;$S953&amp;CHAR(10)&amp;CHAR(10)&amp;"INVALID QUALITY AUDIT DETAILS"&amp;CHAR(10)&amp;"Validation: Invalid"&amp;CHAR(10)&amp;"Invalid Reason: "&amp;$P953&amp;CHAR(10)&amp;"Expected Resolution Code: "&amp;$Q953&amp;CHAR(10)&amp;"Remarks: "&amp;LEFT($R953,600)&amp;CHAR(10)&amp;CHAR(10)&amp;"This is an automated notification from HP Mainstream EQMS."),"✉ Open Email Draft"),"")</f>
        <v/>
      </c>
    </row>
    <row r="954">
      <c r="A954" s="25">
        <f>IF($C954="","","AUD-2026-"&amp;TEXT(ROW()-1,"000000"))</f>
        <v/>
      </c>
      <c r="B954" s="26" t="n"/>
      <c r="C954" s="27" t="n"/>
      <c r="D954" s="25">
        <f>IF($C954="","",IFERROR(IF(INDEX(Roster!$A:$A,MATCH($C954,Roster!$B:$B,0))="","",INDEX(Roster!$A:$A,MATCH($C954,Roster!$B:$B,0))&amp;""),"—"))</f>
        <v/>
      </c>
      <c r="E954" s="25">
        <f>IF($C954="","",IFERROR(IF(INDEX(Roster!$C:$C,MATCH($C954,Roster!$B:$B,0))="","",INDEX(Roster!$C:$C,MATCH($C954,Roster!$B:$B,0))&amp;""),"—"))</f>
        <v/>
      </c>
      <c r="F954" s="25">
        <f>IF($C954="","",IFERROR(IF(INDEX(Roster!$D:$D,MATCH($C954,Roster!$B:$B,0))="","",INDEX(Roster!$D:$D,MATCH($C954,Roster!$B:$B,0))&amp;""),"—"))</f>
        <v/>
      </c>
      <c r="G954" s="25">
        <f>IF($C954="","",IFERROR(IF(INDEX(Roster!$E:$E,MATCH($C954,Roster!$B:$B,0))="","",INDEX(Roster!$E:$E,MATCH($C954,Roster!$B:$B,0))&amp;""),"—"))</f>
        <v/>
      </c>
      <c r="H954" s="25">
        <f>IF($C954="","",IFERROR(IF(INDEX(Roster!$F:$F,MATCH($C954,Roster!$B:$B,0))="","",INDEX(Roster!$F:$F,MATCH($C954,Roster!$B:$B,0))&amp;""),"—"))</f>
        <v/>
      </c>
      <c r="I954" s="25">
        <f>IF($C954="","",IFERROR(IF(INDEX(Roster!$G:$G,MATCH($C954,Roster!$B:$B,0))="","",INDEX(Roster!$G:$G,MATCH($C954,Roster!$B:$B,0))&amp;""),"—"))</f>
        <v/>
      </c>
      <c r="J954" s="25">
        <f>IF($C954="","",IFERROR(IF(INDEX(Roster!$I:$I,MATCH($C954,Roster!$B:$B,0))="","",INDEX(Roster!$I:$I,MATCH($C954,Roster!$B:$B,0))&amp;""),"—"))</f>
        <v/>
      </c>
      <c r="K954">
        <f>IF($C954="","",IFERROR(IF(INDEX(Roster!$J:$J,MATCH($C954,Roster!$B:$B,0))="","",INDEX(Roster!$J:$J,MATCH($C954,Roster!$B:$B,0))&amp;""),"—"))</f>
        <v/>
      </c>
      <c r="L954">
        <f>IF($C954="","",IFERROR(IF(INDEX(Roster!$K:$K,MATCH($C954,Roster!$B:$B,0))="","",INDEX(Roster!$K:$K,MATCH($C954,Roster!$B:$B,0))&amp;""),"—"))</f>
        <v/>
      </c>
      <c r="M954" s="27" t="n"/>
      <c r="N954" s="27" t="n"/>
      <c r="O954" s="25">
        <f>IF($C954="","",IF($P954="","—",IF($P954="Valid (Pass)","Valid","Invalid")))</f>
        <v/>
      </c>
      <c r="P954" s="27" t="n"/>
      <c r="Q954" s="27" t="n"/>
      <c r="R954" s="27" t="n"/>
      <c r="S954" s="27" t="n"/>
      <c r="T954" s="25">
        <f>IF($C954="","",IF(OR(ISNUMBER(SEARCH("quick case",$P954)),ISNUMBER(SEARCH("quick case",$Q954))),"Yes","No"))</f>
        <v/>
      </c>
      <c r="U954" s="25">
        <f>IF($O954="Invalid",HYPERLINK("mailto:"&amp;$G954&amp;";"&amp;$I954&amp;"?cc="&amp;Lists!$E$2&amp;"&amp;subject="&amp;_xlfn.ENCODEURL("[INVALID] Quality audit monitoring completed for "&amp;UPPER($C954))&amp;"&amp;body="&amp;_xlfn.ENCODEURL("Hi "&amp;$F954&amp;","&amp;CHAR(10)&amp;"Good day!"&amp;CHAR(10)&amp;CHAR(10)&amp;"A quality monitoring audit has been completed for "&amp;$C954&amp;"."&amp;CHAR(10)&amp;CHAR(10)&amp;"QUALITY AUDIT DETAILS"&amp;CHAR(10)&amp;"Agent Name: "&amp;$C954&amp;" (EID "&amp;$D954&amp;")"&amp;CHAR(10)&amp;"Audit Date: "&amp;TEXT($B954,"yyyy-mm-dd")&amp;CHAR(10)&amp;"Team Leader: "&amp;$F954&amp;CHAR(10)&amp;"Case Number: "&amp;$M954&amp;CHAR(10)&amp;"Transaction ID: "&amp;$N954&amp;CHAR(10)&amp;"Channel / LOB: "&amp;$K954&amp;" / "&amp;$L954&amp;CHAR(10)&amp;"Evaluator: "&amp;$S954&amp;CHAR(10)&amp;CHAR(10)&amp;"INVALID QUALITY AUDIT DETAILS"&amp;CHAR(10)&amp;"Validation: Invalid"&amp;CHAR(10)&amp;"Invalid Reason: "&amp;$P954&amp;CHAR(10)&amp;"Expected Resolution Code: "&amp;$Q954&amp;CHAR(10)&amp;"Remarks: "&amp;LEFT($R954,600)&amp;CHAR(10)&amp;CHAR(10)&amp;"This is an automated notification from HP Mainstream EQMS."),"✉ Open Email Draft"),"")</f>
        <v/>
      </c>
    </row>
    <row r="955">
      <c r="A955" s="25">
        <f>IF($C955="","","AUD-2026-"&amp;TEXT(ROW()-1,"000000"))</f>
        <v/>
      </c>
      <c r="B955" s="26" t="n"/>
      <c r="C955" s="27" t="n"/>
      <c r="D955" s="25">
        <f>IF($C955="","",IFERROR(IF(INDEX(Roster!$A:$A,MATCH($C955,Roster!$B:$B,0))="","",INDEX(Roster!$A:$A,MATCH($C955,Roster!$B:$B,0))&amp;""),"—"))</f>
        <v/>
      </c>
      <c r="E955" s="25">
        <f>IF($C955="","",IFERROR(IF(INDEX(Roster!$C:$C,MATCH($C955,Roster!$B:$B,0))="","",INDEX(Roster!$C:$C,MATCH($C955,Roster!$B:$B,0))&amp;""),"—"))</f>
        <v/>
      </c>
      <c r="F955" s="25">
        <f>IF($C955="","",IFERROR(IF(INDEX(Roster!$D:$D,MATCH($C955,Roster!$B:$B,0))="","",INDEX(Roster!$D:$D,MATCH($C955,Roster!$B:$B,0))&amp;""),"—"))</f>
        <v/>
      </c>
      <c r="G955" s="25">
        <f>IF($C955="","",IFERROR(IF(INDEX(Roster!$E:$E,MATCH($C955,Roster!$B:$B,0))="","",INDEX(Roster!$E:$E,MATCH($C955,Roster!$B:$B,0))&amp;""),"—"))</f>
        <v/>
      </c>
      <c r="H955" s="25">
        <f>IF($C955="","",IFERROR(IF(INDEX(Roster!$F:$F,MATCH($C955,Roster!$B:$B,0))="","",INDEX(Roster!$F:$F,MATCH($C955,Roster!$B:$B,0))&amp;""),"—"))</f>
        <v/>
      </c>
      <c r="I955" s="25">
        <f>IF($C955="","",IFERROR(IF(INDEX(Roster!$G:$G,MATCH($C955,Roster!$B:$B,0))="","",INDEX(Roster!$G:$G,MATCH($C955,Roster!$B:$B,0))&amp;""),"—"))</f>
        <v/>
      </c>
      <c r="J955" s="25">
        <f>IF($C955="","",IFERROR(IF(INDEX(Roster!$I:$I,MATCH($C955,Roster!$B:$B,0))="","",INDEX(Roster!$I:$I,MATCH($C955,Roster!$B:$B,0))&amp;""),"—"))</f>
        <v/>
      </c>
      <c r="K955">
        <f>IF($C955="","",IFERROR(IF(INDEX(Roster!$J:$J,MATCH($C955,Roster!$B:$B,0))="","",INDEX(Roster!$J:$J,MATCH($C955,Roster!$B:$B,0))&amp;""),"—"))</f>
        <v/>
      </c>
      <c r="L955">
        <f>IF($C955="","",IFERROR(IF(INDEX(Roster!$K:$K,MATCH($C955,Roster!$B:$B,0))="","",INDEX(Roster!$K:$K,MATCH($C955,Roster!$B:$B,0))&amp;""),"—"))</f>
        <v/>
      </c>
      <c r="M955" s="27" t="n"/>
      <c r="N955" s="27" t="n"/>
      <c r="O955" s="25">
        <f>IF($C955="","",IF($P955="","—",IF($P955="Valid (Pass)","Valid","Invalid")))</f>
        <v/>
      </c>
      <c r="P955" s="27" t="n"/>
      <c r="Q955" s="27" t="n"/>
      <c r="R955" s="27" t="n"/>
      <c r="S955" s="27" t="n"/>
      <c r="T955" s="25">
        <f>IF($C955="","",IF(OR(ISNUMBER(SEARCH("quick case",$P955)),ISNUMBER(SEARCH("quick case",$Q955))),"Yes","No"))</f>
        <v/>
      </c>
      <c r="U955" s="25">
        <f>IF($O955="Invalid",HYPERLINK("mailto:"&amp;$G955&amp;";"&amp;$I955&amp;"?cc="&amp;Lists!$E$2&amp;"&amp;subject="&amp;_xlfn.ENCODEURL("[INVALID] Quality audit monitoring completed for "&amp;UPPER($C955))&amp;"&amp;body="&amp;_xlfn.ENCODEURL("Hi "&amp;$F955&amp;","&amp;CHAR(10)&amp;"Good day!"&amp;CHAR(10)&amp;CHAR(10)&amp;"A quality monitoring audit has been completed for "&amp;$C955&amp;"."&amp;CHAR(10)&amp;CHAR(10)&amp;"QUALITY AUDIT DETAILS"&amp;CHAR(10)&amp;"Agent Name: "&amp;$C955&amp;" (EID "&amp;$D955&amp;")"&amp;CHAR(10)&amp;"Audit Date: "&amp;TEXT($B955,"yyyy-mm-dd")&amp;CHAR(10)&amp;"Team Leader: "&amp;$F955&amp;CHAR(10)&amp;"Case Number: "&amp;$M955&amp;CHAR(10)&amp;"Transaction ID: "&amp;$N955&amp;CHAR(10)&amp;"Channel / LOB: "&amp;$K955&amp;" / "&amp;$L955&amp;CHAR(10)&amp;"Evaluator: "&amp;$S955&amp;CHAR(10)&amp;CHAR(10)&amp;"INVALID QUALITY AUDIT DETAILS"&amp;CHAR(10)&amp;"Validation: Invalid"&amp;CHAR(10)&amp;"Invalid Reason: "&amp;$P955&amp;CHAR(10)&amp;"Expected Resolution Code: "&amp;$Q955&amp;CHAR(10)&amp;"Remarks: "&amp;LEFT($R955,600)&amp;CHAR(10)&amp;CHAR(10)&amp;"This is an automated notification from HP Mainstream EQMS."),"✉ Open Email Draft"),"")</f>
        <v/>
      </c>
    </row>
    <row r="956">
      <c r="A956" s="25">
        <f>IF($C956="","","AUD-2026-"&amp;TEXT(ROW()-1,"000000"))</f>
        <v/>
      </c>
      <c r="B956" s="26" t="n"/>
      <c r="C956" s="27" t="n"/>
      <c r="D956" s="25">
        <f>IF($C956="","",IFERROR(IF(INDEX(Roster!$A:$A,MATCH($C956,Roster!$B:$B,0))="","",INDEX(Roster!$A:$A,MATCH($C956,Roster!$B:$B,0))&amp;""),"—"))</f>
        <v/>
      </c>
      <c r="E956" s="25">
        <f>IF($C956="","",IFERROR(IF(INDEX(Roster!$C:$C,MATCH($C956,Roster!$B:$B,0))="","",INDEX(Roster!$C:$C,MATCH($C956,Roster!$B:$B,0))&amp;""),"—"))</f>
        <v/>
      </c>
      <c r="F956" s="25">
        <f>IF($C956="","",IFERROR(IF(INDEX(Roster!$D:$D,MATCH($C956,Roster!$B:$B,0))="","",INDEX(Roster!$D:$D,MATCH($C956,Roster!$B:$B,0))&amp;""),"—"))</f>
        <v/>
      </c>
      <c r="G956" s="25">
        <f>IF($C956="","",IFERROR(IF(INDEX(Roster!$E:$E,MATCH($C956,Roster!$B:$B,0))="","",INDEX(Roster!$E:$E,MATCH($C956,Roster!$B:$B,0))&amp;""),"—"))</f>
        <v/>
      </c>
      <c r="H956" s="25">
        <f>IF($C956="","",IFERROR(IF(INDEX(Roster!$F:$F,MATCH($C956,Roster!$B:$B,0))="","",INDEX(Roster!$F:$F,MATCH($C956,Roster!$B:$B,0))&amp;""),"—"))</f>
        <v/>
      </c>
      <c r="I956" s="25">
        <f>IF($C956="","",IFERROR(IF(INDEX(Roster!$G:$G,MATCH($C956,Roster!$B:$B,0))="","",INDEX(Roster!$G:$G,MATCH($C956,Roster!$B:$B,0))&amp;""),"—"))</f>
        <v/>
      </c>
      <c r="J956" s="25">
        <f>IF($C956="","",IFERROR(IF(INDEX(Roster!$I:$I,MATCH($C956,Roster!$B:$B,0))="","",INDEX(Roster!$I:$I,MATCH($C956,Roster!$B:$B,0))&amp;""),"—"))</f>
        <v/>
      </c>
      <c r="K956">
        <f>IF($C956="","",IFERROR(IF(INDEX(Roster!$J:$J,MATCH($C956,Roster!$B:$B,0))="","",INDEX(Roster!$J:$J,MATCH($C956,Roster!$B:$B,0))&amp;""),"—"))</f>
        <v/>
      </c>
      <c r="L956">
        <f>IF($C956="","",IFERROR(IF(INDEX(Roster!$K:$K,MATCH($C956,Roster!$B:$B,0))="","",INDEX(Roster!$K:$K,MATCH($C956,Roster!$B:$B,0))&amp;""),"—"))</f>
        <v/>
      </c>
      <c r="M956" s="27" t="n"/>
      <c r="N956" s="27" t="n"/>
      <c r="O956" s="25">
        <f>IF($C956="","",IF($P956="","—",IF($P956="Valid (Pass)","Valid","Invalid")))</f>
        <v/>
      </c>
      <c r="P956" s="27" t="n"/>
      <c r="Q956" s="27" t="n"/>
      <c r="R956" s="27" t="n"/>
      <c r="S956" s="27" t="n"/>
      <c r="T956" s="25">
        <f>IF($C956="","",IF(OR(ISNUMBER(SEARCH("quick case",$P956)),ISNUMBER(SEARCH("quick case",$Q956))),"Yes","No"))</f>
        <v/>
      </c>
      <c r="U956" s="25">
        <f>IF($O956="Invalid",HYPERLINK("mailto:"&amp;$G956&amp;";"&amp;$I956&amp;"?cc="&amp;Lists!$E$2&amp;"&amp;subject="&amp;_xlfn.ENCODEURL("[INVALID] Quality audit monitoring completed for "&amp;UPPER($C956))&amp;"&amp;body="&amp;_xlfn.ENCODEURL("Hi "&amp;$F956&amp;","&amp;CHAR(10)&amp;"Good day!"&amp;CHAR(10)&amp;CHAR(10)&amp;"A quality monitoring audit has been completed for "&amp;$C956&amp;"."&amp;CHAR(10)&amp;CHAR(10)&amp;"QUALITY AUDIT DETAILS"&amp;CHAR(10)&amp;"Agent Name: "&amp;$C956&amp;" (EID "&amp;$D956&amp;")"&amp;CHAR(10)&amp;"Audit Date: "&amp;TEXT($B956,"yyyy-mm-dd")&amp;CHAR(10)&amp;"Team Leader: "&amp;$F956&amp;CHAR(10)&amp;"Case Number: "&amp;$M956&amp;CHAR(10)&amp;"Transaction ID: "&amp;$N956&amp;CHAR(10)&amp;"Channel / LOB: "&amp;$K956&amp;" / "&amp;$L956&amp;CHAR(10)&amp;"Evaluator: "&amp;$S956&amp;CHAR(10)&amp;CHAR(10)&amp;"INVALID QUALITY AUDIT DETAILS"&amp;CHAR(10)&amp;"Validation: Invalid"&amp;CHAR(10)&amp;"Invalid Reason: "&amp;$P956&amp;CHAR(10)&amp;"Expected Resolution Code: "&amp;$Q956&amp;CHAR(10)&amp;"Remarks: "&amp;LEFT($R956,600)&amp;CHAR(10)&amp;CHAR(10)&amp;"This is an automated notification from HP Mainstream EQMS."),"✉ Open Email Draft"),"")</f>
        <v/>
      </c>
    </row>
    <row r="957">
      <c r="A957" s="25">
        <f>IF($C957="","","AUD-2026-"&amp;TEXT(ROW()-1,"000000"))</f>
        <v/>
      </c>
      <c r="B957" s="26" t="n"/>
      <c r="C957" s="27" t="n"/>
      <c r="D957" s="25">
        <f>IF($C957="","",IFERROR(IF(INDEX(Roster!$A:$A,MATCH($C957,Roster!$B:$B,0))="","",INDEX(Roster!$A:$A,MATCH($C957,Roster!$B:$B,0))&amp;""),"—"))</f>
        <v/>
      </c>
      <c r="E957" s="25">
        <f>IF($C957="","",IFERROR(IF(INDEX(Roster!$C:$C,MATCH($C957,Roster!$B:$B,0))="","",INDEX(Roster!$C:$C,MATCH($C957,Roster!$B:$B,0))&amp;""),"—"))</f>
        <v/>
      </c>
      <c r="F957" s="25">
        <f>IF($C957="","",IFERROR(IF(INDEX(Roster!$D:$D,MATCH($C957,Roster!$B:$B,0))="","",INDEX(Roster!$D:$D,MATCH($C957,Roster!$B:$B,0))&amp;""),"—"))</f>
        <v/>
      </c>
      <c r="G957" s="25">
        <f>IF($C957="","",IFERROR(IF(INDEX(Roster!$E:$E,MATCH($C957,Roster!$B:$B,0))="","",INDEX(Roster!$E:$E,MATCH($C957,Roster!$B:$B,0))&amp;""),"—"))</f>
        <v/>
      </c>
      <c r="H957" s="25">
        <f>IF($C957="","",IFERROR(IF(INDEX(Roster!$F:$F,MATCH($C957,Roster!$B:$B,0))="","",INDEX(Roster!$F:$F,MATCH($C957,Roster!$B:$B,0))&amp;""),"—"))</f>
        <v/>
      </c>
      <c r="I957" s="25">
        <f>IF($C957="","",IFERROR(IF(INDEX(Roster!$G:$G,MATCH($C957,Roster!$B:$B,0))="","",INDEX(Roster!$G:$G,MATCH($C957,Roster!$B:$B,0))&amp;""),"—"))</f>
        <v/>
      </c>
      <c r="J957" s="25">
        <f>IF($C957="","",IFERROR(IF(INDEX(Roster!$I:$I,MATCH($C957,Roster!$B:$B,0))="","",INDEX(Roster!$I:$I,MATCH($C957,Roster!$B:$B,0))&amp;""),"—"))</f>
        <v/>
      </c>
      <c r="K957">
        <f>IF($C957="","",IFERROR(IF(INDEX(Roster!$J:$J,MATCH($C957,Roster!$B:$B,0))="","",INDEX(Roster!$J:$J,MATCH($C957,Roster!$B:$B,0))&amp;""),"—"))</f>
        <v/>
      </c>
      <c r="L957">
        <f>IF($C957="","",IFERROR(IF(INDEX(Roster!$K:$K,MATCH($C957,Roster!$B:$B,0))="","",INDEX(Roster!$K:$K,MATCH($C957,Roster!$B:$B,0))&amp;""),"—"))</f>
        <v/>
      </c>
      <c r="M957" s="27" t="n"/>
      <c r="N957" s="27" t="n"/>
      <c r="O957" s="25">
        <f>IF($C957="","",IF($P957="","—",IF($P957="Valid (Pass)","Valid","Invalid")))</f>
        <v/>
      </c>
      <c r="P957" s="27" t="n"/>
      <c r="Q957" s="27" t="n"/>
      <c r="R957" s="27" t="n"/>
      <c r="S957" s="27" t="n"/>
      <c r="T957" s="25">
        <f>IF($C957="","",IF(OR(ISNUMBER(SEARCH("quick case",$P957)),ISNUMBER(SEARCH("quick case",$Q957))),"Yes","No"))</f>
        <v/>
      </c>
      <c r="U957" s="25">
        <f>IF($O957="Invalid",HYPERLINK("mailto:"&amp;$G957&amp;";"&amp;$I957&amp;"?cc="&amp;Lists!$E$2&amp;"&amp;subject="&amp;_xlfn.ENCODEURL("[INVALID] Quality audit monitoring completed for "&amp;UPPER($C957))&amp;"&amp;body="&amp;_xlfn.ENCODEURL("Hi "&amp;$F957&amp;","&amp;CHAR(10)&amp;"Good day!"&amp;CHAR(10)&amp;CHAR(10)&amp;"A quality monitoring audit has been completed for "&amp;$C957&amp;"."&amp;CHAR(10)&amp;CHAR(10)&amp;"QUALITY AUDIT DETAILS"&amp;CHAR(10)&amp;"Agent Name: "&amp;$C957&amp;" (EID "&amp;$D957&amp;")"&amp;CHAR(10)&amp;"Audit Date: "&amp;TEXT($B957,"yyyy-mm-dd")&amp;CHAR(10)&amp;"Team Leader: "&amp;$F957&amp;CHAR(10)&amp;"Case Number: "&amp;$M957&amp;CHAR(10)&amp;"Transaction ID: "&amp;$N957&amp;CHAR(10)&amp;"Channel / LOB: "&amp;$K957&amp;" / "&amp;$L957&amp;CHAR(10)&amp;"Evaluator: "&amp;$S957&amp;CHAR(10)&amp;CHAR(10)&amp;"INVALID QUALITY AUDIT DETAILS"&amp;CHAR(10)&amp;"Validation: Invalid"&amp;CHAR(10)&amp;"Invalid Reason: "&amp;$P957&amp;CHAR(10)&amp;"Expected Resolution Code: "&amp;$Q957&amp;CHAR(10)&amp;"Remarks: "&amp;LEFT($R957,600)&amp;CHAR(10)&amp;CHAR(10)&amp;"This is an automated notification from HP Mainstream EQMS."),"✉ Open Email Draft"),"")</f>
        <v/>
      </c>
    </row>
    <row r="958">
      <c r="A958" s="25">
        <f>IF($C958="","","AUD-2026-"&amp;TEXT(ROW()-1,"000000"))</f>
        <v/>
      </c>
      <c r="B958" s="26" t="n"/>
      <c r="C958" s="27" t="n"/>
      <c r="D958" s="25">
        <f>IF($C958="","",IFERROR(IF(INDEX(Roster!$A:$A,MATCH($C958,Roster!$B:$B,0))="","",INDEX(Roster!$A:$A,MATCH($C958,Roster!$B:$B,0))&amp;""),"—"))</f>
        <v/>
      </c>
      <c r="E958" s="25">
        <f>IF($C958="","",IFERROR(IF(INDEX(Roster!$C:$C,MATCH($C958,Roster!$B:$B,0))="","",INDEX(Roster!$C:$C,MATCH($C958,Roster!$B:$B,0))&amp;""),"—"))</f>
        <v/>
      </c>
      <c r="F958" s="25">
        <f>IF($C958="","",IFERROR(IF(INDEX(Roster!$D:$D,MATCH($C958,Roster!$B:$B,0))="","",INDEX(Roster!$D:$D,MATCH($C958,Roster!$B:$B,0))&amp;""),"—"))</f>
        <v/>
      </c>
      <c r="G958" s="25">
        <f>IF($C958="","",IFERROR(IF(INDEX(Roster!$E:$E,MATCH($C958,Roster!$B:$B,0))="","",INDEX(Roster!$E:$E,MATCH($C958,Roster!$B:$B,0))&amp;""),"—"))</f>
        <v/>
      </c>
      <c r="H958" s="25">
        <f>IF($C958="","",IFERROR(IF(INDEX(Roster!$F:$F,MATCH($C958,Roster!$B:$B,0))="","",INDEX(Roster!$F:$F,MATCH($C958,Roster!$B:$B,0))&amp;""),"—"))</f>
        <v/>
      </c>
      <c r="I958" s="25">
        <f>IF($C958="","",IFERROR(IF(INDEX(Roster!$G:$G,MATCH($C958,Roster!$B:$B,0))="","",INDEX(Roster!$G:$G,MATCH($C958,Roster!$B:$B,0))&amp;""),"—"))</f>
        <v/>
      </c>
      <c r="J958" s="25">
        <f>IF($C958="","",IFERROR(IF(INDEX(Roster!$I:$I,MATCH($C958,Roster!$B:$B,0))="","",INDEX(Roster!$I:$I,MATCH($C958,Roster!$B:$B,0))&amp;""),"—"))</f>
        <v/>
      </c>
      <c r="K958">
        <f>IF($C958="","",IFERROR(IF(INDEX(Roster!$J:$J,MATCH($C958,Roster!$B:$B,0))="","",INDEX(Roster!$J:$J,MATCH($C958,Roster!$B:$B,0))&amp;""),"—"))</f>
        <v/>
      </c>
      <c r="L958">
        <f>IF($C958="","",IFERROR(IF(INDEX(Roster!$K:$K,MATCH($C958,Roster!$B:$B,0))="","",INDEX(Roster!$K:$K,MATCH($C958,Roster!$B:$B,0))&amp;""),"—"))</f>
        <v/>
      </c>
      <c r="M958" s="27" t="n"/>
      <c r="N958" s="27" t="n"/>
      <c r="O958" s="25">
        <f>IF($C958="","",IF($P958="","—",IF($P958="Valid (Pass)","Valid","Invalid")))</f>
        <v/>
      </c>
      <c r="P958" s="27" t="n"/>
      <c r="Q958" s="27" t="n"/>
      <c r="R958" s="27" t="n"/>
      <c r="S958" s="27" t="n"/>
      <c r="T958" s="25">
        <f>IF($C958="","",IF(OR(ISNUMBER(SEARCH("quick case",$P958)),ISNUMBER(SEARCH("quick case",$Q958))),"Yes","No"))</f>
        <v/>
      </c>
      <c r="U958" s="25">
        <f>IF($O958="Invalid",HYPERLINK("mailto:"&amp;$G958&amp;";"&amp;$I958&amp;"?cc="&amp;Lists!$E$2&amp;"&amp;subject="&amp;_xlfn.ENCODEURL("[INVALID] Quality audit monitoring completed for "&amp;UPPER($C958))&amp;"&amp;body="&amp;_xlfn.ENCODEURL("Hi "&amp;$F958&amp;","&amp;CHAR(10)&amp;"Good day!"&amp;CHAR(10)&amp;CHAR(10)&amp;"A quality monitoring audit has been completed for "&amp;$C958&amp;"."&amp;CHAR(10)&amp;CHAR(10)&amp;"QUALITY AUDIT DETAILS"&amp;CHAR(10)&amp;"Agent Name: "&amp;$C958&amp;" (EID "&amp;$D958&amp;")"&amp;CHAR(10)&amp;"Audit Date: "&amp;TEXT($B958,"yyyy-mm-dd")&amp;CHAR(10)&amp;"Team Leader: "&amp;$F958&amp;CHAR(10)&amp;"Case Number: "&amp;$M958&amp;CHAR(10)&amp;"Transaction ID: "&amp;$N958&amp;CHAR(10)&amp;"Channel / LOB: "&amp;$K958&amp;" / "&amp;$L958&amp;CHAR(10)&amp;"Evaluator: "&amp;$S958&amp;CHAR(10)&amp;CHAR(10)&amp;"INVALID QUALITY AUDIT DETAILS"&amp;CHAR(10)&amp;"Validation: Invalid"&amp;CHAR(10)&amp;"Invalid Reason: "&amp;$P958&amp;CHAR(10)&amp;"Expected Resolution Code: "&amp;$Q958&amp;CHAR(10)&amp;"Remarks: "&amp;LEFT($R958,600)&amp;CHAR(10)&amp;CHAR(10)&amp;"This is an automated notification from HP Mainstream EQMS."),"✉ Open Email Draft"),"")</f>
        <v/>
      </c>
    </row>
    <row r="959">
      <c r="A959" s="25">
        <f>IF($C959="","","AUD-2026-"&amp;TEXT(ROW()-1,"000000"))</f>
        <v/>
      </c>
      <c r="B959" s="26" t="n"/>
      <c r="C959" s="27" t="n"/>
      <c r="D959" s="25">
        <f>IF($C959="","",IFERROR(IF(INDEX(Roster!$A:$A,MATCH($C959,Roster!$B:$B,0))="","",INDEX(Roster!$A:$A,MATCH($C959,Roster!$B:$B,0))&amp;""),"—"))</f>
        <v/>
      </c>
      <c r="E959" s="25">
        <f>IF($C959="","",IFERROR(IF(INDEX(Roster!$C:$C,MATCH($C959,Roster!$B:$B,0))="","",INDEX(Roster!$C:$C,MATCH($C959,Roster!$B:$B,0))&amp;""),"—"))</f>
        <v/>
      </c>
      <c r="F959" s="25">
        <f>IF($C959="","",IFERROR(IF(INDEX(Roster!$D:$D,MATCH($C959,Roster!$B:$B,0))="","",INDEX(Roster!$D:$D,MATCH($C959,Roster!$B:$B,0))&amp;""),"—"))</f>
        <v/>
      </c>
      <c r="G959" s="25">
        <f>IF($C959="","",IFERROR(IF(INDEX(Roster!$E:$E,MATCH($C959,Roster!$B:$B,0))="","",INDEX(Roster!$E:$E,MATCH($C959,Roster!$B:$B,0))&amp;""),"—"))</f>
        <v/>
      </c>
      <c r="H959" s="25">
        <f>IF($C959="","",IFERROR(IF(INDEX(Roster!$F:$F,MATCH($C959,Roster!$B:$B,0))="","",INDEX(Roster!$F:$F,MATCH($C959,Roster!$B:$B,0))&amp;""),"—"))</f>
        <v/>
      </c>
      <c r="I959" s="25">
        <f>IF($C959="","",IFERROR(IF(INDEX(Roster!$G:$G,MATCH($C959,Roster!$B:$B,0))="","",INDEX(Roster!$G:$G,MATCH($C959,Roster!$B:$B,0))&amp;""),"—"))</f>
        <v/>
      </c>
      <c r="J959" s="25">
        <f>IF($C959="","",IFERROR(IF(INDEX(Roster!$I:$I,MATCH($C959,Roster!$B:$B,0))="","",INDEX(Roster!$I:$I,MATCH($C959,Roster!$B:$B,0))&amp;""),"—"))</f>
        <v/>
      </c>
      <c r="K959">
        <f>IF($C959="","",IFERROR(IF(INDEX(Roster!$J:$J,MATCH($C959,Roster!$B:$B,0))="","",INDEX(Roster!$J:$J,MATCH($C959,Roster!$B:$B,0))&amp;""),"—"))</f>
        <v/>
      </c>
      <c r="L959">
        <f>IF($C959="","",IFERROR(IF(INDEX(Roster!$K:$K,MATCH($C959,Roster!$B:$B,0))="","",INDEX(Roster!$K:$K,MATCH($C959,Roster!$B:$B,0))&amp;""),"—"))</f>
        <v/>
      </c>
      <c r="M959" s="27" t="n"/>
      <c r="N959" s="27" t="n"/>
      <c r="O959" s="25">
        <f>IF($C959="","",IF($P959="","—",IF($P959="Valid (Pass)","Valid","Invalid")))</f>
        <v/>
      </c>
      <c r="P959" s="27" t="n"/>
      <c r="Q959" s="27" t="n"/>
      <c r="R959" s="27" t="n"/>
      <c r="S959" s="27" t="n"/>
      <c r="T959" s="25">
        <f>IF($C959="","",IF(OR(ISNUMBER(SEARCH("quick case",$P959)),ISNUMBER(SEARCH("quick case",$Q959))),"Yes","No"))</f>
        <v/>
      </c>
      <c r="U959" s="25">
        <f>IF($O959="Invalid",HYPERLINK("mailto:"&amp;$G959&amp;";"&amp;$I959&amp;"?cc="&amp;Lists!$E$2&amp;"&amp;subject="&amp;_xlfn.ENCODEURL("[INVALID] Quality audit monitoring completed for "&amp;UPPER($C959))&amp;"&amp;body="&amp;_xlfn.ENCODEURL("Hi "&amp;$F959&amp;","&amp;CHAR(10)&amp;"Good day!"&amp;CHAR(10)&amp;CHAR(10)&amp;"A quality monitoring audit has been completed for "&amp;$C959&amp;"."&amp;CHAR(10)&amp;CHAR(10)&amp;"QUALITY AUDIT DETAILS"&amp;CHAR(10)&amp;"Agent Name: "&amp;$C959&amp;" (EID "&amp;$D959&amp;")"&amp;CHAR(10)&amp;"Audit Date: "&amp;TEXT($B959,"yyyy-mm-dd")&amp;CHAR(10)&amp;"Team Leader: "&amp;$F959&amp;CHAR(10)&amp;"Case Number: "&amp;$M959&amp;CHAR(10)&amp;"Transaction ID: "&amp;$N959&amp;CHAR(10)&amp;"Channel / LOB: "&amp;$K959&amp;" / "&amp;$L959&amp;CHAR(10)&amp;"Evaluator: "&amp;$S959&amp;CHAR(10)&amp;CHAR(10)&amp;"INVALID QUALITY AUDIT DETAILS"&amp;CHAR(10)&amp;"Validation: Invalid"&amp;CHAR(10)&amp;"Invalid Reason: "&amp;$P959&amp;CHAR(10)&amp;"Expected Resolution Code: "&amp;$Q959&amp;CHAR(10)&amp;"Remarks: "&amp;LEFT($R959,600)&amp;CHAR(10)&amp;CHAR(10)&amp;"This is an automated notification from HP Mainstream EQMS."),"✉ Open Email Draft"),"")</f>
        <v/>
      </c>
    </row>
    <row r="960">
      <c r="A960" s="25">
        <f>IF($C960="","","AUD-2026-"&amp;TEXT(ROW()-1,"000000"))</f>
        <v/>
      </c>
      <c r="B960" s="26" t="n"/>
      <c r="C960" s="27" t="n"/>
      <c r="D960" s="25">
        <f>IF($C960="","",IFERROR(IF(INDEX(Roster!$A:$A,MATCH($C960,Roster!$B:$B,0))="","",INDEX(Roster!$A:$A,MATCH($C960,Roster!$B:$B,0))&amp;""),"—"))</f>
        <v/>
      </c>
      <c r="E960" s="25">
        <f>IF($C960="","",IFERROR(IF(INDEX(Roster!$C:$C,MATCH($C960,Roster!$B:$B,0))="","",INDEX(Roster!$C:$C,MATCH($C960,Roster!$B:$B,0))&amp;""),"—"))</f>
        <v/>
      </c>
      <c r="F960" s="25">
        <f>IF($C960="","",IFERROR(IF(INDEX(Roster!$D:$D,MATCH($C960,Roster!$B:$B,0))="","",INDEX(Roster!$D:$D,MATCH($C960,Roster!$B:$B,0))&amp;""),"—"))</f>
        <v/>
      </c>
      <c r="G960" s="25">
        <f>IF($C960="","",IFERROR(IF(INDEX(Roster!$E:$E,MATCH($C960,Roster!$B:$B,0))="","",INDEX(Roster!$E:$E,MATCH($C960,Roster!$B:$B,0))&amp;""),"—"))</f>
        <v/>
      </c>
      <c r="H960" s="25">
        <f>IF($C960="","",IFERROR(IF(INDEX(Roster!$F:$F,MATCH($C960,Roster!$B:$B,0))="","",INDEX(Roster!$F:$F,MATCH($C960,Roster!$B:$B,0))&amp;""),"—"))</f>
        <v/>
      </c>
      <c r="I960" s="25">
        <f>IF($C960="","",IFERROR(IF(INDEX(Roster!$G:$G,MATCH($C960,Roster!$B:$B,0))="","",INDEX(Roster!$G:$G,MATCH($C960,Roster!$B:$B,0))&amp;""),"—"))</f>
        <v/>
      </c>
      <c r="J960" s="25">
        <f>IF($C960="","",IFERROR(IF(INDEX(Roster!$I:$I,MATCH($C960,Roster!$B:$B,0))="","",INDEX(Roster!$I:$I,MATCH($C960,Roster!$B:$B,0))&amp;""),"—"))</f>
        <v/>
      </c>
      <c r="K960">
        <f>IF($C960="","",IFERROR(IF(INDEX(Roster!$J:$J,MATCH($C960,Roster!$B:$B,0))="","",INDEX(Roster!$J:$J,MATCH($C960,Roster!$B:$B,0))&amp;""),"—"))</f>
        <v/>
      </c>
      <c r="L960">
        <f>IF($C960="","",IFERROR(IF(INDEX(Roster!$K:$K,MATCH($C960,Roster!$B:$B,0))="","",INDEX(Roster!$K:$K,MATCH($C960,Roster!$B:$B,0))&amp;""),"—"))</f>
        <v/>
      </c>
      <c r="M960" s="27" t="n"/>
      <c r="N960" s="27" t="n"/>
      <c r="O960" s="25">
        <f>IF($C960="","",IF($P960="","—",IF($P960="Valid (Pass)","Valid","Invalid")))</f>
        <v/>
      </c>
      <c r="P960" s="27" t="n"/>
      <c r="Q960" s="27" t="n"/>
      <c r="R960" s="27" t="n"/>
      <c r="S960" s="27" t="n"/>
      <c r="T960" s="25">
        <f>IF($C960="","",IF(OR(ISNUMBER(SEARCH("quick case",$P960)),ISNUMBER(SEARCH("quick case",$Q960))),"Yes","No"))</f>
        <v/>
      </c>
      <c r="U960" s="25">
        <f>IF($O960="Invalid",HYPERLINK("mailto:"&amp;$G960&amp;";"&amp;$I960&amp;"?cc="&amp;Lists!$E$2&amp;"&amp;subject="&amp;_xlfn.ENCODEURL("[INVALID] Quality audit monitoring completed for "&amp;UPPER($C960))&amp;"&amp;body="&amp;_xlfn.ENCODEURL("Hi "&amp;$F960&amp;","&amp;CHAR(10)&amp;"Good day!"&amp;CHAR(10)&amp;CHAR(10)&amp;"A quality monitoring audit has been completed for "&amp;$C960&amp;"."&amp;CHAR(10)&amp;CHAR(10)&amp;"QUALITY AUDIT DETAILS"&amp;CHAR(10)&amp;"Agent Name: "&amp;$C960&amp;" (EID "&amp;$D960&amp;")"&amp;CHAR(10)&amp;"Audit Date: "&amp;TEXT($B960,"yyyy-mm-dd")&amp;CHAR(10)&amp;"Team Leader: "&amp;$F960&amp;CHAR(10)&amp;"Case Number: "&amp;$M960&amp;CHAR(10)&amp;"Transaction ID: "&amp;$N960&amp;CHAR(10)&amp;"Channel / LOB: "&amp;$K960&amp;" / "&amp;$L960&amp;CHAR(10)&amp;"Evaluator: "&amp;$S960&amp;CHAR(10)&amp;CHAR(10)&amp;"INVALID QUALITY AUDIT DETAILS"&amp;CHAR(10)&amp;"Validation: Invalid"&amp;CHAR(10)&amp;"Invalid Reason: "&amp;$P960&amp;CHAR(10)&amp;"Expected Resolution Code: "&amp;$Q960&amp;CHAR(10)&amp;"Remarks: "&amp;LEFT($R960,600)&amp;CHAR(10)&amp;CHAR(10)&amp;"This is an automated notification from HP Mainstream EQMS."),"✉ Open Email Draft"),"")</f>
        <v/>
      </c>
    </row>
    <row r="961">
      <c r="A961" s="25">
        <f>IF($C961="","","AUD-2026-"&amp;TEXT(ROW()-1,"000000"))</f>
        <v/>
      </c>
      <c r="B961" s="26" t="n"/>
      <c r="C961" s="27" t="n"/>
      <c r="D961" s="25">
        <f>IF($C961="","",IFERROR(IF(INDEX(Roster!$A:$A,MATCH($C961,Roster!$B:$B,0))="","",INDEX(Roster!$A:$A,MATCH($C961,Roster!$B:$B,0))&amp;""),"—"))</f>
        <v/>
      </c>
      <c r="E961" s="25">
        <f>IF($C961="","",IFERROR(IF(INDEX(Roster!$C:$C,MATCH($C961,Roster!$B:$B,0))="","",INDEX(Roster!$C:$C,MATCH($C961,Roster!$B:$B,0))&amp;""),"—"))</f>
        <v/>
      </c>
      <c r="F961" s="25">
        <f>IF($C961="","",IFERROR(IF(INDEX(Roster!$D:$D,MATCH($C961,Roster!$B:$B,0))="","",INDEX(Roster!$D:$D,MATCH($C961,Roster!$B:$B,0))&amp;""),"—"))</f>
        <v/>
      </c>
      <c r="G961" s="25">
        <f>IF($C961="","",IFERROR(IF(INDEX(Roster!$E:$E,MATCH($C961,Roster!$B:$B,0))="","",INDEX(Roster!$E:$E,MATCH($C961,Roster!$B:$B,0))&amp;""),"—"))</f>
        <v/>
      </c>
      <c r="H961" s="25">
        <f>IF($C961="","",IFERROR(IF(INDEX(Roster!$F:$F,MATCH($C961,Roster!$B:$B,0))="","",INDEX(Roster!$F:$F,MATCH($C961,Roster!$B:$B,0))&amp;""),"—"))</f>
        <v/>
      </c>
      <c r="I961" s="25">
        <f>IF($C961="","",IFERROR(IF(INDEX(Roster!$G:$G,MATCH($C961,Roster!$B:$B,0))="","",INDEX(Roster!$G:$G,MATCH($C961,Roster!$B:$B,0))&amp;""),"—"))</f>
        <v/>
      </c>
      <c r="J961" s="25">
        <f>IF($C961="","",IFERROR(IF(INDEX(Roster!$I:$I,MATCH($C961,Roster!$B:$B,0))="","",INDEX(Roster!$I:$I,MATCH($C961,Roster!$B:$B,0))&amp;""),"—"))</f>
        <v/>
      </c>
      <c r="K961">
        <f>IF($C961="","",IFERROR(IF(INDEX(Roster!$J:$J,MATCH($C961,Roster!$B:$B,0))="","",INDEX(Roster!$J:$J,MATCH($C961,Roster!$B:$B,0))&amp;""),"—"))</f>
        <v/>
      </c>
      <c r="L961">
        <f>IF($C961="","",IFERROR(IF(INDEX(Roster!$K:$K,MATCH($C961,Roster!$B:$B,0))="","",INDEX(Roster!$K:$K,MATCH($C961,Roster!$B:$B,0))&amp;""),"—"))</f>
        <v/>
      </c>
      <c r="M961" s="27" t="n"/>
      <c r="N961" s="27" t="n"/>
      <c r="O961" s="25">
        <f>IF($C961="","",IF($P961="","—",IF($P961="Valid (Pass)","Valid","Invalid")))</f>
        <v/>
      </c>
      <c r="P961" s="27" t="n"/>
      <c r="Q961" s="27" t="n"/>
      <c r="R961" s="27" t="n"/>
      <c r="S961" s="27" t="n"/>
      <c r="T961" s="25">
        <f>IF($C961="","",IF(OR(ISNUMBER(SEARCH("quick case",$P961)),ISNUMBER(SEARCH("quick case",$Q961))),"Yes","No"))</f>
        <v/>
      </c>
      <c r="U961" s="25">
        <f>IF($O961="Invalid",HYPERLINK("mailto:"&amp;$G961&amp;";"&amp;$I961&amp;"?cc="&amp;Lists!$E$2&amp;"&amp;subject="&amp;_xlfn.ENCODEURL("[INVALID] Quality audit monitoring completed for "&amp;UPPER($C961))&amp;"&amp;body="&amp;_xlfn.ENCODEURL("Hi "&amp;$F961&amp;","&amp;CHAR(10)&amp;"Good day!"&amp;CHAR(10)&amp;CHAR(10)&amp;"A quality monitoring audit has been completed for "&amp;$C961&amp;"."&amp;CHAR(10)&amp;CHAR(10)&amp;"QUALITY AUDIT DETAILS"&amp;CHAR(10)&amp;"Agent Name: "&amp;$C961&amp;" (EID "&amp;$D961&amp;")"&amp;CHAR(10)&amp;"Audit Date: "&amp;TEXT($B961,"yyyy-mm-dd")&amp;CHAR(10)&amp;"Team Leader: "&amp;$F961&amp;CHAR(10)&amp;"Case Number: "&amp;$M961&amp;CHAR(10)&amp;"Transaction ID: "&amp;$N961&amp;CHAR(10)&amp;"Channel / LOB: "&amp;$K961&amp;" / "&amp;$L961&amp;CHAR(10)&amp;"Evaluator: "&amp;$S961&amp;CHAR(10)&amp;CHAR(10)&amp;"INVALID QUALITY AUDIT DETAILS"&amp;CHAR(10)&amp;"Validation: Invalid"&amp;CHAR(10)&amp;"Invalid Reason: "&amp;$P961&amp;CHAR(10)&amp;"Expected Resolution Code: "&amp;$Q961&amp;CHAR(10)&amp;"Remarks: "&amp;LEFT($R961,600)&amp;CHAR(10)&amp;CHAR(10)&amp;"This is an automated notification from HP Mainstream EQMS."),"✉ Open Email Draft"),"")</f>
        <v/>
      </c>
    </row>
    <row r="962">
      <c r="A962" s="25">
        <f>IF($C962="","","AUD-2026-"&amp;TEXT(ROW()-1,"000000"))</f>
        <v/>
      </c>
      <c r="B962" s="26" t="n"/>
      <c r="C962" s="27" t="n"/>
      <c r="D962" s="25">
        <f>IF($C962="","",IFERROR(IF(INDEX(Roster!$A:$A,MATCH($C962,Roster!$B:$B,0))="","",INDEX(Roster!$A:$A,MATCH($C962,Roster!$B:$B,0))&amp;""),"—"))</f>
        <v/>
      </c>
      <c r="E962" s="25">
        <f>IF($C962="","",IFERROR(IF(INDEX(Roster!$C:$C,MATCH($C962,Roster!$B:$B,0))="","",INDEX(Roster!$C:$C,MATCH($C962,Roster!$B:$B,0))&amp;""),"—"))</f>
        <v/>
      </c>
      <c r="F962" s="25">
        <f>IF($C962="","",IFERROR(IF(INDEX(Roster!$D:$D,MATCH($C962,Roster!$B:$B,0))="","",INDEX(Roster!$D:$D,MATCH($C962,Roster!$B:$B,0))&amp;""),"—"))</f>
        <v/>
      </c>
      <c r="G962" s="25">
        <f>IF($C962="","",IFERROR(IF(INDEX(Roster!$E:$E,MATCH($C962,Roster!$B:$B,0))="","",INDEX(Roster!$E:$E,MATCH($C962,Roster!$B:$B,0))&amp;""),"—"))</f>
        <v/>
      </c>
      <c r="H962" s="25">
        <f>IF($C962="","",IFERROR(IF(INDEX(Roster!$F:$F,MATCH($C962,Roster!$B:$B,0))="","",INDEX(Roster!$F:$F,MATCH($C962,Roster!$B:$B,0))&amp;""),"—"))</f>
        <v/>
      </c>
      <c r="I962" s="25">
        <f>IF($C962="","",IFERROR(IF(INDEX(Roster!$G:$G,MATCH($C962,Roster!$B:$B,0))="","",INDEX(Roster!$G:$G,MATCH($C962,Roster!$B:$B,0))&amp;""),"—"))</f>
        <v/>
      </c>
      <c r="J962" s="25">
        <f>IF($C962="","",IFERROR(IF(INDEX(Roster!$I:$I,MATCH($C962,Roster!$B:$B,0))="","",INDEX(Roster!$I:$I,MATCH($C962,Roster!$B:$B,0))&amp;""),"—"))</f>
        <v/>
      </c>
      <c r="K962">
        <f>IF($C962="","",IFERROR(IF(INDEX(Roster!$J:$J,MATCH($C962,Roster!$B:$B,0))="","",INDEX(Roster!$J:$J,MATCH($C962,Roster!$B:$B,0))&amp;""),"—"))</f>
        <v/>
      </c>
      <c r="L962">
        <f>IF($C962="","",IFERROR(IF(INDEX(Roster!$K:$K,MATCH($C962,Roster!$B:$B,0))="","",INDEX(Roster!$K:$K,MATCH($C962,Roster!$B:$B,0))&amp;""),"—"))</f>
        <v/>
      </c>
      <c r="M962" s="27" t="n"/>
      <c r="N962" s="27" t="n"/>
      <c r="O962" s="25">
        <f>IF($C962="","",IF($P962="","—",IF($P962="Valid (Pass)","Valid","Invalid")))</f>
        <v/>
      </c>
      <c r="P962" s="27" t="n"/>
      <c r="Q962" s="27" t="n"/>
      <c r="R962" s="27" t="n"/>
      <c r="S962" s="27" t="n"/>
      <c r="T962" s="25">
        <f>IF($C962="","",IF(OR(ISNUMBER(SEARCH("quick case",$P962)),ISNUMBER(SEARCH("quick case",$Q962))),"Yes","No"))</f>
        <v/>
      </c>
      <c r="U962" s="25">
        <f>IF($O962="Invalid",HYPERLINK("mailto:"&amp;$G962&amp;";"&amp;$I962&amp;"?cc="&amp;Lists!$E$2&amp;"&amp;subject="&amp;_xlfn.ENCODEURL("[INVALID] Quality audit monitoring completed for "&amp;UPPER($C962))&amp;"&amp;body="&amp;_xlfn.ENCODEURL("Hi "&amp;$F962&amp;","&amp;CHAR(10)&amp;"Good day!"&amp;CHAR(10)&amp;CHAR(10)&amp;"A quality monitoring audit has been completed for "&amp;$C962&amp;"."&amp;CHAR(10)&amp;CHAR(10)&amp;"QUALITY AUDIT DETAILS"&amp;CHAR(10)&amp;"Agent Name: "&amp;$C962&amp;" (EID "&amp;$D962&amp;")"&amp;CHAR(10)&amp;"Audit Date: "&amp;TEXT($B962,"yyyy-mm-dd")&amp;CHAR(10)&amp;"Team Leader: "&amp;$F962&amp;CHAR(10)&amp;"Case Number: "&amp;$M962&amp;CHAR(10)&amp;"Transaction ID: "&amp;$N962&amp;CHAR(10)&amp;"Channel / LOB: "&amp;$K962&amp;" / "&amp;$L962&amp;CHAR(10)&amp;"Evaluator: "&amp;$S962&amp;CHAR(10)&amp;CHAR(10)&amp;"INVALID QUALITY AUDIT DETAILS"&amp;CHAR(10)&amp;"Validation: Invalid"&amp;CHAR(10)&amp;"Invalid Reason: "&amp;$P962&amp;CHAR(10)&amp;"Expected Resolution Code: "&amp;$Q962&amp;CHAR(10)&amp;"Remarks: "&amp;LEFT($R962,600)&amp;CHAR(10)&amp;CHAR(10)&amp;"This is an automated notification from HP Mainstream EQMS."),"✉ Open Email Draft"),"")</f>
        <v/>
      </c>
    </row>
    <row r="963">
      <c r="A963" s="25">
        <f>IF($C963="","","AUD-2026-"&amp;TEXT(ROW()-1,"000000"))</f>
        <v/>
      </c>
      <c r="B963" s="26" t="n"/>
      <c r="C963" s="27" t="n"/>
      <c r="D963" s="25">
        <f>IF($C963="","",IFERROR(IF(INDEX(Roster!$A:$A,MATCH($C963,Roster!$B:$B,0))="","",INDEX(Roster!$A:$A,MATCH($C963,Roster!$B:$B,0))&amp;""),"—"))</f>
        <v/>
      </c>
      <c r="E963" s="25">
        <f>IF($C963="","",IFERROR(IF(INDEX(Roster!$C:$C,MATCH($C963,Roster!$B:$B,0))="","",INDEX(Roster!$C:$C,MATCH($C963,Roster!$B:$B,0))&amp;""),"—"))</f>
        <v/>
      </c>
      <c r="F963" s="25">
        <f>IF($C963="","",IFERROR(IF(INDEX(Roster!$D:$D,MATCH($C963,Roster!$B:$B,0))="","",INDEX(Roster!$D:$D,MATCH($C963,Roster!$B:$B,0))&amp;""),"—"))</f>
        <v/>
      </c>
      <c r="G963" s="25">
        <f>IF($C963="","",IFERROR(IF(INDEX(Roster!$E:$E,MATCH($C963,Roster!$B:$B,0))="","",INDEX(Roster!$E:$E,MATCH($C963,Roster!$B:$B,0))&amp;""),"—"))</f>
        <v/>
      </c>
      <c r="H963" s="25">
        <f>IF($C963="","",IFERROR(IF(INDEX(Roster!$F:$F,MATCH($C963,Roster!$B:$B,0))="","",INDEX(Roster!$F:$F,MATCH($C963,Roster!$B:$B,0))&amp;""),"—"))</f>
        <v/>
      </c>
      <c r="I963" s="25">
        <f>IF($C963="","",IFERROR(IF(INDEX(Roster!$G:$G,MATCH($C963,Roster!$B:$B,0))="","",INDEX(Roster!$G:$G,MATCH($C963,Roster!$B:$B,0))&amp;""),"—"))</f>
        <v/>
      </c>
      <c r="J963" s="25">
        <f>IF($C963="","",IFERROR(IF(INDEX(Roster!$I:$I,MATCH($C963,Roster!$B:$B,0))="","",INDEX(Roster!$I:$I,MATCH($C963,Roster!$B:$B,0))&amp;""),"—"))</f>
        <v/>
      </c>
      <c r="K963">
        <f>IF($C963="","",IFERROR(IF(INDEX(Roster!$J:$J,MATCH($C963,Roster!$B:$B,0))="","",INDEX(Roster!$J:$J,MATCH($C963,Roster!$B:$B,0))&amp;""),"—"))</f>
        <v/>
      </c>
      <c r="L963">
        <f>IF($C963="","",IFERROR(IF(INDEX(Roster!$K:$K,MATCH($C963,Roster!$B:$B,0))="","",INDEX(Roster!$K:$K,MATCH($C963,Roster!$B:$B,0))&amp;""),"—"))</f>
        <v/>
      </c>
      <c r="M963" s="27" t="n"/>
      <c r="N963" s="27" t="n"/>
      <c r="O963" s="25">
        <f>IF($C963="","",IF($P963="","—",IF($P963="Valid (Pass)","Valid","Invalid")))</f>
        <v/>
      </c>
      <c r="P963" s="27" t="n"/>
      <c r="Q963" s="27" t="n"/>
      <c r="R963" s="27" t="n"/>
      <c r="S963" s="27" t="n"/>
      <c r="T963" s="25">
        <f>IF($C963="","",IF(OR(ISNUMBER(SEARCH("quick case",$P963)),ISNUMBER(SEARCH("quick case",$Q963))),"Yes","No"))</f>
        <v/>
      </c>
      <c r="U963" s="25">
        <f>IF($O963="Invalid",HYPERLINK("mailto:"&amp;$G963&amp;";"&amp;$I963&amp;"?cc="&amp;Lists!$E$2&amp;"&amp;subject="&amp;_xlfn.ENCODEURL("[INVALID] Quality audit monitoring completed for "&amp;UPPER($C963))&amp;"&amp;body="&amp;_xlfn.ENCODEURL("Hi "&amp;$F963&amp;","&amp;CHAR(10)&amp;"Good day!"&amp;CHAR(10)&amp;CHAR(10)&amp;"A quality monitoring audit has been completed for "&amp;$C963&amp;"."&amp;CHAR(10)&amp;CHAR(10)&amp;"QUALITY AUDIT DETAILS"&amp;CHAR(10)&amp;"Agent Name: "&amp;$C963&amp;" (EID "&amp;$D963&amp;")"&amp;CHAR(10)&amp;"Audit Date: "&amp;TEXT($B963,"yyyy-mm-dd")&amp;CHAR(10)&amp;"Team Leader: "&amp;$F963&amp;CHAR(10)&amp;"Case Number: "&amp;$M963&amp;CHAR(10)&amp;"Transaction ID: "&amp;$N963&amp;CHAR(10)&amp;"Channel / LOB: "&amp;$K963&amp;" / "&amp;$L963&amp;CHAR(10)&amp;"Evaluator: "&amp;$S963&amp;CHAR(10)&amp;CHAR(10)&amp;"INVALID QUALITY AUDIT DETAILS"&amp;CHAR(10)&amp;"Validation: Invalid"&amp;CHAR(10)&amp;"Invalid Reason: "&amp;$P963&amp;CHAR(10)&amp;"Expected Resolution Code: "&amp;$Q963&amp;CHAR(10)&amp;"Remarks: "&amp;LEFT($R963,600)&amp;CHAR(10)&amp;CHAR(10)&amp;"This is an automated notification from HP Mainstream EQMS."),"✉ Open Email Draft"),"")</f>
        <v/>
      </c>
    </row>
    <row r="964">
      <c r="A964" s="25">
        <f>IF($C964="","","AUD-2026-"&amp;TEXT(ROW()-1,"000000"))</f>
        <v/>
      </c>
      <c r="B964" s="26" t="n"/>
      <c r="C964" s="27" t="n"/>
      <c r="D964" s="25">
        <f>IF($C964="","",IFERROR(IF(INDEX(Roster!$A:$A,MATCH($C964,Roster!$B:$B,0))="","",INDEX(Roster!$A:$A,MATCH($C964,Roster!$B:$B,0))&amp;""),"—"))</f>
        <v/>
      </c>
      <c r="E964" s="25">
        <f>IF($C964="","",IFERROR(IF(INDEX(Roster!$C:$C,MATCH($C964,Roster!$B:$B,0))="","",INDEX(Roster!$C:$C,MATCH($C964,Roster!$B:$B,0))&amp;""),"—"))</f>
        <v/>
      </c>
      <c r="F964" s="25">
        <f>IF($C964="","",IFERROR(IF(INDEX(Roster!$D:$D,MATCH($C964,Roster!$B:$B,0))="","",INDEX(Roster!$D:$D,MATCH($C964,Roster!$B:$B,0))&amp;""),"—"))</f>
        <v/>
      </c>
      <c r="G964" s="25">
        <f>IF($C964="","",IFERROR(IF(INDEX(Roster!$E:$E,MATCH($C964,Roster!$B:$B,0))="","",INDEX(Roster!$E:$E,MATCH($C964,Roster!$B:$B,0))&amp;""),"—"))</f>
        <v/>
      </c>
      <c r="H964" s="25">
        <f>IF($C964="","",IFERROR(IF(INDEX(Roster!$F:$F,MATCH($C964,Roster!$B:$B,0))="","",INDEX(Roster!$F:$F,MATCH($C964,Roster!$B:$B,0))&amp;""),"—"))</f>
        <v/>
      </c>
      <c r="I964" s="25">
        <f>IF($C964="","",IFERROR(IF(INDEX(Roster!$G:$G,MATCH($C964,Roster!$B:$B,0))="","",INDEX(Roster!$G:$G,MATCH($C964,Roster!$B:$B,0))&amp;""),"—"))</f>
        <v/>
      </c>
      <c r="J964" s="25">
        <f>IF($C964="","",IFERROR(IF(INDEX(Roster!$I:$I,MATCH($C964,Roster!$B:$B,0))="","",INDEX(Roster!$I:$I,MATCH($C964,Roster!$B:$B,0))&amp;""),"—"))</f>
        <v/>
      </c>
      <c r="K964">
        <f>IF($C964="","",IFERROR(IF(INDEX(Roster!$J:$J,MATCH($C964,Roster!$B:$B,0))="","",INDEX(Roster!$J:$J,MATCH($C964,Roster!$B:$B,0))&amp;""),"—"))</f>
        <v/>
      </c>
      <c r="L964">
        <f>IF($C964="","",IFERROR(IF(INDEX(Roster!$K:$K,MATCH($C964,Roster!$B:$B,0))="","",INDEX(Roster!$K:$K,MATCH($C964,Roster!$B:$B,0))&amp;""),"—"))</f>
        <v/>
      </c>
      <c r="M964" s="27" t="n"/>
      <c r="N964" s="27" t="n"/>
      <c r="O964" s="25">
        <f>IF($C964="","",IF($P964="","—",IF($P964="Valid (Pass)","Valid","Invalid")))</f>
        <v/>
      </c>
      <c r="P964" s="27" t="n"/>
      <c r="Q964" s="27" t="n"/>
      <c r="R964" s="27" t="n"/>
      <c r="S964" s="27" t="n"/>
      <c r="T964" s="25">
        <f>IF($C964="","",IF(OR(ISNUMBER(SEARCH("quick case",$P964)),ISNUMBER(SEARCH("quick case",$Q964))),"Yes","No"))</f>
        <v/>
      </c>
      <c r="U964" s="25">
        <f>IF($O964="Invalid",HYPERLINK("mailto:"&amp;$G964&amp;";"&amp;$I964&amp;"?cc="&amp;Lists!$E$2&amp;"&amp;subject="&amp;_xlfn.ENCODEURL("[INVALID] Quality audit monitoring completed for "&amp;UPPER($C964))&amp;"&amp;body="&amp;_xlfn.ENCODEURL("Hi "&amp;$F964&amp;","&amp;CHAR(10)&amp;"Good day!"&amp;CHAR(10)&amp;CHAR(10)&amp;"A quality monitoring audit has been completed for "&amp;$C964&amp;"."&amp;CHAR(10)&amp;CHAR(10)&amp;"QUALITY AUDIT DETAILS"&amp;CHAR(10)&amp;"Agent Name: "&amp;$C964&amp;" (EID "&amp;$D964&amp;")"&amp;CHAR(10)&amp;"Audit Date: "&amp;TEXT($B964,"yyyy-mm-dd")&amp;CHAR(10)&amp;"Team Leader: "&amp;$F964&amp;CHAR(10)&amp;"Case Number: "&amp;$M964&amp;CHAR(10)&amp;"Transaction ID: "&amp;$N964&amp;CHAR(10)&amp;"Channel / LOB: "&amp;$K964&amp;" / "&amp;$L964&amp;CHAR(10)&amp;"Evaluator: "&amp;$S964&amp;CHAR(10)&amp;CHAR(10)&amp;"INVALID QUALITY AUDIT DETAILS"&amp;CHAR(10)&amp;"Validation: Invalid"&amp;CHAR(10)&amp;"Invalid Reason: "&amp;$P964&amp;CHAR(10)&amp;"Expected Resolution Code: "&amp;$Q964&amp;CHAR(10)&amp;"Remarks: "&amp;LEFT($R964,600)&amp;CHAR(10)&amp;CHAR(10)&amp;"This is an automated notification from HP Mainstream EQMS."),"✉ Open Email Draft"),"")</f>
        <v/>
      </c>
    </row>
    <row r="965">
      <c r="A965" s="25">
        <f>IF($C965="","","AUD-2026-"&amp;TEXT(ROW()-1,"000000"))</f>
        <v/>
      </c>
      <c r="B965" s="26" t="n"/>
      <c r="C965" s="27" t="n"/>
      <c r="D965" s="25">
        <f>IF($C965="","",IFERROR(IF(INDEX(Roster!$A:$A,MATCH($C965,Roster!$B:$B,0))="","",INDEX(Roster!$A:$A,MATCH($C965,Roster!$B:$B,0))&amp;""),"—"))</f>
        <v/>
      </c>
      <c r="E965" s="25">
        <f>IF($C965="","",IFERROR(IF(INDEX(Roster!$C:$C,MATCH($C965,Roster!$B:$B,0))="","",INDEX(Roster!$C:$C,MATCH($C965,Roster!$B:$B,0))&amp;""),"—"))</f>
        <v/>
      </c>
      <c r="F965" s="25">
        <f>IF($C965="","",IFERROR(IF(INDEX(Roster!$D:$D,MATCH($C965,Roster!$B:$B,0))="","",INDEX(Roster!$D:$D,MATCH($C965,Roster!$B:$B,0))&amp;""),"—"))</f>
        <v/>
      </c>
      <c r="G965" s="25">
        <f>IF($C965="","",IFERROR(IF(INDEX(Roster!$E:$E,MATCH($C965,Roster!$B:$B,0))="","",INDEX(Roster!$E:$E,MATCH($C965,Roster!$B:$B,0))&amp;""),"—"))</f>
        <v/>
      </c>
      <c r="H965" s="25">
        <f>IF($C965="","",IFERROR(IF(INDEX(Roster!$F:$F,MATCH($C965,Roster!$B:$B,0))="","",INDEX(Roster!$F:$F,MATCH($C965,Roster!$B:$B,0))&amp;""),"—"))</f>
        <v/>
      </c>
      <c r="I965" s="25">
        <f>IF($C965="","",IFERROR(IF(INDEX(Roster!$G:$G,MATCH($C965,Roster!$B:$B,0))="","",INDEX(Roster!$G:$G,MATCH($C965,Roster!$B:$B,0))&amp;""),"—"))</f>
        <v/>
      </c>
      <c r="J965" s="25">
        <f>IF($C965="","",IFERROR(IF(INDEX(Roster!$I:$I,MATCH($C965,Roster!$B:$B,0))="","",INDEX(Roster!$I:$I,MATCH($C965,Roster!$B:$B,0))&amp;""),"—"))</f>
        <v/>
      </c>
      <c r="K965">
        <f>IF($C965="","",IFERROR(IF(INDEX(Roster!$J:$J,MATCH($C965,Roster!$B:$B,0))="","",INDEX(Roster!$J:$J,MATCH($C965,Roster!$B:$B,0))&amp;""),"—"))</f>
        <v/>
      </c>
      <c r="L965">
        <f>IF($C965="","",IFERROR(IF(INDEX(Roster!$K:$K,MATCH($C965,Roster!$B:$B,0))="","",INDEX(Roster!$K:$K,MATCH($C965,Roster!$B:$B,0))&amp;""),"—"))</f>
        <v/>
      </c>
      <c r="M965" s="27" t="n"/>
      <c r="N965" s="27" t="n"/>
      <c r="O965" s="25">
        <f>IF($C965="","",IF($P965="","—",IF($P965="Valid (Pass)","Valid","Invalid")))</f>
        <v/>
      </c>
      <c r="P965" s="27" t="n"/>
      <c r="Q965" s="27" t="n"/>
      <c r="R965" s="27" t="n"/>
      <c r="S965" s="27" t="n"/>
      <c r="T965" s="25">
        <f>IF($C965="","",IF(OR(ISNUMBER(SEARCH("quick case",$P965)),ISNUMBER(SEARCH("quick case",$Q965))),"Yes","No"))</f>
        <v/>
      </c>
      <c r="U965" s="25">
        <f>IF($O965="Invalid",HYPERLINK("mailto:"&amp;$G965&amp;";"&amp;$I965&amp;"?cc="&amp;Lists!$E$2&amp;"&amp;subject="&amp;_xlfn.ENCODEURL("[INVALID] Quality audit monitoring completed for "&amp;UPPER($C965))&amp;"&amp;body="&amp;_xlfn.ENCODEURL("Hi "&amp;$F965&amp;","&amp;CHAR(10)&amp;"Good day!"&amp;CHAR(10)&amp;CHAR(10)&amp;"A quality monitoring audit has been completed for "&amp;$C965&amp;"."&amp;CHAR(10)&amp;CHAR(10)&amp;"QUALITY AUDIT DETAILS"&amp;CHAR(10)&amp;"Agent Name: "&amp;$C965&amp;" (EID "&amp;$D965&amp;")"&amp;CHAR(10)&amp;"Audit Date: "&amp;TEXT($B965,"yyyy-mm-dd")&amp;CHAR(10)&amp;"Team Leader: "&amp;$F965&amp;CHAR(10)&amp;"Case Number: "&amp;$M965&amp;CHAR(10)&amp;"Transaction ID: "&amp;$N965&amp;CHAR(10)&amp;"Channel / LOB: "&amp;$K965&amp;" / "&amp;$L965&amp;CHAR(10)&amp;"Evaluator: "&amp;$S965&amp;CHAR(10)&amp;CHAR(10)&amp;"INVALID QUALITY AUDIT DETAILS"&amp;CHAR(10)&amp;"Validation: Invalid"&amp;CHAR(10)&amp;"Invalid Reason: "&amp;$P965&amp;CHAR(10)&amp;"Expected Resolution Code: "&amp;$Q965&amp;CHAR(10)&amp;"Remarks: "&amp;LEFT($R965,600)&amp;CHAR(10)&amp;CHAR(10)&amp;"This is an automated notification from HP Mainstream EQMS."),"✉ Open Email Draft"),"")</f>
        <v/>
      </c>
    </row>
    <row r="966">
      <c r="A966" s="25">
        <f>IF($C966="","","AUD-2026-"&amp;TEXT(ROW()-1,"000000"))</f>
        <v/>
      </c>
      <c r="B966" s="26" t="n"/>
      <c r="C966" s="27" t="n"/>
      <c r="D966" s="25">
        <f>IF($C966="","",IFERROR(IF(INDEX(Roster!$A:$A,MATCH($C966,Roster!$B:$B,0))="","",INDEX(Roster!$A:$A,MATCH($C966,Roster!$B:$B,0))&amp;""),"—"))</f>
        <v/>
      </c>
      <c r="E966" s="25">
        <f>IF($C966="","",IFERROR(IF(INDEX(Roster!$C:$C,MATCH($C966,Roster!$B:$B,0))="","",INDEX(Roster!$C:$C,MATCH($C966,Roster!$B:$B,0))&amp;""),"—"))</f>
        <v/>
      </c>
      <c r="F966" s="25">
        <f>IF($C966="","",IFERROR(IF(INDEX(Roster!$D:$D,MATCH($C966,Roster!$B:$B,0))="","",INDEX(Roster!$D:$D,MATCH($C966,Roster!$B:$B,0))&amp;""),"—"))</f>
        <v/>
      </c>
      <c r="G966" s="25">
        <f>IF($C966="","",IFERROR(IF(INDEX(Roster!$E:$E,MATCH($C966,Roster!$B:$B,0))="","",INDEX(Roster!$E:$E,MATCH($C966,Roster!$B:$B,0))&amp;""),"—"))</f>
        <v/>
      </c>
      <c r="H966" s="25">
        <f>IF($C966="","",IFERROR(IF(INDEX(Roster!$F:$F,MATCH($C966,Roster!$B:$B,0))="","",INDEX(Roster!$F:$F,MATCH($C966,Roster!$B:$B,0))&amp;""),"—"))</f>
        <v/>
      </c>
      <c r="I966" s="25">
        <f>IF($C966="","",IFERROR(IF(INDEX(Roster!$G:$G,MATCH($C966,Roster!$B:$B,0))="","",INDEX(Roster!$G:$G,MATCH($C966,Roster!$B:$B,0))&amp;""),"—"))</f>
        <v/>
      </c>
      <c r="J966" s="25">
        <f>IF($C966="","",IFERROR(IF(INDEX(Roster!$I:$I,MATCH($C966,Roster!$B:$B,0))="","",INDEX(Roster!$I:$I,MATCH($C966,Roster!$B:$B,0))&amp;""),"—"))</f>
        <v/>
      </c>
      <c r="K966">
        <f>IF($C966="","",IFERROR(IF(INDEX(Roster!$J:$J,MATCH($C966,Roster!$B:$B,0))="","",INDEX(Roster!$J:$J,MATCH($C966,Roster!$B:$B,0))&amp;""),"—"))</f>
        <v/>
      </c>
      <c r="L966">
        <f>IF($C966="","",IFERROR(IF(INDEX(Roster!$K:$K,MATCH($C966,Roster!$B:$B,0))="","",INDEX(Roster!$K:$K,MATCH($C966,Roster!$B:$B,0))&amp;""),"—"))</f>
        <v/>
      </c>
      <c r="M966" s="27" t="n"/>
      <c r="N966" s="27" t="n"/>
      <c r="O966" s="25">
        <f>IF($C966="","",IF($P966="","—",IF($P966="Valid (Pass)","Valid","Invalid")))</f>
        <v/>
      </c>
      <c r="P966" s="27" t="n"/>
      <c r="Q966" s="27" t="n"/>
      <c r="R966" s="27" t="n"/>
      <c r="S966" s="27" t="n"/>
      <c r="T966" s="25">
        <f>IF($C966="","",IF(OR(ISNUMBER(SEARCH("quick case",$P966)),ISNUMBER(SEARCH("quick case",$Q966))),"Yes","No"))</f>
        <v/>
      </c>
      <c r="U966" s="25">
        <f>IF($O966="Invalid",HYPERLINK("mailto:"&amp;$G966&amp;";"&amp;$I966&amp;"?cc="&amp;Lists!$E$2&amp;"&amp;subject="&amp;_xlfn.ENCODEURL("[INVALID] Quality audit monitoring completed for "&amp;UPPER($C966))&amp;"&amp;body="&amp;_xlfn.ENCODEURL("Hi "&amp;$F966&amp;","&amp;CHAR(10)&amp;"Good day!"&amp;CHAR(10)&amp;CHAR(10)&amp;"A quality monitoring audit has been completed for "&amp;$C966&amp;"."&amp;CHAR(10)&amp;CHAR(10)&amp;"QUALITY AUDIT DETAILS"&amp;CHAR(10)&amp;"Agent Name: "&amp;$C966&amp;" (EID "&amp;$D966&amp;")"&amp;CHAR(10)&amp;"Audit Date: "&amp;TEXT($B966,"yyyy-mm-dd")&amp;CHAR(10)&amp;"Team Leader: "&amp;$F966&amp;CHAR(10)&amp;"Case Number: "&amp;$M966&amp;CHAR(10)&amp;"Transaction ID: "&amp;$N966&amp;CHAR(10)&amp;"Channel / LOB: "&amp;$K966&amp;" / "&amp;$L966&amp;CHAR(10)&amp;"Evaluator: "&amp;$S966&amp;CHAR(10)&amp;CHAR(10)&amp;"INVALID QUALITY AUDIT DETAILS"&amp;CHAR(10)&amp;"Validation: Invalid"&amp;CHAR(10)&amp;"Invalid Reason: "&amp;$P966&amp;CHAR(10)&amp;"Expected Resolution Code: "&amp;$Q966&amp;CHAR(10)&amp;"Remarks: "&amp;LEFT($R966,600)&amp;CHAR(10)&amp;CHAR(10)&amp;"This is an automated notification from HP Mainstream EQMS."),"✉ Open Email Draft"),"")</f>
        <v/>
      </c>
    </row>
    <row r="967">
      <c r="A967" s="25">
        <f>IF($C967="","","AUD-2026-"&amp;TEXT(ROW()-1,"000000"))</f>
        <v/>
      </c>
      <c r="B967" s="26" t="n"/>
      <c r="C967" s="27" t="n"/>
      <c r="D967" s="25">
        <f>IF($C967="","",IFERROR(IF(INDEX(Roster!$A:$A,MATCH($C967,Roster!$B:$B,0))="","",INDEX(Roster!$A:$A,MATCH($C967,Roster!$B:$B,0))&amp;""),"—"))</f>
        <v/>
      </c>
      <c r="E967" s="25">
        <f>IF($C967="","",IFERROR(IF(INDEX(Roster!$C:$C,MATCH($C967,Roster!$B:$B,0))="","",INDEX(Roster!$C:$C,MATCH($C967,Roster!$B:$B,0))&amp;""),"—"))</f>
        <v/>
      </c>
      <c r="F967" s="25">
        <f>IF($C967="","",IFERROR(IF(INDEX(Roster!$D:$D,MATCH($C967,Roster!$B:$B,0))="","",INDEX(Roster!$D:$D,MATCH($C967,Roster!$B:$B,0))&amp;""),"—"))</f>
        <v/>
      </c>
      <c r="G967" s="25">
        <f>IF($C967="","",IFERROR(IF(INDEX(Roster!$E:$E,MATCH($C967,Roster!$B:$B,0))="","",INDEX(Roster!$E:$E,MATCH($C967,Roster!$B:$B,0))&amp;""),"—"))</f>
        <v/>
      </c>
      <c r="H967" s="25">
        <f>IF($C967="","",IFERROR(IF(INDEX(Roster!$F:$F,MATCH($C967,Roster!$B:$B,0))="","",INDEX(Roster!$F:$F,MATCH($C967,Roster!$B:$B,0))&amp;""),"—"))</f>
        <v/>
      </c>
      <c r="I967" s="25">
        <f>IF($C967="","",IFERROR(IF(INDEX(Roster!$G:$G,MATCH($C967,Roster!$B:$B,0))="","",INDEX(Roster!$G:$G,MATCH($C967,Roster!$B:$B,0))&amp;""),"—"))</f>
        <v/>
      </c>
      <c r="J967" s="25">
        <f>IF($C967="","",IFERROR(IF(INDEX(Roster!$I:$I,MATCH($C967,Roster!$B:$B,0))="","",INDEX(Roster!$I:$I,MATCH($C967,Roster!$B:$B,0))&amp;""),"—"))</f>
        <v/>
      </c>
      <c r="K967">
        <f>IF($C967="","",IFERROR(IF(INDEX(Roster!$J:$J,MATCH($C967,Roster!$B:$B,0))="","",INDEX(Roster!$J:$J,MATCH($C967,Roster!$B:$B,0))&amp;""),"—"))</f>
        <v/>
      </c>
      <c r="L967">
        <f>IF($C967="","",IFERROR(IF(INDEX(Roster!$K:$K,MATCH($C967,Roster!$B:$B,0))="","",INDEX(Roster!$K:$K,MATCH($C967,Roster!$B:$B,0))&amp;""),"—"))</f>
        <v/>
      </c>
      <c r="M967" s="27" t="n"/>
      <c r="N967" s="27" t="n"/>
      <c r="O967" s="25">
        <f>IF($C967="","",IF($P967="","—",IF($P967="Valid (Pass)","Valid","Invalid")))</f>
        <v/>
      </c>
      <c r="P967" s="27" t="n"/>
      <c r="Q967" s="27" t="n"/>
      <c r="R967" s="27" t="n"/>
      <c r="S967" s="27" t="n"/>
      <c r="T967" s="25">
        <f>IF($C967="","",IF(OR(ISNUMBER(SEARCH("quick case",$P967)),ISNUMBER(SEARCH("quick case",$Q967))),"Yes","No"))</f>
        <v/>
      </c>
      <c r="U967" s="25">
        <f>IF($O967="Invalid",HYPERLINK("mailto:"&amp;$G967&amp;";"&amp;$I967&amp;"?cc="&amp;Lists!$E$2&amp;"&amp;subject="&amp;_xlfn.ENCODEURL("[INVALID] Quality audit monitoring completed for "&amp;UPPER($C967))&amp;"&amp;body="&amp;_xlfn.ENCODEURL("Hi "&amp;$F967&amp;","&amp;CHAR(10)&amp;"Good day!"&amp;CHAR(10)&amp;CHAR(10)&amp;"A quality monitoring audit has been completed for "&amp;$C967&amp;"."&amp;CHAR(10)&amp;CHAR(10)&amp;"QUALITY AUDIT DETAILS"&amp;CHAR(10)&amp;"Agent Name: "&amp;$C967&amp;" (EID "&amp;$D967&amp;")"&amp;CHAR(10)&amp;"Audit Date: "&amp;TEXT($B967,"yyyy-mm-dd")&amp;CHAR(10)&amp;"Team Leader: "&amp;$F967&amp;CHAR(10)&amp;"Case Number: "&amp;$M967&amp;CHAR(10)&amp;"Transaction ID: "&amp;$N967&amp;CHAR(10)&amp;"Channel / LOB: "&amp;$K967&amp;" / "&amp;$L967&amp;CHAR(10)&amp;"Evaluator: "&amp;$S967&amp;CHAR(10)&amp;CHAR(10)&amp;"INVALID QUALITY AUDIT DETAILS"&amp;CHAR(10)&amp;"Validation: Invalid"&amp;CHAR(10)&amp;"Invalid Reason: "&amp;$P967&amp;CHAR(10)&amp;"Expected Resolution Code: "&amp;$Q967&amp;CHAR(10)&amp;"Remarks: "&amp;LEFT($R967,600)&amp;CHAR(10)&amp;CHAR(10)&amp;"This is an automated notification from HP Mainstream EQMS."),"✉ Open Email Draft"),"")</f>
        <v/>
      </c>
    </row>
    <row r="968">
      <c r="A968" s="25">
        <f>IF($C968="","","AUD-2026-"&amp;TEXT(ROW()-1,"000000"))</f>
        <v/>
      </c>
      <c r="B968" s="26" t="n"/>
      <c r="C968" s="27" t="n"/>
      <c r="D968" s="25">
        <f>IF($C968="","",IFERROR(IF(INDEX(Roster!$A:$A,MATCH($C968,Roster!$B:$B,0))="","",INDEX(Roster!$A:$A,MATCH($C968,Roster!$B:$B,0))&amp;""),"—"))</f>
        <v/>
      </c>
      <c r="E968" s="25">
        <f>IF($C968="","",IFERROR(IF(INDEX(Roster!$C:$C,MATCH($C968,Roster!$B:$B,0))="","",INDEX(Roster!$C:$C,MATCH($C968,Roster!$B:$B,0))&amp;""),"—"))</f>
        <v/>
      </c>
      <c r="F968" s="25">
        <f>IF($C968="","",IFERROR(IF(INDEX(Roster!$D:$D,MATCH($C968,Roster!$B:$B,0))="","",INDEX(Roster!$D:$D,MATCH($C968,Roster!$B:$B,0))&amp;""),"—"))</f>
        <v/>
      </c>
      <c r="G968" s="25">
        <f>IF($C968="","",IFERROR(IF(INDEX(Roster!$E:$E,MATCH($C968,Roster!$B:$B,0))="","",INDEX(Roster!$E:$E,MATCH($C968,Roster!$B:$B,0))&amp;""),"—"))</f>
        <v/>
      </c>
      <c r="H968" s="25">
        <f>IF($C968="","",IFERROR(IF(INDEX(Roster!$F:$F,MATCH($C968,Roster!$B:$B,0))="","",INDEX(Roster!$F:$F,MATCH($C968,Roster!$B:$B,0))&amp;""),"—"))</f>
        <v/>
      </c>
      <c r="I968" s="25">
        <f>IF($C968="","",IFERROR(IF(INDEX(Roster!$G:$G,MATCH($C968,Roster!$B:$B,0))="","",INDEX(Roster!$G:$G,MATCH($C968,Roster!$B:$B,0))&amp;""),"—"))</f>
        <v/>
      </c>
      <c r="J968" s="25">
        <f>IF($C968="","",IFERROR(IF(INDEX(Roster!$I:$I,MATCH($C968,Roster!$B:$B,0))="","",INDEX(Roster!$I:$I,MATCH($C968,Roster!$B:$B,0))&amp;""),"—"))</f>
        <v/>
      </c>
      <c r="K968">
        <f>IF($C968="","",IFERROR(IF(INDEX(Roster!$J:$J,MATCH($C968,Roster!$B:$B,0))="","",INDEX(Roster!$J:$J,MATCH($C968,Roster!$B:$B,0))&amp;""),"—"))</f>
        <v/>
      </c>
      <c r="L968">
        <f>IF($C968="","",IFERROR(IF(INDEX(Roster!$K:$K,MATCH($C968,Roster!$B:$B,0))="","",INDEX(Roster!$K:$K,MATCH($C968,Roster!$B:$B,0))&amp;""),"—"))</f>
        <v/>
      </c>
      <c r="M968" s="27" t="n"/>
      <c r="N968" s="27" t="n"/>
      <c r="O968" s="25">
        <f>IF($C968="","",IF($P968="","—",IF($P968="Valid (Pass)","Valid","Invalid")))</f>
        <v/>
      </c>
      <c r="P968" s="27" t="n"/>
      <c r="Q968" s="27" t="n"/>
      <c r="R968" s="27" t="n"/>
      <c r="S968" s="27" t="n"/>
      <c r="T968" s="25">
        <f>IF($C968="","",IF(OR(ISNUMBER(SEARCH("quick case",$P968)),ISNUMBER(SEARCH("quick case",$Q968))),"Yes","No"))</f>
        <v/>
      </c>
      <c r="U968" s="25">
        <f>IF($O968="Invalid",HYPERLINK("mailto:"&amp;$G968&amp;";"&amp;$I968&amp;"?cc="&amp;Lists!$E$2&amp;"&amp;subject="&amp;_xlfn.ENCODEURL("[INVALID] Quality audit monitoring completed for "&amp;UPPER($C968))&amp;"&amp;body="&amp;_xlfn.ENCODEURL("Hi "&amp;$F968&amp;","&amp;CHAR(10)&amp;"Good day!"&amp;CHAR(10)&amp;CHAR(10)&amp;"A quality monitoring audit has been completed for "&amp;$C968&amp;"."&amp;CHAR(10)&amp;CHAR(10)&amp;"QUALITY AUDIT DETAILS"&amp;CHAR(10)&amp;"Agent Name: "&amp;$C968&amp;" (EID "&amp;$D968&amp;")"&amp;CHAR(10)&amp;"Audit Date: "&amp;TEXT($B968,"yyyy-mm-dd")&amp;CHAR(10)&amp;"Team Leader: "&amp;$F968&amp;CHAR(10)&amp;"Case Number: "&amp;$M968&amp;CHAR(10)&amp;"Transaction ID: "&amp;$N968&amp;CHAR(10)&amp;"Channel / LOB: "&amp;$K968&amp;" / "&amp;$L968&amp;CHAR(10)&amp;"Evaluator: "&amp;$S968&amp;CHAR(10)&amp;CHAR(10)&amp;"INVALID QUALITY AUDIT DETAILS"&amp;CHAR(10)&amp;"Validation: Invalid"&amp;CHAR(10)&amp;"Invalid Reason: "&amp;$P968&amp;CHAR(10)&amp;"Expected Resolution Code: "&amp;$Q968&amp;CHAR(10)&amp;"Remarks: "&amp;LEFT($R968,600)&amp;CHAR(10)&amp;CHAR(10)&amp;"This is an automated notification from HP Mainstream EQMS."),"✉ Open Email Draft"),"")</f>
        <v/>
      </c>
    </row>
    <row r="969">
      <c r="A969" s="25">
        <f>IF($C969="","","AUD-2026-"&amp;TEXT(ROW()-1,"000000"))</f>
        <v/>
      </c>
      <c r="B969" s="26" t="n"/>
      <c r="C969" s="27" t="n"/>
      <c r="D969" s="25">
        <f>IF($C969="","",IFERROR(IF(INDEX(Roster!$A:$A,MATCH($C969,Roster!$B:$B,0))="","",INDEX(Roster!$A:$A,MATCH($C969,Roster!$B:$B,0))&amp;""),"—"))</f>
        <v/>
      </c>
      <c r="E969" s="25">
        <f>IF($C969="","",IFERROR(IF(INDEX(Roster!$C:$C,MATCH($C969,Roster!$B:$B,0))="","",INDEX(Roster!$C:$C,MATCH($C969,Roster!$B:$B,0))&amp;""),"—"))</f>
        <v/>
      </c>
      <c r="F969" s="25">
        <f>IF($C969="","",IFERROR(IF(INDEX(Roster!$D:$D,MATCH($C969,Roster!$B:$B,0))="","",INDEX(Roster!$D:$D,MATCH($C969,Roster!$B:$B,0))&amp;""),"—"))</f>
        <v/>
      </c>
      <c r="G969" s="25">
        <f>IF($C969="","",IFERROR(IF(INDEX(Roster!$E:$E,MATCH($C969,Roster!$B:$B,0))="","",INDEX(Roster!$E:$E,MATCH($C969,Roster!$B:$B,0))&amp;""),"—"))</f>
        <v/>
      </c>
      <c r="H969" s="25">
        <f>IF($C969="","",IFERROR(IF(INDEX(Roster!$F:$F,MATCH($C969,Roster!$B:$B,0))="","",INDEX(Roster!$F:$F,MATCH($C969,Roster!$B:$B,0))&amp;""),"—"))</f>
        <v/>
      </c>
      <c r="I969" s="25">
        <f>IF($C969="","",IFERROR(IF(INDEX(Roster!$G:$G,MATCH($C969,Roster!$B:$B,0))="","",INDEX(Roster!$G:$G,MATCH($C969,Roster!$B:$B,0))&amp;""),"—"))</f>
        <v/>
      </c>
      <c r="J969" s="25">
        <f>IF($C969="","",IFERROR(IF(INDEX(Roster!$I:$I,MATCH($C969,Roster!$B:$B,0))="","",INDEX(Roster!$I:$I,MATCH($C969,Roster!$B:$B,0))&amp;""),"—"))</f>
        <v/>
      </c>
      <c r="K969">
        <f>IF($C969="","",IFERROR(IF(INDEX(Roster!$J:$J,MATCH($C969,Roster!$B:$B,0))="","",INDEX(Roster!$J:$J,MATCH($C969,Roster!$B:$B,0))&amp;""),"—"))</f>
        <v/>
      </c>
      <c r="L969">
        <f>IF($C969="","",IFERROR(IF(INDEX(Roster!$K:$K,MATCH($C969,Roster!$B:$B,0))="","",INDEX(Roster!$K:$K,MATCH($C969,Roster!$B:$B,0))&amp;""),"—"))</f>
        <v/>
      </c>
      <c r="M969" s="27" t="n"/>
      <c r="N969" s="27" t="n"/>
      <c r="O969" s="25">
        <f>IF($C969="","",IF($P969="","—",IF($P969="Valid (Pass)","Valid","Invalid")))</f>
        <v/>
      </c>
      <c r="P969" s="27" t="n"/>
      <c r="Q969" s="27" t="n"/>
      <c r="R969" s="27" t="n"/>
      <c r="S969" s="27" t="n"/>
      <c r="T969" s="25">
        <f>IF($C969="","",IF(OR(ISNUMBER(SEARCH("quick case",$P969)),ISNUMBER(SEARCH("quick case",$Q969))),"Yes","No"))</f>
        <v/>
      </c>
      <c r="U969" s="25">
        <f>IF($O969="Invalid",HYPERLINK("mailto:"&amp;$G969&amp;";"&amp;$I969&amp;"?cc="&amp;Lists!$E$2&amp;"&amp;subject="&amp;_xlfn.ENCODEURL("[INVALID] Quality audit monitoring completed for "&amp;UPPER($C969))&amp;"&amp;body="&amp;_xlfn.ENCODEURL("Hi "&amp;$F969&amp;","&amp;CHAR(10)&amp;"Good day!"&amp;CHAR(10)&amp;CHAR(10)&amp;"A quality monitoring audit has been completed for "&amp;$C969&amp;"."&amp;CHAR(10)&amp;CHAR(10)&amp;"QUALITY AUDIT DETAILS"&amp;CHAR(10)&amp;"Agent Name: "&amp;$C969&amp;" (EID "&amp;$D969&amp;")"&amp;CHAR(10)&amp;"Audit Date: "&amp;TEXT($B969,"yyyy-mm-dd")&amp;CHAR(10)&amp;"Team Leader: "&amp;$F969&amp;CHAR(10)&amp;"Case Number: "&amp;$M969&amp;CHAR(10)&amp;"Transaction ID: "&amp;$N969&amp;CHAR(10)&amp;"Channel / LOB: "&amp;$K969&amp;" / "&amp;$L969&amp;CHAR(10)&amp;"Evaluator: "&amp;$S969&amp;CHAR(10)&amp;CHAR(10)&amp;"INVALID QUALITY AUDIT DETAILS"&amp;CHAR(10)&amp;"Validation: Invalid"&amp;CHAR(10)&amp;"Invalid Reason: "&amp;$P969&amp;CHAR(10)&amp;"Expected Resolution Code: "&amp;$Q969&amp;CHAR(10)&amp;"Remarks: "&amp;LEFT($R969,600)&amp;CHAR(10)&amp;CHAR(10)&amp;"This is an automated notification from HP Mainstream EQMS."),"✉ Open Email Draft"),"")</f>
        <v/>
      </c>
    </row>
    <row r="970">
      <c r="A970" s="25">
        <f>IF($C970="","","AUD-2026-"&amp;TEXT(ROW()-1,"000000"))</f>
        <v/>
      </c>
      <c r="B970" s="26" t="n"/>
      <c r="C970" s="27" t="n"/>
      <c r="D970" s="25">
        <f>IF($C970="","",IFERROR(IF(INDEX(Roster!$A:$A,MATCH($C970,Roster!$B:$B,0))="","",INDEX(Roster!$A:$A,MATCH($C970,Roster!$B:$B,0))&amp;""),"—"))</f>
        <v/>
      </c>
      <c r="E970" s="25">
        <f>IF($C970="","",IFERROR(IF(INDEX(Roster!$C:$C,MATCH($C970,Roster!$B:$B,0))="","",INDEX(Roster!$C:$C,MATCH($C970,Roster!$B:$B,0))&amp;""),"—"))</f>
        <v/>
      </c>
      <c r="F970" s="25">
        <f>IF($C970="","",IFERROR(IF(INDEX(Roster!$D:$D,MATCH($C970,Roster!$B:$B,0))="","",INDEX(Roster!$D:$D,MATCH($C970,Roster!$B:$B,0))&amp;""),"—"))</f>
        <v/>
      </c>
      <c r="G970" s="25">
        <f>IF($C970="","",IFERROR(IF(INDEX(Roster!$E:$E,MATCH($C970,Roster!$B:$B,0))="","",INDEX(Roster!$E:$E,MATCH($C970,Roster!$B:$B,0))&amp;""),"—"))</f>
        <v/>
      </c>
      <c r="H970" s="25">
        <f>IF($C970="","",IFERROR(IF(INDEX(Roster!$F:$F,MATCH($C970,Roster!$B:$B,0))="","",INDEX(Roster!$F:$F,MATCH($C970,Roster!$B:$B,0))&amp;""),"—"))</f>
        <v/>
      </c>
      <c r="I970" s="25">
        <f>IF($C970="","",IFERROR(IF(INDEX(Roster!$G:$G,MATCH($C970,Roster!$B:$B,0))="","",INDEX(Roster!$G:$G,MATCH($C970,Roster!$B:$B,0))&amp;""),"—"))</f>
        <v/>
      </c>
      <c r="J970" s="25">
        <f>IF($C970="","",IFERROR(IF(INDEX(Roster!$I:$I,MATCH($C970,Roster!$B:$B,0))="","",INDEX(Roster!$I:$I,MATCH($C970,Roster!$B:$B,0))&amp;""),"—"))</f>
        <v/>
      </c>
      <c r="K970">
        <f>IF($C970="","",IFERROR(IF(INDEX(Roster!$J:$J,MATCH($C970,Roster!$B:$B,0))="","",INDEX(Roster!$J:$J,MATCH($C970,Roster!$B:$B,0))&amp;""),"—"))</f>
        <v/>
      </c>
      <c r="L970">
        <f>IF($C970="","",IFERROR(IF(INDEX(Roster!$K:$K,MATCH($C970,Roster!$B:$B,0))="","",INDEX(Roster!$K:$K,MATCH($C970,Roster!$B:$B,0))&amp;""),"—"))</f>
        <v/>
      </c>
      <c r="M970" s="27" t="n"/>
      <c r="N970" s="27" t="n"/>
      <c r="O970" s="25">
        <f>IF($C970="","",IF($P970="","—",IF($P970="Valid (Pass)","Valid","Invalid")))</f>
        <v/>
      </c>
      <c r="P970" s="27" t="n"/>
      <c r="Q970" s="27" t="n"/>
      <c r="R970" s="27" t="n"/>
      <c r="S970" s="27" t="n"/>
      <c r="T970" s="25">
        <f>IF($C970="","",IF(OR(ISNUMBER(SEARCH("quick case",$P970)),ISNUMBER(SEARCH("quick case",$Q970))),"Yes","No"))</f>
        <v/>
      </c>
      <c r="U970" s="25">
        <f>IF($O970="Invalid",HYPERLINK("mailto:"&amp;$G970&amp;";"&amp;$I970&amp;"?cc="&amp;Lists!$E$2&amp;"&amp;subject="&amp;_xlfn.ENCODEURL("[INVALID] Quality audit monitoring completed for "&amp;UPPER($C970))&amp;"&amp;body="&amp;_xlfn.ENCODEURL("Hi "&amp;$F970&amp;","&amp;CHAR(10)&amp;"Good day!"&amp;CHAR(10)&amp;CHAR(10)&amp;"A quality monitoring audit has been completed for "&amp;$C970&amp;"."&amp;CHAR(10)&amp;CHAR(10)&amp;"QUALITY AUDIT DETAILS"&amp;CHAR(10)&amp;"Agent Name: "&amp;$C970&amp;" (EID "&amp;$D970&amp;")"&amp;CHAR(10)&amp;"Audit Date: "&amp;TEXT($B970,"yyyy-mm-dd")&amp;CHAR(10)&amp;"Team Leader: "&amp;$F970&amp;CHAR(10)&amp;"Case Number: "&amp;$M970&amp;CHAR(10)&amp;"Transaction ID: "&amp;$N970&amp;CHAR(10)&amp;"Channel / LOB: "&amp;$K970&amp;" / "&amp;$L970&amp;CHAR(10)&amp;"Evaluator: "&amp;$S970&amp;CHAR(10)&amp;CHAR(10)&amp;"INVALID QUALITY AUDIT DETAILS"&amp;CHAR(10)&amp;"Validation: Invalid"&amp;CHAR(10)&amp;"Invalid Reason: "&amp;$P970&amp;CHAR(10)&amp;"Expected Resolution Code: "&amp;$Q970&amp;CHAR(10)&amp;"Remarks: "&amp;LEFT($R970,600)&amp;CHAR(10)&amp;CHAR(10)&amp;"This is an automated notification from HP Mainstream EQMS."),"✉ Open Email Draft"),"")</f>
        <v/>
      </c>
    </row>
    <row r="971">
      <c r="A971" s="25">
        <f>IF($C971="","","AUD-2026-"&amp;TEXT(ROW()-1,"000000"))</f>
        <v/>
      </c>
      <c r="B971" s="26" t="n"/>
      <c r="C971" s="27" t="n"/>
      <c r="D971" s="25">
        <f>IF($C971="","",IFERROR(IF(INDEX(Roster!$A:$A,MATCH($C971,Roster!$B:$B,0))="","",INDEX(Roster!$A:$A,MATCH($C971,Roster!$B:$B,0))&amp;""),"—"))</f>
        <v/>
      </c>
      <c r="E971" s="25">
        <f>IF($C971="","",IFERROR(IF(INDEX(Roster!$C:$C,MATCH($C971,Roster!$B:$B,0))="","",INDEX(Roster!$C:$C,MATCH($C971,Roster!$B:$B,0))&amp;""),"—"))</f>
        <v/>
      </c>
      <c r="F971" s="25">
        <f>IF($C971="","",IFERROR(IF(INDEX(Roster!$D:$D,MATCH($C971,Roster!$B:$B,0))="","",INDEX(Roster!$D:$D,MATCH($C971,Roster!$B:$B,0))&amp;""),"—"))</f>
        <v/>
      </c>
      <c r="G971" s="25">
        <f>IF($C971="","",IFERROR(IF(INDEX(Roster!$E:$E,MATCH($C971,Roster!$B:$B,0))="","",INDEX(Roster!$E:$E,MATCH($C971,Roster!$B:$B,0))&amp;""),"—"))</f>
        <v/>
      </c>
      <c r="H971" s="25">
        <f>IF($C971="","",IFERROR(IF(INDEX(Roster!$F:$F,MATCH($C971,Roster!$B:$B,0))="","",INDEX(Roster!$F:$F,MATCH($C971,Roster!$B:$B,0))&amp;""),"—"))</f>
        <v/>
      </c>
      <c r="I971" s="25">
        <f>IF($C971="","",IFERROR(IF(INDEX(Roster!$G:$G,MATCH($C971,Roster!$B:$B,0))="","",INDEX(Roster!$G:$G,MATCH($C971,Roster!$B:$B,0))&amp;""),"—"))</f>
        <v/>
      </c>
      <c r="J971" s="25">
        <f>IF($C971="","",IFERROR(IF(INDEX(Roster!$I:$I,MATCH($C971,Roster!$B:$B,0))="","",INDEX(Roster!$I:$I,MATCH($C971,Roster!$B:$B,0))&amp;""),"—"))</f>
        <v/>
      </c>
      <c r="K971">
        <f>IF($C971="","",IFERROR(IF(INDEX(Roster!$J:$J,MATCH($C971,Roster!$B:$B,0))="","",INDEX(Roster!$J:$J,MATCH($C971,Roster!$B:$B,0))&amp;""),"—"))</f>
        <v/>
      </c>
      <c r="L971">
        <f>IF($C971="","",IFERROR(IF(INDEX(Roster!$K:$K,MATCH($C971,Roster!$B:$B,0))="","",INDEX(Roster!$K:$K,MATCH($C971,Roster!$B:$B,0))&amp;""),"—"))</f>
        <v/>
      </c>
      <c r="M971" s="27" t="n"/>
      <c r="N971" s="27" t="n"/>
      <c r="O971" s="25">
        <f>IF($C971="","",IF($P971="","—",IF($P971="Valid (Pass)","Valid","Invalid")))</f>
        <v/>
      </c>
      <c r="P971" s="27" t="n"/>
      <c r="Q971" s="27" t="n"/>
      <c r="R971" s="27" t="n"/>
      <c r="S971" s="27" t="n"/>
      <c r="T971" s="25">
        <f>IF($C971="","",IF(OR(ISNUMBER(SEARCH("quick case",$P971)),ISNUMBER(SEARCH("quick case",$Q971))),"Yes","No"))</f>
        <v/>
      </c>
      <c r="U971" s="25">
        <f>IF($O971="Invalid",HYPERLINK("mailto:"&amp;$G971&amp;";"&amp;$I971&amp;"?cc="&amp;Lists!$E$2&amp;"&amp;subject="&amp;_xlfn.ENCODEURL("[INVALID] Quality audit monitoring completed for "&amp;UPPER($C971))&amp;"&amp;body="&amp;_xlfn.ENCODEURL("Hi "&amp;$F971&amp;","&amp;CHAR(10)&amp;"Good day!"&amp;CHAR(10)&amp;CHAR(10)&amp;"A quality monitoring audit has been completed for "&amp;$C971&amp;"."&amp;CHAR(10)&amp;CHAR(10)&amp;"QUALITY AUDIT DETAILS"&amp;CHAR(10)&amp;"Agent Name: "&amp;$C971&amp;" (EID "&amp;$D971&amp;")"&amp;CHAR(10)&amp;"Audit Date: "&amp;TEXT($B971,"yyyy-mm-dd")&amp;CHAR(10)&amp;"Team Leader: "&amp;$F971&amp;CHAR(10)&amp;"Case Number: "&amp;$M971&amp;CHAR(10)&amp;"Transaction ID: "&amp;$N971&amp;CHAR(10)&amp;"Channel / LOB: "&amp;$K971&amp;" / "&amp;$L971&amp;CHAR(10)&amp;"Evaluator: "&amp;$S971&amp;CHAR(10)&amp;CHAR(10)&amp;"INVALID QUALITY AUDIT DETAILS"&amp;CHAR(10)&amp;"Validation: Invalid"&amp;CHAR(10)&amp;"Invalid Reason: "&amp;$P971&amp;CHAR(10)&amp;"Expected Resolution Code: "&amp;$Q971&amp;CHAR(10)&amp;"Remarks: "&amp;LEFT($R971,600)&amp;CHAR(10)&amp;CHAR(10)&amp;"This is an automated notification from HP Mainstream EQMS."),"✉ Open Email Draft"),"")</f>
        <v/>
      </c>
    </row>
    <row r="972">
      <c r="A972" s="25">
        <f>IF($C972="","","AUD-2026-"&amp;TEXT(ROW()-1,"000000"))</f>
        <v/>
      </c>
      <c r="B972" s="26" t="n"/>
      <c r="C972" s="27" t="n"/>
      <c r="D972" s="25">
        <f>IF($C972="","",IFERROR(IF(INDEX(Roster!$A:$A,MATCH($C972,Roster!$B:$B,0))="","",INDEX(Roster!$A:$A,MATCH($C972,Roster!$B:$B,0))&amp;""),"—"))</f>
        <v/>
      </c>
      <c r="E972" s="25">
        <f>IF($C972="","",IFERROR(IF(INDEX(Roster!$C:$C,MATCH($C972,Roster!$B:$B,0))="","",INDEX(Roster!$C:$C,MATCH($C972,Roster!$B:$B,0))&amp;""),"—"))</f>
        <v/>
      </c>
      <c r="F972" s="25">
        <f>IF($C972="","",IFERROR(IF(INDEX(Roster!$D:$D,MATCH($C972,Roster!$B:$B,0))="","",INDEX(Roster!$D:$D,MATCH($C972,Roster!$B:$B,0))&amp;""),"—"))</f>
        <v/>
      </c>
      <c r="G972" s="25">
        <f>IF($C972="","",IFERROR(IF(INDEX(Roster!$E:$E,MATCH($C972,Roster!$B:$B,0))="","",INDEX(Roster!$E:$E,MATCH($C972,Roster!$B:$B,0))&amp;""),"—"))</f>
        <v/>
      </c>
      <c r="H972" s="25">
        <f>IF($C972="","",IFERROR(IF(INDEX(Roster!$F:$F,MATCH($C972,Roster!$B:$B,0))="","",INDEX(Roster!$F:$F,MATCH($C972,Roster!$B:$B,0))&amp;""),"—"))</f>
        <v/>
      </c>
      <c r="I972" s="25">
        <f>IF($C972="","",IFERROR(IF(INDEX(Roster!$G:$G,MATCH($C972,Roster!$B:$B,0))="","",INDEX(Roster!$G:$G,MATCH($C972,Roster!$B:$B,0))&amp;""),"—"))</f>
        <v/>
      </c>
      <c r="J972" s="25">
        <f>IF($C972="","",IFERROR(IF(INDEX(Roster!$I:$I,MATCH($C972,Roster!$B:$B,0))="","",INDEX(Roster!$I:$I,MATCH($C972,Roster!$B:$B,0))&amp;""),"—"))</f>
        <v/>
      </c>
      <c r="K972">
        <f>IF($C972="","",IFERROR(IF(INDEX(Roster!$J:$J,MATCH($C972,Roster!$B:$B,0))="","",INDEX(Roster!$J:$J,MATCH($C972,Roster!$B:$B,0))&amp;""),"—"))</f>
        <v/>
      </c>
      <c r="L972">
        <f>IF($C972="","",IFERROR(IF(INDEX(Roster!$K:$K,MATCH($C972,Roster!$B:$B,0))="","",INDEX(Roster!$K:$K,MATCH($C972,Roster!$B:$B,0))&amp;""),"—"))</f>
        <v/>
      </c>
      <c r="M972" s="27" t="n"/>
      <c r="N972" s="27" t="n"/>
      <c r="O972" s="25">
        <f>IF($C972="","",IF($P972="","—",IF($P972="Valid (Pass)","Valid","Invalid")))</f>
        <v/>
      </c>
      <c r="P972" s="27" t="n"/>
      <c r="Q972" s="27" t="n"/>
      <c r="R972" s="27" t="n"/>
      <c r="S972" s="27" t="n"/>
      <c r="T972" s="25">
        <f>IF($C972="","",IF(OR(ISNUMBER(SEARCH("quick case",$P972)),ISNUMBER(SEARCH("quick case",$Q972))),"Yes","No"))</f>
        <v/>
      </c>
      <c r="U972" s="25">
        <f>IF($O972="Invalid",HYPERLINK("mailto:"&amp;$G972&amp;";"&amp;$I972&amp;"?cc="&amp;Lists!$E$2&amp;"&amp;subject="&amp;_xlfn.ENCODEURL("[INVALID] Quality audit monitoring completed for "&amp;UPPER($C972))&amp;"&amp;body="&amp;_xlfn.ENCODEURL("Hi "&amp;$F972&amp;","&amp;CHAR(10)&amp;"Good day!"&amp;CHAR(10)&amp;CHAR(10)&amp;"A quality monitoring audit has been completed for "&amp;$C972&amp;"."&amp;CHAR(10)&amp;CHAR(10)&amp;"QUALITY AUDIT DETAILS"&amp;CHAR(10)&amp;"Agent Name: "&amp;$C972&amp;" (EID "&amp;$D972&amp;")"&amp;CHAR(10)&amp;"Audit Date: "&amp;TEXT($B972,"yyyy-mm-dd")&amp;CHAR(10)&amp;"Team Leader: "&amp;$F972&amp;CHAR(10)&amp;"Case Number: "&amp;$M972&amp;CHAR(10)&amp;"Transaction ID: "&amp;$N972&amp;CHAR(10)&amp;"Channel / LOB: "&amp;$K972&amp;" / "&amp;$L972&amp;CHAR(10)&amp;"Evaluator: "&amp;$S972&amp;CHAR(10)&amp;CHAR(10)&amp;"INVALID QUALITY AUDIT DETAILS"&amp;CHAR(10)&amp;"Validation: Invalid"&amp;CHAR(10)&amp;"Invalid Reason: "&amp;$P972&amp;CHAR(10)&amp;"Expected Resolution Code: "&amp;$Q972&amp;CHAR(10)&amp;"Remarks: "&amp;LEFT($R972,600)&amp;CHAR(10)&amp;CHAR(10)&amp;"This is an automated notification from HP Mainstream EQMS."),"✉ Open Email Draft"),"")</f>
        <v/>
      </c>
    </row>
    <row r="973">
      <c r="A973" s="25">
        <f>IF($C973="","","AUD-2026-"&amp;TEXT(ROW()-1,"000000"))</f>
        <v/>
      </c>
      <c r="B973" s="26" t="n"/>
      <c r="C973" s="27" t="n"/>
      <c r="D973" s="25">
        <f>IF($C973="","",IFERROR(IF(INDEX(Roster!$A:$A,MATCH($C973,Roster!$B:$B,0))="","",INDEX(Roster!$A:$A,MATCH($C973,Roster!$B:$B,0))&amp;""),"—"))</f>
        <v/>
      </c>
      <c r="E973" s="25">
        <f>IF($C973="","",IFERROR(IF(INDEX(Roster!$C:$C,MATCH($C973,Roster!$B:$B,0))="","",INDEX(Roster!$C:$C,MATCH($C973,Roster!$B:$B,0))&amp;""),"—"))</f>
        <v/>
      </c>
      <c r="F973" s="25">
        <f>IF($C973="","",IFERROR(IF(INDEX(Roster!$D:$D,MATCH($C973,Roster!$B:$B,0))="","",INDEX(Roster!$D:$D,MATCH($C973,Roster!$B:$B,0))&amp;""),"—"))</f>
        <v/>
      </c>
      <c r="G973" s="25">
        <f>IF($C973="","",IFERROR(IF(INDEX(Roster!$E:$E,MATCH($C973,Roster!$B:$B,0))="","",INDEX(Roster!$E:$E,MATCH($C973,Roster!$B:$B,0))&amp;""),"—"))</f>
        <v/>
      </c>
      <c r="H973" s="25">
        <f>IF($C973="","",IFERROR(IF(INDEX(Roster!$F:$F,MATCH($C973,Roster!$B:$B,0))="","",INDEX(Roster!$F:$F,MATCH($C973,Roster!$B:$B,0))&amp;""),"—"))</f>
        <v/>
      </c>
      <c r="I973" s="25">
        <f>IF($C973="","",IFERROR(IF(INDEX(Roster!$G:$G,MATCH($C973,Roster!$B:$B,0))="","",INDEX(Roster!$G:$G,MATCH($C973,Roster!$B:$B,0))&amp;""),"—"))</f>
        <v/>
      </c>
      <c r="J973" s="25">
        <f>IF($C973="","",IFERROR(IF(INDEX(Roster!$I:$I,MATCH($C973,Roster!$B:$B,0))="","",INDEX(Roster!$I:$I,MATCH($C973,Roster!$B:$B,0))&amp;""),"—"))</f>
        <v/>
      </c>
      <c r="K973">
        <f>IF($C973="","",IFERROR(IF(INDEX(Roster!$J:$J,MATCH($C973,Roster!$B:$B,0))="","",INDEX(Roster!$J:$J,MATCH($C973,Roster!$B:$B,0))&amp;""),"—"))</f>
        <v/>
      </c>
      <c r="L973">
        <f>IF($C973="","",IFERROR(IF(INDEX(Roster!$K:$K,MATCH($C973,Roster!$B:$B,0))="","",INDEX(Roster!$K:$K,MATCH($C973,Roster!$B:$B,0))&amp;""),"—"))</f>
        <v/>
      </c>
      <c r="M973" s="27" t="n"/>
      <c r="N973" s="27" t="n"/>
      <c r="O973" s="25">
        <f>IF($C973="","",IF($P973="","—",IF($P973="Valid (Pass)","Valid","Invalid")))</f>
        <v/>
      </c>
      <c r="P973" s="27" t="n"/>
      <c r="Q973" s="27" t="n"/>
      <c r="R973" s="27" t="n"/>
      <c r="S973" s="27" t="n"/>
      <c r="T973" s="25">
        <f>IF($C973="","",IF(OR(ISNUMBER(SEARCH("quick case",$P973)),ISNUMBER(SEARCH("quick case",$Q973))),"Yes","No"))</f>
        <v/>
      </c>
      <c r="U973" s="25">
        <f>IF($O973="Invalid",HYPERLINK("mailto:"&amp;$G973&amp;";"&amp;$I973&amp;"?cc="&amp;Lists!$E$2&amp;"&amp;subject="&amp;_xlfn.ENCODEURL("[INVALID] Quality audit monitoring completed for "&amp;UPPER($C973))&amp;"&amp;body="&amp;_xlfn.ENCODEURL("Hi "&amp;$F973&amp;","&amp;CHAR(10)&amp;"Good day!"&amp;CHAR(10)&amp;CHAR(10)&amp;"A quality monitoring audit has been completed for "&amp;$C973&amp;"."&amp;CHAR(10)&amp;CHAR(10)&amp;"QUALITY AUDIT DETAILS"&amp;CHAR(10)&amp;"Agent Name: "&amp;$C973&amp;" (EID "&amp;$D973&amp;")"&amp;CHAR(10)&amp;"Audit Date: "&amp;TEXT($B973,"yyyy-mm-dd")&amp;CHAR(10)&amp;"Team Leader: "&amp;$F973&amp;CHAR(10)&amp;"Case Number: "&amp;$M973&amp;CHAR(10)&amp;"Transaction ID: "&amp;$N973&amp;CHAR(10)&amp;"Channel / LOB: "&amp;$K973&amp;" / "&amp;$L973&amp;CHAR(10)&amp;"Evaluator: "&amp;$S973&amp;CHAR(10)&amp;CHAR(10)&amp;"INVALID QUALITY AUDIT DETAILS"&amp;CHAR(10)&amp;"Validation: Invalid"&amp;CHAR(10)&amp;"Invalid Reason: "&amp;$P973&amp;CHAR(10)&amp;"Expected Resolution Code: "&amp;$Q973&amp;CHAR(10)&amp;"Remarks: "&amp;LEFT($R973,600)&amp;CHAR(10)&amp;CHAR(10)&amp;"This is an automated notification from HP Mainstream EQMS."),"✉ Open Email Draft"),"")</f>
        <v/>
      </c>
    </row>
    <row r="974">
      <c r="A974" s="25">
        <f>IF($C974="","","AUD-2026-"&amp;TEXT(ROW()-1,"000000"))</f>
        <v/>
      </c>
      <c r="B974" s="26" t="n"/>
      <c r="C974" s="27" t="n"/>
      <c r="D974" s="25">
        <f>IF($C974="","",IFERROR(IF(INDEX(Roster!$A:$A,MATCH($C974,Roster!$B:$B,0))="","",INDEX(Roster!$A:$A,MATCH($C974,Roster!$B:$B,0))&amp;""),"—"))</f>
        <v/>
      </c>
      <c r="E974" s="25">
        <f>IF($C974="","",IFERROR(IF(INDEX(Roster!$C:$C,MATCH($C974,Roster!$B:$B,0))="","",INDEX(Roster!$C:$C,MATCH($C974,Roster!$B:$B,0))&amp;""),"—"))</f>
        <v/>
      </c>
      <c r="F974" s="25">
        <f>IF($C974="","",IFERROR(IF(INDEX(Roster!$D:$D,MATCH($C974,Roster!$B:$B,0))="","",INDEX(Roster!$D:$D,MATCH($C974,Roster!$B:$B,0))&amp;""),"—"))</f>
        <v/>
      </c>
      <c r="G974" s="25">
        <f>IF($C974="","",IFERROR(IF(INDEX(Roster!$E:$E,MATCH($C974,Roster!$B:$B,0))="","",INDEX(Roster!$E:$E,MATCH($C974,Roster!$B:$B,0))&amp;""),"—"))</f>
        <v/>
      </c>
      <c r="H974" s="25">
        <f>IF($C974="","",IFERROR(IF(INDEX(Roster!$F:$F,MATCH($C974,Roster!$B:$B,0))="","",INDEX(Roster!$F:$F,MATCH($C974,Roster!$B:$B,0))&amp;""),"—"))</f>
        <v/>
      </c>
      <c r="I974" s="25">
        <f>IF($C974="","",IFERROR(IF(INDEX(Roster!$G:$G,MATCH($C974,Roster!$B:$B,0))="","",INDEX(Roster!$G:$G,MATCH($C974,Roster!$B:$B,0))&amp;""),"—"))</f>
        <v/>
      </c>
      <c r="J974" s="25">
        <f>IF($C974="","",IFERROR(IF(INDEX(Roster!$I:$I,MATCH($C974,Roster!$B:$B,0))="","",INDEX(Roster!$I:$I,MATCH($C974,Roster!$B:$B,0))&amp;""),"—"))</f>
        <v/>
      </c>
      <c r="K974">
        <f>IF($C974="","",IFERROR(IF(INDEX(Roster!$J:$J,MATCH($C974,Roster!$B:$B,0))="","",INDEX(Roster!$J:$J,MATCH($C974,Roster!$B:$B,0))&amp;""),"—"))</f>
        <v/>
      </c>
      <c r="L974">
        <f>IF($C974="","",IFERROR(IF(INDEX(Roster!$K:$K,MATCH($C974,Roster!$B:$B,0))="","",INDEX(Roster!$K:$K,MATCH($C974,Roster!$B:$B,0))&amp;""),"—"))</f>
        <v/>
      </c>
      <c r="M974" s="27" t="n"/>
      <c r="N974" s="27" t="n"/>
      <c r="O974" s="25">
        <f>IF($C974="","",IF($P974="","—",IF($P974="Valid (Pass)","Valid","Invalid")))</f>
        <v/>
      </c>
      <c r="P974" s="27" t="n"/>
      <c r="Q974" s="27" t="n"/>
      <c r="R974" s="27" t="n"/>
      <c r="S974" s="27" t="n"/>
      <c r="T974" s="25">
        <f>IF($C974="","",IF(OR(ISNUMBER(SEARCH("quick case",$P974)),ISNUMBER(SEARCH("quick case",$Q974))),"Yes","No"))</f>
        <v/>
      </c>
      <c r="U974" s="25">
        <f>IF($O974="Invalid",HYPERLINK("mailto:"&amp;$G974&amp;";"&amp;$I974&amp;"?cc="&amp;Lists!$E$2&amp;"&amp;subject="&amp;_xlfn.ENCODEURL("[INVALID] Quality audit monitoring completed for "&amp;UPPER($C974))&amp;"&amp;body="&amp;_xlfn.ENCODEURL("Hi "&amp;$F974&amp;","&amp;CHAR(10)&amp;"Good day!"&amp;CHAR(10)&amp;CHAR(10)&amp;"A quality monitoring audit has been completed for "&amp;$C974&amp;"."&amp;CHAR(10)&amp;CHAR(10)&amp;"QUALITY AUDIT DETAILS"&amp;CHAR(10)&amp;"Agent Name: "&amp;$C974&amp;" (EID "&amp;$D974&amp;")"&amp;CHAR(10)&amp;"Audit Date: "&amp;TEXT($B974,"yyyy-mm-dd")&amp;CHAR(10)&amp;"Team Leader: "&amp;$F974&amp;CHAR(10)&amp;"Case Number: "&amp;$M974&amp;CHAR(10)&amp;"Transaction ID: "&amp;$N974&amp;CHAR(10)&amp;"Channel / LOB: "&amp;$K974&amp;" / "&amp;$L974&amp;CHAR(10)&amp;"Evaluator: "&amp;$S974&amp;CHAR(10)&amp;CHAR(10)&amp;"INVALID QUALITY AUDIT DETAILS"&amp;CHAR(10)&amp;"Validation: Invalid"&amp;CHAR(10)&amp;"Invalid Reason: "&amp;$P974&amp;CHAR(10)&amp;"Expected Resolution Code: "&amp;$Q974&amp;CHAR(10)&amp;"Remarks: "&amp;LEFT($R974,600)&amp;CHAR(10)&amp;CHAR(10)&amp;"This is an automated notification from HP Mainstream EQMS."),"✉ Open Email Draft"),"")</f>
        <v/>
      </c>
    </row>
    <row r="975">
      <c r="A975" s="25">
        <f>IF($C975="","","AUD-2026-"&amp;TEXT(ROW()-1,"000000"))</f>
        <v/>
      </c>
      <c r="B975" s="26" t="n"/>
      <c r="C975" s="27" t="n"/>
      <c r="D975" s="25">
        <f>IF($C975="","",IFERROR(IF(INDEX(Roster!$A:$A,MATCH($C975,Roster!$B:$B,0))="","",INDEX(Roster!$A:$A,MATCH($C975,Roster!$B:$B,0))&amp;""),"—"))</f>
        <v/>
      </c>
      <c r="E975" s="25">
        <f>IF($C975="","",IFERROR(IF(INDEX(Roster!$C:$C,MATCH($C975,Roster!$B:$B,0))="","",INDEX(Roster!$C:$C,MATCH($C975,Roster!$B:$B,0))&amp;""),"—"))</f>
        <v/>
      </c>
      <c r="F975" s="25">
        <f>IF($C975="","",IFERROR(IF(INDEX(Roster!$D:$D,MATCH($C975,Roster!$B:$B,0))="","",INDEX(Roster!$D:$D,MATCH($C975,Roster!$B:$B,0))&amp;""),"—"))</f>
        <v/>
      </c>
      <c r="G975" s="25">
        <f>IF($C975="","",IFERROR(IF(INDEX(Roster!$E:$E,MATCH($C975,Roster!$B:$B,0))="","",INDEX(Roster!$E:$E,MATCH($C975,Roster!$B:$B,0))&amp;""),"—"))</f>
        <v/>
      </c>
      <c r="H975" s="25">
        <f>IF($C975="","",IFERROR(IF(INDEX(Roster!$F:$F,MATCH($C975,Roster!$B:$B,0))="","",INDEX(Roster!$F:$F,MATCH($C975,Roster!$B:$B,0))&amp;""),"—"))</f>
        <v/>
      </c>
      <c r="I975" s="25">
        <f>IF($C975="","",IFERROR(IF(INDEX(Roster!$G:$G,MATCH($C975,Roster!$B:$B,0))="","",INDEX(Roster!$G:$G,MATCH($C975,Roster!$B:$B,0))&amp;""),"—"))</f>
        <v/>
      </c>
      <c r="J975" s="25">
        <f>IF($C975="","",IFERROR(IF(INDEX(Roster!$I:$I,MATCH($C975,Roster!$B:$B,0))="","",INDEX(Roster!$I:$I,MATCH($C975,Roster!$B:$B,0))&amp;""),"—"))</f>
        <v/>
      </c>
      <c r="K975">
        <f>IF($C975="","",IFERROR(IF(INDEX(Roster!$J:$J,MATCH($C975,Roster!$B:$B,0))="","",INDEX(Roster!$J:$J,MATCH($C975,Roster!$B:$B,0))&amp;""),"—"))</f>
        <v/>
      </c>
      <c r="L975">
        <f>IF($C975="","",IFERROR(IF(INDEX(Roster!$K:$K,MATCH($C975,Roster!$B:$B,0))="","",INDEX(Roster!$K:$K,MATCH($C975,Roster!$B:$B,0))&amp;""),"—"))</f>
        <v/>
      </c>
      <c r="M975" s="27" t="n"/>
      <c r="N975" s="27" t="n"/>
      <c r="O975" s="25">
        <f>IF($C975="","",IF($P975="","—",IF($P975="Valid (Pass)","Valid","Invalid")))</f>
        <v/>
      </c>
      <c r="P975" s="27" t="n"/>
      <c r="Q975" s="27" t="n"/>
      <c r="R975" s="27" t="n"/>
      <c r="S975" s="27" t="n"/>
      <c r="T975" s="25">
        <f>IF($C975="","",IF(OR(ISNUMBER(SEARCH("quick case",$P975)),ISNUMBER(SEARCH("quick case",$Q975))),"Yes","No"))</f>
        <v/>
      </c>
      <c r="U975" s="25">
        <f>IF($O975="Invalid",HYPERLINK("mailto:"&amp;$G975&amp;";"&amp;$I975&amp;"?cc="&amp;Lists!$E$2&amp;"&amp;subject="&amp;_xlfn.ENCODEURL("[INVALID] Quality audit monitoring completed for "&amp;UPPER($C975))&amp;"&amp;body="&amp;_xlfn.ENCODEURL("Hi "&amp;$F975&amp;","&amp;CHAR(10)&amp;"Good day!"&amp;CHAR(10)&amp;CHAR(10)&amp;"A quality monitoring audit has been completed for "&amp;$C975&amp;"."&amp;CHAR(10)&amp;CHAR(10)&amp;"QUALITY AUDIT DETAILS"&amp;CHAR(10)&amp;"Agent Name: "&amp;$C975&amp;" (EID "&amp;$D975&amp;")"&amp;CHAR(10)&amp;"Audit Date: "&amp;TEXT($B975,"yyyy-mm-dd")&amp;CHAR(10)&amp;"Team Leader: "&amp;$F975&amp;CHAR(10)&amp;"Case Number: "&amp;$M975&amp;CHAR(10)&amp;"Transaction ID: "&amp;$N975&amp;CHAR(10)&amp;"Channel / LOB: "&amp;$K975&amp;" / "&amp;$L975&amp;CHAR(10)&amp;"Evaluator: "&amp;$S975&amp;CHAR(10)&amp;CHAR(10)&amp;"INVALID QUALITY AUDIT DETAILS"&amp;CHAR(10)&amp;"Validation: Invalid"&amp;CHAR(10)&amp;"Invalid Reason: "&amp;$P975&amp;CHAR(10)&amp;"Expected Resolution Code: "&amp;$Q975&amp;CHAR(10)&amp;"Remarks: "&amp;LEFT($R975,600)&amp;CHAR(10)&amp;CHAR(10)&amp;"This is an automated notification from HP Mainstream EQMS."),"✉ Open Email Draft"),"")</f>
        <v/>
      </c>
    </row>
    <row r="976">
      <c r="A976" s="25">
        <f>IF($C976="","","AUD-2026-"&amp;TEXT(ROW()-1,"000000"))</f>
        <v/>
      </c>
      <c r="B976" s="26" t="n"/>
      <c r="C976" s="27" t="n"/>
      <c r="D976" s="25">
        <f>IF($C976="","",IFERROR(IF(INDEX(Roster!$A:$A,MATCH($C976,Roster!$B:$B,0))="","",INDEX(Roster!$A:$A,MATCH($C976,Roster!$B:$B,0))&amp;""),"—"))</f>
        <v/>
      </c>
      <c r="E976" s="25">
        <f>IF($C976="","",IFERROR(IF(INDEX(Roster!$C:$C,MATCH($C976,Roster!$B:$B,0))="","",INDEX(Roster!$C:$C,MATCH($C976,Roster!$B:$B,0))&amp;""),"—"))</f>
        <v/>
      </c>
      <c r="F976" s="25">
        <f>IF($C976="","",IFERROR(IF(INDEX(Roster!$D:$D,MATCH($C976,Roster!$B:$B,0))="","",INDEX(Roster!$D:$D,MATCH($C976,Roster!$B:$B,0))&amp;""),"—"))</f>
        <v/>
      </c>
      <c r="G976" s="25">
        <f>IF($C976="","",IFERROR(IF(INDEX(Roster!$E:$E,MATCH($C976,Roster!$B:$B,0))="","",INDEX(Roster!$E:$E,MATCH($C976,Roster!$B:$B,0))&amp;""),"—"))</f>
        <v/>
      </c>
      <c r="H976" s="25">
        <f>IF($C976="","",IFERROR(IF(INDEX(Roster!$F:$F,MATCH($C976,Roster!$B:$B,0))="","",INDEX(Roster!$F:$F,MATCH($C976,Roster!$B:$B,0))&amp;""),"—"))</f>
        <v/>
      </c>
      <c r="I976" s="25">
        <f>IF($C976="","",IFERROR(IF(INDEX(Roster!$G:$G,MATCH($C976,Roster!$B:$B,0))="","",INDEX(Roster!$G:$G,MATCH($C976,Roster!$B:$B,0))&amp;""),"—"))</f>
        <v/>
      </c>
      <c r="J976" s="25">
        <f>IF($C976="","",IFERROR(IF(INDEX(Roster!$I:$I,MATCH($C976,Roster!$B:$B,0))="","",INDEX(Roster!$I:$I,MATCH($C976,Roster!$B:$B,0))&amp;""),"—"))</f>
        <v/>
      </c>
      <c r="K976">
        <f>IF($C976="","",IFERROR(IF(INDEX(Roster!$J:$J,MATCH($C976,Roster!$B:$B,0))="","",INDEX(Roster!$J:$J,MATCH($C976,Roster!$B:$B,0))&amp;""),"—"))</f>
        <v/>
      </c>
      <c r="L976">
        <f>IF($C976="","",IFERROR(IF(INDEX(Roster!$K:$K,MATCH($C976,Roster!$B:$B,0))="","",INDEX(Roster!$K:$K,MATCH($C976,Roster!$B:$B,0))&amp;""),"—"))</f>
        <v/>
      </c>
      <c r="M976" s="27" t="n"/>
      <c r="N976" s="27" t="n"/>
      <c r="O976" s="25">
        <f>IF($C976="","",IF($P976="","—",IF($P976="Valid (Pass)","Valid","Invalid")))</f>
        <v/>
      </c>
      <c r="P976" s="27" t="n"/>
      <c r="Q976" s="27" t="n"/>
      <c r="R976" s="27" t="n"/>
      <c r="S976" s="27" t="n"/>
      <c r="T976" s="25">
        <f>IF($C976="","",IF(OR(ISNUMBER(SEARCH("quick case",$P976)),ISNUMBER(SEARCH("quick case",$Q976))),"Yes","No"))</f>
        <v/>
      </c>
      <c r="U976" s="25">
        <f>IF($O976="Invalid",HYPERLINK("mailto:"&amp;$G976&amp;";"&amp;$I976&amp;"?cc="&amp;Lists!$E$2&amp;"&amp;subject="&amp;_xlfn.ENCODEURL("[INVALID] Quality audit monitoring completed for "&amp;UPPER($C976))&amp;"&amp;body="&amp;_xlfn.ENCODEURL("Hi "&amp;$F976&amp;","&amp;CHAR(10)&amp;"Good day!"&amp;CHAR(10)&amp;CHAR(10)&amp;"A quality monitoring audit has been completed for "&amp;$C976&amp;"."&amp;CHAR(10)&amp;CHAR(10)&amp;"QUALITY AUDIT DETAILS"&amp;CHAR(10)&amp;"Agent Name: "&amp;$C976&amp;" (EID "&amp;$D976&amp;")"&amp;CHAR(10)&amp;"Audit Date: "&amp;TEXT($B976,"yyyy-mm-dd")&amp;CHAR(10)&amp;"Team Leader: "&amp;$F976&amp;CHAR(10)&amp;"Case Number: "&amp;$M976&amp;CHAR(10)&amp;"Transaction ID: "&amp;$N976&amp;CHAR(10)&amp;"Channel / LOB: "&amp;$K976&amp;" / "&amp;$L976&amp;CHAR(10)&amp;"Evaluator: "&amp;$S976&amp;CHAR(10)&amp;CHAR(10)&amp;"INVALID QUALITY AUDIT DETAILS"&amp;CHAR(10)&amp;"Validation: Invalid"&amp;CHAR(10)&amp;"Invalid Reason: "&amp;$P976&amp;CHAR(10)&amp;"Expected Resolution Code: "&amp;$Q976&amp;CHAR(10)&amp;"Remarks: "&amp;LEFT($R976,600)&amp;CHAR(10)&amp;CHAR(10)&amp;"This is an automated notification from HP Mainstream EQMS."),"✉ Open Email Draft"),"")</f>
        <v/>
      </c>
    </row>
    <row r="977">
      <c r="A977" s="25">
        <f>IF($C977="","","AUD-2026-"&amp;TEXT(ROW()-1,"000000"))</f>
        <v/>
      </c>
      <c r="B977" s="26" t="n"/>
      <c r="C977" s="27" t="n"/>
      <c r="D977" s="25">
        <f>IF($C977="","",IFERROR(IF(INDEX(Roster!$A:$A,MATCH($C977,Roster!$B:$B,0))="","",INDEX(Roster!$A:$A,MATCH($C977,Roster!$B:$B,0))&amp;""),"—"))</f>
        <v/>
      </c>
      <c r="E977" s="25">
        <f>IF($C977="","",IFERROR(IF(INDEX(Roster!$C:$C,MATCH($C977,Roster!$B:$B,0))="","",INDEX(Roster!$C:$C,MATCH($C977,Roster!$B:$B,0))&amp;""),"—"))</f>
        <v/>
      </c>
      <c r="F977" s="25">
        <f>IF($C977="","",IFERROR(IF(INDEX(Roster!$D:$D,MATCH($C977,Roster!$B:$B,0))="","",INDEX(Roster!$D:$D,MATCH($C977,Roster!$B:$B,0))&amp;""),"—"))</f>
        <v/>
      </c>
      <c r="G977" s="25">
        <f>IF($C977="","",IFERROR(IF(INDEX(Roster!$E:$E,MATCH($C977,Roster!$B:$B,0))="","",INDEX(Roster!$E:$E,MATCH($C977,Roster!$B:$B,0))&amp;""),"—"))</f>
        <v/>
      </c>
      <c r="H977" s="25">
        <f>IF($C977="","",IFERROR(IF(INDEX(Roster!$F:$F,MATCH($C977,Roster!$B:$B,0))="","",INDEX(Roster!$F:$F,MATCH($C977,Roster!$B:$B,0))&amp;""),"—"))</f>
        <v/>
      </c>
      <c r="I977" s="25">
        <f>IF($C977="","",IFERROR(IF(INDEX(Roster!$G:$G,MATCH($C977,Roster!$B:$B,0))="","",INDEX(Roster!$G:$G,MATCH($C977,Roster!$B:$B,0))&amp;""),"—"))</f>
        <v/>
      </c>
      <c r="J977" s="25">
        <f>IF($C977="","",IFERROR(IF(INDEX(Roster!$I:$I,MATCH($C977,Roster!$B:$B,0))="","",INDEX(Roster!$I:$I,MATCH($C977,Roster!$B:$B,0))&amp;""),"—"))</f>
        <v/>
      </c>
      <c r="K977">
        <f>IF($C977="","",IFERROR(IF(INDEX(Roster!$J:$J,MATCH($C977,Roster!$B:$B,0))="","",INDEX(Roster!$J:$J,MATCH($C977,Roster!$B:$B,0))&amp;""),"—"))</f>
        <v/>
      </c>
      <c r="L977">
        <f>IF($C977="","",IFERROR(IF(INDEX(Roster!$K:$K,MATCH($C977,Roster!$B:$B,0))="","",INDEX(Roster!$K:$K,MATCH($C977,Roster!$B:$B,0))&amp;""),"—"))</f>
        <v/>
      </c>
      <c r="M977" s="27" t="n"/>
      <c r="N977" s="27" t="n"/>
      <c r="O977" s="25">
        <f>IF($C977="","",IF($P977="","—",IF($P977="Valid (Pass)","Valid","Invalid")))</f>
        <v/>
      </c>
      <c r="P977" s="27" t="n"/>
      <c r="Q977" s="27" t="n"/>
      <c r="R977" s="27" t="n"/>
      <c r="S977" s="27" t="n"/>
      <c r="T977" s="25">
        <f>IF($C977="","",IF(OR(ISNUMBER(SEARCH("quick case",$P977)),ISNUMBER(SEARCH("quick case",$Q977))),"Yes","No"))</f>
        <v/>
      </c>
      <c r="U977" s="25">
        <f>IF($O977="Invalid",HYPERLINK("mailto:"&amp;$G977&amp;";"&amp;$I977&amp;"?cc="&amp;Lists!$E$2&amp;"&amp;subject="&amp;_xlfn.ENCODEURL("[INVALID] Quality audit monitoring completed for "&amp;UPPER($C977))&amp;"&amp;body="&amp;_xlfn.ENCODEURL("Hi "&amp;$F977&amp;","&amp;CHAR(10)&amp;"Good day!"&amp;CHAR(10)&amp;CHAR(10)&amp;"A quality monitoring audit has been completed for "&amp;$C977&amp;"."&amp;CHAR(10)&amp;CHAR(10)&amp;"QUALITY AUDIT DETAILS"&amp;CHAR(10)&amp;"Agent Name: "&amp;$C977&amp;" (EID "&amp;$D977&amp;")"&amp;CHAR(10)&amp;"Audit Date: "&amp;TEXT($B977,"yyyy-mm-dd")&amp;CHAR(10)&amp;"Team Leader: "&amp;$F977&amp;CHAR(10)&amp;"Case Number: "&amp;$M977&amp;CHAR(10)&amp;"Transaction ID: "&amp;$N977&amp;CHAR(10)&amp;"Channel / LOB: "&amp;$K977&amp;" / "&amp;$L977&amp;CHAR(10)&amp;"Evaluator: "&amp;$S977&amp;CHAR(10)&amp;CHAR(10)&amp;"INVALID QUALITY AUDIT DETAILS"&amp;CHAR(10)&amp;"Validation: Invalid"&amp;CHAR(10)&amp;"Invalid Reason: "&amp;$P977&amp;CHAR(10)&amp;"Expected Resolution Code: "&amp;$Q977&amp;CHAR(10)&amp;"Remarks: "&amp;LEFT($R977,600)&amp;CHAR(10)&amp;CHAR(10)&amp;"This is an automated notification from HP Mainstream EQMS."),"✉ Open Email Draft"),"")</f>
        <v/>
      </c>
    </row>
    <row r="978">
      <c r="A978" s="25">
        <f>IF($C978="","","AUD-2026-"&amp;TEXT(ROW()-1,"000000"))</f>
        <v/>
      </c>
      <c r="B978" s="26" t="n"/>
      <c r="C978" s="27" t="n"/>
      <c r="D978" s="25">
        <f>IF($C978="","",IFERROR(IF(INDEX(Roster!$A:$A,MATCH($C978,Roster!$B:$B,0))="","",INDEX(Roster!$A:$A,MATCH($C978,Roster!$B:$B,0))&amp;""),"—"))</f>
        <v/>
      </c>
      <c r="E978" s="25">
        <f>IF($C978="","",IFERROR(IF(INDEX(Roster!$C:$C,MATCH($C978,Roster!$B:$B,0))="","",INDEX(Roster!$C:$C,MATCH($C978,Roster!$B:$B,0))&amp;""),"—"))</f>
        <v/>
      </c>
      <c r="F978" s="25">
        <f>IF($C978="","",IFERROR(IF(INDEX(Roster!$D:$D,MATCH($C978,Roster!$B:$B,0))="","",INDEX(Roster!$D:$D,MATCH($C978,Roster!$B:$B,0))&amp;""),"—"))</f>
        <v/>
      </c>
      <c r="G978" s="25">
        <f>IF($C978="","",IFERROR(IF(INDEX(Roster!$E:$E,MATCH($C978,Roster!$B:$B,0))="","",INDEX(Roster!$E:$E,MATCH($C978,Roster!$B:$B,0))&amp;""),"—"))</f>
        <v/>
      </c>
      <c r="H978" s="25">
        <f>IF($C978="","",IFERROR(IF(INDEX(Roster!$F:$F,MATCH($C978,Roster!$B:$B,0))="","",INDEX(Roster!$F:$F,MATCH($C978,Roster!$B:$B,0))&amp;""),"—"))</f>
        <v/>
      </c>
      <c r="I978" s="25">
        <f>IF($C978="","",IFERROR(IF(INDEX(Roster!$G:$G,MATCH($C978,Roster!$B:$B,0))="","",INDEX(Roster!$G:$G,MATCH($C978,Roster!$B:$B,0))&amp;""),"—"))</f>
        <v/>
      </c>
      <c r="J978" s="25">
        <f>IF($C978="","",IFERROR(IF(INDEX(Roster!$I:$I,MATCH($C978,Roster!$B:$B,0))="","",INDEX(Roster!$I:$I,MATCH($C978,Roster!$B:$B,0))&amp;""),"—"))</f>
        <v/>
      </c>
      <c r="K978">
        <f>IF($C978="","",IFERROR(IF(INDEX(Roster!$J:$J,MATCH($C978,Roster!$B:$B,0))="","",INDEX(Roster!$J:$J,MATCH($C978,Roster!$B:$B,0))&amp;""),"—"))</f>
        <v/>
      </c>
      <c r="L978">
        <f>IF($C978="","",IFERROR(IF(INDEX(Roster!$K:$K,MATCH($C978,Roster!$B:$B,0))="","",INDEX(Roster!$K:$K,MATCH($C978,Roster!$B:$B,0))&amp;""),"—"))</f>
        <v/>
      </c>
      <c r="M978" s="27" t="n"/>
      <c r="N978" s="27" t="n"/>
      <c r="O978" s="25">
        <f>IF($C978="","",IF($P978="","—",IF($P978="Valid (Pass)","Valid","Invalid")))</f>
        <v/>
      </c>
      <c r="P978" s="27" t="n"/>
      <c r="Q978" s="27" t="n"/>
      <c r="R978" s="27" t="n"/>
      <c r="S978" s="27" t="n"/>
      <c r="T978" s="25">
        <f>IF($C978="","",IF(OR(ISNUMBER(SEARCH("quick case",$P978)),ISNUMBER(SEARCH("quick case",$Q978))),"Yes","No"))</f>
        <v/>
      </c>
      <c r="U978" s="25">
        <f>IF($O978="Invalid",HYPERLINK("mailto:"&amp;$G978&amp;";"&amp;$I978&amp;"?cc="&amp;Lists!$E$2&amp;"&amp;subject="&amp;_xlfn.ENCODEURL("[INVALID] Quality audit monitoring completed for "&amp;UPPER($C978))&amp;"&amp;body="&amp;_xlfn.ENCODEURL("Hi "&amp;$F978&amp;","&amp;CHAR(10)&amp;"Good day!"&amp;CHAR(10)&amp;CHAR(10)&amp;"A quality monitoring audit has been completed for "&amp;$C978&amp;"."&amp;CHAR(10)&amp;CHAR(10)&amp;"QUALITY AUDIT DETAILS"&amp;CHAR(10)&amp;"Agent Name: "&amp;$C978&amp;" (EID "&amp;$D978&amp;")"&amp;CHAR(10)&amp;"Audit Date: "&amp;TEXT($B978,"yyyy-mm-dd")&amp;CHAR(10)&amp;"Team Leader: "&amp;$F978&amp;CHAR(10)&amp;"Case Number: "&amp;$M978&amp;CHAR(10)&amp;"Transaction ID: "&amp;$N978&amp;CHAR(10)&amp;"Channel / LOB: "&amp;$K978&amp;" / "&amp;$L978&amp;CHAR(10)&amp;"Evaluator: "&amp;$S978&amp;CHAR(10)&amp;CHAR(10)&amp;"INVALID QUALITY AUDIT DETAILS"&amp;CHAR(10)&amp;"Validation: Invalid"&amp;CHAR(10)&amp;"Invalid Reason: "&amp;$P978&amp;CHAR(10)&amp;"Expected Resolution Code: "&amp;$Q978&amp;CHAR(10)&amp;"Remarks: "&amp;LEFT($R978,600)&amp;CHAR(10)&amp;CHAR(10)&amp;"This is an automated notification from HP Mainstream EQMS."),"✉ Open Email Draft"),"")</f>
        <v/>
      </c>
    </row>
    <row r="979">
      <c r="A979" s="25">
        <f>IF($C979="","","AUD-2026-"&amp;TEXT(ROW()-1,"000000"))</f>
        <v/>
      </c>
      <c r="B979" s="26" t="n"/>
      <c r="C979" s="27" t="n"/>
      <c r="D979" s="25">
        <f>IF($C979="","",IFERROR(IF(INDEX(Roster!$A:$A,MATCH($C979,Roster!$B:$B,0))="","",INDEX(Roster!$A:$A,MATCH($C979,Roster!$B:$B,0))&amp;""),"—"))</f>
        <v/>
      </c>
      <c r="E979" s="25">
        <f>IF($C979="","",IFERROR(IF(INDEX(Roster!$C:$C,MATCH($C979,Roster!$B:$B,0))="","",INDEX(Roster!$C:$C,MATCH($C979,Roster!$B:$B,0))&amp;""),"—"))</f>
        <v/>
      </c>
      <c r="F979" s="25">
        <f>IF($C979="","",IFERROR(IF(INDEX(Roster!$D:$D,MATCH($C979,Roster!$B:$B,0))="","",INDEX(Roster!$D:$D,MATCH($C979,Roster!$B:$B,0))&amp;""),"—"))</f>
        <v/>
      </c>
      <c r="G979" s="25">
        <f>IF($C979="","",IFERROR(IF(INDEX(Roster!$E:$E,MATCH($C979,Roster!$B:$B,0))="","",INDEX(Roster!$E:$E,MATCH($C979,Roster!$B:$B,0))&amp;""),"—"))</f>
        <v/>
      </c>
      <c r="H979" s="25">
        <f>IF($C979="","",IFERROR(IF(INDEX(Roster!$F:$F,MATCH($C979,Roster!$B:$B,0))="","",INDEX(Roster!$F:$F,MATCH($C979,Roster!$B:$B,0))&amp;""),"—"))</f>
        <v/>
      </c>
      <c r="I979" s="25">
        <f>IF($C979="","",IFERROR(IF(INDEX(Roster!$G:$G,MATCH($C979,Roster!$B:$B,0))="","",INDEX(Roster!$G:$G,MATCH($C979,Roster!$B:$B,0))&amp;""),"—"))</f>
        <v/>
      </c>
      <c r="J979" s="25">
        <f>IF($C979="","",IFERROR(IF(INDEX(Roster!$I:$I,MATCH($C979,Roster!$B:$B,0))="","",INDEX(Roster!$I:$I,MATCH($C979,Roster!$B:$B,0))&amp;""),"—"))</f>
        <v/>
      </c>
      <c r="K979">
        <f>IF($C979="","",IFERROR(IF(INDEX(Roster!$J:$J,MATCH($C979,Roster!$B:$B,0))="","",INDEX(Roster!$J:$J,MATCH($C979,Roster!$B:$B,0))&amp;""),"—"))</f>
        <v/>
      </c>
      <c r="L979">
        <f>IF($C979="","",IFERROR(IF(INDEX(Roster!$K:$K,MATCH($C979,Roster!$B:$B,0))="","",INDEX(Roster!$K:$K,MATCH($C979,Roster!$B:$B,0))&amp;""),"—"))</f>
        <v/>
      </c>
      <c r="M979" s="27" t="n"/>
      <c r="N979" s="27" t="n"/>
      <c r="O979" s="25">
        <f>IF($C979="","",IF($P979="","—",IF($P979="Valid (Pass)","Valid","Invalid")))</f>
        <v/>
      </c>
      <c r="P979" s="27" t="n"/>
      <c r="Q979" s="27" t="n"/>
      <c r="R979" s="27" t="n"/>
      <c r="S979" s="27" t="n"/>
      <c r="T979" s="25">
        <f>IF($C979="","",IF(OR(ISNUMBER(SEARCH("quick case",$P979)),ISNUMBER(SEARCH("quick case",$Q979))),"Yes","No"))</f>
        <v/>
      </c>
      <c r="U979" s="25">
        <f>IF($O979="Invalid",HYPERLINK("mailto:"&amp;$G979&amp;";"&amp;$I979&amp;"?cc="&amp;Lists!$E$2&amp;"&amp;subject="&amp;_xlfn.ENCODEURL("[INVALID] Quality audit monitoring completed for "&amp;UPPER($C979))&amp;"&amp;body="&amp;_xlfn.ENCODEURL("Hi "&amp;$F979&amp;","&amp;CHAR(10)&amp;"Good day!"&amp;CHAR(10)&amp;CHAR(10)&amp;"A quality monitoring audit has been completed for "&amp;$C979&amp;"."&amp;CHAR(10)&amp;CHAR(10)&amp;"QUALITY AUDIT DETAILS"&amp;CHAR(10)&amp;"Agent Name: "&amp;$C979&amp;" (EID "&amp;$D979&amp;")"&amp;CHAR(10)&amp;"Audit Date: "&amp;TEXT($B979,"yyyy-mm-dd")&amp;CHAR(10)&amp;"Team Leader: "&amp;$F979&amp;CHAR(10)&amp;"Case Number: "&amp;$M979&amp;CHAR(10)&amp;"Transaction ID: "&amp;$N979&amp;CHAR(10)&amp;"Channel / LOB: "&amp;$K979&amp;" / "&amp;$L979&amp;CHAR(10)&amp;"Evaluator: "&amp;$S979&amp;CHAR(10)&amp;CHAR(10)&amp;"INVALID QUALITY AUDIT DETAILS"&amp;CHAR(10)&amp;"Validation: Invalid"&amp;CHAR(10)&amp;"Invalid Reason: "&amp;$P979&amp;CHAR(10)&amp;"Expected Resolution Code: "&amp;$Q979&amp;CHAR(10)&amp;"Remarks: "&amp;LEFT($R979,600)&amp;CHAR(10)&amp;CHAR(10)&amp;"This is an automated notification from HP Mainstream EQMS."),"✉ Open Email Draft"),"")</f>
        <v/>
      </c>
    </row>
    <row r="980">
      <c r="A980" s="25">
        <f>IF($C980="","","AUD-2026-"&amp;TEXT(ROW()-1,"000000"))</f>
        <v/>
      </c>
      <c r="B980" s="26" t="n"/>
      <c r="C980" s="27" t="n"/>
      <c r="D980" s="25">
        <f>IF($C980="","",IFERROR(IF(INDEX(Roster!$A:$A,MATCH($C980,Roster!$B:$B,0))="","",INDEX(Roster!$A:$A,MATCH($C980,Roster!$B:$B,0))&amp;""),"—"))</f>
        <v/>
      </c>
      <c r="E980" s="25">
        <f>IF($C980="","",IFERROR(IF(INDEX(Roster!$C:$C,MATCH($C980,Roster!$B:$B,0))="","",INDEX(Roster!$C:$C,MATCH($C980,Roster!$B:$B,0))&amp;""),"—"))</f>
        <v/>
      </c>
      <c r="F980" s="25">
        <f>IF($C980="","",IFERROR(IF(INDEX(Roster!$D:$D,MATCH($C980,Roster!$B:$B,0))="","",INDEX(Roster!$D:$D,MATCH($C980,Roster!$B:$B,0))&amp;""),"—"))</f>
        <v/>
      </c>
      <c r="G980" s="25">
        <f>IF($C980="","",IFERROR(IF(INDEX(Roster!$E:$E,MATCH($C980,Roster!$B:$B,0))="","",INDEX(Roster!$E:$E,MATCH($C980,Roster!$B:$B,0))&amp;""),"—"))</f>
        <v/>
      </c>
      <c r="H980" s="25">
        <f>IF($C980="","",IFERROR(IF(INDEX(Roster!$F:$F,MATCH($C980,Roster!$B:$B,0))="","",INDEX(Roster!$F:$F,MATCH($C980,Roster!$B:$B,0))&amp;""),"—"))</f>
        <v/>
      </c>
      <c r="I980" s="25">
        <f>IF($C980="","",IFERROR(IF(INDEX(Roster!$G:$G,MATCH($C980,Roster!$B:$B,0))="","",INDEX(Roster!$G:$G,MATCH($C980,Roster!$B:$B,0))&amp;""),"—"))</f>
        <v/>
      </c>
      <c r="J980" s="25">
        <f>IF($C980="","",IFERROR(IF(INDEX(Roster!$I:$I,MATCH($C980,Roster!$B:$B,0))="","",INDEX(Roster!$I:$I,MATCH($C980,Roster!$B:$B,0))&amp;""),"—"))</f>
        <v/>
      </c>
      <c r="K980">
        <f>IF($C980="","",IFERROR(IF(INDEX(Roster!$J:$J,MATCH($C980,Roster!$B:$B,0))="","",INDEX(Roster!$J:$J,MATCH($C980,Roster!$B:$B,0))&amp;""),"—"))</f>
        <v/>
      </c>
      <c r="L980">
        <f>IF($C980="","",IFERROR(IF(INDEX(Roster!$K:$K,MATCH($C980,Roster!$B:$B,0))="","",INDEX(Roster!$K:$K,MATCH($C980,Roster!$B:$B,0))&amp;""),"—"))</f>
        <v/>
      </c>
      <c r="M980" s="27" t="n"/>
      <c r="N980" s="27" t="n"/>
      <c r="O980" s="25">
        <f>IF($C980="","",IF($P980="","—",IF($P980="Valid (Pass)","Valid","Invalid")))</f>
        <v/>
      </c>
      <c r="P980" s="27" t="n"/>
      <c r="Q980" s="27" t="n"/>
      <c r="R980" s="27" t="n"/>
      <c r="S980" s="27" t="n"/>
      <c r="T980" s="25">
        <f>IF($C980="","",IF(OR(ISNUMBER(SEARCH("quick case",$P980)),ISNUMBER(SEARCH("quick case",$Q980))),"Yes","No"))</f>
        <v/>
      </c>
      <c r="U980" s="25">
        <f>IF($O980="Invalid",HYPERLINK("mailto:"&amp;$G980&amp;";"&amp;$I980&amp;"?cc="&amp;Lists!$E$2&amp;"&amp;subject="&amp;_xlfn.ENCODEURL("[INVALID] Quality audit monitoring completed for "&amp;UPPER($C980))&amp;"&amp;body="&amp;_xlfn.ENCODEURL("Hi "&amp;$F980&amp;","&amp;CHAR(10)&amp;"Good day!"&amp;CHAR(10)&amp;CHAR(10)&amp;"A quality monitoring audit has been completed for "&amp;$C980&amp;"."&amp;CHAR(10)&amp;CHAR(10)&amp;"QUALITY AUDIT DETAILS"&amp;CHAR(10)&amp;"Agent Name: "&amp;$C980&amp;" (EID "&amp;$D980&amp;")"&amp;CHAR(10)&amp;"Audit Date: "&amp;TEXT($B980,"yyyy-mm-dd")&amp;CHAR(10)&amp;"Team Leader: "&amp;$F980&amp;CHAR(10)&amp;"Case Number: "&amp;$M980&amp;CHAR(10)&amp;"Transaction ID: "&amp;$N980&amp;CHAR(10)&amp;"Channel / LOB: "&amp;$K980&amp;" / "&amp;$L980&amp;CHAR(10)&amp;"Evaluator: "&amp;$S980&amp;CHAR(10)&amp;CHAR(10)&amp;"INVALID QUALITY AUDIT DETAILS"&amp;CHAR(10)&amp;"Validation: Invalid"&amp;CHAR(10)&amp;"Invalid Reason: "&amp;$P980&amp;CHAR(10)&amp;"Expected Resolution Code: "&amp;$Q980&amp;CHAR(10)&amp;"Remarks: "&amp;LEFT($R980,600)&amp;CHAR(10)&amp;CHAR(10)&amp;"This is an automated notification from HP Mainstream EQMS."),"✉ Open Email Draft"),"")</f>
        <v/>
      </c>
    </row>
    <row r="981">
      <c r="A981" s="25">
        <f>IF($C981="","","AUD-2026-"&amp;TEXT(ROW()-1,"000000"))</f>
        <v/>
      </c>
      <c r="B981" s="26" t="n"/>
      <c r="C981" s="27" t="n"/>
      <c r="D981" s="25">
        <f>IF($C981="","",IFERROR(IF(INDEX(Roster!$A:$A,MATCH($C981,Roster!$B:$B,0))="","",INDEX(Roster!$A:$A,MATCH($C981,Roster!$B:$B,0))&amp;""),"—"))</f>
        <v/>
      </c>
      <c r="E981" s="25">
        <f>IF($C981="","",IFERROR(IF(INDEX(Roster!$C:$C,MATCH($C981,Roster!$B:$B,0))="","",INDEX(Roster!$C:$C,MATCH($C981,Roster!$B:$B,0))&amp;""),"—"))</f>
        <v/>
      </c>
      <c r="F981" s="25">
        <f>IF($C981="","",IFERROR(IF(INDEX(Roster!$D:$D,MATCH($C981,Roster!$B:$B,0))="","",INDEX(Roster!$D:$D,MATCH($C981,Roster!$B:$B,0))&amp;""),"—"))</f>
        <v/>
      </c>
      <c r="G981" s="25">
        <f>IF($C981="","",IFERROR(IF(INDEX(Roster!$E:$E,MATCH($C981,Roster!$B:$B,0))="","",INDEX(Roster!$E:$E,MATCH($C981,Roster!$B:$B,0))&amp;""),"—"))</f>
        <v/>
      </c>
      <c r="H981" s="25">
        <f>IF($C981="","",IFERROR(IF(INDEX(Roster!$F:$F,MATCH($C981,Roster!$B:$B,0))="","",INDEX(Roster!$F:$F,MATCH($C981,Roster!$B:$B,0))&amp;""),"—"))</f>
        <v/>
      </c>
      <c r="I981" s="25">
        <f>IF($C981="","",IFERROR(IF(INDEX(Roster!$G:$G,MATCH($C981,Roster!$B:$B,0))="","",INDEX(Roster!$G:$G,MATCH($C981,Roster!$B:$B,0))&amp;""),"—"))</f>
        <v/>
      </c>
      <c r="J981" s="25">
        <f>IF($C981="","",IFERROR(IF(INDEX(Roster!$I:$I,MATCH($C981,Roster!$B:$B,0))="","",INDEX(Roster!$I:$I,MATCH($C981,Roster!$B:$B,0))&amp;""),"—"))</f>
        <v/>
      </c>
      <c r="K981">
        <f>IF($C981="","",IFERROR(IF(INDEX(Roster!$J:$J,MATCH($C981,Roster!$B:$B,0))="","",INDEX(Roster!$J:$J,MATCH($C981,Roster!$B:$B,0))&amp;""),"—"))</f>
        <v/>
      </c>
      <c r="L981">
        <f>IF($C981="","",IFERROR(IF(INDEX(Roster!$K:$K,MATCH($C981,Roster!$B:$B,0))="","",INDEX(Roster!$K:$K,MATCH($C981,Roster!$B:$B,0))&amp;""),"—"))</f>
        <v/>
      </c>
      <c r="M981" s="27" t="n"/>
      <c r="N981" s="27" t="n"/>
      <c r="O981" s="25">
        <f>IF($C981="","",IF($P981="","—",IF($P981="Valid (Pass)","Valid","Invalid")))</f>
        <v/>
      </c>
      <c r="P981" s="27" t="n"/>
      <c r="Q981" s="27" t="n"/>
      <c r="R981" s="27" t="n"/>
      <c r="S981" s="27" t="n"/>
      <c r="T981" s="25">
        <f>IF($C981="","",IF(OR(ISNUMBER(SEARCH("quick case",$P981)),ISNUMBER(SEARCH("quick case",$Q981))),"Yes","No"))</f>
        <v/>
      </c>
      <c r="U981" s="25">
        <f>IF($O981="Invalid",HYPERLINK("mailto:"&amp;$G981&amp;";"&amp;$I981&amp;"?cc="&amp;Lists!$E$2&amp;"&amp;subject="&amp;_xlfn.ENCODEURL("[INVALID] Quality audit monitoring completed for "&amp;UPPER($C981))&amp;"&amp;body="&amp;_xlfn.ENCODEURL("Hi "&amp;$F981&amp;","&amp;CHAR(10)&amp;"Good day!"&amp;CHAR(10)&amp;CHAR(10)&amp;"A quality monitoring audit has been completed for "&amp;$C981&amp;"."&amp;CHAR(10)&amp;CHAR(10)&amp;"QUALITY AUDIT DETAILS"&amp;CHAR(10)&amp;"Agent Name: "&amp;$C981&amp;" (EID "&amp;$D981&amp;")"&amp;CHAR(10)&amp;"Audit Date: "&amp;TEXT($B981,"yyyy-mm-dd")&amp;CHAR(10)&amp;"Team Leader: "&amp;$F981&amp;CHAR(10)&amp;"Case Number: "&amp;$M981&amp;CHAR(10)&amp;"Transaction ID: "&amp;$N981&amp;CHAR(10)&amp;"Channel / LOB: "&amp;$K981&amp;" / "&amp;$L981&amp;CHAR(10)&amp;"Evaluator: "&amp;$S981&amp;CHAR(10)&amp;CHAR(10)&amp;"INVALID QUALITY AUDIT DETAILS"&amp;CHAR(10)&amp;"Validation: Invalid"&amp;CHAR(10)&amp;"Invalid Reason: "&amp;$P981&amp;CHAR(10)&amp;"Expected Resolution Code: "&amp;$Q981&amp;CHAR(10)&amp;"Remarks: "&amp;LEFT($R981,600)&amp;CHAR(10)&amp;CHAR(10)&amp;"This is an automated notification from HP Mainstream EQMS."),"✉ Open Email Draft"),"")</f>
        <v/>
      </c>
    </row>
    <row r="982">
      <c r="A982" s="25">
        <f>IF($C982="","","AUD-2026-"&amp;TEXT(ROW()-1,"000000"))</f>
        <v/>
      </c>
      <c r="B982" s="26" t="n"/>
      <c r="C982" s="27" t="n"/>
      <c r="D982" s="25">
        <f>IF($C982="","",IFERROR(IF(INDEX(Roster!$A:$A,MATCH($C982,Roster!$B:$B,0))="","",INDEX(Roster!$A:$A,MATCH($C982,Roster!$B:$B,0))&amp;""),"—"))</f>
        <v/>
      </c>
      <c r="E982" s="25">
        <f>IF($C982="","",IFERROR(IF(INDEX(Roster!$C:$C,MATCH($C982,Roster!$B:$B,0))="","",INDEX(Roster!$C:$C,MATCH($C982,Roster!$B:$B,0))&amp;""),"—"))</f>
        <v/>
      </c>
      <c r="F982" s="25">
        <f>IF($C982="","",IFERROR(IF(INDEX(Roster!$D:$D,MATCH($C982,Roster!$B:$B,0))="","",INDEX(Roster!$D:$D,MATCH($C982,Roster!$B:$B,0))&amp;""),"—"))</f>
        <v/>
      </c>
      <c r="G982" s="25">
        <f>IF($C982="","",IFERROR(IF(INDEX(Roster!$E:$E,MATCH($C982,Roster!$B:$B,0))="","",INDEX(Roster!$E:$E,MATCH($C982,Roster!$B:$B,0))&amp;""),"—"))</f>
        <v/>
      </c>
      <c r="H982" s="25">
        <f>IF($C982="","",IFERROR(IF(INDEX(Roster!$F:$F,MATCH($C982,Roster!$B:$B,0))="","",INDEX(Roster!$F:$F,MATCH($C982,Roster!$B:$B,0))&amp;""),"—"))</f>
        <v/>
      </c>
      <c r="I982" s="25">
        <f>IF($C982="","",IFERROR(IF(INDEX(Roster!$G:$G,MATCH($C982,Roster!$B:$B,0))="","",INDEX(Roster!$G:$G,MATCH($C982,Roster!$B:$B,0))&amp;""),"—"))</f>
        <v/>
      </c>
      <c r="J982" s="25">
        <f>IF($C982="","",IFERROR(IF(INDEX(Roster!$I:$I,MATCH($C982,Roster!$B:$B,0))="","",INDEX(Roster!$I:$I,MATCH($C982,Roster!$B:$B,0))&amp;""),"—"))</f>
        <v/>
      </c>
      <c r="K982">
        <f>IF($C982="","",IFERROR(IF(INDEX(Roster!$J:$J,MATCH($C982,Roster!$B:$B,0))="","",INDEX(Roster!$J:$J,MATCH($C982,Roster!$B:$B,0))&amp;""),"—"))</f>
        <v/>
      </c>
      <c r="L982">
        <f>IF($C982="","",IFERROR(IF(INDEX(Roster!$K:$K,MATCH($C982,Roster!$B:$B,0))="","",INDEX(Roster!$K:$K,MATCH($C982,Roster!$B:$B,0))&amp;""),"—"))</f>
        <v/>
      </c>
      <c r="M982" s="27" t="n"/>
      <c r="N982" s="27" t="n"/>
      <c r="O982" s="25">
        <f>IF($C982="","",IF($P982="","—",IF($P982="Valid (Pass)","Valid","Invalid")))</f>
        <v/>
      </c>
      <c r="P982" s="27" t="n"/>
      <c r="Q982" s="27" t="n"/>
      <c r="R982" s="27" t="n"/>
      <c r="S982" s="27" t="n"/>
      <c r="T982" s="25">
        <f>IF($C982="","",IF(OR(ISNUMBER(SEARCH("quick case",$P982)),ISNUMBER(SEARCH("quick case",$Q982))),"Yes","No"))</f>
        <v/>
      </c>
      <c r="U982" s="25">
        <f>IF($O982="Invalid",HYPERLINK("mailto:"&amp;$G982&amp;";"&amp;$I982&amp;"?cc="&amp;Lists!$E$2&amp;"&amp;subject="&amp;_xlfn.ENCODEURL("[INVALID] Quality audit monitoring completed for "&amp;UPPER($C982))&amp;"&amp;body="&amp;_xlfn.ENCODEURL("Hi "&amp;$F982&amp;","&amp;CHAR(10)&amp;"Good day!"&amp;CHAR(10)&amp;CHAR(10)&amp;"A quality monitoring audit has been completed for "&amp;$C982&amp;"."&amp;CHAR(10)&amp;CHAR(10)&amp;"QUALITY AUDIT DETAILS"&amp;CHAR(10)&amp;"Agent Name: "&amp;$C982&amp;" (EID "&amp;$D982&amp;")"&amp;CHAR(10)&amp;"Audit Date: "&amp;TEXT($B982,"yyyy-mm-dd")&amp;CHAR(10)&amp;"Team Leader: "&amp;$F982&amp;CHAR(10)&amp;"Case Number: "&amp;$M982&amp;CHAR(10)&amp;"Transaction ID: "&amp;$N982&amp;CHAR(10)&amp;"Channel / LOB: "&amp;$K982&amp;" / "&amp;$L982&amp;CHAR(10)&amp;"Evaluator: "&amp;$S982&amp;CHAR(10)&amp;CHAR(10)&amp;"INVALID QUALITY AUDIT DETAILS"&amp;CHAR(10)&amp;"Validation: Invalid"&amp;CHAR(10)&amp;"Invalid Reason: "&amp;$P982&amp;CHAR(10)&amp;"Expected Resolution Code: "&amp;$Q982&amp;CHAR(10)&amp;"Remarks: "&amp;LEFT($R982,600)&amp;CHAR(10)&amp;CHAR(10)&amp;"This is an automated notification from HP Mainstream EQMS."),"✉ Open Email Draft"),"")</f>
        <v/>
      </c>
    </row>
    <row r="983">
      <c r="A983" s="25">
        <f>IF($C983="","","AUD-2026-"&amp;TEXT(ROW()-1,"000000"))</f>
        <v/>
      </c>
      <c r="B983" s="26" t="n"/>
      <c r="C983" s="27" t="n"/>
      <c r="D983" s="25">
        <f>IF($C983="","",IFERROR(IF(INDEX(Roster!$A:$A,MATCH($C983,Roster!$B:$B,0))="","",INDEX(Roster!$A:$A,MATCH($C983,Roster!$B:$B,0))&amp;""),"—"))</f>
        <v/>
      </c>
      <c r="E983" s="25">
        <f>IF($C983="","",IFERROR(IF(INDEX(Roster!$C:$C,MATCH($C983,Roster!$B:$B,0))="","",INDEX(Roster!$C:$C,MATCH($C983,Roster!$B:$B,0))&amp;""),"—"))</f>
        <v/>
      </c>
      <c r="F983" s="25">
        <f>IF($C983="","",IFERROR(IF(INDEX(Roster!$D:$D,MATCH($C983,Roster!$B:$B,0))="","",INDEX(Roster!$D:$D,MATCH($C983,Roster!$B:$B,0))&amp;""),"—"))</f>
        <v/>
      </c>
      <c r="G983" s="25">
        <f>IF($C983="","",IFERROR(IF(INDEX(Roster!$E:$E,MATCH($C983,Roster!$B:$B,0))="","",INDEX(Roster!$E:$E,MATCH($C983,Roster!$B:$B,0))&amp;""),"—"))</f>
        <v/>
      </c>
      <c r="H983" s="25">
        <f>IF($C983="","",IFERROR(IF(INDEX(Roster!$F:$F,MATCH($C983,Roster!$B:$B,0))="","",INDEX(Roster!$F:$F,MATCH($C983,Roster!$B:$B,0))&amp;""),"—"))</f>
        <v/>
      </c>
      <c r="I983" s="25">
        <f>IF($C983="","",IFERROR(IF(INDEX(Roster!$G:$G,MATCH($C983,Roster!$B:$B,0))="","",INDEX(Roster!$G:$G,MATCH($C983,Roster!$B:$B,0))&amp;""),"—"))</f>
        <v/>
      </c>
      <c r="J983" s="25">
        <f>IF($C983="","",IFERROR(IF(INDEX(Roster!$I:$I,MATCH($C983,Roster!$B:$B,0))="","",INDEX(Roster!$I:$I,MATCH($C983,Roster!$B:$B,0))&amp;""),"—"))</f>
        <v/>
      </c>
      <c r="K983">
        <f>IF($C983="","",IFERROR(IF(INDEX(Roster!$J:$J,MATCH($C983,Roster!$B:$B,0))="","",INDEX(Roster!$J:$J,MATCH($C983,Roster!$B:$B,0))&amp;""),"—"))</f>
        <v/>
      </c>
      <c r="L983">
        <f>IF($C983="","",IFERROR(IF(INDEX(Roster!$K:$K,MATCH($C983,Roster!$B:$B,0))="","",INDEX(Roster!$K:$K,MATCH($C983,Roster!$B:$B,0))&amp;""),"—"))</f>
        <v/>
      </c>
      <c r="M983" s="27" t="n"/>
      <c r="N983" s="27" t="n"/>
      <c r="O983" s="25">
        <f>IF($C983="","",IF($P983="","—",IF($P983="Valid (Pass)","Valid","Invalid")))</f>
        <v/>
      </c>
      <c r="P983" s="27" t="n"/>
      <c r="Q983" s="27" t="n"/>
      <c r="R983" s="27" t="n"/>
      <c r="S983" s="27" t="n"/>
      <c r="T983" s="25">
        <f>IF($C983="","",IF(OR(ISNUMBER(SEARCH("quick case",$P983)),ISNUMBER(SEARCH("quick case",$Q983))),"Yes","No"))</f>
        <v/>
      </c>
      <c r="U983" s="25">
        <f>IF($O983="Invalid",HYPERLINK("mailto:"&amp;$G983&amp;";"&amp;$I983&amp;"?cc="&amp;Lists!$E$2&amp;"&amp;subject="&amp;_xlfn.ENCODEURL("[INVALID] Quality audit monitoring completed for "&amp;UPPER($C983))&amp;"&amp;body="&amp;_xlfn.ENCODEURL("Hi "&amp;$F983&amp;","&amp;CHAR(10)&amp;"Good day!"&amp;CHAR(10)&amp;CHAR(10)&amp;"A quality monitoring audit has been completed for "&amp;$C983&amp;"."&amp;CHAR(10)&amp;CHAR(10)&amp;"QUALITY AUDIT DETAILS"&amp;CHAR(10)&amp;"Agent Name: "&amp;$C983&amp;" (EID "&amp;$D983&amp;")"&amp;CHAR(10)&amp;"Audit Date: "&amp;TEXT($B983,"yyyy-mm-dd")&amp;CHAR(10)&amp;"Team Leader: "&amp;$F983&amp;CHAR(10)&amp;"Case Number: "&amp;$M983&amp;CHAR(10)&amp;"Transaction ID: "&amp;$N983&amp;CHAR(10)&amp;"Channel / LOB: "&amp;$K983&amp;" / "&amp;$L983&amp;CHAR(10)&amp;"Evaluator: "&amp;$S983&amp;CHAR(10)&amp;CHAR(10)&amp;"INVALID QUALITY AUDIT DETAILS"&amp;CHAR(10)&amp;"Validation: Invalid"&amp;CHAR(10)&amp;"Invalid Reason: "&amp;$P983&amp;CHAR(10)&amp;"Expected Resolution Code: "&amp;$Q983&amp;CHAR(10)&amp;"Remarks: "&amp;LEFT($R983,600)&amp;CHAR(10)&amp;CHAR(10)&amp;"This is an automated notification from HP Mainstream EQMS."),"✉ Open Email Draft"),"")</f>
        <v/>
      </c>
    </row>
    <row r="984">
      <c r="A984" s="25">
        <f>IF($C984="","","AUD-2026-"&amp;TEXT(ROW()-1,"000000"))</f>
        <v/>
      </c>
      <c r="B984" s="26" t="n"/>
      <c r="C984" s="27" t="n"/>
      <c r="D984" s="25">
        <f>IF($C984="","",IFERROR(IF(INDEX(Roster!$A:$A,MATCH($C984,Roster!$B:$B,0))="","",INDEX(Roster!$A:$A,MATCH($C984,Roster!$B:$B,0))&amp;""),"—"))</f>
        <v/>
      </c>
      <c r="E984" s="25">
        <f>IF($C984="","",IFERROR(IF(INDEX(Roster!$C:$C,MATCH($C984,Roster!$B:$B,0))="","",INDEX(Roster!$C:$C,MATCH($C984,Roster!$B:$B,0))&amp;""),"—"))</f>
        <v/>
      </c>
      <c r="F984" s="25">
        <f>IF($C984="","",IFERROR(IF(INDEX(Roster!$D:$D,MATCH($C984,Roster!$B:$B,0))="","",INDEX(Roster!$D:$D,MATCH($C984,Roster!$B:$B,0))&amp;""),"—"))</f>
        <v/>
      </c>
      <c r="G984" s="25">
        <f>IF($C984="","",IFERROR(IF(INDEX(Roster!$E:$E,MATCH($C984,Roster!$B:$B,0))="","",INDEX(Roster!$E:$E,MATCH($C984,Roster!$B:$B,0))&amp;""),"—"))</f>
        <v/>
      </c>
      <c r="H984" s="25">
        <f>IF($C984="","",IFERROR(IF(INDEX(Roster!$F:$F,MATCH($C984,Roster!$B:$B,0))="","",INDEX(Roster!$F:$F,MATCH($C984,Roster!$B:$B,0))&amp;""),"—"))</f>
        <v/>
      </c>
      <c r="I984" s="25">
        <f>IF($C984="","",IFERROR(IF(INDEX(Roster!$G:$G,MATCH($C984,Roster!$B:$B,0))="","",INDEX(Roster!$G:$G,MATCH($C984,Roster!$B:$B,0))&amp;""),"—"))</f>
        <v/>
      </c>
      <c r="J984" s="25">
        <f>IF($C984="","",IFERROR(IF(INDEX(Roster!$I:$I,MATCH($C984,Roster!$B:$B,0))="","",INDEX(Roster!$I:$I,MATCH($C984,Roster!$B:$B,0))&amp;""),"—"))</f>
        <v/>
      </c>
      <c r="K984">
        <f>IF($C984="","",IFERROR(IF(INDEX(Roster!$J:$J,MATCH($C984,Roster!$B:$B,0))="","",INDEX(Roster!$J:$J,MATCH($C984,Roster!$B:$B,0))&amp;""),"—"))</f>
        <v/>
      </c>
      <c r="L984">
        <f>IF($C984="","",IFERROR(IF(INDEX(Roster!$K:$K,MATCH($C984,Roster!$B:$B,0))="","",INDEX(Roster!$K:$K,MATCH($C984,Roster!$B:$B,0))&amp;""),"—"))</f>
        <v/>
      </c>
      <c r="M984" s="27" t="n"/>
      <c r="N984" s="27" t="n"/>
      <c r="O984" s="25">
        <f>IF($C984="","",IF($P984="","—",IF($P984="Valid (Pass)","Valid","Invalid")))</f>
        <v/>
      </c>
      <c r="P984" s="27" t="n"/>
      <c r="Q984" s="27" t="n"/>
      <c r="R984" s="27" t="n"/>
      <c r="S984" s="27" t="n"/>
      <c r="T984" s="25">
        <f>IF($C984="","",IF(OR(ISNUMBER(SEARCH("quick case",$P984)),ISNUMBER(SEARCH("quick case",$Q984))),"Yes","No"))</f>
        <v/>
      </c>
      <c r="U984" s="25">
        <f>IF($O984="Invalid",HYPERLINK("mailto:"&amp;$G984&amp;";"&amp;$I984&amp;"?cc="&amp;Lists!$E$2&amp;"&amp;subject="&amp;_xlfn.ENCODEURL("[INVALID] Quality audit monitoring completed for "&amp;UPPER($C984))&amp;"&amp;body="&amp;_xlfn.ENCODEURL("Hi "&amp;$F984&amp;","&amp;CHAR(10)&amp;"Good day!"&amp;CHAR(10)&amp;CHAR(10)&amp;"A quality monitoring audit has been completed for "&amp;$C984&amp;"."&amp;CHAR(10)&amp;CHAR(10)&amp;"QUALITY AUDIT DETAILS"&amp;CHAR(10)&amp;"Agent Name: "&amp;$C984&amp;" (EID "&amp;$D984&amp;")"&amp;CHAR(10)&amp;"Audit Date: "&amp;TEXT($B984,"yyyy-mm-dd")&amp;CHAR(10)&amp;"Team Leader: "&amp;$F984&amp;CHAR(10)&amp;"Case Number: "&amp;$M984&amp;CHAR(10)&amp;"Transaction ID: "&amp;$N984&amp;CHAR(10)&amp;"Channel / LOB: "&amp;$K984&amp;" / "&amp;$L984&amp;CHAR(10)&amp;"Evaluator: "&amp;$S984&amp;CHAR(10)&amp;CHAR(10)&amp;"INVALID QUALITY AUDIT DETAILS"&amp;CHAR(10)&amp;"Validation: Invalid"&amp;CHAR(10)&amp;"Invalid Reason: "&amp;$P984&amp;CHAR(10)&amp;"Expected Resolution Code: "&amp;$Q984&amp;CHAR(10)&amp;"Remarks: "&amp;LEFT($R984,600)&amp;CHAR(10)&amp;CHAR(10)&amp;"This is an automated notification from HP Mainstream EQMS."),"✉ Open Email Draft"),"")</f>
        <v/>
      </c>
    </row>
    <row r="985">
      <c r="A985" s="25">
        <f>IF($C985="","","AUD-2026-"&amp;TEXT(ROW()-1,"000000"))</f>
        <v/>
      </c>
      <c r="B985" s="26" t="n"/>
      <c r="C985" s="27" t="n"/>
      <c r="D985" s="25">
        <f>IF($C985="","",IFERROR(IF(INDEX(Roster!$A:$A,MATCH($C985,Roster!$B:$B,0))="","",INDEX(Roster!$A:$A,MATCH($C985,Roster!$B:$B,0))&amp;""),"—"))</f>
        <v/>
      </c>
      <c r="E985" s="25">
        <f>IF($C985="","",IFERROR(IF(INDEX(Roster!$C:$C,MATCH($C985,Roster!$B:$B,0))="","",INDEX(Roster!$C:$C,MATCH($C985,Roster!$B:$B,0))&amp;""),"—"))</f>
        <v/>
      </c>
      <c r="F985" s="25">
        <f>IF($C985="","",IFERROR(IF(INDEX(Roster!$D:$D,MATCH($C985,Roster!$B:$B,0))="","",INDEX(Roster!$D:$D,MATCH($C985,Roster!$B:$B,0))&amp;""),"—"))</f>
        <v/>
      </c>
      <c r="G985" s="25">
        <f>IF($C985="","",IFERROR(IF(INDEX(Roster!$E:$E,MATCH($C985,Roster!$B:$B,0))="","",INDEX(Roster!$E:$E,MATCH($C985,Roster!$B:$B,0))&amp;""),"—"))</f>
        <v/>
      </c>
      <c r="H985" s="25">
        <f>IF($C985="","",IFERROR(IF(INDEX(Roster!$F:$F,MATCH($C985,Roster!$B:$B,0))="","",INDEX(Roster!$F:$F,MATCH($C985,Roster!$B:$B,0))&amp;""),"—"))</f>
        <v/>
      </c>
      <c r="I985" s="25">
        <f>IF($C985="","",IFERROR(IF(INDEX(Roster!$G:$G,MATCH($C985,Roster!$B:$B,0))="","",INDEX(Roster!$G:$G,MATCH($C985,Roster!$B:$B,0))&amp;""),"—"))</f>
        <v/>
      </c>
      <c r="J985" s="25">
        <f>IF($C985="","",IFERROR(IF(INDEX(Roster!$I:$I,MATCH($C985,Roster!$B:$B,0))="","",INDEX(Roster!$I:$I,MATCH($C985,Roster!$B:$B,0))&amp;""),"—"))</f>
        <v/>
      </c>
      <c r="K985">
        <f>IF($C985="","",IFERROR(IF(INDEX(Roster!$J:$J,MATCH($C985,Roster!$B:$B,0))="","",INDEX(Roster!$J:$J,MATCH($C985,Roster!$B:$B,0))&amp;""),"—"))</f>
        <v/>
      </c>
      <c r="L985">
        <f>IF($C985="","",IFERROR(IF(INDEX(Roster!$K:$K,MATCH($C985,Roster!$B:$B,0))="","",INDEX(Roster!$K:$K,MATCH($C985,Roster!$B:$B,0))&amp;""),"—"))</f>
        <v/>
      </c>
      <c r="M985" s="27" t="n"/>
      <c r="N985" s="27" t="n"/>
      <c r="O985" s="25">
        <f>IF($C985="","",IF($P985="","—",IF($P985="Valid (Pass)","Valid","Invalid")))</f>
        <v/>
      </c>
      <c r="P985" s="27" t="n"/>
      <c r="Q985" s="27" t="n"/>
      <c r="R985" s="27" t="n"/>
      <c r="S985" s="27" t="n"/>
      <c r="T985" s="25">
        <f>IF($C985="","",IF(OR(ISNUMBER(SEARCH("quick case",$P985)),ISNUMBER(SEARCH("quick case",$Q985))),"Yes","No"))</f>
        <v/>
      </c>
      <c r="U985" s="25">
        <f>IF($O985="Invalid",HYPERLINK("mailto:"&amp;$G985&amp;";"&amp;$I985&amp;"?cc="&amp;Lists!$E$2&amp;"&amp;subject="&amp;_xlfn.ENCODEURL("[INVALID] Quality audit monitoring completed for "&amp;UPPER($C985))&amp;"&amp;body="&amp;_xlfn.ENCODEURL("Hi "&amp;$F985&amp;","&amp;CHAR(10)&amp;"Good day!"&amp;CHAR(10)&amp;CHAR(10)&amp;"A quality monitoring audit has been completed for "&amp;$C985&amp;"."&amp;CHAR(10)&amp;CHAR(10)&amp;"QUALITY AUDIT DETAILS"&amp;CHAR(10)&amp;"Agent Name: "&amp;$C985&amp;" (EID "&amp;$D985&amp;")"&amp;CHAR(10)&amp;"Audit Date: "&amp;TEXT($B985,"yyyy-mm-dd")&amp;CHAR(10)&amp;"Team Leader: "&amp;$F985&amp;CHAR(10)&amp;"Case Number: "&amp;$M985&amp;CHAR(10)&amp;"Transaction ID: "&amp;$N985&amp;CHAR(10)&amp;"Channel / LOB: "&amp;$K985&amp;" / "&amp;$L985&amp;CHAR(10)&amp;"Evaluator: "&amp;$S985&amp;CHAR(10)&amp;CHAR(10)&amp;"INVALID QUALITY AUDIT DETAILS"&amp;CHAR(10)&amp;"Validation: Invalid"&amp;CHAR(10)&amp;"Invalid Reason: "&amp;$P985&amp;CHAR(10)&amp;"Expected Resolution Code: "&amp;$Q985&amp;CHAR(10)&amp;"Remarks: "&amp;LEFT($R985,600)&amp;CHAR(10)&amp;CHAR(10)&amp;"This is an automated notification from HP Mainstream EQMS."),"✉ Open Email Draft"),"")</f>
        <v/>
      </c>
    </row>
    <row r="986">
      <c r="A986" s="25">
        <f>IF($C986="","","AUD-2026-"&amp;TEXT(ROW()-1,"000000"))</f>
        <v/>
      </c>
      <c r="B986" s="26" t="n"/>
      <c r="C986" s="27" t="n"/>
      <c r="D986" s="25">
        <f>IF($C986="","",IFERROR(IF(INDEX(Roster!$A:$A,MATCH($C986,Roster!$B:$B,0))="","",INDEX(Roster!$A:$A,MATCH($C986,Roster!$B:$B,0))&amp;""),"—"))</f>
        <v/>
      </c>
      <c r="E986" s="25">
        <f>IF($C986="","",IFERROR(IF(INDEX(Roster!$C:$C,MATCH($C986,Roster!$B:$B,0))="","",INDEX(Roster!$C:$C,MATCH($C986,Roster!$B:$B,0))&amp;""),"—"))</f>
        <v/>
      </c>
      <c r="F986" s="25">
        <f>IF($C986="","",IFERROR(IF(INDEX(Roster!$D:$D,MATCH($C986,Roster!$B:$B,0))="","",INDEX(Roster!$D:$D,MATCH($C986,Roster!$B:$B,0))&amp;""),"—"))</f>
        <v/>
      </c>
      <c r="G986" s="25">
        <f>IF($C986="","",IFERROR(IF(INDEX(Roster!$E:$E,MATCH($C986,Roster!$B:$B,0))="","",INDEX(Roster!$E:$E,MATCH($C986,Roster!$B:$B,0))&amp;""),"—"))</f>
        <v/>
      </c>
      <c r="H986" s="25">
        <f>IF($C986="","",IFERROR(IF(INDEX(Roster!$F:$F,MATCH($C986,Roster!$B:$B,0))="","",INDEX(Roster!$F:$F,MATCH($C986,Roster!$B:$B,0))&amp;""),"—"))</f>
        <v/>
      </c>
      <c r="I986" s="25">
        <f>IF($C986="","",IFERROR(IF(INDEX(Roster!$G:$G,MATCH($C986,Roster!$B:$B,0))="","",INDEX(Roster!$G:$G,MATCH($C986,Roster!$B:$B,0))&amp;""),"—"))</f>
        <v/>
      </c>
      <c r="J986" s="25">
        <f>IF($C986="","",IFERROR(IF(INDEX(Roster!$I:$I,MATCH($C986,Roster!$B:$B,0))="","",INDEX(Roster!$I:$I,MATCH($C986,Roster!$B:$B,0))&amp;""),"—"))</f>
        <v/>
      </c>
      <c r="K986">
        <f>IF($C986="","",IFERROR(IF(INDEX(Roster!$J:$J,MATCH($C986,Roster!$B:$B,0))="","",INDEX(Roster!$J:$J,MATCH($C986,Roster!$B:$B,0))&amp;""),"—"))</f>
        <v/>
      </c>
      <c r="L986">
        <f>IF($C986="","",IFERROR(IF(INDEX(Roster!$K:$K,MATCH($C986,Roster!$B:$B,0))="","",INDEX(Roster!$K:$K,MATCH($C986,Roster!$B:$B,0))&amp;""),"—"))</f>
        <v/>
      </c>
      <c r="M986" s="27" t="n"/>
      <c r="N986" s="27" t="n"/>
      <c r="O986" s="25">
        <f>IF($C986="","",IF($P986="","—",IF($P986="Valid (Pass)","Valid","Invalid")))</f>
        <v/>
      </c>
      <c r="P986" s="27" t="n"/>
      <c r="Q986" s="27" t="n"/>
      <c r="R986" s="27" t="n"/>
      <c r="S986" s="27" t="n"/>
      <c r="T986" s="25">
        <f>IF($C986="","",IF(OR(ISNUMBER(SEARCH("quick case",$P986)),ISNUMBER(SEARCH("quick case",$Q986))),"Yes","No"))</f>
        <v/>
      </c>
      <c r="U986" s="25">
        <f>IF($O986="Invalid",HYPERLINK("mailto:"&amp;$G986&amp;";"&amp;$I986&amp;"?cc="&amp;Lists!$E$2&amp;"&amp;subject="&amp;_xlfn.ENCODEURL("[INVALID] Quality audit monitoring completed for "&amp;UPPER($C986))&amp;"&amp;body="&amp;_xlfn.ENCODEURL("Hi "&amp;$F986&amp;","&amp;CHAR(10)&amp;"Good day!"&amp;CHAR(10)&amp;CHAR(10)&amp;"A quality monitoring audit has been completed for "&amp;$C986&amp;"."&amp;CHAR(10)&amp;CHAR(10)&amp;"QUALITY AUDIT DETAILS"&amp;CHAR(10)&amp;"Agent Name: "&amp;$C986&amp;" (EID "&amp;$D986&amp;")"&amp;CHAR(10)&amp;"Audit Date: "&amp;TEXT($B986,"yyyy-mm-dd")&amp;CHAR(10)&amp;"Team Leader: "&amp;$F986&amp;CHAR(10)&amp;"Case Number: "&amp;$M986&amp;CHAR(10)&amp;"Transaction ID: "&amp;$N986&amp;CHAR(10)&amp;"Channel / LOB: "&amp;$K986&amp;" / "&amp;$L986&amp;CHAR(10)&amp;"Evaluator: "&amp;$S986&amp;CHAR(10)&amp;CHAR(10)&amp;"INVALID QUALITY AUDIT DETAILS"&amp;CHAR(10)&amp;"Validation: Invalid"&amp;CHAR(10)&amp;"Invalid Reason: "&amp;$P986&amp;CHAR(10)&amp;"Expected Resolution Code: "&amp;$Q986&amp;CHAR(10)&amp;"Remarks: "&amp;LEFT($R986,600)&amp;CHAR(10)&amp;CHAR(10)&amp;"This is an automated notification from HP Mainstream EQMS."),"✉ Open Email Draft"),"")</f>
        <v/>
      </c>
    </row>
    <row r="987">
      <c r="A987" s="25">
        <f>IF($C987="","","AUD-2026-"&amp;TEXT(ROW()-1,"000000"))</f>
        <v/>
      </c>
      <c r="B987" s="26" t="n"/>
      <c r="C987" s="27" t="n"/>
      <c r="D987" s="25">
        <f>IF($C987="","",IFERROR(IF(INDEX(Roster!$A:$A,MATCH($C987,Roster!$B:$B,0))="","",INDEX(Roster!$A:$A,MATCH($C987,Roster!$B:$B,0))&amp;""),"—"))</f>
        <v/>
      </c>
      <c r="E987" s="25">
        <f>IF($C987="","",IFERROR(IF(INDEX(Roster!$C:$C,MATCH($C987,Roster!$B:$B,0))="","",INDEX(Roster!$C:$C,MATCH($C987,Roster!$B:$B,0))&amp;""),"—"))</f>
        <v/>
      </c>
      <c r="F987" s="25">
        <f>IF($C987="","",IFERROR(IF(INDEX(Roster!$D:$D,MATCH($C987,Roster!$B:$B,0))="","",INDEX(Roster!$D:$D,MATCH($C987,Roster!$B:$B,0))&amp;""),"—"))</f>
        <v/>
      </c>
      <c r="G987" s="25">
        <f>IF($C987="","",IFERROR(IF(INDEX(Roster!$E:$E,MATCH($C987,Roster!$B:$B,0))="","",INDEX(Roster!$E:$E,MATCH($C987,Roster!$B:$B,0))&amp;""),"—"))</f>
        <v/>
      </c>
      <c r="H987" s="25">
        <f>IF($C987="","",IFERROR(IF(INDEX(Roster!$F:$F,MATCH($C987,Roster!$B:$B,0))="","",INDEX(Roster!$F:$F,MATCH($C987,Roster!$B:$B,0))&amp;""),"—"))</f>
        <v/>
      </c>
      <c r="I987" s="25">
        <f>IF($C987="","",IFERROR(IF(INDEX(Roster!$G:$G,MATCH($C987,Roster!$B:$B,0))="","",INDEX(Roster!$G:$G,MATCH($C987,Roster!$B:$B,0))&amp;""),"—"))</f>
        <v/>
      </c>
      <c r="J987" s="25">
        <f>IF($C987="","",IFERROR(IF(INDEX(Roster!$I:$I,MATCH($C987,Roster!$B:$B,0))="","",INDEX(Roster!$I:$I,MATCH($C987,Roster!$B:$B,0))&amp;""),"—"))</f>
        <v/>
      </c>
      <c r="K987">
        <f>IF($C987="","",IFERROR(IF(INDEX(Roster!$J:$J,MATCH($C987,Roster!$B:$B,0))="","",INDEX(Roster!$J:$J,MATCH($C987,Roster!$B:$B,0))&amp;""),"—"))</f>
        <v/>
      </c>
      <c r="L987">
        <f>IF($C987="","",IFERROR(IF(INDEX(Roster!$K:$K,MATCH($C987,Roster!$B:$B,0))="","",INDEX(Roster!$K:$K,MATCH($C987,Roster!$B:$B,0))&amp;""),"—"))</f>
        <v/>
      </c>
      <c r="M987" s="27" t="n"/>
      <c r="N987" s="27" t="n"/>
      <c r="O987" s="25">
        <f>IF($C987="","",IF($P987="","—",IF($P987="Valid (Pass)","Valid","Invalid")))</f>
        <v/>
      </c>
      <c r="P987" s="27" t="n"/>
      <c r="Q987" s="27" t="n"/>
      <c r="R987" s="27" t="n"/>
      <c r="S987" s="27" t="n"/>
      <c r="T987" s="25">
        <f>IF($C987="","",IF(OR(ISNUMBER(SEARCH("quick case",$P987)),ISNUMBER(SEARCH("quick case",$Q987))),"Yes","No"))</f>
        <v/>
      </c>
      <c r="U987" s="25">
        <f>IF($O987="Invalid",HYPERLINK("mailto:"&amp;$G987&amp;";"&amp;$I987&amp;"?cc="&amp;Lists!$E$2&amp;"&amp;subject="&amp;_xlfn.ENCODEURL("[INVALID] Quality audit monitoring completed for "&amp;UPPER($C987))&amp;"&amp;body="&amp;_xlfn.ENCODEURL("Hi "&amp;$F987&amp;","&amp;CHAR(10)&amp;"Good day!"&amp;CHAR(10)&amp;CHAR(10)&amp;"A quality monitoring audit has been completed for "&amp;$C987&amp;"."&amp;CHAR(10)&amp;CHAR(10)&amp;"QUALITY AUDIT DETAILS"&amp;CHAR(10)&amp;"Agent Name: "&amp;$C987&amp;" (EID "&amp;$D987&amp;")"&amp;CHAR(10)&amp;"Audit Date: "&amp;TEXT($B987,"yyyy-mm-dd")&amp;CHAR(10)&amp;"Team Leader: "&amp;$F987&amp;CHAR(10)&amp;"Case Number: "&amp;$M987&amp;CHAR(10)&amp;"Transaction ID: "&amp;$N987&amp;CHAR(10)&amp;"Channel / LOB: "&amp;$K987&amp;" / "&amp;$L987&amp;CHAR(10)&amp;"Evaluator: "&amp;$S987&amp;CHAR(10)&amp;CHAR(10)&amp;"INVALID QUALITY AUDIT DETAILS"&amp;CHAR(10)&amp;"Validation: Invalid"&amp;CHAR(10)&amp;"Invalid Reason: "&amp;$P987&amp;CHAR(10)&amp;"Expected Resolution Code: "&amp;$Q987&amp;CHAR(10)&amp;"Remarks: "&amp;LEFT($R987,600)&amp;CHAR(10)&amp;CHAR(10)&amp;"This is an automated notification from HP Mainstream EQMS."),"✉ Open Email Draft"),"")</f>
        <v/>
      </c>
    </row>
    <row r="988">
      <c r="A988" s="25">
        <f>IF($C988="","","AUD-2026-"&amp;TEXT(ROW()-1,"000000"))</f>
        <v/>
      </c>
      <c r="B988" s="26" t="n"/>
      <c r="C988" s="27" t="n"/>
      <c r="D988" s="25">
        <f>IF($C988="","",IFERROR(IF(INDEX(Roster!$A:$A,MATCH($C988,Roster!$B:$B,0))="","",INDEX(Roster!$A:$A,MATCH($C988,Roster!$B:$B,0))&amp;""),"—"))</f>
        <v/>
      </c>
      <c r="E988" s="25">
        <f>IF($C988="","",IFERROR(IF(INDEX(Roster!$C:$C,MATCH($C988,Roster!$B:$B,0))="","",INDEX(Roster!$C:$C,MATCH($C988,Roster!$B:$B,0))&amp;""),"—"))</f>
        <v/>
      </c>
      <c r="F988" s="25">
        <f>IF($C988="","",IFERROR(IF(INDEX(Roster!$D:$D,MATCH($C988,Roster!$B:$B,0))="","",INDEX(Roster!$D:$D,MATCH($C988,Roster!$B:$B,0))&amp;""),"—"))</f>
        <v/>
      </c>
      <c r="G988" s="25">
        <f>IF($C988="","",IFERROR(IF(INDEX(Roster!$E:$E,MATCH($C988,Roster!$B:$B,0))="","",INDEX(Roster!$E:$E,MATCH($C988,Roster!$B:$B,0))&amp;""),"—"))</f>
        <v/>
      </c>
      <c r="H988" s="25">
        <f>IF($C988="","",IFERROR(IF(INDEX(Roster!$F:$F,MATCH($C988,Roster!$B:$B,0))="","",INDEX(Roster!$F:$F,MATCH($C988,Roster!$B:$B,0))&amp;""),"—"))</f>
        <v/>
      </c>
      <c r="I988" s="25">
        <f>IF($C988="","",IFERROR(IF(INDEX(Roster!$G:$G,MATCH($C988,Roster!$B:$B,0))="","",INDEX(Roster!$G:$G,MATCH($C988,Roster!$B:$B,0))&amp;""),"—"))</f>
        <v/>
      </c>
      <c r="J988" s="25">
        <f>IF($C988="","",IFERROR(IF(INDEX(Roster!$I:$I,MATCH($C988,Roster!$B:$B,0))="","",INDEX(Roster!$I:$I,MATCH($C988,Roster!$B:$B,0))&amp;""),"—"))</f>
        <v/>
      </c>
      <c r="K988">
        <f>IF($C988="","",IFERROR(IF(INDEX(Roster!$J:$J,MATCH($C988,Roster!$B:$B,0))="","",INDEX(Roster!$J:$J,MATCH($C988,Roster!$B:$B,0))&amp;""),"—"))</f>
        <v/>
      </c>
      <c r="L988">
        <f>IF($C988="","",IFERROR(IF(INDEX(Roster!$K:$K,MATCH($C988,Roster!$B:$B,0))="","",INDEX(Roster!$K:$K,MATCH($C988,Roster!$B:$B,0))&amp;""),"—"))</f>
        <v/>
      </c>
      <c r="M988" s="27" t="n"/>
      <c r="N988" s="27" t="n"/>
      <c r="O988" s="25">
        <f>IF($C988="","",IF($P988="","—",IF($P988="Valid (Pass)","Valid","Invalid")))</f>
        <v/>
      </c>
      <c r="P988" s="27" t="n"/>
      <c r="Q988" s="27" t="n"/>
      <c r="R988" s="27" t="n"/>
      <c r="S988" s="27" t="n"/>
      <c r="T988" s="25">
        <f>IF($C988="","",IF(OR(ISNUMBER(SEARCH("quick case",$P988)),ISNUMBER(SEARCH("quick case",$Q988))),"Yes","No"))</f>
        <v/>
      </c>
      <c r="U988" s="25">
        <f>IF($O988="Invalid",HYPERLINK("mailto:"&amp;$G988&amp;";"&amp;$I988&amp;"?cc="&amp;Lists!$E$2&amp;"&amp;subject="&amp;_xlfn.ENCODEURL("[INVALID] Quality audit monitoring completed for "&amp;UPPER($C988))&amp;"&amp;body="&amp;_xlfn.ENCODEURL("Hi "&amp;$F988&amp;","&amp;CHAR(10)&amp;"Good day!"&amp;CHAR(10)&amp;CHAR(10)&amp;"A quality monitoring audit has been completed for "&amp;$C988&amp;"."&amp;CHAR(10)&amp;CHAR(10)&amp;"QUALITY AUDIT DETAILS"&amp;CHAR(10)&amp;"Agent Name: "&amp;$C988&amp;" (EID "&amp;$D988&amp;")"&amp;CHAR(10)&amp;"Audit Date: "&amp;TEXT($B988,"yyyy-mm-dd")&amp;CHAR(10)&amp;"Team Leader: "&amp;$F988&amp;CHAR(10)&amp;"Case Number: "&amp;$M988&amp;CHAR(10)&amp;"Transaction ID: "&amp;$N988&amp;CHAR(10)&amp;"Channel / LOB: "&amp;$K988&amp;" / "&amp;$L988&amp;CHAR(10)&amp;"Evaluator: "&amp;$S988&amp;CHAR(10)&amp;CHAR(10)&amp;"INVALID QUALITY AUDIT DETAILS"&amp;CHAR(10)&amp;"Validation: Invalid"&amp;CHAR(10)&amp;"Invalid Reason: "&amp;$P988&amp;CHAR(10)&amp;"Expected Resolution Code: "&amp;$Q988&amp;CHAR(10)&amp;"Remarks: "&amp;LEFT($R988,600)&amp;CHAR(10)&amp;CHAR(10)&amp;"This is an automated notification from HP Mainstream EQMS."),"✉ Open Email Draft"),"")</f>
        <v/>
      </c>
    </row>
    <row r="989">
      <c r="A989" s="25">
        <f>IF($C989="","","AUD-2026-"&amp;TEXT(ROW()-1,"000000"))</f>
        <v/>
      </c>
      <c r="B989" s="26" t="n"/>
      <c r="C989" s="27" t="n"/>
      <c r="D989" s="25">
        <f>IF($C989="","",IFERROR(IF(INDEX(Roster!$A:$A,MATCH($C989,Roster!$B:$B,0))="","",INDEX(Roster!$A:$A,MATCH($C989,Roster!$B:$B,0))&amp;""),"—"))</f>
        <v/>
      </c>
      <c r="E989" s="25">
        <f>IF($C989="","",IFERROR(IF(INDEX(Roster!$C:$C,MATCH($C989,Roster!$B:$B,0))="","",INDEX(Roster!$C:$C,MATCH($C989,Roster!$B:$B,0))&amp;""),"—"))</f>
        <v/>
      </c>
      <c r="F989" s="25">
        <f>IF($C989="","",IFERROR(IF(INDEX(Roster!$D:$D,MATCH($C989,Roster!$B:$B,0))="","",INDEX(Roster!$D:$D,MATCH($C989,Roster!$B:$B,0))&amp;""),"—"))</f>
        <v/>
      </c>
      <c r="G989" s="25">
        <f>IF($C989="","",IFERROR(IF(INDEX(Roster!$E:$E,MATCH($C989,Roster!$B:$B,0))="","",INDEX(Roster!$E:$E,MATCH($C989,Roster!$B:$B,0))&amp;""),"—"))</f>
        <v/>
      </c>
      <c r="H989" s="25">
        <f>IF($C989="","",IFERROR(IF(INDEX(Roster!$F:$F,MATCH($C989,Roster!$B:$B,0))="","",INDEX(Roster!$F:$F,MATCH($C989,Roster!$B:$B,0))&amp;""),"—"))</f>
        <v/>
      </c>
      <c r="I989" s="25">
        <f>IF($C989="","",IFERROR(IF(INDEX(Roster!$G:$G,MATCH($C989,Roster!$B:$B,0))="","",INDEX(Roster!$G:$G,MATCH($C989,Roster!$B:$B,0))&amp;""),"—"))</f>
        <v/>
      </c>
      <c r="J989" s="25">
        <f>IF($C989="","",IFERROR(IF(INDEX(Roster!$I:$I,MATCH($C989,Roster!$B:$B,0))="","",INDEX(Roster!$I:$I,MATCH($C989,Roster!$B:$B,0))&amp;""),"—"))</f>
        <v/>
      </c>
      <c r="K989">
        <f>IF($C989="","",IFERROR(IF(INDEX(Roster!$J:$J,MATCH($C989,Roster!$B:$B,0))="","",INDEX(Roster!$J:$J,MATCH($C989,Roster!$B:$B,0))&amp;""),"—"))</f>
        <v/>
      </c>
      <c r="L989">
        <f>IF($C989="","",IFERROR(IF(INDEX(Roster!$K:$K,MATCH($C989,Roster!$B:$B,0))="","",INDEX(Roster!$K:$K,MATCH($C989,Roster!$B:$B,0))&amp;""),"—"))</f>
        <v/>
      </c>
      <c r="M989" s="27" t="n"/>
      <c r="N989" s="27" t="n"/>
      <c r="O989" s="25">
        <f>IF($C989="","",IF($P989="","—",IF($P989="Valid (Pass)","Valid","Invalid")))</f>
        <v/>
      </c>
      <c r="P989" s="27" t="n"/>
      <c r="Q989" s="27" t="n"/>
      <c r="R989" s="27" t="n"/>
      <c r="S989" s="27" t="n"/>
      <c r="T989" s="25">
        <f>IF($C989="","",IF(OR(ISNUMBER(SEARCH("quick case",$P989)),ISNUMBER(SEARCH("quick case",$Q989))),"Yes","No"))</f>
        <v/>
      </c>
      <c r="U989" s="25">
        <f>IF($O989="Invalid",HYPERLINK("mailto:"&amp;$G989&amp;";"&amp;$I989&amp;"?cc="&amp;Lists!$E$2&amp;"&amp;subject="&amp;_xlfn.ENCODEURL("[INVALID] Quality audit monitoring completed for "&amp;UPPER($C989))&amp;"&amp;body="&amp;_xlfn.ENCODEURL("Hi "&amp;$F989&amp;","&amp;CHAR(10)&amp;"Good day!"&amp;CHAR(10)&amp;CHAR(10)&amp;"A quality monitoring audit has been completed for "&amp;$C989&amp;"."&amp;CHAR(10)&amp;CHAR(10)&amp;"QUALITY AUDIT DETAILS"&amp;CHAR(10)&amp;"Agent Name: "&amp;$C989&amp;" (EID "&amp;$D989&amp;")"&amp;CHAR(10)&amp;"Audit Date: "&amp;TEXT($B989,"yyyy-mm-dd")&amp;CHAR(10)&amp;"Team Leader: "&amp;$F989&amp;CHAR(10)&amp;"Case Number: "&amp;$M989&amp;CHAR(10)&amp;"Transaction ID: "&amp;$N989&amp;CHAR(10)&amp;"Channel / LOB: "&amp;$K989&amp;" / "&amp;$L989&amp;CHAR(10)&amp;"Evaluator: "&amp;$S989&amp;CHAR(10)&amp;CHAR(10)&amp;"INVALID QUALITY AUDIT DETAILS"&amp;CHAR(10)&amp;"Validation: Invalid"&amp;CHAR(10)&amp;"Invalid Reason: "&amp;$P989&amp;CHAR(10)&amp;"Expected Resolution Code: "&amp;$Q989&amp;CHAR(10)&amp;"Remarks: "&amp;LEFT($R989,600)&amp;CHAR(10)&amp;CHAR(10)&amp;"This is an automated notification from HP Mainstream EQMS."),"✉ Open Email Draft"),"")</f>
        <v/>
      </c>
    </row>
    <row r="990">
      <c r="A990" s="25">
        <f>IF($C990="","","AUD-2026-"&amp;TEXT(ROW()-1,"000000"))</f>
        <v/>
      </c>
      <c r="B990" s="26" t="n"/>
      <c r="C990" s="27" t="n"/>
      <c r="D990" s="25">
        <f>IF($C990="","",IFERROR(IF(INDEX(Roster!$A:$A,MATCH($C990,Roster!$B:$B,0))="","",INDEX(Roster!$A:$A,MATCH($C990,Roster!$B:$B,0))&amp;""),"—"))</f>
        <v/>
      </c>
      <c r="E990" s="25">
        <f>IF($C990="","",IFERROR(IF(INDEX(Roster!$C:$C,MATCH($C990,Roster!$B:$B,0))="","",INDEX(Roster!$C:$C,MATCH($C990,Roster!$B:$B,0))&amp;""),"—"))</f>
        <v/>
      </c>
      <c r="F990" s="25">
        <f>IF($C990="","",IFERROR(IF(INDEX(Roster!$D:$D,MATCH($C990,Roster!$B:$B,0))="","",INDEX(Roster!$D:$D,MATCH($C990,Roster!$B:$B,0))&amp;""),"—"))</f>
        <v/>
      </c>
      <c r="G990" s="25">
        <f>IF($C990="","",IFERROR(IF(INDEX(Roster!$E:$E,MATCH($C990,Roster!$B:$B,0))="","",INDEX(Roster!$E:$E,MATCH($C990,Roster!$B:$B,0))&amp;""),"—"))</f>
        <v/>
      </c>
      <c r="H990" s="25">
        <f>IF($C990="","",IFERROR(IF(INDEX(Roster!$F:$F,MATCH($C990,Roster!$B:$B,0))="","",INDEX(Roster!$F:$F,MATCH($C990,Roster!$B:$B,0))&amp;""),"—"))</f>
        <v/>
      </c>
      <c r="I990" s="25">
        <f>IF($C990="","",IFERROR(IF(INDEX(Roster!$G:$G,MATCH($C990,Roster!$B:$B,0))="","",INDEX(Roster!$G:$G,MATCH($C990,Roster!$B:$B,0))&amp;""),"—"))</f>
        <v/>
      </c>
      <c r="J990" s="25">
        <f>IF($C990="","",IFERROR(IF(INDEX(Roster!$I:$I,MATCH($C990,Roster!$B:$B,0))="","",INDEX(Roster!$I:$I,MATCH($C990,Roster!$B:$B,0))&amp;""),"—"))</f>
        <v/>
      </c>
      <c r="K990">
        <f>IF($C990="","",IFERROR(IF(INDEX(Roster!$J:$J,MATCH($C990,Roster!$B:$B,0))="","",INDEX(Roster!$J:$J,MATCH($C990,Roster!$B:$B,0))&amp;""),"—"))</f>
        <v/>
      </c>
      <c r="L990">
        <f>IF($C990="","",IFERROR(IF(INDEX(Roster!$K:$K,MATCH($C990,Roster!$B:$B,0))="","",INDEX(Roster!$K:$K,MATCH($C990,Roster!$B:$B,0))&amp;""),"—"))</f>
        <v/>
      </c>
      <c r="M990" s="27" t="n"/>
      <c r="N990" s="27" t="n"/>
      <c r="O990" s="25">
        <f>IF($C990="","",IF($P990="","—",IF($P990="Valid (Pass)","Valid","Invalid")))</f>
        <v/>
      </c>
      <c r="P990" s="27" t="n"/>
      <c r="Q990" s="27" t="n"/>
      <c r="R990" s="27" t="n"/>
      <c r="S990" s="27" t="n"/>
      <c r="T990" s="25">
        <f>IF($C990="","",IF(OR(ISNUMBER(SEARCH("quick case",$P990)),ISNUMBER(SEARCH("quick case",$Q990))),"Yes","No"))</f>
        <v/>
      </c>
      <c r="U990" s="25">
        <f>IF($O990="Invalid",HYPERLINK("mailto:"&amp;$G990&amp;";"&amp;$I990&amp;"?cc="&amp;Lists!$E$2&amp;"&amp;subject="&amp;_xlfn.ENCODEURL("[INVALID] Quality audit monitoring completed for "&amp;UPPER($C990))&amp;"&amp;body="&amp;_xlfn.ENCODEURL("Hi "&amp;$F990&amp;","&amp;CHAR(10)&amp;"Good day!"&amp;CHAR(10)&amp;CHAR(10)&amp;"A quality monitoring audit has been completed for "&amp;$C990&amp;"."&amp;CHAR(10)&amp;CHAR(10)&amp;"QUALITY AUDIT DETAILS"&amp;CHAR(10)&amp;"Agent Name: "&amp;$C990&amp;" (EID "&amp;$D990&amp;")"&amp;CHAR(10)&amp;"Audit Date: "&amp;TEXT($B990,"yyyy-mm-dd")&amp;CHAR(10)&amp;"Team Leader: "&amp;$F990&amp;CHAR(10)&amp;"Case Number: "&amp;$M990&amp;CHAR(10)&amp;"Transaction ID: "&amp;$N990&amp;CHAR(10)&amp;"Channel / LOB: "&amp;$K990&amp;" / "&amp;$L990&amp;CHAR(10)&amp;"Evaluator: "&amp;$S990&amp;CHAR(10)&amp;CHAR(10)&amp;"INVALID QUALITY AUDIT DETAILS"&amp;CHAR(10)&amp;"Validation: Invalid"&amp;CHAR(10)&amp;"Invalid Reason: "&amp;$P990&amp;CHAR(10)&amp;"Expected Resolution Code: "&amp;$Q990&amp;CHAR(10)&amp;"Remarks: "&amp;LEFT($R990,600)&amp;CHAR(10)&amp;CHAR(10)&amp;"This is an automated notification from HP Mainstream EQMS."),"✉ Open Email Draft"),"")</f>
        <v/>
      </c>
    </row>
    <row r="991">
      <c r="A991" s="25">
        <f>IF($C991="","","AUD-2026-"&amp;TEXT(ROW()-1,"000000"))</f>
        <v/>
      </c>
      <c r="B991" s="26" t="n"/>
      <c r="C991" s="27" t="n"/>
      <c r="D991" s="25">
        <f>IF($C991="","",IFERROR(IF(INDEX(Roster!$A:$A,MATCH($C991,Roster!$B:$B,0))="","",INDEX(Roster!$A:$A,MATCH($C991,Roster!$B:$B,0))&amp;""),"—"))</f>
        <v/>
      </c>
      <c r="E991" s="25">
        <f>IF($C991="","",IFERROR(IF(INDEX(Roster!$C:$C,MATCH($C991,Roster!$B:$B,0))="","",INDEX(Roster!$C:$C,MATCH($C991,Roster!$B:$B,0))&amp;""),"—"))</f>
        <v/>
      </c>
      <c r="F991" s="25">
        <f>IF($C991="","",IFERROR(IF(INDEX(Roster!$D:$D,MATCH($C991,Roster!$B:$B,0))="","",INDEX(Roster!$D:$D,MATCH($C991,Roster!$B:$B,0))&amp;""),"—"))</f>
        <v/>
      </c>
      <c r="G991" s="25">
        <f>IF($C991="","",IFERROR(IF(INDEX(Roster!$E:$E,MATCH($C991,Roster!$B:$B,0))="","",INDEX(Roster!$E:$E,MATCH($C991,Roster!$B:$B,0))&amp;""),"—"))</f>
        <v/>
      </c>
      <c r="H991" s="25">
        <f>IF($C991="","",IFERROR(IF(INDEX(Roster!$F:$F,MATCH($C991,Roster!$B:$B,0))="","",INDEX(Roster!$F:$F,MATCH($C991,Roster!$B:$B,0))&amp;""),"—"))</f>
        <v/>
      </c>
      <c r="I991" s="25">
        <f>IF($C991="","",IFERROR(IF(INDEX(Roster!$G:$G,MATCH($C991,Roster!$B:$B,0))="","",INDEX(Roster!$G:$G,MATCH($C991,Roster!$B:$B,0))&amp;""),"—"))</f>
        <v/>
      </c>
      <c r="J991" s="25">
        <f>IF($C991="","",IFERROR(IF(INDEX(Roster!$I:$I,MATCH($C991,Roster!$B:$B,0))="","",INDEX(Roster!$I:$I,MATCH($C991,Roster!$B:$B,0))&amp;""),"—"))</f>
        <v/>
      </c>
      <c r="K991">
        <f>IF($C991="","",IFERROR(IF(INDEX(Roster!$J:$J,MATCH($C991,Roster!$B:$B,0))="","",INDEX(Roster!$J:$J,MATCH($C991,Roster!$B:$B,0))&amp;""),"—"))</f>
        <v/>
      </c>
      <c r="L991">
        <f>IF($C991="","",IFERROR(IF(INDEX(Roster!$K:$K,MATCH($C991,Roster!$B:$B,0))="","",INDEX(Roster!$K:$K,MATCH($C991,Roster!$B:$B,0))&amp;""),"—"))</f>
        <v/>
      </c>
      <c r="M991" s="27" t="n"/>
      <c r="N991" s="27" t="n"/>
      <c r="O991" s="25">
        <f>IF($C991="","",IF($P991="","—",IF($P991="Valid (Pass)","Valid","Invalid")))</f>
        <v/>
      </c>
      <c r="P991" s="27" t="n"/>
      <c r="Q991" s="27" t="n"/>
      <c r="R991" s="27" t="n"/>
      <c r="S991" s="27" t="n"/>
      <c r="T991" s="25">
        <f>IF($C991="","",IF(OR(ISNUMBER(SEARCH("quick case",$P991)),ISNUMBER(SEARCH("quick case",$Q991))),"Yes","No"))</f>
        <v/>
      </c>
      <c r="U991" s="25">
        <f>IF($O991="Invalid",HYPERLINK("mailto:"&amp;$G991&amp;";"&amp;$I991&amp;"?cc="&amp;Lists!$E$2&amp;"&amp;subject="&amp;_xlfn.ENCODEURL("[INVALID] Quality audit monitoring completed for "&amp;UPPER($C991))&amp;"&amp;body="&amp;_xlfn.ENCODEURL("Hi "&amp;$F991&amp;","&amp;CHAR(10)&amp;"Good day!"&amp;CHAR(10)&amp;CHAR(10)&amp;"A quality monitoring audit has been completed for "&amp;$C991&amp;"."&amp;CHAR(10)&amp;CHAR(10)&amp;"QUALITY AUDIT DETAILS"&amp;CHAR(10)&amp;"Agent Name: "&amp;$C991&amp;" (EID "&amp;$D991&amp;")"&amp;CHAR(10)&amp;"Audit Date: "&amp;TEXT($B991,"yyyy-mm-dd")&amp;CHAR(10)&amp;"Team Leader: "&amp;$F991&amp;CHAR(10)&amp;"Case Number: "&amp;$M991&amp;CHAR(10)&amp;"Transaction ID: "&amp;$N991&amp;CHAR(10)&amp;"Channel / LOB: "&amp;$K991&amp;" / "&amp;$L991&amp;CHAR(10)&amp;"Evaluator: "&amp;$S991&amp;CHAR(10)&amp;CHAR(10)&amp;"INVALID QUALITY AUDIT DETAILS"&amp;CHAR(10)&amp;"Validation: Invalid"&amp;CHAR(10)&amp;"Invalid Reason: "&amp;$P991&amp;CHAR(10)&amp;"Expected Resolution Code: "&amp;$Q991&amp;CHAR(10)&amp;"Remarks: "&amp;LEFT($R991,600)&amp;CHAR(10)&amp;CHAR(10)&amp;"This is an automated notification from HP Mainstream EQMS."),"✉ Open Email Draft"),"")</f>
        <v/>
      </c>
    </row>
    <row r="992">
      <c r="A992" s="25">
        <f>IF($C992="","","AUD-2026-"&amp;TEXT(ROW()-1,"000000"))</f>
        <v/>
      </c>
      <c r="B992" s="26" t="n"/>
      <c r="C992" s="27" t="n"/>
      <c r="D992" s="25">
        <f>IF($C992="","",IFERROR(IF(INDEX(Roster!$A:$A,MATCH($C992,Roster!$B:$B,0))="","",INDEX(Roster!$A:$A,MATCH($C992,Roster!$B:$B,0))&amp;""),"—"))</f>
        <v/>
      </c>
      <c r="E992" s="25">
        <f>IF($C992="","",IFERROR(IF(INDEX(Roster!$C:$C,MATCH($C992,Roster!$B:$B,0))="","",INDEX(Roster!$C:$C,MATCH($C992,Roster!$B:$B,0))&amp;""),"—"))</f>
        <v/>
      </c>
      <c r="F992" s="25">
        <f>IF($C992="","",IFERROR(IF(INDEX(Roster!$D:$D,MATCH($C992,Roster!$B:$B,0))="","",INDEX(Roster!$D:$D,MATCH($C992,Roster!$B:$B,0))&amp;""),"—"))</f>
        <v/>
      </c>
      <c r="G992" s="25">
        <f>IF($C992="","",IFERROR(IF(INDEX(Roster!$E:$E,MATCH($C992,Roster!$B:$B,0))="","",INDEX(Roster!$E:$E,MATCH($C992,Roster!$B:$B,0))&amp;""),"—"))</f>
        <v/>
      </c>
      <c r="H992" s="25">
        <f>IF($C992="","",IFERROR(IF(INDEX(Roster!$F:$F,MATCH($C992,Roster!$B:$B,0))="","",INDEX(Roster!$F:$F,MATCH($C992,Roster!$B:$B,0))&amp;""),"—"))</f>
        <v/>
      </c>
      <c r="I992" s="25">
        <f>IF($C992="","",IFERROR(IF(INDEX(Roster!$G:$G,MATCH($C992,Roster!$B:$B,0))="","",INDEX(Roster!$G:$G,MATCH($C992,Roster!$B:$B,0))&amp;""),"—"))</f>
        <v/>
      </c>
      <c r="J992" s="25">
        <f>IF($C992="","",IFERROR(IF(INDEX(Roster!$I:$I,MATCH($C992,Roster!$B:$B,0))="","",INDEX(Roster!$I:$I,MATCH($C992,Roster!$B:$B,0))&amp;""),"—"))</f>
        <v/>
      </c>
      <c r="K992">
        <f>IF($C992="","",IFERROR(IF(INDEX(Roster!$J:$J,MATCH($C992,Roster!$B:$B,0))="","",INDEX(Roster!$J:$J,MATCH($C992,Roster!$B:$B,0))&amp;""),"—"))</f>
        <v/>
      </c>
      <c r="L992">
        <f>IF($C992="","",IFERROR(IF(INDEX(Roster!$K:$K,MATCH($C992,Roster!$B:$B,0))="","",INDEX(Roster!$K:$K,MATCH($C992,Roster!$B:$B,0))&amp;""),"—"))</f>
        <v/>
      </c>
      <c r="M992" s="27" t="n"/>
      <c r="N992" s="27" t="n"/>
      <c r="O992" s="25">
        <f>IF($C992="","",IF($P992="","—",IF($P992="Valid (Pass)","Valid","Invalid")))</f>
        <v/>
      </c>
      <c r="P992" s="27" t="n"/>
      <c r="Q992" s="27" t="n"/>
      <c r="R992" s="27" t="n"/>
      <c r="S992" s="27" t="n"/>
      <c r="T992" s="25">
        <f>IF($C992="","",IF(OR(ISNUMBER(SEARCH("quick case",$P992)),ISNUMBER(SEARCH("quick case",$Q992))),"Yes","No"))</f>
        <v/>
      </c>
      <c r="U992" s="25">
        <f>IF($O992="Invalid",HYPERLINK("mailto:"&amp;$G992&amp;";"&amp;$I992&amp;"?cc="&amp;Lists!$E$2&amp;"&amp;subject="&amp;_xlfn.ENCODEURL("[INVALID] Quality audit monitoring completed for "&amp;UPPER($C992))&amp;"&amp;body="&amp;_xlfn.ENCODEURL("Hi "&amp;$F992&amp;","&amp;CHAR(10)&amp;"Good day!"&amp;CHAR(10)&amp;CHAR(10)&amp;"A quality monitoring audit has been completed for "&amp;$C992&amp;"."&amp;CHAR(10)&amp;CHAR(10)&amp;"QUALITY AUDIT DETAILS"&amp;CHAR(10)&amp;"Agent Name: "&amp;$C992&amp;" (EID "&amp;$D992&amp;")"&amp;CHAR(10)&amp;"Audit Date: "&amp;TEXT($B992,"yyyy-mm-dd")&amp;CHAR(10)&amp;"Team Leader: "&amp;$F992&amp;CHAR(10)&amp;"Case Number: "&amp;$M992&amp;CHAR(10)&amp;"Transaction ID: "&amp;$N992&amp;CHAR(10)&amp;"Channel / LOB: "&amp;$K992&amp;" / "&amp;$L992&amp;CHAR(10)&amp;"Evaluator: "&amp;$S992&amp;CHAR(10)&amp;CHAR(10)&amp;"INVALID QUALITY AUDIT DETAILS"&amp;CHAR(10)&amp;"Validation: Invalid"&amp;CHAR(10)&amp;"Invalid Reason: "&amp;$P992&amp;CHAR(10)&amp;"Expected Resolution Code: "&amp;$Q992&amp;CHAR(10)&amp;"Remarks: "&amp;LEFT($R992,600)&amp;CHAR(10)&amp;CHAR(10)&amp;"This is an automated notification from HP Mainstream EQMS."),"✉ Open Email Draft"),"")</f>
        <v/>
      </c>
    </row>
    <row r="993">
      <c r="A993" s="25">
        <f>IF($C993="","","AUD-2026-"&amp;TEXT(ROW()-1,"000000"))</f>
        <v/>
      </c>
      <c r="B993" s="26" t="n"/>
      <c r="C993" s="27" t="n"/>
      <c r="D993" s="25">
        <f>IF($C993="","",IFERROR(IF(INDEX(Roster!$A:$A,MATCH($C993,Roster!$B:$B,0))="","",INDEX(Roster!$A:$A,MATCH($C993,Roster!$B:$B,0))&amp;""),"—"))</f>
        <v/>
      </c>
      <c r="E993" s="25">
        <f>IF($C993="","",IFERROR(IF(INDEX(Roster!$C:$C,MATCH($C993,Roster!$B:$B,0))="","",INDEX(Roster!$C:$C,MATCH($C993,Roster!$B:$B,0))&amp;""),"—"))</f>
        <v/>
      </c>
      <c r="F993" s="25">
        <f>IF($C993="","",IFERROR(IF(INDEX(Roster!$D:$D,MATCH($C993,Roster!$B:$B,0))="","",INDEX(Roster!$D:$D,MATCH($C993,Roster!$B:$B,0))&amp;""),"—"))</f>
        <v/>
      </c>
      <c r="G993" s="25">
        <f>IF($C993="","",IFERROR(IF(INDEX(Roster!$E:$E,MATCH($C993,Roster!$B:$B,0))="","",INDEX(Roster!$E:$E,MATCH($C993,Roster!$B:$B,0))&amp;""),"—"))</f>
        <v/>
      </c>
      <c r="H993" s="25">
        <f>IF($C993="","",IFERROR(IF(INDEX(Roster!$F:$F,MATCH($C993,Roster!$B:$B,0))="","",INDEX(Roster!$F:$F,MATCH($C993,Roster!$B:$B,0))&amp;""),"—"))</f>
        <v/>
      </c>
      <c r="I993" s="25">
        <f>IF($C993="","",IFERROR(IF(INDEX(Roster!$G:$G,MATCH($C993,Roster!$B:$B,0))="","",INDEX(Roster!$G:$G,MATCH($C993,Roster!$B:$B,0))&amp;""),"—"))</f>
        <v/>
      </c>
      <c r="J993" s="25">
        <f>IF($C993="","",IFERROR(IF(INDEX(Roster!$I:$I,MATCH($C993,Roster!$B:$B,0))="","",INDEX(Roster!$I:$I,MATCH($C993,Roster!$B:$B,0))&amp;""),"—"))</f>
        <v/>
      </c>
      <c r="K993">
        <f>IF($C993="","",IFERROR(IF(INDEX(Roster!$J:$J,MATCH($C993,Roster!$B:$B,0))="","",INDEX(Roster!$J:$J,MATCH($C993,Roster!$B:$B,0))&amp;""),"—"))</f>
        <v/>
      </c>
      <c r="L993">
        <f>IF($C993="","",IFERROR(IF(INDEX(Roster!$K:$K,MATCH($C993,Roster!$B:$B,0))="","",INDEX(Roster!$K:$K,MATCH($C993,Roster!$B:$B,0))&amp;""),"—"))</f>
        <v/>
      </c>
      <c r="M993" s="27" t="n"/>
      <c r="N993" s="27" t="n"/>
      <c r="O993" s="25">
        <f>IF($C993="","",IF($P993="","—",IF($P993="Valid (Pass)","Valid","Invalid")))</f>
        <v/>
      </c>
      <c r="P993" s="27" t="n"/>
      <c r="Q993" s="27" t="n"/>
      <c r="R993" s="27" t="n"/>
      <c r="S993" s="27" t="n"/>
      <c r="T993" s="25">
        <f>IF($C993="","",IF(OR(ISNUMBER(SEARCH("quick case",$P993)),ISNUMBER(SEARCH("quick case",$Q993))),"Yes","No"))</f>
        <v/>
      </c>
      <c r="U993" s="25">
        <f>IF($O993="Invalid",HYPERLINK("mailto:"&amp;$G993&amp;";"&amp;$I993&amp;"?cc="&amp;Lists!$E$2&amp;"&amp;subject="&amp;_xlfn.ENCODEURL("[INVALID] Quality audit monitoring completed for "&amp;UPPER($C993))&amp;"&amp;body="&amp;_xlfn.ENCODEURL("Hi "&amp;$F993&amp;","&amp;CHAR(10)&amp;"Good day!"&amp;CHAR(10)&amp;CHAR(10)&amp;"A quality monitoring audit has been completed for "&amp;$C993&amp;"."&amp;CHAR(10)&amp;CHAR(10)&amp;"QUALITY AUDIT DETAILS"&amp;CHAR(10)&amp;"Agent Name: "&amp;$C993&amp;" (EID "&amp;$D993&amp;")"&amp;CHAR(10)&amp;"Audit Date: "&amp;TEXT($B993,"yyyy-mm-dd")&amp;CHAR(10)&amp;"Team Leader: "&amp;$F993&amp;CHAR(10)&amp;"Case Number: "&amp;$M993&amp;CHAR(10)&amp;"Transaction ID: "&amp;$N993&amp;CHAR(10)&amp;"Channel / LOB: "&amp;$K993&amp;" / "&amp;$L993&amp;CHAR(10)&amp;"Evaluator: "&amp;$S993&amp;CHAR(10)&amp;CHAR(10)&amp;"INVALID QUALITY AUDIT DETAILS"&amp;CHAR(10)&amp;"Validation: Invalid"&amp;CHAR(10)&amp;"Invalid Reason: "&amp;$P993&amp;CHAR(10)&amp;"Expected Resolution Code: "&amp;$Q993&amp;CHAR(10)&amp;"Remarks: "&amp;LEFT($R993,600)&amp;CHAR(10)&amp;CHAR(10)&amp;"This is an automated notification from HP Mainstream EQMS."),"✉ Open Email Draft"),"")</f>
        <v/>
      </c>
    </row>
    <row r="994">
      <c r="A994" s="25">
        <f>IF($C994="","","AUD-2026-"&amp;TEXT(ROW()-1,"000000"))</f>
        <v/>
      </c>
      <c r="B994" s="26" t="n"/>
      <c r="C994" s="27" t="n"/>
      <c r="D994" s="25">
        <f>IF($C994="","",IFERROR(IF(INDEX(Roster!$A:$A,MATCH($C994,Roster!$B:$B,0))="","",INDEX(Roster!$A:$A,MATCH($C994,Roster!$B:$B,0))&amp;""),"—"))</f>
        <v/>
      </c>
      <c r="E994" s="25">
        <f>IF($C994="","",IFERROR(IF(INDEX(Roster!$C:$C,MATCH($C994,Roster!$B:$B,0))="","",INDEX(Roster!$C:$C,MATCH($C994,Roster!$B:$B,0))&amp;""),"—"))</f>
        <v/>
      </c>
      <c r="F994" s="25">
        <f>IF($C994="","",IFERROR(IF(INDEX(Roster!$D:$D,MATCH($C994,Roster!$B:$B,0))="","",INDEX(Roster!$D:$D,MATCH($C994,Roster!$B:$B,0))&amp;""),"—"))</f>
        <v/>
      </c>
      <c r="G994" s="25">
        <f>IF($C994="","",IFERROR(IF(INDEX(Roster!$E:$E,MATCH($C994,Roster!$B:$B,0))="","",INDEX(Roster!$E:$E,MATCH($C994,Roster!$B:$B,0))&amp;""),"—"))</f>
        <v/>
      </c>
      <c r="H994" s="25">
        <f>IF($C994="","",IFERROR(IF(INDEX(Roster!$F:$F,MATCH($C994,Roster!$B:$B,0))="","",INDEX(Roster!$F:$F,MATCH($C994,Roster!$B:$B,0))&amp;""),"—"))</f>
        <v/>
      </c>
      <c r="I994" s="25">
        <f>IF($C994="","",IFERROR(IF(INDEX(Roster!$G:$G,MATCH($C994,Roster!$B:$B,0))="","",INDEX(Roster!$G:$G,MATCH($C994,Roster!$B:$B,0))&amp;""),"—"))</f>
        <v/>
      </c>
      <c r="J994" s="25">
        <f>IF($C994="","",IFERROR(IF(INDEX(Roster!$I:$I,MATCH($C994,Roster!$B:$B,0))="","",INDEX(Roster!$I:$I,MATCH($C994,Roster!$B:$B,0))&amp;""),"—"))</f>
        <v/>
      </c>
      <c r="K994">
        <f>IF($C994="","",IFERROR(IF(INDEX(Roster!$J:$J,MATCH($C994,Roster!$B:$B,0))="","",INDEX(Roster!$J:$J,MATCH($C994,Roster!$B:$B,0))&amp;""),"—"))</f>
        <v/>
      </c>
      <c r="L994">
        <f>IF($C994="","",IFERROR(IF(INDEX(Roster!$K:$K,MATCH($C994,Roster!$B:$B,0))="","",INDEX(Roster!$K:$K,MATCH($C994,Roster!$B:$B,0))&amp;""),"—"))</f>
        <v/>
      </c>
      <c r="M994" s="27" t="n"/>
      <c r="N994" s="27" t="n"/>
      <c r="O994" s="25">
        <f>IF($C994="","",IF($P994="","—",IF($P994="Valid (Pass)","Valid","Invalid")))</f>
        <v/>
      </c>
      <c r="P994" s="27" t="n"/>
      <c r="Q994" s="27" t="n"/>
      <c r="R994" s="27" t="n"/>
      <c r="S994" s="27" t="n"/>
      <c r="T994" s="25">
        <f>IF($C994="","",IF(OR(ISNUMBER(SEARCH("quick case",$P994)),ISNUMBER(SEARCH("quick case",$Q994))),"Yes","No"))</f>
        <v/>
      </c>
      <c r="U994" s="25">
        <f>IF($O994="Invalid",HYPERLINK("mailto:"&amp;$G994&amp;";"&amp;$I994&amp;"?cc="&amp;Lists!$E$2&amp;"&amp;subject="&amp;_xlfn.ENCODEURL("[INVALID] Quality audit monitoring completed for "&amp;UPPER($C994))&amp;"&amp;body="&amp;_xlfn.ENCODEURL("Hi "&amp;$F994&amp;","&amp;CHAR(10)&amp;"Good day!"&amp;CHAR(10)&amp;CHAR(10)&amp;"A quality monitoring audit has been completed for "&amp;$C994&amp;"."&amp;CHAR(10)&amp;CHAR(10)&amp;"QUALITY AUDIT DETAILS"&amp;CHAR(10)&amp;"Agent Name: "&amp;$C994&amp;" (EID "&amp;$D994&amp;")"&amp;CHAR(10)&amp;"Audit Date: "&amp;TEXT($B994,"yyyy-mm-dd")&amp;CHAR(10)&amp;"Team Leader: "&amp;$F994&amp;CHAR(10)&amp;"Case Number: "&amp;$M994&amp;CHAR(10)&amp;"Transaction ID: "&amp;$N994&amp;CHAR(10)&amp;"Channel / LOB: "&amp;$K994&amp;" / "&amp;$L994&amp;CHAR(10)&amp;"Evaluator: "&amp;$S994&amp;CHAR(10)&amp;CHAR(10)&amp;"INVALID QUALITY AUDIT DETAILS"&amp;CHAR(10)&amp;"Validation: Invalid"&amp;CHAR(10)&amp;"Invalid Reason: "&amp;$P994&amp;CHAR(10)&amp;"Expected Resolution Code: "&amp;$Q994&amp;CHAR(10)&amp;"Remarks: "&amp;LEFT($R994,600)&amp;CHAR(10)&amp;CHAR(10)&amp;"This is an automated notification from HP Mainstream EQMS."),"✉ Open Email Draft"),"")</f>
        <v/>
      </c>
    </row>
    <row r="995">
      <c r="A995" s="25">
        <f>IF($C995="","","AUD-2026-"&amp;TEXT(ROW()-1,"000000"))</f>
        <v/>
      </c>
      <c r="B995" s="26" t="n"/>
      <c r="C995" s="27" t="n"/>
      <c r="D995" s="25">
        <f>IF($C995="","",IFERROR(IF(INDEX(Roster!$A:$A,MATCH($C995,Roster!$B:$B,0))="","",INDEX(Roster!$A:$A,MATCH($C995,Roster!$B:$B,0))&amp;""),"—"))</f>
        <v/>
      </c>
      <c r="E995" s="25">
        <f>IF($C995="","",IFERROR(IF(INDEX(Roster!$C:$C,MATCH($C995,Roster!$B:$B,0))="","",INDEX(Roster!$C:$C,MATCH($C995,Roster!$B:$B,0))&amp;""),"—"))</f>
        <v/>
      </c>
      <c r="F995" s="25">
        <f>IF($C995="","",IFERROR(IF(INDEX(Roster!$D:$D,MATCH($C995,Roster!$B:$B,0))="","",INDEX(Roster!$D:$D,MATCH($C995,Roster!$B:$B,0))&amp;""),"—"))</f>
        <v/>
      </c>
      <c r="G995" s="25">
        <f>IF($C995="","",IFERROR(IF(INDEX(Roster!$E:$E,MATCH($C995,Roster!$B:$B,0))="","",INDEX(Roster!$E:$E,MATCH($C995,Roster!$B:$B,0))&amp;""),"—"))</f>
        <v/>
      </c>
      <c r="H995" s="25">
        <f>IF($C995="","",IFERROR(IF(INDEX(Roster!$F:$F,MATCH($C995,Roster!$B:$B,0))="","",INDEX(Roster!$F:$F,MATCH($C995,Roster!$B:$B,0))&amp;""),"—"))</f>
        <v/>
      </c>
      <c r="I995" s="25">
        <f>IF($C995="","",IFERROR(IF(INDEX(Roster!$G:$G,MATCH($C995,Roster!$B:$B,0))="","",INDEX(Roster!$G:$G,MATCH($C995,Roster!$B:$B,0))&amp;""),"—"))</f>
        <v/>
      </c>
      <c r="J995" s="25">
        <f>IF($C995="","",IFERROR(IF(INDEX(Roster!$I:$I,MATCH($C995,Roster!$B:$B,0))="","",INDEX(Roster!$I:$I,MATCH($C995,Roster!$B:$B,0))&amp;""),"—"))</f>
        <v/>
      </c>
      <c r="K995">
        <f>IF($C995="","",IFERROR(IF(INDEX(Roster!$J:$J,MATCH($C995,Roster!$B:$B,0))="","",INDEX(Roster!$J:$J,MATCH($C995,Roster!$B:$B,0))&amp;""),"—"))</f>
        <v/>
      </c>
      <c r="L995">
        <f>IF($C995="","",IFERROR(IF(INDEX(Roster!$K:$K,MATCH($C995,Roster!$B:$B,0))="","",INDEX(Roster!$K:$K,MATCH($C995,Roster!$B:$B,0))&amp;""),"—"))</f>
        <v/>
      </c>
      <c r="M995" s="27" t="n"/>
      <c r="N995" s="27" t="n"/>
      <c r="O995" s="25">
        <f>IF($C995="","",IF($P995="","—",IF($P995="Valid (Pass)","Valid","Invalid")))</f>
        <v/>
      </c>
      <c r="P995" s="27" t="n"/>
      <c r="Q995" s="27" t="n"/>
      <c r="R995" s="27" t="n"/>
      <c r="S995" s="27" t="n"/>
      <c r="T995" s="25">
        <f>IF($C995="","",IF(OR(ISNUMBER(SEARCH("quick case",$P995)),ISNUMBER(SEARCH("quick case",$Q995))),"Yes","No"))</f>
        <v/>
      </c>
      <c r="U995" s="25">
        <f>IF($O995="Invalid",HYPERLINK("mailto:"&amp;$G995&amp;";"&amp;$I995&amp;"?cc="&amp;Lists!$E$2&amp;"&amp;subject="&amp;_xlfn.ENCODEURL("[INVALID] Quality audit monitoring completed for "&amp;UPPER($C995))&amp;"&amp;body="&amp;_xlfn.ENCODEURL("Hi "&amp;$F995&amp;","&amp;CHAR(10)&amp;"Good day!"&amp;CHAR(10)&amp;CHAR(10)&amp;"A quality monitoring audit has been completed for "&amp;$C995&amp;"."&amp;CHAR(10)&amp;CHAR(10)&amp;"QUALITY AUDIT DETAILS"&amp;CHAR(10)&amp;"Agent Name: "&amp;$C995&amp;" (EID "&amp;$D995&amp;")"&amp;CHAR(10)&amp;"Audit Date: "&amp;TEXT($B995,"yyyy-mm-dd")&amp;CHAR(10)&amp;"Team Leader: "&amp;$F995&amp;CHAR(10)&amp;"Case Number: "&amp;$M995&amp;CHAR(10)&amp;"Transaction ID: "&amp;$N995&amp;CHAR(10)&amp;"Channel / LOB: "&amp;$K995&amp;" / "&amp;$L995&amp;CHAR(10)&amp;"Evaluator: "&amp;$S995&amp;CHAR(10)&amp;CHAR(10)&amp;"INVALID QUALITY AUDIT DETAILS"&amp;CHAR(10)&amp;"Validation: Invalid"&amp;CHAR(10)&amp;"Invalid Reason: "&amp;$P995&amp;CHAR(10)&amp;"Expected Resolution Code: "&amp;$Q995&amp;CHAR(10)&amp;"Remarks: "&amp;LEFT($R995,600)&amp;CHAR(10)&amp;CHAR(10)&amp;"This is an automated notification from HP Mainstream EQMS."),"✉ Open Email Draft"),"")</f>
        <v/>
      </c>
    </row>
    <row r="996">
      <c r="A996" s="25">
        <f>IF($C996="","","AUD-2026-"&amp;TEXT(ROW()-1,"000000"))</f>
        <v/>
      </c>
      <c r="B996" s="26" t="n"/>
      <c r="C996" s="27" t="n"/>
      <c r="D996" s="25">
        <f>IF($C996="","",IFERROR(IF(INDEX(Roster!$A:$A,MATCH($C996,Roster!$B:$B,0))="","",INDEX(Roster!$A:$A,MATCH($C996,Roster!$B:$B,0))&amp;""),"—"))</f>
        <v/>
      </c>
      <c r="E996" s="25">
        <f>IF($C996="","",IFERROR(IF(INDEX(Roster!$C:$C,MATCH($C996,Roster!$B:$B,0))="","",INDEX(Roster!$C:$C,MATCH($C996,Roster!$B:$B,0))&amp;""),"—"))</f>
        <v/>
      </c>
      <c r="F996" s="25">
        <f>IF($C996="","",IFERROR(IF(INDEX(Roster!$D:$D,MATCH($C996,Roster!$B:$B,0))="","",INDEX(Roster!$D:$D,MATCH($C996,Roster!$B:$B,0))&amp;""),"—"))</f>
        <v/>
      </c>
      <c r="G996" s="25">
        <f>IF($C996="","",IFERROR(IF(INDEX(Roster!$E:$E,MATCH($C996,Roster!$B:$B,0))="","",INDEX(Roster!$E:$E,MATCH($C996,Roster!$B:$B,0))&amp;""),"—"))</f>
        <v/>
      </c>
      <c r="H996" s="25">
        <f>IF($C996="","",IFERROR(IF(INDEX(Roster!$F:$F,MATCH($C996,Roster!$B:$B,0))="","",INDEX(Roster!$F:$F,MATCH($C996,Roster!$B:$B,0))&amp;""),"—"))</f>
        <v/>
      </c>
      <c r="I996" s="25">
        <f>IF($C996="","",IFERROR(IF(INDEX(Roster!$G:$G,MATCH($C996,Roster!$B:$B,0))="","",INDEX(Roster!$G:$G,MATCH($C996,Roster!$B:$B,0))&amp;""),"—"))</f>
        <v/>
      </c>
      <c r="J996" s="25">
        <f>IF($C996="","",IFERROR(IF(INDEX(Roster!$I:$I,MATCH($C996,Roster!$B:$B,0))="","",INDEX(Roster!$I:$I,MATCH($C996,Roster!$B:$B,0))&amp;""),"—"))</f>
        <v/>
      </c>
      <c r="K996">
        <f>IF($C996="","",IFERROR(IF(INDEX(Roster!$J:$J,MATCH($C996,Roster!$B:$B,0))="","",INDEX(Roster!$J:$J,MATCH($C996,Roster!$B:$B,0))&amp;""),"—"))</f>
        <v/>
      </c>
      <c r="L996">
        <f>IF($C996="","",IFERROR(IF(INDEX(Roster!$K:$K,MATCH($C996,Roster!$B:$B,0))="","",INDEX(Roster!$K:$K,MATCH($C996,Roster!$B:$B,0))&amp;""),"—"))</f>
        <v/>
      </c>
      <c r="M996" s="27" t="n"/>
      <c r="N996" s="27" t="n"/>
      <c r="O996" s="25">
        <f>IF($C996="","",IF($P996="","—",IF($P996="Valid (Pass)","Valid","Invalid")))</f>
        <v/>
      </c>
      <c r="P996" s="27" t="n"/>
      <c r="Q996" s="27" t="n"/>
      <c r="R996" s="27" t="n"/>
      <c r="S996" s="27" t="n"/>
      <c r="T996" s="25">
        <f>IF($C996="","",IF(OR(ISNUMBER(SEARCH("quick case",$P996)),ISNUMBER(SEARCH("quick case",$Q996))),"Yes","No"))</f>
        <v/>
      </c>
      <c r="U996" s="25">
        <f>IF($O996="Invalid",HYPERLINK("mailto:"&amp;$G996&amp;";"&amp;$I996&amp;"?cc="&amp;Lists!$E$2&amp;"&amp;subject="&amp;_xlfn.ENCODEURL("[INVALID] Quality audit monitoring completed for "&amp;UPPER($C996))&amp;"&amp;body="&amp;_xlfn.ENCODEURL("Hi "&amp;$F996&amp;","&amp;CHAR(10)&amp;"Good day!"&amp;CHAR(10)&amp;CHAR(10)&amp;"A quality monitoring audit has been completed for "&amp;$C996&amp;"."&amp;CHAR(10)&amp;CHAR(10)&amp;"QUALITY AUDIT DETAILS"&amp;CHAR(10)&amp;"Agent Name: "&amp;$C996&amp;" (EID "&amp;$D996&amp;")"&amp;CHAR(10)&amp;"Audit Date: "&amp;TEXT($B996,"yyyy-mm-dd")&amp;CHAR(10)&amp;"Team Leader: "&amp;$F996&amp;CHAR(10)&amp;"Case Number: "&amp;$M996&amp;CHAR(10)&amp;"Transaction ID: "&amp;$N996&amp;CHAR(10)&amp;"Channel / LOB: "&amp;$K996&amp;" / "&amp;$L996&amp;CHAR(10)&amp;"Evaluator: "&amp;$S996&amp;CHAR(10)&amp;CHAR(10)&amp;"INVALID QUALITY AUDIT DETAILS"&amp;CHAR(10)&amp;"Validation: Invalid"&amp;CHAR(10)&amp;"Invalid Reason: "&amp;$P996&amp;CHAR(10)&amp;"Expected Resolution Code: "&amp;$Q996&amp;CHAR(10)&amp;"Remarks: "&amp;LEFT($R996,600)&amp;CHAR(10)&amp;CHAR(10)&amp;"This is an automated notification from HP Mainstream EQMS."),"✉ Open Email Draft"),"")</f>
        <v/>
      </c>
    </row>
    <row r="997">
      <c r="A997" s="25">
        <f>IF($C997="","","AUD-2026-"&amp;TEXT(ROW()-1,"000000"))</f>
        <v/>
      </c>
      <c r="B997" s="26" t="n"/>
      <c r="C997" s="27" t="n"/>
      <c r="D997" s="25">
        <f>IF($C997="","",IFERROR(IF(INDEX(Roster!$A:$A,MATCH($C997,Roster!$B:$B,0))="","",INDEX(Roster!$A:$A,MATCH($C997,Roster!$B:$B,0))&amp;""),"—"))</f>
        <v/>
      </c>
      <c r="E997" s="25">
        <f>IF($C997="","",IFERROR(IF(INDEX(Roster!$C:$C,MATCH($C997,Roster!$B:$B,0))="","",INDEX(Roster!$C:$C,MATCH($C997,Roster!$B:$B,0))&amp;""),"—"))</f>
        <v/>
      </c>
      <c r="F997" s="25">
        <f>IF($C997="","",IFERROR(IF(INDEX(Roster!$D:$D,MATCH($C997,Roster!$B:$B,0))="","",INDEX(Roster!$D:$D,MATCH($C997,Roster!$B:$B,0))&amp;""),"—"))</f>
        <v/>
      </c>
      <c r="G997" s="25">
        <f>IF($C997="","",IFERROR(IF(INDEX(Roster!$E:$E,MATCH($C997,Roster!$B:$B,0))="","",INDEX(Roster!$E:$E,MATCH($C997,Roster!$B:$B,0))&amp;""),"—"))</f>
        <v/>
      </c>
      <c r="H997" s="25">
        <f>IF($C997="","",IFERROR(IF(INDEX(Roster!$F:$F,MATCH($C997,Roster!$B:$B,0))="","",INDEX(Roster!$F:$F,MATCH($C997,Roster!$B:$B,0))&amp;""),"—"))</f>
        <v/>
      </c>
      <c r="I997" s="25">
        <f>IF($C997="","",IFERROR(IF(INDEX(Roster!$G:$G,MATCH($C997,Roster!$B:$B,0))="","",INDEX(Roster!$G:$G,MATCH($C997,Roster!$B:$B,0))&amp;""),"—"))</f>
        <v/>
      </c>
      <c r="J997" s="25">
        <f>IF($C997="","",IFERROR(IF(INDEX(Roster!$I:$I,MATCH($C997,Roster!$B:$B,0))="","",INDEX(Roster!$I:$I,MATCH($C997,Roster!$B:$B,0))&amp;""),"—"))</f>
        <v/>
      </c>
      <c r="K997">
        <f>IF($C997="","",IFERROR(IF(INDEX(Roster!$J:$J,MATCH($C997,Roster!$B:$B,0))="","",INDEX(Roster!$J:$J,MATCH($C997,Roster!$B:$B,0))&amp;""),"—"))</f>
        <v/>
      </c>
      <c r="L997">
        <f>IF($C997="","",IFERROR(IF(INDEX(Roster!$K:$K,MATCH($C997,Roster!$B:$B,0))="","",INDEX(Roster!$K:$K,MATCH($C997,Roster!$B:$B,0))&amp;""),"—"))</f>
        <v/>
      </c>
      <c r="M997" s="27" t="n"/>
      <c r="N997" s="27" t="n"/>
      <c r="O997" s="25">
        <f>IF($C997="","",IF($P997="","—",IF($P997="Valid (Pass)","Valid","Invalid")))</f>
        <v/>
      </c>
      <c r="P997" s="27" t="n"/>
      <c r="Q997" s="27" t="n"/>
      <c r="R997" s="27" t="n"/>
      <c r="S997" s="27" t="n"/>
      <c r="T997" s="25">
        <f>IF($C997="","",IF(OR(ISNUMBER(SEARCH("quick case",$P997)),ISNUMBER(SEARCH("quick case",$Q997))),"Yes","No"))</f>
        <v/>
      </c>
      <c r="U997" s="25">
        <f>IF($O997="Invalid",HYPERLINK("mailto:"&amp;$G997&amp;";"&amp;$I997&amp;"?cc="&amp;Lists!$E$2&amp;"&amp;subject="&amp;_xlfn.ENCODEURL("[INVALID] Quality audit monitoring completed for "&amp;UPPER($C997))&amp;"&amp;body="&amp;_xlfn.ENCODEURL("Hi "&amp;$F997&amp;","&amp;CHAR(10)&amp;"Good day!"&amp;CHAR(10)&amp;CHAR(10)&amp;"A quality monitoring audit has been completed for "&amp;$C997&amp;"."&amp;CHAR(10)&amp;CHAR(10)&amp;"QUALITY AUDIT DETAILS"&amp;CHAR(10)&amp;"Agent Name: "&amp;$C997&amp;" (EID "&amp;$D997&amp;")"&amp;CHAR(10)&amp;"Audit Date: "&amp;TEXT($B997,"yyyy-mm-dd")&amp;CHAR(10)&amp;"Team Leader: "&amp;$F997&amp;CHAR(10)&amp;"Case Number: "&amp;$M997&amp;CHAR(10)&amp;"Transaction ID: "&amp;$N997&amp;CHAR(10)&amp;"Channel / LOB: "&amp;$K997&amp;" / "&amp;$L997&amp;CHAR(10)&amp;"Evaluator: "&amp;$S997&amp;CHAR(10)&amp;CHAR(10)&amp;"INVALID QUALITY AUDIT DETAILS"&amp;CHAR(10)&amp;"Validation: Invalid"&amp;CHAR(10)&amp;"Invalid Reason: "&amp;$P997&amp;CHAR(10)&amp;"Expected Resolution Code: "&amp;$Q997&amp;CHAR(10)&amp;"Remarks: "&amp;LEFT($R997,600)&amp;CHAR(10)&amp;CHAR(10)&amp;"This is an automated notification from HP Mainstream EQMS."),"✉ Open Email Draft"),"")</f>
        <v/>
      </c>
    </row>
    <row r="998">
      <c r="A998" s="25">
        <f>IF($C998="","","AUD-2026-"&amp;TEXT(ROW()-1,"000000"))</f>
        <v/>
      </c>
      <c r="B998" s="26" t="n"/>
      <c r="C998" s="27" t="n"/>
      <c r="D998" s="25">
        <f>IF($C998="","",IFERROR(IF(INDEX(Roster!$A:$A,MATCH($C998,Roster!$B:$B,0))="","",INDEX(Roster!$A:$A,MATCH($C998,Roster!$B:$B,0))&amp;""),"—"))</f>
        <v/>
      </c>
      <c r="E998" s="25">
        <f>IF($C998="","",IFERROR(IF(INDEX(Roster!$C:$C,MATCH($C998,Roster!$B:$B,0))="","",INDEX(Roster!$C:$C,MATCH($C998,Roster!$B:$B,0))&amp;""),"—"))</f>
        <v/>
      </c>
      <c r="F998" s="25">
        <f>IF($C998="","",IFERROR(IF(INDEX(Roster!$D:$D,MATCH($C998,Roster!$B:$B,0))="","",INDEX(Roster!$D:$D,MATCH($C998,Roster!$B:$B,0))&amp;""),"—"))</f>
        <v/>
      </c>
      <c r="G998" s="25">
        <f>IF($C998="","",IFERROR(IF(INDEX(Roster!$E:$E,MATCH($C998,Roster!$B:$B,0))="","",INDEX(Roster!$E:$E,MATCH($C998,Roster!$B:$B,0))&amp;""),"—"))</f>
        <v/>
      </c>
      <c r="H998" s="25">
        <f>IF($C998="","",IFERROR(IF(INDEX(Roster!$F:$F,MATCH($C998,Roster!$B:$B,0))="","",INDEX(Roster!$F:$F,MATCH($C998,Roster!$B:$B,0))&amp;""),"—"))</f>
        <v/>
      </c>
      <c r="I998" s="25">
        <f>IF($C998="","",IFERROR(IF(INDEX(Roster!$G:$G,MATCH($C998,Roster!$B:$B,0))="","",INDEX(Roster!$G:$G,MATCH($C998,Roster!$B:$B,0))&amp;""),"—"))</f>
        <v/>
      </c>
      <c r="J998" s="25">
        <f>IF($C998="","",IFERROR(IF(INDEX(Roster!$I:$I,MATCH($C998,Roster!$B:$B,0))="","",INDEX(Roster!$I:$I,MATCH($C998,Roster!$B:$B,0))&amp;""),"—"))</f>
        <v/>
      </c>
      <c r="K998">
        <f>IF($C998="","",IFERROR(IF(INDEX(Roster!$J:$J,MATCH($C998,Roster!$B:$B,0))="","",INDEX(Roster!$J:$J,MATCH($C998,Roster!$B:$B,0))&amp;""),"—"))</f>
        <v/>
      </c>
      <c r="L998">
        <f>IF($C998="","",IFERROR(IF(INDEX(Roster!$K:$K,MATCH($C998,Roster!$B:$B,0))="","",INDEX(Roster!$K:$K,MATCH($C998,Roster!$B:$B,0))&amp;""),"—"))</f>
        <v/>
      </c>
      <c r="M998" s="27" t="n"/>
      <c r="N998" s="27" t="n"/>
      <c r="O998" s="25">
        <f>IF($C998="","",IF($P998="","—",IF($P998="Valid (Pass)","Valid","Invalid")))</f>
        <v/>
      </c>
      <c r="P998" s="27" t="n"/>
      <c r="Q998" s="27" t="n"/>
      <c r="R998" s="27" t="n"/>
      <c r="S998" s="27" t="n"/>
      <c r="T998" s="25">
        <f>IF($C998="","",IF(OR(ISNUMBER(SEARCH("quick case",$P998)),ISNUMBER(SEARCH("quick case",$Q998))),"Yes","No"))</f>
        <v/>
      </c>
      <c r="U998" s="25">
        <f>IF($O998="Invalid",HYPERLINK("mailto:"&amp;$G998&amp;";"&amp;$I998&amp;"?cc="&amp;Lists!$E$2&amp;"&amp;subject="&amp;_xlfn.ENCODEURL("[INVALID] Quality audit monitoring completed for "&amp;UPPER($C998))&amp;"&amp;body="&amp;_xlfn.ENCODEURL("Hi "&amp;$F998&amp;","&amp;CHAR(10)&amp;"Good day!"&amp;CHAR(10)&amp;CHAR(10)&amp;"A quality monitoring audit has been completed for "&amp;$C998&amp;"."&amp;CHAR(10)&amp;CHAR(10)&amp;"QUALITY AUDIT DETAILS"&amp;CHAR(10)&amp;"Agent Name: "&amp;$C998&amp;" (EID "&amp;$D998&amp;")"&amp;CHAR(10)&amp;"Audit Date: "&amp;TEXT($B998,"yyyy-mm-dd")&amp;CHAR(10)&amp;"Team Leader: "&amp;$F998&amp;CHAR(10)&amp;"Case Number: "&amp;$M998&amp;CHAR(10)&amp;"Transaction ID: "&amp;$N998&amp;CHAR(10)&amp;"Channel / LOB: "&amp;$K998&amp;" / "&amp;$L998&amp;CHAR(10)&amp;"Evaluator: "&amp;$S998&amp;CHAR(10)&amp;CHAR(10)&amp;"INVALID QUALITY AUDIT DETAILS"&amp;CHAR(10)&amp;"Validation: Invalid"&amp;CHAR(10)&amp;"Invalid Reason: "&amp;$P998&amp;CHAR(10)&amp;"Expected Resolution Code: "&amp;$Q998&amp;CHAR(10)&amp;"Remarks: "&amp;LEFT($R998,600)&amp;CHAR(10)&amp;CHAR(10)&amp;"This is an automated notification from HP Mainstream EQMS."),"✉ Open Email Draft"),"")</f>
        <v/>
      </c>
    </row>
    <row r="999">
      <c r="A999" s="25">
        <f>IF($C999="","","AUD-2026-"&amp;TEXT(ROW()-1,"000000"))</f>
        <v/>
      </c>
      <c r="B999" s="26" t="n"/>
      <c r="C999" s="27" t="n"/>
      <c r="D999" s="25">
        <f>IF($C999="","",IFERROR(IF(INDEX(Roster!$A:$A,MATCH($C999,Roster!$B:$B,0))="","",INDEX(Roster!$A:$A,MATCH($C999,Roster!$B:$B,0))&amp;""),"—"))</f>
        <v/>
      </c>
      <c r="E999" s="25">
        <f>IF($C999="","",IFERROR(IF(INDEX(Roster!$C:$C,MATCH($C999,Roster!$B:$B,0))="","",INDEX(Roster!$C:$C,MATCH($C999,Roster!$B:$B,0))&amp;""),"—"))</f>
        <v/>
      </c>
      <c r="F999" s="25">
        <f>IF($C999="","",IFERROR(IF(INDEX(Roster!$D:$D,MATCH($C999,Roster!$B:$B,0))="","",INDEX(Roster!$D:$D,MATCH($C999,Roster!$B:$B,0))&amp;""),"—"))</f>
        <v/>
      </c>
      <c r="G999" s="25">
        <f>IF($C999="","",IFERROR(IF(INDEX(Roster!$E:$E,MATCH($C999,Roster!$B:$B,0))="","",INDEX(Roster!$E:$E,MATCH($C999,Roster!$B:$B,0))&amp;""),"—"))</f>
        <v/>
      </c>
      <c r="H999" s="25">
        <f>IF($C999="","",IFERROR(IF(INDEX(Roster!$F:$F,MATCH($C999,Roster!$B:$B,0))="","",INDEX(Roster!$F:$F,MATCH($C999,Roster!$B:$B,0))&amp;""),"—"))</f>
        <v/>
      </c>
      <c r="I999" s="25">
        <f>IF($C999="","",IFERROR(IF(INDEX(Roster!$G:$G,MATCH($C999,Roster!$B:$B,0))="","",INDEX(Roster!$G:$G,MATCH($C999,Roster!$B:$B,0))&amp;""),"—"))</f>
        <v/>
      </c>
      <c r="J999" s="25">
        <f>IF($C999="","",IFERROR(IF(INDEX(Roster!$I:$I,MATCH($C999,Roster!$B:$B,0))="","",INDEX(Roster!$I:$I,MATCH($C999,Roster!$B:$B,0))&amp;""),"—"))</f>
        <v/>
      </c>
      <c r="K999">
        <f>IF($C999="","",IFERROR(IF(INDEX(Roster!$J:$J,MATCH($C999,Roster!$B:$B,0))="","",INDEX(Roster!$J:$J,MATCH($C999,Roster!$B:$B,0))&amp;""),"—"))</f>
        <v/>
      </c>
      <c r="L999">
        <f>IF($C999="","",IFERROR(IF(INDEX(Roster!$K:$K,MATCH($C999,Roster!$B:$B,0))="","",INDEX(Roster!$K:$K,MATCH($C999,Roster!$B:$B,0))&amp;""),"—"))</f>
        <v/>
      </c>
      <c r="M999" s="27" t="n"/>
      <c r="N999" s="27" t="n"/>
      <c r="O999" s="25">
        <f>IF($C999="","",IF($P999="","—",IF($P999="Valid (Pass)","Valid","Invalid")))</f>
        <v/>
      </c>
      <c r="P999" s="27" t="n"/>
      <c r="Q999" s="27" t="n"/>
      <c r="R999" s="27" t="n"/>
      <c r="S999" s="27" t="n"/>
      <c r="T999" s="25">
        <f>IF($C999="","",IF(OR(ISNUMBER(SEARCH("quick case",$P999)),ISNUMBER(SEARCH("quick case",$Q999))),"Yes","No"))</f>
        <v/>
      </c>
      <c r="U999" s="25">
        <f>IF($O999="Invalid",HYPERLINK("mailto:"&amp;$G999&amp;";"&amp;$I999&amp;"?cc="&amp;Lists!$E$2&amp;"&amp;subject="&amp;_xlfn.ENCODEURL("[INVALID] Quality audit monitoring completed for "&amp;UPPER($C999))&amp;"&amp;body="&amp;_xlfn.ENCODEURL("Hi "&amp;$F999&amp;","&amp;CHAR(10)&amp;"Good day!"&amp;CHAR(10)&amp;CHAR(10)&amp;"A quality monitoring audit has been completed for "&amp;$C999&amp;"."&amp;CHAR(10)&amp;CHAR(10)&amp;"QUALITY AUDIT DETAILS"&amp;CHAR(10)&amp;"Agent Name: "&amp;$C999&amp;" (EID "&amp;$D999&amp;")"&amp;CHAR(10)&amp;"Audit Date: "&amp;TEXT($B999,"yyyy-mm-dd")&amp;CHAR(10)&amp;"Team Leader: "&amp;$F999&amp;CHAR(10)&amp;"Case Number: "&amp;$M999&amp;CHAR(10)&amp;"Transaction ID: "&amp;$N999&amp;CHAR(10)&amp;"Channel / LOB: "&amp;$K999&amp;" / "&amp;$L999&amp;CHAR(10)&amp;"Evaluator: "&amp;$S999&amp;CHAR(10)&amp;CHAR(10)&amp;"INVALID QUALITY AUDIT DETAILS"&amp;CHAR(10)&amp;"Validation: Invalid"&amp;CHAR(10)&amp;"Invalid Reason: "&amp;$P999&amp;CHAR(10)&amp;"Expected Resolution Code: "&amp;$Q999&amp;CHAR(10)&amp;"Remarks: "&amp;LEFT($R999,600)&amp;CHAR(10)&amp;CHAR(10)&amp;"This is an automated notification from HP Mainstream EQMS."),"✉ Open Email Draft"),"")</f>
        <v/>
      </c>
    </row>
    <row r="1000">
      <c r="A1000" s="25">
        <f>IF($C1000="","","AUD-2026-"&amp;TEXT(ROW()-1,"000000"))</f>
        <v/>
      </c>
      <c r="B1000" s="26" t="n"/>
      <c r="C1000" s="27" t="n"/>
      <c r="D1000" s="25">
        <f>IF($C1000="","",IFERROR(IF(INDEX(Roster!$A:$A,MATCH($C1000,Roster!$B:$B,0))="","",INDEX(Roster!$A:$A,MATCH($C1000,Roster!$B:$B,0))&amp;""),"—"))</f>
        <v/>
      </c>
      <c r="E1000" s="25">
        <f>IF($C1000="","",IFERROR(IF(INDEX(Roster!$C:$C,MATCH($C1000,Roster!$B:$B,0))="","",INDEX(Roster!$C:$C,MATCH($C1000,Roster!$B:$B,0))&amp;""),"—"))</f>
        <v/>
      </c>
      <c r="F1000" s="25">
        <f>IF($C1000="","",IFERROR(IF(INDEX(Roster!$D:$D,MATCH($C1000,Roster!$B:$B,0))="","",INDEX(Roster!$D:$D,MATCH($C1000,Roster!$B:$B,0))&amp;""),"—"))</f>
        <v/>
      </c>
      <c r="G1000" s="25">
        <f>IF($C1000="","",IFERROR(IF(INDEX(Roster!$E:$E,MATCH($C1000,Roster!$B:$B,0))="","",INDEX(Roster!$E:$E,MATCH($C1000,Roster!$B:$B,0))&amp;""),"—"))</f>
        <v/>
      </c>
      <c r="H1000" s="25">
        <f>IF($C1000="","",IFERROR(IF(INDEX(Roster!$F:$F,MATCH($C1000,Roster!$B:$B,0))="","",INDEX(Roster!$F:$F,MATCH($C1000,Roster!$B:$B,0))&amp;""),"—"))</f>
        <v/>
      </c>
      <c r="I1000" s="25">
        <f>IF($C1000="","",IFERROR(IF(INDEX(Roster!$G:$G,MATCH($C1000,Roster!$B:$B,0))="","",INDEX(Roster!$G:$G,MATCH($C1000,Roster!$B:$B,0))&amp;""),"—"))</f>
        <v/>
      </c>
      <c r="J1000" s="25">
        <f>IF($C1000="","",IFERROR(IF(INDEX(Roster!$I:$I,MATCH($C1000,Roster!$B:$B,0))="","",INDEX(Roster!$I:$I,MATCH($C1000,Roster!$B:$B,0))&amp;""),"—"))</f>
        <v/>
      </c>
      <c r="K1000">
        <f>IF($C1000="","",IFERROR(IF(INDEX(Roster!$J:$J,MATCH($C1000,Roster!$B:$B,0))="","",INDEX(Roster!$J:$J,MATCH($C1000,Roster!$B:$B,0))&amp;""),"—"))</f>
        <v/>
      </c>
      <c r="L1000">
        <f>IF($C1000="","",IFERROR(IF(INDEX(Roster!$K:$K,MATCH($C1000,Roster!$B:$B,0))="","",INDEX(Roster!$K:$K,MATCH($C1000,Roster!$B:$B,0))&amp;""),"—"))</f>
        <v/>
      </c>
      <c r="M1000" s="27" t="n"/>
      <c r="N1000" s="27" t="n"/>
      <c r="O1000" s="25">
        <f>IF($C1000="","",IF($P1000="","—",IF($P1000="Valid (Pass)","Valid","Invalid")))</f>
        <v/>
      </c>
      <c r="P1000" s="27" t="n"/>
      <c r="Q1000" s="27" t="n"/>
      <c r="R1000" s="27" t="n"/>
      <c r="S1000" s="27" t="n"/>
      <c r="T1000" s="25">
        <f>IF($C1000="","",IF(OR(ISNUMBER(SEARCH("quick case",$P1000)),ISNUMBER(SEARCH("quick case",$Q1000))),"Yes","No"))</f>
        <v/>
      </c>
      <c r="U1000" s="25">
        <f>IF($O1000="Invalid",HYPERLINK("mailto:"&amp;$G1000&amp;";"&amp;$I1000&amp;"?cc="&amp;Lists!$E$2&amp;"&amp;subject="&amp;_xlfn.ENCODEURL("[INVALID] Quality audit monitoring completed for "&amp;UPPER($C1000))&amp;"&amp;body="&amp;_xlfn.ENCODEURL("Hi "&amp;$F1000&amp;","&amp;CHAR(10)&amp;"Good day!"&amp;CHAR(10)&amp;CHAR(10)&amp;"A quality monitoring audit has been completed for "&amp;$C1000&amp;"."&amp;CHAR(10)&amp;CHAR(10)&amp;"QUALITY AUDIT DETAILS"&amp;CHAR(10)&amp;"Agent Name: "&amp;$C1000&amp;" (EID "&amp;$D1000&amp;")"&amp;CHAR(10)&amp;"Audit Date: "&amp;TEXT($B1000,"yyyy-mm-dd")&amp;CHAR(10)&amp;"Team Leader: "&amp;$F1000&amp;CHAR(10)&amp;"Case Number: "&amp;$M1000&amp;CHAR(10)&amp;"Transaction ID: "&amp;$N1000&amp;CHAR(10)&amp;"Channel / LOB: "&amp;$K1000&amp;" / "&amp;$L1000&amp;CHAR(10)&amp;"Evaluator: "&amp;$S1000&amp;CHAR(10)&amp;CHAR(10)&amp;"INVALID QUALITY AUDIT DETAILS"&amp;CHAR(10)&amp;"Validation: Invalid"&amp;CHAR(10)&amp;"Invalid Reason: "&amp;$P1000&amp;CHAR(10)&amp;"Expected Resolution Code: "&amp;$Q1000&amp;CHAR(10)&amp;"Remarks: "&amp;LEFT($R1000,600)&amp;CHAR(10)&amp;CHAR(10)&amp;"This is an automated notification from HP Mainstream EQMS."),"✉ Open Email Draft"),"")</f>
        <v/>
      </c>
    </row>
    <row r="1001">
      <c r="A1001" s="25">
        <f>IF($C1001="","","AUD-2026-"&amp;TEXT(ROW()-1,"000000"))</f>
        <v/>
      </c>
      <c r="B1001" s="26" t="n"/>
      <c r="C1001" s="27" t="n"/>
      <c r="D1001" s="25">
        <f>IF($C1001="","",IFERROR(IF(INDEX(Roster!$A:$A,MATCH($C1001,Roster!$B:$B,0))="","",INDEX(Roster!$A:$A,MATCH($C1001,Roster!$B:$B,0))&amp;""),"—"))</f>
        <v/>
      </c>
      <c r="E1001" s="25">
        <f>IF($C1001="","",IFERROR(IF(INDEX(Roster!$C:$C,MATCH($C1001,Roster!$B:$B,0))="","",INDEX(Roster!$C:$C,MATCH($C1001,Roster!$B:$B,0))&amp;""),"—"))</f>
        <v/>
      </c>
      <c r="F1001" s="25">
        <f>IF($C1001="","",IFERROR(IF(INDEX(Roster!$D:$D,MATCH($C1001,Roster!$B:$B,0))="","",INDEX(Roster!$D:$D,MATCH($C1001,Roster!$B:$B,0))&amp;""),"—"))</f>
        <v/>
      </c>
      <c r="G1001" s="25">
        <f>IF($C1001="","",IFERROR(IF(INDEX(Roster!$E:$E,MATCH($C1001,Roster!$B:$B,0))="","",INDEX(Roster!$E:$E,MATCH($C1001,Roster!$B:$B,0))&amp;""),"—"))</f>
        <v/>
      </c>
      <c r="H1001" s="25">
        <f>IF($C1001="","",IFERROR(IF(INDEX(Roster!$F:$F,MATCH($C1001,Roster!$B:$B,0))="","",INDEX(Roster!$F:$F,MATCH($C1001,Roster!$B:$B,0))&amp;""),"—"))</f>
        <v/>
      </c>
      <c r="I1001" s="25">
        <f>IF($C1001="","",IFERROR(IF(INDEX(Roster!$G:$G,MATCH($C1001,Roster!$B:$B,0))="","",INDEX(Roster!$G:$G,MATCH($C1001,Roster!$B:$B,0))&amp;""),"—"))</f>
        <v/>
      </c>
      <c r="J1001" s="25">
        <f>IF($C1001="","",IFERROR(IF(INDEX(Roster!$I:$I,MATCH($C1001,Roster!$B:$B,0))="","",INDEX(Roster!$I:$I,MATCH($C1001,Roster!$B:$B,0))&amp;""),"—"))</f>
        <v/>
      </c>
      <c r="K1001">
        <f>IF($C1001="","",IFERROR(IF(INDEX(Roster!$J:$J,MATCH($C1001,Roster!$B:$B,0))="","",INDEX(Roster!$J:$J,MATCH($C1001,Roster!$B:$B,0))&amp;""),"—"))</f>
        <v/>
      </c>
      <c r="L1001">
        <f>IF($C1001="","",IFERROR(IF(INDEX(Roster!$K:$K,MATCH($C1001,Roster!$B:$B,0))="","",INDEX(Roster!$K:$K,MATCH($C1001,Roster!$B:$B,0))&amp;""),"—"))</f>
        <v/>
      </c>
      <c r="M1001" s="27" t="n"/>
      <c r="N1001" s="27" t="n"/>
      <c r="O1001" s="25">
        <f>IF($C1001="","",IF($P1001="","—",IF($P1001="Valid (Pass)","Valid","Invalid")))</f>
        <v/>
      </c>
      <c r="P1001" s="27" t="n"/>
      <c r="Q1001" s="27" t="n"/>
      <c r="R1001" s="27" t="n"/>
      <c r="S1001" s="27" t="n"/>
      <c r="T1001" s="25">
        <f>IF($C1001="","",IF(OR(ISNUMBER(SEARCH("quick case",$P1001)),ISNUMBER(SEARCH("quick case",$Q1001))),"Yes","No"))</f>
        <v/>
      </c>
      <c r="U1001" s="25">
        <f>IF($O1001="Invalid",HYPERLINK("mailto:"&amp;$G1001&amp;";"&amp;$I1001&amp;"?cc="&amp;Lists!$E$2&amp;"&amp;subject="&amp;_xlfn.ENCODEURL("[INVALID] Quality audit monitoring completed for "&amp;UPPER($C1001))&amp;"&amp;body="&amp;_xlfn.ENCODEURL("Hi "&amp;$F1001&amp;","&amp;CHAR(10)&amp;"Good day!"&amp;CHAR(10)&amp;CHAR(10)&amp;"A quality monitoring audit has been completed for "&amp;$C1001&amp;"."&amp;CHAR(10)&amp;CHAR(10)&amp;"QUALITY AUDIT DETAILS"&amp;CHAR(10)&amp;"Agent Name: "&amp;$C1001&amp;" (EID "&amp;$D1001&amp;")"&amp;CHAR(10)&amp;"Audit Date: "&amp;TEXT($B1001,"yyyy-mm-dd")&amp;CHAR(10)&amp;"Team Leader: "&amp;$F1001&amp;CHAR(10)&amp;"Case Number: "&amp;$M1001&amp;CHAR(10)&amp;"Transaction ID: "&amp;$N1001&amp;CHAR(10)&amp;"Channel / LOB: "&amp;$K1001&amp;" / "&amp;$L1001&amp;CHAR(10)&amp;"Evaluator: "&amp;$S1001&amp;CHAR(10)&amp;CHAR(10)&amp;"INVALID QUALITY AUDIT DETAILS"&amp;CHAR(10)&amp;"Validation: Invalid"&amp;CHAR(10)&amp;"Invalid Reason: "&amp;$P1001&amp;CHAR(10)&amp;"Expected Resolution Code: "&amp;$Q1001&amp;CHAR(10)&amp;"Remarks: "&amp;LEFT($R1001,600)&amp;CHAR(10)&amp;CHAR(10)&amp;"This is an automated notification from HP Mainstream EQMS."),"✉ Open Email Draft"),"")</f>
        <v/>
      </c>
    </row>
    <row r="1002">
      <c r="A1002" s="25">
        <f>IF($C1002="","","AUD-2026-"&amp;TEXT(ROW()-1,"000000"))</f>
        <v/>
      </c>
      <c r="B1002" s="26" t="n"/>
      <c r="C1002" s="27" t="n"/>
      <c r="D1002" s="25">
        <f>IF($C1002="","",IFERROR(IF(INDEX(Roster!$A:$A,MATCH($C1002,Roster!$B:$B,0))="","",INDEX(Roster!$A:$A,MATCH($C1002,Roster!$B:$B,0))&amp;""),"—"))</f>
        <v/>
      </c>
      <c r="E1002" s="25">
        <f>IF($C1002="","",IFERROR(IF(INDEX(Roster!$C:$C,MATCH($C1002,Roster!$B:$B,0))="","",INDEX(Roster!$C:$C,MATCH($C1002,Roster!$B:$B,0))&amp;""),"—"))</f>
        <v/>
      </c>
      <c r="F1002" s="25">
        <f>IF($C1002="","",IFERROR(IF(INDEX(Roster!$D:$D,MATCH($C1002,Roster!$B:$B,0))="","",INDEX(Roster!$D:$D,MATCH($C1002,Roster!$B:$B,0))&amp;""),"—"))</f>
        <v/>
      </c>
      <c r="G1002" s="25">
        <f>IF($C1002="","",IFERROR(IF(INDEX(Roster!$E:$E,MATCH($C1002,Roster!$B:$B,0))="","",INDEX(Roster!$E:$E,MATCH($C1002,Roster!$B:$B,0))&amp;""),"—"))</f>
        <v/>
      </c>
      <c r="H1002" s="25">
        <f>IF($C1002="","",IFERROR(IF(INDEX(Roster!$F:$F,MATCH($C1002,Roster!$B:$B,0))="","",INDEX(Roster!$F:$F,MATCH($C1002,Roster!$B:$B,0))&amp;""),"—"))</f>
        <v/>
      </c>
      <c r="I1002" s="25">
        <f>IF($C1002="","",IFERROR(IF(INDEX(Roster!$G:$G,MATCH($C1002,Roster!$B:$B,0))="","",INDEX(Roster!$G:$G,MATCH($C1002,Roster!$B:$B,0))&amp;""),"—"))</f>
        <v/>
      </c>
      <c r="J1002" s="25">
        <f>IF($C1002="","",IFERROR(IF(INDEX(Roster!$I:$I,MATCH($C1002,Roster!$B:$B,0))="","",INDEX(Roster!$I:$I,MATCH($C1002,Roster!$B:$B,0))&amp;""),"—"))</f>
        <v/>
      </c>
      <c r="K1002">
        <f>IF($C1002="","",IFERROR(IF(INDEX(Roster!$J:$J,MATCH($C1002,Roster!$B:$B,0))="","",INDEX(Roster!$J:$J,MATCH($C1002,Roster!$B:$B,0))&amp;""),"—"))</f>
        <v/>
      </c>
      <c r="L1002">
        <f>IF($C1002="","",IFERROR(IF(INDEX(Roster!$K:$K,MATCH($C1002,Roster!$B:$B,0))="","",INDEX(Roster!$K:$K,MATCH($C1002,Roster!$B:$B,0))&amp;""),"—"))</f>
        <v/>
      </c>
      <c r="M1002" s="27" t="n"/>
      <c r="N1002" s="27" t="n"/>
      <c r="O1002" s="25">
        <f>IF($C1002="","",IF($P1002="","—",IF($P1002="Valid (Pass)","Valid","Invalid")))</f>
        <v/>
      </c>
      <c r="P1002" s="27" t="n"/>
      <c r="Q1002" s="27" t="n"/>
      <c r="R1002" s="27" t="n"/>
      <c r="S1002" s="27" t="n"/>
      <c r="T1002" s="25">
        <f>IF($C1002="","",IF(OR(ISNUMBER(SEARCH("quick case",$P1002)),ISNUMBER(SEARCH("quick case",$Q1002))),"Yes","No"))</f>
        <v/>
      </c>
      <c r="U1002" s="25">
        <f>IF($O1002="Invalid",HYPERLINK("mailto:"&amp;$G1002&amp;";"&amp;$I1002&amp;"?cc="&amp;Lists!$E$2&amp;"&amp;subject="&amp;_xlfn.ENCODEURL("[INVALID] Quality audit monitoring completed for "&amp;UPPER($C1002))&amp;"&amp;body="&amp;_xlfn.ENCODEURL("Hi "&amp;$F1002&amp;","&amp;CHAR(10)&amp;"Good day!"&amp;CHAR(10)&amp;CHAR(10)&amp;"A quality monitoring audit has been completed for "&amp;$C1002&amp;"."&amp;CHAR(10)&amp;CHAR(10)&amp;"QUALITY AUDIT DETAILS"&amp;CHAR(10)&amp;"Agent Name: "&amp;$C1002&amp;" (EID "&amp;$D1002&amp;")"&amp;CHAR(10)&amp;"Audit Date: "&amp;TEXT($B1002,"yyyy-mm-dd")&amp;CHAR(10)&amp;"Team Leader: "&amp;$F1002&amp;CHAR(10)&amp;"Case Number: "&amp;$M1002&amp;CHAR(10)&amp;"Transaction ID: "&amp;$N1002&amp;CHAR(10)&amp;"Channel / LOB: "&amp;$K1002&amp;" / "&amp;$L1002&amp;CHAR(10)&amp;"Evaluator: "&amp;$S1002&amp;CHAR(10)&amp;CHAR(10)&amp;"INVALID QUALITY AUDIT DETAILS"&amp;CHAR(10)&amp;"Validation: Invalid"&amp;CHAR(10)&amp;"Invalid Reason: "&amp;$P1002&amp;CHAR(10)&amp;"Expected Resolution Code: "&amp;$Q1002&amp;CHAR(10)&amp;"Remarks: "&amp;LEFT($R1002,600)&amp;CHAR(10)&amp;CHAR(10)&amp;"This is an automated notification from HP Mainstream EQMS."),"✉ Open Email Draft"),"")</f>
        <v/>
      </c>
    </row>
    <row r="1003">
      <c r="A1003" s="25">
        <f>IF($C1003="","","AUD-2026-"&amp;TEXT(ROW()-1,"000000"))</f>
        <v/>
      </c>
      <c r="B1003" s="26" t="n"/>
      <c r="C1003" s="27" t="n"/>
      <c r="D1003" s="25">
        <f>IF($C1003="","",IFERROR(IF(INDEX(Roster!$A:$A,MATCH($C1003,Roster!$B:$B,0))="","",INDEX(Roster!$A:$A,MATCH($C1003,Roster!$B:$B,0))&amp;""),"—"))</f>
        <v/>
      </c>
      <c r="E1003" s="25">
        <f>IF($C1003="","",IFERROR(IF(INDEX(Roster!$C:$C,MATCH($C1003,Roster!$B:$B,0))="","",INDEX(Roster!$C:$C,MATCH($C1003,Roster!$B:$B,0))&amp;""),"—"))</f>
        <v/>
      </c>
      <c r="F1003" s="25">
        <f>IF($C1003="","",IFERROR(IF(INDEX(Roster!$D:$D,MATCH($C1003,Roster!$B:$B,0))="","",INDEX(Roster!$D:$D,MATCH($C1003,Roster!$B:$B,0))&amp;""),"—"))</f>
        <v/>
      </c>
      <c r="G1003" s="25">
        <f>IF($C1003="","",IFERROR(IF(INDEX(Roster!$E:$E,MATCH($C1003,Roster!$B:$B,0))="","",INDEX(Roster!$E:$E,MATCH($C1003,Roster!$B:$B,0))&amp;""),"—"))</f>
        <v/>
      </c>
      <c r="H1003" s="25">
        <f>IF($C1003="","",IFERROR(IF(INDEX(Roster!$F:$F,MATCH($C1003,Roster!$B:$B,0))="","",INDEX(Roster!$F:$F,MATCH($C1003,Roster!$B:$B,0))&amp;""),"—"))</f>
        <v/>
      </c>
      <c r="I1003" s="25">
        <f>IF($C1003="","",IFERROR(IF(INDEX(Roster!$G:$G,MATCH($C1003,Roster!$B:$B,0))="","",INDEX(Roster!$G:$G,MATCH($C1003,Roster!$B:$B,0))&amp;""),"—"))</f>
        <v/>
      </c>
      <c r="J1003" s="25">
        <f>IF($C1003="","",IFERROR(IF(INDEX(Roster!$I:$I,MATCH($C1003,Roster!$B:$B,0))="","",INDEX(Roster!$I:$I,MATCH($C1003,Roster!$B:$B,0))&amp;""),"—"))</f>
        <v/>
      </c>
      <c r="K1003">
        <f>IF($C1003="","",IFERROR(IF(INDEX(Roster!$J:$J,MATCH($C1003,Roster!$B:$B,0))="","",INDEX(Roster!$J:$J,MATCH($C1003,Roster!$B:$B,0))&amp;""),"—"))</f>
        <v/>
      </c>
      <c r="L1003">
        <f>IF($C1003="","",IFERROR(IF(INDEX(Roster!$K:$K,MATCH($C1003,Roster!$B:$B,0))="","",INDEX(Roster!$K:$K,MATCH($C1003,Roster!$B:$B,0))&amp;""),"—"))</f>
        <v/>
      </c>
      <c r="M1003" s="27" t="n"/>
      <c r="N1003" s="27" t="n"/>
      <c r="O1003" s="25">
        <f>IF($C1003="","",IF($P1003="","—",IF($P1003="Valid (Pass)","Valid","Invalid")))</f>
        <v/>
      </c>
      <c r="P1003" s="27" t="n"/>
      <c r="Q1003" s="27" t="n"/>
      <c r="R1003" s="27" t="n"/>
      <c r="S1003" s="27" t="n"/>
      <c r="T1003" s="25">
        <f>IF($C1003="","",IF(OR(ISNUMBER(SEARCH("quick case",$P1003)),ISNUMBER(SEARCH("quick case",$Q1003))),"Yes","No"))</f>
        <v/>
      </c>
      <c r="U1003" s="25">
        <f>IF($O1003="Invalid",HYPERLINK("mailto:"&amp;$G1003&amp;";"&amp;$I1003&amp;"?cc="&amp;Lists!$E$2&amp;"&amp;subject="&amp;_xlfn.ENCODEURL("[INVALID] Quality audit monitoring completed for "&amp;UPPER($C1003))&amp;"&amp;body="&amp;_xlfn.ENCODEURL("Hi "&amp;$F1003&amp;","&amp;CHAR(10)&amp;"Good day!"&amp;CHAR(10)&amp;CHAR(10)&amp;"A quality monitoring audit has been completed for "&amp;$C1003&amp;"."&amp;CHAR(10)&amp;CHAR(10)&amp;"QUALITY AUDIT DETAILS"&amp;CHAR(10)&amp;"Agent Name: "&amp;$C1003&amp;" (EID "&amp;$D1003&amp;")"&amp;CHAR(10)&amp;"Audit Date: "&amp;TEXT($B1003,"yyyy-mm-dd")&amp;CHAR(10)&amp;"Team Leader: "&amp;$F1003&amp;CHAR(10)&amp;"Case Number: "&amp;$M1003&amp;CHAR(10)&amp;"Transaction ID: "&amp;$N1003&amp;CHAR(10)&amp;"Channel / LOB: "&amp;$K1003&amp;" / "&amp;$L1003&amp;CHAR(10)&amp;"Evaluator: "&amp;$S1003&amp;CHAR(10)&amp;CHAR(10)&amp;"INVALID QUALITY AUDIT DETAILS"&amp;CHAR(10)&amp;"Validation: Invalid"&amp;CHAR(10)&amp;"Invalid Reason: "&amp;$P1003&amp;CHAR(10)&amp;"Expected Resolution Code: "&amp;$Q1003&amp;CHAR(10)&amp;"Remarks: "&amp;LEFT($R1003,600)&amp;CHAR(10)&amp;CHAR(10)&amp;"This is an automated notification from HP Mainstream EQMS."),"✉ Open Email Draft"),"")</f>
        <v/>
      </c>
    </row>
    <row r="1004">
      <c r="A1004" s="25">
        <f>IF($C1004="","","AUD-2026-"&amp;TEXT(ROW()-1,"000000"))</f>
        <v/>
      </c>
      <c r="B1004" s="26" t="n"/>
      <c r="C1004" s="27" t="n"/>
      <c r="D1004" s="25">
        <f>IF($C1004="","",IFERROR(IF(INDEX(Roster!$A:$A,MATCH($C1004,Roster!$B:$B,0))="","",INDEX(Roster!$A:$A,MATCH($C1004,Roster!$B:$B,0))&amp;""),"—"))</f>
        <v/>
      </c>
      <c r="E1004" s="25">
        <f>IF($C1004="","",IFERROR(IF(INDEX(Roster!$C:$C,MATCH($C1004,Roster!$B:$B,0))="","",INDEX(Roster!$C:$C,MATCH($C1004,Roster!$B:$B,0))&amp;""),"—"))</f>
        <v/>
      </c>
      <c r="F1004" s="25">
        <f>IF($C1004="","",IFERROR(IF(INDEX(Roster!$D:$D,MATCH($C1004,Roster!$B:$B,0))="","",INDEX(Roster!$D:$D,MATCH($C1004,Roster!$B:$B,0))&amp;""),"—"))</f>
        <v/>
      </c>
      <c r="G1004" s="25">
        <f>IF($C1004="","",IFERROR(IF(INDEX(Roster!$E:$E,MATCH($C1004,Roster!$B:$B,0))="","",INDEX(Roster!$E:$E,MATCH($C1004,Roster!$B:$B,0))&amp;""),"—"))</f>
        <v/>
      </c>
      <c r="H1004" s="25">
        <f>IF($C1004="","",IFERROR(IF(INDEX(Roster!$F:$F,MATCH($C1004,Roster!$B:$B,0))="","",INDEX(Roster!$F:$F,MATCH($C1004,Roster!$B:$B,0))&amp;""),"—"))</f>
        <v/>
      </c>
      <c r="I1004" s="25">
        <f>IF($C1004="","",IFERROR(IF(INDEX(Roster!$G:$G,MATCH($C1004,Roster!$B:$B,0))="","",INDEX(Roster!$G:$G,MATCH($C1004,Roster!$B:$B,0))&amp;""),"—"))</f>
        <v/>
      </c>
      <c r="J1004" s="25">
        <f>IF($C1004="","",IFERROR(IF(INDEX(Roster!$I:$I,MATCH($C1004,Roster!$B:$B,0))="","",INDEX(Roster!$I:$I,MATCH($C1004,Roster!$B:$B,0))&amp;""),"—"))</f>
        <v/>
      </c>
      <c r="K1004">
        <f>IF($C1004="","",IFERROR(IF(INDEX(Roster!$J:$J,MATCH($C1004,Roster!$B:$B,0))="","",INDEX(Roster!$J:$J,MATCH($C1004,Roster!$B:$B,0))&amp;""),"—"))</f>
        <v/>
      </c>
      <c r="L1004">
        <f>IF($C1004="","",IFERROR(IF(INDEX(Roster!$K:$K,MATCH($C1004,Roster!$B:$B,0))="","",INDEX(Roster!$K:$K,MATCH($C1004,Roster!$B:$B,0))&amp;""),"—"))</f>
        <v/>
      </c>
      <c r="M1004" s="27" t="n"/>
      <c r="N1004" s="27" t="n"/>
      <c r="O1004" s="25">
        <f>IF($C1004="","",IF($P1004="","—",IF($P1004="Valid (Pass)","Valid","Invalid")))</f>
        <v/>
      </c>
      <c r="P1004" s="27" t="n"/>
      <c r="Q1004" s="27" t="n"/>
      <c r="R1004" s="27" t="n"/>
      <c r="S1004" s="27" t="n"/>
      <c r="T1004" s="25">
        <f>IF($C1004="","",IF(OR(ISNUMBER(SEARCH("quick case",$P1004)),ISNUMBER(SEARCH("quick case",$Q1004))),"Yes","No"))</f>
        <v/>
      </c>
      <c r="U1004" s="25">
        <f>IF($O1004="Invalid",HYPERLINK("mailto:"&amp;$G1004&amp;";"&amp;$I1004&amp;"?cc="&amp;Lists!$E$2&amp;"&amp;subject="&amp;_xlfn.ENCODEURL("[INVALID] Quality audit monitoring completed for "&amp;UPPER($C1004))&amp;"&amp;body="&amp;_xlfn.ENCODEURL("Hi "&amp;$F1004&amp;","&amp;CHAR(10)&amp;"Good day!"&amp;CHAR(10)&amp;CHAR(10)&amp;"A quality monitoring audit has been completed for "&amp;$C1004&amp;"."&amp;CHAR(10)&amp;CHAR(10)&amp;"QUALITY AUDIT DETAILS"&amp;CHAR(10)&amp;"Agent Name: "&amp;$C1004&amp;" (EID "&amp;$D1004&amp;")"&amp;CHAR(10)&amp;"Audit Date: "&amp;TEXT($B1004,"yyyy-mm-dd")&amp;CHAR(10)&amp;"Team Leader: "&amp;$F1004&amp;CHAR(10)&amp;"Case Number: "&amp;$M1004&amp;CHAR(10)&amp;"Transaction ID: "&amp;$N1004&amp;CHAR(10)&amp;"Channel / LOB: "&amp;$K1004&amp;" / "&amp;$L1004&amp;CHAR(10)&amp;"Evaluator: "&amp;$S1004&amp;CHAR(10)&amp;CHAR(10)&amp;"INVALID QUALITY AUDIT DETAILS"&amp;CHAR(10)&amp;"Validation: Invalid"&amp;CHAR(10)&amp;"Invalid Reason: "&amp;$P1004&amp;CHAR(10)&amp;"Expected Resolution Code: "&amp;$Q1004&amp;CHAR(10)&amp;"Remarks: "&amp;LEFT($R1004,600)&amp;CHAR(10)&amp;CHAR(10)&amp;"This is an automated notification from HP Mainstream EQMS."),"✉ Open Email Draft"),"")</f>
        <v/>
      </c>
    </row>
    <row r="1005">
      <c r="A1005" s="25">
        <f>IF($C1005="","","AUD-2026-"&amp;TEXT(ROW()-1,"000000"))</f>
        <v/>
      </c>
      <c r="B1005" s="26" t="n"/>
      <c r="C1005" s="27" t="n"/>
      <c r="D1005" s="25">
        <f>IF($C1005="","",IFERROR(IF(INDEX(Roster!$A:$A,MATCH($C1005,Roster!$B:$B,0))="","",INDEX(Roster!$A:$A,MATCH($C1005,Roster!$B:$B,0))&amp;""),"—"))</f>
        <v/>
      </c>
      <c r="E1005" s="25">
        <f>IF($C1005="","",IFERROR(IF(INDEX(Roster!$C:$C,MATCH($C1005,Roster!$B:$B,0))="","",INDEX(Roster!$C:$C,MATCH($C1005,Roster!$B:$B,0))&amp;""),"—"))</f>
        <v/>
      </c>
      <c r="F1005" s="25">
        <f>IF($C1005="","",IFERROR(IF(INDEX(Roster!$D:$D,MATCH($C1005,Roster!$B:$B,0))="","",INDEX(Roster!$D:$D,MATCH($C1005,Roster!$B:$B,0))&amp;""),"—"))</f>
        <v/>
      </c>
      <c r="G1005" s="25">
        <f>IF($C1005="","",IFERROR(IF(INDEX(Roster!$E:$E,MATCH($C1005,Roster!$B:$B,0))="","",INDEX(Roster!$E:$E,MATCH($C1005,Roster!$B:$B,0))&amp;""),"—"))</f>
        <v/>
      </c>
      <c r="H1005" s="25">
        <f>IF($C1005="","",IFERROR(IF(INDEX(Roster!$F:$F,MATCH($C1005,Roster!$B:$B,0))="","",INDEX(Roster!$F:$F,MATCH($C1005,Roster!$B:$B,0))&amp;""),"—"))</f>
        <v/>
      </c>
      <c r="I1005" s="25">
        <f>IF($C1005="","",IFERROR(IF(INDEX(Roster!$G:$G,MATCH($C1005,Roster!$B:$B,0))="","",INDEX(Roster!$G:$G,MATCH($C1005,Roster!$B:$B,0))&amp;""),"—"))</f>
        <v/>
      </c>
      <c r="J1005" s="25">
        <f>IF($C1005="","",IFERROR(IF(INDEX(Roster!$I:$I,MATCH($C1005,Roster!$B:$B,0))="","",INDEX(Roster!$I:$I,MATCH($C1005,Roster!$B:$B,0))&amp;""),"—"))</f>
        <v/>
      </c>
      <c r="K1005">
        <f>IF($C1005="","",IFERROR(IF(INDEX(Roster!$J:$J,MATCH($C1005,Roster!$B:$B,0))="","",INDEX(Roster!$J:$J,MATCH($C1005,Roster!$B:$B,0))&amp;""),"—"))</f>
        <v/>
      </c>
      <c r="L1005">
        <f>IF($C1005="","",IFERROR(IF(INDEX(Roster!$K:$K,MATCH($C1005,Roster!$B:$B,0))="","",INDEX(Roster!$K:$K,MATCH($C1005,Roster!$B:$B,0))&amp;""),"—"))</f>
        <v/>
      </c>
      <c r="M1005" s="27" t="n"/>
      <c r="N1005" s="27" t="n"/>
      <c r="O1005" s="25">
        <f>IF($C1005="","",IF($P1005="","—",IF($P1005="Valid (Pass)","Valid","Invalid")))</f>
        <v/>
      </c>
      <c r="P1005" s="27" t="n"/>
      <c r="Q1005" s="27" t="n"/>
      <c r="R1005" s="27" t="n"/>
      <c r="S1005" s="27" t="n"/>
      <c r="T1005" s="25">
        <f>IF($C1005="","",IF(OR(ISNUMBER(SEARCH("quick case",$P1005)),ISNUMBER(SEARCH("quick case",$Q1005))),"Yes","No"))</f>
        <v/>
      </c>
      <c r="U1005" s="25">
        <f>IF($O1005="Invalid",HYPERLINK("mailto:"&amp;$G1005&amp;";"&amp;$I1005&amp;"?cc="&amp;Lists!$E$2&amp;"&amp;subject="&amp;_xlfn.ENCODEURL("[INVALID] Quality audit monitoring completed for "&amp;UPPER($C1005))&amp;"&amp;body="&amp;_xlfn.ENCODEURL("Hi "&amp;$F1005&amp;","&amp;CHAR(10)&amp;"Good day!"&amp;CHAR(10)&amp;CHAR(10)&amp;"A quality monitoring audit has been completed for "&amp;$C1005&amp;"."&amp;CHAR(10)&amp;CHAR(10)&amp;"QUALITY AUDIT DETAILS"&amp;CHAR(10)&amp;"Agent Name: "&amp;$C1005&amp;" (EID "&amp;$D1005&amp;")"&amp;CHAR(10)&amp;"Audit Date: "&amp;TEXT($B1005,"yyyy-mm-dd")&amp;CHAR(10)&amp;"Team Leader: "&amp;$F1005&amp;CHAR(10)&amp;"Case Number: "&amp;$M1005&amp;CHAR(10)&amp;"Transaction ID: "&amp;$N1005&amp;CHAR(10)&amp;"Channel / LOB: "&amp;$K1005&amp;" / "&amp;$L1005&amp;CHAR(10)&amp;"Evaluator: "&amp;$S1005&amp;CHAR(10)&amp;CHAR(10)&amp;"INVALID QUALITY AUDIT DETAILS"&amp;CHAR(10)&amp;"Validation: Invalid"&amp;CHAR(10)&amp;"Invalid Reason: "&amp;$P1005&amp;CHAR(10)&amp;"Expected Resolution Code: "&amp;$Q1005&amp;CHAR(10)&amp;"Remarks: "&amp;LEFT($R1005,600)&amp;CHAR(10)&amp;CHAR(10)&amp;"This is an automated notification from HP Mainstream EQMS."),"✉ Open Email Draft"),"")</f>
        <v/>
      </c>
    </row>
    <row r="1006">
      <c r="A1006" s="25">
        <f>IF($C1006="","","AUD-2026-"&amp;TEXT(ROW()-1,"000000"))</f>
        <v/>
      </c>
      <c r="B1006" s="26" t="n"/>
      <c r="C1006" s="27" t="n"/>
      <c r="D1006" s="25">
        <f>IF($C1006="","",IFERROR(IF(INDEX(Roster!$A:$A,MATCH($C1006,Roster!$B:$B,0))="","",INDEX(Roster!$A:$A,MATCH($C1006,Roster!$B:$B,0))&amp;""),"—"))</f>
        <v/>
      </c>
      <c r="E1006" s="25">
        <f>IF($C1006="","",IFERROR(IF(INDEX(Roster!$C:$C,MATCH($C1006,Roster!$B:$B,0))="","",INDEX(Roster!$C:$C,MATCH($C1006,Roster!$B:$B,0))&amp;""),"—"))</f>
        <v/>
      </c>
      <c r="F1006" s="25">
        <f>IF($C1006="","",IFERROR(IF(INDEX(Roster!$D:$D,MATCH($C1006,Roster!$B:$B,0))="","",INDEX(Roster!$D:$D,MATCH($C1006,Roster!$B:$B,0))&amp;""),"—"))</f>
        <v/>
      </c>
      <c r="G1006" s="25">
        <f>IF($C1006="","",IFERROR(IF(INDEX(Roster!$E:$E,MATCH($C1006,Roster!$B:$B,0))="","",INDEX(Roster!$E:$E,MATCH($C1006,Roster!$B:$B,0))&amp;""),"—"))</f>
        <v/>
      </c>
      <c r="H1006" s="25">
        <f>IF($C1006="","",IFERROR(IF(INDEX(Roster!$F:$F,MATCH($C1006,Roster!$B:$B,0))="","",INDEX(Roster!$F:$F,MATCH($C1006,Roster!$B:$B,0))&amp;""),"—"))</f>
        <v/>
      </c>
      <c r="I1006" s="25">
        <f>IF($C1006="","",IFERROR(IF(INDEX(Roster!$G:$G,MATCH($C1006,Roster!$B:$B,0))="","",INDEX(Roster!$G:$G,MATCH($C1006,Roster!$B:$B,0))&amp;""),"—"))</f>
        <v/>
      </c>
      <c r="J1006" s="25">
        <f>IF($C1006="","",IFERROR(IF(INDEX(Roster!$I:$I,MATCH($C1006,Roster!$B:$B,0))="","",INDEX(Roster!$I:$I,MATCH($C1006,Roster!$B:$B,0))&amp;""),"—"))</f>
        <v/>
      </c>
      <c r="K1006">
        <f>IF($C1006="","",IFERROR(IF(INDEX(Roster!$J:$J,MATCH($C1006,Roster!$B:$B,0))="","",INDEX(Roster!$J:$J,MATCH($C1006,Roster!$B:$B,0))&amp;""),"—"))</f>
        <v/>
      </c>
      <c r="L1006">
        <f>IF($C1006="","",IFERROR(IF(INDEX(Roster!$K:$K,MATCH($C1006,Roster!$B:$B,0))="","",INDEX(Roster!$K:$K,MATCH($C1006,Roster!$B:$B,0))&amp;""),"—"))</f>
        <v/>
      </c>
      <c r="M1006" s="27" t="n"/>
      <c r="N1006" s="27" t="n"/>
      <c r="O1006" s="25">
        <f>IF($C1006="","",IF($P1006="","—",IF($P1006="Valid (Pass)","Valid","Invalid")))</f>
        <v/>
      </c>
      <c r="P1006" s="27" t="n"/>
      <c r="Q1006" s="27" t="n"/>
      <c r="R1006" s="27" t="n"/>
      <c r="S1006" s="27" t="n"/>
      <c r="T1006" s="25">
        <f>IF($C1006="","",IF(OR(ISNUMBER(SEARCH("quick case",$P1006)),ISNUMBER(SEARCH("quick case",$Q1006))),"Yes","No"))</f>
        <v/>
      </c>
      <c r="U1006" s="25">
        <f>IF($O1006="Invalid",HYPERLINK("mailto:"&amp;$G1006&amp;";"&amp;$I1006&amp;"?cc="&amp;Lists!$E$2&amp;"&amp;subject="&amp;_xlfn.ENCODEURL("[INVALID] Quality audit monitoring completed for "&amp;UPPER($C1006))&amp;"&amp;body="&amp;_xlfn.ENCODEURL("Hi "&amp;$F1006&amp;","&amp;CHAR(10)&amp;"Good day!"&amp;CHAR(10)&amp;CHAR(10)&amp;"A quality monitoring audit has been completed for "&amp;$C1006&amp;"."&amp;CHAR(10)&amp;CHAR(10)&amp;"QUALITY AUDIT DETAILS"&amp;CHAR(10)&amp;"Agent Name: "&amp;$C1006&amp;" (EID "&amp;$D1006&amp;")"&amp;CHAR(10)&amp;"Audit Date: "&amp;TEXT($B1006,"yyyy-mm-dd")&amp;CHAR(10)&amp;"Team Leader: "&amp;$F1006&amp;CHAR(10)&amp;"Case Number: "&amp;$M1006&amp;CHAR(10)&amp;"Transaction ID: "&amp;$N1006&amp;CHAR(10)&amp;"Channel / LOB: "&amp;$K1006&amp;" / "&amp;$L1006&amp;CHAR(10)&amp;"Evaluator: "&amp;$S1006&amp;CHAR(10)&amp;CHAR(10)&amp;"INVALID QUALITY AUDIT DETAILS"&amp;CHAR(10)&amp;"Validation: Invalid"&amp;CHAR(10)&amp;"Invalid Reason: "&amp;$P1006&amp;CHAR(10)&amp;"Expected Resolution Code: "&amp;$Q1006&amp;CHAR(10)&amp;"Remarks: "&amp;LEFT($R1006,600)&amp;CHAR(10)&amp;CHAR(10)&amp;"This is an automated notification from HP Mainstream EQMS."),"✉ Open Email Draft"),"")</f>
        <v/>
      </c>
    </row>
    <row r="1007">
      <c r="A1007" s="25">
        <f>IF($C1007="","","AUD-2026-"&amp;TEXT(ROW()-1,"000000"))</f>
        <v/>
      </c>
      <c r="B1007" s="26" t="n"/>
      <c r="C1007" s="27" t="n"/>
      <c r="D1007" s="25">
        <f>IF($C1007="","",IFERROR(IF(INDEX(Roster!$A:$A,MATCH($C1007,Roster!$B:$B,0))="","",INDEX(Roster!$A:$A,MATCH($C1007,Roster!$B:$B,0))&amp;""),"—"))</f>
        <v/>
      </c>
      <c r="E1007" s="25">
        <f>IF($C1007="","",IFERROR(IF(INDEX(Roster!$C:$C,MATCH($C1007,Roster!$B:$B,0))="","",INDEX(Roster!$C:$C,MATCH($C1007,Roster!$B:$B,0))&amp;""),"—"))</f>
        <v/>
      </c>
      <c r="F1007" s="25">
        <f>IF($C1007="","",IFERROR(IF(INDEX(Roster!$D:$D,MATCH($C1007,Roster!$B:$B,0))="","",INDEX(Roster!$D:$D,MATCH($C1007,Roster!$B:$B,0))&amp;""),"—"))</f>
        <v/>
      </c>
      <c r="G1007" s="25">
        <f>IF($C1007="","",IFERROR(IF(INDEX(Roster!$E:$E,MATCH($C1007,Roster!$B:$B,0))="","",INDEX(Roster!$E:$E,MATCH($C1007,Roster!$B:$B,0))&amp;""),"—"))</f>
        <v/>
      </c>
      <c r="H1007" s="25">
        <f>IF($C1007="","",IFERROR(IF(INDEX(Roster!$F:$F,MATCH($C1007,Roster!$B:$B,0))="","",INDEX(Roster!$F:$F,MATCH($C1007,Roster!$B:$B,0))&amp;""),"—"))</f>
        <v/>
      </c>
      <c r="I1007" s="25">
        <f>IF($C1007="","",IFERROR(IF(INDEX(Roster!$G:$G,MATCH($C1007,Roster!$B:$B,0))="","",INDEX(Roster!$G:$G,MATCH($C1007,Roster!$B:$B,0))&amp;""),"—"))</f>
        <v/>
      </c>
      <c r="J1007" s="25">
        <f>IF($C1007="","",IFERROR(IF(INDEX(Roster!$I:$I,MATCH($C1007,Roster!$B:$B,0))="","",INDEX(Roster!$I:$I,MATCH($C1007,Roster!$B:$B,0))&amp;""),"—"))</f>
        <v/>
      </c>
      <c r="K1007">
        <f>IF($C1007="","",IFERROR(IF(INDEX(Roster!$J:$J,MATCH($C1007,Roster!$B:$B,0))="","",INDEX(Roster!$J:$J,MATCH($C1007,Roster!$B:$B,0))&amp;""),"—"))</f>
        <v/>
      </c>
      <c r="L1007">
        <f>IF($C1007="","",IFERROR(IF(INDEX(Roster!$K:$K,MATCH($C1007,Roster!$B:$B,0))="","",INDEX(Roster!$K:$K,MATCH($C1007,Roster!$B:$B,0))&amp;""),"—"))</f>
        <v/>
      </c>
      <c r="M1007" s="27" t="n"/>
      <c r="N1007" s="27" t="n"/>
      <c r="O1007" s="25">
        <f>IF($C1007="","",IF($P1007="","—",IF($P1007="Valid (Pass)","Valid","Invalid")))</f>
        <v/>
      </c>
      <c r="P1007" s="27" t="n"/>
      <c r="Q1007" s="27" t="n"/>
      <c r="R1007" s="27" t="n"/>
      <c r="S1007" s="27" t="n"/>
      <c r="T1007" s="25">
        <f>IF($C1007="","",IF(OR(ISNUMBER(SEARCH("quick case",$P1007)),ISNUMBER(SEARCH("quick case",$Q1007))),"Yes","No"))</f>
        <v/>
      </c>
      <c r="U1007" s="25">
        <f>IF($O1007="Invalid",HYPERLINK("mailto:"&amp;$G1007&amp;";"&amp;$I1007&amp;"?cc="&amp;Lists!$E$2&amp;"&amp;subject="&amp;_xlfn.ENCODEURL("[INVALID] Quality audit monitoring completed for "&amp;UPPER($C1007))&amp;"&amp;body="&amp;_xlfn.ENCODEURL("Hi "&amp;$F1007&amp;","&amp;CHAR(10)&amp;"Good day!"&amp;CHAR(10)&amp;CHAR(10)&amp;"A quality monitoring audit has been completed for "&amp;$C1007&amp;"."&amp;CHAR(10)&amp;CHAR(10)&amp;"QUALITY AUDIT DETAILS"&amp;CHAR(10)&amp;"Agent Name: "&amp;$C1007&amp;" (EID "&amp;$D1007&amp;")"&amp;CHAR(10)&amp;"Audit Date: "&amp;TEXT($B1007,"yyyy-mm-dd")&amp;CHAR(10)&amp;"Team Leader: "&amp;$F1007&amp;CHAR(10)&amp;"Case Number: "&amp;$M1007&amp;CHAR(10)&amp;"Transaction ID: "&amp;$N1007&amp;CHAR(10)&amp;"Channel / LOB: "&amp;$K1007&amp;" / "&amp;$L1007&amp;CHAR(10)&amp;"Evaluator: "&amp;$S1007&amp;CHAR(10)&amp;CHAR(10)&amp;"INVALID QUALITY AUDIT DETAILS"&amp;CHAR(10)&amp;"Validation: Invalid"&amp;CHAR(10)&amp;"Invalid Reason: "&amp;$P1007&amp;CHAR(10)&amp;"Expected Resolution Code: "&amp;$Q1007&amp;CHAR(10)&amp;"Remarks: "&amp;LEFT($R1007,600)&amp;CHAR(10)&amp;CHAR(10)&amp;"This is an automated notification from HP Mainstream EQMS."),"✉ Open Email Draft"),"")</f>
        <v/>
      </c>
    </row>
    <row r="1008">
      <c r="A1008" s="25">
        <f>IF($C1008="","","AUD-2026-"&amp;TEXT(ROW()-1,"000000"))</f>
        <v/>
      </c>
      <c r="B1008" s="26" t="n"/>
      <c r="C1008" s="27" t="n"/>
      <c r="D1008" s="25">
        <f>IF($C1008="","",IFERROR(IF(INDEX(Roster!$A:$A,MATCH($C1008,Roster!$B:$B,0))="","",INDEX(Roster!$A:$A,MATCH($C1008,Roster!$B:$B,0))&amp;""),"—"))</f>
        <v/>
      </c>
      <c r="E1008" s="25">
        <f>IF($C1008="","",IFERROR(IF(INDEX(Roster!$C:$C,MATCH($C1008,Roster!$B:$B,0))="","",INDEX(Roster!$C:$C,MATCH($C1008,Roster!$B:$B,0))&amp;""),"—"))</f>
        <v/>
      </c>
      <c r="F1008" s="25">
        <f>IF($C1008="","",IFERROR(IF(INDEX(Roster!$D:$D,MATCH($C1008,Roster!$B:$B,0))="","",INDEX(Roster!$D:$D,MATCH($C1008,Roster!$B:$B,0))&amp;""),"—"))</f>
        <v/>
      </c>
      <c r="G1008" s="25">
        <f>IF($C1008="","",IFERROR(IF(INDEX(Roster!$E:$E,MATCH($C1008,Roster!$B:$B,0))="","",INDEX(Roster!$E:$E,MATCH($C1008,Roster!$B:$B,0))&amp;""),"—"))</f>
        <v/>
      </c>
      <c r="H1008" s="25">
        <f>IF($C1008="","",IFERROR(IF(INDEX(Roster!$F:$F,MATCH($C1008,Roster!$B:$B,0))="","",INDEX(Roster!$F:$F,MATCH($C1008,Roster!$B:$B,0))&amp;""),"—"))</f>
        <v/>
      </c>
      <c r="I1008" s="25">
        <f>IF($C1008="","",IFERROR(IF(INDEX(Roster!$G:$G,MATCH($C1008,Roster!$B:$B,0))="","",INDEX(Roster!$G:$G,MATCH($C1008,Roster!$B:$B,0))&amp;""),"—"))</f>
        <v/>
      </c>
      <c r="J1008" s="25">
        <f>IF($C1008="","",IFERROR(IF(INDEX(Roster!$I:$I,MATCH($C1008,Roster!$B:$B,0))="","",INDEX(Roster!$I:$I,MATCH($C1008,Roster!$B:$B,0))&amp;""),"—"))</f>
        <v/>
      </c>
      <c r="K1008">
        <f>IF($C1008="","",IFERROR(IF(INDEX(Roster!$J:$J,MATCH($C1008,Roster!$B:$B,0))="","",INDEX(Roster!$J:$J,MATCH($C1008,Roster!$B:$B,0))&amp;""),"—"))</f>
        <v/>
      </c>
      <c r="L1008">
        <f>IF($C1008="","",IFERROR(IF(INDEX(Roster!$K:$K,MATCH($C1008,Roster!$B:$B,0))="","",INDEX(Roster!$K:$K,MATCH($C1008,Roster!$B:$B,0))&amp;""),"—"))</f>
        <v/>
      </c>
      <c r="M1008" s="27" t="n"/>
      <c r="N1008" s="27" t="n"/>
      <c r="O1008" s="25">
        <f>IF($C1008="","",IF($P1008="","—",IF($P1008="Valid (Pass)","Valid","Invalid")))</f>
        <v/>
      </c>
      <c r="P1008" s="27" t="n"/>
      <c r="Q1008" s="27" t="n"/>
      <c r="R1008" s="27" t="n"/>
      <c r="S1008" s="27" t="n"/>
      <c r="T1008" s="25">
        <f>IF($C1008="","",IF(OR(ISNUMBER(SEARCH("quick case",$P1008)),ISNUMBER(SEARCH("quick case",$Q1008))),"Yes","No"))</f>
        <v/>
      </c>
      <c r="U1008" s="25">
        <f>IF($O1008="Invalid",HYPERLINK("mailto:"&amp;$G1008&amp;";"&amp;$I1008&amp;"?cc="&amp;Lists!$E$2&amp;"&amp;subject="&amp;_xlfn.ENCODEURL("[INVALID] Quality audit monitoring completed for "&amp;UPPER($C1008))&amp;"&amp;body="&amp;_xlfn.ENCODEURL("Hi "&amp;$F1008&amp;","&amp;CHAR(10)&amp;"Good day!"&amp;CHAR(10)&amp;CHAR(10)&amp;"A quality monitoring audit has been completed for "&amp;$C1008&amp;"."&amp;CHAR(10)&amp;CHAR(10)&amp;"QUALITY AUDIT DETAILS"&amp;CHAR(10)&amp;"Agent Name: "&amp;$C1008&amp;" (EID "&amp;$D1008&amp;")"&amp;CHAR(10)&amp;"Audit Date: "&amp;TEXT($B1008,"yyyy-mm-dd")&amp;CHAR(10)&amp;"Team Leader: "&amp;$F1008&amp;CHAR(10)&amp;"Case Number: "&amp;$M1008&amp;CHAR(10)&amp;"Transaction ID: "&amp;$N1008&amp;CHAR(10)&amp;"Channel / LOB: "&amp;$K1008&amp;" / "&amp;$L1008&amp;CHAR(10)&amp;"Evaluator: "&amp;$S1008&amp;CHAR(10)&amp;CHAR(10)&amp;"INVALID QUALITY AUDIT DETAILS"&amp;CHAR(10)&amp;"Validation: Invalid"&amp;CHAR(10)&amp;"Invalid Reason: "&amp;$P1008&amp;CHAR(10)&amp;"Expected Resolution Code: "&amp;$Q1008&amp;CHAR(10)&amp;"Remarks: "&amp;LEFT($R1008,600)&amp;CHAR(10)&amp;CHAR(10)&amp;"This is an automated notification from HP Mainstream EQMS."),"✉ Open Email Draft"),"")</f>
        <v/>
      </c>
    </row>
    <row r="1009">
      <c r="A1009" s="25">
        <f>IF($C1009="","","AUD-2026-"&amp;TEXT(ROW()-1,"000000"))</f>
        <v/>
      </c>
      <c r="B1009" s="26" t="n"/>
      <c r="C1009" s="27" t="n"/>
      <c r="D1009" s="25">
        <f>IF($C1009="","",IFERROR(IF(INDEX(Roster!$A:$A,MATCH($C1009,Roster!$B:$B,0))="","",INDEX(Roster!$A:$A,MATCH($C1009,Roster!$B:$B,0))&amp;""),"—"))</f>
        <v/>
      </c>
      <c r="E1009" s="25">
        <f>IF($C1009="","",IFERROR(IF(INDEX(Roster!$C:$C,MATCH($C1009,Roster!$B:$B,0))="","",INDEX(Roster!$C:$C,MATCH($C1009,Roster!$B:$B,0))&amp;""),"—"))</f>
        <v/>
      </c>
      <c r="F1009" s="25">
        <f>IF($C1009="","",IFERROR(IF(INDEX(Roster!$D:$D,MATCH($C1009,Roster!$B:$B,0))="","",INDEX(Roster!$D:$D,MATCH($C1009,Roster!$B:$B,0))&amp;""),"—"))</f>
        <v/>
      </c>
      <c r="G1009" s="25">
        <f>IF($C1009="","",IFERROR(IF(INDEX(Roster!$E:$E,MATCH($C1009,Roster!$B:$B,0))="","",INDEX(Roster!$E:$E,MATCH($C1009,Roster!$B:$B,0))&amp;""),"—"))</f>
        <v/>
      </c>
      <c r="H1009" s="25">
        <f>IF($C1009="","",IFERROR(IF(INDEX(Roster!$F:$F,MATCH($C1009,Roster!$B:$B,0))="","",INDEX(Roster!$F:$F,MATCH($C1009,Roster!$B:$B,0))&amp;""),"—"))</f>
        <v/>
      </c>
      <c r="I1009" s="25">
        <f>IF($C1009="","",IFERROR(IF(INDEX(Roster!$G:$G,MATCH($C1009,Roster!$B:$B,0))="","",INDEX(Roster!$G:$G,MATCH($C1009,Roster!$B:$B,0))&amp;""),"—"))</f>
        <v/>
      </c>
      <c r="J1009" s="25">
        <f>IF($C1009="","",IFERROR(IF(INDEX(Roster!$I:$I,MATCH($C1009,Roster!$B:$B,0))="","",INDEX(Roster!$I:$I,MATCH($C1009,Roster!$B:$B,0))&amp;""),"—"))</f>
        <v/>
      </c>
      <c r="K1009">
        <f>IF($C1009="","",IFERROR(IF(INDEX(Roster!$J:$J,MATCH($C1009,Roster!$B:$B,0))="","",INDEX(Roster!$J:$J,MATCH($C1009,Roster!$B:$B,0))&amp;""),"—"))</f>
        <v/>
      </c>
      <c r="L1009">
        <f>IF($C1009="","",IFERROR(IF(INDEX(Roster!$K:$K,MATCH($C1009,Roster!$B:$B,0))="","",INDEX(Roster!$K:$K,MATCH($C1009,Roster!$B:$B,0))&amp;""),"—"))</f>
        <v/>
      </c>
      <c r="M1009" s="27" t="n"/>
      <c r="N1009" s="27" t="n"/>
      <c r="O1009" s="25">
        <f>IF($C1009="","",IF($P1009="","—",IF($P1009="Valid (Pass)","Valid","Invalid")))</f>
        <v/>
      </c>
      <c r="P1009" s="27" t="n"/>
      <c r="Q1009" s="27" t="n"/>
      <c r="R1009" s="27" t="n"/>
      <c r="S1009" s="27" t="n"/>
      <c r="T1009" s="25">
        <f>IF($C1009="","",IF(OR(ISNUMBER(SEARCH("quick case",$P1009)),ISNUMBER(SEARCH("quick case",$Q1009))),"Yes","No"))</f>
        <v/>
      </c>
      <c r="U1009" s="25">
        <f>IF($O1009="Invalid",HYPERLINK("mailto:"&amp;$G1009&amp;";"&amp;$I1009&amp;"?cc="&amp;Lists!$E$2&amp;"&amp;subject="&amp;_xlfn.ENCODEURL("[INVALID] Quality audit monitoring completed for "&amp;UPPER($C1009))&amp;"&amp;body="&amp;_xlfn.ENCODEURL("Hi "&amp;$F1009&amp;","&amp;CHAR(10)&amp;"Good day!"&amp;CHAR(10)&amp;CHAR(10)&amp;"A quality monitoring audit has been completed for "&amp;$C1009&amp;"."&amp;CHAR(10)&amp;CHAR(10)&amp;"QUALITY AUDIT DETAILS"&amp;CHAR(10)&amp;"Agent Name: "&amp;$C1009&amp;" (EID "&amp;$D1009&amp;")"&amp;CHAR(10)&amp;"Audit Date: "&amp;TEXT($B1009,"yyyy-mm-dd")&amp;CHAR(10)&amp;"Team Leader: "&amp;$F1009&amp;CHAR(10)&amp;"Case Number: "&amp;$M1009&amp;CHAR(10)&amp;"Transaction ID: "&amp;$N1009&amp;CHAR(10)&amp;"Channel / LOB: "&amp;$K1009&amp;" / "&amp;$L1009&amp;CHAR(10)&amp;"Evaluator: "&amp;$S1009&amp;CHAR(10)&amp;CHAR(10)&amp;"INVALID QUALITY AUDIT DETAILS"&amp;CHAR(10)&amp;"Validation: Invalid"&amp;CHAR(10)&amp;"Invalid Reason: "&amp;$P1009&amp;CHAR(10)&amp;"Expected Resolution Code: "&amp;$Q1009&amp;CHAR(10)&amp;"Remarks: "&amp;LEFT($R1009,600)&amp;CHAR(10)&amp;CHAR(10)&amp;"This is an automated notification from HP Mainstream EQMS."),"✉ Open Email Draft"),"")</f>
        <v/>
      </c>
    </row>
    <row r="1010">
      <c r="A1010" s="25">
        <f>IF($C1010="","","AUD-2026-"&amp;TEXT(ROW()-1,"000000"))</f>
        <v/>
      </c>
      <c r="B1010" s="26" t="n"/>
      <c r="C1010" s="27" t="n"/>
      <c r="D1010" s="25">
        <f>IF($C1010="","",IFERROR(IF(INDEX(Roster!$A:$A,MATCH($C1010,Roster!$B:$B,0))="","",INDEX(Roster!$A:$A,MATCH($C1010,Roster!$B:$B,0))&amp;""),"—"))</f>
        <v/>
      </c>
      <c r="E1010" s="25">
        <f>IF($C1010="","",IFERROR(IF(INDEX(Roster!$C:$C,MATCH($C1010,Roster!$B:$B,0))="","",INDEX(Roster!$C:$C,MATCH($C1010,Roster!$B:$B,0))&amp;""),"—"))</f>
        <v/>
      </c>
      <c r="F1010" s="25">
        <f>IF($C1010="","",IFERROR(IF(INDEX(Roster!$D:$D,MATCH($C1010,Roster!$B:$B,0))="","",INDEX(Roster!$D:$D,MATCH($C1010,Roster!$B:$B,0))&amp;""),"—"))</f>
        <v/>
      </c>
      <c r="G1010" s="25">
        <f>IF($C1010="","",IFERROR(IF(INDEX(Roster!$E:$E,MATCH($C1010,Roster!$B:$B,0))="","",INDEX(Roster!$E:$E,MATCH($C1010,Roster!$B:$B,0))&amp;""),"—"))</f>
        <v/>
      </c>
      <c r="H1010" s="25">
        <f>IF($C1010="","",IFERROR(IF(INDEX(Roster!$F:$F,MATCH($C1010,Roster!$B:$B,0))="","",INDEX(Roster!$F:$F,MATCH($C1010,Roster!$B:$B,0))&amp;""),"—"))</f>
        <v/>
      </c>
      <c r="I1010" s="25">
        <f>IF($C1010="","",IFERROR(IF(INDEX(Roster!$G:$G,MATCH($C1010,Roster!$B:$B,0))="","",INDEX(Roster!$G:$G,MATCH($C1010,Roster!$B:$B,0))&amp;""),"—"))</f>
        <v/>
      </c>
      <c r="J1010" s="25">
        <f>IF($C1010="","",IFERROR(IF(INDEX(Roster!$I:$I,MATCH($C1010,Roster!$B:$B,0))="","",INDEX(Roster!$I:$I,MATCH($C1010,Roster!$B:$B,0))&amp;""),"—"))</f>
        <v/>
      </c>
      <c r="K1010">
        <f>IF($C1010="","",IFERROR(IF(INDEX(Roster!$J:$J,MATCH($C1010,Roster!$B:$B,0))="","",INDEX(Roster!$J:$J,MATCH($C1010,Roster!$B:$B,0))&amp;""),"—"))</f>
        <v/>
      </c>
      <c r="L1010">
        <f>IF($C1010="","",IFERROR(IF(INDEX(Roster!$K:$K,MATCH($C1010,Roster!$B:$B,0))="","",INDEX(Roster!$K:$K,MATCH($C1010,Roster!$B:$B,0))&amp;""),"—"))</f>
        <v/>
      </c>
      <c r="M1010" s="27" t="n"/>
      <c r="N1010" s="27" t="n"/>
      <c r="O1010" s="25">
        <f>IF($C1010="","",IF($P1010="","—",IF($P1010="Valid (Pass)","Valid","Invalid")))</f>
        <v/>
      </c>
      <c r="P1010" s="27" t="n"/>
      <c r="Q1010" s="27" t="n"/>
      <c r="R1010" s="27" t="n"/>
      <c r="S1010" s="27" t="n"/>
      <c r="T1010" s="25">
        <f>IF($C1010="","",IF(OR(ISNUMBER(SEARCH("quick case",$P1010)),ISNUMBER(SEARCH("quick case",$Q1010))),"Yes","No"))</f>
        <v/>
      </c>
      <c r="U1010" s="25">
        <f>IF($O1010="Invalid",HYPERLINK("mailto:"&amp;$G1010&amp;";"&amp;$I1010&amp;"?cc="&amp;Lists!$E$2&amp;"&amp;subject="&amp;_xlfn.ENCODEURL("[INVALID] Quality audit monitoring completed for "&amp;UPPER($C1010))&amp;"&amp;body="&amp;_xlfn.ENCODEURL("Hi "&amp;$F1010&amp;","&amp;CHAR(10)&amp;"Good day!"&amp;CHAR(10)&amp;CHAR(10)&amp;"A quality monitoring audit has been completed for "&amp;$C1010&amp;"."&amp;CHAR(10)&amp;CHAR(10)&amp;"QUALITY AUDIT DETAILS"&amp;CHAR(10)&amp;"Agent Name: "&amp;$C1010&amp;" (EID "&amp;$D1010&amp;")"&amp;CHAR(10)&amp;"Audit Date: "&amp;TEXT($B1010,"yyyy-mm-dd")&amp;CHAR(10)&amp;"Team Leader: "&amp;$F1010&amp;CHAR(10)&amp;"Case Number: "&amp;$M1010&amp;CHAR(10)&amp;"Transaction ID: "&amp;$N1010&amp;CHAR(10)&amp;"Channel / LOB: "&amp;$K1010&amp;" / "&amp;$L1010&amp;CHAR(10)&amp;"Evaluator: "&amp;$S1010&amp;CHAR(10)&amp;CHAR(10)&amp;"INVALID QUALITY AUDIT DETAILS"&amp;CHAR(10)&amp;"Validation: Invalid"&amp;CHAR(10)&amp;"Invalid Reason: "&amp;$P1010&amp;CHAR(10)&amp;"Expected Resolution Code: "&amp;$Q1010&amp;CHAR(10)&amp;"Remarks: "&amp;LEFT($R1010,600)&amp;CHAR(10)&amp;CHAR(10)&amp;"This is an automated notification from HP Mainstream EQMS."),"✉ Open Email Draft"),"")</f>
        <v/>
      </c>
    </row>
    <row r="1011">
      <c r="A1011" s="25">
        <f>IF($C1011="","","AUD-2026-"&amp;TEXT(ROW()-1,"000000"))</f>
        <v/>
      </c>
      <c r="B1011" s="26" t="n"/>
      <c r="C1011" s="27" t="n"/>
      <c r="D1011" s="25">
        <f>IF($C1011="","",IFERROR(IF(INDEX(Roster!$A:$A,MATCH($C1011,Roster!$B:$B,0))="","",INDEX(Roster!$A:$A,MATCH($C1011,Roster!$B:$B,0))&amp;""),"—"))</f>
        <v/>
      </c>
      <c r="E1011" s="25">
        <f>IF($C1011="","",IFERROR(IF(INDEX(Roster!$C:$C,MATCH($C1011,Roster!$B:$B,0))="","",INDEX(Roster!$C:$C,MATCH($C1011,Roster!$B:$B,0))&amp;""),"—"))</f>
        <v/>
      </c>
      <c r="F1011" s="25">
        <f>IF($C1011="","",IFERROR(IF(INDEX(Roster!$D:$D,MATCH($C1011,Roster!$B:$B,0))="","",INDEX(Roster!$D:$D,MATCH($C1011,Roster!$B:$B,0))&amp;""),"—"))</f>
        <v/>
      </c>
      <c r="G1011" s="25">
        <f>IF($C1011="","",IFERROR(IF(INDEX(Roster!$E:$E,MATCH($C1011,Roster!$B:$B,0))="","",INDEX(Roster!$E:$E,MATCH($C1011,Roster!$B:$B,0))&amp;""),"—"))</f>
        <v/>
      </c>
      <c r="H1011" s="25">
        <f>IF($C1011="","",IFERROR(IF(INDEX(Roster!$F:$F,MATCH($C1011,Roster!$B:$B,0))="","",INDEX(Roster!$F:$F,MATCH($C1011,Roster!$B:$B,0))&amp;""),"—"))</f>
        <v/>
      </c>
      <c r="I1011" s="25">
        <f>IF($C1011="","",IFERROR(IF(INDEX(Roster!$G:$G,MATCH($C1011,Roster!$B:$B,0))="","",INDEX(Roster!$G:$G,MATCH($C1011,Roster!$B:$B,0))&amp;""),"—"))</f>
        <v/>
      </c>
      <c r="J1011" s="25">
        <f>IF($C1011="","",IFERROR(IF(INDEX(Roster!$I:$I,MATCH($C1011,Roster!$B:$B,0))="","",INDEX(Roster!$I:$I,MATCH($C1011,Roster!$B:$B,0))&amp;""),"—"))</f>
        <v/>
      </c>
      <c r="K1011">
        <f>IF($C1011="","",IFERROR(IF(INDEX(Roster!$J:$J,MATCH($C1011,Roster!$B:$B,0))="","",INDEX(Roster!$J:$J,MATCH($C1011,Roster!$B:$B,0))&amp;""),"—"))</f>
        <v/>
      </c>
      <c r="L1011">
        <f>IF($C1011="","",IFERROR(IF(INDEX(Roster!$K:$K,MATCH($C1011,Roster!$B:$B,0))="","",INDEX(Roster!$K:$K,MATCH($C1011,Roster!$B:$B,0))&amp;""),"—"))</f>
        <v/>
      </c>
      <c r="M1011" s="27" t="n"/>
      <c r="N1011" s="27" t="n"/>
      <c r="O1011" s="25">
        <f>IF($C1011="","",IF($P1011="","—",IF($P1011="Valid (Pass)","Valid","Invalid")))</f>
        <v/>
      </c>
      <c r="P1011" s="27" t="n"/>
      <c r="Q1011" s="27" t="n"/>
      <c r="R1011" s="27" t="n"/>
      <c r="S1011" s="27" t="n"/>
      <c r="T1011" s="25">
        <f>IF($C1011="","",IF(OR(ISNUMBER(SEARCH("quick case",$P1011)),ISNUMBER(SEARCH("quick case",$Q1011))),"Yes","No"))</f>
        <v/>
      </c>
      <c r="U1011" s="25">
        <f>IF($O1011="Invalid",HYPERLINK("mailto:"&amp;$G1011&amp;";"&amp;$I1011&amp;"?cc="&amp;Lists!$E$2&amp;"&amp;subject="&amp;_xlfn.ENCODEURL("[INVALID] Quality audit monitoring completed for "&amp;UPPER($C1011))&amp;"&amp;body="&amp;_xlfn.ENCODEURL("Hi "&amp;$F1011&amp;","&amp;CHAR(10)&amp;"Good day!"&amp;CHAR(10)&amp;CHAR(10)&amp;"A quality monitoring audit has been completed for "&amp;$C1011&amp;"."&amp;CHAR(10)&amp;CHAR(10)&amp;"QUALITY AUDIT DETAILS"&amp;CHAR(10)&amp;"Agent Name: "&amp;$C1011&amp;" (EID "&amp;$D1011&amp;")"&amp;CHAR(10)&amp;"Audit Date: "&amp;TEXT($B1011,"yyyy-mm-dd")&amp;CHAR(10)&amp;"Team Leader: "&amp;$F1011&amp;CHAR(10)&amp;"Case Number: "&amp;$M1011&amp;CHAR(10)&amp;"Transaction ID: "&amp;$N1011&amp;CHAR(10)&amp;"Channel / LOB: "&amp;$K1011&amp;" / "&amp;$L1011&amp;CHAR(10)&amp;"Evaluator: "&amp;$S1011&amp;CHAR(10)&amp;CHAR(10)&amp;"INVALID QUALITY AUDIT DETAILS"&amp;CHAR(10)&amp;"Validation: Invalid"&amp;CHAR(10)&amp;"Invalid Reason: "&amp;$P1011&amp;CHAR(10)&amp;"Expected Resolution Code: "&amp;$Q1011&amp;CHAR(10)&amp;"Remarks: "&amp;LEFT($R1011,600)&amp;CHAR(10)&amp;CHAR(10)&amp;"This is an automated notification from HP Mainstream EQMS."),"✉ Open Email Draft"),"")</f>
        <v/>
      </c>
    </row>
    <row r="1012">
      <c r="A1012" s="25">
        <f>IF($C1012="","","AUD-2026-"&amp;TEXT(ROW()-1,"000000"))</f>
        <v/>
      </c>
      <c r="B1012" s="26" t="n"/>
      <c r="C1012" s="27" t="n"/>
      <c r="D1012" s="25">
        <f>IF($C1012="","",IFERROR(IF(INDEX(Roster!$A:$A,MATCH($C1012,Roster!$B:$B,0))="","",INDEX(Roster!$A:$A,MATCH($C1012,Roster!$B:$B,0))&amp;""),"—"))</f>
        <v/>
      </c>
      <c r="E1012" s="25">
        <f>IF($C1012="","",IFERROR(IF(INDEX(Roster!$C:$C,MATCH($C1012,Roster!$B:$B,0))="","",INDEX(Roster!$C:$C,MATCH($C1012,Roster!$B:$B,0))&amp;""),"—"))</f>
        <v/>
      </c>
      <c r="F1012" s="25">
        <f>IF($C1012="","",IFERROR(IF(INDEX(Roster!$D:$D,MATCH($C1012,Roster!$B:$B,0))="","",INDEX(Roster!$D:$D,MATCH($C1012,Roster!$B:$B,0))&amp;""),"—"))</f>
        <v/>
      </c>
      <c r="G1012" s="25">
        <f>IF($C1012="","",IFERROR(IF(INDEX(Roster!$E:$E,MATCH($C1012,Roster!$B:$B,0))="","",INDEX(Roster!$E:$E,MATCH($C1012,Roster!$B:$B,0))&amp;""),"—"))</f>
        <v/>
      </c>
      <c r="H1012" s="25">
        <f>IF($C1012="","",IFERROR(IF(INDEX(Roster!$F:$F,MATCH($C1012,Roster!$B:$B,0))="","",INDEX(Roster!$F:$F,MATCH($C1012,Roster!$B:$B,0))&amp;""),"—"))</f>
        <v/>
      </c>
      <c r="I1012" s="25">
        <f>IF($C1012="","",IFERROR(IF(INDEX(Roster!$G:$G,MATCH($C1012,Roster!$B:$B,0))="","",INDEX(Roster!$G:$G,MATCH($C1012,Roster!$B:$B,0))&amp;""),"—"))</f>
        <v/>
      </c>
      <c r="J1012" s="25">
        <f>IF($C1012="","",IFERROR(IF(INDEX(Roster!$I:$I,MATCH($C1012,Roster!$B:$B,0))="","",INDEX(Roster!$I:$I,MATCH($C1012,Roster!$B:$B,0))&amp;""),"—"))</f>
        <v/>
      </c>
      <c r="K1012">
        <f>IF($C1012="","",IFERROR(IF(INDEX(Roster!$J:$J,MATCH($C1012,Roster!$B:$B,0))="","",INDEX(Roster!$J:$J,MATCH($C1012,Roster!$B:$B,0))&amp;""),"—"))</f>
        <v/>
      </c>
      <c r="L1012">
        <f>IF($C1012="","",IFERROR(IF(INDEX(Roster!$K:$K,MATCH($C1012,Roster!$B:$B,0))="","",INDEX(Roster!$K:$K,MATCH($C1012,Roster!$B:$B,0))&amp;""),"—"))</f>
        <v/>
      </c>
      <c r="M1012" s="27" t="n"/>
      <c r="N1012" s="27" t="n"/>
      <c r="O1012" s="25">
        <f>IF($C1012="","",IF($P1012="","—",IF($P1012="Valid (Pass)","Valid","Invalid")))</f>
        <v/>
      </c>
      <c r="P1012" s="27" t="n"/>
      <c r="Q1012" s="27" t="n"/>
      <c r="R1012" s="27" t="n"/>
      <c r="S1012" s="27" t="n"/>
      <c r="T1012" s="25">
        <f>IF($C1012="","",IF(OR(ISNUMBER(SEARCH("quick case",$P1012)),ISNUMBER(SEARCH("quick case",$Q1012))),"Yes","No"))</f>
        <v/>
      </c>
      <c r="U1012" s="25">
        <f>IF($O1012="Invalid",HYPERLINK("mailto:"&amp;$G1012&amp;";"&amp;$I1012&amp;"?cc="&amp;Lists!$E$2&amp;"&amp;subject="&amp;_xlfn.ENCODEURL("[INVALID] Quality audit monitoring completed for "&amp;UPPER($C1012))&amp;"&amp;body="&amp;_xlfn.ENCODEURL("Hi "&amp;$F1012&amp;","&amp;CHAR(10)&amp;"Good day!"&amp;CHAR(10)&amp;CHAR(10)&amp;"A quality monitoring audit has been completed for "&amp;$C1012&amp;"."&amp;CHAR(10)&amp;CHAR(10)&amp;"QUALITY AUDIT DETAILS"&amp;CHAR(10)&amp;"Agent Name: "&amp;$C1012&amp;" (EID "&amp;$D1012&amp;")"&amp;CHAR(10)&amp;"Audit Date: "&amp;TEXT($B1012,"yyyy-mm-dd")&amp;CHAR(10)&amp;"Team Leader: "&amp;$F1012&amp;CHAR(10)&amp;"Case Number: "&amp;$M1012&amp;CHAR(10)&amp;"Transaction ID: "&amp;$N1012&amp;CHAR(10)&amp;"Channel / LOB: "&amp;$K1012&amp;" / "&amp;$L1012&amp;CHAR(10)&amp;"Evaluator: "&amp;$S1012&amp;CHAR(10)&amp;CHAR(10)&amp;"INVALID QUALITY AUDIT DETAILS"&amp;CHAR(10)&amp;"Validation: Invalid"&amp;CHAR(10)&amp;"Invalid Reason: "&amp;$P1012&amp;CHAR(10)&amp;"Expected Resolution Code: "&amp;$Q1012&amp;CHAR(10)&amp;"Remarks: "&amp;LEFT($R1012,600)&amp;CHAR(10)&amp;CHAR(10)&amp;"This is an automated notification from HP Mainstream EQMS."),"✉ Open Email Draft"),"")</f>
        <v/>
      </c>
    </row>
    <row r="1013">
      <c r="A1013" s="25">
        <f>IF($C1013="","","AUD-2026-"&amp;TEXT(ROW()-1,"000000"))</f>
        <v/>
      </c>
      <c r="B1013" s="26" t="n"/>
      <c r="C1013" s="27" t="n"/>
      <c r="D1013" s="25">
        <f>IF($C1013="","",IFERROR(IF(INDEX(Roster!$A:$A,MATCH($C1013,Roster!$B:$B,0))="","",INDEX(Roster!$A:$A,MATCH($C1013,Roster!$B:$B,0))&amp;""),"—"))</f>
        <v/>
      </c>
      <c r="E1013" s="25">
        <f>IF($C1013="","",IFERROR(IF(INDEX(Roster!$C:$C,MATCH($C1013,Roster!$B:$B,0))="","",INDEX(Roster!$C:$C,MATCH($C1013,Roster!$B:$B,0))&amp;""),"—"))</f>
        <v/>
      </c>
      <c r="F1013" s="25">
        <f>IF($C1013="","",IFERROR(IF(INDEX(Roster!$D:$D,MATCH($C1013,Roster!$B:$B,0))="","",INDEX(Roster!$D:$D,MATCH($C1013,Roster!$B:$B,0))&amp;""),"—"))</f>
        <v/>
      </c>
      <c r="G1013" s="25">
        <f>IF($C1013="","",IFERROR(IF(INDEX(Roster!$E:$E,MATCH($C1013,Roster!$B:$B,0))="","",INDEX(Roster!$E:$E,MATCH($C1013,Roster!$B:$B,0))&amp;""),"—"))</f>
        <v/>
      </c>
      <c r="H1013" s="25">
        <f>IF($C1013="","",IFERROR(IF(INDEX(Roster!$F:$F,MATCH($C1013,Roster!$B:$B,0))="","",INDEX(Roster!$F:$F,MATCH($C1013,Roster!$B:$B,0))&amp;""),"—"))</f>
        <v/>
      </c>
      <c r="I1013" s="25">
        <f>IF($C1013="","",IFERROR(IF(INDEX(Roster!$G:$G,MATCH($C1013,Roster!$B:$B,0))="","",INDEX(Roster!$G:$G,MATCH($C1013,Roster!$B:$B,0))&amp;""),"—"))</f>
        <v/>
      </c>
      <c r="J1013" s="25">
        <f>IF($C1013="","",IFERROR(IF(INDEX(Roster!$I:$I,MATCH($C1013,Roster!$B:$B,0))="","",INDEX(Roster!$I:$I,MATCH($C1013,Roster!$B:$B,0))&amp;""),"—"))</f>
        <v/>
      </c>
      <c r="K1013">
        <f>IF($C1013="","",IFERROR(IF(INDEX(Roster!$J:$J,MATCH($C1013,Roster!$B:$B,0))="","",INDEX(Roster!$J:$J,MATCH($C1013,Roster!$B:$B,0))&amp;""),"—"))</f>
        <v/>
      </c>
      <c r="L1013">
        <f>IF($C1013="","",IFERROR(IF(INDEX(Roster!$K:$K,MATCH($C1013,Roster!$B:$B,0))="","",INDEX(Roster!$K:$K,MATCH($C1013,Roster!$B:$B,0))&amp;""),"—"))</f>
        <v/>
      </c>
      <c r="M1013" s="27" t="n"/>
      <c r="N1013" s="27" t="n"/>
      <c r="O1013" s="25">
        <f>IF($C1013="","",IF($P1013="","—",IF($P1013="Valid (Pass)","Valid","Invalid")))</f>
        <v/>
      </c>
      <c r="P1013" s="27" t="n"/>
      <c r="Q1013" s="27" t="n"/>
      <c r="R1013" s="27" t="n"/>
      <c r="S1013" s="27" t="n"/>
      <c r="T1013" s="25">
        <f>IF($C1013="","",IF(OR(ISNUMBER(SEARCH("quick case",$P1013)),ISNUMBER(SEARCH("quick case",$Q1013))),"Yes","No"))</f>
        <v/>
      </c>
      <c r="U1013" s="25">
        <f>IF($O1013="Invalid",HYPERLINK("mailto:"&amp;$G1013&amp;";"&amp;$I1013&amp;"?cc="&amp;Lists!$E$2&amp;"&amp;subject="&amp;_xlfn.ENCODEURL("[INVALID] Quality audit monitoring completed for "&amp;UPPER($C1013))&amp;"&amp;body="&amp;_xlfn.ENCODEURL("Hi "&amp;$F1013&amp;","&amp;CHAR(10)&amp;"Good day!"&amp;CHAR(10)&amp;CHAR(10)&amp;"A quality monitoring audit has been completed for "&amp;$C1013&amp;"."&amp;CHAR(10)&amp;CHAR(10)&amp;"QUALITY AUDIT DETAILS"&amp;CHAR(10)&amp;"Agent Name: "&amp;$C1013&amp;" (EID "&amp;$D1013&amp;")"&amp;CHAR(10)&amp;"Audit Date: "&amp;TEXT($B1013,"yyyy-mm-dd")&amp;CHAR(10)&amp;"Team Leader: "&amp;$F1013&amp;CHAR(10)&amp;"Case Number: "&amp;$M1013&amp;CHAR(10)&amp;"Transaction ID: "&amp;$N1013&amp;CHAR(10)&amp;"Channel / LOB: "&amp;$K1013&amp;" / "&amp;$L1013&amp;CHAR(10)&amp;"Evaluator: "&amp;$S1013&amp;CHAR(10)&amp;CHAR(10)&amp;"INVALID QUALITY AUDIT DETAILS"&amp;CHAR(10)&amp;"Validation: Invalid"&amp;CHAR(10)&amp;"Invalid Reason: "&amp;$P1013&amp;CHAR(10)&amp;"Expected Resolution Code: "&amp;$Q1013&amp;CHAR(10)&amp;"Remarks: "&amp;LEFT($R1013,600)&amp;CHAR(10)&amp;CHAR(10)&amp;"This is an automated notification from HP Mainstream EQMS."),"✉ Open Email Draft"),"")</f>
        <v/>
      </c>
    </row>
    <row r="1014">
      <c r="A1014" s="25">
        <f>IF($C1014="","","AUD-2026-"&amp;TEXT(ROW()-1,"000000"))</f>
        <v/>
      </c>
      <c r="B1014" s="26" t="n"/>
      <c r="C1014" s="27" t="n"/>
      <c r="D1014" s="25">
        <f>IF($C1014="","",IFERROR(IF(INDEX(Roster!$A:$A,MATCH($C1014,Roster!$B:$B,0))="","",INDEX(Roster!$A:$A,MATCH($C1014,Roster!$B:$B,0))&amp;""),"—"))</f>
        <v/>
      </c>
      <c r="E1014" s="25">
        <f>IF($C1014="","",IFERROR(IF(INDEX(Roster!$C:$C,MATCH($C1014,Roster!$B:$B,0))="","",INDEX(Roster!$C:$C,MATCH($C1014,Roster!$B:$B,0))&amp;""),"—"))</f>
        <v/>
      </c>
      <c r="F1014" s="25">
        <f>IF($C1014="","",IFERROR(IF(INDEX(Roster!$D:$D,MATCH($C1014,Roster!$B:$B,0))="","",INDEX(Roster!$D:$D,MATCH($C1014,Roster!$B:$B,0))&amp;""),"—"))</f>
        <v/>
      </c>
      <c r="G1014" s="25">
        <f>IF($C1014="","",IFERROR(IF(INDEX(Roster!$E:$E,MATCH($C1014,Roster!$B:$B,0))="","",INDEX(Roster!$E:$E,MATCH($C1014,Roster!$B:$B,0))&amp;""),"—"))</f>
        <v/>
      </c>
      <c r="H1014" s="25">
        <f>IF($C1014="","",IFERROR(IF(INDEX(Roster!$F:$F,MATCH($C1014,Roster!$B:$B,0))="","",INDEX(Roster!$F:$F,MATCH($C1014,Roster!$B:$B,0))&amp;""),"—"))</f>
        <v/>
      </c>
      <c r="I1014" s="25">
        <f>IF($C1014="","",IFERROR(IF(INDEX(Roster!$G:$G,MATCH($C1014,Roster!$B:$B,0))="","",INDEX(Roster!$G:$G,MATCH($C1014,Roster!$B:$B,0))&amp;""),"—"))</f>
        <v/>
      </c>
      <c r="J1014" s="25">
        <f>IF($C1014="","",IFERROR(IF(INDEX(Roster!$I:$I,MATCH($C1014,Roster!$B:$B,0))="","",INDEX(Roster!$I:$I,MATCH($C1014,Roster!$B:$B,0))&amp;""),"—"))</f>
        <v/>
      </c>
      <c r="K1014">
        <f>IF($C1014="","",IFERROR(IF(INDEX(Roster!$J:$J,MATCH($C1014,Roster!$B:$B,0))="","",INDEX(Roster!$J:$J,MATCH($C1014,Roster!$B:$B,0))&amp;""),"—"))</f>
        <v/>
      </c>
      <c r="L1014">
        <f>IF($C1014="","",IFERROR(IF(INDEX(Roster!$K:$K,MATCH($C1014,Roster!$B:$B,0))="","",INDEX(Roster!$K:$K,MATCH($C1014,Roster!$B:$B,0))&amp;""),"—"))</f>
        <v/>
      </c>
      <c r="M1014" s="27" t="n"/>
      <c r="N1014" s="27" t="n"/>
      <c r="O1014" s="25">
        <f>IF($C1014="","",IF($P1014="","—",IF($P1014="Valid (Pass)","Valid","Invalid")))</f>
        <v/>
      </c>
      <c r="P1014" s="27" t="n"/>
      <c r="Q1014" s="27" t="n"/>
      <c r="R1014" s="27" t="n"/>
      <c r="S1014" s="27" t="n"/>
      <c r="T1014" s="25">
        <f>IF($C1014="","",IF(OR(ISNUMBER(SEARCH("quick case",$P1014)),ISNUMBER(SEARCH("quick case",$Q1014))),"Yes","No"))</f>
        <v/>
      </c>
      <c r="U1014" s="25">
        <f>IF($O1014="Invalid",HYPERLINK("mailto:"&amp;$G1014&amp;";"&amp;$I1014&amp;"?cc="&amp;Lists!$E$2&amp;"&amp;subject="&amp;_xlfn.ENCODEURL("[INVALID] Quality audit monitoring completed for "&amp;UPPER($C1014))&amp;"&amp;body="&amp;_xlfn.ENCODEURL("Hi "&amp;$F1014&amp;","&amp;CHAR(10)&amp;"Good day!"&amp;CHAR(10)&amp;CHAR(10)&amp;"A quality monitoring audit has been completed for "&amp;$C1014&amp;"."&amp;CHAR(10)&amp;CHAR(10)&amp;"QUALITY AUDIT DETAILS"&amp;CHAR(10)&amp;"Agent Name: "&amp;$C1014&amp;" (EID "&amp;$D1014&amp;")"&amp;CHAR(10)&amp;"Audit Date: "&amp;TEXT($B1014,"yyyy-mm-dd")&amp;CHAR(10)&amp;"Team Leader: "&amp;$F1014&amp;CHAR(10)&amp;"Case Number: "&amp;$M1014&amp;CHAR(10)&amp;"Transaction ID: "&amp;$N1014&amp;CHAR(10)&amp;"Channel / LOB: "&amp;$K1014&amp;" / "&amp;$L1014&amp;CHAR(10)&amp;"Evaluator: "&amp;$S1014&amp;CHAR(10)&amp;CHAR(10)&amp;"INVALID QUALITY AUDIT DETAILS"&amp;CHAR(10)&amp;"Validation: Invalid"&amp;CHAR(10)&amp;"Invalid Reason: "&amp;$P1014&amp;CHAR(10)&amp;"Expected Resolution Code: "&amp;$Q1014&amp;CHAR(10)&amp;"Remarks: "&amp;LEFT($R1014,600)&amp;CHAR(10)&amp;CHAR(10)&amp;"This is an automated notification from HP Mainstream EQMS."),"✉ Open Email Draft"),"")</f>
        <v/>
      </c>
    </row>
    <row r="1015">
      <c r="A1015" s="25">
        <f>IF($C1015="","","AUD-2026-"&amp;TEXT(ROW()-1,"000000"))</f>
        <v/>
      </c>
      <c r="B1015" s="26" t="n"/>
      <c r="C1015" s="27" t="n"/>
      <c r="D1015" s="25">
        <f>IF($C1015="","",IFERROR(IF(INDEX(Roster!$A:$A,MATCH($C1015,Roster!$B:$B,0))="","",INDEX(Roster!$A:$A,MATCH($C1015,Roster!$B:$B,0))&amp;""),"—"))</f>
        <v/>
      </c>
      <c r="E1015" s="25">
        <f>IF($C1015="","",IFERROR(IF(INDEX(Roster!$C:$C,MATCH($C1015,Roster!$B:$B,0))="","",INDEX(Roster!$C:$C,MATCH($C1015,Roster!$B:$B,0))&amp;""),"—"))</f>
        <v/>
      </c>
      <c r="F1015" s="25">
        <f>IF($C1015="","",IFERROR(IF(INDEX(Roster!$D:$D,MATCH($C1015,Roster!$B:$B,0))="","",INDEX(Roster!$D:$D,MATCH($C1015,Roster!$B:$B,0))&amp;""),"—"))</f>
        <v/>
      </c>
      <c r="G1015" s="25">
        <f>IF($C1015="","",IFERROR(IF(INDEX(Roster!$E:$E,MATCH($C1015,Roster!$B:$B,0))="","",INDEX(Roster!$E:$E,MATCH($C1015,Roster!$B:$B,0))&amp;""),"—"))</f>
        <v/>
      </c>
      <c r="H1015" s="25">
        <f>IF($C1015="","",IFERROR(IF(INDEX(Roster!$F:$F,MATCH($C1015,Roster!$B:$B,0))="","",INDEX(Roster!$F:$F,MATCH($C1015,Roster!$B:$B,0))&amp;""),"—"))</f>
        <v/>
      </c>
      <c r="I1015" s="25">
        <f>IF($C1015="","",IFERROR(IF(INDEX(Roster!$G:$G,MATCH($C1015,Roster!$B:$B,0))="","",INDEX(Roster!$G:$G,MATCH($C1015,Roster!$B:$B,0))&amp;""),"—"))</f>
        <v/>
      </c>
      <c r="J1015" s="25">
        <f>IF($C1015="","",IFERROR(IF(INDEX(Roster!$I:$I,MATCH($C1015,Roster!$B:$B,0))="","",INDEX(Roster!$I:$I,MATCH($C1015,Roster!$B:$B,0))&amp;""),"—"))</f>
        <v/>
      </c>
      <c r="K1015">
        <f>IF($C1015="","",IFERROR(IF(INDEX(Roster!$J:$J,MATCH($C1015,Roster!$B:$B,0))="","",INDEX(Roster!$J:$J,MATCH($C1015,Roster!$B:$B,0))&amp;""),"—"))</f>
        <v/>
      </c>
      <c r="L1015">
        <f>IF($C1015="","",IFERROR(IF(INDEX(Roster!$K:$K,MATCH($C1015,Roster!$B:$B,0))="","",INDEX(Roster!$K:$K,MATCH($C1015,Roster!$B:$B,0))&amp;""),"—"))</f>
        <v/>
      </c>
      <c r="M1015" s="27" t="n"/>
      <c r="N1015" s="27" t="n"/>
      <c r="O1015" s="25">
        <f>IF($C1015="","",IF($P1015="","—",IF($P1015="Valid (Pass)","Valid","Invalid")))</f>
        <v/>
      </c>
      <c r="P1015" s="27" t="n"/>
      <c r="Q1015" s="27" t="n"/>
      <c r="R1015" s="27" t="n"/>
      <c r="S1015" s="27" t="n"/>
      <c r="T1015" s="25">
        <f>IF($C1015="","",IF(OR(ISNUMBER(SEARCH("quick case",$P1015)),ISNUMBER(SEARCH("quick case",$Q1015))),"Yes","No"))</f>
        <v/>
      </c>
      <c r="U1015" s="25">
        <f>IF($O1015="Invalid",HYPERLINK("mailto:"&amp;$G1015&amp;";"&amp;$I1015&amp;"?cc="&amp;Lists!$E$2&amp;"&amp;subject="&amp;_xlfn.ENCODEURL("[INVALID] Quality audit monitoring completed for "&amp;UPPER($C1015))&amp;"&amp;body="&amp;_xlfn.ENCODEURL("Hi "&amp;$F1015&amp;","&amp;CHAR(10)&amp;"Good day!"&amp;CHAR(10)&amp;CHAR(10)&amp;"A quality monitoring audit has been completed for "&amp;$C1015&amp;"."&amp;CHAR(10)&amp;CHAR(10)&amp;"QUALITY AUDIT DETAILS"&amp;CHAR(10)&amp;"Agent Name: "&amp;$C1015&amp;" (EID "&amp;$D1015&amp;")"&amp;CHAR(10)&amp;"Audit Date: "&amp;TEXT($B1015,"yyyy-mm-dd")&amp;CHAR(10)&amp;"Team Leader: "&amp;$F1015&amp;CHAR(10)&amp;"Case Number: "&amp;$M1015&amp;CHAR(10)&amp;"Transaction ID: "&amp;$N1015&amp;CHAR(10)&amp;"Channel / LOB: "&amp;$K1015&amp;" / "&amp;$L1015&amp;CHAR(10)&amp;"Evaluator: "&amp;$S1015&amp;CHAR(10)&amp;CHAR(10)&amp;"INVALID QUALITY AUDIT DETAILS"&amp;CHAR(10)&amp;"Validation: Invalid"&amp;CHAR(10)&amp;"Invalid Reason: "&amp;$P1015&amp;CHAR(10)&amp;"Expected Resolution Code: "&amp;$Q1015&amp;CHAR(10)&amp;"Remarks: "&amp;LEFT($R1015,600)&amp;CHAR(10)&amp;CHAR(10)&amp;"This is an automated notification from HP Mainstream EQMS."),"✉ Open Email Draft"),"")</f>
        <v/>
      </c>
    </row>
    <row r="1016">
      <c r="A1016" s="25">
        <f>IF($C1016="","","AUD-2026-"&amp;TEXT(ROW()-1,"000000"))</f>
        <v/>
      </c>
      <c r="B1016" s="26" t="n"/>
      <c r="C1016" s="27" t="n"/>
      <c r="D1016" s="25">
        <f>IF($C1016="","",IFERROR(IF(INDEX(Roster!$A:$A,MATCH($C1016,Roster!$B:$B,0))="","",INDEX(Roster!$A:$A,MATCH($C1016,Roster!$B:$B,0))&amp;""),"—"))</f>
        <v/>
      </c>
      <c r="E1016" s="25">
        <f>IF($C1016="","",IFERROR(IF(INDEX(Roster!$C:$C,MATCH($C1016,Roster!$B:$B,0))="","",INDEX(Roster!$C:$C,MATCH($C1016,Roster!$B:$B,0))&amp;""),"—"))</f>
        <v/>
      </c>
      <c r="F1016" s="25">
        <f>IF($C1016="","",IFERROR(IF(INDEX(Roster!$D:$D,MATCH($C1016,Roster!$B:$B,0))="","",INDEX(Roster!$D:$D,MATCH($C1016,Roster!$B:$B,0))&amp;""),"—"))</f>
        <v/>
      </c>
      <c r="G1016" s="25">
        <f>IF($C1016="","",IFERROR(IF(INDEX(Roster!$E:$E,MATCH($C1016,Roster!$B:$B,0))="","",INDEX(Roster!$E:$E,MATCH($C1016,Roster!$B:$B,0))&amp;""),"—"))</f>
        <v/>
      </c>
      <c r="H1016" s="25">
        <f>IF($C1016="","",IFERROR(IF(INDEX(Roster!$F:$F,MATCH($C1016,Roster!$B:$B,0))="","",INDEX(Roster!$F:$F,MATCH($C1016,Roster!$B:$B,0))&amp;""),"—"))</f>
        <v/>
      </c>
      <c r="I1016" s="25">
        <f>IF($C1016="","",IFERROR(IF(INDEX(Roster!$G:$G,MATCH($C1016,Roster!$B:$B,0))="","",INDEX(Roster!$G:$G,MATCH($C1016,Roster!$B:$B,0))&amp;""),"—"))</f>
        <v/>
      </c>
      <c r="J1016" s="25">
        <f>IF($C1016="","",IFERROR(IF(INDEX(Roster!$I:$I,MATCH($C1016,Roster!$B:$B,0))="","",INDEX(Roster!$I:$I,MATCH($C1016,Roster!$B:$B,0))&amp;""),"—"))</f>
        <v/>
      </c>
      <c r="K1016">
        <f>IF($C1016="","",IFERROR(IF(INDEX(Roster!$J:$J,MATCH($C1016,Roster!$B:$B,0))="","",INDEX(Roster!$J:$J,MATCH($C1016,Roster!$B:$B,0))&amp;""),"—"))</f>
        <v/>
      </c>
      <c r="L1016">
        <f>IF($C1016="","",IFERROR(IF(INDEX(Roster!$K:$K,MATCH($C1016,Roster!$B:$B,0))="","",INDEX(Roster!$K:$K,MATCH($C1016,Roster!$B:$B,0))&amp;""),"—"))</f>
        <v/>
      </c>
      <c r="M1016" s="27" t="n"/>
      <c r="N1016" s="27" t="n"/>
      <c r="O1016" s="25">
        <f>IF($C1016="","",IF($P1016="","—",IF($P1016="Valid (Pass)","Valid","Invalid")))</f>
        <v/>
      </c>
      <c r="P1016" s="27" t="n"/>
      <c r="Q1016" s="27" t="n"/>
      <c r="R1016" s="27" t="n"/>
      <c r="S1016" s="27" t="n"/>
      <c r="T1016" s="25">
        <f>IF($C1016="","",IF(OR(ISNUMBER(SEARCH("quick case",$P1016)),ISNUMBER(SEARCH("quick case",$Q1016))),"Yes","No"))</f>
        <v/>
      </c>
      <c r="U1016" s="25">
        <f>IF($O1016="Invalid",HYPERLINK("mailto:"&amp;$G1016&amp;";"&amp;$I1016&amp;"?cc="&amp;Lists!$E$2&amp;"&amp;subject="&amp;_xlfn.ENCODEURL("[INVALID] Quality audit monitoring completed for "&amp;UPPER($C1016))&amp;"&amp;body="&amp;_xlfn.ENCODEURL("Hi "&amp;$F1016&amp;","&amp;CHAR(10)&amp;"Good day!"&amp;CHAR(10)&amp;CHAR(10)&amp;"A quality monitoring audit has been completed for "&amp;$C1016&amp;"."&amp;CHAR(10)&amp;CHAR(10)&amp;"QUALITY AUDIT DETAILS"&amp;CHAR(10)&amp;"Agent Name: "&amp;$C1016&amp;" (EID "&amp;$D1016&amp;")"&amp;CHAR(10)&amp;"Audit Date: "&amp;TEXT($B1016,"yyyy-mm-dd")&amp;CHAR(10)&amp;"Team Leader: "&amp;$F1016&amp;CHAR(10)&amp;"Case Number: "&amp;$M1016&amp;CHAR(10)&amp;"Transaction ID: "&amp;$N1016&amp;CHAR(10)&amp;"Channel / LOB: "&amp;$K1016&amp;" / "&amp;$L1016&amp;CHAR(10)&amp;"Evaluator: "&amp;$S1016&amp;CHAR(10)&amp;CHAR(10)&amp;"INVALID QUALITY AUDIT DETAILS"&amp;CHAR(10)&amp;"Validation: Invalid"&amp;CHAR(10)&amp;"Invalid Reason: "&amp;$P1016&amp;CHAR(10)&amp;"Expected Resolution Code: "&amp;$Q1016&amp;CHAR(10)&amp;"Remarks: "&amp;LEFT($R1016,600)&amp;CHAR(10)&amp;CHAR(10)&amp;"This is an automated notification from HP Mainstream EQMS."),"✉ Open Email Draft"),"")</f>
        <v/>
      </c>
    </row>
    <row r="1017">
      <c r="A1017" s="25">
        <f>IF($C1017="","","AUD-2026-"&amp;TEXT(ROW()-1,"000000"))</f>
        <v/>
      </c>
      <c r="B1017" s="26" t="n"/>
      <c r="C1017" s="27" t="n"/>
      <c r="D1017" s="25">
        <f>IF($C1017="","",IFERROR(IF(INDEX(Roster!$A:$A,MATCH($C1017,Roster!$B:$B,0))="","",INDEX(Roster!$A:$A,MATCH($C1017,Roster!$B:$B,0))&amp;""),"—"))</f>
        <v/>
      </c>
      <c r="E1017" s="25">
        <f>IF($C1017="","",IFERROR(IF(INDEX(Roster!$C:$C,MATCH($C1017,Roster!$B:$B,0))="","",INDEX(Roster!$C:$C,MATCH($C1017,Roster!$B:$B,0))&amp;""),"—"))</f>
        <v/>
      </c>
      <c r="F1017" s="25">
        <f>IF($C1017="","",IFERROR(IF(INDEX(Roster!$D:$D,MATCH($C1017,Roster!$B:$B,0))="","",INDEX(Roster!$D:$D,MATCH($C1017,Roster!$B:$B,0))&amp;""),"—"))</f>
        <v/>
      </c>
      <c r="G1017" s="25">
        <f>IF($C1017="","",IFERROR(IF(INDEX(Roster!$E:$E,MATCH($C1017,Roster!$B:$B,0))="","",INDEX(Roster!$E:$E,MATCH($C1017,Roster!$B:$B,0))&amp;""),"—"))</f>
        <v/>
      </c>
      <c r="H1017" s="25">
        <f>IF($C1017="","",IFERROR(IF(INDEX(Roster!$F:$F,MATCH($C1017,Roster!$B:$B,0))="","",INDEX(Roster!$F:$F,MATCH($C1017,Roster!$B:$B,0))&amp;""),"—"))</f>
        <v/>
      </c>
      <c r="I1017" s="25">
        <f>IF($C1017="","",IFERROR(IF(INDEX(Roster!$G:$G,MATCH($C1017,Roster!$B:$B,0))="","",INDEX(Roster!$G:$G,MATCH($C1017,Roster!$B:$B,0))&amp;""),"—"))</f>
        <v/>
      </c>
      <c r="J1017" s="25">
        <f>IF($C1017="","",IFERROR(IF(INDEX(Roster!$I:$I,MATCH($C1017,Roster!$B:$B,0))="","",INDEX(Roster!$I:$I,MATCH($C1017,Roster!$B:$B,0))&amp;""),"—"))</f>
        <v/>
      </c>
      <c r="K1017">
        <f>IF($C1017="","",IFERROR(IF(INDEX(Roster!$J:$J,MATCH($C1017,Roster!$B:$B,0))="","",INDEX(Roster!$J:$J,MATCH($C1017,Roster!$B:$B,0))&amp;""),"—"))</f>
        <v/>
      </c>
      <c r="L1017">
        <f>IF($C1017="","",IFERROR(IF(INDEX(Roster!$K:$K,MATCH($C1017,Roster!$B:$B,0))="","",INDEX(Roster!$K:$K,MATCH($C1017,Roster!$B:$B,0))&amp;""),"—"))</f>
        <v/>
      </c>
      <c r="M1017" s="27" t="n"/>
      <c r="N1017" s="27" t="n"/>
      <c r="O1017" s="25">
        <f>IF($C1017="","",IF($P1017="","—",IF($P1017="Valid (Pass)","Valid","Invalid")))</f>
        <v/>
      </c>
      <c r="P1017" s="27" t="n"/>
      <c r="Q1017" s="27" t="n"/>
      <c r="R1017" s="27" t="n"/>
      <c r="S1017" s="27" t="n"/>
      <c r="T1017" s="25">
        <f>IF($C1017="","",IF(OR(ISNUMBER(SEARCH("quick case",$P1017)),ISNUMBER(SEARCH("quick case",$Q1017))),"Yes","No"))</f>
        <v/>
      </c>
      <c r="U1017" s="25">
        <f>IF($O1017="Invalid",HYPERLINK("mailto:"&amp;$G1017&amp;";"&amp;$I1017&amp;"?cc="&amp;Lists!$E$2&amp;"&amp;subject="&amp;_xlfn.ENCODEURL("[INVALID] Quality audit monitoring completed for "&amp;UPPER($C1017))&amp;"&amp;body="&amp;_xlfn.ENCODEURL("Hi "&amp;$F1017&amp;","&amp;CHAR(10)&amp;"Good day!"&amp;CHAR(10)&amp;CHAR(10)&amp;"A quality monitoring audit has been completed for "&amp;$C1017&amp;"."&amp;CHAR(10)&amp;CHAR(10)&amp;"QUALITY AUDIT DETAILS"&amp;CHAR(10)&amp;"Agent Name: "&amp;$C1017&amp;" (EID "&amp;$D1017&amp;")"&amp;CHAR(10)&amp;"Audit Date: "&amp;TEXT($B1017,"yyyy-mm-dd")&amp;CHAR(10)&amp;"Team Leader: "&amp;$F1017&amp;CHAR(10)&amp;"Case Number: "&amp;$M1017&amp;CHAR(10)&amp;"Transaction ID: "&amp;$N1017&amp;CHAR(10)&amp;"Channel / LOB: "&amp;$K1017&amp;" / "&amp;$L1017&amp;CHAR(10)&amp;"Evaluator: "&amp;$S1017&amp;CHAR(10)&amp;CHAR(10)&amp;"INVALID QUALITY AUDIT DETAILS"&amp;CHAR(10)&amp;"Validation: Invalid"&amp;CHAR(10)&amp;"Invalid Reason: "&amp;$P1017&amp;CHAR(10)&amp;"Expected Resolution Code: "&amp;$Q1017&amp;CHAR(10)&amp;"Remarks: "&amp;LEFT($R1017,600)&amp;CHAR(10)&amp;CHAR(10)&amp;"This is an automated notification from HP Mainstream EQMS."),"✉ Open Email Draft"),"")</f>
        <v/>
      </c>
    </row>
    <row r="1018">
      <c r="A1018" s="25">
        <f>IF($C1018="","","AUD-2026-"&amp;TEXT(ROW()-1,"000000"))</f>
        <v/>
      </c>
      <c r="B1018" s="26" t="n"/>
      <c r="C1018" s="27" t="n"/>
      <c r="D1018" s="25">
        <f>IF($C1018="","",IFERROR(IF(INDEX(Roster!$A:$A,MATCH($C1018,Roster!$B:$B,0))="","",INDEX(Roster!$A:$A,MATCH($C1018,Roster!$B:$B,0))&amp;""),"—"))</f>
        <v/>
      </c>
      <c r="E1018" s="25">
        <f>IF($C1018="","",IFERROR(IF(INDEX(Roster!$C:$C,MATCH($C1018,Roster!$B:$B,0))="","",INDEX(Roster!$C:$C,MATCH($C1018,Roster!$B:$B,0))&amp;""),"—"))</f>
        <v/>
      </c>
      <c r="F1018" s="25">
        <f>IF($C1018="","",IFERROR(IF(INDEX(Roster!$D:$D,MATCH($C1018,Roster!$B:$B,0))="","",INDEX(Roster!$D:$D,MATCH($C1018,Roster!$B:$B,0))&amp;""),"—"))</f>
        <v/>
      </c>
      <c r="G1018" s="25">
        <f>IF($C1018="","",IFERROR(IF(INDEX(Roster!$E:$E,MATCH($C1018,Roster!$B:$B,0))="","",INDEX(Roster!$E:$E,MATCH($C1018,Roster!$B:$B,0))&amp;""),"—"))</f>
        <v/>
      </c>
      <c r="H1018" s="25">
        <f>IF($C1018="","",IFERROR(IF(INDEX(Roster!$F:$F,MATCH($C1018,Roster!$B:$B,0))="","",INDEX(Roster!$F:$F,MATCH($C1018,Roster!$B:$B,0))&amp;""),"—"))</f>
        <v/>
      </c>
      <c r="I1018" s="25">
        <f>IF($C1018="","",IFERROR(IF(INDEX(Roster!$G:$G,MATCH($C1018,Roster!$B:$B,0))="","",INDEX(Roster!$G:$G,MATCH($C1018,Roster!$B:$B,0))&amp;""),"—"))</f>
        <v/>
      </c>
      <c r="J1018" s="25">
        <f>IF($C1018="","",IFERROR(IF(INDEX(Roster!$I:$I,MATCH($C1018,Roster!$B:$B,0))="","",INDEX(Roster!$I:$I,MATCH($C1018,Roster!$B:$B,0))&amp;""),"—"))</f>
        <v/>
      </c>
      <c r="K1018">
        <f>IF($C1018="","",IFERROR(IF(INDEX(Roster!$J:$J,MATCH($C1018,Roster!$B:$B,0))="","",INDEX(Roster!$J:$J,MATCH($C1018,Roster!$B:$B,0))&amp;""),"—"))</f>
        <v/>
      </c>
      <c r="L1018">
        <f>IF($C1018="","",IFERROR(IF(INDEX(Roster!$K:$K,MATCH($C1018,Roster!$B:$B,0))="","",INDEX(Roster!$K:$K,MATCH($C1018,Roster!$B:$B,0))&amp;""),"—"))</f>
        <v/>
      </c>
      <c r="M1018" s="27" t="n"/>
      <c r="N1018" s="27" t="n"/>
      <c r="O1018" s="25">
        <f>IF($C1018="","",IF($P1018="","—",IF($P1018="Valid (Pass)","Valid","Invalid")))</f>
        <v/>
      </c>
      <c r="P1018" s="27" t="n"/>
      <c r="Q1018" s="27" t="n"/>
      <c r="R1018" s="27" t="n"/>
      <c r="S1018" s="27" t="n"/>
      <c r="T1018" s="25">
        <f>IF($C1018="","",IF(OR(ISNUMBER(SEARCH("quick case",$P1018)),ISNUMBER(SEARCH("quick case",$Q1018))),"Yes","No"))</f>
        <v/>
      </c>
      <c r="U1018" s="25">
        <f>IF($O1018="Invalid",HYPERLINK("mailto:"&amp;$G1018&amp;";"&amp;$I1018&amp;"?cc="&amp;Lists!$E$2&amp;"&amp;subject="&amp;_xlfn.ENCODEURL("[INVALID] Quality audit monitoring completed for "&amp;UPPER($C1018))&amp;"&amp;body="&amp;_xlfn.ENCODEURL("Hi "&amp;$F1018&amp;","&amp;CHAR(10)&amp;"Good day!"&amp;CHAR(10)&amp;CHAR(10)&amp;"A quality monitoring audit has been completed for "&amp;$C1018&amp;"."&amp;CHAR(10)&amp;CHAR(10)&amp;"QUALITY AUDIT DETAILS"&amp;CHAR(10)&amp;"Agent Name: "&amp;$C1018&amp;" (EID "&amp;$D1018&amp;")"&amp;CHAR(10)&amp;"Audit Date: "&amp;TEXT($B1018,"yyyy-mm-dd")&amp;CHAR(10)&amp;"Team Leader: "&amp;$F1018&amp;CHAR(10)&amp;"Case Number: "&amp;$M1018&amp;CHAR(10)&amp;"Transaction ID: "&amp;$N1018&amp;CHAR(10)&amp;"Channel / LOB: "&amp;$K1018&amp;" / "&amp;$L1018&amp;CHAR(10)&amp;"Evaluator: "&amp;$S1018&amp;CHAR(10)&amp;CHAR(10)&amp;"INVALID QUALITY AUDIT DETAILS"&amp;CHAR(10)&amp;"Validation: Invalid"&amp;CHAR(10)&amp;"Invalid Reason: "&amp;$P1018&amp;CHAR(10)&amp;"Expected Resolution Code: "&amp;$Q1018&amp;CHAR(10)&amp;"Remarks: "&amp;LEFT($R1018,600)&amp;CHAR(10)&amp;CHAR(10)&amp;"This is an automated notification from HP Mainstream EQMS."),"✉ Open Email Draft"),"")</f>
        <v/>
      </c>
    </row>
    <row r="1019">
      <c r="A1019" s="25">
        <f>IF($C1019="","","AUD-2026-"&amp;TEXT(ROW()-1,"000000"))</f>
        <v/>
      </c>
      <c r="B1019" s="26" t="n"/>
      <c r="C1019" s="27" t="n"/>
      <c r="D1019" s="25">
        <f>IF($C1019="","",IFERROR(IF(INDEX(Roster!$A:$A,MATCH($C1019,Roster!$B:$B,0))="","",INDEX(Roster!$A:$A,MATCH($C1019,Roster!$B:$B,0))&amp;""),"—"))</f>
        <v/>
      </c>
      <c r="E1019" s="25">
        <f>IF($C1019="","",IFERROR(IF(INDEX(Roster!$C:$C,MATCH($C1019,Roster!$B:$B,0))="","",INDEX(Roster!$C:$C,MATCH($C1019,Roster!$B:$B,0))&amp;""),"—"))</f>
        <v/>
      </c>
      <c r="F1019" s="25">
        <f>IF($C1019="","",IFERROR(IF(INDEX(Roster!$D:$D,MATCH($C1019,Roster!$B:$B,0))="","",INDEX(Roster!$D:$D,MATCH($C1019,Roster!$B:$B,0))&amp;""),"—"))</f>
        <v/>
      </c>
      <c r="G1019" s="25">
        <f>IF($C1019="","",IFERROR(IF(INDEX(Roster!$E:$E,MATCH($C1019,Roster!$B:$B,0))="","",INDEX(Roster!$E:$E,MATCH($C1019,Roster!$B:$B,0))&amp;""),"—"))</f>
        <v/>
      </c>
      <c r="H1019" s="25">
        <f>IF($C1019="","",IFERROR(IF(INDEX(Roster!$F:$F,MATCH($C1019,Roster!$B:$B,0))="","",INDEX(Roster!$F:$F,MATCH($C1019,Roster!$B:$B,0))&amp;""),"—"))</f>
        <v/>
      </c>
      <c r="I1019" s="25">
        <f>IF($C1019="","",IFERROR(IF(INDEX(Roster!$G:$G,MATCH($C1019,Roster!$B:$B,0))="","",INDEX(Roster!$G:$G,MATCH($C1019,Roster!$B:$B,0))&amp;""),"—"))</f>
        <v/>
      </c>
      <c r="J1019" s="25">
        <f>IF($C1019="","",IFERROR(IF(INDEX(Roster!$I:$I,MATCH($C1019,Roster!$B:$B,0))="","",INDEX(Roster!$I:$I,MATCH($C1019,Roster!$B:$B,0))&amp;""),"—"))</f>
        <v/>
      </c>
      <c r="K1019">
        <f>IF($C1019="","",IFERROR(IF(INDEX(Roster!$J:$J,MATCH($C1019,Roster!$B:$B,0))="","",INDEX(Roster!$J:$J,MATCH($C1019,Roster!$B:$B,0))&amp;""),"—"))</f>
        <v/>
      </c>
      <c r="L1019">
        <f>IF($C1019="","",IFERROR(IF(INDEX(Roster!$K:$K,MATCH($C1019,Roster!$B:$B,0))="","",INDEX(Roster!$K:$K,MATCH($C1019,Roster!$B:$B,0))&amp;""),"—"))</f>
        <v/>
      </c>
      <c r="M1019" s="27" t="n"/>
      <c r="N1019" s="27" t="n"/>
      <c r="O1019" s="25">
        <f>IF($C1019="","",IF($P1019="","—",IF($P1019="Valid (Pass)","Valid","Invalid")))</f>
        <v/>
      </c>
      <c r="P1019" s="27" t="n"/>
      <c r="Q1019" s="27" t="n"/>
      <c r="R1019" s="27" t="n"/>
      <c r="S1019" s="27" t="n"/>
      <c r="T1019" s="25">
        <f>IF($C1019="","",IF(OR(ISNUMBER(SEARCH("quick case",$P1019)),ISNUMBER(SEARCH("quick case",$Q1019))),"Yes","No"))</f>
        <v/>
      </c>
      <c r="U1019" s="25">
        <f>IF($O1019="Invalid",HYPERLINK("mailto:"&amp;$G1019&amp;";"&amp;$I1019&amp;"?cc="&amp;Lists!$E$2&amp;"&amp;subject="&amp;_xlfn.ENCODEURL("[INVALID] Quality audit monitoring completed for "&amp;UPPER($C1019))&amp;"&amp;body="&amp;_xlfn.ENCODEURL("Hi "&amp;$F1019&amp;","&amp;CHAR(10)&amp;"Good day!"&amp;CHAR(10)&amp;CHAR(10)&amp;"A quality monitoring audit has been completed for "&amp;$C1019&amp;"."&amp;CHAR(10)&amp;CHAR(10)&amp;"QUALITY AUDIT DETAILS"&amp;CHAR(10)&amp;"Agent Name: "&amp;$C1019&amp;" (EID "&amp;$D1019&amp;")"&amp;CHAR(10)&amp;"Audit Date: "&amp;TEXT($B1019,"yyyy-mm-dd")&amp;CHAR(10)&amp;"Team Leader: "&amp;$F1019&amp;CHAR(10)&amp;"Case Number: "&amp;$M1019&amp;CHAR(10)&amp;"Transaction ID: "&amp;$N1019&amp;CHAR(10)&amp;"Channel / LOB: "&amp;$K1019&amp;" / "&amp;$L1019&amp;CHAR(10)&amp;"Evaluator: "&amp;$S1019&amp;CHAR(10)&amp;CHAR(10)&amp;"INVALID QUALITY AUDIT DETAILS"&amp;CHAR(10)&amp;"Validation: Invalid"&amp;CHAR(10)&amp;"Invalid Reason: "&amp;$P1019&amp;CHAR(10)&amp;"Expected Resolution Code: "&amp;$Q1019&amp;CHAR(10)&amp;"Remarks: "&amp;LEFT($R1019,600)&amp;CHAR(10)&amp;CHAR(10)&amp;"This is an automated notification from HP Mainstream EQMS."),"✉ Open Email Draft"),"")</f>
        <v/>
      </c>
    </row>
    <row r="1020">
      <c r="A1020" s="25">
        <f>IF($C1020="","","AUD-2026-"&amp;TEXT(ROW()-1,"000000"))</f>
        <v/>
      </c>
      <c r="B1020" s="26" t="n"/>
      <c r="C1020" s="27" t="n"/>
      <c r="D1020" s="25">
        <f>IF($C1020="","",IFERROR(IF(INDEX(Roster!$A:$A,MATCH($C1020,Roster!$B:$B,0))="","",INDEX(Roster!$A:$A,MATCH($C1020,Roster!$B:$B,0))&amp;""),"—"))</f>
        <v/>
      </c>
      <c r="E1020" s="25">
        <f>IF($C1020="","",IFERROR(IF(INDEX(Roster!$C:$C,MATCH($C1020,Roster!$B:$B,0))="","",INDEX(Roster!$C:$C,MATCH($C1020,Roster!$B:$B,0))&amp;""),"—"))</f>
        <v/>
      </c>
      <c r="F1020" s="25">
        <f>IF($C1020="","",IFERROR(IF(INDEX(Roster!$D:$D,MATCH($C1020,Roster!$B:$B,0))="","",INDEX(Roster!$D:$D,MATCH($C1020,Roster!$B:$B,0))&amp;""),"—"))</f>
        <v/>
      </c>
      <c r="G1020" s="25">
        <f>IF($C1020="","",IFERROR(IF(INDEX(Roster!$E:$E,MATCH($C1020,Roster!$B:$B,0))="","",INDEX(Roster!$E:$E,MATCH($C1020,Roster!$B:$B,0))&amp;""),"—"))</f>
        <v/>
      </c>
      <c r="H1020" s="25">
        <f>IF($C1020="","",IFERROR(IF(INDEX(Roster!$F:$F,MATCH($C1020,Roster!$B:$B,0))="","",INDEX(Roster!$F:$F,MATCH($C1020,Roster!$B:$B,0))&amp;""),"—"))</f>
        <v/>
      </c>
      <c r="I1020" s="25">
        <f>IF($C1020="","",IFERROR(IF(INDEX(Roster!$G:$G,MATCH($C1020,Roster!$B:$B,0))="","",INDEX(Roster!$G:$G,MATCH($C1020,Roster!$B:$B,0))&amp;""),"—"))</f>
        <v/>
      </c>
      <c r="J1020" s="25">
        <f>IF($C1020="","",IFERROR(IF(INDEX(Roster!$I:$I,MATCH($C1020,Roster!$B:$B,0))="","",INDEX(Roster!$I:$I,MATCH($C1020,Roster!$B:$B,0))&amp;""),"—"))</f>
        <v/>
      </c>
      <c r="K1020">
        <f>IF($C1020="","",IFERROR(IF(INDEX(Roster!$J:$J,MATCH($C1020,Roster!$B:$B,0))="","",INDEX(Roster!$J:$J,MATCH($C1020,Roster!$B:$B,0))&amp;""),"—"))</f>
        <v/>
      </c>
      <c r="L1020">
        <f>IF($C1020="","",IFERROR(IF(INDEX(Roster!$K:$K,MATCH($C1020,Roster!$B:$B,0))="","",INDEX(Roster!$K:$K,MATCH($C1020,Roster!$B:$B,0))&amp;""),"—"))</f>
        <v/>
      </c>
      <c r="M1020" s="27" t="n"/>
      <c r="N1020" s="27" t="n"/>
      <c r="O1020" s="25">
        <f>IF($C1020="","",IF($P1020="","—",IF($P1020="Valid (Pass)","Valid","Invalid")))</f>
        <v/>
      </c>
      <c r="P1020" s="27" t="n"/>
      <c r="Q1020" s="27" t="n"/>
      <c r="R1020" s="27" t="n"/>
      <c r="S1020" s="27" t="n"/>
      <c r="T1020" s="25">
        <f>IF($C1020="","",IF(OR(ISNUMBER(SEARCH("quick case",$P1020)),ISNUMBER(SEARCH("quick case",$Q1020))),"Yes","No"))</f>
        <v/>
      </c>
      <c r="U1020" s="25">
        <f>IF($O1020="Invalid",HYPERLINK("mailto:"&amp;$G1020&amp;";"&amp;$I1020&amp;"?cc="&amp;Lists!$E$2&amp;"&amp;subject="&amp;_xlfn.ENCODEURL("[INVALID] Quality audit monitoring completed for "&amp;UPPER($C1020))&amp;"&amp;body="&amp;_xlfn.ENCODEURL("Hi "&amp;$F1020&amp;","&amp;CHAR(10)&amp;"Good day!"&amp;CHAR(10)&amp;CHAR(10)&amp;"A quality monitoring audit has been completed for "&amp;$C1020&amp;"."&amp;CHAR(10)&amp;CHAR(10)&amp;"QUALITY AUDIT DETAILS"&amp;CHAR(10)&amp;"Agent Name: "&amp;$C1020&amp;" (EID "&amp;$D1020&amp;")"&amp;CHAR(10)&amp;"Audit Date: "&amp;TEXT($B1020,"yyyy-mm-dd")&amp;CHAR(10)&amp;"Team Leader: "&amp;$F1020&amp;CHAR(10)&amp;"Case Number: "&amp;$M1020&amp;CHAR(10)&amp;"Transaction ID: "&amp;$N1020&amp;CHAR(10)&amp;"Channel / LOB: "&amp;$K1020&amp;" / "&amp;$L1020&amp;CHAR(10)&amp;"Evaluator: "&amp;$S1020&amp;CHAR(10)&amp;CHAR(10)&amp;"INVALID QUALITY AUDIT DETAILS"&amp;CHAR(10)&amp;"Validation: Invalid"&amp;CHAR(10)&amp;"Invalid Reason: "&amp;$P1020&amp;CHAR(10)&amp;"Expected Resolution Code: "&amp;$Q1020&amp;CHAR(10)&amp;"Remarks: "&amp;LEFT($R1020,600)&amp;CHAR(10)&amp;CHAR(10)&amp;"This is an automated notification from HP Mainstream EQMS."),"✉ Open Email Draft"),"")</f>
        <v/>
      </c>
    </row>
    <row r="1021">
      <c r="A1021" s="25">
        <f>IF($C1021="","","AUD-2026-"&amp;TEXT(ROW()-1,"000000"))</f>
        <v/>
      </c>
      <c r="B1021" s="26" t="n"/>
      <c r="C1021" s="27" t="n"/>
      <c r="D1021" s="25">
        <f>IF($C1021="","",IFERROR(IF(INDEX(Roster!$A:$A,MATCH($C1021,Roster!$B:$B,0))="","",INDEX(Roster!$A:$A,MATCH($C1021,Roster!$B:$B,0))&amp;""),"—"))</f>
        <v/>
      </c>
      <c r="E1021" s="25">
        <f>IF($C1021="","",IFERROR(IF(INDEX(Roster!$C:$C,MATCH($C1021,Roster!$B:$B,0))="","",INDEX(Roster!$C:$C,MATCH($C1021,Roster!$B:$B,0))&amp;""),"—"))</f>
        <v/>
      </c>
      <c r="F1021" s="25">
        <f>IF($C1021="","",IFERROR(IF(INDEX(Roster!$D:$D,MATCH($C1021,Roster!$B:$B,0))="","",INDEX(Roster!$D:$D,MATCH($C1021,Roster!$B:$B,0))&amp;""),"—"))</f>
        <v/>
      </c>
      <c r="G1021" s="25">
        <f>IF($C1021="","",IFERROR(IF(INDEX(Roster!$E:$E,MATCH($C1021,Roster!$B:$B,0))="","",INDEX(Roster!$E:$E,MATCH($C1021,Roster!$B:$B,0))&amp;""),"—"))</f>
        <v/>
      </c>
      <c r="H1021" s="25">
        <f>IF($C1021="","",IFERROR(IF(INDEX(Roster!$F:$F,MATCH($C1021,Roster!$B:$B,0))="","",INDEX(Roster!$F:$F,MATCH($C1021,Roster!$B:$B,0))&amp;""),"—"))</f>
        <v/>
      </c>
      <c r="I1021" s="25">
        <f>IF($C1021="","",IFERROR(IF(INDEX(Roster!$G:$G,MATCH($C1021,Roster!$B:$B,0))="","",INDEX(Roster!$G:$G,MATCH($C1021,Roster!$B:$B,0))&amp;""),"—"))</f>
        <v/>
      </c>
      <c r="J1021" s="25">
        <f>IF($C1021="","",IFERROR(IF(INDEX(Roster!$I:$I,MATCH($C1021,Roster!$B:$B,0))="","",INDEX(Roster!$I:$I,MATCH($C1021,Roster!$B:$B,0))&amp;""),"—"))</f>
        <v/>
      </c>
      <c r="K1021">
        <f>IF($C1021="","",IFERROR(IF(INDEX(Roster!$J:$J,MATCH($C1021,Roster!$B:$B,0))="","",INDEX(Roster!$J:$J,MATCH($C1021,Roster!$B:$B,0))&amp;""),"—"))</f>
        <v/>
      </c>
      <c r="L1021">
        <f>IF($C1021="","",IFERROR(IF(INDEX(Roster!$K:$K,MATCH($C1021,Roster!$B:$B,0))="","",INDEX(Roster!$K:$K,MATCH($C1021,Roster!$B:$B,0))&amp;""),"—"))</f>
        <v/>
      </c>
      <c r="M1021" s="27" t="n"/>
      <c r="N1021" s="27" t="n"/>
      <c r="O1021" s="25">
        <f>IF($C1021="","",IF($P1021="","—",IF($P1021="Valid (Pass)","Valid","Invalid")))</f>
        <v/>
      </c>
      <c r="P1021" s="27" t="n"/>
      <c r="Q1021" s="27" t="n"/>
      <c r="R1021" s="27" t="n"/>
      <c r="S1021" s="27" t="n"/>
      <c r="T1021" s="25">
        <f>IF($C1021="","",IF(OR(ISNUMBER(SEARCH("quick case",$P1021)),ISNUMBER(SEARCH("quick case",$Q1021))),"Yes","No"))</f>
        <v/>
      </c>
      <c r="U1021" s="25">
        <f>IF($O1021="Invalid",HYPERLINK("mailto:"&amp;$G1021&amp;";"&amp;$I1021&amp;"?cc="&amp;Lists!$E$2&amp;"&amp;subject="&amp;_xlfn.ENCODEURL("[INVALID] Quality audit monitoring completed for "&amp;UPPER($C1021))&amp;"&amp;body="&amp;_xlfn.ENCODEURL("Hi "&amp;$F1021&amp;","&amp;CHAR(10)&amp;"Good day!"&amp;CHAR(10)&amp;CHAR(10)&amp;"A quality monitoring audit has been completed for "&amp;$C1021&amp;"."&amp;CHAR(10)&amp;CHAR(10)&amp;"QUALITY AUDIT DETAILS"&amp;CHAR(10)&amp;"Agent Name: "&amp;$C1021&amp;" (EID "&amp;$D1021&amp;")"&amp;CHAR(10)&amp;"Audit Date: "&amp;TEXT($B1021,"yyyy-mm-dd")&amp;CHAR(10)&amp;"Team Leader: "&amp;$F1021&amp;CHAR(10)&amp;"Case Number: "&amp;$M1021&amp;CHAR(10)&amp;"Transaction ID: "&amp;$N1021&amp;CHAR(10)&amp;"Channel / LOB: "&amp;$K1021&amp;" / "&amp;$L1021&amp;CHAR(10)&amp;"Evaluator: "&amp;$S1021&amp;CHAR(10)&amp;CHAR(10)&amp;"INVALID QUALITY AUDIT DETAILS"&amp;CHAR(10)&amp;"Validation: Invalid"&amp;CHAR(10)&amp;"Invalid Reason: "&amp;$P1021&amp;CHAR(10)&amp;"Expected Resolution Code: "&amp;$Q1021&amp;CHAR(10)&amp;"Remarks: "&amp;LEFT($R1021,600)&amp;CHAR(10)&amp;CHAR(10)&amp;"This is an automated notification from HP Mainstream EQMS."),"✉ Open Email Draft"),"")</f>
        <v/>
      </c>
    </row>
    <row r="1022">
      <c r="A1022" s="25">
        <f>IF($C1022="","","AUD-2026-"&amp;TEXT(ROW()-1,"000000"))</f>
        <v/>
      </c>
      <c r="B1022" s="26" t="n"/>
      <c r="C1022" s="27" t="n"/>
      <c r="D1022" s="25">
        <f>IF($C1022="","",IFERROR(IF(INDEX(Roster!$A:$A,MATCH($C1022,Roster!$B:$B,0))="","",INDEX(Roster!$A:$A,MATCH($C1022,Roster!$B:$B,0))&amp;""),"—"))</f>
        <v/>
      </c>
      <c r="E1022" s="25">
        <f>IF($C1022="","",IFERROR(IF(INDEX(Roster!$C:$C,MATCH($C1022,Roster!$B:$B,0))="","",INDEX(Roster!$C:$C,MATCH($C1022,Roster!$B:$B,0))&amp;""),"—"))</f>
        <v/>
      </c>
      <c r="F1022" s="25">
        <f>IF($C1022="","",IFERROR(IF(INDEX(Roster!$D:$D,MATCH($C1022,Roster!$B:$B,0))="","",INDEX(Roster!$D:$D,MATCH($C1022,Roster!$B:$B,0))&amp;""),"—"))</f>
        <v/>
      </c>
      <c r="G1022" s="25">
        <f>IF($C1022="","",IFERROR(IF(INDEX(Roster!$E:$E,MATCH($C1022,Roster!$B:$B,0))="","",INDEX(Roster!$E:$E,MATCH($C1022,Roster!$B:$B,0))&amp;""),"—"))</f>
        <v/>
      </c>
      <c r="H1022" s="25">
        <f>IF($C1022="","",IFERROR(IF(INDEX(Roster!$F:$F,MATCH($C1022,Roster!$B:$B,0))="","",INDEX(Roster!$F:$F,MATCH($C1022,Roster!$B:$B,0))&amp;""),"—"))</f>
        <v/>
      </c>
      <c r="I1022" s="25">
        <f>IF($C1022="","",IFERROR(IF(INDEX(Roster!$G:$G,MATCH($C1022,Roster!$B:$B,0))="","",INDEX(Roster!$G:$G,MATCH($C1022,Roster!$B:$B,0))&amp;""),"—"))</f>
        <v/>
      </c>
      <c r="J1022" s="25">
        <f>IF($C1022="","",IFERROR(IF(INDEX(Roster!$I:$I,MATCH($C1022,Roster!$B:$B,0))="","",INDEX(Roster!$I:$I,MATCH($C1022,Roster!$B:$B,0))&amp;""),"—"))</f>
        <v/>
      </c>
      <c r="K1022">
        <f>IF($C1022="","",IFERROR(IF(INDEX(Roster!$J:$J,MATCH($C1022,Roster!$B:$B,0))="","",INDEX(Roster!$J:$J,MATCH($C1022,Roster!$B:$B,0))&amp;""),"—"))</f>
        <v/>
      </c>
      <c r="L1022">
        <f>IF($C1022="","",IFERROR(IF(INDEX(Roster!$K:$K,MATCH($C1022,Roster!$B:$B,0))="","",INDEX(Roster!$K:$K,MATCH($C1022,Roster!$B:$B,0))&amp;""),"—"))</f>
        <v/>
      </c>
      <c r="M1022" s="27" t="n"/>
      <c r="N1022" s="27" t="n"/>
      <c r="O1022" s="25">
        <f>IF($C1022="","",IF($P1022="","—",IF($P1022="Valid (Pass)","Valid","Invalid")))</f>
        <v/>
      </c>
      <c r="P1022" s="27" t="n"/>
      <c r="Q1022" s="27" t="n"/>
      <c r="R1022" s="27" t="n"/>
      <c r="S1022" s="27" t="n"/>
      <c r="T1022" s="25">
        <f>IF($C1022="","",IF(OR(ISNUMBER(SEARCH("quick case",$P1022)),ISNUMBER(SEARCH("quick case",$Q1022))),"Yes","No"))</f>
        <v/>
      </c>
      <c r="U1022" s="25">
        <f>IF($O1022="Invalid",HYPERLINK("mailto:"&amp;$G1022&amp;";"&amp;$I1022&amp;"?cc="&amp;Lists!$E$2&amp;"&amp;subject="&amp;_xlfn.ENCODEURL("[INVALID] Quality audit monitoring completed for "&amp;UPPER($C1022))&amp;"&amp;body="&amp;_xlfn.ENCODEURL("Hi "&amp;$F1022&amp;","&amp;CHAR(10)&amp;"Good day!"&amp;CHAR(10)&amp;CHAR(10)&amp;"A quality monitoring audit has been completed for "&amp;$C1022&amp;"."&amp;CHAR(10)&amp;CHAR(10)&amp;"QUALITY AUDIT DETAILS"&amp;CHAR(10)&amp;"Agent Name: "&amp;$C1022&amp;" (EID "&amp;$D1022&amp;")"&amp;CHAR(10)&amp;"Audit Date: "&amp;TEXT($B1022,"yyyy-mm-dd")&amp;CHAR(10)&amp;"Team Leader: "&amp;$F1022&amp;CHAR(10)&amp;"Case Number: "&amp;$M1022&amp;CHAR(10)&amp;"Transaction ID: "&amp;$N1022&amp;CHAR(10)&amp;"Channel / LOB: "&amp;$K1022&amp;" / "&amp;$L1022&amp;CHAR(10)&amp;"Evaluator: "&amp;$S1022&amp;CHAR(10)&amp;CHAR(10)&amp;"INVALID QUALITY AUDIT DETAILS"&amp;CHAR(10)&amp;"Validation: Invalid"&amp;CHAR(10)&amp;"Invalid Reason: "&amp;$P1022&amp;CHAR(10)&amp;"Expected Resolution Code: "&amp;$Q1022&amp;CHAR(10)&amp;"Remarks: "&amp;LEFT($R1022,600)&amp;CHAR(10)&amp;CHAR(10)&amp;"This is an automated notification from HP Mainstream EQMS."),"✉ Open Email Draft"),"")</f>
        <v/>
      </c>
    </row>
    <row r="1023">
      <c r="A1023" s="25">
        <f>IF($C1023="","","AUD-2026-"&amp;TEXT(ROW()-1,"000000"))</f>
        <v/>
      </c>
      <c r="B1023" s="26" t="n"/>
      <c r="C1023" s="27" t="n"/>
      <c r="D1023" s="25">
        <f>IF($C1023="","",IFERROR(IF(INDEX(Roster!$A:$A,MATCH($C1023,Roster!$B:$B,0))="","",INDEX(Roster!$A:$A,MATCH($C1023,Roster!$B:$B,0))&amp;""),"—"))</f>
        <v/>
      </c>
      <c r="E1023" s="25">
        <f>IF($C1023="","",IFERROR(IF(INDEX(Roster!$C:$C,MATCH($C1023,Roster!$B:$B,0))="","",INDEX(Roster!$C:$C,MATCH($C1023,Roster!$B:$B,0))&amp;""),"—"))</f>
        <v/>
      </c>
      <c r="F1023" s="25">
        <f>IF($C1023="","",IFERROR(IF(INDEX(Roster!$D:$D,MATCH($C1023,Roster!$B:$B,0))="","",INDEX(Roster!$D:$D,MATCH($C1023,Roster!$B:$B,0))&amp;""),"—"))</f>
        <v/>
      </c>
      <c r="G1023" s="25">
        <f>IF($C1023="","",IFERROR(IF(INDEX(Roster!$E:$E,MATCH($C1023,Roster!$B:$B,0))="","",INDEX(Roster!$E:$E,MATCH($C1023,Roster!$B:$B,0))&amp;""),"—"))</f>
        <v/>
      </c>
      <c r="H1023" s="25">
        <f>IF($C1023="","",IFERROR(IF(INDEX(Roster!$F:$F,MATCH($C1023,Roster!$B:$B,0))="","",INDEX(Roster!$F:$F,MATCH($C1023,Roster!$B:$B,0))&amp;""),"—"))</f>
        <v/>
      </c>
      <c r="I1023" s="25">
        <f>IF($C1023="","",IFERROR(IF(INDEX(Roster!$G:$G,MATCH($C1023,Roster!$B:$B,0))="","",INDEX(Roster!$G:$G,MATCH($C1023,Roster!$B:$B,0))&amp;""),"—"))</f>
        <v/>
      </c>
      <c r="J1023" s="25">
        <f>IF($C1023="","",IFERROR(IF(INDEX(Roster!$I:$I,MATCH($C1023,Roster!$B:$B,0))="","",INDEX(Roster!$I:$I,MATCH($C1023,Roster!$B:$B,0))&amp;""),"—"))</f>
        <v/>
      </c>
      <c r="K1023">
        <f>IF($C1023="","",IFERROR(IF(INDEX(Roster!$J:$J,MATCH($C1023,Roster!$B:$B,0))="","",INDEX(Roster!$J:$J,MATCH($C1023,Roster!$B:$B,0))&amp;""),"—"))</f>
        <v/>
      </c>
      <c r="L1023">
        <f>IF($C1023="","",IFERROR(IF(INDEX(Roster!$K:$K,MATCH($C1023,Roster!$B:$B,0))="","",INDEX(Roster!$K:$K,MATCH($C1023,Roster!$B:$B,0))&amp;""),"—"))</f>
        <v/>
      </c>
      <c r="M1023" s="27" t="n"/>
      <c r="N1023" s="27" t="n"/>
      <c r="O1023" s="25">
        <f>IF($C1023="","",IF($P1023="","—",IF($P1023="Valid (Pass)","Valid","Invalid")))</f>
        <v/>
      </c>
      <c r="P1023" s="27" t="n"/>
      <c r="Q1023" s="27" t="n"/>
      <c r="R1023" s="27" t="n"/>
      <c r="S1023" s="27" t="n"/>
      <c r="T1023" s="25">
        <f>IF($C1023="","",IF(OR(ISNUMBER(SEARCH("quick case",$P1023)),ISNUMBER(SEARCH("quick case",$Q1023))),"Yes","No"))</f>
        <v/>
      </c>
      <c r="U1023" s="25">
        <f>IF($O1023="Invalid",HYPERLINK("mailto:"&amp;$G1023&amp;";"&amp;$I1023&amp;"?cc="&amp;Lists!$E$2&amp;"&amp;subject="&amp;_xlfn.ENCODEURL("[INVALID] Quality audit monitoring completed for "&amp;UPPER($C1023))&amp;"&amp;body="&amp;_xlfn.ENCODEURL("Hi "&amp;$F1023&amp;","&amp;CHAR(10)&amp;"Good day!"&amp;CHAR(10)&amp;CHAR(10)&amp;"A quality monitoring audit has been completed for "&amp;$C1023&amp;"."&amp;CHAR(10)&amp;CHAR(10)&amp;"QUALITY AUDIT DETAILS"&amp;CHAR(10)&amp;"Agent Name: "&amp;$C1023&amp;" (EID "&amp;$D1023&amp;")"&amp;CHAR(10)&amp;"Audit Date: "&amp;TEXT($B1023,"yyyy-mm-dd")&amp;CHAR(10)&amp;"Team Leader: "&amp;$F1023&amp;CHAR(10)&amp;"Case Number: "&amp;$M1023&amp;CHAR(10)&amp;"Transaction ID: "&amp;$N1023&amp;CHAR(10)&amp;"Channel / LOB: "&amp;$K1023&amp;" / "&amp;$L1023&amp;CHAR(10)&amp;"Evaluator: "&amp;$S1023&amp;CHAR(10)&amp;CHAR(10)&amp;"INVALID QUALITY AUDIT DETAILS"&amp;CHAR(10)&amp;"Validation: Invalid"&amp;CHAR(10)&amp;"Invalid Reason: "&amp;$P1023&amp;CHAR(10)&amp;"Expected Resolution Code: "&amp;$Q1023&amp;CHAR(10)&amp;"Remarks: "&amp;LEFT($R1023,600)&amp;CHAR(10)&amp;CHAR(10)&amp;"This is an automated notification from HP Mainstream EQMS."),"✉ Open Email Draft"),"")</f>
        <v/>
      </c>
    </row>
    <row r="1024">
      <c r="A1024" s="25">
        <f>IF($C1024="","","AUD-2026-"&amp;TEXT(ROW()-1,"000000"))</f>
        <v/>
      </c>
      <c r="B1024" s="26" t="n"/>
      <c r="C1024" s="27" t="n"/>
      <c r="D1024" s="25">
        <f>IF($C1024="","",IFERROR(IF(INDEX(Roster!$A:$A,MATCH($C1024,Roster!$B:$B,0))="","",INDEX(Roster!$A:$A,MATCH($C1024,Roster!$B:$B,0))&amp;""),"—"))</f>
        <v/>
      </c>
      <c r="E1024" s="25">
        <f>IF($C1024="","",IFERROR(IF(INDEX(Roster!$C:$C,MATCH($C1024,Roster!$B:$B,0))="","",INDEX(Roster!$C:$C,MATCH($C1024,Roster!$B:$B,0))&amp;""),"—"))</f>
        <v/>
      </c>
      <c r="F1024" s="25">
        <f>IF($C1024="","",IFERROR(IF(INDEX(Roster!$D:$D,MATCH($C1024,Roster!$B:$B,0))="","",INDEX(Roster!$D:$D,MATCH($C1024,Roster!$B:$B,0))&amp;""),"—"))</f>
        <v/>
      </c>
      <c r="G1024" s="25">
        <f>IF($C1024="","",IFERROR(IF(INDEX(Roster!$E:$E,MATCH($C1024,Roster!$B:$B,0))="","",INDEX(Roster!$E:$E,MATCH($C1024,Roster!$B:$B,0))&amp;""),"—"))</f>
        <v/>
      </c>
      <c r="H1024" s="25">
        <f>IF($C1024="","",IFERROR(IF(INDEX(Roster!$F:$F,MATCH($C1024,Roster!$B:$B,0))="","",INDEX(Roster!$F:$F,MATCH($C1024,Roster!$B:$B,0))&amp;""),"—"))</f>
        <v/>
      </c>
      <c r="I1024" s="25">
        <f>IF($C1024="","",IFERROR(IF(INDEX(Roster!$G:$G,MATCH($C1024,Roster!$B:$B,0))="","",INDEX(Roster!$G:$G,MATCH($C1024,Roster!$B:$B,0))&amp;""),"—"))</f>
        <v/>
      </c>
      <c r="J1024" s="25">
        <f>IF($C1024="","",IFERROR(IF(INDEX(Roster!$I:$I,MATCH($C1024,Roster!$B:$B,0))="","",INDEX(Roster!$I:$I,MATCH($C1024,Roster!$B:$B,0))&amp;""),"—"))</f>
        <v/>
      </c>
      <c r="K1024">
        <f>IF($C1024="","",IFERROR(IF(INDEX(Roster!$J:$J,MATCH($C1024,Roster!$B:$B,0))="","",INDEX(Roster!$J:$J,MATCH($C1024,Roster!$B:$B,0))&amp;""),"—"))</f>
        <v/>
      </c>
      <c r="L1024">
        <f>IF($C1024="","",IFERROR(IF(INDEX(Roster!$K:$K,MATCH($C1024,Roster!$B:$B,0))="","",INDEX(Roster!$K:$K,MATCH($C1024,Roster!$B:$B,0))&amp;""),"—"))</f>
        <v/>
      </c>
      <c r="M1024" s="27" t="n"/>
      <c r="N1024" s="27" t="n"/>
      <c r="O1024" s="25">
        <f>IF($C1024="","",IF($P1024="","—",IF($P1024="Valid (Pass)","Valid","Invalid")))</f>
        <v/>
      </c>
      <c r="P1024" s="27" t="n"/>
      <c r="Q1024" s="27" t="n"/>
      <c r="R1024" s="27" t="n"/>
      <c r="S1024" s="27" t="n"/>
      <c r="T1024" s="25">
        <f>IF($C1024="","",IF(OR(ISNUMBER(SEARCH("quick case",$P1024)),ISNUMBER(SEARCH("quick case",$Q1024))),"Yes","No"))</f>
        <v/>
      </c>
      <c r="U1024" s="25">
        <f>IF($O1024="Invalid",HYPERLINK("mailto:"&amp;$G1024&amp;";"&amp;$I1024&amp;"?cc="&amp;Lists!$E$2&amp;"&amp;subject="&amp;_xlfn.ENCODEURL("[INVALID] Quality audit monitoring completed for "&amp;UPPER($C1024))&amp;"&amp;body="&amp;_xlfn.ENCODEURL("Hi "&amp;$F1024&amp;","&amp;CHAR(10)&amp;"Good day!"&amp;CHAR(10)&amp;CHAR(10)&amp;"A quality monitoring audit has been completed for "&amp;$C1024&amp;"."&amp;CHAR(10)&amp;CHAR(10)&amp;"QUALITY AUDIT DETAILS"&amp;CHAR(10)&amp;"Agent Name: "&amp;$C1024&amp;" (EID "&amp;$D1024&amp;")"&amp;CHAR(10)&amp;"Audit Date: "&amp;TEXT($B1024,"yyyy-mm-dd")&amp;CHAR(10)&amp;"Team Leader: "&amp;$F1024&amp;CHAR(10)&amp;"Case Number: "&amp;$M1024&amp;CHAR(10)&amp;"Transaction ID: "&amp;$N1024&amp;CHAR(10)&amp;"Channel / LOB: "&amp;$K1024&amp;" / "&amp;$L1024&amp;CHAR(10)&amp;"Evaluator: "&amp;$S1024&amp;CHAR(10)&amp;CHAR(10)&amp;"INVALID QUALITY AUDIT DETAILS"&amp;CHAR(10)&amp;"Validation: Invalid"&amp;CHAR(10)&amp;"Invalid Reason: "&amp;$P1024&amp;CHAR(10)&amp;"Expected Resolution Code: "&amp;$Q1024&amp;CHAR(10)&amp;"Remarks: "&amp;LEFT($R1024,600)&amp;CHAR(10)&amp;CHAR(10)&amp;"This is an automated notification from HP Mainstream EQMS."),"✉ Open Email Draft"),"")</f>
        <v/>
      </c>
    </row>
    <row r="1025">
      <c r="A1025" s="25">
        <f>IF($C1025="","","AUD-2026-"&amp;TEXT(ROW()-1,"000000"))</f>
        <v/>
      </c>
      <c r="B1025" s="26" t="n"/>
      <c r="C1025" s="27" t="n"/>
      <c r="D1025" s="25">
        <f>IF($C1025="","",IFERROR(IF(INDEX(Roster!$A:$A,MATCH($C1025,Roster!$B:$B,0))="","",INDEX(Roster!$A:$A,MATCH($C1025,Roster!$B:$B,0))&amp;""),"—"))</f>
        <v/>
      </c>
      <c r="E1025" s="25">
        <f>IF($C1025="","",IFERROR(IF(INDEX(Roster!$C:$C,MATCH($C1025,Roster!$B:$B,0))="","",INDEX(Roster!$C:$C,MATCH($C1025,Roster!$B:$B,0))&amp;""),"—"))</f>
        <v/>
      </c>
      <c r="F1025" s="25">
        <f>IF($C1025="","",IFERROR(IF(INDEX(Roster!$D:$D,MATCH($C1025,Roster!$B:$B,0))="","",INDEX(Roster!$D:$D,MATCH($C1025,Roster!$B:$B,0))&amp;""),"—"))</f>
        <v/>
      </c>
      <c r="G1025" s="25">
        <f>IF($C1025="","",IFERROR(IF(INDEX(Roster!$E:$E,MATCH($C1025,Roster!$B:$B,0))="","",INDEX(Roster!$E:$E,MATCH($C1025,Roster!$B:$B,0))&amp;""),"—"))</f>
        <v/>
      </c>
      <c r="H1025" s="25">
        <f>IF($C1025="","",IFERROR(IF(INDEX(Roster!$F:$F,MATCH($C1025,Roster!$B:$B,0))="","",INDEX(Roster!$F:$F,MATCH($C1025,Roster!$B:$B,0))&amp;""),"—"))</f>
        <v/>
      </c>
      <c r="I1025" s="25">
        <f>IF($C1025="","",IFERROR(IF(INDEX(Roster!$G:$G,MATCH($C1025,Roster!$B:$B,0))="","",INDEX(Roster!$G:$G,MATCH($C1025,Roster!$B:$B,0))&amp;""),"—"))</f>
        <v/>
      </c>
      <c r="J1025" s="25">
        <f>IF($C1025="","",IFERROR(IF(INDEX(Roster!$I:$I,MATCH($C1025,Roster!$B:$B,0))="","",INDEX(Roster!$I:$I,MATCH($C1025,Roster!$B:$B,0))&amp;""),"—"))</f>
        <v/>
      </c>
      <c r="K1025">
        <f>IF($C1025="","",IFERROR(IF(INDEX(Roster!$J:$J,MATCH($C1025,Roster!$B:$B,0))="","",INDEX(Roster!$J:$J,MATCH($C1025,Roster!$B:$B,0))&amp;""),"—"))</f>
        <v/>
      </c>
      <c r="L1025">
        <f>IF($C1025="","",IFERROR(IF(INDEX(Roster!$K:$K,MATCH($C1025,Roster!$B:$B,0))="","",INDEX(Roster!$K:$K,MATCH($C1025,Roster!$B:$B,0))&amp;""),"—"))</f>
        <v/>
      </c>
      <c r="M1025" s="27" t="n"/>
      <c r="N1025" s="27" t="n"/>
      <c r="O1025" s="25">
        <f>IF($C1025="","",IF($P1025="","—",IF($P1025="Valid (Pass)","Valid","Invalid")))</f>
        <v/>
      </c>
      <c r="P1025" s="27" t="n"/>
      <c r="Q1025" s="27" t="n"/>
      <c r="R1025" s="27" t="n"/>
      <c r="S1025" s="27" t="n"/>
      <c r="T1025" s="25">
        <f>IF($C1025="","",IF(OR(ISNUMBER(SEARCH("quick case",$P1025)),ISNUMBER(SEARCH("quick case",$Q1025))),"Yes","No"))</f>
        <v/>
      </c>
      <c r="U1025" s="25">
        <f>IF($O1025="Invalid",HYPERLINK("mailto:"&amp;$G1025&amp;";"&amp;$I1025&amp;"?cc="&amp;Lists!$E$2&amp;"&amp;subject="&amp;_xlfn.ENCODEURL("[INVALID] Quality audit monitoring completed for "&amp;UPPER($C1025))&amp;"&amp;body="&amp;_xlfn.ENCODEURL("Hi "&amp;$F1025&amp;","&amp;CHAR(10)&amp;"Good day!"&amp;CHAR(10)&amp;CHAR(10)&amp;"A quality monitoring audit has been completed for "&amp;$C1025&amp;"."&amp;CHAR(10)&amp;CHAR(10)&amp;"QUALITY AUDIT DETAILS"&amp;CHAR(10)&amp;"Agent Name: "&amp;$C1025&amp;" (EID "&amp;$D1025&amp;")"&amp;CHAR(10)&amp;"Audit Date: "&amp;TEXT($B1025,"yyyy-mm-dd")&amp;CHAR(10)&amp;"Team Leader: "&amp;$F1025&amp;CHAR(10)&amp;"Case Number: "&amp;$M1025&amp;CHAR(10)&amp;"Transaction ID: "&amp;$N1025&amp;CHAR(10)&amp;"Channel / LOB: "&amp;$K1025&amp;" / "&amp;$L1025&amp;CHAR(10)&amp;"Evaluator: "&amp;$S1025&amp;CHAR(10)&amp;CHAR(10)&amp;"INVALID QUALITY AUDIT DETAILS"&amp;CHAR(10)&amp;"Validation: Invalid"&amp;CHAR(10)&amp;"Invalid Reason: "&amp;$P1025&amp;CHAR(10)&amp;"Expected Resolution Code: "&amp;$Q1025&amp;CHAR(10)&amp;"Remarks: "&amp;LEFT($R1025,600)&amp;CHAR(10)&amp;CHAR(10)&amp;"This is an automated notification from HP Mainstream EQMS."),"✉ Open Email Draft"),"")</f>
        <v/>
      </c>
    </row>
    <row r="1026">
      <c r="A1026" s="25">
        <f>IF($C1026="","","AUD-2026-"&amp;TEXT(ROW()-1,"000000"))</f>
        <v/>
      </c>
      <c r="B1026" s="26" t="n"/>
      <c r="C1026" s="27" t="n"/>
      <c r="D1026" s="25">
        <f>IF($C1026="","",IFERROR(IF(INDEX(Roster!$A:$A,MATCH($C1026,Roster!$B:$B,0))="","",INDEX(Roster!$A:$A,MATCH($C1026,Roster!$B:$B,0))&amp;""),"—"))</f>
        <v/>
      </c>
      <c r="E1026" s="25">
        <f>IF($C1026="","",IFERROR(IF(INDEX(Roster!$C:$C,MATCH($C1026,Roster!$B:$B,0))="","",INDEX(Roster!$C:$C,MATCH($C1026,Roster!$B:$B,0))&amp;""),"—"))</f>
        <v/>
      </c>
      <c r="F1026" s="25">
        <f>IF($C1026="","",IFERROR(IF(INDEX(Roster!$D:$D,MATCH($C1026,Roster!$B:$B,0))="","",INDEX(Roster!$D:$D,MATCH($C1026,Roster!$B:$B,0))&amp;""),"—"))</f>
        <v/>
      </c>
      <c r="G1026" s="25">
        <f>IF($C1026="","",IFERROR(IF(INDEX(Roster!$E:$E,MATCH($C1026,Roster!$B:$B,0))="","",INDEX(Roster!$E:$E,MATCH($C1026,Roster!$B:$B,0))&amp;""),"—"))</f>
        <v/>
      </c>
      <c r="H1026" s="25">
        <f>IF($C1026="","",IFERROR(IF(INDEX(Roster!$F:$F,MATCH($C1026,Roster!$B:$B,0))="","",INDEX(Roster!$F:$F,MATCH($C1026,Roster!$B:$B,0))&amp;""),"—"))</f>
        <v/>
      </c>
      <c r="I1026" s="25">
        <f>IF($C1026="","",IFERROR(IF(INDEX(Roster!$G:$G,MATCH($C1026,Roster!$B:$B,0))="","",INDEX(Roster!$G:$G,MATCH($C1026,Roster!$B:$B,0))&amp;""),"—"))</f>
        <v/>
      </c>
      <c r="J1026" s="25">
        <f>IF($C1026="","",IFERROR(IF(INDEX(Roster!$I:$I,MATCH($C1026,Roster!$B:$B,0))="","",INDEX(Roster!$I:$I,MATCH($C1026,Roster!$B:$B,0))&amp;""),"—"))</f>
        <v/>
      </c>
      <c r="K1026">
        <f>IF($C1026="","",IFERROR(IF(INDEX(Roster!$J:$J,MATCH($C1026,Roster!$B:$B,0))="","",INDEX(Roster!$J:$J,MATCH($C1026,Roster!$B:$B,0))&amp;""),"—"))</f>
        <v/>
      </c>
      <c r="L1026">
        <f>IF($C1026="","",IFERROR(IF(INDEX(Roster!$K:$K,MATCH($C1026,Roster!$B:$B,0))="","",INDEX(Roster!$K:$K,MATCH($C1026,Roster!$B:$B,0))&amp;""),"—"))</f>
        <v/>
      </c>
      <c r="M1026" s="27" t="n"/>
      <c r="N1026" s="27" t="n"/>
      <c r="O1026" s="25">
        <f>IF($C1026="","",IF($P1026="","—",IF($P1026="Valid (Pass)","Valid","Invalid")))</f>
        <v/>
      </c>
      <c r="P1026" s="27" t="n"/>
      <c r="Q1026" s="27" t="n"/>
      <c r="R1026" s="27" t="n"/>
      <c r="S1026" s="27" t="n"/>
      <c r="T1026" s="25">
        <f>IF($C1026="","",IF(OR(ISNUMBER(SEARCH("quick case",$P1026)),ISNUMBER(SEARCH("quick case",$Q1026))),"Yes","No"))</f>
        <v/>
      </c>
      <c r="U1026" s="25">
        <f>IF($O1026="Invalid",HYPERLINK("mailto:"&amp;$G1026&amp;";"&amp;$I1026&amp;"?cc="&amp;Lists!$E$2&amp;"&amp;subject="&amp;_xlfn.ENCODEURL("[INVALID] Quality audit monitoring completed for "&amp;UPPER($C1026))&amp;"&amp;body="&amp;_xlfn.ENCODEURL("Hi "&amp;$F1026&amp;","&amp;CHAR(10)&amp;"Good day!"&amp;CHAR(10)&amp;CHAR(10)&amp;"A quality monitoring audit has been completed for "&amp;$C1026&amp;"."&amp;CHAR(10)&amp;CHAR(10)&amp;"QUALITY AUDIT DETAILS"&amp;CHAR(10)&amp;"Agent Name: "&amp;$C1026&amp;" (EID "&amp;$D1026&amp;")"&amp;CHAR(10)&amp;"Audit Date: "&amp;TEXT($B1026,"yyyy-mm-dd")&amp;CHAR(10)&amp;"Team Leader: "&amp;$F1026&amp;CHAR(10)&amp;"Case Number: "&amp;$M1026&amp;CHAR(10)&amp;"Transaction ID: "&amp;$N1026&amp;CHAR(10)&amp;"Channel / LOB: "&amp;$K1026&amp;" / "&amp;$L1026&amp;CHAR(10)&amp;"Evaluator: "&amp;$S1026&amp;CHAR(10)&amp;CHAR(10)&amp;"INVALID QUALITY AUDIT DETAILS"&amp;CHAR(10)&amp;"Validation: Invalid"&amp;CHAR(10)&amp;"Invalid Reason: "&amp;$P1026&amp;CHAR(10)&amp;"Expected Resolution Code: "&amp;$Q1026&amp;CHAR(10)&amp;"Remarks: "&amp;LEFT($R1026,600)&amp;CHAR(10)&amp;CHAR(10)&amp;"This is an automated notification from HP Mainstream EQMS."),"✉ Open Email Draft"),"")</f>
        <v/>
      </c>
    </row>
    <row r="1027">
      <c r="A1027" s="25">
        <f>IF($C1027="","","AUD-2026-"&amp;TEXT(ROW()-1,"000000"))</f>
        <v/>
      </c>
      <c r="B1027" s="26" t="n"/>
      <c r="C1027" s="27" t="n"/>
      <c r="D1027" s="25">
        <f>IF($C1027="","",IFERROR(IF(INDEX(Roster!$A:$A,MATCH($C1027,Roster!$B:$B,0))="","",INDEX(Roster!$A:$A,MATCH($C1027,Roster!$B:$B,0))&amp;""),"—"))</f>
        <v/>
      </c>
      <c r="E1027" s="25">
        <f>IF($C1027="","",IFERROR(IF(INDEX(Roster!$C:$C,MATCH($C1027,Roster!$B:$B,0))="","",INDEX(Roster!$C:$C,MATCH($C1027,Roster!$B:$B,0))&amp;""),"—"))</f>
        <v/>
      </c>
      <c r="F1027" s="25">
        <f>IF($C1027="","",IFERROR(IF(INDEX(Roster!$D:$D,MATCH($C1027,Roster!$B:$B,0))="","",INDEX(Roster!$D:$D,MATCH($C1027,Roster!$B:$B,0))&amp;""),"—"))</f>
        <v/>
      </c>
      <c r="G1027" s="25">
        <f>IF($C1027="","",IFERROR(IF(INDEX(Roster!$E:$E,MATCH($C1027,Roster!$B:$B,0))="","",INDEX(Roster!$E:$E,MATCH($C1027,Roster!$B:$B,0))&amp;""),"—"))</f>
        <v/>
      </c>
      <c r="H1027" s="25">
        <f>IF($C1027="","",IFERROR(IF(INDEX(Roster!$F:$F,MATCH($C1027,Roster!$B:$B,0))="","",INDEX(Roster!$F:$F,MATCH($C1027,Roster!$B:$B,0))&amp;""),"—"))</f>
        <v/>
      </c>
      <c r="I1027" s="25">
        <f>IF($C1027="","",IFERROR(IF(INDEX(Roster!$G:$G,MATCH($C1027,Roster!$B:$B,0))="","",INDEX(Roster!$G:$G,MATCH($C1027,Roster!$B:$B,0))&amp;""),"—"))</f>
        <v/>
      </c>
      <c r="J1027" s="25">
        <f>IF($C1027="","",IFERROR(IF(INDEX(Roster!$I:$I,MATCH($C1027,Roster!$B:$B,0))="","",INDEX(Roster!$I:$I,MATCH($C1027,Roster!$B:$B,0))&amp;""),"—"))</f>
        <v/>
      </c>
      <c r="K1027">
        <f>IF($C1027="","",IFERROR(IF(INDEX(Roster!$J:$J,MATCH($C1027,Roster!$B:$B,0))="","",INDEX(Roster!$J:$J,MATCH($C1027,Roster!$B:$B,0))&amp;""),"—"))</f>
        <v/>
      </c>
      <c r="L1027">
        <f>IF($C1027="","",IFERROR(IF(INDEX(Roster!$K:$K,MATCH($C1027,Roster!$B:$B,0))="","",INDEX(Roster!$K:$K,MATCH($C1027,Roster!$B:$B,0))&amp;""),"—"))</f>
        <v/>
      </c>
      <c r="M1027" s="27" t="n"/>
      <c r="N1027" s="27" t="n"/>
      <c r="O1027" s="25">
        <f>IF($C1027="","",IF($P1027="","—",IF($P1027="Valid (Pass)","Valid","Invalid")))</f>
        <v/>
      </c>
      <c r="P1027" s="27" t="n"/>
      <c r="Q1027" s="27" t="n"/>
      <c r="R1027" s="27" t="n"/>
      <c r="S1027" s="27" t="n"/>
      <c r="T1027" s="25">
        <f>IF($C1027="","",IF(OR(ISNUMBER(SEARCH("quick case",$P1027)),ISNUMBER(SEARCH("quick case",$Q1027))),"Yes","No"))</f>
        <v/>
      </c>
      <c r="U1027" s="25">
        <f>IF($O1027="Invalid",HYPERLINK("mailto:"&amp;$G1027&amp;";"&amp;$I1027&amp;"?cc="&amp;Lists!$E$2&amp;"&amp;subject="&amp;_xlfn.ENCODEURL("[INVALID] Quality audit monitoring completed for "&amp;UPPER($C1027))&amp;"&amp;body="&amp;_xlfn.ENCODEURL("Hi "&amp;$F1027&amp;","&amp;CHAR(10)&amp;"Good day!"&amp;CHAR(10)&amp;CHAR(10)&amp;"A quality monitoring audit has been completed for "&amp;$C1027&amp;"."&amp;CHAR(10)&amp;CHAR(10)&amp;"QUALITY AUDIT DETAILS"&amp;CHAR(10)&amp;"Agent Name: "&amp;$C1027&amp;" (EID "&amp;$D1027&amp;")"&amp;CHAR(10)&amp;"Audit Date: "&amp;TEXT($B1027,"yyyy-mm-dd")&amp;CHAR(10)&amp;"Team Leader: "&amp;$F1027&amp;CHAR(10)&amp;"Case Number: "&amp;$M1027&amp;CHAR(10)&amp;"Transaction ID: "&amp;$N1027&amp;CHAR(10)&amp;"Channel / LOB: "&amp;$K1027&amp;" / "&amp;$L1027&amp;CHAR(10)&amp;"Evaluator: "&amp;$S1027&amp;CHAR(10)&amp;CHAR(10)&amp;"INVALID QUALITY AUDIT DETAILS"&amp;CHAR(10)&amp;"Validation: Invalid"&amp;CHAR(10)&amp;"Invalid Reason: "&amp;$P1027&amp;CHAR(10)&amp;"Expected Resolution Code: "&amp;$Q1027&amp;CHAR(10)&amp;"Remarks: "&amp;LEFT($R1027,600)&amp;CHAR(10)&amp;CHAR(10)&amp;"This is an automated notification from HP Mainstream EQMS."),"✉ Open Email Draft"),"")</f>
        <v/>
      </c>
    </row>
    <row r="1028">
      <c r="A1028" s="25">
        <f>IF($C1028="","","AUD-2026-"&amp;TEXT(ROW()-1,"000000"))</f>
        <v/>
      </c>
      <c r="B1028" s="26" t="n"/>
      <c r="C1028" s="27" t="n"/>
      <c r="D1028" s="25">
        <f>IF($C1028="","",IFERROR(IF(INDEX(Roster!$A:$A,MATCH($C1028,Roster!$B:$B,0))="","",INDEX(Roster!$A:$A,MATCH($C1028,Roster!$B:$B,0))&amp;""),"—"))</f>
        <v/>
      </c>
      <c r="E1028" s="25">
        <f>IF($C1028="","",IFERROR(IF(INDEX(Roster!$C:$C,MATCH($C1028,Roster!$B:$B,0))="","",INDEX(Roster!$C:$C,MATCH($C1028,Roster!$B:$B,0))&amp;""),"—"))</f>
        <v/>
      </c>
      <c r="F1028" s="25">
        <f>IF($C1028="","",IFERROR(IF(INDEX(Roster!$D:$D,MATCH($C1028,Roster!$B:$B,0))="","",INDEX(Roster!$D:$D,MATCH($C1028,Roster!$B:$B,0))&amp;""),"—"))</f>
        <v/>
      </c>
      <c r="G1028" s="25">
        <f>IF($C1028="","",IFERROR(IF(INDEX(Roster!$E:$E,MATCH($C1028,Roster!$B:$B,0))="","",INDEX(Roster!$E:$E,MATCH($C1028,Roster!$B:$B,0))&amp;""),"—"))</f>
        <v/>
      </c>
      <c r="H1028" s="25">
        <f>IF($C1028="","",IFERROR(IF(INDEX(Roster!$F:$F,MATCH($C1028,Roster!$B:$B,0))="","",INDEX(Roster!$F:$F,MATCH($C1028,Roster!$B:$B,0))&amp;""),"—"))</f>
        <v/>
      </c>
      <c r="I1028" s="25">
        <f>IF($C1028="","",IFERROR(IF(INDEX(Roster!$G:$G,MATCH($C1028,Roster!$B:$B,0))="","",INDEX(Roster!$G:$G,MATCH($C1028,Roster!$B:$B,0))&amp;""),"—"))</f>
        <v/>
      </c>
      <c r="J1028" s="25">
        <f>IF($C1028="","",IFERROR(IF(INDEX(Roster!$I:$I,MATCH($C1028,Roster!$B:$B,0))="","",INDEX(Roster!$I:$I,MATCH($C1028,Roster!$B:$B,0))&amp;""),"—"))</f>
        <v/>
      </c>
      <c r="K1028">
        <f>IF($C1028="","",IFERROR(IF(INDEX(Roster!$J:$J,MATCH($C1028,Roster!$B:$B,0))="","",INDEX(Roster!$J:$J,MATCH($C1028,Roster!$B:$B,0))&amp;""),"—"))</f>
        <v/>
      </c>
      <c r="L1028">
        <f>IF($C1028="","",IFERROR(IF(INDEX(Roster!$K:$K,MATCH($C1028,Roster!$B:$B,0))="","",INDEX(Roster!$K:$K,MATCH($C1028,Roster!$B:$B,0))&amp;""),"—"))</f>
        <v/>
      </c>
      <c r="M1028" s="27" t="n"/>
      <c r="N1028" s="27" t="n"/>
      <c r="O1028" s="25">
        <f>IF($C1028="","",IF($P1028="","—",IF($P1028="Valid (Pass)","Valid","Invalid")))</f>
        <v/>
      </c>
      <c r="P1028" s="27" t="n"/>
      <c r="Q1028" s="27" t="n"/>
      <c r="R1028" s="27" t="n"/>
      <c r="S1028" s="27" t="n"/>
      <c r="T1028" s="25">
        <f>IF($C1028="","",IF(OR(ISNUMBER(SEARCH("quick case",$P1028)),ISNUMBER(SEARCH("quick case",$Q1028))),"Yes","No"))</f>
        <v/>
      </c>
      <c r="U1028" s="25">
        <f>IF($O1028="Invalid",HYPERLINK("mailto:"&amp;$G1028&amp;";"&amp;$I1028&amp;"?cc="&amp;Lists!$E$2&amp;"&amp;subject="&amp;_xlfn.ENCODEURL("[INVALID] Quality audit monitoring completed for "&amp;UPPER($C1028))&amp;"&amp;body="&amp;_xlfn.ENCODEURL("Hi "&amp;$F1028&amp;","&amp;CHAR(10)&amp;"Good day!"&amp;CHAR(10)&amp;CHAR(10)&amp;"A quality monitoring audit has been completed for "&amp;$C1028&amp;"."&amp;CHAR(10)&amp;CHAR(10)&amp;"QUALITY AUDIT DETAILS"&amp;CHAR(10)&amp;"Agent Name: "&amp;$C1028&amp;" (EID "&amp;$D1028&amp;")"&amp;CHAR(10)&amp;"Audit Date: "&amp;TEXT($B1028,"yyyy-mm-dd")&amp;CHAR(10)&amp;"Team Leader: "&amp;$F1028&amp;CHAR(10)&amp;"Case Number: "&amp;$M1028&amp;CHAR(10)&amp;"Transaction ID: "&amp;$N1028&amp;CHAR(10)&amp;"Channel / LOB: "&amp;$K1028&amp;" / "&amp;$L1028&amp;CHAR(10)&amp;"Evaluator: "&amp;$S1028&amp;CHAR(10)&amp;CHAR(10)&amp;"INVALID QUALITY AUDIT DETAILS"&amp;CHAR(10)&amp;"Validation: Invalid"&amp;CHAR(10)&amp;"Invalid Reason: "&amp;$P1028&amp;CHAR(10)&amp;"Expected Resolution Code: "&amp;$Q1028&amp;CHAR(10)&amp;"Remarks: "&amp;LEFT($R1028,600)&amp;CHAR(10)&amp;CHAR(10)&amp;"This is an automated notification from HP Mainstream EQMS."),"✉ Open Email Draft"),"")</f>
        <v/>
      </c>
    </row>
    <row r="1029">
      <c r="A1029" s="25">
        <f>IF($C1029="","","AUD-2026-"&amp;TEXT(ROW()-1,"000000"))</f>
        <v/>
      </c>
      <c r="B1029" s="26" t="n"/>
      <c r="C1029" s="27" t="n"/>
      <c r="D1029" s="25">
        <f>IF($C1029="","",IFERROR(IF(INDEX(Roster!$A:$A,MATCH($C1029,Roster!$B:$B,0))="","",INDEX(Roster!$A:$A,MATCH($C1029,Roster!$B:$B,0))&amp;""),"—"))</f>
        <v/>
      </c>
      <c r="E1029" s="25">
        <f>IF($C1029="","",IFERROR(IF(INDEX(Roster!$C:$C,MATCH($C1029,Roster!$B:$B,0))="","",INDEX(Roster!$C:$C,MATCH($C1029,Roster!$B:$B,0))&amp;""),"—"))</f>
        <v/>
      </c>
      <c r="F1029" s="25">
        <f>IF($C1029="","",IFERROR(IF(INDEX(Roster!$D:$D,MATCH($C1029,Roster!$B:$B,0))="","",INDEX(Roster!$D:$D,MATCH($C1029,Roster!$B:$B,0))&amp;""),"—"))</f>
        <v/>
      </c>
      <c r="G1029" s="25">
        <f>IF($C1029="","",IFERROR(IF(INDEX(Roster!$E:$E,MATCH($C1029,Roster!$B:$B,0))="","",INDEX(Roster!$E:$E,MATCH($C1029,Roster!$B:$B,0))&amp;""),"—"))</f>
        <v/>
      </c>
      <c r="H1029" s="25">
        <f>IF($C1029="","",IFERROR(IF(INDEX(Roster!$F:$F,MATCH($C1029,Roster!$B:$B,0))="","",INDEX(Roster!$F:$F,MATCH($C1029,Roster!$B:$B,0))&amp;""),"—"))</f>
        <v/>
      </c>
      <c r="I1029" s="25">
        <f>IF($C1029="","",IFERROR(IF(INDEX(Roster!$G:$G,MATCH($C1029,Roster!$B:$B,0))="","",INDEX(Roster!$G:$G,MATCH($C1029,Roster!$B:$B,0))&amp;""),"—"))</f>
        <v/>
      </c>
      <c r="J1029" s="25">
        <f>IF($C1029="","",IFERROR(IF(INDEX(Roster!$I:$I,MATCH($C1029,Roster!$B:$B,0))="","",INDEX(Roster!$I:$I,MATCH($C1029,Roster!$B:$B,0))&amp;""),"—"))</f>
        <v/>
      </c>
      <c r="K1029">
        <f>IF($C1029="","",IFERROR(IF(INDEX(Roster!$J:$J,MATCH($C1029,Roster!$B:$B,0))="","",INDEX(Roster!$J:$J,MATCH($C1029,Roster!$B:$B,0))&amp;""),"—"))</f>
        <v/>
      </c>
      <c r="L1029">
        <f>IF($C1029="","",IFERROR(IF(INDEX(Roster!$K:$K,MATCH($C1029,Roster!$B:$B,0))="","",INDEX(Roster!$K:$K,MATCH($C1029,Roster!$B:$B,0))&amp;""),"—"))</f>
        <v/>
      </c>
      <c r="M1029" s="27" t="n"/>
      <c r="N1029" s="27" t="n"/>
      <c r="O1029" s="25">
        <f>IF($C1029="","",IF($P1029="","—",IF($P1029="Valid (Pass)","Valid","Invalid")))</f>
        <v/>
      </c>
      <c r="P1029" s="27" t="n"/>
      <c r="Q1029" s="27" t="n"/>
      <c r="R1029" s="27" t="n"/>
      <c r="S1029" s="27" t="n"/>
      <c r="T1029" s="25">
        <f>IF($C1029="","",IF(OR(ISNUMBER(SEARCH("quick case",$P1029)),ISNUMBER(SEARCH("quick case",$Q1029))),"Yes","No"))</f>
        <v/>
      </c>
      <c r="U1029" s="25">
        <f>IF($O1029="Invalid",HYPERLINK("mailto:"&amp;$G1029&amp;";"&amp;$I1029&amp;"?cc="&amp;Lists!$E$2&amp;"&amp;subject="&amp;_xlfn.ENCODEURL("[INVALID] Quality audit monitoring completed for "&amp;UPPER($C1029))&amp;"&amp;body="&amp;_xlfn.ENCODEURL("Hi "&amp;$F1029&amp;","&amp;CHAR(10)&amp;"Good day!"&amp;CHAR(10)&amp;CHAR(10)&amp;"A quality monitoring audit has been completed for "&amp;$C1029&amp;"."&amp;CHAR(10)&amp;CHAR(10)&amp;"QUALITY AUDIT DETAILS"&amp;CHAR(10)&amp;"Agent Name: "&amp;$C1029&amp;" (EID "&amp;$D1029&amp;")"&amp;CHAR(10)&amp;"Audit Date: "&amp;TEXT($B1029,"yyyy-mm-dd")&amp;CHAR(10)&amp;"Team Leader: "&amp;$F1029&amp;CHAR(10)&amp;"Case Number: "&amp;$M1029&amp;CHAR(10)&amp;"Transaction ID: "&amp;$N1029&amp;CHAR(10)&amp;"Channel / LOB: "&amp;$K1029&amp;" / "&amp;$L1029&amp;CHAR(10)&amp;"Evaluator: "&amp;$S1029&amp;CHAR(10)&amp;CHAR(10)&amp;"INVALID QUALITY AUDIT DETAILS"&amp;CHAR(10)&amp;"Validation: Invalid"&amp;CHAR(10)&amp;"Invalid Reason: "&amp;$P1029&amp;CHAR(10)&amp;"Expected Resolution Code: "&amp;$Q1029&amp;CHAR(10)&amp;"Remarks: "&amp;LEFT($R1029,600)&amp;CHAR(10)&amp;CHAR(10)&amp;"This is an automated notification from HP Mainstream EQMS."),"✉ Open Email Draft"),"")</f>
        <v/>
      </c>
    </row>
    <row r="1030">
      <c r="A1030" s="25">
        <f>IF($C1030="","","AUD-2026-"&amp;TEXT(ROW()-1,"000000"))</f>
        <v/>
      </c>
      <c r="B1030" s="26" t="n"/>
      <c r="C1030" s="27" t="n"/>
      <c r="D1030" s="25">
        <f>IF($C1030="","",IFERROR(IF(INDEX(Roster!$A:$A,MATCH($C1030,Roster!$B:$B,0))="","",INDEX(Roster!$A:$A,MATCH($C1030,Roster!$B:$B,0))&amp;""),"—"))</f>
        <v/>
      </c>
      <c r="E1030" s="25">
        <f>IF($C1030="","",IFERROR(IF(INDEX(Roster!$C:$C,MATCH($C1030,Roster!$B:$B,0))="","",INDEX(Roster!$C:$C,MATCH($C1030,Roster!$B:$B,0))&amp;""),"—"))</f>
        <v/>
      </c>
      <c r="F1030" s="25">
        <f>IF($C1030="","",IFERROR(IF(INDEX(Roster!$D:$D,MATCH($C1030,Roster!$B:$B,0))="","",INDEX(Roster!$D:$D,MATCH($C1030,Roster!$B:$B,0))&amp;""),"—"))</f>
        <v/>
      </c>
      <c r="G1030" s="25">
        <f>IF($C1030="","",IFERROR(IF(INDEX(Roster!$E:$E,MATCH($C1030,Roster!$B:$B,0))="","",INDEX(Roster!$E:$E,MATCH($C1030,Roster!$B:$B,0))&amp;""),"—"))</f>
        <v/>
      </c>
      <c r="H1030" s="25">
        <f>IF($C1030="","",IFERROR(IF(INDEX(Roster!$F:$F,MATCH($C1030,Roster!$B:$B,0))="","",INDEX(Roster!$F:$F,MATCH($C1030,Roster!$B:$B,0))&amp;""),"—"))</f>
        <v/>
      </c>
      <c r="I1030" s="25">
        <f>IF($C1030="","",IFERROR(IF(INDEX(Roster!$G:$G,MATCH($C1030,Roster!$B:$B,0))="","",INDEX(Roster!$G:$G,MATCH($C1030,Roster!$B:$B,0))&amp;""),"—"))</f>
        <v/>
      </c>
      <c r="J1030" s="25">
        <f>IF($C1030="","",IFERROR(IF(INDEX(Roster!$I:$I,MATCH($C1030,Roster!$B:$B,0))="","",INDEX(Roster!$I:$I,MATCH($C1030,Roster!$B:$B,0))&amp;""),"—"))</f>
        <v/>
      </c>
      <c r="K1030">
        <f>IF($C1030="","",IFERROR(IF(INDEX(Roster!$J:$J,MATCH($C1030,Roster!$B:$B,0))="","",INDEX(Roster!$J:$J,MATCH($C1030,Roster!$B:$B,0))&amp;""),"—"))</f>
        <v/>
      </c>
      <c r="L1030">
        <f>IF($C1030="","",IFERROR(IF(INDEX(Roster!$K:$K,MATCH($C1030,Roster!$B:$B,0))="","",INDEX(Roster!$K:$K,MATCH($C1030,Roster!$B:$B,0))&amp;""),"—"))</f>
        <v/>
      </c>
      <c r="M1030" s="27" t="n"/>
      <c r="N1030" s="27" t="n"/>
      <c r="O1030" s="25">
        <f>IF($C1030="","",IF($P1030="","—",IF($P1030="Valid (Pass)","Valid","Invalid")))</f>
        <v/>
      </c>
      <c r="P1030" s="27" t="n"/>
      <c r="Q1030" s="27" t="n"/>
      <c r="R1030" s="27" t="n"/>
      <c r="S1030" s="27" t="n"/>
      <c r="T1030" s="25">
        <f>IF($C1030="","",IF(OR(ISNUMBER(SEARCH("quick case",$P1030)),ISNUMBER(SEARCH("quick case",$Q1030))),"Yes","No"))</f>
        <v/>
      </c>
      <c r="U1030" s="25">
        <f>IF($O1030="Invalid",HYPERLINK("mailto:"&amp;$G1030&amp;";"&amp;$I1030&amp;"?cc="&amp;Lists!$E$2&amp;"&amp;subject="&amp;_xlfn.ENCODEURL("[INVALID] Quality audit monitoring completed for "&amp;UPPER($C1030))&amp;"&amp;body="&amp;_xlfn.ENCODEURL("Hi "&amp;$F1030&amp;","&amp;CHAR(10)&amp;"Good day!"&amp;CHAR(10)&amp;CHAR(10)&amp;"A quality monitoring audit has been completed for "&amp;$C1030&amp;"."&amp;CHAR(10)&amp;CHAR(10)&amp;"QUALITY AUDIT DETAILS"&amp;CHAR(10)&amp;"Agent Name: "&amp;$C1030&amp;" (EID "&amp;$D1030&amp;")"&amp;CHAR(10)&amp;"Audit Date: "&amp;TEXT($B1030,"yyyy-mm-dd")&amp;CHAR(10)&amp;"Team Leader: "&amp;$F1030&amp;CHAR(10)&amp;"Case Number: "&amp;$M1030&amp;CHAR(10)&amp;"Transaction ID: "&amp;$N1030&amp;CHAR(10)&amp;"Channel / LOB: "&amp;$K1030&amp;" / "&amp;$L1030&amp;CHAR(10)&amp;"Evaluator: "&amp;$S1030&amp;CHAR(10)&amp;CHAR(10)&amp;"INVALID QUALITY AUDIT DETAILS"&amp;CHAR(10)&amp;"Validation: Invalid"&amp;CHAR(10)&amp;"Invalid Reason: "&amp;$P1030&amp;CHAR(10)&amp;"Expected Resolution Code: "&amp;$Q1030&amp;CHAR(10)&amp;"Remarks: "&amp;LEFT($R1030,600)&amp;CHAR(10)&amp;CHAR(10)&amp;"This is an automated notification from HP Mainstream EQMS."),"✉ Open Email Draft"),"")</f>
        <v/>
      </c>
    </row>
    <row r="1031">
      <c r="A1031" s="25">
        <f>IF($C1031="","","AUD-2026-"&amp;TEXT(ROW()-1,"000000"))</f>
        <v/>
      </c>
      <c r="B1031" s="26" t="n"/>
      <c r="C1031" s="27" t="n"/>
      <c r="D1031" s="25">
        <f>IF($C1031="","",IFERROR(IF(INDEX(Roster!$A:$A,MATCH($C1031,Roster!$B:$B,0))="","",INDEX(Roster!$A:$A,MATCH($C1031,Roster!$B:$B,0))&amp;""),"—"))</f>
        <v/>
      </c>
      <c r="E1031" s="25">
        <f>IF($C1031="","",IFERROR(IF(INDEX(Roster!$C:$C,MATCH($C1031,Roster!$B:$B,0))="","",INDEX(Roster!$C:$C,MATCH($C1031,Roster!$B:$B,0))&amp;""),"—"))</f>
        <v/>
      </c>
      <c r="F1031" s="25">
        <f>IF($C1031="","",IFERROR(IF(INDEX(Roster!$D:$D,MATCH($C1031,Roster!$B:$B,0))="","",INDEX(Roster!$D:$D,MATCH($C1031,Roster!$B:$B,0))&amp;""),"—"))</f>
        <v/>
      </c>
      <c r="G1031" s="25">
        <f>IF($C1031="","",IFERROR(IF(INDEX(Roster!$E:$E,MATCH($C1031,Roster!$B:$B,0))="","",INDEX(Roster!$E:$E,MATCH($C1031,Roster!$B:$B,0))&amp;""),"—"))</f>
        <v/>
      </c>
      <c r="H1031" s="25">
        <f>IF($C1031="","",IFERROR(IF(INDEX(Roster!$F:$F,MATCH($C1031,Roster!$B:$B,0))="","",INDEX(Roster!$F:$F,MATCH($C1031,Roster!$B:$B,0))&amp;""),"—"))</f>
        <v/>
      </c>
      <c r="I1031" s="25">
        <f>IF($C1031="","",IFERROR(IF(INDEX(Roster!$G:$G,MATCH($C1031,Roster!$B:$B,0))="","",INDEX(Roster!$G:$G,MATCH($C1031,Roster!$B:$B,0))&amp;""),"—"))</f>
        <v/>
      </c>
      <c r="J1031" s="25">
        <f>IF($C1031="","",IFERROR(IF(INDEX(Roster!$I:$I,MATCH($C1031,Roster!$B:$B,0))="","",INDEX(Roster!$I:$I,MATCH($C1031,Roster!$B:$B,0))&amp;""),"—"))</f>
        <v/>
      </c>
      <c r="K1031">
        <f>IF($C1031="","",IFERROR(IF(INDEX(Roster!$J:$J,MATCH($C1031,Roster!$B:$B,0))="","",INDEX(Roster!$J:$J,MATCH($C1031,Roster!$B:$B,0))&amp;""),"—"))</f>
        <v/>
      </c>
      <c r="L1031">
        <f>IF($C1031="","",IFERROR(IF(INDEX(Roster!$K:$K,MATCH($C1031,Roster!$B:$B,0))="","",INDEX(Roster!$K:$K,MATCH($C1031,Roster!$B:$B,0))&amp;""),"—"))</f>
        <v/>
      </c>
      <c r="M1031" s="27" t="n"/>
      <c r="N1031" s="27" t="n"/>
      <c r="O1031" s="25">
        <f>IF($C1031="","",IF($P1031="","—",IF($P1031="Valid (Pass)","Valid","Invalid")))</f>
        <v/>
      </c>
      <c r="P1031" s="27" t="n"/>
      <c r="Q1031" s="27" t="n"/>
      <c r="R1031" s="27" t="n"/>
      <c r="S1031" s="27" t="n"/>
      <c r="T1031" s="25">
        <f>IF($C1031="","",IF(OR(ISNUMBER(SEARCH("quick case",$P1031)),ISNUMBER(SEARCH("quick case",$Q1031))),"Yes","No"))</f>
        <v/>
      </c>
      <c r="U1031" s="25">
        <f>IF($O1031="Invalid",HYPERLINK("mailto:"&amp;$G1031&amp;";"&amp;$I1031&amp;"?cc="&amp;Lists!$E$2&amp;"&amp;subject="&amp;_xlfn.ENCODEURL("[INVALID] Quality audit monitoring completed for "&amp;UPPER($C1031))&amp;"&amp;body="&amp;_xlfn.ENCODEURL("Hi "&amp;$F1031&amp;","&amp;CHAR(10)&amp;"Good day!"&amp;CHAR(10)&amp;CHAR(10)&amp;"A quality monitoring audit has been completed for "&amp;$C1031&amp;"."&amp;CHAR(10)&amp;CHAR(10)&amp;"QUALITY AUDIT DETAILS"&amp;CHAR(10)&amp;"Agent Name: "&amp;$C1031&amp;" (EID "&amp;$D1031&amp;")"&amp;CHAR(10)&amp;"Audit Date: "&amp;TEXT($B1031,"yyyy-mm-dd")&amp;CHAR(10)&amp;"Team Leader: "&amp;$F1031&amp;CHAR(10)&amp;"Case Number: "&amp;$M1031&amp;CHAR(10)&amp;"Transaction ID: "&amp;$N1031&amp;CHAR(10)&amp;"Channel / LOB: "&amp;$K1031&amp;" / "&amp;$L1031&amp;CHAR(10)&amp;"Evaluator: "&amp;$S1031&amp;CHAR(10)&amp;CHAR(10)&amp;"INVALID QUALITY AUDIT DETAILS"&amp;CHAR(10)&amp;"Validation: Invalid"&amp;CHAR(10)&amp;"Invalid Reason: "&amp;$P1031&amp;CHAR(10)&amp;"Expected Resolution Code: "&amp;$Q1031&amp;CHAR(10)&amp;"Remarks: "&amp;LEFT($R1031,600)&amp;CHAR(10)&amp;CHAR(10)&amp;"This is an automated notification from HP Mainstream EQMS."),"✉ Open Email Draft"),"")</f>
        <v/>
      </c>
    </row>
    <row r="1032">
      <c r="A1032" s="25">
        <f>IF($C1032="","","AUD-2026-"&amp;TEXT(ROW()-1,"000000"))</f>
        <v/>
      </c>
      <c r="B1032" s="26" t="n"/>
      <c r="C1032" s="27" t="n"/>
      <c r="D1032" s="25">
        <f>IF($C1032="","",IFERROR(IF(INDEX(Roster!$A:$A,MATCH($C1032,Roster!$B:$B,0))="","",INDEX(Roster!$A:$A,MATCH($C1032,Roster!$B:$B,0))&amp;""),"—"))</f>
        <v/>
      </c>
      <c r="E1032" s="25">
        <f>IF($C1032="","",IFERROR(IF(INDEX(Roster!$C:$C,MATCH($C1032,Roster!$B:$B,0))="","",INDEX(Roster!$C:$C,MATCH($C1032,Roster!$B:$B,0))&amp;""),"—"))</f>
        <v/>
      </c>
      <c r="F1032" s="25">
        <f>IF($C1032="","",IFERROR(IF(INDEX(Roster!$D:$D,MATCH($C1032,Roster!$B:$B,0))="","",INDEX(Roster!$D:$D,MATCH($C1032,Roster!$B:$B,0))&amp;""),"—"))</f>
        <v/>
      </c>
      <c r="G1032" s="25">
        <f>IF($C1032="","",IFERROR(IF(INDEX(Roster!$E:$E,MATCH($C1032,Roster!$B:$B,0))="","",INDEX(Roster!$E:$E,MATCH($C1032,Roster!$B:$B,0))&amp;""),"—"))</f>
        <v/>
      </c>
      <c r="H1032" s="25">
        <f>IF($C1032="","",IFERROR(IF(INDEX(Roster!$F:$F,MATCH($C1032,Roster!$B:$B,0))="","",INDEX(Roster!$F:$F,MATCH($C1032,Roster!$B:$B,0))&amp;""),"—"))</f>
        <v/>
      </c>
      <c r="I1032" s="25">
        <f>IF($C1032="","",IFERROR(IF(INDEX(Roster!$G:$G,MATCH($C1032,Roster!$B:$B,0))="","",INDEX(Roster!$G:$G,MATCH($C1032,Roster!$B:$B,0))&amp;""),"—"))</f>
        <v/>
      </c>
      <c r="J1032" s="25">
        <f>IF($C1032="","",IFERROR(IF(INDEX(Roster!$I:$I,MATCH($C1032,Roster!$B:$B,0))="","",INDEX(Roster!$I:$I,MATCH($C1032,Roster!$B:$B,0))&amp;""),"—"))</f>
        <v/>
      </c>
      <c r="K1032">
        <f>IF($C1032="","",IFERROR(IF(INDEX(Roster!$J:$J,MATCH($C1032,Roster!$B:$B,0))="","",INDEX(Roster!$J:$J,MATCH($C1032,Roster!$B:$B,0))&amp;""),"—"))</f>
        <v/>
      </c>
      <c r="L1032">
        <f>IF($C1032="","",IFERROR(IF(INDEX(Roster!$K:$K,MATCH($C1032,Roster!$B:$B,0))="","",INDEX(Roster!$K:$K,MATCH($C1032,Roster!$B:$B,0))&amp;""),"—"))</f>
        <v/>
      </c>
      <c r="M1032" s="27" t="n"/>
      <c r="N1032" s="27" t="n"/>
      <c r="O1032" s="25">
        <f>IF($C1032="","",IF($P1032="","—",IF($P1032="Valid (Pass)","Valid","Invalid")))</f>
        <v/>
      </c>
      <c r="P1032" s="27" t="n"/>
      <c r="Q1032" s="27" t="n"/>
      <c r="R1032" s="27" t="n"/>
      <c r="S1032" s="27" t="n"/>
      <c r="T1032" s="25">
        <f>IF($C1032="","",IF(OR(ISNUMBER(SEARCH("quick case",$P1032)),ISNUMBER(SEARCH("quick case",$Q1032))),"Yes","No"))</f>
        <v/>
      </c>
      <c r="U1032" s="25">
        <f>IF($O1032="Invalid",HYPERLINK("mailto:"&amp;$G1032&amp;";"&amp;$I1032&amp;"?cc="&amp;Lists!$E$2&amp;"&amp;subject="&amp;_xlfn.ENCODEURL("[INVALID] Quality audit monitoring completed for "&amp;UPPER($C1032))&amp;"&amp;body="&amp;_xlfn.ENCODEURL("Hi "&amp;$F1032&amp;","&amp;CHAR(10)&amp;"Good day!"&amp;CHAR(10)&amp;CHAR(10)&amp;"A quality monitoring audit has been completed for "&amp;$C1032&amp;"."&amp;CHAR(10)&amp;CHAR(10)&amp;"QUALITY AUDIT DETAILS"&amp;CHAR(10)&amp;"Agent Name: "&amp;$C1032&amp;" (EID "&amp;$D1032&amp;")"&amp;CHAR(10)&amp;"Audit Date: "&amp;TEXT($B1032,"yyyy-mm-dd")&amp;CHAR(10)&amp;"Team Leader: "&amp;$F1032&amp;CHAR(10)&amp;"Case Number: "&amp;$M1032&amp;CHAR(10)&amp;"Transaction ID: "&amp;$N1032&amp;CHAR(10)&amp;"Channel / LOB: "&amp;$K1032&amp;" / "&amp;$L1032&amp;CHAR(10)&amp;"Evaluator: "&amp;$S1032&amp;CHAR(10)&amp;CHAR(10)&amp;"INVALID QUALITY AUDIT DETAILS"&amp;CHAR(10)&amp;"Validation: Invalid"&amp;CHAR(10)&amp;"Invalid Reason: "&amp;$P1032&amp;CHAR(10)&amp;"Expected Resolution Code: "&amp;$Q1032&amp;CHAR(10)&amp;"Remarks: "&amp;LEFT($R1032,600)&amp;CHAR(10)&amp;CHAR(10)&amp;"This is an automated notification from HP Mainstream EQMS."),"✉ Open Email Draft"),"")</f>
        <v/>
      </c>
    </row>
    <row r="1033">
      <c r="A1033" s="25">
        <f>IF($C1033="","","AUD-2026-"&amp;TEXT(ROW()-1,"000000"))</f>
        <v/>
      </c>
      <c r="B1033" s="26" t="n"/>
      <c r="C1033" s="27" t="n"/>
      <c r="D1033" s="25">
        <f>IF($C1033="","",IFERROR(IF(INDEX(Roster!$A:$A,MATCH($C1033,Roster!$B:$B,0))="","",INDEX(Roster!$A:$A,MATCH($C1033,Roster!$B:$B,0))&amp;""),"—"))</f>
        <v/>
      </c>
      <c r="E1033" s="25">
        <f>IF($C1033="","",IFERROR(IF(INDEX(Roster!$C:$C,MATCH($C1033,Roster!$B:$B,0))="","",INDEX(Roster!$C:$C,MATCH($C1033,Roster!$B:$B,0))&amp;""),"—"))</f>
        <v/>
      </c>
      <c r="F1033" s="25">
        <f>IF($C1033="","",IFERROR(IF(INDEX(Roster!$D:$D,MATCH($C1033,Roster!$B:$B,0))="","",INDEX(Roster!$D:$D,MATCH($C1033,Roster!$B:$B,0))&amp;""),"—"))</f>
        <v/>
      </c>
      <c r="G1033" s="25">
        <f>IF($C1033="","",IFERROR(IF(INDEX(Roster!$E:$E,MATCH($C1033,Roster!$B:$B,0))="","",INDEX(Roster!$E:$E,MATCH($C1033,Roster!$B:$B,0))&amp;""),"—"))</f>
        <v/>
      </c>
      <c r="H1033" s="25">
        <f>IF($C1033="","",IFERROR(IF(INDEX(Roster!$F:$F,MATCH($C1033,Roster!$B:$B,0))="","",INDEX(Roster!$F:$F,MATCH($C1033,Roster!$B:$B,0))&amp;""),"—"))</f>
        <v/>
      </c>
      <c r="I1033" s="25">
        <f>IF($C1033="","",IFERROR(IF(INDEX(Roster!$G:$G,MATCH($C1033,Roster!$B:$B,0))="","",INDEX(Roster!$G:$G,MATCH($C1033,Roster!$B:$B,0))&amp;""),"—"))</f>
        <v/>
      </c>
      <c r="J1033" s="25">
        <f>IF($C1033="","",IFERROR(IF(INDEX(Roster!$I:$I,MATCH($C1033,Roster!$B:$B,0))="","",INDEX(Roster!$I:$I,MATCH($C1033,Roster!$B:$B,0))&amp;""),"—"))</f>
        <v/>
      </c>
      <c r="K1033">
        <f>IF($C1033="","",IFERROR(IF(INDEX(Roster!$J:$J,MATCH($C1033,Roster!$B:$B,0))="","",INDEX(Roster!$J:$J,MATCH($C1033,Roster!$B:$B,0))&amp;""),"—"))</f>
        <v/>
      </c>
      <c r="L1033">
        <f>IF($C1033="","",IFERROR(IF(INDEX(Roster!$K:$K,MATCH($C1033,Roster!$B:$B,0))="","",INDEX(Roster!$K:$K,MATCH($C1033,Roster!$B:$B,0))&amp;""),"—"))</f>
        <v/>
      </c>
      <c r="M1033" s="27" t="n"/>
      <c r="N1033" s="27" t="n"/>
      <c r="O1033" s="25">
        <f>IF($C1033="","",IF($P1033="","—",IF($P1033="Valid (Pass)","Valid","Invalid")))</f>
        <v/>
      </c>
      <c r="P1033" s="27" t="n"/>
      <c r="Q1033" s="27" t="n"/>
      <c r="R1033" s="27" t="n"/>
      <c r="S1033" s="27" t="n"/>
      <c r="T1033" s="25">
        <f>IF($C1033="","",IF(OR(ISNUMBER(SEARCH("quick case",$P1033)),ISNUMBER(SEARCH("quick case",$Q1033))),"Yes","No"))</f>
        <v/>
      </c>
      <c r="U1033" s="25">
        <f>IF($O1033="Invalid",HYPERLINK("mailto:"&amp;$G1033&amp;";"&amp;$I1033&amp;"?cc="&amp;Lists!$E$2&amp;"&amp;subject="&amp;_xlfn.ENCODEURL("[INVALID] Quality audit monitoring completed for "&amp;UPPER($C1033))&amp;"&amp;body="&amp;_xlfn.ENCODEURL("Hi "&amp;$F1033&amp;","&amp;CHAR(10)&amp;"Good day!"&amp;CHAR(10)&amp;CHAR(10)&amp;"A quality monitoring audit has been completed for "&amp;$C1033&amp;"."&amp;CHAR(10)&amp;CHAR(10)&amp;"QUALITY AUDIT DETAILS"&amp;CHAR(10)&amp;"Agent Name: "&amp;$C1033&amp;" (EID "&amp;$D1033&amp;")"&amp;CHAR(10)&amp;"Audit Date: "&amp;TEXT($B1033,"yyyy-mm-dd")&amp;CHAR(10)&amp;"Team Leader: "&amp;$F1033&amp;CHAR(10)&amp;"Case Number: "&amp;$M1033&amp;CHAR(10)&amp;"Transaction ID: "&amp;$N1033&amp;CHAR(10)&amp;"Channel / LOB: "&amp;$K1033&amp;" / "&amp;$L1033&amp;CHAR(10)&amp;"Evaluator: "&amp;$S1033&amp;CHAR(10)&amp;CHAR(10)&amp;"INVALID QUALITY AUDIT DETAILS"&amp;CHAR(10)&amp;"Validation: Invalid"&amp;CHAR(10)&amp;"Invalid Reason: "&amp;$P1033&amp;CHAR(10)&amp;"Expected Resolution Code: "&amp;$Q1033&amp;CHAR(10)&amp;"Remarks: "&amp;LEFT($R1033,600)&amp;CHAR(10)&amp;CHAR(10)&amp;"This is an automated notification from HP Mainstream EQMS."),"✉ Open Email Draft"),"")</f>
        <v/>
      </c>
    </row>
    <row r="1034">
      <c r="A1034" s="25">
        <f>IF($C1034="","","AUD-2026-"&amp;TEXT(ROW()-1,"000000"))</f>
        <v/>
      </c>
      <c r="B1034" s="26" t="n"/>
      <c r="C1034" s="27" t="n"/>
      <c r="D1034" s="25">
        <f>IF($C1034="","",IFERROR(IF(INDEX(Roster!$A:$A,MATCH($C1034,Roster!$B:$B,0))="","",INDEX(Roster!$A:$A,MATCH($C1034,Roster!$B:$B,0))&amp;""),"—"))</f>
        <v/>
      </c>
      <c r="E1034" s="25">
        <f>IF($C1034="","",IFERROR(IF(INDEX(Roster!$C:$C,MATCH($C1034,Roster!$B:$B,0))="","",INDEX(Roster!$C:$C,MATCH($C1034,Roster!$B:$B,0))&amp;""),"—"))</f>
        <v/>
      </c>
      <c r="F1034" s="25">
        <f>IF($C1034="","",IFERROR(IF(INDEX(Roster!$D:$D,MATCH($C1034,Roster!$B:$B,0))="","",INDEX(Roster!$D:$D,MATCH($C1034,Roster!$B:$B,0))&amp;""),"—"))</f>
        <v/>
      </c>
      <c r="G1034" s="25">
        <f>IF($C1034="","",IFERROR(IF(INDEX(Roster!$E:$E,MATCH($C1034,Roster!$B:$B,0))="","",INDEX(Roster!$E:$E,MATCH($C1034,Roster!$B:$B,0))&amp;""),"—"))</f>
        <v/>
      </c>
      <c r="H1034" s="25">
        <f>IF($C1034="","",IFERROR(IF(INDEX(Roster!$F:$F,MATCH($C1034,Roster!$B:$B,0))="","",INDEX(Roster!$F:$F,MATCH($C1034,Roster!$B:$B,0))&amp;""),"—"))</f>
        <v/>
      </c>
      <c r="I1034" s="25">
        <f>IF($C1034="","",IFERROR(IF(INDEX(Roster!$G:$G,MATCH($C1034,Roster!$B:$B,0))="","",INDEX(Roster!$G:$G,MATCH($C1034,Roster!$B:$B,0))&amp;""),"—"))</f>
        <v/>
      </c>
      <c r="J1034" s="25">
        <f>IF($C1034="","",IFERROR(IF(INDEX(Roster!$I:$I,MATCH($C1034,Roster!$B:$B,0))="","",INDEX(Roster!$I:$I,MATCH($C1034,Roster!$B:$B,0))&amp;""),"—"))</f>
        <v/>
      </c>
      <c r="K1034">
        <f>IF($C1034="","",IFERROR(IF(INDEX(Roster!$J:$J,MATCH($C1034,Roster!$B:$B,0))="","",INDEX(Roster!$J:$J,MATCH($C1034,Roster!$B:$B,0))&amp;""),"—"))</f>
        <v/>
      </c>
      <c r="L1034">
        <f>IF($C1034="","",IFERROR(IF(INDEX(Roster!$K:$K,MATCH($C1034,Roster!$B:$B,0))="","",INDEX(Roster!$K:$K,MATCH($C1034,Roster!$B:$B,0))&amp;""),"—"))</f>
        <v/>
      </c>
      <c r="M1034" s="27" t="n"/>
      <c r="N1034" s="27" t="n"/>
      <c r="O1034" s="25">
        <f>IF($C1034="","",IF($P1034="","—",IF($P1034="Valid (Pass)","Valid","Invalid")))</f>
        <v/>
      </c>
      <c r="P1034" s="27" t="n"/>
      <c r="Q1034" s="27" t="n"/>
      <c r="R1034" s="27" t="n"/>
      <c r="S1034" s="27" t="n"/>
      <c r="T1034" s="25">
        <f>IF($C1034="","",IF(OR(ISNUMBER(SEARCH("quick case",$P1034)),ISNUMBER(SEARCH("quick case",$Q1034))),"Yes","No"))</f>
        <v/>
      </c>
      <c r="U1034" s="25">
        <f>IF($O1034="Invalid",HYPERLINK("mailto:"&amp;$G1034&amp;";"&amp;$I1034&amp;"?cc="&amp;Lists!$E$2&amp;"&amp;subject="&amp;_xlfn.ENCODEURL("[INVALID] Quality audit monitoring completed for "&amp;UPPER($C1034))&amp;"&amp;body="&amp;_xlfn.ENCODEURL("Hi "&amp;$F1034&amp;","&amp;CHAR(10)&amp;"Good day!"&amp;CHAR(10)&amp;CHAR(10)&amp;"A quality monitoring audit has been completed for "&amp;$C1034&amp;"."&amp;CHAR(10)&amp;CHAR(10)&amp;"QUALITY AUDIT DETAILS"&amp;CHAR(10)&amp;"Agent Name: "&amp;$C1034&amp;" (EID "&amp;$D1034&amp;")"&amp;CHAR(10)&amp;"Audit Date: "&amp;TEXT($B1034,"yyyy-mm-dd")&amp;CHAR(10)&amp;"Team Leader: "&amp;$F1034&amp;CHAR(10)&amp;"Case Number: "&amp;$M1034&amp;CHAR(10)&amp;"Transaction ID: "&amp;$N1034&amp;CHAR(10)&amp;"Channel / LOB: "&amp;$K1034&amp;" / "&amp;$L1034&amp;CHAR(10)&amp;"Evaluator: "&amp;$S1034&amp;CHAR(10)&amp;CHAR(10)&amp;"INVALID QUALITY AUDIT DETAILS"&amp;CHAR(10)&amp;"Validation: Invalid"&amp;CHAR(10)&amp;"Invalid Reason: "&amp;$P1034&amp;CHAR(10)&amp;"Expected Resolution Code: "&amp;$Q1034&amp;CHAR(10)&amp;"Remarks: "&amp;LEFT($R1034,600)&amp;CHAR(10)&amp;CHAR(10)&amp;"This is an automated notification from HP Mainstream EQMS."),"✉ Open Email Draft"),"")</f>
        <v/>
      </c>
    </row>
    <row r="1035">
      <c r="A1035" s="25">
        <f>IF($C1035="","","AUD-2026-"&amp;TEXT(ROW()-1,"000000"))</f>
        <v/>
      </c>
      <c r="B1035" s="26" t="n"/>
      <c r="C1035" s="27" t="n"/>
      <c r="D1035" s="25">
        <f>IF($C1035="","",IFERROR(IF(INDEX(Roster!$A:$A,MATCH($C1035,Roster!$B:$B,0))="","",INDEX(Roster!$A:$A,MATCH($C1035,Roster!$B:$B,0))&amp;""),"—"))</f>
        <v/>
      </c>
      <c r="E1035" s="25">
        <f>IF($C1035="","",IFERROR(IF(INDEX(Roster!$C:$C,MATCH($C1035,Roster!$B:$B,0))="","",INDEX(Roster!$C:$C,MATCH($C1035,Roster!$B:$B,0))&amp;""),"—"))</f>
        <v/>
      </c>
      <c r="F1035" s="25">
        <f>IF($C1035="","",IFERROR(IF(INDEX(Roster!$D:$D,MATCH($C1035,Roster!$B:$B,0))="","",INDEX(Roster!$D:$D,MATCH($C1035,Roster!$B:$B,0))&amp;""),"—"))</f>
        <v/>
      </c>
      <c r="G1035" s="25">
        <f>IF($C1035="","",IFERROR(IF(INDEX(Roster!$E:$E,MATCH($C1035,Roster!$B:$B,0))="","",INDEX(Roster!$E:$E,MATCH($C1035,Roster!$B:$B,0))&amp;""),"—"))</f>
        <v/>
      </c>
      <c r="H1035" s="25">
        <f>IF($C1035="","",IFERROR(IF(INDEX(Roster!$F:$F,MATCH($C1035,Roster!$B:$B,0))="","",INDEX(Roster!$F:$F,MATCH($C1035,Roster!$B:$B,0))&amp;""),"—"))</f>
        <v/>
      </c>
      <c r="I1035" s="25">
        <f>IF($C1035="","",IFERROR(IF(INDEX(Roster!$G:$G,MATCH($C1035,Roster!$B:$B,0))="","",INDEX(Roster!$G:$G,MATCH($C1035,Roster!$B:$B,0))&amp;""),"—"))</f>
        <v/>
      </c>
      <c r="J1035" s="25">
        <f>IF($C1035="","",IFERROR(IF(INDEX(Roster!$I:$I,MATCH($C1035,Roster!$B:$B,0))="","",INDEX(Roster!$I:$I,MATCH($C1035,Roster!$B:$B,0))&amp;""),"—"))</f>
        <v/>
      </c>
      <c r="K1035">
        <f>IF($C1035="","",IFERROR(IF(INDEX(Roster!$J:$J,MATCH($C1035,Roster!$B:$B,0))="","",INDEX(Roster!$J:$J,MATCH($C1035,Roster!$B:$B,0))&amp;""),"—"))</f>
        <v/>
      </c>
      <c r="L1035">
        <f>IF($C1035="","",IFERROR(IF(INDEX(Roster!$K:$K,MATCH($C1035,Roster!$B:$B,0))="","",INDEX(Roster!$K:$K,MATCH($C1035,Roster!$B:$B,0))&amp;""),"—"))</f>
        <v/>
      </c>
      <c r="M1035" s="27" t="n"/>
      <c r="N1035" s="27" t="n"/>
      <c r="O1035" s="25">
        <f>IF($C1035="","",IF($P1035="","—",IF($P1035="Valid (Pass)","Valid","Invalid")))</f>
        <v/>
      </c>
      <c r="P1035" s="27" t="n"/>
      <c r="Q1035" s="27" t="n"/>
      <c r="R1035" s="27" t="n"/>
      <c r="S1035" s="27" t="n"/>
      <c r="T1035" s="25">
        <f>IF($C1035="","",IF(OR(ISNUMBER(SEARCH("quick case",$P1035)),ISNUMBER(SEARCH("quick case",$Q1035))),"Yes","No"))</f>
        <v/>
      </c>
      <c r="U1035" s="25">
        <f>IF($O1035="Invalid",HYPERLINK("mailto:"&amp;$G1035&amp;";"&amp;$I1035&amp;"?cc="&amp;Lists!$E$2&amp;"&amp;subject="&amp;_xlfn.ENCODEURL("[INVALID] Quality audit monitoring completed for "&amp;UPPER($C1035))&amp;"&amp;body="&amp;_xlfn.ENCODEURL("Hi "&amp;$F1035&amp;","&amp;CHAR(10)&amp;"Good day!"&amp;CHAR(10)&amp;CHAR(10)&amp;"A quality monitoring audit has been completed for "&amp;$C1035&amp;"."&amp;CHAR(10)&amp;CHAR(10)&amp;"QUALITY AUDIT DETAILS"&amp;CHAR(10)&amp;"Agent Name: "&amp;$C1035&amp;" (EID "&amp;$D1035&amp;")"&amp;CHAR(10)&amp;"Audit Date: "&amp;TEXT($B1035,"yyyy-mm-dd")&amp;CHAR(10)&amp;"Team Leader: "&amp;$F1035&amp;CHAR(10)&amp;"Case Number: "&amp;$M1035&amp;CHAR(10)&amp;"Transaction ID: "&amp;$N1035&amp;CHAR(10)&amp;"Channel / LOB: "&amp;$K1035&amp;" / "&amp;$L1035&amp;CHAR(10)&amp;"Evaluator: "&amp;$S1035&amp;CHAR(10)&amp;CHAR(10)&amp;"INVALID QUALITY AUDIT DETAILS"&amp;CHAR(10)&amp;"Validation: Invalid"&amp;CHAR(10)&amp;"Invalid Reason: "&amp;$P1035&amp;CHAR(10)&amp;"Expected Resolution Code: "&amp;$Q1035&amp;CHAR(10)&amp;"Remarks: "&amp;LEFT($R1035,600)&amp;CHAR(10)&amp;CHAR(10)&amp;"This is an automated notification from HP Mainstream EQMS."),"✉ Open Email Draft"),"")</f>
        <v/>
      </c>
    </row>
    <row r="1036">
      <c r="A1036" s="25">
        <f>IF($C1036="","","AUD-2026-"&amp;TEXT(ROW()-1,"000000"))</f>
        <v/>
      </c>
      <c r="B1036" s="26" t="n"/>
      <c r="C1036" s="27" t="n"/>
      <c r="D1036" s="25">
        <f>IF($C1036="","",IFERROR(IF(INDEX(Roster!$A:$A,MATCH($C1036,Roster!$B:$B,0))="","",INDEX(Roster!$A:$A,MATCH($C1036,Roster!$B:$B,0))&amp;""),"—"))</f>
        <v/>
      </c>
      <c r="E1036" s="25">
        <f>IF($C1036="","",IFERROR(IF(INDEX(Roster!$C:$C,MATCH($C1036,Roster!$B:$B,0))="","",INDEX(Roster!$C:$C,MATCH($C1036,Roster!$B:$B,0))&amp;""),"—"))</f>
        <v/>
      </c>
      <c r="F1036" s="25">
        <f>IF($C1036="","",IFERROR(IF(INDEX(Roster!$D:$D,MATCH($C1036,Roster!$B:$B,0))="","",INDEX(Roster!$D:$D,MATCH($C1036,Roster!$B:$B,0))&amp;""),"—"))</f>
        <v/>
      </c>
      <c r="G1036" s="25">
        <f>IF($C1036="","",IFERROR(IF(INDEX(Roster!$E:$E,MATCH($C1036,Roster!$B:$B,0))="","",INDEX(Roster!$E:$E,MATCH($C1036,Roster!$B:$B,0))&amp;""),"—"))</f>
        <v/>
      </c>
      <c r="H1036" s="25">
        <f>IF($C1036="","",IFERROR(IF(INDEX(Roster!$F:$F,MATCH($C1036,Roster!$B:$B,0))="","",INDEX(Roster!$F:$F,MATCH($C1036,Roster!$B:$B,0))&amp;""),"—"))</f>
        <v/>
      </c>
      <c r="I1036" s="25">
        <f>IF($C1036="","",IFERROR(IF(INDEX(Roster!$G:$G,MATCH($C1036,Roster!$B:$B,0))="","",INDEX(Roster!$G:$G,MATCH($C1036,Roster!$B:$B,0))&amp;""),"—"))</f>
        <v/>
      </c>
      <c r="J1036" s="25">
        <f>IF($C1036="","",IFERROR(IF(INDEX(Roster!$I:$I,MATCH($C1036,Roster!$B:$B,0))="","",INDEX(Roster!$I:$I,MATCH($C1036,Roster!$B:$B,0))&amp;""),"—"))</f>
        <v/>
      </c>
      <c r="K1036">
        <f>IF($C1036="","",IFERROR(IF(INDEX(Roster!$J:$J,MATCH($C1036,Roster!$B:$B,0))="","",INDEX(Roster!$J:$J,MATCH($C1036,Roster!$B:$B,0))&amp;""),"—"))</f>
        <v/>
      </c>
      <c r="L1036">
        <f>IF($C1036="","",IFERROR(IF(INDEX(Roster!$K:$K,MATCH($C1036,Roster!$B:$B,0))="","",INDEX(Roster!$K:$K,MATCH($C1036,Roster!$B:$B,0))&amp;""),"—"))</f>
        <v/>
      </c>
      <c r="M1036" s="27" t="n"/>
      <c r="N1036" s="27" t="n"/>
      <c r="O1036" s="25">
        <f>IF($C1036="","",IF($P1036="","—",IF($P1036="Valid (Pass)","Valid","Invalid")))</f>
        <v/>
      </c>
      <c r="P1036" s="27" t="n"/>
      <c r="Q1036" s="27" t="n"/>
      <c r="R1036" s="27" t="n"/>
      <c r="S1036" s="27" t="n"/>
      <c r="T1036" s="25">
        <f>IF($C1036="","",IF(OR(ISNUMBER(SEARCH("quick case",$P1036)),ISNUMBER(SEARCH("quick case",$Q1036))),"Yes","No"))</f>
        <v/>
      </c>
      <c r="U1036" s="25">
        <f>IF($O1036="Invalid",HYPERLINK("mailto:"&amp;$G1036&amp;";"&amp;$I1036&amp;"?cc="&amp;Lists!$E$2&amp;"&amp;subject="&amp;_xlfn.ENCODEURL("[INVALID] Quality audit monitoring completed for "&amp;UPPER($C1036))&amp;"&amp;body="&amp;_xlfn.ENCODEURL("Hi "&amp;$F1036&amp;","&amp;CHAR(10)&amp;"Good day!"&amp;CHAR(10)&amp;CHAR(10)&amp;"A quality monitoring audit has been completed for "&amp;$C1036&amp;"."&amp;CHAR(10)&amp;CHAR(10)&amp;"QUALITY AUDIT DETAILS"&amp;CHAR(10)&amp;"Agent Name: "&amp;$C1036&amp;" (EID "&amp;$D1036&amp;")"&amp;CHAR(10)&amp;"Audit Date: "&amp;TEXT($B1036,"yyyy-mm-dd")&amp;CHAR(10)&amp;"Team Leader: "&amp;$F1036&amp;CHAR(10)&amp;"Case Number: "&amp;$M1036&amp;CHAR(10)&amp;"Transaction ID: "&amp;$N1036&amp;CHAR(10)&amp;"Channel / LOB: "&amp;$K1036&amp;" / "&amp;$L1036&amp;CHAR(10)&amp;"Evaluator: "&amp;$S1036&amp;CHAR(10)&amp;CHAR(10)&amp;"INVALID QUALITY AUDIT DETAILS"&amp;CHAR(10)&amp;"Validation: Invalid"&amp;CHAR(10)&amp;"Invalid Reason: "&amp;$P1036&amp;CHAR(10)&amp;"Expected Resolution Code: "&amp;$Q1036&amp;CHAR(10)&amp;"Remarks: "&amp;LEFT($R1036,600)&amp;CHAR(10)&amp;CHAR(10)&amp;"This is an automated notification from HP Mainstream EQMS."),"✉ Open Email Draft"),"")</f>
        <v/>
      </c>
    </row>
    <row r="1037">
      <c r="A1037" s="25">
        <f>IF($C1037="","","AUD-2026-"&amp;TEXT(ROW()-1,"000000"))</f>
        <v/>
      </c>
      <c r="B1037" s="26" t="n"/>
      <c r="C1037" s="27" t="n"/>
      <c r="D1037" s="25">
        <f>IF($C1037="","",IFERROR(IF(INDEX(Roster!$A:$A,MATCH($C1037,Roster!$B:$B,0))="","",INDEX(Roster!$A:$A,MATCH($C1037,Roster!$B:$B,0))&amp;""),"—"))</f>
        <v/>
      </c>
      <c r="E1037" s="25">
        <f>IF($C1037="","",IFERROR(IF(INDEX(Roster!$C:$C,MATCH($C1037,Roster!$B:$B,0))="","",INDEX(Roster!$C:$C,MATCH($C1037,Roster!$B:$B,0))&amp;""),"—"))</f>
        <v/>
      </c>
      <c r="F1037" s="25">
        <f>IF($C1037="","",IFERROR(IF(INDEX(Roster!$D:$D,MATCH($C1037,Roster!$B:$B,0))="","",INDEX(Roster!$D:$D,MATCH($C1037,Roster!$B:$B,0))&amp;""),"—"))</f>
        <v/>
      </c>
      <c r="G1037" s="25">
        <f>IF($C1037="","",IFERROR(IF(INDEX(Roster!$E:$E,MATCH($C1037,Roster!$B:$B,0))="","",INDEX(Roster!$E:$E,MATCH($C1037,Roster!$B:$B,0))&amp;""),"—"))</f>
        <v/>
      </c>
      <c r="H1037" s="25">
        <f>IF($C1037="","",IFERROR(IF(INDEX(Roster!$F:$F,MATCH($C1037,Roster!$B:$B,0))="","",INDEX(Roster!$F:$F,MATCH($C1037,Roster!$B:$B,0))&amp;""),"—"))</f>
        <v/>
      </c>
      <c r="I1037" s="25">
        <f>IF($C1037="","",IFERROR(IF(INDEX(Roster!$G:$G,MATCH($C1037,Roster!$B:$B,0))="","",INDEX(Roster!$G:$G,MATCH($C1037,Roster!$B:$B,0))&amp;""),"—"))</f>
        <v/>
      </c>
      <c r="J1037" s="25">
        <f>IF($C1037="","",IFERROR(IF(INDEX(Roster!$I:$I,MATCH($C1037,Roster!$B:$B,0))="","",INDEX(Roster!$I:$I,MATCH($C1037,Roster!$B:$B,0))&amp;""),"—"))</f>
        <v/>
      </c>
      <c r="K1037">
        <f>IF($C1037="","",IFERROR(IF(INDEX(Roster!$J:$J,MATCH($C1037,Roster!$B:$B,0))="","",INDEX(Roster!$J:$J,MATCH($C1037,Roster!$B:$B,0))&amp;""),"—"))</f>
        <v/>
      </c>
      <c r="L1037">
        <f>IF($C1037="","",IFERROR(IF(INDEX(Roster!$K:$K,MATCH($C1037,Roster!$B:$B,0))="","",INDEX(Roster!$K:$K,MATCH($C1037,Roster!$B:$B,0))&amp;""),"—"))</f>
        <v/>
      </c>
      <c r="M1037" s="27" t="n"/>
      <c r="N1037" s="27" t="n"/>
      <c r="O1037" s="25">
        <f>IF($C1037="","",IF($P1037="","—",IF($P1037="Valid (Pass)","Valid","Invalid")))</f>
        <v/>
      </c>
      <c r="P1037" s="27" t="n"/>
      <c r="Q1037" s="27" t="n"/>
      <c r="R1037" s="27" t="n"/>
      <c r="S1037" s="27" t="n"/>
      <c r="T1037" s="25">
        <f>IF($C1037="","",IF(OR(ISNUMBER(SEARCH("quick case",$P1037)),ISNUMBER(SEARCH("quick case",$Q1037))),"Yes","No"))</f>
        <v/>
      </c>
      <c r="U1037" s="25">
        <f>IF($O1037="Invalid",HYPERLINK("mailto:"&amp;$G1037&amp;";"&amp;$I1037&amp;"?cc="&amp;Lists!$E$2&amp;"&amp;subject="&amp;_xlfn.ENCODEURL("[INVALID] Quality audit monitoring completed for "&amp;UPPER($C1037))&amp;"&amp;body="&amp;_xlfn.ENCODEURL("Hi "&amp;$F1037&amp;","&amp;CHAR(10)&amp;"Good day!"&amp;CHAR(10)&amp;CHAR(10)&amp;"A quality monitoring audit has been completed for "&amp;$C1037&amp;"."&amp;CHAR(10)&amp;CHAR(10)&amp;"QUALITY AUDIT DETAILS"&amp;CHAR(10)&amp;"Agent Name: "&amp;$C1037&amp;" (EID "&amp;$D1037&amp;")"&amp;CHAR(10)&amp;"Audit Date: "&amp;TEXT($B1037,"yyyy-mm-dd")&amp;CHAR(10)&amp;"Team Leader: "&amp;$F1037&amp;CHAR(10)&amp;"Case Number: "&amp;$M1037&amp;CHAR(10)&amp;"Transaction ID: "&amp;$N1037&amp;CHAR(10)&amp;"Channel / LOB: "&amp;$K1037&amp;" / "&amp;$L1037&amp;CHAR(10)&amp;"Evaluator: "&amp;$S1037&amp;CHAR(10)&amp;CHAR(10)&amp;"INVALID QUALITY AUDIT DETAILS"&amp;CHAR(10)&amp;"Validation: Invalid"&amp;CHAR(10)&amp;"Invalid Reason: "&amp;$P1037&amp;CHAR(10)&amp;"Expected Resolution Code: "&amp;$Q1037&amp;CHAR(10)&amp;"Remarks: "&amp;LEFT($R1037,600)&amp;CHAR(10)&amp;CHAR(10)&amp;"This is an automated notification from HP Mainstream EQMS."),"✉ Open Email Draft"),"")</f>
        <v/>
      </c>
    </row>
    <row r="1038">
      <c r="A1038" s="25">
        <f>IF($C1038="","","AUD-2026-"&amp;TEXT(ROW()-1,"000000"))</f>
        <v/>
      </c>
      <c r="B1038" s="26" t="n"/>
      <c r="C1038" s="27" t="n"/>
      <c r="D1038" s="25">
        <f>IF($C1038="","",IFERROR(IF(INDEX(Roster!$A:$A,MATCH($C1038,Roster!$B:$B,0))="","",INDEX(Roster!$A:$A,MATCH($C1038,Roster!$B:$B,0))&amp;""),"—"))</f>
        <v/>
      </c>
      <c r="E1038" s="25">
        <f>IF($C1038="","",IFERROR(IF(INDEX(Roster!$C:$C,MATCH($C1038,Roster!$B:$B,0))="","",INDEX(Roster!$C:$C,MATCH($C1038,Roster!$B:$B,0))&amp;""),"—"))</f>
        <v/>
      </c>
      <c r="F1038" s="25">
        <f>IF($C1038="","",IFERROR(IF(INDEX(Roster!$D:$D,MATCH($C1038,Roster!$B:$B,0))="","",INDEX(Roster!$D:$D,MATCH($C1038,Roster!$B:$B,0))&amp;""),"—"))</f>
        <v/>
      </c>
      <c r="G1038" s="25">
        <f>IF($C1038="","",IFERROR(IF(INDEX(Roster!$E:$E,MATCH($C1038,Roster!$B:$B,0))="","",INDEX(Roster!$E:$E,MATCH($C1038,Roster!$B:$B,0))&amp;""),"—"))</f>
        <v/>
      </c>
      <c r="H1038" s="25">
        <f>IF($C1038="","",IFERROR(IF(INDEX(Roster!$F:$F,MATCH($C1038,Roster!$B:$B,0))="","",INDEX(Roster!$F:$F,MATCH($C1038,Roster!$B:$B,0))&amp;""),"—"))</f>
        <v/>
      </c>
      <c r="I1038" s="25">
        <f>IF($C1038="","",IFERROR(IF(INDEX(Roster!$G:$G,MATCH($C1038,Roster!$B:$B,0))="","",INDEX(Roster!$G:$G,MATCH($C1038,Roster!$B:$B,0))&amp;""),"—"))</f>
        <v/>
      </c>
      <c r="J1038" s="25">
        <f>IF($C1038="","",IFERROR(IF(INDEX(Roster!$I:$I,MATCH($C1038,Roster!$B:$B,0))="","",INDEX(Roster!$I:$I,MATCH($C1038,Roster!$B:$B,0))&amp;""),"—"))</f>
        <v/>
      </c>
      <c r="K1038">
        <f>IF($C1038="","",IFERROR(IF(INDEX(Roster!$J:$J,MATCH($C1038,Roster!$B:$B,0))="","",INDEX(Roster!$J:$J,MATCH($C1038,Roster!$B:$B,0))&amp;""),"—"))</f>
        <v/>
      </c>
      <c r="L1038">
        <f>IF($C1038="","",IFERROR(IF(INDEX(Roster!$K:$K,MATCH($C1038,Roster!$B:$B,0))="","",INDEX(Roster!$K:$K,MATCH($C1038,Roster!$B:$B,0))&amp;""),"—"))</f>
        <v/>
      </c>
      <c r="M1038" s="27" t="n"/>
      <c r="N1038" s="27" t="n"/>
      <c r="O1038" s="25">
        <f>IF($C1038="","",IF($P1038="","—",IF($P1038="Valid (Pass)","Valid","Invalid")))</f>
        <v/>
      </c>
      <c r="P1038" s="27" t="n"/>
      <c r="Q1038" s="27" t="n"/>
      <c r="R1038" s="27" t="n"/>
      <c r="S1038" s="27" t="n"/>
      <c r="T1038" s="25">
        <f>IF($C1038="","",IF(OR(ISNUMBER(SEARCH("quick case",$P1038)),ISNUMBER(SEARCH("quick case",$Q1038))),"Yes","No"))</f>
        <v/>
      </c>
      <c r="U1038" s="25">
        <f>IF($O1038="Invalid",HYPERLINK("mailto:"&amp;$G1038&amp;";"&amp;$I1038&amp;"?cc="&amp;Lists!$E$2&amp;"&amp;subject="&amp;_xlfn.ENCODEURL("[INVALID] Quality audit monitoring completed for "&amp;UPPER($C1038))&amp;"&amp;body="&amp;_xlfn.ENCODEURL("Hi "&amp;$F1038&amp;","&amp;CHAR(10)&amp;"Good day!"&amp;CHAR(10)&amp;CHAR(10)&amp;"A quality monitoring audit has been completed for "&amp;$C1038&amp;"."&amp;CHAR(10)&amp;CHAR(10)&amp;"QUALITY AUDIT DETAILS"&amp;CHAR(10)&amp;"Agent Name: "&amp;$C1038&amp;" (EID "&amp;$D1038&amp;")"&amp;CHAR(10)&amp;"Audit Date: "&amp;TEXT($B1038,"yyyy-mm-dd")&amp;CHAR(10)&amp;"Team Leader: "&amp;$F1038&amp;CHAR(10)&amp;"Case Number: "&amp;$M1038&amp;CHAR(10)&amp;"Transaction ID: "&amp;$N1038&amp;CHAR(10)&amp;"Channel / LOB: "&amp;$K1038&amp;" / "&amp;$L1038&amp;CHAR(10)&amp;"Evaluator: "&amp;$S1038&amp;CHAR(10)&amp;CHAR(10)&amp;"INVALID QUALITY AUDIT DETAILS"&amp;CHAR(10)&amp;"Validation: Invalid"&amp;CHAR(10)&amp;"Invalid Reason: "&amp;$P1038&amp;CHAR(10)&amp;"Expected Resolution Code: "&amp;$Q1038&amp;CHAR(10)&amp;"Remarks: "&amp;LEFT($R1038,600)&amp;CHAR(10)&amp;CHAR(10)&amp;"This is an automated notification from HP Mainstream EQMS."),"✉ Open Email Draft"),"")</f>
        <v/>
      </c>
    </row>
    <row r="1039">
      <c r="A1039" s="25">
        <f>IF($C1039="","","AUD-2026-"&amp;TEXT(ROW()-1,"000000"))</f>
        <v/>
      </c>
      <c r="B1039" s="26" t="n"/>
      <c r="C1039" s="27" t="n"/>
      <c r="D1039" s="25">
        <f>IF($C1039="","",IFERROR(IF(INDEX(Roster!$A:$A,MATCH($C1039,Roster!$B:$B,0))="","",INDEX(Roster!$A:$A,MATCH($C1039,Roster!$B:$B,0))&amp;""),"—"))</f>
        <v/>
      </c>
      <c r="E1039" s="25">
        <f>IF($C1039="","",IFERROR(IF(INDEX(Roster!$C:$C,MATCH($C1039,Roster!$B:$B,0))="","",INDEX(Roster!$C:$C,MATCH($C1039,Roster!$B:$B,0))&amp;""),"—"))</f>
        <v/>
      </c>
      <c r="F1039" s="25">
        <f>IF($C1039="","",IFERROR(IF(INDEX(Roster!$D:$D,MATCH($C1039,Roster!$B:$B,0))="","",INDEX(Roster!$D:$D,MATCH($C1039,Roster!$B:$B,0))&amp;""),"—"))</f>
        <v/>
      </c>
      <c r="G1039" s="25">
        <f>IF($C1039="","",IFERROR(IF(INDEX(Roster!$E:$E,MATCH($C1039,Roster!$B:$B,0))="","",INDEX(Roster!$E:$E,MATCH($C1039,Roster!$B:$B,0))&amp;""),"—"))</f>
        <v/>
      </c>
      <c r="H1039" s="25">
        <f>IF($C1039="","",IFERROR(IF(INDEX(Roster!$F:$F,MATCH($C1039,Roster!$B:$B,0))="","",INDEX(Roster!$F:$F,MATCH($C1039,Roster!$B:$B,0))&amp;""),"—"))</f>
        <v/>
      </c>
      <c r="I1039" s="25">
        <f>IF($C1039="","",IFERROR(IF(INDEX(Roster!$G:$G,MATCH($C1039,Roster!$B:$B,0))="","",INDEX(Roster!$G:$G,MATCH($C1039,Roster!$B:$B,0))&amp;""),"—"))</f>
        <v/>
      </c>
      <c r="J1039" s="25">
        <f>IF($C1039="","",IFERROR(IF(INDEX(Roster!$I:$I,MATCH($C1039,Roster!$B:$B,0))="","",INDEX(Roster!$I:$I,MATCH($C1039,Roster!$B:$B,0))&amp;""),"—"))</f>
        <v/>
      </c>
      <c r="K1039">
        <f>IF($C1039="","",IFERROR(IF(INDEX(Roster!$J:$J,MATCH($C1039,Roster!$B:$B,0))="","",INDEX(Roster!$J:$J,MATCH($C1039,Roster!$B:$B,0))&amp;""),"—"))</f>
        <v/>
      </c>
      <c r="L1039">
        <f>IF($C1039="","",IFERROR(IF(INDEX(Roster!$K:$K,MATCH($C1039,Roster!$B:$B,0))="","",INDEX(Roster!$K:$K,MATCH($C1039,Roster!$B:$B,0))&amp;""),"—"))</f>
        <v/>
      </c>
      <c r="M1039" s="27" t="n"/>
      <c r="N1039" s="27" t="n"/>
      <c r="O1039" s="25">
        <f>IF($C1039="","",IF($P1039="","—",IF($P1039="Valid (Pass)","Valid","Invalid")))</f>
        <v/>
      </c>
      <c r="P1039" s="27" t="n"/>
      <c r="Q1039" s="27" t="n"/>
      <c r="R1039" s="27" t="n"/>
      <c r="S1039" s="27" t="n"/>
      <c r="T1039" s="25">
        <f>IF($C1039="","",IF(OR(ISNUMBER(SEARCH("quick case",$P1039)),ISNUMBER(SEARCH("quick case",$Q1039))),"Yes","No"))</f>
        <v/>
      </c>
      <c r="U1039" s="25">
        <f>IF($O1039="Invalid",HYPERLINK("mailto:"&amp;$G1039&amp;";"&amp;$I1039&amp;"?cc="&amp;Lists!$E$2&amp;"&amp;subject="&amp;_xlfn.ENCODEURL("[INVALID] Quality audit monitoring completed for "&amp;UPPER($C1039))&amp;"&amp;body="&amp;_xlfn.ENCODEURL("Hi "&amp;$F1039&amp;","&amp;CHAR(10)&amp;"Good day!"&amp;CHAR(10)&amp;CHAR(10)&amp;"A quality monitoring audit has been completed for "&amp;$C1039&amp;"."&amp;CHAR(10)&amp;CHAR(10)&amp;"QUALITY AUDIT DETAILS"&amp;CHAR(10)&amp;"Agent Name: "&amp;$C1039&amp;" (EID "&amp;$D1039&amp;")"&amp;CHAR(10)&amp;"Audit Date: "&amp;TEXT($B1039,"yyyy-mm-dd")&amp;CHAR(10)&amp;"Team Leader: "&amp;$F1039&amp;CHAR(10)&amp;"Case Number: "&amp;$M1039&amp;CHAR(10)&amp;"Transaction ID: "&amp;$N1039&amp;CHAR(10)&amp;"Channel / LOB: "&amp;$K1039&amp;" / "&amp;$L1039&amp;CHAR(10)&amp;"Evaluator: "&amp;$S1039&amp;CHAR(10)&amp;CHAR(10)&amp;"INVALID QUALITY AUDIT DETAILS"&amp;CHAR(10)&amp;"Validation: Invalid"&amp;CHAR(10)&amp;"Invalid Reason: "&amp;$P1039&amp;CHAR(10)&amp;"Expected Resolution Code: "&amp;$Q1039&amp;CHAR(10)&amp;"Remarks: "&amp;LEFT($R1039,600)&amp;CHAR(10)&amp;CHAR(10)&amp;"This is an automated notification from HP Mainstream EQMS."),"✉ Open Email Draft"),"")</f>
        <v/>
      </c>
    </row>
    <row r="1040">
      <c r="A1040" s="25">
        <f>IF($C1040="","","AUD-2026-"&amp;TEXT(ROW()-1,"000000"))</f>
        <v/>
      </c>
      <c r="B1040" s="26" t="n"/>
      <c r="C1040" s="27" t="n"/>
      <c r="D1040" s="25">
        <f>IF($C1040="","",IFERROR(IF(INDEX(Roster!$A:$A,MATCH($C1040,Roster!$B:$B,0))="","",INDEX(Roster!$A:$A,MATCH($C1040,Roster!$B:$B,0))&amp;""),"—"))</f>
        <v/>
      </c>
      <c r="E1040" s="25">
        <f>IF($C1040="","",IFERROR(IF(INDEX(Roster!$C:$C,MATCH($C1040,Roster!$B:$B,0))="","",INDEX(Roster!$C:$C,MATCH($C1040,Roster!$B:$B,0))&amp;""),"—"))</f>
        <v/>
      </c>
      <c r="F1040" s="25">
        <f>IF($C1040="","",IFERROR(IF(INDEX(Roster!$D:$D,MATCH($C1040,Roster!$B:$B,0))="","",INDEX(Roster!$D:$D,MATCH($C1040,Roster!$B:$B,0))&amp;""),"—"))</f>
        <v/>
      </c>
      <c r="G1040" s="25">
        <f>IF($C1040="","",IFERROR(IF(INDEX(Roster!$E:$E,MATCH($C1040,Roster!$B:$B,0))="","",INDEX(Roster!$E:$E,MATCH($C1040,Roster!$B:$B,0))&amp;""),"—"))</f>
        <v/>
      </c>
      <c r="H1040" s="25">
        <f>IF($C1040="","",IFERROR(IF(INDEX(Roster!$F:$F,MATCH($C1040,Roster!$B:$B,0))="","",INDEX(Roster!$F:$F,MATCH($C1040,Roster!$B:$B,0))&amp;""),"—"))</f>
        <v/>
      </c>
      <c r="I1040" s="25">
        <f>IF($C1040="","",IFERROR(IF(INDEX(Roster!$G:$G,MATCH($C1040,Roster!$B:$B,0))="","",INDEX(Roster!$G:$G,MATCH($C1040,Roster!$B:$B,0))&amp;""),"—"))</f>
        <v/>
      </c>
      <c r="J1040" s="25">
        <f>IF($C1040="","",IFERROR(IF(INDEX(Roster!$I:$I,MATCH($C1040,Roster!$B:$B,0))="","",INDEX(Roster!$I:$I,MATCH($C1040,Roster!$B:$B,0))&amp;""),"—"))</f>
        <v/>
      </c>
      <c r="K1040">
        <f>IF($C1040="","",IFERROR(IF(INDEX(Roster!$J:$J,MATCH($C1040,Roster!$B:$B,0))="","",INDEX(Roster!$J:$J,MATCH($C1040,Roster!$B:$B,0))&amp;""),"—"))</f>
        <v/>
      </c>
      <c r="L1040">
        <f>IF($C1040="","",IFERROR(IF(INDEX(Roster!$K:$K,MATCH($C1040,Roster!$B:$B,0))="","",INDEX(Roster!$K:$K,MATCH($C1040,Roster!$B:$B,0))&amp;""),"—"))</f>
        <v/>
      </c>
      <c r="M1040" s="27" t="n"/>
      <c r="N1040" s="27" t="n"/>
      <c r="O1040" s="25">
        <f>IF($C1040="","",IF($P1040="","—",IF($P1040="Valid (Pass)","Valid","Invalid")))</f>
        <v/>
      </c>
      <c r="P1040" s="27" t="n"/>
      <c r="Q1040" s="27" t="n"/>
      <c r="R1040" s="27" t="n"/>
      <c r="S1040" s="27" t="n"/>
      <c r="T1040" s="25">
        <f>IF($C1040="","",IF(OR(ISNUMBER(SEARCH("quick case",$P1040)),ISNUMBER(SEARCH("quick case",$Q1040))),"Yes","No"))</f>
        <v/>
      </c>
      <c r="U1040" s="25">
        <f>IF($O1040="Invalid",HYPERLINK("mailto:"&amp;$G1040&amp;";"&amp;$I1040&amp;"?cc="&amp;Lists!$E$2&amp;"&amp;subject="&amp;_xlfn.ENCODEURL("[INVALID] Quality audit monitoring completed for "&amp;UPPER($C1040))&amp;"&amp;body="&amp;_xlfn.ENCODEURL("Hi "&amp;$F1040&amp;","&amp;CHAR(10)&amp;"Good day!"&amp;CHAR(10)&amp;CHAR(10)&amp;"A quality monitoring audit has been completed for "&amp;$C1040&amp;"."&amp;CHAR(10)&amp;CHAR(10)&amp;"QUALITY AUDIT DETAILS"&amp;CHAR(10)&amp;"Agent Name: "&amp;$C1040&amp;" (EID "&amp;$D1040&amp;")"&amp;CHAR(10)&amp;"Audit Date: "&amp;TEXT($B1040,"yyyy-mm-dd")&amp;CHAR(10)&amp;"Team Leader: "&amp;$F1040&amp;CHAR(10)&amp;"Case Number: "&amp;$M1040&amp;CHAR(10)&amp;"Transaction ID: "&amp;$N1040&amp;CHAR(10)&amp;"Channel / LOB: "&amp;$K1040&amp;" / "&amp;$L1040&amp;CHAR(10)&amp;"Evaluator: "&amp;$S1040&amp;CHAR(10)&amp;CHAR(10)&amp;"INVALID QUALITY AUDIT DETAILS"&amp;CHAR(10)&amp;"Validation: Invalid"&amp;CHAR(10)&amp;"Invalid Reason: "&amp;$P1040&amp;CHAR(10)&amp;"Expected Resolution Code: "&amp;$Q1040&amp;CHAR(10)&amp;"Remarks: "&amp;LEFT($R1040,600)&amp;CHAR(10)&amp;CHAR(10)&amp;"This is an automated notification from HP Mainstream EQMS."),"✉ Open Email Draft"),"")</f>
        <v/>
      </c>
    </row>
    <row r="1041">
      <c r="A1041" s="25">
        <f>IF($C1041="","","AUD-2026-"&amp;TEXT(ROW()-1,"000000"))</f>
        <v/>
      </c>
      <c r="B1041" s="26" t="n"/>
      <c r="C1041" s="27" t="n"/>
      <c r="D1041" s="25">
        <f>IF($C1041="","",IFERROR(IF(INDEX(Roster!$A:$A,MATCH($C1041,Roster!$B:$B,0))="","",INDEX(Roster!$A:$A,MATCH($C1041,Roster!$B:$B,0))&amp;""),"—"))</f>
        <v/>
      </c>
      <c r="E1041" s="25">
        <f>IF($C1041="","",IFERROR(IF(INDEX(Roster!$C:$C,MATCH($C1041,Roster!$B:$B,0))="","",INDEX(Roster!$C:$C,MATCH($C1041,Roster!$B:$B,0))&amp;""),"—"))</f>
        <v/>
      </c>
      <c r="F1041" s="25">
        <f>IF($C1041="","",IFERROR(IF(INDEX(Roster!$D:$D,MATCH($C1041,Roster!$B:$B,0))="","",INDEX(Roster!$D:$D,MATCH($C1041,Roster!$B:$B,0))&amp;""),"—"))</f>
        <v/>
      </c>
      <c r="G1041" s="25">
        <f>IF($C1041="","",IFERROR(IF(INDEX(Roster!$E:$E,MATCH($C1041,Roster!$B:$B,0))="","",INDEX(Roster!$E:$E,MATCH($C1041,Roster!$B:$B,0))&amp;""),"—"))</f>
        <v/>
      </c>
      <c r="H1041" s="25">
        <f>IF($C1041="","",IFERROR(IF(INDEX(Roster!$F:$F,MATCH($C1041,Roster!$B:$B,0))="","",INDEX(Roster!$F:$F,MATCH($C1041,Roster!$B:$B,0))&amp;""),"—"))</f>
        <v/>
      </c>
      <c r="I1041" s="25">
        <f>IF($C1041="","",IFERROR(IF(INDEX(Roster!$G:$G,MATCH($C1041,Roster!$B:$B,0))="","",INDEX(Roster!$G:$G,MATCH($C1041,Roster!$B:$B,0))&amp;""),"—"))</f>
        <v/>
      </c>
      <c r="J1041" s="25">
        <f>IF($C1041="","",IFERROR(IF(INDEX(Roster!$I:$I,MATCH($C1041,Roster!$B:$B,0))="","",INDEX(Roster!$I:$I,MATCH($C1041,Roster!$B:$B,0))&amp;""),"—"))</f>
        <v/>
      </c>
      <c r="K1041">
        <f>IF($C1041="","",IFERROR(IF(INDEX(Roster!$J:$J,MATCH($C1041,Roster!$B:$B,0))="","",INDEX(Roster!$J:$J,MATCH($C1041,Roster!$B:$B,0))&amp;""),"—"))</f>
        <v/>
      </c>
      <c r="L1041">
        <f>IF($C1041="","",IFERROR(IF(INDEX(Roster!$K:$K,MATCH($C1041,Roster!$B:$B,0))="","",INDEX(Roster!$K:$K,MATCH($C1041,Roster!$B:$B,0))&amp;""),"—"))</f>
        <v/>
      </c>
      <c r="M1041" s="27" t="n"/>
      <c r="N1041" s="27" t="n"/>
      <c r="O1041" s="25">
        <f>IF($C1041="","",IF($P1041="","—",IF($P1041="Valid (Pass)","Valid","Invalid")))</f>
        <v/>
      </c>
      <c r="P1041" s="27" t="n"/>
      <c r="Q1041" s="27" t="n"/>
      <c r="R1041" s="27" t="n"/>
      <c r="S1041" s="27" t="n"/>
      <c r="T1041" s="25">
        <f>IF($C1041="","",IF(OR(ISNUMBER(SEARCH("quick case",$P1041)),ISNUMBER(SEARCH("quick case",$Q1041))),"Yes","No"))</f>
        <v/>
      </c>
      <c r="U1041" s="25">
        <f>IF($O1041="Invalid",HYPERLINK("mailto:"&amp;$G1041&amp;";"&amp;$I1041&amp;"?cc="&amp;Lists!$E$2&amp;"&amp;subject="&amp;_xlfn.ENCODEURL("[INVALID] Quality audit monitoring completed for "&amp;UPPER($C1041))&amp;"&amp;body="&amp;_xlfn.ENCODEURL("Hi "&amp;$F1041&amp;","&amp;CHAR(10)&amp;"Good day!"&amp;CHAR(10)&amp;CHAR(10)&amp;"A quality monitoring audit has been completed for "&amp;$C1041&amp;"."&amp;CHAR(10)&amp;CHAR(10)&amp;"QUALITY AUDIT DETAILS"&amp;CHAR(10)&amp;"Agent Name: "&amp;$C1041&amp;" (EID "&amp;$D1041&amp;")"&amp;CHAR(10)&amp;"Audit Date: "&amp;TEXT($B1041,"yyyy-mm-dd")&amp;CHAR(10)&amp;"Team Leader: "&amp;$F1041&amp;CHAR(10)&amp;"Case Number: "&amp;$M1041&amp;CHAR(10)&amp;"Transaction ID: "&amp;$N1041&amp;CHAR(10)&amp;"Channel / LOB: "&amp;$K1041&amp;" / "&amp;$L1041&amp;CHAR(10)&amp;"Evaluator: "&amp;$S1041&amp;CHAR(10)&amp;CHAR(10)&amp;"INVALID QUALITY AUDIT DETAILS"&amp;CHAR(10)&amp;"Validation: Invalid"&amp;CHAR(10)&amp;"Invalid Reason: "&amp;$P1041&amp;CHAR(10)&amp;"Expected Resolution Code: "&amp;$Q1041&amp;CHAR(10)&amp;"Remarks: "&amp;LEFT($R1041,600)&amp;CHAR(10)&amp;CHAR(10)&amp;"This is an automated notification from HP Mainstream EQMS."),"✉ Open Email Draft"),"")</f>
        <v/>
      </c>
    </row>
    <row r="1042">
      <c r="A1042" s="25">
        <f>IF($C1042="","","AUD-2026-"&amp;TEXT(ROW()-1,"000000"))</f>
        <v/>
      </c>
      <c r="B1042" s="26" t="n"/>
      <c r="C1042" s="27" t="n"/>
      <c r="D1042" s="25">
        <f>IF($C1042="","",IFERROR(IF(INDEX(Roster!$A:$A,MATCH($C1042,Roster!$B:$B,0))="","",INDEX(Roster!$A:$A,MATCH($C1042,Roster!$B:$B,0))&amp;""),"—"))</f>
        <v/>
      </c>
      <c r="E1042" s="25">
        <f>IF($C1042="","",IFERROR(IF(INDEX(Roster!$C:$C,MATCH($C1042,Roster!$B:$B,0))="","",INDEX(Roster!$C:$C,MATCH($C1042,Roster!$B:$B,0))&amp;""),"—"))</f>
        <v/>
      </c>
      <c r="F1042" s="25">
        <f>IF($C1042="","",IFERROR(IF(INDEX(Roster!$D:$D,MATCH($C1042,Roster!$B:$B,0))="","",INDEX(Roster!$D:$D,MATCH($C1042,Roster!$B:$B,0))&amp;""),"—"))</f>
        <v/>
      </c>
      <c r="G1042" s="25">
        <f>IF($C1042="","",IFERROR(IF(INDEX(Roster!$E:$E,MATCH($C1042,Roster!$B:$B,0))="","",INDEX(Roster!$E:$E,MATCH($C1042,Roster!$B:$B,0))&amp;""),"—"))</f>
        <v/>
      </c>
      <c r="H1042" s="25">
        <f>IF($C1042="","",IFERROR(IF(INDEX(Roster!$F:$F,MATCH($C1042,Roster!$B:$B,0))="","",INDEX(Roster!$F:$F,MATCH($C1042,Roster!$B:$B,0))&amp;""),"—"))</f>
        <v/>
      </c>
      <c r="I1042" s="25">
        <f>IF($C1042="","",IFERROR(IF(INDEX(Roster!$G:$G,MATCH($C1042,Roster!$B:$B,0))="","",INDEX(Roster!$G:$G,MATCH($C1042,Roster!$B:$B,0))&amp;""),"—"))</f>
        <v/>
      </c>
      <c r="J1042" s="25">
        <f>IF($C1042="","",IFERROR(IF(INDEX(Roster!$I:$I,MATCH($C1042,Roster!$B:$B,0))="","",INDEX(Roster!$I:$I,MATCH($C1042,Roster!$B:$B,0))&amp;""),"—"))</f>
        <v/>
      </c>
      <c r="K1042">
        <f>IF($C1042="","",IFERROR(IF(INDEX(Roster!$J:$J,MATCH($C1042,Roster!$B:$B,0))="","",INDEX(Roster!$J:$J,MATCH($C1042,Roster!$B:$B,0))&amp;""),"—"))</f>
        <v/>
      </c>
      <c r="L1042">
        <f>IF($C1042="","",IFERROR(IF(INDEX(Roster!$K:$K,MATCH($C1042,Roster!$B:$B,0))="","",INDEX(Roster!$K:$K,MATCH($C1042,Roster!$B:$B,0))&amp;""),"—"))</f>
        <v/>
      </c>
      <c r="M1042" s="27" t="n"/>
      <c r="N1042" s="27" t="n"/>
      <c r="O1042" s="25">
        <f>IF($C1042="","",IF($P1042="","—",IF($P1042="Valid (Pass)","Valid","Invalid")))</f>
        <v/>
      </c>
      <c r="P1042" s="27" t="n"/>
      <c r="Q1042" s="27" t="n"/>
      <c r="R1042" s="27" t="n"/>
      <c r="S1042" s="27" t="n"/>
      <c r="T1042" s="25">
        <f>IF($C1042="","",IF(OR(ISNUMBER(SEARCH("quick case",$P1042)),ISNUMBER(SEARCH("quick case",$Q1042))),"Yes","No"))</f>
        <v/>
      </c>
      <c r="U1042" s="25">
        <f>IF($O1042="Invalid",HYPERLINK("mailto:"&amp;$G1042&amp;";"&amp;$I1042&amp;"?cc="&amp;Lists!$E$2&amp;"&amp;subject="&amp;_xlfn.ENCODEURL("[INVALID] Quality audit monitoring completed for "&amp;UPPER($C1042))&amp;"&amp;body="&amp;_xlfn.ENCODEURL("Hi "&amp;$F1042&amp;","&amp;CHAR(10)&amp;"Good day!"&amp;CHAR(10)&amp;CHAR(10)&amp;"A quality monitoring audit has been completed for "&amp;$C1042&amp;"."&amp;CHAR(10)&amp;CHAR(10)&amp;"QUALITY AUDIT DETAILS"&amp;CHAR(10)&amp;"Agent Name: "&amp;$C1042&amp;" (EID "&amp;$D1042&amp;")"&amp;CHAR(10)&amp;"Audit Date: "&amp;TEXT($B1042,"yyyy-mm-dd")&amp;CHAR(10)&amp;"Team Leader: "&amp;$F1042&amp;CHAR(10)&amp;"Case Number: "&amp;$M1042&amp;CHAR(10)&amp;"Transaction ID: "&amp;$N1042&amp;CHAR(10)&amp;"Channel / LOB: "&amp;$K1042&amp;" / "&amp;$L1042&amp;CHAR(10)&amp;"Evaluator: "&amp;$S1042&amp;CHAR(10)&amp;CHAR(10)&amp;"INVALID QUALITY AUDIT DETAILS"&amp;CHAR(10)&amp;"Validation: Invalid"&amp;CHAR(10)&amp;"Invalid Reason: "&amp;$P1042&amp;CHAR(10)&amp;"Expected Resolution Code: "&amp;$Q1042&amp;CHAR(10)&amp;"Remarks: "&amp;LEFT($R1042,600)&amp;CHAR(10)&amp;CHAR(10)&amp;"This is an automated notification from HP Mainstream EQMS."),"✉ Open Email Draft"),"")</f>
        <v/>
      </c>
    </row>
    <row r="1043">
      <c r="A1043" s="25">
        <f>IF($C1043="","","AUD-2026-"&amp;TEXT(ROW()-1,"000000"))</f>
        <v/>
      </c>
      <c r="B1043" s="26" t="n"/>
      <c r="C1043" s="27" t="n"/>
      <c r="D1043" s="25">
        <f>IF($C1043="","",IFERROR(IF(INDEX(Roster!$A:$A,MATCH($C1043,Roster!$B:$B,0))="","",INDEX(Roster!$A:$A,MATCH($C1043,Roster!$B:$B,0))&amp;""),"—"))</f>
        <v/>
      </c>
      <c r="E1043" s="25">
        <f>IF($C1043="","",IFERROR(IF(INDEX(Roster!$C:$C,MATCH($C1043,Roster!$B:$B,0))="","",INDEX(Roster!$C:$C,MATCH($C1043,Roster!$B:$B,0))&amp;""),"—"))</f>
        <v/>
      </c>
      <c r="F1043" s="25">
        <f>IF($C1043="","",IFERROR(IF(INDEX(Roster!$D:$D,MATCH($C1043,Roster!$B:$B,0))="","",INDEX(Roster!$D:$D,MATCH($C1043,Roster!$B:$B,0))&amp;""),"—"))</f>
        <v/>
      </c>
      <c r="G1043" s="25">
        <f>IF($C1043="","",IFERROR(IF(INDEX(Roster!$E:$E,MATCH($C1043,Roster!$B:$B,0))="","",INDEX(Roster!$E:$E,MATCH($C1043,Roster!$B:$B,0))&amp;""),"—"))</f>
        <v/>
      </c>
      <c r="H1043" s="25">
        <f>IF($C1043="","",IFERROR(IF(INDEX(Roster!$F:$F,MATCH($C1043,Roster!$B:$B,0))="","",INDEX(Roster!$F:$F,MATCH($C1043,Roster!$B:$B,0))&amp;""),"—"))</f>
        <v/>
      </c>
      <c r="I1043" s="25">
        <f>IF($C1043="","",IFERROR(IF(INDEX(Roster!$G:$G,MATCH($C1043,Roster!$B:$B,0))="","",INDEX(Roster!$G:$G,MATCH($C1043,Roster!$B:$B,0))&amp;""),"—"))</f>
        <v/>
      </c>
      <c r="J1043" s="25">
        <f>IF($C1043="","",IFERROR(IF(INDEX(Roster!$I:$I,MATCH($C1043,Roster!$B:$B,0))="","",INDEX(Roster!$I:$I,MATCH($C1043,Roster!$B:$B,0))&amp;""),"—"))</f>
        <v/>
      </c>
      <c r="K1043">
        <f>IF($C1043="","",IFERROR(IF(INDEX(Roster!$J:$J,MATCH($C1043,Roster!$B:$B,0))="","",INDEX(Roster!$J:$J,MATCH($C1043,Roster!$B:$B,0))&amp;""),"—"))</f>
        <v/>
      </c>
      <c r="L1043">
        <f>IF($C1043="","",IFERROR(IF(INDEX(Roster!$K:$K,MATCH($C1043,Roster!$B:$B,0))="","",INDEX(Roster!$K:$K,MATCH($C1043,Roster!$B:$B,0))&amp;""),"—"))</f>
        <v/>
      </c>
      <c r="M1043" s="27" t="n"/>
      <c r="N1043" s="27" t="n"/>
      <c r="O1043" s="25">
        <f>IF($C1043="","",IF($P1043="","—",IF($P1043="Valid (Pass)","Valid","Invalid")))</f>
        <v/>
      </c>
      <c r="P1043" s="27" t="n"/>
      <c r="Q1043" s="27" t="n"/>
      <c r="R1043" s="27" t="n"/>
      <c r="S1043" s="27" t="n"/>
      <c r="T1043" s="25">
        <f>IF($C1043="","",IF(OR(ISNUMBER(SEARCH("quick case",$P1043)),ISNUMBER(SEARCH("quick case",$Q1043))),"Yes","No"))</f>
        <v/>
      </c>
      <c r="U1043" s="25">
        <f>IF($O1043="Invalid",HYPERLINK("mailto:"&amp;$G1043&amp;";"&amp;$I1043&amp;"?cc="&amp;Lists!$E$2&amp;"&amp;subject="&amp;_xlfn.ENCODEURL("[INVALID] Quality audit monitoring completed for "&amp;UPPER($C1043))&amp;"&amp;body="&amp;_xlfn.ENCODEURL("Hi "&amp;$F1043&amp;","&amp;CHAR(10)&amp;"Good day!"&amp;CHAR(10)&amp;CHAR(10)&amp;"A quality monitoring audit has been completed for "&amp;$C1043&amp;"."&amp;CHAR(10)&amp;CHAR(10)&amp;"QUALITY AUDIT DETAILS"&amp;CHAR(10)&amp;"Agent Name: "&amp;$C1043&amp;" (EID "&amp;$D1043&amp;")"&amp;CHAR(10)&amp;"Audit Date: "&amp;TEXT($B1043,"yyyy-mm-dd")&amp;CHAR(10)&amp;"Team Leader: "&amp;$F1043&amp;CHAR(10)&amp;"Case Number: "&amp;$M1043&amp;CHAR(10)&amp;"Transaction ID: "&amp;$N1043&amp;CHAR(10)&amp;"Channel / LOB: "&amp;$K1043&amp;" / "&amp;$L1043&amp;CHAR(10)&amp;"Evaluator: "&amp;$S1043&amp;CHAR(10)&amp;CHAR(10)&amp;"INVALID QUALITY AUDIT DETAILS"&amp;CHAR(10)&amp;"Validation: Invalid"&amp;CHAR(10)&amp;"Invalid Reason: "&amp;$P1043&amp;CHAR(10)&amp;"Expected Resolution Code: "&amp;$Q1043&amp;CHAR(10)&amp;"Remarks: "&amp;LEFT($R1043,600)&amp;CHAR(10)&amp;CHAR(10)&amp;"This is an automated notification from HP Mainstream EQMS."),"✉ Open Email Draft"),"")</f>
        <v/>
      </c>
    </row>
    <row r="1044">
      <c r="A1044" s="25">
        <f>IF($C1044="","","AUD-2026-"&amp;TEXT(ROW()-1,"000000"))</f>
        <v/>
      </c>
      <c r="B1044" s="26" t="n"/>
      <c r="C1044" s="27" t="n"/>
      <c r="D1044" s="25">
        <f>IF($C1044="","",IFERROR(IF(INDEX(Roster!$A:$A,MATCH($C1044,Roster!$B:$B,0))="","",INDEX(Roster!$A:$A,MATCH($C1044,Roster!$B:$B,0))&amp;""),"—"))</f>
        <v/>
      </c>
      <c r="E1044" s="25">
        <f>IF($C1044="","",IFERROR(IF(INDEX(Roster!$C:$C,MATCH($C1044,Roster!$B:$B,0))="","",INDEX(Roster!$C:$C,MATCH($C1044,Roster!$B:$B,0))&amp;""),"—"))</f>
        <v/>
      </c>
      <c r="F1044" s="25">
        <f>IF($C1044="","",IFERROR(IF(INDEX(Roster!$D:$D,MATCH($C1044,Roster!$B:$B,0))="","",INDEX(Roster!$D:$D,MATCH($C1044,Roster!$B:$B,0))&amp;""),"—"))</f>
        <v/>
      </c>
      <c r="G1044" s="25">
        <f>IF($C1044="","",IFERROR(IF(INDEX(Roster!$E:$E,MATCH($C1044,Roster!$B:$B,0))="","",INDEX(Roster!$E:$E,MATCH($C1044,Roster!$B:$B,0))&amp;""),"—"))</f>
        <v/>
      </c>
      <c r="H1044" s="25">
        <f>IF($C1044="","",IFERROR(IF(INDEX(Roster!$F:$F,MATCH($C1044,Roster!$B:$B,0))="","",INDEX(Roster!$F:$F,MATCH($C1044,Roster!$B:$B,0))&amp;""),"—"))</f>
        <v/>
      </c>
      <c r="I1044" s="25">
        <f>IF($C1044="","",IFERROR(IF(INDEX(Roster!$G:$G,MATCH($C1044,Roster!$B:$B,0))="","",INDEX(Roster!$G:$G,MATCH($C1044,Roster!$B:$B,0))&amp;""),"—"))</f>
        <v/>
      </c>
      <c r="J1044" s="25">
        <f>IF($C1044="","",IFERROR(IF(INDEX(Roster!$I:$I,MATCH($C1044,Roster!$B:$B,0))="","",INDEX(Roster!$I:$I,MATCH($C1044,Roster!$B:$B,0))&amp;""),"—"))</f>
        <v/>
      </c>
      <c r="K1044">
        <f>IF($C1044="","",IFERROR(IF(INDEX(Roster!$J:$J,MATCH($C1044,Roster!$B:$B,0))="","",INDEX(Roster!$J:$J,MATCH($C1044,Roster!$B:$B,0))&amp;""),"—"))</f>
        <v/>
      </c>
      <c r="L1044">
        <f>IF($C1044="","",IFERROR(IF(INDEX(Roster!$K:$K,MATCH($C1044,Roster!$B:$B,0))="","",INDEX(Roster!$K:$K,MATCH($C1044,Roster!$B:$B,0))&amp;""),"—"))</f>
        <v/>
      </c>
      <c r="M1044" s="27" t="n"/>
      <c r="N1044" s="27" t="n"/>
      <c r="O1044" s="25">
        <f>IF($C1044="","",IF($P1044="","—",IF($P1044="Valid (Pass)","Valid","Invalid")))</f>
        <v/>
      </c>
      <c r="P1044" s="27" t="n"/>
      <c r="Q1044" s="27" t="n"/>
      <c r="R1044" s="27" t="n"/>
      <c r="S1044" s="27" t="n"/>
      <c r="T1044" s="25">
        <f>IF($C1044="","",IF(OR(ISNUMBER(SEARCH("quick case",$P1044)),ISNUMBER(SEARCH("quick case",$Q1044))),"Yes","No"))</f>
        <v/>
      </c>
      <c r="U1044" s="25">
        <f>IF($O1044="Invalid",HYPERLINK("mailto:"&amp;$G1044&amp;";"&amp;$I1044&amp;"?cc="&amp;Lists!$E$2&amp;"&amp;subject="&amp;_xlfn.ENCODEURL("[INVALID] Quality audit monitoring completed for "&amp;UPPER($C1044))&amp;"&amp;body="&amp;_xlfn.ENCODEURL("Hi "&amp;$F1044&amp;","&amp;CHAR(10)&amp;"Good day!"&amp;CHAR(10)&amp;CHAR(10)&amp;"A quality monitoring audit has been completed for "&amp;$C1044&amp;"."&amp;CHAR(10)&amp;CHAR(10)&amp;"QUALITY AUDIT DETAILS"&amp;CHAR(10)&amp;"Agent Name: "&amp;$C1044&amp;" (EID "&amp;$D1044&amp;")"&amp;CHAR(10)&amp;"Audit Date: "&amp;TEXT($B1044,"yyyy-mm-dd")&amp;CHAR(10)&amp;"Team Leader: "&amp;$F1044&amp;CHAR(10)&amp;"Case Number: "&amp;$M1044&amp;CHAR(10)&amp;"Transaction ID: "&amp;$N1044&amp;CHAR(10)&amp;"Channel / LOB: "&amp;$K1044&amp;" / "&amp;$L1044&amp;CHAR(10)&amp;"Evaluator: "&amp;$S1044&amp;CHAR(10)&amp;CHAR(10)&amp;"INVALID QUALITY AUDIT DETAILS"&amp;CHAR(10)&amp;"Validation: Invalid"&amp;CHAR(10)&amp;"Invalid Reason: "&amp;$P1044&amp;CHAR(10)&amp;"Expected Resolution Code: "&amp;$Q1044&amp;CHAR(10)&amp;"Remarks: "&amp;LEFT($R1044,600)&amp;CHAR(10)&amp;CHAR(10)&amp;"This is an automated notification from HP Mainstream EQMS."),"✉ Open Email Draft"),"")</f>
        <v/>
      </c>
    </row>
    <row r="1045">
      <c r="A1045" s="25">
        <f>IF($C1045="","","AUD-2026-"&amp;TEXT(ROW()-1,"000000"))</f>
        <v/>
      </c>
      <c r="B1045" s="26" t="n"/>
      <c r="C1045" s="27" t="n"/>
      <c r="D1045" s="25">
        <f>IF($C1045="","",IFERROR(IF(INDEX(Roster!$A:$A,MATCH($C1045,Roster!$B:$B,0))="","",INDEX(Roster!$A:$A,MATCH($C1045,Roster!$B:$B,0))&amp;""),"—"))</f>
        <v/>
      </c>
      <c r="E1045" s="25">
        <f>IF($C1045="","",IFERROR(IF(INDEX(Roster!$C:$C,MATCH($C1045,Roster!$B:$B,0))="","",INDEX(Roster!$C:$C,MATCH($C1045,Roster!$B:$B,0))&amp;""),"—"))</f>
        <v/>
      </c>
      <c r="F1045" s="25">
        <f>IF($C1045="","",IFERROR(IF(INDEX(Roster!$D:$D,MATCH($C1045,Roster!$B:$B,0))="","",INDEX(Roster!$D:$D,MATCH($C1045,Roster!$B:$B,0))&amp;""),"—"))</f>
        <v/>
      </c>
      <c r="G1045" s="25">
        <f>IF($C1045="","",IFERROR(IF(INDEX(Roster!$E:$E,MATCH($C1045,Roster!$B:$B,0))="","",INDEX(Roster!$E:$E,MATCH($C1045,Roster!$B:$B,0))&amp;""),"—"))</f>
        <v/>
      </c>
      <c r="H1045" s="25">
        <f>IF($C1045="","",IFERROR(IF(INDEX(Roster!$F:$F,MATCH($C1045,Roster!$B:$B,0))="","",INDEX(Roster!$F:$F,MATCH($C1045,Roster!$B:$B,0))&amp;""),"—"))</f>
        <v/>
      </c>
      <c r="I1045" s="25">
        <f>IF($C1045="","",IFERROR(IF(INDEX(Roster!$G:$G,MATCH($C1045,Roster!$B:$B,0))="","",INDEX(Roster!$G:$G,MATCH($C1045,Roster!$B:$B,0))&amp;""),"—"))</f>
        <v/>
      </c>
      <c r="J1045" s="25">
        <f>IF($C1045="","",IFERROR(IF(INDEX(Roster!$I:$I,MATCH($C1045,Roster!$B:$B,0))="","",INDEX(Roster!$I:$I,MATCH($C1045,Roster!$B:$B,0))&amp;""),"—"))</f>
        <v/>
      </c>
      <c r="K1045">
        <f>IF($C1045="","",IFERROR(IF(INDEX(Roster!$J:$J,MATCH($C1045,Roster!$B:$B,0))="","",INDEX(Roster!$J:$J,MATCH($C1045,Roster!$B:$B,0))&amp;""),"—"))</f>
        <v/>
      </c>
      <c r="L1045">
        <f>IF($C1045="","",IFERROR(IF(INDEX(Roster!$K:$K,MATCH($C1045,Roster!$B:$B,0))="","",INDEX(Roster!$K:$K,MATCH($C1045,Roster!$B:$B,0))&amp;""),"—"))</f>
        <v/>
      </c>
      <c r="M1045" s="27" t="n"/>
      <c r="N1045" s="27" t="n"/>
      <c r="O1045" s="25">
        <f>IF($C1045="","",IF($P1045="","—",IF($P1045="Valid (Pass)","Valid","Invalid")))</f>
        <v/>
      </c>
      <c r="P1045" s="27" t="n"/>
      <c r="Q1045" s="27" t="n"/>
      <c r="R1045" s="27" t="n"/>
      <c r="S1045" s="27" t="n"/>
      <c r="T1045" s="25">
        <f>IF($C1045="","",IF(OR(ISNUMBER(SEARCH("quick case",$P1045)),ISNUMBER(SEARCH("quick case",$Q1045))),"Yes","No"))</f>
        <v/>
      </c>
      <c r="U1045" s="25">
        <f>IF($O1045="Invalid",HYPERLINK("mailto:"&amp;$G1045&amp;";"&amp;$I1045&amp;"?cc="&amp;Lists!$E$2&amp;"&amp;subject="&amp;_xlfn.ENCODEURL("[INVALID] Quality audit monitoring completed for "&amp;UPPER($C1045))&amp;"&amp;body="&amp;_xlfn.ENCODEURL("Hi "&amp;$F1045&amp;","&amp;CHAR(10)&amp;"Good day!"&amp;CHAR(10)&amp;CHAR(10)&amp;"A quality monitoring audit has been completed for "&amp;$C1045&amp;"."&amp;CHAR(10)&amp;CHAR(10)&amp;"QUALITY AUDIT DETAILS"&amp;CHAR(10)&amp;"Agent Name: "&amp;$C1045&amp;" (EID "&amp;$D1045&amp;")"&amp;CHAR(10)&amp;"Audit Date: "&amp;TEXT($B1045,"yyyy-mm-dd")&amp;CHAR(10)&amp;"Team Leader: "&amp;$F1045&amp;CHAR(10)&amp;"Case Number: "&amp;$M1045&amp;CHAR(10)&amp;"Transaction ID: "&amp;$N1045&amp;CHAR(10)&amp;"Channel / LOB: "&amp;$K1045&amp;" / "&amp;$L1045&amp;CHAR(10)&amp;"Evaluator: "&amp;$S1045&amp;CHAR(10)&amp;CHAR(10)&amp;"INVALID QUALITY AUDIT DETAILS"&amp;CHAR(10)&amp;"Validation: Invalid"&amp;CHAR(10)&amp;"Invalid Reason: "&amp;$P1045&amp;CHAR(10)&amp;"Expected Resolution Code: "&amp;$Q1045&amp;CHAR(10)&amp;"Remarks: "&amp;LEFT($R1045,600)&amp;CHAR(10)&amp;CHAR(10)&amp;"This is an automated notification from HP Mainstream EQMS."),"✉ Open Email Draft"),"")</f>
        <v/>
      </c>
    </row>
    <row r="1046">
      <c r="A1046" s="25">
        <f>IF($C1046="","","AUD-2026-"&amp;TEXT(ROW()-1,"000000"))</f>
        <v/>
      </c>
      <c r="B1046" s="26" t="n"/>
      <c r="C1046" s="27" t="n"/>
      <c r="D1046" s="25">
        <f>IF($C1046="","",IFERROR(IF(INDEX(Roster!$A:$A,MATCH($C1046,Roster!$B:$B,0))="","",INDEX(Roster!$A:$A,MATCH($C1046,Roster!$B:$B,0))&amp;""),"—"))</f>
        <v/>
      </c>
      <c r="E1046" s="25">
        <f>IF($C1046="","",IFERROR(IF(INDEX(Roster!$C:$C,MATCH($C1046,Roster!$B:$B,0))="","",INDEX(Roster!$C:$C,MATCH($C1046,Roster!$B:$B,0))&amp;""),"—"))</f>
        <v/>
      </c>
      <c r="F1046" s="25">
        <f>IF($C1046="","",IFERROR(IF(INDEX(Roster!$D:$D,MATCH($C1046,Roster!$B:$B,0))="","",INDEX(Roster!$D:$D,MATCH($C1046,Roster!$B:$B,0))&amp;""),"—"))</f>
        <v/>
      </c>
      <c r="G1046" s="25">
        <f>IF($C1046="","",IFERROR(IF(INDEX(Roster!$E:$E,MATCH($C1046,Roster!$B:$B,0))="","",INDEX(Roster!$E:$E,MATCH($C1046,Roster!$B:$B,0))&amp;""),"—"))</f>
        <v/>
      </c>
      <c r="H1046" s="25">
        <f>IF($C1046="","",IFERROR(IF(INDEX(Roster!$F:$F,MATCH($C1046,Roster!$B:$B,0))="","",INDEX(Roster!$F:$F,MATCH($C1046,Roster!$B:$B,0))&amp;""),"—"))</f>
        <v/>
      </c>
      <c r="I1046" s="25">
        <f>IF($C1046="","",IFERROR(IF(INDEX(Roster!$G:$G,MATCH($C1046,Roster!$B:$B,0))="","",INDEX(Roster!$G:$G,MATCH($C1046,Roster!$B:$B,0))&amp;""),"—"))</f>
        <v/>
      </c>
      <c r="J1046" s="25">
        <f>IF($C1046="","",IFERROR(IF(INDEX(Roster!$I:$I,MATCH($C1046,Roster!$B:$B,0))="","",INDEX(Roster!$I:$I,MATCH($C1046,Roster!$B:$B,0))&amp;""),"—"))</f>
        <v/>
      </c>
      <c r="K1046">
        <f>IF($C1046="","",IFERROR(IF(INDEX(Roster!$J:$J,MATCH($C1046,Roster!$B:$B,0))="","",INDEX(Roster!$J:$J,MATCH($C1046,Roster!$B:$B,0))&amp;""),"—"))</f>
        <v/>
      </c>
      <c r="L1046">
        <f>IF($C1046="","",IFERROR(IF(INDEX(Roster!$K:$K,MATCH($C1046,Roster!$B:$B,0))="","",INDEX(Roster!$K:$K,MATCH($C1046,Roster!$B:$B,0))&amp;""),"—"))</f>
        <v/>
      </c>
      <c r="M1046" s="27" t="n"/>
      <c r="N1046" s="27" t="n"/>
      <c r="O1046" s="25">
        <f>IF($C1046="","",IF($P1046="","—",IF($P1046="Valid (Pass)","Valid","Invalid")))</f>
        <v/>
      </c>
      <c r="P1046" s="27" t="n"/>
      <c r="Q1046" s="27" t="n"/>
      <c r="R1046" s="27" t="n"/>
      <c r="S1046" s="27" t="n"/>
      <c r="T1046" s="25">
        <f>IF($C1046="","",IF(OR(ISNUMBER(SEARCH("quick case",$P1046)),ISNUMBER(SEARCH("quick case",$Q1046))),"Yes","No"))</f>
        <v/>
      </c>
      <c r="U1046" s="25">
        <f>IF($O1046="Invalid",HYPERLINK("mailto:"&amp;$G1046&amp;";"&amp;$I1046&amp;"?cc="&amp;Lists!$E$2&amp;"&amp;subject="&amp;_xlfn.ENCODEURL("[INVALID] Quality audit monitoring completed for "&amp;UPPER($C1046))&amp;"&amp;body="&amp;_xlfn.ENCODEURL("Hi "&amp;$F1046&amp;","&amp;CHAR(10)&amp;"Good day!"&amp;CHAR(10)&amp;CHAR(10)&amp;"A quality monitoring audit has been completed for "&amp;$C1046&amp;"."&amp;CHAR(10)&amp;CHAR(10)&amp;"QUALITY AUDIT DETAILS"&amp;CHAR(10)&amp;"Agent Name: "&amp;$C1046&amp;" (EID "&amp;$D1046&amp;")"&amp;CHAR(10)&amp;"Audit Date: "&amp;TEXT($B1046,"yyyy-mm-dd")&amp;CHAR(10)&amp;"Team Leader: "&amp;$F1046&amp;CHAR(10)&amp;"Case Number: "&amp;$M1046&amp;CHAR(10)&amp;"Transaction ID: "&amp;$N1046&amp;CHAR(10)&amp;"Channel / LOB: "&amp;$K1046&amp;" / "&amp;$L1046&amp;CHAR(10)&amp;"Evaluator: "&amp;$S1046&amp;CHAR(10)&amp;CHAR(10)&amp;"INVALID QUALITY AUDIT DETAILS"&amp;CHAR(10)&amp;"Validation: Invalid"&amp;CHAR(10)&amp;"Invalid Reason: "&amp;$P1046&amp;CHAR(10)&amp;"Expected Resolution Code: "&amp;$Q1046&amp;CHAR(10)&amp;"Remarks: "&amp;LEFT($R1046,600)&amp;CHAR(10)&amp;CHAR(10)&amp;"This is an automated notification from HP Mainstream EQMS."),"✉ Open Email Draft"),"")</f>
        <v/>
      </c>
    </row>
    <row r="1047">
      <c r="A1047" s="25">
        <f>IF($C1047="","","AUD-2026-"&amp;TEXT(ROW()-1,"000000"))</f>
        <v/>
      </c>
      <c r="B1047" s="26" t="n"/>
      <c r="C1047" s="27" t="n"/>
      <c r="D1047" s="25">
        <f>IF($C1047="","",IFERROR(IF(INDEX(Roster!$A:$A,MATCH($C1047,Roster!$B:$B,0))="","",INDEX(Roster!$A:$A,MATCH($C1047,Roster!$B:$B,0))&amp;""),"—"))</f>
        <v/>
      </c>
      <c r="E1047" s="25">
        <f>IF($C1047="","",IFERROR(IF(INDEX(Roster!$C:$C,MATCH($C1047,Roster!$B:$B,0))="","",INDEX(Roster!$C:$C,MATCH($C1047,Roster!$B:$B,0))&amp;""),"—"))</f>
        <v/>
      </c>
      <c r="F1047" s="25">
        <f>IF($C1047="","",IFERROR(IF(INDEX(Roster!$D:$D,MATCH($C1047,Roster!$B:$B,0))="","",INDEX(Roster!$D:$D,MATCH($C1047,Roster!$B:$B,0))&amp;""),"—"))</f>
        <v/>
      </c>
      <c r="G1047" s="25">
        <f>IF($C1047="","",IFERROR(IF(INDEX(Roster!$E:$E,MATCH($C1047,Roster!$B:$B,0))="","",INDEX(Roster!$E:$E,MATCH($C1047,Roster!$B:$B,0))&amp;""),"—"))</f>
        <v/>
      </c>
      <c r="H1047" s="25">
        <f>IF($C1047="","",IFERROR(IF(INDEX(Roster!$F:$F,MATCH($C1047,Roster!$B:$B,0))="","",INDEX(Roster!$F:$F,MATCH($C1047,Roster!$B:$B,0))&amp;""),"—"))</f>
        <v/>
      </c>
      <c r="I1047" s="25">
        <f>IF($C1047="","",IFERROR(IF(INDEX(Roster!$G:$G,MATCH($C1047,Roster!$B:$B,0))="","",INDEX(Roster!$G:$G,MATCH($C1047,Roster!$B:$B,0))&amp;""),"—"))</f>
        <v/>
      </c>
      <c r="J1047" s="25">
        <f>IF($C1047="","",IFERROR(IF(INDEX(Roster!$I:$I,MATCH($C1047,Roster!$B:$B,0))="","",INDEX(Roster!$I:$I,MATCH($C1047,Roster!$B:$B,0))&amp;""),"—"))</f>
        <v/>
      </c>
      <c r="K1047">
        <f>IF($C1047="","",IFERROR(IF(INDEX(Roster!$J:$J,MATCH($C1047,Roster!$B:$B,0))="","",INDEX(Roster!$J:$J,MATCH($C1047,Roster!$B:$B,0))&amp;""),"—"))</f>
        <v/>
      </c>
      <c r="L1047">
        <f>IF($C1047="","",IFERROR(IF(INDEX(Roster!$K:$K,MATCH($C1047,Roster!$B:$B,0))="","",INDEX(Roster!$K:$K,MATCH($C1047,Roster!$B:$B,0))&amp;""),"—"))</f>
        <v/>
      </c>
      <c r="M1047" s="27" t="n"/>
      <c r="N1047" s="27" t="n"/>
      <c r="O1047" s="25">
        <f>IF($C1047="","",IF($P1047="","—",IF($P1047="Valid (Pass)","Valid","Invalid")))</f>
        <v/>
      </c>
      <c r="P1047" s="27" t="n"/>
      <c r="Q1047" s="27" t="n"/>
      <c r="R1047" s="27" t="n"/>
      <c r="S1047" s="27" t="n"/>
      <c r="T1047" s="25">
        <f>IF($C1047="","",IF(OR(ISNUMBER(SEARCH("quick case",$P1047)),ISNUMBER(SEARCH("quick case",$Q1047))),"Yes","No"))</f>
        <v/>
      </c>
      <c r="U1047" s="25">
        <f>IF($O1047="Invalid",HYPERLINK("mailto:"&amp;$G1047&amp;";"&amp;$I1047&amp;"?cc="&amp;Lists!$E$2&amp;"&amp;subject="&amp;_xlfn.ENCODEURL("[INVALID] Quality audit monitoring completed for "&amp;UPPER($C1047))&amp;"&amp;body="&amp;_xlfn.ENCODEURL("Hi "&amp;$F1047&amp;","&amp;CHAR(10)&amp;"Good day!"&amp;CHAR(10)&amp;CHAR(10)&amp;"A quality monitoring audit has been completed for "&amp;$C1047&amp;"."&amp;CHAR(10)&amp;CHAR(10)&amp;"QUALITY AUDIT DETAILS"&amp;CHAR(10)&amp;"Agent Name: "&amp;$C1047&amp;" (EID "&amp;$D1047&amp;")"&amp;CHAR(10)&amp;"Audit Date: "&amp;TEXT($B1047,"yyyy-mm-dd")&amp;CHAR(10)&amp;"Team Leader: "&amp;$F1047&amp;CHAR(10)&amp;"Case Number: "&amp;$M1047&amp;CHAR(10)&amp;"Transaction ID: "&amp;$N1047&amp;CHAR(10)&amp;"Channel / LOB: "&amp;$K1047&amp;" / "&amp;$L1047&amp;CHAR(10)&amp;"Evaluator: "&amp;$S1047&amp;CHAR(10)&amp;CHAR(10)&amp;"INVALID QUALITY AUDIT DETAILS"&amp;CHAR(10)&amp;"Validation: Invalid"&amp;CHAR(10)&amp;"Invalid Reason: "&amp;$P1047&amp;CHAR(10)&amp;"Expected Resolution Code: "&amp;$Q1047&amp;CHAR(10)&amp;"Remarks: "&amp;LEFT($R1047,600)&amp;CHAR(10)&amp;CHAR(10)&amp;"This is an automated notification from HP Mainstream EQMS."),"✉ Open Email Draft"),"")</f>
        <v/>
      </c>
    </row>
    <row r="1048">
      <c r="A1048" s="25">
        <f>IF($C1048="","","AUD-2026-"&amp;TEXT(ROW()-1,"000000"))</f>
        <v/>
      </c>
      <c r="B1048" s="26" t="n"/>
      <c r="C1048" s="27" t="n"/>
      <c r="D1048" s="25">
        <f>IF($C1048="","",IFERROR(IF(INDEX(Roster!$A:$A,MATCH($C1048,Roster!$B:$B,0))="","",INDEX(Roster!$A:$A,MATCH($C1048,Roster!$B:$B,0))&amp;""),"—"))</f>
        <v/>
      </c>
      <c r="E1048" s="25">
        <f>IF($C1048="","",IFERROR(IF(INDEX(Roster!$C:$C,MATCH($C1048,Roster!$B:$B,0))="","",INDEX(Roster!$C:$C,MATCH($C1048,Roster!$B:$B,0))&amp;""),"—"))</f>
        <v/>
      </c>
      <c r="F1048" s="25">
        <f>IF($C1048="","",IFERROR(IF(INDEX(Roster!$D:$D,MATCH($C1048,Roster!$B:$B,0))="","",INDEX(Roster!$D:$D,MATCH($C1048,Roster!$B:$B,0))&amp;""),"—"))</f>
        <v/>
      </c>
      <c r="G1048" s="25">
        <f>IF($C1048="","",IFERROR(IF(INDEX(Roster!$E:$E,MATCH($C1048,Roster!$B:$B,0))="","",INDEX(Roster!$E:$E,MATCH($C1048,Roster!$B:$B,0))&amp;""),"—"))</f>
        <v/>
      </c>
      <c r="H1048" s="25">
        <f>IF($C1048="","",IFERROR(IF(INDEX(Roster!$F:$F,MATCH($C1048,Roster!$B:$B,0))="","",INDEX(Roster!$F:$F,MATCH($C1048,Roster!$B:$B,0))&amp;""),"—"))</f>
        <v/>
      </c>
      <c r="I1048" s="25">
        <f>IF($C1048="","",IFERROR(IF(INDEX(Roster!$G:$G,MATCH($C1048,Roster!$B:$B,0))="","",INDEX(Roster!$G:$G,MATCH($C1048,Roster!$B:$B,0))&amp;""),"—"))</f>
        <v/>
      </c>
      <c r="J1048" s="25">
        <f>IF($C1048="","",IFERROR(IF(INDEX(Roster!$I:$I,MATCH($C1048,Roster!$B:$B,0))="","",INDEX(Roster!$I:$I,MATCH($C1048,Roster!$B:$B,0))&amp;""),"—"))</f>
        <v/>
      </c>
      <c r="K1048">
        <f>IF($C1048="","",IFERROR(IF(INDEX(Roster!$J:$J,MATCH($C1048,Roster!$B:$B,0))="","",INDEX(Roster!$J:$J,MATCH($C1048,Roster!$B:$B,0))&amp;""),"—"))</f>
        <v/>
      </c>
      <c r="L1048">
        <f>IF($C1048="","",IFERROR(IF(INDEX(Roster!$K:$K,MATCH($C1048,Roster!$B:$B,0))="","",INDEX(Roster!$K:$K,MATCH($C1048,Roster!$B:$B,0))&amp;""),"—"))</f>
        <v/>
      </c>
      <c r="M1048" s="27" t="n"/>
      <c r="N1048" s="27" t="n"/>
      <c r="O1048" s="25">
        <f>IF($C1048="","",IF($P1048="","—",IF($P1048="Valid (Pass)","Valid","Invalid")))</f>
        <v/>
      </c>
      <c r="P1048" s="27" t="n"/>
      <c r="Q1048" s="27" t="n"/>
      <c r="R1048" s="27" t="n"/>
      <c r="S1048" s="27" t="n"/>
      <c r="T1048" s="25">
        <f>IF($C1048="","",IF(OR(ISNUMBER(SEARCH("quick case",$P1048)),ISNUMBER(SEARCH("quick case",$Q1048))),"Yes","No"))</f>
        <v/>
      </c>
      <c r="U1048" s="25">
        <f>IF($O1048="Invalid",HYPERLINK("mailto:"&amp;$G1048&amp;";"&amp;$I1048&amp;"?cc="&amp;Lists!$E$2&amp;"&amp;subject="&amp;_xlfn.ENCODEURL("[INVALID] Quality audit monitoring completed for "&amp;UPPER($C1048))&amp;"&amp;body="&amp;_xlfn.ENCODEURL("Hi "&amp;$F1048&amp;","&amp;CHAR(10)&amp;"Good day!"&amp;CHAR(10)&amp;CHAR(10)&amp;"A quality monitoring audit has been completed for "&amp;$C1048&amp;"."&amp;CHAR(10)&amp;CHAR(10)&amp;"QUALITY AUDIT DETAILS"&amp;CHAR(10)&amp;"Agent Name: "&amp;$C1048&amp;" (EID "&amp;$D1048&amp;")"&amp;CHAR(10)&amp;"Audit Date: "&amp;TEXT($B1048,"yyyy-mm-dd")&amp;CHAR(10)&amp;"Team Leader: "&amp;$F1048&amp;CHAR(10)&amp;"Case Number: "&amp;$M1048&amp;CHAR(10)&amp;"Transaction ID: "&amp;$N1048&amp;CHAR(10)&amp;"Channel / LOB: "&amp;$K1048&amp;" / "&amp;$L1048&amp;CHAR(10)&amp;"Evaluator: "&amp;$S1048&amp;CHAR(10)&amp;CHAR(10)&amp;"INVALID QUALITY AUDIT DETAILS"&amp;CHAR(10)&amp;"Validation: Invalid"&amp;CHAR(10)&amp;"Invalid Reason: "&amp;$P1048&amp;CHAR(10)&amp;"Expected Resolution Code: "&amp;$Q1048&amp;CHAR(10)&amp;"Remarks: "&amp;LEFT($R1048,600)&amp;CHAR(10)&amp;CHAR(10)&amp;"This is an automated notification from HP Mainstream EQMS."),"✉ Open Email Draft"),"")</f>
        <v/>
      </c>
    </row>
    <row r="1049">
      <c r="A1049" s="25">
        <f>IF($C1049="","","AUD-2026-"&amp;TEXT(ROW()-1,"000000"))</f>
        <v/>
      </c>
      <c r="B1049" s="26" t="n"/>
      <c r="C1049" s="27" t="n"/>
      <c r="D1049" s="25">
        <f>IF($C1049="","",IFERROR(IF(INDEX(Roster!$A:$A,MATCH($C1049,Roster!$B:$B,0))="","",INDEX(Roster!$A:$A,MATCH($C1049,Roster!$B:$B,0))&amp;""),"—"))</f>
        <v/>
      </c>
      <c r="E1049" s="25">
        <f>IF($C1049="","",IFERROR(IF(INDEX(Roster!$C:$C,MATCH($C1049,Roster!$B:$B,0))="","",INDEX(Roster!$C:$C,MATCH($C1049,Roster!$B:$B,0))&amp;""),"—"))</f>
        <v/>
      </c>
      <c r="F1049" s="25">
        <f>IF($C1049="","",IFERROR(IF(INDEX(Roster!$D:$D,MATCH($C1049,Roster!$B:$B,0))="","",INDEX(Roster!$D:$D,MATCH($C1049,Roster!$B:$B,0))&amp;""),"—"))</f>
        <v/>
      </c>
      <c r="G1049" s="25">
        <f>IF($C1049="","",IFERROR(IF(INDEX(Roster!$E:$E,MATCH($C1049,Roster!$B:$B,0))="","",INDEX(Roster!$E:$E,MATCH($C1049,Roster!$B:$B,0))&amp;""),"—"))</f>
        <v/>
      </c>
      <c r="H1049" s="25">
        <f>IF($C1049="","",IFERROR(IF(INDEX(Roster!$F:$F,MATCH($C1049,Roster!$B:$B,0))="","",INDEX(Roster!$F:$F,MATCH($C1049,Roster!$B:$B,0))&amp;""),"—"))</f>
        <v/>
      </c>
      <c r="I1049" s="25">
        <f>IF($C1049="","",IFERROR(IF(INDEX(Roster!$G:$G,MATCH($C1049,Roster!$B:$B,0))="","",INDEX(Roster!$G:$G,MATCH($C1049,Roster!$B:$B,0))&amp;""),"—"))</f>
        <v/>
      </c>
      <c r="J1049" s="25">
        <f>IF($C1049="","",IFERROR(IF(INDEX(Roster!$I:$I,MATCH($C1049,Roster!$B:$B,0))="","",INDEX(Roster!$I:$I,MATCH($C1049,Roster!$B:$B,0))&amp;""),"—"))</f>
        <v/>
      </c>
      <c r="K1049">
        <f>IF($C1049="","",IFERROR(IF(INDEX(Roster!$J:$J,MATCH($C1049,Roster!$B:$B,0))="","",INDEX(Roster!$J:$J,MATCH($C1049,Roster!$B:$B,0))&amp;""),"—"))</f>
        <v/>
      </c>
      <c r="L1049">
        <f>IF($C1049="","",IFERROR(IF(INDEX(Roster!$K:$K,MATCH($C1049,Roster!$B:$B,0))="","",INDEX(Roster!$K:$K,MATCH($C1049,Roster!$B:$B,0))&amp;""),"—"))</f>
        <v/>
      </c>
      <c r="M1049" s="27" t="n"/>
      <c r="N1049" s="27" t="n"/>
      <c r="O1049" s="25">
        <f>IF($C1049="","",IF($P1049="","—",IF($P1049="Valid (Pass)","Valid","Invalid")))</f>
        <v/>
      </c>
      <c r="P1049" s="27" t="n"/>
      <c r="Q1049" s="27" t="n"/>
      <c r="R1049" s="27" t="n"/>
      <c r="S1049" s="27" t="n"/>
      <c r="T1049" s="25">
        <f>IF($C1049="","",IF(OR(ISNUMBER(SEARCH("quick case",$P1049)),ISNUMBER(SEARCH("quick case",$Q1049))),"Yes","No"))</f>
        <v/>
      </c>
      <c r="U1049" s="25">
        <f>IF($O1049="Invalid",HYPERLINK("mailto:"&amp;$G1049&amp;";"&amp;$I1049&amp;"?cc="&amp;Lists!$E$2&amp;"&amp;subject="&amp;_xlfn.ENCODEURL("[INVALID] Quality audit monitoring completed for "&amp;UPPER($C1049))&amp;"&amp;body="&amp;_xlfn.ENCODEURL("Hi "&amp;$F1049&amp;","&amp;CHAR(10)&amp;"Good day!"&amp;CHAR(10)&amp;CHAR(10)&amp;"A quality monitoring audit has been completed for "&amp;$C1049&amp;"."&amp;CHAR(10)&amp;CHAR(10)&amp;"QUALITY AUDIT DETAILS"&amp;CHAR(10)&amp;"Agent Name: "&amp;$C1049&amp;" (EID "&amp;$D1049&amp;")"&amp;CHAR(10)&amp;"Audit Date: "&amp;TEXT($B1049,"yyyy-mm-dd")&amp;CHAR(10)&amp;"Team Leader: "&amp;$F1049&amp;CHAR(10)&amp;"Case Number: "&amp;$M1049&amp;CHAR(10)&amp;"Transaction ID: "&amp;$N1049&amp;CHAR(10)&amp;"Channel / LOB: "&amp;$K1049&amp;" / "&amp;$L1049&amp;CHAR(10)&amp;"Evaluator: "&amp;$S1049&amp;CHAR(10)&amp;CHAR(10)&amp;"INVALID QUALITY AUDIT DETAILS"&amp;CHAR(10)&amp;"Validation: Invalid"&amp;CHAR(10)&amp;"Invalid Reason: "&amp;$P1049&amp;CHAR(10)&amp;"Expected Resolution Code: "&amp;$Q1049&amp;CHAR(10)&amp;"Remarks: "&amp;LEFT($R1049,600)&amp;CHAR(10)&amp;CHAR(10)&amp;"This is an automated notification from HP Mainstream EQMS."),"✉ Open Email Draft"),"")</f>
        <v/>
      </c>
    </row>
    <row r="1050">
      <c r="A1050" s="25">
        <f>IF($C1050="","","AUD-2026-"&amp;TEXT(ROW()-1,"000000"))</f>
        <v/>
      </c>
      <c r="B1050" s="26" t="n"/>
      <c r="C1050" s="27" t="n"/>
      <c r="D1050" s="25">
        <f>IF($C1050="","",IFERROR(IF(INDEX(Roster!$A:$A,MATCH($C1050,Roster!$B:$B,0))="","",INDEX(Roster!$A:$A,MATCH($C1050,Roster!$B:$B,0))&amp;""),"—"))</f>
        <v/>
      </c>
      <c r="E1050" s="25">
        <f>IF($C1050="","",IFERROR(IF(INDEX(Roster!$C:$C,MATCH($C1050,Roster!$B:$B,0))="","",INDEX(Roster!$C:$C,MATCH($C1050,Roster!$B:$B,0))&amp;""),"—"))</f>
        <v/>
      </c>
      <c r="F1050" s="25">
        <f>IF($C1050="","",IFERROR(IF(INDEX(Roster!$D:$D,MATCH($C1050,Roster!$B:$B,0))="","",INDEX(Roster!$D:$D,MATCH($C1050,Roster!$B:$B,0))&amp;""),"—"))</f>
        <v/>
      </c>
      <c r="G1050" s="25">
        <f>IF($C1050="","",IFERROR(IF(INDEX(Roster!$E:$E,MATCH($C1050,Roster!$B:$B,0))="","",INDEX(Roster!$E:$E,MATCH($C1050,Roster!$B:$B,0))&amp;""),"—"))</f>
        <v/>
      </c>
      <c r="H1050" s="25">
        <f>IF($C1050="","",IFERROR(IF(INDEX(Roster!$F:$F,MATCH($C1050,Roster!$B:$B,0))="","",INDEX(Roster!$F:$F,MATCH($C1050,Roster!$B:$B,0))&amp;""),"—"))</f>
        <v/>
      </c>
      <c r="I1050" s="25">
        <f>IF($C1050="","",IFERROR(IF(INDEX(Roster!$G:$G,MATCH($C1050,Roster!$B:$B,0))="","",INDEX(Roster!$G:$G,MATCH($C1050,Roster!$B:$B,0))&amp;""),"—"))</f>
        <v/>
      </c>
      <c r="J1050" s="25">
        <f>IF($C1050="","",IFERROR(IF(INDEX(Roster!$I:$I,MATCH($C1050,Roster!$B:$B,0))="","",INDEX(Roster!$I:$I,MATCH($C1050,Roster!$B:$B,0))&amp;""),"—"))</f>
        <v/>
      </c>
      <c r="K1050">
        <f>IF($C1050="","",IFERROR(IF(INDEX(Roster!$J:$J,MATCH($C1050,Roster!$B:$B,0))="","",INDEX(Roster!$J:$J,MATCH($C1050,Roster!$B:$B,0))&amp;""),"—"))</f>
        <v/>
      </c>
      <c r="L1050">
        <f>IF($C1050="","",IFERROR(IF(INDEX(Roster!$K:$K,MATCH($C1050,Roster!$B:$B,0))="","",INDEX(Roster!$K:$K,MATCH($C1050,Roster!$B:$B,0))&amp;""),"—"))</f>
        <v/>
      </c>
      <c r="M1050" s="27" t="n"/>
      <c r="N1050" s="27" t="n"/>
      <c r="O1050" s="25">
        <f>IF($C1050="","",IF($P1050="","—",IF($P1050="Valid (Pass)","Valid","Invalid")))</f>
        <v/>
      </c>
      <c r="P1050" s="27" t="n"/>
      <c r="Q1050" s="27" t="n"/>
      <c r="R1050" s="27" t="n"/>
      <c r="S1050" s="27" t="n"/>
      <c r="T1050" s="25">
        <f>IF($C1050="","",IF(OR(ISNUMBER(SEARCH("quick case",$P1050)),ISNUMBER(SEARCH("quick case",$Q1050))),"Yes","No"))</f>
        <v/>
      </c>
      <c r="U1050" s="25">
        <f>IF($O1050="Invalid",HYPERLINK("mailto:"&amp;$G1050&amp;";"&amp;$I1050&amp;"?cc="&amp;Lists!$E$2&amp;"&amp;subject="&amp;_xlfn.ENCODEURL("[INVALID] Quality audit monitoring completed for "&amp;UPPER($C1050))&amp;"&amp;body="&amp;_xlfn.ENCODEURL("Hi "&amp;$F1050&amp;","&amp;CHAR(10)&amp;"Good day!"&amp;CHAR(10)&amp;CHAR(10)&amp;"A quality monitoring audit has been completed for "&amp;$C1050&amp;"."&amp;CHAR(10)&amp;CHAR(10)&amp;"QUALITY AUDIT DETAILS"&amp;CHAR(10)&amp;"Agent Name: "&amp;$C1050&amp;" (EID "&amp;$D1050&amp;")"&amp;CHAR(10)&amp;"Audit Date: "&amp;TEXT($B1050,"yyyy-mm-dd")&amp;CHAR(10)&amp;"Team Leader: "&amp;$F1050&amp;CHAR(10)&amp;"Case Number: "&amp;$M1050&amp;CHAR(10)&amp;"Transaction ID: "&amp;$N1050&amp;CHAR(10)&amp;"Channel / LOB: "&amp;$K1050&amp;" / "&amp;$L1050&amp;CHAR(10)&amp;"Evaluator: "&amp;$S1050&amp;CHAR(10)&amp;CHAR(10)&amp;"INVALID QUALITY AUDIT DETAILS"&amp;CHAR(10)&amp;"Validation: Invalid"&amp;CHAR(10)&amp;"Invalid Reason: "&amp;$P1050&amp;CHAR(10)&amp;"Expected Resolution Code: "&amp;$Q1050&amp;CHAR(10)&amp;"Remarks: "&amp;LEFT($R1050,600)&amp;CHAR(10)&amp;CHAR(10)&amp;"This is an automated notification from HP Mainstream EQMS."),"✉ Open Email Draft"),"")</f>
        <v/>
      </c>
    </row>
    <row r="1051">
      <c r="A1051" s="25">
        <f>IF($C1051="","","AUD-2026-"&amp;TEXT(ROW()-1,"000000"))</f>
        <v/>
      </c>
      <c r="B1051" s="26" t="n"/>
      <c r="C1051" s="27" t="n"/>
      <c r="D1051" s="25">
        <f>IF($C1051="","",IFERROR(IF(INDEX(Roster!$A:$A,MATCH($C1051,Roster!$B:$B,0))="","",INDEX(Roster!$A:$A,MATCH($C1051,Roster!$B:$B,0))&amp;""),"—"))</f>
        <v/>
      </c>
      <c r="E1051" s="25">
        <f>IF($C1051="","",IFERROR(IF(INDEX(Roster!$C:$C,MATCH($C1051,Roster!$B:$B,0))="","",INDEX(Roster!$C:$C,MATCH($C1051,Roster!$B:$B,0))&amp;""),"—"))</f>
        <v/>
      </c>
      <c r="F1051" s="25">
        <f>IF($C1051="","",IFERROR(IF(INDEX(Roster!$D:$D,MATCH($C1051,Roster!$B:$B,0))="","",INDEX(Roster!$D:$D,MATCH($C1051,Roster!$B:$B,0))&amp;""),"—"))</f>
        <v/>
      </c>
      <c r="G1051" s="25">
        <f>IF($C1051="","",IFERROR(IF(INDEX(Roster!$E:$E,MATCH($C1051,Roster!$B:$B,0))="","",INDEX(Roster!$E:$E,MATCH($C1051,Roster!$B:$B,0))&amp;""),"—"))</f>
        <v/>
      </c>
      <c r="H1051" s="25">
        <f>IF($C1051="","",IFERROR(IF(INDEX(Roster!$F:$F,MATCH($C1051,Roster!$B:$B,0))="","",INDEX(Roster!$F:$F,MATCH($C1051,Roster!$B:$B,0))&amp;""),"—"))</f>
        <v/>
      </c>
      <c r="I1051" s="25">
        <f>IF($C1051="","",IFERROR(IF(INDEX(Roster!$G:$G,MATCH($C1051,Roster!$B:$B,0))="","",INDEX(Roster!$G:$G,MATCH($C1051,Roster!$B:$B,0))&amp;""),"—"))</f>
        <v/>
      </c>
      <c r="J1051" s="25">
        <f>IF($C1051="","",IFERROR(IF(INDEX(Roster!$I:$I,MATCH($C1051,Roster!$B:$B,0))="","",INDEX(Roster!$I:$I,MATCH($C1051,Roster!$B:$B,0))&amp;""),"—"))</f>
        <v/>
      </c>
      <c r="K1051">
        <f>IF($C1051="","",IFERROR(IF(INDEX(Roster!$J:$J,MATCH($C1051,Roster!$B:$B,0))="","",INDEX(Roster!$J:$J,MATCH($C1051,Roster!$B:$B,0))&amp;""),"—"))</f>
        <v/>
      </c>
      <c r="L1051">
        <f>IF($C1051="","",IFERROR(IF(INDEX(Roster!$K:$K,MATCH($C1051,Roster!$B:$B,0))="","",INDEX(Roster!$K:$K,MATCH($C1051,Roster!$B:$B,0))&amp;""),"—"))</f>
        <v/>
      </c>
      <c r="M1051" s="27" t="n"/>
      <c r="N1051" s="27" t="n"/>
      <c r="O1051" s="25">
        <f>IF($C1051="","",IF($P1051="","—",IF($P1051="Valid (Pass)","Valid","Invalid")))</f>
        <v/>
      </c>
      <c r="P1051" s="27" t="n"/>
      <c r="Q1051" s="27" t="n"/>
      <c r="R1051" s="27" t="n"/>
      <c r="S1051" s="27" t="n"/>
      <c r="T1051" s="25">
        <f>IF($C1051="","",IF(OR(ISNUMBER(SEARCH("quick case",$P1051)),ISNUMBER(SEARCH("quick case",$Q1051))),"Yes","No"))</f>
        <v/>
      </c>
      <c r="U1051" s="25">
        <f>IF($O1051="Invalid",HYPERLINK("mailto:"&amp;$G1051&amp;";"&amp;$I1051&amp;"?cc="&amp;Lists!$E$2&amp;"&amp;subject="&amp;_xlfn.ENCODEURL("[INVALID] Quality audit monitoring completed for "&amp;UPPER($C1051))&amp;"&amp;body="&amp;_xlfn.ENCODEURL("Hi "&amp;$F1051&amp;","&amp;CHAR(10)&amp;"Good day!"&amp;CHAR(10)&amp;CHAR(10)&amp;"A quality monitoring audit has been completed for "&amp;$C1051&amp;"."&amp;CHAR(10)&amp;CHAR(10)&amp;"QUALITY AUDIT DETAILS"&amp;CHAR(10)&amp;"Agent Name: "&amp;$C1051&amp;" (EID "&amp;$D1051&amp;")"&amp;CHAR(10)&amp;"Audit Date: "&amp;TEXT($B1051,"yyyy-mm-dd")&amp;CHAR(10)&amp;"Team Leader: "&amp;$F1051&amp;CHAR(10)&amp;"Case Number: "&amp;$M1051&amp;CHAR(10)&amp;"Transaction ID: "&amp;$N1051&amp;CHAR(10)&amp;"Channel / LOB: "&amp;$K1051&amp;" / "&amp;$L1051&amp;CHAR(10)&amp;"Evaluator: "&amp;$S1051&amp;CHAR(10)&amp;CHAR(10)&amp;"INVALID QUALITY AUDIT DETAILS"&amp;CHAR(10)&amp;"Validation: Invalid"&amp;CHAR(10)&amp;"Invalid Reason: "&amp;$P1051&amp;CHAR(10)&amp;"Expected Resolution Code: "&amp;$Q1051&amp;CHAR(10)&amp;"Remarks: "&amp;LEFT($R1051,600)&amp;CHAR(10)&amp;CHAR(10)&amp;"This is an automated notification from HP Mainstream EQMS."),"✉ Open Email Draft"),"")</f>
        <v/>
      </c>
    </row>
    <row r="1052">
      <c r="A1052" s="25">
        <f>IF($C1052="","","AUD-2026-"&amp;TEXT(ROW()-1,"000000"))</f>
        <v/>
      </c>
      <c r="B1052" s="26" t="n"/>
      <c r="C1052" s="27" t="n"/>
      <c r="D1052" s="25">
        <f>IF($C1052="","",IFERROR(IF(INDEX(Roster!$A:$A,MATCH($C1052,Roster!$B:$B,0))="","",INDEX(Roster!$A:$A,MATCH($C1052,Roster!$B:$B,0))&amp;""),"—"))</f>
        <v/>
      </c>
      <c r="E1052" s="25">
        <f>IF($C1052="","",IFERROR(IF(INDEX(Roster!$C:$C,MATCH($C1052,Roster!$B:$B,0))="","",INDEX(Roster!$C:$C,MATCH($C1052,Roster!$B:$B,0))&amp;""),"—"))</f>
        <v/>
      </c>
      <c r="F1052" s="25">
        <f>IF($C1052="","",IFERROR(IF(INDEX(Roster!$D:$D,MATCH($C1052,Roster!$B:$B,0))="","",INDEX(Roster!$D:$D,MATCH($C1052,Roster!$B:$B,0))&amp;""),"—"))</f>
        <v/>
      </c>
      <c r="G1052" s="25">
        <f>IF($C1052="","",IFERROR(IF(INDEX(Roster!$E:$E,MATCH($C1052,Roster!$B:$B,0))="","",INDEX(Roster!$E:$E,MATCH($C1052,Roster!$B:$B,0))&amp;""),"—"))</f>
        <v/>
      </c>
      <c r="H1052" s="25">
        <f>IF($C1052="","",IFERROR(IF(INDEX(Roster!$F:$F,MATCH($C1052,Roster!$B:$B,0))="","",INDEX(Roster!$F:$F,MATCH($C1052,Roster!$B:$B,0))&amp;""),"—"))</f>
        <v/>
      </c>
      <c r="I1052" s="25">
        <f>IF($C1052="","",IFERROR(IF(INDEX(Roster!$G:$G,MATCH($C1052,Roster!$B:$B,0))="","",INDEX(Roster!$G:$G,MATCH($C1052,Roster!$B:$B,0))&amp;""),"—"))</f>
        <v/>
      </c>
      <c r="J1052" s="25">
        <f>IF($C1052="","",IFERROR(IF(INDEX(Roster!$I:$I,MATCH($C1052,Roster!$B:$B,0))="","",INDEX(Roster!$I:$I,MATCH($C1052,Roster!$B:$B,0))&amp;""),"—"))</f>
        <v/>
      </c>
      <c r="K1052">
        <f>IF($C1052="","",IFERROR(IF(INDEX(Roster!$J:$J,MATCH($C1052,Roster!$B:$B,0))="","",INDEX(Roster!$J:$J,MATCH($C1052,Roster!$B:$B,0))&amp;""),"—"))</f>
        <v/>
      </c>
      <c r="L1052">
        <f>IF($C1052="","",IFERROR(IF(INDEX(Roster!$K:$K,MATCH($C1052,Roster!$B:$B,0))="","",INDEX(Roster!$K:$K,MATCH($C1052,Roster!$B:$B,0))&amp;""),"—"))</f>
        <v/>
      </c>
      <c r="M1052" s="27" t="n"/>
      <c r="N1052" s="27" t="n"/>
      <c r="O1052" s="25">
        <f>IF($C1052="","",IF($P1052="","—",IF($P1052="Valid (Pass)","Valid","Invalid")))</f>
        <v/>
      </c>
      <c r="P1052" s="27" t="n"/>
      <c r="Q1052" s="27" t="n"/>
      <c r="R1052" s="27" t="n"/>
      <c r="S1052" s="27" t="n"/>
      <c r="T1052" s="25">
        <f>IF($C1052="","",IF(OR(ISNUMBER(SEARCH("quick case",$P1052)),ISNUMBER(SEARCH("quick case",$Q1052))),"Yes","No"))</f>
        <v/>
      </c>
      <c r="U1052" s="25">
        <f>IF($O1052="Invalid",HYPERLINK("mailto:"&amp;$G1052&amp;";"&amp;$I1052&amp;"?cc="&amp;Lists!$E$2&amp;"&amp;subject="&amp;_xlfn.ENCODEURL("[INVALID] Quality audit monitoring completed for "&amp;UPPER($C1052))&amp;"&amp;body="&amp;_xlfn.ENCODEURL("Hi "&amp;$F1052&amp;","&amp;CHAR(10)&amp;"Good day!"&amp;CHAR(10)&amp;CHAR(10)&amp;"A quality monitoring audit has been completed for "&amp;$C1052&amp;"."&amp;CHAR(10)&amp;CHAR(10)&amp;"QUALITY AUDIT DETAILS"&amp;CHAR(10)&amp;"Agent Name: "&amp;$C1052&amp;" (EID "&amp;$D1052&amp;")"&amp;CHAR(10)&amp;"Audit Date: "&amp;TEXT($B1052,"yyyy-mm-dd")&amp;CHAR(10)&amp;"Team Leader: "&amp;$F1052&amp;CHAR(10)&amp;"Case Number: "&amp;$M1052&amp;CHAR(10)&amp;"Transaction ID: "&amp;$N1052&amp;CHAR(10)&amp;"Channel / LOB: "&amp;$K1052&amp;" / "&amp;$L1052&amp;CHAR(10)&amp;"Evaluator: "&amp;$S1052&amp;CHAR(10)&amp;CHAR(10)&amp;"INVALID QUALITY AUDIT DETAILS"&amp;CHAR(10)&amp;"Validation: Invalid"&amp;CHAR(10)&amp;"Invalid Reason: "&amp;$P1052&amp;CHAR(10)&amp;"Expected Resolution Code: "&amp;$Q1052&amp;CHAR(10)&amp;"Remarks: "&amp;LEFT($R1052,600)&amp;CHAR(10)&amp;CHAR(10)&amp;"This is an automated notification from HP Mainstream EQMS."),"✉ Open Email Draft"),"")</f>
        <v/>
      </c>
    </row>
    <row r="1053">
      <c r="A1053" s="25">
        <f>IF($C1053="","","AUD-2026-"&amp;TEXT(ROW()-1,"000000"))</f>
        <v/>
      </c>
      <c r="B1053" s="26" t="n"/>
      <c r="C1053" s="27" t="n"/>
      <c r="D1053" s="25">
        <f>IF($C1053="","",IFERROR(IF(INDEX(Roster!$A:$A,MATCH($C1053,Roster!$B:$B,0))="","",INDEX(Roster!$A:$A,MATCH($C1053,Roster!$B:$B,0))&amp;""),"—"))</f>
        <v/>
      </c>
      <c r="E1053" s="25">
        <f>IF($C1053="","",IFERROR(IF(INDEX(Roster!$C:$C,MATCH($C1053,Roster!$B:$B,0))="","",INDEX(Roster!$C:$C,MATCH($C1053,Roster!$B:$B,0))&amp;""),"—"))</f>
        <v/>
      </c>
      <c r="F1053" s="25">
        <f>IF($C1053="","",IFERROR(IF(INDEX(Roster!$D:$D,MATCH($C1053,Roster!$B:$B,0))="","",INDEX(Roster!$D:$D,MATCH($C1053,Roster!$B:$B,0))&amp;""),"—"))</f>
        <v/>
      </c>
      <c r="G1053" s="25">
        <f>IF($C1053="","",IFERROR(IF(INDEX(Roster!$E:$E,MATCH($C1053,Roster!$B:$B,0))="","",INDEX(Roster!$E:$E,MATCH($C1053,Roster!$B:$B,0))&amp;""),"—"))</f>
        <v/>
      </c>
      <c r="H1053" s="25">
        <f>IF($C1053="","",IFERROR(IF(INDEX(Roster!$F:$F,MATCH($C1053,Roster!$B:$B,0))="","",INDEX(Roster!$F:$F,MATCH($C1053,Roster!$B:$B,0))&amp;""),"—"))</f>
        <v/>
      </c>
      <c r="I1053" s="25">
        <f>IF($C1053="","",IFERROR(IF(INDEX(Roster!$G:$G,MATCH($C1053,Roster!$B:$B,0))="","",INDEX(Roster!$G:$G,MATCH($C1053,Roster!$B:$B,0))&amp;""),"—"))</f>
        <v/>
      </c>
      <c r="J1053" s="25">
        <f>IF($C1053="","",IFERROR(IF(INDEX(Roster!$I:$I,MATCH($C1053,Roster!$B:$B,0))="","",INDEX(Roster!$I:$I,MATCH($C1053,Roster!$B:$B,0))&amp;""),"—"))</f>
        <v/>
      </c>
      <c r="K1053">
        <f>IF($C1053="","",IFERROR(IF(INDEX(Roster!$J:$J,MATCH($C1053,Roster!$B:$B,0))="","",INDEX(Roster!$J:$J,MATCH($C1053,Roster!$B:$B,0))&amp;""),"—"))</f>
        <v/>
      </c>
      <c r="L1053">
        <f>IF($C1053="","",IFERROR(IF(INDEX(Roster!$K:$K,MATCH($C1053,Roster!$B:$B,0))="","",INDEX(Roster!$K:$K,MATCH($C1053,Roster!$B:$B,0))&amp;""),"—"))</f>
        <v/>
      </c>
      <c r="M1053" s="27" t="n"/>
      <c r="N1053" s="27" t="n"/>
      <c r="O1053" s="25">
        <f>IF($C1053="","",IF($P1053="","—",IF($P1053="Valid (Pass)","Valid","Invalid")))</f>
        <v/>
      </c>
      <c r="P1053" s="27" t="n"/>
      <c r="Q1053" s="27" t="n"/>
      <c r="R1053" s="27" t="n"/>
      <c r="S1053" s="27" t="n"/>
      <c r="T1053" s="25">
        <f>IF($C1053="","",IF(OR(ISNUMBER(SEARCH("quick case",$P1053)),ISNUMBER(SEARCH("quick case",$Q1053))),"Yes","No"))</f>
        <v/>
      </c>
      <c r="U1053" s="25">
        <f>IF($O1053="Invalid",HYPERLINK("mailto:"&amp;$G1053&amp;";"&amp;$I1053&amp;"?cc="&amp;Lists!$E$2&amp;"&amp;subject="&amp;_xlfn.ENCODEURL("[INVALID] Quality audit monitoring completed for "&amp;UPPER($C1053))&amp;"&amp;body="&amp;_xlfn.ENCODEURL("Hi "&amp;$F1053&amp;","&amp;CHAR(10)&amp;"Good day!"&amp;CHAR(10)&amp;CHAR(10)&amp;"A quality monitoring audit has been completed for "&amp;$C1053&amp;"."&amp;CHAR(10)&amp;CHAR(10)&amp;"QUALITY AUDIT DETAILS"&amp;CHAR(10)&amp;"Agent Name: "&amp;$C1053&amp;" (EID "&amp;$D1053&amp;")"&amp;CHAR(10)&amp;"Audit Date: "&amp;TEXT($B1053,"yyyy-mm-dd")&amp;CHAR(10)&amp;"Team Leader: "&amp;$F1053&amp;CHAR(10)&amp;"Case Number: "&amp;$M1053&amp;CHAR(10)&amp;"Transaction ID: "&amp;$N1053&amp;CHAR(10)&amp;"Channel / LOB: "&amp;$K1053&amp;" / "&amp;$L1053&amp;CHAR(10)&amp;"Evaluator: "&amp;$S1053&amp;CHAR(10)&amp;CHAR(10)&amp;"INVALID QUALITY AUDIT DETAILS"&amp;CHAR(10)&amp;"Validation: Invalid"&amp;CHAR(10)&amp;"Invalid Reason: "&amp;$P1053&amp;CHAR(10)&amp;"Expected Resolution Code: "&amp;$Q1053&amp;CHAR(10)&amp;"Remarks: "&amp;LEFT($R1053,600)&amp;CHAR(10)&amp;CHAR(10)&amp;"This is an automated notification from HP Mainstream EQMS."),"✉ Open Email Draft"),"")</f>
        <v/>
      </c>
    </row>
    <row r="1054">
      <c r="A1054" s="25">
        <f>IF($C1054="","","AUD-2026-"&amp;TEXT(ROW()-1,"000000"))</f>
        <v/>
      </c>
      <c r="B1054" s="26" t="n"/>
      <c r="C1054" s="27" t="n"/>
      <c r="D1054" s="25">
        <f>IF($C1054="","",IFERROR(IF(INDEX(Roster!$A:$A,MATCH($C1054,Roster!$B:$B,0))="","",INDEX(Roster!$A:$A,MATCH($C1054,Roster!$B:$B,0))&amp;""),"—"))</f>
        <v/>
      </c>
      <c r="E1054" s="25">
        <f>IF($C1054="","",IFERROR(IF(INDEX(Roster!$C:$C,MATCH($C1054,Roster!$B:$B,0))="","",INDEX(Roster!$C:$C,MATCH($C1054,Roster!$B:$B,0))&amp;""),"—"))</f>
        <v/>
      </c>
      <c r="F1054" s="25">
        <f>IF($C1054="","",IFERROR(IF(INDEX(Roster!$D:$D,MATCH($C1054,Roster!$B:$B,0))="","",INDEX(Roster!$D:$D,MATCH($C1054,Roster!$B:$B,0))&amp;""),"—"))</f>
        <v/>
      </c>
      <c r="G1054" s="25">
        <f>IF($C1054="","",IFERROR(IF(INDEX(Roster!$E:$E,MATCH($C1054,Roster!$B:$B,0))="","",INDEX(Roster!$E:$E,MATCH($C1054,Roster!$B:$B,0))&amp;""),"—"))</f>
        <v/>
      </c>
      <c r="H1054" s="25">
        <f>IF($C1054="","",IFERROR(IF(INDEX(Roster!$F:$F,MATCH($C1054,Roster!$B:$B,0))="","",INDEX(Roster!$F:$F,MATCH($C1054,Roster!$B:$B,0))&amp;""),"—"))</f>
        <v/>
      </c>
      <c r="I1054" s="25">
        <f>IF($C1054="","",IFERROR(IF(INDEX(Roster!$G:$G,MATCH($C1054,Roster!$B:$B,0))="","",INDEX(Roster!$G:$G,MATCH($C1054,Roster!$B:$B,0))&amp;""),"—"))</f>
        <v/>
      </c>
      <c r="J1054" s="25">
        <f>IF($C1054="","",IFERROR(IF(INDEX(Roster!$I:$I,MATCH($C1054,Roster!$B:$B,0))="","",INDEX(Roster!$I:$I,MATCH($C1054,Roster!$B:$B,0))&amp;""),"—"))</f>
        <v/>
      </c>
      <c r="K1054">
        <f>IF($C1054="","",IFERROR(IF(INDEX(Roster!$J:$J,MATCH($C1054,Roster!$B:$B,0))="","",INDEX(Roster!$J:$J,MATCH($C1054,Roster!$B:$B,0))&amp;""),"—"))</f>
        <v/>
      </c>
      <c r="L1054">
        <f>IF($C1054="","",IFERROR(IF(INDEX(Roster!$K:$K,MATCH($C1054,Roster!$B:$B,0))="","",INDEX(Roster!$K:$K,MATCH($C1054,Roster!$B:$B,0))&amp;""),"—"))</f>
        <v/>
      </c>
      <c r="M1054" s="27" t="n"/>
      <c r="N1054" s="27" t="n"/>
      <c r="O1054" s="25">
        <f>IF($C1054="","",IF($P1054="","—",IF($P1054="Valid (Pass)","Valid","Invalid")))</f>
        <v/>
      </c>
      <c r="P1054" s="27" t="n"/>
      <c r="Q1054" s="27" t="n"/>
      <c r="R1054" s="27" t="n"/>
      <c r="S1054" s="27" t="n"/>
      <c r="T1054" s="25">
        <f>IF($C1054="","",IF(OR(ISNUMBER(SEARCH("quick case",$P1054)),ISNUMBER(SEARCH("quick case",$Q1054))),"Yes","No"))</f>
        <v/>
      </c>
      <c r="U1054" s="25">
        <f>IF($O1054="Invalid",HYPERLINK("mailto:"&amp;$G1054&amp;";"&amp;$I1054&amp;"?cc="&amp;Lists!$E$2&amp;"&amp;subject="&amp;_xlfn.ENCODEURL("[INVALID] Quality audit monitoring completed for "&amp;UPPER($C1054))&amp;"&amp;body="&amp;_xlfn.ENCODEURL("Hi "&amp;$F1054&amp;","&amp;CHAR(10)&amp;"Good day!"&amp;CHAR(10)&amp;CHAR(10)&amp;"A quality monitoring audit has been completed for "&amp;$C1054&amp;"."&amp;CHAR(10)&amp;CHAR(10)&amp;"QUALITY AUDIT DETAILS"&amp;CHAR(10)&amp;"Agent Name: "&amp;$C1054&amp;" (EID "&amp;$D1054&amp;")"&amp;CHAR(10)&amp;"Audit Date: "&amp;TEXT($B1054,"yyyy-mm-dd")&amp;CHAR(10)&amp;"Team Leader: "&amp;$F1054&amp;CHAR(10)&amp;"Case Number: "&amp;$M1054&amp;CHAR(10)&amp;"Transaction ID: "&amp;$N1054&amp;CHAR(10)&amp;"Channel / LOB: "&amp;$K1054&amp;" / "&amp;$L1054&amp;CHAR(10)&amp;"Evaluator: "&amp;$S1054&amp;CHAR(10)&amp;CHAR(10)&amp;"INVALID QUALITY AUDIT DETAILS"&amp;CHAR(10)&amp;"Validation: Invalid"&amp;CHAR(10)&amp;"Invalid Reason: "&amp;$P1054&amp;CHAR(10)&amp;"Expected Resolution Code: "&amp;$Q1054&amp;CHAR(10)&amp;"Remarks: "&amp;LEFT($R1054,600)&amp;CHAR(10)&amp;CHAR(10)&amp;"This is an automated notification from HP Mainstream EQMS."),"✉ Open Email Draft"),"")</f>
        <v/>
      </c>
    </row>
    <row r="1055">
      <c r="A1055" s="25">
        <f>IF($C1055="","","AUD-2026-"&amp;TEXT(ROW()-1,"000000"))</f>
        <v/>
      </c>
      <c r="B1055" s="26" t="n"/>
      <c r="C1055" s="27" t="n"/>
      <c r="D1055" s="25">
        <f>IF($C1055="","",IFERROR(IF(INDEX(Roster!$A:$A,MATCH($C1055,Roster!$B:$B,0))="","",INDEX(Roster!$A:$A,MATCH($C1055,Roster!$B:$B,0))&amp;""),"—"))</f>
        <v/>
      </c>
      <c r="E1055" s="25">
        <f>IF($C1055="","",IFERROR(IF(INDEX(Roster!$C:$C,MATCH($C1055,Roster!$B:$B,0))="","",INDEX(Roster!$C:$C,MATCH($C1055,Roster!$B:$B,0))&amp;""),"—"))</f>
        <v/>
      </c>
      <c r="F1055" s="25">
        <f>IF($C1055="","",IFERROR(IF(INDEX(Roster!$D:$D,MATCH($C1055,Roster!$B:$B,0))="","",INDEX(Roster!$D:$D,MATCH($C1055,Roster!$B:$B,0))&amp;""),"—"))</f>
        <v/>
      </c>
      <c r="G1055" s="25">
        <f>IF($C1055="","",IFERROR(IF(INDEX(Roster!$E:$E,MATCH($C1055,Roster!$B:$B,0))="","",INDEX(Roster!$E:$E,MATCH($C1055,Roster!$B:$B,0))&amp;""),"—"))</f>
        <v/>
      </c>
      <c r="H1055" s="25">
        <f>IF($C1055="","",IFERROR(IF(INDEX(Roster!$F:$F,MATCH($C1055,Roster!$B:$B,0))="","",INDEX(Roster!$F:$F,MATCH($C1055,Roster!$B:$B,0))&amp;""),"—"))</f>
        <v/>
      </c>
      <c r="I1055" s="25">
        <f>IF($C1055="","",IFERROR(IF(INDEX(Roster!$G:$G,MATCH($C1055,Roster!$B:$B,0))="","",INDEX(Roster!$G:$G,MATCH($C1055,Roster!$B:$B,0))&amp;""),"—"))</f>
        <v/>
      </c>
      <c r="J1055" s="25">
        <f>IF($C1055="","",IFERROR(IF(INDEX(Roster!$I:$I,MATCH($C1055,Roster!$B:$B,0))="","",INDEX(Roster!$I:$I,MATCH($C1055,Roster!$B:$B,0))&amp;""),"—"))</f>
        <v/>
      </c>
      <c r="K1055">
        <f>IF($C1055="","",IFERROR(IF(INDEX(Roster!$J:$J,MATCH($C1055,Roster!$B:$B,0))="","",INDEX(Roster!$J:$J,MATCH($C1055,Roster!$B:$B,0))&amp;""),"—"))</f>
        <v/>
      </c>
      <c r="L1055">
        <f>IF($C1055="","",IFERROR(IF(INDEX(Roster!$K:$K,MATCH($C1055,Roster!$B:$B,0))="","",INDEX(Roster!$K:$K,MATCH($C1055,Roster!$B:$B,0))&amp;""),"—"))</f>
        <v/>
      </c>
      <c r="M1055" s="27" t="n"/>
      <c r="N1055" s="27" t="n"/>
      <c r="O1055" s="25">
        <f>IF($C1055="","",IF($P1055="","—",IF($P1055="Valid (Pass)","Valid","Invalid")))</f>
        <v/>
      </c>
      <c r="P1055" s="27" t="n"/>
      <c r="Q1055" s="27" t="n"/>
      <c r="R1055" s="27" t="n"/>
      <c r="S1055" s="27" t="n"/>
      <c r="T1055" s="25">
        <f>IF($C1055="","",IF(OR(ISNUMBER(SEARCH("quick case",$P1055)),ISNUMBER(SEARCH("quick case",$Q1055))),"Yes","No"))</f>
        <v/>
      </c>
      <c r="U1055" s="25">
        <f>IF($O1055="Invalid",HYPERLINK("mailto:"&amp;$G1055&amp;";"&amp;$I1055&amp;"?cc="&amp;Lists!$E$2&amp;"&amp;subject="&amp;_xlfn.ENCODEURL("[INVALID] Quality audit monitoring completed for "&amp;UPPER($C1055))&amp;"&amp;body="&amp;_xlfn.ENCODEURL("Hi "&amp;$F1055&amp;","&amp;CHAR(10)&amp;"Good day!"&amp;CHAR(10)&amp;CHAR(10)&amp;"A quality monitoring audit has been completed for "&amp;$C1055&amp;"."&amp;CHAR(10)&amp;CHAR(10)&amp;"QUALITY AUDIT DETAILS"&amp;CHAR(10)&amp;"Agent Name: "&amp;$C1055&amp;" (EID "&amp;$D1055&amp;")"&amp;CHAR(10)&amp;"Audit Date: "&amp;TEXT($B1055,"yyyy-mm-dd")&amp;CHAR(10)&amp;"Team Leader: "&amp;$F1055&amp;CHAR(10)&amp;"Case Number: "&amp;$M1055&amp;CHAR(10)&amp;"Transaction ID: "&amp;$N1055&amp;CHAR(10)&amp;"Channel / LOB: "&amp;$K1055&amp;" / "&amp;$L1055&amp;CHAR(10)&amp;"Evaluator: "&amp;$S1055&amp;CHAR(10)&amp;CHAR(10)&amp;"INVALID QUALITY AUDIT DETAILS"&amp;CHAR(10)&amp;"Validation: Invalid"&amp;CHAR(10)&amp;"Invalid Reason: "&amp;$P1055&amp;CHAR(10)&amp;"Expected Resolution Code: "&amp;$Q1055&amp;CHAR(10)&amp;"Remarks: "&amp;LEFT($R1055,600)&amp;CHAR(10)&amp;CHAR(10)&amp;"This is an automated notification from HP Mainstream EQMS."),"✉ Open Email Draft"),"")</f>
        <v/>
      </c>
    </row>
    <row r="1056">
      <c r="A1056" s="25">
        <f>IF($C1056="","","AUD-2026-"&amp;TEXT(ROW()-1,"000000"))</f>
        <v/>
      </c>
      <c r="B1056" s="26" t="n"/>
      <c r="C1056" s="27" t="n"/>
      <c r="D1056" s="25">
        <f>IF($C1056="","",IFERROR(IF(INDEX(Roster!$A:$A,MATCH($C1056,Roster!$B:$B,0))="","",INDEX(Roster!$A:$A,MATCH($C1056,Roster!$B:$B,0))&amp;""),"—"))</f>
        <v/>
      </c>
      <c r="E1056" s="25">
        <f>IF($C1056="","",IFERROR(IF(INDEX(Roster!$C:$C,MATCH($C1056,Roster!$B:$B,0))="","",INDEX(Roster!$C:$C,MATCH($C1056,Roster!$B:$B,0))&amp;""),"—"))</f>
        <v/>
      </c>
      <c r="F1056" s="25">
        <f>IF($C1056="","",IFERROR(IF(INDEX(Roster!$D:$D,MATCH($C1056,Roster!$B:$B,0))="","",INDEX(Roster!$D:$D,MATCH($C1056,Roster!$B:$B,0))&amp;""),"—"))</f>
        <v/>
      </c>
      <c r="G1056" s="25">
        <f>IF($C1056="","",IFERROR(IF(INDEX(Roster!$E:$E,MATCH($C1056,Roster!$B:$B,0))="","",INDEX(Roster!$E:$E,MATCH($C1056,Roster!$B:$B,0))&amp;""),"—"))</f>
        <v/>
      </c>
      <c r="H1056" s="25">
        <f>IF($C1056="","",IFERROR(IF(INDEX(Roster!$F:$F,MATCH($C1056,Roster!$B:$B,0))="","",INDEX(Roster!$F:$F,MATCH($C1056,Roster!$B:$B,0))&amp;""),"—"))</f>
        <v/>
      </c>
      <c r="I1056" s="25">
        <f>IF($C1056="","",IFERROR(IF(INDEX(Roster!$G:$G,MATCH($C1056,Roster!$B:$B,0))="","",INDEX(Roster!$G:$G,MATCH($C1056,Roster!$B:$B,0))&amp;""),"—"))</f>
        <v/>
      </c>
      <c r="J1056" s="25">
        <f>IF($C1056="","",IFERROR(IF(INDEX(Roster!$I:$I,MATCH($C1056,Roster!$B:$B,0))="","",INDEX(Roster!$I:$I,MATCH($C1056,Roster!$B:$B,0))&amp;""),"—"))</f>
        <v/>
      </c>
      <c r="K1056">
        <f>IF($C1056="","",IFERROR(IF(INDEX(Roster!$J:$J,MATCH($C1056,Roster!$B:$B,0))="","",INDEX(Roster!$J:$J,MATCH($C1056,Roster!$B:$B,0))&amp;""),"—"))</f>
        <v/>
      </c>
      <c r="L1056">
        <f>IF($C1056="","",IFERROR(IF(INDEX(Roster!$K:$K,MATCH($C1056,Roster!$B:$B,0))="","",INDEX(Roster!$K:$K,MATCH($C1056,Roster!$B:$B,0))&amp;""),"—"))</f>
        <v/>
      </c>
      <c r="M1056" s="27" t="n"/>
      <c r="N1056" s="27" t="n"/>
      <c r="O1056" s="25">
        <f>IF($C1056="","",IF($P1056="","—",IF($P1056="Valid (Pass)","Valid","Invalid")))</f>
        <v/>
      </c>
      <c r="P1056" s="27" t="n"/>
      <c r="Q1056" s="27" t="n"/>
      <c r="R1056" s="27" t="n"/>
      <c r="S1056" s="27" t="n"/>
      <c r="T1056" s="25">
        <f>IF($C1056="","",IF(OR(ISNUMBER(SEARCH("quick case",$P1056)),ISNUMBER(SEARCH("quick case",$Q1056))),"Yes","No"))</f>
        <v/>
      </c>
      <c r="U1056" s="25">
        <f>IF($O1056="Invalid",HYPERLINK("mailto:"&amp;$G1056&amp;";"&amp;$I1056&amp;"?cc="&amp;Lists!$E$2&amp;"&amp;subject="&amp;_xlfn.ENCODEURL("[INVALID] Quality audit monitoring completed for "&amp;UPPER($C1056))&amp;"&amp;body="&amp;_xlfn.ENCODEURL("Hi "&amp;$F1056&amp;","&amp;CHAR(10)&amp;"Good day!"&amp;CHAR(10)&amp;CHAR(10)&amp;"A quality monitoring audit has been completed for "&amp;$C1056&amp;"."&amp;CHAR(10)&amp;CHAR(10)&amp;"QUALITY AUDIT DETAILS"&amp;CHAR(10)&amp;"Agent Name: "&amp;$C1056&amp;" (EID "&amp;$D1056&amp;")"&amp;CHAR(10)&amp;"Audit Date: "&amp;TEXT($B1056,"yyyy-mm-dd")&amp;CHAR(10)&amp;"Team Leader: "&amp;$F1056&amp;CHAR(10)&amp;"Case Number: "&amp;$M1056&amp;CHAR(10)&amp;"Transaction ID: "&amp;$N1056&amp;CHAR(10)&amp;"Channel / LOB: "&amp;$K1056&amp;" / "&amp;$L1056&amp;CHAR(10)&amp;"Evaluator: "&amp;$S1056&amp;CHAR(10)&amp;CHAR(10)&amp;"INVALID QUALITY AUDIT DETAILS"&amp;CHAR(10)&amp;"Validation: Invalid"&amp;CHAR(10)&amp;"Invalid Reason: "&amp;$P1056&amp;CHAR(10)&amp;"Expected Resolution Code: "&amp;$Q1056&amp;CHAR(10)&amp;"Remarks: "&amp;LEFT($R1056,600)&amp;CHAR(10)&amp;CHAR(10)&amp;"This is an automated notification from HP Mainstream EQMS."),"✉ Open Email Draft"),"")</f>
        <v/>
      </c>
    </row>
    <row r="1057">
      <c r="A1057" s="25">
        <f>IF($C1057="","","AUD-2026-"&amp;TEXT(ROW()-1,"000000"))</f>
        <v/>
      </c>
      <c r="B1057" s="26" t="n"/>
      <c r="C1057" s="27" t="n"/>
      <c r="D1057" s="25">
        <f>IF($C1057="","",IFERROR(IF(INDEX(Roster!$A:$A,MATCH($C1057,Roster!$B:$B,0))="","",INDEX(Roster!$A:$A,MATCH($C1057,Roster!$B:$B,0))&amp;""),"—"))</f>
        <v/>
      </c>
      <c r="E1057" s="25">
        <f>IF($C1057="","",IFERROR(IF(INDEX(Roster!$C:$C,MATCH($C1057,Roster!$B:$B,0))="","",INDEX(Roster!$C:$C,MATCH($C1057,Roster!$B:$B,0))&amp;""),"—"))</f>
        <v/>
      </c>
      <c r="F1057" s="25">
        <f>IF($C1057="","",IFERROR(IF(INDEX(Roster!$D:$D,MATCH($C1057,Roster!$B:$B,0))="","",INDEX(Roster!$D:$D,MATCH($C1057,Roster!$B:$B,0))&amp;""),"—"))</f>
        <v/>
      </c>
      <c r="G1057" s="25">
        <f>IF($C1057="","",IFERROR(IF(INDEX(Roster!$E:$E,MATCH($C1057,Roster!$B:$B,0))="","",INDEX(Roster!$E:$E,MATCH($C1057,Roster!$B:$B,0))&amp;""),"—"))</f>
        <v/>
      </c>
      <c r="H1057" s="25">
        <f>IF($C1057="","",IFERROR(IF(INDEX(Roster!$F:$F,MATCH($C1057,Roster!$B:$B,0))="","",INDEX(Roster!$F:$F,MATCH($C1057,Roster!$B:$B,0))&amp;""),"—"))</f>
        <v/>
      </c>
      <c r="I1057" s="25">
        <f>IF($C1057="","",IFERROR(IF(INDEX(Roster!$G:$G,MATCH($C1057,Roster!$B:$B,0))="","",INDEX(Roster!$G:$G,MATCH($C1057,Roster!$B:$B,0))&amp;""),"—"))</f>
        <v/>
      </c>
      <c r="J1057" s="25">
        <f>IF($C1057="","",IFERROR(IF(INDEX(Roster!$I:$I,MATCH($C1057,Roster!$B:$B,0))="","",INDEX(Roster!$I:$I,MATCH($C1057,Roster!$B:$B,0))&amp;""),"—"))</f>
        <v/>
      </c>
      <c r="K1057">
        <f>IF($C1057="","",IFERROR(IF(INDEX(Roster!$J:$J,MATCH($C1057,Roster!$B:$B,0))="","",INDEX(Roster!$J:$J,MATCH($C1057,Roster!$B:$B,0))&amp;""),"—"))</f>
        <v/>
      </c>
      <c r="L1057">
        <f>IF($C1057="","",IFERROR(IF(INDEX(Roster!$K:$K,MATCH($C1057,Roster!$B:$B,0))="","",INDEX(Roster!$K:$K,MATCH($C1057,Roster!$B:$B,0))&amp;""),"—"))</f>
        <v/>
      </c>
      <c r="M1057" s="27" t="n"/>
      <c r="N1057" s="27" t="n"/>
      <c r="O1057" s="25">
        <f>IF($C1057="","",IF($P1057="","—",IF($P1057="Valid (Pass)","Valid","Invalid")))</f>
        <v/>
      </c>
      <c r="P1057" s="27" t="n"/>
      <c r="Q1057" s="27" t="n"/>
      <c r="R1057" s="27" t="n"/>
      <c r="S1057" s="27" t="n"/>
      <c r="T1057" s="25">
        <f>IF($C1057="","",IF(OR(ISNUMBER(SEARCH("quick case",$P1057)),ISNUMBER(SEARCH("quick case",$Q1057))),"Yes","No"))</f>
        <v/>
      </c>
      <c r="U1057" s="25">
        <f>IF($O1057="Invalid",HYPERLINK("mailto:"&amp;$G1057&amp;";"&amp;$I1057&amp;"?cc="&amp;Lists!$E$2&amp;"&amp;subject="&amp;_xlfn.ENCODEURL("[INVALID] Quality audit monitoring completed for "&amp;UPPER($C1057))&amp;"&amp;body="&amp;_xlfn.ENCODEURL("Hi "&amp;$F1057&amp;","&amp;CHAR(10)&amp;"Good day!"&amp;CHAR(10)&amp;CHAR(10)&amp;"A quality monitoring audit has been completed for "&amp;$C1057&amp;"."&amp;CHAR(10)&amp;CHAR(10)&amp;"QUALITY AUDIT DETAILS"&amp;CHAR(10)&amp;"Agent Name: "&amp;$C1057&amp;" (EID "&amp;$D1057&amp;")"&amp;CHAR(10)&amp;"Audit Date: "&amp;TEXT($B1057,"yyyy-mm-dd")&amp;CHAR(10)&amp;"Team Leader: "&amp;$F1057&amp;CHAR(10)&amp;"Case Number: "&amp;$M1057&amp;CHAR(10)&amp;"Transaction ID: "&amp;$N1057&amp;CHAR(10)&amp;"Channel / LOB: "&amp;$K1057&amp;" / "&amp;$L1057&amp;CHAR(10)&amp;"Evaluator: "&amp;$S1057&amp;CHAR(10)&amp;CHAR(10)&amp;"INVALID QUALITY AUDIT DETAILS"&amp;CHAR(10)&amp;"Validation: Invalid"&amp;CHAR(10)&amp;"Invalid Reason: "&amp;$P1057&amp;CHAR(10)&amp;"Expected Resolution Code: "&amp;$Q1057&amp;CHAR(10)&amp;"Remarks: "&amp;LEFT($R1057,600)&amp;CHAR(10)&amp;CHAR(10)&amp;"This is an automated notification from HP Mainstream EQMS."),"✉ Open Email Draft"),"")</f>
        <v/>
      </c>
    </row>
    <row r="1058">
      <c r="A1058" s="25">
        <f>IF($C1058="","","AUD-2026-"&amp;TEXT(ROW()-1,"000000"))</f>
        <v/>
      </c>
      <c r="B1058" s="26" t="n"/>
      <c r="C1058" s="27" t="n"/>
      <c r="D1058" s="25">
        <f>IF($C1058="","",IFERROR(IF(INDEX(Roster!$A:$A,MATCH($C1058,Roster!$B:$B,0))="","",INDEX(Roster!$A:$A,MATCH($C1058,Roster!$B:$B,0))&amp;""),"—"))</f>
        <v/>
      </c>
      <c r="E1058" s="25">
        <f>IF($C1058="","",IFERROR(IF(INDEX(Roster!$C:$C,MATCH($C1058,Roster!$B:$B,0))="","",INDEX(Roster!$C:$C,MATCH($C1058,Roster!$B:$B,0))&amp;""),"—"))</f>
        <v/>
      </c>
      <c r="F1058" s="25">
        <f>IF($C1058="","",IFERROR(IF(INDEX(Roster!$D:$D,MATCH($C1058,Roster!$B:$B,0))="","",INDEX(Roster!$D:$D,MATCH($C1058,Roster!$B:$B,0))&amp;""),"—"))</f>
        <v/>
      </c>
      <c r="G1058" s="25">
        <f>IF($C1058="","",IFERROR(IF(INDEX(Roster!$E:$E,MATCH($C1058,Roster!$B:$B,0))="","",INDEX(Roster!$E:$E,MATCH($C1058,Roster!$B:$B,0))&amp;""),"—"))</f>
        <v/>
      </c>
      <c r="H1058" s="25">
        <f>IF($C1058="","",IFERROR(IF(INDEX(Roster!$F:$F,MATCH($C1058,Roster!$B:$B,0))="","",INDEX(Roster!$F:$F,MATCH($C1058,Roster!$B:$B,0))&amp;""),"—"))</f>
        <v/>
      </c>
      <c r="I1058" s="25">
        <f>IF($C1058="","",IFERROR(IF(INDEX(Roster!$G:$G,MATCH($C1058,Roster!$B:$B,0))="","",INDEX(Roster!$G:$G,MATCH($C1058,Roster!$B:$B,0))&amp;""),"—"))</f>
        <v/>
      </c>
      <c r="J1058" s="25">
        <f>IF($C1058="","",IFERROR(IF(INDEX(Roster!$I:$I,MATCH($C1058,Roster!$B:$B,0))="","",INDEX(Roster!$I:$I,MATCH($C1058,Roster!$B:$B,0))&amp;""),"—"))</f>
        <v/>
      </c>
      <c r="K1058">
        <f>IF($C1058="","",IFERROR(IF(INDEX(Roster!$J:$J,MATCH($C1058,Roster!$B:$B,0))="","",INDEX(Roster!$J:$J,MATCH($C1058,Roster!$B:$B,0))&amp;""),"—"))</f>
        <v/>
      </c>
      <c r="L1058">
        <f>IF($C1058="","",IFERROR(IF(INDEX(Roster!$K:$K,MATCH($C1058,Roster!$B:$B,0))="","",INDEX(Roster!$K:$K,MATCH($C1058,Roster!$B:$B,0))&amp;""),"—"))</f>
        <v/>
      </c>
      <c r="M1058" s="27" t="n"/>
      <c r="N1058" s="27" t="n"/>
      <c r="O1058" s="25">
        <f>IF($C1058="","",IF($P1058="","—",IF($P1058="Valid (Pass)","Valid","Invalid")))</f>
        <v/>
      </c>
      <c r="P1058" s="27" t="n"/>
      <c r="Q1058" s="27" t="n"/>
      <c r="R1058" s="27" t="n"/>
      <c r="S1058" s="27" t="n"/>
      <c r="T1058" s="25">
        <f>IF($C1058="","",IF(OR(ISNUMBER(SEARCH("quick case",$P1058)),ISNUMBER(SEARCH("quick case",$Q1058))),"Yes","No"))</f>
        <v/>
      </c>
      <c r="U1058" s="25">
        <f>IF($O1058="Invalid",HYPERLINK("mailto:"&amp;$G1058&amp;";"&amp;$I1058&amp;"?cc="&amp;Lists!$E$2&amp;"&amp;subject="&amp;_xlfn.ENCODEURL("[INVALID] Quality audit monitoring completed for "&amp;UPPER($C1058))&amp;"&amp;body="&amp;_xlfn.ENCODEURL("Hi "&amp;$F1058&amp;","&amp;CHAR(10)&amp;"Good day!"&amp;CHAR(10)&amp;CHAR(10)&amp;"A quality monitoring audit has been completed for "&amp;$C1058&amp;"."&amp;CHAR(10)&amp;CHAR(10)&amp;"QUALITY AUDIT DETAILS"&amp;CHAR(10)&amp;"Agent Name: "&amp;$C1058&amp;" (EID "&amp;$D1058&amp;")"&amp;CHAR(10)&amp;"Audit Date: "&amp;TEXT($B1058,"yyyy-mm-dd")&amp;CHAR(10)&amp;"Team Leader: "&amp;$F1058&amp;CHAR(10)&amp;"Case Number: "&amp;$M1058&amp;CHAR(10)&amp;"Transaction ID: "&amp;$N1058&amp;CHAR(10)&amp;"Channel / LOB: "&amp;$K1058&amp;" / "&amp;$L1058&amp;CHAR(10)&amp;"Evaluator: "&amp;$S1058&amp;CHAR(10)&amp;CHAR(10)&amp;"INVALID QUALITY AUDIT DETAILS"&amp;CHAR(10)&amp;"Validation: Invalid"&amp;CHAR(10)&amp;"Invalid Reason: "&amp;$P1058&amp;CHAR(10)&amp;"Expected Resolution Code: "&amp;$Q1058&amp;CHAR(10)&amp;"Remarks: "&amp;LEFT($R1058,600)&amp;CHAR(10)&amp;CHAR(10)&amp;"This is an automated notification from HP Mainstream EQMS."),"✉ Open Email Draft"),"")</f>
        <v/>
      </c>
    </row>
    <row r="1059">
      <c r="A1059" s="25">
        <f>IF($C1059="","","AUD-2026-"&amp;TEXT(ROW()-1,"000000"))</f>
        <v/>
      </c>
      <c r="B1059" s="26" t="n"/>
      <c r="C1059" s="27" t="n"/>
      <c r="D1059" s="25">
        <f>IF($C1059="","",IFERROR(IF(INDEX(Roster!$A:$A,MATCH($C1059,Roster!$B:$B,0))="","",INDEX(Roster!$A:$A,MATCH($C1059,Roster!$B:$B,0))&amp;""),"—"))</f>
        <v/>
      </c>
      <c r="E1059" s="25">
        <f>IF($C1059="","",IFERROR(IF(INDEX(Roster!$C:$C,MATCH($C1059,Roster!$B:$B,0))="","",INDEX(Roster!$C:$C,MATCH($C1059,Roster!$B:$B,0))&amp;""),"—"))</f>
        <v/>
      </c>
      <c r="F1059" s="25">
        <f>IF($C1059="","",IFERROR(IF(INDEX(Roster!$D:$D,MATCH($C1059,Roster!$B:$B,0))="","",INDEX(Roster!$D:$D,MATCH($C1059,Roster!$B:$B,0))&amp;""),"—"))</f>
        <v/>
      </c>
      <c r="G1059" s="25">
        <f>IF($C1059="","",IFERROR(IF(INDEX(Roster!$E:$E,MATCH($C1059,Roster!$B:$B,0))="","",INDEX(Roster!$E:$E,MATCH($C1059,Roster!$B:$B,0))&amp;""),"—"))</f>
        <v/>
      </c>
      <c r="H1059" s="25">
        <f>IF($C1059="","",IFERROR(IF(INDEX(Roster!$F:$F,MATCH($C1059,Roster!$B:$B,0))="","",INDEX(Roster!$F:$F,MATCH($C1059,Roster!$B:$B,0))&amp;""),"—"))</f>
        <v/>
      </c>
      <c r="I1059" s="25">
        <f>IF($C1059="","",IFERROR(IF(INDEX(Roster!$G:$G,MATCH($C1059,Roster!$B:$B,0))="","",INDEX(Roster!$G:$G,MATCH($C1059,Roster!$B:$B,0))&amp;""),"—"))</f>
        <v/>
      </c>
      <c r="J1059" s="25">
        <f>IF($C1059="","",IFERROR(IF(INDEX(Roster!$I:$I,MATCH($C1059,Roster!$B:$B,0))="","",INDEX(Roster!$I:$I,MATCH($C1059,Roster!$B:$B,0))&amp;""),"—"))</f>
        <v/>
      </c>
      <c r="K1059">
        <f>IF($C1059="","",IFERROR(IF(INDEX(Roster!$J:$J,MATCH($C1059,Roster!$B:$B,0))="","",INDEX(Roster!$J:$J,MATCH($C1059,Roster!$B:$B,0))&amp;""),"—"))</f>
        <v/>
      </c>
      <c r="L1059">
        <f>IF($C1059="","",IFERROR(IF(INDEX(Roster!$K:$K,MATCH($C1059,Roster!$B:$B,0))="","",INDEX(Roster!$K:$K,MATCH($C1059,Roster!$B:$B,0))&amp;""),"—"))</f>
        <v/>
      </c>
      <c r="M1059" s="27" t="n"/>
      <c r="N1059" s="27" t="n"/>
      <c r="O1059" s="25">
        <f>IF($C1059="","",IF($P1059="","—",IF($P1059="Valid (Pass)","Valid","Invalid")))</f>
        <v/>
      </c>
      <c r="P1059" s="27" t="n"/>
      <c r="Q1059" s="27" t="n"/>
      <c r="R1059" s="27" t="n"/>
      <c r="S1059" s="27" t="n"/>
      <c r="T1059" s="25">
        <f>IF($C1059="","",IF(OR(ISNUMBER(SEARCH("quick case",$P1059)),ISNUMBER(SEARCH("quick case",$Q1059))),"Yes","No"))</f>
        <v/>
      </c>
      <c r="U1059" s="25">
        <f>IF($O1059="Invalid",HYPERLINK("mailto:"&amp;$G1059&amp;";"&amp;$I1059&amp;"?cc="&amp;Lists!$E$2&amp;"&amp;subject="&amp;_xlfn.ENCODEURL("[INVALID] Quality audit monitoring completed for "&amp;UPPER($C1059))&amp;"&amp;body="&amp;_xlfn.ENCODEURL("Hi "&amp;$F1059&amp;","&amp;CHAR(10)&amp;"Good day!"&amp;CHAR(10)&amp;CHAR(10)&amp;"A quality monitoring audit has been completed for "&amp;$C1059&amp;"."&amp;CHAR(10)&amp;CHAR(10)&amp;"QUALITY AUDIT DETAILS"&amp;CHAR(10)&amp;"Agent Name: "&amp;$C1059&amp;" (EID "&amp;$D1059&amp;")"&amp;CHAR(10)&amp;"Audit Date: "&amp;TEXT($B1059,"yyyy-mm-dd")&amp;CHAR(10)&amp;"Team Leader: "&amp;$F1059&amp;CHAR(10)&amp;"Case Number: "&amp;$M1059&amp;CHAR(10)&amp;"Transaction ID: "&amp;$N1059&amp;CHAR(10)&amp;"Channel / LOB: "&amp;$K1059&amp;" / "&amp;$L1059&amp;CHAR(10)&amp;"Evaluator: "&amp;$S1059&amp;CHAR(10)&amp;CHAR(10)&amp;"INVALID QUALITY AUDIT DETAILS"&amp;CHAR(10)&amp;"Validation: Invalid"&amp;CHAR(10)&amp;"Invalid Reason: "&amp;$P1059&amp;CHAR(10)&amp;"Expected Resolution Code: "&amp;$Q1059&amp;CHAR(10)&amp;"Remarks: "&amp;LEFT($R1059,600)&amp;CHAR(10)&amp;CHAR(10)&amp;"This is an automated notification from HP Mainstream EQMS."),"✉ Open Email Draft"),"")</f>
        <v/>
      </c>
    </row>
    <row r="1060">
      <c r="A1060" s="25">
        <f>IF($C1060="","","AUD-2026-"&amp;TEXT(ROW()-1,"000000"))</f>
        <v/>
      </c>
      <c r="B1060" s="26" t="n"/>
      <c r="C1060" s="27" t="n"/>
      <c r="D1060" s="25">
        <f>IF($C1060="","",IFERROR(IF(INDEX(Roster!$A:$A,MATCH($C1060,Roster!$B:$B,0))="","",INDEX(Roster!$A:$A,MATCH($C1060,Roster!$B:$B,0))&amp;""),"—"))</f>
        <v/>
      </c>
      <c r="E1060" s="25">
        <f>IF($C1060="","",IFERROR(IF(INDEX(Roster!$C:$C,MATCH($C1060,Roster!$B:$B,0))="","",INDEX(Roster!$C:$C,MATCH($C1060,Roster!$B:$B,0))&amp;""),"—"))</f>
        <v/>
      </c>
      <c r="F1060" s="25">
        <f>IF($C1060="","",IFERROR(IF(INDEX(Roster!$D:$D,MATCH($C1060,Roster!$B:$B,0))="","",INDEX(Roster!$D:$D,MATCH($C1060,Roster!$B:$B,0))&amp;""),"—"))</f>
        <v/>
      </c>
      <c r="G1060" s="25">
        <f>IF($C1060="","",IFERROR(IF(INDEX(Roster!$E:$E,MATCH($C1060,Roster!$B:$B,0))="","",INDEX(Roster!$E:$E,MATCH($C1060,Roster!$B:$B,0))&amp;""),"—"))</f>
        <v/>
      </c>
      <c r="H1060" s="25">
        <f>IF($C1060="","",IFERROR(IF(INDEX(Roster!$F:$F,MATCH($C1060,Roster!$B:$B,0))="","",INDEX(Roster!$F:$F,MATCH($C1060,Roster!$B:$B,0))&amp;""),"—"))</f>
        <v/>
      </c>
      <c r="I1060" s="25">
        <f>IF($C1060="","",IFERROR(IF(INDEX(Roster!$G:$G,MATCH($C1060,Roster!$B:$B,0))="","",INDEX(Roster!$G:$G,MATCH($C1060,Roster!$B:$B,0))&amp;""),"—"))</f>
        <v/>
      </c>
      <c r="J1060" s="25">
        <f>IF($C1060="","",IFERROR(IF(INDEX(Roster!$I:$I,MATCH($C1060,Roster!$B:$B,0))="","",INDEX(Roster!$I:$I,MATCH($C1060,Roster!$B:$B,0))&amp;""),"—"))</f>
        <v/>
      </c>
      <c r="K1060">
        <f>IF($C1060="","",IFERROR(IF(INDEX(Roster!$J:$J,MATCH($C1060,Roster!$B:$B,0))="","",INDEX(Roster!$J:$J,MATCH($C1060,Roster!$B:$B,0))&amp;""),"—"))</f>
        <v/>
      </c>
      <c r="L1060">
        <f>IF($C1060="","",IFERROR(IF(INDEX(Roster!$K:$K,MATCH($C1060,Roster!$B:$B,0))="","",INDEX(Roster!$K:$K,MATCH($C1060,Roster!$B:$B,0))&amp;""),"—"))</f>
        <v/>
      </c>
      <c r="M1060" s="27" t="n"/>
      <c r="N1060" s="27" t="n"/>
      <c r="O1060" s="25">
        <f>IF($C1060="","",IF($P1060="","—",IF($P1060="Valid (Pass)","Valid","Invalid")))</f>
        <v/>
      </c>
      <c r="P1060" s="27" t="n"/>
      <c r="Q1060" s="27" t="n"/>
      <c r="R1060" s="27" t="n"/>
      <c r="S1060" s="27" t="n"/>
      <c r="T1060" s="25">
        <f>IF($C1060="","",IF(OR(ISNUMBER(SEARCH("quick case",$P1060)),ISNUMBER(SEARCH("quick case",$Q1060))),"Yes","No"))</f>
        <v/>
      </c>
      <c r="U1060" s="25">
        <f>IF($O1060="Invalid",HYPERLINK("mailto:"&amp;$G1060&amp;";"&amp;$I1060&amp;"?cc="&amp;Lists!$E$2&amp;"&amp;subject="&amp;_xlfn.ENCODEURL("[INVALID] Quality audit monitoring completed for "&amp;UPPER($C1060))&amp;"&amp;body="&amp;_xlfn.ENCODEURL("Hi "&amp;$F1060&amp;","&amp;CHAR(10)&amp;"Good day!"&amp;CHAR(10)&amp;CHAR(10)&amp;"A quality monitoring audit has been completed for "&amp;$C1060&amp;"."&amp;CHAR(10)&amp;CHAR(10)&amp;"QUALITY AUDIT DETAILS"&amp;CHAR(10)&amp;"Agent Name: "&amp;$C1060&amp;" (EID "&amp;$D1060&amp;")"&amp;CHAR(10)&amp;"Audit Date: "&amp;TEXT($B1060,"yyyy-mm-dd")&amp;CHAR(10)&amp;"Team Leader: "&amp;$F1060&amp;CHAR(10)&amp;"Case Number: "&amp;$M1060&amp;CHAR(10)&amp;"Transaction ID: "&amp;$N1060&amp;CHAR(10)&amp;"Channel / LOB: "&amp;$K1060&amp;" / "&amp;$L1060&amp;CHAR(10)&amp;"Evaluator: "&amp;$S1060&amp;CHAR(10)&amp;CHAR(10)&amp;"INVALID QUALITY AUDIT DETAILS"&amp;CHAR(10)&amp;"Validation: Invalid"&amp;CHAR(10)&amp;"Invalid Reason: "&amp;$P1060&amp;CHAR(10)&amp;"Expected Resolution Code: "&amp;$Q1060&amp;CHAR(10)&amp;"Remarks: "&amp;LEFT($R1060,600)&amp;CHAR(10)&amp;CHAR(10)&amp;"This is an automated notification from HP Mainstream EQMS."),"✉ Open Email Draft"),"")</f>
        <v/>
      </c>
    </row>
    <row r="1061">
      <c r="A1061" s="25">
        <f>IF($C1061="","","AUD-2026-"&amp;TEXT(ROW()-1,"000000"))</f>
        <v/>
      </c>
      <c r="B1061" s="26" t="n"/>
      <c r="C1061" s="27" t="n"/>
      <c r="D1061" s="25">
        <f>IF($C1061="","",IFERROR(IF(INDEX(Roster!$A:$A,MATCH($C1061,Roster!$B:$B,0))="","",INDEX(Roster!$A:$A,MATCH($C1061,Roster!$B:$B,0))&amp;""),"—"))</f>
        <v/>
      </c>
      <c r="E1061" s="25">
        <f>IF($C1061="","",IFERROR(IF(INDEX(Roster!$C:$C,MATCH($C1061,Roster!$B:$B,0))="","",INDEX(Roster!$C:$C,MATCH($C1061,Roster!$B:$B,0))&amp;""),"—"))</f>
        <v/>
      </c>
      <c r="F1061" s="25">
        <f>IF($C1061="","",IFERROR(IF(INDEX(Roster!$D:$D,MATCH($C1061,Roster!$B:$B,0))="","",INDEX(Roster!$D:$D,MATCH($C1061,Roster!$B:$B,0))&amp;""),"—"))</f>
        <v/>
      </c>
      <c r="G1061" s="25">
        <f>IF($C1061="","",IFERROR(IF(INDEX(Roster!$E:$E,MATCH($C1061,Roster!$B:$B,0))="","",INDEX(Roster!$E:$E,MATCH($C1061,Roster!$B:$B,0))&amp;""),"—"))</f>
        <v/>
      </c>
      <c r="H1061" s="25">
        <f>IF($C1061="","",IFERROR(IF(INDEX(Roster!$F:$F,MATCH($C1061,Roster!$B:$B,0))="","",INDEX(Roster!$F:$F,MATCH($C1061,Roster!$B:$B,0))&amp;""),"—"))</f>
        <v/>
      </c>
      <c r="I1061" s="25">
        <f>IF($C1061="","",IFERROR(IF(INDEX(Roster!$G:$G,MATCH($C1061,Roster!$B:$B,0))="","",INDEX(Roster!$G:$G,MATCH($C1061,Roster!$B:$B,0))&amp;""),"—"))</f>
        <v/>
      </c>
      <c r="J1061" s="25">
        <f>IF($C1061="","",IFERROR(IF(INDEX(Roster!$I:$I,MATCH($C1061,Roster!$B:$B,0))="","",INDEX(Roster!$I:$I,MATCH($C1061,Roster!$B:$B,0))&amp;""),"—"))</f>
        <v/>
      </c>
      <c r="K1061">
        <f>IF($C1061="","",IFERROR(IF(INDEX(Roster!$J:$J,MATCH($C1061,Roster!$B:$B,0))="","",INDEX(Roster!$J:$J,MATCH($C1061,Roster!$B:$B,0))&amp;""),"—"))</f>
        <v/>
      </c>
      <c r="L1061">
        <f>IF($C1061="","",IFERROR(IF(INDEX(Roster!$K:$K,MATCH($C1061,Roster!$B:$B,0))="","",INDEX(Roster!$K:$K,MATCH($C1061,Roster!$B:$B,0))&amp;""),"—"))</f>
        <v/>
      </c>
      <c r="M1061" s="27" t="n"/>
      <c r="N1061" s="27" t="n"/>
      <c r="O1061" s="25">
        <f>IF($C1061="","",IF($P1061="","—",IF($P1061="Valid (Pass)","Valid","Invalid")))</f>
        <v/>
      </c>
      <c r="P1061" s="27" t="n"/>
      <c r="Q1061" s="27" t="n"/>
      <c r="R1061" s="27" t="n"/>
      <c r="S1061" s="27" t="n"/>
      <c r="T1061" s="25">
        <f>IF($C1061="","",IF(OR(ISNUMBER(SEARCH("quick case",$P1061)),ISNUMBER(SEARCH("quick case",$Q1061))),"Yes","No"))</f>
        <v/>
      </c>
      <c r="U1061" s="25">
        <f>IF($O1061="Invalid",HYPERLINK("mailto:"&amp;$G1061&amp;";"&amp;$I1061&amp;"?cc="&amp;Lists!$E$2&amp;"&amp;subject="&amp;_xlfn.ENCODEURL("[INVALID] Quality audit monitoring completed for "&amp;UPPER($C1061))&amp;"&amp;body="&amp;_xlfn.ENCODEURL("Hi "&amp;$F1061&amp;","&amp;CHAR(10)&amp;"Good day!"&amp;CHAR(10)&amp;CHAR(10)&amp;"A quality monitoring audit has been completed for "&amp;$C1061&amp;"."&amp;CHAR(10)&amp;CHAR(10)&amp;"QUALITY AUDIT DETAILS"&amp;CHAR(10)&amp;"Agent Name: "&amp;$C1061&amp;" (EID "&amp;$D1061&amp;")"&amp;CHAR(10)&amp;"Audit Date: "&amp;TEXT($B1061,"yyyy-mm-dd")&amp;CHAR(10)&amp;"Team Leader: "&amp;$F1061&amp;CHAR(10)&amp;"Case Number: "&amp;$M1061&amp;CHAR(10)&amp;"Transaction ID: "&amp;$N1061&amp;CHAR(10)&amp;"Channel / LOB: "&amp;$K1061&amp;" / "&amp;$L1061&amp;CHAR(10)&amp;"Evaluator: "&amp;$S1061&amp;CHAR(10)&amp;CHAR(10)&amp;"INVALID QUALITY AUDIT DETAILS"&amp;CHAR(10)&amp;"Validation: Invalid"&amp;CHAR(10)&amp;"Invalid Reason: "&amp;$P1061&amp;CHAR(10)&amp;"Expected Resolution Code: "&amp;$Q1061&amp;CHAR(10)&amp;"Remarks: "&amp;LEFT($R1061,600)&amp;CHAR(10)&amp;CHAR(10)&amp;"This is an automated notification from HP Mainstream EQMS."),"✉ Open Email Draft"),"")</f>
        <v/>
      </c>
    </row>
    <row r="1062">
      <c r="A1062" s="25">
        <f>IF($C1062="","","AUD-2026-"&amp;TEXT(ROW()-1,"000000"))</f>
        <v/>
      </c>
      <c r="B1062" s="26" t="n"/>
      <c r="C1062" s="27" t="n"/>
      <c r="D1062" s="25">
        <f>IF($C1062="","",IFERROR(IF(INDEX(Roster!$A:$A,MATCH($C1062,Roster!$B:$B,0))="","",INDEX(Roster!$A:$A,MATCH($C1062,Roster!$B:$B,0))&amp;""),"—"))</f>
        <v/>
      </c>
      <c r="E1062" s="25">
        <f>IF($C1062="","",IFERROR(IF(INDEX(Roster!$C:$C,MATCH($C1062,Roster!$B:$B,0))="","",INDEX(Roster!$C:$C,MATCH($C1062,Roster!$B:$B,0))&amp;""),"—"))</f>
        <v/>
      </c>
      <c r="F1062" s="25">
        <f>IF($C1062="","",IFERROR(IF(INDEX(Roster!$D:$D,MATCH($C1062,Roster!$B:$B,0))="","",INDEX(Roster!$D:$D,MATCH($C1062,Roster!$B:$B,0))&amp;""),"—"))</f>
        <v/>
      </c>
      <c r="G1062" s="25">
        <f>IF($C1062="","",IFERROR(IF(INDEX(Roster!$E:$E,MATCH($C1062,Roster!$B:$B,0))="","",INDEX(Roster!$E:$E,MATCH($C1062,Roster!$B:$B,0))&amp;""),"—"))</f>
        <v/>
      </c>
      <c r="H1062" s="25">
        <f>IF($C1062="","",IFERROR(IF(INDEX(Roster!$F:$F,MATCH($C1062,Roster!$B:$B,0))="","",INDEX(Roster!$F:$F,MATCH($C1062,Roster!$B:$B,0))&amp;""),"—"))</f>
        <v/>
      </c>
      <c r="I1062" s="25">
        <f>IF($C1062="","",IFERROR(IF(INDEX(Roster!$G:$G,MATCH($C1062,Roster!$B:$B,0))="","",INDEX(Roster!$G:$G,MATCH($C1062,Roster!$B:$B,0))&amp;""),"—"))</f>
        <v/>
      </c>
      <c r="J1062" s="25">
        <f>IF($C1062="","",IFERROR(IF(INDEX(Roster!$I:$I,MATCH($C1062,Roster!$B:$B,0))="","",INDEX(Roster!$I:$I,MATCH($C1062,Roster!$B:$B,0))&amp;""),"—"))</f>
        <v/>
      </c>
      <c r="K1062">
        <f>IF($C1062="","",IFERROR(IF(INDEX(Roster!$J:$J,MATCH($C1062,Roster!$B:$B,0))="","",INDEX(Roster!$J:$J,MATCH($C1062,Roster!$B:$B,0))&amp;""),"—"))</f>
        <v/>
      </c>
      <c r="L1062">
        <f>IF($C1062="","",IFERROR(IF(INDEX(Roster!$K:$K,MATCH($C1062,Roster!$B:$B,0))="","",INDEX(Roster!$K:$K,MATCH($C1062,Roster!$B:$B,0))&amp;""),"—"))</f>
        <v/>
      </c>
      <c r="M1062" s="27" t="n"/>
      <c r="N1062" s="27" t="n"/>
      <c r="O1062" s="25">
        <f>IF($C1062="","",IF($P1062="","—",IF($P1062="Valid (Pass)","Valid","Invalid")))</f>
        <v/>
      </c>
      <c r="P1062" s="27" t="n"/>
      <c r="Q1062" s="27" t="n"/>
      <c r="R1062" s="27" t="n"/>
      <c r="S1062" s="27" t="n"/>
      <c r="T1062" s="25">
        <f>IF($C1062="","",IF(OR(ISNUMBER(SEARCH("quick case",$P1062)),ISNUMBER(SEARCH("quick case",$Q1062))),"Yes","No"))</f>
        <v/>
      </c>
      <c r="U1062" s="25">
        <f>IF($O1062="Invalid",HYPERLINK("mailto:"&amp;$G1062&amp;";"&amp;$I1062&amp;"?cc="&amp;Lists!$E$2&amp;"&amp;subject="&amp;_xlfn.ENCODEURL("[INVALID] Quality audit monitoring completed for "&amp;UPPER($C1062))&amp;"&amp;body="&amp;_xlfn.ENCODEURL("Hi "&amp;$F1062&amp;","&amp;CHAR(10)&amp;"Good day!"&amp;CHAR(10)&amp;CHAR(10)&amp;"A quality monitoring audit has been completed for "&amp;$C1062&amp;"."&amp;CHAR(10)&amp;CHAR(10)&amp;"QUALITY AUDIT DETAILS"&amp;CHAR(10)&amp;"Agent Name: "&amp;$C1062&amp;" (EID "&amp;$D1062&amp;")"&amp;CHAR(10)&amp;"Audit Date: "&amp;TEXT($B1062,"yyyy-mm-dd")&amp;CHAR(10)&amp;"Team Leader: "&amp;$F1062&amp;CHAR(10)&amp;"Case Number: "&amp;$M1062&amp;CHAR(10)&amp;"Transaction ID: "&amp;$N1062&amp;CHAR(10)&amp;"Channel / LOB: "&amp;$K1062&amp;" / "&amp;$L1062&amp;CHAR(10)&amp;"Evaluator: "&amp;$S1062&amp;CHAR(10)&amp;CHAR(10)&amp;"INVALID QUALITY AUDIT DETAILS"&amp;CHAR(10)&amp;"Validation: Invalid"&amp;CHAR(10)&amp;"Invalid Reason: "&amp;$P1062&amp;CHAR(10)&amp;"Expected Resolution Code: "&amp;$Q1062&amp;CHAR(10)&amp;"Remarks: "&amp;LEFT($R1062,600)&amp;CHAR(10)&amp;CHAR(10)&amp;"This is an automated notification from HP Mainstream EQMS."),"✉ Open Email Draft"),"")</f>
        <v/>
      </c>
    </row>
    <row r="1063">
      <c r="A1063" s="25">
        <f>IF($C1063="","","AUD-2026-"&amp;TEXT(ROW()-1,"000000"))</f>
        <v/>
      </c>
      <c r="B1063" s="26" t="n"/>
      <c r="C1063" s="27" t="n"/>
      <c r="D1063" s="25">
        <f>IF($C1063="","",IFERROR(IF(INDEX(Roster!$A:$A,MATCH($C1063,Roster!$B:$B,0))="","",INDEX(Roster!$A:$A,MATCH($C1063,Roster!$B:$B,0))&amp;""),"—"))</f>
        <v/>
      </c>
      <c r="E1063" s="25">
        <f>IF($C1063="","",IFERROR(IF(INDEX(Roster!$C:$C,MATCH($C1063,Roster!$B:$B,0))="","",INDEX(Roster!$C:$C,MATCH($C1063,Roster!$B:$B,0))&amp;""),"—"))</f>
        <v/>
      </c>
      <c r="F1063" s="25">
        <f>IF($C1063="","",IFERROR(IF(INDEX(Roster!$D:$D,MATCH($C1063,Roster!$B:$B,0))="","",INDEX(Roster!$D:$D,MATCH($C1063,Roster!$B:$B,0))&amp;""),"—"))</f>
        <v/>
      </c>
      <c r="G1063" s="25">
        <f>IF($C1063="","",IFERROR(IF(INDEX(Roster!$E:$E,MATCH($C1063,Roster!$B:$B,0))="","",INDEX(Roster!$E:$E,MATCH($C1063,Roster!$B:$B,0))&amp;""),"—"))</f>
        <v/>
      </c>
      <c r="H1063" s="25">
        <f>IF($C1063="","",IFERROR(IF(INDEX(Roster!$F:$F,MATCH($C1063,Roster!$B:$B,0))="","",INDEX(Roster!$F:$F,MATCH($C1063,Roster!$B:$B,0))&amp;""),"—"))</f>
        <v/>
      </c>
      <c r="I1063" s="25">
        <f>IF($C1063="","",IFERROR(IF(INDEX(Roster!$G:$G,MATCH($C1063,Roster!$B:$B,0))="","",INDEX(Roster!$G:$G,MATCH($C1063,Roster!$B:$B,0))&amp;""),"—"))</f>
        <v/>
      </c>
      <c r="J1063" s="25">
        <f>IF($C1063="","",IFERROR(IF(INDEX(Roster!$I:$I,MATCH($C1063,Roster!$B:$B,0))="","",INDEX(Roster!$I:$I,MATCH($C1063,Roster!$B:$B,0))&amp;""),"—"))</f>
        <v/>
      </c>
      <c r="K1063">
        <f>IF($C1063="","",IFERROR(IF(INDEX(Roster!$J:$J,MATCH($C1063,Roster!$B:$B,0))="","",INDEX(Roster!$J:$J,MATCH($C1063,Roster!$B:$B,0))&amp;""),"—"))</f>
        <v/>
      </c>
      <c r="L1063">
        <f>IF($C1063="","",IFERROR(IF(INDEX(Roster!$K:$K,MATCH($C1063,Roster!$B:$B,0))="","",INDEX(Roster!$K:$K,MATCH($C1063,Roster!$B:$B,0))&amp;""),"—"))</f>
        <v/>
      </c>
      <c r="M1063" s="27" t="n"/>
      <c r="N1063" s="27" t="n"/>
      <c r="O1063" s="25">
        <f>IF($C1063="","",IF($P1063="","—",IF($P1063="Valid (Pass)","Valid","Invalid")))</f>
        <v/>
      </c>
      <c r="P1063" s="27" t="n"/>
      <c r="Q1063" s="27" t="n"/>
      <c r="R1063" s="27" t="n"/>
      <c r="S1063" s="27" t="n"/>
      <c r="T1063" s="25">
        <f>IF($C1063="","",IF(OR(ISNUMBER(SEARCH("quick case",$P1063)),ISNUMBER(SEARCH("quick case",$Q1063))),"Yes","No"))</f>
        <v/>
      </c>
      <c r="U1063" s="25">
        <f>IF($O1063="Invalid",HYPERLINK("mailto:"&amp;$G1063&amp;";"&amp;$I1063&amp;"?cc="&amp;Lists!$E$2&amp;"&amp;subject="&amp;_xlfn.ENCODEURL("[INVALID] Quality audit monitoring completed for "&amp;UPPER($C1063))&amp;"&amp;body="&amp;_xlfn.ENCODEURL("Hi "&amp;$F1063&amp;","&amp;CHAR(10)&amp;"Good day!"&amp;CHAR(10)&amp;CHAR(10)&amp;"A quality monitoring audit has been completed for "&amp;$C1063&amp;"."&amp;CHAR(10)&amp;CHAR(10)&amp;"QUALITY AUDIT DETAILS"&amp;CHAR(10)&amp;"Agent Name: "&amp;$C1063&amp;" (EID "&amp;$D1063&amp;")"&amp;CHAR(10)&amp;"Audit Date: "&amp;TEXT($B1063,"yyyy-mm-dd")&amp;CHAR(10)&amp;"Team Leader: "&amp;$F1063&amp;CHAR(10)&amp;"Case Number: "&amp;$M1063&amp;CHAR(10)&amp;"Transaction ID: "&amp;$N1063&amp;CHAR(10)&amp;"Channel / LOB: "&amp;$K1063&amp;" / "&amp;$L1063&amp;CHAR(10)&amp;"Evaluator: "&amp;$S1063&amp;CHAR(10)&amp;CHAR(10)&amp;"INVALID QUALITY AUDIT DETAILS"&amp;CHAR(10)&amp;"Validation: Invalid"&amp;CHAR(10)&amp;"Invalid Reason: "&amp;$P1063&amp;CHAR(10)&amp;"Expected Resolution Code: "&amp;$Q1063&amp;CHAR(10)&amp;"Remarks: "&amp;LEFT($R1063,600)&amp;CHAR(10)&amp;CHAR(10)&amp;"This is an automated notification from HP Mainstream EQMS."),"✉ Open Email Draft"),"")</f>
        <v/>
      </c>
    </row>
    <row r="1064">
      <c r="A1064" s="25">
        <f>IF($C1064="","","AUD-2026-"&amp;TEXT(ROW()-1,"000000"))</f>
        <v/>
      </c>
      <c r="B1064" s="26" t="n"/>
      <c r="C1064" s="27" t="n"/>
      <c r="D1064" s="25">
        <f>IF($C1064="","",IFERROR(IF(INDEX(Roster!$A:$A,MATCH($C1064,Roster!$B:$B,0))="","",INDEX(Roster!$A:$A,MATCH($C1064,Roster!$B:$B,0))&amp;""),"—"))</f>
        <v/>
      </c>
      <c r="E1064" s="25">
        <f>IF($C1064="","",IFERROR(IF(INDEX(Roster!$C:$C,MATCH($C1064,Roster!$B:$B,0))="","",INDEX(Roster!$C:$C,MATCH($C1064,Roster!$B:$B,0))&amp;""),"—"))</f>
        <v/>
      </c>
      <c r="F1064" s="25">
        <f>IF($C1064="","",IFERROR(IF(INDEX(Roster!$D:$D,MATCH($C1064,Roster!$B:$B,0))="","",INDEX(Roster!$D:$D,MATCH($C1064,Roster!$B:$B,0))&amp;""),"—"))</f>
        <v/>
      </c>
      <c r="G1064" s="25">
        <f>IF($C1064="","",IFERROR(IF(INDEX(Roster!$E:$E,MATCH($C1064,Roster!$B:$B,0))="","",INDEX(Roster!$E:$E,MATCH($C1064,Roster!$B:$B,0))&amp;""),"—"))</f>
        <v/>
      </c>
      <c r="H1064" s="25">
        <f>IF($C1064="","",IFERROR(IF(INDEX(Roster!$F:$F,MATCH($C1064,Roster!$B:$B,0))="","",INDEX(Roster!$F:$F,MATCH($C1064,Roster!$B:$B,0))&amp;""),"—"))</f>
        <v/>
      </c>
      <c r="I1064" s="25">
        <f>IF($C1064="","",IFERROR(IF(INDEX(Roster!$G:$G,MATCH($C1064,Roster!$B:$B,0))="","",INDEX(Roster!$G:$G,MATCH($C1064,Roster!$B:$B,0))&amp;""),"—"))</f>
        <v/>
      </c>
      <c r="J1064" s="25">
        <f>IF($C1064="","",IFERROR(IF(INDEX(Roster!$I:$I,MATCH($C1064,Roster!$B:$B,0))="","",INDEX(Roster!$I:$I,MATCH($C1064,Roster!$B:$B,0))&amp;""),"—"))</f>
        <v/>
      </c>
      <c r="K1064">
        <f>IF($C1064="","",IFERROR(IF(INDEX(Roster!$J:$J,MATCH($C1064,Roster!$B:$B,0))="","",INDEX(Roster!$J:$J,MATCH($C1064,Roster!$B:$B,0))&amp;""),"—"))</f>
        <v/>
      </c>
      <c r="L1064">
        <f>IF($C1064="","",IFERROR(IF(INDEX(Roster!$K:$K,MATCH($C1064,Roster!$B:$B,0))="","",INDEX(Roster!$K:$K,MATCH($C1064,Roster!$B:$B,0))&amp;""),"—"))</f>
        <v/>
      </c>
      <c r="M1064" s="27" t="n"/>
      <c r="N1064" s="27" t="n"/>
      <c r="O1064" s="25">
        <f>IF($C1064="","",IF($P1064="","—",IF($P1064="Valid (Pass)","Valid","Invalid")))</f>
        <v/>
      </c>
      <c r="P1064" s="27" t="n"/>
      <c r="Q1064" s="27" t="n"/>
      <c r="R1064" s="27" t="n"/>
      <c r="S1064" s="27" t="n"/>
      <c r="T1064" s="25">
        <f>IF($C1064="","",IF(OR(ISNUMBER(SEARCH("quick case",$P1064)),ISNUMBER(SEARCH("quick case",$Q1064))),"Yes","No"))</f>
        <v/>
      </c>
      <c r="U1064" s="25">
        <f>IF($O1064="Invalid",HYPERLINK("mailto:"&amp;$G1064&amp;";"&amp;$I1064&amp;"?cc="&amp;Lists!$E$2&amp;"&amp;subject="&amp;_xlfn.ENCODEURL("[INVALID] Quality audit monitoring completed for "&amp;UPPER($C1064))&amp;"&amp;body="&amp;_xlfn.ENCODEURL("Hi "&amp;$F1064&amp;","&amp;CHAR(10)&amp;"Good day!"&amp;CHAR(10)&amp;CHAR(10)&amp;"A quality monitoring audit has been completed for "&amp;$C1064&amp;"."&amp;CHAR(10)&amp;CHAR(10)&amp;"QUALITY AUDIT DETAILS"&amp;CHAR(10)&amp;"Agent Name: "&amp;$C1064&amp;" (EID "&amp;$D1064&amp;")"&amp;CHAR(10)&amp;"Audit Date: "&amp;TEXT($B1064,"yyyy-mm-dd")&amp;CHAR(10)&amp;"Team Leader: "&amp;$F1064&amp;CHAR(10)&amp;"Case Number: "&amp;$M1064&amp;CHAR(10)&amp;"Transaction ID: "&amp;$N1064&amp;CHAR(10)&amp;"Channel / LOB: "&amp;$K1064&amp;" / "&amp;$L1064&amp;CHAR(10)&amp;"Evaluator: "&amp;$S1064&amp;CHAR(10)&amp;CHAR(10)&amp;"INVALID QUALITY AUDIT DETAILS"&amp;CHAR(10)&amp;"Validation: Invalid"&amp;CHAR(10)&amp;"Invalid Reason: "&amp;$P1064&amp;CHAR(10)&amp;"Expected Resolution Code: "&amp;$Q1064&amp;CHAR(10)&amp;"Remarks: "&amp;LEFT($R1064,600)&amp;CHAR(10)&amp;CHAR(10)&amp;"This is an automated notification from HP Mainstream EQMS."),"✉ Open Email Draft"),"")</f>
        <v/>
      </c>
    </row>
    <row r="1065">
      <c r="A1065" s="25">
        <f>IF($C1065="","","AUD-2026-"&amp;TEXT(ROW()-1,"000000"))</f>
        <v/>
      </c>
      <c r="B1065" s="26" t="n"/>
      <c r="C1065" s="27" t="n"/>
      <c r="D1065" s="25">
        <f>IF($C1065="","",IFERROR(IF(INDEX(Roster!$A:$A,MATCH($C1065,Roster!$B:$B,0))="","",INDEX(Roster!$A:$A,MATCH($C1065,Roster!$B:$B,0))&amp;""),"—"))</f>
        <v/>
      </c>
      <c r="E1065" s="25">
        <f>IF($C1065="","",IFERROR(IF(INDEX(Roster!$C:$C,MATCH($C1065,Roster!$B:$B,0))="","",INDEX(Roster!$C:$C,MATCH($C1065,Roster!$B:$B,0))&amp;""),"—"))</f>
        <v/>
      </c>
      <c r="F1065" s="25">
        <f>IF($C1065="","",IFERROR(IF(INDEX(Roster!$D:$D,MATCH($C1065,Roster!$B:$B,0))="","",INDEX(Roster!$D:$D,MATCH($C1065,Roster!$B:$B,0))&amp;""),"—"))</f>
        <v/>
      </c>
      <c r="G1065" s="25">
        <f>IF($C1065="","",IFERROR(IF(INDEX(Roster!$E:$E,MATCH($C1065,Roster!$B:$B,0))="","",INDEX(Roster!$E:$E,MATCH($C1065,Roster!$B:$B,0))&amp;""),"—"))</f>
        <v/>
      </c>
      <c r="H1065" s="25">
        <f>IF($C1065="","",IFERROR(IF(INDEX(Roster!$F:$F,MATCH($C1065,Roster!$B:$B,0))="","",INDEX(Roster!$F:$F,MATCH($C1065,Roster!$B:$B,0))&amp;""),"—"))</f>
        <v/>
      </c>
      <c r="I1065" s="25">
        <f>IF($C1065="","",IFERROR(IF(INDEX(Roster!$G:$G,MATCH($C1065,Roster!$B:$B,0))="","",INDEX(Roster!$G:$G,MATCH($C1065,Roster!$B:$B,0))&amp;""),"—"))</f>
        <v/>
      </c>
      <c r="J1065" s="25">
        <f>IF($C1065="","",IFERROR(IF(INDEX(Roster!$I:$I,MATCH($C1065,Roster!$B:$B,0))="","",INDEX(Roster!$I:$I,MATCH($C1065,Roster!$B:$B,0))&amp;""),"—"))</f>
        <v/>
      </c>
      <c r="K1065">
        <f>IF($C1065="","",IFERROR(IF(INDEX(Roster!$J:$J,MATCH($C1065,Roster!$B:$B,0))="","",INDEX(Roster!$J:$J,MATCH($C1065,Roster!$B:$B,0))&amp;""),"—"))</f>
        <v/>
      </c>
      <c r="L1065">
        <f>IF($C1065="","",IFERROR(IF(INDEX(Roster!$K:$K,MATCH($C1065,Roster!$B:$B,0))="","",INDEX(Roster!$K:$K,MATCH($C1065,Roster!$B:$B,0))&amp;""),"—"))</f>
        <v/>
      </c>
      <c r="M1065" s="27" t="n"/>
      <c r="N1065" s="27" t="n"/>
      <c r="O1065" s="25">
        <f>IF($C1065="","",IF($P1065="","—",IF($P1065="Valid (Pass)","Valid","Invalid")))</f>
        <v/>
      </c>
      <c r="P1065" s="27" t="n"/>
      <c r="Q1065" s="27" t="n"/>
      <c r="R1065" s="27" t="n"/>
      <c r="S1065" s="27" t="n"/>
      <c r="T1065" s="25">
        <f>IF($C1065="","",IF(OR(ISNUMBER(SEARCH("quick case",$P1065)),ISNUMBER(SEARCH("quick case",$Q1065))),"Yes","No"))</f>
        <v/>
      </c>
      <c r="U1065" s="25">
        <f>IF($O1065="Invalid",HYPERLINK("mailto:"&amp;$G1065&amp;";"&amp;$I1065&amp;"?cc="&amp;Lists!$E$2&amp;"&amp;subject="&amp;_xlfn.ENCODEURL("[INVALID] Quality audit monitoring completed for "&amp;UPPER($C1065))&amp;"&amp;body="&amp;_xlfn.ENCODEURL("Hi "&amp;$F1065&amp;","&amp;CHAR(10)&amp;"Good day!"&amp;CHAR(10)&amp;CHAR(10)&amp;"A quality monitoring audit has been completed for "&amp;$C1065&amp;"."&amp;CHAR(10)&amp;CHAR(10)&amp;"QUALITY AUDIT DETAILS"&amp;CHAR(10)&amp;"Agent Name: "&amp;$C1065&amp;" (EID "&amp;$D1065&amp;")"&amp;CHAR(10)&amp;"Audit Date: "&amp;TEXT($B1065,"yyyy-mm-dd")&amp;CHAR(10)&amp;"Team Leader: "&amp;$F1065&amp;CHAR(10)&amp;"Case Number: "&amp;$M1065&amp;CHAR(10)&amp;"Transaction ID: "&amp;$N1065&amp;CHAR(10)&amp;"Channel / LOB: "&amp;$K1065&amp;" / "&amp;$L1065&amp;CHAR(10)&amp;"Evaluator: "&amp;$S1065&amp;CHAR(10)&amp;CHAR(10)&amp;"INVALID QUALITY AUDIT DETAILS"&amp;CHAR(10)&amp;"Validation: Invalid"&amp;CHAR(10)&amp;"Invalid Reason: "&amp;$P1065&amp;CHAR(10)&amp;"Expected Resolution Code: "&amp;$Q1065&amp;CHAR(10)&amp;"Remarks: "&amp;LEFT($R1065,600)&amp;CHAR(10)&amp;CHAR(10)&amp;"This is an automated notification from HP Mainstream EQMS."),"✉ Open Email Draft"),"")</f>
        <v/>
      </c>
    </row>
    <row r="1066">
      <c r="A1066" s="25">
        <f>IF($C1066="","","AUD-2026-"&amp;TEXT(ROW()-1,"000000"))</f>
        <v/>
      </c>
      <c r="B1066" s="26" t="n"/>
      <c r="C1066" s="27" t="n"/>
      <c r="D1066" s="25">
        <f>IF($C1066="","",IFERROR(IF(INDEX(Roster!$A:$A,MATCH($C1066,Roster!$B:$B,0))="","",INDEX(Roster!$A:$A,MATCH($C1066,Roster!$B:$B,0))&amp;""),"—"))</f>
        <v/>
      </c>
      <c r="E1066" s="25">
        <f>IF($C1066="","",IFERROR(IF(INDEX(Roster!$C:$C,MATCH($C1066,Roster!$B:$B,0))="","",INDEX(Roster!$C:$C,MATCH($C1066,Roster!$B:$B,0))&amp;""),"—"))</f>
        <v/>
      </c>
      <c r="F1066" s="25">
        <f>IF($C1066="","",IFERROR(IF(INDEX(Roster!$D:$D,MATCH($C1066,Roster!$B:$B,0))="","",INDEX(Roster!$D:$D,MATCH($C1066,Roster!$B:$B,0))&amp;""),"—"))</f>
        <v/>
      </c>
      <c r="G1066" s="25">
        <f>IF($C1066="","",IFERROR(IF(INDEX(Roster!$E:$E,MATCH($C1066,Roster!$B:$B,0))="","",INDEX(Roster!$E:$E,MATCH($C1066,Roster!$B:$B,0))&amp;""),"—"))</f>
        <v/>
      </c>
      <c r="H1066" s="25">
        <f>IF($C1066="","",IFERROR(IF(INDEX(Roster!$F:$F,MATCH($C1066,Roster!$B:$B,0))="","",INDEX(Roster!$F:$F,MATCH($C1066,Roster!$B:$B,0))&amp;""),"—"))</f>
        <v/>
      </c>
      <c r="I1066" s="25">
        <f>IF($C1066="","",IFERROR(IF(INDEX(Roster!$G:$G,MATCH($C1066,Roster!$B:$B,0))="","",INDEX(Roster!$G:$G,MATCH($C1066,Roster!$B:$B,0))&amp;""),"—"))</f>
        <v/>
      </c>
      <c r="J1066" s="25">
        <f>IF($C1066="","",IFERROR(IF(INDEX(Roster!$I:$I,MATCH($C1066,Roster!$B:$B,0))="","",INDEX(Roster!$I:$I,MATCH($C1066,Roster!$B:$B,0))&amp;""),"—"))</f>
        <v/>
      </c>
      <c r="K1066">
        <f>IF($C1066="","",IFERROR(IF(INDEX(Roster!$J:$J,MATCH($C1066,Roster!$B:$B,0))="","",INDEX(Roster!$J:$J,MATCH($C1066,Roster!$B:$B,0))&amp;""),"—"))</f>
        <v/>
      </c>
      <c r="L1066">
        <f>IF($C1066="","",IFERROR(IF(INDEX(Roster!$K:$K,MATCH($C1066,Roster!$B:$B,0))="","",INDEX(Roster!$K:$K,MATCH($C1066,Roster!$B:$B,0))&amp;""),"—"))</f>
        <v/>
      </c>
      <c r="M1066" s="27" t="n"/>
      <c r="N1066" s="27" t="n"/>
      <c r="O1066" s="25">
        <f>IF($C1066="","",IF($P1066="","—",IF($P1066="Valid (Pass)","Valid","Invalid")))</f>
        <v/>
      </c>
      <c r="P1066" s="27" t="n"/>
      <c r="Q1066" s="27" t="n"/>
      <c r="R1066" s="27" t="n"/>
      <c r="S1066" s="27" t="n"/>
      <c r="T1066" s="25">
        <f>IF($C1066="","",IF(OR(ISNUMBER(SEARCH("quick case",$P1066)),ISNUMBER(SEARCH("quick case",$Q1066))),"Yes","No"))</f>
        <v/>
      </c>
      <c r="U1066" s="25">
        <f>IF($O1066="Invalid",HYPERLINK("mailto:"&amp;$G1066&amp;";"&amp;$I1066&amp;"?cc="&amp;Lists!$E$2&amp;"&amp;subject="&amp;_xlfn.ENCODEURL("[INVALID] Quality audit monitoring completed for "&amp;UPPER($C1066))&amp;"&amp;body="&amp;_xlfn.ENCODEURL("Hi "&amp;$F1066&amp;","&amp;CHAR(10)&amp;"Good day!"&amp;CHAR(10)&amp;CHAR(10)&amp;"A quality monitoring audit has been completed for "&amp;$C1066&amp;"."&amp;CHAR(10)&amp;CHAR(10)&amp;"QUALITY AUDIT DETAILS"&amp;CHAR(10)&amp;"Agent Name: "&amp;$C1066&amp;" (EID "&amp;$D1066&amp;")"&amp;CHAR(10)&amp;"Audit Date: "&amp;TEXT($B1066,"yyyy-mm-dd")&amp;CHAR(10)&amp;"Team Leader: "&amp;$F1066&amp;CHAR(10)&amp;"Case Number: "&amp;$M1066&amp;CHAR(10)&amp;"Transaction ID: "&amp;$N1066&amp;CHAR(10)&amp;"Channel / LOB: "&amp;$K1066&amp;" / "&amp;$L1066&amp;CHAR(10)&amp;"Evaluator: "&amp;$S1066&amp;CHAR(10)&amp;CHAR(10)&amp;"INVALID QUALITY AUDIT DETAILS"&amp;CHAR(10)&amp;"Validation: Invalid"&amp;CHAR(10)&amp;"Invalid Reason: "&amp;$P1066&amp;CHAR(10)&amp;"Expected Resolution Code: "&amp;$Q1066&amp;CHAR(10)&amp;"Remarks: "&amp;LEFT($R1066,600)&amp;CHAR(10)&amp;CHAR(10)&amp;"This is an automated notification from HP Mainstream EQMS."),"✉ Open Email Draft"),"")</f>
        <v/>
      </c>
    </row>
    <row r="1067">
      <c r="A1067" s="25">
        <f>IF($C1067="","","AUD-2026-"&amp;TEXT(ROW()-1,"000000"))</f>
        <v/>
      </c>
      <c r="B1067" s="26" t="n"/>
      <c r="C1067" s="27" t="n"/>
      <c r="D1067" s="25">
        <f>IF($C1067="","",IFERROR(IF(INDEX(Roster!$A:$A,MATCH($C1067,Roster!$B:$B,0))="","",INDEX(Roster!$A:$A,MATCH($C1067,Roster!$B:$B,0))&amp;""),"—"))</f>
        <v/>
      </c>
      <c r="E1067" s="25">
        <f>IF($C1067="","",IFERROR(IF(INDEX(Roster!$C:$C,MATCH($C1067,Roster!$B:$B,0))="","",INDEX(Roster!$C:$C,MATCH($C1067,Roster!$B:$B,0))&amp;""),"—"))</f>
        <v/>
      </c>
      <c r="F1067" s="25">
        <f>IF($C1067="","",IFERROR(IF(INDEX(Roster!$D:$D,MATCH($C1067,Roster!$B:$B,0))="","",INDEX(Roster!$D:$D,MATCH($C1067,Roster!$B:$B,0))&amp;""),"—"))</f>
        <v/>
      </c>
      <c r="G1067" s="25">
        <f>IF($C1067="","",IFERROR(IF(INDEX(Roster!$E:$E,MATCH($C1067,Roster!$B:$B,0))="","",INDEX(Roster!$E:$E,MATCH($C1067,Roster!$B:$B,0))&amp;""),"—"))</f>
        <v/>
      </c>
      <c r="H1067" s="25">
        <f>IF($C1067="","",IFERROR(IF(INDEX(Roster!$F:$F,MATCH($C1067,Roster!$B:$B,0))="","",INDEX(Roster!$F:$F,MATCH($C1067,Roster!$B:$B,0))&amp;""),"—"))</f>
        <v/>
      </c>
      <c r="I1067" s="25">
        <f>IF($C1067="","",IFERROR(IF(INDEX(Roster!$G:$G,MATCH($C1067,Roster!$B:$B,0))="","",INDEX(Roster!$G:$G,MATCH($C1067,Roster!$B:$B,0))&amp;""),"—"))</f>
        <v/>
      </c>
      <c r="J1067" s="25">
        <f>IF($C1067="","",IFERROR(IF(INDEX(Roster!$I:$I,MATCH($C1067,Roster!$B:$B,0))="","",INDEX(Roster!$I:$I,MATCH($C1067,Roster!$B:$B,0))&amp;""),"—"))</f>
        <v/>
      </c>
      <c r="K1067">
        <f>IF($C1067="","",IFERROR(IF(INDEX(Roster!$J:$J,MATCH($C1067,Roster!$B:$B,0))="","",INDEX(Roster!$J:$J,MATCH($C1067,Roster!$B:$B,0))&amp;""),"—"))</f>
        <v/>
      </c>
      <c r="L1067">
        <f>IF($C1067="","",IFERROR(IF(INDEX(Roster!$K:$K,MATCH($C1067,Roster!$B:$B,0))="","",INDEX(Roster!$K:$K,MATCH($C1067,Roster!$B:$B,0))&amp;""),"—"))</f>
        <v/>
      </c>
      <c r="M1067" s="27" t="n"/>
      <c r="N1067" s="27" t="n"/>
      <c r="O1067" s="25">
        <f>IF($C1067="","",IF($P1067="","—",IF($P1067="Valid (Pass)","Valid","Invalid")))</f>
        <v/>
      </c>
      <c r="P1067" s="27" t="n"/>
      <c r="Q1067" s="27" t="n"/>
      <c r="R1067" s="27" t="n"/>
      <c r="S1067" s="27" t="n"/>
      <c r="T1067" s="25">
        <f>IF($C1067="","",IF(OR(ISNUMBER(SEARCH("quick case",$P1067)),ISNUMBER(SEARCH("quick case",$Q1067))),"Yes","No"))</f>
        <v/>
      </c>
      <c r="U1067" s="25">
        <f>IF($O1067="Invalid",HYPERLINK("mailto:"&amp;$G1067&amp;";"&amp;$I1067&amp;"?cc="&amp;Lists!$E$2&amp;"&amp;subject="&amp;_xlfn.ENCODEURL("[INVALID] Quality audit monitoring completed for "&amp;UPPER($C1067))&amp;"&amp;body="&amp;_xlfn.ENCODEURL("Hi "&amp;$F1067&amp;","&amp;CHAR(10)&amp;"Good day!"&amp;CHAR(10)&amp;CHAR(10)&amp;"A quality monitoring audit has been completed for "&amp;$C1067&amp;"."&amp;CHAR(10)&amp;CHAR(10)&amp;"QUALITY AUDIT DETAILS"&amp;CHAR(10)&amp;"Agent Name: "&amp;$C1067&amp;" (EID "&amp;$D1067&amp;")"&amp;CHAR(10)&amp;"Audit Date: "&amp;TEXT($B1067,"yyyy-mm-dd")&amp;CHAR(10)&amp;"Team Leader: "&amp;$F1067&amp;CHAR(10)&amp;"Case Number: "&amp;$M1067&amp;CHAR(10)&amp;"Transaction ID: "&amp;$N1067&amp;CHAR(10)&amp;"Channel / LOB: "&amp;$K1067&amp;" / "&amp;$L1067&amp;CHAR(10)&amp;"Evaluator: "&amp;$S1067&amp;CHAR(10)&amp;CHAR(10)&amp;"INVALID QUALITY AUDIT DETAILS"&amp;CHAR(10)&amp;"Validation: Invalid"&amp;CHAR(10)&amp;"Invalid Reason: "&amp;$P1067&amp;CHAR(10)&amp;"Expected Resolution Code: "&amp;$Q1067&amp;CHAR(10)&amp;"Remarks: "&amp;LEFT($R1067,600)&amp;CHAR(10)&amp;CHAR(10)&amp;"This is an automated notification from HP Mainstream EQMS."),"✉ Open Email Draft"),"")</f>
        <v/>
      </c>
    </row>
    <row r="1068">
      <c r="A1068" s="25">
        <f>IF($C1068="","","AUD-2026-"&amp;TEXT(ROW()-1,"000000"))</f>
        <v/>
      </c>
      <c r="B1068" s="26" t="n"/>
      <c r="C1068" s="27" t="n"/>
      <c r="D1068" s="25">
        <f>IF($C1068="","",IFERROR(IF(INDEX(Roster!$A:$A,MATCH($C1068,Roster!$B:$B,0))="","",INDEX(Roster!$A:$A,MATCH($C1068,Roster!$B:$B,0))&amp;""),"—"))</f>
        <v/>
      </c>
      <c r="E1068" s="25">
        <f>IF($C1068="","",IFERROR(IF(INDEX(Roster!$C:$C,MATCH($C1068,Roster!$B:$B,0))="","",INDEX(Roster!$C:$C,MATCH($C1068,Roster!$B:$B,0))&amp;""),"—"))</f>
        <v/>
      </c>
      <c r="F1068" s="25">
        <f>IF($C1068="","",IFERROR(IF(INDEX(Roster!$D:$D,MATCH($C1068,Roster!$B:$B,0))="","",INDEX(Roster!$D:$D,MATCH($C1068,Roster!$B:$B,0))&amp;""),"—"))</f>
        <v/>
      </c>
      <c r="G1068" s="25">
        <f>IF($C1068="","",IFERROR(IF(INDEX(Roster!$E:$E,MATCH($C1068,Roster!$B:$B,0))="","",INDEX(Roster!$E:$E,MATCH($C1068,Roster!$B:$B,0))&amp;""),"—"))</f>
        <v/>
      </c>
      <c r="H1068" s="25">
        <f>IF($C1068="","",IFERROR(IF(INDEX(Roster!$F:$F,MATCH($C1068,Roster!$B:$B,0))="","",INDEX(Roster!$F:$F,MATCH($C1068,Roster!$B:$B,0))&amp;""),"—"))</f>
        <v/>
      </c>
      <c r="I1068" s="25">
        <f>IF($C1068="","",IFERROR(IF(INDEX(Roster!$G:$G,MATCH($C1068,Roster!$B:$B,0))="","",INDEX(Roster!$G:$G,MATCH($C1068,Roster!$B:$B,0))&amp;""),"—"))</f>
        <v/>
      </c>
      <c r="J1068" s="25">
        <f>IF($C1068="","",IFERROR(IF(INDEX(Roster!$I:$I,MATCH($C1068,Roster!$B:$B,0))="","",INDEX(Roster!$I:$I,MATCH($C1068,Roster!$B:$B,0))&amp;""),"—"))</f>
        <v/>
      </c>
      <c r="K1068">
        <f>IF($C1068="","",IFERROR(IF(INDEX(Roster!$J:$J,MATCH($C1068,Roster!$B:$B,0))="","",INDEX(Roster!$J:$J,MATCH($C1068,Roster!$B:$B,0))&amp;""),"—"))</f>
        <v/>
      </c>
      <c r="L1068">
        <f>IF($C1068="","",IFERROR(IF(INDEX(Roster!$K:$K,MATCH($C1068,Roster!$B:$B,0))="","",INDEX(Roster!$K:$K,MATCH($C1068,Roster!$B:$B,0))&amp;""),"—"))</f>
        <v/>
      </c>
      <c r="M1068" s="27" t="n"/>
      <c r="N1068" s="27" t="n"/>
      <c r="O1068" s="25">
        <f>IF($C1068="","",IF($P1068="","—",IF($P1068="Valid (Pass)","Valid","Invalid")))</f>
        <v/>
      </c>
      <c r="P1068" s="27" t="n"/>
      <c r="Q1068" s="27" t="n"/>
      <c r="R1068" s="27" t="n"/>
      <c r="S1068" s="27" t="n"/>
      <c r="T1068" s="25">
        <f>IF($C1068="","",IF(OR(ISNUMBER(SEARCH("quick case",$P1068)),ISNUMBER(SEARCH("quick case",$Q1068))),"Yes","No"))</f>
        <v/>
      </c>
      <c r="U1068" s="25">
        <f>IF($O1068="Invalid",HYPERLINK("mailto:"&amp;$G1068&amp;";"&amp;$I1068&amp;"?cc="&amp;Lists!$E$2&amp;"&amp;subject="&amp;_xlfn.ENCODEURL("[INVALID] Quality audit monitoring completed for "&amp;UPPER($C1068))&amp;"&amp;body="&amp;_xlfn.ENCODEURL("Hi "&amp;$F1068&amp;","&amp;CHAR(10)&amp;"Good day!"&amp;CHAR(10)&amp;CHAR(10)&amp;"A quality monitoring audit has been completed for "&amp;$C1068&amp;"."&amp;CHAR(10)&amp;CHAR(10)&amp;"QUALITY AUDIT DETAILS"&amp;CHAR(10)&amp;"Agent Name: "&amp;$C1068&amp;" (EID "&amp;$D1068&amp;")"&amp;CHAR(10)&amp;"Audit Date: "&amp;TEXT($B1068,"yyyy-mm-dd")&amp;CHAR(10)&amp;"Team Leader: "&amp;$F1068&amp;CHAR(10)&amp;"Case Number: "&amp;$M1068&amp;CHAR(10)&amp;"Transaction ID: "&amp;$N1068&amp;CHAR(10)&amp;"Channel / LOB: "&amp;$K1068&amp;" / "&amp;$L1068&amp;CHAR(10)&amp;"Evaluator: "&amp;$S1068&amp;CHAR(10)&amp;CHAR(10)&amp;"INVALID QUALITY AUDIT DETAILS"&amp;CHAR(10)&amp;"Validation: Invalid"&amp;CHAR(10)&amp;"Invalid Reason: "&amp;$P1068&amp;CHAR(10)&amp;"Expected Resolution Code: "&amp;$Q1068&amp;CHAR(10)&amp;"Remarks: "&amp;LEFT($R1068,600)&amp;CHAR(10)&amp;CHAR(10)&amp;"This is an automated notification from HP Mainstream EQMS."),"✉ Open Email Draft"),"")</f>
        <v/>
      </c>
    </row>
    <row r="1069">
      <c r="A1069" s="25">
        <f>IF($C1069="","","AUD-2026-"&amp;TEXT(ROW()-1,"000000"))</f>
        <v/>
      </c>
      <c r="B1069" s="26" t="n"/>
      <c r="C1069" s="27" t="n"/>
      <c r="D1069" s="25">
        <f>IF($C1069="","",IFERROR(IF(INDEX(Roster!$A:$A,MATCH($C1069,Roster!$B:$B,0))="","",INDEX(Roster!$A:$A,MATCH($C1069,Roster!$B:$B,0))&amp;""),"—"))</f>
        <v/>
      </c>
      <c r="E1069" s="25">
        <f>IF($C1069="","",IFERROR(IF(INDEX(Roster!$C:$C,MATCH($C1069,Roster!$B:$B,0))="","",INDEX(Roster!$C:$C,MATCH($C1069,Roster!$B:$B,0))&amp;""),"—"))</f>
        <v/>
      </c>
      <c r="F1069" s="25">
        <f>IF($C1069="","",IFERROR(IF(INDEX(Roster!$D:$D,MATCH($C1069,Roster!$B:$B,0))="","",INDEX(Roster!$D:$D,MATCH($C1069,Roster!$B:$B,0))&amp;""),"—"))</f>
        <v/>
      </c>
      <c r="G1069" s="25">
        <f>IF($C1069="","",IFERROR(IF(INDEX(Roster!$E:$E,MATCH($C1069,Roster!$B:$B,0))="","",INDEX(Roster!$E:$E,MATCH($C1069,Roster!$B:$B,0))&amp;""),"—"))</f>
        <v/>
      </c>
      <c r="H1069" s="25">
        <f>IF($C1069="","",IFERROR(IF(INDEX(Roster!$F:$F,MATCH($C1069,Roster!$B:$B,0))="","",INDEX(Roster!$F:$F,MATCH($C1069,Roster!$B:$B,0))&amp;""),"—"))</f>
        <v/>
      </c>
      <c r="I1069" s="25">
        <f>IF($C1069="","",IFERROR(IF(INDEX(Roster!$G:$G,MATCH($C1069,Roster!$B:$B,0))="","",INDEX(Roster!$G:$G,MATCH($C1069,Roster!$B:$B,0))&amp;""),"—"))</f>
        <v/>
      </c>
      <c r="J1069" s="25">
        <f>IF($C1069="","",IFERROR(IF(INDEX(Roster!$I:$I,MATCH($C1069,Roster!$B:$B,0))="","",INDEX(Roster!$I:$I,MATCH($C1069,Roster!$B:$B,0))&amp;""),"—"))</f>
        <v/>
      </c>
      <c r="K1069">
        <f>IF($C1069="","",IFERROR(IF(INDEX(Roster!$J:$J,MATCH($C1069,Roster!$B:$B,0))="","",INDEX(Roster!$J:$J,MATCH($C1069,Roster!$B:$B,0))&amp;""),"—"))</f>
        <v/>
      </c>
      <c r="L1069">
        <f>IF($C1069="","",IFERROR(IF(INDEX(Roster!$K:$K,MATCH($C1069,Roster!$B:$B,0))="","",INDEX(Roster!$K:$K,MATCH($C1069,Roster!$B:$B,0))&amp;""),"—"))</f>
        <v/>
      </c>
      <c r="M1069" s="27" t="n"/>
      <c r="N1069" s="27" t="n"/>
      <c r="O1069" s="25">
        <f>IF($C1069="","",IF($P1069="","—",IF($P1069="Valid (Pass)","Valid","Invalid")))</f>
        <v/>
      </c>
      <c r="P1069" s="27" t="n"/>
      <c r="Q1069" s="27" t="n"/>
      <c r="R1069" s="27" t="n"/>
      <c r="S1069" s="27" t="n"/>
      <c r="T1069" s="25">
        <f>IF($C1069="","",IF(OR(ISNUMBER(SEARCH("quick case",$P1069)),ISNUMBER(SEARCH("quick case",$Q1069))),"Yes","No"))</f>
        <v/>
      </c>
      <c r="U1069" s="25">
        <f>IF($O1069="Invalid",HYPERLINK("mailto:"&amp;$G1069&amp;";"&amp;$I1069&amp;"?cc="&amp;Lists!$E$2&amp;"&amp;subject="&amp;_xlfn.ENCODEURL("[INVALID] Quality audit monitoring completed for "&amp;UPPER($C1069))&amp;"&amp;body="&amp;_xlfn.ENCODEURL("Hi "&amp;$F1069&amp;","&amp;CHAR(10)&amp;"Good day!"&amp;CHAR(10)&amp;CHAR(10)&amp;"A quality monitoring audit has been completed for "&amp;$C1069&amp;"."&amp;CHAR(10)&amp;CHAR(10)&amp;"QUALITY AUDIT DETAILS"&amp;CHAR(10)&amp;"Agent Name: "&amp;$C1069&amp;" (EID "&amp;$D1069&amp;")"&amp;CHAR(10)&amp;"Audit Date: "&amp;TEXT($B1069,"yyyy-mm-dd")&amp;CHAR(10)&amp;"Team Leader: "&amp;$F1069&amp;CHAR(10)&amp;"Case Number: "&amp;$M1069&amp;CHAR(10)&amp;"Transaction ID: "&amp;$N1069&amp;CHAR(10)&amp;"Channel / LOB: "&amp;$K1069&amp;" / "&amp;$L1069&amp;CHAR(10)&amp;"Evaluator: "&amp;$S1069&amp;CHAR(10)&amp;CHAR(10)&amp;"INVALID QUALITY AUDIT DETAILS"&amp;CHAR(10)&amp;"Validation: Invalid"&amp;CHAR(10)&amp;"Invalid Reason: "&amp;$P1069&amp;CHAR(10)&amp;"Expected Resolution Code: "&amp;$Q1069&amp;CHAR(10)&amp;"Remarks: "&amp;LEFT($R1069,600)&amp;CHAR(10)&amp;CHAR(10)&amp;"This is an automated notification from HP Mainstream EQMS."),"✉ Open Email Draft"),"")</f>
        <v/>
      </c>
    </row>
    <row r="1070">
      <c r="A1070" s="25">
        <f>IF($C1070="","","AUD-2026-"&amp;TEXT(ROW()-1,"000000"))</f>
        <v/>
      </c>
      <c r="B1070" s="26" t="n"/>
      <c r="C1070" s="27" t="n"/>
      <c r="D1070" s="25">
        <f>IF($C1070="","",IFERROR(IF(INDEX(Roster!$A:$A,MATCH($C1070,Roster!$B:$B,0))="","",INDEX(Roster!$A:$A,MATCH($C1070,Roster!$B:$B,0))&amp;""),"—"))</f>
        <v/>
      </c>
      <c r="E1070" s="25">
        <f>IF($C1070="","",IFERROR(IF(INDEX(Roster!$C:$C,MATCH($C1070,Roster!$B:$B,0))="","",INDEX(Roster!$C:$C,MATCH($C1070,Roster!$B:$B,0))&amp;""),"—"))</f>
        <v/>
      </c>
      <c r="F1070" s="25">
        <f>IF($C1070="","",IFERROR(IF(INDEX(Roster!$D:$D,MATCH($C1070,Roster!$B:$B,0))="","",INDEX(Roster!$D:$D,MATCH($C1070,Roster!$B:$B,0))&amp;""),"—"))</f>
        <v/>
      </c>
      <c r="G1070" s="25">
        <f>IF($C1070="","",IFERROR(IF(INDEX(Roster!$E:$E,MATCH($C1070,Roster!$B:$B,0))="","",INDEX(Roster!$E:$E,MATCH($C1070,Roster!$B:$B,0))&amp;""),"—"))</f>
        <v/>
      </c>
      <c r="H1070" s="25">
        <f>IF($C1070="","",IFERROR(IF(INDEX(Roster!$F:$F,MATCH($C1070,Roster!$B:$B,0))="","",INDEX(Roster!$F:$F,MATCH($C1070,Roster!$B:$B,0))&amp;""),"—"))</f>
        <v/>
      </c>
      <c r="I1070" s="25">
        <f>IF($C1070="","",IFERROR(IF(INDEX(Roster!$G:$G,MATCH($C1070,Roster!$B:$B,0))="","",INDEX(Roster!$G:$G,MATCH($C1070,Roster!$B:$B,0))&amp;""),"—"))</f>
        <v/>
      </c>
      <c r="J1070" s="25">
        <f>IF($C1070="","",IFERROR(IF(INDEX(Roster!$I:$I,MATCH($C1070,Roster!$B:$B,0))="","",INDEX(Roster!$I:$I,MATCH($C1070,Roster!$B:$B,0))&amp;""),"—"))</f>
        <v/>
      </c>
      <c r="K1070">
        <f>IF($C1070="","",IFERROR(IF(INDEX(Roster!$J:$J,MATCH($C1070,Roster!$B:$B,0))="","",INDEX(Roster!$J:$J,MATCH($C1070,Roster!$B:$B,0))&amp;""),"—"))</f>
        <v/>
      </c>
      <c r="L1070">
        <f>IF($C1070="","",IFERROR(IF(INDEX(Roster!$K:$K,MATCH($C1070,Roster!$B:$B,0))="","",INDEX(Roster!$K:$K,MATCH($C1070,Roster!$B:$B,0))&amp;""),"—"))</f>
        <v/>
      </c>
      <c r="M1070" s="27" t="n"/>
      <c r="N1070" s="27" t="n"/>
      <c r="O1070" s="25">
        <f>IF($C1070="","",IF($P1070="","—",IF($P1070="Valid (Pass)","Valid","Invalid")))</f>
        <v/>
      </c>
      <c r="P1070" s="27" t="n"/>
      <c r="Q1070" s="27" t="n"/>
      <c r="R1070" s="27" t="n"/>
      <c r="S1070" s="27" t="n"/>
      <c r="T1070" s="25">
        <f>IF($C1070="","",IF(OR(ISNUMBER(SEARCH("quick case",$P1070)),ISNUMBER(SEARCH("quick case",$Q1070))),"Yes","No"))</f>
        <v/>
      </c>
      <c r="U1070" s="25">
        <f>IF($O1070="Invalid",HYPERLINK("mailto:"&amp;$G1070&amp;";"&amp;$I1070&amp;"?cc="&amp;Lists!$E$2&amp;"&amp;subject="&amp;_xlfn.ENCODEURL("[INVALID] Quality audit monitoring completed for "&amp;UPPER($C1070))&amp;"&amp;body="&amp;_xlfn.ENCODEURL("Hi "&amp;$F1070&amp;","&amp;CHAR(10)&amp;"Good day!"&amp;CHAR(10)&amp;CHAR(10)&amp;"A quality monitoring audit has been completed for "&amp;$C1070&amp;"."&amp;CHAR(10)&amp;CHAR(10)&amp;"QUALITY AUDIT DETAILS"&amp;CHAR(10)&amp;"Agent Name: "&amp;$C1070&amp;" (EID "&amp;$D1070&amp;")"&amp;CHAR(10)&amp;"Audit Date: "&amp;TEXT($B1070,"yyyy-mm-dd")&amp;CHAR(10)&amp;"Team Leader: "&amp;$F1070&amp;CHAR(10)&amp;"Case Number: "&amp;$M1070&amp;CHAR(10)&amp;"Transaction ID: "&amp;$N1070&amp;CHAR(10)&amp;"Channel / LOB: "&amp;$K1070&amp;" / "&amp;$L1070&amp;CHAR(10)&amp;"Evaluator: "&amp;$S1070&amp;CHAR(10)&amp;CHAR(10)&amp;"INVALID QUALITY AUDIT DETAILS"&amp;CHAR(10)&amp;"Validation: Invalid"&amp;CHAR(10)&amp;"Invalid Reason: "&amp;$P1070&amp;CHAR(10)&amp;"Expected Resolution Code: "&amp;$Q1070&amp;CHAR(10)&amp;"Remarks: "&amp;LEFT($R1070,600)&amp;CHAR(10)&amp;CHAR(10)&amp;"This is an automated notification from HP Mainstream EQMS."),"✉ Open Email Draft"),"")</f>
        <v/>
      </c>
    </row>
    <row r="1071">
      <c r="A1071" s="25">
        <f>IF($C1071="","","AUD-2026-"&amp;TEXT(ROW()-1,"000000"))</f>
        <v/>
      </c>
      <c r="B1071" s="26" t="n"/>
      <c r="C1071" s="27" t="n"/>
      <c r="D1071" s="25">
        <f>IF($C1071="","",IFERROR(IF(INDEX(Roster!$A:$A,MATCH($C1071,Roster!$B:$B,0))="","",INDEX(Roster!$A:$A,MATCH($C1071,Roster!$B:$B,0))&amp;""),"—"))</f>
        <v/>
      </c>
      <c r="E1071" s="25">
        <f>IF($C1071="","",IFERROR(IF(INDEX(Roster!$C:$C,MATCH($C1071,Roster!$B:$B,0))="","",INDEX(Roster!$C:$C,MATCH($C1071,Roster!$B:$B,0))&amp;""),"—"))</f>
        <v/>
      </c>
      <c r="F1071" s="25">
        <f>IF($C1071="","",IFERROR(IF(INDEX(Roster!$D:$D,MATCH($C1071,Roster!$B:$B,0))="","",INDEX(Roster!$D:$D,MATCH($C1071,Roster!$B:$B,0))&amp;""),"—"))</f>
        <v/>
      </c>
      <c r="G1071" s="25">
        <f>IF($C1071="","",IFERROR(IF(INDEX(Roster!$E:$E,MATCH($C1071,Roster!$B:$B,0))="","",INDEX(Roster!$E:$E,MATCH($C1071,Roster!$B:$B,0))&amp;""),"—"))</f>
        <v/>
      </c>
      <c r="H1071" s="25">
        <f>IF($C1071="","",IFERROR(IF(INDEX(Roster!$F:$F,MATCH($C1071,Roster!$B:$B,0))="","",INDEX(Roster!$F:$F,MATCH($C1071,Roster!$B:$B,0))&amp;""),"—"))</f>
        <v/>
      </c>
      <c r="I1071" s="25">
        <f>IF($C1071="","",IFERROR(IF(INDEX(Roster!$G:$G,MATCH($C1071,Roster!$B:$B,0))="","",INDEX(Roster!$G:$G,MATCH($C1071,Roster!$B:$B,0))&amp;""),"—"))</f>
        <v/>
      </c>
      <c r="J1071" s="25">
        <f>IF($C1071="","",IFERROR(IF(INDEX(Roster!$I:$I,MATCH($C1071,Roster!$B:$B,0))="","",INDEX(Roster!$I:$I,MATCH($C1071,Roster!$B:$B,0))&amp;""),"—"))</f>
        <v/>
      </c>
      <c r="K1071">
        <f>IF($C1071="","",IFERROR(IF(INDEX(Roster!$J:$J,MATCH($C1071,Roster!$B:$B,0))="","",INDEX(Roster!$J:$J,MATCH($C1071,Roster!$B:$B,0))&amp;""),"—"))</f>
        <v/>
      </c>
      <c r="L1071">
        <f>IF($C1071="","",IFERROR(IF(INDEX(Roster!$K:$K,MATCH($C1071,Roster!$B:$B,0))="","",INDEX(Roster!$K:$K,MATCH($C1071,Roster!$B:$B,0))&amp;""),"—"))</f>
        <v/>
      </c>
      <c r="M1071" s="27" t="n"/>
      <c r="N1071" s="27" t="n"/>
      <c r="O1071" s="25">
        <f>IF($C1071="","",IF($P1071="","—",IF($P1071="Valid (Pass)","Valid","Invalid")))</f>
        <v/>
      </c>
      <c r="P1071" s="27" t="n"/>
      <c r="Q1071" s="27" t="n"/>
      <c r="R1071" s="27" t="n"/>
      <c r="S1071" s="27" t="n"/>
      <c r="T1071" s="25">
        <f>IF($C1071="","",IF(OR(ISNUMBER(SEARCH("quick case",$P1071)),ISNUMBER(SEARCH("quick case",$Q1071))),"Yes","No"))</f>
        <v/>
      </c>
      <c r="U1071" s="25">
        <f>IF($O1071="Invalid",HYPERLINK("mailto:"&amp;$G1071&amp;";"&amp;$I1071&amp;"?cc="&amp;Lists!$E$2&amp;"&amp;subject="&amp;_xlfn.ENCODEURL("[INVALID] Quality audit monitoring completed for "&amp;UPPER($C1071))&amp;"&amp;body="&amp;_xlfn.ENCODEURL("Hi "&amp;$F1071&amp;","&amp;CHAR(10)&amp;"Good day!"&amp;CHAR(10)&amp;CHAR(10)&amp;"A quality monitoring audit has been completed for "&amp;$C1071&amp;"."&amp;CHAR(10)&amp;CHAR(10)&amp;"QUALITY AUDIT DETAILS"&amp;CHAR(10)&amp;"Agent Name: "&amp;$C1071&amp;" (EID "&amp;$D1071&amp;")"&amp;CHAR(10)&amp;"Audit Date: "&amp;TEXT($B1071,"yyyy-mm-dd")&amp;CHAR(10)&amp;"Team Leader: "&amp;$F1071&amp;CHAR(10)&amp;"Case Number: "&amp;$M1071&amp;CHAR(10)&amp;"Transaction ID: "&amp;$N1071&amp;CHAR(10)&amp;"Channel / LOB: "&amp;$K1071&amp;" / "&amp;$L1071&amp;CHAR(10)&amp;"Evaluator: "&amp;$S1071&amp;CHAR(10)&amp;CHAR(10)&amp;"INVALID QUALITY AUDIT DETAILS"&amp;CHAR(10)&amp;"Validation: Invalid"&amp;CHAR(10)&amp;"Invalid Reason: "&amp;$P1071&amp;CHAR(10)&amp;"Expected Resolution Code: "&amp;$Q1071&amp;CHAR(10)&amp;"Remarks: "&amp;LEFT($R1071,600)&amp;CHAR(10)&amp;CHAR(10)&amp;"This is an automated notification from HP Mainstream EQMS."),"✉ Open Email Draft"),"")</f>
        <v/>
      </c>
    </row>
    <row r="1072">
      <c r="A1072" s="25">
        <f>IF($C1072="","","AUD-2026-"&amp;TEXT(ROW()-1,"000000"))</f>
        <v/>
      </c>
      <c r="B1072" s="26" t="n"/>
      <c r="C1072" s="27" t="n"/>
      <c r="D1072" s="25">
        <f>IF($C1072="","",IFERROR(IF(INDEX(Roster!$A:$A,MATCH($C1072,Roster!$B:$B,0))="","",INDEX(Roster!$A:$A,MATCH($C1072,Roster!$B:$B,0))&amp;""),"—"))</f>
        <v/>
      </c>
      <c r="E1072" s="25">
        <f>IF($C1072="","",IFERROR(IF(INDEX(Roster!$C:$C,MATCH($C1072,Roster!$B:$B,0))="","",INDEX(Roster!$C:$C,MATCH($C1072,Roster!$B:$B,0))&amp;""),"—"))</f>
        <v/>
      </c>
      <c r="F1072" s="25">
        <f>IF($C1072="","",IFERROR(IF(INDEX(Roster!$D:$D,MATCH($C1072,Roster!$B:$B,0))="","",INDEX(Roster!$D:$D,MATCH($C1072,Roster!$B:$B,0))&amp;""),"—"))</f>
        <v/>
      </c>
      <c r="G1072" s="25">
        <f>IF($C1072="","",IFERROR(IF(INDEX(Roster!$E:$E,MATCH($C1072,Roster!$B:$B,0))="","",INDEX(Roster!$E:$E,MATCH($C1072,Roster!$B:$B,0))&amp;""),"—"))</f>
        <v/>
      </c>
      <c r="H1072" s="25">
        <f>IF($C1072="","",IFERROR(IF(INDEX(Roster!$F:$F,MATCH($C1072,Roster!$B:$B,0))="","",INDEX(Roster!$F:$F,MATCH($C1072,Roster!$B:$B,0))&amp;""),"—"))</f>
        <v/>
      </c>
      <c r="I1072" s="25">
        <f>IF($C1072="","",IFERROR(IF(INDEX(Roster!$G:$G,MATCH($C1072,Roster!$B:$B,0))="","",INDEX(Roster!$G:$G,MATCH($C1072,Roster!$B:$B,0))&amp;""),"—"))</f>
        <v/>
      </c>
      <c r="J1072" s="25">
        <f>IF($C1072="","",IFERROR(IF(INDEX(Roster!$I:$I,MATCH($C1072,Roster!$B:$B,0))="","",INDEX(Roster!$I:$I,MATCH($C1072,Roster!$B:$B,0))&amp;""),"—"))</f>
        <v/>
      </c>
      <c r="K1072">
        <f>IF($C1072="","",IFERROR(IF(INDEX(Roster!$J:$J,MATCH($C1072,Roster!$B:$B,0))="","",INDEX(Roster!$J:$J,MATCH($C1072,Roster!$B:$B,0))&amp;""),"—"))</f>
        <v/>
      </c>
      <c r="L1072">
        <f>IF($C1072="","",IFERROR(IF(INDEX(Roster!$K:$K,MATCH($C1072,Roster!$B:$B,0))="","",INDEX(Roster!$K:$K,MATCH($C1072,Roster!$B:$B,0))&amp;""),"—"))</f>
        <v/>
      </c>
      <c r="M1072" s="27" t="n"/>
      <c r="N1072" s="27" t="n"/>
      <c r="O1072" s="25">
        <f>IF($C1072="","",IF($P1072="","—",IF($P1072="Valid (Pass)","Valid","Invalid")))</f>
        <v/>
      </c>
      <c r="P1072" s="27" t="n"/>
      <c r="Q1072" s="27" t="n"/>
      <c r="R1072" s="27" t="n"/>
      <c r="S1072" s="27" t="n"/>
      <c r="T1072" s="25">
        <f>IF($C1072="","",IF(OR(ISNUMBER(SEARCH("quick case",$P1072)),ISNUMBER(SEARCH("quick case",$Q1072))),"Yes","No"))</f>
        <v/>
      </c>
      <c r="U1072" s="25">
        <f>IF($O1072="Invalid",HYPERLINK("mailto:"&amp;$G1072&amp;";"&amp;$I1072&amp;"?cc="&amp;Lists!$E$2&amp;"&amp;subject="&amp;_xlfn.ENCODEURL("[INVALID] Quality audit monitoring completed for "&amp;UPPER($C1072))&amp;"&amp;body="&amp;_xlfn.ENCODEURL("Hi "&amp;$F1072&amp;","&amp;CHAR(10)&amp;"Good day!"&amp;CHAR(10)&amp;CHAR(10)&amp;"A quality monitoring audit has been completed for "&amp;$C1072&amp;"."&amp;CHAR(10)&amp;CHAR(10)&amp;"QUALITY AUDIT DETAILS"&amp;CHAR(10)&amp;"Agent Name: "&amp;$C1072&amp;" (EID "&amp;$D1072&amp;")"&amp;CHAR(10)&amp;"Audit Date: "&amp;TEXT($B1072,"yyyy-mm-dd")&amp;CHAR(10)&amp;"Team Leader: "&amp;$F1072&amp;CHAR(10)&amp;"Case Number: "&amp;$M1072&amp;CHAR(10)&amp;"Transaction ID: "&amp;$N1072&amp;CHAR(10)&amp;"Channel / LOB: "&amp;$K1072&amp;" / "&amp;$L1072&amp;CHAR(10)&amp;"Evaluator: "&amp;$S1072&amp;CHAR(10)&amp;CHAR(10)&amp;"INVALID QUALITY AUDIT DETAILS"&amp;CHAR(10)&amp;"Validation: Invalid"&amp;CHAR(10)&amp;"Invalid Reason: "&amp;$P1072&amp;CHAR(10)&amp;"Expected Resolution Code: "&amp;$Q1072&amp;CHAR(10)&amp;"Remarks: "&amp;LEFT($R1072,600)&amp;CHAR(10)&amp;CHAR(10)&amp;"This is an automated notification from HP Mainstream EQMS."),"✉ Open Email Draft"),"")</f>
        <v/>
      </c>
    </row>
    <row r="1073">
      <c r="A1073" s="25">
        <f>IF($C1073="","","AUD-2026-"&amp;TEXT(ROW()-1,"000000"))</f>
        <v/>
      </c>
      <c r="B1073" s="26" t="n"/>
      <c r="C1073" s="27" t="n"/>
      <c r="D1073" s="25">
        <f>IF($C1073="","",IFERROR(IF(INDEX(Roster!$A:$A,MATCH($C1073,Roster!$B:$B,0))="","",INDEX(Roster!$A:$A,MATCH($C1073,Roster!$B:$B,0))&amp;""),"—"))</f>
        <v/>
      </c>
      <c r="E1073" s="25">
        <f>IF($C1073="","",IFERROR(IF(INDEX(Roster!$C:$C,MATCH($C1073,Roster!$B:$B,0))="","",INDEX(Roster!$C:$C,MATCH($C1073,Roster!$B:$B,0))&amp;""),"—"))</f>
        <v/>
      </c>
      <c r="F1073" s="25">
        <f>IF($C1073="","",IFERROR(IF(INDEX(Roster!$D:$D,MATCH($C1073,Roster!$B:$B,0))="","",INDEX(Roster!$D:$D,MATCH($C1073,Roster!$B:$B,0))&amp;""),"—"))</f>
        <v/>
      </c>
      <c r="G1073" s="25">
        <f>IF($C1073="","",IFERROR(IF(INDEX(Roster!$E:$E,MATCH($C1073,Roster!$B:$B,0))="","",INDEX(Roster!$E:$E,MATCH($C1073,Roster!$B:$B,0))&amp;""),"—"))</f>
        <v/>
      </c>
      <c r="H1073" s="25">
        <f>IF($C1073="","",IFERROR(IF(INDEX(Roster!$F:$F,MATCH($C1073,Roster!$B:$B,0))="","",INDEX(Roster!$F:$F,MATCH($C1073,Roster!$B:$B,0))&amp;""),"—"))</f>
        <v/>
      </c>
      <c r="I1073" s="25">
        <f>IF($C1073="","",IFERROR(IF(INDEX(Roster!$G:$G,MATCH($C1073,Roster!$B:$B,0))="","",INDEX(Roster!$G:$G,MATCH($C1073,Roster!$B:$B,0))&amp;""),"—"))</f>
        <v/>
      </c>
      <c r="J1073" s="25">
        <f>IF($C1073="","",IFERROR(IF(INDEX(Roster!$I:$I,MATCH($C1073,Roster!$B:$B,0))="","",INDEX(Roster!$I:$I,MATCH($C1073,Roster!$B:$B,0))&amp;""),"—"))</f>
        <v/>
      </c>
      <c r="K1073">
        <f>IF($C1073="","",IFERROR(IF(INDEX(Roster!$J:$J,MATCH($C1073,Roster!$B:$B,0))="","",INDEX(Roster!$J:$J,MATCH($C1073,Roster!$B:$B,0))&amp;""),"—"))</f>
        <v/>
      </c>
      <c r="L1073">
        <f>IF($C1073="","",IFERROR(IF(INDEX(Roster!$K:$K,MATCH($C1073,Roster!$B:$B,0))="","",INDEX(Roster!$K:$K,MATCH($C1073,Roster!$B:$B,0))&amp;""),"—"))</f>
        <v/>
      </c>
      <c r="M1073" s="27" t="n"/>
      <c r="N1073" s="27" t="n"/>
      <c r="O1073" s="25">
        <f>IF($C1073="","",IF($P1073="","—",IF($P1073="Valid (Pass)","Valid","Invalid")))</f>
        <v/>
      </c>
      <c r="P1073" s="27" t="n"/>
      <c r="Q1073" s="27" t="n"/>
      <c r="R1073" s="27" t="n"/>
      <c r="S1073" s="27" t="n"/>
      <c r="T1073" s="25">
        <f>IF($C1073="","",IF(OR(ISNUMBER(SEARCH("quick case",$P1073)),ISNUMBER(SEARCH("quick case",$Q1073))),"Yes","No"))</f>
        <v/>
      </c>
      <c r="U1073" s="25">
        <f>IF($O1073="Invalid",HYPERLINK("mailto:"&amp;$G1073&amp;";"&amp;$I1073&amp;"?cc="&amp;Lists!$E$2&amp;"&amp;subject="&amp;_xlfn.ENCODEURL("[INVALID] Quality audit monitoring completed for "&amp;UPPER($C1073))&amp;"&amp;body="&amp;_xlfn.ENCODEURL("Hi "&amp;$F1073&amp;","&amp;CHAR(10)&amp;"Good day!"&amp;CHAR(10)&amp;CHAR(10)&amp;"A quality monitoring audit has been completed for "&amp;$C1073&amp;"."&amp;CHAR(10)&amp;CHAR(10)&amp;"QUALITY AUDIT DETAILS"&amp;CHAR(10)&amp;"Agent Name: "&amp;$C1073&amp;" (EID "&amp;$D1073&amp;")"&amp;CHAR(10)&amp;"Audit Date: "&amp;TEXT($B1073,"yyyy-mm-dd")&amp;CHAR(10)&amp;"Team Leader: "&amp;$F1073&amp;CHAR(10)&amp;"Case Number: "&amp;$M1073&amp;CHAR(10)&amp;"Transaction ID: "&amp;$N1073&amp;CHAR(10)&amp;"Channel / LOB: "&amp;$K1073&amp;" / "&amp;$L1073&amp;CHAR(10)&amp;"Evaluator: "&amp;$S1073&amp;CHAR(10)&amp;CHAR(10)&amp;"INVALID QUALITY AUDIT DETAILS"&amp;CHAR(10)&amp;"Validation: Invalid"&amp;CHAR(10)&amp;"Invalid Reason: "&amp;$P1073&amp;CHAR(10)&amp;"Expected Resolution Code: "&amp;$Q1073&amp;CHAR(10)&amp;"Remarks: "&amp;LEFT($R1073,600)&amp;CHAR(10)&amp;CHAR(10)&amp;"This is an automated notification from HP Mainstream EQMS."),"✉ Open Email Draft"),"")</f>
        <v/>
      </c>
    </row>
    <row r="1074">
      <c r="A1074" s="25">
        <f>IF($C1074="","","AUD-2026-"&amp;TEXT(ROW()-1,"000000"))</f>
        <v/>
      </c>
      <c r="B1074" s="26" t="n"/>
      <c r="C1074" s="27" t="n"/>
      <c r="D1074" s="25">
        <f>IF($C1074="","",IFERROR(IF(INDEX(Roster!$A:$A,MATCH($C1074,Roster!$B:$B,0))="","",INDEX(Roster!$A:$A,MATCH($C1074,Roster!$B:$B,0))&amp;""),"—"))</f>
        <v/>
      </c>
      <c r="E1074" s="25">
        <f>IF($C1074="","",IFERROR(IF(INDEX(Roster!$C:$C,MATCH($C1074,Roster!$B:$B,0))="","",INDEX(Roster!$C:$C,MATCH($C1074,Roster!$B:$B,0))&amp;""),"—"))</f>
        <v/>
      </c>
      <c r="F1074" s="25">
        <f>IF($C1074="","",IFERROR(IF(INDEX(Roster!$D:$D,MATCH($C1074,Roster!$B:$B,0))="","",INDEX(Roster!$D:$D,MATCH($C1074,Roster!$B:$B,0))&amp;""),"—"))</f>
        <v/>
      </c>
      <c r="G1074" s="25">
        <f>IF($C1074="","",IFERROR(IF(INDEX(Roster!$E:$E,MATCH($C1074,Roster!$B:$B,0))="","",INDEX(Roster!$E:$E,MATCH($C1074,Roster!$B:$B,0))&amp;""),"—"))</f>
        <v/>
      </c>
      <c r="H1074" s="25">
        <f>IF($C1074="","",IFERROR(IF(INDEX(Roster!$F:$F,MATCH($C1074,Roster!$B:$B,0))="","",INDEX(Roster!$F:$F,MATCH($C1074,Roster!$B:$B,0))&amp;""),"—"))</f>
        <v/>
      </c>
      <c r="I1074" s="25">
        <f>IF($C1074="","",IFERROR(IF(INDEX(Roster!$G:$G,MATCH($C1074,Roster!$B:$B,0))="","",INDEX(Roster!$G:$G,MATCH($C1074,Roster!$B:$B,0))&amp;""),"—"))</f>
        <v/>
      </c>
      <c r="J1074" s="25">
        <f>IF($C1074="","",IFERROR(IF(INDEX(Roster!$I:$I,MATCH($C1074,Roster!$B:$B,0))="","",INDEX(Roster!$I:$I,MATCH($C1074,Roster!$B:$B,0))&amp;""),"—"))</f>
        <v/>
      </c>
      <c r="K1074">
        <f>IF($C1074="","",IFERROR(IF(INDEX(Roster!$J:$J,MATCH($C1074,Roster!$B:$B,0))="","",INDEX(Roster!$J:$J,MATCH($C1074,Roster!$B:$B,0))&amp;""),"—"))</f>
        <v/>
      </c>
      <c r="L1074">
        <f>IF($C1074="","",IFERROR(IF(INDEX(Roster!$K:$K,MATCH($C1074,Roster!$B:$B,0))="","",INDEX(Roster!$K:$K,MATCH($C1074,Roster!$B:$B,0))&amp;""),"—"))</f>
        <v/>
      </c>
      <c r="M1074" s="27" t="n"/>
      <c r="N1074" s="27" t="n"/>
      <c r="O1074" s="25">
        <f>IF($C1074="","",IF($P1074="","—",IF($P1074="Valid (Pass)","Valid","Invalid")))</f>
        <v/>
      </c>
      <c r="P1074" s="27" t="n"/>
      <c r="Q1074" s="27" t="n"/>
      <c r="R1074" s="27" t="n"/>
      <c r="S1074" s="27" t="n"/>
      <c r="T1074" s="25">
        <f>IF($C1074="","",IF(OR(ISNUMBER(SEARCH("quick case",$P1074)),ISNUMBER(SEARCH("quick case",$Q1074))),"Yes","No"))</f>
        <v/>
      </c>
      <c r="U1074" s="25">
        <f>IF($O1074="Invalid",HYPERLINK("mailto:"&amp;$G1074&amp;";"&amp;$I1074&amp;"?cc="&amp;Lists!$E$2&amp;"&amp;subject="&amp;_xlfn.ENCODEURL("[INVALID] Quality audit monitoring completed for "&amp;UPPER($C1074))&amp;"&amp;body="&amp;_xlfn.ENCODEURL("Hi "&amp;$F1074&amp;","&amp;CHAR(10)&amp;"Good day!"&amp;CHAR(10)&amp;CHAR(10)&amp;"A quality monitoring audit has been completed for "&amp;$C1074&amp;"."&amp;CHAR(10)&amp;CHAR(10)&amp;"QUALITY AUDIT DETAILS"&amp;CHAR(10)&amp;"Agent Name: "&amp;$C1074&amp;" (EID "&amp;$D1074&amp;")"&amp;CHAR(10)&amp;"Audit Date: "&amp;TEXT($B1074,"yyyy-mm-dd")&amp;CHAR(10)&amp;"Team Leader: "&amp;$F1074&amp;CHAR(10)&amp;"Case Number: "&amp;$M1074&amp;CHAR(10)&amp;"Transaction ID: "&amp;$N1074&amp;CHAR(10)&amp;"Channel / LOB: "&amp;$K1074&amp;" / "&amp;$L1074&amp;CHAR(10)&amp;"Evaluator: "&amp;$S1074&amp;CHAR(10)&amp;CHAR(10)&amp;"INVALID QUALITY AUDIT DETAILS"&amp;CHAR(10)&amp;"Validation: Invalid"&amp;CHAR(10)&amp;"Invalid Reason: "&amp;$P1074&amp;CHAR(10)&amp;"Expected Resolution Code: "&amp;$Q1074&amp;CHAR(10)&amp;"Remarks: "&amp;LEFT($R1074,600)&amp;CHAR(10)&amp;CHAR(10)&amp;"This is an automated notification from HP Mainstream EQMS."),"✉ Open Email Draft"),"")</f>
        <v/>
      </c>
    </row>
    <row r="1075">
      <c r="A1075" s="25">
        <f>IF($C1075="","","AUD-2026-"&amp;TEXT(ROW()-1,"000000"))</f>
        <v/>
      </c>
      <c r="B1075" s="26" t="n"/>
      <c r="C1075" s="27" t="n"/>
      <c r="D1075" s="25">
        <f>IF($C1075="","",IFERROR(IF(INDEX(Roster!$A:$A,MATCH($C1075,Roster!$B:$B,0))="","",INDEX(Roster!$A:$A,MATCH($C1075,Roster!$B:$B,0))&amp;""),"—"))</f>
        <v/>
      </c>
      <c r="E1075" s="25">
        <f>IF($C1075="","",IFERROR(IF(INDEX(Roster!$C:$C,MATCH($C1075,Roster!$B:$B,0))="","",INDEX(Roster!$C:$C,MATCH($C1075,Roster!$B:$B,0))&amp;""),"—"))</f>
        <v/>
      </c>
      <c r="F1075" s="25">
        <f>IF($C1075="","",IFERROR(IF(INDEX(Roster!$D:$D,MATCH($C1075,Roster!$B:$B,0))="","",INDEX(Roster!$D:$D,MATCH($C1075,Roster!$B:$B,0))&amp;""),"—"))</f>
        <v/>
      </c>
      <c r="G1075" s="25">
        <f>IF($C1075="","",IFERROR(IF(INDEX(Roster!$E:$E,MATCH($C1075,Roster!$B:$B,0))="","",INDEX(Roster!$E:$E,MATCH($C1075,Roster!$B:$B,0))&amp;""),"—"))</f>
        <v/>
      </c>
      <c r="H1075" s="25">
        <f>IF($C1075="","",IFERROR(IF(INDEX(Roster!$F:$F,MATCH($C1075,Roster!$B:$B,0))="","",INDEX(Roster!$F:$F,MATCH($C1075,Roster!$B:$B,0))&amp;""),"—"))</f>
        <v/>
      </c>
      <c r="I1075" s="25">
        <f>IF($C1075="","",IFERROR(IF(INDEX(Roster!$G:$G,MATCH($C1075,Roster!$B:$B,0))="","",INDEX(Roster!$G:$G,MATCH($C1075,Roster!$B:$B,0))&amp;""),"—"))</f>
        <v/>
      </c>
      <c r="J1075" s="25">
        <f>IF($C1075="","",IFERROR(IF(INDEX(Roster!$I:$I,MATCH($C1075,Roster!$B:$B,0))="","",INDEX(Roster!$I:$I,MATCH($C1075,Roster!$B:$B,0))&amp;""),"—"))</f>
        <v/>
      </c>
      <c r="K1075">
        <f>IF($C1075="","",IFERROR(IF(INDEX(Roster!$J:$J,MATCH($C1075,Roster!$B:$B,0))="","",INDEX(Roster!$J:$J,MATCH($C1075,Roster!$B:$B,0))&amp;""),"—"))</f>
        <v/>
      </c>
      <c r="L1075">
        <f>IF($C1075="","",IFERROR(IF(INDEX(Roster!$K:$K,MATCH($C1075,Roster!$B:$B,0))="","",INDEX(Roster!$K:$K,MATCH($C1075,Roster!$B:$B,0))&amp;""),"—"))</f>
        <v/>
      </c>
      <c r="M1075" s="27" t="n"/>
      <c r="N1075" s="27" t="n"/>
      <c r="O1075" s="25">
        <f>IF($C1075="","",IF($P1075="","—",IF($P1075="Valid (Pass)","Valid","Invalid")))</f>
        <v/>
      </c>
      <c r="P1075" s="27" t="n"/>
      <c r="Q1075" s="27" t="n"/>
      <c r="R1075" s="27" t="n"/>
      <c r="S1075" s="27" t="n"/>
      <c r="T1075" s="25">
        <f>IF($C1075="","",IF(OR(ISNUMBER(SEARCH("quick case",$P1075)),ISNUMBER(SEARCH("quick case",$Q1075))),"Yes","No"))</f>
        <v/>
      </c>
      <c r="U1075" s="25">
        <f>IF($O1075="Invalid",HYPERLINK("mailto:"&amp;$G1075&amp;";"&amp;$I1075&amp;"?cc="&amp;Lists!$E$2&amp;"&amp;subject="&amp;_xlfn.ENCODEURL("[INVALID] Quality audit monitoring completed for "&amp;UPPER($C1075))&amp;"&amp;body="&amp;_xlfn.ENCODEURL("Hi "&amp;$F1075&amp;","&amp;CHAR(10)&amp;"Good day!"&amp;CHAR(10)&amp;CHAR(10)&amp;"A quality monitoring audit has been completed for "&amp;$C1075&amp;"."&amp;CHAR(10)&amp;CHAR(10)&amp;"QUALITY AUDIT DETAILS"&amp;CHAR(10)&amp;"Agent Name: "&amp;$C1075&amp;" (EID "&amp;$D1075&amp;")"&amp;CHAR(10)&amp;"Audit Date: "&amp;TEXT($B1075,"yyyy-mm-dd")&amp;CHAR(10)&amp;"Team Leader: "&amp;$F1075&amp;CHAR(10)&amp;"Case Number: "&amp;$M1075&amp;CHAR(10)&amp;"Transaction ID: "&amp;$N1075&amp;CHAR(10)&amp;"Channel / LOB: "&amp;$K1075&amp;" / "&amp;$L1075&amp;CHAR(10)&amp;"Evaluator: "&amp;$S1075&amp;CHAR(10)&amp;CHAR(10)&amp;"INVALID QUALITY AUDIT DETAILS"&amp;CHAR(10)&amp;"Validation: Invalid"&amp;CHAR(10)&amp;"Invalid Reason: "&amp;$P1075&amp;CHAR(10)&amp;"Expected Resolution Code: "&amp;$Q1075&amp;CHAR(10)&amp;"Remarks: "&amp;LEFT($R1075,600)&amp;CHAR(10)&amp;CHAR(10)&amp;"This is an automated notification from HP Mainstream EQMS."),"✉ Open Email Draft"),"")</f>
        <v/>
      </c>
    </row>
    <row r="1076">
      <c r="A1076" s="25">
        <f>IF($C1076="","","AUD-2026-"&amp;TEXT(ROW()-1,"000000"))</f>
        <v/>
      </c>
      <c r="B1076" s="26" t="n"/>
      <c r="C1076" s="27" t="n"/>
      <c r="D1076" s="25">
        <f>IF($C1076="","",IFERROR(IF(INDEX(Roster!$A:$A,MATCH($C1076,Roster!$B:$B,0))="","",INDEX(Roster!$A:$A,MATCH($C1076,Roster!$B:$B,0))&amp;""),"—"))</f>
        <v/>
      </c>
      <c r="E1076" s="25">
        <f>IF($C1076="","",IFERROR(IF(INDEX(Roster!$C:$C,MATCH($C1076,Roster!$B:$B,0))="","",INDEX(Roster!$C:$C,MATCH($C1076,Roster!$B:$B,0))&amp;""),"—"))</f>
        <v/>
      </c>
      <c r="F1076" s="25">
        <f>IF($C1076="","",IFERROR(IF(INDEX(Roster!$D:$D,MATCH($C1076,Roster!$B:$B,0))="","",INDEX(Roster!$D:$D,MATCH($C1076,Roster!$B:$B,0))&amp;""),"—"))</f>
        <v/>
      </c>
      <c r="G1076" s="25">
        <f>IF($C1076="","",IFERROR(IF(INDEX(Roster!$E:$E,MATCH($C1076,Roster!$B:$B,0))="","",INDEX(Roster!$E:$E,MATCH($C1076,Roster!$B:$B,0))&amp;""),"—"))</f>
        <v/>
      </c>
      <c r="H1076" s="25">
        <f>IF($C1076="","",IFERROR(IF(INDEX(Roster!$F:$F,MATCH($C1076,Roster!$B:$B,0))="","",INDEX(Roster!$F:$F,MATCH($C1076,Roster!$B:$B,0))&amp;""),"—"))</f>
        <v/>
      </c>
      <c r="I1076" s="25">
        <f>IF($C1076="","",IFERROR(IF(INDEX(Roster!$G:$G,MATCH($C1076,Roster!$B:$B,0))="","",INDEX(Roster!$G:$G,MATCH($C1076,Roster!$B:$B,0))&amp;""),"—"))</f>
        <v/>
      </c>
      <c r="J1076" s="25">
        <f>IF($C1076="","",IFERROR(IF(INDEX(Roster!$I:$I,MATCH($C1076,Roster!$B:$B,0))="","",INDEX(Roster!$I:$I,MATCH($C1076,Roster!$B:$B,0))&amp;""),"—"))</f>
        <v/>
      </c>
      <c r="K1076">
        <f>IF($C1076="","",IFERROR(IF(INDEX(Roster!$J:$J,MATCH($C1076,Roster!$B:$B,0))="","",INDEX(Roster!$J:$J,MATCH($C1076,Roster!$B:$B,0))&amp;""),"—"))</f>
        <v/>
      </c>
      <c r="L1076">
        <f>IF($C1076="","",IFERROR(IF(INDEX(Roster!$K:$K,MATCH($C1076,Roster!$B:$B,0))="","",INDEX(Roster!$K:$K,MATCH($C1076,Roster!$B:$B,0))&amp;""),"—"))</f>
        <v/>
      </c>
      <c r="M1076" s="27" t="n"/>
      <c r="N1076" s="27" t="n"/>
      <c r="O1076" s="25">
        <f>IF($C1076="","",IF($P1076="","—",IF($P1076="Valid (Pass)","Valid","Invalid")))</f>
        <v/>
      </c>
      <c r="P1076" s="27" t="n"/>
      <c r="Q1076" s="27" t="n"/>
      <c r="R1076" s="27" t="n"/>
      <c r="S1076" s="27" t="n"/>
      <c r="T1076" s="25">
        <f>IF($C1076="","",IF(OR(ISNUMBER(SEARCH("quick case",$P1076)),ISNUMBER(SEARCH("quick case",$Q1076))),"Yes","No"))</f>
        <v/>
      </c>
      <c r="U1076" s="25">
        <f>IF($O1076="Invalid",HYPERLINK("mailto:"&amp;$G1076&amp;";"&amp;$I1076&amp;"?cc="&amp;Lists!$E$2&amp;"&amp;subject="&amp;_xlfn.ENCODEURL("[INVALID] Quality audit monitoring completed for "&amp;UPPER($C1076))&amp;"&amp;body="&amp;_xlfn.ENCODEURL("Hi "&amp;$F1076&amp;","&amp;CHAR(10)&amp;"Good day!"&amp;CHAR(10)&amp;CHAR(10)&amp;"A quality monitoring audit has been completed for "&amp;$C1076&amp;"."&amp;CHAR(10)&amp;CHAR(10)&amp;"QUALITY AUDIT DETAILS"&amp;CHAR(10)&amp;"Agent Name: "&amp;$C1076&amp;" (EID "&amp;$D1076&amp;")"&amp;CHAR(10)&amp;"Audit Date: "&amp;TEXT($B1076,"yyyy-mm-dd")&amp;CHAR(10)&amp;"Team Leader: "&amp;$F1076&amp;CHAR(10)&amp;"Case Number: "&amp;$M1076&amp;CHAR(10)&amp;"Transaction ID: "&amp;$N1076&amp;CHAR(10)&amp;"Channel / LOB: "&amp;$K1076&amp;" / "&amp;$L1076&amp;CHAR(10)&amp;"Evaluator: "&amp;$S1076&amp;CHAR(10)&amp;CHAR(10)&amp;"INVALID QUALITY AUDIT DETAILS"&amp;CHAR(10)&amp;"Validation: Invalid"&amp;CHAR(10)&amp;"Invalid Reason: "&amp;$P1076&amp;CHAR(10)&amp;"Expected Resolution Code: "&amp;$Q1076&amp;CHAR(10)&amp;"Remarks: "&amp;LEFT($R1076,600)&amp;CHAR(10)&amp;CHAR(10)&amp;"This is an automated notification from HP Mainstream EQMS."),"✉ Open Email Draft"),"")</f>
        <v/>
      </c>
    </row>
    <row r="1077">
      <c r="A1077" s="25">
        <f>IF($C1077="","","AUD-2026-"&amp;TEXT(ROW()-1,"000000"))</f>
        <v/>
      </c>
      <c r="B1077" s="26" t="n"/>
      <c r="C1077" s="27" t="n"/>
      <c r="D1077" s="25">
        <f>IF($C1077="","",IFERROR(IF(INDEX(Roster!$A:$A,MATCH($C1077,Roster!$B:$B,0))="","",INDEX(Roster!$A:$A,MATCH($C1077,Roster!$B:$B,0))&amp;""),"—"))</f>
        <v/>
      </c>
      <c r="E1077" s="25">
        <f>IF($C1077="","",IFERROR(IF(INDEX(Roster!$C:$C,MATCH($C1077,Roster!$B:$B,0))="","",INDEX(Roster!$C:$C,MATCH($C1077,Roster!$B:$B,0))&amp;""),"—"))</f>
        <v/>
      </c>
      <c r="F1077" s="25">
        <f>IF($C1077="","",IFERROR(IF(INDEX(Roster!$D:$D,MATCH($C1077,Roster!$B:$B,0))="","",INDEX(Roster!$D:$D,MATCH($C1077,Roster!$B:$B,0))&amp;""),"—"))</f>
        <v/>
      </c>
      <c r="G1077" s="25">
        <f>IF($C1077="","",IFERROR(IF(INDEX(Roster!$E:$E,MATCH($C1077,Roster!$B:$B,0))="","",INDEX(Roster!$E:$E,MATCH($C1077,Roster!$B:$B,0))&amp;""),"—"))</f>
        <v/>
      </c>
      <c r="H1077" s="25">
        <f>IF($C1077="","",IFERROR(IF(INDEX(Roster!$F:$F,MATCH($C1077,Roster!$B:$B,0))="","",INDEX(Roster!$F:$F,MATCH($C1077,Roster!$B:$B,0))&amp;""),"—"))</f>
        <v/>
      </c>
      <c r="I1077" s="25">
        <f>IF($C1077="","",IFERROR(IF(INDEX(Roster!$G:$G,MATCH($C1077,Roster!$B:$B,0))="","",INDEX(Roster!$G:$G,MATCH($C1077,Roster!$B:$B,0))&amp;""),"—"))</f>
        <v/>
      </c>
      <c r="J1077" s="25">
        <f>IF($C1077="","",IFERROR(IF(INDEX(Roster!$I:$I,MATCH($C1077,Roster!$B:$B,0))="","",INDEX(Roster!$I:$I,MATCH($C1077,Roster!$B:$B,0))&amp;""),"—"))</f>
        <v/>
      </c>
      <c r="K1077">
        <f>IF($C1077="","",IFERROR(IF(INDEX(Roster!$J:$J,MATCH($C1077,Roster!$B:$B,0))="","",INDEX(Roster!$J:$J,MATCH($C1077,Roster!$B:$B,0))&amp;""),"—"))</f>
        <v/>
      </c>
      <c r="L1077">
        <f>IF($C1077="","",IFERROR(IF(INDEX(Roster!$K:$K,MATCH($C1077,Roster!$B:$B,0))="","",INDEX(Roster!$K:$K,MATCH($C1077,Roster!$B:$B,0))&amp;""),"—"))</f>
        <v/>
      </c>
      <c r="M1077" s="27" t="n"/>
      <c r="N1077" s="27" t="n"/>
      <c r="O1077" s="25">
        <f>IF($C1077="","",IF($P1077="","—",IF($P1077="Valid (Pass)","Valid","Invalid")))</f>
        <v/>
      </c>
      <c r="P1077" s="27" t="n"/>
      <c r="Q1077" s="27" t="n"/>
      <c r="R1077" s="27" t="n"/>
      <c r="S1077" s="27" t="n"/>
      <c r="T1077" s="25">
        <f>IF($C1077="","",IF(OR(ISNUMBER(SEARCH("quick case",$P1077)),ISNUMBER(SEARCH("quick case",$Q1077))),"Yes","No"))</f>
        <v/>
      </c>
      <c r="U1077" s="25">
        <f>IF($O1077="Invalid",HYPERLINK("mailto:"&amp;$G1077&amp;";"&amp;$I1077&amp;"?cc="&amp;Lists!$E$2&amp;"&amp;subject="&amp;_xlfn.ENCODEURL("[INVALID] Quality audit monitoring completed for "&amp;UPPER($C1077))&amp;"&amp;body="&amp;_xlfn.ENCODEURL("Hi "&amp;$F1077&amp;","&amp;CHAR(10)&amp;"Good day!"&amp;CHAR(10)&amp;CHAR(10)&amp;"A quality monitoring audit has been completed for "&amp;$C1077&amp;"."&amp;CHAR(10)&amp;CHAR(10)&amp;"QUALITY AUDIT DETAILS"&amp;CHAR(10)&amp;"Agent Name: "&amp;$C1077&amp;" (EID "&amp;$D1077&amp;")"&amp;CHAR(10)&amp;"Audit Date: "&amp;TEXT($B1077,"yyyy-mm-dd")&amp;CHAR(10)&amp;"Team Leader: "&amp;$F1077&amp;CHAR(10)&amp;"Case Number: "&amp;$M1077&amp;CHAR(10)&amp;"Transaction ID: "&amp;$N1077&amp;CHAR(10)&amp;"Channel / LOB: "&amp;$K1077&amp;" / "&amp;$L1077&amp;CHAR(10)&amp;"Evaluator: "&amp;$S1077&amp;CHAR(10)&amp;CHAR(10)&amp;"INVALID QUALITY AUDIT DETAILS"&amp;CHAR(10)&amp;"Validation: Invalid"&amp;CHAR(10)&amp;"Invalid Reason: "&amp;$P1077&amp;CHAR(10)&amp;"Expected Resolution Code: "&amp;$Q1077&amp;CHAR(10)&amp;"Remarks: "&amp;LEFT($R1077,600)&amp;CHAR(10)&amp;CHAR(10)&amp;"This is an automated notification from HP Mainstream EQMS."),"✉ Open Email Draft"),"")</f>
        <v/>
      </c>
    </row>
    <row r="1078">
      <c r="A1078" s="25">
        <f>IF($C1078="","","AUD-2026-"&amp;TEXT(ROW()-1,"000000"))</f>
        <v/>
      </c>
      <c r="B1078" s="26" t="n"/>
      <c r="C1078" s="27" t="n"/>
      <c r="D1078" s="25">
        <f>IF($C1078="","",IFERROR(IF(INDEX(Roster!$A:$A,MATCH($C1078,Roster!$B:$B,0))="","",INDEX(Roster!$A:$A,MATCH($C1078,Roster!$B:$B,0))&amp;""),"—"))</f>
        <v/>
      </c>
      <c r="E1078" s="25">
        <f>IF($C1078="","",IFERROR(IF(INDEX(Roster!$C:$C,MATCH($C1078,Roster!$B:$B,0))="","",INDEX(Roster!$C:$C,MATCH($C1078,Roster!$B:$B,0))&amp;""),"—"))</f>
        <v/>
      </c>
      <c r="F1078" s="25">
        <f>IF($C1078="","",IFERROR(IF(INDEX(Roster!$D:$D,MATCH($C1078,Roster!$B:$B,0))="","",INDEX(Roster!$D:$D,MATCH($C1078,Roster!$B:$B,0))&amp;""),"—"))</f>
        <v/>
      </c>
      <c r="G1078" s="25">
        <f>IF($C1078="","",IFERROR(IF(INDEX(Roster!$E:$E,MATCH($C1078,Roster!$B:$B,0))="","",INDEX(Roster!$E:$E,MATCH($C1078,Roster!$B:$B,0))&amp;""),"—"))</f>
        <v/>
      </c>
      <c r="H1078" s="25">
        <f>IF($C1078="","",IFERROR(IF(INDEX(Roster!$F:$F,MATCH($C1078,Roster!$B:$B,0))="","",INDEX(Roster!$F:$F,MATCH($C1078,Roster!$B:$B,0))&amp;""),"—"))</f>
        <v/>
      </c>
      <c r="I1078" s="25">
        <f>IF($C1078="","",IFERROR(IF(INDEX(Roster!$G:$G,MATCH($C1078,Roster!$B:$B,0))="","",INDEX(Roster!$G:$G,MATCH($C1078,Roster!$B:$B,0))&amp;""),"—"))</f>
        <v/>
      </c>
      <c r="J1078" s="25">
        <f>IF($C1078="","",IFERROR(IF(INDEX(Roster!$I:$I,MATCH($C1078,Roster!$B:$B,0))="","",INDEX(Roster!$I:$I,MATCH($C1078,Roster!$B:$B,0))&amp;""),"—"))</f>
        <v/>
      </c>
      <c r="K1078">
        <f>IF($C1078="","",IFERROR(IF(INDEX(Roster!$J:$J,MATCH($C1078,Roster!$B:$B,0))="","",INDEX(Roster!$J:$J,MATCH($C1078,Roster!$B:$B,0))&amp;""),"—"))</f>
        <v/>
      </c>
      <c r="L1078">
        <f>IF($C1078="","",IFERROR(IF(INDEX(Roster!$K:$K,MATCH($C1078,Roster!$B:$B,0))="","",INDEX(Roster!$K:$K,MATCH($C1078,Roster!$B:$B,0))&amp;""),"—"))</f>
        <v/>
      </c>
      <c r="M1078" s="27" t="n"/>
      <c r="N1078" s="27" t="n"/>
      <c r="O1078" s="25">
        <f>IF($C1078="","",IF($P1078="","—",IF($P1078="Valid (Pass)","Valid","Invalid")))</f>
        <v/>
      </c>
      <c r="P1078" s="27" t="n"/>
      <c r="Q1078" s="27" t="n"/>
      <c r="R1078" s="27" t="n"/>
      <c r="S1078" s="27" t="n"/>
      <c r="T1078" s="25">
        <f>IF($C1078="","",IF(OR(ISNUMBER(SEARCH("quick case",$P1078)),ISNUMBER(SEARCH("quick case",$Q1078))),"Yes","No"))</f>
        <v/>
      </c>
      <c r="U1078" s="25">
        <f>IF($O1078="Invalid",HYPERLINK("mailto:"&amp;$G1078&amp;";"&amp;$I1078&amp;"?cc="&amp;Lists!$E$2&amp;"&amp;subject="&amp;_xlfn.ENCODEURL("[INVALID] Quality audit monitoring completed for "&amp;UPPER($C1078))&amp;"&amp;body="&amp;_xlfn.ENCODEURL("Hi "&amp;$F1078&amp;","&amp;CHAR(10)&amp;"Good day!"&amp;CHAR(10)&amp;CHAR(10)&amp;"A quality monitoring audit has been completed for "&amp;$C1078&amp;"."&amp;CHAR(10)&amp;CHAR(10)&amp;"QUALITY AUDIT DETAILS"&amp;CHAR(10)&amp;"Agent Name: "&amp;$C1078&amp;" (EID "&amp;$D1078&amp;")"&amp;CHAR(10)&amp;"Audit Date: "&amp;TEXT($B1078,"yyyy-mm-dd")&amp;CHAR(10)&amp;"Team Leader: "&amp;$F1078&amp;CHAR(10)&amp;"Case Number: "&amp;$M1078&amp;CHAR(10)&amp;"Transaction ID: "&amp;$N1078&amp;CHAR(10)&amp;"Channel / LOB: "&amp;$K1078&amp;" / "&amp;$L1078&amp;CHAR(10)&amp;"Evaluator: "&amp;$S1078&amp;CHAR(10)&amp;CHAR(10)&amp;"INVALID QUALITY AUDIT DETAILS"&amp;CHAR(10)&amp;"Validation: Invalid"&amp;CHAR(10)&amp;"Invalid Reason: "&amp;$P1078&amp;CHAR(10)&amp;"Expected Resolution Code: "&amp;$Q1078&amp;CHAR(10)&amp;"Remarks: "&amp;LEFT($R1078,600)&amp;CHAR(10)&amp;CHAR(10)&amp;"This is an automated notification from HP Mainstream EQMS."),"✉ Open Email Draft"),"")</f>
        <v/>
      </c>
    </row>
    <row r="1079">
      <c r="A1079" s="25">
        <f>IF($C1079="","","AUD-2026-"&amp;TEXT(ROW()-1,"000000"))</f>
        <v/>
      </c>
      <c r="B1079" s="26" t="n"/>
      <c r="C1079" s="27" t="n"/>
      <c r="D1079" s="25">
        <f>IF($C1079="","",IFERROR(IF(INDEX(Roster!$A:$A,MATCH($C1079,Roster!$B:$B,0))="","",INDEX(Roster!$A:$A,MATCH($C1079,Roster!$B:$B,0))&amp;""),"—"))</f>
        <v/>
      </c>
      <c r="E1079" s="25">
        <f>IF($C1079="","",IFERROR(IF(INDEX(Roster!$C:$C,MATCH($C1079,Roster!$B:$B,0))="","",INDEX(Roster!$C:$C,MATCH($C1079,Roster!$B:$B,0))&amp;""),"—"))</f>
        <v/>
      </c>
      <c r="F1079" s="25">
        <f>IF($C1079="","",IFERROR(IF(INDEX(Roster!$D:$D,MATCH($C1079,Roster!$B:$B,0))="","",INDEX(Roster!$D:$D,MATCH($C1079,Roster!$B:$B,0))&amp;""),"—"))</f>
        <v/>
      </c>
      <c r="G1079" s="25">
        <f>IF($C1079="","",IFERROR(IF(INDEX(Roster!$E:$E,MATCH($C1079,Roster!$B:$B,0))="","",INDEX(Roster!$E:$E,MATCH($C1079,Roster!$B:$B,0))&amp;""),"—"))</f>
        <v/>
      </c>
      <c r="H1079" s="25">
        <f>IF($C1079="","",IFERROR(IF(INDEX(Roster!$F:$F,MATCH($C1079,Roster!$B:$B,0))="","",INDEX(Roster!$F:$F,MATCH($C1079,Roster!$B:$B,0))&amp;""),"—"))</f>
        <v/>
      </c>
      <c r="I1079" s="25">
        <f>IF($C1079="","",IFERROR(IF(INDEX(Roster!$G:$G,MATCH($C1079,Roster!$B:$B,0))="","",INDEX(Roster!$G:$G,MATCH($C1079,Roster!$B:$B,0))&amp;""),"—"))</f>
        <v/>
      </c>
      <c r="J1079" s="25">
        <f>IF($C1079="","",IFERROR(IF(INDEX(Roster!$I:$I,MATCH($C1079,Roster!$B:$B,0))="","",INDEX(Roster!$I:$I,MATCH($C1079,Roster!$B:$B,0))&amp;""),"—"))</f>
        <v/>
      </c>
      <c r="K1079">
        <f>IF($C1079="","",IFERROR(IF(INDEX(Roster!$J:$J,MATCH($C1079,Roster!$B:$B,0))="","",INDEX(Roster!$J:$J,MATCH($C1079,Roster!$B:$B,0))&amp;""),"—"))</f>
        <v/>
      </c>
      <c r="L1079">
        <f>IF($C1079="","",IFERROR(IF(INDEX(Roster!$K:$K,MATCH($C1079,Roster!$B:$B,0))="","",INDEX(Roster!$K:$K,MATCH($C1079,Roster!$B:$B,0))&amp;""),"—"))</f>
        <v/>
      </c>
      <c r="M1079" s="27" t="n"/>
      <c r="N1079" s="27" t="n"/>
      <c r="O1079" s="25">
        <f>IF($C1079="","",IF($P1079="","—",IF($P1079="Valid (Pass)","Valid","Invalid")))</f>
        <v/>
      </c>
      <c r="P1079" s="27" t="n"/>
      <c r="Q1079" s="27" t="n"/>
      <c r="R1079" s="27" t="n"/>
      <c r="S1079" s="27" t="n"/>
      <c r="T1079" s="25">
        <f>IF($C1079="","",IF(OR(ISNUMBER(SEARCH("quick case",$P1079)),ISNUMBER(SEARCH("quick case",$Q1079))),"Yes","No"))</f>
        <v/>
      </c>
      <c r="U1079" s="25">
        <f>IF($O1079="Invalid",HYPERLINK("mailto:"&amp;$G1079&amp;";"&amp;$I1079&amp;"?cc="&amp;Lists!$E$2&amp;"&amp;subject="&amp;_xlfn.ENCODEURL("[INVALID] Quality audit monitoring completed for "&amp;UPPER($C1079))&amp;"&amp;body="&amp;_xlfn.ENCODEURL("Hi "&amp;$F1079&amp;","&amp;CHAR(10)&amp;"Good day!"&amp;CHAR(10)&amp;CHAR(10)&amp;"A quality monitoring audit has been completed for "&amp;$C1079&amp;"."&amp;CHAR(10)&amp;CHAR(10)&amp;"QUALITY AUDIT DETAILS"&amp;CHAR(10)&amp;"Agent Name: "&amp;$C1079&amp;" (EID "&amp;$D1079&amp;")"&amp;CHAR(10)&amp;"Audit Date: "&amp;TEXT($B1079,"yyyy-mm-dd")&amp;CHAR(10)&amp;"Team Leader: "&amp;$F1079&amp;CHAR(10)&amp;"Case Number: "&amp;$M1079&amp;CHAR(10)&amp;"Transaction ID: "&amp;$N1079&amp;CHAR(10)&amp;"Channel / LOB: "&amp;$K1079&amp;" / "&amp;$L1079&amp;CHAR(10)&amp;"Evaluator: "&amp;$S1079&amp;CHAR(10)&amp;CHAR(10)&amp;"INVALID QUALITY AUDIT DETAILS"&amp;CHAR(10)&amp;"Validation: Invalid"&amp;CHAR(10)&amp;"Invalid Reason: "&amp;$P1079&amp;CHAR(10)&amp;"Expected Resolution Code: "&amp;$Q1079&amp;CHAR(10)&amp;"Remarks: "&amp;LEFT($R1079,600)&amp;CHAR(10)&amp;CHAR(10)&amp;"This is an automated notification from HP Mainstream EQMS."),"✉ Open Email Draft"),"")</f>
        <v/>
      </c>
    </row>
    <row r="1080">
      <c r="A1080" s="25">
        <f>IF($C1080="","","AUD-2026-"&amp;TEXT(ROW()-1,"000000"))</f>
        <v/>
      </c>
      <c r="B1080" s="26" t="n"/>
      <c r="C1080" s="27" t="n"/>
      <c r="D1080" s="25">
        <f>IF($C1080="","",IFERROR(IF(INDEX(Roster!$A:$A,MATCH($C1080,Roster!$B:$B,0))="","",INDEX(Roster!$A:$A,MATCH($C1080,Roster!$B:$B,0))&amp;""),"—"))</f>
        <v/>
      </c>
      <c r="E1080" s="25">
        <f>IF($C1080="","",IFERROR(IF(INDEX(Roster!$C:$C,MATCH($C1080,Roster!$B:$B,0))="","",INDEX(Roster!$C:$C,MATCH($C1080,Roster!$B:$B,0))&amp;""),"—"))</f>
        <v/>
      </c>
      <c r="F1080" s="25">
        <f>IF($C1080="","",IFERROR(IF(INDEX(Roster!$D:$D,MATCH($C1080,Roster!$B:$B,0))="","",INDEX(Roster!$D:$D,MATCH($C1080,Roster!$B:$B,0))&amp;""),"—"))</f>
        <v/>
      </c>
      <c r="G1080" s="25">
        <f>IF($C1080="","",IFERROR(IF(INDEX(Roster!$E:$E,MATCH($C1080,Roster!$B:$B,0))="","",INDEX(Roster!$E:$E,MATCH($C1080,Roster!$B:$B,0))&amp;""),"—"))</f>
        <v/>
      </c>
      <c r="H1080" s="25">
        <f>IF($C1080="","",IFERROR(IF(INDEX(Roster!$F:$F,MATCH($C1080,Roster!$B:$B,0))="","",INDEX(Roster!$F:$F,MATCH($C1080,Roster!$B:$B,0))&amp;""),"—"))</f>
        <v/>
      </c>
      <c r="I1080" s="25">
        <f>IF($C1080="","",IFERROR(IF(INDEX(Roster!$G:$G,MATCH($C1080,Roster!$B:$B,0))="","",INDEX(Roster!$G:$G,MATCH($C1080,Roster!$B:$B,0))&amp;""),"—"))</f>
        <v/>
      </c>
      <c r="J1080" s="25">
        <f>IF($C1080="","",IFERROR(IF(INDEX(Roster!$I:$I,MATCH($C1080,Roster!$B:$B,0))="","",INDEX(Roster!$I:$I,MATCH($C1080,Roster!$B:$B,0))&amp;""),"—"))</f>
        <v/>
      </c>
      <c r="K1080">
        <f>IF($C1080="","",IFERROR(IF(INDEX(Roster!$J:$J,MATCH($C1080,Roster!$B:$B,0))="","",INDEX(Roster!$J:$J,MATCH($C1080,Roster!$B:$B,0))&amp;""),"—"))</f>
        <v/>
      </c>
      <c r="L1080">
        <f>IF($C1080="","",IFERROR(IF(INDEX(Roster!$K:$K,MATCH($C1080,Roster!$B:$B,0))="","",INDEX(Roster!$K:$K,MATCH($C1080,Roster!$B:$B,0))&amp;""),"—"))</f>
        <v/>
      </c>
      <c r="M1080" s="27" t="n"/>
      <c r="N1080" s="27" t="n"/>
      <c r="O1080" s="25">
        <f>IF($C1080="","",IF($P1080="","—",IF($P1080="Valid (Pass)","Valid","Invalid")))</f>
        <v/>
      </c>
      <c r="P1080" s="27" t="n"/>
      <c r="Q1080" s="27" t="n"/>
      <c r="R1080" s="27" t="n"/>
      <c r="S1080" s="27" t="n"/>
      <c r="T1080" s="25">
        <f>IF($C1080="","",IF(OR(ISNUMBER(SEARCH("quick case",$P1080)),ISNUMBER(SEARCH("quick case",$Q1080))),"Yes","No"))</f>
        <v/>
      </c>
      <c r="U1080" s="25">
        <f>IF($O1080="Invalid",HYPERLINK("mailto:"&amp;$G1080&amp;";"&amp;$I1080&amp;"?cc="&amp;Lists!$E$2&amp;"&amp;subject="&amp;_xlfn.ENCODEURL("[INVALID] Quality audit monitoring completed for "&amp;UPPER($C1080))&amp;"&amp;body="&amp;_xlfn.ENCODEURL("Hi "&amp;$F1080&amp;","&amp;CHAR(10)&amp;"Good day!"&amp;CHAR(10)&amp;CHAR(10)&amp;"A quality monitoring audit has been completed for "&amp;$C1080&amp;"."&amp;CHAR(10)&amp;CHAR(10)&amp;"QUALITY AUDIT DETAILS"&amp;CHAR(10)&amp;"Agent Name: "&amp;$C1080&amp;" (EID "&amp;$D1080&amp;")"&amp;CHAR(10)&amp;"Audit Date: "&amp;TEXT($B1080,"yyyy-mm-dd")&amp;CHAR(10)&amp;"Team Leader: "&amp;$F1080&amp;CHAR(10)&amp;"Case Number: "&amp;$M1080&amp;CHAR(10)&amp;"Transaction ID: "&amp;$N1080&amp;CHAR(10)&amp;"Channel / LOB: "&amp;$K1080&amp;" / "&amp;$L1080&amp;CHAR(10)&amp;"Evaluator: "&amp;$S1080&amp;CHAR(10)&amp;CHAR(10)&amp;"INVALID QUALITY AUDIT DETAILS"&amp;CHAR(10)&amp;"Validation: Invalid"&amp;CHAR(10)&amp;"Invalid Reason: "&amp;$P1080&amp;CHAR(10)&amp;"Expected Resolution Code: "&amp;$Q1080&amp;CHAR(10)&amp;"Remarks: "&amp;LEFT($R1080,600)&amp;CHAR(10)&amp;CHAR(10)&amp;"This is an automated notification from HP Mainstream EQMS."),"✉ Open Email Draft"),"")</f>
        <v/>
      </c>
    </row>
    <row r="1081">
      <c r="A1081" s="25">
        <f>IF($C1081="","","AUD-2026-"&amp;TEXT(ROW()-1,"000000"))</f>
        <v/>
      </c>
      <c r="B1081" s="26" t="n"/>
      <c r="C1081" s="27" t="n"/>
      <c r="D1081" s="25">
        <f>IF($C1081="","",IFERROR(IF(INDEX(Roster!$A:$A,MATCH($C1081,Roster!$B:$B,0))="","",INDEX(Roster!$A:$A,MATCH($C1081,Roster!$B:$B,0))&amp;""),"—"))</f>
        <v/>
      </c>
      <c r="E1081" s="25">
        <f>IF($C1081="","",IFERROR(IF(INDEX(Roster!$C:$C,MATCH($C1081,Roster!$B:$B,0))="","",INDEX(Roster!$C:$C,MATCH($C1081,Roster!$B:$B,0))&amp;""),"—"))</f>
        <v/>
      </c>
      <c r="F1081" s="25">
        <f>IF($C1081="","",IFERROR(IF(INDEX(Roster!$D:$D,MATCH($C1081,Roster!$B:$B,0))="","",INDEX(Roster!$D:$D,MATCH($C1081,Roster!$B:$B,0))&amp;""),"—"))</f>
        <v/>
      </c>
      <c r="G1081" s="25">
        <f>IF($C1081="","",IFERROR(IF(INDEX(Roster!$E:$E,MATCH($C1081,Roster!$B:$B,0))="","",INDEX(Roster!$E:$E,MATCH($C1081,Roster!$B:$B,0))&amp;""),"—"))</f>
        <v/>
      </c>
      <c r="H1081" s="25">
        <f>IF($C1081="","",IFERROR(IF(INDEX(Roster!$F:$F,MATCH($C1081,Roster!$B:$B,0))="","",INDEX(Roster!$F:$F,MATCH($C1081,Roster!$B:$B,0))&amp;""),"—"))</f>
        <v/>
      </c>
      <c r="I1081" s="25">
        <f>IF($C1081="","",IFERROR(IF(INDEX(Roster!$G:$G,MATCH($C1081,Roster!$B:$B,0))="","",INDEX(Roster!$G:$G,MATCH($C1081,Roster!$B:$B,0))&amp;""),"—"))</f>
        <v/>
      </c>
      <c r="J1081" s="25">
        <f>IF($C1081="","",IFERROR(IF(INDEX(Roster!$I:$I,MATCH($C1081,Roster!$B:$B,0))="","",INDEX(Roster!$I:$I,MATCH($C1081,Roster!$B:$B,0))&amp;""),"—"))</f>
        <v/>
      </c>
      <c r="K1081">
        <f>IF($C1081="","",IFERROR(IF(INDEX(Roster!$J:$J,MATCH($C1081,Roster!$B:$B,0))="","",INDEX(Roster!$J:$J,MATCH($C1081,Roster!$B:$B,0))&amp;""),"—"))</f>
        <v/>
      </c>
      <c r="L1081">
        <f>IF($C1081="","",IFERROR(IF(INDEX(Roster!$K:$K,MATCH($C1081,Roster!$B:$B,0))="","",INDEX(Roster!$K:$K,MATCH($C1081,Roster!$B:$B,0))&amp;""),"—"))</f>
        <v/>
      </c>
      <c r="M1081" s="27" t="n"/>
      <c r="N1081" s="27" t="n"/>
      <c r="O1081" s="25">
        <f>IF($C1081="","",IF($P1081="","—",IF($P1081="Valid (Pass)","Valid","Invalid")))</f>
        <v/>
      </c>
      <c r="P1081" s="27" t="n"/>
      <c r="Q1081" s="27" t="n"/>
      <c r="R1081" s="27" t="n"/>
      <c r="S1081" s="27" t="n"/>
      <c r="T1081" s="25">
        <f>IF($C1081="","",IF(OR(ISNUMBER(SEARCH("quick case",$P1081)),ISNUMBER(SEARCH("quick case",$Q1081))),"Yes","No"))</f>
        <v/>
      </c>
      <c r="U1081" s="25">
        <f>IF($O1081="Invalid",HYPERLINK("mailto:"&amp;$G1081&amp;";"&amp;$I1081&amp;"?cc="&amp;Lists!$E$2&amp;"&amp;subject="&amp;_xlfn.ENCODEURL("[INVALID] Quality audit monitoring completed for "&amp;UPPER($C1081))&amp;"&amp;body="&amp;_xlfn.ENCODEURL("Hi "&amp;$F1081&amp;","&amp;CHAR(10)&amp;"Good day!"&amp;CHAR(10)&amp;CHAR(10)&amp;"A quality monitoring audit has been completed for "&amp;$C1081&amp;"."&amp;CHAR(10)&amp;CHAR(10)&amp;"QUALITY AUDIT DETAILS"&amp;CHAR(10)&amp;"Agent Name: "&amp;$C1081&amp;" (EID "&amp;$D1081&amp;")"&amp;CHAR(10)&amp;"Audit Date: "&amp;TEXT($B1081,"yyyy-mm-dd")&amp;CHAR(10)&amp;"Team Leader: "&amp;$F1081&amp;CHAR(10)&amp;"Case Number: "&amp;$M1081&amp;CHAR(10)&amp;"Transaction ID: "&amp;$N1081&amp;CHAR(10)&amp;"Channel / LOB: "&amp;$K1081&amp;" / "&amp;$L1081&amp;CHAR(10)&amp;"Evaluator: "&amp;$S1081&amp;CHAR(10)&amp;CHAR(10)&amp;"INVALID QUALITY AUDIT DETAILS"&amp;CHAR(10)&amp;"Validation: Invalid"&amp;CHAR(10)&amp;"Invalid Reason: "&amp;$P1081&amp;CHAR(10)&amp;"Expected Resolution Code: "&amp;$Q1081&amp;CHAR(10)&amp;"Remarks: "&amp;LEFT($R1081,600)&amp;CHAR(10)&amp;CHAR(10)&amp;"This is an automated notification from HP Mainstream EQMS."),"✉ Open Email Draft"),"")</f>
        <v/>
      </c>
    </row>
    <row r="1082">
      <c r="A1082" s="25">
        <f>IF($C1082="","","AUD-2026-"&amp;TEXT(ROW()-1,"000000"))</f>
        <v/>
      </c>
      <c r="B1082" s="26" t="n"/>
      <c r="C1082" s="27" t="n"/>
      <c r="D1082" s="25">
        <f>IF($C1082="","",IFERROR(IF(INDEX(Roster!$A:$A,MATCH($C1082,Roster!$B:$B,0))="","",INDEX(Roster!$A:$A,MATCH($C1082,Roster!$B:$B,0))&amp;""),"—"))</f>
        <v/>
      </c>
      <c r="E1082" s="25">
        <f>IF($C1082="","",IFERROR(IF(INDEX(Roster!$C:$C,MATCH($C1082,Roster!$B:$B,0))="","",INDEX(Roster!$C:$C,MATCH($C1082,Roster!$B:$B,0))&amp;""),"—"))</f>
        <v/>
      </c>
      <c r="F1082" s="25">
        <f>IF($C1082="","",IFERROR(IF(INDEX(Roster!$D:$D,MATCH($C1082,Roster!$B:$B,0))="","",INDEX(Roster!$D:$D,MATCH($C1082,Roster!$B:$B,0))&amp;""),"—"))</f>
        <v/>
      </c>
      <c r="G1082" s="25">
        <f>IF($C1082="","",IFERROR(IF(INDEX(Roster!$E:$E,MATCH($C1082,Roster!$B:$B,0))="","",INDEX(Roster!$E:$E,MATCH($C1082,Roster!$B:$B,0))&amp;""),"—"))</f>
        <v/>
      </c>
      <c r="H1082" s="25">
        <f>IF($C1082="","",IFERROR(IF(INDEX(Roster!$F:$F,MATCH($C1082,Roster!$B:$B,0))="","",INDEX(Roster!$F:$F,MATCH($C1082,Roster!$B:$B,0))&amp;""),"—"))</f>
        <v/>
      </c>
      <c r="I1082" s="25">
        <f>IF($C1082="","",IFERROR(IF(INDEX(Roster!$G:$G,MATCH($C1082,Roster!$B:$B,0))="","",INDEX(Roster!$G:$G,MATCH($C1082,Roster!$B:$B,0))&amp;""),"—"))</f>
        <v/>
      </c>
      <c r="J1082" s="25">
        <f>IF($C1082="","",IFERROR(IF(INDEX(Roster!$I:$I,MATCH($C1082,Roster!$B:$B,0))="","",INDEX(Roster!$I:$I,MATCH($C1082,Roster!$B:$B,0))&amp;""),"—"))</f>
        <v/>
      </c>
      <c r="K1082">
        <f>IF($C1082="","",IFERROR(IF(INDEX(Roster!$J:$J,MATCH($C1082,Roster!$B:$B,0))="","",INDEX(Roster!$J:$J,MATCH($C1082,Roster!$B:$B,0))&amp;""),"—"))</f>
        <v/>
      </c>
      <c r="L1082">
        <f>IF($C1082="","",IFERROR(IF(INDEX(Roster!$K:$K,MATCH($C1082,Roster!$B:$B,0))="","",INDEX(Roster!$K:$K,MATCH($C1082,Roster!$B:$B,0))&amp;""),"—"))</f>
        <v/>
      </c>
      <c r="M1082" s="27" t="n"/>
      <c r="N1082" s="27" t="n"/>
      <c r="O1082" s="25">
        <f>IF($C1082="","",IF($P1082="","—",IF($P1082="Valid (Pass)","Valid","Invalid")))</f>
        <v/>
      </c>
      <c r="P1082" s="27" t="n"/>
      <c r="Q1082" s="27" t="n"/>
      <c r="R1082" s="27" t="n"/>
      <c r="S1082" s="27" t="n"/>
      <c r="T1082" s="25">
        <f>IF($C1082="","",IF(OR(ISNUMBER(SEARCH("quick case",$P1082)),ISNUMBER(SEARCH("quick case",$Q1082))),"Yes","No"))</f>
        <v/>
      </c>
      <c r="U1082" s="25">
        <f>IF($O1082="Invalid",HYPERLINK("mailto:"&amp;$G1082&amp;";"&amp;$I1082&amp;"?cc="&amp;Lists!$E$2&amp;"&amp;subject="&amp;_xlfn.ENCODEURL("[INVALID] Quality audit monitoring completed for "&amp;UPPER($C1082))&amp;"&amp;body="&amp;_xlfn.ENCODEURL("Hi "&amp;$F1082&amp;","&amp;CHAR(10)&amp;"Good day!"&amp;CHAR(10)&amp;CHAR(10)&amp;"A quality monitoring audit has been completed for "&amp;$C1082&amp;"."&amp;CHAR(10)&amp;CHAR(10)&amp;"QUALITY AUDIT DETAILS"&amp;CHAR(10)&amp;"Agent Name: "&amp;$C1082&amp;" (EID "&amp;$D1082&amp;")"&amp;CHAR(10)&amp;"Audit Date: "&amp;TEXT($B1082,"yyyy-mm-dd")&amp;CHAR(10)&amp;"Team Leader: "&amp;$F1082&amp;CHAR(10)&amp;"Case Number: "&amp;$M1082&amp;CHAR(10)&amp;"Transaction ID: "&amp;$N1082&amp;CHAR(10)&amp;"Channel / LOB: "&amp;$K1082&amp;" / "&amp;$L1082&amp;CHAR(10)&amp;"Evaluator: "&amp;$S1082&amp;CHAR(10)&amp;CHAR(10)&amp;"INVALID QUALITY AUDIT DETAILS"&amp;CHAR(10)&amp;"Validation: Invalid"&amp;CHAR(10)&amp;"Invalid Reason: "&amp;$P1082&amp;CHAR(10)&amp;"Expected Resolution Code: "&amp;$Q1082&amp;CHAR(10)&amp;"Remarks: "&amp;LEFT($R1082,600)&amp;CHAR(10)&amp;CHAR(10)&amp;"This is an automated notification from HP Mainstream EQMS."),"✉ Open Email Draft"),"")</f>
        <v/>
      </c>
    </row>
    <row r="1083">
      <c r="A1083" s="25">
        <f>IF($C1083="","","AUD-2026-"&amp;TEXT(ROW()-1,"000000"))</f>
        <v/>
      </c>
      <c r="B1083" s="26" t="n"/>
      <c r="C1083" s="27" t="n"/>
      <c r="D1083" s="25">
        <f>IF($C1083="","",IFERROR(IF(INDEX(Roster!$A:$A,MATCH($C1083,Roster!$B:$B,0))="","",INDEX(Roster!$A:$A,MATCH($C1083,Roster!$B:$B,0))&amp;""),"—"))</f>
        <v/>
      </c>
      <c r="E1083" s="25">
        <f>IF($C1083="","",IFERROR(IF(INDEX(Roster!$C:$C,MATCH($C1083,Roster!$B:$B,0))="","",INDEX(Roster!$C:$C,MATCH($C1083,Roster!$B:$B,0))&amp;""),"—"))</f>
        <v/>
      </c>
      <c r="F1083" s="25">
        <f>IF($C1083="","",IFERROR(IF(INDEX(Roster!$D:$D,MATCH($C1083,Roster!$B:$B,0))="","",INDEX(Roster!$D:$D,MATCH($C1083,Roster!$B:$B,0))&amp;""),"—"))</f>
        <v/>
      </c>
      <c r="G1083" s="25">
        <f>IF($C1083="","",IFERROR(IF(INDEX(Roster!$E:$E,MATCH($C1083,Roster!$B:$B,0))="","",INDEX(Roster!$E:$E,MATCH($C1083,Roster!$B:$B,0))&amp;""),"—"))</f>
        <v/>
      </c>
      <c r="H1083" s="25">
        <f>IF($C1083="","",IFERROR(IF(INDEX(Roster!$F:$F,MATCH($C1083,Roster!$B:$B,0))="","",INDEX(Roster!$F:$F,MATCH($C1083,Roster!$B:$B,0))&amp;""),"—"))</f>
        <v/>
      </c>
      <c r="I1083" s="25">
        <f>IF($C1083="","",IFERROR(IF(INDEX(Roster!$G:$G,MATCH($C1083,Roster!$B:$B,0))="","",INDEX(Roster!$G:$G,MATCH($C1083,Roster!$B:$B,0))&amp;""),"—"))</f>
        <v/>
      </c>
      <c r="J1083" s="25">
        <f>IF($C1083="","",IFERROR(IF(INDEX(Roster!$I:$I,MATCH($C1083,Roster!$B:$B,0))="","",INDEX(Roster!$I:$I,MATCH($C1083,Roster!$B:$B,0))&amp;""),"—"))</f>
        <v/>
      </c>
      <c r="K1083">
        <f>IF($C1083="","",IFERROR(IF(INDEX(Roster!$J:$J,MATCH($C1083,Roster!$B:$B,0))="","",INDEX(Roster!$J:$J,MATCH($C1083,Roster!$B:$B,0))&amp;""),"—"))</f>
        <v/>
      </c>
      <c r="L1083">
        <f>IF($C1083="","",IFERROR(IF(INDEX(Roster!$K:$K,MATCH($C1083,Roster!$B:$B,0))="","",INDEX(Roster!$K:$K,MATCH($C1083,Roster!$B:$B,0))&amp;""),"—"))</f>
        <v/>
      </c>
      <c r="M1083" s="27" t="n"/>
      <c r="N1083" s="27" t="n"/>
      <c r="O1083" s="25">
        <f>IF($C1083="","",IF($P1083="","—",IF($P1083="Valid (Pass)","Valid","Invalid")))</f>
        <v/>
      </c>
      <c r="P1083" s="27" t="n"/>
      <c r="Q1083" s="27" t="n"/>
      <c r="R1083" s="27" t="n"/>
      <c r="S1083" s="27" t="n"/>
      <c r="T1083" s="25">
        <f>IF($C1083="","",IF(OR(ISNUMBER(SEARCH("quick case",$P1083)),ISNUMBER(SEARCH("quick case",$Q1083))),"Yes","No"))</f>
        <v/>
      </c>
      <c r="U1083" s="25">
        <f>IF($O1083="Invalid",HYPERLINK("mailto:"&amp;$G1083&amp;";"&amp;$I1083&amp;"?cc="&amp;Lists!$E$2&amp;"&amp;subject="&amp;_xlfn.ENCODEURL("[INVALID] Quality audit monitoring completed for "&amp;UPPER($C1083))&amp;"&amp;body="&amp;_xlfn.ENCODEURL("Hi "&amp;$F1083&amp;","&amp;CHAR(10)&amp;"Good day!"&amp;CHAR(10)&amp;CHAR(10)&amp;"A quality monitoring audit has been completed for "&amp;$C1083&amp;"."&amp;CHAR(10)&amp;CHAR(10)&amp;"QUALITY AUDIT DETAILS"&amp;CHAR(10)&amp;"Agent Name: "&amp;$C1083&amp;" (EID "&amp;$D1083&amp;")"&amp;CHAR(10)&amp;"Audit Date: "&amp;TEXT($B1083,"yyyy-mm-dd")&amp;CHAR(10)&amp;"Team Leader: "&amp;$F1083&amp;CHAR(10)&amp;"Case Number: "&amp;$M1083&amp;CHAR(10)&amp;"Transaction ID: "&amp;$N1083&amp;CHAR(10)&amp;"Channel / LOB: "&amp;$K1083&amp;" / "&amp;$L1083&amp;CHAR(10)&amp;"Evaluator: "&amp;$S1083&amp;CHAR(10)&amp;CHAR(10)&amp;"INVALID QUALITY AUDIT DETAILS"&amp;CHAR(10)&amp;"Validation: Invalid"&amp;CHAR(10)&amp;"Invalid Reason: "&amp;$P1083&amp;CHAR(10)&amp;"Expected Resolution Code: "&amp;$Q1083&amp;CHAR(10)&amp;"Remarks: "&amp;LEFT($R1083,600)&amp;CHAR(10)&amp;CHAR(10)&amp;"This is an automated notification from HP Mainstream EQMS."),"✉ Open Email Draft"),"")</f>
        <v/>
      </c>
    </row>
    <row r="1084">
      <c r="A1084" s="25">
        <f>IF($C1084="","","AUD-2026-"&amp;TEXT(ROW()-1,"000000"))</f>
        <v/>
      </c>
      <c r="B1084" s="26" t="n"/>
      <c r="C1084" s="27" t="n"/>
      <c r="D1084" s="25">
        <f>IF($C1084="","",IFERROR(IF(INDEX(Roster!$A:$A,MATCH($C1084,Roster!$B:$B,0))="","",INDEX(Roster!$A:$A,MATCH($C1084,Roster!$B:$B,0))&amp;""),"—"))</f>
        <v/>
      </c>
      <c r="E1084" s="25">
        <f>IF($C1084="","",IFERROR(IF(INDEX(Roster!$C:$C,MATCH($C1084,Roster!$B:$B,0))="","",INDEX(Roster!$C:$C,MATCH($C1084,Roster!$B:$B,0))&amp;""),"—"))</f>
        <v/>
      </c>
      <c r="F1084" s="25">
        <f>IF($C1084="","",IFERROR(IF(INDEX(Roster!$D:$D,MATCH($C1084,Roster!$B:$B,0))="","",INDEX(Roster!$D:$D,MATCH($C1084,Roster!$B:$B,0))&amp;""),"—"))</f>
        <v/>
      </c>
      <c r="G1084" s="25">
        <f>IF($C1084="","",IFERROR(IF(INDEX(Roster!$E:$E,MATCH($C1084,Roster!$B:$B,0))="","",INDEX(Roster!$E:$E,MATCH($C1084,Roster!$B:$B,0))&amp;""),"—"))</f>
        <v/>
      </c>
      <c r="H1084" s="25">
        <f>IF($C1084="","",IFERROR(IF(INDEX(Roster!$F:$F,MATCH($C1084,Roster!$B:$B,0))="","",INDEX(Roster!$F:$F,MATCH($C1084,Roster!$B:$B,0))&amp;""),"—"))</f>
        <v/>
      </c>
      <c r="I1084" s="25">
        <f>IF($C1084="","",IFERROR(IF(INDEX(Roster!$G:$G,MATCH($C1084,Roster!$B:$B,0))="","",INDEX(Roster!$G:$G,MATCH($C1084,Roster!$B:$B,0))&amp;""),"—"))</f>
        <v/>
      </c>
      <c r="J1084" s="25">
        <f>IF($C1084="","",IFERROR(IF(INDEX(Roster!$I:$I,MATCH($C1084,Roster!$B:$B,0))="","",INDEX(Roster!$I:$I,MATCH($C1084,Roster!$B:$B,0))&amp;""),"—"))</f>
        <v/>
      </c>
      <c r="K1084">
        <f>IF($C1084="","",IFERROR(IF(INDEX(Roster!$J:$J,MATCH($C1084,Roster!$B:$B,0))="","",INDEX(Roster!$J:$J,MATCH($C1084,Roster!$B:$B,0))&amp;""),"—"))</f>
        <v/>
      </c>
      <c r="L1084">
        <f>IF($C1084="","",IFERROR(IF(INDEX(Roster!$K:$K,MATCH($C1084,Roster!$B:$B,0))="","",INDEX(Roster!$K:$K,MATCH($C1084,Roster!$B:$B,0))&amp;""),"—"))</f>
        <v/>
      </c>
      <c r="M1084" s="27" t="n"/>
      <c r="N1084" s="27" t="n"/>
      <c r="O1084" s="25">
        <f>IF($C1084="","",IF($P1084="","—",IF($P1084="Valid (Pass)","Valid","Invalid")))</f>
        <v/>
      </c>
      <c r="P1084" s="27" t="n"/>
      <c r="Q1084" s="27" t="n"/>
      <c r="R1084" s="27" t="n"/>
      <c r="S1084" s="27" t="n"/>
      <c r="T1084" s="25">
        <f>IF($C1084="","",IF(OR(ISNUMBER(SEARCH("quick case",$P1084)),ISNUMBER(SEARCH("quick case",$Q1084))),"Yes","No"))</f>
        <v/>
      </c>
      <c r="U1084" s="25">
        <f>IF($O1084="Invalid",HYPERLINK("mailto:"&amp;$G1084&amp;";"&amp;$I1084&amp;"?cc="&amp;Lists!$E$2&amp;"&amp;subject="&amp;_xlfn.ENCODEURL("[INVALID] Quality audit monitoring completed for "&amp;UPPER($C1084))&amp;"&amp;body="&amp;_xlfn.ENCODEURL("Hi "&amp;$F1084&amp;","&amp;CHAR(10)&amp;"Good day!"&amp;CHAR(10)&amp;CHAR(10)&amp;"A quality monitoring audit has been completed for "&amp;$C1084&amp;"."&amp;CHAR(10)&amp;CHAR(10)&amp;"QUALITY AUDIT DETAILS"&amp;CHAR(10)&amp;"Agent Name: "&amp;$C1084&amp;" (EID "&amp;$D1084&amp;")"&amp;CHAR(10)&amp;"Audit Date: "&amp;TEXT($B1084,"yyyy-mm-dd")&amp;CHAR(10)&amp;"Team Leader: "&amp;$F1084&amp;CHAR(10)&amp;"Case Number: "&amp;$M1084&amp;CHAR(10)&amp;"Transaction ID: "&amp;$N1084&amp;CHAR(10)&amp;"Channel / LOB: "&amp;$K1084&amp;" / "&amp;$L1084&amp;CHAR(10)&amp;"Evaluator: "&amp;$S1084&amp;CHAR(10)&amp;CHAR(10)&amp;"INVALID QUALITY AUDIT DETAILS"&amp;CHAR(10)&amp;"Validation: Invalid"&amp;CHAR(10)&amp;"Invalid Reason: "&amp;$P1084&amp;CHAR(10)&amp;"Expected Resolution Code: "&amp;$Q1084&amp;CHAR(10)&amp;"Remarks: "&amp;LEFT($R1084,600)&amp;CHAR(10)&amp;CHAR(10)&amp;"This is an automated notification from HP Mainstream EQMS."),"✉ Open Email Draft"),"")</f>
        <v/>
      </c>
    </row>
    <row r="1085">
      <c r="A1085" s="25">
        <f>IF($C1085="","","AUD-2026-"&amp;TEXT(ROW()-1,"000000"))</f>
        <v/>
      </c>
      <c r="B1085" s="26" t="n"/>
      <c r="C1085" s="27" t="n"/>
      <c r="D1085" s="25">
        <f>IF($C1085="","",IFERROR(IF(INDEX(Roster!$A:$A,MATCH($C1085,Roster!$B:$B,0))="","",INDEX(Roster!$A:$A,MATCH($C1085,Roster!$B:$B,0))&amp;""),"—"))</f>
        <v/>
      </c>
      <c r="E1085" s="25">
        <f>IF($C1085="","",IFERROR(IF(INDEX(Roster!$C:$C,MATCH($C1085,Roster!$B:$B,0))="","",INDEX(Roster!$C:$C,MATCH($C1085,Roster!$B:$B,0))&amp;""),"—"))</f>
        <v/>
      </c>
      <c r="F1085" s="25">
        <f>IF($C1085="","",IFERROR(IF(INDEX(Roster!$D:$D,MATCH($C1085,Roster!$B:$B,0))="","",INDEX(Roster!$D:$D,MATCH($C1085,Roster!$B:$B,0))&amp;""),"—"))</f>
        <v/>
      </c>
      <c r="G1085" s="25">
        <f>IF($C1085="","",IFERROR(IF(INDEX(Roster!$E:$E,MATCH($C1085,Roster!$B:$B,0))="","",INDEX(Roster!$E:$E,MATCH($C1085,Roster!$B:$B,0))&amp;""),"—"))</f>
        <v/>
      </c>
      <c r="H1085" s="25">
        <f>IF($C1085="","",IFERROR(IF(INDEX(Roster!$F:$F,MATCH($C1085,Roster!$B:$B,0))="","",INDEX(Roster!$F:$F,MATCH($C1085,Roster!$B:$B,0))&amp;""),"—"))</f>
        <v/>
      </c>
      <c r="I1085" s="25">
        <f>IF($C1085="","",IFERROR(IF(INDEX(Roster!$G:$G,MATCH($C1085,Roster!$B:$B,0))="","",INDEX(Roster!$G:$G,MATCH($C1085,Roster!$B:$B,0))&amp;""),"—"))</f>
        <v/>
      </c>
      <c r="J1085" s="25">
        <f>IF($C1085="","",IFERROR(IF(INDEX(Roster!$I:$I,MATCH($C1085,Roster!$B:$B,0))="","",INDEX(Roster!$I:$I,MATCH($C1085,Roster!$B:$B,0))&amp;""),"—"))</f>
        <v/>
      </c>
      <c r="K1085">
        <f>IF($C1085="","",IFERROR(IF(INDEX(Roster!$J:$J,MATCH($C1085,Roster!$B:$B,0))="","",INDEX(Roster!$J:$J,MATCH($C1085,Roster!$B:$B,0))&amp;""),"—"))</f>
        <v/>
      </c>
      <c r="L1085">
        <f>IF($C1085="","",IFERROR(IF(INDEX(Roster!$K:$K,MATCH($C1085,Roster!$B:$B,0))="","",INDEX(Roster!$K:$K,MATCH($C1085,Roster!$B:$B,0))&amp;""),"—"))</f>
        <v/>
      </c>
      <c r="M1085" s="27" t="n"/>
      <c r="N1085" s="27" t="n"/>
      <c r="O1085" s="25">
        <f>IF($C1085="","",IF($P1085="","—",IF($P1085="Valid (Pass)","Valid","Invalid")))</f>
        <v/>
      </c>
      <c r="P1085" s="27" t="n"/>
      <c r="Q1085" s="27" t="n"/>
      <c r="R1085" s="27" t="n"/>
      <c r="S1085" s="27" t="n"/>
      <c r="T1085" s="25">
        <f>IF($C1085="","",IF(OR(ISNUMBER(SEARCH("quick case",$P1085)),ISNUMBER(SEARCH("quick case",$Q1085))),"Yes","No"))</f>
        <v/>
      </c>
      <c r="U1085" s="25">
        <f>IF($O1085="Invalid",HYPERLINK("mailto:"&amp;$G1085&amp;";"&amp;$I1085&amp;"?cc="&amp;Lists!$E$2&amp;"&amp;subject="&amp;_xlfn.ENCODEURL("[INVALID] Quality audit monitoring completed for "&amp;UPPER($C1085))&amp;"&amp;body="&amp;_xlfn.ENCODEURL("Hi "&amp;$F1085&amp;","&amp;CHAR(10)&amp;"Good day!"&amp;CHAR(10)&amp;CHAR(10)&amp;"A quality monitoring audit has been completed for "&amp;$C1085&amp;"."&amp;CHAR(10)&amp;CHAR(10)&amp;"QUALITY AUDIT DETAILS"&amp;CHAR(10)&amp;"Agent Name: "&amp;$C1085&amp;" (EID "&amp;$D1085&amp;")"&amp;CHAR(10)&amp;"Audit Date: "&amp;TEXT($B1085,"yyyy-mm-dd")&amp;CHAR(10)&amp;"Team Leader: "&amp;$F1085&amp;CHAR(10)&amp;"Case Number: "&amp;$M1085&amp;CHAR(10)&amp;"Transaction ID: "&amp;$N1085&amp;CHAR(10)&amp;"Channel / LOB: "&amp;$K1085&amp;" / "&amp;$L1085&amp;CHAR(10)&amp;"Evaluator: "&amp;$S1085&amp;CHAR(10)&amp;CHAR(10)&amp;"INVALID QUALITY AUDIT DETAILS"&amp;CHAR(10)&amp;"Validation: Invalid"&amp;CHAR(10)&amp;"Invalid Reason: "&amp;$P1085&amp;CHAR(10)&amp;"Expected Resolution Code: "&amp;$Q1085&amp;CHAR(10)&amp;"Remarks: "&amp;LEFT($R1085,600)&amp;CHAR(10)&amp;CHAR(10)&amp;"This is an automated notification from HP Mainstream EQMS."),"✉ Open Email Draft"),"")</f>
        <v/>
      </c>
    </row>
    <row r="1086">
      <c r="A1086" s="25">
        <f>IF($C1086="","","AUD-2026-"&amp;TEXT(ROW()-1,"000000"))</f>
        <v/>
      </c>
      <c r="B1086" s="26" t="n"/>
      <c r="C1086" s="27" t="n"/>
      <c r="D1086" s="25">
        <f>IF($C1086="","",IFERROR(IF(INDEX(Roster!$A:$A,MATCH($C1086,Roster!$B:$B,0))="","",INDEX(Roster!$A:$A,MATCH($C1086,Roster!$B:$B,0))&amp;""),"—"))</f>
        <v/>
      </c>
      <c r="E1086" s="25">
        <f>IF($C1086="","",IFERROR(IF(INDEX(Roster!$C:$C,MATCH($C1086,Roster!$B:$B,0))="","",INDEX(Roster!$C:$C,MATCH($C1086,Roster!$B:$B,0))&amp;""),"—"))</f>
        <v/>
      </c>
      <c r="F1086" s="25">
        <f>IF($C1086="","",IFERROR(IF(INDEX(Roster!$D:$D,MATCH($C1086,Roster!$B:$B,0))="","",INDEX(Roster!$D:$D,MATCH($C1086,Roster!$B:$B,0))&amp;""),"—"))</f>
        <v/>
      </c>
      <c r="G1086" s="25">
        <f>IF($C1086="","",IFERROR(IF(INDEX(Roster!$E:$E,MATCH($C1086,Roster!$B:$B,0))="","",INDEX(Roster!$E:$E,MATCH($C1086,Roster!$B:$B,0))&amp;""),"—"))</f>
        <v/>
      </c>
      <c r="H1086" s="25">
        <f>IF($C1086="","",IFERROR(IF(INDEX(Roster!$F:$F,MATCH($C1086,Roster!$B:$B,0))="","",INDEX(Roster!$F:$F,MATCH($C1086,Roster!$B:$B,0))&amp;""),"—"))</f>
        <v/>
      </c>
      <c r="I1086" s="25">
        <f>IF($C1086="","",IFERROR(IF(INDEX(Roster!$G:$G,MATCH($C1086,Roster!$B:$B,0))="","",INDEX(Roster!$G:$G,MATCH($C1086,Roster!$B:$B,0))&amp;""),"—"))</f>
        <v/>
      </c>
      <c r="J1086" s="25">
        <f>IF($C1086="","",IFERROR(IF(INDEX(Roster!$I:$I,MATCH($C1086,Roster!$B:$B,0))="","",INDEX(Roster!$I:$I,MATCH($C1086,Roster!$B:$B,0))&amp;""),"—"))</f>
        <v/>
      </c>
      <c r="K1086">
        <f>IF($C1086="","",IFERROR(IF(INDEX(Roster!$J:$J,MATCH($C1086,Roster!$B:$B,0))="","",INDEX(Roster!$J:$J,MATCH($C1086,Roster!$B:$B,0))&amp;""),"—"))</f>
        <v/>
      </c>
      <c r="L1086">
        <f>IF($C1086="","",IFERROR(IF(INDEX(Roster!$K:$K,MATCH($C1086,Roster!$B:$B,0))="","",INDEX(Roster!$K:$K,MATCH($C1086,Roster!$B:$B,0))&amp;""),"—"))</f>
        <v/>
      </c>
      <c r="M1086" s="27" t="n"/>
      <c r="N1086" s="27" t="n"/>
      <c r="O1086" s="25">
        <f>IF($C1086="","",IF($P1086="","—",IF($P1086="Valid (Pass)","Valid","Invalid")))</f>
        <v/>
      </c>
      <c r="P1086" s="27" t="n"/>
      <c r="Q1086" s="27" t="n"/>
      <c r="R1086" s="27" t="n"/>
      <c r="S1086" s="27" t="n"/>
      <c r="T1086" s="25">
        <f>IF($C1086="","",IF(OR(ISNUMBER(SEARCH("quick case",$P1086)),ISNUMBER(SEARCH("quick case",$Q1086))),"Yes","No"))</f>
        <v/>
      </c>
      <c r="U1086" s="25">
        <f>IF($O1086="Invalid",HYPERLINK("mailto:"&amp;$G1086&amp;";"&amp;$I1086&amp;"?cc="&amp;Lists!$E$2&amp;"&amp;subject="&amp;_xlfn.ENCODEURL("[INVALID] Quality audit monitoring completed for "&amp;UPPER($C1086))&amp;"&amp;body="&amp;_xlfn.ENCODEURL("Hi "&amp;$F1086&amp;","&amp;CHAR(10)&amp;"Good day!"&amp;CHAR(10)&amp;CHAR(10)&amp;"A quality monitoring audit has been completed for "&amp;$C1086&amp;"."&amp;CHAR(10)&amp;CHAR(10)&amp;"QUALITY AUDIT DETAILS"&amp;CHAR(10)&amp;"Agent Name: "&amp;$C1086&amp;" (EID "&amp;$D1086&amp;")"&amp;CHAR(10)&amp;"Audit Date: "&amp;TEXT($B1086,"yyyy-mm-dd")&amp;CHAR(10)&amp;"Team Leader: "&amp;$F1086&amp;CHAR(10)&amp;"Case Number: "&amp;$M1086&amp;CHAR(10)&amp;"Transaction ID: "&amp;$N1086&amp;CHAR(10)&amp;"Channel / LOB: "&amp;$K1086&amp;" / "&amp;$L1086&amp;CHAR(10)&amp;"Evaluator: "&amp;$S1086&amp;CHAR(10)&amp;CHAR(10)&amp;"INVALID QUALITY AUDIT DETAILS"&amp;CHAR(10)&amp;"Validation: Invalid"&amp;CHAR(10)&amp;"Invalid Reason: "&amp;$P1086&amp;CHAR(10)&amp;"Expected Resolution Code: "&amp;$Q1086&amp;CHAR(10)&amp;"Remarks: "&amp;LEFT($R1086,600)&amp;CHAR(10)&amp;CHAR(10)&amp;"This is an automated notification from HP Mainstream EQMS."),"✉ Open Email Draft"),"")</f>
        <v/>
      </c>
    </row>
    <row r="1087">
      <c r="A1087" s="25">
        <f>IF($C1087="","","AUD-2026-"&amp;TEXT(ROW()-1,"000000"))</f>
        <v/>
      </c>
      <c r="B1087" s="26" t="n"/>
      <c r="C1087" s="27" t="n"/>
      <c r="D1087" s="25">
        <f>IF($C1087="","",IFERROR(IF(INDEX(Roster!$A:$A,MATCH($C1087,Roster!$B:$B,0))="","",INDEX(Roster!$A:$A,MATCH($C1087,Roster!$B:$B,0))&amp;""),"—"))</f>
        <v/>
      </c>
      <c r="E1087" s="25">
        <f>IF($C1087="","",IFERROR(IF(INDEX(Roster!$C:$C,MATCH($C1087,Roster!$B:$B,0))="","",INDEX(Roster!$C:$C,MATCH($C1087,Roster!$B:$B,0))&amp;""),"—"))</f>
        <v/>
      </c>
      <c r="F1087" s="25">
        <f>IF($C1087="","",IFERROR(IF(INDEX(Roster!$D:$D,MATCH($C1087,Roster!$B:$B,0))="","",INDEX(Roster!$D:$D,MATCH($C1087,Roster!$B:$B,0))&amp;""),"—"))</f>
        <v/>
      </c>
      <c r="G1087" s="25">
        <f>IF($C1087="","",IFERROR(IF(INDEX(Roster!$E:$E,MATCH($C1087,Roster!$B:$B,0))="","",INDEX(Roster!$E:$E,MATCH($C1087,Roster!$B:$B,0))&amp;""),"—"))</f>
        <v/>
      </c>
      <c r="H1087" s="25">
        <f>IF($C1087="","",IFERROR(IF(INDEX(Roster!$F:$F,MATCH($C1087,Roster!$B:$B,0))="","",INDEX(Roster!$F:$F,MATCH($C1087,Roster!$B:$B,0))&amp;""),"—"))</f>
        <v/>
      </c>
      <c r="I1087" s="25">
        <f>IF($C1087="","",IFERROR(IF(INDEX(Roster!$G:$G,MATCH($C1087,Roster!$B:$B,0))="","",INDEX(Roster!$G:$G,MATCH($C1087,Roster!$B:$B,0))&amp;""),"—"))</f>
        <v/>
      </c>
      <c r="J1087" s="25">
        <f>IF($C1087="","",IFERROR(IF(INDEX(Roster!$I:$I,MATCH($C1087,Roster!$B:$B,0))="","",INDEX(Roster!$I:$I,MATCH($C1087,Roster!$B:$B,0))&amp;""),"—"))</f>
        <v/>
      </c>
      <c r="K1087">
        <f>IF($C1087="","",IFERROR(IF(INDEX(Roster!$J:$J,MATCH($C1087,Roster!$B:$B,0))="","",INDEX(Roster!$J:$J,MATCH($C1087,Roster!$B:$B,0))&amp;""),"—"))</f>
        <v/>
      </c>
      <c r="L1087">
        <f>IF($C1087="","",IFERROR(IF(INDEX(Roster!$K:$K,MATCH($C1087,Roster!$B:$B,0))="","",INDEX(Roster!$K:$K,MATCH($C1087,Roster!$B:$B,0))&amp;""),"—"))</f>
        <v/>
      </c>
      <c r="M1087" s="27" t="n"/>
      <c r="N1087" s="27" t="n"/>
      <c r="O1087" s="25">
        <f>IF($C1087="","",IF($P1087="","—",IF($P1087="Valid (Pass)","Valid","Invalid")))</f>
        <v/>
      </c>
      <c r="P1087" s="27" t="n"/>
      <c r="Q1087" s="27" t="n"/>
      <c r="R1087" s="27" t="n"/>
      <c r="S1087" s="27" t="n"/>
      <c r="T1087" s="25">
        <f>IF($C1087="","",IF(OR(ISNUMBER(SEARCH("quick case",$P1087)),ISNUMBER(SEARCH("quick case",$Q1087))),"Yes","No"))</f>
        <v/>
      </c>
      <c r="U1087" s="25">
        <f>IF($O1087="Invalid",HYPERLINK("mailto:"&amp;$G1087&amp;";"&amp;$I1087&amp;"?cc="&amp;Lists!$E$2&amp;"&amp;subject="&amp;_xlfn.ENCODEURL("[INVALID] Quality audit monitoring completed for "&amp;UPPER($C1087))&amp;"&amp;body="&amp;_xlfn.ENCODEURL("Hi "&amp;$F1087&amp;","&amp;CHAR(10)&amp;"Good day!"&amp;CHAR(10)&amp;CHAR(10)&amp;"A quality monitoring audit has been completed for "&amp;$C1087&amp;"."&amp;CHAR(10)&amp;CHAR(10)&amp;"QUALITY AUDIT DETAILS"&amp;CHAR(10)&amp;"Agent Name: "&amp;$C1087&amp;" (EID "&amp;$D1087&amp;")"&amp;CHAR(10)&amp;"Audit Date: "&amp;TEXT($B1087,"yyyy-mm-dd")&amp;CHAR(10)&amp;"Team Leader: "&amp;$F1087&amp;CHAR(10)&amp;"Case Number: "&amp;$M1087&amp;CHAR(10)&amp;"Transaction ID: "&amp;$N1087&amp;CHAR(10)&amp;"Channel / LOB: "&amp;$K1087&amp;" / "&amp;$L1087&amp;CHAR(10)&amp;"Evaluator: "&amp;$S1087&amp;CHAR(10)&amp;CHAR(10)&amp;"INVALID QUALITY AUDIT DETAILS"&amp;CHAR(10)&amp;"Validation: Invalid"&amp;CHAR(10)&amp;"Invalid Reason: "&amp;$P1087&amp;CHAR(10)&amp;"Expected Resolution Code: "&amp;$Q1087&amp;CHAR(10)&amp;"Remarks: "&amp;LEFT($R1087,600)&amp;CHAR(10)&amp;CHAR(10)&amp;"This is an automated notification from HP Mainstream EQMS."),"✉ Open Email Draft"),"")</f>
        <v/>
      </c>
    </row>
    <row r="1088">
      <c r="A1088" s="25">
        <f>IF($C1088="","","AUD-2026-"&amp;TEXT(ROW()-1,"000000"))</f>
        <v/>
      </c>
      <c r="B1088" s="26" t="n"/>
      <c r="C1088" s="27" t="n"/>
      <c r="D1088" s="25">
        <f>IF($C1088="","",IFERROR(IF(INDEX(Roster!$A:$A,MATCH($C1088,Roster!$B:$B,0))="","",INDEX(Roster!$A:$A,MATCH($C1088,Roster!$B:$B,0))&amp;""),"—"))</f>
        <v/>
      </c>
      <c r="E1088" s="25">
        <f>IF($C1088="","",IFERROR(IF(INDEX(Roster!$C:$C,MATCH($C1088,Roster!$B:$B,0))="","",INDEX(Roster!$C:$C,MATCH($C1088,Roster!$B:$B,0))&amp;""),"—"))</f>
        <v/>
      </c>
      <c r="F1088" s="25">
        <f>IF($C1088="","",IFERROR(IF(INDEX(Roster!$D:$D,MATCH($C1088,Roster!$B:$B,0))="","",INDEX(Roster!$D:$D,MATCH($C1088,Roster!$B:$B,0))&amp;""),"—"))</f>
        <v/>
      </c>
      <c r="G1088" s="25">
        <f>IF($C1088="","",IFERROR(IF(INDEX(Roster!$E:$E,MATCH($C1088,Roster!$B:$B,0))="","",INDEX(Roster!$E:$E,MATCH($C1088,Roster!$B:$B,0))&amp;""),"—"))</f>
        <v/>
      </c>
      <c r="H1088" s="25">
        <f>IF($C1088="","",IFERROR(IF(INDEX(Roster!$F:$F,MATCH($C1088,Roster!$B:$B,0))="","",INDEX(Roster!$F:$F,MATCH($C1088,Roster!$B:$B,0))&amp;""),"—"))</f>
        <v/>
      </c>
      <c r="I1088" s="25">
        <f>IF($C1088="","",IFERROR(IF(INDEX(Roster!$G:$G,MATCH($C1088,Roster!$B:$B,0))="","",INDEX(Roster!$G:$G,MATCH($C1088,Roster!$B:$B,0))&amp;""),"—"))</f>
        <v/>
      </c>
      <c r="J1088" s="25">
        <f>IF($C1088="","",IFERROR(IF(INDEX(Roster!$I:$I,MATCH($C1088,Roster!$B:$B,0))="","",INDEX(Roster!$I:$I,MATCH($C1088,Roster!$B:$B,0))&amp;""),"—"))</f>
        <v/>
      </c>
      <c r="K1088">
        <f>IF($C1088="","",IFERROR(IF(INDEX(Roster!$J:$J,MATCH($C1088,Roster!$B:$B,0))="","",INDEX(Roster!$J:$J,MATCH($C1088,Roster!$B:$B,0))&amp;""),"—"))</f>
        <v/>
      </c>
      <c r="L1088">
        <f>IF($C1088="","",IFERROR(IF(INDEX(Roster!$K:$K,MATCH($C1088,Roster!$B:$B,0))="","",INDEX(Roster!$K:$K,MATCH($C1088,Roster!$B:$B,0))&amp;""),"—"))</f>
        <v/>
      </c>
      <c r="M1088" s="27" t="n"/>
      <c r="N1088" s="27" t="n"/>
      <c r="O1088" s="25">
        <f>IF($C1088="","",IF($P1088="","—",IF($P1088="Valid (Pass)","Valid","Invalid")))</f>
        <v/>
      </c>
      <c r="P1088" s="27" t="n"/>
      <c r="Q1088" s="27" t="n"/>
      <c r="R1088" s="27" t="n"/>
      <c r="S1088" s="27" t="n"/>
      <c r="T1088" s="25">
        <f>IF($C1088="","",IF(OR(ISNUMBER(SEARCH("quick case",$P1088)),ISNUMBER(SEARCH("quick case",$Q1088))),"Yes","No"))</f>
        <v/>
      </c>
      <c r="U1088" s="25">
        <f>IF($O1088="Invalid",HYPERLINK("mailto:"&amp;$G1088&amp;";"&amp;$I1088&amp;"?cc="&amp;Lists!$E$2&amp;"&amp;subject="&amp;_xlfn.ENCODEURL("[INVALID] Quality audit monitoring completed for "&amp;UPPER($C1088))&amp;"&amp;body="&amp;_xlfn.ENCODEURL("Hi "&amp;$F1088&amp;","&amp;CHAR(10)&amp;"Good day!"&amp;CHAR(10)&amp;CHAR(10)&amp;"A quality monitoring audit has been completed for "&amp;$C1088&amp;"."&amp;CHAR(10)&amp;CHAR(10)&amp;"QUALITY AUDIT DETAILS"&amp;CHAR(10)&amp;"Agent Name: "&amp;$C1088&amp;" (EID "&amp;$D1088&amp;")"&amp;CHAR(10)&amp;"Audit Date: "&amp;TEXT($B1088,"yyyy-mm-dd")&amp;CHAR(10)&amp;"Team Leader: "&amp;$F1088&amp;CHAR(10)&amp;"Case Number: "&amp;$M1088&amp;CHAR(10)&amp;"Transaction ID: "&amp;$N1088&amp;CHAR(10)&amp;"Channel / LOB: "&amp;$K1088&amp;" / "&amp;$L1088&amp;CHAR(10)&amp;"Evaluator: "&amp;$S1088&amp;CHAR(10)&amp;CHAR(10)&amp;"INVALID QUALITY AUDIT DETAILS"&amp;CHAR(10)&amp;"Validation: Invalid"&amp;CHAR(10)&amp;"Invalid Reason: "&amp;$P1088&amp;CHAR(10)&amp;"Expected Resolution Code: "&amp;$Q1088&amp;CHAR(10)&amp;"Remarks: "&amp;LEFT($R1088,600)&amp;CHAR(10)&amp;CHAR(10)&amp;"This is an automated notification from HP Mainstream EQMS."),"✉ Open Email Draft"),"")</f>
        <v/>
      </c>
    </row>
    <row r="1089">
      <c r="A1089" s="25">
        <f>IF($C1089="","","AUD-2026-"&amp;TEXT(ROW()-1,"000000"))</f>
        <v/>
      </c>
      <c r="B1089" s="26" t="n"/>
      <c r="C1089" s="27" t="n"/>
      <c r="D1089" s="25">
        <f>IF($C1089="","",IFERROR(IF(INDEX(Roster!$A:$A,MATCH($C1089,Roster!$B:$B,0))="","",INDEX(Roster!$A:$A,MATCH($C1089,Roster!$B:$B,0))&amp;""),"—"))</f>
        <v/>
      </c>
      <c r="E1089" s="25">
        <f>IF($C1089="","",IFERROR(IF(INDEX(Roster!$C:$C,MATCH($C1089,Roster!$B:$B,0))="","",INDEX(Roster!$C:$C,MATCH($C1089,Roster!$B:$B,0))&amp;""),"—"))</f>
        <v/>
      </c>
      <c r="F1089" s="25">
        <f>IF($C1089="","",IFERROR(IF(INDEX(Roster!$D:$D,MATCH($C1089,Roster!$B:$B,0))="","",INDEX(Roster!$D:$D,MATCH($C1089,Roster!$B:$B,0))&amp;""),"—"))</f>
        <v/>
      </c>
      <c r="G1089" s="25">
        <f>IF($C1089="","",IFERROR(IF(INDEX(Roster!$E:$E,MATCH($C1089,Roster!$B:$B,0))="","",INDEX(Roster!$E:$E,MATCH($C1089,Roster!$B:$B,0))&amp;""),"—"))</f>
        <v/>
      </c>
      <c r="H1089" s="25">
        <f>IF($C1089="","",IFERROR(IF(INDEX(Roster!$F:$F,MATCH($C1089,Roster!$B:$B,0))="","",INDEX(Roster!$F:$F,MATCH($C1089,Roster!$B:$B,0))&amp;""),"—"))</f>
        <v/>
      </c>
      <c r="I1089" s="25">
        <f>IF($C1089="","",IFERROR(IF(INDEX(Roster!$G:$G,MATCH($C1089,Roster!$B:$B,0))="","",INDEX(Roster!$G:$G,MATCH($C1089,Roster!$B:$B,0))&amp;""),"—"))</f>
        <v/>
      </c>
      <c r="J1089" s="25">
        <f>IF($C1089="","",IFERROR(IF(INDEX(Roster!$I:$I,MATCH($C1089,Roster!$B:$B,0))="","",INDEX(Roster!$I:$I,MATCH($C1089,Roster!$B:$B,0))&amp;""),"—"))</f>
        <v/>
      </c>
      <c r="K1089">
        <f>IF($C1089="","",IFERROR(IF(INDEX(Roster!$J:$J,MATCH($C1089,Roster!$B:$B,0))="","",INDEX(Roster!$J:$J,MATCH($C1089,Roster!$B:$B,0))&amp;""),"—"))</f>
        <v/>
      </c>
      <c r="L1089">
        <f>IF($C1089="","",IFERROR(IF(INDEX(Roster!$K:$K,MATCH($C1089,Roster!$B:$B,0))="","",INDEX(Roster!$K:$K,MATCH($C1089,Roster!$B:$B,0))&amp;""),"—"))</f>
        <v/>
      </c>
      <c r="M1089" s="27" t="n"/>
      <c r="N1089" s="27" t="n"/>
      <c r="O1089" s="25">
        <f>IF($C1089="","",IF($P1089="","—",IF($P1089="Valid (Pass)","Valid","Invalid")))</f>
        <v/>
      </c>
      <c r="P1089" s="27" t="n"/>
      <c r="Q1089" s="27" t="n"/>
      <c r="R1089" s="27" t="n"/>
      <c r="S1089" s="27" t="n"/>
      <c r="T1089" s="25">
        <f>IF($C1089="","",IF(OR(ISNUMBER(SEARCH("quick case",$P1089)),ISNUMBER(SEARCH("quick case",$Q1089))),"Yes","No"))</f>
        <v/>
      </c>
      <c r="U1089" s="25">
        <f>IF($O1089="Invalid",HYPERLINK("mailto:"&amp;$G1089&amp;";"&amp;$I1089&amp;"?cc="&amp;Lists!$E$2&amp;"&amp;subject="&amp;_xlfn.ENCODEURL("[INVALID] Quality audit monitoring completed for "&amp;UPPER($C1089))&amp;"&amp;body="&amp;_xlfn.ENCODEURL("Hi "&amp;$F1089&amp;","&amp;CHAR(10)&amp;"Good day!"&amp;CHAR(10)&amp;CHAR(10)&amp;"A quality monitoring audit has been completed for "&amp;$C1089&amp;"."&amp;CHAR(10)&amp;CHAR(10)&amp;"QUALITY AUDIT DETAILS"&amp;CHAR(10)&amp;"Agent Name: "&amp;$C1089&amp;" (EID "&amp;$D1089&amp;")"&amp;CHAR(10)&amp;"Audit Date: "&amp;TEXT($B1089,"yyyy-mm-dd")&amp;CHAR(10)&amp;"Team Leader: "&amp;$F1089&amp;CHAR(10)&amp;"Case Number: "&amp;$M1089&amp;CHAR(10)&amp;"Transaction ID: "&amp;$N1089&amp;CHAR(10)&amp;"Channel / LOB: "&amp;$K1089&amp;" / "&amp;$L1089&amp;CHAR(10)&amp;"Evaluator: "&amp;$S1089&amp;CHAR(10)&amp;CHAR(10)&amp;"INVALID QUALITY AUDIT DETAILS"&amp;CHAR(10)&amp;"Validation: Invalid"&amp;CHAR(10)&amp;"Invalid Reason: "&amp;$P1089&amp;CHAR(10)&amp;"Expected Resolution Code: "&amp;$Q1089&amp;CHAR(10)&amp;"Remarks: "&amp;LEFT($R1089,600)&amp;CHAR(10)&amp;CHAR(10)&amp;"This is an automated notification from HP Mainstream EQMS."),"✉ Open Email Draft"),"")</f>
        <v/>
      </c>
    </row>
    <row r="1090">
      <c r="A1090" s="25">
        <f>IF($C1090="","","AUD-2026-"&amp;TEXT(ROW()-1,"000000"))</f>
        <v/>
      </c>
      <c r="B1090" s="26" t="n"/>
      <c r="C1090" s="27" t="n"/>
      <c r="D1090" s="25">
        <f>IF($C1090="","",IFERROR(IF(INDEX(Roster!$A:$A,MATCH($C1090,Roster!$B:$B,0))="","",INDEX(Roster!$A:$A,MATCH($C1090,Roster!$B:$B,0))&amp;""),"—"))</f>
        <v/>
      </c>
      <c r="E1090" s="25">
        <f>IF($C1090="","",IFERROR(IF(INDEX(Roster!$C:$C,MATCH($C1090,Roster!$B:$B,0))="","",INDEX(Roster!$C:$C,MATCH($C1090,Roster!$B:$B,0))&amp;""),"—"))</f>
        <v/>
      </c>
      <c r="F1090" s="25">
        <f>IF($C1090="","",IFERROR(IF(INDEX(Roster!$D:$D,MATCH($C1090,Roster!$B:$B,0))="","",INDEX(Roster!$D:$D,MATCH($C1090,Roster!$B:$B,0))&amp;""),"—"))</f>
        <v/>
      </c>
      <c r="G1090" s="25">
        <f>IF($C1090="","",IFERROR(IF(INDEX(Roster!$E:$E,MATCH($C1090,Roster!$B:$B,0))="","",INDEX(Roster!$E:$E,MATCH($C1090,Roster!$B:$B,0))&amp;""),"—"))</f>
        <v/>
      </c>
      <c r="H1090" s="25">
        <f>IF($C1090="","",IFERROR(IF(INDEX(Roster!$F:$F,MATCH($C1090,Roster!$B:$B,0))="","",INDEX(Roster!$F:$F,MATCH($C1090,Roster!$B:$B,0))&amp;""),"—"))</f>
        <v/>
      </c>
      <c r="I1090" s="25">
        <f>IF($C1090="","",IFERROR(IF(INDEX(Roster!$G:$G,MATCH($C1090,Roster!$B:$B,0))="","",INDEX(Roster!$G:$G,MATCH($C1090,Roster!$B:$B,0))&amp;""),"—"))</f>
        <v/>
      </c>
      <c r="J1090" s="25">
        <f>IF($C1090="","",IFERROR(IF(INDEX(Roster!$I:$I,MATCH($C1090,Roster!$B:$B,0))="","",INDEX(Roster!$I:$I,MATCH($C1090,Roster!$B:$B,0))&amp;""),"—"))</f>
        <v/>
      </c>
      <c r="K1090">
        <f>IF($C1090="","",IFERROR(IF(INDEX(Roster!$J:$J,MATCH($C1090,Roster!$B:$B,0))="","",INDEX(Roster!$J:$J,MATCH($C1090,Roster!$B:$B,0))&amp;""),"—"))</f>
        <v/>
      </c>
      <c r="L1090">
        <f>IF($C1090="","",IFERROR(IF(INDEX(Roster!$K:$K,MATCH($C1090,Roster!$B:$B,0))="","",INDEX(Roster!$K:$K,MATCH($C1090,Roster!$B:$B,0))&amp;""),"—"))</f>
        <v/>
      </c>
      <c r="M1090" s="27" t="n"/>
      <c r="N1090" s="27" t="n"/>
      <c r="O1090" s="25">
        <f>IF($C1090="","",IF($P1090="","—",IF($P1090="Valid (Pass)","Valid","Invalid")))</f>
        <v/>
      </c>
      <c r="P1090" s="27" t="n"/>
      <c r="Q1090" s="27" t="n"/>
      <c r="R1090" s="27" t="n"/>
      <c r="S1090" s="27" t="n"/>
      <c r="T1090" s="25">
        <f>IF($C1090="","",IF(OR(ISNUMBER(SEARCH("quick case",$P1090)),ISNUMBER(SEARCH("quick case",$Q1090))),"Yes","No"))</f>
        <v/>
      </c>
      <c r="U1090" s="25">
        <f>IF($O1090="Invalid",HYPERLINK("mailto:"&amp;$G1090&amp;";"&amp;$I1090&amp;"?cc="&amp;Lists!$E$2&amp;"&amp;subject="&amp;_xlfn.ENCODEURL("[INVALID] Quality audit monitoring completed for "&amp;UPPER($C1090))&amp;"&amp;body="&amp;_xlfn.ENCODEURL("Hi "&amp;$F1090&amp;","&amp;CHAR(10)&amp;"Good day!"&amp;CHAR(10)&amp;CHAR(10)&amp;"A quality monitoring audit has been completed for "&amp;$C1090&amp;"."&amp;CHAR(10)&amp;CHAR(10)&amp;"QUALITY AUDIT DETAILS"&amp;CHAR(10)&amp;"Agent Name: "&amp;$C1090&amp;" (EID "&amp;$D1090&amp;")"&amp;CHAR(10)&amp;"Audit Date: "&amp;TEXT($B1090,"yyyy-mm-dd")&amp;CHAR(10)&amp;"Team Leader: "&amp;$F1090&amp;CHAR(10)&amp;"Case Number: "&amp;$M1090&amp;CHAR(10)&amp;"Transaction ID: "&amp;$N1090&amp;CHAR(10)&amp;"Channel / LOB: "&amp;$K1090&amp;" / "&amp;$L1090&amp;CHAR(10)&amp;"Evaluator: "&amp;$S1090&amp;CHAR(10)&amp;CHAR(10)&amp;"INVALID QUALITY AUDIT DETAILS"&amp;CHAR(10)&amp;"Validation: Invalid"&amp;CHAR(10)&amp;"Invalid Reason: "&amp;$P1090&amp;CHAR(10)&amp;"Expected Resolution Code: "&amp;$Q1090&amp;CHAR(10)&amp;"Remarks: "&amp;LEFT($R1090,600)&amp;CHAR(10)&amp;CHAR(10)&amp;"This is an automated notification from HP Mainstream EQMS."),"✉ Open Email Draft"),"")</f>
        <v/>
      </c>
    </row>
    <row r="1091">
      <c r="A1091" s="25">
        <f>IF($C1091="","","AUD-2026-"&amp;TEXT(ROW()-1,"000000"))</f>
        <v/>
      </c>
      <c r="B1091" s="26" t="n"/>
      <c r="C1091" s="27" t="n"/>
      <c r="D1091" s="25">
        <f>IF($C1091="","",IFERROR(IF(INDEX(Roster!$A:$A,MATCH($C1091,Roster!$B:$B,0))="","",INDEX(Roster!$A:$A,MATCH($C1091,Roster!$B:$B,0))&amp;""),"—"))</f>
        <v/>
      </c>
      <c r="E1091" s="25">
        <f>IF($C1091="","",IFERROR(IF(INDEX(Roster!$C:$C,MATCH($C1091,Roster!$B:$B,0))="","",INDEX(Roster!$C:$C,MATCH($C1091,Roster!$B:$B,0))&amp;""),"—"))</f>
        <v/>
      </c>
      <c r="F1091" s="25">
        <f>IF($C1091="","",IFERROR(IF(INDEX(Roster!$D:$D,MATCH($C1091,Roster!$B:$B,0))="","",INDEX(Roster!$D:$D,MATCH($C1091,Roster!$B:$B,0))&amp;""),"—"))</f>
        <v/>
      </c>
      <c r="G1091" s="25">
        <f>IF($C1091="","",IFERROR(IF(INDEX(Roster!$E:$E,MATCH($C1091,Roster!$B:$B,0))="","",INDEX(Roster!$E:$E,MATCH($C1091,Roster!$B:$B,0))&amp;""),"—"))</f>
        <v/>
      </c>
      <c r="H1091" s="25">
        <f>IF($C1091="","",IFERROR(IF(INDEX(Roster!$F:$F,MATCH($C1091,Roster!$B:$B,0))="","",INDEX(Roster!$F:$F,MATCH($C1091,Roster!$B:$B,0))&amp;""),"—"))</f>
        <v/>
      </c>
      <c r="I1091" s="25">
        <f>IF($C1091="","",IFERROR(IF(INDEX(Roster!$G:$G,MATCH($C1091,Roster!$B:$B,0))="","",INDEX(Roster!$G:$G,MATCH($C1091,Roster!$B:$B,0))&amp;""),"—"))</f>
        <v/>
      </c>
      <c r="J1091" s="25">
        <f>IF($C1091="","",IFERROR(IF(INDEX(Roster!$I:$I,MATCH($C1091,Roster!$B:$B,0))="","",INDEX(Roster!$I:$I,MATCH($C1091,Roster!$B:$B,0))&amp;""),"—"))</f>
        <v/>
      </c>
      <c r="K1091">
        <f>IF($C1091="","",IFERROR(IF(INDEX(Roster!$J:$J,MATCH($C1091,Roster!$B:$B,0))="","",INDEX(Roster!$J:$J,MATCH($C1091,Roster!$B:$B,0))&amp;""),"—"))</f>
        <v/>
      </c>
      <c r="L1091">
        <f>IF($C1091="","",IFERROR(IF(INDEX(Roster!$K:$K,MATCH($C1091,Roster!$B:$B,0))="","",INDEX(Roster!$K:$K,MATCH($C1091,Roster!$B:$B,0))&amp;""),"—"))</f>
        <v/>
      </c>
      <c r="M1091" s="27" t="n"/>
      <c r="N1091" s="27" t="n"/>
      <c r="O1091" s="25">
        <f>IF($C1091="","",IF($P1091="","—",IF($P1091="Valid (Pass)","Valid","Invalid")))</f>
        <v/>
      </c>
      <c r="P1091" s="27" t="n"/>
      <c r="Q1091" s="27" t="n"/>
      <c r="R1091" s="27" t="n"/>
      <c r="S1091" s="27" t="n"/>
      <c r="T1091" s="25">
        <f>IF($C1091="","",IF(OR(ISNUMBER(SEARCH("quick case",$P1091)),ISNUMBER(SEARCH("quick case",$Q1091))),"Yes","No"))</f>
        <v/>
      </c>
      <c r="U1091" s="25">
        <f>IF($O1091="Invalid",HYPERLINK("mailto:"&amp;$G1091&amp;";"&amp;$I1091&amp;"?cc="&amp;Lists!$E$2&amp;"&amp;subject="&amp;_xlfn.ENCODEURL("[INVALID] Quality audit monitoring completed for "&amp;UPPER($C1091))&amp;"&amp;body="&amp;_xlfn.ENCODEURL("Hi "&amp;$F1091&amp;","&amp;CHAR(10)&amp;"Good day!"&amp;CHAR(10)&amp;CHAR(10)&amp;"A quality monitoring audit has been completed for "&amp;$C1091&amp;"."&amp;CHAR(10)&amp;CHAR(10)&amp;"QUALITY AUDIT DETAILS"&amp;CHAR(10)&amp;"Agent Name: "&amp;$C1091&amp;" (EID "&amp;$D1091&amp;")"&amp;CHAR(10)&amp;"Audit Date: "&amp;TEXT($B1091,"yyyy-mm-dd")&amp;CHAR(10)&amp;"Team Leader: "&amp;$F1091&amp;CHAR(10)&amp;"Case Number: "&amp;$M1091&amp;CHAR(10)&amp;"Transaction ID: "&amp;$N1091&amp;CHAR(10)&amp;"Channel / LOB: "&amp;$K1091&amp;" / "&amp;$L1091&amp;CHAR(10)&amp;"Evaluator: "&amp;$S1091&amp;CHAR(10)&amp;CHAR(10)&amp;"INVALID QUALITY AUDIT DETAILS"&amp;CHAR(10)&amp;"Validation: Invalid"&amp;CHAR(10)&amp;"Invalid Reason: "&amp;$P1091&amp;CHAR(10)&amp;"Expected Resolution Code: "&amp;$Q1091&amp;CHAR(10)&amp;"Remarks: "&amp;LEFT($R1091,600)&amp;CHAR(10)&amp;CHAR(10)&amp;"This is an automated notification from HP Mainstream EQMS."),"✉ Open Email Draft"),"")</f>
        <v/>
      </c>
    </row>
    <row r="1092">
      <c r="A1092" s="25">
        <f>IF($C1092="","","AUD-2026-"&amp;TEXT(ROW()-1,"000000"))</f>
        <v/>
      </c>
      <c r="B1092" s="26" t="n"/>
      <c r="C1092" s="27" t="n"/>
      <c r="D1092" s="25">
        <f>IF($C1092="","",IFERROR(IF(INDEX(Roster!$A:$A,MATCH($C1092,Roster!$B:$B,0))="","",INDEX(Roster!$A:$A,MATCH($C1092,Roster!$B:$B,0))&amp;""),"—"))</f>
        <v/>
      </c>
      <c r="E1092" s="25">
        <f>IF($C1092="","",IFERROR(IF(INDEX(Roster!$C:$C,MATCH($C1092,Roster!$B:$B,0))="","",INDEX(Roster!$C:$C,MATCH($C1092,Roster!$B:$B,0))&amp;""),"—"))</f>
        <v/>
      </c>
      <c r="F1092" s="25">
        <f>IF($C1092="","",IFERROR(IF(INDEX(Roster!$D:$D,MATCH($C1092,Roster!$B:$B,0))="","",INDEX(Roster!$D:$D,MATCH($C1092,Roster!$B:$B,0))&amp;""),"—"))</f>
        <v/>
      </c>
      <c r="G1092" s="25">
        <f>IF($C1092="","",IFERROR(IF(INDEX(Roster!$E:$E,MATCH($C1092,Roster!$B:$B,0))="","",INDEX(Roster!$E:$E,MATCH($C1092,Roster!$B:$B,0))&amp;""),"—"))</f>
        <v/>
      </c>
      <c r="H1092" s="25">
        <f>IF($C1092="","",IFERROR(IF(INDEX(Roster!$F:$F,MATCH($C1092,Roster!$B:$B,0))="","",INDEX(Roster!$F:$F,MATCH($C1092,Roster!$B:$B,0))&amp;""),"—"))</f>
        <v/>
      </c>
      <c r="I1092" s="25">
        <f>IF($C1092="","",IFERROR(IF(INDEX(Roster!$G:$G,MATCH($C1092,Roster!$B:$B,0))="","",INDEX(Roster!$G:$G,MATCH($C1092,Roster!$B:$B,0))&amp;""),"—"))</f>
        <v/>
      </c>
      <c r="J1092" s="25">
        <f>IF($C1092="","",IFERROR(IF(INDEX(Roster!$I:$I,MATCH($C1092,Roster!$B:$B,0))="","",INDEX(Roster!$I:$I,MATCH($C1092,Roster!$B:$B,0))&amp;""),"—"))</f>
        <v/>
      </c>
      <c r="K1092">
        <f>IF($C1092="","",IFERROR(IF(INDEX(Roster!$J:$J,MATCH($C1092,Roster!$B:$B,0))="","",INDEX(Roster!$J:$J,MATCH($C1092,Roster!$B:$B,0))&amp;""),"—"))</f>
        <v/>
      </c>
      <c r="L1092">
        <f>IF($C1092="","",IFERROR(IF(INDEX(Roster!$K:$K,MATCH($C1092,Roster!$B:$B,0))="","",INDEX(Roster!$K:$K,MATCH($C1092,Roster!$B:$B,0))&amp;""),"—"))</f>
        <v/>
      </c>
      <c r="M1092" s="27" t="n"/>
      <c r="N1092" s="27" t="n"/>
      <c r="O1092" s="25">
        <f>IF($C1092="","",IF($P1092="","—",IF($P1092="Valid (Pass)","Valid","Invalid")))</f>
        <v/>
      </c>
      <c r="P1092" s="27" t="n"/>
      <c r="Q1092" s="27" t="n"/>
      <c r="R1092" s="27" t="n"/>
      <c r="S1092" s="27" t="n"/>
      <c r="T1092" s="25">
        <f>IF($C1092="","",IF(OR(ISNUMBER(SEARCH("quick case",$P1092)),ISNUMBER(SEARCH("quick case",$Q1092))),"Yes","No"))</f>
        <v/>
      </c>
      <c r="U1092" s="25">
        <f>IF($O1092="Invalid",HYPERLINK("mailto:"&amp;$G1092&amp;";"&amp;$I1092&amp;"?cc="&amp;Lists!$E$2&amp;"&amp;subject="&amp;_xlfn.ENCODEURL("[INVALID] Quality audit monitoring completed for "&amp;UPPER($C1092))&amp;"&amp;body="&amp;_xlfn.ENCODEURL("Hi "&amp;$F1092&amp;","&amp;CHAR(10)&amp;"Good day!"&amp;CHAR(10)&amp;CHAR(10)&amp;"A quality monitoring audit has been completed for "&amp;$C1092&amp;"."&amp;CHAR(10)&amp;CHAR(10)&amp;"QUALITY AUDIT DETAILS"&amp;CHAR(10)&amp;"Agent Name: "&amp;$C1092&amp;" (EID "&amp;$D1092&amp;")"&amp;CHAR(10)&amp;"Audit Date: "&amp;TEXT($B1092,"yyyy-mm-dd")&amp;CHAR(10)&amp;"Team Leader: "&amp;$F1092&amp;CHAR(10)&amp;"Case Number: "&amp;$M1092&amp;CHAR(10)&amp;"Transaction ID: "&amp;$N1092&amp;CHAR(10)&amp;"Channel / LOB: "&amp;$K1092&amp;" / "&amp;$L1092&amp;CHAR(10)&amp;"Evaluator: "&amp;$S1092&amp;CHAR(10)&amp;CHAR(10)&amp;"INVALID QUALITY AUDIT DETAILS"&amp;CHAR(10)&amp;"Validation: Invalid"&amp;CHAR(10)&amp;"Invalid Reason: "&amp;$P1092&amp;CHAR(10)&amp;"Expected Resolution Code: "&amp;$Q1092&amp;CHAR(10)&amp;"Remarks: "&amp;LEFT($R1092,600)&amp;CHAR(10)&amp;CHAR(10)&amp;"This is an automated notification from HP Mainstream EQMS."),"✉ Open Email Draft"),"")</f>
        <v/>
      </c>
    </row>
    <row r="1093">
      <c r="A1093" s="25">
        <f>IF($C1093="","","AUD-2026-"&amp;TEXT(ROW()-1,"000000"))</f>
        <v/>
      </c>
      <c r="B1093" s="26" t="n"/>
      <c r="C1093" s="27" t="n"/>
      <c r="D1093" s="25">
        <f>IF($C1093="","",IFERROR(IF(INDEX(Roster!$A:$A,MATCH($C1093,Roster!$B:$B,0))="","",INDEX(Roster!$A:$A,MATCH($C1093,Roster!$B:$B,0))&amp;""),"—"))</f>
        <v/>
      </c>
      <c r="E1093" s="25">
        <f>IF($C1093="","",IFERROR(IF(INDEX(Roster!$C:$C,MATCH($C1093,Roster!$B:$B,0))="","",INDEX(Roster!$C:$C,MATCH($C1093,Roster!$B:$B,0))&amp;""),"—"))</f>
        <v/>
      </c>
      <c r="F1093" s="25">
        <f>IF($C1093="","",IFERROR(IF(INDEX(Roster!$D:$D,MATCH($C1093,Roster!$B:$B,0))="","",INDEX(Roster!$D:$D,MATCH($C1093,Roster!$B:$B,0))&amp;""),"—"))</f>
        <v/>
      </c>
      <c r="G1093" s="25">
        <f>IF($C1093="","",IFERROR(IF(INDEX(Roster!$E:$E,MATCH($C1093,Roster!$B:$B,0))="","",INDEX(Roster!$E:$E,MATCH($C1093,Roster!$B:$B,0))&amp;""),"—"))</f>
        <v/>
      </c>
      <c r="H1093" s="25">
        <f>IF($C1093="","",IFERROR(IF(INDEX(Roster!$F:$F,MATCH($C1093,Roster!$B:$B,0))="","",INDEX(Roster!$F:$F,MATCH($C1093,Roster!$B:$B,0))&amp;""),"—"))</f>
        <v/>
      </c>
      <c r="I1093" s="25">
        <f>IF($C1093="","",IFERROR(IF(INDEX(Roster!$G:$G,MATCH($C1093,Roster!$B:$B,0))="","",INDEX(Roster!$G:$G,MATCH($C1093,Roster!$B:$B,0))&amp;""),"—"))</f>
        <v/>
      </c>
      <c r="J1093" s="25">
        <f>IF($C1093="","",IFERROR(IF(INDEX(Roster!$I:$I,MATCH($C1093,Roster!$B:$B,0))="","",INDEX(Roster!$I:$I,MATCH($C1093,Roster!$B:$B,0))&amp;""),"—"))</f>
        <v/>
      </c>
      <c r="K1093">
        <f>IF($C1093="","",IFERROR(IF(INDEX(Roster!$J:$J,MATCH($C1093,Roster!$B:$B,0))="","",INDEX(Roster!$J:$J,MATCH($C1093,Roster!$B:$B,0))&amp;""),"—"))</f>
        <v/>
      </c>
      <c r="L1093">
        <f>IF($C1093="","",IFERROR(IF(INDEX(Roster!$K:$K,MATCH($C1093,Roster!$B:$B,0))="","",INDEX(Roster!$K:$K,MATCH($C1093,Roster!$B:$B,0))&amp;""),"—"))</f>
        <v/>
      </c>
      <c r="M1093" s="27" t="n"/>
      <c r="N1093" s="27" t="n"/>
      <c r="O1093" s="25">
        <f>IF($C1093="","",IF($P1093="","—",IF($P1093="Valid (Pass)","Valid","Invalid")))</f>
        <v/>
      </c>
      <c r="P1093" s="27" t="n"/>
      <c r="Q1093" s="27" t="n"/>
      <c r="R1093" s="27" t="n"/>
      <c r="S1093" s="27" t="n"/>
      <c r="T1093" s="25">
        <f>IF($C1093="","",IF(OR(ISNUMBER(SEARCH("quick case",$P1093)),ISNUMBER(SEARCH("quick case",$Q1093))),"Yes","No"))</f>
        <v/>
      </c>
      <c r="U1093" s="25">
        <f>IF($O1093="Invalid",HYPERLINK("mailto:"&amp;$G1093&amp;";"&amp;$I1093&amp;"?cc="&amp;Lists!$E$2&amp;"&amp;subject="&amp;_xlfn.ENCODEURL("[INVALID] Quality audit monitoring completed for "&amp;UPPER($C1093))&amp;"&amp;body="&amp;_xlfn.ENCODEURL("Hi "&amp;$F1093&amp;","&amp;CHAR(10)&amp;"Good day!"&amp;CHAR(10)&amp;CHAR(10)&amp;"A quality monitoring audit has been completed for "&amp;$C1093&amp;"."&amp;CHAR(10)&amp;CHAR(10)&amp;"QUALITY AUDIT DETAILS"&amp;CHAR(10)&amp;"Agent Name: "&amp;$C1093&amp;" (EID "&amp;$D1093&amp;")"&amp;CHAR(10)&amp;"Audit Date: "&amp;TEXT($B1093,"yyyy-mm-dd")&amp;CHAR(10)&amp;"Team Leader: "&amp;$F1093&amp;CHAR(10)&amp;"Case Number: "&amp;$M1093&amp;CHAR(10)&amp;"Transaction ID: "&amp;$N1093&amp;CHAR(10)&amp;"Channel / LOB: "&amp;$K1093&amp;" / "&amp;$L1093&amp;CHAR(10)&amp;"Evaluator: "&amp;$S1093&amp;CHAR(10)&amp;CHAR(10)&amp;"INVALID QUALITY AUDIT DETAILS"&amp;CHAR(10)&amp;"Validation: Invalid"&amp;CHAR(10)&amp;"Invalid Reason: "&amp;$P1093&amp;CHAR(10)&amp;"Expected Resolution Code: "&amp;$Q1093&amp;CHAR(10)&amp;"Remarks: "&amp;LEFT($R1093,600)&amp;CHAR(10)&amp;CHAR(10)&amp;"This is an automated notification from HP Mainstream EQMS."),"✉ Open Email Draft"),"")</f>
        <v/>
      </c>
    </row>
    <row r="1094">
      <c r="A1094" s="25">
        <f>IF($C1094="","","AUD-2026-"&amp;TEXT(ROW()-1,"000000"))</f>
        <v/>
      </c>
      <c r="B1094" s="26" t="n"/>
      <c r="C1094" s="27" t="n"/>
      <c r="D1094" s="25">
        <f>IF($C1094="","",IFERROR(IF(INDEX(Roster!$A:$A,MATCH($C1094,Roster!$B:$B,0))="","",INDEX(Roster!$A:$A,MATCH($C1094,Roster!$B:$B,0))&amp;""),"—"))</f>
        <v/>
      </c>
      <c r="E1094" s="25">
        <f>IF($C1094="","",IFERROR(IF(INDEX(Roster!$C:$C,MATCH($C1094,Roster!$B:$B,0))="","",INDEX(Roster!$C:$C,MATCH($C1094,Roster!$B:$B,0))&amp;""),"—"))</f>
        <v/>
      </c>
      <c r="F1094" s="25">
        <f>IF($C1094="","",IFERROR(IF(INDEX(Roster!$D:$D,MATCH($C1094,Roster!$B:$B,0))="","",INDEX(Roster!$D:$D,MATCH($C1094,Roster!$B:$B,0))&amp;""),"—"))</f>
        <v/>
      </c>
      <c r="G1094" s="25">
        <f>IF($C1094="","",IFERROR(IF(INDEX(Roster!$E:$E,MATCH($C1094,Roster!$B:$B,0))="","",INDEX(Roster!$E:$E,MATCH($C1094,Roster!$B:$B,0))&amp;""),"—"))</f>
        <v/>
      </c>
      <c r="H1094" s="25">
        <f>IF($C1094="","",IFERROR(IF(INDEX(Roster!$F:$F,MATCH($C1094,Roster!$B:$B,0))="","",INDEX(Roster!$F:$F,MATCH($C1094,Roster!$B:$B,0))&amp;""),"—"))</f>
        <v/>
      </c>
      <c r="I1094" s="25">
        <f>IF($C1094="","",IFERROR(IF(INDEX(Roster!$G:$G,MATCH($C1094,Roster!$B:$B,0))="","",INDEX(Roster!$G:$G,MATCH($C1094,Roster!$B:$B,0))&amp;""),"—"))</f>
        <v/>
      </c>
      <c r="J1094" s="25">
        <f>IF($C1094="","",IFERROR(IF(INDEX(Roster!$I:$I,MATCH($C1094,Roster!$B:$B,0))="","",INDEX(Roster!$I:$I,MATCH($C1094,Roster!$B:$B,0))&amp;""),"—"))</f>
        <v/>
      </c>
      <c r="K1094">
        <f>IF($C1094="","",IFERROR(IF(INDEX(Roster!$J:$J,MATCH($C1094,Roster!$B:$B,0))="","",INDEX(Roster!$J:$J,MATCH($C1094,Roster!$B:$B,0))&amp;""),"—"))</f>
        <v/>
      </c>
      <c r="L1094">
        <f>IF($C1094="","",IFERROR(IF(INDEX(Roster!$K:$K,MATCH($C1094,Roster!$B:$B,0))="","",INDEX(Roster!$K:$K,MATCH($C1094,Roster!$B:$B,0))&amp;""),"—"))</f>
        <v/>
      </c>
      <c r="M1094" s="27" t="n"/>
      <c r="N1094" s="27" t="n"/>
      <c r="O1094" s="25">
        <f>IF($C1094="","",IF($P1094="","—",IF($P1094="Valid (Pass)","Valid","Invalid")))</f>
        <v/>
      </c>
      <c r="P1094" s="27" t="n"/>
      <c r="Q1094" s="27" t="n"/>
      <c r="R1094" s="27" t="n"/>
      <c r="S1094" s="27" t="n"/>
      <c r="T1094" s="25">
        <f>IF($C1094="","",IF(OR(ISNUMBER(SEARCH("quick case",$P1094)),ISNUMBER(SEARCH("quick case",$Q1094))),"Yes","No"))</f>
        <v/>
      </c>
      <c r="U1094" s="25">
        <f>IF($O1094="Invalid",HYPERLINK("mailto:"&amp;$G1094&amp;";"&amp;$I1094&amp;"?cc="&amp;Lists!$E$2&amp;"&amp;subject="&amp;_xlfn.ENCODEURL("[INVALID] Quality audit monitoring completed for "&amp;UPPER($C1094))&amp;"&amp;body="&amp;_xlfn.ENCODEURL("Hi "&amp;$F1094&amp;","&amp;CHAR(10)&amp;"Good day!"&amp;CHAR(10)&amp;CHAR(10)&amp;"A quality monitoring audit has been completed for "&amp;$C1094&amp;"."&amp;CHAR(10)&amp;CHAR(10)&amp;"QUALITY AUDIT DETAILS"&amp;CHAR(10)&amp;"Agent Name: "&amp;$C1094&amp;" (EID "&amp;$D1094&amp;")"&amp;CHAR(10)&amp;"Audit Date: "&amp;TEXT($B1094,"yyyy-mm-dd")&amp;CHAR(10)&amp;"Team Leader: "&amp;$F1094&amp;CHAR(10)&amp;"Case Number: "&amp;$M1094&amp;CHAR(10)&amp;"Transaction ID: "&amp;$N1094&amp;CHAR(10)&amp;"Channel / LOB: "&amp;$K1094&amp;" / "&amp;$L1094&amp;CHAR(10)&amp;"Evaluator: "&amp;$S1094&amp;CHAR(10)&amp;CHAR(10)&amp;"INVALID QUALITY AUDIT DETAILS"&amp;CHAR(10)&amp;"Validation: Invalid"&amp;CHAR(10)&amp;"Invalid Reason: "&amp;$P1094&amp;CHAR(10)&amp;"Expected Resolution Code: "&amp;$Q1094&amp;CHAR(10)&amp;"Remarks: "&amp;LEFT($R1094,600)&amp;CHAR(10)&amp;CHAR(10)&amp;"This is an automated notification from HP Mainstream EQMS."),"✉ Open Email Draft"),"")</f>
        <v/>
      </c>
    </row>
    <row r="1095">
      <c r="A1095" s="25">
        <f>IF($C1095="","","AUD-2026-"&amp;TEXT(ROW()-1,"000000"))</f>
        <v/>
      </c>
      <c r="B1095" s="26" t="n"/>
      <c r="C1095" s="27" t="n"/>
      <c r="D1095" s="25">
        <f>IF($C1095="","",IFERROR(IF(INDEX(Roster!$A:$A,MATCH($C1095,Roster!$B:$B,0))="","",INDEX(Roster!$A:$A,MATCH($C1095,Roster!$B:$B,0))&amp;""),"—"))</f>
        <v/>
      </c>
      <c r="E1095" s="25">
        <f>IF($C1095="","",IFERROR(IF(INDEX(Roster!$C:$C,MATCH($C1095,Roster!$B:$B,0))="","",INDEX(Roster!$C:$C,MATCH($C1095,Roster!$B:$B,0))&amp;""),"—"))</f>
        <v/>
      </c>
      <c r="F1095" s="25">
        <f>IF($C1095="","",IFERROR(IF(INDEX(Roster!$D:$D,MATCH($C1095,Roster!$B:$B,0))="","",INDEX(Roster!$D:$D,MATCH($C1095,Roster!$B:$B,0))&amp;""),"—"))</f>
        <v/>
      </c>
      <c r="G1095" s="25">
        <f>IF($C1095="","",IFERROR(IF(INDEX(Roster!$E:$E,MATCH($C1095,Roster!$B:$B,0))="","",INDEX(Roster!$E:$E,MATCH($C1095,Roster!$B:$B,0))&amp;""),"—"))</f>
        <v/>
      </c>
      <c r="H1095" s="25">
        <f>IF($C1095="","",IFERROR(IF(INDEX(Roster!$F:$F,MATCH($C1095,Roster!$B:$B,0))="","",INDEX(Roster!$F:$F,MATCH($C1095,Roster!$B:$B,0))&amp;""),"—"))</f>
        <v/>
      </c>
      <c r="I1095" s="25">
        <f>IF($C1095="","",IFERROR(IF(INDEX(Roster!$G:$G,MATCH($C1095,Roster!$B:$B,0))="","",INDEX(Roster!$G:$G,MATCH($C1095,Roster!$B:$B,0))&amp;""),"—"))</f>
        <v/>
      </c>
      <c r="J1095" s="25">
        <f>IF($C1095="","",IFERROR(IF(INDEX(Roster!$I:$I,MATCH($C1095,Roster!$B:$B,0))="","",INDEX(Roster!$I:$I,MATCH($C1095,Roster!$B:$B,0))&amp;""),"—"))</f>
        <v/>
      </c>
      <c r="K1095">
        <f>IF($C1095="","",IFERROR(IF(INDEX(Roster!$J:$J,MATCH($C1095,Roster!$B:$B,0))="","",INDEX(Roster!$J:$J,MATCH($C1095,Roster!$B:$B,0))&amp;""),"—"))</f>
        <v/>
      </c>
      <c r="L1095">
        <f>IF($C1095="","",IFERROR(IF(INDEX(Roster!$K:$K,MATCH($C1095,Roster!$B:$B,0))="","",INDEX(Roster!$K:$K,MATCH($C1095,Roster!$B:$B,0))&amp;""),"—"))</f>
        <v/>
      </c>
      <c r="M1095" s="27" t="n"/>
      <c r="N1095" s="27" t="n"/>
      <c r="O1095" s="25">
        <f>IF($C1095="","",IF($P1095="","—",IF($P1095="Valid (Pass)","Valid","Invalid")))</f>
        <v/>
      </c>
      <c r="P1095" s="27" t="n"/>
      <c r="Q1095" s="27" t="n"/>
      <c r="R1095" s="27" t="n"/>
      <c r="S1095" s="27" t="n"/>
      <c r="T1095" s="25">
        <f>IF($C1095="","",IF(OR(ISNUMBER(SEARCH("quick case",$P1095)),ISNUMBER(SEARCH("quick case",$Q1095))),"Yes","No"))</f>
        <v/>
      </c>
      <c r="U1095" s="25">
        <f>IF($O1095="Invalid",HYPERLINK("mailto:"&amp;$G1095&amp;";"&amp;$I1095&amp;"?cc="&amp;Lists!$E$2&amp;"&amp;subject="&amp;_xlfn.ENCODEURL("[INVALID] Quality audit monitoring completed for "&amp;UPPER($C1095))&amp;"&amp;body="&amp;_xlfn.ENCODEURL("Hi "&amp;$F1095&amp;","&amp;CHAR(10)&amp;"Good day!"&amp;CHAR(10)&amp;CHAR(10)&amp;"A quality monitoring audit has been completed for "&amp;$C1095&amp;"."&amp;CHAR(10)&amp;CHAR(10)&amp;"QUALITY AUDIT DETAILS"&amp;CHAR(10)&amp;"Agent Name: "&amp;$C1095&amp;" (EID "&amp;$D1095&amp;")"&amp;CHAR(10)&amp;"Audit Date: "&amp;TEXT($B1095,"yyyy-mm-dd")&amp;CHAR(10)&amp;"Team Leader: "&amp;$F1095&amp;CHAR(10)&amp;"Case Number: "&amp;$M1095&amp;CHAR(10)&amp;"Transaction ID: "&amp;$N1095&amp;CHAR(10)&amp;"Channel / LOB: "&amp;$K1095&amp;" / "&amp;$L1095&amp;CHAR(10)&amp;"Evaluator: "&amp;$S1095&amp;CHAR(10)&amp;CHAR(10)&amp;"INVALID QUALITY AUDIT DETAILS"&amp;CHAR(10)&amp;"Validation: Invalid"&amp;CHAR(10)&amp;"Invalid Reason: "&amp;$P1095&amp;CHAR(10)&amp;"Expected Resolution Code: "&amp;$Q1095&amp;CHAR(10)&amp;"Remarks: "&amp;LEFT($R1095,600)&amp;CHAR(10)&amp;CHAR(10)&amp;"This is an automated notification from HP Mainstream EQMS."),"✉ Open Email Draft"),"")</f>
        <v/>
      </c>
    </row>
    <row r="1096">
      <c r="A1096" s="25">
        <f>IF($C1096="","","AUD-2026-"&amp;TEXT(ROW()-1,"000000"))</f>
        <v/>
      </c>
      <c r="B1096" s="26" t="n"/>
      <c r="C1096" s="27" t="n"/>
      <c r="D1096" s="25">
        <f>IF($C1096="","",IFERROR(IF(INDEX(Roster!$A:$A,MATCH($C1096,Roster!$B:$B,0))="","",INDEX(Roster!$A:$A,MATCH($C1096,Roster!$B:$B,0))&amp;""),"—"))</f>
        <v/>
      </c>
      <c r="E1096" s="25">
        <f>IF($C1096="","",IFERROR(IF(INDEX(Roster!$C:$C,MATCH($C1096,Roster!$B:$B,0))="","",INDEX(Roster!$C:$C,MATCH($C1096,Roster!$B:$B,0))&amp;""),"—"))</f>
        <v/>
      </c>
      <c r="F1096" s="25">
        <f>IF($C1096="","",IFERROR(IF(INDEX(Roster!$D:$D,MATCH($C1096,Roster!$B:$B,0))="","",INDEX(Roster!$D:$D,MATCH($C1096,Roster!$B:$B,0))&amp;""),"—"))</f>
        <v/>
      </c>
      <c r="G1096" s="25">
        <f>IF($C1096="","",IFERROR(IF(INDEX(Roster!$E:$E,MATCH($C1096,Roster!$B:$B,0))="","",INDEX(Roster!$E:$E,MATCH($C1096,Roster!$B:$B,0))&amp;""),"—"))</f>
        <v/>
      </c>
      <c r="H1096" s="25">
        <f>IF($C1096="","",IFERROR(IF(INDEX(Roster!$F:$F,MATCH($C1096,Roster!$B:$B,0))="","",INDEX(Roster!$F:$F,MATCH($C1096,Roster!$B:$B,0))&amp;""),"—"))</f>
        <v/>
      </c>
      <c r="I1096" s="25">
        <f>IF($C1096="","",IFERROR(IF(INDEX(Roster!$G:$G,MATCH($C1096,Roster!$B:$B,0))="","",INDEX(Roster!$G:$G,MATCH($C1096,Roster!$B:$B,0))&amp;""),"—"))</f>
        <v/>
      </c>
      <c r="J1096" s="25">
        <f>IF($C1096="","",IFERROR(IF(INDEX(Roster!$I:$I,MATCH($C1096,Roster!$B:$B,0))="","",INDEX(Roster!$I:$I,MATCH($C1096,Roster!$B:$B,0))&amp;""),"—"))</f>
        <v/>
      </c>
      <c r="K1096">
        <f>IF($C1096="","",IFERROR(IF(INDEX(Roster!$J:$J,MATCH($C1096,Roster!$B:$B,0))="","",INDEX(Roster!$J:$J,MATCH($C1096,Roster!$B:$B,0))&amp;""),"—"))</f>
        <v/>
      </c>
      <c r="L1096">
        <f>IF($C1096="","",IFERROR(IF(INDEX(Roster!$K:$K,MATCH($C1096,Roster!$B:$B,0))="","",INDEX(Roster!$K:$K,MATCH($C1096,Roster!$B:$B,0))&amp;""),"—"))</f>
        <v/>
      </c>
      <c r="M1096" s="27" t="n"/>
      <c r="N1096" s="27" t="n"/>
      <c r="O1096" s="25">
        <f>IF($C1096="","",IF($P1096="","—",IF($P1096="Valid (Pass)","Valid","Invalid")))</f>
        <v/>
      </c>
      <c r="P1096" s="27" t="n"/>
      <c r="Q1096" s="27" t="n"/>
      <c r="R1096" s="27" t="n"/>
      <c r="S1096" s="27" t="n"/>
      <c r="T1096" s="25">
        <f>IF($C1096="","",IF(OR(ISNUMBER(SEARCH("quick case",$P1096)),ISNUMBER(SEARCH("quick case",$Q1096))),"Yes","No"))</f>
        <v/>
      </c>
      <c r="U1096" s="25">
        <f>IF($O1096="Invalid",HYPERLINK("mailto:"&amp;$G1096&amp;";"&amp;$I1096&amp;"?cc="&amp;Lists!$E$2&amp;"&amp;subject="&amp;_xlfn.ENCODEURL("[INVALID] Quality audit monitoring completed for "&amp;UPPER($C1096))&amp;"&amp;body="&amp;_xlfn.ENCODEURL("Hi "&amp;$F1096&amp;","&amp;CHAR(10)&amp;"Good day!"&amp;CHAR(10)&amp;CHAR(10)&amp;"A quality monitoring audit has been completed for "&amp;$C1096&amp;"."&amp;CHAR(10)&amp;CHAR(10)&amp;"QUALITY AUDIT DETAILS"&amp;CHAR(10)&amp;"Agent Name: "&amp;$C1096&amp;" (EID "&amp;$D1096&amp;")"&amp;CHAR(10)&amp;"Audit Date: "&amp;TEXT($B1096,"yyyy-mm-dd")&amp;CHAR(10)&amp;"Team Leader: "&amp;$F1096&amp;CHAR(10)&amp;"Case Number: "&amp;$M1096&amp;CHAR(10)&amp;"Transaction ID: "&amp;$N1096&amp;CHAR(10)&amp;"Channel / LOB: "&amp;$K1096&amp;" / "&amp;$L1096&amp;CHAR(10)&amp;"Evaluator: "&amp;$S1096&amp;CHAR(10)&amp;CHAR(10)&amp;"INVALID QUALITY AUDIT DETAILS"&amp;CHAR(10)&amp;"Validation: Invalid"&amp;CHAR(10)&amp;"Invalid Reason: "&amp;$P1096&amp;CHAR(10)&amp;"Expected Resolution Code: "&amp;$Q1096&amp;CHAR(10)&amp;"Remarks: "&amp;LEFT($R1096,600)&amp;CHAR(10)&amp;CHAR(10)&amp;"This is an automated notification from HP Mainstream EQMS."),"✉ Open Email Draft"),"")</f>
        <v/>
      </c>
    </row>
    <row r="1097">
      <c r="A1097" s="25">
        <f>IF($C1097="","","AUD-2026-"&amp;TEXT(ROW()-1,"000000"))</f>
        <v/>
      </c>
      <c r="B1097" s="26" t="n"/>
      <c r="C1097" s="27" t="n"/>
      <c r="D1097" s="25">
        <f>IF($C1097="","",IFERROR(IF(INDEX(Roster!$A:$A,MATCH($C1097,Roster!$B:$B,0))="","",INDEX(Roster!$A:$A,MATCH($C1097,Roster!$B:$B,0))&amp;""),"—"))</f>
        <v/>
      </c>
      <c r="E1097" s="25">
        <f>IF($C1097="","",IFERROR(IF(INDEX(Roster!$C:$C,MATCH($C1097,Roster!$B:$B,0))="","",INDEX(Roster!$C:$C,MATCH($C1097,Roster!$B:$B,0))&amp;""),"—"))</f>
        <v/>
      </c>
      <c r="F1097" s="25">
        <f>IF($C1097="","",IFERROR(IF(INDEX(Roster!$D:$D,MATCH($C1097,Roster!$B:$B,0))="","",INDEX(Roster!$D:$D,MATCH($C1097,Roster!$B:$B,0))&amp;""),"—"))</f>
        <v/>
      </c>
      <c r="G1097" s="25">
        <f>IF($C1097="","",IFERROR(IF(INDEX(Roster!$E:$E,MATCH($C1097,Roster!$B:$B,0))="","",INDEX(Roster!$E:$E,MATCH($C1097,Roster!$B:$B,0))&amp;""),"—"))</f>
        <v/>
      </c>
      <c r="H1097" s="25">
        <f>IF($C1097="","",IFERROR(IF(INDEX(Roster!$F:$F,MATCH($C1097,Roster!$B:$B,0))="","",INDEX(Roster!$F:$F,MATCH($C1097,Roster!$B:$B,0))&amp;""),"—"))</f>
        <v/>
      </c>
      <c r="I1097" s="25">
        <f>IF($C1097="","",IFERROR(IF(INDEX(Roster!$G:$G,MATCH($C1097,Roster!$B:$B,0))="","",INDEX(Roster!$G:$G,MATCH($C1097,Roster!$B:$B,0))&amp;""),"—"))</f>
        <v/>
      </c>
      <c r="J1097" s="25">
        <f>IF($C1097="","",IFERROR(IF(INDEX(Roster!$I:$I,MATCH($C1097,Roster!$B:$B,0))="","",INDEX(Roster!$I:$I,MATCH($C1097,Roster!$B:$B,0))&amp;""),"—"))</f>
        <v/>
      </c>
      <c r="K1097">
        <f>IF($C1097="","",IFERROR(IF(INDEX(Roster!$J:$J,MATCH($C1097,Roster!$B:$B,0))="","",INDEX(Roster!$J:$J,MATCH($C1097,Roster!$B:$B,0))&amp;""),"—"))</f>
        <v/>
      </c>
      <c r="L1097">
        <f>IF($C1097="","",IFERROR(IF(INDEX(Roster!$K:$K,MATCH($C1097,Roster!$B:$B,0))="","",INDEX(Roster!$K:$K,MATCH($C1097,Roster!$B:$B,0))&amp;""),"—"))</f>
        <v/>
      </c>
      <c r="M1097" s="27" t="n"/>
      <c r="N1097" s="27" t="n"/>
      <c r="O1097" s="25">
        <f>IF($C1097="","",IF($P1097="","—",IF($P1097="Valid (Pass)","Valid","Invalid")))</f>
        <v/>
      </c>
      <c r="P1097" s="27" t="n"/>
      <c r="Q1097" s="27" t="n"/>
      <c r="R1097" s="27" t="n"/>
      <c r="S1097" s="27" t="n"/>
      <c r="T1097" s="25">
        <f>IF($C1097="","",IF(OR(ISNUMBER(SEARCH("quick case",$P1097)),ISNUMBER(SEARCH("quick case",$Q1097))),"Yes","No"))</f>
        <v/>
      </c>
      <c r="U1097" s="25">
        <f>IF($O1097="Invalid",HYPERLINK("mailto:"&amp;$G1097&amp;";"&amp;$I1097&amp;"?cc="&amp;Lists!$E$2&amp;"&amp;subject="&amp;_xlfn.ENCODEURL("[INVALID] Quality audit monitoring completed for "&amp;UPPER($C1097))&amp;"&amp;body="&amp;_xlfn.ENCODEURL("Hi "&amp;$F1097&amp;","&amp;CHAR(10)&amp;"Good day!"&amp;CHAR(10)&amp;CHAR(10)&amp;"A quality monitoring audit has been completed for "&amp;$C1097&amp;"."&amp;CHAR(10)&amp;CHAR(10)&amp;"QUALITY AUDIT DETAILS"&amp;CHAR(10)&amp;"Agent Name: "&amp;$C1097&amp;" (EID "&amp;$D1097&amp;")"&amp;CHAR(10)&amp;"Audit Date: "&amp;TEXT($B1097,"yyyy-mm-dd")&amp;CHAR(10)&amp;"Team Leader: "&amp;$F1097&amp;CHAR(10)&amp;"Case Number: "&amp;$M1097&amp;CHAR(10)&amp;"Transaction ID: "&amp;$N1097&amp;CHAR(10)&amp;"Channel / LOB: "&amp;$K1097&amp;" / "&amp;$L1097&amp;CHAR(10)&amp;"Evaluator: "&amp;$S1097&amp;CHAR(10)&amp;CHAR(10)&amp;"INVALID QUALITY AUDIT DETAILS"&amp;CHAR(10)&amp;"Validation: Invalid"&amp;CHAR(10)&amp;"Invalid Reason: "&amp;$P1097&amp;CHAR(10)&amp;"Expected Resolution Code: "&amp;$Q1097&amp;CHAR(10)&amp;"Remarks: "&amp;LEFT($R1097,600)&amp;CHAR(10)&amp;CHAR(10)&amp;"This is an automated notification from HP Mainstream EQMS."),"✉ Open Email Draft"),"")</f>
        <v/>
      </c>
    </row>
    <row r="1098">
      <c r="A1098" s="25">
        <f>IF($C1098="","","AUD-2026-"&amp;TEXT(ROW()-1,"000000"))</f>
        <v/>
      </c>
      <c r="B1098" s="26" t="n"/>
      <c r="C1098" s="27" t="n"/>
      <c r="D1098" s="25">
        <f>IF($C1098="","",IFERROR(IF(INDEX(Roster!$A:$A,MATCH($C1098,Roster!$B:$B,0))="","",INDEX(Roster!$A:$A,MATCH($C1098,Roster!$B:$B,0))&amp;""),"—"))</f>
        <v/>
      </c>
      <c r="E1098" s="25">
        <f>IF($C1098="","",IFERROR(IF(INDEX(Roster!$C:$C,MATCH($C1098,Roster!$B:$B,0))="","",INDEX(Roster!$C:$C,MATCH($C1098,Roster!$B:$B,0))&amp;""),"—"))</f>
        <v/>
      </c>
      <c r="F1098" s="25">
        <f>IF($C1098="","",IFERROR(IF(INDEX(Roster!$D:$D,MATCH($C1098,Roster!$B:$B,0))="","",INDEX(Roster!$D:$D,MATCH($C1098,Roster!$B:$B,0))&amp;""),"—"))</f>
        <v/>
      </c>
      <c r="G1098" s="25">
        <f>IF($C1098="","",IFERROR(IF(INDEX(Roster!$E:$E,MATCH($C1098,Roster!$B:$B,0))="","",INDEX(Roster!$E:$E,MATCH($C1098,Roster!$B:$B,0))&amp;""),"—"))</f>
        <v/>
      </c>
      <c r="H1098" s="25">
        <f>IF($C1098="","",IFERROR(IF(INDEX(Roster!$F:$F,MATCH($C1098,Roster!$B:$B,0))="","",INDEX(Roster!$F:$F,MATCH($C1098,Roster!$B:$B,0))&amp;""),"—"))</f>
        <v/>
      </c>
      <c r="I1098" s="25">
        <f>IF($C1098="","",IFERROR(IF(INDEX(Roster!$G:$G,MATCH($C1098,Roster!$B:$B,0))="","",INDEX(Roster!$G:$G,MATCH($C1098,Roster!$B:$B,0))&amp;""),"—"))</f>
        <v/>
      </c>
      <c r="J1098" s="25">
        <f>IF($C1098="","",IFERROR(IF(INDEX(Roster!$I:$I,MATCH($C1098,Roster!$B:$B,0))="","",INDEX(Roster!$I:$I,MATCH($C1098,Roster!$B:$B,0))&amp;""),"—"))</f>
        <v/>
      </c>
      <c r="K1098">
        <f>IF($C1098="","",IFERROR(IF(INDEX(Roster!$J:$J,MATCH($C1098,Roster!$B:$B,0))="","",INDEX(Roster!$J:$J,MATCH($C1098,Roster!$B:$B,0))&amp;""),"—"))</f>
        <v/>
      </c>
      <c r="L1098">
        <f>IF($C1098="","",IFERROR(IF(INDEX(Roster!$K:$K,MATCH($C1098,Roster!$B:$B,0))="","",INDEX(Roster!$K:$K,MATCH($C1098,Roster!$B:$B,0))&amp;""),"—"))</f>
        <v/>
      </c>
      <c r="M1098" s="27" t="n"/>
      <c r="N1098" s="27" t="n"/>
      <c r="O1098" s="25">
        <f>IF($C1098="","",IF($P1098="","—",IF($P1098="Valid (Pass)","Valid","Invalid")))</f>
        <v/>
      </c>
      <c r="P1098" s="27" t="n"/>
      <c r="Q1098" s="27" t="n"/>
      <c r="R1098" s="27" t="n"/>
      <c r="S1098" s="27" t="n"/>
      <c r="T1098" s="25">
        <f>IF($C1098="","",IF(OR(ISNUMBER(SEARCH("quick case",$P1098)),ISNUMBER(SEARCH("quick case",$Q1098))),"Yes","No"))</f>
        <v/>
      </c>
      <c r="U1098" s="25">
        <f>IF($O1098="Invalid",HYPERLINK("mailto:"&amp;$G1098&amp;";"&amp;$I1098&amp;"?cc="&amp;Lists!$E$2&amp;"&amp;subject="&amp;_xlfn.ENCODEURL("[INVALID] Quality audit monitoring completed for "&amp;UPPER($C1098))&amp;"&amp;body="&amp;_xlfn.ENCODEURL("Hi "&amp;$F1098&amp;","&amp;CHAR(10)&amp;"Good day!"&amp;CHAR(10)&amp;CHAR(10)&amp;"A quality monitoring audit has been completed for "&amp;$C1098&amp;"."&amp;CHAR(10)&amp;CHAR(10)&amp;"QUALITY AUDIT DETAILS"&amp;CHAR(10)&amp;"Agent Name: "&amp;$C1098&amp;" (EID "&amp;$D1098&amp;")"&amp;CHAR(10)&amp;"Audit Date: "&amp;TEXT($B1098,"yyyy-mm-dd")&amp;CHAR(10)&amp;"Team Leader: "&amp;$F1098&amp;CHAR(10)&amp;"Case Number: "&amp;$M1098&amp;CHAR(10)&amp;"Transaction ID: "&amp;$N1098&amp;CHAR(10)&amp;"Channel / LOB: "&amp;$K1098&amp;" / "&amp;$L1098&amp;CHAR(10)&amp;"Evaluator: "&amp;$S1098&amp;CHAR(10)&amp;CHAR(10)&amp;"INVALID QUALITY AUDIT DETAILS"&amp;CHAR(10)&amp;"Validation: Invalid"&amp;CHAR(10)&amp;"Invalid Reason: "&amp;$P1098&amp;CHAR(10)&amp;"Expected Resolution Code: "&amp;$Q1098&amp;CHAR(10)&amp;"Remarks: "&amp;LEFT($R1098,600)&amp;CHAR(10)&amp;CHAR(10)&amp;"This is an automated notification from HP Mainstream EQMS."),"✉ Open Email Draft"),"")</f>
        <v/>
      </c>
    </row>
    <row r="1099">
      <c r="A1099" s="25">
        <f>IF($C1099="","","AUD-2026-"&amp;TEXT(ROW()-1,"000000"))</f>
        <v/>
      </c>
      <c r="B1099" s="26" t="n"/>
      <c r="C1099" s="27" t="n"/>
      <c r="D1099" s="25">
        <f>IF($C1099="","",IFERROR(IF(INDEX(Roster!$A:$A,MATCH($C1099,Roster!$B:$B,0))="","",INDEX(Roster!$A:$A,MATCH($C1099,Roster!$B:$B,0))&amp;""),"—"))</f>
        <v/>
      </c>
      <c r="E1099" s="25">
        <f>IF($C1099="","",IFERROR(IF(INDEX(Roster!$C:$C,MATCH($C1099,Roster!$B:$B,0))="","",INDEX(Roster!$C:$C,MATCH($C1099,Roster!$B:$B,0))&amp;""),"—"))</f>
        <v/>
      </c>
      <c r="F1099" s="25">
        <f>IF($C1099="","",IFERROR(IF(INDEX(Roster!$D:$D,MATCH($C1099,Roster!$B:$B,0))="","",INDEX(Roster!$D:$D,MATCH($C1099,Roster!$B:$B,0))&amp;""),"—"))</f>
        <v/>
      </c>
      <c r="G1099" s="25">
        <f>IF($C1099="","",IFERROR(IF(INDEX(Roster!$E:$E,MATCH($C1099,Roster!$B:$B,0))="","",INDEX(Roster!$E:$E,MATCH($C1099,Roster!$B:$B,0))&amp;""),"—"))</f>
        <v/>
      </c>
      <c r="H1099" s="25">
        <f>IF($C1099="","",IFERROR(IF(INDEX(Roster!$F:$F,MATCH($C1099,Roster!$B:$B,0))="","",INDEX(Roster!$F:$F,MATCH($C1099,Roster!$B:$B,0))&amp;""),"—"))</f>
        <v/>
      </c>
      <c r="I1099" s="25">
        <f>IF($C1099="","",IFERROR(IF(INDEX(Roster!$G:$G,MATCH($C1099,Roster!$B:$B,0))="","",INDEX(Roster!$G:$G,MATCH($C1099,Roster!$B:$B,0))&amp;""),"—"))</f>
        <v/>
      </c>
      <c r="J1099" s="25">
        <f>IF($C1099="","",IFERROR(IF(INDEX(Roster!$I:$I,MATCH($C1099,Roster!$B:$B,0))="","",INDEX(Roster!$I:$I,MATCH($C1099,Roster!$B:$B,0))&amp;""),"—"))</f>
        <v/>
      </c>
      <c r="K1099">
        <f>IF($C1099="","",IFERROR(IF(INDEX(Roster!$J:$J,MATCH($C1099,Roster!$B:$B,0))="","",INDEX(Roster!$J:$J,MATCH($C1099,Roster!$B:$B,0))&amp;""),"—"))</f>
        <v/>
      </c>
      <c r="L1099">
        <f>IF($C1099="","",IFERROR(IF(INDEX(Roster!$K:$K,MATCH($C1099,Roster!$B:$B,0))="","",INDEX(Roster!$K:$K,MATCH($C1099,Roster!$B:$B,0))&amp;""),"—"))</f>
        <v/>
      </c>
      <c r="M1099" s="27" t="n"/>
      <c r="N1099" s="27" t="n"/>
      <c r="O1099" s="25">
        <f>IF($C1099="","",IF($P1099="","—",IF($P1099="Valid (Pass)","Valid","Invalid")))</f>
        <v/>
      </c>
      <c r="P1099" s="27" t="n"/>
      <c r="Q1099" s="27" t="n"/>
      <c r="R1099" s="27" t="n"/>
      <c r="S1099" s="27" t="n"/>
      <c r="T1099" s="25">
        <f>IF($C1099="","",IF(OR(ISNUMBER(SEARCH("quick case",$P1099)),ISNUMBER(SEARCH("quick case",$Q1099))),"Yes","No"))</f>
        <v/>
      </c>
      <c r="U1099" s="25">
        <f>IF($O1099="Invalid",HYPERLINK("mailto:"&amp;$G1099&amp;";"&amp;$I1099&amp;"?cc="&amp;Lists!$E$2&amp;"&amp;subject="&amp;_xlfn.ENCODEURL("[INVALID] Quality audit monitoring completed for "&amp;UPPER($C1099))&amp;"&amp;body="&amp;_xlfn.ENCODEURL("Hi "&amp;$F1099&amp;","&amp;CHAR(10)&amp;"Good day!"&amp;CHAR(10)&amp;CHAR(10)&amp;"A quality monitoring audit has been completed for "&amp;$C1099&amp;"."&amp;CHAR(10)&amp;CHAR(10)&amp;"QUALITY AUDIT DETAILS"&amp;CHAR(10)&amp;"Agent Name: "&amp;$C1099&amp;" (EID "&amp;$D1099&amp;")"&amp;CHAR(10)&amp;"Audit Date: "&amp;TEXT($B1099,"yyyy-mm-dd")&amp;CHAR(10)&amp;"Team Leader: "&amp;$F1099&amp;CHAR(10)&amp;"Case Number: "&amp;$M1099&amp;CHAR(10)&amp;"Transaction ID: "&amp;$N1099&amp;CHAR(10)&amp;"Channel / LOB: "&amp;$K1099&amp;" / "&amp;$L1099&amp;CHAR(10)&amp;"Evaluator: "&amp;$S1099&amp;CHAR(10)&amp;CHAR(10)&amp;"INVALID QUALITY AUDIT DETAILS"&amp;CHAR(10)&amp;"Validation: Invalid"&amp;CHAR(10)&amp;"Invalid Reason: "&amp;$P1099&amp;CHAR(10)&amp;"Expected Resolution Code: "&amp;$Q1099&amp;CHAR(10)&amp;"Remarks: "&amp;LEFT($R1099,600)&amp;CHAR(10)&amp;CHAR(10)&amp;"This is an automated notification from HP Mainstream EQMS."),"✉ Open Email Draft"),"")</f>
        <v/>
      </c>
    </row>
    <row r="1100">
      <c r="A1100" s="25">
        <f>IF($C1100="","","AUD-2026-"&amp;TEXT(ROW()-1,"000000"))</f>
        <v/>
      </c>
      <c r="B1100" s="26" t="n"/>
      <c r="C1100" s="27" t="n"/>
      <c r="D1100" s="25">
        <f>IF($C1100="","",IFERROR(IF(INDEX(Roster!$A:$A,MATCH($C1100,Roster!$B:$B,0))="","",INDEX(Roster!$A:$A,MATCH($C1100,Roster!$B:$B,0))&amp;""),"—"))</f>
        <v/>
      </c>
      <c r="E1100" s="25">
        <f>IF($C1100="","",IFERROR(IF(INDEX(Roster!$C:$C,MATCH($C1100,Roster!$B:$B,0))="","",INDEX(Roster!$C:$C,MATCH($C1100,Roster!$B:$B,0))&amp;""),"—"))</f>
        <v/>
      </c>
      <c r="F1100" s="25">
        <f>IF($C1100="","",IFERROR(IF(INDEX(Roster!$D:$D,MATCH($C1100,Roster!$B:$B,0))="","",INDEX(Roster!$D:$D,MATCH($C1100,Roster!$B:$B,0))&amp;""),"—"))</f>
        <v/>
      </c>
      <c r="G1100" s="25">
        <f>IF($C1100="","",IFERROR(IF(INDEX(Roster!$E:$E,MATCH($C1100,Roster!$B:$B,0))="","",INDEX(Roster!$E:$E,MATCH($C1100,Roster!$B:$B,0))&amp;""),"—"))</f>
        <v/>
      </c>
      <c r="H1100" s="25">
        <f>IF($C1100="","",IFERROR(IF(INDEX(Roster!$F:$F,MATCH($C1100,Roster!$B:$B,0))="","",INDEX(Roster!$F:$F,MATCH($C1100,Roster!$B:$B,0))&amp;""),"—"))</f>
        <v/>
      </c>
      <c r="I1100" s="25">
        <f>IF($C1100="","",IFERROR(IF(INDEX(Roster!$G:$G,MATCH($C1100,Roster!$B:$B,0))="","",INDEX(Roster!$G:$G,MATCH($C1100,Roster!$B:$B,0))&amp;""),"—"))</f>
        <v/>
      </c>
      <c r="J1100" s="25">
        <f>IF($C1100="","",IFERROR(IF(INDEX(Roster!$I:$I,MATCH($C1100,Roster!$B:$B,0))="","",INDEX(Roster!$I:$I,MATCH($C1100,Roster!$B:$B,0))&amp;""),"—"))</f>
        <v/>
      </c>
      <c r="K1100">
        <f>IF($C1100="","",IFERROR(IF(INDEX(Roster!$J:$J,MATCH($C1100,Roster!$B:$B,0))="","",INDEX(Roster!$J:$J,MATCH($C1100,Roster!$B:$B,0))&amp;""),"—"))</f>
        <v/>
      </c>
      <c r="L1100">
        <f>IF($C1100="","",IFERROR(IF(INDEX(Roster!$K:$K,MATCH($C1100,Roster!$B:$B,0))="","",INDEX(Roster!$K:$K,MATCH($C1100,Roster!$B:$B,0))&amp;""),"—"))</f>
        <v/>
      </c>
      <c r="M1100" s="27" t="n"/>
      <c r="N1100" s="27" t="n"/>
      <c r="O1100" s="25">
        <f>IF($C1100="","",IF($P1100="","—",IF($P1100="Valid (Pass)","Valid","Invalid")))</f>
        <v/>
      </c>
      <c r="P1100" s="27" t="n"/>
      <c r="Q1100" s="27" t="n"/>
      <c r="R1100" s="27" t="n"/>
      <c r="S1100" s="27" t="n"/>
      <c r="T1100" s="25">
        <f>IF($C1100="","",IF(OR(ISNUMBER(SEARCH("quick case",$P1100)),ISNUMBER(SEARCH("quick case",$Q1100))),"Yes","No"))</f>
        <v/>
      </c>
      <c r="U1100" s="25">
        <f>IF($O1100="Invalid",HYPERLINK("mailto:"&amp;$G1100&amp;";"&amp;$I1100&amp;"?cc="&amp;Lists!$E$2&amp;"&amp;subject="&amp;_xlfn.ENCODEURL("[INVALID] Quality audit monitoring completed for "&amp;UPPER($C1100))&amp;"&amp;body="&amp;_xlfn.ENCODEURL("Hi "&amp;$F1100&amp;","&amp;CHAR(10)&amp;"Good day!"&amp;CHAR(10)&amp;CHAR(10)&amp;"A quality monitoring audit has been completed for "&amp;$C1100&amp;"."&amp;CHAR(10)&amp;CHAR(10)&amp;"QUALITY AUDIT DETAILS"&amp;CHAR(10)&amp;"Agent Name: "&amp;$C1100&amp;" (EID "&amp;$D1100&amp;")"&amp;CHAR(10)&amp;"Audit Date: "&amp;TEXT($B1100,"yyyy-mm-dd")&amp;CHAR(10)&amp;"Team Leader: "&amp;$F1100&amp;CHAR(10)&amp;"Case Number: "&amp;$M1100&amp;CHAR(10)&amp;"Transaction ID: "&amp;$N1100&amp;CHAR(10)&amp;"Channel / LOB: "&amp;$K1100&amp;" / "&amp;$L1100&amp;CHAR(10)&amp;"Evaluator: "&amp;$S1100&amp;CHAR(10)&amp;CHAR(10)&amp;"INVALID QUALITY AUDIT DETAILS"&amp;CHAR(10)&amp;"Validation: Invalid"&amp;CHAR(10)&amp;"Invalid Reason: "&amp;$P1100&amp;CHAR(10)&amp;"Expected Resolution Code: "&amp;$Q1100&amp;CHAR(10)&amp;"Remarks: "&amp;LEFT($R1100,600)&amp;CHAR(10)&amp;CHAR(10)&amp;"This is an automated notification from HP Mainstream EQMS."),"✉ Open Email Draft"),"")</f>
        <v/>
      </c>
    </row>
    <row r="1101">
      <c r="A1101" s="25">
        <f>IF($C1101="","","AUD-2026-"&amp;TEXT(ROW()-1,"000000"))</f>
        <v/>
      </c>
      <c r="B1101" s="26" t="n"/>
      <c r="C1101" s="27" t="n"/>
      <c r="D1101" s="25">
        <f>IF($C1101="","",IFERROR(IF(INDEX(Roster!$A:$A,MATCH($C1101,Roster!$B:$B,0))="","",INDEX(Roster!$A:$A,MATCH($C1101,Roster!$B:$B,0))&amp;""),"—"))</f>
        <v/>
      </c>
      <c r="E1101" s="25">
        <f>IF($C1101="","",IFERROR(IF(INDEX(Roster!$C:$C,MATCH($C1101,Roster!$B:$B,0))="","",INDEX(Roster!$C:$C,MATCH($C1101,Roster!$B:$B,0))&amp;""),"—"))</f>
        <v/>
      </c>
      <c r="F1101" s="25">
        <f>IF($C1101="","",IFERROR(IF(INDEX(Roster!$D:$D,MATCH($C1101,Roster!$B:$B,0))="","",INDEX(Roster!$D:$D,MATCH($C1101,Roster!$B:$B,0))&amp;""),"—"))</f>
        <v/>
      </c>
      <c r="G1101" s="25">
        <f>IF($C1101="","",IFERROR(IF(INDEX(Roster!$E:$E,MATCH($C1101,Roster!$B:$B,0))="","",INDEX(Roster!$E:$E,MATCH($C1101,Roster!$B:$B,0))&amp;""),"—"))</f>
        <v/>
      </c>
      <c r="H1101" s="25">
        <f>IF($C1101="","",IFERROR(IF(INDEX(Roster!$F:$F,MATCH($C1101,Roster!$B:$B,0))="","",INDEX(Roster!$F:$F,MATCH($C1101,Roster!$B:$B,0))&amp;""),"—"))</f>
        <v/>
      </c>
      <c r="I1101" s="25">
        <f>IF($C1101="","",IFERROR(IF(INDEX(Roster!$G:$G,MATCH($C1101,Roster!$B:$B,0))="","",INDEX(Roster!$G:$G,MATCH($C1101,Roster!$B:$B,0))&amp;""),"—"))</f>
        <v/>
      </c>
      <c r="J1101" s="25">
        <f>IF($C1101="","",IFERROR(IF(INDEX(Roster!$I:$I,MATCH($C1101,Roster!$B:$B,0))="","",INDEX(Roster!$I:$I,MATCH($C1101,Roster!$B:$B,0))&amp;""),"—"))</f>
        <v/>
      </c>
      <c r="K1101">
        <f>IF($C1101="","",IFERROR(IF(INDEX(Roster!$J:$J,MATCH($C1101,Roster!$B:$B,0))="","",INDEX(Roster!$J:$J,MATCH($C1101,Roster!$B:$B,0))&amp;""),"—"))</f>
        <v/>
      </c>
      <c r="L1101">
        <f>IF($C1101="","",IFERROR(IF(INDEX(Roster!$K:$K,MATCH($C1101,Roster!$B:$B,0))="","",INDEX(Roster!$K:$K,MATCH($C1101,Roster!$B:$B,0))&amp;""),"—"))</f>
        <v/>
      </c>
      <c r="M1101" s="27" t="n"/>
      <c r="N1101" s="27" t="n"/>
      <c r="O1101" s="25">
        <f>IF($C1101="","",IF($P1101="","—",IF($P1101="Valid (Pass)","Valid","Invalid")))</f>
        <v/>
      </c>
      <c r="P1101" s="27" t="n"/>
      <c r="Q1101" s="27" t="n"/>
      <c r="R1101" s="27" t="n"/>
      <c r="S1101" s="27" t="n"/>
      <c r="T1101" s="25">
        <f>IF($C1101="","",IF(OR(ISNUMBER(SEARCH("quick case",$P1101)),ISNUMBER(SEARCH("quick case",$Q1101))),"Yes","No"))</f>
        <v/>
      </c>
      <c r="U1101" s="25">
        <f>IF($O1101="Invalid",HYPERLINK("mailto:"&amp;$G1101&amp;";"&amp;$I1101&amp;"?cc="&amp;Lists!$E$2&amp;"&amp;subject="&amp;_xlfn.ENCODEURL("[INVALID] Quality audit monitoring completed for "&amp;UPPER($C1101))&amp;"&amp;body="&amp;_xlfn.ENCODEURL("Hi "&amp;$F1101&amp;","&amp;CHAR(10)&amp;"Good day!"&amp;CHAR(10)&amp;CHAR(10)&amp;"A quality monitoring audit has been completed for "&amp;$C1101&amp;"."&amp;CHAR(10)&amp;CHAR(10)&amp;"QUALITY AUDIT DETAILS"&amp;CHAR(10)&amp;"Agent Name: "&amp;$C1101&amp;" (EID "&amp;$D1101&amp;")"&amp;CHAR(10)&amp;"Audit Date: "&amp;TEXT($B1101,"yyyy-mm-dd")&amp;CHAR(10)&amp;"Team Leader: "&amp;$F1101&amp;CHAR(10)&amp;"Case Number: "&amp;$M1101&amp;CHAR(10)&amp;"Transaction ID: "&amp;$N1101&amp;CHAR(10)&amp;"Channel / LOB: "&amp;$K1101&amp;" / "&amp;$L1101&amp;CHAR(10)&amp;"Evaluator: "&amp;$S1101&amp;CHAR(10)&amp;CHAR(10)&amp;"INVALID QUALITY AUDIT DETAILS"&amp;CHAR(10)&amp;"Validation: Invalid"&amp;CHAR(10)&amp;"Invalid Reason: "&amp;$P1101&amp;CHAR(10)&amp;"Expected Resolution Code: "&amp;$Q1101&amp;CHAR(10)&amp;"Remarks: "&amp;LEFT($R1101,600)&amp;CHAR(10)&amp;CHAR(10)&amp;"This is an automated notification from HP Mainstream EQMS."),"✉ Open Email Draft"),"")</f>
        <v/>
      </c>
    </row>
    <row r="1102">
      <c r="A1102" s="25">
        <f>IF($C1102="","","AUD-2026-"&amp;TEXT(ROW()-1,"000000"))</f>
        <v/>
      </c>
      <c r="B1102" s="26" t="n"/>
      <c r="C1102" s="27" t="n"/>
      <c r="D1102" s="25">
        <f>IF($C1102="","",IFERROR(IF(INDEX(Roster!$A:$A,MATCH($C1102,Roster!$B:$B,0))="","",INDEX(Roster!$A:$A,MATCH($C1102,Roster!$B:$B,0))&amp;""),"—"))</f>
        <v/>
      </c>
      <c r="E1102" s="25">
        <f>IF($C1102="","",IFERROR(IF(INDEX(Roster!$C:$C,MATCH($C1102,Roster!$B:$B,0))="","",INDEX(Roster!$C:$C,MATCH($C1102,Roster!$B:$B,0))&amp;""),"—"))</f>
        <v/>
      </c>
      <c r="F1102" s="25">
        <f>IF($C1102="","",IFERROR(IF(INDEX(Roster!$D:$D,MATCH($C1102,Roster!$B:$B,0))="","",INDEX(Roster!$D:$D,MATCH($C1102,Roster!$B:$B,0))&amp;""),"—"))</f>
        <v/>
      </c>
      <c r="G1102" s="25">
        <f>IF($C1102="","",IFERROR(IF(INDEX(Roster!$E:$E,MATCH($C1102,Roster!$B:$B,0))="","",INDEX(Roster!$E:$E,MATCH($C1102,Roster!$B:$B,0))&amp;""),"—"))</f>
        <v/>
      </c>
      <c r="H1102" s="25">
        <f>IF($C1102="","",IFERROR(IF(INDEX(Roster!$F:$F,MATCH($C1102,Roster!$B:$B,0))="","",INDEX(Roster!$F:$F,MATCH($C1102,Roster!$B:$B,0))&amp;""),"—"))</f>
        <v/>
      </c>
      <c r="I1102" s="25">
        <f>IF($C1102="","",IFERROR(IF(INDEX(Roster!$G:$G,MATCH($C1102,Roster!$B:$B,0))="","",INDEX(Roster!$G:$G,MATCH($C1102,Roster!$B:$B,0))&amp;""),"—"))</f>
        <v/>
      </c>
      <c r="J1102" s="25">
        <f>IF($C1102="","",IFERROR(IF(INDEX(Roster!$I:$I,MATCH($C1102,Roster!$B:$B,0))="","",INDEX(Roster!$I:$I,MATCH($C1102,Roster!$B:$B,0))&amp;""),"—"))</f>
        <v/>
      </c>
      <c r="K1102">
        <f>IF($C1102="","",IFERROR(IF(INDEX(Roster!$J:$J,MATCH($C1102,Roster!$B:$B,0))="","",INDEX(Roster!$J:$J,MATCH($C1102,Roster!$B:$B,0))&amp;""),"—"))</f>
        <v/>
      </c>
      <c r="L1102">
        <f>IF($C1102="","",IFERROR(IF(INDEX(Roster!$K:$K,MATCH($C1102,Roster!$B:$B,0))="","",INDEX(Roster!$K:$K,MATCH($C1102,Roster!$B:$B,0))&amp;""),"—"))</f>
        <v/>
      </c>
      <c r="M1102" s="27" t="n"/>
      <c r="N1102" s="27" t="n"/>
      <c r="O1102" s="25">
        <f>IF($C1102="","",IF($P1102="","—",IF($P1102="Valid (Pass)","Valid","Invalid")))</f>
        <v/>
      </c>
      <c r="P1102" s="27" t="n"/>
      <c r="Q1102" s="27" t="n"/>
      <c r="R1102" s="27" t="n"/>
      <c r="S1102" s="27" t="n"/>
      <c r="T1102" s="25">
        <f>IF($C1102="","",IF(OR(ISNUMBER(SEARCH("quick case",$P1102)),ISNUMBER(SEARCH("quick case",$Q1102))),"Yes","No"))</f>
        <v/>
      </c>
      <c r="U1102" s="25">
        <f>IF($O1102="Invalid",HYPERLINK("mailto:"&amp;$G1102&amp;";"&amp;$I1102&amp;"?cc="&amp;Lists!$E$2&amp;"&amp;subject="&amp;_xlfn.ENCODEURL("[INVALID] Quality audit monitoring completed for "&amp;UPPER($C1102))&amp;"&amp;body="&amp;_xlfn.ENCODEURL("Hi "&amp;$F1102&amp;","&amp;CHAR(10)&amp;"Good day!"&amp;CHAR(10)&amp;CHAR(10)&amp;"A quality monitoring audit has been completed for "&amp;$C1102&amp;"."&amp;CHAR(10)&amp;CHAR(10)&amp;"QUALITY AUDIT DETAILS"&amp;CHAR(10)&amp;"Agent Name: "&amp;$C1102&amp;" (EID "&amp;$D1102&amp;")"&amp;CHAR(10)&amp;"Audit Date: "&amp;TEXT($B1102,"yyyy-mm-dd")&amp;CHAR(10)&amp;"Team Leader: "&amp;$F1102&amp;CHAR(10)&amp;"Case Number: "&amp;$M1102&amp;CHAR(10)&amp;"Transaction ID: "&amp;$N1102&amp;CHAR(10)&amp;"Channel / LOB: "&amp;$K1102&amp;" / "&amp;$L1102&amp;CHAR(10)&amp;"Evaluator: "&amp;$S1102&amp;CHAR(10)&amp;CHAR(10)&amp;"INVALID QUALITY AUDIT DETAILS"&amp;CHAR(10)&amp;"Validation: Invalid"&amp;CHAR(10)&amp;"Invalid Reason: "&amp;$P1102&amp;CHAR(10)&amp;"Expected Resolution Code: "&amp;$Q1102&amp;CHAR(10)&amp;"Remarks: "&amp;LEFT($R1102,600)&amp;CHAR(10)&amp;CHAR(10)&amp;"This is an automated notification from HP Mainstream EQMS."),"✉ Open Email Draft"),"")</f>
        <v/>
      </c>
    </row>
    <row r="1103">
      <c r="A1103" s="25">
        <f>IF($C1103="","","AUD-2026-"&amp;TEXT(ROW()-1,"000000"))</f>
        <v/>
      </c>
      <c r="B1103" s="26" t="n"/>
      <c r="C1103" s="27" t="n"/>
      <c r="D1103" s="25">
        <f>IF($C1103="","",IFERROR(IF(INDEX(Roster!$A:$A,MATCH($C1103,Roster!$B:$B,0))="","",INDEX(Roster!$A:$A,MATCH($C1103,Roster!$B:$B,0))&amp;""),"—"))</f>
        <v/>
      </c>
      <c r="E1103" s="25">
        <f>IF($C1103="","",IFERROR(IF(INDEX(Roster!$C:$C,MATCH($C1103,Roster!$B:$B,0))="","",INDEX(Roster!$C:$C,MATCH($C1103,Roster!$B:$B,0))&amp;""),"—"))</f>
        <v/>
      </c>
      <c r="F1103" s="25">
        <f>IF($C1103="","",IFERROR(IF(INDEX(Roster!$D:$D,MATCH($C1103,Roster!$B:$B,0))="","",INDEX(Roster!$D:$D,MATCH($C1103,Roster!$B:$B,0))&amp;""),"—"))</f>
        <v/>
      </c>
      <c r="G1103" s="25">
        <f>IF($C1103="","",IFERROR(IF(INDEX(Roster!$E:$E,MATCH($C1103,Roster!$B:$B,0))="","",INDEX(Roster!$E:$E,MATCH($C1103,Roster!$B:$B,0))&amp;""),"—"))</f>
        <v/>
      </c>
      <c r="H1103" s="25">
        <f>IF($C1103="","",IFERROR(IF(INDEX(Roster!$F:$F,MATCH($C1103,Roster!$B:$B,0))="","",INDEX(Roster!$F:$F,MATCH($C1103,Roster!$B:$B,0))&amp;""),"—"))</f>
        <v/>
      </c>
      <c r="I1103" s="25">
        <f>IF($C1103="","",IFERROR(IF(INDEX(Roster!$G:$G,MATCH($C1103,Roster!$B:$B,0))="","",INDEX(Roster!$G:$G,MATCH($C1103,Roster!$B:$B,0))&amp;""),"—"))</f>
        <v/>
      </c>
      <c r="J1103" s="25">
        <f>IF($C1103="","",IFERROR(IF(INDEX(Roster!$I:$I,MATCH($C1103,Roster!$B:$B,0))="","",INDEX(Roster!$I:$I,MATCH($C1103,Roster!$B:$B,0))&amp;""),"—"))</f>
        <v/>
      </c>
      <c r="K1103">
        <f>IF($C1103="","",IFERROR(IF(INDEX(Roster!$J:$J,MATCH($C1103,Roster!$B:$B,0))="","",INDEX(Roster!$J:$J,MATCH($C1103,Roster!$B:$B,0))&amp;""),"—"))</f>
        <v/>
      </c>
      <c r="L1103">
        <f>IF($C1103="","",IFERROR(IF(INDEX(Roster!$K:$K,MATCH($C1103,Roster!$B:$B,0))="","",INDEX(Roster!$K:$K,MATCH($C1103,Roster!$B:$B,0))&amp;""),"—"))</f>
        <v/>
      </c>
      <c r="M1103" s="27" t="n"/>
      <c r="N1103" s="27" t="n"/>
      <c r="O1103" s="25">
        <f>IF($C1103="","",IF($P1103="","—",IF($P1103="Valid (Pass)","Valid","Invalid")))</f>
        <v/>
      </c>
      <c r="P1103" s="27" t="n"/>
      <c r="Q1103" s="27" t="n"/>
      <c r="R1103" s="27" t="n"/>
      <c r="S1103" s="27" t="n"/>
      <c r="T1103" s="25">
        <f>IF($C1103="","",IF(OR(ISNUMBER(SEARCH("quick case",$P1103)),ISNUMBER(SEARCH("quick case",$Q1103))),"Yes","No"))</f>
        <v/>
      </c>
      <c r="U1103" s="25">
        <f>IF($O1103="Invalid",HYPERLINK("mailto:"&amp;$G1103&amp;";"&amp;$I1103&amp;"?cc="&amp;Lists!$E$2&amp;"&amp;subject="&amp;_xlfn.ENCODEURL("[INVALID] Quality audit monitoring completed for "&amp;UPPER($C1103))&amp;"&amp;body="&amp;_xlfn.ENCODEURL("Hi "&amp;$F1103&amp;","&amp;CHAR(10)&amp;"Good day!"&amp;CHAR(10)&amp;CHAR(10)&amp;"A quality monitoring audit has been completed for "&amp;$C1103&amp;"."&amp;CHAR(10)&amp;CHAR(10)&amp;"QUALITY AUDIT DETAILS"&amp;CHAR(10)&amp;"Agent Name: "&amp;$C1103&amp;" (EID "&amp;$D1103&amp;")"&amp;CHAR(10)&amp;"Audit Date: "&amp;TEXT($B1103,"yyyy-mm-dd")&amp;CHAR(10)&amp;"Team Leader: "&amp;$F1103&amp;CHAR(10)&amp;"Case Number: "&amp;$M1103&amp;CHAR(10)&amp;"Transaction ID: "&amp;$N1103&amp;CHAR(10)&amp;"Channel / LOB: "&amp;$K1103&amp;" / "&amp;$L1103&amp;CHAR(10)&amp;"Evaluator: "&amp;$S1103&amp;CHAR(10)&amp;CHAR(10)&amp;"INVALID QUALITY AUDIT DETAILS"&amp;CHAR(10)&amp;"Validation: Invalid"&amp;CHAR(10)&amp;"Invalid Reason: "&amp;$P1103&amp;CHAR(10)&amp;"Expected Resolution Code: "&amp;$Q1103&amp;CHAR(10)&amp;"Remarks: "&amp;LEFT($R1103,600)&amp;CHAR(10)&amp;CHAR(10)&amp;"This is an automated notification from HP Mainstream EQMS."),"✉ Open Email Draft"),"")</f>
        <v/>
      </c>
    </row>
    <row r="1104">
      <c r="A1104" s="25">
        <f>IF($C1104="","","AUD-2026-"&amp;TEXT(ROW()-1,"000000"))</f>
        <v/>
      </c>
      <c r="B1104" s="26" t="n"/>
      <c r="C1104" s="27" t="n"/>
      <c r="D1104" s="25">
        <f>IF($C1104="","",IFERROR(IF(INDEX(Roster!$A:$A,MATCH($C1104,Roster!$B:$B,0))="","",INDEX(Roster!$A:$A,MATCH($C1104,Roster!$B:$B,0))&amp;""),"—"))</f>
        <v/>
      </c>
      <c r="E1104" s="25">
        <f>IF($C1104="","",IFERROR(IF(INDEX(Roster!$C:$C,MATCH($C1104,Roster!$B:$B,0))="","",INDEX(Roster!$C:$C,MATCH($C1104,Roster!$B:$B,0))&amp;""),"—"))</f>
        <v/>
      </c>
      <c r="F1104" s="25">
        <f>IF($C1104="","",IFERROR(IF(INDEX(Roster!$D:$D,MATCH($C1104,Roster!$B:$B,0))="","",INDEX(Roster!$D:$D,MATCH($C1104,Roster!$B:$B,0))&amp;""),"—"))</f>
        <v/>
      </c>
      <c r="G1104" s="25">
        <f>IF($C1104="","",IFERROR(IF(INDEX(Roster!$E:$E,MATCH($C1104,Roster!$B:$B,0))="","",INDEX(Roster!$E:$E,MATCH($C1104,Roster!$B:$B,0))&amp;""),"—"))</f>
        <v/>
      </c>
      <c r="H1104" s="25">
        <f>IF($C1104="","",IFERROR(IF(INDEX(Roster!$F:$F,MATCH($C1104,Roster!$B:$B,0))="","",INDEX(Roster!$F:$F,MATCH($C1104,Roster!$B:$B,0))&amp;""),"—"))</f>
        <v/>
      </c>
      <c r="I1104" s="25">
        <f>IF($C1104="","",IFERROR(IF(INDEX(Roster!$G:$G,MATCH($C1104,Roster!$B:$B,0))="","",INDEX(Roster!$G:$G,MATCH($C1104,Roster!$B:$B,0))&amp;""),"—"))</f>
        <v/>
      </c>
      <c r="J1104" s="25">
        <f>IF($C1104="","",IFERROR(IF(INDEX(Roster!$I:$I,MATCH($C1104,Roster!$B:$B,0))="","",INDEX(Roster!$I:$I,MATCH($C1104,Roster!$B:$B,0))&amp;""),"—"))</f>
        <v/>
      </c>
      <c r="K1104">
        <f>IF($C1104="","",IFERROR(IF(INDEX(Roster!$J:$J,MATCH($C1104,Roster!$B:$B,0))="","",INDEX(Roster!$J:$J,MATCH($C1104,Roster!$B:$B,0))&amp;""),"—"))</f>
        <v/>
      </c>
      <c r="L1104">
        <f>IF($C1104="","",IFERROR(IF(INDEX(Roster!$K:$K,MATCH($C1104,Roster!$B:$B,0))="","",INDEX(Roster!$K:$K,MATCH($C1104,Roster!$B:$B,0))&amp;""),"—"))</f>
        <v/>
      </c>
      <c r="M1104" s="27" t="n"/>
      <c r="N1104" s="27" t="n"/>
      <c r="O1104" s="25">
        <f>IF($C1104="","",IF($P1104="","—",IF($P1104="Valid (Pass)","Valid","Invalid")))</f>
        <v/>
      </c>
      <c r="P1104" s="27" t="n"/>
      <c r="Q1104" s="27" t="n"/>
      <c r="R1104" s="27" t="n"/>
      <c r="S1104" s="27" t="n"/>
      <c r="T1104" s="25">
        <f>IF($C1104="","",IF(OR(ISNUMBER(SEARCH("quick case",$P1104)),ISNUMBER(SEARCH("quick case",$Q1104))),"Yes","No"))</f>
        <v/>
      </c>
      <c r="U1104" s="25">
        <f>IF($O1104="Invalid",HYPERLINK("mailto:"&amp;$G1104&amp;";"&amp;$I1104&amp;"?cc="&amp;Lists!$E$2&amp;"&amp;subject="&amp;_xlfn.ENCODEURL("[INVALID] Quality audit monitoring completed for "&amp;UPPER($C1104))&amp;"&amp;body="&amp;_xlfn.ENCODEURL("Hi "&amp;$F1104&amp;","&amp;CHAR(10)&amp;"Good day!"&amp;CHAR(10)&amp;CHAR(10)&amp;"A quality monitoring audit has been completed for "&amp;$C1104&amp;"."&amp;CHAR(10)&amp;CHAR(10)&amp;"QUALITY AUDIT DETAILS"&amp;CHAR(10)&amp;"Agent Name: "&amp;$C1104&amp;" (EID "&amp;$D1104&amp;")"&amp;CHAR(10)&amp;"Audit Date: "&amp;TEXT($B1104,"yyyy-mm-dd")&amp;CHAR(10)&amp;"Team Leader: "&amp;$F1104&amp;CHAR(10)&amp;"Case Number: "&amp;$M1104&amp;CHAR(10)&amp;"Transaction ID: "&amp;$N1104&amp;CHAR(10)&amp;"Channel / LOB: "&amp;$K1104&amp;" / "&amp;$L1104&amp;CHAR(10)&amp;"Evaluator: "&amp;$S1104&amp;CHAR(10)&amp;CHAR(10)&amp;"INVALID QUALITY AUDIT DETAILS"&amp;CHAR(10)&amp;"Validation: Invalid"&amp;CHAR(10)&amp;"Invalid Reason: "&amp;$P1104&amp;CHAR(10)&amp;"Expected Resolution Code: "&amp;$Q1104&amp;CHAR(10)&amp;"Remarks: "&amp;LEFT($R1104,600)&amp;CHAR(10)&amp;CHAR(10)&amp;"This is an automated notification from HP Mainstream EQMS."),"✉ Open Email Draft"),"")</f>
        <v/>
      </c>
    </row>
    <row r="1105">
      <c r="A1105" s="25">
        <f>IF($C1105="","","AUD-2026-"&amp;TEXT(ROW()-1,"000000"))</f>
        <v/>
      </c>
      <c r="B1105" s="26" t="n"/>
      <c r="C1105" s="27" t="n"/>
      <c r="D1105" s="25">
        <f>IF($C1105="","",IFERROR(IF(INDEX(Roster!$A:$A,MATCH($C1105,Roster!$B:$B,0))="","",INDEX(Roster!$A:$A,MATCH($C1105,Roster!$B:$B,0))&amp;""),"—"))</f>
        <v/>
      </c>
      <c r="E1105" s="25">
        <f>IF($C1105="","",IFERROR(IF(INDEX(Roster!$C:$C,MATCH($C1105,Roster!$B:$B,0))="","",INDEX(Roster!$C:$C,MATCH($C1105,Roster!$B:$B,0))&amp;""),"—"))</f>
        <v/>
      </c>
      <c r="F1105" s="25">
        <f>IF($C1105="","",IFERROR(IF(INDEX(Roster!$D:$D,MATCH($C1105,Roster!$B:$B,0))="","",INDEX(Roster!$D:$D,MATCH($C1105,Roster!$B:$B,0))&amp;""),"—"))</f>
        <v/>
      </c>
      <c r="G1105" s="25">
        <f>IF($C1105="","",IFERROR(IF(INDEX(Roster!$E:$E,MATCH($C1105,Roster!$B:$B,0))="","",INDEX(Roster!$E:$E,MATCH($C1105,Roster!$B:$B,0))&amp;""),"—"))</f>
        <v/>
      </c>
      <c r="H1105" s="25">
        <f>IF($C1105="","",IFERROR(IF(INDEX(Roster!$F:$F,MATCH($C1105,Roster!$B:$B,0))="","",INDEX(Roster!$F:$F,MATCH($C1105,Roster!$B:$B,0))&amp;""),"—"))</f>
        <v/>
      </c>
      <c r="I1105" s="25">
        <f>IF($C1105="","",IFERROR(IF(INDEX(Roster!$G:$G,MATCH($C1105,Roster!$B:$B,0))="","",INDEX(Roster!$G:$G,MATCH($C1105,Roster!$B:$B,0))&amp;""),"—"))</f>
        <v/>
      </c>
      <c r="J1105" s="25">
        <f>IF($C1105="","",IFERROR(IF(INDEX(Roster!$I:$I,MATCH($C1105,Roster!$B:$B,0))="","",INDEX(Roster!$I:$I,MATCH($C1105,Roster!$B:$B,0))&amp;""),"—"))</f>
        <v/>
      </c>
      <c r="K1105">
        <f>IF($C1105="","",IFERROR(IF(INDEX(Roster!$J:$J,MATCH($C1105,Roster!$B:$B,0))="","",INDEX(Roster!$J:$J,MATCH($C1105,Roster!$B:$B,0))&amp;""),"—"))</f>
        <v/>
      </c>
      <c r="L1105">
        <f>IF($C1105="","",IFERROR(IF(INDEX(Roster!$K:$K,MATCH($C1105,Roster!$B:$B,0))="","",INDEX(Roster!$K:$K,MATCH($C1105,Roster!$B:$B,0))&amp;""),"—"))</f>
        <v/>
      </c>
      <c r="M1105" s="27" t="n"/>
      <c r="N1105" s="27" t="n"/>
      <c r="O1105" s="25">
        <f>IF($C1105="","",IF($P1105="","—",IF($P1105="Valid (Pass)","Valid","Invalid")))</f>
        <v/>
      </c>
      <c r="P1105" s="27" t="n"/>
      <c r="Q1105" s="27" t="n"/>
      <c r="R1105" s="27" t="n"/>
      <c r="S1105" s="27" t="n"/>
      <c r="T1105" s="25">
        <f>IF($C1105="","",IF(OR(ISNUMBER(SEARCH("quick case",$P1105)),ISNUMBER(SEARCH("quick case",$Q1105))),"Yes","No"))</f>
        <v/>
      </c>
      <c r="U1105" s="25">
        <f>IF($O1105="Invalid",HYPERLINK("mailto:"&amp;$G1105&amp;";"&amp;$I1105&amp;"?cc="&amp;Lists!$E$2&amp;"&amp;subject="&amp;_xlfn.ENCODEURL("[INVALID] Quality audit monitoring completed for "&amp;UPPER($C1105))&amp;"&amp;body="&amp;_xlfn.ENCODEURL("Hi "&amp;$F1105&amp;","&amp;CHAR(10)&amp;"Good day!"&amp;CHAR(10)&amp;CHAR(10)&amp;"A quality monitoring audit has been completed for "&amp;$C1105&amp;"."&amp;CHAR(10)&amp;CHAR(10)&amp;"QUALITY AUDIT DETAILS"&amp;CHAR(10)&amp;"Agent Name: "&amp;$C1105&amp;" (EID "&amp;$D1105&amp;")"&amp;CHAR(10)&amp;"Audit Date: "&amp;TEXT($B1105,"yyyy-mm-dd")&amp;CHAR(10)&amp;"Team Leader: "&amp;$F1105&amp;CHAR(10)&amp;"Case Number: "&amp;$M1105&amp;CHAR(10)&amp;"Transaction ID: "&amp;$N1105&amp;CHAR(10)&amp;"Channel / LOB: "&amp;$K1105&amp;" / "&amp;$L1105&amp;CHAR(10)&amp;"Evaluator: "&amp;$S1105&amp;CHAR(10)&amp;CHAR(10)&amp;"INVALID QUALITY AUDIT DETAILS"&amp;CHAR(10)&amp;"Validation: Invalid"&amp;CHAR(10)&amp;"Invalid Reason: "&amp;$P1105&amp;CHAR(10)&amp;"Expected Resolution Code: "&amp;$Q1105&amp;CHAR(10)&amp;"Remarks: "&amp;LEFT($R1105,600)&amp;CHAR(10)&amp;CHAR(10)&amp;"This is an automated notification from HP Mainstream EQMS."),"✉ Open Email Draft"),"")</f>
        <v/>
      </c>
    </row>
    <row r="1106">
      <c r="A1106" s="25">
        <f>IF($C1106="","","AUD-2026-"&amp;TEXT(ROW()-1,"000000"))</f>
        <v/>
      </c>
      <c r="B1106" s="26" t="n"/>
      <c r="C1106" s="27" t="n"/>
      <c r="D1106" s="25">
        <f>IF($C1106="","",IFERROR(IF(INDEX(Roster!$A:$A,MATCH($C1106,Roster!$B:$B,0))="","",INDEX(Roster!$A:$A,MATCH($C1106,Roster!$B:$B,0))&amp;""),"—"))</f>
        <v/>
      </c>
      <c r="E1106" s="25">
        <f>IF($C1106="","",IFERROR(IF(INDEX(Roster!$C:$C,MATCH($C1106,Roster!$B:$B,0))="","",INDEX(Roster!$C:$C,MATCH($C1106,Roster!$B:$B,0))&amp;""),"—"))</f>
        <v/>
      </c>
      <c r="F1106" s="25">
        <f>IF($C1106="","",IFERROR(IF(INDEX(Roster!$D:$D,MATCH($C1106,Roster!$B:$B,0))="","",INDEX(Roster!$D:$D,MATCH($C1106,Roster!$B:$B,0))&amp;""),"—"))</f>
        <v/>
      </c>
      <c r="G1106" s="25">
        <f>IF($C1106="","",IFERROR(IF(INDEX(Roster!$E:$E,MATCH($C1106,Roster!$B:$B,0))="","",INDEX(Roster!$E:$E,MATCH($C1106,Roster!$B:$B,0))&amp;""),"—"))</f>
        <v/>
      </c>
      <c r="H1106" s="25">
        <f>IF($C1106="","",IFERROR(IF(INDEX(Roster!$F:$F,MATCH($C1106,Roster!$B:$B,0))="","",INDEX(Roster!$F:$F,MATCH($C1106,Roster!$B:$B,0))&amp;""),"—"))</f>
        <v/>
      </c>
      <c r="I1106" s="25">
        <f>IF($C1106="","",IFERROR(IF(INDEX(Roster!$G:$G,MATCH($C1106,Roster!$B:$B,0))="","",INDEX(Roster!$G:$G,MATCH($C1106,Roster!$B:$B,0))&amp;""),"—"))</f>
        <v/>
      </c>
      <c r="J1106" s="25">
        <f>IF($C1106="","",IFERROR(IF(INDEX(Roster!$I:$I,MATCH($C1106,Roster!$B:$B,0))="","",INDEX(Roster!$I:$I,MATCH($C1106,Roster!$B:$B,0))&amp;""),"—"))</f>
        <v/>
      </c>
      <c r="K1106">
        <f>IF($C1106="","",IFERROR(IF(INDEX(Roster!$J:$J,MATCH($C1106,Roster!$B:$B,0))="","",INDEX(Roster!$J:$J,MATCH($C1106,Roster!$B:$B,0))&amp;""),"—"))</f>
        <v/>
      </c>
      <c r="L1106">
        <f>IF($C1106="","",IFERROR(IF(INDEX(Roster!$K:$K,MATCH($C1106,Roster!$B:$B,0))="","",INDEX(Roster!$K:$K,MATCH($C1106,Roster!$B:$B,0))&amp;""),"—"))</f>
        <v/>
      </c>
      <c r="M1106" s="27" t="n"/>
      <c r="N1106" s="27" t="n"/>
      <c r="O1106" s="25">
        <f>IF($C1106="","",IF($P1106="","—",IF($P1106="Valid (Pass)","Valid","Invalid")))</f>
        <v/>
      </c>
      <c r="P1106" s="27" t="n"/>
      <c r="Q1106" s="27" t="n"/>
      <c r="R1106" s="27" t="n"/>
      <c r="S1106" s="27" t="n"/>
      <c r="T1106" s="25">
        <f>IF($C1106="","",IF(OR(ISNUMBER(SEARCH("quick case",$P1106)),ISNUMBER(SEARCH("quick case",$Q1106))),"Yes","No"))</f>
        <v/>
      </c>
      <c r="U1106" s="25">
        <f>IF($O1106="Invalid",HYPERLINK("mailto:"&amp;$G1106&amp;";"&amp;$I1106&amp;"?cc="&amp;Lists!$E$2&amp;"&amp;subject="&amp;_xlfn.ENCODEURL("[INVALID] Quality audit monitoring completed for "&amp;UPPER($C1106))&amp;"&amp;body="&amp;_xlfn.ENCODEURL("Hi "&amp;$F1106&amp;","&amp;CHAR(10)&amp;"Good day!"&amp;CHAR(10)&amp;CHAR(10)&amp;"A quality monitoring audit has been completed for "&amp;$C1106&amp;"."&amp;CHAR(10)&amp;CHAR(10)&amp;"QUALITY AUDIT DETAILS"&amp;CHAR(10)&amp;"Agent Name: "&amp;$C1106&amp;" (EID "&amp;$D1106&amp;")"&amp;CHAR(10)&amp;"Audit Date: "&amp;TEXT($B1106,"yyyy-mm-dd")&amp;CHAR(10)&amp;"Team Leader: "&amp;$F1106&amp;CHAR(10)&amp;"Case Number: "&amp;$M1106&amp;CHAR(10)&amp;"Transaction ID: "&amp;$N1106&amp;CHAR(10)&amp;"Channel / LOB: "&amp;$K1106&amp;" / "&amp;$L1106&amp;CHAR(10)&amp;"Evaluator: "&amp;$S1106&amp;CHAR(10)&amp;CHAR(10)&amp;"INVALID QUALITY AUDIT DETAILS"&amp;CHAR(10)&amp;"Validation: Invalid"&amp;CHAR(10)&amp;"Invalid Reason: "&amp;$P1106&amp;CHAR(10)&amp;"Expected Resolution Code: "&amp;$Q1106&amp;CHAR(10)&amp;"Remarks: "&amp;LEFT($R1106,600)&amp;CHAR(10)&amp;CHAR(10)&amp;"This is an automated notification from HP Mainstream EQMS."),"✉ Open Email Draft"),"")</f>
        <v/>
      </c>
    </row>
    <row r="1107">
      <c r="A1107" s="25">
        <f>IF($C1107="","","AUD-2026-"&amp;TEXT(ROW()-1,"000000"))</f>
        <v/>
      </c>
      <c r="B1107" s="26" t="n"/>
      <c r="C1107" s="27" t="n"/>
      <c r="D1107" s="25">
        <f>IF($C1107="","",IFERROR(IF(INDEX(Roster!$A:$A,MATCH($C1107,Roster!$B:$B,0))="","",INDEX(Roster!$A:$A,MATCH($C1107,Roster!$B:$B,0))&amp;""),"—"))</f>
        <v/>
      </c>
      <c r="E1107" s="25">
        <f>IF($C1107="","",IFERROR(IF(INDEX(Roster!$C:$C,MATCH($C1107,Roster!$B:$B,0))="","",INDEX(Roster!$C:$C,MATCH($C1107,Roster!$B:$B,0))&amp;""),"—"))</f>
        <v/>
      </c>
      <c r="F1107" s="25">
        <f>IF($C1107="","",IFERROR(IF(INDEX(Roster!$D:$D,MATCH($C1107,Roster!$B:$B,0))="","",INDEX(Roster!$D:$D,MATCH($C1107,Roster!$B:$B,0))&amp;""),"—"))</f>
        <v/>
      </c>
      <c r="G1107" s="25">
        <f>IF($C1107="","",IFERROR(IF(INDEX(Roster!$E:$E,MATCH($C1107,Roster!$B:$B,0))="","",INDEX(Roster!$E:$E,MATCH($C1107,Roster!$B:$B,0))&amp;""),"—"))</f>
        <v/>
      </c>
      <c r="H1107" s="25">
        <f>IF($C1107="","",IFERROR(IF(INDEX(Roster!$F:$F,MATCH($C1107,Roster!$B:$B,0))="","",INDEX(Roster!$F:$F,MATCH($C1107,Roster!$B:$B,0))&amp;""),"—"))</f>
        <v/>
      </c>
      <c r="I1107" s="25">
        <f>IF($C1107="","",IFERROR(IF(INDEX(Roster!$G:$G,MATCH($C1107,Roster!$B:$B,0))="","",INDEX(Roster!$G:$G,MATCH($C1107,Roster!$B:$B,0))&amp;""),"—"))</f>
        <v/>
      </c>
      <c r="J1107" s="25">
        <f>IF($C1107="","",IFERROR(IF(INDEX(Roster!$I:$I,MATCH($C1107,Roster!$B:$B,0))="","",INDEX(Roster!$I:$I,MATCH($C1107,Roster!$B:$B,0))&amp;""),"—"))</f>
        <v/>
      </c>
      <c r="K1107">
        <f>IF($C1107="","",IFERROR(IF(INDEX(Roster!$J:$J,MATCH($C1107,Roster!$B:$B,0))="","",INDEX(Roster!$J:$J,MATCH($C1107,Roster!$B:$B,0))&amp;""),"—"))</f>
        <v/>
      </c>
      <c r="L1107">
        <f>IF($C1107="","",IFERROR(IF(INDEX(Roster!$K:$K,MATCH($C1107,Roster!$B:$B,0))="","",INDEX(Roster!$K:$K,MATCH($C1107,Roster!$B:$B,0))&amp;""),"—"))</f>
        <v/>
      </c>
      <c r="M1107" s="27" t="n"/>
      <c r="N1107" s="27" t="n"/>
      <c r="O1107" s="25">
        <f>IF($C1107="","",IF($P1107="","—",IF($P1107="Valid (Pass)","Valid","Invalid")))</f>
        <v/>
      </c>
      <c r="P1107" s="27" t="n"/>
      <c r="Q1107" s="27" t="n"/>
      <c r="R1107" s="27" t="n"/>
      <c r="S1107" s="27" t="n"/>
      <c r="T1107" s="25">
        <f>IF($C1107="","",IF(OR(ISNUMBER(SEARCH("quick case",$P1107)),ISNUMBER(SEARCH("quick case",$Q1107))),"Yes","No"))</f>
        <v/>
      </c>
      <c r="U1107" s="25">
        <f>IF($O1107="Invalid",HYPERLINK("mailto:"&amp;$G1107&amp;";"&amp;$I1107&amp;"?cc="&amp;Lists!$E$2&amp;"&amp;subject="&amp;_xlfn.ENCODEURL("[INVALID] Quality audit monitoring completed for "&amp;UPPER($C1107))&amp;"&amp;body="&amp;_xlfn.ENCODEURL("Hi "&amp;$F1107&amp;","&amp;CHAR(10)&amp;"Good day!"&amp;CHAR(10)&amp;CHAR(10)&amp;"A quality monitoring audit has been completed for "&amp;$C1107&amp;"."&amp;CHAR(10)&amp;CHAR(10)&amp;"QUALITY AUDIT DETAILS"&amp;CHAR(10)&amp;"Agent Name: "&amp;$C1107&amp;" (EID "&amp;$D1107&amp;")"&amp;CHAR(10)&amp;"Audit Date: "&amp;TEXT($B1107,"yyyy-mm-dd")&amp;CHAR(10)&amp;"Team Leader: "&amp;$F1107&amp;CHAR(10)&amp;"Case Number: "&amp;$M1107&amp;CHAR(10)&amp;"Transaction ID: "&amp;$N1107&amp;CHAR(10)&amp;"Channel / LOB: "&amp;$K1107&amp;" / "&amp;$L1107&amp;CHAR(10)&amp;"Evaluator: "&amp;$S1107&amp;CHAR(10)&amp;CHAR(10)&amp;"INVALID QUALITY AUDIT DETAILS"&amp;CHAR(10)&amp;"Validation: Invalid"&amp;CHAR(10)&amp;"Invalid Reason: "&amp;$P1107&amp;CHAR(10)&amp;"Expected Resolution Code: "&amp;$Q1107&amp;CHAR(10)&amp;"Remarks: "&amp;LEFT($R1107,600)&amp;CHAR(10)&amp;CHAR(10)&amp;"This is an automated notification from HP Mainstream EQMS."),"✉ Open Email Draft"),"")</f>
        <v/>
      </c>
    </row>
    <row r="1108">
      <c r="A1108" s="25">
        <f>IF($C1108="","","AUD-2026-"&amp;TEXT(ROW()-1,"000000"))</f>
        <v/>
      </c>
      <c r="B1108" s="26" t="n"/>
      <c r="C1108" s="27" t="n"/>
      <c r="D1108" s="25">
        <f>IF($C1108="","",IFERROR(IF(INDEX(Roster!$A:$A,MATCH($C1108,Roster!$B:$B,0))="","",INDEX(Roster!$A:$A,MATCH($C1108,Roster!$B:$B,0))&amp;""),"—"))</f>
        <v/>
      </c>
      <c r="E1108" s="25">
        <f>IF($C1108="","",IFERROR(IF(INDEX(Roster!$C:$C,MATCH($C1108,Roster!$B:$B,0))="","",INDEX(Roster!$C:$C,MATCH($C1108,Roster!$B:$B,0))&amp;""),"—"))</f>
        <v/>
      </c>
      <c r="F1108" s="25">
        <f>IF($C1108="","",IFERROR(IF(INDEX(Roster!$D:$D,MATCH($C1108,Roster!$B:$B,0))="","",INDEX(Roster!$D:$D,MATCH($C1108,Roster!$B:$B,0))&amp;""),"—"))</f>
        <v/>
      </c>
      <c r="G1108" s="25">
        <f>IF($C1108="","",IFERROR(IF(INDEX(Roster!$E:$E,MATCH($C1108,Roster!$B:$B,0))="","",INDEX(Roster!$E:$E,MATCH($C1108,Roster!$B:$B,0))&amp;""),"—"))</f>
        <v/>
      </c>
      <c r="H1108" s="25">
        <f>IF($C1108="","",IFERROR(IF(INDEX(Roster!$F:$F,MATCH($C1108,Roster!$B:$B,0))="","",INDEX(Roster!$F:$F,MATCH($C1108,Roster!$B:$B,0))&amp;""),"—"))</f>
        <v/>
      </c>
      <c r="I1108" s="25">
        <f>IF($C1108="","",IFERROR(IF(INDEX(Roster!$G:$G,MATCH($C1108,Roster!$B:$B,0))="","",INDEX(Roster!$G:$G,MATCH($C1108,Roster!$B:$B,0))&amp;""),"—"))</f>
        <v/>
      </c>
      <c r="J1108" s="25">
        <f>IF($C1108="","",IFERROR(IF(INDEX(Roster!$I:$I,MATCH($C1108,Roster!$B:$B,0))="","",INDEX(Roster!$I:$I,MATCH($C1108,Roster!$B:$B,0))&amp;""),"—"))</f>
        <v/>
      </c>
      <c r="K1108">
        <f>IF($C1108="","",IFERROR(IF(INDEX(Roster!$J:$J,MATCH($C1108,Roster!$B:$B,0))="","",INDEX(Roster!$J:$J,MATCH($C1108,Roster!$B:$B,0))&amp;""),"—"))</f>
        <v/>
      </c>
      <c r="L1108">
        <f>IF($C1108="","",IFERROR(IF(INDEX(Roster!$K:$K,MATCH($C1108,Roster!$B:$B,0))="","",INDEX(Roster!$K:$K,MATCH($C1108,Roster!$B:$B,0))&amp;""),"—"))</f>
        <v/>
      </c>
      <c r="M1108" s="27" t="n"/>
      <c r="N1108" s="27" t="n"/>
      <c r="O1108" s="25">
        <f>IF($C1108="","",IF($P1108="","—",IF($P1108="Valid (Pass)","Valid","Invalid")))</f>
        <v/>
      </c>
      <c r="P1108" s="27" t="n"/>
      <c r="Q1108" s="27" t="n"/>
      <c r="R1108" s="27" t="n"/>
      <c r="S1108" s="27" t="n"/>
      <c r="T1108" s="25">
        <f>IF($C1108="","",IF(OR(ISNUMBER(SEARCH("quick case",$P1108)),ISNUMBER(SEARCH("quick case",$Q1108))),"Yes","No"))</f>
        <v/>
      </c>
      <c r="U1108" s="25">
        <f>IF($O1108="Invalid",HYPERLINK("mailto:"&amp;$G1108&amp;";"&amp;$I1108&amp;"?cc="&amp;Lists!$E$2&amp;"&amp;subject="&amp;_xlfn.ENCODEURL("[INVALID] Quality audit monitoring completed for "&amp;UPPER($C1108))&amp;"&amp;body="&amp;_xlfn.ENCODEURL("Hi "&amp;$F1108&amp;","&amp;CHAR(10)&amp;"Good day!"&amp;CHAR(10)&amp;CHAR(10)&amp;"A quality monitoring audit has been completed for "&amp;$C1108&amp;"."&amp;CHAR(10)&amp;CHAR(10)&amp;"QUALITY AUDIT DETAILS"&amp;CHAR(10)&amp;"Agent Name: "&amp;$C1108&amp;" (EID "&amp;$D1108&amp;")"&amp;CHAR(10)&amp;"Audit Date: "&amp;TEXT($B1108,"yyyy-mm-dd")&amp;CHAR(10)&amp;"Team Leader: "&amp;$F1108&amp;CHAR(10)&amp;"Case Number: "&amp;$M1108&amp;CHAR(10)&amp;"Transaction ID: "&amp;$N1108&amp;CHAR(10)&amp;"Channel / LOB: "&amp;$K1108&amp;" / "&amp;$L1108&amp;CHAR(10)&amp;"Evaluator: "&amp;$S1108&amp;CHAR(10)&amp;CHAR(10)&amp;"INVALID QUALITY AUDIT DETAILS"&amp;CHAR(10)&amp;"Validation: Invalid"&amp;CHAR(10)&amp;"Invalid Reason: "&amp;$P1108&amp;CHAR(10)&amp;"Expected Resolution Code: "&amp;$Q1108&amp;CHAR(10)&amp;"Remarks: "&amp;LEFT($R1108,600)&amp;CHAR(10)&amp;CHAR(10)&amp;"This is an automated notification from HP Mainstream EQMS."),"✉ Open Email Draft"),"")</f>
        <v/>
      </c>
    </row>
    <row r="1109">
      <c r="A1109" s="25">
        <f>IF($C1109="","","AUD-2026-"&amp;TEXT(ROW()-1,"000000"))</f>
        <v/>
      </c>
      <c r="B1109" s="26" t="n"/>
      <c r="C1109" s="27" t="n"/>
      <c r="D1109" s="25">
        <f>IF($C1109="","",IFERROR(IF(INDEX(Roster!$A:$A,MATCH($C1109,Roster!$B:$B,0))="","",INDEX(Roster!$A:$A,MATCH($C1109,Roster!$B:$B,0))&amp;""),"—"))</f>
        <v/>
      </c>
      <c r="E1109" s="25">
        <f>IF($C1109="","",IFERROR(IF(INDEX(Roster!$C:$C,MATCH($C1109,Roster!$B:$B,0))="","",INDEX(Roster!$C:$C,MATCH($C1109,Roster!$B:$B,0))&amp;""),"—"))</f>
        <v/>
      </c>
      <c r="F1109" s="25">
        <f>IF($C1109="","",IFERROR(IF(INDEX(Roster!$D:$D,MATCH($C1109,Roster!$B:$B,0))="","",INDEX(Roster!$D:$D,MATCH($C1109,Roster!$B:$B,0))&amp;""),"—"))</f>
        <v/>
      </c>
      <c r="G1109" s="25">
        <f>IF($C1109="","",IFERROR(IF(INDEX(Roster!$E:$E,MATCH($C1109,Roster!$B:$B,0))="","",INDEX(Roster!$E:$E,MATCH($C1109,Roster!$B:$B,0))&amp;""),"—"))</f>
        <v/>
      </c>
      <c r="H1109" s="25">
        <f>IF($C1109="","",IFERROR(IF(INDEX(Roster!$F:$F,MATCH($C1109,Roster!$B:$B,0))="","",INDEX(Roster!$F:$F,MATCH($C1109,Roster!$B:$B,0))&amp;""),"—"))</f>
        <v/>
      </c>
      <c r="I1109" s="25">
        <f>IF($C1109="","",IFERROR(IF(INDEX(Roster!$G:$G,MATCH($C1109,Roster!$B:$B,0))="","",INDEX(Roster!$G:$G,MATCH($C1109,Roster!$B:$B,0))&amp;""),"—"))</f>
        <v/>
      </c>
      <c r="J1109" s="25">
        <f>IF($C1109="","",IFERROR(IF(INDEX(Roster!$I:$I,MATCH($C1109,Roster!$B:$B,0))="","",INDEX(Roster!$I:$I,MATCH($C1109,Roster!$B:$B,0))&amp;""),"—"))</f>
        <v/>
      </c>
      <c r="K1109">
        <f>IF($C1109="","",IFERROR(IF(INDEX(Roster!$J:$J,MATCH($C1109,Roster!$B:$B,0))="","",INDEX(Roster!$J:$J,MATCH($C1109,Roster!$B:$B,0))&amp;""),"—"))</f>
        <v/>
      </c>
      <c r="L1109">
        <f>IF($C1109="","",IFERROR(IF(INDEX(Roster!$K:$K,MATCH($C1109,Roster!$B:$B,0))="","",INDEX(Roster!$K:$K,MATCH($C1109,Roster!$B:$B,0))&amp;""),"—"))</f>
        <v/>
      </c>
      <c r="M1109" s="27" t="n"/>
      <c r="N1109" s="27" t="n"/>
      <c r="O1109" s="25">
        <f>IF($C1109="","",IF($P1109="","—",IF($P1109="Valid (Pass)","Valid","Invalid")))</f>
        <v/>
      </c>
      <c r="P1109" s="27" t="n"/>
      <c r="Q1109" s="27" t="n"/>
      <c r="R1109" s="27" t="n"/>
      <c r="S1109" s="27" t="n"/>
      <c r="T1109" s="25">
        <f>IF($C1109="","",IF(OR(ISNUMBER(SEARCH("quick case",$P1109)),ISNUMBER(SEARCH("quick case",$Q1109))),"Yes","No"))</f>
        <v/>
      </c>
      <c r="U1109" s="25">
        <f>IF($O1109="Invalid",HYPERLINK("mailto:"&amp;$G1109&amp;";"&amp;$I1109&amp;"?cc="&amp;Lists!$E$2&amp;"&amp;subject="&amp;_xlfn.ENCODEURL("[INVALID] Quality audit monitoring completed for "&amp;UPPER($C1109))&amp;"&amp;body="&amp;_xlfn.ENCODEURL("Hi "&amp;$F1109&amp;","&amp;CHAR(10)&amp;"Good day!"&amp;CHAR(10)&amp;CHAR(10)&amp;"A quality monitoring audit has been completed for "&amp;$C1109&amp;"."&amp;CHAR(10)&amp;CHAR(10)&amp;"QUALITY AUDIT DETAILS"&amp;CHAR(10)&amp;"Agent Name: "&amp;$C1109&amp;" (EID "&amp;$D1109&amp;")"&amp;CHAR(10)&amp;"Audit Date: "&amp;TEXT($B1109,"yyyy-mm-dd")&amp;CHAR(10)&amp;"Team Leader: "&amp;$F1109&amp;CHAR(10)&amp;"Case Number: "&amp;$M1109&amp;CHAR(10)&amp;"Transaction ID: "&amp;$N1109&amp;CHAR(10)&amp;"Channel / LOB: "&amp;$K1109&amp;" / "&amp;$L1109&amp;CHAR(10)&amp;"Evaluator: "&amp;$S1109&amp;CHAR(10)&amp;CHAR(10)&amp;"INVALID QUALITY AUDIT DETAILS"&amp;CHAR(10)&amp;"Validation: Invalid"&amp;CHAR(10)&amp;"Invalid Reason: "&amp;$P1109&amp;CHAR(10)&amp;"Expected Resolution Code: "&amp;$Q1109&amp;CHAR(10)&amp;"Remarks: "&amp;LEFT($R1109,600)&amp;CHAR(10)&amp;CHAR(10)&amp;"This is an automated notification from HP Mainstream EQMS."),"✉ Open Email Draft"),"")</f>
        <v/>
      </c>
    </row>
    <row r="1110">
      <c r="A1110" s="25">
        <f>IF($C1110="","","AUD-2026-"&amp;TEXT(ROW()-1,"000000"))</f>
        <v/>
      </c>
      <c r="B1110" s="26" t="n"/>
      <c r="C1110" s="27" t="n"/>
      <c r="D1110" s="25">
        <f>IF($C1110="","",IFERROR(IF(INDEX(Roster!$A:$A,MATCH($C1110,Roster!$B:$B,0))="","",INDEX(Roster!$A:$A,MATCH($C1110,Roster!$B:$B,0))&amp;""),"—"))</f>
        <v/>
      </c>
      <c r="E1110" s="25">
        <f>IF($C1110="","",IFERROR(IF(INDEX(Roster!$C:$C,MATCH($C1110,Roster!$B:$B,0))="","",INDEX(Roster!$C:$C,MATCH($C1110,Roster!$B:$B,0))&amp;""),"—"))</f>
        <v/>
      </c>
      <c r="F1110" s="25">
        <f>IF($C1110="","",IFERROR(IF(INDEX(Roster!$D:$D,MATCH($C1110,Roster!$B:$B,0))="","",INDEX(Roster!$D:$D,MATCH($C1110,Roster!$B:$B,0))&amp;""),"—"))</f>
        <v/>
      </c>
      <c r="G1110" s="25">
        <f>IF($C1110="","",IFERROR(IF(INDEX(Roster!$E:$E,MATCH($C1110,Roster!$B:$B,0))="","",INDEX(Roster!$E:$E,MATCH($C1110,Roster!$B:$B,0))&amp;""),"—"))</f>
        <v/>
      </c>
      <c r="H1110" s="25">
        <f>IF($C1110="","",IFERROR(IF(INDEX(Roster!$F:$F,MATCH($C1110,Roster!$B:$B,0))="","",INDEX(Roster!$F:$F,MATCH($C1110,Roster!$B:$B,0))&amp;""),"—"))</f>
        <v/>
      </c>
      <c r="I1110" s="25">
        <f>IF($C1110="","",IFERROR(IF(INDEX(Roster!$G:$G,MATCH($C1110,Roster!$B:$B,0))="","",INDEX(Roster!$G:$G,MATCH($C1110,Roster!$B:$B,0))&amp;""),"—"))</f>
        <v/>
      </c>
      <c r="J1110" s="25">
        <f>IF($C1110="","",IFERROR(IF(INDEX(Roster!$I:$I,MATCH($C1110,Roster!$B:$B,0))="","",INDEX(Roster!$I:$I,MATCH($C1110,Roster!$B:$B,0))&amp;""),"—"))</f>
        <v/>
      </c>
      <c r="K1110">
        <f>IF($C1110="","",IFERROR(IF(INDEX(Roster!$J:$J,MATCH($C1110,Roster!$B:$B,0))="","",INDEX(Roster!$J:$J,MATCH($C1110,Roster!$B:$B,0))&amp;""),"—"))</f>
        <v/>
      </c>
      <c r="L1110">
        <f>IF($C1110="","",IFERROR(IF(INDEX(Roster!$K:$K,MATCH($C1110,Roster!$B:$B,0))="","",INDEX(Roster!$K:$K,MATCH($C1110,Roster!$B:$B,0))&amp;""),"—"))</f>
        <v/>
      </c>
      <c r="M1110" s="27" t="n"/>
      <c r="N1110" s="27" t="n"/>
      <c r="O1110" s="25">
        <f>IF($C1110="","",IF($P1110="","—",IF($P1110="Valid (Pass)","Valid","Invalid")))</f>
        <v/>
      </c>
      <c r="P1110" s="27" t="n"/>
      <c r="Q1110" s="27" t="n"/>
      <c r="R1110" s="27" t="n"/>
      <c r="S1110" s="27" t="n"/>
      <c r="T1110" s="25">
        <f>IF($C1110="","",IF(OR(ISNUMBER(SEARCH("quick case",$P1110)),ISNUMBER(SEARCH("quick case",$Q1110))),"Yes","No"))</f>
        <v/>
      </c>
      <c r="U1110" s="25">
        <f>IF($O1110="Invalid",HYPERLINK("mailto:"&amp;$G1110&amp;";"&amp;$I1110&amp;"?cc="&amp;Lists!$E$2&amp;"&amp;subject="&amp;_xlfn.ENCODEURL("[INVALID] Quality audit monitoring completed for "&amp;UPPER($C1110))&amp;"&amp;body="&amp;_xlfn.ENCODEURL("Hi "&amp;$F1110&amp;","&amp;CHAR(10)&amp;"Good day!"&amp;CHAR(10)&amp;CHAR(10)&amp;"A quality monitoring audit has been completed for "&amp;$C1110&amp;"."&amp;CHAR(10)&amp;CHAR(10)&amp;"QUALITY AUDIT DETAILS"&amp;CHAR(10)&amp;"Agent Name: "&amp;$C1110&amp;" (EID "&amp;$D1110&amp;")"&amp;CHAR(10)&amp;"Audit Date: "&amp;TEXT($B1110,"yyyy-mm-dd")&amp;CHAR(10)&amp;"Team Leader: "&amp;$F1110&amp;CHAR(10)&amp;"Case Number: "&amp;$M1110&amp;CHAR(10)&amp;"Transaction ID: "&amp;$N1110&amp;CHAR(10)&amp;"Channel / LOB: "&amp;$K1110&amp;" / "&amp;$L1110&amp;CHAR(10)&amp;"Evaluator: "&amp;$S1110&amp;CHAR(10)&amp;CHAR(10)&amp;"INVALID QUALITY AUDIT DETAILS"&amp;CHAR(10)&amp;"Validation: Invalid"&amp;CHAR(10)&amp;"Invalid Reason: "&amp;$P1110&amp;CHAR(10)&amp;"Expected Resolution Code: "&amp;$Q1110&amp;CHAR(10)&amp;"Remarks: "&amp;LEFT($R1110,600)&amp;CHAR(10)&amp;CHAR(10)&amp;"This is an automated notification from HP Mainstream EQMS."),"✉ Open Email Draft"),"")</f>
        <v/>
      </c>
    </row>
    <row r="1111">
      <c r="A1111" s="25">
        <f>IF($C1111="","","AUD-2026-"&amp;TEXT(ROW()-1,"000000"))</f>
        <v/>
      </c>
      <c r="B1111" s="26" t="n"/>
      <c r="C1111" s="27" t="n"/>
      <c r="D1111" s="25">
        <f>IF($C1111="","",IFERROR(IF(INDEX(Roster!$A:$A,MATCH($C1111,Roster!$B:$B,0))="","",INDEX(Roster!$A:$A,MATCH($C1111,Roster!$B:$B,0))&amp;""),"—"))</f>
        <v/>
      </c>
      <c r="E1111" s="25">
        <f>IF($C1111="","",IFERROR(IF(INDEX(Roster!$C:$C,MATCH($C1111,Roster!$B:$B,0))="","",INDEX(Roster!$C:$C,MATCH($C1111,Roster!$B:$B,0))&amp;""),"—"))</f>
        <v/>
      </c>
      <c r="F1111" s="25">
        <f>IF($C1111="","",IFERROR(IF(INDEX(Roster!$D:$D,MATCH($C1111,Roster!$B:$B,0))="","",INDEX(Roster!$D:$D,MATCH($C1111,Roster!$B:$B,0))&amp;""),"—"))</f>
        <v/>
      </c>
      <c r="G1111" s="25">
        <f>IF($C1111="","",IFERROR(IF(INDEX(Roster!$E:$E,MATCH($C1111,Roster!$B:$B,0))="","",INDEX(Roster!$E:$E,MATCH($C1111,Roster!$B:$B,0))&amp;""),"—"))</f>
        <v/>
      </c>
      <c r="H1111" s="25">
        <f>IF($C1111="","",IFERROR(IF(INDEX(Roster!$F:$F,MATCH($C1111,Roster!$B:$B,0))="","",INDEX(Roster!$F:$F,MATCH($C1111,Roster!$B:$B,0))&amp;""),"—"))</f>
        <v/>
      </c>
      <c r="I1111" s="25">
        <f>IF($C1111="","",IFERROR(IF(INDEX(Roster!$G:$G,MATCH($C1111,Roster!$B:$B,0))="","",INDEX(Roster!$G:$G,MATCH($C1111,Roster!$B:$B,0))&amp;""),"—"))</f>
        <v/>
      </c>
      <c r="J1111" s="25">
        <f>IF($C1111="","",IFERROR(IF(INDEX(Roster!$I:$I,MATCH($C1111,Roster!$B:$B,0))="","",INDEX(Roster!$I:$I,MATCH($C1111,Roster!$B:$B,0))&amp;""),"—"))</f>
        <v/>
      </c>
      <c r="K1111">
        <f>IF($C1111="","",IFERROR(IF(INDEX(Roster!$J:$J,MATCH($C1111,Roster!$B:$B,0))="","",INDEX(Roster!$J:$J,MATCH($C1111,Roster!$B:$B,0))&amp;""),"—"))</f>
        <v/>
      </c>
      <c r="L1111">
        <f>IF($C1111="","",IFERROR(IF(INDEX(Roster!$K:$K,MATCH($C1111,Roster!$B:$B,0))="","",INDEX(Roster!$K:$K,MATCH($C1111,Roster!$B:$B,0))&amp;""),"—"))</f>
        <v/>
      </c>
      <c r="M1111" s="27" t="n"/>
      <c r="N1111" s="27" t="n"/>
      <c r="O1111" s="25">
        <f>IF($C1111="","",IF($P1111="","—",IF($P1111="Valid (Pass)","Valid","Invalid")))</f>
        <v/>
      </c>
      <c r="P1111" s="27" t="n"/>
      <c r="Q1111" s="27" t="n"/>
      <c r="R1111" s="27" t="n"/>
      <c r="S1111" s="27" t="n"/>
      <c r="T1111" s="25">
        <f>IF($C1111="","",IF(OR(ISNUMBER(SEARCH("quick case",$P1111)),ISNUMBER(SEARCH("quick case",$Q1111))),"Yes","No"))</f>
        <v/>
      </c>
      <c r="U1111" s="25">
        <f>IF($O1111="Invalid",HYPERLINK("mailto:"&amp;$G1111&amp;";"&amp;$I1111&amp;"?cc="&amp;Lists!$E$2&amp;"&amp;subject="&amp;_xlfn.ENCODEURL("[INVALID] Quality audit monitoring completed for "&amp;UPPER($C1111))&amp;"&amp;body="&amp;_xlfn.ENCODEURL("Hi "&amp;$F1111&amp;","&amp;CHAR(10)&amp;"Good day!"&amp;CHAR(10)&amp;CHAR(10)&amp;"A quality monitoring audit has been completed for "&amp;$C1111&amp;"."&amp;CHAR(10)&amp;CHAR(10)&amp;"QUALITY AUDIT DETAILS"&amp;CHAR(10)&amp;"Agent Name: "&amp;$C1111&amp;" (EID "&amp;$D1111&amp;")"&amp;CHAR(10)&amp;"Audit Date: "&amp;TEXT($B1111,"yyyy-mm-dd")&amp;CHAR(10)&amp;"Team Leader: "&amp;$F1111&amp;CHAR(10)&amp;"Case Number: "&amp;$M1111&amp;CHAR(10)&amp;"Transaction ID: "&amp;$N1111&amp;CHAR(10)&amp;"Channel / LOB: "&amp;$K1111&amp;" / "&amp;$L1111&amp;CHAR(10)&amp;"Evaluator: "&amp;$S1111&amp;CHAR(10)&amp;CHAR(10)&amp;"INVALID QUALITY AUDIT DETAILS"&amp;CHAR(10)&amp;"Validation: Invalid"&amp;CHAR(10)&amp;"Invalid Reason: "&amp;$P1111&amp;CHAR(10)&amp;"Expected Resolution Code: "&amp;$Q1111&amp;CHAR(10)&amp;"Remarks: "&amp;LEFT($R1111,600)&amp;CHAR(10)&amp;CHAR(10)&amp;"This is an automated notification from HP Mainstream EQMS."),"✉ Open Email Draft"),"")</f>
        <v/>
      </c>
    </row>
    <row r="1112">
      <c r="A1112" s="25">
        <f>IF($C1112="","","AUD-2026-"&amp;TEXT(ROW()-1,"000000"))</f>
        <v/>
      </c>
      <c r="B1112" s="26" t="n"/>
      <c r="C1112" s="27" t="n"/>
      <c r="D1112" s="25">
        <f>IF($C1112="","",IFERROR(IF(INDEX(Roster!$A:$A,MATCH($C1112,Roster!$B:$B,0))="","",INDEX(Roster!$A:$A,MATCH($C1112,Roster!$B:$B,0))&amp;""),"—"))</f>
        <v/>
      </c>
      <c r="E1112" s="25">
        <f>IF($C1112="","",IFERROR(IF(INDEX(Roster!$C:$C,MATCH($C1112,Roster!$B:$B,0))="","",INDEX(Roster!$C:$C,MATCH($C1112,Roster!$B:$B,0))&amp;""),"—"))</f>
        <v/>
      </c>
      <c r="F1112" s="25">
        <f>IF($C1112="","",IFERROR(IF(INDEX(Roster!$D:$D,MATCH($C1112,Roster!$B:$B,0))="","",INDEX(Roster!$D:$D,MATCH($C1112,Roster!$B:$B,0))&amp;""),"—"))</f>
        <v/>
      </c>
      <c r="G1112" s="25">
        <f>IF($C1112="","",IFERROR(IF(INDEX(Roster!$E:$E,MATCH($C1112,Roster!$B:$B,0))="","",INDEX(Roster!$E:$E,MATCH($C1112,Roster!$B:$B,0))&amp;""),"—"))</f>
        <v/>
      </c>
      <c r="H1112" s="25">
        <f>IF($C1112="","",IFERROR(IF(INDEX(Roster!$F:$F,MATCH($C1112,Roster!$B:$B,0))="","",INDEX(Roster!$F:$F,MATCH($C1112,Roster!$B:$B,0))&amp;""),"—"))</f>
        <v/>
      </c>
      <c r="I1112" s="25">
        <f>IF($C1112="","",IFERROR(IF(INDEX(Roster!$G:$G,MATCH($C1112,Roster!$B:$B,0))="","",INDEX(Roster!$G:$G,MATCH($C1112,Roster!$B:$B,0))&amp;""),"—"))</f>
        <v/>
      </c>
      <c r="J1112" s="25">
        <f>IF($C1112="","",IFERROR(IF(INDEX(Roster!$I:$I,MATCH($C1112,Roster!$B:$B,0))="","",INDEX(Roster!$I:$I,MATCH($C1112,Roster!$B:$B,0))&amp;""),"—"))</f>
        <v/>
      </c>
      <c r="K1112">
        <f>IF($C1112="","",IFERROR(IF(INDEX(Roster!$J:$J,MATCH($C1112,Roster!$B:$B,0))="","",INDEX(Roster!$J:$J,MATCH($C1112,Roster!$B:$B,0))&amp;""),"—"))</f>
        <v/>
      </c>
      <c r="L1112">
        <f>IF($C1112="","",IFERROR(IF(INDEX(Roster!$K:$K,MATCH($C1112,Roster!$B:$B,0))="","",INDEX(Roster!$K:$K,MATCH($C1112,Roster!$B:$B,0))&amp;""),"—"))</f>
        <v/>
      </c>
      <c r="M1112" s="27" t="n"/>
      <c r="N1112" s="27" t="n"/>
      <c r="O1112" s="25">
        <f>IF($C1112="","",IF($P1112="","—",IF($P1112="Valid (Pass)","Valid","Invalid")))</f>
        <v/>
      </c>
      <c r="P1112" s="27" t="n"/>
      <c r="Q1112" s="27" t="n"/>
      <c r="R1112" s="27" t="n"/>
      <c r="S1112" s="27" t="n"/>
      <c r="T1112" s="25">
        <f>IF($C1112="","",IF(OR(ISNUMBER(SEARCH("quick case",$P1112)),ISNUMBER(SEARCH("quick case",$Q1112))),"Yes","No"))</f>
        <v/>
      </c>
      <c r="U1112" s="25">
        <f>IF($O1112="Invalid",HYPERLINK("mailto:"&amp;$G1112&amp;";"&amp;$I1112&amp;"?cc="&amp;Lists!$E$2&amp;"&amp;subject="&amp;_xlfn.ENCODEURL("[INVALID] Quality audit monitoring completed for "&amp;UPPER($C1112))&amp;"&amp;body="&amp;_xlfn.ENCODEURL("Hi "&amp;$F1112&amp;","&amp;CHAR(10)&amp;"Good day!"&amp;CHAR(10)&amp;CHAR(10)&amp;"A quality monitoring audit has been completed for "&amp;$C1112&amp;"."&amp;CHAR(10)&amp;CHAR(10)&amp;"QUALITY AUDIT DETAILS"&amp;CHAR(10)&amp;"Agent Name: "&amp;$C1112&amp;" (EID "&amp;$D1112&amp;")"&amp;CHAR(10)&amp;"Audit Date: "&amp;TEXT($B1112,"yyyy-mm-dd")&amp;CHAR(10)&amp;"Team Leader: "&amp;$F1112&amp;CHAR(10)&amp;"Case Number: "&amp;$M1112&amp;CHAR(10)&amp;"Transaction ID: "&amp;$N1112&amp;CHAR(10)&amp;"Channel / LOB: "&amp;$K1112&amp;" / "&amp;$L1112&amp;CHAR(10)&amp;"Evaluator: "&amp;$S1112&amp;CHAR(10)&amp;CHAR(10)&amp;"INVALID QUALITY AUDIT DETAILS"&amp;CHAR(10)&amp;"Validation: Invalid"&amp;CHAR(10)&amp;"Invalid Reason: "&amp;$P1112&amp;CHAR(10)&amp;"Expected Resolution Code: "&amp;$Q1112&amp;CHAR(10)&amp;"Remarks: "&amp;LEFT($R1112,600)&amp;CHAR(10)&amp;CHAR(10)&amp;"This is an automated notification from HP Mainstream EQMS."),"✉ Open Email Draft"),"")</f>
        <v/>
      </c>
    </row>
    <row r="1113">
      <c r="A1113" s="25">
        <f>IF($C1113="","","AUD-2026-"&amp;TEXT(ROW()-1,"000000"))</f>
        <v/>
      </c>
      <c r="B1113" s="26" t="n"/>
      <c r="C1113" s="27" t="n"/>
      <c r="D1113" s="25">
        <f>IF($C1113="","",IFERROR(IF(INDEX(Roster!$A:$A,MATCH($C1113,Roster!$B:$B,0))="","",INDEX(Roster!$A:$A,MATCH($C1113,Roster!$B:$B,0))&amp;""),"—"))</f>
        <v/>
      </c>
      <c r="E1113" s="25">
        <f>IF($C1113="","",IFERROR(IF(INDEX(Roster!$C:$C,MATCH($C1113,Roster!$B:$B,0))="","",INDEX(Roster!$C:$C,MATCH($C1113,Roster!$B:$B,0))&amp;""),"—"))</f>
        <v/>
      </c>
      <c r="F1113" s="25">
        <f>IF($C1113="","",IFERROR(IF(INDEX(Roster!$D:$D,MATCH($C1113,Roster!$B:$B,0))="","",INDEX(Roster!$D:$D,MATCH($C1113,Roster!$B:$B,0))&amp;""),"—"))</f>
        <v/>
      </c>
      <c r="G1113" s="25">
        <f>IF($C1113="","",IFERROR(IF(INDEX(Roster!$E:$E,MATCH($C1113,Roster!$B:$B,0))="","",INDEX(Roster!$E:$E,MATCH($C1113,Roster!$B:$B,0))&amp;""),"—"))</f>
        <v/>
      </c>
      <c r="H1113" s="25">
        <f>IF($C1113="","",IFERROR(IF(INDEX(Roster!$F:$F,MATCH($C1113,Roster!$B:$B,0))="","",INDEX(Roster!$F:$F,MATCH($C1113,Roster!$B:$B,0))&amp;""),"—"))</f>
        <v/>
      </c>
      <c r="I1113" s="25">
        <f>IF($C1113="","",IFERROR(IF(INDEX(Roster!$G:$G,MATCH($C1113,Roster!$B:$B,0))="","",INDEX(Roster!$G:$G,MATCH($C1113,Roster!$B:$B,0))&amp;""),"—"))</f>
        <v/>
      </c>
      <c r="J1113" s="25">
        <f>IF($C1113="","",IFERROR(IF(INDEX(Roster!$I:$I,MATCH($C1113,Roster!$B:$B,0))="","",INDEX(Roster!$I:$I,MATCH($C1113,Roster!$B:$B,0))&amp;""),"—"))</f>
        <v/>
      </c>
      <c r="K1113">
        <f>IF($C1113="","",IFERROR(IF(INDEX(Roster!$J:$J,MATCH($C1113,Roster!$B:$B,0))="","",INDEX(Roster!$J:$J,MATCH($C1113,Roster!$B:$B,0))&amp;""),"—"))</f>
        <v/>
      </c>
      <c r="L1113">
        <f>IF($C1113="","",IFERROR(IF(INDEX(Roster!$K:$K,MATCH($C1113,Roster!$B:$B,0))="","",INDEX(Roster!$K:$K,MATCH($C1113,Roster!$B:$B,0))&amp;""),"—"))</f>
        <v/>
      </c>
      <c r="M1113" s="27" t="n"/>
      <c r="N1113" s="27" t="n"/>
      <c r="O1113" s="25">
        <f>IF($C1113="","",IF($P1113="","—",IF($P1113="Valid (Pass)","Valid","Invalid")))</f>
        <v/>
      </c>
      <c r="P1113" s="27" t="n"/>
      <c r="Q1113" s="27" t="n"/>
      <c r="R1113" s="27" t="n"/>
      <c r="S1113" s="27" t="n"/>
      <c r="T1113" s="25">
        <f>IF($C1113="","",IF(OR(ISNUMBER(SEARCH("quick case",$P1113)),ISNUMBER(SEARCH("quick case",$Q1113))),"Yes","No"))</f>
        <v/>
      </c>
      <c r="U1113" s="25">
        <f>IF($O1113="Invalid",HYPERLINK("mailto:"&amp;$G1113&amp;";"&amp;$I1113&amp;"?cc="&amp;Lists!$E$2&amp;"&amp;subject="&amp;_xlfn.ENCODEURL("[INVALID] Quality audit monitoring completed for "&amp;UPPER($C1113))&amp;"&amp;body="&amp;_xlfn.ENCODEURL("Hi "&amp;$F1113&amp;","&amp;CHAR(10)&amp;"Good day!"&amp;CHAR(10)&amp;CHAR(10)&amp;"A quality monitoring audit has been completed for "&amp;$C1113&amp;"."&amp;CHAR(10)&amp;CHAR(10)&amp;"QUALITY AUDIT DETAILS"&amp;CHAR(10)&amp;"Agent Name: "&amp;$C1113&amp;" (EID "&amp;$D1113&amp;")"&amp;CHAR(10)&amp;"Audit Date: "&amp;TEXT($B1113,"yyyy-mm-dd")&amp;CHAR(10)&amp;"Team Leader: "&amp;$F1113&amp;CHAR(10)&amp;"Case Number: "&amp;$M1113&amp;CHAR(10)&amp;"Transaction ID: "&amp;$N1113&amp;CHAR(10)&amp;"Channel / LOB: "&amp;$K1113&amp;" / "&amp;$L1113&amp;CHAR(10)&amp;"Evaluator: "&amp;$S1113&amp;CHAR(10)&amp;CHAR(10)&amp;"INVALID QUALITY AUDIT DETAILS"&amp;CHAR(10)&amp;"Validation: Invalid"&amp;CHAR(10)&amp;"Invalid Reason: "&amp;$P1113&amp;CHAR(10)&amp;"Expected Resolution Code: "&amp;$Q1113&amp;CHAR(10)&amp;"Remarks: "&amp;LEFT($R1113,600)&amp;CHAR(10)&amp;CHAR(10)&amp;"This is an automated notification from HP Mainstream EQMS."),"✉ Open Email Draft"),"")</f>
        <v/>
      </c>
    </row>
    <row r="1114">
      <c r="A1114" s="25">
        <f>IF($C1114="","","AUD-2026-"&amp;TEXT(ROW()-1,"000000"))</f>
        <v/>
      </c>
      <c r="B1114" s="26" t="n"/>
      <c r="C1114" s="27" t="n"/>
      <c r="D1114" s="25">
        <f>IF($C1114="","",IFERROR(IF(INDEX(Roster!$A:$A,MATCH($C1114,Roster!$B:$B,0))="","",INDEX(Roster!$A:$A,MATCH($C1114,Roster!$B:$B,0))&amp;""),"—"))</f>
        <v/>
      </c>
      <c r="E1114" s="25">
        <f>IF($C1114="","",IFERROR(IF(INDEX(Roster!$C:$C,MATCH($C1114,Roster!$B:$B,0))="","",INDEX(Roster!$C:$C,MATCH($C1114,Roster!$B:$B,0))&amp;""),"—"))</f>
        <v/>
      </c>
      <c r="F1114" s="25">
        <f>IF($C1114="","",IFERROR(IF(INDEX(Roster!$D:$D,MATCH($C1114,Roster!$B:$B,0))="","",INDEX(Roster!$D:$D,MATCH($C1114,Roster!$B:$B,0))&amp;""),"—"))</f>
        <v/>
      </c>
      <c r="G1114" s="25">
        <f>IF($C1114="","",IFERROR(IF(INDEX(Roster!$E:$E,MATCH($C1114,Roster!$B:$B,0))="","",INDEX(Roster!$E:$E,MATCH($C1114,Roster!$B:$B,0))&amp;""),"—"))</f>
        <v/>
      </c>
      <c r="H1114" s="25">
        <f>IF($C1114="","",IFERROR(IF(INDEX(Roster!$F:$F,MATCH($C1114,Roster!$B:$B,0))="","",INDEX(Roster!$F:$F,MATCH($C1114,Roster!$B:$B,0))&amp;""),"—"))</f>
        <v/>
      </c>
      <c r="I1114" s="25">
        <f>IF($C1114="","",IFERROR(IF(INDEX(Roster!$G:$G,MATCH($C1114,Roster!$B:$B,0))="","",INDEX(Roster!$G:$G,MATCH($C1114,Roster!$B:$B,0))&amp;""),"—"))</f>
        <v/>
      </c>
      <c r="J1114" s="25">
        <f>IF($C1114="","",IFERROR(IF(INDEX(Roster!$I:$I,MATCH($C1114,Roster!$B:$B,0))="","",INDEX(Roster!$I:$I,MATCH($C1114,Roster!$B:$B,0))&amp;""),"—"))</f>
        <v/>
      </c>
      <c r="K1114">
        <f>IF($C1114="","",IFERROR(IF(INDEX(Roster!$J:$J,MATCH($C1114,Roster!$B:$B,0))="","",INDEX(Roster!$J:$J,MATCH($C1114,Roster!$B:$B,0))&amp;""),"—"))</f>
        <v/>
      </c>
      <c r="L1114">
        <f>IF($C1114="","",IFERROR(IF(INDEX(Roster!$K:$K,MATCH($C1114,Roster!$B:$B,0))="","",INDEX(Roster!$K:$K,MATCH($C1114,Roster!$B:$B,0))&amp;""),"—"))</f>
        <v/>
      </c>
      <c r="M1114" s="27" t="n"/>
      <c r="N1114" s="27" t="n"/>
      <c r="O1114" s="25">
        <f>IF($C1114="","",IF($P1114="","—",IF($P1114="Valid (Pass)","Valid","Invalid")))</f>
        <v/>
      </c>
      <c r="P1114" s="27" t="n"/>
      <c r="Q1114" s="27" t="n"/>
      <c r="R1114" s="27" t="n"/>
      <c r="S1114" s="27" t="n"/>
      <c r="T1114" s="25">
        <f>IF($C1114="","",IF(OR(ISNUMBER(SEARCH("quick case",$P1114)),ISNUMBER(SEARCH("quick case",$Q1114))),"Yes","No"))</f>
        <v/>
      </c>
      <c r="U1114" s="25">
        <f>IF($O1114="Invalid",HYPERLINK("mailto:"&amp;$G1114&amp;";"&amp;$I1114&amp;"?cc="&amp;Lists!$E$2&amp;"&amp;subject="&amp;_xlfn.ENCODEURL("[INVALID] Quality audit monitoring completed for "&amp;UPPER($C1114))&amp;"&amp;body="&amp;_xlfn.ENCODEURL("Hi "&amp;$F1114&amp;","&amp;CHAR(10)&amp;"Good day!"&amp;CHAR(10)&amp;CHAR(10)&amp;"A quality monitoring audit has been completed for "&amp;$C1114&amp;"."&amp;CHAR(10)&amp;CHAR(10)&amp;"QUALITY AUDIT DETAILS"&amp;CHAR(10)&amp;"Agent Name: "&amp;$C1114&amp;" (EID "&amp;$D1114&amp;")"&amp;CHAR(10)&amp;"Audit Date: "&amp;TEXT($B1114,"yyyy-mm-dd")&amp;CHAR(10)&amp;"Team Leader: "&amp;$F1114&amp;CHAR(10)&amp;"Case Number: "&amp;$M1114&amp;CHAR(10)&amp;"Transaction ID: "&amp;$N1114&amp;CHAR(10)&amp;"Channel / LOB: "&amp;$K1114&amp;" / "&amp;$L1114&amp;CHAR(10)&amp;"Evaluator: "&amp;$S1114&amp;CHAR(10)&amp;CHAR(10)&amp;"INVALID QUALITY AUDIT DETAILS"&amp;CHAR(10)&amp;"Validation: Invalid"&amp;CHAR(10)&amp;"Invalid Reason: "&amp;$P1114&amp;CHAR(10)&amp;"Expected Resolution Code: "&amp;$Q1114&amp;CHAR(10)&amp;"Remarks: "&amp;LEFT($R1114,600)&amp;CHAR(10)&amp;CHAR(10)&amp;"This is an automated notification from HP Mainstream EQMS."),"✉ Open Email Draft"),"")</f>
        <v/>
      </c>
    </row>
    <row r="1115">
      <c r="A1115" s="25">
        <f>IF($C1115="","","AUD-2026-"&amp;TEXT(ROW()-1,"000000"))</f>
        <v/>
      </c>
      <c r="B1115" s="26" t="n"/>
      <c r="C1115" s="27" t="n"/>
      <c r="D1115" s="25">
        <f>IF($C1115="","",IFERROR(IF(INDEX(Roster!$A:$A,MATCH($C1115,Roster!$B:$B,0))="","",INDEX(Roster!$A:$A,MATCH($C1115,Roster!$B:$B,0))&amp;""),"—"))</f>
        <v/>
      </c>
      <c r="E1115" s="25">
        <f>IF($C1115="","",IFERROR(IF(INDEX(Roster!$C:$C,MATCH($C1115,Roster!$B:$B,0))="","",INDEX(Roster!$C:$C,MATCH($C1115,Roster!$B:$B,0))&amp;""),"—"))</f>
        <v/>
      </c>
      <c r="F1115" s="25">
        <f>IF($C1115="","",IFERROR(IF(INDEX(Roster!$D:$D,MATCH($C1115,Roster!$B:$B,0))="","",INDEX(Roster!$D:$D,MATCH($C1115,Roster!$B:$B,0))&amp;""),"—"))</f>
        <v/>
      </c>
      <c r="G1115" s="25">
        <f>IF($C1115="","",IFERROR(IF(INDEX(Roster!$E:$E,MATCH($C1115,Roster!$B:$B,0))="","",INDEX(Roster!$E:$E,MATCH($C1115,Roster!$B:$B,0))&amp;""),"—"))</f>
        <v/>
      </c>
      <c r="H1115" s="25">
        <f>IF($C1115="","",IFERROR(IF(INDEX(Roster!$F:$F,MATCH($C1115,Roster!$B:$B,0))="","",INDEX(Roster!$F:$F,MATCH($C1115,Roster!$B:$B,0))&amp;""),"—"))</f>
        <v/>
      </c>
      <c r="I1115" s="25">
        <f>IF($C1115="","",IFERROR(IF(INDEX(Roster!$G:$G,MATCH($C1115,Roster!$B:$B,0))="","",INDEX(Roster!$G:$G,MATCH($C1115,Roster!$B:$B,0))&amp;""),"—"))</f>
        <v/>
      </c>
      <c r="J1115" s="25">
        <f>IF($C1115="","",IFERROR(IF(INDEX(Roster!$I:$I,MATCH($C1115,Roster!$B:$B,0))="","",INDEX(Roster!$I:$I,MATCH($C1115,Roster!$B:$B,0))&amp;""),"—"))</f>
        <v/>
      </c>
      <c r="K1115">
        <f>IF($C1115="","",IFERROR(IF(INDEX(Roster!$J:$J,MATCH($C1115,Roster!$B:$B,0))="","",INDEX(Roster!$J:$J,MATCH($C1115,Roster!$B:$B,0))&amp;""),"—"))</f>
        <v/>
      </c>
      <c r="L1115">
        <f>IF($C1115="","",IFERROR(IF(INDEX(Roster!$K:$K,MATCH($C1115,Roster!$B:$B,0))="","",INDEX(Roster!$K:$K,MATCH($C1115,Roster!$B:$B,0))&amp;""),"—"))</f>
        <v/>
      </c>
      <c r="M1115" s="27" t="n"/>
      <c r="N1115" s="27" t="n"/>
      <c r="O1115" s="25">
        <f>IF($C1115="","",IF($P1115="","—",IF($P1115="Valid (Pass)","Valid","Invalid")))</f>
        <v/>
      </c>
      <c r="P1115" s="27" t="n"/>
      <c r="Q1115" s="27" t="n"/>
      <c r="R1115" s="27" t="n"/>
      <c r="S1115" s="27" t="n"/>
      <c r="T1115" s="25">
        <f>IF($C1115="","",IF(OR(ISNUMBER(SEARCH("quick case",$P1115)),ISNUMBER(SEARCH("quick case",$Q1115))),"Yes","No"))</f>
        <v/>
      </c>
      <c r="U1115" s="25">
        <f>IF($O1115="Invalid",HYPERLINK("mailto:"&amp;$G1115&amp;";"&amp;$I1115&amp;"?cc="&amp;Lists!$E$2&amp;"&amp;subject="&amp;_xlfn.ENCODEURL("[INVALID] Quality audit monitoring completed for "&amp;UPPER($C1115))&amp;"&amp;body="&amp;_xlfn.ENCODEURL("Hi "&amp;$F1115&amp;","&amp;CHAR(10)&amp;"Good day!"&amp;CHAR(10)&amp;CHAR(10)&amp;"A quality monitoring audit has been completed for "&amp;$C1115&amp;"."&amp;CHAR(10)&amp;CHAR(10)&amp;"QUALITY AUDIT DETAILS"&amp;CHAR(10)&amp;"Agent Name: "&amp;$C1115&amp;" (EID "&amp;$D1115&amp;")"&amp;CHAR(10)&amp;"Audit Date: "&amp;TEXT($B1115,"yyyy-mm-dd")&amp;CHAR(10)&amp;"Team Leader: "&amp;$F1115&amp;CHAR(10)&amp;"Case Number: "&amp;$M1115&amp;CHAR(10)&amp;"Transaction ID: "&amp;$N1115&amp;CHAR(10)&amp;"Channel / LOB: "&amp;$K1115&amp;" / "&amp;$L1115&amp;CHAR(10)&amp;"Evaluator: "&amp;$S1115&amp;CHAR(10)&amp;CHAR(10)&amp;"INVALID QUALITY AUDIT DETAILS"&amp;CHAR(10)&amp;"Validation: Invalid"&amp;CHAR(10)&amp;"Invalid Reason: "&amp;$P1115&amp;CHAR(10)&amp;"Expected Resolution Code: "&amp;$Q1115&amp;CHAR(10)&amp;"Remarks: "&amp;LEFT($R1115,600)&amp;CHAR(10)&amp;CHAR(10)&amp;"This is an automated notification from HP Mainstream EQMS."),"✉ Open Email Draft"),"")</f>
        <v/>
      </c>
    </row>
    <row r="1116">
      <c r="A1116" s="25">
        <f>IF($C1116="","","AUD-2026-"&amp;TEXT(ROW()-1,"000000"))</f>
        <v/>
      </c>
      <c r="B1116" s="26" t="n"/>
      <c r="C1116" s="27" t="n"/>
      <c r="D1116" s="25">
        <f>IF($C1116="","",IFERROR(IF(INDEX(Roster!$A:$A,MATCH($C1116,Roster!$B:$B,0))="","",INDEX(Roster!$A:$A,MATCH($C1116,Roster!$B:$B,0))&amp;""),"—"))</f>
        <v/>
      </c>
      <c r="E1116" s="25">
        <f>IF($C1116="","",IFERROR(IF(INDEX(Roster!$C:$C,MATCH($C1116,Roster!$B:$B,0))="","",INDEX(Roster!$C:$C,MATCH($C1116,Roster!$B:$B,0))&amp;""),"—"))</f>
        <v/>
      </c>
      <c r="F1116" s="25">
        <f>IF($C1116="","",IFERROR(IF(INDEX(Roster!$D:$D,MATCH($C1116,Roster!$B:$B,0))="","",INDEX(Roster!$D:$D,MATCH($C1116,Roster!$B:$B,0))&amp;""),"—"))</f>
        <v/>
      </c>
      <c r="G1116" s="25">
        <f>IF($C1116="","",IFERROR(IF(INDEX(Roster!$E:$E,MATCH($C1116,Roster!$B:$B,0))="","",INDEX(Roster!$E:$E,MATCH($C1116,Roster!$B:$B,0))&amp;""),"—"))</f>
        <v/>
      </c>
      <c r="H1116" s="25">
        <f>IF($C1116="","",IFERROR(IF(INDEX(Roster!$F:$F,MATCH($C1116,Roster!$B:$B,0))="","",INDEX(Roster!$F:$F,MATCH($C1116,Roster!$B:$B,0))&amp;""),"—"))</f>
        <v/>
      </c>
      <c r="I1116" s="25">
        <f>IF($C1116="","",IFERROR(IF(INDEX(Roster!$G:$G,MATCH($C1116,Roster!$B:$B,0))="","",INDEX(Roster!$G:$G,MATCH($C1116,Roster!$B:$B,0))&amp;""),"—"))</f>
        <v/>
      </c>
      <c r="J1116" s="25">
        <f>IF($C1116="","",IFERROR(IF(INDEX(Roster!$I:$I,MATCH($C1116,Roster!$B:$B,0))="","",INDEX(Roster!$I:$I,MATCH($C1116,Roster!$B:$B,0))&amp;""),"—"))</f>
        <v/>
      </c>
      <c r="K1116">
        <f>IF($C1116="","",IFERROR(IF(INDEX(Roster!$J:$J,MATCH($C1116,Roster!$B:$B,0))="","",INDEX(Roster!$J:$J,MATCH($C1116,Roster!$B:$B,0))&amp;""),"—"))</f>
        <v/>
      </c>
      <c r="L1116">
        <f>IF($C1116="","",IFERROR(IF(INDEX(Roster!$K:$K,MATCH($C1116,Roster!$B:$B,0))="","",INDEX(Roster!$K:$K,MATCH($C1116,Roster!$B:$B,0))&amp;""),"—"))</f>
        <v/>
      </c>
      <c r="M1116" s="27" t="n"/>
      <c r="N1116" s="27" t="n"/>
      <c r="O1116" s="25">
        <f>IF($C1116="","",IF($P1116="","—",IF($P1116="Valid (Pass)","Valid","Invalid")))</f>
        <v/>
      </c>
      <c r="P1116" s="27" t="n"/>
      <c r="Q1116" s="27" t="n"/>
      <c r="R1116" s="27" t="n"/>
      <c r="S1116" s="27" t="n"/>
      <c r="T1116" s="25">
        <f>IF($C1116="","",IF(OR(ISNUMBER(SEARCH("quick case",$P1116)),ISNUMBER(SEARCH("quick case",$Q1116))),"Yes","No"))</f>
        <v/>
      </c>
      <c r="U1116" s="25">
        <f>IF($O1116="Invalid",HYPERLINK("mailto:"&amp;$G1116&amp;";"&amp;$I1116&amp;"?cc="&amp;Lists!$E$2&amp;"&amp;subject="&amp;_xlfn.ENCODEURL("[INVALID] Quality audit monitoring completed for "&amp;UPPER($C1116))&amp;"&amp;body="&amp;_xlfn.ENCODEURL("Hi "&amp;$F1116&amp;","&amp;CHAR(10)&amp;"Good day!"&amp;CHAR(10)&amp;CHAR(10)&amp;"A quality monitoring audit has been completed for "&amp;$C1116&amp;"."&amp;CHAR(10)&amp;CHAR(10)&amp;"QUALITY AUDIT DETAILS"&amp;CHAR(10)&amp;"Agent Name: "&amp;$C1116&amp;" (EID "&amp;$D1116&amp;")"&amp;CHAR(10)&amp;"Audit Date: "&amp;TEXT($B1116,"yyyy-mm-dd")&amp;CHAR(10)&amp;"Team Leader: "&amp;$F1116&amp;CHAR(10)&amp;"Case Number: "&amp;$M1116&amp;CHAR(10)&amp;"Transaction ID: "&amp;$N1116&amp;CHAR(10)&amp;"Channel / LOB: "&amp;$K1116&amp;" / "&amp;$L1116&amp;CHAR(10)&amp;"Evaluator: "&amp;$S1116&amp;CHAR(10)&amp;CHAR(10)&amp;"INVALID QUALITY AUDIT DETAILS"&amp;CHAR(10)&amp;"Validation: Invalid"&amp;CHAR(10)&amp;"Invalid Reason: "&amp;$P1116&amp;CHAR(10)&amp;"Expected Resolution Code: "&amp;$Q1116&amp;CHAR(10)&amp;"Remarks: "&amp;LEFT($R1116,600)&amp;CHAR(10)&amp;CHAR(10)&amp;"This is an automated notification from HP Mainstream EQMS."),"✉ Open Email Draft"),"")</f>
        <v/>
      </c>
    </row>
    <row r="1117">
      <c r="A1117" s="25">
        <f>IF($C1117="","","AUD-2026-"&amp;TEXT(ROW()-1,"000000"))</f>
        <v/>
      </c>
      <c r="B1117" s="26" t="n"/>
      <c r="C1117" s="27" t="n"/>
      <c r="D1117" s="25">
        <f>IF($C1117="","",IFERROR(IF(INDEX(Roster!$A:$A,MATCH($C1117,Roster!$B:$B,0))="","",INDEX(Roster!$A:$A,MATCH($C1117,Roster!$B:$B,0))&amp;""),"—"))</f>
        <v/>
      </c>
      <c r="E1117" s="25">
        <f>IF($C1117="","",IFERROR(IF(INDEX(Roster!$C:$C,MATCH($C1117,Roster!$B:$B,0))="","",INDEX(Roster!$C:$C,MATCH($C1117,Roster!$B:$B,0))&amp;""),"—"))</f>
        <v/>
      </c>
      <c r="F1117" s="25">
        <f>IF($C1117="","",IFERROR(IF(INDEX(Roster!$D:$D,MATCH($C1117,Roster!$B:$B,0))="","",INDEX(Roster!$D:$D,MATCH($C1117,Roster!$B:$B,0))&amp;""),"—"))</f>
        <v/>
      </c>
      <c r="G1117" s="25">
        <f>IF($C1117="","",IFERROR(IF(INDEX(Roster!$E:$E,MATCH($C1117,Roster!$B:$B,0))="","",INDEX(Roster!$E:$E,MATCH($C1117,Roster!$B:$B,0))&amp;""),"—"))</f>
        <v/>
      </c>
      <c r="H1117" s="25">
        <f>IF($C1117="","",IFERROR(IF(INDEX(Roster!$F:$F,MATCH($C1117,Roster!$B:$B,0))="","",INDEX(Roster!$F:$F,MATCH($C1117,Roster!$B:$B,0))&amp;""),"—"))</f>
        <v/>
      </c>
      <c r="I1117" s="25">
        <f>IF($C1117="","",IFERROR(IF(INDEX(Roster!$G:$G,MATCH($C1117,Roster!$B:$B,0))="","",INDEX(Roster!$G:$G,MATCH($C1117,Roster!$B:$B,0))&amp;""),"—"))</f>
        <v/>
      </c>
      <c r="J1117" s="25">
        <f>IF($C1117="","",IFERROR(IF(INDEX(Roster!$I:$I,MATCH($C1117,Roster!$B:$B,0))="","",INDEX(Roster!$I:$I,MATCH($C1117,Roster!$B:$B,0))&amp;""),"—"))</f>
        <v/>
      </c>
      <c r="K1117">
        <f>IF($C1117="","",IFERROR(IF(INDEX(Roster!$J:$J,MATCH($C1117,Roster!$B:$B,0))="","",INDEX(Roster!$J:$J,MATCH($C1117,Roster!$B:$B,0))&amp;""),"—"))</f>
        <v/>
      </c>
      <c r="L1117">
        <f>IF($C1117="","",IFERROR(IF(INDEX(Roster!$K:$K,MATCH($C1117,Roster!$B:$B,0))="","",INDEX(Roster!$K:$K,MATCH($C1117,Roster!$B:$B,0))&amp;""),"—"))</f>
        <v/>
      </c>
      <c r="M1117" s="27" t="n"/>
      <c r="N1117" s="27" t="n"/>
      <c r="O1117" s="25">
        <f>IF($C1117="","",IF($P1117="","—",IF($P1117="Valid (Pass)","Valid","Invalid")))</f>
        <v/>
      </c>
      <c r="P1117" s="27" t="n"/>
      <c r="Q1117" s="27" t="n"/>
      <c r="R1117" s="27" t="n"/>
      <c r="S1117" s="27" t="n"/>
      <c r="T1117" s="25">
        <f>IF($C1117="","",IF(OR(ISNUMBER(SEARCH("quick case",$P1117)),ISNUMBER(SEARCH("quick case",$Q1117))),"Yes","No"))</f>
        <v/>
      </c>
      <c r="U1117" s="25">
        <f>IF($O1117="Invalid",HYPERLINK("mailto:"&amp;$G1117&amp;";"&amp;$I1117&amp;"?cc="&amp;Lists!$E$2&amp;"&amp;subject="&amp;_xlfn.ENCODEURL("[INVALID] Quality audit monitoring completed for "&amp;UPPER($C1117))&amp;"&amp;body="&amp;_xlfn.ENCODEURL("Hi "&amp;$F1117&amp;","&amp;CHAR(10)&amp;"Good day!"&amp;CHAR(10)&amp;CHAR(10)&amp;"A quality monitoring audit has been completed for "&amp;$C1117&amp;"."&amp;CHAR(10)&amp;CHAR(10)&amp;"QUALITY AUDIT DETAILS"&amp;CHAR(10)&amp;"Agent Name: "&amp;$C1117&amp;" (EID "&amp;$D1117&amp;")"&amp;CHAR(10)&amp;"Audit Date: "&amp;TEXT($B1117,"yyyy-mm-dd")&amp;CHAR(10)&amp;"Team Leader: "&amp;$F1117&amp;CHAR(10)&amp;"Case Number: "&amp;$M1117&amp;CHAR(10)&amp;"Transaction ID: "&amp;$N1117&amp;CHAR(10)&amp;"Channel / LOB: "&amp;$K1117&amp;" / "&amp;$L1117&amp;CHAR(10)&amp;"Evaluator: "&amp;$S1117&amp;CHAR(10)&amp;CHAR(10)&amp;"INVALID QUALITY AUDIT DETAILS"&amp;CHAR(10)&amp;"Validation: Invalid"&amp;CHAR(10)&amp;"Invalid Reason: "&amp;$P1117&amp;CHAR(10)&amp;"Expected Resolution Code: "&amp;$Q1117&amp;CHAR(10)&amp;"Remarks: "&amp;LEFT($R1117,600)&amp;CHAR(10)&amp;CHAR(10)&amp;"This is an automated notification from HP Mainstream EQMS."),"✉ Open Email Draft"),"")</f>
        <v/>
      </c>
    </row>
    <row r="1118">
      <c r="A1118" s="25">
        <f>IF($C1118="","","AUD-2026-"&amp;TEXT(ROW()-1,"000000"))</f>
        <v/>
      </c>
      <c r="B1118" s="26" t="n"/>
      <c r="C1118" s="27" t="n"/>
      <c r="D1118" s="25">
        <f>IF($C1118="","",IFERROR(IF(INDEX(Roster!$A:$A,MATCH($C1118,Roster!$B:$B,0))="","",INDEX(Roster!$A:$A,MATCH($C1118,Roster!$B:$B,0))&amp;""),"—"))</f>
        <v/>
      </c>
      <c r="E1118" s="25">
        <f>IF($C1118="","",IFERROR(IF(INDEX(Roster!$C:$C,MATCH($C1118,Roster!$B:$B,0))="","",INDEX(Roster!$C:$C,MATCH($C1118,Roster!$B:$B,0))&amp;""),"—"))</f>
        <v/>
      </c>
      <c r="F1118" s="25">
        <f>IF($C1118="","",IFERROR(IF(INDEX(Roster!$D:$D,MATCH($C1118,Roster!$B:$B,0))="","",INDEX(Roster!$D:$D,MATCH($C1118,Roster!$B:$B,0))&amp;""),"—"))</f>
        <v/>
      </c>
      <c r="G1118" s="25">
        <f>IF($C1118="","",IFERROR(IF(INDEX(Roster!$E:$E,MATCH($C1118,Roster!$B:$B,0))="","",INDEX(Roster!$E:$E,MATCH($C1118,Roster!$B:$B,0))&amp;""),"—"))</f>
        <v/>
      </c>
      <c r="H1118" s="25">
        <f>IF($C1118="","",IFERROR(IF(INDEX(Roster!$F:$F,MATCH($C1118,Roster!$B:$B,0))="","",INDEX(Roster!$F:$F,MATCH($C1118,Roster!$B:$B,0))&amp;""),"—"))</f>
        <v/>
      </c>
      <c r="I1118" s="25">
        <f>IF($C1118="","",IFERROR(IF(INDEX(Roster!$G:$G,MATCH($C1118,Roster!$B:$B,0))="","",INDEX(Roster!$G:$G,MATCH($C1118,Roster!$B:$B,0))&amp;""),"—"))</f>
        <v/>
      </c>
      <c r="J1118" s="25">
        <f>IF($C1118="","",IFERROR(IF(INDEX(Roster!$I:$I,MATCH($C1118,Roster!$B:$B,0))="","",INDEX(Roster!$I:$I,MATCH($C1118,Roster!$B:$B,0))&amp;""),"—"))</f>
        <v/>
      </c>
      <c r="K1118">
        <f>IF($C1118="","",IFERROR(IF(INDEX(Roster!$J:$J,MATCH($C1118,Roster!$B:$B,0))="","",INDEX(Roster!$J:$J,MATCH($C1118,Roster!$B:$B,0))&amp;""),"—"))</f>
        <v/>
      </c>
      <c r="L1118">
        <f>IF($C1118="","",IFERROR(IF(INDEX(Roster!$K:$K,MATCH($C1118,Roster!$B:$B,0))="","",INDEX(Roster!$K:$K,MATCH($C1118,Roster!$B:$B,0))&amp;""),"—"))</f>
        <v/>
      </c>
      <c r="M1118" s="27" t="n"/>
      <c r="N1118" s="27" t="n"/>
      <c r="O1118" s="25">
        <f>IF($C1118="","",IF($P1118="","—",IF($P1118="Valid (Pass)","Valid","Invalid")))</f>
        <v/>
      </c>
      <c r="P1118" s="27" t="n"/>
      <c r="Q1118" s="27" t="n"/>
      <c r="R1118" s="27" t="n"/>
      <c r="S1118" s="27" t="n"/>
      <c r="T1118" s="25">
        <f>IF($C1118="","",IF(OR(ISNUMBER(SEARCH("quick case",$P1118)),ISNUMBER(SEARCH("quick case",$Q1118))),"Yes","No"))</f>
        <v/>
      </c>
      <c r="U1118" s="25">
        <f>IF($O1118="Invalid",HYPERLINK("mailto:"&amp;$G1118&amp;";"&amp;$I1118&amp;"?cc="&amp;Lists!$E$2&amp;"&amp;subject="&amp;_xlfn.ENCODEURL("[INVALID] Quality audit monitoring completed for "&amp;UPPER($C1118))&amp;"&amp;body="&amp;_xlfn.ENCODEURL("Hi "&amp;$F1118&amp;","&amp;CHAR(10)&amp;"Good day!"&amp;CHAR(10)&amp;CHAR(10)&amp;"A quality monitoring audit has been completed for "&amp;$C1118&amp;"."&amp;CHAR(10)&amp;CHAR(10)&amp;"QUALITY AUDIT DETAILS"&amp;CHAR(10)&amp;"Agent Name: "&amp;$C1118&amp;" (EID "&amp;$D1118&amp;")"&amp;CHAR(10)&amp;"Audit Date: "&amp;TEXT($B1118,"yyyy-mm-dd")&amp;CHAR(10)&amp;"Team Leader: "&amp;$F1118&amp;CHAR(10)&amp;"Case Number: "&amp;$M1118&amp;CHAR(10)&amp;"Transaction ID: "&amp;$N1118&amp;CHAR(10)&amp;"Channel / LOB: "&amp;$K1118&amp;" / "&amp;$L1118&amp;CHAR(10)&amp;"Evaluator: "&amp;$S1118&amp;CHAR(10)&amp;CHAR(10)&amp;"INVALID QUALITY AUDIT DETAILS"&amp;CHAR(10)&amp;"Validation: Invalid"&amp;CHAR(10)&amp;"Invalid Reason: "&amp;$P1118&amp;CHAR(10)&amp;"Expected Resolution Code: "&amp;$Q1118&amp;CHAR(10)&amp;"Remarks: "&amp;LEFT($R1118,600)&amp;CHAR(10)&amp;CHAR(10)&amp;"This is an automated notification from HP Mainstream EQMS."),"✉ Open Email Draft"),"")</f>
        <v/>
      </c>
    </row>
    <row r="1119">
      <c r="A1119" s="25">
        <f>IF($C1119="","","AUD-2026-"&amp;TEXT(ROW()-1,"000000"))</f>
        <v/>
      </c>
      <c r="B1119" s="26" t="n"/>
      <c r="C1119" s="27" t="n"/>
      <c r="D1119" s="25">
        <f>IF($C1119="","",IFERROR(IF(INDEX(Roster!$A:$A,MATCH($C1119,Roster!$B:$B,0))="","",INDEX(Roster!$A:$A,MATCH($C1119,Roster!$B:$B,0))&amp;""),"—"))</f>
        <v/>
      </c>
      <c r="E1119" s="25">
        <f>IF($C1119="","",IFERROR(IF(INDEX(Roster!$C:$C,MATCH($C1119,Roster!$B:$B,0))="","",INDEX(Roster!$C:$C,MATCH($C1119,Roster!$B:$B,0))&amp;""),"—"))</f>
        <v/>
      </c>
      <c r="F1119" s="25">
        <f>IF($C1119="","",IFERROR(IF(INDEX(Roster!$D:$D,MATCH($C1119,Roster!$B:$B,0))="","",INDEX(Roster!$D:$D,MATCH($C1119,Roster!$B:$B,0))&amp;""),"—"))</f>
        <v/>
      </c>
      <c r="G1119" s="25">
        <f>IF($C1119="","",IFERROR(IF(INDEX(Roster!$E:$E,MATCH($C1119,Roster!$B:$B,0))="","",INDEX(Roster!$E:$E,MATCH($C1119,Roster!$B:$B,0))&amp;""),"—"))</f>
        <v/>
      </c>
      <c r="H1119" s="25">
        <f>IF($C1119="","",IFERROR(IF(INDEX(Roster!$F:$F,MATCH($C1119,Roster!$B:$B,0))="","",INDEX(Roster!$F:$F,MATCH($C1119,Roster!$B:$B,0))&amp;""),"—"))</f>
        <v/>
      </c>
      <c r="I1119" s="25">
        <f>IF($C1119="","",IFERROR(IF(INDEX(Roster!$G:$G,MATCH($C1119,Roster!$B:$B,0))="","",INDEX(Roster!$G:$G,MATCH($C1119,Roster!$B:$B,0))&amp;""),"—"))</f>
        <v/>
      </c>
      <c r="J1119" s="25">
        <f>IF($C1119="","",IFERROR(IF(INDEX(Roster!$I:$I,MATCH($C1119,Roster!$B:$B,0))="","",INDEX(Roster!$I:$I,MATCH($C1119,Roster!$B:$B,0))&amp;""),"—"))</f>
        <v/>
      </c>
      <c r="K1119">
        <f>IF($C1119="","",IFERROR(IF(INDEX(Roster!$J:$J,MATCH($C1119,Roster!$B:$B,0))="","",INDEX(Roster!$J:$J,MATCH($C1119,Roster!$B:$B,0))&amp;""),"—"))</f>
        <v/>
      </c>
      <c r="L1119">
        <f>IF($C1119="","",IFERROR(IF(INDEX(Roster!$K:$K,MATCH($C1119,Roster!$B:$B,0))="","",INDEX(Roster!$K:$K,MATCH($C1119,Roster!$B:$B,0))&amp;""),"—"))</f>
        <v/>
      </c>
      <c r="M1119" s="27" t="n"/>
      <c r="N1119" s="27" t="n"/>
      <c r="O1119" s="25">
        <f>IF($C1119="","",IF($P1119="","—",IF($P1119="Valid (Pass)","Valid","Invalid")))</f>
        <v/>
      </c>
      <c r="P1119" s="27" t="n"/>
      <c r="Q1119" s="27" t="n"/>
      <c r="R1119" s="27" t="n"/>
      <c r="S1119" s="27" t="n"/>
      <c r="T1119" s="25">
        <f>IF($C1119="","",IF(OR(ISNUMBER(SEARCH("quick case",$P1119)),ISNUMBER(SEARCH("quick case",$Q1119))),"Yes","No"))</f>
        <v/>
      </c>
      <c r="U1119" s="25">
        <f>IF($O1119="Invalid",HYPERLINK("mailto:"&amp;$G1119&amp;";"&amp;$I1119&amp;"?cc="&amp;Lists!$E$2&amp;"&amp;subject="&amp;_xlfn.ENCODEURL("[INVALID] Quality audit monitoring completed for "&amp;UPPER($C1119))&amp;"&amp;body="&amp;_xlfn.ENCODEURL("Hi "&amp;$F1119&amp;","&amp;CHAR(10)&amp;"Good day!"&amp;CHAR(10)&amp;CHAR(10)&amp;"A quality monitoring audit has been completed for "&amp;$C1119&amp;"."&amp;CHAR(10)&amp;CHAR(10)&amp;"QUALITY AUDIT DETAILS"&amp;CHAR(10)&amp;"Agent Name: "&amp;$C1119&amp;" (EID "&amp;$D1119&amp;")"&amp;CHAR(10)&amp;"Audit Date: "&amp;TEXT($B1119,"yyyy-mm-dd")&amp;CHAR(10)&amp;"Team Leader: "&amp;$F1119&amp;CHAR(10)&amp;"Case Number: "&amp;$M1119&amp;CHAR(10)&amp;"Transaction ID: "&amp;$N1119&amp;CHAR(10)&amp;"Channel / LOB: "&amp;$K1119&amp;" / "&amp;$L1119&amp;CHAR(10)&amp;"Evaluator: "&amp;$S1119&amp;CHAR(10)&amp;CHAR(10)&amp;"INVALID QUALITY AUDIT DETAILS"&amp;CHAR(10)&amp;"Validation: Invalid"&amp;CHAR(10)&amp;"Invalid Reason: "&amp;$P1119&amp;CHAR(10)&amp;"Expected Resolution Code: "&amp;$Q1119&amp;CHAR(10)&amp;"Remarks: "&amp;LEFT($R1119,600)&amp;CHAR(10)&amp;CHAR(10)&amp;"This is an automated notification from HP Mainstream EQMS."),"✉ Open Email Draft"),"")</f>
        <v/>
      </c>
    </row>
    <row r="1120">
      <c r="A1120" s="25">
        <f>IF($C1120="","","AUD-2026-"&amp;TEXT(ROW()-1,"000000"))</f>
        <v/>
      </c>
      <c r="B1120" s="26" t="n"/>
      <c r="C1120" s="27" t="n"/>
      <c r="D1120" s="25">
        <f>IF($C1120="","",IFERROR(IF(INDEX(Roster!$A:$A,MATCH($C1120,Roster!$B:$B,0))="","",INDEX(Roster!$A:$A,MATCH($C1120,Roster!$B:$B,0))&amp;""),"—"))</f>
        <v/>
      </c>
      <c r="E1120" s="25">
        <f>IF($C1120="","",IFERROR(IF(INDEX(Roster!$C:$C,MATCH($C1120,Roster!$B:$B,0))="","",INDEX(Roster!$C:$C,MATCH($C1120,Roster!$B:$B,0))&amp;""),"—"))</f>
        <v/>
      </c>
      <c r="F1120" s="25">
        <f>IF($C1120="","",IFERROR(IF(INDEX(Roster!$D:$D,MATCH($C1120,Roster!$B:$B,0))="","",INDEX(Roster!$D:$D,MATCH($C1120,Roster!$B:$B,0))&amp;""),"—"))</f>
        <v/>
      </c>
      <c r="G1120" s="25">
        <f>IF($C1120="","",IFERROR(IF(INDEX(Roster!$E:$E,MATCH($C1120,Roster!$B:$B,0))="","",INDEX(Roster!$E:$E,MATCH($C1120,Roster!$B:$B,0))&amp;""),"—"))</f>
        <v/>
      </c>
      <c r="H1120" s="25">
        <f>IF($C1120="","",IFERROR(IF(INDEX(Roster!$F:$F,MATCH($C1120,Roster!$B:$B,0))="","",INDEX(Roster!$F:$F,MATCH($C1120,Roster!$B:$B,0))&amp;""),"—"))</f>
        <v/>
      </c>
      <c r="I1120" s="25">
        <f>IF($C1120="","",IFERROR(IF(INDEX(Roster!$G:$G,MATCH($C1120,Roster!$B:$B,0))="","",INDEX(Roster!$G:$G,MATCH($C1120,Roster!$B:$B,0))&amp;""),"—"))</f>
        <v/>
      </c>
      <c r="J1120" s="25">
        <f>IF($C1120="","",IFERROR(IF(INDEX(Roster!$I:$I,MATCH($C1120,Roster!$B:$B,0))="","",INDEX(Roster!$I:$I,MATCH($C1120,Roster!$B:$B,0))&amp;""),"—"))</f>
        <v/>
      </c>
      <c r="K1120">
        <f>IF($C1120="","",IFERROR(IF(INDEX(Roster!$J:$J,MATCH($C1120,Roster!$B:$B,0))="","",INDEX(Roster!$J:$J,MATCH($C1120,Roster!$B:$B,0))&amp;""),"—"))</f>
        <v/>
      </c>
      <c r="L1120">
        <f>IF($C1120="","",IFERROR(IF(INDEX(Roster!$K:$K,MATCH($C1120,Roster!$B:$B,0))="","",INDEX(Roster!$K:$K,MATCH($C1120,Roster!$B:$B,0))&amp;""),"—"))</f>
        <v/>
      </c>
      <c r="M1120" s="27" t="n"/>
      <c r="N1120" s="27" t="n"/>
      <c r="O1120" s="25">
        <f>IF($C1120="","",IF($P1120="","—",IF($P1120="Valid (Pass)","Valid","Invalid")))</f>
        <v/>
      </c>
      <c r="P1120" s="27" t="n"/>
      <c r="Q1120" s="27" t="n"/>
      <c r="R1120" s="27" t="n"/>
      <c r="S1120" s="27" t="n"/>
      <c r="T1120" s="25">
        <f>IF($C1120="","",IF(OR(ISNUMBER(SEARCH("quick case",$P1120)),ISNUMBER(SEARCH("quick case",$Q1120))),"Yes","No"))</f>
        <v/>
      </c>
      <c r="U1120" s="25">
        <f>IF($O1120="Invalid",HYPERLINK("mailto:"&amp;$G1120&amp;";"&amp;$I1120&amp;"?cc="&amp;Lists!$E$2&amp;"&amp;subject="&amp;_xlfn.ENCODEURL("[INVALID] Quality audit monitoring completed for "&amp;UPPER($C1120))&amp;"&amp;body="&amp;_xlfn.ENCODEURL("Hi "&amp;$F1120&amp;","&amp;CHAR(10)&amp;"Good day!"&amp;CHAR(10)&amp;CHAR(10)&amp;"A quality monitoring audit has been completed for "&amp;$C1120&amp;"."&amp;CHAR(10)&amp;CHAR(10)&amp;"QUALITY AUDIT DETAILS"&amp;CHAR(10)&amp;"Agent Name: "&amp;$C1120&amp;" (EID "&amp;$D1120&amp;")"&amp;CHAR(10)&amp;"Audit Date: "&amp;TEXT($B1120,"yyyy-mm-dd")&amp;CHAR(10)&amp;"Team Leader: "&amp;$F1120&amp;CHAR(10)&amp;"Case Number: "&amp;$M1120&amp;CHAR(10)&amp;"Transaction ID: "&amp;$N1120&amp;CHAR(10)&amp;"Channel / LOB: "&amp;$K1120&amp;" / "&amp;$L1120&amp;CHAR(10)&amp;"Evaluator: "&amp;$S1120&amp;CHAR(10)&amp;CHAR(10)&amp;"INVALID QUALITY AUDIT DETAILS"&amp;CHAR(10)&amp;"Validation: Invalid"&amp;CHAR(10)&amp;"Invalid Reason: "&amp;$P1120&amp;CHAR(10)&amp;"Expected Resolution Code: "&amp;$Q1120&amp;CHAR(10)&amp;"Remarks: "&amp;LEFT($R1120,600)&amp;CHAR(10)&amp;CHAR(10)&amp;"This is an automated notification from HP Mainstream EQMS."),"✉ Open Email Draft"),"")</f>
        <v/>
      </c>
    </row>
    <row r="1121">
      <c r="A1121" s="25">
        <f>IF($C1121="","","AUD-2026-"&amp;TEXT(ROW()-1,"000000"))</f>
        <v/>
      </c>
      <c r="B1121" s="26" t="n"/>
      <c r="C1121" s="27" t="n"/>
      <c r="D1121" s="25">
        <f>IF($C1121="","",IFERROR(IF(INDEX(Roster!$A:$A,MATCH($C1121,Roster!$B:$B,0))="","",INDEX(Roster!$A:$A,MATCH($C1121,Roster!$B:$B,0))&amp;""),"—"))</f>
        <v/>
      </c>
      <c r="E1121" s="25">
        <f>IF($C1121="","",IFERROR(IF(INDEX(Roster!$C:$C,MATCH($C1121,Roster!$B:$B,0))="","",INDEX(Roster!$C:$C,MATCH($C1121,Roster!$B:$B,0))&amp;""),"—"))</f>
        <v/>
      </c>
      <c r="F1121" s="25">
        <f>IF($C1121="","",IFERROR(IF(INDEX(Roster!$D:$D,MATCH($C1121,Roster!$B:$B,0))="","",INDEX(Roster!$D:$D,MATCH($C1121,Roster!$B:$B,0))&amp;""),"—"))</f>
        <v/>
      </c>
      <c r="G1121" s="25">
        <f>IF($C1121="","",IFERROR(IF(INDEX(Roster!$E:$E,MATCH($C1121,Roster!$B:$B,0))="","",INDEX(Roster!$E:$E,MATCH($C1121,Roster!$B:$B,0))&amp;""),"—"))</f>
        <v/>
      </c>
      <c r="H1121" s="25">
        <f>IF($C1121="","",IFERROR(IF(INDEX(Roster!$F:$F,MATCH($C1121,Roster!$B:$B,0))="","",INDEX(Roster!$F:$F,MATCH($C1121,Roster!$B:$B,0))&amp;""),"—"))</f>
        <v/>
      </c>
      <c r="I1121" s="25">
        <f>IF($C1121="","",IFERROR(IF(INDEX(Roster!$G:$G,MATCH($C1121,Roster!$B:$B,0))="","",INDEX(Roster!$G:$G,MATCH($C1121,Roster!$B:$B,0))&amp;""),"—"))</f>
        <v/>
      </c>
      <c r="J1121" s="25">
        <f>IF($C1121="","",IFERROR(IF(INDEX(Roster!$I:$I,MATCH($C1121,Roster!$B:$B,0))="","",INDEX(Roster!$I:$I,MATCH($C1121,Roster!$B:$B,0))&amp;""),"—"))</f>
        <v/>
      </c>
      <c r="K1121">
        <f>IF($C1121="","",IFERROR(IF(INDEX(Roster!$J:$J,MATCH($C1121,Roster!$B:$B,0))="","",INDEX(Roster!$J:$J,MATCH($C1121,Roster!$B:$B,0))&amp;""),"—"))</f>
        <v/>
      </c>
      <c r="L1121">
        <f>IF($C1121="","",IFERROR(IF(INDEX(Roster!$K:$K,MATCH($C1121,Roster!$B:$B,0))="","",INDEX(Roster!$K:$K,MATCH($C1121,Roster!$B:$B,0))&amp;""),"—"))</f>
        <v/>
      </c>
      <c r="M1121" s="27" t="n"/>
      <c r="N1121" s="27" t="n"/>
      <c r="O1121" s="25">
        <f>IF($C1121="","",IF($P1121="","—",IF($P1121="Valid (Pass)","Valid","Invalid")))</f>
        <v/>
      </c>
      <c r="P1121" s="27" t="n"/>
      <c r="Q1121" s="27" t="n"/>
      <c r="R1121" s="27" t="n"/>
      <c r="S1121" s="27" t="n"/>
      <c r="T1121" s="25">
        <f>IF($C1121="","",IF(OR(ISNUMBER(SEARCH("quick case",$P1121)),ISNUMBER(SEARCH("quick case",$Q1121))),"Yes","No"))</f>
        <v/>
      </c>
      <c r="U1121" s="25">
        <f>IF($O1121="Invalid",HYPERLINK("mailto:"&amp;$G1121&amp;";"&amp;$I1121&amp;"?cc="&amp;Lists!$E$2&amp;"&amp;subject="&amp;_xlfn.ENCODEURL("[INVALID] Quality audit monitoring completed for "&amp;UPPER($C1121))&amp;"&amp;body="&amp;_xlfn.ENCODEURL("Hi "&amp;$F1121&amp;","&amp;CHAR(10)&amp;"Good day!"&amp;CHAR(10)&amp;CHAR(10)&amp;"A quality monitoring audit has been completed for "&amp;$C1121&amp;"."&amp;CHAR(10)&amp;CHAR(10)&amp;"QUALITY AUDIT DETAILS"&amp;CHAR(10)&amp;"Agent Name: "&amp;$C1121&amp;" (EID "&amp;$D1121&amp;")"&amp;CHAR(10)&amp;"Audit Date: "&amp;TEXT($B1121,"yyyy-mm-dd")&amp;CHAR(10)&amp;"Team Leader: "&amp;$F1121&amp;CHAR(10)&amp;"Case Number: "&amp;$M1121&amp;CHAR(10)&amp;"Transaction ID: "&amp;$N1121&amp;CHAR(10)&amp;"Channel / LOB: "&amp;$K1121&amp;" / "&amp;$L1121&amp;CHAR(10)&amp;"Evaluator: "&amp;$S1121&amp;CHAR(10)&amp;CHAR(10)&amp;"INVALID QUALITY AUDIT DETAILS"&amp;CHAR(10)&amp;"Validation: Invalid"&amp;CHAR(10)&amp;"Invalid Reason: "&amp;$P1121&amp;CHAR(10)&amp;"Expected Resolution Code: "&amp;$Q1121&amp;CHAR(10)&amp;"Remarks: "&amp;LEFT($R1121,600)&amp;CHAR(10)&amp;CHAR(10)&amp;"This is an automated notification from HP Mainstream EQMS."),"✉ Open Email Draft"),"")</f>
        <v/>
      </c>
    </row>
    <row r="1122">
      <c r="A1122" s="25">
        <f>IF($C1122="","","AUD-2026-"&amp;TEXT(ROW()-1,"000000"))</f>
        <v/>
      </c>
      <c r="B1122" s="26" t="n"/>
      <c r="C1122" s="27" t="n"/>
      <c r="D1122" s="25">
        <f>IF($C1122="","",IFERROR(IF(INDEX(Roster!$A:$A,MATCH($C1122,Roster!$B:$B,0))="","",INDEX(Roster!$A:$A,MATCH($C1122,Roster!$B:$B,0))&amp;""),"—"))</f>
        <v/>
      </c>
      <c r="E1122" s="25">
        <f>IF($C1122="","",IFERROR(IF(INDEX(Roster!$C:$C,MATCH($C1122,Roster!$B:$B,0))="","",INDEX(Roster!$C:$C,MATCH($C1122,Roster!$B:$B,0))&amp;""),"—"))</f>
        <v/>
      </c>
      <c r="F1122" s="25">
        <f>IF($C1122="","",IFERROR(IF(INDEX(Roster!$D:$D,MATCH($C1122,Roster!$B:$B,0))="","",INDEX(Roster!$D:$D,MATCH($C1122,Roster!$B:$B,0))&amp;""),"—"))</f>
        <v/>
      </c>
      <c r="G1122" s="25">
        <f>IF($C1122="","",IFERROR(IF(INDEX(Roster!$E:$E,MATCH($C1122,Roster!$B:$B,0))="","",INDEX(Roster!$E:$E,MATCH($C1122,Roster!$B:$B,0))&amp;""),"—"))</f>
        <v/>
      </c>
      <c r="H1122" s="25">
        <f>IF($C1122="","",IFERROR(IF(INDEX(Roster!$F:$F,MATCH($C1122,Roster!$B:$B,0))="","",INDEX(Roster!$F:$F,MATCH($C1122,Roster!$B:$B,0))&amp;""),"—"))</f>
        <v/>
      </c>
      <c r="I1122" s="25">
        <f>IF($C1122="","",IFERROR(IF(INDEX(Roster!$G:$G,MATCH($C1122,Roster!$B:$B,0))="","",INDEX(Roster!$G:$G,MATCH($C1122,Roster!$B:$B,0))&amp;""),"—"))</f>
        <v/>
      </c>
      <c r="J1122" s="25">
        <f>IF($C1122="","",IFERROR(IF(INDEX(Roster!$I:$I,MATCH($C1122,Roster!$B:$B,0))="","",INDEX(Roster!$I:$I,MATCH($C1122,Roster!$B:$B,0))&amp;""),"—"))</f>
        <v/>
      </c>
      <c r="K1122">
        <f>IF($C1122="","",IFERROR(IF(INDEX(Roster!$J:$J,MATCH($C1122,Roster!$B:$B,0))="","",INDEX(Roster!$J:$J,MATCH($C1122,Roster!$B:$B,0))&amp;""),"—"))</f>
        <v/>
      </c>
      <c r="L1122">
        <f>IF($C1122="","",IFERROR(IF(INDEX(Roster!$K:$K,MATCH($C1122,Roster!$B:$B,0))="","",INDEX(Roster!$K:$K,MATCH($C1122,Roster!$B:$B,0))&amp;""),"—"))</f>
        <v/>
      </c>
      <c r="M1122" s="27" t="n"/>
      <c r="N1122" s="27" t="n"/>
      <c r="O1122" s="25">
        <f>IF($C1122="","",IF($P1122="","—",IF($P1122="Valid (Pass)","Valid","Invalid")))</f>
        <v/>
      </c>
      <c r="P1122" s="27" t="n"/>
      <c r="Q1122" s="27" t="n"/>
      <c r="R1122" s="27" t="n"/>
      <c r="S1122" s="27" t="n"/>
      <c r="T1122" s="25">
        <f>IF($C1122="","",IF(OR(ISNUMBER(SEARCH("quick case",$P1122)),ISNUMBER(SEARCH("quick case",$Q1122))),"Yes","No"))</f>
        <v/>
      </c>
      <c r="U1122" s="25">
        <f>IF($O1122="Invalid",HYPERLINK("mailto:"&amp;$G1122&amp;";"&amp;$I1122&amp;"?cc="&amp;Lists!$E$2&amp;"&amp;subject="&amp;_xlfn.ENCODEURL("[INVALID] Quality audit monitoring completed for "&amp;UPPER($C1122))&amp;"&amp;body="&amp;_xlfn.ENCODEURL("Hi "&amp;$F1122&amp;","&amp;CHAR(10)&amp;"Good day!"&amp;CHAR(10)&amp;CHAR(10)&amp;"A quality monitoring audit has been completed for "&amp;$C1122&amp;"."&amp;CHAR(10)&amp;CHAR(10)&amp;"QUALITY AUDIT DETAILS"&amp;CHAR(10)&amp;"Agent Name: "&amp;$C1122&amp;" (EID "&amp;$D1122&amp;")"&amp;CHAR(10)&amp;"Audit Date: "&amp;TEXT($B1122,"yyyy-mm-dd")&amp;CHAR(10)&amp;"Team Leader: "&amp;$F1122&amp;CHAR(10)&amp;"Case Number: "&amp;$M1122&amp;CHAR(10)&amp;"Transaction ID: "&amp;$N1122&amp;CHAR(10)&amp;"Channel / LOB: "&amp;$K1122&amp;" / "&amp;$L1122&amp;CHAR(10)&amp;"Evaluator: "&amp;$S1122&amp;CHAR(10)&amp;CHAR(10)&amp;"INVALID QUALITY AUDIT DETAILS"&amp;CHAR(10)&amp;"Validation: Invalid"&amp;CHAR(10)&amp;"Invalid Reason: "&amp;$P1122&amp;CHAR(10)&amp;"Expected Resolution Code: "&amp;$Q1122&amp;CHAR(10)&amp;"Remarks: "&amp;LEFT($R1122,600)&amp;CHAR(10)&amp;CHAR(10)&amp;"This is an automated notification from HP Mainstream EQMS."),"✉ Open Email Draft"),"")</f>
        <v/>
      </c>
    </row>
    <row r="1123">
      <c r="A1123" s="25">
        <f>IF($C1123="","","AUD-2026-"&amp;TEXT(ROW()-1,"000000"))</f>
        <v/>
      </c>
      <c r="B1123" s="26" t="n"/>
      <c r="C1123" s="27" t="n"/>
      <c r="D1123" s="25">
        <f>IF($C1123="","",IFERROR(IF(INDEX(Roster!$A:$A,MATCH($C1123,Roster!$B:$B,0))="","",INDEX(Roster!$A:$A,MATCH($C1123,Roster!$B:$B,0))&amp;""),"—"))</f>
        <v/>
      </c>
      <c r="E1123" s="25">
        <f>IF($C1123="","",IFERROR(IF(INDEX(Roster!$C:$C,MATCH($C1123,Roster!$B:$B,0))="","",INDEX(Roster!$C:$C,MATCH($C1123,Roster!$B:$B,0))&amp;""),"—"))</f>
        <v/>
      </c>
      <c r="F1123" s="25">
        <f>IF($C1123="","",IFERROR(IF(INDEX(Roster!$D:$D,MATCH($C1123,Roster!$B:$B,0))="","",INDEX(Roster!$D:$D,MATCH($C1123,Roster!$B:$B,0))&amp;""),"—"))</f>
        <v/>
      </c>
      <c r="G1123" s="25">
        <f>IF($C1123="","",IFERROR(IF(INDEX(Roster!$E:$E,MATCH($C1123,Roster!$B:$B,0))="","",INDEX(Roster!$E:$E,MATCH($C1123,Roster!$B:$B,0))&amp;""),"—"))</f>
        <v/>
      </c>
      <c r="H1123" s="25">
        <f>IF($C1123="","",IFERROR(IF(INDEX(Roster!$F:$F,MATCH($C1123,Roster!$B:$B,0))="","",INDEX(Roster!$F:$F,MATCH($C1123,Roster!$B:$B,0))&amp;""),"—"))</f>
        <v/>
      </c>
      <c r="I1123" s="25">
        <f>IF($C1123="","",IFERROR(IF(INDEX(Roster!$G:$G,MATCH($C1123,Roster!$B:$B,0))="","",INDEX(Roster!$G:$G,MATCH($C1123,Roster!$B:$B,0))&amp;""),"—"))</f>
        <v/>
      </c>
      <c r="J1123" s="25">
        <f>IF($C1123="","",IFERROR(IF(INDEX(Roster!$I:$I,MATCH($C1123,Roster!$B:$B,0))="","",INDEX(Roster!$I:$I,MATCH($C1123,Roster!$B:$B,0))&amp;""),"—"))</f>
        <v/>
      </c>
      <c r="K1123">
        <f>IF($C1123="","",IFERROR(IF(INDEX(Roster!$J:$J,MATCH($C1123,Roster!$B:$B,0))="","",INDEX(Roster!$J:$J,MATCH($C1123,Roster!$B:$B,0))&amp;""),"—"))</f>
        <v/>
      </c>
      <c r="L1123">
        <f>IF($C1123="","",IFERROR(IF(INDEX(Roster!$K:$K,MATCH($C1123,Roster!$B:$B,0))="","",INDEX(Roster!$K:$K,MATCH($C1123,Roster!$B:$B,0))&amp;""),"—"))</f>
        <v/>
      </c>
      <c r="M1123" s="27" t="n"/>
      <c r="N1123" s="27" t="n"/>
      <c r="O1123" s="25">
        <f>IF($C1123="","",IF($P1123="","—",IF($P1123="Valid (Pass)","Valid","Invalid")))</f>
        <v/>
      </c>
      <c r="P1123" s="27" t="n"/>
      <c r="Q1123" s="27" t="n"/>
      <c r="R1123" s="27" t="n"/>
      <c r="S1123" s="27" t="n"/>
      <c r="T1123" s="25">
        <f>IF($C1123="","",IF(OR(ISNUMBER(SEARCH("quick case",$P1123)),ISNUMBER(SEARCH("quick case",$Q1123))),"Yes","No"))</f>
        <v/>
      </c>
      <c r="U1123" s="25">
        <f>IF($O1123="Invalid",HYPERLINK("mailto:"&amp;$G1123&amp;";"&amp;$I1123&amp;"?cc="&amp;Lists!$E$2&amp;"&amp;subject="&amp;_xlfn.ENCODEURL("[INVALID] Quality audit monitoring completed for "&amp;UPPER($C1123))&amp;"&amp;body="&amp;_xlfn.ENCODEURL("Hi "&amp;$F1123&amp;","&amp;CHAR(10)&amp;"Good day!"&amp;CHAR(10)&amp;CHAR(10)&amp;"A quality monitoring audit has been completed for "&amp;$C1123&amp;"."&amp;CHAR(10)&amp;CHAR(10)&amp;"QUALITY AUDIT DETAILS"&amp;CHAR(10)&amp;"Agent Name: "&amp;$C1123&amp;" (EID "&amp;$D1123&amp;")"&amp;CHAR(10)&amp;"Audit Date: "&amp;TEXT($B1123,"yyyy-mm-dd")&amp;CHAR(10)&amp;"Team Leader: "&amp;$F1123&amp;CHAR(10)&amp;"Case Number: "&amp;$M1123&amp;CHAR(10)&amp;"Transaction ID: "&amp;$N1123&amp;CHAR(10)&amp;"Channel / LOB: "&amp;$K1123&amp;" / "&amp;$L1123&amp;CHAR(10)&amp;"Evaluator: "&amp;$S1123&amp;CHAR(10)&amp;CHAR(10)&amp;"INVALID QUALITY AUDIT DETAILS"&amp;CHAR(10)&amp;"Validation: Invalid"&amp;CHAR(10)&amp;"Invalid Reason: "&amp;$P1123&amp;CHAR(10)&amp;"Expected Resolution Code: "&amp;$Q1123&amp;CHAR(10)&amp;"Remarks: "&amp;LEFT($R1123,600)&amp;CHAR(10)&amp;CHAR(10)&amp;"This is an automated notification from HP Mainstream EQMS."),"✉ Open Email Draft"),"")</f>
        <v/>
      </c>
    </row>
    <row r="1124">
      <c r="A1124" s="25">
        <f>IF($C1124="","","AUD-2026-"&amp;TEXT(ROW()-1,"000000"))</f>
        <v/>
      </c>
      <c r="B1124" s="26" t="n"/>
      <c r="C1124" s="27" t="n"/>
      <c r="D1124" s="25">
        <f>IF($C1124="","",IFERROR(IF(INDEX(Roster!$A:$A,MATCH($C1124,Roster!$B:$B,0))="","",INDEX(Roster!$A:$A,MATCH($C1124,Roster!$B:$B,0))&amp;""),"—"))</f>
        <v/>
      </c>
      <c r="E1124" s="25">
        <f>IF($C1124="","",IFERROR(IF(INDEX(Roster!$C:$C,MATCH($C1124,Roster!$B:$B,0))="","",INDEX(Roster!$C:$C,MATCH($C1124,Roster!$B:$B,0))&amp;""),"—"))</f>
        <v/>
      </c>
      <c r="F1124" s="25">
        <f>IF($C1124="","",IFERROR(IF(INDEX(Roster!$D:$D,MATCH($C1124,Roster!$B:$B,0))="","",INDEX(Roster!$D:$D,MATCH($C1124,Roster!$B:$B,0))&amp;""),"—"))</f>
        <v/>
      </c>
      <c r="G1124" s="25">
        <f>IF($C1124="","",IFERROR(IF(INDEX(Roster!$E:$E,MATCH($C1124,Roster!$B:$B,0))="","",INDEX(Roster!$E:$E,MATCH($C1124,Roster!$B:$B,0))&amp;""),"—"))</f>
        <v/>
      </c>
      <c r="H1124" s="25">
        <f>IF($C1124="","",IFERROR(IF(INDEX(Roster!$F:$F,MATCH($C1124,Roster!$B:$B,0))="","",INDEX(Roster!$F:$F,MATCH($C1124,Roster!$B:$B,0))&amp;""),"—"))</f>
        <v/>
      </c>
      <c r="I1124" s="25">
        <f>IF($C1124="","",IFERROR(IF(INDEX(Roster!$G:$G,MATCH($C1124,Roster!$B:$B,0))="","",INDEX(Roster!$G:$G,MATCH($C1124,Roster!$B:$B,0))&amp;""),"—"))</f>
        <v/>
      </c>
      <c r="J1124" s="25">
        <f>IF($C1124="","",IFERROR(IF(INDEX(Roster!$I:$I,MATCH($C1124,Roster!$B:$B,0))="","",INDEX(Roster!$I:$I,MATCH($C1124,Roster!$B:$B,0))&amp;""),"—"))</f>
        <v/>
      </c>
      <c r="K1124">
        <f>IF($C1124="","",IFERROR(IF(INDEX(Roster!$J:$J,MATCH($C1124,Roster!$B:$B,0))="","",INDEX(Roster!$J:$J,MATCH($C1124,Roster!$B:$B,0))&amp;""),"—"))</f>
        <v/>
      </c>
      <c r="L1124">
        <f>IF($C1124="","",IFERROR(IF(INDEX(Roster!$K:$K,MATCH($C1124,Roster!$B:$B,0))="","",INDEX(Roster!$K:$K,MATCH($C1124,Roster!$B:$B,0))&amp;""),"—"))</f>
        <v/>
      </c>
      <c r="M1124" s="27" t="n"/>
      <c r="N1124" s="27" t="n"/>
      <c r="O1124" s="25">
        <f>IF($C1124="","",IF($P1124="","—",IF($P1124="Valid (Pass)","Valid","Invalid")))</f>
        <v/>
      </c>
      <c r="P1124" s="27" t="n"/>
      <c r="Q1124" s="27" t="n"/>
      <c r="R1124" s="27" t="n"/>
      <c r="S1124" s="27" t="n"/>
      <c r="T1124" s="25">
        <f>IF($C1124="","",IF(OR(ISNUMBER(SEARCH("quick case",$P1124)),ISNUMBER(SEARCH("quick case",$Q1124))),"Yes","No"))</f>
        <v/>
      </c>
      <c r="U1124" s="25">
        <f>IF($O1124="Invalid",HYPERLINK("mailto:"&amp;$G1124&amp;";"&amp;$I1124&amp;"?cc="&amp;Lists!$E$2&amp;"&amp;subject="&amp;_xlfn.ENCODEURL("[INVALID] Quality audit monitoring completed for "&amp;UPPER($C1124))&amp;"&amp;body="&amp;_xlfn.ENCODEURL("Hi "&amp;$F1124&amp;","&amp;CHAR(10)&amp;"Good day!"&amp;CHAR(10)&amp;CHAR(10)&amp;"A quality monitoring audit has been completed for "&amp;$C1124&amp;"."&amp;CHAR(10)&amp;CHAR(10)&amp;"QUALITY AUDIT DETAILS"&amp;CHAR(10)&amp;"Agent Name: "&amp;$C1124&amp;" (EID "&amp;$D1124&amp;")"&amp;CHAR(10)&amp;"Audit Date: "&amp;TEXT($B1124,"yyyy-mm-dd")&amp;CHAR(10)&amp;"Team Leader: "&amp;$F1124&amp;CHAR(10)&amp;"Case Number: "&amp;$M1124&amp;CHAR(10)&amp;"Transaction ID: "&amp;$N1124&amp;CHAR(10)&amp;"Channel / LOB: "&amp;$K1124&amp;" / "&amp;$L1124&amp;CHAR(10)&amp;"Evaluator: "&amp;$S1124&amp;CHAR(10)&amp;CHAR(10)&amp;"INVALID QUALITY AUDIT DETAILS"&amp;CHAR(10)&amp;"Validation: Invalid"&amp;CHAR(10)&amp;"Invalid Reason: "&amp;$P1124&amp;CHAR(10)&amp;"Expected Resolution Code: "&amp;$Q1124&amp;CHAR(10)&amp;"Remarks: "&amp;LEFT($R1124,600)&amp;CHAR(10)&amp;CHAR(10)&amp;"This is an automated notification from HP Mainstream EQMS."),"✉ Open Email Draft"),"")</f>
        <v/>
      </c>
    </row>
    <row r="1125">
      <c r="A1125" s="25">
        <f>IF($C1125="","","AUD-2026-"&amp;TEXT(ROW()-1,"000000"))</f>
        <v/>
      </c>
      <c r="B1125" s="26" t="n"/>
      <c r="C1125" s="27" t="n"/>
      <c r="D1125" s="25">
        <f>IF($C1125="","",IFERROR(IF(INDEX(Roster!$A:$A,MATCH($C1125,Roster!$B:$B,0))="","",INDEX(Roster!$A:$A,MATCH($C1125,Roster!$B:$B,0))&amp;""),"—"))</f>
        <v/>
      </c>
      <c r="E1125" s="25">
        <f>IF($C1125="","",IFERROR(IF(INDEX(Roster!$C:$C,MATCH($C1125,Roster!$B:$B,0))="","",INDEX(Roster!$C:$C,MATCH($C1125,Roster!$B:$B,0))&amp;""),"—"))</f>
        <v/>
      </c>
      <c r="F1125" s="25">
        <f>IF($C1125="","",IFERROR(IF(INDEX(Roster!$D:$D,MATCH($C1125,Roster!$B:$B,0))="","",INDEX(Roster!$D:$D,MATCH($C1125,Roster!$B:$B,0))&amp;""),"—"))</f>
        <v/>
      </c>
      <c r="G1125" s="25">
        <f>IF($C1125="","",IFERROR(IF(INDEX(Roster!$E:$E,MATCH($C1125,Roster!$B:$B,0))="","",INDEX(Roster!$E:$E,MATCH($C1125,Roster!$B:$B,0))&amp;""),"—"))</f>
        <v/>
      </c>
      <c r="H1125" s="25">
        <f>IF($C1125="","",IFERROR(IF(INDEX(Roster!$F:$F,MATCH($C1125,Roster!$B:$B,0))="","",INDEX(Roster!$F:$F,MATCH($C1125,Roster!$B:$B,0))&amp;""),"—"))</f>
        <v/>
      </c>
      <c r="I1125" s="25">
        <f>IF($C1125="","",IFERROR(IF(INDEX(Roster!$G:$G,MATCH($C1125,Roster!$B:$B,0))="","",INDEX(Roster!$G:$G,MATCH($C1125,Roster!$B:$B,0))&amp;""),"—"))</f>
        <v/>
      </c>
      <c r="J1125" s="25">
        <f>IF($C1125="","",IFERROR(IF(INDEX(Roster!$I:$I,MATCH($C1125,Roster!$B:$B,0))="","",INDEX(Roster!$I:$I,MATCH($C1125,Roster!$B:$B,0))&amp;""),"—"))</f>
        <v/>
      </c>
      <c r="K1125">
        <f>IF($C1125="","",IFERROR(IF(INDEX(Roster!$J:$J,MATCH($C1125,Roster!$B:$B,0))="","",INDEX(Roster!$J:$J,MATCH($C1125,Roster!$B:$B,0))&amp;""),"—"))</f>
        <v/>
      </c>
      <c r="L1125">
        <f>IF($C1125="","",IFERROR(IF(INDEX(Roster!$K:$K,MATCH($C1125,Roster!$B:$B,0))="","",INDEX(Roster!$K:$K,MATCH($C1125,Roster!$B:$B,0))&amp;""),"—"))</f>
        <v/>
      </c>
      <c r="M1125" s="27" t="n"/>
      <c r="N1125" s="27" t="n"/>
      <c r="O1125" s="25">
        <f>IF($C1125="","",IF($P1125="","—",IF($P1125="Valid (Pass)","Valid","Invalid")))</f>
        <v/>
      </c>
      <c r="P1125" s="27" t="n"/>
      <c r="Q1125" s="27" t="n"/>
      <c r="R1125" s="27" t="n"/>
      <c r="S1125" s="27" t="n"/>
      <c r="T1125" s="25">
        <f>IF($C1125="","",IF(OR(ISNUMBER(SEARCH("quick case",$P1125)),ISNUMBER(SEARCH("quick case",$Q1125))),"Yes","No"))</f>
        <v/>
      </c>
      <c r="U1125" s="25">
        <f>IF($O1125="Invalid",HYPERLINK("mailto:"&amp;$G1125&amp;";"&amp;$I1125&amp;"?cc="&amp;Lists!$E$2&amp;"&amp;subject="&amp;_xlfn.ENCODEURL("[INVALID] Quality audit monitoring completed for "&amp;UPPER($C1125))&amp;"&amp;body="&amp;_xlfn.ENCODEURL("Hi "&amp;$F1125&amp;","&amp;CHAR(10)&amp;"Good day!"&amp;CHAR(10)&amp;CHAR(10)&amp;"A quality monitoring audit has been completed for "&amp;$C1125&amp;"."&amp;CHAR(10)&amp;CHAR(10)&amp;"QUALITY AUDIT DETAILS"&amp;CHAR(10)&amp;"Agent Name: "&amp;$C1125&amp;" (EID "&amp;$D1125&amp;")"&amp;CHAR(10)&amp;"Audit Date: "&amp;TEXT($B1125,"yyyy-mm-dd")&amp;CHAR(10)&amp;"Team Leader: "&amp;$F1125&amp;CHAR(10)&amp;"Case Number: "&amp;$M1125&amp;CHAR(10)&amp;"Transaction ID: "&amp;$N1125&amp;CHAR(10)&amp;"Channel / LOB: "&amp;$K1125&amp;" / "&amp;$L1125&amp;CHAR(10)&amp;"Evaluator: "&amp;$S1125&amp;CHAR(10)&amp;CHAR(10)&amp;"INVALID QUALITY AUDIT DETAILS"&amp;CHAR(10)&amp;"Validation: Invalid"&amp;CHAR(10)&amp;"Invalid Reason: "&amp;$P1125&amp;CHAR(10)&amp;"Expected Resolution Code: "&amp;$Q1125&amp;CHAR(10)&amp;"Remarks: "&amp;LEFT($R1125,600)&amp;CHAR(10)&amp;CHAR(10)&amp;"This is an automated notification from HP Mainstream EQMS."),"✉ Open Email Draft"),"")</f>
        <v/>
      </c>
    </row>
    <row r="1126">
      <c r="A1126" s="25">
        <f>IF($C1126="","","AUD-2026-"&amp;TEXT(ROW()-1,"000000"))</f>
        <v/>
      </c>
      <c r="B1126" s="26" t="n"/>
      <c r="C1126" s="27" t="n"/>
      <c r="D1126" s="25">
        <f>IF($C1126="","",IFERROR(IF(INDEX(Roster!$A:$A,MATCH($C1126,Roster!$B:$B,0))="","",INDEX(Roster!$A:$A,MATCH($C1126,Roster!$B:$B,0))&amp;""),"—"))</f>
        <v/>
      </c>
      <c r="E1126" s="25">
        <f>IF($C1126="","",IFERROR(IF(INDEX(Roster!$C:$C,MATCH($C1126,Roster!$B:$B,0))="","",INDEX(Roster!$C:$C,MATCH($C1126,Roster!$B:$B,0))&amp;""),"—"))</f>
        <v/>
      </c>
      <c r="F1126" s="25">
        <f>IF($C1126="","",IFERROR(IF(INDEX(Roster!$D:$D,MATCH($C1126,Roster!$B:$B,0))="","",INDEX(Roster!$D:$D,MATCH($C1126,Roster!$B:$B,0))&amp;""),"—"))</f>
        <v/>
      </c>
      <c r="G1126" s="25">
        <f>IF($C1126="","",IFERROR(IF(INDEX(Roster!$E:$E,MATCH($C1126,Roster!$B:$B,0))="","",INDEX(Roster!$E:$E,MATCH($C1126,Roster!$B:$B,0))&amp;""),"—"))</f>
        <v/>
      </c>
      <c r="H1126" s="25">
        <f>IF($C1126="","",IFERROR(IF(INDEX(Roster!$F:$F,MATCH($C1126,Roster!$B:$B,0))="","",INDEX(Roster!$F:$F,MATCH($C1126,Roster!$B:$B,0))&amp;""),"—"))</f>
        <v/>
      </c>
      <c r="I1126" s="25">
        <f>IF($C1126="","",IFERROR(IF(INDEX(Roster!$G:$G,MATCH($C1126,Roster!$B:$B,0))="","",INDEX(Roster!$G:$G,MATCH($C1126,Roster!$B:$B,0))&amp;""),"—"))</f>
        <v/>
      </c>
      <c r="J1126" s="25">
        <f>IF($C1126="","",IFERROR(IF(INDEX(Roster!$I:$I,MATCH($C1126,Roster!$B:$B,0))="","",INDEX(Roster!$I:$I,MATCH($C1126,Roster!$B:$B,0))&amp;""),"—"))</f>
        <v/>
      </c>
      <c r="K1126">
        <f>IF($C1126="","",IFERROR(IF(INDEX(Roster!$J:$J,MATCH($C1126,Roster!$B:$B,0))="","",INDEX(Roster!$J:$J,MATCH($C1126,Roster!$B:$B,0))&amp;""),"—"))</f>
        <v/>
      </c>
      <c r="L1126">
        <f>IF($C1126="","",IFERROR(IF(INDEX(Roster!$K:$K,MATCH($C1126,Roster!$B:$B,0))="","",INDEX(Roster!$K:$K,MATCH($C1126,Roster!$B:$B,0))&amp;""),"—"))</f>
        <v/>
      </c>
      <c r="M1126" s="27" t="n"/>
      <c r="N1126" s="27" t="n"/>
      <c r="O1126" s="25">
        <f>IF($C1126="","",IF($P1126="","—",IF($P1126="Valid (Pass)","Valid","Invalid")))</f>
        <v/>
      </c>
      <c r="P1126" s="27" t="n"/>
      <c r="Q1126" s="27" t="n"/>
      <c r="R1126" s="27" t="n"/>
      <c r="S1126" s="27" t="n"/>
      <c r="T1126" s="25">
        <f>IF($C1126="","",IF(OR(ISNUMBER(SEARCH("quick case",$P1126)),ISNUMBER(SEARCH("quick case",$Q1126))),"Yes","No"))</f>
        <v/>
      </c>
      <c r="U1126" s="25">
        <f>IF($O1126="Invalid",HYPERLINK("mailto:"&amp;$G1126&amp;";"&amp;$I1126&amp;"?cc="&amp;Lists!$E$2&amp;"&amp;subject="&amp;_xlfn.ENCODEURL("[INVALID] Quality audit monitoring completed for "&amp;UPPER($C1126))&amp;"&amp;body="&amp;_xlfn.ENCODEURL("Hi "&amp;$F1126&amp;","&amp;CHAR(10)&amp;"Good day!"&amp;CHAR(10)&amp;CHAR(10)&amp;"A quality monitoring audit has been completed for "&amp;$C1126&amp;"."&amp;CHAR(10)&amp;CHAR(10)&amp;"QUALITY AUDIT DETAILS"&amp;CHAR(10)&amp;"Agent Name: "&amp;$C1126&amp;" (EID "&amp;$D1126&amp;")"&amp;CHAR(10)&amp;"Audit Date: "&amp;TEXT($B1126,"yyyy-mm-dd")&amp;CHAR(10)&amp;"Team Leader: "&amp;$F1126&amp;CHAR(10)&amp;"Case Number: "&amp;$M1126&amp;CHAR(10)&amp;"Transaction ID: "&amp;$N1126&amp;CHAR(10)&amp;"Channel / LOB: "&amp;$K1126&amp;" / "&amp;$L1126&amp;CHAR(10)&amp;"Evaluator: "&amp;$S1126&amp;CHAR(10)&amp;CHAR(10)&amp;"INVALID QUALITY AUDIT DETAILS"&amp;CHAR(10)&amp;"Validation: Invalid"&amp;CHAR(10)&amp;"Invalid Reason: "&amp;$P1126&amp;CHAR(10)&amp;"Expected Resolution Code: "&amp;$Q1126&amp;CHAR(10)&amp;"Remarks: "&amp;LEFT($R1126,600)&amp;CHAR(10)&amp;CHAR(10)&amp;"This is an automated notification from HP Mainstream EQMS."),"✉ Open Email Draft"),"")</f>
        <v/>
      </c>
    </row>
    <row r="1127">
      <c r="A1127" s="25">
        <f>IF($C1127="","","AUD-2026-"&amp;TEXT(ROW()-1,"000000"))</f>
        <v/>
      </c>
      <c r="B1127" s="26" t="n"/>
      <c r="C1127" s="27" t="n"/>
      <c r="D1127" s="25">
        <f>IF($C1127="","",IFERROR(IF(INDEX(Roster!$A:$A,MATCH($C1127,Roster!$B:$B,0))="","",INDEX(Roster!$A:$A,MATCH($C1127,Roster!$B:$B,0))&amp;""),"—"))</f>
        <v/>
      </c>
      <c r="E1127" s="25">
        <f>IF($C1127="","",IFERROR(IF(INDEX(Roster!$C:$C,MATCH($C1127,Roster!$B:$B,0))="","",INDEX(Roster!$C:$C,MATCH($C1127,Roster!$B:$B,0))&amp;""),"—"))</f>
        <v/>
      </c>
      <c r="F1127" s="25">
        <f>IF($C1127="","",IFERROR(IF(INDEX(Roster!$D:$D,MATCH($C1127,Roster!$B:$B,0))="","",INDEX(Roster!$D:$D,MATCH($C1127,Roster!$B:$B,0))&amp;""),"—"))</f>
        <v/>
      </c>
      <c r="G1127" s="25">
        <f>IF($C1127="","",IFERROR(IF(INDEX(Roster!$E:$E,MATCH($C1127,Roster!$B:$B,0))="","",INDEX(Roster!$E:$E,MATCH($C1127,Roster!$B:$B,0))&amp;""),"—"))</f>
        <v/>
      </c>
      <c r="H1127" s="25">
        <f>IF($C1127="","",IFERROR(IF(INDEX(Roster!$F:$F,MATCH($C1127,Roster!$B:$B,0))="","",INDEX(Roster!$F:$F,MATCH($C1127,Roster!$B:$B,0))&amp;""),"—"))</f>
        <v/>
      </c>
      <c r="I1127" s="25">
        <f>IF($C1127="","",IFERROR(IF(INDEX(Roster!$G:$G,MATCH($C1127,Roster!$B:$B,0))="","",INDEX(Roster!$G:$G,MATCH($C1127,Roster!$B:$B,0))&amp;""),"—"))</f>
        <v/>
      </c>
      <c r="J1127" s="25">
        <f>IF($C1127="","",IFERROR(IF(INDEX(Roster!$I:$I,MATCH($C1127,Roster!$B:$B,0))="","",INDEX(Roster!$I:$I,MATCH($C1127,Roster!$B:$B,0))&amp;""),"—"))</f>
        <v/>
      </c>
      <c r="K1127">
        <f>IF($C1127="","",IFERROR(IF(INDEX(Roster!$J:$J,MATCH($C1127,Roster!$B:$B,0))="","",INDEX(Roster!$J:$J,MATCH($C1127,Roster!$B:$B,0))&amp;""),"—"))</f>
        <v/>
      </c>
      <c r="L1127">
        <f>IF($C1127="","",IFERROR(IF(INDEX(Roster!$K:$K,MATCH($C1127,Roster!$B:$B,0))="","",INDEX(Roster!$K:$K,MATCH($C1127,Roster!$B:$B,0))&amp;""),"—"))</f>
        <v/>
      </c>
      <c r="M1127" s="27" t="n"/>
      <c r="N1127" s="27" t="n"/>
      <c r="O1127" s="25">
        <f>IF($C1127="","",IF($P1127="","—",IF($P1127="Valid (Pass)","Valid","Invalid")))</f>
        <v/>
      </c>
      <c r="P1127" s="27" t="n"/>
      <c r="Q1127" s="27" t="n"/>
      <c r="R1127" s="27" t="n"/>
      <c r="S1127" s="27" t="n"/>
      <c r="T1127" s="25">
        <f>IF($C1127="","",IF(OR(ISNUMBER(SEARCH("quick case",$P1127)),ISNUMBER(SEARCH("quick case",$Q1127))),"Yes","No"))</f>
        <v/>
      </c>
      <c r="U1127" s="25">
        <f>IF($O1127="Invalid",HYPERLINK("mailto:"&amp;$G1127&amp;";"&amp;$I1127&amp;"?cc="&amp;Lists!$E$2&amp;"&amp;subject="&amp;_xlfn.ENCODEURL("[INVALID] Quality audit monitoring completed for "&amp;UPPER($C1127))&amp;"&amp;body="&amp;_xlfn.ENCODEURL("Hi "&amp;$F1127&amp;","&amp;CHAR(10)&amp;"Good day!"&amp;CHAR(10)&amp;CHAR(10)&amp;"A quality monitoring audit has been completed for "&amp;$C1127&amp;"."&amp;CHAR(10)&amp;CHAR(10)&amp;"QUALITY AUDIT DETAILS"&amp;CHAR(10)&amp;"Agent Name: "&amp;$C1127&amp;" (EID "&amp;$D1127&amp;")"&amp;CHAR(10)&amp;"Audit Date: "&amp;TEXT($B1127,"yyyy-mm-dd")&amp;CHAR(10)&amp;"Team Leader: "&amp;$F1127&amp;CHAR(10)&amp;"Case Number: "&amp;$M1127&amp;CHAR(10)&amp;"Transaction ID: "&amp;$N1127&amp;CHAR(10)&amp;"Channel / LOB: "&amp;$K1127&amp;" / "&amp;$L1127&amp;CHAR(10)&amp;"Evaluator: "&amp;$S1127&amp;CHAR(10)&amp;CHAR(10)&amp;"INVALID QUALITY AUDIT DETAILS"&amp;CHAR(10)&amp;"Validation: Invalid"&amp;CHAR(10)&amp;"Invalid Reason: "&amp;$P1127&amp;CHAR(10)&amp;"Expected Resolution Code: "&amp;$Q1127&amp;CHAR(10)&amp;"Remarks: "&amp;LEFT($R1127,600)&amp;CHAR(10)&amp;CHAR(10)&amp;"This is an automated notification from HP Mainstream EQMS."),"✉ Open Email Draft"),"")</f>
        <v/>
      </c>
    </row>
    <row r="1128">
      <c r="A1128" s="25">
        <f>IF($C1128="","","AUD-2026-"&amp;TEXT(ROW()-1,"000000"))</f>
        <v/>
      </c>
      <c r="B1128" s="26" t="n"/>
      <c r="C1128" s="27" t="n"/>
      <c r="D1128" s="25">
        <f>IF($C1128="","",IFERROR(IF(INDEX(Roster!$A:$A,MATCH($C1128,Roster!$B:$B,0))="","",INDEX(Roster!$A:$A,MATCH($C1128,Roster!$B:$B,0))&amp;""),"—"))</f>
        <v/>
      </c>
      <c r="E1128" s="25">
        <f>IF($C1128="","",IFERROR(IF(INDEX(Roster!$C:$C,MATCH($C1128,Roster!$B:$B,0))="","",INDEX(Roster!$C:$C,MATCH($C1128,Roster!$B:$B,0))&amp;""),"—"))</f>
        <v/>
      </c>
      <c r="F1128" s="25">
        <f>IF($C1128="","",IFERROR(IF(INDEX(Roster!$D:$D,MATCH($C1128,Roster!$B:$B,0))="","",INDEX(Roster!$D:$D,MATCH($C1128,Roster!$B:$B,0))&amp;""),"—"))</f>
        <v/>
      </c>
      <c r="G1128" s="25">
        <f>IF($C1128="","",IFERROR(IF(INDEX(Roster!$E:$E,MATCH($C1128,Roster!$B:$B,0))="","",INDEX(Roster!$E:$E,MATCH($C1128,Roster!$B:$B,0))&amp;""),"—"))</f>
        <v/>
      </c>
      <c r="H1128" s="25">
        <f>IF($C1128="","",IFERROR(IF(INDEX(Roster!$F:$F,MATCH($C1128,Roster!$B:$B,0))="","",INDEX(Roster!$F:$F,MATCH($C1128,Roster!$B:$B,0))&amp;""),"—"))</f>
        <v/>
      </c>
      <c r="I1128" s="25">
        <f>IF($C1128="","",IFERROR(IF(INDEX(Roster!$G:$G,MATCH($C1128,Roster!$B:$B,0))="","",INDEX(Roster!$G:$G,MATCH($C1128,Roster!$B:$B,0))&amp;""),"—"))</f>
        <v/>
      </c>
      <c r="J1128" s="25">
        <f>IF($C1128="","",IFERROR(IF(INDEX(Roster!$I:$I,MATCH($C1128,Roster!$B:$B,0))="","",INDEX(Roster!$I:$I,MATCH($C1128,Roster!$B:$B,0))&amp;""),"—"))</f>
        <v/>
      </c>
      <c r="K1128">
        <f>IF($C1128="","",IFERROR(IF(INDEX(Roster!$J:$J,MATCH($C1128,Roster!$B:$B,0))="","",INDEX(Roster!$J:$J,MATCH($C1128,Roster!$B:$B,0))&amp;""),"—"))</f>
        <v/>
      </c>
      <c r="L1128">
        <f>IF($C1128="","",IFERROR(IF(INDEX(Roster!$K:$K,MATCH($C1128,Roster!$B:$B,0))="","",INDEX(Roster!$K:$K,MATCH($C1128,Roster!$B:$B,0))&amp;""),"—"))</f>
        <v/>
      </c>
      <c r="M1128" s="27" t="n"/>
      <c r="N1128" s="27" t="n"/>
      <c r="O1128" s="25">
        <f>IF($C1128="","",IF($P1128="","—",IF($P1128="Valid (Pass)","Valid","Invalid")))</f>
        <v/>
      </c>
      <c r="P1128" s="27" t="n"/>
      <c r="Q1128" s="27" t="n"/>
      <c r="R1128" s="27" t="n"/>
      <c r="S1128" s="27" t="n"/>
      <c r="T1128" s="25">
        <f>IF($C1128="","",IF(OR(ISNUMBER(SEARCH("quick case",$P1128)),ISNUMBER(SEARCH("quick case",$Q1128))),"Yes","No"))</f>
        <v/>
      </c>
      <c r="U1128" s="25">
        <f>IF($O1128="Invalid",HYPERLINK("mailto:"&amp;$G1128&amp;";"&amp;$I1128&amp;"?cc="&amp;Lists!$E$2&amp;"&amp;subject="&amp;_xlfn.ENCODEURL("[INVALID] Quality audit monitoring completed for "&amp;UPPER($C1128))&amp;"&amp;body="&amp;_xlfn.ENCODEURL("Hi "&amp;$F1128&amp;","&amp;CHAR(10)&amp;"Good day!"&amp;CHAR(10)&amp;CHAR(10)&amp;"A quality monitoring audit has been completed for "&amp;$C1128&amp;"."&amp;CHAR(10)&amp;CHAR(10)&amp;"QUALITY AUDIT DETAILS"&amp;CHAR(10)&amp;"Agent Name: "&amp;$C1128&amp;" (EID "&amp;$D1128&amp;")"&amp;CHAR(10)&amp;"Audit Date: "&amp;TEXT($B1128,"yyyy-mm-dd")&amp;CHAR(10)&amp;"Team Leader: "&amp;$F1128&amp;CHAR(10)&amp;"Case Number: "&amp;$M1128&amp;CHAR(10)&amp;"Transaction ID: "&amp;$N1128&amp;CHAR(10)&amp;"Channel / LOB: "&amp;$K1128&amp;" / "&amp;$L1128&amp;CHAR(10)&amp;"Evaluator: "&amp;$S1128&amp;CHAR(10)&amp;CHAR(10)&amp;"INVALID QUALITY AUDIT DETAILS"&amp;CHAR(10)&amp;"Validation: Invalid"&amp;CHAR(10)&amp;"Invalid Reason: "&amp;$P1128&amp;CHAR(10)&amp;"Expected Resolution Code: "&amp;$Q1128&amp;CHAR(10)&amp;"Remarks: "&amp;LEFT($R1128,600)&amp;CHAR(10)&amp;CHAR(10)&amp;"This is an automated notification from HP Mainstream EQMS."),"✉ Open Email Draft"),"")</f>
        <v/>
      </c>
    </row>
    <row r="1129">
      <c r="A1129" s="25">
        <f>IF($C1129="","","AUD-2026-"&amp;TEXT(ROW()-1,"000000"))</f>
        <v/>
      </c>
      <c r="B1129" s="26" t="n"/>
      <c r="C1129" s="27" t="n"/>
      <c r="D1129" s="25">
        <f>IF($C1129="","",IFERROR(IF(INDEX(Roster!$A:$A,MATCH($C1129,Roster!$B:$B,0))="","",INDEX(Roster!$A:$A,MATCH($C1129,Roster!$B:$B,0))&amp;""),"—"))</f>
        <v/>
      </c>
      <c r="E1129" s="25">
        <f>IF($C1129="","",IFERROR(IF(INDEX(Roster!$C:$C,MATCH($C1129,Roster!$B:$B,0))="","",INDEX(Roster!$C:$C,MATCH($C1129,Roster!$B:$B,0))&amp;""),"—"))</f>
        <v/>
      </c>
      <c r="F1129" s="25">
        <f>IF($C1129="","",IFERROR(IF(INDEX(Roster!$D:$D,MATCH($C1129,Roster!$B:$B,0))="","",INDEX(Roster!$D:$D,MATCH($C1129,Roster!$B:$B,0))&amp;""),"—"))</f>
        <v/>
      </c>
      <c r="G1129" s="25">
        <f>IF($C1129="","",IFERROR(IF(INDEX(Roster!$E:$E,MATCH($C1129,Roster!$B:$B,0))="","",INDEX(Roster!$E:$E,MATCH($C1129,Roster!$B:$B,0))&amp;""),"—"))</f>
        <v/>
      </c>
      <c r="H1129" s="25">
        <f>IF($C1129="","",IFERROR(IF(INDEX(Roster!$F:$F,MATCH($C1129,Roster!$B:$B,0))="","",INDEX(Roster!$F:$F,MATCH($C1129,Roster!$B:$B,0))&amp;""),"—"))</f>
        <v/>
      </c>
      <c r="I1129" s="25">
        <f>IF($C1129="","",IFERROR(IF(INDEX(Roster!$G:$G,MATCH($C1129,Roster!$B:$B,0))="","",INDEX(Roster!$G:$G,MATCH($C1129,Roster!$B:$B,0))&amp;""),"—"))</f>
        <v/>
      </c>
      <c r="J1129" s="25">
        <f>IF($C1129="","",IFERROR(IF(INDEX(Roster!$I:$I,MATCH($C1129,Roster!$B:$B,0))="","",INDEX(Roster!$I:$I,MATCH($C1129,Roster!$B:$B,0))&amp;""),"—"))</f>
        <v/>
      </c>
      <c r="K1129">
        <f>IF($C1129="","",IFERROR(IF(INDEX(Roster!$J:$J,MATCH($C1129,Roster!$B:$B,0))="","",INDEX(Roster!$J:$J,MATCH($C1129,Roster!$B:$B,0))&amp;""),"—"))</f>
        <v/>
      </c>
      <c r="L1129">
        <f>IF($C1129="","",IFERROR(IF(INDEX(Roster!$K:$K,MATCH($C1129,Roster!$B:$B,0))="","",INDEX(Roster!$K:$K,MATCH($C1129,Roster!$B:$B,0))&amp;""),"—"))</f>
        <v/>
      </c>
      <c r="M1129" s="27" t="n"/>
      <c r="N1129" s="27" t="n"/>
      <c r="O1129" s="25">
        <f>IF($C1129="","",IF($P1129="","—",IF($P1129="Valid (Pass)","Valid","Invalid")))</f>
        <v/>
      </c>
      <c r="P1129" s="27" t="n"/>
      <c r="Q1129" s="27" t="n"/>
      <c r="R1129" s="27" t="n"/>
      <c r="S1129" s="27" t="n"/>
      <c r="T1129" s="25">
        <f>IF($C1129="","",IF(OR(ISNUMBER(SEARCH("quick case",$P1129)),ISNUMBER(SEARCH("quick case",$Q1129))),"Yes","No"))</f>
        <v/>
      </c>
      <c r="U1129" s="25">
        <f>IF($O1129="Invalid",HYPERLINK("mailto:"&amp;$G1129&amp;";"&amp;$I1129&amp;"?cc="&amp;Lists!$E$2&amp;"&amp;subject="&amp;_xlfn.ENCODEURL("[INVALID] Quality audit monitoring completed for "&amp;UPPER($C1129))&amp;"&amp;body="&amp;_xlfn.ENCODEURL("Hi "&amp;$F1129&amp;","&amp;CHAR(10)&amp;"Good day!"&amp;CHAR(10)&amp;CHAR(10)&amp;"A quality monitoring audit has been completed for "&amp;$C1129&amp;"."&amp;CHAR(10)&amp;CHAR(10)&amp;"QUALITY AUDIT DETAILS"&amp;CHAR(10)&amp;"Agent Name: "&amp;$C1129&amp;" (EID "&amp;$D1129&amp;")"&amp;CHAR(10)&amp;"Audit Date: "&amp;TEXT($B1129,"yyyy-mm-dd")&amp;CHAR(10)&amp;"Team Leader: "&amp;$F1129&amp;CHAR(10)&amp;"Case Number: "&amp;$M1129&amp;CHAR(10)&amp;"Transaction ID: "&amp;$N1129&amp;CHAR(10)&amp;"Channel / LOB: "&amp;$K1129&amp;" / "&amp;$L1129&amp;CHAR(10)&amp;"Evaluator: "&amp;$S1129&amp;CHAR(10)&amp;CHAR(10)&amp;"INVALID QUALITY AUDIT DETAILS"&amp;CHAR(10)&amp;"Validation: Invalid"&amp;CHAR(10)&amp;"Invalid Reason: "&amp;$P1129&amp;CHAR(10)&amp;"Expected Resolution Code: "&amp;$Q1129&amp;CHAR(10)&amp;"Remarks: "&amp;LEFT($R1129,600)&amp;CHAR(10)&amp;CHAR(10)&amp;"This is an automated notification from HP Mainstream EQMS."),"✉ Open Email Draft"),"")</f>
        <v/>
      </c>
    </row>
    <row r="1130">
      <c r="A1130" s="25">
        <f>IF($C1130="","","AUD-2026-"&amp;TEXT(ROW()-1,"000000"))</f>
        <v/>
      </c>
      <c r="B1130" s="26" t="n"/>
      <c r="C1130" s="27" t="n"/>
      <c r="D1130" s="25">
        <f>IF($C1130="","",IFERROR(IF(INDEX(Roster!$A:$A,MATCH($C1130,Roster!$B:$B,0))="","",INDEX(Roster!$A:$A,MATCH($C1130,Roster!$B:$B,0))&amp;""),"—"))</f>
        <v/>
      </c>
      <c r="E1130" s="25">
        <f>IF($C1130="","",IFERROR(IF(INDEX(Roster!$C:$C,MATCH($C1130,Roster!$B:$B,0))="","",INDEX(Roster!$C:$C,MATCH($C1130,Roster!$B:$B,0))&amp;""),"—"))</f>
        <v/>
      </c>
      <c r="F1130" s="25">
        <f>IF($C1130="","",IFERROR(IF(INDEX(Roster!$D:$D,MATCH($C1130,Roster!$B:$B,0))="","",INDEX(Roster!$D:$D,MATCH($C1130,Roster!$B:$B,0))&amp;""),"—"))</f>
        <v/>
      </c>
      <c r="G1130" s="25">
        <f>IF($C1130="","",IFERROR(IF(INDEX(Roster!$E:$E,MATCH($C1130,Roster!$B:$B,0))="","",INDEX(Roster!$E:$E,MATCH($C1130,Roster!$B:$B,0))&amp;""),"—"))</f>
        <v/>
      </c>
      <c r="H1130" s="25">
        <f>IF($C1130="","",IFERROR(IF(INDEX(Roster!$F:$F,MATCH($C1130,Roster!$B:$B,0))="","",INDEX(Roster!$F:$F,MATCH($C1130,Roster!$B:$B,0))&amp;""),"—"))</f>
        <v/>
      </c>
      <c r="I1130" s="25">
        <f>IF($C1130="","",IFERROR(IF(INDEX(Roster!$G:$G,MATCH($C1130,Roster!$B:$B,0))="","",INDEX(Roster!$G:$G,MATCH($C1130,Roster!$B:$B,0))&amp;""),"—"))</f>
        <v/>
      </c>
      <c r="J1130" s="25">
        <f>IF($C1130="","",IFERROR(IF(INDEX(Roster!$I:$I,MATCH($C1130,Roster!$B:$B,0))="","",INDEX(Roster!$I:$I,MATCH($C1130,Roster!$B:$B,0))&amp;""),"—"))</f>
        <v/>
      </c>
      <c r="K1130">
        <f>IF($C1130="","",IFERROR(IF(INDEX(Roster!$J:$J,MATCH($C1130,Roster!$B:$B,0))="","",INDEX(Roster!$J:$J,MATCH($C1130,Roster!$B:$B,0))&amp;""),"—"))</f>
        <v/>
      </c>
      <c r="L1130">
        <f>IF($C1130="","",IFERROR(IF(INDEX(Roster!$K:$K,MATCH($C1130,Roster!$B:$B,0))="","",INDEX(Roster!$K:$K,MATCH($C1130,Roster!$B:$B,0))&amp;""),"—"))</f>
        <v/>
      </c>
      <c r="M1130" s="27" t="n"/>
      <c r="N1130" s="27" t="n"/>
      <c r="O1130" s="25">
        <f>IF($C1130="","",IF($P1130="","—",IF($P1130="Valid (Pass)","Valid","Invalid")))</f>
        <v/>
      </c>
      <c r="P1130" s="27" t="n"/>
      <c r="Q1130" s="27" t="n"/>
      <c r="R1130" s="27" t="n"/>
      <c r="S1130" s="27" t="n"/>
      <c r="T1130" s="25">
        <f>IF($C1130="","",IF(OR(ISNUMBER(SEARCH("quick case",$P1130)),ISNUMBER(SEARCH("quick case",$Q1130))),"Yes","No"))</f>
        <v/>
      </c>
      <c r="U1130" s="25">
        <f>IF($O1130="Invalid",HYPERLINK("mailto:"&amp;$G1130&amp;";"&amp;$I1130&amp;"?cc="&amp;Lists!$E$2&amp;"&amp;subject="&amp;_xlfn.ENCODEURL("[INVALID] Quality audit monitoring completed for "&amp;UPPER($C1130))&amp;"&amp;body="&amp;_xlfn.ENCODEURL("Hi "&amp;$F1130&amp;","&amp;CHAR(10)&amp;"Good day!"&amp;CHAR(10)&amp;CHAR(10)&amp;"A quality monitoring audit has been completed for "&amp;$C1130&amp;"."&amp;CHAR(10)&amp;CHAR(10)&amp;"QUALITY AUDIT DETAILS"&amp;CHAR(10)&amp;"Agent Name: "&amp;$C1130&amp;" (EID "&amp;$D1130&amp;")"&amp;CHAR(10)&amp;"Audit Date: "&amp;TEXT($B1130,"yyyy-mm-dd")&amp;CHAR(10)&amp;"Team Leader: "&amp;$F1130&amp;CHAR(10)&amp;"Case Number: "&amp;$M1130&amp;CHAR(10)&amp;"Transaction ID: "&amp;$N1130&amp;CHAR(10)&amp;"Channel / LOB: "&amp;$K1130&amp;" / "&amp;$L1130&amp;CHAR(10)&amp;"Evaluator: "&amp;$S1130&amp;CHAR(10)&amp;CHAR(10)&amp;"INVALID QUALITY AUDIT DETAILS"&amp;CHAR(10)&amp;"Validation: Invalid"&amp;CHAR(10)&amp;"Invalid Reason: "&amp;$P1130&amp;CHAR(10)&amp;"Expected Resolution Code: "&amp;$Q1130&amp;CHAR(10)&amp;"Remarks: "&amp;LEFT($R1130,600)&amp;CHAR(10)&amp;CHAR(10)&amp;"This is an automated notification from HP Mainstream EQMS."),"✉ Open Email Draft"),"")</f>
        <v/>
      </c>
    </row>
    <row r="1131">
      <c r="A1131" s="25">
        <f>IF($C1131="","","AUD-2026-"&amp;TEXT(ROW()-1,"000000"))</f>
        <v/>
      </c>
      <c r="B1131" s="26" t="n"/>
      <c r="C1131" s="27" t="n"/>
      <c r="D1131" s="25">
        <f>IF($C1131="","",IFERROR(IF(INDEX(Roster!$A:$A,MATCH($C1131,Roster!$B:$B,0))="","",INDEX(Roster!$A:$A,MATCH($C1131,Roster!$B:$B,0))&amp;""),"—"))</f>
        <v/>
      </c>
      <c r="E1131" s="25">
        <f>IF($C1131="","",IFERROR(IF(INDEX(Roster!$C:$C,MATCH($C1131,Roster!$B:$B,0))="","",INDEX(Roster!$C:$C,MATCH($C1131,Roster!$B:$B,0))&amp;""),"—"))</f>
        <v/>
      </c>
      <c r="F1131" s="25">
        <f>IF($C1131="","",IFERROR(IF(INDEX(Roster!$D:$D,MATCH($C1131,Roster!$B:$B,0))="","",INDEX(Roster!$D:$D,MATCH($C1131,Roster!$B:$B,0))&amp;""),"—"))</f>
        <v/>
      </c>
      <c r="G1131" s="25">
        <f>IF($C1131="","",IFERROR(IF(INDEX(Roster!$E:$E,MATCH($C1131,Roster!$B:$B,0))="","",INDEX(Roster!$E:$E,MATCH($C1131,Roster!$B:$B,0))&amp;""),"—"))</f>
        <v/>
      </c>
      <c r="H1131" s="25">
        <f>IF($C1131="","",IFERROR(IF(INDEX(Roster!$F:$F,MATCH($C1131,Roster!$B:$B,0))="","",INDEX(Roster!$F:$F,MATCH($C1131,Roster!$B:$B,0))&amp;""),"—"))</f>
        <v/>
      </c>
      <c r="I1131" s="25">
        <f>IF($C1131="","",IFERROR(IF(INDEX(Roster!$G:$G,MATCH($C1131,Roster!$B:$B,0))="","",INDEX(Roster!$G:$G,MATCH($C1131,Roster!$B:$B,0))&amp;""),"—"))</f>
        <v/>
      </c>
      <c r="J1131" s="25">
        <f>IF($C1131="","",IFERROR(IF(INDEX(Roster!$I:$I,MATCH($C1131,Roster!$B:$B,0))="","",INDEX(Roster!$I:$I,MATCH($C1131,Roster!$B:$B,0))&amp;""),"—"))</f>
        <v/>
      </c>
      <c r="K1131">
        <f>IF($C1131="","",IFERROR(IF(INDEX(Roster!$J:$J,MATCH($C1131,Roster!$B:$B,0))="","",INDEX(Roster!$J:$J,MATCH($C1131,Roster!$B:$B,0))&amp;""),"—"))</f>
        <v/>
      </c>
      <c r="L1131">
        <f>IF($C1131="","",IFERROR(IF(INDEX(Roster!$K:$K,MATCH($C1131,Roster!$B:$B,0))="","",INDEX(Roster!$K:$K,MATCH($C1131,Roster!$B:$B,0))&amp;""),"—"))</f>
        <v/>
      </c>
      <c r="M1131" s="27" t="n"/>
      <c r="N1131" s="27" t="n"/>
      <c r="O1131" s="25">
        <f>IF($C1131="","",IF($P1131="","—",IF($P1131="Valid (Pass)","Valid","Invalid")))</f>
        <v/>
      </c>
      <c r="P1131" s="27" t="n"/>
      <c r="Q1131" s="27" t="n"/>
      <c r="R1131" s="27" t="n"/>
      <c r="S1131" s="27" t="n"/>
      <c r="T1131" s="25">
        <f>IF($C1131="","",IF(OR(ISNUMBER(SEARCH("quick case",$P1131)),ISNUMBER(SEARCH("quick case",$Q1131))),"Yes","No"))</f>
        <v/>
      </c>
      <c r="U1131" s="25">
        <f>IF($O1131="Invalid",HYPERLINK("mailto:"&amp;$G1131&amp;";"&amp;$I1131&amp;"?cc="&amp;Lists!$E$2&amp;"&amp;subject="&amp;_xlfn.ENCODEURL("[INVALID] Quality audit monitoring completed for "&amp;UPPER($C1131))&amp;"&amp;body="&amp;_xlfn.ENCODEURL("Hi "&amp;$F1131&amp;","&amp;CHAR(10)&amp;"Good day!"&amp;CHAR(10)&amp;CHAR(10)&amp;"A quality monitoring audit has been completed for "&amp;$C1131&amp;"."&amp;CHAR(10)&amp;CHAR(10)&amp;"QUALITY AUDIT DETAILS"&amp;CHAR(10)&amp;"Agent Name: "&amp;$C1131&amp;" (EID "&amp;$D1131&amp;")"&amp;CHAR(10)&amp;"Audit Date: "&amp;TEXT($B1131,"yyyy-mm-dd")&amp;CHAR(10)&amp;"Team Leader: "&amp;$F1131&amp;CHAR(10)&amp;"Case Number: "&amp;$M1131&amp;CHAR(10)&amp;"Transaction ID: "&amp;$N1131&amp;CHAR(10)&amp;"Channel / LOB: "&amp;$K1131&amp;" / "&amp;$L1131&amp;CHAR(10)&amp;"Evaluator: "&amp;$S1131&amp;CHAR(10)&amp;CHAR(10)&amp;"INVALID QUALITY AUDIT DETAILS"&amp;CHAR(10)&amp;"Validation: Invalid"&amp;CHAR(10)&amp;"Invalid Reason: "&amp;$P1131&amp;CHAR(10)&amp;"Expected Resolution Code: "&amp;$Q1131&amp;CHAR(10)&amp;"Remarks: "&amp;LEFT($R1131,600)&amp;CHAR(10)&amp;CHAR(10)&amp;"This is an automated notification from HP Mainstream EQMS."),"✉ Open Email Draft"),"")</f>
        <v/>
      </c>
    </row>
    <row r="1132">
      <c r="A1132" s="25">
        <f>IF($C1132="","","AUD-2026-"&amp;TEXT(ROW()-1,"000000"))</f>
        <v/>
      </c>
      <c r="B1132" s="26" t="n"/>
      <c r="C1132" s="27" t="n"/>
      <c r="D1132" s="25">
        <f>IF($C1132="","",IFERROR(IF(INDEX(Roster!$A:$A,MATCH($C1132,Roster!$B:$B,0))="","",INDEX(Roster!$A:$A,MATCH($C1132,Roster!$B:$B,0))&amp;""),"—"))</f>
        <v/>
      </c>
      <c r="E1132" s="25">
        <f>IF($C1132="","",IFERROR(IF(INDEX(Roster!$C:$C,MATCH($C1132,Roster!$B:$B,0))="","",INDEX(Roster!$C:$C,MATCH($C1132,Roster!$B:$B,0))&amp;""),"—"))</f>
        <v/>
      </c>
      <c r="F1132" s="25">
        <f>IF($C1132="","",IFERROR(IF(INDEX(Roster!$D:$D,MATCH($C1132,Roster!$B:$B,0))="","",INDEX(Roster!$D:$D,MATCH($C1132,Roster!$B:$B,0))&amp;""),"—"))</f>
        <v/>
      </c>
      <c r="G1132" s="25">
        <f>IF($C1132="","",IFERROR(IF(INDEX(Roster!$E:$E,MATCH($C1132,Roster!$B:$B,0))="","",INDEX(Roster!$E:$E,MATCH($C1132,Roster!$B:$B,0))&amp;""),"—"))</f>
        <v/>
      </c>
      <c r="H1132" s="25">
        <f>IF($C1132="","",IFERROR(IF(INDEX(Roster!$F:$F,MATCH($C1132,Roster!$B:$B,0))="","",INDEX(Roster!$F:$F,MATCH($C1132,Roster!$B:$B,0))&amp;""),"—"))</f>
        <v/>
      </c>
      <c r="I1132" s="25">
        <f>IF($C1132="","",IFERROR(IF(INDEX(Roster!$G:$G,MATCH($C1132,Roster!$B:$B,0))="","",INDEX(Roster!$G:$G,MATCH($C1132,Roster!$B:$B,0))&amp;""),"—"))</f>
        <v/>
      </c>
      <c r="J1132" s="25">
        <f>IF($C1132="","",IFERROR(IF(INDEX(Roster!$I:$I,MATCH($C1132,Roster!$B:$B,0))="","",INDEX(Roster!$I:$I,MATCH($C1132,Roster!$B:$B,0))&amp;""),"—"))</f>
        <v/>
      </c>
      <c r="K1132">
        <f>IF($C1132="","",IFERROR(IF(INDEX(Roster!$J:$J,MATCH($C1132,Roster!$B:$B,0))="","",INDEX(Roster!$J:$J,MATCH($C1132,Roster!$B:$B,0))&amp;""),"—"))</f>
        <v/>
      </c>
      <c r="L1132">
        <f>IF($C1132="","",IFERROR(IF(INDEX(Roster!$K:$K,MATCH($C1132,Roster!$B:$B,0))="","",INDEX(Roster!$K:$K,MATCH($C1132,Roster!$B:$B,0))&amp;""),"—"))</f>
        <v/>
      </c>
      <c r="M1132" s="27" t="n"/>
      <c r="N1132" s="27" t="n"/>
      <c r="O1132" s="25">
        <f>IF($C1132="","",IF($P1132="","—",IF($P1132="Valid (Pass)","Valid","Invalid")))</f>
        <v/>
      </c>
      <c r="P1132" s="27" t="n"/>
      <c r="Q1132" s="27" t="n"/>
      <c r="R1132" s="27" t="n"/>
      <c r="S1132" s="27" t="n"/>
      <c r="T1132" s="25">
        <f>IF($C1132="","",IF(OR(ISNUMBER(SEARCH("quick case",$P1132)),ISNUMBER(SEARCH("quick case",$Q1132))),"Yes","No"))</f>
        <v/>
      </c>
      <c r="U1132" s="25">
        <f>IF($O1132="Invalid",HYPERLINK("mailto:"&amp;$G1132&amp;";"&amp;$I1132&amp;"?cc="&amp;Lists!$E$2&amp;"&amp;subject="&amp;_xlfn.ENCODEURL("[INVALID] Quality audit monitoring completed for "&amp;UPPER($C1132))&amp;"&amp;body="&amp;_xlfn.ENCODEURL("Hi "&amp;$F1132&amp;","&amp;CHAR(10)&amp;"Good day!"&amp;CHAR(10)&amp;CHAR(10)&amp;"A quality monitoring audit has been completed for "&amp;$C1132&amp;"."&amp;CHAR(10)&amp;CHAR(10)&amp;"QUALITY AUDIT DETAILS"&amp;CHAR(10)&amp;"Agent Name: "&amp;$C1132&amp;" (EID "&amp;$D1132&amp;")"&amp;CHAR(10)&amp;"Audit Date: "&amp;TEXT($B1132,"yyyy-mm-dd")&amp;CHAR(10)&amp;"Team Leader: "&amp;$F1132&amp;CHAR(10)&amp;"Case Number: "&amp;$M1132&amp;CHAR(10)&amp;"Transaction ID: "&amp;$N1132&amp;CHAR(10)&amp;"Channel / LOB: "&amp;$K1132&amp;" / "&amp;$L1132&amp;CHAR(10)&amp;"Evaluator: "&amp;$S1132&amp;CHAR(10)&amp;CHAR(10)&amp;"INVALID QUALITY AUDIT DETAILS"&amp;CHAR(10)&amp;"Validation: Invalid"&amp;CHAR(10)&amp;"Invalid Reason: "&amp;$P1132&amp;CHAR(10)&amp;"Expected Resolution Code: "&amp;$Q1132&amp;CHAR(10)&amp;"Remarks: "&amp;LEFT($R1132,600)&amp;CHAR(10)&amp;CHAR(10)&amp;"This is an automated notification from HP Mainstream EQMS."),"✉ Open Email Draft"),"")</f>
        <v/>
      </c>
    </row>
    <row r="1133">
      <c r="A1133" s="25">
        <f>IF($C1133="","","AUD-2026-"&amp;TEXT(ROW()-1,"000000"))</f>
        <v/>
      </c>
      <c r="B1133" s="26" t="n"/>
      <c r="C1133" s="27" t="n"/>
      <c r="D1133" s="25">
        <f>IF($C1133="","",IFERROR(IF(INDEX(Roster!$A:$A,MATCH($C1133,Roster!$B:$B,0))="","",INDEX(Roster!$A:$A,MATCH($C1133,Roster!$B:$B,0))&amp;""),"—"))</f>
        <v/>
      </c>
      <c r="E1133" s="25">
        <f>IF($C1133="","",IFERROR(IF(INDEX(Roster!$C:$C,MATCH($C1133,Roster!$B:$B,0))="","",INDEX(Roster!$C:$C,MATCH($C1133,Roster!$B:$B,0))&amp;""),"—"))</f>
        <v/>
      </c>
      <c r="F1133" s="25">
        <f>IF($C1133="","",IFERROR(IF(INDEX(Roster!$D:$D,MATCH($C1133,Roster!$B:$B,0))="","",INDEX(Roster!$D:$D,MATCH($C1133,Roster!$B:$B,0))&amp;""),"—"))</f>
        <v/>
      </c>
      <c r="G1133" s="25">
        <f>IF($C1133="","",IFERROR(IF(INDEX(Roster!$E:$E,MATCH($C1133,Roster!$B:$B,0))="","",INDEX(Roster!$E:$E,MATCH($C1133,Roster!$B:$B,0))&amp;""),"—"))</f>
        <v/>
      </c>
      <c r="H1133" s="25">
        <f>IF($C1133="","",IFERROR(IF(INDEX(Roster!$F:$F,MATCH($C1133,Roster!$B:$B,0))="","",INDEX(Roster!$F:$F,MATCH($C1133,Roster!$B:$B,0))&amp;""),"—"))</f>
        <v/>
      </c>
      <c r="I1133" s="25">
        <f>IF($C1133="","",IFERROR(IF(INDEX(Roster!$G:$G,MATCH($C1133,Roster!$B:$B,0))="","",INDEX(Roster!$G:$G,MATCH($C1133,Roster!$B:$B,0))&amp;""),"—"))</f>
        <v/>
      </c>
      <c r="J1133" s="25">
        <f>IF($C1133="","",IFERROR(IF(INDEX(Roster!$I:$I,MATCH($C1133,Roster!$B:$B,0))="","",INDEX(Roster!$I:$I,MATCH($C1133,Roster!$B:$B,0))&amp;""),"—"))</f>
        <v/>
      </c>
      <c r="K1133">
        <f>IF($C1133="","",IFERROR(IF(INDEX(Roster!$J:$J,MATCH($C1133,Roster!$B:$B,0))="","",INDEX(Roster!$J:$J,MATCH($C1133,Roster!$B:$B,0))&amp;""),"—"))</f>
        <v/>
      </c>
      <c r="L1133">
        <f>IF($C1133="","",IFERROR(IF(INDEX(Roster!$K:$K,MATCH($C1133,Roster!$B:$B,0))="","",INDEX(Roster!$K:$K,MATCH($C1133,Roster!$B:$B,0))&amp;""),"—"))</f>
        <v/>
      </c>
      <c r="M1133" s="27" t="n"/>
      <c r="N1133" s="27" t="n"/>
      <c r="O1133" s="25">
        <f>IF($C1133="","",IF($P1133="","—",IF($P1133="Valid (Pass)","Valid","Invalid")))</f>
        <v/>
      </c>
      <c r="P1133" s="27" t="n"/>
      <c r="Q1133" s="27" t="n"/>
      <c r="R1133" s="27" t="n"/>
      <c r="S1133" s="27" t="n"/>
      <c r="T1133" s="25">
        <f>IF($C1133="","",IF(OR(ISNUMBER(SEARCH("quick case",$P1133)),ISNUMBER(SEARCH("quick case",$Q1133))),"Yes","No"))</f>
        <v/>
      </c>
      <c r="U1133" s="25">
        <f>IF($O1133="Invalid",HYPERLINK("mailto:"&amp;$G1133&amp;";"&amp;$I1133&amp;"?cc="&amp;Lists!$E$2&amp;"&amp;subject="&amp;_xlfn.ENCODEURL("[INVALID] Quality audit monitoring completed for "&amp;UPPER($C1133))&amp;"&amp;body="&amp;_xlfn.ENCODEURL("Hi "&amp;$F1133&amp;","&amp;CHAR(10)&amp;"Good day!"&amp;CHAR(10)&amp;CHAR(10)&amp;"A quality monitoring audit has been completed for "&amp;$C1133&amp;"."&amp;CHAR(10)&amp;CHAR(10)&amp;"QUALITY AUDIT DETAILS"&amp;CHAR(10)&amp;"Agent Name: "&amp;$C1133&amp;" (EID "&amp;$D1133&amp;")"&amp;CHAR(10)&amp;"Audit Date: "&amp;TEXT($B1133,"yyyy-mm-dd")&amp;CHAR(10)&amp;"Team Leader: "&amp;$F1133&amp;CHAR(10)&amp;"Case Number: "&amp;$M1133&amp;CHAR(10)&amp;"Transaction ID: "&amp;$N1133&amp;CHAR(10)&amp;"Channel / LOB: "&amp;$K1133&amp;" / "&amp;$L1133&amp;CHAR(10)&amp;"Evaluator: "&amp;$S1133&amp;CHAR(10)&amp;CHAR(10)&amp;"INVALID QUALITY AUDIT DETAILS"&amp;CHAR(10)&amp;"Validation: Invalid"&amp;CHAR(10)&amp;"Invalid Reason: "&amp;$P1133&amp;CHAR(10)&amp;"Expected Resolution Code: "&amp;$Q1133&amp;CHAR(10)&amp;"Remarks: "&amp;LEFT($R1133,600)&amp;CHAR(10)&amp;CHAR(10)&amp;"This is an automated notification from HP Mainstream EQMS."),"✉ Open Email Draft"),"")</f>
        <v/>
      </c>
    </row>
    <row r="1134">
      <c r="A1134" s="25">
        <f>IF($C1134="","","AUD-2026-"&amp;TEXT(ROW()-1,"000000"))</f>
        <v/>
      </c>
      <c r="B1134" s="26" t="n"/>
      <c r="C1134" s="27" t="n"/>
      <c r="D1134" s="25">
        <f>IF($C1134="","",IFERROR(IF(INDEX(Roster!$A:$A,MATCH($C1134,Roster!$B:$B,0))="","",INDEX(Roster!$A:$A,MATCH($C1134,Roster!$B:$B,0))&amp;""),"—"))</f>
        <v/>
      </c>
      <c r="E1134" s="25">
        <f>IF($C1134="","",IFERROR(IF(INDEX(Roster!$C:$C,MATCH($C1134,Roster!$B:$B,0))="","",INDEX(Roster!$C:$C,MATCH($C1134,Roster!$B:$B,0))&amp;""),"—"))</f>
        <v/>
      </c>
      <c r="F1134" s="25">
        <f>IF($C1134="","",IFERROR(IF(INDEX(Roster!$D:$D,MATCH($C1134,Roster!$B:$B,0))="","",INDEX(Roster!$D:$D,MATCH($C1134,Roster!$B:$B,0))&amp;""),"—"))</f>
        <v/>
      </c>
      <c r="G1134" s="25">
        <f>IF($C1134="","",IFERROR(IF(INDEX(Roster!$E:$E,MATCH($C1134,Roster!$B:$B,0))="","",INDEX(Roster!$E:$E,MATCH($C1134,Roster!$B:$B,0))&amp;""),"—"))</f>
        <v/>
      </c>
      <c r="H1134" s="25">
        <f>IF($C1134="","",IFERROR(IF(INDEX(Roster!$F:$F,MATCH($C1134,Roster!$B:$B,0))="","",INDEX(Roster!$F:$F,MATCH($C1134,Roster!$B:$B,0))&amp;""),"—"))</f>
        <v/>
      </c>
      <c r="I1134" s="25">
        <f>IF($C1134="","",IFERROR(IF(INDEX(Roster!$G:$G,MATCH($C1134,Roster!$B:$B,0))="","",INDEX(Roster!$G:$G,MATCH($C1134,Roster!$B:$B,0))&amp;""),"—"))</f>
        <v/>
      </c>
      <c r="J1134" s="25">
        <f>IF($C1134="","",IFERROR(IF(INDEX(Roster!$I:$I,MATCH($C1134,Roster!$B:$B,0))="","",INDEX(Roster!$I:$I,MATCH($C1134,Roster!$B:$B,0))&amp;""),"—"))</f>
        <v/>
      </c>
      <c r="K1134">
        <f>IF($C1134="","",IFERROR(IF(INDEX(Roster!$J:$J,MATCH($C1134,Roster!$B:$B,0))="","",INDEX(Roster!$J:$J,MATCH($C1134,Roster!$B:$B,0))&amp;""),"—"))</f>
        <v/>
      </c>
      <c r="L1134">
        <f>IF($C1134="","",IFERROR(IF(INDEX(Roster!$K:$K,MATCH($C1134,Roster!$B:$B,0))="","",INDEX(Roster!$K:$K,MATCH($C1134,Roster!$B:$B,0))&amp;""),"—"))</f>
        <v/>
      </c>
      <c r="M1134" s="27" t="n"/>
      <c r="N1134" s="27" t="n"/>
      <c r="O1134" s="25">
        <f>IF($C1134="","",IF($P1134="","—",IF($P1134="Valid (Pass)","Valid","Invalid")))</f>
        <v/>
      </c>
      <c r="P1134" s="27" t="n"/>
      <c r="Q1134" s="27" t="n"/>
      <c r="R1134" s="27" t="n"/>
      <c r="S1134" s="27" t="n"/>
      <c r="T1134" s="25">
        <f>IF($C1134="","",IF(OR(ISNUMBER(SEARCH("quick case",$P1134)),ISNUMBER(SEARCH("quick case",$Q1134))),"Yes","No"))</f>
        <v/>
      </c>
      <c r="U1134" s="25">
        <f>IF($O1134="Invalid",HYPERLINK("mailto:"&amp;$G1134&amp;";"&amp;$I1134&amp;"?cc="&amp;Lists!$E$2&amp;"&amp;subject="&amp;_xlfn.ENCODEURL("[INVALID] Quality audit monitoring completed for "&amp;UPPER($C1134))&amp;"&amp;body="&amp;_xlfn.ENCODEURL("Hi "&amp;$F1134&amp;","&amp;CHAR(10)&amp;"Good day!"&amp;CHAR(10)&amp;CHAR(10)&amp;"A quality monitoring audit has been completed for "&amp;$C1134&amp;"."&amp;CHAR(10)&amp;CHAR(10)&amp;"QUALITY AUDIT DETAILS"&amp;CHAR(10)&amp;"Agent Name: "&amp;$C1134&amp;" (EID "&amp;$D1134&amp;")"&amp;CHAR(10)&amp;"Audit Date: "&amp;TEXT($B1134,"yyyy-mm-dd")&amp;CHAR(10)&amp;"Team Leader: "&amp;$F1134&amp;CHAR(10)&amp;"Case Number: "&amp;$M1134&amp;CHAR(10)&amp;"Transaction ID: "&amp;$N1134&amp;CHAR(10)&amp;"Channel / LOB: "&amp;$K1134&amp;" / "&amp;$L1134&amp;CHAR(10)&amp;"Evaluator: "&amp;$S1134&amp;CHAR(10)&amp;CHAR(10)&amp;"INVALID QUALITY AUDIT DETAILS"&amp;CHAR(10)&amp;"Validation: Invalid"&amp;CHAR(10)&amp;"Invalid Reason: "&amp;$P1134&amp;CHAR(10)&amp;"Expected Resolution Code: "&amp;$Q1134&amp;CHAR(10)&amp;"Remarks: "&amp;LEFT($R1134,600)&amp;CHAR(10)&amp;CHAR(10)&amp;"This is an automated notification from HP Mainstream EQMS."),"✉ Open Email Draft"),"")</f>
        <v/>
      </c>
    </row>
    <row r="1135">
      <c r="A1135" s="25">
        <f>IF($C1135="","","AUD-2026-"&amp;TEXT(ROW()-1,"000000"))</f>
        <v/>
      </c>
      <c r="B1135" s="26" t="n"/>
      <c r="C1135" s="27" t="n"/>
      <c r="D1135" s="25">
        <f>IF($C1135="","",IFERROR(IF(INDEX(Roster!$A:$A,MATCH($C1135,Roster!$B:$B,0))="","",INDEX(Roster!$A:$A,MATCH($C1135,Roster!$B:$B,0))&amp;""),"—"))</f>
        <v/>
      </c>
      <c r="E1135" s="25">
        <f>IF($C1135="","",IFERROR(IF(INDEX(Roster!$C:$C,MATCH($C1135,Roster!$B:$B,0))="","",INDEX(Roster!$C:$C,MATCH($C1135,Roster!$B:$B,0))&amp;""),"—"))</f>
        <v/>
      </c>
      <c r="F1135" s="25">
        <f>IF($C1135="","",IFERROR(IF(INDEX(Roster!$D:$D,MATCH($C1135,Roster!$B:$B,0))="","",INDEX(Roster!$D:$D,MATCH($C1135,Roster!$B:$B,0))&amp;""),"—"))</f>
        <v/>
      </c>
      <c r="G1135" s="25">
        <f>IF($C1135="","",IFERROR(IF(INDEX(Roster!$E:$E,MATCH($C1135,Roster!$B:$B,0))="","",INDEX(Roster!$E:$E,MATCH($C1135,Roster!$B:$B,0))&amp;""),"—"))</f>
        <v/>
      </c>
      <c r="H1135" s="25">
        <f>IF($C1135="","",IFERROR(IF(INDEX(Roster!$F:$F,MATCH($C1135,Roster!$B:$B,0))="","",INDEX(Roster!$F:$F,MATCH($C1135,Roster!$B:$B,0))&amp;""),"—"))</f>
        <v/>
      </c>
      <c r="I1135" s="25">
        <f>IF($C1135="","",IFERROR(IF(INDEX(Roster!$G:$G,MATCH($C1135,Roster!$B:$B,0))="","",INDEX(Roster!$G:$G,MATCH($C1135,Roster!$B:$B,0))&amp;""),"—"))</f>
        <v/>
      </c>
      <c r="J1135" s="25">
        <f>IF($C1135="","",IFERROR(IF(INDEX(Roster!$I:$I,MATCH($C1135,Roster!$B:$B,0))="","",INDEX(Roster!$I:$I,MATCH($C1135,Roster!$B:$B,0))&amp;""),"—"))</f>
        <v/>
      </c>
      <c r="K1135">
        <f>IF($C1135="","",IFERROR(IF(INDEX(Roster!$J:$J,MATCH($C1135,Roster!$B:$B,0))="","",INDEX(Roster!$J:$J,MATCH($C1135,Roster!$B:$B,0))&amp;""),"—"))</f>
        <v/>
      </c>
      <c r="L1135">
        <f>IF($C1135="","",IFERROR(IF(INDEX(Roster!$K:$K,MATCH($C1135,Roster!$B:$B,0))="","",INDEX(Roster!$K:$K,MATCH($C1135,Roster!$B:$B,0))&amp;""),"—"))</f>
        <v/>
      </c>
      <c r="M1135" s="27" t="n"/>
      <c r="N1135" s="27" t="n"/>
      <c r="O1135" s="25">
        <f>IF($C1135="","",IF($P1135="","—",IF($P1135="Valid (Pass)","Valid","Invalid")))</f>
        <v/>
      </c>
      <c r="P1135" s="27" t="n"/>
      <c r="Q1135" s="27" t="n"/>
      <c r="R1135" s="27" t="n"/>
      <c r="S1135" s="27" t="n"/>
      <c r="T1135" s="25">
        <f>IF($C1135="","",IF(OR(ISNUMBER(SEARCH("quick case",$P1135)),ISNUMBER(SEARCH("quick case",$Q1135))),"Yes","No"))</f>
        <v/>
      </c>
      <c r="U1135" s="25">
        <f>IF($O1135="Invalid",HYPERLINK("mailto:"&amp;$G1135&amp;";"&amp;$I1135&amp;"?cc="&amp;Lists!$E$2&amp;"&amp;subject="&amp;_xlfn.ENCODEURL("[INVALID] Quality audit monitoring completed for "&amp;UPPER($C1135))&amp;"&amp;body="&amp;_xlfn.ENCODEURL("Hi "&amp;$F1135&amp;","&amp;CHAR(10)&amp;"Good day!"&amp;CHAR(10)&amp;CHAR(10)&amp;"A quality monitoring audit has been completed for "&amp;$C1135&amp;"."&amp;CHAR(10)&amp;CHAR(10)&amp;"QUALITY AUDIT DETAILS"&amp;CHAR(10)&amp;"Agent Name: "&amp;$C1135&amp;" (EID "&amp;$D1135&amp;")"&amp;CHAR(10)&amp;"Audit Date: "&amp;TEXT($B1135,"yyyy-mm-dd")&amp;CHAR(10)&amp;"Team Leader: "&amp;$F1135&amp;CHAR(10)&amp;"Case Number: "&amp;$M1135&amp;CHAR(10)&amp;"Transaction ID: "&amp;$N1135&amp;CHAR(10)&amp;"Channel / LOB: "&amp;$K1135&amp;" / "&amp;$L1135&amp;CHAR(10)&amp;"Evaluator: "&amp;$S1135&amp;CHAR(10)&amp;CHAR(10)&amp;"INVALID QUALITY AUDIT DETAILS"&amp;CHAR(10)&amp;"Validation: Invalid"&amp;CHAR(10)&amp;"Invalid Reason: "&amp;$P1135&amp;CHAR(10)&amp;"Expected Resolution Code: "&amp;$Q1135&amp;CHAR(10)&amp;"Remarks: "&amp;LEFT($R1135,600)&amp;CHAR(10)&amp;CHAR(10)&amp;"This is an automated notification from HP Mainstream EQMS."),"✉ Open Email Draft"),"")</f>
        <v/>
      </c>
    </row>
    <row r="1136">
      <c r="A1136" s="25">
        <f>IF($C1136="","","AUD-2026-"&amp;TEXT(ROW()-1,"000000"))</f>
        <v/>
      </c>
      <c r="B1136" s="26" t="n"/>
      <c r="C1136" s="27" t="n"/>
      <c r="D1136" s="25">
        <f>IF($C1136="","",IFERROR(IF(INDEX(Roster!$A:$A,MATCH($C1136,Roster!$B:$B,0))="","",INDEX(Roster!$A:$A,MATCH($C1136,Roster!$B:$B,0))&amp;""),"—"))</f>
        <v/>
      </c>
      <c r="E1136" s="25">
        <f>IF($C1136="","",IFERROR(IF(INDEX(Roster!$C:$C,MATCH($C1136,Roster!$B:$B,0))="","",INDEX(Roster!$C:$C,MATCH($C1136,Roster!$B:$B,0))&amp;""),"—"))</f>
        <v/>
      </c>
      <c r="F1136" s="25">
        <f>IF($C1136="","",IFERROR(IF(INDEX(Roster!$D:$D,MATCH($C1136,Roster!$B:$B,0))="","",INDEX(Roster!$D:$D,MATCH($C1136,Roster!$B:$B,0))&amp;""),"—"))</f>
        <v/>
      </c>
      <c r="G1136" s="25">
        <f>IF($C1136="","",IFERROR(IF(INDEX(Roster!$E:$E,MATCH($C1136,Roster!$B:$B,0))="","",INDEX(Roster!$E:$E,MATCH($C1136,Roster!$B:$B,0))&amp;""),"—"))</f>
        <v/>
      </c>
      <c r="H1136" s="25">
        <f>IF($C1136="","",IFERROR(IF(INDEX(Roster!$F:$F,MATCH($C1136,Roster!$B:$B,0))="","",INDEX(Roster!$F:$F,MATCH($C1136,Roster!$B:$B,0))&amp;""),"—"))</f>
        <v/>
      </c>
      <c r="I1136" s="25">
        <f>IF($C1136="","",IFERROR(IF(INDEX(Roster!$G:$G,MATCH($C1136,Roster!$B:$B,0))="","",INDEX(Roster!$G:$G,MATCH($C1136,Roster!$B:$B,0))&amp;""),"—"))</f>
        <v/>
      </c>
      <c r="J1136" s="25">
        <f>IF($C1136="","",IFERROR(IF(INDEX(Roster!$I:$I,MATCH($C1136,Roster!$B:$B,0))="","",INDEX(Roster!$I:$I,MATCH($C1136,Roster!$B:$B,0))&amp;""),"—"))</f>
        <v/>
      </c>
      <c r="K1136">
        <f>IF($C1136="","",IFERROR(IF(INDEX(Roster!$J:$J,MATCH($C1136,Roster!$B:$B,0))="","",INDEX(Roster!$J:$J,MATCH($C1136,Roster!$B:$B,0))&amp;""),"—"))</f>
        <v/>
      </c>
      <c r="L1136">
        <f>IF($C1136="","",IFERROR(IF(INDEX(Roster!$K:$K,MATCH($C1136,Roster!$B:$B,0))="","",INDEX(Roster!$K:$K,MATCH($C1136,Roster!$B:$B,0))&amp;""),"—"))</f>
        <v/>
      </c>
      <c r="M1136" s="27" t="n"/>
      <c r="N1136" s="27" t="n"/>
      <c r="O1136" s="25">
        <f>IF($C1136="","",IF($P1136="","—",IF($P1136="Valid (Pass)","Valid","Invalid")))</f>
        <v/>
      </c>
      <c r="P1136" s="27" t="n"/>
      <c r="Q1136" s="27" t="n"/>
      <c r="R1136" s="27" t="n"/>
      <c r="S1136" s="27" t="n"/>
      <c r="T1136" s="25">
        <f>IF($C1136="","",IF(OR(ISNUMBER(SEARCH("quick case",$P1136)),ISNUMBER(SEARCH("quick case",$Q1136))),"Yes","No"))</f>
        <v/>
      </c>
      <c r="U1136" s="25">
        <f>IF($O1136="Invalid",HYPERLINK("mailto:"&amp;$G1136&amp;";"&amp;$I1136&amp;"?cc="&amp;Lists!$E$2&amp;"&amp;subject="&amp;_xlfn.ENCODEURL("[INVALID] Quality audit monitoring completed for "&amp;UPPER($C1136))&amp;"&amp;body="&amp;_xlfn.ENCODEURL("Hi "&amp;$F1136&amp;","&amp;CHAR(10)&amp;"Good day!"&amp;CHAR(10)&amp;CHAR(10)&amp;"A quality monitoring audit has been completed for "&amp;$C1136&amp;"."&amp;CHAR(10)&amp;CHAR(10)&amp;"QUALITY AUDIT DETAILS"&amp;CHAR(10)&amp;"Agent Name: "&amp;$C1136&amp;" (EID "&amp;$D1136&amp;")"&amp;CHAR(10)&amp;"Audit Date: "&amp;TEXT($B1136,"yyyy-mm-dd")&amp;CHAR(10)&amp;"Team Leader: "&amp;$F1136&amp;CHAR(10)&amp;"Case Number: "&amp;$M1136&amp;CHAR(10)&amp;"Transaction ID: "&amp;$N1136&amp;CHAR(10)&amp;"Channel / LOB: "&amp;$K1136&amp;" / "&amp;$L1136&amp;CHAR(10)&amp;"Evaluator: "&amp;$S1136&amp;CHAR(10)&amp;CHAR(10)&amp;"INVALID QUALITY AUDIT DETAILS"&amp;CHAR(10)&amp;"Validation: Invalid"&amp;CHAR(10)&amp;"Invalid Reason: "&amp;$P1136&amp;CHAR(10)&amp;"Expected Resolution Code: "&amp;$Q1136&amp;CHAR(10)&amp;"Remarks: "&amp;LEFT($R1136,600)&amp;CHAR(10)&amp;CHAR(10)&amp;"This is an automated notification from HP Mainstream EQMS."),"✉ Open Email Draft"),"")</f>
        <v/>
      </c>
    </row>
    <row r="1137">
      <c r="A1137" s="25">
        <f>IF($C1137="","","AUD-2026-"&amp;TEXT(ROW()-1,"000000"))</f>
        <v/>
      </c>
      <c r="B1137" s="26" t="n"/>
      <c r="C1137" s="27" t="n"/>
      <c r="D1137" s="25">
        <f>IF($C1137="","",IFERROR(IF(INDEX(Roster!$A:$A,MATCH($C1137,Roster!$B:$B,0))="","",INDEX(Roster!$A:$A,MATCH($C1137,Roster!$B:$B,0))&amp;""),"—"))</f>
        <v/>
      </c>
      <c r="E1137" s="25">
        <f>IF($C1137="","",IFERROR(IF(INDEX(Roster!$C:$C,MATCH($C1137,Roster!$B:$B,0))="","",INDEX(Roster!$C:$C,MATCH($C1137,Roster!$B:$B,0))&amp;""),"—"))</f>
        <v/>
      </c>
      <c r="F1137" s="25">
        <f>IF($C1137="","",IFERROR(IF(INDEX(Roster!$D:$D,MATCH($C1137,Roster!$B:$B,0))="","",INDEX(Roster!$D:$D,MATCH($C1137,Roster!$B:$B,0))&amp;""),"—"))</f>
        <v/>
      </c>
      <c r="G1137" s="25">
        <f>IF($C1137="","",IFERROR(IF(INDEX(Roster!$E:$E,MATCH($C1137,Roster!$B:$B,0))="","",INDEX(Roster!$E:$E,MATCH($C1137,Roster!$B:$B,0))&amp;""),"—"))</f>
        <v/>
      </c>
      <c r="H1137" s="25">
        <f>IF($C1137="","",IFERROR(IF(INDEX(Roster!$F:$F,MATCH($C1137,Roster!$B:$B,0))="","",INDEX(Roster!$F:$F,MATCH($C1137,Roster!$B:$B,0))&amp;""),"—"))</f>
        <v/>
      </c>
      <c r="I1137" s="25">
        <f>IF($C1137="","",IFERROR(IF(INDEX(Roster!$G:$G,MATCH($C1137,Roster!$B:$B,0))="","",INDEX(Roster!$G:$G,MATCH($C1137,Roster!$B:$B,0))&amp;""),"—"))</f>
        <v/>
      </c>
      <c r="J1137" s="25">
        <f>IF($C1137="","",IFERROR(IF(INDEX(Roster!$I:$I,MATCH($C1137,Roster!$B:$B,0))="","",INDEX(Roster!$I:$I,MATCH($C1137,Roster!$B:$B,0))&amp;""),"—"))</f>
        <v/>
      </c>
      <c r="K1137">
        <f>IF($C1137="","",IFERROR(IF(INDEX(Roster!$J:$J,MATCH($C1137,Roster!$B:$B,0))="","",INDEX(Roster!$J:$J,MATCH($C1137,Roster!$B:$B,0))&amp;""),"—"))</f>
        <v/>
      </c>
      <c r="L1137">
        <f>IF($C1137="","",IFERROR(IF(INDEX(Roster!$K:$K,MATCH($C1137,Roster!$B:$B,0))="","",INDEX(Roster!$K:$K,MATCH($C1137,Roster!$B:$B,0))&amp;""),"—"))</f>
        <v/>
      </c>
      <c r="M1137" s="27" t="n"/>
      <c r="N1137" s="27" t="n"/>
      <c r="O1137" s="25">
        <f>IF($C1137="","",IF($P1137="","—",IF($P1137="Valid (Pass)","Valid","Invalid")))</f>
        <v/>
      </c>
      <c r="P1137" s="27" t="n"/>
      <c r="Q1137" s="27" t="n"/>
      <c r="R1137" s="27" t="n"/>
      <c r="S1137" s="27" t="n"/>
      <c r="T1137" s="25">
        <f>IF($C1137="","",IF(OR(ISNUMBER(SEARCH("quick case",$P1137)),ISNUMBER(SEARCH("quick case",$Q1137))),"Yes","No"))</f>
        <v/>
      </c>
      <c r="U1137" s="25">
        <f>IF($O1137="Invalid",HYPERLINK("mailto:"&amp;$G1137&amp;";"&amp;$I1137&amp;"?cc="&amp;Lists!$E$2&amp;"&amp;subject="&amp;_xlfn.ENCODEURL("[INVALID] Quality audit monitoring completed for "&amp;UPPER($C1137))&amp;"&amp;body="&amp;_xlfn.ENCODEURL("Hi "&amp;$F1137&amp;","&amp;CHAR(10)&amp;"Good day!"&amp;CHAR(10)&amp;CHAR(10)&amp;"A quality monitoring audit has been completed for "&amp;$C1137&amp;"."&amp;CHAR(10)&amp;CHAR(10)&amp;"QUALITY AUDIT DETAILS"&amp;CHAR(10)&amp;"Agent Name: "&amp;$C1137&amp;" (EID "&amp;$D1137&amp;")"&amp;CHAR(10)&amp;"Audit Date: "&amp;TEXT($B1137,"yyyy-mm-dd")&amp;CHAR(10)&amp;"Team Leader: "&amp;$F1137&amp;CHAR(10)&amp;"Case Number: "&amp;$M1137&amp;CHAR(10)&amp;"Transaction ID: "&amp;$N1137&amp;CHAR(10)&amp;"Channel / LOB: "&amp;$K1137&amp;" / "&amp;$L1137&amp;CHAR(10)&amp;"Evaluator: "&amp;$S1137&amp;CHAR(10)&amp;CHAR(10)&amp;"INVALID QUALITY AUDIT DETAILS"&amp;CHAR(10)&amp;"Validation: Invalid"&amp;CHAR(10)&amp;"Invalid Reason: "&amp;$P1137&amp;CHAR(10)&amp;"Expected Resolution Code: "&amp;$Q1137&amp;CHAR(10)&amp;"Remarks: "&amp;LEFT($R1137,600)&amp;CHAR(10)&amp;CHAR(10)&amp;"This is an automated notification from HP Mainstream EQMS."),"✉ Open Email Draft"),"")</f>
        <v/>
      </c>
    </row>
    <row r="1138">
      <c r="A1138" s="25">
        <f>IF($C1138="","","AUD-2026-"&amp;TEXT(ROW()-1,"000000"))</f>
        <v/>
      </c>
      <c r="B1138" s="26" t="n"/>
      <c r="C1138" s="27" t="n"/>
      <c r="D1138" s="25">
        <f>IF($C1138="","",IFERROR(IF(INDEX(Roster!$A:$A,MATCH($C1138,Roster!$B:$B,0))="","",INDEX(Roster!$A:$A,MATCH($C1138,Roster!$B:$B,0))&amp;""),"—"))</f>
        <v/>
      </c>
      <c r="E1138" s="25">
        <f>IF($C1138="","",IFERROR(IF(INDEX(Roster!$C:$C,MATCH($C1138,Roster!$B:$B,0))="","",INDEX(Roster!$C:$C,MATCH($C1138,Roster!$B:$B,0))&amp;""),"—"))</f>
        <v/>
      </c>
      <c r="F1138" s="25">
        <f>IF($C1138="","",IFERROR(IF(INDEX(Roster!$D:$D,MATCH($C1138,Roster!$B:$B,0))="","",INDEX(Roster!$D:$D,MATCH($C1138,Roster!$B:$B,0))&amp;""),"—"))</f>
        <v/>
      </c>
      <c r="G1138" s="25">
        <f>IF($C1138="","",IFERROR(IF(INDEX(Roster!$E:$E,MATCH($C1138,Roster!$B:$B,0))="","",INDEX(Roster!$E:$E,MATCH($C1138,Roster!$B:$B,0))&amp;""),"—"))</f>
        <v/>
      </c>
      <c r="H1138" s="25">
        <f>IF($C1138="","",IFERROR(IF(INDEX(Roster!$F:$F,MATCH($C1138,Roster!$B:$B,0))="","",INDEX(Roster!$F:$F,MATCH($C1138,Roster!$B:$B,0))&amp;""),"—"))</f>
        <v/>
      </c>
      <c r="I1138" s="25">
        <f>IF($C1138="","",IFERROR(IF(INDEX(Roster!$G:$G,MATCH($C1138,Roster!$B:$B,0))="","",INDEX(Roster!$G:$G,MATCH($C1138,Roster!$B:$B,0))&amp;""),"—"))</f>
        <v/>
      </c>
      <c r="J1138" s="25">
        <f>IF($C1138="","",IFERROR(IF(INDEX(Roster!$I:$I,MATCH($C1138,Roster!$B:$B,0))="","",INDEX(Roster!$I:$I,MATCH($C1138,Roster!$B:$B,0))&amp;""),"—"))</f>
        <v/>
      </c>
      <c r="K1138">
        <f>IF($C1138="","",IFERROR(IF(INDEX(Roster!$J:$J,MATCH($C1138,Roster!$B:$B,0))="","",INDEX(Roster!$J:$J,MATCH($C1138,Roster!$B:$B,0))&amp;""),"—"))</f>
        <v/>
      </c>
      <c r="L1138">
        <f>IF($C1138="","",IFERROR(IF(INDEX(Roster!$K:$K,MATCH($C1138,Roster!$B:$B,0))="","",INDEX(Roster!$K:$K,MATCH($C1138,Roster!$B:$B,0))&amp;""),"—"))</f>
        <v/>
      </c>
      <c r="M1138" s="27" t="n"/>
      <c r="N1138" s="27" t="n"/>
      <c r="O1138" s="25">
        <f>IF($C1138="","",IF($P1138="","—",IF($P1138="Valid (Pass)","Valid","Invalid")))</f>
        <v/>
      </c>
      <c r="P1138" s="27" t="n"/>
      <c r="Q1138" s="27" t="n"/>
      <c r="R1138" s="27" t="n"/>
      <c r="S1138" s="27" t="n"/>
      <c r="T1138" s="25">
        <f>IF($C1138="","",IF(OR(ISNUMBER(SEARCH("quick case",$P1138)),ISNUMBER(SEARCH("quick case",$Q1138))),"Yes","No"))</f>
        <v/>
      </c>
      <c r="U1138" s="25">
        <f>IF($O1138="Invalid",HYPERLINK("mailto:"&amp;$G1138&amp;";"&amp;$I1138&amp;"?cc="&amp;Lists!$E$2&amp;"&amp;subject="&amp;_xlfn.ENCODEURL("[INVALID] Quality audit monitoring completed for "&amp;UPPER($C1138))&amp;"&amp;body="&amp;_xlfn.ENCODEURL("Hi "&amp;$F1138&amp;","&amp;CHAR(10)&amp;"Good day!"&amp;CHAR(10)&amp;CHAR(10)&amp;"A quality monitoring audit has been completed for "&amp;$C1138&amp;"."&amp;CHAR(10)&amp;CHAR(10)&amp;"QUALITY AUDIT DETAILS"&amp;CHAR(10)&amp;"Agent Name: "&amp;$C1138&amp;" (EID "&amp;$D1138&amp;")"&amp;CHAR(10)&amp;"Audit Date: "&amp;TEXT($B1138,"yyyy-mm-dd")&amp;CHAR(10)&amp;"Team Leader: "&amp;$F1138&amp;CHAR(10)&amp;"Case Number: "&amp;$M1138&amp;CHAR(10)&amp;"Transaction ID: "&amp;$N1138&amp;CHAR(10)&amp;"Channel / LOB: "&amp;$K1138&amp;" / "&amp;$L1138&amp;CHAR(10)&amp;"Evaluator: "&amp;$S1138&amp;CHAR(10)&amp;CHAR(10)&amp;"INVALID QUALITY AUDIT DETAILS"&amp;CHAR(10)&amp;"Validation: Invalid"&amp;CHAR(10)&amp;"Invalid Reason: "&amp;$P1138&amp;CHAR(10)&amp;"Expected Resolution Code: "&amp;$Q1138&amp;CHAR(10)&amp;"Remarks: "&amp;LEFT($R1138,600)&amp;CHAR(10)&amp;CHAR(10)&amp;"This is an automated notification from HP Mainstream EQMS."),"✉ Open Email Draft"),"")</f>
        <v/>
      </c>
    </row>
    <row r="1139">
      <c r="A1139" s="25">
        <f>IF($C1139="","","AUD-2026-"&amp;TEXT(ROW()-1,"000000"))</f>
        <v/>
      </c>
      <c r="B1139" s="26" t="n"/>
      <c r="C1139" s="27" t="n"/>
      <c r="D1139" s="25">
        <f>IF($C1139="","",IFERROR(IF(INDEX(Roster!$A:$A,MATCH($C1139,Roster!$B:$B,0))="","",INDEX(Roster!$A:$A,MATCH($C1139,Roster!$B:$B,0))&amp;""),"—"))</f>
        <v/>
      </c>
      <c r="E1139" s="25">
        <f>IF($C1139="","",IFERROR(IF(INDEX(Roster!$C:$C,MATCH($C1139,Roster!$B:$B,0))="","",INDEX(Roster!$C:$C,MATCH($C1139,Roster!$B:$B,0))&amp;""),"—"))</f>
        <v/>
      </c>
      <c r="F1139" s="25">
        <f>IF($C1139="","",IFERROR(IF(INDEX(Roster!$D:$D,MATCH($C1139,Roster!$B:$B,0))="","",INDEX(Roster!$D:$D,MATCH($C1139,Roster!$B:$B,0))&amp;""),"—"))</f>
        <v/>
      </c>
      <c r="G1139" s="25">
        <f>IF($C1139="","",IFERROR(IF(INDEX(Roster!$E:$E,MATCH($C1139,Roster!$B:$B,0))="","",INDEX(Roster!$E:$E,MATCH($C1139,Roster!$B:$B,0))&amp;""),"—"))</f>
        <v/>
      </c>
      <c r="H1139" s="25">
        <f>IF($C1139="","",IFERROR(IF(INDEX(Roster!$F:$F,MATCH($C1139,Roster!$B:$B,0))="","",INDEX(Roster!$F:$F,MATCH($C1139,Roster!$B:$B,0))&amp;""),"—"))</f>
        <v/>
      </c>
      <c r="I1139" s="25">
        <f>IF($C1139="","",IFERROR(IF(INDEX(Roster!$G:$G,MATCH($C1139,Roster!$B:$B,0))="","",INDEX(Roster!$G:$G,MATCH($C1139,Roster!$B:$B,0))&amp;""),"—"))</f>
        <v/>
      </c>
      <c r="J1139" s="25">
        <f>IF($C1139="","",IFERROR(IF(INDEX(Roster!$I:$I,MATCH($C1139,Roster!$B:$B,0))="","",INDEX(Roster!$I:$I,MATCH($C1139,Roster!$B:$B,0))&amp;""),"—"))</f>
        <v/>
      </c>
      <c r="K1139">
        <f>IF($C1139="","",IFERROR(IF(INDEX(Roster!$J:$J,MATCH($C1139,Roster!$B:$B,0))="","",INDEX(Roster!$J:$J,MATCH($C1139,Roster!$B:$B,0))&amp;""),"—"))</f>
        <v/>
      </c>
      <c r="L1139">
        <f>IF($C1139="","",IFERROR(IF(INDEX(Roster!$K:$K,MATCH($C1139,Roster!$B:$B,0))="","",INDEX(Roster!$K:$K,MATCH($C1139,Roster!$B:$B,0))&amp;""),"—"))</f>
        <v/>
      </c>
      <c r="M1139" s="27" t="n"/>
      <c r="N1139" s="27" t="n"/>
      <c r="O1139" s="25">
        <f>IF($C1139="","",IF($P1139="","—",IF($P1139="Valid (Pass)","Valid","Invalid")))</f>
        <v/>
      </c>
      <c r="P1139" s="27" t="n"/>
      <c r="Q1139" s="27" t="n"/>
      <c r="R1139" s="27" t="n"/>
      <c r="S1139" s="27" t="n"/>
      <c r="T1139" s="25">
        <f>IF($C1139="","",IF(OR(ISNUMBER(SEARCH("quick case",$P1139)),ISNUMBER(SEARCH("quick case",$Q1139))),"Yes","No"))</f>
        <v/>
      </c>
      <c r="U1139" s="25">
        <f>IF($O1139="Invalid",HYPERLINK("mailto:"&amp;$G1139&amp;";"&amp;$I1139&amp;"?cc="&amp;Lists!$E$2&amp;"&amp;subject="&amp;_xlfn.ENCODEURL("[INVALID] Quality audit monitoring completed for "&amp;UPPER($C1139))&amp;"&amp;body="&amp;_xlfn.ENCODEURL("Hi "&amp;$F1139&amp;","&amp;CHAR(10)&amp;"Good day!"&amp;CHAR(10)&amp;CHAR(10)&amp;"A quality monitoring audit has been completed for "&amp;$C1139&amp;"."&amp;CHAR(10)&amp;CHAR(10)&amp;"QUALITY AUDIT DETAILS"&amp;CHAR(10)&amp;"Agent Name: "&amp;$C1139&amp;" (EID "&amp;$D1139&amp;")"&amp;CHAR(10)&amp;"Audit Date: "&amp;TEXT($B1139,"yyyy-mm-dd")&amp;CHAR(10)&amp;"Team Leader: "&amp;$F1139&amp;CHAR(10)&amp;"Case Number: "&amp;$M1139&amp;CHAR(10)&amp;"Transaction ID: "&amp;$N1139&amp;CHAR(10)&amp;"Channel / LOB: "&amp;$K1139&amp;" / "&amp;$L1139&amp;CHAR(10)&amp;"Evaluator: "&amp;$S1139&amp;CHAR(10)&amp;CHAR(10)&amp;"INVALID QUALITY AUDIT DETAILS"&amp;CHAR(10)&amp;"Validation: Invalid"&amp;CHAR(10)&amp;"Invalid Reason: "&amp;$P1139&amp;CHAR(10)&amp;"Expected Resolution Code: "&amp;$Q1139&amp;CHAR(10)&amp;"Remarks: "&amp;LEFT($R1139,600)&amp;CHAR(10)&amp;CHAR(10)&amp;"This is an automated notification from HP Mainstream EQMS."),"✉ Open Email Draft"),"")</f>
        <v/>
      </c>
    </row>
    <row r="1140">
      <c r="A1140" s="25">
        <f>IF($C1140="","","AUD-2026-"&amp;TEXT(ROW()-1,"000000"))</f>
        <v/>
      </c>
      <c r="B1140" s="26" t="n"/>
      <c r="C1140" s="27" t="n"/>
      <c r="D1140" s="25">
        <f>IF($C1140="","",IFERROR(IF(INDEX(Roster!$A:$A,MATCH($C1140,Roster!$B:$B,0))="","",INDEX(Roster!$A:$A,MATCH($C1140,Roster!$B:$B,0))&amp;""),"—"))</f>
        <v/>
      </c>
      <c r="E1140" s="25">
        <f>IF($C1140="","",IFERROR(IF(INDEX(Roster!$C:$C,MATCH($C1140,Roster!$B:$B,0))="","",INDEX(Roster!$C:$C,MATCH($C1140,Roster!$B:$B,0))&amp;""),"—"))</f>
        <v/>
      </c>
      <c r="F1140" s="25">
        <f>IF($C1140="","",IFERROR(IF(INDEX(Roster!$D:$D,MATCH($C1140,Roster!$B:$B,0))="","",INDEX(Roster!$D:$D,MATCH($C1140,Roster!$B:$B,0))&amp;""),"—"))</f>
        <v/>
      </c>
      <c r="G1140" s="25">
        <f>IF($C1140="","",IFERROR(IF(INDEX(Roster!$E:$E,MATCH($C1140,Roster!$B:$B,0))="","",INDEX(Roster!$E:$E,MATCH($C1140,Roster!$B:$B,0))&amp;""),"—"))</f>
        <v/>
      </c>
      <c r="H1140" s="25">
        <f>IF($C1140="","",IFERROR(IF(INDEX(Roster!$F:$F,MATCH($C1140,Roster!$B:$B,0))="","",INDEX(Roster!$F:$F,MATCH($C1140,Roster!$B:$B,0))&amp;""),"—"))</f>
        <v/>
      </c>
      <c r="I1140" s="25">
        <f>IF($C1140="","",IFERROR(IF(INDEX(Roster!$G:$G,MATCH($C1140,Roster!$B:$B,0))="","",INDEX(Roster!$G:$G,MATCH($C1140,Roster!$B:$B,0))&amp;""),"—"))</f>
        <v/>
      </c>
      <c r="J1140" s="25">
        <f>IF($C1140="","",IFERROR(IF(INDEX(Roster!$I:$I,MATCH($C1140,Roster!$B:$B,0))="","",INDEX(Roster!$I:$I,MATCH($C1140,Roster!$B:$B,0))&amp;""),"—"))</f>
        <v/>
      </c>
      <c r="K1140">
        <f>IF($C1140="","",IFERROR(IF(INDEX(Roster!$J:$J,MATCH($C1140,Roster!$B:$B,0))="","",INDEX(Roster!$J:$J,MATCH($C1140,Roster!$B:$B,0))&amp;""),"—"))</f>
        <v/>
      </c>
      <c r="L1140">
        <f>IF($C1140="","",IFERROR(IF(INDEX(Roster!$K:$K,MATCH($C1140,Roster!$B:$B,0))="","",INDEX(Roster!$K:$K,MATCH($C1140,Roster!$B:$B,0))&amp;""),"—"))</f>
        <v/>
      </c>
      <c r="M1140" s="27" t="n"/>
      <c r="N1140" s="27" t="n"/>
      <c r="O1140" s="25">
        <f>IF($C1140="","",IF($P1140="","—",IF($P1140="Valid (Pass)","Valid","Invalid")))</f>
        <v/>
      </c>
      <c r="P1140" s="27" t="n"/>
      <c r="Q1140" s="27" t="n"/>
      <c r="R1140" s="27" t="n"/>
      <c r="S1140" s="27" t="n"/>
      <c r="T1140" s="25">
        <f>IF($C1140="","",IF(OR(ISNUMBER(SEARCH("quick case",$P1140)),ISNUMBER(SEARCH("quick case",$Q1140))),"Yes","No"))</f>
        <v/>
      </c>
      <c r="U1140" s="25">
        <f>IF($O1140="Invalid",HYPERLINK("mailto:"&amp;$G1140&amp;";"&amp;$I1140&amp;"?cc="&amp;Lists!$E$2&amp;"&amp;subject="&amp;_xlfn.ENCODEURL("[INVALID] Quality audit monitoring completed for "&amp;UPPER($C1140))&amp;"&amp;body="&amp;_xlfn.ENCODEURL("Hi "&amp;$F1140&amp;","&amp;CHAR(10)&amp;"Good day!"&amp;CHAR(10)&amp;CHAR(10)&amp;"A quality monitoring audit has been completed for "&amp;$C1140&amp;"."&amp;CHAR(10)&amp;CHAR(10)&amp;"QUALITY AUDIT DETAILS"&amp;CHAR(10)&amp;"Agent Name: "&amp;$C1140&amp;" (EID "&amp;$D1140&amp;")"&amp;CHAR(10)&amp;"Audit Date: "&amp;TEXT($B1140,"yyyy-mm-dd")&amp;CHAR(10)&amp;"Team Leader: "&amp;$F1140&amp;CHAR(10)&amp;"Case Number: "&amp;$M1140&amp;CHAR(10)&amp;"Transaction ID: "&amp;$N1140&amp;CHAR(10)&amp;"Channel / LOB: "&amp;$K1140&amp;" / "&amp;$L1140&amp;CHAR(10)&amp;"Evaluator: "&amp;$S1140&amp;CHAR(10)&amp;CHAR(10)&amp;"INVALID QUALITY AUDIT DETAILS"&amp;CHAR(10)&amp;"Validation: Invalid"&amp;CHAR(10)&amp;"Invalid Reason: "&amp;$P1140&amp;CHAR(10)&amp;"Expected Resolution Code: "&amp;$Q1140&amp;CHAR(10)&amp;"Remarks: "&amp;LEFT($R1140,600)&amp;CHAR(10)&amp;CHAR(10)&amp;"This is an automated notification from HP Mainstream EQMS."),"✉ Open Email Draft"),"")</f>
        <v/>
      </c>
    </row>
    <row r="1141">
      <c r="A1141" s="25">
        <f>IF($C1141="","","AUD-2026-"&amp;TEXT(ROW()-1,"000000"))</f>
        <v/>
      </c>
      <c r="B1141" s="26" t="n"/>
      <c r="C1141" s="27" t="n"/>
      <c r="D1141" s="25">
        <f>IF($C1141="","",IFERROR(IF(INDEX(Roster!$A:$A,MATCH($C1141,Roster!$B:$B,0))="","",INDEX(Roster!$A:$A,MATCH($C1141,Roster!$B:$B,0))&amp;""),"—"))</f>
        <v/>
      </c>
      <c r="E1141" s="25">
        <f>IF($C1141="","",IFERROR(IF(INDEX(Roster!$C:$C,MATCH($C1141,Roster!$B:$B,0))="","",INDEX(Roster!$C:$C,MATCH($C1141,Roster!$B:$B,0))&amp;""),"—"))</f>
        <v/>
      </c>
      <c r="F1141" s="25">
        <f>IF($C1141="","",IFERROR(IF(INDEX(Roster!$D:$D,MATCH($C1141,Roster!$B:$B,0))="","",INDEX(Roster!$D:$D,MATCH($C1141,Roster!$B:$B,0))&amp;""),"—"))</f>
        <v/>
      </c>
      <c r="G1141" s="25">
        <f>IF($C1141="","",IFERROR(IF(INDEX(Roster!$E:$E,MATCH($C1141,Roster!$B:$B,0))="","",INDEX(Roster!$E:$E,MATCH($C1141,Roster!$B:$B,0))&amp;""),"—"))</f>
        <v/>
      </c>
      <c r="H1141" s="25">
        <f>IF($C1141="","",IFERROR(IF(INDEX(Roster!$F:$F,MATCH($C1141,Roster!$B:$B,0))="","",INDEX(Roster!$F:$F,MATCH($C1141,Roster!$B:$B,0))&amp;""),"—"))</f>
        <v/>
      </c>
      <c r="I1141" s="25">
        <f>IF($C1141="","",IFERROR(IF(INDEX(Roster!$G:$G,MATCH($C1141,Roster!$B:$B,0))="","",INDEX(Roster!$G:$G,MATCH($C1141,Roster!$B:$B,0))&amp;""),"—"))</f>
        <v/>
      </c>
      <c r="J1141" s="25">
        <f>IF($C1141="","",IFERROR(IF(INDEX(Roster!$I:$I,MATCH($C1141,Roster!$B:$B,0))="","",INDEX(Roster!$I:$I,MATCH($C1141,Roster!$B:$B,0))&amp;""),"—"))</f>
        <v/>
      </c>
      <c r="K1141">
        <f>IF($C1141="","",IFERROR(IF(INDEX(Roster!$J:$J,MATCH($C1141,Roster!$B:$B,0))="","",INDEX(Roster!$J:$J,MATCH($C1141,Roster!$B:$B,0))&amp;""),"—"))</f>
        <v/>
      </c>
      <c r="L1141">
        <f>IF($C1141="","",IFERROR(IF(INDEX(Roster!$K:$K,MATCH($C1141,Roster!$B:$B,0))="","",INDEX(Roster!$K:$K,MATCH($C1141,Roster!$B:$B,0))&amp;""),"—"))</f>
        <v/>
      </c>
      <c r="M1141" s="27" t="n"/>
      <c r="N1141" s="27" t="n"/>
      <c r="O1141" s="25">
        <f>IF($C1141="","",IF($P1141="","—",IF($P1141="Valid (Pass)","Valid","Invalid")))</f>
        <v/>
      </c>
      <c r="P1141" s="27" t="n"/>
      <c r="Q1141" s="27" t="n"/>
      <c r="R1141" s="27" t="n"/>
      <c r="S1141" s="27" t="n"/>
      <c r="T1141" s="25">
        <f>IF($C1141="","",IF(OR(ISNUMBER(SEARCH("quick case",$P1141)),ISNUMBER(SEARCH("quick case",$Q1141))),"Yes","No"))</f>
        <v/>
      </c>
      <c r="U1141" s="25">
        <f>IF($O1141="Invalid",HYPERLINK("mailto:"&amp;$G1141&amp;";"&amp;$I1141&amp;"?cc="&amp;Lists!$E$2&amp;"&amp;subject="&amp;_xlfn.ENCODEURL("[INVALID] Quality audit monitoring completed for "&amp;UPPER($C1141))&amp;"&amp;body="&amp;_xlfn.ENCODEURL("Hi "&amp;$F1141&amp;","&amp;CHAR(10)&amp;"Good day!"&amp;CHAR(10)&amp;CHAR(10)&amp;"A quality monitoring audit has been completed for "&amp;$C1141&amp;"."&amp;CHAR(10)&amp;CHAR(10)&amp;"QUALITY AUDIT DETAILS"&amp;CHAR(10)&amp;"Agent Name: "&amp;$C1141&amp;" (EID "&amp;$D1141&amp;")"&amp;CHAR(10)&amp;"Audit Date: "&amp;TEXT($B1141,"yyyy-mm-dd")&amp;CHAR(10)&amp;"Team Leader: "&amp;$F1141&amp;CHAR(10)&amp;"Case Number: "&amp;$M1141&amp;CHAR(10)&amp;"Transaction ID: "&amp;$N1141&amp;CHAR(10)&amp;"Channel / LOB: "&amp;$K1141&amp;" / "&amp;$L1141&amp;CHAR(10)&amp;"Evaluator: "&amp;$S1141&amp;CHAR(10)&amp;CHAR(10)&amp;"INVALID QUALITY AUDIT DETAILS"&amp;CHAR(10)&amp;"Validation: Invalid"&amp;CHAR(10)&amp;"Invalid Reason: "&amp;$P1141&amp;CHAR(10)&amp;"Expected Resolution Code: "&amp;$Q1141&amp;CHAR(10)&amp;"Remarks: "&amp;LEFT($R1141,600)&amp;CHAR(10)&amp;CHAR(10)&amp;"This is an automated notification from HP Mainstream EQMS."),"✉ Open Email Draft"),"")</f>
        <v/>
      </c>
    </row>
    <row r="1142">
      <c r="A1142" s="25">
        <f>IF($C1142="","","AUD-2026-"&amp;TEXT(ROW()-1,"000000"))</f>
        <v/>
      </c>
      <c r="B1142" s="26" t="n"/>
      <c r="C1142" s="27" t="n"/>
      <c r="D1142" s="25">
        <f>IF($C1142="","",IFERROR(IF(INDEX(Roster!$A:$A,MATCH($C1142,Roster!$B:$B,0))="","",INDEX(Roster!$A:$A,MATCH($C1142,Roster!$B:$B,0))&amp;""),"—"))</f>
        <v/>
      </c>
      <c r="E1142" s="25">
        <f>IF($C1142="","",IFERROR(IF(INDEX(Roster!$C:$C,MATCH($C1142,Roster!$B:$B,0))="","",INDEX(Roster!$C:$C,MATCH($C1142,Roster!$B:$B,0))&amp;""),"—"))</f>
        <v/>
      </c>
      <c r="F1142" s="25">
        <f>IF($C1142="","",IFERROR(IF(INDEX(Roster!$D:$D,MATCH($C1142,Roster!$B:$B,0))="","",INDEX(Roster!$D:$D,MATCH($C1142,Roster!$B:$B,0))&amp;""),"—"))</f>
        <v/>
      </c>
      <c r="G1142" s="25">
        <f>IF($C1142="","",IFERROR(IF(INDEX(Roster!$E:$E,MATCH($C1142,Roster!$B:$B,0))="","",INDEX(Roster!$E:$E,MATCH($C1142,Roster!$B:$B,0))&amp;""),"—"))</f>
        <v/>
      </c>
      <c r="H1142" s="25">
        <f>IF($C1142="","",IFERROR(IF(INDEX(Roster!$F:$F,MATCH($C1142,Roster!$B:$B,0))="","",INDEX(Roster!$F:$F,MATCH($C1142,Roster!$B:$B,0))&amp;""),"—"))</f>
        <v/>
      </c>
      <c r="I1142" s="25">
        <f>IF($C1142="","",IFERROR(IF(INDEX(Roster!$G:$G,MATCH($C1142,Roster!$B:$B,0))="","",INDEX(Roster!$G:$G,MATCH($C1142,Roster!$B:$B,0))&amp;""),"—"))</f>
        <v/>
      </c>
      <c r="J1142" s="25">
        <f>IF($C1142="","",IFERROR(IF(INDEX(Roster!$I:$I,MATCH($C1142,Roster!$B:$B,0))="","",INDEX(Roster!$I:$I,MATCH($C1142,Roster!$B:$B,0))&amp;""),"—"))</f>
        <v/>
      </c>
      <c r="K1142">
        <f>IF($C1142="","",IFERROR(IF(INDEX(Roster!$J:$J,MATCH($C1142,Roster!$B:$B,0))="","",INDEX(Roster!$J:$J,MATCH($C1142,Roster!$B:$B,0))&amp;""),"—"))</f>
        <v/>
      </c>
      <c r="L1142">
        <f>IF($C1142="","",IFERROR(IF(INDEX(Roster!$K:$K,MATCH($C1142,Roster!$B:$B,0))="","",INDEX(Roster!$K:$K,MATCH($C1142,Roster!$B:$B,0))&amp;""),"—"))</f>
        <v/>
      </c>
      <c r="M1142" s="27" t="n"/>
      <c r="N1142" s="27" t="n"/>
      <c r="O1142" s="25">
        <f>IF($C1142="","",IF($P1142="","—",IF($P1142="Valid (Pass)","Valid","Invalid")))</f>
        <v/>
      </c>
      <c r="P1142" s="27" t="n"/>
      <c r="Q1142" s="27" t="n"/>
      <c r="R1142" s="27" t="n"/>
      <c r="S1142" s="27" t="n"/>
      <c r="T1142" s="25">
        <f>IF($C1142="","",IF(OR(ISNUMBER(SEARCH("quick case",$P1142)),ISNUMBER(SEARCH("quick case",$Q1142))),"Yes","No"))</f>
        <v/>
      </c>
      <c r="U1142" s="25">
        <f>IF($O1142="Invalid",HYPERLINK("mailto:"&amp;$G1142&amp;";"&amp;$I1142&amp;"?cc="&amp;Lists!$E$2&amp;"&amp;subject="&amp;_xlfn.ENCODEURL("[INVALID] Quality audit monitoring completed for "&amp;UPPER($C1142))&amp;"&amp;body="&amp;_xlfn.ENCODEURL("Hi "&amp;$F1142&amp;","&amp;CHAR(10)&amp;"Good day!"&amp;CHAR(10)&amp;CHAR(10)&amp;"A quality monitoring audit has been completed for "&amp;$C1142&amp;"."&amp;CHAR(10)&amp;CHAR(10)&amp;"QUALITY AUDIT DETAILS"&amp;CHAR(10)&amp;"Agent Name: "&amp;$C1142&amp;" (EID "&amp;$D1142&amp;")"&amp;CHAR(10)&amp;"Audit Date: "&amp;TEXT($B1142,"yyyy-mm-dd")&amp;CHAR(10)&amp;"Team Leader: "&amp;$F1142&amp;CHAR(10)&amp;"Case Number: "&amp;$M1142&amp;CHAR(10)&amp;"Transaction ID: "&amp;$N1142&amp;CHAR(10)&amp;"Channel / LOB: "&amp;$K1142&amp;" / "&amp;$L1142&amp;CHAR(10)&amp;"Evaluator: "&amp;$S1142&amp;CHAR(10)&amp;CHAR(10)&amp;"INVALID QUALITY AUDIT DETAILS"&amp;CHAR(10)&amp;"Validation: Invalid"&amp;CHAR(10)&amp;"Invalid Reason: "&amp;$P1142&amp;CHAR(10)&amp;"Expected Resolution Code: "&amp;$Q1142&amp;CHAR(10)&amp;"Remarks: "&amp;LEFT($R1142,600)&amp;CHAR(10)&amp;CHAR(10)&amp;"This is an automated notification from HP Mainstream EQMS."),"✉ Open Email Draft"),"")</f>
        <v/>
      </c>
    </row>
    <row r="1143">
      <c r="A1143" s="25">
        <f>IF($C1143="","","AUD-2026-"&amp;TEXT(ROW()-1,"000000"))</f>
        <v/>
      </c>
      <c r="B1143" s="26" t="n"/>
      <c r="C1143" s="27" t="n"/>
      <c r="D1143" s="25">
        <f>IF($C1143="","",IFERROR(IF(INDEX(Roster!$A:$A,MATCH($C1143,Roster!$B:$B,0))="","",INDEX(Roster!$A:$A,MATCH($C1143,Roster!$B:$B,0))&amp;""),"—"))</f>
        <v/>
      </c>
      <c r="E1143" s="25">
        <f>IF($C1143="","",IFERROR(IF(INDEX(Roster!$C:$C,MATCH($C1143,Roster!$B:$B,0))="","",INDEX(Roster!$C:$C,MATCH($C1143,Roster!$B:$B,0))&amp;""),"—"))</f>
        <v/>
      </c>
      <c r="F1143" s="25">
        <f>IF($C1143="","",IFERROR(IF(INDEX(Roster!$D:$D,MATCH($C1143,Roster!$B:$B,0))="","",INDEX(Roster!$D:$D,MATCH($C1143,Roster!$B:$B,0))&amp;""),"—"))</f>
        <v/>
      </c>
      <c r="G1143" s="25">
        <f>IF($C1143="","",IFERROR(IF(INDEX(Roster!$E:$E,MATCH($C1143,Roster!$B:$B,0))="","",INDEX(Roster!$E:$E,MATCH($C1143,Roster!$B:$B,0))&amp;""),"—"))</f>
        <v/>
      </c>
      <c r="H1143" s="25">
        <f>IF($C1143="","",IFERROR(IF(INDEX(Roster!$F:$F,MATCH($C1143,Roster!$B:$B,0))="","",INDEX(Roster!$F:$F,MATCH($C1143,Roster!$B:$B,0))&amp;""),"—"))</f>
        <v/>
      </c>
      <c r="I1143" s="25">
        <f>IF($C1143="","",IFERROR(IF(INDEX(Roster!$G:$G,MATCH($C1143,Roster!$B:$B,0))="","",INDEX(Roster!$G:$G,MATCH($C1143,Roster!$B:$B,0))&amp;""),"—"))</f>
        <v/>
      </c>
      <c r="J1143" s="25">
        <f>IF($C1143="","",IFERROR(IF(INDEX(Roster!$I:$I,MATCH($C1143,Roster!$B:$B,0))="","",INDEX(Roster!$I:$I,MATCH($C1143,Roster!$B:$B,0))&amp;""),"—"))</f>
        <v/>
      </c>
      <c r="K1143">
        <f>IF($C1143="","",IFERROR(IF(INDEX(Roster!$J:$J,MATCH($C1143,Roster!$B:$B,0))="","",INDEX(Roster!$J:$J,MATCH($C1143,Roster!$B:$B,0))&amp;""),"—"))</f>
        <v/>
      </c>
      <c r="L1143">
        <f>IF($C1143="","",IFERROR(IF(INDEX(Roster!$K:$K,MATCH($C1143,Roster!$B:$B,0))="","",INDEX(Roster!$K:$K,MATCH($C1143,Roster!$B:$B,0))&amp;""),"—"))</f>
        <v/>
      </c>
      <c r="M1143" s="27" t="n"/>
      <c r="N1143" s="27" t="n"/>
      <c r="O1143" s="25">
        <f>IF($C1143="","",IF($P1143="","—",IF($P1143="Valid (Pass)","Valid","Invalid")))</f>
        <v/>
      </c>
      <c r="P1143" s="27" t="n"/>
      <c r="Q1143" s="27" t="n"/>
      <c r="R1143" s="27" t="n"/>
      <c r="S1143" s="27" t="n"/>
      <c r="T1143" s="25">
        <f>IF($C1143="","",IF(OR(ISNUMBER(SEARCH("quick case",$P1143)),ISNUMBER(SEARCH("quick case",$Q1143))),"Yes","No"))</f>
        <v/>
      </c>
      <c r="U1143" s="25">
        <f>IF($O1143="Invalid",HYPERLINK("mailto:"&amp;$G1143&amp;";"&amp;$I1143&amp;"?cc="&amp;Lists!$E$2&amp;"&amp;subject="&amp;_xlfn.ENCODEURL("[INVALID] Quality audit monitoring completed for "&amp;UPPER($C1143))&amp;"&amp;body="&amp;_xlfn.ENCODEURL("Hi "&amp;$F1143&amp;","&amp;CHAR(10)&amp;"Good day!"&amp;CHAR(10)&amp;CHAR(10)&amp;"A quality monitoring audit has been completed for "&amp;$C1143&amp;"."&amp;CHAR(10)&amp;CHAR(10)&amp;"QUALITY AUDIT DETAILS"&amp;CHAR(10)&amp;"Agent Name: "&amp;$C1143&amp;" (EID "&amp;$D1143&amp;")"&amp;CHAR(10)&amp;"Audit Date: "&amp;TEXT($B1143,"yyyy-mm-dd")&amp;CHAR(10)&amp;"Team Leader: "&amp;$F1143&amp;CHAR(10)&amp;"Case Number: "&amp;$M1143&amp;CHAR(10)&amp;"Transaction ID: "&amp;$N1143&amp;CHAR(10)&amp;"Channel / LOB: "&amp;$K1143&amp;" / "&amp;$L1143&amp;CHAR(10)&amp;"Evaluator: "&amp;$S1143&amp;CHAR(10)&amp;CHAR(10)&amp;"INVALID QUALITY AUDIT DETAILS"&amp;CHAR(10)&amp;"Validation: Invalid"&amp;CHAR(10)&amp;"Invalid Reason: "&amp;$P1143&amp;CHAR(10)&amp;"Expected Resolution Code: "&amp;$Q1143&amp;CHAR(10)&amp;"Remarks: "&amp;LEFT($R1143,600)&amp;CHAR(10)&amp;CHAR(10)&amp;"This is an automated notification from HP Mainstream EQMS."),"✉ Open Email Draft"),"")</f>
        <v/>
      </c>
    </row>
    <row r="1144">
      <c r="A1144" s="25">
        <f>IF($C1144="","","AUD-2026-"&amp;TEXT(ROW()-1,"000000"))</f>
        <v/>
      </c>
      <c r="B1144" s="26" t="n"/>
      <c r="C1144" s="27" t="n"/>
      <c r="D1144" s="25">
        <f>IF($C1144="","",IFERROR(IF(INDEX(Roster!$A:$A,MATCH($C1144,Roster!$B:$B,0))="","",INDEX(Roster!$A:$A,MATCH($C1144,Roster!$B:$B,0))&amp;""),"—"))</f>
        <v/>
      </c>
      <c r="E1144" s="25">
        <f>IF($C1144="","",IFERROR(IF(INDEX(Roster!$C:$C,MATCH($C1144,Roster!$B:$B,0))="","",INDEX(Roster!$C:$C,MATCH($C1144,Roster!$B:$B,0))&amp;""),"—"))</f>
        <v/>
      </c>
      <c r="F1144" s="25">
        <f>IF($C1144="","",IFERROR(IF(INDEX(Roster!$D:$D,MATCH($C1144,Roster!$B:$B,0))="","",INDEX(Roster!$D:$D,MATCH($C1144,Roster!$B:$B,0))&amp;""),"—"))</f>
        <v/>
      </c>
      <c r="G1144" s="25">
        <f>IF($C1144="","",IFERROR(IF(INDEX(Roster!$E:$E,MATCH($C1144,Roster!$B:$B,0))="","",INDEX(Roster!$E:$E,MATCH($C1144,Roster!$B:$B,0))&amp;""),"—"))</f>
        <v/>
      </c>
      <c r="H1144" s="25">
        <f>IF($C1144="","",IFERROR(IF(INDEX(Roster!$F:$F,MATCH($C1144,Roster!$B:$B,0))="","",INDEX(Roster!$F:$F,MATCH($C1144,Roster!$B:$B,0))&amp;""),"—"))</f>
        <v/>
      </c>
      <c r="I1144" s="25">
        <f>IF($C1144="","",IFERROR(IF(INDEX(Roster!$G:$G,MATCH($C1144,Roster!$B:$B,0))="","",INDEX(Roster!$G:$G,MATCH($C1144,Roster!$B:$B,0))&amp;""),"—"))</f>
        <v/>
      </c>
      <c r="J1144" s="25">
        <f>IF($C1144="","",IFERROR(IF(INDEX(Roster!$I:$I,MATCH($C1144,Roster!$B:$B,0))="","",INDEX(Roster!$I:$I,MATCH($C1144,Roster!$B:$B,0))&amp;""),"—"))</f>
        <v/>
      </c>
      <c r="K1144">
        <f>IF($C1144="","",IFERROR(IF(INDEX(Roster!$J:$J,MATCH($C1144,Roster!$B:$B,0))="","",INDEX(Roster!$J:$J,MATCH($C1144,Roster!$B:$B,0))&amp;""),"—"))</f>
        <v/>
      </c>
      <c r="L1144">
        <f>IF($C1144="","",IFERROR(IF(INDEX(Roster!$K:$K,MATCH($C1144,Roster!$B:$B,0))="","",INDEX(Roster!$K:$K,MATCH($C1144,Roster!$B:$B,0))&amp;""),"—"))</f>
        <v/>
      </c>
      <c r="M1144" s="27" t="n"/>
      <c r="N1144" s="27" t="n"/>
      <c r="O1144" s="25">
        <f>IF($C1144="","",IF($P1144="","—",IF($P1144="Valid (Pass)","Valid","Invalid")))</f>
        <v/>
      </c>
      <c r="P1144" s="27" t="n"/>
      <c r="Q1144" s="27" t="n"/>
      <c r="R1144" s="27" t="n"/>
      <c r="S1144" s="27" t="n"/>
      <c r="T1144" s="25">
        <f>IF($C1144="","",IF(OR(ISNUMBER(SEARCH("quick case",$P1144)),ISNUMBER(SEARCH("quick case",$Q1144))),"Yes","No"))</f>
        <v/>
      </c>
      <c r="U1144" s="25">
        <f>IF($O1144="Invalid",HYPERLINK("mailto:"&amp;$G1144&amp;";"&amp;$I1144&amp;"?cc="&amp;Lists!$E$2&amp;"&amp;subject="&amp;_xlfn.ENCODEURL("[INVALID] Quality audit monitoring completed for "&amp;UPPER($C1144))&amp;"&amp;body="&amp;_xlfn.ENCODEURL("Hi "&amp;$F1144&amp;","&amp;CHAR(10)&amp;"Good day!"&amp;CHAR(10)&amp;CHAR(10)&amp;"A quality monitoring audit has been completed for "&amp;$C1144&amp;"."&amp;CHAR(10)&amp;CHAR(10)&amp;"QUALITY AUDIT DETAILS"&amp;CHAR(10)&amp;"Agent Name: "&amp;$C1144&amp;" (EID "&amp;$D1144&amp;")"&amp;CHAR(10)&amp;"Audit Date: "&amp;TEXT($B1144,"yyyy-mm-dd")&amp;CHAR(10)&amp;"Team Leader: "&amp;$F1144&amp;CHAR(10)&amp;"Case Number: "&amp;$M1144&amp;CHAR(10)&amp;"Transaction ID: "&amp;$N1144&amp;CHAR(10)&amp;"Channel / LOB: "&amp;$K1144&amp;" / "&amp;$L1144&amp;CHAR(10)&amp;"Evaluator: "&amp;$S1144&amp;CHAR(10)&amp;CHAR(10)&amp;"INVALID QUALITY AUDIT DETAILS"&amp;CHAR(10)&amp;"Validation: Invalid"&amp;CHAR(10)&amp;"Invalid Reason: "&amp;$P1144&amp;CHAR(10)&amp;"Expected Resolution Code: "&amp;$Q1144&amp;CHAR(10)&amp;"Remarks: "&amp;LEFT($R1144,600)&amp;CHAR(10)&amp;CHAR(10)&amp;"This is an automated notification from HP Mainstream EQMS."),"✉ Open Email Draft"),"")</f>
        <v/>
      </c>
    </row>
    <row r="1145">
      <c r="A1145" s="25">
        <f>IF($C1145="","","AUD-2026-"&amp;TEXT(ROW()-1,"000000"))</f>
        <v/>
      </c>
      <c r="B1145" s="26" t="n"/>
      <c r="C1145" s="27" t="n"/>
      <c r="D1145" s="25">
        <f>IF($C1145="","",IFERROR(IF(INDEX(Roster!$A:$A,MATCH($C1145,Roster!$B:$B,0))="","",INDEX(Roster!$A:$A,MATCH($C1145,Roster!$B:$B,0))&amp;""),"—"))</f>
        <v/>
      </c>
      <c r="E1145" s="25">
        <f>IF($C1145="","",IFERROR(IF(INDEX(Roster!$C:$C,MATCH($C1145,Roster!$B:$B,0))="","",INDEX(Roster!$C:$C,MATCH($C1145,Roster!$B:$B,0))&amp;""),"—"))</f>
        <v/>
      </c>
      <c r="F1145" s="25">
        <f>IF($C1145="","",IFERROR(IF(INDEX(Roster!$D:$D,MATCH($C1145,Roster!$B:$B,0))="","",INDEX(Roster!$D:$D,MATCH($C1145,Roster!$B:$B,0))&amp;""),"—"))</f>
        <v/>
      </c>
      <c r="G1145" s="25">
        <f>IF($C1145="","",IFERROR(IF(INDEX(Roster!$E:$E,MATCH($C1145,Roster!$B:$B,0))="","",INDEX(Roster!$E:$E,MATCH($C1145,Roster!$B:$B,0))&amp;""),"—"))</f>
        <v/>
      </c>
      <c r="H1145" s="25">
        <f>IF($C1145="","",IFERROR(IF(INDEX(Roster!$F:$F,MATCH($C1145,Roster!$B:$B,0))="","",INDEX(Roster!$F:$F,MATCH($C1145,Roster!$B:$B,0))&amp;""),"—"))</f>
        <v/>
      </c>
      <c r="I1145" s="25">
        <f>IF($C1145="","",IFERROR(IF(INDEX(Roster!$G:$G,MATCH($C1145,Roster!$B:$B,0))="","",INDEX(Roster!$G:$G,MATCH($C1145,Roster!$B:$B,0))&amp;""),"—"))</f>
        <v/>
      </c>
      <c r="J1145" s="25">
        <f>IF($C1145="","",IFERROR(IF(INDEX(Roster!$I:$I,MATCH($C1145,Roster!$B:$B,0))="","",INDEX(Roster!$I:$I,MATCH($C1145,Roster!$B:$B,0))&amp;""),"—"))</f>
        <v/>
      </c>
      <c r="K1145">
        <f>IF($C1145="","",IFERROR(IF(INDEX(Roster!$J:$J,MATCH($C1145,Roster!$B:$B,0))="","",INDEX(Roster!$J:$J,MATCH($C1145,Roster!$B:$B,0))&amp;""),"—"))</f>
        <v/>
      </c>
      <c r="L1145">
        <f>IF($C1145="","",IFERROR(IF(INDEX(Roster!$K:$K,MATCH($C1145,Roster!$B:$B,0))="","",INDEX(Roster!$K:$K,MATCH($C1145,Roster!$B:$B,0))&amp;""),"—"))</f>
        <v/>
      </c>
      <c r="M1145" s="27" t="n"/>
      <c r="N1145" s="27" t="n"/>
      <c r="O1145" s="25">
        <f>IF($C1145="","",IF($P1145="","—",IF($P1145="Valid (Pass)","Valid","Invalid")))</f>
        <v/>
      </c>
      <c r="P1145" s="27" t="n"/>
      <c r="Q1145" s="27" t="n"/>
      <c r="R1145" s="27" t="n"/>
      <c r="S1145" s="27" t="n"/>
      <c r="T1145" s="25">
        <f>IF($C1145="","",IF(OR(ISNUMBER(SEARCH("quick case",$P1145)),ISNUMBER(SEARCH("quick case",$Q1145))),"Yes","No"))</f>
        <v/>
      </c>
      <c r="U1145" s="25">
        <f>IF($O1145="Invalid",HYPERLINK("mailto:"&amp;$G1145&amp;";"&amp;$I1145&amp;"?cc="&amp;Lists!$E$2&amp;"&amp;subject="&amp;_xlfn.ENCODEURL("[INVALID] Quality audit monitoring completed for "&amp;UPPER($C1145))&amp;"&amp;body="&amp;_xlfn.ENCODEURL("Hi "&amp;$F1145&amp;","&amp;CHAR(10)&amp;"Good day!"&amp;CHAR(10)&amp;CHAR(10)&amp;"A quality monitoring audit has been completed for "&amp;$C1145&amp;"."&amp;CHAR(10)&amp;CHAR(10)&amp;"QUALITY AUDIT DETAILS"&amp;CHAR(10)&amp;"Agent Name: "&amp;$C1145&amp;" (EID "&amp;$D1145&amp;")"&amp;CHAR(10)&amp;"Audit Date: "&amp;TEXT($B1145,"yyyy-mm-dd")&amp;CHAR(10)&amp;"Team Leader: "&amp;$F1145&amp;CHAR(10)&amp;"Case Number: "&amp;$M1145&amp;CHAR(10)&amp;"Transaction ID: "&amp;$N1145&amp;CHAR(10)&amp;"Channel / LOB: "&amp;$K1145&amp;" / "&amp;$L1145&amp;CHAR(10)&amp;"Evaluator: "&amp;$S1145&amp;CHAR(10)&amp;CHAR(10)&amp;"INVALID QUALITY AUDIT DETAILS"&amp;CHAR(10)&amp;"Validation: Invalid"&amp;CHAR(10)&amp;"Invalid Reason: "&amp;$P1145&amp;CHAR(10)&amp;"Expected Resolution Code: "&amp;$Q1145&amp;CHAR(10)&amp;"Remarks: "&amp;LEFT($R1145,600)&amp;CHAR(10)&amp;CHAR(10)&amp;"This is an automated notification from HP Mainstream EQMS."),"✉ Open Email Draft"),"")</f>
        <v/>
      </c>
    </row>
    <row r="1146">
      <c r="A1146" s="25">
        <f>IF($C1146="","","AUD-2026-"&amp;TEXT(ROW()-1,"000000"))</f>
        <v/>
      </c>
      <c r="B1146" s="26" t="n"/>
      <c r="C1146" s="27" t="n"/>
      <c r="D1146" s="25">
        <f>IF($C1146="","",IFERROR(IF(INDEX(Roster!$A:$A,MATCH($C1146,Roster!$B:$B,0))="","",INDEX(Roster!$A:$A,MATCH($C1146,Roster!$B:$B,0))&amp;""),"—"))</f>
        <v/>
      </c>
      <c r="E1146" s="25">
        <f>IF($C1146="","",IFERROR(IF(INDEX(Roster!$C:$C,MATCH($C1146,Roster!$B:$B,0))="","",INDEX(Roster!$C:$C,MATCH($C1146,Roster!$B:$B,0))&amp;""),"—"))</f>
        <v/>
      </c>
      <c r="F1146" s="25">
        <f>IF($C1146="","",IFERROR(IF(INDEX(Roster!$D:$D,MATCH($C1146,Roster!$B:$B,0))="","",INDEX(Roster!$D:$D,MATCH($C1146,Roster!$B:$B,0))&amp;""),"—"))</f>
        <v/>
      </c>
      <c r="G1146" s="25">
        <f>IF($C1146="","",IFERROR(IF(INDEX(Roster!$E:$E,MATCH($C1146,Roster!$B:$B,0))="","",INDEX(Roster!$E:$E,MATCH($C1146,Roster!$B:$B,0))&amp;""),"—"))</f>
        <v/>
      </c>
      <c r="H1146" s="25">
        <f>IF($C1146="","",IFERROR(IF(INDEX(Roster!$F:$F,MATCH($C1146,Roster!$B:$B,0))="","",INDEX(Roster!$F:$F,MATCH($C1146,Roster!$B:$B,0))&amp;""),"—"))</f>
        <v/>
      </c>
      <c r="I1146" s="25">
        <f>IF($C1146="","",IFERROR(IF(INDEX(Roster!$G:$G,MATCH($C1146,Roster!$B:$B,0))="","",INDEX(Roster!$G:$G,MATCH($C1146,Roster!$B:$B,0))&amp;""),"—"))</f>
        <v/>
      </c>
      <c r="J1146" s="25">
        <f>IF($C1146="","",IFERROR(IF(INDEX(Roster!$I:$I,MATCH($C1146,Roster!$B:$B,0))="","",INDEX(Roster!$I:$I,MATCH($C1146,Roster!$B:$B,0))&amp;""),"—"))</f>
        <v/>
      </c>
      <c r="K1146">
        <f>IF($C1146="","",IFERROR(IF(INDEX(Roster!$J:$J,MATCH($C1146,Roster!$B:$B,0))="","",INDEX(Roster!$J:$J,MATCH($C1146,Roster!$B:$B,0))&amp;""),"—"))</f>
        <v/>
      </c>
      <c r="L1146">
        <f>IF($C1146="","",IFERROR(IF(INDEX(Roster!$K:$K,MATCH($C1146,Roster!$B:$B,0))="","",INDEX(Roster!$K:$K,MATCH($C1146,Roster!$B:$B,0))&amp;""),"—"))</f>
        <v/>
      </c>
      <c r="M1146" s="27" t="n"/>
      <c r="N1146" s="27" t="n"/>
      <c r="O1146" s="25">
        <f>IF($C1146="","",IF($P1146="","—",IF($P1146="Valid (Pass)","Valid","Invalid")))</f>
        <v/>
      </c>
      <c r="P1146" s="27" t="n"/>
      <c r="Q1146" s="27" t="n"/>
      <c r="R1146" s="27" t="n"/>
      <c r="S1146" s="27" t="n"/>
      <c r="T1146" s="25">
        <f>IF($C1146="","",IF(OR(ISNUMBER(SEARCH("quick case",$P1146)),ISNUMBER(SEARCH("quick case",$Q1146))),"Yes","No"))</f>
        <v/>
      </c>
      <c r="U1146" s="25">
        <f>IF($O1146="Invalid",HYPERLINK("mailto:"&amp;$G1146&amp;";"&amp;$I1146&amp;"?cc="&amp;Lists!$E$2&amp;"&amp;subject="&amp;_xlfn.ENCODEURL("[INVALID] Quality audit monitoring completed for "&amp;UPPER($C1146))&amp;"&amp;body="&amp;_xlfn.ENCODEURL("Hi "&amp;$F1146&amp;","&amp;CHAR(10)&amp;"Good day!"&amp;CHAR(10)&amp;CHAR(10)&amp;"A quality monitoring audit has been completed for "&amp;$C1146&amp;"."&amp;CHAR(10)&amp;CHAR(10)&amp;"QUALITY AUDIT DETAILS"&amp;CHAR(10)&amp;"Agent Name: "&amp;$C1146&amp;" (EID "&amp;$D1146&amp;")"&amp;CHAR(10)&amp;"Audit Date: "&amp;TEXT($B1146,"yyyy-mm-dd")&amp;CHAR(10)&amp;"Team Leader: "&amp;$F1146&amp;CHAR(10)&amp;"Case Number: "&amp;$M1146&amp;CHAR(10)&amp;"Transaction ID: "&amp;$N1146&amp;CHAR(10)&amp;"Channel / LOB: "&amp;$K1146&amp;" / "&amp;$L1146&amp;CHAR(10)&amp;"Evaluator: "&amp;$S1146&amp;CHAR(10)&amp;CHAR(10)&amp;"INVALID QUALITY AUDIT DETAILS"&amp;CHAR(10)&amp;"Validation: Invalid"&amp;CHAR(10)&amp;"Invalid Reason: "&amp;$P1146&amp;CHAR(10)&amp;"Expected Resolution Code: "&amp;$Q1146&amp;CHAR(10)&amp;"Remarks: "&amp;LEFT($R1146,600)&amp;CHAR(10)&amp;CHAR(10)&amp;"This is an automated notification from HP Mainstream EQMS."),"✉ Open Email Draft"),"")</f>
        <v/>
      </c>
    </row>
    <row r="1147">
      <c r="A1147" s="25">
        <f>IF($C1147="","","AUD-2026-"&amp;TEXT(ROW()-1,"000000"))</f>
        <v/>
      </c>
      <c r="B1147" s="26" t="n"/>
      <c r="C1147" s="27" t="n"/>
      <c r="D1147" s="25">
        <f>IF($C1147="","",IFERROR(IF(INDEX(Roster!$A:$A,MATCH($C1147,Roster!$B:$B,0))="","",INDEX(Roster!$A:$A,MATCH($C1147,Roster!$B:$B,0))&amp;""),"—"))</f>
        <v/>
      </c>
      <c r="E1147" s="25">
        <f>IF($C1147="","",IFERROR(IF(INDEX(Roster!$C:$C,MATCH($C1147,Roster!$B:$B,0))="","",INDEX(Roster!$C:$C,MATCH($C1147,Roster!$B:$B,0))&amp;""),"—"))</f>
        <v/>
      </c>
      <c r="F1147" s="25">
        <f>IF($C1147="","",IFERROR(IF(INDEX(Roster!$D:$D,MATCH($C1147,Roster!$B:$B,0))="","",INDEX(Roster!$D:$D,MATCH($C1147,Roster!$B:$B,0))&amp;""),"—"))</f>
        <v/>
      </c>
      <c r="G1147" s="25">
        <f>IF($C1147="","",IFERROR(IF(INDEX(Roster!$E:$E,MATCH($C1147,Roster!$B:$B,0))="","",INDEX(Roster!$E:$E,MATCH($C1147,Roster!$B:$B,0))&amp;""),"—"))</f>
        <v/>
      </c>
      <c r="H1147" s="25">
        <f>IF($C1147="","",IFERROR(IF(INDEX(Roster!$F:$F,MATCH($C1147,Roster!$B:$B,0))="","",INDEX(Roster!$F:$F,MATCH($C1147,Roster!$B:$B,0))&amp;""),"—"))</f>
        <v/>
      </c>
      <c r="I1147" s="25">
        <f>IF($C1147="","",IFERROR(IF(INDEX(Roster!$G:$G,MATCH($C1147,Roster!$B:$B,0))="","",INDEX(Roster!$G:$G,MATCH($C1147,Roster!$B:$B,0))&amp;""),"—"))</f>
        <v/>
      </c>
      <c r="J1147" s="25">
        <f>IF($C1147="","",IFERROR(IF(INDEX(Roster!$I:$I,MATCH($C1147,Roster!$B:$B,0))="","",INDEX(Roster!$I:$I,MATCH($C1147,Roster!$B:$B,0))&amp;""),"—"))</f>
        <v/>
      </c>
      <c r="K1147">
        <f>IF($C1147="","",IFERROR(IF(INDEX(Roster!$J:$J,MATCH($C1147,Roster!$B:$B,0))="","",INDEX(Roster!$J:$J,MATCH($C1147,Roster!$B:$B,0))&amp;""),"—"))</f>
        <v/>
      </c>
      <c r="L1147">
        <f>IF($C1147="","",IFERROR(IF(INDEX(Roster!$K:$K,MATCH($C1147,Roster!$B:$B,0))="","",INDEX(Roster!$K:$K,MATCH($C1147,Roster!$B:$B,0))&amp;""),"—"))</f>
        <v/>
      </c>
      <c r="M1147" s="27" t="n"/>
      <c r="N1147" s="27" t="n"/>
      <c r="O1147" s="25">
        <f>IF($C1147="","",IF($P1147="","—",IF($P1147="Valid (Pass)","Valid","Invalid")))</f>
        <v/>
      </c>
      <c r="P1147" s="27" t="n"/>
      <c r="Q1147" s="27" t="n"/>
      <c r="R1147" s="27" t="n"/>
      <c r="S1147" s="27" t="n"/>
      <c r="T1147" s="25">
        <f>IF($C1147="","",IF(OR(ISNUMBER(SEARCH("quick case",$P1147)),ISNUMBER(SEARCH("quick case",$Q1147))),"Yes","No"))</f>
        <v/>
      </c>
      <c r="U1147" s="25">
        <f>IF($O1147="Invalid",HYPERLINK("mailto:"&amp;$G1147&amp;";"&amp;$I1147&amp;"?cc="&amp;Lists!$E$2&amp;"&amp;subject="&amp;_xlfn.ENCODEURL("[INVALID] Quality audit monitoring completed for "&amp;UPPER($C1147))&amp;"&amp;body="&amp;_xlfn.ENCODEURL("Hi "&amp;$F1147&amp;","&amp;CHAR(10)&amp;"Good day!"&amp;CHAR(10)&amp;CHAR(10)&amp;"A quality monitoring audit has been completed for "&amp;$C1147&amp;"."&amp;CHAR(10)&amp;CHAR(10)&amp;"QUALITY AUDIT DETAILS"&amp;CHAR(10)&amp;"Agent Name: "&amp;$C1147&amp;" (EID "&amp;$D1147&amp;")"&amp;CHAR(10)&amp;"Audit Date: "&amp;TEXT($B1147,"yyyy-mm-dd")&amp;CHAR(10)&amp;"Team Leader: "&amp;$F1147&amp;CHAR(10)&amp;"Case Number: "&amp;$M1147&amp;CHAR(10)&amp;"Transaction ID: "&amp;$N1147&amp;CHAR(10)&amp;"Channel / LOB: "&amp;$K1147&amp;" / "&amp;$L1147&amp;CHAR(10)&amp;"Evaluator: "&amp;$S1147&amp;CHAR(10)&amp;CHAR(10)&amp;"INVALID QUALITY AUDIT DETAILS"&amp;CHAR(10)&amp;"Validation: Invalid"&amp;CHAR(10)&amp;"Invalid Reason: "&amp;$P1147&amp;CHAR(10)&amp;"Expected Resolution Code: "&amp;$Q1147&amp;CHAR(10)&amp;"Remarks: "&amp;LEFT($R1147,600)&amp;CHAR(10)&amp;CHAR(10)&amp;"This is an automated notification from HP Mainstream EQMS."),"✉ Open Email Draft"),"")</f>
        <v/>
      </c>
    </row>
    <row r="1148">
      <c r="A1148" s="25">
        <f>IF($C1148="","","AUD-2026-"&amp;TEXT(ROW()-1,"000000"))</f>
        <v/>
      </c>
      <c r="B1148" s="26" t="n"/>
      <c r="C1148" s="27" t="n"/>
      <c r="D1148" s="25">
        <f>IF($C1148="","",IFERROR(IF(INDEX(Roster!$A:$A,MATCH($C1148,Roster!$B:$B,0))="","",INDEX(Roster!$A:$A,MATCH($C1148,Roster!$B:$B,0))&amp;""),"—"))</f>
        <v/>
      </c>
      <c r="E1148" s="25">
        <f>IF($C1148="","",IFERROR(IF(INDEX(Roster!$C:$C,MATCH($C1148,Roster!$B:$B,0))="","",INDEX(Roster!$C:$C,MATCH($C1148,Roster!$B:$B,0))&amp;""),"—"))</f>
        <v/>
      </c>
      <c r="F1148" s="25">
        <f>IF($C1148="","",IFERROR(IF(INDEX(Roster!$D:$D,MATCH($C1148,Roster!$B:$B,0))="","",INDEX(Roster!$D:$D,MATCH($C1148,Roster!$B:$B,0))&amp;""),"—"))</f>
        <v/>
      </c>
      <c r="G1148" s="25">
        <f>IF($C1148="","",IFERROR(IF(INDEX(Roster!$E:$E,MATCH($C1148,Roster!$B:$B,0))="","",INDEX(Roster!$E:$E,MATCH($C1148,Roster!$B:$B,0))&amp;""),"—"))</f>
        <v/>
      </c>
      <c r="H1148" s="25">
        <f>IF($C1148="","",IFERROR(IF(INDEX(Roster!$F:$F,MATCH($C1148,Roster!$B:$B,0))="","",INDEX(Roster!$F:$F,MATCH($C1148,Roster!$B:$B,0))&amp;""),"—"))</f>
        <v/>
      </c>
      <c r="I1148" s="25">
        <f>IF($C1148="","",IFERROR(IF(INDEX(Roster!$G:$G,MATCH($C1148,Roster!$B:$B,0))="","",INDEX(Roster!$G:$G,MATCH($C1148,Roster!$B:$B,0))&amp;""),"—"))</f>
        <v/>
      </c>
      <c r="J1148" s="25">
        <f>IF($C1148="","",IFERROR(IF(INDEX(Roster!$I:$I,MATCH($C1148,Roster!$B:$B,0))="","",INDEX(Roster!$I:$I,MATCH($C1148,Roster!$B:$B,0))&amp;""),"—"))</f>
        <v/>
      </c>
      <c r="K1148">
        <f>IF($C1148="","",IFERROR(IF(INDEX(Roster!$J:$J,MATCH($C1148,Roster!$B:$B,0))="","",INDEX(Roster!$J:$J,MATCH($C1148,Roster!$B:$B,0))&amp;""),"—"))</f>
        <v/>
      </c>
      <c r="L1148">
        <f>IF($C1148="","",IFERROR(IF(INDEX(Roster!$K:$K,MATCH($C1148,Roster!$B:$B,0))="","",INDEX(Roster!$K:$K,MATCH($C1148,Roster!$B:$B,0))&amp;""),"—"))</f>
        <v/>
      </c>
      <c r="M1148" s="27" t="n"/>
      <c r="N1148" s="27" t="n"/>
      <c r="O1148" s="25">
        <f>IF($C1148="","",IF($P1148="","—",IF($P1148="Valid (Pass)","Valid","Invalid")))</f>
        <v/>
      </c>
      <c r="P1148" s="27" t="n"/>
      <c r="Q1148" s="27" t="n"/>
      <c r="R1148" s="27" t="n"/>
      <c r="S1148" s="27" t="n"/>
      <c r="T1148" s="25">
        <f>IF($C1148="","",IF(OR(ISNUMBER(SEARCH("quick case",$P1148)),ISNUMBER(SEARCH("quick case",$Q1148))),"Yes","No"))</f>
        <v/>
      </c>
      <c r="U1148" s="25">
        <f>IF($O1148="Invalid",HYPERLINK("mailto:"&amp;$G1148&amp;";"&amp;$I1148&amp;"?cc="&amp;Lists!$E$2&amp;"&amp;subject="&amp;_xlfn.ENCODEURL("[INVALID] Quality audit monitoring completed for "&amp;UPPER($C1148))&amp;"&amp;body="&amp;_xlfn.ENCODEURL("Hi "&amp;$F1148&amp;","&amp;CHAR(10)&amp;"Good day!"&amp;CHAR(10)&amp;CHAR(10)&amp;"A quality monitoring audit has been completed for "&amp;$C1148&amp;"."&amp;CHAR(10)&amp;CHAR(10)&amp;"QUALITY AUDIT DETAILS"&amp;CHAR(10)&amp;"Agent Name: "&amp;$C1148&amp;" (EID "&amp;$D1148&amp;")"&amp;CHAR(10)&amp;"Audit Date: "&amp;TEXT($B1148,"yyyy-mm-dd")&amp;CHAR(10)&amp;"Team Leader: "&amp;$F1148&amp;CHAR(10)&amp;"Case Number: "&amp;$M1148&amp;CHAR(10)&amp;"Transaction ID: "&amp;$N1148&amp;CHAR(10)&amp;"Channel / LOB: "&amp;$K1148&amp;" / "&amp;$L1148&amp;CHAR(10)&amp;"Evaluator: "&amp;$S1148&amp;CHAR(10)&amp;CHAR(10)&amp;"INVALID QUALITY AUDIT DETAILS"&amp;CHAR(10)&amp;"Validation: Invalid"&amp;CHAR(10)&amp;"Invalid Reason: "&amp;$P1148&amp;CHAR(10)&amp;"Expected Resolution Code: "&amp;$Q1148&amp;CHAR(10)&amp;"Remarks: "&amp;LEFT($R1148,600)&amp;CHAR(10)&amp;CHAR(10)&amp;"This is an automated notification from HP Mainstream EQMS."),"✉ Open Email Draft"),"")</f>
        <v/>
      </c>
    </row>
    <row r="1149">
      <c r="A1149" s="25">
        <f>IF($C1149="","","AUD-2026-"&amp;TEXT(ROW()-1,"000000"))</f>
        <v/>
      </c>
      <c r="B1149" s="26" t="n"/>
      <c r="C1149" s="27" t="n"/>
      <c r="D1149" s="25">
        <f>IF($C1149="","",IFERROR(IF(INDEX(Roster!$A:$A,MATCH($C1149,Roster!$B:$B,0))="","",INDEX(Roster!$A:$A,MATCH($C1149,Roster!$B:$B,0))&amp;""),"—"))</f>
        <v/>
      </c>
      <c r="E1149" s="25">
        <f>IF($C1149="","",IFERROR(IF(INDEX(Roster!$C:$C,MATCH($C1149,Roster!$B:$B,0))="","",INDEX(Roster!$C:$C,MATCH($C1149,Roster!$B:$B,0))&amp;""),"—"))</f>
        <v/>
      </c>
      <c r="F1149" s="25">
        <f>IF($C1149="","",IFERROR(IF(INDEX(Roster!$D:$D,MATCH($C1149,Roster!$B:$B,0))="","",INDEX(Roster!$D:$D,MATCH($C1149,Roster!$B:$B,0))&amp;""),"—"))</f>
        <v/>
      </c>
      <c r="G1149" s="25">
        <f>IF($C1149="","",IFERROR(IF(INDEX(Roster!$E:$E,MATCH($C1149,Roster!$B:$B,0))="","",INDEX(Roster!$E:$E,MATCH($C1149,Roster!$B:$B,0))&amp;""),"—"))</f>
        <v/>
      </c>
      <c r="H1149" s="25">
        <f>IF($C1149="","",IFERROR(IF(INDEX(Roster!$F:$F,MATCH($C1149,Roster!$B:$B,0))="","",INDEX(Roster!$F:$F,MATCH($C1149,Roster!$B:$B,0))&amp;""),"—"))</f>
        <v/>
      </c>
      <c r="I1149" s="25">
        <f>IF($C1149="","",IFERROR(IF(INDEX(Roster!$G:$G,MATCH($C1149,Roster!$B:$B,0))="","",INDEX(Roster!$G:$G,MATCH($C1149,Roster!$B:$B,0))&amp;""),"—"))</f>
        <v/>
      </c>
      <c r="J1149" s="25">
        <f>IF($C1149="","",IFERROR(IF(INDEX(Roster!$I:$I,MATCH($C1149,Roster!$B:$B,0))="","",INDEX(Roster!$I:$I,MATCH($C1149,Roster!$B:$B,0))&amp;""),"—"))</f>
        <v/>
      </c>
      <c r="K1149">
        <f>IF($C1149="","",IFERROR(IF(INDEX(Roster!$J:$J,MATCH($C1149,Roster!$B:$B,0))="","",INDEX(Roster!$J:$J,MATCH($C1149,Roster!$B:$B,0))&amp;""),"—"))</f>
        <v/>
      </c>
      <c r="L1149">
        <f>IF($C1149="","",IFERROR(IF(INDEX(Roster!$K:$K,MATCH($C1149,Roster!$B:$B,0))="","",INDEX(Roster!$K:$K,MATCH($C1149,Roster!$B:$B,0))&amp;""),"—"))</f>
        <v/>
      </c>
      <c r="M1149" s="27" t="n"/>
      <c r="N1149" s="27" t="n"/>
      <c r="O1149" s="25">
        <f>IF($C1149="","",IF($P1149="","—",IF($P1149="Valid (Pass)","Valid","Invalid")))</f>
        <v/>
      </c>
      <c r="P1149" s="27" t="n"/>
      <c r="Q1149" s="27" t="n"/>
      <c r="R1149" s="27" t="n"/>
      <c r="S1149" s="27" t="n"/>
      <c r="T1149" s="25">
        <f>IF($C1149="","",IF(OR(ISNUMBER(SEARCH("quick case",$P1149)),ISNUMBER(SEARCH("quick case",$Q1149))),"Yes","No"))</f>
        <v/>
      </c>
      <c r="U1149" s="25">
        <f>IF($O1149="Invalid",HYPERLINK("mailto:"&amp;$G1149&amp;";"&amp;$I1149&amp;"?cc="&amp;Lists!$E$2&amp;"&amp;subject="&amp;_xlfn.ENCODEURL("[INVALID] Quality audit monitoring completed for "&amp;UPPER($C1149))&amp;"&amp;body="&amp;_xlfn.ENCODEURL("Hi "&amp;$F1149&amp;","&amp;CHAR(10)&amp;"Good day!"&amp;CHAR(10)&amp;CHAR(10)&amp;"A quality monitoring audit has been completed for "&amp;$C1149&amp;"."&amp;CHAR(10)&amp;CHAR(10)&amp;"QUALITY AUDIT DETAILS"&amp;CHAR(10)&amp;"Agent Name: "&amp;$C1149&amp;" (EID "&amp;$D1149&amp;")"&amp;CHAR(10)&amp;"Audit Date: "&amp;TEXT($B1149,"yyyy-mm-dd")&amp;CHAR(10)&amp;"Team Leader: "&amp;$F1149&amp;CHAR(10)&amp;"Case Number: "&amp;$M1149&amp;CHAR(10)&amp;"Transaction ID: "&amp;$N1149&amp;CHAR(10)&amp;"Channel / LOB: "&amp;$K1149&amp;" / "&amp;$L1149&amp;CHAR(10)&amp;"Evaluator: "&amp;$S1149&amp;CHAR(10)&amp;CHAR(10)&amp;"INVALID QUALITY AUDIT DETAILS"&amp;CHAR(10)&amp;"Validation: Invalid"&amp;CHAR(10)&amp;"Invalid Reason: "&amp;$P1149&amp;CHAR(10)&amp;"Expected Resolution Code: "&amp;$Q1149&amp;CHAR(10)&amp;"Remarks: "&amp;LEFT($R1149,600)&amp;CHAR(10)&amp;CHAR(10)&amp;"This is an automated notification from HP Mainstream EQMS."),"✉ Open Email Draft"),"")</f>
        <v/>
      </c>
    </row>
    <row r="1150">
      <c r="A1150" s="25">
        <f>IF($C1150="","","AUD-2026-"&amp;TEXT(ROW()-1,"000000"))</f>
        <v/>
      </c>
      <c r="B1150" s="26" t="n"/>
      <c r="C1150" s="27" t="n"/>
      <c r="D1150" s="25">
        <f>IF($C1150="","",IFERROR(IF(INDEX(Roster!$A:$A,MATCH($C1150,Roster!$B:$B,0))="","",INDEX(Roster!$A:$A,MATCH($C1150,Roster!$B:$B,0))&amp;""),"—"))</f>
        <v/>
      </c>
      <c r="E1150" s="25">
        <f>IF($C1150="","",IFERROR(IF(INDEX(Roster!$C:$C,MATCH($C1150,Roster!$B:$B,0))="","",INDEX(Roster!$C:$C,MATCH($C1150,Roster!$B:$B,0))&amp;""),"—"))</f>
        <v/>
      </c>
      <c r="F1150" s="25">
        <f>IF($C1150="","",IFERROR(IF(INDEX(Roster!$D:$D,MATCH($C1150,Roster!$B:$B,0))="","",INDEX(Roster!$D:$D,MATCH($C1150,Roster!$B:$B,0))&amp;""),"—"))</f>
        <v/>
      </c>
      <c r="G1150" s="25">
        <f>IF($C1150="","",IFERROR(IF(INDEX(Roster!$E:$E,MATCH($C1150,Roster!$B:$B,0))="","",INDEX(Roster!$E:$E,MATCH($C1150,Roster!$B:$B,0))&amp;""),"—"))</f>
        <v/>
      </c>
      <c r="H1150" s="25">
        <f>IF($C1150="","",IFERROR(IF(INDEX(Roster!$F:$F,MATCH($C1150,Roster!$B:$B,0))="","",INDEX(Roster!$F:$F,MATCH($C1150,Roster!$B:$B,0))&amp;""),"—"))</f>
        <v/>
      </c>
      <c r="I1150" s="25">
        <f>IF($C1150="","",IFERROR(IF(INDEX(Roster!$G:$G,MATCH($C1150,Roster!$B:$B,0))="","",INDEX(Roster!$G:$G,MATCH($C1150,Roster!$B:$B,0))&amp;""),"—"))</f>
        <v/>
      </c>
      <c r="J1150" s="25">
        <f>IF($C1150="","",IFERROR(IF(INDEX(Roster!$I:$I,MATCH($C1150,Roster!$B:$B,0))="","",INDEX(Roster!$I:$I,MATCH($C1150,Roster!$B:$B,0))&amp;""),"—"))</f>
        <v/>
      </c>
      <c r="K1150">
        <f>IF($C1150="","",IFERROR(IF(INDEX(Roster!$J:$J,MATCH($C1150,Roster!$B:$B,0))="","",INDEX(Roster!$J:$J,MATCH($C1150,Roster!$B:$B,0))&amp;""),"—"))</f>
        <v/>
      </c>
      <c r="L1150">
        <f>IF($C1150="","",IFERROR(IF(INDEX(Roster!$K:$K,MATCH($C1150,Roster!$B:$B,0))="","",INDEX(Roster!$K:$K,MATCH($C1150,Roster!$B:$B,0))&amp;""),"—"))</f>
        <v/>
      </c>
      <c r="M1150" s="27" t="n"/>
      <c r="N1150" s="27" t="n"/>
      <c r="O1150" s="25">
        <f>IF($C1150="","",IF($P1150="","—",IF($P1150="Valid (Pass)","Valid","Invalid")))</f>
        <v/>
      </c>
      <c r="P1150" s="27" t="n"/>
      <c r="Q1150" s="27" t="n"/>
      <c r="R1150" s="27" t="n"/>
      <c r="S1150" s="27" t="n"/>
      <c r="T1150" s="25">
        <f>IF($C1150="","",IF(OR(ISNUMBER(SEARCH("quick case",$P1150)),ISNUMBER(SEARCH("quick case",$Q1150))),"Yes","No"))</f>
        <v/>
      </c>
      <c r="U1150" s="25">
        <f>IF($O1150="Invalid",HYPERLINK("mailto:"&amp;$G1150&amp;";"&amp;$I1150&amp;"?cc="&amp;Lists!$E$2&amp;"&amp;subject="&amp;_xlfn.ENCODEURL("[INVALID] Quality audit monitoring completed for "&amp;UPPER($C1150))&amp;"&amp;body="&amp;_xlfn.ENCODEURL("Hi "&amp;$F1150&amp;","&amp;CHAR(10)&amp;"Good day!"&amp;CHAR(10)&amp;CHAR(10)&amp;"A quality monitoring audit has been completed for "&amp;$C1150&amp;"."&amp;CHAR(10)&amp;CHAR(10)&amp;"QUALITY AUDIT DETAILS"&amp;CHAR(10)&amp;"Agent Name: "&amp;$C1150&amp;" (EID "&amp;$D1150&amp;")"&amp;CHAR(10)&amp;"Audit Date: "&amp;TEXT($B1150,"yyyy-mm-dd")&amp;CHAR(10)&amp;"Team Leader: "&amp;$F1150&amp;CHAR(10)&amp;"Case Number: "&amp;$M1150&amp;CHAR(10)&amp;"Transaction ID: "&amp;$N1150&amp;CHAR(10)&amp;"Channel / LOB: "&amp;$K1150&amp;" / "&amp;$L1150&amp;CHAR(10)&amp;"Evaluator: "&amp;$S1150&amp;CHAR(10)&amp;CHAR(10)&amp;"INVALID QUALITY AUDIT DETAILS"&amp;CHAR(10)&amp;"Validation: Invalid"&amp;CHAR(10)&amp;"Invalid Reason: "&amp;$P1150&amp;CHAR(10)&amp;"Expected Resolution Code: "&amp;$Q1150&amp;CHAR(10)&amp;"Remarks: "&amp;LEFT($R1150,600)&amp;CHAR(10)&amp;CHAR(10)&amp;"This is an automated notification from HP Mainstream EQMS."),"✉ Open Email Draft"),"")</f>
        <v/>
      </c>
    </row>
    <row r="1151">
      <c r="A1151" s="25">
        <f>IF($C1151="","","AUD-2026-"&amp;TEXT(ROW()-1,"000000"))</f>
        <v/>
      </c>
      <c r="B1151" s="26" t="n"/>
      <c r="C1151" s="27" t="n"/>
      <c r="D1151" s="25">
        <f>IF($C1151="","",IFERROR(IF(INDEX(Roster!$A:$A,MATCH($C1151,Roster!$B:$B,0))="","",INDEX(Roster!$A:$A,MATCH($C1151,Roster!$B:$B,0))&amp;""),"—"))</f>
        <v/>
      </c>
      <c r="E1151" s="25">
        <f>IF($C1151="","",IFERROR(IF(INDEX(Roster!$C:$C,MATCH($C1151,Roster!$B:$B,0))="","",INDEX(Roster!$C:$C,MATCH($C1151,Roster!$B:$B,0))&amp;""),"—"))</f>
        <v/>
      </c>
      <c r="F1151" s="25">
        <f>IF($C1151="","",IFERROR(IF(INDEX(Roster!$D:$D,MATCH($C1151,Roster!$B:$B,0))="","",INDEX(Roster!$D:$D,MATCH($C1151,Roster!$B:$B,0))&amp;""),"—"))</f>
        <v/>
      </c>
      <c r="G1151" s="25">
        <f>IF($C1151="","",IFERROR(IF(INDEX(Roster!$E:$E,MATCH($C1151,Roster!$B:$B,0))="","",INDEX(Roster!$E:$E,MATCH($C1151,Roster!$B:$B,0))&amp;""),"—"))</f>
        <v/>
      </c>
      <c r="H1151" s="25">
        <f>IF($C1151="","",IFERROR(IF(INDEX(Roster!$F:$F,MATCH($C1151,Roster!$B:$B,0))="","",INDEX(Roster!$F:$F,MATCH($C1151,Roster!$B:$B,0))&amp;""),"—"))</f>
        <v/>
      </c>
      <c r="I1151" s="25">
        <f>IF($C1151="","",IFERROR(IF(INDEX(Roster!$G:$G,MATCH($C1151,Roster!$B:$B,0))="","",INDEX(Roster!$G:$G,MATCH($C1151,Roster!$B:$B,0))&amp;""),"—"))</f>
        <v/>
      </c>
      <c r="J1151" s="25">
        <f>IF($C1151="","",IFERROR(IF(INDEX(Roster!$I:$I,MATCH($C1151,Roster!$B:$B,0))="","",INDEX(Roster!$I:$I,MATCH($C1151,Roster!$B:$B,0))&amp;""),"—"))</f>
        <v/>
      </c>
      <c r="K1151">
        <f>IF($C1151="","",IFERROR(IF(INDEX(Roster!$J:$J,MATCH($C1151,Roster!$B:$B,0))="","",INDEX(Roster!$J:$J,MATCH($C1151,Roster!$B:$B,0))&amp;""),"—"))</f>
        <v/>
      </c>
      <c r="L1151">
        <f>IF($C1151="","",IFERROR(IF(INDEX(Roster!$K:$K,MATCH($C1151,Roster!$B:$B,0))="","",INDEX(Roster!$K:$K,MATCH($C1151,Roster!$B:$B,0))&amp;""),"—"))</f>
        <v/>
      </c>
      <c r="M1151" s="27" t="n"/>
      <c r="N1151" s="27" t="n"/>
      <c r="O1151" s="25">
        <f>IF($C1151="","",IF($P1151="","—",IF($P1151="Valid (Pass)","Valid","Invalid")))</f>
        <v/>
      </c>
      <c r="P1151" s="27" t="n"/>
      <c r="Q1151" s="27" t="n"/>
      <c r="R1151" s="27" t="n"/>
      <c r="S1151" s="27" t="n"/>
      <c r="T1151" s="25">
        <f>IF($C1151="","",IF(OR(ISNUMBER(SEARCH("quick case",$P1151)),ISNUMBER(SEARCH("quick case",$Q1151))),"Yes","No"))</f>
        <v/>
      </c>
      <c r="U1151" s="25">
        <f>IF($O1151="Invalid",HYPERLINK("mailto:"&amp;$G1151&amp;";"&amp;$I1151&amp;"?cc="&amp;Lists!$E$2&amp;"&amp;subject="&amp;_xlfn.ENCODEURL("[INVALID] Quality audit monitoring completed for "&amp;UPPER($C1151))&amp;"&amp;body="&amp;_xlfn.ENCODEURL("Hi "&amp;$F1151&amp;","&amp;CHAR(10)&amp;"Good day!"&amp;CHAR(10)&amp;CHAR(10)&amp;"A quality monitoring audit has been completed for "&amp;$C1151&amp;"."&amp;CHAR(10)&amp;CHAR(10)&amp;"QUALITY AUDIT DETAILS"&amp;CHAR(10)&amp;"Agent Name: "&amp;$C1151&amp;" (EID "&amp;$D1151&amp;")"&amp;CHAR(10)&amp;"Audit Date: "&amp;TEXT($B1151,"yyyy-mm-dd")&amp;CHAR(10)&amp;"Team Leader: "&amp;$F1151&amp;CHAR(10)&amp;"Case Number: "&amp;$M1151&amp;CHAR(10)&amp;"Transaction ID: "&amp;$N1151&amp;CHAR(10)&amp;"Channel / LOB: "&amp;$K1151&amp;" / "&amp;$L1151&amp;CHAR(10)&amp;"Evaluator: "&amp;$S1151&amp;CHAR(10)&amp;CHAR(10)&amp;"INVALID QUALITY AUDIT DETAILS"&amp;CHAR(10)&amp;"Validation: Invalid"&amp;CHAR(10)&amp;"Invalid Reason: "&amp;$P1151&amp;CHAR(10)&amp;"Expected Resolution Code: "&amp;$Q1151&amp;CHAR(10)&amp;"Remarks: "&amp;LEFT($R1151,600)&amp;CHAR(10)&amp;CHAR(10)&amp;"This is an automated notification from HP Mainstream EQMS."),"✉ Open Email Draft"),"")</f>
        <v/>
      </c>
    </row>
    <row r="1152">
      <c r="A1152" s="25">
        <f>IF($C1152="","","AUD-2026-"&amp;TEXT(ROW()-1,"000000"))</f>
        <v/>
      </c>
      <c r="B1152" s="26" t="n"/>
      <c r="C1152" s="27" t="n"/>
      <c r="D1152" s="25">
        <f>IF($C1152="","",IFERROR(IF(INDEX(Roster!$A:$A,MATCH($C1152,Roster!$B:$B,0))="","",INDEX(Roster!$A:$A,MATCH($C1152,Roster!$B:$B,0))&amp;""),"—"))</f>
        <v/>
      </c>
      <c r="E1152" s="25">
        <f>IF($C1152="","",IFERROR(IF(INDEX(Roster!$C:$C,MATCH($C1152,Roster!$B:$B,0))="","",INDEX(Roster!$C:$C,MATCH($C1152,Roster!$B:$B,0))&amp;""),"—"))</f>
        <v/>
      </c>
      <c r="F1152" s="25">
        <f>IF($C1152="","",IFERROR(IF(INDEX(Roster!$D:$D,MATCH($C1152,Roster!$B:$B,0))="","",INDEX(Roster!$D:$D,MATCH($C1152,Roster!$B:$B,0))&amp;""),"—"))</f>
        <v/>
      </c>
      <c r="G1152" s="25">
        <f>IF($C1152="","",IFERROR(IF(INDEX(Roster!$E:$E,MATCH($C1152,Roster!$B:$B,0))="","",INDEX(Roster!$E:$E,MATCH($C1152,Roster!$B:$B,0))&amp;""),"—"))</f>
        <v/>
      </c>
      <c r="H1152" s="25">
        <f>IF($C1152="","",IFERROR(IF(INDEX(Roster!$F:$F,MATCH($C1152,Roster!$B:$B,0))="","",INDEX(Roster!$F:$F,MATCH($C1152,Roster!$B:$B,0))&amp;""),"—"))</f>
        <v/>
      </c>
      <c r="I1152" s="25">
        <f>IF($C1152="","",IFERROR(IF(INDEX(Roster!$G:$G,MATCH($C1152,Roster!$B:$B,0))="","",INDEX(Roster!$G:$G,MATCH($C1152,Roster!$B:$B,0))&amp;""),"—"))</f>
        <v/>
      </c>
      <c r="J1152" s="25">
        <f>IF($C1152="","",IFERROR(IF(INDEX(Roster!$I:$I,MATCH($C1152,Roster!$B:$B,0))="","",INDEX(Roster!$I:$I,MATCH($C1152,Roster!$B:$B,0))&amp;""),"—"))</f>
        <v/>
      </c>
      <c r="K1152">
        <f>IF($C1152="","",IFERROR(IF(INDEX(Roster!$J:$J,MATCH($C1152,Roster!$B:$B,0))="","",INDEX(Roster!$J:$J,MATCH($C1152,Roster!$B:$B,0))&amp;""),"—"))</f>
        <v/>
      </c>
      <c r="L1152">
        <f>IF($C1152="","",IFERROR(IF(INDEX(Roster!$K:$K,MATCH($C1152,Roster!$B:$B,0))="","",INDEX(Roster!$K:$K,MATCH($C1152,Roster!$B:$B,0))&amp;""),"—"))</f>
        <v/>
      </c>
      <c r="M1152" s="27" t="n"/>
      <c r="N1152" s="27" t="n"/>
      <c r="O1152" s="25">
        <f>IF($C1152="","",IF($P1152="","—",IF($P1152="Valid (Pass)","Valid","Invalid")))</f>
        <v/>
      </c>
      <c r="P1152" s="27" t="n"/>
      <c r="Q1152" s="27" t="n"/>
      <c r="R1152" s="27" t="n"/>
      <c r="S1152" s="27" t="n"/>
      <c r="T1152" s="25">
        <f>IF($C1152="","",IF(OR(ISNUMBER(SEARCH("quick case",$P1152)),ISNUMBER(SEARCH("quick case",$Q1152))),"Yes","No"))</f>
        <v/>
      </c>
      <c r="U1152" s="25">
        <f>IF($O1152="Invalid",HYPERLINK("mailto:"&amp;$G1152&amp;";"&amp;$I1152&amp;"?cc="&amp;Lists!$E$2&amp;"&amp;subject="&amp;_xlfn.ENCODEURL("[INVALID] Quality audit monitoring completed for "&amp;UPPER($C1152))&amp;"&amp;body="&amp;_xlfn.ENCODEURL("Hi "&amp;$F1152&amp;","&amp;CHAR(10)&amp;"Good day!"&amp;CHAR(10)&amp;CHAR(10)&amp;"A quality monitoring audit has been completed for "&amp;$C1152&amp;"."&amp;CHAR(10)&amp;CHAR(10)&amp;"QUALITY AUDIT DETAILS"&amp;CHAR(10)&amp;"Agent Name: "&amp;$C1152&amp;" (EID "&amp;$D1152&amp;")"&amp;CHAR(10)&amp;"Audit Date: "&amp;TEXT($B1152,"yyyy-mm-dd")&amp;CHAR(10)&amp;"Team Leader: "&amp;$F1152&amp;CHAR(10)&amp;"Case Number: "&amp;$M1152&amp;CHAR(10)&amp;"Transaction ID: "&amp;$N1152&amp;CHAR(10)&amp;"Channel / LOB: "&amp;$K1152&amp;" / "&amp;$L1152&amp;CHAR(10)&amp;"Evaluator: "&amp;$S1152&amp;CHAR(10)&amp;CHAR(10)&amp;"INVALID QUALITY AUDIT DETAILS"&amp;CHAR(10)&amp;"Validation: Invalid"&amp;CHAR(10)&amp;"Invalid Reason: "&amp;$P1152&amp;CHAR(10)&amp;"Expected Resolution Code: "&amp;$Q1152&amp;CHAR(10)&amp;"Remarks: "&amp;LEFT($R1152,600)&amp;CHAR(10)&amp;CHAR(10)&amp;"This is an automated notification from HP Mainstream EQMS."),"✉ Open Email Draft"),"")</f>
        <v/>
      </c>
    </row>
    <row r="1153">
      <c r="A1153" s="25">
        <f>IF($C1153="","","AUD-2026-"&amp;TEXT(ROW()-1,"000000"))</f>
        <v/>
      </c>
      <c r="B1153" s="26" t="n"/>
      <c r="C1153" s="27" t="n"/>
      <c r="D1153" s="25">
        <f>IF($C1153="","",IFERROR(IF(INDEX(Roster!$A:$A,MATCH($C1153,Roster!$B:$B,0))="","",INDEX(Roster!$A:$A,MATCH($C1153,Roster!$B:$B,0))&amp;""),"—"))</f>
        <v/>
      </c>
      <c r="E1153" s="25">
        <f>IF($C1153="","",IFERROR(IF(INDEX(Roster!$C:$C,MATCH($C1153,Roster!$B:$B,0))="","",INDEX(Roster!$C:$C,MATCH($C1153,Roster!$B:$B,0))&amp;""),"—"))</f>
        <v/>
      </c>
      <c r="F1153" s="25">
        <f>IF($C1153="","",IFERROR(IF(INDEX(Roster!$D:$D,MATCH($C1153,Roster!$B:$B,0))="","",INDEX(Roster!$D:$D,MATCH($C1153,Roster!$B:$B,0))&amp;""),"—"))</f>
        <v/>
      </c>
      <c r="G1153" s="25">
        <f>IF($C1153="","",IFERROR(IF(INDEX(Roster!$E:$E,MATCH($C1153,Roster!$B:$B,0))="","",INDEX(Roster!$E:$E,MATCH($C1153,Roster!$B:$B,0))&amp;""),"—"))</f>
        <v/>
      </c>
      <c r="H1153" s="25">
        <f>IF($C1153="","",IFERROR(IF(INDEX(Roster!$F:$F,MATCH($C1153,Roster!$B:$B,0))="","",INDEX(Roster!$F:$F,MATCH($C1153,Roster!$B:$B,0))&amp;""),"—"))</f>
        <v/>
      </c>
      <c r="I1153" s="25">
        <f>IF($C1153="","",IFERROR(IF(INDEX(Roster!$G:$G,MATCH($C1153,Roster!$B:$B,0))="","",INDEX(Roster!$G:$G,MATCH($C1153,Roster!$B:$B,0))&amp;""),"—"))</f>
        <v/>
      </c>
      <c r="J1153" s="25">
        <f>IF($C1153="","",IFERROR(IF(INDEX(Roster!$I:$I,MATCH($C1153,Roster!$B:$B,0))="","",INDEX(Roster!$I:$I,MATCH($C1153,Roster!$B:$B,0))&amp;""),"—"))</f>
        <v/>
      </c>
      <c r="K1153">
        <f>IF($C1153="","",IFERROR(IF(INDEX(Roster!$J:$J,MATCH($C1153,Roster!$B:$B,0))="","",INDEX(Roster!$J:$J,MATCH($C1153,Roster!$B:$B,0))&amp;""),"—"))</f>
        <v/>
      </c>
      <c r="L1153">
        <f>IF($C1153="","",IFERROR(IF(INDEX(Roster!$K:$K,MATCH($C1153,Roster!$B:$B,0))="","",INDEX(Roster!$K:$K,MATCH($C1153,Roster!$B:$B,0))&amp;""),"—"))</f>
        <v/>
      </c>
      <c r="M1153" s="27" t="n"/>
      <c r="N1153" s="27" t="n"/>
      <c r="O1153" s="25">
        <f>IF($C1153="","",IF($P1153="","—",IF($P1153="Valid (Pass)","Valid","Invalid")))</f>
        <v/>
      </c>
      <c r="P1153" s="27" t="n"/>
      <c r="Q1153" s="27" t="n"/>
      <c r="R1153" s="27" t="n"/>
      <c r="S1153" s="27" t="n"/>
      <c r="T1153" s="25">
        <f>IF($C1153="","",IF(OR(ISNUMBER(SEARCH("quick case",$P1153)),ISNUMBER(SEARCH("quick case",$Q1153))),"Yes","No"))</f>
        <v/>
      </c>
      <c r="U1153" s="25">
        <f>IF($O1153="Invalid",HYPERLINK("mailto:"&amp;$G1153&amp;";"&amp;$I1153&amp;"?cc="&amp;Lists!$E$2&amp;"&amp;subject="&amp;_xlfn.ENCODEURL("[INVALID] Quality audit monitoring completed for "&amp;UPPER($C1153))&amp;"&amp;body="&amp;_xlfn.ENCODEURL("Hi "&amp;$F1153&amp;","&amp;CHAR(10)&amp;"Good day!"&amp;CHAR(10)&amp;CHAR(10)&amp;"A quality monitoring audit has been completed for "&amp;$C1153&amp;"."&amp;CHAR(10)&amp;CHAR(10)&amp;"QUALITY AUDIT DETAILS"&amp;CHAR(10)&amp;"Agent Name: "&amp;$C1153&amp;" (EID "&amp;$D1153&amp;")"&amp;CHAR(10)&amp;"Audit Date: "&amp;TEXT($B1153,"yyyy-mm-dd")&amp;CHAR(10)&amp;"Team Leader: "&amp;$F1153&amp;CHAR(10)&amp;"Case Number: "&amp;$M1153&amp;CHAR(10)&amp;"Transaction ID: "&amp;$N1153&amp;CHAR(10)&amp;"Channel / LOB: "&amp;$K1153&amp;" / "&amp;$L1153&amp;CHAR(10)&amp;"Evaluator: "&amp;$S1153&amp;CHAR(10)&amp;CHAR(10)&amp;"INVALID QUALITY AUDIT DETAILS"&amp;CHAR(10)&amp;"Validation: Invalid"&amp;CHAR(10)&amp;"Invalid Reason: "&amp;$P1153&amp;CHAR(10)&amp;"Expected Resolution Code: "&amp;$Q1153&amp;CHAR(10)&amp;"Remarks: "&amp;LEFT($R1153,600)&amp;CHAR(10)&amp;CHAR(10)&amp;"This is an automated notification from HP Mainstream EQMS."),"✉ Open Email Draft"),"")</f>
        <v/>
      </c>
    </row>
    <row r="1154">
      <c r="A1154" s="25">
        <f>IF($C1154="","","AUD-2026-"&amp;TEXT(ROW()-1,"000000"))</f>
        <v/>
      </c>
      <c r="B1154" s="26" t="n"/>
      <c r="C1154" s="27" t="n"/>
      <c r="D1154" s="25">
        <f>IF($C1154="","",IFERROR(IF(INDEX(Roster!$A:$A,MATCH($C1154,Roster!$B:$B,0))="","",INDEX(Roster!$A:$A,MATCH($C1154,Roster!$B:$B,0))&amp;""),"—"))</f>
        <v/>
      </c>
      <c r="E1154" s="25">
        <f>IF($C1154="","",IFERROR(IF(INDEX(Roster!$C:$C,MATCH($C1154,Roster!$B:$B,0))="","",INDEX(Roster!$C:$C,MATCH($C1154,Roster!$B:$B,0))&amp;""),"—"))</f>
        <v/>
      </c>
      <c r="F1154" s="25">
        <f>IF($C1154="","",IFERROR(IF(INDEX(Roster!$D:$D,MATCH($C1154,Roster!$B:$B,0))="","",INDEX(Roster!$D:$D,MATCH($C1154,Roster!$B:$B,0))&amp;""),"—"))</f>
        <v/>
      </c>
      <c r="G1154" s="25">
        <f>IF($C1154="","",IFERROR(IF(INDEX(Roster!$E:$E,MATCH($C1154,Roster!$B:$B,0))="","",INDEX(Roster!$E:$E,MATCH($C1154,Roster!$B:$B,0))&amp;""),"—"))</f>
        <v/>
      </c>
      <c r="H1154" s="25">
        <f>IF($C1154="","",IFERROR(IF(INDEX(Roster!$F:$F,MATCH($C1154,Roster!$B:$B,0))="","",INDEX(Roster!$F:$F,MATCH($C1154,Roster!$B:$B,0))&amp;""),"—"))</f>
        <v/>
      </c>
      <c r="I1154" s="25">
        <f>IF($C1154="","",IFERROR(IF(INDEX(Roster!$G:$G,MATCH($C1154,Roster!$B:$B,0))="","",INDEX(Roster!$G:$G,MATCH($C1154,Roster!$B:$B,0))&amp;""),"—"))</f>
        <v/>
      </c>
      <c r="J1154" s="25">
        <f>IF($C1154="","",IFERROR(IF(INDEX(Roster!$I:$I,MATCH($C1154,Roster!$B:$B,0))="","",INDEX(Roster!$I:$I,MATCH($C1154,Roster!$B:$B,0))&amp;""),"—"))</f>
        <v/>
      </c>
      <c r="K1154">
        <f>IF($C1154="","",IFERROR(IF(INDEX(Roster!$J:$J,MATCH($C1154,Roster!$B:$B,0))="","",INDEX(Roster!$J:$J,MATCH($C1154,Roster!$B:$B,0))&amp;""),"—"))</f>
        <v/>
      </c>
      <c r="L1154">
        <f>IF($C1154="","",IFERROR(IF(INDEX(Roster!$K:$K,MATCH($C1154,Roster!$B:$B,0))="","",INDEX(Roster!$K:$K,MATCH($C1154,Roster!$B:$B,0))&amp;""),"—"))</f>
        <v/>
      </c>
      <c r="M1154" s="27" t="n"/>
      <c r="N1154" s="27" t="n"/>
      <c r="O1154" s="25">
        <f>IF($C1154="","",IF($P1154="","—",IF($P1154="Valid (Pass)","Valid","Invalid")))</f>
        <v/>
      </c>
      <c r="P1154" s="27" t="n"/>
      <c r="Q1154" s="27" t="n"/>
      <c r="R1154" s="27" t="n"/>
      <c r="S1154" s="27" t="n"/>
      <c r="T1154" s="25">
        <f>IF($C1154="","",IF(OR(ISNUMBER(SEARCH("quick case",$P1154)),ISNUMBER(SEARCH("quick case",$Q1154))),"Yes","No"))</f>
        <v/>
      </c>
      <c r="U1154" s="25">
        <f>IF($O1154="Invalid",HYPERLINK("mailto:"&amp;$G1154&amp;";"&amp;$I1154&amp;"?cc="&amp;Lists!$E$2&amp;"&amp;subject="&amp;_xlfn.ENCODEURL("[INVALID] Quality audit monitoring completed for "&amp;UPPER($C1154))&amp;"&amp;body="&amp;_xlfn.ENCODEURL("Hi "&amp;$F1154&amp;","&amp;CHAR(10)&amp;"Good day!"&amp;CHAR(10)&amp;CHAR(10)&amp;"A quality monitoring audit has been completed for "&amp;$C1154&amp;"."&amp;CHAR(10)&amp;CHAR(10)&amp;"QUALITY AUDIT DETAILS"&amp;CHAR(10)&amp;"Agent Name: "&amp;$C1154&amp;" (EID "&amp;$D1154&amp;")"&amp;CHAR(10)&amp;"Audit Date: "&amp;TEXT($B1154,"yyyy-mm-dd")&amp;CHAR(10)&amp;"Team Leader: "&amp;$F1154&amp;CHAR(10)&amp;"Case Number: "&amp;$M1154&amp;CHAR(10)&amp;"Transaction ID: "&amp;$N1154&amp;CHAR(10)&amp;"Channel / LOB: "&amp;$K1154&amp;" / "&amp;$L1154&amp;CHAR(10)&amp;"Evaluator: "&amp;$S1154&amp;CHAR(10)&amp;CHAR(10)&amp;"INVALID QUALITY AUDIT DETAILS"&amp;CHAR(10)&amp;"Validation: Invalid"&amp;CHAR(10)&amp;"Invalid Reason: "&amp;$P1154&amp;CHAR(10)&amp;"Expected Resolution Code: "&amp;$Q1154&amp;CHAR(10)&amp;"Remarks: "&amp;LEFT($R1154,600)&amp;CHAR(10)&amp;CHAR(10)&amp;"This is an automated notification from HP Mainstream EQMS."),"✉ Open Email Draft"),"")</f>
        <v/>
      </c>
    </row>
    <row r="1155">
      <c r="A1155" s="25">
        <f>IF($C1155="","","AUD-2026-"&amp;TEXT(ROW()-1,"000000"))</f>
        <v/>
      </c>
      <c r="B1155" s="26" t="n"/>
      <c r="C1155" s="27" t="n"/>
      <c r="D1155" s="25">
        <f>IF($C1155="","",IFERROR(IF(INDEX(Roster!$A:$A,MATCH($C1155,Roster!$B:$B,0))="","",INDEX(Roster!$A:$A,MATCH($C1155,Roster!$B:$B,0))&amp;""),"—"))</f>
        <v/>
      </c>
      <c r="E1155" s="25">
        <f>IF($C1155="","",IFERROR(IF(INDEX(Roster!$C:$C,MATCH($C1155,Roster!$B:$B,0))="","",INDEX(Roster!$C:$C,MATCH($C1155,Roster!$B:$B,0))&amp;""),"—"))</f>
        <v/>
      </c>
      <c r="F1155" s="25">
        <f>IF($C1155="","",IFERROR(IF(INDEX(Roster!$D:$D,MATCH($C1155,Roster!$B:$B,0))="","",INDEX(Roster!$D:$D,MATCH($C1155,Roster!$B:$B,0))&amp;""),"—"))</f>
        <v/>
      </c>
      <c r="G1155" s="25">
        <f>IF($C1155="","",IFERROR(IF(INDEX(Roster!$E:$E,MATCH($C1155,Roster!$B:$B,0))="","",INDEX(Roster!$E:$E,MATCH($C1155,Roster!$B:$B,0))&amp;""),"—"))</f>
        <v/>
      </c>
      <c r="H1155" s="25">
        <f>IF($C1155="","",IFERROR(IF(INDEX(Roster!$F:$F,MATCH($C1155,Roster!$B:$B,0))="","",INDEX(Roster!$F:$F,MATCH($C1155,Roster!$B:$B,0))&amp;""),"—"))</f>
        <v/>
      </c>
      <c r="I1155" s="25">
        <f>IF($C1155="","",IFERROR(IF(INDEX(Roster!$G:$G,MATCH($C1155,Roster!$B:$B,0))="","",INDEX(Roster!$G:$G,MATCH($C1155,Roster!$B:$B,0))&amp;""),"—"))</f>
        <v/>
      </c>
      <c r="J1155" s="25">
        <f>IF($C1155="","",IFERROR(IF(INDEX(Roster!$I:$I,MATCH($C1155,Roster!$B:$B,0))="","",INDEX(Roster!$I:$I,MATCH($C1155,Roster!$B:$B,0))&amp;""),"—"))</f>
        <v/>
      </c>
      <c r="K1155">
        <f>IF($C1155="","",IFERROR(IF(INDEX(Roster!$J:$J,MATCH($C1155,Roster!$B:$B,0))="","",INDEX(Roster!$J:$J,MATCH($C1155,Roster!$B:$B,0))&amp;""),"—"))</f>
        <v/>
      </c>
      <c r="L1155">
        <f>IF($C1155="","",IFERROR(IF(INDEX(Roster!$K:$K,MATCH($C1155,Roster!$B:$B,0))="","",INDEX(Roster!$K:$K,MATCH($C1155,Roster!$B:$B,0))&amp;""),"—"))</f>
        <v/>
      </c>
      <c r="M1155" s="27" t="n"/>
      <c r="N1155" s="27" t="n"/>
      <c r="O1155" s="25">
        <f>IF($C1155="","",IF($P1155="","—",IF($P1155="Valid (Pass)","Valid","Invalid")))</f>
        <v/>
      </c>
      <c r="P1155" s="27" t="n"/>
      <c r="Q1155" s="27" t="n"/>
      <c r="R1155" s="27" t="n"/>
      <c r="S1155" s="27" t="n"/>
      <c r="T1155" s="25">
        <f>IF($C1155="","",IF(OR(ISNUMBER(SEARCH("quick case",$P1155)),ISNUMBER(SEARCH("quick case",$Q1155))),"Yes","No"))</f>
        <v/>
      </c>
      <c r="U1155" s="25">
        <f>IF($O1155="Invalid",HYPERLINK("mailto:"&amp;$G1155&amp;";"&amp;$I1155&amp;"?cc="&amp;Lists!$E$2&amp;"&amp;subject="&amp;_xlfn.ENCODEURL("[INVALID] Quality audit monitoring completed for "&amp;UPPER($C1155))&amp;"&amp;body="&amp;_xlfn.ENCODEURL("Hi "&amp;$F1155&amp;","&amp;CHAR(10)&amp;"Good day!"&amp;CHAR(10)&amp;CHAR(10)&amp;"A quality monitoring audit has been completed for "&amp;$C1155&amp;"."&amp;CHAR(10)&amp;CHAR(10)&amp;"QUALITY AUDIT DETAILS"&amp;CHAR(10)&amp;"Agent Name: "&amp;$C1155&amp;" (EID "&amp;$D1155&amp;")"&amp;CHAR(10)&amp;"Audit Date: "&amp;TEXT($B1155,"yyyy-mm-dd")&amp;CHAR(10)&amp;"Team Leader: "&amp;$F1155&amp;CHAR(10)&amp;"Case Number: "&amp;$M1155&amp;CHAR(10)&amp;"Transaction ID: "&amp;$N1155&amp;CHAR(10)&amp;"Channel / LOB: "&amp;$K1155&amp;" / "&amp;$L1155&amp;CHAR(10)&amp;"Evaluator: "&amp;$S1155&amp;CHAR(10)&amp;CHAR(10)&amp;"INVALID QUALITY AUDIT DETAILS"&amp;CHAR(10)&amp;"Validation: Invalid"&amp;CHAR(10)&amp;"Invalid Reason: "&amp;$P1155&amp;CHAR(10)&amp;"Expected Resolution Code: "&amp;$Q1155&amp;CHAR(10)&amp;"Remarks: "&amp;LEFT($R1155,600)&amp;CHAR(10)&amp;CHAR(10)&amp;"This is an automated notification from HP Mainstream EQMS."),"✉ Open Email Draft"),"")</f>
        <v/>
      </c>
    </row>
    <row r="1156">
      <c r="A1156" s="25">
        <f>IF($C1156="","","AUD-2026-"&amp;TEXT(ROW()-1,"000000"))</f>
        <v/>
      </c>
      <c r="B1156" s="26" t="n"/>
      <c r="C1156" s="27" t="n"/>
      <c r="D1156" s="25">
        <f>IF($C1156="","",IFERROR(IF(INDEX(Roster!$A:$A,MATCH($C1156,Roster!$B:$B,0))="","",INDEX(Roster!$A:$A,MATCH($C1156,Roster!$B:$B,0))&amp;""),"—"))</f>
        <v/>
      </c>
      <c r="E1156" s="25">
        <f>IF($C1156="","",IFERROR(IF(INDEX(Roster!$C:$C,MATCH($C1156,Roster!$B:$B,0))="","",INDEX(Roster!$C:$C,MATCH($C1156,Roster!$B:$B,0))&amp;""),"—"))</f>
        <v/>
      </c>
      <c r="F1156" s="25">
        <f>IF($C1156="","",IFERROR(IF(INDEX(Roster!$D:$D,MATCH($C1156,Roster!$B:$B,0))="","",INDEX(Roster!$D:$D,MATCH($C1156,Roster!$B:$B,0))&amp;""),"—"))</f>
        <v/>
      </c>
      <c r="G1156" s="25">
        <f>IF($C1156="","",IFERROR(IF(INDEX(Roster!$E:$E,MATCH($C1156,Roster!$B:$B,0))="","",INDEX(Roster!$E:$E,MATCH($C1156,Roster!$B:$B,0))&amp;""),"—"))</f>
        <v/>
      </c>
      <c r="H1156" s="25">
        <f>IF($C1156="","",IFERROR(IF(INDEX(Roster!$F:$F,MATCH($C1156,Roster!$B:$B,0))="","",INDEX(Roster!$F:$F,MATCH($C1156,Roster!$B:$B,0))&amp;""),"—"))</f>
        <v/>
      </c>
      <c r="I1156" s="25">
        <f>IF($C1156="","",IFERROR(IF(INDEX(Roster!$G:$G,MATCH($C1156,Roster!$B:$B,0))="","",INDEX(Roster!$G:$G,MATCH($C1156,Roster!$B:$B,0))&amp;""),"—"))</f>
        <v/>
      </c>
      <c r="J1156" s="25">
        <f>IF($C1156="","",IFERROR(IF(INDEX(Roster!$I:$I,MATCH($C1156,Roster!$B:$B,0))="","",INDEX(Roster!$I:$I,MATCH($C1156,Roster!$B:$B,0))&amp;""),"—"))</f>
        <v/>
      </c>
      <c r="K1156">
        <f>IF($C1156="","",IFERROR(IF(INDEX(Roster!$J:$J,MATCH($C1156,Roster!$B:$B,0))="","",INDEX(Roster!$J:$J,MATCH($C1156,Roster!$B:$B,0))&amp;""),"—"))</f>
        <v/>
      </c>
      <c r="L1156">
        <f>IF($C1156="","",IFERROR(IF(INDEX(Roster!$K:$K,MATCH($C1156,Roster!$B:$B,0))="","",INDEX(Roster!$K:$K,MATCH($C1156,Roster!$B:$B,0))&amp;""),"—"))</f>
        <v/>
      </c>
      <c r="M1156" s="27" t="n"/>
      <c r="N1156" s="27" t="n"/>
      <c r="O1156" s="25">
        <f>IF($C1156="","",IF($P1156="","—",IF($P1156="Valid (Pass)","Valid","Invalid")))</f>
        <v/>
      </c>
      <c r="P1156" s="27" t="n"/>
      <c r="Q1156" s="27" t="n"/>
      <c r="R1156" s="27" t="n"/>
      <c r="S1156" s="27" t="n"/>
      <c r="T1156" s="25">
        <f>IF($C1156="","",IF(OR(ISNUMBER(SEARCH("quick case",$P1156)),ISNUMBER(SEARCH("quick case",$Q1156))),"Yes","No"))</f>
        <v/>
      </c>
      <c r="U1156" s="25">
        <f>IF($O1156="Invalid",HYPERLINK("mailto:"&amp;$G1156&amp;";"&amp;$I1156&amp;"?cc="&amp;Lists!$E$2&amp;"&amp;subject="&amp;_xlfn.ENCODEURL("[INVALID] Quality audit monitoring completed for "&amp;UPPER($C1156))&amp;"&amp;body="&amp;_xlfn.ENCODEURL("Hi "&amp;$F1156&amp;","&amp;CHAR(10)&amp;"Good day!"&amp;CHAR(10)&amp;CHAR(10)&amp;"A quality monitoring audit has been completed for "&amp;$C1156&amp;"."&amp;CHAR(10)&amp;CHAR(10)&amp;"QUALITY AUDIT DETAILS"&amp;CHAR(10)&amp;"Agent Name: "&amp;$C1156&amp;" (EID "&amp;$D1156&amp;")"&amp;CHAR(10)&amp;"Audit Date: "&amp;TEXT($B1156,"yyyy-mm-dd")&amp;CHAR(10)&amp;"Team Leader: "&amp;$F1156&amp;CHAR(10)&amp;"Case Number: "&amp;$M1156&amp;CHAR(10)&amp;"Transaction ID: "&amp;$N1156&amp;CHAR(10)&amp;"Channel / LOB: "&amp;$K1156&amp;" / "&amp;$L1156&amp;CHAR(10)&amp;"Evaluator: "&amp;$S1156&amp;CHAR(10)&amp;CHAR(10)&amp;"INVALID QUALITY AUDIT DETAILS"&amp;CHAR(10)&amp;"Validation: Invalid"&amp;CHAR(10)&amp;"Invalid Reason: "&amp;$P1156&amp;CHAR(10)&amp;"Expected Resolution Code: "&amp;$Q1156&amp;CHAR(10)&amp;"Remarks: "&amp;LEFT($R1156,600)&amp;CHAR(10)&amp;CHAR(10)&amp;"This is an automated notification from HP Mainstream EQMS."),"✉ Open Email Draft"),"")</f>
        <v/>
      </c>
    </row>
    <row r="1157">
      <c r="A1157" s="25">
        <f>IF($C1157="","","AUD-2026-"&amp;TEXT(ROW()-1,"000000"))</f>
        <v/>
      </c>
      <c r="B1157" s="26" t="n"/>
      <c r="C1157" s="27" t="n"/>
      <c r="D1157" s="25">
        <f>IF($C1157="","",IFERROR(IF(INDEX(Roster!$A:$A,MATCH($C1157,Roster!$B:$B,0))="","",INDEX(Roster!$A:$A,MATCH($C1157,Roster!$B:$B,0))&amp;""),"—"))</f>
        <v/>
      </c>
      <c r="E1157" s="25">
        <f>IF($C1157="","",IFERROR(IF(INDEX(Roster!$C:$C,MATCH($C1157,Roster!$B:$B,0))="","",INDEX(Roster!$C:$C,MATCH($C1157,Roster!$B:$B,0))&amp;""),"—"))</f>
        <v/>
      </c>
      <c r="F1157" s="25">
        <f>IF($C1157="","",IFERROR(IF(INDEX(Roster!$D:$D,MATCH($C1157,Roster!$B:$B,0))="","",INDEX(Roster!$D:$D,MATCH($C1157,Roster!$B:$B,0))&amp;""),"—"))</f>
        <v/>
      </c>
      <c r="G1157" s="25">
        <f>IF($C1157="","",IFERROR(IF(INDEX(Roster!$E:$E,MATCH($C1157,Roster!$B:$B,0))="","",INDEX(Roster!$E:$E,MATCH($C1157,Roster!$B:$B,0))&amp;""),"—"))</f>
        <v/>
      </c>
      <c r="H1157" s="25">
        <f>IF($C1157="","",IFERROR(IF(INDEX(Roster!$F:$F,MATCH($C1157,Roster!$B:$B,0))="","",INDEX(Roster!$F:$F,MATCH($C1157,Roster!$B:$B,0))&amp;""),"—"))</f>
        <v/>
      </c>
      <c r="I1157" s="25">
        <f>IF($C1157="","",IFERROR(IF(INDEX(Roster!$G:$G,MATCH($C1157,Roster!$B:$B,0))="","",INDEX(Roster!$G:$G,MATCH($C1157,Roster!$B:$B,0))&amp;""),"—"))</f>
        <v/>
      </c>
      <c r="J1157" s="25">
        <f>IF($C1157="","",IFERROR(IF(INDEX(Roster!$I:$I,MATCH($C1157,Roster!$B:$B,0))="","",INDEX(Roster!$I:$I,MATCH($C1157,Roster!$B:$B,0))&amp;""),"—"))</f>
        <v/>
      </c>
      <c r="K1157">
        <f>IF($C1157="","",IFERROR(IF(INDEX(Roster!$J:$J,MATCH($C1157,Roster!$B:$B,0))="","",INDEX(Roster!$J:$J,MATCH($C1157,Roster!$B:$B,0))&amp;""),"—"))</f>
        <v/>
      </c>
      <c r="L1157">
        <f>IF($C1157="","",IFERROR(IF(INDEX(Roster!$K:$K,MATCH($C1157,Roster!$B:$B,0))="","",INDEX(Roster!$K:$K,MATCH($C1157,Roster!$B:$B,0))&amp;""),"—"))</f>
        <v/>
      </c>
      <c r="M1157" s="27" t="n"/>
      <c r="N1157" s="27" t="n"/>
      <c r="O1157" s="25">
        <f>IF($C1157="","",IF($P1157="","—",IF($P1157="Valid (Pass)","Valid","Invalid")))</f>
        <v/>
      </c>
      <c r="P1157" s="27" t="n"/>
      <c r="Q1157" s="27" t="n"/>
      <c r="R1157" s="27" t="n"/>
      <c r="S1157" s="27" t="n"/>
      <c r="T1157" s="25">
        <f>IF($C1157="","",IF(OR(ISNUMBER(SEARCH("quick case",$P1157)),ISNUMBER(SEARCH("quick case",$Q1157))),"Yes","No"))</f>
        <v/>
      </c>
      <c r="U1157" s="25">
        <f>IF($O1157="Invalid",HYPERLINK("mailto:"&amp;$G1157&amp;";"&amp;$I1157&amp;"?cc="&amp;Lists!$E$2&amp;"&amp;subject="&amp;_xlfn.ENCODEURL("[INVALID] Quality audit monitoring completed for "&amp;UPPER($C1157))&amp;"&amp;body="&amp;_xlfn.ENCODEURL("Hi "&amp;$F1157&amp;","&amp;CHAR(10)&amp;"Good day!"&amp;CHAR(10)&amp;CHAR(10)&amp;"A quality monitoring audit has been completed for "&amp;$C1157&amp;"."&amp;CHAR(10)&amp;CHAR(10)&amp;"QUALITY AUDIT DETAILS"&amp;CHAR(10)&amp;"Agent Name: "&amp;$C1157&amp;" (EID "&amp;$D1157&amp;")"&amp;CHAR(10)&amp;"Audit Date: "&amp;TEXT($B1157,"yyyy-mm-dd")&amp;CHAR(10)&amp;"Team Leader: "&amp;$F1157&amp;CHAR(10)&amp;"Case Number: "&amp;$M1157&amp;CHAR(10)&amp;"Transaction ID: "&amp;$N1157&amp;CHAR(10)&amp;"Channel / LOB: "&amp;$K1157&amp;" / "&amp;$L1157&amp;CHAR(10)&amp;"Evaluator: "&amp;$S1157&amp;CHAR(10)&amp;CHAR(10)&amp;"INVALID QUALITY AUDIT DETAILS"&amp;CHAR(10)&amp;"Validation: Invalid"&amp;CHAR(10)&amp;"Invalid Reason: "&amp;$P1157&amp;CHAR(10)&amp;"Expected Resolution Code: "&amp;$Q1157&amp;CHAR(10)&amp;"Remarks: "&amp;LEFT($R1157,600)&amp;CHAR(10)&amp;CHAR(10)&amp;"This is an automated notification from HP Mainstream EQMS."),"✉ Open Email Draft"),"")</f>
        <v/>
      </c>
    </row>
    <row r="1158">
      <c r="A1158" s="25">
        <f>IF($C1158="","","AUD-2026-"&amp;TEXT(ROW()-1,"000000"))</f>
        <v/>
      </c>
      <c r="B1158" s="26" t="n"/>
      <c r="C1158" s="27" t="n"/>
      <c r="D1158" s="25">
        <f>IF($C1158="","",IFERROR(IF(INDEX(Roster!$A:$A,MATCH($C1158,Roster!$B:$B,0))="","",INDEX(Roster!$A:$A,MATCH($C1158,Roster!$B:$B,0))&amp;""),"—"))</f>
        <v/>
      </c>
      <c r="E1158" s="25">
        <f>IF($C1158="","",IFERROR(IF(INDEX(Roster!$C:$C,MATCH($C1158,Roster!$B:$B,0))="","",INDEX(Roster!$C:$C,MATCH($C1158,Roster!$B:$B,0))&amp;""),"—"))</f>
        <v/>
      </c>
      <c r="F1158" s="25">
        <f>IF($C1158="","",IFERROR(IF(INDEX(Roster!$D:$D,MATCH($C1158,Roster!$B:$B,0))="","",INDEX(Roster!$D:$D,MATCH($C1158,Roster!$B:$B,0))&amp;""),"—"))</f>
        <v/>
      </c>
      <c r="G1158" s="25">
        <f>IF($C1158="","",IFERROR(IF(INDEX(Roster!$E:$E,MATCH($C1158,Roster!$B:$B,0))="","",INDEX(Roster!$E:$E,MATCH($C1158,Roster!$B:$B,0))&amp;""),"—"))</f>
        <v/>
      </c>
      <c r="H1158" s="25">
        <f>IF($C1158="","",IFERROR(IF(INDEX(Roster!$F:$F,MATCH($C1158,Roster!$B:$B,0))="","",INDEX(Roster!$F:$F,MATCH($C1158,Roster!$B:$B,0))&amp;""),"—"))</f>
        <v/>
      </c>
      <c r="I1158" s="25">
        <f>IF($C1158="","",IFERROR(IF(INDEX(Roster!$G:$G,MATCH($C1158,Roster!$B:$B,0))="","",INDEX(Roster!$G:$G,MATCH($C1158,Roster!$B:$B,0))&amp;""),"—"))</f>
        <v/>
      </c>
      <c r="J1158" s="25">
        <f>IF($C1158="","",IFERROR(IF(INDEX(Roster!$I:$I,MATCH($C1158,Roster!$B:$B,0))="","",INDEX(Roster!$I:$I,MATCH($C1158,Roster!$B:$B,0))&amp;""),"—"))</f>
        <v/>
      </c>
      <c r="K1158">
        <f>IF($C1158="","",IFERROR(IF(INDEX(Roster!$J:$J,MATCH($C1158,Roster!$B:$B,0))="","",INDEX(Roster!$J:$J,MATCH($C1158,Roster!$B:$B,0))&amp;""),"—"))</f>
        <v/>
      </c>
      <c r="L1158">
        <f>IF($C1158="","",IFERROR(IF(INDEX(Roster!$K:$K,MATCH($C1158,Roster!$B:$B,0))="","",INDEX(Roster!$K:$K,MATCH($C1158,Roster!$B:$B,0))&amp;""),"—"))</f>
        <v/>
      </c>
      <c r="M1158" s="27" t="n"/>
      <c r="N1158" s="27" t="n"/>
      <c r="O1158" s="25">
        <f>IF($C1158="","",IF($P1158="","—",IF($P1158="Valid (Pass)","Valid","Invalid")))</f>
        <v/>
      </c>
      <c r="P1158" s="27" t="n"/>
      <c r="Q1158" s="27" t="n"/>
      <c r="R1158" s="27" t="n"/>
      <c r="S1158" s="27" t="n"/>
      <c r="T1158" s="25">
        <f>IF($C1158="","",IF(OR(ISNUMBER(SEARCH("quick case",$P1158)),ISNUMBER(SEARCH("quick case",$Q1158))),"Yes","No"))</f>
        <v/>
      </c>
      <c r="U1158" s="25">
        <f>IF($O1158="Invalid",HYPERLINK("mailto:"&amp;$G1158&amp;";"&amp;$I1158&amp;"?cc="&amp;Lists!$E$2&amp;"&amp;subject="&amp;_xlfn.ENCODEURL("[INVALID] Quality audit monitoring completed for "&amp;UPPER($C1158))&amp;"&amp;body="&amp;_xlfn.ENCODEURL("Hi "&amp;$F1158&amp;","&amp;CHAR(10)&amp;"Good day!"&amp;CHAR(10)&amp;CHAR(10)&amp;"A quality monitoring audit has been completed for "&amp;$C1158&amp;"."&amp;CHAR(10)&amp;CHAR(10)&amp;"QUALITY AUDIT DETAILS"&amp;CHAR(10)&amp;"Agent Name: "&amp;$C1158&amp;" (EID "&amp;$D1158&amp;")"&amp;CHAR(10)&amp;"Audit Date: "&amp;TEXT($B1158,"yyyy-mm-dd")&amp;CHAR(10)&amp;"Team Leader: "&amp;$F1158&amp;CHAR(10)&amp;"Case Number: "&amp;$M1158&amp;CHAR(10)&amp;"Transaction ID: "&amp;$N1158&amp;CHAR(10)&amp;"Channel / LOB: "&amp;$K1158&amp;" / "&amp;$L1158&amp;CHAR(10)&amp;"Evaluator: "&amp;$S1158&amp;CHAR(10)&amp;CHAR(10)&amp;"INVALID QUALITY AUDIT DETAILS"&amp;CHAR(10)&amp;"Validation: Invalid"&amp;CHAR(10)&amp;"Invalid Reason: "&amp;$P1158&amp;CHAR(10)&amp;"Expected Resolution Code: "&amp;$Q1158&amp;CHAR(10)&amp;"Remarks: "&amp;LEFT($R1158,600)&amp;CHAR(10)&amp;CHAR(10)&amp;"This is an automated notification from HP Mainstream EQMS."),"✉ Open Email Draft"),"")</f>
        <v/>
      </c>
    </row>
    <row r="1159">
      <c r="A1159" s="25">
        <f>IF($C1159="","","AUD-2026-"&amp;TEXT(ROW()-1,"000000"))</f>
        <v/>
      </c>
      <c r="B1159" s="26" t="n"/>
      <c r="C1159" s="27" t="n"/>
      <c r="D1159" s="25">
        <f>IF($C1159="","",IFERROR(IF(INDEX(Roster!$A:$A,MATCH($C1159,Roster!$B:$B,0))="","",INDEX(Roster!$A:$A,MATCH($C1159,Roster!$B:$B,0))&amp;""),"—"))</f>
        <v/>
      </c>
      <c r="E1159" s="25">
        <f>IF($C1159="","",IFERROR(IF(INDEX(Roster!$C:$C,MATCH($C1159,Roster!$B:$B,0))="","",INDEX(Roster!$C:$C,MATCH($C1159,Roster!$B:$B,0))&amp;""),"—"))</f>
        <v/>
      </c>
      <c r="F1159" s="25">
        <f>IF($C1159="","",IFERROR(IF(INDEX(Roster!$D:$D,MATCH($C1159,Roster!$B:$B,0))="","",INDEX(Roster!$D:$D,MATCH($C1159,Roster!$B:$B,0))&amp;""),"—"))</f>
        <v/>
      </c>
      <c r="G1159" s="25">
        <f>IF($C1159="","",IFERROR(IF(INDEX(Roster!$E:$E,MATCH($C1159,Roster!$B:$B,0))="","",INDEX(Roster!$E:$E,MATCH($C1159,Roster!$B:$B,0))&amp;""),"—"))</f>
        <v/>
      </c>
      <c r="H1159" s="25">
        <f>IF($C1159="","",IFERROR(IF(INDEX(Roster!$F:$F,MATCH($C1159,Roster!$B:$B,0))="","",INDEX(Roster!$F:$F,MATCH($C1159,Roster!$B:$B,0))&amp;""),"—"))</f>
        <v/>
      </c>
      <c r="I1159" s="25">
        <f>IF($C1159="","",IFERROR(IF(INDEX(Roster!$G:$G,MATCH($C1159,Roster!$B:$B,0))="","",INDEX(Roster!$G:$G,MATCH($C1159,Roster!$B:$B,0))&amp;""),"—"))</f>
        <v/>
      </c>
      <c r="J1159" s="25">
        <f>IF($C1159="","",IFERROR(IF(INDEX(Roster!$I:$I,MATCH($C1159,Roster!$B:$B,0))="","",INDEX(Roster!$I:$I,MATCH($C1159,Roster!$B:$B,0))&amp;""),"—"))</f>
        <v/>
      </c>
      <c r="K1159">
        <f>IF($C1159="","",IFERROR(IF(INDEX(Roster!$J:$J,MATCH($C1159,Roster!$B:$B,0))="","",INDEX(Roster!$J:$J,MATCH($C1159,Roster!$B:$B,0))&amp;""),"—"))</f>
        <v/>
      </c>
      <c r="L1159">
        <f>IF($C1159="","",IFERROR(IF(INDEX(Roster!$K:$K,MATCH($C1159,Roster!$B:$B,0))="","",INDEX(Roster!$K:$K,MATCH($C1159,Roster!$B:$B,0))&amp;""),"—"))</f>
        <v/>
      </c>
      <c r="M1159" s="27" t="n"/>
      <c r="N1159" s="27" t="n"/>
      <c r="O1159" s="25">
        <f>IF($C1159="","",IF($P1159="","—",IF($P1159="Valid (Pass)","Valid","Invalid")))</f>
        <v/>
      </c>
      <c r="P1159" s="27" t="n"/>
      <c r="Q1159" s="27" t="n"/>
      <c r="R1159" s="27" t="n"/>
      <c r="S1159" s="27" t="n"/>
      <c r="T1159" s="25">
        <f>IF($C1159="","",IF(OR(ISNUMBER(SEARCH("quick case",$P1159)),ISNUMBER(SEARCH("quick case",$Q1159))),"Yes","No"))</f>
        <v/>
      </c>
      <c r="U1159" s="25">
        <f>IF($O1159="Invalid",HYPERLINK("mailto:"&amp;$G1159&amp;";"&amp;$I1159&amp;"?cc="&amp;Lists!$E$2&amp;"&amp;subject="&amp;_xlfn.ENCODEURL("[INVALID] Quality audit monitoring completed for "&amp;UPPER($C1159))&amp;"&amp;body="&amp;_xlfn.ENCODEURL("Hi "&amp;$F1159&amp;","&amp;CHAR(10)&amp;"Good day!"&amp;CHAR(10)&amp;CHAR(10)&amp;"A quality monitoring audit has been completed for "&amp;$C1159&amp;"."&amp;CHAR(10)&amp;CHAR(10)&amp;"QUALITY AUDIT DETAILS"&amp;CHAR(10)&amp;"Agent Name: "&amp;$C1159&amp;" (EID "&amp;$D1159&amp;")"&amp;CHAR(10)&amp;"Audit Date: "&amp;TEXT($B1159,"yyyy-mm-dd")&amp;CHAR(10)&amp;"Team Leader: "&amp;$F1159&amp;CHAR(10)&amp;"Case Number: "&amp;$M1159&amp;CHAR(10)&amp;"Transaction ID: "&amp;$N1159&amp;CHAR(10)&amp;"Channel / LOB: "&amp;$K1159&amp;" / "&amp;$L1159&amp;CHAR(10)&amp;"Evaluator: "&amp;$S1159&amp;CHAR(10)&amp;CHAR(10)&amp;"INVALID QUALITY AUDIT DETAILS"&amp;CHAR(10)&amp;"Validation: Invalid"&amp;CHAR(10)&amp;"Invalid Reason: "&amp;$P1159&amp;CHAR(10)&amp;"Expected Resolution Code: "&amp;$Q1159&amp;CHAR(10)&amp;"Remarks: "&amp;LEFT($R1159,600)&amp;CHAR(10)&amp;CHAR(10)&amp;"This is an automated notification from HP Mainstream EQMS."),"✉ Open Email Draft"),"")</f>
        <v/>
      </c>
    </row>
    <row r="1160">
      <c r="A1160" s="25">
        <f>IF($C1160="","","AUD-2026-"&amp;TEXT(ROW()-1,"000000"))</f>
        <v/>
      </c>
      <c r="B1160" s="26" t="n"/>
      <c r="C1160" s="27" t="n"/>
      <c r="D1160" s="25">
        <f>IF($C1160="","",IFERROR(IF(INDEX(Roster!$A:$A,MATCH($C1160,Roster!$B:$B,0))="","",INDEX(Roster!$A:$A,MATCH($C1160,Roster!$B:$B,0))&amp;""),"—"))</f>
        <v/>
      </c>
      <c r="E1160" s="25">
        <f>IF($C1160="","",IFERROR(IF(INDEX(Roster!$C:$C,MATCH($C1160,Roster!$B:$B,0))="","",INDEX(Roster!$C:$C,MATCH($C1160,Roster!$B:$B,0))&amp;""),"—"))</f>
        <v/>
      </c>
      <c r="F1160" s="25">
        <f>IF($C1160="","",IFERROR(IF(INDEX(Roster!$D:$D,MATCH($C1160,Roster!$B:$B,0))="","",INDEX(Roster!$D:$D,MATCH($C1160,Roster!$B:$B,0))&amp;""),"—"))</f>
        <v/>
      </c>
      <c r="G1160" s="25">
        <f>IF($C1160="","",IFERROR(IF(INDEX(Roster!$E:$E,MATCH($C1160,Roster!$B:$B,0))="","",INDEX(Roster!$E:$E,MATCH($C1160,Roster!$B:$B,0))&amp;""),"—"))</f>
        <v/>
      </c>
      <c r="H1160" s="25">
        <f>IF($C1160="","",IFERROR(IF(INDEX(Roster!$F:$F,MATCH($C1160,Roster!$B:$B,0))="","",INDEX(Roster!$F:$F,MATCH($C1160,Roster!$B:$B,0))&amp;""),"—"))</f>
        <v/>
      </c>
      <c r="I1160" s="25">
        <f>IF($C1160="","",IFERROR(IF(INDEX(Roster!$G:$G,MATCH($C1160,Roster!$B:$B,0))="","",INDEX(Roster!$G:$G,MATCH($C1160,Roster!$B:$B,0))&amp;""),"—"))</f>
        <v/>
      </c>
      <c r="J1160" s="25">
        <f>IF($C1160="","",IFERROR(IF(INDEX(Roster!$I:$I,MATCH($C1160,Roster!$B:$B,0))="","",INDEX(Roster!$I:$I,MATCH($C1160,Roster!$B:$B,0))&amp;""),"—"))</f>
        <v/>
      </c>
      <c r="K1160">
        <f>IF($C1160="","",IFERROR(IF(INDEX(Roster!$J:$J,MATCH($C1160,Roster!$B:$B,0))="","",INDEX(Roster!$J:$J,MATCH($C1160,Roster!$B:$B,0))&amp;""),"—"))</f>
        <v/>
      </c>
      <c r="L1160">
        <f>IF($C1160="","",IFERROR(IF(INDEX(Roster!$K:$K,MATCH($C1160,Roster!$B:$B,0))="","",INDEX(Roster!$K:$K,MATCH($C1160,Roster!$B:$B,0))&amp;""),"—"))</f>
        <v/>
      </c>
      <c r="M1160" s="27" t="n"/>
      <c r="N1160" s="27" t="n"/>
      <c r="O1160" s="25">
        <f>IF($C1160="","",IF($P1160="","—",IF($P1160="Valid (Pass)","Valid","Invalid")))</f>
        <v/>
      </c>
      <c r="P1160" s="27" t="n"/>
      <c r="Q1160" s="27" t="n"/>
      <c r="R1160" s="27" t="n"/>
      <c r="S1160" s="27" t="n"/>
      <c r="T1160" s="25">
        <f>IF($C1160="","",IF(OR(ISNUMBER(SEARCH("quick case",$P1160)),ISNUMBER(SEARCH("quick case",$Q1160))),"Yes","No"))</f>
        <v/>
      </c>
      <c r="U1160" s="25">
        <f>IF($O1160="Invalid",HYPERLINK("mailto:"&amp;$G1160&amp;";"&amp;$I1160&amp;"?cc="&amp;Lists!$E$2&amp;"&amp;subject="&amp;_xlfn.ENCODEURL("[INVALID] Quality audit monitoring completed for "&amp;UPPER($C1160))&amp;"&amp;body="&amp;_xlfn.ENCODEURL("Hi "&amp;$F1160&amp;","&amp;CHAR(10)&amp;"Good day!"&amp;CHAR(10)&amp;CHAR(10)&amp;"A quality monitoring audit has been completed for "&amp;$C1160&amp;"."&amp;CHAR(10)&amp;CHAR(10)&amp;"QUALITY AUDIT DETAILS"&amp;CHAR(10)&amp;"Agent Name: "&amp;$C1160&amp;" (EID "&amp;$D1160&amp;")"&amp;CHAR(10)&amp;"Audit Date: "&amp;TEXT($B1160,"yyyy-mm-dd")&amp;CHAR(10)&amp;"Team Leader: "&amp;$F1160&amp;CHAR(10)&amp;"Case Number: "&amp;$M1160&amp;CHAR(10)&amp;"Transaction ID: "&amp;$N1160&amp;CHAR(10)&amp;"Channel / LOB: "&amp;$K1160&amp;" / "&amp;$L1160&amp;CHAR(10)&amp;"Evaluator: "&amp;$S1160&amp;CHAR(10)&amp;CHAR(10)&amp;"INVALID QUALITY AUDIT DETAILS"&amp;CHAR(10)&amp;"Validation: Invalid"&amp;CHAR(10)&amp;"Invalid Reason: "&amp;$P1160&amp;CHAR(10)&amp;"Expected Resolution Code: "&amp;$Q1160&amp;CHAR(10)&amp;"Remarks: "&amp;LEFT($R1160,600)&amp;CHAR(10)&amp;CHAR(10)&amp;"This is an automated notification from HP Mainstream EQMS."),"✉ Open Email Draft"),"")</f>
        <v/>
      </c>
    </row>
    <row r="1161">
      <c r="A1161" s="25">
        <f>IF($C1161="","","AUD-2026-"&amp;TEXT(ROW()-1,"000000"))</f>
        <v/>
      </c>
      <c r="B1161" s="26" t="n"/>
      <c r="C1161" s="27" t="n"/>
      <c r="D1161" s="25">
        <f>IF($C1161="","",IFERROR(IF(INDEX(Roster!$A:$A,MATCH($C1161,Roster!$B:$B,0))="","",INDEX(Roster!$A:$A,MATCH($C1161,Roster!$B:$B,0))&amp;""),"—"))</f>
        <v/>
      </c>
      <c r="E1161" s="25">
        <f>IF($C1161="","",IFERROR(IF(INDEX(Roster!$C:$C,MATCH($C1161,Roster!$B:$B,0))="","",INDEX(Roster!$C:$C,MATCH($C1161,Roster!$B:$B,0))&amp;""),"—"))</f>
        <v/>
      </c>
      <c r="F1161" s="25">
        <f>IF($C1161="","",IFERROR(IF(INDEX(Roster!$D:$D,MATCH($C1161,Roster!$B:$B,0))="","",INDEX(Roster!$D:$D,MATCH($C1161,Roster!$B:$B,0))&amp;""),"—"))</f>
        <v/>
      </c>
      <c r="G1161" s="25">
        <f>IF($C1161="","",IFERROR(IF(INDEX(Roster!$E:$E,MATCH($C1161,Roster!$B:$B,0))="","",INDEX(Roster!$E:$E,MATCH($C1161,Roster!$B:$B,0))&amp;""),"—"))</f>
        <v/>
      </c>
      <c r="H1161" s="25">
        <f>IF($C1161="","",IFERROR(IF(INDEX(Roster!$F:$F,MATCH($C1161,Roster!$B:$B,0))="","",INDEX(Roster!$F:$F,MATCH($C1161,Roster!$B:$B,0))&amp;""),"—"))</f>
        <v/>
      </c>
      <c r="I1161" s="25">
        <f>IF($C1161="","",IFERROR(IF(INDEX(Roster!$G:$G,MATCH($C1161,Roster!$B:$B,0))="","",INDEX(Roster!$G:$G,MATCH($C1161,Roster!$B:$B,0))&amp;""),"—"))</f>
        <v/>
      </c>
      <c r="J1161" s="25">
        <f>IF($C1161="","",IFERROR(IF(INDEX(Roster!$I:$I,MATCH($C1161,Roster!$B:$B,0))="","",INDEX(Roster!$I:$I,MATCH($C1161,Roster!$B:$B,0))&amp;""),"—"))</f>
        <v/>
      </c>
      <c r="K1161">
        <f>IF($C1161="","",IFERROR(IF(INDEX(Roster!$J:$J,MATCH($C1161,Roster!$B:$B,0))="","",INDEX(Roster!$J:$J,MATCH($C1161,Roster!$B:$B,0))&amp;""),"—"))</f>
        <v/>
      </c>
      <c r="L1161">
        <f>IF($C1161="","",IFERROR(IF(INDEX(Roster!$K:$K,MATCH($C1161,Roster!$B:$B,0))="","",INDEX(Roster!$K:$K,MATCH($C1161,Roster!$B:$B,0))&amp;""),"—"))</f>
        <v/>
      </c>
      <c r="M1161" s="27" t="n"/>
      <c r="N1161" s="27" t="n"/>
      <c r="O1161" s="25">
        <f>IF($C1161="","",IF($P1161="","—",IF($P1161="Valid (Pass)","Valid","Invalid")))</f>
        <v/>
      </c>
      <c r="P1161" s="27" t="n"/>
      <c r="Q1161" s="27" t="n"/>
      <c r="R1161" s="27" t="n"/>
      <c r="S1161" s="27" t="n"/>
      <c r="T1161" s="25">
        <f>IF($C1161="","",IF(OR(ISNUMBER(SEARCH("quick case",$P1161)),ISNUMBER(SEARCH("quick case",$Q1161))),"Yes","No"))</f>
        <v/>
      </c>
      <c r="U1161" s="25">
        <f>IF($O1161="Invalid",HYPERLINK("mailto:"&amp;$G1161&amp;";"&amp;$I1161&amp;"?cc="&amp;Lists!$E$2&amp;"&amp;subject="&amp;_xlfn.ENCODEURL("[INVALID] Quality audit monitoring completed for "&amp;UPPER($C1161))&amp;"&amp;body="&amp;_xlfn.ENCODEURL("Hi "&amp;$F1161&amp;","&amp;CHAR(10)&amp;"Good day!"&amp;CHAR(10)&amp;CHAR(10)&amp;"A quality monitoring audit has been completed for "&amp;$C1161&amp;"."&amp;CHAR(10)&amp;CHAR(10)&amp;"QUALITY AUDIT DETAILS"&amp;CHAR(10)&amp;"Agent Name: "&amp;$C1161&amp;" (EID "&amp;$D1161&amp;")"&amp;CHAR(10)&amp;"Audit Date: "&amp;TEXT($B1161,"yyyy-mm-dd")&amp;CHAR(10)&amp;"Team Leader: "&amp;$F1161&amp;CHAR(10)&amp;"Case Number: "&amp;$M1161&amp;CHAR(10)&amp;"Transaction ID: "&amp;$N1161&amp;CHAR(10)&amp;"Channel / LOB: "&amp;$K1161&amp;" / "&amp;$L1161&amp;CHAR(10)&amp;"Evaluator: "&amp;$S1161&amp;CHAR(10)&amp;CHAR(10)&amp;"INVALID QUALITY AUDIT DETAILS"&amp;CHAR(10)&amp;"Validation: Invalid"&amp;CHAR(10)&amp;"Invalid Reason: "&amp;$P1161&amp;CHAR(10)&amp;"Expected Resolution Code: "&amp;$Q1161&amp;CHAR(10)&amp;"Remarks: "&amp;LEFT($R1161,600)&amp;CHAR(10)&amp;CHAR(10)&amp;"This is an automated notification from HP Mainstream EQMS."),"✉ Open Email Draft"),"")</f>
        <v/>
      </c>
    </row>
    <row r="1162">
      <c r="A1162" s="25">
        <f>IF($C1162="","","AUD-2026-"&amp;TEXT(ROW()-1,"000000"))</f>
        <v/>
      </c>
      <c r="B1162" s="26" t="n"/>
      <c r="C1162" s="27" t="n"/>
      <c r="D1162" s="25">
        <f>IF($C1162="","",IFERROR(IF(INDEX(Roster!$A:$A,MATCH($C1162,Roster!$B:$B,0))="","",INDEX(Roster!$A:$A,MATCH($C1162,Roster!$B:$B,0))&amp;""),"—"))</f>
        <v/>
      </c>
      <c r="E1162" s="25">
        <f>IF($C1162="","",IFERROR(IF(INDEX(Roster!$C:$C,MATCH($C1162,Roster!$B:$B,0))="","",INDEX(Roster!$C:$C,MATCH($C1162,Roster!$B:$B,0))&amp;""),"—"))</f>
        <v/>
      </c>
      <c r="F1162" s="25">
        <f>IF($C1162="","",IFERROR(IF(INDEX(Roster!$D:$D,MATCH($C1162,Roster!$B:$B,0))="","",INDEX(Roster!$D:$D,MATCH($C1162,Roster!$B:$B,0))&amp;""),"—"))</f>
        <v/>
      </c>
      <c r="G1162" s="25">
        <f>IF($C1162="","",IFERROR(IF(INDEX(Roster!$E:$E,MATCH($C1162,Roster!$B:$B,0))="","",INDEX(Roster!$E:$E,MATCH($C1162,Roster!$B:$B,0))&amp;""),"—"))</f>
        <v/>
      </c>
      <c r="H1162" s="25">
        <f>IF($C1162="","",IFERROR(IF(INDEX(Roster!$F:$F,MATCH($C1162,Roster!$B:$B,0))="","",INDEX(Roster!$F:$F,MATCH($C1162,Roster!$B:$B,0))&amp;""),"—"))</f>
        <v/>
      </c>
      <c r="I1162" s="25">
        <f>IF($C1162="","",IFERROR(IF(INDEX(Roster!$G:$G,MATCH($C1162,Roster!$B:$B,0))="","",INDEX(Roster!$G:$G,MATCH($C1162,Roster!$B:$B,0))&amp;""),"—"))</f>
        <v/>
      </c>
      <c r="J1162" s="25">
        <f>IF($C1162="","",IFERROR(IF(INDEX(Roster!$I:$I,MATCH($C1162,Roster!$B:$B,0))="","",INDEX(Roster!$I:$I,MATCH($C1162,Roster!$B:$B,0))&amp;""),"—"))</f>
        <v/>
      </c>
      <c r="K1162">
        <f>IF($C1162="","",IFERROR(IF(INDEX(Roster!$J:$J,MATCH($C1162,Roster!$B:$B,0))="","",INDEX(Roster!$J:$J,MATCH($C1162,Roster!$B:$B,0))&amp;""),"—"))</f>
        <v/>
      </c>
      <c r="L1162">
        <f>IF($C1162="","",IFERROR(IF(INDEX(Roster!$K:$K,MATCH($C1162,Roster!$B:$B,0))="","",INDEX(Roster!$K:$K,MATCH($C1162,Roster!$B:$B,0))&amp;""),"—"))</f>
        <v/>
      </c>
      <c r="M1162" s="27" t="n"/>
      <c r="N1162" s="27" t="n"/>
      <c r="O1162" s="25">
        <f>IF($C1162="","",IF($P1162="","—",IF($P1162="Valid (Pass)","Valid","Invalid")))</f>
        <v/>
      </c>
      <c r="P1162" s="27" t="n"/>
      <c r="Q1162" s="27" t="n"/>
      <c r="R1162" s="27" t="n"/>
      <c r="S1162" s="27" t="n"/>
      <c r="T1162" s="25">
        <f>IF($C1162="","",IF(OR(ISNUMBER(SEARCH("quick case",$P1162)),ISNUMBER(SEARCH("quick case",$Q1162))),"Yes","No"))</f>
        <v/>
      </c>
      <c r="U1162" s="25">
        <f>IF($O1162="Invalid",HYPERLINK("mailto:"&amp;$G1162&amp;";"&amp;$I1162&amp;"?cc="&amp;Lists!$E$2&amp;"&amp;subject="&amp;_xlfn.ENCODEURL("[INVALID] Quality audit monitoring completed for "&amp;UPPER($C1162))&amp;"&amp;body="&amp;_xlfn.ENCODEURL("Hi "&amp;$F1162&amp;","&amp;CHAR(10)&amp;"Good day!"&amp;CHAR(10)&amp;CHAR(10)&amp;"A quality monitoring audit has been completed for "&amp;$C1162&amp;"."&amp;CHAR(10)&amp;CHAR(10)&amp;"QUALITY AUDIT DETAILS"&amp;CHAR(10)&amp;"Agent Name: "&amp;$C1162&amp;" (EID "&amp;$D1162&amp;")"&amp;CHAR(10)&amp;"Audit Date: "&amp;TEXT($B1162,"yyyy-mm-dd")&amp;CHAR(10)&amp;"Team Leader: "&amp;$F1162&amp;CHAR(10)&amp;"Case Number: "&amp;$M1162&amp;CHAR(10)&amp;"Transaction ID: "&amp;$N1162&amp;CHAR(10)&amp;"Channel / LOB: "&amp;$K1162&amp;" / "&amp;$L1162&amp;CHAR(10)&amp;"Evaluator: "&amp;$S1162&amp;CHAR(10)&amp;CHAR(10)&amp;"INVALID QUALITY AUDIT DETAILS"&amp;CHAR(10)&amp;"Validation: Invalid"&amp;CHAR(10)&amp;"Invalid Reason: "&amp;$P1162&amp;CHAR(10)&amp;"Expected Resolution Code: "&amp;$Q1162&amp;CHAR(10)&amp;"Remarks: "&amp;LEFT($R1162,600)&amp;CHAR(10)&amp;CHAR(10)&amp;"This is an automated notification from HP Mainstream EQMS."),"✉ Open Email Draft"),"")</f>
        <v/>
      </c>
    </row>
    <row r="1163">
      <c r="A1163" s="25">
        <f>IF($C1163="","","AUD-2026-"&amp;TEXT(ROW()-1,"000000"))</f>
        <v/>
      </c>
      <c r="B1163" s="26" t="n"/>
      <c r="C1163" s="27" t="n"/>
      <c r="D1163" s="25">
        <f>IF($C1163="","",IFERROR(IF(INDEX(Roster!$A:$A,MATCH($C1163,Roster!$B:$B,0))="","",INDEX(Roster!$A:$A,MATCH($C1163,Roster!$B:$B,0))&amp;""),"—"))</f>
        <v/>
      </c>
      <c r="E1163" s="25">
        <f>IF($C1163="","",IFERROR(IF(INDEX(Roster!$C:$C,MATCH($C1163,Roster!$B:$B,0))="","",INDEX(Roster!$C:$C,MATCH($C1163,Roster!$B:$B,0))&amp;""),"—"))</f>
        <v/>
      </c>
      <c r="F1163" s="25">
        <f>IF($C1163="","",IFERROR(IF(INDEX(Roster!$D:$D,MATCH($C1163,Roster!$B:$B,0))="","",INDEX(Roster!$D:$D,MATCH($C1163,Roster!$B:$B,0))&amp;""),"—"))</f>
        <v/>
      </c>
      <c r="G1163" s="25">
        <f>IF($C1163="","",IFERROR(IF(INDEX(Roster!$E:$E,MATCH($C1163,Roster!$B:$B,0))="","",INDEX(Roster!$E:$E,MATCH($C1163,Roster!$B:$B,0))&amp;""),"—"))</f>
        <v/>
      </c>
      <c r="H1163" s="25">
        <f>IF($C1163="","",IFERROR(IF(INDEX(Roster!$F:$F,MATCH($C1163,Roster!$B:$B,0))="","",INDEX(Roster!$F:$F,MATCH($C1163,Roster!$B:$B,0))&amp;""),"—"))</f>
        <v/>
      </c>
      <c r="I1163" s="25">
        <f>IF($C1163="","",IFERROR(IF(INDEX(Roster!$G:$G,MATCH($C1163,Roster!$B:$B,0))="","",INDEX(Roster!$G:$G,MATCH($C1163,Roster!$B:$B,0))&amp;""),"—"))</f>
        <v/>
      </c>
      <c r="J1163" s="25">
        <f>IF($C1163="","",IFERROR(IF(INDEX(Roster!$I:$I,MATCH($C1163,Roster!$B:$B,0))="","",INDEX(Roster!$I:$I,MATCH($C1163,Roster!$B:$B,0))&amp;""),"—"))</f>
        <v/>
      </c>
      <c r="K1163">
        <f>IF($C1163="","",IFERROR(IF(INDEX(Roster!$J:$J,MATCH($C1163,Roster!$B:$B,0))="","",INDEX(Roster!$J:$J,MATCH($C1163,Roster!$B:$B,0))&amp;""),"—"))</f>
        <v/>
      </c>
      <c r="L1163">
        <f>IF($C1163="","",IFERROR(IF(INDEX(Roster!$K:$K,MATCH($C1163,Roster!$B:$B,0))="","",INDEX(Roster!$K:$K,MATCH($C1163,Roster!$B:$B,0))&amp;""),"—"))</f>
        <v/>
      </c>
      <c r="M1163" s="27" t="n"/>
      <c r="N1163" s="27" t="n"/>
      <c r="O1163" s="25">
        <f>IF($C1163="","",IF($P1163="","—",IF($P1163="Valid (Pass)","Valid","Invalid")))</f>
        <v/>
      </c>
      <c r="P1163" s="27" t="n"/>
      <c r="Q1163" s="27" t="n"/>
      <c r="R1163" s="27" t="n"/>
      <c r="S1163" s="27" t="n"/>
      <c r="T1163" s="25">
        <f>IF($C1163="","",IF(OR(ISNUMBER(SEARCH("quick case",$P1163)),ISNUMBER(SEARCH("quick case",$Q1163))),"Yes","No"))</f>
        <v/>
      </c>
      <c r="U1163" s="25">
        <f>IF($O1163="Invalid",HYPERLINK("mailto:"&amp;$G1163&amp;";"&amp;$I1163&amp;"?cc="&amp;Lists!$E$2&amp;"&amp;subject="&amp;_xlfn.ENCODEURL("[INVALID] Quality audit monitoring completed for "&amp;UPPER($C1163))&amp;"&amp;body="&amp;_xlfn.ENCODEURL("Hi "&amp;$F1163&amp;","&amp;CHAR(10)&amp;"Good day!"&amp;CHAR(10)&amp;CHAR(10)&amp;"A quality monitoring audit has been completed for "&amp;$C1163&amp;"."&amp;CHAR(10)&amp;CHAR(10)&amp;"QUALITY AUDIT DETAILS"&amp;CHAR(10)&amp;"Agent Name: "&amp;$C1163&amp;" (EID "&amp;$D1163&amp;")"&amp;CHAR(10)&amp;"Audit Date: "&amp;TEXT($B1163,"yyyy-mm-dd")&amp;CHAR(10)&amp;"Team Leader: "&amp;$F1163&amp;CHAR(10)&amp;"Case Number: "&amp;$M1163&amp;CHAR(10)&amp;"Transaction ID: "&amp;$N1163&amp;CHAR(10)&amp;"Channel / LOB: "&amp;$K1163&amp;" / "&amp;$L1163&amp;CHAR(10)&amp;"Evaluator: "&amp;$S1163&amp;CHAR(10)&amp;CHAR(10)&amp;"INVALID QUALITY AUDIT DETAILS"&amp;CHAR(10)&amp;"Validation: Invalid"&amp;CHAR(10)&amp;"Invalid Reason: "&amp;$P1163&amp;CHAR(10)&amp;"Expected Resolution Code: "&amp;$Q1163&amp;CHAR(10)&amp;"Remarks: "&amp;LEFT($R1163,600)&amp;CHAR(10)&amp;CHAR(10)&amp;"This is an automated notification from HP Mainstream EQMS."),"✉ Open Email Draft"),"")</f>
        <v/>
      </c>
    </row>
    <row r="1164">
      <c r="A1164" s="25">
        <f>IF($C1164="","","AUD-2026-"&amp;TEXT(ROW()-1,"000000"))</f>
        <v/>
      </c>
      <c r="B1164" s="26" t="n"/>
      <c r="C1164" s="27" t="n"/>
      <c r="D1164" s="25">
        <f>IF($C1164="","",IFERROR(IF(INDEX(Roster!$A:$A,MATCH($C1164,Roster!$B:$B,0))="","",INDEX(Roster!$A:$A,MATCH($C1164,Roster!$B:$B,0))&amp;""),"—"))</f>
        <v/>
      </c>
      <c r="E1164" s="25">
        <f>IF($C1164="","",IFERROR(IF(INDEX(Roster!$C:$C,MATCH($C1164,Roster!$B:$B,0))="","",INDEX(Roster!$C:$C,MATCH($C1164,Roster!$B:$B,0))&amp;""),"—"))</f>
        <v/>
      </c>
      <c r="F1164" s="25">
        <f>IF($C1164="","",IFERROR(IF(INDEX(Roster!$D:$D,MATCH($C1164,Roster!$B:$B,0))="","",INDEX(Roster!$D:$D,MATCH($C1164,Roster!$B:$B,0))&amp;""),"—"))</f>
        <v/>
      </c>
      <c r="G1164" s="25">
        <f>IF($C1164="","",IFERROR(IF(INDEX(Roster!$E:$E,MATCH($C1164,Roster!$B:$B,0))="","",INDEX(Roster!$E:$E,MATCH($C1164,Roster!$B:$B,0))&amp;""),"—"))</f>
        <v/>
      </c>
      <c r="H1164" s="25">
        <f>IF($C1164="","",IFERROR(IF(INDEX(Roster!$F:$F,MATCH($C1164,Roster!$B:$B,0))="","",INDEX(Roster!$F:$F,MATCH($C1164,Roster!$B:$B,0))&amp;""),"—"))</f>
        <v/>
      </c>
      <c r="I1164" s="25">
        <f>IF($C1164="","",IFERROR(IF(INDEX(Roster!$G:$G,MATCH($C1164,Roster!$B:$B,0))="","",INDEX(Roster!$G:$G,MATCH($C1164,Roster!$B:$B,0))&amp;""),"—"))</f>
        <v/>
      </c>
      <c r="J1164" s="25">
        <f>IF($C1164="","",IFERROR(IF(INDEX(Roster!$I:$I,MATCH($C1164,Roster!$B:$B,0))="","",INDEX(Roster!$I:$I,MATCH($C1164,Roster!$B:$B,0))&amp;""),"—"))</f>
        <v/>
      </c>
      <c r="K1164">
        <f>IF($C1164="","",IFERROR(IF(INDEX(Roster!$J:$J,MATCH($C1164,Roster!$B:$B,0))="","",INDEX(Roster!$J:$J,MATCH($C1164,Roster!$B:$B,0))&amp;""),"—"))</f>
        <v/>
      </c>
      <c r="L1164">
        <f>IF($C1164="","",IFERROR(IF(INDEX(Roster!$K:$K,MATCH($C1164,Roster!$B:$B,0))="","",INDEX(Roster!$K:$K,MATCH($C1164,Roster!$B:$B,0))&amp;""),"—"))</f>
        <v/>
      </c>
      <c r="M1164" s="27" t="n"/>
      <c r="N1164" s="27" t="n"/>
      <c r="O1164" s="25">
        <f>IF($C1164="","",IF($P1164="","—",IF($P1164="Valid (Pass)","Valid","Invalid")))</f>
        <v/>
      </c>
      <c r="P1164" s="27" t="n"/>
      <c r="Q1164" s="27" t="n"/>
      <c r="R1164" s="27" t="n"/>
      <c r="S1164" s="27" t="n"/>
      <c r="T1164" s="25">
        <f>IF($C1164="","",IF(OR(ISNUMBER(SEARCH("quick case",$P1164)),ISNUMBER(SEARCH("quick case",$Q1164))),"Yes","No"))</f>
        <v/>
      </c>
      <c r="U1164" s="25">
        <f>IF($O1164="Invalid",HYPERLINK("mailto:"&amp;$G1164&amp;";"&amp;$I1164&amp;"?cc="&amp;Lists!$E$2&amp;"&amp;subject="&amp;_xlfn.ENCODEURL("[INVALID] Quality audit monitoring completed for "&amp;UPPER($C1164))&amp;"&amp;body="&amp;_xlfn.ENCODEURL("Hi "&amp;$F1164&amp;","&amp;CHAR(10)&amp;"Good day!"&amp;CHAR(10)&amp;CHAR(10)&amp;"A quality monitoring audit has been completed for "&amp;$C1164&amp;"."&amp;CHAR(10)&amp;CHAR(10)&amp;"QUALITY AUDIT DETAILS"&amp;CHAR(10)&amp;"Agent Name: "&amp;$C1164&amp;" (EID "&amp;$D1164&amp;")"&amp;CHAR(10)&amp;"Audit Date: "&amp;TEXT($B1164,"yyyy-mm-dd")&amp;CHAR(10)&amp;"Team Leader: "&amp;$F1164&amp;CHAR(10)&amp;"Case Number: "&amp;$M1164&amp;CHAR(10)&amp;"Transaction ID: "&amp;$N1164&amp;CHAR(10)&amp;"Channel / LOB: "&amp;$K1164&amp;" / "&amp;$L1164&amp;CHAR(10)&amp;"Evaluator: "&amp;$S1164&amp;CHAR(10)&amp;CHAR(10)&amp;"INVALID QUALITY AUDIT DETAILS"&amp;CHAR(10)&amp;"Validation: Invalid"&amp;CHAR(10)&amp;"Invalid Reason: "&amp;$P1164&amp;CHAR(10)&amp;"Expected Resolution Code: "&amp;$Q1164&amp;CHAR(10)&amp;"Remarks: "&amp;LEFT($R1164,600)&amp;CHAR(10)&amp;CHAR(10)&amp;"This is an automated notification from HP Mainstream EQMS."),"✉ Open Email Draft"),"")</f>
        <v/>
      </c>
    </row>
    <row r="1165">
      <c r="A1165" s="25">
        <f>IF($C1165="","","AUD-2026-"&amp;TEXT(ROW()-1,"000000"))</f>
        <v/>
      </c>
      <c r="B1165" s="26" t="n"/>
      <c r="C1165" s="27" t="n"/>
      <c r="D1165" s="25">
        <f>IF($C1165="","",IFERROR(IF(INDEX(Roster!$A:$A,MATCH($C1165,Roster!$B:$B,0))="","",INDEX(Roster!$A:$A,MATCH($C1165,Roster!$B:$B,0))&amp;""),"—"))</f>
        <v/>
      </c>
      <c r="E1165" s="25">
        <f>IF($C1165="","",IFERROR(IF(INDEX(Roster!$C:$C,MATCH($C1165,Roster!$B:$B,0))="","",INDEX(Roster!$C:$C,MATCH($C1165,Roster!$B:$B,0))&amp;""),"—"))</f>
        <v/>
      </c>
      <c r="F1165" s="25">
        <f>IF($C1165="","",IFERROR(IF(INDEX(Roster!$D:$D,MATCH($C1165,Roster!$B:$B,0))="","",INDEX(Roster!$D:$D,MATCH($C1165,Roster!$B:$B,0))&amp;""),"—"))</f>
        <v/>
      </c>
      <c r="G1165" s="25">
        <f>IF($C1165="","",IFERROR(IF(INDEX(Roster!$E:$E,MATCH($C1165,Roster!$B:$B,0))="","",INDEX(Roster!$E:$E,MATCH($C1165,Roster!$B:$B,0))&amp;""),"—"))</f>
        <v/>
      </c>
      <c r="H1165" s="25">
        <f>IF($C1165="","",IFERROR(IF(INDEX(Roster!$F:$F,MATCH($C1165,Roster!$B:$B,0))="","",INDEX(Roster!$F:$F,MATCH($C1165,Roster!$B:$B,0))&amp;""),"—"))</f>
        <v/>
      </c>
      <c r="I1165" s="25">
        <f>IF($C1165="","",IFERROR(IF(INDEX(Roster!$G:$G,MATCH($C1165,Roster!$B:$B,0))="","",INDEX(Roster!$G:$G,MATCH($C1165,Roster!$B:$B,0))&amp;""),"—"))</f>
        <v/>
      </c>
      <c r="J1165" s="25">
        <f>IF($C1165="","",IFERROR(IF(INDEX(Roster!$I:$I,MATCH($C1165,Roster!$B:$B,0))="","",INDEX(Roster!$I:$I,MATCH($C1165,Roster!$B:$B,0))&amp;""),"—"))</f>
        <v/>
      </c>
      <c r="K1165">
        <f>IF($C1165="","",IFERROR(IF(INDEX(Roster!$J:$J,MATCH($C1165,Roster!$B:$B,0))="","",INDEX(Roster!$J:$J,MATCH($C1165,Roster!$B:$B,0))&amp;""),"—"))</f>
        <v/>
      </c>
      <c r="L1165">
        <f>IF($C1165="","",IFERROR(IF(INDEX(Roster!$K:$K,MATCH($C1165,Roster!$B:$B,0))="","",INDEX(Roster!$K:$K,MATCH($C1165,Roster!$B:$B,0))&amp;""),"—"))</f>
        <v/>
      </c>
      <c r="M1165" s="27" t="n"/>
      <c r="N1165" s="27" t="n"/>
      <c r="O1165" s="25">
        <f>IF($C1165="","",IF($P1165="","—",IF($P1165="Valid (Pass)","Valid","Invalid")))</f>
        <v/>
      </c>
      <c r="P1165" s="27" t="n"/>
      <c r="Q1165" s="27" t="n"/>
      <c r="R1165" s="27" t="n"/>
      <c r="S1165" s="27" t="n"/>
      <c r="T1165" s="25">
        <f>IF($C1165="","",IF(OR(ISNUMBER(SEARCH("quick case",$P1165)),ISNUMBER(SEARCH("quick case",$Q1165))),"Yes","No"))</f>
        <v/>
      </c>
      <c r="U1165" s="25">
        <f>IF($O1165="Invalid",HYPERLINK("mailto:"&amp;$G1165&amp;";"&amp;$I1165&amp;"?cc="&amp;Lists!$E$2&amp;"&amp;subject="&amp;_xlfn.ENCODEURL("[INVALID] Quality audit monitoring completed for "&amp;UPPER($C1165))&amp;"&amp;body="&amp;_xlfn.ENCODEURL("Hi "&amp;$F1165&amp;","&amp;CHAR(10)&amp;"Good day!"&amp;CHAR(10)&amp;CHAR(10)&amp;"A quality monitoring audit has been completed for "&amp;$C1165&amp;"."&amp;CHAR(10)&amp;CHAR(10)&amp;"QUALITY AUDIT DETAILS"&amp;CHAR(10)&amp;"Agent Name: "&amp;$C1165&amp;" (EID "&amp;$D1165&amp;")"&amp;CHAR(10)&amp;"Audit Date: "&amp;TEXT($B1165,"yyyy-mm-dd")&amp;CHAR(10)&amp;"Team Leader: "&amp;$F1165&amp;CHAR(10)&amp;"Case Number: "&amp;$M1165&amp;CHAR(10)&amp;"Transaction ID: "&amp;$N1165&amp;CHAR(10)&amp;"Channel / LOB: "&amp;$K1165&amp;" / "&amp;$L1165&amp;CHAR(10)&amp;"Evaluator: "&amp;$S1165&amp;CHAR(10)&amp;CHAR(10)&amp;"INVALID QUALITY AUDIT DETAILS"&amp;CHAR(10)&amp;"Validation: Invalid"&amp;CHAR(10)&amp;"Invalid Reason: "&amp;$P1165&amp;CHAR(10)&amp;"Expected Resolution Code: "&amp;$Q1165&amp;CHAR(10)&amp;"Remarks: "&amp;LEFT($R1165,600)&amp;CHAR(10)&amp;CHAR(10)&amp;"This is an automated notification from HP Mainstream EQMS."),"✉ Open Email Draft"),"")</f>
        <v/>
      </c>
    </row>
    <row r="1166">
      <c r="A1166" s="25">
        <f>IF($C1166="","","AUD-2026-"&amp;TEXT(ROW()-1,"000000"))</f>
        <v/>
      </c>
      <c r="B1166" s="26" t="n"/>
      <c r="C1166" s="27" t="n"/>
      <c r="D1166" s="25">
        <f>IF($C1166="","",IFERROR(IF(INDEX(Roster!$A:$A,MATCH($C1166,Roster!$B:$B,0))="","",INDEX(Roster!$A:$A,MATCH($C1166,Roster!$B:$B,0))&amp;""),"—"))</f>
        <v/>
      </c>
      <c r="E1166" s="25">
        <f>IF($C1166="","",IFERROR(IF(INDEX(Roster!$C:$C,MATCH($C1166,Roster!$B:$B,0))="","",INDEX(Roster!$C:$C,MATCH($C1166,Roster!$B:$B,0))&amp;""),"—"))</f>
        <v/>
      </c>
      <c r="F1166" s="25">
        <f>IF($C1166="","",IFERROR(IF(INDEX(Roster!$D:$D,MATCH($C1166,Roster!$B:$B,0))="","",INDEX(Roster!$D:$D,MATCH($C1166,Roster!$B:$B,0))&amp;""),"—"))</f>
        <v/>
      </c>
      <c r="G1166" s="25">
        <f>IF($C1166="","",IFERROR(IF(INDEX(Roster!$E:$E,MATCH($C1166,Roster!$B:$B,0))="","",INDEX(Roster!$E:$E,MATCH($C1166,Roster!$B:$B,0))&amp;""),"—"))</f>
        <v/>
      </c>
      <c r="H1166" s="25">
        <f>IF($C1166="","",IFERROR(IF(INDEX(Roster!$F:$F,MATCH($C1166,Roster!$B:$B,0))="","",INDEX(Roster!$F:$F,MATCH($C1166,Roster!$B:$B,0))&amp;""),"—"))</f>
        <v/>
      </c>
      <c r="I1166" s="25">
        <f>IF($C1166="","",IFERROR(IF(INDEX(Roster!$G:$G,MATCH($C1166,Roster!$B:$B,0))="","",INDEX(Roster!$G:$G,MATCH($C1166,Roster!$B:$B,0))&amp;""),"—"))</f>
        <v/>
      </c>
      <c r="J1166" s="25">
        <f>IF($C1166="","",IFERROR(IF(INDEX(Roster!$I:$I,MATCH($C1166,Roster!$B:$B,0))="","",INDEX(Roster!$I:$I,MATCH($C1166,Roster!$B:$B,0))&amp;""),"—"))</f>
        <v/>
      </c>
      <c r="K1166">
        <f>IF($C1166="","",IFERROR(IF(INDEX(Roster!$J:$J,MATCH($C1166,Roster!$B:$B,0))="","",INDEX(Roster!$J:$J,MATCH($C1166,Roster!$B:$B,0))&amp;""),"—"))</f>
        <v/>
      </c>
      <c r="L1166">
        <f>IF($C1166="","",IFERROR(IF(INDEX(Roster!$K:$K,MATCH($C1166,Roster!$B:$B,0))="","",INDEX(Roster!$K:$K,MATCH($C1166,Roster!$B:$B,0))&amp;""),"—"))</f>
        <v/>
      </c>
      <c r="M1166" s="27" t="n"/>
      <c r="N1166" s="27" t="n"/>
      <c r="O1166" s="25">
        <f>IF($C1166="","",IF($P1166="","—",IF($P1166="Valid (Pass)","Valid","Invalid")))</f>
        <v/>
      </c>
      <c r="P1166" s="27" t="n"/>
      <c r="Q1166" s="27" t="n"/>
      <c r="R1166" s="27" t="n"/>
      <c r="S1166" s="27" t="n"/>
      <c r="T1166" s="25">
        <f>IF($C1166="","",IF(OR(ISNUMBER(SEARCH("quick case",$P1166)),ISNUMBER(SEARCH("quick case",$Q1166))),"Yes","No"))</f>
        <v/>
      </c>
      <c r="U1166" s="25">
        <f>IF($O1166="Invalid",HYPERLINK("mailto:"&amp;$G1166&amp;";"&amp;$I1166&amp;"?cc="&amp;Lists!$E$2&amp;"&amp;subject="&amp;_xlfn.ENCODEURL("[INVALID] Quality audit monitoring completed for "&amp;UPPER($C1166))&amp;"&amp;body="&amp;_xlfn.ENCODEURL("Hi "&amp;$F1166&amp;","&amp;CHAR(10)&amp;"Good day!"&amp;CHAR(10)&amp;CHAR(10)&amp;"A quality monitoring audit has been completed for "&amp;$C1166&amp;"."&amp;CHAR(10)&amp;CHAR(10)&amp;"QUALITY AUDIT DETAILS"&amp;CHAR(10)&amp;"Agent Name: "&amp;$C1166&amp;" (EID "&amp;$D1166&amp;")"&amp;CHAR(10)&amp;"Audit Date: "&amp;TEXT($B1166,"yyyy-mm-dd")&amp;CHAR(10)&amp;"Team Leader: "&amp;$F1166&amp;CHAR(10)&amp;"Case Number: "&amp;$M1166&amp;CHAR(10)&amp;"Transaction ID: "&amp;$N1166&amp;CHAR(10)&amp;"Channel / LOB: "&amp;$K1166&amp;" / "&amp;$L1166&amp;CHAR(10)&amp;"Evaluator: "&amp;$S1166&amp;CHAR(10)&amp;CHAR(10)&amp;"INVALID QUALITY AUDIT DETAILS"&amp;CHAR(10)&amp;"Validation: Invalid"&amp;CHAR(10)&amp;"Invalid Reason: "&amp;$P1166&amp;CHAR(10)&amp;"Expected Resolution Code: "&amp;$Q1166&amp;CHAR(10)&amp;"Remarks: "&amp;LEFT($R1166,600)&amp;CHAR(10)&amp;CHAR(10)&amp;"This is an automated notification from HP Mainstream EQMS."),"✉ Open Email Draft"),"")</f>
        <v/>
      </c>
    </row>
    <row r="1167">
      <c r="A1167" s="25">
        <f>IF($C1167="","","AUD-2026-"&amp;TEXT(ROW()-1,"000000"))</f>
        <v/>
      </c>
      <c r="B1167" s="26" t="n"/>
      <c r="C1167" s="27" t="n"/>
      <c r="D1167" s="25">
        <f>IF($C1167="","",IFERROR(IF(INDEX(Roster!$A:$A,MATCH($C1167,Roster!$B:$B,0))="","",INDEX(Roster!$A:$A,MATCH($C1167,Roster!$B:$B,0))&amp;""),"—"))</f>
        <v/>
      </c>
      <c r="E1167" s="25">
        <f>IF($C1167="","",IFERROR(IF(INDEX(Roster!$C:$C,MATCH($C1167,Roster!$B:$B,0))="","",INDEX(Roster!$C:$C,MATCH($C1167,Roster!$B:$B,0))&amp;""),"—"))</f>
        <v/>
      </c>
      <c r="F1167" s="25">
        <f>IF($C1167="","",IFERROR(IF(INDEX(Roster!$D:$D,MATCH($C1167,Roster!$B:$B,0))="","",INDEX(Roster!$D:$D,MATCH($C1167,Roster!$B:$B,0))&amp;""),"—"))</f>
        <v/>
      </c>
      <c r="G1167" s="25">
        <f>IF($C1167="","",IFERROR(IF(INDEX(Roster!$E:$E,MATCH($C1167,Roster!$B:$B,0))="","",INDEX(Roster!$E:$E,MATCH($C1167,Roster!$B:$B,0))&amp;""),"—"))</f>
        <v/>
      </c>
      <c r="H1167" s="25">
        <f>IF($C1167="","",IFERROR(IF(INDEX(Roster!$F:$F,MATCH($C1167,Roster!$B:$B,0))="","",INDEX(Roster!$F:$F,MATCH($C1167,Roster!$B:$B,0))&amp;""),"—"))</f>
        <v/>
      </c>
      <c r="I1167" s="25">
        <f>IF($C1167="","",IFERROR(IF(INDEX(Roster!$G:$G,MATCH($C1167,Roster!$B:$B,0))="","",INDEX(Roster!$G:$G,MATCH($C1167,Roster!$B:$B,0))&amp;""),"—"))</f>
        <v/>
      </c>
      <c r="J1167" s="25">
        <f>IF($C1167="","",IFERROR(IF(INDEX(Roster!$I:$I,MATCH($C1167,Roster!$B:$B,0))="","",INDEX(Roster!$I:$I,MATCH($C1167,Roster!$B:$B,0))&amp;""),"—"))</f>
        <v/>
      </c>
      <c r="K1167">
        <f>IF($C1167="","",IFERROR(IF(INDEX(Roster!$J:$J,MATCH($C1167,Roster!$B:$B,0))="","",INDEX(Roster!$J:$J,MATCH($C1167,Roster!$B:$B,0))&amp;""),"—"))</f>
        <v/>
      </c>
      <c r="L1167">
        <f>IF($C1167="","",IFERROR(IF(INDEX(Roster!$K:$K,MATCH($C1167,Roster!$B:$B,0))="","",INDEX(Roster!$K:$K,MATCH($C1167,Roster!$B:$B,0))&amp;""),"—"))</f>
        <v/>
      </c>
      <c r="M1167" s="27" t="n"/>
      <c r="N1167" s="27" t="n"/>
      <c r="O1167" s="25">
        <f>IF($C1167="","",IF($P1167="","—",IF($P1167="Valid (Pass)","Valid","Invalid")))</f>
        <v/>
      </c>
      <c r="P1167" s="27" t="n"/>
      <c r="Q1167" s="27" t="n"/>
      <c r="R1167" s="27" t="n"/>
      <c r="S1167" s="27" t="n"/>
      <c r="T1167" s="25">
        <f>IF($C1167="","",IF(OR(ISNUMBER(SEARCH("quick case",$P1167)),ISNUMBER(SEARCH("quick case",$Q1167))),"Yes","No"))</f>
        <v/>
      </c>
      <c r="U1167" s="25">
        <f>IF($O1167="Invalid",HYPERLINK("mailto:"&amp;$G1167&amp;";"&amp;$I1167&amp;"?cc="&amp;Lists!$E$2&amp;"&amp;subject="&amp;_xlfn.ENCODEURL("[INVALID] Quality audit monitoring completed for "&amp;UPPER($C1167))&amp;"&amp;body="&amp;_xlfn.ENCODEURL("Hi "&amp;$F1167&amp;","&amp;CHAR(10)&amp;"Good day!"&amp;CHAR(10)&amp;CHAR(10)&amp;"A quality monitoring audit has been completed for "&amp;$C1167&amp;"."&amp;CHAR(10)&amp;CHAR(10)&amp;"QUALITY AUDIT DETAILS"&amp;CHAR(10)&amp;"Agent Name: "&amp;$C1167&amp;" (EID "&amp;$D1167&amp;")"&amp;CHAR(10)&amp;"Audit Date: "&amp;TEXT($B1167,"yyyy-mm-dd")&amp;CHAR(10)&amp;"Team Leader: "&amp;$F1167&amp;CHAR(10)&amp;"Case Number: "&amp;$M1167&amp;CHAR(10)&amp;"Transaction ID: "&amp;$N1167&amp;CHAR(10)&amp;"Channel / LOB: "&amp;$K1167&amp;" / "&amp;$L1167&amp;CHAR(10)&amp;"Evaluator: "&amp;$S1167&amp;CHAR(10)&amp;CHAR(10)&amp;"INVALID QUALITY AUDIT DETAILS"&amp;CHAR(10)&amp;"Validation: Invalid"&amp;CHAR(10)&amp;"Invalid Reason: "&amp;$P1167&amp;CHAR(10)&amp;"Expected Resolution Code: "&amp;$Q1167&amp;CHAR(10)&amp;"Remarks: "&amp;LEFT($R1167,600)&amp;CHAR(10)&amp;CHAR(10)&amp;"This is an automated notification from HP Mainstream EQMS."),"✉ Open Email Draft"),"")</f>
        <v/>
      </c>
    </row>
    <row r="1168">
      <c r="A1168" s="25">
        <f>IF($C1168="","","AUD-2026-"&amp;TEXT(ROW()-1,"000000"))</f>
        <v/>
      </c>
      <c r="B1168" s="26" t="n"/>
      <c r="C1168" s="27" t="n"/>
      <c r="D1168" s="25">
        <f>IF($C1168="","",IFERROR(IF(INDEX(Roster!$A:$A,MATCH($C1168,Roster!$B:$B,0))="","",INDEX(Roster!$A:$A,MATCH($C1168,Roster!$B:$B,0))&amp;""),"—"))</f>
        <v/>
      </c>
      <c r="E1168" s="25">
        <f>IF($C1168="","",IFERROR(IF(INDEX(Roster!$C:$C,MATCH($C1168,Roster!$B:$B,0))="","",INDEX(Roster!$C:$C,MATCH($C1168,Roster!$B:$B,0))&amp;""),"—"))</f>
        <v/>
      </c>
      <c r="F1168" s="25">
        <f>IF($C1168="","",IFERROR(IF(INDEX(Roster!$D:$D,MATCH($C1168,Roster!$B:$B,0))="","",INDEX(Roster!$D:$D,MATCH($C1168,Roster!$B:$B,0))&amp;""),"—"))</f>
        <v/>
      </c>
      <c r="G1168" s="25">
        <f>IF($C1168="","",IFERROR(IF(INDEX(Roster!$E:$E,MATCH($C1168,Roster!$B:$B,0))="","",INDEX(Roster!$E:$E,MATCH($C1168,Roster!$B:$B,0))&amp;""),"—"))</f>
        <v/>
      </c>
      <c r="H1168" s="25">
        <f>IF($C1168="","",IFERROR(IF(INDEX(Roster!$F:$F,MATCH($C1168,Roster!$B:$B,0))="","",INDEX(Roster!$F:$F,MATCH($C1168,Roster!$B:$B,0))&amp;""),"—"))</f>
        <v/>
      </c>
      <c r="I1168" s="25">
        <f>IF($C1168="","",IFERROR(IF(INDEX(Roster!$G:$G,MATCH($C1168,Roster!$B:$B,0))="","",INDEX(Roster!$G:$G,MATCH($C1168,Roster!$B:$B,0))&amp;""),"—"))</f>
        <v/>
      </c>
      <c r="J1168" s="25">
        <f>IF($C1168="","",IFERROR(IF(INDEX(Roster!$I:$I,MATCH($C1168,Roster!$B:$B,0))="","",INDEX(Roster!$I:$I,MATCH($C1168,Roster!$B:$B,0))&amp;""),"—"))</f>
        <v/>
      </c>
      <c r="K1168">
        <f>IF($C1168="","",IFERROR(IF(INDEX(Roster!$J:$J,MATCH($C1168,Roster!$B:$B,0))="","",INDEX(Roster!$J:$J,MATCH($C1168,Roster!$B:$B,0))&amp;""),"—"))</f>
        <v/>
      </c>
      <c r="L1168">
        <f>IF($C1168="","",IFERROR(IF(INDEX(Roster!$K:$K,MATCH($C1168,Roster!$B:$B,0))="","",INDEX(Roster!$K:$K,MATCH($C1168,Roster!$B:$B,0))&amp;""),"—"))</f>
        <v/>
      </c>
      <c r="M1168" s="27" t="n"/>
      <c r="N1168" s="27" t="n"/>
      <c r="O1168" s="25">
        <f>IF($C1168="","",IF($P1168="","—",IF($P1168="Valid (Pass)","Valid","Invalid")))</f>
        <v/>
      </c>
      <c r="P1168" s="27" t="n"/>
      <c r="Q1168" s="27" t="n"/>
      <c r="R1168" s="27" t="n"/>
      <c r="S1168" s="27" t="n"/>
      <c r="T1168" s="25">
        <f>IF($C1168="","",IF(OR(ISNUMBER(SEARCH("quick case",$P1168)),ISNUMBER(SEARCH("quick case",$Q1168))),"Yes","No"))</f>
        <v/>
      </c>
      <c r="U1168" s="25">
        <f>IF($O1168="Invalid",HYPERLINK("mailto:"&amp;$G1168&amp;";"&amp;$I1168&amp;"?cc="&amp;Lists!$E$2&amp;"&amp;subject="&amp;_xlfn.ENCODEURL("[INVALID] Quality audit monitoring completed for "&amp;UPPER($C1168))&amp;"&amp;body="&amp;_xlfn.ENCODEURL("Hi "&amp;$F1168&amp;","&amp;CHAR(10)&amp;"Good day!"&amp;CHAR(10)&amp;CHAR(10)&amp;"A quality monitoring audit has been completed for "&amp;$C1168&amp;"."&amp;CHAR(10)&amp;CHAR(10)&amp;"QUALITY AUDIT DETAILS"&amp;CHAR(10)&amp;"Agent Name: "&amp;$C1168&amp;" (EID "&amp;$D1168&amp;")"&amp;CHAR(10)&amp;"Audit Date: "&amp;TEXT($B1168,"yyyy-mm-dd")&amp;CHAR(10)&amp;"Team Leader: "&amp;$F1168&amp;CHAR(10)&amp;"Case Number: "&amp;$M1168&amp;CHAR(10)&amp;"Transaction ID: "&amp;$N1168&amp;CHAR(10)&amp;"Channel / LOB: "&amp;$K1168&amp;" / "&amp;$L1168&amp;CHAR(10)&amp;"Evaluator: "&amp;$S1168&amp;CHAR(10)&amp;CHAR(10)&amp;"INVALID QUALITY AUDIT DETAILS"&amp;CHAR(10)&amp;"Validation: Invalid"&amp;CHAR(10)&amp;"Invalid Reason: "&amp;$P1168&amp;CHAR(10)&amp;"Expected Resolution Code: "&amp;$Q1168&amp;CHAR(10)&amp;"Remarks: "&amp;LEFT($R1168,600)&amp;CHAR(10)&amp;CHAR(10)&amp;"This is an automated notification from HP Mainstream EQMS."),"✉ Open Email Draft"),"")</f>
        <v/>
      </c>
    </row>
    <row r="1169">
      <c r="A1169" s="25">
        <f>IF($C1169="","","AUD-2026-"&amp;TEXT(ROW()-1,"000000"))</f>
        <v/>
      </c>
      <c r="B1169" s="26" t="n"/>
      <c r="C1169" s="27" t="n"/>
      <c r="D1169" s="25">
        <f>IF($C1169="","",IFERROR(IF(INDEX(Roster!$A:$A,MATCH($C1169,Roster!$B:$B,0))="","",INDEX(Roster!$A:$A,MATCH($C1169,Roster!$B:$B,0))&amp;""),"—"))</f>
        <v/>
      </c>
      <c r="E1169" s="25">
        <f>IF($C1169="","",IFERROR(IF(INDEX(Roster!$C:$C,MATCH($C1169,Roster!$B:$B,0))="","",INDEX(Roster!$C:$C,MATCH($C1169,Roster!$B:$B,0))&amp;""),"—"))</f>
        <v/>
      </c>
      <c r="F1169" s="25">
        <f>IF($C1169="","",IFERROR(IF(INDEX(Roster!$D:$D,MATCH($C1169,Roster!$B:$B,0))="","",INDEX(Roster!$D:$D,MATCH($C1169,Roster!$B:$B,0))&amp;""),"—"))</f>
        <v/>
      </c>
      <c r="G1169" s="25">
        <f>IF($C1169="","",IFERROR(IF(INDEX(Roster!$E:$E,MATCH($C1169,Roster!$B:$B,0))="","",INDEX(Roster!$E:$E,MATCH($C1169,Roster!$B:$B,0))&amp;""),"—"))</f>
        <v/>
      </c>
      <c r="H1169" s="25">
        <f>IF($C1169="","",IFERROR(IF(INDEX(Roster!$F:$F,MATCH($C1169,Roster!$B:$B,0))="","",INDEX(Roster!$F:$F,MATCH($C1169,Roster!$B:$B,0))&amp;""),"—"))</f>
        <v/>
      </c>
      <c r="I1169" s="25">
        <f>IF($C1169="","",IFERROR(IF(INDEX(Roster!$G:$G,MATCH($C1169,Roster!$B:$B,0))="","",INDEX(Roster!$G:$G,MATCH($C1169,Roster!$B:$B,0))&amp;""),"—"))</f>
        <v/>
      </c>
      <c r="J1169" s="25">
        <f>IF($C1169="","",IFERROR(IF(INDEX(Roster!$I:$I,MATCH($C1169,Roster!$B:$B,0))="","",INDEX(Roster!$I:$I,MATCH($C1169,Roster!$B:$B,0))&amp;""),"—"))</f>
        <v/>
      </c>
      <c r="K1169">
        <f>IF($C1169="","",IFERROR(IF(INDEX(Roster!$J:$J,MATCH($C1169,Roster!$B:$B,0))="","",INDEX(Roster!$J:$J,MATCH($C1169,Roster!$B:$B,0))&amp;""),"—"))</f>
        <v/>
      </c>
      <c r="L1169">
        <f>IF($C1169="","",IFERROR(IF(INDEX(Roster!$K:$K,MATCH($C1169,Roster!$B:$B,0))="","",INDEX(Roster!$K:$K,MATCH($C1169,Roster!$B:$B,0))&amp;""),"—"))</f>
        <v/>
      </c>
      <c r="M1169" s="27" t="n"/>
      <c r="N1169" s="27" t="n"/>
      <c r="O1169" s="25">
        <f>IF($C1169="","",IF($P1169="","—",IF($P1169="Valid (Pass)","Valid","Invalid")))</f>
        <v/>
      </c>
      <c r="P1169" s="27" t="n"/>
      <c r="Q1169" s="27" t="n"/>
      <c r="R1169" s="27" t="n"/>
      <c r="S1169" s="27" t="n"/>
      <c r="T1169" s="25">
        <f>IF($C1169="","",IF(OR(ISNUMBER(SEARCH("quick case",$P1169)),ISNUMBER(SEARCH("quick case",$Q1169))),"Yes","No"))</f>
        <v/>
      </c>
      <c r="U1169" s="25">
        <f>IF($O1169="Invalid",HYPERLINK("mailto:"&amp;$G1169&amp;";"&amp;$I1169&amp;"?cc="&amp;Lists!$E$2&amp;"&amp;subject="&amp;_xlfn.ENCODEURL("[INVALID] Quality audit monitoring completed for "&amp;UPPER($C1169))&amp;"&amp;body="&amp;_xlfn.ENCODEURL("Hi "&amp;$F1169&amp;","&amp;CHAR(10)&amp;"Good day!"&amp;CHAR(10)&amp;CHAR(10)&amp;"A quality monitoring audit has been completed for "&amp;$C1169&amp;"."&amp;CHAR(10)&amp;CHAR(10)&amp;"QUALITY AUDIT DETAILS"&amp;CHAR(10)&amp;"Agent Name: "&amp;$C1169&amp;" (EID "&amp;$D1169&amp;")"&amp;CHAR(10)&amp;"Audit Date: "&amp;TEXT($B1169,"yyyy-mm-dd")&amp;CHAR(10)&amp;"Team Leader: "&amp;$F1169&amp;CHAR(10)&amp;"Case Number: "&amp;$M1169&amp;CHAR(10)&amp;"Transaction ID: "&amp;$N1169&amp;CHAR(10)&amp;"Channel / LOB: "&amp;$K1169&amp;" / "&amp;$L1169&amp;CHAR(10)&amp;"Evaluator: "&amp;$S1169&amp;CHAR(10)&amp;CHAR(10)&amp;"INVALID QUALITY AUDIT DETAILS"&amp;CHAR(10)&amp;"Validation: Invalid"&amp;CHAR(10)&amp;"Invalid Reason: "&amp;$P1169&amp;CHAR(10)&amp;"Expected Resolution Code: "&amp;$Q1169&amp;CHAR(10)&amp;"Remarks: "&amp;LEFT($R1169,600)&amp;CHAR(10)&amp;CHAR(10)&amp;"This is an automated notification from HP Mainstream EQMS."),"✉ Open Email Draft"),"")</f>
        <v/>
      </c>
    </row>
    <row r="1170">
      <c r="A1170" s="25">
        <f>IF($C1170="","","AUD-2026-"&amp;TEXT(ROW()-1,"000000"))</f>
        <v/>
      </c>
      <c r="B1170" s="26" t="n"/>
      <c r="C1170" s="27" t="n"/>
      <c r="D1170" s="25">
        <f>IF($C1170="","",IFERROR(IF(INDEX(Roster!$A:$A,MATCH($C1170,Roster!$B:$B,0))="","",INDEX(Roster!$A:$A,MATCH($C1170,Roster!$B:$B,0))&amp;""),"—"))</f>
        <v/>
      </c>
      <c r="E1170" s="25">
        <f>IF($C1170="","",IFERROR(IF(INDEX(Roster!$C:$C,MATCH($C1170,Roster!$B:$B,0))="","",INDEX(Roster!$C:$C,MATCH($C1170,Roster!$B:$B,0))&amp;""),"—"))</f>
        <v/>
      </c>
      <c r="F1170" s="25">
        <f>IF($C1170="","",IFERROR(IF(INDEX(Roster!$D:$D,MATCH($C1170,Roster!$B:$B,0))="","",INDEX(Roster!$D:$D,MATCH($C1170,Roster!$B:$B,0))&amp;""),"—"))</f>
        <v/>
      </c>
      <c r="G1170" s="25">
        <f>IF($C1170="","",IFERROR(IF(INDEX(Roster!$E:$E,MATCH($C1170,Roster!$B:$B,0))="","",INDEX(Roster!$E:$E,MATCH($C1170,Roster!$B:$B,0))&amp;""),"—"))</f>
        <v/>
      </c>
      <c r="H1170" s="25">
        <f>IF($C1170="","",IFERROR(IF(INDEX(Roster!$F:$F,MATCH($C1170,Roster!$B:$B,0))="","",INDEX(Roster!$F:$F,MATCH($C1170,Roster!$B:$B,0))&amp;""),"—"))</f>
        <v/>
      </c>
      <c r="I1170" s="25">
        <f>IF($C1170="","",IFERROR(IF(INDEX(Roster!$G:$G,MATCH($C1170,Roster!$B:$B,0))="","",INDEX(Roster!$G:$G,MATCH($C1170,Roster!$B:$B,0))&amp;""),"—"))</f>
        <v/>
      </c>
      <c r="J1170" s="25">
        <f>IF($C1170="","",IFERROR(IF(INDEX(Roster!$I:$I,MATCH($C1170,Roster!$B:$B,0))="","",INDEX(Roster!$I:$I,MATCH($C1170,Roster!$B:$B,0))&amp;""),"—"))</f>
        <v/>
      </c>
      <c r="K1170">
        <f>IF($C1170="","",IFERROR(IF(INDEX(Roster!$J:$J,MATCH($C1170,Roster!$B:$B,0))="","",INDEX(Roster!$J:$J,MATCH($C1170,Roster!$B:$B,0))&amp;""),"—"))</f>
        <v/>
      </c>
      <c r="L1170">
        <f>IF($C1170="","",IFERROR(IF(INDEX(Roster!$K:$K,MATCH($C1170,Roster!$B:$B,0))="","",INDEX(Roster!$K:$K,MATCH($C1170,Roster!$B:$B,0))&amp;""),"—"))</f>
        <v/>
      </c>
      <c r="M1170" s="27" t="n"/>
      <c r="N1170" s="27" t="n"/>
      <c r="O1170" s="25">
        <f>IF($C1170="","",IF($P1170="","—",IF($P1170="Valid (Pass)","Valid","Invalid")))</f>
        <v/>
      </c>
      <c r="P1170" s="27" t="n"/>
      <c r="Q1170" s="27" t="n"/>
      <c r="R1170" s="27" t="n"/>
      <c r="S1170" s="27" t="n"/>
      <c r="T1170" s="25">
        <f>IF($C1170="","",IF(OR(ISNUMBER(SEARCH("quick case",$P1170)),ISNUMBER(SEARCH("quick case",$Q1170))),"Yes","No"))</f>
        <v/>
      </c>
      <c r="U1170" s="25">
        <f>IF($O1170="Invalid",HYPERLINK("mailto:"&amp;$G1170&amp;";"&amp;$I1170&amp;"?cc="&amp;Lists!$E$2&amp;"&amp;subject="&amp;_xlfn.ENCODEURL("[INVALID] Quality audit monitoring completed for "&amp;UPPER($C1170))&amp;"&amp;body="&amp;_xlfn.ENCODEURL("Hi "&amp;$F1170&amp;","&amp;CHAR(10)&amp;"Good day!"&amp;CHAR(10)&amp;CHAR(10)&amp;"A quality monitoring audit has been completed for "&amp;$C1170&amp;"."&amp;CHAR(10)&amp;CHAR(10)&amp;"QUALITY AUDIT DETAILS"&amp;CHAR(10)&amp;"Agent Name: "&amp;$C1170&amp;" (EID "&amp;$D1170&amp;")"&amp;CHAR(10)&amp;"Audit Date: "&amp;TEXT($B1170,"yyyy-mm-dd")&amp;CHAR(10)&amp;"Team Leader: "&amp;$F1170&amp;CHAR(10)&amp;"Case Number: "&amp;$M1170&amp;CHAR(10)&amp;"Transaction ID: "&amp;$N1170&amp;CHAR(10)&amp;"Channel / LOB: "&amp;$K1170&amp;" / "&amp;$L1170&amp;CHAR(10)&amp;"Evaluator: "&amp;$S1170&amp;CHAR(10)&amp;CHAR(10)&amp;"INVALID QUALITY AUDIT DETAILS"&amp;CHAR(10)&amp;"Validation: Invalid"&amp;CHAR(10)&amp;"Invalid Reason: "&amp;$P1170&amp;CHAR(10)&amp;"Expected Resolution Code: "&amp;$Q1170&amp;CHAR(10)&amp;"Remarks: "&amp;LEFT($R1170,600)&amp;CHAR(10)&amp;CHAR(10)&amp;"This is an automated notification from HP Mainstream EQMS."),"✉ Open Email Draft"),"")</f>
        <v/>
      </c>
    </row>
    <row r="1171">
      <c r="A1171" s="25">
        <f>IF($C1171="","","AUD-2026-"&amp;TEXT(ROW()-1,"000000"))</f>
        <v/>
      </c>
      <c r="B1171" s="26" t="n"/>
      <c r="C1171" s="27" t="n"/>
      <c r="D1171" s="25">
        <f>IF($C1171="","",IFERROR(IF(INDEX(Roster!$A:$A,MATCH($C1171,Roster!$B:$B,0))="","",INDEX(Roster!$A:$A,MATCH($C1171,Roster!$B:$B,0))&amp;""),"—"))</f>
        <v/>
      </c>
      <c r="E1171" s="25">
        <f>IF($C1171="","",IFERROR(IF(INDEX(Roster!$C:$C,MATCH($C1171,Roster!$B:$B,0))="","",INDEX(Roster!$C:$C,MATCH($C1171,Roster!$B:$B,0))&amp;""),"—"))</f>
        <v/>
      </c>
      <c r="F1171" s="25">
        <f>IF($C1171="","",IFERROR(IF(INDEX(Roster!$D:$D,MATCH($C1171,Roster!$B:$B,0))="","",INDEX(Roster!$D:$D,MATCH($C1171,Roster!$B:$B,0))&amp;""),"—"))</f>
        <v/>
      </c>
      <c r="G1171" s="25">
        <f>IF($C1171="","",IFERROR(IF(INDEX(Roster!$E:$E,MATCH($C1171,Roster!$B:$B,0))="","",INDEX(Roster!$E:$E,MATCH($C1171,Roster!$B:$B,0))&amp;""),"—"))</f>
        <v/>
      </c>
      <c r="H1171" s="25">
        <f>IF($C1171="","",IFERROR(IF(INDEX(Roster!$F:$F,MATCH($C1171,Roster!$B:$B,0))="","",INDEX(Roster!$F:$F,MATCH($C1171,Roster!$B:$B,0))&amp;""),"—"))</f>
        <v/>
      </c>
      <c r="I1171" s="25">
        <f>IF($C1171="","",IFERROR(IF(INDEX(Roster!$G:$G,MATCH($C1171,Roster!$B:$B,0))="","",INDEX(Roster!$G:$G,MATCH($C1171,Roster!$B:$B,0))&amp;""),"—"))</f>
        <v/>
      </c>
      <c r="J1171" s="25">
        <f>IF($C1171="","",IFERROR(IF(INDEX(Roster!$I:$I,MATCH($C1171,Roster!$B:$B,0))="","",INDEX(Roster!$I:$I,MATCH($C1171,Roster!$B:$B,0))&amp;""),"—"))</f>
        <v/>
      </c>
      <c r="K1171">
        <f>IF($C1171="","",IFERROR(IF(INDEX(Roster!$J:$J,MATCH($C1171,Roster!$B:$B,0))="","",INDEX(Roster!$J:$J,MATCH($C1171,Roster!$B:$B,0))&amp;""),"—"))</f>
        <v/>
      </c>
      <c r="L1171">
        <f>IF($C1171="","",IFERROR(IF(INDEX(Roster!$K:$K,MATCH($C1171,Roster!$B:$B,0))="","",INDEX(Roster!$K:$K,MATCH($C1171,Roster!$B:$B,0))&amp;""),"—"))</f>
        <v/>
      </c>
      <c r="M1171" s="27" t="n"/>
      <c r="N1171" s="27" t="n"/>
      <c r="O1171" s="25">
        <f>IF($C1171="","",IF($P1171="","—",IF($P1171="Valid (Pass)","Valid","Invalid")))</f>
        <v/>
      </c>
      <c r="P1171" s="27" t="n"/>
      <c r="Q1171" s="27" t="n"/>
      <c r="R1171" s="27" t="n"/>
      <c r="S1171" s="27" t="n"/>
      <c r="T1171" s="25">
        <f>IF($C1171="","",IF(OR(ISNUMBER(SEARCH("quick case",$P1171)),ISNUMBER(SEARCH("quick case",$Q1171))),"Yes","No"))</f>
        <v/>
      </c>
      <c r="U1171" s="25">
        <f>IF($O1171="Invalid",HYPERLINK("mailto:"&amp;$G1171&amp;";"&amp;$I1171&amp;"?cc="&amp;Lists!$E$2&amp;"&amp;subject="&amp;_xlfn.ENCODEURL("[INVALID] Quality audit monitoring completed for "&amp;UPPER($C1171))&amp;"&amp;body="&amp;_xlfn.ENCODEURL("Hi "&amp;$F1171&amp;","&amp;CHAR(10)&amp;"Good day!"&amp;CHAR(10)&amp;CHAR(10)&amp;"A quality monitoring audit has been completed for "&amp;$C1171&amp;"."&amp;CHAR(10)&amp;CHAR(10)&amp;"QUALITY AUDIT DETAILS"&amp;CHAR(10)&amp;"Agent Name: "&amp;$C1171&amp;" (EID "&amp;$D1171&amp;")"&amp;CHAR(10)&amp;"Audit Date: "&amp;TEXT($B1171,"yyyy-mm-dd")&amp;CHAR(10)&amp;"Team Leader: "&amp;$F1171&amp;CHAR(10)&amp;"Case Number: "&amp;$M1171&amp;CHAR(10)&amp;"Transaction ID: "&amp;$N1171&amp;CHAR(10)&amp;"Channel / LOB: "&amp;$K1171&amp;" / "&amp;$L1171&amp;CHAR(10)&amp;"Evaluator: "&amp;$S1171&amp;CHAR(10)&amp;CHAR(10)&amp;"INVALID QUALITY AUDIT DETAILS"&amp;CHAR(10)&amp;"Validation: Invalid"&amp;CHAR(10)&amp;"Invalid Reason: "&amp;$P1171&amp;CHAR(10)&amp;"Expected Resolution Code: "&amp;$Q1171&amp;CHAR(10)&amp;"Remarks: "&amp;LEFT($R1171,600)&amp;CHAR(10)&amp;CHAR(10)&amp;"This is an automated notification from HP Mainstream EQMS."),"✉ Open Email Draft"),"")</f>
        <v/>
      </c>
    </row>
    <row r="1172">
      <c r="A1172" s="25">
        <f>IF($C1172="","","AUD-2026-"&amp;TEXT(ROW()-1,"000000"))</f>
        <v/>
      </c>
      <c r="B1172" s="26" t="n"/>
      <c r="C1172" s="27" t="n"/>
      <c r="D1172" s="25">
        <f>IF($C1172="","",IFERROR(IF(INDEX(Roster!$A:$A,MATCH($C1172,Roster!$B:$B,0))="","",INDEX(Roster!$A:$A,MATCH($C1172,Roster!$B:$B,0))&amp;""),"—"))</f>
        <v/>
      </c>
      <c r="E1172" s="25">
        <f>IF($C1172="","",IFERROR(IF(INDEX(Roster!$C:$C,MATCH($C1172,Roster!$B:$B,0))="","",INDEX(Roster!$C:$C,MATCH($C1172,Roster!$B:$B,0))&amp;""),"—"))</f>
        <v/>
      </c>
      <c r="F1172" s="25">
        <f>IF($C1172="","",IFERROR(IF(INDEX(Roster!$D:$D,MATCH($C1172,Roster!$B:$B,0))="","",INDEX(Roster!$D:$D,MATCH($C1172,Roster!$B:$B,0))&amp;""),"—"))</f>
        <v/>
      </c>
      <c r="G1172" s="25">
        <f>IF($C1172="","",IFERROR(IF(INDEX(Roster!$E:$E,MATCH($C1172,Roster!$B:$B,0))="","",INDEX(Roster!$E:$E,MATCH($C1172,Roster!$B:$B,0))&amp;""),"—"))</f>
        <v/>
      </c>
      <c r="H1172" s="25">
        <f>IF($C1172="","",IFERROR(IF(INDEX(Roster!$F:$F,MATCH($C1172,Roster!$B:$B,0))="","",INDEX(Roster!$F:$F,MATCH($C1172,Roster!$B:$B,0))&amp;""),"—"))</f>
        <v/>
      </c>
      <c r="I1172" s="25">
        <f>IF($C1172="","",IFERROR(IF(INDEX(Roster!$G:$G,MATCH($C1172,Roster!$B:$B,0))="","",INDEX(Roster!$G:$G,MATCH($C1172,Roster!$B:$B,0))&amp;""),"—"))</f>
        <v/>
      </c>
      <c r="J1172" s="25">
        <f>IF($C1172="","",IFERROR(IF(INDEX(Roster!$I:$I,MATCH($C1172,Roster!$B:$B,0))="","",INDEX(Roster!$I:$I,MATCH($C1172,Roster!$B:$B,0))&amp;""),"—"))</f>
        <v/>
      </c>
      <c r="K1172">
        <f>IF($C1172="","",IFERROR(IF(INDEX(Roster!$J:$J,MATCH($C1172,Roster!$B:$B,0))="","",INDEX(Roster!$J:$J,MATCH($C1172,Roster!$B:$B,0))&amp;""),"—"))</f>
        <v/>
      </c>
      <c r="L1172">
        <f>IF($C1172="","",IFERROR(IF(INDEX(Roster!$K:$K,MATCH($C1172,Roster!$B:$B,0))="","",INDEX(Roster!$K:$K,MATCH($C1172,Roster!$B:$B,0))&amp;""),"—"))</f>
        <v/>
      </c>
      <c r="M1172" s="27" t="n"/>
      <c r="N1172" s="27" t="n"/>
      <c r="O1172" s="25">
        <f>IF($C1172="","",IF($P1172="","—",IF($P1172="Valid (Pass)","Valid","Invalid")))</f>
        <v/>
      </c>
      <c r="P1172" s="27" t="n"/>
      <c r="Q1172" s="27" t="n"/>
      <c r="R1172" s="27" t="n"/>
      <c r="S1172" s="27" t="n"/>
      <c r="T1172" s="25">
        <f>IF($C1172="","",IF(OR(ISNUMBER(SEARCH("quick case",$P1172)),ISNUMBER(SEARCH("quick case",$Q1172))),"Yes","No"))</f>
        <v/>
      </c>
      <c r="U1172" s="25">
        <f>IF($O1172="Invalid",HYPERLINK("mailto:"&amp;$G1172&amp;";"&amp;$I1172&amp;"?cc="&amp;Lists!$E$2&amp;"&amp;subject="&amp;_xlfn.ENCODEURL("[INVALID] Quality audit monitoring completed for "&amp;UPPER($C1172))&amp;"&amp;body="&amp;_xlfn.ENCODEURL("Hi "&amp;$F1172&amp;","&amp;CHAR(10)&amp;"Good day!"&amp;CHAR(10)&amp;CHAR(10)&amp;"A quality monitoring audit has been completed for "&amp;$C1172&amp;"."&amp;CHAR(10)&amp;CHAR(10)&amp;"QUALITY AUDIT DETAILS"&amp;CHAR(10)&amp;"Agent Name: "&amp;$C1172&amp;" (EID "&amp;$D1172&amp;")"&amp;CHAR(10)&amp;"Audit Date: "&amp;TEXT($B1172,"yyyy-mm-dd")&amp;CHAR(10)&amp;"Team Leader: "&amp;$F1172&amp;CHAR(10)&amp;"Case Number: "&amp;$M1172&amp;CHAR(10)&amp;"Transaction ID: "&amp;$N1172&amp;CHAR(10)&amp;"Channel / LOB: "&amp;$K1172&amp;" / "&amp;$L1172&amp;CHAR(10)&amp;"Evaluator: "&amp;$S1172&amp;CHAR(10)&amp;CHAR(10)&amp;"INVALID QUALITY AUDIT DETAILS"&amp;CHAR(10)&amp;"Validation: Invalid"&amp;CHAR(10)&amp;"Invalid Reason: "&amp;$P1172&amp;CHAR(10)&amp;"Expected Resolution Code: "&amp;$Q1172&amp;CHAR(10)&amp;"Remarks: "&amp;LEFT($R1172,600)&amp;CHAR(10)&amp;CHAR(10)&amp;"This is an automated notification from HP Mainstream EQMS."),"✉ Open Email Draft"),"")</f>
        <v/>
      </c>
    </row>
    <row r="1173">
      <c r="A1173" s="25">
        <f>IF($C1173="","","AUD-2026-"&amp;TEXT(ROW()-1,"000000"))</f>
        <v/>
      </c>
      <c r="B1173" s="26" t="n"/>
      <c r="C1173" s="27" t="n"/>
      <c r="D1173" s="25">
        <f>IF($C1173="","",IFERROR(IF(INDEX(Roster!$A:$A,MATCH($C1173,Roster!$B:$B,0))="","",INDEX(Roster!$A:$A,MATCH($C1173,Roster!$B:$B,0))&amp;""),"—"))</f>
        <v/>
      </c>
      <c r="E1173" s="25">
        <f>IF($C1173="","",IFERROR(IF(INDEX(Roster!$C:$C,MATCH($C1173,Roster!$B:$B,0))="","",INDEX(Roster!$C:$C,MATCH($C1173,Roster!$B:$B,0))&amp;""),"—"))</f>
        <v/>
      </c>
      <c r="F1173" s="25">
        <f>IF($C1173="","",IFERROR(IF(INDEX(Roster!$D:$D,MATCH($C1173,Roster!$B:$B,0))="","",INDEX(Roster!$D:$D,MATCH($C1173,Roster!$B:$B,0))&amp;""),"—"))</f>
        <v/>
      </c>
      <c r="G1173" s="25">
        <f>IF($C1173="","",IFERROR(IF(INDEX(Roster!$E:$E,MATCH($C1173,Roster!$B:$B,0))="","",INDEX(Roster!$E:$E,MATCH($C1173,Roster!$B:$B,0))&amp;""),"—"))</f>
        <v/>
      </c>
      <c r="H1173" s="25">
        <f>IF($C1173="","",IFERROR(IF(INDEX(Roster!$F:$F,MATCH($C1173,Roster!$B:$B,0))="","",INDEX(Roster!$F:$F,MATCH($C1173,Roster!$B:$B,0))&amp;""),"—"))</f>
        <v/>
      </c>
      <c r="I1173" s="25">
        <f>IF($C1173="","",IFERROR(IF(INDEX(Roster!$G:$G,MATCH($C1173,Roster!$B:$B,0))="","",INDEX(Roster!$G:$G,MATCH($C1173,Roster!$B:$B,0))&amp;""),"—"))</f>
        <v/>
      </c>
      <c r="J1173" s="25">
        <f>IF($C1173="","",IFERROR(IF(INDEX(Roster!$I:$I,MATCH($C1173,Roster!$B:$B,0))="","",INDEX(Roster!$I:$I,MATCH($C1173,Roster!$B:$B,0))&amp;""),"—"))</f>
        <v/>
      </c>
      <c r="K1173">
        <f>IF($C1173="","",IFERROR(IF(INDEX(Roster!$J:$J,MATCH($C1173,Roster!$B:$B,0))="","",INDEX(Roster!$J:$J,MATCH($C1173,Roster!$B:$B,0))&amp;""),"—"))</f>
        <v/>
      </c>
      <c r="L1173">
        <f>IF($C1173="","",IFERROR(IF(INDEX(Roster!$K:$K,MATCH($C1173,Roster!$B:$B,0))="","",INDEX(Roster!$K:$K,MATCH($C1173,Roster!$B:$B,0))&amp;""),"—"))</f>
        <v/>
      </c>
      <c r="M1173" s="27" t="n"/>
      <c r="N1173" s="27" t="n"/>
      <c r="O1173" s="25">
        <f>IF($C1173="","",IF($P1173="","—",IF($P1173="Valid (Pass)","Valid","Invalid")))</f>
        <v/>
      </c>
      <c r="P1173" s="27" t="n"/>
      <c r="Q1173" s="27" t="n"/>
      <c r="R1173" s="27" t="n"/>
      <c r="S1173" s="27" t="n"/>
      <c r="T1173" s="25">
        <f>IF($C1173="","",IF(OR(ISNUMBER(SEARCH("quick case",$P1173)),ISNUMBER(SEARCH("quick case",$Q1173))),"Yes","No"))</f>
        <v/>
      </c>
      <c r="U1173" s="25">
        <f>IF($O1173="Invalid",HYPERLINK("mailto:"&amp;$G1173&amp;";"&amp;$I1173&amp;"?cc="&amp;Lists!$E$2&amp;"&amp;subject="&amp;_xlfn.ENCODEURL("[INVALID] Quality audit monitoring completed for "&amp;UPPER($C1173))&amp;"&amp;body="&amp;_xlfn.ENCODEURL("Hi "&amp;$F1173&amp;","&amp;CHAR(10)&amp;"Good day!"&amp;CHAR(10)&amp;CHAR(10)&amp;"A quality monitoring audit has been completed for "&amp;$C1173&amp;"."&amp;CHAR(10)&amp;CHAR(10)&amp;"QUALITY AUDIT DETAILS"&amp;CHAR(10)&amp;"Agent Name: "&amp;$C1173&amp;" (EID "&amp;$D1173&amp;")"&amp;CHAR(10)&amp;"Audit Date: "&amp;TEXT($B1173,"yyyy-mm-dd")&amp;CHAR(10)&amp;"Team Leader: "&amp;$F1173&amp;CHAR(10)&amp;"Case Number: "&amp;$M1173&amp;CHAR(10)&amp;"Transaction ID: "&amp;$N1173&amp;CHAR(10)&amp;"Channel / LOB: "&amp;$K1173&amp;" / "&amp;$L1173&amp;CHAR(10)&amp;"Evaluator: "&amp;$S1173&amp;CHAR(10)&amp;CHAR(10)&amp;"INVALID QUALITY AUDIT DETAILS"&amp;CHAR(10)&amp;"Validation: Invalid"&amp;CHAR(10)&amp;"Invalid Reason: "&amp;$P1173&amp;CHAR(10)&amp;"Expected Resolution Code: "&amp;$Q1173&amp;CHAR(10)&amp;"Remarks: "&amp;LEFT($R1173,600)&amp;CHAR(10)&amp;CHAR(10)&amp;"This is an automated notification from HP Mainstream EQMS."),"✉ Open Email Draft"),"")</f>
        <v/>
      </c>
    </row>
    <row r="1174">
      <c r="A1174" s="25">
        <f>IF($C1174="","","AUD-2026-"&amp;TEXT(ROW()-1,"000000"))</f>
        <v/>
      </c>
      <c r="B1174" s="26" t="n"/>
      <c r="C1174" s="27" t="n"/>
      <c r="D1174" s="25">
        <f>IF($C1174="","",IFERROR(IF(INDEX(Roster!$A:$A,MATCH($C1174,Roster!$B:$B,0))="","",INDEX(Roster!$A:$A,MATCH($C1174,Roster!$B:$B,0))&amp;""),"—"))</f>
        <v/>
      </c>
      <c r="E1174" s="25">
        <f>IF($C1174="","",IFERROR(IF(INDEX(Roster!$C:$C,MATCH($C1174,Roster!$B:$B,0))="","",INDEX(Roster!$C:$C,MATCH($C1174,Roster!$B:$B,0))&amp;""),"—"))</f>
        <v/>
      </c>
      <c r="F1174" s="25">
        <f>IF($C1174="","",IFERROR(IF(INDEX(Roster!$D:$D,MATCH($C1174,Roster!$B:$B,0))="","",INDEX(Roster!$D:$D,MATCH($C1174,Roster!$B:$B,0))&amp;""),"—"))</f>
        <v/>
      </c>
      <c r="G1174" s="25">
        <f>IF($C1174="","",IFERROR(IF(INDEX(Roster!$E:$E,MATCH($C1174,Roster!$B:$B,0))="","",INDEX(Roster!$E:$E,MATCH($C1174,Roster!$B:$B,0))&amp;""),"—"))</f>
        <v/>
      </c>
      <c r="H1174" s="25">
        <f>IF($C1174="","",IFERROR(IF(INDEX(Roster!$F:$F,MATCH($C1174,Roster!$B:$B,0))="","",INDEX(Roster!$F:$F,MATCH($C1174,Roster!$B:$B,0))&amp;""),"—"))</f>
        <v/>
      </c>
      <c r="I1174" s="25">
        <f>IF($C1174="","",IFERROR(IF(INDEX(Roster!$G:$G,MATCH($C1174,Roster!$B:$B,0))="","",INDEX(Roster!$G:$G,MATCH($C1174,Roster!$B:$B,0))&amp;""),"—"))</f>
        <v/>
      </c>
      <c r="J1174" s="25">
        <f>IF($C1174="","",IFERROR(IF(INDEX(Roster!$I:$I,MATCH($C1174,Roster!$B:$B,0))="","",INDEX(Roster!$I:$I,MATCH($C1174,Roster!$B:$B,0))&amp;""),"—"))</f>
        <v/>
      </c>
      <c r="K1174">
        <f>IF($C1174="","",IFERROR(IF(INDEX(Roster!$J:$J,MATCH($C1174,Roster!$B:$B,0))="","",INDEX(Roster!$J:$J,MATCH($C1174,Roster!$B:$B,0))&amp;""),"—"))</f>
        <v/>
      </c>
      <c r="L1174">
        <f>IF($C1174="","",IFERROR(IF(INDEX(Roster!$K:$K,MATCH($C1174,Roster!$B:$B,0))="","",INDEX(Roster!$K:$K,MATCH($C1174,Roster!$B:$B,0))&amp;""),"—"))</f>
        <v/>
      </c>
      <c r="M1174" s="27" t="n"/>
      <c r="N1174" s="27" t="n"/>
      <c r="O1174" s="25">
        <f>IF($C1174="","",IF($P1174="","—",IF($P1174="Valid (Pass)","Valid","Invalid")))</f>
        <v/>
      </c>
      <c r="P1174" s="27" t="n"/>
      <c r="Q1174" s="27" t="n"/>
      <c r="R1174" s="27" t="n"/>
      <c r="S1174" s="27" t="n"/>
      <c r="T1174" s="25">
        <f>IF($C1174="","",IF(OR(ISNUMBER(SEARCH("quick case",$P1174)),ISNUMBER(SEARCH("quick case",$Q1174))),"Yes","No"))</f>
        <v/>
      </c>
      <c r="U1174" s="25">
        <f>IF($O1174="Invalid",HYPERLINK("mailto:"&amp;$G1174&amp;";"&amp;$I1174&amp;"?cc="&amp;Lists!$E$2&amp;"&amp;subject="&amp;_xlfn.ENCODEURL("[INVALID] Quality audit monitoring completed for "&amp;UPPER($C1174))&amp;"&amp;body="&amp;_xlfn.ENCODEURL("Hi "&amp;$F1174&amp;","&amp;CHAR(10)&amp;"Good day!"&amp;CHAR(10)&amp;CHAR(10)&amp;"A quality monitoring audit has been completed for "&amp;$C1174&amp;"."&amp;CHAR(10)&amp;CHAR(10)&amp;"QUALITY AUDIT DETAILS"&amp;CHAR(10)&amp;"Agent Name: "&amp;$C1174&amp;" (EID "&amp;$D1174&amp;")"&amp;CHAR(10)&amp;"Audit Date: "&amp;TEXT($B1174,"yyyy-mm-dd")&amp;CHAR(10)&amp;"Team Leader: "&amp;$F1174&amp;CHAR(10)&amp;"Case Number: "&amp;$M1174&amp;CHAR(10)&amp;"Transaction ID: "&amp;$N1174&amp;CHAR(10)&amp;"Channel / LOB: "&amp;$K1174&amp;" / "&amp;$L1174&amp;CHAR(10)&amp;"Evaluator: "&amp;$S1174&amp;CHAR(10)&amp;CHAR(10)&amp;"INVALID QUALITY AUDIT DETAILS"&amp;CHAR(10)&amp;"Validation: Invalid"&amp;CHAR(10)&amp;"Invalid Reason: "&amp;$P1174&amp;CHAR(10)&amp;"Expected Resolution Code: "&amp;$Q1174&amp;CHAR(10)&amp;"Remarks: "&amp;LEFT($R1174,600)&amp;CHAR(10)&amp;CHAR(10)&amp;"This is an automated notification from HP Mainstream EQMS."),"✉ Open Email Draft"),"")</f>
        <v/>
      </c>
    </row>
    <row r="1175">
      <c r="A1175" s="25">
        <f>IF($C1175="","","AUD-2026-"&amp;TEXT(ROW()-1,"000000"))</f>
        <v/>
      </c>
      <c r="B1175" s="26" t="n"/>
      <c r="C1175" s="27" t="n"/>
      <c r="D1175" s="25">
        <f>IF($C1175="","",IFERROR(IF(INDEX(Roster!$A:$A,MATCH($C1175,Roster!$B:$B,0))="","",INDEX(Roster!$A:$A,MATCH($C1175,Roster!$B:$B,0))&amp;""),"—"))</f>
        <v/>
      </c>
      <c r="E1175" s="25">
        <f>IF($C1175="","",IFERROR(IF(INDEX(Roster!$C:$C,MATCH($C1175,Roster!$B:$B,0))="","",INDEX(Roster!$C:$C,MATCH($C1175,Roster!$B:$B,0))&amp;""),"—"))</f>
        <v/>
      </c>
      <c r="F1175" s="25">
        <f>IF($C1175="","",IFERROR(IF(INDEX(Roster!$D:$D,MATCH($C1175,Roster!$B:$B,0))="","",INDEX(Roster!$D:$D,MATCH($C1175,Roster!$B:$B,0))&amp;""),"—"))</f>
        <v/>
      </c>
      <c r="G1175" s="25">
        <f>IF($C1175="","",IFERROR(IF(INDEX(Roster!$E:$E,MATCH($C1175,Roster!$B:$B,0))="","",INDEX(Roster!$E:$E,MATCH($C1175,Roster!$B:$B,0))&amp;""),"—"))</f>
        <v/>
      </c>
      <c r="H1175" s="25">
        <f>IF($C1175="","",IFERROR(IF(INDEX(Roster!$F:$F,MATCH($C1175,Roster!$B:$B,0))="","",INDEX(Roster!$F:$F,MATCH($C1175,Roster!$B:$B,0))&amp;""),"—"))</f>
        <v/>
      </c>
      <c r="I1175" s="25">
        <f>IF($C1175="","",IFERROR(IF(INDEX(Roster!$G:$G,MATCH($C1175,Roster!$B:$B,0))="","",INDEX(Roster!$G:$G,MATCH($C1175,Roster!$B:$B,0))&amp;""),"—"))</f>
        <v/>
      </c>
      <c r="J1175" s="25">
        <f>IF($C1175="","",IFERROR(IF(INDEX(Roster!$I:$I,MATCH($C1175,Roster!$B:$B,0))="","",INDEX(Roster!$I:$I,MATCH($C1175,Roster!$B:$B,0))&amp;""),"—"))</f>
        <v/>
      </c>
      <c r="K1175">
        <f>IF($C1175="","",IFERROR(IF(INDEX(Roster!$J:$J,MATCH($C1175,Roster!$B:$B,0))="","",INDEX(Roster!$J:$J,MATCH($C1175,Roster!$B:$B,0))&amp;""),"—"))</f>
        <v/>
      </c>
      <c r="L1175">
        <f>IF($C1175="","",IFERROR(IF(INDEX(Roster!$K:$K,MATCH($C1175,Roster!$B:$B,0))="","",INDEX(Roster!$K:$K,MATCH($C1175,Roster!$B:$B,0))&amp;""),"—"))</f>
        <v/>
      </c>
      <c r="M1175" s="27" t="n"/>
      <c r="N1175" s="27" t="n"/>
      <c r="O1175" s="25">
        <f>IF($C1175="","",IF($P1175="","—",IF($P1175="Valid (Pass)","Valid","Invalid")))</f>
        <v/>
      </c>
      <c r="P1175" s="27" t="n"/>
      <c r="Q1175" s="27" t="n"/>
      <c r="R1175" s="27" t="n"/>
      <c r="S1175" s="27" t="n"/>
      <c r="T1175" s="25">
        <f>IF($C1175="","",IF(OR(ISNUMBER(SEARCH("quick case",$P1175)),ISNUMBER(SEARCH("quick case",$Q1175))),"Yes","No"))</f>
        <v/>
      </c>
      <c r="U1175" s="25">
        <f>IF($O1175="Invalid",HYPERLINK("mailto:"&amp;$G1175&amp;";"&amp;$I1175&amp;"?cc="&amp;Lists!$E$2&amp;"&amp;subject="&amp;_xlfn.ENCODEURL("[INVALID] Quality audit monitoring completed for "&amp;UPPER($C1175))&amp;"&amp;body="&amp;_xlfn.ENCODEURL("Hi "&amp;$F1175&amp;","&amp;CHAR(10)&amp;"Good day!"&amp;CHAR(10)&amp;CHAR(10)&amp;"A quality monitoring audit has been completed for "&amp;$C1175&amp;"."&amp;CHAR(10)&amp;CHAR(10)&amp;"QUALITY AUDIT DETAILS"&amp;CHAR(10)&amp;"Agent Name: "&amp;$C1175&amp;" (EID "&amp;$D1175&amp;")"&amp;CHAR(10)&amp;"Audit Date: "&amp;TEXT($B1175,"yyyy-mm-dd")&amp;CHAR(10)&amp;"Team Leader: "&amp;$F1175&amp;CHAR(10)&amp;"Case Number: "&amp;$M1175&amp;CHAR(10)&amp;"Transaction ID: "&amp;$N1175&amp;CHAR(10)&amp;"Channel / LOB: "&amp;$K1175&amp;" / "&amp;$L1175&amp;CHAR(10)&amp;"Evaluator: "&amp;$S1175&amp;CHAR(10)&amp;CHAR(10)&amp;"INVALID QUALITY AUDIT DETAILS"&amp;CHAR(10)&amp;"Validation: Invalid"&amp;CHAR(10)&amp;"Invalid Reason: "&amp;$P1175&amp;CHAR(10)&amp;"Expected Resolution Code: "&amp;$Q1175&amp;CHAR(10)&amp;"Remarks: "&amp;LEFT($R1175,600)&amp;CHAR(10)&amp;CHAR(10)&amp;"This is an automated notification from HP Mainstream EQMS."),"✉ Open Email Draft"),"")</f>
        <v/>
      </c>
    </row>
    <row r="1176">
      <c r="A1176" s="25">
        <f>IF($C1176="","","AUD-2026-"&amp;TEXT(ROW()-1,"000000"))</f>
        <v/>
      </c>
      <c r="B1176" s="26" t="n"/>
      <c r="C1176" s="27" t="n"/>
      <c r="D1176" s="25">
        <f>IF($C1176="","",IFERROR(IF(INDEX(Roster!$A:$A,MATCH($C1176,Roster!$B:$B,0))="","",INDEX(Roster!$A:$A,MATCH($C1176,Roster!$B:$B,0))&amp;""),"—"))</f>
        <v/>
      </c>
      <c r="E1176" s="25">
        <f>IF($C1176="","",IFERROR(IF(INDEX(Roster!$C:$C,MATCH($C1176,Roster!$B:$B,0))="","",INDEX(Roster!$C:$C,MATCH($C1176,Roster!$B:$B,0))&amp;""),"—"))</f>
        <v/>
      </c>
      <c r="F1176" s="25">
        <f>IF($C1176="","",IFERROR(IF(INDEX(Roster!$D:$D,MATCH($C1176,Roster!$B:$B,0))="","",INDEX(Roster!$D:$D,MATCH($C1176,Roster!$B:$B,0))&amp;""),"—"))</f>
        <v/>
      </c>
      <c r="G1176" s="25">
        <f>IF($C1176="","",IFERROR(IF(INDEX(Roster!$E:$E,MATCH($C1176,Roster!$B:$B,0))="","",INDEX(Roster!$E:$E,MATCH($C1176,Roster!$B:$B,0))&amp;""),"—"))</f>
        <v/>
      </c>
      <c r="H1176" s="25">
        <f>IF($C1176="","",IFERROR(IF(INDEX(Roster!$F:$F,MATCH($C1176,Roster!$B:$B,0))="","",INDEX(Roster!$F:$F,MATCH($C1176,Roster!$B:$B,0))&amp;""),"—"))</f>
        <v/>
      </c>
      <c r="I1176" s="25">
        <f>IF($C1176="","",IFERROR(IF(INDEX(Roster!$G:$G,MATCH($C1176,Roster!$B:$B,0))="","",INDEX(Roster!$G:$G,MATCH($C1176,Roster!$B:$B,0))&amp;""),"—"))</f>
        <v/>
      </c>
      <c r="J1176" s="25">
        <f>IF($C1176="","",IFERROR(IF(INDEX(Roster!$I:$I,MATCH($C1176,Roster!$B:$B,0))="","",INDEX(Roster!$I:$I,MATCH($C1176,Roster!$B:$B,0))&amp;""),"—"))</f>
        <v/>
      </c>
      <c r="K1176">
        <f>IF($C1176="","",IFERROR(IF(INDEX(Roster!$J:$J,MATCH($C1176,Roster!$B:$B,0))="","",INDEX(Roster!$J:$J,MATCH($C1176,Roster!$B:$B,0))&amp;""),"—"))</f>
        <v/>
      </c>
      <c r="L1176">
        <f>IF($C1176="","",IFERROR(IF(INDEX(Roster!$K:$K,MATCH($C1176,Roster!$B:$B,0))="","",INDEX(Roster!$K:$K,MATCH($C1176,Roster!$B:$B,0))&amp;""),"—"))</f>
        <v/>
      </c>
      <c r="M1176" s="27" t="n"/>
      <c r="N1176" s="27" t="n"/>
      <c r="O1176" s="25">
        <f>IF($C1176="","",IF($P1176="","—",IF($P1176="Valid (Pass)","Valid","Invalid")))</f>
        <v/>
      </c>
      <c r="P1176" s="27" t="n"/>
      <c r="Q1176" s="27" t="n"/>
      <c r="R1176" s="27" t="n"/>
      <c r="S1176" s="27" t="n"/>
      <c r="T1176" s="25">
        <f>IF($C1176="","",IF(OR(ISNUMBER(SEARCH("quick case",$P1176)),ISNUMBER(SEARCH("quick case",$Q1176))),"Yes","No"))</f>
        <v/>
      </c>
      <c r="U1176" s="25">
        <f>IF($O1176="Invalid",HYPERLINK("mailto:"&amp;$G1176&amp;";"&amp;$I1176&amp;"?cc="&amp;Lists!$E$2&amp;"&amp;subject="&amp;_xlfn.ENCODEURL("[INVALID] Quality audit monitoring completed for "&amp;UPPER($C1176))&amp;"&amp;body="&amp;_xlfn.ENCODEURL("Hi "&amp;$F1176&amp;","&amp;CHAR(10)&amp;"Good day!"&amp;CHAR(10)&amp;CHAR(10)&amp;"A quality monitoring audit has been completed for "&amp;$C1176&amp;"."&amp;CHAR(10)&amp;CHAR(10)&amp;"QUALITY AUDIT DETAILS"&amp;CHAR(10)&amp;"Agent Name: "&amp;$C1176&amp;" (EID "&amp;$D1176&amp;")"&amp;CHAR(10)&amp;"Audit Date: "&amp;TEXT($B1176,"yyyy-mm-dd")&amp;CHAR(10)&amp;"Team Leader: "&amp;$F1176&amp;CHAR(10)&amp;"Case Number: "&amp;$M1176&amp;CHAR(10)&amp;"Transaction ID: "&amp;$N1176&amp;CHAR(10)&amp;"Channel / LOB: "&amp;$K1176&amp;" / "&amp;$L1176&amp;CHAR(10)&amp;"Evaluator: "&amp;$S1176&amp;CHAR(10)&amp;CHAR(10)&amp;"INVALID QUALITY AUDIT DETAILS"&amp;CHAR(10)&amp;"Validation: Invalid"&amp;CHAR(10)&amp;"Invalid Reason: "&amp;$P1176&amp;CHAR(10)&amp;"Expected Resolution Code: "&amp;$Q1176&amp;CHAR(10)&amp;"Remarks: "&amp;LEFT($R1176,600)&amp;CHAR(10)&amp;CHAR(10)&amp;"This is an automated notification from HP Mainstream EQMS."),"✉ Open Email Draft"),"")</f>
        <v/>
      </c>
    </row>
    <row r="1177">
      <c r="A1177" s="25">
        <f>IF($C1177="","","AUD-2026-"&amp;TEXT(ROW()-1,"000000"))</f>
        <v/>
      </c>
      <c r="B1177" s="26" t="n"/>
      <c r="C1177" s="27" t="n"/>
      <c r="D1177" s="25">
        <f>IF($C1177="","",IFERROR(IF(INDEX(Roster!$A:$A,MATCH($C1177,Roster!$B:$B,0))="","",INDEX(Roster!$A:$A,MATCH($C1177,Roster!$B:$B,0))&amp;""),"—"))</f>
        <v/>
      </c>
      <c r="E1177" s="25">
        <f>IF($C1177="","",IFERROR(IF(INDEX(Roster!$C:$C,MATCH($C1177,Roster!$B:$B,0))="","",INDEX(Roster!$C:$C,MATCH($C1177,Roster!$B:$B,0))&amp;""),"—"))</f>
        <v/>
      </c>
      <c r="F1177" s="25">
        <f>IF($C1177="","",IFERROR(IF(INDEX(Roster!$D:$D,MATCH($C1177,Roster!$B:$B,0))="","",INDEX(Roster!$D:$D,MATCH($C1177,Roster!$B:$B,0))&amp;""),"—"))</f>
        <v/>
      </c>
      <c r="G1177" s="25">
        <f>IF($C1177="","",IFERROR(IF(INDEX(Roster!$E:$E,MATCH($C1177,Roster!$B:$B,0))="","",INDEX(Roster!$E:$E,MATCH($C1177,Roster!$B:$B,0))&amp;""),"—"))</f>
        <v/>
      </c>
      <c r="H1177" s="25">
        <f>IF($C1177="","",IFERROR(IF(INDEX(Roster!$F:$F,MATCH($C1177,Roster!$B:$B,0))="","",INDEX(Roster!$F:$F,MATCH($C1177,Roster!$B:$B,0))&amp;""),"—"))</f>
        <v/>
      </c>
      <c r="I1177" s="25">
        <f>IF($C1177="","",IFERROR(IF(INDEX(Roster!$G:$G,MATCH($C1177,Roster!$B:$B,0))="","",INDEX(Roster!$G:$G,MATCH($C1177,Roster!$B:$B,0))&amp;""),"—"))</f>
        <v/>
      </c>
      <c r="J1177" s="25">
        <f>IF($C1177="","",IFERROR(IF(INDEX(Roster!$I:$I,MATCH($C1177,Roster!$B:$B,0))="","",INDEX(Roster!$I:$I,MATCH($C1177,Roster!$B:$B,0))&amp;""),"—"))</f>
        <v/>
      </c>
      <c r="K1177">
        <f>IF($C1177="","",IFERROR(IF(INDEX(Roster!$J:$J,MATCH($C1177,Roster!$B:$B,0))="","",INDEX(Roster!$J:$J,MATCH($C1177,Roster!$B:$B,0))&amp;""),"—"))</f>
        <v/>
      </c>
      <c r="L1177">
        <f>IF($C1177="","",IFERROR(IF(INDEX(Roster!$K:$K,MATCH($C1177,Roster!$B:$B,0))="","",INDEX(Roster!$K:$K,MATCH($C1177,Roster!$B:$B,0))&amp;""),"—"))</f>
        <v/>
      </c>
      <c r="M1177" s="27" t="n"/>
      <c r="N1177" s="27" t="n"/>
      <c r="O1177" s="25">
        <f>IF($C1177="","",IF($P1177="","—",IF($P1177="Valid (Pass)","Valid","Invalid")))</f>
        <v/>
      </c>
      <c r="P1177" s="27" t="n"/>
      <c r="Q1177" s="27" t="n"/>
      <c r="R1177" s="27" t="n"/>
      <c r="S1177" s="27" t="n"/>
      <c r="T1177" s="25">
        <f>IF($C1177="","",IF(OR(ISNUMBER(SEARCH("quick case",$P1177)),ISNUMBER(SEARCH("quick case",$Q1177))),"Yes","No"))</f>
        <v/>
      </c>
      <c r="U1177" s="25">
        <f>IF($O1177="Invalid",HYPERLINK("mailto:"&amp;$G1177&amp;";"&amp;$I1177&amp;"?cc="&amp;Lists!$E$2&amp;"&amp;subject="&amp;_xlfn.ENCODEURL("[INVALID] Quality audit monitoring completed for "&amp;UPPER($C1177))&amp;"&amp;body="&amp;_xlfn.ENCODEURL("Hi "&amp;$F1177&amp;","&amp;CHAR(10)&amp;"Good day!"&amp;CHAR(10)&amp;CHAR(10)&amp;"A quality monitoring audit has been completed for "&amp;$C1177&amp;"."&amp;CHAR(10)&amp;CHAR(10)&amp;"QUALITY AUDIT DETAILS"&amp;CHAR(10)&amp;"Agent Name: "&amp;$C1177&amp;" (EID "&amp;$D1177&amp;")"&amp;CHAR(10)&amp;"Audit Date: "&amp;TEXT($B1177,"yyyy-mm-dd")&amp;CHAR(10)&amp;"Team Leader: "&amp;$F1177&amp;CHAR(10)&amp;"Case Number: "&amp;$M1177&amp;CHAR(10)&amp;"Transaction ID: "&amp;$N1177&amp;CHAR(10)&amp;"Channel / LOB: "&amp;$K1177&amp;" / "&amp;$L1177&amp;CHAR(10)&amp;"Evaluator: "&amp;$S1177&amp;CHAR(10)&amp;CHAR(10)&amp;"INVALID QUALITY AUDIT DETAILS"&amp;CHAR(10)&amp;"Validation: Invalid"&amp;CHAR(10)&amp;"Invalid Reason: "&amp;$P1177&amp;CHAR(10)&amp;"Expected Resolution Code: "&amp;$Q1177&amp;CHAR(10)&amp;"Remarks: "&amp;LEFT($R1177,600)&amp;CHAR(10)&amp;CHAR(10)&amp;"This is an automated notification from HP Mainstream EQMS."),"✉ Open Email Draft"),"")</f>
        <v/>
      </c>
    </row>
    <row r="1178">
      <c r="A1178" s="25">
        <f>IF($C1178="","","AUD-2026-"&amp;TEXT(ROW()-1,"000000"))</f>
        <v/>
      </c>
      <c r="B1178" s="26" t="n"/>
      <c r="C1178" s="27" t="n"/>
      <c r="D1178" s="25">
        <f>IF($C1178="","",IFERROR(IF(INDEX(Roster!$A:$A,MATCH($C1178,Roster!$B:$B,0))="","",INDEX(Roster!$A:$A,MATCH($C1178,Roster!$B:$B,0))&amp;""),"—"))</f>
        <v/>
      </c>
      <c r="E1178" s="25">
        <f>IF($C1178="","",IFERROR(IF(INDEX(Roster!$C:$C,MATCH($C1178,Roster!$B:$B,0))="","",INDEX(Roster!$C:$C,MATCH($C1178,Roster!$B:$B,0))&amp;""),"—"))</f>
        <v/>
      </c>
      <c r="F1178" s="25">
        <f>IF($C1178="","",IFERROR(IF(INDEX(Roster!$D:$D,MATCH($C1178,Roster!$B:$B,0))="","",INDEX(Roster!$D:$D,MATCH($C1178,Roster!$B:$B,0))&amp;""),"—"))</f>
        <v/>
      </c>
      <c r="G1178" s="25">
        <f>IF($C1178="","",IFERROR(IF(INDEX(Roster!$E:$E,MATCH($C1178,Roster!$B:$B,0))="","",INDEX(Roster!$E:$E,MATCH($C1178,Roster!$B:$B,0))&amp;""),"—"))</f>
        <v/>
      </c>
      <c r="H1178" s="25">
        <f>IF($C1178="","",IFERROR(IF(INDEX(Roster!$F:$F,MATCH($C1178,Roster!$B:$B,0))="","",INDEX(Roster!$F:$F,MATCH($C1178,Roster!$B:$B,0))&amp;""),"—"))</f>
        <v/>
      </c>
      <c r="I1178" s="25">
        <f>IF($C1178="","",IFERROR(IF(INDEX(Roster!$G:$G,MATCH($C1178,Roster!$B:$B,0))="","",INDEX(Roster!$G:$G,MATCH($C1178,Roster!$B:$B,0))&amp;""),"—"))</f>
        <v/>
      </c>
      <c r="J1178" s="25">
        <f>IF($C1178="","",IFERROR(IF(INDEX(Roster!$I:$I,MATCH($C1178,Roster!$B:$B,0))="","",INDEX(Roster!$I:$I,MATCH($C1178,Roster!$B:$B,0))&amp;""),"—"))</f>
        <v/>
      </c>
      <c r="K1178">
        <f>IF($C1178="","",IFERROR(IF(INDEX(Roster!$J:$J,MATCH($C1178,Roster!$B:$B,0))="","",INDEX(Roster!$J:$J,MATCH($C1178,Roster!$B:$B,0))&amp;""),"—"))</f>
        <v/>
      </c>
      <c r="L1178">
        <f>IF($C1178="","",IFERROR(IF(INDEX(Roster!$K:$K,MATCH($C1178,Roster!$B:$B,0))="","",INDEX(Roster!$K:$K,MATCH($C1178,Roster!$B:$B,0))&amp;""),"—"))</f>
        <v/>
      </c>
      <c r="M1178" s="27" t="n"/>
      <c r="N1178" s="27" t="n"/>
      <c r="O1178" s="25">
        <f>IF($C1178="","",IF($P1178="","—",IF($P1178="Valid (Pass)","Valid","Invalid")))</f>
        <v/>
      </c>
      <c r="P1178" s="27" t="n"/>
      <c r="Q1178" s="27" t="n"/>
      <c r="R1178" s="27" t="n"/>
      <c r="S1178" s="27" t="n"/>
      <c r="T1178" s="25">
        <f>IF($C1178="","",IF(OR(ISNUMBER(SEARCH("quick case",$P1178)),ISNUMBER(SEARCH("quick case",$Q1178))),"Yes","No"))</f>
        <v/>
      </c>
      <c r="U1178" s="25">
        <f>IF($O1178="Invalid",HYPERLINK("mailto:"&amp;$G1178&amp;";"&amp;$I1178&amp;"?cc="&amp;Lists!$E$2&amp;"&amp;subject="&amp;_xlfn.ENCODEURL("[INVALID] Quality audit monitoring completed for "&amp;UPPER($C1178))&amp;"&amp;body="&amp;_xlfn.ENCODEURL("Hi "&amp;$F1178&amp;","&amp;CHAR(10)&amp;"Good day!"&amp;CHAR(10)&amp;CHAR(10)&amp;"A quality monitoring audit has been completed for "&amp;$C1178&amp;"."&amp;CHAR(10)&amp;CHAR(10)&amp;"QUALITY AUDIT DETAILS"&amp;CHAR(10)&amp;"Agent Name: "&amp;$C1178&amp;" (EID "&amp;$D1178&amp;")"&amp;CHAR(10)&amp;"Audit Date: "&amp;TEXT($B1178,"yyyy-mm-dd")&amp;CHAR(10)&amp;"Team Leader: "&amp;$F1178&amp;CHAR(10)&amp;"Case Number: "&amp;$M1178&amp;CHAR(10)&amp;"Transaction ID: "&amp;$N1178&amp;CHAR(10)&amp;"Channel / LOB: "&amp;$K1178&amp;" / "&amp;$L1178&amp;CHAR(10)&amp;"Evaluator: "&amp;$S1178&amp;CHAR(10)&amp;CHAR(10)&amp;"INVALID QUALITY AUDIT DETAILS"&amp;CHAR(10)&amp;"Validation: Invalid"&amp;CHAR(10)&amp;"Invalid Reason: "&amp;$P1178&amp;CHAR(10)&amp;"Expected Resolution Code: "&amp;$Q1178&amp;CHAR(10)&amp;"Remarks: "&amp;LEFT($R1178,600)&amp;CHAR(10)&amp;CHAR(10)&amp;"This is an automated notification from HP Mainstream EQMS."),"✉ Open Email Draft"),"")</f>
        <v/>
      </c>
    </row>
    <row r="1179">
      <c r="A1179" s="25">
        <f>IF($C1179="","","AUD-2026-"&amp;TEXT(ROW()-1,"000000"))</f>
        <v/>
      </c>
      <c r="B1179" s="26" t="n"/>
      <c r="C1179" s="27" t="n"/>
      <c r="D1179" s="25">
        <f>IF($C1179="","",IFERROR(IF(INDEX(Roster!$A:$A,MATCH($C1179,Roster!$B:$B,0))="","",INDEX(Roster!$A:$A,MATCH($C1179,Roster!$B:$B,0))&amp;""),"—"))</f>
        <v/>
      </c>
      <c r="E1179" s="25">
        <f>IF($C1179="","",IFERROR(IF(INDEX(Roster!$C:$C,MATCH($C1179,Roster!$B:$B,0))="","",INDEX(Roster!$C:$C,MATCH($C1179,Roster!$B:$B,0))&amp;""),"—"))</f>
        <v/>
      </c>
      <c r="F1179" s="25">
        <f>IF($C1179="","",IFERROR(IF(INDEX(Roster!$D:$D,MATCH($C1179,Roster!$B:$B,0))="","",INDEX(Roster!$D:$D,MATCH($C1179,Roster!$B:$B,0))&amp;""),"—"))</f>
        <v/>
      </c>
      <c r="G1179" s="25">
        <f>IF($C1179="","",IFERROR(IF(INDEX(Roster!$E:$E,MATCH($C1179,Roster!$B:$B,0))="","",INDEX(Roster!$E:$E,MATCH($C1179,Roster!$B:$B,0))&amp;""),"—"))</f>
        <v/>
      </c>
      <c r="H1179" s="25">
        <f>IF($C1179="","",IFERROR(IF(INDEX(Roster!$F:$F,MATCH($C1179,Roster!$B:$B,0))="","",INDEX(Roster!$F:$F,MATCH($C1179,Roster!$B:$B,0))&amp;""),"—"))</f>
        <v/>
      </c>
      <c r="I1179" s="25">
        <f>IF($C1179="","",IFERROR(IF(INDEX(Roster!$G:$G,MATCH($C1179,Roster!$B:$B,0))="","",INDEX(Roster!$G:$G,MATCH($C1179,Roster!$B:$B,0))&amp;""),"—"))</f>
        <v/>
      </c>
      <c r="J1179" s="25">
        <f>IF($C1179="","",IFERROR(IF(INDEX(Roster!$I:$I,MATCH($C1179,Roster!$B:$B,0))="","",INDEX(Roster!$I:$I,MATCH($C1179,Roster!$B:$B,0))&amp;""),"—"))</f>
        <v/>
      </c>
      <c r="K1179">
        <f>IF($C1179="","",IFERROR(IF(INDEX(Roster!$J:$J,MATCH($C1179,Roster!$B:$B,0))="","",INDEX(Roster!$J:$J,MATCH($C1179,Roster!$B:$B,0))&amp;""),"—"))</f>
        <v/>
      </c>
      <c r="L1179">
        <f>IF($C1179="","",IFERROR(IF(INDEX(Roster!$K:$K,MATCH($C1179,Roster!$B:$B,0))="","",INDEX(Roster!$K:$K,MATCH($C1179,Roster!$B:$B,0))&amp;""),"—"))</f>
        <v/>
      </c>
      <c r="M1179" s="27" t="n"/>
      <c r="N1179" s="27" t="n"/>
      <c r="O1179" s="25">
        <f>IF($C1179="","",IF($P1179="","—",IF($P1179="Valid (Pass)","Valid","Invalid")))</f>
        <v/>
      </c>
      <c r="P1179" s="27" t="n"/>
      <c r="Q1179" s="27" t="n"/>
      <c r="R1179" s="27" t="n"/>
      <c r="S1179" s="27" t="n"/>
      <c r="T1179" s="25">
        <f>IF($C1179="","",IF(OR(ISNUMBER(SEARCH("quick case",$P1179)),ISNUMBER(SEARCH("quick case",$Q1179))),"Yes","No"))</f>
        <v/>
      </c>
      <c r="U1179" s="25">
        <f>IF($O1179="Invalid",HYPERLINK("mailto:"&amp;$G1179&amp;";"&amp;$I1179&amp;"?cc="&amp;Lists!$E$2&amp;"&amp;subject="&amp;_xlfn.ENCODEURL("[INVALID] Quality audit monitoring completed for "&amp;UPPER($C1179))&amp;"&amp;body="&amp;_xlfn.ENCODEURL("Hi "&amp;$F1179&amp;","&amp;CHAR(10)&amp;"Good day!"&amp;CHAR(10)&amp;CHAR(10)&amp;"A quality monitoring audit has been completed for "&amp;$C1179&amp;"."&amp;CHAR(10)&amp;CHAR(10)&amp;"QUALITY AUDIT DETAILS"&amp;CHAR(10)&amp;"Agent Name: "&amp;$C1179&amp;" (EID "&amp;$D1179&amp;")"&amp;CHAR(10)&amp;"Audit Date: "&amp;TEXT($B1179,"yyyy-mm-dd")&amp;CHAR(10)&amp;"Team Leader: "&amp;$F1179&amp;CHAR(10)&amp;"Case Number: "&amp;$M1179&amp;CHAR(10)&amp;"Transaction ID: "&amp;$N1179&amp;CHAR(10)&amp;"Channel / LOB: "&amp;$K1179&amp;" / "&amp;$L1179&amp;CHAR(10)&amp;"Evaluator: "&amp;$S1179&amp;CHAR(10)&amp;CHAR(10)&amp;"INVALID QUALITY AUDIT DETAILS"&amp;CHAR(10)&amp;"Validation: Invalid"&amp;CHAR(10)&amp;"Invalid Reason: "&amp;$P1179&amp;CHAR(10)&amp;"Expected Resolution Code: "&amp;$Q1179&amp;CHAR(10)&amp;"Remarks: "&amp;LEFT($R1179,600)&amp;CHAR(10)&amp;CHAR(10)&amp;"This is an automated notification from HP Mainstream EQMS."),"✉ Open Email Draft"),"")</f>
        <v/>
      </c>
    </row>
    <row r="1180">
      <c r="A1180" s="25">
        <f>IF($C1180="","","AUD-2026-"&amp;TEXT(ROW()-1,"000000"))</f>
        <v/>
      </c>
      <c r="B1180" s="26" t="n"/>
      <c r="C1180" s="27" t="n"/>
      <c r="D1180" s="25">
        <f>IF($C1180="","",IFERROR(IF(INDEX(Roster!$A:$A,MATCH($C1180,Roster!$B:$B,0))="","",INDEX(Roster!$A:$A,MATCH($C1180,Roster!$B:$B,0))&amp;""),"—"))</f>
        <v/>
      </c>
      <c r="E1180" s="25">
        <f>IF($C1180="","",IFERROR(IF(INDEX(Roster!$C:$C,MATCH($C1180,Roster!$B:$B,0))="","",INDEX(Roster!$C:$C,MATCH($C1180,Roster!$B:$B,0))&amp;""),"—"))</f>
        <v/>
      </c>
      <c r="F1180" s="25">
        <f>IF($C1180="","",IFERROR(IF(INDEX(Roster!$D:$D,MATCH($C1180,Roster!$B:$B,0))="","",INDEX(Roster!$D:$D,MATCH($C1180,Roster!$B:$B,0))&amp;""),"—"))</f>
        <v/>
      </c>
      <c r="G1180" s="25">
        <f>IF($C1180="","",IFERROR(IF(INDEX(Roster!$E:$E,MATCH($C1180,Roster!$B:$B,0))="","",INDEX(Roster!$E:$E,MATCH($C1180,Roster!$B:$B,0))&amp;""),"—"))</f>
        <v/>
      </c>
      <c r="H1180" s="25">
        <f>IF($C1180="","",IFERROR(IF(INDEX(Roster!$F:$F,MATCH($C1180,Roster!$B:$B,0))="","",INDEX(Roster!$F:$F,MATCH($C1180,Roster!$B:$B,0))&amp;""),"—"))</f>
        <v/>
      </c>
      <c r="I1180" s="25">
        <f>IF($C1180="","",IFERROR(IF(INDEX(Roster!$G:$G,MATCH($C1180,Roster!$B:$B,0))="","",INDEX(Roster!$G:$G,MATCH($C1180,Roster!$B:$B,0))&amp;""),"—"))</f>
        <v/>
      </c>
      <c r="J1180" s="25">
        <f>IF($C1180="","",IFERROR(IF(INDEX(Roster!$I:$I,MATCH($C1180,Roster!$B:$B,0))="","",INDEX(Roster!$I:$I,MATCH($C1180,Roster!$B:$B,0))&amp;""),"—"))</f>
        <v/>
      </c>
      <c r="K1180">
        <f>IF($C1180="","",IFERROR(IF(INDEX(Roster!$J:$J,MATCH($C1180,Roster!$B:$B,0))="","",INDEX(Roster!$J:$J,MATCH($C1180,Roster!$B:$B,0))&amp;""),"—"))</f>
        <v/>
      </c>
      <c r="L1180">
        <f>IF($C1180="","",IFERROR(IF(INDEX(Roster!$K:$K,MATCH($C1180,Roster!$B:$B,0))="","",INDEX(Roster!$K:$K,MATCH($C1180,Roster!$B:$B,0))&amp;""),"—"))</f>
        <v/>
      </c>
      <c r="M1180" s="27" t="n"/>
      <c r="N1180" s="27" t="n"/>
      <c r="O1180" s="25">
        <f>IF($C1180="","",IF($P1180="","—",IF($P1180="Valid (Pass)","Valid","Invalid")))</f>
        <v/>
      </c>
      <c r="P1180" s="27" t="n"/>
      <c r="Q1180" s="27" t="n"/>
      <c r="R1180" s="27" t="n"/>
      <c r="S1180" s="27" t="n"/>
      <c r="T1180" s="25">
        <f>IF($C1180="","",IF(OR(ISNUMBER(SEARCH("quick case",$P1180)),ISNUMBER(SEARCH("quick case",$Q1180))),"Yes","No"))</f>
        <v/>
      </c>
      <c r="U1180" s="25">
        <f>IF($O1180="Invalid",HYPERLINK("mailto:"&amp;$G1180&amp;";"&amp;$I1180&amp;"?cc="&amp;Lists!$E$2&amp;"&amp;subject="&amp;_xlfn.ENCODEURL("[INVALID] Quality audit monitoring completed for "&amp;UPPER($C1180))&amp;"&amp;body="&amp;_xlfn.ENCODEURL("Hi "&amp;$F1180&amp;","&amp;CHAR(10)&amp;"Good day!"&amp;CHAR(10)&amp;CHAR(10)&amp;"A quality monitoring audit has been completed for "&amp;$C1180&amp;"."&amp;CHAR(10)&amp;CHAR(10)&amp;"QUALITY AUDIT DETAILS"&amp;CHAR(10)&amp;"Agent Name: "&amp;$C1180&amp;" (EID "&amp;$D1180&amp;")"&amp;CHAR(10)&amp;"Audit Date: "&amp;TEXT($B1180,"yyyy-mm-dd")&amp;CHAR(10)&amp;"Team Leader: "&amp;$F1180&amp;CHAR(10)&amp;"Case Number: "&amp;$M1180&amp;CHAR(10)&amp;"Transaction ID: "&amp;$N1180&amp;CHAR(10)&amp;"Channel / LOB: "&amp;$K1180&amp;" / "&amp;$L1180&amp;CHAR(10)&amp;"Evaluator: "&amp;$S1180&amp;CHAR(10)&amp;CHAR(10)&amp;"INVALID QUALITY AUDIT DETAILS"&amp;CHAR(10)&amp;"Validation: Invalid"&amp;CHAR(10)&amp;"Invalid Reason: "&amp;$P1180&amp;CHAR(10)&amp;"Expected Resolution Code: "&amp;$Q1180&amp;CHAR(10)&amp;"Remarks: "&amp;LEFT($R1180,600)&amp;CHAR(10)&amp;CHAR(10)&amp;"This is an automated notification from HP Mainstream EQMS."),"✉ Open Email Draft"),"")</f>
        <v/>
      </c>
    </row>
    <row r="1181">
      <c r="A1181" s="25">
        <f>IF($C1181="","","AUD-2026-"&amp;TEXT(ROW()-1,"000000"))</f>
        <v/>
      </c>
      <c r="B1181" s="26" t="n"/>
      <c r="C1181" s="27" t="n"/>
      <c r="D1181" s="25">
        <f>IF($C1181="","",IFERROR(IF(INDEX(Roster!$A:$A,MATCH($C1181,Roster!$B:$B,0))="","",INDEX(Roster!$A:$A,MATCH($C1181,Roster!$B:$B,0))&amp;""),"—"))</f>
        <v/>
      </c>
      <c r="E1181" s="25">
        <f>IF($C1181="","",IFERROR(IF(INDEX(Roster!$C:$C,MATCH($C1181,Roster!$B:$B,0))="","",INDEX(Roster!$C:$C,MATCH($C1181,Roster!$B:$B,0))&amp;""),"—"))</f>
        <v/>
      </c>
      <c r="F1181" s="25">
        <f>IF($C1181="","",IFERROR(IF(INDEX(Roster!$D:$D,MATCH($C1181,Roster!$B:$B,0))="","",INDEX(Roster!$D:$D,MATCH($C1181,Roster!$B:$B,0))&amp;""),"—"))</f>
        <v/>
      </c>
      <c r="G1181" s="25">
        <f>IF($C1181="","",IFERROR(IF(INDEX(Roster!$E:$E,MATCH($C1181,Roster!$B:$B,0))="","",INDEX(Roster!$E:$E,MATCH($C1181,Roster!$B:$B,0))&amp;""),"—"))</f>
        <v/>
      </c>
      <c r="H1181" s="25">
        <f>IF($C1181="","",IFERROR(IF(INDEX(Roster!$F:$F,MATCH($C1181,Roster!$B:$B,0))="","",INDEX(Roster!$F:$F,MATCH($C1181,Roster!$B:$B,0))&amp;""),"—"))</f>
        <v/>
      </c>
      <c r="I1181" s="25">
        <f>IF($C1181="","",IFERROR(IF(INDEX(Roster!$G:$G,MATCH($C1181,Roster!$B:$B,0))="","",INDEX(Roster!$G:$G,MATCH($C1181,Roster!$B:$B,0))&amp;""),"—"))</f>
        <v/>
      </c>
      <c r="J1181" s="25">
        <f>IF($C1181="","",IFERROR(IF(INDEX(Roster!$I:$I,MATCH($C1181,Roster!$B:$B,0))="","",INDEX(Roster!$I:$I,MATCH($C1181,Roster!$B:$B,0))&amp;""),"—"))</f>
        <v/>
      </c>
      <c r="K1181">
        <f>IF($C1181="","",IFERROR(IF(INDEX(Roster!$J:$J,MATCH($C1181,Roster!$B:$B,0))="","",INDEX(Roster!$J:$J,MATCH($C1181,Roster!$B:$B,0))&amp;""),"—"))</f>
        <v/>
      </c>
      <c r="L1181">
        <f>IF($C1181="","",IFERROR(IF(INDEX(Roster!$K:$K,MATCH($C1181,Roster!$B:$B,0))="","",INDEX(Roster!$K:$K,MATCH($C1181,Roster!$B:$B,0))&amp;""),"—"))</f>
        <v/>
      </c>
      <c r="M1181" s="27" t="n"/>
      <c r="N1181" s="27" t="n"/>
      <c r="O1181" s="25">
        <f>IF($C1181="","",IF($P1181="","—",IF($P1181="Valid (Pass)","Valid","Invalid")))</f>
        <v/>
      </c>
      <c r="P1181" s="27" t="n"/>
      <c r="Q1181" s="27" t="n"/>
      <c r="R1181" s="27" t="n"/>
      <c r="S1181" s="27" t="n"/>
      <c r="T1181" s="25">
        <f>IF($C1181="","",IF(OR(ISNUMBER(SEARCH("quick case",$P1181)),ISNUMBER(SEARCH("quick case",$Q1181))),"Yes","No"))</f>
        <v/>
      </c>
      <c r="U1181" s="25">
        <f>IF($O1181="Invalid",HYPERLINK("mailto:"&amp;$G1181&amp;";"&amp;$I1181&amp;"?cc="&amp;Lists!$E$2&amp;"&amp;subject="&amp;_xlfn.ENCODEURL("[INVALID] Quality audit monitoring completed for "&amp;UPPER($C1181))&amp;"&amp;body="&amp;_xlfn.ENCODEURL("Hi "&amp;$F1181&amp;","&amp;CHAR(10)&amp;"Good day!"&amp;CHAR(10)&amp;CHAR(10)&amp;"A quality monitoring audit has been completed for "&amp;$C1181&amp;"."&amp;CHAR(10)&amp;CHAR(10)&amp;"QUALITY AUDIT DETAILS"&amp;CHAR(10)&amp;"Agent Name: "&amp;$C1181&amp;" (EID "&amp;$D1181&amp;")"&amp;CHAR(10)&amp;"Audit Date: "&amp;TEXT($B1181,"yyyy-mm-dd")&amp;CHAR(10)&amp;"Team Leader: "&amp;$F1181&amp;CHAR(10)&amp;"Case Number: "&amp;$M1181&amp;CHAR(10)&amp;"Transaction ID: "&amp;$N1181&amp;CHAR(10)&amp;"Channel / LOB: "&amp;$K1181&amp;" / "&amp;$L1181&amp;CHAR(10)&amp;"Evaluator: "&amp;$S1181&amp;CHAR(10)&amp;CHAR(10)&amp;"INVALID QUALITY AUDIT DETAILS"&amp;CHAR(10)&amp;"Validation: Invalid"&amp;CHAR(10)&amp;"Invalid Reason: "&amp;$P1181&amp;CHAR(10)&amp;"Expected Resolution Code: "&amp;$Q1181&amp;CHAR(10)&amp;"Remarks: "&amp;LEFT($R1181,600)&amp;CHAR(10)&amp;CHAR(10)&amp;"This is an automated notification from HP Mainstream EQMS."),"✉ Open Email Draft"),"")</f>
        <v/>
      </c>
    </row>
    <row r="1182">
      <c r="A1182" s="25">
        <f>IF($C1182="","","AUD-2026-"&amp;TEXT(ROW()-1,"000000"))</f>
        <v/>
      </c>
      <c r="B1182" s="26" t="n"/>
      <c r="C1182" s="27" t="n"/>
      <c r="D1182" s="25">
        <f>IF($C1182="","",IFERROR(IF(INDEX(Roster!$A:$A,MATCH($C1182,Roster!$B:$B,0))="","",INDEX(Roster!$A:$A,MATCH($C1182,Roster!$B:$B,0))&amp;""),"—"))</f>
        <v/>
      </c>
      <c r="E1182" s="25">
        <f>IF($C1182="","",IFERROR(IF(INDEX(Roster!$C:$C,MATCH($C1182,Roster!$B:$B,0))="","",INDEX(Roster!$C:$C,MATCH($C1182,Roster!$B:$B,0))&amp;""),"—"))</f>
        <v/>
      </c>
      <c r="F1182" s="25">
        <f>IF($C1182="","",IFERROR(IF(INDEX(Roster!$D:$D,MATCH($C1182,Roster!$B:$B,0))="","",INDEX(Roster!$D:$D,MATCH($C1182,Roster!$B:$B,0))&amp;""),"—"))</f>
        <v/>
      </c>
      <c r="G1182" s="25">
        <f>IF($C1182="","",IFERROR(IF(INDEX(Roster!$E:$E,MATCH($C1182,Roster!$B:$B,0))="","",INDEX(Roster!$E:$E,MATCH($C1182,Roster!$B:$B,0))&amp;""),"—"))</f>
        <v/>
      </c>
      <c r="H1182" s="25">
        <f>IF($C1182="","",IFERROR(IF(INDEX(Roster!$F:$F,MATCH($C1182,Roster!$B:$B,0))="","",INDEX(Roster!$F:$F,MATCH($C1182,Roster!$B:$B,0))&amp;""),"—"))</f>
        <v/>
      </c>
      <c r="I1182" s="25">
        <f>IF($C1182="","",IFERROR(IF(INDEX(Roster!$G:$G,MATCH($C1182,Roster!$B:$B,0))="","",INDEX(Roster!$G:$G,MATCH($C1182,Roster!$B:$B,0))&amp;""),"—"))</f>
        <v/>
      </c>
      <c r="J1182" s="25">
        <f>IF($C1182="","",IFERROR(IF(INDEX(Roster!$I:$I,MATCH($C1182,Roster!$B:$B,0))="","",INDEX(Roster!$I:$I,MATCH($C1182,Roster!$B:$B,0))&amp;""),"—"))</f>
        <v/>
      </c>
      <c r="K1182">
        <f>IF($C1182="","",IFERROR(IF(INDEX(Roster!$J:$J,MATCH($C1182,Roster!$B:$B,0))="","",INDEX(Roster!$J:$J,MATCH($C1182,Roster!$B:$B,0))&amp;""),"—"))</f>
        <v/>
      </c>
      <c r="L1182">
        <f>IF($C1182="","",IFERROR(IF(INDEX(Roster!$K:$K,MATCH($C1182,Roster!$B:$B,0))="","",INDEX(Roster!$K:$K,MATCH($C1182,Roster!$B:$B,0))&amp;""),"—"))</f>
        <v/>
      </c>
      <c r="M1182" s="27" t="n"/>
      <c r="N1182" s="27" t="n"/>
      <c r="O1182" s="25">
        <f>IF($C1182="","",IF($P1182="","—",IF($P1182="Valid (Pass)","Valid","Invalid")))</f>
        <v/>
      </c>
      <c r="P1182" s="27" t="n"/>
      <c r="Q1182" s="27" t="n"/>
      <c r="R1182" s="27" t="n"/>
      <c r="S1182" s="27" t="n"/>
      <c r="T1182" s="25">
        <f>IF($C1182="","",IF(OR(ISNUMBER(SEARCH("quick case",$P1182)),ISNUMBER(SEARCH("quick case",$Q1182))),"Yes","No"))</f>
        <v/>
      </c>
      <c r="U1182" s="25">
        <f>IF($O1182="Invalid",HYPERLINK("mailto:"&amp;$G1182&amp;";"&amp;$I1182&amp;"?cc="&amp;Lists!$E$2&amp;"&amp;subject="&amp;_xlfn.ENCODEURL("[INVALID] Quality audit monitoring completed for "&amp;UPPER($C1182))&amp;"&amp;body="&amp;_xlfn.ENCODEURL("Hi "&amp;$F1182&amp;","&amp;CHAR(10)&amp;"Good day!"&amp;CHAR(10)&amp;CHAR(10)&amp;"A quality monitoring audit has been completed for "&amp;$C1182&amp;"."&amp;CHAR(10)&amp;CHAR(10)&amp;"QUALITY AUDIT DETAILS"&amp;CHAR(10)&amp;"Agent Name: "&amp;$C1182&amp;" (EID "&amp;$D1182&amp;")"&amp;CHAR(10)&amp;"Audit Date: "&amp;TEXT($B1182,"yyyy-mm-dd")&amp;CHAR(10)&amp;"Team Leader: "&amp;$F1182&amp;CHAR(10)&amp;"Case Number: "&amp;$M1182&amp;CHAR(10)&amp;"Transaction ID: "&amp;$N1182&amp;CHAR(10)&amp;"Channel / LOB: "&amp;$K1182&amp;" / "&amp;$L1182&amp;CHAR(10)&amp;"Evaluator: "&amp;$S1182&amp;CHAR(10)&amp;CHAR(10)&amp;"INVALID QUALITY AUDIT DETAILS"&amp;CHAR(10)&amp;"Validation: Invalid"&amp;CHAR(10)&amp;"Invalid Reason: "&amp;$P1182&amp;CHAR(10)&amp;"Expected Resolution Code: "&amp;$Q1182&amp;CHAR(10)&amp;"Remarks: "&amp;LEFT($R1182,600)&amp;CHAR(10)&amp;CHAR(10)&amp;"This is an automated notification from HP Mainstream EQMS."),"✉ Open Email Draft"),"")</f>
        <v/>
      </c>
    </row>
    <row r="1183">
      <c r="A1183" s="25">
        <f>IF($C1183="","","AUD-2026-"&amp;TEXT(ROW()-1,"000000"))</f>
        <v/>
      </c>
      <c r="B1183" s="26" t="n"/>
      <c r="C1183" s="27" t="n"/>
      <c r="D1183" s="25">
        <f>IF($C1183="","",IFERROR(IF(INDEX(Roster!$A:$A,MATCH($C1183,Roster!$B:$B,0))="","",INDEX(Roster!$A:$A,MATCH($C1183,Roster!$B:$B,0))&amp;""),"—"))</f>
        <v/>
      </c>
      <c r="E1183" s="25">
        <f>IF($C1183="","",IFERROR(IF(INDEX(Roster!$C:$C,MATCH($C1183,Roster!$B:$B,0))="","",INDEX(Roster!$C:$C,MATCH($C1183,Roster!$B:$B,0))&amp;""),"—"))</f>
        <v/>
      </c>
      <c r="F1183" s="25">
        <f>IF($C1183="","",IFERROR(IF(INDEX(Roster!$D:$D,MATCH($C1183,Roster!$B:$B,0))="","",INDEX(Roster!$D:$D,MATCH($C1183,Roster!$B:$B,0))&amp;""),"—"))</f>
        <v/>
      </c>
      <c r="G1183" s="25">
        <f>IF($C1183="","",IFERROR(IF(INDEX(Roster!$E:$E,MATCH($C1183,Roster!$B:$B,0))="","",INDEX(Roster!$E:$E,MATCH($C1183,Roster!$B:$B,0))&amp;""),"—"))</f>
        <v/>
      </c>
      <c r="H1183" s="25">
        <f>IF($C1183="","",IFERROR(IF(INDEX(Roster!$F:$F,MATCH($C1183,Roster!$B:$B,0))="","",INDEX(Roster!$F:$F,MATCH($C1183,Roster!$B:$B,0))&amp;""),"—"))</f>
        <v/>
      </c>
      <c r="I1183" s="25">
        <f>IF($C1183="","",IFERROR(IF(INDEX(Roster!$G:$G,MATCH($C1183,Roster!$B:$B,0))="","",INDEX(Roster!$G:$G,MATCH($C1183,Roster!$B:$B,0))&amp;""),"—"))</f>
        <v/>
      </c>
      <c r="J1183" s="25">
        <f>IF($C1183="","",IFERROR(IF(INDEX(Roster!$I:$I,MATCH($C1183,Roster!$B:$B,0))="","",INDEX(Roster!$I:$I,MATCH($C1183,Roster!$B:$B,0))&amp;""),"—"))</f>
        <v/>
      </c>
      <c r="K1183">
        <f>IF($C1183="","",IFERROR(IF(INDEX(Roster!$J:$J,MATCH($C1183,Roster!$B:$B,0))="","",INDEX(Roster!$J:$J,MATCH($C1183,Roster!$B:$B,0))&amp;""),"—"))</f>
        <v/>
      </c>
      <c r="L1183">
        <f>IF($C1183="","",IFERROR(IF(INDEX(Roster!$K:$K,MATCH($C1183,Roster!$B:$B,0))="","",INDEX(Roster!$K:$K,MATCH($C1183,Roster!$B:$B,0))&amp;""),"—"))</f>
        <v/>
      </c>
      <c r="M1183" s="27" t="n"/>
      <c r="N1183" s="27" t="n"/>
      <c r="O1183" s="25">
        <f>IF($C1183="","",IF($P1183="","—",IF($P1183="Valid (Pass)","Valid","Invalid")))</f>
        <v/>
      </c>
      <c r="P1183" s="27" t="n"/>
      <c r="Q1183" s="27" t="n"/>
      <c r="R1183" s="27" t="n"/>
      <c r="S1183" s="27" t="n"/>
      <c r="T1183" s="25">
        <f>IF($C1183="","",IF(OR(ISNUMBER(SEARCH("quick case",$P1183)),ISNUMBER(SEARCH("quick case",$Q1183))),"Yes","No"))</f>
        <v/>
      </c>
      <c r="U1183" s="25">
        <f>IF($O1183="Invalid",HYPERLINK("mailto:"&amp;$G1183&amp;";"&amp;$I1183&amp;"?cc="&amp;Lists!$E$2&amp;"&amp;subject="&amp;_xlfn.ENCODEURL("[INVALID] Quality audit monitoring completed for "&amp;UPPER($C1183))&amp;"&amp;body="&amp;_xlfn.ENCODEURL("Hi "&amp;$F1183&amp;","&amp;CHAR(10)&amp;"Good day!"&amp;CHAR(10)&amp;CHAR(10)&amp;"A quality monitoring audit has been completed for "&amp;$C1183&amp;"."&amp;CHAR(10)&amp;CHAR(10)&amp;"QUALITY AUDIT DETAILS"&amp;CHAR(10)&amp;"Agent Name: "&amp;$C1183&amp;" (EID "&amp;$D1183&amp;")"&amp;CHAR(10)&amp;"Audit Date: "&amp;TEXT($B1183,"yyyy-mm-dd")&amp;CHAR(10)&amp;"Team Leader: "&amp;$F1183&amp;CHAR(10)&amp;"Case Number: "&amp;$M1183&amp;CHAR(10)&amp;"Transaction ID: "&amp;$N1183&amp;CHAR(10)&amp;"Channel / LOB: "&amp;$K1183&amp;" / "&amp;$L1183&amp;CHAR(10)&amp;"Evaluator: "&amp;$S1183&amp;CHAR(10)&amp;CHAR(10)&amp;"INVALID QUALITY AUDIT DETAILS"&amp;CHAR(10)&amp;"Validation: Invalid"&amp;CHAR(10)&amp;"Invalid Reason: "&amp;$P1183&amp;CHAR(10)&amp;"Expected Resolution Code: "&amp;$Q1183&amp;CHAR(10)&amp;"Remarks: "&amp;LEFT($R1183,600)&amp;CHAR(10)&amp;CHAR(10)&amp;"This is an automated notification from HP Mainstream EQMS."),"✉ Open Email Draft"),"")</f>
        <v/>
      </c>
    </row>
    <row r="1184">
      <c r="A1184" s="25">
        <f>IF($C1184="","","AUD-2026-"&amp;TEXT(ROW()-1,"000000"))</f>
        <v/>
      </c>
      <c r="B1184" s="26" t="n"/>
      <c r="C1184" s="27" t="n"/>
      <c r="D1184" s="25">
        <f>IF($C1184="","",IFERROR(IF(INDEX(Roster!$A:$A,MATCH($C1184,Roster!$B:$B,0))="","",INDEX(Roster!$A:$A,MATCH($C1184,Roster!$B:$B,0))&amp;""),"—"))</f>
        <v/>
      </c>
      <c r="E1184" s="25">
        <f>IF($C1184="","",IFERROR(IF(INDEX(Roster!$C:$C,MATCH($C1184,Roster!$B:$B,0))="","",INDEX(Roster!$C:$C,MATCH($C1184,Roster!$B:$B,0))&amp;""),"—"))</f>
        <v/>
      </c>
      <c r="F1184" s="25">
        <f>IF($C1184="","",IFERROR(IF(INDEX(Roster!$D:$D,MATCH($C1184,Roster!$B:$B,0))="","",INDEX(Roster!$D:$D,MATCH($C1184,Roster!$B:$B,0))&amp;""),"—"))</f>
        <v/>
      </c>
      <c r="G1184" s="25">
        <f>IF($C1184="","",IFERROR(IF(INDEX(Roster!$E:$E,MATCH($C1184,Roster!$B:$B,0))="","",INDEX(Roster!$E:$E,MATCH($C1184,Roster!$B:$B,0))&amp;""),"—"))</f>
        <v/>
      </c>
      <c r="H1184" s="25">
        <f>IF($C1184="","",IFERROR(IF(INDEX(Roster!$F:$F,MATCH($C1184,Roster!$B:$B,0))="","",INDEX(Roster!$F:$F,MATCH($C1184,Roster!$B:$B,0))&amp;""),"—"))</f>
        <v/>
      </c>
      <c r="I1184" s="25">
        <f>IF($C1184="","",IFERROR(IF(INDEX(Roster!$G:$G,MATCH($C1184,Roster!$B:$B,0))="","",INDEX(Roster!$G:$G,MATCH($C1184,Roster!$B:$B,0))&amp;""),"—"))</f>
        <v/>
      </c>
      <c r="J1184" s="25">
        <f>IF($C1184="","",IFERROR(IF(INDEX(Roster!$I:$I,MATCH($C1184,Roster!$B:$B,0))="","",INDEX(Roster!$I:$I,MATCH($C1184,Roster!$B:$B,0))&amp;""),"—"))</f>
        <v/>
      </c>
      <c r="K1184">
        <f>IF($C1184="","",IFERROR(IF(INDEX(Roster!$J:$J,MATCH($C1184,Roster!$B:$B,0))="","",INDEX(Roster!$J:$J,MATCH($C1184,Roster!$B:$B,0))&amp;""),"—"))</f>
        <v/>
      </c>
      <c r="L1184">
        <f>IF($C1184="","",IFERROR(IF(INDEX(Roster!$K:$K,MATCH($C1184,Roster!$B:$B,0))="","",INDEX(Roster!$K:$K,MATCH($C1184,Roster!$B:$B,0))&amp;""),"—"))</f>
        <v/>
      </c>
      <c r="M1184" s="27" t="n"/>
      <c r="N1184" s="27" t="n"/>
      <c r="O1184" s="25">
        <f>IF($C1184="","",IF($P1184="","—",IF($P1184="Valid (Pass)","Valid","Invalid")))</f>
        <v/>
      </c>
      <c r="P1184" s="27" t="n"/>
      <c r="Q1184" s="27" t="n"/>
      <c r="R1184" s="27" t="n"/>
      <c r="S1184" s="27" t="n"/>
      <c r="T1184" s="25">
        <f>IF($C1184="","",IF(OR(ISNUMBER(SEARCH("quick case",$P1184)),ISNUMBER(SEARCH("quick case",$Q1184))),"Yes","No"))</f>
        <v/>
      </c>
      <c r="U1184" s="25">
        <f>IF($O1184="Invalid",HYPERLINK("mailto:"&amp;$G1184&amp;";"&amp;$I1184&amp;"?cc="&amp;Lists!$E$2&amp;"&amp;subject="&amp;_xlfn.ENCODEURL("[INVALID] Quality audit monitoring completed for "&amp;UPPER($C1184))&amp;"&amp;body="&amp;_xlfn.ENCODEURL("Hi "&amp;$F1184&amp;","&amp;CHAR(10)&amp;"Good day!"&amp;CHAR(10)&amp;CHAR(10)&amp;"A quality monitoring audit has been completed for "&amp;$C1184&amp;"."&amp;CHAR(10)&amp;CHAR(10)&amp;"QUALITY AUDIT DETAILS"&amp;CHAR(10)&amp;"Agent Name: "&amp;$C1184&amp;" (EID "&amp;$D1184&amp;")"&amp;CHAR(10)&amp;"Audit Date: "&amp;TEXT($B1184,"yyyy-mm-dd")&amp;CHAR(10)&amp;"Team Leader: "&amp;$F1184&amp;CHAR(10)&amp;"Case Number: "&amp;$M1184&amp;CHAR(10)&amp;"Transaction ID: "&amp;$N1184&amp;CHAR(10)&amp;"Channel / LOB: "&amp;$K1184&amp;" / "&amp;$L1184&amp;CHAR(10)&amp;"Evaluator: "&amp;$S1184&amp;CHAR(10)&amp;CHAR(10)&amp;"INVALID QUALITY AUDIT DETAILS"&amp;CHAR(10)&amp;"Validation: Invalid"&amp;CHAR(10)&amp;"Invalid Reason: "&amp;$P1184&amp;CHAR(10)&amp;"Expected Resolution Code: "&amp;$Q1184&amp;CHAR(10)&amp;"Remarks: "&amp;LEFT($R1184,600)&amp;CHAR(10)&amp;CHAR(10)&amp;"This is an automated notification from HP Mainstream EQMS."),"✉ Open Email Draft"),"")</f>
        <v/>
      </c>
    </row>
    <row r="1185">
      <c r="A1185" s="25">
        <f>IF($C1185="","","AUD-2026-"&amp;TEXT(ROW()-1,"000000"))</f>
        <v/>
      </c>
      <c r="B1185" s="26" t="n"/>
      <c r="C1185" s="27" t="n"/>
      <c r="D1185" s="25">
        <f>IF($C1185="","",IFERROR(IF(INDEX(Roster!$A:$A,MATCH($C1185,Roster!$B:$B,0))="","",INDEX(Roster!$A:$A,MATCH($C1185,Roster!$B:$B,0))&amp;""),"—"))</f>
        <v/>
      </c>
      <c r="E1185" s="25">
        <f>IF($C1185="","",IFERROR(IF(INDEX(Roster!$C:$C,MATCH($C1185,Roster!$B:$B,0))="","",INDEX(Roster!$C:$C,MATCH($C1185,Roster!$B:$B,0))&amp;""),"—"))</f>
        <v/>
      </c>
      <c r="F1185" s="25">
        <f>IF($C1185="","",IFERROR(IF(INDEX(Roster!$D:$D,MATCH($C1185,Roster!$B:$B,0))="","",INDEX(Roster!$D:$D,MATCH($C1185,Roster!$B:$B,0))&amp;""),"—"))</f>
        <v/>
      </c>
      <c r="G1185" s="25">
        <f>IF($C1185="","",IFERROR(IF(INDEX(Roster!$E:$E,MATCH($C1185,Roster!$B:$B,0))="","",INDEX(Roster!$E:$E,MATCH($C1185,Roster!$B:$B,0))&amp;""),"—"))</f>
        <v/>
      </c>
      <c r="H1185" s="25">
        <f>IF($C1185="","",IFERROR(IF(INDEX(Roster!$F:$F,MATCH($C1185,Roster!$B:$B,0))="","",INDEX(Roster!$F:$F,MATCH($C1185,Roster!$B:$B,0))&amp;""),"—"))</f>
        <v/>
      </c>
      <c r="I1185" s="25">
        <f>IF($C1185="","",IFERROR(IF(INDEX(Roster!$G:$G,MATCH($C1185,Roster!$B:$B,0))="","",INDEX(Roster!$G:$G,MATCH($C1185,Roster!$B:$B,0))&amp;""),"—"))</f>
        <v/>
      </c>
      <c r="J1185" s="25">
        <f>IF($C1185="","",IFERROR(IF(INDEX(Roster!$I:$I,MATCH($C1185,Roster!$B:$B,0))="","",INDEX(Roster!$I:$I,MATCH($C1185,Roster!$B:$B,0))&amp;""),"—"))</f>
        <v/>
      </c>
      <c r="K1185">
        <f>IF($C1185="","",IFERROR(IF(INDEX(Roster!$J:$J,MATCH($C1185,Roster!$B:$B,0))="","",INDEX(Roster!$J:$J,MATCH($C1185,Roster!$B:$B,0))&amp;""),"—"))</f>
        <v/>
      </c>
      <c r="L1185">
        <f>IF($C1185="","",IFERROR(IF(INDEX(Roster!$K:$K,MATCH($C1185,Roster!$B:$B,0))="","",INDEX(Roster!$K:$K,MATCH($C1185,Roster!$B:$B,0))&amp;""),"—"))</f>
        <v/>
      </c>
      <c r="M1185" s="27" t="n"/>
      <c r="N1185" s="27" t="n"/>
      <c r="O1185" s="25">
        <f>IF($C1185="","",IF($P1185="","—",IF($P1185="Valid (Pass)","Valid","Invalid")))</f>
        <v/>
      </c>
      <c r="P1185" s="27" t="n"/>
      <c r="Q1185" s="27" t="n"/>
      <c r="R1185" s="27" t="n"/>
      <c r="S1185" s="27" t="n"/>
      <c r="T1185" s="25">
        <f>IF($C1185="","",IF(OR(ISNUMBER(SEARCH("quick case",$P1185)),ISNUMBER(SEARCH("quick case",$Q1185))),"Yes","No"))</f>
        <v/>
      </c>
      <c r="U1185" s="25">
        <f>IF($O1185="Invalid",HYPERLINK("mailto:"&amp;$G1185&amp;";"&amp;$I1185&amp;"?cc="&amp;Lists!$E$2&amp;"&amp;subject="&amp;_xlfn.ENCODEURL("[INVALID] Quality audit monitoring completed for "&amp;UPPER($C1185))&amp;"&amp;body="&amp;_xlfn.ENCODEURL("Hi "&amp;$F1185&amp;","&amp;CHAR(10)&amp;"Good day!"&amp;CHAR(10)&amp;CHAR(10)&amp;"A quality monitoring audit has been completed for "&amp;$C1185&amp;"."&amp;CHAR(10)&amp;CHAR(10)&amp;"QUALITY AUDIT DETAILS"&amp;CHAR(10)&amp;"Agent Name: "&amp;$C1185&amp;" (EID "&amp;$D1185&amp;")"&amp;CHAR(10)&amp;"Audit Date: "&amp;TEXT($B1185,"yyyy-mm-dd")&amp;CHAR(10)&amp;"Team Leader: "&amp;$F1185&amp;CHAR(10)&amp;"Case Number: "&amp;$M1185&amp;CHAR(10)&amp;"Transaction ID: "&amp;$N1185&amp;CHAR(10)&amp;"Channel / LOB: "&amp;$K1185&amp;" / "&amp;$L1185&amp;CHAR(10)&amp;"Evaluator: "&amp;$S1185&amp;CHAR(10)&amp;CHAR(10)&amp;"INVALID QUALITY AUDIT DETAILS"&amp;CHAR(10)&amp;"Validation: Invalid"&amp;CHAR(10)&amp;"Invalid Reason: "&amp;$P1185&amp;CHAR(10)&amp;"Expected Resolution Code: "&amp;$Q1185&amp;CHAR(10)&amp;"Remarks: "&amp;LEFT($R1185,600)&amp;CHAR(10)&amp;CHAR(10)&amp;"This is an automated notification from HP Mainstream EQMS."),"✉ Open Email Draft"),"")</f>
        <v/>
      </c>
    </row>
    <row r="1186">
      <c r="A1186" s="25">
        <f>IF($C1186="","","AUD-2026-"&amp;TEXT(ROW()-1,"000000"))</f>
        <v/>
      </c>
      <c r="B1186" s="26" t="n"/>
      <c r="C1186" s="27" t="n"/>
      <c r="D1186" s="25">
        <f>IF($C1186="","",IFERROR(IF(INDEX(Roster!$A:$A,MATCH($C1186,Roster!$B:$B,0))="","",INDEX(Roster!$A:$A,MATCH($C1186,Roster!$B:$B,0))&amp;""),"—"))</f>
        <v/>
      </c>
      <c r="E1186" s="25">
        <f>IF($C1186="","",IFERROR(IF(INDEX(Roster!$C:$C,MATCH($C1186,Roster!$B:$B,0))="","",INDEX(Roster!$C:$C,MATCH($C1186,Roster!$B:$B,0))&amp;""),"—"))</f>
        <v/>
      </c>
      <c r="F1186" s="25">
        <f>IF($C1186="","",IFERROR(IF(INDEX(Roster!$D:$D,MATCH($C1186,Roster!$B:$B,0))="","",INDEX(Roster!$D:$D,MATCH($C1186,Roster!$B:$B,0))&amp;""),"—"))</f>
        <v/>
      </c>
      <c r="G1186" s="25">
        <f>IF($C1186="","",IFERROR(IF(INDEX(Roster!$E:$E,MATCH($C1186,Roster!$B:$B,0))="","",INDEX(Roster!$E:$E,MATCH($C1186,Roster!$B:$B,0))&amp;""),"—"))</f>
        <v/>
      </c>
      <c r="H1186" s="25">
        <f>IF($C1186="","",IFERROR(IF(INDEX(Roster!$F:$F,MATCH($C1186,Roster!$B:$B,0))="","",INDEX(Roster!$F:$F,MATCH($C1186,Roster!$B:$B,0))&amp;""),"—"))</f>
        <v/>
      </c>
      <c r="I1186" s="25">
        <f>IF($C1186="","",IFERROR(IF(INDEX(Roster!$G:$G,MATCH($C1186,Roster!$B:$B,0))="","",INDEX(Roster!$G:$G,MATCH($C1186,Roster!$B:$B,0))&amp;""),"—"))</f>
        <v/>
      </c>
      <c r="J1186" s="25">
        <f>IF($C1186="","",IFERROR(IF(INDEX(Roster!$I:$I,MATCH($C1186,Roster!$B:$B,0))="","",INDEX(Roster!$I:$I,MATCH($C1186,Roster!$B:$B,0))&amp;""),"—"))</f>
        <v/>
      </c>
      <c r="K1186">
        <f>IF($C1186="","",IFERROR(IF(INDEX(Roster!$J:$J,MATCH($C1186,Roster!$B:$B,0))="","",INDEX(Roster!$J:$J,MATCH($C1186,Roster!$B:$B,0))&amp;""),"—"))</f>
        <v/>
      </c>
      <c r="L1186">
        <f>IF($C1186="","",IFERROR(IF(INDEX(Roster!$K:$K,MATCH($C1186,Roster!$B:$B,0))="","",INDEX(Roster!$K:$K,MATCH($C1186,Roster!$B:$B,0))&amp;""),"—"))</f>
        <v/>
      </c>
      <c r="M1186" s="27" t="n"/>
      <c r="N1186" s="27" t="n"/>
      <c r="O1186" s="25">
        <f>IF($C1186="","",IF($P1186="","—",IF($P1186="Valid (Pass)","Valid","Invalid")))</f>
        <v/>
      </c>
      <c r="P1186" s="27" t="n"/>
      <c r="Q1186" s="27" t="n"/>
      <c r="R1186" s="27" t="n"/>
      <c r="S1186" s="27" t="n"/>
      <c r="T1186" s="25">
        <f>IF($C1186="","",IF(OR(ISNUMBER(SEARCH("quick case",$P1186)),ISNUMBER(SEARCH("quick case",$Q1186))),"Yes","No"))</f>
        <v/>
      </c>
      <c r="U1186" s="25">
        <f>IF($O1186="Invalid",HYPERLINK("mailto:"&amp;$G1186&amp;";"&amp;$I1186&amp;"?cc="&amp;Lists!$E$2&amp;"&amp;subject="&amp;_xlfn.ENCODEURL("[INVALID] Quality audit monitoring completed for "&amp;UPPER($C1186))&amp;"&amp;body="&amp;_xlfn.ENCODEURL("Hi "&amp;$F1186&amp;","&amp;CHAR(10)&amp;"Good day!"&amp;CHAR(10)&amp;CHAR(10)&amp;"A quality monitoring audit has been completed for "&amp;$C1186&amp;"."&amp;CHAR(10)&amp;CHAR(10)&amp;"QUALITY AUDIT DETAILS"&amp;CHAR(10)&amp;"Agent Name: "&amp;$C1186&amp;" (EID "&amp;$D1186&amp;")"&amp;CHAR(10)&amp;"Audit Date: "&amp;TEXT($B1186,"yyyy-mm-dd")&amp;CHAR(10)&amp;"Team Leader: "&amp;$F1186&amp;CHAR(10)&amp;"Case Number: "&amp;$M1186&amp;CHAR(10)&amp;"Transaction ID: "&amp;$N1186&amp;CHAR(10)&amp;"Channel / LOB: "&amp;$K1186&amp;" / "&amp;$L1186&amp;CHAR(10)&amp;"Evaluator: "&amp;$S1186&amp;CHAR(10)&amp;CHAR(10)&amp;"INVALID QUALITY AUDIT DETAILS"&amp;CHAR(10)&amp;"Validation: Invalid"&amp;CHAR(10)&amp;"Invalid Reason: "&amp;$P1186&amp;CHAR(10)&amp;"Expected Resolution Code: "&amp;$Q1186&amp;CHAR(10)&amp;"Remarks: "&amp;LEFT($R1186,600)&amp;CHAR(10)&amp;CHAR(10)&amp;"This is an automated notification from HP Mainstream EQMS."),"✉ Open Email Draft"),"")</f>
        <v/>
      </c>
    </row>
    <row r="1187">
      <c r="A1187" s="25">
        <f>IF($C1187="","","AUD-2026-"&amp;TEXT(ROW()-1,"000000"))</f>
        <v/>
      </c>
      <c r="B1187" s="26" t="n"/>
      <c r="C1187" s="27" t="n"/>
      <c r="D1187" s="25">
        <f>IF($C1187="","",IFERROR(IF(INDEX(Roster!$A:$A,MATCH($C1187,Roster!$B:$B,0))="","",INDEX(Roster!$A:$A,MATCH($C1187,Roster!$B:$B,0))&amp;""),"—"))</f>
        <v/>
      </c>
      <c r="E1187" s="25">
        <f>IF($C1187="","",IFERROR(IF(INDEX(Roster!$C:$C,MATCH($C1187,Roster!$B:$B,0))="","",INDEX(Roster!$C:$C,MATCH($C1187,Roster!$B:$B,0))&amp;""),"—"))</f>
        <v/>
      </c>
      <c r="F1187" s="25">
        <f>IF($C1187="","",IFERROR(IF(INDEX(Roster!$D:$D,MATCH($C1187,Roster!$B:$B,0))="","",INDEX(Roster!$D:$D,MATCH($C1187,Roster!$B:$B,0))&amp;""),"—"))</f>
        <v/>
      </c>
      <c r="G1187" s="25">
        <f>IF($C1187="","",IFERROR(IF(INDEX(Roster!$E:$E,MATCH($C1187,Roster!$B:$B,0))="","",INDEX(Roster!$E:$E,MATCH($C1187,Roster!$B:$B,0))&amp;""),"—"))</f>
        <v/>
      </c>
      <c r="H1187" s="25">
        <f>IF($C1187="","",IFERROR(IF(INDEX(Roster!$F:$F,MATCH($C1187,Roster!$B:$B,0))="","",INDEX(Roster!$F:$F,MATCH($C1187,Roster!$B:$B,0))&amp;""),"—"))</f>
        <v/>
      </c>
      <c r="I1187" s="25">
        <f>IF($C1187="","",IFERROR(IF(INDEX(Roster!$G:$G,MATCH($C1187,Roster!$B:$B,0))="","",INDEX(Roster!$G:$G,MATCH($C1187,Roster!$B:$B,0))&amp;""),"—"))</f>
        <v/>
      </c>
      <c r="J1187" s="25">
        <f>IF($C1187="","",IFERROR(IF(INDEX(Roster!$I:$I,MATCH($C1187,Roster!$B:$B,0))="","",INDEX(Roster!$I:$I,MATCH($C1187,Roster!$B:$B,0))&amp;""),"—"))</f>
        <v/>
      </c>
      <c r="K1187">
        <f>IF($C1187="","",IFERROR(IF(INDEX(Roster!$J:$J,MATCH($C1187,Roster!$B:$B,0))="","",INDEX(Roster!$J:$J,MATCH($C1187,Roster!$B:$B,0))&amp;""),"—"))</f>
        <v/>
      </c>
      <c r="L1187">
        <f>IF($C1187="","",IFERROR(IF(INDEX(Roster!$K:$K,MATCH($C1187,Roster!$B:$B,0))="","",INDEX(Roster!$K:$K,MATCH($C1187,Roster!$B:$B,0))&amp;""),"—"))</f>
        <v/>
      </c>
      <c r="M1187" s="27" t="n"/>
      <c r="N1187" s="27" t="n"/>
      <c r="O1187" s="25">
        <f>IF($C1187="","",IF($P1187="","—",IF($P1187="Valid (Pass)","Valid","Invalid")))</f>
        <v/>
      </c>
      <c r="P1187" s="27" t="n"/>
      <c r="Q1187" s="27" t="n"/>
      <c r="R1187" s="27" t="n"/>
      <c r="S1187" s="27" t="n"/>
      <c r="T1187" s="25">
        <f>IF($C1187="","",IF(OR(ISNUMBER(SEARCH("quick case",$P1187)),ISNUMBER(SEARCH("quick case",$Q1187))),"Yes","No"))</f>
        <v/>
      </c>
      <c r="U1187" s="25">
        <f>IF($O1187="Invalid",HYPERLINK("mailto:"&amp;$G1187&amp;";"&amp;$I1187&amp;"?cc="&amp;Lists!$E$2&amp;"&amp;subject="&amp;_xlfn.ENCODEURL("[INVALID] Quality audit monitoring completed for "&amp;UPPER($C1187))&amp;"&amp;body="&amp;_xlfn.ENCODEURL("Hi "&amp;$F1187&amp;","&amp;CHAR(10)&amp;"Good day!"&amp;CHAR(10)&amp;CHAR(10)&amp;"A quality monitoring audit has been completed for "&amp;$C1187&amp;"."&amp;CHAR(10)&amp;CHAR(10)&amp;"QUALITY AUDIT DETAILS"&amp;CHAR(10)&amp;"Agent Name: "&amp;$C1187&amp;" (EID "&amp;$D1187&amp;")"&amp;CHAR(10)&amp;"Audit Date: "&amp;TEXT($B1187,"yyyy-mm-dd")&amp;CHAR(10)&amp;"Team Leader: "&amp;$F1187&amp;CHAR(10)&amp;"Case Number: "&amp;$M1187&amp;CHAR(10)&amp;"Transaction ID: "&amp;$N1187&amp;CHAR(10)&amp;"Channel / LOB: "&amp;$K1187&amp;" / "&amp;$L1187&amp;CHAR(10)&amp;"Evaluator: "&amp;$S1187&amp;CHAR(10)&amp;CHAR(10)&amp;"INVALID QUALITY AUDIT DETAILS"&amp;CHAR(10)&amp;"Validation: Invalid"&amp;CHAR(10)&amp;"Invalid Reason: "&amp;$P1187&amp;CHAR(10)&amp;"Expected Resolution Code: "&amp;$Q1187&amp;CHAR(10)&amp;"Remarks: "&amp;LEFT($R1187,600)&amp;CHAR(10)&amp;CHAR(10)&amp;"This is an automated notification from HP Mainstream EQMS."),"✉ Open Email Draft"),"")</f>
        <v/>
      </c>
    </row>
    <row r="1188">
      <c r="A1188" s="25">
        <f>IF($C1188="","","AUD-2026-"&amp;TEXT(ROW()-1,"000000"))</f>
        <v/>
      </c>
      <c r="B1188" s="26" t="n"/>
      <c r="C1188" s="27" t="n"/>
      <c r="D1188" s="25">
        <f>IF($C1188="","",IFERROR(IF(INDEX(Roster!$A:$A,MATCH($C1188,Roster!$B:$B,0))="","",INDEX(Roster!$A:$A,MATCH($C1188,Roster!$B:$B,0))&amp;""),"—"))</f>
        <v/>
      </c>
      <c r="E1188" s="25">
        <f>IF($C1188="","",IFERROR(IF(INDEX(Roster!$C:$C,MATCH($C1188,Roster!$B:$B,0))="","",INDEX(Roster!$C:$C,MATCH($C1188,Roster!$B:$B,0))&amp;""),"—"))</f>
        <v/>
      </c>
      <c r="F1188" s="25">
        <f>IF($C1188="","",IFERROR(IF(INDEX(Roster!$D:$D,MATCH($C1188,Roster!$B:$B,0))="","",INDEX(Roster!$D:$D,MATCH($C1188,Roster!$B:$B,0))&amp;""),"—"))</f>
        <v/>
      </c>
      <c r="G1188" s="25">
        <f>IF($C1188="","",IFERROR(IF(INDEX(Roster!$E:$E,MATCH($C1188,Roster!$B:$B,0))="","",INDEX(Roster!$E:$E,MATCH($C1188,Roster!$B:$B,0))&amp;""),"—"))</f>
        <v/>
      </c>
      <c r="H1188" s="25">
        <f>IF($C1188="","",IFERROR(IF(INDEX(Roster!$F:$F,MATCH($C1188,Roster!$B:$B,0))="","",INDEX(Roster!$F:$F,MATCH($C1188,Roster!$B:$B,0))&amp;""),"—"))</f>
        <v/>
      </c>
      <c r="I1188" s="25">
        <f>IF($C1188="","",IFERROR(IF(INDEX(Roster!$G:$G,MATCH($C1188,Roster!$B:$B,0))="","",INDEX(Roster!$G:$G,MATCH($C1188,Roster!$B:$B,0))&amp;""),"—"))</f>
        <v/>
      </c>
      <c r="J1188" s="25">
        <f>IF($C1188="","",IFERROR(IF(INDEX(Roster!$I:$I,MATCH($C1188,Roster!$B:$B,0))="","",INDEX(Roster!$I:$I,MATCH($C1188,Roster!$B:$B,0))&amp;""),"—"))</f>
        <v/>
      </c>
      <c r="K1188">
        <f>IF($C1188="","",IFERROR(IF(INDEX(Roster!$J:$J,MATCH($C1188,Roster!$B:$B,0))="","",INDEX(Roster!$J:$J,MATCH($C1188,Roster!$B:$B,0))&amp;""),"—"))</f>
        <v/>
      </c>
      <c r="L1188">
        <f>IF($C1188="","",IFERROR(IF(INDEX(Roster!$K:$K,MATCH($C1188,Roster!$B:$B,0))="","",INDEX(Roster!$K:$K,MATCH($C1188,Roster!$B:$B,0))&amp;""),"—"))</f>
        <v/>
      </c>
      <c r="M1188" s="27" t="n"/>
      <c r="N1188" s="27" t="n"/>
      <c r="O1188" s="25">
        <f>IF($C1188="","",IF($P1188="","—",IF($P1188="Valid (Pass)","Valid","Invalid")))</f>
        <v/>
      </c>
      <c r="P1188" s="27" t="n"/>
      <c r="Q1188" s="27" t="n"/>
      <c r="R1188" s="27" t="n"/>
      <c r="S1188" s="27" t="n"/>
      <c r="T1188" s="25">
        <f>IF($C1188="","",IF(OR(ISNUMBER(SEARCH("quick case",$P1188)),ISNUMBER(SEARCH("quick case",$Q1188))),"Yes","No"))</f>
        <v/>
      </c>
      <c r="U1188" s="25">
        <f>IF($O1188="Invalid",HYPERLINK("mailto:"&amp;$G1188&amp;";"&amp;$I1188&amp;"?cc="&amp;Lists!$E$2&amp;"&amp;subject="&amp;_xlfn.ENCODEURL("[INVALID] Quality audit monitoring completed for "&amp;UPPER($C1188))&amp;"&amp;body="&amp;_xlfn.ENCODEURL("Hi "&amp;$F1188&amp;","&amp;CHAR(10)&amp;"Good day!"&amp;CHAR(10)&amp;CHAR(10)&amp;"A quality monitoring audit has been completed for "&amp;$C1188&amp;"."&amp;CHAR(10)&amp;CHAR(10)&amp;"QUALITY AUDIT DETAILS"&amp;CHAR(10)&amp;"Agent Name: "&amp;$C1188&amp;" (EID "&amp;$D1188&amp;")"&amp;CHAR(10)&amp;"Audit Date: "&amp;TEXT($B1188,"yyyy-mm-dd")&amp;CHAR(10)&amp;"Team Leader: "&amp;$F1188&amp;CHAR(10)&amp;"Case Number: "&amp;$M1188&amp;CHAR(10)&amp;"Transaction ID: "&amp;$N1188&amp;CHAR(10)&amp;"Channel / LOB: "&amp;$K1188&amp;" / "&amp;$L1188&amp;CHAR(10)&amp;"Evaluator: "&amp;$S1188&amp;CHAR(10)&amp;CHAR(10)&amp;"INVALID QUALITY AUDIT DETAILS"&amp;CHAR(10)&amp;"Validation: Invalid"&amp;CHAR(10)&amp;"Invalid Reason: "&amp;$P1188&amp;CHAR(10)&amp;"Expected Resolution Code: "&amp;$Q1188&amp;CHAR(10)&amp;"Remarks: "&amp;LEFT($R1188,600)&amp;CHAR(10)&amp;CHAR(10)&amp;"This is an automated notification from HP Mainstream EQMS."),"✉ Open Email Draft"),"")</f>
        <v/>
      </c>
    </row>
    <row r="1189">
      <c r="A1189" s="25">
        <f>IF($C1189="","","AUD-2026-"&amp;TEXT(ROW()-1,"000000"))</f>
        <v/>
      </c>
      <c r="B1189" s="26" t="n"/>
      <c r="C1189" s="27" t="n"/>
      <c r="D1189" s="25">
        <f>IF($C1189="","",IFERROR(IF(INDEX(Roster!$A:$A,MATCH($C1189,Roster!$B:$B,0))="","",INDEX(Roster!$A:$A,MATCH($C1189,Roster!$B:$B,0))&amp;""),"—"))</f>
        <v/>
      </c>
      <c r="E1189" s="25">
        <f>IF($C1189="","",IFERROR(IF(INDEX(Roster!$C:$C,MATCH($C1189,Roster!$B:$B,0))="","",INDEX(Roster!$C:$C,MATCH($C1189,Roster!$B:$B,0))&amp;""),"—"))</f>
        <v/>
      </c>
      <c r="F1189" s="25">
        <f>IF($C1189="","",IFERROR(IF(INDEX(Roster!$D:$D,MATCH($C1189,Roster!$B:$B,0))="","",INDEX(Roster!$D:$D,MATCH($C1189,Roster!$B:$B,0))&amp;""),"—"))</f>
        <v/>
      </c>
      <c r="G1189" s="25">
        <f>IF($C1189="","",IFERROR(IF(INDEX(Roster!$E:$E,MATCH($C1189,Roster!$B:$B,0))="","",INDEX(Roster!$E:$E,MATCH($C1189,Roster!$B:$B,0))&amp;""),"—"))</f>
        <v/>
      </c>
      <c r="H1189" s="25">
        <f>IF($C1189="","",IFERROR(IF(INDEX(Roster!$F:$F,MATCH($C1189,Roster!$B:$B,0))="","",INDEX(Roster!$F:$F,MATCH($C1189,Roster!$B:$B,0))&amp;""),"—"))</f>
        <v/>
      </c>
      <c r="I1189" s="25">
        <f>IF($C1189="","",IFERROR(IF(INDEX(Roster!$G:$G,MATCH($C1189,Roster!$B:$B,0))="","",INDEX(Roster!$G:$G,MATCH($C1189,Roster!$B:$B,0))&amp;""),"—"))</f>
        <v/>
      </c>
      <c r="J1189" s="25">
        <f>IF($C1189="","",IFERROR(IF(INDEX(Roster!$I:$I,MATCH($C1189,Roster!$B:$B,0))="","",INDEX(Roster!$I:$I,MATCH($C1189,Roster!$B:$B,0))&amp;""),"—"))</f>
        <v/>
      </c>
      <c r="K1189">
        <f>IF($C1189="","",IFERROR(IF(INDEX(Roster!$J:$J,MATCH($C1189,Roster!$B:$B,0))="","",INDEX(Roster!$J:$J,MATCH($C1189,Roster!$B:$B,0))&amp;""),"—"))</f>
        <v/>
      </c>
      <c r="L1189">
        <f>IF($C1189="","",IFERROR(IF(INDEX(Roster!$K:$K,MATCH($C1189,Roster!$B:$B,0))="","",INDEX(Roster!$K:$K,MATCH($C1189,Roster!$B:$B,0))&amp;""),"—"))</f>
        <v/>
      </c>
      <c r="M1189" s="27" t="n"/>
      <c r="N1189" s="27" t="n"/>
      <c r="O1189" s="25">
        <f>IF($C1189="","",IF($P1189="","—",IF($P1189="Valid (Pass)","Valid","Invalid")))</f>
        <v/>
      </c>
      <c r="P1189" s="27" t="n"/>
      <c r="Q1189" s="27" t="n"/>
      <c r="R1189" s="27" t="n"/>
      <c r="S1189" s="27" t="n"/>
      <c r="T1189" s="25">
        <f>IF($C1189="","",IF(OR(ISNUMBER(SEARCH("quick case",$P1189)),ISNUMBER(SEARCH("quick case",$Q1189))),"Yes","No"))</f>
        <v/>
      </c>
      <c r="U1189" s="25">
        <f>IF($O1189="Invalid",HYPERLINK("mailto:"&amp;$G1189&amp;";"&amp;$I1189&amp;"?cc="&amp;Lists!$E$2&amp;"&amp;subject="&amp;_xlfn.ENCODEURL("[INVALID] Quality audit monitoring completed for "&amp;UPPER($C1189))&amp;"&amp;body="&amp;_xlfn.ENCODEURL("Hi "&amp;$F1189&amp;","&amp;CHAR(10)&amp;"Good day!"&amp;CHAR(10)&amp;CHAR(10)&amp;"A quality monitoring audit has been completed for "&amp;$C1189&amp;"."&amp;CHAR(10)&amp;CHAR(10)&amp;"QUALITY AUDIT DETAILS"&amp;CHAR(10)&amp;"Agent Name: "&amp;$C1189&amp;" (EID "&amp;$D1189&amp;")"&amp;CHAR(10)&amp;"Audit Date: "&amp;TEXT($B1189,"yyyy-mm-dd")&amp;CHAR(10)&amp;"Team Leader: "&amp;$F1189&amp;CHAR(10)&amp;"Case Number: "&amp;$M1189&amp;CHAR(10)&amp;"Transaction ID: "&amp;$N1189&amp;CHAR(10)&amp;"Channel / LOB: "&amp;$K1189&amp;" / "&amp;$L1189&amp;CHAR(10)&amp;"Evaluator: "&amp;$S1189&amp;CHAR(10)&amp;CHAR(10)&amp;"INVALID QUALITY AUDIT DETAILS"&amp;CHAR(10)&amp;"Validation: Invalid"&amp;CHAR(10)&amp;"Invalid Reason: "&amp;$P1189&amp;CHAR(10)&amp;"Expected Resolution Code: "&amp;$Q1189&amp;CHAR(10)&amp;"Remarks: "&amp;LEFT($R1189,600)&amp;CHAR(10)&amp;CHAR(10)&amp;"This is an automated notification from HP Mainstream EQMS."),"✉ Open Email Draft"),"")</f>
        <v/>
      </c>
    </row>
    <row r="1190">
      <c r="A1190" s="25">
        <f>IF($C1190="","","AUD-2026-"&amp;TEXT(ROW()-1,"000000"))</f>
        <v/>
      </c>
      <c r="B1190" s="26" t="n"/>
      <c r="C1190" s="27" t="n"/>
      <c r="D1190" s="25">
        <f>IF($C1190="","",IFERROR(IF(INDEX(Roster!$A:$A,MATCH($C1190,Roster!$B:$B,0))="","",INDEX(Roster!$A:$A,MATCH($C1190,Roster!$B:$B,0))&amp;""),"—"))</f>
        <v/>
      </c>
      <c r="E1190" s="25">
        <f>IF($C1190="","",IFERROR(IF(INDEX(Roster!$C:$C,MATCH($C1190,Roster!$B:$B,0))="","",INDEX(Roster!$C:$C,MATCH($C1190,Roster!$B:$B,0))&amp;""),"—"))</f>
        <v/>
      </c>
      <c r="F1190" s="25">
        <f>IF($C1190="","",IFERROR(IF(INDEX(Roster!$D:$D,MATCH($C1190,Roster!$B:$B,0))="","",INDEX(Roster!$D:$D,MATCH($C1190,Roster!$B:$B,0))&amp;""),"—"))</f>
        <v/>
      </c>
      <c r="G1190" s="25">
        <f>IF($C1190="","",IFERROR(IF(INDEX(Roster!$E:$E,MATCH($C1190,Roster!$B:$B,0))="","",INDEX(Roster!$E:$E,MATCH($C1190,Roster!$B:$B,0))&amp;""),"—"))</f>
        <v/>
      </c>
      <c r="H1190" s="25">
        <f>IF($C1190="","",IFERROR(IF(INDEX(Roster!$F:$F,MATCH($C1190,Roster!$B:$B,0))="","",INDEX(Roster!$F:$F,MATCH($C1190,Roster!$B:$B,0))&amp;""),"—"))</f>
        <v/>
      </c>
      <c r="I1190" s="25">
        <f>IF($C1190="","",IFERROR(IF(INDEX(Roster!$G:$G,MATCH($C1190,Roster!$B:$B,0))="","",INDEX(Roster!$G:$G,MATCH($C1190,Roster!$B:$B,0))&amp;""),"—"))</f>
        <v/>
      </c>
      <c r="J1190" s="25">
        <f>IF($C1190="","",IFERROR(IF(INDEX(Roster!$I:$I,MATCH($C1190,Roster!$B:$B,0))="","",INDEX(Roster!$I:$I,MATCH($C1190,Roster!$B:$B,0))&amp;""),"—"))</f>
        <v/>
      </c>
      <c r="K1190">
        <f>IF($C1190="","",IFERROR(IF(INDEX(Roster!$J:$J,MATCH($C1190,Roster!$B:$B,0))="","",INDEX(Roster!$J:$J,MATCH($C1190,Roster!$B:$B,0))&amp;""),"—"))</f>
        <v/>
      </c>
      <c r="L1190">
        <f>IF($C1190="","",IFERROR(IF(INDEX(Roster!$K:$K,MATCH($C1190,Roster!$B:$B,0))="","",INDEX(Roster!$K:$K,MATCH($C1190,Roster!$B:$B,0))&amp;""),"—"))</f>
        <v/>
      </c>
      <c r="M1190" s="27" t="n"/>
      <c r="N1190" s="27" t="n"/>
      <c r="O1190" s="25">
        <f>IF($C1190="","",IF($P1190="","—",IF($P1190="Valid (Pass)","Valid","Invalid")))</f>
        <v/>
      </c>
      <c r="P1190" s="27" t="n"/>
      <c r="Q1190" s="27" t="n"/>
      <c r="R1190" s="27" t="n"/>
      <c r="S1190" s="27" t="n"/>
      <c r="T1190" s="25">
        <f>IF($C1190="","",IF(OR(ISNUMBER(SEARCH("quick case",$P1190)),ISNUMBER(SEARCH("quick case",$Q1190))),"Yes","No"))</f>
        <v/>
      </c>
      <c r="U1190" s="25">
        <f>IF($O1190="Invalid",HYPERLINK("mailto:"&amp;$G1190&amp;";"&amp;$I1190&amp;"?cc="&amp;Lists!$E$2&amp;"&amp;subject="&amp;_xlfn.ENCODEURL("[INVALID] Quality audit monitoring completed for "&amp;UPPER($C1190))&amp;"&amp;body="&amp;_xlfn.ENCODEURL("Hi "&amp;$F1190&amp;","&amp;CHAR(10)&amp;"Good day!"&amp;CHAR(10)&amp;CHAR(10)&amp;"A quality monitoring audit has been completed for "&amp;$C1190&amp;"."&amp;CHAR(10)&amp;CHAR(10)&amp;"QUALITY AUDIT DETAILS"&amp;CHAR(10)&amp;"Agent Name: "&amp;$C1190&amp;" (EID "&amp;$D1190&amp;")"&amp;CHAR(10)&amp;"Audit Date: "&amp;TEXT($B1190,"yyyy-mm-dd")&amp;CHAR(10)&amp;"Team Leader: "&amp;$F1190&amp;CHAR(10)&amp;"Case Number: "&amp;$M1190&amp;CHAR(10)&amp;"Transaction ID: "&amp;$N1190&amp;CHAR(10)&amp;"Channel / LOB: "&amp;$K1190&amp;" / "&amp;$L1190&amp;CHAR(10)&amp;"Evaluator: "&amp;$S1190&amp;CHAR(10)&amp;CHAR(10)&amp;"INVALID QUALITY AUDIT DETAILS"&amp;CHAR(10)&amp;"Validation: Invalid"&amp;CHAR(10)&amp;"Invalid Reason: "&amp;$P1190&amp;CHAR(10)&amp;"Expected Resolution Code: "&amp;$Q1190&amp;CHAR(10)&amp;"Remarks: "&amp;LEFT($R1190,600)&amp;CHAR(10)&amp;CHAR(10)&amp;"This is an automated notification from HP Mainstream EQMS."),"✉ Open Email Draft"),"")</f>
        <v/>
      </c>
    </row>
    <row r="1191">
      <c r="A1191" s="25">
        <f>IF($C1191="","","AUD-2026-"&amp;TEXT(ROW()-1,"000000"))</f>
        <v/>
      </c>
      <c r="B1191" s="26" t="n"/>
      <c r="C1191" s="27" t="n"/>
      <c r="D1191" s="25">
        <f>IF($C1191="","",IFERROR(IF(INDEX(Roster!$A:$A,MATCH($C1191,Roster!$B:$B,0))="","",INDEX(Roster!$A:$A,MATCH($C1191,Roster!$B:$B,0))&amp;""),"—"))</f>
        <v/>
      </c>
      <c r="E1191" s="25">
        <f>IF($C1191="","",IFERROR(IF(INDEX(Roster!$C:$C,MATCH($C1191,Roster!$B:$B,0))="","",INDEX(Roster!$C:$C,MATCH($C1191,Roster!$B:$B,0))&amp;""),"—"))</f>
        <v/>
      </c>
      <c r="F1191" s="25">
        <f>IF($C1191="","",IFERROR(IF(INDEX(Roster!$D:$D,MATCH($C1191,Roster!$B:$B,0))="","",INDEX(Roster!$D:$D,MATCH($C1191,Roster!$B:$B,0))&amp;""),"—"))</f>
        <v/>
      </c>
      <c r="G1191" s="25">
        <f>IF($C1191="","",IFERROR(IF(INDEX(Roster!$E:$E,MATCH($C1191,Roster!$B:$B,0))="","",INDEX(Roster!$E:$E,MATCH($C1191,Roster!$B:$B,0))&amp;""),"—"))</f>
        <v/>
      </c>
      <c r="H1191" s="25">
        <f>IF($C1191="","",IFERROR(IF(INDEX(Roster!$F:$F,MATCH($C1191,Roster!$B:$B,0))="","",INDEX(Roster!$F:$F,MATCH($C1191,Roster!$B:$B,0))&amp;""),"—"))</f>
        <v/>
      </c>
      <c r="I1191" s="25">
        <f>IF($C1191="","",IFERROR(IF(INDEX(Roster!$G:$G,MATCH($C1191,Roster!$B:$B,0))="","",INDEX(Roster!$G:$G,MATCH($C1191,Roster!$B:$B,0))&amp;""),"—"))</f>
        <v/>
      </c>
      <c r="J1191" s="25">
        <f>IF($C1191="","",IFERROR(IF(INDEX(Roster!$I:$I,MATCH($C1191,Roster!$B:$B,0))="","",INDEX(Roster!$I:$I,MATCH($C1191,Roster!$B:$B,0))&amp;""),"—"))</f>
        <v/>
      </c>
      <c r="K1191">
        <f>IF($C1191="","",IFERROR(IF(INDEX(Roster!$J:$J,MATCH($C1191,Roster!$B:$B,0))="","",INDEX(Roster!$J:$J,MATCH($C1191,Roster!$B:$B,0))&amp;""),"—"))</f>
        <v/>
      </c>
      <c r="L1191">
        <f>IF($C1191="","",IFERROR(IF(INDEX(Roster!$K:$K,MATCH($C1191,Roster!$B:$B,0))="","",INDEX(Roster!$K:$K,MATCH($C1191,Roster!$B:$B,0))&amp;""),"—"))</f>
        <v/>
      </c>
      <c r="M1191" s="27" t="n"/>
      <c r="N1191" s="27" t="n"/>
      <c r="O1191" s="25">
        <f>IF($C1191="","",IF($P1191="","—",IF($P1191="Valid (Pass)","Valid","Invalid")))</f>
        <v/>
      </c>
      <c r="P1191" s="27" t="n"/>
      <c r="Q1191" s="27" t="n"/>
      <c r="R1191" s="27" t="n"/>
      <c r="S1191" s="27" t="n"/>
      <c r="T1191" s="25">
        <f>IF($C1191="","",IF(OR(ISNUMBER(SEARCH("quick case",$P1191)),ISNUMBER(SEARCH("quick case",$Q1191))),"Yes","No"))</f>
        <v/>
      </c>
      <c r="U1191" s="25">
        <f>IF($O1191="Invalid",HYPERLINK("mailto:"&amp;$G1191&amp;";"&amp;$I1191&amp;"?cc="&amp;Lists!$E$2&amp;"&amp;subject="&amp;_xlfn.ENCODEURL("[INVALID] Quality audit monitoring completed for "&amp;UPPER($C1191))&amp;"&amp;body="&amp;_xlfn.ENCODEURL("Hi "&amp;$F1191&amp;","&amp;CHAR(10)&amp;"Good day!"&amp;CHAR(10)&amp;CHAR(10)&amp;"A quality monitoring audit has been completed for "&amp;$C1191&amp;"."&amp;CHAR(10)&amp;CHAR(10)&amp;"QUALITY AUDIT DETAILS"&amp;CHAR(10)&amp;"Agent Name: "&amp;$C1191&amp;" (EID "&amp;$D1191&amp;")"&amp;CHAR(10)&amp;"Audit Date: "&amp;TEXT($B1191,"yyyy-mm-dd")&amp;CHAR(10)&amp;"Team Leader: "&amp;$F1191&amp;CHAR(10)&amp;"Case Number: "&amp;$M1191&amp;CHAR(10)&amp;"Transaction ID: "&amp;$N1191&amp;CHAR(10)&amp;"Channel / LOB: "&amp;$K1191&amp;" / "&amp;$L1191&amp;CHAR(10)&amp;"Evaluator: "&amp;$S1191&amp;CHAR(10)&amp;CHAR(10)&amp;"INVALID QUALITY AUDIT DETAILS"&amp;CHAR(10)&amp;"Validation: Invalid"&amp;CHAR(10)&amp;"Invalid Reason: "&amp;$P1191&amp;CHAR(10)&amp;"Expected Resolution Code: "&amp;$Q1191&amp;CHAR(10)&amp;"Remarks: "&amp;LEFT($R1191,600)&amp;CHAR(10)&amp;CHAR(10)&amp;"This is an automated notification from HP Mainstream EQMS."),"✉ Open Email Draft"),"")</f>
        <v/>
      </c>
    </row>
    <row r="1192">
      <c r="A1192" s="25">
        <f>IF($C1192="","","AUD-2026-"&amp;TEXT(ROW()-1,"000000"))</f>
        <v/>
      </c>
      <c r="B1192" s="26" t="n"/>
      <c r="C1192" s="27" t="n"/>
      <c r="D1192" s="25">
        <f>IF($C1192="","",IFERROR(IF(INDEX(Roster!$A:$A,MATCH($C1192,Roster!$B:$B,0))="","",INDEX(Roster!$A:$A,MATCH($C1192,Roster!$B:$B,0))&amp;""),"—"))</f>
        <v/>
      </c>
      <c r="E1192" s="25">
        <f>IF($C1192="","",IFERROR(IF(INDEX(Roster!$C:$C,MATCH($C1192,Roster!$B:$B,0))="","",INDEX(Roster!$C:$C,MATCH($C1192,Roster!$B:$B,0))&amp;""),"—"))</f>
        <v/>
      </c>
      <c r="F1192" s="25">
        <f>IF($C1192="","",IFERROR(IF(INDEX(Roster!$D:$D,MATCH($C1192,Roster!$B:$B,0))="","",INDEX(Roster!$D:$D,MATCH($C1192,Roster!$B:$B,0))&amp;""),"—"))</f>
        <v/>
      </c>
      <c r="G1192" s="25">
        <f>IF($C1192="","",IFERROR(IF(INDEX(Roster!$E:$E,MATCH($C1192,Roster!$B:$B,0))="","",INDEX(Roster!$E:$E,MATCH($C1192,Roster!$B:$B,0))&amp;""),"—"))</f>
        <v/>
      </c>
      <c r="H1192" s="25">
        <f>IF($C1192="","",IFERROR(IF(INDEX(Roster!$F:$F,MATCH($C1192,Roster!$B:$B,0))="","",INDEX(Roster!$F:$F,MATCH($C1192,Roster!$B:$B,0))&amp;""),"—"))</f>
        <v/>
      </c>
      <c r="I1192" s="25">
        <f>IF($C1192="","",IFERROR(IF(INDEX(Roster!$G:$G,MATCH($C1192,Roster!$B:$B,0))="","",INDEX(Roster!$G:$G,MATCH($C1192,Roster!$B:$B,0))&amp;""),"—"))</f>
        <v/>
      </c>
      <c r="J1192" s="25">
        <f>IF($C1192="","",IFERROR(IF(INDEX(Roster!$I:$I,MATCH($C1192,Roster!$B:$B,0))="","",INDEX(Roster!$I:$I,MATCH($C1192,Roster!$B:$B,0))&amp;""),"—"))</f>
        <v/>
      </c>
      <c r="K1192">
        <f>IF($C1192="","",IFERROR(IF(INDEX(Roster!$J:$J,MATCH($C1192,Roster!$B:$B,0))="","",INDEX(Roster!$J:$J,MATCH($C1192,Roster!$B:$B,0))&amp;""),"—"))</f>
        <v/>
      </c>
      <c r="L1192">
        <f>IF($C1192="","",IFERROR(IF(INDEX(Roster!$K:$K,MATCH($C1192,Roster!$B:$B,0))="","",INDEX(Roster!$K:$K,MATCH($C1192,Roster!$B:$B,0))&amp;""),"—"))</f>
        <v/>
      </c>
      <c r="M1192" s="27" t="n"/>
      <c r="N1192" s="27" t="n"/>
      <c r="O1192" s="25">
        <f>IF($C1192="","",IF($P1192="","—",IF($P1192="Valid (Pass)","Valid","Invalid")))</f>
        <v/>
      </c>
      <c r="P1192" s="27" t="n"/>
      <c r="Q1192" s="27" t="n"/>
      <c r="R1192" s="27" t="n"/>
      <c r="S1192" s="27" t="n"/>
      <c r="T1192" s="25">
        <f>IF($C1192="","",IF(OR(ISNUMBER(SEARCH("quick case",$P1192)),ISNUMBER(SEARCH("quick case",$Q1192))),"Yes","No"))</f>
        <v/>
      </c>
      <c r="U1192" s="25">
        <f>IF($O1192="Invalid",HYPERLINK("mailto:"&amp;$G1192&amp;";"&amp;$I1192&amp;"?cc="&amp;Lists!$E$2&amp;"&amp;subject="&amp;_xlfn.ENCODEURL("[INVALID] Quality audit monitoring completed for "&amp;UPPER($C1192))&amp;"&amp;body="&amp;_xlfn.ENCODEURL("Hi "&amp;$F1192&amp;","&amp;CHAR(10)&amp;"Good day!"&amp;CHAR(10)&amp;CHAR(10)&amp;"A quality monitoring audit has been completed for "&amp;$C1192&amp;"."&amp;CHAR(10)&amp;CHAR(10)&amp;"QUALITY AUDIT DETAILS"&amp;CHAR(10)&amp;"Agent Name: "&amp;$C1192&amp;" (EID "&amp;$D1192&amp;")"&amp;CHAR(10)&amp;"Audit Date: "&amp;TEXT($B1192,"yyyy-mm-dd")&amp;CHAR(10)&amp;"Team Leader: "&amp;$F1192&amp;CHAR(10)&amp;"Case Number: "&amp;$M1192&amp;CHAR(10)&amp;"Transaction ID: "&amp;$N1192&amp;CHAR(10)&amp;"Channel / LOB: "&amp;$K1192&amp;" / "&amp;$L1192&amp;CHAR(10)&amp;"Evaluator: "&amp;$S1192&amp;CHAR(10)&amp;CHAR(10)&amp;"INVALID QUALITY AUDIT DETAILS"&amp;CHAR(10)&amp;"Validation: Invalid"&amp;CHAR(10)&amp;"Invalid Reason: "&amp;$P1192&amp;CHAR(10)&amp;"Expected Resolution Code: "&amp;$Q1192&amp;CHAR(10)&amp;"Remarks: "&amp;LEFT($R1192,600)&amp;CHAR(10)&amp;CHAR(10)&amp;"This is an automated notification from HP Mainstream EQMS."),"✉ Open Email Draft"),"")</f>
        <v/>
      </c>
    </row>
    <row r="1193">
      <c r="A1193" s="25">
        <f>IF($C1193="","","AUD-2026-"&amp;TEXT(ROW()-1,"000000"))</f>
        <v/>
      </c>
      <c r="B1193" s="26" t="n"/>
      <c r="C1193" s="27" t="n"/>
      <c r="D1193" s="25">
        <f>IF($C1193="","",IFERROR(IF(INDEX(Roster!$A:$A,MATCH($C1193,Roster!$B:$B,0))="","",INDEX(Roster!$A:$A,MATCH($C1193,Roster!$B:$B,0))&amp;""),"—"))</f>
        <v/>
      </c>
      <c r="E1193" s="25">
        <f>IF($C1193="","",IFERROR(IF(INDEX(Roster!$C:$C,MATCH($C1193,Roster!$B:$B,0))="","",INDEX(Roster!$C:$C,MATCH($C1193,Roster!$B:$B,0))&amp;""),"—"))</f>
        <v/>
      </c>
      <c r="F1193" s="25">
        <f>IF($C1193="","",IFERROR(IF(INDEX(Roster!$D:$D,MATCH($C1193,Roster!$B:$B,0))="","",INDEX(Roster!$D:$D,MATCH($C1193,Roster!$B:$B,0))&amp;""),"—"))</f>
        <v/>
      </c>
      <c r="G1193" s="25">
        <f>IF($C1193="","",IFERROR(IF(INDEX(Roster!$E:$E,MATCH($C1193,Roster!$B:$B,0))="","",INDEX(Roster!$E:$E,MATCH($C1193,Roster!$B:$B,0))&amp;""),"—"))</f>
        <v/>
      </c>
      <c r="H1193" s="25">
        <f>IF($C1193="","",IFERROR(IF(INDEX(Roster!$F:$F,MATCH($C1193,Roster!$B:$B,0))="","",INDEX(Roster!$F:$F,MATCH($C1193,Roster!$B:$B,0))&amp;""),"—"))</f>
        <v/>
      </c>
      <c r="I1193" s="25">
        <f>IF($C1193="","",IFERROR(IF(INDEX(Roster!$G:$G,MATCH($C1193,Roster!$B:$B,0))="","",INDEX(Roster!$G:$G,MATCH($C1193,Roster!$B:$B,0))&amp;""),"—"))</f>
        <v/>
      </c>
      <c r="J1193" s="25">
        <f>IF($C1193="","",IFERROR(IF(INDEX(Roster!$I:$I,MATCH($C1193,Roster!$B:$B,0))="","",INDEX(Roster!$I:$I,MATCH($C1193,Roster!$B:$B,0))&amp;""),"—"))</f>
        <v/>
      </c>
      <c r="K1193">
        <f>IF($C1193="","",IFERROR(IF(INDEX(Roster!$J:$J,MATCH($C1193,Roster!$B:$B,0))="","",INDEX(Roster!$J:$J,MATCH($C1193,Roster!$B:$B,0))&amp;""),"—"))</f>
        <v/>
      </c>
      <c r="L1193">
        <f>IF($C1193="","",IFERROR(IF(INDEX(Roster!$K:$K,MATCH($C1193,Roster!$B:$B,0))="","",INDEX(Roster!$K:$K,MATCH($C1193,Roster!$B:$B,0))&amp;""),"—"))</f>
        <v/>
      </c>
      <c r="M1193" s="27" t="n"/>
      <c r="N1193" s="27" t="n"/>
      <c r="O1193" s="25">
        <f>IF($C1193="","",IF($P1193="","—",IF($P1193="Valid (Pass)","Valid","Invalid")))</f>
        <v/>
      </c>
      <c r="P1193" s="27" t="n"/>
      <c r="Q1193" s="27" t="n"/>
      <c r="R1193" s="27" t="n"/>
      <c r="S1193" s="27" t="n"/>
      <c r="T1193" s="25">
        <f>IF($C1193="","",IF(OR(ISNUMBER(SEARCH("quick case",$P1193)),ISNUMBER(SEARCH("quick case",$Q1193))),"Yes","No"))</f>
        <v/>
      </c>
      <c r="U1193" s="25">
        <f>IF($O1193="Invalid",HYPERLINK("mailto:"&amp;$G1193&amp;";"&amp;$I1193&amp;"?cc="&amp;Lists!$E$2&amp;"&amp;subject="&amp;_xlfn.ENCODEURL("[INVALID] Quality audit monitoring completed for "&amp;UPPER($C1193))&amp;"&amp;body="&amp;_xlfn.ENCODEURL("Hi "&amp;$F1193&amp;","&amp;CHAR(10)&amp;"Good day!"&amp;CHAR(10)&amp;CHAR(10)&amp;"A quality monitoring audit has been completed for "&amp;$C1193&amp;"."&amp;CHAR(10)&amp;CHAR(10)&amp;"QUALITY AUDIT DETAILS"&amp;CHAR(10)&amp;"Agent Name: "&amp;$C1193&amp;" (EID "&amp;$D1193&amp;")"&amp;CHAR(10)&amp;"Audit Date: "&amp;TEXT($B1193,"yyyy-mm-dd")&amp;CHAR(10)&amp;"Team Leader: "&amp;$F1193&amp;CHAR(10)&amp;"Case Number: "&amp;$M1193&amp;CHAR(10)&amp;"Transaction ID: "&amp;$N1193&amp;CHAR(10)&amp;"Channel / LOB: "&amp;$K1193&amp;" / "&amp;$L1193&amp;CHAR(10)&amp;"Evaluator: "&amp;$S1193&amp;CHAR(10)&amp;CHAR(10)&amp;"INVALID QUALITY AUDIT DETAILS"&amp;CHAR(10)&amp;"Validation: Invalid"&amp;CHAR(10)&amp;"Invalid Reason: "&amp;$P1193&amp;CHAR(10)&amp;"Expected Resolution Code: "&amp;$Q1193&amp;CHAR(10)&amp;"Remarks: "&amp;LEFT($R1193,600)&amp;CHAR(10)&amp;CHAR(10)&amp;"This is an automated notification from HP Mainstream EQMS."),"✉ Open Email Draft"),"")</f>
        <v/>
      </c>
    </row>
    <row r="1194">
      <c r="A1194" s="25">
        <f>IF($C1194="","","AUD-2026-"&amp;TEXT(ROW()-1,"000000"))</f>
        <v/>
      </c>
      <c r="B1194" s="26" t="n"/>
      <c r="C1194" s="27" t="n"/>
      <c r="D1194" s="25">
        <f>IF($C1194="","",IFERROR(IF(INDEX(Roster!$A:$A,MATCH($C1194,Roster!$B:$B,0))="","",INDEX(Roster!$A:$A,MATCH($C1194,Roster!$B:$B,0))&amp;""),"—"))</f>
        <v/>
      </c>
      <c r="E1194" s="25">
        <f>IF($C1194="","",IFERROR(IF(INDEX(Roster!$C:$C,MATCH($C1194,Roster!$B:$B,0))="","",INDEX(Roster!$C:$C,MATCH($C1194,Roster!$B:$B,0))&amp;""),"—"))</f>
        <v/>
      </c>
      <c r="F1194" s="25">
        <f>IF($C1194="","",IFERROR(IF(INDEX(Roster!$D:$D,MATCH($C1194,Roster!$B:$B,0))="","",INDEX(Roster!$D:$D,MATCH($C1194,Roster!$B:$B,0))&amp;""),"—"))</f>
        <v/>
      </c>
      <c r="G1194" s="25">
        <f>IF($C1194="","",IFERROR(IF(INDEX(Roster!$E:$E,MATCH($C1194,Roster!$B:$B,0))="","",INDEX(Roster!$E:$E,MATCH($C1194,Roster!$B:$B,0))&amp;""),"—"))</f>
        <v/>
      </c>
      <c r="H1194" s="25">
        <f>IF($C1194="","",IFERROR(IF(INDEX(Roster!$F:$F,MATCH($C1194,Roster!$B:$B,0))="","",INDEX(Roster!$F:$F,MATCH($C1194,Roster!$B:$B,0))&amp;""),"—"))</f>
        <v/>
      </c>
      <c r="I1194" s="25">
        <f>IF($C1194="","",IFERROR(IF(INDEX(Roster!$G:$G,MATCH($C1194,Roster!$B:$B,0))="","",INDEX(Roster!$G:$G,MATCH($C1194,Roster!$B:$B,0))&amp;""),"—"))</f>
        <v/>
      </c>
      <c r="J1194" s="25">
        <f>IF($C1194="","",IFERROR(IF(INDEX(Roster!$I:$I,MATCH($C1194,Roster!$B:$B,0))="","",INDEX(Roster!$I:$I,MATCH($C1194,Roster!$B:$B,0))&amp;""),"—"))</f>
        <v/>
      </c>
      <c r="K1194">
        <f>IF($C1194="","",IFERROR(IF(INDEX(Roster!$J:$J,MATCH($C1194,Roster!$B:$B,0))="","",INDEX(Roster!$J:$J,MATCH($C1194,Roster!$B:$B,0))&amp;""),"—"))</f>
        <v/>
      </c>
      <c r="L1194">
        <f>IF($C1194="","",IFERROR(IF(INDEX(Roster!$K:$K,MATCH($C1194,Roster!$B:$B,0))="","",INDEX(Roster!$K:$K,MATCH($C1194,Roster!$B:$B,0))&amp;""),"—"))</f>
        <v/>
      </c>
      <c r="M1194" s="27" t="n"/>
      <c r="N1194" s="27" t="n"/>
      <c r="O1194" s="25">
        <f>IF($C1194="","",IF($P1194="","—",IF($P1194="Valid (Pass)","Valid","Invalid")))</f>
        <v/>
      </c>
      <c r="P1194" s="27" t="n"/>
      <c r="Q1194" s="27" t="n"/>
      <c r="R1194" s="27" t="n"/>
      <c r="S1194" s="27" t="n"/>
      <c r="T1194" s="25">
        <f>IF($C1194="","",IF(OR(ISNUMBER(SEARCH("quick case",$P1194)),ISNUMBER(SEARCH("quick case",$Q1194))),"Yes","No"))</f>
        <v/>
      </c>
      <c r="U1194" s="25">
        <f>IF($O1194="Invalid",HYPERLINK("mailto:"&amp;$G1194&amp;";"&amp;$I1194&amp;"?cc="&amp;Lists!$E$2&amp;"&amp;subject="&amp;_xlfn.ENCODEURL("[INVALID] Quality audit monitoring completed for "&amp;UPPER($C1194))&amp;"&amp;body="&amp;_xlfn.ENCODEURL("Hi "&amp;$F1194&amp;","&amp;CHAR(10)&amp;"Good day!"&amp;CHAR(10)&amp;CHAR(10)&amp;"A quality monitoring audit has been completed for "&amp;$C1194&amp;"."&amp;CHAR(10)&amp;CHAR(10)&amp;"QUALITY AUDIT DETAILS"&amp;CHAR(10)&amp;"Agent Name: "&amp;$C1194&amp;" (EID "&amp;$D1194&amp;")"&amp;CHAR(10)&amp;"Audit Date: "&amp;TEXT($B1194,"yyyy-mm-dd")&amp;CHAR(10)&amp;"Team Leader: "&amp;$F1194&amp;CHAR(10)&amp;"Case Number: "&amp;$M1194&amp;CHAR(10)&amp;"Transaction ID: "&amp;$N1194&amp;CHAR(10)&amp;"Channel / LOB: "&amp;$K1194&amp;" / "&amp;$L1194&amp;CHAR(10)&amp;"Evaluator: "&amp;$S1194&amp;CHAR(10)&amp;CHAR(10)&amp;"INVALID QUALITY AUDIT DETAILS"&amp;CHAR(10)&amp;"Validation: Invalid"&amp;CHAR(10)&amp;"Invalid Reason: "&amp;$P1194&amp;CHAR(10)&amp;"Expected Resolution Code: "&amp;$Q1194&amp;CHAR(10)&amp;"Remarks: "&amp;LEFT($R1194,600)&amp;CHAR(10)&amp;CHAR(10)&amp;"This is an automated notification from HP Mainstream EQMS."),"✉ Open Email Draft"),"")</f>
        <v/>
      </c>
    </row>
    <row r="1195">
      <c r="A1195" s="25">
        <f>IF($C1195="","","AUD-2026-"&amp;TEXT(ROW()-1,"000000"))</f>
        <v/>
      </c>
      <c r="B1195" s="26" t="n"/>
      <c r="C1195" s="27" t="n"/>
      <c r="D1195" s="25">
        <f>IF($C1195="","",IFERROR(IF(INDEX(Roster!$A:$A,MATCH($C1195,Roster!$B:$B,0))="","",INDEX(Roster!$A:$A,MATCH($C1195,Roster!$B:$B,0))&amp;""),"—"))</f>
        <v/>
      </c>
      <c r="E1195" s="25">
        <f>IF($C1195="","",IFERROR(IF(INDEX(Roster!$C:$C,MATCH($C1195,Roster!$B:$B,0))="","",INDEX(Roster!$C:$C,MATCH($C1195,Roster!$B:$B,0))&amp;""),"—"))</f>
        <v/>
      </c>
      <c r="F1195" s="25">
        <f>IF($C1195="","",IFERROR(IF(INDEX(Roster!$D:$D,MATCH($C1195,Roster!$B:$B,0))="","",INDEX(Roster!$D:$D,MATCH($C1195,Roster!$B:$B,0))&amp;""),"—"))</f>
        <v/>
      </c>
      <c r="G1195" s="25">
        <f>IF($C1195="","",IFERROR(IF(INDEX(Roster!$E:$E,MATCH($C1195,Roster!$B:$B,0))="","",INDEX(Roster!$E:$E,MATCH($C1195,Roster!$B:$B,0))&amp;""),"—"))</f>
        <v/>
      </c>
      <c r="H1195" s="25">
        <f>IF($C1195="","",IFERROR(IF(INDEX(Roster!$F:$F,MATCH($C1195,Roster!$B:$B,0))="","",INDEX(Roster!$F:$F,MATCH($C1195,Roster!$B:$B,0))&amp;""),"—"))</f>
        <v/>
      </c>
      <c r="I1195" s="25">
        <f>IF($C1195="","",IFERROR(IF(INDEX(Roster!$G:$G,MATCH($C1195,Roster!$B:$B,0))="","",INDEX(Roster!$G:$G,MATCH($C1195,Roster!$B:$B,0))&amp;""),"—"))</f>
        <v/>
      </c>
      <c r="J1195" s="25">
        <f>IF($C1195="","",IFERROR(IF(INDEX(Roster!$I:$I,MATCH($C1195,Roster!$B:$B,0))="","",INDEX(Roster!$I:$I,MATCH($C1195,Roster!$B:$B,0))&amp;""),"—"))</f>
        <v/>
      </c>
      <c r="K1195">
        <f>IF($C1195="","",IFERROR(IF(INDEX(Roster!$J:$J,MATCH($C1195,Roster!$B:$B,0))="","",INDEX(Roster!$J:$J,MATCH($C1195,Roster!$B:$B,0))&amp;""),"—"))</f>
        <v/>
      </c>
      <c r="L1195">
        <f>IF($C1195="","",IFERROR(IF(INDEX(Roster!$K:$K,MATCH($C1195,Roster!$B:$B,0))="","",INDEX(Roster!$K:$K,MATCH($C1195,Roster!$B:$B,0))&amp;""),"—"))</f>
        <v/>
      </c>
      <c r="M1195" s="27" t="n"/>
      <c r="N1195" s="27" t="n"/>
      <c r="O1195" s="25">
        <f>IF($C1195="","",IF($P1195="","—",IF($P1195="Valid (Pass)","Valid","Invalid")))</f>
        <v/>
      </c>
      <c r="P1195" s="27" t="n"/>
      <c r="Q1195" s="27" t="n"/>
      <c r="R1195" s="27" t="n"/>
      <c r="S1195" s="27" t="n"/>
      <c r="T1195" s="25">
        <f>IF($C1195="","",IF(OR(ISNUMBER(SEARCH("quick case",$P1195)),ISNUMBER(SEARCH("quick case",$Q1195))),"Yes","No"))</f>
        <v/>
      </c>
      <c r="U1195" s="25">
        <f>IF($O1195="Invalid",HYPERLINK("mailto:"&amp;$G1195&amp;";"&amp;$I1195&amp;"?cc="&amp;Lists!$E$2&amp;"&amp;subject="&amp;_xlfn.ENCODEURL("[INVALID] Quality audit monitoring completed for "&amp;UPPER($C1195))&amp;"&amp;body="&amp;_xlfn.ENCODEURL("Hi "&amp;$F1195&amp;","&amp;CHAR(10)&amp;"Good day!"&amp;CHAR(10)&amp;CHAR(10)&amp;"A quality monitoring audit has been completed for "&amp;$C1195&amp;"."&amp;CHAR(10)&amp;CHAR(10)&amp;"QUALITY AUDIT DETAILS"&amp;CHAR(10)&amp;"Agent Name: "&amp;$C1195&amp;" (EID "&amp;$D1195&amp;")"&amp;CHAR(10)&amp;"Audit Date: "&amp;TEXT($B1195,"yyyy-mm-dd")&amp;CHAR(10)&amp;"Team Leader: "&amp;$F1195&amp;CHAR(10)&amp;"Case Number: "&amp;$M1195&amp;CHAR(10)&amp;"Transaction ID: "&amp;$N1195&amp;CHAR(10)&amp;"Channel / LOB: "&amp;$K1195&amp;" / "&amp;$L1195&amp;CHAR(10)&amp;"Evaluator: "&amp;$S1195&amp;CHAR(10)&amp;CHAR(10)&amp;"INVALID QUALITY AUDIT DETAILS"&amp;CHAR(10)&amp;"Validation: Invalid"&amp;CHAR(10)&amp;"Invalid Reason: "&amp;$P1195&amp;CHAR(10)&amp;"Expected Resolution Code: "&amp;$Q1195&amp;CHAR(10)&amp;"Remarks: "&amp;LEFT($R1195,600)&amp;CHAR(10)&amp;CHAR(10)&amp;"This is an automated notification from HP Mainstream EQMS."),"✉ Open Email Draft"),"")</f>
        <v/>
      </c>
    </row>
    <row r="1196">
      <c r="A1196" s="25">
        <f>IF($C1196="","","AUD-2026-"&amp;TEXT(ROW()-1,"000000"))</f>
        <v/>
      </c>
      <c r="B1196" s="26" t="n"/>
      <c r="C1196" s="27" t="n"/>
      <c r="D1196" s="25">
        <f>IF($C1196="","",IFERROR(IF(INDEX(Roster!$A:$A,MATCH($C1196,Roster!$B:$B,0))="","",INDEX(Roster!$A:$A,MATCH($C1196,Roster!$B:$B,0))&amp;""),"—"))</f>
        <v/>
      </c>
      <c r="E1196" s="25">
        <f>IF($C1196="","",IFERROR(IF(INDEX(Roster!$C:$C,MATCH($C1196,Roster!$B:$B,0))="","",INDEX(Roster!$C:$C,MATCH($C1196,Roster!$B:$B,0))&amp;""),"—"))</f>
        <v/>
      </c>
      <c r="F1196" s="25">
        <f>IF($C1196="","",IFERROR(IF(INDEX(Roster!$D:$D,MATCH($C1196,Roster!$B:$B,0))="","",INDEX(Roster!$D:$D,MATCH($C1196,Roster!$B:$B,0))&amp;""),"—"))</f>
        <v/>
      </c>
      <c r="G1196" s="25">
        <f>IF($C1196="","",IFERROR(IF(INDEX(Roster!$E:$E,MATCH($C1196,Roster!$B:$B,0))="","",INDEX(Roster!$E:$E,MATCH($C1196,Roster!$B:$B,0))&amp;""),"—"))</f>
        <v/>
      </c>
      <c r="H1196" s="25">
        <f>IF($C1196="","",IFERROR(IF(INDEX(Roster!$F:$F,MATCH($C1196,Roster!$B:$B,0))="","",INDEX(Roster!$F:$F,MATCH($C1196,Roster!$B:$B,0))&amp;""),"—"))</f>
        <v/>
      </c>
      <c r="I1196" s="25">
        <f>IF($C1196="","",IFERROR(IF(INDEX(Roster!$G:$G,MATCH($C1196,Roster!$B:$B,0))="","",INDEX(Roster!$G:$G,MATCH($C1196,Roster!$B:$B,0))&amp;""),"—"))</f>
        <v/>
      </c>
      <c r="J1196" s="25">
        <f>IF($C1196="","",IFERROR(IF(INDEX(Roster!$I:$I,MATCH($C1196,Roster!$B:$B,0))="","",INDEX(Roster!$I:$I,MATCH($C1196,Roster!$B:$B,0))&amp;""),"—"))</f>
        <v/>
      </c>
      <c r="K1196">
        <f>IF($C1196="","",IFERROR(IF(INDEX(Roster!$J:$J,MATCH($C1196,Roster!$B:$B,0))="","",INDEX(Roster!$J:$J,MATCH($C1196,Roster!$B:$B,0))&amp;""),"—"))</f>
        <v/>
      </c>
      <c r="L1196">
        <f>IF($C1196="","",IFERROR(IF(INDEX(Roster!$K:$K,MATCH($C1196,Roster!$B:$B,0))="","",INDEX(Roster!$K:$K,MATCH($C1196,Roster!$B:$B,0))&amp;""),"—"))</f>
        <v/>
      </c>
      <c r="M1196" s="27" t="n"/>
      <c r="N1196" s="27" t="n"/>
      <c r="O1196" s="25">
        <f>IF($C1196="","",IF($P1196="","—",IF($P1196="Valid (Pass)","Valid","Invalid")))</f>
        <v/>
      </c>
      <c r="P1196" s="27" t="n"/>
      <c r="Q1196" s="27" t="n"/>
      <c r="R1196" s="27" t="n"/>
      <c r="S1196" s="27" t="n"/>
      <c r="T1196" s="25">
        <f>IF($C1196="","",IF(OR(ISNUMBER(SEARCH("quick case",$P1196)),ISNUMBER(SEARCH("quick case",$Q1196))),"Yes","No"))</f>
        <v/>
      </c>
      <c r="U1196" s="25">
        <f>IF($O1196="Invalid",HYPERLINK("mailto:"&amp;$G1196&amp;";"&amp;$I1196&amp;"?cc="&amp;Lists!$E$2&amp;"&amp;subject="&amp;_xlfn.ENCODEURL("[INVALID] Quality audit monitoring completed for "&amp;UPPER($C1196))&amp;"&amp;body="&amp;_xlfn.ENCODEURL("Hi "&amp;$F1196&amp;","&amp;CHAR(10)&amp;"Good day!"&amp;CHAR(10)&amp;CHAR(10)&amp;"A quality monitoring audit has been completed for "&amp;$C1196&amp;"."&amp;CHAR(10)&amp;CHAR(10)&amp;"QUALITY AUDIT DETAILS"&amp;CHAR(10)&amp;"Agent Name: "&amp;$C1196&amp;" (EID "&amp;$D1196&amp;")"&amp;CHAR(10)&amp;"Audit Date: "&amp;TEXT($B1196,"yyyy-mm-dd")&amp;CHAR(10)&amp;"Team Leader: "&amp;$F1196&amp;CHAR(10)&amp;"Case Number: "&amp;$M1196&amp;CHAR(10)&amp;"Transaction ID: "&amp;$N1196&amp;CHAR(10)&amp;"Channel / LOB: "&amp;$K1196&amp;" / "&amp;$L1196&amp;CHAR(10)&amp;"Evaluator: "&amp;$S1196&amp;CHAR(10)&amp;CHAR(10)&amp;"INVALID QUALITY AUDIT DETAILS"&amp;CHAR(10)&amp;"Validation: Invalid"&amp;CHAR(10)&amp;"Invalid Reason: "&amp;$P1196&amp;CHAR(10)&amp;"Expected Resolution Code: "&amp;$Q1196&amp;CHAR(10)&amp;"Remarks: "&amp;LEFT($R1196,600)&amp;CHAR(10)&amp;CHAR(10)&amp;"This is an automated notification from HP Mainstream EQMS."),"✉ Open Email Draft"),"")</f>
        <v/>
      </c>
    </row>
    <row r="1197">
      <c r="A1197" s="25">
        <f>IF($C1197="","","AUD-2026-"&amp;TEXT(ROW()-1,"000000"))</f>
        <v/>
      </c>
      <c r="B1197" s="26" t="n"/>
      <c r="C1197" s="27" t="n"/>
      <c r="D1197" s="25">
        <f>IF($C1197="","",IFERROR(IF(INDEX(Roster!$A:$A,MATCH($C1197,Roster!$B:$B,0))="","",INDEX(Roster!$A:$A,MATCH($C1197,Roster!$B:$B,0))&amp;""),"—"))</f>
        <v/>
      </c>
      <c r="E1197" s="25">
        <f>IF($C1197="","",IFERROR(IF(INDEX(Roster!$C:$C,MATCH($C1197,Roster!$B:$B,0))="","",INDEX(Roster!$C:$C,MATCH($C1197,Roster!$B:$B,0))&amp;""),"—"))</f>
        <v/>
      </c>
      <c r="F1197" s="25">
        <f>IF($C1197="","",IFERROR(IF(INDEX(Roster!$D:$D,MATCH($C1197,Roster!$B:$B,0))="","",INDEX(Roster!$D:$D,MATCH($C1197,Roster!$B:$B,0))&amp;""),"—"))</f>
        <v/>
      </c>
      <c r="G1197" s="25">
        <f>IF($C1197="","",IFERROR(IF(INDEX(Roster!$E:$E,MATCH($C1197,Roster!$B:$B,0))="","",INDEX(Roster!$E:$E,MATCH($C1197,Roster!$B:$B,0))&amp;""),"—"))</f>
        <v/>
      </c>
      <c r="H1197" s="25">
        <f>IF($C1197="","",IFERROR(IF(INDEX(Roster!$F:$F,MATCH($C1197,Roster!$B:$B,0))="","",INDEX(Roster!$F:$F,MATCH($C1197,Roster!$B:$B,0))&amp;""),"—"))</f>
        <v/>
      </c>
      <c r="I1197" s="25">
        <f>IF($C1197="","",IFERROR(IF(INDEX(Roster!$G:$G,MATCH($C1197,Roster!$B:$B,0))="","",INDEX(Roster!$G:$G,MATCH($C1197,Roster!$B:$B,0))&amp;""),"—"))</f>
        <v/>
      </c>
      <c r="J1197" s="25">
        <f>IF($C1197="","",IFERROR(IF(INDEX(Roster!$I:$I,MATCH($C1197,Roster!$B:$B,0))="","",INDEX(Roster!$I:$I,MATCH($C1197,Roster!$B:$B,0))&amp;""),"—"))</f>
        <v/>
      </c>
      <c r="K1197">
        <f>IF($C1197="","",IFERROR(IF(INDEX(Roster!$J:$J,MATCH($C1197,Roster!$B:$B,0))="","",INDEX(Roster!$J:$J,MATCH($C1197,Roster!$B:$B,0))&amp;""),"—"))</f>
        <v/>
      </c>
      <c r="L1197">
        <f>IF($C1197="","",IFERROR(IF(INDEX(Roster!$K:$K,MATCH($C1197,Roster!$B:$B,0))="","",INDEX(Roster!$K:$K,MATCH($C1197,Roster!$B:$B,0))&amp;""),"—"))</f>
        <v/>
      </c>
      <c r="M1197" s="27" t="n"/>
      <c r="N1197" s="27" t="n"/>
      <c r="O1197" s="25">
        <f>IF($C1197="","",IF($P1197="","—",IF($P1197="Valid (Pass)","Valid","Invalid")))</f>
        <v/>
      </c>
      <c r="P1197" s="27" t="n"/>
      <c r="Q1197" s="27" t="n"/>
      <c r="R1197" s="27" t="n"/>
      <c r="S1197" s="27" t="n"/>
      <c r="T1197" s="25">
        <f>IF($C1197="","",IF(OR(ISNUMBER(SEARCH("quick case",$P1197)),ISNUMBER(SEARCH("quick case",$Q1197))),"Yes","No"))</f>
        <v/>
      </c>
      <c r="U1197" s="25">
        <f>IF($O1197="Invalid",HYPERLINK("mailto:"&amp;$G1197&amp;";"&amp;$I1197&amp;"?cc="&amp;Lists!$E$2&amp;"&amp;subject="&amp;_xlfn.ENCODEURL("[INVALID] Quality audit monitoring completed for "&amp;UPPER($C1197))&amp;"&amp;body="&amp;_xlfn.ENCODEURL("Hi "&amp;$F1197&amp;","&amp;CHAR(10)&amp;"Good day!"&amp;CHAR(10)&amp;CHAR(10)&amp;"A quality monitoring audit has been completed for "&amp;$C1197&amp;"."&amp;CHAR(10)&amp;CHAR(10)&amp;"QUALITY AUDIT DETAILS"&amp;CHAR(10)&amp;"Agent Name: "&amp;$C1197&amp;" (EID "&amp;$D1197&amp;")"&amp;CHAR(10)&amp;"Audit Date: "&amp;TEXT($B1197,"yyyy-mm-dd")&amp;CHAR(10)&amp;"Team Leader: "&amp;$F1197&amp;CHAR(10)&amp;"Case Number: "&amp;$M1197&amp;CHAR(10)&amp;"Transaction ID: "&amp;$N1197&amp;CHAR(10)&amp;"Channel / LOB: "&amp;$K1197&amp;" / "&amp;$L1197&amp;CHAR(10)&amp;"Evaluator: "&amp;$S1197&amp;CHAR(10)&amp;CHAR(10)&amp;"INVALID QUALITY AUDIT DETAILS"&amp;CHAR(10)&amp;"Validation: Invalid"&amp;CHAR(10)&amp;"Invalid Reason: "&amp;$P1197&amp;CHAR(10)&amp;"Expected Resolution Code: "&amp;$Q1197&amp;CHAR(10)&amp;"Remarks: "&amp;LEFT($R1197,600)&amp;CHAR(10)&amp;CHAR(10)&amp;"This is an automated notification from HP Mainstream EQMS."),"✉ Open Email Draft"),"")</f>
        <v/>
      </c>
    </row>
    <row r="1198">
      <c r="A1198" s="25">
        <f>IF($C1198="","","AUD-2026-"&amp;TEXT(ROW()-1,"000000"))</f>
        <v/>
      </c>
      <c r="B1198" s="26" t="n"/>
      <c r="C1198" s="27" t="n"/>
      <c r="D1198" s="25">
        <f>IF($C1198="","",IFERROR(IF(INDEX(Roster!$A:$A,MATCH($C1198,Roster!$B:$B,0))="","",INDEX(Roster!$A:$A,MATCH($C1198,Roster!$B:$B,0))&amp;""),"—"))</f>
        <v/>
      </c>
      <c r="E1198" s="25">
        <f>IF($C1198="","",IFERROR(IF(INDEX(Roster!$C:$C,MATCH($C1198,Roster!$B:$B,0))="","",INDEX(Roster!$C:$C,MATCH($C1198,Roster!$B:$B,0))&amp;""),"—"))</f>
        <v/>
      </c>
      <c r="F1198" s="25">
        <f>IF($C1198="","",IFERROR(IF(INDEX(Roster!$D:$D,MATCH($C1198,Roster!$B:$B,0))="","",INDEX(Roster!$D:$D,MATCH($C1198,Roster!$B:$B,0))&amp;""),"—"))</f>
        <v/>
      </c>
      <c r="G1198" s="25">
        <f>IF($C1198="","",IFERROR(IF(INDEX(Roster!$E:$E,MATCH($C1198,Roster!$B:$B,0))="","",INDEX(Roster!$E:$E,MATCH($C1198,Roster!$B:$B,0))&amp;""),"—"))</f>
        <v/>
      </c>
      <c r="H1198" s="25">
        <f>IF($C1198="","",IFERROR(IF(INDEX(Roster!$F:$F,MATCH($C1198,Roster!$B:$B,0))="","",INDEX(Roster!$F:$F,MATCH($C1198,Roster!$B:$B,0))&amp;""),"—"))</f>
        <v/>
      </c>
      <c r="I1198" s="25">
        <f>IF($C1198="","",IFERROR(IF(INDEX(Roster!$G:$G,MATCH($C1198,Roster!$B:$B,0))="","",INDEX(Roster!$G:$G,MATCH($C1198,Roster!$B:$B,0))&amp;""),"—"))</f>
        <v/>
      </c>
      <c r="J1198" s="25">
        <f>IF($C1198="","",IFERROR(IF(INDEX(Roster!$I:$I,MATCH($C1198,Roster!$B:$B,0))="","",INDEX(Roster!$I:$I,MATCH($C1198,Roster!$B:$B,0))&amp;""),"—"))</f>
        <v/>
      </c>
      <c r="K1198">
        <f>IF($C1198="","",IFERROR(IF(INDEX(Roster!$J:$J,MATCH($C1198,Roster!$B:$B,0))="","",INDEX(Roster!$J:$J,MATCH($C1198,Roster!$B:$B,0))&amp;""),"—"))</f>
        <v/>
      </c>
      <c r="L1198">
        <f>IF($C1198="","",IFERROR(IF(INDEX(Roster!$K:$K,MATCH($C1198,Roster!$B:$B,0))="","",INDEX(Roster!$K:$K,MATCH($C1198,Roster!$B:$B,0))&amp;""),"—"))</f>
        <v/>
      </c>
      <c r="M1198" s="27" t="n"/>
      <c r="N1198" s="27" t="n"/>
      <c r="O1198" s="25">
        <f>IF($C1198="","",IF($P1198="","—",IF($P1198="Valid (Pass)","Valid","Invalid")))</f>
        <v/>
      </c>
      <c r="P1198" s="27" t="n"/>
      <c r="Q1198" s="27" t="n"/>
      <c r="R1198" s="27" t="n"/>
      <c r="S1198" s="27" t="n"/>
      <c r="T1198" s="25">
        <f>IF($C1198="","",IF(OR(ISNUMBER(SEARCH("quick case",$P1198)),ISNUMBER(SEARCH("quick case",$Q1198))),"Yes","No"))</f>
        <v/>
      </c>
      <c r="U1198" s="25">
        <f>IF($O1198="Invalid",HYPERLINK("mailto:"&amp;$G1198&amp;";"&amp;$I1198&amp;"?cc="&amp;Lists!$E$2&amp;"&amp;subject="&amp;_xlfn.ENCODEURL("[INVALID] Quality audit monitoring completed for "&amp;UPPER($C1198))&amp;"&amp;body="&amp;_xlfn.ENCODEURL("Hi "&amp;$F1198&amp;","&amp;CHAR(10)&amp;"Good day!"&amp;CHAR(10)&amp;CHAR(10)&amp;"A quality monitoring audit has been completed for "&amp;$C1198&amp;"."&amp;CHAR(10)&amp;CHAR(10)&amp;"QUALITY AUDIT DETAILS"&amp;CHAR(10)&amp;"Agent Name: "&amp;$C1198&amp;" (EID "&amp;$D1198&amp;")"&amp;CHAR(10)&amp;"Audit Date: "&amp;TEXT($B1198,"yyyy-mm-dd")&amp;CHAR(10)&amp;"Team Leader: "&amp;$F1198&amp;CHAR(10)&amp;"Case Number: "&amp;$M1198&amp;CHAR(10)&amp;"Transaction ID: "&amp;$N1198&amp;CHAR(10)&amp;"Channel / LOB: "&amp;$K1198&amp;" / "&amp;$L1198&amp;CHAR(10)&amp;"Evaluator: "&amp;$S1198&amp;CHAR(10)&amp;CHAR(10)&amp;"INVALID QUALITY AUDIT DETAILS"&amp;CHAR(10)&amp;"Validation: Invalid"&amp;CHAR(10)&amp;"Invalid Reason: "&amp;$P1198&amp;CHAR(10)&amp;"Expected Resolution Code: "&amp;$Q1198&amp;CHAR(10)&amp;"Remarks: "&amp;LEFT($R1198,600)&amp;CHAR(10)&amp;CHAR(10)&amp;"This is an automated notification from HP Mainstream EQMS."),"✉ Open Email Draft"),"")</f>
        <v/>
      </c>
    </row>
    <row r="1199">
      <c r="A1199" s="25">
        <f>IF($C1199="","","AUD-2026-"&amp;TEXT(ROW()-1,"000000"))</f>
        <v/>
      </c>
      <c r="B1199" s="26" t="n"/>
      <c r="C1199" s="27" t="n"/>
      <c r="D1199" s="25">
        <f>IF($C1199="","",IFERROR(IF(INDEX(Roster!$A:$A,MATCH($C1199,Roster!$B:$B,0))="","",INDEX(Roster!$A:$A,MATCH($C1199,Roster!$B:$B,0))&amp;""),"—"))</f>
        <v/>
      </c>
      <c r="E1199" s="25">
        <f>IF($C1199="","",IFERROR(IF(INDEX(Roster!$C:$C,MATCH($C1199,Roster!$B:$B,0))="","",INDEX(Roster!$C:$C,MATCH($C1199,Roster!$B:$B,0))&amp;""),"—"))</f>
        <v/>
      </c>
      <c r="F1199" s="25">
        <f>IF($C1199="","",IFERROR(IF(INDEX(Roster!$D:$D,MATCH($C1199,Roster!$B:$B,0))="","",INDEX(Roster!$D:$D,MATCH($C1199,Roster!$B:$B,0))&amp;""),"—"))</f>
        <v/>
      </c>
      <c r="G1199" s="25">
        <f>IF($C1199="","",IFERROR(IF(INDEX(Roster!$E:$E,MATCH($C1199,Roster!$B:$B,0))="","",INDEX(Roster!$E:$E,MATCH($C1199,Roster!$B:$B,0))&amp;""),"—"))</f>
        <v/>
      </c>
      <c r="H1199" s="25">
        <f>IF($C1199="","",IFERROR(IF(INDEX(Roster!$F:$F,MATCH($C1199,Roster!$B:$B,0))="","",INDEX(Roster!$F:$F,MATCH($C1199,Roster!$B:$B,0))&amp;""),"—"))</f>
        <v/>
      </c>
      <c r="I1199" s="25">
        <f>IF($C1199="","",IFERROR(IF(INDEX(Roster!$G:$G,MATCH($C1199,Roster!$B:$B,0))="","",INDEX(Roster!$G:$G,MATCH($C1199,Roster!$B:$B,0))&amp;""),"—"))</f>
        <v/>
      </c>
      <c r="J1199" s="25">
        <f>IF($C1199="","",IFERROR(IF(INDEX(Roster!$I:$I,MATCH($C1199,Roster!$B:$B,0))="","",INDEX(Roster!$I:$I,MATCH($C1199,Roster!$B:$B,0))&amp;""),"—"))</f>
        <v/>
      </c>
      <c r="K1199">
        <f>IF($C1199="","",IFERROR(IF(INDEX(Roster!$J:$J,MATCH($C1199,Roster!$B:$B,0))="","",INDEX(Roster!$J:$J,MATCH($C1199,Roster!$B:$B,0))&amp;""),"—"))</f>
        <v/>
      </c>
      <c r="L1199">
        <f>IF($C1199="","",IFERROR(IF(INDEX(Roster!$K:$K,MATCH($C1199,Roster!$B:$B,0))="","",INDEX(Roster!$K:$K,MATCH($C1199,Roster!$B:$B,0))&amp;""),"—"))</f>
        <v/>
      </c>
      <c r="M1199" s="27" t="n"/>
      <c r="N1199" s="27" t="n"/>
      <c r="O1199" s="25">
        <f>IF($C1199="","",IF($P1199="","—",IF($P1199="Valid (Pass)","Valid","Invalid")))</f>
        <v/>
      </c>
      <c r="P1199" s="27" t="n"/>
      <c r="Q1199" s="27" t="n"/>
      <c r="R1199" s="27" t="n"/>
      <c r="S1199" s="27" t="n"/>
      <c r="T1199" s="25">
        <f>IF($C1199="","",IF(OR(ISNUMBER(SEARCH("quick case",$P1199)),ISNUMBER(SEARCH("quick case",$Q1199))),"Yes","No"))</f>
        <v/>
      </c>
      <c r="U1199" s="25">
        <f>IF($O1199="Invalid",HYPERLINK("mailto:"&amp;$G1199&amp;";"&amp;$I1199&amp;"?cc="&amp;Lists!$E$2&amp;"&amp;subject="&amp;_xlfn.ENCODEURL("[INVALID] Quality audit monitoring completed for "&amp;UPPER($C1199))&amp;"&amp;body="&amp;_xlfn.ENCODEURL("Hi "&amp;$F1199&amp;","&amp;CHAR(10)&amp;"Good day!"&amp;CHAR(10)&amp;CHAR(10)&amp;"A quality monitoring audit has been completed for "&amp;$C1199&amp;"."&amp;CHAR(10)&amp;CHAR(10)&amp;"QUALITY AUDIT DETAILS"&amp;CHAR(10)&amp;"Agent Name: "&amp;$C1199&amp;" (EID "&amp;$D1199&amp;")"&amp;CHAR(10)&amp;"Audit Date: "&amp;TEXT($B1199,"yyyy-mm-dd")&amp;CHAR(10)&amp;"Team Leader: "&amp;$F1199&amp;CHAR(10)&amp;"Case Number: "&amp;$M1199&amp;CHAR(10)&amp;"Transaction ID: "&amp;$N1199&amp;CHAR(10)&amp;"Channel / LOB: "&amp;$K1199&amp;" / "&amp;$L1199&amp;CHAR(10)&amp;"Evaluator: "&amp;$S1199&amp;CHAR(10)&amp;CHAR(10)&amp;"INVALID QUALITY AUDIT DETAILS"&amp;CHAR(10)&amp;"Validation: Invalid"&amp;CHAR(10)&amp;"Invalid Reason: "&amp;$P1199&amp;CHAR(10)&amp;"Expected Resolution Code: "&amp;$Q1199&amp;CHAR(10)&amp;"Remarks: "&amp;LEFT($R1199,600)&amp;CHAR(10)&amp;CHAR(10)&amp;"This is an automated notification from HP Mainstream EQMS."),"✉ Open Email Draft"),"")</f>
        <v/>
      </c>
    </row>
    <row r="1200">
      <c r="A1200" s="25">
        <f>IF($C1200="","","AUD-2026-"&amp;TEXT(ROW()-1,"000000"))</f>
        <v/>
      </c>
      <c r="B1200" s="26" t="n"/>
      <c r="C1200" s="27" t="n"/>
      <c r="D1200" s="25">
        <f>IF($C1200="","",IFERROR(IF(INDEX(Roster!$A:$A,MATCH($C1200,Roster!$B:$B,0))="","",INDEX(Roster!$A:$A,MATCH($C1200,Roster!$B:$B,0))&amp;""),"—"))</f>
        <v/>
      </c>
      <c r="E1200" s="25">
        <f>IF($C1200="","",IFERROR(IF(INDEX(Roster!$C:$C,MATCH($C1200,Roster!$B:$B,0))="","",INDEX(Roster!$C:$C,MATCH($C1200,Roster!$B:$B,0))&amp;""),"—"))</f>
        <v/>
      </c>
      <c r="F1200" s="25">
        <f>IF($C1200="","",IFERROR(IF(INDEX(Roster!$D:$D,MATCH($C1200,Roster!$B:$B,0))="","",INDEX(Roster!$D:$D,MATCH($C1200,Roster!$B:$B,0))&amp;""),"—"))</f>
        <v/>
      </c>
      <c r="G1200" s="25">
        <f>IF($C1200="","",IFERROR(IF(INDEX(Roster!$E:$E,MATCH($C1200,Roster!$B:$B,0))="","",INDEX(Roster!$E:$E,MATCH($C1200,Roster!$B:$B,0))&amp;""),"—"))</f>
        <v/>
      </c>
      <c r="H1200" s="25">
        <f>IF($C1200="","",IFERROR(IF(INDEX(Roster!$F:$F,MATCH($C1200,Roster!$B:$B,0))="","",INDEX(Roster!$F:$F,MATCH($C1200,Roster!$B:$B,0))&amp;""),"—"))</f>
        <v/>
      </c>
      <c r="I1200" s="25">
        <f>IF($C1200="","",IFERROR(IF(INDEX(Roster!$G:$G,MATCH($C1200,Roster!$B:$B,0))="","",INDEX(Roster!$G:$G,MATCH($C1200,Roster!$B:$B,0))&amp;""),"—"))</f>
        <v/>
      </c>
      <c r="J1200" s="25">
        <f>IF($C1200="","",IFERROR(IF(INDEX(Roster!$I:$I,MATCH($C1200,Roster!$B:$B,0))="","",INDEX(Roster!$I:$I,MATCH($C1200,Roster!$B:$B,0))&amp;""),"—"))</f>
        <v/>
      </c>
      <c r="K1200">
        <f>IF($C1200="","",IFERROR(IF(INDEX(Roster!$J:$J,MATCH($C1200,Roster!$B:$B,0))="","",INDEX(Roster!$J:$J,MATCH($C1200,Roster!$B:$B,0))&amp;""),"—"))</f>
        <v/>
      </c>
      <c r="L1200">
        <f>IF($C1200="","",IFERROR(IF(INDEX(Roster!$K:$K,MATCH($C1200,Roster!$B:$B,0))="","",INDEX(Roster!$K:$K,MATCH($C1200,Roster!$B:$B,0))&amp;""),"—"))</f>
        <v/>
      </c>
      <c r="M1200" s="27" t="n"/>
      <c r="N1200" s="27" t="n"/>
      <c r="O1200" s="25">
        <f>IF($C1200="","",IF($P1200="","—",IF($P1200="Valid (Pass)","Valid","Invalid")))</f>
        <v/>
      </c>
      <c r="P1200" s="27" t="n"/>
      <c r="Q1200" s="27" t="n"/>
      <c r="R1200" s="27" t="n"/>
      <c r="S1200" s="27" t="n"/>
      <c r="T1200" s="25">
        <f>IF($C1200="","",IF(OR(ISNUMBER(SEARCH("quick case",$P1200)),ISNUMBER(SEARCH("quick case",$Q1200))),"Yes","No"))</f>
        <v/>
      </c>
      <c r="U1200" s="25">
        <f>IF($O1200="Invalid",HYPERLINK("mailto:"&amp;$G1200&amp;";"&amp;$I1200&amp;"?cc="&amp;Lists!$E$2&amp;"&amp;subject="&amp;_xlfn.ENCODEURL("[INVALID] Quality audit monitoring completed for "&amp;UPPER($C1200))&amp;"&amp;body="&amp;_xlfn.ENCODEURL("Hi "&amp;$F1200&amp;","&amp;CHAR(10)&amp;"Good day!"&amp;CHAR(10)&amp;CHAR(10)&amp;"A quality monitoring audit has been completed for "&amp;$C1200&amp;"."&amp;CHAR(10)&amp;CHAR(10)&amp;"QUALITY AUDIT DETAILS"&amp;CHAR(10)&amp;"Agent Name: "&amp;$C1200&amp;" (EID "&amp;$D1200&amp;")"&amp;CHAR(10)&amp;"Audit Date: "&amp;TEXT($B1200,"yyyy-mm-dd")&amp;CHAR(10)&amp;"Team Leader: "&amp;$F1200&amp;CHAR(10)&amp;"Case Number: "&amp;$M1200&amp;CHAR(10)&amp;"Transaction ID: "&amp;$N1200&amp;CHAR(10)&amp;"Channel / LOB: "&amp;$K1200&amp;" / "&amp;$L1200&amp;CHAR(10)&amp;"Evaluator: "&amp;$S1200&amp;CHAR(10)&amp;CHAR(10)&amp;"INVALID QUALITY AUDIT DETAILS"&amp;CHAR(10)&amp;"Validation: Invalid"&amp;CHAR(10)&amp;"Invalid Reason: "&amp;$P1200&amp;CHAR(10)&amp;"Expected Resolution Code: "&amp;$Q1200&amp;CHAR(10)&amp;"Remarks: "&amp;LEFT($R1200,600)&amp;CHAR(10)&amp;CHAR(10)&amp;"This is an automated notification from HP Mainstream EQMS."),"✉ Open Email Draft"),"")</f>
        <v/>
      </c>
    </row>
    <row r="1201">
      <c r="A1201" s="25">
        <f>IF($C1201="","","AUD-2026-"&amp;TEXT(ROW()-1,"000000"))</f>
        <v/>
      </c>
      <c r="B1201" s="26" t="n"/>
      <c r="C1201" s="27" t="n"/>
      <c r="D1201" s="25">
        <f>IF($C1201="","",IFERROR(IF(INDEX(Roster!$A:$A,MATCH($C1201,Roster!$B:$B,0))="","",INDEX(Roster!$A:$A,MATCH($C1201,Roster!$B:$B,0))&amp;""),"—"))</f>
        <v/>
      </c>
      <c r="E1201" s="25">
        <f>IF($C1201="","",IFERROR(IF(INDEX(Roster!$C:$C,MATCH($C1201,Roster!$B:$B,0))="","",INDEX(Roster!$C:$C,MATCH($C1201,Roster!$B:$B,0))&amp;""),"—"))</f>
        <v/>
      </c>
      <c r="F1201" s="25">
        <f>IF($C1201="","",IFERROR(IF(INDEX(Roster!$D:$D,MATCH($C1201,Roster!$B:$B,0))="","",INDEX(Roster!$D:$D,MATCH($C1201,Roster!$B:$B,0))&amp;""),"—"))</f>
        <v/>
      </c>
      <c r="G1201" s="25">
        <f>IF($C1201="","",IFERROR(IF(INDEX(Roster!$E:$E,MATCH($C1201,Roster!$B:$B,0))="","",INDEX(Roster!$E:$E,MATCH($C1201,Roster!$B:$B,0))&amp;""),"—"))</f>
        <v/>
      </c>
      <c r="H1201" s="25">
        <f>IF($C1201="","",IFERROR(IF(INDEX(Roster!$F:$F,MATCH($C1201,Roster!$B:$B,0))="","",INDEX(Roster!$F:$F,MATCH($C1201,Roster!$B:$B,0))&amp;""),"—"))</f>
        <v/>
      </c>
      <c r="I1201" s="25">
        <f>IF($C1201="","",IFERROR(IF(INDEX(Roster!$G:$G,MATCH($C1201,Roster!$B:$B,0))="","",INDEX(Roster!$G:$G,MATCH($C1201,Roster!$B:$B,0))&amp;""),"—"))</f>
        <v/>
      </c>
      <c r="J1201" s="25">
        <f>IF($C1201="","",IFERROR(IF(INDEX(Roster!$I:$I,MATCH($C1201,Roster!$B:$B,0))="","",INDEX(Roster!$I:$I,MATCH($C1201,Roster!$B:$B,0))&amp;""),"—"))</f>
        <v/>
      </c>
      <c r="K1201">
        <f>IF($C1201="","",IFERROR(IF(INDEX(Roster!$J:$J,MATCH($C1201,Roster!$B:$B,0))="","",INDEX(Roster!$J:$J,MATCH($C1201,Roster!$B:$B,0))&amp;""),"—"))</f>
        <v/>
      </c>
      <c r="L1201">
        <f>IF($C1201="","",IFERROR(IF(INDEX(Roster!$K:$K,MATCH($C1201,Roster!$B:$B,0))="","",INDEX(Roster!$K:$K,MATCH($C1201,Roster!$B:$B,0))&amp;""),"—"))</f>
        <v/>
      </c>
      <c r="M1201" s="27" t="n"/>
      <c r="N1201" s="27" t="n"/>
      <c r="O1201" s="25">
        <f>IF($C1201="","",IF($P1201="","—",IF($P1201="Valid (Pass)","Valid","Invalid")))</f>
        <v/>
      </c>
      <c r="P1201" s="27" t="n"/>
      <c r="Q1201" s="27" t="n"/>
      <c r="R1201" s="27" t="n"/>
      <c r="S1201" s="27" t="n"/>
      <c r="T1201" s="25">
        <f>IF($C1201="","",IF(OR(ISNUMBER(SEARCH("quick case",$P1201)),ISNUMBER(SEARCH("quick case",$Q1201))),"Yes","No"))</f>
        <v/>
      </c>
      <c r="U1201" s="25">
        <f>IF($O1201="Invalid",HYPERLINK("mailto:"&amp;$G1201&amp;";"&amp;$I1201&amp;"?cc="&amp;Lists!$E$2&amp;"&amp;subject="&amp;_xlfn.ENCODEURL("[INVALID] Quality audit monitoring completed for "&amp;UPPER($C1201))&amp;"&amp;body="&amp;_xlfn.ENCODEURL("Hi "&amp;$F1201&amp;","&amp;CHAR(10)&amp;"Good day!"&amp;CHAR(10)&amp;CHAR(10)&amp;"A quality monitoring audit has been completed for "&amp;$C1201&amp;"."&amp;CHAR(10)&amp;CHAR(10)&amp;"QUALITY AUDIT DETAILS"&amp;CHAR(10)&amp;"Agent Name: "&amp;$C1201&amp;" (EID "&amp;$D1201&amp;")"&amp;CHAR(10)&amp;"Audit Date: "&amp;TEXT($B1201,"yyyy-mm-dd")&amp;CHAR(10)&amp;"Team Leader: "&amp;$F1201&amp;CHAR(10)&amp;"Case Number: "&amp;$M1201&amp;CHAR(10)&amp;"Transaction ID: "&amp;$N1201&amp;CHAR(10)&amp;"Channel / LOB: "&amp;$K1201&amp;" / "&amp;$L1201&amp;CHAR(10)&amp;"Evaluator: "&amp;$S1201&amp;CHAR(10)&amp;CHAR(10)&amp;"INVALID QUALITY AUDIT DETAILS"&amp;CHAR(10)&amp;"Validation: Invalid"&amp;CHAR(10)&amp;"Invalid Reason: "&amp;$P1201&amp;CHAR(10)&amp;"Expected Resolution Code: "&amp;$Q1201&amp;CHAR(10)&amp;"Remarks: "&amp;LEFT($R1201,600)&amp;CHAR(10)&amp;CHAR(10)&amp;"This is an automated notification from HP Mainstream EQMS."),"✉ Open Email Draft"),"")</f>
        <v/>
      </c>
    </row>
    <row r="1202">
      <c r="A1202" s="25">
        <f>IF($C1202="","","AUD-2026-"&amp;TEXT(ROW()-1,"000000"))</f>
        <v/>
      </c>
      <c r="B1202" s="26" t="n"/>
      <c r="C1202" s="27" t="n"/>
      <c r="D1202" s="25">
        <f>IF($C1202="","",IFERROR(IF(INDEX(Roster!$A:$A,MATCH($C1202,Roster!$B:$B,0))="","",INDEX(Roster!$A:$A,MATCH($C1202,Roster!$B:$B,0))&amp;""),"—"))</f>
        <v/>
      </c>
      <c r="E1202" s="25">
        <f>IF($C1202="","",IFERROR(IF(INDEX(Roster!$C:$C,MATCH($C1202,Roster!$B:$B,0))="","",INDEX(Roster!$C:$C,MATCH($C1202,Roster!$B:$B,0))&amp;""),"—"))</f>
        <v/>
      </c>
      <c r="F1202" s="25">
        <f>IF($C1202="","",IFERROR(IF(INDEX(Roster!$D:$D,MATCH($C1202,Roster!$B:$B,0))="","",INDEX(Roster!$D:$D,MATCH($C1202,Roster!$B:$B,0))&amp;""),"—"))</f>
        <v/>
      </c>
      <c r="G1202" s="25">
        <f>IF($C1202="","",IFERROR(IF(INDEX(Roster!$E:$E,MATCH($C1202,Roster!$B:$B,0))="","",INDEX(Roster!$E:$E,MATCH($C1202,Roster!$B:$B,0))&amp;""),"—"))</f>
        <v/>
      </c>
      <c r="H1202" s="25">
        <f>IF($C1202="","",IFERROR(IF(INDEX(Roster!$F:$F,MATCH($C1202,Roster!$B:$B,0))="","",INDEX(Roster!$F:$F,MATCH($C1202,Roster!$B:$B,0))&amp;""),"—"))</f>
        <v/>
      </c>
      <c r="I1202" s="25">
        <f>IF($C1202="","",IFERROR(IF(INDEX(Roster!$G:$G,MATCH($C1202,Roster!$B:$B,0))="","",INDEX(Roster!$G:$G,MATCH($C1202,Roster!$B:$B,0))&amp;""),"—"))</f>
        <v/>
      </c>
      <c r="J1202" s="25">
        <f>IF($C1202="","",IFERROR(IF(INDEX(Roster!$I:$I,MATCH($C1202,Roster!$B:$B,0))="","",INDEX(Roster!$I:$I,MATCH($C1202,Roster!$B:$B,0))&amp;""),"—"))</f>
        <v/>
      </c>
      <c r="K1202">
        <f>IF($C1202="","",IFERROR(IF(INDEX(Roster!$J:$J,MATCH($C1202,Roster!$B:$B,0))="","",INDEX(Roster!$J:$J,MATCH($C1202,Roster!$B:$B,0))&amp;""),"—"))</f>
        <v/>
      </c>
      <c r="L1202">
        <f>IF($C1202="","",IFERROR(IF(INDEX(Roster!$K:$K,MATCH($C1202,Roster!$B:$B,0))="","",INDEX(Roster!$K:$K,MATCH($C1202,Roster!$B:$B,0))&amp;""),"—"))</f>
        <v/>
      </c>
      <c r="M1202" s="27" t="n"/>
      <c r="N1202" s="27" t="n"/>
      <c r="O1202" s="25">
        <f>IF($C1202="","",IF($P1202="","—",IF($P1202="Valid (Pass)","Valid","Invalid")))</f>
        <v/>
      </c>
      <c r="P1202" s="27" t="n"/>
      <c r="Q1202" s="27" t="n"/>
      <c r="R1202" s="27" t="n"/>
      <c r="S1202" s="27" t="n"/>
      <c r="T1202" s="25">
        <f>IF($C1202="","",IF(OR(ISNUMBER(SEARCH("quick case",$P1202)),ISNUMBER(SEARCH("quick case",$Q1202))),"Yes","No"))</f>
        <v/>
      </c>
      <c r="U1202" s="25">
        <f>IF($O1202="Invalid",HYPERLINK("mailto:"&amp;$G1202&amp;";"&amp;$I1202&amp;"?cc="&amp;Lists!$E$2&amp;"&amp;subject="&amp;_xlfn.ENCODEURL("[INVALID] Quality audit monitoring completed for "&amp;UPPER($C1202))&amp;"&amp;body="&amp;_xlfn.ENCODEURL("Hi "&amp;$F1202&amp;","&amp;CHAR(10)&amp;"Good day!"&amp;CHAR(10)&amp;CHAR(10)&amp;"A quality monitoring audit has been completed for "&amp;$C1202&amp;"."&amp;CHAR(10)&amp;CHAR(10)&amp;"QUALITY AUDIT DETAILS"&amp;CHAR(10)&amp;"Agent Name: "&amp;$C1202&amp;" (EID "&amp;$D1202&amp;")"&amp;CHAR(10)&amp;"Audit Date: "&amp;TEXT($B1202,"yyyy-mm-dd")&amp;CHAR(10)&amp;"Team Leader: "&amp;$F1202&amp;CHAR(10)&amp;"Case Number: "&amp;$M1202&amp;CHAR(10)&amp;"Transaction ID: "&amp;$N1202&amp;CHAR(10)&amp;"Channel / LOB: "&amp;$K1202&amp;" / "&amp;$L1202&amp;CHAR(10)&amp;"Evaluator: "&amp;$S1202&amp;CHAR(10)&amp;CHAR(10)&amp;"INVALID QUALITY AUDIT DETAILS"&amp;CHAR(10)&amp;"Validation: Invalid"&amp;CHAR(10)&amp;"Invalid Reason: "&amp;$P1202&amp;CHAR(10)&amp;"Expected Resolution Code: "&amp;$Q1202&amp;CHAR(10)&amp;"Remarks: "&amp;LEFT($R1202,600)&amp;CHAR(10)&amp;CHAR(10)&amp;"This is an automated notification from HP Mainstream EQMS."),"✉ Open Email Draft"),"")</f>
        <v/>
      </c>
    </row>
    <row r="1203">
      <c r="A1203" s="25">
        <f>IF($C1203="","","AUD-2026-"&amp;TEXT(ROW()-1,"000000"))</f>
        <v/>
      </c>
      <c r="B1203" s="26" t="n"/>
      <c r="C1203" s="27" t="n"/>
      <c r="D1203" s="25">
        <f>IF($C1203="","",IFERROR(IF(INDEX(Roster!$A:$A,MATCH($C1203,Roster!$B:$B,0))="","",INDEX(Roster!$A:$A,MATCH($C1203,Roster!$B:$B,0))&amp;""),"—"))</f>
        <v/>
      </c>
      <c r="E1203" s="25">
        <f>IF($C1203="","",IFERROR(IF(INDEX(Roster!$C:$C,MATCH($C1203,Roster!$B:$B,0))="","",INDEX(Roster!$C:$C,MATCH($C1203,Roster!$B:$B,0))&amp;""),"—"))</f>
        <v/>
      </c>
      <c r="F1203" s="25">
        <f>IF($C1203="","",IFERROR(IF(INDEX(Roster!$D:$D,MATCH($C1203,Roster!$B:$B,0))="","",INDEX(Roster!$D:$D,MATCH($C1203,Roster!$B:$B,0))&amp;""),"—"))</f>
        <v/>
      </c>
      <c r="G1203" s="25">
        <f>IF($C1203="","",IFERROR(IF(INDEX(Roster!$E:$E,MATCH($C1203,Roster!$B:$B,0))="","",INDEX(Roster!$E:$E,MATCH($C1203,Roster!$B:$B,0))&amp;""),"—"))</f>
        <v/>
      </c>
      <c r="H1203" s="25">
        <f>IF($C1203="","",IFERROR(IF(INDEX(Roster!$F:$F,MATCH($C1203,Roster!$B:$B,0))="","",INDEX(Roster!$F:$F,MATCH($C1203,Roster!$B:$B,0))&amp;""),"—"))</f>
        <v/>
      </c>
      <c r="I1203" s="25">
        <f>IF($C1203="","",IFERROR(IF(INDEX(Roster!$G:$G,MATCH($C1203,Roster!$B:$B,0))="","",INDEX(Roster!$G:$G,MATCH($C1203,Roster!$B:$B,0))&amp;""),"—"))</f>
        <v/>
      </c>
      <c r="J1203" s="25">
        <f>IF($C1203="","",IFERROR(IF(INDEX(Roster!$I:$I,MATCH($C1203,Roster!$B:$B,0))="","",INDEX(Roster!$I:$I,MATCH($C1203,Roster!$B:$B,0))&amp;""),"—"))</f>
        <v/>
      </c>
      <c r="K1203">
        <f>IF($C1203="","",IFERROR(IF(INDEX(Roster!$J:$J,MATCH($C1203,Roster!$B:$B,0))="","",INDEX(Roster!$J:$J,MATCH($C1203,Roster!$B:$B,0))&amp;""),"—"))</f>
        <v/>
      </c>
      <c r="L1203">
        <f>IF($C1203="","",IFERROR(IF(INDEX(Roster!$K:$K,MATCH($C1203,Roster!$B:$B,0))="","",INDEX(Roster!$K:$K,MATCH($C1203,Roster!$B:$B,0))&amp;""),"—"))</f>
        <v/>
      </c>
      <c r="M1203" s="27" t="n"/>
      <c r="N1203" s="27" t="n"/>
      <c r="O1203" s="25">
        <f>IF($C1203="","",IF($P1203="","—",IF($P1203="Valid (Pass)","Valid","Invalid")))</f>
        <v/>
      </c>
      <c r="P1203" s="27" t="n"/>
      <c r="Q1203" s="27" t="n"/>
      <c r="R1203" s="27" t="n"/>
      <c r="S1203" s="27" t="n"/>
      <c r="T1203" s="25">
        <f>IF($C1203="","",IF(OR(ISNUMBER(SEARCH("quick case",$P1203)),ISNUMBER(SEARCH("quick case",$Q1203))),"Yes","No"))</f>
        <v/>
      </c>
      <c r="U1203" s="25">
        <f>IF($O1203="Invalid",HYPERLINK("mailto:"&amp;$G1203&amp;";"&amp;$I1203&amp;"?cc="&amp;Lists!$E$2&amp;"&amp;subject="&amp;_xlfn.ENCODEURL("[INVALID] Quality audit monitoring completed for "&amp;UPPER($C1203))&amp;"&amp;body="&amp;_xlfn.ENCODEURL("Hi "&amp;$F1203&amp;","&amp;CHAR(10)&amp;"Good day!"&amp;CHAR(10)&amp;CHAR(10)&amp;"A quality monitoring audit has been completed for "&amp;$C1203&amp;"."&amp;CHAR(10)&amp;CHAR(10)&amp;"QUALITY AUDIT DETAILS"&amp;CHAR(10)&amp;"Agent Name: "&amp;$C1203&amp;" (EID "&amp;$D1203&amp;")"&amp;CHAR(10)&amp;"Audit Date: "&amp;TEXT($B1203,"yyyy-mm-dd")&amp;CHAR(10)&amp;"Team Leader: "&amp;$F1203&amp;CHAR(10)&amp;"Case Number: "&amp;$M1203&amp;CHAR(10)&amp;"Transaction ID: "&amp;$N1203&amp;CHAR(10)&amp;"Channel / LOB: "&amp;$K1203&amp;" / "&amp;$L1203&amp;CHAR(10)&amp;"Evaluator: "&amp;$S1203&amp;CHAR(10)&amp;CHAR(10)&amp;"INVALID QUALITY AUDIT DETAILS"&amp;CHAR(10)&amp;"Validation: Invalid"&amp;CHAR(10)&amp;"Invalid Reason: "&amp;$P1203&amp;CHAR(10)&amp;"Expected Resolution Code: "&amp;$Q1203&amp;CHAR(10)&amp;"Remarks: "&amp;LEFT($R1203,600)&amp;CHAR(10)&amp;CHAR(10)&amp;"This is an automated notification from HP Mainstream EQMS."),"✉ Open Email Draft"),"")</f>
        <v/>
      </c>
    </row>
    <row r="1204">
      <c r="A1204" s="25">
        <f>IF($C1204="","","AUD-2026-"&amp;TEXT(ROW()-1,"000000"))</f>
        <v/>
      </c>
      <c r="B1204" s="26" t="n"/>
      <c r="C1204" s="27" t="n"/>
      <c r="D1204" s="25">
        <f>IF($C1204="","",IFERROR(IF(INDEX(Roster!$A:$A,MATCH($C1204,Roster!$B:$B,0))="","",INDEX(Roster!$A:$A,MATCH($C1204,Roster!$B:$B,0))&amp;""),"—"))</f>
        <v/>
      </c>
      <c r="E1204" s="25">
        <f>IF($C1204="","",IFERROR(IF(INDEX(Roster!$C:$C,MATCH($C1204,Roster!$B:$B,0))="","",INDEX(Roster!$C:$C,MATCH($C1204,Roster!$B:$B,0))&amp;""),"—"))</f>
        <v/>
      </c>
      <c r="F1204" s="25">
        <f>IF($C1204="","",IFERROR(IF(INDEX(Roster!$D:$D,MATCH($C1204,Roster!$B:$B,0))="","",INDEX(Roster!$D:$D,MATCH($C1204,Roster!$B:$B,0))&amp;""),"—"))</f>
        <v/>
      </c>
      <c r="G1204" s="25">
        <f>IF($C1204="","",IFERROR(IF(INDEX(Roster!$E:$E,MATCH($C1204,Roster!$B:$B,0))="","",INDEX(Roster!$E:$E,MATCH($C1204,Roster!$B:$B,0))&amp;""),"—"))</f>
        <v/>
      </c>
      <c r="H1204" s="25">
        <f>IF($C1204="","",IFERROR(IF(INDEX(Roster!$F:$F,MATCH($C1204,Roster!$B:$B,0))="","",INDEX(Roster!$F:$F,MATCH($C1204,Roster!$B:$B,0))&amp;""),"—"))</f>
        <v/>
      </c>
      <c r="I1204" s="25">
        <f>IF($C1204="","",IFERROR(IF(INDEX(Roster!$G:$G,MATCH($C1204,Roster!$B:$B,0))="","",INDEX(Roster!$G:$G,MATCH($C1204,Roster!$B:$B,0))&amp;""),"—"))</f>
        <v/>
      </c>
      <c r="J1204" s="25">
        <f>IF($C1204="","",IFERROR(IF(INDEX(Roster!$I:$I,MATCH($C1204,Roster!$B:$B,0))="","",INDEX(Roster!$I:$I,MATCH($C1204,Roster!$B:$B,0))&amp;""),"—"))</f>
        <v/>
      </c>
      <c r="K1204">
        <f>IF($C1204="","",IFERROR(IF(INDEX(Roster!$J:$J,MATCH($C1204,Roster!$B:$B,0))="","",INDEX(Roster!$J:$J,MATCH($C1204,Roster!$B:$B,0))&amp;""),"—"))</f>
        <v/>
      </c>
      <c r="L1204">
        <f>IF($C1204="","",IFERROR(IF(INDEX(Roster!$K:$K,MATCH($C1204,Roster!$B:$B,0))="","",INDEX(Roster!$K:$K,MATCH($C1204,Roster!$B:$B,0))&amp;""),"—"))</f>
        <v/>
      </c>
      <c r="M1204" s="27" t="n"/>
      <c r="N1204" s="27" t="n"/>
      <c r="O1204" s="25">
        <f>IF($C1204="","",IF($P1204="","—",IF($P1204="Valid (Pass)","Valid","Invalid")))</f>
        <v/>
      </c>
      <c r="P1204" s="27" t="n"/>
      <c r="Q1204" s="27" t="n"/>
      <c r="R1204" s="27" t="n"/>
      <c r="S1204" s="27" t="n"/>
      <c r="T1204" s="25">
        <f>IF($C1204="","",IF(OR(ISNUMBER(SEARCH("quick case",$P1204)),ISNUMBER(SEARCH("quick case",$Q1204))),"Yes","No"))</f>
        <v/>
      </c>
      <c r="U1204" s="25">
        <f>IF($O1204="Invalid",HYPERLINK("mailto:"&amp;$G1204&amp;";"&amp;$I1204&amp;"?cc="&amp;Lists!$E$2&amp;"&amp;subject="&amp;_xlfn.ENCODEURL("[INVALID] Quality audit monitoring completed for "&amp;UPPER($C1204))&amp;"&amp;body="&amp;_xlfn.ENCODEURL("Hi "&amp;$F1204&amp;","&amp;CHAR(10)&amp;"Good day!"&amp;CHAR(10)&amp;CHAR(10)&amp;"A quality monitoring audit has been completed for "&amp;$C1204&amp;"."&amp;CHAR(10)&amp;CHAR(10)&amp;"QUALITY AUDIT DETAILS"&amp;CHAR(10)&amp;"Agent Name: "&amp;$C1204&amp;" (EID "&amp;$D1204&amp;")"&amp;CHAR(10)&amp;"Audit Date: "&amp;TEXT($B1204,"yyyy-mm-dd")&amp;CHAR(10)&amp;"Team Leader: "&amp;$F1204&amp;CHAR(10)&amp;"Case Number: "&amp;$M1204&amp;CHAR(10)&amp;"Transaction ID: "&amp;$N1204&amp;CHAR(10)&amp;"Channel / LOB: "&amp;$K1204&amp;" / "&amp;$L1204&amp;CHAR(10)&amp;"Evaluator: "&amp;$S1204&amp;CHAR(10)&amp;CHAR(10)&amp;"INVALID QUALITY AUDIT DETAILS"&amp;CHAR(10)&amp;"Validation: Invalid"&amp;CHAR(10)&amp;"Invalid Reason: "&amp;$P1204&amp;CHAR(10)&amp;"Expected Resolution Code: "&amp;$Q1204&amp;CHAR(10)&amp;"Remarks: "&amp;LEFT($R1204,600)&amp;CHAR(10)&amp;CHAR(10)&amp;"This is an automated notification from HP Mainstream EQMS."),"✉ Open Email Draft"),"")</f>
        <v/>
      </c>
    </row>
    <row r="1205">
      <c r="A1205" s="25">
        <f>IF($C1205="","","AUD-2026-"&amp;TEXT(ROW()-1,"000000"))</f>
        <v/>
      </c>
      <c r="B1205" s="26" t="n"/>
      <c r="C1205" s="27" t="n"/>
      <c r="D1205" s="25">
        <f>IF($C1205="","",IFERROR(IF(INDEX(Roster!$A:$A,MATCH($C1205,Roster!$B:$B,0))="","",INDEX(Roster!$A:$A,MATCH($C1205,Roster!$B:$B,0))&amp;""),"—"))</f>
        <v/>
      </c>
      <c r="E1205" s="25">
        <f>IF($C1205="","",IFERROR(IF(INDEX(Roster!$C:$C,MATCH($C1205,Roster!$B:$B,0))="","",INDEX(Roster!$C:$C,MATCH($C1205,Roster!$B:$B,0))&amp;""),"—"))</f>
        <v/>
      </c>
      <c r="F1205" s="25">
        <f>IF($C1205="","",IFERROR(IF(INDEX(Roster!$D:$D,MATCH($C1205,Roster!$B:$B,0))="","",INDEX(Roster!$D:$D,MATCH($C1205,Roster!$B:$B,0))&amp;""),"—"))</f>
        <v/>
      </c>
      <c r="G1205" s="25">
        <f>IF($C1205="","",IFERROR(IF(INDEX(Roster!$E:$E,MATCH($C1205,Roster!$B:$B,0))="","",INDEX(Roster!$E:$E,MATCH($C1205,Roster!$B:$B,0))&amp;""),"—"))</f>
        <v/>
      </c>
      <c r="H1205" s="25">
        <f>IF($C1205="","",IFERROR(IF(INDEX(Roster!$F:$F,MATCH($C1205,Roster!$B:$B,0))="","",INDEX(Roster!$F:$F,MATCH($C1205,Roster!$B:$B,0))&amp;""),"—"))</f>
        <v/>
      </c>
      <c r="I1205" s="25">
        <f>IF($C1205="","",IFERROR(IF(INDEX(Roster!$G:$G,MATCH($C1205,Roster!$B:$B,0))="","",INDEX(Roster!$G:$G,MATCH($C1205,Roster!$B:$B,0))&amp;""),"—"))</f>
        <v/>
      </c>
      <c r="J1205" s="25">
        <f>IF($C1205="","",IFERROR(IF(INDEX(Roster!$I:$I,MATCH($C1205,Roster!$B:$B,0))="","",INDEX(Roster!$I:$I,MATCH($C1205,Roster!$B:$B,0))&amp;""),"—"))</f>
        <v/>
      </c>
      <c r="K1205">
        <f>IF($C1205="","",IFERROR(IF(INDEX(Roster!$J:$J,MATCH($C1205,Roster!$B:$B,0))="","",INDEX(Roster!$J:$J,MATCH($C1205,Roster!$B:$B,0))&amp;""),"—"))</f>
        <v/>
      </c>
      <c r="L1205">
        <f>IF($C1205="","",IFERROR(IF(INDEX(Roster!$K:$K,MATCH($C1205,Roster!$B:$B,0))="","",INDEX(Roster!$K:$K,MATCH($C1205,Roster!$B:$B,0))&amp;""),"—"))</f>
        <v/>
      </c>
      <c r="M1205" s="27" t="n"/>
      <c r="N1205" s="27" t="n"/>
      <c r="O1205" s="25">
        <f>IF($C1205="","",IF($P1205="","—",IF($P1205="Valid (Pass)","Valid","Invalid")))</f>
        <v/>
      </c>
      <c r="P1205" s="27" t="n"/>
      <c r="Q1205" s="27" t="n"/>
      <c r="R1205" s="27" t="n"/>
      <c r="S1205" s="27" t="n"/>
      <c r="T1205" s="25">
        <f>IF($C1205="","",IF(OR(ISNUMBER(SEARCH("quick case",$P1205)),ISNUMBER(SEARCH("quick case",$Q1205))),"Yes","No"))</f>
        <v/>
      </c>
      <c r="U1205" s="25">
        <f>IF($O1205="Invalid",HYPERLINK("mailto:"&amp;$G1205&amp;";"&amp;$I1205&amp;"?cc="&amp;Lists!$E$2&amp;"&amp;subject="&amp;_xlfn.ENCODEURL("[INVALID] Quality audit monitoring completed for "&amp;UPPER($C1205))&amp;"&amp;body="&amp;_xlfn.ENCODEURL("Hi "&amp;$F1205&amp;","&amp;CHAR(10)&amp;"Good day!"&amp;CHAR(10)&amp;CHAR(10)&amp;"A quality monitoring audit has been completed for "&amp;$C1205&amp;"."&amp;CHAR(10)&amp;CHAR(10)&amp;"QUALITY AUDIT DETAILS"&amp;CHAR(10)&amp;"Agent Name: "&amp;$C1205&amp;" (EID "&amp;$D1205&amp;")"&amp;CHAR(10)&amp;"Audit Date: "&amp;TEXT($B1205,"yyyy-mm-dd")&amp;CHAR(10)&amp;"Team Leader: "&amp;$F1205&amp;CHAR(10)&amp;"Case Number: "&amp;$M1205&amp;CHAR(10)&amp;"Transaction ID: "&amp;$N1205&amp;CHAR(10)&amp;"Channel / LOB: "&amp;$K1205&amp;" / "&amp;$L1205&amp;CHAR(10)&amp;"Evaluator: "&amp;$S1205&amp;CHAR(10)&amp;CHAR(10)&amp;"INVALID QUALITY AUDIT DETAILS"&amp;CHAR(10)&amp;"Validation: Invalid"&amp;CHAR(10)&amp;"Invalid Reason: "&amp;$P1205&amp;CHAR(10)&amp;"Expected Resolution Code: "&amp;$Q1205&amp;CHAR(10)&amp;"Remarks: "&amp;LEFT($R1205,600)&amp;CHAR(10)&amp;CHAR(10)&amp;"This is an automated notification from HP Mainstream EQMS."),"✉ Open Email Draft"),"")</f>
        <v/>
      </c>
    </row>
    <row r="1206">
      <c r="A1206" s="25">
        <f>IF($C1206="","","AUD-2026-"&amp;TEXT(ROW()-1,"000000"))</f>
        <v/>
      </c>
      <c r="B1206" s="26" t="n"/>
      <c r="C1206" s="27" t="n"/>
      <c r="D1206" s="25">
        <f>IF($C1206="","",IFERROR(IF(INDEX(Roster!$A:$A,MATCH($C1206,Roster!$B:$B,0))="","",INDEX(Roster!$A:$A,MATCH($C1206,Roster!$B:$B,0))&amp;""),"—"))</f>
        <v/>
      </c>
      <c r="E1206" s="25">
        <f>IF($C1206="","",IFERROR(IF(INDEX(Roster!$C:$C,MATCH($C1206,Roster!$B:$B,0))="","",INDEX(Roster!$C:$C,MATCH($C1206,Roster!$B:$B,0))&amp;""),"—"))</f>
        <v/>
      </c>
      <c r="F1206" s="25">
        <f>IF($C1206="","",IFERROR(IF(INDEX(Roster!$D:$D,MATCH($C1206,Roster!$B:$B,0))="","",INDEX(Roster!$D:$D,MATCH($C1206,Roster!$B:$B,0))&amp;""),"—"))</f>
        <v/>
      </c>
      <c r="G1206" s="25">
        <f>IF($C1206="","",IFERROR(IF(INDEX(Roster!$E:$E,MATCH($C1206,Roster!$B:$B,0))="","",INDEX(Roster!$E:$E,MATCH($C1206,Roster!$B:$B,0))&amp;""),"—"))</f>
        <v/>
      </c>
      <c r="H1206" s="25">
        <f>IF($C1206="","",IFERROR(IF(INDEX(Roster!$F:$F,MATCH($C1206,Roster!$B:$B,0))="","",INDEX(Roster!$F:$F,MATCH($C1206,Roster!$B:$B,0))&amp;""),"—"))</f>
        <v/>
      </c>
      <c r="I1206" s="25">
        <f>IF($C1206="","",IFERROR(IF(INDEX(Roster!$G:$G,MATCH($C1206,Roster!$B:$B,0))="","",INDEX(Roster!$G:$G,MATCH($C1206,Roster!$B:$B,0))&amp;""),"—"))</f>
        <v/>
      </c>
      <c r="J1206" s="25">
        <f>IF($C1206="","",IFERROR(IF(INDEX(Roster!$I:$I,MATCH($C1206,Roster!$B:$B,0))="","",INDEX(Roster!$I:$I,MATCH($C1206,Roster!$B:$B,0))&amp;""),"—"))</f>
        <v/>
      </c>
      <c r="K1206">
        <f>IF($C1206="","",IFERROR(IF(INDEX(Roster!$J:$J,MATCH($C1206,Roster!$B:$B,0))="","",INDEX(Roster!$J:$J,MATCH($C1206,Roster!$B:$B,0))&amp;""),"—"))</f>
        <v/>
      </c>
      <c r="L1206">
        <f>IF($C1206="","",IFERROR(IF(INDEX(Roster!$K:$K,MATCH($C1206,Roster!$B:$B,0))="","",INDEX(Roster!$K:$K,MATCH($C1206,Roster!$B:$B,0))&amp;""),"—"))</f>
        <v/>
      </c>
      <c r="M1206" s="27" t="n"/>
      <c r="N1206" s="27" t="n"/>
      <c r="O1206" s="25">
        <f>IF($C1206="","",IF($P1206="","—",IF($P1206="Valid (Pass)","Valid","Invalid")))</f>
        <v/>
      </c>
      <c r="P1206" s="27" t="n"/>
      <c r="Q1206" s="27" t="n"/>
      <c r="R1206" s="27" t="n"/>
      <c r="S1206" s="27" t="n"/>
      <c r="T1206" s="25">
        <f>IF($C1206="","",IF(OR(ISNUMBER(SEARCH("quick case",$P1206)),ISNUMBER(SEARCH("quick case",$Q1206))),"Yes","No"))</f>
        <v/>
      </c>
      <c r="U1206" s="25">
        <f>IF($O1206="Invalid",HYPERLINK("mailto:"&amp;$G1206&amp;";"&amp;$I1206&amp;"?cc="&amp;Lists!$E$2&amp;"&amp;subject="&amp;_xlfn.ENCODEURL("[INVALID] Quality audit monitoring completed for "&amp;UPPER($C1206))&amp;"&amp;body="&amp;_xlfn.ENCODEURL("Hi "&amp;$F1206&amp;","&amp;CHAR(10)&amp;"Good day!"&amp;CHAR(10)&amp;CHAR(10)&amp;"A quality monitoring audit has been completed for "&amp;$C1206&amp;"."&amp;CHAR(10)&amp;CHAR(10)&amp;"QUALITY AUDIT DETAILS"&amp;CHAR(10)&amp;"Agent Name: "&amp;$C1206&amp;" (EID "&amp;$D1206&amp;")"&amp;CHAR(10)&amp;"Audit Date: "&amp;TEXT($B1206,"yyyy-mm-dd")&amp;CHAR(10)&amp;"Team Leader: "&amp;$F1206&amp;CHAR(10)&amp;"Case Number: "&amp;$M1206&amp;CHAR(10)&amp;"Transaction ID: "&amp;$N1206&amp;CHAR(10)&amp;"Channel / LOB: "&amp;$K1206&amp;" / "&amp;$L1206&amp;CHAR(10)&amp;"Evaluator: "&amp;$S1206&amp;CHAR(10)&amp;CHAR(10)&amp;"INVALID QUALITY AUDIT DETAILS"&amp;CHAR(10)&amp;"Validation: Invalid"&amp;CHAR(10)&amp;"Invalid Reason: "&amp;$P1206&amp;CHAR(10)&amp;"Expected Resolution Code: "&amp;$Q1206&amp;CHAR(10)&amp;"Remarks: "&amp;LEFT($R1206,600)&amp;CHAR(10)&amp;CHAR(10)&amp;"This is an automated notification from HP Mainstream EQMS."),"✉ Open Email Draft"),"")</f>
        <v/>
      </c>
    </row>
    <row r="1207">
      <c r="A1207" s="25">
        <f>IF($C1207="","","AUD-2026-"&amp;TEXT(ROW()-1,"000000"))</f>
        <v/>
      </c>
      <c r="B1207" s="26" t="n"/>
      <c r="C1207" s="27" t="n"/>
      <c r="D1207" s="25">
        <f>IF($C1207="","",IFERROR(IF(INDEX(Roster!$A:$A,MATCH($C1207,Roster!$B:$B,0))="","",INDEX(Roster!$A:$A,MATCH($C1207,Roster!$B:$B,0))&amp;""),"—"))</f>
        <v/>
      </c>
      <c r="E1207" s="25">
        <f>IF($C1207="","",IFERROR(IF(INDEX(Roster!$C:$C,MATCH($C1207,Roster!$B:$B,0))="","",INDEX(Roster!$C:$C,MATCH($C1207,Roster!$B:$B,0))&amp;""),"—"))</f>
        <v/>
      </c>
      <c r="F1207" s="25">
        <f>IF($C1207="","",IFERROR(IF(INDEX(Roster!$D:$D,MATCH($C1207,Roster!$B:$B,0))="","",INDEX(Roster!$D:$D,MATCH($C1207,Roster!$B:$B,0))&amp;""),"—"))</f>
        <v/>
      </c>
      <c r="G1207" s="25">
        <f>IF($C1207="","",IFERROR(IF(INDEX(Roster!$E:$E,MATCH($C1207,Roster!$B:$B,0))="","",INDEX(Roster!$E:$E,MATCH($C1207,Roster!$B:$B,0))&amp;""),"—"))</f>
        <v/>
      </c>
      <c r="H1207" s="25">
        <f>IF($C1207="","",IFERROR(IF(INDEX(Roster!$F:$F,MATCH($C1207,Roster!$B:$B,0))="","",INDEX(Roster!$F:$F,MATCH($C1207,Roster!$B:$B,0))&amp;""),"—"))</f>
        <v/>
      </c>
      <c r="I1207" s="25">
        <f>IF($C1207="","",IFERROR(IF(INDEX(Roster!$G:$G,MATCH($C1207,Roster!$B:$B,0))="","",INDEX(Roster!$G:$G,MATCH($C1207,Roster!$B:$B,0))&amp;""),"—"))</f>
        <v/>
      </c>
      <c r="J1207" s="25">
        <f>IF($C1207="","",IFERROR(IF(INDEX(Roster!$I:$I,MATCH($C1207,Roster!$B:$B,0))="","",INDEX(Roster!$I:$I,MATCH($C1207,Roster!$B:$B,0))&amp;""),"—"))</f>
        <v/>
      </c>
      <c r="K1207">
        <f>IF($C1207="","",IFERROR(IF(INDEX(Roster!$J:$J,MATCH($C1207,Roster!$B:$B,0))="","",INDEX(Roster!$J:$J,MATCH($C1207,Roster!$B:$B,0))&amp;""),"—"))</f>
        <v/>
      </c>
      <c r="L1207">
        <f>IF($C1207="","",IFERROR(IF(INDEX(Roster!$K:$K,MATCH($C1207,Roster!$B:$B,0))="","",INDEX(Roster!$K:$K,MATCH($C1207,Roster!$B:$B,0))&amp;""),"—"))</f>
        <v/>
      </c>
      <c r="M1207" s="27" t="n"/>
      <c r="N1207" s="27" t="n"/>
      <c r="O1207" s="25">
        <f>IF($C1207="","",IF($P1207="","—",IF($P1207="Valid (Pass)","Valid","Invalid")))</f>
        <v/>
      </c>
      <c r="P1207" s="27" t="n"/>
      <c r="Q1207" s="27" t="n"/>
      <c r="R1207" s="27" t="n"/>
      <c r="S1207" s="27" t="n"/>
      <c r="T1207" s="25">
        <f>IF($C1207="","",IF(OR(ISNUMBER(SEARCH("quick case",$P1207)),ISNUMBER(SEARCH("quick case",$Q1207))),"Yes","No"))</f>
        <v/>
      </c>
      <c r="U1207" s="25">
        <f>IF($O1207="Invalid",HYPERLINK("mailto:"&amp;$G1207&amp;";"&amp;$I1207&amp;"?cc="&amp;Lists!$E$2&amp;"&amp;subject="&amp;_xlfn.ENCODEURL("[INVALID] Quality audit monitoring completed for "&amp;UPPER($C1207))&amp;"&amp;body="&amp;_xlfn.ENCODEURL("Hi "&amp;$F1207&amp;","&amp;CHAR(10)&amp;"Good day!"&amp;CHAR(10)&amp;CHAR(10)&amp;"A quality monitoring audit has been completed for "&amp;$C1207&amp;"."&amp;CHAR(10)&amp;CHAR(10)&amp;"QUALITY AUDIT DETAILS"&amp;CHAR(10)&amp;"Agent Name: "&amp;$C1207&amp;" (EID "&amp;$D1207&amp;")"&amp;CHAR(10)&amp;"Audit Date: "&amp;TEXT($B1207,"yyyy-mm-dd")&amp;CHAR(10)&amp;"Team Leader: "&amp;$F1207&amp;CHAR(10)&amp;"Case Number: "&amp;$M1207&amp;CHAR(10)&amp;"Transaction ID: "&amp;$N1207&amp;CHAR(10)&amp;"Channel / LOB: "&amp;$K1207&amp;" / "&amp;$L1207&amp;CHAR(10)&amp;"Evaluator: "&amp;$S1207&amp;CHAR(10)&amp;CHAR(10)&amp;"INVALID QUALITY AUDIT DETAILS"&amp;CHAR(10)&amp;"Validation: Invalid"&amp;CHAR(10)&amp;"Invalid Reason: "&amp;$P1207&amp;CHAR(10)&amp;"Expected Resolution Code: "&amp;$Q1207&amp;CHAR(10)&amp;"Remarks: "&amp;LEFT($R1207,600)&amp;CHAR(10)&amp;CHAR(10)&amp;"This is an automated notification from HP Mainstream EQMS."),"✉ Open Email Draft"),"")</f>
        <v/>
      </c>
    </row>
    <row r="1208">
      <c r="A1208" s="25">
        <f>IF($C1208="","","AUD-2026-"&amp;TEXT(ROW()-1,"000000"))</f>
        <v/>
      </c>
      <c r="B1208" s="26" t="n"/>
      <c r="C1208" s="27" t="n"/>
      <c r="D1208" s="25">
        <f>IF($C1208="","",IFERROR(IF(INDEX(Roster!$A:$A,MATCH($C1208,Roster!$B:$B,0))="","",INDEX(Roster!$A:$A,MATCH($C1208,Roster!$B:$B,0))&amp;""),"—"))</f>
        <v/>
      </c>
      <c r="E1208" s="25">
        <f>IF($C1208="","",IFERROR(IF(INDEX(Roster!$C:$C,MATCH($C1208,Roster!$B:$B,0))="","",INDEX(Roster!$C:$C,MATCH($C1208,Roster!$B:$B,0))&amp;""),"—"))</f>
        <v/>
      </c>
      <c r="F1208" s="25">
        <f>IF($C1208="","",IFERROR(IF(INDEX(Roster!$D:$D,MATCH($C1208,Roster!$B:$B,0))="","",INDEX(Roster!$D:$D,MATCH($C1208,Roster!$B:$B,0))&amp;""),"—"))</f>
        <v/>
      </c>
      <c r="G1208" s="25">
        <f>IF($C1208="","",IFERROR(IF(INDEX(Roster!$E:$E,MATCH($C1208,Roster!$B:$B,0))="","",INDEX(Roster!$E:$E,MATCH($C1208,Roster!$B:$B,0))&amp;""),"—"))</f>
        <v/>
      </c>
      <c r="H1208" s="25">
        <f>IF($C1208="","",IFERROR(IF(INDEX(Roster!$F:$F,MATCH($C1208,Roster!$B:$B,0))="","",INDEX(Roster!$F:$F,MATCH($C1208,Roster!$B:$B,0))&amp;""),"—"))</f>
        <v/>
      </c>
      <c r="I1208" s="25">
        <f>IF($C1208="","",IFERROR(IF(INDEX(Roster!$G:$G,MATCH($C1208,Roster!$B:$B,0))="","",INDEX(Roster!$G:$G,MATCH($C1208,Roster!$B:$B,0))&amp;""),"—"))</f>
        <v/>
      </c>
      <c r="J1208" s="25">
        <f>IF($C1208="","",IFERROR(IF(INDEX(Roster!$I:$I,MATCH($C1208,Roster!$B:$B,0))="","",INDEX(Roster!$I:$I,MATCH($C1208,Roster!$B:$B,0))&amp;""),"—"))</f>
        <v/>
      </c>
      <c r="K1208">
        <f>IF($C1208="","",IFERROR(IF(INDEX(Roster!$J:$J,MATCH($C1208,Roster!$B:$B,0))="","",INDEX(Roster!$J:$J,MATCH($C1208,Roster!$B:$B,0))&amp;""),"—"))</f>
        <v/>
      </c>
      <c r="L1208">
        <f>IF($C1208="","",IFERROR(IF(INDEX(Roster!$K:$K,MATCH($C1208,Roster!$B:$B,0))="","",INDEX(Roster!$K:$K,MATCH($C1208,Roster!$B:$B,0))&amp;""),"—"))</f>
        <v/>
      </c>
      <c r="M1208" s="27" t="n"/>
      <c r="N1208" s="27" t="n"/>
      <c r="O1208" s="25">
        <f>IF($C1208="","",IF($P1208="","—",IF($P1208="Valid (Pass)","Valid","Invalid")))</f>
        <v/>
      </c>
      <c r="P1208" s="27" t="n"/>
      <c r="Q1208" s="27" t="n"/>
      <c r="R1208" s="27" t="n"/>
      <c r="S1208" s="27" t="n"/>
      <c r="T1208" s="25">
        <f>IF($C1208="","",IF(OR(ISNUMBER(SEARCH("quick case",$P1208)),ISNUMBER(SEARCH("quick case",$Q1208))),"Yes","No"))</f>
        <v/>
      </c>
      <c r="U1208" s="25">
        <f>IF($O1208="Invalid",HYPERLINK("mailto:"&amp;$G1208&amp;";"&amp;$I1208&amp;"?cc="&amp;Lists!$E$2&amp;"&amp;subject="&amp;_xlfn.ENCODEURL("[INVALID] Quality audit monitoring completed for "&amp;UPPER($C1208))&amp;"&amp;body="&amp;_xlfn.ENCODEURL("Hi "&amp;$F1208&amp;","&amp;CHAR(10)&amp;"Good day!"&amp;CHAR(10)&amp;CHAR(10)&amp;"A quality monitoring audit has been completed for "&amp;$C1208&amp;"."&amp;CHAR(10)&amp;CHAR(10)&amp;"QUALITY AUDIT DETAILS"&amp;CHAR(10)&amp;"Agent Name: "&amp;$C1208&amp;" (EID "&amp;$D1208&amp;")"&amp;CHAR(10)&amp;"Audit Date: "&amp;TEXT($B1208,"yyyy-mm-dd")&amp;CHAR(10)&amp;"Team Leader: "&amp;$F1208&amp;CHAR(10)&amp;"Case Number: "&amp;$M1208&amp;CHAR(10)&amp;"Transaction ID: "&amp;$N1208&amp;CHAR(10)&amp;"Channel / LOB: "&amp;$K1208&amp;" / "&amp;$L1208&amp;CHAR(10)&amp;"Evaluator: "&amp;$S1208&amp;CHAR(10)&amp;CHAR(10)&amp;"INVALID QUALITY AUDIT DETAILS"&amp;CHAR(10)&amp;"Validation: Invalid"&amp;CHAR(10)&amp;"Invalid Reason: "&amp;$P1208&amp;CHAR(10)&amp;"Expected Resolution Code: "&amp;$Q1208&amp;CHAR(10)&amp;"Remarks: "&amp;LEFT($R1208,600)&amp;CHAR(10)&amp;CHAR(10)&amp;"This is an automated notification from HP Mainstream EQMS."),"✉ Open Email Draft"),"")</f>
        <v/>
      </c>
    </row>
    <row r="1209">
      <c r="A1209" s="25">
        <f>IF($C1209="","","AUD-2026-"&amp;TEXT(ROW()-1,"000000"))</f>
        <v/>
      </c>
      <c r="B1209" s="26" t="n"/>
      <c r="C1209" s="27" t="n"/>
      <c r="D1209" s="25">
        <f>IF($C1209="","",IFERROR(IF(INDEX(Roster!$A:$A,MATCH($C1209,Roster!$B:$B,0))="","",INDEX(Roster!$A:$A,MATCH($C1209,Roster!$B:$B,0))&amp;""),"—"))</f>
        <v/>
      </c>
      <c r="E1209" s="25">
        <f>IF($C1209="","",IFERROR(IF(INDEX(Roster!$C:$C,MATCH($C1209,Roster!$B:$B,0))="","",INDEX(Roster!$C:$C,MATCH($C1209,Roster!$B:$B,0))&amp;""),"—"))</f>
        <v/>
      </c>
      <c r="F1209" s="25">
        <f>IF($C1209="","",IFERROR(IF(INDEX(Roster!$D:$D,MATCH($C1209,Roster!$B:$B,0))="","",INDEX(Roster!$D:$D,MATCH($C1209,Roster!$B:$B,0))&amp;""),"—"))</f>
        <v/>
      </c>
      <c r="G1209" s="25">
        <f>IF($C1209="","",IFERROR(IF(INDEX(Roster!$E:$E,MATCH($C1209,Roster!$B:$B,0))="","",INDEX(Roster!$E:$E,MATCH($C1209,Roster!$B:$B,0))&amp;""),"—"))</f>
        <v/>
      </c>
      <c r="H1209" s="25">
        <f>IF($C1209="","",IFERROR(IF(INDEX(Roster!$F:$F,MATCH($C1209,Roster!$B:$B,0))="","",INDEX(Roster!$F:$F,MATCH($C1209,Roster!$B:$B,0))&amp;""),"—"))</f>
        <v/>
      </c>
      <c r="I1209" s="25">
        <f>IF($C1209="","",IFERROR(IF(INDEX(Roster!$G:$G,MATCH($C1209,Roster!$B:$B,0))="","",INDEX(Roster!$G:$G,MATCH($C1209,Roster!$B:$B,0))&amp;""),"—"))</f>
        <v/>
      </c>
      <c r="J1209" s="25">
        <f>IF($C1209="","",IFERROR(IF(INDEX(Roster!$I:$I,MATCH($C1209,Roster!$B:$B,0))="","",INDEX(Roster!$I:$I,MATCH($C1209,Roster!$B:$B,0))&amp;""),"—"))</f>
        <v/>
      </c>
      <c r="K1209">
        <f>IF($C1209="","",IFERROR(IF(INDEX(Roster!$J:$J,MATCH($C1209,Roster!$B:$B,0))="","",INDEX(Roster!$J:$J,MATCH($C1209,Roster!$B:$B,0))&amp;""),"—"))</f>
        <v/>
      </c>
      <c r="L1209">
        <f>IF($C1209="","",IFERROR(IF(INDEX(Roster!$K:$K,MATCH($C1209,Roster!$B:$B,0))="","",INDEX(Roster!$K:$K,MATCH($C1209,Roster!$B:$B,0))&amp;""),"—"))</f>
        <v/>
      </c>
      <c r="M1209" s="27" t="n"/>
      <c r="N1209" s="27" t="n"/>
      <c r="O1209" s="25">
        <f>IF($C1209="","",IF($P1209="","—",IF($P1209="Valid (Pass)","Valid","Invalid")))</f>
        <v/>
      </c>
      <c r="P1209" s="27" t="n"/>
      <c r="Q1209" s="27" t="n"/>
      <c r="R1209" s="27" t="n"/>
      <c r="S1209" s="27" t="n"/>
      <c r="T1209" s="25">
        <f>IF($C1209="","",IF(OR(ISNUMBER(SEARCH("quick case",$P1209)),ISNUMBER(SEARCH("quick case",$Q1209))),"Yes","No"))</f>
        <v/>
      </c>
      <c r="U1209" s="25">
        <f>IF($O1209="Invalid",HYPERLINK("mailto:"&amp;$G1209&amp;";"&amp;$I1209&amp;"?cc="&amp;Lists!$E$2&amp;"&amp;subject="&amp;_xlfn.ENCODEURL("[INVALID] Quality audit monitoring completed for "&amp;UPPER($C1209))&amp;"&amp;body="&amp;_xlfn.ENCODEURL("Hi "&amp;$F1209&amp;","&amp;CHAR(10)&amp;"Good day!"&amp;CHAR(10)&amp;CHAR(10)&amp;"A quality monitoring audit has been completed for "&amp;$C1209&amp;"."&amp;CHAR(10)&amp;CHAR(10)&amp;"QUALITY AUDIT DETAILS"&amp;CHAR(10)&amp;"Agent Name: "&amp;$C1209&amp;" (EID "&amp;$D1209&amp;")"&amp;CHAR(10)&amp;"Audit Date: "&amp;TEXT($B1209,"yyyy-mm-dd")&amp;CHAR(10)&amp;"Team Leader: "&amp;$F1209&amp;CHAR(10)&amp;"Case Number: "&amp;$M1209&amp;CHAR(10)&amp;"Transaction ID: "&amp;$N1209&amp;CHAR(10)&amp;"Channel / LOB: "&amp;$K1209&amp;" / "&amp;$L1209&amp;CHAR(10)&amp;"Evaluator: "&amp;$S1209&amp;CHAR(10)&amp;CHAR(10)&amp;"INVALID QUALITY AUDIT DETAILS"&amp;CHAR(10)&amp;"Validation: Invalid"&amp;CHAR(10)&amp;"Invalid Reason: "&amp;$P1209&amp;CHAR(10)&amp;"Expected Resolution Code: "&amp;$Q1209&amp;CHAR(10)&amp;"Remarks: "&amp;LEFT($R1209,600)&amp;CHAR(10)&amp;CHAR(10)&amp;"This is an automated notification from HP Mainstream EQMS."),"✉ Open Email Draft"),"")</f>
        <v/>
      </c>
    </row>
    <row r="1210">
      <c r="A1210" s="25">
        <f>IF($C1210="","","AUD-2026-"&amp;TEXT(ROW()-1,"000000"))</f>
        <v/>
      </c>
      <c r="B1210" s="26" t="n"/>
      <c r="C1210" s="27" t="n"/>
      <c r="D1210" s="25">
        <f>IF($C1210="","",IFERROR(IF(INDEX(Roster!$A:$A,MATCH($C1210,Roster!$B:$B,0))="","",INDEX(Roster!$A:$A,MATCH($C1210,Roster!$B:$B,0))&amp;""),"—"))</f>
        <v/>
      </c>
      <c r="E1210" s="25">
        <f>IF($C1210="","",IFERROR(IF(INDEX(Roster!$C:$C,MATCH($C1210,Roster!$B:$B,0))="","",INDEX(Roster!$C:$C,MATCH($C1210,Roster!$B:$B,0))&amp;""),"—"))</f>
        <v/>
      </c>
      <c r="F1210" s="25">
        <f>IF($C1210="","",IFERROR(IF(INDEX(Roster!$D:$D,MATCH($C1210,Roster!$B:$B,0))="","",INDEX(Roster!$D:$D,MATCH($C1210,Roster!$B:$B,0))&amp;""),"—"))</f>
        <v/>
      </c>
      <c r="G1210" s="25">
        <f>IF($C1210="","",IFERROR(IF(INDEX(Roster!$E:$E,MATCH($C1210,Roster!$B:$B,0))="","",INDEX(Roster!$E:$E,MATCH($C1210,Roster!$B:$B,0))&amp;""),"—"))</f>
        <v/>
      </c>
      <c r="H1210" s="25">
        <f>IF($C1210="","",IFERROR(IF(INDEX(Roster!$F:$F,MATCH($C1210,Roster!$B:$B,0))="","",INDEX(Roster!$F:$F,MATCH($C1210,Roster!$B:$B,0))&amp;""),"—"))</f>
        <v/>
      </c>
      <c r="I1210" s="25">
        <f>IF($C1210="","",IFERROR(IF(INDEX(Roster!$G:$G,MATCH($C1210,Roster!$B:$B,0))="","",INDEX(Roster!$G:$G,MATCH($C1210,Roster!$B:$B,0))&amp;""),"—"))</f>
        <v/>
      </c>
      <c r="J1210" s="25">
        <f>IF($C1210="","",IFERROR(IF(INDEX(Roster!$I:$I,MATCH($C1210,Roster!$B:$B,0))="","",INDEX(Roster!$I:$I,MATCH($C1210,Roster!$B:$B,0))&amp;""),"—"))</f>
        <v/>
      </c>
      <c r="K1210">
        <f>IF($C1210="","",IFERROR(IF(INDEX(Roster!$J:$J,MATCH($C1210,Roster!$B:$B,0))="","",INDEX(Roster!$J:$J,MATCH($C1210,Roster!$B:$B,0))&amp;""),"—"))</f>
        <v/>
      </c>
      <c r="L1210">
        <f>IF($C1210="","",IFERROR(IF(INDEX(Roster!$K:$K,MATCH($C1210,Roster!$B:$B,0))="","",INDEX(Roster!$K:$K,MATCH($C1210,Roster!$B:$B,0))&amp;""),"—"))</f>
        <v/>
      </c>
      <c r="M1210" s="27" t="n"/>
      <c r="N1210" s="27" t="n"/>
      <c r="O1210" s="25">
        <f>IF($C1210="","",IF($P1210="","—",IF($P1210="Valid (Pass)","Valid","Invalid")))</f>
        <v/>
      </c>
      <c r="P1210" s="27" t="n"/>
      <c r="Q1210" s="27" t="n"/>
      <c r="R1210" s="27" t="n"/>
      <c r="S1210" s="27" t="n"/>
      <c r="T1210" s="25">
        <f>IF($C1210="","",IF(OR(ISNUMBER(SEARCH("quick case",$P1210)),ISNUMBER(SEARCH("quick case",$Q1210))),"Yes","No"))</f>
        <v/>
      </c>
      <c r="U1210" s="25">
        <f>IF($O1210="Invalid",HYPERLINK("mailto:"&amp;$G1210&amp;";"&amp;$I1210&amp;"?cc="&amp;Lists!$E$2&amp;"&amp;subject="&amp;_xlfn.ENCODEURL("[INVALID] Quality audit monitoring completed for "&amp;UPPER($C1210))&amp;"&amp;body="&amp;_xlfn.ENCODEURL("Hi "&amp;$F1210&amp;","&amp;CHAR(10)&amp;"Good day!"&amp;CHAR(10)&amp;CHAR(10)&amp;"A quality monitoring audit has been completed for "&amp;$C1210&amp;"."&amp;CHAR(10)&amp;CHAR(10)&amp;"QUALITY AUDIT DETAILS"&amp;CHAR(10)&amp;"Agent Name: "&amp;$C1210&amp;" (EID "&amp;$D1210&amp;")"&amp;CHAR(10)&amp;"Audit Date: "&amp;TEXT($B1210,"yyyy-mm-dd")&amp;CHAR(10)&amp;"Team Leader: "&amp;$F1210&amp;CHAR(10)&amp;"Case Number: "&amp;$M1210&amp;CHAR(10)&amp;"Transaction ID: "&amp;$N1210&amp;CHAR(10)&amp;"Channel / LOB: "&amp;$K1210&amp;" / "&amp;$L1210&amp;CHAR(10)&amp;"Evaluator: "&amp;$S1210&amp;CHAR(10)&amp;CHAR(10)&amp;"INVALID QUALITY AUDIT DETAILS"&amp;CHAR(10)&amp;"Validation: Invalid"&amp;CHAR(10)&amp;"Invalid Reason: "&amp;$P1210&amp;CHAR(10)&amp;"Expected Resolution Code: "&amp;$Q1210&amp;CHAR(10)&amp;"Remarks: "&amp;LEFT($R1210,600)&amp;CHAR(10)&amp;CHAR(10)&amp;"This is an automated notification from HP Mainstream EQMS."),"✉ Open Email Draft"),"")</f>
        <v/>
      </c>
    </row>
    <row r="1211">
      <c r="A1211" s="25">
        <f>IF($C1211="","","AUD-2026-"&amp;TEXT(ROW()-1,"000000"))</f>
        <v/>
      </c>
      <c r="B1211" s="26" t="n"/>
      <c r="C1211" s="27" t="n"/>
      <c r="D1211" s="25">
        <f>IF($C1211="","",IFERROR(IF(INDEX(Roster!$A:$A,MATCH($C1211,Roster!$B:$B,0))="","",INDEX(Roster!$A:$A,MATCH($C1211,Roster!$B:$B,0))&amp;""),"—"))</f>
        <v/>
      </c>
      <c r="E1211" s="25">
        <f>IF($C1211="","",IFERROR(IF(INDEX(Roster!$C:$C,MATCH($C1211,Roster!$B:$B,0))="","",INDEX(Roster!$C:$C,MATCH($C1211,Roster!$B:$B,0))&amp;""),"—"))</f>
        <v/>
      </c>
      <c r="F1211" s="25">
        <f>IF($C1211="","",IFERROR(IF(INDEX(Roster!$D:$D,MATCH($C1211,Roster!$B:$B,0))="","",INDEX(Roster!$D:$D,MATCH($C1211,Roster!$B:$B,0))&amp;""),"—"))</f>
        <v/>
      </c>
      <c r="G1211" s="25">
        <f>IF($C1211="","",IFERROR(IF(INDEX(Roster!$E:$E,MATCH($C1211,Roster!$B:$B,0))="","",INDEX(Roster!$E:$E,MATCH($C1211,Roster!$B:$B,0))&amp;""),"—"))</f>
        <v/>
      </c>
      <c r="H1211" s="25">
        <f>IF($C1211="","",IFERROR(IF(INDEX(Roster!$F:$F,MATCH($C1211,Roster!$B:$B,0))="","",INDEX(Roster!$F:$F,MATCH($C1211,Roster!$B:$B,0))&amp;""),"—"))</f>
        <v/>
      </c>
      <c r="I1211" s="25">
        <f>IF($C1211="","",IFERROR(IF(INDEX(Roster!$G:$G,MATCH($C1211,Roster!$B:$B,0))="","",INDEX(Roster!$G:$G,MATCH($C1211,Roster!$B:$B,0))&amp;""),"—"))</f>
        <v/>
      </c>
      <c r="J1211" s="25">
        <f>IF($C1211="","",IFERROR(IF(INDEX(Roster!$I:$I,MATCH($C1211,Roster!$B:$B,0))="","",INDEX(Roster!$I:$I,MATCH($C1211,Roster!$B:$B,0))&amp;""),"—"))</f>
        <v/>
      </c>
      <c r="K1211">
        <f>IF($C1211="","",IFERROR(IF(INDEX(Roster!$J:$J,MATCH($C1211,Roster!$B:$B,0))="","",INDEX(Roster!$J:$J,MATCH($C1211,Roster!$B:$B,0))&amp;""),"—"))</f>
        <v/>
      </c>
      <c r="L1211">
        <f>IF($C1211="","",IFERROR(IF(INDEX(Roster!$K:$K,MATCH($C1211,Roster!$B:$B,0))="","",INDEX(Roster!$K:$K,MATCH($C1211,Roster!$B:$B,0))&amp;""),"—"))</f>
        <v/>
      </c>
      <c r="M1211" s="27" t="n"/>
      <c r="N1211" s="27" t="n"/>
      <c r="O1211" s="25">
        <f>IF($C1211="","",IF($P1211="","—",IF($P1211="Valid (Pass)","Valid","Invalid")))</f>
        <v/>
      </c>
      <c r="P1211" s="27" t="n"/>
      <c r="Q1211" s="27" t="n"/>
      <c r="R1211" s="27" t="n"/>
      <c r="S1211" s="27" t="n"/>
      <c r="T1211" s="25">
        <f>IF($C1211="","",IF(OR(ISNUMBER(SEARCH("quick case",$P1211)),ISNUMBER(SEARCH("quick case",$Q1211))),"Yes","No"))</f>
        <v/>
      </c>
      <c r="U1211" s="25">
        <f>IF($O1211="Invalid",HYPERLINK("mailto:"&amp;$G1211&amp;";"&amp;$I1211&amp;"?cc="&amp;Lists!$E$2&amp;"&amp;subject="&amp;_xlfn.ENCODEURL("[INVALID] Quality audit monitoring completed for "&amp;UPPER($C1211))&amp;"&amp;body="&amp;_xlfn.ENCODEURL("Hi "&amp;$F1211&amp;","&amp;CHAR(10)&amp;"Good day!"&amp;CHAR(10)&amp;CHAR(10)&amp;"A quality monitoring audit has been completed for "&amp;$C1211&amp;"."&amp;CHAR(10)&amp;CHAR(10)&amp;"QUALITY AUDIT DETAILS"&amp;CHAR(10)&amp;"Agent Name: "&amp;$C1211&amp;" (EID "&amp;$D1211&amp;")"&amp;CHAR(10)&amp;"Audit Date: "&amp;TEXT($B1211,"yyyy-mm-dd")&amp;CHAR(10)&amp;"Team Leader: "&amp;$F1211&amp;CHAR(10)&amp;"Case Number: "&amp;$M1211&amp;CHAR(10)&amp;"Transaction ID: "&amp;$N1211&amp;CHAR(10)&amp;"Channel / LOB: "&amp;$K1211&amp;" / "&amp;$L1211&amp;CHAR(10)&amp;"Evaluator: "&amp;$S1211&amp;CHAR(10)&amp;CHAR(10)&amp;"INVALID QUALITY AUDIT DETAILS"&amp;CHAR(10)&amp;"Validation: Invalid"&amp;CHAR(10)&amp;"Invalid Reason: "&amp;$P1211&amp;CHAR(10)&amp;"Expected Resolution Code: "&amp;$Q1211&amp;CHAR(10)&amp;"Remarks: "&amp;LEFT($R1211,600)&amp;CHAR(10)&amp;CHAR(10)&amp;"This is an automated notification from HP Mainstream EQMS."),"✉ Open Email Draft"),"")</f>
        <v/>
      </c>
    </row>
    <row r="1212">
      <c r="A1212" s="25">
        <f>IF($C1212="","","AUD-2026-"&amp;TEXT(ROW()-1,"000000"))</f>
        <v/>
      </c>
      <c r="B1212" s="26" t="n"/>
      <c r="C1212" s="27" t="n"/>
      <c r="D1212" s="25">
        <f>IF($C1212="","",IFERROR(IF(INDEX(Roster!$A:$A,MATCH($C1212,Roster!$B:$B,0))="","",INDEX(Roster!$A:$A,MATCH($C1212,Roster!$B:$B,0))&amp;""),"—"))</f>
        <v/>
      </c>
      <c r="E1212" s="25">
        <f>IF($C1212="","",IFERROR(IF(INDEX(Roster!$C:$C,MATCH($C1212,Roster!$B:$B,0))="","",INDEX(Roster!$C:$C,MATCH($C1212,Roster!$B:$B,0))&amp;""),"—"))</f>
        <v/>
      </c>
      <c r="F1212" s="25">
        <f>IF($C1212="","",IFERROR(IF(INDEX(Roster!$D:$D,MATCH($C1212,Roster!$B:$B,0))="","",INDEX(Roster!$D:$D,MATCH($C1212,Roster!$B:$B,0))&amp;""),"—"))</f>
        <v/>
      </c>
      <c r="G1212" s="25">
        <f>IF($C1212="","",IFERROR(IF(INDEX(Roster!$E:$E,MATCH($C1212,Roster!$B:$B,0))="","",INDEX(Roster!$E:$E,MATCH($C1212,Roster!$B:$B,0))&amp;""),"—"))</f>
        <v/>
      </c>
      <c r="H1212" s="25">
        <f>IF($C1212="","",IFERROR(IF(INDEX(Roster!$F:$F,MATCH($C1212,Roster!$B:$B,0))="","",INDEX(Roster!$F:$F,MATCH($C1212,Roster!$B:$B,0))&amp;""),"—"))</f>
        <v/>
      </c>
      <c r="I1212" s="25">
        <f>IF($C1212="","",IFERROR(IF(INDEX(Roster!$G:$G,MATCH($C1212,Roster!$B:$B,0))="","",INDEX(Roster!$G:$G,MATCH($C1212,Roster!$B:$B,0))&amp;""),"—"))</f>
        <v/>
      </c>
      <c r="J1212" s="25">
        <f>IF($C1212="","",IFERROR(IF(INDEX(Roster!$I:$I,MATCH($C1212,Roster!$B:$B,0))="","",INDEX(Roster!$I:$I,MATCH($C1212,Roster!$B:$B,0))&amp;""),"—"))</f>
        <v/>
      </c>
      <c r="K1212">
        <f>IF($C1212="","",IFERROR(IF(INDEX(Roster!$J:$J,MATCH($C1212,Roster!$B:$B,0))="","",INDEX(Roster!$J:$J,MATCH($C1212,Roster!$B:$B,0))&amp;""),"—"))</f>
        <v/>
      </c>
      <c r="L1212">
        <f>IF($C1212="","",IFERROR(IF(INDEX(Roster!$K:$K,MATCH($C1212,Roster!$B:$B,0))="","",INDEX(Roster!$K:$K,MATCH($C1212,Roster!$B:$B,0))&amp;""),"—"))</f>
        <v/>
      </c>
      <c r="M1212" s="27" t="n"/>
      <c r="N1212" s="27" t="n"/>
      <c r="O1212" s="25">
        <f>IF($C1212="","",IF($P1212="","—",IF($P1212="Valid (Pass)","Valid","Invalid")))</f>
        <v/>
      </c>
      <c r="P1212" s="27" t="n"/>
      <c r="Q1212" s="27" t="n"/>
      <c r="R1212" s="27" t="n"/>
      <c r="S1212" s="27" t="n"/>
      <c r="T1212" s="25">
        <f>IF($C1212="","",IF(OR(ISNUMBER(SEARCH("quick case",$P1212)),ISNUMBER(SEARCH("quick case",$Q1212))),"Yes","No"))</f>
        <v/>
      </c>
      <c r="U1212" s="25">
        <f>IF($O1212="Invalid",HYPERLINK("mailto:"&amp;$G1212&amp;";"&amp;$I1212&amp;"?cc="&amp;Lists!$E$2&amp;"&amp;subject="&amp;_xlfn.ENCODEURL("[INVALID] Quality audit monitoring completed for "&amp;UPPER($C1212))&amp;"&amp;body="&amp;_xlfn.ENCODEURL("Hi "&amp;$F1212&amp;","&amp;CHAR(10)&amp;"Good day!"&amp;CHAR(10)&amp;CHAR(10)&amp;"A quality monitoring audit has been completed for "&amp;$C1212&amp;"."&amp;CHAR(10)&amp;CHAR(10)&amp;"QUALITY AUDIT DETAILS"&amp;CHAR(10)&amp;"Agent Name: "&amp;$C1212&amp;" (EID "&amp;$D1212&amp;")"&amp;CHAR(10)&amp;"Audit Date: "&amp;TEXT($B1212,"yyyy-mm-dd")&amp;CHAR(10)&amp;"Team Leader: "&amp;$F1212&amp;CHAR(10)&amp;"Case Number: "&amp;$M1212&amp;CHAR(10)&amp;"Transaction ID: "&amp;$N1212&amp;CHAR(10)&amp;"Channel / LOB: "&amp;$K1212&amp;" / "&amp;$L1212&amp;CHAR(10)&amp;"Evaluator: "&amp;$S1212&amp;CHAR(10)&amp;CHAR(10)&amp;"INVALID QUALITY AUDIT DETAILS"&amp;CHAR(10)&amp;"Validation: Invalid"&amp;CHAR(10)&amp;"Invalid Reason: "&amp;$P1212&amp;CHAR(10)&amp;"Expected Resolution Code: "&amp;$Q1212&amp;CHAR(10)&amp;"Remarks: "&amp;LEFT($R1212,600)&amp;CHAR(10)&amp;CHAR(10)&amp;"This is an automated notification from HP Mainstream EQMS."),"✉ Open Email Draft"),"")</f>
        <v/>
      </c>
    </row>
    <row r="1213">
      <c r="A1213" s="25">
        <f>IF($C1213="","","AUD-2026-"&amp;TEXT(ROW()-1,"000000"))</f>
        <v/>
      </c>
      <c r="B1213" s="26" t="n"/>
      <c r="C1213" s="27" t="n"/>
      <c r="D1213" s="25">
        <f>IF($C1213="","",IFERROR(IF(INDEX(Roster!$A:$A,MATCH($C1213,Roster!$B:$B,0))="","",INDEX(Roster!$A:$A,MATCH($C1213,Roster!$B:$B,0))&amp;""),"—"))</f>
        <v/>
      </c>
      <c r="E1213" s="25">
        <f>IF($C1213="","",IFERROR(IF(INDEX(Roster!$C:$C,MATCH($C1213,Roster!$B:$B,0))="","",INDEX(Roster!$C:$C,MATCH($C1213,Roster!$B:$B,0))&amp;""),"—"))</f>
        <v/>
      </c>
      <c r="F1213" s="25">
        <f>IF($C1213="","",IFERROR(IF(INDEX(Roster!$D:$D,MATCH($C1213,Roster!$B:$B,0))="","",INDEX(Roster!$D:$D,MATCH($C1213,Roster!$B:$B,0))&amp;""),"—"))</f>
        <v/>
      </c>
      <c r="G1213" s="25">
        <f>IF($C1213="","",IFERROR(IF(INDEX(Roster!$E:$E,MATCH($C1213,Roster!$B:$B,0))="","",INDEX(Roster!$E:$E,MATCH($C1213,Roster!$B:$B,0))&amp;""),"—"))</f>
        <v/>
      </c>
      <c r="H1213" s="25">
        <f>IF($C1213="","",IFERROR(IF(INDEX(Roster!$F:$F,MATCH($C1213,Roster!$B:$B,0))="","",INDEX(Roster!$F:$F,MATCH($C1213,Roster!$B:$B,0))&amp;""),"—"))</f>
        <v/>
      </c>
      <c r="I1213" s="25">
        <f>IF($C1213="","",IFERROR(IF(INDEX(Roster!$G:$G,MATCH($C1213,Roster!$B:$B,0))="","",INDEX(Roster!$G:$G,MATCH($C1213,Roster!$B:$B,0))&amp;""),"—"))</f>
        <v/>
      </c>
      <c r="J1213" s="25">
        <f>IF($C1213="","",IFERROR(IF(INDEX(Roster!$I:$I,MATCH($C1213,Roster!$B:$B,0))="","",INDEX(Roster!$I:$I,MATCH($C1213,Roster!$B:$B,0))&amp;""),"—"))</f>
        <v/>
      </c>
      <c r="K1213">
        <f>IF($C1213="","",IFERROR(IF(INDEX(Roster!$J:$J,MATCH($C1213,Roster!$B:$B,0))="","",INDEX(Roster!$J:$J,MATCH($C1213,Roster!$B:$B,0))&amp;""),"—"))</f>
        <v/>
      </c>
      <c r="L1213">
        <f>IF($C1213="","",IFERROR(IF(INDEX(Roster!$K:$K,MATCH($C1213,Roster!$B:$B,0))="","",INDEX(Roster!$K:$K,MATCH($C1213,Roster!$B:$B,0))&amp;""),"—"))</f>
        <v/>
      </c>
      <c r="M1213" s="27" t="n"/>
      <c r="N1213" s="27" t="n"/>
      <c r="O1213" s="25">
        <f>IF($C1213="","",IF($P1213="","—",IF($P1213="Valid (Pass)","Valid","Invalid")))</f>
        <v/>
      </c>
      <c r="P1213" s="27" t="n"/>
      <c r="Q1213" s="27" t="n"/>
      <c r="R1213" s="27" t="n"/>
      <c r="S1213" s="27" t="n"/>
      <c r="T1213" s="25">
        <f>IF($C1213="","",IF(OR(ISNUMBER(SEARCH("quick case",$P1213)),ISNUMBER(SEARCH("quick case",$Q1213))),"Yes","No"))</f>
        <v/>
      </c>
      <c r="U1213" s="25">
        <f>IF($O1213="Invalid",HYPERLINK("mailto:"&amp;$G1213&amp;";"&amp;$I1213&amp;"?cc="&amp;Lists!$E$2&amp;"&amp;subject="&amp;_xlfn.ENCODEURL("[INVALID] Quality audit monitoring completed for "&amp;UPPER($C1213))&amp;"&amp;body="&amp;_xlfn.ENCODEURL("Hi "&amp;$F1213&amp;","&amp;CHAR(10)&amp;"Good day!"&amp;CHAR(10)&amp;CHAR(10)&amp;"A quality monitoring audit has been completed for "&amp;$C1213&amp;"."&amp;CHAR(10)&amp;CHAR(10)&amp;"QUALITY AUDIT DETAILS"&amp;CHAR(10)&amp;"Agent Name: "&amp;$C1213&amp;" (EID "&amp;$D1213&amp;")"&amp;CHAR(10)&amp;"Audit Date: "&amp;TEXT($B1213,"yyyy-mm-dd")&amp;CHAR(10)&amp;"Team Leader: "&amp;$F1213&amp;CHAR(10)&amp;"Case Number: "&amp;$M1213&amp;CHAR(10)&amp;"Transaction ID: "&amp;$N1213&amp;CHAR(10)&amp;"Channel / LOB: "&amp;$K1213&amp;" / "&amp;$L1213&amp;CHAR(10)&amp;"Evaluator: "&amp;$S1213&amp;CHAR(10)&amp;CHAR(10)&amp;"INVALID QUALITY AUDIT DETAILS"&amp;CHAR(10)&amp;"Validation: Invalid"&amp;CHAR(10)&amp;"Invalid Reason: "&amp;$P1213&amp;CHAR(10)&amp;"Expected Resolution Code: "&amp;$Q1213&amp;CHAR(10)&amp;"Remarks: "&amp;LEFT($R1213,600)&amp;CHAR(10)&amp;CHAR(10)&amp;"This is an automated notification from HP Mainstream EQMS."),"✉ Open Email Draft"),"")</f>
        <v/>
      </c>
    </row>
    <row r="1214">
      <c r="A1214" s="25">
        <f>IF($C1214="","","AUD-2026-"&amp;TEXT(ROW()-1,"000000"))</f>
        <v/>
      </c>
      <c r="B1214" s="26" t="n"/>
      <c r="C1214" s="27" t="n"/>
      <c r="D1214" s="25">
        <f>IF($C1214="","",IFERROR(IF(INDEX(Roster!$A:$A,MATCH($C1214,Roster!$B:$B,0))="","",INDEX(Roster!$A:$A,MATCH($C1214,Roster!$B:$B,0))&amp;""),"—"))</f>
        <v/>
      </c>
      <c r="E1214" s="25">
        <f>IF($C1214="","",IFERROR(IF(INDEX(Roster!$C:$C,MATCH($C1214,Roster!$B:$B,0))="","",INDEX(Roster!$C:$C,MATCH($C1214,Roster!$B:$B,0))&amp;""),"—"))</f>
        <v/>
      </c>
      <c r="F1214" s="25">
        <f>IF($C1214="","",IFERROR(IF(INDEX(Roster!$D:$D,MATCH($C1214,Roster!$B:$B,0))="","",INDEX(Roster!$D:$D,MATCH($C1214,Roster!$B:$B,0))&amp;""),"—"))</f>
        <v/>
      </c>
      <c r="G1214" s="25">
        <f>IF($C1214="","",IFERROR(IF(INDEX(Roster!$E:$E,MATCH($C1214,Roster!$B:$B,0))="","",INDEX(Roster!$E:$E,MATCH($C1214,Roster!$B:$B,0))&amp;""),"—"))</f>
        <v/>
      </c>
      <c r="H1214" s="25">
        <f>IF($C1214="","",IFERROR(IF(INDEX(Roster!$F:$F,MATCH($C1214,Roster!$B:$B,0))="","",INDEX(Roster!$F:$F,MATCH($C1214,Roster!$B:$B,0))&amp;""),"—"))</f>
        <v/>
      </c>
      <c r="I1214" s="25">
        <f>IF($C1214="","",IFERROR(IF(INDEX(Roster!$G:$G,MATCH($C1214,Roster!$B:$B,0))="","",INDEX(Roster!$G:$G,MATCH($C1214,Roster!$B:$B,0))&amp;""),"—"))</f>
        <v/>
      </c>
      <c r="J1214" s="25">
        <f>IF($C1214="","",IFERROR(IF(INDEX(Roster!$I:$I,MATCH($C1214,Roster!$B:$B,0))="","",INDEX(Roster!$I:$I,MATCH($C1214,Roster!$B:$B,0))&amp;""),"—"))</f>
        <v/>
      </c>
      <c r="K1214">
        <f>IF($C1214="","",IFERROR(IF(INDEX(Roster!$J:$J,MATCH($C1214,Roster!$B:$B,0))="","",INDEX(Roster!$J:$J,MATCH($C1214,Roster!$B:$B,0))&amp;""),"—"))</f>
        <v/>
      </c>
      <c r="L1214">
        <f>IF($C1214="","",IFERROR(IF(INDEX(Roster!$K:$K,MATCH($C1214,Roster!$B:$B,0))="","",INDEX(Roster!$K:$K,MATCH($C1214,Roster!$B:$B,0))&amp;""),"—"))</f>
        <v/>
      </c>
      <c r="M1214" s="27" t="n"/>
      <c r="N1214" s="27" t="n"/>
      <c r="O1214" s="25">
        <f>IF($C1214="","",IF($P1214="","—",IF($P1214="Valid (Pass)","Valid","Invalid")))</f>
        <v/>
      </c>
      <c r="P1214" s="27" t="n"/>
      <c r="Q1214" s="27" t="n"/>
      <c r="R1214" s="27" t="n"/>
      <c r="S1214" s="27" t="n"/>
      <c r="T1214" s="25">
        <f>IF($C1214="","",IF(OR(ISNUMBER(SEARCH("quick case",$P1214)),ISNUMBER(SEARCH("quick case",$Q1214))),"Yes","No"))</f>
        <v/>
      </c>
      <c r="U1214" s="25">
        <f>IF($O1214="Invalid",HYPERLINK("mailto:"&amp;$G1214&amp;";"&amp;$I1214&amp;"?cc="&amp;Lists!$E$2&amp;"&amp;subject="&amp;_xlfn.ENCODEURL("[INVALID] Quality audit monitoring completed for "&amp;UPPER($C1214))&amp;"&amp;body="&amp;_xlfn.ENCODEURL("Hi "&amp;$F1214&amp;","&amp;CHAR(10)&amp;"Good day!"&amp;CHAR(10)&amp;CHAR(10)&amp;"A quality monitoring audit has been completed for "&amp;$C1214&amp;"."&amp;CHAR(10)&amp;CHAR(10)&amp;"QUALITY AUDIT DETAILS"&amp;CHAR(10)&amp;"Agent Name: "&amp;$C1214&amp;" (EID "&amp;$D1214&amp;")"&amp;CHAR(10)&amp;"Audit Date: "&amp;TEXT($B1214,"yyyy-mm-dd")&amp;CHAR(10)&amp;"Team Leader: "&amp;$F1214&amp;CHAR(10)&amp;"Case Number: "&amp;$M1214&amp;CHAR(10)&amp;"Transaction ID: "&amp;$N1214&amp;CHAR(10)&amp;"Channel / LOB: "&amp;$K1214&amp;" / "&amp;$L1214&amp;CHAR(10)&amp;"Evaluator: "&amp;$S1214&amp;CHAR(10)&amp;CHAR(10)&amp;"INVALID QUALITY AUDIT DETAILS"&amp;CHAR(10)&amp;"Validation: Invalid"&amp;CHAR(10)&amp;"Invalid Reason: "&amp;$P1214&amp;CHAR(10)&amp;"Expected Resolution Code: "&amp;$Q1214&amp;CHAR(10)&amp;"Remarks: "&amp;LEFT($R1214,600)&amp;CHAR(10)&amp;CHAR(10)&amp;"This is an automated notification from HP Mainstream EQMS."),"✉ Open Email Draft"),"")</f>
        <v/>
      </c>
    </row>
    <row r="1215">
      <c r="A1215" s="25">
        <f>IF($C1215="","","AUD-2026-"&amp;TEXT(ROW()-1,"000000"))</f>
        <v/>
      </c>
      <c r="B1215" s="26" t="n"/>
      <c r="C1215" s="27" t="n"/>
      <c r="D1215" s="25">
        <f>IF($C1215="","",IFERROR(IF(INDEX(Roster!$A:$A,MATCH($C1215,Roster!$B:$B,0))="","",INDEX(Roster!$A:$A,MATCH($C1215,Roster!$B:$B,0))&amp;""),"—"))</f>
        <v/>
      </c>
      <c r="E1215" s="25">
        <f>IF($C1215="","",IFERROR(IF(INDEX(Roster!$C:$C,MATCH($C1215,Roster!$B:$B,0))="","",INDEX(Roster!$C:$C,MATCH($C1215,Roster!$B:$B,0))&amp;""),"—"))</f>
        <v/>
      </c>
      <c r="F1215" s="25">
        <f>IF($C1215="","",IFERROR(IF(INDEX(Roster!$D:$D,MATCH($C1215,Roster!$B:$B,0))="","",INDEX(Roster!$D:$D,MATCH($C1215,Roster!$B:$B,0))&amp;""),"—"))</f>
        <v/>
      </c>
      <c r="G1215" s="25">
        <f>IF($C1215="","",IFERROR(IF(INDEX(Roster!$E:$E,MATCH($C1215,Roster!$B:$B,0))="","",INDEX(Roster!$E:$E,MATCH($C1215,Roster!$B:$B,0))&amp;""),"—"))</f>
        <v/>
      </c>
      <c r="H1215" s="25">
        <f>IF($C1215="","",IFERROR(IF(INDEX(Roster!$F:$F,MATCH($C1215,Roster!$B:$B,0))="","",INDEX(Roster!$F:$F,MATCH($C1215,Roster!$B:$B,0))&amp;""),"—"))</f>
        <v/>
      </c>
      <c r="I1215" s="25">
        <f>IF($C1215="","",IFERROR(IF(INDEX(Roster!$G:$G,MATCH($C1215,Roster!$B:$B,0))="","",INDEX(Roster!$G:$G,MATCH($C1215,Roster!$B:$B,0))&amp;""),"—"))</f>
        <v/>
      </c>
      <c r="J1215" s="25">
        <f>IF($C1215="","",IFERROR(IF(INDEX(Roster!$I:$I,MATCH($C1215,Roster!$B:$B,0))="","",INDEX(Roster!$I:$I,MATCH($C1215,Roster!$B:$B,0))&amp;""),"—"))</f>
        <v/>
      </c>
      <c r="K1215">
        <f>IF($C1215="","",IFERROR(IF(INDEX(Roster!$J:$J,MATCH($C1215,Roster!$B:$B,0))="","",INDEX(Roster!$J:$J,MATCH($C1215,Roster!$B:$B,0))&amp;""),"—"))</f>
        <v/>
      </c>
      <c r="L1215">
        <f>IF($C1215="","",IFERROR(IF(INDEX(Roster!$K:$K,MATCH($C1215,Roster!$B:$B,0))="","",INDEX(Roster!$K:$K,MATCH($C1215,Roster!$B:$B,0))&amp;""),"—"))</f>
        <v/>
      </c>
      <c r="M1215" s="27" t="n"/>
      <c r="N1215" s="27" t="n"/>
      <c r="O1215" s="25">
        <f>IF($C1215="","",IF($P1215="","—",IF($P1215="Valid (Pass)","Valid","Invalid")))</f>
        <v/>
      </c>
      <c r="P1215" s="27" t="n"/>
      <c r="Q1215" s="27" t="n"/>
      <c r="R1215" s="27" t="n"/>
      <c r="S1215" s="27" t="n"/>
      <c r="T1215" s="25">
        <f>IF($C1215="","",IF(OR(ISNUMBER(SEARCH("quick case",$P1215)),ISNUMBER(SEARCH("quick case",$Q1215))),"Yes","No"))</f>
        <v/>
      </c>
      <c r="U1215" s="25">
        <f>IF($O1215="Invalid",HYPERLINK("mailto:"&amp;$G1215&amp;";"&amp;$I1215&amp;"?cc="&amp;Lists!$E$2&amp;"&amp;subject="&amp;_xlfn.ENCODEURL("[INVALID] Quality audit monitoring completed for "&amp;UPPER($C1215))&amp;"&amp;body="&amp;_xlfn.ENCODEURL("Hi "&amp;$F1215&amp;","&amp;CHAR(10)&amp;"Good day!"&amp;CHAR(10)&amp;CHAR(10)&amp;"A quality monitoring audit has been completed for "&amp;$C1215&amp;"."&amp;CHAR(10)&amp;CHAR(10)&amp;"QUALITY AUDIT DETAILS"&amp;CHAR(10)&amp;"Agent Name: "&amp;$C1215&amp;" (EID "&amp;$D1215&amp;")"&amp;CHAR(10)&amp;"Audit Date: "&amp;TEXT($B1215,"yyyy-mm-dd")&amp;CHAR(10)&amp;"Team Leader: "&amp;$F1215&amp;CHAR(10)&amp;"Case Number: "&amp;$M1215&amp;CHAR(10)&amp;"Transaction ID: "&amp;$N1215&amp;CHAR(10)&amp;"Channel / LOB: "&amp;$K1215&amp;" / "&amp;$L1215&amp;CHAR(10)&amp;"Evaluator: "&amp;$S1215&amp;CHAR(10)&amp;CHAR(10)&amp;"INVALID QUALITY AUDIT DETAILS"&amp;CHAR(10)&amp;"Validation: Invalid"&amp;CHAR(10)&amp;"Invalid Reason: "&amp;$P1215&amp;CHAR(10)&amp;"Expected Resolution Code: "&amp;$Q1215&amp;CHAR(10)&amp;"Remarks: "&amp;LEFT($R1215,600)&amp;CHAR(10)&amp;CHAR(10)&amp;"This is an automated notification from HP Mainstream EQMS."),"✉ Open Email Draft"),"")</f>
        <v/>
      </c>
    </row>
    <row r="1216">
      <c r="A1216" s="25">
        <f>IF($C1216="","","AUD-2026-"&amp;TEXT(ROW()-1,"000000"))</f>
        <v/>
      </c>
      <c r="B1216" s="26" t="n"/>
      <c r="C1216" s="27" t="n"/>
      <c r="D1216" s="25">
        <f>IF($C1216="","",IFERROR(IF(INDEX(Roster!$A:$A,MATCH($C1216,Roster!$B:$B,0))="","",INDEX(Roster!$A:$A,MATCH($C1216,Roster!$B:$B,0))&amp;""),"—"))</f>
        <v/>
      </c>
      <c r="E1216" s="25">
        <f>IF($C1216="","",IFERROR(IF(INDEX(Roster!$C:$C,MATCH($C1216,Roster!$B:$B,0))="","",INDEX(Roster!$C:$C,MATCH($C1216,Roster!$B:$B,0))&amp;""),"—"))</f>
        <v/>
      </c>
      <c r="F1216" s="25">
        <f>IF($C1216="","",IFERROR(IF(INDEX(Roster!$D:$D,MATCH($C1216,Roster!$B:$B,0))="","",INDEX(Roster!$D:$D,MATCH($C1216,Roster!$B:$B,0))&amp;""),"—"))</f>
        <v/>
      </c>
      <c r="G1216" s="25">
        <f>IF($C1216="","",IFERROR(IF(INDEX(Roster!$E:$E,MATCH($C1216,Roster!$B:$B,0))="","",INDEX(Roster!$E:$E,MATCH($C1216,Roster!$B:$B,0))&amp;""),"—"))</f>
        <v/>
      </c>
      <c r="H1216" s="25">
        <f>IF($C1216="","",IFERROR(IF(INDEX(Roster!$F:$F,MATCH($C1216,Roster!$B:$B,0))="","",INDEX(Roster!$F:$F,MATCH($C1216,Roster!$B:$B,0))&amp;""),"—"))</f>
        <v/>
      </c>
      <c r="I1216" s="25">
        <f>IF($C1216="","",IFERROR(IF(INDEX(Roster!$G:$G,MATCH($C1216,Roster!$B:$B,0))="","",INDEX(Roster!$G:$G,MATCH($C1216,Roster!$B:$B,0))&amp;""),"—"))</f>
        <v/>
      </c>
      <c r="J1216" s="25">
        <f>IF($C1216="","",IFERROR(IF(INDEX(Roster!$I:$I,MATCH($C1216,Roster!$B:$B,0))="","",INDEX(Roster!$I:$I,MATCH($C1216,Roster!$B:$B,0))&amp;""),"—"))</f>
        <v/>
      </c>
      <c r="K1216">
        <f>IF($C1216="","",IFERROR(IF(INDEX(Roster!$J:$J,MATCH($C1216,Roster!$B:$B,0))="","",INDEX(Roster!$J:$J,MATCH($C1216,Roster!$B:$B,0))&amp;""),"—"))</f>
        <v/>
      </c>
      <c r="L1216">
        <f>IF($C1216="","",IFERROR(IF(INDEX(Roster!$K:$K,MATCH($C1216,Roster!$B:$B,0))="","",INDEX(Roster!$K:$K,MATCH($C1216,Roster!$B:$B,0))&amp;""),"—"))</f>
        <v/>
      </c>
      <c r="M1216" s="27" t="n"/>
      <c r="N1216" s="27" t="n"/>
      <c r="O1216" s="25">
        <f>IF($C1216="","",IF($P1216="","—",IF($P1216="Valid (Pass)","Valid","Invalid")))</f>
        <v/>
      </c>
      <c r="P1216" s="27" t="n"/>
      <c r="Q1216" s="27" t="n"/>
      <c r="R1216" s="27" t="n"/>
      <c r="S1216" s="27" t="n"/>
      <c r="T1216" s="25">
        <f>IF($C1216="","",IF(OR(ISNUMBER(SEARCH("quick case",$P1216)),ISNUMBER(SEARCH("quick case",$Q1216))),"Yes","No"))</f>
        <v/>
      </c>
      <c r="U1216" s="25">
        <f>IF($O1216="Invalid",HYPERLINK("mailto:"&amp;$G1216&amp;";"&amp;$I1216&amp;"?cc="&amp;Lists!$E$2&amp;"&amp;subject="&amp;_xlfn.ENCODEURL("[INVALID] Quality audit monitoring completed for "&amp;UPPER($C1216))&amp;"&amp;body="&amp;_xlfn.ENCODEURL("Hi "&amp;$F1216&amp;","&amp;CHAR(10)&amp;"Good day!"&amp;CHAR(10)&amp;CHAR(10)&amp;"A quality monitoring audit has been completed for "&amp;$C1216&amp;"."&amp;CHAR(10)&amp;CHAR(10)&amp;"QUALITY AUDIT DETAILS"&amp;CHAR(10)&amp;"Agent Name: "&amp;$C1216&amp;" (EID "&amp;$D1216&amp;")"&amp;CHAR(10)&amp;"Audit Date: "&amp;TEXT($B1216,"yyyy-mm-dd")&amp;CHAR(10)&amp;"Team Leader: "&amp;$F1216&amp;CHAR(10)&amp;"Case Number: "&amp;$M1216&amp;CHAR(10)&amp;"Transaction ID: "&amp;$N1216&amp;CHAR(10)&amp;"Channel / LOB: "&amp;$K1216&amp;" / "&amp;$L1216&amp;CHAR(10)&amp;"Evaluator: "&amp;$S1216&amp;CHAR(10)&amp;CHAR(10)&amp;"INVALID QUALITY AUDIT DETAILS"&amp;CHAR(10)&amp;"Validation: Invalid"&amp;CHAR(10)&amp;"Invalid Reason: "&amp;$P1216&amp;CHAR(10)&amp;"Expected Resolution Code: "&amp;$Q1216&amp;CHAR(10)&amp;"Remarks: "&amp;LEFT($R1216,600)&amp;CHAR(10)&amp;CHAR(10)&amp;"This is an automated notification from HP Mainstream EQMS."),"✉ Open Email Draft"),"")</f>
        <v/>
      </c>
    </row>
    <row r="1217">
      <c r="A1217" s="25">
        <f>IF($C1217="","","AUD-2026-"&amp;TEXT(ROW()-1,"000000"))</f>
        <v/>
      </c>
      <c r="B1217" s="26" t="n"/>
      <c r="C1217" s="27" t="n"/>
      <c r="D1217" s="25">
        <f>IF($C1217="","",IFERROR(IF(INDEX(Roster!$A:$A,MATCH($C1217,Roster!$B:$B,0))="","",INDEX(Roster!$A:$A,MATCH($C1217,Roster!$B:$B,0))&amp;""),"—"))</f>
        <v/>
      </c>
      <c r="E1217" s="25">
        <f>IF($C1217="","",IFERROR(IF(INDEX(Roster!$C:$C,MATCH($C1217,Roster!$B:$B,0))="","",INDEX(Roster!$C:$C,MATCH($C1217,Roster!$B:$B,0))&amp;""),"—"))</f>
        <v/>
      </c>
      <c r="F1217" s="25">
        <f>IF($C1217="","",IFERROR(IF(INDEX(Roster!$D:$D,MATCH($C1217,Roster!$B:$B,0))="","",INDEX(Roster!$D:$D,MATCH($C1217,Roster!$B:$B,0))&amp;""),"—"))</f>
        <v/>
      </c>
      <c r="G1217" s="25">
        <f>IF($C1217="","",IFERROR(IF(INDEX(Roster!$E:$E,MATCH($C1217,Roster!$B:$B,0))="","",INDEX(Roster!$E:$E,MATCH($C1217,Roster!$B:$B,0))&amp;""),"—"))</f>
        <v/>
      </c>
      <c r="H1217" s="25">
        <f>IF($C1217="","",IFERROR(IF(INDEX(Roster!$F:$F,MATCH($C1217,Roster!$B:$B,0))="","",INDEX(Roster!$F:$F,MATCH($C1217,Roster!$B:$B,0))&amp;""),"—"))</f>
        <v/>
      </c>
      <c r="I1217" s="25">
        <f>IF($C1217="","",IFERROR(IF(INDEX(Roster!$G:$G,MATCH($C1217,Roster!$B:$B,0))="","",INDEX(Roster!$G:$G,MATCH($C1217,Roster!$B:$B,0))&amp;""),"—"))</f>
        <v/>
      </c>
      <c r="J1217" s="25">
        <f>IF($C1217="","",IFERROR(IF(INDEX(Roster!$I:$I,MATCH($C1217,Roster!$B:$B,0))="","",INDEX(Roster!$I:$I,MATCH($C1217,Roster!$B:$B,0))&amp;""),"—"))</f>
        <v/>
      </c>
      <c r="K1217">
        <f>IF($C1217="","",IFERROR(IF(INDEX(Roster!$J:$J,MATCH($C1217,Roster!$B:$B,0))="","",INDEX(Roster!$J:$J,MATCH($C1217,Roster!$B:$B,0))&amp;""),"—"))</f>
        <v/>
      </c>
      <c r="L1217">
        <f>IF($C1217="","",IFERROR(IF(INDEX(Roster!$K:$K,MATCH($C1217,Roster!$B:$B,0))="","",INDEX(Roster!$K:$K,MATCH($C1217,Roster!$B:$B,0))&amp;""),"—"))</f>
        <v/>
      </c>
      <c r="M1217" s="27" t="n"/>
      <c r="N1217" s="27" t="n"/>
      <c r="O1217" s="25">
        <f>IF($C1217="","",IF($P1217="","—",IF($P1217="Valid (Pass)","Valid","Invalid")))</f>
        <v/>
      </c>
      <c r="P1217" s="27" t="n"/>
      <c r="Q1217" s="27" t="n"/>
      <c r="R1217" s="27" t="n"/>
      <c r="S1217" s="27" t="n"/>
      <c r="T1217" s="25">
        <f>IF($C1217="","",IF(OR(ISNUMBER(SEARCH("quick case",$P1217)),ISNUMBER(SEARCH("quick case",$Q1217))),"Yes","No"))</f>
        <v/>
      </c>
      <c r="U1217" s="25">
        <f>IF($O1217="Invalid",HYPERLINK("mailto:"&amp;$G1217&amp;";"&amp;$I1217&amp;"?cc="&amp;Lists!$E$2&amp;"&amp;subject="&amp;_xlfn.ENCODEURL("[INVALID] Quality audit monitoring completed for "&amp;UPPER($C1217))&amp;"&amp;body="&amp;_xlfn.ENCODEURL("Hi "&amp;$F1217&amp;","&amp;CHAR(10)&amp;"Good day!"&amp;CHAR(10)&amp;CHAR(10)&amp;"A quality monitoring audit has been completed for "&amp;$C1217&amp;"."&amp;CHAR(10)&amp;CHAR(10)&amp;"QUALITY AUDIT DETAILS"&amp;CHAR(10)&amp;"Agent Name: "&amp;$C1217&amp;" (EID "&amp;$D1217&amp;")"&amp;CHAR(10)&amp;"Audit Date: "&amp;TEXT($B1217,"yyyy-mm-dd")&amp;CHAR(10)&amp;"Team Leader: "&amp;$F1217&amp;CHAR(10)&amp;"Case Number: "&amp;$M1217&amp;CHAR(10)&amp;"Transaction ID: "&amp;$N1217&amp;CHAR(10)&amp;"Channel / LOB: "&amp;$K1217&amp;" / "&amp;$L1217&amp;CHAR(10)&amp;"Evaluator: "&amp;$S1217&amp;CHAR(10)&amp;CHAR(10)&amp;"INVALID QUALITY AUDIT DETAILS"&amp;CHAR(10)&amp;"Validation: Invalid"&amp;CHAR(10)&amp;"Invalid Reason: "&amp;$P1217&amp;CHAR(10)&amp;"Expected Resolution Code: "&amp;$Q1217&amp;CHAR(10)&amp;"Remarks: "&amp;LEFT($R1217,600)&amp;CHAR(10)&amp;CHAR(10)&amp;"This is an automated notification from HP Mainstream EQMS."),"✉ Open Email Draft"),"")</f>
        <v/>
      </c>
    </row>
    <row r="1218">
      <c r="A1218" s="25">
        <f>IF($C1218="","","AUD-2026-"&amp;TEXT(ROW()-1,"000000"))</f>
        <v/>
      </c>
      <c r="B1218" s="26" t="n"/>
      <c r="C1218" s="27" t="n"/>
      <c r="D1218" s="25">
        <f>IF($C1218="","",IFERROR(IF(INDEX(Roster!$A:$A,MATCH($C1218,Roster!$B:$B,0))="","",INDEX(Roster!$A:$A,MATCH($C1218,Roster!$B:$B,0))&amp;""),"—"))</f>
        <v/>
      </c>
      <c r="E1218" s="25">
        <f>IF($C1218="","",IFERROR(IF(INDEX(Roster!$C:$C,MATCH($C1218,Roster!$B:$B,0))="","",INDEX(Roster!$C:$C,MATCH($C1218,Roster!$B:$B,0))&amp;""),"—"))</f>
        <v/>
      </c>
      <c r="F1218" s="25">
        <f>IF($C1218="","",IFERROR(IF(INDEX(Roster!$D:$D,MATCH($C1218,Roster!$B:$B,0))="","",INDEX(Roster!$D:$D,MATCH($C1218,Roster!$B:$B,0))&amp;""),"—"))</f>
        <v/>
      </c>
      <c r="G1218" s="25">
        <f>IF($C1218="","",IFERROR(IF(INDEX(Roster!$E:$E,MATCH($C1218,Roster!$B:$B,0))="","",INDEX(Roster!$E:$E,MATCH($C1218,Roster!$B:$B,0))&amp;""),"—"))</f>
        <v/>
      </c>
      <c r="H1218" s="25">
        <f>IF($C1218="","",IFERROR(IF(INDEX(Roster!$F:$F,MATCH($C1218,Roster!$B:$B,0))="","",INDEX(Roster!$F:$F,MATCH($C1218,Roster!$B:$B,0))&amp;""),"—"))</f>
        <v/>
      </c>
      <c r="I1218" s="25">
        <f>IF($C1218="","",IFERROR(IF(INDEX(Roster!$G:$G,MATCH($C1218,Roster!$B:$B,0))="","",INDEX(Roster!$G:$G,MATCH($C1218,Roster!$B:$B,0))&amp;""),"—"))</f>
        <v/>
      </c>
      <c r="J1218" s="25">
        <f>IF($C1218="","",IFERROR(IF(INDEX(Roster!$I:$I,MATCH($C1218,Roster!$B:$B,0))="","",INDEX(Roster!$I:$I,MATCH($C1218,Roster!$B:$B,0))&amp;""),"—"))</f>
        <v/>
      </c>
      <c r="K1218">
        <f>IF($C1218="","",IFERROR(IF(INDEX(Roster!$J:$J,MATCH($C1218,Roster!$B:$B,0))="","",INDEX(Roster!$J:$J,MATCH($C1218,Roster!$B:$B,0))&amp;""),"—"))</f>
        <v/>
      </c>
      <c r="L1218">
        <f>IF($C1218="","",IFERROR(IF(INDEX(Roster!$K:$K,MATCH($C1218,Roster!$B:$B,0))="","",INDEX(Roster!$K:$K,MATCH($C1218,Roster!$B:$B,0))&amp;""),"—"))</f>
        <v/>
      </c>
      <c r="M1218" s="27" t="n"/>
      <c r="N1218" s="27" t="n"/>
      <c r="O1218" s="25">
        <f>IF($C1218="","",IF($P1218="","—",IF($P1218="Valid (Pass)","Valid","Invalid")))</f>
        <v/>
      </c>
      <c r="P1218" s="27" t="n"/>
      <c r="Q1218" s="27" t="n"/>
      <c r="R1218" s="27" t="n"/>
      <c r="S1218" s="27" t="n"/>
      <c r="T1218" s="25">
        <f>IF($C1218="","",IF(OR(ISNUMBER(SEARCH("quick case",$P1218)),ISNUMBER(SEARCH("quick case",$Q1218))),"Yes","No"))</f>
        <v/>
      </c>
      <c r="U1218" s="25">
        <f>IF($O1218="Invalid",HYPERLINK("mailto:"&amp;$G1218&amp;";"&amp;$I1218&amp;"?cc="&amp;Lists!$E$2&amp;"&amp;subject="&amp;_xlfn.ENCODEURL("[INVALID] Quality audit monitoring completed for "&amp;UPPER($C1218))&amp;"&amp;body="&amp;_xlfn.ENCODEURL("Hi "&amp;$F1218&amp;","&amp;CHAR(10)&amp;"Good day!"&amp;CHAR(10)&amp;CHAR(10)&amp;"A quality monitoring audit has been completed for "&amp;$C1218&amp;"."&amp;CHAR(10)&amp;CHAR(10)&amp;"QUALITY AUDIT DETAILS"&amp;CHAR(10)&amp;"Agent Name: "&amp;$C1218&amp;" (EID "&amp;$D1218&amp;")"&amp;CHAR(10)&amp;"Audit Date: "&amp;TEXT($B1218,"yyyy-mm-dd")&amp;CHAR(10)&amp;"Team Leader: "&amp;$F1218&amp;CHAR(10)&amp;"Case Number: "&amp;$M1218&amp;CHAR(10)&amp;"Transaction ID: "&amp;$N1218&amp;CHAR(10)&amp;"Channel / LOB: "&amp;$K1218&amp;" / "&amp;$L1218&amp;CHAR(10)&amp;"Evaluator: "&amp;$S1218&amp;CHAR(10)&amp;CHAR(10)&amp;"INVALID QUALITY AUDIT DETAILS"&amp;CHAR(10)&amp;"Validation: Invalid"&amp;CHAR(10)&amp;"Invalid Reason: "&amp;$P1218&amp;CHAR(10)&amp;"Expected Resolution Code: "&amp;$Q1218&amp;CHAR(10)&amp;"Remarks: "&amp;LEFT($R1218,600)&amp;CHAR(10)&amp;CHAR(10)&amp;"This is an automated notification from HP Mainstream EQMS."),"✉ Open Email Draft"),"")</f>
        <v/>
      </c>
    </row>
    <row r="1219">
      <c r="A1219" s="25">
        <f>IF($C1219="","","AUD-2026-"&amp;TEXT(ROW()-1,"000000"))</f>
        <v/>
      </c>
      <c r="B1219" s="26" t="n"/>
      <c r="C1219" s="27" t="n"/>
      <c r="D1219" s="25">
        <f>IF($C1219="","",IFERROR(IF(INDEX(Roster!$A:$A,MATCH($C1219,Roster!$B:$B,0))="","",INDEX(Roster!$A:$A,MATCH($C1219,Roster!$B:$B,0))&amp;""),"—"))</f>
        <v/>
      </c>
      <c r="E1219" s="25">
        <f>IF($C1219="","",IFERROR(IF(INDEX(Roster!$C:$C,MATCH($C1219,Roster!$B:$B,0))="","",INDEX(Roster!$C:$C,MATCH($C1219,Roster!$B:$B,0))&amp;""),"—"))</f>
        <v/>
      </c>
      <c r="F1219" s="25">
        <f>IF($C1219="","",IFERROR(IF(INDEX(Roster!$D:$D,MATCH($C1219,Roster!$B:$B,0))="","",INDEX(Roster!$D:$D,MATCH($C1219,Roster!$B:$B,0))&amp;""),"—"))</f>
        <v/>
      </c>
      <c r="G1219" s="25">
        <f>IF($C1219="","",IFERROR(IF(INDEX(Roster!$E:$E,MATCH($C1219,Roster!$B:$B,0))="","",INDEX(Roster!$E:$E,MATCH($C1219,Roster!$B:$B,0))&amp;""),"—"))</f>
        <v/>
      </c>
      <c r="H1219" s="25">
        <f>IF($C1219="","",IFERROR(IF(INDEX(Roster!$F:$F,MATCH($C1219,Roster!$B:$B,0))="","",INDEX(Roster!$F:$F,MATCH($C1219,Roster!$B:$B,0))&amp;""),"—"))</f>
        <v/>
      </c>
      <c r="I1219" s="25">
        <f>IF($C1219="","",IFERROR(IF(INDEX(Roster!$G:$G,MATCH($C1219,Roster!$B:$B,0))="","",INDEX(Roster!$G:$G,MATCH($C1219,Roster!$B:$B,0))&amp;""),"—"))</f>
        <v/>
      </c>
      <c r="J1219" s="25">
        <f>IF($C1219="","",IFERROR(IF(INDEX(Roster!$I:$I,MATCH($C1219,Roster!$B:$B,0))="","",INDEX(Roster!$I:$I,MATCH($C1219,Roster!$B:$B,0))&amp;""),"—"))</f>
        <v/>
      </c>
      <c r="K1219">
        <f>IF($C1219="","",IFERROR(IF(INDEX(Roster!$J:$J,MATCH($C1219,Roster!$B:$B,0))="","",INDEX(Roster!$J:$J,MATCH($C1219,Roster!$B:$B,0))&amp;""),"—"))</f>
        <v/>
      </c>
      <c r="L1219">
        <f>IF($C1219="","",IFERROR(IF(INDEX(Roster!$K:$K,MATCH($C1219,Roster!$B:$B,0))="","",INDEX(Roster!$K:$K,MATCH($C1219,Roster!$B:$B,0))&amp;""),"—"))</f>
        <v/>
      </c>
      <c r="M1219" s="27" t="n"/>
      <c r="N1219" s="27" t="n"/>
      <c r="O1219" s="25">
        <f>IF($C1219="","",IF($P1219="","—",IF($P1219="Valid (Pass)","Valid","Invalid")))</f>
        <v/>
      </c>
      <c r="P1219" s="27" t="n"/>
      <c r="Q1219" s="27" t="n"/>
      <c r="R1219" s="27" t="n"/>
      <c r="S1219" s="27" t="n"/>
      <c r="T1219" s="25">
        <f>IF($C1219="","",IF(OR(ISNUMBER(SEARCH("quick case",$P1219)),ISNUMBER(SEARCH("quick case",$Q1219))),"Yes","No"))</f>
        <v/>
      </c>
      <c r="U1219" s="25">
        <f>IF($O1219="Invalid",HYPERLINK("mailto:"&amp;$G1219&amp;";"&amp;$I1219&amp;"?cc="&amp;Lists!$E$2&amp;"&amp;subject="&amp;_xlfn.ENCODEURL("[INVALID] Quality audit monitoring completed for "&amp;UPPER($C1219))&amp;"&amp;body="&amp;_xlfn.ENCODEURL("Hi "&amp;$F1219&amp;","&amp;CHAR(10)&amp;"Good day!"&amp;CHAR(10)&amp;CHAR(10)&amp;"A quality monitoring audit has been completed for "&amp;$C1219&amp;"."&amp;CHAR(10)&amp;CHAR(10)&amp;"QUALITY AUDIT DETAILS"&amp;CHAR(10)&amp;"Agent Name: "&amp;$C1219&amp;" (EID "&amp;$D1219&amp;")"&amp;CHAR(10)&amp;"Audit Date: "&amp;TEXT($B1219,"yyyy-mm-dd")&amp;CHAR(10)&amp;"Team Leader: "&amp;$F1219&amp;CHAR(10)&amp;"Case Number: "&amp;$M1219&amp;CHAR(10)&amp;"Transaction ID: "&amp;$N1219&amp;CHAR(10)&amp;"Channel / LOB: "&amp;$K1219&amp;" / "&amp;$L1219&amp;CHAR(10)&amp;"Evaluator: "&amp;$S1219&amp;CHAR(10)&amp;CHAR(10)&amp;"INVALID QUALITY AUDIT DETAILS"&amp;CHAR(10)&amp;"Validation: Invalid"&amp;CHAR(10)&amp;"Invalid Reason: "&amp;$P1219&amp;CHAR(10)&amp;"Expected Resolution Code: "&amp;$Q1219&amp;CHAR(10)&amp;"Remarks: "&amp;LEFT($R1219,600)&amp;CHAR(10)&amp;CHAR(10)&amp;"This is an automated notification from HP Mainstream EQMS."),"✉ Open Email Draft"),"")</f>
        <v/>
      </c>
    </row>
    <row r="1220">
      <c r="A1220" s="25">
        <f>IF($C1220="","","AUD-2026-"&amp;TEXT(ROW()-1,"000000"))</f>
        <v/>
      </c>
      <c r="B1220" s="26" t="n"/>
      <c r="C1220" s="27" t="n"/>
      <c r="D1220" s="25">
        <f>IF($C1220="","",IFERROR(IF(INDEX(Roster!$A:$A,MATCH($C1220,Roster!$B:$B,0))="","",INDEX(Roster!$A:$A,MATCH($C1220,Roster!$B:$B,0))&amp;""),"—"))</f>
        <v/>
      </c>
      <c r="E1220" s="25">
        <f>IF($C1220="","",IFERROR(IF(INDEX(Roster!$C:$C,MATCH($C1220,Roster!$B:$B,0))="","",INDEX(Roster!$C:$C,MATCH($C1220,Roster!$B:$B,0))&amp;""),"—"))</f>
        <v/>
      </c>
      <c r="F1220" s="25">
        <f>IF($C1220="","",IFERROR(IF(INDEX(Roster!$D:$D,MATCH($C1220,Roster!$B:$B,0))="","",INDEX(Roster!$D:$D,MATCH($C1220,Roster!$B:$B,0))&amp;""),"—"))</f>
        <v/>
      </c>
      <c r="G1220" s="25">
        <f>IF($C1220="","",IFERROR(IF(INDEX(Roster!$E:$E,MATCH($C1220,Roster!$B:$B,0))="","",INDEX(Roster!$E:$E,MATCH($C1220,Roster!$B:$B,0))&amp;""),"—"))</f>
        <v/>
      </c>
      <c r="H1220" s="25">
        <f>IF($C1220="","",IFERROR(IF(INDEX(Roster!$F:$F,MATCH($C1220,Roster!$B:$B,0))="","",INDEX(Roster!$F:$F,MATCH($C1220,Roster!$B:$B,0))&amp;""),"—"))</f>
        <v/>
      </c>
      <c r="I1220" s="25">
        <f>IF($C1220="","",IFERROR(IF(INDEX(Roster!$G:$G,MATCH($C1220,Roster!$B:$B,0))="","",INDEX(Roster!$G:$G,MATCH($C1220,Roster!$B:$B,0))&amp;""),"—"))</f>
        <v/>
      </c>
      <c r="J1220" s="25">
        <f>IF($C1220="","",IFERROR(IF(INDEX(Roster!$I:$I,MATCH($C1220,Roster!$B:$B,0))="","",INDEX(Roster!$I:$I,MATCH($C1220,Roster!$B:$B,0))&amp;""),"—"))</f>
        <v/>
      </c>
      <c r="K1220">
        <f>IF($C1220="","",IFERROR(IF(INDEX(Roster!$J:$J,MATCH($C1220,Roster!$B:$B,0))="","",INDEX(Roster!$J:$J,MATCH($C1220,Roster!$B:$B,0))&amp;""),"—"))</f>
        <v/>
      </c>
      <c r="L1220">
        <f>IF($C1220="","",IFERROR(IF(INDEX(Roster!$K:$K,MATCH($C1220,Roster!$B:$B,0))="","",INDEX(Roster!$K:$K,MATCH($C1220,Roster!$B:$B,0))&amp;""),"—"))</f>
        <v/>
      </c>
      <c r="M1220" s="27" t="n"/>
      <c r="N1220" s="27" t="n"/>
      <c r="O1220" s="25">
        <f>IF($C1220="","",IF($P1220="","—",IF($P1220="Valid (Pass)","Valid","Invalid")))</f>
        <v/>
      </c>
      <c r="P1220" s="27" t="n"/>
      <c r="Q1220" s="27" t="n"/>
      <c r="R1220" s="27" t="n"/>
      <c r="S1220" s="27" t="n"/>
      <c r="T1220" s="25">
        <f>IF($C1220="","",IF(OR(ISNUMBER(SEARCH("quick case",$P1220)),ISNUMBER(SEARCH("quick case",$Q1220))),"Yes","No"))</f>
        <v/>
      </c>
      <c r="U1220" s="25">
        <f>IF($O1220="Invalid",HYPERLINK("mailto:"&amp;$G1220&amp;";"&amp;$I1220&amp;"?cc="&amp;Lists!$E$2&amp;"&amp;subject="&amp;_xlfn.ENCODEURL("[INVALID] Quality audit monitoring completed for "&amp;UPPER($C1220))&amp;"&amp;body="&amp;_xlfn.ENCODEURL("Hi "&amp;$F1220&amp;","&amp;CHAR(10)&amp;"Good day!"&amp;CHAR(10)&amp;CHAR(10)&amp;"A quality monitoring audit has been completed for "&amp;$C1220&amp;"."&amp;CHAR(10)&amp;CHAR(10)&amp;"QUALITY AUDIT DETAILS"&amp;CHAR(10)&amp;"Agent Name: "&amp;$C1220&amp;" (EID "&amp;$D1220&amp;")"&amp;CHAR(10)&amp;"Audit Date: "&amp;TEXT($B1220,"yyyy-mm-dd")&amp;CHAR(10)&amp;"Team Leader: "&amp;$F1220&amp;CHAR(10)&amp;"Case Number: "&amp;$M1220&amp;CHAR(10)&amp;"Transaction ID: "&amp;$N1220&amp;CHAR(10)&amp;"Channel / LOB: "&amp;$K1220&amp;" / "&amp;$L1220&amp;CHAR(10)&amp;"Evaluator: "&amp;$S1220&amp;CHAR(10)&amp;CHAR(10)&amp;"INVALID QUALITY AUDIT DETAILS"&amp;CHAR(10)&amp;"Validation: Invalid"&amp;CHAR(10)&amp;"Invalid Reason: "&amp;$P1220&amp;CHAR(10)&amp;"Expected Resolution Code: "&amp;$Q1220&amp;CHAR(10)&amp;"Remarks: "&amp;LEFT($R1220,600)&amp;CHAR(10)&amp;CHAR(10)&amp;"This is an automated notification from HP Mainstream EQMS."),"✉ Open Email Draft"),"")</f>
        <v/>
      </c>
    </row>
    <row r="1221">
      <c r="A1221" s="25">
        <f>IF($C1221="","","AUD-2026-"&amp;TEXT(ROW()-1,"000000"))</f>
        <v/>
      </c>
      <c r="B1221" s="26" t="n"/>
      <c r="C1221" s="27" t="n"/>
      <c r="D1221" s="25">
        <f>IF($C1221="","",IFERROR(IF(INDEX(Roster!$A:$A,MATCH($C1221,Roster!$B:$B,0))="","",INDEX(Roster!$A:$A,MATCH($C1221,Roster!$B:$B,0))&amp;""),"—"))</f>
        <v/>
      </c>
      <c r="E1221" s="25">
        <f>IF($C1221="","",IFERROR(IF(INDEX(Roster!$C:$C,MATCH($C1221,Roster!$B:$B,0))="","",INDEX(Roster!$C:$C,MATCH($C1221,Roster!$B:$B,0))&amp;""),"—"))</f>
        <v/>
      </c>
      <c r="F1221" s="25">
        <f>IF($C1221="","",IFERROR(IF(INDEX(Roster!$D:$D,MATCH($C1221,Roster!$B:$B,0))="","",INDEX(Roster!$D:$D,MATCH($C1221,Roster!$B:$B,0))&amp;""),"—"))</f>
        <v/>
      </c>
      <c r="G1221" s="25">
        <f>IF($C1221="","",IFERROR(IF(INDEX(Roster!$E:$E,MATCH($C1221,Roster!$B:$B,0))="","",INDEX(Roster!$E:$E,MATCH($C1221,Roster!$B:$B,0))&amp;""),"—"))</f>
        <v/>
      </c>
      <c r="H1221" s="25">
        <f>IF($C1221="","",IFERROR(IF(INDEX(Roster!$F:$F,MATCH($C1221,Roster!$B:$B,0))="","",INDEX(Roster!$F:$F,MATCH($C1221,Roster!$B:$B,0))&amp;""),"—"))</f>
        <v/>
      </c>
      <c r="I1221" s="25">
        <f>IF($C1221="","",IFERROR(IF(INDEX(Roster!$G:$G,MATCH($C1221,Roster!$B:$B,0))="","",INDEX(Roster!$G:$G,MATCH($C1221,Roster!$B:$B,0))&amp;""),"—"))</f>
        <v/>
      </c>
      <c r="J1221" s="25">
        <f>IF($C1221="","",IFERROR(IF(INDEX(Roster!$I:$I,MATCH($C1221,Roster!$B:$B,0))="","",INDEX(Roster!$I:$I,MATCH($C1221,Roster!$B:$B,0))&amp;""),"—"))</f>
        <v/>
      </c>
      <c r="K1221">
        <f>IF($C1221="","",IFERROR(IF(INDEX(Roster!$J:$J,MATCH($C1221,Roster!$B:$B,0))="","",INDEX(Roster!$J:$J,MATCH($C1221,Roster!$B:$B,0))&amp;""),"—"))</f>
        <v/>
      </c>
      <c r="L1221">
        <f>IF($C1221="","",IFERROR(IF(INDEX(Roster!$K:$K,MATCH($C1221,Roster!$B:$B,0))="","",INDEX(Roster!$K:$K,MATCH($C1221,Roster!$B:$B,0))&amp;""),"—"))</f>
        <v/>
      </c>
      <c r="M1221" s="27" t="n"/>
      <c r="N1221" s="27" t="n"/>
      <c r="O1221" s="25">
        <f>IF($C1221="","",IF($P1221="","—",IF($P1221="Valid (Pass)","Valid","Invalid")))</f>
        <v/>
      </c>
      <c r="P1221" s="27" t="n"/>
      <c r="Q1221" s="27" t="n"/>
      <c r="R1221" s="27" t="n"/>
      <c r="S1221" s="27" t="n"/>
      <c r="T1221" s="25">
        <f>IF($C1221="","",IF(OR(ISNUMBER(SEARCH("quick case",$P1221)),ISNUMBER(SEARCH("quick case",$Q1221))),"Yes","No"))</f>
        <v/>
      </c>
      <c r="U1221" s="25">
        <f>IF($O1221="Invalid",HYPERLINK("mailto:"&amp;$G1221&amp;";"&amp;$I1221&amp;"?cc="&amp;Lists!$E$2&amp;"&amp;subject="&amp;_xlfn.ENCODEURL("[INVALID] Quality audit monitoring completed for "&amp;UPPER($C1221))&amp;"&amp;body="&amp;_xlfn.ENCODEURL("Hi "&amp;$F1221&amp;","&amp;CHAR(10)&amp;"Good day!"&amp;CHAR(10)&amp;CHAR(10)&amp;"A quality monitoring audit has been completed for "&amp;$C1221&amp;"."&amp;CHAR(10)&amp;CHAR(10)&amp;"QUALITY AUDIT DETAILS"&amp;CHAR(10)&amp;"Agent Name: "&amp;$C1221&amp;" (EID "&amp;$D1221&amp;")"&amp;CHAR(10)&amp;"Audit Date: "&amp;TEXT($B1221,"yyyy-mm-dd")&amp;CHAR(10)&amp;"Team Leader: "&amp;$F1221&amp;CHAR(10)&amp;"Case Number: "&amp;$M1221&amp;CHAR(10)&amp;"Transaction ID: "&amp;$N1221&amp;CHAR(10)&amp;"Channel / LOB: "&amp;$K1221&amp;" / "&amp;$L1221&amp;CHAR(10)&amp;"Evaluator: "&amp;$S1221&amp;CHAR(10)&amp;CHAR(10)&amp;"INVALID QUALITY AUDIT DETAILS"&amp;CHAR(10)&amp;"Validation: Invalid"&amp;CHAR(10)&amp;"Invalid Reason: "&amp;$P1221&amp;CHAR(10)&amp;"Expected Resolution Code: "&amp;$Q1221&amp;CHAR(10)&amp;"Remarks: "&amp;LEFT($R1221,600)&amp;CHAR(10)&amp;CHAR(10)&amp;"This is an automated notification from HP Mainstream EQMS."),"✉ Open Email Draft"),"")</f>
        <v/>
      </c>
    </row>
    <row r="1222">
      <c r="A1222" s="25">
        <f>IF($C1222="","","AUD-2026-"&amp;TEXT(ROW()-1,"000000"))</f>
        <v/>
      </c>
      <c r="B1222" s="26" t="n"/>
      <c r="C1222" s="27" t="n"/>
      <c r="D1222" s="25">
        <f>IF($C1222="","",IFERROR(IF(INDEX(Roster!$A:$A,MATCH($C1222,Roster!$B:$B,0))="","",INDEX(Roster!$A:$A,MATCH($C1222,Roster!$B:$B,0))&amp;""),"—"))</f>
        <v/>
      </c>
      <c r="E1222" s="25">
        <f>IF($C1222="","",IFERROR(IF(INDEX(Roster!$C:$C,MATCH($C1222,Roster!$B:$B,0))="","",INDEX(Roster!$C:$C,MATCH($C1222,Roster!$B:$B,0))&amp;""),"—"))</f>
        <v/>
      </c>
      <c r="F1222" s="25">
        <f>IF($C1222="","",IFERROR(IF(INDEX(Roster!$D:$D,MATCH($C1222,Roster!$B:$B,0))="","",INDEX(Roster!$D:$D,MATCH($C1222,Roster!$B:$B,0))&amp;""),"—"))</f>
        <v/>
      </c>
      <c r="G1222" s="25">
        <f>IF($C1222="","",IFERROR(IF(INDEX(Roster!$E:$E,MATCH($C1222,Roster!$B:$B,0))="","",INDEX(Roster!$E:$E,MATCH($C1222,Roster!$B:$B,0))&amp;""),"—"))</f>
        <v/>
      </c>
      <c r="H1222" s="25">
        <f>IF($C1222="","",IFERROR(IF(INDEX(Roster!$F:$F,MATCH($C1222,Roster!$B:$B,0))="","",INDEX(Roster!$F:$F,MATCH($C1222,Roster!$B:$B,0))&amp;""),"—"))</f>
        <v/>
      </c>
      <c r="I1222" s="25">
        <f>IF($C1222="","",IFERROR(IF(INDEX(Roster!$G:$G,MATCH($C1222,Roster!$B:$B,0))="","",INDEX(Roster!$G:$G,MATCH($C1222,Roster!$B:$B,0))&amp;""),"—"))</f>
        <v/>
      </c>
      <c r="J1222" s="25">
        <f>IF($C1222="","",IFERROR(IF(INDEX(Roster!$I:$I,MATCH($C1222,Roster!$B:$B,0))="","",INDEX(Roster!$I:$I,MATCH($C1222,Roster!$B:$B,0))&amp;""),"—"))</f>
        <v/>
      </c>
      <c r="K1222">
        <f>IF($C1222="","",IFERROR(IF(INDEX(Roster!$J:$J,MATCH($C1222,Roster!$B:$B,0))="","",INDEX(Roster!$J:$J,MATCH($C1222,Roster!$B:$B,0))&amp;""),"—"))</f>
        <v/>
      </c>
      <c r="L1222">
        <f>IF($C1222="","",IFERROR(IF(INDEX(Roster!$K:$K,MATCH($C1222,Roster!$B:$B,0))="","",INDEX(Roster!$K:$K,MATCH($C1222,Roster!$B:$B,0))&amp;""),"—"))</f>
        <v/>
      </c>
      <c r="M1222" s="27" t="n"/>
      <c r="N1222" s="27" t="n"/>
      <c r="O1222" s="25">
        <f>IF($C1222="","",IF($P1222="","—",IF($P1222="Valid (Pass)","Valid","Invalid")))</f>
        <v/>
      </c>
      <c r="P1222" s="27" t="n"/>
      <c r="Q1222" s="27" t="n"/>
      <c r="R1222" s="27" t="n"/>
      <c r="S1222" s="27" t="n"/>
      <c r="T1222" s="25">
        <f>IF($C1222="","",IF(OR(ISNUMBER(SEARCH("quick case",$P1222)),ISNUMBER(SEARCH("quick case",$Q1222))),"Yes","No"))</f>
        <v/>
      </c>
      <c r="U1222" s="25">
        <f>IF($O1222="Invalid",HYPERLINK("mailto:"&amp;$G1222&amp;";"&amp;$I1222&amp;"?cc="&amp;Lists!$E$2&amp;"&amp;subject="&amp;_xlfn.ENCODEURL("[INVALID] Quality audit monitoring completed for "&amp;UPPER($C1222))&amp;"&amp;body="&amp;_xlfn.ENCODEURL("Hi "&amp;$F1222&amp;","&amp;CHAR(10)&amp;"Good day!"&amp;CHAR(10)&amp;CHAR(10)&amp;"A quality monitoring audit has been completed for "&amp;$C1222&amp;"."&amp;CHAR(10)&amp;CHAR(10)&amp;"QUALITY AUDIT DETAILS"&amp;CHAR(10)&amp;"Agent Name: "&amp;$C1222&amp;" (EID "&amp;$D1222&amp;")"&amp;CHAR(10)&amp;"Audit Date: "&amp;TEXT($B1222,"yyyy-mm-dd")&amp;CHAR(10)&amp;"Team Leader: "&amp;$F1222&amp;CHAR(10)&amp;"Case Number: "&amp;$M1222&amp;CHAR(10)&amp;"Transaction ID: "&amp;$N1222&amp;CHAR(10)&amp;"Channel / LOB: "&amp;$K1222&amp;" / "&amp;$L1222&amp;CHAR(10)&amp;"Evaluator: "&amp;$S1222&amp;CHAR(10)&amp;CHAR(10)&amp;"INVALID QUALITY AUDIT DETAILS"&amp;CHAR(10)&amp;"Validation: Invalid"&amp;CHAR(10)&amp;"Invalid Reason: "&amp;$P1222&amp;CHAR(10)&amp;"Expected Resolution Code: "&amp;$Q1222&amp;CHAR(10)&amp;"Remarks: "&amp;LEFT($R1222,600)&amp;CHAR(10)&amp;CHAR(10)&amp;"This is an automated notification from HP Mainstream EQMS."),"✉ Open Email Draft"),"")</f>
        <v/>
      </c>
    </row>
    <row r="1223">
      <c r="A1223" s="25">
        <f>IF($C1223="","","AUD-2026-"&amp;TEXT(ROW()-1,"000000"))</f>
        <v/>
      </c>
      <c r="B1223" s="26" t="n"/>
      <c r="C1223" s="27" t="n"/>
      <c r="D1223" s="25">
        <f>IF($C1223="","",IFERROR(IF(INDEX(Roster!$A:$A,MATCH($C1223,Roster!$B:$B,0))="","",INDEX(Roster!$A:$A,MATCH($C1223,Roster!$B:$B,0))&amp;""),"—"))</f>
        <v/>
      </c>
      <c r="E1223" s="25">
        <f>IF($C1223="","",IFERROR(IF(INDEX(Roster!$C:$C,MATCH($C1223,Roster!$B:$B,0))="","",INDEX(Roster!$C:$C,MATCH($C1223,Roster!$B:$B,0))&amp;""),"—"))</f>
        <v/>
      </c>
      <c r="F1223" s="25">
        <f>IF($C1223="","",IFERROR(IF(INDEX(Roster!$D:$D,MATCH($C1223,Roster!$B:$B,0))="","",INDEX(Roster!$D:$D,MATCH($C1223,Roster!$B:$B,0))&amp;""),"—"))</f>
        <v/>
      </c>
      <c r="G1223" s="25">
        <f>IF($C1223="","",IFERROR(IF(INDEX(Roster!$E:$E,MATCH($C1223,Roster!$B:$B,0))="","",INDEX(Roster!$E:$E,MATCH($C1223,Roster!$B:$B,0))&amp;""),"—"))</f>
        <v/>
      </c>
      <c r="H1223" s="25">
        <f>IF($C1223="","",IFERROR(IF(INDEX(Roster!$F:$F,MATCH($C1223,Roster!$B:$B,0))="","",INDEX(Roster!$F:$F,MATCH($C1223,Roster!$B:$B,0))&amp;""),"—"))</f>
        <v/>
      </c>
      <c r="I1223" s="25">
        <f>IF($C1223="","",IFERROR(IF(INDEX(Roster!$G:$G,MATCH($C1223,Roster!$B:$B,0))="","",INDEX(Roster!$G:$G,MATCH($C1223,Roster!$B:$B,0))&amp;""),"—"))</f>
        <v/>
      </c>
      <c r="J1223" s="25">
        <f>IF($C1223="","",IFERROR(IF(INDEX(Roster!$I:$I,MATCH($C1223,Roster!$B:$B,0))="","",INDEX(Roster!$I:$I,MATCH($C1223,Roster!$B:$B,0))&amp;""),"—"))</f>
        <v/>
      </c>
      <c r="K1223">
        <f>IF($C1223="","",IFERROR(IF(INDEX(Roster!$J:$J,MATCH($C1223,Roster!$B:$B,0))="","",INDEX(Roster!$J:$J,MATCH($C1223,Roster!$B:$B,0))&amp;""),"—"))</f>
        <v/>
      </c>
      <c r="L1223">
        <f>IF($C1223="","",IFERROR(IF(INDEX(Roster!$K:$K,MATCH($C1223,Roster!$B:$B,0))="","",INDEX(Roster!$K:$K,MATCH($C1223,Roster!$B:$B,0))&amp;""),"—"))</f>
        <v/>
      </c>
      <c r="M1223" s="27" t="n"/>
      <c r="N1223" s="27" t="n"/>
      <c r="O1223" s="25">
        <f>IF($C1223="","",IF($P1223="","—",IF($P1223="Valid (Pass)","Valid","Invalid")))</f>
        <v/>
      </c>
      <c r="P1223" s="27" t="n"/>
      <c r="Q1223" s="27" t="n"/>
      <c r="R1223" s="27" t="n"/>
      <c r="S1223" s="27" t="n"/>
      <c r="T1223" s="25">
        <f>IF($C1223="","",IF(OR(ISNUMBER(SEARCH("quick case",$P1223)),ISNUMBER(SEARCH("quick case",$Q1223))),"Yes","No"))</f>
        <v/>
      </c>
      <c r="U1223" s="25">
        <f>IF($O1223="Invalid",HYPERLINK("mailto:"&amp;$G1223&amp;";"&amp;$I1223&amp;"?cc="&amp;Lists!$E$2&amp;"&amp;subject="&amp;_xlfn.ENCODEURL("[INVALID] Quality audit monitoring completed for "&amp;UPPER($C1223))&amp;"&amp;body="&amp;_xlfn.ENCODEURL("Hi "&amp;$F1223&amp;","&amp;CHAR(10)&amp;"Good day!"&amp;CHAR(10)&amp;CHAR(10)&amp;"A quality monitoring audit has been completed for "&amp;$C1223&amp;"."&amp;CHAR(10)&amp;CHAR(10)&amp;"QUALITY AUDIT DETAILS"&amp;CHAR(10)&amp;"Agent Name: "&amp;$C1223&amp;" (EID "&amp;$D1223&amp;")"&amp;CHAR(10)&amp;"Audit Date: "&amp;TEXT($B1223,"yyyy-mm-dd")&amp;CHAR(10)&amp;"Team Leader: "&amp;$F1223&amp;CHAR(10)&amp;"Case Number: "&amp;$M1223&amp;CHAR(10)&amp;"Transaction ID: "&amp;$N1223&amp;CHAR(10)&amp;"Channel / LOB: "&amp;$K1223&amp;" / "&amp;$L1223&amp;CHAR(10)&amp;"Evaluator: "&amp;$S1223&amp;CHAR(10)&amp;CHAR(10)&amp;"INVALID QUALITY AUDIT DETAILS"&amp;CHAR(10)&amp;"Validation: Invalid"&amp;CHAR(10)&amp;"Invalid Reason: "&amp;$P1223&amp;CHAR(10)&amp;"Expected Resolution Code: "&amp;$Q1223&amp;CHAR(10)&amp;"Remarks: "&amp;LEFT($R1223,600)&amp;CHAR(10)&amp;CHAR(10)&amp;"This is an automated notification from HP Mainstream EQMS."),"✉ Open Email Draft"),"")</f>
        <v/>
      </c>
    </row>
    <row r="1224">
      <c r="A1224" s="25">
        <f>IF($C1224="","","AUD-2026-"&amp;TEXT(ROW()-1,"000000"))</f>
        <v/>
      </c>
      <c r="B1224" s="26" t="n"/>
      <c r="C1224" s="27" t="n"/>
      <c r="D1224" s="25">
        <f>IF($C1224="","",IFERROR(IF(INDEX(Roster!$A:$A,MATCH($C1224,Roster!$B:$B,0))="","",INDEX(Roster!$A:$A,MATCH($C1224,Roster!$B:$B,0))&amp;""),"—"))</f>
        <v/>
      </c>
      <c r="E1224" s="25">
        <f>IF($C1224="","",IFERROR(IF(INDEX(Roster!$C:$C,MATCH($C1224,Roster!$B:$B,0))="","",INDEX(Roster!$C:$C,MATCH($C1224,Roster!$B:$B,0))&amp;""),"—"))</f>
        <v/>
      </c>
      <c r="F1224" s="25">
        <f>IF($C1224="","",IFERROR(IF(INDEX(Roster!$D:$D,MATCH($C1224,Roster!$B:$B,0))="","",INDEX(Roster!$D:$D,MATCH($C1224,Roster!$B:$B,0))&amp;""),"—"))</f>
        <v/>
      </c>
      <c r="G1224" s="25">
        <f>IF($C1224="","",IFERROR(IF(INDEX(Roster!$E:$E,MATCH($C1224,Roster!$B:$B,0))="","",INDEX(Roster!$E:$E,MATCH($C1224,Roster!$B:$B,0))&amp;""),"—"))</f>
        <v/>
      </c>
      <c r="H1224" s="25">
        <f>IF($C1224="","",IFERROR(IF(INDEX(Roster!$F:$F,MATCH($C1224,Roster!$B:$B,0))="","",INDEX(Roster!$F:$F,MATCH($C1224,Roster!$B:$B,0))&amp;""),"—"))</f>
        <v/>
      </c>
      <c r="I1224" s="25">
        <f>IF($C1224="","",IFERROR(IF(INDEX(Roster!$G:$G,MATCH($C1224,Roster!$B:$B,0))="","",INDEX(Roster!$G:$G,MATCH($C1224,Roster!$B:$B,0))&amp;""),"—"))</f>
        <v/>
      </c>
      <c r="J1224" s="25">
        <f>IF($C1224="","",IFERROR(IF(INDEX(Roster!$I:$I,MATCH($C1224,Roster!$B:$B,0))="","",INDEX(Roster!$I:$I,MATCH($C1224,Roster!$B:$B,0))&amp;""),"—"))</f>
        <v/>
      </c>
      <c r="K1224">
        <f>IF($C1224="","",IFERROR(IF(INDEX(Roster!$J:$J,MATCH($C1224,Roster!$B:$B,0))="","",INDEX(Roster!$J:$J,MATCH($C1224,Roster!$B:$B,0))&amp;""),"—"))</f>
        <v/>
      </c>
      <c r="L1224">
        <f>IF($C1224="","",IFERROR(IF(INDEX(Roster!$K:$K,MATCH($C1224,Roster!$B:$B,0))="","",INDEX(Roster!$K:$K,MATCH($C1224,Roster!$B:$B,0))&amp;""),"—"))</f>
        <v/>
      </c>
      <c r="M1224" s="27" t="n"/>
      <c r="N1224" s="27" t="n"/>
      <c r="O1224" s="25">
        <f>IF($C1224="","",IF($P1224="","—",IF($P1224="Valid (Pass)","Valid","Invalid")))</f>
        <v/>
      </c>
      <c r="P1224" s="27" t="n"/>
      <c r="Q1224" s="27" t="n"/>
      <c r="R1224" s="27" t="n"/>
      <c r="S1224" s="27" t="n"/>
      <c r="T1224" s="25">
        <f>IF($C1224="","",IF(OR(ISNUMBER(SEARCH("quick case",$P1224)),ISNUMBER(SEARCH("quick case",$Q1224))),"Yes","No"))</f>
        <v/>
      </c>
      <c r="U1224" s="25">
        <f>IF($O1224="Invalid",HYPERLINK("mailto:"&amp;$G1224&amp;";"&amp;$I1224&amp;"?cc="&amp;Lists!$E$2&amp;"&amp;subject="&amp;_xlfn.ENCODEURL("[INVALID] Quality audit monitoring completed for "&amp;UPPER($C1224))&amp;"&amp;body="&amp;_xlfn.ENCODEURL("Hi "&amp;$F1224&amp;","&amp;CHAR(10)&amp;"Good day!"&amp;CHAR(10)&amp;CHAR(10)&amp;"A quality monitoring audit has been completed for "&amp;$C1224&amp;"."&amp;CHAR(10)&amp;CHAR(10)&amp;"QUALITY AUDIT DETAILS"&amp;CHAR(10)&amp;"Agent Name: "&amp;$C1224&amp;" (EID "&amp;$D1224&amp;")"&amp;CHAR(10)&amp;"Audit Date: "&amp;TEXT($B1224,"yyyy-mm-dd")&amp;CHAR(10)&amp;"Team Leader: "&amp;$F1224&amp;CHAR(10)&amp;"Case Number: "&amp;$M1224&amp;CHAR(10)&amp;"Transaction ID: "&amp;$N1224&amp;CHAR(10)&amp;"Channel / LOB: "&amp;$K1224&amp;" / "&amp;$L1224&amp;CHAR(10)&amp;"Evaluator: "&amp;$S1224&amp;CHAR(10)&amp;CHAR(10)&amp;"INVALID QUALITY AUDIT DETAILS"&amp;CHAR(10)&amp;"Validation: Invalid"&amp;CHAR(10)&amp;"Invalid Reason: "&amp;$P1224&amp;CHAR(10)&amp;"Expected Resolution Code: "&amp;$Q1224&amp;CHAR(10)&amp;"Remarks: "&amp;LEFT($R1224,600)&amp;CHAR(10)&amp;CHAR(10)&amp;"This is an automated notification from HP Mainstream EQMS."),"✉ Open Email Draft"),"")</f>
        <v/>
      </c>
    </row>
    <row r="1225">
      <c r="A1225" s="25">
        <f>IF($C1225="","","AUD-2026-"&amp;TEXT(ROW()-1,"000000"))</f>
        <v/>
      </c>
      <c r="B1225" s="26" t="n"/>
      <c r="C1225" s="27" t="n"/>
      <c r="D1225" s="25">
        <f>IF($C1225="","",IFERROR(IF(INDEX(Roster!$A:$A,MATCH($C1225,Roster!$B:$B,0))="","",INDEX(Roster!$A:$A,MATCH($C1225,Roster!$B:$B,0))&amp;""),"—"))</f>
        <v/>
      </c>
      <c r="E1225" s="25">
        <f>IF($C1225="","",IFERROR(IF(INDEX(Roster!$C:$C,MATCH($C1225,Roster!$B:$B,0))="","",INDEX(Roster!$C:$C,MATCH($C1225,Roster!$B:$B,0))&amp;""),"—"))</f>
        <v/>
      </c>
      <c r="F1225" s="25">
        <f>IF($C1225="","",IFERROR(IF(INDEX(Roster!$D:$D,MATCH($C1225,Roster!$B:$B,0))="","",INDEX(Roster!$D:$D,MATCH($C1225,Roster!$B:$B,0))&amp;""),"—"))</f>
        <v/>
      </c>
      <c r="G1225" s="25">
        <f>IF($C1225="","",IFERROR(IF(INDEX(Roster!$E:$E,MATCH($C1225,Roster!$B:$B,0))="","",INDEX(Roster!$E:$E,MATCH($C1225,Roster!$B:$B,0))&amp;""),"—"))</f>
        <v/>
      </c>
      <c r="H1225" s="25">
        <f>IF($C1225="","",IFERROR(IF(INDEX(Roster!$F:$F,MATCH($C1225,Roster!$B:$B,0))="","",INDEX(Roster!$F:$F,MATCH($C1225,Roster!$B:$B,0))&amp;""),"—"))</f>
        <v/>
      </c>
      <c r="I1225" s="25">
        <f>IF($C1225="","",IFERROR(IF(INDEX(Roster!$G:$G,MATCH($C1225,Roster!$B:$B,0))="","",INDEX(Roster!$G:$G,MATCH($C1225,Roster!$B:$B,0))&amp;""),"—"))</f>
        <v/>
      </c>
      <c r="J1225" s="25">
        <f>IF($C1225="","",IFERROR(IF(INDEX(Roster!$I:$I,MATCH($C1225,Roster!$B:$B,0))="","",INDEX(Roster!$I:$I,MATCH($C1225,Roster!$B:$B,0))&amp;""),"—"))</f>
        <v/>
      </c>
      <c r="K1225">
        <f>IF($C1225="","",IFERROR(IF(INDEX(Roster!$J:$J,MATCH($C1225,Roster!$B:$B,0))="","",INDEX(Roster!$J:$J,MATCH($C1225,Roster!$B:$B,0))&amp;""),"—"))</f>
        <v/>
      </c>
      <c r="L1225">
        <f>IF($C1225="","",IFERROR(IF(INDEX(Roster!$K:$K,MATCH($C1225,Roster!$B:$B,0))="","",INDEX(Roster!$K:$K,MATCH($C1225,Roster!$B:$B,0))&amp;""),"—"))</f>
        <v/>
      </c>
      <c r="M1225" s="27" t="n"/>
      <c r="N1225" s="27" t="n"/>
      <c r="O1225" s="25">
        <f>IF($C1225="","",IF($P1225="","—",IF($P1225="Valid (Pass)","Valid","Invalid")))</f>
        <v/>
      </c>
      <c r="P1225" s="27" t="n"/>
      <c r="Q1225" s="27" t="n"/>
      <c r="R1225" s="27" t="n"/>
      <c r="S1225" s="27" t="n"/>
      <c r="T1225" s="25">
        <f>IF($C1225="","",IF(OR(ISNUMBER(SEARCH("quick case",$P1225)),ISNUMBER(SEARCH("quick case",$Q1225))),"Yes","No"))</f>
        <v/>
      </c>
      <c r="U1225" s="25">
        <f>IF($O1225="Invalid",HYPERLINK("mailto:"&amp;$G1225&amp;";"&amp;$I1225&amp;"?cc="&amp;Lists!$E$2&amp;"&amp;subject="&amp;_xlfn.ENCODEURL("[INVALID] Quality audit monitoring completed for "&amp;UPPER($C1225))&amp;"&amp;body="&amp;_xlfn.ENCODEURL("Hi "&amp;$F1225&amp;","&amp;CHAR(10)&amp;"Good day!"&amp;CHAR(10)&amp;CHAR(10)&amp;"A quality monitoring audit has been completed for "&amp;$C1225&amp;"."&amp;CHAR(10)&amp;CHAR(10)&amp;"QUALITY AUDIT DETAILS"&amp;CHAR(10)&amp;"Agent Name: "&amp;$C1225&amp;" (EID "&amp;$D1225&amp;")"&amp;CHAR(10)&amp;"Audit Date: "&amp;TEXT($B1225,"yyyy-mm-dd")&amp;CHAR(10)&amp;"Team Leader: "&amp;$F1225&amp;CHAR(10)&amp;"Case Number: "&amp;$M1225&amp;CHAR(10)&amp;"Transaction ID: "&amp;$N1225&amp;CHAR(10)&amp;"Channel / LOB: "&amp;$K1225&amp;" / "&amp;$L1225&amp;CHAR(10)&amp;"Evaluator: "&amp;$S1225&amp;CHAR(10)&amp;CHAR(10)&amp;"INVALID QUALITY AUDIT DETAILS"&amp;CHAR(10)&amp;"Validation: Invalid"&amp;CHAR(10)&amp;"Invalid Reason: "&amp;$P1225&amp;CHAR(10)&amp;"Expected Resolution Code: "&amp;$Q1225&amp;CHAR(10)&amp;"Remarks: "&amp;LEFT($R1225,600)&amp;CHAR(10)&amp;CHAR(10)&amp;"This is an automated notification from HP Mainstream EQMS."),"✉ Open Email Draft"),"")</f>
        <v/>
      </c>
    </row>
    <row r="1226">
      <c r="A1226" s="25">
        <f>IF($C1226="","","AUD-2026-"&amp;TEXT(ROW()-1,"000000"))</f>
        <v/>
      </c>
      <c r="B1226" s="26" t="n"/>
      <c r="C1226" s="27" t="n"/>
      <c r="D1226" s="25">
        <f>IF($C1226="","",IFERROR(IF(INDEX(Roster!$A:$A,MATCH($C1226,Roster!$B:$B,0))="","",INDEX(Roster!$A:$A,MATCH($C1226,Roster!$B:$B,0))&amp;""),"—"))</f>
        <v/>
      </c>
      <c r="E1226" s="25">
        <f>IF($C1226="","",IFERROR(IF(INDEX(Roster!$C:$C,MATCH($C1226,Roster!$B:$B,0))="","",INDEX(Roster!$C:$C,MATCH($C1226,Roster!$B:$B,0))&amp;""),"—"))</f>
        <v/>
      </c>
      <c r="F1226" s="25">
        <f>IF($C1226="","",IFERROR(IF(INDEX(Roster!$D:$D,MATCH($C1226,Roster!$B:$B,0))="","",INDEX(Roster!$D:$D,MATCH($C1226,Roster!$B:$B,0))&amp;""),"—"))</f>
        <v/>
      </c>
      <c r="G1226" s="25">
        <f>IF($C1226="","",IFERROR(IF(INDEX(Roster!$E:$E,MATCH($C1226,Roster!$B:$B,0))="","",INDEX(Roster!$E:$E,MATCH($C1226,Roster!$B:$B,0))&amp;""),"—"))</f>
        <v/>
      </c>
      <c r="H1226" s="25">
        <f>IF($C1226="","",IFERROR(IF(INDEX(Roster!$F:$F,MATCH($C1226,Roster!$B:$B,0))="","",INDEX(Roster!$F:$F,MATCH($C1226,Roster!$B:$B,0))&amp;""),"—"))</f>
        <v/>
      </c>
      <c r="I1226" s="25">
        <f>IF($C1226="","",IFERROR(IF(INDEX(Roster!$G:$G,MATCH($C1226,Roster!$B:$B,0))="","",INDEX(Roster!$G:$G,MATCH($C1226,Roster!$B:$B,0))&amp;""),"—"))</f>
        <v/>
      </c>
      <c r="J1226" s="25">
        <f>IF($C1226="","",IFERROR(IF(INDEX(Roster!$I:$I,MATCH($C1226,Roster!$B:$B,0))="","",INDEX(Roster!$I:$I,MATCH($C1226,Roster!$B:$B,0))&amp;""),"—"))</f>
        <v/>
      </c>
      <c r="K1226">
        <f>IF($C1226="","",IFERROR(IF(INDEX(Roster!$J:$J,MATCH($C1226,Roster!$B:$B,0))="","",INDEX(Roster!$J:$J,MATCH($C1226,Roster!$B:$B,0))&amp;""),"—"))</f>
        <v/>
      </c>
      <c r="L1226">
        <f>IF($C1226="","",IFERROR(IF(INDEX(Roster!$K:$K,MATCH($C1226,Roster!$B:$B,0))="","",INDEX(Roster!$K:$K,MATCH($C1226,Roster!$B:$B,0))&amp;""),"—"))</f>
        <v/>
      </c>
      <c r="M1226" s="27" t="n"/>
      <c r="N1226" s="27" t="n"/>
      <c r="O1226" s="25">
        <f>IF($C1226="","",IF($P1226="","—",IF($P1226="Valid (Pass)","Valid","Invalid")))</f>
        <v/>
      </c>
      <c r="P1226" s="27" t="n"/>
      <c r="Q1226" s="27" t="n"/>
      <c r="R1226" s="27" t="n"/>
      <c r="S1226" s="27" t="n"/>
      <c r="T1226" s="25">
        <f>IF($C1226="","",IF(OR(ISNUMBER(SEARCH("quick case",$P1226)),ISNUMBER(SEARCH("quick case",$Q1226))),"Yes","No"))</f>
        <v/>
      </c>
      <c r="U1226" s="25">
        <f>IF($O1226="Invalid",HYPERLINK("mailto:"&amp;$G1226&amp;";"&amp;$I1226&amp;"?cc="&amp;Lists!$E$2&amp;"&amp;subject="&amp;_xlfn.ENCODEURL("[INVALID] Quality audit monitoring completed for "&amp;UPPER($C1226))&amp;"&amp;body="&amp;_xlfn.ENCODEURL("Hi "&amp;$F1226&amp;","&amp;CHAR(10)&amp;"Good day!"&amp;CHAR(10)&amp;CHAR(10)&amp;"A quality monitoring audit has been completed for "&amp;$C1226&amp;"."&amp;CHAR(10)&amp;CHAR(10)&amp;"QUALITY AUDIT DETAILS"&amp;CHAR(10)&amp;"Agent Name: "&amp;$C1226&amp;" (EID "&amp;$D1226&amp;")"&amp;CHAR(10)&amp;"Audit Date: "&amp;TEXT($B1226,"yyyy-mm-dd")&amp;CHAR(10)&amp;"Team Leader: "&amp;$F1226&amp;CHAR(10)&amp;"Case Number: "&amp;$M1226&amp;CHAR(10)&amp;"Transaction ID: "&amp;$N1226&amp;CHAR(10)&amp;"Channel / LOB: "&amp;$K1226&amp;" / "&amp;$L1226&amp;CHAR(10)&amp;"Evaluator: "&amp;$S1226&amp;CHAR(10)&amp;CHAR(10)&amp;"INVALID QUALITY AUDIT DETAILS"&amp;CHAR(10)&amp;"Validation: Invalid"&amp;CHAR(10)&amp;"Invalid Reason: "&amp;$P1226&amp;CHAR(10)&amp;"Expected Resolution Code: "&amp;$Q1226&amp;CHAR(10)&amp;"Remarks: "&amp;LEFT($R1226,600)&amp;CHAR(10)&amp;CHAR(10)&amp;"This is an automated notification from HP Mainstream EQMS."),"✉ Open Email Draft"),"")</f>
        <v/>
      </c>
    </row>
    <row r="1227">
      <c r="A1227" s="25">
        <f>IF($C1227="","","AUD-2026-"&amp;TEXT(ROW()-1,"000000"))</f>
        <v/>
      </c>
      <c r="B1227" s="26" t="n"/>
      <c r="C1227" s="27" t="n"/>
      <c r="D1227" s="25">
        <f>IF($C1227="","",IFERROR(IF(INDEX(Roster!$A:$A,MATCH($C1227,Roster!$B:$B,0))="","",INDEX(Roster!$A:$A,MATCH($C1227,Roster!$B:$B,0))&amp;""),"—"))</f>
        <v/>
      </c>
      <c r="E1227" s="25">
        <f>IF($C1227="","",IFERROR(IF(INDEX(Roster!$C:$C,MATCH($C1227,Roster!$B:$B,0))="","",INDEX(Roster!$C:$C,MATCH($C1227,Roster!$B:$B,0))&amp;""),"—"))</f>
        <v/>
      </c>
      <c r="F1227" s="25">
        <f>IF($C1227="","",IFERROR(IF(INDEX(Roster!$D:$D,MATCH($C1227,Roster!$B:$B,0))="","",INDEX(Roster!$D:$D,MATCH($C1227,Roster!$B:$B,0))&amp;""),"—"))</f>
        <v/>
      </c>
      <c r="G1227" s="25">
        <f>IF($C1227="","",IFERROR(IF(INDEX(Roster!$E:$E,MATCH($C1227,Roster!$B:$B,0))="","",INDEX(Roster!$E:$E,MATCH($C1227,Roster!$B:$B,0))&amp;""),"—"))</f>
        <v/>
      </c>
      <c r="H1227" s="25">
        <f>IF($C1227="","",IFERROR(IF(INDEX(Roster!$F:$F,MATCH($C1227,Roster!$B:$B,0))="","",INDEX(Roster!$F:$F,MATCH($C1227,Roster!$B:$B,0))&amp;""),"—"))</f>
        <v/>
      </c>
      <c r="I1227" s="25">
        <f>IF($C1227="","",IFERROR(IF(INDEX(Roster!$G:$G,MATCH($C1227,Roster!$B:$B,0))="","",INDEX(Roster!$G:$G,MATCH($C1227,Roster!$B:$B,0))&amp;""),"—"))</f>
        <v/>
      </c>
      <c r="J1227" s="25">
        <f>IF($C1227="","",IFERROR(IF(INDEX(Roster!$I:$I,MATCH($C1227,Roster!$B:$B,0))="","",INDEX(Roster!$I:$I,MATCH($C1227,Roster!$B:$B,0))&amp;""),"—"))</f>
        <v/>
      </c>
      <c r="K1227">
        <f>IF($C1227="","",IFERROR(IF(INDEX(Roster!$J:$J,MATCH($C1227,Roster!$B:$B,0))="","",INDEX(Roster!$J:$J,MATCH($C1227,Roster!$B:$B,0))&amp;""),"—"))</f>
        <v/>
      </c>
      <c r="L1227">
        <f>IF($C1227="","",IFERROR(IF(INDEX(Roster!$K:$K,MATCH($C1227,Roster!$B:$B,0))="","",INDEX(Roster!$K:$K,MATCH($C1227,Roster!$B:$B,0))&amp;""),"—"))</f>
        <v/>
      </c>
      <c r="M1227" s="27" t="n"/>
      <c r="N1227" s="27" t="n"/>
      <c r="O1227" s="25">
        <f>IF($C1227="","",IF($P1227="","—",IF($P1227="Valid (Pass)","Valid","Invalid")))</f>
        <v/>
      </c>
      <c r="P1227" s="27" t="n"/>
      <c r="Q1227" s="27" t="n"/>
      <c r="R1227" s="27" t="n"/>
      <c r="S1227" s="27" t="n"/>
      <c r="T1227" s="25">
        <f>IF($C1227="","",IF(OR(ISNUMBER(SEARCH("quick case",$P1227)),ISNUMBER(SEARCH("quick case",$Q1227))),"Yes","No"))</f>
        <v/>
      </c>
      <c r="U1227" s="25">
        <f>IF($O1227="Invalid",HYPERLINK("mailto:"&amp;$G1227&amp;";"&amp;$I1227&amp;"?cc="&amp;Lists!$E$2&amp;"&amp;subject="&amp;_xlfn.ENCODEURL("[INVALID] Quality audit monitoring completed for "&amp;UPPER($C1227))&amp;"&amp;body="&amp;_xlfn.ENCODEURL("Hi "&amp;$F1227&amp;","&amp;CHAR(10)&amp;"Good day!"&amp;CHAR(10)&amp;CHAR(10)&amp;"A quality monitoring audit has been completed for "&amp;$C1227&amp;"."&amp;CHAR(10)&amp;CHAR(10)&amp;"QUALITY AUDIT DETAILS"&amp;CHAR(10)&amp;"Agent Name: "&amp;$C1227&amp;" (EID "&amp;$D1227&amp;")"&amp;CHAR(10)&amp;"Audit Date: "&amp;TEXT($B1227,"yyyy-mm-dd")&amp;CHAR(10)&amp;"Team Leader: "&amp;$F1227&amp;CHAR(10)&amp;"Case Number: "&amp;$M1227&amp;CHAR(10)&amp;"Transaction ID: "&amp;$N1227&amp;CHAR(10)&amp;"Channel / LOB: "&amp;$K1227&amp;" / "&amp;$L1227&amp;CHAR(10)&amp;"Evaluator: "&amp;$S1227&amp;CHAR(10)&amp;CHAR(10)&amp;"INVALID QUALITY AUDIT DETAILS"&amp;CHAR(10)&amp;"Validation: Invalid"&amp;CHAR(10)&amp;"Invalid Reason: "&amp;$P1227&amp;CHAR(10)&amp;"Expected Resolution Code: "&amp;$Q1227&amp;CHAR(10)&amp;"Remarks: "&amp;LEFT($R1227,600)&amp;CHAR(10)&amp;CHAR(10)&amp;"This is an automated notification from HP Mainstream EQMS."),"✉ Open Email Draft"),"")</f>
        <v/>
      </c>
    </row>
    <row r="1228">
      <c r="A1228" s="25">
        <f>IF($C1228="","","AUD-2026-"&amp;TEXT(ROW()-1,"000000"))</f>
        <v/>
      </c>
      <c r="B1228" s="26" t="n"/>
      <c r="C1228" s="27" t="n"/>
      <c r="D1228" s="25">
        <f>IF($C1228="","",IFERROR(IF(INDEX(Roster!$A:$A,MATCH($C1228,Roster!$B:$B,0))="","",INDEX(Roster!$A:$A,MATCH($C1228,Roster!$B:$B,0))&amp;""),"—"))</f>
        <v/>
      </c>
      <c r="E1228" s="25">
        <f>IF($C1228="","",IFERROR(IF(INDEX(Roster!$C:$C,MATCH($C1228,Roster!$B:$B,0))="","",INDEX(Roster!$C:$C,MATCH($C1228,Roster!$B:$B,0))&amp;""),"—"))</f>
        <v/>
      </c>
      <c r="F1228" s="25">
        <f>IF($C1228="","",IFERROR(IF(INDEX(Roster!$D:$D,MATCH($C1228,Roster!$B:$B,0))="","",INDEX(Roster!$D:$D,MATCH($C1228,Roster!$B:$B,0))&amp;""),"—"))</f>
        <v/>
      </c>
      <c r="G1228" s="25">
        <f>IF($C1228="","",IFERROR(IF(INDEX(Roster!$E:$E,MATCH($C1228,Roster!$B:$B,0))="","",INDEX(Roster!$E:$E,MATCH($C1228,Roster!$B:$B,0))&amp;""),"—"))</f>
        <v/>
      </c>
      <c r="H1228" s="25">
        <f>IF($C1228="","",IFERROR(IF(INDEX(Roster!$F:$F,MATCH($C1228,Roster!$B:$B,0))="","",INDEX(Roster!$F:$F,MATCH($C1228,Roster!$B:$B,0))&amp;""),"—"))</f>
        <v/>
      </c>
      <c r="I1228" s="25">
        <f>IF($C1228="","",IFERROR(IF(INDEX(Roster!$G:$G,MATCH($C1228,Roster!$B:$B,0))="","",INDEX(Roster!$G:$G,MATCH($C1228,Roster!$B:$B,0))&amp;""),"—"))</f>
        <v/>
      </c>
      <c r="J1228" s="25">
        <f>IF($C1228="","",IFERROR(IF(INDEX(Roster!$I:$I,MATCH($C1228,Roster!$B:$B,0))="","",INDEX(Roster!$I:$I,MATCH($C1228,Roster!$B:$B,0))&amp;""),"—"))</f>
        <v/>
      </c>
      <c r="K1228">
        <f>IF($C1228="","",IFERROR(IF(INDEX(Roster!$J:$J,MATCH($C1228,Roster!$B:$B,0))="","",INDEX(Roster!$J:$J,MATCH($C1228,Roster!$B:$B,0))&amp;""),"—"))</f>
        <v/>
      </c>
      <c r="L1228">
        <f>IF($C1228="","",IFERROR(IF(INDEX(Roster!$K:$K,MATCH($C1228,Roster!$B:$B,0))="","",INDEX(Roster!$K:$K,MATCH($C1228,Roster!$B:$B,0))&amp;""),"—"))</f>
        <v/>
      </c>
      <c r="M1228" s="27" t="n"/>
      <c r="N1228" s="27" t="n"/>
      <c r="O1228" s="25">
        <f>IF($C1228="","",IF($P1228="","—",IF($P1228="Valid (Pass)","Valid","Invalid")))</f>
        <v/>
      </c>
      <c r="P1228" s="27" t="n"/>
      <c r="Q1228" s="27" t="n"/>
      <c r="R1228" s="27" t="n"/>
      <c r="S1228" s="27" t="n"/>
      <c r="T1228" s="25">
        <f>IF($C1228="","",IF(OR(ISNUMBER(SEARCH("quick case",$P1228)),ISNUMBER(SEARCH("quick case",$Q1228))),"Yes","No"))</f>
        <v/>
      </c>
      <c r="U1228" s="25">
        <f>IF($O1228="Invalid",HYPERLINK("mailto:"&amp;$G1228&amp;";"&amp;$I1228&amp;"?cc="&amp;Lists!$E$2&amp;"&amp;subject="&amp;_xlfn.ENCODEURL("[INVALID] Quality audit monitoring completed for "&amp;UPPER($C1228))&amp;"&amp;body="&amp;_xlfn.ENCODEURL("Hi "&amp;$F1228&amp;","&amp;CHAR(10)&amp;"Good day!"&amp;CHAR(10)&amp;CHAR(10)&amp;"A quality monitoring audit has been completed for "&amp;$C1228&amp;"."&amp;CHAR(10)&amp;CHAR(10)&amp;"QUALITY AUDIT DETAILS"&amp;CHAR(10)&amp;"Agent Name: "&amp;$C1228&amp;" (EID "&amp;$D1228&amp;")"&amp;CHAR(10)&amp;"Audit Date: "&amp;TEXT($B1228,"yyyy-mm-dd")&amp;CHAR(10)&amp;"Team Leader: "&amp;$F1228&amp;CHAR(10)&amp;"Case Number: "&amp;$M1228&amp;CHAR(10)&amp;"Transaction ID: "&amp;$N1228&amp;CHAR(10)&amp;"Channel / LOB: "&amp;$K1228&amp;" / "&amp;$L1228&amp;CHAR(10)&amp;"Evaluator: "&amp;$S1228&amp;CHAR(10)&amp;CHAR(10)&amp;"INVALID QUALITY AUDIT DETAILS"&amp;CHAR(10)&amp;"Validation: Invalid"&amp;CHAR(10)&amp;"Invalid Reason: "&amp;$P1228&amp;CHAR(10)&amp;"Expected Resolution Code: "&amp;$Q1228&amp;CHAR(10)&amp;"Remarks: "&amp;LEFT($R1228,600)&amp;CHAR(10)&amp;CHAR(10)&amp;"This is an automated notification from HP Mainstream EQMS."),"✉ Open Email Draft"),"")</f>
        <v/>
      </c>
    </row>
    <row r="1229">
      <c r="A1229" s="25">
        <f>IF($C1229="","","AUD-2026-"&amp;TEXT(ROW()-1,"000000"))</f>
        <v/>
      </c>
      <c r="B1229" s="26" t="n"/>
      <c r="C1229" s="27" t="n"/>
      <c r="D1229" s="25">
        <f>IF($C1229="","",IFERROR(IF(INDEX(Roster!$A:$A,MATCH($C1229,Roster!$B:$B,0))="","",INDEX(Roster!$A:$A,MATCH($C1229,Roster!$B:$B,0))&amp;""),"—"))</f>
        <v/>
      </c>
      <c r="E1229" s="25">
        <f>IF($C1229="","",IFERROR(IF(INDEX(Roster!$C:$C,MATCH($C1229,Roster!$B:$B,0))="","",INDEX(Roster!$C:$C,MATCH($C1229,Roster!$B:$B,0))&amp;""),"—"))</f>
        <v/>
      </c>
      <c r="F1229" s="25">
        <f>IF($C1229="","",IFERROR(IF(INDEX(Roster!$D:$D,MATCH($C1229,Roster!$B:$B,0))="","",INDEX(Roster!$D:$D,MATCH($C1229,Roster!$B:$B,0))&amp;""),"—"))</f>
        <v/>
      </c>
      <c r="G1229" s="25">
        <f>IF($C1229="","",IFERROR(IF(INDEX(Roster!$E:$E,MATCH($C1229,Roster!$B:$B,0))="","",INDEX(Roster!$E:$E,MATCH($C1229,Roster!$B:$B,0))&amp;""),"—"))</f>
        <v/>
      </c>
      <c r="H1229" s="25">
        <f>IF($C1229="","",IFERROR(IF(INDEX(Roster!$F:$F,MATCH($C1229,Roster!$B:$B,0))="","",INDEX(Roster!$F:$F,MATCH($C1229,Roster!$B:$B,0))&amp;""),"—"))</f>
        <v/>
      </c>
      <c r="I1229" s="25">
        <f>IF($C1229="","",IFERROR(IF(INDEX(Roster!$G:$G,MATCH($C1229,Roster!$B:$B,0))="","",INDEX(Roster!$G:$G,MATCH($C1229,Roster!$B:$B,0))&amp;""),"—"))</f>
        <v/>
      </c>
      <c r="J1229" s="25">
        <f>IF($C1229="","",IFERROR(IF(INDEX(Roster!$I:$I,MATCH($C1229,Roster!$B:$B,0))="","",INDEX(Roster!$I:$I,MATCH($C1229,Roster!$B:$B,0))&amp;""),"—"))</f>
        <v/>
      </c>
      <c r="K1229">
        <f>IF($C1229="","",IFERROR(IF(INDEX(Roster!$J:$J,MATCH($C1229,Roster!$B:$B,0))="","",INDEX(Roster!$J:$J,MATCH($C1229,Roster!$B:$B,0))&amp;""),"—"))</f>
        <v/>
      </c>
      <c r="L1229">
        <f>IF($C1229="","",IFERROR(IF(INDEX(Roster!$K:$K,MATCH($C1229,Roster!$B:$B,0))="","",INDEX(Roster!$K:$K,MATCH($C1229,Roster!$B:$B,0))&amp;""),"—"))</f>
        <v/>
      </c>
      <c r="M1229" s="27" t="n"/>
      <c r="N1229" s="27" t="n"/>
      <c r="O1229" s="25">
        <f>IF($C1229="","",IF($P1229="","—",IF($P1229="Valid (Pass)","Valid","Invalid")))</f>
        <v/>
      </c>
      <c r="P1229" s="27" t="n"/>
      <c r="Q1229" s="27" t="n"/>
      <c r="R1229" s="27" t="n"/>
      <c r="S1229" s="27" t="n"/>
      <c r="T1229" s="25">
        <f>IF($C1229="","",IF(OR(ISNUMBER(SEARCH("quick case",$P1229)),ISNUMBER(SEARCH("quick case",$Q1229))),"Yes","No"))</f>
        <v/>
      </c>
      <c r="U1229" s="25">
        <f>IF($O1229="Invalid",HYPERLINK("mailto:"&amp;$G1229&amp;";"&amp;$I1229&amp;"?cc="&amp;Lists!$E$2&amp;"&amp;subject="&amp;_xlfn.ENCODEURL("[INVALID] Quality audit monitoring completed for "&amp;UPPER($C1229))&amp;"&amp;body="&amp;_xlfn.ENCODEURL("Hi "&amp;$F1229&amp;","&amp;CHAR(10)&amp;"Good day!"&amp;CHAR(10)&amp;CHAR(10)&amp;"A quality monitoring audit has been completed for "&amp;$C1229&amp;"."&amp;CHAR(10)&amp;CHAR(10)&amp;"QUALITY AUDIT DETAILS"&amp;CHAR(10)&amp;"Agent Name: "&amp;$C1229&amp;" (EID "&amp;$D1229&amp;")"&amp;CHAR(10)&amp;"Audit Date: "&amp;TEXT($B1229,"yyyy-mm-dd")&amp;CHAR(10)&amp;"Team Leader: "&amp;$F1229&amp;CHAR(10)&amp;"Case Number: "&amp;$M1229&amp;CHAR(10)&amp;"Transaction ID: "&amp;$N1229&amp;CHAR(10)&amp;"Channel / LOB: "&amp;$K1229&amp;" / "&amp;$L1229&amp;CHAR(10)&amp;"Evaluator: "&amp;$S1229&amp;CHAR(10)&amp;CHAR(10)&amp;"INVALID QUALITY AUDIT DETAILS"&amp;CHAR(10)&amp;"Validation: Invalid"&amp;CHAR(10)&amp;"Invalid Reason: "&amp;$P1229&amp;CHAR(10)&amp;"Expected Resolution Code: "&amp;$Q1229&amp;CHAR(10)&amp;"Remarks: "&amp;LEFT($R1229,600)&amp;CHAR(10)&amp;CHAR(10)&amp;"This is an automated notification from HP Mainstream EQMS."),"✉ Open Email Draft"),"")</f>
        <v/>
      </c>
    </row>
    <row r="1230">
      <c r="A1230" s="25">
        <f>IF($C1230="","","AUD-2026-"&amp;TEXT(ROW()-1,"000000"))</f>
        <v/>
      </c>
      <c r="B1230" s="26" t="n"/>
      <c r="C1230" s="27" t="n"/>
      <c r="D1230" s="25">
        <f>IF($C1230="","",IFERROR(IF(INDEX(Roster!$A:$A,MATCH($C1230,Roster!$B:$B,0))="","",INDEX(Roster!$A:$A,MATCH($C1230,Roster!$B:$B,0))&amp;""),"—"))</f>
        <v/>
      </c>
      <c r="E1230" s="25">
        <f>IF($C1230="","",IFERROR(IF(INDEX(Roster!$C:$C,MATCH($C1230,Roster!$B:$B,0))="","",INDEX(Roster!$C:$C,MATCH($C1230,Roster!$B:$B,0))&amp;""),"—"))</f>
        <v/>
      </c>
      <c r="F1230" s="25">
        <f>IF($C1230="","",IFERROR(IF(INDEX(Roster!$D:$D,MATCH($C1230,Roster!$B:$B,0))="","",INDEX(Roster!$D:$D,MATCH($C1230,Roster!$B:$B,0))&amp;""),"—"))</f>
        <v/>
      </c>
      <c r="G1230" s="25">
        <f>IF($C1230="","",IFERROR(IF(INDEX(Roster!$E:$E,MATCH($C1230,Roster!$B:$B,0))="","",INDEX(Roster!$E:$E,MATCH($C1230,Roster!$B:$B,0))&amp;""),"—"))</f>
        <v/>
      </c>
      <c r="H1230" s="25">
        <f>IF($C1230="","",IFERROR(IF(INDEX(Roster!$F:$F,MATCH($C1230,Roster!$B:$B,0))="","",INDEX(Roster!$F:$F,MATCH($C1230,Roster!$B:$B,0))&amp;""),"—"))</f>
        <v/>
      </c>
      <c r="I1230" s="25">
        <f>IF($C1230="","",IFERROR(IF(INDEX(Roster!$G:$G,MATCH($C1230,Roster!$B:$B,0))="","",INDEX(Roster!$G:$G,MATCH($C1230,Roster!$B:$B,0))&amp;""),"—"))</f>
        <v/>
      </c>
      <c r="J1230" s="25">
        <f>IF($C1230="","",IFERROR(IF(INDEX(Roster!$I:$I,MATCH($C1230,Roster!$B:$B,0))="","",INDEX(Roster!$I:$I,MATCH($C1230,Roster!$B:$B,0))&amp;""),"—"))</f>
        <v/>
      </c>
      <c r="K1230">
        <f>IF($C1230="","",IFERROR(IF(INDEX(Roster!$J:$J,MATCH($C1230,Roster!$B:$B,0))="","",INDEX(Roster!$J:$J,MATCH($C1230,Roster!$B:$B,0))&amp;""),"—"))</f>
        <v/>
      </c>
      <c r="L1230">
        <f>IF($C1230="","",IFERROR(IF(INDEX(Roster!$K:$K,MATCH($C1230,Roster!$B:$B,0))="","",INDEX(Roster!$K:$K,MATCH($C1230,Roster!$B:$B,0))&amp;""),"—"))</f>
        <v/>
      </c>
      <c r="M1230" s="27" t="n"/>
      <c r="N1230" s="27" t="n"/>
      <c r="O1230" s="25">
        <f>IF($C1230="","",IF($P1230="","—",IF($P1230="Valid (Pass)","Valid","Invalid")))</f>
        <v/>
      </c>
      <c r="P1230" s="27" t="n"/>
      <c r="Q1230" s="27" t="n"/>
      <c r="R1230" s="27" t="n"/>
      <c r="S1230" s="27" t="n"/>
      <c r="T1230" s="25">
        <f>IF($C1230="","",IF(OR(ISNUMBER(SEARCH("quick case",$P1230)),ISNUMBER(SEARCH("quick case",$Q1230))),"Yes","No"))</f>
        <v/>
      </c>
      <c r="U1230" s="25">
        <f>IF($O1230="Invalid",HYPERLINK("mailto:"&amp;$G1230&amp;";"&amp;$I1230&amp;"?cc="&amp;Lists!$E$2&amp;"&amp;subject="&amp;_xlfn.ENCODEURL("[INVALID] Quality audit monitoring completed for "&amp;UPPER($C1230))&amp;"&amp;body="&amp;_xlfn.ENCODEURL("Hi "&amp;$F1230&amp;","&amp;CHAR(10)&amp;"Good day!"&amp;CHAR(10)&amp;CHAR(10)&amp;"A quality monitoring audit has been completed for "&amp;$C1230&amp;"."&amp;CHAR(10)&amp;CHAR(10)&amp;"QUALITY AUDIT DETAILS"&amp;CHAR(10)&amp;"Agent Name: "&amp;$C1230&amp;" (EID "&amp;$D1230&amp;")"&amp;CHAR(10)&amp;"Audit Date: "&amp;TEXT($B1230,"yyyy-mm-dd")&amp;CHAR(10)&amp;"Team Leader: "&amp;$F1230&amp;CHAR(10)&amp;"Case Number: "&amp;$M1230&amp;CHAR(10)&amp;"Transaction ID: "&amp;$N1230&amp;CHAR(10)&amp;"Channel / LOB: "&amp;$K1230&amp;" / "&amp;$L1230&amp;CHAR(10)&amp;"Evaluator: "&amp;$S1230&amp;CHAR(10)&amp;CHAR(10)&amp;"INVALID QUALITY AUDIT DETAILS"&amp;CHAR(10)&amp;"Validation: Invalid"&amp;CHAR(10)&amp;"Invalid Reason: "&amp;$P1230&amp;CHAR(10)&amp;"Expected Resolution Code: "&amp;$Q1230&amp;CHAR(10)&amp;"Remarks: "&amp;LEFT($R1230,600)&amp;CHAR(10)&amp;CHAR(10)&amp;"This is an automated notification from HP Mainstream EQMS."),"✉ Open Email Draft"),"")</f>
        <v/>
      </c>
    </row>
    <row r="1231">
      <c r="A1231" s="25">
        <f>IF($C1231="","","AUD-2026-"&amp;TEXT(ROW()-1,"000000"))</f>
        <v/>
      </c>
      <c r="B1231" s="26" t="n"/>
      <c r="C1231" s="27" t="n"/>
      <c r="D1231" s="25">
        <f>IF($C1231="","",IFERROR(IF(INDEX(Roster!$A:$A,MATCH($C1231,Roster!$B:$B,0))="","",INDEX(Roster!$A:$A,MATCH($C1231,Roster!$B:$B,0))&amp;""),"—"))</f>
        <v/>
      </c>
      <c r="E1231" s="25">
        <f>IF($C1231="","",IFERROR(IF(INDEX(Roster!$C:$C,MATCH($C1231,Roster!$B:$B,0))="","",INDEX(Roster!$C:$C,MATCH($C1231,Roster!$B:$B,0))&amp;""),"—"))</f>
        <v/>
      </c>
      <c r="F1231" s="25">
        <f>IF($C1231="","",IFERROR(IF(INDEX(Roster!$D:$D,MATCH($C1231,Roster!$B:$B,0))="","",INDEX(Roster!$D:$D,MATCH($C1231,Roster!$B:$B,0))&amp;""),"—"))</f>
        <v/>
      </c>
      <c r="G1231" s="25">
        <f>IF($C1231="","",IFERROR(IF(INDEX(Roster!$E:$E,MATCH($C1231,Roster!$B:$B,0))="","",INDEX(Roster!$E:$E,MATCH($C1231,Roster!$B:$B,0))&amp;""),"—"))</f>
        <v/>
      </c>
      <c r="H1231" s="25">
        <f>IF($C1231="","",IFERROR(IF(INDEX(Roster!$F:$F,MATCH($C1231,Roster!$B:$B,0))="","",INDEX(Roster!$F:$F,MATCH($C1231,Roster!$B:$B,0))&amp;""),"—"))</f>
        <v/>
      </c>
      <c r="I1231" s="25">
        <f>IF($C1231="","",IFERROR(IF(INDEX(Roster!$G:$G,MATCH($C1231,Roster!$B:$B,0))="","",INDEX(Roster!$G:$G,MATCH($C1231,Roster!$B:$B,0))&amp;""),"—"))</f>
        <v/>
      </c>
      <c r="J1231" s="25">
        <f>IF($C1231="","",IFERROR(IF(INDEX(Roster!$I:$I,MATCH($C1231,Roster!$B:$B,0))="","",INDEX(Roster!$I:$I,MATCH($C1231,Roster!$B:$B,0))&amp;""),"—"))</f>
        <v/>
      </c>
      <c r="K1231">
        <f>IF($C1231="","",IFERROR(IF(INDEX(Roster!$J:$J,MATCH($C1231,Roster!$B:$B,0))="","",INDEX(Roster!$J:$J,MATCH($C1231,Roster!$B:$B,0))&amp;""),"—"))</f>
        <v/>
      </c>
      <c r="L1231">
        <f>IF($C1231="","",IFERROR(IF(INDEX(Roster!$K:$K,MATCH($C1231,Roster!$B:$B,0))="","",INDEX(Roster!$K:$K,MATCH($C1231,Roster!$B:$B,0))&amp;""),"—"))</f>
        <v/>
      </c>
      <c r="M1231" s="27" t="n"/>
      <c r="N1231" s="27" t="n"/>
      <c r="O1231" s="25">
        <f>IF($C1231="","",IF($P1231="","—",IF($P1231="Valid (Pass)","Valid","Invalid")))</f>
        <v/>
      </c>
      <c r="P1231" s="27" t="n"/>
      <c r="Q1231" s="27" t="n"/>
      <c r="R1231" s="27" t="n"/>
      <c r="S1231" s="27" t="n"/>
      <c r="T1231" s="25">
        <f>IF($C1231="","",IF(OR(ISNUMBER(SEARCH("quick case",$P1231)),ISNUMBER(SEARCH("quick case",$Q1231))),"Yes","No"))</f>
        <v/>
      </c>
      <c r="U1231" s="25">
        <f>IF($O1231="Invalid",HYPERLINK("mailto:"&amp;$G1231&amp;";"&amp;$I1231&amp;"?cc="&amp;Lists!$E$2&amp;"&amp;subject="&amp;_xlfn.ENCODEURL("[INVALID] Quality audit monitoring completed for "&amp;UPPER($C1231))&amp;"&amp;body="&amp;_xlfn.ENCODEURL("Hi "&amp;$F1231&amp;","&amp;CHAR(10)&amp;"Good day!"&amp;CHAR(10)&amp;CHAR(10)&amp;"A quality monitoring audit has been completed for "&amp;$C1231&amp;"."&amp;CHAR(10)&amp;CHAR(10)&amp;"QUALITY AUDIT DETAILS"&amp;CHAR(10)&amp;"Agent Name: "&amp;$C1231&amp;" (EID "&amp;$D1231&amp;")"&amp;CHAR(10)&amp;"Audit Date: "&amp;TEXT($B1231,"yyyy-mm-dd")&amp;CHAR(10)&amp;"Team Leader: "&amp;$F1231&amp;CHAR(10)&amp;"Case Number: "&amp;$M1231&amp;CHAR(10)&amp;"Transaction ID: "&amp;$N1231&amp;CHAR(10)&amp;"Channel / LOB: "&amp;$K1231&amp;" / "&amp;$L1231&amp;CHAR(10)&amp;"Evaluator: "&amp;$S1231&amp;CHAR(10)&amp;CHAR(10)&amp;"INVALID QUALITY AUDIT DETAILS"&amp;CHAR(10)&amp;"Validation: Invalid"&amp;CHAR(10)&amp;"Invalid Reason: "&amp;$P1231&amp;CHAR(10)&amp;"Expected Resolution Code: "&amp;$Q1231&amp;CHAR(10)&amp;"Remarks: "&amp;LEFT($R1231,600)&amp;CHAR(10)&amp;CHAR(10)&amp;"This is an automated notification from HP Mainstream EQMS."),"✉ Open Email Draft"),"")</f>
        <v/>
      </c>
    </row>
    <row r="1232">
      <c r="A1232" s="25">
        <f>IF($C1232="","","AUD-2026-"&amp;TEXT(ROW()-1,"000000"))</f>
        <v/>
      </c>
      <c r="B1232" s="26" t="n"/>
      <c r="C1232" s="27" t="n"/>
      <c r="D1232" s="25">
        <f>IF($C1232="","",IFERROR(IF(INDEX(Roster!$A:$A,MATCH($C1232,Roster!$B:$B,0))="","",INDEX(Roster!$A:$A,MATCH($C1232,Roster!$B:$B,0))&amp;""),"—"))</f>
        <v/>
      </c>
      <c r="E1232" s="25">
        <f>IF($C1232="","",IFERROR(IF(INDEX(Roster!$C:$C,MATCH($C1232,Roster!$B:$B,0))="","",INDEX(Roster!$C:$C,MATCH($C1232,Roster!$B:$B,0))&amp;""),"—"))</f>
        <v/>
      </c>
      <c r="F1232" s="25">
        <f>IF($C1232="","",IFERROR(IF(INDEX(Roster!$D:$D,MATCH($C1232,Roster!$B:$B,0))="","",INDEX(Roster!$D:$D,MATCH($C1232,Roster!$B:$B,0))&amp;""),"—"))</f>
        <v/>
      </c>
      <c r="G1232" s="25">
        <f>IF($C1232="","",IFERROR(IF(INDEX(Roster!$E:$E,MATCH($C1232,Roster!$B:$B,0))="","",INDEX(Roster!$E:$E,MATCH($C1232,Roster!$B:$B,0))&amp;""),"—"))</f>
        <v/>
      </c>
      <c r="H1232" s="25">
        <f>IF($C1232="","",IFERROR(IF(INDEX(Roster!$F:$F,MATCH($C1232,Roster!$B:$B,0))="","",INDEX(Roster!$F:$F,MATCH($C1232,Roster!$B:$B,0))&amp;""),"—"))</f>
        <v/>
      </c>
      <c r="I1232" s="25">
        <f>IF($C1232="","",IFERROR(IF(INDEX(Roster!$G:$G,MATCH($C1232,Roster!$B:$B,0))="","",INDEX(Roster!$G:$G,MATCH($C1232,Roster!$B:$B,0))&amp;""),"—"))</f>
        <v/>
      </c>
      <c r="J1232" s="25">
        <f>IF($C1232="","",IFERROR(IF(INDEX(Roster!$I:$I,MATCH($C1232,Roster!$B:$B,0))="","",INDEX(Roster!$I:$I,MATCH($C1232,Roster!$B:$B,0))&amp;""),"—"))</f>
        <v/>
      </c>
      <c r="K1232">
        <f>IF($C1232="","",IFERROR(IF(INDEX(Roster!$J:$J,MATCH($C1232,Roster!$B:$B,0))="","",INDEX(Roster!$J:$J,MATCH($C1232,Roster!$B:$B,0))&amp;""),"—"))</f>
        <v/>
      </c>
      <c r="L1232">
        <f>IF($C1232="","",IFERROR(IF(INDEX(Roster!$K:$K,MATCH($C1232,Roster!$B:$B,0))="","",INDEX(Roster!$K:$K,MATCH($C1232,Roster!$B:$B,0))&amp;""),"—"))</f>
        <v/>
      </c>
      <c r="M1232" s="27" t="n"/>
      <c r="N1232" s="27" t="n"/>
      <c r="O1232" s="25">
        <f>IF($C1232="","",IF($P1232="","—",IF($P1232="Valid (Pass)","Valid","Invalid")))</f>
        <v/>
      </c>
      <c r="P1232" s="27" t="n"/>
      <c r="Q1232" s="27" t="n"/>
      <c r="R1232" s="27" t="n"/>
      <c r="S1232" s="27" t="n"/>
      <c r="T1232" s="25">
        <f>IF($C1232="","",IF(OR(ISNUMBER(SEARCH("quick case",$P1232)),ISNUMBER(SEARCH("quick case",$Q1232))),"Yes","No"))</f>
        <v/>
      </c>
      <c r="U1232" s="25">
        <f>IF($O1232="Invalid",HYPERLINK("mailto:"&amp;$G1232&amp;";"&amp;$I1232&amp;"?cc="&amp;Lists!$E$2&amp;"&amp;subject="&amp;_xlfn.ENCODEURL("[INVALID] Quality audit monitoring completed for "&amp;UPPER($C1232))&amp;"&amp;body="&amp;_xlfn.ENCODEURL("Hi "&amp;$F1232&amp;","&amp;CHAR(10)&amp;"Good day!"&amp;CHAR(10)&amp;CHAR(10)&amp;"A quality monitoring audit has been completed for "&amp;$C1232&amp;"."&amp;CHAR(10)&amp;CHAR(10)&amp;"QUALITY AUDIT DETAILS"&amp;CHAR(10)&amp;"Agent Name: "&amp;$C1232&amp;" (EID "&amp;$D1232&amp;")"&amp;CHAR(10)&amp;"Audit Date: "&amp;TEXT($B1232,"yyyy-mm-dd")&amp;CHAR(10)&amp;"Team Leader: "&amp;$F1232&amp;CHAR(10)&amp;"Case Number: "&amp;$M1232&amp;CHAR(10)&amp;"Transaction ID: "&amp;$N1232&amp;CHAR(10)&amp;"Channel / LOB: "&amp;$K1232&amp;" / "&amp;$L1232&amp;CHAR(10)&amp;"Evaluator: "&amp;$S1232&amp;CHAR(10)&amp;CHAR(10)&amp;"INVALID QUALITY AUDIT DETAILS"&amp;CHAR(10)&amp;"Validation: Invalid"&amp;CHAR(10)&amp;"Invalid Reason: "&amp;$P1232&amp;CHAR(10)&amp;"Expected Resolution Code: "&amp;$Q1232&amp;CHAR(10)&amp;"Remarks: "&amp;LEFT($R1232,600)&amp;CHAR(10)&amp;CHAR(10)&amp;"This is an automated notification from HP Mainstream EQMS."),"✉ Open Email Draft"),"")</f>
        <v/>
      </c>
    </row>
    <row r="1233">
      <c r="A1233" s="25">
        <f>IF($C1233="","","AUD-2026-"&amp;TEXT(ROW()-1,"000000"))</f>
        <v/>
      </c>
      <c r="B1233" s="26" t="n"/>
      <c r="C1233" s="27" t="n"/>
      <c r="D1233" s="25">
        <f>IF($C1233="","",IFERROR(IF(INDEX(Roster!$A:$A,MATCH($C1233,Roster!$B:$B,0))="","",INDEX(Roster!$A:$A,MATCH($C1233,Roster!$B:$B,0))&amp;""),"—"))</f>
        <v/>
      </c>
      <c r="E1233" s="25">
        <f>IF($C1233="","",IFERROR(IF(INDEX(Roster!$C:$C,MATCH($C1233,Roster!$B:$B,0))="","",INDEX(Roster!$C:$C,MATCH($C1233,Roster!$B:$B,0))&amp;""),"—"))</f>
        <v/>
      </c>
      <c r="F1233" s="25">
        <f>IF($C1233="","",IFERROR(IF(INDEX(Roster!$D:$D,MATCH($C1233,Roster!$B:$B,0))="","",INDEX(Roster!$D:$D,MATCH($C1233,Roster!$B:$B,0))&amp;""),"—"))</f>
        <v/>
      </c>
      <c r="G1233" s="25">
        <f>IF($C1233="","",IFERROR(IF(INDEX(Roster!$E:$E,MATCH($C1233,Roster!$B:$B,0))="","",INDEX(Roster!$E:$E,MATCH($C1233,Roster!$B:$B,0))&amp;""),"—"))</f>
        <v/>
      </c>
      <c r="H1233" s="25">
        <f>IF($C1233="","",IFERROR(IF(INDEX(Roster!$F:$F,MATCH($C1233,Roster!$B:$B,0))="","",INDEX(Roster!$F:$F,MATCH($C1233,Roster!$B:$B,0))&amp;""),"—"))</f>
        <v/>
      </c>
      <c r="I1233" s="25">
        <f>IF($C1233="","",IFERROR(IF(INDEX(Roster!$G:$G,MATCH($C1233,Roster!$B:$B,0))="","",INDEX(Roster!$G:$G,MATCH($C1233,Roster!$B:$B,0))&amp;""),"—"))</f>
        <v/>
      </c>
      <c r="J1233" s="25">
        <f>IF($C1233="","",IFERROR(IF(INDEX(Roster!$I:$I,MATCH($C1233,Roster!$B:$B,0))="","",INDEX(Roster!$I:$I,MATCH($C1233,Roster!$B:$B,0))&amp;""),"—"))</f>
        <v/>
      </c>
      <c r="K1233">
        <f>IF($C1233="","",IFERROR(IF(INDEX(Roster!$J:$J,MATCH($C1233,Roster!$B:$B,0))="","",INDEX(Roster!$J:$J,MATCH($C1233,Roster!$B:$B,0))&amp;""),"—"))</f>
        <v/>
      </c>
      <c r="L1233">
        <f>IF($C1233="","",IFERROR(IF(INDEX(Roster!$K:$K,MATCH($C1233,Roster!$B:$B,0))="","",INDEX(Roster!$K:$K,MATCH($C1233,Roster!$B:$B,0))&amp;""),"—"))</f>
        <v/>
      </c>
      <c r="M1233" s="27" t="n"/>
      <c r="N1233" s="27" t="n"/>
      <c r="O1233" s="25">
        <f>IF($C1233="","",IF($P1233="","—",IF($P1233="Valid (Pass)","Valid","Invalid")))</f>
        <v/>
      </c>
      <c r="P1233" s="27" t="n"/>
      <c r="Q1233" s="27" t="n"/>
      <c r="R1233" s="27" t="n"/>
      <c r="S1233" s="27" t="n"/>
      <c r="T1233" s="25">
        <f>IF($C1233="","",IF(OR(ISNUMBER(SEARCH("quick case",$P1233)),ISNUMBER(SEARCH("quick case",$Q1233))),"Yes","No"))</f>
        <v/>
      </c>
      <c r="U1233" s="25">
        <f>IF($O1233="Invalid",HYPERLINK("mailto:"&amp;$G1233&amp;";"&amp;$I1233&amp;"?cc="&amp;Lists!$E$2&amp;"&amp;subject="&amp;_xlfn.ENCODEURL("[INVALID] Quality audit monitoring completed for "&amp;UPPER($C1233))&amp;"&amp;body="&amp;_xlfn.ENCODEURL("Hi "&amp;$F1233&amp;","&amp;CHAR(10)&amp;"Good day!"&amp;CHAR(10)&amp;CHAR(10)&amp;"A quality monitoring audit has been completed for "&amp;$C1233&amp;"."&amp;CHAR(10)&amp;CHAR(10)&amp;"QUALITY AUDIT DETAILS"&amp;CHAR(10)&amp;"Agent Name: "&amp;$C1233&amp;" (EID "&amp;$D1233&amp;")"&amp;CHAR(10)&amp;"Audit Date: "&amp;TEXT($B1233,"yyyy-mm-dd")&amp;CHAR(10)&amp;"Team Leader: "&amp;$F1233&amp;CHAR(10)&amp;"Case Number: "&amp;$M1233&amp;CHAR(10)&amp;"Transaction ID: "&amp;$N1233&amp;CHAR(10)&amp;"Channel / LOB: "&amp;$K1233&amp;" / "&amp;$L1233&amp;CHAR(10)&amp;"Evaluator: "&amp;$S1233&amp;CHAR(10)&amp;CHAR(10)&amp;"INVALID QUALITY AUDIT DETAILS"&amp;CHAR(10)&amp;"Validation: Invalid"&amp;CHAR(10)&amp;"Invalid Reason: "&amp;$P1233&amp;CHAR(10)&amp;"Expected Resolution Code: "&amp;$Q1233&amp;CHAR(10)&amp;"Remarks: "&amp;LEFT($R1233,600)&amp;CHAR(10)&amp;CHAR(10)&amp;"This is an automated notification from HP Mainstream EQMS."),"✉ Open Email Draft"),"")</f>
        <v/>
      </c>
    </row>
    <row r="1234">
      <c r="A1234" s="25">
        <f>IF($C1234="","","AUD-2026-"&amp;TEXT(ROW()-1,"000000"))</f>
        <v/>
      </c>
      <c r="B1234" s="26" t="n"/>
      <c r="C1234" s="27" t="n"/>
      <c r="D1234" s="25">
        <f>IF($C1234="","",IFERROR(IF(INDEX(Roster!$A:$A,MATCH($C1234,Roster!$B:$B,0))="","",INDEX(Roster!$A:$A,MATCH($C1234,Roster!$B:$B,0))&amp;""),"—"))</f>
        <v/>
      </c>
      <c r="E1234" s="25">
        <f>IF($C1234="","",IFERROR(IF(INDEX(Roster!$C:$C,MATCH($C1234,Roster!$B:$B,0))="","",INDEX(Roster!$C:$C,MATCH($C1234,Roster!$B:$B,0))&amp;""),"—"))</f>
        <v/>
      </c>
      <c r="F1234" s="25">
        <f>IF($C1234="","",IFERROR(IF(INDEX(Roster!$D:$D,MATCH($C1234,Roster!$B:$B,0))="","",INDEX(Roster!$D:$D,MATCH($C1234,Roster!$B:$B,0))&amp;""),"—"))</f>
        <v/>
      </c>
      <c r="G1234" s="25">
        <f>IF($C1234="","",IFERROR(IF(INDEX(Roster!$E:$E,MATCH($C1234,Roster!$B:$B,0))="","",INDEX(Roster!$E:$E,MATCH($C1234,Roster!$B:$B,0))&amp;""),"—"))</f>
        <v/>
      </c>
      <c r="H1234" s="25">
        <f>IF($C1234="","",IFERROR(IF(INDEX(Roster!$F:$F,MATCH($C1234,Roster!$B:$B,0))="","",INDEX(Roster!$F:$F,MATCH($C1234,Roster!$B:$B,0))&amp;""),"—"))</f>
        <v/>
      </c>
      <c r="I1234" s="25">
        <f>IF($C1234="","",IFERROR(IF(INDEX(Roster!$G:$G,MATCH($C1234,Roster!$B:$B,0))="","",INDEX(Roster!$G:$G,MATCH($C1234,Roster!$B:$B,0))&amp;""),"—"))</f>
        <v/>
      </c>
      <c r="J1234" s="25">
        <f>IF($C1234="","",IFERROR(IF(INDEX(Roster!$I:$I,MATCH($C1234,Roster!$B:$B,0))="","",INDEX(Roster!$I:$I,MATCH($C1234,Roster!$B:$B,0))&amp;""),"—"))</f>
        <v/>
      </c>
      <c r="K1234">
        <f>IF($C1234="","",IFERROR(IF(INDEX(Roster!$J:$J,MATCH($C1234,Roster!$B:$B,0))="","",INDEX(Roster!$J:$J,MATCH($C1234,Roster!$B:$B,0))&amp;""),"—"))</f>
        <v/>
      </c>
      <c r="L1234">
        <f>IF($C1234="","",IFERROR(IF(INDEX(Roster!$K:$K,MATCH($C1234,Roster!$B:$B,0))="","",INDEX(Roster!$K:$K,MATCH($C1234,Roster!$B:$B,0))&amp;""),"—"))</f>
        <v/>
      </c>
      <c r="M1234" s="27" t="n"/>
      <c r="N1234" s="27" t="n"/>
      <c r="O1234" s="25">
        <f>IF($C1234="","",IF($P1234="","—",IF($P1234="Valid (Pass)","Valid","Invalid")))</f>
        <v/>
      </c>
      <c r="P1234" s="27" t="n"/>
      <c r="Q1234" s="27" t="n"/>
      <c r="R1234" s="27" t="n"/>
      <c r="S1234" s="27" t="n"/>
      <c r="T1234" s="25">
        <f>IF($C1234="","",IF(OR(ISNUMBER(SEARCH("quick case",$P1234)),ISNUMBER(SEARCH("quick case",$Q1234))),"Yes","No"))</f>
        <v/>
      </c>
      <c r="U1234" s="25">
        <f>IF($O1234="Invalid",HYPERLINK("mailto:"&amp;$G1234&amp;";"&amp;$I1234&amp;"?cc="&amp;Lists!$E$2&amp;"&amp;subject="&amp;_xlfn.ENCODEURL("[INVALID] Quality audit monitoring completed for "&amp;UPPER($C1234))&amp;"&amp;body="&amp;_xlfn.ENCODEURL("Hi "&amp;$F1234&amp;","&amp;CHAR(10)&amp;"Good day!"&amp;CHAR(10)&amp;CHAR(10)&amp;"A quality monitoring audit has been completed for "&amp;$C1234&amp;"."&amp;CHAR(10)&amp;CHAR(10)&amp;"QUALITY AUDIT DETAILS"&amp;CHAR(10)&amp;"Agent Name: "&amp;$C1234&amp;" (EID "&amp;$D1234&amp;")"&amp;CHAR(10)&amp;"Audit Date: "&amp;TEXT($B1234,"yyyy-mm-dd")&amp;CHAR(10)&amp;"Team Leader: "&amp;$F1234&amp;CHAR(10)&amp;"Case Number: "&amp;$M1234&amp;CHAR(10)&amp;"Transaction ID: "&amp;$N1234&amp;CHAR(10)&amp;"Channel / LOB: "&amp;$K1234&amp;" / "&amp;$L1234&amp;CHAR(10)&amp;"Evaluator: "&amp;$S1234&amp;CHAR(10)&amp;CHAR(10)&amp;"INVALID QUALITY AUDIT DETAILS"&amp;CHAR(10)&amp;"Validation: Invalid"&amp;CHAR(10)&amp;"Invalid Reason: "&amp;$P1234&amp;CHAR(10)&amp;"Expected Resolution Code: "&amp;$Q1234&amp;CHAR(10)&amp;"Remarks: "&amp;LEFT($R1234,600)&amp;CHAR(10)&amp;CHAR(10)&amp;"This is an automated notification from HP Mainstream EQMS."),"✉ Open Email Draft"),"")</f>
        <v/>
      </c>
    </row>
    <row r="1235">
      <c r="A1235" s="25">
        <f>IF($C1235="","","AUD-2026-"&amp;TEXT(ROW()-1,"000000"))</f>
        <v/>
      </c>
      <c r="B1235" s="26" t="n"/>
      <c r="C1235" s="27" t="n"/>
      <c r="D1235" s="25">
        <f>IF($C1235="","",IFERROR(IF(INDEX(Roster!$A:$A,MATCH($C1235,Roster!$B:$B,0))="","",INDEX(Roster!$A:$A,MATCH($C1235,Roster!$B:$B,0))&amp;""),"—"))</f>
        <v/>
      </c>
      <c r="E1235" s="25">
        <f>IF($C1235="","",IFERROR(IF(INDEX(Roster!$C:$C,MATCH($C1235,Roster!$B:$B,0))="","",INDEX(Roster!$C:$C,MATCH($C1235,Roster!$B:$B,0))&amp;""),"—"))</f>
        <v/>
      </c>
      <c r="F1235" s="25">
        <f>IF($C1235="","",IFERROR(IF(INDEX(Roster!$D:$D,MATCH($C1235,Roster!$B:$B,0))="","",INDEX(Roster!$D:$D,MATCH($C1235,Roster!$B:$B,0))&amp;""),"—"))</f>
        <v/>
      </c>
      <c r="G1235" s="25">
        <f>IF($C1235="","",IFERROR(IF(INDEX(Roster!$E:$E,MATCH($C1235,Roster!$B:$B,0))="","",INDEX(Roster!$E:$E,MATCH($C1235,Roster!$B:$B,0))&amp;""),"—"))</f>
        <v/>
      </c>
      <c r="H1235" s="25">
        <f>IF($C1235="","",IFERROR(IF(INDEX(Roster!$F:$F,MATCH($C1235,Roster!$B:$B,0))="","",INDEX(Roster!$F:$F,MATCH($C1235,Roster!$B:$B,0))&amp;""),"—"))</f>
        <v/>
      </c>
      <c r="I1235" s="25">
        <f>IF($C1235="","",IFERROR(IF(INDEX(Roster!$G:$G,MATCH($C1235,Roster!$B:$B,0))="","",INDEX(Roster!$G:$G,MATCH($C1235,Roster!$B:$B,0))&amp;""),"—"))</f>
        <v/>
      </c>
      <c r="J1235" s="25">
        <f>IF($C1235="","",IFERROR(IF(INDEX(Roster!$I:$I,MATCH($C1235,Roster!$B:$B,0))="","",INDEX(Roster!$I:$I,MATCH($C1235,Roster!$B:$B,0))&amp;""),"—"))</f>
        <v/>
      </c>
      <c r="K1235">
        <f>IF($C1235="","",IFERROR(IF(INDEX(Roster!$J:$J,MATCH($C1235,Roster!$B:$B,0))="","",INDEX(Roster!$J:$J,MATCH($C1235,Roster!$B:$B,0))&amp;""),"—"))</f>
        <v/>
      </c>
      <c r="L1235">
        <f>IF($C1235="","",IFERROR(IF(INDEX(Roster!$K:$K,MATCH($C1235,Roster!$B:$B,0))="","",INDEX(Roster!$K:$K,MATCH($C1235,Roster!$B:$B,0))&amp;""),"—"))</f>
        <v/>
      </c>
      <c r="M1235" s="27" t="n"/>
      <c r="N1235" s="27" t="n"/>
      <c r="O1235" s="25">
        <f>IF($C1235="","",IF($P1235="","—",IF($P1235="Valid (Pass)","Valid","Invalid")))</f>
        <v/>
      </c>
      <c r="P1235" s="27" t="n"/>
      <c r="Q1235" s="27" t="n"/>
      <c r="R1235" s="27" t="n"/>
      <c r="S1235" s="27" t="n"/>
      <c r="T1235" s="25">
        <f>IF($C1235="","",IF(OR(ISNUMBER(SEARCH("quick case",$P1235)),ISNUMBER(SEARCH("quick case",$Q1235))),"Yes","No"))</f>
        <v/>
      </c>
      <c r="U1235" s="25">
        <f>IF($O1235="Invalid",HYPERLINK("mailto:"&amp;$G1235&amp;";"&amp;$I1235&amp;"?cc="&amp;Lists!$E$2&amp;"&amp;subject="&amp;_xlfn.ENCODEURL("[INVALID] Quality audit monitoring completed for "&amp;UPPER($C1235))&amp;"&amp;body="&amp;_xlfn.ENCODEURL("Hi "&amp;$F1235&amp;","&amp;CHAR(10)&amp;"Good day!"&amp;CHAR(10)&amp;CHAR(10)&amp;"A quality monitoring audit has been completed for "&amp;$C1235&amp;"."&amp;CHAR(10)&amp;CHAR(10)&amp;"QUALITY AUDIT DETAILS"&amp;CHAR(10)&amp;"Agent Name: "&amp;$C1235&amp;" (EID "&amp;$D1235&amp;")"&amp;CHAR(10)&amp;"Audit Date: "&amp;TEXT($B1235,"yyyy-mm-dd")&amp;CHAR(10)&amp;"Team Leader: "&amp;$F1235&amp;CHAR(10)&amp;"Case Number: "&amp;$M1235&amp;CHAR(10)&amp;"Transaction ID: "&amp;$N1235&amp;CHAR(10)&amp;"Channel / LOB: "&amp;$K1235&amp;" / "&amp;$L1235&amp;CHAR(10)&amp;"Evaluator: "&amp;$S1235&amp;CHAR(10)&amp;CHAR(10)&amp;"INVALID QUALITY AUDIT DETAILS"&amp;CHAR(10)&amp;"Validation: Invalid"&amp;CHAR(10)&amp;"Invalid Reason: "&amp;$P1235&amp;CHAR(10)&amp;"Expected Resolution Code: "&amp;$Q1235&amp;CHAR(10)&amp;"Remarks: "&amp;LEFT($R1235,600)&amp;CHAR(10)&amp;CHAR(10)&amp;"This is an automated notification from HP Mainstream EQMS."),"✉ Open Email Draft"),"")</f>
        <v/>
      </c>
    </row>
    <row r="1236">
      <c r="A1236" s="25">
        <f>IF($C1236="","","AUD-2026-"&amp;TEXT(ROW()-1,"000000"))</f>
        <v/>
      </c>
      <c r="B1236" s="26" t="n"/>
      <c r="C1236" s="27" t="n"/>
      <c r="D1236" s="25">
        <f>IF($C1236="","",IFERROR(IF(INDEX(Roster!$A:$A,MATCH($C1236,Roster!$B:$B,0))="","",INDEX(Roster!$A:$A,MATCH($C1236,Roster!$B:$B,0))&amp;""),"—"))</f>
        <v/>
      </c>
      <c r="E1236" s="25">
        <f>IF($C1236="","",IFERROR(IF(INDEX(Roster!$C:$C,MATCH($C1236,Roster!$B:$B,0))="","",INDEX(Roster!$C:$C,MATCH($C1236,Roster!$B:$B,0))&amp;""),"—"))</f>
        <v/>
      </c>
      <c r="F1236" s="25">
        <f>IF($C1236="","",IFERROR(IF(INDEX(Roster!$D:$D,MATCH($C1236,Roster!$B:$B,0))="","",INDEX(Roster!$D:$D,MATCH($C1236,Roster!$B:$B,0))&amp;""),"—"))</f>
        <v/>
      </c>
      <c r="G1236" s="25">
        <f>IF($C1236="","",IFERROR(IF(INDEX(Roster!$E:$E,MATCH($C1236,Roster!$B:$B,0))="","",INDEX(Roster!$E:$E,MATCH($C1236,Roster!$B:$B,0))&amp;""),"—"))</f>
        <v/>
      </c>
      <c r="H1236" s="25">
        <f>IF($C1236="","",IFERROR(IF(INDEX(Roster!$F:$F,MATCH($C1236,Roster!$B:$B,0))="","",INDEX(Roster!$F:$F,MATCH($C1236,Roster!$B:$B,0))&amp;""),"—"))</f>
        <v/>
      </c>
      <c r="I1236" s="25">
        <f>IF($C1236="","",IFERROR(IF(INDEX(Roster!$G:$G,MATCH($C1236,Roster!$B:$B,0))="","",INDEX(Roster!$G:$G,MATCH($C1236,Roster!$B:$B,0))&amp;""),"—"))</f>
        <v/>
      </c>
      <c r="J1236" s="25">
        <f>IF($C1236="","",IFERROR(IF(INDEX(Roster!$I:$I,MATCH($C1236,Roster!$B:$B,0))="","",INDEX(Roster!$I:$I,MATCH($C1236,Roster!$B:$B,0))&amp;""),"—"))</f>
        <v/>
      </c>
      <c r="K1236">
        <f>IF($C1236="","",IFERROR(IF(INDEX(Roster!$J:$J,MATCH($C1236,Roster!$B:$B,0))="","",INDEX(Roster!$J:$J,MATCH($C1236,Roster!$B:$B,0))&amp;""),"—"))</f>
        <v/>
      </c>
      <c r="L1236">
        <f>IF($C1236="","",IFERROR(IF(INDEX(Roster!$K:$K,MATCH($C1236,Roster!$B:$B,0))="","",INDEX(Roster!$K:$K,MATCH($C1236,Roster!$B:$B,0))&amp;""),"—"))</f>
        <v/>
      </c>
      <c r="M1236" s="27" t="n"/>
      <c r="N1236" s="27" t="n"/>
      <c r="O1236" s="25">
        <f>IF($C1236="","",IF($P1236="","—",IF($P1236="Valid (Pass)","Valid","Invalid")))</f>
        <v/>
      </c>
      <c r="P1236" s="27" t="n"/>
      <c r="Q1236" s="27" t="n"/>
      <c r="R1236" s="27" t="n"/>
      <c r="S1236" s="27" t="n"/>
      <c r="T1236" s="25">
        <f>IF($C1236="","",IF(OR(ISNUMBER(SEARCH("quick case",$P1236)),ISNUMBER(SEARCH("quick case",$Q1236))),"Yes","No"))</f>
        <v/>
      </c>
      <c r="U1236" s="25">
        <f>IF($O1236="Invalid",HYPERLINK("mailto:"&amp;$G1236&amp;";"&amp;$I1236&amp;"?cc="&amp;Lists!$E$2&amp;"&amp;subject="&amp;_xlfn.ENCODEURL("[INVALID] Quality audit monitoring completed for "&amp;UPPER($C1236))&amp;"&amp;body="&amp;_xlfn.ENCODEURL("Hi "&amp;$F1236&amp;","&amp;CHAR(10)&amp;"Good day!"&amp;CHAR(10)&amp;CHAR(10)&amp;"A quality monitoring audit has been completed for "&amp;$C1236&amp;"."&amp;CHAR(10)&amp;CHAR(10)&amp;"QUALITY AUDIT DETAILS"&amp;CHAR(10)&amp;"Agent Name: "&amp;$C1236&amp;" (EID "&amp;$D1236&amp;")"&amp;CHAR(10)&amp;"Audit Date: "&amp;TEXT($B1236,"yyyy-mm-dd")&amp;CHAR(10)&amp;"Team Leader: "&amp;$F1236&amp;CHAR(10)&amp;"Case Number: "&amp;$M1236&amp;CHAR(10)&amp;"Transaction ID: "&amp;$N1236&amp;CHAR(10)&amp;"Channel / LOB: "&amp;$K1236&amp;" / "&amp;$L1236&amp;CHAR(10)&amp;"Evaluator: "&amp;$S1236&amp;CHAR(10)&amp;CHAR(10)&amp;"INVALID QUALITY AUDIT DETAILS"&amp;CHAR(10)&amp;"Validation: Invalid"&amp;CHAR(10)&amp;"Invalid Reason: "&amp;$P1236&amp;CHAR(10)&amp;"Expected Resolution Code: "&amp;$Q1236&amp;CHAR(10)&amp;"Remarks: "&amp;LEFT($R1236,600)&amp;CHAR(10)&amp;CHAR(10)&amp;"This is an automated notification from HP Mainstream EQMS."),"✉ Open Email Draft"),"")</f>
        <v/>
      </c>
    </row>
    <row r="1237">
      <c r="A1237" s="25">
        <f>IF($C1237="","","AUD-2026-"&amp;TEXT(ROW()-1,"000000"))</f>
        <v/>
      </c>
      <c r="B1237" s="26" t="n"/>
      <c r="C1237" s="27" t="n"/>
      <c r="D1237" s="25">
        <f>IF($C1237="","",IFERROR(IF(INDEX(Roster!$A:$A,MATCH($C1237,Roster!$B:$B,0))="","",INDEX(Roster!$A:$A,MATCH($C1237,Roster!$B:$B,0))&amp;""),"—"))</f>
        <v/>
      </c>
      <c r="E1237" s="25">
        <f>IF($C1237="","",IFERROR(IF(INDEX(Roster!$C:$C,MATCH($C1237,Roster!$B:$B,0))="","",INDEX(Roster!$C:$C,MATCH($C1237,Roster!$B:$B,0))&amp;""),"—"))</f>
        <v/>
      </c>
      <c r="F1237" s="25">
        <f>IF($C1237="","",IFERROR(IF(INDEX(Roster!$D:$D,MATCH($C1237,Roster!$B:$B,0))="","",INDEX(Roster!$D:$D,MATCH($C1237,Roster!$B:$B,0))&amp;""),"—"))</f>
        <v/>
      </c>
      <c r="G1237" s="25">
        <f>IF($C1237="","",IFERROR(IF(INDEX(Roster!$E:$E,MATCH($C1237,Roster!$B:$B,0))="","",INDEX(Roster!$E:$E,MATCH($C1237,Roster!$B:$B,0))&amp;""),"—"))</f>
        <v/>
      </c>
      <c r="H1237" s="25">
        <f>IF($C1237="","",IFERROR(IF(INDEX(Roster!$F:$F,MATCH($C1237,Roster!$B:$B,0))="","",INDEX(Roster!$F:$F,MATCH($C1237,Roster!$B:$B,0))&amp;""),"—"))</f>
        <v/>
      </c>
      <c r="I1237" s="25">
        <f>IF($C1237="","",IFERROR(IF(INDEX(Roster!$G:$G,MATCH($C1237,Roster!$B:$B,0))="","",INDEX(Roster!$G:$G,MATCH($C1237,Roster!$B:$B,0))&amp;""),"—"))</f>
        <v/>
      </c>
      <c r="J1237" s="25">
        <f>IF($C1237="","",IFERROR(IF(INDEX(Roster!$I:$I,MATCH($C1237,Roster!$B:$B,0))="","",INDEX(Roster!$I:$I,MATCH($C1237,Roster!$B:$B,0))&amp;""),"—"))</f>
        <v/>
      </c>
      <c r="K1237">
        <f>IF($C1237="","",IFERROR(IF(INDEX(Roster!$J:$J,MATCH($C1237,Roster!$B:$B,0))="","",INDEX(Roster!$J:$J,MATCH($C1237,Roster!$B:$B,0))&amp;""),"—"))</f>
        <v/>
      </c>
      <c r="L1237">
        <f>IF($C1237="","",IFERROR(IF(INDEX(Roster!$K:$K,MATCH($C1237,Roster!$B:$B,0))="","",INDEX(Roster!$K:$K,MATCH($C1237,Roster!$B:$B,0))&amp;""),"—"))</f>
        <v/>
      </c>
      <c r="M1237" s="27" t="n"/>
      <c r="N1237" s="27" t="n"/>
      <c r="O1237" s="25">
        <f>IF($C1237="","",IF($P1237="","—",IF($P1237="Valid (Pass)","Valid","Invalid")))</f>
        <v/>
      </c>
      <c r="P1237" s="27" t="n"/>
      <c r="Q1237" s="27" t="n"/>
      <c r="R1237" s="27" t="n"/>
      <c r="S1237" s="27" t="n"/>
      <c r="T1237" s="25">
        <f>IF($C1237="","",IF(OR(ISNUMBER(SEARCH("quick case",$P1237)),ISNUMBER(SEARCH("quick case",$Q1237))),"Yes","No"))</f>
        <v/>
      </c>
      <c r="U1237" s="25">
        <f>IF($O1237="Invalid",HYPERLINK("mailto:"&amp;$G1237&amp;";"&amp;$I1237&amp;"?cc="&amp;Lists!$E$2&amp;"&amp;subject="&amp;_xlfn.ENCODEURL("[INVALID] Quality audit monitoring completed for "&amp;UPPER($C1237))&amp;"&amp;body="&amp;_xlfn.ENCODEURL("Hi "&amp;$F1237&amp;","&amp;CHAR(10)&amp;"Good day!"&amp;CHAR(10)&amp;CHAR(10)&amp;"A quality monitoring audit has been completed for "&amp;$C1237&amp;"."&amp;CHAR(10)&amp;CHAR(10)&amp;"QUALITY AUDIT DETAILS"&amp;CHAR(10)&amp;"Agent Name: "&amp;$C1237&amp;" (EID "&amp;$D1237&amp;")"&amp;CHAR(10)&amp;"Audit Date: "&amp;TEXT($B1237,"yyyy-mm-dd")&amp;CHAR(10)&amp;"Team Leader: "&amp;$F1237&amp;CHAR(10)&amp;"Case Number: "&amp;$M1237&amp;CHAR(10)&amp;"Transaction ID: "&amp;$N1237&amp;CHAR(10)&amp;"Channel / LOB: "&amp;$K1237&amp;" / "&amp;$L1237&amp;CHAR(10)&amp;"Evaluator: "&amp;$S1237&amp;CHAR(10)&amp;CHAR(10)&amp;"INVALID QUALITY AUDIT DETAILS"&amp;CHAR(10)&amp;"Validation: Invalid"&amp;CHAR(10)&amp;"Invalid Reason: "&amp;$P1237&amp;CHAR(10)&amp;"Expected Resolution Code: "&amp;$Q1237&amp;CHAR(10)&amp;"Remarks: "&amp;LEFT($R1237,600)&amp;CHAR(10)&amp;CHAR(10)&amp;"This is an automated notification from HP Mainstream EQMS."),"✉ Open Email Draft"),"")</f>
        <v/>
      </c>
    </row>
    <row r="1238">
      <c r="A1238" s="25">
        <f>IF($C1238="","","AUD-2026-"&amp;TEXT(ROW()-1,"000000"))</f>
        <v/>
      </c>
      <c r="B1238" s="26" t="n"/>
      <c r="C1238" s="27" t="n"/>
      <c r="D1238" s="25">
        <f>IF($C1238="","",IFERROR(IF(INDEX(Roster!$A:$A,MATCH($C1238,Roster!$B:$B,0))="","",INDEX(Roster!$A:$A,MATCH($C1238,Roster!$B:$B,0))&amp;""),"—"))</f>
        <v/>
      </c>
      <c r="E1238" s="25">
        <f>IF($C1238="","",IFERROR(IF(INDEX(Roster!$C:$C,MATCH($C1238,Roster!$B:$B,0))="","",INDEX(Roster!$C:$C,MATCH($C1238,Roster!$B:$B,0))&amp;""),"—"))</f>
        <v/>
      </c>
      <c r="F1238" s="25">
        <f>IF($C1238="","",IFERROR(IF(INDEX(Roster!$D:$D,MATCH($C1238,Roster!$B:$B,0))="","",INDEX(Roster!$D:$D,MATCH($C1238,Roster!$B:$B,0))&amp;""),"—"))</f>
        <v/>
      </c>
      <c r="G1238" s="25">
        <f>IF($C1238="","",IFERROR(IF(INDEX(Roster!$E:$E,MATCH($C1238,Roster!$B:$B,0))="","",INDEX(Roster!$E:$E,MATCH($C1238,Roster!$B:$B,0))&amp;""),"—"))</f>
        <v/>
      </c>
      <c r="H1238" s="25">
        <f>IF($C1238="","",IFERROR(IF(INDEX(Roster!$F:$F,MATCH($C1238,Roster!$B:$B,0))="","",INDEX(Roster!$F:$F,MATCH($C1238,Roster!$B:$B,0))&amp;""),"—"))</f>
        <v/>
      </c>
      <c r="I1238" s="25">
        <f>IF($C1238="","",IFERROR(IF(INDEX(Roster!$G:$G,MATCH($C1238,Roster!$B:$B,0))="","",INDEX(Roster!$G:$G,MATCH($C1238,Roster!$B:$B,0))&amp;""),"—"))</f>
        <v/>
      </c>
      <c r="J1238" s="25">
        <f>IF($C1238="","",IFERROR(IF(INDEX(Roster!$I:$I,MATCH($C1238,Roster!$B:$B,0))="","",INDEX(Roster!$I:$I,MATCH($C1238,Roster!$B:$B,0))&amp;""),"—"))</f>
        <v/>
      </c>
      <c r="K1238">
        <f>IF($C1238="","",IFERROR(IF(INDEX(Roster!$J:$J,MATCH($C1238,Roster!$B:$B,0))="","",INDEX(Roster!$J:$J,MATCH($C1238,Roster!$B:$B,0))&amp;""),"—"))</f>
        <v/>
      </c>
      <c r="L1238">
        <f>IF($C1238="","",IFERROR(IF(INDEX(Roster!$K:$K,MATCH($C1238,Roster!$B:$B,0))="","",INDEX(Roster!$K:$K,MATCH($C1238,Roster!$B:$B,0))&amp;""),"—"))</f>
        <v/>
      </c>
      <c r="M1238" s="27" t="n"/>
      <c r="N1238" s="27" t="n"/>
      <c r="O1238" s="25">
        <f>IF($C1238="","",IF($P1238="","—",IF($P1238="Valid (Pass)","Valid","Invalid")))</f>
        <v/>
      </c>
      <c r="P1238" s="27" t="n"/>
      <c r="Q1238" s="27" t="n"/>
      <c r="R1238" s="27" t="n"/>
      <c r="S1238" s="27" t="n"/>
      <c r="T1238" s="25">
        <f>IF($C1238="","",IF(OR(ISNUMBER(SEARCH("quick case",$P1238)),ISNUMBER(SEARCH("quick case",$Q1238))),"Yes","No"))</f>
        <v/>
      </c>
      <c r="U1238" s="25">
        <f>IF($O1238="Invalid",HYPERLINK("mailto:"&amp;$G1238&amp;";"&amp;$I1238&amp;"?cc="&amp;Lists!$E$2&amp;"&amp;subject="&amp;_xlfn.ENCODEURL("[INVALID] Quality audit monitoring completed for "&amp;UPPER($C1238))&amp;"&amp;body="&amp;_xlfn.ENCODEURL("Hi "&amp;$F1238&amp;","&amp;CHAR(10)&amp;"Good day!"&amp;CHAR(10)&amp;CHAR(10)&amp;"A quality monitoring audit has been completed for "&amp;$C1238&amp;"."&amp;CHAR(10)&amp;CHAR(10)&amp;"QUALITY AUDIT DETAILS"&amp;CHAR(10)&amp;"Agent Name: "&amp;$C1238&amp;" (EID "&amp;$D1238&amp;")"&amp;CHAR(10)&amp;"Audit Date: "&amp;TEXT($B1238,"yyyy-mm-dd")&amp;CHAR(10)&amp;"Team Leader: "&amp;$F1238&amp;CHAR(10)&amp;"Case Number: "&amp;$M1238&amp;CHAR(10)&amp;"Transaction ID: "&amp;$N1238&amp;CHAR(10)&amp;"Channel / LOB: "&amp;$K1238&amp;" / "&amp;$L1238&amp;CHAR(10)&amp;"Evaluator: "&amp;$S1238&amp;CHAR(10)&amp;CHAR(10)&amp;"INVALID QUALITY AUDIT DETAILS"&amp;CHAR(10)&amp;"Validation: Invalid"&amp;CHAR(10)&amp;"Invalid Reason: "&amp;$P1238&amp;CHAR(10)&amp;"Expected Resolution Code: "&amp;$Q1238&amp;CHAR(10)&amp;"Remarks: "&amp;LEFT($R1238,600)&amp;CHAR(10)&amp;CHAR(10)&amp;"This is an automated notification from HP Mainstream EQMS."),"✉ Open Email Draft"),"")</f>
        <v/>
      </c>
    </row>
    <row r="1239">
      <c r="A1239" s="25">
        <f>IF($C1239="","","AUD-2026-"&amp;TEXT(ROW()-1,"000000"))</f>
        <v/>
      </c>
      <c r="B1239" s="26" t="n"/>
      <c r="C1239" s="27" t="n"/>
      <c r="D1239" s="25">
        <f>IF($C1239="","",IFERROR(IF(INDEX(Roster!$A:$A,MATCH($C1239,Roster!$B:$B,0))="","",INDEX(Roster!$A:$A,MATCH($C1239,Roster!$B:$B,0))&amp;""),"—"))</f>
        <v/>
      </c>
      <c r="E1239" s="25">
        <f>IF($C1239="","",IFERROR(IF(INDEX(Roster!$C:$C,MATCH($C1239,Roster!$B:$B,0))="","",INDEX(Roster!$C:$C,MATCH($C1239,Roster!$B:$B,0))&amp;""),"—"))</f>
        <v/>
      </c>
      <c r="F1239" s="25">
        <f>IF($C1239="","",IFERROR(IF(INDEX(Roster!$D:$D,MATCH($C1239,Roster!$B:$B,0))="","",INDEX(Roster!$D:$D,MATCH($C1239,Roster!$B:$B,0))&amp;""),"—"))</f>
        <v/>
      </c>
      <c r="G1239" s="25">
        <f>IF($C1239="","",IFERROR(IF(INDEX(Roster!$E:$E,MATCH($C1239,Roster!$B:$B,0))="","",INDEX(Roster!$E:$E,MATCH($C1239,Roster!$B:$B,0))&amp;""),"—"))</f>
        <v/>
      </c>
      <c r="H1239" s="25">
        <f>IF($C1239="","",IFERROR(IF(INDEX(Roster!$F:$F,MATCH($C1239,Roster!$B:$B,0))="","",INDEX(Roster!$F:$F,MATCH($C1239,Roster!$B:$B,0))&amp;""),"—"))</f>
        <v/>
      </c>
      <c r="I1239" s="25">
        <f>IF($C1239="","",IFERROR(IF(INDEX(Roster!$G:$G,MATCH($C1239,Roster!$B:$B,0))="","",INDEX(Roster!$G:$G,MATCH($C1239,Roster!$B:$B,0))&amp;""),"—"))</f>
        <v/>
      </c>
      <c r="J1239" s="25">
        <f>IF($C1239="","",IFERROR(IF(INDEX(Roster!$I:$I,MATCH($C1239,Roster!$B:$B,0))="","",INDEX(Roster!$I:$I,MATCH($C1239,Roster!$B:$B,0))&amp;""),"—"))</f>
        <v/>
      </c>
      <c r="K1239">
        <f>IF($C1239="","",IFERROR(IF(INDEX(Roster!$J:$J,MATCH($C1239,Roster!$B:$B,0))="","",INDEX(Roster!$J:$J,MATCH($C1239,Roster!$B:$B,0))&amp;""),"—"))</f>
        <v/>
      </c>
      <c r="L1239">
        <f>IF($C1239="","",IFERROR(IF(INDEX(Roster!$K:$K,MATCH($C1239,Roster!$B:$B,0))="","",INDEX(Roster!$K:$K,MATCH($C1239,Roster!$B:$B,0))&amp;""),"—"))</f>
        <v/>
      </c>
      <c r="M1239" s="27" t="n"/>
      <c r="N1239" s="27" t="n"/>
      <c r="O1239" s="25">
        <f>IF($C1239="","",IF($P1239="","—",IF($P1239="Valid (Pass)","Valid","Invalid")))</f>
        <v/>
      </c>
      <c r="P1239" s="27" t="n"/>
      <c r="Q1239" s="27" t="n"/>
      <c r="R1239" s="27" t="n"/>
      <c r="S1239" s="27" t="n"/>
      <c r="T1239" s="25">
        <f>IF($C1239="","",IF(OR(ISNUMBER(SEARCH("quick case",$P1239)),ISNUMBER(SEARCH("quick case",$Q1239))),"Yes","No"))</f>
        <v/>
      </c>
      <c r="U1239" s="25">
        <f>IF($O1239="Invalid",HYPERLINK("mailto:"&amp;$G1239&amp;";"&amp;$I1239&amp;"?cc="&amp;Lists!$E$2&amp;"&amp;subject="&amp;_xlfn.ENCODEURL("[INVALID] Quality audit monitoring completed for "&amp;UPPER($C1239))&amp;"&amp;body="&amp;_xlfn.ENCODEURL("Hi "&amp;$F1239&amp;","&amp;CHAR(10)&amp;"Good day!"&amp;CHAR(10)&amp;CHAR(10)&amp;"A quality monitoring audit has been completed for "&amp;$C1239&amp;"."&amp;CHAR(10)&amp;CHAR(10)&amp;"QUALITY AUDIT DETAILS"&amp;CHAR(10)&amp;"Agent Name: "&amp;$C1239&amp;" (EID "&amp;$D1239&amp;")"&amp;CHAR(10)&amp;"Audit Date: "&amp;TEXT($B1239,"yyyy-mm-dd")&amp;CHAR(10)&amp;"Team Leader: "&amp;$F1239&amp;CHAR(10)&amp;"Case Number: "&amp;$M1239&amp;CHAR(10)&amp;"Transaction ID: "&amp;$N1239&amp;CHAR(10)&amp;"Channel / LOB: "&amp;$K1239&amp;" / "&amp;$L1239&amp;CHAR(10)&amp;"Evaluator: "&amp;$S1239&amp;CHAR(10)&amp;CHAR(10)&amp;"INVALID QUALITY AUDIT DETAILS"&amp;CHAR(10)&amp;"Validation: Invalid"&amp;CHAR(10)&amp;"Invalid Reason: "&amp;$P1239&amp;CHAR(10)&amp;"Expected Resolution Code: "&amp;$Q1239&amp;CHAR(10)&amp;"Remarks: "&amp;LEFT($R1239,600)&amp;CHAR(10)&amp;CHAR(10)&amp;"This is an automated notification from HP Mainstream EQMS."),"✉ Open Email Draft"),"")</f>
        <v/>
      </c>
    </row>
    <row r="1240">
      <c r="A1240" s="25">
        <f>IF($C1240="","","AUD-2026-"&amp;TEXT(ROW()-1,"000000"))</f>
        <v/>
      </c>
      <c r="B1240" s="26" t="n"/>
      <c r="C1240" s="27" t="n"/>
      <c r="D1240" s="25">
        <f>IF($C1240="","",IFERROR(IF(INDEX(Roster!$A:$A,MATCH($C1240,Roster!$B:$B,0))="","",INDEX(Roster!$A:$A,MATCH($C1240,Roster!$B:$B,0))&amp;""),"—"))</f>
        <v/>
      </c>
      <c r="E1240" s="25">
        <f>IF($C1240="","",IFERROR(IF(INDEX(Roster!$C:$C,MATCH($C1240,Roster!$B:$B,0))="","",INDEX(Roster!$C:$C,MATCH($C1240,Roster!$B:$B,0))&amp;""),"—"))</f>
        <v/>
      </c>
      <c r="F1240" s="25">
        <f>IF($C1240="","",IFERROR(IF(INDEX(Roster!$D:$D,MATCH($C1240,Roster!$B:$B,0))="","",INDEX(Roster!$D:$D,MATCH($C1240,Roster!$B:$B,0))&amp;""),"—"))</f>
        <v/>
      </c>
      <c r="G1240" s="25">
        <f>IF($C1240="","",IFERROR(IF(INDEX(Roster!$E:$E,MATCH($C1240,Roster!$B:$B,0))="","",INDEX(Roster!$E:$E,MATCH($C1240,Roster!$B:$B,0))&amp;""),"—"))</f>
        <v/>
      </c>
      <c r="H1240" s="25">
        <f>IF($C1240="","",IFERROR(IF(INDEX(Roster!$F:$F,MATCH($C1240,Roster!$B:$B,0))="","",INDEX(Roster!$F:$F,MATCH($C1240,Roster!$B:$B,0))&amp;""),"—"))</f>
        <v/>
      </c>
      <c r="I1240" s="25">
        <f>IF($C1240="","",IFERROR(IF(INDEX(Roster!$G:$G,MATCH($C1240,Roster!$B:$B,0))="","",INDEX(Roster!$G:$G,MATCH($C1240,Roster!$B:$B,0))&amp;""),"—"))</f>
        <v/>
      </c>
      <c r="J1240" s="25">
        <f>IF($C1240="","",IFERROR(IF(INDEX(Roster!$I:$I,MATCH($C1240,Roster!$B:$B,0))="","",INDEX(Roster!$I:$I,MATCH($C1240,Roster!$B:$B,0))&amp;""),"—"))</f>
        <v/>
      </c>
      <c r="K1240">
        <f>IF($C1240="","",IFERROR(IF(INDEX(Roster!$J:$J,MATCH($C1240,Roster!$B:$B,0))="","",INDEX(Roster!$J:$J,MATCH($C1240,Roster!$B:$B,0))&amp;""),"—"))</f>
        <v/>
      </c>
      <c r="L1240">
        <f>IF($C1240="","",IFERROR(IF(INDEX(Roster!$K:$K,MATCH($C1240,Roster!$B:$B,0))="","",INDEX(Roster!$K:$K,MATCH($C1240,Roster!$B:$B,0))&amp;""),"—"))</f>
        <v/>
      </c>
      <c r="M1240" s="27" t="n"/>
      <c r="N1240" s="27" t="n"/>
      <c r="O1240" s="25">
        <f>IF($C1240="","",IF($P1240="","—",IF($P1240="Valid (Pass)","Valid","Invalid")))</f>
        <v/>
      </c>
      <c r="P1240" s="27" t="n"/>
      <c r="Q1240" s="27" t="n"/>
      <c r="R1240" s="27" t="n"/>
      <c r="S1240" s="27" t="n"/>
      <c r="T1240" s="25">
        <f>IF($C1240="","",IF(OR(ISNUMBER(SEARCH("quick case",$P1240)),ISNUMBER(SEARCH("quick case",$Q1240))),"Yes","No"))</f>
        <v/>
      </c>
      <c r="U1240" s="25">
        <f>IF($O1240="Invalid",HYPERLINK("mailto:"&amp;$G1240&amp;";"&amp;$I1240&amp;"?cc="&amp;Lists!$E$2&amp;"&amp;subject="&amp;_xlfn.ENCODEURL("[INVALID] Quality audit monitoring completed for "&amp;UPPER($C1240))&amp;"&amp;body="&amp;_xlfn.ENCODEURL("Hi "&amp;$F1240&amp;","&amp;CHAR(10)&amp;"Good day!"&amp;CHAR(10)&amp;CHAR(10)&amp;"A quality monitoring audit has been completed for "&amp;$C1240&amp;"."&amp;CHAR(10)&amp;CHAR(10)&amp;"QUALITY AUDIT DETAILS"&amp;CHAR(10)&amp;"Agent Name: "&amp;$C1240&amp;" (EID "&amp;$D1240&amp;")"&amp;CHAR(10)&amp;"Audit Date: "&amp;TEXT($B1240,"yyyy-mm-dd")&amp;CHAR(10)&amp;"Team Leader: "&amp;$F1240&amp;CHAR(10)&amp;"Case Number: "&amp;$M1240&amp;CHAR(10)&amp;"Transaction ID: "&amp;$N1240&amp;CHAR(10)&amp;"Channel / LOB: "&amp;$K1240&amp;" / "&amp;$L1240&amp;CHAR(10)&amp;"Evaluator: "&amp;$S1240&amp;CHAR(10)&amp;CHAR(10)&amp;"INVALID QUALITY AUDIT DETAILS"&amp;CHAR(10)&amp;"Validation: Invalid"&amp;CHAR(10)&amp;"Invalid Reason: "&amp;$P1240&amp;CHAR(10)&amp;"Expected Resolution Code: "&amp;$Q1240&amp;CHAR(10)&amp;"Remarks: "&amp;LEFT($R1240,600)&amp;CHAR(10)&amp;CHAR(10)&amp;"This is an automated notification from HP Mainstream EQMS."),"✉ Open Email Draft"),"")</f>
        <v/>
      </c>
    </row>
    <row r="1241">
      <c r="A1241" s="25">
        <f>IF($C1241="","","AUD-2026-"&amp;TEXT(ROW()-1,"000000"))</f>
        <v/>
      </c>
      <c r="B1241" s="26" t="n"/>
      <c r="C1241" s="27" t="n"/>
      <c r="D1241" s="25">
        <f>IF($C1241="","",IFERROR(IF(INDEX(Roster!$A:$A,MATCH($C1241,Roster!$B:$B,0))="","",INDEX(Roster!$A:$A,MATCH($C1241,Roster!$B:$B,0))&amp;""),"—"))</f>
        <v/>
      </c>
      <c r="E1241" s="25">
        <f>IF($C1241="","",IFERROR(IF(INDEX(Roster!$C:$C,MATCH($C1241,Roster!$B:$B,0))="","",INDEX(Roster!$C:$C,MATCH($C1241,Roster!$B:$B,0))&amp;""),"—"))</f>
        <v/>
      </c>
      <c r="F1241" s="25">
        <f>IF($C1241="","",IFERROR(IF(INDEX(Roster!$D:$D,MATCH($C1241,Roster!$B:$B,0))="","",INDEX(Roster!$D:$D,MATCH($C1241,Roster!$B:$B,0))&amp;""),"—"))</f>
        <v/>
      </c>
      <c r="G1241" s="25">
        <f>IF($C1241="","",IFERROR(IF(INDEX(Roster!$E:$E,MATCH($C1241,Roster!$B:$B,0))="","",INDEX(Roster!$E:$E,MATCH($C1241,Roster!$B:$B,0))&amp;""),"—"))</f>
        <v/>
      </c>
      <c r="H1241" s="25">
        <f>IF($C1241="","",IFERROR(IF(INDEX(Roster!$F:$F,MATCH($C1241,Roster!$B:$B,0))="","",INDEX(Roster!$F:$F,MATCH($C1241,Roster!$B:$B,0))&amp;""),"—"))</f>
        <v/>
      </c>
      <c r="I1241" s="25">
        <f>IF($C1241="","",IFERROR(IF(INDEX(Roster!$G:$G,MATCH($C1241,Roster!$B:$B,0))="","",INDEX(Roster!$G:$G,MATCH($C1241,Roster!$B:$B,0))&amp;""),"—"))</f>
        <v/>
      </c>
      <c r="J1241" s="25">
        <f>IF($C1241="","",IFERROR(IF(INDEX(Roster!$I:$I,MATCH($C1241,Roster!$B:$B,0))="","",INDEX(Roster!$I:$I,MATCH($C1241,Roster!$B:$B,0))&amp;""),"—"))</f>
        <v/>
      </c>
      <c r="K1241">
        <f>IF($C1241="","",IFERROR(IF(INDEX(Roster!$J:$J,MATCH($C1241,Roster!$B:$B,0))="","",INDEX(Roster!$J:$J,MATCH($C1241,Roster!$B:$B,0))&amp;""),"—"))</f>
        <v/>
      </c>
      <c r="L1241">
        <f>IF($C1241="","",IFERROR(IF(INDEX(Roster!$K:$K,MATCH($C1241,Roster!$B:$B,0))="","",INDEX(Roster!$K:$K,MATCH($C1241,Roster!$B:$B,0))&amp;""),"—"))</f>
        <v/>
      </c>
      <c r="M1241" s="27" t="n"/>
      <c r="N1241" s="27" t="n"/>
      <c r="O1241" s="25">
        <f>IF($C1241="","",IF($P1241="","—",IF($P1241="Valid (Pass)","Valid","Invalid")))</f>
        <v/>
      </c>
      <c r="P1241" s="27" t="n"/>
      <c r="Q1241" s="27" t="n"/>
      <c r="R1241" s="27" t="n"/>
      <c r="S1241" s="27" t="n"/>
      <c r="T1241" s="25">
        <f>IF($C1241="","",IF(OR(ISNUMBER(SEARCH("quick case",$P1241)),ISNUMBER(SEARCH("quick case",$Q1241))),"Yes","No"))</f>
        <v/>
      </c>
      <c r="U1241" s="25">
        <f>IF($O1241="Invalid",HYPERLINK("mailto:"&amp;$G1241&amp;";"&amp;$I1241&amp;"?cc="&amp;Lists!$E$2&amp;"&amp;subject="&amp;_xlfn.ENCODEURL("[INVALID] Quality audit monitoring completed for "&amp;UPPER($C1241))&amp;"&amp;body="&amp;_xlfn.ENCODEURL("Hi "&amp;$F1241&amp;","&amp;CHAR(10)&amp;"Good day!"&amp;CHAR(10)&amp;CHAR(10)&amp;"A quality monitoring audit has been completed for "&amp;$C1241&amp;"."&amp;CHAR(10)&amp;CHAR(10)&amp;"QUALITY AUDIT DETAILS"&amp;CHAR(10)&amp;"Agent Name: "&amp;$C1241&amp;" (EID "&amp;$D1241&amp;")"&amp;CHAR(10)&amp;"Audit Date: "&amp;TEXT($B1241,"yyyy-mm-dd")&amp;CHAR(10)&amp;"Team Leader: "&amp;$F1241&amp;CHAR(10)&amp;"Case Number: "&amp;$M1241&amp;CHAR(10)&amp;"Transaction ID: "&amp;$N1241&amp;CHAR(10)&amp;"Channel / LOB: "&amp;$K1241&amp;" / "&amp;$L1241&amp;CHAR(10)&amp;"Evaluator: "&amp;$S1241&amp;CHAR(10)&amp;CHAR(10)&amp;"INVALID QUALITY AUDIT DETAILS"&amp;CHAR(10)&amp;"Validation: Invalid"&amp;CHAR(10)&amp;"Invalid Reason: "&amp;$P1241&amp;CHAR(10)&amp;"Expected Resolution Code: "&amp;$Q1241&amp;CHAR(10)&amp;"Remarks: "&amp;LEFT($R1241,600)&amp;CHAR(10)&amp;CHAR(10)&amp;"This is an automated notification from HP Mainstream EQMS."),"✉ Open Email Draft"),"")</f>
        <v/>
      </c>
    </row>
    <row r="1242">
      <c r="A1242" s="25">
        <f>IF($C1242="","","AUD-2026-"&amp;TEXT(ROW()-1,"000000"))</f>
        <v/>
      </c>
      <c r="B1242" s="26" t="n"/>
      <c r="C1242" s="27" t="n"/>
      <c r="D1242" s="25">
        <f>IF($C1242="","",IFERROR(IF(INDEX(Roster!$A:$A,MATCH($C1242,Roster!$B:$B,0))="","",INDEX(Roster!$A:$A,MATCH($C1242,Roster!$B:$B,0))&amp;""),"—"))</f>
        <v/>
      </c>
      <c r="E1242" s="25">
        <f>IF($C1242="","",IFERROR(IF(INDEX(Roster!$C:$C,MATCH($C1242,Roster!$B:$B,0))="","",INDEX(Roster!$C:$C,MATCH($C1242,Roster!$B:$B,0))&amp;""),"—"))</f>
        <v/>
      </c>
      <c r="F1242" s="25">
        <f>IF($C1242="","",IFERROR(IF(INDEX(Roster!$D:$D,MATCH($C1242,Roster!$B:$B,0))="","",INDEX(Roster!$D:$D,MATCH($C1242,Roster!$B:$B,0))&amp;""),"—"))</f>
        <v/>
      </c>
      <c r="G1242" s="25">
        <f>IF($C1242="","",IFERROR(IF(INDEX(Roster!$E:$E,MATCH($C1242,Roster!$B:$B,0))="","",INDEX(Roster!$E:$E,MATCH($C1242,Roster!$B:$B,0))&amp;""),"—"))</f>
        <v/>
      </c>
      <c r="H1242" s="25">
        <f>IF($C1242="","",IFERROR(IF(INDEX(Roster!$F:$F,MATCH($C1242,Roster!$B:$B,0))="","",INDEX(Roster!$F:$F,MATCH($C1242,Roster!$B:$B,0))&amp;""),"—"))</f>
        <v/>
      </c>
      <c r="I1242" s="25">
        <f>IF($C1242="","",IFERROR(IF(INDEX(Roster!$G:$G,MATCH($C1242,Roster!$B:$B,0))="","",INDEX(Roster!$G:$G,MATCH($C1242,Roster!$B:$B,0))&amp;""),"—"))</f>
        <v/>
      </c>
      <c r="J1242" s="25">
        <f>IF($C1242="","",IFERROR(IF(INDEX(Roster!$I:$I,MATCH($C1242,Roster!$B:$B,0))="","",INDEX(Roster!$I:$I,MATCH($C1242,Roster!$B:$B,0))&amp;""),"—"))</f>
        <v/>
      </c>
      <c r="K1242">
        <f>IF($C1242="","",IFERROR(IF(INDEX(Roster!$J:$J,MATCH($C1242,Roster!$B:$B,0))="","",INDEX(Roster!$J:$J,MATCH($C1242,Roster!$B:$B,0))&amp;""),"—"))</f>
        <v/>
      </c>
      <c r="L1242">
        <f>IF($C1242="","",IFERROR(IF(INDEX(Roster!$K:$K,MATCH($C1242,Roster!$B:$B,0))="","",INDEX(Roster!$K:$K,MATCH($C1242,Roster!$B:$B,0))&amp;""),"—"))</f>
        <v/>
      </c>
      <c r="M1242" s="27" t="n"/>
      <c r="N1242" s="27" t="n"/>
      <c r="O1242" s="25">
        <f>IF($C1242="","",IF($P1242="","—",IF($P1242="Valid (Pass)","Valid","Invalid")))</f>
        <v/>
      </c>
      <c r="P1242" s="27" t="n"/>
      <c r="Q1242" s="27" t="n"/>
      <c r="R1242" s="27" t="n"/>
      <c r="S1242" s="27" t="n"/>
      <c r="T1242" s="25">
        <f>IF($C1242="","",IF(OR(ISNUMBER(SEARCH("quick case",$P1242)),ISNUMBER(SEARCH("quick case",$Q1242))),"Yes","No"))</f>
        <v/>
      </c>
      <c r="U1242" s="25">
        <f>IF($O1242="Invalid",HYPERLINK("mailto:"&amp;$G1242&amp;";"&amp;$I1242&amp;"?cc="&amp;Lists!$E$2&amp;"&amp;subject="&amp;_xlfn.ENCODEURL("[INVALID] Quality audit monitoring completed for "&amp;UPPER($C1242))&amp;"&amp;body="&amp;_xlfn.ENCODEURL("Hi "&amp;$F1242&amp;","&amp;CHAR(10)&amp;"Good day!"&amp;CHAR(10)&amp;CHAR(10)&amp;"A quality monitoring audit has been completed for "&amp;$C1242&amp;"."&amp;CHAR(10)&amp;CHAR(10)&amp;"QUALITY AUDIT DETAILS"&amp;CHAR(10)&amp;"Agent Name: "&amp;$C1242&amp;" (EID "&amp;$D1242&amp;")"&amp;CHAR(10)&amp;"Audit Date: "&amp;TEXT($B1242,"yyyy-mm-dd")&amp;CHAR(10)&amp;"Team Leader: "&amp;$F1242&amp;CHAR(10)&amp;"Case Number: "&amp;$M1242&amp;CHAR(10)&amp;"Transaction ID: "&amp;$N1242&amp;CHAR(10)&amp;"Channel / LOB: "&amp;$K1242&amp;" / "&amp;$L1242&amp;CHAR(10)&amp;"Evaluator: "&amp;$S1242&amp;CHAR(10)&amp;CHAR(10)&amp;"INVALID QUALITY AUDIT DETAILS"&amp;CHAR(10)&amp;"Validation: Invalid"&amp;CHAR(10)&amp;"Invalid Reason: "&amp;$P1242&amp;CHAR(10)&amp;"Expected Resolution Code: "&amp;$Q1242&amp;CHAR(10)&amp;"Remarks: "&amp;LEFT($R1242,600)&amp;CHAR(10)&amp;CHAR(10)&amp;"This is an automated notification from HP Mainstream EQMS."),"✉ Open Email Draft"),"")</f>
        <v/>
      </c>
    </row>
    <row r="1243">
      <c r="A1243" s="25">
        <f>IF($C1243="","","AUD-2026-"&amp;TEXT(ROW()-1,"000000"))</f>
        <v/>
      </c>
      <c r="B1243" s="26" t="n"/>
      <c r="C1243" s="27" t="n"/>
      <c r="D1243" s="25">
        <f>IF($C1243="","",IFERROR(IF(INDEX(Roster!$A:$A,MATCH($C1243,Roster!$B:$B,0))="","",INDEX(Roster!$A:$A,MATCH($C1243,Roster!$B:$B,0))&amp;""),"—"))</f>
        <v/>
      </c>
      <c r="E1243" s="25">
        <f>IF($C1243="","",IFERROR(IF(INDEX(Roster!$C:$C,MATCH($C1243,Roster!$B:$B,0))="","",INDEX(Roster!$C:$C,MATCH($C1243,Roster!$B:$B,0))&amp;""),"—"))</f>
        <v/>
      </c>
      <c r="F1243" s="25">
        <f>IF($C1243="","",IFERROR(IF(INDEX(Roster!$D:$D,MATCH($C1243,Roster!$B:$B,0))="","",INDEX(Roster!$D:$D,MATCH($C1243,Roster!$B:$B,0))&amp;""),"—"))</f>
        <v/>
      </c>
      <c r="G1243" s="25">
        <f>IF($C1243="","",IFERROR(IF(INDEX(Roster!$E:$E,MATCH($C1243,Roster!$B:$B,0))="","",INDEX(Roster!$E:$E,MATCH($C1243,Roster!$B:$B,0))&amp;""),"—"))</f>
        <v/>
      </c>
      <c r="H1243" s="25">
        <f>IF($C1243="","",IFERROR(IF(INDEX(Roster!$F:$F,MATCH($C1243,Roster!$B:$B,0))="","",INDEX(Roster!$F:$F,MATCH($C1243,Roster!$B:$B,0))&amp;""),"—"))</f>
        <v/>
      </c>
      <c r="I1243" s="25">
        <f>IF($C1243="","",IFERROR(IF(INDEX(Roster!$G:$G,MATCH($C1243,Roster!$B:$B,0))="","",INDEX(Roster!$G:$G,MATCH($C1243,Roster!$B:$B,0))&amp;""),"—"))</f>
        <v/>
      </c>
      <c r="J1243" s="25">
        <f>IF($C1243="","",IFERROR(IF(INDEX(Roster!$I:$I,MATCH($C1243,Roster!$B:$B,0))="","",INDEX(Roster!$I:$I,MATCH($C1243,Roster!$B:$B,0))&amp;""),"—"))</f>
        <v/>
      </c>
      <c r="K1243">
        <f>IF($C1243="","",IFERROR(IF(INDEX(Roster!$J:$J,MATCH($C1243,Roster!$B:$B,0))="","",INDEX(Roster!$J:$J,MATCH($C1243,Roster!$B:$B,0))&amp;""),"—"))</f>
        <v/>
      </c>
      <c r="L1243">
        <f>IF($C1243="","",IFERROR(IF(INDEX(Roster!$K:$K,MATCH($C1243,Roster!$B:$B,0))="","",INDEX(Roster!$K:$K,MATCH($C1243,Roster!$B:$B,0))&amp;""),"—"))</f>
        <v/>
      </c>
      <c r="M1243" s="27" t="n"/>
      <c r="N1243" s="27" t="n"/>
      <c r="O1243" s="25">
        <f>IF($C1243="","",IF($P1243="","—",IF($P1243="Valid (Pass)","Valid","Invalid")))</f>
        <v/>
      </c>
      <c r="P1243" s="27" t="n"/>
      <c r="Q1243" s="27" t="n"/>
      <c r="R1243" s="27" t="n"/>
      <c r="S1243" s="27" t="n"/>
      <c r="T1243" s="25">
        <f>IF($C1243="","",IF(OR(ISNUMBER(SEARCH("quick case",$P1243)),ISNUMBER(SEARCH("quick case",$Q1243))),"Yes","No"))</f>
        <v/>
      </c>
      <c r="U1243" s="25">
        <f>IF($O1243="Invalid",HYPERLINK("mailto:"&amp;$G1243&amp;";"&amp;$I1243&amp;"?cc="&amp;Lists!$E$2&amp;"&amp;subject="&amp;_xlfn.ENCODEURL("[INVALID] Quality audit monitoring completed for "&amp;UPPER($C1243))&amp;"&amp;body="&amp;_xlfn.ENCODEURL("Hi "&amp;$F1243&amp;","&amp;CHAR(10)&amp;"Good day!"&amp;CHAR(10)&amp;CHAR(10)&amp;"A quality monitoring audit has been completed for "&amp;$C1243&amp;"."&amp;CHAR(10)&amp;CHAR(10)&amp;"QUALITY AUDIT DETAILS"&amp;CHAR(10)&amp;"Agent Name: "&amp;$C1243&amp;" (EID "&amp;$D1243&amp;")"&amp;CHAR(10)&amp;"Audit Date: "&amp;TEXT($B1243,"yyyy-mm-dd")&amp;CHAR(10)&amp;"Team Leader: "&amp;$F1243&amp;CHAR(10)&amp;"Case Number: "&amp;$M1243&amp;CHAR(10)&amp;"Transaction ID: "&amp;$N1243&amp;CHAR(10)&amp;"Channel / LOB: "&amp;$K1243&amp;" / "&amp;$L1243&amp;CHAR(10)&amp;"Evaluator: "&amp;$S1243&amp;CHAR(10)&amp;CHAR(10)&amp;"INVALID QUALITY AUDIT DETAILS"&amp;CHAR(10)&amp;"Validation: Invalid"&amp;CHAR(10)&amp;"Invalid Reason: "&amp;$P1243&amp;CHAR(10)&amp;"Expected Resolution Code: "&amp;$Q1243&amp;CHAR(10)&amp;"Remarks: "&amp;LEFT($R1243,600)&amp;CHAR(10)&amp;CHAR(10)&amp;"This is an automated notification from HP Mainstream EQMS."),"✉ Open Email Draft"),"")</f>
        <v/>
      </c>
    </row>
    <row r="1244">
      <c r="A1244" s="25">
        <f>IF($C1244="","","AUD-2026-"&amp;TEXT(ROW()-1,"000000"))</f>
        <v/>
      </c>
      <c r="B1244" s="26" t="n"/>
      <c r="C1244" s="27" t="n"/>
      <c r="D1244" s="25">
        <f>IF($C1244="","",IFERROR(IF(INDEX(Roster!$A:$A,MATCH($C1244,Roster!$B:$B,0))="","",INDEX(Roster!$A:$A,MATCH($C1244,Roster!$B:$B,0))&amp;""),"—"))</f>
        <v/>
      </c>
      <c r="E1244" s="25">
        <f>IF($C1244="","",IFERROR(IF(INDEX(Roster!$C:$C,MATCH($C1244,Roster!$B:$B,0))="","",INDEX(Roster!$C:$C,MATCH($C1244,Roster!$B:$B,0))&amp;""),"—"))</f>
        <v/>
      </c>
      <c r="F1244" s="25">
        <f>IF($C1244="","",IFERROR(IF(INDEX(Roster!$D:$D,MATCH($C1244,Roster!$B:$B,0))="","",INDEX(Roster!$D:$D,MATCH($C1244,Roster!$B:$B,0))&amp;""),"—"))</f>
        <v/>
      </c>
      <c r="G1244" s="25">
        <f>IF($C1244="","",IFERROR(IF(INDEX(Roster!$E:$E,MATCH($C1244,Roster!$B:$B,0))="","",INDEX(Roster!$E:$E,MATCH($C1244,Roster!$B:$B,0))&amp;""),"—"))</f>
        <v/>
      </c>
      <c r="H1244" s="25">
        <f>IF($C1244="","",IFERROR(IF(INDEX(Roster!$F:$F,MATCH($C1244,Roster!$B:$B,0))="","",INDEX(Roster!$F:$F,MATCH($C1244,Roster!$B:$B,0))&amp;""),"—"))</f>
        <v/>
      </c>
      <c r="I1244" s="25">
        <f>IF($C1244="","",IFERROR(IF(INDEX(Roster!$G:$G,MATCH($C1244,Roster!$B:$B,0))="","",INDEX(Roster!$G:$G,MATCH($C1244,Roster!$B:$B,0))&amp;""),"—"))</f>
        <v/>
      </c>
      <c r="J1244" s="25">
        <f>IF($C1244="","",IFERROR(IF(INDEX(Roster!$I:$I,MATCH($C1244,Roster!$B:$B,0))="","",INDEX(Roster!$I:$I,MATCH($C1244,Roster!$B:$B,0))&amp;""),"—"))</f>
        <v/>
      </c>
      <c r="K1244">
        <f>IF($C1244="","",IFERROR(IF(INDEX(Roster!$J:$J,MATCH($C1244,Roster!$B:$B,0))="","",INDEX(Roster!$J:$J,MATCH($C1244,Roster!$B:$B,0))&amp;""),"—"))</f>
        <v/>
      </c>
      <c r="L1244">
        <f>IF($C1244="","",IFERROR(IF(INDEX(Roster!$K:$K,MATCH($C1244,Roster!$B:$B,0))="","",INDEX(Roster!$K:$K,MATCH($C1244,Roster!$B:$B,0))&amp;""),"—"))</f>
        <v/>
      </c>
      <c r="M1244" s="27" t="n"/>
      <c r="N1244" s="27" t="n"/>
      <c r="O1244" s="25">
        <f>IF($C1244="","",IF($P1244="","—",IF($P1244="Valid (Pass)","Valid","Invalid")))</f>
        <v/>
      </c>
      <c r="P1244" s="27" t="n"/>
      <c r="Q1244" s="27" t="n"/>
      <c r="R1244" s="27" t="n"/>
      <c r="S1244" s="27" t="n"/>
      <c r="T1244" s="25">
        <f>IF($C1244="","",IF(OR(ISNUMBER(SEARCH("quick case",$P1244)),ISNUMBER(SEARCH("quick case",$Q1244))),"Yes","No"))</f>
        <v/>
      </c>
      <c r="U1244" s="25">
        <f>IF($O1244="Invalid",HYPERLINK("mailto:"&amp;$G1244&amp;";"&amp;$I1244&amp;"?cc="&amp;Lists!$E$2&amp;"&amp;subject="&amp;_xlfn.ENCODEURL("[INVALID] Quality audit monitoring completed for "&amp;UPPER($C1244))&amp;"&amp;body="&amp;_xlfn.ENCODEURL("Hi "&amp;$F1244&amp;","&amp;CHAR(10)&amp;"Good day!"&amp;CHAR(10)&amp;CHAR(10)&amp;"A quality monitoring audit has been completed for "&amp;$C1244&amp;"."&amp;CHAR(10)&amp;CHAR(10)&amp;"QUALITY AUDIT DETAILS"&amp;CHAR(10)&amp;"Agent Name: "&amp;$C1244&amp;" (EID "&amp;$D1244&amp;")"&amp;CHAR(10)&amp;"Audit Date: "&amp;TEXT($B1244,"yyyy-mm-dd")&amp;CHAR(10)&amp;"Team Leader: "&amp;$F1244&amp;CHAR(10)&amp;"Case Number: "&amp;$M1244&amp;CHAR(10)&amp;"Transaction ID: "&amp;$N1244&amp;CHAR(10)&amp;"Channel / LOB: "&amp;$K1244&amp;" / "&amp;$L1244&amp;CHAR(10)&amp;"Evaluator: "&amp;$S1244&amp;CHAR(10)&amp;CHAR(10)&amp;"INVALID QUALITY AUDIT DETAILS"&amp;CHAR(10)&amp;"Validation: Invalid"&amp;CHAR(10)&amp;"Invalid Reason: "&amp;$P1244&amp;CHAR(10)&amp;"Expected Resolution Code: "&amp;$Q1244&amp;CHAR(10)&amp;"Remarks: "&amp;LEFT($R1244,600)&amp;CHAR(10)&amp;CHAR(10)&amp;"This is an automated notification from HP Mainstream EQMS."),"✉ Open Email Draft"),"")</f>
        <v/>
      </c>
    </row>
    <row r="1245">
      <c r="A1245" s="25">
        <f>IF($C1245="","","AUD-2026-"&amp;TEXT(ROW()-1,"000000"))</f>
        <v/>
      </c>
      <c r="B1245" s="26" t="n"/>
      <c r="C1245" s="27" t="n"/>
      <c r="D1245" s="25">
        <f>IF($C1245="","",IFERROR(IF(INDEX(Roster!$A:$A,MATCH($C1245,Roster!$B:$B,0))="","",INDEX(Roster!$A:$A,MATCH($C1245,Roster!$B:$B,0))&amp;""),"—"))</f>
        <v/>
      </c>
      <c r="E1245" s="25">
        <f>IF($C1245="","",IFERROR(IF(INDEX(Roster!$C:$C,MATCH($C1245,Roster!$B:$B,0))="","",INDEX(Roster!$C:$C,MATCH($C1245,Roster!$B:$B,0))&amp;""),"—"))</f>
        <v/>
      </c>
      <c r="F1245" s="25">
        <f>IF($C1245="","",IFERROR(IF(INDEX(Roster!$D:$D,MATCH($C1245,Roster!$B:$B,0))="","",INDEX(Roster!$D:$D,MATCH($C1245,Roster!$B:$B,0))&amp;""),"—"))</f>
        <v/>
      </c>
      <c r="G1245" s="25">
        <f>IF($C1245="","",IFERROR(IF(INDEX(Roster!$E:$E,MATCH($C1245,Roster!$B:$B,0))="","",INDEX(Roster!$E:$E,MATCH($C1245,Roster!$B:$B,0))&amp;""),"—"))</f>
        <v/>
      </c>
      <c r="H1245" s="25">
        <f>IF($C1245="","",IFERROR(IF(INDEX(Roster!$F:$F,MATCH($C1245,Roster!$B:$B,0))="","",INDEX(Roster!$F:$F,MATCH($C1245,Roster!$B:$B,0))&amp;""),"—"))</f>
        <v/>
      </c>
      <c r="I1245" s="25">
        <f>IF($C1245="","",IFERROR(IF(INDEX(Roster!$G:$G,MATCH($C1245,Roster!$B:$B,0))="","",INDEX(Roster!$G:$G,MATCH($C1245,Roster!$B:$B,0))&amp;""),"—"))</f>
        <v/>
      </c>
      <c r="J1245" s="25">
        <f>IF($C1245="","",IFERROR(IF(INDEX(Roster!$I:$I,MATCH($C1245,Roster!$B:$B,0))="","",INDEX(Roster!$I:$I,MATCH($C1245,Roster!$B:$B,0))&amp;""),"—"))</f>
        <v/>
      </c>
      <c r="K1245">
        <f>IF($C1245="","",IFERROR(IF(INDEX(Roster!$J:$J,MATCH($C1245,Roster!$B:$B,0))="","",INDEX(Roster!$J:$J,MATCH($C1245,Roster!$B:$B,0))&amp;""),"—"))</f>
        <v/>
      </c>
      <c r="L1245">
        <f>IF($C1245="","",IFERROR(IF(INDEX(Roster!$K:$K,MATCH($C1245,Roster!$B:$B,0))="","",INDEX(Roster!$K:$K,MATCH($C1245,Roster!$B:$B,0))&amp;""),"—"))</f>
        <v/>
      </c>
      <c r="M1245" s="27" t="n"/>
      <c r="N1245" s="27" t="n"/>
      <c r="O1245" s="25">
        <f>IF($C1245="","",IF($P1245="","—",IF($P1245="Valid (Pass)","Valid","Invalid")))</f>
        <v/>
      </c>
      <c r="P1245" s="27" t="n"/>
      <c r="Q1245" s="27" t="n"/>
      <c r="R1245" s="27" t="n"/>
      <c r="S1245" s="27" t="n"/>
      <c r="T1245" s="25">
        <f>IF($C1245="","",IF(OR(ISNUMBER(SEARCH("quick case",$P1245)),ISNUMBER(SEARCH("quick case",$Q1245))),"Yes","No"))</f>
        <v/>
      </c>
      <c r="U1245" s="25">
        <f>IF($O1245="Invalid",HYPERLINK("mailto:"&amp;$G1245&amp;";"&amp;$I1245&amp;"?cc="&amp;Lists!$E$2&amp;"&amp;subject="&amp;_xlfn.ENCODEURL("[INVALID] Quality audit monitoring completed for "&amp;UPPER($C1245))&amp;"&amp;body="&amp;_xlfn.ENCODEURL("Hi "&amp;$F1245&amp;","&amp;CHAR(10)&amp;"Good day!"&amp;CHAR(10)&amp;CHAR(10)&amp;"A quality monitoring audit has been completed for "&amp;$C1245&amp;"."&amp;CHAR(10)&amp;CHAR(10)&amp;"QUALITY AUDIT DETAILS"&amp;CHAR(10)&amp;"Agent Name: "&amp;$C1245&amp;" (EID "&amp;$D1245&amp;")"&amp;CHAR(10)&amp;"Audit Date: "&amp;TEXT($B1245,"yyyy-mm-dd")&amp;CHAR(10)&amp;"Team Leader: "&amp;$F1245&amp;CHAR(10)&amp;"Case Number: "&amp;$M1245&amp;CHAR(10)&amp;"Transaction ID: "&amp;$N1245&amp;CHAR(10)&amp;"Channel / LOB: "&amp;$K1245&amp;" / "&amp;$L1245&amp;CHAR(10)&amp;"Evaluator: "&amp;$S1245&amp;CHAR(10)&amp;CHAR(10)&amp;"INVALID QUALITY AUDIT DETAILS"&amp;CHAR(10)&amp;"Validation: Invalid"&amp;CHAR(10)&amp;"Invalid Reason: "&amp;$P1245&amp;CHAR(10)&amp;"Expected Resolution Code: "&amp;$Q1245&amp;CHAR(10)&amp;"Remarks: "&amp;LEFT($R1245,600)&amp;CHAR(10)&amp;CHAR(10)&amp;"This is an automated notification from HP Mainstream EQMS."),"✉ Open Email Draft"),"")</f>
        <v/>
      </c>
    </row>
    <row r="1246">
      <c r="A1246" s="25">
        <f>IF($C1246="","","AUD-2026-"&amp;TEXT(ROW()-1,"000000"))</f>
        <v/>
      </c>
      <c r="B1246" s="26" t="n"/>
      <c r="C1246" s="27" t="n"/>
      <c r="D1246" s="25">
        <f>IF($C1246="","",IFERROR(IF(INDEX(Roster!$A:$A,MATCH($C1246,Roster!$B:$B,0))="","",INDEX(Roster!$A:$A,MATCH($C1246,Roster!$B:$B,0))&amp;""),"—"))</f>
        <v/>
      </c>
      <c r="E1246" s="25">
        <f>IF($C1246="","",IFERROR(IF(INDEX(Roster!$C:$C,MATCH($C1246,Roster!$B:$B,0))="","",INDEX(Roster!$C:$C,MATCH($C1246,Roster!$B:$B,0))&amp;""),"—"))</f>
        <v/>
      </c>
      <c r="F1246" s="25">
        <f>IF($C1246="","",IFERROR(IF(INDEX(Roster!$D:$D,MATCH($C1246,Roster!$B:$B,0))="","",INDEX(Roster!$D:$D,MATCH($C1246,Roster!$B:$B,0))&amp;""),"—"))</f>
        <v/>
      </c>
      <c r="G1246" s="25">
        <f>IF($C1246="","",IFERROR(IF(INDEX(Roster!$E:$E,MATCH($C1246,Roster!$B:$B,0))="","",INDEX(Roster!$E:$E,MATCH($C1246,Roster!$B:$B,0))&amp;""),"—"))</f>
        <v/>
      </c>
      <c r="H1246" s="25">
        <f>IF($C1246="","",IFERROR(IF(INDEX(Roster!$F:$F,MATCH($C1246,Roster!$B:$B,0))="","",INDEX(Roster!$F:$F,MATCH($C1246,Roster!$B:$B,0))&amp;""),"—"))</f>
        <v/>
      </c>
      <c r="I1246" s="25">
        <f>IF($C1246="","",IFERROR(IF(INDEX(Roster!$G:$G,MATCH($C1246,Roster!$B:$B,0))="","",INDEX(Roster!$G:$G,MATCH($C1246,Roster!$B:$B,0))&amp;""),"—"))</f>
        <v/>
      </c>
      <c r="J1246" s="25">
        <f>IF($C1246="","",IFERROR(IF(INDEX(Roster!$I:$I,MATCH($C1246,Roster!$B:$B,0))="","",INDEX(Roster!$I:$I,MATCH($C1246,Roster!$B:$B,0))&amp;""),"—"))</f>
        <v/>
      </c>
      <c r="K1246">
        <f>IF($C1246="","",IFERROR(IF(INDEX(Roster!$J:$J,MATCH($C1246,Roster!$B:$B,0))="","",INDEX(Roster!$J:$J,MATCH($C1246,Roster!$B:$B,0))&amp;""),"—"))</f>
        <v/>
      </c>
      <c r="L1246">
        <f>IF($C1246="","",IFERROR(IF(INDEX(Roster!$K:$K,MATCH($C1246,Roster!$B:$B,0))="","",INDEX(Roster!$K:$K,MATCH($C1246,Roster!$B:$B,0))&amp;""),"—"))</f>
        <v/>
      </c>
      <c r="M1246" s="27" t="n"/>
      <c r="N1246" s="27" t="n"/>
      <c r="O1246" s="25">
        <f>IF($C1246="","",IF($P1246="","—",IF($P1246="Valid (Pass)","Valid","Invalid")))</f>
        <v/>
      </c>
      <c r="P1246" s="27" t="n"/>
      <c r="Q1246" s="27" t="n"/>
      <c r="R1246" s="27" t="n"/>
      <c r="S1246" s="27" t="n"/>
      <c r="T1246" s="25">
        <f>IF($C1246="","",IF(OR(ISNUMBER(SEARCH("quick case",$P1246)),ISNUMBER(SEARCH("quick case",$Q1246))),"Yes","No"))</f>
        <v/>
      </c>
      <c r="U1246" s="25">
        <f>IF($O1246="Invalid",HYPERLINK("mailto:"&amp;$G1246&amp;";"&amp;$I1246&amp;"?cc="&amp;Lists!$E$2&amp;"&amp;subject="&amp;_xlfn.ENCODEURL("[INVALID] Quality audit monitoring completed for "&amp;UPPER($C1246))&amp;"&amp;body="&amp;_xlfn.ENCODEURL("Hi "&amp;$F1246&amp;","&amp;CHAR(10)&amp;"Good day!"&amp;CHAR(10)&amp;CHAR(10)&amp;"A quality monitoring audit has been completed for "&amp;$C1246&amp;"."&amp;CHAR(10)&amp;CHAR(10)&amp;"QUALITY AUDIT DETAILS"&amp;CHAR(10)&amp;"Agent Name: "&amp;$C1246&amp;" (EID "&amp;$D1246&amp;")"&amp;CHAR(10)&amp;"Audit Date: "&amp;TEXT($B1246,"yyyy-mm-dd")&amp;CHAR(10)&amp;"Team Leader: "&amp;$F1246&amp;CHAR(10)&amp;"Case Number: "&amp;$M1246&amp;CHAR(10)&amp;"Transaction ID: "&amp;$N1246&amp;CHAR(10)&amp;"Channel / LOB: "&amp;$K1246&amp;" / "&amp;$L1246&amp;CHAR(10)&amp;"Evaluator: "&amp;$S1246&amp;CHAR(10)&amp;CHAR(10)&amp;"INVALID QUALITY AUDIT DETAILS"&amp;CHAR(10)&amp;"Validation: Invalid"&amp;CHAR(10)&amp;"Invalid Reason: "&amp;$P1246&amp;CHAR(10)&amp;"Expected Resolution Code: "&amp;$Q1246&amp;CHAR(10)&amp;"Remarks: "&amp;LEFT($R1246,600)&amp;CHAR(10)&amp;CHAR(10)&amp;"This is an automated notification from HP Mainstream EQMS."),"✉ Open Email Draft"),"")</f>
        <v/>
      </c>
    </row>
    <row r="1247">
      <c r="A1247" s="25">
        <f>IF($C1247="","","AUD-2026-"&amp;TEXT(ROW()-1,"000000"))</f>
        <v/>
      </c>
      <c r="B1247" s="26" t="n"/>
      <c r="C1247" s="27" t="n"/>
      <c r="D1247" s="25">
        <f>IF($C1247="","",IFERROR(IF(INDEX(Roster!$A:$A,MATCH($C1247,Roster!$B:$B,0))="","",INDEX(Roster!$A:$A,MATCH($C1247,Roster!$B:$B,0))&amp;""),"—"))</f>
        <v/>
      </c>
      <c r="E1247" s="25">
        <f>IF($C1247="","",IFERROR(IF(INDEX(Roster!$C:$C,MATCH($C1247,Roster!$B:$B,0))="","",INDEX(Roster!$C:$C,MATCH($C1247,Roster!$B:$B,0))&amp;""),"—"))</f>
        <v/>
      </c>
      <c r="F1247" s="25">
        <f>IF($C1247="","",IFERROR(IF(INDEX(Roster!$D:$D,MATCH($C1247,Roster!$B:$B,0))="","",INDEX(Roster!$D:$D,MATCH($C1247,Roster!$B:$B,0))&amp;""),"—"))</f>
        <v/>
      </c>
      <c r="G1247" s="25">
        <f>IF($C1247="","",IFERROR(IF(INDEX(Roster!$E:$E,MATCH($C1247,Roster!$B:$B,0))="","",INDEX(Roster!$E:$E,MATCH($C1247,Roster!$B:$B,0))&amp;""),"—"))</f>
        <v/>
      </c>
      <c r="H1247" s="25">
        <f>IF($C1247="","",IFERROR(IF(INDEX(Roster!$F:$F,MATCH($C1247,Roster!$B:$B,0))="","",INDEX(Roster!$F:$F,MATCH($C1247,Roster!$B:$B,0))&amp;""),"—"))</f>
        <v/>
      </c>
      <c r="I1247" s="25">
        <f>IF($C1247="","",IFERROR(IF(INDEX(Roster!$G:$G,MATCH($C1247,Roster!$B:$B,0))="","",INDEX(Roster!$G:$G,MATCH($C1247,Roster!$B:$B,0))&amp;""),"—"))</f>
        <v/>
      </c>
      <c r="J1247" s="25">
        <f>IF($C1247="","",IFERROR(IF(INDEX(Roster!$I:$I,MATCH($C1247,Roster!$B:$B,0))="","",INDEX(Roster!$I:$I,MATCH($C1247,Roster!$B:$B,0))&amp;""),"—"))</f>
        <v/>
      </c>
      <c r="K1247">
        <f>IF($C1247="","",IFERROR(IF(INDEX(Roster!$J:$J,MATCH($C1247,Roster!$B:$B,0))="","",INDEX(Roster!$J:$J,MATCH($C1247,Roster!$B:$B,0))&amp;""),"—"))</f>
        <v/>
      </c>
      <c r="L1247">
        <f>IF($C1247="","",IFERROR(IF(INDEX(Roster!$K:$K,MATCH($C1247,Roster!$B:$B,0))="","",INDEX(Roster!$K:$K,MATCH($C1247,Roster!$B:$B,0))&amp;""),"—"))</f>
        <v/>
      </c>
      <c r="M1247" s="27" t="n"/>
      <c r="N1247" s="27" t="n"/>
      <c r="O1247" s="25">
        <f>IF($C1247="","",IF($P1247="","—",IF($P1247="Valid (Pass)","Valid","Invalid")))</f>
        <v/>
      </c>
      <c r="P1247" s="27" t="n"/>
      <c r="Q1247" s="27" t="n"/>
      <c r="R1247" s="27" t="n"/>
      <c r="S1247" s="27" t="n"/>
      <c r="T1247" s="25">
        <f>IF($C1247="","",IF(OR(ISNUMBER(SEARCH("quick case",$P1247)),ISNUMBER(SEARCH("quick case",$Q1247))),"Yes","No"))</f>
        <v/>
      </c>
      <c r="U1247" s="25">
        <f>IF($O1247="Invalid",HYPERLINK("mailto:"&amp;$G1247&amp;";"&amp;$I1247&amp;"?cc="&amp;Lists!$E$2&amp;"&amp;subject="&amp;_xlfn.ENCODEURL("[INVALID] Quality audit monitoring completed for "&amp;UPPER($C1247))&amp;"&amp;body="&amp;_xlfn.ENCODEURL("Hi "&amp;$F1247&amp;","&amp;CHAR(10)&amp;"Good day!"&amp;CHAR(10)&amp;CHAR(10)&amp;"A quality monitoring audit has been completed for "&amp;$C1247&amp;"."&amp;CHAR(10)&amp;CHAR(10)&amp;"QUALITY AUDIT DETAILS"&amp;CHAR(10)&amp;"Agent Name: "&amp;$C1247&amp;" (EID "&amp;$D1247&amp;")"&amp;CHAR(10)&amp;"Audit Date: "&amp;TEXT($B1247,"yyyy-mm-dd")&amp;CHAR(10)&amp;"Team Leader: "&amp;$F1247&amp;CHAR(10)&amp;"Case Number: "&amp;$M1247&amp;CHAR(10)&amp;"Transaction ID: "&amp;$N1247&amp;CHAR(10)&amp;"Channel / LOB: "&amp;$K1247&amp;" / "&amp;$L1247&amp;CHAR(10)&amp;"Evaluator: "&amp;$S1247&amp;CHAR(10)&amp;CHAR(10)&amp;"INVALID QUALITY AUDIT DETAILS"&amp;CHAR(10)&amp;"Validation: Invalid"&amp;CHAR(10)&amp;"Invalid Reason: "&amp;$P1247&amp;CHAR(10)&amp;"Expected Resolution Code: "&amp;$Q1247&amp;CHAR(10)&amp;"Remarks: "&amp;LEFT($R1247,600)&amp;CHAR(10)&amp;CHAR(10)&amp;"This is an automated notification from HP Mainstream EQMS."),"✉ Open Email Draft"),"")</f>
        <v/>
      </c>
    </row>
    <row r="1248">
      <c r="A1248" s="25">
        <f>IF($C1248="","","AUD-2026-"&amp;TEXT(ROW()-1,"000000"))</f>
        <v/>
      </c>
      <c r="B1248" s="26" t="n"/>
      <c r="C1248" s="27" t="n"/>
      <c r="D1248" s="25">
        <f>IF($C1248="","",IFERROR(IF(INDEX(Roster!$A:$A,MATCH($C1248,Roster!$B:$B,0))="","",INDEX(Roster!$A:$A,MATCH($C1248,Roster!$B:$B,0))&amp;""),"—"))</f>
        <v/>
      </c>
      <c r="E1248" s="25">
        <f>IF($C1248="","",IFERROR(IF(INDEX(Roster!$C:$C,MATCH($C1248,Roster!$B:$B,0))="","",INDEX(Roster!$C:$C,MATCH($C1248,Roster!$B:$B,0))&amp;""),"—"))</f>
        <v/>
      </c>
      <c r="F1248" s="25">
        <f>IF($C1248="","",IFERROR(IF(INDEX(Roster!$D:$D,MATCH($C1248,Roster!$B:$B,0))="","",INDEX(Roster!$D:$D,MATCH($C1248,Roster!$B:$B,0))&amp;""),"—"))</f>
        <v/>
      </c>
      <c r="G1248" s="25">
        <f>IF($C1248="","",IFERROR(IF(INDEX(Roster!$E:$E,MATCH($C1248,Roster!$B:$B,0))="","",INDEX(Roster!$E:$E,MATCH($C1248,Roster!$B:$B,0))&amp;""),"—"))</f>
        <v/>
      </c>
      <c r="H1248" s="25">
        <f>IF($C1248="","",IFERROR(IF(INDEX(Roster!$F:$F,MATCH($C1248,Roster!$B:$B,0))="","",INDEX(Roster!$F:$F,MATCH($C1248,Roster!$B:$B,0))&amp;""),"—"))</f>
        <v/>
      </c>
      <c r="I1248" s="25">
        <f>IF($C1248="","",IFERROR(IF(INDEX(Roster!$G:$G,MATCH($C1248,Roster!$B:$B,0))="","",INDEX(Roster!$G:$G,MATCH($C1248,Roster!$B:$B,0))&amp;""),"—"))</f>
        <v/>
      </c>
      <c r="J1248" s="25">
        <f>IF($C1248="","",IFERROR(IF(INDEX(Roster!$I:$I,MATCH($C1248,Roster!$B:$B,0))="","",INDEX(Roster!$I:$I,MATCH($C1248,Roster!$B:$B,0))&amp;""),"—"))</f>
        <v/>
      </c>
      <c r="K1248">
        <f>IF($C1248="","",IFERROR(IF(INDEX(Roster!$J:$J,MATCH($C1248,Roster!$B:$B,0))="","",INDEX(Roster!$J:$J,MATCH($C1248,Roster!$B:$B,0))&amp;""),"—"))</f>
        <v/>
      </c>
      <c r="L1248">
        <f>IF($C1248="","",IFERROR(IF(INDEX(Roster!$K:$K,MATCH($C1248,Roster!$B:$B,0))="","",INDEX(Roster!$K:$K,MATCH($C1248,Roster!$B:$B,0))&amp;""),"—"))</f>
        <v/>
      </c>
      <c r="M1248" s="27" t="n"/>
      <c r="N1248" s="27" t="n"/>
      <c r="O1248" s="25">
        <f>IF($C1248="","",IF($P1248="","—",IF($P1248="Valid (Pass)","Valid","Invalid")))</f>
        <v/>
      </c>
      <c r="P1248" s="27" t="n"/>
      <c r="Q1248" s="27" t="n"/>
      <c r="R1248" s="27" t="n"/>
      <c r="S1248" s="27" t="n"/>
      <c r="T1248" s="25">
        <f>IF($C1248="","",IF(OR(ISNUMBER(SEARCH("quick case",$P1248)),ISNUMBER(SEARCH("quick case",$Q1248))),"Yes","No"))</f>
        <v/>
      </c>
      <c r="U1248" s="25">
        <f>IF($O1248="Invalid",HYPERLINK("mailto:"&amp;$G1248&amp;";"&amp;$I1248&amp;"?cc="&amp;Lists!$E$2&amp;"&amp;subject="&amp;_xlfn.ENCODEURL("[INVALID] Quality audit monitoring completed for "&amp;UPPER($C1248))&amp;"&amp;body="&amp;_xlfn.ENCODEURL("Hi "&amp;$F1248&amp;","&amp;CHAR(10)&amp;"Good day!"&amp;CHAR(10)&amp;CHAR(10)&amp;"A quality monitoring audit has been completed for "&amp;$C1248&amp;"."&amp;CHAR(10)&amp;CHAR(10)&amp;"QUALITY AUDIT DETAILS"&amp;CHAR(10)&amp;"Agent Name: "&amp;$C1248&amp;" (EID "&amp;$D1248&amp;")"&amp;CHAR(10)&amp;"Audit Date: "&amp;TEXT($B1248,"yyyy-mm-dd")&amp;CHAR(10)&amp;"Team Leader: "&amp;$F1248&amp;CHAR(10)&amp;"Case Number: "&amp;$M1248&amp;CHAR(10)&amp;"Transaction ID: "&amp;$N1248&amp;CHAR(10)&amp;"Channel / LOB: "&amp;$K1248&amp;" / "&amp;$L1248&amp;CHAR(10)&amp;"Evaluator: "&amp;$S1248&amp;CHAR(10)&amp;CHAR(10)&amp;"INVALID QUALITY AUDIT DETAILS"&amp;CHAR(10)&amp;"Validation: Invalid"&amp;CHAR(10)&amp;"Invalid Reason: "&amp;$P1248&amp;CHAR(10)&amp;"Expected Resolution Code: "&amp;$Q1248&amp;CHAR(10)&amp;"Remarks: "&amp;LEFT($R1248,600)&amp;CHAR(10)&amp;CHAR(10)&amp;"This is an automated notification from HP Mainstream EQMS."),"✉ Open Email Draft"),"")</f>
        <v/>
      </c>
    </row>
    <row r="1249">
      <c r="A1249" s="25">
        <f>IF($C1249="","","AUD-2026-"&amp;TEXT(ROW()-1,"000000"))</f>
        <v/>
      </c>
      <c r="B1249" s="26" t="n"/>
      <c r="C1249" s="27" t="n"/>
      <c r="D1249" s="25">
        <f>IF($C1249="","",IFERROR(IF(INDEX(Roster!$A:$A,MATCH($C1249,Roster!$B:$B,0))="","",INDEX(Roster!$A:$A,MATCH($C1249,Roster!$B:$B,0))&amp;""),"—"))</f>
        <v/>
      </c>
      <c r="E1249" s="25">
        <f>IF($C1249="","",IFERROR(IF(INDEX(Roster!$C:$C,MATCH($C1249,Roster!$B:$B,0))="","",INDEX(Roster!$C:$C,MATCH($C1249,Roster!$B:$B,0))&amp;""),"—"))</f>
        <v/>
      </c>
      <c r="F1249" s="25">
        <f>IF($C1249="","",IFERROR(IF(INDEX(Roster!$D:$D,MATCH($C1249,Roster!$B:$B,0))="","",INDEX(Roster!$D:$D,MATCH($C1249,Roster!$B:$B,0))&amp;""),"—"))</f>
        <v/>
      </c>
      <c r="G1249" s="25">
        <f>IF($C1249="","",IFERROR(IF(INDEX(Roster!$E:$E,MATCH($C1249,Roster!$B:$B,0))="","",INDEX(Roster!$E:$E,MATCH($C1249,Roster!$B:$B,0))&amp;""),"—"))</f>
        <v/>
      </c>
      <c r="H1249" s="25">
        <f>IF($C1249="","",IFERROR(IF(INDEX(Roster!$F:$F,MATCH($C1249,Roster!$B:$B,0))="","",INDEX(Roster!$F:$F,MATCH($C1249,Roster!$B:$B,0))&amp;""),"—"))</f>
        <v/>
      </c>
      <c r="I1249" s="25">
        <f>IF($C1249="","",IFERROR(IF(INDEX(Roster!$G:$G,MATCH($C1249,Roster!$B:$B,0))="","",INDEX(Roster!$G:$G,MATCH($C1249,Roster!$B:$B,0))&amp;""),"—"))</f>
        <v/>
      </c>
      <c r="J1249" s="25">
        <f>IF($C1249="","",IFERROR(IF(INDEX(Roster!$I:$I,MATCH($C1249,Roster!$B:$B,0))="","",INDEX(Roster!$I:$I,MATCH($C1249,Roster!$B:$B,0))&amp;""),"—"))</f>
        <v/>
      </c>
      <c r="K1249">
        <f>IF($C1249="","",IFERROR(IF(INDEX(Roster!$J:$J,MATCH($C1249,Roster!$B:$B,0))="","",INDEX(Roster!$J:$J,MATCH($C1249,Roster!$B:$B,0))&amp;""),"—"))</f>
        <v/>
      </c>
      <c r="L1249">
        <f>IF($C1249="","",IFERROR(IF(INDEX(Roster!$K:$K,MATCH($C1249,Roster!$B:$B,0))="","",INDEX(Roster!$K:$K,MATCH($C1249,Roster!$B:$B,0))&amp;""),"—"))</f>
        <v/>
      </c>
      <c r="M1249" s="27" t="n"/>
      <c r="N1249" s="27" t="n"/>
      <c r="O1249" s="25">
        <f>IF($C1249="","",IF($P1249="","—",IF($P1249="Valid (Pass)","Valid","Invalid")))</f>
        <v/>
      </c>
      <c r="P1249" s="27" t="n"/>
      <c r="Q1249" s="27" t="n"/>
      <c r="R1249" s="27" t="n"/>
      <c r="S1249" s="27" t="n"/>
      <c r="T1249" s="25">
        <f>IF($C1249="","",IF(OR(ISNUMBER(SEARCH("quick case",$P1249)),ISNUMBER(SEARCH("quick case",$Q1249))),"Yes","No"))</f>
        <v/>
      </c>
      <c r="U1249" s="25">
        <f>IF($O1249="Invalid",HYPERLINK("mailto:"&amp;$G1249&amp;";"&amp;$I1249&amp;"?cc="&amp;Lists!$E$2&amp;"&amp;subject="&amp;_xlfn.ENCODEURL("[INVALID] Quality audit monitoring completed for "&amp;UPPER($C1249))&amp;"&amp;body="&amp;_xlfn.ENCODEURL("Hi "&amp;$F1249&amp;","&amp;CHAR(10)&amp;"Good day!"&amp;CHAR(10)&amp;CHAR(10)&amp;"A quality monitoring audit has been completed for "&amp;$C1249&amp;"."&amp;CHAR(10)&amp;CHAR(10)&amp;"QUALITY AUDIT DETAILS"&amp;CHAR(10)&amp;"Agent Name: "&amp;$C1249&amp;" (EID "&amp;$D1249&amp;")"&amp;CHAR(10)&amp;"Audit Date: "&amp;TEXT($B1249,"yyyy-mm-dd")&amp;CHAR(10)&amp;"Team Leader: "&amp;$F1249&amp;CHAR(10)&amp;"Case Number: "&amp;$M1249&amp;CHAR(10)&amp;"Transaction ID: "&amp;$N1249&amp;CHAR(10)&amp;"Channel / LOB: "&amp;$K1249&amp;" / "&amp;$L1249&amp;CHAR(10)&amp;"Evaluator: "&amp;$S1249&amp;CHAR(10)&amp;CHAR(10)&amp;"INVALID QUALITY AUDIT DETAILS"&amp;CHAR(10)&amp;"Validation: Invalid"&amp;CHAR(10)&amp;"Invalid Reason: "&amp;$P1249&amp;CHAR(10)&amp;"Expected Resolution Code: "&amp;$Q1249&amp;CHAR(10)&amp;"Remarks: "&amp;LEFT($R1249,600)&amp;CHAR(10)&amp;CHAR(10)&amp;"This is an automated notification from HP Mainstream EQMS."),"✉ Open Email Draft"),"")</f>
        <v/>
      </c>
    </row>
    <row r="1250">
      <c r="A1250" s="25">
        <f>IF($C1250="","","AUD-2026-"&amp;TEXT(ROW()-1,"000000"))</f>
        <v/>
      </c>
      <c r="B1250" s="26" t="n"/>
      <c r="C1250" s="27" t="n"/>
      <c r="D1250" s="25">
        <f>IF($C1250="","",IFERROR(IF(INDEX(Roster!$A:$A,MATCH($C1250,Roster!$B:$B,0))="","",INDEX(Roster!$A:$A,MATCH($C1250,Roster!$B:$B,0))&amp;""),"—"))</f>
        <v/>
      </c>
      <c r="E1250" s="25">
        <f>IF($C1250="","",IFERROR(IF(INDEX(Roster!$C:$C,MATCH($C1250,Roster!$B:$B,0))="","",INDEX(Roster!$C:$C,MATCH($C1250,Roster!$B:$B,0))&amp;""),"—"))</f>
        <v/>
      </c>
      <c r="F1250" s="25">
        <f>IF($C1250="","",IFERROR(IF(INDEX(Roster!$D:$D,MATCH($C1250,Roster!$B:$B,0))="","",INDEX(Roster!$D:$D,MATCH($C1250,Roster!$B:$B,0))&amp;""),"—"))</f>
        <v/>
      </c>
      <c r="G1250" s="25">
        <f>IF($C1250="","",IFERROR(IF(INDEX(Roster!$E:$E,MATCH($C1250,Roster!$B:$B,0))="","",INDEX(Roster!$E:$E,MATCH($C1250,Roster!$B:$B,0))&amp;""),"—"))</f>
        <v/>
      </c>
      <c r="H1250" s="25">
        <f>IF($C1250="","",IFERROR(IF(INDEX(Roster!$F:$F,MATCH($C1250,Roster!$B:$B,0))="","",INDEX(Roster!$F:$F,MATCH($C1250,Roster!$B:$B,0))&amp;""),"—"))</f>
        <v/>
      </c>
      <c r="I1250" s="25">
        <f>IF($C1250="","",IFERROR(IF(INDEX(Roster!$G:$G,MATCH($C1250,Roster!$B:$B,0))="","",INDEX(Roster!$G:$G,MATCH($C1250,Roster!$B:$B,0))&amp;""),"—"))</f>
        <v/>
      </c>
      <c r="J1250" s="25">
        <f>IF($C1250="","",IFERROR(IF(INDEX(Roster!$I:$I,MATCH($C1250,Roster!$B:$B,0))="","",INDEX(Roster!$I:$I,MATCH($C1250,Roster!$B:$B,0))&amp;""),"—"))</f>
        <v/>
      </c>
      <c r="K1250">
        <f>IF($C1250="","",IFERROR(IF(INDEX(Roster!$J:$J,MATCH($C1250,Roster!$B:$B,0))="","",INDEX(Roster!$J:$J,MATCH($C1250,Roster!$B:$B,0))&amp;""),"—"))</f>
        <v/>
      </c>
      <c r="L1250">
        <f>IF($C1250="","",IFERROR(IF(INDEX(Roster!$K:$K,MATCH($C1250,Roster!$B:$B,0))="","",INDEX(Roster!$K:$K,MATCH($C1250,Roster!$B:$B,0))&amp;""),"—"))</f>
        <v/>
      </c>
      <c r="M1250" s="27" t="n"/>
      <c r="N1250" s="27" t="n"/>
      <c r="O1250" s="25">
        <f>IF($C1250="","",IF($P1250="","—",IF($P1250="Valid (Pass)","Valid","Invalid")))</f>
        <v/>
      </c>
      <c r="P1250" s="27" t="n"/>
      <c r="Q1250" s="27" t="n"/>
      <c r="R1250" s="27" t="n"/>
      <c r="S1250" s="27" t="n"/>
      <c r="T1250" s="25">
        <f>IF($C1250="","",IF(OR(ISNUMBER(SEARCH("quick case",$P1250)),ISNUMBER(SEARCH("quick case",$Q1250))),"Yes","No"))</f>
        <v/>
      </c>
      <c r="U1250" s="25">
        <f>IF($O1250="Invalid",HYPERLINK("mailto:"&amp;$G1250&amp;";"&amp;$I1250&amp;"?cc="&amp;Lists!$E$2&amp;"&amp;subject="&amp;_xlfn.ENCODEURL("[INVALID] Quality audit monitoring completed for "&amp;UPPER($C1250))&amp;"&amp;body="&amp;_xlfn.ENCODEURL("Hi "&amp;$F1250&amp;","&amp;CHAR(10)&amp;"Good day!"&amp;CHAR(10)&amp;CHAR(10)&amp;"A quality monitoring audit has been completed for "&amp;$C1250&amp;"."&amp;CHAR(10)&amp;CHAR(10)&amp;"QUALITY AUDIT DETAILS"&amp;CHAR(10)&amp;"Agent Name: "&amp;$C1250&amp;" (EID "&amp;$D1250&amp;")"&amp;CHAR(10)&amp;"Audit Date: "&amp;TEXT($B1250,"yyyy-mm-dd")&amp;CHAR(10)&amp;"Team Leader: "&amp;$F1250&amp;CHAR(10)&amp;"Case Number: "&amp;$M1250&amp;CHAR(10)&amp;"Transaction ID: "&amp;$N1250&amp;CHAR(10)&amp;"Channel / LOB: "&amp;$K1250&amp;" / "&amp;$L1250&amp;CHAR(10)&amp;"Evaluator: "&amp;$S1250&amp;CHAR(10)&amp;CHAR(10)&amp;"INVALID QUALITY AUDIT DETAILS"&amp;CHAR(10)&amp;"Validation: Invalid"&amp;CHAR(10)&amp;"Invalid Reason: "&amp;$P1250&amp;CHAR(10)&amp;"Expected Resolution Code: "&amp;$Q1250&amp;CHAR(10)&amp;"Remarks: "&amp;LEFT($R1250,600)&amp;CHAR(10)&amp;CHAR(10)&amp;"This is an automated notification from HP Mainstream EQMS."),"✉ Open Email Draft"),"")</f>
        <v/>
      </c>
    </row>
    <row r="1251">
      <c r="A1251" s="25">
        <f>IF($C1251="","","AUD-2026-"&amp;TEXT(ROW()-1,"000000"))</f>
        <v/>
      </c>
      <c r="B1251" s="26" t="n"/>
      <c r="C1251" s="27" t="n"/>
      <c r="D1251" s="25">
        <f>IF($C1251="","",IFERROR(IF(INDEX(Roster!$A:$A,MATCH($C1251,Roster!$B:$B,0))="","",INDEX(Roster!$A:$A,MATCH($C1251,Roster!$B:$B,0))&amp;""),"—"))</f>
        <v/>
      </c>
      <c r="E1251" s="25">
        <f>IF($C1251="","",IFERROR(IF(INDEX(Roster!$C:$C,MATCH($C1251,Roster!$B:$B,0))="","",INDEX(Roster!$C:$C,MATCH($C1251,Roster!$B:$B,0))&amp;""),"—"))</f>
        <v/>
      </c>
      <c r="F1251" s="25">
        <f>IF($C1251="","",IFERROR(IF(INDEX(Roster!$D:$D,MATCH($C1251,Roster!$B:$B,0))="","",INDEX(Roster!$D:$D,MATCH($C1251,Roster!$B:$B,0))&amp;""),"—"))</f>
        <v/>
      </c>
      <c r="G1251" s="25">
        <f>IF($C1251="","",IFERROR(IF(INDEX(Roster!$E:$E,MATCH($C1251,Roster!$B:$B,0))="","",INDEX(Roster!$E:$E,MATCH($C1251,Roster!$B:$B,0))&amp;""),"—"))</f>
        <v/>
      </c>
      <c r="H1251" s="25">
        <f>IF($C1251="","",IFERROR(IF(INDEX(Roster!$F:$F,MATCH($C1251,Roster!$B:$B,0))="","",INDEX(Roster!$F:$F,MATCH($C1251,Roster!$B:$B,0))&amp;""),"—"))</f>
        <v/>
      </c>
      <c r="I1251" s="25">
        <f>IF($C1251="","",IFERROR(IF(INDEX(Roster!$G:$G,MATCH($C1251,Roster!$B:$B,0))="","",INDEX(Roster!$G:$G,MATCH($C1251,Roster!$B:$B,0))&amp;""),"—"))</f>
        <v/>
      </c>
      <c r="J1251" s="25">
        <f>IF($C1251="","",IFERROR(IF(INDEX(Roster!$I:$I,MATCH($C1251,Roster!$B:$B,0))="","",INDEX(Roster!$I:$I,MATCH($C1251,Roster!$B:$B,0))&amp;""),"—"))</f>
        <v/>
      </c>
      <c r="K1251">
        <f>IF($C1251="","",IFERROR(IF(INDEX(Roster!$J:$J,MATCH($C1251,Roster!$B:$B,0))="","",INDEX(Roster!$J:$J,MATCH($C1251,Roster!$B:$B,0))&amp;""),"—"))</f>
        <v/>
      </c>
      <c r="L1251">
        <f>IF($C1251="","",IFERROR(IF(INDEX(Roster!$K:$K,MATCH($C1251,Roster!$B:$B,0))="","",INDEX(Roster!$K:$K,MATCH($C1251,Roster!$B:$B,0))&amp;""),"—"))</f>
        <v/>
      </c>
      <c r="M1251" s="27" t="n"/>
      <c r="N1251" s="27" t="n"/>
      <c r="O1251" s="25">
        <f>IF($C1251="","",IF($P1251="","—",IF($P1251="Valid (Pass)","Valid","Invalid")))</f>
        <v/>
      </c>
      <c r="P1251" s="27" t="n"/>
      <c r="Q1251" s="27" t="n"/>
      <c r="R1251" s="27" t="n"/>
      <c r="S1251" s="27" t="n"/>
      <c r="T1251" s="25">
        <f>IF($C1251="","",IF(OR(ISNUMBER(SEARCH("quick case",$P1251)),ISNUMBER(SEARCH("quick case",$Q1251))),"Yes","No"))</f>
        <v/>
      </c>
      <c r="U1251" s="25">
        <f>IF($O1251="Invalid",HYPERLINK("mailto:"&amp;$G1251&amp;";"&amp;$I1251&amp;"?cc="&amp;Lists!$E$2&amp;"&amp;subject="&amp;_xlfn.ENCODEURL("[INVALID] Quality audit monitoring completed for "&amp;UPPER($C1251))&amp;"&amp;body="&amp;_xlfn.ENCODEURL("Hi "&amp;$F1251&amp;","&amp;CHAR(10)&amp;"Good day!"&amp;CHAR(10)&amp;CHAR(10)&amp;"A quality monitoring audit has been completed for "&amp;$C1251&amp;"."&amp;CHAR(10)&amp;CHAR(10)&amp;"QUALITY AUDIT DETAILS"&amp;CHAR(10)&amp;"Agent Name: "&amp;$C1251&amp;" (EID "&amp;$D1251&amp;")"&amp;CHAR(10)&amp;"Audit Date: "&amp;TEXT($B1251,"yyyy-mm-dd")&amp;CHAR(10)&amp;"Team Leader: "&amp;$F1251&amp;CHAR(10)&amp;"Case Number: "&amp;$M1251&amp;CHAR(10)&amp;"Transaction ID: "&amp;$N1251&amp;CHAR(10)&amp;"Channel / LOB: "&amp;$K1251&amp;" / "&amp;$L1251&amp;CHAR(10)&amp;"Evaluator: "&amp;$S1251&amp;CHAR(10)&amp;CHAR(10)&amp;"INVALID QUALITY AUDIT DETAILS"&amp;CHAR(10)&amp;"Validation: Invalid"&amp;CHAR(10)&amp;"Invalid Reason: "&amp;$P1251&amp;CHAR(10)&amp;"Expected Resolution Code: "&amp;$Q1251&amp;CHAR(10)&amp;"Remarks: "&amp;LEFT($R1251,600)&amp;CHAR(10)&amp;CHAR(10)&amp;"This is an automated notification from HP Mainstream EQMS."),"✉ Open Email Draft"),"")</f>
        <v/>
      </c>
    </row>
    <row r="1252">
      <c r="A1252" s="25">
        <f>IF($C1252="","","AUD-2026-"&amp;TEXT(ROW()-1,"000000"))</f>
        <v/>
      </c>
      <c r="B1252" s="26" t="n"/>
      <c r="C1252" s="27" t="n"/>
      <c r="D1252" s="25">
        <f>IF($C1252="","",IFERROR(IF(INDEX(Roster!$A:$A,MATCH($C1252,Roster!$B:$B,0))="","",INDEX(Roster!$A:$A,MATCH($C1252,Roster!$B:$B,0))&amp;""),"—"))</f>
        <v/>
      </c>
      <c r="E1252" s="25">
        <f>IF($C1252="","",IFERROR(IF(INDEX(Roster!$C:$C,MATCH($C1252,Roster!$B:$B,0))="","",INDEX(Roster!$C:$C,MATCH($C1252,Roster!$B:$B,0))&amp;""),"—"))</f>
        <v/>
      </c>
      <c r="F1252" s="25">
        <f>IF($C1252="","",IFERROR(IF(INDEX(Roster!$D:$D,MATCH($C1252,Roster!$B:$B,0))="","",INDEX(Roster!$D:$D,MATCH($C1252,Roster!$B:$B,0))&amp;""),"—"))</f>
        <v/>
      </c>
      <c r="G1252" s="25">
        <f>IF($C1252="","",IFERROR(IF(INDEX(Roster!$E:$E,MATCH($C1252,Roster!$B:$B,0))="","",INDEX(Roster!$E:$E,MATCH($C1252,Roster!$B:$B,0))&amp;""),"—"))</f>
        <v/>
      </c>
      <c r="H1252" s="25">
        <f>IF($C1252="","",IFERROR(IF(INDEX(Roster!$F:$F,MATCH($C1252,Roster!$B:$B,0))="","",INDEX(Roster!$F:$F,MATCH($C1252,Roster!$B:$B,0))&amp;""),"—"))</f>
        <v/>
      </c>
      <c r="I1252" s="25">
        <f>IF($C1252="","",IFERROR(IF(INDEX(Roster!$G:$G,MATCH($C1252,Roster!$B:$B,0))="","",INDEX(Roster!$G:$G,MATCH($C1252,Roster!$B:$B,0))&amp;""),"—"))</f>
        <v/>
      </c>
      <c r="J1252" s="25">
        <f>IF($C1252="","",IFERROR(IF(INDEX(Roster!$I:$I,MATCH($C1252,Roster!$B:$B,0))="","",INDEX(Roster!$I:$I,MATCH($C1252,Roster!$B:$B,0))&amp;""),"—"))</f>
        <v/>
      </c>
      <c r="K1252">
        <f>IF($C1252="","",IFERROR(IF(INDEX(Roster!$J:$J,MATCH($C1252,Roster!$B:$B,0))="","",INDEX(Roster!$J:$J,MATCH($C1252,Roster!$B:$B,0))&amp;""),"—"))</f>
        <v/>
      </c>
      <c r="L1252">
        <f>IF($C1252="","",IFERROR(IF(INDEX(Roster!$K:$K,MATCH($C1252,Roster!$B:$B,0))="","",INDEX(Roster!$K:$K,MATCH($C1252,Roster!$B:$B,0))&amp;""),"—"))</f>
        <v/>
      </c>
      <c r="M1252" s="27" t="n"/>
      <c r="N1252" s="27" t="n"/>
      <c r="O1252" s="25">
        <f>IF($C1252="","",IF($P1252="","—",IF($P1252="Valid (Pass)","Valid","Invalid")))</f>
        <v/>
      </c>
      <c r="P1252" s="27" t="n"/>
      <c r="Q1252" s="27" t="n"/>
      <c r="R1252" s="27" t="n"/>
      <c r="S1252" s="27" t="n"/>
      <c r="T1252" s="25">
        <f>IF($C1252="","",IF(OR(ISNUMBER(SEARCH("quick case",$P1252)),ISNUMBER(SEARCH("quick case",$Q1252))),"Yes","No"))</f>
        <v/>
      </c>
      <c r="U1252" s="25">
        <f>IF($O1252="Invalid",HYPERLINK("mailto:"&amp;$G1252&amp;";"&amp;$I1252&amp;"?cc="&amp;Lists!$E$2&amp;"&amp;subject="&amp;_xlfn.ENCODEURL("[INVALID] Quality audit monitoring completed for "&amp;UPPER($C1252))&amp;"&amp;body="&amp;_xlfn.ENCODEURL("Hi "&amp;$F1252&amp;","&amp;CHAR(10)&amp;"Good day!"&amp;CHAR(10)&amp;CHAR(10)&amp;"A quality monitoring audit has been completed for "&amp;$C1252&amp;"."&amp;CHAR(10)&amp;CHAR(10)&amp;"QUALITY AUDIT DETAILS"&amp;CHAR(10)&amp;"Agent Name: "&amp;$C1252&amp;" (EID "&amp;$D1252&amp;")"&amp;CHAR(10)&amp;"Audit Date: "&amp;TEXT($B1252,"yyyy-mm-dd")&amp;CHAR(10)&amp;"Team Leader: "&amp;$F1252&amp;CHAR(10)&amp;"Case Number: "&amp;$M1252&amp;CHAR(10)&amp;"Transaction ID: "&amp;$N1252&amp;CHAR(10)&amp;"Channel / LOB: "&amp;$K1252&amp;" / "&amp;$L1252&amp;CHAR(10)&amp;"Evaluator: "&amp;$S1252&amp;CHAR(10)&amp;CHAR(10)&amp;"INVALID QUALITY AUDIT DETAILS"&amp;CHAR(10)&amp;"Validation: Invalid"&amp;CHAR(10)&amp;"Invalid Reason: "&amp;$P1252&amp;CHAR(10)&amp;"Expected Resolution Code: "&amp;$Q1252&amp;CHAR(10)&amp;"Remarks: "&amp;LEFT($R1252,600)&amp;CHAR(10)&amp;CHAR(10)&amp;"This is an automated notification from HP Mainstream EQMS."),"✉ Open Email Draft"),"")</f>
        <v/>
      </c>
    </row>
    <row r="1253">
      <c r="A1253" s="25">
        <f>IF($C1253="","","AUD-2026-"&amp;TEXT(ROW()-1,"000000"))</f>
        <v/>
      </c>
      <c r="B1253" s="26" t="n"/>
      <c r="C1253" s="27" t="n"/>
      <c r="D1253" s="25">
        <f>IF($C1253="","",IFERROR(IF(INDEX(Roster!$A:$A,MATCH($C1253,Roster!$B:$B,0))="","",INDEX(Roster!$A:$A,MATCH($C1253,Roster!$B:$B,0))&amp;""),"—"))</f>
        <v/>
      </c>
      <c r="E1253" s="25">
        <f>IF($C1253="","",IFERROR(IF(INDEX(Roster!$C:$C,MATCH($C1253,Roster!$B:$B,0))="","",INDEX(Roster!$C:$C,MATCH($C1253,Roster!$B:$B,0))&amp;""),"—"))</f>
        <v/>
      </c>
      <c r="F1253" s="25">
        <f>IF($C1253="","",IFERROR(IF(INDEX(Roster!$D:$D,MATCH($C1253,Roster!$B:$B,0))="","",INDEX(Roster!$D:$D,MATCH($C1253,Roster!$B:$B,0))&amp;""),"—"))</f>
        <v/>
      </c>
      <c r="G1253" s="25">
        <f>IF($C1253="","",IFERROR(IF(INDEX(Roster!$E:$E,MATCH($C1253,Roster!$B:$B,0))="","",INDEX(Roster!$E:$E,MATCH($C1253,Roster!$B:$B,0))&amp;""),"—"))</f>
        <v/>
      </c>
      <c r="H1253" s="25">
        <f>IF($C1253="","",IFERROR(IF(INDEX(Roster!$F:$F,MATCH($C1253,Roster!$B:$B,0))="","",INDEX(Roster!$F:$F,MATCH($C1253,Roster!$B:$B,0))&amp;""),"—"))</f>
        <v/>
      </c>
      <c r="I1253" s="25">
        <f>IF($C1253="","",IFERROR(IF(INDEX(Roster!$G:$G,MATCH($C1253,Roster!$B:$B,0))="","",INDEX(Roster!$G:$G,MATCH($C1253,Roster!$B:$B,0))&amp;""),"—"))</f>
        <v/>
      </c>
      <c r="J1253" s="25">
        <f>IF($C1253="","",IFERROR(IF(INDEX(Roster!$I:$I,MATCH($C1253,Roster!$B:$B,0))="","",INDEX(Roster!$I:$I,MATCH($C1253,Roster!$B:$B,0))&amp;""),"—"))</f>
        <v/>
      </c>
      <c r="K1253">
        <f>IF($C1253="","",IFERROR(IF(INDEX(Roster!$J:$J,MATCH($C1253,Roster!$B:$B,0))="","",INDEX(Roster!$J:$J,MATCH($C1253,Roster!$B:$B,0))&amp;""),"—"))</f>
        <v/>
      </c>
      <c r="L1253">
        <f>IF($C1253="","",IFERROR(IF(INDEX(Roster!$K:$K,MATCH($C1253,Roster!$B:$B,0))="","",INDEX(Roster!$K:$K,MATCH($C1253,Roster!$B:$B,0))&amp;""),"—"))</f>
        <v/>
      </c>
      <c r="M1253" s="27" t="n"/>
      <c r="N1253" s="27" t="n"/>
      <c r="O1253" s="25">
        <f>IF($C1253="","",IF($P1253="","—",IF($P1253="Valid (Pass)","Valid","Invalid")))</f>
        <v/>
      </c>
      <c r="P1253" s="27" t="n"/>
      <c r="Q1253" s="27" t="n"/>
      <c r="R1253" s="27" t="n"/>
      <c r="S1253" s="27" t="n"/>
      <c r="T1253" s="25">
        <f>IF($C1253="","",IF(OR(ISNUMBER(SEARCH("quick case",$P1253)),ISNUMBER(SEARCH("quick case",$Q1253))),"Yes","No"))</f>
        <v/>
      </c>
      <c r="U1253" s="25">
        <f>IF($O1253="Invalid",HYPERLINK("mailto:"&amp;$G1253&amp;";"&amp;$I1253&amp;"?cc="&amp;Lists!$E$2&amp;"&amp;subject="&amp;_xlfn.ENCODEURL("[INVALID] Quality audit monitoring completed for "&amp;UPPER($C1253))&amp;"&amp;body="&amp;_xlfn.ENCODEURL("Hi "&amp;$F1253&amp;","&amp;CHAR(10)&amp;"Good day!"&amp;CHAR(10)&amp;CHAR(10)&amp;"A quality monitoring audit has been completed for "&amp;$C1253&amp;"."&amp;CHAR(10)&amp;CHAR(10)&amp;"QUALITY AUDIT DETAILS"&amp;CHAR(10)&amp;"Agent Name: "&amp;$C1253&amp;" (EID "&amp;$D1253&amp;")"&amp;CHAR(10)&amp;"Audit Date: "&amp;TEXT($B1253,"yyyy-mm-dd")&amp;CHAR(10)&amp;"Team Leader: "&amp;$F1253&amp;CHAR(10)&amp;"Case Number: "&amp;$M1253&amp;CHAR(10)&amp;"Transaction ID: "&amp;$N1253&amp;CHAR(10)&amp;"Channel / LOB: "&amp;$K1253&amp;" / "&amp;$L1253&amp;CHAR(10)&amp;"Evaluator: "&amp;$S1253&amp;CHAR(10)&amp;CHAR(10)&amp;"INVALID QUALITY AUDIT DETAILS"&amp;CHAR(10)&amp;"Validation: Invalid"&amp;CHAR(10)&amp;"Invalid Reason: "&amp;$P1253&amp;CHAR(10)&amp;"Expected Resolution Code: "&amp;$Q1253&amp;CHAR(10)&amp;"Remarks: "&amp;LEFT($R1253,600)&amp;CHAR(10)&amp;CHAR(10)&amp;"This is an automated notification from HP Mainstream EQMS."),"✉ Open Email Draft"),"")</f>
        <v/>
      </c>
    </row>
    <row r="1254">
      <c r="A1254" s="25">
        <f>IF($C1254="","","AUD-2026-"&amp;TEXT(ROW()-1,"000000"))</f>
        <v/>
      </c>
      <c r="B1254" s="26" t="n"/>
      <c r="C1254" s="27" t="n"/>
      <c r="D1254" s="25">
        <f>IF($C1254="","",IFERROR(IF(INDEX(Roster!$A:$A,MATCH($C1254,Roster!$B:$B,0))="","",INDEX(Roster!$A:$A,MATCH($C1254,Roster!$B:$B,0))&amp;""),"—"))</f>
        <v/>
      </c>
      <c r="E1254" s="25">
        <f>IF($C1254="","",IFERROR(IF(INDEX(Roster!$C:$C,MATCH($C1254,Roster!$B:$B,0))="","",INDEX(Roster!$C:$C,MATCH($C1254,Roster!$B:$B,0))&amp;""),"—"))</f>
        <v/>
      </c>
      <c r="F1254" s="25">
        <f>IF($C1254="","",IFERROR(IF(INDEX(Roster!$D:$D,MATCH($C1254,Roster!$B:$B,0))="","",INDEX(Roster!$D:$D,MATCH($C1254,Roster!$B:$B,0))&amp;""),"—"))</f>
        <v/>
      </c>
      <c r="G1254" s="25">
        <f>IF($C1254="","",IFERROR(IF(INDEX(Roster!$E:$E,MATCH($C1254,Roster!$B:$B,0))="","",INDEX(Roster!$E:$E,MATCH($C1254,Roster!$B:$B,0))&amp;""),"—"))</f>
        <v/>
      </c>
      <c r="H1254" s="25">
        <f>IF($C1254="","",IFERROR(IF(INDEX(Roster!$F:$F,MATCH($C1254,Roster!$B:$B,0))="","",INDEX(Roster!$F:$F,MATCH($C1254,Roster!$B:$B,0))&amp;""),"—"))</f>
        <v/>
      </c>
      <c r="I1254" s="25">
        <f>IF($C1254="","",IFERROR(IF(INDEX(Roster!$G:$G,MATCH($C1254,Roster!$B:$B,0))="","",INDEX(Roster!$G:$G,MATCH($C1254,Roster!$B:$B,0))&amp;""),"—"))</f>
        <v/>
      </c>
      <c r="J1254" s="25">
        <f>IF($C1254="","",IFERROR(IF(INDEX(Roster!$I:$I,MATCH($C1254,Roster!$B:$B,0))="","",INDEX(Roster!$I:$I,MATCH($C1254,Roster!$B:$B,0))&amp;""),"—"))</f>
        <v/>
      </c>
      <c r="K1254">
        <f>IF($C1254="","",IFERROR(IF(INDEX(Roster!$J:$J,MATCH($C1254,Roster!$B:$B,0))="","",INDEX(Roster!$J:$J,MATCH($C1254,Roster!$B:$B,0))&amp;""),"—"))</f>
        <v/>
      </c>
      <c r="L1254">
        <f>IF($C1254="","",IFERROR(IF(INDEX(Roster!$K:$K,MATCH($C1254,Roster!$B:$B,0))="","",INDEX(Roster!$K:$K,MATCH($C1254,Roster!$B:$B,0))&amp;""),"—"))</f>
        <v/>
      </c>
      <c r="M1254" s="27" t="n"/>
      <c r="N1254" s="27" t="n"/>
      <c r="O1254" s="25">
        <f>IF($C1254="","",IF($P1254="","—",IF($P1254="Valid (Pass)","Valid","Invalid")))</f>
        <v/>
      </c>
      <c r="P1254" s="27" t="n"/>
      <c r="Q1254" s="27" t="n"/>
      <c r="R1254" s="27" t="n"/>
      <c r="S1254" s="27" t="n"/>
      <c r="T1254" s="25">
        <f>IF($C1254="","",IF(OR(ISNUMBER(SEARCH("quick case",$P1254)),ISNUMBER(SEARCH("quick case",$Q1254))),"Yes","No"))</f>
        <v/>
      </c>
      <c r="U1254" s="25">
        <f>IF($O1254="Invalid",HYPERLINK("mailto:"&amp;$G1254&amp;";"&amp;$I1254&amp;"?cc="&amp;Lists!$E$2&amp;"&amp;subject="&amp;_xlfn.ENCODEURL("[INVALID] Quality audit monitoring completed for "&amp;UPPER($C1254))&amp;"&amp;body="&amp;_xlfn.ENCODEURL("Hi "&amp;$F1254&amp;","&amp;CHAR(10)&amp;"Good day!"&amp;CHAR(10)&amp;CHAR(10)&amp;"A quality monitoring audit has been completed for "&amp;$C1254&amp;"."&amp;CHAR(10)&amp;CHAR(10)&amp;"QUALITY AUDIT DETAILS"&amp;CHAR(10)&amp;"Agent Name: "&amp;$C1254&amp;" (EID "&amp;$D1254&amp;")"&amp;CHAR(10)&amp;"Audit Date: "&amp;TEXT($B1254,"yyyy-mm-dd")&amp;CHAR(10)&amp;"Team Leader: "&amp;$F1254&amp;CHAR(10)&amp;"Case Number: "&amp;$M1254&amp;CHAR(10)&amp;"Transaction ID: "&amp;$N1254&amp;CHAR(10)&amp;"Channel / LOB: "&amp;$K1254&amp;" / "&amp;$L1254&amp;CHAR(10)&amp;"Evaluator: "&amp;$S1254&amp;CHAR(10)&amp;CHAR(10)&amp;"INVALID QUALITY AUDIT DETAILS"&amp;CHAR(10)&amp;"Validation: Invalid"&amp;CHAR(10)&amp;"Invalid Reason: "&amp;$P1254&amp;CHAR(10)&amp;"Expected Resolution Code: "&amp;$Q1254&amp;CHAR(10)&amp;"Remarks: "&amp;LEFT($R1254,600)&amp;CHAR(10)&amp;CHAR(10)&amp;"This is an automated notification from HP Mainstream EQMS."),"✉ Open Email Draft"),"")</f>
        <v/>
      </c>
    </row>
    <row r="1255">
      <c r="A1255" s="25">
        <f>IF($C1255="","","AUD-2026-"&amp;TEXT(ROW()-1,"000000"))</f>
        <v/>
      </c>
      <c r="B1255" s="26" t="n"/>
      <c r="C1255" s="27" t="n"/>
      <c r="D1255" s="25">
        <f>IF($C1255="","",IFERROR(IF(INDEX(Roster!$A:$A,MATCH($C1255,Roster!$B:$B,0))="","",INDEX(Roster!$A:$A,MATCH($C1255,Roster!$B:$B,0))&amp;""),"—"))</f>
        <v/>
      </c>
      <c r="E1255" s="25">
        <f>IF($C1255="","",IFERROR(IF(INDEX(Roster!$C:$C,MATCH($C1255,Roster!$B:$B,0))="","",INDEX(Roster!$C:$C,MATCH($C1255,Roster!$B:$B,0))&amp;""),"—"))</f>
        <v/>
      </c>
      <c r="F1255" s="25">
        <f>IF($C1255="","",IFERROR(IF(INDEX(Roster!$D:$D,MATCH($C1255,Roster!$B:$B,0))="","",INDEX(Roster!$D:$D,MATCH($C1255,Roster!$B:$B,0))&amp;""),"—"))</f>
        <v/>
      </c>
      <c r="G1255" s="25">
        <f>IF($C1255="","",IFERROR(IF(INDEX(Roster!$E:$E,MATCH($C1255,Roster!$B:$B,0))="","",INDEX(Roster!$E:$E,MATCH($C1255,Roster!$B:$B,0))&amp;""),"—"))</f>
        <v/>
      </c>
      <c r="H1255" s="25">
        <f>IF($C1255="","",IFERROR(IF(INDEX(Roster!$F:$F,MATCH($C1255,Roster!$B:$B,0))="","",INDEX(Roster!$F:$F,MATCH($C1255,Roster!$B:$B,0))&amp;""),"—"))</f>
        <v/>
      </c>
      <c r="I1255" s="25">
        <f>IF($C1255="","",IFERROR(IF(INDEX(Roster!$G:$G,MATCH($C1255,Roster!$B:$B,0))="","",INDEX(Roster!$G:$G,MATCH($C1255,Roster!$B:$B,0))&amp;""),"—"))</f>
        <v/>
      </c>
      <c r="J1255" s="25">
        <f>IF($C1255="","",IFERROR(IF(INDEX(Roster!$I:$I,MATCH($C1255,Roster!$B:$B,0))="","",INDEX(Roster!$I:$I,MATCH($C1255,Roster!$B:$B,0))&amp;""),"—"))</f>
        <v/>
      </c>
      <c r="K1255">
        <f>IF($C1255="","",IFERROR(IF(INDEX(Roster!$J:$J,MATCH($C1255,Roster!$B:$B,0))="","",INDEX(Roster!$J:$J,MATCH($C1255,Roster!$B:$B,0))&amp;""),"—"))</f>
        <v/>
      </c>
      <c r="L1255">
        <f>IF($C1255="","",IFERROR(IF(INDEX(Roster!$K:$K,MATCH($C1255,Roster!$B:$B,0))="","",INDEX(Roster!$K:$K,MATCH($C1255,Roster!$B:$B,0))&amp;""),"—"))</f>
        <v/>
      </c>
      <c r="M1255" s="27" t="n"/>
      <c r="N1255" s="27" t="n"/>
      <c r="O1255" s="25">
        <f>IF($C1255="","",IF($P1255="","—",IF($P1255="Valid (Pass)","Valid","Invalid")))</f>
        <v/>
      </c>
      <c r="P1255" s="27" t="n"/>
      <c r="Q1255" s="27" t="n"/>
      <c r="R1255" s="27" t="n"/>
      <c r="S1255" s="27" t="n"/>
      <c r="T1255" s="25">
        <f>IF($C1255="","",IF(OR(ISNUMBER(SEARCH("quick case",$P1255)),ISNUMBER(SEARCH("quick case",$Q1255))),"Yes","No"))</f>
        <v/>
      </c>
      <c r="U1255" s="25">
        <f>IF($O1255="Invalid",HYPERLINK("mailto:"&amp;$G1255&amp;";"&amp;$I1255&amp;"?cc="&amp;Lists!$E$2&amp;"&amp;subject="&amp;_xlfn.ENCODEURL("[INVALID] Quality audit monitoring completed for "&amp;UPPER($C1255))&amp;"&amp;body="&amp;_xlfn.ENCODEURL("Hi "&amp;$F1255&amp;","&amp;CHAR(10)&amp;"Good day!"&amp;CHAR(10)&amp;CHAR(10)&amp;"A quality monitoring audit has been completed for "&amp;$C1255&amp;"."&amp;CHAR(10)&amp;CHAR(10)&amp;"QUALITY AUDIT DETAILS"&amp;CHAR(10)&amp;"Agent Name: "&amp;$C1255&amp;" (EID "&amp;$D1255&amp;")"&amp;CHAR(10)&amp;"Audit Date: "&amp;TEXT($B1255,"yyyy-mm-dd")&amp;CHAR(10)&amp;"Team Leader: "&amp;$F1255&amp;CHAR(10)&amp;"Case Number: "&amp;$M1255&amp;CHAR(10)&amp;"Transaction ID: "&amp;$N1255&amp;CHAR(10)&amp;"Channel / LOB: "&amp;$K1255&amp;" / "&amp;$L1255&amp;CHAR(10)&amp;"Evaluator: "&amp;$S1255&amp;CHAR(10)&amp;CHAR(10)&amp;"INVALID QUALITY AUDIT DETAILS"&amp;CHAR(10)&amp;"Validation: Invalid"&amp;CHAR(10)&amp;"Invalid Reason: "&amp;$P1255&amp;CHAR(10)&amp;"Expected Resolution Code: "&amp;$Q1255&amp;CHAR(10)&amp;"Remarks: "&amp;LEFT($R1255,600)&amp;CHAR(10)&amp;CHAR(10)&amp;"This is an automated notification from HP Mainstream EQMS."),"✉ Open Email Draft"),"")</f>
        <v/>
      </c>
    </row>
    <row r="1256">
      <c r="A1256" s="25">
        <f>IF($C1256="","","AUD-2026-"&amp;TEXT(ROW()-1,"000000"))</f>
        <v/>
      </c>
      <c r="B1256" s="26" t="n"/>
      <c r="C1256" s="27" t="n"/>
      <c r="D1256" s="25">
        <f>IF($C1256="","",IFERROR(IF(INDEX(Roster!$A:$A,MATCH($C1256,Roster!$B:$B,0))="","",INDEX(Roster!$A:$A,MATCH($C1256,Roster!$B:$B,0))&amp;""),"—"))</f>
        <v/>
      </c>
      <c r="E1256" s="25">
        <f>IF($C1256="","",IFERROR(IF(INDEX(Roster!$C:$C,MATCH($C1256,Roster!$B:$B,0))="","",INDEX(Roster!$C:$C,MATCH($C1256,Roster!$B:$B,0))&amp;""),"—"))</f>
        <v/>
      </c>
      <c r="F1256" s="25">
        <f>IF($C1256="","",IFERROR(IF(INDEX(Roster!$D:$D,MATCH($C1256,Roster!$B:$B,0))="","",INDEX(Roster!$D:$D,MATCH($C1256,Roster!$B:$B,0))&amp;""),"—"))</f>
        <v/>
      </c>
      <c r="G1256" s="25">
        <f>IF($C1256="","",IFERROR(IF(INDEX(Roster!$E:$E,MATCH($C1256,Roster!$B:$B,0))="","",INDEX(Roster!$E:$E,MATCH($C1256,Roster!$B:$B,0))&amp;""),"—"))</f>
        <v/>
      </c>
      <c r="H1256" s="25">
        <f>IF($C1256="","",IFERROR(IF(INDEX(Roster!$F:$F,MATCH($C1256,Roster!$B:$B,0))="","",INDEX(Roster!$F:$F,MATCH($C1256,Roster!$B:$B,0))&amp;""),"—"))</f>
        <v/>
      </c>
      <c r="I1256" s="25">
        <f>IF($C1256="","",IFERROR(IF(INDEX(Roster!$G:$G,MATCH($C1256,Roster!$B:$B,0))="","",INDEX(Roster!$G:$G,MATCH($C1256,Roster!$B:$B,0))&amp;""),"—"))</f>
        <v/>
      </c>
      <c r="J1256" s="25">
        <f>IF($C1256="","",IFERROR(IF(INDEX(Roster!$I:$I,MATCH($C1256,Roster!$B:$B,0))="","",INDEX(Roster!$I:$I,MATCH($C1256,Roster!$B:$B,0))&amp;""),"—"))</f>
        <v/>
      </c>
      <c r="K1256">
        <f>IF($C1256="","",IFERROR(IF(INDEX(Roster!$J:$J,MATCH($C1256,Roster!$B:$B,0))="","",INDEX(Roster!$J:$J,MATCH($C1256,Roster!$B:$B,0))&amp;""),"—"))</f>
        <v/>
      </c>
      <c r="L1256">
        <f>IF($C1256="","",IFERROR(IF(INDEX(Roster!$K:$K,MATCH($C1256,Roster!$B:$B,0))="","",INDEX(Roster!$K:$K,MATCH($C1256,Roster!$B:$B,0))&amp;""),"—"))</f>
        <v/>
      </c>
      <c r="M1256" s="27" t="n"/>
      <c r="N1256" s="27" t="n"/>
      <c r="O1256" s="25">
        <f>IF($C1256="","",IF($P1256="","—",IF($P1256="Valid (Pass)","Valid","Invalid")))</f>
        <v/>
      </c>
      <c r="P1256" s="27" t="n"/>
      <c r="Q1256" s="27" t="n"/>
      <c r="R1256" s="27" t="n"/>
      <c r="S1256" s="27" t="n"/>
      <c r="T1256" s="25">
        <f>IF($C1256="","",IF(OR(ISNUMBER(SEARCH("quick case",$P1256)),ISNUMBER(SEARCH("quick case",$Q1256))),"Yes","No"))</f>
        <v/>
      </c>
      <c r="U1256" s="25">
        <f>IF($O1256="Invalid",HYPERLINK("mailto:"&amp;$G1256&amp;";"&amp;$I1256&amp;"?cc="&amp;Lists!$E$2&amp;"&amp;subject="&amp;_xlfn.ENCODEURL("[INVALID] Quality audit monitoring completed for "&amp;UPPER($C1256))&amp;"&amp;body="&amp;_xlfn.ENCODEURL("Hi "&amp;$F1256&amp;","&amp;CHAR(10)&amp;"Good day!"&amp;CHAR(10)&amp;CHAR(10)&amp;"A quality monitoring audit has been completed for "&amp;$C1256&amp;"."&amp;CHAR(10)&amp;CHAR(10)&amp;"QUALITY AUDIT DETAILS"&amp;CHAR(10)&amp;"Agent Name: "&amp;$C1256&amp;" (EID "&amp;$D1256&amp;")"&amp;CHAR(10)&amp;"Audit Date: "&amp;TEXT($B1256,"yyyy-mm-dd")&amp;CHAR(10)&amp;"Team Leader: "&amp;$F1256&amp;CHAR(10)&amp;"Case Number: "&amp;$M1256&amp;CHAR(10)&amp;"Transaction ID: "&amp;$N1256&amp;CHAR(10)&amp;"Channel / LOB: "&amp;$K1256&amp;" / "&amp;$L1256&amp;CHAR(10)&amp;"Evaluator: "&amp;$S1256&amp;CHAR(10)&amp;CHAR(10)&amp;"INVALID QUALITY AUDIT DETAILS"&amp;CHAR(10)&amp;"Validation: Invalid"&amp;CHAR(10)&amp;"Invalid Reason: "&amp;$P1256&amp;CHAR(10)&amp;"Expected Resolution Code: "&amp;$Q1256&amp;CHAR(10)&amp;"Remarks: "&amp;LEFT($R1256,600)&amp;CHAR(10)&amp;CHAR(10)&amp;"This is an automated notification from HP Mainstream EQMS."),"✉ Open Email Draft"),"")</f>
        <v/>
      </c>
    </row>
    <row r="1257">
      <c r="A1257" s="25">
        <f>IF($C1257="","","AUD-2026-"&amp;TEXT(ROW()-1,"000000"))</f>
        <v/>
      </c>
      <c r="B1257" s="26" t="n"/>
      <c r="C1257" s="27" t="n"/>
      <c r="D1257" s="25">
        <f>IF($C1257="","",IFERROR(IF(INDEX(Roster!$A:$A,MATCH($C1257,Roster!$B:$B,0))="","",INDEX(Roster!$A:$A,MATCH($C1257,Roster!$B:$B,0))&amp;""),"—"))</f>
        <v/>
      </c>
      <c r="E1257" s="25">
        <f>IF($C1257="","",IFERROR(IF(INDEX(Roster!$C:$C,MATCH($C1257,Roster!$B:$B,0))="","",INDEX(Roster!$C:$C,MATCH($C1257,Roster!$B:$B,0))&amp;""),"—"))</f>
        <v/>
      </c>
      <c r="F1257" s="25">
        <f>IF($C1257="","",IFERROR(IF(INDEX(Roster!$D:$D,MATCH($C1257,Roster!$B:$B,0))="","",INDEX(Roster!$D:$D,MATCH($C1257,Roster!$B:$B,0))&amp;""),"—"))</f>
        <v/>
      </c>
      <c r="G1257" s="25">
        <f>IF($C1257="","",IFERROR(IF(INDEX(Roster!$E:$E,MATCH($C1257,Roster!$B:$B,0))="","",INDEX(Roster!$E:$E,MATCH($C1257,Roster!$B:$B,0))&amp;""),"—"))</f>
        <v/>
      </c>
      <c r="H1257" s="25">
        <f>IF($C1257="","",IFERROR(IF(INDEX(Roster!$F:$F,MATCH($C1257,Roster!$B:$B,0))="","",INDEX(Roster!$F:$F,MATCH($C1257,Roster!$B:$B,0))&amp;""),"—"))</f>
        <v/>
      </c>
      <c r="I1257" s="25">
        <f>IF($C1257="","",IFERROR(IF(INDEX(Roster!$G:$G,MATCH($C1257,Roster!$B:$B,0))="","",INDEX(Roster!$G:$G,MATCH($C1257,Roster!$B:$B,0))&amp;""),"—"))</f>
        <v/>
      </c>
      <c r="J1257" s="25">
        <f>IF($C1257="","",IFERROR(IF(INDEX(Roster!$I:$I,MATCH($C1257,Roster!$B:$B,0))="","",INDEX(Roster!$I:$I,MATCH($C1257,Roster!$B:$B,0))&amp;""),"—"))</f>
        <v/>
      </c>
      <c r="K1257">
        <f>IF($C1257="","",IFERROR(IF(INDEX(Roster!$J:$J,MATCH($C1257,Roster!$B:$B,0))="","",INDEX(Roster!$J:$J,MATCH($C1257,Roster!$B:$B,0))&amp;""),"—"))</f>
        <v/>
      </c>
      <c r="L1257">
        <f>IF($C1257="","",IFERROR(IF(INDEX(Roster!$K:$K,MATCH($C1257,Roster!$B:$B,0))="","",INDEX(Roster!$K:$K,MATCH($C1257,Roster!$B:$B,0))&amp;""),"—"))</f>
        <v/>
      </c>
      <c r="M1257" s="27" t="n"/>
      <c r="N1257" s="27" t="n"/>
      <c r="O1257" s="25">
        <f>IF($C1257="","",IF($P1257="","—",IF($P1257="Valid (Pass)","Valid","Invalid")))</f>
        <v/>
      </c>
      <c r="P1257" s="27" t="n"/>
      <c r="Q1257" s="27" t="n"/>
      <c r="R1257" s="27" t="n"/>
      <c r="S1257" s="27" t="n"/>
      <c r="T1257" s="25">
        <f>IF($C1257="","",IF(OR(ISNUMBER(SEARCH("quick case",$P1257)),ISNUMBER(SEARCH("quick case",$Q1257))),"Yes","No"))</f>
        <v/>
      </c>
      <c r="U1257" s="25">
        <f>IF($O1257="Invalid",HYPERLINK("mailto:"&amp;$G1257&amp;";"&amp;$I1257&amp;"?cc="&amp;Lists!$E$2&amp;"&amp;subject="&amp;_xlfn.ENCODEURL("[INVALID] Quality audit monitoring completed for "&amp;UPPER($C1257))&amp;"&amp;body="&amp;_xlfn.ENCODEURL("Hi "&amp;$F1257&amp;","&amp;CHAR(10)&amp;"Good day!"&amp;CHAR(10)&amp;CHAR(10)&amp;"A quality monitoring audit has been completed for "&amp;$C1257&amp;"."&amp;CHAR(10)&amp;CHAR(10)&amp;"QUALITY AUDIT DETAILS"&amp;CHAR(10)&amp;"Agent Name: "&amp;$C1257&amp;" (EID "&amp;$D1257&amp;")"&amp;CHAR(10)&amp;"Audit Date: "&amp;TEXT($B1257,"yyyy-mm-dd")&amp;CHAR(10)&amp;"Team Leader: "&amp;$F1257&amp;CHAR(10)&amp;"Case Number: "&amp;$M1257&amp;CHAR(10)&amp;"Transaction ID: "&amp;$N1257&amp;CHAR(10)&amp;"Channel / LOB: "&amp;$K1257&amp;" / "&amp;$L1257&amp;CHAR(10)&amp;"Evaluator: "&amp;$S1257&amp;CHAR(10)&amp;CHAR(10)&amp;"INVALID QUALITY AUDIT DETAILS"&amp;CHAR(10)&amp;"Validation: Invalid"&amp;CHAR(10)&amp;"Invalid Reason: "&amp;$P1257&amp;CHAR(10)&amp;"Expected Resolution Code: "&amp;$Q1257&amp;CHAR(10)&amp;"Remarks: "&amp;LEFT($R1257,600)&amp;CHAR(10)&amp;CHAR(10)&amp;"This is an automated notification from HP Mainstream EQMS."),"✉ Open Email Draft"),"")</f>
        <v/>
      </c>
    </row>
    <row r="1258">
      <c r="A1258" s="25">
        <f>IF($C1258="","","AUD-2026-"&amp;TEXT(ROW()-1,"000000"))</f>
        <v/>
      </c>
      <c r="B1258" s="26" t="n"/>
      <c r="C1258" s="27" t="n"/>
      <c r="D1258" s="25">
        <f>IF($C1258="","",IFERROR(IF(INDEX(Roster!$A:$A,MATCH($C1258,Roster!$B:$B,0))="","",INDEX(Roster!$A:$A,MATCH($C1258,Roster!$B:$B,0))&amp;""),"—"))</f>
        <v/>
      </c>
      <c r="E1258" s="25">
        <f>IF($C1258="","",IFERROR(IF(INDEX(Roster!$C:$C,MATCH($C1258,Roster!$B:$B,0))="","",INDEX(Roster!$C:$C,MATCH($C1258,Roster!$B:$B,0))&amp;""),"—"))</f>
        <v/>
      </c>
      <c r="F1258" s="25">
        <f>IF($C1258="","",IFERROR(IF(INDEX(Roster!$D:$D,MATCH($C1258,Roster!$B:$B,0))="","",INDEX(Roster!$D:$D,MATCH($C1258,Roster!$B:$B,0))&amp;""),"—"))</f>
        <v/>
      </c>
      <c r="G1258" s="25">
        <f>IF($C1258="","",IFERROR(IF(INDEX(Roster!$E:$E,MATCH($C1258,Roster!$B:$B,0))="","",INDEX(Roster!$E:$E,MATCH($C1258,Roster!$B:$B,0))&amp;""),"—"))</f>
        <v/>
      </c>
      <c r="H1258" s="25">
        <f>IF($C1258="","",IFERROR(IF(INDEX(Roster!$F:$F,MATCH($C1258,Roster!$B:$B,0))="","",INDEX(Roster!$F:$F,MATCH($C1258,Roster!$B:$B,0))&amp;""),"—"))</f>
        <v/>
      </c>
      <c r="I1258" s="25">
        <f>IF($C1258="","",IFERROR(IF(INDEX(Roster!$G:$G,MATCH($C1258,Roster!$B:$B,0))="","",INDEX(Roster!$G:$G,MATCH($C1258,Roster!$B:$B,0))&amp;""),"—"))</f>
        <v/>
      </c>
      <c r="J1258" s="25">
        <f>IF($C1258="","",IFERROR(IF(INDEX(Roster!$I:$I,MATCH($C1258,Roster!$B:$B,0))="","",INDEX(Roster!$I:$I,MATCH($C1258,Roster!$B:$B,0))&amp;""),"—"))</f>
        <v/>
      </c>
      <c r="K1258">
        <f>IF($C1258="","",IFERROR(IF(INDEX(Roster!$J:$J,MATCH($C1258,Roster!$B:$B,0))="","",INDEX(Roster!$J:$J,MATCH($C1258,Roster!$B:$B,0))&amp;""),"—"))</f>
        <v/>
      </c>
      <c r="L1258">
        <f>IF($C1258="","",IFERROR(IF(INDEX(Roster!$K:$K,MATCH($C1258,Roster!$B:$B,0))="","",INDEX(Roster!$K:$K,MATCH($C1258,Roster!$B:$B,0))&amp;""),"—"))</f>
        <v/>
      </c>
      <c r="M1258" s="27" t="n"/>
      <c r="N1258" s="27" t="n"/>
      <c r="O1258" s="25">
        <f>IF($C1258="","",IF($P1258="","—",IF($P1258="Valid (Pass)","Valid","Invalid")))</f>
        <v/>
      </c>
      <c r="P1258" s="27" t="n"/>
      <c r="Q1258" s="27" t="n"/>
      <c r="R1258" s="27" t="n"/>
      <c r="S1258" s="27" t="n"/>
      <c r="T1258" s="25">
        <f>IF($C1258="","",IF(OR(ISNUMBER(SEARCH("quick case",$P1258)),ISNUMBER(SEARCH("quick case",$Q1258))),"Yes","No"))</f>
        <v/>
      </c>
      <c r="U1258" s="25">
        <f>IF($O1258="Invalid",HYPERLINK("mailto:"&amp;$G1258&amp;";"&amp;$I1258&amp;"?cc="&amp;Lists!$E$2&amp;"&amp;subject="&amp;_xlfn.ENCODEURL("[INVALID] Quality audit monitoring completed for "&amp;UPPER($C1258))&amp;"&amp;body="&amp;_xlfn.ENCODEURL("Hi "&amp;$F1258&amp;","&amp;CHAR(10)&amp;"Good day!"&amp;CHAR(10)&amp;CHAR(10)&amp;"A quality monitoring audit has been completed for "&amp;$C1258&amp;"."&amp;CHAR(10)&amp;CHAR(10)&amp;"QUALITY AUDIT DETAILS"&amp;CHAR(10)&amp;"Agent Name: "&amp;$C1258&amp;" (EID "&amp;$D1258&amp;")"&amp;CHAR(10)&amp;"Audit Date: "&amp;TEXT($B1258,"yyyy-mm-dd")&amp;CHAR(10)&amp;"Team Leader: "&amp;$F1258&amp;CHAR(10)&amp;"Case Number: "&amp;$M1258&amp;CHAR(10)&amp;"Transaction ID: "&amp;$N1258&amp;CHAR(10)&amp;"Channel / LOB: "&amp;$K1258&amp;" / "&amp;$L1258&amp;CHAR(10)&amp;"Evaluator: "&amp;$S1258&amp;CHAR(10)&amp;CHAR(10)&amp;"INVALID QUALITY AUDIT DETAILS"&amp;CHAR(10)&amp;"Validation: Invalid"&amp;CHAR(10)&amp;"Invalid Reason: "&amp;$P1258&amp;CHAR(10)&amp;"Expected Resolution Code: "&amp;$Q1258&amp;CHAR(10)&amp;"Remarks: "&amp;LEFT($R1258,600)&amp;CHAR(10)&amp;CHAR(10)&amp;"This is an automated notification from HP Mainstream EQMS."),"✉ Open Email Draft"),"")</f>
        <v/>
      </c>
    </row>
    <row r="1259">
      <c r="A1259" s="25">
        <f>IF($C1259="","","AUD-2026-"&amp;TEXT(ROW()-1,"000000"))</f>
        <v/>
      </c>
      <c r="B1259" s="26" t="n"/>
      <c r="C1259" s="27" t="n"/>
      <c r="D1259" s="25">
        <f>IF($C1259="","",IFERROR(IF(INDEX(Roster!$A:$A,MATCH($C1259,Roster!$B:$B,0))="","",INDEX(Roster!$A:$A,MATCH($C1259,Roster!$B:$B,0))&amp;""),"—"))</f>
        <v/>
      </c>
      <c r="E1259" s="25">
        <f>IF($C1259="","",IFERROR(IF(INDEX(Roster!$C:$C,MATCH($C1259,Roster!$B:$B,0))="","",INDEX(Roster!$C:$C,MATCH($C1259,Roster!$B:$B,0))&amp;""),"—"))</f>
        <v/>
      </c>
      <c r="F1259" s="25">
        <f>IF($C1259="","",IFERROR(IF(INDEX(Roster!$D:$D,MATCH($C1259,Roster!$B:$B,0))="","",INDEX(Roster!$D:$D,MATCH($C1259,Roster!$B:$B,0))&amp;""),"—"))</f>
        <v/>
      </c>
      <c r="G1259" s="25">
        <f>IF($C1259="","",IFERROR(IF(INDEX(Roster!$E:$E,MATCH($C1259,Roster!$B:$B,0))="","",INDEX(Roster!$E:$E,MATCH($C1259,Roster!$B:$B,0))&amp;""),"—"))</f>
        <v/>
      </c>
      <c r="H1259" s="25">
        <f>IF($C1259="","",IFERROR(IF(INDEX(Roster!$F:$F,MATCH($C1259,Roster!$B:$B,0))="","",INDEX(Roster!$F:$F,MATCH($C1259,Roster!$B:$B,0))&amp;""),"—"))</f>
        <v/>
      </c>
      <c r="I1259" s="25">
        <f>IF($C1259="","",IFERROR(IF(INDEX(Roster!$G:$G,MATCH($C1259,Roster!$B:$B,0))="","",INDEX(Roster!$G:$G,MATCH($C1259,Roster!$B:$B,0))&amp;""),"—"))</f>
        <v/>
      </c>
      <c r="J1259" s="25">
        <f>IF($C1259="","",IFERROR(IF(INDEX(Roster!$I:$I,MATCH($C1259,Roster!$B:$B,0))="","",INDEX(Roster!$I:$I,MATCH($C1259,Roster!$B:$B,0))&amp;""),"—"))</f>
        <v/>
      </c>
      <c r="K1259">
        <f>IF($C1259="","",IFERROR(IF(INDEX(Roster!$J:$J,MATCH($C1259,Roster!$B:$B,0))="","",INDEX(Roster!$J:$J,MATCH($C1259,Roster!$B:$B,0))&amp;""),"—"))</f>
        <v/>
      </c>
      <c r="L1259">
        <f>IF($C1259="","",IFERROR(IF(INDEX(Roster!$K:$K,MATCH($C1259,Roster!$B:$B,0))="","",INDEX(Roster!$K:$K,MATCH($C1259,Roster!$B:$B,0))&amp;""),"—"))</f>
        <v/>
      </c>
      <c r="M1259" s="27" t="n"/>
      <c r="N1259" s="27" t="n"/>
      <c r="O1259" s="25">
        <f>IF($C1259="","",IF($P1259="","—",IF($P1259="Valid (Pass)","Valid","Invalid")))</f>
        <v/>
      </c>
      <c r="P1259" s="27" t="n"/>
      <c r="Q1259" s="27" t="n"/>
      <c r="R1259" s="27" t="n"/>
      <c r="S1259" s="27" t="n"/>
      <c r="T1259" s="25">
        <f>IF($C1259="","",IF(OR(ISNUMBER(SEARCH("quick case",$P1259)),ISNUMBER(SEARCH("quick case",$Q1259))),"Yes","No"))</f>
        <v/>
      </c>
      <c r="U1259" s="25">
        <f>IF($O1259="Invalid",HYPERLINK("mailto:"&amp;$G1259&amp;";"&amp;$I1259&amp;"?cc="&amp;Lists!$E$2&amp;"&amp;subject="&amp;_xlfn.ENCODEURL("[INVALID] Quality audit monitoring completed for "&amp;UPPER($C1259))&amp;"&amp;body="&amp;_xlfn.ENCODEURL("Hi "&amp;$F1259&amp;","&amp;CHAR(10)&amp;"Good day!"&amp;CHAR(10)&amp;CHAR(10)&amp;"A quality monitoring audit has been completed for "&amp;$C1259&amp;"."&amp;CHAR(10)&amp;CHAR(10)&amp;"QUALITY AUDIT DETAILS"&amp;CHAR(10)&amp;"Agent Name: "&amp;$C1259&amp;" (EID "&amp;$D1259&amp;")"&amp;CHAR(10)&amp;"Audit Date: "&amp;TEXT($B1259,"yyyy-mm-dd")&amp;CHAR(10)&amp;"Team Leader: "&amp;$F1259&amp;CHAR(10)&amp;"Case Number: "&amp;$M1259&amp;CHAR(10)&amp;"Transaction ID: "&amp;$N1259&amp;CHAR(10)&amp;"Channel / LOB: "&amp;$K1259&amp;" / "&amp;$L1259&amp;CHAR(10)&amp;"Evaluator: "&amp;$S1259&amp;CHAR(10)&amp;CHAR(10)&amp;"INVALID QUALITY AUDIT DETAILS"&amp;CHAR(10)&amp;"Validation: Invalid"&amp;CHAR(10)&amp;"Invalid Reason: "&amp;$P1259&amp;CHAR(10)&amp;"Expected Resolution Code: "&amp;$Q1259&amp;CHAR(10)&amp;"Remarks: "&amp;LEFT($R1259,600)&amp;CHAR(10)&amp;CHAR(10)&amp;"This is an automated notification from HP Mainstream EQMS."),"✉ Open Email Draft"),"")</f>
        <v/>
      </c>
    </row>
    <row r="1260">
      <c r="A1260" s="25">
        <f>IF($C1260="","","AUD-2026-"&amp;TEXT(ROW()-1,"000000"))</f>
        <v/>
      </c>
      <c r="B1260" s="26" t="n"/>
      <c r="C1260" s="27" t="n"/>
      <c r="D1260" s="25">
        <f>IF($C1260="","",IFERROR(IF(INDEX(Roster!$A:$A,MATCH($C1260,Roster!$B:$B,0))="","",INDEX(Roster!$A:$A,MATCH($C1260,Roster!$B:$B,0))&amp;""),"—"))</f>
        <v/>
      </c>
      <c r="E1260" s="25">
        <f>IF($C1260="","",IFERROR(IF(INDEX(Roster!$C:$C,MATCH($C1260,Roster!$B:$B,0))="","",INDEX(Roster!$C:$C,MATCH($C1260,Roster!$B:$B,0))&amp;""),"—"))</f>
        <v/>
      </c>
      <c r="F1260" s="25">
        <f>IF($C1260="","",IFERROR(IF(INDEX(Roster!$D:$D,MATCH($C1260,Roster!$B:$B,0))="","",INDEX(Roster!$D:$D,MATCH($C1260,Roster!$B:$B,0))&amp;""),"—"))</f>
        <v/>
      </c>
      <c r="G1260" s="25">
        <f>IF($C1260="","",IFERROR(IF(INDEX(Roster!$E:$E,MATCH($C1260,Roster!$B:$B,0))="","",INDEX(Roster!$E:$E,MATCH($C1260,Roster!$B:$B,0))&amp;""),"—"))</f>
        <v/>
      </c>
      <c r="H1260" s="25">
        <f>IF($C1260="","",IFERROR(IF(INDEX(Roster!$F:$F,MATCH($C1260,Roster!$B:$B,0))="","",INDEX(Roster!$F:$F,MATCH($C1260,Roster!$B:$B,0))&amp;""),"—"))</f>
        <v/>
      </c>
      <c r="I1260" s="25">
        <f>IF($C1260="","",IFERROR(IF(INDEX(Roster!$G:$G,MATCH($C1260,Roster!$B:$B,0))="","",INDEX(Roster!$G:$G,MATCH($C1260,Roster!$B:$B,0))&amp;""),"—"))</f>
        <v/>
      </c>
      <c r="J1260" s="25">
        <f>IF($C1260="","",IFERROR(IF(INDEX(Roster!$I:$I,MATCH($C1260,Roster!$B:$B,0))="","",INDEX(Roster!$I:$I,MATCH($C1260,Roster!$B:$B,0))&amp;""),"—"))</f>
        <v/>
      </c>
      <c r="K1260">
        <f>IF($C1260="","",IFERROR(IF(INDEX(Roster!$J:$J,MATCH($C1260,Roster!$B:$B,0))="","",INDEX(Roster!$J:$J,MATCH($C1260,Roster!$B:$B,0))&amp;""),"—"))</f>
        <v/>
      </c>
      <c r="L1260">
        <f>IF($C1260="","",IFERROR(IF(INDEX(Roster!$K:$K,MATCH($C1260,Roster!$B:$B,0))="","",INDEX(Roster!$K:$K,MATCH($C1260,Roster!$B:$B,0))&amp;""),"—"))</f>
        <v/>
      </c>
      <c r="M1260" s="27" t="n"/>
      <c r="N1260" s="27" t="n"/>
      <c r="O1260" s="25">
        <f>IF($C1260="","",IF($P1260="","—",IF($P1260="Valid (Pass)","Valid","Invalid")))</f>
        <v/>
      </c>
      <c r="P1260" s="27" t="n"/>
      <c r="Q1260" s="27" t="n"/>
      <c r="R1260" s="27" t="n"/>
      <c r="S1260" s="27" t="n"/>
      <c r="T1260" s="25">
        <f>IF($C1260="","",IF(OR(ISNUMBER(SEARCH("quick case",$P1260)),ISNUMBER(SEARCH("quick case",$Q1260))),"Yes","No"))</f>
        <v/>
      </c>
      <c r="U1260" s="25">
        <f>IF($O1260="Invalid",HYPERLINK("mailto:"&amp;$G1260&amp;";"&amp;$I1260&amp;"?cc="&amp;Lists!$E$2&amp;"&amp;subject="&amp;_xlfn.ENCODEURL("[INVALID] Quality audit monitoring completed for "&amp;UPPER($C1260))&amp;"&amp;body="&amp;_xlfn.ENCODEURL("Hi "&amp;$F1260&amp;","&amp;CHAR(10)&amp;"Good day!"&amp;CHAR(10)&amp;CHAR(10)&amp;"A quality monitoring audit has been completed for "&amp;$C1260&amp;"."&amp;CHAR(10)&amp;CHAR(10)&amp;"QUALITY AUDIT DETAILS"&amp;CHAR(10)&amp;"Agent Name: "&amp;$C1260&amp;" (EID "&amp;$D1260&amp;")"&amp;CHAR(10)&amp;"Audit Date: "&amp;TEXT($B1260,"yyyy-mm-dd")&amp;CHAR(10)&amp;"Team Leader: "&amp;$F1260&amp;CHAR(10)&amp;"Case Number: "&amp;$M1260&amp;CHAR(10)&amp;"Transaction ID: "&amp;$N1260&amp;CHAR(10)&amp;"Channel / LOB: "&amp;$K1260&amp;" / "&amp;$L1260&amp;CHAR(10)&amp;"Evaluator: "&amp;$S1260&amp;CHAR(10)&amp;CHAR(10)&amp;"INVALID QUALITY AUDIT DETAILS"&amp;CHAR(10)&amp;"Validation: Invalid"&amp;CHAR(10)&amp;"Invalid Reason: "&amp;$P1260&amp;CHAR(10)&amp;"Expected Resolution Code: "&amp;$Q1260&amp;CHAR(10)&amp;"Remarks: "&amp;LEFT($R1260,600)&amp;CHAR(10)&amp;CHAR(10)&amp;"This is an automated notification from HP Mainstream EQMS."),"✉ Open Email Draft"),"")</f>
        <v/>
      </c>
    </row>
    <row r="1261">
      <c r="A1261" s="25">
        <f>IF($C1261="","","AUD-2026-"&amp;TEXT(ROW()-1,"000000"))</f>
        <v/>
      </c>
      <c r="B1261" s="26" t="n"/>
      <c r="C1261" s="27" t="n"/>
      <c r="D1261" s="25">
        <f>IF($C1261="","",IFERROR(IF(INDEX(Roster!$A:$A,MATCH($C1261,Roster!$B:$B,0))="","",INDEX(Roster!$A:$A,MATCH($C1261,Roster!$B:$B,0))&amp;""),"—"))</f>
        <v/>
      </c>
      <c r="E1261" s="25">
        <f>IF($C1261="","",IFERROR(IF(INDEX(Roster!$C:$C,MATCH($C1261,Roster!$B:$B,0))="","",INDEX(Roster!$C:$C,MATCH($C1261,Roster!$B:$B,0))&amp;""),"—"))</f>
        <v/>
      </c>
      <c r="F1261" s="25">
        <f>IF($C1261="","",IFERROR(IF(INDEX(Roster!$D:$D,MATCH($C1261,Roster!$B:$B,0))="","",INDEX(Roster!$D:$D,MATCH($C1261,Roster!$B:$B,0))&amp;""),"—"))</f>
        <v/>
      </c>
      <c r="G1261" s="25">
        <f>IF($C1261="","",IFERROR(IF(INDEX(Roster!$E:$E,MATCH($C1261,Roster!$B:$B,0))="","",INDEX(Roster!$E:$E,MATCH($C1261,Roster!$B:$B,0))&amp;""),"—"))</f>
        <v/>
      </c>
      <c r="H1261" s="25">
        <f>IF($C1261="","",IFERROR(IF(INDEX(Roster!$F:$F,MATCH($C1261,Roster!$B:$B,0))="","",INDEX(Roster!$F:$F,MATCH($C1261,Roster!$B:$B,0))&amp;""),"—"))</f>
        <v/>
      </c>
      <c r="I1261" s="25">
        <f>IF($C1261="","",IFERROR(IF(INDEX(Roster!$G:$G,MATCH($C1261,Roster!$B:$B,0))="","",INDEX(Roster!$G:$G,MATCH($C1261,Roster!$B:$B,0))&amp;""),"—"))</f>
        <v/>
      </c>
      <c r="J1261" s="25">
        <f>IF($C1261="","",IFERROR(IF(INDEX(Roster!$I:$I,MATCH($C1261,Roster!$B:$B,0))="","",INDEX(Roster!$I:$I,MATCH($C1261,Roster!$B:$B,0))&amp;""),"—"))</f>
        <v/>
      </c>
      <c r="K1261">
        <f>IF($C1261="","",IFERROR(IF(INDEX(Roster!$J:$J,MATCH($C1261,Roster!$B:$B,0))="","",INDEX(Roster!$J:$J,MATCH($C1261,Roster!$B:$B,0))&amp;""),"—"))</f>
        <v/>
      </c>
      <c r="L1261">
        <f>IF($C1261="","",IFERROR(IF(INDEX(Roster!$K:$K,MATCH($C1261,Roster!$B:$B,0))="","",INDEX(Roster!$K:$K,MATCH($C1261,Roster!$B:$B,0))&amp;""),"—"))</f>
        <v/>
      </c>
      <c r="M1261" s="27" t="n"/>
      <c r="N1261" s="27" t="n"/>
      <c r="O1261" s="25">
        <f>IF($C1261="","",IF($P1261="","—",IF($P1261="Valid (Pass)","Valid","Invalid")))</f>
        <v/>
      </c>
      <c r="P1261" s="27" t="n"/>
      <c r="Q1261" s="27" t="n"/>
      <c r="R1261" s="27" t="n"/>
      <c r="S1261" s="27" t="n"/>
      <c r="T1261" s="25">
        <f>IF($C1261="","",IF(OR(ISNUMBER(SEARCH("quick case",$P1261)),ISNUMBER(SEARCH("quick case",$Q1261))),"Yes","No"))</f>
        <v/>
      </c>
      <c r="U1261" s="25">
        <f>IF($O1261="Invalid",HYPERLINK("mailto:"&amp;$G1261&amp;";"&amp;$I1261&amp;"?cc="&amp;Lists!$E$2&amp;"&amp;subject="&amp;_xlfn.ENCODEURL("[INVALID] Quality audit monitoring completed for "&amp;UPPER($C1261))&amp;"&amp;body="&amp;_xlfn.ENCODEURL("Hi "&amp;$F1261&amp;","&amp;CHAR(10)&amp;"Good day!"&amp;CHAR(10)&amp;CHAR(10)&amp;"A quality monitoring audit has been completed for "&amp;$C1261&amp;"."&amp;CHAR(10)&amp;CHAR(10)&amp;"QUALITY AUDIT DETAILS"&amp;CHAR(10)&amp;"Agent Name: "&amp;$C1261&amp;" (EID "&amp;$D1261&amp;")"&amp;CHAR(10)&amp;"Audit Date: "&amp;TEXT($B1261,"yyyy-mm-dd")&amp;CHAR(10)&amp;"Team Leader: "&amp;$F1261&amp;CHAR(10)&amp;"Case Number: "&amp;$M1261&amp;CHAR(10)&amp;"Transaction ID: "&amp;$N1261&amp;CHAR(10)&amp;"Channel / LOB: "&amp;$K1261&amp;" / "&amp;$L1261&amp;CHAR(10)&amp;"Evaluator: "&amp;$S1261&amp;CHAR(10)&amp;CHAR(10)&amp;"INVALID QUALITY AUDIT DETAILS"&amp;CHAR(10)&amp;"Validation: Invalid"&amp;CHAR(10)&amp;"Invalid Reason: "&amp;$P1261&amp;CHAR(10)&amp;"Expected Resolution Code: "&amp;$Q1261&amp;CHAR(10)&amp;"Remarks: "&amp;LEFT($R1261,600)&amp;CHAR(10)&amp;CHAR(10)&amp;"This is an automated notification from HP Mainstream EQMS."),"✉ Open Email Draft"),"")</f>
        <v/>
      </c>
    </row>
    <row r="1262">
      <c r="A1262" s="25">
        <f>IF($C1262="","","AUD-2026-"&amp;TEXT(ROW()-1,"000000"))</f>
        <v/>
      </c>
      <c r="B1262" s="26" t="n"/>
      <c r="C1262" s="27" t="n"/>
      <c r="D1262" s="25">
        <f>IF($C1262="","",IFERROR(IF(INDEX(Roster!$A:$A,MATCH($C1262,Roster!$B:$B,0))="","",INDEX(Roster!$A:$A,MATCH($C1262,Roster!$B:$B,0))&amp;""),"—"))</f>
        <v/>
      </c>
      <c r="E1262" s="25">
        <f>IF($C1262="","",IFERROR(IF(INDEX(Roster!$C:$C,MATCH($C1262,Roster!$B:$B,0))="","",INDEX(Roster!$C:$C,MATCH($C1262,Roster!$B:$B,0))&amp;""),"—"))</f>
        <v/>
      </c>
      <c r="F1262" s="25">
        <f>IF($C1262="","",IFERROR(IF(INDEX(Roster!$D:$D,MATCH($C1262,Roster!$B:$B,0))="","",INDEX(Roster!$D:$D,MATCH($C1262,Roster!$B:$B,0))&amp;""),"—"))</f>
        <v/>
      </c>
      <c r="G1262" s="25">
        <f>IF($C1262="","",IFERROR(IF(INDEX(Roster!$E:$E,MATCH($C1262,Roster!$B:$B,0))="","",INDEX(Roster!$E:$E,MATCH($C1262,Roster!$B:$B,0))&amp;""),"—"))</f>
        <v/>
      </c>
      <c r="H1262" s="25">
        <f>IF($C1262="","",IFERROR(IF(INDEX(Roster!$F:$F,MATCH($C1262,Roster!$B:$B,0))="","",INDEX(Roster!$F:$F,MATCH($C1262,Roster!$B:$B,0))&amp;""),"—"))</f>
        <v/>
      </c>
      <c r="I1262" s="25">
        <f>IF($C1262="","",IFERROR(IF(INDEX(Roster!$G:$G,MATCH($C1262,Roster!$B:$B,0))="","",INDEX(Roster!$G:$G,MATCH($C1262,Roster!$B:$B,0))&amp;""),"—"))</f>
        <v/>
      </c>
      <c r="J1262" s="25">
        <f>IF($C1262="","",IFERROR(IF(INDEX(Roster!$I:$I,MATCH($C1262,Roster!$B:$B,0))="","",INDEX(Roster!$I:$I,MATCH($C1262,Roster!$B:$B,0))&amp;""),"—"))</f>
        <v/>
      </c>
      <c r="K1262">
        <f>IF($C1262="","",IFERROR(IF(INDEX(Roster!$J:$J,MATCH($C1262,Roster!$B:$B,0))="","",INDEX(Roster!$J:$J,MATCH($C1262,Roster!$B:$B,0))&amp;""),"—"))</f>
        <v/>
      </c>
      <c r="L1262">
        <f>IF($C1262="","",IFERROR(IF(INDEX(Roster!$K:$K,MATCH($C1262,Roster!$B:$B,0))="","",INDEX(Roster!$K:$K,MATCH($C1262,Roster!$B:$B,0))&amp;""),"—"))</f>
        <v/>
      </c>
      <c r="M1262" s="27" t="n"/>
      <c r="N1262" s="27" t="n"/>
      <c r="O1262" s="25">
        <f>IF($C1262="","",IF($P1262="","—",IF($P1262="Valid (Pass)","Valid","Invalid")))</f>
        <v/>
      </c>
      <c r="P1262" s="27" t="n"/>
      <c r="Q1262" s="27" t="n"/>
      <c r="R1262" s="27" t="n"/>
      <c r="S1262" s="27" t="n"/>
      <c r="T1262" s="25">
        <f>IF($C1262="","",IF(OR(ISNUMBER(SEARCH("quick case",$P1262)),ISNUMBER(SEARCH("quick case",$Q1262))),"Yes","No"))</f>
        <v/>
      </c>
      <c r="U1262" s="25">
        <f>IF($O1262="Invalid",HYPERLINK("mailto:"&amp;$G1262&amp;";"&amp;$I1262&amp;"?cc="&amp;Lists!$E$2&amp;"&amp;subject="&amp;_xlfn.ENCODEURL("[INVALID] Quality audit monitoring completed for "&amp;UPPER($C1262))&amp;"&amp;body="&amp;_xlfn.ENCODEURL("Hi "&amp;$F1262&amp;","&amp;CHAR(10)&amp;"Good day!"&amp;CHAR(10)&amp;CHAR(10)&amp;"A quality monitoring audit has been completed for "&amp;$C1262&amp;"."&amp;CHAR(10)&amp;CHAR(10)&amp;"QUALITY AUDIT DETAILS"&amp;CHAR(10)&amp;"Agent Name: "&amp;$C1262&amp;" (EID "&amp;$D1262&amp;")"&amp;CHAR(10)&amp;"Audit Date: "&amp;TEXT($B1262,"yyyy-mm-dd")&amp;CHAR(10)&amp;"Team Leader: "&amp;$F1262&amp;CHAR(10)&amp;"Case Number: "&amp;$M1262&amp;CHAR(10)&amp;"Transaction ID: "&amp;$N1262&amp;CHAR(10)&amp;"Channel / LOB: "&amp;$K1262&amp;" / "&amp;$L1262&amp;CHAR(10)&amp;"Evaluator: "&amp;$S1262&amp;CHAR(10)&amp;CHAR(10)&amp;"INVALID QUALITY AUDIT DETAILS"&amp;CHAR(10)&amp;"Validation: Invalid"&amp;CHAR(10)&amp;"Invalid Reason: "&amp;$P1262&amp;CHAR(10)&amp;"Expected Resolution Code: "&amp;$Q1262&amp;CHAR(10)&amp;"Remarks: "&amp;LEFT($R1262,600)&amp;CHAR(10)&amp;CHAR(10)&amp;"This is an automated notification from HP Mainstream EQMS."),"✉ Open Email Draft"),"")</f>
        <v/>
      </c>
    </row>
    <row r="1263">
      <c r="A1263" s="25">
        <f>IF($C1263="","","AUD-2026-"&amp;TEXT(ROW()-1,"000000"))</f>
        <v/>
      </c>
      <c r="B1263" s="26" t="n"/>
      <c r="C1263" s="27" t="n"/>
      <c r="D1263" s="25">
        <f>IF($C1263="","",IFERROR(IF(INDEX(Roster!$A:$A,MATCH($C1263,Roster!$B:$B,0))="","",INDEX(Roster!$A:$A,MATCH($C1263,Roster!$B:$B,0))&amp;""),"—"))</f>
        <v/>
      </c>
      <c r="E1263" s="25">
        <f>IF($C1263="","",IFERROR(IF(INDEX(Roster!$C:$C,MATCH($C1263,Roster!$B:$B,0))="","",INDEX(Roster!$C:$C,MATCH($C1263,Roster!$B:$B,0))&amp;""),"—"))</f>
        <v/>
      </c>
      <c r="F1263" s="25">
        <f>IF($C1263="","",IFERROR(IF(INDEX(Roster!$D:$D,MATCH($C1263,Roster!$B:$B,0))="","",INDEX(Roster!$D:$D,MATCH($C1263,Roster!$B:$B,0))&amp;""),"—"))</f>
        <v/>
      </c>
      <c r="G1263" s="25">
        <f>IF($C1263="","",IFERROR(IF(INDEX(Roster!$E:$E,MATCH($C1263,Roster!$B:$B,0))="","",INDEX(Roster!$E:$E,MATCH($C1263,Roster!$B:$B,0))&amp;""),"—"))</f>
        <v/>
      </c>
      <c r="H1263" s="25">
        <f>IF($C1263="","",IFERROR(IF(INDEX(Roster!$F:$F,MATCH($C1263,Roster!$B:$B,0))="","",INDEX(Roster!$F:$F,MATCH($C1263,Roster!$B:$B,0))&amp;""),"—"))</f>
        <v/>
      </c>
      <c r="I1263" s="25">
        <f>IF($C1263="","",IFERROR(IF(INDEX(Roster!$G:$G,MATCH($C1263,Roster!$B:$B,0))="","",INDEX(Roster!$G:$G,MATCH($C1263,Roster!$B:$B,0))&amp;""),"—"))</f>
        <v/>
      </c>
      <c r="J1263" s="25">
        <f>IF($C1263="","",IFERROR(IF(INDEX(Roster!$I:$I,MATCH($C1263,Roster!$B:$B,0))="","",INDEX(Roster!$I:$I,MATCH($C1263,Roster!$B:$B,0))&amp;""),"—"))</f>
        <v/>
      </c>
      <c r="K1263">
        <f>IF($C1263="","",IFERROR(IF(INDEX(Roster!$J:$J,MATCH($C1263,Roster!$B:$B,0))="","",INDEX(Roster!$J:$J,MATCH($C1263,Roster!$B:$B,0))&amp;""),"—"))</f>
        <v/>
      </c>
      <c r="L1263">
        <f>IF($C1263="","",IFERROR(IF(INDEX(Roster!$K:$K,MATCH($C1263,Roster!$B:$B,0))="","",INDEX(Roster!$K:$K,MATCH($C1263,Roster!$B:$B,0))&amp;""),"—"))</f>
        <v/>
      </c>
      <c r="M1263" s="27" t="n"/>
      <c r="N1263" s="27" t="n"/>
      <c r="O1263" s="25">
        <f>IF($C1263="","",IF($P1263="","—",IF($P1263="Valid (Pass)","Valid","Invalid")))</f>
        <v/>
      </c>
      <c r="P1263" s="27" t="n"/>
      <c r="Q1263" s="27" t="n"/>
      <c r="R1263" s="27" t="n"/>
      <c r="S1263" s="27" t="n"/>
      <c r="T1263" s="25">
        <f>IF($C1263="","",IF(OR(ISNUMBER(SEARCH("quick case",$P1263)),ISNUMBER(SEARCH("quick case",$Q1263))),"Yes","No"))</f>
        <v/>
      </c>
      <c r="U1263" s="25">
        <f>IF($O1263="Invalid",HYPERLINK("mailto:"&amp;$G1263&amp;";"&amp;$I1263&amp;"?cc="&amp;Lists!$E$2&amp;"&amp;subject="&amp;_xlfn.ENCODEURL("[INVALID] Quality audit monitoring completed for "&amp;UPPER($C1263))&amp;"&amp;body="&amp;_xlfn.ENCODEURL("Hi "&amp;$F1263&amp;","&amp;CHAR(10)&amp;"Good day!"&amp;CHAR(10)&amp;CHAR(10)&amp;"A quality monitoring audit has been completed for "&amp;$C1263&amp;"."&amp;CHAR(10)&amp;CHAR(10)&amp;"QUALITY AUDIT DETAILS"&amp;CHAR(10)&amp;"Agent Name: "&amp;$C1263&amp;" (EID "&amp;$D1263&amp;")"&amp;CHAR(10)&amp;"Audit Date: "&amp;TEXT($B1263,"yyyy-mm-dd")&amp;CHAR(10)&amp;"Team Leader: "&amp;$F1263&amp;CHAR(10)&amp;"Case Number: "&amp;$M1263&amp;CHAR(10)&amp;"Transaction ID: "&amp;$N1263&amp;CHAR(10)&amp;"Channel / LOB: "&amp;$K1263&amp;" / "&amp;$L1263&amp;CHAR(10)&amp;"Evaluator: "&amp;$S1263&amp;CHAR(10)&amp;CHAR(10)&amp;"INVALID QUALITY AUDIT DETAILS"&amp;CHAR(10)&amp;"Validation: Invalid"&amp;CHAR(10)&amp;"Invalid Reason: "&amp;$P1263&amp;CHAR(10)&amp;"Expected Resolution Code: "&amp;$Q1263&amp;CHAR(10)&amp;"Remarks: "&amp;LEFT($R1263,600)&amp;CHAR(10)&amp;CHAR(10)&amp;"This is an automated notification from HP Mainstream EQMS."),"✉ Open Email Draft"),"")</f>
        <v/>
      </c>
    </row>
    <row r="1264">
      <c r="A1264" s="25">
        <f>IF($C1264="","","AUD-2026-"&amp;TEXT(ROW()-1,"000000"))</f>
        <v/>
      </c>
      <c r="B1264" s="26" t="n"/>
      <c r="C1264" s="27" t="n"/>
      <c r="D1264" s="25">
        <f>IF($C1264="","",IFERROR(IF(INDEX(Roster!$A:$A,MATCH($C1264,Roster!$B:$B,0))="","",INDEX(Roster!$A:$A,MATCH($C1264,Roster!$B:$B,0))&amp;""),"—"))</f>
        <v/>
      </c>
      <c r="E1264" s="25">
        <f>IF($C1264="","",IFERROR(IF(INDEX(Roster!$C:$C,MATCH($C1264,Roster!$B:$B,0))="","",INDEX(Roster!$C:$C,MATCH($C1264,Roster!$B:$B,0))&amp;""),"—"))</f>
        <v/>
      </c>
      <c r="F1264" s="25">
        <f>IF($C1264="","",IFERROR(IF(INDEX(Roster!$D:$D,MATCH($C1264,Roster!$B:$B,0))="","",INDEX(Roster!$D:$D,MATCH($C1264,Roster!$B:$B,0))&amp;""),"—"))</f>
        <v/>
      </c>
      <c r="G1264" s="25">
        <f>IF($C1264="","",IFERROR(IF(INDEX(Roster!$E:$E,MATCH($C1264,Roster!$B:$B,0))="","",INDEX(Roster!$E:$E,MATCH($C1264,Roster!$B:$B,0))&amp;""),"—"))</f>
        <v/>
      </c>
      <c r="H1264" s="25">
        <f>IF($C1264="","",IFERROR(IF(INDEX(Roster!$F:$F,MATCH($C1264,Roster!$B:$B,0))="","",INDEX(Roster!$F:$F,MATCH($C1264,Roster!$B:$B,0))&amp;""),"—"))</f>
        <v/>
      </c>
      <c r="I1264" s="25">
        <f>IF($C1264="","",IFERROR(IF(INDEX(Roster!$G:$G,MATCH($C1264,Roster!$B:$B,0))="","",INDEX(Roster!$G:$G,MATCH($C1264,Roster!$B:$B,0))&amp;""),"—"))</f>
        <v/>
      </c>
      <c r="J1264" s="25">
        <f>IF($C1264="","",IFERROR(IF(INDEX(Roster!$I:$I,MATCH($C1264,Roster!$B:$B,0))="","",INDEX(Roster!$I:$I,MATCH($C1264,Roster!$B:$B,0))&amp;""),"—"))</f>
        <v/>
      </c>
      <c r="K1264">
        <f>IF($C1264="","",IFERROR(IF(INDEX(Roster!$J:$J,MATCH($C1264,Roster!$B:$B,0))="","",INDEX(Roster!$J:$J,MATCH($C1264,Roster!$B:$B,0))&amp;""),"—"))</f>
        <v/>
      </c>
      <c r="L1264">
        <f>IF($C1264="","",IFERROR(IF(INDEX(Roster!$K:$K,MATCH($C1264,Roster!$B:$B,0))="","",INDEX(Roster!$K:$K,MATCH($C1264,Roster!$B:$B,0))&amp;""),"—"))</f>
        <v/>
      </c>
      <c r="M1264" s="27" t="n"/>
      <c r="N1264" s="27" t="n"/>
      <c r="O1264" s="25">
        <f>IF($C1264="","",IF($P1264="","—",IF($P1264="Valid (Pass)","Valid","Invalid")))</f>
        <v/>
      </c>
      <c r="P1264" s="27" t="n"/>
      <c r="Q1264" s="27" t="n"/>
      <c r="R1264" s="27" t="n"/>
      <c r="S1264" s="27" t="n"/>
      <c r="T1264" s="25">
        <f>IF($C1264="","",IF(OR(ISNUMBER(SEARCH("quick case",$P1264)),ISNUMBER(SEARCH("quick case",$Q1264))),"Yes","No"))</f>
        <v/>
      </c>
      <c r="U1264" s="25">
        <f>IF($O1264="Invalid",HYPERLINK("mailto:"&amp;$G1264&amp;";"&amp;$I1264&amp;"?cc="&amp;Lists!$E$2&amp;"&amp;subject="&amp;_xlfn.ENCODEURL("[INVALID] Quality audit monitoring completed for "&amp;UPPER($C1264))&amp;"&amp;body="&amp;_xlfn.ENCODEURL("Hi "&amp;$F1264&amp;","&amp;CHAR(10)&amp;"Good day!"&amp;CHAR(10)&amp;CHAR(10)&amp;"A quality monitoring audit has been completed for "&amp;$C1264&amp;"."&amp;CHAR(10)&amp;CHAR(10)&amp;"QUALITY AUDIT DETAILS"&amp;CHAR(10)&amp;"Agent Name: "&amp;$C1264&amp;" (EID "&amp;$D1264&amp;")"&amp;CHAR(10)&amp;"Audit Date: "&amp;TEXT($B1264,"yyyy-mm-dd")&amp;CHAR(10)&amp;"Team Leader: "&amp;$F1264&amp;CHAR(10)&amp;"Case Number: "&amp;$M1264&amp;CHAR(10)&amp;"Transaction ID: "&amp;$N1264&amp;CHAR(10)&amp;"Channel / LOB: "&amp;$K1264&amp;" / "&amp;$L1264&amp;CHAR(10)&amp;"Evaluator: "&amp;$S1264&amp;CHAR(10)&amp;CHAR(10)&amp;"INVALID QUALITY AUDIT DETAILS"&amp;CHAR(10)&amp;"Validation: Invalid"&amp;CHAR(10)&amp;"Invalid Reason: "&amp;$P1264&amp;CHAR(10)&amp;"Expected Resolution Code: "&amp;$Q1264&amp;CHAR(10)&amp;"Remarks: "&amp;LEFT($R1264,600)&amp;CHAR(10)&amp;CHAR(10)&amp;"This is an automated notification from HP Mainstream EQMS."),"✉ Open Email Draft"),"")</f>
        <v/>
      </c>
    </row>
    <row r="1265">
      <c r="A1265" s="25">
        <f>IF($C1265="","","AUD-2026-"&amp;TEXT(ROW()-1,"000000"))</f>
        <v/>
      </c>
      <c r="B1265" s="26" t="n"/>
      <c r="C1265" s="27" t="n"/>
      <c r="D1265" s="25">
        <f>IF($C1265="","",IFERROR(IF(INDEX(Roster!$A:$A,MATCH($C1265,Roster!$B:$B,0))="","",INDEX(Roster!$A:$A,MATCH($C1265,Roster!$B:$B,0))&amp;""),"—"))</f>
        <v/>
      </c>
      <c r="E1265" s="25">
        <f>IF($C1265="","",IFERROR(IF(INDEX(Roster!$C:$C,MATCH($C1265,Roster!$B:$B,0))="","",INDEX(Roster!$C:$C,MATCH($C1265,Roster!$B:$B,0))&amp;""),"—"))</f>
        <v/>
      </c>
      <c r="F1265" s="25">
        <f>IF($C1265="","",IFERROR(IF(INDEX(Roster!$D:$D,MATCH($C1265,Roster!$B:$B,0))="","",INDEX(Roster!$D:$D,MATCH($C1265,Roster!$B:$B,0))&amp;""),"—"))</f>
        <v/>
      </c>
      <c r="G1265" s="25">
        <f>IF($C1265="","",IFERROR(IF(INDEX(Roster!$E:$E,MATCH($C1265,Roster!$B:$B,0))="","",INDEX(Roster!$E:$E,MATCH($C1265,Roster!$B:$B,0))&amp;""),"—"))</f>
        <v/>
      </c>
      <c r="H1265" s="25">
        <f>IF($C1265="","",IFERROR(IF(INDEX(Roster!$F:$F,MATCH($C1265,Roster!$B:$B,0))="","",INDEX(Roster!$F:$F,MATCH($C1265,Roster!$B:$B,0))&amp;""),"—"))</f>
        <v/>
      </c>
      <c r="I1265" s="25">
        <f>IF($C1265="","",IFERROR(IF(INDEX(Roster!$G:$G,MATCH($C1265,Roster!$B:$B,0))="","",INDEX(Roster!$G:$G,MATCH($C1265,Roster!$B:$B,0))&amp;""),"—"))</f>
        <v/>
      </c>
      <c r="J1265" s="25">
        <f>IF($C1265="","",IFERROR(IF(INDEX(Roster!$I:$I,MATCH($C1265,Roster!$B:$B,0))="","",INDEX(Roster!$I:$I,MATCH($C1265,Roster!$B:$B,0))&amp;""),"—"))</f>
        <v/>
      </c>
      <c r="K1265">
        <f>IF($C1265="","",IFERROR(IF(INDEX(Roster!$J:$J,MATCH($C1265,Roster!$B:$B,0))="","",INDEX(Roster!$J:$J,MATCH($C1265,Roster!$B:$B,0))&amp;""),"—"))</f>
        <v/>
      </c>
      <c r="L1265">
        <f>IF($C1265="","",IFERROR(IF(INDEX(Roster!$K:$K,MATCH($C1265,Roster!$B:$B,0))="","",INDEX(Roster!$K:$K,MATCH($C1265,Roster!$B:$B,0))&amp;""),"—"))</f>
        <v/>
      </c>
      <c r="M1265" s="27" t="n"/>
      <c r="N1265" s="27" t="n"/>
      <c r="O1265" s="25">
        <f>IF($C1265="","",IF($P1265="","—",IF($P1265="Valid (Pass)","Valid","Invalid")))</f>
        <v/>
      </c>
      <c r="P1265" s="27" t="n"/>
      <c r="Q1265" s="27" t="n"/>
      <c r="R1265" s="27" t="n"/>
      <c r="S1265" s="27" t="n"/>
      <c r="T1265" s="25">
        <f>IF($C1265="","",IF(OR(ISNUMBER(SEARCH("quick case",$P1265)),ISNUMBER(SEARCH("quick case",$Q1265))),"Yes","No"))</f>
        <v/>
      </c>
      <c r="U1265" s="25">
        <f>IF($O1265="Invalid",HYPERLINK("mailto:"&amp;$G1265&amp;";"&amp;$I1265&amp;"?cc="&amp;Lists!$E$2&amp;"&amp;subject="&amp;_xlfn.ENCODEURL("[INVALID] Quality audit monitoring completed for "&amp;UPPER($C1265))&amp;"&amp;body="&amp;_xlfn.ENCODEURL("Hi "&amp;$F1265&amp;","&amp;CHAR(10)&amp;"Good day!"&amp;CHAR(10)&amp;CHAR(10)&amp;"A quality monitoring audit has been completed for "&amp;$C1265&amp;"."&amp;CHAR(10)&amp;CHAR(10)&amp;"QUALITY AUDIT DETAILS"&amp;CHAR(10)&amp;"Agent Name: "&amp;$C1265&amp;" (EID "&amp;$D1265&amp;")"&amp;CHAR(10)&amp;"Audit Date: "&amp;TEXT($B1265,"yyyy-mm-dd")&amp;CHAR(10)&amp;"Team Leader: "&amp;$F1265&amp;CHAR(10)&amp;"Case Number: "&amp;$M1265&amp;CHAR(10)&amp;"Transaction ID: "&amp;$N1265&amp;CHAR(10)&amp;"Channel / LOB: "&amp;$K1265&amp;" / "&amp;$L1265&amp;CHAR(10)&amp;"Evaluator: "&amp;$S1265&amp;CHAR(10)&amp;CHAR(10)&amp;"INVALID QUALITY AUDIT DETAILS"&amp;CHAR(10)&amp;"Validation: Invalid"&amp;CHAR(10)&amp;"Invalid Reason: "&amp;$P1265&amp;CHAR(10)&amp;"Expected Resolution Code: "&amp;$Q1265&amp;CHAR(10)&amp;"Remarks: "&amp;LEFT($R1265,600)&amp;CHAR(10)&amp;CHAR(10)&amp;"This is an automated notification from HP Mainstream EQMS."),"✉ Open Email Draft"),"")</f>
        <v/>
      </c>
    </row>
    <row r="1266">
      <c r="A1266" s="25">
        <f>IF($C1266="","","AUD-2026-"&amp;TEXT(ROW()-1,"000000"))</f>
        <v/>
      </c>
      <c r="B1266" s="26" t="n"/>
      <c r="C1266" s="27" t="n"/>
      <c r="D1266" s="25">
        <f>IF($C1266="","",IFERROR(IF(INDEX(Roster!$A:$A,MATCH($C1266,Roster!$B:$B,0))="","",INDEX(Roster!$A:$A,MATCH($C1266,Roster!$B:$B,0))&amp;""),"—"))</f>
        <v/>
      </c>
      <c r="E1266" s="25">
        <f>IF($C1266="","",IFERROR(IF(INDEX(Roster!$C:$C,MATCH($C1266,Roster!$B:$B,0))="","",INDEX(Roster!$C:$C,MATCH($C1266,Roster!$B:$B,0))&amp;""),"—"))</f>
        <v/>
      </c>
      <c r="F1266" s="25">
        <f>IF($C1266="","",IFERROR(IF(INDEX(Roster!$D:$D,MATCH($C1266,Roster!$B:$B,0))="","",INDEX(Roster!$D:$D,MATCH($C1266,Roster!$B:$B,0))&amp;""),"—"))</f>
        <v/>
      </c>
      <c r="G1266" s="25">
        <f>IF($C1266="","",IFERROR(IF(INDEX(Roster!$E:$E,MATCH($C1266,Roster!$B:$B,0))="","",INDEX(Roster!$E:$E,MATCH($C1266,Roster!$B:$B,0))&amp;""),"—"))</f>
        <v/>
      </c>
      <c r="H1266" s="25">
        <f>IF($C1266="","",IFERROR(IF(INDEX(Roster!$F:$F,MATCH($C1266,Roster!$B:$B,0))="","",INDEX(Roster!$F:$F,MATCH($C1266,Roster!$B:$B,0))&amp;""),"—"))</f>
        <v/>
      </c>
      <c r="I1266" s="25">
        <f>IF($C1266="","",IFERROR(IF(INDEX(Roster!$G:$G,MATCH($C1266,Roster!$B:$B,0))="","",INDEX(Roster!$G:$G,MATCH($C1266,Roster!$B:$B,0))&amp;""),"—"))</f>
        <v/>
      </c>
      <c r="J1266" s="25">
        <f>IF($C1266="","",IFERROR(IF(INDEX(Roster!$I:$I,MATCH($C1266,Roster!$B:$B,0))="","",INDEX(Roster!$I:$I,MATCH($C1266,Roster!$B:$B,0))&amp;""),"—"))</f>
        <v/>
      </c>
      <c r="K1266">
        <f>IF($C1266="","",IFERROR(IF(INDEX(Roster!$J:$J,MATCH($C1266,Roster!$B:$B,0))="","",INDEX(Roster!$J:$J,MATCH($C1266,Roster!$B:$B,0))&amp;""),"—"))</f>
        <v/>
      </c>
      <c r="L1266">
        <f>IF($C1266="","",IFERROR(IF(INDEX(Roster!$K:$K,MATCH($C1266,Roster!$B:$B,0))="","",INDEX(Roster!$K:$K,MATCH($C1266,Roster!$B:$B,0))&amp;""),"—"))</f>
        <v/>
      </c>
      <c r="M1266" s="27" t="n"/>
      <c r="N1266" s="27" t="n"/>
      <c r="O1266" s="25">
        <f>IF($C1266="","",IF($P1266="","—",IF($P1266="Valid (Pass)","Valid","Invalid")))</f>
        <v/>
      </c>
      <c r="P1266" s="27" t="n"/>
      <c r="Q1266" s="27" t="n"/>
      <c r="R1266" s="27" t="n"/>
      <c r="S1266" s="27" t="n"/>
      <c r="T1266" s="25">
        <f>IF($C1266="","",IF(OR(ISNUMBER(SEARCH("quick case",$P1266)),ISNUMBER(SEARCH("quick case",$Q1266))),"Yes","No"))</f>
        <v/>
      </c>
      <c r="U1266" s="25">
        <f>IF($O1266="Invalid",HYPERLINK("mailto:"&amp;$G1266&amp;";"&amp;$I1266&amp;"?cc="&amp;Lists!$E$2&amp;"&amp;subject="&amp;_xlfn.ENCODEURL("[INVALID] Quality audit monitoring completed for "&amp;UPPER($C1266))&amp;"&amp;body="&amp;_xlfn.ENCODEURL("Hi "&amp;$F1266&amp;","&amp;CHAR(10)&amp;"Good day!"&amp;CHAR(10)&amp;CHAR(10)&amp;"A quality monitoring audit has been completed for "&amp;$C1266&amp;"."&amp;CHAR(10)&amp;CHAR(10)&amp;"QUALITY AUDIT DETAILS"&amp;CHAR(10)&amp;"Agent Name: "&amp;$C1266&amp;" (EID "&amp;$D1266&amp;")"&amp;CHAR(10)&amp;"Audit Date: "&amp;TEXT($B1266,"yyyy-mm-dd")&amp;CHAR(10)&amp;"Team Leader: "&amp;$F1266&amp;CHAR(10)&amp;"Case Number: "&amp;$M1266&amp;CHAR(10)&amp;"Transaction ID: "&amp;$N1266&amp;CHAR(10)&amp;"Channel / LOB: "&amp;$K1266&amp;" / "&amp;$L1266&amp;CHAR(10)&amp;"Evaluator: "&amp;$S1266&amp;CHAR(10)&amp;CHAR(10)&amp;"INVALID QUALITY AUDIT DETAILS"&amp;CHAR(10)&amp;"Validation: Invalid"&amp;CHAR(10)&amp;"Invalid Reason: "&amp;$P1266&amp;CHAR(10)&amp;"Expected Resolution Code: "&amp;$Q1266&amp;CHAR(10)&amp;"Remarks: "&amp;LEFT($R1266,600)&amp;CHAR(10)&amp;CHAR(10)&amp;"This is an automated notification from HP Mainstream EQMS."),"✉ Open Email Draft"),"")</f>
        <v/>
      </c>
    </row>
    <row r="1267">
      <c r="A1267" s="25">
        <f>IF($C1267="","","AUD-2026-"&amp;TEXT(ROW()-1,"000000"))</f>
        <v/>
      </c>
      <c r="B1267" s="26" t="n"/>
      <c r="C1267" s="27" t="n"/>
      <c r="D1267" s="25">
        <f>IF($C1267="","",IFERROR(IF(INDEX(Roster!$A:$A,MATCH($C1267,Roster!$B:$B,0))="","",INDEX(Roster!$A:$A,MATCH($C1267,Roster!$B:$B,0))&amp;""),"—"))</f>
        <v/>
      </c>
      <c r="E1267" s="25">
        <f>IF($C1267="","",IFERROR(IF(INDEX(Roster!$C:$C,MATCH($C1267,Roster!$B:$B,0))="","",INDEX(Roster!$C:$C,MATCH($C1267,Roster!$B:$B,0))&amp;""),"—"))</f>
        <v/>
      </c>
      <c r="F1267" s="25">
        <f>IF($C1267="","",IFERROR(IF(INDEX(Roster!$D:$D,MATCH($C1267,Roster!$B:$B,0))="","",INDEX(Roster!$D:$D,MATCH($C1267,Roster!$B:$B,0))&amp;""),"—"))</f>
        <v/>
      </c>
      <c r="G1267" s="25">
        <f>IF($C1267="","",IFERROR(IF(INDEX(Roster!$E:$E,MATCH($C1267,Roster!$B:$B,0))="","",INDEX(Roster!$E:$E,MATCH($C1267,Roster!$B:$B,0))&amp;""),"—"))</f>
        <v/>
      </c>
      <c r="H1267" s="25">
        <f>IF($C1267="","",IFERROR(IF(INDEX(Roster!$F:$F,MATCH($C1267,Roster!$B:$B,0))="","",INDEX(Roster!$F:$F,MATCH($C1267,Roster!$B:$B,0))&amp;""),"—"))</f>
        <v/>
      </c>
      <c r="I1267" s="25">
        <f>IF($C1267="","",IFERROR(IF(INDEX(Roster!$G:$G,MATCH($C1267,Roster!$B:$B,0))="","",INDEX(Roster!$G:$G,MATCH($C1267,Roster!$B:$B,0))&amp;""),"—"))</f>
        <v/>
      </c>
      <c r="J1267" s="25">
        <f>IF($C1267="","",IFERROR(IF(INDEX(Roster!$I:$I,MATCH($C1267,Roster!$B:$B,0))="","",INDEX(Roster!$I:$I,MATCH($C1267,Roster!$B:$B,0))&amp;""),"—"))</f>
        <v/>
      </c>
      <c r="K1267">
        <f>IF($C1267="","",IFERROR(IF(INDEX(Roster!$J:$J,MATCH($C1267,Roster!$B:$B,0))="","",INDEX(Roster!$J:$J,MATCH($C1267,Roster!$B:$B,0))&amp;""),"—"))</f>
        <v/>
      </c>
      <c r="L1267">
        <f>IF($C1267="","",IFERROR(IF(INDEX(Roster!$K:$K,MATCH($C1267,Roster!$B:$B,0))="","",INDEX(Roster!$K:$K,MATCH($C1267,Roster!$B:$B,0))&amp;""),"—"))</f>
        <v/>
      </c>
      <c r="M1267" s="27" t="n"/>
      <c r="N1267" s="27" t="n"/>
      <c r="O1267" s="25">
        <f>IF($C1267="","",IF($P1267="","—",IF($P1267="Valid (Pass)","Valid","Invalid")))</f>
        <v/>
      </c>
      <c r="P1267" s="27" t="n"/>
      <c r="Q1267" s="27" t="n"/>
      <c r="R1267" s="27" t="n"/>
      <c r="S1267" s="27" t="n"/>
      <c r="T1267" s="25">
        <f>IF($C1267="","",IF(OR(ISNUMBER(SEARCH("quick case",$P1267)),ISNUMBER(SEARCH("quick case",$Q1267))),"Yes","No"))</f>
        <v/>
      </c>
      <c r="U1267" s="25">
        <f>IF($O1267="Invalid",HYPERLINK("mailto:"&amp;$G1267&amp;";"&amp;$I1267&amp;"?cc="&amp;Lists!$E$2&amp;"&amp;subject="&amp;_xlfn.ENCODEURL("[INVALID] Quality audit monitoring completed for "&amp;UPPER($C1267))&amp;"&amp;body="&amp;_xlfn.ENCODEURL("Hi "&amp;$F1267&amp;","&amp;CHAR(10)&amp;"Good day!"&amp;CHAR(10)&amp;CHAR(10)&amp;"A quality monitoring audit has been completed for "&amp;$C1267&amp;"."&amp;CHAR(10)&amp;CHAR(10)&amp;"QUALITY AUDIT DETAILS"&amp;CHAR(10)&amp;"Agent Name: "&amp;$C1267&amp;" (EID "&amp;$D1267&amp;")"&amp;CHAR(10)&amp;"Audit Date: "&amp;TEXT($B1267,"yyyy-mm-dd")&amp;CHAR(10)&amp;"Team Leader: "&amp;$F1267&amp;CHAR(10)&amp;"Case Number: "&amp;$M1267&amp;CHAR(10)&amp;"Transaction ID: "&amp;$N1267&amp;CHAR(10)&amp;"Channel / LOB: "&amp;$K1267&amp;" / "&amp;$L1267&amp;CHAR(10)&amp;"Evaluator: "&amp;$S1267&amp;CHAR(10)&amp;CHAR(10)&amp;"INVALID QUALITY AUDIT DETAILS"&amp;CHAR(10)&amp;"Validation: Invalid"&amp;CHAR(10)&amp;"Invalid Reason: "&amp;$P1267&amp;CHAR(10)&amp;"Expected Resolution Code: "&amp;$Q1267&amp;CHAR(10)&amp;"Remarks: "&amp;LEFT($R1267,600)&amp;CHAR(10)&amp;CHAR(10)&amp;"This is an automated notification from HP Mainstream EQMS."),"✉ Open Email Draft"),"")</f>
        <v/>
      </c>
    </row>
    <row r="1268">
      <c r="A1268" s="25">
        <f>IF($C1268="","","AUD-2026-"&amp;TEXT(ROW()-1,"000000"))</f>
        <v/>
      </c>
      <c r="B1268" s="26" t="n"/>
      <c r="C1268" s="27" t="n"/>
      <c r="D1268" s="25">
        <f>IF($C1268="","",IFERROR(IF(INDEX(Roster!$A:$A,MATCH($C1268,Roster!$B:$B,0))="","",INDEX(Roster!$A:$A,MATCH($C1268,Roster!$B:$B,0))&amp;""),"—"))</f>
        <v/>
      </c>
      <c r="E1268" s="25">
        <f>IF($C1268="","",IFERROR(IF(INDEX(Roster!$C:$C,MATCH($C1268,Roster!$B:$B,0))="","",INDEX(Roster!$C:$C,MATCH($C1268,Roster!$B:$B,0))&amp;""),"—"))</f>
        <v/>
      </c>
      <c r="F1268" s="25">
        <f>IF($C1268="","",IFERROR(IF(INDEX(Roster!$D:$D,MATCH($C1268,Roster!$B:$B,0))="","",INDEX(Roster!$D:$D,MATCH($C1268,Roster!$B:$B,0))&amp;""),"—"))</f>
        <v/>
      </c>
      <c r="G1268" s="25">
        <f>IF($C1268="","",IFERROR(IF(INDEX(Roster!$E:$E,MATCH($C1268,Roster!$B:$B,0))="","",INDEX(Roster!$E:$E,MATCH($C1268,Roster!$B:$B,0))&amp;""),"—"))</f>
        <v/>
      </c>
      <c r="H1268" s="25">
        <f>IF($C1268="","",IFERROR(IF(INDEX(Roster!$F:$F,MATCH($C1268,Roster!$B:$B,0))="","",INDEX(Roster!$F:$F,MATCH($C1268,Roster!$B:$B,0))&amp;""),"—"))</f>
        <v/>
      </c>
      <c r="I1268" s="25">
        <f>IF($C1268="","",IFERROR(IF(INDEX(Roster!$G:$G,MATCH($C1268,Roster!$B:$B,0))="","",INDEX(Roster!$G:$G,MATCH($C1268,Roster!$B:$B,0))&amp;""),"—"))</f>
        <v/>
      </c>
      <c r="J1268" s="25">
        <f>IF($C1268="","",IFERROR(IF(INDEX(Roster!$I:$I,MATCH($C1268,Roster!$B:$B,0))="","",INDEX(Roster!$I:$I,MATCH($C1268,Roster!$B:$B,0))&amp;""),"—"))</f>
        <v/>
      </c>
      <c r="K1268">
        <f>IF($C1268="","",IFERROR(IF(INDEX(Roster!$J:$J,MATCH($C1268,Roster!$B:$B,0))="","",INDEX(Roster!$J:$J,MATCH($C1268,Roster!$B:$B,0))&amp;""),"—"))</f>
        <v/>
      </c>
      <c r="L1268">
        <f>IF($C1268="","",IFERROR(IF(INDEX(Roster!$K:$K,MATCH($C1268,Roster!$B:$B,0))="","",INDEX(Roster!$K:$K,MATCH($C1268,Roster!$B:$B,0))&amp;""),"—"))</f>
        <v/>
      </c>
      <c r="M1268" s="27" t="n"/>
      <c r="N1268" s="27" t="n"/>
      <c r="O1268" s="25">
        <f>IF($C1268="","",IF($P1268="","—",IF($P1268="Valid (Pass)","Valid","Invalid")))</f>
        <v/>
      </c>
      <c r="P1268" s="27" t="n"/>
      <c r="Q1268" s="27" t="n"/>
      <c r="R1268" s="27" t="n"/>
      <c r="S1268" s="27" t="n"/>
      <c r="T1268" s="25">
        <f>IF($C1268="","",IF(OR(ISNUMBER(SEARCH("quick case",$P1268)),ISNUMBER(SEARCH("quick case",$Q1268))),"Yes","No"))</f>
        <v/>
      </c>
      <c r="U1268" s="25">
        <f>IF($O1268="Invalid",HYPERLINK("mailto:"&amp;$G1268&amp;";"&amp;$I1268&amp;"?cc="&amp;Lists!$E$2&amp;"&amp;subject="&amp;_xlfn.ENCODEURL("[INVALID] Quality audit monitoring completed for "&amp;UPPER($C1268))&amp;"&amp;body="&amp;_xlfn.ENCODEURL("Hi "&amp;$F1268&amp;","&amp;CHAR(10)&amp;"Good day!"&amp;CHAR(10)&amp;CHAR(10)&amp;"A quality monitoring audit has been completed for "&amp;$C1268&amp;"."&amp;CHAR(10)&amp;CHAR(10)&amp;"QUALITY AUDIT DETAILS"&amp;CHAR(10)&amp;"Agent Name: "&amp;$C1268&amp;" (EID "&amp;$D1268&amp;")"&amp;CHAR(10)&amp;"Audit Date: "&amp;TEXT($B1268,"yyyy-mm-dd")&amp;CHAR(10)&amp;"Team Leader: "&amp;$F1268&amp;CHAR(10)&amp;"Case Number: "&amp;$M1268&amp;CHAR(10)&amp;"Transaction ID: "&amp;$N1268&amp;CHAR(10)&amp;"Channel / LOB: "&amp;$K1268&amp;" / "&amp;$L1268&amp;CHAR(10)&amp;"Evaluator: "&amp;$S1268&amp;CHAR(10)&amp;CHAR(10)&amp;"INVALID QUALITY AUDIT DETAILS"&amp;CHAR(10)&amp;"Validation: Invalid"&amp;CHAR(10)&amp;"Invalid Reason: "&amp;$P1268&amp;CHAR(10)&amp;"Expected Resolution Code: "&amp;$Q1268&amp;CHAR(10)&amp;"Remarks: "&amp;LEFT($R1268,600)&amp;CHAR(10)&amp;CHAR(10)&amp;"This is an automated notification from HP Mainstream EQMS."),"✉ Open Email Draft"),"")</f>
        <v/>
      </c>
    </row>
    <row r="1269">
      <c r="A1269" s="25">
        <f>IF($C1269="","","AUD-2026-"&amp;TEXT(ROW()-1,"000000"))</f>
        <v/>
      </c>
      <c r="B1269" s="26" t="n"/>
      <c r="C1269" s="27" t="n"/>
      <c r="D1269" s="25">
        <f>IF($C1269="","",IFERROR(IF(INDEX(Roster!$A:$A,MATCH($C1269,Roster!$B:$B,0))="","",INDEX(Roster!$A:$A,MATCH($C1269,Roster!$B:$B,0))&amp;""),"—"))</f>
        <v/>
      </c>
      <c r="E1269" s="25">
        <f>IF($C1269="","",IFERROR(IF(INDEX(Roster!$C:$C,MATCH($C1269,Roster!$B:$B,0))="","",INDEX(Roster!$C:$C,MATCH($C1269,Roster!$B:$B,0))&amp;""),"—"))</f>
        <v/>
      </c>
      <c r="F1269" s="25">
        <f>IF($C1269="","",IFERROR(IF(INDEX(Roster!$D:$D,MATCH($C1269,Roster!$B:$B,0))="","",INDEX(Roster!$D:$D,MATCH($C1269,Roster!$B:$B,0))&amp;""),"—"))</f>
        <v/>
      </c>
      <c r="G1269" s="25">
        <f>IF($C1269="","",IFERROR(IF(INDEX(Roster!$E:$E,MATCH($C1269,Roster!$B:$B,0))="","",INDEX(Roster!$E:$E,MATCH($C1269,Roster!$B:$B,0))&amp;""),"—"))</f>
        <v/>
      </c>
      <c r="H1269" s="25">
        <f>IF($C1269="","",IFERROR(IF(INDEX(Roster!$F:$F,MATCH($C1269,Roster!$B:$B,0))="","",INDEX(Roster!$F:$F,MATCH($C1269,Roster!$B:$B,0))&amp;""),"—"))</f>
        <v/>
      </c>
      <c r="I1269" s="25">
        <f>IF($C1269="","",IFERROR(IF(INDEX(Roster!$G:$G,MATCH($C1269,Roster!$B:$B,0))="","",INDEX(Roster!$G:$G,MATCH($C1269,Roster!$B:$B,0))&amp;""),"—"))</f>
        <v/>
      </c>
      <c r="J1269" s="25">
        <f>IF($C1269="","",IFERROR(IF(INDEX(Roster!$I:$I,MATCH($C1269,Roster!$B:$B,0))="","",INDEX(Roster!$I:$I,MATCH($C1269,Roster!$B:$B,0))&amp;""),"—"))</f>
        <v/>
      </c>
      <c r="K1269">
        <f>IF($C1269="","",IFERROR(IF(INDEX(Roster!$J:$J,MATCH($C1269,Roster!$B:$B,0))="","",INDEX(Roster!$J:$J,MATCH($C1269,Roster!$B:$B,0))&amp;""),"—"))</f>
        <v/>
      </c>
      <c r="L1269">
        <f>IF($C1269="","",IFERROR(IF(INDEX(Roster!$K:$K,MATCH($C1269,Roster!$B:$B,0))="","",INDEX(Roster!$K:$K,MATCH($C1269,Roster!$B:$B,0))&amp;""),"—"))</f>
        <v/>
      </c>
      <c r="M1269" s="27" t="n"/>
      <c r="N1269" s="27" t="n"/>
      <c r="O1269" s="25">
        <f>IF($C1269="","",IF($P1269="","—",IF($P1269="Valid (Pass)","Valid","Invalid")))</f>
        <v/>
      </c>
      <c r="P1269" s="27" t="n"/>
      <c r="Q1269" s="27" t="n"/>
      <c r="R1269" s="27" t="n"/>
      <c r="S1269" s="27" t="n"/>
      <c r="T1269" s="25">
        <f>IF($C1269="","",IF(OR(ISNUMBER(SEARCH("quick case",$P1269)),ISNUMBER(SEARCH("quick case",$Q1269))),"Yes","No"))</f>
        <v/>
      </c>
      <c r="U1269" s="25">
        <f>IF($O1269="Invalid",HYPERLINK("mailto:"&amp;$G1269&amp;";"&amp;$I1269&amp;"?cc="&amp;Lists!$E$2&amp;"&amp;subject="&amp;_xlfn.ENCODEURL("[INVALID] Quality audit monitoring completed for "&amp;UPPER($C1269))&amp;"&amp;body="&amp;_xlfn.ENCODEURL("Hi "&amp;$F1269&amp;","&amp;CHAR(10)&amp;"Good day!"&amp;CHAR(10)&amp;CHAR(10)&amp;"A quality monitoring audit has been completed for "&amp;$C1269&amp;"."&amp;CHAR(10)&amp;CHAR(10)&amp;"QUALITY AUDIT DETAILS"&amp;CHAR(10)&amp;"Agent Name: "&amp;$C1269&amp;" (EID "&amp;$D1269&amp;")"&amp;CHAR(10)&amp;"Audit Date: "&amp;TEXT($B1269,"yyyy-mm-dd")&amp;CHAR(10)&amp;"Team Leader: "&amp;$F1269&amp;CHAR(10)&amp;"Case Number: "&amp;$M1269&amp;CHAR(10)&amp;"Transaction ID: "&amp;$N1269&amp;CHAR(10)&amp;"Channel / LOB: "&amp;$K1269&amp;" / "&amp;$L1269&amp;CHAR(10)&amp;"Evaluator: "&amp;$S1269&amp;CHAR(10)&amp;CHAR(10)&amp;"INVALID QUALITY AUDIT DETAILS"&amp;CHAR(10)&amp;"Validation: Invalid"&amp;CHAR(10)&amp;"Invalid Reason: "&amp;$P1269&amp;CHAR(10)&amp;"Expected Resolution Code: "&amp;$Q1269&amp;CHAR(10)&amp;"Remarks: "&amp;LEFT($R1269,600)&amp;CHAR(10)&amp;CHAR(10)&amp;"This is an automated notification from HP Mainstream EQMS."),"✉ Open Email Draft"),"")</f>
        <v/>
      </c>
    </row>
    <row r="1270">
      <c r="A1270" s="25">
        <f>IF($C1270="","","AUD-2026-"&amp;TEXT(ROW()-1,"000000"))</f>
        <v/>
      </c>
      <c r="B1270" s="26" t="n"/>
      <c r="C1270" s="27" t="n"/>
      <c r="D1270" s="25">
        <f>IF($C1270="","",IFERROR(IF(INDEX(Roster!$A:$A,MATCH($C1270,Roster!$B:$B,0))="","",INDEX(Roster!$A:$A,MATCH($C1270,Roster!$B:$B,0))&amp;""),"—"))</f>
        <v/>
      </c>
      <c r="E1270" s="25">
        <f>IF($C1270="","",IFERROR(IF(INDEX(Roster!$C:$C,MATCH($C1270,Roster!$B:$B,0))="","",INDEX(Roster!$C:$C,MATCH($C1270,Roster!$B:$B,0))&amp;""),"—"))</f>
        <v/>
      </c>
      <c r="F1270" s="25">
        <f>IF($C1270="","",IFERROR(IF(INDEX(Roster!$D:$D,MATCH($C1270,Roster!$B:$B,0))="","",INDEX(Roster!$D:$D,MATCH($C1270,Roster!$B:$B,0))&amp;""),"—"))</f>
        <v/>
      </c>
      <c r="G1270" s="25">
        <f>IF($C1270="","",IFERROR(IF(INDEX(Roster!$E:$E,MATCH($C1270,Roster!$B:$B,0))="","",INDEX(Roster!$E:$E,MATCH($C1270,Roster!$B:$B,0))&amp;""),"—"))</f>
        <v/>
      </c>
      <c r="H1270" s="25">
        <f>IF($C1270="","",IFERROR(IF(INDEX(Roster!$F:$F,MATCH($C1270,Roster!$B:$B,0))="","",INDEX(Roster!$F:$F,MATCH($C1270,Roster!$B:$B,0))&amp;""),"—"))</f>
        <v/>
      </c>
      <c r="I1270" s="25">
        <f>IF($C1270="","",IFERROR(IF(INDEX(Roster!$G:$G,MATCH($C1270,Roster!$B:$B,0))="","",INDEX(Roster!$G:$G,MATCH($C1270,Roster!$B:$B,0))&amp;""),"—"))</f>
        <v/>
      </c>
      <c r="J1270" s="25">
        <f>IF($C1270="","",IFERROR(IF(INDEX(Roster!$I:$I,MATCH($C1270,Roster!$B:$B,0))="","",INDEX(Roster!$I:$I,MATCH($C1270,Roster!$B:$B,0))&amp;""),"—"))</f>
        <v/>
      </c>
      <c r="K1270">
        <f>IF($C1270="","",IFERROR(IF(INDEX(Roster!$J:$J,MATCH($C1270,Roster!$B:$B,0))="","",INDEX(Roster!$J:$J,MATCH($C1270,Roster!$B:$B,0))&amp;""),"—"))</f>
        <v/>
      </c>
      <c r="L1270">
        <f>IF($C1270="","",IFERROR(IF(INDEX(Roster!$K:$K,MATCH($C1270,Roster!$B:$B,0))="","",INDEX(Roster!$K:$K,MATCH($C1270,Roster!$B:$B,0))&amp;""),"—"))</f>
        <v/>
      </c>
      <c r="M1270" s="27" t="n"/>
      <c r="N1270" s="27" t="n"/>
      <c r="O1270" s="25">
        <f>IF($C1270="","",IF($P1270="","—",IF($P1270="Valid (Pass)","Valid","Invalid")))</f>
        <v/>
      </c>
      <c r="P1270" s="27" t="n"/>
      <c r="Q1270" s="27" t="n"/>
      <c r="R1270" s="27" t="n"/>
      <c r="S1270" s="27" t="n"/>
      <c r="T1270" s="25">
        <f>IF($C1270="","",IF(OR(ISNUMBER(SEARCH("quick case",$P1270)),ISNUMBER(SEARCH("quick case",$Q1270))),"Yes","No"))</f>
        <v/>
      </c>
      <c r="U1270" s="25">
        <f>IF($O1270="Invalid",HYPERLINK("mailto:"&amp;$G1270&amp;";"&amp;$I1270&amp;"?cc="&amp;Lists!$E$2&amp;"&amp;subject="&amp;_xlfn.ENCODEURL("[INVALID] Quality audit monitoring completed for "&amp;UPPER($C1270))&amp;"&amp;body="&amp;_xlfn.ENCODEURL("Hi "&amp;$F1270&amp;","&amp;CHAR(10)&amp;"Good day!"&amp;CHAR(10)&amp;CHAR(10)&amp;"A quality monitoring audit has been completed for "&amp;$C1270&amp;"."&amp;CHAR(10)&amp;CHAR(10)&amp;"QUALITY AUDIT DETAILS"&amp;CHAR(10)&amp;"Agent Name: "&amp;$C1270&amp;" (EID "&amp;$D1270&amp;")"&amp;CHAR(10)&amp;"Audit Date: "&amp;TEXT($B1270,"yyyy-mm-dd")&amp;CHAR(10)&amp;"Team Leader: "&amp;$F1270&amp;CHAR(10)&amp;"Case Number: "&amp;$M1270&amp;CHAR(10)&amp;"Transaction ID: "&amp;$N1270&amp;CHAR(10)&amp;"Channel / LOB: "&amp;$K1270&amp;" / "&amp;$L1270&amp;CHAR(10)&amp;"Evaluator: "&amp;$S1270&amp;CHAR(10)&amp;CHAR(10)&amp;"INVALID QUALITY AUDIT DETAILS"&amp;CHAR(10)&amp;"Validation: Invalid"&amp;CHAR(10)&amp;"Invalid Reason: "&amp;$P1270&amp;CHAR(10)&amp;"Expected Resolution Code: "&amp;$Q1270&amp;CHAR(10)&amp;"Remarks: "&amp;LEFT($R1270,600)&amp;CHAR(10)&amp;CHAR(10)&amp;"This is an automated notification from HP Mainstream EQMS."),"✉ Open Email Draft"),"")</f>
        <v/>
      </c>
    </row>
    <row r="1271">
      <c r="A1271" s="25">
        <f>IF($C1271="","","AUD-2026-"&amp;TEXT(ROW()-1,"000000"))</f>
        <v/>
      </c>
      <c r="B1271" s="26" t="n"/>
      <c r="C1271" s="27" t="n"/>
      <c r="D1271" s="25">
        <f>IF($C1271="","",IFERROR(IF(INDEX(Roster!$A:$A,MATCH($C1271,Roster!$B:$B,0))="","",INDEX(Roster!$A:$A,MATCH($C1271,Roster!$B:$B,0))&amp;""),"—"))</f>
        <v/>
      </c>
      <c r="E1271" s="25">
        <f>IF($C1271="","",IFERROR(IF(INDEX(Roster!$C:$C,MATCH($C1271,Roster!$B:$B,0))="","",INDEX(Roster!$C:$C,MATCH($C1271,Roster!$B:$B,0))&amp;""),"—"))</f>
        <v/>
      </c>
      <c r="F1271" s="25">
        <f>IF($C1271="","",IFERROR(IF(INDEX(Roster!$D:$D,MATCH($C1271,Roster!$B:$B,0))="","",INDEX(Roster!$D:$D,MATCH($C1271,Roster!$B:$B,0))&amp;""),"—"))</f>
        <v/>
      </c>
      <c r="G1271" s="25">
        <f>IF($C1271="","",IFERROR(IF(INDEX(Roster!$E:$E,MATCH($C1271,Roster!$B:$B,0))="","",INDEX(Roster!$E:$E,MATCH($C1271,Roster!$B:$B,0))&amp;""),"—"))</f>
        <v/>
      </c>
      <c r="H1271" s="25">
        <f>IF($C1271="","",IFERROR(IF(INDEX(Roster!$F:$F,MATCH($C1271,Roster!$B:$B,0))="","",INDEX(Roster!$F:$F,MATCH($C1271,Roster!$B:$B,0))&amp;""),"—"))</f>
        <v/>
      </c>
      <c r="I1271" s="25">
        <f>IF($C1271="","",IFERROR(IF(INDEX(Roster!$G:$G,MATCH($C1271,Roster!$B:$B,0))="","",INDEX(Roster!$G:$G,MATCH($C1271,Roster!$B:$B,0))&amp;""),"—"))</f>
        <v/>
      </c>
      <c r="J1271" s="25">
        <f>IF($C1271="","",IFERROR(IF(INDEX(Roster!$I:$I,MATCH($C1271,Roster!$B:$B,0))="","",INDEX(Roster!$I:$I,MATCH($C1271,Roster!$B:$B,0))&amp;""),"—"))</f>
        <v/>
      </c>
      <c r="K1271">
        <f>IF($C1271="","",IFERROR(IF(INDEX(Roster!$J:$J,MATCH($C1271,Roster!$B:$B,0))="","",INDEX(Roster!$J:$J,MATCH($C1271,Roster!$B:$B,0))&amp;""),"—"))</f>
        <v/>
      </c>
      <c r="L1271">
        <f>IF($C1271="","",IFERROR(IF(INDEX(Roster!$K:$K,MATCH($C1271,Roster!$B:$B,0))="","",INDEX(Roster!$K:$K,MATCH($C1271,Roster!$B:$B,0))&amp;""),"—"))</f>
        <v/>
      </c>
      <c r="M1271" s="27" t="n"/>
      <c r="N1271" s="27" t="n"/>
      <c r="O1271" s="25">
        <f>IF($C1271="","",IF($P1271="","—",IF($P1271="Valid (Pass)","Valid","Invalid")))</f>
        <v/>
      </c>
      <c r="P1271" s="27" t="n"/>
      <c r="Q1271" s="27" t="n"/>
      <c r="R1271" s="27" t="n"/>
      <c r="S1271" s="27" t="n"/>
      <c r="T1271" s="25">
        <f>IF($C1271="","",IF(OR(ISNUMBER(SEARCH("quick case",$P1271)),ISNUMBER(SEARCH("quick case",$Q1271))),"Yes","No"))</f>
        <v/>
      </c>
      <c r="U1271" s="25">
        <f>IF($O1271="Invalid",HYPERLINK("mailto:"&amp;$G1271&amp;";"&amp;$I1271&amp;"?cc="&amp;Lists!$E$2&amp;"&amp;subject="&amp;_xlfn.ENCODEURL("[INVALID] Quality audit monitoring completed for "&amp;UPPER($C1271))&amp;"&amp;body="&amp;_xlfn.ENCODEURL("Hi "&amp;$F1271&amp;","&amp;CHAR(10)&amp;"Good day!"&amp;CHAR(10)&amp;CHAR(10)&amp;"A quality monitoring audit has been completed for "&amp;$C1271&amp;"."&amp;CHAR(10)&amp;CHAR(10)&amp;"QUALITY AUDIT DETAILS"&amp;CHAR(10)&amp;"Agent Name: "&amp;$C1271&amp;" (EID "&amp;$D1271&amp;")"&amp;CHAR(10)&amp;"Audit Date: "&amp;TEXT($B1271,"yyyy-mm-dd")&amp;CHAR(10)&amp;"Team Leader: "&amp;$F1271&amp;CHAR(10)&amp;"Case Number: "&amp;$M1271&amp;CHAR(10)&amp;"Transaction ID: "&amp;$N1271&amp;CHAR(10)&amp;"Channel / LOB: "&amp;$K1271&amp;" / "&amp;$L1271&amp;CHAR(10)&amp;"Evaluator: "&amp;$S1271&amp;CHAR(10)&amp;CHAR(10)&amp;"INVALID QUALITY AUDIT DETAILS"&amp;CHAR(10)&amp;"Validation: Invalid"&amp;CHAR(10)&amp;"Invalid Reason: "&amp;$P1271&amp;CHAR(10)&amp;"Expected Resolution Code: "&amp;$Q1271&amp;CHAR(10)&amp;"Remarks: "&amp;LEFT($R1271,600)&amp;CHAR(10)&amp;CHAR(10)&amp;"This is an automated notification from HP Mainstream EQMS."),"✉ Open Email Draft"),"")</f>
        <v/>
      </c>
    </row>
    <row r="1272">
      <c r="A1272" s="25">
        <f>IF($C1272="","","AUD-2026-"&amp;TEXT(ROW()-1,"000000"))</f>
        <v/>
      </c>
      <c r="B1272" s="26" t="n"/>
      <c r="C1272" s="27" t="n"/>
      <c r="D1272" s="25">
        <f>IF($C1272="","",IFERROR(IF(INDEX(Roster!$A:$A,MATCH($C1272,Roster!$B:$B,0))="","",INDEX(Roster!$A:$A,MATCH($C1272,Roster!$B:$B,0))&amp;""),"—"))</f>
        <v/>
      </c>
      <c r="E1272" s="25">
        <f>IF($C1272="","",IFERROR(IF(INDEX(Roster!$C:$C,MATCH($C1272,Roster!$B:$B,0))="","",INDEX(Roster!$C:$C,MATCH($C1272,Roster!$B:$B,0))&amp;""),"—"))</f>
        <v/>
      </c>
      <c r="F1272" s="25">
        <f>IF($C1272="","",IFERROR(IF(INDEX(Roster!$D:$D,MATCH($C1272,Roster!$B:$B,0))="","",INDEX(Roster!$D:$D,MATCH($C1272,Roster!$B:$B,0))&amp;""),"—"))</f>
        <v/>
      </c>
      <c r="G1272" s="25">
        <f>IF($C1272="","",IFERROR(IF(INDEX(Roster!$E:$E,MATCH($C1272,Roster!$B:$B,0))="","",INDEX(Roster!$E:$E,MATCH($C1272,Roster!$B:$B,0))&amp;""),"—"))</f>
        <v/>
      </c>
      <c r="H1272" s="25">
        <f>IF($C1272="","",IFERROR(IF(INDEX(Roster!$F:$F,MATCH($C1272,Roster!$B:$B,0))="","",INDEX(Roster!$F:$F,MATCH($C1272,Roster!$B:$B,0))&amp;""),"—"))</f>
        <v/>
      </c>
      <c r="I1272" s="25">
        <f>IF($C1272="","",IFERROR(IF(INDEX(Roster!$G:$G,MATCH($C1272,Roster!$B:$B,0))="","",INDEX(Roster!$G:$G,MATCH($C1272,Roster!$B:$B,0))&amp;""),"—"))</f>
        <v/>
      </c>
      <c r="J1272" s="25">
        <f>IF($C1272="","",IFERROR(IF(INDEX(Roster!$I:$I,MATCH($C1272,Roster!$B:$B,0))="","",INDEX(Roster!$I:$I,MATCH($C1272,Roster!$B:$B,0))&amp;""),"—"))</f>
        <v/>
      </c>
      <c r="K1272">
        <f>IF($C1272="","",IFERROR(IF(INDEX(Roster!$J:$J,MATCH($C1272,Roster!$B:$B,0))="","",INDEX(Roster!$J:$J,MATCH($C1272,Roster!$B:$B,0))&amp;""),"—"))</f>
        <v/>
      </c>
      <c r="L1272">
        <f>IF($C1272="","",IFERROR(IF(INDEX(Roster!$K:$K,MATCH($C1272,Roster!$B:$B,0))="","",INDEX(Roster!$K:$K,MATCH($C1272,Roster!$B:$B,0))&amp;""),"—"))</f>
        <v/>
      </c>
      <c r="M1272" s="27" t="n"/>
      <c r="N1272" s="27" t="n"/>
      <c r="O1272" s="25">
        <f>IF($C1272="","",IF($P1272="","—",IF($P1272="Valid (Pass)","Valid","Invalid")))</f>
        <v/>
      </c>
      <c r="P1272" s="27" t="n"/>
      <c r="Q1272" s="27" t="n"/>
      <c r="R1272" s="27" t="n"/>
      <c r="S1272" s="27" t="n"/>
      <c r="T1272" s="25">
        <f>IF($C1272="","",IF(OR(ISNUMBER(SEARCH("quick case",$P1272)),ISNUMBER(SEARCH("quick case",$Q1272))),"Yes","No"))</f>
        <v/>
      </c>
      <c r="U1272" s="25">
        <f>IF($O1272="Invalid",HYPERLINK("mailto:"&amp;$G1272&amp;";"&amp;$I1272&amp;"?cc="&amp;Lists!$E$2&amp;"&amp;subject="&amp;_xlfn.ENCODEURL("[INVALID] Quality audit monitoring completed for "&amp;UPPER($C1272))&amp;"&amp;body="&amp;_xlfn.ENCODEURL("Hi "&amp;$F1272&amp;","&amp;CHAR(10)&amp;"Good day!"&amp;CHAR(10)&amp;CHAR(10)&amp;"A quality monitoring audit has been completed for "&amp;$C1272&amp;"."&amp;CHAR(10)&amp;CHAR(10)&amp;"QUALITY AUDIT DETAILS"&amp;CHAR(10)&amp;"Agent Name: "&amp;$C1272&amp;" (EID "&amp;$D1272&amp;")"&amp;CHAR(10)&amp;"Audit Date: "&amp;TEXT($B1272,"yyyy-mm-dd")&amp;CHAR(10)&amp;"Team Leader: "&amp;$F1272&amp;CHAR(10)&amp;"Case Number: "&amp;$M1272&amp;CHAR(10)&amp;"Transaction ID: "&amp;$N1272&amp;CHAR(10)&amp;"Channel / LOB: "&amp;$K1272&amp;" / "&amp;$L1272&amp;CHAR(10)&amp;"Evaluator: "&amp;$S1272&amp;CHAR(10)&amp;CHAR(10)&amp;"INVALID QUALITY AUDIT DETAILS"&amp;CHAR(10)&amp;"Validation: Invalid"&amp;CHAR(10)&amp;"Invalid Reason: "&amp;$P1272&amp;CHAR(10)&amp;"Expected Resolution Code: "&amp;$Q1272&amp;CHAR(10)&amp;"Remarks: "&amp;LEFT($R1272,600)&amp;CHAR(10)&amp;CHAR(10)&amp;"This is an automated notification from HP Mainstream EQMS."),"✉ Open Email Draft"),"")</f>
        <v/>
      </c>
    </row>
    <row r="1273">
      <c r="A1273" s="25">
        <f>IF($C1273="","","AUD-2026-"&amp;TEXT(ROW()-1,"000000"))</f>
        <v/>
      </c>
      <c r="B1273" s="26" t="n"/>
      <c r="C1273" s="27" t="n"/>
      <c r="D1273" s="25">
        <f>IF($C1273="","",IFERROR(IF(INDEX(Roster!$A:$A,MATCH($C1273,Roster!$B:$B,0))="","",INDEX(Roster!$A:$A,MATCH($C1273,Roster!$B:$B,0))&amp;""),"—"))</f>
        <v/>
      </c>
      <c r="E1273" s="25">
        <f>IF($C1273="","",IFERROR(IF(INDEX(Roster!$C:$C,MATCH($C1273,Roster!$B:$B,0))="","",INDEX(Roster!$C:$C,MATCH($C1273,Roster!$B:$B,0))&amp;""),"—"))</f>
        <v/>
      </c>
      <c r="F1273" s="25">
        <f>IF($C1273="","",IFERROR(IF(INDEX(Roster!$D:$D,MATCH($C1273,Roster!$B:$B,0))="","",INDEX(Roster!$D:$D,MATCH($C1273,Roster!$B:$B,0))&amp;""),"—"))</f>
        <v/>
      </c>
      <c r="G1273" s="25">
        <f>IF($C1273="","",IFERROR(IF(INDEX(Roster!$E:$E,MATCH($C1273,Roster!$B:$B,0))="","",INDEX(Roster!$E:$E,MATCH($C1273,Roster!$B:$B,0))&amp;""),"—"))</f>
        <v/>
      </c>
      <c r="H1273" s="25">
        <f>IF($C1273="","",IFERROR(IF(INDEX(Roster!$F:$F,MATCH($C1273,Roster!$B:$B,0))="","",INDEX(Roster!$F:$F,MATCH($C1273,Roster!$B:$B,0))&amp;""),"—"))</f>
        <v/>
      </c>
      <c r="I1273" s="25">
        <f>IF($C1273="","",IFERROR(IF(INDEX(Roster!$G:$G,MATCH($C1273,Roster!$B:$B,0))="","",INDEX(Roster!$G:$G,MATCH($C1273,Roster!$B:$B,0))&amp;""),"—"))</f>
        <v/>
      </c>
      <c r="J1273" s="25">
        <f>IF($C1273="","",IFERROR(IF(INDEX(Roster!$I:$I,MATCH($C1273,Roster!$B:$B,0))="","",INDEX(Roster!$I:$I,MATCH($C1273,Roster!$B:$B,0))&amp;""),"—"))</f>
        <v/>
      </c>
      <c r="K1273">
        <f>IF($C1273="","",IFERROR(IF(INDEX(Roster!$J:$J,MATCH($C1273,Roster!$B:$B,0))="","",INDEX(Roster!$J:$J,MATCH($C1273,Roster!$B:$B,0))&amp;""),"—"))</f>
        <v/>
      </c>
      <c r="L1273">
        <f>IF($C1273="","",IFERROR(IF(INDEX(Roster!$K:$K,MATCH($C1273,Roster!$B:$B,0))="","",INDEX(Roster!$K:$K,MATCH($C1273,Roster!$B:$B,0))&amp;""),"—"))</f>
        <v/>
      </c>
      <c r="M1273" s="27" t="n"/>
      <c r="N1273" s="27" t="n"/>
      <c r="O1273" s="25">
        <f>IF($C1273="","",IF($P1273="","—",IF($P1273="Valid (Pass)","Valid","Invalid")))</f>
        <v/>
      </c>
      <c r="P1273" s="27" t="n"/>
      <c r="Q1273" s="27" t="n"/>
      <c r="R1273" s="27" t="n"/>
      <c r="S1273" s="27" t="n"/>
      <c r="T1273" s="25">
        <f>IF($C1273="","",IF(OR(ISNUMBER(SEARCH("quick case",$P1273)),ISNUMBER(SEARCH("quick case",$Q1273))),"Yes","No"))</f>
        <v/>
      </c>
      <c r="U1273" s="25">
        <f>IF($O1273="Invalid",HYPERLINK("mailto:"&amp;$G1273&amp;";"&amp;$I1273&amp;"?cc="&amp;Lists!$E$2&amp;"&amp;subject="&amp;_xlfn.ENCODEURL("[INVALID] Quality audit monitoring completed for "&amp;UPPER($C1273))&amp;"&amp;body="&amp;_xlfn.ENCODEURL("Hi "&amp;$F1273&amp;","&amp;CHAR(10)&amp;"Good day!"&amp;CHAR(10)&amp;CHAR(10)&amp;"A quality monitoring audit has been completed for "&amp;$C1273&amp;"."&amp;CHAR(10)&amp;CHAR(10)&amp;"QUALITY AUDIT DETAILS"&amp;CHAR(10)&amp;"Agent Name: "&amp;$C1273&amp;" (EID "&amp;$D1273&amp;")"&amp;CHAR(10)&amp;"Audit Date: "&amp;TEXT($B1273,"yyyy-mm-dd")&amp;CHAR(10)&amp;"Team Leader: "&amp;$F1273&amp;CHAR(10)&amp;"Case Number: "&amp;$M1273&amp;CHAR(10)&amp;"Transaction ID: "&amp;$N1273&amp;CHAR(10)&amp;"Channel / LOB: "&amp;$K1273&amp;" / "&amp;$L1273&amp;CHAR(10)&amp;"Evaluator: "&amp;$S1273&amp;CHAR(10)&amp;CHAR(10)&amp;"INVALID QUALITY AUDIT DETAILS"&amp;CHAR(10)&amp;"Validation: Invalid"&amp;CHAR(10)&amp;"Invalid Reason: "&amp;$P1273&amp;CHAR(10)&amp;"Expected Resolution Code: "&amp;$Q1273&amp;CHAR(10)&amp;"Remarks: "&amp;LEFT($R1273,600)&amp;CHAR(10)&amp;CHAR(10)&amp;"This is an automated notification from HP Mainstream EQMS."),"✉ Open Email Draft"),"")</f>
        <v/>
      </c>
    </row>
    <row r="1274">
      <c r="A1274" s="25">
        <f>IF($C1274="","","AUD-2026-"&amp;TEXT(ROW()-1,"000000"))</f>
        <v/>
      </c>
      <c r="B1274" s="26" t="n"/>
      <c r="C1274" s="27" t="n"/>
      <c r="D1274" s="25">
        <f>IF($C1274="","",IFERROR(IF(INDEX(Roster!$A:$A,MATCH($C1274,Roster!$B:$B,0))="","",INDEX(Roster!$A:$A,MATCH($C1274,Roster!$B:$B,0))&amp;""),"—"))</f>
        <v/>
      </c>
      <c r="E1274" s="25">
        <f>IF($C1274="","",IFERROR(IF(INDEX(Roster!$C:$C,MATCH($C1274,Roster!$B:$B,0))="","",INDEX(Roster!$C:$C,MATCH($C1274,Roster!$B:$B,0))&amp;""),"—"))</f>
        <v/>
      </c>
      <c r="F1274" s="25">
        <f>IF($C1274="","",IFERROR(IF(INDEX(Roster!$D:$D,MATCH($C1274,Roster!$B:$B,0))="","",INDEX(Roster!$D:$D,MATCH($C1274,Roster!$B:$B,0))&amp;""),"—"))</f>
        <v/>
      </c>
      <c r="G1274" s="25">
        <f>IF($C1274="","",IFERROR(IF(INDEX(Roster!$E:$E,MATCH($C1274,Roster!$B:$B,0))="","",INDEX(Roster!$E:$E,MATCH($C1274,Roster!$B:$B,0))&amp;""),"—"))</f>
        <v/>
      </c>
      <c r="H1274" s="25">
        <f>IF($C1274="","",IFERROR(IF(INDEX(Roster!$F:$F,MATCH($C1274,Roster!$B:$B,0))="","",INDEX(Roster!$F:$F,MATCH($C1274,Roster!$B:$B,0))&amp;""),"—"))</f>
        <v/>
      </c>
      <c r="I1274" s="25">
        <f>IF($C1274="","",IFERROR(IF(INDEX(Roster!$G:$G,MATCH($C1274,Roster!$B:$B,0))="","",INDEX(Roster!$G:$G,MATCH($C1274,Roster!$B:$B,0))&amp;""),"—"))</f>
        <v/>
      </c>
      <c r="J1274" s="25">
        <f>IF($C1274="","",IFERROR(IF(INDEX(Roster!$I:$I,MATCH($C1274,Roster!$B:$B,0))="","",INDEX(Roster!$I:$I,MATCH($C1274,Roster!$B:$B,0))&amp;""),"—"))</f>
        <v/>
      </c>
      <c r="K1274">
        <f>IF($C1274="","",IFERROR(IF(INDEX(Roster!$J:$J,MATCH($C1274,Roster!$B:$B,0))="","",INDEX(Roster!$J:$J,MATCH($C1274,Roster!$B:$B,0))&amp;""),"—"))</f>
        <v/>
      </c>
      <c r="L1274">
        <f>IF($C1274="","",IFERROR(IF(INDEX(Roster!$K:$K,MATCH($C1274,Roster!$B:$B,0))="","",INDEX(Roster!$K:$K,MATCH($C1274,Roster!$B:$B,0))&amp;""),"—"))</f>
        <v/>
      </c>
      <c r="M1274" s="27" t="n"/>
      <c r="N1274" s="27" t="n"/>
      <c r="O1274" s="25">
        <f>IF($C1274="","",IF($P1274="","—",IF($P1274="Valid (Pass)","Valid","Invalid")))</f>
        <v/>
      </c>
      <c r="P1274" s="27" t="n"/>
      <c r="Q1274" s="27" t="n"/>
      <c r="R1274" s="27" t="n"/>
      <c r="S1274" s="27" t="n"/>
      <c r="T1274" s="25">
        <f>IF($C1274="","",IF(OR(ISNUMBER(SEARCH("quick case",$P1274)),ISNUMBER(SEARCH("quick case",$Q1274))),"Yes","No"))</f>
        <v/>
      </c>
      <c r="U1274" s="25">
        <f>IF($O1274="Invalid",HYPERLINK("mailto:"&amp;$G1274&amp;";"&amp;$I1274&amp;"?cc="&amp;Lists!$E$2&amp;"&amp;subject="&amp;_xlfn.ENCODEURL("[INVALID] Quality audit monitoring completed for "&amp;UPPER($C1274))&amp;"&amp;body="&amp;_xlfn.ENCODEURL("Hi "&amp;$F1274&amp;","&amp;CHAR(10)&amp;"Good day!"&amp;CHAR(10)&amp;CHAR(10)&amp;"A quality monitoring audit has been completed for "&amp;$C1274&amp;"."&amp;CHAR(10)&amp;CHAR(10)&amp;"QUALITY AUDIT DETAILS"&amp;CHAR(10)&amp;"Agent Name: "&amp;$C1274&amp;" (EID "&amp;$D1274&amp;")"&amp;CHAR(10)&amp;"Audit Date: "&amp;TEXT($B1274,"yyyy-mm-dd")&amp;CHAR(10)&amp;"Team Leader: "&amp;$F1274&amp;CHAR(10)&amp;"Case Number: "&amp;$M1274&amp;CHAR(10)&amp;"Transaction ID: "&amp;$N1274&amp;CHAR(10)&amp;"Channel / LOB: "&amp;$K1274&amp;" / "&amp;$L1274&amp;CHAR(10)&amp;"Evaluator: "&amp;$S1274&amp;CHAR(10)&amp;CHAR(10)&amp;"INVALID QUALITY AUDIT DETAILS"&amp;CHAR(10)&amp;"Validation: Invalid"&amp;CHAR(10)&amp;"Invalid Reason: "&amp;$P1274&amp;CHAR(10)&amp;"Expected Resolution Code: "&amp;$Q1274&amp;CHAR(10)&amp;"Remarks: "&amp;LEFT($R1274,600)&amp;CHAR(10)&amp;CHAR(10)&amp;"This is an automated notification from HP Mainstream EQMS."),"✉ Open Email Draft"),"")</f>
        <v/>
      </c>
    </row>
    <row r="1275">
      <c r="A1275" s="25">
        <f>IF($C1275="","","AUD-2026-"&amp;TEXT(ROW()-1,"000000"))</f>
        <v/>
      </c>
      <c r="B1275" s="26" t="n"/>
      <c r="C1275" s="27" t="n"/>
      <c r="D1275" s="25">
        <f>IF($C1275="","",IFERROR(IF(INDEX(Roster!$A:$A,MATCH($C1275,Roster!$B:$B,0))="","",INDEX(Roster!$A:$A,MATCH($C1275,Roster!$B:$B,0))&amp;""),"—"))</f>
        <v/>
      </c>
      <c r="E1275" s="25">
        <f>IF($C1275="","",IFERROR(IF(INDEX(Roster!$C:$C,MATCH($C1275,Roster!$B:$B,0))="","",INDEX(Roster!$C:$C,MATCH($C1275,Roster!$B:$B,0))&amp;""),"—"))</f>
        <v/>
      </c>
      <c r="F1275" s="25">
        <f>IF($C1275="","",IFERROR(IF(INDEX(Roster!$D:$D,MATCH($C1275,Roster!$B:$B,0))="","",INDEX(Roster!$D:$D,MATCH($C1275,Roster!$B:$B,0))&amp;""),"—"))</f>
        <v/>
      </c>
      <c r="G1275" s="25">
        <f>IF($C1275="","",IFERROR(IF(INDEX(Roster!$E:$E,MATCH($C1275,Roster!$B:$B,0))="","",INDEX(Roster!$E:$E,MATCH($C1275,Roster!$B:$B,0))&amp;""),"—"))</f>
        <v/>
      </c>
      <c r="H1275" s="25">
        <f>IF($C1275="","",IFERROR(IF(INDEX(Roster!$F:$F,MATCH($C1275,Roster!$B:$B,0))="","",INDEX(Roster!$F:$F,MATCH($C1275,Roster!$B:$B,0))&amp;""),"—"))</f>
        <v/>
      </c>
      <c r="I1275" s="25">
        <f>IF($C1275="","",IFERROR(IF(INDEX(Roster!$G:$G,MATCH($C1275,Roster!$B:$B,0))="","",INDEX(Roster!$G:$G,MATCH($C1275,Roster!$B:$B,0))&amp;""),"—"))</f>
        <v/>
      </c>
      <c r="J1275" s="25">
        <f>IF($C1275="","",IFERROR(IF(INDEX(Roster!$I:$I,MATCH($C1275,Roster!$B:$B,0))="","",INDEX(Roster!$I:$I,MATCH($C1275,Roster!$B:$B,0))&amp;""),"—"))</f>
        <v/>
      </c>
      <c r="K1275">
        <f>IF($C1275="","",IFERROR(IF(INDEX(Roster!$J:$J,MATCH($C1275,Roster!$B:$B,0))="","",INDEX(Roster!$J:$J,MATCH($C1275,Roster!$B:$B,0))&amp;""),"—"))</f>
        <v/>
      </c>
      <c r="L1275">
        <f>IF($C1275="","",IFERROR(IF(INDEX(Roster!$K:$K,MATCH($C1275,Roster!$B:$B,0))="","",INDEX(Roster!$K:$K,MATCH($C1275,Roster!$B:$B,0))&amp;""),"—"))</f>
        <v/>
      </c>
      <c r="M1275" s="27" t="n"/>
      <c r="N1275" s="27" t="n"/>
      <c r="O1275" s="25">
        <f>IF($C1275="","",IF($P1275="","—",IF($P1275="Valid (Pass)","Valid","Invalid")))</f>
        <v/>
      </c>
      <c r="P1275" s="27" t="n"/>
      <c r="Q1275" s="27" t="n"/>
      <c r="R1275" s="27" t="n"/>
      <c r="S1275" s="27" t="n"/>
      <c r="T1275" s="25">
        <f>IF($C1275="","",IF(OR(ISNUMBER(SEARCH("quick case",$P1275)),ISNUMBER(SEARCH("quick case",$Q1275))),"Yes","No"))</f>
        <v/>
      </c>
      <c r="U1275" s="25">
        <f>IF($O1275="Invalid",HYPERLINK("mailto:"&amp;$G1275&amp;";"&amp;$I1275&amp;"?cc="&amp;Lists!$E$2&amp;"&amp;subject="&amp;_xlfn.ENCODEURL("[INVALID] Quality audit monitoring completed for "&amp;UPPER($C1275))&amp;"&amp;body="&amp;_xlfn.ENCODEURL("Hi "&amp;$F1275&amp;","&amp;CHAR(10)&amp;"Good day!"&amp;CHAR(10)&amp;CHAR(10)&amp;"A quality monitoring audit has been completed for "&amp;$C1275&amp;"."&amp;CHAR(10)&amp;CHAR(10)&amp;"QUALITY AUDIT DETAILS"&amp;CHAR(10)&amp;"Agent Name: "&amp;$C1275&amp;" (EID "&amp;$D1275&amp;")"&amp;CHAR(10)&amp;"Audit Date: "&amp;TEXT($B1275,"yyyy-mm-dd")&amp;CHAR(10)&amp;"Team Leader: "&amp;$F1275&amp;CHAR(10)&amp;"Case Number: "&amp;$M1275&amp;CHAR(10)&amp;"Transaction ID: "&amp;$N1275&amp;CHAR(10)&amp;"Channel / LOB: "&amp;$K1275&amp;" / "&amp;$L1275&amp;CHAR(10)&amp;"Evaluator: "&amp;$S1275&amp;CHAR(10)&amp;CHAR(10)&amp;"INVALID QUALITY AUDIT DETAILS"&amp;CHAR(10)&amp;"Validation: Invalid"&amp;CHAR(10)&amp;"Invalid Reason: "&amp;$P1275&amp;CHAR(10)&amp;"Expected Resolution Code: "&amp;$Q1275&amp;CHAR(10)&amp;"Remarks: "&amp;LEFT($R1275,600)&amp;CHAR(10)&amp;CHAR(10)&amp;"This is an automated notification from HP Mainstream EQMS."),"✉ Open Email Draft"),"")</f>
        <v/>
      </c>
    </row>
    <row r="1276">
      <c r="A1276" s="25">
        <f>IF($C1276="","","AUD-2026-"&amp;TEXT(ROW()-1,"000000"))</f>
        <v/>
      </c>
      <c r="B1276" s="26" t="n"/>
      <c r="C1276" s="27" t="n"/>
      <c r="D1276" s="25">
        <f>IF($C1276="","",IFERROR(IF(INDEX(Roster!$A:$A,MATCH($C1276,Roster!$B:$B,0))="","",INDEX(Roster!$A:$A,MATCH($C1276,Roster!$B:$B,0))&amp;""),"—"))</f>
        <v/>
      </c>
      <c r="E1276" s="25">
        <f>IF($C1276="","",IFERROR(IF(INDEX(Roster!$C:$C,MATCH($C1276,Roster!$B:$B,0))="","",INDEX(Roster!$C:$C,MATCH($C1276,Roster!$B:$B,0))&amp;""),"—"))</f>
        <v/>
      </c>
      <c r="F1276" s="25">
        <f>IF($C1276="","",IFERROR(IF(INDEX(Roster!$D:$D,MATCH($C1276,Roster!$B:$B,0))="","",INDEX(Roster!$D:$D,MATCH($C1276,Roster!$B:$B,0))&amp;""),"—"))</f>
        <v/>
      </c>
      <c r="G1276" s="25">
        <f>IF($C1276="","",IFERROR(IF(INDEX(Roster!$E:$E,MATCH($C1276,Roster!$B:$B,0))="","",INDEX(Roster!$E:$E,MATCH($C1276,Roster!$B:$B,0))&amp;""),"—"))</f>
        <v/>
      </c>
      <c r="H1276" s="25">
        <f>IF($C1276="","",IFERROR(IF(INDEX(Roster!$F:$F,MATCH($C1276,Roster!$B:$B,0))="","",INDEX(Roster!$F:$F,MATCH($C1276,Roster!$B:$B,0))&amp;""),"—"))</f>
        <v/>
      </c>
      <c r="I1276" s="25">
        <f>IF($C1276="","",IFERROR(IF(INDEX(Roster!$G:$G,MATCH($C1276,Roster!$B:$B,0))="","",INDEX(Roster!$G:$G,MATCH($C1276,Roster!$B:$B,0))&amp;""),"—"))</f>
        <v/>
      </c>
      <c r="J1276" s="25">
        <f>IF($C1276="","",IFERROR(IF(INDEX(Roster!$I:$I,MATCH($C1276,Roster!$B:$B,0))="","",INDEX(Roster!$I:$I,MATCH($C1276,Roster!$B:$B,0))&amp;""),"—"))</f>
        <v/>
      </c>
      <c r="K1276">
        <f>IF($C1276="","",IFERROR(IF(INDEX(Roster!$J:$J,MATCH($C1276,Roster!$B:$B,0))="","",INDEX(Roster!$J:$J,MATCH($C1276,Roster!$B:$B,0))&amp;""),"—"))</f>
        <v/>
      </c>
      <c r="L1276">
        <f>IF($C1276="","",IFERROR(IF(INDEX(Roster!$K:$K,MATCH($C1276,Roster!$B:$B,0))="","",INDEX(Roster!$K:$K,MATCH($C1276,Roster!$B:$B,0))&amp;""),"—"))</f>
        <v/>
      </c>
      <c r="M1276" s="27" t="n"/>
      <c r="N1276" s="27" t="n"/>
      <c r="O1276" s="25">
        <f>IF($C1276="","",IF($P1276="","—",IF($P1276="Valid (Pass)","Valid","Invalid")))</f>
        <v/>
      </c>
      <c r="P1276" s="27" t="n"/>
      <c r="Q1276" s="27" t="n"/>
      <c r="R1276" s="27" t="n"/>
      <c r="S1276" s="27" t="n"/>
      <c r="T1276" s="25">
        <f>IF($C1276="","",IF(OR(ISNUMBER(SEARCH("quick case",$P1276)),ISNUMBER(SEARCH("quick case",$Q1276))),"Yes","No"))</f>
        <v/>
      </c>
      <c r="U1276" s="25">
        <f>IF($O1276="Invalid",HYPERLINK("mailto:"&amp;$G1276&amp;";"&amp;$I1276&amp;"?cc="&amp;Lists!$E$2&amp;"&amp;subject="&amp;_xlfn.ENCODEURL("[INVALID] Quality audit monitoring completed for "&amp;UPPER($C1276))&amp;"&amp;body="&amp;_xlfn.ENCODEURL("Hi "&amp;$F1276&amp;","&amp;CHAR(10)&amp;"Good day!"&amp;CHAR(10)&amp;CHAR(10)&amp;"A quality monitoring audit has been completed for "&amp;$C1276&amp;"."&amp;CHAR(10)&amp;CHAR(10)&amp;"QUALITY AUDIT DETAILS"&amp;CHAR(10)&amp;"Agent Name: "&amp;$C1276&amp;" (EID "&amp;$D1276&amp;")"&amp;CHAR(10)&amp;"Audit Date: "&amp;TEXT($B1276,"yyyy-mm-dd")&amp;CHAR(10)&amp;"Team Leader: "&amp;$F1276&amp;CHAR(10)&amp;"Case Number: "&amp;$M1276&amp;CHAR(10)&amp;"Transaction ID: "&amp;$N1276&amp;CHAR(10)&amp;"Channel / LOB: "&amp;$K1276&amp;" / "&amp;$L1276&amp;CHAR(10)&amp;"Evaluator: "&amp;$S1276&amp;CHAR(10)&amp;CHAR(10)&amp;"INVALID QUALITY AUDIT DETAILS"&amp;CHAR(10)&amp;"Validation: Invalid"&amp;CHAR(10)&amp;"Invalid Reason: "&amp;$P1276&amp;CHAR(10)&amp;"Expected Resolution Code: "&amp;$Q1276&amp;CHAR(10)&amp;"Remarks: "&amp;LEFT($R1276,600)&amp;CHAR(10)&amp;CHAR(10)&amp;"This is an automated notification from HP Mainstream EQMS."),"✉ Open Email Draft"),"")</f>
        <v/>
      </c>
    </row>
    <row r="1277">
      <c r="A1277" s="25">
        <f>IF($C1277="","","AUD-2026-"&amp;TEXT(ROW()-1,"000000"))</f>
        <v/>
      </c>
      <c r="B1277" s="26" t="n"/>
      <c r="C1277" s="27" t="n"/>
      <c r="D1277" s="25">
        <f>IF($C1277="","",IFERROR(IF(INDEX(Roster!$A:$A,MATCH($C1277,Roster!$B:$B,0))="","",INDEX(Roster!$A:$A,MATCH($C1277,Roster!$B:$B,0))&amp;""),"—"))</f>
        <v/>
      </c>
      <c r="E1277" s="25">
        <f>IF($C1277="","",IFERROR(IF(INDEX(Roster!$C:$C,MATCH($C1277,Roster!$B:$B,0))="","",INDEX(Roster!$C:$C,MATCH($C1277,Roster!$B:$B,0))&amp;""),"—"))</f>
        <v/>
      </c>
      <c r="F1277" s="25">
        <f>IF($C1277="","",IFERROR(IF(INDEX(Roster!$D:$D,MATCH($C1277,Roster!$B:$B,0))="","",INDEX(Roster!$D:$D,MATCH($C1277,Roster!$B:$B,0))&amp;""),"—"))</f>
        <v/>
      </c>
      <c r="G1277" s="25">
        <f>IF($C1277="","",IFERROR(IF(INDEX(Roster!$E:$E,MATCH($C1277,Roster!$B:$B,0))="","",INDEX(Roster!$E:$E,MATCH($C1277,Roster!$B:$B,0))&amp;""),"—"))</f>
        <v/>
      </c>
      <c r="H1277" s="25">
        <f>IF($C1277="","",IFERROR(IF(INDEX(Roster!$F:$F,MATCH($C1277,Roster!$B:$B,0))="","",INDEX(Roster!$F:$F,MATCH($C1277,Roster!$B:$B,0))&amp;""),"—"))</f>
        <v/>
      </c>
      <c r="I1277" s="25">
        <f>IF($C1277="","",IFERROR(IF(INDEX(Roster!$G:$G,MATCH($C1277,Roster!$B:$B,0))="","",INDEX(Roster!$G:$G,MATCH($C1277,Roster!$B:$B,0))&amp;""),"—"))</f>
        <v/>
      </c>
      <c r="J1277" s="25">
        <f>IF($C1277="","",IFERROR(IF(INDEX(Roster!$I:$I,MATCH($C1277,Roster!$B:$B,0))="","",INDEX(Roster!$I:$I,MATCH($C1277,Roster!$B:$B,0))&amp;""),"—"))</f>
        <v/>
      </c>
      <c r="K1277">
        <f>IF($C1277="","",IFERROR(IF(INDEX(Roster!$J:$J,MATCH($C1277,Roster!$B:$B,0))="","",INDEX(Roster!$J:$J,MATCH($C1277,Roster!$B:$B,0))&amp;""),"—"))</f>
        <v/>
      </c>
      <c r="L1277">
        <f>IF($C1277="","",IFERROR(IF(INDEX(Roster!$K:$K,MATCH($C1277,Roster!$B:$B,0))="","",INDEX(Roster!$K:$K,MATCH($C1277,Roster!$B:$B,0))&amp;""),"—"))</f>
        <v/>
      </c>
      <c r="M1277" s="27" t="n"/>
      <c r="N1277" s="27" t="n"/>
      <c r="O1277" s="25">
        <f>IF($C1277="","",IF($P1277="","—",IF($P1277="Valid (Pass)","Valid","Invalid")))</f>
        <v/>
      </c>
      <c r="P1277" s="27" t="n"/>
      <c r="Q1277" s="27" t="n"/>
      <c r="R1277" s="27" t="n"/>
      <c r="S1277" s="27" t="n"/>
      <c r="T1277" s="25">
        <f>IF($C1277="","",IF(OR(ISNUMBER(SEARCH("quick case",$P1277)),ISNUMBER(SEARCH("quick case",$Q1277))),"Yes","No"))</f>
        <v/>
      </c>
      <c r="U1277" s="25">
        <f>IF($O1277="Invalid",HYPERLINK("mailto:"&amp;$G1277&amp;";"&amp;$I1277&amp;"?cc="&amp;Lists!$E$2&amp;"&amp;subject="&amp;_xlfn.ENCODEURL("[INVALID] Quality audit monitoring completed for "&amp;UPPER($C1277))&amp;"&amp;body="&amp;_xlfn.ENCODEURL("Hi "&amp;$F1277&amp;","&amp;CHAR(10)&amp;"Good day!"&amp;CHAR(10)&amp;CHAR(10)&amp;"A quality monitoring audit has been completed for "&amp;$C1277&amp;"."&amp;CHAR(10)&amp;CHAR(10)&amp;"QUALITY AUDIT DETAILS"&amp;CHAR(10)&amp;"Agent Name: "&amp;$C1277&amp;" (EID "&amp;$D1277&amp;")"&amp;CHAR(10)&amp;"Audit Date: "&amp;TEXT($B1277,"yyyy-mm-dd")&amp;CHAR(10)&amp;"Team Leader: "&amp;$F1277&amp;CHAR(10)&amp;"Case Number: "&amp;$M1277&amp;CHAR(10)&amp;"Transaction ID: "&amp;$N1277&amp;CHAR(10)&amp;"Channel / LOB: "&amp;$K1277&amp;" / "&amp;$L1277&amp;CHAR(10)&amp;"Evaluator: "&amp;$S1277&amp;CHAR(10)&amp;CHAR(10)&amp;"INVALID QUALITY AUDIT DETAILS"&amp;CHAR(10)&amp;"Validation: Invalid"&amp;CHAR(10)&amp;"Invalid Reason: "&amp;$P1277&amp;CHAR(10)&amp;"Expected Resolution Code: "&amp;$Q1277&amp;CHAR(10)&amp;"Remarks: "&amp;LEFT($R1277,600)&amp;CHAR(10)&amp;CHAR(10)&amp;"This is an automated notification from HP Mainstream EQMS."),"✉ Open Email Draft"),"")</f>
        <v/>
      </c>
    </row>
    <row r="1278">
      <c r="A1278" s="25">
        <f>IF($C1278="","","AUD-2026-"&amp;TEXT(ROW()-1,"000000"))</f>
        <v/>
      </c>
      <c r="B1278" s="26" t="n"/>
      <c r="C1278" s="27" t="n"/>
      <c r="D1278" s="25">
        <f>IF($C1278="","",IFERROR(IF(INDEX(Roster!$A:$A,MATCH($C1278,Roster!$B:$B,0))="","",INDEX(Roster!$A:$A,MATCH($C1278,Roster!$B:$B,0))&amp;""),"—"))</f>
        <v/>
      </c>
      <c r="E1278" s="25">
        <f>IF($C1278="","",IFERROR(IF(INDEX(Roster!$C:$C,MATCH($C1278,Roster!$B:$B,0))="","",INDEX(Roster!$C:$C,MATCH($C1278,Roster!$B:$B,0))&amp;""),"—"))</f>
        <v/>
      </c>
      <c r="F1278" s="25">
        <f>IF($C1278="","",IFERROR(IF(INDEX(Roster!$D:$D,MATCH($C1278,Roster!$B:$B,0))="","",INDEX(Roster!$D:$D,MATCH($C1278,Roster!$B:$B,0))&amp;""),"—"))</f>
        <v/>
      </c>
      <c r="G1278" s="25">
        <f>IF($C1278="","",IFERROR(IF(INDEX(Roster!$E:$E,MATCH($C1278,Roster!$B:$B,0))="","",INDEX(Roster!$E:$E,MATCH($C1278,Roster!$B:$B,0))&amp;""),"—"))</f>
        <v/>
      </c>
      <c r="H1278" s="25">
        <f>IF($C1278="","",IFERROR(IF(INDEX(Roster!$F:$F,MATCH($C1278,Roster!$B:$B,0))="","",INDEX(Roster!$F:$F,MATCH($C1278,Roster!$B:$B,0))&amp;""),"—"))</f>
        <v/>
      </c>
      <c r="I1278" s="25">
        <f>IF($C1278="","",IFERROR(IF(INDEX(Roster!$G:$G,MATCH($C1278,Roster!$B:$B,0))="","",INDEX(Roster!$G:$G,MATCH($C1278,Roster!$B:$B,0))&amp;""),"—"))</f>
        <v/>
      </c>
      <c r="J1278" s="25">
        <f>IF($C1278="","",IFERROR(IF(INDEX(Roster!$I:$I,MATCH($C1278,Roster!$B:$B,0))="","",INDEX(Roster!$I:$I,MATCH($C1278,Roster!$B:$B,0))&amp;""),"—"))</f>
        <v/>
      </c>
      <c r="K1278">
        <f>IF($C1278="","",IFERROR(IF(INDEX(Roster!$J:$J,MATCH($C1278,Roster!$B:$B,0))="","",INDEX(Roster!$J:$J,MATCH($C1278,Roster!$B:$B,0))&amp;""),"—"))</f>
        <v/>
      </c>
      <c r="L1278">
        <f>IF($C1278="","",IFERROR(IF(INDEX(Roster!$K:$K,MATCH($C1278,Roster!$B:$B,0))="","",INDEX(Roster!$K:$K,MATCH($C1278,Roster!$B:$B,0))&amp;""),"—"))</f>
        <v/>
      </c>
      <c r="M1278" s="27" t="n"/>
      <c r="N1278" s="27" t="n"/>
      <c r="O1278" s="25">
        <f>IF($C1278="","",IF($P1278="","—",IF($P1278="Valid (Pass)","Valid","Invalid")))</f>
        <v/>
      </c>
      <c r="P1278" s="27" t="n"/>
      <c r="Q1278" s="27" t="n"/>
      <c r="R1278" s="27" t="n"/>
      <c r="S1278" s="27" t="n"/>
      <c r="T1278" s="25">
        <f>IF($C1278="","",IF(OR(ISNUMBER(SEARCH("quick case",$P1278)),ISNUMBER(SEARCH("quick case",$Q1278))),"Yes","No"))</f>
        <v/>
      </c>
      <c r="U1278" s="25">
        <f>IF($O1278="Invalid",HYPERLINK("mailto:"&amp;$G1278&amp;";"&amp;$I1278&amp;"?cc="&amp;Lists!$E$2&amp;"&amp;subject="&amp;_xlfn.ENCODEURL("[INVALID] Quality audit monitoring completed for "&amp;UPPER($C1278))&amp;"&amp;body="&amp;_xlfn.ENCODEURL("Hi "&amp;$F1278&amp;","&amp;CHAR(10)&amp;"Good day!"&amp;CHAR(10)&amp;CHAR(10)&amp;"A quality monitoring audit has been completed for "&amp;$C1278&amp;"."&amp;CHAR(10)&amp;CHAR(10)&amp;"QUALITY AUDIT DETAILS"&amp;CHAR(10)&amp;"Agent Name: "&amp;$C1278&amp;" (EID "&amp;$D1278&amp;")"&amp;CHAR(10)&amp;"Audit Date: "&amp;TEXT($B1278,"yyyy-mm-dd")&amp;CHAR(10)&amp;"Team Leader: "&amp;$F1278&amp;CHAR(10)&amp;"Case Number: "&amp;$M1278&amp;CHAR(10)&amp;"Transaction ID: "&amp;$N1278&amp;CHAR(10)&amp;"Channel / LOB: "&amp;$K1278&amp;" / "&amp;$L1278&amp;CHAR(10)&amp;"Evaluator: "&amp;$S1278&amp;CHAR(10)&amp;CHAR(10)&amp;"INVALID QUALITY AUDIT DETAILS"&amp;CHAR(10)&amp;"Validation: Invalid"&amp;CHAR(10)&amp;"Invalid Reason: "&amp;$P1278&amp;CHAR(10)&amp;"Expected Resolution Code: "&amp;$Q1278&amp;CHAR(10)&amp;"Remarks: "&amp;LEFT($R1278,600)&amp;CHAR(10)&amp;CHAR(10)&amp;"This is an automated notification from HP Mainstream EQMS."),"✉ Open Email Draft"),"")</f>
        <v/>
      </c>
    </row>
    <row r="1279">
      <c r="A1279" s="25">
        <f>IF($C1279="","","AUD-2026-"&amp;TEXT(ROW()-1,"000000"))</f>
        <v/>
      </c>
      <c r="B1279" s="26" t="n"/>
      <c r="C1279" s="27" t="n"/>
      <c r="D1279" s="25">
        <f>IF($C1279="","",IFERROR(IF(INDEX(Roster!$A:$A,MATCH($C1279,Roster!$B:$B,0))="","",INDEX(Roster!$A:$A,MATCH($C1279,Roster!$B:$B,0))&amp;""),"—"))</f>
        <v/>
      </c>
      <c r="E1279" s="25">
        <f>IF($C1279="","",IFERROR(IF(INDEX(Roster!$C:$C,MATCH($C1279,Roster!$B:$B,0))="","",INDEX(Roster!$C:$C,MATCH($C1279,Roster!$B:$B,0))&amp;""),"—"))</f>
        <v/>
      </c>
      <c r="F1279" s="25">
        <f>IF($C1279="","",IFERROR(IF(INDEX(Roster!$D:$D,MATCH($C1279,Roster!$B:$B,0))="","",INDEX(Roster!$D:$D,MATCH($C1279,Roster!$B:$B,0))&amp;""),"—"))</f>
        <v/>
      </c>
      <c r="G1279" s="25">
        <f>IF($C1279="","",IFERROR(IF(INDEX(Roster!$E:$E,MATCH($C1279,Roster!$B:$B,0))="","",INDEX(Roster!$E:$E,MATCH($C1279,Roster!$B:$B,0))&amp;""),"—"))</f>
        <v/>
      </c>
      <c r="H1279" s="25">
        <f>IF($C1279="","",IFERROR(IF(INDEX(Roster!$F:$F,MATCH($C1279,Roster!$B:$B,0))="","",INDEX(Roster!$F:$F,MATCH($C1279,Roster!$B:$B,0))&amp;""),"—"))</f>
        <v/>
      </c>
      <c r="I1279" s="25">
        <f>IF($C1279="","",IFERROR(IF(INDEX(Roster!$G:$G,MATCH($C1279,Roster!$B:$B,0))="","",INDEX(Roster!$G:$G,MATCH($C1279,Roster!$B:$B,0))&amp;""),"—"))</f>
        <v/>
      </c>
      <c r="J1279" s="25">
        <f>IF($C1279="","",IFERROR(IF(INDEX(Roster!$I:$I,MATCH($C1279,Roster!$B:$B,0))="","",INDEX(Roster!$I:$I,MATCH($C1279,Roster!$B:$B,0))&amp;""),"—"))</f>
        <v/>
      </c>
      <c r="K1279">
        <f>IF($C1279="","",IFERROR(IF(INDEX(Roster!$J:$J,MATCH($C1279,Roster!$B:$B,0))="","",INDEX(Roster!$J:$J,MATCH($C1279,Roster!$B:$B,0))&amp;""),"—"))</f>
        <v/>
      </c>
      <c r="L1279">
        <f>IF($C1279="","",IFERROR(IF(INDEX(Roster!$K:$K,MATCH($C1279,Roster!$B:$B,0))="","",INDEX(Roster!$K:$K,MATCH($C1279,Roster!$B:$B,0))&amp;""),"—"))</f>
        <v/>
      </c>
      <c r="M1279" s="27" t="n"/>
      <c r="N1279" s="27" t="n"/>
      <c r="O1279" s="25">
        <f>IF($C1279="","",IF($P1279="","—",IF($P1279="Valid (Pass)","Valid","Invalid")))</f>
        <v/>
      </c>
      <c r="P1279" s="27" t="n"/>
      <c r="Q1279" s="27" t="n"/>
      <c r="R1279" s="27" t="n"/>
      <c r="S1279" s="27" t="n"/>
      <c r="T1279" s="25">
        <f>IF($C1279="","",IF(OR(ISNUMBER(SEARCH("quick case",$P1279)),ISNUMBER(SEARCH("quick case",$Q1279))),"Yes","No"))</f>
        <v/>
      </c>
      <c r="U1279" s="25">
        <f>IF($O1279="Invalid",HYPERLINK("mailto:"&amp;$G1279&amp;";"&amp;$I1279&amp;"?cc="&amp;Lists!$E$2&amp;"&amp;subject="&amp;_xlfn.ENCODEURL("[INVALID] Quality audit monitoring completed for "&amp;UPPER($C1279))&amp;"&amp;body="&amp;_xlfn.ENCODEURL("Hi "&amp;$F1279&amp;","&amp;CHAR(10)&amp;"Good day!"&amp;CHAR(10)&amp;CHAR(10)&amp;"A quality monitoring audit has been completed for "&amp;$C1279&amp;"."&amp;CHAR(10)&amp;CHAR(10)&amp;"QUALITY AUDIT DETAILS"&amp;CHAR(10)&amp;"Agent Name: "&amp;$C1279&amp;" (EID "&amp;$D1279&amp;")"&amp;CHAR(10)&amp;"Audit Date: "&amp;TEXT($B1279,"yyyy-mm-dd")&amp;CHAR(10)&amp;"Team Leader: "&amp;$F1279&amp;CHAR(10)&amp;"Case Number: "&amp;$M1279&amp;CHAR(10)&amp;"Transaction ID: "&amp;$N1279&amp;CHAR(10)&amp;"Channel / LOB: "&amp;$K1279&amp;" / "&amp;$L1279&amp;CHAR(10)&amp;"Evaluator: "&amp;$S1279&amp;CHAR(10)&amp;CHAR(10)&amp;"INVALID QUALITY AUDIT DETAILS"&amp;CHAR(10)&amp;"Validation: Invalid"&amp;CHAR(10)&amp;"Invalid Reason: "&amp;$P1279&amp;CHAR(10)&amp;"Expected Resolution Code: "&amp;$Q1279&amp;CHAR(10)&amp;"Remarks: "&amp;LEFT($R1279,600)&amp;CHAR(10)&amp;CHAR(10)&amp;"This is an automated notification from HP Mainstream EQMS."),"✉ Open Email Draft"),"")</f>
        <v/>
      </c>
    </row>
    <row r="1280">
      <c r="A1280" s="25">
        <f>IF($C1280="","","AUD-2026-"&amp;TEXT(ROW()-1,"000000"))</f>
        <v/>
      </c>
      <c r="B1280" s="26" t="n"/>
      <c r="C1280" s="27" t="n"/>
      <c r="D1280" s="25">
        <f>IF($C1280="","",IFERROR(IF(INDEX(Roster!$A:$A,MATCH($C1280,Roster!$B:$B,0))="","",INDEX(Roster!$A:$A,MATCH($C1280,Roster!$B:$B,0))&amp;""),"—"))</f>
        <v/>
      </c>
      <c r="E1280" s="25">
        <f>IF($C1280="","",IFERROR(IF(INDEX(Roster!$C:$C,MATCH($C1280,Roster!$B:$B,0))="","",INDEX(Roster!$C:$C,MATCH($C1280,Roster!$B:$B,0))&amp;""),"—"))</f>
        <v/>
      </c>
      <c r="F1280" s="25">
        <f>IF($C1280="","",IFERROR(IF(INDEX(Roster!$D:$D,MATCH($C1280,Roster!$B:$B,0))="","",INDEX(Roster!$D:$D,MATCH($C1280,Roster!$B:$B,0))&amp;""),"—"))</f>
        <v/>
      </c>
      <c r="G1280" s="25">
        <f>IF($C1280="","",IFERROR(IF(INDEX(Roster!$E:$E,MATCH($C1280,Roster!$B:$B,0))="","",INDEX(Roster!$E:$E,MATCH($C1280,Roster!$B:$B,0))&amp;""),"—"))</f>
        <v/>
      </c>
      <c r="H1280" s="25">
        <f>IF($C1280="","",IFERROR(IF(INDEX(Roster!$F:$F,MATCH($C1280,Roster!$B:$B,0))="","",INDEX(Roster!$F:$F,MATCH($C1280,Roster!$B:$B,0))&amp;""),"—"))</f>
        <v/>
      </c>
      <c r="I1280" s="25">
        <f>IF($C1280="","",IFERROR(IF(INDEX(Roster!$G:$G,MATCH($C1280,Roster!$B:$B,0))="","",INDEX(Roster!$G:$G,MATCH($C1280,Roster!$B:$B,0))&amp;""),"—"))</f>
        <v/>
      </c>
      <c r="J1280" s="25">
        <f>IF($C1280="","",IFERROR(IF(INDEX(Roster!$I:$I,MATCH($C1280,Roster!$B:$B,0))="","",INDEX(Roster!$I:$I,MATCH($C1280,Roster!$B:$B,0))&amp;""),"—"))</f>
        <v/>
      </c>
      <c r="K1280">
        <f>IF($C1280="","",IFERROR(IF(INDEX(Roster!$J:$J,MATCH($C1280,Roster!$B:$B,0))="","",INDEX(Roster!$J:$J,MATCH($C1280,Roster!$B:$B,0))&amp;""),"—"))</f>
        <v/>
      </c>
      <c r="L1280">
        <f>IF($C1280="","",IFERROR(IF(INDEX(Roster!$K:$K,MATCH($C1280,Roster!$B:$B,0))="","",INDEX(Roster!$K:$K,MATCH($C1280,Roster!$B:$B,0))&amp;""),"—"))</f>
        <v/>
      </c>
      <c r="M1280" s="27" t="n"/>
      <c r="N1280" s="27" t="n"/>
      <c r="O1280" s="25">
        <f>IF($C1280="","",IF($P1280="","—",IF($P1280="Valid (Pass)","Valid","Invalid")))</f>
        <v/>
      </c>
      <c r="P1280" s="27" t="n"/>
      <c r="Q1280" s="27" t="n"/>
      <c r="R1280" s="27" t="n"/>
      <c r="S1280" s="27" t="n"/>
      <c r="T1280" s="25">
        <f>IF($C1280="","",IF(OR(ISNUMBER(SEARCH("quick case",$P1280)),ISNUMBER(SEARCH("quick case",$Q1280))),"Yes","No"))</f>
        <v/>
      </c>
      <c r="U1280" s="25">
        <f>IF($O1280="Invalid",HYPERLINK("mailto:"&amp;$G1280&amp;";"&amp;$I1280&amp;"?cc="&amp;Lists!$E$2&amp;"&amp;subject="&amp;_xlfn.ENCODEURL("[INVALID] Quality audit monitoring completed for "&amp;UPPER($C1280))&amp;"&amp;body="&amp;_xlfn.ENCODEURL("Hi "&amp;$F1280&amp;","&amp;CHAR(10)&amp;"Good day!"&amp;CHAR(10)&amp;CHAR(10)&amp;"A quality monitoring audit has been completed for "&amp;$C1280&amp;"."&amp;CHAR(10)&amp;CHAR(10)&amp;"QUALITY AUDIT DETAILS"&amp;CHAR(10)&amp;"Agent Name: "&amp;$C1280&amp;" (EID "&amp;$D1280&amp;")"&amp;CHAR(10)&amp;"Audit Date: "&amp;TEXT($B1280,"yyyy-mm-dd")&amp;CHAR(10)&amp;"Team Leader: "&amp;$F1280&amp;CHAR(10)&amp;"Case Number: "&amp;$M1280&amp;CHAR(10)&amp;"Transaction ID: "&amp;$N1280&amp;CHAR(10)&amp;"Channel / LOB: "&amp;$K1280&amp;" / "&amp;$L1280&amp;CHAR(10)&amp;"Evaluator: "&amp;$S1280&amp;CHAR(10)&amp;CHAR(10)&amp;"INVALID QUALITY AUDIT DETAILS"&amp;CHAR(10)&amp;"Validation: Invalid"&amp;CHAR(10)&amp;"Invalid Reason: "&amp;$P1280&amp;CHAR(10)&amp;"Expected Resolution Code: "&amp;$Q1280&amp;CHAR(10)&amp;"Remarks: "&amp;LEFT($R1280,600)&amp;CHAR(10)&amp;CHAR(10)&amp;"This is an automated notification from HP Mainstream EQMS."),"✉ Open Email Draft"),"")</f>
        <v/>
      </c>
    </row>
    <row r="1281">
      <c r="A1281" s="25">
        <f>IF($C1281="","","AUD-2026-"&amp;TEXT(ROW()-1,"000000"))</f>
        <v/>
      </c>
      <c r="B1281" s="26" t="n"/>
      <c r="C1281" s="27" t="n"/>
      <c r="D1281" s="25">
        <f>IF($C1281="","",IFERROR(IF(INDEX(Roster!$A:$A,MATCH($C1281,Roster!$B:$B,0))="","",INDEX(Roster!$A:$A,MATCH($C1281,Roster!$B:$B,0))&amp;""),"—"))</f>
        <v/>
      </c>
      <c r="E1281" s="25">
        <f>IF($C1281="","",IFERROR(IF(INDEX(Roster!$C:$C,MATCH($C1281,Roster!$B:$B,0))="","",INDEX(Roster!$C:$C,MATCH($C1281,Roster!$B:$B,0))&amp;""),"—"))</f>
        <v/>
      </c>
      <c r="F1281" s="25">
        <f>IF($C1281="","",IFERROR(IF(INDEX(Roster!$D:$D,MATCH($C1281,Roster!$B:$B,0))="","",INDEX(Roster!$D:$D,MATCH($C1281,Roster!$B:$B,0))&amp;""),"—"))</f>
        <v/>
      </c>
      <c r="G1281" s="25">
        <f>IF($C1281="","",IFERROR(IF(INDEX(Roster!$E:$E,MATCH($C1281,Roster!$B:$B,0))="","",INDEX(Roster!$E:$E,MATCH($C1281,Roster!$B:$B,0))&amp;""),"—"))</f>
        <v/>
      </c>
      <c r="H1281" s="25">
        <f>IF($C1281="","",IFERROR(IF(INDEX(Roster!$F:$F,MATCH($C1281,Roster!$B:$B,0))="","",INDEX(Roster!$F:$F,MATCH($C1281,Roster!$B:$B,0))&amp;""),"—"))</f>
        <v/>
      </c>
      <c r="I1281" s="25">
        <f>IF($C1281="","",IFERROR(IF(INDEX(Roster!$G:$G,MATCH($C1281,Roster!$B:$B,0))="","",INDEX(Roster!$G:$G,MATCH($C1281,Roster!$B:$B,0))&amp;""),"—"))</f>
        <v/>
      </c>
      <c r="J1281" s="25">
        <f>IF($C1281="","",IFERROR(IF(INDEX(Roster!$I:$I,MATCH($C1281,Roster!$B:$B,0))="","",INDEX(Roster!$I:$I,MATCH($C1281,Roster!$B:$B,0))&amp;""),"—"))</f>
        <v/>
      </c>
      <c r="K1281">
        <f>IF($C1281="","",IFERROR(IF(INDEX(Roster!$J:$J,MATCH($C1281,Roster!$B:$B,0))="","",INDEX(Roster!$J:$J,MATCH($C1281,Roster!$B:$B,0))&amp;""),"—"))</f>
        <v/>
      </c>
      <c r="L1281">
        <f>IF($C1281="","",IFERROR(IF(INDEX(Roster!$K:$K,MATCH($C1281,Roster!$B:$B,0))="","",INDEX(Roster!$K:$K,MATCH($C1281,Roster!$B:$B,0))&amp;""),"—"))</f>
        <v/>
      </c>
      <c r="M1281" s="27" t="n"/>
      <c r="N1281" s="27" t="n"/>
      <c r="O1281" s="25">
        <f>IF($C1281="","",IF($P1281="","—",IF($P1281="Valid (Pass)","Valid","Invalid")))</f>
        <v/>
      </c>
      <c r="P1281" s="27" t="n"/>
      <c r="Q1281" s="27" t="n"/>
      <c r="R1281" s="27" t="n"/>
      <c r="S1281" s="27" t="n"/>
      <c r="T1281" s="25">
        <f>IF($C1281="","",IF(OR(ISNUMBER(SEARCH("quick case",$P1281)),ISNUMBER(SEARCH("quick case",$Q1281))),"Yes","No"))</f>
        <v/>
      </c>
      <c r="U1281" s="25">
        <f>IF($O1281="Invalid",HYPERLINK("mailto:"&amp;$G1281&amp;";"&amp;$I1281&amp;"?cc="&amp;Lists!$E$2&amp;"&amp;subject="&amp;_xlfn.ENCODEURL("[INVALID] Quality audit monitoring completed for "&amp;UPPER($C1281))&amp;"&amp;body="&amp;_xlfn.ENCODEURL("Hi "&amp;$F1281&amp;","&amp;CHAR(10)&amp;"Good day!"&amp;CHAR(10)&amp;CHAR(10)&amp;"A quality monitoring audit has been completed for "&amp;$C1281&amp;"."&amp;CHAR(10)&amp;CHAR(10)&amp;"QUALITY AUDIT DETAILS"&amp;CHAR(10)&amp;"Agent Name: "&amp;$C1281&amp;" (EID "&amp;$D1281&amp;")"&amp;CHAR(10)&amp;"Audit Date: "&amp;TEXT($B1281,"yyyy-mm-dd")&amp;CHAR(10)&amp;"Team Leader: "&amp;$F1281&amp;CHAR(10)&amp;"Case Number: "&amp;$M1281&amp;CHAR(10)&amp;"Transaction ID: "&amp;$N1281&amp;CHAR(10)&amp;"Channel / LOB: "&amp;$K1281&amp;" / "&amp;$L1281&amp;CHAR(10)&amp;"Evaluator: "&amp;$S1281&amp;CHAR(10)&amp;CHAR(10)&amp;"INVALID QUALITY AUDIT DETAILS"&amp;CHAR(10)&amp;"Validation: Invalid"&amp;CHAR(10)&amp;"Invalid Reason: "&amp;$P1281&amp;CHAR(10)&amp;"Expected Resolution Code: "&amp;$Q1281&amp;CHAR(10)&amp;"Remarks: "&amp;LEFT($R1281,600)&amp;CHAR(10)&amp;CHAR(10)&amp;"This is an automated notification from HP Mainstream EQMS."),"✉ Open Email Draft"),"")</f>
        <v/>
      </c>
    </row>
    <row r="1282">
      <c r="A1282" s="25">
        <f>IF($C1282="","","AUD-2026-"&amp;TEXT(ROW()-1,"000000"))</f>
        <v/>
      </c>
      <c r="B1282" s="26" t="n"/>
      <c r="C1282" s="27" t="n"/>
      <c r="D1282" s="25">
        <f>IF($C1282="","",IFERROR(IF(INDEX(Roster!$A:$A,MATCH($C1282,Roster!$B:$B,0))="","",INDEX(Roster!$A:$A,MATCH($C1282,Roster!$B:$B,0))&amp;""),"—"))</f>
        <v/>
      </c>
      <c r="E1282" s="25">
        <f>IF($C1282="","",IFERROR(IF(INDEX(Roster!$C:$C,MATCH($C1282,Roster!$B:$B,0))="","",INDEX(Roster!$C:$C,MATCH($C1282,Roster!$B:$B,0))&amp;""),"—"))</f>
        <v/>
      </c>
      <c r="F1282" s="25">
        <f>IF($C1282="","",IFERROR(IF(INDEX(Roster!$D:$D,MATCH($C1282,Roster!$B:$B,0))="","",INDEX(Roster!$D:$D,MATCH($C1282,Roster!$B:$B,0))&amp;""),"—"))</f>
        <v/>
      </c>
      <c r="G1282" s="25">
        <f>IF($C1282="","",IFERROR(IF(INDEX(Roster!$E:$E,MATCH($C1282,Roster!$B:$B,0))="","",INDEX(Roster!$E:$E,MATCH($C1282,Roster!$B:$B,0))&amp;""),"—"))</f>
        <v/>
      </c>
      <c r="H1282" s="25">
        <f>IF($C1282="","",IFERROR(IF(INDEX(Roster!$F:$F,MATCH($C1282,Roster!$B:$B,0))="","",INDEX(Roster!$F:$F,MATCH($C1282,Roster!$B:$B,0))&amp;""),"—"))</f>
        <v/>
      </c>
      <c r="I1282" s="25">
        <f>IF($C1282="","",IFERROR(IF(INDEX(Roster!$G:$G,MATCH($C1282,Roster!$B:$B,0))="","",INDEX(Roster!$G:$G,MATCH($C1282,Roster!$B:$B,0))&amp;""),"—"))</f>
        <v/>
      </c>
      <c r="J1282" s="25">
        <f>IF($C1282="","",IFERROR(IF(INDEX(Roster!$I:$I,MATCH($C1282,Roster!$B:$B,0))="","",INDEX(Roster!$I:$I,MATCH($C1282,Roster!$B:$B,0))&amp;""),"—"))</f>
        <v/>
      </c>
      <c r="K1282">
        <f>IF($C1282="","",IFERROR(IF(INDEX(Roster!$J:$J,MATCH($C1282,Roster!$B:$B,0))="","",INDEX(Roster!$J:$J,MATCH($C1282,Roster!$B:$B,0))&amp;""),"—"))</f>
        <v/>
      </c>
      <c r="L1282">
        <f>IF($C1282="","",IFERROR(IF(INDEX(Roster!$K:$K,MATCH($C1282,Roster!$B:$B,0))="","",INDEX(Roster!$K:$K,MATCH($C1282,Roster!$B:$B,0))&amp;""),"—"))</f>
        <v/>
      </c>
      <c r="M1282" s="27" t="n"/>
      <c r="N1282" s="27" t="n"/>
      <c r="O1282" s="25">
        <f>IF($C1282="","",IF($P1282="","—",IF($P1282="Valid (Pass)","Valid","Invalid")))</f>
        <v/>
      </c>
      <c r="P1282" s="27" t="n"/>
      <c r="Q1282" s="27" t="n"/>
      <c r="R1282" s="27" t="n"/>
      <c r="S1282" s="27" t="n"/>
      <c r="T1282" s="25">
        <f>IF($C1282="","",IF(OR(ISNUMBER(SEARCH("quick case",$P1282)),ISNUMBER(SEARCH("quick case",$Q1282))),"Yes","No"))</f>
        <v/>
      </c>
      <c r="U1282" s="25">
        <f>IF($O1282="Invalid",HYPERLINK("mailto:"&amp;$G1282&amp;";"&amp;$I1282&amp;"?cc="&amp;Lists!$E$2&amp;"&amp;subject="&amp;_xlfn.ENCODEURL("[INVALID] Quality audit monitoring completed for "&amp;UPPER($C1282))&amp;"&amp;body="&amp;_xlfn.ENCODEURL("Hi "&amp;$F1282&amp;","&amp;CHAR(10)&amp;"Good day!"&amp;CHAR(10)&amp;CHAR(10)&amp;"A quality monitoring audit has been completed for "&amp;$C1282&amp;"."&amp;CHAR(10)&amp;CHAR(10)&amp;"QUALITY AUDIT DETAILS"&amp;CHAR(10)&amp;"Agent Name: "&amp;$C1282&amp;" (EID "&amp;$D1282&amp;")"&amp;CHAR(10)&amp;"Audit Date: "&amp;TEXT($B1282,"yyyy-mm-dd")&amp;CHAR(10)&amp;"Team Leader: "&amp;$F1282&amp;CHAR(10)&amp;"Case Number: "&amp;$M1282&amp;CHAR(10)&amp;"Transaction ID: "&amp;$N1282&amp;CHAR(10)&amp;"Channel / LOB: "&amp;$K1282&amp;" / "&amp;$L1282&amp;CHAR(10)&amp;"Evaluator: "&amp;$S1282&amp;CHAR(10)&amp;CHAR(10)&amp;"INVALID QUALITY AUDIT DETAILS"&amp;CHAR(10)&amp;"Validation: Invalid"&amp;CHAR(10)&amp;"Invalid Reason: "&amp;$P1282&amp;CHAR(10)&amp;"Expected Resolution Code: "&amp;$Q1282&amp;CHAR(10)&amp;"Remarks: "&amp;LEFT($R1282,600)&amp;CHAR(10)&amp;CHAR(10)&amp;"This is an automated notification from HP Mainstream EQMS."),"✉ Open Email Draft"),"")</f>
        <v/>
      </c>
    </row>
    <row r="1283">
      <c r="A1283" s="25">
        <f>IF($C1283="","","AUD-2026-"&amp;TEXT(ROW()-1,"000000"))</f>
        <v/>
      </c>
      <c r="B1283" s="26" t="n"/>
      <c r="C1283" s="27" t="n"/>
      <c r="D1283" s="25">
        <f>IF($C1283="","",IFERROR(IF(INDEX(Roster!$A:$A,MATCH($C1283,Roster!$B:$B,0))="","",INDEX(Roster!$A:$A,MATCH($C1283,Roster!$B:$B,0))&amp;""),"—"))</f>
        <v/>
      </c>
      <c r="E1283" s="25">
        <f>IF($C1283="","",IFERROR(IF(INDEX(Roster!$C:$C,MATCH($C1283,Roster!$B:$B,0))="","",INDEX(Roster!$C:$C,MATCH($C1283,Roster!$B:$B,0))&amp;""),"—"))</f>
        <v/>
      </c>
      <c r="F1283" s="25">
        <f>IF($C1283="","",IFERROR(IF(INDEX(Roster!$D:$D,MATCH($C1283,Roster!$B:$B,0))="","",INDEX(Roster!$D:$D,MATCH($C1283,Roster!$B:$B,0))&amp;""),"—"))</f>
        <v/>
      </c>
      <c r="G1283" s="25">
        <f>IF($C1283="","",IFERROR(IF(INDEX(Roster!$E:$E,MATCH($C1283,Roster!$B:$B,0))="","",INDEX(Roster!$E:$E,MATCH($C1283,Roster!$B:$B,0))&amp;""),"—"))</f>
        <v/>
      </c>
      <c r="H1283" s="25">
        <f>IF($C1283="","",IFERROR(IF(INDEX(Roster!$F:$F,MATCH($C1283,Roster!$B:$B,0))="","",INDEX(Roster!$F:$F,MATCH($C1283,Roster!$B:$B,0))&amp;""),"—"))</f>
        <v/>
      </c>
      <c r="I1283" s="25">
        <f>IF($C1283="","",IFERROR(IF(INDEX(Roster!$G:$G,MATCH($C1283,Roster!$B:$B,0))="","",INDEX(Roster!$G:$G,MATCH($C1283,Roster!$B:$B,0))&amp;""),"—"))</f>
        <v/>
      </c>
      <c r="J1283" s="25">
        <f>IF($C1283="","",IFERROR(IF(INDEX(Roster!$I:$I,MATCH($C1283,Roster!$B:$B,0))="","",INDEX(Roster!$I:$I,MATCH($C1283,Roster!$B:$B,0))&amp;""),"—"))</f>
        <v/>
      </c>
      <c r="K1283">
        <f>IF($C1283="","",IFERROR(IF(INDEX(Roster!$J:$J,MATCH($C1283,Roster!$B:$B,0))="","",INDEX(Roster!$J:$J,MATCH($C1283,Roster!$B:$B,0))&amp;""),"—"))</f>
        <v/>
      </c>
      <c r="L1283">
        <f>IF($C1283="","",IFERROR(IF(INDEX(Roster!$K:$K,MATCH($C1283,Roster!$B:$B,0))="","",INDEX(Roster!$K:$K,MATCH($C1283,Roster!$B:$B,0))&amp;""),"—"))</f>
        <v/>
      </c>
      <c r="M1283" s="27" t="n"/>
      <c r="N1283" s="27" t="n"/>
      <c r="O1283" s="25">
        <f>IF($C1283="","",IF($P1283="","—",IF($P1283="Valid (Pass)","Valid","Invalid")))</f>
        <v/>
      </c>
      <c r="P1283" s="27" t="n"/>
      <c r="Q1283" s="27" t="n"/>
      <c r="R1283" s="27" t="n"/>
      <c r="S1283" s="27" t="n"/>
      <c r="T1283" s="25">
        <f>IF($C1283="","",IF(OR(ISNUMBER(SEARCH("quick case",$P1283)),ISNUMBER(SEARCH("quick case",$Q1283))),"Yes","No"))</f>
        <v/>
      </c>
      <c r="U1283" s="25">
        <f>IF($O1283="Invalid",HYPERLINK("mailto:"&amp;$G1283&amp;";"&amp;$I1283&amp;"?cc="&amp;Lists!$E$2&amp;"&amp;subject="&amp;_xlfn.ENCODEURL("[INVALID] Quality audit monitoring completed for "&amp;UPPER($C1283))&amp;"&amp;body="&amp;_xlfn.ENCODEURL("Hi "&amp;$F1283&amp;","&amp;CHAR(10)&amp;"Good day!"&amp;CHAR(10)&amp;CHAR(10)&amp;"A quality monitoring audit has been completed for "&amp;$C1283&amp;"."&amp;CHAR(10)&amp;CHAR(10)&amp;"QUALITY AUDIT DETAILS"&amp;CHAR(10)&amp;"Agent Name: "&amp;$C1283&amp;" (EID "&amp;$D1283&amp;")"&amp;CHAR(10)&amp;"Audit Date: "&amp;TEXT($B1283,"yyyy-mm-dd")&amp;CHAR(10)&amp;"Team Leader: "&amp;$F1283&amp;CHAR(10)&amp;"Case Number: "&amp;$M1283&amp;CHAR(10)&amp;"Transaction ID: "&amp;$N1283&amp;CHAR(10)&amp;"Channel / LOB: "&amp;$K1283&amp;" / "&amp;$L1283&amp;CHAR(10)&amp;"Evaluator: "&amp;$S1283&amp;CHAR(10)&amp;CHAR(10)&amp;"INVALID QUALITY AUDIT DETAILS"&amp;CHAR(10)&amp;"Validation: Invalid"&amp;CHAR(10)&amp;"Invalid Reason: "&amp;$P1283&amp;CHAR(10)&amp;"Expected Resolution Code: "&amp;$Q1283&amp;CHAR(10)&amp;"Remarks: "&amp;LEFT($R1283,600)&amp;CHAR(10)&amp;CHAR(10)&amp;"This is an automated notification from HP Mainstream EQMS."),"✉ Open Email Draft"),"")</f>
        <v/>
      </c>
    </row>
    <row r="1284">
      <c r="A1284" s="25">
        <f>IF($C1284="","","AUD-2026-"&amp;TEXT(ROW()-1,"000000"))</f>
        <v/>
      </c>
      <c r="B1284" s="26" t="n"/>
      <c r="C1284" s="27" t="n"/>
      <c r="D1284" s="25">
        <f>IF($C1284="","",IFERROR(IF(INDEX(Roster!$A:$A,MATCH($C1284,Roster!$B:$B,0))="","",INDEX(Roster!$A:$A,MATCH($C1284,Roster!$B:$B,0))&amp;""),"—"))</f>
        <v/>
      </c>
      <c r="E1284" s="25">
        <f>IF($C1284="","",IFERROR(IF(INDEX(Roster!$C:$C,MATCH($C1284,Roster!$B:$B,0))="","",INDEX(Roster!$C:$C,MATCH($C1284,Roster!$B:$B,0))&amp;""),"—"))</f>
        <v/>
      </c>
      <c r="F1284" s="25">
        <f>IF($C1284="","",IFERROR(IF(INDEX(Roster!$D:$D,MATCH($C1284,Roster!$B:$B,0))="","",INDEX(Roster!$D:$D,MATCH($C1284,Roster!$B:$B,0))&amp;""),"—"))</f>
        <v/>
      </c>
      <c r="G1284" s="25">
        <f>IF($C1284="","",IFERROR(IF(INDEX(Roster!$E:$E,MATCH($C1284,Roster!$B:$B,0))="","",INDEX(Roster!$E:$E,MATCH($C1284,Roster!$B:$B,0))&amp;""),"—"))</f>
        <v/>
      </c>
      <c r="H1284" s="25">
        <f>IF($C1284="","",IFERROR(IF(INDEX(Roster!$F:$F,MATCH($C1284,Roster!$B:$B,0))="","",INDEX(Roster!$F:$F,MATCH($C1284,Roster!$B:$B,0))&amp;""),"—"))</f>
        <v/>
      </c>
      <c r="I1284" s="25">
        <f>IF($C1284="","",IFERROR(IF(INDEX(Roster!$G:$G,MATCH($C1284,Roster!$B:$B,0))="","",INDEX(Roster!$G:$G,MATCH($C1284,Roster!$B:$B,0))&amp;""),"—"))</f>
        <v/>
      </c>
      <c r="J1284" s="25">
        <f>IF($C1284="","",IFERROR(IF(INDEX(Roster!$I:$I,MATCH($C1284,Roster!$B:$B,0))="","",INDEX(Roster!$I:$I,MATCH($C1284,Roster!$B:$B,0))&amp;""),"—"))</f>
        <v/>
      </c>
      <c r="K1284">
        <f>IF($C1284="","",IFERROR(IF(INDEX(Roster!$J:$J,MATCH($C1284,Roster!$B:$B,0))="","",INDEX(Roster!$J:$J,MATCH($C1284,Roster!$B:$B,0))&amp;""),"—"))</f>
        <v/>
      </c>
      <c r="L1284">
        <f>IF($C1284="","",IFERROR(IF(INDEX(Roster!$K:$K,MATCH($C1284,Roster!$B:$B,0))="","",INDEX(Roster!$K:$K,MATCH($C1284,Roster!$B:$B,0))&amp;""),"—"))</f>
        <v/>
      </c>
      <c r="M1284" s="27" t="n"/>
      <c r="N1284" s="27" t="n"/>
      <c r="O1284" s="25">
        <f>IF($C1284="","",IF($P1284="","—",IF($P1284="Valid (Pass)","Valid","Invalid")))</f>
        <v/>
      </c>
      <c r="P1284" s="27" t="n"/>
      <c r="Q1284" s="27" t="n"/>
      <c r="R1284" s="27" t="n"/>
      <c r="S1284" s="27" t="n"/>
      <c r="T1284" s="25">
        <f>IF($C1284="","",IF(OR(ISNUMBER(SEARCH("quick case",$P1284)),ISNUMBER(SEARCH("quick case",$Q1284))),"Yes","No"))</f>
        <v/>
      </c>
      <c r="U1284" s="25">
        <f>IF($O1284="Invalid",HYPERLINK("mailto:"&amp;$G1284&amp;";"&amp;$I1284&amp;"?cc="&amp;Lists!$E$2&amp;"&amp;subject="&amp;_xlfn.ENCODEURL("[INVALID] Quality audit monitoring completed for "&amp;UPPER($C1284))&amp;"&amp;body="&amp;_xlfn.ENCODEURL("Hi "&amp;$F1284&amp;","&amp;CHAR(10)&amp;"Good day!"&amp;CHAR(10)&amp;CHAR(10)&amp;"A quality monitoring audit has been completed for "&amp;$C1284&amp;"."&amp;CHAR(10)&amp;CHAR(10)&amp;"QUALITY AUDIT DETAILS"&amp;CHAR(10)&amp;"Agent Name: "&amp;$C1284&amp;" (EID "&amp;$D1284&amp;")"&amp;CHAR(10)&amp;"Audit Date: "&amp;TEXT($B1284,"yyyy-mm-dd")&amp;CHAR(10)&amp;"Team Leader: "&amp;$F1284&amp;CHAR(10)&amp;"Case Number: "&amp;$M1284&amp;CHAR(10)&amp;"Transaction ID: "&amp;$N1284&amp;CHAR(10)&amp;"Channel / LOB: "&amp;$K1284&amp;" / "&amp;$L1284&amp;CHAR(10)&amp;"Evaluator: "&amp;$S1284&amp;CHAR(10)&amp;CHAR(10)&amp;"INVALID QUALITY AUDIT DETAILS"&amp;CHAR(10)&amp;"Validation: Invalid"&amp;CHAR(10)&amp;"Invalid Reason: "&amp;$P1284&amp;CHAR(10)&amp;"Expected Resolution Code: "&amp;$Q1284&amp;CHAR(10)&amp;"Remarks: "&amp;LEFT($R1284,600)&amp;CHAR(10)&amp;CHAR(10)&amp;"This is an automated notification from HP Mainstream EQMS."),"✉ Open Email Draft"),"")</f>
        <v/>
      </c>
    </row>
    <row r="1285">
      <c r="A1285" s="25">
        <f>IF($C1285="","","AUD-2026-"&amp;TEXT(ROW()-1,"000000"))</f>
        <v/>
      </c>
      <c r="B1285" s="26" t="n"/>
      <c r="C1285" s="27" t="n"/>
      <c r="D1285" s="25">
        <f>IF($C1285="","",IFERROR(IF(INDEX(Roster!$A:$A,MATCH($C1285,Roster!$B:$B,0))="","",INDEX(Roster!$A:$A,MATCH($C1285,Roster!$B:$B,0))&amp;""),"—"))</f>
        <v/>
      </c>
      <c r="E1285" s="25">
        <f>IF($C1285="","",IFERROR(IF(INDEX(Roster!$C:$C,MATCH($C1285,Roster!$B:$B,0))="","",INDEX(Roster!$C:$C,MATCH($C1285,Roster!$B:$B,0))&amp;""),"—"))</f>
        <v/>
      </c>
      <c r="F1285" s="25">
        <f>IF($C1285="","",IFERROR(IF(INDEX(Roster!$D:$D,MATCH($C1285,Roster!$B:$B,0))="","",INDEX(Roster!$D:$D,MATCH($C1285,Roster!$B:$B,0))&amp;""),"—"))</f>
        <v/>
      </c>
      <c r="G1285" s="25">
        <f>IF($C1285="","",IFERROR(IF(INDEX(Roster!$E:$E,MATCH($C1285,Roster!$B:$B,0))="","",INDEX(Roster!$E:$E,MATCH($C1285,Roster!$B:$B,0))&amp;""),"—"))</f>
        <v/>
      </c>
      <c r="H1285" s="25">
        <f>IF($C1285="","",IFERROR(IF(INDEX(Roster!$F:$F,MATCH($C1285,Roster!$B:$B,0))="","",INDEX(Roster!$F:$F,MATCH($C1285,Roster!$B:$B,0))&amp;""),"—"))</f>
        <v/>
      </c>
      <c r="I1285" s="25">
        <f>IF($C1285="","",IFERROR(IF(INDEX(Roster!$G:$G,MATCH($C1285,Roster!$B:$B,0))="","",INDEX(Roster!$G:$G,MATCH($C1285,Roster!$B:$B,0))&amp;""),"—"))</f>
        <v/>
      </c>
      <c r="J1285" s="25">
        <f>IF($C1285="","",IFERROR(IF(INDEX(Roster!$I:$I,MATCH($C1285,Roster!$B:$B,0))="","",INDEX(Roster!$I:$I,MATCH($C1285,Roster!$B:$B,0))&amp;""),"—"))</f>
        <v/>
      </c>
      <c r="K1285">
        <f>IF($C1285="","",IFERROR(IF(INDEX(Roster!$J:$J,MATCH($C1285,Roster!$B:$B,0))="","",INDEX(Roster!$J:$J,MATCH($C1285,Roster!$B:$B,0))&amp;""),"—"))</f>
        <v/>
      </c>
      <c r="L1285">
        <f>IF($C1285="","",IFERROR(IF(INDEX(Roster!$K:$K,MATCH($C1285,Roster!$B:$B,0))="","",INDEX(Roster!$K:$K,MATCH($C1285,Roster!$B:$B,0))&amp;""),"—"))</f>
        <v/>
      </c>
      <c r="M1285" s="27" t="n"/>
      <c r="N1285" s="27" t="n"/>
      <c r="O1285" s="25">
        <f>IF($C1285="","",IF($P1285="","—",IF($P1285="Valid (Pass)","Valid","Invalid")))</f>
        <v/>
      </c>
      <c r="P1285" s="27" t="n"/>
      <c r="Q1285" s="27" t="n"/>
      <c r="R1285" s="27" t="n"/>
      <c r="S1285" s="27" t="n"/>
      <c r="T1285" s="25">
        <f>IF($C1285="","",IF(OR(ISNUMBER(SEARCH("quick case",$P1285)),ISNUMBER(SEARCH("quick case",$Q1285))),"Yes","No"))</f>
        <v/>
      </c>
      <c r="U1285" s="25">
        <f>IF($O1285="Invalid",HYPERLINK("mailto:"&amp;$G1285&amp;";"&amp;$I1285&amp;"?cc="&amp;Lists!$E$2&amp;"&amp;subject="&amp;_xlfn.ENCODEURL("[INVALID] Quality audit monitoring completed for "&amp;UPPER($C1285))&amp;"&amp;body="&amp;_xlfn.ENCODEURL("Hi "&amp;$F1285&amp;","&amp;CHAR(10)&amp;"Good day!"&amp;CHAR(10)&amp;CHAR(10)&amp;"A quality monitoring audit has been completed for "&amp;$C1285&amp;"."&amp;CHAR(10)&amp;CHAR(10)&amp;"QUALITY AUDIT DETAILS"&amp;CHAR(10)&amp;"Agent Name: "&amp;$C1285&amp;" (EID "&amp;$D1285&amp;")"&amp;CHAR(10)&amp;"Audit Date: "&amp;TEXT($B1285,"yyyy-mm-dd")&amp;CHAR(10)&amp;"Team Leader: "&amp;$F1285&amp;CHAR(10)&amp;"Case Number: "&amp;$M1285&amp;CHAR(10)&amp;"Transaction ID: "&amp;$N1285&amp;CHAR(10)&amp;"Channel / LOB: "&amp;$K1285&amp;" / "&amp;$L1285&amp;CHAR(10)&amp;"Evaluator: "&amp;$S1285&amp;CHAR(10)&amp;CHAR(10)&amp;"INVALID QUALITY AUDIT DETAILS"&amp;CHAR(10)&amp;"Validation: Invalid"&amp;CHAR(10)&amp;"Invalid Reason: "&amp;$P1285&amp;CHAR(10)&amp;"Expected Resolution Code: "&amp;$Q1285&amp;CHAR(10)&amp;"Remarks: "&amp;LEFT($R1285,600)&amp;CHAR(10)&amp;CHAR(10)&amp;"This is an automated notification from HP Mainstream EQMS."),"✉ Open Email Draft"),"")</f>
        <v/>
      </c>
    </row>
    <row r="1286">
      <c r="A1286" s="25">
        <f>IF($C1286="","","AUD-2026-"&amp;TEXT(ROW()-1,"000000"))</f>
        <v/>
      </c>
      <c r="B1286" s="26" t="n"/>
      <c r="C1286" s="27" t="n"/>
      <c r="D1286" s="25">
        <f>IF($C1286="","",IFERROR(IF(INDEX(Roster!$A:$A,MATCH($C1286,Roster!$B:$B,0))="","",INDEX(Roster!$A:$A,MATCH($C1286,Roster!$B:$B,0))&amp;""),"—"))</f>
        <v/>
      </c>
      <c r="E1286" s="25">
        <f>IF($C1286="","",IFERROR(IF(INDEX(Roster!$C:$C,MATCH($C1286,Roster!$B:$B,0))="","",INDEX(Roster!$C:$C,MATCH($C1286,Roster!$B:$B,0))&amp;""),"—"))</f>
        <v/>
      </c>
      <c r="F1286" s="25">
        <f>IF($C1286="","",IFERROR(IF(INDEX(Roster!$D:$D,MATCH($C1286,Roster!$B:$B,0))="","",INDEX(Roster!$D:$D,MATCH($C1286,Roster!$B:$B,0))&amp;""),"—"))</f>
        <v/>
      </c>
      <c r="G1286" s="25">
        <f>IF($C1286="","",IFERROR(IF(INDEX(Roster!$E:$E,MATCH($C1286,Roster!$B:$B,0))="","",INDEX(Roster!$E:$E,MATCH($C1286,Roster!$B:$B,0))&amp;""),"—"))</f>
        <v/>
      </c>
      <c r="H1286" s="25">
        <f>IF($C1286="","",IFERROR(IF(INDEX(Roster!$F:$F,MATCH($C1286,Roster!$B:$B,0))="","",INDEX(Roster!$F:$F,MATCH($C1286,Roster!$B:$B,0))&amp;""),"—"))</f>
        <v/>
      </c>
      <c r="I1286" s="25">
        <f>IF($C1286="","",IFERROR(IF(INDEX(Roster!$G:$G,MATCH($C1286,Roster!$B:$B,0))="","",INDEX(Roster!$G:$G,MATCH($C1286,Roster!$B:$B,0))&amp;""),"—"))</f>
        <v/>
      </c>
      <c r="J1286" s="25">
        <f>IF($C1286="","",IFERROR(IF(INDEX(Roster!$I:$I,MATCH($C1286,Roster!$B:$B,0))="","",INDEX(Roster!$I:$I,MATCH($C1286,Roster!$B:$B,0))&amp;""),"—"))</f>
        <v/>
      </c>
      <c r="K1286">
        <f>IF($C1286="","",IFERROR(IF(INDEX(Roster!$J:$J,MATCH($C1286,Roster!$B:$B,0))="","",INDEX(Roster!$J:$J,MATCH($C1286,Roster!$B:$B,0))&amp;""),"—"))</f>
        <v/>
      </c>
      <c r="L1286">
        <f>IF($C1286="","",IFERROR(IF(INDEX(Roster!$K:$K,MATCH($C1286,Roster!$B:$B,0))="","",INDEX(Roster!$K:$K,MATCH($C1286,Roster!$B:$B,0))&amp;""),"—"))</f>
        <v/>
      </c>
      <c r="M1286" s="27" t="n"/>
      <c r="N1286" s="27" t="n"/>
      <c r="O1286" s="25">
        <f>IF($C1286="","",IF($P1286="","—",IF($P1286="Valid (Pass)","Valid","Invalid")))</f>
        <v/>
      </c>
      <c r="P1286" s="27" t="n"/>
      <c r="Q1286" s="27" t="n"/>
      <c r="R1286" s="27" t="n"/>
      <c r="S1286" s="27" t="n"/>
      <c r="T1286" s="25">
        <f>IF($C1286="","",IF(OR(ISNUMBER(SEARCH("quick case",$P1286)),ISNUMBER(SEARCH("quick case",$Q1286))),"Yes","No"))</f>
        <v/>
      </c>
      <c r="U1286" s="25">
        <f>IF($O1286="Invalid",HYPERLINK("mailto:"&amp;$G1286&amp;";"&amp;$I1286&amp;"?cc="&amp;Lists!$E$2&amp;"&amp;subject="&amp;_xlfn.ENCODEURL("[INVALID] Quality audit monitoring completed for "&amp;UPPER($C1286))&amp;"&amp;body="&amp;_xlfn.ENCODEURL("Hi "&amp;$F1286&amp;","&amp;CHAR(10)&amp;"Good day!"&amp;CHAR(10)&amp;CHAR(10)&amp;"A quality monitoring audit has been completed for "&amp;$C1286&amp;"."&amp;CHAR(10)&amp;CHAR(10)&amp;"QUALITY AUDIT DETAILS"&amp;CHAR(10)&amp;"Agent Name: "&amp;$C1286&amp;" (EID "&amp;$D1286&amp;")"&amp;CHAR(10)&amp;"Audit Date: "&amp;TEXT($B1286,"yyyy-mm-dd")&amp;CHAR(10)&amp;"Team Leader: "&amp;$F1286&amp;CHAR(10)&amp;"Case Number: "&amp;$M1286&amp;CHAR(10)&amp;"Transaction ID: "&amp;$N1286&amp;CHAR(10)&amp;"Channel / LOB: "&amp;$K1286&amp;" / "&amp;$L1286&amp;CHAR(10)&amp;"Evaluator: "&amp;$S1286&amp;CHAR(10)&amp;CHAR(10)&amp;"INVALID QUALITY AUDIT DETAILS"&amp;CHAR(10)&amp;"Validation: Invalid"&amp;CHAR(10)&amp;"Invalid Reason: "&amp;$P1286&amp;CHAR(10)&amp;"Expected Resolution Code: "&amp;$Q1286&amp;CHAR(10)&amp;"Remarks: "&amp;LEFT($R1286,600)&amp;CHAR(10)&amp;CHAR(10)&amp;"This is an automated notification from HP Mainstream EQMS."),"✉ Open Email Draft"),"")</f>
        <v/>
      </c>
    </row>
    <row r="1287">
      <c r="A1287" s="25">
        <f>IF($C1287="","","AUD-2026-"&amp;TEXT(ROW()-1,"000000"))</f>
        <v/>
      </c>
      <c r="B1287" s="26" t="n"/>
      <c r="C1287" s="27" t="n"/>
      <c r="D1287" s="25">
        <f>IF($C1287="","",IFERROR(IF(INDEX(Roster!$A:$A,MATCH($C1287,Roster!$B:$B,0))="","",INDEX(Roster!$A:$A,MATCH($C1287,Roster!$B:$B,0))&amp;""),"—"))</f>
        <v/>
      </c>
      <c r="E1287" s="25">
        <f>IF($C1287="","",IFERROR(IF(INDEX(Roster!$C:$C,MATCH($C1287,Roster!$B:$B,0))="","",INDEX(Roster!$C:$C,MATCH($C1287,Roster!$B:$B,0))&amp;""),"—"))</f>
        <v/>
      </c>
      <c r="F1287" s="25">
        <f>IF($C1287="","",IFERROR(IF(INDEX(Roster!$D:$D,MATCH($C1287,Roster!$B:$B,0))="","",INDEX(Roster!$D:$D,MATCH($C1287,Roster!$B:$B,0))&amp;""),"—"))</f>
        <v/>
      </c>
      <c r="G1287" s="25">
        <f>IF($C1287="","",IFERROR(IF(INDEX(Roster!$E:$E,MATCH($C1287,Roster!$B:$B,0))="","",INDEX(Roster!$E:$E,MATCH($C1287,Roster!$B:$B,0))&amp;""),"—"))</f>
        <v/>
      </c>
      <c r="H1287" s="25">
        <f>IF($C1287="","",IFERROR(IF(INDEX(Roster!$F:$F,MATCH($C1287,Roster!$B:$B,0))="","",INDEX(Roster!$F:$F,MATCH($C1287,Roster!$B:$B,0))&amp;""),"—"))</f>
        <v/>
      </c>
      <c r="I1287" s="25">
        <f>IF($C1287="","",IFERROR(IF(INDEX(Roster!$G:$G,MATCH($C1287,Roster!$B:$B,0))="","",INDEX(Roster!$G:$G,MATCH($C1287,Roster!$B:$B,0))&amp;""),"—"))</f>
        <v/>
      </c>
      <c r="J1287" s="25">
        <f>IF($C1287="","",IFERROR(IF(INDEX(Roster!$I:$I,MATCH($C1287,Roster!$B:$B,0))="","",INDEX(Roster!$I:$I,MATCH($C1287,Roster!$B:$B,0))&amp;""),"—"))</f>
        <v/>
      </c>
      <c r="K1287">
        <f>IF($C1287="","",IFERROR(IF(INDEX(Roster!$J:$J,MATCH($C1287,Roster!$B:$B,0))="","",INDEX(Roster!$J:$J,MATCH($C1287,Roster!$B:$B,0))&amp;""),"—"))</f>
        <v/>
      </c>
      <c r="L1287">
        <f>IF($C1287="","",IFERROR(IF(INDEX(Roster!$K:$K,MATCH($C1287,Roster!$B:$B,0))="","",INDEX(Roster!$K:$K,MATCH($C1287,Roster!$B:$B,0))&amp;""),"—"))</f>
        <v/>
      </c>
      <c r="M1287" s="27" t="n"/>
      <c r="N1287" s="27" t="n"/>
      <c r="O1287" s="25">
        <f>IF($C1287="","",IF($P1287="","—",IF($P1287="Valid (Pass)","Valid","Invalid")))</f>
        <v/>
      </c>
      <c r="P1287" s="27" t="n"/>
      <c r="Q1287" s="27" t="n"/>
      <c r="R1287" s="27" t="n"/>
      <c r="S1287" s="27" t="n"/>
      <c r="T1287" s="25">
        <f>IF($C1287="","",IF(OR(ISNUMBER(SEARCH("quick case",$P1287)),ISNUMBER(SEARCH("quick case",$Q1287))),"Yes","No"))</f>
        <v/>
      </c>
      <c r="U1287" s="25">
        <f>IF($O1287="Invalid",HYPERLINK("mailto:"&amp;$G1287&amp;";"&amp;$I1287&amp;"?cc="&amp;Lists!$E$2&amp;"&amp;subject="&amp;_xlfn.ENCODEURL("[INVALID] Quality audit monitoring completed for "&amp;UPPER($C1287))&amp;"&amp;body="&amp;_xlfn.ENCODEURL("Hi "&amp;$F1287&amp;","&amp;CHAR(10)&amp;"Good day!"&amp;CHAR(10)&amp;CHAR(10)&amp;"A quality monitoring audit has been completed for "&amp;$C1287&amp;"."&amp;CHAR(10)&amp;CHAR(10)&amp;"QUALITY AUDIT DETAILS"&amp;CHAR(10)&amp;"Agent Name: "&amp;$C1287&amp;" (EID "&amp;$D1287&amp;")"&amp;CHAR(10)&amp;"Audit Date: "&amp;TEXT($B1287,"yyyy-mm-dd")&amp;CHAR(10)&amp;"Team Leader: "&amp;$F1287&amp;CHAR(10)&amp;"Case Number: "&amp;$M1287&amp;CHAR(10)&amp;"Transaction ID: "&amp;$N1287&amp;CHAR(10)&amp;"Channel / LOB: "&amp;$K1287&amp;" / "&amp;$L1287&amp;CHAR(10)&amp;"Evaluator: "&amp;$S1287&amp;CHAR(10)&amp;CHAR(10)&amp;"INVALID QUALITY AUDIT DETAILS"&amp;CHAR(10)&amp;"Validation: Invalid"&amp;CHAR(10)&amp;"Invalid Reason: "&amp;$P1287&amp;CHAR(10)&amp;"Expected Resolution Code: "&amp;$Q1287&amp;CHAR(10)&amp;"Remarks: "&amp;LEFT($R1287,600)&amp;CHAR(10)&amp;CHAR(10)&amp;"This is an automated notification from HP Mainstream EQMS."),"✉ Open Email Draft"),"")</f>
        <v/>
      </c>
    </row>
    <row r="1288">
      <c r="A1288" s="25">
        <f>IF($C1288="","","AUD-2026-"&amp;TEXT(ROW()-1,"000000"))</f>
        <v/>
      </c>
      <c r="B1288" s="26" t="n"/>
      <c r="C1288" s="27" t="n"/>
      <c r="D1288" s="25">
        <f>IF($C1288="","",IFERROR(IF(INDEX(Roster!$A:$A,MATCH($C1288,Roster!$B:$B,0))="","",INDEX(Roster!$A:$A,MATCH($C1288,Roster!$B:$B,0))&amp;""),"—"))</f>
        <v/>
      </c>
      <c r="E1288" s="25">
        <f>IF($C1288="","",IFERROR(IF(INDEX(Roster!$C:$C,MATCH($C1288,Roster!$B:$B,0))="","",INDEX(Roster!$C:$C,MATCH($C1288,Roster!$B:$B,0))&amp;""),"—"))</f>
        <v/>
      </c>
      <c r="F1288" s="25">
        <f>IF($C1288="","",IFERROR(IF(INDEX(Roster!$D:$D,MATCH($C1288,Roster!$B:$B,0))="","",INDEX(Roster!$D:$D,MATCH($C1288,Roster!$B:$B,0))&amp;""),"—"))</f>
        <v/>
      </c>
      <c r="G1288" s="25">
        <f>IF($C1288="","",IFERROR(IF(INDEX(Roster!$E:$E,MATCH($C1288,Roster!$B:$B,0))="","",INDEX(Roster!$E:$E,MATCH($C1288,Roster!$B:$B,0))&amp;""),"—"))</f>
        <v/>
      </c>
      <c r="H1288" s="25">
        <f>IF($C1288="","",IFERROR(IF(INDEX(Roster!$F:$F,MATCH($C1288,Roster!$B:$B,0))="","",INDEX(Roster!$F:$F,MATCH($C1288,Roster!$B:$B,0))&amp;""),"—"))</f>
        <v/>
      </c>
      <c r="I1288" s="25">
        <f>IF($C1288="","",IFERROR(IF(INDEX(Roster!$G:$G,MATCH($C1288,Roster!$B:$B,0))="","",INDEX(Roster!$G:$G,MATCH($C1288,Roster!$B:$B,0))&amp;""),"—"))</f>
        <v/>
      </c>
      <c r="J1288" s="25">
        <f>IF($C1288="","",IFERROR(IF(INDEX(Roster!$I:$I,MATCH($C1288,Roster!$B:$B,0))="","",INDEX(Roster!$I:$I,MATCH($C1288,Roster!$B:$B,0))&amp;""),"—"))</f>
        <v/>
      </c>
      <c r="K1288">
        <f>IF($C1288="","",IFERROR(IF(INDEX(Roster!$J:$J,MATCH($C1288,Roster!$B:$B,0))="","",INDEX(Roster!$J:$J,MATCH($C1288,Roster!$B:$B,0))&amp;""),"—"))</f>
        <v/>
      </c>
      <c r="L1288">
        <f>IF($C1288="","",IFERROR(IF(INDEX(Roster!$K:$K,MATCH($C1288,Roster!$B:$B,0))="","",INDEX(Roster!$K:$K,MATCH($C1288,Roster!$B:$B,0))&amp;""),"—"))</f>
        <v/>
      </c>
      <c r="M1288" s="27" t="n"/>
      <c r="N1288" s="27" t="n"/>
      <c r="O1288" s="25">
        <f>IF($C1288="","",IF($P1288="","—",IF($P1288="Valid (Pass)","Valid","Invalid")))</f>
        <v/>
      </c>
      <c r="P1288" s="27" t="n"/>
      <c r="Q1288" s="27" t="n"/>
      <c r="R1288" s="27" t="n"/>
      <c r="S1288" s="27" t="n"/>
      <c r="T1288" s="25">
        <f>IF($C1288="","",IF(OR(ISNUMBER(SEARCH("quick case",$P1288)),ISNUMBER(SEARCH("quick case",$Q1288))),"Yes","No"))</f>
        <v/>
      </c>
      <c r="U1288" s="25">
        <f>IF($O1288="Invalid",HYPERLINK("mailto:"&amp;$G1288&amp;";"&amp;$I1288&amp;"?cc="&amp;Lists!$E$2&amp;"&amp;subject="&amp;_xlfn.ENCODEURL("[INVALID] Quality audit monitoring completed for "&amp;UPPER($C1288))&amp;"&amp;body="&amp;_xlfn.ENCODEURL("Hi "&amp;$F1288&amp;","&amp;CHAR(10)&amp;"Good day!"&amp;CHAR(10)&amp;CHAR(10)&amp;"A quality monitoring audit has been completed for "&amp;$C1288&amp;"."&amp;CHAR(10)&amp;CHAR(10)&amp;"QUALITY AUDIT DETAILS"&amp;CHAR(10)&amp;"Agent Name: "&amp;$C1288&amp;" (EID "&amp;$D1288&amp;")"&amp;CHAR(10)&amp;"Audit Date: "&amp;TEXT($B1288,"yyyy-mm-dd")&amp;CHAR(10)&amp;"Team Leader: "&amp;$F1288&amp;CHAR(10)&amp;"Case Number: "&amp;$M1288&amp;CHAR(10)&amp;"Transaction ID: "&amp;$N1288&amp;CHAR(10)&amp;"Channel / LOB: "&amp;$K1288&amp;" / "&amp;$L1288&amp;CHAR(10)&amp;"Evaluator: "&amp;$S1288&amp;CHAR(10)&amp;CHAR(10)&amp;"INVALID QUALITY AUDIT DETAILS"&amp;CHAR(10)&amp;"Validation: Invalid"&amp;CHAR(10)&amp;"Invalid Reason: "&amp;$P1288&amp;CHAR(10)&amp;"Expected Resolution Code: "&amp;$Q1288&amp;CHAR(10)&amp;"Remarks: "&amp;LEFT($R1288,600)&amp;CHAR(10)&amp;CHAR(10)&amp;"This is an automated notification from HP Mainstream EQMS."),"✉ Open Email Draft"),"")</f>
        <v/>
      </c>
    </row>
    <row r="1289">
      <c r="A1289" s="25">
        <f>IF($C1289="","","AUD-2026-"&amp;TEXT(ROW()-1,"000000"))</f>
        <v/>
      </c>
      <c r="B1289" s="26" t="n"/>
      <c r="C1289" s="27" t="n"/>
      <c r="D1289" s="25">
        <f>IF($C1289="","",IFERROR(IF(INDEX(Roster!$A:$A,MATCH($C1289,Roster!$B:$B,0))="","",INDEX(Roster!$A:$A,MATCH($C1289,Roster!$B:$B,0))&amp;""),"—"))</f>
        <v/>
      </c>
      <c r="E1289" s="25">
        <f>IF($C1289="","",IFERROR(IF(INDEX(Roster!$C:$C,MATCH($C1289,Roster!$B:$B,0))="","",INDEX(Roster!$C:$C,MATCH($C1289,Roster!$B:$B,0))&amp;""),"—"))</f>
        <v/>
      </c>
      <c r="F1289" s="25">
        <f>IF($C1289="","",IFERROR(IF(INDEX(Roster!$D:$D,MATCH($C1289,Roster!$B:$B,0))="","",INDEX(Roster!$D:$D,MATCH($C1289,Roster!$B:$B,0))&amp;""),"—"))</f>
        <v/>
      </c>
      <c r="G1289" s="25">
        <f>IF($C1289="","",IFERROR(IF(INDEX(Roster!$E:$E,MATCH($C1289,Roster!$B:$B,0))="","",INDEX(Roster!$E:$E,MATCH($C1289,Roster!$B:$B,0))&amp;""),"—"))</f>
        <v/>
      </c>
      <c r="H1289" s="25">
        <f>IF($C1289="","",IFERROR(IF(INDEX(Roster!$F:$F,MATCH($C1289,Roster!$B:$B,0))="","",INDEX(Roster!$F:$F,MATCH($C1289,Roster!$B:$B,0))&amp;""),"—"))</f>
        <v/>
      </c>
      <c r="I1289" s="25">
        <f>IF($C1289="","",IFERROR(IF(INDEX(Roster!$G:$G,MATCH($C1289,Roster!$B:$B,0))="","",INDEX(Roster!$G:$G,MATCH($C1289,Roster!$B:$B,0))&amp;""),"—"))</f>
        <v/>
      </c>
      <c r="J1289" s="25">
        <f>IF($C1289="","",IFERROR(IF(INDEX(Roster!$I:$I,MATCH($C1289,Roster!$B:$B,0))="","",INDEX(Roster!$I:$I,MATCH($C1289,Roster!$B:$B,0))&amp;""),"—"))</f>
        <v/>
      </c>
      <c r="K1289">
        <f>IF($C1289="","",IFERROR(IF(INDEX(Roster!$J:$J,MATCH($C1289,Roster!$B:$B,0))="","",INDEX(Roster!$J:$J,MATCH($C1289,Roster!$B:$B,0))&amp;""),"—"))</f>
        <v/>
      </c>
      <c r="L1289">
        <f>IF($C1289="","",IFERROR(IF(INDEX(Roster!$K:$K,MATCH($C1289,Roster!$B:$B,0))="","",INDEX(Roster!$K:$K,MATCH($C1289,Roster!$B:$B,0))&amp;""),"—"))</f>
        <v/>
      </c>
      <c r="M1289" s="27" t="n"/>
      <c r="N1289" s="27" t="n"/>
      <c r="O1289" s="25">
        <f>IF($C1289="","",IF($P1289="","—",IF($P1289="Valid (Pass)","Valid","Invalid")))</f>
        <v/>
      </c>
      <c r="P1289" s="27" t="n"/>
      <c r="Q1289" s="27" t="n"/>
      <c r="R1289" s="27" t="n"/>
      <c r="S1289" s="27" t="n"/>
      <c r="T1289" s="25">
        <f>IF($C1289="","",IF(OR(ISNUMBER(SEARCH("quick case",$P1289)),ISNUMBER(SEARCH("quick case",$Q1289))),"Yes","No"))</f>
        <v/>
      </c>
      <c r="U1289" s="25">
        <f>IF($O1289="Invalid",HYPERLINK("mailto:"&amp;$G1289&amp;";"&amp;$I1289&amp;"?cc="&amp;Lists!$E$2&amp;"&amp;subject="&amp;_xlfn.ENCODEURL("[INVALID] Quality audit monitoring completed for "&amp;UPPER($C1289))&amp;"&amp;body="&amp;_xlfn.ENCODEURL("Hi "&amp;$F1289&amp;","&amp;CHAR(10)&amp;"Good day!"&amp;CHAR(10)&amp;CHAR(10)&amp;"A quality monitoring audit has been completed for "&amp;$C1289&amp;"."&amp;CHAR(10)&amp;CHAR(10)&amp;"QUALITY AUDIT DETAILS"&amp;CHAR(10)&amp;"Agent Name: "&amp;$C1289&amp;" (EID "&amp;$D1289&amp;")"&amp;CHAR(10)&amp;"Audit Date: "&amp;TEXT($B1289,"yyyy-mm-dd")&amp;CHAR(10)&amp;"Team Leader: "&amp;$F1289&amp;CHAR(10)&amp;"Case Number: "&amp;$M1289&amp;CHAR(10)&amp;"Transaction ID: "&amp;$N1289&amp;CHAR(10)&amp;"Channel / LOB: "&amp;$K1289&amp;" / "&amp;$L1289&amp;CHAR(10)&amp;"Evaluator: "&amp;$S1289&amp;CHAR(10)&amp;CHAR(10)&amp;"INVALID QUALITY AUDIT DETAILS"&amp;CHAR(10)&amp;"Validation: Invalid"&amp;CHAR(10)&amp;"Invalid Reason: "&amp;$P1289&amp;CHAR(10)&amp;"Expected Resolution Code: "&amp;$Q1289&amp;CHAR(10)&amp;"Remarks: "&amp;LEFT($R1289,600)&amp;CHAR(10)&amp;CHAR(10)&amp;"This is an automated notification from HP Mainstream EQMS."),"✉ Open Email Draft"),"")</f>
        <v/>
      </c>
    </row>
    <row r="1290">
      <c r="A1290" s="25">
        <f>IF($C1290="","","AUD-2026-"&amp;TEXT(ROW()-1,"000000"))</f>
        <v/>
      </c>
      <c r="B1290" s="26" t="n"/>
      <c r="C1290" s="27" t="n"/>
      <c r="D1290" s="25">
        <f>IF($C1290="","",IFERROR(IF(INDEX(Roster!$A:$A,MATCH($C1290,Roster!$B:$B,0))="","",INDEX(Roster!$A:$A,MATCH($C1290,Roster!$B:$B,0))&amp;""),"—"))</f>
        <v/>
      </c>
      <c r="E1290" s="25">
        <f>IF($C1290="","",IFERROR(IF(INDEX(Roster!$C:$C,MATCH($C1290,Roster!$B:$B,0))="","",INDEX(Roster!$C:$C,MATCH($C1290,Roster!$B:$B,0))&amp;""),"—"))</f>
        <v/>
      </c>
      <c r="F1290" s="25">
        <f>IF($C1290="","",IFERROR(IF(INDEX(Roster!$D:$D,MATCH($C1290,Roster!$B:$B,0))="","",INDEX(Roster!$D:$D,MATCH($C1290,Roster!$B:$B,0))&amp;""),"—"))</f>
        <v/>
      </c>
      <c r="G1290" s="25">
        <f>IF($C1290="","",IFERROR(IF(INDEX(Roster!$E:$E,MATCH($C1290,Roster!$B:$B,0))="","",INDEX(Roster!$E:$E,MATCH($C1290,Roster!$B:$B,0))&amp;""),"—"))</f>
        <v/>
      </c>
      <c r="H1290" s="25">
        <f>IF($C1290="","",IFERROR(IF(INDEX(Roster!$F:$F,MATCH($C1290,Roster!$B:$B,0))="","",INDEX(Roster!$F:$F,MATCH($C1290,Roster!$B:$B,0))&amp;""),"—"))</f>
        <v/>
      </c>
      <c r="I1290" s="25">
        <f>IF($C1290="","",IFERROR(IF(INDEX(Roster!$G:$G,MATCH($C1290,Roster!$B:$B,0))="","",INDEX(Roster!$G:$G,MATCH($C1290,Roster!$B:$B,0))&amp;""),"—"))</f>
        <v/>
      </c>
      <c r="J1290" s="25">
        <f>IF($C1290="","",IFERROR(IF(INDEX(Roster!$I:$I,MATCH($C1290,Roster!$B:$B,0))="","",INDEX(Roster!$I:$I,MATCH($C1290,Roster!$B:$B,0))&amp;""),"—"))</f>
        <v/>
      </c>
      <c r="K1290">
        <f>IF($C1290="","",IFERROR(IF(INDEX(Roster!$J:$J,MATCH($C1290,Roster!$B:$B,0))="","",INDEX(Roster!$J:$J,MATCH($C1290,Roster!$B:$B,0))&amp;""),"—"))</f>
        <v/>
      </c>
      <c r="L1290">
        <f>IF($C1290="","",IFERROR(IF(INDEX(Roster!$K:$K,MATCH($C1290,Roster!$B:$B,0))="","",INDEX(Roster!$K:$K,MATCH($C1290,Roster!$B:$B,0))&amp;""),"—"))</f>
        <v/>
      </c>
      <c r="M1290" s="27" t="n"/>
      <c r="N1290" s="27" t="n"/>
      <c r="O1290" s="25">
        <f>IF($C1290="","",IF($P1290="","—",IF($P1290="Valid (Pass)","Valid","Invalid")))</f>
        <v/>
      </c>
      <c r="P1290" s="27" t="n"/>
      <c r="Q1290" s="27" t="n"/>
      <c r="R1290" s="27" t="n"/>
      <c r="S1290" s="27" t="n"/>
      <c r="T1290" s="25">
        <f>IF($C1290="","",IF(OR(ISNUMBER(SEARCH("quick case",$P1290)),ISNUMBER(SEARCH("quick case",$Q1290))),"Yes","No"))</f>
        <v/>
      </c>
      <c r="U1290" s="25">
        <f>IF($O1290="Invalid",HYPERLINK("mailto:"&amp;$G1290&amp;";"&amp;$I1290&amp;"?cc="&amp;Lists!$E$2&amp;"&amp;subject="&amp;_xlfn.ENCODEURL("[INVALID] Quality audit monitoring completed for "&amp;UPPER($C1290))&amp;"&amp;body="&amp;_xlfn.ENCODEURL("Hi "&amp;$F1290&amp;","&amp;CHAR(10)&amp;"Good day!"&amp;CHAR(10)&amp;CHAR(10)&amp;"A quality monitoring audit has been completed for "&amp;$C1290&amp;"."&amp;CHAR(10)&amp;CHAR(10)&amp;"QUALITY AUDIT DETAILS"&amp;CHAR(10)&amp;"Agent Name: "&amp;$C1290&amp;" (EID "&amp;$D1290&amp;")"&amp;CHAR(10)&amp;"Audit Date: "&amp;TEXT($B1290,"yyyy-mm-dd")&amp;CHAR(10)&amp;"Team Leader: "&amp;$F1290&amp;CHAR(10)&amp;"Case Number: "&amp;$M1290&amp;CHAR(10)&amp;"Transaction ID: "&amp;$N1290&amp;CHAR(10)&amp;"Channel / LOB: "&amp;$K1290&amp;" / "&amp;$L1290&amp;CHAR(10)&amp;"Evaluator: "&amp;$S1290&amp;CHAR(10)&amp;CHAR(10)&amp;"INVALID QUALITY AUDIT DETAILS"&amp;CHAR(10)&amp;"Validation: Invalid"&amp;CHAR(10)&amp;"Invalid Reason: "&amp;$P1290&amp;CHAR(10)&amp;"Expected Resolution Code: "&amp;$Q1290&amp;CHAR(10)&amp;"Remarks: "&amp;LEFT($R1290,600)&amp;CHAR(10)&amp;CHAR(10)&amp;"This is an automated notification from HP Mainstream EQMS."),"✉ Open Email Draft"),"")</f>
        <v/>
      </c>
    </row>
    <row r="1291">
      <c r="A1291" s="25">
        <f>IF($C1291="","","AUD-2026-"&amp;TEXT(ROW()-1,"000000"))</f>
        <v/>
      </c>
      <c r="B1291" s="26" t="n"/>
      <c r="C1291" s="27" t="n"/>
      <c r="D1291" s="25">
        <f>IF($C1291="","",IFERROR(IF(INDEX(Roster!$A:$A,MATCH($C1291,Roster!$B:$B,0))="","",INDEX(Roster!$A:$A,MATCH($C1291,Roster!$B:$B,0))&amp;""),"—"))</f>
        <v/>
      </c>
      <c r="E1291" s="25">
        <f>IF($C1291="","",IFERROR(IF(INDEX(Roster!$C:$C,MATCH($C1291,Roster!$B:$B,0))="","",INDEX(Roster!$C:$C,MATCH($C1291,Roster!$B:$B,0))&amp;""),"—"))</f>
        <v/>
      </c>
      <c r="F1291" s="25">
        <f>IF($C1291="","",IFERROR(IF(INDEX(Roster!$D:$D,MATCH($C1291,Roster!$B:$B,0))="","",INDEX(Roster!$D:$D,MATCH($C1291,Roster!$B:$B,0))&amp;""),"—"))</f>
        <v/>
      </c>
      <c r="G1291" s="25">
        <f>IF($C1291="","",IFERROR(IF(INDEX(Roster!$E:$E,MATCH($C1291,Roster!$B:$B,0))="","",INDEX(Roster!$E:$E,MATCH($C1291,Roster!$B:$B,0))&amp;""),"—"))</f>
        <v/>
      </c>
      <c r="H1291" s="25">
        <f>IF($C1291="","",IFERROR(IF(INDEX(Roster!$F:$F,MATCH($C1291,Roster!$B:$B,0))="","",INDEX(Roster!$F:$F,MATCH($C1291,Roster!$B:$B,0))&amp;""),"—"))</f>
        <v/>
      </c>
      <c r="I1291" s="25">
        <f>IF($C1291="","",IFERROR(IF(INDEX(Roster!$G:$G,MATCH($C1291,Roster!$B:$B,0))="","",INDEX(Roster!$G:$G,MATCH($C1291,Roster!$B:$B,0))&amp;""),"—"))</f>
        <v/>
      </c>
      <c r="J1291" s="25">
        <f>IF($C1291="","",IFERROR(IF(INDEX(Roster!$I:$I,MATCH($C1291,Roster!$B:$B,0))="","",INDEX(Roster!$I:$I,MATCH($C1291,Roster!$B:$B,0))&amp;""),"—"))</f>
        <v/>
      </c>
      <c r="K1291">
        <f>IF($C1291="","",IFERROR(IF(INDEX(Roster!$J:$J,MATCH($C1291,Roster!$B:$B,0))="","",INDEX(Roster!$J:$J,MATCH($C1291,Roster!$B:$B,0))&amp;""),"—"))</f>
        <v/>
      </c>
      <c r="L1291">
        <f>IF($C1291="","",IFERROR(IF(INDEX(Roster!$K:$K,MATCH($C1291,Roster!$B:$B,0))="","",INDEX(Roster!$K:$K,MATCH($C1291,Roster!$B:$B,0))&amp;""),"—"))</f>
        <v/>
      </c>
      <c r="M1291" s="27" t="n"/>
      <c r="N1291" s="27" t="n"/>
      <c r="O1291" s="25">
        <f>IF($C1291="","",IF($P1291="","—",IF($P1291="Valid (Pass)","Valid","Invalid")))</f>
        <v/>
      </c>
      <c r="P1291" s="27" t="n"/>
      <c r="Q1291" s="27" t="n"/>
      <c r="R1291" s="27" t="n"/>
      <c r="S1291" s="27" t="n"/>
      <c r="T1291" s="25">
        <f>IF($C1291="","",IF(OR(ISNUMBER(SEARCH("quick case",$P1291)),ISNUMBER(SEARCH("quick case",$Q1291))),"Yes","No"))</f>
        <v/>
      </c>
      <c r="U1291" s="25">
        <f>IF($O1291="Invalid",HYPERLINK("mailto:"&amp;$G1291&amp;";"&amp;$I1291&amp;"?cc="&amp;Lists!$E$2&amp;"&amp;subject="&amp;_xlfn.ENCODEURL("[INVALID] Quality audit monitoring completed for "&amp;UPPER($C1291))&amp;"&amp;body="&amp;_xlfn.ENCODEURL("Hi "&amp;$F1291&amp;","&amp;CHAR(10)&amp;"Good day!"&amp;CHAR(10)&amp;CHAR(10)&amp;"A quality monitoring audit has been completed for "&amp;$C1291&amp;"."&amp;CHAR(10)&amp;CHAR(10)&amp;"QUALITY AUDIT DETAILS"&amp;CHAR(10)&amp;"Agent Name: "&amp;$C1291&amp;" (EID "&amp;$D1291&amp;")"&amp;CHAR(10)&amp;"Audit Date: "&amp;TEXT($B1291,"yyyy-mm-dd")&amp;CHAR(10)&amp;"Team Leader: "&amp;$F1291&amp;CHAR(10)&amp;"Case Number: "&amp;$M1291&amp;CHAR(10)&amp;"Transaction ID: "&amp;$N1291&amp;CHAR(10)&amp;"Channel / LOB: "&amp;$K1291&amp;" / "&amp;$L1291&amp;CHAR(10)&amp;"Evaluator: "&amp;$S1291&amp;CHAR(10)&amp;CHAR(10)&amp;"INVALID QUALITY AUDIT DETAILS"&amp;CHAR(10)&amp;"Validation: Invalid"&amp;CHAR(10)&amp;"Invalid Reason: "&amp;$P1291&amp;CHAR(10)&amp;"Expected Resolution Code: "&amp;$Q1291&amp;CHAR(10)&amp;"Remarks: "&amp;LEFT($R1291,600)&amp;CHAR(10)&amp;CHAR(10)&amp;"This is an automated notification from HP Mainstream EQMS."),"✉ Open Email Draft"),"")</f>
        <v/>
      </c>
    </row>
    <row r="1292">
      <c r="A1292" s="25">
        <f>IF($C1292="","","AUD-2026-"&amp;TEXT(ROW()-1,"000000"))</f>
        <v/>
      </c>
      <c r="B1292" s="26" t="n"/>
      <c r="C1292" s="27" t="n"/>
      <c r="D1292" s="25">
        <f>IF($C1292="","",IFERROR(IF(INDEX(Roster!$A:$A,MATCH($C1292,Roster!$B:$B,0))="","",INDEX(Roster!$A:$A,MATCH($C1292,Roster!$B:$B,0))&amp;""),"—"))</f>
        <v/>
      </c>
      <c r="E1292" s="25">
        <f>IF($C1292="","",IFERROR(IF(INDEX(Roster!$C:$C,MATCH($C1292,Roster!$B:$B,0))="","",INDEX(Roster!$C:$C,MATCH($C1292,Roster!$B:$B,0))&amp;""),"—"))</f>
        <v/>
      </c>
      <c r="F1292" s="25">
        <f>IF($C1292="","",IFERROR(IF(INDEX(Roster!$D:$D,MATCH($C1292,Roster!$B:$B,0))="","",INDEX(Roster!$D:$D,MATCH($C1292,Roster!$B:$B,0))&amp;""),"—"))</f>
        <v/>
      </c>
      <c r="G1292" s="25">
        <f>IF($C1292="","",IFERROR(IF(INDEX(Roster!$E:$E,MATCH($C1292,Roster!$B:$B,0))="","",INDEX(Roster!$E:$E,MATCH($C1292,Roster!$B:$B,0))&amp;""),"—"))</f>
        <v/>
      </c>
      <c r="H1292" s="25">
        <f>IF($C1292="","",IFERROR(IF(INDEX(Roster!$F:$F,MATCH($C1292,Roster!$B:$B,0))="","",INDEX(Roster!$F:$F,MATCH($C1292,Roster!$B:$B,0))&amp;""),"—"))</f>
        <v/>
      </c>
      <c r="I1292" s="25">
        <f>IF($C1292="","",IFERROR(IF(INDEX(Roster!$G:$G,MATCH($C1292,Roster!$B:$B,0))="","",INDEX(Roster!$G:$G,MATCH($C1292,Roster!$B:$B,0))&amp;""),"—"))</f>
        <v/>
      </c>
      <c r="J1292" s="25">
        <f>IF($C1292="","",IFERROR(IF(INDEX(Roster!$I:$I,MATCH($C1292,Roster!$B:$B,0))="","",INDEX(Roster!$I:$I,MATCH($C1292,Roster!$B:$B,0))&amp;""),"—"))</f>
        <v/>
      </c>
      <c r="K1292">
        <f>IF($C1292="","",IFERROR(IF(INDEX(Roster!$J:$J,MATCH($C1292,Roster!$B:$B,0))="","",INDEX(Roster!$J:$J,MATCH($C1292,Roster!$B:$B,0))&amp;""),"—"))</f>
        <v/>
      </c>
      <c r="L1292">
        <f>IF($C1292="","",IFERROR(IF(INDEX(Roster!$K:$K,MATCH($C1292,Roster!$B:$B,0))="","",INDEX(Roster!$K:$K,MATCH($C1292,Roster!$B:$B,0))&amp;""),"—"))</f>
        <v/>
      </c>
      <c r="M1292" s="27" t="n"/>
      <c r="N1292" s="27" t="n"/>
      <c r="O1292" s="25">
        <f>IF($C1292="","",IF($P1292="","—",IF($P1292="Valid (Pass)","Valid","Invalid")))</f>
        <v/>
      </c>
      <c r="P1292" s="27" t="n"/>
      <c r="Q1292" s="27" t="n"/>
      <c r="R1292" s="27" t="n"/>
      <c r="S1292" s="27" t="n"/>
      <c r="T1292" s="25">
        <f>IF($C1292="","",IF(OR(ISNUMBER(SEARCH("quick case",$P1292)),ISNUMBER(SEARCH("quick case",$Q1292))),"Yes","No"))</f>
        <v/>
      </c>
      <c r="U1292" s="25">
        <f>IF($O1292="Invalid",HYPERLINK("mailto:"&amp;$G1292&amp;";"&amp;$I1292&amp;"?cc="&amp;Lists!$E$2&amp;"&amp;subject="&amp;_xlfn.ENCODEURL("[INVALID] Quality audit monitoring completed for "&amp;UPPER($C1292))&amp;"&amp;body="&amp;_xlfn.ENCODEURL("Hi "&amp;$F1292&amp;","&amp;CHAR(10)&amp;"Good day!"&amp;CHAR(10)&amp;CHAR(10)&amp;"A quality monitoring audit has been completed for "&amp;$C1292&amp;"."&amp;CHAR(10)&amp;CHAR(10)&amp;"QUALITY AUDIT DETAILS"&amp;CHAR(10)&amp;"Agent Name: "&amp;$C1292&amp;" (EID "&amp;$D1292&amp;")"&amp;CHAR(10)&amp;"Audit Date: "&amp;TEXT($B1292,"yyyy-mm-dd")&amp;CHAR(10)&amp;"Team Leader: "&amp;$F1292&amp;CHAR(10)&amp;"Case Number: "&amp;$M1292&amp;CHAR(10)&amp;"Transaction ID: "&amp;$N1292&amp;CHAR(10)&amp;"Channel / LOB: "&amp;$K1292&amp;" / "&amp;$L1292&amp;CHAR(10)&amp;"Evaluator: "&amp;$S1292&amp;CHAR(10)&amp;CHAR(10)&amp;"INVALID QUALITY AUDIT DETAILS"&amp;CHAR(10)&amp;"Validation: Invalid"&amp;CHAR(10)&amp;"Invalid Reason: "&amp;$P1292&amp;CHAR(10)&amp;"Expected Resolution Code: "&amp;$Q1292&amp;CHAR(10)&amp;"Remarks: "&amp;LEFT($R1292,600)&amp;CHAR(10)&amp;CHAR(10)&amp;"This is an automated notification from HP Mainstream EQMS."),"✉ Open Email Draft"),"")</f>
        <v/>
      </c>
    </row>
    <row r="1293">
      <c r="A1293" s="25">
        <f>IF($C1293="","","AUD-2026-"&amp;TEXT(ROW()-1,"000000"))</f>
        <v/>
      </c>
      <c r="B1293" s="26" t="n"/>
      <c r="C1293" s="27" t="n"/>
      <c r="D1293" s="25">
        <f>IF($C1293="","",IFERROR(IF(INDEX(Roster!$A:$A,MATCH($C1293,Roster!$B:$B,0))="","",INDEX(Roster!$A:$A,MATCH($C1293,Roster!$B:$B,0))&amp;""),"—"))</f>
        <v/>
      </c>
      <c r="E1293" s="25">
        <f>IF($C1293="","",IFERROR(IF(INDEX(Roster!$C:$C,MATCH($C1293,Roster!$B:$B,0))="","",INDEX(Roster!$C:$C,MATCH($C1293,Roster!$B:$B,0))&amp;""),"—"))</f>
        <v/>
      </c>
      <c r="F1293" s="25">
        <f>IF($C1293="","",IFERROR(IF(INDEX(Roster!$D:$D,MATCH($C1293,Roster!$B:$B,0))="","",INDEX(Roster!$D:$D,MATCH($C1293,Roster!$B:$B,0))&amp;""),"—"))</f>
        <v/>
      </c>
      <c r="G1293" s="25">
        <f>IF($C1293="","",IFERROR(IF(INDEX(Roster!$E:$E,MATCH($C1293,Roster!$B:$B,0))="","",INDEX(Roster!$E:$E,MATCH($C1293,Roster!$B:$B,0))&amp;""),"—"))</f>
        <v/>
      </c>
      <c r="H1293" s="25">
        <f>IF($C1293="","",IFERROR(IF(INDEX(Roster!$F:$F,MATCH($C1293,Roster!$B:$B,0))="","",INDEX(Roster!$F:$F,MATCH($C1293,Roster!$B:$B,0))&amp;""),"—"))</f>
        <v/>
      </c>
      <c r="I1293" s="25">
        <f>IF($C1293="","",IFERROR(IF(INDEX(Roster!$G:$G,MATCH($C1293,Roster!$B:$B,0))="","",INDEX(Roster!$G:$G,MATCH($C1293,Roster!$B:$B,0))&amp;""),"—"))</f>
        <v/>
      </c>
      <c r="J1293" s="25">
        <f>IF($C1293="","",IFERROR(IF(INDEX(Roster!$I:$I,MATCH($C1293,Roster!$B:$B,0))="","",INDEX(Roster!$I:$I,MATCH($C1293,Roster!$B:$B,0))&amp;""),"—"))</f>
        <v/>
      </c>
      <c r="K1293">
        <f>IF($C1293="","",IFERROR(IF(INDEX(Roster!$J:$J,MATCH($C1293,Roster!$B:$B,0))="","",INDEX(Roster!$J:$J,MATCH($C1293,Roster!$B:$B,0))&amp;""),"—"))</f>
        <v/>
      </c>
      <c r="L1293">
        <f>IF($C1293="","",IFERROR(IF(INDEX(Roster!$K:$K,MATCH($C1293,Roster!$B:$B,0))="","",INDEX(Roster!$K:$K,MATCH($C1293,Roster!$B:$B,0))&amp;""),"—"))</f>
        <v/>
      </c>
      <c r="M1293" s="27" t="n"/>
      <c r="N1293" s="27" t="n"/>
      <c r="O1293" s="25">
        <f>IF($C1293="","",IF($P1293="","—",IF($P1293="Valid (Pass)","Valid","Invalid")))</f>
        <v/>
      </c>
      <c r="P1293" s="27" t="n"/>
      <c r="Q1293" s="27" t="n"/>
      <c r="R1293" s="27" t="n"/>
      <c r="S1293" s="27" t="n"/>
      <c r="T1293" s="25">
        <f>IF($C1293="","",IF(OR(ISNUMBER(SEARCH("quick case",$P1293)),ISNUMBER(SEARCH("quick case",$Q1293))),"Yes","No"))</f>
        <v/>
      </c>
      <c r="U1293" s="25">
        <f>IF($O1293="Invalid",HYPERLINK("mailto:"&amp;$G1293&amp;";"&amp;$I1293&amp;"?cc="&amp;Lists!$E$2&amp;"&amp;subject="&amp;_xlfn.ENCODEURL("[INVALID] Quality audit monitoring completed for "&amp;UPPER($C1293))&amp;"&amp;body="&amp;_xlfn.ENCODEURL("Hi "&amp;$F1293&amp;","&amp;CHAR(10)&amp;"Good day!"&amp;CHAR(10)&amp;CHAR(10)&amp;"A quality monitoring audit has been completed for "&amp;$C1293&amp;"."&amp;CHAR(10)&amp;CHAR(10)&amp;"QUALITY AUDIT DETAILS"&amp;CHAR(10)&amp;"Agent Name: "&amp;$C1293&amp;" (EID "&amp;$D1293&amp;")"&amp;CHAR(10)&amp;"Audit Date: "&amp;TEXT($B1293,"yyyy-mm-dd")&amp;CHAR(10)&amp;"Team Leader: "&amp;$F1293&amp;CHAR(10)&amp;"Case Number: "&amp;$M1293&amp;CHAR(10)&amp;"Transaction ID: "&amp;$N1293&amp;CHAR(10)&amp;"Channel / LOB: "&amp;$K1293&amp;" / "&amp;$L1293&amp;CHAR(10)&amp;"Evaluator: "&amp;$S1293&amp;CHAR(10)&amp;CHAR(10)&amp;"INVALID QUALITY AUDIT DETAILS"&amp;CHAR(10)&amp;"Validation: Invalid"&amp;CHAR(10)&amp;"Invalid Reason: "&amp;$P1293&amp;CHAR(10)&amp;"Expected Resolution Code: "&amp;$Q1293&amp;CHAR(10)&amp;"Remarks: "&amp;LEFT($R1293,600)&amp;CHAR(10)&amp;CHAR(10)&amp;"This is an automated notification from HP Mainstream EQMS."),"✉ Open Email Draft"),"")</f>
        <v/>
      </c>
    </row>
    <row r="1294">
      <c r="A1294" s="25">
        <f>IF($C1294="","","AUD-2026-"&amp;TEXT(ROW()-1,"000000"))</f>
        <v/>
      </c>
      <c r="B1294" s="26" t="n"/>
      <c r="C1294" s="27" t="n"/>
      <c r="D1294" s="25">
        <f>IF($C1294="","",IFERROR(IF(INDEX(Roster!$A:$A,MATCH($C1294,Roster!$B:$B,0))="","",INDEX(Roster!$A:$A,MATCH($C1294,Roster!$B:$B,0))&amp;""),"—"))</f>
        <v/>
      </c>
      <c r="E1294" s="25">
        <f>IF($C1294="","",IFERROR(IF(INDEX(Roster!$C:$C,MATCH($C1294,Roster!$B:$B,0))="","",INDEX(Roster!$C:$C,MATCH($C1294,Roster!$B:$B,0))&amp;""),"—"))</f>
        <v/>
      </c>
      <c r="F1294" s="25">
        <f>IF($C1294="","",IFERROR(IF(INDEX(Roster!$D:$D,MATCH($C1294,Roster!$B:$B,0))="","",INDEX(Roster!$D:$D,MATCH($C1294,Roster!$B:$B,0))&amp;""),"—"))</f>
        <v/>
      </c>
      <c r="G1294" s="25">
        <f>IF($C1294="","",IFERROR(IF(INDEX(Roster!$E:$E,MATCH($C1294,Roster!$B:$B,0))="","",INDEX(Roster!$E:$E,MATCH($C1294,Roster!$B:$B,0))&amp;""),"—"))</f>
        <v/>
      </c>
      <c r="H1294" s="25">
        <f>IF($C1294="","",IFERROR(IF(INDEX(Roster!$F:$F,MATCH($C1294,Roster!$B:$B,0))="","",INDEX(Roster!$F:$F,MATCH($C1294,Roster!$B:$B,0))&amp;""),"—"))</f>
        <v/>
      </c>
      <c r="I1294" s="25">
        <f>IF($C1294="","",IFERROR(IF(INDEX(Roster!$G:$G,MATCH($C1294,Roster!$B:$B,0))="","",INDEX(Roster!$G:$G,MATCH($C1294,Roster!$B:$B,0))&amp;""),"—"))</f>
        <v/>
      </c>
      <c r="J1294" s="25">
        <f>IF($C1294="","",IFERROR(IF(INDEX(Roster!$I:$I,MATCH($C1294,Roster!$B:$B,0))="","",INDEX(Roster!$I:$I,MATCH($C1294,Roster!$B:$B,0))&amp;""),"—"))</f>
        <v/>
      </c>
      <c r="K1294">
        <f>IF($C1294="","",IFERROR(IF(INDEX(Roster!$J:$J,MATCH($C1294,Roster!$B:$B,0))="","",INDEX(Roster!$J:$J,MATCH($C1294,Roster!$B:$B,0))&amp;""),"—"))</f>
        <v/>
      </c>
      <c r="L1294">
        <f>IF($C1294="","",IFERROR(IF(INDEX(Roster!$K:$K,MATCH($C1294,Roster!$B:$B,0))="","",INDEX(Roster!$K:$K,MATCH($C1294,Roster!$B:$B,0))&amp;""),"—"))</f>
        <v/>
      </c>
      <c r="M1294" s="27" t="n"/>
      <c r="N1294" s="27" t="n"/>
      <c r="O1294" s="25">
        <f>IF($C1294="","",IF($P1294="","—",IF($P1294="Valid (Pass)","Valid","Invalid")))</f>
        <v/>
      </c>
      <c r="P1294" s="27" t="n"/>
      <c r="Q1294" s="27" t="n"/>
      <c r="R1294" s="27" t="n"/>
      <c r="S1294" s="27" t="n"/>
      <c r="T1294" s="25">
        <f>IF($C1294="","",IF(OR(ISNUMBER(SEARCH("quick case",$P1294)),ISNUMBER(SEARCH("quick case",$Q1294))),"Yes","No"))</f>
        <v/>
      </c>
      <c r="U1294" s="25">
        <f>IF($O1294="Invalid",HYPERLINK("mailto:"&amp;$G1294&amp;";"&amp;$I1294&amp;"?cc="&amp;Lists!$E$2&amp;"&amp;subject="&amp;_xlfn.ENCODEURL("[INVALID] Quality audit monitoring completed for "&amp;UPPER($C1294))&amp;"&amp;body="&amp;_xlfn.ENCODEURL("Hi "&amp;$F1294&amp;","&amp;CHAR(10)&amp;"Good day!"&amp;CHAR(10)&amp;CHAR(10)&amp;"A quality monitoring audit has been completed for "&amp;$C1294&amp;"."&amp;CHAR(10)&amp;CHAR(10)&amp;"QUALITY AUDIT DETAILS"&amp;CHAR(10)&amp;"Agent Name: "&amp;$C1294&amp;" (EID "&amp;$D1294&amp;")"&amp;CHAR(10)&amp;"Audit Date: "&amp;TEXT($B1294,"yyyy-mm-dd")&amp;CHAR(10)&amp;"Team Leader: "&amp;$F1294&amp;CHAR(10)&amp;"Case Number: "&amp;$M1294&amp;CHAR(10)&amp;"Transaction ID: "&amp;$N1294&amp;CHAR(10)&amp;"Channel / LOB: "&amp;$K1294&amp;" / "&amp;$L1294&amp;CHAR(10)&amp;"Evaluator: "&amp;$S1294&amp;CHAR(10)&amp;CHAR(10)&amp;"INVALID QUALITY AUDIT DETAILS"&amp;CHAR(10)&amp;"Validation: Invalid"&amp;CHAR(10)&amp;"Invalid Reason: "&amp;$P1294&amp;CHAR(10)&amp;"Expected Resolution Code: "&amp;$Q1294&amp;CHAR(10)&amp;"Remarks: "&amp;LEFT($R1294,600)&amp;CHAR(10)&amp;CHAR(10)&amp;"This is an automated notification from HP Mainstream EQMS."),"✉ Open Email Draft"),"")</f>
        <v/>
      </c>
    </row>
    <row r="1295">
      <c r="A1295" s="25">
        <f>IF($C1295="","","AUD-2026-"&amp;TEXT(ROW()-1,"000000"))</f>
        <v/>
      </c>
      <c r="B1295" s="26" t="n"/>
      <c r="C1295" s="27" t="n"/>
      <c r="D1295" s="25">
        <f>IF($C1295="","",IFERROR(IF(INDEX(Roster!$A:$A,MATCH($C1295,Roster!$B:$B,0))="","",INDEX(Roster!$A:$A,MATCH($C1295,Roster!$B:$B,0))&amp;""),"—"))</f>
        <v/>
      </c>
      <c r="E1295" s="25">
        <f>IF($C1295="","",IFERROR(IF(INDEX(Roster!$C:$C,MATCH($C1295,Roster!$B:$B,0))="","",INDEX(Roster!$C:$C,MATCH($C1295,Roster!$B:$B,0))&amp;""),"—"))</f>
        <v/>
      </c>
      <c r="F1295" s="25">
        <f>IF($C1295="","",IFERROR(IF(INDEX(Roster!$D:$D,MATCH($C1295,Roster!$B:$B,0))="","",INDEX(Roster!$D:$D,MATCH($C1295,Roster!$B:$B,0))&amp;""),"—"))</f>
        <v/>
      </c>
      <c r="G1295" s="25">
        <f>IF($C1295="","",IFERROR(IF(INDEX(Roster!$E:$E,MATCH($C1295,Roster!$B:$B,0))="","",INDEX(Roster!$E:$E,MATCH($C1295,Roster!$B:$B,0))&amp;""),"—"))</f>
        <v/>
      </c>
      <c r="H1295" s="25">
        <f>IF($C1295="","",IFERROR(IF(INDEX(Roster!$F:$F,MATCH($C1295,Roster!$B:$B,0))="","",INDEX(Roster!$F:$F,MATCH($C1295,Roster!$B:$B,0))&amp;""),"—"))</f>
        <v/>
      </c>
      <c r="I1295" s="25">
        <f>IF($C1295="","",IFERROR(IF(INDEX(Roster!$G:$G,MATCH($C1295,Roster!$B:$B,0))="","",INDEX(Roster!$G:$G,MATCH($C1295,Roster!$B:$B,0))&amp;""),"—"))</f>
        <v/>
      </c>
      <c r="J1295" s="25">
        <f>IF($C1295="","",IFERROR(IF(INDEX(Roster!$I:$I,MATCH($C1295,Roster!$B:$B,0))="","",INDEX(Roster!$I:$I,MATCH($C1295,Roster!$B:$B,0))&amp;""),"—"))</f>
        <v/>
      </c>
      <c r="K1295">
        <f>IF($C1295="","",IFERROR(IF(INDEX(Roster!$J:$J,MATCH($C1295,Roster!$B:$B,0))="","",INDEX(Roster!$J:$J,MATCH($C1295,Roster!$B:$B,0))&amp;""),"—"))</f>
        <v/>
      </c>
      <c r="L1295">
        <f>IF($C1295="","",IFERROR(IF(INDEX(Roster!$K:$K,MATCH($C1295,Roster!$B:$B,0))="","",INDEX(Roster!$K:$K,MATCH($C1295,Roster!$B:$B,0))&amp;""),"—"))</f>
        <v/>
      </c>
      <c r="M1295" s="27" t="n"/>
      <c r="N1295" s="27" t="n"/>
      <c r="O1295" s="25">
        <f>IF($C1295="","",IF($P1295="","—",IF($P1295="Valid (Pass)","Valid","Invalid")))</f>
        <v/>
      </c>
      <c r="P1295" s="27" t="n"/>
      <c r="Q1295" s="27" t="n"/>
      <c r="R1295" s="27" t="n"/>
      <c r="S1295" s="27" t="n"/>
      <c r="T1295" s="25">
        <f>IF($C1295="","",IF(OR(ISNUMBER(SEARCH("quick case",$P1295)),ISNUMBER(SEARCH("quick case",$Q1295))),"Yes","No"))</f>
        <v/>
      </c>
      <c r="U1295" s="25">
        <f>IF($O1295="Invalid",HYPERLINK("mailto:"&amp;$G1295&amp;";"&amp;$I1295&amp;"?cc="&amp;Lists!$E$2&amp;"&amp;subject="&amp;_xlfn.ENCODEURL("[INVALID] Quality audit monitoring completed for "&amp;UPPER($C1295))&amp;"&amp;body="&amp;_xlfn.ENCODEURL("Hi "&amp;$F1295&amp;","&amp;CHAR(10)&amp;"Good day!"&amp;CHAR(10)&amp;CHAR(10)&amp;"A quality monitoring audit has been completed for "&amp;$C1295&amp;"."&amp;CHAR(10)&amp;CHAR(10)&amp;"QUALITY AUDIT DETAILS"&amp;CHAR(10)&amp;"Agent Name: "&amp;$C1295&amp;" (EID "&amp;$D1295&amp;")"&amp;CHAR(10)&amp;"Audit Date: "&amp;TEXT($B1295,"yyyy-mm-dd")&amp;CHAR(10)&amp;"Team Leader: "&amp;$F1295&amp;CHAR(10)&amp;"Case Number: "&amp;$M1295&amp;CHAR(10)&amp;"Transaction ID: "&amp;$N1295&amp;CHAR(10)&amp;"Channel / LOB: "&amp;$K1295&amp;" / "&amp;$L1295&amp;CHAR(10)&amp;"Evaluator: "&amp;$S1295&amp;CHAR(10)&amp;CHAR(10)&amp;"INVALID QUALITY AUDIT DETAILS"&amp;CHAR(10)&amp;"Validation: Invalid"&amp;CHAR(10)&amp;"Invalid Reason: "&amp;$P1295&amp;CHAR(10)&amp;"Expected Resolution Code: "&amp;$Q1295&amp;CHAR(10)&amp;"Remarks: "&amp;LEFT($R1295,600)&amp;CHAR(10)&amp;CHAR(10)&amp;"This is an automated notification from HP Mainstream EQMS."),"✉ Open Email Draft"),"")</f>
        <v/>
      </c>
    </row>
    <row r="1296">
      <c r="A1296" s="25">
        <f>IF($C1296="","","AUD-2026-"&amp;TEXT(ROW()-1,"000000"))</f>
        <v/>
      </c>
      <c r="B1296" s="26" t="n"/>
      <c r="C1296" s="27" t="n"/>
      <c r="D1296" s="25">
        <f>IF($C1296="","",IFERROR(IF(INDEX(Roster!$A:$A,MATCH($C1296,Roster!$B:$B,0))="","",INDEX(Roster!$A:$A,MATCH($C1296,Roster!$B:$B,0))&amp;""),"—"))</f>
        <v/>
      </c>
      <c r="E1296" s="25">
        <f>IF($C1296="","",IFERROR(IF(INDEX(Roster!$C:$C,MATCH($C1296,Roster!$B:$B,0))="","",INDEX(Roster!$C:$C,MATCH($C1296,Roster!$B:$B,0))&amp;""),"—"))</f>
        <v/>
      </c>
      <c r="F1296" s="25">
        <f>IF($C1296="","",IFERROR(IF(INDEX(Roster!$D:$D,MATCH($C1296,Roster!$B:$B,0))="","",INDEX(Roster!$D:$D,MATCH($C1296,Roster!$B:$B,0))&amp;""),"—"))</f>
        <v/>
      </c>
      <c r="G1296" s="25">
        <f>IF($C1296="","",IFERROR(IF(INDEX(Roster!$E:$E,MATCH($C1296,Roster!$B:$B,0))="","",INDEX(Roster!$E:$E,MATCH($C1296,Roster!$B:$B,0))&amp;""),"—"))</f>
        <v/>
      </c>
      <c r="H1296" s="25">
        <f>IF($C1296="","",IFERROR(IF(INDEX(Roster!$F:$F,MATCH($C1296,Roster!$B:$B,0))="","",INDEX(Roster!$F:$F,MATCH($C1296,Roster!$B:$B,0))&amp;""),"—"))</f>
        <v/>
      </c>
      <c r="I1296" s="25">
        <f>IF($C1296="","",IFERROR(IF(INDEX(Roster!$G:$G,MATCH($C1296,Roster!$B:$B,0))="","",INDEX(Roster!$G:$G,MATCH($C1296,Roster!$B:$B,0))&amp;""),"—"))</f>
        <v/>
      </c>
      <c r="J1296" s="25">
        <f>IF($C1296="","",IFERROR(IF(INDEX(Roster!$I:$I,MATCH($C1296,Roster!$B:$B,0))="","",INDEX(Roster!$I:$I,MATCH($C1296,Roster!$B:$B,0))&amp;""),"—"))</f>
        <v/>
      </c>
      <c r="K1296">
        <f>IF($C1296="","",IFERROR(IF(INDEX(Roster!$J:$J,MATCH($C1296,Roster!$B:$B,0))="","",INDEX(Roster!$J:$J,MATCH($C1296,Roster!$B:$B,0))&amp;""),"—"))</f>
        <v/>
      </c>
      <c r="L1296">
        <f>IF($C1296="","",IFERROR(IF(INDEX(Roster!$K:$K,MATCH($C1296,Roster!$B:$B,0))="","",INDEX(Roster!$K:$K,MATCH($C1296,Roster!$B:$B,0))&amp;""),"—"))</f>
        <v/>
      </c>
      <c r="M1296" s="27" t="n"/>
      <c r="N1296" s="27" t="n"/>
      <c r="O1296" s="25">
        <f>IF($C1296="","",IF($P1296="","—",IF($P1296="Valid (Pass)","Valid","Invalid")))</f>
        <v/>
      </c>
      <c r="P1296" s="27" t="n"/>
      <c r="Q1296" s="27" t="n"/>
      <c r="R1296" s="27" t="n"/>
      <c r="S1296" s="27" t="n"/>
      <c r="T1296" s="25">
        <f>IF($C1296="","",IF(OR(ISNUMBER(SEARCH("quick case",$P1296)),ISNUMBER(SEARCH("quick case",$Q1296))),"Yes","No"))</f>
        <v/>
      </c>
      <c r="U1296" s="25">
        <f>IF($O1296="Invalid",HYPERLINK("mailto:"&amp;$G1296&amp;";"&amp;$I1296&amp;"?cc="&amp;Lists!$E$2&amp;"&amp;subject="&amp;_xlfn.ENCODEURL("[INVALID] Quality audit monitoring completed for "&amp;UPPER($C1296))&amp;"&amp;body="&amp;_xlfn.ENCODEURL("Hi "&amp;$F1296&amp;","&amp;CHAR(10)&amp;"Good day!"&amp;CHAR(10)&amp;CHAR(10)&amp;"A quality monitoring audit has been completed for "&amp;$C1296&amp;"."&amp;CHAR(10)&amp;CHAR(10)&amp;"QUALITY AUDIT DETAILS"&amp;CHAR(10)&amp;"Agent Name: "&amp;$C1296&amp;" (EID "&amp;$D1296&amp;")"&amp;CHAR(10)&amp;"Audit Date: "&amp;TEXT($B1296,"yyyy-mm-dd")&amp;CHAR(10)&amp;"Team Leader: "&amp;$F1296&amp;CHAR(10)&amp;"Case Number: "&amp;$M1296&amp;CHAR(10)&amp;"Transaction ID: "&amp;$N1296&amp;CHAR(10)&amp;"Channel / LOB: "&amp;$K1296&amp;" / "&amp;$L1296&amp;CHAR(10)&amp;"Evaluator: "&amp;$S1296&amp;CHAR(10)&amp;CHAR(10)&amp;"INVALID QUALITY AUDIT DETAILS"&amp;CHAR(10)&amp;"Validation: Invalid"&amp;CHAR(10)&amp;"Invalid Reason: "&amp;$P1296&amp;CHAR(10)&amp;"Expected Resolution Code: "&amp;$Q1296&amp;CHAR(10)&amp;"Remarks: "&amp;LEFT($R1296,600)&amp;CHAR(10)&amp;CHAR(10)&amp;"This is an automated notification from HP Mainstream EQMS."),"✉ Open Email Draft"),"")</f>
        <v/>
      </c>
    </row>
    <row r="1297">
      <c r="A1297" s="25">
        <f>IF($C1297="","","AUD-2026-"&amp;TEXT(ROW()-1,"000000"))</f>
        <v/>
      </c>
      <c r="B1297" s="26" t="n"/>
      <c r="C1297" s="27" t="n"/>
      <c r="D1297" s="25">
        <f>IF($C1297="","",IFERROR(IF(INDEX(Roster!$A:$A,MATCH($C1297,Roster!$B:$B,0))="","",INDEX(Roster!$A:$A,MATCH($C1297,Roster!$B:$B,0))&amp;""),"—"))</f>
        <v/>
      </c>
      <c r="E1297" s="25">
        <f>IF($C1297="","",IFERROR(IF(INDEX(Roster!$C:$C,MATCH($C1297,Roster!$B:$B,0))="","",INDEX(Roster!$C:$C,MATCH($C1297,Roster!$B:$B,0))&amp;""),"—"))</f>
        <v/>
      </c>
      <c r="F1297" s="25">
        <f>IF($C1297="","",IFERROR(IF(INDEX(Roster!$D:$D,MATCH($C1297,Roster!$B:$B,0))="","",INDEX(Roster!$D:$D,MATCH($C1297,Roster!$B:$B,0))&amp;""),"—"))</f>
        <v/>
      </c>
      <c r="G1297" s="25">
        <f>IF($C1297="","",IFERROR(IF(INDEX(Roster!$E:$E,MATCH($C1297,Roster!$B:$B,0))="","",INDEX(Roster!$E:$E,MATCH($C1297,Roster!$B:$B,0))&amp;""),"—"))</f>
        <v/>
      </c>
      <c r="H1297" s="25">
        <f>IF($C1297="","",IFERROR(IF(INDEX(Roster!$F:$F,MATCH($C1297,Roster!$B:$B,0))="","",INDEX(Roster!$F:$F,MATCH($C1297,Roster!$B:$B,0))&amp;""),"—"))</f>
        <v/>
      </c>
      <c r="I1297" s="25">
        <f>IF($C1297="","",IFERROR(IF(INDEX(Roster!$G:$G,MATCH($C1297,Roster!$B:$B,0))="","",INDEX(Roster!$G:$G,MATCH($C1297,Roster!$B:$B,0))&amp;""),"—"))</f>
        <v/>
      </c>
      <c r="J1297" s="25">
        <f>IF($C1297="","",IFERROR(IF(INDEX(Roster!$I:$I,MATCH($C1297,Roster!$B:$B,0))="","",INDEX(Roster!$I:$I,MATCH($C1297,Roster!$B:$B,0))&amp;""),"—"))</f>
        <v/>
      </c>
      <c r="K1297">
        <f>IF($C1297="","",IFERROR(IF(INDEX(Roster!$J:$J,MATCH($C1297,Roster!$B:$B,0))="","",INDEX(Roster!$J:$J,MATCH($C1297,Roster!$B:$B,0))&amp;""),"—"))</f>
        <v/>
      </c>
      <c r="L1297">
        <f>IF($C1297="","",IFERROR(IF(INDEX(Roster!$K:$K,MATCH($C1297,Roster!$B:$B,0))="","",INDEX(Roster!$K:$K,MATCH($C1297,Roster!$B:$B,0))&amp;""),"—"))</f>
        <v/>
      </c>
      <c r="M1297" s="27" t="n"/>
      <c r="N1297" s="27" t="n"/>
      <c r="O1297" s="25">
        <f>IF($C1297="","",IF($P1297="","—",IF($P1297="Valid (Pass)","Valid","Invalid")))</f>
        <v/>
      </c>
      <c r="P1297" s="27" t="n"/>
      <c r="Q1297" s="27" t="n"/>
      <c r="R1297" s="27" t="n"/>
      <c r="S1297" s="27" t="n"/>
      <c r="T1297" s="25">
        <f>IF($C1297="","",IF(OR(ISNUMBER(SEARCH("quick case",$P1297)),ISNUMBER(SEARCH("quick case",$Q1297))),"Yes","No"))</f>
        <v/>
      </c>
      <c r="U1297" s="25">
        <f>IF($O1297="Invalid",HYPERLINK("mailto:"&amp;$G1297&amp;";"&amp;$I1297&amp;"?cc="&amp;Lists!$E$2&amp;"&amp;subject="&amp;_xlfn.ENCODEURL("[INVALID] Quality audit monitoring completed for "&amp;UPPER($C1297))&amp;"&amp;body="&amp;_xlfn.ENCODEURL("Hi "&amp;$F1297&amp;","&amp;CHAR(10)&amp;"Good day!"&amp;CHAR(10)&amp;CHAR(10)&amp;"A quality monitoring audit has been completed for "&amp;$C1297&amp;"."&amp;CHAR(10)&amp;CHAR(10)&amp;"QUALITY AUDIT DETAILS"&amp;CHAR(10)&amp;"Agent Name: "&amp;$C1297&amp;" (EID "&amp;$D1297&amp;")"&amp;CHAR(10)&amp;"Audit Date: "&amp;TEXT($B1297,"yyyy-mm-dd")&amp;CHAR(10)&amp;"Team Leader: "&amp;$F1297&amp;CHAR(10)&amp;"Case Number: "&amp;$M1297&amp;CHAR(10)&amp;"Transaction ID: "&amp;$N1297&amp;CHAR(10)&amp;"Channel / LOB: "&amp;$K1297&amp;" / "&amp;$L1297&amp;CHAR(10)&amp;"Evaluator: "&amp;$S1297&amp;CHAR(10)&amp;CHAR(10)&amp;"INVALID QUALITY AUDIT DETAILS"&amp;CHAR(10)&amp;"Validation: Invalid"&amp;CHAR(10)&amp;"Invalid Reason: "&amp;$P1297&amp;CHAR(10)&amp;"Expected Resolution Code: "&amp;$Q1297&amp;CHAR(10)&amp;"Remarks: "&amp;LEFT($R1297,600)&amp;CHAR(10)&amp;CHAR(10)&amp;"This is an automated notification from HP Mainstream EQMS."),"✉ Open Email Draft"),"")</f>
        <v/>
      </c>
    </row>
    <row r="1298">
      <c r="A1298" s="25">
        <f>IF($C1298="","","AUD-2026-"&amp;TEXT(ROW()-1,"000000"))</f>
        <v/>
      </c>
      <c r="B1298" s="26" t="n"/>
      <c r="C1298" s="27" t="n"/>
      <c r="D1298" s="25">
        <f>IF($C1298="","",IFERROR(IF(INDEX(Roster!$A:$A,MATCH($C1298,Roster!$B:$B,0))="","",INDEX(Roster!$A:$A,MATCH($C1298,Roster!$B:$B,0))&amp;""),"—"))</f>
        <v/>
      </c>
      <c r="E1298" s="25">
        <f>IF($C1298="","",IFERROR(IF(INDEX(Roster!$C:$C,MATCH($C1298,Roster!$B:$B,0))="","",INDEX(Roster!$C:$C,MATCH($C1298,Roster!$B:$B,0))&amp;""),"—"))</f>
        <v/>
      </c>
      <c r="F1298" s="25">
        <f>IF($C1298="","",IFERROR(IF(INDEX(Roster!$D:$D,MATCH($C1298,Roster!$B:$B,0))="","",INDEX(Roster!$D:$D,MATCH($C1298,Roster!$B:$B,0))&amp;""),"—"))</f>
        <v/>
      </c>
      <c r="G1298" s="25">
        <f>IF($C1298="","",IFERROR(IF(INDEX(Roster!$E:$E,MATCH($C1298,Roster!$B:$B,0))="","",INDEX(Roster!$E:$E,MATCH($C1298,Roster!$B:$B,0))&amp;""),"—"))</f>
        <v/>
      </c>
      <c r="H1298" s="25">
        <f>IF($C1298="","",IFERROR(IF(INDEX(Roster!$F:$F,MATCH($C1298,Roster!$B:$B,0))="","",INDEX(Roster!$F:$F,MATCH($C1298,Roster!$B:$B,0))&amp;""),"—"))</f>
        <v/>
      </c>
      <c r="I1298" s="25">
        <f>IF($C1298="","",IFERROR(IF(INDEX(Roster!$G:$G,MATCH($C1298,Roster!$B:$B,0))="","",INDEX(Roster!$G:$G,MATCH($C1298,Roster!$B:$B,0))&amp;""),"—"))</f>
        <v/>
      </c>
      <c r="J1298" s="25">
        <f>IF($C1298="","",IFERROR(IF(INDEX(Roster!$I:$I,MATCH($C1298,Roster!$B:$B,0))="","",INDEX(Roster!$I:$I,MATCH($C1298,Roster!$B:$B,0))&amp;""),"—"))</f>
        <v/>
      </c>
      <c r="K1298">
        <f>IF($C1298="","",IFERROR(IF(INDEX(Roster!$J:$J,MATCH($C1298,Roster!$B:$B,0))="","",INDEX(Roster!$J:$J,MATCH($C1298,Roster!$B:$B,0))&amp;""),"—"))</f>
        <v/>
      </c>
      <c r="L1298">
        <f>IF($C1298="","",IFERROR(IF(INDEX(Roster!$K:$K,MATCH($C1298,Roster!$B:$B,0))="","",INDEX(Roster!$K:$K,MATCH($C1298,Roster!$B:$B,0))&amp;""),"—"))</f>
        <v/>
      </c>
      <c r="M1298" s="27" t="n"/>
      <c r="N1298" s="27" t="n"/>
      <c r="O1298" s="25">
        <f>IF($C1298="","",IF($P1298="","—",IF($P1298="Valid (Pass)","Valid","Invalid")))</f>
        <v/>
      </c>
      <c r="P1298" s="27" t="n"/>
      <c r="Q1298" s="27" t="n"/>
      <c r="R1298" s="27" t="n"/>
      <c r="S1298" s="27" t="n"/>
      <c r="T1298" s="25">
        <f>IF($C1298="","",IF(OR(ISNUMBER(SEARCH("quick case",$P1298)),ISNUMBER(SEARCH("quick case",$Q1298))),"Yes","No"))</f>
        <v/>
      </c>
      <c r="U1298" s="25">
        <f>IF($O1298="Invalid",HYPERLINK("mailto:"&amp;$G1298&amp;";"&amp;$I1298&amp;"?cc="&amp;Lists!$E$2&amp;"&amp;subject="&amp;_xlfn.ENCODEURL("[INVALID] Quality audit monitoring completed for "&amp;UPPER($C1298))&amp;"&amp;body="&amp;_xlfn.ENCODEURL("Hi "&amp;$F1298&amp;","&amp;CHAR(10)&amp;"Good day!"&amp;CHAR(10)&amp;CHAR(10)&amp;"A quality monitoring audit has been completed for "&amp;$C1298&amp;"."&amp;CHAR(10)&amp;CHAR(10)&amp;"QUALITY AUDIT DETAILS"&amp;CHAR(10)&amp;"Agent Name: "&amp;$C1298&amp;" (EID "&amp;$D1298&amp;")"&amp;CHAR(10)&amp;"Audit Date: "&amp;TEXT($B1298,"yyyy-mm-dd")&amp;CHAR(10)&amp;"Team Leader: "&amp;$F1298&amp;CHAR(10)&amp;"Case Number: "&amp;$M1298&amp;CHAR(10)&amp;"Transaction ID: "&amp;$N1298&amp;CHAR(10)&amp;"Channel / LOB: "&amp;$K1298&amp;" / "&amp;$L1298&amp;CHAR(10)&amp;"Evaluator: "&amp;$S1298&amp;CHAR(10)&amp;CHAR(10)&amp;"INVALID QUALITY AUDIT DETAILS"&amp;CHAR(10)&amp;"Validation: Invalid"&amp;CHAR(10)&amp;"Invalid Reason: "&amp;$P1298&amp;CHAR(10)&amp;"Expected Resolution Code: "&amp;$Q1298&amp;CHAR(10)&amp;"Remarks: "&amp;LEFT($R1298,600)&amp;CHAR(10)&amp;CHAR(10)&amp;"This is an automated notification from HP Mainstream EQMS."),"✉ Open Email Draft"),"")</f>
        <v/>
      </c>
    </row>
    <row r="1299">
      <c r="A1299" s="25">
        <f>IF($C1299="","","AUD-2026-"&amp;TEXT(ROW()-1,"000000"))</f>
        <v/>
      </c>
      <c r="B1299" s="26" t="n"/>
      <c r="C1299" s="27" t="n"/>
      <c r="D1299" s="25">
        <f>IF($C1299="","",IFERROR(IF(INDEX(Roster!$A:$A,MATCH($C1299,Roster!$B:$B,0))="","",INDEX(Roster!$A:$A,MATCH($C1299,Roster!$B:$B,0))&amp;""),"—"))</f>
        <v/>
      </c>
      <c r="E1299" s="25">
        <f>IF($C1299="","",IFERROR(IF(INDEX(Roster!$C:$C,MATCH($C1299,Roster!$B:$B,0))="","",INDEX(Roster!$C:$C,MATCH($C1299,Roster!$B:$B,0))&amp;""),"—"))</f>
        <v/>
      </c>
      <c r="F1299" s="25">
        <f>IF($C1299="","",IFERROR(IF(INDEX(Roster!$D:$D,MATCH($C1299,Roster!$B:$B,0))="","",INDEX(Roster!$D:$D,MATCH($C1299,Roster!$B:$B,0))&amp;""),"—"))</f>
        <v/>
      </c>
      <c r="G1299" s="25">
        <f>IF($C1299="","",IFERROR(IF(INDEX(Roster!$E:$E,MATCH($C1299,Roster!$B:$B,0))="","",INDEX(Roster!$E:$E,MATCH($C1299,Roster!$B:$B,0))&amp;""),"—"))</f>
        <v/>
      </c>
      <c r="H1299" s="25">
        <f>IF($C1299="","",IFERROR(IF(INDEX(Roster!$F:$F,MATCH($C1299,Roster!$B:$B,0))="","",INDEX(Roster!$F:$F,MATCH($C1299,Roster!$B:$B,0))&amp;""),"—"))</f>
        <v/>
      </c>
      <c r="I1299" s="25">
        <f>IF($C1299="","",IFERROR(IF(INDEX(Roster!$G:$G,MATCH($C1299,Roster!$B:$B,0))="","",INDEX(Roster!$G:$G,MATCH($C1299,Roster!$B:$B,0))&amp;""),"—"))</f>
        <v/>
      </c>
      <c r="J1299" s="25">
        <f>IF($C1299="","",IFERROR(IF(INDEX(Roster!$I:$I,MATCH($C1299,Roster!$B:$B,0))="","",INDEX(Roster!$I:$I,MATCH($C1299,Roster!$B:$B,0))&amp;""),"—"))</f>
        <v/>
      </c>
      <c r="K1299">
        <f>IF($C1299="","",IFERROR(IF(INDEX(Roster!$J:$J,MATCH($C1299,Roster!$B:$B,0))="","",INDEX(Roster!$J:$J,MATCH($C1299,Roster!$B:$B,0))&amp;""),"—"))</f>
        <v/>
      </c>
      <c r="L1299">
        <f>IF($C1299="","",IFERROR(IF(INDEX(Roster!$K:$K,MATCH($C1299,Roster!$B:$B,0))="","",INDEX(Roster!$K:$K,MATCH($C1299,Roster!$B:$B,0))&amp;""),"—"))</f>
        <v/>
      </c>
      <c r="M1299" s="27" t="n"/>
      <c r="N1299" s="27" t="n"/>
      <c r="O1299" s="25">
        <f>IF($C1299="","",IF($P1299="","—",IF($P1299="Valid (Pass)","Valid","Invalid")))</f>
        <v/>
      </c>
      <c r="P1299" s="27" t="n"/>
      <c r="Q1299" s="27" t="n"/>
      <c r="R1299" s="27" t="n"/>
      <c r="S1299" s="27" t="n"/>
      <c r="T1299" s="25">
        <f>IF($C1299="","",IF(OR(ISNUMBER(SEARCH("quick case",$P1299)),ISNUMBER(SEARCH("quick case",$Q1299))),"Yes","No"))</f>
        <v/>
      </c>
      <c r="U1299" s="25">
        <f>IF($O1299="Invalid",HYPERLINK("mailto:"&amp;$G1299&amp;";"&amp;$I1299&amp;"?cc="&amp;Lists!$E$2&amp;"&amp;subject="&amp;_xlfn.ENCODEURL("[INVALID] Quality audit monitoring completed for "&amp;UPPER($C1299))&amp;"&amp;body="&amp;_xlfn.ENCODEURL("Hi "&amp;$F1299&amp;","&amp;CHAR(10)&amp;"Good day!"&amp;CHAR(10)&amp;CHAR(10)&amp;"A quality monitoring audit has been completed for "&amp;$C1299&amp;"."&amp;CHAR(10)&amp;CHAR(10)&amp;"QUALITY AUDIT DETAILS"&amp;CHAR(10)&amp;"Agent Name: "&amp;$C1299&amp;" (EID "&amp;$D1299&amp;")"&amp;CHAR(10)&amp;"Audit Date: "&amp;TEXT($B1299,"yyyy-mm-dd")&amp;CHAR(10)&amp;"Team Leader: "&amp;$F1299&amp;CHAR(10)&amp;"Case Number: "&amp;$M1299&amp;CHAR(10)&amp;"Transaction ID: "&amp;$N1299&amp;CHAR(10)&amp;"Channel / LOB: "&amp;$K1299&amp;" / "&amp;$L1299&amp;CHAR(10)&amp;"Evaluator: "&amp;$S1299&amp;CHAR(10)&amp;CHAR(10)&amp;"INVALID QUALITY AUDIT DETAILS"&amp;CHAR(10)&amp;"Validation: Invalid"&amp;CHAR(10)&amp;"Invalid Reason: "&amp;$P1299&amp;CHAR(10)&amp;"Expected Resolution Code: "&amp;$Q1299&amp;CHAR(10)&amp;"Remarks: "&amp;LEFT($R1299,600)&amp;CHAR(10)&amp;CHAR(10)&amp;"This is an automated notification from HP Mainstream EQMS."),"✉ Open Email Draft"),"")</f>
        <v/>
      </c>
    </row>
    <row r="1300">
      <c r="A1300" s="25">
        <f>IF($C1300="","","AUD-2026-"&amp;TEXT(ROW()-1,"000000"))</f>
        <v/>
      </c>
      <c r="B1300" s="26" t="n"/>
      <c r="C1300" s="27" t="n"/>
      <c r="D1300" s="25">
        <f>IF($C1300="","",IFERROR(IF(INDEX(Roster!$A:$A,MATCH($C1300,Roster!$B:$B,0))="","",INDEX(Roster!$A:$A,MATCH($C1300,Roster!$B:$B,0))&amp;""),"—"))</f>
        <v/>
      </c>
      <c r="E1300" s="25">
        <f>IF($C1300="","",IFERROR(IF(INDEX(Roster!$C:$C,MATCH($C1300,Roster!$B:$B,0))="","",INDEX(Roster!$C:$C,MATCH($C1300,Roster!$B:$B,0))&amp;""),"—"))</f>
        <v/>
      </c>
      <c r="F1300" s="25">
        <f>IF($C1300="","",IFERROR(IF(INDEX(Roster!$D:$D,MATCH($C1300,Roster!$B:$B,0))="","",INDEX(Roster!$D:$D,MATCH($C1300,Roster!$B:$B,0))&amp;""),"—"))</f>
        <v/>
      </c>
      <c r="G1300" s="25">
        <f>IF($C1300="","",IFERROR(IF(INDEX(Roster!$E:$E,MATCH($C1300,Roster!$B:$B,0))="","",INDEX(Roster!$E:$E,MATCH($C1300,Roster!$B:$B,0))&amp;""),"—"))</f>
        <v/>
      </c>
      <c r="H1300" s="25">
        <f>IF($C1300="","",IFERROR(IF(INDEX(Roster!$F:$F,MATCH($C1300,Roster!$B:$B,0))="","",INDEX(Roster!$F:$F,MATCH($C1300,Roster!$B:$B,0))&amp;""),"—"))</f>
        <v/>
      </c>
      <c r="I1300" s="25">
        <f>IF($C1300="","",IFERROR(IF(INDEX(Roster!$G:$G,MATCH($C1300,Roster!$B:$B,0))="","",INDEX(Roster!$G:$G,MATCH($C1300,Roster!$B:$B,0))&amp;""),"—"))</f>
        <v/>
      </c>
      <c r="J1300" s="25">
        <f>IF($C1300="","",IFERROR(IF(INDEX(Roster!$I:$I,MATCH($C1300,Roster!$B:$B,0))="","",INDEX(Roster!$I:$I,MATCH($C1300,Roster!$B:$B,0))&amp;""),"—"))</f>
        <v/>
      </c>
      <c r="K1300">
        <f>IF($C1300="","",IFERROR(IF(INDEX(Roster!$J:$J,MATCH($C1300,Roster!$B:$B,0))="","",INDEX(Roster!$J:$J,MATCH($C1300,Roster!$B:$B,0))&amp;""),"—"))</f>
        <v/>
      </c>
      <c r="L1300">
        <f>IF($C1300="","",IFERROR(IF(INDEX(Roster!$K:$K,MATCH($C1300,Roster!$B:$B,0))="","",INDEX(Roster!$K:$K,MATCH($C1300,Roster!$B:$B,0))&amp;""),"—"))</f>
        <v/>
      </c>
      <c r="M1300" s="27" t="n"/>
      <c r="N1300" s="27" t="n"/>
      <c r="O1300" s="25">
        <f>IF($C1300="","",IF($P1300="","—",IF($P1300="Valid (Pass)","Valid","Invalid")))</f>
        <v/>
      </c>
      <c r="P1300" s="27" t="n"/>
      <c r="Q1300" s="27" t="n"/>
      <c r="R1300" s="27" t="n"/>
      <c r="S1300" s="27" t="n"/>
      <c r="T1300" s="25">
        <f>IF($C1300="","",IF(OR(ISNUMBER(SEARCH("quick case",$P1300)),ISNUMBER(SEARCH("quick case",$Q1300))),"Yes","No"))</f>
        <v/>
      </c>
      <c r="U1300" s="25">
        <f>IF($O1300="Invalid",HYPERLINK("mailto:"&amp;$G1300&amp;";"&amp;$I1300&amp;"?cc="&amp;Lists!$E$2&amp;"&amp;subject="&amp;_xlfn.ENCODEURL("[INVALID] Quality audit monitoring completed for "&amp;UPPER($C1300))&amp;"&amp;body="&amp;_xlfn.ENCODEURL("Hi "&amp;$F1300&amp;","&amp;CHAR(10)&amp;"Good day!"&amp;CHAR(10)&amp;CHAR(10)&amp;"A quality monitoring audit has been completed for "&amp;$C1300&amp;"."&amp;CHAR(10)&amp;CHAR(10)&amp;"QUALITY AUDIT DETAILS"&amp;CHAR(10)&amp;"Agent Name: "&amp;$C1300&amp;" (EID "&amp;$D1300&amp;")"&amp;CHAR(10)&amp;"Audit Date: "&amp;TEXT($B1300,"yyyy-mm-dd")&amp;CHAR(10)&amp;"Team Leader: "&amp;$F1300&amp;CHAR(10)&amp;"Case Number: "&amp;$M1300&amp;CHAR(10)&amp;"Transaction ID: "&amp;$N1300&amp;CHAR(10)&amp;"Channel / LOB: "&amp;$K1300&amp;" / "&amp;$L1300&amp;CHAR(10)&amp;"Evaluator: "&amp;$S1300&amp;CHAR(10)&amp;CHAR(10)&amp;"INVALID QUALITY AUDIT DETAILS"&amp;CHAR(10)&amp;"Validation: Invalid"&amp;CHAR(10)&amp;"Invalid Reason: "&amp;$P1300&amp;CHAR(10)&amp;"Expected Resolution Code: "&amp;$Q1300&amp;CHAR(10)&amp;"Remarks: "&amp;LEFT($R1300,600)&amp;CHAR(10)&amp;CHAR(10)&amp;"This is an automated notification from HP Mainstream EQMS."),"✉ Open Email Draft"),"")</f>
        <v/>
      </c>
    </row>
    <row r="1301">
      <c r="A1301" s="25">
        <f>IF($C1301="","","AUD-2026-"&amp;TEXT(ROW()-1,"000000"))</f>
        <v/>
      </c>
      <c r="B1301" s="26" t="n"/>
      <c r="C1301" s="27" t="n"/>
      <c r="D1301" s="25">
        <f>IF($C1301="","",IFERROR(IF(INDEX(Roster!$A:$A,MATCH($C1301,Roster!$B:$B,0))="","",INDEX(Roster!$A:$A,MATCH($C1301,Roster!$B:$B,0))&amp;""),"—"))</f>
        <v/>
      </c>
      <c r="E1301" s="25">
        <f>IF($C1301="","",IFERROR(IF(INDEX(Roster!$C:$C,MATCH($C1301,Roster!$B:$B,0))="","",INDEX(Roster!$C:$C,MATCH($C1301,Roster!$B:$B,0))&amp;""),"—"))</f>
        <v/>
      </c>
      <c r="F1301" s="25">
        <f>IF($C1301="","",IFERROR(IF(INDEX(Roster!$D:$D,MATCH($C1301,Roster!$B:$B,0))="","",INDEX(Roster!$D:$D,MATCH($C1301,Roster!$B:$B,0))&amp;""),"—"))</f>
        <v/>
      </c>
      <c r="G1301" s="25">
        <f>IF($C1301="","",IFERROR(IF(INDEX(Roster!$E:$E,MATCH($C1301,Roster!$B:$B,0))="","",INDEX(Roster!$E:$E,MATCH($C1301,Roster!$B:$B,0))&amp;""),"—"))</f>
        <v/>
      </c>
      <c r="H1301" s="25">
        <f>IF($C1301="","",IFERROR(IF(INDEX(Roster!$F:$F,MATCH($C1301,Roster!$B:$B,0))="","",INDEX(Roster!$F:$F,MATCH($C1301,Roster!$B:$B,0))&amp;""),"—"))</f>
        <v/>
      </c>
      <c r="I1301" s="25">
        <f>IF($C1301="","",IFERROR(IF(INDEX(Roster!$G:$G,MATCH($C1301,Roster!$B:$B,0))="","",INDEX(Roster!$G:$G,MATCH($C1301,Roster!$B:$B,0))&amp;""),"—"))</f>
        <v/>
      </c>
      <c r="J1301" s="25">
        <f>IF($C1301="","",IFERROR(IF(INDEX(Roster!$I:$I,MATCH($C1301,Roster!$B:$B,0))="","",INDEX(Roster!$I:$I,MATCH($C1301,Roster!$B:$B,0))&amp;""),"—"))</f>
        <v/>
      </c>
      <c r="K1301">
        <f>IF($C1301="","",IFERROR(IF(INDEX(Roster!$J:$J,MATCH($C1301,Roster!$B:$B,0))="","",INDEX(Roster!$J:$J,MATCH($C1301,Roster!$B:$B,0))&amp;""),"—"))</f>
        <v/>
      </c>
      <c r="L1301">
        <f>IF($C1301="","",IFERROR(IF(INDEX(Roster!$K:$K,MATCH($C1301,Roster!$B:$B,0))="","",INDEX(Roster!$K:$K,MATCH($C1301,Roster!$B:$B,0))&amp;""),"—"))</f>
        <v/>
      </c>
      <c r="M1301" s="27" t="n"/>
      <c r="N1301" s="27" t="n"/>
      <c r="O1301" s="25">
        <f>IF($C1301="","",IF($P1301="","—",IF($P1301="Valid (Pass)","Valid","Invalid")))</f>
        <v/>
      </c>
      <c r="P1301" s="27" t="n"/>
      <c r="Q1301" s="27" t="n"/>
      <c r="R1301" s="27" t="n"/>
      <c r="S1301" s="27" t="n"/>
      <c r="T1301" s="25">
        <f>IF($C1301="","",IF(OR(ISNUMBER(SEARCH("quick case",$P1301)),ISNUMBER(SEARCH("quick case",$Q1301))),"Yes","No"))</f>
        <v/>
      </c>
      <c r="U1301" s="25">
        <f>IF($O1301="Invalid",HYPERLINK("mailto:"&amp;$G1301&amp;";"&amp;$I1301&amp;"?cc="&amp;Lists!$E$2&amp;"&amp;subject="&amp;_xlfn.ENCODEURL("[INVALID] Quality audit monitoring completed for "&amp;UPPER($C1301))&amp;"&amp;body="&amp;_xlfn.ENCODEURL("Hi "&amp;$F1301&amp;","&amp;CHAR(10)&amp;"Good day!"&amp;CHAR(10)&amp;CHAR(10)&amp;"A quality monitoring audit has been completed for "&amp;$C1301&amp;"."&amp;CHAR(10)&amp;CHAR(10)&amp;"QUALITY AUDIT DETAILS"&amp;CHAR(10)&amp;"Agent Name: "&amp;$C1301&amp;" (EID "&amp;$D1301&amp;")"&amp;CHAR(10)&amp;"Audit Date: "&amp;TEXT($B1301,"yyyy-mm-dd")&amp;CHAR(10)&amp;"Team Leader: "&amp;$F1301&amp;CHAR(10)&amp;"Case Number: "&amp;$M1301&amp;CHAR(10)&amp;"Transaction ID: "&amp;$N1301&amp;CHAR(10)&amp;"Channel / LOB: "&amp;$K1301&amp;" / "&amp;$L1301&amp;CHAR(10)&amp;"Evaluator: "&amp;$S1301&amp;CHAR(10)&amp;CHAR(10)&amp;"INVALID QUALITY AUDIT DETAILS"&amp;CHAR(10)&amp;"Validation: Invalid"&amp;CHAR(10)&amp;"Invalid Reason: "&amp;$P1301&amp;CHAR(10)&amp;"Expected Resolution Code: "&amp;$Q1301&amp;CHAR(10)&amp;"Remarks: "&amp;LEFT($R1301,600)&amp;CHAR(10)&amp;CHAR(10)&amp;"This is an automated notification from HP Mainstream EQMS."),"✉ Open Email Draft"),"")</f>
        <v/>
      </c>
    </row>
    <row r="1302">
      <c r="A1302" s="25">
        <f>IF($C1302="","","AUD-2026-"&amp;TEXT(ROW()-1,"000000"))</f>
        <v/>
      </c>
      <c r="B1302" s="26" t="n"/>
      <c r="C1302" s="27" t="n"/>
      <c r="D1302" s="25">
        <f>IF($C1302="","",IFERROR(IF(INDEX(Roster!$A:$A,MATCH($C1302,Roster!$B:$B,0))="","",INDEX(Roster!$A:$A,MATCH($C1302,Roster!$B:$B,0))&amp;""),"—"))</f>
        <v/>
      </c>
      <c r="E1302" s="25">
        <f>IF($C1302="","",IFERROR(IF(INDEX(Roster!$C:$C,MATCH($C1302,Roster!$B:$B,0))="","",INDEX(Roster!$C:$C,MATCH($C1302,Roster!$B:$B,0))&amp;""),"—"))</f>
        <v/>
      </c>
      <c r="F1302" s="25">
        <f>IF($C1302="","",IFERROR(IF(INDEX(Roster!$D:$D,MATCH($C1302,Roster!$B:$B,0))="","",INDEX(Roster!$D:$D,MATCH($C1302,Roster!$B:$B,0))&amp;""),"—"))</f>
        <v/>
      </c>
      <c r="G1302" s="25">
        <f>IF($C1302="","",IFERROR(IF(INDEX(Roster!$E:$E,MATCH($C1302,Roster!$B:$B,0))="","",INDEX(Roster!$E:$E,MATCH($C1302,Roster!$B:$B,0))&amp;""),"—"))</f>
        <v/>
      </c>
      <c r="H1302" s="25">
        <f>IF($C1302="","",IFERROR(IF(INDEX(Roster!$F:$F,MATCH($C1302,Roster!$B:$B,0))="","",INDEX(Roster!$F:$F,MATCH($C1302,Roster!$B:$B,0))&amp;""),"—"))</f>
        <v/>
      </c>
      <c r="I1302" s="25">
        <f>IF($C1302="","",IFERROR(IF(INDEX(Roster!$G:$G,MATCH($C1302,Roster!$B:$B,0))="","",INDEX(Roster!$G:$G,MATCH($C1302,Roster!$B:$B,0))&amp;""),"—"))</f>
        <v/>
      </c>
      <c r="J1302" s="25">
        <f>IF($C1302="","",IFERROR(IF(INDEX(Roster!$I:$I,MATCH($C1302,Roster!$B:$B,0))="","",INDEX(Roster!$I:$I,MATCH($C1302,Roster!$B:$B,0))&amp;""),"—"))</f>
        <v/>
      </c>
      <c r="K1302">
        <f>IF($C1302="","",IFERROR(IF(INDEX(Roster!$J:$J,MATCH($C1302,Roster!$B:$B,0))="","",INDEX(Roster!$J:$J,MATCH($C1302,Roster!$B:$B,0))&amp;""),"—"))</f>
        <v/>
      </c>
      <c r="L1302">
        <f>IF($C1302="","",IFERROR(IF(INDEX(Roster!$K:$K,MATCH($C1302,Roster!$B:$B,0))="","",INDEX(Roster!$K:$K,MATCH($C1302,Roster!$B:$B,0))&amp;""),"—"))</f>
        <v/>
      </c>
      <c r="M1302" s="27" t="n"/>
      <c r="N1302" s="27" t="n"/>
      <c r="O1302" s="25">
        <f>IF($C1302="","",IF($P1302="","—",IF($P1302="Valid (Pass)","Valid","Invalid")))</f>
        <v/>
      </c>
      <c r="P1302" s="27" t="n"/>
      <c r="Q1302" s="27" t="n"/>
      <c r="R1302" s="27" t="n"/>
      <c r="S1302" s="27" t="n"/>
      <c r="T1302" s="25">
        <f>IF($C1302="","",IF(OR(ISNUMBER(SEARCH("quick case",$P1302)),ISNUMBER(SEARCH("quick case",$Q1302))),"Yes","No"))</f>
        <v/>
      </c>
      <c r="U1302" s="25">
        <f>IF($O1302="Invalid",HYPERLINK("mailto:"&amp;$G1302&amp;";"&amp;$I1302&amp;"?cc="&amp;Lists!$E$2&amp;"&amp;subject="&amp;_xlfn.ENCODEURL("[INVALID] Quality audit monitoring completed for "&amp;UPPER($C1302))&amp;"&amp;body="&amp;_xlfn.ENCODEURL("Hi "&amp;$F1302&amp;","&amp;CHAR(10)&amp;"Good day!"&amp;CHAR(10)&amp;CHAR(10)&amp;"A quality monitoring audit has been completed for "&amp;$C1302&amp;"."&amp;CHAR(10)&amp;CHAR(10)&amp;"QUALITY AUDIT DETAILS"&amp;CHAR(10)&amp;"Agent Name: "&amp;$C1302&amp;" (EID "&amp;$D1302&amp;")"&amp;CHAR(10)&amp;"Audit Date: "&amp;TEXT($B1302,"yyyy-mm-dd")&amp;CHAR(10)&amp;"Team Leader: "&amp;$F1302&amp;CHAR(10)&amp;"Case Number: "&amp;$M1302&amp;CHAR(10)&amp;"Transaction ID: "&amp;$N1302&amp;CHAR(10)&amp;"Channel / LOB: "&amp;$K1302&amp;" / "&amp;$L1302&amp;CHAR(10)&amp;"Evaluator: "&amp;$S1302&amp;CHAR(10)&amp;CHAR(10)&amp;"INVALID QUALITY AUDIT DETAILS"&amp;CHAR(10)&amp;"Validation: Invalid"&amp;CHAR(10)&amp;"Invalid Reason: "&amp;$P1302&amp;CHAR(10)&amp;"Expected Resolution Code: "&amp;$Q1302&amp;CHAR(10)&amp;"Remarks: "&amp;LEFT($R1302,600)&amp;CHAR(10)&amp;CHAR(10)&amp;"This is an automated notification from HP Mainstream EQMS."),"✉ Open Email Draft"),"")</f>
        <v/>
      </c>
    </row>
    <row r="1303">
      <c r="A1303" s="25">
        <f>IF($C1303="","","AUD-2026-"&amp;TEXT(ROW()-1,"000000"))</f>
        <v/>
      </c>
      <c r="B1303" s="26" t="n"/>
      <c r="C1303" s="27" t="n"/>
      <c r="D1303" s="25">
        <f>IF($C1303="","",IFERROR(IF(INDEX(Roster!$A:$A,MATCH($C1303,Roster!$B:$B,0))="","",INDEX(Roster!$A:$A,MATCH($C1303,Roster!$B:$B,0))&amp;""),"—"))</f>
        <v/>
      </c>
      <c r="E1303" s="25">
        <f>IF($C1303="","",IFERROR(IF(INDEX(Roster!$C:$C,MATCH($C1303,Roster!$B:$B,0))="","",INDEX(Roster!$C:$C,MATCH($C1303,Roster!$B:$B,0))&amp;""),"—"))</f>
        <v/>
      </c>
      <c r="F1303" s="25">
        <f>IF($C1303="","",IFERROR(IF(INDEX(Roster!$D:$D,MATCH($C1303,Roster!$B:$B,0))="","",INDEX(Roster!$D:$D,MATCH($C1303,Roster!$B:$B,0))&amp;""),"—"))</f>
        <v/>
      </c>
      <c r="G1303" s="25">
        <f>IF($C1303="","",IFERROR(IF(INDEX(Roster!$E:$E,MATCH($C1303,Roster!$B:$B,0))="","",INDEX(Roster!$E:$E,MATCH($C1303,Roster!$B:$B,0))&amp;""),"—"))</f>
        <v/>
      </c>
      <c r="H1303" s="25">
        <f>IF($C1303="","",IFERROR(IF(INDEX(Roster!$F:$F,MATCH($C1303,Roster!$B:$B,0))="","",INDEX(Roster!$F:$F,MATCH($C1303,Roster!$B:$B,0))&amp;""),"—"))</f>
        <v/>
      </c>
      <c r="I1303" s="25">
        <f>IF($C1303="","",IFERROR(IF(INDEX(Roster!$G:$G,MATCH($C1303,Roster!$B:$B,0))="","",INDEX(Roster!$G:$G,MATCH($C1303,Roster!$B:$B,0))&amp;""),"—"))</f>
        <v/>
      </c>
      <c r="J1303" s="25">
        <f>IF($C1303="","",IFERROR(IF(INDEX(Roster!$I:$I,MATCH($C1303,Roster!$B:$B,0))="","",INDEX(Roster!$I:$I,MATCH($C1303,Roster!$B:$B,0))&amp;""),"—"))</f>
        <v/>
      </c>
      <c r="K1303">
        <f>IF($C1303="","",IFERROR(IF(INDEX(Roster!$J:$J,MATCH($C1303,Roster!$B:$B,0))="","",INDEX(Roster!$J:$J,MATCH($C1303,Roster!$B:$B,0))&amp;""),"—"))</f>
        <v/>
      </c>
      <c r="L1303">
        <f>IF($C1303="","",IFERROR(IF(INDEX(Roster!$K:$K,MATCH($C1303,Roster!$B:$B,0))="","",INDEX(Roster!$K:$K,MATCH($C1303,Roster!$B:$B,0))&amp;""),"—"))</f>
        <v/>
      </c>
      <c r="M1303" s="27" t="n"/>
      <c r="N1303" s="27" t="n"/>
      <c r="O1303" s="25">
        <f>IF($C1303="","",IF($P1303="","—",IF($P1303="Valid (Pass)","Valid","Invalid")))</f>
        <v/>
      </c>
      <c r="P1303" s="27" t="n"/>
      <c r="Q1303" s="27" t="n"/>
      <c r="R1303" s="27" t="n"/>
      <c r="S1303" s="27" t="n"/>
      <c r="T1303" s="25">
        <f>IF($C1303="","",IF(OR(ISNUMBER(SEARCH("quick case",$P1303)),ISNUMBER(SEARCH("quick case",$Q1303))),"Yes","No"))</f>
        <v/>
      </c>
      <c r="U1303" s="25">
        <f>IF($O1303="Invalid",HYPERLINK("mailto:"&amp;$G1303&amp;";"&amp;$I1303&amp;"?cc="&amp;Lists!$E$2&amp;"&amp;subject="&amp;_xlfn.ENCODEURL("[INVALID] Quality audit monitoring completed for "&amp;UPPER($C1303))&amp;"&amp;body="&amp;_xlfn.ENCODEURL("Hi "&amp;$F1303&amp;","&amp;CHAR(10)&amp;"Good day!"&amp;CHAR(10)&amp;CHAR(10)&amp;"A quality monitoring audit has been completed for "&amp;$C1303&amp;"."&amp;CHAR(10)&amp;CHAR(10)&amp;"QUALITY AUDIT DETAILS"&amp;CHAR(10)&amp;"Agent Name: "&amp;$C1303&amp;" (EID "&amp;$D1303&amp;")"&amp;CHAR(10)&amp;"Audit Date: "&amp;TEXT($B1303,"yyyy-mm-dd")&amp;CHAR(10)&amp;"Team Leader: "&amp;$F1303&amp;CHAR(10)&amp;"Case Number: "&amp;$M1303&amp;CHAR(10)&amp;"Transaction ID: "&amp;$N1303&amp;CHAR(10)&amp;"Channel / LOB: "&amp;$K1303&amp;" / "&amp;$L1303&amp;CHAR(10)&amp;"Evaluator: "&amp;$S1303&amp;CHAR(10)&amp;CHAR(10)&amp;"INVALID QUALITY AUDIT DETAILS"&amp;CHAR(10)&amp;"Validation: Invalid"&amp;CHAR(10)&amp;"Invalid Reason: "&amp;$P1303&amp;CHAR(10)&amp;"Expected Resolution Code: "&amp;$Q1303&amp;CHAR(10)&amp;"Remarks: "&amp;LEFT($R1303,600)&amp;CHAR(10)&amp;CHAR(10)&amp;"This is an automated notification from HP Mainstream EQMS."),"✉ Open Email Draft"),"")</f>
        <v/>
      </c>
    </row>
    <row r="1304">
      <c r="A1304" s="25">
        <f>IF($C1304="","","AUD-2026-"&amp;TEXT(ROW()-1,"000000"))</f>
        <v/>
      </c>
      <c r="B1304" s="26" t="n"/>
      <c r="C1304" s="27" t="n"/>
      <c r="D1304" s="25">
        <f>IF($C1304="","",IFERROR(IF(INDEX(Roster!$A:$A,MATCH($C1304,Roster!$B:$B,0))="","",INDEX(Roster!$A:$A,MATCH($C1304,Roster!$B:$B,0))&amp;""),"—"))</f>
        <v/>
      </c>
      <c r="E1304" s="25">
        <f>IF($C1304="","",IFERROR(IF(INDEX(Roster!$C:$C,MATCH($C1304,Roster!$B:$B,0))="","",INDEX(Roster!$C:$C,MATCH($C1304,Roster!$B:$B,0))&amp;""),"—"))</f>
        <v/>
      </c>
      <c r="F1304" s="25">
        <f>IF($C1304="","",IFERROR(IF(INDEX(Roster!$D:$D,MATCH($C1304,Roster!$B:$B,0))="","",INDEX(Roster!$D:$D,MATCH($C1304,Roster!$B:$B,0))&amp;""),"—"))</f>
        <v/>
      </c>
      <c r="G1304" s="25">
        <f>IF($C1304="","",IFERROR(IF(INDEX(Roster!$E:$E,MATCH($C1304,Roster!$B:$B,0))="","",INDEX(Roster!$E:$E,MATCH($C1304,Roster!$B:$B,0))&amp;""),"—"))</f>
        <v/>
      </c>
      <c r="H1304" s="25">
        <f>IF($C1304="","",IFERROR(IF(INDEX(Roster!$F:$F,MATCH($C1304,Roster!$B:$B,0))="","",INDEX(Roster!$F:$F,MATCH($C1304,Roster!$B:$B,0))&amp;""),"—"))</f>
        <v/>
      </c>
      <c r="I1304" s="25">
        <f>IF($C1304="","",IFERROR(IF(INDEX(Roster!$G:$G,MATCH($C1304,Roster!$B:$B,0))="","",INDEX(Roster!$G:$G,MATCH($C1304,Roster!$B:$B,0))&amp;""),"—"))</f>
        <v/>
      </c>
      <c r="J1304" s="25">
        <f>IF($C1304="","",IFERROR(IF(INDEX(Roster!$I:$I,MATCH($C1304,Roster!$B:$B,0))="","",INDEX(Roster!$I:$I,MATCH($C1304,Roster!$B:$B,0))&amp;""),"—"))</f>
        <v/>
      </c>
      <c r="K1304">
        <f>IF($C1304="","",IFERROR(IF(INDEX(Roster!$J:$J,MATCH($C1304,Roster!$B:$B,0))="","",INDEX(Roster!$J:$J,MATCH($C1304,Roster!$B:$B,0))&amp;""),"—"))</f>
        <v/>
      </c>
      <c r="L1304">
        <f>IF($C1304="","",IFERROR(IF(INDEX(Roster!$K:$K,MATCH($C1304,Roster!$B:$B,0))="","",INDEX(Roster!$K:$K,MATCH($C1304,Roster!$B:$B,0))&amp;""),"—"))</f>
        <v/>
      </c>
      <c r="M1304" s="27" t="n"/>
      <c r="N1304" s="27" t="n"/>
      <c r="O1304" s="25">
        <f>IF($C1304="","",IF($P1304="","—",IF($P1304="Valid (Pass)","Valid","Invalid")))</f>
        <v/>
      </c>
      <c r="P1304" s="27" t="n"/>
      <c r="Q1304" s="27" t="n"/>
      <c r="R1304" s="27" t="n"/>
      <c r="S1304" s="27" t="n"/>
      <c r="T1304" s="25">
        <f>IF($C1304="","",IF(OR(ISNUMBER(SEARCH("quick case",$P1304)),ISNUMBER(SEARCH("quick case",$Q1304))),"Yes","No"))</f>
        <v/>
      </c>
      <c r="U1304" s="25">
        <f>IF($O1304="Invalid",HYPERLINK("mailto:"&amp;$G1304&amp;";"&amp;$I1304&amp;"?cc="&amp;Lists!$E$2&amp;"&amp;subject="&amp;_xlfn.ENCODEURL("[INVALID] Quality audit monitoring completed for "&amp;UPPER($C1304))&amp;"&amp;body="&amp;_xlfn.ENCODEURL("Hi "&amp;$F1304&amp;","&amp;CHAR(10)&amp;"Good day!"&amp;CHAR(10)&amp;CHAR(10)&amp;"A quality monitoring audit has been completed for "&amp;$C1304&amp;"."&amp;CHAR(10)&amp;CHAR(10)&amp;"QUALITY AUDIT DETAILS"&amp;CHAR(10)&amp;"Agent Name: "&amp;$C1304&amp;" (EID "&amp;$D1304&amp;")"&amp;CHAR(10)&amp;"Audit Date: "&amp;TEXT($B1304,"yyyy-mm-dd")&amp;CHAR(10)&amp;"Team Leader: "&amp;$F1304&amp;CHAR(10)&amp;"Case Number: "&amp;$M1304&amp;CHAR(10)&amp;"Transaction ID: "&amp;$N1304&amp;CHAR(10)&amp;"Channel / LOB: "&amp;$K1304&amp;" / "&amp;$L1304&amp;CHAR(10)&amp;"Evaluator: "&amp;$S1304&amp;CHAR(10)&amp;CHAR(10)&amp;"INVALID QUALITY AUDIT DETAILS"&amp;CHAR(10)&amp;"Validation: Invalid"&amp;CHAR(10)&amp;"Invalid Reason: "&amp;$P1304&amp;CHAR(10)&amp;"Expected Resolution Code: "&amp;$Q1304&amp;CHAR(10)&amp;"Remarks: "&amp;LEFT($R1304,600)&amp;CHAR(10)&amp;CHAR(10)&amp;"This is an automated notification from HP Mainstream EQMS."),"✉ Open Email Draft"),"")</f>
        <v/>
      </c>
    </row>
    <row r="1305">
      <c r="A1305" s="25">
        <f>IF($C1305="","","AUD-2026-"&amp;TEXT(ROW()-1,"000000"))</f>
        <v/>
      </c>
      <c r="B1305" s="26" t="n"/>
      <c r="C1305" s="27" t="n"/>
      <c r="D1305" s="25">
        <f>IF($C1305="","",IFERROR(IF(INDEX(Roster!$A:$A,MATCH($C1305,Roster!$B:$B,0))="","",INDEX(Roster!$A:$A,MATCH($C1305,Roster!$B:$B,0))&amp;""),"—"))</f>
        <v/>
      </c>
      <c r="E1305" s="25">
        <f>IF($C1305="","",IFERROR(IF(INDEX(Roster!$C:$C,MATCH($C1305,Roster!$B:$B,0))="","",INDEX(Roster!$C:$C,MATCH($C1305,Roster!$B:$B,0))&amp;""),"—"))</f>
        <v/>
      </c>
      <c r="F1305" s="25">
        <f>IF($C1305="","",IFERROR(IF(INDEX(Roster!$D:$D,MATCH($C1305,Roster!$B:$B,0))="","",INDEX(Roster!$D:$D,MATCH($C1305,Roster!$B:$B,0))&amp;""),"—"))</f>
        <v/>
      </c>
      <c r="G1305" s="25">
        <f>IF($C1305="","",IFERROR(IF(INDEX(Roster!$E:$E,MATCH($C1305,Roster!$B:$B,0))="","",INDEX(Roster!$E:$E,MATCH($C1305,Roster!$B:$B,0))&amp;""),"—"))</f>
        <v/>
      </c>
      <c r="H1305" s="25">
        <f>IF($C1305="","",IFERROR(IF(INDEX(Roster!$F:$F,MATCH($C1305,Roster!$B:$B,0))="","",INDEX(Roster!$F:$F,MATCH($C1305,Roster!$B:$B,0))&amp;""),"—"))</f>
        <v/>
      </c>
      <c r="I1305" s="25">
        <f>IF($C1305="","",IFERROR(IF(INDEX(Roster!$G:$G,MATCH($C1305,Roster!$B:$B,0))="","",INDEX(Roster!$G:$G,MATCH($C1305,Roster!$B:$B,0))&amp;""),"—"))</f>
        <v/>
      </c>
      <c r="J1305" s="25">
        <f>IF($C1305="","",IFERROR(IF(INDEX(Roster!$I:$I,MATCH($C1305,Roster!$B:$B,0))="","",INDEX(Roster!$I:$I,MATCH($C1305,Roster!$B:$B,0))&amp;""),"—"))</f>
        <v/>
      </c>
      <c r="K1305">
        <f>IF($C1305="","",IFERROR(IF(INDEX(Roster!$J:$J,MATCH($C1305,Roster!$B:$B,0))="","",INDEX(Roster!$J:$J,MATCH($C1305,Roster!$B:$B,0))&amp;""),"—"))</f>
        <v/>
      </c>
      <c r="L1305">
        <f>IF($C1305="","",IFERROR(IF(INDEX(Roster!$K:$K,MATCH($C1305,Roster!$B:$B,0))="","",INDEX(Roster!$K:$K,MATCH($C1305,Roster!$B:$B,0))&amp;""),"—"))</f>
        <v/>
      </c>
      <c r="M1305" s="27" t="n"/>
      <c r="N1305" s="27" t="n"/>
      <c r="O1305" s="25">
        <f>IF($C1305="","",IF($P1305="","—",IF($P1305="Valid (Pass)","Valid","Invalid")))</f>
        <v/>
      </c>
      <c r="P1305" s="27" t="n"/>
      <c r="Q1305" s="27" t="n"/>
      <c r="R1305" s="27" t="n"/>
      <c r="S1305" s="27" t="n"/>
      <c r="T1305" s="25">
        <f>IF($C1305="","",IF(OR(ISNUMBER(SEARCH("quick case",$P1305)),ISNUMBER(SEARCH("quick case",$Q1305))),"Yes","No"))</f>
        <v/>
      </c>
      <c r="U1305" s="25">
        <f>IF($O1305="Invalid",HYPERLINK("mailto:"&amp;$G1305&amp;";"&amp;$I1305&amp;"?cc="&amp;Lists!$E$2&amp;"&amp;subject="&amp;_xlfn.ENCODEURL("[INVALID] Quality audit monitoring completed for "&amp;UPPER($C1305))&amp;"&amp;body="&amp;_xlfn.ENCODEURL("Hi "&amp;$F1305&amp;","&amp;CHAR(10)&amp;"Good day!"&amp;CHAR(10)&amp;CHAR(10)&amp;"A quality monitoring audit has been completed for "&amp;$C1305&amp;"."&amp;CHAR(10)&amp;CHAR(10)&amp;"QUALITY AUDIT DETAILS"&amp;CHAR(10)&amp;"Agent Name: "&amp;$C1305&amp;" (EID "&amp;$D1305&amp;")"&amp;CHAR(10)&amp;"Audit Date: "&amp;TEXT($B1305,"yyyy-mm-dd")&amp;CHAR(10)&amp;"Team Leader: "&amp;$F1305&amp;CHAR(10)&amp;"Case Number: "&amp;$M1305&amp;CHAR(10)&amp;"Transaction ID: "&amp;$N1305&amp;CHAR(10)&amp;"Channel / LOB: "&amp;$K1305&amp;" / "&amp;$L1305&amp;CHAR(10)&amp;"Evaluator: "&amp;$S1305&amp;CHAR(10)&amp;CHAR(10)&amp;"INVALID QUALITY AUDIT DETAILS"&amp;CHAR(10)&amp;"Validation: Invalid"&amp;CHAR(10)&amp;"Invalid Reason: "&amp;$P1305&amp;CHAR(10)&amp;"Expected Resolution Code: "&amp;$Q1305&amp;CHAR(10)&amp;"Remarks: "&amp;LEFT($R1305,600)&amp;CHAR(10)&amp;CHAR(10)&amp;"This is an automated notification from HP Mainstream EQMS."),"✉ Open Email Draft"),"")</f>
        <v/>
      </c>
    </row>
    <row r="1306">
      <c r="A1306" s="25">
        <f>IF($C1306="","","AUD-2026-"&amp;TEXT(ROW()-1,"000000"))</f>
        <v/>
      </c>
      <c r="B1306" s="26" t="n"/>
      <c r="C1306" s="27" t="n"/>
      <c r="D1306" s="25">
        <f>IF($C1306="","",IFERROR(IF(INDEX(Roster!$A:$A,MATCH($C1306,Roster!$B:$B,0))="","",INDEX(Roster!$A:$A,MATCH($C1306,Roster!$B:$B,0))&amp;""),"—"))</f>
        <v/>
      </c>
      <c r="E1306" s="25">
        <f>IF($C1306="","",IFERROR(IF(INDEX(Roster!$C:$C,MATCH($C1306,Roster!$B:$B,0))="","",INDEX(Roster!$C:$C,MATCH($C1306,Roster!$B:$B,0))&amp;""),"—"))</f>
        <v/>
      </c>
      <c r="F1306" s="25">
        <f>IF($C1306="","",IFERROR(IF(INDEX(Roster!$D:$D,MATCH($C1306,Roster!$B:$B,0))="","",INDEX(Roster!$D:$D,MATCH($C1306,Roster!$B:$B,0))&amp;""),"—"))</f>
        <v/>
      </c>
      <c r="G1306" s="25">
        <f>IF($C1306="","",IFERROR(IF(INDEX(Roster!$E:$E,MATCH($C1306,Roster!$B:$B,0))="","",INDEX(Roster!$E:$E,MATCH($C1306,Roster!$B:$B,0))&amp;""),"—"))</f>
        <v/>
      </c>
      <c r="H1306" s="25">
        <f>IF($C1306="","",IFERROR(IF(INDEX(Roster!$F:$F,MATCH($C1306,Roster!$B:$B,0))="","",INDEX(Roster!$F:$F,MATCH($C1306,Roster!$B:$B,0))&amp;""),"—"))</f>
        <v/>
      </c>
      <c r="I1306" s="25">
        <f>IF($C1306="","",IFERROR(IF(INDEX(Roster!$G:$G,MATCH($C1306,Roster!$B:$B,0))="","",INDEX(Roster!$G:$G,MATCH($C1306,Roster!$B:$B,0))&amp;""),"—"))</f>
        <v/>
      </c>
      <c r="J1306" s="25">
        <f>IF($C1306="","",IFERROR(IF(INDEX(Roster!$I:$I,MATCH($C1306,Roster!$B:$B,0))="","",INDEX(Roster!$I:$I,MATCH($C1306,Roster!$B:$B,0))&amp;""),"—"))</f>
        <v/>
      </c>
      <c r="K1306">
        <f>IF($C1306="","",IFERROR(IF(INDEX(Roster!$J:$J,MATCH($C1306,Roster!$B:$B,0))="","",INDEX(Roster!$J:$J,MATCH($C1306,Roster!$B:$B,0))&amp;""),"—"))</f>
        <v/>
      </c>
      <c r="L1306">
        <f>IF($C1306="","",IFERROR(IF(INDEX(Roster!$K:$K,MATCH($C1306,Roster!$B:$B,0))="","",INDEX(Roster!$K:$K,MATCH($C1306,Roster!$B:$B,0))&amp;""),"—"))</f>
        <v/>
      </c>
      <c r="M1306" s="27" t="n"/>
      <c r="N1306" s="27" t="n"/>
      <c r="O1306" s="25">
        <f>IF($C1306="","",IF($P1306="","—",IF($P1306="Valid (Pass)","Valid","Invalid")))</f>
        <v/>
      </c>
      <c r="P1306" s="27" t="n"/>
      <c r="Q1306" s="27" t="n"/>
      <c r="R1306" s="27" t="n"/>
      <c r="S1306" s="27" t="n"/>
      <c r="T1306" s="25">
        <f>IF($C1306="","",IF(OR(ISNUMBER(SEARCH("quick case",$P1306)),ISNUMBER(SEARCH("quick case",$Q1306))),"Yes","No"))</f>
        <v/>
      </c>
      <c r="U1306" s="25">
        <f>IF($O1306="Invalid",HYPERLINK("mailto:"&amp;$G1306&amp;";"&amp;$I1306&amp;"?cc="&amp;Lists!$E$2&amp;"&amp;subject="&amp;_xlfn.ENCODEURL("[INVALID] Quality audit monitoring completed for "&amp;UPPER($C1306))&amp;"&amp;body="&amp;_xlfn.ENCODEURL("Hi "&amp;$F1306&amp;","&amp;CHAR(10)&amp;"Good day!"&amp;CHAR(10)&amp;CHAR(10)&amp;"A quality monitoring audit has been completed for "&amp;$C1306&amp;"."&amp;CHAR(10)&amp;CHAR(10)&amp;"QUALITY AUDIT DETAILS"&amp;CHAR(10)&amp;"Agent Name: "&amp;$C1306&amp;" (EID "&amp;$D1306&amp;")"&amp;CHAR(10)&amp;"Audit Date: "&amp;TEXT($B1306,"yyyy-mm-dd")&amp;CHAR(10)&amp;"Team Leader: "&amp;$F1306&amp;CHAR(10)&amp;"Case Number: "&amp;$M1306&amp;CHAR(10)&amp;"Transaction ID: "&amp;$N1306&amp;CHAR(10)&amp;"Channel / LOB: "&amp;$K1306&amp;" / "&amp;$L1306&amp;CHAR(10)&amp;"Evaluator: "&amp;$S1306&amp;CHAR(10)&amp;CHAR(10)&amp;"INVALID QUALITY AUDIT DETAILS"&amp;CHAR(10)&amp;"Validation: Invalid"&amp;CHAR(10)&amp;"Invalid Reason: "&amp;$P1306&amp;CHAR(10)&amp;"Expected Resolution Code: "&amp;$Q1306&amp;CHAR(10)&amp;"Remarks: "&amp;LEFT($R1306,600)&amp;CHAR(10)&amp;CHAR(10)&amp;"This is an automated notification from HP Mainstream EQMS."),"✉ Open Email Draft"),"")</f>
        <v/>
      </c>
    </row>
    <row r="1307">
      <c r="A1307" s="25">
        <f>IF($C1307="","","AUD-2026-"&amp;TEXT(ROW()-1,"000000"))</f>
        <v/>
      </c>
      <c r="B1307" s="26" t="n"/>
      <c r="C1307" s="27" t="n"/>
      <c r="D1307" s="25">
        <f>IF($C1307="","",IFERROR(IF(INDEX(Roster!$A:$A,MATCH($C1307,Roster!$B:$B,0))="","",INDEX(Roster!$A:$A,MATCH($C1307,Roster!$B:$B,0))&amp;""),"—"))</f>
        <v/>
      </c>
      <c r="E1307" s="25">
        <f>IF($C1307="","",IFERROR(IF(INDEX(Roster!$C:$C,MATCH($C1307,Roster!$B:$B,0))="","",INDEX(Roster!$C:$C,MATCH($C1307,Roster!$B:$B,0))&amp;""),"—"))</f>
        <v/>
      </c>
      <c r="F1307" s="25">
        <f>IF($C1307="","",IFERROR(IF(INDEX(Roster!$D:$D,MATCH($C1307,Roster!$B:$B,0))="","",INDEX(Roster!$D:$D,MATCH($C1307,Roster!$B:$B,0))&amp;""),"—"))</f>
        <v/>
      </c>
      <c r="G1307" s="25">
        <f>IF($C1307="","",IFERROR(IF(INDEX(Roster!$E:$E,MATCH($C1307,Roster!$B:$B,0))="","",INDEX(Roster!$E:$E,MATCH($C1307,Roster!$B:$B,0))&amp;""),"—"))</f>
        <v/>
      </c>
      <c r="H1307" s="25">
        <f>IF($C1307="","",IFERROR(IF(INDEX(Roster!$F:$F,MATCH($C1307,Roster!$B:$B,0))="","",INDEX(Roster!$F:$F,MATCH($C1307,Roster!$B:$B,0))&amp;""),"—"))</f>
        <v/>
      </c>
      <c r="I1307" s="25">
        <f>IF($C1307="","",IFERROR(IF(INDEX(Roster!$G:$G,MATCH($C1307,Roster!$B:$B,0))="","",INDEX(Roster!$G:$G,MATCH($C1307,Roster!$B:$B,0))&amp;""),"—"))</f>
        <v/>
      </c>
      <c r="J1307" s="25">
        <f>IF($C1307="","",IFERROR(IF(INDEX(Roster!$I:$I,MATCH($C1307,Roster!$B:$B,0))="","",INDEX(Roster!$I:$I,MATCH($C1307,Roster!$B:$B,0))&amp;""),"—"))</f>
        <v/>
      </c>
      <c r="K1307">
        <f>IF($C1307="","",IFERROR(IF(INDEX(Roster!$J:$J,MATCH($C1307,Roster!$B:$B,0))="","",INDEX(Roster!$J:$J,MATCH($C1307,Roster!$B:$B,0))&amp;""),"—"))</f>
        <v/>
      </c>
      <c r="L1307">
        <f>IF($C1307="","",IFERROR(IF(INDEX(Roster!$K:$K,MATCH($C1307,Roster!$B:$B,0))="","",INDEX(Roster!$K:$K,MATCH($C1307,Roster!$B:$B,0))&amp;""),"—"))</f>
        <v/>
      </c>
      <c r="M1307" s="27" t="n"/>
      <c r="N1307" s="27" t="n"/>
      <c r="O1307" s="25">
        <f>IF($C1307="","",IF($P1307="","—",IF($P1307="Valid (Pass)","Valid","Invalid")))</f>
        <v/>
      </c>
      <c r="P1307" s="27" t="n"/>
      <c r="Q1307" s="27" t="n"/>
      <c r="R1307" s="27" t="n"/>
      <c r="S1307" s="27" t="n"/>
      <c r="T1307" s="25">
        <f>IF($C1307="","",IF(OR(ISNUMBER(SEARCH("quick case",$P1307)),ISNUMBER(SEARCH("quick case",$Q1307))),"Yes","No"))</f>
        <v/>
      </c>
      <c r="U1307" s="25">
        <f>IF($O1307="Invalid",HYPERLINK("mailto:"&amp;$G1307&amp;";"&amp;$I1307&amp;"?cc="&amp;Lists!$E$2&amp;"&amp;subject="&amp;_xlfn.ENCODEURL("[INVALID] Quality audit monitoring completed for "&amp;UPPER($C1307))&amp;"&amp;body="&amp;_xlfn.ENCODEURL("Hi "&amp;$F1307&amp;","&amp;CHAR(10)&amp;"Good day!"&amp;CHAR(10)&amp;CHAR(10)&amp;"A quality monitoring audit has been completed for "&amp;$C1307&amp;"."&amp;CHAR(10)&amp;CHAR(10)&amp;"QUALITY AUDIT DETAILS"&amp;CHAR(10)&amp;"Agent Name: "&amp;$C1307&amp;" (EID "&amp;$D1307&amp;")"&amp;CHAR(10)&amp;"Audit Date: "&amp;TEXT($B1307,"yyyy-mm-dd")&amp;CHAR(10)&amp;"Team Leader: "&amp;$F1307&amp;CHAR(10)&amp;"Case Number: "&amp;$M1307&amp;CHAR(10)&amp;"Transaction ID: "&amp;$N1307&amp;CHAR(10)&amp;"Channel / LOB: "&amp;$K1307&amp;" / "&amp;$L1307&amp;CHAR(10)&amp;"Evaluator: "&amp;$S1307&amp;CHAR(10)&amp;CHAR(10)&amp;"INVALID QUALITY AUDIT DETAILS"&amp;CHAR(10)&amp;"Validation: Invalid"&amp;CHAR(10)&amp;"Invalid Reason: "&amp;$P1307&amp;CHAR(10)&amp;"Expected Resolution Code: "&amp;$Q1307&amp;CHAR(10)&amp;"Remarks: "&amp;LEFT($R1307,600)&amp;CHAR(10)&amp;CHAR(10)&amp;"This is an automated notification from HP Mainstream EQMS."),"✉ Open Email Draft"),"")</f>
        <v/>
      </c>
    </row>
    <row r="1308">
      <c r="A1308" s="25">
        <f>IF($C1308="","","AUD-2026-"&amp;TEXT(ROW()-1,"000000"))</f>
        <v/>
      </c>
      <c r="B1308" s="26" t="n"/>
      <c r="C1308" s="27" t="n"/>
      <c r="D1308" s="25">
        <f>IF($C1308="","",IFERROR(IF(INDEX(Roster!$A:$A,MATCH($C1308,Roster!$B:$B,0))="","",INDEX(Roster!$A:$A,MATCH($C1308,Roster!$B:$B,0))&amp;""),"—"))</f>
        <v/>
      </c>
      <c r="E1308" s="25">
        <f>IF($C1308="","",IFERROR(IF(INDEX(Roster!$C:$C,MATCH($C1308,Roster!$B:$B,0))="","",INDEX(Roster!$C:$C,MATCH($C1308,Roster!$B:$B,0))&amp;""),"—"))</f>
        <v/>
      </c>
      <c r="F1308" s="25">
        <f>IF($C1308="","",IFERROR(IF(INDEX(Roster!$D:$D,MATCH($C1308,Roster!$B:$B,0))="","",INDEX(Roster!$D:$D,MATCH($C1308,Roster!$B:$B,0))&amp;""),"—"))</f>
        <v/>
      </c>
      <c r="G1308" s="25">
        <f>IF($C1308="","",IFERROR(IF(INDEX(Roster!$E:$E,MATCH($C1308,Roster!$B:$B,0))="","",INDEX(Roster!$E:$E,MATCH($C1308,Roster!$B:$B,0))&amp;""),"—"))</f>
        <v/>
      </c>
      <c r="H1308" s="25">
        <f>IF($C1308="","",IFERROR(IF(INDEX(Roster!$F:$F,MATCH($C1308,Roster!$B:$B,0))="","",INDEX(Roster!$F:$F,MATCH($C1308,Roster!$B:$B,0))&amp;""),"—"))</f>
        <v/>
      </c>
      <c r="I1308" s="25">
        <f>IF($C1308="","",IFERROR(IF(INDEX(Roster!$G:$G,MATCH($C1308,Roster!$B:$B,0))="","",INDEX(Roster!$G:$G,MATCH($C1308,Roster!$B:$B,0))&amp;""),"—"))</f>
        <v/>
      </c>
      <c r="J1308" s="25">
        <f>IF($C1308="","",IFERROR(IF(INDEX(Roster!$I:$I,MATCH($C1308,Roster!$B:$B,0))="","",INDEX(Roster!$I:$I,MATCH($C1308,Roster!$B:$B,0))&amp;""),"—"))</f>
        <v/>
      </c>
      <c r="K1308">
        <f>IF($C1308="","",IFERROR(IF(INDEX(Roster!$J:$J,MATCH($C1308,Roster!$B:$B,0))="","",INDEX(Roster!$J:$J,MATCH($C1308,Roster!$B:$B,0))&amp;""),"—"))</f>
        <v/>
      </c>
      <c r="L1308">
        <f>IF($C1308="","",IFERROR(IF(INDEX(Roster!$K:$K,MATCH($C1308,Roster!$B:$B,0))="","",INDEX(Roster!$K:$K,MATCH($C1308,Roster!$B:$B,0))&amp;""),"—"))</f>
        <v/>
      </c>
      <c r="M1308" s="27" t="n"/>
      <c r="N1308" s="27" t="n"/>
      <c r="O1308" s="25">
        <f>IF($C1308="","",IF($P1308="","—",IF($P1308="Valid (Pass)","Valid","Invalid")))</f>
        <v/>
      </c>
      <c r="P1308" s="27" t="n"/>
      <c r="Q1308" s="27" t="n"/>
      <c r="R1308" s="27" t="n"/>
      <c r="S1308" s="27" t="n"/>
      <c r="T1308" s="25">
        <f>IF($C1308="","",IF(OR(ISNUMBER(SEARCH("quick case",$P1308)),ISNUMBER(SEARCH("quick case",$Q1308))),"Yes","No"))</f>
        <v/>
      </c>
      <c r="U1308" s="25">
        <f>IF($O1308="Invalid",HYPERLINK("mailto:"&amp;$G1308&amp;";"&amp;$I1308&amp;"?cc="&amp;Lists!$E$2&amp;"&amp;subject="&amp;_xlfn.ENCODEURL("[INVALID] Quality audit monitoring completed for "&amp;UPPER($C1308))&amp;"&amp;body="&amp;_xlfn.ENCODEURL("Hi "&amp;$F1308&amp;","&amp;CHAR(10)&amp;"Good day!"&amp;CHAR(10)&amp;CHAR(10)&amp;"A quality monitoring audit has been completed for "&amp;$C1308&amp;"."&amp;CHAR(10)&amp;CHAR(10)&amp;"QUALITY AUDIT DETAILS"&amp;CHAR(10)&amp;"Agent Name: "&amp;$C1308&amp;" (EID "&amp;$D1308&amp;")"&amp;CHAR(10)&amp;"Audit Date: "&amp;TEXT($B1308,"yyyy-mm-dd")&amp;CHAR(10)&amp;"Team Leader: "&amp;$F1308&amp;CHAR(10)&amp;"Case Number: "&amp;$M1308&amp;CHAR(10)&amp;"Transaction ID: "&amp;$N1308&amp;CHAR(10)&amp;"Channel / LOB: "&amp;$K1308&amp;" / "&amp;$L1308&amp;CHAR(10)&amp;"Evaluator: "&amp;$S1308&amp;CHAR(10)&amp;CHAR(10)&amp;"INVALID QUALITY AUDIT DETAILS"&amp;CHAR(10)&amp;"Validation: Invalid"&amp;CHAR(10)&amp;"Invalid Reason: "&amp;$P1308&amp;CHAR(10)&amp;"Expected Resolution Code: "&amp;$Q1308&amp;CHAR(10)&amp;"Remarks: "&amp;LEFT($R1308,600)&amp;CHAR(10)&amp;CHAR(10)&amp;"This is an automated notification from HP Mainstream EQMS."),"✉ Open Email Draft"),"")</f>
        <v/>
      </c>
    </row>
    <row r="1309">
      <c r="A1309" s="25">
        <f>IF($C1309="","","AUD-2026-"&amp;TEXT(ROW()-1,"000000"))</f>
        <v/>
      </c>
      <c r="B1309" s="26" t="n"/>
      <c r="C1309" s="27" t="n"/>
      <c r="D1309" s="25">
        <f>IF($C1309="","",IFERROR(IF(INDEX(Roster!$A:$A,MATCH($C1309,Roster!$B:$B,0))="","",INDEX(Roster!$A:$A,MATCH($C1309,Roster!$B:$B,0))&amp;""),"—"))</f>
        <v/>
      </c>
      <c r="E1309" s="25">
        <f>IF($C1309="","",IFERROR(IF(INDEX(Roster!$C:$C,MATCH($C1309,Roster!$B:$B,0))="","",INDEX(Roster!$C:$C,MATCH($C1309,Roster!$B:$B,0))&amp;""),"—"))</f>
        <v/>
      </c>
      <c r="F1309" s="25">
        <f>IF($C1309="","",IFERROR(IF(INDEX(Roster!$D:$D,MATCH($C1309,Roster!$B:$B,0))="","",INDEX(Roster!$D:$D,MATCH($C1309,Roster!$B:$B,0))&amp;""),"—"))</f>
        <v/>
      </c>
      <c r="G1309" s="25">
        <f>IF($C1309="","",IFERROR(IF(INDEX(Roster!$E:$E,MATCH($C1309,Roster!$B:$B,0))="","",INDEX(Roster!$E:$E,MATCH($C1309,Roster!$B:$B,0))&amp;""),"—"))</f>
        <v/>
      </c>
      <c r="H1309" s="25">
        <f>IF($C1309="","",IFERROR(IF(INDEX(Roster!$F:$F,MATCH($C1309,Roster!$B:$B,0))="","",INDEX(Roster!$F:$F,MATCH($C1309,Roster!$B:$B,0))&amp;""),"—"))</f>
        <v/>
      </c>
      <c r="I1309" s="25">
        <f>IF($C1309="","",IFERROR(IF(INDEX(Roster!$G:$G,MATCH($C1309,Roster!$B:$B,0))="","",INDEX(Roster!$G:$G,MATCH($C1309,Roster!$B:$B,0))&amp;""),"—"))</f>
        <v/>
      </c>
      <c r="J1309" s="25">
        <f>IF($C1309="","",IFERROR(IF(INDEX(Roster!$I:$I,MATCH($C1309,Roster!$B:$B,0))="","",INDEX(Roster!$I:$I,MATCH($C1309,Roster!$B:$B,0))&amp;""),"—"))</f>
        <v/>
      </c>
      <c r="K1309">
        <f>IF($C1309="","",IFERROR(IF(INDEX(Roster!$J:$J,MATCH($C1309,Roster!$B:$B,0))="","",INDEX(Roster!$J:$J,MATCH($C1309,Roster!$B:$B,0))&amp;""),"—"))</f>
        <v/>
      </c>
      <c r="L1309">
        <f>IF($C1309="","",IFERROR(IF(INDEX(Roster!$K:$K,MATCH($C1309,Roster!$B:$B,0))="","",INDEX(Roster!$K:$K,MATCH($C1309,Roster!$B:$B,0))&amp;""),"—"))</f>
        <v/>
      </c>
      <c r="M1309" s="27" t="n"/>
      <c r="N1309" s="27" t="n"/>
      <c r="O1309" s="25">
        <f>IF($C1309="","",IF($P1309="","—",IF($P1309="Valid (Pass)","Valid","Invalid")))</f>
        <v/>
      </c>
      <c r="P1309" s="27" t="n"/>
      <c r="Q1309" s="27" t="n"/>
      <c r="R1309" s="27" t="n"/>
      <c r="S1309" s="27" t="n"/>
      <c r="T1309" s="25">
        <f>IF($C1309="","",IF(OR(ISNUMBER(SEARCH("quick case",$P1309)),ISNUMBER(SEARCH("quick case",$Q1309))),"Yes","No"))</f>
        <v/>
      </c>
      <c r="U1309" s="25">
        <f>IF($O1309="Invalid",HYPERLINK("mailto:"&amp;$G1309&amp;";"&amp;$I1309&amp;"?cc="&amp;Lists!$E$2&amp;"&amp;subject="&amp;_xlfn.ENCODEURL("[INVALID] Quality audit monitoring completed for "&amp;UPPER($C1309))&amp;"&amp;body="&amp;_xlfn.ENCODEURL("Hi "&amp;$F1309&amp;","&amp;CHAR(10)&amp;"Good day!"&amp;CHAR(10)&amp;CHAR(10)&amp;"A quality monitoring audit has been completed for "&amp;$C1309&amp;"."&amp;CHAR(10)&amp;CHAR(10)&amp;"QUALITY AUDIT DETAILS"&amp;CHAR(10)&amp;"Agent Name: "&amp;$C1309&amp;" (EID "&amp;$D1309&amp;")"&amp;CHAR(10)&amp;"Audit Date: "&amp;TEXT($B1309,"yyyy-mm-dd")&amp;CHAR(10)&amp;"Team Leader: "&amp;$F1309&amp;CHAR(10)&amp;"Case Number: "&amp;$M1309&amp;CHAR(10)&amp;"Transaction ID: "&amp;$N1309&amp;CHAR(10)&amp;"Channel / LOB: "&amp;$K1309&amp;" / "&amp;$L1309&amp;CHAR(10)&amp;"Evaluator: "&amp;$S1309&amp;CHAR(10)&amp;CHAR(10)&amp;"INVALID QUALITY AUDIT DETAILS"&amp;CHAR(10)&amp;"Validation: Invalid"&amp;CHAR(10)&amp;"Invalid Reason: "&amp;$P1309&amp;CHAR(10)&amp;"Expected Resolution Code: "&amp;$Q1309&amp;CHAR(10)&amp;"Remarks: "&amp;LEFT($R1309,600)&amp;CHAR(10)&amp;CHAR(10)&amp;"This is an automated notification from HP Mainstream EQMS."),"✉ Open Email Draft"),"")</f>
        <v/>
      </c>
    </row>
    <row r="1310">
      <c r="A1310" s="25">
        <f>IF($C1310="","","AUD-2026-"&amp;TEXT(ROW()-1,"000000"))</f>
        <v/>
      </c>
      <c r="B1310" s="26" t="n"/>
      <c r="C1310" s="27" t="n"/>
      <c r="D1310" s="25">
        <f>IF($C1310="","",IFERROR(IF(INDEX(Roster!$A:$A,MATCH($C1310,Roster!$B:$B,0))="","",INDEX(Roster!$A:$A,MATCH($C1310,Roster!$B:$B,0))&amp;""),"—"))</f>
        <v/>
      </c>
      <c r="E1310" s="25">
        <f>IF($C1310="","",IFERROR(IF(INDEX(Roster!$C:$C,MATCH($C1310,Roster!$B:$B,0))="","",INDEX(Roster!$C:$C,MATCH($C1310,Roster!$B:$B,0))&amp;""),"—"))</f>
        <v/>
      </c>
      <c r="F1310" s="25">
        <f>IF($C1310="","",IFERROR(IF(INDEX(Roster!$D:$D,MATCH($C1310,Roster!$B:$B,0))="","",INDEX(Roster!$D:$D,MATCH($C1310,Roster!$B:$B,0))&amp;""),"—"))</f>
        <v/>
      </c>
      <c r="G1310" s="25">
        <f>IF($C1310="","",IFERROR(IF(INDEX(Roster!$E:$E,MATCH($C1310,Roster!$B:$B,0))="","",INDEX(Roster!$E:$E,MATCH($C1310,Roster!$B:$B,0))&amp;""),"—"))</f>
        <v/>
      </c>
      <c r="H1310" s="25">
        <f>IF($C1310="","",IFERROR(IF(INDEX(Roster!$F:$F,MATCH($C1310,Roster!$B:$B,0))="","",INDEX(Roster!$F:$F,MATCH($C1310,Roster!$B:$B,0))&amp;""),"—"))</f>
        <v/>
      </c>
      <c r="I1310" s="25">
        <f>IF($C1310="","",IFERROR(IF(INDEX(Roster!$G:$G,MATCH($C1310,Roster!$B:$B,0))="","",INDEX(Roster!$G:$G,MATCH($C1310,Roster!$B:$B,0))&amp;""),"—"))</f>
        <v/>
      </c>
      <c r="J1310" s="25">
        <f>IF($C1310="","",IFERROR(IF(INDEX(Roster!$I:$I,MATCH($C1310,Roster!$B:$B,0))="","",INDEX(Roster!$I:$I,MATCH($C1310,Roster!$B:$B,0))&amp;""),"—"))</f>
        <v/>
      </c>
      <c r="K1310">
        <f>IF($C1310="","",IFERROR(IF(INDEX(Roster!$J:$J,MATCH($C1310,Roster!$B:$B,0))="","",INDEX(Roster!$J:$J,MATCH($C1310,Roster!$B:$B,0))&amp;""),"—"))</f>
        <v/>
      </c>
      <c r="L1310">
        <f>IF($C1310="","",IFERROR(IF(INDEX(Roster!$K:$K,MATCH($C1310,Roster!$B:$B,0))="","",INDEX(Roster!$K:$K,MATCH($C1310,Roster!$B:$B,0))&amp;""),"—"))</f>
        <v/>
      </c>
      <c r="M1310" s="27" t="n"/>
      <c r="N1310" s="27" t="n"/>
      <c r="O1310" s="25">
        <f>IF($C1310="","",IF($P1310="","—",IF($P1310="Valid (Pass)","Valid","Invalid")))</f>
        <v/>
      </c>
      <c r="P1310" s="27" t="n"/>
      <c r="Q1310" s="27" t="n"/>
      <c r="R1310" s="27" t="n"/>
      <c r="S1310" s="27" t="n"/>
      <c r="T1310" s="25">
        <f>IF($C1310="","",IF(OR(ISNUMBER(SEARCH("quick case",$P1310)),ISNUMBER(SEARCH("quick case",$Q1310))),"Yes","No"))</f>
        <v/>
      </c>
      <c r="U1310" s="25">
        <f>IF($O1310="Invalid",HYPERLINK("mailto:"&amp;$G1310&amp;";"&amp;$I1310&amp;"?cc="&amp;Lists!$E$2&amp;"&amp;subject="&amp;_xlfn.ENCODEURL("[INVALID] Quality audit monitoring completed for "&amp;UPPER($C1310))&amp;"&amp;body="&amp;_xlfn.ENCODEURL("Hi "&amp;$F1310&amp;","&amp;CHAR(10)&amp;"Good day!"&amp;CHAR(10)&amp;CHAR(10)&amp;"A quality monitoring audit has been completed for "&amp;$C1310&amp;"."&amp;CHAR(10)&amp;CHAR(10)&amp;"QUALITY AUDIT DETAILS"&amp;CHAR(10)&amp;"Agent Name: "&amp;$C1310&amp;" (EID "&amp;$D1310&amp;")"&amp;CHAR(10)&amp;"Audit Date: "&amp;TEXT($B1310,"yyyy-mm-dd")&amp;CHAR(10)&amp;"Team Leader: "&amp;$F1310&amp;CHAR(10)&amp;"Case Number: "&amp;$M1310&amp;CHAR(10)&amp;"Transaction ID: "&amp;$N1310&amp;CHAR(10)&amp;"Channel / LOB: "&amp;$K1310&amp;" / "&amp;$L1310&amp;CHAR(10)&amp;"Evaluator: "&amp;$S1310&amp;CHAR(10)&amp;CHAR(10)&amp;"INVALID QUALITY AUDIT DETAILS"&amp;CHAR(10)&amp;"Validation: Invalid"&amp;CHAR(10)&amp;"Invalid Reason: "&amp;$P1310&amp;CHAR(10)&amp;"Expected Resolution Code: "&amp;$Q1310&amp;CHAR(10)&amp;"Remarks: "&amp;LEFT($R1310,600)&amp;CHAR(10)&amp;CHAR(10)&amp;"This is an automated notification from HP Mainstream EQMS."),"✉ Open Email Draft"),"")</f>
        <v/>
      </c>
    </row>
    <row r="1311">
      <c r="A1311" s="25">
        <f>IF($C1311="","","AUD-2026-"&amp;TEXT(ROW()-1,"000000"))</f>
        <v/>
      </c>
      <c r="B1311" s="26" t="n"/>
      <c r="C1311" s="27" t="n"/>
      <c r="D1311" s="25">
        <f>IF($C1311="","",IFERROR(IF(INDEX(Roster!$A:$A,MATCH($C1311,Roster!$B:$B,0))="","",INDEX(Roster!$A:$A,MATCH($C1311,Roster!$B:$B,0))&amp;""),"—"))</f>
        <v/>
      </c>
      <c r="E1311" s="25">
        <f>IF($C1311="","",IFERROR(IF(INDEX(Roster!$C:$C,MATCH($C1311,Roster!$B:$B,0))="","",INDEX(Roster!$C:$C,MATCH($C1311,Roster!$B:$B,0))&amp;""),"—"))</f>
        <v/>
      </c>
      <c r="F1311" s="25">
        <f>IF($C1311="","",IFERROR(IF(INDEX(Roster!$D:$D,MATCH($C1311,Roster!$B:$B,0))="","",INDEX(Roster!$D:$D,MATCH($C1311,Roster!$B:$B,0))&amp;""),"—"))</f>
        <v/>
      </c>
      <c r="G1311" s="25">
        <f>IF($C1311="","",IFERROR(IF(INDEX(Roster!$E:$E,MATCH($C1311,Roster!$B:$B,0))="","",INDEX(Roster!$E:$E,MATCH($C1311,Roster!$B:$B,0))&amp;""),"—"))</f>
        <v/>
      </c>
      <c r="H1311" s="25">
        <f>IF($C1311="","",IFERROR(IF(INDEX(Roster!$F:$F,MATCH($C1311,Roster!$B:$B,0))="","",INDEX(Roster!$F:$F,MATCH($C1311,Roster!$B:$B,0))&amp;""),"—"))</f>
        <v/>
      </c>
      <c r="I1311" s="25">
        <f>IF($C1311="","",IFERROR(IF(INDEX(Roster!$G:$G,MATCH($C1311,Roster!$B:$B,0))="","",INDEX(Roster!$G:$G,MATCH($C1311,Roster!$B:$B,0))&amp;""),"—"))</f>
        <v/>
      </c>
      <c r="J1311" s="25">
        <f>IF($C1311="","",IFERROR(IF(INDEX(Roster!$I:$I,MATCH($C1311,Roster!$B:$B,0))="","",INDEX(Roster!$I:$I,MATCH($C1311,Roster!$B:$B,0))&amp;""),"—"))</f>
        <v/>
      </c>
      <c r="K1311">
        <f>IF($C1311="","",IFERROR(IF(INDEX(Roster!$J:$J,MATCH($C1311,Roster!$B:$B,0))="","",INDEX(Roster!$J:$J,MATCH($C1311,Roster!$B:$B,0))&amp;""),"—"))</f>
        <v/>
      </c>
      <c r="L1311">
        <f>IF($C1311="","",IFERROR(IF(INDEX(Roster!$K:$K,MATCH($C1311,Roster!$B:$B,0))="","",INDEX(Roster!$K:$K,MATCH($C1311,Roster!$B:$B,0))&amp;""),"—"))</f>
        <v/>
      </c>
      <c r="M1311" s="27" t="n"/>
      <c r="N1311" s="27" t="n"/>
      <c r="O1311" s="25">
        <f>IF($C1311="","",IF($P1311="","—",IF($P1311="Valid (Pass)","Valid","Invalid")))</f>
        <v/>
      </c>
      <c r="P1311" s="27" t="n"/>
      <c r="Q1311" s="27" t="n"/>
      <c r="R1311" s="27" t="n"/>
      <c r="S1311" s="27" t="n"/>
      <c r="T1311" s="25">
        <f>IF($C1311="","",IF(OR(ISNUMBER(SEARCH("quick case",$P1311)),ISNUMBER(SEARCH("quick case",$Q1311))),"Yes","No"))</f>
        <v/>
      </c>
      <c r="U1311" s="25">
        <f>IF($O1311="Invalid",HYPERLINK("mailto:"&amp;$G1311&amp;";"&amp;$I1311&amp;"?cc="&amp;Lists!$E$2&amp;"&amp;subject="&amp;_xlfn.ENCODEURL("[INVALID] Quality audit monitoring completed for "&amp;UPPER($C1311))&amp;"&amp;body="&amp;_xlfn.ENCODEURL("Hi "&amp;$F1311&amp;","&amp;CHAR(10)&amp;"Good day!"&amp;CHAR(10)&amp;CHAR(10)&amp;"A quality monitoring audit has been completed for "&amp;$C1311&amp;"."&amp;CHAR(10)&amp;CHAR(10)&amp;"QUALITY AUDIT DETAILS"&amp;CHAR(10)&amp;"Agent Name: "&amp;$C1311&amp;" (EID "&amp;$D1311&amp;")"&amp;CHAR(10)&amp;"Audit Date: "&amp;TEXT($B1311,"yyyy-mm-dd")&amp;CHAR(10)&amp;"Team Leader: "&amp;$F1311&amp;CHAR(10)&amp;"Case Number: "&amp;$M1311&amp;CHAR(10)&amp;"Transaction ID: "&amp;$N1311&amp;CHAR(10)&amp;"Channel / LOB: "&amp;$K1311&amp;" / "&amp;$L1311&amp;CHAR(10)&amp;"Evaluator: "&amp;$S1311&amp;CHAR(10)&amp;CHAR(10)&amp;"INVALID QUALITY AUDIT DETAILS"&amp;CHAR(10)&amp;"Validation: Invalid"&amp;CHAR(10)&amp;"Invalid Reason: "&amp;$P1311&amp;CHAR(10)&amp;"Expected Resolution Code: "&amp;$Q1311&amp;CHAR(10)&amp;"Remarks: "&amp;LEFT($R1311,600)&amp;CHAR(10)&amp;CHAR(10)&amp;"This is an automated notification from HP Mainstream EQMS."),"✉ Open Email Draft"),"")</f>
        <v/>
      </c>
    </row>
    <row r="1312">
      <c r="A1312" s="25">
        <f>IF($C1312="","","AUD-2026-"&amp;TEXT(ROW()-1,"000000"))</f>
        <v/>
      </c>
      <c r="B1312" s="26" t="n"/>
      <c r="C1312" s="27" t="n"/>
      <c r="D1312" s="25">
        <f>IF($C1312="","",IFERROR(IF(INDEX(Roster!$A:$A,MATCH($C1312,Roster!$B:$B,0))="","",INDEX(Roster!$A:$A,MATCH($C1312,Roster!$B:$B,0))&amp;""),"—"))</f>
        <v/>
      </c>
      <c r="E1312" s="25">
        <f>IF($C1312="","",IFERROR(IF(INDEX(Roster!$C:$C,MATCH($C1312,Roster!$B:$B,0))="","",INDEX(Roster!$C:$C,MATCH($C1312,Roster!$B:$B,0))&amp;""),"—"))</f>
        <v/>
      </c>
      <c r="F1312" s="25">
        <f>IF($C1312="","",IFERROR(IF(INDEX(Roster!$D:$D,MATCH($C1312,Roster!$B:$B,0))="","",INDEX(Roster!$D:$D,MATCH($C1312,Roster!$B:$B,0))&amp;""),"—"))</f>
        <v/>
      </c>
      <c r="G1312" s="25">
        <f>IF($C1312="","",IFERROR(IF(INDEX(Roster!$E:$E,MATCH($C1312,Roster!$B:$B,0))="","",INDEX(Roster!$E:$E,MATCH($C1312,Roster!$B:$B,0))&amp;""),"—"))</f>
        <v/>
      </c>
      <c r="H1312" s="25">
        <f>IF($C1312="","",IFERROR(IF(INDEX(Roster!$F:$F,MATCH($C1312,Roster!$B:$B,0))="","",INDEX(Roster!$F:$F,MATCH($C1312,Roster!$B:$B,0))&amp;""),"—"))</f>
        <v/>
      </c>
      <c r="I1312" s="25">
        <f>IF($C1312="","",IFERROR(IF(INDEX(Roster!$G:$G,MATCH($C1312,Roster!$B:$B,0))="","",INDEX(Roster!$G:$G,MATCH($C1312,Roster!$B:$B,0))&amp;""),"—"))</f>
        <v/>
      </c>
      <c r="J1312" s="25">
        <f>IF($C1312="","",IFERROR(IF(INDEX(Roster!$I:$I,MATCH($C1312,Roster!$B:$B,0))="","",INDEX(Roster!$I:$I,MATCH($C1312,Roster!$B:$B,0))&amp;""),"—"))</f>
        <v/>
      </c>
      <c r="K1312">
        <f>IF($C1312="","",IFERROR(IF(INDEX(Roster!$J:$J,MATCH($C1312,Roster!$B:$B,0))="","",INDEX(Roster!$J:$J,MATCH($C1312,Roster!$B:$B,0))&amp;""),"—"))</f>
        <v/>
      </c>
      <c r="L1312">
        <f>IF($C1312="","",IFERROR(IF(INDEX(Roster!$K:$K,MATCH($C1312,Roster!$B:$B,0))="","",INDEX(Roster!$K:$K,MATCH($C1312,Roster!$B:$B,0))&amp;""),"—"))</f>
        <v/>
      </c>
      <c r="M1312" s="27" t="n"/>
      <c r="N1312" s="27" t="n"/>
      <c r="O1312" s="25">
        <f>IF($C1312="","",IF($P1312="","—",IF($P1312="Valid (Pass)","Valid","Invalid")))</f>
        <v/>
      </c>
      <c r="P1312" s="27" t="n"/>
      <c r="Q1312" s="27" t="n"/>
      <c r="R1312" s="27" t="n"/>
      <c r="S1312" s="27" t="n"/>
      <c r="T1312" s="25">
        <f>IF($C1312="","",IF(OR(ISNUMBER(SEARCH("quick case",$P1312)),ISNUMBER(SEARCH("quick case",$Q1312))),"Yes","No"))</f>
        <v/>
      </c>
      <c r="U1312" s="25">
        <f>IF($O1312="Invalid",HYPERLINK("mailto:"&amp;$G1312&amp;";"&amp;$I1312&amp;"?cc="&amp;Lists!$E$2&amp;"&amp;subject="&amp;_xlfn.ENCODEURL("[INVALID] Quality audit monitoring completed for "&amp;UPPER($C1312))&amp;"&amp;body="&amp;_xlfn.ENCODEURL("Hi "&amp;$F1312&amp;","&amp;CHAR(10)&amp;"Good day!"&amp;CHAR(10)&amp;CHAR(10)&amp;"A quality monitoring audit has been completed for "&amp;$C1312&amp;"."&amp;CHAR(10)&amp;CHAR(10)&amp;"QUALITY AUDIT DETAILS"&amp;CHAR(10)&amp;"Agent Name: "&amp;$C1312&amp;" (EID "&amp;$D1312&amp;")"&amp;CHAR(10)&amp;"Audit Date: "&amp;TEXT($B1312,"yyyy-mm-dd")&amp;CHAR(10)&amp;"Team Leader: "&amp;$F1312&amp;CHAR(10)&amp;"Case Number: "&amp;$M1312&amp;CHAR(10)&amp;"Transaction ID: "&amp;$N1312&amp;CHAR(10)&amp;"Channel / LOB: "&amp;$K1312&amp;" / "&amp;$L1312&amp;CHAR(10)&amp;"Evaluator: "&amp;$S1312&amp;CHAR(10)&amp;CHAR(10)&amp;"INVALID QUALITY AUDIT DETAILS"&amp;CHAR(10)&amp;"Validation: Invalid"&amp;CHAR(10)&amp;"Invalid Reason: "&amp;$P1312&amp;CHAR(10)&amp;"Expected Resolution Code: "&amp;$Q1312&amp;CHAR(10)&amp;"Remarks: "&amp;LEFT($R1312,600)&amp;CHAR(10)&amp;CHAR(10)&amp;"This is an automated notification from HP Mainstream EQMS."),"✉ Open Email Draft"),"")</f>
        <v/>
      </c>
    </row>
    <row r="1313">
      <c r="A1313" s="25">
        <f>IF($C1313="","","AUD-2026-"&amp;TEXT(ROW()-1,"000000"))</f>
        <v/>
      </c>
      <c r="B1313" s="26" t="n"/>
      <c r="C1313" s="27" t="n"/>
      <c r="D1313" s="25">
        <f>IF($C1313="","",IFERROR(IF(INDEX(Roster!$A:$A,MATCH($C1313,Roster!$B:$B,0))="","",INDEX(Roster!$A:$A,MATCH($C1313,Roster!$B:$B,0))&amp;""),"—"))</f>
        <v/>
      </c>
      <c r="E1313" s="25">
        <f>IF($C1313="","",IFERROR(IF(INDEX(Roster!$C:$C,MATCH($C1313,Roster!$B:$B,0))="","",INDEX(Roster!$C:$C,MATCH($C1313,Roster!$B:$B,0))&amp;""),"—"))</f>
        <v/>
      </c>
      <c r="F1313" s="25">
        <f>IF($C1313="","",IFERROR(IF(INDEX(Roster!$D:$D,MATCH($C1313,Roster!$B:$B,0))="","",INDEX(Roster!$D:$D,MATCH($C1313,Roster!$B:$B,0))&amp;""),"—"))</f>
        <v/>
      </c>
      <c r="G1313" s="25">
        <f>IF($C1313="","",IFERROR(IF(INDEX(Roster!$E:$E,MATCH($C1313,Roster!$B:$B,0))="","",INDEX(Roster!$E:$E,MATCH($C1313,Roster!$B:$B,0))&amp;""),"—"))</f>
        <v/>
      </c>
      <c r="H1313" s="25">
        <f>IF($C1313="","",IFERROR(IF(INDEX(Roster!$F:$F,MATCH($C1313,Roster!$B:$B,0))="","",INDEX(Roster!$F:$F,MATCH($C1313,Roster!$B:$B,0))&amp;""),"—"))</f>
        <v/>
      </c>
      <c r="I1313" s="25">
        <f>IF($C1313="","",IFERROR(IF(INDEX(Roster!$G:$G,MATCH($C1313,Roster!$B:$B,0))="","",INDEX(Roster!$G:$G,MATCH($C1313,Roster!$B:$B,0))&amp;""),"—"))</f>
        <v/>
      </c>
      <c r="J1313" s="25">
        <f>IF($C1313="","",IFERROR(IF(INDEX(Roster!$I:$I,MATCH($C1313,Roster!$B:$B,0))="","",INDEX(Roster!$I:$I,MATCH($C1313,Roster!$B:$B,0))&amp;""),"—"))</f>
        <v/>
      </c>
      <c r="K1313">
        <f>IF($C1313="","",IFERROR(IF(INDEX(Roster!$J:$J,MATCH($C1313,Roster!$B:$B,0))="","",INDEX(Roster!$J:$J,MATCH($C1313,Roster!$B:$B,0))&amp;""),"—"))</f>
        <v/>
      </c>
      <c r="L1313">
        <f>IF($C1313="","",IFERROR(IF(INDEX(Roster!$K:$K,MATCH($C1313,Roster!$B:$B,0))="","",INDEX(Roster!$K:$K,MATCH($C1313,Roster!$B:$B,0))&amp;""),"—"))</f>
        <v/>
      </c>
      <c r="M1313" s="27" t="n"/>
      <c r="N1313" s="27" t="n"/>
      <c r="O1313" s="25">
        <f>IF($C1313="","",IF($P1313="","—",IF($P1313="Valid (Pass)","Valid","Invalid")))</f>
        <v/>
      </c>
      <c r="P1313" s="27" t="n"/>
      <c r="Q1313" s="27" t="n"/>
      <c r="R1313" s="27" t="n"/>
      <c r="S1313" s="27" t="n"/>
      <c r="T1313" s="25">
        <f>IF($C1313="","",IF(OR(ISNUMBER(SEARCH("quick case",$P1313)),ISNUMBER(SEARCH("quick case",$Q1313))),"Yes","No"))</f>
        <v/>
      </c>
      <c r="U1313" s="25">
        <f>IF($O1313="Invalid",HYPERLINK("mailto:"&amp;$G1313&amp;";"&amp;$I1313&amp;"?cc="&amp;Lists!$E$2&amp;"&amp;subject="&amp;_xlfn.ENCODEURL("[INVALID] Quality audit monitoring completed for "&amp;UPPER($C1313))&amp;"&amp;body="&amp;_xlfn.ENCODEURL("Hi "&amp;$F1313&amp;","&amp;CHAR(10)&amp;"Good day!"&amp;CHAR(10)&amp;CHAR(10)&amp;"A quality monitoring audit has been completed for "&amp;$C1313&amp;"."&amp;CHAR(10)&amp;CHAR(10)&amp;"QUALITY AUDIT DETAILS"&amp;CHAR(10)&amp;"Agent Name: "&amp;$C1313&amp;" (EID "&amp;$D1313&amp;")"&amp;CHAR(10)&amp;"Audit Date: "&amp;TEXT($B1313,"yyyy-mm-dd")&amp;CHAR(10)&amp;"Team Leader: "&amp;$F1313&amp;CHAR(10)&amp;"Case Number: "&amp;$M1313&amp;CHAR(10)&amp;"Transaction ID: "&amp;$N1313&amp;CHAR(10)&amp;"Channel / LOB: "&amp;$K1313&amp;" / "&amp;$L1313&amp;CHAR(10)&amp;"Evaluator: "&amp;$S1313&amp;CHAR(10)&amp;CHAR(10)&amp;"INVALID QUALITY AUDIT DETAILS"&amp;CHAR(10)&amp;"Validation: Invalid"&amp;CHAR(10)&amp;"Invalid Reason: "&amp;$P1313&amp;CHAR(10)&amp;"Expected Resolution Code: "&amp;$Q1313&amp;CHAR(10)&amp;"Remarks: "&amp;LEFT($R1313,600)&amp;CHAR(10)&amp;CHAR(10)&amp;"This is an automated notification from HP Mainstream EQMS."),"✉ Open Email Draft"),"")</f>
        <v/>
      </c>
    </row>
    <row r="1314">
      <c r="A1314" s="25">
        <f>IF($C1314="","","AUD-2026-"&amp;TEXT(ROW()-1,"000000"))</f>
        <v/>
      </c>
      <c r="B1314" s="26" t="n"/>
      <c r="C1314" s="27" t="n"/>
      <c r="D1314" s="25">
        <f>IF($C1314="","",IFERROR(IF(INDEX(Roster!$A:$A,MATCH($C1314,Roster!$B:$B,0))="","",INDEX(Roster!$A:$A,MATCH($C1314,Roster!$B:$B,0))&amp;""),"—"))</f>
        <v/>
      </c>
      <c r="E1314" s="25">
        <f>IF($C1314="","",IFERROR(IF(INDEX(Roster!$C:$C,MATCH($C1314,Roster!$B:$B,0))="","",INDEX(Roster!$C:$C,MATCH($C1314,Roster!$B:$B,0))&amp;""),"—"))</f>
        <v/>
      </c>
      <c r="F1314" s="25">
        <f>IF($C1314="","",IFERROR(IF(INDEX(Roster!$D:$D,MATCH($C1314,Roster!$B:$B,0))="","",INDEX(Roster!$D:$D,MATCH($C1314,Roster!$B:$B,0))&amp;""),"—"))</f>
        <v/>
      </c>
      <c r="G1314" s="25">
        <f>IF($C1314="","",IFERROR(IF(INDEX(Roster!$E:$E,MATCH($C1314,Roster!$B:$B,0))="","",INDEX(Roster!$E:$E,MATCH($C1314,Roster!$B:$B,0))&amp;""),"—"))</f>
        <v/>
      </c>
      <c r="H1314" s="25">
        <f>IF($C1314="","",IFERROR(IF(INDEX(Roster!$F:$F,MATCH($C1314,Roster!$B:$B,0))="","",INDEX(Roster!$F:$F,MATCH($C1314,Roster!$B:$B,0))&amp;""),"—"))</f>
        <v/>
      </c>
      <c r="I1314" s="25">
        <f>IF($C1314="","",IFERROR(IF(INDEX(Roster!$G:$G,MATCH($C1314,Roster!$B:$B,0))="","",INDEX(Roster!$G:$G,MATCH($C1314,Roster!$B:$B,0))&amp;""),"—"))</f>
        <v/>
      </c>
      <c r="J1314" s="25">
        <f>IF($C1314="","",IFERROR(IF(INDEX(Roster!$I:$I,MATCH($C1314,Roster!$B:$B,0))="","",INDEX(Roster!$I:$I,MATCH($C1314,Roster!$B:$B,0))&amp;""),"—"))</f>
        <v/>
      </c>
      <c r="K1314">
        <f>IF($C1314="","",IFERROR(IF(INDEX(Roster!$J:$J,MATCH($C1314,Roster!$B:$B,0))="","",INDEX(Roster!$J:$J,MATCH($C1314,Roster!$B:$B,0))&amp;""),"—"))</f>
        <v/>
      </c>
      <c r="L1314">
        <f>IF($C1314="","",IFERROR(IF(INDEX(Roster!$K:$K,MATCH($C1314,Roster!$B:$B,0))="","",INDEX(Roster!$K:$K,MATCH($C1314,Roster!$B:$B,0))&amp;""),"—"))</f>
        <v/>
      </c>
      <c r="M1314" s="27" t="n"/>
      <c r="N1314" s="27" t="n"/>
      <c r="O1314" s="25">
        <f>IF($C1314="","",IF($P1314="","—",IF($P1314="Valid (Pass)","Valid","Invalid")))</f>
        <v/>
      </c>
      <c r="P1314" s="27" t="n"/>
      <c r="Q1314" s="27" t="n"/>
      <c r="R1314" s="27" t="n"/>
      <c r="S1314" s="27" t="n"/>
      <c r="T1314" s="25">
        <f>IF($C1314="","",IF(OR(ISNUMBER(SEARCH("quick case",$P1314)),ISNUMBER(SEARCH("quick case",$Q1314))),"Yes","No"))</f>
        <v/>
      </c>
      <c r="U1314" s="25">
        <f>IF($O1314="Invalid",HYPERLINK("mailto:"&amp;$G1314&amp;";"&amp;$I1314&amp;"?cc="&amp;Lists!$E$2&amp;"&amp;subject="&amp;_xlfn.ENCODEURL("[INVALID] Quality audit monitoring completed for "&amp;UPPER($C1314))&amp;"&amp;body="&amp;_xlfn.ENCODEURL("Hi "&amp;$F1314&amp;","&amp;CHAR(10)&amp;"Good day!"&amp;CHAR(10)&amp;CHAR(10)&amp;"A quality monitoring audit has been completed for "&amp;$C1314&amp;"."&amp;CHAR(10)&amp;CHAR(10)&amp;"QUALITY AUDIT DETAILS"&amp;CHAR(10)&amp;"Agent Name: "&amp;$C1314&amp;" (EID "&amp;$D1314&amp;")"&amp;CHAR(10)&amp;"Audit Date: "&amp;TEXT($B1314,"yyyy-mm-dd")&amp;CHAR(10)&amp;"Team Leader: "&amp;$F1314&amp;CHAR(10)&amp;"Case Number: "&amp;$M1314&amp;CHAR(10)&amp;"Transaction ID: "&amp;$N1314&amp;CHAR(10)&amp;"Channel / LOB: "&amp;$K1314&amp;" / "&amp;$L1314&amp;CHAR(10)&amp;"Evaluator: "&amp;$S1314&amp;CHAR(10)&amp;CHAR(10)&amp;"INVALID QUALITY AUDIT DETAILS"&amp;CHAR(10)&amp;"Validation: Invalid"&amp;CHAR(10)&amp;"Invalid Reason: "&amp;$P1314&amp;CHAR(10)&amp;"Expected Resolution Code: "&amp;$Q1314&amp;CHAR(10)&amp;"Remarks: "&amp;LEFT($R1314,600)&amp;CHAR(10)&amp;CHAR(10)&amp;"This is an automated notification from HP Mainstream EQMS."),"✉ Open Email Draft"),"")</f>
        <v/>
      </c>
    </row>
    <row r="1315">
      <c r="A1315" s="25">
        <f>IF($C1315="","","AUD-2026-"&amp;TEXT(ROW()-1,"000000"))</f>
        <v/>
      </c>
      <c r="B1315" s="26" t="n"/>
      <c r="C1315" s="27" t="n"/>
      <c r="D1315" s="25">
        <f>IF($C1315="","",IFERROR(IF(INDEX(Roster!$A:$A,MATCH($C1315,Roster!$B:$B,0))="","",INDEX(Roster!$A:$A,MATCH($C1315,Roster!$B:$B,0))&amp;""),"—"))</f>
        <v/>
      </c>
      <c r="E1315" s="25">
        <f>IF($C1315="","",IFERROR(IF(INDEX(Roster!$C:$C,MATCH($C1315,Roster!$B:$B,0))="","",INDEX(Roster!$C:$C,MATCH($C1315,Roster!$B:$B,0))&amp;""),"—"))</f>
        <v/>
      </c>
      <c r="F1315" s="25">
        <f>IF($C1315="","",IFERROR(IF(INDEX(Roster!$D:$D,MATCH($C1315,Roster!$B:$B,0))="","",INDEX(Roster!$D:$D,MATCH($C1315,Roster!$B:$B,0))&amp;""),"—"))</f>
        <v/>
      </c>
      <c r="G1315" s="25">
        <f>IF($C1315="","",IFERROR(IF(INDEX(Roster!$E:$E,MATCH($C1315,Roster!$B:$B,0))="","",INDEX(Roster!$E:$E,MATCH($C1315,Roster!$B:$B,0))&amp;""),"—"))</f>
        <v/>
      </c>
      <c r="H1315" s="25">
        <f>IF($C1315="","",IFERROR(IF(INDEX(Roster!$F:$F,MATCH($C1315,Roster!$B:$B,0))="","",INDEX(Roster!$F:$F,MATCH($C1315,Roster!$B:$B,0))&amp;""),"—"))</f>
        <v/>
      </c>
      <c r="I1315" s="25">
        <f>IF($C1315="","",IFERROR(IF(INDEX(Roster!$G:$G,MATCH($C1315,Roster!$B:$B,0))="","",INDEX(Roster!$G:$G,MATCH($C1315,Roster!$B:$B,0))&amp;""),"—"))</f>
        <v/>
      </c>
      <c r="J1315" s="25">
        <f>IF($C1315="","",IFERROR(IF(INDEX(Roster!$I:$I,MATCH($C1315,Roster!$B:$B,0))="","",INDEX(Roster!$I:$I,MATCH($C1315,Roster!$B:$B,0))&amp;""),"—"))</f>
        <v/>
      </c>
      <c r="K1315">
        <f>IF($C1315="","",IFERROR(IF(INDEX(Roster!$J:$J,MATCH($C1315,Roster!$B:$B,0))="","",INDEX(Roster!$J:$J,MATCH($C1315,Roster!$B:$B,0))&amp;""),"—"))</f>
        <v/>
      </c>
      <c r="L1315">
        <f>IF($C1315="","",IFERROR(IF(INDEX(Roster!$K:$K,MATCH($C1315,Roster!$B:$B,0))="","",INDEX(Roster!$K:$K,MATCH($C1315,Roster!$B:$B,0))&amp;""),"—"))</f>
        <v/>
      </c>
      <c r="M1315" s="27" t="n"/>
      <c r="N1315" s="27" t="n"/>
      <c r="O1315" s="25">
        <f>IF($C1315="","",IF($P1315="","—",IF($P1315="Valid (Pass)","Valid","Invalid")))</f>
        <v/>
      </c>
      <c r="P1315" s="27" t="n"/>
      <c r="Q1315" s="27" t="n"/>
      <c r="R1315" s="27" t="n"/>
      <c r="S1315" s="27" t="n"/>
      <c r="T1315" s="25">
        <f>IF($C1315="","",IF(OR(ISNUMBER(SEARCH("quick case",$P1315)),ISNUMBER(SEARCH("quick case",$Q1315))),"Yes","No"))</f>
        <v/>
      </c>
      <c r="U1315" s="25">
        <f>IF($O1315="Invalid",HYPERLINK("mailto:"&amp;$G1315&amp;";"&amp;$I1315&amp;"?cc="&amp;Lists!$E$2&amp;"&amp;subject="&amp;_xlfn.ENCODEURL("[INVALID] Quality audit monitoring completed for "&amp;UPPER($C1315))&amp;"&amp;body="&amp;_xlfn.ENCODEURL("Hi "&amp;$F1315&amp;","&amp;CHAR(10)&amp;"Good day!"&amp;CHAR(10)&amp;CHAR(10)&amp;"A quality monitoring audit has been completed for "&amp;$C1315&amp;"."&amp;CHAR(10)&amp;CHAR(10)&amp;"QUALITY AUDIT DETAILS"&amp;CHAR(10)&amp;"Agent Name: "&amp;$C1315&amp;" (EID "&amp;$D1315&amp;")"&amp;CHAR(10)&amp;"Audit Date: "&amp;TEXT($B1315,"yyyy-mm-dd")&amp;CHAR(10)&amp;"Team Leader: "&amp;$F1315&amp;CHAR(10)&amp;"Case Number: "&amp;$M1315&amp;CHAR(10)&amp;"Transaction ID: "&amp;$N1315&amp;CHAR(10)&amp;"Channel / LOB: "&amp;$K1315&amp;" / "&amp;$L1315&amp;CHAR(10)&amp;"Evaluator: "&amp;$S1315&amp;CHAR(10)&amp;CHAR(10)&amp;"INVALID QUALITY AUDIT DETAILS"&amp;CHAR(10)&amp;"Validation: Invalid"&amp;CHAR(10)&amp;"Invalid Reason: "&amp;$P1315&amp;CHAR(10)&amp;"Expected Resolution Code: "&amp;$Q1315&amp;CHAR(10)&amp;"Remarks: "&amp;LEFT($R1315,600)&amp;CHAR(10)&amp;CHAR(10)&amp;"This is an automated notification from HP Mainstream EQMS."),"✉ Open Email Draft"),"")</f>
        <v/>
      </c>
    </row>
    <row r="1316">
      <c r="A1316" s="25">
        <f>IF($C1316="","","AUD-2026-"&amp;TEXT(ROW()-1,"000000"))</f>
        <v/>
      </c>
      <c r="B1316" s="26" t="n"/>
      <c r="C1316" s="27" t="n"/>
      <c r="D1316" s="25">
        <f>IF($C1316="","",IFERROR(IF(INDEX(Roster!$A:$A,MATCH($C1316,Roster!$B:$B,0))="","",INDEX(Roster!$A:$A,MATCH($C1316,Roster!$B:$B,0))&amp;""),"—"))</f>
        <v/>
      </c>
      <c r="E1316" s="25">
        <f>IF($C1316="","",IFERROR(IF(INDEX(Roster!$C:$C,MATCH($C1316,Roster!$B:$B,0))="","",INDEX(Roster!$C:$C,MATCH($C1316,Roster!$B:$B,0))&amp;""),"—"))</f>
        <v/>
      </c>
      <c r="F1316" s="25">
        <f>IF($C1316="","",IFERROR(IF(INDEX(Roster!$D:$D,MATCH($C1316,Roster!$B:$B,0))="","",INDEX(Roster!$D:$D,MATCH($C1316,Roster!$B:$B,0))&amp;""),"—"))</f>
        <v/>
      </c>
      <c r="G1316" s="25">
        <f>IF($C1316="","",IFERROR(IF(INDEX(Roster!$E:$E,MATCH($C1316,Roster!$B:$B,0))="","",INDEX(Roster!$E:$E,MATCH($C1316,Roster!$B:$B,0))&amp;""),"—"))</f>
        <v/>
      </c>
      <c r="H1316" s="25">
        <f>IF($C1316="","",IFERROR(IF(INDEX(Roster!$F:$F,MATCH($C1316,Roster!$B:$B,0))="","",INDEX(Roster!$F:$F,MATCH($C1316,Roster!$B:$B,0))&amp;""),"—"))</f>
        <v/>
      </c>
      <c r="I1316" s="25">
        <f>IF($C1316="","",IFERROR(IF(INDEX(Roster!$G:$G,MATCH($C1316,Roster!$B:$B,0))="","",INDEX(Roster!$G:$G,MATCH($C1316,Roster!$B:$B,0))&amp;""),"—"))</f>
        <v/>
      </c>
      <c r="J1316" s="25">
        <f>IF($C1316="","",IFERROR(IF(INDEX(Roster!$I:$I,MATCH($C1316,Roster!$B:$B,0))="","",INDEX(Roster!$I:$I,MATCH($C1316,Roster!$B:$B,0))&amp;""),"—"))</f>
        <v/>
      </c>
      <c r="K1316">
        <f>IF($C1316="","",IFERROR(IF(INDEX(Roster!$J:$J,MATCH($C1316,Roster!$B:$B,0))="","",INDEX(Roster!$J:$J,MATCH($C1316,Roster!$B:$B,0))&amp;""),"—"))</f>
        <v/>
      </c>
      <c r="L1316">
        <f>IF($C1316="","",IFERROR(IF(INDEX(Roster!$K:$K,MATCH($C1316,Roster!$B:$B,0))="","",INDEX(Roster!$K:$K,MATCH($C1316,Roster!$B:$B,0))&amp;""),"—"))</f>
        <v/>
      </c>
      <c r="M1316" s="27" t="n"/>
      <c r="N1316" s="27" t="n"/>
      <c r="O1316" s="25">
        <f>IF($C1316="","",IF($P1316="","—",IF($P1316="Valid (Pass)","Valid","Invalid")))</f>
        <v/>
      </c>
      <c r="P1316" s="27" t="n"/>
      <c r="Q1316" s="27" t="n"/>
      <c r="R1316" s="27" t="n"/>
      <c r="S1316" s="27" t="n"/>
      <c r="T1316" s="25">
        <f>IF($C1316="","",IF(OR(ISNUMBER(SEARCH("quick case",$P1316)),ISNUMBER(SEARCH("quick case",$Q1316))),"Yes","No"))</f>
        <v/>
      </c>
      <c r="U1316" s="25">
        <f>IF($O1316="Invalid",HYPERLINK("mailto:"&amp;$G1316&amp;";"&amp;$I1316&amp;"?cc="&amp;Lists!$E$2&amp;"&amp;subject="&amp;_xlfn.ENCODEURL("[INVALID] Quality audit monitoring completed for "&amp;UPPER($C1316))&amp;"&amp;body="&amp;_xlfn.ENCODEURL("Hi "&amp;$F1316&amp;","&amp;CHAR(10)&amp;"Good day!"&amp;CHAR(10)&amp;CHAR(10)&amp;"A quality monitoring audit has been completed for "&amp;$C1316&amp;"."&amp;CHAR(10)&amp;CHAR(10)&amp;"QUALITY AUDIT DETAILS"&amp;CHAR(10)&amp;"Agent Name: "&amp;$C1316&amp;" (EID "&amp;$D1316&amp;")"&amp;CHAR(10)&amp;"Audit Date: "&amp;TEXT($B1316,"yyyy-mm-dd")&amp;CHAR(10)&amp;"Team Leader: "&amp;$F1316&amp;CHAR(10)&amp;"Case Number: "&amp;$M1316&amp;CHAR(10)&amp;"Transaction ID: "&amp;$N1316&amp;CHAR(10)&amp;"Channel / LOB: "&amp;$K1316&amp;" / "&amp;$L1316&amp;CHAR(10)&amp;"Evaluator: "&amp;$S1316&amp;CHAR(10)&amp;CHAR(10)&amp;"INVALID QUALITY AUDIT DETAILS"&amp;CHAR(10)&amp;"Validation: Invalid"&amp;CHAR(10)&amp;"Invalid Reason: "&amp;$P1316&amp;CHAR(10)&amp;"Expected Resolution Code: "&amp;$Q1316&amp;CHAR(10)&amp;"Remarks: "&amp;LEFT($R1316,600)&amp;CHAR(10)&amp;CHAR(10)&amp;"This is an automated notification from HP Mainstream EQMS."),"✉ Open Email Draft"),"")</f>
        <v/>
      </c>
    </row>
    <row r="1317">
      <c r="A1317" s="25">
        <f>IF($C1317="","","AUD-2026-"&amp;TEXT(ROW()-1,"000000"))</f>
        <v/>
      </c>
      <c r="B1317" s="26" t="n"/>
      <c r="C1317" s="27" t="n"/>
      <c r="D1317" s="25">
        <f>IF($C1317="","",IFERROR(IF(INDEX(Roster!$A:$A,MATCH($C1317,Roster!$B:$B,0))="","",INDEX(Roster!$A:$A,MATCH($C1317,Roster!$B:$B,0))&amp;""),"—"))</f>
        <v/>
      </c>
      <c r="E1317" s="25">
        <f>IF($C1317="","",IFERROR(IF(INDEX(Roster!$C:$C,MATCH($C1317,Roster!$B:$B,0))="","",INDEX(Roster!$C:$C,MATCH($C1317,Roster!$B:$B,0))&amp;""),"—"))</f>
        <v/>
      </c>
      <c r="F1317" s="25">
        <f>IF($C1317="","",IFERROR(IF(INDEX(Roster!$D:$D,MATCH($C1317,Roster!$B:$B,0))="","",INDEX(Roster!$D:$D,MATCH($C1317,Roster!$B:$B,0))&amp;""),"—"))</f>
        <v/>
      </c>
      <c r="G1317" s="25">
        <f>IF($C1317="","",IFERROR(IF(INDEX(Roster!$E:$E,MATCH($C1317,Roster!$B:$B,0))="","",INDEX(Roster!$E:$E,MATCH($C1317,Roster!$B:$B,0))&amp;""),"—"))</f>
        <v/>
      </c>
      <c r="H1317" s="25">
        <f>IF($C1317="","",IFERROR(IF(INDEX(Roster!$F:$F,MATCH($C1317,Roster!$B:$B,0))="","",INDEX(Roster!$F:$F,MATCH($C1317,Roster!$B:$B,0))&amp;""),"—"))</f>
        <v/>
      </c>
      <c r="I1317" s="25">
        <f>IF($C1317="","",IFERROR(IF(INDEX(Roster!$G:$G,MATCH($C1317,Roster!$B:$B,0))="","",INDEX(Roster!$G:$G,MATCH($C1317,Roster!$B:$B,0))&amp;""),"—"))</f>
        <v/>
      </c>
      <c r="J1317" s="25">
        <f>IF($C1317="","",IFERROR(IF(INDEX(Roster!$I:$I,MATCH($C1317,Roster!$B:$B,0))="","",INDEX(Roster!$I:$I,MATCH($C1317,Roster!$B:$B,0))&amp;""),"—"))</f>
        <v/>
      </c>
      <c r="K1317">
        <f>IF($C1317="","",IFERROR(IF(INDEX(Roster!$J:$J,MATCH($C1317,Roster!$B:$B,0))="","",INDEX(Roster!$J:$J,MATCH($C1317,Roster!$B:$B,0))&amp;""),"—"))</f>
        <v/>
      </c>
      <c r="L1317">
        <f>IF($C1317="","",IFERROR(IF(INDEX(Roster!$K:$K,MATCH($C1317,Roster!$B:$B,0))="","",INDEX(Roster!$K:$K,MATCH($C1317,Roster!$B:$B,0))&amp;""),"—"))</f>
        <v/>
      </c>
      <c r="M1317" s="27" t="n"/>
      <c r="N1317" s="27" t="n"/>
      <c r="O1317" s="25">
        <f>IF($C1317="","",IF($P1317="","—",IF($P1317="Valid (Pass)","Valid","Invalid")))</f>
        <v/>
      </c>
      <c r="P1317" s="27" t="n"/>
      <c r="Q1317" s="27" t="n"/>
      <c r="R1317" s="27" t="n"/>
      <c r="S1317" s="27" t="n"/>
      <c r="T1317" s="25">
        <f>IF($C1317="","",IF(OR(ISNUMBER(SEARCH("quick case",$P1317)),ISNUMBER(SEARCH("quick case",$Q1317))),"Yes","No"))</f>
        <v/>
      </c>
      <c r="U1317" s="25">
        <f>IF($O1317="Invalid",HYPERLINK("mailto:"&amp;$G1317&amp;";"&amp;$I1317&amp;"?cc="&amp;Lists!$E$2&amp;"&amp;subject="&amp;_xlfn.ENCODEURL("[INVALID] Quality audit monitoring completed for "&amp;UPPER($C1317))&amp;"&amp;body="&amp;_xlfn.ENCODEURL("Hi "&amp;$F1317&amp;","&amp;CHAR(10)&amp;"Good day!"&amp;CHAR(10)&amp;CHAR(10)&amp;"A quality monitoring audit has been completed for "&amp;$C1317&amp;"."&amp;CHAR(10)&amp;CHAR(10)&amp;"QUALITY AUDIT DETAILS"&amp;CHAR(10)&amp;"Agent Name: "&amp;$C1317&amp;" (EID "&amp;$D1317&amp;")"&amp;CHAR(10)&amp;"Audit Date: "&amp;TEXT($B1317,"yyyy-mm-dd")&amp;CHAR(10)&amp;"Team Leader: "&amp;$F1317&amp;CHAR(10)&amp;"Case Number: "&amp;$M1317&amp;CHAR(10)&amp;"Transaction ID: "&amp;$N1317&amp;CHAR(10)&amp;"Channel / LOB: "&amp;$K1317&amp;" / "&amp;$L1317&amp;CHAR(10)&amp;"Evaluator: "&amp;$S1317&amp;CHAR(10)&amp;CHAR(10)&amp;"INVALID QUALITY AUDIT DETAILS"&amp;CHAR(10)&amp;"Validation: Invalid"&amp;CHAR(10)&amp;"Invalid Reason: "&amp;$P1317&amp;CHAR(10)&amp;"Expected Resolution Code: "&amp;$Q1317&amp;CHAR(10)&amp;"Remarks: "&amp;LEFT($R1317,600)&amp;CHAR(10)&amp;CHAR(10)&amp;"This is an automated notification from HP Mainstream EQMS."),"✉ Open Email Draft"),"")</f>
        <v/>
      </c>
    </row>
    <row r="1318">
      <c r="A1318" s="25">
        <f>IF($C1318="","","AUD-2026-"&amp;TEXT(ROW()-1,"000000"))</f>
        <v/>
      </c>
      <c r="B1318" s="26" t="n"/>
      <c r="C1318" s="27" t="n"/>
      <c r="D1318" s="25">
        <f>IF($C1318="","",IFERROR(IF(INDEX(Roster!$A:$A,MATCH($C1318,Roster!$B:$B,0))="","",INDEX(Roster!$A:$A,MATCH($C1318,Roster!$B:$B,0))&amp;""),"—"))</f>
        <v/>
      </c>
      <c r="E1318" s="25">
        <f>IF($C1318="","",IFERROR(IF(INDEX(Roster!$C:$C,MATCH($C1318,Roster!$B:$B,0))="","",INDEX(Roster!$C:$C,MATCH($C1318,Roster!$B:$B,0))&amp;""),"—"))</f>
        <v/>
      </c>
      <c r="F1318" s="25">
        <f>IF($C1318="","",IFERROR(IF(INDEX(Roster!$D:$D,MATCH($C1318,Roster!$B:$B,0))="","",INDEX(Roster!$D:$D,MATCH($C1318,Roster!$B:$B,0))&amp;""),"—"))</f>
        <v/>
      </c>
      <c r="G1318" s="25">
        <f>IF($C1318="","",IFERROR(IF(INDEX(Roster!$E:$E,MATCH($C1318,Roster!$B:$B,0))="","",INDEX(Roster!$E:$E,MATCH($C1318,Roster!$B:$B,0))&amp;""),"—"))</f>
        <v/>
      </c>
      <c r="H1318" s="25">
        <f>IF($C1318="","",IFERROR(IF(INDEX(Roster!$F:$F,MATCH($C1318,Roster!$B:$B,0))="","",INDEX(Roster!$F:$F,MATCH($C1318,Roster!$B:$B,0))&amp;""),"—"))</f>
        <v/>
      </c>
      <c r="I1318" s="25">
        <f>IF($C1318="","",IFERROR(IF(INDEX(Roster!$G:$G,MATCH($C1318,Roster!$B:$B,0))="","",INDEX(Roster!$G:$G,MATCH($C1318,Roster!$B:$B,0))&amp;""),"—"))</f>
        <v/>
      </c>
      <c r="J1318" s="25">
        <f>IF($C1318="","",IFERROR(IF(INDEX(Roster!$I:$I,MATCH($C1318,Roster!$B:$B,0))="","",INDEX(Roster!$I:$I,MATCH($C1318,Roster!$B:$B,0))&amp;""),"—"))</f>
        <v/>
      </c>
      <c r="K1318">
        <f>IF($C1318="","",IFERROR(IF(INDEX(Roster!$J:$J,MATCH($C1318,Roster!$B:$B,0))="","",INDEX(Roster!$J:$J,MATCH($C1318,Roster!$B:$B,0))&amp;""),"—"))</f>
        <v/>
      </c>
      <c r="L1318">
        <f>IF($C1318="","",IFERROR(IF(INDEX(Roster!$K:$K,MATCH($C1318,Roster!$B:$B,0))="","",INDEX(Roster!$K:$K,MATCH($C1318,Roster!$B:$B,0))&amp;""),"—"))</f>
        <v/>
      </c>
      <c r="M1318" s="27" t="n"/>
      <c r="N1318" s="27" t="n"/>
      <c r="O1318" s="25">
        <f>IF($C1318="","",IF($P1318="","—",IF($P1318="Valid (Pass)","Valid","Invalid")))</f>
        <v/>
      </c>
      <c r="P1318" s="27" t="n"/>
      <c r="Q1318" s="27" t="n"/>
      <c r="R1318" s="27" t="n"/>
      <c r="S1318" s="27" t="n"/>
      <c r="T1318" s="25">
        <f>IF($C1318="","",IF(OR(ISNUMBER(SEARCH("quick case",$P1318)),ISNUMBER(SEARCH("quick case",$Q1318))),"Yes","No"))</f>
        <v/>
      </c>
      <c r="U1318" s="25">
        <f>IF($O1318="Invalid",HYPERLINK("mailto:"&amp;$G1318&amp;";"&amp;$I1318&amp;"?cc="&amp;Lists!$E$2&amp;"&amp;subject="&amp;_xlfn.ENCODEURL("[INVALID] Quality audit monitoring completed for "&amp;UPPER($C1318))&amp;"&amp;body="&amp;_xlfn.ENCODEURL("Hi "&amp;$F1318&amp;","&amp;CHAR(10)&amp;"Good day!"&amp;CHAR(10)&amp;CHAR(10)&amp;"A quality monitoring audit has been completed for "&amp;$C1318&amp;"."&amp;CHAR(10)&amp;CHAR(10)&amp;"QUALITY AUDIT DETAILS"&amp;CHAR(10)&amp;"Agent Name: "&amp;$C1318&amp;" (EID "&amp;$D1318&amp;")"&amp;CHAR(10)&amp;"Audit Date: "&amp;TEXT($B1318,"yyyy-mm-dd")&amp;CHAR(10)&amp;"Team Leader: "&amp;$F1318&amp;CHAR(10)&amp;"Case Number: "&amp;$M1318&amp;CHAR(10)&amp;"Transaction ID: "&amp;$N1318&amp;CHAR(10)&amp;"Channel / LOB: "&amp;$K1318&amp;" / "&amp;$L1318&amp;CHAR(10)&amp;"Evaluator: "&amp;$S1318&amp;CHAR(10)&amp;CHAR(10)&amp;"INVALID QUALITY AUDIT DETAILS"&amp;CHAR(10)&amp;"Validation: Invalid"&amp;CHAR(10)&amp;"Invalid Reason: "&amp;$P1318&amp;CHAR(10)&amp;"Expected Resolution Code: "&amp;$Q1318&amp;CHAR(10)&amp;"Remarks: "&amp;LEFT($R1318,600)&amp;CHAR(10)&amp;CHAR(10)&amp;"This is an automated notification from HP Mainstream EQMS."),"✉ Open Email Draft"),"")</f>
        <v/>
      </c>
    </row>
    <row r="1319">
      <c r="A1319" s="25">
        <f>IF($C1319="","","AUD-2026-"&amp;TEXT(ROW()-1,"000000"))</f>
        <v/>
      </c>
      <c r="B1319" s="26" t="n"/>
      <c r="C1319" s="27" t="n"/>
      <c r="D1319" s="25">
        <f>IF($C1319="","",IFERROR(IF(INDEX(Roster!$A:$A,MATCH($C1319,Roster!$B:$B,0))="","",INDEX(Roster!$A:$A,MATCH($C1319,Roster!$B:$B,0))&amp;""),"—"))</f>
        <v/>
      </c>
      <c r="E1319" s="25">
        <f>IF($C1319="","",IFERROR(IF(INDEX(Roster!$C:$C,MATCH($C1319,Roster!$B:$B,0))="","",INDEX(Roster!$C:$C,MATCH($C1319,Roster!$B:$B,0))&amp;""),"—"))</f>
        <v/>
      </c>
      <c r="F1319" s="25">
        <f>IF($C1319="","",IFERROR(IF(INDEX(Roster!$D:$D,MATCH($C1319,Roster!$B:$B,0))="","",INDEX(Roster!$D:$D,MATCH($C1319,Roster!$B:$B,0))&amp;""),"—"))</f>
        <v/>
      </c>
      <c r="G1319" s="25">
        <f>IF($C1319="","",IFERROR(IF(INDEX(Roster!$E:$E,MATCH($C1319,Roster!$B:$B,0))="","",INDEX(Roster!$E:$E,MATCH($C1319,Roster!$B:$B,0))&amp;""),"—"))</f>
        <v/>
      </c>
      <c r="H1319" s="25">
        <f>IF($C1319="","",IFERROR(IF(INDEX(Roster!$F:$F,MATCH($C1319,Roster!$B:$B,0))="","",INDEX(Roster!$F:$F,MATCH($C1319,Roster!$B:$B,0))&amp;""),"—"))</f>
        <v/>
      </c>
      <c r="I1319" s="25">
        <f>IF($C1319="","",IFERROR(IF(INDEX(Roster!$G:$G,MATCH($C1319,Roster!$B:$B,0))="","",INDEX(Roster!$G:$G,MATCH($C1319,Roster!$B:$B,0))&amp;""),"—"))</f>
        <v/>
      </c>
      <c r="J1319" s="25">
        <f>IF($C1319="","",IFERROR(IF(INDEX(Roster!$I:$I,MATCH($C1319,Roster!$B:$B,0))="","",INDEX(Roster!$I:$I,MATCH($C1319,Roster!$B:$B,0))&amp;""),"—"))</f>
        <v/>
      </c>
      <c r="K1319">
        <f>IF($C1319="","",IFERROR(IF(INDEX(Roster!$J:$J,MATCH($C1319,Roster!$B:$B,0))="","",INDEX(Roster!$J:$J,MATCH($C1319,Roster!$B:$B,0))&amp;""),"—"))</f>
        <v/>
      </c>
      <c r="L1319">
        <f>IF($C1319="","",IFERROR(IF(INDEX(Roster!$K:$K,MATCH($C1319,Roster!$B:$B,0))="","",INDEX(Roster!$K:$K,MATCH($C1319,Roster!$B:$B,0))&amp;""),"—"))</f>
        <v/>
      </c>
      <c r="M1319" s="27" t="n"/>
      <c r="N1319" s="27" t="n"/>
      <c r="O1319" s="25">
        <f>IF($C1319="","",IF($P1319="","—",IF($P1319="Valid (Pass)","Valid","Invalid")))</f>
        <v/>
      </c>
      <c r="P1319" s="27" t="n"/>
      <c r="Q1319" s="27" t="n"/>
      <c r="R1319" s="27" t="n"/>
      <c r="S1319" s="27" t="n"/>
      <c r="T1319" s="25">
        <f>IF($C1319="","",IF(OR(ISNUMBER(SEARCH("quick case",$P1319)),ISNUMBER(SEARCH("quick case",$Q1319))),"Yes","No"))</f>
        <v/>
      </c>
      <c r="U1319" s="25">
        <f>IF($O1319="Invalid",HYPERLINK("mailto:"&amp;$G1319&amp;";"&amp;$I1319&amp;"?cc="&amp;Lists!$E$2&amp;"&amp;subject="&amp;_xlfn.ENCODEURL("[INVALID] Quality audit monitoring completed for "&amp;UPPER($C1319))&amp;"&amp;body="&amp;_xlfn.ENCODEURL("Hi "&amp;$F1319&amp;","&amp;CHAR(10)&amp;"Good day!"&amp;CHAR(10)&amp;CHAR(10)&amp;"A quality monitoring audit has been completed for "&amp;$C1319&amp;"."&amp;CHAR(10)&amp;CHAR(10)&amp;"QUALITY AUDIT DETAILS"&amp;CHAR(10)&amp;"Agent Name: "&amp;$C1319&amp;" (EID "&amp;$D1319&amp;")"&amp;CHAR(10)&amp;"Audit Date: "&amp;TEXT($B1319,"yyyy-mm-dd")&amp;CHAR(10)&amp;"Team Leader: "&amp;$F1319&amp;CHAR(10)&amp;"Case Number: "&amp;$M1319&amp;CHAR(10)&amp;"Transaction ID: "&amp;$N1319&amp;CHAR(10)&amp;"Channel / LOB: "&amp;$K1319&amp;" / "&amp;$L1319&amp;CHAR(10)&amp;"Evaluator: "&amp;$S1319&amp;CHAR(10)&amp;CHAR(10)&amp;"INVALID QUALITY AUDIT DETAILS"&amp;CHAR(10)&amp;"Validation: Invalid"&amp;CHAR(10)&amp;"Invalid Reason: "&amp;$P1319&amp;CHAR(10)&amp;"Expected Resolution Code: "&amp;$Q1319&amp;CHAR(10)&amp;"Remarks: "&amp;LEFT($R1319,600)&amp;CHAR(10)&amp;CHAR(10)&amp;"This is an automated notification from HP Mainstream EQMS."),"✉ Open Email Draft"),"")</f>
        <v/>
      </c>
    </row>
    <row r="1320">
      <c r="A1320" s="25">
        <f>IF($C1320="","","AUD-2026-"&amp;TEXT(ROW()-1,"000000"))</f>
        <v/>
      </c>
      <c r="B1320" s="26" t="n"/>
      <c r="C1320" s="27" t="n"/>
      <c r="D1320" s="25">
        <f>IF($C1320="","",IFERROR(IF(INDEX(Roster!$A:$A,MATCH($C1320,Roster!$B:$B,0))="","",INDEX(Roster!$A:$A,MATCH($C1320,Roster!$B:$B,0))&amp;""),"—"))</f>
        <v/>
      </c>
      <c r="E1320" s="25">
        <f>IF($C1320="","",IFERROR(IF(INDEX(Roster!$C:$C,MATCH($C1320,Roster!$B:$B,0))="","",INDEX(Roster!$C:$C,MATCH($C1320,Roster!$B:$B,0))&amp;""),"—"))</f>
        <v/>
      </c>
      <c r="F1320" s="25">
        <f>IF($C1320="","",IFERROR(IF(INDEX(Roster!$D:$D,MATCH($C1320,Roster!$B:$B,0))="","",INDEX(Roster!$D:$D,MATCH($C1320,Roster!$B:$B,0))&amp;""),"—"))</f>
        <v/>
      </c>
      <c r="G1320" s="25">
        <f>IF($C1320="","",IFERROR(IF(INDEX(Roster!$E:$E,MATCH($C1320,Roster!$B:$B,0))="","",INDEX(Roster!$E:$E,MATCH($C1320,Roster!$B:$B,0))&amp;""),"—"))</f>
        <v/>
      </c>
      <c r="H1320" s="25">
        <f>IF($C1320="","",IFERROR(IF(INDEX(Roster!$F:$F,MATCH($C1320,Roster!$B:$B,0))="","",INDEX(Roster!$F:$F,MATCH($C1320,Roster!$B:$B,0))&amp;""),"—"))</f>
        <v/>
      </c>
      <c r="I1320" s="25">
        <f>IF($C1320="","",IFERROR(IF(INDEX(Roster!$G:$G,MATCH($C1320,Roster!$B:$B,0))="","",INDEX(Roster!$G:$G,MATCH($C1320,Roster!$B:$B,0))&amp;""),"—"))</f>
        <v/>
      </c>
      <c r="J1320" s="25">
        <f>IF($C1320="","",IFERROR(IF(INDEX(Roster!$I:$I,MATCH($C1320,Roster!$B:$B,0))="","",INDEX(Roster!$I:$I,MATCH($C1320,Roster!$B:$B,0))&amp;""),"—"))</f>
        <v/>
      </c>
      <c r="K1320">
        <f>IF($C1320="","",IFERROR(IF(INDEX(Roster!$J:$J,MATCH($C1320,Roster!$B:$B,0))="","",INDEX(Roster!$J:$J,MATCH($C1320,Roster!$B:$B,0))&amp;""),"—"))</f>
        <v/>
      </c>
      <c r="L1320">
        <f>IF($C1320="","",IFERROR(IF(INDEX(Roster!$K:$K,MATCH($C1320,Roster!$B:$B,0))="","",INDEX(Roster!$K:$K,MATCH($C1320,Roster!$B:$B,0))&amp;""),"—"))</f>
        <v/>
      </c>
      <c r="M1320" s="27" t="n"/>
      <c r="N1320" s="27" t="n"/>
      <c r="O1320" s="25">
        <f>IF($C1320="","",IF($P1320="","—",IF($P1320="Valid (Pass)","Valid","Invalid")))</f>
        <v/>
      </c>
      <c r="P1320" s="27" t="n"/>
      <c r="Q1320" s="27" t="n"/>
      <c r="R1320" s="27" t="n"/>
      <c r="S1320" s="27" t="n"/>
      <c r="T1320" s="25">
        <f>IF($C1320="","",IF(OR(ISNUMBER(SEARCH("quick case",$P1320)),ISNUMBER(SEARCH("quick case",$Q1320))),"Yes","No"))</f>
        <v/>
      </c>
      <c r="U1320" s="25">
        <f>IF($O1320="Invalid",HYPERLINK("mailto:"&amp;$G1320&amp;";"&amp;$I1320&amp;"?cc="&amp;Lists!$E$2&amp;"&amp;subject="&amp;_xlfn.ENCODEURL("[INVALID] Quality audit monitoring completed for "&amp;UPPER($C1320))&amp;"&amp;body="&amp;_xlfn.ENCODEURL("Hi "&amp;$F1320&amp;","&amp;CHAR(10)&amp;"Good day!"&amp;CHAR(10)&amp;CHAR(10)&amp;"A quality monitoring audit has been completed for "&amp;$C1320&amp;"."&amp;CHAR(10)&amp;CHAR(10)&amp;"QUALITY AUDIT DETAILS"&amp;CHAR(10)&amp;"Agent Name: "&amp;$C1320&amp;" (EID "&amp;$D1320&amp;")"&amp;CHAR(10)&amp;"Audit Date: "&amp;TEXT($B1320,"yyyy-mm-dd")&amp;CHAR(10)&amp;"Team Leader: "&amp;$F1320&amp;CHAR(10)&amp;"Case Number: "&amp;$M1320&amp;CHAR(10)&amp;"Transaction ID: "&amp;$N1320&amp;CHAR(10)&amp;"Channel / LOB: "&amp;$K1320&amp;" / "&amp;$L1320&amp;CHAR(10)&amp;"Evaluator: "&amp;$S1320&amp;CHAR(10)&amp;CHAR(10)&amp;"INVALID QUALITY AUDIT DETAILS"&amp;CHAR(10)&amp;"Validation: Invalid"&amp;CHAR(10)&amp;"Invalid Reason: "&amp;$P1320&amp;CHAR(10)&amp;"Expected Resolution Code: "&amp;$Q1320&amp;CHAR(10)&amp;"Remarks: "&amp;LEFT($R1320,600)&amp;CHAR(10)&amp;CHAR(10)&amp;"This is an automated notification from HP Mainstream EQMS."),"✉ Open Email Draft"),"")</f>
        <v/>
      </c>
    </row>
    <row r="1321">
      <c r="A1321" s="25">
        <f>IF($C1321="","","AUD-2026-"&amp;TEXT(ROW()-1,"000000"))</f>
        <v/>
      </c>
      <c r="B1321" s="26" t="n"/>
      <c r="C1321" s="27" t="n"/>
      <c r="D1321" s="25">
        <f>IF($C1321="","",IFERROR(IF(INDEX(Roster!$A:$A,MATCH($C1321,Roster!$B:$B,0))="","",INDEX(Roster!$A:$A,MATCH($C1321,Roster!$B:$B,0))&amp;""),"—"))</f>
        <v/>
      </c>
      <c r="E1321" s="25">
        <f>IF($C1321="","",IFERROR(IF(INDEX(Roster!$C:$C,MATCH($C1321,Roster!$B:$B,0))="","",INDEX(Roster!$C:$C,MATCH($C1321,Roster!$B:$B,0))&amp;""),"—"))</f>
        <v/>
      </c>
      <c r="F1321" s="25">
        <f>IF($C1321="","",IFERROR(IF(INDEX(Roster!$D:$D,MATCH($C1321,Roster!$B:$B,0))="","",INDEX(Roster!$D:$D,MATCH($C1321,Roster!$B:$B,0))&amp;""),"—"))</f>
        <v/>
      </c>
      <c r="G1321" s="25">
        <f>IF($C1321="","",IFERROR(IF(INDEX(Roster!$E:$E,MATCH($C1321,Roster!$B:$B,0))="","",INDEX(Roster!$E:$E,MATCH($C1321,Roster!$B:$B,0))&amp;""),"—"))</f>
        <v/>
      </c>
      <c r="H1321" s="25">
        <f>IF($C1321="","",IFERROR(IF(INDEX(Roster!$F:$F,MATCH($C1321,Roster!$B:$B,0))="","",INDEX(Roster!$F:$F,MATCH($C1321,Roster!$B:$B,0))&amp;""),"—"))</f>
        <v/>
      </c>
      <c r="I1321" s="25">
        <f>IF($C1321="","",IFERROR(IF(INDEX(Roster!$G:$G,MATCH($C1321,Roster!$B:$B,0))="","",INDEX(Roster!$G:$G,MATCH($C1321,Roster!$B:$B,0))&amp;""),"—"))</f>
        <v/>
      </c>
      <c r="J1321" s="25">
        <f>IF($C1321="","",IFERROR(IF(INDEX(Roster!$I:$I,MATCH($C1321,Roster!$B:$B,0))="","",INDEX(Roster!$I:$I,MATCH($C1321,Roster!$B:$B,0))&amp;""),"—"))</f>
        <v/>
      </c>
      <c r="K1321">
        <f>IF($C1321="","",IFERROR(IF(INDEX(Roster!$J:$J,MATCH($C1321,Roster!$B:$B,0))="","",INDEX(Roster!$J:$J,MATCH($C1321,Roster!$B:$B,0))&amp;""),"—"))</f>
        <v/>
      </c>
      <c r="L1321">
        <f>IF($C1321="","",IFERROR(IF(INDEX(Roster!$K:$K,MATCH($C1321,Roster!$B:$B,0))="","",INDEX(Roster!$K:$K,MATCH($C1321,Roster!$B:$B,0))&amp;""),"—"))</f>
        <v/>
      </c>
      <c r="M1321" s="27" t="n"/>
      <c r="N1321" s="27" t="n"/>
      <c r="O1321" s="25">
        <f>IF($C1321="","",IF($P1321="","—",IF($P1321="Valid (Pass)","Valid","Invalid")))</f>
        <v/>
      </c>
      <c r="P1321" s="27" t="n"/>
      <c r="Q1321" s="27" t="n"/>
      <c r="R1321" s="27" t="n"/>
      <c r="S1321" s="27" t="n"/>
      <c r="T1321" s="25">
        <f>IF($C1321="","",IF(OR(ISNUMBER(SEARCH("quick case",$P1321)),ISNUMBER(SEARCH("quick case",$Q1321))),"Yes","No"))</f>
        <v/>
      </c>
      <c r="U1321" s="25">
        <f>IF($O1321="Invalid",HYPERLINK("mailto:"&amp;$G1321&amp;";"&amp;$I1321&amp;"?cc="&amp;Lists!$E$2&amp;"&amp;subject="&amp;_xlfn.ENCODEURL("[INVALID] Quality audit monitoring completed for "&amp;UPPER($C1321))&amp;"&amp;body="&amp;_xlfn.ENCODEURL("Hi "&amp;$F1321&amp;","&amp;CHAR(10)&amp;"Good day!"&amp;CHAR(10)&amp;CHAR(10)&amp;"A quality monitoring audit has been completed for "&amp;$C1321&amp;"."&amp;CHAR(10)&amp;CHAR(10)&amp;"QUALITY AUDIT DETAILS"&amp;CHAR(10)&amp;"Agent Name: "&amp;$C1321&amp;" (EID "&amp;$D1321&amp;")"&amp;CHAR(10)&amp;"Audit Date: "&amp;TEXT($B1321,"yyyy-mm-dd")&amp;CHAR(10)&amp;"Team Leader: "&amp;$F1321&amp;CHAR(10)&amp;"Case Number: "&amp;$M1321&amp;CHAR(10)&amp;"Transaction ID: "&amp;$N1321&amp;CHAR(10)&amp;"Channel / LOB: "&amp;$K1321&amp;" / "&amp;$L1321&amp;CHAR(10)&amp;"Evaluator: "&amp;$S1321&amp;CHAR(10)&amp;CHAR(10)&amp;"INVALID QUALITY AUDIT DETAILS"&amp;CHAR(10)&amp;"Validation: Invalid"&amp;CHAR(10)&amp;"Invalid Reason: "&amp;$P1321&amp;CHAR(10)&amp;"Expected Resolution Code: "&amp;$Q1321&amp;CHAR(10)&amp;"Remarks: "&amp;LEFT($R1321,600)&amp;CHAR(10)&amp;CHAR(10)&amp;"This is an automated notification from HP Mainstream EQMS."),"✉ Open Email Draft"),"")</f>
        <v/>
      </c>
    </row>
    <row r="1322">
      <c r="A1322" s="25">
        <f>IF($C1322="","","AUD-2026-"&amp;TEXT(ROW()-1,"000000"))</f>
        <v/>
      </c>
      <c r="B1322" s="26" t="n"/>
      <c r="C1322" s="27" t="n"/>
      <c r="D1322" s="25">
        <f>IF($C1322="","",IFERROR(IF(INDEX(Roster!$A:$A,MATCH($C1322,Roster!$B:$B,0))="","",INDEX(Roster!$A:$A,MATCH($C1322,Roster!$B:$B,0))&amp;""),"—"))</f>
        <v/>
      </c>
      <c r="E1322" s="25">
        <f>IF($C1322="","",IFERROR(IF(INDEX(Roster!$C:$C,MATCH($C1322,Roster!$B:$B,0))="","",INDEX(Roster!$C:$C,MATCH($C1322,Roster!$B:$B,0))&amp;""),"—"))</f>
        <v/>
      </c>
      <c r="F1322" s="25">
        <f>IF($C1322="","",IFERROR(IF(INDEX(Roster!$D:$D,MATCH($C1322,Roster!$B:$B,0))="","",INDEX(Roster!$D:$D,MATCH($C1322,Roster!$B:$B,0))&amp;""),"—"))</f>
        <v/>
      </c>
      <c r="G1322" s="25">
        <f>IF($C1322="","",IFERROR(IF(INDEX(Roster!$E:$E,MATCH($C1322,Roster!$B:$B,0))="","",INDEX(Roster!$E:$E,MATCH($C1322,Roster!$B:$B,0))&amp;""),"—"))</f>
        <v/>
      </c>
      <c r="H1322" s="25">
        <f>IF($C1322="","",IFERROR(IF(INDEX(Roster!$F:$F,MATCH($C1322,Roster!$B:$B,0))="","",INDEX(Roster!$F:$F,MATCH($C1322,Roster!$B:$B,0))&amp;""),"—"))</f>
        <v/>
      </c>
      <c r="I1322" s="25">
        <f>IF($C1322="","",IFERROR(IF(INDEX(Roster!$G:$G,MATCH($C1322,Roster!$B:$B,0))="","",INDEX(Roster!$G:$G,MATCH($C1322,Roster!$B:$B,0))&amp;""),"—"))</f>
        <v/>
      </c>
      <c r="J1322" s="25">
        <f>IF($C1322="","",IFERROR(IF(INDEX(Roster!$I:$I,MATCH($C1322,Roster!$B:$B,0))="","",INDEX(Roster!$I:$I,MATCH($C1322,Roster!$B:$B,0))&amp;""),"—"))</f>
        <v/>
      </c>
      <c r="K1322">
        <f>IF($C1322="","",IFERROR(IF(INDEX(Roster!$J:$J,MATCH($C1322,Roster!$B:$B,0))="","",INDEX(Roster!$J:$J,MATCH($C1322,Roster!$B:$B,0))&amp;""),"—"))</f>
        <v/>
      </c>
      <c r="L1322">
        <f>IF($C1322="","",IFERROR(IF(INDEX(Roster!$K:$K,MATCH($C1322,Roster!$B:$B,0))="","",INDEX(Roster!$K:$K,MATCH($C1322,Roster!$B:$B,0))&amp;""),"—"))</f>
        <v/>
      </c>
      <c r="M1322" s="27" t="n"/>
      <c r="N1322" s="27" t="n"/>
      <c r="O1322" s="25">
        <f>IF($C1322="","",IF($P1322="","—",IF($P1322="Valid (Pass)","Valid","Invalid")))</f>
        <v/>
      </c>
      <c r="P1322" s="27" t="n"/>
      <c r="Q1322" s="27" t="n"/>
      <c r="R1322" s="27" t="n"/>
      <c r="S1322" s="27" t="n"/>
      <c r="T1322" s="25">
        <f>IF($C1322="","",IF(OR(ISNUMBER(SEARCH("quick case",$P1322)),ISNUMBER(SEARCH("quick case",$Q1322))),"Yes","No"))</f>
        <v/>
      </c>
      <c r="U1322" s="25">
        <f>IF($O1322="Invalid",HYPERLINK("mailto:"&amp;$G1322&amp;";"&amp;$I1322&amp;"?cc="&amp;Lists!$E$2&amp;"&amp;subject="&amp;_xlfn.ENCODEURL("[INVALID] Quality audit monitoring completed for "&amp;UPPER($C1322))&amp;"&amp;body="&amp;_xlfn.ENCODEURL("Hi "&amp;$F1322&amp;","&amp;CHAR(10)&amp;"Good day!"&amp;CHAR(10)&amp;CHAR(10)&amp;"A quality monitoring audit has been completed for "&amp;$C1322&amp;"."&amp;CHAR(10)&amp;CHAR(10)&amp;"QUALITY AUDIT DETAILS"&amp;CHAR(10)&amp;"Agent Name: "&amp;$C1322&amp;" (EID "&amp;$D1322&amp;")"&amp;CHAR(10)&amp;"Audit Date: "&amp;TEXT($B1322,"yyyy-mm-dd")&amp;CHAR(10)&amp;"Team Leader: "&amp;$F1322&amp;CHAR(10)&amp;"Case Number: "&amp;$M1322&amp;CHAR(10)&amp;"Transaction ID: "&amp;$N1322&amp;CHAR(10)&amp;"Channel / LOB: "&amp;$K1322&amp;" / "&amp;$L1322&amp;CHAR(10)&amp;"Evaluator: "&amp;$S1322&amp;CHAR(10)&amp;CHAR(10)&amp;"INVALID QUALITY AUDIT DETAILS"&amp;CHAR(10)&amp;"Validation: Invalid"&amp;CHAR(10)&amp;"Invalid Reason: "&amp;$P1322&amp;CHAR(10)&amp;"Expected Resolution Code: "&amp;$Q1322&amp;CHAR(10)&amp;"Remarks: "&amp;LEFT($R1322,600)&amp;CHAR(10)&amp;CHAR(10)&amp;"This is an automated notification from HP Mainstream EQMS."),"✉ Open Email Draft"),"")</f>
        <v/>
      </c>
    </row>
    <row r="1323">
      <c r="A1323" s="25">
        <f>IF($C1323="","","AUD-2026-"&amp;TEXT(ROW()-1,"000000"))</f>
        <v/>
      </c>
      <c r="B1323" s="26" t="n"/>
      <c r="C1323" s="27" t="n"/>
      <c r="D1323" s="25">
        <f>IF($C1323="","",IFERROR(IF(INDEX(Roster!$A:$A,MATCH($C1323,Roster!$B:$B,0))="","",INDEX(Roster!$A:$A,MATCH($C1323,Roster!$B:$B,0))&amp;""),"—"))</f>
        <v/>
      </c>
      <c r="E1323" s="25">
        <f>IF($C1323="","",IFERROR(IF(INDEX(Roster!$C:$C,MATCH($C1323,Roster!$B:$B,0))="","",INDEX(Roster!$C:$C,MATCH($C1323,Roster!$B:$B,0))&amp;""),"—"))</f>
        <v/>
      </c>
      <c r="F1323" s="25">
        <f>IF($C1323="","",IFERROR(IF(INDEX(Roster!$D:$D,MATCH($C1323,Roster!$B:$B,0))="","",INDEX(Roster!$D:$D,MATCH($C1323,Roster!$B:$B,0))&amp;""),"—"))</f>
        <v/>
      </c>
      <c r="G1323" s="25">
        <f>IF($C1323="","",IFERROR(IF(INDEX(Roster!$E:$E,MATCH($C1323,Roster!$B:$B,0))="","",INDEX(Roster!$E:$E,MATCH($C1323,Roster!$B:$B,0))&amp;""),"—"))</f>
        <v/>
      </c>
      <c r="H1323" s="25">
        <f>IF($C1323="","",IFERROR(IF(INDEX(Roster!$F:$F,MATCH($C1323,Roster!$B:$B,0))="","",INDEX(Roster!$F:$F,MATCH($C1323,Roster!$B:$B,0))&amp;""),"—"))</f>
        <v/>
      </c>
      <c r="I1323" s="25">
        <f>IF($C1323="","",IFERROR(IF(INDEX(Roster!$G:$G,MATCH($C1323,Roster!$B:$B,0))="","",INDEX(Roster!$G:$G,MATCH($C1323,Roster!$B:$B,0))&amp;""),"—"))</f>
        <v/>
      </c>
      <c r="J1323" s="25">
        <f>IF($C1323="","",IFERROR(IF(INDEX(Roster!$I:$I,MATCH($C1323,Roster!$B:$B,0))="","",INDEX(Roster!$I:$I,MATCH($C1323,Roster!$B:$B,0))&amp;""),"—"))</f>
        <v/>
      </c>
      <c r="K1323">
        <f>IF($C1323="","",IFERROR(IF(INDEX(Roster!$J:$J,MATCH($C1323,Roster!$B:$B,0))="","",INDEX(Roster!$J:$J,MATCH($C1323,Roster!$B:$B,0))&amp;""),"—"))</f>
        <v/>
      </c>
      <c r="L1323">
        <f>IF($C1323="","",IFERROR(IF(INDEX(Roster!$K:$K,MATCH($C1323,Roster!$B:$B,0))="","",INDEX(Roster!$K:$K,MATCH($C1323,Roster!$B:$B,0))&amp;""),"—"))</f>
        <v/>
      </c>
      <c r="M1323" s="27" t="n"/>
      <c r="N1323" s="27" t="n"/>
      <c r="O1323" s="25">
        <f>IF($C1323="","",IF($P1323="","—",IF($P1323="Valid (Pass)","Valid","Invalid")))</f>
        <v/>
      </c>
      <c r="P1323" s="27" t="n"/>
      <c r="Q1323" s="27" t="n"/>
      <c r="R1323" s="27" t="n"/>
      <c r="S1323" s="27" t="n"/>
      <c r="T1323" s="25">
        <f>IF($C1323="","",IF(OR(ISNUMBER(SEARCH("quick case",$P1323)),ISNUMBER(SEARCH("quick case",$Q1323))),"Yes","No"))</f>
        <v/>
      </c>
      <c r="U1323" s="25">
        <f>IF($O1323="Invalid",HYPERLINK("mailto:"&amp;$G1323&amp;";"&amp;$I1323&amp;"?cc="&amp;Lists!$E$2&amp;"&amp;subject="&amp;_xlfn.ENCODEURL("[INVALID] Quality audit monitoring completed for "&amp;UPPER($C1323))&amp;"&amp;body="&amp;_xlfn.ENCODEURL("Hi "&amp;$F1323&amp;","&amp;CHAR(10)&amp;"Good day!"&amp;CHAR(10)&amp;CHAR(10)&amp;"A quality monitoring audit has been completed for "&amp;$C1323&amp;"."&amp;CHAR(10)&amp;CHAR(10)&amp;"QUALITY AUDIT DETAILS"&amp;CHAR(10)&amp;"Agent Name: "&amp;$C1323&amp;" (EID "&amp;$D1323&amp;")"&amp;CHAR(10)&amp;"Audit Date: "&amp;TEXT($B1323,"yyyy-mm-dd")&amp;CHAR(10)&amp;"Team Leader: "&amp;$F1323&amp;CHAR(10)&amp;"Case Number: "&amp;$M1323&amp;CHAR(10)&amp;"Transaction ID: "&amp;$N1323&amp;CHAR(10)&amp;"Channel / LOB: "&amp;$K1323&amp;" / "&amp;$L1323&amp;CHAR(10)&amp;"Evaluator: "&amp;$S1323&amp;CHAR(10)&amp;CHAR(10)&amp;"INVALID QUALITY AUDIT DETAILS"&amp;CHAR(10)&amp;"Validation: Invalid"&amp;CHAR(10)&amp;"Invalid Reason: "&amp;$P1323&amp;CHAR(10)&amp;"Expected Resolution Code: "&amp;$Q1323&amp;CHAR(10)&amp;"Remarks: "&amp;LEFT($R1323,600)&amp;CHAR(10)&amp;CHAR(10)&amp;"This is an automated notification from HP Mainstream EQMS."),"✉ Open Email Draft"),"")</f>
        <v/>
      </c>
    </row>
    <row r="1324">
      <c r="A1324" s="25">
        <f>IF($C1324="","","AUD-2026-"&amp;TEXT(ROW()-1,"000000"))</f>
        <v/>
      </c>
      <c r="B1324" s="26" t="n"/>
      <c r="C1324" s="27" t="n"/>
      <c r="D1324" s="25">
        <f>IF($C1324="","",IFERROR(IF(INDEX(Roster!$A:$A,MATCH($C1324,Roster!$B:$B,0))="","",INDEX(Roster!$A:$A,MATCH($C1324,Roster!$B:$B,0))&amp;""),"—"))</f>
        <v/>
      </c>
      <c r="E1324" s="25">
        <f>IF($C1324="","",IFERROR(IF(INDEX(Roster!$C:$C,MATCH($C1324,Roster!$B:$B,0))="","",INDEX(Roster!$C:$C,MATCH($C1324,Roster!$B:$B,0))&amp;""),"—"))</f>
        <v/>
      </c>
      <c r="F1324" s="25">
        <f>IF($C1324="","",IFERROR(IF(INDEX(Roster!$D:$D,MATCH($C1324,Roster!$B:$B,0))="","",INDEX(Roster!$D:$D,MATCH($C1324,Roster!$B:$B,0))&amp;""),"—"))</f>
        <v/>
      </c>
      <c r="G1324" s="25">
        <f>IF($C1324="","",IFERROR(IF(INDEX(Roster!$E:$E,MATCH($C1324,Roster!$B:$B,0))="","",INDEX(Roster!$E:$E,MATCH($C1324,Roster!$B:$B,0))&amp;""),"—"))</f>
        <v/>
      </c>
      <c r="H1324" s="25">
        <f>IF($C1324="","",IFERROR(IF(INDEX(Roster!$F:$F,MATCH($C1324,Roster!$B:$B,0))="","",INDEX(Roster!$F:$F,MATCH($C1324,Roster!$B:$B,0))&amp;""),"—"))</f>
        <v/>
      </c>
      <c r="I1324" s="25">
        <f>IF($C1324="","",IFERROR(IF(INDEX(Roster!$G:$G,MATCH($C1324,Roster!$B:$B,0))="","",INDEX(Roster!$G:$G,MATCH($C1324,Roster!$B:$B,0))&amp;""),"—"))</f>
        <v/>
      </c>
      <c r="J1324" s="25">
        <f>IF($C1324="","",IFERROR(IF(INDEX(Roster!$I:$I,MATCH($C1324,Roster!$B:$B,0))="","",INDEX(Roster!$I:$I,MATCH($C1324,Roster!$B:$B,0))&amp;""),"—"))</f>
        <v/>
      </c>
      <c r="K1324">
        <f>IF($C1324="","",IFERROR(IF(INDEX(Roster!$J:$J,MATCH($C1324,Roster!$B:$B,0))="","",INDEX(Roster!$J:$J,MATCH($C1324,Roster!$B:$B,0))&amp;""),"—"))</f>
        <v/>
      </c>
      <c r="L1324">
        <f>IF($C1324="","",IFERROR(IF(INDEX(Roster!$K:$K,MATCH($C1324,Roster!$B:$B,0))="","",INDEX(Roster!$K:$K,MATCH($C1324,Roster!$B:$B,0))&amp;""),"—"))</f>
        <v/>
      </c>
      <c r="M1324" s="27" t="n"/>
      <c r="N1324" s="27" t="n"/>
      <c r="O1324" s="25">
        <f>IF($C1324="","",IF($P1324="","—",IF($P1324="Valid (Pass)","Valid","Invalid")))</f>
        <v/>
      </c>
      <c r="P1324" s="27" t="n"/>
      <c r="Q1324" s="27" t="n"/>
      <c r="R1324" s="27" t="n"/>
      <c r="S1324" s="27" t="n"/>
      <c r="T1324" s="25">
        <f>IF($C1324="","",IF(OR(ISNUMBER(SEARCH("quick case",$P1324)),ISNUMBER(SEARCH("quick case",$Q1324))),"Yes","No"))</f>
        <v/>
      </c>
      <c r="U1324" s="25">
        <f>IF($O1324="Invalid",HYPERLINK("mailto:"&amp;$G1324&amp;";"&amp;$I1324&amp;"?cc="&amp;Lists!$E$2&amp;"&amp;subject="&amp;_xlfn.ENCODEURL("[INVALID] Quality audit monitoring completed for "&amp;UPPER($C1324))&amp;"&amp;body="&amp;_xlfn.ENCODEURL("Hi "&amp;$F1324&amp;","&amp;CHAR(10)&amp;"Good day!"&amp;CHAR(10)&amp;CHAR(10)&amp;"A quality monitoring audit has been completed for "&amp;$C1324&amp;"."&amp;CHAR(10)&amp;CHAR(10)&amp;"QUALITY AUDIT DETAILS"&amp;CHAR(10)&amp;"Agent Name: "&amp;$C1324&amp;" (EID "&amp;$D1324&amp;")"&amp;CHAR(10)&amp;"Audit Date: "&amp;TEXT($B1324,"yyyy-mm-dd")&amp;CHAR(10)&amp;"Team Leader: "&amp;$F1324&amp;CHAR(10)&amp;"Case Number: "&amp;$M1324&amp;CHAR(10)&amp;"Transaction ID: "&amp;$N1324&amp;CHAR(10)&amp;"Channel / LOB: "&amp;$K1324&amp;" / "&amp;$L1324&amp;CHAR(10)&amp;"Evaluator: "&amp;$S1324&amp;CHAR(10)&amp;CHAR(10)&amp;"INVALID QUALITY AUDIT DETAILS"&amp;CHAR(10)&amp;"Validation: Invalid"&amp;CHAR(10)&amp;"Invalid Reason: "&amp;$P1324&amp;CHAR(10)&amp;"Expected Resolution Code: "&amp;$Q1324&amp;CHAR(10)&amp;"Remarks: "&amp;LEFT($R1324,600)&amp;CHAR(10)&amp;CHAR(10)&amp;"This is an automated notification from HP Mainstream EQMS."),"✉ Open Email Draft"),"")</f>
        <v/>
      </c>
    </row>
    <row r="1325">
      <c r="A1325" s="25">
        <f>IF($C1325="","","AUD-2026-"&amp;TEXT(ROW()-1,"000000"))</f>
        <v/>
      </c>
      <c r="B1325" s="26" t="n"/>
      <c r="C1325" s="27" t="n"/>
      <c r="D1325" s="25">
        <f>IF($C1325="","",IFERROR(IF(INDEX(Roster!$A:$A,MATCH($C1325,Roster!$B:$B,0))="","",INDEX(Roster!$A:$A,MATCH($C1325,Roster!$B:$B,0))&amp;""),"—"))</f>
        <v/>
      </c>
      <c r="E1325" s="25">
        <f>IF($C1325="","",IFERROR(IF(INDEX(Roster!$C:$C,MATCH($C1325,Roster!$B:$B,0))="","",INDEX(Roster!$C:$C,MATCH($C1325,Roster!$B:$B,0))&amp;""),"—"))</f>
        <v/>
      </c>
      <c r="F1325" s="25">
        <f>IF($C1325="","",IFERROR(IF(INDEX(Roster!$D:$D,MATCH($C1325,Roster!$B:$B,0))="","",INDEX(Roster!$D:$D,MATCH($C1325,Roster!$B:$B,0))&amp;""),"—"))</f>
        <v/>
      </c>
      <c r="G1325" s="25">
        <f>IF($C1325="","",IFERROR(IF(INDEX(Roster!$E:$E,MATCH($C1325,Roster!$B:$B,0))="","",INDEX(Roster!$E:$E,MATCH($C1325,Roster!$B:$B,0))&amp;""),"—"))</f>
        <v/>
      </c>
      <c r="H1325" s="25">
        <f>IF($C1325="","",IFERROR(IF(INDEX(Roster!$F:$F,MATCH($C1325,Roster!$B:$B,0))="","",INDEX(Roster!$F:$F,MATCH($C1325,Roster!$B:$B,0))&amp;""),"—"))</f>
        <v/>
      </c>
      <c r="I1325" s="25">
        <f>IF($C1325="","",IFERROR(IF(INDEX(Roster!$G:$G,MATCH($C1325,Roster!$B:$B,0))="","",INDEX(Roster!$G:$G,MATCH($C1325,Roster!$B:$B,0))&amp;""),"—"))</f>
        <v/>
      </c>
      <c r="J1325" s="25">
        <f>IF($C1325="","",IFERROR(IF(INDEX(Roster!$I:$I,MATCH($C1325,Roster!$B:$B,0))="","",INDEX(Roster!$I:$I,MATCH($C1325,Roster!$B:$B,0))&amp;""),"—"))</f>
        <v/>
      </c>
      <c r="K1325">
        <f>IF($C1325="","",IFERROR(IF(INDEX(Roster!$J:$J,MATCH($C1325,Roster!$B:$B,0))="","",INDEX(Roster!$J:$J,MATCH($C1325,Roster!$B:$B,0))&amp;""),"—"))</f>
        <v/>
      </c>
      <c r="L1325">
        <f>IF($C1325="","",IFERROR(IF(INDEX(Roster!$K:$K,MATCH($C1325,Roster!$B:$B,0))="","",INDEX(Roster!$K:$K,MATCH($C1325,Roster!$B:$B,0))&amp;""),"—"))</f>
        <v/>
      </c>
      <c r="M1325" s="27" t="n"/>
      <c r="N1325" s="27" t="n"/>
      <c r="O1325" s="25">
        <f>IF($C1325="","",IF($P1325="","—",IF($P1325="Valid (Pass)","Valid","Invalid")))</f>
        <v/>
      </c>
      <c r="P1325" s="27" t="n"/>
      <c r="Q1325" s="27" t="n"/>
      <c r="R1325" s="27" t="n"/>
      <c r="S1325" s="27" t="n"/>
      <c r="T1325" s="25">
        <f>IF($C1325="","",IF(OR(ISNUMBER(SEARCH("quick case",$P1325)),ISNUMBER(SEARCH("quick case",$Q1325))),"Yes","No"))</f>
        <v/>
      </c>
      <c r="U1325" s="25">
        <f>IF($O1325="Invalid",HYPERLINK("mailto:"&amp;$G1325&amp;";"&amp;$I1325&amp;"?cc="&amp;Lists!$E$2&amp;"&amp;subject="&amp;_xlfn.ENCODEURL("[INVALID] Quality audit monitoring completed for "&amp;UPPER($C1325))&amp;"&amp;body="&amp;_xlfn.ENCODEURL("Hi "&amp;$F1325&amp;","&amp;CHAR(10)&amp;"Good day!"&amp;CHAR(10)&amp;CHAR(10)&amp;"A quality monitoring audit has been completed for "&amp;$C1325&amp;"."&amp;CHAR(10)&amp;CHAR(10)&amp;"QUALITY AUDIT DETAILS"&amp;CHAR(10)&amp;"Agent Name: "&amp;$C1325&amp;" (EID "&amp;$D1325&amp;")"&amp;CHAR(10)&amp;"Audit Date: "&amp;TEXT($B1325,"yyyy-mm-dd")&amp;CHAR(10)&amp;"Team Leader: "&amp;$F1325&amp;CHAR(10)&amp;"Case Number: "&amp;$M1325&amp;CHAR(10)&amp;"Transaction ID: "&amp;$N1325&amp;CHAR(10)&amp;"Channel / LOB: "&amp;$K1325&amp;" / "&amp;$L1325&amp;CHAR(10)&amp;"Evaluator: "&amp;$S1325&amp;CHAR(10)&amp;CHAR(10)&amp;"INVALID QUALITY AUDIT DETAILS"&amp;CHAR(10)&amp;"Validation: Invalid"&amp;CHAR(10)&amp;"Invalid Reason: "&amp;$P1325&amp;CHAR(10)&amp;"Expected Resolution Code: "&amp;$Q1325&amp;CHAR(10)&amp;"Remarks: "&amp;LEFT($R1325,600)&amp;CHAR(10)&amp;CHAR(10)&amp;"This is an automated notification from HP Mainstream EQMS."),"✉ Open Email Draft"),"")</f>
        <v/>
      </c>
    </row>
    <row r="1326">
      <c r="A1326" s="25">
        <f>IF($C1326="","","AUD-2026-"&amp;TEXT(ROW()-1,"000000"))</f>
        <v/>
      </c>
      <c r="B1326" s="26" t="n"/>
      <c r="C1326" s="27" t="n"/>
      <c r="D1326" s="25">
        <f>IF($C1326="","",IFERROR(IF(INDEX(Roster!$A:$A,MATCH($C1326,Roster!$B:$B,0))="","",INDEX(Roster!$A:$A,MATCH($C1326,Roster!$B:$B,0))&amp;""),"—"))</f>
        <v/>
      </c>
      <c r="E1326" s="25">
        <f>IF($C1326="","",IFERROR(IF(INDEX(Roster!$C:$C,MATCH($C1326,Roster!$B:$B,0))="","",INDEX(Roster!$C:$C,MATCH($C1326,Roster!$B:$B,0))&amp;""),"—"))</f>
        <v/>
      </c>
      <c r="F1326" s="25">
        <f>IF($C1326="","",IFERROR(IF(INDEX(Roster!$D:$D,MATCH($C1326,Roster!$B:$B,0))="","",INDEX(Roster!$D:$D,MATCH($C1326,Roster!$B:$B,0))&amp;""),"—"))</f>
        <v/>
      </c>
      <c r="G1326" s="25">
        <f>IF($C1326="","",IFERROR(IF(INDEX(Roster!$E:$E,MATCH($C1326,Roster!$B:$B,0))="","",INDEX(Roster!$E:$E,MATCH($C1326,Roster!$B:$B,0))&amp;""),"—"))</f>
        <v/>
      </c>
      <c r="H1326" s="25">
        <f>IF($C1326="","",IFERROR(IF(INDEX(Roster!$F:$F,MATCH($C1326,Roster!$B:$B,0))="","",INDEX(Roster!$F:$F,MATCH($C1326,Roster!$B:$B,0))&amp;""),"—"))</f>
        <v/>
      </c>
      <c r="I1326" s="25">
        <f>IF($C1326="","",IFERROR(IF(INDEX(Roster!$G:$G,MATCH($C1326,Roster!$B:$B,0))="","",INDEX(Roster!$G:$G,MATCH($C1326,Roster!$B:$B,0))&amp;""),"—"))</f>
        <v/>
      </c>
      <c r="J1326" s="25">
        <f>IF($C1326="","",IFERROR(IF(INDEX(Roster!$I:$I,MATCH($C1326,Roster!$B:$B,0))="","",INDEX(Roster!$I:$I,MATCH($C1326,Roster!$B:$B,0))&amp;""),"—"))</f>
        <v/>
      </c>
      <c r="K1326">
        <f>IF($C1326="","",IFERROR(IF(INDEX(Roster!$J:$J,MATCH($C1326,Roster!$B:$B,0))="","",INDEX(Roster!$J:$J,MATCH($C1326,Roster!$B:$B,0))&amp;""),"—"))</f>
        <v/>
      </c>
      <c r="L1326">
        <f>IF($C1326="","",IFERROR(IF(INDEX(Roster!$K:$K,MATCH($C1326,Roster!$B:$B,0))="","",INDEX(Roster!$K:$K,MATCH($C1326,Roster!$B:$B,0))&amp;""),"—"))</f>
        <v/>
      </c>
      <c r="M1326" s="27" t="n"/>
      <c r="N1326" s="27" t="n"/>
      <c r="O1326" s="25">
        <f>IF($C1326="","",IF($P1326="","—",IF($P1326="Valid (Pass)","Valid","Invalid")))</f>
        <v/>
      </c>
      <c r="P1326" s="27" t="n"/>
      <c r="Q1326" s="27" t="n"/>
      <c r="R1326" s="27" t="n"/>
      <c r="S1326" s="27" t="n"/>
      <c r="T1326" s="25">
        <f>IF($C1326="","",IF(OR(ISNUMBER(SEARCH("quick case",$P1326)),ISNUMBER(SEARCH("quick case",$Q1326))),"Yes","No"))</f>
        <v/>
      </c>
      <c r="U1326" s="25">
        <f>IF($O1326="Invalid",HYPERLINK("mailto:"&amp;$G1326&amp;";"&amp;$I1326&amp;"?cc="&amp;Lists!$E$2&amp;"&amp;subject="&amp;_xlfn.ENCODEURL("[INVALID] Quality audit monitoring completed for "&amp;UPPER($C1326))&amp;"&amp;body="&amp;_xlfn.ENCODEURL("Hi "&amp;$F1326&amp;","&amp;CHAR(10)&amp;"Good day!"&amp;CHAR(10)&amp;CHAR(10)&amp;"A quality monitoring audit has been completed for "&amp;$C1326&amp;"."&amp;CHAR(10)&amp;CHAR(10)&amp;"QUALITY AUDIT DETAILS"&amp;CHAR(10)&amp;"Agent Name: "&amp;$C1326&amp;" (EID "&amp;$D1326&amp;")"&amp;CHAR(10)&amp;"Audit Date: "&amp;TEXT($B1326,"yyyy-mm-dd")&amp;CHAR(10)&amp;"Team Leader: "&amp;$F1326&amp;CHAR(10)&amp;"Case Number: "&amp;$M1326&amp;CHAR(10)&amp;"Transaction ID: "&amp;$N1326&amp;CHAR(10)&amp;"Channel / LOB: "&amp;$K1326&amp;" / "&amp;$L1326&amp;CHAR(10)&amp;"Evaluator: "&amp;$S1326&amp;CHAR(10)&amp;CHAR(10)&amp;"INVALID QUALITY AUDIT DETAILS"&amp;CHAR(10)&amp;"Validation: Invalid"&amp;CHAR(10)&amp;"Invalid Reason: "&amp;$P1326&amp;CHAR(10)&amp;"Expected Resolution Code: "&amp;$Q1326&amp;CHAR(10)&amp;"Remarks: "&amp;LEFT($R1326,600)&amp;CHAR(10)&amp;CHAR(10)&amp;"This is an automated notification from HP Mainstream EQMS."),"✉ Open Email Draft"),"")</f>
        <v/>
      </c>
    </row>
    <row r="1327">
      <c r="A1327" s="25">
        <f>IF($C1327="","","AUD-2026-"&amp;TEXT(ROW()-1,"000000"))</f>
        <v/>
      </c>
      <c r="B1327" s="26" t="n"/>
      <c r="C1327" s="27" t="n"/>
      <c r="D1327" s="25">
        <f>IF($C1327="","",IFERROR(IF(INDEX(Roster!$A:$A,MATCH($C1327,Roster!$B:$B,0))="","",INDEX(Roster!$A:$A,MATCH($C1327,Roster!$B:$B,0))&amp;""),"—"))</f>
        <v/>
      </c>
      <c r="E1327" s="25">
        <f>IF($C1327="","",IFERROR(IF(INDEX(Roster!$C:$C,MATCH($C1327,Roster!$B:$B,0))="","",INDEX(Roster!$C:$C,MATCH($C1327,Roster!$B:$B,0))&amp;""),"—"))</f>
        <v/>
      </c>
      <c r="F1327" s="25">
        <f>IF($C1327="","",IFERROR(IF(INDEX(Roster!$D:$D,MATCH($C1327,Roster!$B:$B,0))="","",INDEX(Roster!$D:$D,MATCH($C1327,Roster!$B:$B,0))&amp;""),"—"))</f>
        <v/>
      </c>
      <c r="G1327" s="25">
        <f>IF($C1327="","",IFERROR(IF(INDEX(Roster!$E:$E,MATCH($C1327,Roster!$B:$B,0))="","",INDEX(Roster!$E:$E,MATCH($C1327,Roster!$B:$B,0))&amp;""),"—"))</f>
        <v/>
      </c>
      <c r="H1327" s="25">
        <f>IF($C1327="","",IFERROR(IF(INDEX(Roster!$F:$F,MATCH($C1327,Roster!$B:$B,0))="","",INDEX(Roster!$F:$F,MATCH($C1327,Roster!$B:$B,0))&amp;""),"—"))</f>
        <v/>
      </c>
      <c r="I1327" s="25">
        <f>IF($C1327="","",IFERROR(IF(INDEX(Roster!$G:$G,MATCH($C1327,Roster!$B:$B,0))="","",INDEX(Roster!$G:$G,MATCH($C1327,Roster!$B:$B,0))&amp;""),"—"))</f>
        <v/>
      </c>
      <c r="J1327" s="25">
        <f>IF($C1327="","",IFERROR(IF(INDEX(Roster!$I:$I,MATCH($C1327,Roster!$B:$B,0))="","",INDEX(Roster!$I:$I,MATCH($C1327,Roster!$B:$B,0))&amp;""),"—"))</f>
        <v/>
      </c>
      <c r="K1327">
        <f>IF($C1327="","",IFERROR(IF(INDEX(Roster!$J:$J,MATCH($C1327,Roster!$B:$B,0))="","",INDEX(Roster!$J:$J,MATCH($C1327,Roster!$B:$B,0))&amp;""),"—"))</f>
        <v/>
      </c>
      <c r="L1327">
        <f>IF($C1327="","",IFERROR(IF(INDEX(Roster!$K:$K,MATCH($C1327,Roster!$B:$B,0))="","",INDEX(Roster!$K:$K,MATCH($C1327,Roster!$B:$B,0))&amp;""),"—"))</f>
        <v/>
      </c>
      <c r="M1327" s="27" t="n"/>
      <c r="N1327" s="27" t="n"/>
      <c r="O1327" s="25">
        <f>IF($C1327="","",IF($P1327="","—",IF($P1327="Valid (Pass)","Valid","Invalid")))</f>
        <v/>
      </c>
      <c r="P1327" s="27" t="n"/>
      <c r="Q1327" s="27" t="n"/>
      <c r="R1327" s="27" t="n"/>
      <c r="S1327" s="27" t="n"/>
      <c r="T1327" s="25">
        <f>IF($C1327="","",IF(OR(ISNUMBER(SEARCH("quick case",$P1327)),ISNUMBER(SEARCH("quick case",$Q1327))),"Yes","No"))</f>
        <v/>
      </c>
      <c r="U1327" s="25">
        <f>IF($O1327="Invalid",HYPERLINK("mailto:"&amp;$G1327&amp;";"&amp;$I1327&amp;"?cc="&amp;Lists!$E$2&amp;"&amp;subject="&amp;_xlfn.ENCODEURL("[INVALID] Quality audit monitoring completed for "&amp;UPPER($C1327))&amp;"&amp;body="&amp;_xlfn.ENCODEURL("Hi "&amp;$F1327&amp;","&amp;CHAR(10)&amp;"Good day!"&amp;CHAR(10)&amp;CHAR(10)&amp;"A quality monitoring audit has been completed for "&amp;$C1327&amp;"."&amp;CHAR(10)&amp;CHAR(10)&amp;"QUALITY AUDIT DETAILS"&amp;CHAR(10)&amp;"Agent Name: "&amp;$C1327&amp;" (EID "&amp;$D1327&amp;")"&amp;CHAR(10)&amp;"Audit Date: "&amp;TEXT($B1327,"yyyy-mm-dd")&amp;CHAR(10)&amp;"Team Leader: "&amp;$F1327&amp;CHAR(10)&amp;"Case Number: "&amp;$M1327&amp;CHAR(10)&amp;"Transaction ID: "&amp;$N1327&amp;CHAR(10)&amp;"Channel / LOB: "&amp;$K1327&amp;" / "&amp;$L1327&amp;CHAR(10)&amp;"Evaluator: "&amp;$S1327&amp;CHAR(10)&amp;CHAR(10)&amp;"INVALID QUALITY AUDIT DETAILS"&amp;CHAR(10)&amp;"Validation: Invalid"&amp;CHAR(10)&amp;"Invalid Reason: "&amp;$P1327&amp;CHAR(10)&amp;"Expected Resolution Code: "&amp;$Q1327&amp;CHAR(10)&amp;"Remarks: "&amp;LEFT($R1327,600)&amp;CHAR(10)&amp;CHAR(10)&amp;"This is an automated notification from HP Mainstream EQMS."),"✉ Open Email Draft"),"")</f>
        <v/>
      </c>
    </row>
    <row r="1328">
      <c r="A1328" s="25">
        <f>IF($C1328="","","AUD-2026-"&amp;TEXT(ROW()-1,"000000"))</f>
        <v/>
      </c>
      <c r="B1328" s="26" t="n"/>
      <c r="C1328" s="27" t="n"/>
      <c r="D1328" s="25">
        <f>IF($C1328="","",IFERROR(IF(INDEX(Roster!$A:$A,MATCH($C1328,Roster!$B:$B,0))="","",INDEX(Roster!$A:$A,MATCH($C1328,Roster!$B:$B,0))&amp;""),"—"))</f>
        <v/>
      </c>
      <c r="E1328" s="25">
        <f>IF($C1328="","",IFERROR(IF(INDEX(Roster!$C:$C,MATCH($C1328,Roster!$B:$B,0))="","",INDEX(Roster!$C:$C,MATCH($C1328,Roster!$B:$B,0))&amp;""),"—"))</f>
        <v/>
      </c>
      <c r="F1328" s="25">
        <f>IF($C1328="","",IFERROR(IF(INDEX(Roster!$D:$D,MATCH($C1328,Roster!$B:$B,0))="","",INDEX(Roster!$D:$D,MATCH($C1328,Roster!$B:$B,0))&amp;""),"—"))</f>
        <v/>
      </c>
      <c r="G1328" s="25">
        <f>IF($C1328="","",IFERROR(IF(INDEX(Roster!$E:$E,MATCH($C1328,Roster!$B:$B,0))="","",INDEX(Roster!$E:$E,MATCH($C1328,Roster!$B:$B,0))&amp;""),"—"))</f>
        <v/>
      </c>
      <c r="H1328" s="25">
        <f>IF($C1328="","",IFERROR(IF(INDEX(Roster!$F:$F,MATCH($C1328,Roster!$B:$B,0))="","",INDEX(Roster!$F:$F,MATCH($C1328,Roster!$B:$B,0))&amp;""),"—"))</f>
        <v/>
      </c>
      <c r="I1328" s="25">
        <f>IF($C1328="","",IFERROR(IF(INDEX(Roster!$G:$G,MATCH($C1328,Roster!$B:$B,0))="","",INDEX(Roster!$G:$G,MATCH($C1328,Roster!$B:$B,0))&amp;""),"—"))</f>
        <v/>
      </c>
      <c r="J1328" s="25">
        <f>IF($C1328="","",IFERROR(IF(INDEX(Roster!$I:$I,MATCH($C1328,Roster!$B:$B,0))="","",INDEX(Roster!$I:$I,MATCH($C1328,Roster!$B:$B,0))&amp;""),"—"))</f>
        <v/>
      </c>
      <c r="K1328">
        <f>IF($C1328="","",IFERROR(IF(INDEX(Roster!$J:$J,MATCH($C1328,Roster!$B:$B,0))="","",INDEX(Roster!$J:$J,MATCH($C1328,Roster!$B:$B,0))&amp;""),"—"))</f>
        <v/>
      </c>
      <c r="L1328">
        <f>IF($C1328="","",IFERROR(IF(INDEX(Roster!$K:$K,MATCH($C1328,Roster!$B:$B,0))="","",INDEX(Roster!$K:$K,MATCH($C1328,Roster!$B:$B,0))&amp;""),"—"))</f>
        <v/>
      </c>
      <c r="M1328" s="27" t="n"/>
      <c r="N1328" s="27" t="n"/>
      <c r="O1328" s="25">
        <f>IF($C1328="","",IF($P1328="","—",IF($P1328="Valid (Pass)","Valid","Invalid")))</f>
        <v/>
      </c>
      <c r="P1328" s="27" t="n"/>
      <c r="Q1328" s="27" t="n"/>
      <c r="R1328" s="27" t="n"/>
      <c r="S1328" s="27" t="n"/>
      <c r="T1328" s="25">
        <f>IF($C1328="","",IF(OR(ISNUMBER(SEARCH("quick case",$P1328)),ISNUMBER(SEARCH("quick case",$Q1328))),"Yes","No"))</f>
        <v/>
      </c>
      <c r="U1328" s="25">
        <f>IF($O1328="Invalid",HYPERLINK("mailto:"&amp;$G1328&amp;";"&amp;$I1328&amp;"?cc="&amp;Lists!$E$2&amp;"&amp;subject="&amp;_xlfn.ENCODEURL("[INVALID] Quality audit monitoring completed for "&amp;UPPER($C1328))&amp;"&amp;body="&amp;_xlfn.ENCODEURL("Hi "&amp;$F1328&amp;","&amp;CHAR(10)&amp;"Good day!"&amp;CHAR(10)&amp;CHAR(10)&amp;"A quality monitoring audit has been completed for "&amp;$C1328&amp;"."&amp;CHAR(10)&amp;CHAR(10)&amp;"QUALITY AUDIT DETAILS"&amp;CHAR(10)&amp;"Agent Name: "&amp;$C1328&amp;" (EID "&amp;$D1328&amp;")"&amp;CHAR(10)&amp;"Audit Date: "&amp;TEXT($B1328,"yyyy-mm-dd")&amp;CHAR(10)&amp;"Team Leader: "&amp;$F1328&amp;CHAR(10)&amp;"Case Number: "&amp;$M1328&amp;CHAR(10)&amp;"Transaction ID: "&amp;$N1328&amp;CHAR(10)&amp;"Channel / LOB: "&amp;$K1328&amp;" / "&amp;$L1328&amp;CHAR(10)&amp;"Evaluator: "&amp;$S1328&amp;CHAR(10)&amp;CHAR(10)&amp;"INVALID QUALITY AUDIT DETAILS"&amp;CHAR(10)&amp;"Validation: Invalid"&amp;CHAR(10)&amp;"Invalid Reason: "&amp;$P1328&amp;CHAR(10)&amp;"Expected Resolution Code: "&amp;$Q1328&amp;CHAR(10)&amp;"Remarks: "&amp;LEFT($R1328,600)&amp;CHAR(10)&amp;CHAR(10)&amp;"This is an automated notification from HP Mainstream EQMS."),"✉ Open Email Draft"),"")</f>
        <v/>
      </c>
    </row>
    <row r="1329">
      <c r="A1329" s="25">
        <f>IF($C1329="","","AUD-2026-"&amp;TEXT(ROW()-1,"000000"))</f>
        <v/>
      </c>
      <c r="B1329" s="26" t="n"/>
      <c r="C1329" s="27" t="n"/>
      <c r="D1329" s="25">
        <f>IF($C1329="","",IFERROR(IF(INDEX(Roster!$A:$A,MATCH($C1329,Roster!$B:$B,0))="","",INDEX(Roster!$A:$A,MATCH($C1329,Roster!$B:$B,0))&amp;""),"—"))</f>
        <v/>
      </c>
      <c r="E1329" s="25">
        <f>IF($C1329="","",IFERROR(IF(INDEX(Roster!$C:$C,MATCH($C1329,Roster!$B:$B,0))="","",INDEX(Roster!$C:$C,MATCH($C1329,Roster!$B:$B,0))&amp;""),"—"))</f>
        <v/>
      </c>
      <c r="F1329" s="25">
        <f>IF($C1329="","",IFERROR(IF(INDEX(Roster!$D:$D,MATCH($C1329,Roster!$B:$B,0))="","",INDEX(Roster!$D:$D,MATCH($C1329,Roster!$B:$B,0))&amp;""),"—"))</f>
        <v/>
      </c>
      <c r="G1329" s="25">
        <f>IF($C1329="","",IFERROR(IF(INDEX(Roster!$E:$E,MATCH($C1329,Roster!$B:$B,0))="","",INDEX(Roster!$E:$E,MATCH($C1329,Roster!$B:$B,0))&amp;""),"—"))</f>
        <v/>
      </c>
      <c r="H1329" s="25">
        <f>IF($C1329="","",IFERROR(IF(INDEX(Roster!$F:$F,MATCH($C1329,Roster!$B:$B,0))="","",INDEX(Roster!$F:$F,MATCH($C1329,Roster!$B:$B,0))&amp;""),"—"))</f>
        <v/>
      </c>
      <c r="I1329" s="25">
        <f>IF($C1329="","",IFERROR(IF(INDEX(Roster!$G:$G,MATCH($C1329,Roster!$B:$B,0))="","",INDEX(Roster!$G:$G,MATCH($C1329,Roster!$B:$B,0))&amp;""),"—"))</f>
        <v/>
      </c>
      <c r="J1329" s="25">
        <f>IF($C1329="","",IFERROR(IF(INDEX(Roster!$I:$I,MATCH($C1329,Roster!$B:$B,0))="","",INDEX(Roster!$I:$I,MATCH($C1329,Roster!$B:$B,0))&amp;""),"—"))</f>
        <v/>
      </c>
      <c r="K1329">
        <f>IF($C1329="","",IFERROR(IF(INDEX(Roster!$J:$J,MATCH($C1329,Roster!$B:$B,0))="","",INDEX(Roster!$J:$J,MATCH($C1329,Roster!$B:$B,0))&amp;""),"—"))</f>
        <v/>
      </c>
      <c r="L1329">
        <f>IF($C1329="","",IFERROR(IF(INDEX(Roster!$K:$K,MATCH($C1329,Roster!$B:$B,0))="","",INDEX(Roster!$K:$K,MATCH($C1329,Roster!$B:$B,0))&amp;""),"—"))</f>
        <v/>
      </c>
      <c r="M1329" s="27" t="n"/>
      <c r="N1329" s="27" t="n"/>
      <c r="O1329" s="25">
        <f>IF($C1329="","",IF($P1329="","—",IF($P1329="Valid (Pass)","Valid","Invalid")))</f>
        <v/>
      </c>
      <c r="P1329" s="27" t="n"/>
      <c r="Q1329" s="27" t="n"/>
      <c r="R1329" s="27" t="n"/>
      <c r="S1329" s="27" t="n"/>
      <c r="T1329" s="25">
        <f>IF($C1329="","",IF(OR(ISNUMBER(SEARCH("quick case",$P1329)),ISNUMBER(SEARCH("quick case",$Q1329))),"Yes","No"))</f>
        <v/>
      </c>
      <c r="U1329" s="25">
        <f>IF($O1329="Invalid",HYPERLINK("mailto:"&amp;$G1329&amp;";"&amp;$I1329&amp;"?cc="&amp;Lists!$E$2&amp;"&amp;subject="&amp;_xlfn.ENCODEURL("[INVALID] Quality audit monitoring completed for "&amp;UPPER($C1329))&amp;"&amp;body="&amp;_xlfn.ENCODEURL("Hi "&amp;$F1329&amp;","&amp;CHAR(10)&amp;"Good day!"&amp;CHAR(10)&amp;CHAR(10)&amp;"A quality monitoring audit has been completed for "&amp;$C1329&amp;"."&amp;CHAR(10)&amp;CHAR(10)&amp;"QUALITY AUDIT DETAILS"&amp;CHAR(10)&amp;"Agent Name: "&amp;$C1329&amp;" (EID "&amp;$D1329&amp;")"&amp;CHAR(10)&amp;"Audit Date: "&amp;TEXT($B1329,"yyyy-mm-dd")&amp;CHAR(10)&amp;"Team Leader: "&amp;$F1329&amp;CHAR(10)&amp;"Case Number: "&amp;$M1329&amp;CHAR(10)&amp;"Transaction ID: "&amp;$N1329&amp;CHAR(10)&amp;"Channel / LOB: "&amp;$K1329&amp;" / "&amp;$L1329&amp;CHAR(10)&amp;"Evaluator: "&amp;$S1329&amp;CHAR(10)&amp;CHAR(10)&amp;"INVALID QUALITY AUDIT DETAILS"&amp;CHAR(10)&amp;"Validation: Invalid"&amp;CHAR(10)&amp;"Invalid Reason: "&amp;$P1329&amp;CHAR(10)&amp;"Expected Resolution Code: "&amp;$Q1329&amp;CHAR(10)&amp;"Remarks: "&amp;LEFT($R1329,600)&amp;CHAR(10)&amp;CHAR(10)&amp;"This is an automated notification from HP Mainstream EQMS."),"✉ Open Email Draft"),"")</f>
        <v/>
      </c>
    </row>
    <row r="1330">
      <c r="A1330" s="25">
        <f>IF($C1330="","","AUD-2026-"&amp;TEXT(ROW()-1,"000000"))</f>
        <v/>
      </c>
      <c r="B1330" s="26" t="n"/>
      <c r="C1330" s="27" t="n"/>
      <c r="D1330" s="25">
        <f>IF($C1330="","",IFERROR(IF(INDEX(Roster!$A:$A,MATCH($C1330,Roster!$B:$B,0))="","",INDEX(Roster!$A:$A,MATCH($C1330,Roster!$B:$B,0))&amp;""),"—"))</f>
        <v/>
      </c>
      <c r="E1330" s="25">
        <f>IF($C1330="","",IFERROR(IF(INDEX(Roster!$C:$C,MATCH($C1330,Roster!$B:$B,0))="","",INDEX(Roster!$C:$C,MATCH($C1330,Roster!$B:$B,0))&amp;""),"—"))</f>
        <v/>
      </c>
      <c r="F1330" s="25">
        <f>IF($C1330="","",IFERROR(IF(INDEX(Roster!$D:$D,MATCH($C1330,Roster!$B:$B,0))="","",INDEX(Roster!$D:$D,MATCH($C1330,Roster!$B:$B,0))&amp;""),"—"))</f>
        <v/>
      </c>
      <c r="G1330" s="25">
        <f>IF($C1330="","",IFERROR(IF(INDEX(Roster!$E:$E,MATCH($C1330,Roster!$B:$B,0))="","",INDEX(Roster!$E:$E,MATCH($C1330,Roster!$B:$B,0))&amp;""),"—"))</f>
        <v/>
      </c>
      <c r="H1330" s="25">
        <f>IF($C1330="","",IFERROR(IF(INDEX(Roster!$F:$F,MATCH($C1330,Roster!$B:$B,0))="","",INDEX(Roster!$F:$F,MATCH($C1330,Roster!$B:$B,0))&amp;""),"—"))</f>
        <v/>
      </c>
      <c r="I1330" s="25">
        <f>IF($C1330="","",IFERROR(IF(INDEX(Roster!$G:$G,MATCH($C1330,Roster!$B:$B,0))="","",INDEX(Roster!$G:$G,MATCH($C1330,Roster!$B:$B,0))&amp;""),"—"))</f>
        <v/>
      </c>
      <c r="J1330" s="25">
        <f>IF($C1330="","",IFERROR(IF(INDEX(Roster!$I:$I,MATCH($C1330,Roster!$B:$B,0))="","",INDEX(Roster!$I:$I,MATCH($C1330,Roster!$B:$B,0))&amp;""),"—"))</f>
        <v/>
      </c>
      <c r="K1330">
        <f>IF($C1330="","",IFERROR(IF(INDEX(Roster!$J:$J,MATCH($C1330,Roster!$B:$B,0))="","",INDEX(Roster!$J:$J,MATCH($C1330,Roster!$B:$B,0))&amp;""),"—"))</f>
        <v/>
      </c>
      <c r="L1330">
        <f>IF($C1330="","",IFERROR(IF(INDEX(Roster!$K:$K,MATCH($C1330,Roster!$B:$B,0))="","",INDEX(Roster!$K:$K,MATCH($C1330,Roster!$B:$B,0))&amp;""),"—"))</f>
        <v/>
      </c>
      <c r="M1330" s="27" t="n"/>
      <c r="N1330" s="27" t="n"/>
      <c r="O1330" s="25">
        <f>IF($C1330="","",IF($P1330="","—",IF($P1330="Valid (Pass)","Valid","Invalid")))</f>
        <v/>
      </c>
      <c r="P1330" s="27" t="n"/>
      <c r="Q1330" s="27" t="n"/>
      <c r="R1330" s="27" t="n"/>
      <c r="S1330" s="27" t="n"/>
      <c r="T1330" s="25">
        <f>IF($C1330="","",IF(OR(ISNUMBER(SEARCH("quick case",$P1330)),ISNUMBER(SEARCH("quick case",$Q1330))),"Yes","No"))</f>
        <v/>
      </c>
      <c r="U1330" s="25">
        <f>IF($O1330="Invalid",HYPERLINK("mailto:"&amp;$G1330&amp;";"&amp;$I1330&amp;"?cc="&amp;Lists!$E$2&amp;"&amp;subject="&amp;_xlfn.ENCODEURL("[INVALID] Quality audit monitoring completed for "&amp;UPPER($C1330))&amp;"&amp;body="&amp;_xlfn.ENCODEURL("Hi "&amp;$F1330&amp;","&amp;CHAR(10)&amp;"Good day!"&amp;CHAR(10)&amp;CHAR(10)&amp;"A quality monitoring audit has been completed for "&amp;$C1330&amp;"."&amp;CHAR(10)&amp;CHAR(10)&amp;"QUALITY AUDIT DETAILS"&amp;CHAR(10)&amp;"Agent Name: "&amp;$C1330&amp;" (EID "&amp;$D1330&amp;")"&amp;CHAR(10)&amp;"Audit Date: "&amp;TEXT($B1330,"yyyy-mm-dd")&amp;CHAR(10)&amp;"Team Leader: "&amp;$F1330&amp;CHAR(10)&amp;"Case Number: "&amp;$M1330&amp;CHAR(10)&amp;"Transaction ID: "&amp;$N1330&amp;CHAR(10)&amp;"Channel / LOB: "&amp;$K1330&amp;" / "&amp;$L1330&amp;CHAR(10)&amp;"Evaluator: "&amp;$S1330&amp;CHAR(10)&amp;CHAR(10)&amp;"INVALID QUALITY AUDIT DETAILS"&amp;CHAR(10)&amp;"Validation: Invalid"&amp;CHAR(10)&amp;"Invalid Reason: "&amp;$P1330&amp;CHAR(10)&amp;"Expected Resolution Code: "&amp;$Q1330&amp;CHAR(10)&amp;"Remarks: "&amp;LEFT($R1330,600)&amp;CHAR(10)&amp;CHAR(10)&amp;"This is an automated notification from HP Mainstream EQMS."),"✉ Open Email Draft"),"")</f>
        <v/>
      </c>
    </row>
    <row r="1331">
      <c r="A1331" s="25">
        <f>IF($C1331="","","AUD-2026-"&amp;TEXT(ROW()-1,"000000"))</f>
        <v/>
      </c>
      <c r="B1331" s="26" t="n"/>
      <c r="C1331" s="27" t="n"/>
      <c r="D1331" s="25">
        <f>IF($C1331="","",IFERROR(IF(INDEX(Roster!$A:$A,MATCH($C1331,Roster!$B:$B,0))="","",INDEX(Roster!$A:$A,MATCH($C1331,Roster!$B:$B,0))&amp;""),"—"))</f>
        <v/>
      </c>
      <c r="E1331" s="25">
        <f>IF($C1331="","",IFERROR(IF(INDEX(Roster!$C:$C,MATCH($C1331,Roster!$B:$B,0))="","",INDEX(Roster!$C:$C,MATCH($C1331,Roster!$B:$B,0))&amp;""),"—"))</f>
        <v/>
      </c>
      <c r="F1331" s="25">
        <f>IF($C1331="","",IFERROR(IF(INDEX(Roster!$D:$D,MATCH($C1331,Roster!$B:$B,0))="","",INDEX(Roster!$D:$D,MATCH($C1331,Roster!$B:$B,0))&amp;""),"—"))</f>
        <v/>
      </c>
      <c r="G1331" s="25">
        <f>IF($C1331="","",IFERROR(IF(INDEX(Roster!$E:$E,MATCH($C1331,Roster!$B:$B,0))="","",INDEX(Roster!$E:$E,MATCH($C1331,Roster!$B:$B,0))&amp;""),"—"))</f>
        <v/>
      </c>
      <c r="H1331" s="25">
        <f>IF($C1331="","",IFERROR(IF(INDEX(Roster!$F:$F,MATCH($C1331,Roster!$B:$B,0))="","",INDEX(Roster!$F:$F,MATCH($C1331,Roster!$B:$B,0))&amp;""),"—"))</f>
        <v/>
      </c>
      <c r="I1331" s="25">
        <f>IF($C1331="","",IFERROR(IF(INDEX(Roster!$G:$G,MATCH($C1331,Roster!$B:$B,0))="","",INDEX(Roster!$G:$G,MATCH($C1331,Roster!$B:$B,0))&amp;""),"—"))</f>
        <v/>
      </c>
      <c r="J1331" s="25">
        <f>IF($C1331="","",IFERROR(IF(INDEX(Roster!$I:$I,MATCH($C1331,Roster!$B:$B,0))="","",INDEX(Roster!$I:$I,MATCH($C1331,Roster!$B:$B,0))&amp;""),"—"))</f>
        <v/>
      </c>
      <c r="K1331">
        <f>IF($C1331="","",IFERROR(IF(INDEX(Roster!$J:$J,MATCH($C1331,Roster!$B:$B,0))="","",INDEX(Roster!$J:$J,MATCH($C1331,Roster!$B:$B,0))&amp;""),"—"))</f>
        <v/>
      </c>
      <c r="L1331">
        <f>IF($C1331="","",IFERROR(IF(INDEX(Roster!$K:$K,MATCH($C1331,Roster!$B:$B,0))="","",INDEX(Roster!$K:$K,MATCH($C1331,Roster!$B:$B,0))&amp;""),"—"))</f>
        <v/>
      </c>
      <c r="M1331" s="27" t="n"/>
      <c r="N1331" s="27" t="n"/>
      <c r="O1331" s="25">
        <f>IF($C1331="","",IF($P1331="","—",IF($P1331="Valid (Pass)","Valid","Invalid")))</f>
        <v/>
      </c>
      <c r="P1331" s="27" t="n"/>
      <c r="Q1331" s="27" t="n"/>
      <c r="R1331" s="27" t="n"/>
      <c r="S1331" s="27" t="n"/>
      <c r="T1331" s="25">
        <f>IF($C1331="","",IF(OR(ISNUMBER(SEARCH("quick case",$P1331)),ISNUMBER(SEARCH("quick case",$Q1331))),"Yes","No"))</f>
        <v/>
      </c>
      <c r="U1331" s="25">
        <f>IF($O1331="Invalid",HYPERLINK("mailto:"&amp;$G1331&amp;";"&amp;$I1331&amp;"?cc="&amp;Lists!$E$2&amp;"&amp;subject="&amp;_xlfn.ENCODEURL("[INVALID] Quality audit monitoring completed for "&amp;UPPER($C1331))&amp;"&amp;body="&amp;_xlfn.ENCODEURL("Hi "&amp;$F1331&amp;","&amp;CHAR(10)&amp;"Good day!"&amp;CHAR(10)&amp;CHAR(10)&amp;"A quality monitoring audit has been completed for "&amp;$C1331&amp;"."&amp;CHAR(10)&amp;CHAR(10)&amp;"QUALITY AUDIT DETAILS"&amp;CHAR(10)&amp;"Agent Name: "&amp;$C1331&amp;" (EID "&amp;$D1331&amp;")"&amp;CHAR(10)&amp;"Audit Date: "&amp;TEXT($B1331,"yyyy-mm-dd")&amp;CHAR(10)&amp;"Team Leader: "&amp;$F1331&amp;CHAR(10)&amp;"Case Number: "&amp;$M1331&amp;CHAR(10)&amp;"Transaction ID: "&amp;$N1331&amp;CHAR(10)&amp;"Channel / LOB: "&amp;$K1331&amp;" / "&amp;$L1331&amp;CHAR(10)&amp;"Evaluator: "&amp;$S1331&amp;CHAR(10)&amp;CHAR(10)&amp;"INVALID QUALITY AUDIT DETAILS"&amp;CHAR(10)&amp;"Validation: Invalid"&amp;CHAR(10)&amp;"Invalid Reason: "&amp;$P1331&amp;CHAR(10)&amp;"Expected Resolution Code: "&amp;$Q1331&amp;CHAR(10)&amp;"Remarks: "&amp;LEFT($R1331,600)&amp;CHAR(10)&amp;CHAR(10)&amp;"This is an automated notification from HP Mainstream EQMS."),"✉ Open Email Draft"),"")</f>
        <v/>
      </c>
    </row>
    <row r="1332">
      <c r="A1332" s="25">
        <f>IF($C1332="","","AUD-2026-"&amp;TEXT(ROW()-1,"000000"))</f>
        <v/>
      </c>
      <c r="B1332" s="26" t="n"/>
      <c r="C1332" s="27" t="n"/>
      <c r="D1332" s="25">
        <f>IF($C1332="","",IFERROR(IF(INDEX(Roster!$A:$A,MATCH($C1332,Roster!$B:$B,0))="","",INDEX(Roster!$A:$A,MATCH($C1332,Roster!$B:$B,0))&amp;""),"—"))</f>
        <v/>
      </c>
      <c r="E1332" s="25">
        <f>IF($C1332="","",IFERROR(IF(INDEX(Roster!$C:$C,MATCH($C1332,Roster!$B:$B,0))="","",INDEX(Roster!$C:$C,MATCH($C1332,Roster!$B:$B,0))&amp;""),"—"))</f>
        <v/>
      </c>
      <c r="F1332" s="25">
        <f>IF($C1332="","",IFERROR(IF(INDEX(Roster!$D:$D,MATCH($C1332,Roster!$B:$B,0))="","",INDEX(Roster!$D:$D,MATCH($C1332,Roster!$B:$B,0))&amp;""),"—"))</f>
        <v/>
      </c>
      <c r="G1332" s="25">
        <f>IF($C1332="","",IFERROR(IF(INDEX(Roster!$E:$E,MATCH($C1332,Roster!$B:$B,0))="","",INDEX(Roster!$E:$E,MATCH($C1332,Roster!$B:$B,0))&amp;""),"—"))</f>
        <v/>
      </c>
      <c r="H1332" s="25">
        <f>IF($C1332="","",IFERROR(IF(INDEX(Roster!$F:$F,MATCH($C1332,Roster!$B:$B,0))="","",INDEX(Roster!$F:$F,MATCH($C1332,Roster!$B:$B,0))&amp;""),"—"))</f>
        <v/>
      </c>
      <c r="I1332" s="25">
        <f>IF($C1332="","",IFERROR(IF(INDEX(Roster!$G:$G,MATCH($C1332,Roster!$B:$B,0))="","",INDEX(Roster!$G:$G,MATCH($C1332,Roster!$B:$B,0))&amp;""),"—"))</f>
        <v/>
      </c>
      <c r="J1332" s="25">
        <f>IF($C1332="","",IFERROR(IF(INDEX(Roster!$I:$I,MATCH($C1332,Roster!$B:$B,0))="","",INDEX(Roster!$I:$I,MATCH($C1332,Roster!$B:$B,0))&amp;""),"—"))</f>
        <v/>
      </c>
      <c r="K1332">
        <f>IF($C1332="","",IFERROR(IF(INDEX(Roster!$J:$J,MATCH($C1332,Roster!$B:$B,0))="","",INDEX(Roster!$J:$J,MATCH($C1332,Roster!$B:$B,0))&amp;""),"—"))</f>
        <v/>
      </c>
      <c r="L1332">
        <f>IF($C1332="","",IFERROR(IF(INDEX(Roster!$K:$K,MATCH($C1332,Roster!$B:$B,0))="","",INDEX(Roster!$K:$K,MATCH($C1332,Roster!$B:$B,0))&amp;""),"—"))</f>
        <v/>
      </c>
      <c r="M1332" s="27" t="n"/>
      <c r="N1332" s="27" t="n"/>
      <c r="O1332" s="25">
        <f>IF($C1332="","",IF($P1332="","—",IF($P1332="Valid (Pass)","Valid","Invalid")))</f>
        <v/>
      </c>
      <c r="P1332" s="27" t="n"/>
      <c r="Q1332" s="27" t="n"/>
      <c r="R1332" s="27" t="n"/>
      <c r="S1332" s="27" t="n"/>
      <c r="T1332" s="25">
        <f>IF($C1332="","",IF(OR(ISNUMBER(SEARCH("quick case",$P1332)),ISNUMBER(SEARCH("quick case",$Q1332))),"Yes","No"))</f>
        <v/>
      </c>
      <c r="U1332" s="25">
        <f>IF($O1332="Invalid",HYPERLINK("mailto:"&amp;$G1332&amp;";"&amp;$I1332&amp;"?cc="&amp;Lists!$E$2&amp;"&amp;subject="&amp;_xlfn.ENCODEURL("[INVALID] Quality audit monitoring completed for "&amp;UPPER($C1332))&amp;"&amp;body="&amp;_xlfn.ENCODEURL("Hi "&amp;$F1332&amp;","&amp;CHAR(10)&amp;"Good day!"&amp;CHAR(10)&amp;CHAR(10)&amp;"A quality monitoring audit has been completed for "&amp;$C1332&amp;"."&amp;CHAR(10)&amp;CHAR(10)&amp;"QUALITY AUDIT DETAILS"&amp;CHAR(10)&amp;"Agent Name: "&amp;$C1332&amp;" (EID "&amp;$D1332&amp;")"&amp;CHAR(10)&amp;"Audit Date: "&amp;TEXT($B1332,"yyyy-mm-dd")&amp;CHAR(10)&amp;"Team Leader: "&amp;$F1332&amp;CHAR(10)&amp;"Case Number: "&amp;$M1332&amp;CHAR(10)&amp;"Transaction ID: "&amp;$N1332&amp;CHAR(10)&amp;"Channel / LOB: "&amp;$K1332&amp;" / "&amp;$L1332&amp;CHAR(10)&amp;"Evaluator: "&amp;$S1332&amp;CHAR(10)&amp;CHAR(10)&amp;"INVALID QUALITY AUDIT DETAILS"&amp;CHAR(10)&amp;"Validation: Invalid"&amp;CHAR(10)&amp;"Invalid Reason: "&amp;$P1332&amp;CHAR(10)&amp;"Expected Resolution Code: "&amp;$Q1332&amp;CHAR(10)&amp;"Remarks: "&amp;LEFT($R1332,600)&amp;CHAR(10)&amp;CHAR(10)&amp;"This is an automated notification from HP Mainstream EQMS."),"✉ Open Email Draft"),"")</f>
        <v/>
      </c>
    </row>
    <row r="1333">
      <c r="A1333" s="25">
        <f>IF($C1333="","","AUD-2026-"&amp;TEXT(ROW()-1,"000000"))</f>
        <v/>
      </c>
      <c r="B1333" s="26" t="n"/>
      <c r="C1333" s="27" t="n"/>
      <c r="D1333" s="25">
        <f>IF($C1333="","",IFERROR(IF(INDEX(Roster!$A:$A,MATCH($C1333,Roster!$B:$B,0))="","",INDEX(Roster!$A:$A,MATCH($C1333,Roster!$B:$B,0))&amp;""),"—"))</f>
        <v/>
      </c>
      <c r="E1333" s="25">
        <f>IF($C1333="","",IFERROR(IF(INDEX(Roster!$C:$C,MATCH($C1333,Roster!$B:$B,0))="","",INDEX(Roster!$C:$C,MATCH($C1333,Roster!$B:$B,0))&amp;""),"—"))</f>
        <v/>
      </c>
      <c r="F1333" s="25">
        <f>IF($C1333="","",IFERROR(IF(INDEX(Roster!$D:$D,MATCH($C1333,Roster!$B:$B,0))="","",INDEX(Roster!$D:$D,MATCH($C1333,Roster!$B:$B,0))&amp;""),"—"))</f>
        <v/>
      </c>
      <c r="G1333" s="25">
        <f>IF($C1333="","",IFERROR(IF(INDEX(Roster!$E:$E,MATCH($C1333,Roster!$B:$B,0))="","",INDEX(Roster!$E:$E,MATCH($C1333,Roster!$B:$B,0))&amp;""),"—"))</f>
        <v/>
      </c>
      <c r="H1333" s="25">
        <f>IF($C1333="","",IFERROR(IF(INDEX(Roster!$F:$F,MATCH($C1333,Roster!$B:$B,0))="","",INDEX(Roster!$F:$F,MATCH($C1333,Roster!$B:$B,0))&amp;""),"—"))</f>
        <v/>
      </c>
      <c r="I1333" s="25">
        <f>IF($C1333="","",IFERROR(IF(INDEX(Roster!$G:$G,MATCH($C1333,Roster!$B:$B,0))="","",INDEX(Roster!$G:$G,MATCH($C1333,Roster!$B:$B,0))&amp;""),"—"))</f>
        <v/>
      </c>
      <c r="J1333" s="25">
        <f>IF($C1333="","",IFERROR(IF(INDEX(Roster!$I:$I,MATCH($C1333,Roster!$B:$B,0))="","",INDEX(Roster!$I:$I,MATCH($C1333,Roster!$B:$B,0))&amp;""),"—"))</f>
        <v/>
      </c>
      <c r="K1333">
        <f>IF($C1333="","",IFERROR(IF(INDEX(Roster!$J:$J,MATCH($C1333,Roster!$B:$B,0))="","",INDEX(Roster!$J:$J,MATCH($C1333,Roster!$B:$B,0))&amp;""),"—"))</f>
        <v/>
      </c>
      <c r="L1333">
        <f>IF($C1333="","",IFERROR(IF(INDEX(Roster!$K:$K,MATCH($C1333,Roster!$B:$B,0))="","",INDEX(Roster!$K:$K,MATCH($C1333,Roster!$B:$B,0))&amp;""),"—"))</f>
        <v/>
      </c>
      <c r="M1333" s="27" t="n"/>
      <c r="N1333" s="27" t="n"/>
      <c r="O1333" s="25">
        <f>IF($C1333="","",IF($P1333="","—",IF($P1333="Valid (Pass)","Valid","Invalid")))</f>
        <v/>
      </c>
      <c r="P1333" s="27" t="n"/>
      <c r="Q1333" s="27" t="n"/>
      <c r="R1333" s="27" t="n"/>
      <c r="S1333" s="27" t="n"/>
      <c r="T1333" s="25">
        <f>IF($C1333="","",IF(OR(ISNUMBER(SEARCH("quick case",$P1333)),ISNUMBER(SEARCH("quick case",$Q1333))),"Yes","No"))</f>
        <v/>
      </c>
      <c r="U1333" s="25">
        <f>IF($O1333="Invalid",HYPERLINK("mailto:"&amp;$G1333&amp;";"&amp;$I1333&amp;"?cc="&amp;Lists!$E$2&amp;"&amp;subject="&amp;_xlfn.ENCODEURL("[INVALID] Quality audit monitoring completed for "&amp;UPPER($C1333))&amp;"&amp;body="&amp;_xlfn.ENCODEURL("Hi "&amp;$F1333&amp;","&amp;CHAR(10)&amp;"Good day!"&amp;CHAR(10)&amp;CHAR(10)&amp;"A quality monitoring audit has been completed for "&amp;$C1333&amp;"."&amp;CHAR(10)&amp;CHAR(10)&amp;"QUALITY AUDIT DETAILS"&amp;CHAR(10)&amp;"Agent Name: "&amp;$C1333&amp;" (EID "&amp;$D1333&amp;")"&amp;CHAR(10)&amp;"Audit Date: "&amp;TEXT($B1333,"yyyy-mm-dd")&amp;CHAR(10)&amp;"Team Leader: "&amp;$F1333&amp;CHAR(10)&amp;"Case Number: "&amp;$M1333&amp;CHAR(10)&amp;"Transaction ID: "&amp;$N1333&amp;CHAR(10)&amp;"Channel / LOB: "&amp;$K1333&amp;" / "&amp;$L1333&amp;CHAR(10)&amp;"Evaluator: "&amp;$S1333&amp;CHAR(10)&amp;CHAR(10)&amp;"INVALID QUALITY AUDIT DETAILS"&amp;CHAR(10)&amp;"Validation: Invalid"&amp;CHAR(10)&amp;"Invalid Reason: "&amp;$P1333&amp;CHAR(10)&amp;"Expected Resolution Code: "&amp;$Q1333&amp;CHAR(10)&amp;"Remarks: "&amp;LEFT($R1333,600)&amp;CHAR(10)&amp;CHAR(10)&amp;"This is an automated notification from HP Mainstream EQMS."),"✉ Open Email Draft"),"")</f>
        <v/>
      </c>
    </row>
    <row r="1334">
      <c r="A1334" s="25">
        <f>IF($C1334="","","AUD-2026-"&amp;TEXT(ROW()-1,"000000"))</f>
        <v/>
      </c>
      <c r="B1334" s="26" t="n"/>
      <c r="C1334" s="27" t="n"/>
      <c r="D1334" s="25">
        <f>IF($C1334="","",IFERROR(IF(INDEX(Roster!$A:$A,MATCH($C1334,Roster!$B:$B,0))="","",INDEX(Roster!$A:$A,MATCH($C1334,Roster!$B:$B,0))&amp;""),"—"))</f>
        <v/>
      </c>
      <c r="E1334" s="25">
        <f>IF($C1334="","",IFERROR(IF(INDEX(Roster!$C:$C,MATCH($C1334,Roster!$B:$B,0))="","",INDEX(Roster!$C:$C,MATCH($C1334,Roster!$B:$B,0))&amp;""),"—"))</f>
        <v/>
      </c>
      <c r="F1334" s="25">
        <f>IF($C1334="","",IFERROR(IF(INDEX(Roster!$D:$D,MATCH($C1334,Roster!$B:$B,0))="","",INDEX(Roster!$D:$D,MATCH($C1334,Roster!$B:$B,0))&amp;""),"—"))</f>
        <v/>
      </c>
      <c r="G1334" s="25">
        <f>IF($C1334="","",IFERROR(IF(INDEX(Roster!$E:$E,MATCH($C1334,Roster!$B:$B,0))="","",INDEX(Roster!$E:$E,MATCH($C1334,Roster!$B:$B,0))&amp;""),"—"))</f>
        <v/>
      </c>
      <c r="H1334" s="25">
        <f>IF($C1334="","",IFERROR(IF(INDEX(Roster!$F:$F,MATCH($C1334,Roster!$B:$B,0))="","",INDEX(Roster!$F:$F,MATCH($C1334,Roster!$B:$B,0))&amp;""),"—"))</f>
        <v/>
      </c>
      <c r="I1334" s="25">
        <f>IF($C1334="","",IFERROR(IF(INDEX(Roster!$G:$G,MATCH($C1334,Roster!$B:$B,0))="","",INDEX(Roster!$G:$G,MATCH($C1334,Roster!$B:$B,0))&amp;""),"—"))</f>
        <v/>
      </c>
      <c r="J1334" s="25">
        <f>IF($C1334="","",IFERROR(IF(INDEX(Roster!$I:$I,MATCH($C1334,Roster!$B:$B,0))="","",INDEX(Roster!$I:$I,MATCH($C1334,Roster!$B:$B,0))&amp;""),"—"))</f>
        <v/>
      </c>
      <c r="K1334">
        <f>IF($C1334="","",IFERROR(IF(INDEX(Roster!$J:$J,MATCH($C1334,Roster!$B:$B,0))="","",INDEX(Roster!$J:$J,MATCH($C1334,Roster!$B:$B,0))&amp;""),"—"))</f>
        <v/>
      </c>
      <c r="L1334">
        <f>IF($C1334="","",IFERROR(IF(INDEX(Roster!$K:$K,MATCH($C1334,Roster!$B:$B,0))="","",INDEX(Roster!$K:$K,MATCH($C1334,Roster!$B:$B,0))&amp;""),"—"))</f>
        <v/>
      </c>
      <c r="M1334" s="27" t="n"/>
      <c r="N1334" s="27" t="n"/>
      <c r="O1334" s="25">
        <f>IF($C1334="","",IF($P1334="","—",IF($P1334="Valid (Pass)","Valid","Invalid")))</f>
        <v/>
      </c>
      <c r="P1334" s="27" t="n"/>
      <c r="Q1334" s="27" t="n"/>
      <c r="R1334" s="27" t="n"/>
      <c r="S1334" s="27" t="n"/>
      <c r="T1334" s="25">
        <f>IF($C1334="","",IF(OR(ISNUMBER(SEARCH("quick case",$P1334)),ISNUMBER(SEARCH("quick case",$Q1334))),"Yes","No"))</f>
        <v/>
      </c>
      <c r="U1334" s="25">
        <f>IF($O1334="Invalid",HYPERLINK("mailto:"&amp;$G1334&amp;";"&amp;$I1334&amp;"?cc="&amp;Lists!$E$2&amp;"&amp;subject="&amp;_xlfn.ENCODEURL("[INVALID] Quality audit monitoring completed for "&amp;UPPER($C1334))&amp;"&amp;body="&amp;_xlfn.ENCODEURL("Hi "&amp;$F1334&amp;","&amp;CHAR(10)&amp;"Good day!"&amp;CHAR(10)&amp;CHAR(10)&amp;"A quality monitoring audit has been completed for "&amp;$C1334&amp;"."&amp;CHAR(10)&amp;CHAR(10)&amp;"QUALITY AUDIT DETAILS"&amp;CHAR(10)&amp;"Agent Name: "&amp;$C1334&amp;" (EID "&amp;$D1334&amp;")"&amp;CHAR(10)&amp;"Audit Date: "&amp;TEXT($B1334,"yyyy-mm-dd")&amp;CHAR(10)&amp;"Team Leader: "&amp;$F1334&amp;CHAR(10)&amp;"Case Number: "&amp;$M1334&amp;CHAR(10)&amp;"Transaction ID: "&amp;$N1334&amp;CHAR(10)&amp;"Channel / LOB: "&amp;$K1334&amp;" / "&amp;$L1334&amp;CHAR(10)&amp;"Evaluator: "&amp;$S1334&amp;CHAR(10)&amp;CHAR(10)&amp;"INVALID QUALITY AUDIT DETAILS"&amp;CHAR(10)&amp;"Validation: Invalid"&amp;CHAR(10)&amp;"Invalid Reason: "&amp;$P1334&amp;CHAR(10)&amp;"Expected Resolution Code: "&amp;$Q1334&amp;CHAR(10)&amp;"Remarks: "&amp;LEFT($R1334,600)&amp;CHAR(10)&amp;CHAR(10)&amp;"This is an automated notification from HP Mainstream EQMS."),"✉ Open Email Draft"),"")</f>
        <v/>
      </c>
    </row>
    <row r="1335">
      <c r="A1335" s="25">
        <f>IF($C1335="","","AUD-2026-"&amp;TEXT(ROW()-1,"000000"))</f>
        <v/>
      </c>
      <c r="B1335" s="26" t="n"/>
      <c r="C1335" s="27" t="n"/>
      <c r="D1335" s="25">
        <f>IF($C1335="","",IFERROR(IF(INDEX(Roster!$A:$A,MATCH($C1335,Roster!$B:$B,0))="","",INDEX(Roster!$A:$A,MATCH($C1335,Roster!$B:$B,0))&amp;""),"—"))</f>
        <v/>
      </c>
      <c r="E1335" s="25">
        <f>IF($C1335="","",IFERROR(IF(INDEX(Roster!$C:$C,MATCH($C1335,Roster!$B:$B,0))="","",INDEX(Roster!$C:$C,MATCH($C1335,Roster!$B:$B,0))&amp;""),"—"))</f>
        <v/>
      </c>
      <c r="F1335" s="25">
        <f>IF($C1335="","",IFERROR(IF(INDEX(Roster!$D:$D,MATCH($C1335,Roster!$B:$B,0))="","",INDEX(Roster!$D:$D,MATCH($C1335,Roster!$B:$B,0))&amp;""),"—"))</f>
        <v/>
      </c>
      <c r="G1335" s="25">
        <f>IF($C1335="","",IFERROR(IF(INDEX(Roster!$E:$E,MATCH($C1335,Roster!$B:$B,0))="","",INDEX(Roster!$E:$E,MATCH($C1335,Roster!$B:$B,0))&amp;""),"—"))</f>
        <v/>
      </c>
      <c r="H1335" s="25">
        <f>IF($C1335="","",IFERROR(IF(INDEX(Roster!$F:$F,MATCH($C1335,Roster!$B:$B,0))="","",INDEX(Roster!$F:$F,MATCH($C1335,Roster!$B:$B,0))&amp;""),"—"))</f>
        <v/>
      </c>
      <c r="I1335" s="25">
        <f>IF($C1335="","",IFERROR(IF(INDEX(Roster!$G:$G,MATCH($C1335,Roster!$B:$B,0))="","",INDEX(Roster!$G:$G,MATCH($C1335,Roster!$B:$B,0))&amp;""),"—"))</f>
        <v/>
      </c>
      <c r="J1335" s="25">
        <f>IF($C1335="","",IFERROR(IF(INDEX(Roster!$I:$I,MATCH($C1335,Roster!$B:$B,0))="","",INDEX(Roster!$I:$I,MATCH($C1335,Roster!$B:$B,0))&amp;""),"—"))</f>
        <v/>
      </c>
      <c r="K1335">
        <f>IF($C1335="","",IFERROR(IF(INDEX(Roster!$J:$J,MATCH($C1335,Roster!$B:$B,0))="","",INDEX(Roster!$J:$J,MATCH($C1335,Roster!$B:$B,0))&amp;""),"—"))</f>
        <v/>
      </c>
      <c r="L1335">
        <f>IF($C1335="","",IFERROR(IF(INDEX(Roster!$K:$K,MATCH($C1335,Roster!$B:$B,0))="","",INDEX(Roster!$K:$K,MATCH($C1335,Roster!$B:$B,0))&amp;""),"—"))</f>
        <v/>
      </c>
      <c r="M1335" s="27" t="n"/>
      <c r="N1335" s="27" t="n"/>
      <c r="O1335" s="25">
        <f>IF($C1335="","",IF($P1335="","—",IF($P1335="Valid (Pass)","Valid","Invalid")))</f>
        <v/>
      </c>
      <c r="P1335" s="27" t="n"/>
      <c r="Q1335" s="27" t="n"/>
      <c r="R1335" s="27" t="n"/>
      <c r="S1335" s="27" t="n"/>
      <c r="T1335" s="25">
        <f>IF($C1335="","",IF(OR(ISNUMBER(SEARCH("quick case",$P1335)),ISNUMBER(SEARCH("quick case",$Q1335))),"Yes","No"))</f>
        <v/>
      </c>
      <c r="U1335" s="25">
        <f>IF($O1335="Invalid",HYPERLINK("mailto:"&amp;$G1335&amp;";"&amp;$I1335&amp;"?cc="&amp;Lists!$E$2&amp;"&amp;subject="&amp;_xlfn.ENCODEURL("[INVALID] Quality audit monitoring completed for "&amp;UPPER($C1335))&amp;"&amp;body="&amp;_xlfn.ENCODEURL("Hi "&amp;$F1335&amp;","&amp;CHAR(10)&amp;"Good day!"&amp;CHAR(10)&amp;CHAR(10)&amp;"A quality monitoring audit has been completed for "&amp;$C1335&amp;"."&amp;CHAR(10)&amp;CHAR(10)&amp;"QUALITY AUDIT DETAILS"&amp;CHAR(10)&amp;"Agent Name: "&amp;$C1335&amp;" (EID "&amp;$D1335&amp;")"&amp;CHAR(10)&amp;"Audit Date: "&amp;TEXT($B1335,"yyyy-mm-dd")&amp;CHAR(10)&amp;"Team Leader: "&amp;$F1335&amp;CHAR(10)&amp;"Case Number: "&amp;$M1335&amp;CHAR(10)&amp;"Transaction ID: "&amp;$N1335&amp;CHAR(10)&amp;"Channel / LOB: "&amp;$K1335&amp;" / "&amp;$L1335&amp;CHAR(10)&amp;"Evaluator: "&amp;$S1335&amp;CHAR(10)&amp;CHAR(10)&amp;"INVALID QUALITY AUDIT DETAILS"&amp;CHAR(10)&amp;"Validation: Invalid"&amp;CHAR(10)&amp;"Invalid Reason: "&amp;$P1335&amp;CHAR(10)&amp;"Expected Resolution Code: "&amp;$Q1335&amp;CHAR(10)&amp;"Remarks: "&amp;LEFT($R1335,600)&amp;CHAR(10)&amp;CHAR(10)&amp;"This is an automated notification from HP Mainstream EQMS."),"✉ Open Email Draft"),"")</f>
        <v/>
      </c>
    </row>
    <row r="1336">
      <c r="A1336" s="25">
        <f>IF($C1336="","","AUD-2026-"&amp;TEXT(ROW()-1,"000000"))</f>
        <v/>
      </c>
      <c r="B1336" s="26" t="n"/>
      <c r="C1336" s="27" t="n"/>
      <c r="D1336" s="25">
        <f>IF($C1336="","",IFERROR(IF(INDEX(Roster!$A:$A,MATCH($C1336,Roster!$B:$B,0))="","",INDEX(Roster!$A:$A,MATCH($C1336,Roster!$B:$B,0))&amp;""),"—"))</f>
        <v/>
      </c>
      <c r="E1336" s="25">
        <f>IF($C1336="","",IFERROR(IF(INDEX(Roster!$C:$C,MATCH($C1336,Roster!$B:$B,0))="","",INDEX(Roster!$C:$C,MATCH($C1336,Roster!$B:$B,0))&amp;""),"—"))</f>
        <v/>
      </c>
      <c r="F1336" s="25">
        <f>IF($C1336="","",IFERROR(IF(INDEX(Roster!$D:$D,MATCH($C1336,Roster!$B:$B,0))="","",INDEX(Roster!$D:$D,MATCH($C1336,Roster!$B:$B,0))&amp;""),"—"))</f>
        <v/>
      </c>
      <c r="G1336" s="25">
        <f>IF($C1336="","",IFERROR(IF(INDEX(Roster!$E:$E,MATCH($C1336,Roster!$B:$B,0))="","",INDEX(Roster!$E:$E,MATCH($C1336,Roster!$B:$B,0))&amp;""),"—"))</f>
        <v/>
      </c>
      <c r="H1336" s="25">
        <f>IF($C1336="","",IFERROR(IF(INDEX(Roster!$F:$F,MATCH($C1336,Roster!$B:$B,0))="","",INDEX(Roster!$F:$F,MATCH($C1336,Roster!$B:$B,0))&amp;""),"—"))</f>
        <v/>
      </c>
      <c r="I1336" s="25">
        <f>IF($C1336="","",IFERROR(IF(INDEX(Roster!$G:$G,MATCH($C1336,Roster!$B:$B,0))="","",INDEX(Roster!$G:$G,MATCH($C1336,Roster!$B:$B,0))&amp;""),"—"))</f>
        <v/>
      </c>
      <c r="J1336" s="25">
        <f>IF($C1336="","",IFERROR(IF(INDEX(Roster!$I:$I,MATCH($C1336,Roster!$B:$B,0))="","",INDEX(Roster!$I:$I,MATCH($C1336,Roster!$B:$B,0))&amp;""),"—"))</f>
        <v/>
      </c>
      <c r="K1336">
        <f>IF($C1336="","",IFERROR(IF(INDEX(Roster!$J:$J,MATCH($C1336,Roster!$B:$B,0))="","",INDEX(Roster!$J:$J,MATCH($C1336,Roster!$B:$B,0))&amp;""),"—"))</f>
        <v/>
      </c>
      <c r="L1336">
        <f>IF($C1336="","",IFERROR(IF(INDEX(Roster!$K:$K,MATCH($C1336,Roster!$B:$B,0))="","",INDEX(Roster!$K:$K,MATCH($C1336,Roster!$B:$B,0))&amp;""),"—"))</f>
        <v/>
      </c>
      <c r="M1336" s="27" t="n"/>
      <c r="N1336" s="27" t="n"/>
      <c r="O1336" s="25">
        <f>IF($C1336="","",IF($P1336="","—",IF($P1336="Valid (Pass)","Valid","Invalid")))</f>
        <v/>
      </c>
      <c r="P1336" s="27" t="n"/>
      <c r="Q1336" s="27" t="n"/>
      <c r="R1336" s="27" t="n"/>
      <c r="S1336" s="27" t="n"/>
      <c r="T1336" s="25">
        <f>IF($C1336="","",IF(OR(ISNUMBER(SEARCH("quick case",$P1336)),ISNUMBER(SEARCH("quick case",$Q1336))),"Yes","No"))</f>
        <v/>
      </c>
      <c r="U1336" s="25">
        <f>IF($O1336="Invalid",HYPERLINK("mailto:"&amp;$G1336&amp;";"&amp;$I1336&amp;"?cc="&amp;Lists!$E$2&amp;"&amp;subject="&amp;_xlfn.ENCODEURL("[INVALID] Quality audit monitoring completed for "&amp;UPPER($C1336))&amp;"&amp;body="&amp;_xlfn.ENCODEURL("Hi "&amp;$F1336&amp;","&amp;CHAR(10)&amp;"Good day!"&amp;CHAR(10)&amp;CHAR(10)&amp;"A quality monitoring audit has been completed for "&amp;$C1336&amp;"."&amp;CHAR(10)&amp;CHAR(10)&amp;"QUALITY AUDIT DETAILS"&amp;CHAR(10)&amp;"Agent Name: "&amp;$C1336&amp;" (EID "&amp;$D1336&amp;")"&amp;CHAR(10)&amp;"Audit Date: "&amp;TEXT($B1336,"yyyy-mm-dd")&amp;CHAR(10)&amp;"Team Leader: "&amp;$F1336&amp;CHAR(10)&amp;"Case Number: "&amp;$M1336&amp;CHAR(10)&amp;"Transaction ID: "&amp;$N1336&amp;CHAR(10)&amp;"Channel / LOB: "&amp;$K1336&amp;" / "&amp;$L1336&amp;CHAR(10)&amp;"Evaluator: "&amp;$S1336&amp;CHAR(10)&amp;CHAR(10)&amp;"INVALID QUALITY AUDIT DETAILS"&amp;CHAR(10)&amp;"Validation: Invalid"&amp;CHAR(10)&amp;"Invalid Reason: "&amp;$P1336&amp;CHAR(10)&amp;"Expected Resolution Code: "&amp;$Q1336&amp;CHAR(10)&amp;"Remarks: "&amp;LEFT($R1336,600)&amp;CHAR(10)&amp;CHAR(10)&amp;"This is an automated notification from HP Mainstream EQMS."),"✉ Open Email Draft"),"")</f>
        <v/>
      </c>
    </row>
    <row r="1337">
      <c r="A1337" s="25">
        <f>IF($C1337="","","AUD-2026-"&amp;TEXT(ROW()-1,"000000"))</f>
        <v/>
      </c>
      <c r="B1337" s="26" t="n"/>
      <c r="C1337" s="27" t="n"/>
      <c r="D1337" s="25">
        <f>IF($C1337="","",IFERROR(IF(INDEX(Roster!$A:$A,MATCH($C1337,Roster!$B:$B,0))="","",INDEX(Roster!$A:$A,MATCH($C1337,Roster!$B:$B,0))&amp;""),"—"))</f>
        <v/>
      </c>
      <c r="E1337" s="25">
        <f>IF($C1337="","",IFERROR(IF(INDEX(Roster!$C:$C,MATCH($C1337,Roster!$B:$B,0))="","",INDEX(Roster!$C:$C,MATCH($C1337,Roster!$B:$B,0))&amp;""),"—"))</f>
        <v/>
      </c>
      <c r="F1337" s="25">
        <f>IF($C1337="","",IFERROR(IF(INDEX(Roster!$D:$D,MATCH($C1337,Roster!$B:$B,0))="","",INDEX(Roster!$D:$D,MATCH($C1337,Roster!$B:$B,0))&amp;""),"—"))</f>
        <v/>
      </c>
      <c r="G1337" s="25">
        <f>IF($C1337="","",IFERROR(IF(INDEX(Roster!$E:$E,MATCH($C1337,Roster!$B:$B,0))="","",INDEX(Roster!$E:$E,MATCH($C1337,Roster!$B:$B,0))&amp;""),"—"))</f>
        <v/>
      </c>
      <c r="H1337" s="25">
        <f>IF($C1337="","",IFERROR(IF(INDEX(Roster!$F:$F,MATCH($C1337,Roster!$B:$B,0))="","",INDEX(Roster!$F:$F,MATCH($C1337,Roster!$B:$B,0))&amp;""),"—"))</f>
        <v/>
      </c>
      <c r="I1337" s="25">
        <f>IF($C1337="","",IFERROR(IF(INDEX(Roster!$G:$G,MATCH($C1337,Roster!$B:$B,0))="","",INDEX(Roster!$G:$G,MATCH($C1337,Roster!$B:$B,0))&amp;""),"—"))</f>
        <v/>
      </c>
      <c r="J1337" s="25">
        <f>IF($C1337="","",IFERROR(IF(INDEX(Roster!$I:$I,MATCH($C1337,Roster!$B:$B,0))="","",INDEX(Roster!$I:$I,MATCH($C1337,Roster!$B:$B,0))&amp;""),"—"))</f>
        <v/>
      </c>
      <c r="K1337">
        <f>IF($C1337="","",IFERROR(IF(INDEX(Roster!$J:$J,MATCH($C1337,Roster!$B:$B,0))="","",INDEX(Roster!$J:$J,MATCH($C1337,Roster!$B:$B,0))&amp;""),"—"))</f>
        <v/>
      </c>
      <c r="L1337">
        <f>IF($C1337="","",IFERROR(IF(INDEX(Roster!$K:$K,MATCH($C1337,Roster!$B:$B,0))="","",INDEX(Roster!$K:$K,MATCH($C1337,Roster!$B:$B,0))&amp;""),"—"))</f>
        <v/>
      </c>
      <c r="M1337" s="27" t="n"/>
      <c r="N1337" s="27" t="n"/>
      <c r="O1337" s="25">
        <f>IF($C1337="","",IF($P1337="","—",IF($P1337="Valid (Pass)","Valid","Invalid")))</f>
        <v/>
      </c>
      <c r="P1337" s="27" t="n"/>
      <c r="Q1337" s="27" t="n"/>
      <c r="R1337" s="27" t="n"/>
      <c r="S1337" s="27" t="n"/>
      <c r="T1337" s="25">
        <f>IF($C1337="","",IF(OR(ISNUMBER(SEARCH("quick case",$P1337)),ISNUMBER(SEARCH("quick case",$Q1337))),"Yes","No"))</f>
        <v/>
      </c>
      <c r="U1337" s="25">
        <f>IF($O1337="Invalid",HYPERLINK("mailto:"&amp;$G1337&amp;";"&amp;$I1337&amp;"?cc="&amp;Lists!$E$2&amp;"&amp;subject="&amp;_xlfn.ENCODEURL("[INVALID] Quality audit monitoring completed for "&amp;UPPER($C1337))&amp;"&amp;body="&amp;_xlfn.ENCODEURL("Hi "&amp;$F1337&amp;","&amp;CHAR(10)&amp;"Good day!"&amp;CHAR(10)&amp;CHAR(10)&amp;"A quality monitoring audit has been completed for "&amp;$C1337&amp;"."&amp;CHAR(10)&amp;CHAR(10)&amp;"QUALITY AUDIT DETAILS"&amp;CHAR(10)&amp;"Agent Name: "&amp;$C1337&amp;" (EID "&amp;$D1337&amp;")"&amp;CHAR(10)&amp;"Audit Date: "&amp;TEXT($B1337,"yyyy-mm-dd")&amp;CHAR(10)&amp;"Team Leader: "&amp;$F1337&amp;CHAR(10)&amp;"Case Number: "&amp;$M1337&amp;CHAR(10)&amp;"Transaction ID: "&amp;$N1337&amp;CHAR(10)&amp;"Channel / LOB: "&amp;$K1337&amp;" / "&amp;$L1337&amp;CHAR(10)&amp;"Evaluator: "&amp;$S1337&amp;CHAR(10)&amp;CHAR(10)&amp;"INVALID QUALITY AUDIT DETAILS"&amp;CHAR(10)&amp;"Validation: Invalid"&amp;CHAR(10)&amp;"Invalid Reason: "&amp;$P1337&amp;CHAR(10)&amp;"Expected Resolution Code: "&amp;$Q1337&amp;CHAR(10)&amp;"Remarks: "&amp;LEFT($R1337,600)&amp;CHAR(10)&amp;CHAR(10)&amp;"This is an automated notification from HP Mainstream EQMS."),"✉ Open Email Draft"),"")</f>
        <v/>
      </c>
    </row>
    <row r="1338">
      <c r="A1338" s="25">
        <f>IF($C1338="","","AUD-2026-"&amp;TEXT(ROW()-1,"000000"))</f>
        <v/>
      </c>
      <c r="B1338" s="26" t="n"/>
      <c r="C1338" s="27" t="n"/>
      <c r="D1338" s="25">
        <f>IF($C1338="","",IFERROR(IF(INDEX(Roster!$A:$A,MATCH($C1338,Roster!$B:$B,0))="","",INDEX(Roster!$A:$A,MATCH($C1338,Roster!$B:$B,0))&amp;""),"—"))</f>
        <v/>
      </c>
      <c r="E1338" s="25">
        <f>IF($C1338="","",IFERROR(IF(INDEX(Roster!$C:$C,MATCH($C1338,Roster!$B:$B,0))="","",INDEX(Roster!$C:$C,MATCH($C1338,Roster!$B:$B,0))&amp;""),"—"))</f>
        <v/>
      </c>
      <c r="F1338" s="25">
        <f>IF($C1338="","",IFERROR(IF(INDEX(Roster!$D:$D,MATCH($C1338,Roster!$B:$B,0))="","",INDEX(Roster!$D:$D,MATCH($C1338,Roster!$B:$B,0))&amp;""),"—"))</f>
        <v/>
      </c>
      <c r="G1338" s="25">
        <f>IF($C1338="","",IFERROR(IF(INDEX(Roster!$E:$E,MATCH($C1338,Roster!$B:$B,0))="","",INDEX(Roster!$E:$E,MATCH($C1338,Roster!$B:$B,0))&amp;""),"—"))</f>
        <v/>
      </c>
      <c r="H1338" s="25">
        <f>IF($C1338="","",IFERROR(IF(INDEX(Roster!$F:$F,MATCH($C1338,Roster!$B:$B,0))="","",INDEX(Roster!$F:$F,MATCH($C1338,Roster!$B:$B,0))&amp;""),"—"))</f>
        <v/>
      </c>
      <c r="I1338" s="25">
        <f>IF($C1338="","",IFERROR(IF(INDEX(Roster!$G:$G,MATCH($C1338,Roster!$B:$B,0))="","",INDEX(Roster!$G:$G,MATCH($C1338,Roster!$B:$B,0))&amp;""),"—"))</f>
        <v/>
      </c>
      <c r="J1338" s="25">
        <f>IF($C1338="","",IFERROR(IF(INDEX(Roster!$I:$I,MATCH($C1338,Roster!$B:$B,0))="","",INDEX(Roster!$I:$I,MATCH($C1338,Roster!$B:$B,0))&amp;""),"—"))</f>
        <v/>
      </c>
      <c r="K1338">
        <f>IF($C1338="","",IFERROR(IF(INDEX(Roster!$J:$J,MATCH($C1338,Roster!$B:$B,0))="","",INDEX(Roster!$J:$J,MATCH($C1338,Roster!$B:$B,0))&amp;""),"—"))</f>
        <v/>
      </c>
      <c r="L1338">
        <f>IF($C1338="","",IFERROR(IF(INDEX(Roster!$K:$K,MATCH($C1338,Roster!$B:$B,0))="","",INDEX(Roster!$K:$K,MATCH($C1338,Roster!$B:$B,0))&amp;""),"—"))</f>
        <v/>
      </c>
      <c r="M1338" s="27" t="n"/>
      <c r="N1338" s="27" t="n"/>
      <c r="O1338" s="25">
        <f>IF($C1338="","",IF($P1338="","—",IF($P1338="Valid (Pass)","Valid","Invalid")))</f>
        <v/>
      </c>
      <c r="P1338" s="27" t="n"/>
      <c r="Q1338" s="27" t="n"/>
      <c r="R1338" s="27" t="n"/>
      <c r="S1338" s="27" t="n"/>
      <c r="T1338" s="25">
        <f>IF($C1338="","",IF(OR(ISNUMBER(SEARCH("quick case",$P1338)),ISNUMBER(SEARCH("quick case",$Q1338))),"Yes","No"))</f>
        <v/>
      </c>
      <c r="U1338" s="25">
        <f>IF($O1338="Invalid",HYPERLINK("mailto:"&amp;$G1338&amp;";"&amp;$I1338&amp;"?cc="&amp;Lists!$E$2&amp;"&amp;subject="&amp;_xlfn.ENCODEURL("[INVALID] Quality audit monitoring completed for "&amp;UPPER($C1338))&amp;"&amp;body="&amp;_xlfn.ENCODEURL("Hi "&amp;$F1338&amp;","&amp;CHAR(10)&amp;"Good day!"&amp;CHAR(10)&amp;CHAR(10)&amp;"A quality monitoring audit has been completed for "&amp;$C1338&amp;"."&amp;CHAR(10)&amp;CHAR(10)&amp;"QUALITY AUDIT DETAILS"&amp;CHAR(10)&amp;"Agent Name: "&amp;$C1338&amp;" (EID "&amp;$D1338&amp;")"&amp;CHAR(10)&amp;"Audit Date: "&amp;TEXT($B1338,"yyyy-mm-dd")&amp;CHAR(10)&amp;"Team Leader: "&amp;$F1338&amp;CHAR(10)&amp;"Case Number: "&amp;$M1338&amp;CHAR(10)&amp;"Transaction ID: "&amp;$N1338&amp;CHAR(10)&amp;"Channel / LOB: "&amp;$K1338&amp;" / "&amp;$L1338&amp;CHAR(10)&amp;"Evaluator: "&amp;$S1338&amp;CHAR(10)&amp;CHAR(10)&amp;"INVALID QUALITY AUDIT DETAILS"&amp;CHAR(10)&amp;"Validation: Invalid"&amp;CHAR(10)&amp;"Invalid Reason: "&amp;$P1338&amp;CHAR(10)&amp;"Expected Resolution Code: "&amp;$Q1338&amp;CHAR(10)&amp;"Remarks: "&amp;LEFT($R1338,600)&amp;CHAR(10)&amp;CHAR(10)&amp;"This is an automated notification from HP Mainstream EQMS."),"✉ Open Email Draft"),"")</f>
        <v/>
      </c>
    </row>
    <row r="1339">
      <c r="A1339" s="25">
        <f>IF($C1339="","","AUD-2026-"&amp;TEXT(ROW()-1,"000000"))</f>
        <v/>
      </c>
      <c r="B1339" s="26" t="n"/>
      <c r="C1339" s="27" t="n"/>
      <c r="D1339" s="25">
        <f>IF($C1339="","",IFERROR(IF(INDEX(Roster!$A:$A,MATCH($C1339,Roster!$B:$B,0))="","",INDEX(Roster!$A:$A,MATCH($C1339,Roster!$B:$B,0))&amp;""),"—"))</f>
        <v/>
      </c>
      <c r="E1339" s="25">
        <f>IF($C1339="","",IFERROR(IF(INDEX(Roster!$C:$C,MATCH($C1339,Roster!$B:$B,0))="","",INDEX(Roster!$C:$C,MATCH($C1339,Roster!$B:$B,0))&amp;""),"—"))</f>
        <v/>
      </c>
      <c r="F1339" s="25">
        <f>IF($C1339="","",IFERROR(IF(INDEX(Roster!$D:$D,MATCH($C1339,Roster!$B:$B,0))="","",INDEX(Roster!$D:$D,MATCH($C1339,Roster!$B:$B,0))&amp;""),"—"))</f>
        <v/>
      </c>
      <c r="G1339" s="25">
        <f>IF($C1339="","",IFERROR(IF(INDEX(Roster!$E:$E,MATCH($C1339,Roster!$B:$B,0))="","",INDEX(Roster!$E:$E,MATCH($C1339,Roster!$B:$B,0))&amp;""),"—"))</f>
        <v/>
      </c>
      <c r="H1339" s="25">
        <f>IF($C1339="","",IFERROR(IF(INDEX(Roster!$F:$F,MATCH($C1339,Roster!$B:$B,0))="","",INDEX(Roster!$F:$F,MATCH($C1339,Roster!$B:$B,0))&amp;""),"—"))</f>
        <v/>
      </c>
      <c r="I1339" s="25">
        <f>IF($C1339="","",IFERROR(IF(INDEX(Roster!$G:$G,MATCH($C1339,Roster!$B:$B,0))="","",INDEX(Roster!$G:$G,MATCH($C1339,Roster!$B:$B,0))&amp;""),"—"))</f>
        <v/>
      </c>
      <c r="J1339" s="25">
        <f>IF($C1339="","",IFERROR(IF(INDEX(Roster!$I:$I,MATCH($C1339,Roster!$B:$B,0))="","",INDEX(Roster!$I:$I,MATCH($C1339,Roster!$B:$B,0))&amp;""),"—"))</f>
        <v/>
      </c>
      <c r="K1339">
        <f>IF($C1339="","",IFERROR(IF(INDEX(Roster!$J:$J,MATCH($C1339,Roster!$B:$B,0))="","",INDEX(Roster!$J:$J,MATCH($C1339,Roster!$B:$B,0))&amp;""),"—"))</f>
        <v/>
      </c>
      <c r="L1339">
        <f>IF($C1339="","",IFERROR(IF(INDEX(Roster!$K:$K,MATCH($C1339,Roster!$B:$B,0))="","",INDEX(Roster!$K:$K,MATCH($C1339,Roster!$B:$B,0))&amp;""),"—"))</f>
        <v/>
      </c>
      <c r="M1339" s="27" t="n"/>
      <c r="N1339" s="27" t="n"/>
      <c r="O1339" s="25">
        <f>IF($C1339="","",IF($P1339="","—",IF($P1339="Valid (Pass)","Valid","Invalid")))</f>
        <v/>
      </c>
      <c r="P1339" s="27" t="n"/>
      <c r="Q1339" s="27" t="n"/>
      <c r="R1339" s="27" t="n"/>
      <c r="S1339" s="27" t="n"/>
      <c r="T1339" s="25">
        <f>IF($C1339="","",IF(OR(ISNUMBER(SEARCH("quick case",$P1339)),ISNUMBER(SEARCH("quick case",$Q1339))),"Yes","No"))</f>
        <v/>
      </c>
      <c r="U1339" s="25">
        <f>IF($O1339="Invalid",HYPERLINK("mailto:"&amp;$G1339&amp;";"&amp;$I1339&amp;"?cc="&amp;Lists!$E$2&amp;"&amp;subject="&amp;_xlfn.ENCODEURL("[INVALID] Quality audit monitoring completed for "&amp;UPPER($C1339))&amp;"&amp;body="&amp;_xlfn.ENCODEURL("Hi "&amp;$F1339&amp;","&amp;CHAR(10)&amp;"Good day!"&amp;CHAR(10)&amp;CHAR(10)&amp;"A quality monitoring audit has been completed for "&amp;$C1339&amp;"."&amp;CHAR(10)&amp;CHAR(10)&amp;"QUALITY AUDIT DETAILS"&amp;CHAR(10)&amp;"Agent Name: "&amp;$C1339&amp;" (EID "&amp;$D1339&amp;")"&amp;CHAR(10)&amp;"Audit Date: "&amp;TEXT($B1339,"yyyy-mm-dd")&amp;CHAR(10)&amp;"Team Leader: "&amp;$F1339&amp;CHAR(10)&amp;"Case Number: "&amp;$M1339&amp;CHAR(10)&amp;"Transaction ID: "&amp;$N1339&amp;CHAR(10)&amp;"Channel / LOB: "&amp;$K1339&amp;" / "&amp;$L1339&amp;CHAR(10)&amp;"Evaluator: "&amp;$S1339&amp;CHAR(10)&amp;CHAR(10)&amp;"INVALID QUALITY AUDIT DETAILS"&amp;CHAR(10)&amp;"Validation: Invalid"&amp;CHAR(10)&amp;"Invalid Reason: "&amp;$P1339&amp;CHAR(10)&amp;"Expected Resolution Code: "&amp;$Q1339&amp;CHAR(10)&amp;"Remarks: "&amp;LEFT($R1339,600)&amp;CHAR(10)&amp;CHAR(10)&amp;"This is an automated notification from HP Mainstream EQMS."),"✉ Open Email Draft"),"")</f>
        <v/>
      </c>
    </row>
    <row r="1340">
      <c r="A1340" s="25">
        <f>IF($C1340="","","AUD-2026-"&amp;TEXT(ROW()-1,"000000"))</f>
        <v/>
      </c>
      <c r="B1340" s="26" t="n"/>
      <c r="C1340" s="27" t="n"/>
      <c r="D1340" s="25">
        <f>IF($C1340="","",IFERROR(IF(INDEX(Roster!$A:$A,MATCH($C1340,Roster!$B:$B,0))="","",INDEX(Roster!$A:$A,MATCH($C1340,Roster!$B:$B,0))&amp;""),"—"))</f>
        <v/>
      </c>
      <c r="E1340" s="25">
        <f>IF($C1340="","",IFERROR(IF(INDEX(Roster!$C:$C,MATCH($C1340,Roster!$B:$B,0))="","",INDEX(Roster!$C:$C,MATCH($C1340,Roster!$B:$B,0))&amp;""),"—"))</f>
        <v/>
      </c>
      <c r="F1340" s="25">
        <f>IF($C1340="","",IFERROR(IF(INDEX(Roster!$D:$D,MATCH($C1340,Roster!$B:$B,0))="","",INDEX(Roster!$D:$D,MATCH($C1340,Roster!$B:$B,0))&amp;""),"—"))</f>
        <v/>
      </c>
      <c r="G1340" s="25">
        <f>IF($C1340="","",IFERROR(IF(INDEX(Roster!$E:$E,MATCH($C1340,Roster!$B:$B,0))="","",INDEX(Roster!$E:$E,MATCH($C1340,Roster!$B:$B,0))&amp;""),"—"))</f>
        <v/>
      </c>
      <c r="H1340" s="25">
        <f>IF($C1340="","",IFERROR(IF(INDEX(Roster!$F:$F,MATCH($C1340,Roster!$B:$B,0))="","",INDEX(Roster!$F:$F,MATCH($C1340,Roster!$B:$B,0))&amp;""),"—"))</f>
        <v/>
      </c>
      <c r="I1340" s="25">
        <f>IF($C1340="","",IFERROR(IF(INDEX(Roster!$G:$G,MATCH($C1340,Roster!$B:$B,0))="","",INDEX(Roster!$G:$G,MATCH($C1340,Roster!$B:$B,0))&amp;""),"—"))</f>
        <v/>
      </c>
      <c r="J1340" s="25">
        <f>IF($C1340="","",IFERROR(IF(INDEX(Roster!$I:$I,MATCH($C1340,Roster!$B:$B,0))="","",INDEX(Roster!$I:$I,MATCH($C1340,Roster!$B:$B,0))&amp;""),"—"))</f>
        <v/>
      </c>
      <c r="K1340">
        <f>IF($C1340="","",IFERROR(IF(INDEX(Roster!$J:$J,MATCH($C1340,Roster!$B:$B,0))="","",INDEX(Roster!$J:$J,MATCH($C1340,Roster!$B:$B,0))&amp;""),"—"))</f>
        <v/>
      </c>
      <c r="L1340">
        <f>IF($C1340="","",IFERROR(IF(INDEX(Roster!$K:$K,MATCH($C1340,Roster!$B:$B,0))="","",INDEX(Roster!$K:$K,MATCH($C1340,Roster!$B:$B,0))&amp;""),"—"))</f>
        <v/>
      </c>
      <c r="M1340" s="27" t="n"/>
      <c r="N1340" s="27" t="n"/>
      <c r="O1340" s="25">
        <f>IF($C1340="","",IF($P1340="","—",IF($P1340="Valid (Pass)","Valid","Invalid")))</f>
        <v/>
      </c>
      <c r="P1340" s="27" t="n"/>
      <c r="Q1340" s="27" t="n"/>
      <c r="R1340" s="27" t="n"/>
      <c r="S1340" s="27" t="n"/>
      <c r="T1340" s="25">
        <f>IF($C1340="","",IF(OR(ISNUMBER(SEARCH("quick case",$P1340)),ISNUMBER(SEARCH("quick case",$Q1340))),"Yes","No"))</f>
        <v/>
      </c>
      <c r="U1340" s="25">
        <f>IF($O1340="Invalid",HYPERLINK("mailto:"&amp;$G1340&amp;";"&amp;$I1340&amp;"?cc="&amp;Lists!$E$2&amp;"&amp;subject="&amp;_xlfn.ENCODEURL("[INVALID] Quality audit monitoring completed for "&amp;UPPER($C1340))&amp;"&amp;body="&amp;_xlfn.ENCODEURL("Hi "&amp;$F1340&amp;","&amp;CHAR(10)&amp;"Good day!"&amp;CHAR(10)&amp;CHAR(10)&amp;"A quality monitoring audit has been completed for "&amp;$C1340&amp;"."&amp;CHAR(10)&amp;CHAR(10)&amp;"QUALITY AUDIT DETAILS"&amp;CHAR(10)&amp;"Agent Name: "&amp;$C1340&amp;" (EID "&amp;$D1340&amp;")"&amp;CHAR(10)&amp;"Audit Date: "&amp;TEXT($B1340,"yyyy-mm-dd")&amp;CHAR(10)&amp;"Team Leader: "&amp;$F1340&amp;CHAR(10)&amp;"Case Number: "&amp;$M1340&amp;CHAR(10)&amp;"Transaction ID: "&amp;$N1340&amp;CHAR(10)&amp;"Channel / LOB: "&amp;$K1340&amp;" / "&amp;$L1340&amp;CHAR(10)&amp;"Evaluator: "&amp;$S1340&amp;CHAR(10)&amp;CHAR(10)&amp;"INVALID QUALITY AUDIT DETAILS"&amp;CHAR(10)&amp;"Validation: Invalid"&amp;CHAR(10)&amp;"Invalid Reason: "&amp;$P1340&amp;CHAR(10)&amp;"Expected Resolution Code: "&amp;$Q1340&amp;CHAR(10)&amp;"Remarks: "&amp;LEFT($R1340,600)&amp;CHAR(10)&amp;CHAR(10)&amp;"This is an automated notification from HP Mainstream EQMS."),"✉ Open Email Draft"),"")</f>
        <v/>
      </c>
    </row>
    <row r="1341">
      <c r="A1341" s="25">
        <f>IF($C1341="","","AUD-2026-"&amp;TEXT(ROW()-1,"000000"))</f>
        <v/>
      </c>
      <c r="B1341" s="26" t="n"/>
      <c r="C1341" s="27" t="n"/>
      <c r="D1341" s="25">
        <f>IF($C1341="","",IFERROR(IF(INDEX(Roster!$A:$A,MATCH($C1341,Roster!$B:$B,0))="","",INDEX(Roster!$A:$A,MATCH($C1341,Roster!$B:$B,0))&amp;""),"—"))</f>
        <v/>
      </c>
      <c r="E1341" s="25">
        <f>IF($C1341="","",IFERROR(IF(INDEX(Roster!$C:$C,MATCH($C1341,Roster!$B:$B,0))="","",INDEX(Roster!$C:$C,MATCH($C1341,Roster!$B:$B,0))&amp;""),"—"))</f>
        <v/>
      </c>
      <c r="F1341" s="25">
        <f>IF($C1341="","",IFERROR(IF(INDEX(Roster!$D:$D,MATCH($C1341,Roster!$B:$B,0))="","",INDEX(Roster!$D:$D,MATCH($C1341,Roster!$B:$B,0))&amp;""),"—"))</f>
        <v/>
      </c>
      <c r="G1341" s="25">
        <f>IF($C1341="","",IFERROR(IF(INDEX(Roster!$E:$E,MATCH($C1341,Roster!$B:$B,0))="","",INDEX(Roster!$E:$E,MATCH($C1341,Roster!$B:$B,0))&amp;""),"—"))</f>
        <v/>
      </c>
      <c r="H1341" s="25">
        <f>IF($C1341="","",IFERROR(IF(INDEX(Roster!$F:$F,MATCH($C1341,Roster!$B:$B,0))="","",INDEX(Roster!$F:$F,MATCH($C1341,Roster!$B:$B,0))&amp;""),"—"))</f>
        <v/>
      </c>
      <c r="I1341" s="25">
        <f>IF($C1341="","",IFERROR(IF(INDEX(Roster!$G:$G,MATCH($C1341,Roster!$B:$B,0))="","",INDEX(Roster!$G:$G,MATCH($C1341,Roster!$B:$B,0))&amp;""),"—"))</f>
        <v/>
      </c>
      <c r="J1341" s="25">
        <f>IF($C1341="","",IFERROR(IF(INDEX(Roster!$I:$I,MATCH($C1341,Roster!$B:$B,0))="","",INDEX(Roster!$I:$I,MATCH($C1341,Roster!$B:$B,0))&amp;""),"—"))</f>
        <v/>
      </c>
      <c r="K1341">
        <f>IF($C1341="","",IFERROR(IF(INDEX(Roster!$J:$J,MATCH($C1341,Roster!$B:$B,0))="","",INDEX(Roster!$J:$J,MATCH($C1341,Roster!$B:$B,0))&amp;""),"—"))</f>
        <v/>
      </c>
      <c r="L1341">
        <f>IF($C1341="","",IFERROR(IF(INDEX(Roster!$K:$K,MATCH($C1341,Roster!$B:$B,0))="","",INDEX(Roster!$K:$K,MATCH($C1341,Roster!$B:$B,0))&amp;""),"—"))</f>
        <v/>
      </c>
      <c r="M1341" s="27" t="n"/>
      <c r="N1341" s="27" t="n"/>
      <c r="O1341" s="25">
        <f>IF($C1341="","",IF($P1341="","—",IF($P1341="Valid (Pass)","Valid","Invalid")))</f>
        <v/>
      </c>
      <c r="P1341" s="27" t="n"/>
      <c r="Q1341" s="27" t="n"/>
      <c r="R1341" s="27" t="n"/>
      <c r="S1341" s="27" t="n"/>
      <c r="T1341" s="25">
        <f>IF($C1341="","",IF(OR(ISNUMBER(SEARCH("quick case",$P1341)),ISNUMBER(SEARCH("quick case",$Q1341))),"Yes","No"))</f>
        <v/>
      </c>
      <c r="U1341" s="25">
        <f>IF($O1341="Invalid",HYPERLINK("mailto:"&amp;$G1341&amp;";"&amp;$I1341&amp;"?cc="&amp;Lists!$E$2&amp;"&amp;subject="&amp;_xlfn.ENCODEURL("[INVALID] Quality audit monitoring completed for "&amp;UPPER($C1341))&amp;"&amp;body="&amp;_xlfn.ENCODEURL("Hi "&amp;$F1341&amp;","&amp;CHAR(10)&amp;"Good day!"&amp;CHAR(10)&amp;CHAR(10)&amp;"A quality monitoring audit has been completed for "&amp;$C1341&amp;"."&amp;CHAR(10)&amp;CHAR(10)&amp;"QUALITY AUDIT DETAILS"&amp;CHAR(10)&amp;"Agent Name: "&amp;$C1341&amp;" (EID "&amp;$D1341&amp;")"&amp;CHAR(10)&amp;"Audit Date: "&amp;TEXT($B1341,"yyyy-mm-dd")&amp;CHAR(10)&amp;"Team Leader: "&amp;$F1341&amp;CHAR(10)&amp;"Case Number: "&amp;$M1341&amp;CHAR(10)&amp;"Transaction ID: "&amp;$N1341&amp;CHAR(10)&amp;"Channel / LOB: "&amp;$K1341&amp;" / "&amp;$L1341&amp;CHAR(10)&amp;"Evaluator: "&amp;$S1341&amp;CHAR(10)&amp;CHAR(10)&amp;"INVALID QUALITY AUDIT DETAILS"&amp;CHAR(10)&amp;"Validation: Invalid"&amp;CHAR(10)&amp;"Invalid Reason: "&amp;$P1341&amp;CHAR(10)&amp;"Expected Resolution Code: "&amp;$Q1341&amp;CHAR(10)&amp;"Remarks: "&amp;LEFT($R1341,600)&amp;CHAR(10)&amp;CHAR(10)&amp;"This is an automated notification from HP Mainstream EQMS."),"✉ Open Email Draft"),"")</f>
        <v/>
      </c>
    </row>
    <row r="1342">
      <c r="A1342" s="25">
        <f>IF($C1342="","","AUD-2026-"&amp;TEXT(ROW()-1,"000000"))</f>
        <v/>
      </c>
      <c r="B1342" s="26" t="n"/>
      <c r="C1342" s="27" t="n"/>
      <c r="D1342" s="25">
        <f>IF($C1342="","",IFERROR(IF(INDEX(Roster!$A:$A,MATCH($C1342,Roster!$B:$B,0))="","",INDEX(Roster!$A:$A,MATCH($C1342,Roster!$B:$B,0))&amp;""),"—"))</f>
        <v/>
      </c>
      <c r="E1342" s="25">
        <f>IF($C1342="","",IFERROR(IF(INDEX(Roster!$C:$C,MATCH($C1342,Roster!$B:$B,0))="","",INDEX(Roster!$C:$C,MATCH($C1342,Roster!$B:$B,0))&amp;""),"—"))</f>
        <v/>
      </c>
      <c r="F1342" s="25">
        <f>IF($C1342="","",IFERROR(IF(INDEX(Roster!$D:$D,MATCH($C1342,Roster!$B:$B,0))="","",INDEX(Roster!$D:$D,MATCH($C1342,Roster!$B:$B,0))&amp;""),"—"))</f>
        <v/>
      </c>
      <c r="G1342" s="25">
        <f>IF($C1342="","",IFERROR(IF(INDEX(Roster!$E:$E,MATCH($C1342,Roster!$B:$B,0))="","",INDEX(Roster!$E:$E,MATCH($C1342,Roster!$B:$B,0))&amp;""),"—"))</f>
        <v/>
      </c>
      <c r="H1342" s="25">
        <f>IF($C1342="","",IFERROR(IF(INDEX(Roster!$F:$F,MATCH($C1342,Roster!$B:$B,0))="","",INDEX(Roster!$F:$F,MATCH($C1342,Roster!$B:$B,0))&amp;""),"—"))</f>
        <v/>
      </c>
      <c r="I1342" s="25">
        <f>IF($C1342="","",IFERROR(IF(INDEX(Roster!$G:$G,MATCH($C1342,Roster!$B:$B,0))="","",INDEX(Roster!$G:$G,MATCH($C1342,Roster!$B:$B,0))&amp;""),"—"))</f>
        <v/>
      </c>
      <c r="J1342" s="25">
        <f>IF($C1342="","",IFERROR(IF(INDEX(Roster!$I:$I,MATCH($C1342,Roster!$B:$B,0))="","",INDEX(Roster!$I:$I,MATCH($C1342,Roster!$B:$B,0))&amp;""),"—"))</f>
        <v/>
      </c>
      <c r="K1342">
        <f>IF($C1342="","",IFERROR(IF(INDEX(Roster!$J:$J,MATCH($C1342,Roster!$B:$B,0))="","",INDEX(Roster!$J:$J,MATCH($C1342,Roster!$B:$B,0))&amp;""),"—"))</f>
        <v/>
      </c>
      <c r="L1342">
        <f>IF($C1342="","",IFERROR(IF(INDEX(Roster!$K:$K,MATCH($C1342,Roster!$B:$B,0))="","",INDEX(Roster!$K:$K,MATCH($C1342,Roster!$B:$B,0))&amp;""),"—"))</f>
        <v/>
      </c>
      <c r="M1342" s="27" t="n"/>
      <c r="N1342" s="27" t="n"/>
      <c r="O1342" s="25">
        <f>IF($C1342="","",IF($P1342="","—",IF($P1342="Valid (Pass)","Valid","Invalid")))</f>
        <v/>
      </c>
      <c r="P1342" s="27" t="n"/>
      <c r="Q1342" s="27" t="n"/>
      <c r="R1342" s="27" t="n"/>
      <c r="S1342" s="27" t="n"/>
      <c r="T1342" s="25">
        <f>IF($C1342="","",IF(OR(ISNUMBER(SEARCH("quick case",$P1342)),ISNUMBER(SEARCH("quick case",$Q1342))),"Yes","No"))</f>
        <v/>
      </c>
      <c r="U1342" s="25">
        <f>IF($O1342="Invalid",HYPERLINK("mailto:"&amp;$G1342&amp;";"&amp;$I1342&amp;"?cc="&amp;Lists!$E$2&amp;"&amp;subject="&amp;_xlfn.ENCODEURL("[INVALID] Quality audit monitoring completed for "&amp;UPPER($C1342))&amp;"&amp;body="&amp;_xlfn.ENCODEURL("Hi "&amp;$F1342&amp;","&amp;CHAR(10)&amp;"Good day!"&amp;CHAR(10)&amp;CHAR(10)&amp;"A quality monitoring audit has been completed for "&amp;$C1342&amp;"."&amp;CHAR(10)&amp;CHAR(10)&amp;"QUALITY AUDIT DETAILS"&amp;CHAR(10)&amp;"Agent Name: "&amp;$C1342&amp;" (EID "&amp;$D1342&amp;")"&amp;CHAR(10)&amp;"Audit Date: "&amp;TEXT($B1342,"yyyy-mm-dd")&amp;CHAR(10)&amp;"Team Leader: "&amp;$F1342&amp;CHAR(10)&amp;"Case Number: "&amp;$M1342&amp;CHAR(10)&amp;"Transaction ID: "&amp;$N1342&amp;CHAR(10)&amp;"Channel / LOB: "&amp;$K1342&amp;" / "&amp;$L1342&amp;CHAR(10)&amp;"Evaluator: "&amp;$S1342&amp;CHAR(10)&amp;CHAR(10)&amp;"INVALID QUALITY AUDIT DETAILS"&amp;CHAR(10)&amp;"Validation: Invalid"&amp;CHAR(10)&amp;"Invalid Reason: "&amp;$P1342&amp;CHAR(10)&amp;"Expected Resolution Code: "&amp;$Q1342&amp;CHAR(10)&amp;"Remarks: "&amp;LEFT($R1342,600)&amp;CHAR(10)&amp;CHAR(10)&amp;"This is an automated notification from HP Mainstream EQMS."),"✉ Open Email Draft"),"")</f>
        <v/>
      </c>
    </row>
    <row r="1343">
      <c r="A1343" s="25">
        <f>IF($C1343="","","AUD-2026-"&amp;TEXT(ROW()-1,"000000"))</f>
        <v/>
      </c>
      <c r="B1343" s="26" t="n"/>
      <c r="C1343" s="27" t="n"/>
      <c r="D1343" s="25">
        <f>IF($C1343="","",IFERROR(IF(INDEX(Roster!$A:$A,MATCH($C1343,Roster!$B:$B,0))="","",INDEX(Roster!$A:$A,MATCH($C1343,Roster!$B:$B,0))&amp;""),"—"))</f>
        <v/>
      </c>
      <c r="E1343" s="25">
        <f>IF($C1343="","",IFERROR(IF(INDEX(Roster!$C:$C,MATCH($C1343,Roster!$B:$B,0))="","",INDEX(Roster!$C:$C,MATCH($C1343,Roster!$B:$B,0))&amp;""),"—"))</f>
        <v/>
      </c>
      <c r="F1343" s="25">
        <f>IF($C1343="","",IFERROR(IF(INDEX(Roster!$D:$D,MATCH($C1343,Roster!$B:$B,0))="","",INDEX(Roster!$D:$D,MATCH($C1343,Roster!$B:$B,0))&amp;""),"—"))</f>
        <v/>
      </c>
      <c r="G1343" s="25">
        <f>IF($C1343="","",IFERROR(IF(INDEX(Roster!$E:$E,MATCH($C1343,Roster!$B:$B,0))="","",INDEX(Roster!$E:$E,MATCH($C1343,Roster!$B:$B,0))&amp;""),"—"))</f>
        <v/>
      </c>
      <c r="H1343" s="25">
        <f>IF($C1343="","",IFERROR(IF(INDEX(Roster!$F:$F,MATCH($C1343,Roster!$B:$B,0))="","",INDEX(Roster!$F:$F,MATCH($C1343,Roster!$B:$B,0))&amp;""),"—"))</f>
        <v/>
      </c>
      <c r="I1343" s="25">
        <f>IF($C1343="","",IFERROR(IF(INDEX(Roster!$G:$G,MATCH($C1343,Roster!$B:$B,0))="","",INDEX(Roster!$G:$G,MATCH($C1343,Roster!$B:$B,0))&amp;""),"—"))</f>
        <v/>
      </c>
      <c r="J1343" s="25">
        <f>IF($C1343="","",IFERROR(IF(INDEX(Roster!$I:$I,MATCH($C1343,Roster!$B:$B,0))="","",INDEX(Roster!$I:$I,MATCH($C1343,Roster!$B:$B,0))&amp;""),"—"))</f>
        <v/>
      </c>
      <c r="K1343">
        <f>IF($C1343="","",IFERROR(IF(INDEX(Roster!$J:$J,MATCH($C1343,Roster!$B:$B,0))="","",INDEX(Roster!$J:$J,MATCH($C1343,Roster!$B:$B,0))&amp;""),"—"))</f>
        <v/>
      </c>
      <c r="L1343">
        <f>IF($C1343="","",IFERROR(IF(INDEX(Roster!$K:$K,MATCH($C1343,Roster!$B:$B,0))="","",INDEX(Roster!$K:$K,MATCH($C1343,Roster!$B:$B,0))&amp;""),"—"))</f>
        <v/>
      </c>
      <c r="M1343" s="27" t="n"/>
      <c r="N1343" s="27" t="n"/>
      <c r="O1343" s="25">
        <f>IF($C1343="","",IF($P1343="","—",IF($P1343="Valid (Pass)","Valid","Invalid")))</f>
        <v/>
      </c>
      <c r="P1343" s="27" t="n"/>
      <c r="Q1343" s="27" t="n"/>
      <c r="R1343" s="27" t="n"/>
      <c r="S1343" s="27" t="n"/>
      <c r="T1343" s="25">
        <f>IF($C1343="","",IF(OR(ISNUMBER(SEARCH("quick case",$P1343)),ISNUMBER(SEARCH("quick case",$Q1343))),"Yes","No"))</f>
        <v/>
      </c>
      <c r="U1343" s="25">
        <f>IF($O1343="Invalid",HYPERLINK("mailto:"&amp;$G1343&amp;";"&amp;$I1343&amp;"?cc="&amp;Lists!$E$2&amp;"&amp;subject="&amp;_xlfn.ENCODEURL("[INVALID] Quality audit monitoring completed for "&amp;UPPER($C1343))&amp;"&amp;body="&amp;_xlfn.ENCODEURL("Hi "&amp;$F1343&amp;","&amp;CHAR(10)&amp;"Good day!"&amp;CHAR(10)&amp;CHAR(10)&amp;"A quality monitoring audit has been completed for "&amp;$C1343&amp;"."&amp;CHAR(10)&amp;CHAR(10)&amp;"QUALITY AUDIT DETAILS"&amp;CHAR(10)&amp;"Agent Name: "&amp;$C1343&amp;" (EID "&amp;$D1343&amp;")"&amp;CHAR(10)&amp;"Audit Date: "&amp;TEXT($B1343,"yyyy-mm-dd")&amp;CHAR(10)&amp;"Team Leader: "&amp;$F1343&amp;CHAR(10)&amp;"Case Number: "&amp;$M1343&amp;CHAR(10)&amp;"Transaction ID: "&amp;$N1343&amp;CHAR(10)&amp;"Channel / LOB: "&amp;$K1343&amp;" / "&amp;$L1343&amp;CHAR(10)&amp;"Evaluator: "&amp;$S1343&amp;CHAR(10)&amp;CHAR(10)&amp;"INVALID QUALITY AUDIT DETAILS"&amp;CHAR(10)&amp;"Validation: Invalid"&amp;CHAR(10)&amp;"Invalid Reason: "&amp;$P1343&amp;CHAR(10)&amp;"Expected Resolution Code: "&amp;$Q1343&amp;CHAR(10)&amp;"Remarks: "&amp;LEFT($R1343,600)&amp;CHAR(10)&amp;CHAR(10)&amp;"This is an automated notification from HP Mainstream EQMS."),"✉ Open Email Draft"),"")</f>
        <v/>
      </c>
    </row>
    <row r="1344">
      <c r="A1344" s="25">
        <f>IF($C1344="","","AUD-2026-"&amp;TEXT(ROW()-1,"000000"))</f>
        <v/>
      </c>
      <c r="B1344" s="26" t="n"/>
      <c r="C1344" s="27" t="n"/>
      <c r="D1344" s="25">
        <f>IF($C1344="","",IFERROR(IF(INDEX(Roster!$A:$A,MATCH($C1344,Roster!$B:$B,0))="","",INDEX(Roster!$A:$A,MATCH($C1344,Roster!$B:$B,0))&amp;""),"—"))</f>
        <v/>
      </c>
      <c r="E1344" s="25">
        <f>IF($C1344="","",IFERROR(IF(INDEX(Roster!$C:$C,MATCH($C1344,Roster!$B:$B,0))="","",INDEX(Roster!$C:$C,MATCH($C1344,Roster!$B:$B,0))&amp;""),"—"))</f>
        <v/>
      </c>
      <c r="F1344" s="25">
        <f>IF($C1344="","",IFERROR(IF(INDEX(Roster!$D:$D,MATCH($C1344,Roster!$B:$B,0))="","",INDEX(Roster!$D:$D,MATCH($C1344,Roster!$B:$B,0))&amp;""),"—"))</f>
        <v/>
      </c>
      <c r="G1344" s="25">
        <f>IF($C1344="","",IFERROR(IF(INDEX(Roster!$E:$E,MATCH($C1344,Roster!$B:$B,0))="","",INDEX(Roster!$E:$E,MATCH($C1344,Roster!$B:$B,0))&amp;""),"—"))</f>
        <v/>
      </c>
      <c r="H1344" s="25">
        <f>IF($C1344="","",IFERROR(IF(INDEX(Roster!$F:$F,MATCH($C1344,Roster!$B:$B,0))="","",INDEX(Roster!$F:$F,MATCH($C1344,Roster!$B:$B,0))&amp;""),"—"))</f>
        <v/>
      </c>
      <c r="I1344" s="25">
        <f>IF($C1344="","",IFERROR(IF(INDEX(Roster!$G:$G,MATCH($C1344,Roster!$B:$B,0))="","",INDEX(Roster!$G:$G,MATCH($C1344,Roster!$B:$B,0))&amp;""),"—"))</f>
        <v/>
      </c>
      <c r="J1344" s="25">
        <f>IF($C1344="","",IFERROR(IF(INDEX(Roster!$I:$I,MATCH($C1344,Roster!$B:$B,0))="","",INDEX(Roster!$I:$I,MATCH($C1344,Roster!$B:$B,0))&amp;""),"—"))</f>
        <v/>
      </c>
      <c r="K1344">
        <f>IF($C1344="","",IFERROR(IF(INDEX(Roster!$J:$J,MATCH($C1344,Roster!$B:$B,0))="","",INDEX(Roster!$J:$J,MATCH($C1344,Roster!$B:$B,0))&amp;""),"—"))</f>
        <v/>
      </c>
      <c r="L1344">
        <f>IF($C1344="","",IFERROR(IF(INDEX(Roster!$K:$K,MATCH($C1344,Roster!$B:$B,0))="","",INDEX(Roster!$K:$K,MATCH($C1344,Roster!$B:$B,0))&amp;""),"—"))</f>
        <v/>
      </c>
      <c r="M1344" s="27" t="n"/>
      <c r="N1344" s="27" t="n"/>
      <c r="O1344" s="25">
        <f>IF($C1344="","",IF($P1344="","—",IF($P1344="Valid (Pass)","Valid","Invalid")))</f>
        <v/>
      </c>
      <c r="P1344" s="27" t="n"/>
      <c r="Q1344" s="27" t="n"/>
      <c r="R1344" s="27" t="n"/>
      <c r="S1344" s="27" t="n"/>
      <c r="T1344" s="25">
        <f>IF($C1344="","",IF(OR(ISNUMBER(SEARCH("quick case",$P1344)),ISNUMBER(SEARCH("quick case",$Q1344))),"Yes","No"))</f>
        <v/>
      </c>
      <c r="U1344" s="25">
        <f>IF($O1344="Invalid",HYPERLINK("mailto:"&amp;$G1344&amp;";"&amp;$I1344&amp;"?cc="&amp;Lists!$E$2&amp;"&amp;subject="&amp;_xlfn.ENCODEURL("[INVALID] Quality audit monitoring completed for "&amp;UPPER($C1344))&amp;"&amp;body="&amp;_xlfn.ENCODEURL("Hi "&amp;$F1344&amp;","&amp;CHAR(10)&amp;"Good day!"&amp;CHAR(10)&amp;CHAR(10)&amp;"A quality monitoring audit has been completed for "&amp;$C1344&amp;"."&amp;CHAR(10)&amp;CHAR(10)&amp;"QUALITY AUDIT DETAILS"&amp;CHAR(10)&amp;"Agent Name: "&amp;$C1344&amp;" (EID "&amp;$D1344&amp;")"&amp;CHAR(10)&amp;"Audit Date: "&amp;TEXT($B1344,"yyyy-mm-dd")&amp;CHAR(10)&amp;"Team Leader: "&amp;$F1344&amp;CHAR(10)&amp;"Case Number: "&amp;$M1344&amp;CHAR(10)&amp;"Transaction ID: "&amp;$N1344&amp;CHAR(10)&amp;"Channel / LOB: "&amp;$K1344&amp;" / "&amp;$L1344&amp;CHAR(10)&amp;"Evaluator: "&amp;$S1344&amp;CHAR(10)&amp;CHAR(10)&amp;"INVALID QUALITY AUDIT DETAILS"&amp;CHAR(10)&amp;"Validation: Invalid"&amp;CHAR(10)&amp;"Invalid Reason: "&amp;$P1344&amp;CHAR(10)&amp;"Expected Resolution Code: "&amp;$Q1344&amp;CHAR(10)&amp;"Remarks: "&amp;LEFT($R1344,600)&amp;CHAR(10)&amp;CHAR(10)&amp;"This is an automated notification from HP Mainstream EQMS."),"✉ Open Email Draft"),"")</f>
        <v/>
      </c>
    </row>
    <row r="1345">
      <c r="A1345" s="25">
        <f>IF($C1345="","","AUD-2026-"&amp;TEXT(ROW()-1,"000000"))</f>
        <v/>
      </c>
      <c r="B1345" s="26" t="n"/>
      <c r="C1345" s="27" t="n"/>
      <c r="D1345" s="25">
        <f>IF($C1345="","",IFERROR(IF(INDEX(Roster!$A:$A,MATCH($C1345,Roster!$B:$B,0))="","",INDEX(Roster!$A:$A,MATCH($C1345,Roster!$B:$B,0))&amp;""),"—"))</f>
        <v/>
      </c>
      <c r="E1345" s="25">
        <f>IF($C1345="","",IFERROR(IF(INDEX(Roster!$C:$C,MATCH($C1345,Roster!$B:$B,0))="","",INDEX(Roster!$C:$C,MATCH($C1345,Roster!$B:$B,0))&amp;""),"—"))</f>
        <v/>
      </c>
      <c r="F1345" s="25">
        <f>IF($C1345="","",IFERROR(IF(INDEX(Roster!$D:$D,MATCH($C1345,Roster!$B:$B,0))="","",INDEX(Roster!$D:$D,MATCH($C1345,Roster!$B:$B,0))&amp;""),"—"))</f>
        <v/>
      </c>
      <c r="G1345" s="25">
        <f>IF($C1345="","",IFERROR(IF(INDEX(Roster!$E:$E,MATCH($C1345,Roster!$B:$B,0))="","",INDEX(Roster!$E:$E,MATCH($C1345,Roster!$B:$B,0))&amp;""),"—"))</f>
        <v/>
      </c>
      <c r="H1345" s="25">
        <f>IF($C1345="","",IFERROR(IF(INDEX(Roster!$F:$F,MATCH($C1345,Roster!$B:$B,0))="","",INDEX(Roster!$F:$F,MATCH($C1345,Roster!$B:$B,0))&amp;""),"—"))</f>
        <v/>
      </c>
      <c r="I1345" s="25">
        <f>IF($C1345="","",IFERROR(IF(INDEX(Roster!$G:$G,MATCH($C1345,Roster!$B:$B,0))="","",INDEX(Roster!$G:$G,MATCH($C1345,Roster!$B:$B,0))&amp;""),"—"))</f>
        <v/>
      </c>
      <c r="J1345" s="25">
        <f>IF($C1345="","",IFERROR(IF(INDEX(Roster!$I:$I,MATCH($C1345,Roster!$B:$B,0))="","",INDEX(Roster!$I:$I,MATCH($C1345,Roster!$B:$B,0))&amp;""),"—"))</f>
        <v/>
      </c>
      <c r="K1345">
        <f>IF($C1345="","",IFERROR(IF(INDEX(Roster!$J:$J,MATCH($C1345,Roster!$B:$B,0))="","",INDEX(Roster!$J:$J,MATCH($C1345,Roster!$B:$B,0))&amp;""),"—"))</f>
        <v/>
      </c>
      <c r="L1345">
        <f>IF($C1345="","",IFERROR(IF(INDEX(Roster!$K:$K,MATCH($C1345,Roster!$B:$B,0))="","",INDEX(Roster!$K:$K,MATCH($C1345,Roster!$B:$B,0))&amp;""),"—"))</f>
        <v/>
      </c>
      <c r="M1345" s="27" t="n"/>
      <c r="N1345" s="27" t="n"/>
      <c r="O1345" s="25">
        <f>IF($C1345="","",IF($P1345="","—",IF($P1345="Valid (Pass)","Valid","Invalid")))</f>
        <v/>
      </c>
      <c r="P1345" s="27" t="n"/>
      <c r="Q1345" s="27" t="n"/>
      <c r="R1345" s="27" t="n"/>
      <c r="S1345" s="27" t="n"/>
      <c r="T1345" s="25">
        <f>IF($C1345="","",IF(OR(ISNUMBER(SEARCH("quick case",$P1345)),ISNUMBER(SEARCH("quick case",$Q1345))),"Yes","No"))</f>
        <v/>
      </c>
      <c r="U1345" s="25">
        <f>IF($O1345="Invalid",HYPERLINK("mailto:"&amp;$G1345&amp;";"&amp;$I1345&amp;"?cc="&amp;Lists!$E$2&amp;"&amp;subject="&amp;_xlfn.ENCODEURL("[INVALID] Quality audit monitoring completed for "&amp;UPPER($C1345))&amp;"&amp;body="&amp;_xlfn.ENCODEURL("Hi "&amp;$F1345&amp;","&amp;CHAR(10)&amp;"Good day!"&amp;CHAR(10)&amp;CHAR(10)&amp;"A quality monitoring audit has been completed for "&amp;$C1345&amp;"."&amp;CHAR(10)&amp;CHAR(10)&amp;"QUALITY AUDIT DETAILS"&amp;CHAR(10)&amp;"Agent Name: "&amp;$C1345&amp;" (EID "&amp;$D1345&amp;")"&amp;CHAR(10)&amp;"Audit Date: "&amp;TEXT($B1345,"yyyy-mm-dd")&amp;CHAR(10)&amp;"Team Leader: "&amp;$F1345&amp;CHAR(10)&amp;"Case Number: "&amp;$M1345&amp;CHAR(10)&amp;"Transaction ID: "&amp;$N1345&amp;CHAR(10)&amp;"Channel / LOB: "&amp;$K1345&amp;" / "&amp;$L1345&amp;CHAR(10)&amp;"Evaluator: "&amp;$S1345&amp;CHAR(10)&amp;CHAR(10)&amp;"INVALID QUALITY AUDIT DETAILS"&amp;CHAR(10)&amp;"Validation: Invalid"&amp;CHAR(10)&amp;"Invalid Reason: "&amp;$P1345&amp;CHAR(10)&amp;"Expected Resolution Code: "&amp;$Q1345&amp;CHAR(10)&amp;"Remarks: "&amp;LEFT($R1345,600)&amp;CHAR(10)&amp;CHAR(10)&amp;"This is an automated notification from HP Mainstream EQMS."),"✉ Open Email Draft"),"")</f>
        <v/>
      </c>
    </row>
    <row r="1346">
      <c r="A1346" s="25">
        <f>IF($C1346="","","AUD-2026-"&amp;TEXT(ROW()-1,"000000"))</f>
        <v/>
      </c>
      <c r="B1346" s="26" t="n"/>
      <c r="C1346" s="27" t="n"/>
      <c r="D1346" s="25">
        <f>IF($C1346="","",IFERROR(IF(INDEX(Roster!$A:$A,MATCH($C1346,Roster!$B:$B,0))="","",INDEX(Roster!$A:$A,MATCH($C1346,Roster!$B:$B,0))&amp;""),"—"))</f>
        <v/>
      </c>
      <c r="E1346" s="25">
        <f>IF($C1346="","",IFERROR(IF(INDEX(Roster!$C:$C,MATCH($C1346,Roster!$B:$B,0))="","",INDEX(Roster!$C:$C,MATCH($C1346,Roster!$B:$B,0))&amp;""),"—"))</f>
        <v/>
      </c>
      <c r="F1346" s="25">
        <f>IF($C1346="","",IFERROR(IF(INDEX(Roster!$D:$D,MATCH($C1346,Roster!$B:$B,0))="","",INDEX(Roster!$D:$D,MATCH($C1346,Roster!$B:$B,0))&amp;""),"—"))</f>
        <v/>
      </c>
      <c r="G1346" s="25">
        <f>IF($C1346="","",IFERROR(IF(INDEX(Roster!$E:$E,MATCH($C1346,Roster!$B:$B,0))="","",INDEX(Roster!$E:$E,MATCH($C1346,Roster!$B:$B,0))&amp;""),"—"))</f>
        <v/>
      </c>
      <c r="H1346" s="25">
        <f>IF($C1346="","",IFERROR(IF(INDEX(Roster!$F:$F,MATCH($C1346,Roster!$B:$B,0))="","",INDEX(Roster!$F:$F,MATCH($C1346,Roster!$B:$B,0))&amp;""),"—"))</f>
        <v/>
      </c>
      <c r="I1346" s="25">
        <f>IF($C1346="","",IFERROR(IF(INDEX(Roster!$G:$G,MATCH($C1346,Roster!$B:$B,0))="","",INDEX(Roster!$G:$G,MATCH($C1346,Roster!$B:$B,0))&amp;""),"—"))</f>
        <v/>
      </c>
      <c r="J1346" s="25">
        <f>IF($C1346="","",IFERROR(IF(INDEX(Roster!$I:$I,MATCH($C1346,Roster!$B:$B,0))="","",INDEX(Roster!$I:$I,MATCH($C1346,Roster!$B:$B,0))&amp;""),"—"))</f>
        <v/>
      </c>
      <c r="K1346">
        <f>IF($C1346="","",IFERROR(IF(INDEX(Roster!$J:$J,MATCH($C1346,Roster!$B:$B,0))="","",INDEX(Roster!$J:$J,MATCH($C1346,Roster!$B:$B,0))&amp;""),"—"))</f>
        <v/>
      </c>
      <c r="L1346">
        <f>IF($C1346="","",IFERROR(IF(INDEX(Roster!$K:$K,MATCH($C1346,Roster!$B:$B,0))="","",INDEX(Roster!$K:$K,MATCH($C1346,Roster!$B:$B,0))&amp;""),"—"))</f>
        <v/>
      </c>
      <c r="M1346" s="27" t="n"/>
      <c r="N1346" s="27" t="n"/>
      <c r="O1346" s="25">
        <f>IF($C1346="","",IF($P1346="","—",IF($P1346="Valid (Pass)","Valid","Invalid")))</f>
        <v/>
      </c>
      <c r="P1346" s="27" t="n"/>
      <c r="Q1346" s="27" t="n"/>
      <c r="R1346" s="27" t="n"/>
      <c r="S1346" s="27" t="n"/>
      <c r="T1346" s="25">
        <f>IF($C1346="","",IF(OR(ISNUMBER(SEARCH("quick case",$P1346)),ISNUMBER(SEARCH("quick case",$Q1346))),"Yes","No"))</f>
        <v/>
      </c>
      <c r="U1346" s="25">
        <f>IF($O1346="Invalid",HYPERLINK("mailto:"&amp;$G1346&amp;";"&amp;$I1346&amp;"?cc="&amp;Lists!$E$2&amp;"&amp;subject="&amp;_xlfn.ENCODEURL("[INVALID] Quality audit monitoring completed for "&amp;UPPER($C1346))&amp;"&amp;body="&amp;_xlfn.ENCODEURL("Hi "&amp;$F1346&amp;","&amp;CHAR(10)&amp;"Good day!"&amp;CHAR(10)&amp;CHAR(10)&amp;"A quality monitoring audit has been completed for "&amp;$C1346&amp;"."&amp;CHAR(10)&amp;CHAR(10)&amp;"QUALITY AUDIT DETAILS"&amp;CHAR(10)&amp;"Agent Name: "&amp;$C1346&amp;" (EID "&amp;$D1346&amp;")"&amp;CHAR(10)&amp;"Audit Date: "&amp;TEXT($B1346,"yyyy-mm-dd")&amp;CHAR(10)&amp;"Team Leader: "&amp;$F1346&amp;CHAR(10)&amp;"Case Number: "&amp;$M1346&amp;CHAR(10)&amp;"Transaction ID: "&amp;$N1346&amp;CHAR(10)&amp;"Channel / LOB: "&amp;$K1346&amp;" / "&amp;$L1346&amp;CHAR(10)&amp;"Evaluator: "&amp;$S1346&amp;CHAR(10)&amp;CHAR(10)&amp;"INVALID QUALITY AUDIT DETAILS"&amp;CHAR(10)&amp;"Validation: Invalid"&amp;CHAR(10)&amp;"Invalid Reason: "&amp;$P1346&amp;CHAR(10)&amp;"Expected Resolution Code: "&amp;$Q1346&amp;CHAR(10)&amp;"Remarks: "&amp;LEFT($R1346,600)&amp;CHAR(10)&amp;CHAR(10)&amp;"This is an automated notification from HP Mainstream EQMS."),"✉ Open Email Draft"),"")</f>
        <v/>
      </c>
    </row>
    <row r="1347">
      <c r="A1347" s="25">
        <f>IF($C1347="","","AUD-2026-"&amp;TEXT(ROW()-1,"000000"))</f>
        <v/>
      </c>
      <c r="B1347" s="26" t="n"/>
      <c r="C1347" s="27" t="n"/>
      <c r="D1347" s="25">
        <f>IF($C1347="","",IFERROR(IF(INDEX(Roster!$A:$A,MATCH($C1347,Roster!$B:$B,0))="","",INDEX(Roster!$A:$A,MATCH($C1347,Roster!$B:$B,0))&amp;""),"—"))</f>
        <v/>
      </c>
      <c r="E1347" s="25">
        <f>IF($C1347="","",IFERROR(IF(INDEX(Roster!$C:$C,MATCH($C1347,Roster!$B:$B,0))="","",INDEX(Roster!$C:$C,MATCH($C1347,Roster!$B:$B,0))&amp;""),"—"))</f>
        <v/>
      </c>
      <c r="F1347" s="25">
        <f>IF($C1347="","",IFERROR(IF(INDEX(Roster!$D:$D,MATCH($C1347,Roster!$B:$B,0))="","",INDEX(Roster!$D:$D,MATCH($C1347,Roster!$B:$B,0))&amp;""),"—"))</f>
        <v/>
      </c>
      <c r="G1347" s="25">
        <f>IF($C1347="","",IFERROR(IF(INDEX(Roster!$E:$E,MATCH($C1347,Roster!$B:$B,0))="","",INDEX(Roster!$E:$E,MATCH($C1347,Roster!$B:$B,0))&amp;""),"—"))</f>
        <v/>
      </c>
      <c r="H1347" s="25">
        <f>IF($C1347="","",IFERROR(IF(INDEX(Roster!$F:$F,MATCH($C1347,Roster!$B:$B,0))="","",INDEX(Roster!$F:$F,MATCH($C1347,Roster!$B:$B,0))&amp;""),"—"))</f>
        <v/>
      </c>
      <c r="I1347" s="25">
        <f>IF($C1347="","",IFERROR(IF(INDEX(Roster!$G:$G,MATCH($C1347,Roster!$B:$B,0))="","",INDEX(Roster!$G:$G,MATCH($C1347,Roster!$B:$B,0))&amp;""),"—"))</f>
        <v/>
      </c>
      <c r="J1347" s="25">
        <f>IF($C1347="","",IFERROR(IF(INDEX(Roster!$I:$I,MATCH($C1347,Roster!$B:$B,0))="","",INDEX(Roster!$I:$I,MATCH($C1347,Roster!$B:$B,0))&amp;""),"—"))</f>
        <v/>
      </c>
      <c r="K1347">
        <f>IF($C1347="","",IFERROR(IF(INDEX(Roster!$J:$J,MATCH($C1347,Roster!$B:$B,0))="","",INDEX(Roster!$J:$J,MATCH($C1347,Roster!$B:$B,0))&amp;""),"—"))</f>
        <v/>
      </c>
      <c r="L1347">
        <f>IF($C1347="","",IFERROR(IF(INDEX(Roster!$K:$K,MATCH($C1347,Roster!$B:$B,0))="","",INDEX(Roster!$K:$K,MATCH($C1347,Roster!$B:$B,0))&amp;""),"—"))</f>
        <v/>
      </c>
      <c r="M1347" s="27" t="n"/>
      <c r="N1347" s="27" t="n"/>
      <c r="O1347" s="25">
        <f>IF($C1347="","",IF($P1347="","—",IF($P1347="Valid (Pass)","Valid","Invalid")))</f>
        <v/>
      </c>
      <c r="P1347" s="27" t="n"/>
      <c r="Q1347" s="27" t="n"/>
      <c r="R1347" s="27" t="n"/>
      <c r="S1347" s="27" t="n"/>
      <c r="T1347" s="25">
        <f>IF($C1347="","",IF(OR(ISNUMBER(SEARCH("quick case",$P1347)),ISNUMBER(SEARCH("quick case",$Q1347))),"Yes","No"))</f>
        <v/>
      </c>
      <c r="U1347" s="25">
        <f>IF($O1347="Invalid",HYPERLINK("mailto:"&amp;$G1347&amp;";"&amp;$I1347&amp;"?cc="&amp;Lists!$E$2&amp;"&amp;subject="&amp;_xlfn.ENCODEURL("[INVALID] Quality audit monitoring completed for "&amp;UPPER($C1347))&amp;"&amp;body="&amp;_xlfn.ENCODEURL("Hi "&amp;$F1347&amp;","&amp;CHAR(10)&amp;"Good day!"&amp;CHAR(10)&amp;CHAR(10)&amp;"A quality monitoring audit has been completed for "&amp;$C1347&amp;"."&amp;CHAR(10)&amp;CHAR(10)&amp;"QUALITY AUDIT DETAILS"&amp;CHAR(10)&amp;"Agent Name: "&amp;$C1347&amp;" (EID "&amp;$D1347&amp;")"&amp;CHAR(10)&amp;"Audit Date: "&amp;TEXT($B1347,"yyyy-mm-dd")&amp;CHAR(10)&amp;"Team Leader: "&amp;$F1347&amp;CHAR(10)&amp;"Case Number: "&amp;$M1347&amp;CHAR(10)&amp;"Transaction ID: "&amp;$N1347&amp;CHAR(10)&amp;"Channel / LOB: "&amp;$K1347&amp;" / "&amp;$L1347&amp;CHAR(10)&amp;"Evaluator: "&amp;$S1347&amp;CHAR(10)&amp;CHAR(10)&amp;"INVALID QUALITY AUDIT DETAILS"&amp;CHAR(10)&amp;"Validation: Invalid"&amp;CHAR(10)&amp;"Invalid Reason: "&amp;$P1347&amp;CHAR(10)&amp;"Expected Resolution Code: "&amp;$Q1347&amp;CHAR(10)&amp;"Remarks: "&amp;LEFT($R1347,600)&amp;CHAR(10)&amp;CHAR(10)&amp;"This is an automated notification from HP Mainstream EQMS."),"✉ Open Email Draft"),"")</f>
        <v/>
      </c>
    </row>
    <row r="1348">
      <c r="A1348" s="25">
        <f>IF($C1348="","","AUD-2026-"&amp;TEXT(ROW()-1,"000000"))</f>
        <v/>
      </c>
      <c r="B1348" s="26" t="n"/>
      <c r="C1348" s="27" t="n"/>
      <c r="D1348" s="25">
        <f>IF($C1348="","",IFERROR(IF(INDEX(Roster!$A:$A,MATCH($C1348,Roster!$B:$B,0))="","",INDEX(Roster!$A:$A,MATCH($C1348,Roster!$B:$B,0))&amp;""),"—"))</f>
        <v/>
      </c>
      <c r="E1348" s="25">
        <f>IF($C1348="","",IFERROR(IF(INDEX(Roster!$C:$C,MATCH($C1348,Roster!$B:$B,0))="","",INDEX(Roster!$C:$C,MATCH($C1348,Roster!$B:$B,0))&amp;""),"—"))</f>
        <v/>
      </c>
      <c r="F1348" s="25">
        <f>IF($C1348="","",IFERROR(IF(INDEX(Roster!$D:$D,MATCH($C1348,Roster!$B:$B,0))="","",INDEX(Roster!$D:$D,MATCH($C1348,Roster!$B:$B,0))&amp;""),"—"))</f>
        <v/>
      </c>
      <c r="G1348" s="25">
        <f>IF($C1348="","",IFERROR(IF(INDEX(Roster!$E:$E,MATCH($C1348,Roster!$B:$B,0))="","",INDEX(Roster!$E:$E,MATCH($C1348,Roster!$B:$B,0))&amp;""),"—"))</f>
        <v/>
      </c>
      <c r="H1348" s="25">
        <f>IF($C1348="","",IFERROR(IF(INDEX(Roster!$F:$F,MATCH($C1348,Roster!$B:$B,0))="","",INDEX(Roster!$F:$F,MATCH($C1348,Roster!$B:$B,0))&amp;""),"—"))</f>
        <v/>
      </c>
      <c r="I1348" s="25">
        <f>IF($C1348="","",IFERROR(IF(INDEX(Roster!$G:$G,MATCH($C1348,Roster!$B:$B,0))="","",INDEX(Roster!$G:$G,MATCH($C1348,Roster!$B:$B,0))&amp;""),"—"))</f>
        <v/>
      </c>
      <c r="J1348" s="25">
        <f>IF($C1348="","",IFERROR(IF(INDEX(Roster!$I:$I,MATCH($C1348,Roster!$B:$B,0))="","",INDEX(Roster!$I:$I,MATCH($C1348,Roster!$B:$B,0))&amp;""),"—"))</f>
        <v/>
      </c>
      <c r="K1348">
        <f>IF($C1348="","",IFERROR(IF(INDEX(Roster!$J:$J,MATCH($C1348,Roster!$B:$B,0))="","",INDEX(Roster!$J:$J,MATCH($C1348,Roster!$B:$B,0))&amp;""),"—"))</f>
        <v/>
      </c>
      <c r="L1348">
        <f>IF($C1348="","",IFERROR(IF(INDEX(Roster!$K:$K,MATCH($C1348,Roster!$B:$B,0))="","",INDEX(Roster!$K:$K,MATCH($C1348,Roster!$B:$B,0))&amp;""),"—"))</f>
        <v/>
      </c>
      <c r="M1348" s="27" t="n"/>
      <c r="N1348" s="27" t="n"/>
      <c r="O1348" s="25">
        <f>IF($C1348="","",IF($P1348="","—",IF($P1348="Valid (Pass)","Valid","Invalid")))</f>
        <v/>
      </c>
      <c r="P1348" s="27" t="n"/>
      <c r="Q1348" s="27" t="n"/>
      <c r="R1348" s="27" t="n"/>
      <c r="S1348" s="27" t="n"/>
      <c r="T1348" s="25">
        <f>IF($C1348="","",IF(OR(ISNUMBER(SEARCH("quick case",$P1348)),ISNUMBER(SEARCH("quick case",$Q1348))),"Yes","No"))</f>
        <v/>
      </c>
      <c r="U1348" s="25">
        <f>IF($O1348="Invalid",HYPERLINK("mailto:"&amp;$G1348&amp;";"&amp;$I1348&amp;"?cc="&amp;Lists!$E$2&amp;"&amp;subject="&amp;_xlfn.ENCODEURL("[INVALID] Quality audit monitoring completed for "&amp;UPPER($C1348))&amp;"&amp;body="&amp;_xlfn.ENCODEURL("Hi "&amp;$F1348&amp;","&amp;CHAR(10)&amp;"Good day!"&amp;CHAR(10)&amp;CHAR(10)&amp;"A quality monitoring audit has been completed for "&amp;$C1348&amp;"."&amp;CHAR(10)&amp;CHAR(10)&amp;"QUALITY AUDIT DETAILS"&amp;CHAR(10)&amp;"Agent Name: "&amp;$C1348&amp;" (EID "&amp;$D1348&amp;")"&amp;CHAR(10)&amp;"Audit Date: "&amp;TEXT($B1348,"yyyy-mm-dd")&amp;CHAR(10)&amp;"Team Leader: "&amp;$F1348&amp;CHAR(10)&amp;"Case Number: "&amp;$M1348&amp;CHAR(10)&amp;"Transaction ID: "&amp;$N1348&amp;CHAR(10)&amp;"Channel / LOB: "&amp;$K1348&amp;" / "&amp;$L1348&amp;CHAR(10)&amp;"Evaluator: "&amp;$S1348&amp;CHAR(10)&amp;CHAR(10)&amp;"INVALID QUALITY AUDIT DETAILS"&amp;CHAR(10)&amp;"Validation: Invalid"&amp;CHAR(10)&amp;"Invalid Reason: "&amp;$P1348&amp;CHAR(10)&amp;"Expected Resolution Code: "&amp;$Q1348&amp;CHAR(10)&amp;"Remarks: "&amp;LEFT($R1348,600)&amp;CHAR(10)&amp;CHAR(10)&amp;"This is an automated notification from HP Mainstream EQMS."),"✉ Open Email Draft"),"")</f>
        <v/>
      </c>
    </row>
    <row r="1349">
      <c r="A1349" s="25">
        <f>IF($C1349="","","AUD-2026-"&amp;TEXT(ROW()-1,"000000"))</f>
        <v/>
      </c>
      <c r="B1349" s="26" t="n"/>
      <c r="C1349" s="27" t="n"/>
      <c r="D1349" s="25">
        <f>IF($C1349="","",IFERROR(IF(INDEX(Roster!$A:$A,MATCH($C1349,Roster!$B:$B,0))="","",INDEX(Roster!$A:$A,MATCH($C1349,Roster!$B:$B,0))&amp;""),"—"))</f>
        <v/>
      </c>
      <c r="E1349" s="25">
        <f>IF($C1349="","",IFERROR(IF(INDEX(Roster!$C:$C,MATCH($C1349,Roster!$B:$B,0))="","",INDEX(Roster!$C:$C,MATCH($C1349,Roster!$B:$B,0))&amp;""),"—"))</f>
        <v/>
      </c>
      <c r="F1349" s="25">
        <f>IF($C1349="","",IFERROR(IF(INDEX(Roster!$D:$D,MATCH($C1349,Roster!$B:$B,0))="","",INDEX(Roster!$D:$D,MATCH($C1349,Roster!$B:$B,0))&amp;""),"—"))</f>
        <v/>
      </c>
      <c r="G1349" s="25">
        <f>IF($C1349="","",IFERROR(IF(INDEX(Roster!$E:$E,MATCH($C1349,Roster!$B:$B,0))="","",INDEX(Roster!$E:$E,MATCH($C1349,Roster!$B:$B,0))&amp;""),"—"))</f>
        <v/>
      </c>
      <c r="H1349" s="25">
        <f>IF($C1349="","",IFERROR(IF(INDEX(Roster!$F:$F,MATCH($C1349,Roster!$B:$B,0))="","",INDEX(Roster!$F:$F,MATCH($C1349,Roster!$B:$B,0))&amp;""),"—"))</f>
        <v/>
      </c>
      <c r="I1349" s="25">
        <f>IF($C1349="","",IFERROR(IF(INDEX(Roster!$G:$G,MATCH($C1349,Roster!$B:$B,0))="","",INDEX(Roster!$G:$G,MATCH($C1349,Roster!$B:$B,0))&amp;""),"—"))</f>
        <v/>
      </c>
      <c r="J1349" s="25">
        <f>IF($C1349="","",IFERROR(IF(INDEX(Roster!$I:$I,MATCH($C1349,Roster!$B:$B,0))="","",INDEX(Roster!$I:$I,MATCH($C1349,Roster!$B:$B,0))&amp;""),"—"))</f>
        <v/>
      </c>
      <c r="K1349">
        <f>IF($C1349="","",IFERROR(IF(INDEX(Roster!$J:$J,MATCH($C1349,Roster!$B:$B,0))="","",INDEX(Roster!$J:$J,MATCH($C1349,Roster!$B:$B,0))&amp;""),"—"))</f>
        <v/>
      </c>
      <c r="L1349">
        <f>IF($C1349="","",IFERROR(IF(INDEX(Roster!$K:$K,MATCH($C1349,Roster!$B:$B,0))="","",INDEX(Roster!$K:$K,MATCH($C1349,Roster!$B:$B,0))&amp;""),"—"))</f>
        <v/>
      </c>
      <c r="M1349" s="27" t="n"/>
      <c r="N1349" s="27" t="n"/>
      <c r="O1349" s="25">
        <f>IF($C1349="","",IF($P1349="","—",IF($P1349="Valid (Pass)","Valid","Invalid")))</f>
        <v/>
      </c>
      <c r="P1349" s="27" t="n"/>
      <c r="Q1349" s="27" t="n"/>
      <c r="R1349" s="27" t="n"/>
      <c r="S1349" s="27" t="n"/>
      <c r="T1349" s="25">
        <f>IF($C1349="","",IF(OR(ISNUMBER(SEARCH("quick case",$P1349)),ISNUMBER(SEARCH("quick case",$Q1349))),"Yes","No"))</f>
        <v/>
      </c>
      <c r="U1349" s="25">
        <f>IF($O1349="Invalid",HYPERLINK("mailto:"&amp;$G1349&amp;";"&amp;$I1349&amp;"?cc="&amp;Lists!$E$2&amp;"&amp;subject="&amp;_xlfn.ENCODEURL("[INVALID] Quality audit monitoring completed for "&amp;UPPER($C1349))&amp;"&amp;body="&amp;_xlfn.ENCODEURL("Hi "&amp;$F1349&amp;","&amp;CHAR(10)&amp;"Good day!"&amp;CHAR(10)&amp;CHAR(10)&amp;"A quality monitoring audit has been completed for "&amp;$C1349&amp;"."&amp;CHAR(10)&amp;CHAR(10)&amp;"QUALITY AUDIT DETAILS"&amp;CHAR(10)&amp;"Agent Name: "&amp;$C1349&amp;" (EID "&amp;$D1349&amp;")"&amp;CHAR(10)&amp;"Audit Date: "&amp;TEXT($B1349,"yyyy-mm-dd")&amp;CHAR(10)&amp;"Team Leader: "&amp;$F1349&amp;CHAR(10)&amp;"Case Number: "&amp;$M1349&amp;CHAR(10)&amp;"Transaction ID: "&amp;$N1349&amp;CHAR(10)&amp;"Channel / LOB: "&amp;$K1349&amp;" / "&amp;$L1349&amp;CHAR(10)&amp;"Evaluator: "&amp;$S1349&amp;CHAR(10)&amp;CHAR(10)&amp;"INVALID QUALITY AUDIT DETAILS"&amp;CHAR(10)&amp;"Validation: Invalid"&amp;CHAR(10)&amp;"Invalid Reason: "&amp;$P1349&amp;CHAR(10)&amp;"Expected Resolution Code: "&amp;$Q1349&amp;CHAR(10)&amp;"Remarks: "&amp;LEFT($R1349,600)&amp;CHAR(10)&amp;CHAR(10)&amp;"This is an automated notification from HP Mainstream EQMS."),"✉ Open Email Draft"),"")</f>
        <v/>
      </c>
    </row>
    <row r="1350">
      <c r="A1350" s="25">
        <f>IF($C1350="","","AUD-2026-"&amp;TEXT(ROW()-1,"000000"))</f>
        <v/>
      </c>
      <c r="B1350" s="26" t="n"/>
      <c r="C1350" s="27" t="n"/>
      <c r="D1350" s="25">
        <f>IF($C1350="","",IFERROR(IF(INDEX(Roster!$A:$A,MATCH($C1350,Roster!$B:$B,0))="","",INDEX(Roster!$A:$A,MATCH($C1350,Roster!$B:$B,0))&amp;""),"—"))</f>
        <v/>
      </c>
      <c r="E1350" s="25">
        <f>IF($C1350="","",IFERROR(IF(INDEX(Roster!$C:$C,MATCH($C1350,Roster!$B:$B,0))="","",INDEX(Roster!$C:$C,MATCH($C1350,Roster!$B:$B,0))&amp;""),"—"))</f>
        <v/>
      </c>
      <c r="F1350" s="25">
        <f>IF($C1350="","",IFERROR(IF(INDEX(Roster!$D:$D,MATCH($C1350,Roster!$B:$B,0))="","",INDEX(Roster!$D:$D,MATCH($C1350,Roster!$B:$B,0))&amp;""),"—"))</f>
        <v/>
      </c>
      <c r="G1350" s="25">
        <f>IF($C1350="","",IFERROR(IF(INDEX(Roster!$E:$E,MATCH($C1350,Roster!$B:$B,0))="","",INDEX(Roster!$E:$E,MATCH($C1350,Roster!$B:$B,0))&amp;""),"—"))</f>
        <v/>
      </c>
      <c r="H1350" s="25">
        <f>IF($C1350="","",IFERROR(IF(INDEX(Roster!$F:$F,MATCH($C1350,Roster!$B:$B,0))="","",INDEX(Roster!$F:$F,MATCH($C1350,Roster!$B:$B,0))&amp;""),"—"))</f>
        <v/>
      </c>
      <c r="I1350" s="25">
        <f>IF($C1350="","",IFERROR(IF(INDEX(Roster!$G:$G,MATCH($C1350,Roster!$B:$B,0))="","",INDEX(Roster!$G:$G,MATCH($C1350,Roster!$B:$B,0))&amp;""),"—"))</f>
        <v/>
      </c>
      <c r="J1350" s="25">
        <f>IF($C1350="","",IFERROR(IF(INDEX(Roster!$I:$I,MATCH($C1350,Roster!$B:$B,0))="","",INDEX(Roster!$I:$I,MATCH($C1350,Roster!$B:$B,0))&amp;""),"—"))</f>
        <v/>
      </c>
      <c r="K1350">
        <f>IF($C1350="","",IFERROR(IF(INDEX(Roster!$J:$J,MATCH($C1350,Roster!$B:$B,0))="","",INDEX(Roster!$J:$J,MATCH($C1350,Roster!$B:$B,0))&amp;""),"—"))</f>
        <v/>
      </c>
      <c r="L1350">
        <f>IF($C1350="","",IFERROR(IF(INDEX(Roster!$K:$K,MATCH($C1350,Roster!$B:$B,0))="","",INDEX(Roster!$K:$K,MATCH($C1350,Roster!$B:$B,0))&amp;""),"—"))</f>
        <v/>
      </c>
      <c r="M1350" s="27" t="n"/>
      <c r="N1350" s="27" t="n"/>
      <c r="O1350" s="25">
        <f>IF($C1350="","",IF($P1350="","—",IF($P1350="Valid (Pass)","Valid","Invalid")))</f>
        <v/>
      </c>
      <c r="P1350" s="27" t="n"/>
      <c r="Q1350" s="27" t="n"/>
      <c r="R1350" s="27" t="n"/>
      <c r="S1350" s="27" t="n"/>
      <c r="T1350" s="25">
        <f>IF($C1350="","",IF(OR(ISNUMBER(SEARCH("quick case",$P1350)),ISNUMBER(SEARCH("quick case",$Q1350))),"Yes","No"))</f>
        <v/>
      </c>
      <c r="U1350" s="25">
        <f>IF($O1350="Invalid",HYPERLINK("mailto:"&amp;$G1350&amp;";"&amp;$I1350&amp;"?cc="&amp;Lists!$E$2&amp;"&amp;subject="&amp;_xlfn.ENCODEURL("[INVALID] Quality audit monitoring completed for "&amp;UPPER($C1350))&amp;"&amp;body="&amp;_xlfn.ENCODEURL("Hi "&amp;$F1350&amp;","&amp;CHAR(10)&amp;"Good day!"&amp;CHAR(10)&amp;CHAR(10)&amp;"A quality monitoring audit has been completed for "&amp;$C1350&amp;"."&amp;CHAR(10)&amp;CHAR(10)&amp;"QUALITY AUDIT DETAILS"&amp;CHAR(10)&amp;"Agent Name: "&amp;$C1350&amp;" (EID "&amp;$D1350&amp;")"&amp;CHAR(10)&amp;"Audit Date: "&amp;TEXT($B1350,"yyyy-mm-dd")&amp;CHAR(10)&amp;"Team Leader: "&amp;$F1350&amp;CHAR(10)&amp;"Case Number: "&amp;$M1350&amp;CHAR(10)&amp;"Transaction ID: "&amp;$N1350&amp;CHAR(10)&amp;"Channel / LOB: "&amp;$K1350&amp;" / "&amp;$L1350&amp;CHAR(10)&amp;"Evaluator: "&amp;$S1350&amp;CHAR(10)&amp;CHAR(10)&amp;"INVALID QUALITY AUDIT DETAILS"&amp;CHAR(10)&amp;"Validation: Invalid"&amp;CHAR(10)&amp;"Invalid Reason: "&amp;$P1350&amp;CHAR(10)&amp;"Expected Resolution Code: "&amp;$Q1350&amp;CHAR(10)&amp;"Remarks: "&amp;LEFT($R1350,600)&amp;CHAR(10)&amp;CHAR(10)&amp;"This is an automated notification from HP Mainstream EQMS."),"✉ Open Email Draft"),"")</f>
        <v/>
      </c>
    </row>
    <row r="1351">
      <c r="A1351" s="25">
        <f>IF($C1351="","","AUD-2026-"&amp;TEXT(ROW()-1,"000000"))</f>
        <v/>
      </c>
      <c r="B1351" s="26" t="n"/>
      <c r="C1351" s="27" t="n"/>
      <c r="D1351" s="25">
        <f>IF($C1351="","",IFERROR(IF(INDEX(Roster!$A:$A,MATCH($C1351,Roster!$B:$B,0))="","",INDEX(Roster!$A:$A,MATCH($C1351,Roster!$B:$B,0))&amp;""),"—"))</f>
        <v/>
      </c>
      <c r="E1351" s="25">
        <f>IF($C1351="","",IFERROR(IF(INDEX(Roster!$C:$C,MATCH($C1351,Roster!$B:$B,0))="","",INDEX(Roster!$C:$C,MATCH($C1351,Roster!$B:$B,0))&amp;""),"—"))</f>
        <v/>
      </c>
      <c r="F1351" s="25">
        <f>IF($C1351="","",IFERROR(IF(INDEX(Roster!$D:$D,MATCH($C1351,Roster!$B:$B,0))="","",INDEX(Roster!$D:$D,MATCH($C1351,Roster!$B:$B,0))&amp;""),"—"))</f>
        <v/>
      </c>
      <c r="G1351" s="25">
        <f>IF($C1351="","",IFERROR(IF(INDEX(Roster!$E:$E,MATCH($C1351,Roster!$B:$B,0))="","",INDEX(Roster!$E:$E,MATCH($C1351,Roster!$B:$B,0))&amp;""),"—"))</f>
        <v/>
      </c>
      <c r="H1351" s="25">
        <f>IF($C1351="","",IFERROR(IF(INDEX(Roster!$F:$F,MATCH($C1351,Roster!$B:$B,0))="","",INDEX(Roster!$F:$F,MATCH($C1351,Roster!$B:$B,0))&amp;""),"—"))</f>
        <v/>
      </c>
      <c r="I1351" s="25">
        <f>IF($C1351="","",IFERROR(IF(INDEX(Roster!$G:$G,MATCH($C1351,Roster!$B:$B,0))="","",INDEX(Roster!$G:$G,MATCH($C1351,Roster!$B:$B,0))&amp;""),"—"))</f>
        <v/>
      </c>
      <c r="J1351" s="25">
        <f>IF($C1351="","",IFERROR(IF(INDEX(Roster!$I:$I,MATCH($C1351,Roster!$B:$B,0))="","",INDEX(Roster!$I:$I,MATCH($C1351,Roster!$B:$B,0))&amp;""),"—"))</f>
        <v/>
      </c>
      <c r="K1351">
        <f>IF($C1351="","",IFERROR(IF(INDEX(Roster!$J:$J,MATCH($C1351,Roster!$B:$B,0))="","",INDEX(Roster!$J:$J,MATCH($C1351,Roster!$B:$B,0))&amp;""),"—"))</f>
        <v/>
      </c>
      <c r="L1351">
        <f>IF($C1351="","",IFERROR(IF(INDEX(Roster!$K:$K,MATCH($C1351,Roster!$B:$B,0))="","",INDEX(Roster!$K:$K,MATCH($C1351,Roster!$B:$B,0))&amp;""),"—"))</f>
        <v/>
      </c>
      <c r="M1351" s="27" t="n"/>
      <c r="N1351" s="27" t="n"/>
      <c r="O1351" s="25">
        <f>IF($C1351="","",IF($P1351="","—",IF($P1351="Valid (Pass)","Valid","Invalid")))</f>
        <v/>
      </c>
      <c r="P1351" s="27" t="n"/>
      <c r="Q1351" s="27" t="n"/>
      <c r="R1351" s="27" t="n"/>
      <c r="S1351" s="27" t="n"/>
      <c r="T1351" s="25">
        <f>IF($C1351="","",IF(OR(ISNUMBER(SEARCH("quick case",$P1351)),ISNUMBER(SEARCH("quick case",$Q1351))),"Yes","No"))</f>
        <v/>
      </c>
      <c r="U1351" s="25">
        <f>IF($O1351="Invalid",HYPERLINK("mailto:"&amp;$G1351&amp;";"&amp;$I1351&amp;"?cc="&amp;Lists!$E$2&amp;"&amp;subject="&amp;_xlfn.ENCODEURL("[INVALID] Quality audit monitoring completed for "&amp;UPPER($C1351))&amp;"&amp;body="&amp;_xlfn.ENCODEURL("Hi "&amp;$F1351&amp;","&amp;CHAR(10)&amp;"Good day!"&amp;CHAR(10)&amp;CHAR(10)&amp;"A quality monitoring audit has been completed for "&amp;$C1351&amp;"."&amp;CHAR(10)&amp;CHAR(10)&amp;"QUALITY AUDIT DETAILS"&amp;CHAR(10)&amp;"Agent Name: "&amp;$C1351&amp;" (EID "&amp;$D1351&amp;")"&amp;CHAR(10)&amp;"Audit Date: "&amp;TEXT($B1351,"yyyy-mm-dd")&amp;CHAR(10)&amp;"Team Leader: "&amp;$F1351&amp;CHAR(10)&amp;"Case Number: "&amp;$M1351&amp;CHAR(10)&amp;"Transaction ID: "&amp;$N1351&amp;CHAR(10)&amp;"Channel / LOB: "&amp;$K1351&amp;" / "&amp;$L1351&amp;CHAR(10)&amp;"Evaluator: "&amp;$S1351&amp;CHAR(10)&amp;CHAR(10)&amp;"INVALID QUALITY AUDIT DETAILS"&amp;CHAR(10)&amp;"Validation: Invalid"&amp;CHAR(10)&amp;"Invalid Reason: "&amp;$P1351&amp;CHAR(10)&amp;"Expected Resolution Code: "&amp;$Q1351&amp;CHAR(10)&amp;"Remarks: "&amp;LEFT($R1351,600)&amp;CHAR(10)&amp;CHAR(10)&amp;"This is an automated notification from HP Mainstream EQMS."),"✉ Open Email Draft"),"")</f>
        <v/>
      </c>
    </row>
    <row r="1352">
      <c r="A1352" s="25">
        <f>IF($C1352="","","AUD-2026-"&amp;TEXT(ROW()-1,"000000"))</f>
        <v/>
      </c>
      <c r="B1352" s="26" t="n"/>
      <c r="C1352" s="27" t="n"/>
      <c r="D1352" s="25">
        <f>IF($C1352="","",IFERROR(IF(INDEX(Roster!$A:$A,MATCH($C1352,Roster!$B:$B,0))="","",INDEX(Roster!$A:$A,MATCH($C1352,Roster!$B:$B,0))&amp;""),"—"))</f>
        <v/>
      </c>
      <c r="E1352" s="25">
        <f>IF($C1352="","",IFERROR(IF(INDEX(Roster!$C:$C,MATCH($C1352,Roster!$B:$B,0))="","",INDEX(Roster!$C:$C,MATCH($C1352,Roster!$B:$B,0))&amp;""),"—"))</f>
        <v/>
      </c>
      <c r="F1352" s="25">
        <f>IF($C1352="","",IFERROR(IF(INDEX(Roster!$D:$D,MATCH($C1352,Roster!$B:$B,0))="","",INDEX(Roster!$D:$D,MATCH($C1352,Roster!$B:$B,0))&amp;""),"—"))</f>
        <v/>
      </c>
      <c r="G1352" s="25">
        <f>IF($C1352="","",IFERROR(IF(INDEX(Roster!$E:$E,MATCH($C1352,Roster!$B:$B,0))="","",INDEX(Roster!$E:$E,MATCH($C1352,Roster!$B:$B,0))&amp;""),"—"))</f>
        <v/>
      </c>
      <c r="H1352" s="25">
        <f>IF($C1352="","",IFERROR(IF(INDEX(Roster!$F:$F,MATCH($C1352,Roster!$B:$B,0))="","",INDEX(Roster!$F:$F,MATCH($C1352,Roster!$B:$B,0))&amp;""),"—"))</f>
        <v/>
      </c>
      <c r="I1352" s="25">
        <f>IF($C1352="","",IFERROR(IF(INDEX(Roster!$G:$G,MATCH($C1352,Roster!$B:$B,0))="","",INDEX(Roster!$G:$G,MATCH($C1352,Roster!$B:$B,0))&amp;""),"—"))</f>
        <v/>
      </c>
      <c r="J1352" s="25">
        <f>IF($C1352="","",IFERROR(IF(INDEX(Roster!$I:$I,MATCH($C1352,Roster!$B:$B,0))="","",INDEX(Roster!$I:$I,MATCH($C1352,Roster!$B:$B,0))&amp;""),"—"))</f>
        <v/>
      </c>
      <c r="K1352">
        <f>IF($C1352="","",IFERROR(IF(INDEX(Roster!$J:$J,MATCH($C1352,Roster!$B:$B,0))="","",INDEX(Roster!$J:$J,MATCH($C1352,Roster!$B:$B,0))&amp;""),"—"))</f>
        <v/>
      </c>
      <c r="L1352">
        <f>IF($C1352="","",IFERROR(IF(INDEX(Roster!$K:$K,MATCH($C1352,Roster!$B:$B,0))="","",INDEX(Roster!$K:$K,MATCH($C1352,Roster!$B:$B,0))&amp;""),"—"))</f>
        <v/>
      </c>
      <c r="M1352" s="27" t="n"/>
      <c r="N1352" s="27" t="n"/>
      <c r="O1352" s="25">
        <f>IF($C1352="","",IF($P1352="","—",IF($P1352="Valid (Pass)","Valid","Invalid")))</f>
        <v/>
      </c>
      <c r="P1352" s="27" t="n"/>
      <c r="Q1352" s="27" t="n"/>
      <c r="R1352" s="27" t="n"/>
      <c r="S1352" s="27" t="n"/>
      <c r="T1352" s="25">
        <f>IF($C1352="","",IF(OR(ISNUMBER(SEARCH("quick case",$P1352)),ISNUMBER(SEARCH("quick case",$Q1352))),"Yes","No"))</f>
        <v/>
      </c>
      <c r="U1352" s="25">
        <f>IF($O1352="Invalid",HYPERLINK("mailto:"&amp;$G1352&amp;";"&amp;$I1352&amp;"?cc="&amp;Lists!$E$2&amp;"&amp;subject="&amp;_xlfn.ENCODEURL("[INVALID] Quality audit monitoring completed for "&amp;UPPER($C1352))&amp;"&amp;body="&amp;_xlfn.ENCODEURL("Hi "&amp;$F1352&amp;","&amp;CHAR(10)&amp;"Good day!"&amp;CHAR(10)&amp;CHAR(10)&amp;"A quality monitoring audit has been completed for "&amp;$C1352&amp;"."&amp;CHAR(10)&amp;CHAR(10)&amp;"QUALITY AUDIT DETAILS"&amp;CHAR(10)&amp;"Agent Name: "&amp;$C1352&amp;" (EID "&amp;$D1352&amp;")"&amp;CHAR(10)&amp;"Audit Date: "&amp;TEXT($B1352,"yyyy-mm-dd")&amp;CHAR(10)&amp;"Team Leader: "&amp;$F1352&amp;CHAR(10)&amp;"Case Number: "&amp;$M1352&amp;CHAR(10)&amp;"Transaction ID: "&amp;$N1352&amp;CHAR(10)&amp;"Channel / LOB: "&amp;$K1352&amp;" / "&amp;$L1352&amp;CHAR(10)&amp;"Evaluator: "&amp;$S1352&amp;CHAR(10)&amp;CHAR(10)&amp;"INVALID QUALITY AUDIT DETAILS"&amp;CHAR(10)&amp;"Validation: Invalid"&amp;CHAR(10)&amp;"Invalid Reason: "&amp;$P1352&amp;CHAR(10)&amp;"Expected Resolution Code: "&amp;$Q1352&amp;CHAR(10)&amp;"Remarks: "&amp;LEFT($R1352,600)&amp;CHAR(10)&amp;CHAR(10)&amp;"This is an automated notification from HP Mainstream EQMS."),"✉ Open Email Draft"),"")</f>
        <v/>
      </c>
    </row>
    <row r="1353">
      <c r="A1353" s="25">
        <f>IF($C1353="","","AUD-2026-"&amp;TEXT(ROW()-1,"000000"))</f>
        <v/>
      </c>
      <c r="B1353" s="26" t="n"/>
      <c r="C1353" s="27" t="n"/>
      <c r="D1353" s="25">
        <f>IF($C1353="","",IFERROR(IF(INDEX(Roster!$A:$A,MATCH($C1353,Roster!$B:$B,0))="","",INDEX(Roster!$A:$A,MATCH($C1353,Roster!$B:$B,0))&amp;""),"—"))</f>
        <v/>
      </c>
      <c r="E1353" s="25">
        <f>IF($C1353="","",IFERROR(IF(INDEX(Roster!$C:$C,MATCH($C1353,Roster!$B:$B,0))="","",INDEX(Roster!$C:$C,MATCH($C1353,Roster!$B:$B,0))&amp;""),"—"))</f>
        <v/>
      </c>
      <c r="F1353" s="25">
        <f>IF($C1353="","",IFERROR(IF(INDEX(Roster!$D:$D,MATCH($C1353,Roster!$B:$B,0))="","",INDEX(Roster!$D:$D,MATCH($C1353,Roster!$B:$B,0))&amp;""),"—"))</f>
        <v/>
      </c>
      <c r="G1353" s="25">
        <f>IF($C1353="","",IFERROR(IF(INDEX(Roster!$E:$E,MATCH($C1353,Roster!$B:$B,0))="","",INDEX(Roster!$E:$E,MATCH($C1353,Roster!$B:$B,0))&amp;""),"—"))</f>
        <v/>
      </c>
      <c r="H1353" s="25">
        <f>IF($C1353="","",IFERROR(IF(INDEX(Roster!$F:$F,MATCH($C1353,Roster!$B:$B,0))="","",INDEX(Roster!$F:$F,MATCH($C1353,Roster!$B:$B,0))&amp;""),"—"))</f>
        <v/>
      </c>
      <c r="I1353" s="25">
        <f>IF($C1353="","",IFERROR(IF(INDEX(Roster!$G:$G,MATCH($C1353,Roster!$B:$B,0))="","",INDEX(Roster!$G:$G,MATCH($C1353,Roster!$B:$B,0))&amp;""),"—"))</f>
        <v/>
      </c>
      <c r="J1353" s="25">
        <f>IF($C1353="","",IFERROR(IF(INDEX(Roster!$I:$I,MATCH($C1353,Roster!$B:$B,0))="","",INDEX(Roster!$I:$I,MATCH($C1353,Roster!$B:$B,0))&amp;""),"—"))</f>
        <v/>
      </c>
      <c r="K1353">
        <f>IF($C1353="","",IFERROR(IF(INDEX(Roster!$J:$J,MATCH($C1353,Roster!$B:$B,0))="","",INDEX(Roster!$J:$J,MATCH($C1353,Roster!$B:$B,0))&amp;""),"—"))</f>
        <v/>
      </c>
      <c r="L1353">
        <f>IF($C1353="","",IFERROR(IF(INDEX(Roster!$K:$K,MATCH($C1353,Roster!$B:$B,0))="","",INDEX(Roster!$K:$K,MATCH($C1353,Roster!$B:$B,0))&amp;""),"—"))</f>
        <v/>
      </c>
      <c r="M1353" s="27" t="n"/>
      <c r="N1353" s="27" t="n"/>
      <c r="O1353" s="25">
        <f>IF($C1353="","",IF($P1353="","—",IF($P1353="Valid (Pass)","Valid","Invalid")))</f>
        <v/>
      </c>
      <c r="P1353" s="27" t="n"/>
      <c r="Q1353" s="27" t="n"/>
      <c r="R1353" s="27" t="n"/>
      <c r="S1353" s="27" t="n"/>
      <c r="T1353" s="25">
        <f>IF($C1353="","",IF(OR(ISNUMBER(SEARCH("quick case",$P1353)),ISNUMBER(SEARCH("quick case",$Q1353))),"Yes","No"))</f>
        <v/>
      </c>
      <c r="U1353" s="25">
        <f>IF($O1353="Invalid",HYPERLINK("mailto:"&amp;$G1353&amp;";"&amp;$I1353&amp;"?cc="&amp;Lists!$E$2&amp;"&amp;subject="&amp;_xlfn.ENCODEURL("[INVALID] Quality audit monitoring completed for "&amp;UPPER($C1353))&amp;"&amp;body="&amp;_xlfn.ENCODEURL("Hi "&amp;$F1353&amp;","&amp;CHAR(10)&amp;"Good day!"&amp;CHAR(10)&amp;CHAR(10)&amp;"A quality monitoring audit has been completed for "&amp;$C1353&amp;"."&amp;CHAR(10)&amp;CHAR(10)&amp;"QUALITY AUDIT DETAILS"&amp;CHAR(10)&amp;"Agent Name: "&amp;$C1353&amp;" (EID "&amp;$D1353&amp;")"&amp;CHAR(10)&amp;"Audit Date: "&amp;TEXT($B1353,"yyyy-mm-dd")&amp;CHAR(10)&amp;"Team Leader: "&amp;$F1353&amp;CHAR(10)&amp;"Case Number: "&amp;$M1353&amp;CHAR(10)&amp;"Transaction ID: "&amp;$N1353&amp;CHAR(10)&amp;"Channel / LOB: "&amp;$K1353&amp;" / "&amp;$L1353&amp;CHAR(10)&amp;"Evaluator: "&amp;$S1353&amp;CHAR(10)&amp;CHAR(10)&amp;"INVALID QUALITY AUDIT DETAILS"&amp;CHAR(10)&amp;"Validation: Invalid"&amp;CHAR(10)&amp;"Invalid Reason: "&amp;$P1353&amp;CHAR(10)&amp;"Expected Resolution Code: "&amp;$Q1353&amp;CHAR(10)&amp;"Remarks: "&amp;LEFT($R1353,600)&amp;CHAR(10)&amp;CHAR(10)&amp;"This is an automated notification from HP Mainstream EQMS."),"✉ Open Email Draft"),"")</f>
        <v/>
      </c>
    </row>
    <row r="1354">
      <c r="A1354" s="25">
        <f>IF($C1354="","","AUD-2026-"&amp;TEXT(ROW()-1,"000000"))</f>
        <v/>
      </c>
      <c r="B1354" s="26" t="n"/>
      <c r="C1354" s="27" t="n"/>
      <c r="D1354" s="25">
        <f>IF($C1354="","",IFERROR(IF(INDEX(Roster!$A:$A,MATCH($C1354,Roster!$B:$B,0))="","",INDEX(Roster!$A:$A,MATCH($C1354,Roster!$B:$B,0))&amp;""),"—"))</f>
        <v/>
      </c>
      <c r="E1354" s="25">
        <f>IF($C1354="","",IFERROR(IF(INDEX(Roster!$C:$C,MATCH($C1354,Roster!$B:$B,0))="","",INDEX(Roster!$C:$C,MATCH($C1354,Roster!$B:$B,0))&amp;""),"—"))</f>
        <v/>
      </c>
      <c r="F1354" s="25">
        <f>IF($C1354="","",IFERROR(IF(INDEX(Roster!$D:$D,MATCH($C1354,Roster!$B:$B,0))="","",INDEX(Roster!$D:$D,MATCH($C1354,Roster!$B:$B,0))&amp;""),"—"))</f>
        <v/>
      </c>
      <c r="G1354" s="25">
        <f>IF($C1354="","",IFERROR(IF(INDEX(Roster!$E:$E,MATCH($C1354,Roster!$B:$B,0))="","",INDEX(Roster!$E:$E,MATCH($C1354,Roster!$B:$B,0))&amp;""),"—"))</f>
        <v/>
      </c>
      <c r="H1354" s="25">
        <f>IF($C1354="","",IFERROR(IF(INDEX(Roster!$F:$F,MATCH($C1354,Roster!$B:$B,0))="","",INDEX(Roster!$F:$F,MATCH($C1354,Roster!$B:$B,0))&amp;""),"—"))</f>
        <v/>
      </c>
      <c r="I1354" s="25">
        <f>IF($C1354="","",IFERROR(IF(INDEX(Roster!$G:$G,MATCH($C1354,Roster!$B:$B,0))="","",INDEX(Roster!$G:$G,MATCH($C1354,Roster!$B:$B,0))&amp;""),"—"))</f>
        <v/>
      </c>
      <c r="J1354" s="25">
        <f>IF($C1354="","",IFERROR(IF(INDEX(Roster!$I:$I,MATCH($C1354,Roster!$B:$B,0))="","",INDEX(Roster!$I:$I,MATCH($C1354,Roster!$B:$B,0))&amp;""),"—"))</f>
        <v/>
      </c>
      <c r="K1354">
        <f>IF($C1354="","",IFERROR(IF(INDEX(Roster!$J:$J,MATCH($C1354,Roster!$B:$B,0))="","",INDEX(Roster!$J:$J,MATCH($C1354,Roster!$B:$B,0))&amp;""),"—"))</f>
        <v/>
      </c>
      <c r="L1354">
        <f>IF($C1354="","",IFERROR(IF(INDEX(Roster!$K:$K,MATCH($C1354,Roster!$B:$B,0))="","",INDEX(Roster!$K:$K,MATCH($C1354,Roster!$B:$B,0))&amp;""),"—"))</f>
        <v/>
      </c>
      <c r="M1354" s="27" t="n"/>
      <c r="N1354" s="27" t="n"/>
      <c r="O1354" s="25">
        <f>IF($C1354="","",IF($P1354="","—",IF($P1354="Valid (Pass)","Valid","Invalid")))</f>
        <v/>
      </c>
      <c r="P1354" s="27" t="n"/>
      <c r="Q1354" s="27" t="n"/>
      <c r="R1354" s="27" t="n"/>
      <c r="S1354" s="27" t="n"/>
      <c r="T1354" s="25">
        <f>IF($C1354="","",IF(OR(ISNUMBER(SEARCH("quick case",$P1354)),ISNUMBER(SEARCH("quick case",$Q1354))),"Yes","No"))</f>
        <v/>
      </c>
      <c r="U1354" s="25">
        <f>IF($O1354="Invalid",HYPERLINK("mailto:"&amp;$G1354&amp;";"&amp;$I1354&amp;"?cc="&amp;Lists!$E$2&amp;"&amp;subject="&amp;_xlfn.ENCODEURL("[INVALID] Quality audit monitoring completed for "&amp;UPPER($C1354))&amp;"&amp;body="&amp;_xlfn.ENCODEURL("Hi "&amp;$F1354&amp;","&amp;CHAR(10)&amp;"Good day!"&amp;CHAR(10)&amp;CHAR(10)&amp;"A quality monitoring audit has been completed for "&amp;$C1354&amp;"."&amp;CHAR(10)&amp;CHAR(10)&amp;"QUALITY AUDIT DETAILS"&amp;CHAR(10)&amp;"Agent Name: "&amp;$C1354&amp;" (EID "&amp;$D1354&amp;")"&amp;CHAR(10)&amp;"Audit Date: "&amp;TEXT($B1354,"yyyy-mm-dd")&amp;CHAR(10)&amp;"Team Leader: "&amp;$F1354&amp;CHAR(10)&amp;"Case Number: "&amp;$M1354&amp;CHAR(10)&amp;"Transaction ID: "&amp;$N1354&amp;CHAR(10)&amp;"Channel / LOB: "&amp;$K1354&amp;" / "&amp;$L1354&amp;CHAR(10)&amp;"Evaluator: "&amp;$S1354&amp;CHAR(10)&amp;CHAR(10)&amp;"INVALID QUALITY AUDIT DETAILS"&amp;CHAR(10)&amp;"Validation: Invalid"&amp;CHAR(10)&amp;"Invalid Reason: "&amp;$P1354&amp;CHAR(10)&amp;"Expected Resolution Code: "&amp;$Q1354&amp;CHAR(10)&amp;"Remarks: "&amp;LEFT($R1354,600)&amp;CHAR(10)&amp;CHAR(10)&amp;"This is an automated notification from HP Mainstream EQMS."),"✉ Open Email Draft"),"")</f>
        <v/>
      </c>
    </row>
    <row r="1355">
      <c r="A1355" s="25">
        <f>IF($C1355="","","AUD-2026-"&amp;TEXT(ROW()-1,"000000"))</f>
        <v/>
      </c>
      <c r="B1355" s="26" t="n"/>
      <c r="C1355" s="27" t="n"/>
      <c r="D1355" s="25">
        <f>IF($C1355="","",IFERROR(IF(INDEX(Roster!$A:$A,MATCH($C1355,Roster!$B:$B,0))="","",INDEX(Roster!$A:$A,MATCH($C1355,Roster!$B:$B,0))&amp;""),"—"))</f>
        <v/>
      </c>
      <c r="E1355" s="25">
        <f>IF($C1355="","",IFERROR(IF(INDEX(Roster!$C:$C,MATCH($C1355,Roster!$B:$B,0))="","",INDEX(Roster!$C:$C,MATCH($C1355,Roster!$B:$B,0))&amp;""),"—"))</f>
        <v/>
      </c>
      <c r="F1355" s="25">
        <f>IF($C1355="","",IFERROR(IF(INDEX(Roster!$D:$D,MATCH($C1355,Roster!$B:$B,0))="","",INDEX(Roster!$D:$D,MATCH($C1355,Roster!$B:$B,0))&amp;""),"—"))</f>
        <v/>
      </c>
      <c r="G1355" s="25">
        <f>IF($C1355="","",IFERROR(IF(INDEX(Roster!$E:$E,MATCH($C1355,Roster!$B:$B,0))="","",INDEX(Roster!$E:$E,MATCH($C1355,Roster!$B:$B,0))&amp;""),"—"))</f>
        <v/>
      </c>
      <c r="H1355" s="25">
        <f>IF($C1355="","",IFERROR(IF(INDEX(Roster!$F:$F,MATCH($C1355,Roster!$B:$B,0))="","",INDEX(Roster!$F:$F,MATCH($C1355,Roster!$B:$B,0))&amp;""),"—"))</f>
        <v/>
      </c>
      <c r="I1355" s="25">
        <f>IF($C1355="","",IFERROR(IF(INDEX(Roster!$G:$G,MATCH($C1355,Roster!$B:$B,0))="","",INDEX(Roster!$G:$G,MATCH($C1355,Roster!$B:$B,0))&amp;""),"—"))</f>
        <v/>
      </c>
      <c r="J1355" s="25">
        <f>IF($C1355="","",IFERROR(IF(INDEX(Roster!$I:$I,MATCH($C1355,Roster!$B:$B,0))="","",INDEX(Roster!$I:$I,MATCH($C1355,Roster!$B:$B,0))&amp;""),"—"))</f>
        <v/>
      </c>
      <c r="K1355">
        <f>IF($C1355="","",IFERROR(IF(INDEX(Roster!$J:$J,MATCH($C1355,Roster!$B:$B,0))="","",INDEX(Roster!$J:$J,MATCH($C1355,Roster!$B:$B,0))&amp;""),"—"))</f>
        <v/>
      </c>
      <c r="L1355">
        <f>IF($C1355="","",IFERROR(IF(INDEX(Roster!$K:$K,MATCH($C1355,Roster!$B:$B,0))="","",INDEX(Roster!$K:$K,MATCH($C1355,Roster!$B:$B,0))&amp;""),"—"))</f>
        <v/>
      </c>
      <c r="M1355" s="27" t="n"/>
      <c r="N1355" s="27" t="n"/>
      <c r="O1355" s="25">
        <f>IF($C1355="","",IF($P1355="","—",IF($P1355="Valid (Pass)","Valid","Invalid")))</f>
        <v/>
      </c>
      <c r="P1355" s="27" t="n"/>
      <c r="Q1355" s="27" t="n"/>
      <c r="R1355" s="27" t="n"/>
      <c r="S1355" s="27" t="n"/>
      <c r="T1355" s="25">
        <f>IF($C1355="","",IF(OR(ISNUMBER(SEARCH("quick case",$P1355)),ISNUMBER(SEARCH("quick case",$Q1355))),"Yes","No"))</f>
        <v/>
      </c>
      <c r="U1355" s="25">
        <f>IF($O1355="Invalid",HYPERLINK("mailto:"&amp;$G1355&amp;";"&amp;$I1355&amp;"?cc="&amp;Lists!$E$2&amp;"&amp;subject="&amp;_xlfn.ENCODEURL("[INVALID] Quality audit monitoring completed for "&amp;UPPER($C1355))&amp;"&amp;body="&amp;_xlfn.ENCODEURL("Hi "&amp;$F1355&amp;","&amp;CHAR(10)&amp;"Good day!"&amp;CHAR(10)&amp;CHAR(10)&amp;"A quality monitoring audit has been completed for "&amp;$C1355&amp;"."&amp;CHAR(10)&amp;CHAR(10)&amp;"QUALITY AUDIT DETAILS"&amp;CHAR(10)&amp;"Agent Name: "&amp;$C1355&amp;" (EID "&amp;$D1355&amp;")"&amp;CHAR(10)&amp;"Audit Date: "&amp;TEXT($B1355,"yyyy-mm-dd")&amp;CHAR(10)&amp;"Team Leader: "&amp;$F1355&amp;CHAR(10)&amp;"Case Number: "&amp;$M1355&amp;CHAR(10)&amp;"Transaction ID: "&amp;$N1355&amp;CHAR(10)&amp;"Channel / LOB: "&amp;$K1355&amp;" / "&amp;$L1355&amp;CHAR(10)&amp;"Evaluator: "&amp;$S1355&amp;CHAR(10)&amp;CHAR(10)&amp;"INVALID QUALITY AUDIT DETAILS"&amp;CHAR(10)&amp;"Validation: Invalid"&amp;CHAR(10)&amp;"Invalid Reason: "&amp;$P1355&amp;CHAR(10)&amp;"Expected Resolution Code: "&amp;$Q1355&amp;CHAR(10)&amp;"Remarks: "&amp;LEFT($R1355,600)&amp;CHAR(10)&amp;CHAR(10)&amp;"This is an automated notification from HP Mainstream EQMS."),"✉ Open Email Draft"),"")</f>
        <v/>
      </c>
    </row>
    <row r="1356">
      <c r="A1356" s="25">
        <f>IF($C1356="","","AUD-2026-"&amp;TEXT(ROW()-1,"000000"))</f>
        <v/>
      </c>
      <c r="B1356" s="26" t="n"/>
      <c r="C1356" s="27" t="n"/>
      <c r="D1356" s="25">
        <f>IF($C1356="","",IFERROR(IF(INDEX(Roster!$A:$A,MATCH($C1356,Roster!$B:$B,0))="","",INDEX(Roster!$A:$A,MATCH($C1356,Roster!$B:$B,0))&amp;""),"—"))</f>
        <v/>
      </c>
      <c r="E1356" s="25">
        <f>IF($C1356="","",IFERROR(IF(INDEX(Roster!$C:$C,MATCH($C1356,Roster!$B:$B,0))="","",INDEX(Roster!$C:$C,MATCH($C1356,Roster!$B:$B,0))&amp;""),"—"))</f>
        <v/>
      </c>
      <c r="F1356" s="25">
        <f>IF($C1356="","",IFERROR(IF(INDEX(Roster!$D:$D,MATCH($C1356,Roster!$B:$B,0))="","",INDEX(Roster!$D:$D,MATCH($C1356,Roster!$B:$B,0))&amp;""),"—"))</f>
        <v/>
      </c>
      <c r="G1356" s="25">
        <f>IF($C1356="","",IFERROR(IF(INDEX(Roster!$E:$E,MATCH($C1356,Roster!$B:$B,0))="","",INDEX(Roster!$E:$E,MATCH($C1356,Roster!$B:$B,0))&amp;""),"—"))</f>
        <v/>
      </c>
      <c r="H1356" s="25">
        <f>IF($C1356="","",IFERROR(IF(INDEX(Roster!$F:$F,MATCH($C1356,Roster!$B:$B,0))="","",INDEX(Roster!$F:$F,MATCH($C1356,Roster!$B:$B,0))&amp;""),"—"))</f>
        <v/>
      </c>
      <c r="I1356" s="25">
        <f>IF($C1356="","",IFERROR(IF(INDEX(Roster!$G:$G,MATCH($C1356,Roster!$B:$B,0))="","",INDEX(Roster!$G:$G,MATCH($C1356,Roster!$B:$B,0))&amp;""),"—"))</f>
        <v/>
      </c>
      <c r="J1356" s="25">
        <f>IF($C1356="","",IFERROR(IF(INDEX(Roster!$I:$I,MATCH($C1356,Roster!$B:$B,0))="","",INDEX(Roster!$I:$I,MATCH($C1356,Roster!$B:$B,0))&amp;""),"—"))</f>
        <v/>
      </c>
      <c r="K1356">
        <f>IF($C1356="","",IFERROR(IF(INDEX(Roster!$J:$J,MATCH($C1356,Roster!$B:$B,0))="","",INDEX(Roster!$J:$J,MATCH($C1356,Roster!$B:$B,0))&amp;""),"—"))</f>
        <v/>
      </c>
      <c r="L1356">
        <f>IF($C1356="","",IFERROR(IF(INDEX(Roster!$K:$K,MATCH($C1356,Roster!$B:$B,0))="","",INDEX(Roster!$K:$K,MATCH($C1356,Roster!$B:$B,0))&amp;""),"—"))</f>
        <v/>
      </c>
      <c r="M1356" s="27" t="n"/>
      <c r="N1356" s="27" t="n"/>
      <c r="O1356" s="25">
        <f>IF($C1356="","",IF($P1356="","—",IF($P1356="Valid (Pass)","Valid","Invalid")))</f>
        <v/>
      </c>
      <c r="P1356" s="27" t="n"/>
      <c r="Q1356" s="27" t="n"/>
      <c r="R1356" s="27" t="n"/>
      <c r="S1356" s="27" t="n"/>
      <c r="T1356" s="25">
        <f>IF($C1356="","",IF(OR(ISNUMBER(SEARCH("quick case",$P1356)),ISNUMBER(SEARCH("quick case",$Q1356))),"Yes","No"))</f>
        <v/>
      </c>
      <c r="U1356" s="25">
        <f>IF($O1356="Invalid",HYPERLINK("mailto:"&amp;$G1356&amp;";"&amp;$I1356&amp;"?cc="&amp;Lists!$E$2&amp;"&amp;subject="&amp;_xlfn.ENCODEURL("[INVALID] Quality audit monitoring completed for "&amp;UPPER($C1356))&amp;"&amp;body="&amp;_xlfn.ENCODEURL("Hi "&amp;$F1356&amp;","&amp;CHAR(10)&amp;"Good day!"&amp;CHAR(10)&amp;CHAR(10)&amp;"A quality monitoring audit has been completed for "&amp;$C1356&amp;"."&amp;CHAR(10)&amp;CHAR(10)&amp;"QUALITY AUDIT DETAILS"&amp;CHAR(10)&amp;"Agent Name: "&amp;$C1356&amp;" (EID "&amp;$D1356&amp;")"&amp;CHAR(10)&amp;"Audit Date: "&amp;TEXT($B1356,"yyyy-mm-dd")&amp;CHAR(10)&amp;"Team Leader: "&amp;$F1356&amp;CHAR(10)&amp;"Case Number: "&amp;$M1356&amp;CHAR(10)&amp;"Transaction ID: "&amp;$N1356&amp;CHAR(10)&amp;"Channel / LOB: "&amp;$K1356&amp;" / "&amp;$L1356&amp;CHAR(10)&amp;"Evaluator: "&amp;$S1356&amp;CHAR(10)&amp;CHAR(10)&amp;"INVALID QUALITY AUDIT DETAILS"&amp;CHAR(10)&amp;"Validation: Invalid"&amp;CHAR(10)&amp;"Invalid Reason: "&amp;$P1356&amp;CHAR(10)&amp;"Expected Resolution Code: "&amp;$Q1356&amp;CHAR(10)&amp;"Remarks: "&amp;LEFT($R1356,600)&amp;CHAR(10)&amp;CHAR(10)&amp;"This is an automated notification from HP Mainstream EQMS."),"✉ Open Email Draft"),"")</f>
        <v/>
      </c>
    </row>
    <row r="1357">
      <c r="A1357" s="25">
        <f>IF($C1357="","","AUD-2026-"&amp;TEXT(ROW()-1,"000000"))</f>
        <v/>
      </c>
      <c r="B1357" s="26" t="n"/>
      <c r="C1357" s="27" t="n"/>
      <c r="D1357" s="25">
        <f>IF($C1357="","",IFERROR(IF(INDEX(Roster!$A:$A,MATCH($C1357,Roster!$B:$B,0))="","",INDEX(Roster!$A:$A,MATCH($C1357,Roster!$B:$B,0))&amp;""),"—"))</f>
        <v/>
      </c>
      <c r="E1357" s="25">
        <f>IF($C1357="","",IFERROR(IF(INDEX(Roster!$C:$C,MATCH($C1357,Roster!$B:$B,0))="","",INDEX(Roster!$C:$C,MATCH($C1357,Roster!$B:$B,0))&amp;""),"—"))</f>
        <v/>
      </c>
      <c r="F1357" s="25">
        <f>IF($C1357="","",IFERROR(IF(INDEX(Roster!$D:$D,MATCH($C1357,Roster!$B:$B,0))="","",INDEX(Roster!$D:$D,MATCH($C1357,Roster!$B:$B,0))&amp;""),"—"))</f>
        <v/>
      </c>
      <c r="G1357" s="25">
        <f>IF($C1357="","",IFERROR(IF(INDEX(Roster!$E:$E,MATCH($C1357,Roster!$B:$B,0))="","",INDEX(Roster!$E:$E,MATCH($C1357,Roster!$B:$B,0))&amp;""),"—"))</f>
        <v/>
      </c>
      <c r="H1357" s="25">
        <f>IF($C1357="","",IFERROR(IF(INDEX(Roster!$F:$F,MATCH($C1357,Roster!$B:$B,0))="","",INDEX(Roster!$F:$F,MATCH($C1357,Roster!$B:$B,0))&amp;""),"—"))</f>
        <v/>
      </c>
      <c r="I1357" s="25">
        <f>IF($C1357="","",IFERROR(IF(INDEX(Roster!$G:$G,MATCH($C1357,Roster!$B:$B,0))="","",INDEX(Roster!$G:$G,MATCH($C1357,Roster!$B:$B,0))&amp;""),"—"))</f>
        <v/>
      </c>
      <c r="J1357" s="25">
        <f>IF($C1357="","",IFERROR(IF(INDEX(Roster!$I:$I,MATCH($C1357,Roster!$B:$B,0))="","",INDEX(Roster!$I:$I,MATCH($C1357,Roster!$B:$B,0))&amp;""),"—"))</f>
        <v/>
      </c>
      <c r="K1357">
        <f>IF($C1357="","",IFERROR(IF(INDEX(Roster!$J:$J,MATCH($C1357,Roster!$B:$B,0))="","",INDEX(Roster!$J:$J,MATCH($C1357,Roster!$B:$B,0))&amp;""),"—"))</f>
        <v/>
      </c>
      <c r="L1357">
        <f>IF($C1357="","",IFERROR(IF(INDEX(Roster!$K:$K,MATCH($C1357,Roster!$B:$B,0))="","",INDEX(Roster!$K:$K,MATCH($C1357,Roster!$B:$B,0))&amp;""),"—"))</f>
        <v/>
      </c>
      <c r="M1357" s="27" t="n"/>
      <c r="N1357" s="27" t="n"/>
      <c r="O1357" s="25">
        <f>IF($C1357="","",IF($P1357="","—",IF($P1357="Valid (Pass)","Valid","Invalid")))</f>
        <v/>
      </c>
      <c r="P1357" s="27" t="n"/>
      <c r="Q1357" s="27" t="n"/>
      <c r="R1357" s="27" t="n"/>
      <c r="S1357" s="27" t="n"/>
      <c r="T1357" s="25">
        <f>IF($C1357="","",IF(OR(ISNUMBER(SEARCH("quick case",$P1357)),ISNUMBER(SEARCH("quick case",$Q1357))),"Yes","No"))</f>
        <v/>
      </c>
      <c r="U1357" s="25">
        <f>IF($O1357="Invalid",HYPERLINK("mailto:"&amp;$G1357&amp;";"&amp;$I1357&amp;"?cc="&amp;Lists!$E$2&amp;"&amp;subject="&amp;_xlfn.ENCODEURL("[INVALID] Quality audit monitoring completed for "&amp;UPPER($C1357))&amp;"&amp;body="&amp;_xlfn.ENCODEURL("Hi "&amp;$F1357&amp;","&amp;CHAR(10)&amp;"Good day!"&amp;CHAR(10)&amp;CHAR(10)&amp;"A quality monitoring audit has been completed for "&amp;$C1357&amp;"."&amp;CHAR(10)&amp;CHAR(10)&amp;"QUALITY AUDIT DETAILS"&amp;CHAR(10)&amp;"Agent Name: "&amp;$C1357&amp;" (EID "&amp;$D1357&amp;")"&amp;CHAR(10)&amp;"Audit Date: "&amp;TEXT($B1357,"yyyy-mm-dd")&amp;CHAR(10)&amp;"Team Leader: "&amp;$F1357&amp;CHAR(10)&amp;"Case Number: "&amp;$M1357&amp;CHAR(10)&amp;"Transaction ID: "&amp;$N1357&amp;CHAR(10)&amp;"Channel / LOB: "&amp;$K1357&amp;" / "&amp;$L1357&amp;CHAR(10)&amp;"Evaluator: "&amp;$S1357&amp;CHAR(10)&amp;CHAR(10)&amp;"INVALID QUALITY AUDIT DETAILS"&amp;CHAR(10)&amp;"Validation: Invalid"&amp;CHAR(10)&amp;"Invalid Reason: "&amp;$P1357&amp;CHAR(10)&amp;"Expected Resolution Code: "&amp;$Q1357&amp;CHAR(10)&amp;"Remarks: "&amp;LEFT($R1357,600)&amp;CHAR(10)&amp;CHAR(10)&amp;"This is an automated notification from HP Mainstream EQMS."),"✉ Open Email Draft"),"")</f>
        <v/>
      </c>
    </row>
    <row r="1358">
      <c r="A1358" s="25">
        <f>IF($C1358="","","AUD-2026-"&amp;TEXT(ROW()-1,"000000"))</f>
        <v/>
      </c>
      <c r="B1358" s="26" t="n"/>
      <c r="C1358" s="27" t="n"/>
      <c r="D1358" s="25">
        <f>IF($C1358="","",IFERROR(IF(INDEX(Roster!$A:$A,MATCH($C1358,Roster!$B:$B,0))="","",INDEX(Roster!$A:$A,MATCH($C1358,Roster!$B:$B,0))&amp;""),"—"))</f>
        <v/>
      </c>
      <c r="E1358" s="25">
        <f>IF($C1358="","",IFERROR(IF(INDEX(Roster!$C:$C,MATCH($C1358,Roster!$B:$B,0))="","",INDEX(Roster!$C:$C,MATCH($C1358,Roster!$B:$B,0))&amp;""),"—"))</f>
        <v/>
      </c>
      <c r="F1358" s="25">
        <f>IF($C1358="","",IFERROR(IF(INDEX(Roster!$D:$D,MATCH($C1358,Roster!$B:$B,0))="","",INDEX(Roster!$D:$D,MATCH($C1358,Roster!$B:$B,0))&amp;""),"—"))</f>
        <v/>
      </c>
      <c r="G1358" s="25">
        <f>IF($C1358="","",IFERROR(IF(INDEX(Roster!$E:$E,MATCH($C1358,Roster!$B:$B,0))="","",INDEX(Roster!$E:$E,MATCH($C1358,Roster!$B:$B,0))&amp;""),"—"))</f>
        <v/>
      </c>
      <c r="H1358" s="25">
        <f>IF($C1358="","",IFERROR(IF(INDEX(Roster!$F:$F,MATCH($C1358,Roster!$B:$B,0))="","",INDEX(Roster!$F:$F,MATCH($C1358,Roster!$B:$B,0))&amp;""),"—"))</f>
        <v/>
      </c>
      <c r="I1358" s="25">
        <f>IF($C1358="","",IFERROR(IF(INDEX(Roster!$G:$G,MATCH($C1358,Roster!$B:$B,0))="","",INDEX(Roster!$G:$G,MATCH($C1358,Roster!$B:$B,0))&amp;""),"—"))</f>
        <v/>
      </c>
      <c r="J1358" s="25">
        <f>IF($C1358="","",IFERROR(IF(INDEX(Roster!$I:$I,MATCH($C1358,Roster!$B:$B,0))="","",INDEX(Roster!$I:$I,MATCH($C1358,Roster!$B:$B,0))&amp;""),"—"))</f>
        <v/>
      </c>
      <c r="K1358">
        <f>IF($C1358="","",IFERROR(IF(INDEX(Roster!$J:$J,MATCH($C1358,Roster!$B:$B,0))="","",INDEX(Roster!$J:$J,MATCH($C1358,Roster!$B:$B,0))&amp;""),"—"))</f>
        <v/>
      </c>
      <c r="L1358">
        <f>IF($C1358="","",IFERROR(IF(INDEX(Roster!$K:$K,MATCH($C1358,Roster!$B:$B,0))="","",INDEX(Roster!$K:$K,MATCH($C1358,Roster!$B:$B,0))&amp;""),"—"))</f>
        <v/>
      </c>
      <c r="M1358" s="27" t="n"/>
      <c r="N1358" s="27" t="n"/>
      <c r="O1358" s="25">
        <f>IF($C1358="","",IF($P1358="","—",IF($P1358="Valid (Pass)","Valid","Invalid")))</f>
        <v/>
      </c>
      <c r="P1358" s="27" t="n"/>
      <c r="Q1358" s="27" t="n"/>
      <c r="R1358" s="27" t="n"/>
      <c r="S1358" s="27" t="n"/>
      <c r="T1358" s="25">
        <f>IF($C1358="","",IF(OR(ISNUMBER(SEARCH("quick case",$P1358)),ISNUMBER(SEARCH("quick case",$Q1358))),"Yes","No"))</f>
        <v/>
      </c>
      <c r="U1358" s="25">
        <f>IF($O1358="Invalid",HYPERLINK("mailto:"&amp;$G1358&amp;";"&amp;$I1358&amp;"?cc="&amp;Lists!$E$2&amp;"&amp;subject="&amp;_xlfn.ENCODEURL("[INVALID] Quality audit monitoring completed for "&amp;UPPER($C1358))&amp;"&amp;body="&amp;_xlfn.ENCODEURL("Hi "&amp;$F1358&amp;","&amp;CHAR(10)&amp;"Good day!"&amp;CHAR(10)&amp;CHAR(10)&amp;"A quality monitoring audit has been completed for "&amp;$C1358&amp;"."&amp;CHAR(10)&amp;CHAR(10)&amp;"QUALITY AUDIT DETAILS"&amp;CHAR(10)&amp;"Agent Name: "&amp;$C1358&amp;" (EID "&amp;$D1358&amp;")"&amp;CHAR(10)&amp;"Audit Date: "&amp;TEXT($B1358,"yyyy-mm-dd")&amp;CHAR(10)&amp;"Team Leader: "&amp;$F1358&amp;CHAR(10)&amp;"Case Number: "&amp;$M1358&amp;CHAR(10)&amp;"Transaction ID: "&amp;$N1358&amp;CHAR(10)&amp;"Channel / LOB: "&amp;$K1358&amp;" / "&amp;$L1358&amp;CHAR(10)&amp;"Evaluator: "&amp;$S1358&amp;CHAR(10)&amp;CHAR(10)&amp;"INVALID QUALITY AUDIT DETAILS"&amp;CHAR(10)&amp;"Validation: Invalid"&amp;CHAR(10)&amp;"Invalid Reason: "&amp;$P1358&amp;CHAR(10)&amp;"Expected Resolution Code: "&amp;$Q1358&amp;CHAR(10)&amp;"Remarks: "&amp;LEFT($R1358,600)&amp;CHAR(10)&amp;CHAR(10)&amp;"This is an automated notification from HP Mainstream EQMS."),"✉ Open Email Draft"),"")</f>
        <v/>
      </c>
    </row>
    <row r="1359">
      <c r="A1359" s="25">
        <f>IF($C1359="","","AUD-2026-"&amp;TEXT(ROW()-1,"000000"))</f>
        <v/>
      </c>
      <c r="B1359" s="26" t="n"/>
      <c r="C1359" s="27" t="n"/>
      <c r="D1359" s="25">
        <f>IF($C1359="","",IFERROR(IF(INDEX(Roster!$A:$A,MATCH($C1359,Roster!$B:$B,0))="","",INDEX(Roster!$A:$A,MATCH($C1359,Roster!$B:$B,0))&amp;""),"—"))</f>
        <v/>
      </c>
      <c r="E1359" s="25">
        <f>IF($C1359="","",IFERROR(IF(INDEX(Roster!$C:$C,MATCH($C1359,Roster!$B:$B,0))="","",INDEX(Roster!$C:$C,MATCH($C1359,Roster!$B:$B,0))&amp;""),"—"))</f>
        <v/>
      </c>
      <c r="F1359" s="25">
        <f>IF($C1359="","",IFERROR(IF(INDEX(Roster!$D:$D,MATCH($C1359,Roster!$B:$B,0))="","",INDEX(Roster!$D:$D,MATCH($C1359,Roster!$B:$B,0))&amp;""),"—"))</f>
        <v/>
      </c>
      <c r="G1359" s="25">
        <f>IF($C1359="","",IFERROR(IF(INDEX(Roster!$E:$E,MATCH($C1359,Roster!$B:$B,0))="","",INDEX(Roster!$E:$E,MATCH($C1359,Roster!$B:$B,0))&amp;""),"—"))</f>
        <v/>
      </c>
      <c r="H1359" s="25">
        <f>IF($C1359="","",IFERROR(IF(INDEX(Roster!$F:$F,MATCH($C1359,Roster!$B:$B,0))="","",INDEX(Roster!$F:$F,MATCH($C1359,Roster!$B:$B,0))&amp;""),"—"))</f>
        <v/>
      </c>
      <c r="I1359" s="25">
        <f>IF($C1359="","",IFERROR(IF(INDEX(Roster!$G:$G,MATCH($C1359,Roster!$B:$B,0))="","",INDEX(Roster!$G:$G,MATCH($C1359,Roster!$B:$B,0))&amp;""),"—"))</f>
        <v/>
      </c>
      <c r="J1359" s="25">
        <f>IF($C1359="","",IFERROR(IF(INDEX(Roster!$I:$I,MATCH($C1359,Roster!$B:$B,0))="","",INDEX(Roster!$I:$I,MATCH($C1359,Roster!$B:$B,0))&amp;""),"—"))</f>
        <v/>
      </c>
      <c r="K1359">
        <f>IF($C1359="","",IFERROR(IF(INDEX(Roster!$J:$J,MATCH($C1359,Roster!$B:$B,0))="","",INDEX(Roster!$J:$J,MATCH($C1359,Roster!$B:$B,0))&amp;""),"—"))</f>
        <v/>
      </c>
      <c r="L1359">
        <f>IF($C1359="","",IFERROR(IF(INDEX(Roster!$K:$K,MATCH($C1359,Roster!$B:$B,0))="","",INDEX(Roster!$K:$K,MATCH($C1359,Roster!$B:$B,0))&amp;""),"—"))</f>
        <v/>
      </c>
      <c r="M1359" s="27" t="n"/>
      <c r="N1359" s="27" t="n"/>
      <c r="O1359" s="25">
        <f>IF($C1359="","",IF($P1359="","—",IF($P1359="Valid (Pass)","Valid","Invalid")))</f>
        <v/>
      </c>
      <c r="P1359" s="27" t="n"/>
      <c r="Q1359" s="27" t="n"/>
      <c r="R1359" s="27" t="n"/>
      <c r="S1359" s="27" t="n"/>
      <c r="T1359" s="25">
        <f>IF($C1359="","",IF(OR(ISNUMBER(SEARCH("quick case",$P1359)),ISNUMBER(SEARCH("quick case",$Q1359))),"Yes","No"))</f>
        <v/>
      </c>
      <c r="U1359" s="25">
        <f>IF($O1359="Invalid",HYPERLINK("mailto:"&amp;$G1359&amp;";"&amp;$I1359&amp;"?cc="&amp;Lists!$E$2&amp;"&amp;subject="&amp;_xlfn.ENCODEURL("[INVALID] Quality audit monitoring completed for "&amp;UPPER($C1359))&amp;"&amp;body="&amp;_xlfn.ENCODEURL("Hi "&amp;$F1359&amp;","&amp;CHAR(10)&amp;"Good day!"&amp;CHAR(10)&amp;CHAR(10)&amp;"A quality monitoring audit has been completed for "&amp;$C1359&amp;"."&amp;CHAR(10)&amp;CHAR(10)&amp;"QUALITY AUDIT DETAILS"&amp;CHAR(10)&amp;"Agent Name: "&amp;$C1359&amp;" (EID "&amp;$D1359&amp;")"&amp;CHAR(10)&amp;"Audit Date: "&amp;TEXT($B1359,"yyyy-mm-dd")&amp;CHAR(10)&amp;"Team Leader: "&amp;$F1359&amp;CHAR(10)&amp;"Case Number: "&amp;$M1359&amp;CHAR(10)&amp;"Transaction ID: "&amp;$N1359&amp;CHAR(10)&amp;"Channel / LOB: "&amp;$K1359&amp;" / "&amp;$L1359&amp;CHAR(10)&amp;"Evaluator: "&amp;$S1359&amp;CHAR(10)&amp;CHAR(10)&amp;"INVALID QUALITY AUDIT DETAILS"&amp;CHAR(10)&amp;"Validation: Invalid"&amp;CHAR(10)&amp;"Invalid Reason: "&amp;$P1359&amp;CHAR(10)&amp;"Expected Resolution Code: "&amp;$Q1359&amp;CHAR(10)&amp;"Remarks: "&amp;LEFT($R1359,600)&amp;CHAR(10)&amp;CHAR(10)&amp;"This is an automated notification from HP Mainstream EQMS."),"✉ Open Email Draft"),"")</f>
        <v/>
      </c>
    </row>
    <row r="1360">
      <c r="A1360" s="25">
        <f>IF($C1360="","","AUD-2026-"&amp;TEXT(ROW()-1,"000000"))</f>
        <v/>
      </c>
      <c r="B1360" s="26" t="n"/>
      <c r="C1360" s="27" t="n"/>
      <c r="D1360" s="25">
        <f>IF($C1360="","",IFERROR(IF(INDEX(Roster!$A:$A,MATCH($C1360,Roster!$B:$B,0))="","",INDEX(Roster!$A:$A,MATCH($C1360,Roster!$B:$B,0))&amp;""),"—"))</f>
        <v/>
      </c>
      <c r="E1360" s="25">
        <f>IF($C1360="","",IFERROR(IF(INDEX(Roster!$C:$C,MATCH($C1360,Roster!$B:$B,0))="","",INDEX(Roster!$C:$C,MATCH($C1360,Roster!$B:$B,0))&amp;""),"—"))</f>
        <v/>
      </c>
      <c r="F1360" s="25">
        <f>IF($C1360="","",IFERROR(IF(INDEX(Roster!$D:$D,MATCH($C1360,Roster!$B:$B,0))="","",INDEX(Roster!$D:$D,MATCH($C1360,Roster!$B:$B,0))&amp;""),"—"))</f>
        <v/>
      </c>
      <c r="G1360" s="25">
        <f>IF($C1360="","",IFERROR(IF(INDEX(Roster!$E:$E,MATCH($C1360,Roster!$B:$B,0))="","",INDEX(Roster!$E:$E,MATCH($C1360,Roster!$B:$B,0))&amp;""),"—"))</f>
        <v/>
      </c>
      <c r="H1360" s="25">
        <f>IF($C1360="","",IFERROR(IF(INDEX(Roster!$F:$F,MATCH($C1360,Roster!$B:$B,0))="","",INDEX(Roster!$F:$F,MATCH($C1360,Roster!$B:$B,0))&amp;""),"—"))</f>
        <v/>
      </c>
      <c r="I1360" s="25">
        <f>IF($C1360="","",IFERROR(IF(INDEX(Roster!$G:$G,MATCH($C1360,Roster!$B:$B,0))="","",INDEX(Roster!$G:$G,MATCH($C1360,Roster!$B:$B,0))&amp;""),"—"))</f>
        <v/>
      </c>
      <c r="J1360" s="25">
        <f>IF($C1360="","",IFERROR(IF(INDEX(Roster!$I:$I,MATCH($C1360,Roster!$B:$B,0))="","",INDEX(Roster!$I:$I,MATCH($C1360,Roster!$B:$B,0))&amp;""),"—"))</f>
        <v/>
      </c>
      <c r="K1360">
        <f>IF($C1360="","",IFERROR(IF(INDEX(Roster!$J:$J,MATCH($C1360,Roster!$B:$B,0))="","",INDEX(Roster!$J:$J,MATCH($C1360,Roster!$B:$B,0))&amp;""),"—"))</f>
        <v/>
      </c>
      <c r="L1360">
        <f>IF($C1360="","",IFERROR(IF(INDEX(Roster!$K:$K,MATCH($C1360,Roster!$B:$B,0))="","",INDEX(Roster!$K:$K,MATCH($C1360,Roster!$B:$B,0))&amp;""),"—"))</f>
        <v/>
      </c>
      <c r="M1360" s="27" t="n"/>
      <c r="N1360" s="27" t="n"/>
      <c r="O1360" s="25">
        <f>IF($C1360="","",IF($P1360="","—",IF($P1360="Valid (Pass)","Valid","Invalid")))</f>
        <v/>
      </c>
      <c r="P1360" s="27" t="n"/>
      <c r="Q1360" s="27" t="n"/>
      <c r="R1360" s="27" t="n"/>
      <c r="S1360" s="27" t="n"/>
      <c r="T1360" s="25">
        <f>IF($C1360="","",IF(OR(ISNUMBER(SEARCH("quick case",$P1360)),ISNUMBER(SEARCH("quick case",$Q1360))),"Yes","No"))</f>
        <v/>
      </c>
      <c r="U1360" s="25">
        <f>IF($O1360="Invalid",HYPERLINK("mailto:"&amp;$G1360&amp;";"&amp;$I1360&amp;"?cc="&amp;Lists!$E$2&amp;"&amp;subject="&amp;_xlfn.ENCODEURL("[INVALID] Quality audit monitoring completed for "&amp;UPPER($C1360))&amp;"&amp;body="&amp;_xlfn.ENCODEURL("Hi "&amp;$F1360&amp;","&amp;CHAR(10)&amp;"Good day!"&amp;CHAR(10)&amp;CHAR(10)&amp;"A quality monitoring audit has been completed for "&amp;$C1360&amp;"."&amp;CHAR(10)&amp;CHAR(10)&amp;"QUALITY AUDIT DETAILS"&amp;CHAR(10)&amp;"Agent Name: "&amp;$C1360&amp;" (EID "&amp;$D1360&amp;")"&amp;CHAR(10)&amp;"Audit Date: "&amp;TEXT($B1360,"yyyy-mm-dd")&amp;CHAR(10)&amp;"Team Leader: "&amp;$F1360&amp;CHAR(10)&amp;"Case Number: "&amp;$M1360&amp;CHAR(10)&amp;"Transaction ID: "&amp;$N1360&amp;CHAR(10)&amp;"Channel / LOB: "&amp;$K1360&amp;" / "&amp;$L1360&amp;CHAR(10)&amp;"Evaluator: "&amp;$S1360&amp;CHAR(10)&amp;CHAR(10)&amp;"INVALID QUALITY AUDIT DETAILS"&amp;CHAR(10)&amp;"Validation: Invalid"&amp;CHAR(10)&amp;"Invalid Reason: "&amp;$P1360&amp;CHAR(10)&amp;"Expected Resolution Code: "&amp;$Q1360&amp;CHAR(10)&amp;"Remarks: "&amp;LEFT($R1360,600)&amp;CHAR(10)&amp;CHAR(10)&amp;"This is an automated notification from HP Mainstream EQMS."),"✉ Open Email Draft"),"")</f>
        <v/>
      </c>
    </row>
    <row r="1361">
      <c r="A1361" s="25">
        <f>IF($C1361="","","AUD-2026-"&amp;TEXT(ROW()-1,"000000"))</f>
        <v/>
      </c>
      <c r="B1361" s="26" t="n"/>
      <c r="C1361" s="27" t="n"/>
      <c r="D1361" s="25">
        <f>IF($C1361="","",IFERROR(IF(INDEX(Roster!$A:$A,MATCH($C1361,Roster!$B:$B,0))="","",INDEX(Roster!$A:$A,MATCH($C1361,Roster!$B:$B,0))&amp;""),"—"))</f>
        <v/>
      </c>
      <c r="E1361" s="25">
        <f>IF($C1361="","",IFERROR(IF(INDEX(Roster!$C:$C,MATCH($C1361,Roster!$B:$B,0))="","",INDEX(Roster!$C:$C,MATCH($C1361,Roster!$B:$B,0))&amp;""),"—"))</f>
        <v/>
      </c>
      <c r="F1361" s="25">
        <f>IF($C1361="","",IFERROR(IF(INDEX(Roster!$D:$D,MATCH($C1361,Roster!$B:$B,0))="","",INDEX(Roster!$D:$D,MATCH($C1361,Roster!$B:$B,0))&amp;""),"—"))</f>
        <v/>
      </c>
      <c r="G1361" s="25">
        <f>IF($C1361="","",IFERROR(IF(INDEX(Roster!$E:$E,MATCH($C1361,Roster!$B:$B,0))="","",INDEX(Roster!$E:$E,MATCH($C1361,Roster!$B:$B,0))&amp;""),"—"))</f>
        <v/>
      </c>
      <c r="H1361" s="25">
        <f>IF($C1361="","",IFERROR(IF(INDEX(Roster!$F:$F,MATCH($C1361,Roster!$B:$B,0))="","",INDEX(Roster!$F:$F,MATCH($C1361,Roster!$B:$B,0))&amp;""),"—"))</f>
        <v/>
      </c>
      <c r="I1361" s="25">
        <f>IF($C1361="","",IFERROR(IF(INDEX(Roster!$G:$G,MATCH($C1361,Roster!$B:$B,0))="","",INDEX(Roster!$G:$G,MATCH($C1361,Roster!$B:$B,0))&amp;""),"—"))</f>
        <v/>
      </c>
      <c r="J1361" s="25">
        <f>IF($C1361="","",IFERROR(IF(INDEX(Roster!$I:$I,MATCH($C1361,Roster!$B:$B,0))="","",INDEX(Roster!$I:$I,MATCH($C1361,Roster!$B:$B,0))&amp;""),"—"))</f>
        <v/>
      </c>
      <c r="K1361">
        <f>IF($C1361="","",IFERROR(IF(INDEX(Roster!$J:$J,MATCH($C1361,Roster!$B:$B,0))="","",INDEX(Roster!$J:$J,MATCH($C1361,Roster!$B:$B,0))&amp;""),"—"))</f>
        <v/>
      </c>
      <c r="L1361">
        <f>IF($C1361="","",IFERROR(IF(INDEX(Roster!$K:$K,MATCH($C1361,Roster!$B:$B,0))="","",INDEX(Roster!$K:$K,MATCH($C1361,Roster!$B:$B,0))&amp;""),"—"))</f>
        <v/>
      </c>
      <c r="M1361" s="27" t="n"/>
      <c r="N1361" s="27" t="n"/>
      <c r="O1361" s="25">
        <f>IF($C1361="","",IF($P1361="","—",IF($P1361="Valid (Pass)","Valid","Invalid")))</f>
        <v/>
      </c>
      <c r="P1361" s="27" t="n"/>
      <c r="Q1361" s="27" t="n"/>
      <c r="R1361" s="27" t="n"/>
      <c r="S1361" s="27" t="n"/>
      <c r="T1361" s="25">
        <f>IF($C1361="","",IF(OR(ISNUMBER(SEARCH("quick case",$P1361)),ISNUMBER(SEARCH("quick case",$Q1361))),"Yes","No"))</f>
        <v/>
      </c>
      <c r="U1361" s="25">
        <f>IF($O1361="Invalid",HYPERLINK("mailto:"&amp;$G1361&amp;";"&amp;$I1361&amp;"?cc="&amp;Lists!$E$2&amp;"&amp;subject="&amp;_xlfn.ENCODEURL("[INVALID] Quality audit monitoring completed for "&amp;UPPER($C1361))&amp;"&amp;body="&amp;_xlfn.ENCODEURL("Hi "&amp;$F1361&amp;","&amp;CHAR(10)&amp;"Good day!"&amp;CHAR(10)&amp;CHAR(10)&amp;"A quality monitoring audit has been completed for "&amp;$C1361&amp;"."&amp;CHAR(10)&amp;CHAR(10)&amp;"QUALITY AUDIT DETAILS"&amp;CHAR(10)&amp;"Agent Name: "&amp;$C1361&amp;" (EID "&amp;$D1361&amp;")"&amp;CHAR(10)&amp;"Audit Date: "&amp;TEXT($B1361,"yyyy-mm-dd")&amp;CHAR(10)&amp;"Team Leader: "&amp;$F1361&amp;CHAR(10)&amp;"Case Number: "&amp;$M1361&amp;CHAR(10)&amp;"Transaction ID: "&amp;$N1361&amp;CHAR(10)&amp;"Channel / LOB: "&amp;$K1361&amp;" / "&amp;$L1361&amp;CHAR(10)&amp;"Evaluator: "&amp;$S1361&amp;CHAR(10)&amp;CHAR(10)&amp;"INVALID QUALITY AUDIT DETAILS"&amp;CHAR(10)&amp;"Validation: Invalid"&amp;CHAR(10)&amp;"Invalid Reason: "&amp;$P1361&amp;CHAR(10)&amp;"Expected Resolution Code: "&amp;$Q1361&amp;CHAR(10)&amp;"Remarks: "&amp;LEFT($R1361,600)&amp;CHAR(10)&amp;CHAR(10)&amp;"This is an automated notification from HP Mainstream EQMS."),"✉ Open Email Draft"),"")</f>
        <v/>
      </c>
    </row>
    <row r="1362">
      <c r="A1362" s="25">
        <f>IF($C1362="","","AUD-2026-"&amp;TEXT(ROW()-1,"000000"))</f>
        <v/>
      </c>
      <c r="B1362" s="26" t="n"/>
      <c r="C1362" s="27" t="n"/>
      <c r="D1362" s="25">
        <f>IF($C1362="","",IFERROR(IF(INDEX(Roster!$A:$A,MATCH($C1362,Roster!$B:$B,0))="","",INDEX(Roster!$A:$A,MATCH($C1362,Roster!$B:$B,0))&amp;""),"—"))</f>
        <v/>
      </c>
      <c r="E1362" s="25">
        <f>IF($C1362="","",IFERROR(IF(INDEX(Roster!$C:$C,MATCH($C1362,Roster!$B:$B,0))="","",INDEX(Roster!$C:$C,MATCH($C1362,Roster!$B:$B,0))&amp;""),"—"))</f>
        <v/>
      </c>
      <c r="F1362" s="25">
        <f>IF($C1362="","",IFERROR(IF(INDEX(Roster!$D:$D,MATCH($C1362,Roster!$B:$B,0))="","",INDEX(Roster!$D:$D,MATCH($C1362,Roster!$B:$B,0))&amp;""),"—"))</f>
        <v/>
      </c>
      <c r="G1362" s="25">
        <f>IF($C1362="","",IFERROR(IF(INDEX(Roster!$E:$E,MATCH($C1362,Roster!$B:$B,0))="","",INDEX(Roster!$E:$E,MATCH($C1362,Roster!$B:$B,0))&amp;""),"—"))</f>
        <v/>
      </c>
      <c r="H1362" s="25">
        <f>IF($C1362="","",IFERROR(IF(INDEX(Roster!$F:$F,MATCH($C1362,Roster!$B:$B,0))="","",INDEX(Roster!$F:$F,MATCH($C1362,Roster!$B:$B,0))&amp;""),"—"))</f>
        <v/>
      </c>
      <c r="I1362" s="25">
        <f>IF($C1362="","",IFERROR(IF(INDEX(Roster!$G:$G,MATCH($C1362,Roster!$B:$B,0))="","",INDEX(Roster!$G:$G,MATCH($C1362,Roster!$B:$B,0))&amp;""),"—"))</f>
        <v/>
      </c>
      <c r="J1362" s="25">
        <f>IF($C1362="","",IFERROR(IF(INDEX(Roster!$I:$I,MATCH($C1362,Roster!$B:$B,0))="","",INDEX(Roster!$I:$I,MATCH($C1362,Roster!$B:$B,0))&amp;""),"—"))</f>
        <v/>
      </c>
      <c r="K1362">
        <f>IF($C1362="","",IFERROR(IF(INDEX(Roster!$J:$J,MATCH($C1362,Roster!$B:$B,0))="","",INDEX(Roster!$J:$J,MATCH($C1362,Roster!$B:$B,0))&amp;""),"—"))</f>
        <v/>
      </c>
      <c r="L1362">
        <f>IF($C1362="","",IFERROR(IF(INDEX(Roster!$K:$K,MATCH($C1362,Roster!$B:$B,0))="","",INDEX(Roster!$K:$K,MATCH($C1362,Roster!$B:$B,0))&amp;""),"—"))</f>
        <v/>
      </c>
      <c r="M1362" s="27" t="n"/>
      <c r="N1362" s="27" t="n"/>
      <c r="O1362" s="25">
        <f>IF($C1362="","",IF($P1362="","—",IF($P1362="Valid (Pass)","Valid","Invalid")))</f>
        <v/>
      </c>
      <c r="P1362" s="27" t="n"/>
      <c r="Q1362" s="27" t="n"/>
      <c r="R1362" s="27" t="n"/>
      <c r="S1362" s="27" t="n"/>
      <c r="T1362" s="25">
        <f>IF($C1362="","",IF(OR(ISNUMBER(SEARCH("quick case",$P1362)),ISNUMBER(SEARCH("quick case",$Q1362))),"Yes","No"))</f>
        <v/>
      </c>
      <c r="U1362" s="25">
        <f>IF($O1362="Invalid",HYPERLINK("mailto:"&amp;$G1362&amp;";"&amp;$I1362&amp;"?cc="&amp;Lists!$E$2&amp;"&amp;subject="&amp;_xlfn.ENCODEURL("[INVALID] Quality audit monitoring completed for "&amp;UPPER($C1362))&amp;"&amp;body="&amp;_xlfn.ENCODEURL("Hi "&amp;$F1362&amp;","&amp;CHAR(10)&amp;"Good day!"&amp;CHAR(10)&amp;CHAR(10)&amp;"A quality monitoring audit has been completed for "&amp;$C1362&amp;"."&amp;CHAR(10)&amp;CHAR(10)&amp;"QUALITY AUDIT DETAILS"&amp;CHAR(10)&amp;"Agent Name: "&amp;$C1362&amp;" (EID "&amp;$D1362&amp;")"&amp;CHAR(10)&amp;"Audit Date: "&amp;TEXT($B1362,"yyyy-mm-dd")&amp;CHAR(10)&amp;"Team Leader: "&amp;$F1362&amp;CHAR(10)&amp;"Case Number: "&amp;$M1362&amp;CHAR(10)&amp;"Transaction ID: "&amp;$N1362&amp;CHAR(10)&amp;"Channel / LOB: "&amp;$K1362&amp;" / "&amp;$L1362&amp;CHAR(10)&amp;"Evaluator: "&amp;$S1362&amp;CHAR(10)&amp;CHAR(10)&amp;"INVALID QUALITY AUDIT DETAILS"&amp;CHAR(10)&amp;"Validation: Invalid"&amp;CHAR(10)&amp;"Invalid Reason: "&amp;$P1362&amp;CHAR(10)&amp;"Expected Resolution Code: "&amp;$Q1362&amp;CHAR(10)&amp;"Remarks: "&amp;LEFT($R1362,600)&amp;CHAR(10)&amp;CHAR(10)&amp;"This is an automated notification from HP Mainstream EQMS."),"✉ Open Email Draft"),"")</f>
        <v/>
      </c>
    </row>
    <row r="1363">
      <c r="A1363" s="25">
        <f>IF($C1363="","","AUD-2026-"&amp;TEXT(ROW()-1,"000000"))</f>
        <v/>
      </c>
      <c r="B1363" s="26" t="n"/>
      <c r="C1363" s="27" t="n"/>
      <c r="D1363" s="25">
        <f>IF($C1363="","",IFERROR(IF(INDEX(Roster!$A:$A,MATCH($C1363,Roster!$B:$B,0))="","",INDEX(Roster!$A:$A,MATCH($C1363,Roster!$B:$B,0))&amp;""),"—"))</f>
        <v/>
      </c>
      <c r="E1363" s="25">
        <f>IF($C1363="","",IFERROR(IF(INDEX(Roster!$C:$C,MATCH($C1363,Roster!$B:$B,0))="","",INDEX(Roster!$C:$C,MATCH($C1363,Roster!$B:$B,0))&amp;""),"—"))</f>
        <v/>
      </c>
      <c r="F1363" s="25">
        <f>IF($C1363="","",IFERROR(IF(INDEX(Roster!$D:$D,MATCH($C1363,Roster!$B:$B,0))="","",INDEX(Roster!$D:$D,MATCH($C1363,Roster!$B:$B,0))&amp;""),"—"))</f>
        <v/>
      </c>
      <c r="G1363" s="25">
        <f>IF($C1363="","",IFERROR(IF(INDEX(Roster!$E:$E,MATCH($C1363,Roster!$B:$B,0))="","",INDEX(Roster!$E:$E,MATCH($C1363,Roster!$B:$B,0))&amp;""),"—"))</f>
        <v/>
      </c>
      <c r="H1363" s="25">
        <f>IF($C1363="","",IFERROR(IF(INDEX(Roster!$F:$F,MATCH($C1363,Roster!$B:$B,0))="","",INDEX(Roster!$F:$F,MATCH($C1363,Roster!$B:$B,0))&amp;""),"—"))</f>
        <v/>
      </c>
      <c r="I1363" s="25">
        <f>IF($C1363="","",IFERROR(IF(INDEX(Roster!$G:$G,MATCH($C1363,Roster!$B:$B,0))="","",INDEX(Roster!$G:$G,MATCH($C1363,Roster!$B:$B,0))&amp;""),"—"))</f>
        <v/>
      </c>
      <c r="J1363" s="25">
        <f>IF($C1363="","",IFERROR(IF(INDEX(Roster!$I:$I,MATCH($C1363,Roster!$B:$B,0))="","",INDEX(Roster!$I:$I,MATCH($C1363,Roster!$B:$B,0))&amp;""),"—"))</f>
        <v/>
      </c>
      <c r="K1363">
        <f>IF($C1363="","",IFERROR(IF(INDEX(Roster!$J:$J,MATCH($C1363,Roster!$B:$B,0))="","",INDEX(Roster!$J:$J,MATCH($C1363,Roster!$B:$B,0))&amp;""),"—"))</f>
        <v/>
      </c>
      <c r="L1363">
        <f>IF($C1363="","",IFERROR(IF(INDEX(Roster!$K:$K,MATCH($C1363,Roster!$B:$B,0))="","",INDEX(Roster!$K:$K,MATCH($C1363,Roster!$B:$B,0))&amp;""),"—"))</f>
        <v/>
      </c>
      <c r="M1363" s="27" t="n"/>
      <c r="N1363" s="27" t="n"/>
      <c r="O1363" s="25">
        <f>IF($C1363="","",IF($P1363="","—",IF($P1363="Valid (Pass)","Valid","Invalid")))</f>
        <v/>
      </c>
      <c r="P1363" s="27" t="n"/>
      <c r="Q1363" s="27" t="n"/>
      <c r="R1363" s="27" t="n"/>
      <c r="S1363" s="27" t="n"/>
      <c r="T1363" s="25">
        <f>IF($C1363="","",IF(OR(ISNUMBER(SEARCH("quick case",$P1363)),ISNUMBER(SEARCH("quick case",$Q1363))),"Yes","No"))</f>
        <v/>
      </c>
      <c r="U1363" s="25">
        <f>IF($O1363="Invalid",HYPERLINK("mailto:"&amp;$G1363&amp;";"&amp;$I1363&amp;"?cc="&amp;Lists!$E$2&amp;"&amp;subject="&amp;_xlfn.ENCODEURL("[INVALID] Quality audit monitoring completed for "&amp;UPPER($C1363))&amp;"&amp;body="&amp;_xlfn.ENCODEURL("Hi "&amp;$F1363&amp;","&amp;CHAR(10)&amp;"Good day!"&amp;CHAR(10)&amp;CHAR(10)&amp;"A quality monitoring audit has been completed for "&amp;$C1363&amp;"."&amp;CHAR(10)&amp;CHAR(10)&amp;"QUALITY AUDIT DETAILS"&amp;CHAR(10)&amp;"Agent Name: "&amp;$C1363&amp;" (EID "&amp;$D1363&amp;")"&amp;CHAR(10)&amp;"Audit Date: "&amp;TEXT($B1363,"yyyy-mm-dd")&amp;CHAR(10)&amp;"Team Leader: "&amp;$F1363&amp;CHAR(10)&amp;"Case Number: "&amp;$M1363&amp;CHAR(10)&amp;"Transaction ID: "&amp;$N1363&amp;CHAR(10)&amp;"Channel / LOB: "&amp;$K1363&amp;" / "&amp;$L1363&amp;CHAR(10)&amp;"Evaluator: "&amp;$S1363&amp;CHAR(10)&amp;CHAR(10)&amp;"INVALID QUALITY AUDIT DETAILS"&amp;CHAR(10)&amp;"Validation: Invalid"&amp;CHAR(10)&amp;"Invalid Reason: "&amp;$P1363&amp;CHAR(10)&amp;"Expected Resolution Code: "&amp;$Q1363&amp;CHAR(10)&amp;"Remarks: "&amp;LEFT($R1363,600)&amp;CHAR(10)&amp;CHAR(10)&amp;"This is an automated notification from HP Mainstream EQMS."),"✉ Open Email Draft"),"")</f>
        <v/>
      </c>
    </row>
    <row r="1364">
      <c r="A1364" s="25">
        <f>IF($C1364="","","AUD-2026-"&amp;TEXT(ROW()-1,"000000"))</f>
        <v/>
      </c>
      <c r="B1364" s="26" t="n"/>
      <c r="C1364" s="27" t="n"/>
      <c r="D1364" s="25">
        <f>IF($C1364="","",IFERROR(IF(INDEX(Roster!$A:$A,MATCH($C1364,Roster!$B:$B,0))="","",INDEX(Roster!$A:$A,MATCH($C1364,Roster!$B:$B,0))&amp;""),"—"))</f>
        <v/>
      </c>
      <c r="E1364" s="25">
        <f>IF($C1364="","",IFERROR(IF(INDEX(Roster!$C:$C,MATCH($C1364,Roster!$B:$B,0))="","",INDEX(Roster!$C:$C,MATCH($C1364,Roster!$B:$B,0))&amp;""),"—"))</f>
        <v/>
      </c>
      <c r="F1364" s="25">
        <f>IF($C1364="","",IFERROR(IF(INDEX(Roster!$D:$D,MATCH($C1364,Roster!$B:$B,0))="","",INDEX(Roster!$D:$D,MATCH($C1364,Roster!$B:$B,0))&amp;""),"—"))</f>
        <v/>
      </c>
      <c r="G1364" s="25">
        <f>IF($C1364="","",IFERROR(IF(INDEX(Roster!$E:$E,MATCH($C1364,Roster!$B:$B,0))="","",INDEX(Roster!$E:$E,MATCH($C1364,Roster!$B:$B,0))&amp;""),"—"))</f>
        <v/>
      </c>
      <c r="H1364" s="25">
        <f>IF($C1364="","",IFERROR(IF(INDEX(Roster!$F:$F,MATCH($C1364,Roster!$B:$B,0))="","",INDEX(Roster!$F:$F,MATCH($C1364,Roster!$B:$B,0))&amp;""),"—"))</f>
        <v/>
      </c>
      <c r="I1364" s="25">
        <f>IF($C1364="","",IFERROR(IF(INDEX(Roster!$G:$G,MATCH($C1364,Roster!$B:$B,0))="","",INDEX(Roster!$G:$G,MATCH($C1364,Roster!$B:$B,0))&amp;""),"—"))</f>
        <v/>
      </c>
      <c r="J1364" s="25">
        <f>IF($C1364="","",IFERROR(IF(INDEX(Roster!$I:$I,MATCH($C1364,Roster!$B:$B,0))="","",INDEX(Roster!$I:$I,MATCH($C1364,Roster!$B:$B,0))&amp;""),"—"))</f>
        <v/>
      </c>
      <c r="K1364">
        <f>IF($C1364="","",IFERROR(IF(INDEX(Roster!$J:$J,MATCH($C1364,Roster!$B:$B,0))="","",INDEX(Roster!$J:$J,MATCH($C1364,Roster!$B:$B,0))&amp;""),"—"))</f>
        <v/>
      </c>
      <c r="L1364">
        <f>IF($C1364="","",IFERROR(IF(INDEX(Roster!$K:$K,MATCH($C1364,Roster!$B:$B,0))="","",INDEX(Roster!$K:$K,MATCH($C1364,Roster!$B:$B,0))&amp;""),"—"))</f>
        <v/>
      </c>
      <c r="M1364" s="27" t="n"/>
      <c r="N1364" s="27" t="n"/>
      <c r="O1364" s="25">
        <f>IF($C1364="","",IF($P1364="","—",IF($P1364="Valid (Pass)","Valid","Invalid")))</f>
        <v/>
      </c>
      <c r="P1364" s="27" t="n"/>
      <c r="Q1364" s="27" t="n"/>
      <c r="R1364" s="27" t="n"/>
      <c r="S1364" s="27" t="n"/>
      <c r="T1364" s="25">
        <f>IF($C1364="","",IF(OR(ISNUMBER(SEARCH("quick case",$P1364)),ISNUMBER(SEARCH("quick case",$Q1364))),"Yes","No"))</f>
        <v/>
      </c>
      <c r="U1364" s="25">
        <f>IF($O1364="Invalid",HYPERLINK("mailto:"&amp;$G1364&amp;";"&amp;$I1364&amp;"?cc="&amp;Lists!$E$2&amp;"&amp;subject="&amp;_xlfn.ENCODEURL("[INVALID] Quality audit monitoring completed for "&amp;UPPER($C1364))&amp;"&amp;body="&amp;_xlfn.ENCODEURL("Hi "&amp;$F1364&amp;","&amp;CHAR(10)&amp;"Good day!"&amp;CHAR(10)&amp;CHAR(10)&amp;"A quality monitoring audit has been completed for "&amp;$C1364&amp;"."&amp;CHAR(10)&amp;CHAR(10)&amp;"QUALITY AUDIT DETAILS"&amp;CHAR(10)&amp;"Agent Name: "&amp;$C1364&amp;" (EID "&amp;$D1364&amp;")"&amp;CHAR(10)&amp;"Audit Date: "&amp;TEXT($B1364,"yyyy-mm-dd")&amp;CHAR(10)&amp;"Team Leader: "&amp;$F1364&amp;CHAR(10)&amp;"Case Number: "&amp;$M1364&amp;CHAR(10)&amp;"Transaction ID: "&amp;$N1364&amp;CHAR(10)&amp;"Channel / LOB: "&amp;$K1364&amp;" / "&amp;$L1364&amp;CHAR(10)&amp;"Evaluator: "&amp;$S1364&amp;CHAR(10)&amp;CHAR(10)&amp;"INVALID QUALITY AUDIT DETAILS"&amp;CHAR(10)&amp;"Validation: Invalid"&amp;CHAR(10)&amp;"Invalid Reason: "&amp;$P1364&amp;CHAR(10)&amp;"Expected Resolution Code: "&amp;$Q1364&amp;CHAR(10)&amp;"Remarks: "&amp;LEFT($R1364,600)&amp;CHAR(10)&amp;CHAR(10)&amp;"This is an automated notification from HP Mainstream EQMS."),"✉ Open Email Draft"),"")</f>
        <v/>
      </c>
    </row>
    <row r="1365">
      <c r="A1365" s="25">
        <f>IF($C1365="","","AUD-2026-"&amp;TEXT(ROW()-1,"000000"))</f>
        <v/>
      </c>
      <c r="B1365" s="26" t="n"/>
      <c r="C1365" s="27" t="n"/>
      <c r="D1365" s="25">
        <f>IF($C1365="","",IFERROR(IF(INDEX(Roster!$A:$A,MATCH($C1365,Roster!$B:$B,0))="","",INDEX(Roster!$A:$A,MATCH($C1365,Roster!$B:$B,0))&amp;""),"—"))</f>
        <v/>
      </c>
      <c r="E1365" s="25">
        <f>IF($C1365="","",IFERROR(IF(INDEX(Roster!$C:$C,MATCH($C1365,Roster!$B:$B,0))="","",INDEX(Roster!$C:$C,MATCH($C1365,Roster!$B:$B,0))&amp;""),"—"))</f>
        <v/>
      </c>
      <c r="F1365" s="25">
        <f>IF($C1365="","",IFERROR(IF(INDEX(Roster!$D:$D,MATCH($C1365,Roster!$B:$B,0))="","",INDEX(Roster!$D:$D,MATCH($C1365,Roster!$B:$B,0))&amp;""),"—"))</f>
        <v/>
      </c>
      <c r="G1365" s="25">
        <f>IF($C1365="","",IFERROR(IF(INDEX(Roster!$E:$E,MATCH($C1365,Roster!$B:$B,0))="","",INDEX(Roster!$E:$E,MATCH($C1365,Roster!$B:$B,0))&amp;""),"—"))</f>
        <v/>
      </c>
      <c r="H1365" s="25">
        <f>IF($C1365="","",IFERROR(IF(INDEX(Roster!$F:$F,MATCH($C1365,Roster!$B:$B,0))="","",INDEX(Roster!$F:$F,MATCH($C1365,Roster!$B:$B,0))&amp;""),"—"))</f>
        <v/>
      </c>
      <c r="I1365" s="25">
        <f>IF($C1365="","",IFERROR(IF(INDEX(Roster!$G:$G,MATCH($C1365,Roster!$B:$B,0))="","",INDEX(Roster!$G:$G,MATCH($C1365,Roster!$B:$B,0))&amp;""),"—"))</f>
        <v/>
      </c>
      <c r="J1365" s="25">
        <f>IF($C1365="","",IFERROR(IF(INDEX(Roster!$I:$I,MATCH($C1365,Roster!$B:$B,0))="","",INDEX(Roster!$I:$I,MATCH($C1365,Roster!$B:$B,0))&amp;""),"—"))</f>
        <v/>
      </c>
      <c r="K1365">
        <f>IF($C1365="","",IFERROR(IF(INDEX(Roster!$J:$J,MATCH($C1365,Roster!$B:$B,0))="","",INDEX(Roster!$J:$J,MATCH($C1365,Roster!$B:$B,0))&amp;""),"—"))</f>
        <v/>
      </c>
      <c r="L1365">
        <f>IF($C1365="","",IFERROR(IF(INDEX(Roster!$K:$K,MATCH($C1365,Roster!$B:$B,0))="","",INDEX(Roster!$K:$K,MATCH($C1365,Roster!$B:$B,0))&amp;""),"—"))</f>
        <v/>
      </c>
      <c r="M1365" s="27" t="n"/>
      <c r="N1365" s="27" t="n"/>
      <c r="O1365" s="25">
        <f>IF($C1365="","",IF($P1365="","—",IF($P1365="Valid (Pass)","Valid","Invalid")))</f>
        <v/>
      </c>
      <c r="P1365" s="27" t="n"/>
      <c r="Q1365" s="27" t="n"/>
      <c r="R1365" s="27" t="n"/>
      <c r="S1365" s="27" t="n"/>
      <c r="T1365" s="25">
        <f>IF($C1365="","",IF(OR(ISNUMBER(SEARCH("quick case",$P1365)),ISNUMBER(SEARCH("quick case",$Q1365))),"Yes","No"))</f>
        <v/>
      </c>
      <c r="U1365" s="25">
        <f>IF($O1365="Invalid",HYPERLINK("mailto:"&amp;$G1365&amp;";"&amp;$I1365&amp;"?cc="&amp;Lists!$E$2&amp;"&amp;subject="&amp;_xlfn.ENCODEURL("[INVALID] Quality audit monitoring completed for "&amp;UPPER($C1365))&amp;"&amp;body="&amp;_xlfn.ENCODEURL("Hi "&amp;$F1365&amp;","&amp;CHAR(10)&amp;"Good day!"&amp;CHAR(10)&amp;CHAR(10)&amp;"A quality monitoring audit has been completed for "&amp;$C1365&amp;"."&amp;CHAR(10)&amp;CHAR(10)&amp;"QUALITY AUDIT DETAILS"&amp;CHAR(10)&amp;"Agent Name: "&amp;$C1365&amp;" (EID "&amp;$D1365&amp;")"&amp;CHAR(10)&amp;"Audit Date: "&amp;TEXT($B1365,"yyyy-mm-dd")&amp;CHAR(10)&amp;"Team Leader: "&amp;$F1365&amp;CHAR(10)&amp;"Case Number: "&amp;$M1365&amp;CHAR(10)&amp;"Transaction ID: "&amp;$N1365&amp;CHAR(10)&amp;"Channel / LOB: "&amp;$K1365&amp;" / "&amp;$L1365&amp;CHAR(10)&amp;"Evaluator: "&amp;$S1365&amp;CHAR(10)&amp;CHAR(10)&amp;"INVALID QUALITY AUDIT DETAILS"&amp;CHAR(10)&amp;"Validation: Invalid"&amp;CHAR(10)&amp;"Invalid Reason: "&amp;$P1365&amp;CHAR(10)&amp;"Expected Resolution Code: "&amp;$Q1365&amp;CHAR(10)&amp;"Remarks: "&amp;LEFT($R1365,600)&amp;CHAR(10)&amp;CHAR(10)&amp;"This is an automated notification from HP Mainstream EQMS."),"✉ Open Email Draft"),"")</f>
        <v/>
      </c>
    </row>
    <row r="1366">
      <c r="A1366" s="25">
        <f>IF($C1366="","","AUD-2026-"&amp;TEXT(ROW()-1,"000000"))</f>
        <v/>
      </c>
      <c r="B1366" s="26" t="n"/>
      <c r="C1366" s="27" t="n"/>
      <c r="D1366" s="25">
        <f>IF($C1366="","",IFERROR(IF(INDEX(Roster!$A:$A,MATCH($C1366,Roster!$B:$B,0))="","",INDEX(Roster!$A:$A,MATCH($C1366,Roster!$B:$B,0))&amp;""),"—"))</f>
        <v/>
      </c>
      <c r="E1366" s="25">
        <f>IF($C1366="","",IFERROR(IF(INDEX(Roster!$C:$C,MATCH($C1366,Roster!$B:$B,0))="","",INDEX(Roster!$C:$C,MATCH($C1366,Roster!$B:$B,0))&amp;""),"—"))</f>
        <v/>
      </c>
      <c r="F1366" s="25">
        <f>IF($C1366="","",IFERROR(IF(INDEX(Roster!$D:$D,MATCH($C1366,Roster!$B:$B,0))="","",INDEX(Roster!$D:$D,MATCH($C1366,Roster!$B:$B,0))&amp;""),"—"))</f>
        <v/>
      </c>
      <c r="G1366" s="25">
        <f>IF($C1366="","",IFERROR(IF(INDEX(Roster!$E:$E,MATCH($C1366,Roster!$B:$B,0))="","",INDEX(Roster!$E:$E,MATCH($C1366,Roster!$B:$B,0))&amp;""),"—"))</f>
        <v/>
      </c>
      <c r="H1366" s="25">
        <f>IF($C1366="","",IFERROR(IF(INDEX(Roster!$F:$F,MATCH($C1366,Roster!$B:$B,0))="","",INDEX(Roster!$F:$F,MATCH($C1366,Roster!$B:$B,0))&amp;""),"—"))</f>
        <v/>
      </c>
      <c r="I1366" s="25">
        <f>IF($C1366="","",IFERROR(IF(INDEX(Roster!$G:$G,MATCH($C1366,Roster!$B:$B,0))="","",INDEX(Roster!$G:$G,MATCH($C1366,Roster!$B:$B,0))&amp;""),"—"))</f>
        <v/>
      </c>
      <c r="J1366" s="25">
        <f>IF($C1366="","",IFERROR(IF(INDEX(Roster!$I:$I,MATCH($C1366,Roster!$B:$B,0))="","",INDEX(Roster!$I:$I,MATCH($C1366,Roster!$B:$B,0))&amp;""),"—"))</f>
        <v/>
      </c>
      <c r="K1366">
        <f>IF($C1366="","",IFERROR(IF(INDEX(Roster!$J:$J,MATCH($C1366,Roster!$B:$B,0))="","",INDEX(Roster!$J:$J,MATCH($C1366,Roster!$B:$B,0))&amp;""),"—"))</f>
        <v/>
      </c>
      <c r="L1366">
        <f>IF($C1366="","",IFERROR(IF(INDEX(Roster!$K:$K,MATCH($C1366,Roster!$B:$B,0))="","",INDEX(Roster!$K:$K,MATCH($C1366,Roster!$B:$B,0))&amp;""),"—"))</f>
        <v/>
      </c>
      <c r="M1366" s="27" t="n"/>
      <c r="N1366" s="27" t="n"/>
      <c r="O1366" s="25">
        <f>IF($C1366="","",IF($P1366="","—",IF($P1366="Valid (Pass)","Valid","Invalid")))</f>
        <v/>
      </c>
      <c r="P1366" s="27" t="n"/>
      <c r="Q1366" s="27" t="n"/>
      <c r="R1366" s="27" t="n"/>
      <c r="S1366" s="27" t="n"/>
      <c r="T1366" s="25">
        <f>IF($C1366="","",IF(OR(ISNUMBER(SEARCH("quick case",$P1366)),ISNUMBER(SEARCH("quick case",$Q1366))),"Yes","No"))</f>
        <v/>
      </c>
      <c r="U1366" s="25">
        <f>IF($O1366="Invalid",HYPERLINK("mailto:"&amp;$G1366&amp;";"&amp;$I1366&amp;"?cc="&amp;Lists!$E$2&amp;"&amp;subject="&amp;_xlfn.ENCODEURL("[INVALID] Quality audit monitoring completed for "&amp;UPPER($C1366))&amp;"&amp;body="&amp;_xlfn.ENCODEURL("Hi "&amp;$F1366&amp;","&amp;CHAR(10)&amp;"Good day!"&amp;CHAR(10)&amp;CHAR(10)&amp;"A quality monitoring audit has been completed for "&amp;$C1366&amp;"."&amp;CHAR(10)&amp;CHAR(10)&amp;"QUALITY AUDIT DETAILS"&amp;CHAR(10)&amp;"Agent Name: "&amp;$C1366&amp;" (EID "&amp;$D1366&amp;")"&amp;CHAR(10)&amp;"Audit Date: "&amp;TEXT($B1366,"yyyy-mm-dd")&amp;CHAR(10)&amp;"Team Leader: "&amp;$F1366&amp;CHAR(10)&amp;"Case Number: "&amp;$M1366&amp;CHAR(10)&amp;"Transaction ID: "&amp;$N1366&amp;CHAR(10)&amp;"Channel / LOB: "&amp;$K1366&amp;" / "&amp;$L1366&amp;CHAR(10)&amp;"Evaluator: "&amp;$S1366&amp;CHAR(10)&amp;CHAR(10)&amp;"INVALID QUALITY AUDIT DETAILS"&amp;CHAR(10)&amp;"Validation: Invalid"&amp;CHAR(10)&amp;"Invalid Reason: "&amp;$P1366&amp;CHAR(10)&amp;"Expected Resolution Code: "&amp;$Q1366&amp;CHAR(10)&amp;"Remarks: "&amp;LEFT($R1366,600)&amp;CHAR(10)&amp;CHAR(10)&amp;"This is an automated notification from HP Mainstream EQMS."),"✉ Open Email Draft"),"")</f>
        <v/>
      </c>
    </row>
    <row r="1367">
      <c r="A1367" s="25">
        <f>IF($C1367="","","AUD-2026-"&amp;TEXT(ROW()-1,"000000"))</f>
        <v/>
      </c>
      <c r="B1367" s="26" t="n"/>
      <c r="C1367" s="27" t="n"/>
      <c r="D1367" s="25">
        <f>IF($C1367="","",IFERROR(IF(INDEX(Roster!$A:$A,MATCH($C1367,Roster!$B:$B,0))="","",INDEX(Roster!$A:$A,MATCH($C1367,Roster!$B:$B,0))&amp;""),"—"))</f>
        <v/>
      </c>
      <c r="E1367" s="25">
        <f>IF($C1367="","",IFERROR(IF(INDEX(Roster!$C:$C,MATCH($C1367,Roster!$B:$B,0))="","",INDEX(Roster!$C:$C,MATCH($C1367,Roster!$B:$B,0))&amp;""),"—"))</f>
        <v/>
      </c>
      <c r="F1367" s="25">
        <f>IF($C1367="","",IFERROR(IF(INDEX(Roster!$D:$D,MATCH($C1367,Roster!$B:$B,0))="","",INDEX(Roster!$D:$D,MATCH($C1367,Roster!$B:$B,0))&amp;""),"—"))</f>
        <v/>
      </c>
      <c r="G1367" s="25">
        <f>IF($C1367="","",IFERROR(IF(INDEX(Roster!$E:$E,MATCH($C1367,Roster!$B:$B,0))="","",INDEX(Roster!$E:$E,MATCH($C1367,Roster!$B:$B,0))&amp;""),"—"))</f>
        <v/>
      </c>
      <c r="H1367" s="25">
        <f>IF($C1367="","",IFERROR(IF(INDEX(Roster!$F:$F,MATCH($C1367,Roster!$B:$B,0))="","",INDEX(Roster!$F:$F,MATCH($C1367,Roster!$B:$B,0))&amp;""),"—"))</f>
        <v/>
      </c>
      <c r="I1367" s="25">
        <f>IF($C1367="","",IFERROR(IF(INDEX(Roster!$G:$G,MATCH($C1367,Roster!$B:$B,0))="","",INDEX(Roster!$G:$G,MATCH($C1367,Roster!$B:$B,0))&amp;""),"—"))</f>
        <v/>
      </c>
      <c r="J1367" s="25">
        <f>IF($C1367="","",IFERROR(IF(INDEX(Roster!$I:$I,MATCH($C1367,Roster!$B:$B,0))="","",INDEX(Roster!$I:$I,MATCH($C1367,Roster!$B:$B,0))&amp;""),"—"))</f>
        <v/>
      </c>
      <c r="K1367">
        <f>IF($C1367="","",IFERROR(IF(INDEX(Roster!$J:$J,MATCH($C1367,Roster!$B:$B,0))="","",INDEX(Roster!$J:$J,MATCH($C1367,Roster!$B:$B,0))&amp;""),"—"))</f>
        <v/>
      </c>
      <c r="L1367">
        <f>IF($C1367="","",IFERROR(IF(INDEX(Roster!$K:$K,MATCH($C1367,Roster!$B:$B,0))="","",INDEX(Roster!$K:$K,MATCH($C1367,Roster!$B:$B,0))&amp;""),"—"))</f>
        <v/>
      </c>
      <c r="M1367" s="27" t="n"/>
      <c r="N1367" s="27" t="n"/>
      <c r="O1367" s="25">
        <f>IF($C1367="","",IF($P1367="","—",IF($P1367="Valid (Pass)","Valid","Invalid")))</f>
        <v/>
      </c>
      <c r="P1367" s="27" t="n"/>
      <c r="Q1367" s="27" t="n"/>
      <c r="R1367" s="27" t="n"/>
      <c r="S1367" s="27" t="n"/>
      <c r="T1367" s="25">
        <f>IF($C1367="","",IF(OR(ISNUMBER(SEARCH("quick case",$P1367)),ISNUMBER(SEARCH("quick case",$Q1367))),"Yes","No"))</f>
        <v/>
      </c>
      <c r="U1367" s="25">
        <f>IF($O1367="Invalid",HYPERLINK("mailto:"&amp;$G1367&amp;";"&amp;$I1367&amp;"?cc="&amp;Lists!$E$2&amp;"&amp;subject="&amp;_xlfn.ENCODEURL("[INVALID] Quality audit monitoring completed for "&amp;UPPER($C1367))&amp;"&amp;body="&amp;_xlfn.ENCODEURL("Hi "&amp;$F1367&amp;","&amp;CHAR(10)&amp;"Good day!"&amp;CHAR(10)&amp;CHAR(10)&amp;"A quality monitoring audit has been completed for "&amp;$C1367&amp;"."&amp;CHAR(10)&amp;CHAR(10)&amp;"QUALITY AUDIT DETAILS"&amp;CHAR(10)&amp;"Agent Name: "&amp;$C1367&amp;" (EID "&amp;$D1367&amp;")"&amp;CHAR(10)&amp;"Audit Date: "&amp;TEXT($B1367,"yyyy-mm-dd")&amp;CHAR(10)&amp;"Team Leader: "&amp;$F1367&amp;CHAR(10)&amp;"Case Number: "&amp;$M1367&amp;CHAR(10)&amp;"Transaction ID: "&amp;$N1367&amp;CHAR(10)&amp;"Channel / LOB: "&amp;$K1367&amp;" / "&amp;$L1367&amp;CHAR(10)&amp;"Evaluator: "&amp;$S1367&amp;CHAR(10)&amp;CHAR(10)&amp;"INVALID QUALITY AUDIT DETAILS"&amp;CHAR(10)&amp;"Validation: Invalid"&amp;CHAR(10)&amp;"Invalid Reason: "&amp;$P1367&amp;CHAR(10)&amp;"Expected Resolution Code: "&amp;$Q1367&amp;CHAR(10)&amp;"Remarks: "&amp;LEFT($R1367,600)&amp;CHAR(10)&amp;CHAR(10)&amp;"This is an automated notification from HP Mainstream EQMS."),"✉ Open Email Draft"),"")</f>
        <v/>
      </c>
    </row>
    <row r="1368">
      <c r="A1368" s="25">
        <f>IF($C1368="","","AUD-2026-"&amp;TEXT(ROW()-1,"000000"))</f>
        <v/>
      </c>
      <c r="B1368" s="26" t="n"/>
      <c r="C1368" s="27" t="n"/>
      <c r="D1368" s="25">
        <f>IF($C1368="","",IFERROR(IF(INDEX(Roster!$A:$A,MATCH($C1368,Roster!$B:$B,0))="","",INDEX(Roster!$A:$A,MATCH($C1368,Roster!$B:$B,0))&amp;""),"—"))</f>
        <v/>
      </c>
      <c r="E1368" s="25">
        <f>IF($C1368="","",IFERROR(IF(INDEX(Roster!$C:$C,MATCH($C1368,Roster!$B:$B,0))="","",INDEX(Roster!$C:$C,MATCH($C1368,Roster!$B:$B,0))&amp;""),"—"))</f>
        <v/>
      </c>
      <c r="F1368" s="25">
        <f>IF($C1368="","",IFERROR(IF(INDEX(Roster!$D:$D,MATCH($C1368,Roster!$B:$B,0))="","",INDEX(Roster!$D:$D,MATCH($C1368,Roster!$B:$B,0))&amp;""),"—"))</f>
        <v/>
      </c>
      <c r="G1368" s="25">
        <f>IF($C1368="","",IFERROR(IF(INDEX(Roster!$E:$E,MATCH($C1368,Roster!$B:$B,0))="","",INDEX(Roster!$E:$E,MATCH($C1368,Roster!$B:$B,0))&amp;""),"—"))</f>
        <v/>
      </c>
      <c r="H1368" s="25">
        <f>IF($C1368="","",IFERROR(IF(INDEX(Roster!$F:$F,MATCH($C1368,Roster!$B:$B,0))="","",INDEX(Roster!$F:$F,MATCH($C1368,Roster!$B:$B,0))&amp;""),"—"))</f>
        <v/>
      </c>
      <c r="I1368" s="25">
        <f>IF($C1368="","",IFERROR(IF(INDEX(Roster!$G:$G,MATCH($C1368,Roster!$B:$B,0))="","",INDEX(Roster!$G:$G,MATCH($C1368,Roster!$B:$B,0))&amp;""),"—"))</f>
        <v/>
      </c>
      <c r="J1368" s="25">
        <f>IF($C1368="","",IFERROR(IF(INDEX(Roster!$I:$I,MATCH($C1368,Roster!$B:$B,0))="","",INDEX(Roster!$I:$I,MATCH($C1368,Roster!$B:$B,0))&amp;""),"—"))</f>
        <v/>
      </c>
      <c r="K1368">
        <f>IF($C1368="","",IFERROR(IF(INDEX(Roster!$J:$J,MATCH($C1368,Roster!$B:$B,0))="","",INDEX(Roster!$J:$J,MATCH($C1368,Roster!$B:$B,0))&amp;""),"—"))</f>
        <v/>
      </c>
      <c r="L1368">
        <f>IF($C1368="","",IFERROR(IF(INDEX(Roster!$K:$K,MATCH($C1368,Roster!$B:$B,0))="","",INDEX(Roster!$K:$K,MATCH($C1368,Roster!$B:$B,0))&amp;""),"—"))</f>
        <v/>
      </c>
      <c r="M1368" s="27" t="n"/>
      <c r="N1368" s="27" t="n"/>
      <c r="O1368" s="25">
        <f>IF($C1368="","",IF($P1368="","—",IF($P1368="Valid (Pass)","Valid","Invalid")))</f>
        <v/>
      </c>
      <c r="P1368" s="27" t="n"/>
      <c r="Q1368" s="27" t="n"/>
      <c r="R1368" s="27" t="n"/>
      <c r="S1368" s="27" t="n"/>
      <c r="T1368" s="25">
        <f>IF($C1368="","",IF(OR(ISNUMBER(SEARCH("quick case",$P1368)),ISNUMBER(SEARCH("quick case",$Q1368))),"Yes","No"))</f>
        <v/>
      </c>
      <c r="U1368" s="25">
        <f>IF($O1368="Invalid",HYPERLINK("mailto:"&amp;$G1368&amp;";"&amp;$I1368&amp;"?cc="&amp;Lists!$E$2&amp;"&amp;subject="&amp;_xlfn.ENCODEURL("[INVALID] Quality audit monitoring completed for "&amp;UPPER($C1368))&amp;"&amp;body="&amp;_xlfn.ENCODEURL("Hi "&amp;$F1368&amp;","&amp;CHAR(10)&amp;"Good day!"&amp;CHAR(10)&amp;CHAR(10)&amp;"A quality monitoring audit has been completed for "&amp;$C1368&amp;"."&amp;CHAR(10)&amp;CHAR(10)&amp;"QUALITY AUDIT DETAILS"&amp;CHAR(10)&amp;"Agent Name: "&amp;$C1368&amp;" (EID "&amp;$D1368&amp;")"&amp;CHAR(10)&amp;"Audit Date: "&amp;TEXT($B1368,"yyyy-mm-dd")&amp;CHAR(10)&amp;"Team Leader: "&amp;$F1368&amp;CHAR(10)&amp;"Case Number: "&amp;$M1368&amp;CHAR(10)&amp;"Transaction ID: "&amp;$N1368&amp;CHAR(10)&amp;"Channel / LOB: "&amp;$K1368&amp;" / "&amp;$L1368&amp;CHAR(10)&amp;"Evaluator: "&amp;$S1368&amp;CHAR(10)&amp;CHAR(10)&amp;"INVALID QUALITY AUDIT DETAILS"&amp;CHAR(10)&amp;"Validation: Invalid"&amp;CHAR(10)&amp;"Invalid Reason: "&amp;$P1368&amp;CHAR(10)&amp;"Expected Resolution Code: "&amp;$Q1368&amp;CHAR(10)&amp;"Remarks: "&amp;LEFT($R1368,600)&amp;CHAR(10)&amp;CHAR(10)&amp;"This is an automated notification from HP Mainstream EQMS."),"✉ Open Email Draft"),"")</f>
        <v/>
      </c>
    </row>
    <row r="1369">
      <c r="A1369" s="25">
        <f>IF($C1369="","","AUD-2026-"&amp;TEXT(ROW()-1,"000000"))</f>
        <v/>
      </c>
      <c r="B1369" s="26" t="n"/>
      <c r="C1369" s="27" t="n"/>
      <c r="D1369" s="25">
        <f>IF($C1369="","",IFERROR(IF(INDEX(Roster!$A:$A,MATCH($C1369,Roster!$B:$B,0))="","",INDEX(Roster!$A:$A,MATCH($C1369,Roster!$B:$B,0))&amp;""),"—"))</f>
        <v/>
      </c>
      <c r="E1369" s="25">
        <f>IF($C1369="","",IFERROR(IF(INDEX(Roster!$C:$C,MATCH($C1369,Roster!$B:$B,0))="","",INDEX(Roster!$C:$C,MATCH($C1369,Roster!$B:$B,0))&amp;""),"—"))</f>
        <v/>
      </c>
      <c r="F1369" s="25">
        <f>IF($C1369="","",IFERROR(IF(INDEX(Roster!$D:$D,MATCH($C1369,Roster!$B:$B,0))="","",INDEX(Roster!$D:$D,MATCH($C1369,Roster!$B:$B,0))&amp;""),"—"))</f>
        <v/>
      </c>
      <c r="G1369" s="25">
        <f>IF($C1369="","",IFERROR(IF(INDEX(Roster!$E:$E,MATCH($C1369,Roster!$B:$B,0))="","",INDEX(Roster!$E:$E,MATCH($C1369,Roster!$B:$B,0))&amp;""),"—"))</f>
        <v/>
      </c>
      <c r="H1369" s="25">
        <f>IF($C1369="","",IFERROR(IF(INDEX(Roster!$F:$F,MATCH($C1369,Roster!$B:$B,0))="","",INDEX(Roster!$F:$F,MATCH($C1369,Roster!$B:$B,0))&amp;""),"—"))</f>
        <v/>
      </c>
      <c r="I1369" s="25">
        <f>IF($C1369="","",IFERROR(IF(INDEX(Roster!$G:$G,MATCH($C1369,Roster!$B:$B,0))="","",INDEX(Roster!$G:$G,MATCH($C1369,Roster!$B:$B,0))&amp;""),"—"))</f>
        <v/>
      </c>
      <c r="J1369" s="25">
        <f>IF($C1369="","",IFERROR(IF(INDEX(Roster!$I:$I,MATCH($C1369,Roster!$B:$B,0))="","",INDEX(Roster!$I:$I,MATCH($C1369,Roster!$B:$B,0))&amp;""),"—"))</f>
        <v/>
      </c>
      <c r="K1369">
        <f>IF($C1369="","",IFERROR(IF(INDEX(Roster!$J:$J,MATCH($C1369,Roster!$B:$B,0))="","",INDEX(Roster!$J:$J,MATCH($C1369,Roster!$B:$B,0))&amp;""),"—"))</f>
        <v/>
      </c>
      <c r="L1369">
        <f>IF($C1369="","",IFERROR(IF(INDEX(Roster!$K:$K,MATCH($C1369,Roster!$B:$B,0))="","",INDEX(Roster!$K:$K,MATCH($C1369,Roster!$B:$B,0))&amp;""),"—"))</f>
        <v/>
      </c>
      <c r="M1369" s="27" t="n"/>
      <c r="N1369" s="27" t="n"/>
      <c r="O1369" s="25">
        <f>IF($C1369="","",IF($P1369="","—",IF($P1369="Valid (Pass)","Valid","Invalid")))</f>
        <v/>
      </c>
      <c r="P1369" s="27" t="n"/>
      <c r="Q1369" s="27" t="n"/>
      <c r="R1369" s="27" t="n"/>
      <c r="S1369" s="27" t="n"/>
      <c r="T1369" s="25">
        <f>IF($C1369="","",IF(OR(ISNUMBER(SEARCH("quick case",$P1369)),ISNUMBER(SEARCH("quick case",$Q1369))),"Yes","No"))</f>
        <v/>
      </c>
      <c r="U1369" s="25">
        <f>IF($O1369="Invalid",HYPERLINK("mailto:"&amp;$G1369&amp;";"&amp;$I1369&amp;"?cc="&amp;Lists!$E$2&amp;"&amp;subject="&amp;_xlfn.ENCODEURL("[INVALID] Quality audit monitoring completed for "&amp;UPPER($C1369))&amp;"&amp;body="&amp;_xlfn.ENCODEURL("Hi "&amp;$F1369&amp;","&amp;CHAR(10)&amp;"Good day!"&amp;CHAR(10)&amp;CHAR(10)&amp;"A quality monitoring audit has been completed for "&amp;$C1369&amp;"."&amp;CHAR(10)&amp;CHAR(10)&amp;"QUALITY AUDIT DETAILS"&amp;CHAR(10)&amp;"Agent Name: "&amp;$C1369&amp;" (EID "&amp;$D1369&amp;")"&amp;CHAR(10)&amp;"Audit Date: "&amp;TEXT($B1369,"yyyy-mm-dd")&amp;CHAR(10)&amp;"Team Leader: "&amp;$F1369&amp;CHAR(10)&amp;"Case Number: "&amp;$M1369&amp;CHAR(10)&amp;"Transaction ID: "&amp;$N1369&amp;CHAR(10)&amp;"Channel / LOB: "&amp;$K1369&amp;" / "&amp;$L1369&amp;CHAR(10)&amp;"Evaluator: "&amp;$S1369&amp;CHAR(10)&amp;CHAR(10)&amp;"INVALID QUALITY AUDIT DETAILS"&amp;CHAR(10)&amp;"Validation: Invalid"&amp;CHAR(10)&amp;"Invalid Reason: "&amp;$P1369&amp;CHAR(10)&amp;"Expected Resolution Code: "&amp;$Q1369&amp;CHAR(10)&amp;"Remarks: "&amp;LEFT($R1369,600)&amp;CHAR(10)&amp;CHAR(10)&amp;"This is an automated notification from HP Mainstream EQMS."),"✉ Open Email Draft"),"")</f>
        <v/>
      </c>
    </row>
    <row r="1370">
      <c r="A1370" s="25">
        <f>IF($C1370="","","AUD-2026-"&amp;TEXT(ROW()-1,"000000"))</f>
        <v/>
      </c>
      <c r="B1370" s="26" t="n"/>
      <c r="C1370" s="27" t="n"/>
      <c r="D1370" s="25">
        <f>IF($C1370="","",IFERROR(IF(INDEX(Roster!$A:$A,MATCH($C1370,Roster!$B:$B,0))="","",INDEX(Roster!$A:$A,MATCH($C1370,Roster!$B:$B,0))&amp;""),"—"))</f>
        <v/>
      </c>
      <c r="E1370" s="25">
        <f>IF($C1370="","",IFERROR(IF(INDEX(Roster!$C:$C,MATCH($C1370,Roster!$B:$B,0))="","",INDEX(Roster!$C:$C,MATCH($C1370,Roster!$B:$B,0))&amp;""),"—"))</f>
        <v/>
      </c>
      <c r="F1370" s="25">
        <f>IF($C1370="","",IFERROR(IF(INDEX(Roster!$D:$D,MATCH($C1370,Roster!$B:$B,0))="","",INDEX(Roster!$D:$D,MATCH($C1370,Roster!$B:$B,0))&amp;""),"—"))</f>
        <v/>
      </c>
      <c r="G1370" s="25">
        <f>IF($C1370="","",IFERROR(IF(INDEX(Roster!$E:$E,MATCH($C1370,Roster!$B:$B,0))="","",INDEX(Roster!$E:$E,MATCH($C1370,Roster!$B:$B,0))&amp;""),"—"))</f>
        <v/>
      </c>
      <c r="H1370" s="25">
        <f>IF($C1370="","",IFERROR(IF(INDEX(Roster!$F:$F,MATCH($C1370,Roster!$B:$B,0))="","",INDEX(Roster!$F:$F,MATCH($C1370,Roster!$B:$B,0))&amp;""),"—"))</f>
        <v/>
      </c>
      <c r="I1370" s="25">
        <f>IF($C1370="","",IFERROR(IF(INDEX(Roster!$G:$G,MATCH($C1370,Roster!$B:$B,0))="","",INDEX(Roster!$G:$G,MATCH($C1370,Roster!$B:$B,0))&amp;""),"—"))</f>
        <v/>
      </c>
      <c r="J1370" s="25">
        <f>IF($C1370="","",IFERROR(IF(INDEX(Roster!$I:$I,MATCH($C1370,Roster!$B:$B,0))="","",INDEX(Roster!$I:$I,MATCH($C1370,Roster!$B:$B,0))&amp;""),"—"))</f>
        <v/>
      </c>
      <c r="K1370">
        <f>IF($C1370="","",IFERROR(IF(INDEX(Roster!$J:$J,MATCH($C1370,Roster!$B:$B,0))="","",INDEX(Roster!$J:$J,MATCH($C1370,Roster!$B:$B,0))&amp;""),"—"))</f>
        <v/>
      </c>
      <c r="L1370">
        <f>IF($C1370="","",IFERROR(IF(INDEX(Roster!$K:$K,MATCH($C1370,Roster!$B:$B,0))="","",INDEX(Roster!$K:$K,MATCH($C1370,Roster!$B:$B,0))&amp;""),"—"))</f>
        <v/>
      </c>
      <c r="M1370" s="27" t="n"/>
      <c r="N1370" s="27" t="n"/>
      <c r="O1370" s="25">
        <f>IF($C1370="","",IF($P1370="","—",IF($P1370="Valid (Pass)","Valid","Invalid")))</f>
        <v/>
      </c>
      <c r="P1370" s="27" t="n"/>
      <c r="Q1370" s="27" t="n"/>
      <c r="R1370" s="27" t="n"/>
      <c r="S1370" s="27" t="n"/>
      <c r="T1370" s="25">
        <f>IF($C1370="","",IF(OR(ISNUMBER(SEARCH("quick case",$P1370)),ISNUMBER(SEARCH("quick case",$Q1370))),"Yes","No"))</f>
        <v/>
      </c>
      <c r="U1370" s="25">
        <f>IF($O1370="Invalid",HYPERLINK("mailto:"&amp;$G1370&amp;";"&amp;$I1370&amp;"?cc="&amp;Lists!$E$2&amp;"&amp;subject="&amp;_xlfn.ENCODEURL("[INVALID] Quality audit monitoring completed for "&amp;UPPER($C1370))&amp;"&amp;body="&amp;_xlfn.ENCODEURL("Hi "&amp;$F1370&amp;","&amp;CHAR(10)&amp;"Good day!"&amp;CHAR(10)&amp;CHAR(10)&amp;"A quality monitoring audit has been completed for "&amp;$C1370&amp;"."&amp;CHAR(10)&amp;CHAR(10)&amp;"QUALITY AUDIT DETAILS"&amp;CHAR(10)&amp;"Agent Name: "&amp;$C1370&amp;" (EID "&amp;$D1370&amp;")"&amp;CHAR(10)&amp;"Audit Date: "&amp;TEXT($B1370,"yyyy-mm-dd")&amp;CHAR(10)&amp;"Team Leader: "&amp;$F1370&amp;CHAR(10)&amp;"Case Number: "&amp;$M1370&amp;CHAR(10)&amp;"Transaction ID: "&amp;$N1370&amp;CHAR(10)&amp;"Channel / LOB: "&amp;$K1370&amp;" / "&amp;$L1370&amp;CHAR(10)&amp;"Evaluator: "&amp;$S1370&amp;CHAR(10)&amp;CHAR(10)&amp;"INVALID QUALITY AUDIT DETAILS"&amp;CHAR(10)&amp;"Validation: Invalid"&amp;CHAR(10)&amp;"Invalid Reason: "&amp;$P1370&amp;CHAR(10)&amp;"Expected Resolution Code: "&amp;$Q1370&amp;CHAR(10)&amp;"Remarks: "&amp;LEFT($R1370,600)&amp;CHAR(10)&amp;CHAR(10)&amp;"This is an automated notification from HP Mainstream EQMS."),"✉ Open Email Draft"),"")</f>
        <v/>
      </c>
    </row>
    <row r="1371">
      <c r="A1371" s="25">
        <f>IF($C1371="","","AUD-2026-"&amp;TEXT(ROW()-1,"000000"))</f>
        <v/>
      </c>
      <c r="B1371" s="26" t="n"/>
      <c r="C1371" s="27" t="n"/>
      <c r="D1371" s="25">
        <f>IF($C1371="","",IFERROR(IF(INDEX(Roster!$A:$A,MATCH($C1371,Roster!$B:$B,0))="","",INDEX(Roster!$A:$A,MATCH($C1371,Roster!$B:$B,0))&amp;""),"—"))</f>
        <v/>
      </c>
      <c r="E1371" s="25">
        <f>IF($C1371="","",IFERROR(IF(INDEX(Roster!$C:$C,MATCH($C1371,Roster!$B:$B,0))="","",INDEX(Roster!$C:$C,MATCH($C1371,Roster!$B:$B,0))&amp;""),"—"))</f>
        <v/>
      </c>
      <c r="F1371" s="25">
        <f>IF($C1371="","",IFERROR(IF(INDEX(Roster!$D:$D,MATCH($C1371,Roster!$B:$B,0))="","",INDEX(Roster!$D:$D,MATCH($C1371,Roster!$B:$B,0))&amp;""),"—"))</f>
        <v/>
      </c>
      <c r="G1371" s="25">
        <f>IF($C1371="","",IFERROR(IF(INDEX(Roster!$E:$E,MATCH($C1371,Roster!$B:$B,0))="","",INDEX(Roster!$E:$E,MATCH($C1371,Roster!$B:$B,0))&amp;""),"—"))</f>
        <v/>
      </c>
      <c r="H1371" s="25">
        <f>IF($C1371="","",IFERROR(IF(INDEX(Roster!$F:$F,MATCH($C1371,Roster!$B:$B,0))="","",INDEX(Roster!$F:$F,MATCH($C1371,Roster!$B:$B,0))&amp;""),"—"))</f>
        <v/>
      </c>
      <c r="I1371" s="25">
        <f>IF($C1371="","",IFERROR(IF(INDEX(Roster!$G:$G,MATCH($C1371,Roster!$B:$B,0))="","",INDEX(Roster!$G:$G,MATCH($C1371,Roster!$B:$B,0))&amp;""),"—"))</f>
        <v/>
      </c>
      <c r="J1371" s="25">
        <f>IF($C1371="","",IFERROR(IF(INDEX(Roster!$I:$I,MATCH($C1371,Roster!$B:$B,0))="","",INDEX(Roster!$I:$I,MATCH($C1371,Roster!$B:$B,0))&amp;""),"—"))</f>
        <v/>
      </c>
      <c r="K1371">
        <f>IF($C1371="","",IFERROR(IF(INDEX(Roster!$J:$J,MATCH($C1371,Roster!$B:$B,0))="","",INDEX(Roster!$J:$J,MATCH($C1371,Roster!$B:$B,0))&amp;""),"—"))</f>
        <v/>
      </c>
      <c r="L1371">
        <f>IF($C1371="","",IFERROR(IF(INDEX(Roster!$K:$K,MATCH($C1371,Roster!$B:$B,0))="","",INDEX(Roster!$K:$K,MATCH($C1371,Roster!$B:$B,0))&amp;""),"—"))</f>
        <v/>
      </c>
      <c r="M1371" s="27" t="n"/>
      <c r="N1371" s="27" t="n"/>
      <c r="O1371" s="25">
        <f>IF($C1371="","",IF($P1371="","—",IF($P1371="Valid (Pass)","Valid","Invalid")))</f>
        <v/>
      </c>
      <c r="P1371" s="27" t="n"/>
      <c r="Q1371" s="27" t="n"/>
      <c r="R1371" s="27" t="n"/>
      <c r="S1371" s="27" t="n"/>
      <c r="T1371" s="25">
        <f>IF($C1371="","",IF(OR(ISNUMBER(SEARCH("quick case",$P1371)),ISNUMBER(SEARCH("quick case",$Q1371))),"Yes","No"))</f>
        <v/>
      </c>
      <c r="U1371" s="25">
        <f>IF($O1371="Invalid",HYPERLINK("mailto:"&amp;$G1371&amp;";"&amp;$I1371&amp;"?cc="&amp;Lists!$E$2&amp;"&amp;subject="&amp;_xlfn.ENCODEURL("[INVALID] Quality audit monitoring completed for "&amp;UPPER($C1371))&amp;"&amp;body="&amp;_xlfn.ENCODEURL("Hi "&amp;$F1371&amp;","&amp;CHAR(10)&amp;"Good day!"&amp;CHAR(10)&amp;CHAR(10)&amp;"A quality monitoring audit has been completed for "&amp;$C1371&amp;"."&amp;CHAR(10)&amp;CHAR(10)&amp;"QUALITY AUDIT DETAILS"&amp;CHAR(10)&amp;"Agent Name: "&amp;$C1371&amp;" (EID "&amp;$D1371&amp;")"&amp;CHAR(10)&amp;"Audit Date: "&amp;TEXT($B1371,"yyyy-mm-dd")&amp;CHAR(10)&amp;"Team Leader: "&amp;$F1371&amp;CHAR(10)&amp;"Case Number: "&amp;$M1371&amp;CHAR(10)&amp;"Transaction ID: "&amp;$N1371&amp;CHAR(10)&amp;"Channel / LOB: "&amp;$K1371&amp;" / "&amp;$L1371&amp;CHAR(10)&amp;"Evaluator: "&amp;$S1371&amp;CHAR(10)&amp;CHAR(10)&amp;"INVALID QUALITY AUDIT DETAILS"&amp;CHAR(10)&amp;"Validation: Invalid"&amp;CHAR(10)&amp;"Invalid Reason: "&amp;$P1371&amp;CHAR(10)&amp;"Expected Resolution Code: "&amp;$Q1371&amp;CHAR(10)&amp;"Remarks: "&amp;LEFT($R1371,600)&amp;CHAR(10)&amp;CHAR(10)&amp;"This is an automated notification from HP Mainstream EQMS."),"✉ Open Email Draft"),"")</f>
        <v/>
      </c>
    </row>
    <row r="1372">
      <c r="A1372" s="25">
        <f>IF($C1372="","","AUD-2026-"&amp;TEXT(ROW()-1,"000000"))</f>
        <v/>
      </c>
      <c r="B1372" s="26" t="n"/>
      <c r="C1372" s="27" t="n"/>
      <c r="D1372" s="25">
        <f>IF($C1372="","",IFERROR(IF(INDEX(Roster!$A:$A,MATCH($C1372,Roster!$B:$B,0))="","",INDEX(Roster!$A:$A,MATCH($C1372,Roster!$B:$B,0))&amp;""),"—"))</f>
        <v/>
      </c>
      <c r="E1372" s="25">
        <f>IF($C1372="","",IFERROR(IF(INDEX(Roster!$C:$C,MATCH($C1372,Roster!$B:$B,0))="","",INDEX(Roster!$C:$C,MATCH($C1372,Roster!$B:$B,0))&amp;""),"—"))</f>
        <v/>
      </c>
      <c r="F1372" s="25">
        <f>IF($C1372="","",IFERROR(IF(INDEX(Roster!$D:$D,MATCH($C1372,Roster!$B:$B,0))="","",INDEX(Roster!$D:$D,MATCH($C1372,Roster!$B:$B,0))&amp;""),"—"))</f>
        <v/>
      </c>
      <c r="G1372" s="25">
        <f>IF($C1372="","",IFERROR(IF(INDEX(Roster!$E:$E,MATCH($C1372,Roster!$B:$B,0))="","",INDEX(Roster!$E:$E,MATCH($C1372,Roster!$B:$B,0))&amp;""),"—"))</f>
        <v/>
      </c>
      <c r="H1372" s="25">
        <f>IF($C1372="","",IFERROR(IF(INDEX(Roster!$F:$F,MATCH($C1372,Roster!$B:$B,0))="","",INDEX(Roster!$F:$F,MATCH($C1372,Roster!$B:$B,0))&amp;""),"—"))</f>
        <v/>
      </c>
      <c r="I1372" s="25">
        <f>IF($C1372="","",IFERROR(IF(INDEX(Roster!$G:$G,MATCH($C1372,Roster!$B:$B,0))="","",INDEX(Roster!$G:$G,MATCH($C1372,Roster!$B:$B,0))&amp;""),"—"))</f>
        <v/>
      </c>
      <c r="J1372" s="25">
        <f>IF($C1372="","",IFERROR(IF(INDEX(Roster!$I:$I,MATCH($C1372,Roster!$B:$B,0))="","",INDEX(Roster!$I:$I,MATCH($C1372,Roster!$B:$B,0))&amp;""),"—"))</f>
        <v/>
      </c>
      <c r="K1372">
        <f>IF($C1372="","",IFERROR(IF(INDEX(Roster!$J:$J,MATCH($C1372,Roster!$B:$B,0))="","",INDEX(Roster!$J:$J,MATCH($C1372,Roster!$B:$B,0))&amp;""),"—"))</f>
        <v/>
      </c>
      <c r="L1372">
        <f>IF($C1372="","",IFERROR(IF(INDEX(Roster!$K:$K,MATCH($C1372,Roster!$B:$B,0))="","",INDEX(Roster!$K:$K,MATCH($C1372,Roster!$B:$B,0))&amp;""),"—"))</f>
        <v/>
      </c>
      <c r="M1372" s="27" t="n"/>
      <c r="N1372" s="27" t="n"/>
      <c r="O1372" s="25">
        <f>IF($C1372="","",IF($P1372="","—",IF($P1372="Valid (Pass)","Valid","Invalid")))</f>
        <v/>
      </c>
      <c r="P1372" s="27" t="n"/>
      <c r="Q1372" s="27" t="n"/>
      <c r="R1372" s="27" t="n"/>
      <c r="S1372" s="27" t="n"/>
      <c r="T1372" s="25">
        <f>IF($C1372="","",IF(OR(ISNUMBER(SEARCH("quick case",$P1372)),ISNUMBER(SEARCH("quick case",$Q1372))),"Yes","No"))</f>
        <v/>
      </c>
      <c r="U1372" s="25">
        <f>IF($O1372="Invalid",HYPERLINK("mailto:"&amp;$G1372&amp;";"&amp;$I1372&amp;"?cc="&amp;Lists!$E$2&amp;"&amp;subject="&amp;_xlfn.ENCODEURL("[INVALID] Quality audit monitoring completed for "&amp;UPPER($C1372))&amp;"&amp;body="&amp;_xlfn.ENCODEURL("Hi "&amp;$F1372&amp;","&amp;CHAR(10)&amp;"Good day!"&amp;CHAR(10)&amp;CHAR(10)&amp;"A quality monitoring audit has been completed for "&amp;$C1372&amp;"."&amp;CHAR(10)&amp;CHAR(10)&amp;"QUALITY AUDIT DETAILS"&amp;CHAR(10)&amp;"Agent Name: "&amp;$C1372&amp;" (EID "&amp;$D1372&amp;")"&amp;CHAR(10)&amp;"Audit Date: "&amp;TEXT($B1372,"yyyy-mm-dd")&amp;CHAR(10)&amp;"Team Leader: "&amp;$F1372&amp;CHAR(10)&amp;"Case Number: "&amp;$M1372&amp;CHAR(10)&amp;"Transaction ID: "&amp;$N1372&amp;CHAR(10)&amp;"Channel / LOB: "&amp;$K1372&amp;" / "&amp;$L1372&amp;CHAR(10)&amp;"Evaluator: "&amp;$S1372&amp;CHAR(10)&amp;CHAR(10)&amp;"INVALID QUALITY AUDIT DETAILS"&amp;CHAR(10)&amp;"Validation: Invalid"&amp;CHAR(10)&amp;"Invalid Reason: "&amp;$P1372&amp;CHAR(10)&amp;"Expected Resolution Code: "&amp;$Q1372&amp;CHAR(10)&amp;"Remarks: "&amp;LEFT($R1372,600)&amp;CHAR(10)&amp;CHAR(10)&amp;"This is an automated notification from HP Mainstream EQMS."),"✉ Open Email Draft"),"")</f>
        <v/>
      </c>
    </row>
    <row r="1373">
      <c r="A1373" s="25">
        <f>IF($C1373="","","AUD-2026-"&amp;TEXT(ROW()-1,"000000"))</f>
        <v/>
      </c>
      <c r="B1373" s="26" t="n"/>
      <c r="C1373" s="27" t="n"/>
      <c r="D1373" s="25">
        <f>IF($C1373="","",IFERROR(IF(INDEX(Roster!$A:$A,MATCH($C1373,Roster!$B:$B,0))="","",INDEX(Roster!$A:$A,MATCH($C1373,Roster!$B:$B,0))&amp;""),"—"))</f>
        <v/>
      </c>
      <c r="E1373" s="25">
        <f>IF($C1373="","",IFERROR(IF(INDEX(Roster!$C:$C,MATCH($C1373,Roster!$B:$B,0))="","",INDEX(Roster!$C:$C,MATCH($C1373,Roster!$B:$B,0))&amp;""),"—"))</f>
        <v/>
      </c>
      <c r="F1373" s="25">
        <f>IF($C1373="","",IFERROR(IF(INDEX(Roster!$D:$D,MATCH($C1373,Roster!$B:$B,0))="","",INDEX(Roster!$D:$D,MATCH($C1373,Roster!$B:$B,0))&amp;""),"—"))</f>
        <v/>
      </c>
      <c r="G1373" s="25">
        <f>IF($C1373="","",IFERROR(IF(INDEX(Roster!$E:$E,MATCH($C1373,Roster!$B:$B,0))="","",INDEX(Roster!$E:$E,MATCH($C1373,Roster!$B:$B,0))&amp;""),"—"))</f>
        <v/>
      </c>
      <c r="H1373" s="25">
        <f>IF($C1373="","",IFERROR(IF(INDEX(Roster!$F:$F,MATCH($C1373,Roster!$B:$B,0))="","",INDEX(Roster!$F:$F,MATCH($C1373,Roster!$B:$B,0))&amp;""),"—"))</f>
        <v/>
      </c>
      <c r="I1373" s="25">
        <f>IF($C1373="","",IFERROR(IF(INDEX(Roster!$G:$G,MATCH($C1373,Roster!$B:$B,0))="","",INDEX(Roster!$G:$G,MATCH($C1373,Roster!$B:$B,0))&amp;""),"—"))</f>
        <v/>
      </c>
      <c r="J1373" s="25">
        <f>IF($C1373="","",IFERROR(IF(INDEX(Roster!$I:$I,MATCH($C1373,Roster!$B:$B,0))="","",INDEX(Roster!$I:$I,MATCH($C1373,Roster!$B:$B,0))&amp;""),"—"))</f>
        <v/>
      </c>
      <c r="K1373">
        <f>IF($C1373="","",IFERROR(IF(INDEX(Roster!$J:$J,MATCH($C1373,Roster!$B:$B,0))="","",INDEX(Roster!$J:$J,MATCH($C1373,Roster!$B:$B,0))&amp;""),"—"))</f>
        <v/>
      </c>
      <c r="L1373">
        <f>IF($C1373="","",IFERROR(IF(INDEX(Roster!$K:$K,MATCH($C1373,Roster!$B:$B,0))="","",INDEX(Roster!$K:$K,MATCH($C1373,Roster!$B:$B,0))&amp;""),"—"))</f>
        <v/>
      </c>
      <c r="M1373" s="27" t="n"/>
      <c r="N1373" s="27" t="n"/>
      <c r="O1373" s="25">
        <f>IF($C1373="","",IF($P1373="","—",IF($P1373="Valid (Pass)","Valid","Invalid")))</f>
        <v/>
      </c>
      <c r="P1373" s="27" t="n"/>
      <c r="Q1373" s="27" t="n"/>
      <c r="R1373" s="27" t="n"/>
      <c r="S1373" s="27" t="n"/>
      <c r="T1373" s="25">
        <f>IF($C1373="","",IF(OR(ISNUMBER(SEARCH("quick case",$P1373)),ISNUMBER(SEARCH("quick case",$Q1373))),"Yes","No"))</f>
        <v/>
      </c>
      <c r="U1373" s="25">
        <f>IF($O1373="Invalid",HYPERLINK("mailto:"&amp;$G1373&amp;";"&amp;$I1373&amp;"?cc="&amp;Lists!$E$2&amp;"&amp;subject="&amp;_xlfn.ENCODEURL("[INVALID] Quality audit monitoring completed for "&amp;UPPER($C1373))&amp;"&amp;body="&amp;_xlfn.ENCODEURL("Hi "&amp;$F1373&amp;","&amp;CHAR(10)&amp;"Good day!"&amp;CHAR(10)&amp;CHAR(10)&amp;"A quality monitoring audit has been completed for "&amp;$C1373&amp;"."&amp;CHAR(10)&amp;CHAR(10)&amp;"QUALITY AUDIT DETAILS"&amp;CHAR(10)&amp;"Agent Name: "&amp;$C1373&amp;" (EID "&amp;$D1373&amp;")"&amp;CHAR(10)&amp;"Audit Date: "&amp;TEXT($B1373,"yyyy-mm-dd")&amp;CHAR(10)&amp;"Team Leader: "&amp;$F1373&amp;CHAR(10)&amp;"Case Number: "&amp;$M1373&amp;CHAR(10)&amp;"Transaction ID: "&amp;$N1373&amp;CHAR(10)&amp;"Channel / LOB: "&amp;$K1373&amp;" / "&amp;$L1373&amp;CHAR(10)&amp;"Evaluator: "&amp;$S1373&amp;CHAR(10)&amp;CHAR(10)&amp;"INVALID QUALITY AUDIT DETAILS"&amp;CHAR(10)&amp;"Validation: Invalid"&amp;CHAR(10)&amp;"Invalid Reason: "&amp;$P1373&amp;CHAR(10)&amp;"Expected Resolution Code: "&amp;$Q1373&amp;CHAR(10)&amp;"Remarks: "&amp;LEFT($R1373,600)&amp;CHAR(10)&amp;CHAR(10)&amp;"This is an automated notification from HP Mainstream EQMS."),"✉ Open Email Draft"),"")</f>
        <v/>
      </c>
    </row>
    <row r="1374">
      <c r="A1374" s="25">
        <f>IF($C1374="","","AUD-2026-"&amp;TEXT(ROW()-1,"000000"))</f>
        <v/>
      </c>
      <c r="B1374" s="26" t="n"/>
      <c r="C1374" s="27" t="n"/>
      <c r="D1374" s="25">
        <f>IF($C1374="","",IFERROR(IF(INDEX(Roster!$A:$A,MATCH($C1374,Roster!$B:$B,0))="","",INDEX(Roster!$A:$A,MATCH($C1374,Roster!$B:$B,0))&amp;""),"—"))</f>
        <v/>
      </c>
      <c r="E1374" s="25">
        <f>IF($C1374="","",IFERROR(IF(INDEX(Roster!$C:$C,MATCH($C1374,Roster!$B:$B,0))="","",INDEX(Roster!$C:$C,MATCH($C1374,Roster!$B:$B,0))&amp;""),"—"))</f>
        <v/>
      </c>
      <c r="F1374" s="25">
        <f>IF($C1374="","",IFERROR(IF(INDEX(Roster!$D:$D,MATCH($C1374,Roster!$B:$B,0))="","",INDEX(Roster!$D:$D,MATCH($C1374,Roster!$B:$B,0))&amp;""),"—"))</f>
        <v/>
      </c>
      <c r="G1374" s="25">
        <f>IF($C1374="","",IFERROR(IF(INDEX(Roster!$E:$E,MATCH($C1374,Roster!$B:$B,0))="","",INDEX(Roster!$E:$E,MATCH($C1374,Roster!$B:$B,0))&amp;""),"—"))</f>
        <v/>
      </c>
      <c r="H1374" s="25">
        <f>IF($C1374="","",IFERROR(IF(INDEX(Roster!$F:$F,MATCH($C1374,Roster!$B:$B,0))="","",INDEX(Roster!$F:$F,MATCH($C1374,Roster!$B:$B,0))&amp;""),"—"))</f>
        <v/>
      </c>
      <c r="I1374" s="25">
        <f>IF($C1374="","",IFERROR(IF(INDEX(Roster!$G:$G,MATCH($C1374,Roster!$B:$B,0))="","",INDEX(Roster!$G:$G,MATCH($C1374,Roster!$B:$B,0))&amp;""),"—"))</f>
        <v/>
      </c>
      <c r="J1374" s="25">
        <f>IF($C1374="","",IFERROR(IF(INDEX(Roster!$I:$I,MATCH($C1374,Roster!$B:$B,0))="","",INDEX(Roster!$I:$I,MATCH($C1374,Roster!$B:$B,0))&amp;""),"—"))</f>
        <v/>
      </c>
      <c r="K1374">
        <f>IF($C1374="","",IFERROR(IF(INDEX(Roster!$J:$J,MATCH($C1374,Roster!$B:$B,0))="","",INDEX(Roster!$J:$J,MATCH($C1374,Roster!$B:$B,0))&amp;""),"—"))</f>
        <v/>
      </c>
      <c r="L1374">
        <f>IF($C1374="","",IFERROR(IF(INDEX(Roster!$K:$K,MATCH($C1374,Roster!$B:$B,0))="","",INDEX(Roster!$K:$K,MATCH($C1374,Roster!$B:$B,0))&amp;""),"—"))</f>
        <v/>
      </c>
      <c r="M1374" s="27" t="n"/>
      <c r="N1374" s="27" t="n"/>
      <c r="O1374" s="25">
        <f>IF($C1374="","",IF($P1374="","—",IF($P1374="Valid (Pass)","Valid","Invalid")))</f>
        <v/>
      </c>
      <c r="P1374" s="27" t="n"/>
      <c r="Q1374" s="27" t="n"/>
      <c r="R1374" s="27" t="n"/>
      <c r="S1374" s="27" t="n"/>
      <c r="T1374" s="25">
        <f>IF($C1374="","",IF(OR(ISNUMBER(SEARCH("quick case",$P1374)),ISNUMBER(SEARCH("quick case",$Q1374))),"Yes","No"))</f>
        <v/>
      </c>
      <c r="U1374" s="25">
        <f>IF($O1374="Invalid",HYPERLINK("mailto:"&amp;$G1374&amp;";"&amp;$I1374&amp;"?cc="&amp;Lists!$E$2&amp;"&amp;subject="&amp;_xlfn.ENCODEURL("[INVALID] Quality audit monitoring completed for "&amp;UPPER($C1374))&amp;"&amp;body="&amp;_xlfn.ENCODEURL("Hi "&amp;$F1374&amp;","&amp;CHAR(10)&amp;"Good day!"&amp;CHAR(10)&amp;CHAR(10)&amp;"A quality monitoring audit has been completed for "&amp;$C1374&amp;"."&amp;CHAR(10)&amp;CHAR(10)&amp;"QUALITY AUDIT DETAILS"&amp;CHAR(10)&amp;"Agent Name: "&amp;$C1374&amp;" (EID "&amp;$D1374&amp;")"&amp;CHAR(10)&amp;"Audit Date: "&amp;TEXT($B1374,"yyyy-mm-dd")&amp;CHAR(10)&amp;"Team Leader: "&amp;$F1374&amp;CHAR(10)&amp;"Case Number: "&amp;$M1374&amp;CHAR(10)&amp;"Transaction ID: "&amp;$N1374&amp;CHAR(10)&amp;"Channel / LOB: "&amp;$K1374&amp;" / "&amp;$L1374&amp;CHAR(10)&amp;"Evaluator: "&amp;$S1374&amp;CHAR(10)&amp;CHAR(10)&amp;"INVALID QUALITY AUDIT DETAILS"&amp;CHAR(10)&amp;"Validation: Invalid"&amp;CHAR(10)&amp;"Invalid Reason: "&amp;$P1374&amp;CHAR(10)&amp;"Expected Resolution Code: "&amp;$Q1374&amp;CHAR(10)&amp;"Remarks: "&amp;LEFT($R1374,600)&amp;CHAR(10)&amp;CHAR(10)&amp;"This is an automated notification from HP Mainstream EQMS."),"✉ Open Email Draft"),"")</f>
        <v/>
      </c>
    </row>
    <row r="1375">
      <c r="A1375" s="25">
        <f>IF($C1375="","","AUD-2026-"&amp;TEXT(ROW()-1,"000000"))</f>
        <v/>
      </c>
      <c r="B1375" s="26" t="n"/>
      <c r="C1375" s="27" t="n"/>
      <c r="D1375" s="25">
        <f>IF($C1375="","",IFERROR(IF(INDEX(Roster!$A:$A,MATCH($C1375,Roster!$B:$B,0))="","",INDEX(Roster!$A:$A,MATCH($C1375,Roster!$B:$B,0))&amp;""),"—"))</f>
        <v/>
      </c>
      <c r="E1375" s="25">
        <f>IF($C1375="","",IFERROR(IF(INDEX(Roster!$C:$C,MATCH($C1375,Roster!$B:$B,0))="","",INDEX(Roster!$C:$C,MATCH($C1375,Roster!$B:$B,0))&amp;""),"—"))</f>
        <v/>
      </c>
      <c r="F1375" s="25">
        <f>IF($C1375="","",IFERROR(IF(INDEX(Roster!$D:$D,MATCH($C1375,Roster!$B:$B,0))="","",INDEX(Roster!$D:$D,MATCH($C1375,Roster!$B:$B,0))&amp;""),"—"))</f>
        <v/>
      </c>
      <c r="G1375" s="25">
        <f>IF($C1375="","",IFERROR(IF(INDEX(Roster!$E:$E,MATCH($C1375,Roster!$B:$B,0))="","",INDEX(Roster!$E:$E,MATCH($C1375,Roster!$B:$B,0))&amp;""),"—"))</f>
        <v/>
      </c>
      <c r="H1375" s="25">
        <f>IF($C1375="","",IFERROR(IF(INDEX(Roster!$F:$F,MATCH($C1375,Roster!$B:$B,0))="","",INDEX(Roster!$F:$F,MATCH($C1375,Roster!$B:$B,0))&amp;""),"—"))</f>
        <v/>
      </c>
      <c r="I1375" s="25">
        <f>IF($C1375="","",IFERROR(IF(INDEX(Roster!$G:$G,MATCH($C1375,Roster!$B:$B,0))="","",INDEX(Roster!$G:$G,MATCH($C1375,Roster!$B:$B,0))&amp;""),"—"))</f>
        <v/>
      </c>
      <c r="J1375" s="25">
        <f>IF($C1375="","",IFERROR(IF(INDEX(Roster!$I:$I,MATCH($C1375,Roster!$B:$B,0))="","",INDEX(Roster!$I:$I,MATCH($C1375,Roster!$B:$B,0))&amp;""),"—"))</f>
        <v/>
      </c>
      <c r="K1375">
        <f>IF($C1375="","",IFERROR(IF(INDEX(Roster!$J:$J,MATCH($C1375,Roster!$B:$B,0))="","",INDEX(Roster!$J:$J,MATCH($C1375,Roster!$B:$B,0))&amp;""),"—"))</f>
        <v/>
      </c>
      <c r="L1375">
        <f>IF($C1375="","",IFERROR(IF(INDEX(Roster!$K:$K,MATCH($C1375,Roster!$B:$B,0))="","",INDEX(Roster!$K:$K,MATCH($C1375,Roster!$B:$B,0))&amp;""),"—"))</f>
        <v/>
      </c>
      <c r="M1375" s="27" t="n"/>
      <c r="N1375" s="27" t="n"/>
      <c r="O1375" s="25">
        <f>IF($C1375="","",IF($P1375="","—",IF($P1375="Valid (Pass)","Valid","Invalid")))</f>
        <v/>
      </c>
      <c r="P1375" s="27" t="n"/>
      <c r="Q1375" s="27" t="n"/>
      <c r="R1375" s="27" t="n"/>
      <c r="S1375" s="27" t="n"/>
      <c r="T1375" s="25">
        <f>IF($C1375="","",IF(OR(ISNUMBER(SEARCH("quick case",$P1375)),ISNUMBER(SEARCH("quick case",$Q1375))),"Yes","No"))</f>
        <v/>
      </c>
      <c r="U1375" s="25">
        <f>IF($O1375="Invalid",HYPERLINK("mailto:"&amp;$G1375&amp;";"&amp;$I1375&amp;"?cc="&amp;Lists!$E$2&amp;"&amp;subject="&amp;_xlfn.ENCODEURL("[INVALID] Quality audit monitoring completed for "&amp;UPPER($C1375))&amp;"&amp;body="&amp;_xlfn.ENCODEURL("Hi "&amp;$F1375&amp;","&amp;CHAR(10)&amp;"Good day!"&amp;CHAR(10)&amp;CHAR(10)&amp;"A quality monitoring audit has been completed for "&amp;$C1375&amp;"."&amp;CHAR(10)&amp;CHAR(10)&amp;"QUALITY AUDIT DETAILS"&amp;CHAR(10)&amp;"Agent Name: "&amp;$C1375&amp;" (EID "&amp;$D1375&amp;")"&amp;CHAR(10)&amp;"Audit Date: "&amp;TEXT($B1375,"yyyy-mm-dd")&amp;CHAR(10)&amp;"Team Leader: "&amp;$F1375&amp;CHAR(10)&amp;"Case Number: "&amp;$M1375&amp;CHAR(10)&amp;"Transaction ID: "&amp;$N1375&amp;CHAR(10)&amp;"Channel / LOB: "&amp;$K1375&amp;" / "&amp;$L1375&amp;CHAR(10)&amp;"Evaluator: "&amp;$S1375&amp;CHAR(10)&amp;CHAR(10)&amp;"INVALID QUALITY AUDIT DETAILS"&amp;CHAR(10)&amp;"Validation: Invalid"&amp;CHAR(10)&amp;"Invalid Reason: "&amp;$P1375&amp;CHAR(10)&amp;"Expected Resolution Code: "&amp;$Q1375&amp;CHAR(10)&amp;"Remarks: "&amp;LEFT($R1375,600)&amp;CHAR(10)&amp;CHAR(10)&amp;"This is an automated notification from HP Mainstream EQMS."),"✉ Open Email Draft"),"")</f>
        <v/>
      </c>
    </row>
    <row r="1376">
      <c r="A1376" s="25">
        <f>IF($C1376="","","AUD-2026-"&amp;TEXT(ROW()-1,"000000"))</f>
        <v/>
      </c>
      <c r="B1376" s="26" t="n"/>
      <c r="C1376" s="27" t="n"/>
      <c r="D1376" s="25">
        <f>IF($C1376="","",IFERROR(IF(INDEX(Roster!$A:$A,MATCH($C1376,Roster!$B:$B,0))="","",INDEX(Roster!$A:$A,MATCH($C1376,Roster!$B:$B,0))&amp;""),"—"))</f>
        <v/>
      </c>
      <c r="E1376" s="25">
        <f>IF($C1376="","",IFERROR(IF(INDEX(Roster!$C:$C,MATCH($C1376,Roster!$B:$B,0))="","",INDEX(Roster!$C:$C,MATCH($C1376,Roster!$B:$B,0))&amp;""),"—"))</f>
        <v/>
      </c>
      <c r="F1376" s="25">
        <f>IF($C1376="","",IFERROR(IF(INDEX(Roster!$D:$D,MATCH($C1376,Roster!$B:$B,0))="","",INDEX(Roster!$D:$D,MATCH($C1376,Roster!$B:$B,0))&amp;""),"—"))</f>
        <v/>
      </c>
      <c r="G1376" s="25">
        <f>IF($C1376="","",IFERROR(IF(INDEX(Roster!$E:$E,MATCH($C1376,Roster!$B:$B,0))="","",INDEX(Roster!$E:$E,MATCH($C1376,Roster!$B:$B,0))&amp;""),"—"))</f>
        <v/>
      </c>
      <c r="H1376" s="25">
        <f>IF($C1376="","",IFERROR(IF(INDEX(Roster!$F:$F,MATCH($C1376,Roster!$B:$B,0))="","",INDEX(Roster!$F:$F,MATCH($C1376,Roster!$B:$B,0))&amp;""),"—"))</f>
        <v/>
      </c>
      <c r="I1376" s="25">
        <f>IF($C1376="","",IFERROR(IF(INDEX(Roster!$G:$G,MATCH($C1376,Roster!$B:$B,0))="","",INDEX(Roster!$G:$G,MATCH($C1376,Roster!$B:$B,0))&amp;""),"—"))</f>
        <v/>
      </c>
      <c r="J1376" s="25">
        <f>IF($C1376="","",IFERROR(IF(INDEX(Roster!$I:$I,MATCH($C1376,Roster!$B:$B,0))="","",INDEX(Roster!$I:$I,MATCH($C1376,Roster!$B:$B,0))&amp;""),"—"))</f>
        <v/>
      </c>
      <c r="K1376">
        <f>IF($C1376="","",IFERROR(IF(INDEX(Roster!$J:$J,MATCH($C1376,Roster!$B:$B,0))="","",INDEX(Roster!$J:$J,MATCH($C1376,Roster!$B:$B,0))&amp;""),"—"))</f>
        <v/>
      </c>
      <c r="L1376">
        <f>IF($C1376="","",IFERROR(IF(INDEX(Roster!$K:$K,MATCH($C1376,Roster!$B:$B,0))="","",INDEX(Roster!$K:$K,MATCH($C1376,Roster!$B:$B,0))&amp;""),"—"))</f>
        <v/>
      </c>
      <c r="M1376" s="27" t="n"/>
      <c r="N1376" s="27" t="n"/>
      <c r="O1376" s="25">
        <f>IF($C1376="","",IF($P1376="","—",IF($P1376="Valid (Pass)","Valid","Invalid")))</f>
        <v/>
      </c>
      <c r="P1376" s="27" t="n"/>
      <c r="Q1376" s="27" t="n"/>
      <c r="R1376" s="27" t="n"/>
      <c r="S1376" s="27" t="n"/>
      <c r="T1376" s="25">
        <f>IF($C1376="","",IF(OR(ISNUMBER(SEARCH("quick case",$P1376)),ISNUMBER(SEARCH("quick case",$Q1376))),"Yes","No"))</f>
        <v/>
      </c>
      <c r="U1376" s="25">
        <f>IF($O1376="Invalid",HYPERLINK("mailto:"&amp;$G1376&amp;";"&amp;$I1376&amp;"?cc="&amp;Lists!$E$2&amp;"&amp;subject="&amp;_xlfn.ENCODEURL("[INVALID] Quality audit monitoring completed for "&amp;UPPER($C1376))&amp;"&amp;body="&amp;_xlfn.ENCODEURL("Hi "&amp;$F1376&amp;","&amp;CHAR(10)&amp;"Good day!"&amp;CHAR(10)&amp;CHAR(10)&amp;"A quality monitoring audit has been completed for "&amp;$C1376&amp;"."&amp;CHAR(10)&amp;CHAR(10)&amp;"QUALITY AUDIT DETAILS"&amp;CHAR(10)&amp;"Agent Name: "&amp;$C1376&amp;" (EID "&amp;$D1376&amp;")"&amp;CHAR(10)&amp;"Audit Date: "&amp;TEXT($B1376,"yyyy-mm-dd")&amp;CHAR(10)&amp;"Team Leader: "&amp;$F1376&amp;CHAR(10)&amp;"Case Number: "&amp;$M1376&amp;CHAR(10)&amp;"Transaction ID: "&amp;$N1376&amp;CHAR(10)&amp;"Channel / LOB: "&amp;$K1376&amp;" / "&amp;$L1376&amp;CHAR(10)&amp;"Evaluator: "&amp;$S1376&amp;CHAR(10)&amp;CHAR(10)&amp;"INVALID QUALITY AUDIT DETAILS"&amp;CHAR(10)&amp;"Validation: Invalid"&amp;CHAR(10)&amp;"Invalid Reason: "&amp;$P1376&amp;CHAR(10)&amp;"Expected Resolution Code: "&amp;$Q1376&amp;CHAR(10)&amp;"Remarks: "&amp;LEFT($R1376,600)&amp;CHAR(10)&amp;CHAR(10)&amp;"This is an automated notification from HP Mainstream EQMS."),"✉ Open Email Draft"),"")</f>
        <v/>
      </c>
    </row>
    <row r="1377">
      <c r="A1377" s="25">
        <f>IF($C1377="","","AUD-2026-"&amp;TEXT(ROW()-1,"000000"))</f>
        <v/>
      </c>
      <c r="B1377" s="26" t="n"/>
      <c r="C1377" s="27" t="n"/>
      <c r="D1377" s="25">
        <f>IF($C1377="","",IFERROR(IF(INDEX(Roster!$A:$A,MATCH($C1377,Roster!$B:$B,0))="","",INDEX(Roster!$A:$A,MATCH($C1377,Roster!$B:$B,0))&amp;""),"—"))</f>
        <v/>
      </c>
      <c r="E1377" s="25">
        <f>IF($C1377="","",IFERROR(IF(INDEX(Roster!$C:$C,MATCH($C1377,Roster!$B:$B,0))="","",INDEX(Roster!$C:$C,MATCH($C1377,Roster!$B:$B,0))&amp;""),"—"))</f>
        <v/>
      </c>
      <c r="F1377" s="25">
        <f>IF($C1377="","",IFERROR(IF(INDEX(Roster!$D:$D,MATCH($C1377,Roster!$B:$B,0))="","",INDEX(Roster!$D:$D,MATCH($C1377,Roster!$B:$B,0))&amp;""),"—"))</f>
        <v/>
      </c>
      <c r="G1377" s="25">
        <f>IF($C1377="","",IFERROR(IF(INDEX(Roster!$E:$E,MATCH($C1377,Roster!$B:$B,0))="","",INDEX(Roster!$E:$E,MATCH($C1377,Roster!$B:$B,0))&amp;""),"—"))</f>
        <v/>
      </c>
      <c r="H1377" s="25">
        <f>IF($C1377="","",IFERROR(IF(INDEX(Roster!$F:$F,MATCH($C1377,Roster!$B:$B,0))="","",INDEX(Roster!$F:$F,MATCH($C1377,Roster!$B:$B,0))&amp;""),"—"))</f>
        <v/>
      </c>
      <c r="I1377" s="25">
        <f>IF($C1377="","",IFERROR(IF(INDEX(Roster!$G:$G,MATCH($C1377,Roster!$B:$B,0))="","",INDEX(Roster!$G:$G,MATCH($C1377,Roster!$B:$B,0))&amp;""),"—"))</f>
        <v/>
      </c>
      <c r="J1377" s="25">
        <f>IF($C1377="","",IFERROR(IF(INDEX(Roster!$I:$I,MATCH($C1377,Roster!$B:$B,0))="","",INDEX(Roster!$I:$I,MATCH($C1377,Roster!$B:$B,0))&amp;""),"—"))</f>
        <v/>
      </c>
      <c r="K1377">
        <f>IF($C1377="","",IFERROR(IF(INDEX(Roster!$J:$J,MATCH($C1377,Roster!$B:$B,0))="","",INDEX(Roster!$J:$J,MATCH($C1377,Roster!$B:$B,0))&amp;""),"—"))</f>
        <v/>
      </c>
      <c r="L1377">
        <f>IF($C1377="","",IFERROR(IF(INDEX(Roster!$K:$K,MATCH($C1377,Roster!$B:$B,0))="","",INDEX(Roster!$K:$K,MATCH($C1377,Roster!$B:$B,0))&amp;""),"—"))</f>
        <v/>
      </c>
      <c r="M1377" s="27" t="n"/>
      <c r="N1377" s="27" t="n"/>
      <c r="O1377" s="25">
        <f>IF($C1377="","",IF($P1377="","—",IF($P1377="Valid (Pass)","Valid","Invalid")))</f>
        <v/>
      </c>
      <c r="P1377" s="27" t="n"/>
      <c r="Q1377" s="27" t="n"/>
      <c r="R1377" s="27" t="n"/>
      <c r="S1377" s="27" t="n"/>
      <c r="T1377" s="25">
        <f>IF($C1377="","",IF(OR(ISNUMBER(SEARCH("quick case",$P1377)),ISNUMBER(SEARCH("quick case",$Q1377))),"Yes","No"))</f>
        <v/>
      </c>
      <c r="U1377" s="25">
        <f>IF($O1377="Invalid",HYPERLINK("mailto:"&amp;$G1377&amp;";"&amp;$I1377&amp;"?cc="&amp;Lists!$E$2&amp;"&amp;subject="&amp;_xlfn.ENCODEURL("[INVALID] Quality audit monitoring completed for "&amp;UPPER($C1377))&amp;"&amp;body="&amp;_xlfn.ENCODEURL("Hi "&amp;$F1377&amp;","&amp;CHAR(10)&amp;"Good day!"&amp;CHAR(10)&amp;CHAR(10)&amp;"A quality monitoring audit has been completed for "&amp;$C1377&amp;"."&amp;CHAR(10)&amp;CHAR(10)&amp;"QUALITY AUDIT DETAILS"&amp;CHAR(10)&amp;"Agent Name: "&amp;$C1377&amp;" (EID "&amp;$D1377&amp;")"&amp;CHAR(10)&amp;"Audit Date: "&amp;TEXT($B1377,"yyyy-mm-dd")&amp;CHAR(10)&amp;"Team Leader: "&amp;$F1377&amp;CHAR(10)&amp;"Case Number: "&amp;$M1377&amp;CHAR(10)&amp;"Transaction ID: "&amp;$N1377&amp;CHAR(10)&amp;"Channel / LOB: "&amp;$K1377&amp;" / "&amp;$L1377&amp;CHAR(10)&amp;"Evaluator: "&amp;$S1377&amp;CHAR(10)&amp;CHAR(10)&amp;"INVALID QUALITY AUDIT DETAILS"&amp;CHAR(10)&amp;"Validation: Invalid"&amp;CHAR(10)&amp;"Invalid Reason: "&amp;$P1377&amp;CHAR(10)&amp;"Expected Resolution Code: "&amp;$Q1377&amp;CHAR(10)&amp;"Remarks: "&amp;LEFT($R1377,600)&amp;CHAR(10)&amp;CHAR(10)&amp;"This is an automated notification from HP Mainstream EQMS."),"✉ Open Email Draft"),"")</f>
        <v/>
      </c>
    </row>
    <row r="1378">
      <c r="A1378" s="25">
        <f>IF($C1378="","","AUD-2026-"&amp;TEXT(ROW()-1,"000000"))</f>
        <v/>
      </c>
      <c r="B1378" s="26" t="n"/>
      <c r="C1378" s="27" t="n"/>
      <c r="D1378" s="25">
        <f>IF($C1378="","",IFERROR(IF(INDEX(Roster!$A:$A,MATCH($C1378,Roster!$B:$B,0))="","",INDEX(Roster!$A:$A,MATCH($C1378,Roster!$B:$B,0))&amp;""),"—"))</f>
        <v/>
      </c>
      <c r="E1378" s="25">
        <f>IF($C1378="","",IFERROR(IF(INDEX(Roster!$C:$C,MATCH($C1378,Roster!$B:$B,0))="","",INDEX(Roster!$C:$C,MATCH($C1378,Roster!$B:$B,0))&amp;""),"—"))</f>
        <v/>
      </c>
      <c r="F1378" s="25">
        <f>IF($C1378="","",IFERROR(IF(INDEX(Roster!$D:$D,MATCH($C1378,Roster!$B:$B,0))="","",INDEX(Roster!$D:$D,MATCH($C1378,Roster!$B:$B,0))&amp;""),"—"))</f>
        <v/>
      </c>
      <c r="G1378" s="25">
        <f>IF($C1378="","",IFERROR(IF(INDEX(Roster!$E:$E,MATCH($C1378,Roster!$B:$B,0))="","",INDEX(Roster!$E:$E,MATCH($C1378,Roster!$B:$B,0))&amp;""),"—"))</f>
        <v/>
      </c>
      <c r="H1378" s="25">
        <f>IF($C1378="","",IFERROR(IF(INDEX(Roster!$F:$F,MATCH($C1378,Roster!$B:$B,0))="","",INDEX(Roster!$F:$F,MATCH($C1378,Roster!$B:$B,0))&amp;""),"—"))</f>
        <v/>
      </c>
      <c r="I1378" s="25">
        <f>IF($C1378="","",IFERROR(IF(INDEX(Roster!$G:$G,MATCH($C1378,Roster!$B:$B,0))="","",INDEX(Roster!$G:$G,MATCH($C1378,Roster!$B:$B,0))&amp;""),"—"))</f>
        <v/>
      </c>
      <c r="J1378" s="25">
        <f>IF($C1378="","",IFERROR(IF(INDEX(Roster!$I:$I,MATCH($C1378,Roster!$B:$B,0))="","",INDEX(Roster!$I:$I,MATCH($C1378,Roster!$B:$B,0))&amp;""),"—"))</f>
        <v/>
      </c>
      <c r="K1378">
        <f>IF($C1378="","",IFERROR(IF(INDEX(Roster!$J:$J,MATCH($C1378,Roster!$B:$B,0))="","",INDEX(Roster!$J:$J,MATCH($C1378,Roster!$B:$B,0))&amp;""),"—"))</f>
        <v/>
      </c>
      <c r="L1378">
        <f>IF($C1378="","",IFERROR(IF(INDEX(Roster!$K:$K,MATCH($C1378,Roster!$B:$B,0))="","",INDEX(Roster!$K:$K,MATCH($C1378,Roster!$B:$B,0))&amp;""),"—"))</f>
        <v/>
      </c>
      <c r="M1378" s="27" t="n"/>
      <c r="N1378" s="27" t="n"/>
      <c r="O1378" s="25">
        <f>IF($C1378="","",IF($P1378="","—",IF($P1378="Valid (Pass)","Valid","Invalid")))</f>
        <v/>
      </c>
      <c r="P1378" s="27" t="n"/>
      <c r="Q1378" s="27" t="n"/>
      <c r="R1378" s="27" t="n"/>
      <c r="S1378" s="27" t="n"/>
      <c r="T1378" s="25">
        <f>IF($C1378="","",IF(OR(ISNUMBER(SEARCH("quick case",$P1378)),ISNUMBER(SEARCH("quick case",$Q1378))),"Yes","No"))</f>
        <v/>
      </c>
      <c r="U1378" s="25">
        <f>IF($O1378="Invalid",HYPERLINK("mailto:"&amp;$G1378&amp;";"&amp;$I1378&amp;"?cc="&amp;Lists!$E$2&amp;"&amp;subject="&amp;_xlfn.ENCODEURL("[INVALID] Quality audit monitoring completed for "&amp;UPPER($C1378))&amp;"&amp;body="&amp;_xlfn.ENCODEURL("Hi "&amp;$F1378&amp;","&amp;CHAR(10)&amp;"Good day!"&amp;CHAR(10)&amp;CHAR(10)&amp;"A quality monitoring audit has been completed for "&amp;$C1378&amp;"."&amp;CHAR(10)&amp;CHAR(10)&amp;"QUALITY AUDIT DETAILS"&amp;CHAR(10)&amp;"Agent Name: "&amp;$C1378&amp;" (EID "&amp;$D1378&amp;")"&amp;CHAR(10)&amp;"Audit Date: "&amp;TEXT($B1378,"yyyy-mm-dd")&amp;CHAR(10)&amp;"Team Leader: "&amp;$F1378&amp;CHAR(10)&amp;"Case Number: "&amp;$M1378&amp;CHAR(10)&amp;"Transaction ID: "&amp;$N1378&amp;CHAR(10)&amp;"Channel / LOB: "&amp;$K1378&amp;" / "&amp;$L1378&amp;CHAR(10)&amp;"Evaluator: "&amp;$S1378&amp;CHAR(10)&amp;CHAR(10)&amp;"INVALID QUALITY AUDIT DETAILS"&amp;CHAR(10)&amp;"Validation: Invalid"&amp;CHAR(10)&amp;"Invalid Reason: "&amp;$P1378&amp;CHAR(10)&amp;"Expected Resolution Code: "&amp;$Q1378&amp;CHAR(10)&amp;"Remarks: "&amp;LEFT($R1378,600)&amp;CHAR(10)&amp;CHAR(10)&amp;"This is an automated notification from HP Mainstream EQMS."),"✉ Open Email Draft"),"")</f>
        <v/>
      </c>
    </row>
    <row r="1379">
      <c r="A1379" s="25">
        <f>IF($C1379="","","AUD-2026-"&amp;TEXT(ROW()-1,"000000"))</f>
        <v/>
      </c>
      <c r="B1379" s="26" t="n"/>
      <c r="C1379" s="27" t="n"/>
      <c r="D1379" s="25">
        <f>IF($C1379="","",IFERROR(IF(INDEX(Roster!$A:$A,MATCH($C1379,Roster!$B:$B,0))="","",INDEX(Roster!$A:$A,MATCH($C1379,Roster!$B:$B,0))&amp;""),"—"))</f>
        <v/>
      </c>
      <c r="E1379" s="25">
        <f>IF($C1379="","",IFERROR(IF(INDEX(Roster!$C:$C,MATCH($C1379,Roster!$B:$B,0))="","",INDEX(Roster!$C:$C,MATCH($C1379,Roster!$B:$B,0))&amp;""),"—"))</f>
        <v/>
      </c>
      <c r="F1379" s="25">
        <f>IF($C1379="","",IFERROR(IF(INDEX(Roster!$D:$D,MATCH($C1379,Roster!$B:$B,0))="","",INDEX(Roster!$D:$D,MATCH($C1379,Roster!$B:$B,0))&amp;""),"—"))</f>
        <v/>
      </c>
      <c r="G1379" s="25">
        <f>IF($C1379="","",IFERROR(IF(INDEX(Roster!$E:$E,MATCH($C1379,Roster!$B:$B,0))="","",INDEX(Roster!$E:$E,MATCH($C1379,Roster!$B:$B,0))&amp;""),"—"))</f>
        <v/>
      </c>
      <c r="H1379" s="25">
        <f>IF($C1379="","",IFERROR(IF(INDEX(Roster!$F:$F,MATCH($C1379,Roster!$B:$B,0))="","",INDEX(Roster!$F:$F,MATCH($C1379,Roster!$B:$B,0))&amp;""),"—"))</f>
        <v/>
      </c>
      <c r="I1379" s="25">
        <f>IF($C1379="","",IFERROR(IF(INDEX(Roster!$G:$G,MATCH($C1379,Roster!$B:$B,0))="","",INDEX(Roster!$G:$G,MATCH($C1379,Roster!$B:$B,0))&amp;""),"—"))</f>
        <v/>
      </c>
      <c r="J1379" s="25">
        <f>IF($C1379="","",IFERROR(IF(INDEX(Roster!$I:$I,MATCH($C1379,Roster!$B:$B,0))="","",INDEX(Roster!$I:$I,MATCH($C1379,Roster!$B:$B,0))&amp;""),"—"))</f>
        <v/>
      </c>
      <c r="K1379">
        <f>IF($C1379="","",IFERROR(IF(INDEX(Roster!$J:$J,MATCH($C1379,Roster!$B:$B,0))="","",INDEX(Roster!$J:$J,MATCH($C1379,Roster!$B:$B,0))&amp;""),"—"))</f>
        <v/>
      </c>
      <c r="L1379">
        <f>IF($C1379="","",IFERROR(IF(INDEX(Roster!$K:$K,MATCH($C1379,Roster!$B:$B,0))="","",INDEX(Roster!$K:$K,MATCH($C1379,Roster!$B:$B,0))&amp;""),"—"))</f>
        <v/>
      </c>
      <c r="M1379" s="27" t="n"/>
      <c r="N1379" s="27" t="n"/>
      <c r="O1379" s="25">
        <f>IF($C1379="","",IF($P1379="","—",IF($P1379="Valid (Pass)","Valid","Invalid")))</f>
        <v/>
      </c>
      <c r="P1379" s="27" t="n"/>
      <c r="Q1379" s="27" t="n"/>
      <c r="R1379" s="27" t="n"/>
      <c r="S1379" s="27" t="n"/>
      <c r="T1379" s="25">
        <f>IF($C1379="","",IF(OR(ISNUMBER(SEARCH("quick case",$P1379)),ISNUMBER(SEARCH("quick case",$Q1379))),"Yes","No"))</f>
        <v/>
      </c>
      <c r="U1379" s="25">
        <f>IF($O1379="Invalid",HYPERLINK("mailto:"&amp;$G1379&amp;";"&amp;$I1379&amp;"?cc="&amp;Lists!$E$2&amp;"&amp;subject="&amp;_xlfn.ENCODEURL("[INVALID] Quality audit monitoring completed for "&amp;UPPER($C1379))&amp;"&amp;body="&amp;_xlfn.ENCODEURL("Hi "&amp;$F1379&amp;","&amp;CHAR(10)&amp;"Good day!"&amp;CHAR(10)&amp;CHAR(10)&amp;"A quality monitoring audit has been completed for "&amp;$C1379&amp;"."&amp;CHAR(10)&amp;CHAR(10)&amp;"QUALITY AUDIT DETAILS"&amp;CHAR(10)&amp;"Agent Name: "&amp;$C1379&amp;" (EID "&amp;$D1379&amp;")"&amp;CHAR(10)&amp;"Audit Date: "&amp;TEXT($B1379,"yyyy-mm-dd")&amp;CHAR(10)&amp;"Team Leader: "&amp;$F1379&amp;CHAR(10)&amp;"Case Number: "&amp;$M1379&amp;CHAR(10)&amp;"Transaction ID: "&amp;$N1379&amp;CHAR(10)&amp;"Channel / LOB: "&amp;$K1379&amp;" / "&amp;$L1379&amp;CHAR(10)&amp;"Evaluator: "&amp;$S1379&amp;CHAR(10)&amp;CHAR(10)&amp;"INVALID QUALITY AUDIT DETAILS"&amp;CHAR(10)&amp;"Validation: Invalid"&amp;CHAR(10)&amp;"Invalid Reason: "&amp;$P1379&amp;CHAR(10)&amp;"Expected Resolution Code: "&amp;$Q1379&amp;CHAR(10)&amp;"Remarks: "&amp;LEFT($R1379,600)&amp;CHAR(10)&amp;CHAR(10)&amp;"This is an automated notification from HP Mainstream EQMS."),"✉ Open Email Draft"),"")</f>
        <v/>
      </c>
    </row>
    <row r="1380">
      <c r="A1380" s="25">
        <f>IF($C1380="","","AUD-2026-"&amp;TEXT(ROW()-1,"000000"))</f>
        <v/>
      </c>
      <c r="B1380" s="26" t="n"/>
      <c r="C1380" s="27" t="n"/>
      <c r="D1380" s="25">
        <f>IF($C1380="","",IFERROR(IF(INDEX(Roster!$A:$A,MATCH($C1380,Roster!$B:$B,0))="","",INDEX(Roster!$A:$A,MATCH($C1380,Roster!$B:$B,0))&amp;""),"—"))</f>
        <v/>
      </c>
      <c r="E1380" s="25">
        <f>IF($C1380="","",IFERROR(IF(INDEX(Roster!$C:$C,MATCH($C1380,Roster!$B:$B,0))="","",INDEX(Roster!$C:$C,MATCH($C1380,Roster!$B:$B,0))&amp;""),"—"))</f>
        <v/>
      </c>
      <c r="F1380" s="25">
        <f>IF($C1380="","",IFERROR(IF(INDEX(Roster!$D:$D,MATCH($C1380,Roster!$B:$B,0))="","",INDEX(Roster!$D:$D,MATCH($C1380,Roster!$B:$B,0))&amp;""),"—"))</f>
        <v/>
      </c>
      <c r="G1380" s="25">
        <f>IF($C1380="","",IFERROR(IF(INDEX(Roster!$E:$E,MATCH($C1380,Roster!$B:$B,0))="","",INDEX(Roster!$E:$E,MATCH($C1380,Roster!$B:$B,0))&amp;""),"—"))</f>
        <v/>
      </c>
      <c r="H1380" s="25">
        <f>IF($C1380="","",IFERROR(IF(INDEX(Roster!$F:$F,MATCH($C1380,Roster!$B:$B,0))="","",INDEX(Roster!$F:$F,MATCH($C1380,Roster!$B:$B,0))&amp;""),"—"))</f>
        <v/>
      </c>
      <c r="I1380" s="25">
        <f>IF($C1380="","",IFERROR(IF(INDEX(Roster!$G:$G,MATCH($C1380,Roster!$B:$B,0))="","",INDEX(Roster!$G:$G,MATCH($C1380,Roster!$B:$B,0))&amp;""),"—"))</f>
        <v/>
      </c>
      <c r="J1380" s="25">
        <f>IF($C1380="","",IFERROR(IF(INDEX(Roster!$I:$I,MATCH($C1380,Roster!$B:$B,0))="","",INDEX(Roster!$I:$I,MATCH($C1380,Roster!$B:$B,0))&amp;""),"—"))</f>
        <v/>
      </c>
      <c r="K1380">
        <f>IF($C1380="","",IFERROR(IF(INDEX(Roster!$J:$J,MATCH($C1380,Roster!$B:$B,0))="","",INDEX(Roster!$J:$J,MATCH($C1380,Roster!$B:$B,0))&amp;""),"—"))</f>
        <v/>
      </c>
      <c r="L1380">
        <f>IF($C1380="","",IFERROR(IF(INDEX(Roster!$K:$K,MATCH($C1380,Roster!$B:$B,0))="","",INDEX(Roster!$K:$K,MATCH($C1380,Roster!$B:$B,0))&amp;""),"—"))</f>
        <v/>
      </c>
      <c r="M1380" s="27" t="n"/>
      <c r="N1380" s="27" t="n"/>
      <c r="O1380" s="25">
        <f>IF($C1380="","",IF($P1380="","—",IF($P1380="Valid (Pass)","Valid","Invalid")))</f>
        <v/>
      </c>
      <c r="P1380" s="27" t="n"/>
      <c r="Q1380" s="27" t="n"/>
      <c r="R1380" s="27" t="n"/>
      <c r="S1380" s="27" t="n"/>
      <c r="T1380" s="25">
        <f>IF($C1380="","",IF(OR(ISNUMBER(SEARCH("quick case",$P1380)),ISNUMBER(SEARCH("quick case",$Q1380))),"Yes","No"))</f>
        <v/>
      </c>
      <c r="U1380" s="25">
        <f>IF($O1380="Invalid",HYPERLINK("mailto:"&amp;$G1380&amp;";"&amp;$I1380&amp;"?cc="&amp;Lists!$E$2&amp;"&amp;subject="&amp;_xlfn.ENCODEURL("[INVALID] Quality audit monitoring completed for "&amp;UPPER($C1380))&amp;"&amp;body="&amp;_xlfn.ENCODEURL("Hi "&amp;$F1380&amp;","&amp;CHAR(10)&amp;"Good day!"&amp;CHAR(10)&amp;CHAR(10)&amp;"A quality monitoring audit has been completed for "&amp;$C1380&amp;"."&amp;CHAR(10)&amp;CHAR(10)&amp;"QUALITY AUDIT DETAILS"&amp;CHAR(10)&amp;"Agent Name: "&amp;$C1380&amp;" (EID "&amp;$D1380&amp;")"&amp;CHAR(10)&amp;"Audit Date: "&amp;TEXT($B1380,"yyyy-mm-dd")&amp;CHAR(10)&amp;"Team Leader: "&amp;$F1380&amp;CHAR(10)&amp;"Case Number: "&amp;$M1380&amp;CHAR(10)&amp;"Transaction ID: "&amp;$N1380&amp;CHAR(10)&amp;"Channel / LOB: "&amp;$K1380&amp;" / "&amp;$L1380&amp;CHAR(10)&amp;"Evaluator: "&amp;$S1380&amp;CHAR(10)&amp;CHAR(10)&amp;"INVALID QUALITY AUDIT DETAILS"&amp;CHAR(10)&amp;"Validation: Invalid"&amp;CHAR(10)&amp;"Invalid Reason: "&amp;$P1380&amp;CHAR(10)&amp;"Expected Resolution Code: "&amp;$Q1380&amp;CHAR(10)&amp;"Remarks: "&amp;LEFT($R1380,600)&amp;CHAR(10)&amp;CHAR(10)&amp;"This is an automated notification from HP Mainstream EQMS."),"✉ Open Email Draft"),"")</f>
        <v/>
      </c>
    </row>
    <row r="1381">
      <c r="A1381" s="25">
        <f>IF($C1381="","","AUD-2026-"&amp;TEXT(ROW()-1,"000000"))</f>
        <v/>
      </c>
      <c r="B1381" s="26" t="n"/>
      <c r="C1381" s="27" t="n"/>
      <c r="D1381" s="25">
        <f>IF($C1381="","",IFERROR(IF(INDEX(Roster!$A:$A,MATCH($C1381,Roster!$B:$B,0))="","",INDEX(Roster!$A:$A,MATCH($C1381,Roster!$B:$B,0))&amp;""),"—"))</f>
        <v/>
      </c>
      <c r="E1381" s="25">
        <f>IF($C1381="","",IFERROR(IF(INDEX(Roster!$C:$C,MATCH($C1381,Roster!$B:$B,0))="","",INDEX(Roster!$C:$C,MATCH($C1381,Roster!$B:$B,0))&amp;""),"—"))</f>
        <v/>
      </c>
      <c r="F1381" s="25">
        <f>IF($C1381="","",IFERROR(IF(INDEX(Roster!$D:$D,MATCH($C1381,Roster!$B:$B,0))="","",INDEX(Roster!$D:$D,MATCH($C1381,Roster!$B:$B,0))&amp;""),"—"))</f>
        <v/>
      </c>
      <c r="G1381" s="25">
        <f>IF($C1381="","",IFERROR(IF(INDEX(Roster!$E:$E,MATCH($C1381,Roster!$B:$B,0))="","",INDEX(Roster!$E:$E,MATCH($C1381,Roster!$B:$B,0))&amp;""),"—"))</f>
        <v/>
      </c>
      <c r="H1381" s="25">
        <f>IF($C1381="","",IFERROR(IF(INDEX(Roster!$F:$F,MATCH($C1381,Roster!$B:$B,0))="","",INDEX(Roster!$F:$F,MATCH($C1381,Roster!$B:$B,0))&amp;""),"—"))</f>
        <v/>
      </c>
      <c r="I1381" s="25">
        <f>IF($C1381="","",IFERROR(IF(INDEX(Roster!$G:$G,MATCH($C1381,Roster!$B:$B,0))="","",INDEX(Roster!$G:$G,MATCH($C1381,Roster!$B:$B,0))&amp;""),"—"))</f>
        <v/>
      </c>
      <c r="J1381" s="25">
        <f>IF($C1381="","",IFERROR(IF(INDEX(Roster!$I:$I,MATCH($C1381,Roster!$B:$B,0))="","",INDEX(Roster!$I:$I,MATCH($C1381,Roster!$B:$B,0))&amp;""),"—"))</f>
        <v/>
      </c>
      <c r="K1381">
        <f>IF($C1381="","",IFERROR(IF(INDEX(Roster!$J:$J,MATCH($C1381,Roster!$B:$B,0))="","",INDEX(Roster!$J:$J,MATCH($C1381,Roster!$B:$B,0))&amp;""),"—"))</f>
        <v/>
      </c>
      <c r="L1381">
        <f>IF($C1381="","",IFERROR(IF(INDEX(Roster!$K:$K,MATCH($C1381,Roster!$B:$B,0))="","",INDEX(Roster!$K:$K,MATCH($C1381,Roster!$B:$B,0))&amp;""),"—"))</f>
        <v/>
      </c>
      <c r="M1381" s="27" t="n"/>
      <c r="N1381" s="27" t="n"/>
      <c r="O1381" s="25">
        <f>IF($C1381="","",IF($P1381="","—",IF($P1381="Valid (Pass)","Valid","Invalid")))</f>
        <v/>
      </c>
      <c r="P1381" s="27" t="n"/>
      <c r="Q1381" s="27" t="n"/>
      <c r="R1381" s="27" t="n"/>
      <c r="S1381" s="27" t="n"/>
      <c r="T1381" s="25">
        <f>IF($C1381="","",IF(OR(ISNUMBER(SEARCH("quick case",$P1381)),ISNUMBER(SEARCH("quick case",$Q1381))),"Yes","No"))</f>
        <v/>
      </c>
      <c r="U1381" s="25">
        <f>IF($O1381="Invalid",HYPERLINK("mailto:"&amp;$G1381&amp;";"&amp;$I1381&amp;"?cc="&amp;Lists!$E$2&amp;"&amp;subject="&amp;_xlfn.ENCODEURL("[INVALID] Quality audit monitoring completed for "&amp;UPPER($C1381))&amp;"&amp;body="&amp;_xlfn.ENCODEURL("Hi "&amp;$F1381&amp;","&amp;CHAR(10)&amp;"Good day!"&amp;CHAR(10)&amp;CHAR(10)&amp;"A quality monitoring audit has been completed for "&amp;$C1381&amp;"."&amp;CHAR(10)&amp;CHAR(10)&amp;"QUALITY AUDIT DETAILS"&amp;CHAR(10)&amp;"Agent Name: "&amp;$C1381&amp;" (EID "&amp;$D1381&amp;")"&amp;CHAR(10)&amp;"Audit Date: "&amp;TEXT($B1381,"yyyy-mm-dd")&amp;CHAR(10)&amp;"Team Leader: "&amp;$F1381&amp;CHAR(10)&amp;"Case Number: "&amp;$M1381&amp;CHAR(10)&amp;"Transaction ID: "&amp;$N1381&amp;CHAR(10)&amp;"Channel / LOB: "&amp;$K1381&amp;" / "&amp;$L1381&amp;CHAR(10)&amp;"Evaluator: "&amp;$S1381&amp;CHAR(10)&amp;CHAR(10)&amp;"INVALID QUALITY AUDIT DETAILS"&amp;CHAR(10)&amp;"Validation: Invalid"&amp;CHAR(10)&amp;"Invalid Reason: "&amp;$P1381&amp;CHAR(10)&amp;"Expected Resolution Code: "&amp;$Q1381&amp;CHAR(10)&amp;"Remarks: "&amp;LEFT($R1381,600)&amp;CHAR(10)&amp;CHAR(10)&amp;"This is an automated notification from HP Mainstream EQMS."),"✉ Open Email Draft"),"")</f>
        <v/>
      </c>
    </row>
    <row r="1382">
      <c r="A1382" s="25">
        <f>IF($C1382="","","AUD-2026-"&amp;TEXT(ROW()-1,"000000"))</f>
        <v/>
      </c>
      <c r="B1382" s="26" t="n"/>
      <c r="C1382" s="27" t="n"/>
      <c r="D1382" s="25">
        <f>IF($C1382="","",IFERROR(IF(INDEX(Roster!$A:$A,MATCH($C1382,Roster!$B:$B,0))="","",INDEX(Roster!$A:$A,MATCH($C1382,Roster!$B:$B,0))&amp;""),"—"))</f>
        <v/>
      </c>
      <c r="E1382" s="25">
        <f>IF($C1382="","",IFERROR(IF(INDEX(Roster!$C:$C,MATCH($C1382,Roster!$B:$B,0))="","",INDEX(Roster!$C:$C,MATCH($C1382,Roster!$B:$B,0))&amp;""),"—"))</f>
        <v/>
      </c>
      <c r="F1382" s="25">
        <f>IF($C1382="","",IFERROR(IF(INDEX(Roster!$D:$D,MATCH($C1382,Roster!$B:$B,0))="","",INDEX(Roster!$D:$D,MATCH($C1382,Roster!$B:$B,0))&amp;""),"—"))</f>
        <v/>
      </c>
      <c r="G1382" s="25">
        <f>IF($C1382="","",IFERROR(IF(INDEX(Roster!$E:$E,MATCH($C1382,Roster!$B:$B,0))="","",INDEX(Roster!$E:$E,MATCH($C1382,Roster!$B:$B,0))&amp;""),"—"))</f>
        <v/>
      </c>
      <c r="H1382" s="25">
        <f>IF($C1382="","",IFERROR(IF(INDEX(Roster!$F:$F,MATCH($C1382,Roster!$B:$B,0))="","",INDEX(Roster!$F:$F,MATCH($C1382,Roster!$B:$B,0))&amp;""),"—"))</f>
        <v/>
      </c>
      <c r="I1382" s="25">
        <f>IF($C1382="","",IFERROR(IF(INDEX(Roster!$G:$G,MATCH($C1382,Roster!$B:$B,0))="","",INDEX(Roster!$G:$G,MATCH($C1382,Roster!$B:$B,0))&amp;""),"—"))</f>
        <v/>
      </c>
      <c r="J1382" s="25">
        <f>IF($C1382="","",IFERROR(IF(INDEX(Roster!$I:$I,MATCH($C1382,Roster!$B:$B,0))="","",INDEX(Roster!$I:$I,MATCH($C1382,Roster!$B:$B,0))&amp;""),"—"))</f>
        <v/>
      </c>
      <c r="K1382">
        <f>IF($C1382="","",IFERROR(IF(INDEX(Roster!$J:$J,MATCH($C1382,Roster!$B:$B,0))="","",INDEX(Roster!$J:$J,MATCH($C1382,Roster!$B:$B,0))&amp;""),"—"))</f>
        <v/>
      </c>
      <c r="L1382">
        <f>IF($C1382="","",IFERROR(IF(INDEX(Roster!$K:$K,MATCH($C1382,Roster!$B:$B,0))="","",INDEX(Roster!$K:$K,MATCH($C1382,Roster!$B:$B,0))&amp;""),"—"))</f>
        <v/>
      </c>
      <c r="M1382" s="27" t="n"/>
      <c r="N1382" s="27" t="n"/>
      <c r="O1382" s="25">
        <f>IF($C1382="","",IF($P1382="","—",IF($P1382="Valid (Pass)","Valid","Invalid")))</f>
        <v/>
      </c>
      <c r="P1382" s="27" t="n"/>
      <c r="Q1382" s="27" t="n"/>
      <c r="R1382" s="27" t="n"/>
      <c r="S1382" s="27" t="n"/>
      <c r="T1382" s="25">
        <f>IF($C1382="","",IF(OR(ISNUMBER(SEARCH("quick case",$P1382)),ISNUMBER(SEARCH("quick case",$Q1382))),"Yes","No"))</f>
        <v/>
      </c>
      <c r="U1382" s="25">
        <f>IF($O1382="Invalid",HYPERLINK("mailto:"&amp;$G1382&amp;";"&amp;$I1382&amp;"?cc="&amp;Lists!$E$2&amp;"&amp;subject="&amp;_xlfn.ENCODEURL("[INVALID] Quality audit monitoring completed for "&amp;UPPER($C1382))&amp;"&amp;body="&amp;_xlfn.ENCODEURL("Hi "&amp;$F1382&amp;","&amp;CHAR(10)&amp;"Good day!"&amp;CHAR(10)&amp;CHAR(10)&amp;"A quality monitoring audit has been completed for "&amp;$C1382&amp;"."&amp;CHAR(10)&amp;CHAR(10)&amp;"QUALITY AUDIT DETAILS"&amp;CHAR(10)&amp;"Agent Name: "&amp;$C1382&amp;" (EID "&amp;$D1382&amp;")"&amp;CHAR(10)&amp;"Audit Date: "&amp;TEXT($B1382,"yyyy-mm-dd")&amp;CHAR(10)&amp;"Team Leader: "&amp;$F1382&amp;CHAR(10)&amp;"Case Number: "&amp;$M1382&amp;CHAR(10)&amp;"Transaction ID: "&amp;$N1382&amp;CHAR(10)&amp;"Channel / LOB: "&amp;$K1382&amp;" / "&amp;$L1382&amp;CHAR(10)&amp;"Evaluator: "&amp;$S1382&amp;CHAR(10)&amp;CHAR(10)&amp;"INVALID QUALITY AUDIT DETAILS"&amp;CHAR(10)&amp;"Validation: Invalid"&amp;CHAR(10)&amp;"Invalid Reason: "&amp;$P1382&amp;CHAR(10)&amp;"Expected Resolution Code: "&amp;$Q1382&amp;CHAR(10)&amp;"Remarks: "&amp;LEFT($R1382,600)&amp;CHAR(10)&amp;CHAR(10)&amp;"This is an automated notification from HP Mainstream EQMS."),"✉ Open Email Draft"),"")</f>
        <v/>
      </c>
    </row>
    <row r="1383">
      <c r="A1383" s="25">
        <f>IF($C1383="","","AUD-2026-"&amp;TEXT(ROW()-1,"000000"))</f>
        <v/>
      </c>
      <c r="B1383" s="26" t="n"/>
      <c r="C1383" s="27" t="n"/>
      <c r="D1383" s="25">
        <f>IF($C1383="","",IFERROR(IF(INDEX(Roster!$A:$A,MATCH($C1383,Roster!$B:$B,0))="","",INDEX(Roster!$A:$A,MATCH($C1383,Roster!$B:$B,0))&amp;""),"—"))</f>
        <v/>
      </c>
      <c r="E1383" s="25">
        <f>IF($C1383="","",IFERROR(IF(INDEX(Roster!$C:$C,MATCH($C1383,Roster!$B:$B,0))="","",INDEX(Roster!$C:$C,MATCH($C1383,Roster!$B:$B,0))&amp;""),"—"))</f>
        <v/>
      </c>
      <c r="F1383" s="25">
        <f>IF($C1383="","",IFERROR(IF(INDEX(Roster!$D:$D,MATCH($C1383,Roster!$B:$B,0))="","",INDEX(Roster!$D:$D,MATCH($C1383,Roster!$B:$B,0))&amp;""),"—"))</f>
        <v/>
      </c>
      <c r="G1383" s="25">
        <f>IF($C1383="","",IFERROR(IF(INDEX(Roster!$E:$E,MATCH($C1383,Roster!$B:$B,0))="","",INDEX(Roster!$E:$E,MATCH($C1383,Roster!$B:$B,0))&amp;""),"—"))</f>
        <v/>
      </c>
      <c r="H1383" s="25">
        <f>IF($C1383="","",IFERROR(IF(INDEX(Roster!$F:$F,MATCH($C1383,Roster!$B:$B,0))="","",INDEX(Roster!$F:$F,MATCH($C1383,Roster!$B:$B,0))&amp;""),"—"))</f>
        <v/>
      </c>
      <c r="I1383" s="25">
        <f>IF($C1383="","",IFERROR(IF(INDEX(Roster!$G:$G,MATCH($C1383,Roster!$B:$B,0))="","",INDEX(Roster!$G:$G,MATCH($C1383,Roster!$B:$B,0))&amp;""),"—"))</f>
        <v/>
      </c>
      <c r="J1383" s="25">
        <f>IF($C1383="","",IFERROR(IF(INDEX(Roster!$I:$I,MATCH($C1383,Roster!$B:$B,0))="","",INDEX(Roster!$I:$I,MATCH($C1383,Roster!$B:$B,0))&amp;""),"—"))</f>
        <v/>
      </c>
      <c r="K1383">
        <f>IF($C1383="","",IFERROR(IF(INDEX(Roster!$J:$J,MATCH($C1383,Roster!$B:$B,0))="","",INDEX(Roster!$J:$J,MATCH($C1383,Roster!$B:$B,0))&amp;""),"—"))</f>
        <v/>
      </c>
      <c r="L1383">
        <f>IF($C1383="","",IFERROR(IF(INDEX(Roster!$K:$K,MATCH($C1383,Roster!$B:$B,0))="","",INDEX(Roster!$K:$K,MATCH($C1383,Roster!$B:$B,0))&amp;""),"—"))</f>
        <v/>
      </c>
      <c r="M1383" s="27" t="n"/>
      <c r="N1383" s="27" t="n"/>
      <c r="O1383" s="25">
        <f>IF($C1383="","",IF($P1383="","—",IF($P1383="Valid (Pass)","Valid","Invalid")))</f>
        <v/>
      </c>
      <c r="P1383" s="27" t="n"/>
      <c r="Q1383" s="27" t="n"/>
      <c r="R1383" s="27" t="n"/>
      <c r="S1383" s="27" t="n"/>
      <c r="T1383" s="25">
        <f>IF($C1383="","",IF(OR(ISNUMBER(SEARCH("quick case",$P1383)),ISNUMBER(SEARCH("quick case",$Q1383))),"Yes","No"))</f>
        <v/>
      </c>
      <c r="U1383" s="25">
        <f>IF($O1383="Invalid",HYPERLINK("mailto:"&amp;$G1383&amp;";"&amp;$I1383&amp;"?cc="&amp;Lists!$E$2&amp;"&amp;subject="&amp;_xlfn.ENCODEURL("[INVALID] Quality audit monitoring completed for "&amp;UPPER($C1383))&amp;"&amp;body="&amp;_xlfn.ENCODEURL("Hi "&amp;$F1383&amp;","&amp;CHAR(10)&amp;"Good day!"&amp;CHAR(10)&amp;CHAR(10)&amp;"A quality monitoring audit has been completed for "&amp;$C1383&amp;"."&amp;CHAR(10)&amp;CHAR(10)&amp;"QUALITY AUDIT DETAILS"&amp;CHAR(10)&amp;"Agent Name: "&amp;$C1383&amp;" (EID "&amp;$D1383&amp;")"&amp;CHAR(10)&amp;"Audit Date: "&amp;TEXT($B1383,"yyyy-mm-dd")&amp;CHAR(10)&amp;"Team Leader: "&amp;$F1383&amp;CHAR(10)&amp;"Case Number: "&amp;$M1383&amp;CHAR(10)&amp;"Transaction ID: "&amp;$N1383&amp;CHAR(10)&amp;"Channel / LOB: "&amp;$K1383&amp;" / "&amp;$L1383&amp;CHAR(10)&amp;"Evaluator: "&amp;$S1383&amp;CHAR(10)&amp;CHAR(10)&amp;"INVALID QUALITY AUDIT DETAILS"&amp;CHAR(10)&amp;"Validation: Invalid"&amp;CHAR(10)&amp;"Invalid Reason: "&amp;$P1383&amp;CHAR(10)&amp;"Expected Resolution Code: "&amp;$Q1383&amp;CHAR(10)&amp;"Remarks: "&amp;LEFT($R1383,600)&amp;CHAR(10)&amp;CHAR(10)&amp;"This is an automated notification from HP Mainstream EQMS."),"✉ Open Email Draft"),"")</f>
        <v/>
      </c>
    </row>
    <row r="1384">
      <c r="A1384" s="25">
        <f>IF($C1384="","","AUD-2026-"&amp;TEXT(ROW()-1,"000000"))</f>
        <v/>
      </c>
      <c r="B1384" s="26" t="n"/>
      <c r="C1384" s="27" t="n"/>
      <c r="D1384" s="25">
        <f>IF($C1384="","",IFERROR(IF(INDEX(Roster!$A:$A,MATCH($C1384,Roster!$B:$B,0))="","",INDEX(Roster!$A:$A,MATCH($C1384,Roster!$B:$B,0))&amp;""),"—"))</f>
        <v/>
      </c>
      <c r="E1384" s="25">
        <f>IF($C1384="","",IFERROR(IF(INDEX(Roster!$C:$C,MATCH($C1384,Roster!$B:$B,0))="","",INDEX(Roster!$C:$C,MATCH($C1384,Roster!$B:$B,0))&amp;""),"—"))</f>
        <v/>
      </c>
      <c r="F1384" s="25">
        <f>IF($C1384="","",IFERROR(IF(INDEX(Roster!$D:$D,MATCH($C1384,Roster!$B:$B,0))="","",INDEX(Roster!$D:$D,MATCH($C1384,Roster!$B:$B,0))&amp;""),"—"))</f>
        <v/>
      </c>
      <c r="G1384" s="25">
        <f>IF($C1384="","",IFERROR(IF(INDEX(Roster!$E:$E,MATCH($C1384,Roster!$B:$B,0))="","",INDEX(Roster!$E:$E,MATCH($C1384,Roster!$B:$B,0))&amp;""),"—"))</f>
        <v/>
      </c>
      <c r="H1384" s="25">
        <f>IF($C1384="","",IFERROR(IF(INDEX(Roster!$F:$F,MATCH($C1384,Roster!$B:$B,0))="","",INDEX(Roster!$F:$F,MATCH($C1384,Roster!$B:$B,0))&amp;""),"—"))</f>
        <v/>
      </c>
      <c r="I1384" s="25">
        <f>IF($C1384="","",IFERROR(IF(INDEX(Roster!$G:$G,MATCH($C1384,Roster!$B:$B,0))="","",INDEX(Roster!$G:$G,MATCH($C1384,Roster!$B:$B,0))&amp;""),"—"))</f>
        <v/>
      </c>
      <c r="J1384" s="25">
        <f>IF($C1384="","",IFERROR(IF(INDEX(Roster!$I:$I,MATCH($C1384,Roster!$B:$B,0))="","",INDEX(Roster!$I:$I,MATCH($C1384,Roster!$B:$B,0))&amp;""),"—"))</f>
        <v/>
      </c>
      <c r="K1384">
        <f>IF($C1384="","",IFERROR(IF(INDEX(Roster!$J:$J,MATCH($C1384,Roster!$B:$B,0))="","",INDEX(Roster!$J:$J,MATCH($C1384,Roster!$B:$B,0))&amp;""),"—"))</f>
        <v/>
      </c>
      <c r="L1384">
        <f>IF($C1384="","",IFERROR(IF(INDEX(Roster!$K:$K,MATCH($C1384,Roster!$B:$B,0))="","",INDEX(Roster!$K:$K,MATCH($C1384,Roster!$B:$B,0))&amp;""),"—"))</f>
        <v/>
      </c>
      <c r="M1384" s="27" t="n"/>
      <c r="N1384" s="27" t="n"/>
      <c r="O1384" s="25">
        <f>IF($C1384="","",IF($P1384="","—",IF($P1384="Valid (Pass)","Valid","Invalid")))</f>
        <v/>
      </c>
      <c r="P1384" s="27" t="n"/>
      <c r="Q1384" s="27" t="n"/>
      <c r="R1384" s="27" t="n"/>
      <c r="S1384" s="27" t="n"/>
      <c r="T1384" s="25">
        <f>IF($C1384="","",IF(OR(ISNUMBER(SEARCH("quick case",$P1384)),ISNUMBER(SEARCH("quick case",$Q1384))),"Yes","No"))</f>
        <v/>
      </c>
      <c r="U1384" s="25">
        <f>IF($O1384="Invalid",HYPERLINK("mailto:"&amp;$G1384&amp;";"&amp;$I1384&amp;"?cc="&amp;Lists!$E$2&amp;"&amp;subject="&amp;_xlfn.ENCODEURL("[INVALID] Quality audit monitoring completed for "&amp;UPPER($C1384))&amp;"&amp;body="&amp;_xlfn.ENCODEURL("Hi "&amp;$F1384&amp;","&amp;CHAR(10)&amp;"Good day!"&amp;CHAR(10)&amp;CHAR(10)&amp;"A quality monitoring audit has been completed for "&amp;$C1384&amp;"."&amp;CHAR(10)&amp;CHAR(10)&amp;"QUALITY AUDIT DETAILS"&amp;CHAR(10)&amp;"Agent Name: "&amp;$C1384&amp;" (EID "&amp;$D1384&amp;")"&amp;CHAR(10)&amp;"Audit Date: "&amp;TEXT($B1384,"yyyy-mm-dd")&amp;CHAR(10)&amp;"Team Leader: "&amp;$F1384&amp;CHAR(10)&amp;"Case Number: "&amp;$M1384&amp;CHAR(10)&amp;"Transaction ID: "&amp;$N1384&amp;CHAR(10)&amp;"Channel / LOB: "&amp;$K1384&amp;" / "&amp;$L1384&amp;CHAR(10)&amp;"Evaluator: "&amp;$S1384&amp;CHAR(10)&amp;CHAR(10)&amp;"INVALID QUALITY AUDIT DETAILS"&amp;CHAR(10)&amp;"Validation: Invalid"&amp;CHAR(10)&amp;"Invalid Reason: "&amp;$P1384&amp;CHAR(10)&amp;"Expected Resolution Code: "&amp;$Q1384&amp;CHAR(10)&amp;"Remarks: "&amp;LEFT($R1384,600)&amp;CHAR(10)&amp;CHAR(10)&amp;"This is an automated notification from HP Mainstream EQMS."),"✉ Open Email Draft"),"")</f>
        <v/>
      </c>
    </row>
    <row r="1385">
      <c r="A1385" s="25">
        <f>IF($C1385="","","AUD-2026-"&amp;TEXT(ROW()-1,"000000"))</f>
        <v/>
      </c>
      <c r="B1385" s="26" t="n"/>
      <c r="C1385" s="27" t="n"/>
      <c r="D1385" s="25">
        <f>IF($C1385="","",IFERROR(IF(INDEX(Roster!$A:$A,MATCH($C1385,Roster!$B:$B,0))="","",INDEX(Roster!$A:$A,MATCH($C1385,Roster!$B:$B,0))&amp;""),"—"))</f>
        <v/>
      </c>
      <c r="E1385" s="25">
        <f>IF($C1385="","",IFERROR(IF(INDEX(Roster!$C:$C,MATCH($C1385,Roster!$B:$B,0))="","",INDEX(Roster!$C:$C,MATCH($C1385,Roster!$B:$B,0))&amp;""),"—"))</f>
        <v/>
      </c>
      <c r="F1385" s="25">
        <f>IF($C1385="","",IFERROR(IF(INDEX(Roster!$D:$D,MATCH($C1385,Roster!$B:$B,0))="","",INDEX(Roster!$D:$D,MATCH($C1385,Roster!$B:$B,0))&amp;""),"—"))</f>
        <v/>
      </c>
      <c r="G1385" s="25">
        <f>IF($C1385="","",IFERROR(IF(INDEX(Roster!$E:$E,MATCH($C1385,Roster!$B:$B,0))="","",INDEX(Roster!$E:$E,MATCH($C1385,Roster!$B:$B,0))&amp;""),"—"))</f>
        <v/>
      </c>
      <c r="H1385" s="25">
        <f>IF($C1385="","",IFERROR(IF(INDEX(Roster!$F:$F,MATCH($C1385,Roster!$B:$B,0))="","",INDEX(Roster!$F:$F,MATCH($C1385,Roster!$B:$B,0))&amp;""),"—"))</f>
        <v/>
      </c>
      <c r="I1385" s="25">
        <f>IF($C1385="","",IFERROR(IF(INDEX(Roster!$G:$G,MATCH($C1385,Roster!$B:$B,0))="","",INDEX(Roster!$G:$G,MATCH($C1385,Roster!$B:$B,0))&amp;""),"—"))</f>
        <v/>
      </c>
      <c r="J1385" s="25">
        <f>IF($C1385="","",IFERROR(IF(INDEX(Roster!$I:$I,MATCH($C1385,Roster!$B:$B,0))="","",INDEX(Roster!$I:$I,MATCH($C1385,Roster!$B:$B,0))&amp;""),"—"))</f>
        <v/>
      </c>
      <c r="K1385">
        <f>IF($C1385="","",IFERROR(IF(INDEX(Roster!$J:$J,MATCH($C1385,Roster!$B:$B,0))="","",INDEX(Roster!$J:$J,MATCH($C1385,Roster!$B:$B,0))&amp;""),"—"))</f>
        <v/>
      </c>
      <c r="L1385">
        <f>IF($C1385="","",IFERROR(IF(INDEX(Roster!$K:$K,MATCH($C1385,Roster!$B:$B,0))="","",INDEX(Roster!$K:$K,MATCH($C1385,Roster!$B:$B,0))&amp;""),"—"))</f>
        <v/>
      </c>
      <c r="M1385" s="27" t="n"/>
      <c r="N1385" s="27" t="n"/>
      <c r="O1385" s="25">
        <f>IF($C1385="","",IF($P1385="","—",IF($P1385="Valid (Pass)","Valid","Invalid")))</f>
        <v/>
      </c>
      <c r="P1385" s="27" t="n"/>
      <c r="Q1385" s="27" t="n"/>
      <c r="R1385" s="27" t="n"/>
      <c r="S1385" s="27" t="n"/>
      <c r="T1385" s="25">
        <f>IF($C1385="","",IF(OR(ISNUMBER(SEARCH("quick case",$P1385)),ISNUMBER(SEARCH("quick case",$Q1385))),"Yes","No"))</f>
        <v/>
      </c>
      <c r="U1385" s="25">
        <f>IF($O1385="Invalid",HYPERLINK("mailto:"&amp;$G1385&amp;";"&amp;$I1385&amp;"?cc="&amp;Lists!$E$2&amp;"&amp;subject="&amp;_xlfn.ENCODEURL("[INVALID] Quality audit monitoring completed for "&amp;UPPER($C1385))&amp;"&amp;body="&amp;_xlfn.ENCODEURL("Hi "&amp;$F1385&amp;","&amp;CHAR(10)&amp;"Good day!"&amp;CHAR(10)&amp;CHAR(10)&amp;"A quality monitoring audit has been completed for "&amp;$C1385&amp;"."&amp;CHAR(10)&amp;CHAR(10)&amp;"QUALITY AUDIT DETAILS"&amp;CHAR(10)&amp;"Agent Name: "&amp;$C1385&amp;" (EID "&amp;$D1385&amp;")"&amp;CHAR(10)&amp;"Audit Date: "&amp;TEXT($B1385,"yyyy-mm-dd")&amp;CHAR(10)&amp;"Team Leader: "&amp;$F1385&amp;CHAR(10)&amp;"Case Number: "&amp;$M1385&amp;CHAR(10)&amp;"Transaction ID: "&amp;$N1385&amp;CHAR(10)&amp;"Channel / LOB: "&amp;$K1385&amp;" / "&amp;$L1385&amp;CHAR(10)&amp;"Evaluator: "&amp;$S1385&amp;CHAR(10)&amp;CHAR(10)&amp;"INVALID QUALITY AUDIT DETAILS"&amp;CHAR(10)&amp;"Validation: Invalid"&amp;CHAR(10)&amp;"Invalid Reason: "&amp;$P1385&amp;CHAR(10)&amp;"Expected Resolution Code: "&amp;$Q1385&amp;CHAR(10)&amp;"Remarks: "&amp;LEFT($R1385,600)&amp;CHAR(10)&amp;CHAR(10)&amp;"This is an automated notification from HP Mainstream EQMS."),"✉ Open Email Draft"),"")</f>
        <v/>
      </c>
    </row>
    <row r="1386">
      <c r="A1386" s="25">
        <f>IF($C1386="","","AUD-2026-"&amp;TEXT(ROW()-1,"000000"))</f>
        <v/>
      </c>
      <c r="B1386" s="26" t="n"/>
      <c r="C1386" s="27" t="n"/>
      <c r="D1386" s="25">
        <f>IF($C1386="","",IFERROR(IF(INDEX(Roster!$A:$A,MATCH($C1386,Roster!$B:$B,0))="","",INDEX(Roster!$A:$A,MATCH($C1386,Roster!$B:$B,0))&amp;""),"—"))</f>
        <v/>
      </c>
      <c r="E1386" s="25">
        <f>IF($C1386="","",IFERROR(IF(INDEX(Roster!$C:$C,MATCH($C1386,Roster!$B:$B,0))="","",INDEX(Roster!$C:$C,MATCH($C1386,Roster!$B:$B,0))&amp;""),"—"))</f>
        <v/>
      </c>
      <c r="F1386" s="25">
        <f>IF($C1386="","",IFERROR(IF(INDEX(Roster!$D:$D,MATCH($C1386,Roster!$B:$B,0))="","",INDEX(Roster!$D:$D,MATCH($C1386,Roster!$B:$B,0))&amp;""),"—"))</f>
        <v/>
      </c>
      <c r="G1386" s="25">
        <f>IF($C1386="","",IFERROR(IF(INDEX(Roster!$E:$E,MATCH($C1386,Roster!$B:$B,0))="","",INDEX(Roster!$E:$E,MATCH($C1386,Roster!$B:$B,0))&amp;""),"—"))</f>
        <v/>
      </c>
      <c r="H1386" s="25">
        <f>IF($C1386="","",IFERROR(IF(INDEX(Roster!$F:$F,MATCH($C1386,Roster!$B:$B,0))="","",INDEX(Roster!$F:$F,MATCH($C1386,Roster!$B:$B,0))&amp;""),"—"))</f>
        <v/>
      </c>
      <c r="I1386" s="25">
        <f>IF($C1386="","",IFERROR(IF(INDEX(Roster!$G:$G,MATCH($C1386,Roster!$B:$B,0))="","",INDEX(Roster!$G:$G,MATCH($C1386,Roster!$B:$B,0))&amp;""),"—"))</f>
        <v/>
      </c>
      <c r="J1386" s="25">
        <f>IF($C1386="","",IFERROR(IF(INDEX(Roster!$I:$I,MATCH($C1386,Roster!$B:$B,0))="","",INDEX(Roster!$I:$I,MATCH($C1386,Roster!$B:$B,0))&amp;""),"—"))</f>
        <v/>
      </c>
      <c r="K1386">
        <f>IF($C1386="","",IFERROR(IF(INDEX(Roster!$J:$J,MATCH($C1386,Roster!$B:$B,0))="","",INDEX(Roster!$J:$J,MATCH($C1386,Roster!$B:$B,0))&amp;""),"—"))</f>
        <v/>
      </c>
      <c r="L1386">
        <f>IF($C1386="","",IFERROR(IF(INDEX(Roster!$K:$K,MATCH($C1386,Roster!$B:$B,0))="","",INDEX(Roster!$K:$K,MATCH($C1386,Roster!$B:$B,0))&amp;""),"—"))</f>
        <v/>
      </c>
      <c r="M1386" s="27" t="n"/>
      <c r="N1386" s="27" t="n"/>
      <c r="O1386" s="25">
        <f>IF($C1386="","",IF($P1386="","—",IF($P1386="Valid (Pass)","Valid","Invalid")))</f>
        <v/>
      </c>
      <c r="P1386" s="27" t="n"/>
      <c r="Q1386" s="27" t="n"/>
      <c r="R1386" s="27" t="n"/>
      <c r="S1386" s="27" t="n"/>
      <c r="T1386" s="25">
        <f>IF($C1386="","",IF(OR(ISNUMBER(SEARCH("quick case",$P1386)),ISNUMBER(SEARCH("quick case",$Q1386))),"Yes","No"))</f>
        <v/>
      </c>
      <c r="U1386" s="25">
        <f>IF($O1386="Invalid",HYPERLINK("mailto:"&amp;$G1386&amp;";"&amp;$I1386&amp;"?cc="&amp;Lists!$E$2&amp;"&amp;subject="&amp;_xlfn.ENCODEURL("[INVALID] Quality audit monitoring completed for "&amp;UPPER($C1386))&amp;"&amp;body="&amp;_xlfn.ENCODEURL("Hi "&amp;$F1386&amp;","&amp;CHAR(10)&amp;"Good day!"&amp;CHAR(10)&amp;CHAR(10)&amp;"A quality monitoring audit has been completed for "&amp;$C1386&amp;"."&amp;CHAR(10)&amp;CHAR(10)&amp;"QUALITY AUDIT DETAILS"&amp;CHAR(10)&amp;"Agent Name: "&amp;$C1386&amp;" (EID "&amp;$D1386&amp;")"&amp;CHAR(10)&amp;"Audit Date: "&amp;TEXT($B1386,"yyyy-mm-dd")&amp;CHAR(10)&amp;"Team Leader: "&amp;$F1386&amp;CHAR(10)&amp;"Case Number: "&amp;$M1386&amp;CHAR(10)&amp;"Transaction ID: "&amp;$N1386&amp;CHAR(10)&amp;"Channel / LOB: "&amp;$K1386&amp;" / "&amp;$L1386&amp;CHAR(10)&amp;"Evaluator: "&amp;$S1386&amp;CHAR(10)&amp;CHAR(10)&amp;"INVALID QUALITY AUDIT DETAILS"&amp;CHAR(10)&amp;"Validation: Invalid"&amp;CHAR(10)&amp;"Invalid Reason: "&amp;$P1386&amp;CHAR(10)&amp;"Expected Resolution Code: "&amp;$Q1386&amp;CHAR(10)&amp;"Remarks: "&amp;LEFT($R1386,600)&amp;CHAR(10)&amp;CHAR(10)&amp;"This is an automated notification from HP Mainstream EQMS."),"✉ Open Email Draft"),"")</f>
        <v/>
      </c>
    </row>
    <row r="1387">
      <c r="A1387" s="25">
        <f>IF($C1387="","","AUD-2026-"&amp;TEXT(ROW()-1,"000000"))</f>
        <v/>
      </c>
      <c r="B1387" s="26" t="n"/>
      <c r="C1387" s="27" t="n"/>
      <c r="D1387" s="25">
        <f>IF($C1387="","",IFERROR(IF(INDEX(Roster!$A:$A,MATCH($C1387,Roster!$B:$B,0))="","",INDEX(Roster!$A:$A,MATCH($C1387,Roster!$B:$B,0))&amp;""),"—"))</f>
        <v/>
      </c>
      <c r="E1387" s="25">
        <f>IF($C1387="","",IFERROR(IF(INDEX(Roster!$C:$C,MATCH($C1387,Roster!$B:$B,0))="","",INDEX(Roster!$C:$C,MATCH($C1387,Roster!$B:$B,0))&amp;""),"—"))</f>
        <v/>
      </c>
      <c r="F1387" s="25">
        <f>IF($C1387="","",IFERROR(IF(INDEX(Roster!$D:$D,MATCH($C1387,Roster!$B:$B,0))="","",INDEX(Roster!$D:$D,MATCH($C1387,Roster!$B:$B,0))&amp;""),"—"))</f>
        <v/>
      </c>
      <c r="G1387" s="25">
        <f>IF($C1387="","",IFERROR(IF(INDEX(Roster!$E:$E,MATCH($C1387,Roster!$B:$B,0))="","",INDEX(Roster!$E:$E,MATCH($C1387,Roster!$B:$B,0))&amp;""),"—"))</f>
        <v/>
      </c>
      <c r="H1387" s="25">
        <f>IF($C1387="","",IFERROR(IF(INDEX(Roster!$F:$F,MATCH($C1387,Roster!$B:$B,0))="","",INDEX(Roster!$F:$F,MATCH($C1387,Roster!$B:$B,0))&amp;""),"—"))</f>
        <v/>
      </c>
      <c r="I1387" s="25">
        <f>IF($C1387="","",IFERROR(IF(INDEX(Roster!$G:$G,MATCH($C1387,Roster!$B:$B,0))="","",INDEX(Roster!$G:$G,MATCH($C1387,Roster!$B:$B,0))&amp;""),"—"))</f>
        <v/>
      </c>
      <c r="J1387" s="25">
        <f>IF($C1387="","",IFERROR(IF(INDEX(Roster!$I:$I,MATCH($C1387,Roster!$B:$B,0))="","",INDEX(Roster!$I:$I,MATCH($C1387,Roster!$B:$B,0))&amp;""),"—"))</f>
        <v/>
      </c>
      <c r="K1387">
        <f>IF($C1387="","",IFERROR(IF(INDEX(Roster!$J:$J,MATCH($C1387,Roster!$B:$B,0))="","",INDEX(Roster!$J:$J,MATCH($C1387,Roster!$B:$B,0))&amp;""),"—"))</f>
        <v/>
      </c>
      <c r="L1387">
        <f>IF($C1387="","",IFERROR(IF(INDEX(Roster!$K:$K,MATCH($C1387,Roster!$B:$B,0))="","",INDEX(Roster!$K:$K,MATCH($C1387,Roster!$B:$B,0))&amp;""),"—"))</f>
        <v/>
      </c>
      <c r="M1387" s="27" t="n"/>
      <c r="N1387" s="27" t="n"/>
      <c r="O1387" s="25">
        <f>IF($C1387="","",IF($P1387="","—",IF($P1387="Valid (Pass)","Valid","Invalid")))</f>
        <v/>
      </c>
      <c r="P1387" s="27" t="n"/>
      <c r="Q1387" s="27" t="n"/>
      <c r="R1387" s="27" t="n"/>
      <c r="S1387" s="27" t="n"/>
      <c r="T1387" s="25">
        <f>IF($C1387="","",IF(OR(ISNUMBER(SEARCH("quick case",$P1387)),ISNUMBER(SEARCH("quick case",$Q1387))),"Yes","No"))</f>
        <v/>
      </c>
      <c r="U1387" s="25">
        <f>IF($O1387="Invalid",HYPERLINK("mailto:"&amp;$G1387&amp;";"&amp;$I1387&amp;"?cc="&amp;Lists!$E$2&amp;"&amp;subject="&amp;_xlfn.ENCODEURL("[INVALID] Quality audit monitoring completed for "&amp;UPPER($C1387))&amp;"&amp;body="&amp;_xlfn.ENCODEURL("Hi "&amp;$F1387&amp;","&amp;CHAR(10)&amp;"Good day!"&amp;CHAR(10)&amp;CHAR(10)&amp;"A quality monitoring audit has been completed for "&amp;$C1387&amp;"."&amp;CHAR(10)&amp;CHAR(10)&amp;"QUALITY AUDIT DETAILS"&amp;CHAR(10)&amp;"Agent Name: "&amp;$C1387&amp;" (EID "&amp;$D1387&amp;")"&amp;CHAR(10)&amp;"Audit Date: "&amp;TEXT($B1387,"yyyy-mm-dd")&amp;CHAR(10)&amp;"Team Leader: "&amp;$F1387&amp;CHAR(10)&amp;"Case Number: "&amp;$M1387&amp;CHAR(10)&amp;"Transaction ID: "&amp;$N1387&amp;CHAR(10)&amp;"Channel / LOB: "&amp;$K1387&amp;" / "&amp;$L1387&amp;CHAR(10)&amp;"Evaluator: "&amp;$S1387&amp;CHAR(10)&amp;CHAR(10)&amp;"INVALID QUALITY AUDIT DETAILS"&amp;CHAR(10)&amp;"Validation: Invalid"&amp;CHAR(10)&amp;"Invalid Reason: "&amp;$P1387&amp;CHAR(10)&amp;"Expected Resolution Code: "&amp;$Q1387&amp;CHAR(10)&amp;"Remarks: "&amp;LEFT($R1387,600)&amp;CHAR(10)&amp;CHAR(10)&amp;"This is an automated notification from HP Mainstream EQMS."),"✉ Open Email Draft"),"")</f>
        <v/>
      </c>
    </row>
    <row r="1388">
      <c r="A1388" s="25">
        <f>IF($C1388="","","AUD-2026-"&amp;TEXT(ROW()-1,"000000"))</f>
        <v/>
      </c>
      <c r="B1388" s="26" t="n"/>
      <c r="C1388" s="27" t="n"/>
      <c r="D1388" s="25">
        <f>IF($C1388="","",IFERROR(IF(INDEX(Roster!$A:$A,MATCH($C1388,Roster!$B:$B,0))="","",INDEX(Roster!$A:$A,MATCH($C1388,Roster!$B:$B,0))&amp;""),"—"))</f>
        <v/>
      </c>
      <c r="E1388" s="25">
        <f>IF($C1388="","",IFERROR(IF(INDEX(Roster!$C:$C,MATCH($C1388,Roster!$B:$B,0))="","",INDEX(Roster!$C:$C,MATCH($C1388,Roster!$B:$B,0))&amp;""),"—"))</f>
        <v/>
      </c>
      <c r="F1388" s="25">
        <f>IF($C1388="","",IFERROR(IF(INDEX(Roster!$D:$D,MATCH($C1388,Roster!$B:$B,0))="","",INDEX(Roster!$D:$D,MATCH($C1388,Roster!$B:$B,0))&amp;""),"—"))</f>
        <v/>
      </c>
      <c r="G1388" s="25">
        <f>IF($C1388="","",IFERROR(IF(INDEX(Roster!$E:$E,MATCH($C1388,Roster!$B:$B,0))="","",INDEX(Roster!$E:$E,MATCH($C1388,Roster!$B:$B,0))&amp;""),"—"))</f>
        <v/>
      </c>
      <c r="H1388" s="25">
        <f>IF($C1388="","",IFERROR(IF(INDEX(Roster!$F:$F,MATCH($C1388,Roster!$B:$B,0))="","",INDEX(Roster!$F:$F,MATCH($C1388,Roster!$B:$B,0))&amp;""),"—"))</f>
        <v/>
      </c>
      <c r="I1388" s="25">
        <f>IF($C1388="","",IFERROR(IF(INDEX(Roster!$G:$G,MATCH($C1388,Roster!$B:$B,0))="","",INDEX(Roster!$G:$G,MATCH($C1388,Roster!$B:$B,0))&amp;""),"—"))</f>
        <v/>
      </c>
      <c r="J1388" s="25">
        <f>IF($C1388="","",IFERROR(IF(INDEX(Roster!$I:$I,MATCH($C1388,Roster!$B:$B,0))="","",INDEX(Roster!$I:$I,MATCH($C1388,Roster!$B:$B,0))&amp;""),"—"))</f>
        <v/>
      </c>
      <c r="K1388">
        <f>IF($C1388="","",IFERROR(IF(INDEX(Roster!$J:$J,MATCH($C1388,Roster!$B:$B,0))="","",INDEX(Roster!$J:$J,MATCH($C1388,Roster!$B:$B,0))&amp;""),"—"))</f>
        <v/>
      </c>
      <c r="L1388">
        <f>IF($C1388="","",IFERROR(IF(INDEX(Roster!$K:$K,MATCH($C1388,Roster!$B:$B,0))="","",INDEX(Roster!$K:$K,MATCH($C1388,Roster!$B:$B,0))&amp;""),"—"))</f>
        <v/>
      </c>
      <c r="M1388" s="27" t="n"/>
      <c r="N1388" s="27" t="n"/>
      <c r="O1388" s="25">
        <f>IF($C1388="","",IF($P1388="","—",IF($P1388="Valid (Pass)","Valid","Invalid")))</f>
        <v/>
      </c>
      <c r="P1388" s="27" t="n"/>
      <c r="Q1388" s="27" t="n"/>
      <c r="R1388" s="27" t="n"/>
      <c r="S1388" s="27" t="n"/>
      <c r="T1388" s="25">
        <f>IF($C1388="","",IF(OR(ISNUMBER(SEARCH("quick case",$P1388)),ISNUMBER(SEARCH("quick case",$Q1388))),"Yes","No"))</f>
        <v/>
      </c>
      <c r="U1388" s="25">
        <f>IF($O1388="Invalid",HYPERLINK("mailto:"&amp;$G1388&amp;";"&amp;$I1388&amp;"?cc="&amp;Lists!$E$2&amp;"&amp;subject="&amp;_xlfn.ENCODEURL("[INVALID] Quality audit monitoring completed for "&amp;UPPER($C1388))&amp;"&amp;body="&amp;_xlfn.ENCODEURL("Hi "&amp;$F1388&amp;","&amp;CHAR(10)&amp;"Good day!"&amp;CHAR(10)&amp;CHAR(10)&amp;"A quality monitoring audit has been completed for "&amp;$C1388&amp;"."&amp;CHAR(10)&amp;CHAR(10)&amp;"QUALITY AUDIT DETAILS"&amp;CHAR(10)&amp;"Agent Name: "&amp;$C1388&amp;" (EID "&amp;$D1388&amp;")"&amp;CHAR(10)&amp;"Audit Date: "&amp;TEXT($B1388,"yyyy-mm-dd")&amp;CHAR(10)&amp;"Team Leader: "&amp;$F1388&amp;CHAR(10)&amp;"Case Number: "&amp;$M1388&amp;CHAR(10)&amp;"Transaction ID: "&amp;$N1388&amp;CHAR(10)&amp;"Channel / LOB: "&amp;$K1388&amp;" / "&amp;$L1388&amp;CHAR(10)&amp;"Evaluator: "&amp;$S1388&amp;CHAR(10)&amp;CHAR(10)&amp;"INVALID QUALITY AUDIT DETAILS"&amp;CHAR(10)&amp;"Validation: Invalid"&amp;CHAR(10)&amp;"Invalid Reason: "&amp;$P1388&amp;CHAR(10)&amp;"Expected Resolution Code: "&amp;$Q1388&amp;CHAR(10)&amp;"Remarks: "&amp;LEFT($R1388,600)&amp;CHAR(10)&amp;CHAR(10)&amp;"This is an automated notification from HP Mainstream EQMS."),"✉ Open Email Draft"),"")</f>
        <v/>
      </c>
    </row>
    <row r="1389">
      <c r="A1389" s="25">
        <f>IF($C1389="","","AUD-2026-"&amp;TEXT(ROW()-1,"000000"))</f>
        <v/>
      </c>
      <c r="B1389" s="26" t="n"/>
      <c r="C1389" s="27" t="n"/>
      <c r="D1389" s="25">
        <f>IF($C1389="","",IFERROR(IF(INDEX(Roster!$A:$A,MATCH($C1389,Roster!$B:$B,0))="","",INDEX(Roster!$A:$A,MATCH($C1389,Roster!$B:$B,0))&amp;""),"—"))</f>
        <v/>
      </c>
      <c r="E1389" s="25">
        <f>IF($C1389="","",IFERROR(IF(INDEX(Roster!$C:$C,MATCH($C1389,Roster!$B:$B,0))="","",INDEX(Roster!$C:$C,MATCH($C1389,Roster!$B:$B,0))&amp;""),"—"))</f>
        <v/>
      </c>
      <c r="F1389" s="25">
        <f>IF($C1389="","",IFERROR(IF(INDEX(Roster!$D:$D,MATCH($C1389,Roster!$B:$B,0))="","",INDEX(Roster!$D:$D,MATCH($C1389,Roster!$B:$B,0))&amp;""),"—"))</f>
        <v/>
      </c>
      <c r="G1389" s="25">
        <f>IF($C1389="","",IFERROR(IF(INDEX(Roster!$E:$E,MATCH($C1389,Roster!$B:$B,0))="","",INDEX(Roster!$E:$E,MATCH($C1389,Roster!$B:$B,0))&amp;""),"—"))</f>
        <v/>
      </c>
      <c r="H1389" s="25">
        <f>IF($C1389="","",IFERROR(IF(INDEX(Roster!$F:$F,MATCH($C1389,Roster!$B:$B,0))="","",INDEX(Roster!$F:$F,MATCH($C1389,Roster!$B:$B,0))&amp;""),"—"))</f>
        <v/>
      </c>
      <c r="I1389" s="25">
        <f>IF($C1389="","",IFERROR(IF(INDEX(Roster!$G:$G,MATCH($C1389,Roster!$B:$B,0))="","",INDEX(Roster!$G:$G,MATCH($C1389,Roster!$B:$B,0))&amp;""),"—"))</f>
        <v/>
      </c>
      <c r="J1389" s="25">
        <f>IF($C1389="","",IFERROR(IF(INDEX(Roster!$I:$I,MATCH($C1389,Roster!$B:$B,0))="","",INDEX(Roster!$I:$I,MATCH($C1389,Roster!$B:$B,0))&amp;""),"—"))</f>
        <v/>
      </c>
      <c r="K1389">
        <f>IF($C1389="","",IFERROR(IF(INDEX(Roster!$J:$J,MATCH($C1389,Roster!$B:$B,0))="","",INDEX(Roster!$J:$J,MATCH($C1389,Roster!$B:$B,0))&amp;""),"—"))</f>
        <v/>
      </c>
      <c r="L1389">
        <f>IF($C1389="","",IFERROR(IF(INDEX(Roster!$K:$K,MATCH($C1389,Roster!$B:$B,0))="","",INDEX(Roster!$K:$K,MATCH($C1389,Roster!$B:$B,0))&amp;""),"—"))</f>
        <v/>
      </c>
      <c r="M1389" s="27" t="n"/>
      <c r="N1389" s="27" t="n"/>
      <c r="O1389" s="25">
        <f>IF($C1389="","",IF($P1389="","—",IF($P1389="Valid (Pass)","Valid","Invalid")))</f>
        <v/>
      </c>
      <c r="P1389" s="27" t="n"/>
      <c r="Q1389" s="27" t="n"/>
      <c r="R1389" s="27" t="n"/>
      <c r="S1389" s="27" t="n"/>
      <c r="T1389" s="25">
        <f>IF($C1389="","",IF(OR(ISNUMBER(SEARCH("quick case",$P1389)),ISNUMBER(SEARCH("quick case",$Q1389))),"Yes","No"))</f>
        <v/>
      </c>
      <c r="U1389" s="25">
        <f>IF($O1389="Invalid",HYPERLINK("mailto:"&amp;$G1389&amp;";"&amp;$I1389&amp;"?cc="&amp;Lists!$E$2&amp;"&amp;subject="&amp;_xlfn.ENCODEURL("[INVALID] Quality audit monitoring completed for "&amp;UPPER($C1389))&amp;"&amp;body="&amp;_xlfn.ENCODEURL("Hi "&amp;$F1389&amp;","&amp;CHAR(10)&amp;"Good day!"&amp;CHAR(10)&amp;CHAR(10)&amp;"A quality monitoring audit has been completed for "&amp;$C1389&amp;"."&amp;CHAR(10)&amp;CHAR(10)&amp;"QUALITY AUDIT DETAILS"&amp;CHAR(10)&amp;"Agent Name: "&amp;$C1389&amp;" (EID "&amp;$D1389&amp;")"&amp;CHAR(10)&amp;"Audit Date: "&amp;TEXT($B1389,"yyyy-mm-dd")&amp;CHAR(10)&amp;"Team Leader: "&amp;$F1389&amp;CHAR(10)&amp;"Case Number: "&amp;$M1389&amp;CHAR(10)&amp;"Transaction ID: "&amp;$N1389&amp;CHAR(10)&amp;"Channel / LOB: "&amp;$K1389&amp;" / "&amp;$L1389&amp;CHAR(10)&amp;"Evaluator: "&amp;$S1389&amp;CHAR(10)&amp;CHAR(10)&amp;"INVALID QUALITY AUDIT DETAILS"&amp;CHAR(10)&amp;"Validation: Invalid"&amp;CHAR(10)&amp;"Invalid Reason: "&amp;$P1389&amp;CHAR(10)&amp;"Expected Resolution Code: "&amp;$Q1389&amp;CHAR(10)&amp;"Remarks: "&amp;LEFT($R1389,600)&amp;CHAR(10)&amp;CHAR(10)&amp;"This is an automated notification from HP Mainstream EQMS."),"✉ Open Email Draft"),"")</f>
        <v/>
      </c>
    </row>
    <row r="1390">
      <c r="A1390" s="25">
        <f>IF($C1390="","","AUD-2026-"&amp;TEXT(ROW()-1,"000000"))</f>
        <v/>
      </c>
      <c r="B1390" s="26" t="n"/>
      <c r="C1390" s="27" t="n"/>
      <c r="D1390" s="25">
        <f>IF($C1390="","",IFERROR(IF(INDEX(Roster!$A:$A,MATCH($C1390,Roster!$B:$B,0))="","",INDEX(Roster!$A:$A,MATCH($C1390,Roster!$B:$B,0))&amp;""),"—"))</f>
        <v/>
      </c>
      <c r="E1390" s="25">
        <f>IF($C1390="","",IFERROR(IF(INDEX(Roster!$C:$C,MATCH($C1390,Roster!$B:$B,0))="","",INDEX(Roster!$C:$C,MATCH($C1390,Roster!$B:$B,0))&amp;""),"—"))</f>
        <v/>
      </c>
      <c r="F1390" s="25">
        <f>IF($C1390="","",IFERROR(IF(INDEX(Roster!$D:$D,MATCH($C1390,Roster!$B:$B,0))="","",INDEX(Roster!$D:$D,MATCH($C1390,Roster!$B:$B,0))&amp;""),"—"))</f>
        <v/>
      </c>
      <c r="G1390" s="25">
        <f>IF($C1390="","",IFERROR(IF(INDEX(Roster!$E:$E,MATCH($C1390,Roster!$B:$B,0))="","",INDEX(Roster!$E:$E,MATCH($C1390,Roster!$B:$B,0))&amp;""),"—"))</f>
        <v/>
      </c>
      <c r="H1390" s="25">
        <f>IF($C1390="","",IFERROR(IF(INDEX(Roster!$F:$F,MATCH($C1390,Roster!$B:$B,0))="","",INDEX(Roster!$F:$F,MATCH($C1390,Roster!$B:$B,0))&amp;""),"—"))</f>
        <v/>
      </c>
      <c r="I1390" s="25">
        <f>IF($C1390="","",IFERROR(IF(INDEX(Roster!$G:$G,MATCH($C1390,Roster!$B:$B,0))="","",INDEX(Roster!$G:$G,MATCH($C1390,Roster!$B:$B,0))&amp;""),"—"))</f>
        <v/>
      </c>
      <c r="J1390" s="25">
        <f>IF($C1390="","",IFERROR(IF(INDEX(Roster!$I:$I,MATCH($C1390,Roster!$B:$B,0))="","",INDEX(Roster!$I:$I,MATCH($C1390,Roster!$B:$B,0))&amp;""),"—"))</f>
        <v/>
      </c>
      <c r="K1390">
        <f>IF($C1390="","",IFERROR(IF(INDEX(Roster!$J:$J,MATCH($C1390,Roster!$B:$B,0))="","",INDEX(Roster!$J:$J,MATCH($C1390,Roster!$B:$B,0))&amp;""),"—"))</f>
        <v/>
      </c>
      <c r="L1390">
        <f>IF($C1390="","",IFERROR(IF(INDEX(Roster!$K:$K,MATCH($C1390,Roster!$B:$B,0))="","",INDEX(Roster!$K:$K,MATCH($C1390,Roster!$B:$B,0))&amp;""),"—"))</f>
        <v/>
      </c>
      <c r="M1390" s="27" t="n"/>
      <c r="N1390" s="27" t="n"/>
      <c r="O1390" s="25">
        <f>IF($C1390="","",IF($P1390="","—",IF($P1390="Valid (Pass)","Valid","Invalid")))</f>
        <v/>
      </c>
      <c r="P1390" s="27" t="n"/>
      <c r="Q1390" s="27" t="n"/>
      <c r="R1390" s="27" t="n"/>
      <c r="S1390" s="27" t="n"/>
      <c r="T1390" s="25">
        <f>IF($C1390="","",IF(OR(ISNUMBER(SEARCH("quick case",$P1390)),ISNUMBER(SEARCH("quick case",$Q1390))),"Yes","No"))</f>
        <v/>
      </c>
      <c r="U1390" s="25">
        <f>IF($O1390="Invalid",HYPERLINK("mailto:"&amp;$G1390&amp;";"&amp;$I1390&amp;"?cc="&amp;Lists!$E$2&amp;"&amp;subject="&amp;_xlfn.ENCODEURL("[INVALID] Quality audit monitoring completed for "&amp;UPPER($C1390))&amp;"&amp;body="&amp;_xlfn.ENCODEURL("Hi "&amp;$F1390&amp;","&amp;CHAR(10)&amp;"Good day!"&amp;CHAR(10)&amp;CHAR(10)&amp;"A quality monitoring audit has been completed for "&amp;$C1390&amp;"."&amp;CHAR(10)&amp;CHAR(10)&amp;"QUALITY AUDIT DETAILS"&amp;CHAR(10)&amp;"Agent Name: "&amp;$C1390&amp;" (EID "&amp;$D1390&amp;")"&amp;CHAR(10)&amp;"Audit Date: "&amp;TEXT($B1390,"yyyy-mm-dd")&amp;CHAR(10)&amp;"Team Leader: "&amp;$F1390&amp;CHAR(10)&amp;"Case Number: "&amp;$M1390&amp;CHAR(10)&amp;"Transaction ID: "&amp;$N1390&amp;CHAR(10)&amp;"Channel / LOB: "&amp;$K1390&amp;" / "&amp;$L1390&amp;CHAR(10)&amp;"Evaluator: "&amp;$S1390&amp;CHAR(10)&amp;CHAR(10)&amp;"INVALID QUALITY AUDIT DETAILS"&amp;CHAR(10)&amp;"Validation: Invalid"&amp;CHAR(10)&amp;"Invalid Reason: "&amp;$P1390&amp;CHAR(10)&amp;"Expected Resolution Code: "&amp;$Q1390&amp;CHAR(10)&amp;"Remarks: "&amp;LEFT($R1390,600)&amp;CHAR(10)&amp;CHAR(10)&amp;"This is an automated notification from HP Mainstream EQMS."),"✉ Open Email Draft"),"")</f>
        <v/>
      </c>
    </row>
    <row r="1391">
      <c r="A1391" s="25">
        <f>IF($C1391="","","AUD-2026-"&amp;TEXT(ROW()-1,"000000"))</f>
        <v/>
      </c>
      <c r="B1391" s="26" t="n"/>
      <c r="C1391" s="27" t="n"/>
      <c r="D1391" s="25">
        <f>IF($C1391="","",IFERROR(IF(INDEX(Roster!$A:$A,MATCH($C1391,Roster!$B:$B,0))="","",INDEX(Roster!$A:$A,MATCH($C1391,Roster!$B:$B,0))&amp;""),"—"))</f>
        <v/>
      </c>
      <c r="E1391" s="25">
        <f>IF($C1391="","",IFERROR(IF(INDEX(Roster!$C:$C,MATCH($C1391,Roster!$B:$B,0))="","",INDEX(Roster!$C:$C,MATCH($C1391,Roster!$B:$B,0))&amp;""),"—"))</f>
        <v/>
      </c>
      <c r="F1391" s="25">
        <f>IF($C1391="","",IFERROR(IF(INDEX(Roster!$D:$D,MATCH($C1391,Roster!$B:$B,0))="","",INDEX(Roster!$D:$D,MATCH($C1391,Roster!$B:$B,0))&amp;""),"—"))</f>
        <v/>
      </c>
      <c r="G1391" s="25">
        <f>IF($C1391="","",IFERROR(IF(INDEX(Roster!$E:$E,MATCH($C1391,Roster!$B:$B,0))="","",INDEX(Roster!$E:$E,MATCH($C1391,Roster!$B:$B,0))&amp;""),"—"))</f>
        <v/>
      </c>
      <c r="H1391" s="25">
        <f>IF($C1391="","",IFERROR(IF(INDEX(Roster!$F:$F,MATCH($C1391,Roster!$B:$B,0))="","",INDEX(Roster!$F:$F,MATCH($C1391,Roster!$B:$B,0))&amp;""),"—"))</f>
        <v/>
      </c>
      <c r="I1391" s="25">
        <f>IF($C1391="","",IFERROR(IF(INDEX(Roster!$G:$G,MATCH($C1391,Roster!$B:$B,0))="","",INDEX(Roster!$G:$G,MATCH($C1391,Roster!$B:$B,0))&amp;""),"—"))</f>
        <v/>
      </c>
      <c r="J1391" s="25">
        <f>IF($C1391="","",IFERROR(IF(INDEX(Roster!$I:$I,MATCH($C1391,Roster!$B:$B,0))="","",INDEX(Roster!$I:$I,MATCH($C1391,Roster!$B:$B,0))&amp;""),"—"))</f>
        <v/>
      </c>
      <c r="K1391">
        <f>IF($C1391="","",IFERROR(IF(INDEX(Roster!$J:$J,MATCH($C1391,Roster!$B:$B,0))="","",INDEX(Roster!$J:$J,MATCH($C1391,Roster!$B:$B,0))&amp;""),"—"))</f>
        <v/>
      </c>
      <c r="L1391">
        <f>IF($C1391="","",IFERROR(IF(INDEX(Roster!$K:$K,MATCH($C1391,Roster!$B:$B,0))="","",INDEX(Roster!$K:$K,MATCH($C1391,Roster!$B:$B,0))&amp;""),"—"))</f>
        <v/>
      </c>
      <c r="M1391" s="27" t="n"/>
      <c r="N1391" s="27" t="n"/>
      <c r="O1391" s="25">
        <f>IF($C1391="","",IF($P1391="","—",IF($P1391="Valid (Pass)","Valid","Invalid")))</f>
        <v/>
      </c>
      <c r="P1391" s="27" t="n"/>
      <c r="Q1391" s="27" t="n"/>
      <c r="R1391" s="27" t="n"/>
      <c r="S1391" s="27" t="n"/>
      <c r="T1391" s="25">
        <f>IF($C1391="","",IF(OR(ISNUMBER(SEARCH("quick case",$P1391)),ISNUMBER(SEARCH("quick case",$Q1391))),"Yes","No"))</f>
        <v/>
      </c>
      <c r="U1391" s="25">
        <f>IF($O1391="Invalid",HYPERLINK("mailto:"&amp;$G1391&amp;";"&amp;$I1391&amp;"?cc="&amp;Lists!$E$2&amp;"&amp;subject="&amp;_xlfn.ENCODEURL("[INVALID] Quality audit monitoring completed for "&amp;UPPER($C1391))&amp;"&amp;body="&amp;_xlfn.ENCODEURL("Hi "&amp;$F1391&amp;","&amp;CHAR(10)&amp;"Good day!"&amp;CHAR(10)&amp;CHAR(10)&amp;"A quality monitoring audit has been completed for "&amp;$C1391&amp;"."&amp;CHAR(10)&amp;CHAR(10)&amp;"QUALITY AUDIT DETAILS"&amp;CHAR(10)&amp;"Agent Name: "&amp;$C1391&amp;" (EID "&amp;$D1391&amp;")"&amp;CHAR(10)&amp;"Audit Date: "&amp;TEXT($B1391,"yyyy-mm-dd")&amp;CHAR(10)&amp;"Team Leader: "&amp;$F1391&amp;CHAR(10)&amp;"Case Number: "&amp;$M1391&amp;CHAR(10)&amp;"Transaction ID: "&amp;$N1391&amp;CHAR(10)&amp;"Channel / LOB: "&amp;$K1391&amp;" / "&amp;$L1391&amp;CHAR(10)&amp;"Evaluator: "&amp;$S1391&amp;CHAR(10)&amp;CHAR(10)&amp;"INVALID QUALITY AUDIT DETAILS"&amp;CHAR(10)&amp;"Validation: Invalid"&amp;CHAR(10)&amp;"Invalid Reason: "&amp;$P1391&amp;CHAR(10)&amp;"Expected Resolution Code: "&amp;$Q1391&amp;CHAR(10)&amp;"Remarks: "&amp;LEFT($R1391,600)&amp;CHAR(10)&amp;CHAR(10)&amp;"This is an automated notification from HP Mainstream EQMS."),"✉ Open Email Draft"),"")</f>
        <v/>
      </c>
    </row>
    <row r="1392">
      <c r="A1392" s="25">
        <f>IF($C1392="","","AUD-2026-"&amp;TEXT(ROW()-1,"000000"))</f>
        <v/>
      </c>
      <c r="B1392" s="26" t="n"/>
      <c r="C1392" s="27" t="n"/>
      <c r="D1392" s="25">
        <f>IF($C1392="","",IFERROR(IF(INDEX(Roster!$A:$A,MATCH($C1392,Roster!$B:$B,0))="","",INDEX(Roster!$A:$A,MATCH($C1392,Roster!$B:$B,0))&amp;""),"—"))</f>
        <v/>
      </c>
      <c r="E1392" s="25">
        <f>IF($C1392="","",IFERROR(IF(INDEX(Roster!$C:$C,MATCH($C1392,Roster!$B:$B,0))="","",INDEX(Roster!$C:$C,MATCH($C1392,Roster!$B:$B,0))&amp;""),"—"))</f>
        <v/>
      </c>
      <c r="F1392" s="25">
        <f>IF($C1392="","",IFERROR(IF(INDEX(Roster!$D:$D,MATCH($C1392,Roster!$B:$B,0))="","",INDEX(Roster!$D:$D,MATCH($C1392,Roster!$B:$B,0))&amp;""),"—"))</f>
        <v/>
      </c>
      <c r="G1392" s="25">
        <f>IF($C1392="","",IFERROR(IF(INDEX(Roster!$E:$E,MATCH($C1392,Roster!$B:$B,0))="","",INDEX(Roster!$E:$E,MATCH($C1392,Roster!$B:$B,0))&amp;""),"—"))</f>
        <v/>
      </c>
      <c r="H1392" s="25">
        <f>IF($C1392="","",IFERROR(IF(INDEX(Roster!$F:$F,MATCH($C1392,Roster!$B:$B,0))="","",INDEX(Roster!$F:$F,MATCH($C1392,Roster!$B:$B,0))&amp;""),"—"))</f>
        <v/>
      </c>
      <c r="I1392" s="25">
        <f>IF($C1392="","",IFERROR(IF(INDEX(Roster!$G:$G,MATCH($C1392,Roster!$B:$B,0))="","",INDEX(Roster!$G:$G,MATCH($C1392,Roster!$B:$B,0))&amp;""),"—"))</f>
        <v/>
      </c>
      <c r="J1392" s="25">
        <f>IF($C1392="","",IFERROR(IF(INDEX(Roster!$I:$I,MATCH($C1392,Roster!$B:$B,0))="","",INDEX(Roster!$I:$I,MATCH($C1392,Roster!$B:$B,0))&amp;""),"—"))</f>
        <v/>
      </c>
      <c r="K1392">
        <f>IF($C1392="","",IFERROR(IF(INDEX(Roster!$J:$J,MATCH($C1392,Roster!$B:$B,0))="","",INDEX(Roster!$J:$J,MATCH($C1392,Roster!$B:$B,0))&amp;""),"—"))</f>
        <v/>
      </c>
      <c r="L1392">
        <f>IF($C1392="","",IFERROR(IF(INDEX(Roster!$K:$K,MATCH($C1392,Roster!$B:$B,0))="","",INDEX(Roster!$K:$K,MATCH($C1392,Roster!$B:$B,0))&amp;""),"—"))</f>
        <v/>
      </c>
      <c r="M1392" s="27" t="n"/>
      <c r="N1392" s="27" t="n"/>
      <c r="O1392" s="25">
        <f>IF($C1392="","",IF($P1392="","—",IF($P1392="Valid (Pass)","Valid","Invalid")))</f>
        <v/>
      </c>
      <c r="P1392" s="27" t="n"/>
      <c r="Q1392" s="27" t="n"/>
      <c r="R1392" s="27" t="n"/>
      <c r="S1392" s="27" t="n"/>
      <c r="T1392" s="25">
        <f>IF($C1392="","",IF(OR(ISNUMBER(SEARCH("quick case",$P1392)),ISNUMBER(SEARCH("quick case",$Q1392))),"Yes","No"))</f>
        <v/>
      </c>
      <c r="U1392" s="25">
        <f>IF($O1392="Invalid",HYPERLINK("mailto:"&amp;$G1392&amp;";"&amp;$I1392&amp;"?cc="&amp;Lists!$E$2&amp;"&amp;subject="&amp;_xlfn.ENCODEURL("[INVALID] Quality audit monitoring completed for "&amp;UPPER($C1392))&amp;"&amp;body="&amp;_xlfn.ENCODEURL("Hi "&amp;$F1392&amp;","&amp;CHAR(10)&amp;"Good day!"&amp;CHAR(10)&amp;CHAR(10)&amp;"A quality monitoring audit has been completed for "&amp;$C1392&amp;"."&amp;CHAR(10)&amp;CHAR(10)&amp;"QUALITY AUDIT DETAILS"&amp;CHAR(10)&amp;"Agent Name: "&amp;$C1392&amp;" (EID "&amp;$D1392&amp;")"&amp;CHAR(10)&amp;"Audit Date: "&amp;TEXT($B1392,"yyyy-mm-dd")&amp;CHAR(10)&amp;"Team Leader: "&amp;$F1392&amp;CHAR(10)&amp;"Case Number: "&amp;$M1392&amp;CHAR(10)&amp;"Transaction ID: "&amp;$N1392&amp;CHAR(10)&amp;"Channel / LOB: "&amp;$K1392&amp;" / "&amp;$L1392&amp;CHAR(10)&amp;"Evaluator: "&amp;$S1392&amp;CHAR(10)&amp;CHAR(10)&amp;"INVALID QUALITY AUDIT DETAILS"&amp;CHAR(10)&amp;"Validation: Invalid"&amp;CHAR(10)&amp;"Invalid Reason: "&amp;$P1392&amp;CHAR(10)&amp;"Expected Resolution Code: "&amp;$Q1392&amp;CHAR(10)&amp;"Remarks: "&amp;LEFT($R1392,600)&amp;CHAR(10)&amp;CHAR(10)&amp;"This is an automated notification from HP Mainstream EQMS."),"✉ Open Email Draft"),"")</f>
        <v/>
      </c>
    </row>
    <row r="1393">
      <c r="A1393" s="25">
        <f>IF($C1393="","","AUD-2026-"&amp;TEXT(ROW()-1,"000000"))</f>
        <v/>
      </c>
      <c r="B1393" s="26" t="n"/>
      <c r="C1393" s="27" t="n"/>
      <c r="D1393" s="25">
        <f>IF($C1393="","",IFERROR(IF(INDEX(Roster!$A:$A,MATCH($C1393,Roster!$B:$B,0))="","",INDEX(Roster!$A:$A,MATCH($C1393,Roster!$B:$B,0))&amp;""),"—"))</f>
        <v/>
      </c>
      <c r="E1393" s="25">
        <f>IF($C1393="","",IFERROR(IF(INDEX(Roster!$C:$C,MATCH($C1393,Roster!$B:$B,0))="","",INDEX(Roster!$C:$C,MATCH($C1393,Roster!$B:$B,0))&amp;""),"—"))</f>
        <v/>
      </c>
      <c r="F1393" s="25">
        <f>IF($C1393="","",IFERROR(IF(INDEX(Roster!$D:$D,MATCH($C1393,Roster!$B:$B,0))="","",INDEX(Roster!$D:$D,MATCH($C1393,Roster!$B:$B,0))&amp;""),"—"))</f>
        <v/>
      </c>
      <c r="G1393" s="25">
        <f>IF($C1393="","",IFERROR(IF(INDEX(Roster!$E:$E,MATCH($C1393,Roster!$B:$B,0))="","",INDEX(Roster!$E:$E,MATCH($C1393,Roster!$B:$B,0))&amp;""),"—"))</f>
        <v/>
      </c>
      <c r="H1393" s="25">
        <f>IF($C1393="","",IFERROR(IF(INDEX(Roster!$F:$F,MATCH($C1393,Roster!$B:$B,0))="","",INDEX(Roster!$F:$F,MATCH($C1393,Roster!$B:$B,0))&amp;""),"—"))</f>
        <v/>
      </c>
      <c r="I1393" s="25">
        <f>IF($C1393="","",IFERROR(IF(INDEX(Roster!$G:$G,MATCH($C1393,Roster!$B:$B,0))="","",INDEX(Roster!$G:$G,MATCH($C1393,Roster!$B:$B,0))&amp;""),"—"))</f>
        <v/>
      </c>
      <c r="J1393" s="25">
        <f>IF($C1393="","",IFERROR(IF(INDEX(Roster!$I:$I,MATCH($C1393,Roster!$B:$B,0))="","",INDEX(Roster!$I:$I,MATCH($C1393,Roster!$B:$B,0))&amp;""),"—"))</f>
        <v/>
      </c>
      <c r="K1393">
        <f>IF($C1393="","",IFERROR(IF(INDEX(Roster!$J:$J,MATCH($C1393,Roster!$B:$B,0))="","",INDEX(Roster!$J:$J,MATCH($C1393,Roster!$B:$B,0))&amp;""),"—"))</f>
        <v/>
      </c>
      <c r="L1393">
        <f>IF($C1393="","",IFERROR(IF(INDEX(Roster!$K:$K,MATCH($C1393,Roster!$B:$B,0))="","",INDEX(Roster!$K:$K,MATCH($C1393,Roster!$B:$B,0))&amp;""),"—"))</f>
        <v/>
      </c>
      <c r="M1393" s="27" t="n"/>
      <c r="N1393" s="27" t="n"/>
      <c r="O1393" s="25">
        <f>IF($C1393="","",IF($P1393="","—",IF($P1393="Valid (Pass)","Valid","Invalid")))</f>
        <v/>
      </c>
      <c r="P1393" s="27" t="n"/>
      <c r="Q1393" s="27" t="n"/>
      <c r="R1393" s="27" t="n"/>
      <c r="S1393" s="27" t="n"/>
      <c r="T1393" s="25">
        <f>IF($C1393="","",IF(OR(ISNUMBER(SEARCH("quick case",$P1393)),ISNUMBER(SEARCH("quick case",$Q1393))),"Yes","No"))</f>
        <v/>
      </c>
      <c r="U1393" s="25">
        <f>IF($O1393="Invalid",HYPERLINK("mailto:"&amp;$G1393&amp;";"&amp;$I1393&amp;"?cc="&amp;Lists!$E$2&amp;"&amp;subject="&amp;_xlfn.ENCODEURL("[INVALID] Quality audit monitoring completed for "&amp;UPPER($C1393))&amp;"&amp;body="&amp;_xlfn.ENCODEURL("Hi "&amp;$F1393&amp;","&amp;CHAR(10)&amp;"Good day!"&amp;CHAR(10)&amp;CHAR(10)&amp;"A quality monitoring audit has been completed for "&amp;$C1393&amp;"."&amp;CHAR(10)&amp;CHAR(10)&amp;"QUALITY AUDIT DETAILS"&amp;CHAR(10)&amp;"Agent Name: "&amp;$C1393&amp;" (EID "&amp;$D1393&amp;")"&amp;CHAR(10)&amp;"Audit Date: "&amp;TEXT($B1393,"yyyy-mm-dd")&amp;CHAR(10)&amp;"Team Leader: "&amp;$F1393&amp;CHAR(10)&amp;"Case Number: "&amp;$M1393&amp;CHAR(10)&amp;"Transaction ID: "&amp;$N1393&amp;CHAR(10)&amp;"Channel / LOB: "&amp;$K1393&amp;" / "&amp;$L1393&amp;CHAR(10)&amp;"Evaluator: "&amp;$S1393&amp;CHAR(10)&amp;CHAR(10)&amp;"INVALID QUALITY AUDIT DETAILS"&amp;CHAR(10)&amp;"Validation: Invalid"&amp;CHAR(10)&amp;"Invalid Reason: "&amp;$P1393&amp;CHAR(10)&amp;"Expected Resolution Code: "&amp;$Q1393&amp;CHAR(10)&amp;"Remarks: "&amp;LEFT($R1393,600)&amp;CHAR(10)&amp;CHAR(10)&amp;"This is an automated notification from HP Mainstream EQMS."),"✉ Open Email Draft"),"")</f>
        <v/>
      </c>
    </row>
    <row r="1394">
      <c r="A1394" s="25">
        <f>IF($C1394="","","AUD-2026-"&amp;TEXT(ROW()-1,"000000"))</f>
        <v/>
      </c>
      <c r="B1394" s="26" t="n"/>
      <c r="C1394" s="27" t="n"/>
      <c r="D1394" s="25">
        <f>IF($C1394="","",IFERROR(IF(INDEX(Roster!$A:$A,MATCH($C1394,Roster!$B:$B,0))="","",INDEX(Roster!$A:$A,MATCH($C1394,Roster!$B:$B,0))&amp;""),"—"))</f>
        <v/>
      </c>
      <c r="E1394" s="25">
        <f>IF($C1394="","",IFERROR(IF(INDEX(Roster!$C:$C,MATCH($C1394,Roster!$B:$B,0))="","",INDEX(Roster!$C:$C,MATCH($C1394,Roster!$B:$B,0))&amp;""),"—"))</f>
        <v/>
      </c>
      <c r="F1394" s="25">
        <f>IF($C1394="","",IFERROR(IF(INDEX(Roster!$D:$D,MATCH($C1394,Roster!$B:$B,0))="","",INDEX(Roster!$D:$D,MATCH($C1394,Roster!$B:$B,0))&amp;""),"—"))</f>
        <v/>
      </c>
      <c r="G1394" s="25">
        <f>IF($C1394="","",IFERROR(IF(INDEX(Roster!$E:$E,MATCH($C1394,Roster!$B:$B,0))="","",INDEX(Roster!$E:$E,MATCH($C1394,Roster!$B:$B,0))&amp;""),"—"))</f>
        <v/>
      </c>
      <c r="H1394" s="25">
        <f>IF($C1394="","",IFERROR(IF(INDEX(Roster!$F:$F,MATCH($C1394,Roster!$B:$B,0))="","",INDEX(Roster!$F:$F,MATCH($C1394,Roster!$B:$B,0))&amp;""),"—"))</f>
        <v/>
      </c>
      <c r="I1394" s="25">
        <f>IF($C1394="","",IFERROR(IF(INDEX(Roster!$G:$G,MATCH($C1394,Roster!$B:$B,0))="","",INDEX(Roster!$G:$G,MATCH($C1394,Roster!$B:$B,0))&amp;""),"—"))</f>
        <v/>
      </c>
      <c r="J1394" s="25">
        <f>IF($C1394="","",IFERROR(IF(INDEX(Roster!$I:$I,MATCH($C1394,Roster!$B:$B,0))="","",INDEX(Roster!$I:$I,MATCH($C1394,Roster!$B:$B,0))&amp;""),"—"))</f>
        <v/>
      </c>
      <c r="K1394">
        <f>IF($C1394="","",IFERROR(IF(INDEX(Roster!$J:$J,MATCH($C1394,Roster!$B:$B,0))="","",INDEX(Roster!$J:$J,MATCH($C1394,Roster!$B:$B,0))&amp;""),"—"))</f>
        <v/>
      </c>
      <c r="L1394">
        <f>IF($C1394="","",IFERROR(IF(INDEX(Roster!$K:$K,MATCH($C1394,Roster!$B:$B,0))="","",INDEX(Roster!$K:$K,MATCH($C1394,Roster!$B:$B,0))&amp;""),"—"))</f>
        <v/>
      </c>
      <c r="M1394" s="27" t="n"/>
      <c r="N1394" s="27" t="n"/>
      <c r="O1394" s="25">
        <f>IF($C1394="","",IF($P1394="","—",IF($P1394="Valid (Pass)","Valid","Invalid")))</f>
        <v/>
      </c>
      <c r="P1394" s="27" t="n"/>
      <c r="Q1394" s="27" t="n"/>
      <c r="R1394" s="27" t="n"/>
      <c r="S1394" s="27" t="n"/>
      <c r="T1394" s="25">
        <f>IF($C1394="","",IF(OR(ISNUMBER(SEARCH("quick case",$P1394)),ISNUMBER(SEARCH("quick case",$Q1394))),"Yes","No"))</f>
        <v/>
      </c>
      <c r="U1394" s="25">
        <f>IF($O1394="Invalid",HYPERLINK("mailto:"&amp;$G1394&amp;";"&amp;$I1394&amp;"?cc="&amp;Lists!$E$2&amp;"&amp;subject="&amp;_xlfn.ENCODEURL("[INVALID] Quality audit monitoring completed for "&amp;UPPER($C1394))&amp;"&amp;body="&amp;_xlfn.ENCODEURL("Hi "&amp;$F1394&amp;","&amp;CHAR(10)&amp;"Good day!"&amp;CHAR(10)&amp;CHAR(10)&amp;"A quality monitoring audit has been completed for "&amp;$C1394&amp;"."&amp;CHAR(10)&amp;CHAR(10)&amp;"QUALITY AUDIT DETAILS"&amp;CHAR(10)&amp;"Agent Name: "&amp;$C1394&amp;" (EID "&amp;$D1394&amp;")"&amp;CHAR(10)&amp;"Audit Date: "&amp;TEXT($B1394,"yyyy-mm-dd")&amp;CHAR(10)&amp;"Team Leader: "&amp;$F1394&amp;CHAR(10)&amp;"Case Number: "&amp;$M1394&amp;CHAR(10)&amp;"Transaction ID: "&amp;$N1394&amp;CHAR(10)&amp;"Channel / LOB: "&amp;$K1394&amp;" / "&amp;$L1394&amp;CHAR(10)&amp;"Evaluator: "&amp;$S1394&amp;CHAR(10)&amp;CHAR(10)&amp;"INVALID QUALITY AUDIT DETAILS"&amp;CHAR(10)&amp;"Validation: Invalid"&amp;CHAR(10)&amp;"Invalid Reason: "&amp;$P1394&amp;CHAR(10)&amp;"Expected Resolution Code: "&amp;$Q1394&amp;CHAR(10)&amp;"Remarks: "&amp;LEFT($R1394,600)&amp;CHAR(10)&amp;CHAR(10)&amp;"This is an automated notification from HP Mainstream EQMS."),"✉ Open Email Draft"),"")</f>
        <v/>
      </c>
    </row>
    <row r="1395">
      <c r="A1395" s="25">
        <f>IF($C1395="","","AUD-2026-"&amp;TEXT(ROW()-1,"000000"))</f>
        <v/>
      </c>
      <c r="B1395" s="26" t="n"/>
      <c r="C1395" s="27" t="n"/>
      <c r="D1395" s="25">
        <f>IF($C1395="","",IFERROR(IF(INDEX(Roster!$A:$A,MATCH($C1395,Roster!$B:$B,0))="","",INDEX(Roster!$A:$A,MATCH($C1395,Roster!$B:$B,0))&amp;""),"—"))</f>
        <v/>
      </c>
      <c r="E1395" s="25">
        <f>IF($C1395="","",IFERROR(IF(INDEX(Roster!$C:$C,MATCH($C1395,Roster!$B:$B,0))="","",INDEX(Roster!$C:$C,MATCH($C1395,Roster!$B:$B,0))&amp;""),"—"))</f>
        <v/>
      </c>
      <c r="F1395" s="25">
        <f>IF($C1395="","",IFERROR(IF(INDEX(Roster!$D:$D,MATCH($C1395,Roster!$B:$B,0))="","",INDEX(Roster!$D:$D,MATCH($C1395,Roster!$B:$B,0))&amp;""),"—"))</f>
        <v/>
      </c>
      <c r="G1395" s="25">
        <f>IF($C1395="","",IFERROR(IF(INDEX(Roster!$E:$E,MATCH($C1395,Roster!$B:$B,0))="","",INDEX(Roster!$E:$E,MATCH($C1395,Roster!$B:$B,0))&amp;""),"—"))</f>
        <v/>
      </c>
      <c r="H1395" s="25">
        <f>IF($C1395="","",IFERROR(IF(INDEX(Roster!$F:$F,MATCH($C1395,Roster!$B:$B,0))="","",INDEX(Roster!$F:$F,MATCH($C1395,Roster!$B:$B,0))&amp;""),"—"))</f>
        <v/>
      </c>
      <c r="I1395" s="25">
        <f>IF($C1395="","",IFERROR(IF(INDEX(Roster!$G:$G,MATCH($C1395,Roster!$B:$B,0))="","",INDEX(Roster!$G:$G,MATCH($C1395,Roster!$B:$B,0))&amp;""),"—"))</f>
        <v/>
      </c>
      <c r="J1395" s="25">
        <f>IF($C1395="","",IFERROR(IF(INDEX(Roster!$I:$I,MATCH($C1395,Roster!$B:$B,0))="","",INDEX(Roster!$I:$I,MATCH($C1395,Roster!$B:$B,0))&amp;""),"—"))</f>
        <v/>
      </c>
      <c r="K1395">
        <f>IF($C1395="","",IFERROR(IF(INDEX(Roster!$J:$J,MATCH($C1395,Roster!$B:$B,0))="","",INDEX(Roster!$J:$J,MATCH($C1395,Roster!$B:$B,0))&amp;""),"—"))</f>
        <v/>
      </c>
      <c r="L1395">
        <f>IF($C1395="","",IFERROR(IF(INDEX(Roster!$K:$K,MATCH($C1395,Roster!$B:$B,0))="","",INDEX(Roster!$K:$K,MATCH($C1395,Roster!$B:$B,0))&amp;""),"—"))</f>
        <v/>
      </c>
      <c r="M1395" s="27" t="n"/>
      <c r="N1395" s="27" t="n"/>
      <c r="O1395" s="25">
        <f>IF($C1395="","",IF($P1395="","—",IF($P1395="Valid (Pass)","Valid","Invalid")))</f>
        <v/>
      </c>
      <c r="P1395" s="27" t="n"/>
      <c r="Q1395" s="27" t="n"/>
      <c r="R1395" s="27" t="n"/>
      <c r="S1395" s="27" t="n"/>
      <c r="T1395" s="25">
        <f>IF($C1395="","",IF(OR(ISNUMBER(SEARCH("quick case",$P1395)),ISNUMBER(SEARCH("quick case",$Q1395))),"Yes","No"))</f>
        <v/>
      </c>
      <c r="U1395" s="25">
        <f>IF($O1395="Invalid",HYPERLINK("mailto:"&amp;$G1395&amp;";"&amp;$I1395&amp;"?cc="&amp;Lists!$E$2&amp;"&amp;subject="&amp;_xlfn.ENCODEURL("[INVALID] Quality audit monitoring completed for "&amp;UPPER($C1395))&amp;"&amp;body="&amp;_xlfn.ENCODEURL("Hi "&amp;$F1395&amp;","&amp;CHAR(10)&amp;"Good day!"&amp;CHAR(10)&amp;CHAR(10)&amp;"A quality monitoring audit has been completed for "&amp;$C1395&amp;"."&amp;CHAR(10)&amp;CHAR(10)&amp;"QUALITY AUDIT DETAILS"&amp;CHAR(10)&amp;"Agent Name: "&amp;$C1395&amp;" (EID "&amp;$D1395&amp;")"&amp;CHAR(10)&amp;"Audit Date: "&amp;TEXT($B1395,"yyyy-mm-dd")&amp;CHAR(10)&amp;"Team Leader: "&amp;$F1395&amp;CHAR(10)&amp;"Case Number: "&amp;$M1395&amp;CHAR(10)&amp;"Transaction ID: "&amp;$N1395&amp;CHAR(10)&amp;"Channel / LOB: "&amp;$K1395&amp;" / "&amp;$L1395&amp;CHAR(10)&amp;"Evaluator: "&amp;$S1395&amp;CHAR(10)&amp;CHAR(10)&amp;"INVALID QUALITY AUDIT DETAILS"&amp;CHAR(10)&amp;"Validation: Invalid"&amp;CHAR(10)&amp;"Invalid Reason: "&amp;$P1395&amp;CHAR(10)&amp;"Expected Resolution Code: "&amp;$Q1395&amp;CHAR(10)&amp;"Remarks: "&amp;LEFT($R1395,600)&amp;CHAR(10)&amp;CHAR(10)&amp;"This is an automated notification from HP Mainstream EQMS."),"✉ Open Email Draft"),"")</f>
        <v/>
      </c>
    </row>
    <row r="1396">
      <c r="A1396" s="25">
        <f>IF($C1396="","","AUD-2026-"&amp;TEXT(ROW()-1,"000000"))</f>
        <v/>
      </c>
      <c r="B1396" s="26" t="n"/>
      <c r="C1396" s="27" t="n"/>
      <c r="D1396" s="25">
        <f>IF($C1396="","",IFERROR(IF(INDEX(Roster!$A:$A,MATCH($C1396,Roster!$B:$B,0))="","",INDEX(Roster!$A:$A,MATCH($C1396,Roster!$B:$B,0))&amp;""),"—"))</f>
        <v/>
      </c>
      <c r="E1396" s="25">
        <f>IF($C1396="","",IFERROR(IF(INDEX(Roster!$C:$C,MATCH($C1396,Roster!$B:$B,0))="","",INDEX(Roster!$C:$C,MATCH($C1396,Roster!$B:$B,0))&amp;""),"—"))</f>
        <v/>
      </c>
      <c r="F1396" s="25">
        <f>IF($C1396="","",IFERROR(IF(INDEX(Roster!$D:$D,MATCH($C1396,Roster!$B:$B,0))="","",INDEX(Roster!$D:$D,MATCH($C1396,Roster!$B:$B,0))&amp;""),"—"))</f>
        <v/>
      </c>
      <c r="G1396" s="25">
        <f>IF($C1396="","",IFERROR(IF(INDEX(Roster!$E:$E,MATCH($C1396,Roster!$B:$B,0))="","",INDEX(Roster!$E:$E,MATCH($C1396,Roster!$B:$B,0))&amp;""),"—"))</f>
        <v/>
      </c>
      <c r="H1396" s="25">
        <f>IF($C1396="","",IFERROR(IF(INDEX(Roster!$F:$F,MATCH($C1396,Roster!$B:$B,0))="","",INDEX(Roster!$F:$F,MATCH($C1396,Roster!$B:$B,0))&amp;""),"—"))</f>
        <v/>
      </c>
      <c r="I1396" s="25">
        <f>IF($C1396="","",IFERROR(IF(INDEX(Roster!$G:$G,MATCH($C1396,Roster!$B:$B,0))="","",INDEX(Roster!$G:$G,MATCH($C1396,Roster!$B:$B,0))&amp;""),"—"))</f>
        <v/>
      </c>
      <c r="J1396" s="25">
        <f>IF($C1396="","",IFERROR(IF(INDEX(Roster!$I:$I,MATCH($C1396,Roster!$B:$B,0))="","",INDEX(Roster!$I:$I,MATCH($C1396,Roster!$B:$B,0))&amp;""),"—"))</f>
        <v/>
      </c>
      <c r="K1396">
        <f>IF($C1396="","",IFERROR(IF(INDEX(Roster!$J:$J,MATCH($C1396,Roster!$B:$B,0))="","",INDEX(Roster!$J:$J,MATCH($C1396,Roster!$B:$B,0))&amp;""),"—"))</f>
        <v/>
      </c>
      <c r="L1396">
        <f>IF($C1396="","",IFERROR(IF(INDEX(Roster!$K:$K,MATCH($C1396,Roster!$B:$B,0))="","",INDEX(Roster!$K:$K,MATCH($C1396,Roster!$B:$B,0))&amp;""),"—"))</f>
        <v/>
      </c>
      <c r="M1396" s="27" t="n"/>
      <c r="N1396" s="27" t="n"/>
      <c r="O1396" s="25">
        <f>IF($C1396="","",IF($P1396="","—",IF($P1396="Valid (Pass)","Valid","Invalid")))</f>
        <v/>
      </c>
      <c r="P1396" s="27" t="n"/>
      <c r="Q1396" s="27" t="n"/>
      <c r="R1396" s="27" t="n"/>
      <c r="S1396" s="27" t="n"/>
      <c r="T1396" s="25">
        <f>IF($C1396="","",IF(OR(ISNUMBER(SEARCH("quick case",$P1396)),ISNUMBER(SEARCH("quick case",$Q1396))),"Yes","No"))</f>
        <v/>
      </c>
      <c r="U1396" s="25">
        <f>IF($O1396="Invalid",HYPERLINK("mailto:"&amp;$G1396&amp;";"&amp;$I1396&amp;"?cc="&amp;Lists!$E$2&amp;"&amp;subject="&amp;_xlfn.ENCODEURL("[INVALID] Quality audit monitoring completed for "&amp;UPPER($C1396))&amp;"&amp;body="&amp;_xlfn.ENCODEURL("Hi "&amp;$F1396&amp;","&amp;CHAR(10)&amp;"Good day!"&amp;CHAR(10)&amp;CHAR(10)&amp;"A quality monitoring audit has been completed for "&amp;$C1396&amp;"."&amp;CHAR(10)&amp;CHAR(10)&amp;"QUALITY AUDIT DETAILS"&amp;CHAR(10)&amp;"Agent Name: "&amp;$C1396&amp;" (EID "&amp;$D1396&amp;")"&amp;CHAR(10)&amp;"Audit Date: "&amp;TEXT($B1396,"yyyy-mm-dd")&amp;CHAR(10)&amp;"Team Leader: "&amp;$F1396&amp;CHAR(10)&amp;"Case Number: "&amp;$M1396&amp;CHAR(10)&amp;"Transaction ID: "&amp;$N1396&amp;CHAR(10)&amp;"Channel / LOB: "&amp;$K1396&amp;" / "&amp;$L1396&amp;CHAR(10)&amp;"Evaluator: "&amp;$S1396&amp;CHAR(10)&amp;CHAR(10)&amp;"INVALID QUALITY AUDIT DETAILS"&amp;CHAR(10)&amp;"Validation: Invalid"&amp;CHAR(10)&amp;"Invalid Reason: "&amp;$P1396&amp;CHAR(10)&amp;"Expected Resolution Code: "&amp;$Q1396&amp;CHAR(10)&amp;"Remarks: "&amp;LEFT($R1396,600)&amp;CHAR(10)&amp;CHAR(10)&amp;"This is an automated notification from HP Mainstream EQMS."),"✉ Open Email Draft"),"")</f>
        <v/>
      </c>
    </row>
    <row r="1397">
      <c r="A1397" s="25">
        <f>IF($C1397="","","AUD-2026-"&amp;TEXT(ROW()-1,"000000"))</f>
        <v/>
      </c>
      <c r="B1397" s="26" t="n"/>
      <c r="C1397" s="27" t="n"/>
      <c r="D1397" s="25">
        <f>IF($C1397="","",IFERROR(IF(INDEX(Roster!$A:$A,MATCH($C1397,Roster!$B:$B,0))="","",INDEX(Roster!$A:$A,MATCH($C1397,Roster!$B:$B,0))&amp;""),"—"))</f>
        <v/>
      </c>
      <c r="E1397" s="25">
        <f>IF($C1397="","",IFERROR(IF(INDEX(Roster!$C:$C,MATCH($C1397,Roster!$B:$B,0))="","",INDEX(Roster!$C:$C,MATCH($C1397,Roster!$B:$B,0))&amp;""),"—"))</f>
        <v/>
      </c>
      <c r="F1397" s="25">
        <f>IF($C1397="","",IFERROR(IF(INDEX(Roster!$D:$D,MATCH($C1397,Roster!$B:$B,0))="","",INDEX(Roster!$D:$D,MATCH($C1397,Roster!$B:$B,0))&amp;""),"—"))</f>
        <v/>
      </c>
      <c r="G1397" s="25">
        <f>IF($C1397="","",IFERROR(IF(INDEX(Roster!$E:$E,MATCH($C1397,Roster!$B:$B,0))="","",INDEX(Roster!$E:$E,MATCH($C1397,Roster!$B:$B,0))&amp;""),"—"))</f>
        <v/>
      </c>
      <c r="H1397" s="25">
        <f>IF($C1397="","",IFERROR(IF(INDEX(Roster!$F:$F,MATCH($C1397,Roster!$B:$B,0))="","",INDEX(Roster!$F:$F,MATCH($C1397,Roster!$B:$B,0))&amp;""),"—"))</f>
        <v/>
      </c>
      <c r="I1397" s="25">
        <f>IF($C1397="","",IFERROR(IF(INDEX(Roster!$G:$G,MATCH($C1397,Roster!$B:$B,0))="","",INDEX(Roster!$G:$G,MATCH($C1397,Roster!$B:$B,0))&amp;""),"—"))</f>
        <v/>
      </c>
      <c r="J1397" s="25">
        <f>IF($C1397="","",IFERROR(IF(INDEX(Roster!$I:$I,MATCH($C1397,Roster!$B:$B,0))="","",INDEX(Roster!$I:$I,MATCH($C1397,Roster!$B:$B,0))&amp;""),"—"))</f>
        <v/>
      </c>
      <c r="K1397">
        <f>IF($C1397="","",IFERROR(IF(INDEX(Roster!$J:$J,MATCH($C1397,Roster!$B:$B,0))="","",INDEX(Roster!$J:$J,MATCH($C1397,Roster!$B:$B,0))&amp;""),"—"))</f>
        <v/>
      </c>
      <c r="L1397">
        <f>IF($C1397="","",IFERROR(IF(INDEX(Roster!$K:$K,MATCH($C1397,Roster!$B:$B,0))="","",INDEX(Roster!$K:$K,MATCH($C1397,Roster!$B:$B,0))&amp;""),"—"))</f>
        <v/>
      </c>
      <c r="M1397" s="27" t="n"/>
      <c r="N1397" s="27" t="n"/>
      <c r="O1397" s="25">
        <f>IF($C1397="","",IF($P1397="","—",IF($P1397="Valid (Pass)","Valid","Invalid")))</f>
        <v/>
      </c>
      <c r="P1397" s="27" t="n"/>
      <c r="Q1397" s="27" t="n"/>
      <c r="R1397" s="27" t="n"/>
      <c r="S1397" s="27" t="n"/>
      <c r="T1397" s="25">
        <f>IF($C1397="","",IF(OR(ISNUMBER(SEARCH("quick case",$P1397)),ISNUMBER(SEARCH("quick case",$Q1397))),"Yes","No"))</f>
        <v/>
      </c>
      <c r="U1397" s="25">
        <f>IF($O1397="Invalid",HYPERLINK("mailto:"&amp;$G1397&amp;";"&amp;$I1397&amp;"?cc="&amp;Lists!$E$2&amp;"&amp;subject="&amp;_xlfn.ENCODEURL("[INVALID] Quality audit monitoring completed for "&amp;UPPER($C1397))&amp;"&amp;body="&amp;_xlfn.ENCODEURL("Hi "&amp;$F1397&amp;","&amp;CHAR(10)&amp;"Good day!"&amp;CHAR(10)&amp;CHAR(10)&amp;"A quality monitoring audit has been completed for "&amp;$C1397&amp;"."&amp;CHAR(10)&amp;CHAR(10)&amp;"QUALITY AUDIT DETAILS"&amp;CHAR(10)&amp;"Agent Name: "&amp;$C1397&amp;" (EID "&amp;$D1397&amp;")"&amp;CHAR(10)&amp;"Audit Date: "&amp;TEXT($B1397,"yyyy-mm-dd")&amp;CHAR(10)&amp;"Team Leader: "&amp;$F1397&amp;CHAR(10)&amp;"Case Number: "&amp;$M1397&amp;CHAR(10)&amp;"Transaction ID: "&amp;$N1397&amp;CHAR(10)&amp;"Channel / LOB: "&amp;$K1397&amp;" / "&amp;$L1397&amp;CHAR(10)&amp;"Evaluator: "&amp;$S1397&amp;CHAR(10)&amp;CHAR(10)&amp;"INVALID QUALITY AUDIT DETAILS"&amp;CHAR(10)&amp;"Validation: Invalid"&amp;CHAR(10)&amp;"Invalid Reason: "&amp;$P1397&amp;CHAR(10)&amp;"Expected Resolution Code: "&amp;$Q1397&amp;CHAR(10)&amp;"Remarks: "&amp;LEFT($R1397,600)&amp;CHAR(10)&amp;CHAR(10)&amp;"This is an automated notification from HP Mainstream EQMS."),"✉ Open Email Draft"),"")</f>
        <v/>
      </c>
    </row>
    <row r="1398">
      <c r="A1398" s="25">
        <f>IF($C1398="","","AUD-2026-"&amp;TEXT(ROW()-1,"000000"))</f>
        <v/>
      </c>
      <c r="B1398" s="26" t="n"/>
      <c r="C1398" s="27" t="n"/>
      <c r="D1398" s="25">
        <f>IF($C1398="","",IFERROR(IF(INDEX(Roster!$A:$A,MATCH($C1398,Roster!$B:$B,0))="","",INDEX(Roster!$A:$A,MATCH($C1398,Roster!$B:$B,0))&amp;""),"—"))</f>
        <v/>
      </c>
      <c r="E1398" s="25">
        <f>IF($C1398="","",IFERROR(IF(INDEX(Roster!$C:$C,MATCH($C1398,Roster!$B:$B,0))="","",INDEX(Roster!$C:$C,MATCH($C1398,Roster!$B:$B,0))&amp;""),"—"))</f>
        <v/>
      </c>
      <c r="F1398" s="25">
        <f>IF($C1398="","",IFERROR(IF(INDEX(Roster!$D:$D,MATCH($C1398,Roster!$B:$B,0))="","",INDEX(Roster!$D:$D,MATCH($C1398,Roster!$B:$B,0))&amp;""),"—"))</f>
        <v/>
      </c>
      <c r="G1398" s="25">
        <f>IF($C1398="","",IFERROR(IF(INDEX(Roster!$E:$E,MATCH($C1398,Roster!$B:$B,0))="","",INDEX(Roster!$E:$E,MATCH($C1398,Roster!$B:$B,0))&amp;""),"—"))</f>
        <v/>
      </c>
      <c r="H1398" s="25">
        <f>IF($C1398="","",IFERROR(IF(INDEX(Roster!$F:$F,MATCH($C1398,Roster!$B:$B,0))="","",INDEX(Roster!$F:$F,MATCH($C1398,Roster!$B:$B,0))&amp;""),"—"))</f>
        <v/>
      </c>
      <c r="I1398" s="25">
        <f>IF($C1398="","",IFERROR(IF(INDEX(Roster!$G:$G,MATCH($C1398,Roster!$B:$B,0))="","",INDEX(Roster!$G:$G,MATCH($C1398,Roster!$B:$B,0))&amp;""),"—"))</f>
        <v/>
      </c>
      <c r="J1398" s="25">
        <f>IF($C1398="","",IFERROR(IF(INDEX(Roster!$I:$I,MATCH($C1398,Roster!$B:$B,0))="","",INDEX(Roster!$I:$I,MATCH($C1398,Roster!$B:$B,0))&amp;""),"—"))</f>
        <v/>
      </c>
      <c r="K1398">
        <f>IF($C1398="","",IFERROR(IF(INDEX(Roster!$J:$J,MATCH($C1398,Roster!$B:$B,0))="","",INDEX(Roster!$J:$J,MATCH($C1398,Roster!$B:$B,0))&amp;""),"—"))</f>
        <v/>
      </c>
      <c r="L1398">
        <f>IF($C1398="","",IFERROR(IF(INDEX(Roster!$K:$K,MATCH($C1398,Roster!$B:$B,0))="","",INDEX(Roster!$K:$K,MATCH($C1398,Roster!$B:$B,0))&amp;""),"—"))</f>
        <v/>
      </c>
      <c r="M1398" s="27" t="n"/>
      <c r="N1398" s="27" t="n"/>
      <c r="O1398" s="25">
        <f>IF($C1398="","",IF($P1398="","—",IF($P1398="Valid (Pass)","Valid","Invalid")))</f>
        <v/>
      </c>
      <c r="P1398" s="27" t="n"/>
      <c r="Q1398" s="27" t="n"/>
      <c r="R1398" s="27" t="n"/>
      <c r="S1398" s="27" t="n"/>
      <c r="T1398" s="25">
        <f>IF($C1398="","",IF(OR(ISNUMBER(SEARCH("quick case",$P1398)),ISNUMBER(SEARCH("quick case",$Q1398))),"Yes","No"))</f>
        <v/>
      </c>
      <c r="U1398" s="25">
        <f>IF($O1398="Invalid",HYPERLINK("mailto:"&amp;$G1398&amp;";"&amp;$I1398&amp;"?cc="&amp;Lists!$E$2&amp;"&amp;subject="&amp;_xlfn.ENCODEURL("[INVALID] Quality audit monitoring completed for "&amp;UPPER($C1398))&amp;"&amp;body="&amp;_xlfn.ENCODEURL("Hi "&amp;$F1398&amp;","&amp;CHAR(10)&amp;"Good day!"&amp;CHAR(10)&amp;CHAR(10)&amp;"A quality monitoring audit has been completed for "&amp;$C1398&amp;"."&amp;CHAR(10)&amp;CHAR(10)&amp;"QUALITY AUDIT DETAILS"&amp;CHAR(10)&amp;"Agent Name: "&amp;$C1398&amp;" (EID "&amp;$D1398&amp;")"&amp;CHAR(10)&amp;"Audit Date: "&amp;TEXT($B1398,"yyyy-mm-dd")&amp;CHAR(10)&amp;"Team Leader: "&amp;$F1398&amp;CHAR(10)&amp;"Case Number: "&amp;$M1398&amp;CHAR(10)&amp;"Transaction ID: "&amp;$N1398&amp;CHAR(10)&amp;"Channel / LOB: "&amp;$K1398&amp;" / "&amp;$L1398&amp;CHAR(10)&amp;"Evaluator: "&amp;$S1398&amp;CHAR(10)&amp;CHAR(10)&amp;"INVALID QUALITY AUDIT DETAILS"&amp;CHAR(10)&amp;"Validation: Invalid"&amp;CHAR(10)&amp;"Invalid Reason: "&amp;$P1398&amp;CHAR(10)&amp;"Expected Resolution Code: "&amp;$Q1398&amp;CHAR(10)&amp;"Remarks: "&amp;LEFT($R1398,600)&amp;CHAR(10)&amp;CHAR(10)&amp;"This is an automated notification from HP Mainstream EQMS."),"✉ Open Email Draft"),"")</f>
        <v/>
      </c>
    </row>
    <row r="1399">
      <c r="A1399" s="25">
        <f>IF($C1399="","","AUD-2026-"&amp;TEXT(ROW()-1,"000000"))</f>
        <v/>
      </c>
      <c r="B1399" s="26" t="n"/>
      <c r="C1399" s="27" t="n"/>
      <c r="D1399" s="25">
        <f>IF($C1399="","",IFERROR(IF(INDEX(Roster!$A:$A,MATCH($C1399,Roster!$B:$B,0))="","",INDEX(Roster!$A:$A,MATCH($C1399,Roster!$B:$B,0))&amp;""),"—"))</f>
        <v/>
      </c>
      <c r="E1399" s="25">
        <f>IF($C1399="","",IFERROR(IF(INDEX(Roster!$C:$C,MATCH($C1399,Roster!$B:$B,0))="","",INDEX(Roster!$C:$C,MATCH($C1399,Roster!$B:$B,0))&amp;""),"—"))</f>
        <v/>
      </c>
      <c r="F1399" s="25">
        <f>IF($C1399="","",IFERROR(IF(INDEX(Roster!$D:$D,MATCH($C1399,Roster!$B:$B,0))="","",INDEX(Roster!$D:$D,MATCH($C1399,Roster!$B:$B,0))&amp;""),"—"))</f>
        <v/>
      </c>
      <c r="G1399" s="25">
        <f>IF($C1399="","",IFERROR(IF(INDEX(Roster!$E:$E,MATCH($C1399,Roster!$B:$B,0))="","",INDEX(Roster!$E:$E,MATCH($C1399,Roster!$B:$B,0))&amp;""),"—"))</f>
        <v/>
      </c>
      <c r="H1399" s="25">
        <f>IF($C1399="","",IFERROR(IF(INDEX(Roster!$F:$F,MATCH($C1399,Roster!$B:$B,0))="","",INDEX(Roster!$F:$F,MATCH($C1399,Roster!$B:$B,0))&amp;""),"—"))</f>
        <v/>
      </c>
      <c r="I1399" s="25">
        <f>IF($C1399="","",IFERROR(IF(INDEX(Roster!$G:$G,MATCH($C1399,Roster!$B:$B,0))="","",INDEX(Roster!$G:$G,MATCH($C1399,Roster!$B:$B,0))&amp;""),"—"))</f>
        <v/>
      </c>
      <c r="J1399" s="25">
        <f>IF($C1399="","",IFERROR(IF(INDEX(Roster!$I:$I,MATCH($C1399,Roster!$B:$B,0))="","",INDEX(Roster!$I:$I,MATCH($C1399,Roster!$B:$B,0))&amp;""),"—"))</f>
        <v/>
      </c>
      <c r="K1399">
        <f>IF($C1399="","",IFERROR(IF(INDEX(Roster!$J:$J,MATCH($C1399,Roster!$B:$B,0))="","",INDEX(Roster!$J:$J,MATCH($C1399,Roster!$B:$B,0))&amp;""),"—"))</f>
        <v/>
      </c>
      <c r="L1399">
        <f>IF($C1399="","",IFERROR(IF(INDEX(Roster!$K:$K,MATCH($C1399,Roster!$B:$B,0))="","",INDEX(Roster!$K:$K,MATCH($C1399,Roster!$B:$B,0))&amp;""),"—"))</f>
        <v/>
      </c>
      <c r="M1399" s="27" t="n"/>
      <c r="N1399" s="27" t="n"/>
      <c r="O1399" s="25">
        <f>IF($C1399="","",IF($P1399="","—",IF($P1399="Valid (Pass)","Valid","Invalid")))</f>
        <v/>
      </c>
      <c r="P1399" s="27" t="n"/>
      <c r="Q1399" s="27" t="n"/>
      <c r="R1399" s="27" t="n"/>
      <c r="S1399" s="27" t="n"/>
      <c r="T1399" s="25">
        <f>IF($C1399="","",IF(OR(ISNUMBER(SEARCH("quick case",$P1399)),ISNUMBER(SEARCH("quick case",$Q1399))),"Yes","No"))</f>
        <v/>
      </c>
      <c r="U1399" s="25">
        <f>IF($O1399="Invalid",HYPERLINK("mailto:"&amp;$G1399&amp;";"&amp;$I1399&amp;"?cc="&amp;Lists!$E$2&amp;"&amp;subject="&amp;_xlfn.ENCODEURL("[INVALID] Quality audit monitoring completed for "&amp;UPPER($C1399))&amp;"&amp;body="&amp;_xlfn.ENCODEURL("Hi "&amp;$F1399&amp;","&amp;CHAR(10)&amp;"Good day!"&amp;CHAR(10)&amp;CHAR(10)&amp;"A quality monitoring audit has been completed for "&amp;$C1399&amp;"."&amp;CHAR(10)&amp;CHAR(10)&amp;"QUALITY AUDIT DETAILS"&amp;CHAR(10)&amp;"Agent Name: "&amp;$C1399&amp;" (EID "&amp;$D1399&amp;")"&amp;CHAR(10)&amp;"Audit Date: "&amp;TEXT($B1399,"yyyy-mm-dd")&amp;CHAR(10)&amp;"Team Leader: "&amp;$F1399&amp;CHAR(10)&amp;"Case Number: "&amp;$M1399&amp;CHAR(10)&amp;"Transaction ID: "&amp;$N1399&amp;CHAR(10)&amp;"Channel / LOB: "&amp;$K1399&amp;" / "&amp;$L1399&amp;CHAR(10)&amp;"Evaluator: "&amp;$S1399&amp;CHAR(10)&amp;CHAR(10)&amp;"INVALID QUALITY AUDIT DETAILS"&amp;CHAR(10)&amp;"Validation: Invalid"&amp;CHAR(10)&amp;"Invalid Reason: "&amp;$P1399&amp;CHAR(10)&amp;"Expected Resolution Code: "&amp;$Q1399&amp;CHAR(10)&amp;"Remarks: "&amp;LEFT($R1399,600)&amp;CHAR(10)&amp;CHAR(10)&amp;"This is an automated notification from HP Mainstream EQMS."),"✉ Open Email Draft"),"")</f>
        <v/>
      </c>
    </row>
    <row r="1400">
      <c r="A1400" s="25">
        <f>IF($C1400="","","AUD-2026-"&amp;TEXT(ROW()-1,"000000"))</f>
        <v/>
      </c>
      <c r="B1400" s="26" t="n"/>
      <c r="C1400" s="27" t="n"/>
      <c r="D1400" s="25">
        <f>IF($C1400="","",IFERROR(IF(INDEX(Roster!$A:$A,MATCH($C1400,Roster!$B:$B,0))="","",INDEX(Roster!$A:$A,MATCH($C1400,Roster!$B:$B,0))&amp;""),"—"))</f>
        <v/>
      </c>
      <c r="E1400" s="25">
        <f>IF($C1400="","",IFERROR(IF(INDEX(Roster!$C:$C,MATCH($C1400,Roster!$B:$B,0))="","",INDEX(Roster!$C:$C,MATCH($C1400,Roster!$B:$B,0))&amp;""),"—"))</f>
        <v/>
      </c>
      <c r="F1400" s="25">
        <f>IF($C1400="","",IFERROR(IF(INDEX(Roster!$D:$D,MATCH($C1400,Roster!$B:$B,0))="","",INDEX(Roster!$D:$D,MATCH($C1400,Roster!$B:$B,0))&amp;""),"—"))</f>
        <v/>
      </c>
      <c r="G1400" s="25">
        <f>IF($C1400="","",IFERROR(IF(INDEX(Roster!$E:$E,MATCH($C1400,Roster!$B:$B,0))="","",INDEX(Roster!$E:$E,MATCH($C1400,Roster!$B:$B,0))&amp;""),"—"))</f>
        <v/>
      </c>
      <c r="H1400" s="25">
        <f>IF($C1400="","",IFERROR(IF(INDEX(Roster!$F:$F,MATCH($C1400,Roster!$B:$B,0))="","",INDEX(Roster!$F:$F,MATCH($C1400,Roster!$B:$B,0))&amp;""),"—"))</f>
        <v/>
      </c>
      <c r="I1400" s="25">
        <f>IF($C1400="","",IFERROR(IF(INDEX(Roster!$G:$G,MATCH($C1400,Roster!$B:$B,0))="","",INDEX(Roster!$G:$G,MATCH($C1400,Roster!$B:$B,0))&amp;""),"—"))</f>
        <v/>
      </c>
      <c r="J1400" s="25">
        <f>IF($C1400="","",IFERROR(IF(INDEX(Roster!$I:$I,MATCH($C1400,Roster!$B:$B,0))="","",INDEX(Roster!$I:$I,MATCH($C1400,Roster!$B:$B,0))&amp;""),"—"))</f>
        <v/>
      </c>
      <c r="K1400">
        <f>IF($C1400="","",IFERROR(IF(INDEX(Roster!$J:$J,MATCH($C1400,Roster!$B:$B,0))="","",INDEX(Roster!$J:$J,MATCH($C1400,Roster!$B:$B,0))&amp;""),"—"))</f>
        <v/>
      </c>
      <c r="L1400">
        <f>IF($C1400="","",IFERROR(IF(INDEX(Roster!$K:$K,MATCH($C1400,Roster!$B:$B,0))="","",INDEX(Roster!$K:$K,MATCH($C1400,Roster!$B:$B,0))&amp;""),"—"))</f>
        <v/>
      </c>
      <c r="M1400" s="27" t="n"/>
      <c r="N1400" s="27" t="n"/>
      <c r="O1400" s="25">
        <f>IF($C1400="","",IF($P1400="","—",IF($P1400="Valid (Pass)","Valid","Invalid")))</f>
        <v/>
      </c>
      <c r="P1400" s="27" t="n"/>
      <c r="Q1400" s="27" t="n"/>
      <c r="R1400" s="27" t="n"/>
      <c r="S1400" s="27" t="n"/>
      <c r="T1400" s="25">
        <f>IF($C1400="","",IF(OR(ISNUMBER(SEARCH("quick case",$P1400)),ISNUMBER(SEARCH("quick case",$Q1400))),"Yes","No"))</f>
        <v/>
      </c>
      <c r="U1400" s="25">
        <f>IF($O1400="Invalid",HYPERLINK("mailto:"&amp;$G1400&amp;";"&amp;$I1400&amp;"?cc="&amp;Lists!$E$2&amp;"&amp;subject="&amp;_xlfn.ENCODEURL("[INVALID] Quality audit monitoring completed for "&amp;UPPER($C1400))&amp;"&amp;body="&amp;_xlfn.ENCODEURL("Hi "&amp;$F1400&amp;","&amp;CHAR(10)&amp;"Good day!"&amp;CHAR(10)&amp;CHAR(10)&amp;"A quality monitoring audit has been completed for "&amp;$C1400&amp;"."&amp;CHAR(10)&amp;CHAR(10)&amp;"QUALITY AUDIT DETAILS"&amp;CHAR(10)&amp;"Agent Name: "&amp;$C1400&amp;" (EID "&amp;$D1400&amp;")"&amp;CHAR(10)&amp;"Audit Date: "&amp;TEXT($B1400,"yyyy-mm-dd")&amp;CHAR(10)&amp;"Team Leader: "&amp;$F1400&amp;CHAR(10)&amp;"Case Number: "&amp;$M1400&amp;CHAR(10)&amp;"Transaction ID: "&amp;$N1400&amp;CHAR(10)&amp;"Channel / LOB: "&amp;$K1400&amp;" / "&amp;$L1400&amp;CHAR(10)&amp;"Evaluator: "&amp;$S1400&amp;CHAR(10)&amp;CHAR(10)&amp;"INVALID QUALITY AUDIT DETAILS"&amp;CHAR(10)&amp;"Validation: Invalid"&amp;CHAR(10)&amp;"Invalid Reason: "&amp;$P1400&amp;CHAR(10)&amp;"Expected Resolution Code: "&amp;$Q1400&amp;CHAR(10)&amp;"Remarks: "&amp;LEFT($R1400,600)&amp;CHAR(10)&amp;CHAR(10)&amp;"This is an automated notification from HP Mainstream EQMS."),"✉ Open Email Draft"),"")</f>
        <v/>
      </c>
    </row>
    <row r="1401">
      <c r="A1401" s="25">
        <f>IF($C1401="","","AUD-2026-"&amp;TEXT(ROW()-1,"000000"))</f>
        <v/>
      </c>
      <c r="B1401" s="26" t="n"/>
      <c r="C1401" s="27" t="n"/>
      <c r="D1401" s="25">
        <f>IF($C1401="","",IFERROR(IF(INDEX(Roster!$A:$A,MATCH($C1401,Roster!$B:$B,0))="","",INDEX(Roster!$A:$A,MATCH($C1401,Roster!$B:$B,0))&amp;""),"—"))</f>
        <v/>
      </c>
      <c r="E1401" s="25">
        <f>IF($C1401="","",IFERROR(IF(INDEX(Roster!$C:$C,MATCH($C1401,Roster!$B:$B,0))="","",INDEX(Roster!$C:$C,MATCH($C1401,Roster!$B:$B,0))&amp;""),"—"))</f>
        <v/>
      </c>
      <c r="F1401" s="25">
        <f>IF($C1401="","",IFERROR(IF(INDEX(Roster!$D:$D,MATCH($C1401,Roster!$B:$B,0))="","",INDEX(Roster!$D:$D,MATCH($C1401,Roster!$B:$B,0))&amp;""),"—"))</f>
        <v/>
      </c>
      <c r="G1401" s="25">
        <f>IF($C1401="","",IFERROR(IF(INDEX(Roster!$E:$E,MATCH($C1401,Roster!$B:$B,0))="","",INDEX(Roster!$E:$E,MATCH($C1401,Roster!$B:$B,0))&amp;""),"—"))</f>
        <v/>
      </c>
      <c r="H1401" s="25">
        <f>IF($C1401="","",IFERROR(IF(INDEX(Roster!$F:$F,MATCH($C1401,Roster!$B:$B,0))="","",INDEX(Roster!$F:$F,MATCH($C1401,Roster!$B:$B,0))&amp;""),"—"))</f>
        <v/>
      </c>
      <c r="I1401" s="25">
        <f>IF($C1401="","",IFERROR(IF(INDEX(Roster!$G:$G,MATCH($C1401,Roster!$B:$B,0))="","",INDEX(Roster!$G:$G,MATCH($C1401,Roster!$B:$B,0))&amp;""),"—"))</f>
        <v/>
      </c>
      <c r="J1401" s="25">
        <f>IF($C1401="","",IFERROR(IF(INDEX(Roster!$I:$I,MATCH($C1401,Roster!$B:$B,0))="","",INDEX(Roster!$I:$I,MATCH($C1401,Roster!$B:$B,0))&amp;""),"—"))</f>
        <v/>
      </c>
      <c r="K1401">
        <f>IF($C1401="","",IFERROR(IF(INDEX(Roster!$J:$J,MATCH($C1401,Roster!$B:$B,0))="","",INDEX(Roster!$J:$J,MATCH($C1401,Roster!$B:$B,0))&amp;""),"—"))</f>
        <v/>
      </c>
      <c r="L1401">
        <f>IF($C1401="","",IFERROR(IF(INDEX(Roster!$K:$K,MATCH($C1401,Roster!$B:$B,0))="","",INDEX(Roster!$K:$K,MATCH($C1401,Roster!$B:$B,0))&amp;""),"—"))</f>
        <v/>
      </c>
      <c r="M1401" s="27" t="n"/>
      <c r="N1401" s="27" t="n"/>
      <c r="O1401" s="25">
        <f>IF($C1401="","",IF($P1401="","—",IF($P1401="Valid (Pass)","Valid","Invalid")))</f>
        <v/>
      </c>
      <c r="P1401" s="27" t="n"/>
      <c r="Q1401" s="27" t="n"/>
      <c r="R1401" s="27" t="n"/>
      <c r="S1401" s="27" t="n"/>
      <c r="T1401" s="25">
        <f>IF($C1401="","",IF(OR(ISNUMBER(SEARCH("quick case",$P1401)),ISNUMBER(SEARCH("quick case",$Q1401))),"Yes","No"))</f>
        <v/>
      </c>
      <c r="U1401" s="25">
        <f>IF($O1401="Invalid",HYPERLINK("mailto:"&amp;$G1401&amp;";"&amp;$I1401&amp;"?cc="&amp;Lists!$E$2&amp;"&amp;subject="&amp;_xlfn.ENCODEURL("[INVALID] Quality audit monitoring completed for "&amp;UPPER($C1401))&amp;"&amp;body="&amp;_xlfn.ENCODEURL("Hi "&amp;$F1401&amp;","&amp;CHAR(10)&amp;"Good day!"&amp;CHAR(10)&amp;CHAR(10)&amp;"A quality monitoring audit has been completed for "&amp;$C1401&amp;"."&amp;CHAR(10)&amp;CHAR(10)&amp;"QUALITY AUDIT DETAILS"&amp;CHAR(10)&amp;"Agent Name: "&amp;$C1401&amp;" (EID "&amp;$D1401&amp;")"&amp;CHAR(10)&amp;"Audit Date: "&amp;TEXT($B1401,"yyyy-mm-dd")&amp;CHAR(10)&amp;"Team Leader: "&amp;$F1401&amp;CHAR(10)&amp;"Case Number: "&amp;$M1401&amp;CHAR(10)&amp;"Transaction ID: "&amp;$N1401&amp;CHAR(10)&amp;"Channel / LOB: "&amp;$K1401&amp;" / "&amp;$L1401&amp;CHAR(10)&amp;"Evaluator: "&amp;$S1401&amp;CHAR(10)&amp;CHAR(10)&amp;"INVALID QUALITY AUDIT DETAILS"&amp;CHAR(10)&amp;"Validation: Invalid"&amp;CHAR(10)&amp;"Invalid Reason: "&amp;$P1401&amp;CHAR(10)&amp;"Expected Resolution Code: "&amp;$Q1401&amp;CHAR(10)&amp;"Remarks: "&amp;LEFT($R1401,600)&amp;CHAR(10)&amp;CHAR(10)&amp;"This is an automated notification from HP Mainstream EQMS."),"✉ Open Email Draft"),"")</f>
        <v/>
      </c>
    </row>
    <row r="1402">
      <c r="A1402" s="25">
        <f>IF($C1402="","","AUD-2026-"&amp;TEXT(ROW()-1,"000000"))</f>
        <v/>
      </c>
      <c r="B1402" s="26" t="n"/>
      <c r="C1402" s="27" t="n"/>
      <c r="D1402" s="25">
        <f>IF($C1402="","",IFERROR(IF(INDEX(Roster!$A:$A,MATCH($C1402,Roster!$B:$B,0))="","",INDEX(Roster!$A:$A,MATCH($C1402,Roster!$B:$B,0))&amp;""),"—"))</f>
        <v/>
      </c>
      <c r="E1402" s="25">
        <f>IF($C1402="","",IFERROR(IF(INDEX(Roster!$C:$C,MATCH($C1402,Roster!$B:$B,0))="","",INDEX(Roster!$C:$C,MATCH($C1402,Roster!$B:$B,0))&amp;""),"—"))</f>
        <v/>
      </c>
      <c r="F1402" s="25">
        <f>IF($C1402="","",IFERROR(IF(INDEX(Roster!$D:$D,MATCH($C1402,Roster!$B:$B,0))="","",INDEX(Roster!$D:$D,MATCH($C1402,Roster!$B:$B,0))&amp;""),"—"))</f>
        <v/>
      </c>
      <c r="G1402" s="25">
        <f>IF($C1402="","",IFERROR(IF(INDEX(Roster!$E:$E,MATCH($C1402,Roster!$B:$B,0))="","",INDEX(Roster!$E:$E,MATCH($C1402,Roster!$B:$B,0))&amp;""),"—"))</f>
        <v/>
      </c>
      <c r="H1402" s="25">
        <f>IF($C1402="","",IFERROR(IF(INDEX(Roster!$F:$F,MATCH($C1402,Roster!$B:$B,0))="","",INDEX(Roster!$F:$F,MATCH($C1402,Roster!$B:$B,0))&amp;""),"—"))</f>
        <v/>
      </c>
      <c r="I1402" s="25">
        <f>IF($C1402="","",IFERROR(IF(INDEX(Roster!$G:$G,MATCH($C1402,Roster!$B:$B,0))="","",INDEX(Roster!$G:$G,MATCH($C1402,Roster!$B:$B,0))&amp;""),"—"))</f>
        <v/>
      </c>
      <c r="J1402" s="25">
        <f>IF($C1402="","",IFERROR(IF(INDEX(Roster!$I:$I,MATCH($C1402,Roster!$B:$B,0))="","",INDEX(Roster!$I:$I,MATCH($C1402,Roster!$B:$B,0))&amp;""),"—"))</f>
        <v/>
      </c>
      <c r="K1402">
        <f>IF($C1402="","",IFERROR(IF(INDEX(Roster!$J:$J,MATCH($C1402,Roster!$B:$B,0))="","",INDEX(Roster!$J:$J,MATCH($C1402,Roster!$B:$B,0))&amp;""),"—"))</f>
        <v/>
      </c>
      <c r="L1402">
        <f>IF($C1402="","",IFERROR(IF(INDEX(Roster!$K:$K,MATCH($C1402,Roster!$B:$B,0))="","",INDEX(Roster!$K:$K,MATCH($C1402,Roster!$B:$B,0))&amp;""),"—"))</f>
        <v/>
      </c>
      <c r="M1402" s="27" t="n"/>
      <c r="N1402" s="27" t="n"/>
      <c r="O1402" s="25">
        <f>IF($C1402="","",IF($P1402="","—",IF($P1402="Valid (Pass)","Valid","Invalid")))</f>
        <v/>
      </c>
      <c r="P1402" s="27" t="n"/>
      <c r="Q1402" s="27" t="n"/>
      <c r="R1402" s="27" t="n"/>
      <c r="S1402" s="27" t="n"/>
      <c r="T1402" s="25">
        <f>IF($C1402="","",IF(OR(ISNUMBER(SEARCH("quick case",$P1402)),ISNUMBER(SEARCH("quick case",$Q1402))),"Yes","No"))</f>
        <v/>
      </c>
      <c r="U1402" s="25">
        <f>IF($O1402="Invalid",HYPERLINK("mailto:"&amp;$G1402&amp;";"&amp;$I1402&amp;"?cc="&amp;Lists!$E$2&amp;"&amp;subject="&amp;_xlfn.ENCODEURL("[INVALID] Quality audit monitoring completed for "&amp;UPPER($C1402))&amp;"&amp;body="&amp;_xlfn.ENCODEURL("Hi "&amp;$F1402&amp;","&amp;CHAR(10)&amp;"Good day!"&amp;CHAR(10)&amp;CHAR(10)&amp;"A quality monitoring audit has been completed for "&amp;$C1402&amp;"."&amp;CHAR(10)&amp;CHAR(10)&amp;"QUALITY AUDIT DETAILS"&amp;CHAR(10)&amp;"Agent Name: "&amp;$C1402&amp;" (EID "&amp;$D1402&amp;")"&amp;CHAR(10)&amp;"Audit Date: "&amp;TEXT($B1402,"yyyy-mm-dd")&amp;CHAR(10)&amp;"Team Leader: "&amp;$F1402&amp;CHAR(10)&amp;"Case Number: "&amp;$M1402&amp;CHAR(10)&amp;"Transaction ID: "&amp;$N1402&amp;CHAR(10)&amp;"Channel / LOB: "&amp;$K1402&amp;" / "&amp;$L1402&amp;CHAR(10)&amp;"Evaluator: "&amp;$S1402&amp;CHAR(10)&amp;CHAR(10)&amp;"INVALID QUALITY AUDIT DETAILS"&amp;CHAR(10)&amp;"Validation: Invalid"&amp;CHAR(10)&amp;"Invalid Reason: "&amp;$P1402&amp;CHAR(10)&amp;"Expected Resolution Code: "&amp;$Q1402&amp;CHAR(10)&amp;"Remarks: "&amp;LEFT($R1402,600)&amp;CHAR(10)&amp;CHAR(10)&amp;"This is an automated notification from HP Mainstream EQMS."),"✉ Open Email Draft"),"")</f>
        <v/>
      </c>
    </row>
    <row r="1403">
      <c r="A1403" s="25">
        <f>IF($C1403="","","AUD-2026-"&amp;TEXT(ROW()-1,"000000"))</f>
        <v/>
      </c>
      <c r="B1403" s="26" t="n"/>
      <c r="C1403" s="27" t="n"/>
      <c r="D1403" s="25">
        <f>IF($C1403="","",IFERROR(IF(INDEX(Roster!$A:$A,MATCH($C1403,Roster!$B:$B,0))="","",INDEX(Roster!$A:$A,MATCH($C1403,Roster!$B:$B,0))&amp;""),"—"))</f>
        <v/>
      </c>
      <c r="E1403" s="25">
        <f>IF($C1403="","",IFERROR(IF(INDEX(Roster!$C:$C,MATCH($C1403,Roster!$B:$B,0))="","",INDEX(Roster!$C:$C,MATCH($C1403,Roster!$B:$B,0))&amp;""),"—"))</f>
        <v/>
      </c>
      <c r="F1403" s="25">
        <f>IF($C1403="","",IFERROR(IF(INDEX(Roster!$D:$D,MATCH($C1403,Roster!$B:$B,0))="","",INDEX(Roster!$D:$D,MATCH($C1403,Roster!$B:$B,0))&amp;""),"—"))</f>
        <v/>
      </c>
      <c r="G1403" s="25">
        <f>IF($C1403="","",IFERROR(IF(INDEX(Roster!$E:$E,MATCH($C1403,Roster!$B:$B,0))="","",INDEX(Roster!$E:$E,MATCH($C1403,Roster!$B:$B,0))&amp;""),"—"))</f>
        <v/>
      </c>
      <c r="H1403" s="25">
        <f>IF($C1403="","",IFERROR(IF(INDEX(Roster!$F:$F,MATCH($C1403,Roster!$B:$B,0))="","",INDEX(Roster!$F:$F,MATCH($C1403,Roster!$B:$B,0))&amp;""),"—"))</f>
        <v/>
      </c>
      <c r="I1403" s="25">
        <f>IF($C1403="","",IFERROR(IF(INDEX(Roster!$G:$G,MATCH($C1403,Roster!$B:$B,0))="","",INDEX(Roster!$G:$G,MATCH($C1403,Roster!$B:$B,0))&amp;""),"—"))</f>
        <v/>
      </c>
      <c r="J1403" s="25">
        <f>IF($C1403="","",IFERROR(IF(INDEX(Roster!$I:$I,MATCH($C1403,Roster!$B:$B,0))="","",INDEX(Roster!$I:$I,MATCH($C1403,Roster!$B:$B,0))&amp;""),"—"))</f>
        <v/>
      </c>
      <c r="K1403">
        <f>IF($C1403="","",IFERROR(IF(INDEX(Roster!$J:$J,MATCH($C1403,Roster!$B:$B,0))="","",INDEX(Roster!$J:$J,MATCH($C1403,Roster!$B:$B,0))&amp;""),"—"))</f>
        <v/>
      </c>
      <c r="L1403">
        <f>IF($C1403="","",IFERROR(IF(INDEX(Roster!$K:$K,MATCH($C1403,Roster!$B:$B,0))="","",INDEX(Roster!$K:$K,MATCH($C1403,Roster!$B:$B,0))&amp;""),"—"))</f>
        <v/>
      </c>
      <c r="M1403" s="27" t="n"/>
      <c r="N1403" s="27" t="n"/>
      <c r="O1403" s="25">
        <f>IF($C1403="","",IF($P1403="","—",IF($P1403="Valid (Pass)","Valid","Invalid")))</f>
        <v/>
      </c>
      <c r="P1403" s="27" t="n"/>
      <c r="Q1403" s="27" t="n"/>
      <c r="R1403" s="27" t="n"/>
      <c r="S1403" s="27" t="n"/>
      <c r="T1403" s="25">
        <f>IF($C1403="","",IF(OR(ISNUMBER(SEARCH("quick case",$P1403)),ISNUMBER(SEARCH("quick case",$Q1403))),"Yes","No"))</f>
        <v/>
      </c>
      <c r="U1403" s="25">
        <f>IF($O1403="Invalid",HYPERLINK("mailto:"&amp;$G1403&amp;";"&amp;$I1403&amp;"?cc="&amp;Lists!$E$2&amp;"&amp;subject="&amp;_xlfn.ENCODEURL("[INVALID] Quality audit monitoring completed for "&amp;UPPER($C1403))&amp;"&amp;body="&amp;_xlfn.ENCODEURL("Hi "&amp;$F1403&amp;","&amp;CHAR(10)&amp;"Good day!"&amp;CHAR(10)&amp;CHAR(10)&amp;"A quality monitoring audit has been completed for "&amp;$C1403&amp;"."&amp;CHAR(10)&amp;CHAR(10)&amp;"QUALITY AUDIT DETAILS"&amp;CHAR(10)&amp;"Agent Name: "&amp;$C1403&amp;" (EID "&amp;$D1403&amp;")"&amp;CHAR(10)&amp;"Audit Date: "&amp;TEXT($B1403,"yyyy-mm-dd")&amp;CHAR(10)&amp;"Team Leader: "&amp;$F1403&amp;CHAR(10)&amp;"Case Number: "&amp;$M1403&amp;CHAR(10)&amp;"Transaction ID: "&amp;$N1403&amp;CHAR(10)&amp;"Channel / LOB: "&amp;$K1403&amp;" / "&amp;$L1403&amp;CHAR(10)&amp;"Evaluator: "&amp;$S1403&amp;CHAR(10)&amp;CHAR(10)&amp;"INVALID QUALITY AUDIT DETAILS"&amp;CHAR(10)&amp;"Validation: Invalid"&amp;CHAR(10)&amp;"Invalid Reason: "&amp;$P1403&amp;CHAR(10)&amp;"Expected Resolution Code: "&amp;$Q1403&amp;CHAR(10)&amp;"Remarks: "&amp;LEFT($R1403,600)&amp;CHAR(10)&amp;CHAR(10)&amp;"This is an automated notification from HP Mainstream EQMS."),"✉ Open Email Draft"),"")</f>
        <v/>
      </c>
    </row>
    <row r="1404">
      <c r="A1404" s="25">
        <f>IF($C1404="","","AUD-2026-"&amp;TEXT(ROW()-1,"000000"))</f>
        <v/>
      </c>
      <c r="B1404" s="26" t="n"/>
      <c r="C1404" s="27" t="n"/>
      <c r="D1404" s="25">
        <f>IF($C1404="","",IFERROR(IF(INDEX(Roster!$A:$A,MATCH($C1404,Roster!$B:$B,0))="","",INDEX(Roster!$A:$A,MATCH($C1404,Roster!$B:$B,0))&amp;""),"—"))</f>
        <v/>
      </c>
      <c r="E1404" s="25">
        <f>IF($C1404="","",IFERROR(IF(INDEX(Roster!$C:$C,MATCH($C1404,Roster!$B:$B,0))="","",INDEX(Roster!$C:$C,MATCH($C1404,Roster!$B:$B,0))&amp;""),"—"))</f>
        <v/>
      </c>
      <c r="F1404" s="25">
        <f>IF($C1404="","",IFERROR(IF(INDEX(Roster!$D:$D,MATCH($C1404,Roster!$B:$B,0))="","",INDEX(Roster!$D:$D,MATCH($C1404,Roster!$B:$B,0))&amp;""),"—"))</f>
        <v/>
      </c>
      <c r="G1404" s="25">
        <f>IF($C1404="","",IFERROR(IF(INDEX(Roster!$E:$E,MATCH($C1404,Roster!$B:$B,0))="","",INDEX(Roster!$E:$E,MATCH($C1404,Roster!$B:$B,0))&amp;""),"—"))</f>
        <v/>
      </c>
      <c r="H1404" s="25">
        <f>IF($C1404="","",IFERROR(IF(INDEX(Roster!$F:$F,MATCH($C1404,Roster!$B:$B,0))="","",INDEX(Roster!$F:$F,MATCH($C1404,Roster!$B:$B,0))&amp;""),"—"))</f>
        <v/>
      </c>
      <c r="I1404" s="25">
        <f>IF($C1404="","",IFERROR(IF(INDEX(Roster!$G:$G,MATCH($C1404,Roster!$B:$B,0))="","",INDEX(Roster!$G:$G,MATCH($C1404,Roster!$B:$B,0))&amp;""),"—"))</f>
        <v/>
      </c>
      <c r="J1404" s="25">
        <f>IF($C1404="","",IFERROR(IF(INDEX(Roster!$I:$I,MATCH($C1404,Roster!$B:$B,0))="","",INDEX(Roster!$I:$I,MATCH($C1404,Roster!$B:$B,0))&amp;""),"—"))</f>
        <v/>
      </c>
      <c r="K1404">
        <f>IF($C1404="","",IFERROR(IF(INDEX(Roster!$J:$J,MATCH($C1404,Roster!$B:$B,0))="","",INDEX(Roster!$J:$J,MATCH($C1404,Roster!$B:$B,0))&amp;""),"—"))</f>
        <v/>
      </c>
      <c r="L1404">
        <f>IF($C1404="","",IFERROR(IF(INDEX(Roster!$K:$K,MATCH($C1404,Roster!$B:$B,0))="","",INDEX(Roster!$K:$K,MATCH($C1404,Roster!$B:$B,0))&amp;""),"—"))</f>
        <v/>
      </c>
      <c r="M1404" s="27" t="n"/>
      <c r="N1404" s="27" t="n"/>
      <c r="O1404" s="25">
        <f>IF($C1404="","",IF($P1404="","—",IF($P1404="Valid (Pass)","Valid","Invalid")))</f>
        <v/>
      </c>
      <c r="P1404" s="27" t="n"/>
      <c r="Q1404" s="27" t="n"/>
      <c r="R1404" s="27" t="n"/>
      <c r="S1404" s="27" t="n"/>
      <c r="T1404" s="25">
        <f>IF($C1404="","",IF(OR(ISNUMBER(SEARCH("quick case",$P1404)),ISNUMBER(SEARCH("quick case",$Q1404))),"Yes","No"))</f>
        <v/>
      </c>
      <c r="U1404" s="25">
        <f>IF($O1404="Invalid",HYPERLINK("mailto:"&amp;$G1404&amp;";"&amp;$I1404&amp;"?cc="&amp;Lists!$E$2&amp;"&amp;subject="&amp;_xlfn.ENCODEURL("[INVALID] Quality audit monitoring completed for "&amp;UPPER($C1404))&amp;"&amp;body="&amp;_xlfn.ENCODEURL("Hi "&amp;$F1404&amp;","&amp;CHAR(10)&amp;"Good day!"&amp;CHAR(10)&amp;CHAR(10)&amp;"A quality monitoring audit has been completed for "&amp;$C1404&amp;"."&amp;CHAR(10)&amp;CHAR(10)&amp;"QUALITY AUDIT DETAILS"&amp;CHAR(10)&amp;"Agent Name: "&amp;$C1404&amp;" (EID "&amp;$D1404&amp;")"&amp;CHAR(10)&amp;"Audit Date: "&amp;TEXT($B1404,"yyyy-mm-dd")&amp;CHAR(10)&amp;"Team Leader: "&amp;$F1404&amp;CHAR(10)&amp;"Case Number: "&amp;$M1404&amp;CHAR(10)&amp;"Transaction ID: "&amp;$N1404&amp;CHAR(10)&amp;"Channel / LOB: "&amp;$K1404&amp;" / "&amp;$L1404&amp;CHAR(10)&amp;"Evaluator: "&amp;$S1404&amp;CHAR(10)&amp;CHAR(10)&amp;"INVALID QUALITY AUDIT DETAILS"&amp;CHAR(10)&amp;"Validation: Invalid"&amp;CHAR(10)&amp;"Invalid Reason: "&amp;$P1404&amp;CHAR(10)&amp;"Expected Resolution Code: "&amp;$Q1404&amp;CHAR(10)&amp;"Remarks: "&amp;LEFT($R1404,600)&amp;CHAR(10)&amp;CHAR(10)&amp;"This is an automated notification from HP Mainstream EQMS."),"✉ Open Email Draft"),"")</f>
        <v/>
      </c>
    </row>
    <row r="1405">
      <c r="A1405" s="25">
        <f>IF($C1405="","","AUD-2026-"&amp;TEXT(ROW()-1,"000000"))</f>
        <v/>
      </c>
      <c r="B1405" s="26" t="n"/>
      <c r="C1405" s="27" t="n"/>
      <c r="D1405" s="25">
        <f>IF($C1405="","",IFERROR(IF(INDEX(Roster!$A:$A,MATCH($C1405,Roster!$B:$B,0))="","",INDEX(Roster!$A:$A,MATCH($C1405,Roster!$B:$B,0))&amp;""),"—"))</f>
        <v/>
      </c>
      <c r="E1405" s="25">
        <f>IF($C1405="","",IFERROR(IF(INDEX(Roster!$C:$C,MATCH($C1405,Roster!$B:$B,0))="","",INDEX(Roster!$C:$C,MATCH($C1405,Roster!$B:$B,0))&amp;""),"—"))</f>
        <v/>
      </c>
      <c r="F1405" s="25">
        <f>IF($C1405="","",IFERROR(IF(INDEX(Roster!$D:$D,MATCH($C1405,Roster!$B:$B,0))="","",INDEX(Roster!$D:$D,MATCH($C1405,Roster!$B:$B,0))&amp;""),"—"))</f>
        <v/>
      </c>
      <c r="G1405" s="25">
        <f>IF($C1405="","",IFERROR(IF(INDEX(Roster!$E:$E,MATCH($C1405,Roster!$B:$B,0))="","",INDEX(Roster!$E:$E,MATCH($C1405,Roster!$B:$B,0))&amp;""),"—"))</f>
        <v/>
      </c>
      <c r="H1405" s="25">
        <f>IF($C1405="","",IFERROR(IF(INDEX(Roster!$F:$F,MATCH($C1405,Roster!$B:$B,0))="","",INDEX(Roster!$F:$F,MATCH($C1405,Roster!$B:$B,0))&amp;""),"—"))</f>
        <v/>
      </c>
      <c r="I1405" s="25">
        <f>IF($C1405="","",IFERROR(IF(INDEX(Roster!$G:$G,MATCH($C1405,Roster!$B:$B,0))="","",INDEX(Roster!$G:$G,MATCH($C1405,Roster!$B:$B,0))&amp;""),"—"))</f>
        <v/>
      </c>
      <c r="J1405" s="25">
        <f>IF($C1405="","",IFERROR(IF(INDEX(Roster!$I:$I,MATCH($C1405,Roster!$B:$B,0))="","",INDEX(Roster!$I:$I,MATCH($C1405,Roster!$B:$B,0))&amp;""),"—"))</f>
        <v/>
      </c>
      <c r="K1405">
        <f>IF($C1405="","",IFERROR(IF(INDEX(Roster!$J:$J,MATCH($C1405,Roster!$B:$B,0))="","",INDEX(Roster!$J:$J,MATCH($C1405,Roster!$B:$B,0))&amp;""),"—"))</f>
        <v/>
      </c>
      <c r="L1405">
        <f>IF($C1405="","",IFERROR(IF(INDEX(Roster!$K:$K,MATCH($C1405,Roster!$B:$B,0))="","",INDEX(Roster!$K:$K,MATCH($C1405,Roster!$B:$B,0))&amp;""),"—"))</f>
        <v/>
      </c>
      <c r="M1405" s="27" t="n"/>
      <c r="N1405" s="27" t="n"/>
      <c r="O1405" s="25">
        <f>IF($C1405="","",IF($P1405="","—",IF($P1405="Valid (Pass)","Valid","Invalid")))</f>
        <v/>
      </c>
      <c r="P1405" s="27" t="n"/>
      <c r="Q1405" s="27" t="n"/>
      <c r="R1405" s="27" t="n"/>
      <c r="S1405" s="27" t="n"/>
      <c r="T1405" s="25">
        <f>IF($C1405="","",IF(OR(ISNUMBER(SEARCH("quick case",$P1405)),ISNUMBER(SEARCH("quick case",$Q1405))),"Yes","No"))</f>
        <v/>
      </c>
      <c r="U1405" s="25">
        <f>IF($O1405="Invalid",HYPERLINK("mailto:"&amp;$G1405&amp;";"&amp;$I1405&amp;"?cc="&amp;Lists!$E$2&amp;"&amp;subject="&amp;_xlfn.ENCODEURL("[INVALID] Quality audit monitoring completed for "&amp;UPPER($C1405))&amp;"&amp;body="&amp;_xlfn.ENCODEURL("Hi "&amp;$F1405&amp;","&amp;CHAR(10)&amp;"Good day!"&amp;CHAR(10)&amp;CHAR(10)&amp;"A quality monitoring audit has been completed for "&amp;$C1405&amp;"."&amp;CHAR(10)&amp;CHAR(10)&amp;"QUALITY AUDIT DETAILS"&amp;CHAR(10)&amp;"Agent Name: "&amp;$C1405&amp;" (EID "&amp;$D1405&amp;")"&amp;CHAR(10)&amp;"Audit Date: "&amp;TEXT($B1405,"yyyy-mm-dd")&amp;CHAR(10)&amp;"Team Leader: "&amp;$F1405&amp;CHAR(10)&amp;"Case Number: "&amp;$M1405&amp;CHAR(10)&amp;"Transaction ID: "&amp;$N1405&amp;CHAR(10)&amp;"Channel / LOB: "&amp;$K1405&amp;" / "&amp;$L1405&amp;CHAR(10)&amp;"Evaluator: "&amp;$S1405&amp;CHAR(10)&amp;CHAR(10)&amp;"INVALID QUALITY AUDIT DETAILS"&amp;CHAR(10)&amp;"Validation: Invalid"&amp;CHAR(10)&amp;"Invalid Reason: "&amp;$P1405&amp;CHAR(10)&amp;"Expected Resolution Code: "&amp;$Q1405&amp;CHAR(10)&amp;"Remarks: "&amp;LEFT($R1405,600)&amp;CHAR(10)&amp;CHAR(10)&amp;"This is an automated notification from HP Mainstream EQMS."),"✉ Open Email Draft"),"")</f>
        <v/>
      </c>
    </row>
    <row r="1406">
      <c r="A1406" s="25">
        <f>IF($C1406="","","AUD-2026-"&amp;TEXT(ROW()-1,"000000"))</f>
        <v/>
      </c>
      <c r="B1406" s="26" t="n"/>
      <c r="C1406" s="27" t="n"/>
      <c r="D1406" s="25">
        <f>IF($C1406="","",IFERROR(IF(INDEX(Roster!$A:$A,MATCH($C1406,Roster!$B:$B,0))="","",INDEX(Roster!$A:$A,MATCH($C1406,Roster!$B:$B,0))&amp;""),"—"))</f>
        <v/>
      </c>
      <c r="E1406" s="25">
        <f>IF($C1406="","",IFERROR(IF(INDEX(Roster!$C:$C,MATCH($C1406,Roster!$B:$B,0))="","",INDEX(Roster!$C:$C,MATCH($C1406,Roster!$B:$B,0))&amp;""),"—"))</f>
        <v/>
      </c>
      <c r="F1406" s="25">
        <f>IF($C1406="","",IFERROR(IF(INDEX(Roster!$D:$D,MATCH($C1406,Roster!$B:$B,0))="","",INDEX(Roster!$D:$D,MATCH($C1406,Roster!$B:$B,0))&amp;""),"—"))</f>
        <v/>
      </c>
      <c r="G1406" s="25">
        <f>IF($C1406="","",IFERROR(IF(INDEX(Roster!$E:$E,MATCH($C1406,Roster!$B:$B,0))="","",INDEX(Roster!$E:$E,MATCH($C1406,Roster!$B:$B,0))&amp;""),"—"))</f>
        <v/>
      </c>
      <c r="H1406" s="25">
        <f>IF($C1406="","",IFERROR(IF(INDEX(Roster!$F:$F,MATCH($C1406,Roster!$B:$B,0))="","",INDEX(Roster!$F:$F,MATCH($C1406,Roster!$B:$B,0))&amp;""),"—"))</f>
        <v/>
      </c>
      <c r="I1406" s="25">
        <f>IF($C1406="","",IFERROR(IF(INDEX(Roster!$G:$G,MATCH($C1406,Roster!$B:$B,0))="","",INDEX(Roster!$G:$G,MATCH($C1406,Roster!$B:$B,0))&amp;""),"—"))</f>
        <v/>
      </c>
      <c r="J1406" s="25">
        <f>IF($C1406="","",IFERROR(IF(INDEX(Roster!$I:$I,MATCH($C1406,Roster!$B:$B,0))="","",INDEX(Roster!$I:$I,MATCH($C1406,Roster!$B:$B,0))&amp;""),"—"))</f>
        <v/>
      </c>
      <c r="K1406">
        <f>IF($C1406="","",IFERROR(IF(INDEX(Roster!$J:$J,MATCH($C1406,Roster!$B:$B,0))="","",INDEX(Roster!$J:$J,MATCH($C1406,Roster!$B:$B,0))&amp;""),"—"))</f>
        <v/>
      </c>
      <c r="L1406">
        <f>IF($C1406="","",IFERROR(IF(INDEX(Roster!$K:$K,MATCH($C1406,Roster!$B:$B,0))="","",INDEX(Roster!$K:$K,MATCH($C1406,Roster!$B:$B,0))&amp;""),"—"))</f>
        <v/>
      </c>
      <c r="M1406" s="27" t="n"/>
      <c r="N1406" s="27" t="n"/>
      <c r="O1406" s="25">
        <f>IF($C1406="","",IF($P1406="","—",IF($P1406="Valid (Pass)","Valid","Invalid")))</f>
        <v/>
      </c>
      <c r="P1406" s="27" t="n"/>
      <c r="Q1406" s="27" t="n"/>
      <c r="R1406" s="27" t="n"/>
      <c r="S1406" s="27" t="n"/>
      <c r="T1406" s="25">
        <f>IF($C1406="","",IF(OR(ISNUMBER(SEARCH("quick case",$P1406)),ISNUMBER(SEARCH("quick case",$Q1406))),"Yes","No"))</f>
        <v/>
      </c>
      <c r="U1406" s="25">
        <f>IF($O1406="Invalid",HYPERLINK("mailto:"&amp;$G1406&amp;";"&amp;$I1406&amp;"?cc="&amp;Lists!$E$2&amp;"&amp;subject="&amp;_xlfn.ENCODEURL("[INVALID] Quality audit monitoring completed for "&amp;UPPER($C1406))&amp;"&amp;body="&amp;_xlfn.ENCODEURL("Hi "&amp;$F1406&amp;","&amp;CHAR(10)&amp;"Good day!"&amp;CHAR(10)&amp;CHAR(10)&amp;"A quality monitoring audit has been completed for "&amp;$C1406&amp;"."&amp;CHAR(10)&amp;CHAR(10)&amp;"QUALITY AUDIT DETAILS"&amp;CHAR(10)&amp;"Agent Name: "&amp;$C1406&amp;" (EID "&amp;$D1406&amp;")"&amp;CHAR(10)&amp;"Audit Date: "&amp;TEXT($B1406,"yyyy-mm-dd")&amp;CHAR(10)&amp;"Team Leader: "&amp;$F1406&amp;CHAR(10)&amp;"Case Number: "&amp;$M1406&amp;CHAR(10)&amp;"Transaction ID: "&amp;$N1406&amp;CHAR(10)&amp;"Channel / LOB: "&amp;$K1406&amp;" / "&amp;$L1406&amp;CHAR(10)&amp;"Evaluator: "&amp;$S1406&amp;CHAR(10)&amp;CHAR(10)&amp;"INVALID QUALITY AUDIT DETAILS"&amp;CHAR(10)&amp;"Validation: Invalid"&amp;CHAR(10)&amp;"Invalid Reason: "&amp;$P1406&amp;CHAR(10)&amp;"Expected Resolution Code: "&amp;$Q1406&amp;CHAR(10)&amp;"Remarks: "&amp;LEFT($R1406,600)&amp;CHAR(10)&amp;CHAR(10)&amp;"This is an automated notification from HP Mainstream EQMS."),"✉ Open Email Draft"),"")</f>
        <v/>
      </c>
    </row>
    <row r="1407">
      <c r="A1407" s="25">
        <f>IF($C1407="","","AUD-2026-"&amp;TEXT(ROW()-1,"000000"))</f>
        <v/>
      </c>
      <c r="B1407" s="26" t="n"/>
      <c r="C1407" s="27" t="n"/>
      <c r="D1407" s="25">
        <f>IF($C1407="","",IFERROR(IF(INDEX(Roster!$A:$A,MATCH($C1407,Roster!$B:$B,0))="","",INDEX(Roster!$A:$A,MATCH($C1407,Roster!$B:$B,0))&amp;""),"—"))</f>
        <v/>
      </c>
      <c r="E1407" s="25">
        <f>IF($C1407="","",IFERROR(IF(INDEX(Roster!$C:$C,MATCH($C1407,Roster!$B:$B,0))="","",INDEX(Roster!$C:$C,MATCH($C1407,Roster!$B:$B,0))&amp;""),"—"))</f>
        <v/>
      </c>
      <c r="F1407" s="25">
        <f>IF($C1407="","",IFERROR(IF(INDEX(Roster!$D:$D,MATCH($C1407,Roster!$B:$B,0))="","",INDEX(Roster!$D:$D,MATCH($C1407,Roster!$B:$B,0))&amp;""),"—"))</f>
        <v/>
      </c>
      <c r="G1407" s="25">
        <f>IF($C1407="","",IFERROR(IF(INDEX(Roster!$E:$E,MATCH($C1407,Roster!$B:$B,0))="","",INDEX(Roster!$E:$E,MATCH($C1407,Roster!$B:$B,0))&amp;""),"—"))</f>
        <v/>
      </c>
      <c r="H1407" s="25">
        <f>IF($C1407="","",IFERROR(IF(INDEX(Roster!$F:$F,MATCH($C1407,Roster!$B:$B,0))="","",INDEX(Roster!$F:$F,MATCH($C1407,Roster!$B:$B,0))&amp;""),"—"))</f>
        <v/>
      </c>
      <c r="I1407" s="25">
        <f>IF($C1407="","",IFERROR(IF(INDEX(Roster!$G:$G,MATCH($C1407,Roster!$B:$B,0))="","",INDEX(Roster!$G:$G,MATCH($C1407,Roster!$B:$B,0))&amp;""),"—"))</f>
        <v/>
      </c>
      <c r="J1407" s="25">
        <f>IF($C1407="","",IFERROR(IF(INDEX(Roster!$I:$I,MATCH($C1407,Roster!$B:$B,0))="","",INDEX(Roster!$I:$I,MATCH($C1407,Roster!$B:$B,0))&amp;""),"—"))</f>
        <v/>
      </c>
      <c r="K1407">
        <f>IF($C1407="","",IFERROR(IF(INDEX(Roster!$J:$J,MATCH($C1407,Roster!$B:$B,0))="","",INDEX(Roster!$J:$J,MATCH($C1407,Roster!$B:$B,0))&amp;""),"—"))</f>
        <v/>
      </c>
      <c r="L1407">
        <f>IF($C1407="","",IFERROR(IF(INDEX(Roster!$K:$K,MATCH($C1407,Roster!$B:$B,0))="","",INDEX(Roster!$K:$K,MATCH($C1407,Roster!$B:$B,0))&amp;""),"—"))</f>
        <v/>
      </c>
      <c r="M1407" s="27" t="n"/>
      <c r="N1407" s="27" t="n"/>
      <c r="O1407" s="25">
        <f>IF($C1407="","",IF($P1407="","—",IF($P1407="Valid (Pass)","Valid","Invalid")))</f>
        <v/>
      </c>
      <c r="P1407" s="27" t="n"/>
      <c r="Q1407" s="27" t="n"/>
      <c r="R1407" s="27" t="n"/>
      <c r="S1407" s="27" t="n"/>
      <c r="T1407" s="25">
        <f>IF($C1407="","",IF(OR(ISNUMBER(SEARCH("quick case",$P1407)),ISNUMBER(SEARCH("quick case",$Q1407))),"Yes","No"))</f>
        <v/>
      </c>
      <c r="U1407" s="25">
        <f>IF($O1407="Invalid",HYPERLINK("mailto:"&amp;$G1407&amp;";"&amp;$I1407&amp;"?cc="&amp;Lists!$E$2&amp;"&amp;subject="&amp;_xlfn.ENCODEURL("[INVALID] Quality audit monitoring completed for "&amp;UPPER($C1407))&amp;"&amp;body="&amp;_xlfn.ENCODEURL("Hi "&amp;$F1407&amp;","&amp;CHAR(10)&amp;"Good day!"&amp;CHAR(10)&amp;CHAR(10)&amp;"A quality monitoring audit has been completed for "&amp;$C1407&amp;"."&amp;CHAR(10)&amp;CHAR(10)&amp;"QUALITY AUDIT DETAILS"&amp;CHAR(10)&amp;"Agent Name: "&amp;$C1407&amp;" (EID "&amp;$D1407&amp;")"&amp;CHAR(10)&amp;"Audit Date: "&amp;TEXT($B1407,"yyyy-mm-dd")&amp;CHAR(10)&amp;"Team Leader: "&amp;$F1407&amp;CHAR(10)&amp;"Case Number: "&amp;$M1407&amp;CHAR(10)&amp;"Transaction ID: "&amp;$N1407&amp;CHAR(10)&amp;"Channel / LOB: "&amp;$K1407&amp;" / "&amp;$L1407&amp;CHAR(10)&amp;"Evaluator: "&amp;$S1407&amp;CHAR(10)&amp;CHAR(10)&amp;"INVALID QUALITY AUDIT DETAILS"&amp;CHAR(10)&amp;"Validation: Invalid"&amp;CHAR(10)&amp;"Invalid Reason: "&amp;$P1407&amp;CHAR(10)&amp;"Expected Resolution Code: "&amp;$Q1407&amp;CHAR(10)&amp;"Remarks: "&amp;LEFT($R1407,600)&amp;CHAR(10)&amp;CHAR(10)&amp;"This is an automated notification from HP Mainstream EQMS."),"✉ Open Email Draft"),"")</f>
        <v/>
      </c>
    </row>
    <row r="1408">
      <c r="A1408" s="25">
        <f>IF($C1408="","","AUD-2026-"&amp;TEXT(ROW()-1,"000000"))</f>
        <v/>
      </c>
      <c r="B1408" s="26" t="n"/>
      <c r="C1408" s="27" t="n"/>
      <c r="D1408" s="25">
        <f>IF($C1408="","",IFERROR(IF(INDEX(Roster!$A:$A,MATCH($C1408,Roster!$B:$B,0))="","",INDEX(Roster!$A:$A,MATCH($C1408,Roster!$B:$B,0))&amp;""),"—"))</f>
        <v/>
      </c>
      <c r="E1408" s="25">
        <f>IF($C1408="","",IFERROR(IF(INDEX(Roster!$C:$C,MATCH($C1408,Roster!$B:$B,0))="","",INDEX(Roster!$C:$C,MATCH($C1408,Roster!$B:$B,0))&amp;""),"—"))</f>
        <v/>
      </c>
      <c r="F1408" s="25">
        <f>IF($C1408="","",IFERROR(IF(INDEX(Roster!$D:$D,MATCH($C1408,Roster!$B:$B,0))="","",INDEX(Roster!$D:$D,MATCH($C1408,Roster!$B:$B,0))&amp;""),"—"))</f>
        <v/>
      </c>
      <c r="G1408" s="25">
        <f>IF($C1408="","",IFERROR(IF(INDEX(Roster!$E:$E,MATCH($C1408,Roster!$B:$B,0))="","",INDEX(Roster!$E:$E,MATCH($C1408,Roster!$B:$B,0))&amp;""),"—"))</f>
        <v/>
      </c>
      <c r="H1408" s="25">
        <f>IF($C1408="","",IFERROR(IF(INDEX(Roster!$F:$F,MATCH($C1408,Roster!$B:$B,0))="","",INDEX(Roster!$F:$F,MATCH($C1408,Roster!$B:$B,0))&amp;""),"—"))</f>
        <v/>
      </c>
      <c r="I1408" s="25">
        <f>IF($C1408="","",IFERROR(IF(INDEX(Roster!$G:$G,MATCH($C1408,Roster!$B:$B,0))="","",INDEX(Roster!$G:$G,MATCH($C1408,Roster!$B:$B,0))&amp;""),"—"))</f>
        <v/>
      </c>
      <c r="J1408" s="25">
        <f>IF($C1408="","",IFERROR(IF(INDEX(Roster!$I:$I,MATCH($C1408,Roster!$B:$B,0))="","",INDEX(Roster!$I:$I,MATCH($C1408,Roster!$B:$B,0))&amp;""),"—"))</f>
        <v/>
      </c>
      <c r="K1408">
        <f>IF($C1408="","",IFERROR(IF(INDEX(Roster!$J:$J,MATCH($C1408,Roster!$B:$B,0))="","",INDEX(Roster!$J:$J,MATCH($C1408,Roster!$B:$B,0))&amp;""),"—"))</f>
        <v/>
      </c>
      <c r="L1408">
        <f>IF($C1408="","",IFERROR(IF(INDEX(Roster!$K:$K,MATCH($C1408,Roster!$B:$B,0))="","",INDEX(Roster!$K:$K,MATCH($C1408,Roster!$B:$B,0))&amp;""),"—"))</f>
        <v/>
      </c>
      <c r="M1408" s="27" t="n"/>
      <c r="N1408" s="27" t="n"/>
      <c r="O1408" s="25">
        <f>IF($C1408="","",IF($P1408="","—",IF($P1408="Valid (Pass)","Valid","Invalid")))</f>
        <v/>
      </c>
      <c r="P1408" s="27" t="n"/>
      <c r="Q1408" s="27" t="n"/>
      <c r="R1408" s="27" t="n"/>
      <c r="S1408" s="27" t="n"/>
      <c r="T1408" s="25">
        <f>IF($C1408="","",IF(OR(ISNUMBER(SEARCH("quick case",$P1408)),ISNUMBER(SEARCH("quick case",$Q1408))),"Yes","No"))</f>
        <v/>
      </c>
      <c r="U1408" s="25">
        <f>IF($O1408="Invalid",HYPERLINK("mailto:"&amp;$G1408&amp;";"&amp;$I1408&amp;"?cc="&amp;Lists!$E$2&amp;"&amp;subject="&amp;_xlfn.ENCODEURL("[INVALID] Quality audit monitoring completed for "&amp;UPPER($C1408))&amp;"&amp;body="&amp;_xlfn.ENCODEURL("Hi "&amp;$F1408&amp;","&amp;CHAR(10)&amp;"Good day!"&amp;CHAR(10)&amp;CHAR(10)&amp;"A quality monitoring audit has been completed for "&amp;$C1408&amp;"."&amp;CHAR(10)&amp;CHAR(10)&amp;"QUALITY AUDIT DETAILS"&amp;CHAR(10)&amp;"Agent Name: "&amp;$C1408&amp;" (EID "&amp;$D1408&amp;")"&amp;CHAR(10)&amp;"Audit Date: "&amp;TEXT($B1408,"yyyy-mm-dd")&amp;CHAR(10)&amp;"Team Leader: "&amp;$F1408&amp;CHAR(10)&amp;"Case Number: "&amp;$M1408&amp;CHAR(10)&amp;"Transaction ID: "&amp;$N1408&amp;CHAR(10)&amp;"Channel / LOB: "&amp;$K1408&amp;" / "&amp;$L1408&amp;CHAR(10)&amp;"Evaluator: "&amp;$S1408&amp;CHAR(10)&amp;CHAR(10)&amp;"INVALID QUALITY AUDIT DETAILS"&amp;CHAR(10)&amp;"Validation: Invalid"&amp;CHAR(10)&amp;"Invalid Reason: "&amp;$P1408&amp;CHAR(10)&amp;"Expected Resolution Code: "&amp;$Q1408&amp;CHAR(10)&amp;"Remarks: "&amp;LEFT($R1408,600)&amp;CHAR(10)&amp;CHAR(10)&amp;"This is an automated notification from HP Mainstream EQMS."),"✉ Open Email Draft"),"")</f>
        <v/>
      </c>
    </row>
    <row r="1409">
      <c r="A1409" s="25">
        <f>IF($C1409="","","AUD-2026-"&amp;TEXT(ROW()-1,"000000"))</f>
        <v/>
      </c>
      <c r="B1409" s="26" t="n"/>
      <c r="C1409" s="27" t="n"/>
      <c r="D1409" s="25">
        <f>IF($C1409="","",IFERROR(IF(INDEX(Roster!$A:$A,MATCH($C1409,Roster!$B:$B,0))="","",INDEX(Roster!$A:$A,MATCH($C1409,Roster!$B:$B,0))&amp;""),"—"))</f>
        <v/>
      </c>
      <c r="E1409" s="25">
        <f>IF($C1409="","",IFERROR(IF(INDEX(Roster!$C:$C,MATCH($C1409,Roster!$B:$B,0))="","",INDEX(Roster!$C:$C,MATCH($C1409,Roster!$B:$B,0))&amp;""),"—"))</f>
        <v/>
      </c>
      <c r="F1409" s="25">
        <f>IF($C1409="","",IFERROR(IF(INDEX(Roster!$D:$D,MATCH($C1409,Roster!$B:$B,0))="","",INDEX(Roster!$D:$D,MATCH($C1409,Roster!$B:$B,0))&amp;""),"—"))</f>
        <v/>
      </c>
      <c r="G1409" s="25">
        <f>IF($C1409="","",IFERROR(IF(INDEX(Roster!$E:$E,MATCH($C1409,Roster!$B:$B,0))="","",INDEX(Roster!$E:$E,MATCH($C1409,Roster!$B:$B,0))&amp;""),"—"))</f>
        <v/>
      </c>
      <c r="H1409" s="25">
        <f>IF($C1409="","",IFERROR(IF(INDEX(Roster!$F:$F,MATCH($C1409,Roster!$B:$B,0))="","",INDEX(Roster!$F:$F,MATCH($C1409,Roster!$B:$B,0))&amp;""),"—"))</f>
        <v/>
      </c>
      <c r="I1409" s="25">
        <f>IF($C1409="","",IFERROR(IF(INDEX(Roster!$G:$G,MATCH($C1409,Roster!$B:$B,0))="","",INDEX(Roster!$G:$G,MATCH($C1409,Roster!$B:$B,0))&amp;""),"—"))</f>
        <v/>
      </c>
      <c r="J1409" s="25">
        <f>IF($C1409="","",IFERROR(IF(INDEX(Roster!$I:$I,MATCH($C1409,Roster!$B:$B,0))="","",INDEX(Roster!$I:$I,MATCH($C1409,Roster!$B:$B,0))&amp;""),"—"))</f>
        <v/>
      </c>
      <c r="K1409">
        <f>IF($C1409="","",IFERROR(IF(INDEX(Roster!$J:$J,MATCH($C1409,Roster!$B:$B,0))="","",INDEX(Roster!$J:$J,MATCH($C1409,Roster!$B:$B,0))&amp;""),"—"))</f>
        <v/>
      </c>
      <c r="L1409">
        <f>IF($C1409="","",IFERROR(IF(INDEX(Roster!$K:$K,MATCH($C1409,Roster!$B:$B,0))="","",INDEX(Roster!$K:$K,MATCH($C1409,Roster!$B:$B,0))&amp;""),"—"))</f>
        <v/>
      </c>
      <c r="M1409" s="27" t="n"/>
      <c r="N1409" s="27" t="n"/>
      <c r="O1409" s="25">
        <f>IF($C1409="","",IF($P1409="","—",IF($P1409="Valid (Pass)","Valid","Invalid")))</f>
        <v/>
      </c>
      <c r="P1409" s="27" t="n"/>
      <c r="Q1409" s="27" t="n"/>
      <c r="R1409" s="27" t="n"/>
      <c r="S1409" s="27" t="n"/>
      <c r="T1409" s="25">
        <f>IF($C1409="","",IF(OR(ISNUMBER(SEARCH("quick case",$P1409)),ISNUMBER(SEARCH("quick case",$Q1409))),"Yes","No"))</f>
        <v/>
      </c>
      <c r="U1409" s="25">
        <f>IF($O1409="Invalid",HYPERLINK("mailto:"&amp;$G1409&amp;";"&amp;$I1409&amp;"?cc="&amp;Lists!$E$2&amp;"&amp;subject="&amp;_xlfn.ENCODEURL("[INVALID] Quality audit monitoring completed for "&amp;UPPER($C1409))&amp;"&amp;body="&amp;_xlfn.ENCODEURL("Hi "&amp;$F1409&amp;","&amp;CHAR(10)&amp;"Good day!"&amp;CHAR(10)&amp;CHAR(10)&amp;"A quality monitoring audit has been completed for "&amp;$C1409&amp;"."&amp;CHAR(10)&amp;CHAR(10)&amp;"QUALITY AUDIT DETAILS"&amp;CHAR(10)&amp;"Agent Name: "&amp;$C1409&amp;" (EID "&amp;$D1409&amp;")"&amp;CHAR(10)&amp;"Audit Date: "&amp;TEXT($B1409,"yyyy-mm-dd")&amp;CHAR(10)&amp;"Team Leader: "&amp;$F1409&amp;CHAR(10)&amp;"Case Number: "&amp;$M1409&amp;CHAR(10)&amp;"Transaction ID: "&amp;$N1409&amp;CHAR(10)&amp;"Channel / LOB: "&amp;$K1409&amp;" / "&amp;$L1409&amp;CHAR(10)&amp;"Evaluator: "&amp;$S1409&amp;CHAR(10)&amp;CHAR(10)&amp;"INVALID QUALITY AUDIT DETAILS"&amp;CHAR(10)&amp;"Validation: Invalid"&amp;CHAR(10)&amp;"Invalid Reason: "&amp;$P1409&amp;CHAR(10)&amp;"Expected Resolution Code: "&amp;$Q1409&amp;CHAR(10)&amp;"Remarks: "&amp;LEFT($R1409,600)&amp;CHAR(10)&amp;CHAR(10)&amp;"This is an automated notification from HP Mainstream EQMS."),"✉ Open Email Draft"),"")</f>
        <v/>
      </c>
    </row>
    <row r="1410">
      <c r="A1410" s="25">
        <f>IF($C1410="","","AUD-2026-"&amp;TEXT(ROW()-1,"000000"))</f>
        <v/>
      </c>
      <c r="B1410" s="26" t="n"/>
      <c r="C1410" s="27" t="n"/>
      <c r="D1410" s="25">
        <f>IF($C1410="","",IFERROR(IF(INDEX(Roster!$A:$A,MATCH($C1410,Roster!$B:$B,0))="","",INDEX(Roster!$A:$A,MATCH($C1410,Roster!$B:$B,0))&amp;""),"—"))</f>
        <v/>
      </c>
      <c r="E1410" s="25">
        <f>IF($C1410="","",IFERROR(IF(INDEX(Roster!$C:$C,MATCH($C1410,Roster!$B:$B,0))="","",INDEX(Roster!$C:$C,MATCH($C1410,Roster!$B:$B,0))&amp;""),"—"))</f>
        <v/>
      </c>
      <c r="F1410" s="25">
        <f>IF($C1410="","",IFERROR(IF(INDEX(Roster!$D:$D,MATCH($C1410,Roster!$B:$B,0))="","",INDEX(Roster!$D:$D,MATCH($C1410,Roster!$B:$B,0))&amp;""),"—"))</f>
        <v/>
      </c>
      <c r="G1410" s="25">
        <f>IF($C1410="","",IFERROR(IF(INDEX(Roster!$E:$E,MATCH($C1410,Roster!$B:$B,0))="","",INDEX(Roster!$E:$E,MATCH($C1410,Roster!$B:$B,0))&amp;""),"—"))</f>
        <v/>
      </c>
      <c r="H1410" s="25">
        <f>IF($C1410="","",IFERROR(IF(INDEX(Roster!$F:$F,MATCH($C1410,Roster!$B:$B,0))="","",INDEX(Roster!$F:$F,MATCH($C1410,Roster!$B:$B,0))&amp;""),"—"))</f>
        <v/>
      </c>
      <c r="I1410" s="25">
        <f>IF($C1410="","",IFERROR(IF(INDEX(Roster!$G:$G,MATCH($C1410,Roster!$B:$B,0))="","",INDEX(Roster!$G:$G,MATCH($C1410,Roster!$B:$B,0))&amp;""),"—"))</f>
        <v/>
      </c>
      <c r="J1410" s="25">
        <f>IF($C1410="","",IFERROR(IF(INDEX(Roster!$I:$I,MATCH($C1410,Roster!$B:$B,0))="","",INDEX(Roster!$I:$I,MATCH($C1410,Roster!$B:$B,0))&amp;""),"—"))</f>
        <v/>
      </c>
      <c r="K1410">
        <f>IF($C1410="","",IFERROR(IF(INDEX(Roster!$J:$J,MATCH($C1410,Roster!$B:$B,0))="","",INDEX(Roster!$J:$J,MATCH($C1410,Roster!$B:$B,0))&amp;""),"—"))</f>
        <v/>
      </c>
      <c r="L1410">
        <f>IF($C1410="","",IFERROR(IF(INDEX(Roster!$K:$K,MATCH($C1410,Roster!$B:$B,0))="","",INDEX(Roster!$K:$K,MATCH($C1410,Roster!$B:$B,0))&amp;""),"—"))</f>
        <v/>
      </c>
      <c r="M1410" s="27" t="n"/>
      <c r="N1410" s="27" t="n"/>
      <c r="O1410" s="25">
        <f>IF($C1410="","",IF($P1410="","—",IF($P1410="Valid (Pass)","Valid","Invalid")))</f>
        <v/>
      </c>
      <c r="P1410" s="27" t="n"/>
      <c r="Q1410" s="27" t="n"/>
      <c r="R1410" s="27" t="n"/>
      <c r="S1410" s="27" t="n"/>
      <c r="T1410" s="25">
        <f>IF($C1410="","",IF(OR(ISNUMBER(SEARCH("quick case",$P1410)),ISNUMBER(SEARCH("quick case",$Q1410))),"Yes","No"))</f>
        <v/>
      </c>
      <c r="U1410" s="25">
        <f>IF($O1410="Invalid",HYPERLINK("mailto:"&amp;$G1410&amp;";"&amp;$I1410&amp;"?cc="&amp;Lists!$E$2&amp;"&amp;subject="&amp;_xlfn.ENCODEURL("[INVALID] Quality audit monitoring completed for "&amp;UPPER($C1410))&amp;"&amp;body="&amp;_xlfn.ENCODEURL("Hi "&amp;$F1410&amp;","&amp;CHAR(10)&amp;"Good day!"&amp;CHAR(10)&amp;CHAR(10)&amp;"A quality monitoring audit has been completed for "&amp;$C1410&amp;"."&amp;CHAR(10)&amp;CHAR(10)&amp;"QUALITY AUDIT DETAILS"&amp;CHAR(10)&amp;"Agent Name: "&amp;$C1410&amp;" (EID "&amp;$D1410&amp;")"&amp;CHAR(10)&amp;"Audit Date: "&amp;TEXT($B1410,"yyyy-mm-dd")&amp;CHAR(10)&amp;"Team Leader: "&amp;$F1410&amp;CHAR(10)&amp;"Case Number: "&amp;$M1410&amp;CHAR(10)&amp;"Transaction ID: "&amp;$N1410&amp;CHAR(10)&amp;"Channel / LOB: "&amp;$K1410&amp;" / "&amp;$L1410&amp;CHAR(10)&amp;"Evaluator: "&amp;$S1410&amp;CHAR(10)&amp;CHAR(10)&amp;"INVALID QUALITY AUDIT DETAILS"&amp;CHAR(10)&amp;"Validation: Invalid"&amp;CHAR(10)&amp;"Invalid Reason: "&amp;$P1410&amp;CHAR(10)&amp;"Expected Resolution Code: "&amp;$Q1410&amp;CHAR(10)&amp;"Remarks: "&amp;LEFT($R1410,600)&amp;CHAR(10)&amp;CHAR(10)&amp;"This is an automated notification from HP Mainstream EQMS."),"✉ Open Email Draft"),"")</f>
        <v/>
      </c>
    </row>
    <row r="1411">
      <c r="A1411" s="25">
        <f>IF($C1411="","","AUD-2026-"&amp;TEXT(ROW()-1,"000000"))</f>
        <v/>
      </c>
      <c r="B1411" s="26" t="n"/>
      <c r="C1411" s="27" t="n"/>
      <c r="D1411" s="25">
        <f>IF($C1411="","",IFERROR(IF(INDEX(Roster!$A:$A,MATCH($C1411,Roster!$B:$B,0))="","",INDEX(Roster!$A:$A,MATCH($C1411,Roster!$B:$B,0))&amp;""),"—"))</f>
        <v/>
      </c>
      <c r="E1411" s="25">
        <f>IF($C1411="","",IFERROR(IF(INDEX(Roster!$C:$C,MATCH($C1411,Roster!$B:$B,0))="","",INDEX(Roster!$C:$C,MATCH($C1411,Roster!$B:$B,0))&amp;""),"—"))</f>
        <v/>
      </c>
      <c r="F1411" s="25">
        <f>IF($C1411="","",IFERROR(IF(INDEX(Roster!$D:$D,MATCH($C1411,Roster!$B:$B,0))="","",INDEX(Roster!$D:$D,MATCH($C1411,Roster!$B:$B,0))&amp;""),"—"))</f>
        <v/>
      </c>
      <c r="G1411" s="25">
        <f>IF($C1411="","",IFERROR(IF(INDEX(Roster!$E:$E,MATCH($C1411,Roster!$B:$B,0))="","",INDEX(Roster!$E:$E,MATCH($C1411,Roster!$B:$B,0))&amp;""),"—"))</f>
        <v/>
      </c>
      <c r="H1411" s="25">
        <f>IF($C1411="","",IFERROR(IF(INDEX(Roster!$F:$F,MATCH($C1411,Roster!$B:$B,0))="","",INDEX(Roster!$F:$F,MATCH($C1411,Roster!$B:$B,0))&amp;""),"—"))</f>
        <v/>
      </c>
      <c r="I1411" s="25">
        <f>IF($C1411="","",IFERROR(IF(INDEX(Roster!$G:$G,MATCH($C1411,Roster!$B:$B,0))="","",INDEX(Roster!$G:$G,MATCH($C1411,Roster!$B:$B,0))&amp;""),"—"))</f>
        <v/>
      </c>
      <c r="J1411" s="25">
        <f>IF($C1411="","",IFERROR(IF(INDEX(Roster!$I:$I,MATCH($C1411,Roster!$B:$B,0))="","",INDEX(Roster!$I:$I,MATCH($C1411,Roster!$B:$B,0))&amp;""),"—"))</f>
        <v/>
      </c>
      <c r="K1411">
        <f>IF($C1411="","",IFERROR(IF(INDEX(Roster!$J:$J,MATCH($C1411,Roster!$B:$B,0))="","",INDEX(Roster!$J:$J,MATCH($C1411,Roster!$B:$B,0))&amp;""),"—"))</f>
        <v/>
      </c>
      <c r="L1411">
        <f>IF($C1411="","",IFERROR(IF(INDEX(Roster!$K:$K,MATCH($C1411,Roster!$B:$B,0))="","",INDEX(Roster!$K:$K,MATCH($C1411,Roster!$B:$B,0))&amp;""),"—"))</f>
        <v/>
      </c>
      <c r="M1411" s="27" t="n"/>
      <c r="N1411" s="27" t="n"/>
      <c r="O1411" s="25">
        <f>IF($C1411="","",IF($P1411="","—",IF($P1411="Valid (Pass)","Valid","Invalid")))</f>
        <v/>
      </c>
      <c r="P1411" s="27" t="n"/>
      <c r="Q1411" s="27" t="n"/>
      <c r="R1411" s="27" t="n"/>
      <c r="S1411" s="27" t="n"/>
      <c r="T1411" s="25">
        <f>IF($C1411="","",IF(OR(ISNUMBER(SEARCH("quick case",$P1411)),ISNUMBER(SEARCH("quick case",$Q1411))),"Yes","No"))</f>
        <v/>
      </c>
      <c r="U1411" s="25">
        <f>IF($O1411="Invalid",HYPERLINK("mailto:"&amp;$G1411&amp;";"&amp;$I1411&amp;"?cc="&amp;Lists!$E$2&amp;"&amp;subject="&amp;_xlfn.ENCODEURL("[INVALID] Quality audit monitoring completed for "&amp;UPPER($C1411))&amp;"&amp;body="&amp;_xlfn.ENCODEURL("Hi "&amp;$F1411&amp;","&amp;CHAR(10)&amp;"Good day!"&amp;CHAR(10)&amp;CHAR(10)&amp;"A quality monitoring audit has been completed for "&amp;$C1411&amp;"."&amp;CHAR(10)&amp;CHAR(10)&amp;"QUALITY AUDIT DETAILS"&amp;CHAR(10)&amp;"Agent Name: "&amp;$C1411&amp;" (EID "&amp;$D1411&amp;")"&amp;CHAR(10)&amp;"Audit Date: "&amp;TEXT($B1411,"yyyy-mm-dd")&amp;CHAR(10)&amp;"Team Leader: "&amp;$F1411&amp;CHAR(10)&amp;"Case Number: "&amp;$M1411&amp;CHAR(10)&amp;"Transaction ID: "&amp;$N1411&amp;CHAR(10)&amp;"Channel / LOB: "&amp;$K1411&amp;" / "&amp;$L1411&amp;CHAR(10)&amp;"Evaluator: "&amp;$S1411&amp;CHAR(10)&amp;CHAR(10)&amp;"INVALID QUALITY AUDIT DETAILS"&amp;CHAR(10)&amp;"Validation: Invalid"&amp;CHAR(10)&amp;"Invalid Reason: "&amp;$P1411&amp;CHAR(10)&amp;"Expected Resolution Code: "&amp;$Q1411&amp;CHAR(10)&amp;"Remarks: "&amp;LEFT($R1411,600)&amp;CHAR(10)&amp;CHAR(10)&amp;"This is an automated notification from HP Mainstream EQMS."),"✉ Open Email Draft"),"")</f>
        <v/>
      </c>
    </row>
    <row r="1412">
      <c r="A1412" s="25">
        <f>IF($C1412="","","AUD-2026-"&amp;TEXT(ROW()-1,"000000"))</f>
        <v/>
      </c>
      <c r="B1412" s="26" t="n"/>
      <c r="C1412" s="27" t="n"/>
      <c r="D1412" s="25">
        <f>IF($C1412="","",IFERROR(IF(INDEX(Roster!$A:$A,MATCH($C1412,Roster!$B:$B,0))="","",INDEX(Roster!$A:$A,MATCH($C1412,Roster!$B:$B,0))&amp;""),"—"))</f>
        <v/>
      </c>
      <c r="E1412" s="25">
        <f>IF($C1412="","",IFERROR(IF(INDEX(Roster!$C:$C,MATCH($C1412,Roster!$B:$B,0))="","",INDEX(Roster!$C:$C,MATCH($C1412,Roster!$B:$B,0))&amp;""),"—"))</f>
        <v/>
      </c>
      <c r="F1412" s="25">
        <f>IF($C1412="","",IFERROR(IF(INDEX(Roster!$D:$D,MATCH($C1412,Roster!$B:$B,0))="","",INDEX(Roster!$D:$D,MATCH($C1412,Roster!$B:$B,0))&amp;""),"—"))</f>
        <v/>
      </c>
      <c r="G1412" s="25">
        <f>IF($C1412="","",IFERROR(IF(INDEX(Roster!$E:$E,MATCH($C1412,Roster!$B:$B,0))="","",INDEX(Roster!$E:$E,MATCH($C1412,Roster!$B:$B,0))&amp;""),"—"))</f>
        <v/>
      </c>
      <c r="H1412" s="25">
        <f>IF($C1412="","",IFERROR(IF(INDEX(Roster!$F:$F,MATCH($C1412,Roster!$B:$B,0))="","",INDEX(Roster!$F:$F,MATCH($C1412,Roster!$B:$B,0))&amp;""),"—"))</f>
        <v/>
      </c>
      <c r="I1412" s="25">
        <f>IF($C1412="","",IFERROR(IF(INDEX(Roster!$G:$G,MATCH($C1412,Roster!$B:$B,0))="","",INDEX(Roster!$G:$G,MATCH($C1412,Roster!$B:$B,0))&amp;""),"—"))</f>
        <v/>
      </c>
      <c r="J1412" s="25">
        <f>IF($C1412="","",IFERROR(IF(INDEX(Roster!$I:$I,MATCH($C1412,Roster!$B:$B,0))="","",INDEX(Roster!$I:$I,MATCH($C1412,Roster!$B:$B,0))&amp;""),"—"))</f>
        <v/>
      </c>
      <c r="K1412">
        <f>IF($C1412="","",IFERROR(IF(INDEX(Roster!$J:$J,MATCH($C1412,Roster!$B:$B,0))="","",INDEX(Roster!$J:$J,MATCH($C1412,Roster!$B:$B,0))&amp;""),"—"))</f>
        <v/>
      </c>
      <c r="L1412">
        <f>IF($C1412="","",IFERROR(IF(INDEX(Roster!$K:$K,MATCH($C1412,Roster!$B:$B,0))="","",INDEX(Roster!$K:$K,MATCH($C1412,Roster!$B:$B,0))&amp;""),"—"))</f>
        <v/>
      </c>
      <c r="M1412" s="27" t="n"/>
      <c r="N1412" s="27" t="n"/>
      <c r="O1412" s="25">
        <f>IF($C1412="","",IF($P1412="","—",IF($P1412="Valid (Pass)","Valid","Invalid")))</f>
        <v/>
      </c>
      <c r="P1412" s="27" t="n"/>
      <c r="Q1412" s="27" t="n"/>
      <c r="R1412" s="27" t="n"/>
      <c r="S1412" s="27" t="n"/>
      <c r="T1412" s="25">
        <f>IF($C1412="","",IF(OR(ISNUMBER(SEARCH("quick case",$P1412)),ISNUMBER(SEARCH("quick case",$Q1412))),"Yes","No"))</f>
        <v/>
      </c>
      <c r="U1412" s="25">
        <f>IF($O1412="Invalid",HYPERLINK("mailto:"&amp;$G1412&amp;";"&amp;$I1412&amp;"?cc="&amp;Lists!$E$2&amp;"&amp;subject="&amp;_xlfn.ENCODEURL("[INVALID] Quality audit monitoring completed for "&amp;UPPER($C1412))&amp;"&amp;body="&amp;_xlfn.ENCODEURL("Hi "&amp;$F1412&amp;","&amp;CHAR(10)&amp;"Good day!"&amp;CHAR(10)&amp;CHAR(10)&amp;"A quality monitoring audit has been completed for "&amp;$C1412&amp;"."&amp;CHAR(10)&amp;CHAR(10)&amp;"QUALITY AUDIT DETAILS"&amp;CHAR(10)&amp;"Agent Name: "&amp;$C1412&amp;" (EID "&amp;$D1412&amp;")"&amp;CHAR(10)&amp;"Audit Date: "&amp;TEXT($B1412,"yyyy-mm-dd")&amp;CHAR(10)&amp;"Team Leader: "&amp;$F1412&amp;CHAR(10)&amp;"Case Number: "&amp;$M1412&amp;CHAR(10)&amp;"Transaction ID: "&amp;$N1412&amp;CHAR(10)&amp;"Channel / LOB: "&amp;$K1412&amp;" / "&amp;$L1412&amp;CHAR(10)&amp;"Evaluator: "&amp;$S1412&amp;CHAR(10)&amp;CHAR(10)&amp;"INVALID QUALITY AUDIT DETAILS"&amp;CHAR(10)&amp;"Validation: Invalid"&amp;CHAR(10)&amp;"Invalid Reason: "&amp;$P1412&amp;CHAR(10)&amp;"Expected Resolution Code: "&amp;$Q1412&amp;CHAR(10)&amp;"Remarks: "&amp;LEFT($R1412,600)&amp;CHAR(10)&amp;CHAR(10)&amp;"This is an automated notification from HP Mainstream EQMS."),"✉ Open Email Draft"),"")</f>
        <v/>
      </c>
    </row>
    <row r="1413">
      <c r="A1413" s="25">
        <f>IF($C1413="","","AUD-2026-"&amp;TEXT(ROW()-1,"000000"))</f>
        <v/>
      </c>
      <c r="B1413" s="26" t="n"/>
      <c r="C1413" s="27" t="n"/>
      <c r="D1413" s="25">
        <f>IF($C1413="","",IFERROR(IF(INDEX(Roster!$A:$A,MATCH($C1413,Roster!$B:$B,0))="","",INDEX(Roster!$A:$A,MATCH($C1413,Roster!$B:$B,0))&amp;""),"—"))</f>
        <v/>
      </c>
      <c r="E1413" s="25">
        <f>IF($C1413="","",IFERROR(IF(INDEX(Roster!$C:$C,MATCH($C1413,Roster!$B:$B,0))="","",INDEX(Roster!$C:$C,MATCH($C1413,Roster!$B:$B,0))&amp;""),"—"))</f>
        <v/>
      </c>
      <c r="F1413" s="25">
        <f>IF($C1413="","",IFERROR(IF(INDEX(Roster!$D:$D,MATCH($C1413,Roster!$B:$B,0))="","",INDEX(Roster!$D:$D,MATCH($C1413,Roster!$B:$B,0))&amp;""),"—"))</f>
        <v/>
      </c>
      <c r="G1413" s="25">
        <f>IF($C1413="","",IFERROR(IF(INDEX(Roster!$E:$E,MATCH($C1413,Roster!$B:$B,0))="","",INDEX(Roster!$E:$E,MATCH($C1413,Roster!$B:$B,0))&amp;""),"—"))</f>
        <v/>
      </c>
      <c r="H1413" s="25">
        <f>IF($C1413="","",IFERROR(IF(INDEX(Roster!$F:$F,MATCH($C1413,Roster!$B:$B,0))="","",INDEX(Roster!$F:$F,MATCH($C1413,Roster!$B:$B,0))&amp;""),"—"))</f>
        <v/>
      </c>
      <c r="I1413" s="25">
        <f>IF($C1413="","",IFERROR(IF(INDEX(Roster!$G:$G,MATCH($C1413,Roster!$B:$B,0))="","",INDEX(Roster!$G:$G,MATCH($C1413,Roster!$B:$B,0))&amp;""),"—"))</f>
        <v/>
      </c>
      <c r="J1413" s="25">
        <f>IF($C1413="","",IFERROR(IF(INDEX(Roster!$I:$I,MATCH($C1413,Roster!$B:$B,0))="","",INDEX(Roster!$I:$I,MATCH($C1413,Roster!$B:$B,0))&amp;""),"—"))</f>
        <v/>
      </c>
      <c r="K1413">
        <f>IF($C1413="","",IFERROR(IF(INDEX(Roster!$J:$J,MATCH($C1413,Roster!$B:$B,0))="","",INDEX(Roster!$J:$J,MATCH($C1413,Roster!$B:$B,0))&amp;""),"—"))</f>
        <v/>
      </c>
      <c r="L1413">
        <f>IF($C1413="","",IFERROR(IF(INDEX(Roster!$K:$K,MATCH($C1413,Roster!$B:$B,0))="","",INDEX(Roster!$K:$K,MATCH($C1413,Roster!$B:$B,0))&amp;""),"—"))</f>
        <v/>
      </c>
      <c r="M1413" s="27" t="n"/>
      <c r="N1413" s="27" t="n"/>
      <c r="O1413" s="25">
        <f>IF($C1413="","",IF($P1413="","—",IF($P1413="Valid (Pass)","Valid","Invalid")))</f>
        <v/>
      </c>
      <c r="P1413" s="27" t="n"/>
      <c r="Q1413" s="27" t="n"/>
      <c r="R1413" s="27" t="n"/>
      <c r="S1413" s="27" t="n"/>
      <c r="T1413" s="25">
        <f>IF($C1413="","",IF(OR(ISNUMBER(SEARCH("quick case",$P1413)),ISNUMBER(SEARCH("quick case",$Q1413))),"Yes","No"))</f>
        <v/>
      </c>
      <c r="U1413" s="25">
        <f>IF($O1413="Invalid",HYPERLINK("mailto:"&amp;$G1413&amp;";"&amp;$I1413&amp;"?cc="&amp;Lists!$E$2&amp;"&amp;subject="&amp;_xlfn.ENCODEURL("[INVALID] Quality audit monitoring completed for "&amp;UPPER($C1413))&amp;"&amp;body="&amp;_xlfn.ENCODEURL("Hi "&amp;$F1413&amp;","&amp;CHAR(10)&amp;"Good day!"&amp;CHAR(10)&amp;CHAR(10)&amp;"A quality monitoring audit has been completed for "&amp;$C1413&amp;"."&amp;CHAR(10)&amp;CHAR(10)&amp;"QUALITY AUDIT DETAILS"&amp;CHAR(10)&amp;"Agent Name: "&amp;$C1413&amp;" (EID "&amp;$D1413&amp;")"&amp;CHAR(10)&amp;"Audit Date: "&amp;TEXT($B1413,"yyyy-mm-dd")&amp;CHAR(10)&amp;"Team Leader: "&amp;$F1413&amp;CHAR(10)&amp;"Case Number: "&amp;$M1413&amp;CHAR(10)&amp;"Transaction ID: "&amp;$N1413&amp;CHAR(10)&amp;"Channel / LOB: "&amp;$K1413&amp;" / "&amp;$L1413&amp;CHAR(10)&amp;"Evaluator: "&amp;$S1413&amp;CHAR(10)&amp;CHAR(10)&amp;"INVALID QUALITY AUDIT DETAILS"&amp;CHAR(10)&amp;"Validation: Invalid"&amp;CHAR(10)&amp;"Invalid Reason: "&amp;$P1413&amp;CHAR(10)&amp;"Expected Resolution Code: "&amp;$Q1413&amp;CHAR(10)&amp;"Remarks: "&amp;LEFT($R1413,600)&amp;CHAR(10)&amp;CHAR(10)&amp;"This is an automated notification from HP Mainstream EQMS."),"✉ Open Email Draft"),"")</f>
        <v/>
      </c>
    </row>
    <row r="1414">
      <c r="A1414" s="25">
        <f>IF($C1414="","","AUD-2026-"&amp;TEXT(ROW()-1,"000000"))</f>
        <v/>
      </c>
      <c r="B1414" s="26" t="n"/>
      <c r="C1414" s="27" t="n"/>
      <c r="D1414" s="25">
        <f>IF($C1414="","",IFERROR(IF(INDEX(Roster!$A:$A,MATCH($C1414,Roster!$B:$B,0))="","",INDEX(Roster!$A:$A,MATCH($C1414,Roster!$B:$B,0))&amp;""),"—"))</f>
        <v/>
      </c>
      <c r="E1414" s="25">
        <f>IF($C1414="","",IFERROR(IF(INDEX(Roster!$C:$C,MATCH($C1414,Roster!$B:$B,0))="","",INDEX(Roster!$C:$C,MATCH($C1414,Roster!$B:$B,0))&amp;""),"—"))</f>
        <v/>
      </c>
      <c r="F1414" s="25">
        <f>IF($C1414="","",IFERROR(IF(INDEX(Roster!$D:$D,MATCH($C1414,Roster!$B:$B,0))="","",INDEX(Roster!$D:$D,MATCH($C1414,Roster!$B:$B,0))&amp;""),"—"))</f>
        <v/>
      </c>
      <c r="G1414" s="25">
        <f>IF($C1414="","",IFERROR(IF(INDEX(Roster!$E:$E,MATCH($C1414,Roster!$B:$B,0))="","",INDEX(Roster!$E:$E,MATCH($C1414,Roster!$B:$B,0))&amp;""),"—"))</f>
        <v/>
      </c>
      <c r="H1414" s="25">
        <f>IF($C1414="","",IFERROR(IF(INDEX(Roster!$F:$F,MATCH($C1414,Roster!$B:$B,0))="","",INDEX(Roster!$F:$F,MATCH($C1414,Roster!$B:$B,0))&amp;""),"—"))</f>
        <v/>
      </c>
      <c r="I1414" s="25">
        <f>IF($C1414="","",IFERROR(IF(INDEX(Roster!$G:$G,MATCH($C1414,Roster!$B:$B,0))="","",INDEX(Roster!$G:$G,MATCH($C1414,Roster!$B:$B,0))&amp;""),"—"))</f>
        <v/>
      </c>
      <c r="J1414" s="25">
        <f>IF($C1414="","",IFERROR(IF(INDEX(Roster!$I:$I,MATCH($C1414,Roster!$B:$B,0))="","",INDEX(Roster!$I:$I,MATCH($C1414,Roster!$B:$B,0))&amp;""),"—"))</f>
        <v/>
      </c>
      <c r="K1414">
        <f>IF($C1414="","",IFERROR(IF(INDEX(Roster!$J:$J,MATCH($C1414,Roster!$B:$B,0))="","",INDEX(Roster!$J:$J,MATCH($C1414,Roster!$B:$B,0))&amp;""),"—"))</f>
        <v/>
      </c>
      <c r="L1414">
        <f>IF($C1414="","",IFERROR(IF(INDEX(Roster!$K:$K,MATCH($C1414,Roster!$B:$B,0))="","",INDEX(Roster!$K:$K,MATCH($C1414,Roster!$B:$B,0))&amp;""),"—"))</f>
        <v/>
      </c>
      <c r="M1414" s="27" t="n"/>
      <c r="N1414" s="27" t="n"/>
      <c r="O1414" s="25">
        <f>IF($C1414="","",IF($P1414="","—",IF($P1414="Valid (Pass)","Valid","Invalid")))</f>
        <v/>
      </c>
      <c r="P1414" s="27" t="n"/>
      <c r="Q1414" s="27" t="n"/>
      <c r="R1414" s="27" t="n"/>
      <c r="S1414" s="27" t="n"/>
      <c r="T1414" s="25">
        <f>IF($C1414="","",IF(OR(ISNUMBER(SEARCH("quick case",$P1414)),ISNUMBER(SEARCH("quick case",$Q1414))),"Yes","No"))</f>
        <v/>
      </c>
      <c r="U1414" s="25">
        <f>IF($O1414="Invalid",HYPERLINK("mailto:"&amp;$G1414&amp;";"&amp;$I1414&amp;"?cc="&amp;Lists!$E$2&amp;"&amp;subject="&amp;_xlfn.ENCODEURL("[INVALID] Quality audit monitoring completed for "&amp;UPPER($C1414))&amp;"&amp;body="&amp;_xlfn.ENCODEURL("Hi "&amp;$F1414&amp;","&amp;CHAR(10)&amp;"Good day!"&amp;CHAR(10)&amp;CHAR(10)&amp;"A quality monitoring audit has been completed for "&amp;$C1414&amp;"."&amp;CHAR(10)&amp;CHAR(10)&amp;"QUALITY AUDIT DETAILS"&amp;CHAR(10)&amp;"Agent Name: "&amp;$C1414&amp;" (EID "&amp;$D1414&amp;")"&amp;CHAR(10)&amp;"Audit Date: "&amp;TEXT($B1414,"yyyy-mm-dd")&amp;CHAR(10)&amp;"Team Leader: "&amp;$F1414&amp;CHAR(10)&amp;"Case Number: "&amp;$M1414&amp;CHAR(10)&amp;"Transaction ID: "&amp;$N1414&amp;CHAR(10)&amp;"Channel / LOB: "&amp;$K1414&amp;" / "&amp;$L1414&amp;CHAR(10)&amp;"Evaluator: "&amp;$S1414&amp;CHAR(10)&amp;CHAR(10)&amp;"INVALID QUALITY AUDIT DETAILS"&amp;CHAR(10)&amp;"Validation: Invalid"&amp;CHAR(10)&amp;"Invalid Reason: "&amp;$P1414&amp;CHAR(10)&amp;"Expected Resolution Code: "&amp;$Q1414&amp;CHAR(10)&amp;"Remarks: "&amp;LEFT($R1414,600)&amp;CHAR(10)&amp;CHAR(10)&amp;"This is an automated notification from HP Mainstream EQMS."),"✉ Open Email Draft"),"")</f>
        <v/>
      </c>
    </row>
    <row r="1415">
      <c r="A1415" s="25">
        <f>IF($C1415="","","AUD-2026-"&amp;TEXT(ROW()-1,"000000"))</f>
        <v/>
      </c>
      <c r="B1415" s="26" t="n"/>
      <c r="C1415" s="27" t="n"/>
      <c r="D1415" s="25">
        <f>IF($C1415="","",IFERROR(IF(INDEX(Roster!$A:$A,MATCH($C1415,Roster!$B:$B,0))="","",INDEX(Roster!$A:$A,MATCH($C1415,Roster!$B:$B,0))&amp;""),"—"))</f>
        <v/>
      </c>
      <c r="E1415" s="25">
        <f>IF($C1415="","",IFERROR(IF(INDEX(Roster!$C:$C,MATCH($C1415,Roster!$B:$B,0))="","",INDEX(Roster!$C:$C,MATCH($C1415,Roster!$B:$B,0))&amp;""),"—"))</f>
        <v/>
      </c>
      <c r="F1415" s="25">
        <f>IF($C1415="","",IFERROR(IF(INDEX(Roster!$D:$D,MATCH($C1415,Roster!$B:$B,0))="","",INDEX(Roster!$D:$D,MATCH($C1415,Roster!$B:$B,0))&amp;""),"—"))</f>
        <v/>
      </c>
      <c r="G1415" s="25">
        <f>IF($C1415="","",IFERROR(IF(INDEX(Roster!$E:$E,MATCH($C1415,Roster!$B:$B,0))="","",INDEX(Roster!$E:$E,MATCH($C1415,Roster!$B:$B,0))&amp;""),"—"))</f>
        <v/>
      </c>
      <c r="H1415" s="25">
        <f>IF($C1415="","",IFERROR(IF(INDEX(Roster!$F:$F,MATCH($C1415,Roster!$B:$B,0))="","",INDEX(Roster!$F:$F,MATCH($C1415,Roster!$B:$B,0))&amp;""),"—"))</f>
        <v/>
      </c>
      <c r="I1415" s="25">
        <f>IF($C1415="","",IFERROR(IF(INDEX(Roster!$G:$G,MATCH($C1415,Roster!$B:$B,0))="","",INDEX(Roster!$G:$G,MATCH($C1415,Roster!$B:$B,0))&amp;""),"—"))</f>
        <v/>
      </c>
      <c r="J1415" s="25">
        <f>IF($C1415="","",IFERROR(IF(INDEX(Roster!$I:$I,MATCH($C1415,Roster!$B:$B,0))="","",INDEX(Roster!$I:$I,MATCH($C1415,Roster!$B:$B,0))&amp;""),"—"))</f>
        <v/>
      </c>
      <c r="K1415">
        <f>IF($C1415="","",IFERROR(IF(INDEX(Roster!$J:$J,MATCH($C1415,Roster!$B:$B,0))="","",INDEX(Roster!$J:$J,MATCH($C1415,Roster!$B:$B,0))&amp;""),"—"))</f>
        <v/>
      </c>
      <c r="L1415">
        <f>IF($C1415="","",IFERROR(IF(INDEX(Roster!$K:$K,MATCH($C1415,Roster!$B:$B,0))="","",INDEX(Roster!$K:$K,MATCH($C1415,Roster!$B:$B,0))&amp;""),"—"))</f>
        <v/>
      </c>
      <c r="M1415" s="27" t="n"/>
      <c r="N1415" s="27" t="n"/>
      <c r="O1415" s="25">
        <f>IF($C1415="","",IF($P1415="","—",IF($P1415="Valid (Pass)","Valid","Invalid")))</f>
        <v/>
      </c>
      <c r="P1415" s="27" t="n"/>
      <c r="Q1415" s="27" t="n"/>
      <c r="R1415" s="27" t="n"/>
      <c r="S1415" s="27" t="n"/>
      <c r="T1415" s="25">
        <f>IF($C1415="","",IF(OR(ISNUMBER(SEARCH("quick case",$P1415)),ISNUMBER(SEARCH("quick case",$Q1415))),"Yes","No"))</f>
        <v/>
      </c>
      <c r="U1415" s="25">
        <f>IF($O1415="Invalid",HYPERLINK("mailto:"&amp;$G1415&amp;";"&amp;$I1415&amp;"?cc="&amp;Lists!$E$2&amp;"&amp;subject="&amp;_xlfn.ENCODEURL("[INVALID] Quality audit monitoring completed for "&amp;UPPER($C1415))&amp;"&amp;body="&amp;_xlfn.ENCODEURL("Hi "&amp;$F1415&amp;","&amp;CHAR(10)&amp;"Good day!"&amp;CHAR(10)&amp;CHAR(10)&amp;"A quality monitoring audit has been completed for "&amp;$C1415&amp;"."&amp;CHAR(10)&amp;CHAR(10)&amp;"QUALITY AUDIT DETAILS"&amp;CHAR(10)&amp;"Agent Name: "&amp;$C1415&amp;" (EID "&amp;$D1415&amp;")"&amp;CHAR(10)&amp;"Audit Date: "&amp;TEXT($B1415,"yyyy-mm-dd")&amp;CHAR(10)&amp;"Team Leader: "&amp;$F1415&amp;CHAR(10)&amp;"Case Number: "&amp;$M1415&amp;CHAR(10)&amp;"Transaction ID: "&amp;$N1415&amp;CHAR(10)&amp;"Channel / LOB: "&amp;$K1415&amp;" / "&amp;$L1415&amp;CHAR(10)&amp;"Evaluator: "&amp;$S1415&amp;CHAR(10)&amp;CHAR(10)&amp;"INVALID QUALITY AUDIT DETAILS"&amp;CHAR(10)&amp;"Validation: Invalid"&amp;CHAR(10)&amp;"Invalid Reason: "&amp;$P1415&amp;CHAR(10)&amp;"Expected Resolution Code: "&amp;$Q1415&amp;CHAR(10)&amp;"Remarks: "&amp;LEFT($R1415,600)&amp;CHAR(10)&amp;CHAR(10)&amp;"This is an automated notification from HP Mainstream EQMS."),"✉ Open Email Draft"),"")</f>
        <v/>
      </c>
    </row>
    <row r="1416">
      <c r="A1416" s="25">
        <f>IF($C1416="","","AUD-2026-"&amp;TEXT(ROW()-1,"000000"))</f>
        <v/>
      </c>
      <c r="B1416" s="26" t="n"/>
      <c r="C1416" s="27" t="n"/>
      <c r="D1416" s="25">
        <f>IF($C1416="","",IFERROR(IF(INDEX(Roster!$A:$A,MATCH($C1416,Roster!$B:$B,0))="","",INDEX(Roster!$A:$A,MATCH($C1416,Roster!$B:$B,0))&amp;""),"—"))</f>
        <v/>
      </c>
      <c r="E1416" s="25">
        <f>IF($C1416="","",IFERROR(IF(INDEX(Roster!$C:$C,MATCH($C1416,Roster!$B:$B,0))="","",INDEX(Roster!$C:$C,MATCH($C1416,Roster!$B:$B,0))&amp;""),"—"))</f>
        <v/>
      </c>
      <c r="F1416" s="25">
        <f>IF($C1416="","",IFERROR(IF(INDEX(Roster!$D:$D,MATCH($C1416,Roster!$B:$B,0))="","",INDEX(Roster!$D:$D,MATCH($C1416,Roster!$B:$B,0))&amp;""),"—"))</f>
        <v/>
      </c>
      <c r="G1416" s="25">
        <f>IF($C1416="","",IFERROR(IF(INDEX(Roster!$E:$E,MATCH($C1416,Roster!$B:$B,0))="","",INDEX(Roster!$E:$E,MATCH($C1416,Roster!$B:$B,0))&amp;""),"—"))</f>
        <v/>
      </c>
      <c r="H1416" s="25">
        <f>IF($C1416="","",IFERROR(IF(INDEX(Roster!$F:$F,MATCH($C1416,Roster!$B:$B,0))="","",INDEX(Roster!$F:$F,MATCH($C1416,Roster!$B:$B,0))&amp;""),"—"))</f>
        <v/>
      </c>
      <c r="I1416" s="25">
        <f>IF($C1416="","",IFERROR(IF(INDEX(Roster!$G:$G,MATCH($C1416,Roster!$B:$B,0))="","",INDEX(Roster!$G:$G,MATCH($C1416,Roster!$B:$B,0))&amp;""),"—"))</f>
        <v/>
      </c>
      <c r="J1416" s="25">
        <f>IF($C1416="","",IFERROR(IF(INDEX(Roster!$I:$I,MATCH($C1416,Roster!$B:$B,0))="","",INDEX(Roster!$I:$I,MATCH($C1416,Roster!$B:$B,0))&amp;""),"—"))</f>
        <v/>
      </c>
      <c r="K1416">
        <f>IF($C1416="","",IFERROR(IF(INDEX(Roster!$J:$J,MATCH($C1416,Roster!$B:$B,0))="","",INDEX(Roster!$J:$J,MATCH($C1416,Roster!$B:$B,0))&amp;""),"—"))</f>
        <v/>
      </c>
      <c r="L1416">
        <f>IF($C1416="","",IFERROR(IF(INDEX(Roster!$K:$K,MATCH($C1416,Roster!$B:$B,0))="","",INDEX(Roster!$K:$K,MATCH($C1416,Roster!$B:$B,0))&amp;""),"—"))</f>
        <v/>
      </c>
      <c r="M1416" s="27" t="n"/>
      <c r="N1416" s="27" t="n"/>
      <c r="O1416" s="25">
        <f>IF($C1416="","",IF($P1416="","—",IF($P1416="Valid (Pass)","Valid","Invalid")))</f>
        <v/>
      </c>
      <c r="P1416" s="27" t="n"/>
      <c r="Q1416" s="27" t="n"/>
      <c r="R1416" s="27" t="n"/>
      <c r="S1416" s="27" t="n"/>
      <c r="T1416" s="25">
        <f>IF($C1416="","",IF(OR(ISNUMBER(SEARCH("quick case",$P1416)),ISNUMBER(SEARCH("quick case",$Q1416))),"Yes","No"))</f>
        <v/>
      </c>
      <c r="U1416" s="25">
        <f>IF($O1416="Invalid",HYPERLINK("mailto:"&amp;$G1416&amp;";"&amp;$I1416&amp;"?cc="&amp;Lists!$E$2&amp;"&amp;subject="&amp;_xlfn.ENCODEURL("[INVALID] Quality audit monitoring completed for "&amp;UPPER($C1416))&amp;"&amp;body="&amp;_xlfn.ENCODEURL("Hi "&amp;$F1416&amp;","&amp;CHAR(10)&amp;"Good day!"&amp;CHAR(10)&amp;CHAR(10)&amp;"A quality monitoring audit has been completed for "&amp;$C1416&amp;"."&amp;CHAR(10)&amp;CHAR(10)&amp;"QUALITY AUDIT DETAILS"&amp;CHAR(10)&amp;"Agent Name: "&amp;$C1416&amp;" (EID "&amp;$D1416&amp;")"&amp;CHAR(10)&amp;"Audit Date: "&amp;TEXT($B1416,"yyyy-mm-dd")&amp;CHAR(10)&amp;"Team Leader: "&amp;$F1416&amp;CHAR(10)&amp;"Case Number: "&amp;$M1416&amp;CHAR(10)&amp;"Transaction ID: "&amp;$N1416&amp;CHAR(10)&amp;"Channel / LOB: "&amp;$K1416&amp;" / "&amp;$L1416&amp;CHAR(10)&amp;"Evaluator: "&amp;$S1416&amp;CHAR(10)&amp;CHAR(10)&amp;"INVALID QUALITY AUDIT DETAILS"&amp;CHAR(10)&amp;"Validation: Invalid"&amp;CHAR(10)&amp;"Invalid Reason: "&amp;$P1416&amp;CHAR(10)&amp;"Expected Resolution Code: "&amp;$Q1416&amp;CHAR(10)&amp;"Remarks: "&amp;LEFT($R1416,600)&amp;CHAR(10)&amp;CHAR(10)&amp;"This is an automated notification from HP Mainstream EQMS."),"✉ Open Email Draft"),"")</f>
        <v/>
      </c>
    </row>
    <row r="1417">
      <c r="A1417" s="25">
        <f>IF($C1417="","","AUD-2026-"&amp;TEXT(ROW()-1,"000000"))</f>
        <v/>
      </c>
      <c r="B1417" s="26" t="n"/>
      <c r="C1417" s="27" t="n"/>
      <c r="D1417" s="25">
        <f>IF($C1417="","",IFERROR(IF(INDEX(Roster!$A:$A,MATCH($C1417,Roster!$B:$B,0))="","",INDEX(Roster!$A:$A,MATCH($C1417,Roster!$B:$B,0))&amp;""),"—"))</f>
        <v/>
      </c>
      <c r="E1417" s="25">
        <f>IF($C1417="","",IFERROR(IF(INDEX(Roster!$C:$C,MATCH($C1417,Roster!$B:$B,0))="","",INDEX(Roster!$C:$C,MATCH($C1417,Roster!$B:$B,0))&amp;""),"—"))</f>
        <v/>
      </c>
      <c r="F1417" s="25">
        <f>IF($C1417="","",IFERROR(IF(INDEX(Roster!$D:$D,MATCH($C1417,Roster!$B:$B,0))="","",INDEX(Roster!$D:$D,MATCH($C1417,Roster!$B:$B,0))&amp;""),"—"))</f>
        <v/>
      </c>
      <c r="G1417" s="25">
        <f>IF($C1417="","",IFERROR(IF(INDEX(Roster!$E:$E,MATCH($C1417,Roster!$B:$B,0))="","",INDEX(Roster!$E:$E,MATCH($C1417,Roster!$B:$B,0))&amp;""),"—"))</f>
        <v/>
      </c>
      <c r="H1417" s="25">
        <f>IF($C1417="","",IFERROR(IF(INDEX(Roster!$F:$F,MATCH($C1417,Roster!$B:$B,0))="","",INDEX(Roster!$F:$F,MATCH($C1417,Roster!$B:$B,0))&amp;""),"—"))</f>
        <v/>
      </c>
      <c r="I1417" s="25">
        <f>IF($C1417="","",IFERROR(IF(INDEX(Roster!$G:$G,MATCH($C1417,Roster!$B:$B,0))="","",INDEX(Roster!$G:$G,MATCH($C1417,Roster!$B:$B,0))&amp;""),"—"))</f>
        <v/>
      </c>
      <c r="J1417" s="25">
        <f>IF($C1417="","",IFERROR(IF(INDEX(Roster!$I:$I,MATCH($C1417,Roster!$B:$B,0))="","",INDEX(Roster!$I:$I,MATCH($C1417,Roster!$B:$B,0))&amp;""),"—"))</f>
        <v/>
      </c>
      <c r="K1417">
        <f>IF($C1417="","",IFERROR(IF(INDEX(Roster!$J:$J,MATCH($C1417,Roster!$B:$B,0))="","",INDEX(Roster!$J:$J,MATCH($C1417,Roster!$B:$B,0))&amp;""),"—"))</f>
        <v/>
      </c>
      <c r="L1417">
        <f>IF($C1417="","",IFERROR(IF(INDEX(Roster!$K:$K,MATCH($C1417,Roster!$B:$B,0))="","",INDEX(Roster!$K:$K,MATCH($C1417,Roster!$B:$B,0))&amp;""),"—"))</f>
        <v/>
      </c>
      <c r="M1417" s="27" t="n"/>
      <c r="N1417" s="27" t="n"/>
      <c r="O1417" s="25">
        <f>IF($C1417="","",IF($P1417="","—",IF($P1417="Valid (Pass)","Valid","Invalid")))</f>
        <v/>
      </c>
      <c r="P1417" s="27" t="n"/>
      <c r="Q1417" s="27" t="n"/>
      <c r="R1417" s="27" t="n"/>
      <c r="S1417" s="27" t="n"/>
      <c r="T1417" s="25">
        <f>IF($C1417="","",IF(OR(ISNUMBER(SEARCH("quick case",$P1417)),ISNUMBER(SEARCH("quick case",$Q1417))),"Yes","No"))</f>
        <v/>
      </c>
      <c r="U1417" s="25">
        <f>IF($O1417="Invalid",HYPERLINK("mailto:"&amp;$G1417&amp;";"&amp;$I1417&amp;"?cc="&amp;Lists!$E$2&amp;"&amp;subject="&amp;_xlfn.ENCODEURL("[INVALID] Quality audit monitoring completed for "&amp;UPPER($C1417))&amp;"&amp;body="&amp;_xlfn.ENCODEURL("Hi "&amp;$F1417&amp;","&amp;CHAR(10)&amp;"Good day!"&amp;CHAR(10)&amp;CHAR(10)&amp;"A quality monitoring audit has been completed for "&amp;$C1417&amp;"."&amp;CHAR(10)&amp;CHAR(10)&amp;"QUALITY AUDIT DETAILS"&amp;CHAR(10)&amp;"Agent Name: "&amp;$C1417&amp;" (EID "&amp;$D1417&amp;")"&amp;CHAR(10)&amp;"Audit Date: "&amp;TEXT($B1417,"yyyy-mm-dd")&amp;CHAR(10)&amp;"Team Leader: "&amp;$F1417&amp;CHAR(10)&amp;"Case Number: "&amp;$M1417&amp;CHAR(10)&amp;"Transaction ID: "&amp;$N1417&amp;CHAR(10)&amp;"Channel / LOB: "&amp;$K1417&amp;" / "&amp;$L1417&amp;CHAR(10)&amp;"Evaluator: "&amp;$S1417&amp;CHAR(10)&amp;CHAR(10)&amp;"INVALID QUALITY AUDIT DETAILS"&amp;CHAR(10)&amp;"Validation: Invalid"&amp;CHAR(10)&amp;"Invalid Reason: "&amp;$P1417&amp;CHAR(10)&amp;"Expected Resolution Code: "&amp;$Q1417&amp;CHAR(10)&amp;"Remarks: "&amp;LEFT($R1417,600)&amp;CHAR(10)&amp;CHAR(10)&amp;"This is an automated notification from HP Mainstream EQMS."),"✉ Open Email Draft"),"")</f>
        <v/>
      </c>
    </row>
    <row r="1418">
      <c r="A1418" s="25">
        <f>IF($C1418="","","AUD-2026-"&amp;TEXT(ROW()-1,"000000"))</f>
        <v/>
      </c>
      <c r="B1418" s="26" t="n"/>
      <c r="C1418" s="27" t="n"/>
      <c r="D1418" s="25">
        <f>IF($C1418="","",IFERROR(IF(INDEX(Roster!$A:$A,MATCH($C1418,Roster!$B:$B,0))="","",INDEX(Roster!$A:$A,MATCH($C1418,Roster!$B:$B,0))&amp;""),"—"))</f>
        <v/>
      </c>
      <c r="E1418" s="25">
        <f>IF($C1418="","",IFERROR(IF(INDEX(Roster!$C:$C,MATCH($C1418,Roster!$B:$B,0))="","",INDEX(Roster!$C:$C,MATCH($C1418,Roster!$B:$B,0))&amp;""),"—"))</f>
        <v/>
      </c>
      <c r="F1418" s="25">
        <f>IF($C1418="","",IFERROR(IF(INDEX(Roster!$D:$D,MATCH($C1418,Roster!$B:$B,0))="","",INDEX(Roster!$D:$D,MATCH($C1418,Roster!$B:$B,0))&amp;""),"—"))</f>
        <v/>
      </c>
      <c r="G1418" s="25">
        <f>IF($C1418="","",IFERROR(IF(INDEX(Roster!$E:$E,MATCH($C1418,Roster!$B:$B,0))="","",INDEX(Roster!$E:$E,MATCH($C1418,Roster!$B:$B,0))&amp;""),"—"))</f>
        <v/>
      </c>
      <c r="H1418" s="25">
        <f>IF($C1418="","",IFERROR(IF(INDEX(Roster!$F:$F,MATCH($C1418,Roster!$B:$B,0))="","",INDEX(Roster!$F:$F,MATCH($C1418,Roster!$B:$B,0))&amp;""),"—"))</f>
        <v/>
      </c>
      <c r="I1418" s="25">
        <f>IF($C1418="","",IFERROR(IF(INDEX(Roster!$G:$G,MATCH($C1418,Roster!$B:$B,0))="","",INDEX(Roster!$G:$G,MATCH($C1418,Roster!$B:$B,0))&amp;""),"—"))</f>
        <v/>
      </c>
      <c r="J1418" s="25">
        <f>IF($C1418="","",IFERROR(IF(INDEX(Roster!$I:$I,MATCH($C1418,Roster!$B:$B,0))="","",INDEX(Roster!$I:$I,MATCH($C1418,Roster!$B:$B,0))&amp;""),"—"))</f>
        <v/>
      </c>
      <c r="K1418">
        <f>IF($C1418="","",IFERROR(IF(INDEX(Roster!$J:$J,MATCH($C1418,Roster!$B:$B,0))="","",INDEX(Roster!$J:$J,MATCH($C1418,Roster!$B:$B,0))&amp;""),"—"))</f>
        <v/>
      </c>
      <c r="L1418">
        <f>IF($C1418="","",IFERROR(IF(INDEX(Roster!$K:$K,MATCH($C1418,Roster!$B:$B,0))="","",INDEX(Roster!$K:$K,MATCH($C1418,Roster!$B:$B,0))&amp;""),"—"))</f>
        <v/>
      </c>
      <c r="M1418" s="27" t="n"/>
      <c r="N1418" s="27" t="n"/>
      <c r="O1418" s="25">
        <f>IF($C1418="","",IF($P1418="","—",IF($P1418="Valid (Pass)","Valid","Invalid")))</f>
        <v/>
      </c>
      <c r="P1418" s="27" t="n"/>
      <c r="Q1418" s="27" t="n"/>
      <c r="R1418" s="27" t="n"/>
      <c r="S1418" s="27" t="n"/>
      <c r="T1418" s="25">
        <f>IF($C1418="","",IF(OR(ISNUMBER(SEARCH("quick case",$P1418)),ISNUMBER(SEARCH("quick case",$Q1418))),"Yes","No"))</f>
        <v/>
      </c>
      <c r="U1418" s="25">
        <f>IF($O1418="Invalid",HYPERLINK("mailto:"&amp;$G1418&amp;";"&amp;$I1418&amp;"?cc="&amp;Lists!$E$2&amp;"&amp;subject="&amp;_xlfn.ENCODEURL("[INVALID] Quality audit monitoring completed for "&amp;UPPER($C1418))&amp;"&amp;body="&amp;_xlfn.ENCODEURL("Hi "&amp;$F1418&amp;","&amp;CHAR(10)&amp;"Good day!"&amp;CHAR(10)&amp;CHAR(10)&amp;"A quality monitoring audit has been completed for "&amp;$C1418&amp;"."&amp;CHAR(10)&amp;CHAR(10)&amp;"QUALITY AUDIT DETAILS"&amp;CHAR(10)&amp;"Agent Name: "&amp;$C1418&amp;" (EID "&amp;$D1418&amp;")"&amp;CHAR(10)&amp;"Audit Date: "&amp;TEXT($B1418,"yyyy-mm-dd")&amp;CHAR(10)&amp;"Team Leader: "&amp;$F1418&amp;CHAR(10)&amp;"Case Number: "&amp;$M1418&amp;CHAR(10)&amp;"Transaction ID: "&amp;$N1418&amp;CHAR(10)&amp;"Channel / LOB: "&amp;$K1418&amp;" / "&amp;$L1418&amp;CHAR(10)&amp;"Evaluator: "&amp;$S1418&amp;CHAR(10)&amp;CHAR(10)&amp;"INVALID QUALITY AUDIT DETAILS"&amp;CHAR(10)&amp;"Validation: Invalid"&amp;CHAR(10)&amp;"Invalid Reason: "&amp;$P1418&amp;CHAR(10)&amp;"Expected Resolution Code: "&amp;$Q1418&amp;CHAR(10)&amp;"Remarks: "&amp;LEFT($R1418,600)&amp;CHAR(10)&amp;CHAR(10)&amp;"This is an automated notification from HP Mainstream EQMS."),"✉ Open Email Draft"),"")</f>
        <v/>
      </c>
    </row>
    <row r="1419">
      <c r="A1419" s="25">
        <f>IF($C1419="","","AUD-2026-"&amp;TEXT(ROW()-1,"000000"))</f>
        <v/>
      </c>
      <c r="B1419" s="26" t="n"/>
      <c r="C1419" s="27" t="n"/>
      <c r="D1419" s="25">
        <f>IF($C1419="","",IFERROR(IF(INDEX(Roster!$A:$A,MATCH($C1419,Roster!$B:$B,0))="","",INDEX(Roster!$A:$A,MATCH($C1419,Roster!$B:$B,0))&amp;""),"—"))</f>
        <v/>
      </c>
      <c r="E1419" s="25">
        <f>IF($C1419="","",IFERROR(IF(INDEX(Roster!$C:$C,MATCH($C1419,Roster!$B:$B,0))="","",INDEX(Roster!$C:$C,MATCH($C1419,Roster!$B:$B,0))&amp;""),"—"))</f>
        <v/>
      </c>
      <c r="F1419" s="25">
        <f>IF($C1419="","",IFERROR(IF(INDEX(Roster!$D:$D,MATCH($C1419,Roster!$B:$B,0))="","",INDEX(Roster!$D:$D,MATCH($C1419,Roster!$B:$B,0))&amp;""),"—"))</f>
        <v/>
      </c>
      <c r="G1419" s="25">
        <f>IF($C1419="","",IFERROR(IF(INDEX(Roster!$E:$E,MATCH($C1419,Roster!$B:$B,0))="","",INDEX(Roster!$E:$E,MATCH($C1419,Roster!$B:$B,0))&amp;""),"—"))</f>
        <v/>
      </c>
      <c r="H1419" s="25">
        <f>IF($C1419="","",IFERROR(IF(INDEX(Roster!$F:$F,MATCH($C1419,Roster!$B:$B,0))="","",INDEX(Roster!$F:$F,MATCH($C1419,Roster!$B:$B,0))&amp;""),"—"))</f>
        <v/>
      </c>
      <c r="I1419" s="25">
        <f>IF($C1419="","",IFERROR(IF(INDEX(Roster!$G:$G,MATCH($C1419,Roster!$B:$B,0))="","",INDEX(Roster!$G:$G,MATCH($C1419,Roster!$B:$B,0))&amp;""),"—"))</f>
        <v/>
      </c>
      <c r="J1419" s="25">
        <f>IF($C1419="","",IFERROR(IF(INDEX(Roster!$I:$I,MATCH($C1419,Roster!$B:$B,0))="","",INDEX(Roster!$I:$I,MATCH($C1419,Roster!$B:$B,0))&amp;""),"—"))</f>
        <v/>
      </c>
      <c r="K1419">
        <f>IF($C1419="","",IFERROR(IF(INDEX(Roster!$J:$J,MATCH($C1419,Roster!$B:$B,0))="","",INDEX(Roster!$J:$J,MATCH($C1419,Roster!$B:$B,0))&amp;""),"—"))</f>
        <v/>
      </c>
      <c r="L1419">
        <f>IF($C1419="","",IFERROR(IF(INDEX(Roster!$K:$K,MATCH($C1419,Roster!$B:$B,0))="","",INDEX(Roster!$K:$K,MATCH($C1419,Roster!$B:$B,0))&amp;""),"—"))</f>
        <v/>
      </c>
      <c r="M1419" s="27" t="n"/>
      <c r="N1419" s="27" t="n"/>
      <c r="O1419" s="25">
        <f>IF($C1419="","",IF($P1419="","—",IF($P1419="Valid (Pass)","Valid","Invalid")))</f>
        <v/>
      </c>
      <c r="P1419" s="27" t="n"/>
      <c r="Q1419" s="27" t="n"/>
      <c r="R1419" s="27" t="n"/>
      <c r="S1419" s="27" t="n"/>
      <c r="T1419" s="25">
        <f>IF($C1419="","",IF(OR(ISNUMBER(SEARCH("quick case",$P1419)),ISNUMBER(SEARCH("quick case",$Q1419))),"Yes","No"))</f>
        <v/>
      </c>
      <c r="U1419" s="25">
        <f>IF($O1419="Invalid",HYPERLINK("mailto:"&amp;$G1419&amp;";"&amp;$I1419&amp;"?cc="&amp;Lists!$E$2&amp;"&amp;subject="&amp;_xlfn.ENCODEURL("[INVALID] Quality audit monitoring completed for "&amp;UPPER($C1419))&amp;"&amp;body="&amp;_xlfn.ENCODEURL("Hi "&amp;$F1419&amp;","&amp;CHAR(10)&amp;"Good day!"&amp;CHAR(10)&amp;CHAR(10)&amp;"A quality monitoring audit has been completed for "&amp;$C1419&amp;"."&amp;CHAR(10)&amp;CHAR(10)&amp;"QUALITY AUDIT DETAILS"&amp;CHAR(10)&amp;"Agent Name: "&amp;$C1419&amp;" (EID "&amp;$D1419&amp;")"&amp;CHAR(10)&amp;"Audit Date: "&amp;TEXT($B1419,"yyyy-mm-dd")&amp;CHAR(10)&amp;"Team Leader: "&amp;$F1419&amp;CHAR(10)&amp;"Case Number: "&amp;$M1419&amp;CHAR(10)&amp;"Transaction ID: "&amp;$N1419&amp;CHAR(10)&amp;"Channel / LOB: "&amp;$K1419&amp;" / "&amp;$L1419&amp;CHAR(10)&amp;"Evaluator: "&amp;$S1419&amp;CHAR(10)&amp;CHAR(10)&amp;"INVALID QUALITY AUDIT DETAILS"&amp;CHAR(10)&amp;"Validation: Invalid"&amp;CHAR(10)&amp;"Invalid Reason: "&amp;$P1419&amp;CHAR(10)&amp;"Expected Resolution Code: "&amp;$Q1419&amp;CHAR(10)&amp;"Remarks: "&amp;LEFT($R1419,600)&amp;CHAR(10)&amp;CHAR(10)&amp;"This is an automated notification from HP Mainstream EQMS."),"✉ Open Email Draft"),"")</f>
        <v/>
      </c>
    </row>
    <row r="1420">
      <c r="A1420" s="25">
        <f>IF($C1420="","","AUD-2026-"&amp;TEXT(ROW()-1,"000000"))</f>
        <v/>
      </c>
      <c r="B1420" s="26" t="n"/>
      <c r="C1420" s="27" t="n"/>
      <c r="D1420" s="25">
        <f>IF($C1420="","",IFERROR(IF(INDEX(Roster!$A:$A,MATCH($C1420,Roster!$B:$B,0))="","",INDEX(Roster!$A:$A,MATCH($C1420,Roster!$B:$B,0))&amp;""),"—"))</f>
        <v/>
      </c>
      <c r="E1420" s="25">
        <f>IF($C1420="","",IFERROR(IF(INDEX(Roster!$C:$C,MATCH($C1420,Roster!$B:$B,0))="","",INDEX(Roster!$C:$C,MATCH($C1420,Roster!$B:$B,0))&amp;""),"—"))</f>
        <v/>
      </c>
      <c r="F1420" s="25">
        <f>IF($C1420="","",IFERROR(IF(INDEX(Roster!$D:$D,MATCH($C1420,Roster!$B:$B,0))="","",INDEX(Roster!$D:$D,MATCH($C1420,Roster!$B:$B,0))&amp;""),"—"))</f>
        <v/>
      </c>
      <c r="G1420" s="25">
        <f>IF($C1420="","",IFERROR(IF(INDEX(Roster!$E:$E,MATCH($C1420,Roster!$B:$B,0))="","",INDEX(Roster!$E:$E,MATCH($C1420,Roster!$B:$B,0))&amp;""),"—"))</f>
        <v/>
      </c>
      <c r="H1420" s="25">
        <f>IF($C1420="","",IFERROR(IF(INDEX(Roster!$F:$F,MATCH($C1420,Roster!$B:$B,0))="","",INDEX(Roster!$F:$F,MATCH($C1420,Roster!$B:$B,0))&amp;""),"—"))</f>
        <v/>
      </c>
      <c r="I1420" s="25">
        <f>IF($C1420="","",IFERROR(IF(INDEX(Roster!$G:$G,MATCH($C1420,Roster!$B:$B,0))="","",INDEX(Roster!$G:$G,MATCH($C1420,Roster!$B:$B,0))&amp;""),"—"))</f>
        <v/>
      </c>
      <c r="J1420" s="25">
        <f>IF($C1420="","",IFERROR(IF(INDEX(Roster!$I:$I,MATCH($C1420,Roster!$B:$B,0))="","",INDEX(Roster!$I:$I,MATCH($C1420,Roster!$B:$B,0))&amp;""),"—"))</f>
        <v/>
      </c>
      <c r="K1420">
        <f>IF($C1420="","",IFERROR(IF(INDEX(Roster!$J:$J,MATCH($C1420,Roster!$B:$B,0))="","",INDEX(Roster!$J:$J,MATCH($C1420,Roster!$B:$B,0))&amp;""),"—"))</f>
        <v/>
      </c>
      <c r="L1420">
        <f>IF($C1420="","",IFERROR(IF(INDEX(Roster!$K:$K,MATCH($C1420,Roster!$B:$B,0))="","",INDEX(Roster!$K:$K,MATCH($C1420,Roster!$B:$B,0))&amp;""),"—"))</f>
        <v/>
      </c>
      <c r="M1420" s="27" t="n"/>
      <c r="N1420" s="27" t="n"/>
      <c r="O1420" s="25">
        <f>IF($C1420="","",IF($P1420="","—",IF($P1420="Valid (Pass)","Valid","Invalid")))</f>
        <v/>
      </c>
      <c r="P1420" s="27" t="n"/>
      <c r="Q1420" s="27" t="n"/>
      <c r="R1420" s="27" t="n"/>
      <c r="S1420" s="27" t="n"/>
      <c r="T1420" s="25">
        <f>IF($C1420="","",IF(OR(ISNUMBER(SEARCH("quick case",$P1420)),ISNUMBER(SEARCH("quick case",$Q1420))),"Yes","No"))</f>
        <v/>
      </c>
      <c r="U1420" s="25">
        <f>IF($O1420="Invalid",HYPERLINK("mailto:"&amp;$G1420&amp;";"&amp;$I1420&amp;"?cc="&amp;Lists!$E$2&amp;"&amp;subject="&amp;_xlfn.ENCODEURL("[INVALID] Quality audit monitoring completed for "&amp;UPPER($C1420))&amp;"&amp;body="&amp;_xlfn.ENCODEURL("Hi "&amp;$F1420&amp;","&amp;CHAR(10)&amp;"Good day!"&amp;CHAR(10)&amp;CHAR(10)&amp;"A quality monitoring audit has been completed for "&amp;$C1420&amp;"."&amp;CHAR(10)&amp;CHAR(10)&amp;"QUALITY AUDIT DETAILS"&amp;CHAR(10)&amp;"Agent Name: "&amp;$C1420&amp;" (EID "&amp;$D1420&amp;")"&amp;CHAR(10)&amp;"Audit Date: "&amp;TEXT($B1420,"yyyy-mm-dd")&amp;CHAR(10)&amp;"Team Leader: "&amp;$F1420&amp;CHAR(10)&amp;"Case Number: "&amp;$M1420&amp;CHAR(10)&amp;"Transaction ID: "&amp;$N1420&amp;CHAR(10)&amp;"Channel / LOB: "&amp;$K1420&amp;" / "&amp;$L1420&amp;CHAR(10)&amp;"Evaluator: "&amp;$S1420&amp;CHAR(10)&amp;CHAR(10)&amp;"INVALID QUALITY AUDIT DETAILS"&amp;CHAR(10)&amp;"Validation: Invalid"&amp;CHAR(10)&amp;"Invalid Reason: "&amp;$P1420&amp;CHAR(10)&amp;"Expected Resolution Code: "&amp;$Q1420&amp;CHAR(10)&amp;"Remarks: "&amp;LEFT($R1420,600)&amp;CHAR(10)&amp;CHAR(10)&amp;"This is an automated notification from HP Mainstream EQMS."),"✉ Open Email Draft"),"")</f>
        <v/>
      </c>
    </row>
    <row r="1421">
      <c r="A1421" s="25">
        <f>IF($C1421="","","AUD-2026-"&amp;TEXT(ROW()-1,"000000"))</f>
        <v/>
      </c>
      <c r="B1421" s="26" t="n"/>
      <c r="C1421" s="27" t="n"/>
      <c r="D1421" s="25">
        <f>IF($C1421="","",IFERROR(IF(INDEX(Roster!$A:$A,MATCH($C1421,Roster!$B:$B,0))="","",INDEX(Roster!$A:$A,MATCH($C1421,Roster!$B:$B,0))&amp;""),"—"))</f>
        <v/>
      </c>
      <c r="E1421" s="25">
        <f>IF($C1421="","",IFERROR(IF(INDEX(Roster!$C:$C,MATCH($C1421,Roster!$B:$B,0))="","",INDEX(Roster!$C:$C,MATCH($C1421,Roster!$B:$B,0))&amp;""),"—"))</f>
        <v/>
      </c>
      <c r="F1421" s="25">
        <f>IF($C1421="","",IFERROR(IF(INDEX(Roster!$D:$D,MATCH($C1421,Roster!$B:$B,0))="","",INDEX(Roster!$D:$D,MATCH($C1421,Roster!$B:$B,0))&amp;""),"—"))</f>
        <v/>
      </c>
      <c r="G1421" s="25">
        <f>IF($C1421="","",IFERROR(IF(INDEX(Roster!$E:$E,MATCH($C1421,Roster!$B:$B,0))="","",INDEX(Roster!$E:$E,MATCH($C1421,Roster!$B:$B,0))&amp;""),"—"))</f>
        <v/>
      </c>
      <c r="H1421" s="25">
        <f>IF($C1421="","",IFERROR(IF(INDEX(Roster!$F:$F,MATCH($C1421,Roster!$B:$B,0))="","",INDEX(Roster!$F:$F,MATCH($C1421,Roster!$B:$B,0))&amp;""),"—"))</f>
        <v/>
      </c>
      <c r="I1421" s="25">
        <f>IF($C1421="","",IFERROR(IF(INDEX(Roster!$G:$G,MATCH($C1421,Roster!$B:$B,0))="","",INDEX(Roster!$G:$G,MATCH($C1421,Roster!$B:$B,0))&amp;""),"—"))</f>
        <v/>
      </c>
      <c r="J1421" s="25">
        <f>IF($C1421="","",IFERROR(IF(INDEX(Roster!$I:$I,MATCH($C1421,Roster!$B:$B,0))="","",INDEX(Roster!$I:$I,MATCH($C1421,Roster!$B:$B,0))&amp;""),"—"))</f>
        <v/>
      </c>
      <c r="K1421">
        <f>IF($C1421="","",IFERROR(IF(INDEX(Roster!$J:$J,MATCH($C1421,Roster!$B:$B,0))="","",INDEX(Roster!$J:$J,MATCH($C1421,Roster!$B:$B,0))&amp;""),"—"))</f>
        <v/>
      </c>
      <c r="L1421">
        <f>IF($C1421="","",IFERROR(IF(INDEX(Roster!$K:$K,MATCH($C1421,Roster!$B:$B,0))="","",INDEX(Roster!$K:$K,MATCH($C1421,Roster!$B:$B,0))&amp;""),"—"))</f>
        <v/>
      </c>
      <c r="M1421" s="27" t="n"/>
      <c r="N1421" s="27" t="n"/>
      <c r="O1421" s="25">
        <f>IF($C1421="","",IF($P1421="","—",IF($P1421="Valid (Pass)","Valid","Invalid")))</f>
        <v/>
      </c>
      <c r="P1421" s="27" t="n"/>
      <c r="Q1421" s="27" t="n"/>
      <c r="R1421" s="27" t="n"/>
      <c r="S1421" s="27" t="n"/>
      <c r="T1421" s="25">
        <f>IF($C1421="","",IF(OR(ISNUMBER(SEARCH("quick case",$P1421)),ISNUMBER(SEARCH("quick case",$Q1421))),"Yes","No"))</f>
        <v/>
      </c>
      <c r="U1421" s="25">
        <f>IF($O1421="Invalid",HYPERLINK("mailto:"&amp;$G1421&amp;";"&amp;$I1421&amp;"?cc="&amp;Lists!$E$2&amp;"&amp;subject="&amp;_xlfn.ENCODEURL("[INVALID] Quality audit monitoring completed for "&amp;UPPER($C1421))&amp;"&amp;body="&amp;_xlfn.ENCODEURL("Hi "&amp;$F1421&amp;","&amp;CHAR(10)&amp;"Good day!"&amp;CHAR(10)&amp;CHAR(10)&amp;"A quality monitoring audit has been completed for "&amp;$C1421&amp;"."&amp;CHAR(10)&amp;CHAR(10)&amp;"QUALITY AUDIT DETAILS"&amp;CHAR(10)&amp;"Agent Name: "&amp;$C1421&amp;" (EID "&amp;$D1421&amp;")"&amp;CHAR(10)&amp;"Audit Date: "&amp;TEXT($B1421,"yyyy-mm-dd")&amp;CHAR(10)&amp;"Team Leader: "&amp;$F1421&amp;CHAR(10)&amp;"Case Number: "&amp;$M1421&amp;CHAR(10)&amp;"Transaction ID: "&amp;$N1421&amp;CHAR(10)&amp;"Channel / LOB: "&amp;$K1421&amp;" / "&amp;$L1421&amp;CHAR(10)&amp;"Evaluator: "&amp;$S1421&amp;CHAR(10)&amp;CHAR(10)&amp;"INVALID QUALITY AUDIT DETAILS"&amp;CHAR(10)&amp;"Validation: Invalid"&amp;CHAR(10)&amp;"Invalid Reason: "&amp;$P1421&amp;CHAR(10)&amp;"Expected Resolution Code: "&amp;$Q1421&amp;CHAR(10)&amp;"Remarks: "&amp;LEFT($R1421,600)&amp;CHAR(10)&amp;CHAR(10)&amp;"This is an automated notification from HP Mainstream EQMS."),"✉ Open Email Draft"),"")</f>
        <v/>
      </c>
    </row>
    <row r="1422">
      <c r="A1422" s="25">
        <f>IF($C1422="","","AUD-2026-"&amp;TEXT(ROW()-1,"000000"))</f>
        <v/>
      </c>
      <c r="B1422" s="26" t="n"/>
      <c r="C1422" s="27" t="n"/>
      <c r="D1422" s="25">
        <f>IF($C1422="","",IFERROR(IF(INDEX(Roster!$A:$A,MATCH($C1422,Roster!$B:$B,0))="","",INDEX(Roster!$A:$A,MATCH($C1422,Roster!$B:$B,0))&amp;""),"—"))</f>
        <v/>
      </c>
      <c r="E1422" s="25">
        <f>IF($C1422="","",IFERROR(IF(INDEX(Roster!$C:$C,MATCH($C1422,Roster!$B:$B,0))="","",INDEX(Roster!$C:$C,MATCH($C1422,Roster!$B:$B,0))&amp;""),"—"))</f>
        <v/>
      </c>
      <c r="F1422" s="25">
        <f>IF($C1422="","",IFERROR(IF(INDEX(Roster!$D:$D,MATCH($C1422,Roster!$B:$B,0))="","",INDEX(Roster!$D:$D,MATCH($C1422,Roster!$B:$B,0))&amp;""),"—"))</f>
        <v/>
      </c>
      <c r="G1422" s="25">
        <f>IF($C1422="","",IFERROR(IF(INDEX(Roster!$E:$E,MATCH($C1422,Roster!$B:$B,0))="","",INDEX(Roster!$E:$E,MATCH($C1422,Roster!$B:$B,0))&amp;""),"—"))</f>
        <v/>
      </c>
      <c r="H1422" s="25">
        <f>IF($C1422="","",IFERROR(IF(INDEX(Roster!$F:$F,MATCH($C1422,Roster!$B:$B,0))="","",INDEX(Roster!$F:$F,MATCH($C1422,Roster!$B:$B,0))&amp;""),"—"))</f>
        <v/>
      </c>
      <c r="I1422" s="25">
        <f>IF($C1422="","",IFERROR(IF(INDEX(Roster!$G:$G,MATCH($C1422,Roster!$B:$B,0))="","",INDEX(Roster!$G:$G,MATCH($C1422,Roster!$B:$B,0))&amp;""),"—"))</f>
        <v/>
      </c>
      <c r="J1422" s="25">
        <f>IF($C1422="","",IFERROR(IF(INDEX(Roster!$I:$I,MATCH($C1422,Roster!$B:$B,0))="","",INDEX(Roster!$I:$I,MATCH($C1422,Roster!$B:$B,0))&amp;""),"—"))</f>
        <v/>
      </c>
      <c r="K1422">
        <f>IF($C1422="","",IFERROR(IF(INDEX(Roster!$J:$J,MATCH($C1422,Roster!$B:$B,0))="","",INDEX(Roster!$J:$J,MATCH($C1422,Roster!$B:$B,0))&amp;""),"—"))</f>
        <v/>
      </c>
      <c r="L1422">
        <f>IF($C1422="","",IFERROR(IF(INDEX(Roster!$K:$K,MATCH($C1422,Roster!$B:$B,0))="","",INDEX(Roster!$K:$K,MATCH($C1422,Roster!$B:$B,0))&amp;""),"—"))</f>
        <v/>
      </c>
      <c r="M1422" s="27" t="n"/>
      <c r="N1422" s="27" t="n"/>
      <c r="O1422" s="25">
        <f>IF($C1422="","",IF($P1422="","—",IF($P1422="Valid (Pass)","Valid","Invalid")))</f>
        <v/>
      </c>
      <c r="P1422" s="27" t="n"/>
      <c r="Q1422" s="27" t="n"/>
      <c r="R1422" s="27" t="n"/>
      <c r="S1422" s="27" t="n"/>
      <c r="T1422" s="25">
        <f>IF($C1422="","",IF(OR(ISNUMBER(SEARCH("quick case",$P1422)),ISNUMBER(SEARCH("quick case",$Q1422))),"Yes","No"))</f>
        <v/>
      </c>
      <c r="U1422" s="25">
        <f>IF($O1422="Invalid",HYPERLINK("mailto:"&amp;$G1422&amp;";"&amp;$I1422&amp;"?cc="&amp;Lists!$E$2&amp;"&amp;subject="&amp;_xlfn.ENCODEURL("[INVALID] Quality audit monitoring completed for "&amp;UPPER($C1422))&amp;"&amp;body="&amp;_xlfn.ENCODEURL("Hi "&amp;$F1422&amp;","&amp;CHAR(10)&amp;"Good day!"&amp;CHAR(10)&amp;CHAR(10)&amp;"A quality monitoring audit has been completed for "&amp;$C1422&amp;"."&amp;CHAR(10)&amp;CHAR(10)&amp;"QUALITY AUDIT DETAILS"&amp;CHAR(10)&amp;"Agent Name: "&amp;$C1422&amp;" (EID "&amp;$D1422&amp;")"&amp;CHAR(10)&amp;"Audit Date: "&amp;TEXT($B1422,"yyyy-mm-dd")&amp;CHAR(10)&amp;"Team Leader: "&amp;$F1422&amp;CHAR(10)&amp;"Case Number: "&amp;$M1422&amp;CHAR(10)&amp;"Transaction ID: "&amp;$N1422&amp;CHAR(10)&amp;"Channel / LOB: "&amp;$K1422&amp;" / "&amp;$L1422&amp;CHAR(10)&amp;"Evaluator: "&amp;$S1422&amp;CHAR(10)&amp;CHAR(10)&amp;"INVALID QUALITY AUDIT DETAILS"&amp;CHAR(10)&amp;"Validation: Invalid"&amp;CHAR(10)&amp;"Invalid Reason: "&amp;$P1422&amp;CHAR(10)&amp;"Expected Resolution Code: "&amp;$Q1422&amp;CHAR(10)&amp;"Remarks: "&amp;LEFT($R1422,600)&amp;CHAR(10)&amp;CHAR(10)&amp;"This is an automated notification from HP Mainstream EQMS."),"✉ Open Email Draft"),"")</f>
        <v/>
      </c>
    </row>
    <row r="1423">
      <c r="A1423" s="25">
        <f>IF($C1423="","","AUD-2026-"&amp;TEXT(ROW()-1,"000000"))</f>
        <v/>
      </c>
      <c r="B1423" s="26" t="n"/>
      <c r="C1423" s="27" t="n"/>
      <c r="D1423" s="25">
        <f>IF($C1423="","",IFERROR(IF(INDEX(Roster!$A:$A,MATCH($C1423,Roster!$B:$B,0))="","",INDEX(Roster!$A:$A,MATCH($C1423,Roster!$B:$B,0))&amp;""),"—"))</f>
        <v/>
      </c>
      <c r="E1423" s="25">
        <f>IF($C1423="","",IFERROR(IF(INDEX(Roster!$C:$C,MATCH($C1423,Roster!$B:$B,0))="","",INDEX(Roster!$C:$C,MATCH($C1423,Roster!$B:$B,0))&amp;""),"—"))</f>
        <v/>
      </c>
      <c r="F1423" s="25">
        <f>IF($C1423="","",IFERROR(IF(INDEX(Roster!$D:$D,MATCH($C1423,Roster!$B:$B,0))="","",INDEX(Roster!$D:$D,MATCH($C1423,Roster!$B:$B,0))&amp;""),"—"))</f>
        <v/>
      </c>
      <c r="G1423" s="25">
        <f>IF($C1423="","",IFERROR(IF(INDEX(Roster!$E:$E,MATCH($C1423,Roster!$B:$B,0))="","",INDEX(Roster!$E:$E,MATCH($C1423,Roster!$B:$B,0))&amp;""),"—"))</f>
        <v/>
      </c>
      <c r="H1423" s="25">
        <f>IF($C1423="","",IFERROR(IF(INDEX(Roster!$F:$F,MATCH($C1423,Roster!$B:$B,0))="","",INDEX(Roster!$F:$F,MATCH($C1423,Roster!$B:$B,0))&amp;""),"—"))</f>
        <v/>
      </c>
      <c r="I1423" s="25">
        <f>IF($C1423="","",IFERROR(IF(INDEX(Roster!$G:$G,MATCH($C1423,Roster!$B:$B,0))="","",INDEX(Roster!$G:$G,MATCH($C1423,Roster!$B:$B,0))&amp;""),"—"))</f>
        <v/>
      </c>
      <c r="J1423" s="25">
        <f>IF($C1423="","",IFERROR(IF(INDEX(Roster!$I:$I,MATCH($C1423,Roster!$B:$B,0))="","",INDEX(Roster!$I:$I,MATCH($C1423,Roster!$B:$B,0))&amp;""),"—"))</f>
        <v/>
      </c>
      <c r="K1423">
        <f>IF($C1423="","",IFERROR(IF(INDEX(Roster!$J:$J,MATCH($C1423,Roster!$B:$B,0))="","",INDEX(Roster!$J:$J,MATCH($C1423,Roster!$B:$B,0))&amp;""),"—"))</f>
        <v/>
      </c>
      <c r="L1423">
        <f>IF($C1423="","",IFERROR(IF(INDEX(Roster!$K:$K,MATCH($C1423,Roster!$B:$B,0))="","",INDEX(Roster!$K:$K,MATCH($C1423,Roster!$B:$B,0))&amp;""),"—"))</f>
        <v/>
      </c>
      <c r="M1423" s="27" t="n"/>
      <c r="N1423" s="27" t="n"/>
      <c r="O1423" s="25">
        <f>IF($C1423="","",IF($P1423="","—",IF($P1423="Valid (Pass)","Valid","Invalid")))</f>
        <v/>
      </c>
      <c r="P1423" s="27" t="n"/>
      <c r="Q1423" s="27" t="n"/>
      <c r="R1423" s="27" t="n"/>
      <c r="S1423" s="27" t="n"/>
      <c r="T1423" s="25">
        <f>IF($C1423="","",IF(OR(ISNUMBER(SEARCH("quick case",$P1423)),ISNUMBER(SEARCH("quick case",$Q1423))),"Yes","No"))</f>
        <v/>
      </c>
      <c r="U1423" s="25">
        <f>IF($O1423="Invalid",HYPERLINK("mailto:"&amp;$G1423&amp;";"&amp;$I1423&amp;"?cc="&amp;Lists!$E$2&amp;"&amp;subject="&amp;_xlfn.ENCODEURL("[INVALID] Quality audit monitoring completed for "&amp;UPPER($C1423))&amp;"&amp;body="&amp;_xlfn.ENCODEURL("Hi "&amp;$F1423&amp;","&amp;CHAR(10)&amp;"Good day!"&amp;CHAR(10)&amp;CHAR(10)&amp;"A quality monitoring audit has been completed for "&amp;$C1423&amp;"."&amp;CHAR(10)&amp;CHAR(10)&amp;"QUALITY AUDIT DETAILS"&amp;CHAR(10)&amp;"Agent Name: "&amp;$C1423&amp;" (EID "&amp;$D1423&amp;")"&amp;CHAR(10)&amp;"Audit Date: "&amp;TEXT($B1423,"yyyy-mm-dd")&amp;CHAR(10)&amp;"Team Leader: "&amp;$F1423&amp;CHAR(10)&amp;"Case Number: "&amp;$M1423&amp;CHAR(10)&amp;"Transaction ID: "&amp;$N1423&amp;CHAR(10)&amp;"Channel / LOB: "&amp;$K1423&amp;" / "&amp;$L1423&amp;CHAR(10)&amp;"Evaluator: "&amp;$S1423&amp;CHAR(10)&amp;CHAR(10)&amp;"INVALID QUALITY AUDIT DETAILS"&amp;CHAR(10)&amp;"Validation: Invalid"&amp;CHAR(10)&amp;"Invalid Reason: "&amp;$P1423&amp;CHAR(10)&amp;"Expected Resolution Code: "&amp;$Q1423&amp;CHAR(10)&amp;"Remarks: "&amp;LEFT($R1423,600)&amp;CHAR(10)&amp;CHAR(10)&amp;"This is an automated notification from HP Mainstream EQMS."),"✉ Open Email Draft"),"")</f>
        <v/>
      </c>
    </row>
    <row r="1424">
      <c r="A1424" s="25">
        <f>IF($C1424="","","AUD-2026-"&amp;TEXT(ROW()-1,"000000"))</f>
        <v/>
      </c>
      <c r="B1424" s="26" t="n"/>
      <c r="C1424" s="27" t="n"/>
      <c r="D1424" s="25">
        <f>IF($C1424="","",IFERROR(IF(INDEX(Roster!$A:$A,MATCH($C1424,Roster!$B:$B,0))="","",INDEX(Roster!$A:$A,MATCH($C1424,Roster!$B:$B,0))&amp;""),"—"))</f>
        <v/>
      </c>
      <c r="E1424" s="25">
        <f>IF($C1424="","",IFERROR(IF(INDEX(Roster!$C:$C,MATCH($C1424,Roster!$B:$B,0))="","",INDEX(Roster!$C:$C,MATCH($C1424,Roster!$B:$B,0))&amp;""),"—"))</f>
        <v/>
      </c>
      <c r="F1424" s="25">
        <f>IF($C1424="","",IFERROR(IF(INDEX(Roster!$D:$D,MATCH($C1424,Roster!$B:$B,0))="","",INDEX(Roster!$D:$D,MATCH($C1424,Roster!$B:$B,0))&amp;""),"—"))</f>
        <v/>
      </c>
      <c r="G1424" s="25">
        <f>IF($C1424="","",IFERROR(IF(INDEX(Roster!$E:$E,MATCH($C1424,Roster!$B:$B,0))="","",INDEX(Roster!$E:$E,MATCH($C1424,Roster!$B:$B,0))&amp;""),"—"))</f>
        <v/>
      </c>
      <c r="H1424" s="25">
        <f>IF($C1424="","",IFERROR(IF(INDEX(Roster!$F:$F,MATCH($C1424,Roster!$B:$B,0))="","",INDEX(Roster!$F:$F,MATCH($C1424,Roster!$B:$B,0))&amp;""),"—"))</f>
        <v/>
      </c>
      <c r="I1424" s="25">
        <f>IF($C1424="","",IFERROR(IF(INDEX(Roster!$G:$G,MATCH($C1424,Roster!$B:$B,0))="","",INDEX(Roster!$G:$G,MATCH($C1424,Roster!$B:$B,0))&amp;""),"—"))</f>
        <v/>
      </c>
      <c r="J1424" s="25">
        <f>IF($C1424="","",IFERROR(IF(INDEX(Roster!$I:$I,MATCH($C1424,Roster!$B:$B,0))="","",INDEX(Roster!$I:$I,MATCH($C1424,Roster!$B:$B,0))&amp;""),"—"))</f>
        <v/>
      </c>
      <c r="K1424">
        <f>IF($C1424="","",IFERROR(IF(INDEX(Roster!$J:$J,MATCH($C1424,Roster!$B:$B,0))="","",INDEX(Roster!$J:$J,MATCH($C1424,Roster!$B:$B,0))&amp;""),"—"))</f>
        <v/>
      </c>
      <c r="L1424">
        <f>IF($C1424="","",IFERROR(IF(INDEX(Roster!$K:$K,MATCH($C1424,Roster!$B:$B,0))="","",INDEX(Roster!$K:$K,MATCH($C1424,Roster!$B:$B,0))&amp;""),"—"))</f>
        <v/>
      </c>
      <c r="M1424" s="27" t="n"/>
      <c r="N1424" s="27" t="n"/>
      <c r="O1424" s="25">
        <f>IF($C1424="","",IF($P1424="","—",IF($P1424="Valid (Pass)","Valid","Invalid")))</f>
        <v/>
      </c>
      <c r="P1424" s="27" t="n"/>
      <c r="Q1424" s="27" t="n"/>
      <c r="R1424" s="27" t="n"/>
      <c r="S1424" s="27" t="n"/>
      <c r="T1424" s="25">
        <f>IF($C1424="","",IF(OR(ISNUMBER(SEARCH("quick case",$P1424)),ISNUMBER(SEARCH("quick case",$Q1424))),"Yes","No"))</f>
        <v/>
      </c>
      <c r="U1424" s="25">
        <f>IF($O1424="Invalid",HYPERLINK("mailto:"&amp;$G1424&amp;";"&amp;$I1424&amp;"?cc="&amp;Lists!$E$2&amp;"&amp;subject="&amp;_xlfn.ENCODEURL("[INVALID] Quality audit monitoring completed for "&amp;UPPER($C1424))&amp;"&amp;body="&amp;_xlfn.ENCODEURL("Hi "&amp;$F1424&amp;","&amp;CHAR(10)&amp;"Good day!"&amp;CHAR(10)&amp;CHAR(10)&amp;"A quality monitoring audit has been completed for "&amp;$C1424&amp;"."&amp;CHAR(10)&amp;CHAR(10)&amp;"QUALITY AUDIT DETAILS"&amp;CHAR(10)&amp;"Agent Name: "&amp;$C1424&amp;" (EID "&amp;$D1424&amp;")"&amp;CHAR(10)&amp;"Audit Date: "&amp;TEXT($B1424,"yyyy-mm-dd")&amp;CHAR(10)&amp;"Team Leader: "&amp;$F1424&amp;CHAR(10)&amp;"Case Number: "&amp;$M1424&amp;CHAR(10)&amp;"Transaction ID: "&amp;$N1424&amp;CHAR(10)&amp;"Channel / LOB: "&amp;$K1424&amp;" / "&amp;$L1424&amp;CHAR(10)&amp;"Evaluator: "&amp;$S1424&amp;CHAR(10)&amp;CHAR(10)&amp;"INVALID QUALITY AUDIT DETAILS"&amp;CHAR(10)&amp;"Validation: Invalid"&amp;CHAR(10)&amp;"Invalid Reason: "&amp;$P1424&amp;CHAR(10)&amp;"Expected Resolution Code: "&amp;$Q1424&amp;CHAR(10)&amp;"Remarks: "&amp;LEFT($R1424,600)&amp;CHAR(10)&amp;CHAR(10)&amp;"This is an automated notification from HP Mainstream EQMS."),"✉ Open Email Draft"),"")</f>
        <v/>
      </c>
    </row>
    <row r="1425">
      <c r="A1425" s="25">
        <f>IF($C1425="","","AUD-2026-"&amp;TEXT(ROW()-1,"000000"))</f>
        <v/>
      </c>
      <c r="B1425" s="26" t="n"/>
      <c r="C1425" s="27" t="n"/>
      <c r="D1425" s="25">
        <f>IF($C1425="","",IFERROR(IF(INDEX(Roster!$A:$A,MATCH($C1425,Roster!$B:$B,0))="","",INDEX(Roster!$A:$A,MATCH($C1425,Roster!$B:$B,0))&amp;""),"—"))</f>
        <v/>
      </c>
      <c r="E1425" s="25">
        <f>IF($C1425="","",IFERROR(IF(INDEX(Roster!$C:$C,MATCH($C1425,Roster!$B:$B,0))="","",INDEX(Roster!$C:$C,MATCH($C1425,Roster!$B:$B,0))&amp;""),"—"))</f>
        <v/>
      </c>
      <c r="F1425" s="25">
        <f>IF($C1425="","",IFERROR(IF(INDEX(Roster!$D:$D,MATCH($C1425,Roster!$B:$B,0))="","",INDEX(Roster!$D:$D,MATCH($C1425,Roster!$B:$B,0))&amp;""),"—"))</f>
        <v/>
      </c>
      <c r="G1425" s="25">
        <f>IF($C1425="","",IFERROR(IF(INDEX(Roster!$E:$E,MATCH($C1425,Roster!$B:$B,0))="","",INDEX(Roster!$E:$E,MATCH($C1425,Roster!$B:$B,0))&amp;""),"—"))</f>
        <v/>
      </c>
      <c r="H1425" s="25">
        <f>IF($C1425="","",IFERROR(IF(INDEX(Roster!$F:$F,MATCH($C1425,Roster!$B:$B,0))="","",INDEX(Roster!$F:$F,MATCH($C1425,Roster!$B:$B,0))&amp;""),"—"))</f>
        <v/>
      </c>
      <c r="I1425" s="25">
        <f>IF($C1425="","",IFERROR(IF(INDEX(Roster!$G:$G,MATCH($C1425,Roster!$B:$B,0))="","",INDEX(Roster!$G:$G,MATCH($C1425,Roster!$B:$B,0))&amp;""),"—"))</f>
        <v/>
      </c>
      <c r="J1425" s="25">
        <f>IF($C1425="","",IFERROR(IF(INDEX(Roster!$I:$I,MATCH($C1425,Roster!$B:$B,0))="","",INDEX(Roster!$I:$I,MATCH($C1425,Roster!$B:$B,0))&amp;""),"—"))</f>
        <v/>
      </c>
      <c r="K1425">
        <f>IF($C1425="","",IFERROR(IF(INDEX(Roster!$J:$J,MATCH($C1425,Roster!$B:$B,0))="","",INDEX(Roster!$J:$J,MATCH($C1425,Roster!$B:$B,0))&amp;""),"—"))</f>
        <v/>
      </c>
      <c r="L1425">
        <f>IF($C1425="","",IFERROR(IF(INDEX(Roster!$K:$K,MATCH($C1425,Roster!$B:$B,0))="","",INDEX(Roster!$K:$K,MATCH($C1425,Roster!$B:$B,0))&amp;""),"—"))</f>
        <v/>
      </c>
      <c r="M1425" s="27" t="n"/>
      <c r="N1425" s="27" t="n"/>
      <c r="O1425" s="25">
        <f>IF($C1425="","",IF($P1425="","—",IF($P1425="Valid (Pass)","Valid","Invalid")))</f>
        <v/>
      </c>
      <c r="P1425" s="27" t="n"/>
      <c r="Q1425" s="27" t="n"/>
      <c r="R1425" s="27" t="n"/>
      <c r="S1425" s="27" t="n"/>
      <c r="T1425" s="25">
        <f>IF($C1425="","",IF(OR(ISNUMBER(SEARCH("quick case",$P1425)),ISNUMBER(SEARCH("quick case",$Q1425))),"Yes","No"))</f>
        <v/>
      </c>
      <c r="U1425" s="25">
        <f>IF($O1425="Invalid",HYPERLINK("mailto:"&amp;$G1425&amp;";"&amp;$I1425&amp;"?cc="&amp;Lists!$E$2&amp;"&amp;subject="&amp;_xlfn.ENCODEURL("[INVALID] Quality audit monitoring completed for "&amp;UPPER($C1425))&amp;"&amp;body="&amp;_xlfn.ENCODEURL("Hi "&amp;$F1425&amp;","&amp;CHAR(10)&amp;"Good day!"&amp;CHAR(10)&amp;CHAR(10)&amp;"A quality monitoring audit has been completed for "&amp;$C1425&amp;"."&amp;CHAR(10)&amp;CHAR(10)&amp;"QUALITY AUDIT DETAILS"&amp;CHAR(10)&amp;"Agent Name: "&amp;$C1425&amp;" (EID "&amp;$D1425&amp;")"&amp;CHAR(10)&amp;"Audit Date: "&amp;TEXT($B1425,"yyyy-mm-dd")&amp;CHAR(10)&amp;"Team Leader: "&amp;$F1425&amp;CHAR(10)&amp;"Case Number: "&amp;$M1425&amp;CHAR(10)&amp;"Transaction ID: "&amp;$N1425&amp;CHAR(10)&amp;"Channel / LOB: "&amp;$K1425&amp;" / "&amp;$L1425&amp;CHAR(10)&amp;"Evaluator: "&amp;$S1425&amp;CHAR(10)&amp;CHAR(10)&amp;"INVALID QUALITY AUDIT DETAILS"&amp;CHAR(10)&amp;"Validation: Invalid"&amp;CHAR(10)&amp;"Invalid Reason: "&amp;$P1425&amp;CHAR(10)&amp;"Expected Resolution Code: "&amp;$Q1425&amp;CHAR(10)&amp;"Remarks: "&amp;LEFT($R1425,600)&amp;CHAR(10)&amp;CHAR(10)&amp;"This is an automated notification from HP Mainstream EQMS."),"✉ Open Email Draft"),"")</f>
        <v/>
      </c>
    </row>
    <row r="1426">
      <c r="A1426" s="25">
        <f>IF($C1426="","","AUD-2026-"&amp;TEXT(ROW()-1,"000000"))</f>
        <v/>
      </c>
      <c r="B1426" s="26" t="n"/>
      <c r="C1426" s="27" t="n"/>
      <c r="D1426" s="25">
        <f>IF($C1426="","",IFERROR(IF(INDEX(Roster!$A:$A,MATCH($C1426,Roster!$B:$B,0))="","",INDEX(Roster!$A:$A,MATCH($C1426,Roster!$B:$B,0))&amp;""),"—"))</f>
        <v/>
      </c>
      <c r="E1426" s="25">
        <f>IF($C1426="","",IFERROR(IF(INDEX(Roster!$C:$C,MATCH($C1426,Roster!$B:$B,0))="","",INDEX(Roster!$C:$C,MATCH($C1426,Roster!$B:$B,0))&amp;""),"—"))</f>
        <v/>
      </c>
      <c r="F1426" s="25">
        <f>IF($C1426="","",IFERROR(IF(INDEX(Roster!$D:$D,MATCH($C1426,Roster!$B:$B,0))="","",INDEX(Roster!$D:$D,MATCH($C1426,Roster!$B:$B,0))&amp;""),"—"))</f>
        <v/>
      </c>
      <c r="G1426" s="25">
        <f>IF($C1426="","",IFERROR(IF(INDEX(Roster!$E:$E,MATCH($C1426,Roster!$B:$B,0))="","",INDEX(Roster!$E:$E,MATCH($C1426,Roster!$B:$B,0))&amp;""),"—"))</f>
        <v/>
      </c>
      <c r="H1426" s="25">
        <f>IF($C1426="","",IFERROR(IF(INDEX(Roster!$F:$F,MATCH($C1426,Roster!$B:$B,0))="","",INDEX(Roster!$F:$F,MATCH($C1426,Roster!$B:$B,0))&amp;""),"—"))</f>
        <v/>
      </c>
      <c r="I1426" s="25">
        <f>IF($C1426="","",IFERROR(IF(INDEX(Roster!$G:$G,MATCH($C1426,Roster!$B:$B,0))="","",INDEX(Roster!$G:$G,MATCH($C1426,Roster!$B:$B,0))&amp;""),"—"))</f>
        <v/>
      </c>
      <c r="J1426" s="25">
        <f>IF($C1426="","",IFERROR(IF(INDEX(Roster!$I:$I,MATCH($C1426,Roster!$B:$B,0))="","",INDEX(Roster!$I:$I,MATCH($C1426,Roster!$B:$B,0))&amp;""),"—"))</f>
        <v/>
      </c>
      <c r="K1426">
        <f>IF($C1426="","",IFERROR(IF(INDEX(Roster!$J:$J,MATCH($C1426,Roster!$B:$B,0))="","",INDEX(Roster!$J:$J,MATCH($C1426,Roster!$B:$B,0))&amp;""),"—"))</f>
        <v/>
      </c>
      <c r="L1426">
        <f>IF($C1426="","",IFERROR(IF(INDEX(Roster!$K:$K,MATCH($C1426,Roster!$B:$B,0))="","",INDEX(Roster!$K:$K,MATCH($C1426,Roster!$B:$B,0))&amp;""),"—"))</f>
        <v/>
      </c>
      <c r="M1426" s="27" t="n"/>
      <c r="N1426" s="27" t="n"/>
      <c r="O1426" s="25">
        <f>IF($C1426="","",IF($P1426="","—",IF($P1426="Valid (Pass)","Valid","Invalid")))</f>
        <v/>
      </c>
      <c r="P1426" s="27" t="n"/>
      <c r="Q1426" s="27" t="n"/>
      <c r="R1426" s="27" t="n"/>
      <c r="S1426" s="27" t="n"/>
      <c r="T1426" s="25">
        <f>IF($C1426="","",IF(OR(ISNUMBER(SEARCH("quick case",$P1426)),ISNUMBER(SEARCH("quick case",$Q1426))),"Yes","No"))</f>
        <v/>
      </c>
      <c r="U1426" s="25">
        <f>IF($O1426="Invalid",HYPERLINK("mailto:"&amp;$G1426&amp;";"&amp;$I1426&amp;"?cc="&amp;Lists!$E$2&amp;"&amp;subject="&amp;_xlfn.ENCODEURL("[INVALID] Quality audit monitoring completed for "&amp;UPPER($C1426))&amp;"&amp;body="&amp;_xlfn.ENCODEURL("Hi "&amp;$F1426&amp;","&amp;CHAR(10)&amp;"Good day!"&amp;CHAR(10)&amp;CHAR(10)&amp;"A quality monitoring audit has been completed for "&amp;$C1426&amp;"."&amp;CHAR(10)&amp;CHAR(10)&amp;"QUALITY AUDIT DETAILS"&amp;CHAR(10)&amp;"Agent Name: "&amp;$C1426&amp;" (EID "&amp;$D1426&amp;")"&amp;CHAR(10)&amp;"Audit Date: "&amp;TEXT($B1426,"yyyy-mm-dd")&amp;CHAR(10)&amp;"Team Leader: "&amp;$F1426&amp;CHAR(10)&amp;"Case Number: "&amp;$M1426&amp;CHAR(10)&amp;"Transaction ID: "&amp;$N1426&amp;CHAR(10)&amp;"Channel / LOB: "&amp;$K1426&amp;" / "&amp;$L1426&amp;CHAR(10)&amp;"Evaluator: "&amp;$S1426&amp;CHAR(10)&amp;CHAR(10)&amp;"INVALID QUALITY AUDIT DETAILS"&amp;CHAR(10)&amp;"Validation: Invalid"&amp;CHAR(10)&amp;"Invalid Reason: "&amp;$P1426&amp;CHAR(10)&amp;"Expected Resolution Code: "&amp;$Q1426&amp;CHAR(10)&amp;"Remarks: "&amp;LEFT($R1426,600)&amp;CHAR(10)&amp;CHAR(10)&amp;"This is an automated notification from HP Mainstream EQMS."),"✉ Open Email Draft"),"")</f>
        <v/>
      </c>
    </row>
    <row r="1427">
      <c r="A1427" s="25">
        <f>IF($C1427="","","AUD-2026-"&amp;TEXT(ROW()-1,"000000"))</f>
        <v/>
      </c>
      <c r="B1427" s="26" t="n"/>
      <c r="C1427" s="27" t="n"/>
      <c r="D1427" s="25">
        <f>IF($C1427="","",IFERROR(IF(INDEX(Roster!$A:$A,MATCH($C1427,Roster!$B:$B,0))="","",INDEX(Roster!$A:$A,MATCH($C1427,Roster!$B:$B,0))&amp;""),"—"))</f>
        <v/>
      </c>
      <c r="E1427" s="25">
        <f>IF($C1427="","",IFERROR(IF(INDEX(Roster!$C:$C,MATCH($C1427,Roster!$B:$B,0))="","",INDEX(Roster!$C:$C,MATCH($C1427,Roster!$B:$B,0))&amp;""),"—"))</f>
        <v/>
      </c>
      <c r="F1427" s="25">
        <f>IF($C1427="","",IFERROR(IF(INDEX(Roster!$D:$D,MATCH($C1427,Roster!$B:$B,0))="","",INDEX(Roster!$D:$D,MATCH($C1427,Roster!$B:$B,0))&amp;""),"—"))</f>
        <v/>
      </c>
      <c r="G1427" s="25">
        <f>IF($C1427="","",IFERROR(IF(INDEX(Roster!$E:$E,MATCH($C1427,Roster!$B:$B,0))="","",INDEX(Roster!$E:$E,MATCH($C1427,Roster!$B:$B,0))&amp;""),"—"))</f>
        <v/>
      </c>
      <c r="H1427" s="25">
        <f>IF($C1427="","",IFERROR(IF(INDEX(Roster!$F:$F,MATCH($C1427,Roster!$B:$B,0))="","",INDEX(Roster!$F:$F,MATCH($C1427,Roster!$B:$B,0))&amp;""),"—"))</f>
        <v/>
      </c>
      <c r="I1427" s="25">
        <f>IF($C1427="","",IFERROR(IF(INDEX(Roster!$G:$G,MATCH($C1427,Roster!$B:$B,0))="","",INDEX(Roster!$G:$G,MATCH($C1427,Roster!$B:$B,0))&amp;""),"—"))</f>
        <v/>
      </c>
      <c r="J1427" s="25">
        <f>IF($C1427="","",IFERROR(IF(INDEX(Roster!$I:$I,MATCH($C1427,Roster!$B:$B,0))="","",INDEX(Roster!$I:$I,MATCH($C1427,Roster!$B:$B,0))&amp;""),"—"))</f>
        <v/>
      </c>
      <c r="K1427">
        <f>IF($C1427="","",IFERROR(IF(INDEX(Roster!$J:$J,MATCH($C1427,Roster!$B:$B,0))="","",INDEX(Roster!$J:$J,MATCH($C1427,Roster!$B:$B,0))&amp;""),"—"))</f>
        <v/>
      </c>
      <c r="L1427">
        <f>IF($C1427="","",IFERROR(IF(INDEX(Roster!$K:$K,MATCH($C1427,Roster!$B:$B,0))="","",INDEX(Roster!$K:$K,MATCH($C1427,Roster!$B:$B,0))&amp;""),"—"))</f>
        <v/>
      </c>
      <c r="M1427" s="27" t="n"/>
      <c r="N1427" s="27" t="n"/>
      <c r="O1427" s="25">
        <f>IF($C1427="","",IF($P1427="","—",IF($P1427="Valid (Pass)","Valid","Invalid")))</f>
        <v/>
      </c>
      <c r="P1427" s="27" t="n"/>
      <c r="Q1427" s="27" t="n"/>
      <c r="R1427" s="27" t="n"/>
      <c r="S1427" s="27" t="n"/>
      <c r="T1427" s="25">
        <f>IF($C1427="","",IF(OR(ISNUMBER(SEARCH("quick case",$P1427)),ISNUMBER(SEARCH("quick case",$Q1427))),"Yes","No"))</f>
        <v/>
      </c>
      <c r="U1427" s="25">
        <f>IF($O1427="Invalid",HYPERLINK("mailto:"&amp;$G1427&amp;";"&amp;$I1427&amp;"?cc="&amp;Lists!$E$2&amp;"&amp;subject="&amp;_xlfn.ENCODEURL("[INVALID] Quality audit monitoring completed for "&amp;UPPER($C1427))&amp;"&amp;body="&amp;_xlfn.ENCODEURL("Hi "&amp;$F1427&amp;","&amp;CHAR(10)&amp;"Good day!"&amp;CHAR(10)&amp;CHAR(10)&amp;"A quality monitoring audit has been completed for "&amp;$C1427&amp;"."&amp;CHAR(10)&amp;CHAR(10)&amp;"QUALITY AUDIT DETAILS"&amp;CHAR(10)&amp;"Agent Name: "&amp;$C1427&amp;" (EID "&amp;$D1427&amp;")"&amp;CHAR(10)&amp;"Audit Date: "&amp;TEXT($B1427,"yyyy-mm-dd")&amp;CHAR(10)&amp;"Team Leader: "&amp;$F1427&amp;CHAR(10)&amp;"Case Number: "&amp;$M1427&amp;CHAR(10)&amp;"Transaction ID: "&amp;$N1427&amp;CHAR(10)&amp;"Channel / LOB: "&amp;$K1427&amp;" / "&amp;$L1427&amp;CHAR(10)&amp;"Evaluator: "&amp;$S1427&amp;CHAR(10)&amp;CHAR(10)&amp;"INVALID QUALITY AUDIT DETAILS"&amp;CHAR(10)&amp;"Validation: Invalid"&amp;CHAR(10)&amp;"Invalid Reason: "&amp;$P1427&amp;CHAR(10)&amp;"Expected Resolution Code: "&amp;$Q1427&amp;CHAR(10)&amp;"Remarks: "&amp;LEFT($R1427,600)&amp;CHAR(10)&amp;CHAR(10)&amp;"This is an automated notification from HP Mainstream EQMS."),"✉ Open Email Draft"),"")</f>
        <v/>
      </c>
    </row>
    <row r="1428">
      <c r="A1428" s="25">
        <f>IF($C1428="","","AUD-2026-"&amp;TEXT(ROW()-1,"000000"))</f>
        <v/>
      </c>
      <c r="B1428" s="26" t="n"/>
      <c r="C1428" s="27" t="n"/>
      <c r="D1428" s="25">
        <f>IF($C1428="","",IFERROR(IF(INDEX(Roster!$A:$A,MATCH($C1428,Roster!$B:$B,0))="","",INDEX(Roster!$A:$A,MATCH($C1428,Roster!$B:$B,0))&amp;""),"—"))</f>
        <v/>
      </c>
      <c r="E1428" s="25">
        <f>IF($C1428="","",IFERROR(IF(INDEX(Roster!$C:$C,MATCH($C1428,Roster!$B:$B,0))="","",INDEX(Roster!$C:$C,MATCH($C1428,Roster!$B:$B,0))&amp;""),"—"))</f>
        <v/>
      </c>
      <c r="F1428" s="25">
        <f>IF($C1428="","",IFERROR(IF(INDEX(Roster!$D:$D,MATCH($C1428,Roster!$B:$B,0))="","",INDEX(Roster!$D:$D,MATCH($C1428,Roster!$B:$B,0))&amp;""),"—"))</f>
        <v/>
      </c>
      <c r="G1428" s="25">
        <f>IF($C1428="","",IFERROR(IF(INDEX(Roster!$E:$E,MATCH($C1428,Roster!$B:$B,0))="","",INDEX(Roster!$E:$E,MATCH($C1428,Roster!$B:$B,0))&amp;""),"—"))</f>
        <v/>
      </c>
      <c r="H1428" s="25">
        <f>IF($C1428="","",IFERROR(IF(INDEX(Roster!$F:$F,MATCH($C1428,Roster!$B:$B,0))="","",INDEX(Roster!$F:$F,MATCH($C1428,Roster!$B:$B,0))&amp;""),"—"))</f>
        <v/>
      </c>
      <c r="I1428" s="25">
        <f>IF($C1428="","",IFERROR(IF(INDEX(Roster!$G:$G,MATCH($C1428,Roster!$B:$B,0))="","",INDEX(Roster!$G:$G,MATCH($C1428,Roster!$B:$B,0))&amp;""),"—"))</f>
        <v/>
      </c>
      <c r="J1428" s="25">
        <f>IF($C1428="","",IFERROR(IF(INDEX(Roster!$I:$I,MATCH($C1428,Roster!$B:$B,0))="","",INDEX(Roster!$I:$I,MATCH($C1428,Roster!$B:$B,0))&amp;""),"—"))</f>
        <v/>
      </c>
      <c r="K1428">
        <f>IF($C1428="","",IFERROR(IF(INDEX(Roster!$J:$J,MATCH($C1428,Roster!$B:$B,0))="","",INDEX(Roster!$J:$J,MATCH($C1428,Roster!$B:$B,0))&amp;""),"—"))</f>
        <v/>
      </c>
      <c r="L1428">
        <f>IF($C1428="","",IFERROR(IF(INDEX(Roster!$K:$K,MATCH($C1428,Roster!$B:$B,0))="","",INDEX(Roster!$K:$K,MATCH($C1428,Roster!$B:$B,0))&amp;""),"—"))</f>
        <v/>
      </c>
      <c r="M1428" s="27" t="n"/>
      <c r="N1428" s="27" t="n"/>
      <c r="O1428" s="25">
        <f>IF($C1428="","",IF($P1428="","—",IF($P1428="Valid (Pass)","Valid","Invalid")))</f>
        <v/>
      </c>
      <c r="P1428" s="27" t="n"/>
      <c r="Q1428" s="27" t="n"/>
      <c r="R1428" s="27" t="n"/>
      <c r="S1428" s="27" t="n"/>
      <c r="T1428" s="25">
        <f>IF($C1428="","",IF(OR(ISNUMBER(SEARCH("quick case",$P1428)),ISNUMBER(SEARCH("quick case",$Q1428))),"Yes","No"))</f>
        <v/>
      </c>
      <c r="U1428" s="25">
        <f>IF($O1428="Invalid",HYPERLINK("mailto:"&amp;$G1428&amp;";"&amp;$I1428&amp;"?cc="&amp;Lists!$E$2&amp;"&amp;subject="&amp;_xlfn.ENCODEURL("[INVALID] Quality audit monitoring completed for "&amp;UPPER($C1428))&amp;"&amp;body="&amp;_xlfn.ENCODEURL("Hi "&amp;$F1428&amp;","&amp;CHAR(10)&amp;"Good day!"&amp;CHAR(10)&amp;CHAR(10)&amp;"A quality monitoring audit has been completed for "&amp;$C1428&amp;"."&amp;CHAR(10)&amp;CHAR(10)&amp;"QUALITY AUDIT DETAILS"&amp;CHAR(10)&amp;"Agent Name: "&amp;$C1428&amp;" (EID "&amp;$D1428&amp;")"&amp;CHAR(10)&amp;"Audit Date: "&amp;TEXT($B1428,"yyyy-mm-dd")&amp;CHAR(10)&amp;"Team Leader: "&amp;$F1428&amp;CHAR(10)&amp;"Case Number: "&amp;$M1428&amp;CHAR(10)&amp;"Transaction ID: "&amp;$N1428&amp;CHAR(10)&amp;"Channel / LOB: "&amp;$K1428&amp;" / "&amp;$L1428&amp;CHAR(10)&amp;"Evaluator: "&amp;$S1428&amp;CHAR(10)&amp;CHAR(10)&amp;"INVALID QUALITY AUDIT DETAILS"&amp;CHAR(10)&amp;"Validation: Invalid"&amp;CHAR(10)&amp;"Invalid Reason: "&amp;$P1428&amp;CHAR(10)&amp;"Expected Resolution Code: "&amp;$Q1428&amp;CHAR(10)&amp;"Remarks: "&amp;LEFT($R1428,600)&amp;CHAR(10)&amp;CHAR(10)&amp;"This is an automated notification from HP Mainstream EQMS."),"✉ Open Email Draft"),"")</f>
        <v/>
      </c>
    </row>
    <row r="1429">
      <c r="A1429" s="25">
        <f>IF($C1429="","","AUD-2026-"&amp;TEXT(ROW()-1,"000000"))</f>
        <v/>
      </c>
      <c r="B1429" s="26" t="n"/>
      <c r="C1429" s="27" t="n"/>
      <c r="D1429" s="25">
        <f>IF($C1429="","",IFERROR(IF(INDEX(Roster!$A:$A,MATCH($C1429,Roster!$B:$B,0))="","",INDEX(Roster!$A:$A,MATCH($C1429,Roster!$B:$B,0))&amp;""),"—"))</f>
        <v/>
      </c>
      <c r="E1429" s="25">
        <f>IF($C1429="","",IFERROR(IF(INDEX(Roster!$C:$C,MATCH($C1429,Roster!$B:$B,0))="","",INDEX(Roster!$C:$C,MATCH($C1429,Roster!$B:$B,0))&amp;""),"—"))</f>
        <v/>
      </c>
      <c r="F1429" s="25">
        <f>IF($C1429="","",IFERROR(IF(INDEX(Roster!$D:$D,MATCH($C1429,Roster!$B:$B,0))="","",INDEX(Roster!$D:$D,MATCH($C1429,Roster!$B:$B,0))&amp;""),"—"))</f>
        <v/>
      </c>
      <c r="G1429" s="25">
        <f>IF($C1429="","",IFERROR(IF(INDEX(Roster!$E:$E,MATCH($C1429,Roster!$B:$B,0))="","",INDEX(Roster!$E:$E,MATCH($C1429,Roster!$B:$B,0))&amp;""),"—"))</f>
        <v/>
      </c>
      <c r="H1429" s="25">
        <f>IF($C1429="","",IFERROR(IF(INDEX(Roster!$F:$F,MATCH($C1429,Roster!$B:$B,0))="","",INDEX(Roster!$F:$F,MATCH($C1429,Roster!$B:$B,0))&amp;""),"—"))</f>
        <v/>
      </c>
      <c r="I1429" s="25">
        <f>IF($C1429="","",IFERROR(IF(INDEX(Roster!$G:$G,MATCH($C1429,Roster!$B:$B,0))="","",INDEX(Roster!$G:$G,MATCH($C1429,Roster!$B:$B,0))&amp;""),"—"))</f>
        <v/>
      </c>
      <c r="J1429" s="25">
        <f>IF($C1429="","",IFERROR(IF(INDEX(Roster!$I:$I,MATCH($C1429,Roster!$B:$B,0))="","",INDEX(Roster!$I:$I,MATCH($C1429,Roster!$B:$B,0))&amp;""),"—"))</f>
        <v/>
      </c>
      <c r="K1429">
        <f>IF($C1429="","",IFERROR(IF(INDEX(Roster!$J:$J,MATCH($C1429,Roster!$B:$B,0))="","",INDEX(Roster!$J:$J,MATCH($C1429,Roster!$B:$B,0))&amp;""),"—"))</f>
        <v/>
      </c>
      <c r="L1429">
        <f>IF($C1429="","",IFERROR(IF(INDEX(Roster!$K:$K,MATCH($C1429,Roster!$B:$B,0))="","",INDEX(Roster!$K:$K,MATCH($C1429,Roster!$B:$B,0))&amp;""),"—"))</f>
        <v/>
      </c>
      <c r="M1429" s="27" t="n"/>
      <c r="N1429" s="27" t="n"/>
      <c r="O1429" s="25">
        <f>IF($C1429="","",IF($P1429="","—",IF($P1429="Valid (Pass)","Valid","Invalid")))</f>
        <v/>
      </c>
      <c r="P1429" s="27" t="n"/>
      <c r="Q1429" s="27" t="n"/>
      <c r="R1429" s="27" t="n"/>
      <c r="S1429" s="27" t="n"/>
      <c r="T1429" s="25">
        <f>IF($C1429="","",IF(OR(ISNUMBER(SEARCH("quick case",$P1429)),ISNUMBER(SEARCH("quick case",$Q1429))),"Yes","No"))</f>
        <v/>
      </c>
      <c r="U1429" s="25">
        <f>IF($O1429="Invalid",HYPERLINK("mailto:"&amp;$G1429&amp;";"&amp;$I1429&amp;"?cc="&amp;Lists!$E$2&amp;"&amp;subject="&amp;_xlfn.ENCODEURL("[INVALID] Quality audit monitoring completed for "&amp;UPPER($C1429))&amp;"&amp;body="&amp;_xlfn.ENCODEURL("Hi "&amp;$F1429&amp;","&amp;CHAR(10)&amp;"Good day!"&amp;CHAR(10)&amp;CHAR(10)&amp;"A quality monitoring audit has been completed for "&amp;$C1429&amp;"."&amp;CHAR(10)&amp;CHAR(10)&amp;"QUALITY AUDIT DETAILS"&amp;CHAR(10)&amp;"Agent Name: "&amp;$C1429&amp;" (EID "&amp;$D1429&amp;")"&amp;CHAR(10)&amp;"Audit Date: "&amp;TEXT($B1429,"yyyy-mm-dd")&amp;CHAR(10)&amp;"Team Leader: "&amp;$F1429&amp;CHAR(10)&amp;"Case Number: "&amp;$M1429&amp;CHAR(10)&amp;"Transaction ID: "&amp;$N1429&amp;CHAR(10)&amp;"Channel / LOB: "&amp;$K1429&amp;" / "&amp;$L1429&amp;CHAR(10)&amp;"Evaluator: "&amp;$S1429&amp;CHAR(10)&amp;CHAR(10)&amp;"INVALID QUALITY AUDIT DETAILS"&amp;CHAR(10)&amp;"Validation: Invalid"&amp;CHAR(10)&amp;"Invalid Reason: "&amp;$P1429&amp;CHAR(10)&amp;"Expected Resolution Code: "&amp;$Q1429&amp;CHAR(10)&amp;"Remarks: "&amp;LEFT($R1429,600)&amp;CHAR(10)&amp;CHAR(10)&amp;"This is an automated notification from HP Mainstream EQMS."),"✉ Open Email Draft"),"")</f>
        <v/>
      </c>
    </row>
    <row r="1430">
      <c r="A1430" s="25">
        <f>IF($C1430="","","AUD-2026-"&amp;TEXT(ROW()-1,"000000"))</f>
        <v/>
      </c>
      <c r="B1430" s="26" t="n"/>
      <c r="C1430" s="27" t="n"/>
      <c r="D1430" s="25">
        <f>IF($C1430="","",IFERROR(IF(INDEX(Roster!$A:$A,MATCH($C1430,Roster!$B:$B,0))="","",INDEX(Roster!$A:$A,MATCH($C1430,Roster!$B:$B,0))&amp;""),"—"))</f>
        <v/>
      </c>
      <c r="E1430" s="25">
        <f>IF($C1430="","",IFERROR(IF(INDEX(Roster!$C:$C,MATCH($C1430,Roster!$B:$B,0))="","",INDEX(Roster!$C:$C,MATCH($C1430,Roster!$B:$B,0))&amp;""),"—"))</f>
        <v/>
      </c>
      <c r="F1430" s="25">
        <f>IF($C1430="","",IFERROR(IF(INDEX(Roster!$D:$D,MATCH($C1430,Roster!$B:$B,0))="","",INDEX(Roster!$D:$D,MATCH($C1430,Roster!$B:$B,0))&amp;""),"—"))</f>
        <v/>
      </c>
      <c r="G1430" s="25">
        <f>IF($C1430="","",IFERROR(IF(INDEX(Roster!$E:$E,MATCH($C1430,Roster!$B:$B,0))="","",INDEX(Roster!$E:$E,MATCH($C1430,Roster!$B:$B,0))&amp;""),"—"))</f>
        <v/>
      </c>
      <c r="H1430" s="25">
        <f>IF($C1430="","",IFERROR(IF(INDEX(Roster!$F:$F,MATCH($C1430,Roster!$B:$B,0))="","",INDEX(Roster!$F:$F,MATCH($C1430,Roster!$B:$B,0))&amp;""),"—"))</f>
        <v/>
      </c>
      <c r="I1430" s="25">
        <f>IF($C1430="","",IFERROR(IF(INDEX(Roster!$G:$G,MATCH($C1430,Roster!$B:$B,0))="","",INDEX(Roster!$G:$G,MATCH($C1430,Roster!$B:$B,0))&amp;""),"—"))</f>
        <v/>
      </c>
      <c r="J1430" s="25">
        <f>IF($C1430="","",IFERROR(IF(INDEX(Roster!$I:$I,MATCH($C1430,Roster!$B:$B,0))="","",INDEX(Roster!$I:$I,MATCH($C1430,Roster!$B:$B,0))&amp;""),"—"))</f>
        <v/>
      </c>
      <c r="K1430">
        <f>IF($C1430="","",IFERROR(IF(INDEX(Roster!$J:$J,MATCH($C1430,Roster!$B:$B,0))="","",INDEX(Roster!$J:$J,MATCH($C1430,Roster!$B:$B,0))&amp;""),"—"))</f>
        <v/>
      </c>
      <c r="L1430">
        <f>IF($C1430="","",IFERROR(IF(INDEX(Roster!$K:$K,MATCH($C1430,Roster!$B:$B,0))="","",INDEX(Roster!$K:$K,MATCH($C1430,Roster!$B:$B,0))&amp;""),"—"))</f>
        <v/>
      </c>
      <c r="M1430" s="27" t="n"/>
      <c r="N1430" s="27" t="n"/>
      <c r="O1430" s="25">
        <f>IF($C1430="","",IF($P1430="","—",IF($P1430="Valid (Pass)","Valid","Invalid")))</f>
        <v/>
      </c>
      <c r="P1430" s="27" t="n"/>
      <c r="Q1430" s="27" t="n"/>
      <c r="R1430" s="27" t="n"/>
      <c r="S1430" s="27" t="n"/>
      <c r="T1430" s="25">
        <f>IF($C1430="","",IF(OR(ISNUMBER(SEARCH("quick case",$P1430)),ISNUMBER(SEARCH("quick case",$Q1430))),"Yes","No"))</f>
        <v/>
      </c>
      <c r="U1430" s="25">
        <f>IF($O1430="Invalid",HYPERLINK("mailto:"&amp;$G1430&amp;";"&amp;$I1430&amp;"?cc="&amp;Lists!$E$2&amp;"&amp;subject="&amp;_xlfn.ENCODEURL("[INVALID] Quality audit monitoring completed for "&amp;UPPER($C1430))&amp;"&amp;body="&amp;_xlfn.ENCODEURL("Hi "&amp;$F1430&amp;","&amp;CHAR(10)&amp;"Good day!"&amp;CHAR(10)&amp;CHAR(10)&amp;"A quality monitoring audit has been completed for "&amp;$C1430&amp;"."&amp;CHAR(10)&amp;CHAR(10)&amp;"QUALITY AUDIT DETAILS"&amp;CHAR(10)&amp;"Agent Name: "&amp;$C1430&amp;" (EID "&amp;$D1430&amp;")"&amp;CHAR(10)&amp;"Audit Date: "&amp;TEXT($B1430,"yyyy-mm-dd")&amp;CHAR(10)&amp;"Team Leader: "&amp;$F1430&amp;CHAR(10)&amp;"Case Number: "&amp;$M1430&amp;CHAR(10)&amp;"Transaction ID: "&amp;$N1430&amp;CHAR(10)&amp;"Channel / LOB: "&amp;$K1430&amp;" / "&amp;$L1430&amp;CHAR(10)&amp;"Evaluator: "&amp;$S1430&amp;CHAR(10)&amp;CHAR(10)&amp;"INVALID QUALITY AUDIT DETAILS"&amp;CHAR(10)&amp;"Validation: Invalid"&amp;CHAR(10)&amp;"Invalid Reason: "&amp;$P1430&amp;CHAR(10)&amp;"Expected Resolution Code: "&amp;$Q1430&amp;CHAR(10)&amp;"Remarks: "&amp;LEFT($R1430,600)&amp;CHAR(10)&amp;CHAR(10)&amp;"This is an automated notification from HP Mainstream EQMS."),"✉ Open Email Draft"),"")</f>
        <v/>
      </c>
    </row>
    <row r="1431">
      <c r="A1431" s="25">
        <f>IF($C1431="","","AUD-2026-"&amp;TEXT(ROW()-1,"000000"))</f>
        <v/>
      </c>
      <c r="B1431" s="26" t="n"/>
      <c r="C1431" s="27" t="n"/>
      <c r="D1431" s="25">
        <f>IF($C1431="","",IFERROR(IF(INDEX(Roster!$A:$A,MATCH($C1431,Roster!$B:$B,0))="","",INDEX(Roster!$A:$A,MATCH($C1431,Roster!$B:$B,0))&amp;""),"—"))</f>
        <v/>
      </c>
      <c r="E1431" s="25">
        <f>IF($C1431="","",IFERROR(IF(INDEX(Roster!$C:$C,MATCH($C1431,Roster!$B:$B,0))="","",INDEX(Roster!$C:$C,MATCH($C1431,Roster!$B:$B,0))&amp;""),"—"))</f>
        <v/>
      </c>
      <c r="F1431" s="25">
        <f>IF($C1431="","",IFERROR(IF(INDEX(Roster!$D:$D,MATCH($C1431,Roster!$B:$B,0))="","",INDEX(Roster!$D:$D,MATCH($C1431,Roster!$B:$B,0))&amp;""),"—"))</f>
        <v/>
      </c>
      <c r="G1431" s="25">
        <f>IF($C1431="","",IFERROR(IF(INDEX(Roster!$E:$E,MATCH($C1431,Roster!$B:$B,0))="","",INDEX(Roster!$E:$E,MATCH($C1431,Roster!$B:$B,0))&amp;""),"—"))</f>
        <v/>
      </c>
      <c r="H1431" s="25">
        <f>IF($C1431="","",IFERROR(IF(INDEX(Roster!$F:$F,MATCH($C1431,Roster!$B:$B,0))="","",INDEX(Roster!$F:$F,MATCH($C1431,Roster!$B:$B,0))&amp;""),"—"))</f>
        <v/>
      </c>
      <c r="I1431" s="25">
        <f>IF($C1431="","",IFERROR(IF(INDEX(Roster!$G:$G,MATCH($C1431,Roster!$B:$B,0))="","",INDEX(Roster!$G:$G,MATCH($C1431,Roster!$B:$B,0))&amp;""),"—"))</f>
        <v/>
      </c>
      <c r="J1431" s="25">
        <f>IF($C1431="","",IFERROR(IF(INDEX(Roster!$I:$I,MATCH($C1431,Roster!$B:$B,0))="","",INDEX(Roster!$I:$I,MATCH($C1431,Roster!$B:$B,0))&amp;""),"—"))</f>
        <v/>
      </c>
      <c r="K1431">
        <f>IF($C1431="","",IFERROR(IF(INDEX(Roster!$J:$J,MATCH($C1431,Roster!$B:$B,0))="","",INDEX(Roster!$J:$J,MATCH($C1431,Roster!$B:$B,0))&amp;""),"—"))</f>
        <v/>
      </c>
      <c r="L1431">
        <f>IF($C1431="","",IFERROR(IF(INDEX(Roster!$K:$K,MATCH($C1431,Roster!$B:$B,0))="","",INDEX(Roster!$K:$K,MATCH($C1431,Roster!$B:$B,0))&amp;""),"—"))</f>
        <v/>
      </c>
      <c r="M1431" s="27" t="n"/>
      <c r="N1431" s="27" t="n"/>
      <c r="O1431" s="25">
        <f>IF($C1431="","",IF($P1431="","—",IF($P1431="Valid (Pass)","Valid","Invalid")))</f>
        <v/>
      </c>
      <c r="P1431" s="27" t="n"/>
      <c r="Q1431" s="27" t="n"/>
      <c r="R1431" s="27" t="n"/>
      <c r="S1431" s="27" t="n"/>
      <c r="T1431" s="25">
        <f>IF($C1431="","",IF(OR(ISNUMBER(SEARCH("quick case",$P1431)),ISNUMBER(SEARCH("quick case",$Q1431))),"Yes","No"))</f>
        <v/>
      </c>
      <c r="U1431" s="25">
        <f>IF($O1431="Invalid",HYPERLINK("mailto:"&amp;$G1431&amp;";"&amp;$I1431&amp;"?cc="&amp;Lists!$E$2&amp;"&amp;subject="&amp;_xlfn.ENCODEURL("[INVALID] Quality audit monitoring completed for "&amp;UPPER($C1431))&amp;"&amp;body="&amp;_xlfn.ENCODEURL("Hi "&amp;$F1431&amp;","&amp;CHAR(10)&amp;"Good day!"&amp;CHAR(10)&amp;CHAR(10)&amp;"A quality monitoring audit has been completed for "&amp;$C1431&amp;"."&amp;CHAR(10)&amp;CHAR(10)&amp;"QUALITY AUDIT DETAILS"&amp;CHAR(10)&amp;"Agent Name: "&amp;$C1431&amp;" (EID "&amp;$D1431&amp;")"&amp;CHAR(10)&amp;"Audit Date: "&amp;TEXT($B1431,"yyyy-mm-dd")&amp;CHAR(10)&amp;"Team Leader: "&amp;$F1431&amp;CHAR(10)&amp;"Case Number: "&amp;$M1431&amp;CHAR(10)&amp;"Transaction ID: "&amp;$N1431&amp;CHAR(10)&amp;"Channel / LOB: "&amp;$K1431&amp;" / "&amp;$L1431&amp;CHAR(10)&amp;"Evaluator: "&amp;$S1431&amp;CHAR(10)&amp;CHAR(10)&amp;"INVALID QUALITY AUDIT DETAILS"&amp;CHAR(10)&amp;"Validation: Invalid"&amp;CHAR(10)&amp;"Invalid Reason: "&amp;$P1431&amp;CHAR(10)&amp;"Expected Resolution Code: "&amp;$Q1431&amp;CHAR(10)&amp;"Remarks: "&amp;LEFT($R1431,600)&amp;CHAR(10)&amp;CHAR(10)&amp;"This is an automated notification from HP Mainstream EQMS."),"✉ Open Email Draft"),"")</f>
        <v/>
      </c>
    </row>
    <row r="1432">
      <c r="A1432" s="25">
        <f>IF($C1432="","","AUD-2026-"&amp;TEXT(ROW()-1,"000000"))</f>
        <v/>
      </c>
      <c r="B1432" s="26" t="n"/>
      <c r="C1432" s="27" t="n"/>
      <c r="D1432" s="25">
        <f>IF($C1432="","",IFERROR(IF(INDEX(Roster!$A:$A,MATCH($C1432,Roster!$B:$B,0))="","",INDEX(Roster!$A:$A,MATCH($C1432,Roster!$B:$B,0))&amp;""),"—"))</f>
        <v/>
      </c>
      <c r="E1432" s="25">
        <f>IF($C1432="","",IFERROR(IF(INDEX(Roster!$C:$C,MATCH($C1432,Roster!$B:$B,0))="","",INDEX(Roster!$C:$C,MATCH($C1432,Roster!$B:$B,0))&amp;""),"—"))</f>
        <v/>
      </c>
      <c r="F1432" s="25">
        <f>IF($C1432="","",IFERROR(IF(INDEX(Roster!$D:$D,MATCH($C1432,Roster!$B:$B,0))="","",INDEX(Roster!$D:$D,MATCH($C1432,Roster!$B:$B,0))&amp;""),"—"))</f>
        <v/>
      </c>
      <c r="G1432" s="25">
        <f>IF($C1432="","",IFERROR(IF(INDEX(Roster!$E:$E,MATCH($C1432,Roster!$B:$B,0))="","",INDEX(Roster!$E:$E,MATCH($C1432,Roster!$B:$B,0))&amp;""),"—"))</f>
        <v/>
      </c>
      <c r="H1432" s="25">
        <f>IF($C1432="","",IFERROR(IF(INDEX(Roster!$F:$F,MATCH($C1432,Roster!$B:$B,0))="","",INDEX(Roster!$F:$F,MATCH($C1432,Roster!$B:$B,0))&amp;""),"—"))</f>
        <v/>
      </c>
      <c r="I1432" s="25">
        <f>IF($C1432="","",IFERROR(IF(INDEX(Roster!$G:$G,MATCH($C1432,Roster!$B:$B,0))="","",INDEX(Roster!$G:$G,MATCH($C1432,Roster!$B:$B,0))&amp;""),"—"))</f>
        <v/>
      </c>
      <c r="J1432" s="25">
        <f>IF($C1432="","",IFERROR(IF(INDEX(Roster!$I:$I,MATCH($C1432,Roster!$B:$B,0))="","",INDEX(Roster!$I:$I,MATCH($C1432,Roster!$B:$B,0))&amp;""),"—"))</f>
        <v/>
      </c>
      <c r="K1432">
        <f>IF($C1432="","",IFERROR(IF(INDEX(Roster!$J:$J,MATCH($C1432,Roster!$B:$B,0))="","",INDEX(Roster!$J:$J,MATCH($C1432,Roster!$B:$B,0))&amp;""),"—"))</f>
        <v/>
      </c>
      <c r="L1432">
        <f>IF($C1432="","",IFERROR(IF(INDEX(Roster!$K:$K,MATCH($C1432,Roster!$B:$B,0))="","",INDEX(Roster!$K:$K,MATCH($C1432,Roster!$B:$B,0))&amp;""),"—"))</f>
        <v/>
      </c>
      <c r="M1432" s="27" t="n"/>
      <c r="N1432" s="27" t="n"/>
      <c r="O1432" s="25">
        <f>IF($C1432="","",IF($P1432="","—",IF($P1432="Valid (Pass)","Valid","Invalid")))</f>
        <v/>
      </c>
      <c r="P1432" s="27" t="n"/>
      <c r="Q1432" s="27" t="n"/>
      <c r="R1432" s="27" t="n"/>
      <c r="S1432" s="27" t="n"/>
      <c r="T1432" s="25">
        <f>IF($C1432="","",IF(OR(ISNUMBER(SEARCH("quick case",$P1432)),ISNUMBER(SEARCH("quick case",$Q1432))),"Yes","No"))</f>
        <v/>
      </c>
      <c r="U1432" s="25">
        <f>IF($O1432="Invalid",HYPERLINK("mailto:"&amp;$G1432&amp;";"&amp;$I1432&amp;"?cc="&amp;Lists!$E$2&amp;"&amp;subject="&amp;_xlfn.ENCODEURL("[INVALID] Quality audit monitoring completed for "&amp;UPPER($C1432))&amp;"&amp;body="&amp;_xlfn.ENCODEURL("Hi "&amp;$F1432&amp;","&amp;CHAR(10)&amp;"Good day!"&amp;CHAR(10)&amp;CHAR(10)&amp;"A quality monitoring audit has been completed for "&amp;$C1432&amp;"."&amp;CHAR(10)&amp;CHAR(10)&amp;"QUALITY AUDIT DETAILS"&amp;CHAR(10)&amp;"Agent Name: "&amp;$C1432&amp;" (EID "&amp;$D1432&amp;")"&amp;CHAR(10)&amp;"Audit Date: "&amp;TEXT($B1432,"yyyy-mm-dd")&amp;CHAR(10)&amp;"Team Leader: "&amp;$F1432&amp;CHAR(10)&amp;"Case Number: "&amp;$M1432&amp;CHAR(10)&amp;"Transaction ID: "&amp;$N1432&amp;CHAR(10)&amp;"Channel / LOB: "&amp;$K1432&amp;" / "&amp;$L1432&amp;CHAR(10)&amp;"Evaluator: "&amp;$S1432&amp;CHAR(10)&amp;CHAR(10)&amp;"INVALID QUALITY AUDIT DETAILS"&amp;CHAR(10)&amp;"Validation: Invalid"&amp;CHAR(10)&amp;"Invalid Reason: "&amp;$P1432&amp;CHAR(10)&amp;"Expected Resolution Code: "&amp;$Q1432&amp;CHAR(10)&amp;"Remarks: "&amp;LEFT($R1432,600)&amp;CHAR(10)&amp;CHAR(10)&amp;"This is an automated notification from HP Mainstream EQMS."),"✉ Open Email Draft"),"")</f>
        <v/>
      </c>
    </row>
    <row r="1433">
      <c r="A1433" s="25">
        <f>IF($C1433="","","AUD-2026-"&amp;TEXT(ROW()-1,"000000"))</f>
        <v/>
      </c>
      <c r="B1433" s="26" t="n"/>
      <c r="C1433" s="27" t="n"/>
      <c r="D1433" s="25">
        <f>IF($C1433="","",IFERROR(IF(INDEX(Roster!$A:$A,MATCH($C1433,Roster!$B:$B,0))="","",INDEX(Roster!$A:$A,MATCH($C1433,Roster!$B:$B,0))&amp;""),"—"))</f>
        <v/>
      </c>
      <c r="E1433" s="25">
        <f>IF($C1433="","",IFERROR(IF(INDEX(Roster!$C:$C,MATCH($C1433,Roster!$B:$B,0))="","",INDEX(Roster!$C:$C,MATCH($C1433,Roster!$B:$B,0))&amp;""),"—"))</f>
        <v/>
      </c>
      <c r="F1433" s="25">
        <f>IF($C1433="","",IFERROR(IF(INDEX(Roster!$D:$D,MATCH($C1433,Roster!$B:$B,0))="","",INDEX(Roster!$D:$D,MATCH($C1433,Roster!$B:$B,0))&amp;""),"—"))</f>
        <v/>
      </c>
      <c r="G1433" s="25">
        <f>IF($C1433="","",IFERROR(IF(INDEX(Roster!$E:$E,MATCH($C1433,Roster!$B:$B,0))="","",INDEX(Roster!$E:$E,MATCH($C1433,Roster!$B:$B,0))&amp;""),"—"))</f>
        <v/>
      </c>
      <c r="H1433" s="25">
        <f>IF($C1433="","",IFERROR(IF(INDEX(Roster!$F:$F,MATCH($C1433,Roster!$B:$B,0))="","",INDEX(Roster!$F:$F,MATCH($C1433,Roster!$B:$B,0))&amp;""),"—"))</f>
        <v/>
      </c>
      <c r="I1433" s="25">
        <f>IF($C1433="","",IFERROR(IF(INDEX(Roster!$G:$G,MATCH($C1433,Roster!$B:$B,0))="","",INDEX(Roster!$G:$G,MATCH($C1433,Roster!$B:$B,0))&amp;""),"—"))</f>
        <v/>
      </c>
      <c r="J1433" s="25">
        <f>IF($C1433="","",IFERROR(IF(INDEX(Roster!$I:$I,MATCH($C1433,Roster!$B:$B,0))="","",INDEX(Roster!$I:$I,MATCH($C1433,Roster!$B:$B,0))&amp;""),"—"))</f>
        <v/>
      </c>
      <c r="K1433">
        <f>IF($C1433="","",IFERROR(IF(INDEX(Roster!$J:$J,MATCH($C1433,Roster!$B:$B,0))="","",INDEX(Roster!$J:$J,MATCH($C1433,Roster!$B:$B,0))&amp;""),"—"))</f>
        <v/>
      </c>
      <c r="L1433">
        <f>IF($C1433="","",IFERROR(IF(INDEX(Roster!$K:$K,MATCH($C1433,Roster!$B:$B,0))="","",INDEX(Roster!$K:$K,MATCH($C1433,Roster!$B:$B,0))&amp;""),"—"))</f>
        <v/>
      </c>
      <c r="M1433" s="27" t="n"/>
      <c r="N1433" s="27" t="n"/>
      <c r="O1433" s="25">
        <f>IF($C1433="","",IF($P1433="","—",IF($P1433="Valid (Pass)","Valid","Invalid")))</f>
        <v/>
      </c>
      <c r="P1433" s="27" t="n"/>
      <c r="Q1433" s="27" t="n"/>
      <c r="R1433" s="27" t="n"/>
      <c r="S1433" s="27" t="n"/>
      <c r="T1433" s="25">
        <f>IF($C1433="","",IF(OR(ISNUMBER(SEARCH("quick case",$P1433)),ISNUMBER(SEARCH("quick case",$Q1433))),"Yes","No"))</f>
        <v/>
      </c>
      <c r="U1433" s="25">
        <f>IF($O1433="Invalid",HYPERLINK("mailto:"&amp;$G1433&amp;";"&amp;$I1433&amp;"?cc="&amp;Lists!$E$2&amp;"&amp;subject="&amp;_xlfn.ENCODEURL("[INVALID] Quality audit monitoring completed for "&amp;UPPER($C1433))&amp;"&amp;body="&amp;_xlfn.ENCODEURL("Hi "&amp;$F1433&amp;","&amp;CHAR(10)&amp;"Good day!"&amp;CHAR(10)&amp;CHAR(10)&amp;"A quality monitoring audit has been completed for "&amp;$C1433&amp;"."&amp;CHAR(10)&amp;CHAR(10)&amp;"QUALITY AUDIT DETAILS"&amp;CHAR(10)&amp;"Agent Name: "&amp;$C1433&amp;" (EID "&amp;$D1433&amp;")"&amp;CHAR(10)&amp;"Audit Date: "&amp;TEXT($B1433,"yyyy-mm-dd")&amp;CHAR(10)&amp;"Team Leader: "&amp;$F1433&amp;CHAR(10)&amp;"Case Number: "&amp;$M1433&amp;CHAR(10)&amp;"Transaction ID: "&amp;$N1433&amp;CHAR(10)&amp;"Channel / LOB: "&amp;$K1433&amp;" / "&amp;$L1433&amp;CHAR(10)&amp;"Evaluator: "&amp;$S1433&amp;CHAR(10)&amp;CHAR(10)&amp;"INVALID QUALITY AUDIT DETAILS"&amp;CHAR(10)&amp;"Validation: Invalid"&amp;CHAR(10)&amp;"Invalid Reason: "&amp;$P1433&amp;CHAR(10)&amp;"Expected Resolution Code: "&amp;$Q1433&amp;CHAR(10)&amp;"Remarks: "&amp;LEFT($R1433,600)&amp;CHAR(10)&amp;CHAR(10)&amp;"This is an automated notification from HP Mainstream EQMS."),"✉ Open Email Draft"),"")</f>
        <v/>
      </c>
    </row>
    <row r="1434">
      <c r="A1434" s="25">
        <f>IF($C1434="","","AUD-2026-"&amp;TEXT(ROW()-1,"000000"))</f>
        <v/>
      </c>
      <c r="B1434" s="26" t="n"/>
      <c r="C1434" s="27" t="n"/>
      <c r="D1434" s="25">
        <f>IF($C1434="","",IFERROR(IF(INDEX(Roster!$A:$A,MATCH($C1434,Roster!$B:$B,0))="","",INDEX(Roster!$A:$A,MATCH($C1434,Roster!$B:$B,0))&amp;""),"—"))</f>
        <v/>
      </c>
      <c r="E1434" s="25">
        <f>IF($C1434="","",IFERROR(IF(INDEX(Roster!$C:$C,MATCH($C1434,Roster!$B:$B,0))="","",INDEX(Roster!$C:$C,MATCH($C1434,Roster!$B:$B,0))&amp;""),"—"))</f>
        <v/>
      </c>
      <c r="F1434" s="25">
        <f>IF($C1434="","",IFERROR(IF(INDEX(Roster!$D:$D,MATCH($C1434,Roster!$B:$B,0))="","",INDEX(Roster!$D:$D,MATCH($C1434,Roster!$B:$B,0))&amp;""),"—"))</f>
        <v/>
      </c>
      <c r="G1434" s="25">
        <f>IF($C1434="","",IFERROR(IF(INDEX(Roster!$E:$E,MATCH($C1434,Roster!$B:$B,0))="","",INDEX(Roster!$E:$E,MATCH($C1434,Roster!$B:$B,0))&amp;""),"—"))</f>
        <v/>
      </c>
      <c r="H1434" s="25">
        <f>IF($C1434="","",IFERROR(IF(INDEX(Roster!$F:$F,MATCH($C1434,Roster!$B:$B,0))="","",INDEX(Roster!$F:$F,MATCH($C1434,Roster!$B:$B,0))&amp;""),"—"))</f>
        <v/>
      </c>
      <c r="I1434" s="25">
        <f>IF($C1434="","",IFERROR(IF(INDEX(Roster!$G:$G,MATCH($C1434,Roster!$B:$B,0))="","",INDEX(Roster!$G:$G,MATCH($C1434,Roster!$B:$B,0))&amp;""),"—"))</f>
        <v/>
      </c>
      <c r="J1434" s="25">
        <f>IF($C1434="","",IFERROR(IF(INDEX(Roster!$I:$I,MATCH($C1434,Roster!$B:$B,0))="","",INDEX(Roster!$I:$I,MATCH($C1434,Roster!$B:$B,0))&amp;""),"—"))</f>
        <v/>
      </c>
      <c r="K1434">
        <f>IF($C1434="","",IFERROR(IF(INDEX(Roster!$J:$J,MATCH($C1434,Roster!$B:$B,0))="","",INDEX(Roster!$J:$J,MATCH($C1434,Roster!$B:$B,0))&amp;""),"—"))</f>
        <v/>
      </c>
      <c r="L1434">
        <f>IF($C1434="","",IFERROR(IF(INDEX(Roster!$K:$K,MATCH($C1434,Roster!$B:$B,0))="","",INDEX(Roster!$K:$K,MATCH($C1434,Roster!$B:$B,0))&amp;""),"—"))</f>
        <v/>
      </c>
      <c r="M1434" s="27" t="n"/>
      <c r="N1434" s="27" t="n"/>
      <c r="O1434" s="25">
        <f>IF($C1434="","",IF($P1434="","—",IF($P1434="Valid (Pass)","Valid","Invalid")))</f>
        <v/>
      </c>
      <c r="P1434" s="27" t="n"/>
      <c r="Q1434" s="27" t="n"/>
      <c r="R1434" s="27" t="n"/>
      <c r="S1434" s="27" t="n"/>
      <c r="T1434" s="25">
        <f>IF($C1434="","",IF(OR(ISNUMBER(SEARCH("quick case",$P1434)),ISNUMBER(SEARCH("quick case",$Q1434))),"Yes","No"))</f>
        <v/>
      </c>
      <c r="U1434" s="25">
        <f>IF($O1434="Invalid",HYPERLINK("mailto:"&amp;$G1434&amp;";"&amp;$I1434&amp;"?cc="&amp;Lists!$E$2&amp;"&amp;subject="&amp;_xlfn.ENCODEURL("[INVALID] Quality audit monitoring completed for "&amp;UPPER($C1434))&amp;"&amp;body="&amp;_xlfn.ENCODEURL("Hi "&amp;$F1434&amp;","&amp;CHAR(10)&amp;"Good day!"&amp;CHAR(10)&amp;CHAR(10)&amp;"A quality monitoring audit has been completed for "&amp;$C1434&amp;"."&amp;CHAR(10)&amp;CHAR(10)&amp;"QUALITY AUDIT DETAILS"&amp;CHAR(10)&amp;"Agent Name: "&amp;$C1434&amp;" (EID "&amp;$D1434&amp;")"&amp;CHAR(10)&amp;"Audit Date: "&amp;TEXT($B1434,"yyyy-mm-dd")&amp;CHAR(10)&amp;"Team Leader: "&amp;$F1434&amp;CHAR(10)&amp;"Case Number: "&amp;$M1434&amp;CHAR(10)&amp;"Transaction ID: "&amp;$N1434&amp;CHAR(10)&amp;"Channel / LOB: "&amp;$K1434&amp;" / "&amp;$L1434&amp;CHAR(10)&amp;"Evaluator: "&amp;$S1434&amp;CHAR(10)&amp;CHAR(10)&amp;"INVALID QUALITY AUDIT DETAILS"&amp;CHAR(10)&amp;"Validation: Invalid"&amp;CHAR(10)&amp;"Invalid Reason: "&amp;$P1434&amp;CHAR(10)&amp;"Expected Resolution Code: "&amp;$Q1434&amp;CHAR(10)&amp;"Remarks: "&amp;LEFT($R1434,600)&amp;CHAR(10)&amp;CHAR(10)&amp;"This is an automated notification from HP Mainstream EQMS."),"✉ Open Email Draft"),"")</f>
        <v/>
      </c>
    </row>
    <row r="1435">
      <c r="A1435" s="25">
        <f>IF($C1435="","","AUD-2026-"&amp;TEXT(ROW()-1,"000000"))</f>
        <v/>
      </c>
      <c r="B1435" s="26" t="n"/>
      <c r="C1435" s="27" t="n"/>
      <c r="D1435" s="25">
        <f>IF($C1435="","",IFERROR(IF(INDEX(Roster!$A:$A,MATCH($C1435,Roster!$B:$B,0))="","",INDEX(Roster!$A:$A,MATCH($C1435,Roster!$B:$B,0))&amp;""),"—"))</f>
        <v/>
      </c>
      <c r="E1435" s="25">
        <f>IF($C1435="","",IFERROR(IF(INDEX(Roster!$C:$C,MATCH($C1435,Roster!$B:$B,0))="","",INDEX(Roster!$C:$C,MATCH($C1435,Roster!$B:$B,0))&amp;""),"—"))</f>
        <v/>
      </c>
      <c r="F1435" s="25">
        <f>IF($C1435="","",IFERROR(IF(INDEX(Roster!$D:$D,MATCH($C1435,Roster!$B:$B,0))="","",INDEX(Roster!$D:$D,MATCH($C1435,Roster!$B:$B,0))&amp;""),"—"))</f>
        <v/>
      </c>
      <c r="G1435" s="25">
        <f>IF($C1435="","",IFERROR(IF(INDEX(Roster!$E:$E,MATCH($C1435,Roster!$B:$B,0))="","",INDEX(Roster!$E:$E,MATCH($C1435,Roster!$B:$B,0))&amp;""),"—"))</f>
        <v/>
      </c>
      <c r="H1435" s="25">
        <f>IF($C1435="","",IFERROR(IF(INDEX(Roster!$F:$F,MATCH($C1435,Roster!$B:$B,0))="","",INDEX(Roster!$F:$F,MATCH($C1435,Roster!$B:$B,0))&amp;""),"—"))</f>
        <v/>
      </c>
      <c r="I1435" s="25">
        <f>IF($C1435="","",IFERROR(IF(INDEX(Roster!$G:$G,MATCH($C1435,Roster!$B:$B,0))="","",INDEX(Roster!$G:$G,MATCH($C1435,Roster!$B:$B,0))&amp;""),"—"))</f>
        <v/>
      </c>
      <c r="J1435" s="25">
        <f>IF($C1435="","",IFERROR(IF(INDEX(Roster!$I:$I,MATCH($C1435,Roster!$B:$B,0))="","",INDEX(Roster!$I:$I,MATCH($C1435,Roster!$B:$B,0))&amp;""),"—"))</f>
        <v/>
      </c>
      <c r="K1435">
        <f>IF($C1435="","",IFERROR(IF(INDEX(Roster!$J:$J,MATCH($C1435,Roster!$B:$B,0))="","",INDEX(Roster!$J:$J,MATCH($C1435,Roster!$B:$B,0))&amp;""),"—"))</f>
        <v/>
      </c>
      <c r="L1435">
        <f>IF($C1435="","",IFERROR(IF(INDEX(Roster!$K:$K,MATCH($C1435,Roster!$B:$B,0))="","",INDEX(Roster!$K:$K,MATCH($C1435,Roster!$B:$B,0))&amp;""),"—"))</f>
        <v/>
      </c>
      <c r="M1435" s="27" t="n"/>
      <c r="N1435" s="27" t="n"/>
      <c r="O1435" s="25">
        <f>IF($C1435="","",IF($P1435="","—",IF($P1435="Valid (Pass)","Valid","Invalid")))</f>
        <v/>
      </c>
      <c r="P1435" s="27" t="n"/>
      <c r="Q1435" s="27" t="n"/>
      <c r="R1435" s="27" t="n"/>
      <c r="S1435" s="27" t="n"/>
      <c r="T1435" s="25">
        <f>IF($C1435="","",IF(OR(ISNUMBER(SEARCH("quick case",$P1435)),ISNUMBER(SEARCH("quick case",$Q1435))),"Yes","No"))</f>
        <v/>
      </c>
      <c r="U1435" s="25">
        <f>IF($O1435="Invalid",HYPERLINK("mailto:"&amp;$G1435&amp;";"&amp;$I1435&amp;"?cc="&amp;Lists!$E$2&amp;"&amp;subject="&amp;_xlfn.ENCODEURL("[INVALID] Quality audit monitoring completed for "&amp;UPPER($C1435))&amp;"&amp;body="&amp;_xlfn.ENCODEURL("Hi "&amp;$F1435&amp;","&amp;CHAR(10)&amp;"Good day!"&amp;CHAR(10)&amp;CHAR(10)&amp;"A quality monitoring audit has been completed for "&amp;$C1435&amp;"."&amp;CHAR(10)&amp;CHAR(10)&amp;"QUALITY AUDIT DETAILS"&amp;CHAR(10)&amp;"Agent Name: "&amp;$C1435&amp;" (EID "&amp;$D1435&amp;")"&amp;CHAR(10)&amp;"Audit Date: "&amp;TEXT($B1435,"yyyy-mm-dd")&amp;CHAR(10)&amp;"Team Leader: "&amp;$F1435&amp;CHAR(10)&amp;"Case Number: "&amp;$M1435&amp;CHAR(10)&amp;"Transaction ID: "&amp;$N1435&amp;CHAR(10)&amp;"Channel / LOB: "&amp;$K1435&amp;" / "&amp;$L1435&amp;CHAR(10)&amp;"Evaluator: "&amp;$S1435&amp;CHAR(10)&amp;CHAR(10)&amp;"INVALID QUALITY AUDIT DETAILS"&amp;CHAR(10)&amp;"Validation: Invalid"&amp;CHAR(10)&amp;"Invalid Reason: "&amp;$P1435&amp;CHAR(10)&amp;"Expected Resolution Code: "&amp;$Q1435&amp;CHAR(10)&amp;"Remarks: "&amp;LEFT($R1435,600)&amp;CHAR(10)&amp;CHAR(10)&amp;"This is an automated notification from HP Mainstream EQMS."),"✉ Open Email Draft"),"")</f>
        <v/>
      </c>
    </row>
    <row r="1436">
      <c r="A1436" s="25">
        <f>IF($C1436="","","AUD-2026-"&amp;TEXT(ROW()-1,"000000"))</f>
        <v/>
      </c>
      <c r="B1436" s="26" t="n"/>
      <c r="C1436" s="27" t="n"/>
      <c r="D1436" s="25">
        <f>IF($C1436="","",IFERROR(IF(INDEX(Roster!$A:$A,MATCH($C1436,Roster!$B:$B,0))="","",INDEX(Roster!$A:$A,MATCH($C1436,Roster!$B:$B,0))&amp;""),"—"))</f>
        <v/>
      </c>
      <c r="E1436" s="25">
        <f>IF($C1436="","",IFERROR(IF(INDEX(Roster!$C:$C,MATCH($C1436,Roster!$B:$B,0))="","",INDEX(Roster!$C:$C,MATCH($C1436,Roster!$B:$B,0))&amp;""),"—"))</f>
        <v/>
      </c>
      <c r="F1436" s="25">
        <f>IF($C1436="","",IFERROR(IF(INDEX(Roster!$D:$D,MATCH($C1436,Roster!$B:$B,0))="","",INDEX(Roster!$D:$D,MATCH($C1436,Roster!$B:$B,0))&amp;""),"—"))</f>
        <v/>
      </c>
      <c r="G1436" s="25">
        <f>IF($C1436="","",IFERROR(IF(INDEX(Roster!$E:$E,MATCH($C1436,Roster!$B:$B,0))="","",INDEX(Roster!$E:$E,MATCH($C1436,Roster!$B:$B,0))&amp;""),"—"))</f>
        <v/>
      </c>
      <c r="H1436" s="25">
        <f>IF($C1436="","",IFERROR(IF(INDEX(Roster!$F:$F,MATCH($C1436,Roster!$B:$B,0))="","",INDEX(Roster!$F:$F,MATCH($C1436,Roster!$B:$B,0))&amp;""),"—"))</f>
        <v/>
      </c>
      <c r="I1436" s="25">
        <f>IF($C1436="","",IFERROR(IF(INDEX(Roster!$G:$G,MATCH($C1436,Roster!$B:$B,0))="","",INDEX(Roster!$G:$G,MATCH($C1436,Roster!$B:$B,0))&amp;""),"—"))</f>
        <v/>
      </c>
      <c r="J1436" s="25">
        <f>IF($C1436="","",IFERROR(IF(INDEX(Roster!$I:$I,MATCH($C1436,Roster!$B:$B,0))="","",INDEX(Roster!$I:$I,MATCH($C1436,Roster!$B:$B,0))&amp;""),"—"))</f>
        <v/>
      </c>
      <c r="K1436">
        <f>IF($C1436="","",IFERROR(IF(INDEX(Roster!$J:$J,MATCH($C1436,Roster!$B:$B,0))="","",INDEX(Roster!$J:$J,MATCH($C1436,Roster!$B:$B,0))&amp;""),"—"))</f>
        <v/>
      </c>
      <c r="L1436">
        <f>IF($C1436="","",IFERROR(IF(INDEX(Roster!$K:$K,MATCH($C1436,Roster!$B:$B,0))="","",INDEX(Roster!$K:$K,MATCH($C1436,Roster!$B:$B,0))&amp;""),"—"))</f>
        <v/>
      </c>
      <c r="M1436" s="27" t="n"/>
      <c r="N1436" s="27" t="n"/>
      <c r="O1436" s="25">
        <f>IF($C1436="","",IF($P1436="","—",IF($P1436="Valid (Pass)","Valid","Invalid")))</f>
        <v/>
      </c>
      <c r="P1436" s="27" t="n"/>
      <c r="Q1436" s="27" t="n"/>
      <c r="R1436" s="27" t="n"/>
      <c r="S1436" s="27" t="n"/>
      <c r="T1436" s="25">
        <f>IF($C1436="","",IF(OR(ISNUMBER(SEARCH("quick case",$P1436)),ISNUMBER(SEARCH("quick case",$Q1436))),"Yes","No"))</f>
        <v/>
      </c>
      <c r="U1436" s="25">
        <f>IF($O1436="Invalid",HYPERLINK("mailto:"&amp;$G1436&amp;";"&amp;$I1436&amp;"?cc="&amp;Lists!$E$2&amp;"&amp;subject="&amp;_xlfn.ENCODEURL("[INVALID] Quality audit monitoring completed for "&amp;UPPER($C1436))&amp;"&amp;body="&amp;_xlfn.ENCODEURL("Hi "&amp;$F1436&amp;","&amp;CHAR(10)&amp;"Good day!"&amp;CHAR(10)&amp;CHAR(10)&amp;"A quality monitoring audit has been completed for "&amp;$C1436&amp;"."&amp;CHAR(10)&amp;CHAR(10)&amp;"QUALITY AUDIT DETAILS"&amp;CHAR(10)&amp;"Agent Name: "&amp;$C1436&amp;" (EID "&amp;$D1436&amp;")"&amp;CHAR(10)&amp;"Audit Date: "&amp;TEXT($B1436,"yyyy-mm-dd")&amp;CHAR(10)&amp;"Team Leader: "&amp;$F1436&amp;CHAR(10)&amp;"Case Number: "&amp;$M1436&amp;CHAR(10)&amp;"Transaction ID: "&amp;$N1436&amp;CHAR(10)&amp;"Channel / LOB: "&amp;$K1436&amp;" / "&amp;$L1436&amp;CHAR(10)&amp;"Evaluator: "&amp;$S1436&amp;CHAR(10)&amp;CHAR(10)&amp;"INVALID QUALITY AUDIT DETAILS"&amp;CHAR(10)&amp;"Validation: Invalid"&amp;CHAR(10)&amp;"Invalid Reason: "&amp;$P1436&amp;CHAR(10)&amp;"Expected Resolution Code: "&amp;$Q1436&amp;CHAR(10)&amp;"Remarks: "&amp;LEFT($R1436,600)&amp;CHAR(10)&amp;CHAR(10)&amp;"This is an automated notification from HP Mainstream EQMS."),"✉ Open Email Draft"),"")</f>
        <v/>
      </c>
    </row>
    <row r="1437">
      <c r="A1437" s="25">
        <f>IF($C1437="","","AUD-2026-"&amp;TEXT(ROW()-1,"000000"))</f>
        <v/>
      </c>
      <c r="B1437" s="26" t="n"/>
      <c r="C1437" s="27" t="n"/>
      <c r="D1437" s="25">
        <f>IF($C1437="","",IFERROR(IF(INDEX(Roster!$A:$A,MATCH($C1437,Roster!$B:$B,0))="","",INDEX(Roster!$A:$A,MATCH($C1437,Roster!$B:$B,0))&amp;""),"—"))</f>
        <v/>
      </c>
      <c r="E1437" s="25">
        <f>IF($C1437="","",IFERROR(IF(INDEX(Roster!$C:$C,MATCH($C1437,Roster!$B:$B,0))="","",INDEX(Roster!$C:$C,MATCH($C1437,Roster!$B:$B,0))&amp;""),"—"))</f>
        <v/>
      </c>
      <c r="F1437" s="25">
        <f>IF($C1437="","",IFERROR(IF(INDEX(Roster!$D:$D,MATCH($C1437,Roster!$B:$B,0))="","",INDEX(Roster!$D:$D,MATCH($C1437,Roster!$B:$B,0))&amp;""),"—"))</f>
        <v/>
      </c>
      <c r="G1437" s="25">
        <f>IF($C1437="","",IFERROR(IF(INDEX(Roster!$E:$E,MATCH($C1437,Roster!$B:$B,0))="","",INDEX(Roster!$E:$E,MATCH($C1437,Roster!$B:$B,0))&amp;""),"—"))</f>
        <v/>
      </c>
      <c r="H1437" s="25">
        <f>IF($C1437="","",IFERROR(IF(INDEX(Roster!$F:$F,MATCH($C1437,Roster!$B:$B,0))="","",INDEX(Roster!$F:$F,MATCH($C1437,Roster!$B:$B,0))&amp;""),"—"))</f>
        <v/>
      </c>
      <c r="I1437" s="25">
        <f>IF($C1437="","",IFERROR(IF(INDEX(Roster!$G:$G,MATCH($C1437,Roster!$B:$B,0))="","",INDEX(Roster!$G:$G,MATCH($C1437,Roster!$B:$B,0))&amp;""),"—"))</f>
        <v/>
      </c>
      <c r="J1437" s="25">
        <f>IF($C1437="","",IFERROR(IF(INDEX(Roster!$I:$I,MATCH($C1437,Roster!$B:$B,0))="","",INDEX(Roster!$I:$I,MATCH($C1437,Roster!$B:$B,0))&amp;""),"—"))</f>
        <v/>
      </c>
      <c r="K1437">
        <f>IF($C1437="","",IFERROR(IF(INDEX(Roster!$J:$J,MATCH($C1437,Roster!$B:$B,0))="","",INDEX(Roster!$J:$J,MATCH($C1437,Roster!$B:$B,0))&amp;""),"—"))</f>
        <v/>
      </c>
      <c r="L1437">
        <f>IF($C1437="","",IFERROR(IF(INDEX(Roster!$K:$K,MATCH($C1437,Roster!$B:$B,0))="","",INDEX(Roster!$K:$K,MATCH($C1437,Roster!$B:$B,0))&amp;""),"—"))</f>
        <v/>
      </c>
      <c r="M1437" s="27" t="n"/>
      <c r="N1437" s="27" t="n"/>
      <c r="O1437" s="25">
        <f>IF($C1437="","",IF($P1437="","—",IF($P1437="Valid (Pass)","Valid","Invalid")))</f>
        <v/>
      </c>
      <c r="P1437" s="27" t="n"/>
      <c r="Q1437" s="27" t="n"/>
      <c r="R1437" s="27" t="n"/>
      <c r="S1437" s="27" t="n"/>
      <c r="T1437" s="25">
        <f>IF($C1437="","",IF(OR(ISNUMBER(SEARCH("quick case",$P1437)),ISNUMBER(SEARCH("quick case",$Q1437))),"Yes","No"))</f>
        <v/>
      </c>
      <c r="U1437" s="25">
        <f>IF($O1437="Invalid",HYPERLINK("mailto:"&amp;$G1437&amp;";"&amp;$I1437&amp;"?cc="&amp;Lists!$E$2&amp;"&amp;subject="&amp;_xlfn.ENCODEURL("[INVALID] Quality audit monitoring completed for "&amp;UPPER($C1437))&amp;"&amp;body="&amp;_xlfn.ENCODEURL("Hi "&amp;$F1437&amp;","&amp;CHAR(10)&amp;"Good day!"&amp;CHAR(10)&amp;CHAR(10)&amp;"A quality monitoring audit has been completed for "&amp;$C1437&amp;"."&amp;CHAR(10)&amp;CHAR(10)&amp;"QUALITY AUDIT DETAILS"&amp;CHAR(10)&amp;"Agent Name: "&amp;$C1437&amp;" (EID "&amp;$D1437&amp;")"&amp;CHAR(10)&amp;"Audit Date: "&amp;TEXT($B1437,"yyyy-mm-dd")&amp;CHAR(10)&amp;"Team Leader: "&amp;$F1437&amp;CHAR(10)&amp;"Case Number: "&amp;$M1437&amp;CHAR(10)&amp;"Transaction ID: "&amp;$N1437&amp;CHAR(10)&amp;"Channel / LOB: "&amp;$K1437&amp;" / "&amp;$L1437&amp;CHAR(10)&amp;"Evaluator: "&amp;$S1437&amp;CHAR(10)&amp;CHAR(10)&amp;"INVALID QUALITY AUDIT DETAILS"&amp;CHAR(10)&amp;"Validation: Invalid"&amp;CHAR(10)&amp;"Invalid Reason: "&amp;$P1437&amp;CHAR(10)&amp;"Expected Resolution Code: "&amp;$Q1437&amp;CHAR(10)&amp;"Remarks: "&amp;LEFT($R1437,600)&amp;CHAR(10)&amp;CHAR(10)&amp;"This is an automated notification from HP Mainstream EQMS."),"✉ Open Email Draft"),"")</f>
        <v/>
      </c>
    </row>
    <row r="1438">
      <c r="A1438" s="25">
        <f>IF($C1438="","","AUD-2026-"&amp;TEXT(ROW()-1,"000000"))</f>
        <v/>
      </c>
      <c r="B1438" s="26" t="n"/>
      <c r="C1438" s="27" t="n"/>
      <c r="D1438" s="25">
        <f>IF($C1438="","",IFERROR(IF(INDEX(Roster!$A:$A,MATCH($C1438,Roster!$B:$B,0))="","",INDEX(Roster!$A:$A,MATCH($C1438,Roster!$B:$B,0))&amp;""),"—"))</f>
        <v/>
      </c>
      <c r="E1438" s="25">
        <f>IF($C1438="","",IFERROR(IF(INDEX(Roster!$C:$C,MATCH($C1438,Roster!$B:$B,0))="","",INDEX(Roster!$C:$C,MATCH($C1438,Roster!$B:$B,0))&amp;""),"—"))</f>
        <v/>
      </c>
      <c r="F1438" s="25">
        <f>IF($C1438="","",IFERROR(IF(INDEX(Roster!$D:$D,MATCH($C1438,Roster!$B:$B,0))="","",INDEX(Roster!$D:$D,MATCH($C1438,Roster!$B:$B,0))&amp;""),"—"))</f>
        <v/>
      </c>
      <c r="G1438" s="25">
        <f>IF($C1438="","",IFERROR(IF(INDEX(Roster!$E:$E,MATCH($C1438,Roster!$B:$B,0))="","",INDEX(Roster!$E:$E,MATCH($C1438,Roster!$B:$B,0))&amp;""),"—"))</f>
        <v/>
      </c>
      <c r="H1438" s="25">
        <f>IF($C1438="","",IFERROR(IF(INDEX(Roster!$F:$F,MATCH($C1438,Roster!$B:$B,0))="","",INDEX(Roster!$F:$F,MATCH($C1438,Roster!$B:$B,0))&amp;""),"—"))</f>
        <v/>
      </c>
      <c r="I1438" s="25">
        <f>IF($C1438="","",IFERROR(IF(INDEX(Roster!$G:$G,MATCH($C1438,Roster!$B:$B,0))="","",INDEX(Roster!$G:$G,MATCH($C1438,Roster!$B:$B,0))&amp;""),"—"))</f>
        <v/>
      </c>
      <c r="J1438" s="25">
        <f>IF($C1438="","",IFERROR(IF(INDEX(Roster!$I:$I,MATCH($C1438,Roster!$B:$B,0))="","",INDEX(Roster!$I:$I,MATCH($C1438,Roster!$B:$B,0))&amp;""),"—"))</f>
        <v/>
      </c>
      <c r="K1438">
        <f>IF($C1438="","",IFERROR(IF(INDEX(Roster!$J:$J,MATCH($C1438,Roster!$B:$B,0))="","",INDEX(Roster!$J:$J,MATCH($C1438,Roster!$B:$B,0))&amp;""),"—"))</f>
        <v/>
      </c>
      <c r="L1438">
        <f>IF($C1438="","",IFERROR(IF(INDEX(Roster!$K:$K,MATCH($C1438,Roster!$B:$B,0))="","",INDEX(Roster!$K:$K,MATCH($C1438,Roster!$B:$B,0))&amp;""),"—"))</f>
        <v/>
      </c>
      <c r="M1438" s="27" t="n"/>
      <c r="N1438" s="27" t="n"/>
      <c r="O1438" s="25">
        <f>IF($C1438="","",IF($P1438="","—",IF($P1438="Valid (Pass)","Valid","Invalid")))</f>
        <v/>
      </c>
      <c r="P1438" s="27" t="n"/>
      <c r="Q1438" s="27" t="n"/>
      <c r="R1438" s="27" t="n"/>
      <c r="S1438" s="27" t="n"/>
      <c r="T1438" s="25">
        <f>IF($C1438="","",IF(OR(ISNUMBER(SEARCH("quick case",$P1438)),ISNUMBER(SEARCH("quick case",$Q1438))),"Yes","No"))</f>
        <v/>
      </c>
      <c r="U1438" s="25">
        <f>IF($O1438="Invalid",HYPERLINK("mailto:"&amp;$G1438&amp;";"&amp;$I1438&amp;"?cc="&amp;Lists!$E$2&amp;"&amp;subject="&amp;_xlfn.ENCODEURL("[INVALID] Quality audit monitoring completed for "&amp;UPPER($C1438))&amp;"&amp;body="&amp;_xlfn.ENCODEURL("Hi "&amp;$F1438&amp;","&amp;CHAR(10)&amp;"Good day!"&amp;CHAR(10)&amp;CHAR(10)&amp;"A quality monitoring audit has been completed for "&amp;$C1438&amp;"."&amp;CHAR(10)&amp;CHAR(10)&amp;"QUALITY AUDIT DETAILS"&amp;CHAR(10)&amp;"Agent Name: "&amp;$C1438&amp;" (EID "&amp;$D1438&amp;")"&amp;CHAR(10)&amp;"Audit Date: "&amp;TEXT($B1438,"yyyy-mm-dd")&amp;CHAR(10)&amp;"Team Leader: "&amp;$F1438&amp;CHAR(10)&amp;"Case Number: "&amp;$M1438&amp;CHAR(10)&amp;"Transaction ID: "&amp;$N1438&amp;CHAR(10)&amp;"Channel / LOB: "&amp;$K1438&amp;" / "&amp;$L1438&amp;CHAR(10)&amp;"Evaluator: "&amp;$S1438&amp;CHAR(10)&amp;CHAR(10)&amp;"INVALID QUALITY AUDIT DETAILS"&amp;CHAR(10)&amp;"Validation: Invalid"&amp;CHAR(10)&amp;"Invalid Reason: "&amp;$P1438&amp;CHAR(10)&amp;"Expected Resolution Code: "&amp;$Q1438&amp;CHAR(10)&amp;"Remarks: "&amp;LEFT($R1438,600)&amp;CHAR(10)&amp;CHAR(10)&amp;"This is an automated notification from HP Mainstream EQMS."),"✉ Open Email Draft"),"")</f>
        <v/>
      </c>
    </row>
    <row r="1439">
      <c r="A1439" s="25">
        <f>IF($C1439="","","AUD-2026-"&amp;TEXT(ROW()-1,"000000"))</f>
        <v/>
      </c>
      <c r="B1439" s="26" t="n"/>
      <c r="C1439" s="27" t="n"/>
      <c r="D1439" s="25">
        <f>IF($C1439="","",IFERROR(IF(INDEX(Roster!$A:$A,MATCH($C1439,Roster!$B:$B,0))="","",INDEX(Roster!$A:$A,MATCH($C1439,Roster!$B:$B,0))&amp;""),"—"))</f>
        <v/>
      </c>
      <c r="E1439" s="25">
        <f>IF($C1439="","",IFERROR(IF(INDEX(Roster!$C:$C,MATCH($C1439,Roster!$B:$B,0))="","",INDEX(Roster!$C:$C,MATCH($C1439,Roster!$B:$B,0))&amp;""),"—"))</f>
        <v/>
      </c>
      <c r="F1439" s="25">
        <f>IF($C1439="","",IFERROR(IF(INDEX(Roster!$D:$D,MATCH($C1439,Roster!$B:$B,0))="","",INDEX(Roster!$D:$D,MATCH($C1439,Roster!$B:$B,0))&amp;""),"—"))</f>
        <v/>
      </c>
      <c r="G1439" s="25">
        <f>IF($C1439="","",IFERROR(IF(INDEX(Roster!$E:$E,MATCH($C1439,Roster!$B:$B,0))="","",INDEX(Roster!$E:$E,MATCH($C1439,Roster!$B:$B,0))&amp;""),"—"))</f>
        <v/>
      </c>
      <c r="H1439" s="25">
        <f>IF($C1439="","",IFERROR(IF(INDEX(Roster!$F:$F,MATCH($C1439,Roster!$B:$B,0))="","",INDEX(Roster!$F:$F,MATCH($C1439,Roster!$B:$B,0))&amp;""),"—"))</f>
        <v/>
      </c>
      <c r="I1439" s="25">
        <f>IF($C1439="","",IFERROR(IF(INDEX(Roster!$G:$G,MATCH($C1439,Roster!$B:$B,0))="","",INDEX(Roster!$G:$G,MATCH($C1439,Roster!$B:$B,0))&amp;""),"—"))</f>
        <v/>
      </c>
      <c r="J1439" s="25">
        <f>IF($C1439="","",IFERROR(IF(INDEX(Roster!$I:$I,MATCH($C1439,Roster!$B:$B,0))="","",INDEX(Roster!$I:$I,MATCH($C1439,Roster!$B:$B,0))&amp;""),"—"))</f>
        <v/>
      </c>
      <c r="K1439">
        <f>IF($C1439="","",IFERROR(IF(INDEX(Roster!$J:$J,MATCH($C1439,Roster!$B:$B,0))="","",INDEX(Roster!$J:$J,MATCH($C1439,Roster!$B:$B,0))&amp;""),"—"))</f>
        <v/>
      </c>
      <c r="L1439">
        <f>IF($C1439="","",IFERROR(IF(INDEX(Roster!$K:$K,MATCH($C1439,Roster!$B:$B,0))="","",INDEX(Roster!$K:$K,MATCH($C1439,Roster!$B:$B,0))&amp;""),"—"))</f>
        <v/>
      </c>
      <c r="M1439" s="27" t="n"/>
      <c r="N1439" s="27" t="n"/>
      <c r="O1439" s="25">
        <f>IF($C1439="","",IF($P1439="","—",IF($P1439="Valid (Pass)","Valid","Invalid")))</f>
        <v/>
      </c>
      <c r="P1439" s="27" t="n"/>
      <c r="Q1439" s="27" t="n"/>
      <c r="R1439" s="27" t="n"/>
      <c r="S1439" s="27" t="n"/>
      <c r="T1439" s="25">
        <f>IF($C1439="","",IF(OR(ISNUMBER(SEARCH("quick case",$P1439)),ISNUMBER(SEARCH("quick case",$Q1439))),"Yes","No"))</f>
        <v/>
      </c>
      <c r="U1439" s="25">
        <f>IF($O1439="Invalid",HYPERLINK("mailto:"&amp;$G1439&amp;";"&amp;$I1439&amp;"?cc="&amp;Lists!$E$2&amp;"&amp;subject="&amp;_xlfn.ENCODEURL("[INVALID] Quality audit monitoring completed for "&amp;UPPER($C1439))&amp;"&amp;body="&amp;_xlfn.ENCODEURL("Hi "&amp;$F1439&amp;","&amp;CHAR(10)&amp;"Good day!"&amp;CHAR(10)&amp;CHAR(10)&amp;"A quality monitoring audit has been completed for "&amp;$C1439&amp;"."&amp;CHAR(10)&amp;CHAR(10)&amp;"QUALITY AUDIT DETAILS"&amp;CHAR(10)&amp;"Agent Name: "&amp;$C1439&amp;" (EID "&amp;$D1439&amp;")"&amp;CHAR(10)&amp;"Audit Date: "&amp;TEXT($B1439,"yyyy-mm-dd")&amp;CHAR(10)&amp;"Team Leader: "&amp;$F1439&amp;CHAR(10)&amp;"Case Number: "&amp;$M1439&amp;CHAR(10)&amp;"Transaction ID: "&amp;$N1439&amp;CHAR(10)&amp;"Channel / LOB: "&amp;$K1439&amp;" / "&amp;$L1439&amp;CHAR(10)&amp;"Evaluator: "&amp;$S1439&amp;CHAR(10)&amp;CHAR(10)&amp;"INVALID QUALITY AUDIT DETAILS"&amp;CHAR(10)&amp;"Validation: Invalid"&amp;CHAR(10)&amp;"Invalid Reason: "&amp;$P1439&amp;CHAR(10)&amp;"Expected Resolution Code: "&amp;$Q1439&amp;CHAR(10)&amp;"Remarks: "&amp;LEFT($R1439,600)&amp;CHAR(10)&amp;CHAR(10)&amp;"This is an automated notification from HP Mainstream EQMS."),"✉ Open Email Draft"),"")</f>
        <v/>
      </c>
    </row>
    <row r="1440">
      <c r="A1440" s="25">
        <f>IF($C1440="","","AUD-2026-"&amp;TEXT(ROW()-1,"000000"))</f>
        <v/>
      </c>
      <c r="B1440" s="26" t="n"/>
      <c r="C1440" s="27" t="n"/>
      <c r="D1440" s="25">
        <f>IF($C1440="","",IFERROR(IF(INDEX(Roster!$A:$A,MATCH($C1440,Roster!$B:$B,0))="","",INDEX(Roster!$A:$A,MATCH($C1440,Roster!$B:$B,0))&amp;""),"—"))</f>
        <v/>
      </c>
      <c r="E1440" s="25">
        <f>IF($C1440="","",IFERROR(IF(INDEX(Roster!$C:$C,MATCH($C1440,Roster!$B:$B,0))="","",INDEX(Roster!$C:$C,MATCH($C1440,Roster!$B:$B,0))&amp;""),"—"))</f>
        <v/>
      </c>
      <c r="F1440" s="25">
        <f>IF($C1440="","",IFERROR(IF(INDEX(Roster!$D:$D,MATCH($C1440,Roster!$B:$B,0))="","",INDEX(Roster!$D:$D,MATCH($C1440,Roster!$B:$B,0))&amp;""),"—"))</f>
        <v/>
      </c>
      <c r="G1440" s="25">
        <f>IF($C1440="","",IFERROR(IF(INDEX(Roster!$E:$E,MATCH($C1440,Roster!$B:$B,0))="","",INDEX(Roster!$E:$E,MATCH($C1440,Roster!$B:$B,0))&amp;""),"—"))</f>
        <v/>
      </c>
      <c r="H1440" s="25">
        <f>IF($C1440="","",IFERROR(IF(INDEX(Roster!$F:$F,MATCH($C1440,Roster!$B:$B,0))="","",INDEX(Roster!$F:$F,MATCH($C1440,Roster!$B:$B,0))&amp;""),"—"))</f>
        <v/>
      </c>
      <c r="I1440" s="25">
        <f>IF($C1440="","",IFERROR(IF(INDEX(Roster!$G:$G,MATCH($C1440,Roster!$B:$B,0))="","",INDEX(Roster!$G:$G,MATCH($C1440,Roster!$B:$B,0))&amp;""),"—"))</f>
        <v/>
      </c>
      <c r="J1440" s="25">
        <f>IF($C1440="","",IFERROR(IF(INDEX(Roster!$I:$I,MATCH($C1440,Roster!$B:$B,0))="","",INDEX(Roster!$I:$I,MATCH($C1440,Roster!$B:$B,0))&amp;""),"—"))</f>
        <v/>
      </c>
      <c r="K1440">
        <f>IF($C1440="","",IFERROR(IF(INDEX(Roster!$J:$J,MATCH($C1440,Roster!$B:$B,0))="","",INDEX(Roster!$J:$J,MATCH($C1440,Roster!$B:$B,0))&amp;""),"—"))</f>
        <v/>
      </c>
      <c r="L1440">
        <f>IF($C1440="","",IFERROR(IF(INDEX(Roster!$K:$K,MATCH($C1440,Roster!$B:$B,0))="","",INDEX(Roster!$K:$K,MATCH($C1440,Roster!$B:$B,0))&amp;""),"—"))</f>
        <v/>
      </c>
      <c r="M1440" s="27" t="n"/>
      <c r="N1440" s="27" t="n"/>
      <c r="O1440" s="25">
        <f>IF($C1440="","",IF($P1440="","—",IF($P1440="Valid (Pass)","Valid","Invalid")))</f>
        <v/>
      </c>
      <c r="P1440" s="27" t="n"/>
      <c r="Q1440" s="27" t="n"/>
      <c r="R1440" s="27" t="n"/>
      <c r="S1440" s="27" t="n"/>
      <c r="T1440" s="25">
        <f>IF($C1440="","",IF(OR(ISNUMBER(SEARCH("quick case",$P1440)),ISNUMBER(SEARCH("quick case",$Q1440))),"Yes","No"))</f>
        <v/>
      </c>
      <c r="U1440" s="25">
        <f>IF($O1440="Invalid",HYPERLINK("mailto:"&amp;$G1440&amp;";"&amp;$I1440&amp;"?cc="&amp;Lists!$E$2&amp;"&amp;subject="&amp;_xlfn.ENCODEURL("[INVALID] Quality audit monitoring completed for "&amp;UPPER($C1440))&amp;"&amp;body="&amp;_xlfn.ENCODEURL("Hi "&amp;$F1440&amp;","&amp;CHAR(10)&amp;"Good day!"&amp;CHAR(10)&amp;CHAR(10)&amp;"A quality monitoring audit has been completed for "&amp;$C1440&amp;"."&amp;CHAR(10)&amp;CHAR(10)&amp;"QUALITY AUDIT DETAILS"&amp;CHAR(10)&amp;"Agent Name: "&amp;$C1440&amp;" (EID "&amp;$D1440&amp;")"&amp;CHAR(10)&amp;"Audit Date: "&amp;TEXT($B1440,"yyyy-mm-dd")&amp;CHAR(10)&amp;"Team Leader: "&amp;$F1440&amp;CHAR(10)&amp;"Case Number: "&amp;$M1440&amp;CHAR(10)&amp;"Transaction ID: "&amp;$N1440&amp;CHAR(10)&amp;"Channel / LOB: "&amp;$K1440&amp;" / "&amp;$L1440&amp;CHAR(10)&amp;"Evaluator: "&amp;$S1440&amp;CHAR(10)&amp;CHAR(10)&amp;"INVALID QUALITY AUDIT DETAILS"&amp;CHAR(10)&amp;"Validation: Invalid"&amp;CHAR(10)&amp;"Invalid Reason: "&amp;$P1440&amp;CHAR(10)&amp;"Expected Resolution Code: "&amp;$Q1440&amp;CHAR(10)&amp;"Remarks: "&amp;LEFT($R1440,600)&amp;CHAR(10)&amp;CHAR(10)&amp;"This is an automated notification from HP Mainstream EQMS."),"✉ Open Email Draft"),"")</f>
        <v/>
      </c>
    </row>
    <row r="1441">
      <c r="A1441" s="25">
        <f>IF($C1441="","","AUD-2026-"&amp;TEXT(ROW()-1,"000000"))</f>
        <v/>
      </c>
      <c r="B1441" s="26" t="n"/>
      <c r="C1441" s="27" t="n"/>
      <c r="D1441" s="25">
        <f>IF($C1441="","",IFERROR(IF(INDEX(Roster!$A:$A,MATCH($C1441,Roster!$B:$B,0))="","",INDEX(Roster!$A:$A,MATCH($C1441,Roster!$B:$B,0))&amp;""),"—"))</f>
        <v/>
      </c>
      <c r="E1441" s="25">
        <f>IF($C1441="","",IFERROR(IF(INDEX(Roster!$C:$C,MATCH($C1441,Roster!$B:$B,0))="","",INDEX(Roster!$C:$C,MATCH($C1441,Roster!$B:$B,0))&amp;""),"—"))</f>
        <v/>
      </c>
      <c r="F1441" s="25">
        <f>IF($C1441="","",IFERROR(IF(INDEX(Roster!$D:$D,MATCH($C1441,Roster!$B:$B,0))="","",INDEX(Roster!$D:$D,MATCH($C1441,Roster!$B:$B,0))&amp;""),"—"))</f>
        <v/>
      </c>
      <c r="G1441" s="25">
        <f>IF($C1441="","",IFERROR(IF(INDEX(Roster!$E:$E,MATCH($C1441,Roster!$B:$B,0))="","",INDEX(Roster!$E:$E,MATCH($C1441,Roster!$B:$B,0))&amp;""),"—"))</f>
        <v/>
      </c>
      <c r="H1441" s="25">
        <f>IF($C1441="","",IFERROR(IF(INDEX(Roster!$F:$F,MATCH($C1441,Roster!$B:$B,0))="","",INDEX(Roster!$F:$F,MATCH($C1441,Roster!$B:$B,0))&amp;""),"—"))</f>
        <v/>
      </c>
      <c r="I1441" s="25">
        <f>IF($C1441="","",IFERROR(IF(INDEX(Roster!$G:$G,MATCH($C1441,Roster!$B:$B,0))="","",INDEX(Roster!$G:$G,MATCH($C1441,Roster!$B:$B,0))&amp;""),"—"))</f>
        <v/>
      </c>
      <c r="J1441" s="25">
        <f>IF($C1441="","",IFERROR(IF(INDEX(Roster!$I:$I,MATCH($C1441,Roster!$B:$B,0))="","",INDEX(Roster!$I:$I,MATCH($C1441,Roster!$B:$B,0))&amp;""),"—"))</f>
        <v/>
      </c>
      <c r="K1441">
        <f>IF($C1441="","",IFERROR(IF(INDEX(Roster!$J:$J,MATCH($C1441,Roster!$B:$B,0))="","",INDEX(Roster!$J:$J,MATCH($C1441,Roster!$B:$B,0))&amp;""),"—"))</f>
        <v/>
      </c>
      <c r="L1441">
        <f>IF($C1441="","",IFERROR(IF(INDEX(Roster!$K:$K,MATCH($C1441,Roster!$B:$B,0))="","",INDEX(Roster!$K:$K,MATCH($C1441,Roster!$B:$B,0))&amp;""),"—"))</f>
        <v/>
      </c>
      <c r="M1441" s="27" t="n"/>
      <c r="N1441" s="27" t="n"/>
      <c r="O1441" s="25">
        <f>IF($C1441="","",IF($P1441="","—",IF($P1441="Valid (Pass)","Valid","Invalid")))</f>
        <v/>
      </c>
      <c r="P1441" s="27" t="n"/>
      <c r="Q1441" s="27" t="n"/>
      <c r="R1441" s="27" t="n"/>
      <c r="S1441" s="27" t="n"/>
      <c r="T1441" s="25">
        <f>IF($C1441="","",IF(OR(ISNUMBER(SEARCH("quick case",$P1441)),ISNUMBER(SEARCH("quick case",$Q1441))),"Yes","No"))</f>
        <v/>
      </c>
      <c r="U1441" s="25">
        <f>IF($O1441="Invalid",HYPERLINK("mailto:"&amp;$G1441&amp;";"&amp;$I1441&amp;"?cc="&amp;Lists!$E$2&amp;"&amp;subject="&amp;_xlfn.ENCODEURL("[INVALID] Quality audit monitoring completed for "&amp;UPPER($C1441))&amp;"&amp;body="&amp;_xlfn.ENCODEURL("Hi "&amp;$F1441&amp;","&amp;CHAR(10)&amp;"Good day!"&amp;CHAR(10)&amp;CHAR(10)&amp;"A quality monitoring audit has been completed for "&amp;$C1441&amp;"."&amp;CHAR(10)&amp;CHAR(10)&amp;"QUALITY AUDIT DETAILS"&amp;CHAR(10)&amp;"Agent Name: "&amp;$C1441&amp;" (EID "&amp;$D1441&amp;")"&amp;CHAR(10)&amp;"Audit Date: "&amp;TEXT($B1441,"yyyy-mm-dd")&amp;CHAR(10)&amp;"Team Leader: "&amp;$F1441&amp;CHAR(10)&amp;"Case Number: "&amp;$M1441&amp;CHAR(10)&amp;"Transaction ID: "&amp;$N1441&amp;CHAR(10)&amp;"Channel / LOB: "&amp;$K1441&amp;" / "&amp;$L1441&amp;CHAR(10)&amp;"Evaluator: "&amp;$S1441&amp;CHAR(10)&amp;CHAR(10)&amp;"INVALID QUALITY AUDIT DETAILS"&amp;CHAR(10)&amp;"Validation: Invalid"&amp;CHAR(10)&amp;"Invalid Reason: "&amp;$P1441&amp;CHAR(10)&amp;"Expected Resolution Code: "&amp;$Q1441&amp;CHAR(10)&amp;"Remarks: "&amp;LEFT($R1441,600)&amp;CHAR(10)&amp;CHAR(10)&amp;"This is an automated notification from HP Mainstream EQMS."),"✉ Open Email Draft"),"")</f>
        <v/>
      </c>
    </row>
    <row r="1442">
      <c r="A1442" s="25">
        <f>IF($C1442="","","AUD-2026-"&amp;TEXT(ROW()-1,"000000"))</f>
        <v/>
      </c>
      <c r="B1442" s="26" t="n"/>
      <c r="C1442" s="27" t="n"/>
      <c r="D1442" s="25">
        <f>IF($C1442="","",IFERROR(IF(INDEX(Roster!$A:$A,MATCH($C1442,Roster!$B:$B,0))="","",INDEX(Roster!$A:$A,MATCH($C1442,Roster!$B:$B,0))&amp;""),"—"))</f>
        <v/>
      </c>
      <c r="E1442" s="25">
        <f>IF($C1442="","",IFERROR(IF(INDEX(Roster!$C:$C,MATCH($C1442,Roster!$B:$B,0))="","",INDEX(Roster!$C:$C,MATCH($C1442,Roster!$B:$B,0))&amp;""),"—"))</f>
        <v/>
      </c>
      <c r="F1442" s="25">
        <f>IF($C1442="","",IFERROR(IF(INDEX(Roster!$D:$D,MATCH($C1442,Roster!$B:$B,0))="","",INDEX(Roster!$D:$D,MATCH($C1442,Roster!$B:$B,0))&amp;""),"—"))</f>
        <v/>
      </c>
      <c r="G1442" s="25">
        <f>IF($C1442="","",IFERROR(IF(INDEX(Roster!$E:$E,MATCH($C1442,Roster!$B:$B,0))="","",INDEX(Roster!$E:$E,MATCH($C1442,Roster!$B:$B,0))&amp;""),"—"))</f>
        <v/>
      </c>
      <c r="H1442" s="25">
        <f>IF($C1442="","",IFERROR(IF(INDEX(Roster!$F:$F,MATCH($C1442,Roster!$B:$B,0))="","",INDEX(Roster!$F:$F,MATCH($C1442,Roster!$B:$B,0))&amp;""),"—"))</f>
        <v/>
      </c>
      <c r="I1442" s="25">
        <f>IF($C1442="","",IFERROR(IF(INDEX(Roster!$G:$G,MATCH($C1442,Roster!$B:$B,0))="","",INDEX(Roster!$G:$G,MATCH($C1442,Roster!$B:$B,0))&amp;""),"—"))</f>
        <v/>
      </c>
      <c r="J1442" s="25">
        <f>IF($C1442="","",IFERROR(IF(INDEX(Roster!$I:$I,MATCH($C1442,Roster!$B:$B,0))="","",INDEX(Roster!$I:$I,MATCH($C1442,Roster!$B:$B,0))&amp;""),"—"))</f>
        <v/>
      </c>
      <c r="K1442">
        <f>IF($C1442="","",IFERROR(IF(INDEX(Roster!$J:$J,MATCH($C1442,Roster!$B:$B,0))="","",INDEX(Roster!$J:$J,MATCH($C1442,Roster!$B:$B,0))&amp;""),"—"))</f>
        <v/>
      </c>
      <c r="L1442">
        <f>IF($C1442="","",IFERROR(IF(INDEX(Roster!$K:$K,MATCH($C1442,Roster!$B:$B,0))="","",INDEX(Roster!$K:$K,MATCH($C1442,Roster!$B:$B,0))&amp;""),"—"))</f>
        <v/>
      </c>
      <c r="M1442" s="27" t="n"/>
      <c r="N1442" s="27" t="n"/>
      <c r="O1442" s="25">
        <f>IF($C1442="","",IF($P1442="","—",IF($P1442="Valid (Pass)","Valid","Invalid")))</f>
        <v/>
      </c>
      <c r="P1442" s="27" t="n"/>
      <c r="Q1442" s="27" t="n"/>
      <c r="R1442" s="27" t="n"/>
      <c r="S1442" s="27" t="n"/>
      <c r="T1442" s="25">
        <f>IF($C1442="","",IF(OR(ISNUMBER(SEARCH("quick case",$P1442)),ISNUMBER(SEARCH("quick case",$Q1442))),"Yes","No"))</f>
        <v/>
      </c>
      <c r="U1442" s="25">
        <f>IF($O1442="Invalid",HYPERLINK("mailto:"&amp;$G1442&amp;";"&amp;$I1442&amp;"?cc="&amp;Lists!$E$2&amp;"&amp;subject="&amp;_xlfn.ENCODEURL("[INVALID] Quality audit monitoring completed for "&amp;UPPER($C1442))&amp;"&amp;body="&amp;_xlfn.ENCODEURL("Hi "&amp;$F1442&amp;","&amp;CHAR(10)&amp;"Good day!"&amp;CHAR(10)&amp;CHAR(10)&amp;"A quality monitoring audit has been completed for "&amp;$C1442&amp;"."&amp;CHAR(10)&amp;CHAR(10)&amp;"QUALITY AUDIT DETAILS"&amp;CHAR(10)&amp;"Agent Name: "&amp;$C1442&amp;" (EID "&amp;$D1442&amp;")"&amp;CHAR(10)&amp;"Audit Date: "&amp;TEXT($B1442,"yyyy-mm-dd")&amp;CHAR(10)&amp;"Team Leader: "&amp;$F1442&amp;CHAR(10)&amp;"Case Number: "&amp;$M1442&amp;CHAR(10)&amp;"Transaction ID: "&amp;$N1442&amp;CHAR(10)&amp;"Channel / LOB: "&amp;$K1442&amp;" / "&amp;$L1442&amp;CHAR(10)&amp;"Evaluator: "&amp;$S1442&amp;CHAR(10)&amp;CHAR(10)&amp;"INVALID QUALITY AUDIT DETAILS"&amp;CHAR(10)&amp;"Validation: Invalid"&amp;CHAR(10)&amp;"Invalid Reason: "&amp;$P1442&amp;CHAR(10)&amp;"Expected Resolution Code: "&amp;$Q1442&amp;CHAR(10)&amp;"Remarks: "&amp;LEFT($R1442,600)&amp;CHAR(10)&amp;CHAR(10)&amp;"This is an automated notification from HP Mainstream EQMS."),"✉ Open Email Draft"),"")</f>
        <v/>
      </c>
    </row>
    <row r="1443">
      <c r="A1443" s="25">
        <f>IF($C1443="","","AUD-2026-"&amp;TEXT(ROW()-1,"000000"))</f>
        <v/>
      </c>
      <c r="B1443" s="26" t="n"/>
      <c r="C1443" s="27" t="n"/>
      <c r="D1443" s="25">
        <f>IF($C1443="","",IFERROR(IF(INDEX(Roster!$A:$A,MATCH($C1443,Roster!$B:$B,0))="","",INDEX(Roster!$A:$A,MATCH($C1443,Roster!$B:$B,0))&amp;""),"—"))</f>
        <v/>
      </c>
      <c r="E1443" s="25">
        <f>IF($C1443="","",IFERROR(IF(INDEX(Roster!$C:$C,MATCH($C1443,Roster!$B:$B,0))="","",INDEX(Roster!$C:$C,MATCH($C1443,Roster!$B:$B,0))&amp;""),"—"))</f>
        <v/>
      </c>
      <c r="F1443" s="25">
        <f>IF($C1443="","",IFERROR(IF(INDEX(Roster!$D:$D,MATCH($C1443,Roster!$B:$B,0))="","",INDEX(Roster!$D:$D,MATCH($C1443,Roster!$B:$B,0))&amp;""),"—"))</f>
        <v/>
      </c>
      <c r="G1443" s="25">
        <f>IF($C1443="","",IFERROR(IF(INDEX(Roster!$E:$E,MATCH($C1443,Roster!$B:$B,0))="","",INDEX(Roster!$E:$E,MATCH($C1443,Roster!$B:$B,0))&amp;""),"—"))</f>
        <v/>
      </c>
      <c r="H1443" s="25">
        <f>IF($C1443="","",IFERROR(IF(INDEX(Roster!$F:$F,MATCH($C1443,Roster!$B:$B,0))="","",INDEX(Roster!$F:$F,MATCH($C1443,Roster!$B:$B,0))&amp;""),"—"))</f>
        <v/>
      </c>
      <c r="I1443" s="25">
        <f>IF($C1443="","",IFERROR(IF(INDEX(Roster!$G:$G,MATCH($C1443,Roster!$B:$B,0))="","",INDEX(Roster!$G:$G,MATCH($C1443,Roster!$B:$B,0))&amp;""),"—"))</f>
        <v/>
      </c>
      <c r="J1443" s="25">
        <f>IF($C1443="","",IFERROR(IF(INDEX(Roster!$I:$I,MATCH($C1443,Roster!$B:$B,0))="","",INDEX(Roster!$I:$I,MATCH($C1443,Roster!$B:$B,0))&amp;""),"—"))</f>
        <v/>
      </c>
      <c r="K1443">
        <f>IF($C1443="","",IFERROR(IF(INDEX(Roster!$J:$J,MATCH($C1443,Roster!$B:$B,0))="","",INDEX(Roster!$J:$J,MATCH($C1443,Roster!$B:$B,0))&amp;""),"—"))</f>
        <v/>
      </c>
      <c r="L1443">
        <f>IF($C1443="","",IFERROR(IF(INDEX(Roster!$K:$K,MATCH($C1443,Roster!$B:$B,0))="","",INDEX(Roster!$K:$K,MATCH($C1443,Roster!$B:$B,0))&amp;""),"—"))</f>
        <v/>
      </c>
      <c r="M1443" s="27" t="n"/>
      <c r="N1443" s="27" t="n"/>
      <c r="O1443" s="25">
        <f>IF($C1443="","",IF($P1443="","—",IF($P1443="Valid (Pass)","Valid","Invalid")))</f>
        <v/>
      </c>
      <c r="P1443" s="27" t="n"/>
      <c r="Q1443" s="27" t="n"/>
      <c r="R1443" s="27" t="n"/>
      <c r="S1443" s="27" t="n"/>
      <c r="T1443" s="25">
        <f>IF($C1443="","",IF(OR(ISNUMBER(SEARCH("quick case",$P1443)),ISNUMBER(SEARCH("quick case",$Q1443))),"Yes","No"))</f>
        <v/>
      </c>
      <c r="U1443" s="25">
        <f>IF($O1443="Invalid",HYPERLINK("mailto:"&amp;$G1443&amp;";"&amp;$I1443&amp;"?cc="&amp;Lists!$E$2&amp;"&amp;subject="&amp;_xlfn.ENCODEURL("[INVALID] Quality audit monitoring completed for "&amp;UPPER($C1443))&amp;"&amp;body="&amp;_xlfn.ENCODEURL("Hi "&amp;$F1443&amp;","&amp;CHAR(10)&amp;"Good day!"&amp;CHAR(10)&amp;CHAR(10)&amp;"A quality monitoring audit has been completed for "&amp;$C1443&amp;"."&amp;CHAR(10)&amp;CHAR(10)&amp;"QUALITY AUDIT DETAILS"&amp;CHAR(10)&amp;"Agent Name: "&amp;$C1443&amp;" (EID "&amp;$D1443&amp;")"&amp;CHAR(10)&amp;"Audit Date: "&amp;TEXT($B1443,"yyyy-mm-dd")&amp;CHAR(10)&amp;"Team Leader: "&amp;$F1443&amp;CHAR(10)&amp;"Case Number: "&amp;$M1443&amp;CHAR(10)&amp;"Transaction ID: "&amp;$N1443&amp;CHAR(10)&amp;"Channel / LOB: "&amp;$K1443&amp;" / "&amp;$L1443&amp;CHAR(10)&amp;"Evaluator: "&amp;$S1443&amp;CHAR(10)&amp;CHAR(10)&amp;"INVALID QUALITY AUDIT DETAILS"&amp;CHAR(10)&amp;"Validation: Invalid"&amp;CHAR(10)&amp;"Invalid Reason: "&amp;$P1443&amp;CHAR(10)&amp;"Expected Resolution Code: "&amp;$Q1443&amp;CHAR(10)&amp;"Remarks: "&amp;LEFT($R1443,600)&amp;CHAR(10)&amp;CHAR(10)&amp;"This is an automated notification from HP Mainstream EQMS."),"✉ Open Email Draft"),"")</f>
        <v/>
      </c>
    </row>
    <row r="1444">
      <c r="A1444" s="25">
        <f>IF($C1444="","","AUD-2026-"&amp;TEXT(ROW()-1,"000000"))</f>
        <v/>
      </c>
      <c r="B1444" s="26" t="n"/>
      <c r="C1444" s="27" t="n"/>
      <c r="D1444" s="25">
        <f>IF($C1444="","",IFERROR(IF(INDEX(Roster!$A:$A,MATCH($C1444,Roster!$B:$B,0))="","",INDEX(Roster!$A:$A,MATCH($C1444,Roster!$B:$B,0))&amp;""),"—"))</f>
        <v/>
      </c>
      <c r="E1444" s="25">
        <f>IF($C1444="","",IFERROR(IF(INDEX(Roster!$C:$C,MATCH($C1444,Roster!$B:$B,0))="","",INDEX(Roster!$C:$C,MATCH($C1444,Roster!$B:$B,0))&amp;""),"—"))</f>
        <v/>
      </c>
      <c r="F1444" s="25">
        <f>IF($C1444="","",IFERROR(IF(INDEX(Roster!$D:$D,MATCH($C1444,Roster!$B:$B,0))="","",INDEX(Roster!$D:$D,MATCH($C1444,Roster!$B:$B,0))&amp;""),"—"))</f>
        <v/>
      </c>
      <c r="G1444" s="25">
        <f>IF($C1444="","",IFERROR(IF(INDEX(Roster!$E:$E,MATCH($C1444,Roster!$B:$B,0))="","",INDEX(Roster!$E:$E,MATCH($C1444,Roster!$B:$B,0))&amp;""),"—"))</f>
        <v/>
      </c>
      <c r="H1444" s="25">
        <f>IF($C1444="","",IFERROR(IF(INDEX(Roster!$F:$F,MATCH($C1444,Roster!$B:$B,0))="","",INDEX(Roster!$F:$F,MATCH($C1444,Roster!$B:$B,0))&amp;""),"—"))</f>
        <v/>
      </c>
      <c r="I1444" s="25">
        <f>IF($C1444="","",IFERROR(IF(INDEX(Roster!$G:$G,MATCH($C1444,Roster!$B:$B,0))="","",INDEX(Roster!$G:$G,MATCH($C1444,Roster!$B:$B,0))&amp;""),"—"))</f>
        <v/>
      </c>
      <c r="J1444" s="25">
        <f>IF($C1444="","",IFERROR(IF(INDEX(Roster!$I:$I,MATCH($C1444,Roster!$B:$B,0))="","",INDEX(Roster!$I:$I,MATCH($C1444,Roster!$B:$B,0))&amp;""),"—"))</f>
        <v/>
      </c>
      <c r="K1444">
        <f>IF($C1444="","",IFERROR(IF(INDEX(Roster!$J:$J,MATCH($C1444,Roster!$B:$B,0))="","",INDEX(Roster!$J:$J,MATCH($C1444,Roster!$B:$B,0))&amp;""),"—"))</f>
        <v/>
      </c>
      <c r="L1444">
        <f>IF($C1444="","",IFERROR(IF(INDEX(Roster!$K:$K,MATCH($C1444,Roster!$B:$B,0))="","",INDEX(Roster!$K:$K,MATCH($C1444,Roster!$B:$B,0))&amp;""),"—"))</f>
        <v/>
      </c>
      <c r="M1444" s="27" t="n"/>
      <c r="N1444" s="27" t="n"/>
      <c r="O1444" s="25">
        <f>IF($C1444="","",IF($P1444="","—",IF($P1444="Valid (Pass)","Valid","Invalid")))</f>
        <v/>
      </c>
      <c r="P1444" s="27" t="n"/>
      <c r="Q1444" s="27" t="n"/>
      <c r="R1444" s="27" t="n"/>
      <c r="S1444" s="27" t="n"/>
      <c r="T1444" s="25">
        <f>IF($C1444="","",IF(OR(ISNUMBER(SEARCH("quick case",$P1444)),ISNUMBER(SEARCH("quick case",$Q1444))),"Yes","No"))</f>
        <v/>
      </c>
      <c r="U1444" s="25">
        <f>IF($O1444="Invalid",HYPERLINK("mailto:"&amp;$G1444&amp;";"&amp;$I1444&amp;"?cc="&amp;Lists!$E$2&amp;"&amp;subject="&amp;_xlfn.ENCODEURL("[INVALID] Quality audit monitoring completed for "&amp;UPPER($C1444))&amp;"&amp;body="&amp;_xlfn.ENCODEURL("Hi "&amp;$F1444&amp;","&amp;CHAR(10)&amp;"Good day!"&amp;CHAR(10)&amp;CHAR(10)&amp;"A quality monitoring audit has been completed for "&amp;$C1444&amp;"."&amp;CHAR(10)&amp;CHAR(10)&amp;"QUALITY AUDIT DETAILS"&amp;CHAR(10)&amp;"Agent Name: "&amp;$C1444&amp;" (EID "&amp;$D1444&amp;")"&amp;CHAR(10)&amp;"Audit Date: "&amp;TEXT($B1444,"yyyy-mm-dd")&amp;CHAR(10)&amp;"Team Leader: "&amp;$F1444&amp;CHAR(10)&amp;"Case Number: "&amp;$M1444&amp;CHAR(10)&amp;"Transaction ID: "&amp;$N1444&amp;CHAR(10)&amp;"Channel / LOB: "&amp;$K1444&amp;" / "&amp;$L1444&amp;CHAR(10)&amp;"Evaluator: "&amp;$S1444&amp;CHAR(10)&amp;CHAR(10)&amp;"INVALID QUALITY AUDIT DETAILS"&amp;CHAR(10)&amp;"Validation: Invalid"&amp;CHAR(10)&amp;"Invalid Reason: "&amp;$P1444&amp;CHAR(10)&amp;"Expected Resolution Code: "&amp;$Q1444&amp;CHAR(10)&amp;"Remarks: "&amp;LEFT($R1444,600)&amp;CHAR(10)&amp;CHAR(10)&amp;"This is an automated notification from HP Mainstream EQMS."),"✉ Open Email Draft"),"")</f>
        <v/>
      </c>
    </row>
    <row r="1445">
      <c r="A1445" s="25">
        <f>IF($C1445="","","AUD-2026-"&amp;TEXT(ROW()-1,"000000"))</f>
        <v/>
      </c>
      <c r="B1445" s="26" t="n"/>
      <c r="C1445" s="27" t="n"/>
      <c r="D1445" s="25">
        <f>IF($C1445="","",IFERROR(IF(INDEX(Roster!$A:$A,MATCH($C1445,Roster!$B:$B,0))="","",INDEX(Roster!$A:$A,MATCH($C1445,Roster!$B:$B,0))&amp;""),"—"))</f>
        <v/>
      </c>
      <c r="E1445" s="25">
        <f>IF($C1445="","",IFERROR(IF(INDEX(Roster!$C:$C,MATCH($C1445,Roster!$B:$B,0))="","",INDEX(Roster!$C:$C,MATCH($C1445,Roster!$B:$B,0))&amp;""),"—"))</f>
        <v/>
      </c>
      <c r="F1445" s="25">
        <f>IF($C1445="","",IFERROR(IF(INDEX(Roster!$D:$D,MATCH($C1445,Roster!$B:$B,0))="","",INDEX(Roster!$D:$D,MATCH($C1445,Roster!$B:$B,0))&amp;""),"—"))</f>
        <v/>
      </c>
      <c r="G1445" s="25">
        <f>IF($C1445="","",IFERROR(IF(INDEX(Roster!$E:$E,MATCH($C1445,Roster!$B:$B,0))="","",INDEX(Roster!$E:$E,MATCH($C1445,Roster!$B:$B,0))&amp;""),"—"))</f>
        <v/>
      </c>
      <c r="H1445" s="25">
        <f>IF($C1445="","",IFERROR(IF(INDEX(Roster!$F:$F,MATCH($C1445,Roster!$B:$B,0))="","",INDEX(Roster!$F:$F,MATCH($C1445,Roster!$B:$B,0))&amp;""),"—"))</f>
        <v/>
      </c>
      <c r="I1445" s="25">
        <f>IF($C1445="","",IFERROR(IF(INDEX(Roster!$G:$G,MATCH($C1445,Roster!$B:$B,0))="","",INDEX(Roster!$G:$G,MATCH($C1445,Roster!$B:$B,0))&amp;""),"—"))</f>
        <v/>
      </c>
      <c r="J1445" s="25">
        <f>IF($C1445="","",IFERROR(IF(INDEX(Roster!$I:$I,MATCH($C1445,Roster!$B:$B,0))="","",INDEX(Roster!$I:$I,MATCH($C1445,Roster!$B:$B,0))&amp;""),"—"))</f>
        <v/>
      </c>
      <c r="K1445">
        <f>IF($C1445="","",IFERROR(IF(INDEX(Roster!$J:$J,MATCH($C1445,Roster!$B:$B,0))="","",INDEX(Roster!$J:$J,MATCH($C1445,Roster!$B:$B,0))&amp;""),"—"))</f>
        <v/>
      </c>
      <c r="L1445">
        <f>IF($C1445="","",IFERROR(IF(INDEX(Roster!$K:$K,MATCH($C1445,Roster!$B:$B,0))="","",INDEX(Roster!$K:$K,MATCH($C1445,Roster!$B:$B,0))&amp;""),"—"))</f>
        <v/>
      </c>
      <c r="M1445" s="27" t="n"/>
      <c r="N1445" s="27" t="n"/>
      <c r="O1445" s="25">
        <f>IF($C1445="","",IF($P1445="","—",IF($P1445="Valid (Pass)","Valid","Invalid")))</f>
        <v/>
      </c>
      <c r="P1445" s="27" t="n"/>
      <c r="Q1445" s="27" t="n"/>
      <c r="R1445" s="27" t="n"/>
      <c r="S1445" s="27" t="n"/>
      <c r="T1445" s="25">
        <f>IF($C1445="","",IF(OR(ISNUMBER(SEARCH("quick case",$P1445)),ISNUMBER(SEARCH("quick case",$Q1445))),"Yes","No"))</f>
        <v/>
      </c>
      <c r="U1445" s="25">
        <f>IF($O1445="Invalid",HYPERLINK("mailto:"&amp;$G1445&amp;";"&amp;$I1445&amp;"?cc="&amp;Lists!$E$2&amp;"&amp;subject="&amp;_xlfn.ENCODEURL("[INVALID] Quality audit monitoring completed for "&amp;UPPER($C1445))&amp;"&amp;body="&amp;_xlfn.ENCODEURL("Hi "&amp;$F1445&amp;","&amp;CHAR(10)&amp;"Good day!"&amp;CHAR(10)&amp;CHAR(10)&amp;"A quality monitoring audit has been completed for "&amp;$C1445&amp;"."&amp;CHAR(10)&amp;CHAR(10)&amp;"QUALITY AUDIT DETAILS"&amp;CHAR(10)&amp;"Agent Name: "&amp;$C1445&amp;" (EID "&amp;$D1445&amp;")"&amp;CHAR(10)&amp;"Audit Date: "&amp;TEXT($B1445,"yyyy-mm-dd")&amp;CHAR(10)&amp;"Team Leader: "&amp;$F1445&amp;CHAR(10)&amp;"Case Number: "&amp;$M1445&amp;CHAR(10)&amp;"Transaction ID: "&amp;$N1445&amp;CHAR(10)&amp;"Channel / LOB: "&amp;$K1445&amp;" / "&amp;$L1445&amp;CHAR(10)&amp;"Evaluator: "&amp;$S1445&amp;CHAR(10)&amp;CHAR(10)&amp;"INVALID QUALITY AUDIT DETAILS"&amp;CHAR(10)&amp;"Validation: Invalid"&amp;CHAR(10)&amp;"Invalid Reason: "&amp;$P1445&amp;CHAR(10)&amp;"Expected Resolution Code: "&amp;$Q1445&amp;CHAR(10)&amp;"Remarks: "&amp;LEFT($R1445,600)&amp;CHAR(10)&amp;CHAR(10)&amp;"This is an automated notification from HP Mainstream EQMS."),"✉ Open Email Draft"),"")</f>
        <v/>
      </c>
    </row>
    <row r="1446">
      <c r="A1446" s="25">
        <f>IF($C1446="","","AUD-2026-"&amp;TEXT(ROW()-1,"000000"))</f>
        <v/>
      </c>
      <c r="B1446" s="26" t="n"/>
      <c r="C1446" s="27" t="n"/>
      <c r="D1446" s="25">
        <f>IF($C1446="","",IFERROR(IF(INDEX(Roster!$A:$A,MATCH($C1446,Roster!$B:$B,0))="","",INDEX(Roster!$A:$A,MATCH($C1446,Roster!$B:$B,0))&amp;""),"—"))</f>
        <v/>
      </c>
      <c r="E1446" s="25">
        <f>IF($C1446="","",IFERROR(IF(INDEX(Roster!$C:$C,MATCH($C1446,Roster!$B:$B,0))="","",INDEX(Roster!$C:$C,MATCH($C1446,Roster!$B:$B,0))&amp;""),"—"))</f>
        <v/>
      </c>
      <c r="F1446" s="25">
        <f>IF($C1446="","",IFERROR(IF(INDEX(Roster!$D:$D,MATCH($C1446,Roster!$B:$B,0))="","",INDEX(Roster!$D:$D,MATCH($C1446,Roster!$B:$B,0))&amp;""),"—"))</f>
        <v/>
      </c>
      <c r="G1446" s="25">
        <f>IF($C1446="","",IFERROR(IF(INDEX(Roster!$E:$E,MATCH($C1446,Roster!$B:$B,0))="","",INDEX(Roster!$E:$E,MATCH($C1446,Roster!$B:$B,0))&amp;""),"—"))</f>
        <v/>
      </c>
      <c r="H1446" s="25">
        <f>IF($C1446="","",IFERROR(IF(INDEX(Roster!$F:$F,MATCH($C1446,Roster!$B:$B,0))="","",INDEX(Roster!$F:$F,MATCH($C1446,Roster!$B:$B,0))&amp;""),"—"))</f>
        <v/>
      </c>
      <c r="I1446" s="25">
        <f>IF($C1446="","",IFERROR(IF(INDEX(Roster!$G:$G,MATCH($C1446,Roster!$B:$B,0))="","",INDEX(Roster!$G:$G,MATCH($C1446,Roster!$B:$B,0))&amp;""),"—"))</f>
        <v/>
      </c>
      <c r="J1446" s="25">
        <f>IF($C1446="","",IFERROR(IF(INDEX(Roster!$I:$I,MATCH($C1446,Roster!$B:$B,0))="","",INDEX(Roster!$I:$I,MATCH($C1446,Roster!$B:$B,0))&amp;""),"—"))</f>
        <v/>
      </c>
      <c r="K1446">
        <f>IF($C1446="","",IFERROR(IF(INDEX(Roster!$J:$J,MATCH($C1446,Roster!$B:$B,0))="","",INDEX(Roster!$J:$J,MATCH($C1446,Roster!$B:$B,0))&amp;""),"—"))</f>
        <v/>
      </c>
      <c r="L1446">
        <f>IF($C1446="","",IFERROR(IF(INDEX(Roster!$K:$K,MATCH($C1446,Roster!$B:$B,0))="","",INDEX(Roster!$K:$K,MATCH($C1446,Roster!$B:$B,0))&amp;""),"—"))</f>
        <v/>
      </c>
      <c r="M1446" s="27" t="n"/>
      <c r="N1446" s="27" t="n"/>
      <c r="O1446" s="25">
        <f>IF($C1446="","",IF($P1446="","—",IF($P1446="Valid (Pass)","Valid","Invalid")))</f>
        <v/>
      </c>
      <c r="P1446" s="27" t="n"/>
      <c r="Q1446" s="27" t="n"/>
      <c r="R1446" s="27" t="n"/>
      <c r="S1446" s="27" t="n"/>
      <c r="T1446" s="25">
        <f>IF($C1446="","",IF(OR(ISNUMBER(SEARCH("quick case",$P1446)),ISNUMBER(SEARCH("quick case",$Q1446))),"Yes","No"))</f>
        <v/>
      </c>
      <c r="U1446" s="25">
        <f>IF($O1446="Invalid",HYPERLINK("mailto:"&amp;$G1446&amp;";"&amp;$I1446&amp;"?cc="&amp;Lists!$E$2&amp;"&amp;subject="&amp;_xlfn.ENCODEURL("[INVALID] Quality audit monitoring completed for "&amp;UPPER($C1446))&amp;"&amp;body="&amp;_xlfn.ENCODEURL("Hi "&amp;$F1446&amp;","&amp;CHAR(10)&amp;"Good day!"&amp;CHAR(10)&amp;CHAR(10)&amp;"A quality monitoring audit has been completed for "&amp;$C1446&amp;"."&amp;CHAR(10)&amp;CHAR(10)&amp;"QUALITY AUDIT DETAILS"&amp;CHAR(10)&amp;"Agent Name: "&amp;$C1446&amp;" (EID "&amp;$D1446&amp;")"&amp;CHAR(10)&amp;"Audit Date: "&amp;TEXT($B1446,"yyyy-mm-dd")&amp;CHAR(10)&amp;"Team Leader: "&amp;$F1446&amp;CHAR(10)&amp;"Case Number: "&amp;$M1446&amp;CHAR(10)&amp;"Transaction ID: "&amp;$N1446&amp;CHAR(10)&amp;"Channel / LOB: "&amp;$K1446&amp;" / "&amp;$L1446&amp;CHAR(10)&amp;"Evaluator: "&amp;$S1446&amp;CHAR(10)&amp;CHAR(10)&amp;"INVALID QUALITY AUDIT DETAILS"&amp;CHAR(10)&amp;"Validation: Invalid"&amp;CHAR(10)&amp;"Invalid Reason: "&amp;$P1446&amp;CHAR(10)&amp;"Expected Resolution Code: "&amp;$Q1446&amp;CHAR(10)&amp;"Remarks: "&amp;LEFT($R1446,600)&amp;CHAR(10)&amp;CHAR(10)&amp;"This is an automated notification from HP Mainstream EQMS."),"✉ Open Email Draft"),"")</f>
        <v/>
      </c>
    </row>
    <row r="1447">
      <c r="A1447" s="25">
        <f>IF($C1447="","","AUD-2026-"&amp;TEXT(ROW()-1,"000000"))</f>
        <v/>
      </c>
      <c r="B1447" s="26" t="n"/>
      <c r="C1447" s="27" t="n"/>
      <c r="D1447" s="25">
        <f>IF($C1447="","",IFERROR(IF(INDEX(Roster!$A:$A,MATCH($C1447,Roster!$B:$B,0))="","",INDEX(Roster!$A:$A,MATCH($C1447,Roster!$B:$B,0))&amp;""),"—"))</f>
        <v/>
      </c>
      <c r="E1447" s="25">
        <f>IF($C1447="","",IFERROR(IF(INDEX(Roster!$C:$C,MATCH($C1447,Roster!$B:$B,0))="","",INDEX(Roster!$C:$C,MATCH($C1447,Roster!$B:$B,0))&amp;""),"—"))</f>
        <v/>
      </c>
      <c r="F1447" s="25">
        <f>IF($C1447="","",IFERROR(IF(INDEX(Roster!$D:$D,MATCH($C1447,Roster!$B:$B,0))="","",INDEX(Roster!$D:$D,MATCH($C1447,Roster!$B:$B,0))&amp;""),"—"))</f>
        <v/>
      </c>
      <c r="G1447" s="25">
        <f>IF($C1447="","",IFERROR(IF(INDEX(Roster!$E:$E,MATCH($C1447,Roster!$B:$B,0))="","",INDEX(Roster!$E:$E,MATCH($C1447,Roster!$B:$B,0))&amp;""),"—"))</f>
        <v/>
      </c>
      <c r="H1447" s="25">
        <f>IF($C1447="","",IFERROR(IF(INDEX(Roster!$F:$F,MATCH($C1447,Roster!$B:$B,0))="","",INDEX(Roster!$F:$F,MATCH($C1447,Roster!$B:$B,0))&amp;""),"—"))</f>
        <v/>
      </c>
      <c r="I1447" s="25">
        <f>IF($C1447="","",IFERROR(IF(INDEX(Roster!$G:$G,MATCH($C1447,Roster!$B:$B,0))="","",INDEX(Roster!$G:$G,MATCH($C1447,Roster!$B:$B,0))&amp;""),"—"))</f>
        <v/>
      </c>
      <c r="J1447" s="25">
        <f>IF($C1447="","",IFERROR(IF(INDEX(Roster!$I:$I,MATCH($C1447,Roster!$B:$B,0))="","",INDEX(Roster!$I:$I,MATCH($C1447,Roster!$B:$B,0))&amp;""),"—"))</f>
        <v/>
      </c>
      <c r="K1447">
        <f>IF($C1447="","",IFERROR(IF(INDEX(Roster!$J:$J,MATCH($C1447,Roster!$B:$B,0))="","",INDEX(Roster!$J:$J,MATCH($C1447,Roster!$B:$B,0))&amp;""),"—"))</f>
        <v/>
      </c>
      <c r="L1447">
        <f>IF($C1447="","",IFERROR(IF(INDEX(Roster!$K:$K,MATCH($C1447,Roster!$B:$B,0))="","",INDEX(Roster!$K:$K,MATCH($C1447,Roster!$B:$B,0))&amp;""),"—"))</f>
        <v/>
      </c>
      <c r="M1447" s="27" t="n"/>
      <c r="N1447" s="27" t="n"/>
      <c r="O1447" s="25">
        <f>IF($C1447="","",IF($P1447="","—",IF($P1447="Valid (Pass)","Valid","Invalid")))</f>
        <v/>
      </c>
      <c r="P1447" s="27" t="n"/>
      <c r="Q1447" s="27" t="n"/>
      <c r="R1447" s="27" t="n"/>
      <c r="S1447" s="27" t="n"/>
      <c r="T1447" s="25">
        <f>IF($C1447="","",IF(OR(ISNUMBER(SEARCH("quick case",$P1447)),ISNUMBER(SEARCH("quick case",$Q1447))),"Yes","No"))</f>
        <v/>
      </c>
      <c r="U1447" s="25">
        <f>IF($O1447="Invalid",HYPERLINK("mailto:"&amp;$G1447&amp;";"&amp;$I1447&amp;"?cc="&amp;Lists!$E$2&amp;"&amp;subject="&amp;_xlfn.ENCODEURL("[INVALID] Quality audit monitoring completed for "&amp;UPPER($C1447))&amp;"&amp;body="&amp;_xlfn.ENCODEURL("Hi "&amp;$F1447&amp;","&amp;CHAR(10)&amp;"Good day!"&amp;CHAR(10)&amp;CHAR(10)&amp;"A quality monitoring audit has been completed for "&amp;$C1447&amp;"."&amp;CHAR(10)&amp;CHAR(10)&amp;"QUALITY AUDIT DETAILS"&amp;CHAR(10)&amp;"Agent Name: "&amp;$C1447&amp;" (EID "&amp;$D1447&amp;")"&amp;CHAR(10)&amp;"Audit Date: "&amp;TEXT($B1447,"yyyy-mm-dd")&amp;CHAR(10)&amp;"Team Leader: "&amp;$F1447&amp;CHAR(10)&amp;"Case Number: "&amp;$M1447&amp;CHAR(10)&amp;"Transaction ID: "&amp;$N1447&amp;CHAR(10)&amp;"Channel / LOB: "&amp;$K1447&amp;" / "&amp;$L1447&amp;CHAR(10)&amp;"Evaluator: "&amp;$S1447&amp;CHAR(10)&amp;CHAR(10)&amp;"INVALID QUALITY AUDIT DETAILS"&amp;CHAR(10)&amp;"Validation: Invalid"&amp;CHAR(10)&amp;"Invalid Reason: "&amp;$P1447&amp;CHAR(10)&amp;"Expected Resolution Code: "&amp;$Q1447&amp;CHAR(10)&amp;"Remarks: "&amp;LEFT($R1447,600)&amp;CHAR(10)&amp;CHAR(10)&amp;"This is an automated notification from HP Mainstream EQMS."),"✉ Open Email Draft"),"")</f>
        <v/>
      </c>
    </row>
    <row r="1448">
      <c r="A1448" s="25">
        <f>IF($C1448="","","AUD-2026-"&amp;TEXT(ROW()-1,"000000"))</f>
        <v/>
      </c>
      <c r="B1448" s="26" t="n"/>
      <c r="C1448" s="27" t="n"/>
      <c r="D1448" s="25">
        <f>IF($C1448="","",IFERROR(IF(INDEX(Roster!$A:$A,MATCH($C1448,Roster!$B:$B,0))="","",INDEX(Roster!$A:$A,MATCH($C1448,Roster!$B:$B,0))&amp;""),"—"))</f>
        <v/>
      </c>
      <c r="E1448" s="25">
        <f>IF($C1448="","",IFERROR(IF(INDEX(Roster!$C:$C,MATCH($C1448,Roster!$B:$B,0))="","",INDEX(Roster!$C:$C,MATCH($C1448,Roster!$B:$B,0))&amp;""),"—"))</f>
        <v/>
      </c>
      <c r="F1448" s="25">
        <f>IF($C1448="","",IFERROR(IF(INDEX(Roster!$D:$D,MATCH($C1448,Roster!$B:$B,0))="","",INDEX(Roster!$D:$D,MATCH($C1448,Roster!$B:$B,0))&amp;""),"—"))</f>
        <v/>
      </c>
      <c r="G1448" s="25">
        <f>IF($C1448="","",IFERROR(IF(INDEX(Roster!$E:$E,MATCH($C1448,Roster!$B:$B,0))="","",INDEX(Roster!$E:$E,MATCH($C1448,Roster!$B:$B,0))&amp;""),"—"))</f>
        <v/>
      </c>
      <c r="H1448" s="25">
        <f>IF($C1448="","",IFERROR(IF(INDEX(Roster!$F:$F,MATCH($C1448,Roster!$B:$B,0))="","",INDEX(Roster!$F:$F,MATCH($C1448,Roster!$B:$B,0))&amp;""),"—"))</f>
        <v/>
      </c>
      <c r="I1448" s="25">
        <f>IF($C1448="","",IFERROR(IF(INDEX(Roster!$G:$G,MATCH($C1448,Roster!$B:$B,0))="","",INDEX(Roster!$G:$G,MATCH($C1448,Roster!$B:$B,0))&amp;""),"—"))</f>
        <v/>
      </c>
      <c r="J1448" s="25">
        <f>IF($C1448="","",IFERROR(IF(INDEX(Roster!$I:$I,MATCH($C1448,Roster!$B:$B,0))="","",INDEX(Roster!$I:$I,MATCH($C1448,Roster!$B:$B,0))&amp;""),"—"))</f>
        <v/>
      </c>
      <c r="K1448">
        <f>IF($C1448="","",IFERROR(IF(INDEX(Roster!$J:$J,MATCH($C1448,Roster!$B:$B,0))="","",INDEX(Roster!$J:$J,MATCH($C1448,Roster!$B:$B,0))&amp;""),"—"))</f>
        <v/>
      </c>
      <c r="L1448">
        <f>IF($C1448="","",IFERROR(IF(INDEX(Roster!$K:$K,MATCH($C1448,Roster!$B:$B,0))="","",INDEX(Roster!$K:$K,MATCH($C1448,Roster!$B:$B,0))&amp;""),"—"))</f>
        <v/>
      </c>
      <c r="M1448" s="27" t="n"/>
      <c r="N1448" s="27" t="n"/>
      <c r="O1448" s="25">
        <f>IF($C1448="","",IF($P1448="","—",IF($P1448="Valid (Pass)","Valid","Invalid")))</f>
        <v/>
      </c>
      <c r="P1448" s="27" t="n"/>
      <c r="Q1448" s="27" t="n"/>
      <c r="R1448" s="27" t="n"/>
      <c r="S1448" s="27" t="n"/>
      <c r="T1448" s="25">
        <f>IF($C1448="","",IF(OR(ISNUMBER(SEARCH("quick case",$P1448)),ISNUMBER(SEARCH("quick case",$Q1448))),"Yes","No"))</f>
        <v/>
      </c>
      <c r="U1448" s="25">
        <f>IF($O1448="Invalid",HYPERLINK("mailto:"&amp;$G1448&amp;";"&amp;$I1448&amp;"?cc="&amp;Lists!$E$2&amp;"&amp;subject="&amp;_xlfn.ENCODEURL("[INVALID] Quality audit monitoring completed for "&amp;UPPER($C1448))&amp;"&amp;body="&amp;_xlfn.ENCODEURL("Hi "&amp;$F1448&amp;","&amp;CHAR(10)&amp;"Good day!"&amp;CHAR(10)&amp;CHAR(10)&amp;"A quality monitoring audit has been completed for "&amp;$C1448&amp;"."&amp;CHAR(10)&amp;CHAR(10)&amp;"QUALITY AUDIT DETAILS"&amp;CHAR(10)&amp;"Agent Name: "&amp;$C1448&amp;" (EID "&amp;$D1448&amp;")"&amp;CHAR(10)&amp;"Audit Date: "&amp;TEXT($B1448,"yyyy-mm-dd")&amp;CHAR(10)&amp;"Team Leader: "&amp;$F1448&amp;CHAR(10)&amp;"Case Number: "&amp;$M1448&amp;CHAR(10)&amp;"Transaction ID: "&amp;$N1448&amp;CHAR(10)&amp;"Channel / LOB: "&amp;$K1448&amp;" / "&amp;$L1448&amp;CHAR(10)&amp;"Evaluator: "&amp;$S1448&amp;CHAR(10)&amp;CHAR(10)&amp;"INVALID QUALITY AUDIT DETAILS"&amp;CHAR(10)&amp;"Validation: Invalid"&amp;CHAR(10)&amp;"Invalid Reason: "&amp;$P1448&amp;CHAR(10)&amp;"Expected Resolution Code: "&amp;$Q1448&amp;CHAR(10)&amp;"Remarks: "&amp;LEFT($R1448,600)&amp;CHAR(10)&amp;CHAR(10)&amp;"This is an automated notification from HP Mainstream EQMS."),"✉ Open Email Draft"),"")</f>
        <v/>
      </c>
    </row>
    <row r="1449">
      <c r="A1449" s="25">
        <f>IF($C1449="","","AUD-2026-"&amp;TEXT(ROW()-1,"000000"))</f>
        <v/>
      </c>
      <c r="B1449" s="26" t="n"/>
      <c r="C1449" s="27" t="n"/>
      <c r="D1449" s="25">
        <f>IF($C1449="","",IFERROR(IF(INDEX(Roster!$A:$A,MATCH($C1449,Roster!$B:$B,0))="","",INDEX(Roster!$A:$A,MATCH($C1449,Roster!$B:$B,0))&amp;""),"—"))</f>
        <v/>
      </c>
      <c r="E1449" s="25">
        <f>IF($C1449="","",IFERROR(IF(INDEX(Roster!$C:$C,MATCH($C1449,Roster!$B:$B,0))="","",INDEX(Roster!$C:$C,MATCH($C1449,Roster!$B:$B,0))&amp;""),"—"))</f>
        <v/>
      </c>
      <c r="F1449" s="25">
        <f>IF($C1449="","",IFERROR(IF(INDEX(Roster!$D:$D,MATCH($C1449,Roster!$B:$B,0))="","",INDEX(Roster!$D:$D,MATCH($C1449,Roster!$B:$B,0))&amp;""),"—"))</f>
        <v/>
      </c>
      <c r="G1449" s="25">
        <f>IF($C1449="","",IFERROR(IF(INDEX(Roster!$E:$E,MATCH($C1449,Roster!$B:$B,0))="","",INDEX(Roster!$E:$E,MATCH($C1449,Roster!$B:$B,0))&amp;""),"—"))</f>
        <v/>
      </c>
      <c r="H1449" s="25">
        <f>IF($C1449="","",IFERROR(IF(INDEX(Roster!$F:$F,MATCH($C1449,Roster!$B:$B,0))="","",INDEX(Roster!$F:$F,MATCH($C1449,Roster!$B:$B,0))&amp;""),"—"))</f>
        <v/>
      </c>
      <c r="I1449" s="25">
        <f>IF($C1449="","",IFERROR(IF(INDEX(Roster!$G:$G,MATCH($C1449,Roster!$B:$B,0))="","",INDEX(Roster!$G:$G,MATCH($C1449,Roster!$B:$B,0))&amp;""),"—"))</f>
        <v/>
      </c>
      <c r="J1449" s="25">
        <f>IF($C1449="","",IFERROR(IF(INDEX(Roster!$I:$I,MATCH($C1449,Roster!$B:$B,0))="","",INDEX(Roster!$I:$I,MATCH($C1449,Roster!$B:$B,0))&amp;""),"—"))</f>
        <v/>
      </c>
      <c r="K1449">
        <f>IF($C1449="","",IFERROR(IF(INDEX(Roster!$J:$J,MATCH($C1449,Roster!$B:$B,0))="","",INDEX(Roster!$J:$J,MATCH($C1449,Roster!$B:$B,0))&amp;""),"—"))</f>
        <v/>
      </c>
      <c r="L1449">
        <f>IF($C1449="","",IFERROR(IF(INDEX(Roster!$K:$K,MATCH($C1449,Roster!$B:$B,0))="","",INDEX(Roster!$K:$K,MATCH($C1449,Roster!$B:$B,0))&amp;""),"—"))</f>
        <v/>
      </c>
      <c r="M1449" s="27" t="n"/>
      <c r="N1449" s="27" t="n"/>
      <c r="O1449" s="25">
        <f>IF($C1449="","",IF($P1449="","—",IF($P1449="Valid (Pass)","Valid","Invalid")))</f>
        <v/>
      </c>
      <c r="P1449" s="27" t="n"/>
      <c r="Q1449" s="27" t="n"/>
      <c r="R1449" s="27" t="n"/>
      <c r="S1449" s="27" t="n"/>
      <c r="T1449" s="25">
        <f>IF($C1449="","",IF(OR(ISNUMBER(SEARCH("quick case",$P1449)),ISNUMBER(SEARCH("quick case",$Q1449))),"Yes","No"))</f>
        <v/>
      </c>
      <c r="U1449" s="25">
        <f>IF($O1449="Invalid",HYPERLINK("mailto:"&amp;$G1449&amp;";"&amp;$I1449&amp;"?cc="&amp;Lists!$E$2&amp;"&amp;subject="&amp;_xlfn.ENCODEURL("[INVALID] Quality audit monitoring completed for "&amp;UPPER($C1449))&amp;"&amp;body="&amp;_xlfn.ENCODEURL("Hi "&amp;$F1449&amp;","&amp;CHAR(10)&amp;"Good day!"&amp;CHAR(10)&amp;CHAR(10)&amp;"A quality monitoring audit has been completed for "&amp;$C1449&amp;"."&amp;CHAR(10)&amp;CHAR(10)&amp;"QUALITY AUDIT DETAILS"&amp;CHAR(10)&amp;"Agent Name: "&amp;$C1449&amp;" (EID "&amp;$D1449&amp;")"&amp;CHAR(10)&amp;"Audit Date: "&amp;TEXT($B1449,"yyyy-mm-dd")&amp;CHAR(10)&amp;"Team Leader: "&amp;$F1449&amp;CHAR(10)&amp;"Case Number: "&amp;$M1449&amp;CHAR(10)&amp;"Transaction ID: "&amp;$N1449&amp;CHAR(10)&amp;"Channel / LOB: "&amp;$K1449&amp;" / "&amp;$L1449&amp;CHAR(10)&amp;"Evaluator: "&amp;$S1449&amp;CHAR(10)&amp;CHAR(10)&amp;"INVALID QUALITY AUDIT DETAILS"&amp;CHAR(10)&amp;"Validation: Invalid"&amp;CHAR(10)&amp;"Invalid Reason: "&amp;$P1449&amp;CHAR(10)&amp;"Expected Resolution Code: "&amp;$Q1449&amp;CHAR(10)&amp;"Remarks: "&amp;LEFT($R1449,600)&amp;CHAR(10)&amp;CHAR(10)&amp;"This is an automated notification from HP Mainstream EQMS."),"✉ Open Email Draft"),"")</f>
        <v/>
      </c>
    </row>
    <row r="1450">
      <c r="A1450" s="25">
        <f>IF($C1450="","","AUD-2026-"&amp;TEXT(ROW()-1,"000000"))</f>
        <v/>
      </c>
      <c r="B1450" s="26" t="n"/>
      <c r="C1450" s="27" t="n"/>
      <c r="D1450" s="25">
        <f>IF($C1450="","",IFERROR(IF(INDEX(Roster!$A:$A,MATCH($C1450,Roster!$B:$B,0))="","",INDEX(Roster!$A:$A,MATCH($C1450,Roster!$B:$B,0))&amp;""),"—"))</f>
        <v/>
      </c>
      <c r="E1450" s="25">
        <f>IF($C1450="","",IFERROR(IF(INDEX(Roster!$C:$C,MATCH($C1450,Roster!$B:$B,0))="","",INDEX(Roster!$C:$C,MATCH($C1450,Roster!$B:$B,0))&amp;""),"—"))</f>
        <v/>
      </c>
      <c r="F1450" s="25">
        <f>IF($C1450="","",IFERROR(IF(INDEX(Roster!$D:$D,MATCH($C1450,Roster!$B:$B,0))="","",INDEX(Roster!$D:$D,MATCH($C1450,Roster!$B:$B,0))&amp;""),"—"))</f>
        <v/>
      </c>
      <c r="G1450" s="25">
        <f>IF($C1450="","",IFERROR(IF(INDEX(Roster!$E:$E,MATCH($C1450,Roster!$B:$B,0))="","",INDEX(Roster!$E:$E,MATCH($C1450,Roster!$B:$B,0))&amp;""),"—"))</f>
        <v/>
      </c>
      <c r="H1450" s="25">
        <f>IF($C1450="","",IFERROR(IF(INDEX(Roster!$F:$F,MATCH($C1450,Roster!$B:$B,0))="","",INDEX(Roster!$F:$F,MATCH($C1450,Roster!$B:$B,0))&amp;""),"—"))</f>
        <v/>
      </c>
      <c r="I1450" s="25">
        <f>IF($C1450="","",IFERROR(IF(INDEX(Roster!$G:$G,MATCH($C1450,Roster!$B:$B,0))="","",INDEX(Roster!$G:$G,MATCH($C1450,Roster!$B:$B,0))&amp;""),"—"))</f>
        <v/>
      </c>
      <c r="J1450" s="25">
        <f>IF($C1450="","",IFERROR(IF(INDEX(Roster!$I:$I,MATCH($C1450,Roster!$B:$B,0))="","",INDEX(Roster!$I:$I,MATCH($C1450,Roster!$B:$B,0))&amp;""),"—"))</f>
        <v/>
      </c>
      <c r="K1450">
        <f>IF($C1450="","",IFERROR(IF(INDEX(Roster!$J:$J,MATCH($C1450,Roster!$B:$B,0))="","",INDEX(Roster!$J:$J,MATCH($C1450,Roster!$B:$B,0))&amp;""),"—"))</f>
        <v/>
      </c>
      <c r="L1450">
        <f>IF($C1450="","",IFERROR(IF(INDEX(Roster!$K:$K,MATCH($C1450,Roster!$B:$B,0))="","",INDEX(Roster!$K:$K,MATCH($C1450,Roster!$B:$B,0))&amp;""),"—"))</f>
        <v/>
      </c>
      <c r="M1450" s="27" t="n"/>
      <c r="N1450" s="27" t="n"/>
      <c r="O1450" s="25">
        <f>IF($C1450="","",IF($P1450="","—",IF($P1450="Valid (Pass)","Valid","Invalid")))</f>
        <v/>
      </c>
      <c r="P1450" s="27" t="n"/>
      <c r="Q1450" s="27" t="n"/>
      <c r="R1450" s="27" t="n"/>
      <c r="S1450" s="27" t="n"/>
      <c r="T1450" s="25">
        <f>IF($C1450="","",IF(OR(ISNUMBER(SEARCH("quick case",$P1450)),ISNUMBER(SEARCH("quick case",$Q1450))),"Yes","No"))</f>
        <v/>
      </c>
      <c r="U1450" s="25">
        <f>IF($O1450="Invalid",HYPERLINK("mailto:"&amp;$G1450&amp;";"&amp;$I1450&amp;"?cc="&amp;Lists!$E$2&amp;"&amp;subject="&amp;_xlfn.ENCODEURL("[INVALID] Quality audit monitoring completed for "&amp;UPPER($C1450))&amp;"&amp;body="&amp;_xlfn.ENCODEURL("Hi "&amp;$F1450&amp;","&amp;CHAR(10)&amp;"Good day!"&amp;CHAR(10)&amp;CHAR(10)&amp;"A quality monitoring audit has been completed for "&amp;$C1450&amp;"."&amp;CHAR(10)&amp;CHAR(10)&amp;"QUALITY AUDIT DETAILS"&amp;CHAR(10)&amp;"Agent Name: "&amp;$C1450&amp;" (EID "&amp;$D1450&amp;")"&amp;CHAR(10)&amp;"Audit Date: "&amp;TEXT($B1450,"yyyy-mm-dd")&amp;CHAR(10)&amp;"Team Leader: "&amp;$F1450&amp;CHAR(10)&amp;"Case Number: "&amp;$M1450&amp;CHAR(10)&amp;"Transaction ID: "&amp;$N1450&amp;CHAR(10)&amp;"Channel / LOB: "&amp;$K1450&amp;" / "&amp;$L1450&amp;CHAR(10)&amp;"Evaluator: "&amp;$S1450&amp;CHAR(10)&amp;CHAR(10)&amp;"INVALID QUALITY AUDIT DETAILS"&amp;CHAR(10)&amp;"Validation: Invalid"&amp;CHAR(10)&amp;"Invalid Reason: "&amp;$P1450&amp;CHAR(10)&amp;"Expected Resolution Code: "&amp;$Q1450&amp;CHAR(10)&amp;"Remarks: "&amp;LEFT($R1450,600)&amp;CHAR(10)&amp;CHAR(10)&amp;"This is an automated notification from HP Mainstream EQMS."),"✉ Open Email Draft"),"")</f>
        <v/>
      </c>
    </row>
    <row r="1451">
      <c r="A1451" s="25">
        <f>IF($C1451="","","AUD-2026-"&amp;TEXT(ROW()-1,"000000"))</f>
        <v/>
      </c>
      <c r="B1451" s="26" t="n"/>
      <c r="C1451" s="27" t="n"/>
      <c r="D1451" s="25">
        <f>IF($C1451="","",IFERROR(IF(INDEX(Roster!$A:$A,MATCH($C1451,Roster!$B:$B,0))="","",INDEX(Roster!$A:$A,MATCH($C1451,Roster!$B:$B,0))&amp;""),"—"))</f>
        <v/>
      </c>
      <c r="E1451" s="25">
        <f>IF($C1451="","",IFERROR(IF(INDEX(Roster!$C:$C,MATCH($C1451,Roster!$B:$B,0))="","",INDEX(Roster!$C:$C,MATCH($C1451,Roster!$B:$B,0))&amp;""),"—"))</f>
        <v/>
      </c>
      <c r="F1451" s="25">
        <f>IF($C1451="","",IFERROR(IF(INDEX(Roster!$D:$D,MATCH($C1451,Roster!$B:$B,0))="","",INDEX(Roster!$D:$D,MATCH($C1451,Roster!$B:$B,0))&amp;""),"—"))</f>
        <v/>
      </c>
      <c r="G1451" s="25">
        <f>IF($C1451="","",IFERROR(IF(INDEX(Roster!$E:$E,MATCH($C1451,Roster!$B:$B,0))="","",INDEX(Roster!$E:$E,MATCH($C1451,Roster!$B:$B,0))&amp;""),"—"))</f>
        <v/>
      </c>
      <c r="H1451" s="25">
        <f>IF($C1451="","",IFERROR(IF(INDEX(Roster!$F:$F,MATCH($C1451,Roster!$B:$B,0))="","",INDEX(Roster!$F:$F,MATCH($C1451,Roster!$B:$B,0))&amp;""),"—"))</f>
        <v/>
      </c>
      <c r="I1451" s="25">
        <f>IF($C1451="","",IFERROR(IF(INDEX(Roster!$G:$G,MATCH($C1451,Roster!$B:$B,0))="","",INDEX(Roster!$G:$G,MATCH($C1451,Roster!$B:$B,0))&amp;""),"—"))</f>
        <v/>
      </c>
      <c r="J1451" s="25">
        <f>IF($C1451="","",IFERROR(IF(INDEX(Roster!$I:$I,MATCH($C1451,Roster!$B:$B,0))="","",INDEX(Roster!$I:$I,MATCH($C1451,Roster!$B:$B,0))&amp;""),"—"))</f>
        <v/>
      </c>
      <c r="K1451">
        <f>IF($C1451="","",IFERROR(IF(INDEX(Roster!$J:$J,MATCH($C1451,Roster!$B:$B,0))="","",INDEX(Roster!$J:$J,MATCH($C1451,Roster!$B:$B,0))&amp;""),"—"))</f>
        <v/>
      </c>
      <c r="L1451">
        <f>IF($C1451="","",IFERROR(IF(INDEX(Roster!$K:$K,MATCH($C1451,Roster!$B:$B,0))="","",INDEX(Roster!$K:$K,MATCH($C1451,Roster!$B:$B,0))&amp;""),"—"))</f>
        <v/>
      </c>
      <c r="M1451" s="27" t="n"/>
      <c r="N1451" s="27" t="n"/>
      <c r="O1451" s="25">
        <f>IF($C1451="","",IF($P1451="","—",IF($P1451="Valid (Pass)","Valid","Invalid")))</f>
        <v/>
      </c>
      <c r="P1451" s="27" t="n"/>
      <c r="Q1451" s="27" t="n"/>
      <c r="R1451" s="27" t="n"/>
      <c r="S1451" s="27" t="n"/>
      <c r="T1451" s="25">
        <f>IF($C1451="","",IF(OR(ISNUMBER(SEARCH("quick case",$P1451)),ISNUMBER(SEARCH("quick case",$Q1451))),"Yes","No"))</f>
        <v/>
      </c>
      <c r="U1451" s="25">
        <f>IF($O1451="Invalid",HYPERLINK("mailto:"&amp;$G1451&amp;";"&amp;$I1451&amp;"?cc="&amp;Lists!$E$2&amp;"&amp;subject="&amp;_xlfn.ENCODEURL("[INVALID] Quality audit monitoring completed for "&amp;UPPER($C1451))&amp;"&amp;body="&amp;_xlfn.ENCODEURL("Hi "&amp;$F1451&amp;","&amp;CHAR(10)&amp;"Good day!"&amp;CHAR(10)&amp;CHAR(10)&amp;"A quality monitoring audit has been completed for "&amp;$C1451&amp;"."&amp;CHAR(10)&amp;CHAR(10)&amp;"QUALITY AUDIT DETAILS"&amp;CHAR(10)&amp;"Agent Name: "&amp;$C1451&amp;" (EID "&amp;$D1451&amp;")"&amp;CHAR(10)&amp;"Audit Date: "&amp;TEXT($B1451,"yyyy-mm-dd")&amp;CHAR(10)&amp;"Team Leader: "&amp;$F1451&amp;CHAR(10)&amp;"Case Number: "&amp;$M1451&amp;CHAR(10)&amp;"Transaction ID: "&amp;$N1451&amp;CHAR(10)&amp;"Channel / LOB: "&amp;$K1451&amp;" / "&amp;$L1451&amp;CHAR(10)&amp;"Evaluator: "&amp;$S1451&amp;CHAR(10)&amp;CHAR(10)&amp;"INVALID QUALITY AUDIT DETAILS"&amp;CHAR(10)&amp;"Validation: Invalid"&amp;CHAR(10)&amp;"Invalid Reason: "&amp;$P1451&amp;CHAR(10)&amp;"Expected Resolution Code: "&amp;$Q1451&amp;CHAR(10)&amp;"Remarks: "&amp;LEFT($R1451,600)&amp;CHAR(10)&amp;CHAR(10)&amp;"This is an automated notification from HP Mainstream EQMS."),"✉ Open Email Draft"),"")</f>
        <v/>
      </c>
    </row>
    <row r="1452">
      <c r="A1452" s="25">
        <f>IF($C1452="","","AUD-2026-"&amp;TEXT(ROW()-1,"000000"))</f>
        <v/>
      </c>
      <c r="B1452" s="26" t="n"/>
      <c r="C1452" s="27" t="n"/>
      <c r="D1452" s="25">
        <f>IF($C1452="","",IFERROR(IF(INDEX(Roster!$A:$A,MATCH($C1452,Roster!$B:$B,0))="","",INDEX(Roster!$A:$A,MATCH($C1452,Roster!$B:$B,0))&amp;""),"—"))</f>
        <v/>
      </c>
      <c r="E1452" s="25">
        <f>IF($C1452="","",IFERROR(IF(INDEX(Roster!$C:$C,MATCH($C1452,Roster!$B:$B,0))="","",INDEX(Roster!$C:$C,MATCH($C1452,Roster!$B:$B,0))&amp;""),"—"))</f>
        <v/>
      </c>
      <c r="F1452" s="25">
        <f>IF($C1452="","",IFERROR(IF(INDEX(Roster!$D:$D,MATCH($C1452,Roster!$B:$B,0))="","",INDEX(Roster!$D:$D,MATCH($C1452,Roster!$B:$B,0))&amp;""),"—"))</f>
        <v/>
      </c>
      <c r="G1452" s="25">
        <f>IF($C1452="","",IFERROR(IF(INDEX(Roster!$E:$E,MATCH($C1452,Roster!$B:$B,0))="","",INDEX(Roster!$E:$E,MATCH($C1452,Roster!$B:$B,0))&amp;""),"—"))</f>
        <v/>
      </c>
      <c r="H1452" s="25">
        <f>IF($C1452="","",IFERROR(IF(INDEX(Roster!$F:$F,MATCH($C1452,Roster!$B:$B,0))="","",INDEX(Roster!$F:$F,MATCH($C1452,Roster!$B:$B,0))&amp;""),"—"))</f>
        <v/>
      </c>
      <c r="I1452" s="25">
        <f>IF($C1452="","",IFERROR(IF(INDEX(Roster!$G:$G,MATCH($C1452,Roster!$B:$B,0))="","",INDEX(Roster!$G:$G,MATCH($C1452,Roster!$B:$B,0))&amp;""),"—"))</f>
        <v/>
      </c>
      <c r="J1452" s="25">
        <f>IF($C1452="","",IFERROR(IF(INDEX(Roster!$I:$I,MATCH($C1452,Roster!$B:$B,0))="","",INDEX(Roster!$I:$I,MATCH($C1452,Roster!$B:$B,0))&amp;""),"—"))</f>
        <v/>
      </c>
      <c r="K1452">
        <f>IF($C1452="","",IFERROR(IF(INDEX(Roster!$J:$J,MATCH($C1452,Roster!$B:$B,0))="","",INDEX(Roster!$J:$J,MATCH($C1452,Roster!$B:$B,0))&amp;""),"—"))</f>
        <v/>
      </c>
      <c r="L1452">
        <f>IF($C1452="","",IFERROR(IF(INDEX(Roster!$K:$K,MATCH($C1452,Roster!$B:$B,0))="","",INDEX(Roster!$K:$K,MATCH($C1452,Roster!$B:$B,0))&amp;""),"—"))</f>
        <v/>
      </c>
      <c r="M1452" s="27" t="n"/>
      <c r="N1452" s="27" t="n"/>
      <c r="O1452" s="25">
        <f>IF($C1452="","",IF($P1452="","—",IF($P1452="Valid (Pass)","Valid","Invalid")))</f>
        <v/>
      </c>
      <c r="P1452" s="27" t="n"/>
      <c r="Q1452" s="27" t="n"/>
      <c r="R1452" s="27" t="n"/>
      <c r="S1452" s="27" t="n"/>
      <c r="T1452" s="25">
        <f>IF($C1452="","",IF(OR(ISNUMBER(SEARCH("quick case",$P1452)),ISNUMBER(SEARCH("quick case",$Q1452))),"Yes","No"))</f>
        <v/>
      </c>
      <c r="U1452" s="25">
        <f>IF($O1452="Invalid",HYPERLINK("mailto:"&amp;$G1452&amp;";"&amp;$I1452&amp;"?cc="&amp;Lists!$E$2&amp;"&amp;subject="&amp;_xlfn.ENCODEURL("[INVALID] Quality audit monitoring completed for "&amp;UPPER($C1452))&amp;"&amp;body="&amp;_xlfn.ENCODEURL("Hi "&amp;$F1452&amp;","&amp;CHAR(10)&amp;"Good day!"&amp;CHAR(10)&amp;CHAR(10)&amp;"A quality monitoring audit has been completed for "&amp;$C1452&amp;"."&amp;CHAR(10)&amp;CHAR(10)&amp;"QUALITY AUDIT DETAILS"&amp;CHAR(10)&amp;"Agent Name: "&amp;$C1452&amp;" (EID "&amp;$D1452&amp;")"&amp;CHAR(10)&amp;"Audit Date: "&amp;TEXT($B1452,"yyyy-mm-dd")&amp;CHAR(10)&amp;"Team Leader: "&amp;$F1452&amp;CHAR(10)&amp;"Case Number: "&amp;$M1452&amp;CHAR(10)&amp;"Transaction ID: "&amp;$N1452&amp;CHAR(10)&amp;"Channel / LOB: "&amp;$K1452&amp;" / "&amp;$L1452&amp;CHAR(10)&amp;"Evaluator: "&amp;$S1452&amp;CHAR(10)&amp;CHAR(10)&amp;"INVALID QUALITY AUDIT DETAILS"&amp;CHAR(10)&amp;"Validation: Invalid"&amp;CHAR(10)&amp;"Invalid Reason: "&amp;$P1452&amp;CHAR(10)&amp;"Expected Resolution Code: "&amp;$Q1452&amp;CHAR(10)&amp;"Remarks: "&amp;LEFT($R1452,600)&amp;CHAR(10)&amp;CHAR(10)&amp;"This is an automated notification from HP Mainstream EQMS."),"✉ Open Email Draft"),"")</f>
        <v/>
      </c>
    </row>
    <row r="1453">
      <c r="A1453" s="25">
        <f>IF($C1453="","","AUD-2026-"&amp;TEXT(ROW()-1,"000000"))</f>
        <v/>
      </c>
      <c r="B1453" s="26" t="n"/>
      <c r="C1453" s="27" t="n"/>
      <c r="D1453" s="25">
        <f>IF($C1453="","",IFERROR(IF(INDEX(Roster!$A:$A,MATCH($C1453,Roster!$B:$B,0))="","",INDEX(Roster!$A:$A,MATCH($C1453,Roster!$B:$B,0))&amp;""),"—"))</f>
        <v/>
      </c>
      <c r="E1453" s="25">
        <f>IF($C1453="","",IFERROR(IF(INDEX(Roster!$C:$C,MATCH($C1453,Roster!$B:$B,0))="","",INDEX(Roster!$C:$C,MATCH($C1453,Roster!$B:$B,0))&amp;""),"—"))</f>
        <v/>
      </c>
      <c r="F1453" s="25">
        <f>IF($C1453="","",IFERROR(IF(INDEX(Roster!$D:$D,MATCH($C1453,Roster!$B:$B,0))="","",INDEX(Roster!$D:$D,MATCH($C1453,Roster!$B:$B,0))&amp;""),"—"))</f>
        <v/>
      </c>
      <c r="G1453" s="25">
        <f>IF($C1453="","",IFERROR(IF(INDEX(Roster!$E:$E,MATCH($C1453,Roster!$B:$B,0))="","",INDEX(Roster!$E:$E,MATCH($C1453,Roster!$B:$B,0))&amp;""),"—"))</f>
        <v/>
      </c>
      <c r="H1453" s="25">
        <f>IF($C1453="","",IFERROR(IF(INDEX(Roster!$F:$F,MATCH($C1453,Roster!$B:$B,0))="","",INDEX(Roster!$F:$F,MATCH($C1453,Roster!$B:$B,0))&amp;""),"—"))</f>
        <v/>
      </c>
      <c r="I1453" s="25">
        <f>IF($C1453="","",IFERROR(IF(INDEX(Roster!$G:$G,MATCH($C1453,Roster!$B:$B,0))="","",INDEX(Roster!$G:$G,MATCH($C1453,Roster!$B:$B,0))&amp;""),"—"))</f>
        <v/>
      </c>
      <c r="J1453" s="25">
        <f>IF($C1453="","",IFERROR(IF(INDEX(Roster!$I:$I,MATCH($C1453,Roster!$B:$B,0))="","",INDEX(Roster!$I:$I,MATCH($C1453,Roster!$B:$B,0))&amp;""),"—"))</f>
        <v/>
      </c>
      <c r="K1453">
        <f>IF($C1453="","",IFERROR(IF(INDEX(Roster!$J:$J,MATCH($C1453,Roster!$B:$B,0))="","",INDEX(Roster!$J:$J,MATCH($C1453,Roster!$B:$B,0))&amp;""),"—"))</f>
        <v/>
      </c>
      <c r="L1453">
        <f>IF($C1453="","",IFERROR(IF(INDEX(Roster!$K:$K,MATCH($C1453,Roster!$B:$B,0))="","",INDEX(Roster!$K:$K,MATCH($C1453,Roster!$B:$B,0))&amp;""),"—"))</f>
        <v/>
      </c>
      <c r="M1453" s="27" t="n"/>
      <c r="N1453" s="27" t="n"/>
      <c r="O1453" s="25">
        <f>IF($C1453="","",IF($P1453="","—",IF($P1453="Valid (Pass)","Valid","Invalid")))</f>
        <v/>
      </c>
      <c r="P1453" s="27" t="n"/>
      <c r="Q1453" s="27" t="n"/>
      <c r="R1453" s="27" t="n"/>
      <c r="S1453" s="27" t="n"/>
      <c r="T1453" s="25">
        <f>IF($C1453="","",IF(OR(ISNUMBER(SEARCH("quick case",$P1453)),ISNUMBER(SEARCH("quick case",$Q1453))),"Yes","No"))</f>
        <v/>
      </c>
      <c r="U1453" s="25">
        <f>IF($O1453="Invalid",HYPERLINK("mailto:"&amp;$G1453&amp;";"&amp;$I1453&amp;"?cc="&amp;Lists!$E$2&amp;"&amp;subject="&amp;_xlfn.ENCODEURL("[INVALID] Quality audit monitoring completed for "&amp;UPPER($C1453))&amp;"&amp;body="&amp;_xlfn.ENCODEURL("Hi "&amp;$F1453&amp;","&amp;CHAR(10)&amp;"Good day!"&amp;CHAR(10)&amp;CHAR(10)&amp;"A quality monitoring audit has been completed for "&amp;$C1453&amp;"."&amp;CHAR(10)&amp;CHAR(10)&amp;"QUALITY AUDIT DETAILS"&amp;CHAR(10)&amp;"Agent Name: "&amp;$C1453&amp;" (EID "&amp;$D1453&amp;")"&amp;CHAR(10)&amp;"Audit Date: "&amp;TEXT($B1453,"yyyy-mm-dd")&amp;CHAR(10)&amp;"Team Leader: "&amp;$F1453&amp;CHAR(10)&amp;"Case Number: "&amp;$M1453&amp;CHAR(10)&amp;"Transaction ID: "&amp;$N1453&amp;CHAR(10)&amp;"Channel / LOB: "&amp;$K1453&amp;" / "&amp;$L1453&amp;CHAR(10)&amp;"Evaluator: "&amp;$S1453&amp;CHAR(10)&amp;CHAR(10)&amp;"INVALID QUALITY AUDIT DETAILS"&amp;CHAR(10)&amp;"Validation: Invalid"&amp;CHAR(10)&amp;"Invalid Reason: "&amp;$P1453&amp;CHAR(10)&amp;"Expected Resolution Code: "&amp;$Q1453&amp;CHAR(10)&amp;"Remarks: "&amp;LEFT($R1453,600)&amp;CHAR(10)&amp;CHAR(10)&amp;"This is an automated notification from HP Mainstream EQMS."),"✉ Open Email Draft"),"")</f>
        <v/>
      </c>
    </row>
    <row r="1454">
      <c r="A1454" s="25">
        <f>IF($C1454="","","AUD-2026-"&amp;TEXT(ROW()-1,"000000"))</f>
        <v/>
      </c>
      <c r="B1454" s="26" t="n"/>
      <c r="C1454" s="27" t="n"/>
      <c r="D1454" s="25">
        <f>IF($C1454="","",IFERROR(IF(INDEX(Roster!$A:$A,MATCH($C1454,Roster!$B:$B,0))="","",INDEX(Roster!$A:$A,MATCH($C1454,Roster!$B:$B,0))&amp;""),"—"))</f>
        <v/>
      </c>
      <c r="E1454" s="25">
        <f>IF($C1454="","",IFERROR(IF(INDEX(Roster!$C:$C,MATCH($C1454,Roster!$B:$B,0))="","",INDEX(Roster!$C:$C,MATCH($C1454,Roster!$B:$B,0))&amp;""),"—"))</f>
        <v/>
      </c>
      <c r="F1454" s="25">
        <f>IF($C1454="","",IFERROR(IF(INDEX(Roster!$D:$D,MATCH($C1454,Roster!$B:$B,0))="","",INDEX(Roster!$D:$D,MATCH($C1454,Roster!$B:$B,0))&amp;""),"—"))</f>
        <v/>
      </c>
      <c r="G1454" s="25">
        <f>IF($C1454="","",IFERROR(IF(INDEX(Roster!$E:$E,MATCH($C1454,Roster!$B:$B,0))="","",INDEX(Roster!$E:$E,MATCH($C1454,Roster!$B:$B,0))&amp;""),"—"))</f>
        <v/>
      </c>
      <c r="H1454" s="25">
        <f>IF($C1454="","",IFERROR(IF(INDEX(Roster!$F:$F,MATCH($C1454,Roster!$B:$B,0))="","",INDEX(Roster!$F:$F,MATCH($C1454,Roster!$B:$B,0))&amp;""),"—"))</f>
        <v/>
      </c>
      <c r="I1454" s="25">
        <f>IF($C1454="","",IFERROR(IF(INDEX(Roster!$G:$G,MATCH($C1454,Roster!$B:$B,0))="","",INDEX(Roster!$G:$G,MATCH($C1454,Roster!$B:$B,0))&amp;""),"—"))</f>
        <v/>
      </c>
      <c r="J1454" s="25">
        <f>IF($C1454="","",IFERROR(IF(INDEX(Roster!$I:$I,MATCH($C1454,Roster!$B:$B,0))="","",INDEX(Roster!$I:$I,MATCH($C1454,Roster!$B:$B,0))&amp;""),"—"))</f>
        <v/>
      </c>
      <c r="K1454">
        <f>IF($C1454="","",IFERROR(IF(INDEX(Roster!$J:$J,MATCH($C1454,Roster!$B:$B,0))="","",INDEX(Roster!$J:$J,MATCH($C1454,Roster!$B:$B,0))&amp;""),"—"))</f>
        <v/>
      </c>
      <c r="L1454">
        <f>IF($C1454="","",IFERROR(IF(INDEX(Roster!$K:$K,MATCH($C1454,Roster!$B:$B,0))="","",INDEX(Roster!$K:$K,MATCH($C1454,Roster!$B:$B,0))&amp;""),"—"))</f>
        <v/>
      </c>
      <c r="M1454" s="27" t="n"/>
      <c r="N1454" s="27" t="n"/>
      <c r="O1454" s="25">
        <f>IF($C1454="","",IF($P1454="","—",IF($P1454="Valid (Pass)","Valid","Invalid")))</f>
        <v/>
      </c>
      <c r="P1454" s="27" t="n"/>
      <c r="Q1454" s="27" t="n"/>
      <c r="R1454" s="27" t="n"/>
      <c r="S1454" s="27" t="n"/>
      <c r="T1454" s="25">
        <f>IF($C1454="","",IF(OR(ISNUMBER(SEARCH("quick case",$P1454)),ISNUMBER(SEARCH("quick case",$Q1454))),"Yes","No"))</f>
        <v/>
      </c>
      <c r="U1454" s="25">
        <f>IF($O1454="Invalid",HYPERLINK("mailto:"&amp;$G1454&amp;";"&amp;$I1454&amp;"?cc="&amp;Lists!$E$2&amp;"&amp;subject="&amp;_xlfn.ENCODEURL("[INVALID] Quality audit monitoring completed for "&amp;UPPER($C1454))&amp;"&amp;body="&amp;_xlfn.ENCODEURL("Hi "&amp;$F1454&amp;","&amp;CHAR(10)&amp;"Good day!"&amp;CHAR(10)&amp;CHAR(10)&amp;"A quality monitoring audit has been completed for "&amp;$C1454&amp;"."&amp;CHAR(10)&amp;CHAR(10)&amp;"QUALITY AUDIT DETAILS"&amp;CHAR(10)&amp;"Agent Name: "&amp;$C1454&amp;" (EID "&amp;$D1454&amp;")"&amp;CHAR(10)&amp;"Audit Date: "&amp;TEXT($B1454,"yyyy-mm-dd")&amp;CHAR(10)&amp;"Team Leader: "&amp;$F1454&amp;CHAR(10)&amp;"Case Number: "&amp;$M1454&amp;CHAR(10)&amp;"Transaction ID: "&amp;$N1454&amp;CHAR(10)&amp;"Channel / LOB: "&amp;$K1454&amp;" / "&amp;$L1454&amp;CHAR(10)&amp;"Evaluator: "&amp;$S1454&amp;CHAR(10)&amp;CHAR(10)&amp;"INVALID QUALITY AUDIT DETAILS"&amp;CHAR(10)&amp;"Validation: Invalid"&amp;CHAR(10)&amp;"Invalid Reason: "&amp;$P1454&amp;CHAR(10)&amp;"Expected Resolution Code: "&amp;$Q1454&amp;CHAR(10)&amp;"Remarks: "&amp;LEFT($R1454,600)&amp;CHAR(10)&amp;CHAR(10)&amp;"This is an automated notification from HP Mainstream EQMS."),"✉ Open Email Draft"),"")</f>
        <v/>
      </c>
    </row>
    <row r="1455">
      <c r="A1455" s="25">
        <f>IF($C1455="","","AUD-2026-"&amp;TEXT(ROW()-1,"000000"))</f>
        <v/>
      </c>
      <c r="B1455" s="26" t="n"/>
      <c r="C1455" s="27" t="n"/>
      <c r="D1455" s="25">
        <f>IF($C1455="","",IFERROR(IF(INDEX(Roster!$A:$A,MATCH($C1455,Roster!$B:$B,0))="","",INDEX(Roster!$A:$A,MATCH($C1455,Roster!$B:$B,0))&amp;""),"—"))</f>
        <v/>
      </c>
      <c r="E1455" s="25">
        <f>IF($C1455="","",IFERROR(IF(INDEX(Roster!$C:$C,MATCH($C1455,Roster!$B:$B,0))="","",INDEX(Roster!$C:$C,MATCH($C1455,Roster!$B:$B,0))&amp;""),"—"))</f>
        <v/>
      </c>
      <c r="F1455" s="25">
        <f>IF($C1455="","",IFERROR(IF(INDEX(Roster!$D:$D,MATCH($C1455,Roster!$B:$B,0))="","",INDEX(Roster!$D:$D,MATCH($C1455,Roster!$B:$B,0))&amp;""),"—"))</f>
        <v/>
      </c>
      <c r="G1455" s="25">
        <f>IF($C1455="","",IFERROR(IF(INDEX(Roster!$E:$E,MATCH($C1455,Roster!$B:$B,0))="","",INDEX(Roster!$E:$E,MATCH($C1455,Roster!$B:$B,0))&amp;""),"—"))</f>
        <v/>
      </c>
      <c r="H1455" s="25">
        <f>IF($C1455="","",IFERROR(IF(INDEX(Roster!$F:$F,MATCH($C1455,Roster!$B:$B,0))="","",INDEX(Roster!$F:$F,MATCH($C1455,Roster!$B:$B,0))&amp;""),"—"))</f>
        <v/>
      </c>
      <c r="I1455" s="25">
        <f>IF($C1455="","",IFERROR(IF(INDEX(Roster!$G:$G,MATCH($C1455,Roster!$B:$B,0))="","",INDEX(Roster!$G:$G,MATCH($C1455,Roster!$B:$B,0))&amp;""),"—"))</f>
        <v/>
      </c>
      <c r="J1455" s="25">
        <f>IF($C1455="","",IFERROR(IF(INDEX(Roster!$I:$I,MATCH($C1455,Roster!$B:$B,0))="","",INDEX(Roster!$I:$I,MATCH($C1455,Roster!$B:$B,0))&amp;""),"—"))</f>
        <v/>
      </c>
      <c r="K1455">
        <f>IF($C1455="","",IFERROR(IF(INDEX(Roster!$J:$J,MATCH($C1455,Roster!$B:$B,0))="","",INDEX(Roster!$J:$J,MATCH($C1455,Roster!$B:$B,0))&amp;""),"—"))</f>
        <v/>
      </c>
      <c r="L1455">
        <f>IF($C1455="","",IFERROR(IF(INDEX(Roster!$K:$K,MATCH($C1455,Roster!$B:$B,0))="","",INDEX(Roster!$K:$K,MATCH($C1455,Roster!$B:$B,0))&amp;""),"—"))</f>
        <v/>
      </c>
      <c r="M1455" s="27" t="n"/>
      <c r="N1455" s="27" t="n"/>
      <c r="O1455" s="25">
        <f>IF($C1455="","",IF($P1455="","—",IF($P1455="Valid (Pass)","Valid","Invalid")))</f>
        <v/>
      </c>
      <c r="P1455" s="27" t="n"/>
      <c r="Q1455" s="27" t="n"/>
      <c r="R1455" s="27" t="n"/>
      <c r="S1455" s="27" t="n"/>
      <c r="T1455" s="25">
        <f>IF($C1455="","",IF(OR(ISNUMBER(SEARCH("quick case",$P1455)),ISNUMBER(SEARCH("quick case",$Q1455))),"Yes","No"))</f>
        <v/>
      </c>
      <c r="U1455" s="25">
        <f>IF($O1455="Invalid",HYPERLINK("mailto:"&amp;$G1455&amp;";"&amp;$I1455&amp;"?cc="&amp;Lists!$E$2&amp;"&amp;subject="&amp;_xlfn.ENCODEURL("[INVALID] Quality audit monitoring completed for "&amp;UPPER($C1455))&amp;"&amp;body="&amp;_xlfn.ENCODEURL("Hi "&amp;$F1455&amp;","&amp;CHAR(10)&amp;"Good day!"&amp;CHAR(10)&amp;CHAR(10)&amp;"A quality monitoring audit has been completed for "&amp;$C1455&amp;"."&amp;CHAR(10)&amp;CHAR(10)&amp;"QUALITY AUDIT DETAILS"&amp;CHAR(10)&amp;"Agent Name: "&amp;$C1455&amp;" (EID "&amp;$D1455&amp;")"&amp;CHAR(10)&amp;"Audit Date: "&amp;TEXT($B1455,"yyyy-mm-dd")&amp;CHAR(10)&amp;"Team Leader: "&amp;$F1455&amp;CHAR(10)&amp;"Case Number: "&amp;$M1455&amp;CHAR(10)&amp;"Transaction ID: "&amp;$N1455&amp;CHAR(10)&amp;"Channel / LOB: "&amp;$K1455&amp;" / "&amp;$L1455&amp;CHAR(10)&amp;"Evaluator: "&amp;$S1455&amp;CHAR(10)&amp;CHAR(10)&amp;"INVALID QUALITY AUDIT DETAILS"&amp;CHAR(10)&amp;"Validation: Invalid"&amp;CHAR(10)&amp;"Invalid Reason: "&amp;$P1455&amp;CHAR(10)&amp;"Expected Resolution Code: "&amp;$Q1455&amp;CHAR(10)&amp;"Remarks: "&amp;LEFT($R1455,600)&amp;CHAR(10)&amp;CHAR(10)&amp;"This is an automated notification from HP Mainstream EQMS."),"✉ Open Email Draft"),"")</f>
        <v/>
      </c>
    </row>
    <row r="1456">
      <c r="A1456" s="25">
        <f>IF($C1456="","","AUD-2026-"&amp;TEXT(ROW()-1,"000000"))</f>
        <v/>
      </c>
      <c r="B1456" s="26" t="n"/>
      <c r="C1456" s="27" t="n"/>
      <c r="D1456" s="25">
        <f>IF($C1456="","",IFERROR(IF(INDEX(Roster!$A:$A,MATCH($C1456,Roster!$B:$B,0))="","",INDEX(Roster!$A:$A,MATCH($C1456,Roster!$B:$B,0))&amp;""),"—"))</f>
        <v/>
      </c>
      <c r="E1456" s="25">
        <f>IF($C1456="","",IFERROR(IF(INDEX(Roster!$C:$C,MATCH($C1456,Roster!$B:$B,0))="","",INDEX(Roster!$C:$C,MATCH($C1456,Roster!$B:$B,0))&amp;""),"—"))</f>
        <v/>
      </c>
      <c r="F1456" s="25">
        <f>IF($C1456="","",IFERROR(IF(INDEX(Roster!$D:$D,MATCH($C1456,Roster!$B:$B,0))="","",INDEX(Roster!$D:$D,MATCH($C1456,Roster!$B:$B,0))&amp;""),"—"))</f>
        <v/>
      </c>
      <c r="G1456" s="25">
        <f>IF($C1456="","",IFERROR(IF(INDEX(Roster!$E:$E,MATCH($C1456,Roster!$B:$B,0))="","",INDEX(Roster!$E:$E,MATCH($C1456,Roster!$B:$B,0))&amp;""),"—"))</f>
        <v/>
      </c>
      <c r="H1456" s="25">
        <f>IF($C1456="","",IFERROR(IF(INDEX(Roster!$F:$F,MATCH($C1456,Roster!$B:$B,0))="","",INDEX(Roster!$F:$F,MATCH($C1456,Roster!$B:$B,0))&amp;""),"—"))</f>
        <v/>
      </c>
      <c r="I1456" s="25">
        <f>IF($C1456="","",IFERROR(IF(INDEX(Roster!$G:$G,MATCH($C1456,Roster!$B:$B,0))="","",INDEX(Roster!$G:$G,MATCH($C1456,Roster!$B:$B,0))&amp;""),"—"))</f>
        <v/>
      </c>
      <c r="J1456" s="25">
        <f>IF($C1456="","",IFERROR(IF(INDEX(Roster!$I:$I,MATCH($C1456,Roster!$B:$B,0))="","",INDEX(Roster!$I:$I,MATCH($C1456,Roster!$B:$B,0))&amp;""),"—"))</f>
        <v/>
      </c>
      <c r="K1456">
        <f>IF($C1456="","",IFERROR(IF(INDEX(Roster!$J:$J,MATCH($C1456,Roster!$B:$B,0))="","",INDEX(Roster!$J:$J,MATCH($C1456,Roster!$B:$B,0))&amp;""),"—"))</f>
        <v/>
      </c>
      <c r="L1456">
        <f>IF($C1456="","",IFERROR(IF(INDEX(Roster!$K:$K,MATCH($C1456,Roster!$B:$B,0))="","",INDEX(Roster!$K:$K,MATCH($C1456,Roster!$B:$B,0))&amp;""),"—"))</f>
        <v/>
      </c>
      <c r="M1456" s="27" t="n"/>
      <c r="N1456" s="27" t="n"/>
      <c r="O1456" s="25">
        <f>IF($C1456="","",IF($P1456="","—",IF($P1456="Valid (Pass)","Valid","Invalid")))</f>
        <v/>
      </c>
      <c r="P1456" s="27" t="n"/>
      <c r="Q1456" s="27" t="n"/>
      <c r="R1456" s="27" t="n"/>
      <c r="S1456" s="27" t="n"/>
      <c r="T1456" s="25">
        <f>IF($C1456="","",IF(OR(ISNUMBER(SEARCH("quick case",$P1456)),ISNUMBER(SEARCH("quick case",$Q1456))),"Yes","No"))</f>
        <v/>
      </c>
      <c r="U1456" s="25">
        <f>IF($O1456="Invalid",HYPERLINK("mailto:"&amp;$G1456&amp;";"&amp;$I1456&amp;"?cc="&amp;Lists!$E$2&amp;"&amp;subject="&amp;_xlfn.ENCODEURL("[INVALID] Quality audit monitoring completed for "&amp;UPPER($C1456))&amp;"&amp;body="&amp;_xlfn.ENCODEURL("Hi "&amp;$F1456&amp;","&amp;CHAR(10)&amp;"Good day!"&amp;CHAR(10)&amp;CHAR(10)&amp;"A quality monitoring audit has been completed for "&amp;$C1456&amp;"."&amp;CHAR(10)&amp;CHAR(10)&amp;"QUALITY AUDIT DETAILS"&amp;CHAR(10)&amp;"Agent Name: "&amp;$C1456&amp;" (EID "&amp;$D1456&amp;")"&amp;CHAR(10)&amp;"Audit Date: "&amp;TEXT($B1456,"yyyy-mm-dd")&amp;CHAR(10)&amp;"Team Leader: "&amp;$F1456&amp;CHAR(10)&amp;"Case Number: "&amp;$M1456&amp;CHAR(10)&amp;"Transaction ID: "&amp;$N1456&amp;CHAR(10)&amp;"Channel / LOB: "&amp;$K1456&amp;" / "&amp;$L1456&amp;CHAR(10)&amp;"Evaluator: "&amp;$S1456&amp;CHAR(10)&amp;CHAR(10)&amp;"INVALID QUALITY AUDIT DETAILS"&amp;CHAR(10)&amp;"Validation: Invalid"&amp;CHAR(10)&amp;"Invalid Reason: "&amp;$P1456&amp;CHAR(10)&amp;"Expected Resolution Code: "&amp;$Q1456&amp;CHAR(10)&amp;"Remarks: "&amp;LEFT($R1456,600)&amp;CHAR(10)&amp;CHAR(10)&amp;"This is an automated notification from HP Mainstream EQMS."),"✉ Open Email Draft"),"")</f>
        <v/>
      </c>
    </row>
    <row r="1457">
      <c r="A1457" s="25">
        <f>IF($C1457="","","AUD-2026-"&amp;TEXT(ROW()-1,"000000"))</f>
        <v/>
      </c>
      <c r="B1457" s="26" t="n"/>
      <c r="C1457" s="27" t="n"/>
      <c r="D1457" s="25">
        <f>IF($C1457="","",IFERROR(IF(INDEX(Roster!$A:$A,MATCH($C1457,Roster!$B:$B,0))="","",INDEX(Roster!$A:$A,MATCH($C1457,Roster!$B:$B,0))&amp;""),"—"))</f>
        <v/>
      </c>
      <c r="E1457" s="25">
        <f>IF($C1457="","",IFERROR(IF(INDEX(Roster!$C:$C,MATCH($C1457,Roster!$B:$B,0))="","",INDEX(Roster!$C:$C,MATCH($C1457,Roster!$B:$B,0))&amp;""),"—"))</f>
        <v/>
      </c>
      <c r="F1457" s="25">
        <f>IF($C1457="","",IFERROR(IF(INDEX(Roster!$D:$D,MATCH($C1457,Roster!$B:$B,0))="","",INDEX(Roster!$D:$D,MATCH($C1457,Roster!$B:$B,0))&amp;""),"—"))</f>
        <v/>
      </c>
      <c r="G1457" s="25">
        <f>IF($C1457="","",IFERROR(IF(INDEX(Roster!$E:$E,MATCH($C1457,Roster!$B:$B,0))="","",INDEX(Roster!$E:$E,MATCH($C1457,Roster!$B:$B,0))&amp;""),"—"))</f>
        <v/>
      </c>
      <c r="H1457" s="25">
        <f>IF($C1457="","",IFERROR(IF(INDEX(Roster!$F:$F,MATCH($C1457,Roster!$B:$B,0))="","",INDEX(Roster!$F:$F,MATCH($C1457,Roster!$B:$B,0))&amp;""),"—"))</f>
        <v/>
      </c>
      <c r="I1457" s="25">
        <f>IF($C1457="","",IFERROR(IF(INDEX(Roster!$G:$G,MATCH($C1457,Roster!$B:$B,0))="","",INDEX(Roster!$G:$G,MATCH($C1457,Roster!$B:$B,0))&amp;""),"—"))</f>
        <v/>
      </c>
      <c r="J1457" s="25">
        <f>IF($C1457="","",IFERROR(IF(INDEX(Roster!$I:$I,MATCH($C1457,Roster!$B:$B,0))="","",INDEX(Roster!$I:$I,MATCH($C1457,Roster!$B:$B,0))&amp;""),"—"))</f>
        <v/>
      </c>
      <c r="K1457">
        <f>IF($C1457="","",IFERROR(IF(INDEX(Roster!$J:$J,MATCH($C1457,Roster!$B:$B,0))="","",INDEX(Roster!$J:$J,MATCH($C1457,Roster!$B:$B,0))&amp;""),"—"))</f>
        <v/>
      </c>
      <c r="L1457">
        <f>IF($C1457="","",IFERROR(IF(INDEX(Roster!$K:$K,MATCH($C1457,Roster!$B:$B,0))="","",INDEX(Roster!$K:$K,MATCH($C1457,Roster!$B:$B,0))&amp;""),"—"))</f>
        <v/>
      </c>
      <c r="M1457" s="27" t="n"/>
      <c r="N1457" s="27" t="n"/>
      <c r="O1457" s="25">
        <f>IF($C1457="","",IF($P1457="","—",IF($P1457="Valid (Pass)","Valid","Invalid")))</f>
        <v/>
      </c>
      <c r="P1457" s="27" t="n"/>
      <c r="Q1457" s="27" t="n"/>
      <c r="R1457" s="27" t="n"/>
      <c r="S1457" s="27" t="n"/>
      <c r="T1457" s="25">
        <f>IF($C1457="","",IF(OR(ISNUMBER(SEARCH("quick case",$P1457)),ISNUMBER(SEARCH("quick case",$Q1457))),"Yes","No"))</f>
        <v/>
      </c>
      <c r="U1457" s="25">
        <f>IF($O1457="Invalid",HYPERLINK("mailto:"&amp;$G1457&amp;";"&amp;$I1457&amp;"?cc="&amp;Lists!$E$2&amp;"&amp;subject="&amp;_xlfn.ENCODEURL("[INVALID] Quality audit monitoring completed for "&amp;UPPER($C1457))&amp;"&amp;body="&amp;_xlfn.ENCODEURL("Hi "&amp;$F1457&amp;","&amp;CHAR(10)&amp;"Good day!"&amp;CHAR(10)&amp;CHAR(10)&amp;"A quality monitoring audit has been completed for "&amp;$C1457&amp;"."&amp;CHAR(10)&amp;CHAR(10)&amp;"QUALITY AUDIT DETAILS"&amp;CHAR(10)&amp;"Agent Name: "&amp;$C1457&amp;" (EID "&amp;$D1457&amp;")"&amp;CHAR(10)&amp;"Audit Date: "&amp;TEXT($B1457,"yyyy-mm-dd")&amp;CHAR(10)&amp;"Team Leader: "&amp;$F1457&amp;CHAR(10)&amp;"Case Number: "&amp;$M1457&amp;CHAR(10)&amp;"Transaction ID: "&amp;$N1457&amp;CHAR(10)&amp;"Channel / LOB: "&amp;$K1457&amp;" / "&amp;$L1457&amp;CHAR(10)&amp;"Evaluator: "&amp;$S1457&amp;CHAR(10)&amp;CHAR(10)&amp;"INVALID QUALITY AUDIT DETAILS"&amp;CHAR(10)&amp;"Validation: Invalid"&amp;CHAR(10)&amp;"Invalid Reason: "&amp;$P1457&amp;CHAR(10)&amp;"Expected Resolution Code: "&amp;$Q1457&amp;CHAR(10)&amp;"Remarks: "&amp;LEFT($R1457,600)&amp;CHAR(10)&amp;CHAR(10)&amp;"This is an automated notification from HP Mainstream EQMS."),"✉ Open Email Draft"),"")</f>
        <v/>
      </c>
    </row>
    <row r="1458">
      <c r="A1458" s="25">
        <f>IF($C1458="","","AUD-2026-"&amp;TEXT(ROW()-1,"000000"))</f>
        <v/>
      </c>
      <c r="B1458" s="26" t="n"/>
      <c r="C1458" s="27" t="n"/>
      <c r="D1458" s="25">
        <f>IF($C1458="","",IFERROR(IF(INDEX(Roster!$A:$A,MATCH($C1458,Roster!$B:$B,0))="","",INDEX(Roster!$A:$A,MATCH($C1458,Roster!$B:$B,0))&amp;""),"—"))</f>
        <v/>
      </c>
      <c r="E1458" s="25">
        <f>IF($C1458="","",IFERROR(IF(INDEX(Roster!$C:$C,MATCH($C1458,Roster!$B:$B,0))="","",INDEX(Roster!$C:$C,MATCH($C1458,Roster!$B:$B,0))&amp;""),"—"))</f>
        <v/>
      </c>
      <c r="F1458" s="25">
        <f>IF($C1458="","",IFERROR(IF(INDEX(Roster!$D:$D,MATCH($C1458,Roster!$B:$B,0))="","",INDEX(Roster!$D:$D,MATCH($C1458,Roster!$B:$B,0))&amp;""),"—"))</f>
        <v/>
      </c>
      <c r="G1458" s="25">
        <f>IF($C1458="","",IFERROR(IF(INDEX(Roster!$E:$E,MATCH($C1458,Roster!$B:$B,0))="","",INDEX(Roster!$E:$E,MATCH($C1458,Roster!$B:$B,0))&amp;""),"—"))</f>
        <v/>
      </c>
      <c r="H1458" s="25">
        <f>IF($C1458="","",IFERROR(IF(INDEX(Roster!$F:$F,MATCH($C1458,Roster!$B:$B,0))="","",INDEX(Roster!$F:$F,MATCH($C1458,Roster!$B:$B,0))&amp;""),"—"))</f>
        <v/>
      </c>
      <c r="I1458" s="25">
        <f>IF($C1458="","",IFERROR(IF(INDEX(Roster!$G:$G,MATCH($C1458,Roster!$B:$B,0))="","",INDEX(Roster!$G:$G,MATCH($C1458,Roster!$B:$B,0))&amp;""),"—"))</f>
        <v/>
      </c>
      <c r="J1458" s="25">
        <f>IF($C1458="","",IFERROR(IF(INDEX(Roster!$I:$I,MATCH($C1458,Roster!$B:$B,0))="","",INDEX(Roster!$I:$I,MATCH($C1458,Roster!$B:$B,0))&amp;""),"—"))</f>
        <v/>
      </c>
      <c r="K1458">
        <f>IF($C1458="","",IFERROR(IF(INDEX(Roster!$J:$J,MATCH($C1458,Roster!$B:$B,0))="","",INDEX(Roster!$J:$J,MATCH($C1458,Roster!$B:$B,0))&amp;""),"—"))</f>
        <v/>
      </c>
      <c r="L1458">
        <f>IF($C1458="","",IFERROR(IF(INDEX(Roster!$K:$K,MATCH($C1458,Roster!$B:$B,0))="","",INDEX(Roster!$K:$K,MATCH($C1458,Roster!$B:$B,0))&amp;""),"—"))</f>
        <v/>
      </c>
      <c r="M1458" s="27" t="n"/>
      <c r="N1458" s="27" t="n"/>
      <c r="O1458" s="25">
        <f>IF($C1458="","",IF($P1458="","—",IF($P1458="Valid (Pass)","Valid","Invalid")))</f>
        <v/>
      </c>
      <c r="P1458" s="27" t="n"/>
      <c r="Q1458" s="27" t="n"/>
      <c r="R1458" s="27" t="n"/>
      <c r="S1458" s="27" t="n"/>
      <c r="T1458" s="25">
        <f>IF($C1458="","",IF(OR(ISNUMBER(SEARCH("quick case",$P1458)),ISNUMBER(SEARCH("quick case",$Q1458))),"Yes","No"))</f>
        <v/>
      </c>
      <c r="U1458" s="25">
        <f>IF($O1458="Invalid",HYPERLINK("mailto:"&amp;$G1458&amp;";"&amp;$I1458&amp;"?cc="&amp;Lists!$E$2&amp;"&amp;subject="&amp;_xlfn.ENCODEURL("[INVALID] Quality audit monitoring completed for "&amp;UPPER($C1458))&amp;"&amp;body="&amp;_xlfn.ENCODEURL("Hi "&amp;$F1458&amp;","&amp;CHAR(10)&amp;"Good day!"&amp;CHAR(10)&amp;CHAR(10)&amp;"A quality monitoring audit has been completed for "&amp;$C1458&amp;"."&amp;CHAR(10)&amp;CHAR(10)&amp;"QUALITY AUDIT DETAILS"&amp;CHAR(10)&amp;"Agent Name: "&amp;$C1458&amp;" (EID "&amp;$D1458&amp;")"&amp;CHAR(10)&amp;"Audit Date: "&amp;TEXT($B1458,"yyyy-mm-dd")&amp;CHAR(10)&amp;"Team Leader: "&amp;$F1458&amp;CHAR(10)&amp;"Case Number: "&amp;$M1458&amp;CHAR(10)&amp;"Transaction ID: "&amp;$N1458&amp;CHAR(10)&amp;"Channel / LOB: "&amp;$K1458&amp;" / "&amp;$L1458&amp;CHAR(10)&amp;"Evaluator: "&amp;$S1458&amp;CHAR(10)&amp;CHAR(10)&amp;"INVALID QUALITY AUDIT DETAILS"&amp;CHAR(10)&amp;"Validation: Invalid"&amp;CHAR(10)&amp;"Invalid Reason: "&amp;$P1458&amp;CHAR(10)&amp;"Expected Resolution Code: "&amp;$Q1458&amp;CHAR(10)&amp;"Remarks: "&amp;LEFT($R1458,600)&amp;CHAR(10)&amp;CHAR(10)&amp;"This is an automated notification from HP Mainstream EQMS."),"✉ Open Email Draft"),"")</f>
        <v/>
      </c>
    </row>
    <row r="1459">
      <c r="A1459" s="25">
        <f>IF($C1459="","","AUD-2026-"&amp;TEXT(ROW()-1,"000000"))</f>
        <v/>
      </c>
      <c r="B1459" s="26" t="n"/>
      <c r="C1459" s="27" t="n"/>
      <c r="D1459" s="25">
        <f>IF($C1459="","",IFERROR(IF(INDEX(Roster!$A:$A,MATCH($C1459,Roster!$B:$B,0))="","",INDEX(Roster!$A:$A,MATCH($C1459,Roster!$B:$B,0))&amp;""),"—"))</f>
        <v/>
      </c>
      <c r="E1459" s="25">
        <f>IF($C1459="","",IFERROR(IF(INDEX(Roster!$C:$C,MATCH($C1459,Roster!$B:$B,0))="","",INDEX(Roster!$C:$C,MATCH($C1459,Roster!$B:$B,0))&amp;""),"—"))</f>
        <v/>
      </c>
      <c r="F1459" s="25">
        <f>IF($C1459="","",IFERROR(IF(INDEX(Roster!$D:$D,MATCH($C1459,Roster!$B:$B,0))="","",INDEX(Roster!$D:$D,MATCH($C1459,Roster!$B:$B,0))&amp;""),"—"))</f>
        <v/>
      </c>
      <c r="G1459" s="25">
        <f>IF($C1459="","",IFERROR(IF(INDEX(Roster!$E:$E,MATCH($C1459,Roster!$B:$B,0))="","",INDEX(Roster!$E:$E,MATCH($C1459,Roster!$B:$B,0))&amp;""),"—"))</f>
        <v/>
      </c>
      <c r="H1459" s="25">
        <f>IF($C1459="","",IFERROR(IF(INDEX(Roster!$F:$F,MATCH($C1459,Roster!$B:$B,0))="","",INDEX(Roster!$F:$F,MATCH($C1459,Roster!$B:$B,0))&amp;""),"—"))</f>
        <v/>
      </c>
      <c r="I1459" s="25">
        <f>IF($C1459="","",IFERROR(IF(INDEX(Roster!$G:$G,MATCH($C1459,Roster!$B:$B,0))="","",INDEX(Roster!$G:$G,MATCH($C1459,Roster!$B:$B,0))&amp;""),"—"))</f>
        <v/>
      </c>
      <c r="J1459" s="25">
        <f>IF($C1459="","",IFERROR(IF(INDEX(Roster!$I:$I,MATCH($C1459,Roster!$B:$B,0))="","",INDEX(Roster!$I:$I,MATCH($C1459,Roster!$B:$B,0))&amp;""),"—"))</f>
        <v/>
      </c>
      <c r="K1459">
        <f>IF($C1459="","",IFERROR(IF(INDEX(Roster!$J:$J,MATCH($C1459,Roster!$B:$B,0))="","",INDEX(Roster!$J:$J,MATCH($C1459,Roster!$B:$B,0))&amp;""),"—"))</f>
        <v/>
      </c>
      <c r="L1459">
        <f>IF($C1459="","",IFERROR(IF(INDEX(Roster!$K:$K,MATCH($C1459,Roster!$B:$B,0))="","",INDEX(Roster!$K:$K,MATCH($C1459,Roster!$B:$B,0))&amp;""),"—"))</f>
        <v/>
      </c>
      <c r="M1459" s="27" t="n"/>
      <c r="N1459" s="27" t="n"/>
      <c r="O1459" s="25">
        <f>IF($C1459="","",IF($P1459="","—",IF($P1459="Valid (Pass)","Valid","Invalid")))</f>
        <v/>
      </c>
      <c r="P1459" s="27" t="n"/>
      <c r="Q1459" s="27" t="n"/>
      <c r="R1459" s="27" t="n"/>
      <c r="S1459" s="27" t="n"/>
      <c r="T1459" s="25">
        <f>IF($C1459="","",IF(OR(ISNUMBER(SEARCH("quick case",$P1459)),ISNUMBER(SEARCH("quick case",$Q1459))),"Yes","No"))</f>
        <v/>
      </c>
      <c r="U1459" s="25">
        <f>IF($O1459="Invalid",HYPERLINK("mailto:"&amp;$G1459&amp;";"&amp;$I1459&amp;"?cc="&amp;Lists!$E$2&amp;"&amp;subject="&amp;_xlfn.ENCODEURL("[INVALID] Quality audit monitoring completed for "&amp;UPPER($C1459))&amp;"&amp;body="&amp;_xlfn.ENCODEURL("Hi "&amp;$F1459&amp;","&amp;CHAR(10)&amp;"Good day!"&amp;CHAR(10)&amp;CHAR(10)&amp;"A quality monitoring audit has been completed for "&amp;$C1459&amp;"."&amp;CHAR(10)&amp;CHAR(10)&amp;"QUALITY AUDIT DETAILS"&amp;CHAR(10)&amp;"Agent Name: "&amp;$C1459&amp;" (EID "&amp;$D1459&amp;")"&amp;CHAR(10)&amp;"Audit Date: "&amp;TEXT($B1459,"yyyy-mm-dd")&amp;CHAR(10)&amp;"Team Leader: "&amp;$F1459&amp;CHAR(10)&amp;"Case Number: "&amp;$M1459&amp;CHAR(10)&amp;"Transaction ID: "&amp;$N1459&amp;CHAR(10)&amp;"Channel / LOB: "&amp;$K1459&amp;" / "&amp;$L1459&amp;CHAR(10)&amp;"Evaluator: "&amp;$S1459&amp;CHAR(10)&amp;CHAR(10)&amp;"INVALID QUALITY AUDIT DETAILS"&amp;CHAR(10)&amp;"Validation: Invalid"&amp;CHAR(10)&amp;"Invalid Reason: "&amp;$P1459&amp;CHAR(10)&amp;"Expected Resolution Code: "&amp;$Q1459&amp;CHAR(10)&amp;"Remarks: "&amp;LEFT($R1459,600)&amp;CHAR(10)&amp;CHAR(10)&amp;"This is an automated notification from HP Mainstream EQMS."),"✉ Open Email Draft"),"")</f>
        <v/>
      </c>
    </row>
    <row r="1460">
      <c r="A1460" s="25">
        <f>IF($C1460="","","AUD-2026-"&amp;TEXT(ROW()-1,"000000"))</f>
        <v/>
      </c>
      <c r="B1460" s="26" t="n"/>
      <c r="C1460" s="27" t="n"/>
      <c r="D1460" s="25">
        <f>IF($C1460="","",IFERROR(IF(INDEX(Roster!$A:$A,MATCH($C1460,Roster!$B:$B,0))="","",INDEX(Roster!$A:$A,MATCH($C1460,Roster!$B:$B,0))&amp;""),"—"))</f>
        <v/>
      </c>
      <c r="E1460" s="25">
        <f>IF($C1460="","",IFERROR(IF(INDEX(Roster!$C:$C,MATCH($C1460,Roster!$B:$B,0))="","",INDEX(Roster!$C:$C,MATCH($C1460,Roster!$B:$B,0))&amp;""),"—"))</f>
        <v/>
      </c>
      <c r="F1460" s="25">
        <f>IF($C1460="","",IFERROR(IF(INDEX(Roster!$D:$D,MATCH($C1460,Roster!$B:$B,0))="","",INDEX(Roster!$D:$D,MATCH($C1460,Roster!$B:$B,0))&amp;""),"—"))</f>
        <v/>
      </c>
      <c r="G1460" s="25">
        <f>IF($C1460="","",IFERROR(IF(INDEX(Roster!$E:$E,MATCH($C1460,Roster!$B:$B,0))="","",INDEX(Roster!$E:$E,MATCH($C1460,Roster!$B:$B,0))&amp;""),"—"))</f>
        <v/>
      </c>
      <c r="H1460" s="25">
        <f>IF($C1460="","",IFERROR(IF(INDEX(Roster!$F:$F,MATCH($C1460,Roster!$B:$B,0))="","",INDEX(Roster!$F:$F,MATCH($C1460,Roster!$B:$B,0))&amp;""),"—"))</f>
        <v/>
      </c>
      <c r="I1460" s="25">
        <f>IF($C1460="","",IFERROR(IF(INDEX(Roster!$G:$G,MATCH($C1460,Roster!$B:$B,0))="","",INDEX(Roster!$G:$G,MATCH($C1460,Roster!$B:$B,0))&amp;""),"—"))</f>
        <v/>
      </c>
      <c r="J1460" s="25">
        <f>IF($C1460="","",IFERROR(IF(INDEX(Roster!$I:$I,MATCH($C1460,Roster!$B:$B,0))="","",INDEX(Roster!$I:$I,MATCH($C1460,Roster!$B:$B,0))&amp;""),"—"))</f>
        <v/>
      </c>
      <c r="K1460">
        <f>IF($C1460="","",IFERROR(IF(INDEX(Roster!$J:$J,MATCH($C1460,Roster!$B:$B,0))="","",INDEX(Roster!$J:$J,MATCH($C1460,Roster!$B:$B,0))&amp;""),"—"))</f>
        <v/>
      </c>
      <c r="L1460">
        <f>IF($C1460="","",IFERROR(IF(INDEX(Roster!$K:$K,MATCH($C1460,Roster!$B:$B,0))="","",INDEX(Roster!$K:$K,MATCH($C1460,Roster!$B:$B,0))&amp;""),"—"))</f>
        <v/>
      </c>
      <c r="M1460" s="27" t="n"/>
      <c r="N1460" s="27" t="n"/>
      <c r="O1460" s="25">
        <f>IF($C1460="","",IF($P1460="","—",IF($P1460="Valid (Pass)","Valid","Invalid")))</f>
        <v/>
      </c>
      <c r="P1460" s="27" t="n"/>
      <c r="Q1460" s="27" t="n"/>
      <c r="R1460" s="27" t="n"/>
      <c r="S1460" s="27" t="n"/>
      <c r="T1460" s="25">
        <f>IF($C1460="","",IF(OR(ISNUMBER(SEARCH("quick case",$P1460)),ISNUMBER(SEARCH("quick case",$Q1460))),"Yes","No"))</f>
        <v/>
      </c>
      <c r="U1460" s="25">
        <f>IF($O1460="Invalid",HYPERLINK("mailto:"&amp;$G1460&amp;";"&amp;$I1460&amp;"?cc="&amp;Lists!$E$2&amp;"&amp;subject="&amp;_xlfn.ENCODEURL("[INVALID] Quality audit monitoring completed for "&amp;UPPER($C1460))&amp;"&amp;body="&amp;_xlfn.ENCODEURL("Hi "&amp;$F1460&amp;","&amp;CHAR(10)&amp;"Good day!"&amp;CHAR(10)&amp;CHAR(10)&amp;"A quality monitoring audit has been completed for "&amp;$C1460&amp;"."&amp;CHAR(10)&amp;CHAR(10)&amp;"QUALITY AUDIT DETAILS"&amp;CHAR(10)&amp;"Agent Name: "&amp;$C1460&amp;" (EID "&amp;$D1460&amp;")"&amp;CHAR(10)&amp;"Audit Date: "&amp;TEXT($B1460,"yyyy-mm-dd")&amp;CHAR(10)&amp;"Team Leader: "&amp;$F1460&amp;CHAR(10)&amp;"Case Number: "&amp;$M1460&amp;CHAR(10)&amp;"Transaction ID: "&amp;$N1460&amp;CHAR(10)&amp;"Channel / LOB: "&amp;$K1460&amp;" / "&amp;$L1460&amp;CHAR(10)&amp;"Evaluator: "&amp;$S1460&amp;CHAR(10)&amp;CHAR(10)&amp;"INVALID QUALITY AUDIT DETAILS"&amp;CHAR(10)&amp;"Validation: Invalid"&amp;CHAR(10)&amp;"Invalid Reason: "&amp;$P1460&amp;CHAR(10)&amp;"Expected Resolution Code: "&amp;$Q1460&amp;CHAR(10)&amp;"Remarks: "&amp;LEFT($R1460,600)&amp;CHAR(10)&amp;CHAR(10)&amp;"This is an automated notification from HP Mainstream EQMS."),"✉ Open Email Draft"),"")</f>
        <v/>
      </c>
    </row>
    <row r="1461">
      <c r="A1461" s="25">
        <f>IF($C1461="","","AUD-2026-"&amp;TEXT(ROW()-1,"000000"))</f>
        <v/>
      </c>
      <c r="B1461" s="26" t="n"/>
      <c r="C1461" s="27" t="n"/>
      <c r="D1461" s="25">
        <f>IF($C1461="","",IFERROR(IF(INDEX(Roster!$A:$A,MATCH($C1461,Roster!$B:$B,0))="","",INDEX(Roster!$A:$A,MATCH($C1461,Roster!$B:$B,0))&amp;""),"—"))</f>
        <v/>
      </c>
      <c r="E1461" s="25">
        <f>IF($C1461="","",IFERROR(IF(INDEX(Roster!$C:$C,MATCH($C1461,Roster!$B:$B,0))="","",INDEX(Roster!$C:$C,MATCH($C1461,Roster!$B:$B,0))&amp;""),"—"))</f>
        <v/>
      </c>
      <c r="F1461" s="25">
        <f>IF($C1461="","",IFERROR(IF(INDEX(Roster!$D:$D,MATCH($C1461,Roster!$B:$B,0))="","",INDEX(Roster!$D:$D,MATCH($C1461,Roster!$B:$B,0))&amp;""),"—"))</f>
        <v/>
      </c>
      <c r="G1461" s="25">
        <f>IF($C1461="","",IFERROR(IF(INDEX(Roster!$E:$E,MATCH($C1461,Roster!$B:$B,0))="","",INDEX(Roster!$E:$E,MATCH($C1461,Roster!$B:$B,0))&amp;""),"—"))</f>
        <v/>
      </c>
      <c r="H1461" s="25">
        <f>IF($C1461="","",IFERROR(IF(INDEX(Roster!$F:$F,MATCH($C1461,Roster!$B:$B,0))="","",INDEX(Roster!$F:$F,MATCH($C1461,Roster!$B:$B,0))&amp;""),"—"))</f>
        <v/>
      </c>
      <c r="I1461" s="25">
        <f>IF($C1461="","",IFERROR(IF(INDEX(Roster!$G:$G,MATCH($C1461,Roster!$B:$B,0))="","",INDEX(Roster!$G:$G,MATCH($C1461,Roster!$B:$B,0))&amp;""),"—"))</f>
        <v/>
      </c>
      <c r="J1461" s="25">
        <f>IF($C1461="","",IFERROR(IF(INDEX(Roster!$I:$I,MATCH($C1461,Roster!$B:$B,0))="","",INDEX(Roster!$I:$I,MATCH($C1461,Roster!$B:$B,0))&amp;""),"—"))</f>
        <v/>
      </c>
      <c r="K1461">
        <f>IF($C1461="","",IFERROR(IF(INDEX(Roster!$J:$J,MATCH($C1461,Roster!$B:$B,0))="","",INDEX(Roster!$J:$J,MATCH($C1461,Roster!$B:$B,0))&amp;""),"—"))</f>
        <v/>
      </c>
      <c r="L1461">
        <f>IF($C1461="","",IFERROR(IF(INDEX(Roster!$K:$K,MATCH($C1461,Roster!$B:$B,0))="","",INDEX(Roster!$K:$K,MATCH($C1461,Roster!$B:$B,0))&amp;""),"—"))</f>
        <v/>
      </c>
      <c r="M1461" s="27" t="n"/>
      <c r="N1461" s="27" t="n"/>
      <c r="O1461" s="25">
        <f>IF($C1461="","",IF($P1461="","—",IF($P1461="Valid (Pass)","Valid","Invalid")))</f>
        <v/>
      </c>
      <c r="P1461" s="27" t="n"/>
      <c r="Q1461" s="27" t="n"/>
      <c r="R1461" s="27" t="n"/>
      <c r="S1461" s="27" t="n"/>
      <c r="T1461" s="25">
        <f>IF($C1461="","",IF(OR(ISNUMBER(SEARCH("quick case",$P1461)),ISNUMBER(SEARCH("quick case",$Q1461))),"Yes","No"))</f>
        <v/>
      </c>
      <c r="U1461" s="25">
        <f>IF($O1461="Invalid",HYPERLINK("mailto:"&amp;$G1461&amp;";"&amp;$I1461&amp;"?cc="&amp;Lists!$E$2&amp;"&amp;subject="&amp;_xlfn.ENCODEURL("[INVALID] Quality audit monitoring completed for "&amp;UPPER($C1461))&amp;"&amp;body="&amp;_xlfn.ENCODEURL("Hi "&amp;$F1461&amp;","&amp;CHAR(10)&amp;"Good day!"&amp;CHAR(10)&amp;CHAR(10)&amp;"A quality monitoring audit has been completed for "&amp;$C1461&amp;"."&amp;CHAR(10)&amp;CHAR(10)&amp;"QUALITY AUDIT DETAILS"&amp;CHAR(10)&amp;"Agent Name: "&amp;$C1461&amp;" (EID "&amp;$D1461&amp;")"&amp;CHAR(10)&amp;"Audit Date: "&amp;TEXT($B1461,"yyyy-mm-dd")&amp;CHAR(10)&amp;"Team Leader: "&amp;$F1461&amp;CHAR(10)&amp;"Case Number: "&amp;$M1461&amp;CHAR(10)&amp;"Transaction ID: "&amp;$N1461&amp;CHAR(10)&amp;"Channel / LOB: "&amp;$K1461&amp;" / "&amp;$L1461&amp;CHAR(10)&amp;"Evaluator: "&amp;$S1461&amp;CHAR(10)&amp;CHAR(10)&amp;"INVALID QUALITY AUDIT DETAILS"&amp;CHAR(10)&amp;"Validation: Invalid"&amp;CHAR(10)&amp;"Invalid Reason: "&amp;$P1461&amp;CHAR(10)&amp;"Expected Resolution Code: "&amp;$Q1461&amp;CHAR(10)&amp;"Remarks: "&amp;LEFT($R1461,600)&amp;CHAR(10)&amp;CHAR(10)&amp;"This is an automated notification from HP Mainstream EQMS."),"✉ Open Email Draft"),"")</f>
        <v/>
      </c>
    </row>
    <row r="1462">
      <c r="A1462" s="25">
        <f>IF($C1462="","","AUD-2026-"&amp;TEXT(ROW()-1,"000000"))</f>
        <v/>
      </c>
      <c r="B1462" s="26" t="n"/>
      <c r="C1462" s="27" t="n"/>
      <c r="D1462" s="25">
        <f>IF($C1462="","",IFERROR(IF(INDEX(Roster!$A:$A,MATCH($C1462,Roster!$B:$B,0))="","",INDEX(Roster!$A:$A,MATCH($C1462,Roster!$B:$B,0))&amp;""),"—"))</f>
        <v/>
      </c>
      <c r="E1462" s="25">
        <f>IF($C1462="","",IFERROR(IF(INDEX(Roster!$C:$C,MATCH($C1462,Roster!$B:$B,0))="","",INDEX(Roster!$C:$C,MATCH($C1462,Roster!$B:$B,0))&amp;""),"—"))</f>
        <v/>
      </c>
      <c r="F1462" s="25">
        <f>IF($C1462="","",IFERROR(IF(INDEX(Roster!$D:$D,MATCH($C1462,Roster!$B:$B,0))="","",INDEX(Roster!$D:$D,MATCH($C1462,Roster!$B:$B,0))&amp;""),"—"))</f>
        <v/>
      </c>
      <c r="G1462" s="25">
        <f>IF($C1462="","",IFERROR(IF(INDEX(Roster!$E:$E,MATCH($C1462,Roster!$B:$B,0))="","",INDEX(Roster!$E:$E,MATCH($C1462,Roster!$B:$B,0))&amp;""),"—"))</f>
        <v/>
      </c>
      <c r="H1462" s="25">
        <f>IF($C1462="","",IFERROR(IF(INDEX(Roster!$F:$F,MATCH($C1462,Roster!$B:$B,0))="","",INDEX(Roster!$F:$F,MATCH($C1462,Roster!$B:$B,0))&amp;""),"—"))</f>
        <v/>
      </c>
      <c r="I1462" s="25">
        <f>IF($C1462="","",IFERROR(IF(INDEX(Roster!$G:$G,MATCH($C1462,Roster!$B:$B,0))="","",INDEX(Roster!$G:$G,MATCH($C1462,Roster!$B:$B,0))&amp;""),"—"))</f>
        <v/>
      </c>
      <c r="J1462" s="25">
        <f>IF($C1462="","",IFERROR(IF(INDEX(Roster!$I:$I,MATCH($C1462,Roster!$B:$B,0))="","",INDEX(Roster!$I:$I,MATCH($C1462,Roster!$B:$B,0))&amp;""),"—"))</f>
        <v/>
      </c>
      <c r="K1462">
        <f>IF($C1462="","",IFERROR(IF(INDEX(Roster!$J:$J,MATCH($C1462,Roster!$B:$B,0))="","",INDEX(Roster!$J:$J,MATCH($C1462,Roster!$B:$B,0))&amp;""),"—"))</f>
        <v/>
      </c>
      <c r="L1462">
        <f>IF($C1462="","",IFERROR(IF(INDEX(Roster!$K:$K,MATCH($C1462,Roster!$B:$B,0))="","",INDEX(Roster!$K:$K,MATCH($C1462,Roster!$B:$B,0))&amp;""),"—"))</f>
        <v/>
      </c>
      <c r="M1462" s="27" t="n"/>
      <c r="N1462" s="27" t="n"/>
      <c r="O1462" s="25">
        <f>IF($C1462="","",IF($P1462="","—",IF($P1462="Valid (Pass)","Valid","Invalid")))</f>
        <v/>
      </c>
      <c r="P1462" s="27" t="n"/>
      <c r="Q1462" s="27" t="n"/>
      <c r="R1462" s="27" t="n"/>
      <c r="S1462" s="27" t="n"/>
      <c r="T1462" s="25">
        <f>IF($C1462="","",IF(OR(ISNUMBER(SEARCH("quick case",$P1462)),ISNUMBER(SEARCH("quick case",$Q1462))),"Yes","No"))</f>
        <v/>
      </c>
      <c r="U1462" s="25">
        <f>IF($O1462="Invalid",HYPERLINK("mailto:"&amp;$G1462&amp;";"&amp;$I1462&amp;"?cc="&amp;Lists!$E$2&amp;"&amp;subject="&amp;_xlfn.ENCODEURL("[INVALID] Quality audit monitoring completed for "&amp;UPPER($C1462))&amp;"&amp;body="&amp;_xlfn.ENCODEURL("Hi "&amp;$F1462&amp;","&amp;CHAR(10)&amp;"Good day!"&amp;CHAR(10)&amp;CHAR(10)&amp;"A quality monitoring audit has been completed for "&amp;$C1462&amp;"."&amp;CHAR(10)&amp;CHAR(10)&amp;"QUALITY AUDIT DETAILS"&amp;CHAR(10)&amp;"Agent Name: "&amp;$C1462&amp;" (EID "&amp;$D1462&amp;")"&amp;CHAR(10)&amp;"Audit Date: "&amp;TEXT($B1462,"yyyy-mm-dd")&amp;CHAR(10)&amp;"Team Leader: "&amp;$F1462&amp;CHAR(10)&amp;"Case Number: "&amp;$M1462&amp;CHAR(10)&amp;"Transaction ID: "&amp;$N1462&amp;CHAR(10)&amp;"Channel / LOB: "&amp;$K1462&amp;" / "&amp;$L1462&amp;CHAR(10)&amp;"Evaluator: "&amp;$S1462&amp;CHAR(10)&amp;CHAR(10)&amp;"INVALID QUALITY AUDIT DETAILS"&amp;CHAR(10)&amp;"Validation: Invalid"&amp;CHAR(10)&amp;"Invalid Reason: "&amp;$P1462&amp;CHAR(10)&amp;"Expected Resolution Code: "&amp;$Q1462&amp;CHAR(10)&amp;"Remarks: "&amp;LEFT($R1462,600)&amp;CHAR(10)&amp;CHAR(10)&amp;"This is an automated notification from HP Mainstream EQMS."),"✉ Open Email Draft"),"")</f>
        <v/>
      </c>
    </row>
    <row r="1463">
      <c r="A1463" s="25">
        <f>IF($C1463="","","AUD-2026-"&amp;TEXT(ROW()-1,"000000"))</f>
        <v/>
      </c>
      <c r="B1463" s="26" t="n"/>
      <c r="C1463" s="27" t="n"/>
      <c r="D1463" s="25">
        <f>IF($C1463="","",IFERROR(IF(INDEX(Roster!$A:$A,MATCH($C1463,Roster!$B:$B,0))="","",INDEX(Roster!$A:$A,MATCH($C1463,Roster!$B:$B,0))&amp;""),"—"))</f>
        <v/>
      </c>
      <c r="E1463" s="25">
        <f>IF($C1463="","",IFERROR(IF(INDEX(Roster!$C:$C,MATCH($C1463,Roster!$B:$B,0))="","",INDEX(Roster!$C:$C,MATCH($C1463,Roster!$B:$B,0))&amp;""),"—"))</f>
        <v/>
      </c>
      <c r="F1463" s="25">
        <f>IF($C1463="","",IFERROR(IF(INDEX(Roster!$D:$D,MATCH($C1463,Roster!$B:$B,0))="","",INDEX(Roster!$D:$D,MATCH($C1463,Roster!$B:$B,0))&amp;""),"—"))</f>
        <v/>
      </c>
      <c r="G1463" s="25">
        <f>IF($C1463="","",IFERROR(IF(INDEX(Roster!$E:$E,MATCH($C1463,Roster!$B:$B,0))="","",INDEX(Roster!$E:$E,MATCH($C1463,Roster!$B:$B,0))&amp;""),"—"))</f>
        <v/>
      </c>
      <c r="H1463" s="25">
        <f>IF($C1463="","",IFERROR(IF(INDEX(Roster!$F:$F,MATCH($C1463,Roster!$B:$B,0))="","",INDEX(Roster!$F:$F,MATCH($C1463,Roster!$B:$B,0))&amp;""),"—"))</f>
        <v/>
      </c>
      <c r="I1463" s="25">
        <f>IF($C1463="","",IFERROR(IF(INDEX(Roster!$G:$G,MATCH($C1463,Roster!$B:$B,0))="","",INDEX(Roster!$G:$G,MATCH($C1463,Roster!$B:$B,0))&amp;""),"—"))</f>
        <v/>
      </c>
      <c r="J1463" s="25">
        <f>IF($C1463="","",IFERROR(IF(INDEX(Roster!$I:$I,MATCH($C1463,Roster!$B:$B,0))="","",INDEX(Roster!$I:$I,MATCH($C1463,Roster!$B:$B,0))&amp;""),"—"))</f>
        <v/>
      </c>
      <c r="K1463">
        <f>IF($C1463="","",IFERROR(IF(INDEX(Roster!$J:$J,MATCH($C1463,Roster!$B:$B,0))="","",INDEX(Roster!$J:$J,MATCH($C1463,Roster!$B:$B,0))&amp;""),"—"))</f>
        <v/>
      </c>
      <c r="L1463">
        <f>IF($C1463="","",IFERROR(IF(INDEX(Roster!$K:$K,MATCH($C1463,Roster!$B:$B,0))="","",INDEX(Roster!$K:$K,MATCH($C1463,Roster!$B:$B,0))&amp;""),"—"))</f>
        <v/>
      </c>
      <c r="M1463" s="27" t="n"/>
      <c r="N1463" s="27" t="n"/>
      <c r="O1463" s="25">
        <f>IF($C1463="","",IF($P1463="","—",IF($P1463="Valid (Pass)","Valid","Invalid")))</f>
        <v/>
      </c>
      <c r="P1463" s="27" t="n"/>
      <c r="Q1463" s="27" t="n"/>
      <c r="R1463" s="27" t="n"/>
      <c r="S1463" s="27" t="n"/>
      <c r="T1463" s="25">
        <f>IF($C1463="","",IF(OR(ISNUMBER(SEARCH("quick case",$P1463)),ISNUMBER(SEARCH("quick case",$Q1463))),"Yes","No"))</f>
        <v/>
      </c>
      <c r="U1463" s="25">
        <f>IF($O1463="Invalid",HYPERLINK("mailto:"&amp;$G1463&amp;";"&amp;$I1463&amp;"?cc="&amp;Lists!$E$2&amp;"&amp;subject="&amp;_xlfn.ENCODEURL("[INVALID] Quality audit monitoring completed for "&amp;UPPER($C1463))&amp;"&amp;body="&amp;_xlfn.ENCODEURL("Hi "&amp;$F1463&amp;","&amp;CHAR(10)&amp;"Good day!"&amp;CHAR(10)&amp;CHAR(10)&amp;"A quality monitoring audit has been completed for "&amp;$C1463&amp;"."&amp;CHAR(10)&amp;CHAR(10)&amp;"QUALITY AUDIT DETAILS"&amp;CHAR(10)&amp;"Agent Name: "&amp;$C1463&amp;" (EID "&amp;$D1463&amp;")"&amp;CHAR(10)&amp;"Audit Date: "&amp;TEXT($B1463,"yyyy-mm-dd")&amp;CHAR(10)&amp;"Team Leader: "&amp;$F1463&amp;CHAR(10)&amp;"Case Number: "&amp;$M1463&amp;CHAR(10)&amp;"Transaction ID: "&amp;$N1463&amp;CHAR(10)&amp;"Channel / LOB: "&amp;$K1463&amp;" / "&amp;$L1463&amp;CHAR(10)&amp;"Evaluator: "&amp;$S1463&amp;CHAR(10)&amp;CHAR(10)&amp;"INVALID QUALITY AUDIT DETAILS"&amp;CHAR(10)&amp;"Validation: Invalid"&amp;CHAR(10)&amp;"Invalid Reason: "&amp;$P1463&amp;CHAR(10)&amp;"Expected Resolution Code: "&amp;$Q1463&amp;CHAR(10)&amp;"Remarks: "&amp;LEFT($R1463,600)&amp;CHAR(10)&amp;CHAR(10)&amp;"This is an automated notification from HP Mainstream EQMS."),"✉ Open Email Draft"),"")</f>
        <v/>
      </c>
    </row>
    <row r="1464">
      <c r="A1464" s="25">
        <f>IF($C1464="","","AUD-2026-"&amp;TEXT(ROW()-1,"000000"))</f>
        <v/>
      </c>
      <c r="B1464" s="26" t="n"/>
      <c r="C1464" s="27" t="n"/>
      <c r="D1464" s="25">
        <f>IF($C1464="","",IFERROR(IF(INDEX(Roster!$A:$A,MATCH($C1464,Roster!$B:$B,0))="","",INDEX(Roster!$A:$A,MATCH($C1464,Roster!$B:$B,0))&amp;""),"—"))</f>
        <v/>
      </c>
      <c r="E1464" s="25">
        <f>IF($C1464="","",IFERROR(IF(INDEX(Roster!$C:$C,MATCH($C1464,Roster!$B:$B,0))="","",INDEX(Roster!$C:$C,MATCH($C1464,Roster!$B:$B,0))&amp;""),"—"))</f>
        <v/>
      </c>
      <c r="F1464" s="25">
        <f>IF($C1464="","",IFERROR(IF(INDEX(Roster!$D:$D,MATCH($C1464,Roster!$B:$B,0))="","",INDEX(Roster!$D:$D,MATCH($C1464,Roster!$B:$B,0))&amp;""),"—"))</f>
        <v/>
      </c>
      <c r="G1464" s="25">
        <f>IF($C1464="","",IFERROR(IF(INDEX(Roster!$E:$E,MATCH($C1464,Roster!$B:$B,0))="","",INDEX(Roster!$E:$E,MATCH($C1464,Roster!$B:$B,0))&amp;""),"—"))</f>
        <v/>
      </c>
      <c r="H1464" s="25">
        <f>IF($C1464="","",IFERROR(IF(INDEX(Roster!$F:$F,MATCH($C1464,Roster!$B:$B,0))="","",INDEX(Roster!$F:$F,MATCH($C1464,Roster!$B:$B,0))&amp;""),"—"))</f>
        <v/>
      </c>
      <c r="I1464" s="25">
        <f>IF($C1464="","",IFERROR(IF(INDEX(Roster!$G:$G,MATCH($C1464,Roster!$B:$B,0))="","",INDEX(Roster!$G:$G,MATCH($C1464,Roster!$B:$B,0))&amp;""),"—"))</f>
        <v/>
      </c>
      <c r="J1464" s="25">
        <f>IF($C1464="","",IFERROR(IF(INDEX(Roster!$I:$I,MATCH($C1464,Roster!$B:$B,0))="","",INDEX(Roster!$I:$I,MATCH($C1464,Roster!$B:$B,0))&amp;""),"—"))</f>
        <v/>
      </c>
      <c r="K1464">
        <f>IF($C1464="","",IFERROR(IF(INDEX(Roster!$J:$J,MATCH($C1464,Roster!$B:$B,0))="","",INDEX(Roster!$J:$J,MATCH($C1464,Roster!$B:$B,0))&amp;""),"—"))</f>
        <v/>
      </c>
      <c r="L1464">
        <f>IF($C1464="","",IFERROR(IF(INDEX(Roster!$K:$K,MATCH($C1464,Roster!$B:$B,0))="","",INDEX(Roster!$K:$K,MATCH($C1464,Roster!$B:$B,0))&amp;""),"—"))</f>
        <v/>
      </c>
      <c r="M1464" s="27" t="n"/>
      <c r="N1464" s="27" t="n"/>
      <c r="O1464" s="25">
        <f>IF($C1464="","",IF($P1464="","—",IF($P1464="Valid (Pass)","Valid","Invalid")))</f>
        <v/>
      </c>
      <c r="P1464" s="27" t="n"/>
      <c r="Q1464" s="27" t="n"/>
      <c r="R1464" s="27" t="n"/>
      <c r="S1464" s="27" t="n"/>
      <c r="T1464" s="25">
        <f>IF($C1464="","",IF(OR(ISNUMBER(SEARCH("quick case",$P1464)),ISNUMBER(SEARCH("quick case",$Q1464))),"Yes","No"))</f>
        <v/>
      </c>
      <c r="U1464" s="25">
        <f>IF($O1464="Invalid",HYPERLINK("mailto:"&amp;$G1464&amp;";"&amp;$I1464&amp;"?cc="&amp;Lists!$E$2&amp;"&amp;subject="&amp;_xlfn.ENCODEURL("[INVALID] Quality audit monitoring completed for "&amp;UPPER($C1464))&amp;"&amp;body="&amp;_xlfn.ENCODEURL("Hi "&amp;$F1464&amp;","&amp;CHAR(10)&amp;"Good day!"&amp;CHAR(10)&amp;CHAR(10)&amp;"A quality monitoring audit has been completed for "&amp;$C1464&amp;"."&amp;CHAR(10)&amp;CHAR(10)&amp;"QUALITY AUDIT DETAILS"&amp;CHAR(10)&amp;"Agent Name: "&amp;$C1464&amp;" (EID "&amp;$D1464&amp;")"&amp;CHAR(10)&amp;"Audit Date: "&amp;TEXT($B1464,"yyyy-mm-dd")&amp;CHAR(10)&amp;"Team Leader: "&amp;$F1464&amp;CHAR(10)&amp;"Case Number: "&amp;$M1464&amp;CHAR(10)&amp;"Transaction ID: "&amp;$N1464&amp;CHAR(10)&amp;"Channel / LOB: "&amp;$K1464&amp;" / "&amp;$L1464&amp;CHAR(10)&amp;"Evaluator: "&amp;$S1464&amp;CHAR(10)&amp;CHAR(10)&amp;"INVALID QUALITY AUDIT DETAILS"&amp;CHAR(10)&amp;"Validation: Invalid"&amp;CHAR(10)&amp;"Invalid Reason: "&amp;$P1464&amp;CHAR(10)&amp;"Expected Resolution Code: "&amp;$Q1464&amp;CHAR(10)&amp;"Remarks: "&amp;LEFT($R1464,600)&amp;CHAR(10)&amp;CHAR(10)&amp;"This is an automated notification from HP Mainstream EQMS."),"✉ Open Email Draft"),"")</f>
        <v/>
      </c>
    </row>
    <row r="1465">
      <c r="A1465" s="25">
        <f>IF($C1465="","","AUD-2026-"&amp;TEXT(ROW()-1,"000000"))</f>
        <v/>
      </c>
      <c r="B1465" s="26" t="n"/>
      <c r="C1465" s="27" t="n"/>
      <c r="D1465" s="25">
        <f>IF($C1465="","",IFERROR(IF(INDEX(Roster!$A:$A,MATCH($C1465,Roster!$B:$B,0))="","",INDEX(Roster!$A:$A,MATCH($C1465,Roster!$B:$B,0))&amp;""),"—"))</f>
        <v/>
      </c>
      <c r="E1465" s="25">
        <f>IF($C1465="","",IFERROR(IF(INDEX(Roster!$C:$C,MATCH($C1465,Roster!$B:$B,0))="","",INDEX(Roster!$C:$C,MATCH($C1465,Roster!$B:$B,0))&amp;""),"—"))</f>
        <v/>
      </c>
      <c r="F1465" s="25">
        <f>IF($C1465="","",IFERROR(IF(INDEX(Roster!$D:$D,MATCH($C1465,Roster!$B:$B,0))="","",INDEX(Roster!$D:$D,MATCH($C1465,Roster!$B:$B,0))&amp;""),"—"))</f>
        <v/>
      </c>
      <c r="G1465" s="25">
        <f>IF($C1465="","",IFERROR(IF(INDEX(Roster!$E:$E,MATCH($C1465,Roster!$B:$B,0))="","",INDEX(Roster!$E:$E,MATCH($C1465,Roster!$B:$B,0))&amp;""),"—"))</f>
        <v/>
      </c>
      <c r="H1465" s="25">
        <f>IF($C1465="","",IFERROR(IF(INDEX(Roster!$F:$F,MATCH($C1465,Roster!$B:$B,0))="","",INDEX(Roster!$F:$F,MATCH($C1465,Roster!$B:$B,0))&amp;""),"—"))</f>
        <v/>
      </c>
      <c r="I1465" s="25">
        <f>IF($C1465="","",IFERROR(IF(INDEX(Roster!$G:$G,MATCH($C1465,Roster!$B:$B,0))="","",INDEX(Roster!$G:$G,MATCH($C1465,Roster!$B:$B,0))&amp;""),"—"))</f>
        <v/>
      </c>
      <c r="J1465" s="25">
        <f>IF($C1465="","",IFERROR(IF(INDEX(Roster!$I:$I,MATCH($C1465,Roster!$B:$B,0))="","",INDEX(Roster!$I:$I,MATCH($C1465,Roster!$B:$B,0))&amp;""),"—"))</f>
        <v/>
      </c>
      <c r="K1465">
        <f>IF($C1465="","",IFERROR(IF(INDEX(Roster!$J:$J,MATCH($C1465,Roster!$B:$B,0))="","",INDEX(Roster!$J:$J,MATCH($C1465,Roster!$B:$B,0))&amp;""),"—"))</f>
        <v/>
      </c>
      <c r="L1465">
        <f>IF($C1465="","",IFERROR(IF(INDEX(Roster!$K:$K,MATCH($C1465,Roster!$B:$B,0))="","",INDEX(Roster!$K:$K,MATCH($C1465,Roster!$B:$B,0))&amp;""),"—"))</f>
        <v/>
      </c>
      <c r="M1465" s="27" t="n"/>
      <c r="N1465" s="27" t="n"/>
      <c r="O1465" s="25">
        <f>IF($C1465="","",IF($P1465="","—",IF($P1465="Valid (Pass)","Valid","Invalid")))</f>
        <v/>
      </c>
      <c r="P1465" s="27" t="n"/>
      <c r="Q1465" s="27" t="n"/>
      <c r="R1465" s="27" t="n"/>
      <c r="S1465" s="27" t="n"/>
      <c r="T1465" s="25">
        <f>IF($C1465="","",IF(OR(ISNUMBER(SEARCH("quick case",$P1465)),ISNUMBER(SEARCH("quick case",$Q1465))),"Yes","No"))</f>
        <v/>
      </c>
      <c r="U1465" s="25">
        <f>IF($O1465="Invalid",HYPERLINK("mailto:"&amp;$G1465&amp;";"&amp;$I1465&amp;"?cc="&amp;Lists!$E$2&amp;"&amp;subject="&amp;_xlfn.ENCODEURL("[INVALID] Quality audit monitoring completed for "&amp;UPPER($C1465))&amp;"&amp;body="&amp;_xlfn.ENCODEURL("Hi "&amp;$F1465&amp;","&amp;CHAR(10)&amp;"Good day!"&amp;CHAR(10)&amp;CHAR(10)&amp;"A quality monitoring audit has been completed for "&amp;$C1465&amp;"."&amp;CHAR(10)&amp;CHAR(10)&amp;"QUALITY AUDIT DETAILS"&amp;CHAR(10)&amp;"Agent Name: "&amp;$C1465&amp;" (EID "&amp;$D1465&amp;")"&amp;CHAR(10)&amp;"Audit Date: "&amp;TEXT($B1465,"yyyy-mm-dd")&amp;CHAR(10)&amp;"Team Leader: "&amp;$F1465&amp;CHAR(10)&amp;"Case Number: "&amp;$M1465&amp;CHAR(10)&amp;"Transaction ID: "&amp;$N1465&amp;CHAR(10)&amp;"Channel / LOB: "&amp;$K1465&amp;" / "&amp;$L1465&amp;CHAR(10)&amp;"Evaluator: "&amp;$S1465&amp;CHAR(10)&amp;CHAR(10)&amp;"INVALID QUALITY AUDIT DETAILS"&amp;CHAR(10)&amp;"Validation: Invalid"&amp;CHAR(10)&amp;"Invalid Reason: "&amp;$P1465&amp;CHAR(10)&amp;"Expected Resolution Code: "&amp;$Q1465&amp;CHAR(10)&amp;"Remarks: "&amp;LEFT($R1465,600)&amp;CHAR(10)&amp;CHAR(10)&amp;"This is an automated notification from HP Mainstream EQMS."),"✉ Open Email Draft"),"")</f>
        <v/>
      </c>
    </row>
    <row r="1466">
      <c r="A1466" s="25">
        <f>IF($C1466="","","AUD-2026-"&amp;TEXT(ROW()-1,"000000"))</f>
        <v/>
      </c>
      <c r="B1466" s="26" t="n"/>
      <c r="C1466" s="27" t="n"/>
      <c r="D1466" s="25">
        <f>IF($C1466="","",IFERROR(IF(INDEX(Roster!$A:$A,MATCH($C1466,Roster!$B:$B,0))="","",INDEX(Roster!$A:$A,MATCH($C1466,Roster!$B:$B,0))&amp;""),"—"))</f>
        <v/>
      </c>
      <c r="E1466" s="25">
        <f>IF($C1466="","",IFERROR(IF(INDEX(Roster!$C:$C,MATCH($C1466,Roster!$B:$B,0))="","",INDEX(Roster!$C:$C,MATCH($C1466,Roster!$B:$B,0))&amp;""),"—"))</f>
        <v/>
      </c>
      <c r="F1466" s="25">
        <f>IF($C1466="","",IFERROR(IF(INDEX(Roster!$D:$D,MATCH($C1466,Roster!$B:$B,0))="","",INDEX(Roster!$D:$D,MATCH($C1466,Roster!$B:$B,0))&amp;""),"—"))</f>
        <v/>
      </c>
      <c r="G1466" s="25">
        <f>IF($C1466="","",IFERROR(IF(INDEX(Roster!$E:$E,MATCH($C1466,Roster!$B:$B,0))="","",INDEX(Roster!$E:$E,MATCH($C1466,Roster!$B:$B,0))&amp;""),"—"))</f>
        <v/>
      </c>
      <c r="H1466" s="25">
        <f>IF($C1466="","",IFERROR(IF(INDEX(Roster!$F:$F,MATCH($C1466,Roster!$B:$B,0))="","",INDEX(Roster!$F:$F,MATCH($C1466,Roster!$B:$B,0))&amp;""),"—"))</f>
        <v/>
      </c>
      <c r="I1466" s="25">
        <f>IF($C1466="","",IFERROR(IF(INDEX(Roster!$G:$G,MATCH($C1466,Roster!$B:$B,0))="","",INDEX(Roster!$G:$G,MATCH($C1466,Roster!$B:$B,0))&amp;""),"—"))</f>
        <v/>
      </c>
      <c r="J1466" s="25">
        <f>IF($C1466="","",IFERROR(IF(INDEX(Roster!$I:$I,MATCH($C1466,Roster!$B:$B,0))="","",INDEX(Roster!$I:$I,MATCH($C1466,Roster!$B:$B,0))&amp;""),"—"))</f>
        <v/>
      </c>
      <c r="K1466">
        <f>IF($C1466="","",IFERROR(IF(INDEX(Roster!$J:$J,MATCH($C1466,Roster!$B:$B,0))="","",INDEX(Roster!$J:$J,MATCH($C1466,Roster!$B:$B,0))&amp;""),"—"))</f>
        <v/>
      </c>
      <c r="L1466">
        <f>IF($C1466="","",IFERROR(IF(INDEX(Roster!$K:$K,MATCH($C1466,Roster!$B:$B,0))="","",INDEX(Roster!$K:$K,MATCH($C1466,Roster!$B:$B,0))&amp;""),"—"))</f>
        <v/>
      </c>
      <c r="M1466" s="27" t="n"/>
      <c r="N1466" s="27" t="n"/>
      <c r="O1466" s="25">
        <f>IF($C1466="","",IF($P1466="","—",IF($P1466="Valid (Pass)","Valid","Invalid")))</f>
        <v/>
      </c>
      <c r="P1466" s="27" t="n"/>
      <c r="Q1466" s="27" t="n"/>
      <c r="R1466" s="27" t="n"/>
      <c r="S1466" s="27" t="n"/>
      <c r="T1466" s="25">
        <f>IF($C1466="","",IF(OR(ISNUMBER(SEARCH("quick case",$P1466)),ISNUMBER(SEARCH("quick case",$Q1466))),"Yes","No"))</f>
        <v/>
      </c>
      <c r="U1466" s="25">
        <f>IF($O1466="Invalid",HYPERLINK("mailto:"&amp;$G1466&amp;";"&amp;$I1466&amp;"?cc="&amp;Lists!$E$2&amp;"&amp;subject="&amp;_xlfn.ENCODEURL("[INVALID] Quality audit monitoring completed for "&amp;UPPER($C1466))&amp;"&amp;body="&amp;_xlfn.ENCODEURL("Hi "&amp;$F1466&amp;","&amp;CHAR(10)&amp;"Good day!"&amp;CHAR(10)&amp;CHAR(10)&amp;"A quality monitoring audit has been completed for "&amp;$C1466&amp;"."&amp;CHAR(10)&amp;CHAR(10)&amp;"QUALITY AUDIT DETAILS"&amp;CHAR(10)&amp;"Agent Name: "&amp;$C1466&amp;" (EID "&amp;$D1466&amp;")"&amp;CHAR(10)&amp;"Audit Date: "&amp;TEXT($B1466,"yyyy-mm-dd")&amp;CHAR(10)&amp;"Team Leader: "&amp;$F1466&amp;CHAR(10)&amp;"Case Number: "&amp;$M1466&amp;CHAR(10)&amp;"Transaction ID: "&amp;$N1466&amp;CHAR(10)&amp;"Channel / LOB: "&amp;$K1466&amp;" / "&amp;$L1466&amp;CHAR(10)&amp;"Evaluator: "&amp;$S1466&amp;CHAR(10)&amp;CHAR(10)&amp;"INVALID QUALITY AUDIT DETAILS"&amp;CHAR(10)&amp;"Validation: Invalid"&amp;CHAR(10)&amp;"Invalid Reason: "&amp;$P1466&amp;CHAR(10)&amp;"Expected Resolution Code: "&amp;$Q1466&amp;CHAR(10)&amp;"Remarks: "&amp;LEFT($R1466,600)&amp;CHAR(10)&amp;CHAR(10)&amp;"This is an automated notification from HP Mainstream EQMS."),"✉ Open Email Draft"),"")</f>
        <v/>
      </c>
    </row>
    <row r="1467">
      <c r="A1467" s="25">
        <f>IF($C1467="","","AUD-2026-"&amp;TEXT(ROW()-1,"000000"))</f>
        <v/>
      </c>
      <c r="B1467" s="26" t="n"/>
      <c r="C1467" s="27" t="n"/>
      <c r="D1467" s="25">
        <f>IF($C1467="","",IFERROR(IF(INDEX(Roster!$A:$A,MATCH($C1467,Roster!$B:$B,0))="","",INDEX(Roster!$A:$A,MATCH($C1467,Roster!$B:$B,0))&amp;""),"—"))</f>
        <v/>
      </c>
      <c r="E1467" s="25">
        <f>IF($C1467="","",IFERROR(IF(INDEX(Roster!$C:$C,MATCH($C1467,Roster!$B:$B,0))="","",INDEX(Roster!$C:$C,MATCH($C1467,Roster!$B:$B,0))&amp;""),"—"))</f>
        <v/>
      </c>
      <c r="F1467" s="25">
        <f>IF($C1467="","",IFERROR(IF(INDEX(Roster!$D:$D,MATCH($C1467,Roster!$B:$B,0))="","",INDEX(Roster!$D:$D,MATCH($C1467,Roster!$B:$B,0))&amp;""),"—"))</f>
        <v/>
      </c>
      <c r="G1467" s="25">
        <f>IF($C1467="","",IFERROR(IF(INDEX(Roster!$E:$E,MATCH($C1467,Roster!$B:$B,0))="","",INDEX(Roster!$E:$E,MATCH($C1467,Roster!$B:$B,0))&amp;""),"—"))</f>
        <v/>
      </c>
      <c r="H1467" s="25">
        <f>IF($C1467="","",IFERROR(IF(INDEX(Roster!$F:$F,MATCH($C1467,Roster!$B:$B,0))="","",INDEX(Roster!$F:$F,MATCH($C1467,Roster!$B:$B,0))&amp;""),"—"))</f>
        <v/>
      </c>
      <c r="I1467" s="25">
        <f>IF($C1467="","",IFERROR(IF(INDEX(Roster!$G:$G,MATCH($C1467,Roster!$B:$B,0))="","",INDEX(Roster!$G:$G,MATCH($C1467,Roster!$B:$B,0))&amp;""),"—"))</f>
        <v/>
      </c>
      <c r="J1467" s="25">
        <f>IF($C1467="","",IFERROR(IF(INDEX(Roster!$I:$I,MATCH($C1467,Roster!$B:$B,0))="","",INDEX(Roster!$I:$I,MATCH($C1467,Roster!$B:$B,0))&amp;""),"—"))</f>
        <v/>
      </c>
      <c r="K1467">
        <f>IF($C1467="","",IFERROR(IF(INDEX(Roster!$J:$J,MATCH($C1467,Roster!$B:$B,0))="","",INDEX(Roster!$J:$J,MATCH($C1467,Roster!$B:$B,0))&amp;""),"—"))</f>
        <v/>
      </c>
      <c r="L1467">
        <f>IF($C1467="","",IFERROR(IF(INDEX(Roster!$K:$K,MATCH($C1467,Roster!$B:$B,0))="","",INDEX(Roster!$K:$K,MATCH($C1467,Roster!$B:$B,0))&amp;""),"—"))</f>
        <v/>
      </c>
      <c r="M1467" s="27" t="n"/>
      <c r="N1467" s="27" t="n"/>
      <c r="O1467" s="25">
        <f>IF($C1467="","",IF($P1467="","—",IF($P1467="Valid (Pass)","Valid","Invalid")))</f>
        <v/>
      </c>
      <c r="P1467" s="27" t="n"/>
      <c r="Q1467" s="27" t="n"/>
      <c r="R1467" s="27" t="n"/>
      <c r="S1467" s="27" t="n"/>
      <c r="T1467" s="25">
        <f>IF($C1467="","",IF(OR(ISNUMBER(SEARCH("quick case",$P1467)),ISNUMBER(SEARCH("quick case",$Q1467))),"Yes","No"))</f>
        <v/>
      </c>
      <c r="U1467" s="25">
        <f>IF($O1467="Invalid",HYPERLINK("mailto:"&amp;$G1467&amp;";"&amp;$I1467&amp;"?cc="&amp;Lists!$E$2&amp;"&amp;subject="&amp;_xlfn.ENCODEURL("[INVALID] Quality audit monitoring completed for "&amp;UPPER($C1467))&amp;"&amp;body="&amp;_xlfn.ENCODEURL("Hi "&amp;$F1467&amp;","&amp;CHAR(10)&amp;"Good day!"&amp;CHAR(10)&amp;CHAR(10)&amp;"A quality monitoring audit has been completed for "&amp;$C1467&amp;"."&amp;CHAR(10)&amp;CHAR(10)&amp;"QUALITY AUDIT DETAILS"&amp;CHAR(10)&amp;"Agent Name: "&amp;$C1467&amp;" (EID "&amp;$D1467&amp;")"&amp;CHAR(10)&amp;"Audit Date: "&amp;TEXT($B1467,"yyyy-mm-dd")&amp;CHAR(10)&amp;"Team Leader: "&amp;$F1467&amp;CHAR(10)&amp;"Case Number: "&amp;$M1467&amp;CHAR(10)&amp;"Transaction ID: "&amp;$N1467&amp;CHAR(10)&amp;"Channel / LOB: "&amp;$K1467&amp;" / "&amp;$L1467&amp;CHAR(10)&amp;"Evaluator: "&amp;$S1467&amp;CHAR(10)&amp;CHAR(10)&amp;"INVALID QUALITY AUDIT DETAILS"&amp;CHAR(10)&amp;"Validation: Invalid"&amp;CHAR(10)&amp;"Invalid Reason: "&amp;$P1467&amp;CHAR(10)&amp;"Expected Resolution Code: "&amp;$Q1467&amp;CHAR(10)&amp;"Remarks: "&amp;LEFT($R1467,600)&amp;CHAR(10)&amp;CHAR(10)&amp;"This is an automated notification from HP Mainstream EQMS."),"✉ Open Email Draft"),"")</f>
        <v/>
      </c>
    </row>
    <row r="1468">
      <c r="A1468" s="25">
        <f>IF($C1468="","","AUD-2026-"&amp;TEXT(ROW()-1,"000000"))</f>
        <v/>
      </c>
      <c r="B1468" s="26" t="n"/>
      <c r="C1468" s="27" t="n"/>
      <c r="D1468" s="25">
        <f>IF($C1468="","",IFERROR(IF(INDEX(Roster!$A:$A,MATCH($C1468,Roster!$B:$B,0))="","",INDEX(Roster!$A:$A,MATCH($C1468,Roster!$B:$B,0))&amp;""),"—"))</f>
        <v/>
      </c>
      <c r="E1468" s="25">
        <f>IF($C1468="","",IFERROR(IF(INDEX(Roster!$C:$C,MATCH($C1468,Roster!$B:$B,0))="","",INDEX(Roster!$C:$C,MATCH($C1468,Roster!$B:$B,0))&amp;""),"—"))</f>
        <v/>
      </c>
      <c r="F1468" s="25">
        <f>IF($C1468="","",IFERROR(IF(INDEX(Roster!$D:$D,MATCH($C1468,Roster!$B:$B,0))="","",INDEX(Roster!$D:$D,MATCH($C1468,Roster!$B:$B,0))&amp;""),"—"))</f>
        <v/>
      </c>
      <c r="G1468" s="25">
        <f>IF($C1468="","",IFERROR(IF(INDEX(Roster!$E:$E,MATCH($C1468,Roster!$B:$B,0))="","",INDEX(Roster!$E:$E,MATCH($C1468,Roster!$B:$B,0))&amp;""),"—"))</f>
        <v/>
      </c>
      <c r="H1468" s="25">
        <f>IF($C1468="","",IFERROR(IF(INDEX(Roster!$F:$F,MATCH($C1468,Roster!$B:$B,0))="","",INDEX(Roster!$F:$F,MATCH($C1468,Roster!$B:$B,0))&amp;""),"—"))</f>
        <v/>
      </c>
      <c r="I1468" s="25">
        <f>IF($C1468="","",IFERROR(IF(INDEX(Roster!$G:$G,MATCH($C1468,Roster!$B:$B,0))="","",INDEX(Roster!$G:$G,MATCH($C1468,Roster!$B:$B,0))&amp;""),"—"))</f>
        <v/>
      </c>
      <c r="J1468" s="25">
        <f>IF($C1468="","",IFERROR(IF(INDEX(Roster!$I:$I,MATCH($C1468,Roster!$B:$B,0))="","",INDEX(Roster!$I:$I,MATCH($C1468,Roster!$B:$B,0))&amp;""),"—"))</f>
        <v/>
      </c>
      <c r="K1468">
        <f>IF($C1468="","",IFERROR(IF(INDEX(Roster!$J:$J,MATCH($C1468,Roster!$B:$B,0))="","",INDEX(Roster!$J:$J,MATCH($C1468,Roster!$B:$B,0))&amp;""),"—"))</f>
        <v/>
      </c>
      <c r="L1468">
        <f>IF($C1468="","",IFERROR(IF(INDEX(Roster!$K:$K,MATCH($C1468,Roster!$B:$B,0))="","",INDEX(Roster!$K:$K,MATCH($C1468,Roster!$B:$B,0))&amp;""),"—"))</f>
        <v/>
      </c>
      <c r="M1468" s="27" t="n"/>
      <c r="N1468" s="27" t="n"/>
      <c r="O1468" s="25">
        <f>IF($C1468="","",IF($P1468="","—",IF($P1468="Valid (Pass)","Valid","Invalid")))</f>
        <v/>
      </c>
      <c r="P1468" s="27" t="n"/>
      <c r="Q1468" s="27" t="n"/>
      <c r="R1468" s="27" t="n"/>
      <c r="S1468" s="27" t="n"/>
      <c r="T1468" s="25">
        <f>IF($C1468="","",IF(OR(ISNUMBER(SEARCH("quick case",$P1468)),ISNUMBER(SEARCH("quick case",$Q1468))),"Yes","No"))</f>
        <v/>
      </c>
      <c r="U1468" s="25">
        <f>IF($O1468="Invalid",HYPERLINK("mailto:"&amp;$G1468&amp;";"&amp;$I1468&amp;"?cc="&amp;Lists!$E$2&amp;"&amp;subject="&amp;_xlfn.ENCODEURL("[INVALID] Quality audit monitoring completed for "&amp;UPPER($C1468))&amp;"&amp;body="&amp;_xlfn.ENCODEURL("Hi "&amp;$F1468&amp;","&amp;CHAR(10)&amp;"Good day!"&amp;CHAR(10)&amp;CHAR(10)&amp;"A quality monitoring audit has been completed for "&amp;$C1468&amp;"."&amp;CHAR(10)&amp;CHAR(10)&amp;"QUALITY AUDIT DETAILS"&amp;CHAR(10)&amp;"Agent Name: "&amp;$C1468&amp;" (EID "&amp;$D1468&amp;")"&amp;CHAR(10)&amp;"Audit Date: "&amp;TEXT($B1468,"yyyy-mm-dd")&amp;CHAR(10)&amp;"Team Leader: "&amp;$F1468&amp;CHAR(10)&amp;"Case Number: "&amp;$M1468&amp;CHAR(10)&amp;"Transaction ID: "&amp;$N1468&amp;CHAR(10)&amp;"Channel / LOB: "&amp;$K1468&amp;" / "&amp;$L1468&amp;CHAR(10)&amp;"Evaluator: "&amp;$S1468&amp;CHAR(10)&amp;CHAR(10)&amp;"INVALID QUALITY AUDIT DETAILS"&amp;CHAR(10)&amp;"Validation: Invalid"&amp;CHAR(10)&amp;"Invalid Reason: "&amp;$P1468&amp;CHAR(10)&amp;"Expected Resolution Code: "&amp;$Q1468&amp;CHAR(10)&amp;"Remarks: "&amp;LEFT($R1468,600)&amp;CHAR(10)&amp;CHAR(10)&amp;"This is an automated notification from HP Mainstream EQMS."),"✉ Open Email Draft"),"")</f>
        <v/>
      </c>
    </row>
    <row r="1469">
      <c r="A1469" s="25">
        <f>IF($C1469="","","AUD-2026-"&amp;TEXT(ROW()-1,"000000"))</f>
        <v/>
      </c>
      <c r="B1469" s="26" t="n"/>
      <c r="C1469" s="27" t="n"/>
      <c r="D1469" s="25">
        <f>IF($C1469="","",IFERROR(IF(INDEX(Roster!$A:$A,MATCH($C1469,Roster!$B:$B,0))="","",INDEX(Roster!$A:$A,MATCH($C1469,Roster!$B:$B,0))&amp;""),"—"))</f>
        <v/>
      </c>
      <c r="E1469" s="25">
        <f>IF($C1469="","",IFERROR(IF(INDEX(Roster!$C:$C,MATCH($C1469,Roster!$B:$B,0))="","",INDEX(Roster!$C:$C,MATCH($C1469,Roster!$B:$B,0))&amp;""),"—"))</f>
        <v/>
      </c>
      <c r="F1469" s="25">
        <f>IF($C1469="","",IFERROR(IF(INDEX(Roster!$D:$D,MATCH($C1469,Roster!$B:$B,0))="","",INDEX(Roster!$D:$D,MATCH($C1469,Roster!$B:$B,0))&amp;""),"—"))</f>
        <v/>
      </c>
      <c r="G1469" s="25">
        <f>IF($C1469="","",IFERROR(IF(INDEX(Roster!$E:$E,MATCH($C1469,Roster!$B:$B,0))="","",INDEX(Roster!$E:$E,MATCH($C1469,Roster!$B:$B,0))&amp;""),"—"))</f>
        <v/>
      </c>
      <c r="H1469" s="25">
        <f>IF($C1469="","",IFERROR(IF(INDEX(Roster!$F:$F,MATCH($C1469,Roster!$B:$B,0))="","",INDEX(Roster!$F:$F,MATCH($C1469,Roster!$B:$B,0))&amp;""),"—"))</f>
        <v/>
      </c>
      <c r="I1469" s="25">
        <f>IF($C1469="","",IFERROR(IF(INDEX(Roster!$G:$G,MATCH($C1469,Roster!$B:$B,0))="","",INDEX(Roster!$G:$G,MATCH($C1469,Roster!$B:$B,0))&amp;""),"—"))</f>
        <v/>
      </c>
      <c r="J1469" s="25">
        <f>IF($C1469="","",IFERROR(IF(INDEX(Roster!$I:$I,MATCH($C1469,Roster!$B:$B,0))="","",INDEX(Roster!$I:$I,MATCH($C1469,Roster!$B:$B,0))&amp;""),"—"))</f>
        <v/>
      </c>
      <c r="K1469">
        <f>IF($C1469="","",IFERROR(IF(INDEX(Roster!$J:$J,MATCH($C1469,Roster!$B:$B,0))="","",INDEX(Roster!$J:$J,MATCH($C1469,Roster!$B:$B,0))&amp;""),"—"))</f>
        <v/>
      </c>
      <c r="L1469">
        <f>IF($C1469="","",IFERROR(IF(INDEX(Roster!$K:$K,MATCH($C1469,Roster!$B:$B,0))="","",INDEX(Roster!$K:$K,MATCH($C1469,Roster!$B:$B,0))&amp;""),"—"))</f>
        <v/>
      </c>
      <c r="M1469" s="27" t="n"/>
      <c r="N1469" s="27" t="n"/>
      <c r="O1469" s="25">
        <f>IF($C1469="","",IF($P1469="","—",IF($P1469="Valid (Pass)","Valid","Invalid")))</f>
        <v/>
      </c>
      <c r="P1469" s="27" t="n"/>
      <c r="Q1469" s="27" t="n"/>
      <c r="R1469" s="27" t="n"/>
      <c r="S1469" s="27" t="n"/>
      <c r="T1469" s="25">
        <f>IF($C1469="","",IF(OR(ISNUMBER(SEARCH("quick case",$P1469)),ISNUMBER(SEARCH("quick case",$Q1469))),"Yes","No"))</f>
        <v/>
      </c>
      <c r="U1469" s="25">
        <f>IF($O1469="Invalid",HYPERLINK("mailto:"&amp;$G1469&amp;";"&amp;$I1469&amp;"?cc="&amp;Lists!$E$2&amp;"&amp;subject="&amp;_xlfn.ENCODEURL("[INVALID] Quality audit monitoring completed for "&amp;UPPER($C1469))&amp;"&amp;body="&amp;_xlfn.ENCODEURL("Hi "&amp;$F1469&amp;","&amp;CHAR(10)&amp;"Good day!"&amp;CHAR(10)&amp;CHAR(10)&amp;"A quality monitoring audit has been completed for "&amp;$C1469&amp;"."&amp;CHAR(10)&amp;CHAR(10)&amp;"QUALITY AUDIT DETAILS"&amp;CHAR(10)&amp;"Agent Name: "&amp;$C1469&amp;" (EID "&amp;$D1469&amp;")"&amp;CHAR(10)&amp;"Audit Date: "&amp;TEXT($B1469,"yyyy-mm-dd")&amp;CHAR(10)&amp;"Team Leader: "&amp;$F1469&amp;CHAR(10)&amp;"Case Number: "&amp;$M1469&amp;CHAR(10)&amp;"Transaction ID: "&amp;$N1469&amp;CHAR(10)&amp;"Channel / LOB: "&amp;$K1469&amp;" / "&amp;$L1469&amp;CHAR(10)&amp;"Evaluator: "&amp;$S1469&amp;CHAR(10)&amp;CHAR(10)&amp;"INVALID QUALITY AUDIT DETAILS"&amp;CHAR(10)&amp;"Validation: Invalid"&amp;CHAR(10)&amp;"Invalid Reason: "&amp;$P1469&amp;CHAR(10)&amp;"Expected Resolution Code: "&amp;$Q1469&amp;CHAR(10)&amp;"Remarks: "&amp;LEFT($R1469,600)&amp;CHAR(10)&amp;CHAR(10)&amp;"This is an automated notification from HP Mainstream EQMS."),"✉ Open Email Draft"),"")</f>
        <v/>
      </c>
    </row>
    <row r="1470">
      <c r="A1470" s="25">
        <f>IF($C1470="","","AUD-2026-"&amp;TEXT(ROW()-1,"000000"))</f>
        <v/>
      </c>
      <c r="B1470" s="26" t="n"/>
      <c r="C1470" s="27" t="n"/>
      <c r="D1470" s="25">
        <f>IF($C1470="","",IFERROR(IF(INDEX(Roster!$A:$A,MATCH($C1470,Roster!$B:$B,0))="","",INDEX(Roster!$A:$A,MATCH($C1470,Roster!$B:$B,0))&amp;""),"—"))</f>
        <v/>
      </c>
      <c r="E1470" s="25">
        <f>IF($C1470="","",IFERROR(IF(INDEX(Roster!$C:$C,MATCH($C1470,Roster!$B:$B,0))="","",INDEX(Roster!$C:$C,MATCH($C1470,Roster!$B:$B,0))&amp;""),"—"))</f>
        <v/>
      </c>
      <c r="F1470" s="25">
        <f>IF($C1470="","",IFERROR(IF(INDEX(Roster!$D:$D,MATCH($C1470,Roster!$B:$B,0))="","",INDEX(Roster!$D:$D,MATCH($C1470,Roster!$B:$B,0))&amp;""),"—"))</f>
        <v/>
      </c>
      <c r="G1470" s="25">
        <f>IF($C1470="","",IFERROR(IF(INDEX(Roster!$E:$E,MATCH($C1470,Roster!$B:$B,0))="","",INDEX(Roster!$E:$E,MATCH($C1470,Roster!$B:$B,0))&amp;""),"—"))</f>
        <v/>
      </c>
      <c r="H1470" s="25">
        <f>IF($C1470="","",IFERROR(IF(INDEX(Roster!$F:$F,MATCH($C1470,Roster!$B:$B,0))="","",INDEX(Roster!$F:$F,MATCH($C1470,Roster!$B:$B,0))&amp;""),"—"))</f>
        <v/>
      </c>
      <c r="I1470" s="25">
        <f>IF($C1470="","",IFERROR(IF(INDEX(Roster!$G:$G,MATCH($C1470,Roster!$B:$B,0))="","",INDEX(Roster!$G:$G,MATCH($C1470,Roster!$B:$B,0))&amp;""),"—"))</f>
        <v/>
      </c>
      <c r="J1470" s="25">
        <f>IF($C1470="","",IFERROR(IF(INDEX(Roster!$I:$I,MATCH($C1470,Roster!$B:$B,0))="","",INDEX(Roster!$I:$I,MATCH($C1470,Roster!$B:$B,0))&amp;""),"—"))</f>
        <v/>
      </c>
      <c r="K1470">
        <f>IF($C1470="","",IFERROR(IF(INDEX(Roster!$J:$J,MATCH($C1470,Roster!$B:$B,0))="","",INDEX(Roster!$J:$J,MATCH($C1470,Roster!$B:$B,0))&amp;""),"—"))</f>
        <v/>
      </c>
      <c r="L1470">
        <f>IF($C1470="","",IFERROR(IF(INDEX(Roster!$K:$K,MATCH($C1470,Roster!$B:$B,0))="","",INDEX(Roster!$K:$K,MATCH($C1470,Roster!$B:$B,0))&amp;""),"—"))</f>
        <v/>
      </c>
      <c r="M1470" s="27" t="n"/>
      <c r="N1470" s="27" t="n"/>
      <c r="O1470" s="25">
        <f>IF($C1470="","",IF($P1470="","—",IF($P1470="Valid (Pass)","Valid","Invalid")))</f>
        <v/>
      </c>
      <c r="P1470" s="27" t="n"/>
      <c r="Q1470" s="27" t="n"/>
      <c r="R1470" s="27" t="n"/>
      <c r="S1470" s="27" t="n"/>
      <c r="T1470" s="25">
        <f>IF($C1470="","",IF(OR(ISNUMBER(SEARCH("quick case",$P1470)),ISNUMBER(SEARCH("quick case",$Q1470))),"Yes","No"))</f>
        <v/>
      </c>
      <c r="U1470" s="25">
        <f>IF($O1470="Invalid",HYPERLINK("mailto:"&amp;$G1470&amp;";"&amp;$I1470&amp;"?cc="&amp;Lists!$E$2&amp;"&amp;subject="&amp;_xlfn.ENCODEURL("[INVALID] Quality audit monitoring completed for "&amp;UPPER($C1470))&amp;"&amp;body="&amp;_xlfn.ENCODEURL("Hi "&amp;$F1470&amp;","&amp;CHAR(10)&amp;"Good day!"&amp;CHAR(10)&amp;CHAR(10)&amp;"A quality monitoring audit has been completed for "&amp;$C1470&amp;"."&amp;CHAR(10)&amp;CHAR(10)&amp;"QUALITY AUDIT DETAILS"&amp;CHAR(10)&amp;"Agent Name: "&amp;$C1470&amp;" (EID "&amp;$D1470&amp;")"&amp;CHAR(10)&amp;"Audit Date: "&amp;TEXT($B1470,"yyyy-mm-dd")&amp;CHAR(10)&amp;"Team Leader: "&amp;$F1470&amp;CHAR(10)&amp;"Case Number: "&amp;$M1470&amp;CHAR(10)&amp;"Transaction ID: "&amp;$N1470&amp;CHAR(10)&amp;"Channel / LOB: "&amp;$K1470&amp;" / "&amp;$L1470&amp;CHAR(10)&amp;"Evaluator: "&amp;$S1470&amp;CHAR(10)&amp;CHAR(10)&amp;"INVALID QUALITY AUDIT DETAILS"&amp;CHAR(10)&amp;"Validation: Invalid"&amp;CHAR(10)&amp;"Invalid Reason: "&amp;$P1470&amp;CHAR(10)&amp;"Expected Resolution Code: "&amp;$Q1470&amp;CHAR(10)&amp;"Remarks: "&amp;LEFT($R1470,600)&amp;CHAR(10)&amp;CHAR(10)&amp;"This is an automated notification from HP Mainstream EQMS."),"✉ Open Email Draft"),"")</f>
        <v/>
      </c>
    </row>
    <row r="1471">
      <c r="A1471" s="25">
        <f>IF($C1471="","","AUD-2026-"&amp;TEXT(ROW()-1,"000000"))</f>
        <v/>
      </c>
      <c r="B1471" s="26" t="n"/>
      <c r="C1471" s="27" t="n"/>
      <c r="D1471" s="25">
        <f>IF($C1471="","",IFERROR(IF(INDEX(Roster!$A:$A,MATCH($C1471,Roster!$B:$B,0))="","",INDEX(Roster!$A:$A,MATCH($C1471,Roster!$B:$B,0))&amp;""),"—"))</f>
        <v/>
      </c>
      <c r="E1471" s="25">
        <f>IF($C1471="","",IFERROR(IF(INDEX(Roster!$C:$C,MATCH($C1471,Roster!$B:$B,0))="","",INDEX(Roster!$C:$C,MATCH($C1471,Roster!$B:$B,0))&amp;""),"—"))</f>
        <v/>
      </c>
      <c r="F1471" s="25">
        <f>IF($C1471="","",IFERROR(IF(INDEX(Roster!$D:$D,MATCH($C1471,Roster!$B:$B,0))="","",INDEX(Roster!$D:$D,MATCH($C1471,Roster!$B:$B,0))&amp;""),"—"))</f>
        <v/>
      </c>
      <c r="G1471" s="25">
        <f>IF($C1471="","",IFERROR(IF(INDEX(Roster!$E:$E,MATCH($C1471,Roster!$B:$B,0))="","",INDEX(Roster!$E:$E,MATCH($C1471,Roster!$B:$B,0))&amp;""),"—"))</f>
        <v/>
      </c>
      <c r="H1471" s="25">
        <f>IF($C1471="","",IFERROR(IF(INDEX(Roster!$F:$F,MATCH($C1471,Roster!$B:$B,0))="","",INDEX(Roster!$F:$F,MATCH($C1471,Roster!$B:$B,0))&amp;""),"—"))</f>
        <v/>
      </c>
      <c r="I1471" s="25">
        <f>IF($C1471="","",IFERROR(IF(INDEX(Roster!$G:$G,MATCH($C1471,Roster!$B:$B,0))="","",INDEX(Roster!$G:$G,MATCH($C1471,Roster!$B:$B,0))&amp;""),"—"))</f>
        <v/>
      </c>
      <c r="J1471" s="25">
        <f>IF($C1471="","",IFERROR(IF(INDEX(Roster!$I:$I,MATCH($C1471,Roster!$B:$B,0))="","",INDEX(Roster!$I:$I,MATCH($C1471,Roster!$B:$B,0))&amp;""),"—"))</f>
        <v/>
      </c>
      <c r="K1471">
        <f>IF($C1471="","",IFERROR(IF(INDEX(Roster!$J:$J,MATCH($C1471,Roster!$B:$B,0))="","",INDEX(Roster!$J:$J,MATCH($C1471,Roster!$B:$B,0))&amp;""),"—"))</f>
        <v/>
      </c>
      <c r="L1471">
        <f>IF($C1471="","",IFERROR(IF(INDEX(Roster!$K:$K,MATCH($C1471,Roster!$B:$B,0))="","",INDEX(Roster!$K:$K,MATCH($C1471,Roster!$B:$B,0))&amp;""),"—"))</f>
        <v/>
      </c>
      <c r="M1471" s="27" t="n"/>
      <c r="N1471" s="27" t="n"/>
      <c r="O1471" s="25">
        <f>IF($C1471="","",IF($P1471="","—",IF($P1471="Valid (Pass)","Valid","Invalid")))</f>
        <v/>
      </c>
      <c r="P1471" s="27" t="n"/>
      <c r="Q1471" s="27" t="n"/>
      <c r="R1471" s="27" t="n"/>
      <c r="S1471" s="27" t="n"/>
      <c r="T1471" s="25">
        <f>IF($C1471="","",IF(OR(ISNUMBER(SEARCH("quick case",$P1471)),ISNUMBER(SEARCH("quick case",$Q1471))),"Yes","No"))</f>
        <v/>
      </c>
      <c r="U1471" s="25">
        <f>IF($O1471="Invalid",HYPERLINK("mailto:"&amp;$G1471&amp;";"&amp;$I1471&amp;"?cc="&amp;Lists!$E$2&amp;"&amp;subject="&amp;_xlfn.ENCODEURL("[INVALID] Quality audit monitoring completed for "&amp;UPPER($C1471))&amp;"&amp;body="&amp;_xlfn.ENCODEURL("Hi "&amp;$F1471&amp;","&amp;CHAR(10)&amp;"Good day!"&amp;CHAR(10)&amp;CHAR(10)&amp;"A quality monitoring audit has been completed for "&amp;$C1471&amp;"."&amp;CHAR(10)&amp;CHAR(10)&amp;"QUALITY AUDIT DETAILS"&amp;CHAR(10)&amp;"Agent Name: "&amp;$C1471&amp;" (EID "&amp;$D1471&amp;")"&amp;CHAR(10)&amp;"Audit Date: "&amp;TEXT($B1471,"yyyy-mm-dd")&amp;CHAR(10)&amp;"Team Leader: "&amp;$F1471&amp;CHAR(10)&amp;"Case Number: "&amp;$M1471&amp;CHAR(10)&amp;"Transaction ID: "&amp;$N1471&amp;CHAR(10)&amp;"Channel / LOB: "&amp;$K1471&amp;" / "&amp;$L1471&amp;CHAR(10)&amp;"Evaluator: "&amp;$S1471&amp;CHAR(10)&amp;CHAR(10)&amp;"INVALID QUALITY AUDIT DETAILS"&amp;CHAR(10)&amp;"Validation: Invalid"&amp;CHAR(10)&amp;"Invalid Reason: "&amp;$P1471&amp;CHAR(10)&amp;"Expected Resolution Code: "&amp;$Q1471&amp;CHAR(10)&amp;"Remarks: "&amp;LEFT($R1471,600)&amp;CHAR(10)&amp;CHAR(10)&amp;"This is an automated notification from HP Mainstream EQMS."),"✉ Open Email Draft"),"")</f>
        <v/>
      </c>
    </row>
    <row r="1472">
      <c r="A1472" s="25">
        <f>IF($C1472="","","AUD-2026-"&amp;TEXT(ROW()-1,"000000"))</f>
        <v/>
      </c>
      <c r="B1472" s="26" t="n"/>
      <c r="C1472" s="27" t="n"/>
      <c r="D1472" s="25">
        <f>IF($C1472="","",IFERROR(IF(INDEX(Roster!$A:$A,MATCH($C1472,Roster!$B:$B,0))="","",INDEX(Roster!$A:$A,MATCH($C1472,Roster!$B:$B,0))&amp;""),"—"))</f>
        <v/>
      </c>
      <c r="E1472" s="25">
        <f>IF($C1472="","",IFERROR(IF(INDEX(Roster!$C:$C,MATCH($C1472,Roster!$B:$B,0))="","",INDEX(Roster!$C:$C,MATCH($C1472,Roster!$B:$B,0))&amp;""),"—"))</f>
        <v/>
      </c>
      <c r="F1472" s="25">
        <f>IF($C1472="","",IFERROR(IF(INDEX(Roster!$D:$D,MATCH($C1472,Roster!$B:$B,0))="","",INDEX(Roster!$D:$D,MATCH($C1472,Roster!$B:$B,0))&amp;""),"—"))</f>
        <v/>
      </c>
      <c r="G1472" s="25">
        <f>IF($C1472="","",IFERROR(IF(INDEX(Roster!$E:$E,MATCH($C1472,Roster!$B:$B,0))="","",INDEX(Roster!$E:$E,MATCH($C1472,Roster!$B:$B,0))&amp;""),"—"))</f>
        <v/>
      </c>
      <c r="H1472" s="25">
        <f>IF($C1472="","",IFERROR(IF(INDEX(Roster!$F:$F,MATCH($C1472,Roster!$B:$B,0))="","",INDEX(Roster!$F:$F,MATCH($C1472,Roster!$B:$B,0))&amp;""),"—"))</f>
        <v/>
      </c>
      <c r="I1472" s="25">
        <f>IF($C1472="","",IFERROR(IF(INDEX(Roster!$G:$G,MATCH($C1472,Roster!$B:$B,0))="","",INDEX(Roster!$G:$G,MATCH($C1472,Roster!$B:$B,0))&amp;""),"—"))</f>
        <v/>
      </c>
      <c r="J1472" s="25">
        <f>IF($C1472="","",IFERROR(IF(INDEX(Roster!$I:$I,MATCH($C1472,Roster!$B:$B,0))="","",INDEX(Roster!$I:$I,MATCH($C1472,Roster!$B:$B,0))&amp;""),"—"))</f>
        <v/>
      </c>
      <c r="K1472">
        <f>IF($C1472="","",IFERROR(IF(INDEX(Roster!$J:$J,MATCH($C1472,Roster!$B:$B,0))="","",INDEX(Roster!$J:$J,MATCH($C1472,Roster!$B:$B,0))&amp;""),"—"))</f>
        <v/>
      </c>
      <c r="L1472">
        <f>IF($C1472="","",IFERROR(IF(INDEX(Roster!$K:$K,MATCH($C1472,Roster!$B:$B,0))="","",INDEX(Roster!$K:$K,MATCH($C1472,Roster!$B:$B,0))&amp;""),"—"))</f>
        <v/>
      </c>
      <c r="M1472" s="27" t="n"/>
      <c r="N1472" s="27" t="n"/>
      <c r="O1472" s="25">
        <f>IF($C1472="","",IF($P1472="","—",IF($P1472="Valid (Pass)","Valid","Invalid")))</f>
        <v/>
      </c>
      <c r="P1472" s="27" t="n"/>
      <c r="Q1472" s="27" t="n"/>
      <c r="R1472" s="27" t="n"/>
      <c r="S1472" s="27" t="n"/>
      <c r="T1472" s="25">
        <f>IF($C1472="","",IF(OR(ISNUMBER(SEARCH("quick case",$P1472)),ISNUMBER(SEARCH("quick case",$Q1472))),"Yes","No"))</f>
        <v/>
      </c>
      <c r="U1472" s="25">
        <f>IF($O1472="Invalid",HYPERLINK("mailto:"&amp;$G1472&amp;";"&amp;$I1472&amp;"?cc="&amp;Lists!$E$2&amp;"&amp;subject="&amp;_xlfn.ENCODEURL("[INVALID] Quality audit monitoring completed for "&amp;UPPER($C1472))&amp;"&amp;body="&amp;_xlfn.ENCODEURL("Hi "&amp;$F1472&amp;","&amp;CHAR(10)&amp;"Good day!"&amp;CHAR(10)&amp;CHAR(10)&amp;"A quality monitoring audit has been completed for "&amp;$C1472&amp;"."&amp;CHAR(10)&amp;CHAR(10)&amp;"QUALITY AUDIT DETAILS"&amp;CHAR(10)&amp;"Agent Name: "&amp;$C1472&amp;" (EID "&amp;$D1472&amp;")"&amp;CHAR(10)&amp;"Audit Date: "&amp;TEXT($B1472,"yyyy-mm-dd")&amp;CHAR(10)&amp;"Team Leader: "&amp;$F1472&amp;CHAR(10)&amp;"Case Number: "&amp;$M1472&amp;CHAR(10)&amp;"Transaction ID: "&amp;$N1472&amp;CHAR(10)&amp;"Channel / LOB: "&amp;$K1472&amp;" / "&amp;$L1472&amp;CHAR(10)&amp;"Evaluator: "&amp;$S1472&amp;CHAR(10)&amp;CHAR(10)&amp;"INVALID QUALITY AUDIT DETAILS"&amp;CHAR(10)&amp;"Validation: Invalid"&amp;CHAR(10)&amp;"Invalid Reason: "&amp;$P1472&amp;CHAR(10)&amp;"Expected Resolution Code: "&amp;$Q1472&amp;CHAR(10)&amp;"Remarks: "&amp;LEFT($R1472,600)&amp;CHAR(10)&amp;CHAR(10)&amp;"This is an automated notification from HP Mainstream EQMS."),"✉ Open Email Draft"),"")</f>
        <v/>
      </c>
    </row>
    <row r="1473">
      <c r="A1473" s="25">
        <f>IF($C1473="","","AUD-2026-"&amp;TEXT(ROW()-1,"000000"))</f>
        <v/>
      </c>
      <c r="B1473" s="26" t="n"/>
      <c r="C1473" s="27" t="n"/>
      <c r="D1473" s="25">
        <f>IF($C1473="","",IFERROR(IF(INDEX(Roster!$A:$A,MATCH($C1473,Roster!$B:$B,0))="","",INDEX(Roster!$A:$A,MATCH($C1473,Roster!$B:$B,0))&amp;""),"—"))</f>
        <v/>
      </c>
      <c r="E1473" s="25">
        <f>IF($C1473="","",IFERROR(IF(INDEX(Roster!$C:$C,MATCH($C1473,Roster!$B:$B,0))="","",INDEX(Roster!$C:$C,MATCH($C1473,Roster!$B:$B,0))&amp;""),"—"))</f>
        <v/>
      </c>
      <c r="F1473" s="25">
        <f>IF($C1473="","",IFERROR(IF(INDEX(Roster!$D:$D,MATCH($C1473,Roster!$B:$B,0))="","",INDEX(Roster!$D:$D,MATCH($C1473,Roster!$B:$B,0))&amp;""),"—"))</f>
        <v/>
      </c>
      <c r="G1473" s="25">
        <f>IF($C1473="","",IFERROR(IF(INDEX(Roster!$E:$E,MATCH($C1473,Roster!$B:$B,0))="","",INDEX(Roster!$E:$E,MATCH($C1473,Roster!$B:$B,0))&amp;""),"—"))</f>
        <v/>
      </c>
      <c r="H1473" s="25">
        <f>IF($C1473="","",IFERROR(IF(INDEX(Roster!$F:$F,MATCH($C1473,Roster!$B:$B,0))="","",INDEX(Roster!$F:$F,MATCH($C1473,Roster!$B:$B,0))&amp;""),"—"))</f>
        <v/>
      </c>
      <c r="I1473" s="25">
        <f>IF($C1473="","",IFERROR(IF(INDEX(Roster!$G:$G,MATCH($C1473,Roster!$B:$B,0))="","",INDEX(Roster!$G:$G,MATCH($C1473,Roster!$B:$B,0))&amp;""),"—"))</f>
        <v/>
      </c>
      <c r="J1473" s="25">
        <f>IF($C1473="","",IFERROR(IF(INDEX(Roster!$I:$I,MATCH($C1473,Roster!$B:$B,0))="","",INDEX(Roster!$I:$I,MATCH($C1473,Roster!$B:$B,0))&amp;""),"—"))</f>
        <v/>
      </c>
      <c r="K1473">
        <f>IF($C1473="","",IFERROR(IF(INDEX(Roster!$J:$J,MATCH($C1473,Roster!$B:$B,0))="","",INDEX(Roster!$J:$J,MATCH($C1473,Roster!$B:$B,0))&amp;""),"—"))</f>
        <v/>
      </c>
      <c r="L1473">
        <f>IF($C1473="","",IFERROR(IF(INDEX(Roster!$K:$K,MATCH($C1473,Roster!$B:$B,0))="","",INDEX(Roster!$K:$K,MATCH($C1473,Roster!$B:$B,0))&amp;""),"—"))</f>
        <v/>
      </c>
      <c r="M1473" s="27" t="n"/>
      <c r="N1473" s="27" t="n"/>
      <c r="O1473" s="25">
        <f>IF($C1473="","",IF($P1473="","—",IF($P1473="Valid (Pass)","Valid","Invalid")))</f>
        <v/>
      </c>
      <c r="P1473" s="27" t="n"/>
      <c r="Q1473" s="27" t="n"/>
      <c r="R1473" s="27" t="n"/>
      <c r="S1473" s="27" t="n"/>
      <c r="T1473" s="25">
        <f>IF($C1473="","",IF(OR(ISNUMBER(SEARCH("quick case",$P1473)),ISNUMBER(SEARCH("quick case",$Q1473))),"Yes","No"))</f>
        <v/>
      </c>
      <c r="U1473" s="25">
        <f>IF($O1473="Invalid",HYPERLINK("mailto:"&amp;$G1473&amp;";"&amp;$I1473&amp;"?cc="&amp;Lists!$E$2&amp;"&amp;subject="&amp;_xlfn.ENCODEURL("[INVALID] Quality audit monitoring completed for "&amp;UPPER($C1473))&amp;"&amp;body="&amp;_xlfn.ENCODEURL("Hi "&amp;$F1473&amp;","&amp;CHAR(10)&amp;"Good day!"&amp;CHAR(10)&amp;CHAR(10)&amp;"A quality monitoring audit has been completed for "&amp;$C1473&amp;"."&amp;CHAR(10)&amp;CHAR(10)&amp;"QUALITY AUDIT DETAILS"&amp;CHAR(10)&amp;"Agent Name: "&amp;$C1473&amp;" (EID "&amp;$D1473&amp;")"&amp;CHAR(10)&amp;"Audit Date: "&amp;TEXT($B1473,"yyyy-mm-dd")&amp;CHAR(10)&amp;"Team Leader: "&amp;$F1473&amp;CHAR(10)&amp;"Case Number: "&amp;$M1473&amp;CHAR(10)&amp;"Transaction ID: "&amp;$N1473&amp;CHAR(10)&amp;"Channel / LOB: "&amp;$K1473&amp;" / "&amp;$L1473&amp;CHAR(10)&amp;"Evaluator: "&amp;$S1473&amp;CHAR(10)&amp;CHAR(10)&amp;"INVALID QUALITY AUDIT DETAILS"&amp;CHAR(10)&amp;"Validation: Invalid"&amp;CHAR(10)&amp;"Invalid Reason: "&amp;$P1473&amp;CHAR(10)&amp;"Expected Resolution Code: "&amp;$Q1473&amp;CHAR(10)&amp;"Remarks: "&amp;LEFT($R1473,600)&amp;CHAR(10)&amp;CHAR(10)&amp;"This is an automated notification from HP Mainstream EQMS."),"✉ Open Email Draft"),"")</f>
        <v/>
      </c>
    </row>
    <row r="1474">
      <c r="A1474" s="25">
        <f>IF($C1474="","","AUD-2026-"&amp;TEXT(ROW()-1,"000000"))</f>
        <v/>
      </c>
      <c r="B1474" s="26" t="n"/>
      <c r="C1474" s="27" t="n"/>
      <c r="D1474" s="25">
        <f>IF($C1474="","",IFERROR(IF(INDEX(Roster!$A:$A,MATCH($C1474,Roster!$B:$B,0))="","",INDEX(Roster!$A:$A,MATCH($C1474,Roster!$B:$B,0))&amp;""),"—"))</f>
        <v/>
      </c>
      <c r="E1474" s="25">
        <f>IF($C1474="","",IFERROR(IF(INDEX(Roster!$C:$C,MATCH($C1474,Roster!$B:$B,0))="","",INDEX(Roster!$C:$C,MATCH($C1474,Roster!$B:$B,0))&amp;""),"—"))</f>
        <v/>
      </c>
      <c r="F1474" s="25">
        <f>IF($C1474="","",IFERROR(IF(INDEX(Roster!$D:$D,MATCH($C1474,Roster!$B:$B,0))="","",INDEX(Roster!$D:$D,MATCH($C1474,Roster!$B:$B,0))&amp;""),"—"))</f>
        <v/>
      </c>
      <c r="G1474" s="25">
        <f>IF($C1474="","",IFERROR(IF(INDEX(Roster!$E:$E,MATCH($C1474,Roster!$B:$B,0))="","",INDEX(Roster!$E:$E,MATCH($C1474,Roster!$B:$B,0))&amp;""),"—"))</f>
        <v/>
      </c>
      <c r="H1474" s="25">
        <f>IF($C1474="","",IFERROR(IF(INDEX(Roster!$F:$F,MATCH($C1474,Roster!$B:$B,0))="","",INDEX(Roster!$F:$F,MATCH($C1474,Roster!$B:$B,0))&amp;""),"—"))</f>
        <v/>
      </c>
      <c r="I1474" s="25">
        <f>IF($C1474="","",IFERROR(IF(INDEX(Roster!$G:$G,MATCH($C1474,Roster!$B:$B,0))="","",INDEX(Roster!$G:$G,MATCH($C1474,Roster!$B:$B,0))&amp;""),"—"))</f>
        <v/>
      </c>
      <c r="J1474" s="25">
        <f>IF($C1474="","",IFERROR(IF(INDEX(Roster!$I:$I,MATCH($C1474,Roster!$B:$B,0))="","",INDEX(Roster!$I:$I,MATCH($C1474,Roster!$B:$B,0))&amp;""),"—"))</f>
        <v/>
      </c>
      <c r="K1474">
        <f>IF($C1474="","",IFERROR(IF(INDEX(Roster!$J:$J,MATCH($C1474,Roster!$B:$B,0))="","",INDEX(Roster!$J:$J,MATCH($C1474,Roster!$B:$B,0))&amp;""),"—"))</f>
        <v/>
      </c>
      <c r="L1474">
        <f>IF($C1474="","",IFERROR(IF(INDEX(Roster!$K:$K,MATCH($C1474,Roster!$B:$B,0))="","",INDEX(Roster!$K:$K,MATCH($C1474,Roster!$B:$B,0))&amp;""),"—"))</f>
        <v/>
      </c>
      <c r="M1474" s="27" t="n"/>
      <c r="N1474" s="27" t="n"/>
      <c r="O1474" s="25">
        <f>IF($C1474="","",IF($P1474="","—",IF($P1474="Valid (Pass)","Valid","Invalid")))</f>
        <v/>
      </c>
      <c r="P1474" s="27" t="n"/>
      <c r="Q1474" s="27" t="n"/>
      <c r="R1474" s="27" t="n"/>
      <c r="S1474" s="27" t="n"/>
      <c r="T1474" s="25">
        <f>IF($C1474="","",IF(OR(ISNUMBER(SEARCH("quick case",$P1474)),ISNUMBER(SEARCH("quick case",$Q1474))),"Yes","No"))</f>
        <v/>
      </c>
      <c r="U1474" s="25">
        <f>IF($O1474="Invalid",HYPERLINK("mailto:"&amp;$G1474&amp;";"&amp;$I1474&amp;"?cc="&amp;Lists!$E$2&amp;"&amp;subject="&amp;_xlfn.ENCODEURL("[INVALID] Quality audit monitoring completed for "&amp;UPPER($C1474))&amp;"&amp;body="&amp;_xlfn.ENCODEURL("Hi "&amp;$F1474&amp;","&amp;CHAR(10)&amp;"Good day!"&amp;CHAR(10)&amp;CHAR(10)&amp;"A quality monitoring audit has been completed for "&amp;$C1474&amp;"."&amp;CHAR(10)&amp;CHAR(10)&amp;"QUALITY AUDIT DETAILS"&amp;CHAR(10)&amp;"Agent Name: "&amp;$C1474&amp;" (EID "&amp;$D1474&amp;")"&amp;CHAR(10)&amp;"Audit Date: "&amp;TEXT($B1474,"yyyy-mm-dd")&amp;CHAR(10)&amp;"Team Leader: "&amp;$F1474&amp;CHAR(10)&amp;"Case Number: "&amp;$M1474&amp;CHAR(10)&amp;"Transaction ID: "&amp;$N1474&amp;CHAR(10)&amp;"Channel / LOB: "&amp;$K1474&amp;" / "&amp;$L1474&amp;CHAR(10)&amp;"Evaluator: "&amp;$S1474&amp;CHAR(10)&amp;CHAR(10)&amp;"INVALID QUALITY AUDIT DETAILS"&amp;CHAR(10)&amp;"Validation: Invalid"&amp;CHAR(10)&amp;"Invalid Reason: "&amp;$P1474&amp;CHAR(10)&amp;"Expected Resolution Code: "&amp;$Q1474&amp;CHAR(10)&amp;"Remarks: "&amp;LEFT($R1474,600)&amp;CHAR(10)&amp;CHAR(10)&amp;"This is an automated notification from HP Mainstream EQMS."),"✉ Open Email Draft"),"")</f>
        <v/>
      </c>
    </row>
    <row r="1475">
      <c r="A1475" s="25">
        <f>IF($C1475="","","AUD-2026-"&amp;TEXT(ROW()-1,"000000"))</f>
        <v/>
      </c>
      <c r="B1475" s="26" t="n"/>
      <c r="C1475" s="27" t="n"/>
      <c r="D1475" s="25">
        <f>IF($C1475="","",IFERROR(IF(INDEX(Roster!$A:$A,MATCH($C1475,Roster!$B:$B,0))="","",INDEX(Roster!$A:$A,MATCH($C1475,Roster!$B:$B,0))&amp;""),"—"))</f>
        <v/>
      </c>
      <c r="E1475" s="25">
        <f>IF($C1475="","",IFERROR(IF(INDEX(Roster!$C:$C,MATCH($C1475,Roster!$B:$B,0))="","",INDEX(Roster!$C:$C,MATCH($C1475,Roster!$B:$B,0))&amp;""),"—"))</f>
        <v/>
      </c>
      <c r="F1475" s="25">
        <f>IF($C1475="","",IFERROR(IF(INDEX(Roster!$D:$D,MATCH($C1475,Roster!$B:$B,0))="","",INDEX(Roster!$D:$D,MATCH($C1475,Roster!$B:$B,0))&amp;""),"—"))</f>
        <v/>
      </c>
      <c r="G1475" s="25">
        <f>IF($C1475="","",IFERROR(IF(INDEX(Roster!$E:$E,MATCH($C1475,Roster!$B:$B,0))="","",INDEX(Roster!$E:$E,MATCH($C1475,Roster!$B:$B,0))&amp;""),"—"))</f>
        <v/>
      </c>
      <c r="H1475" s="25">
        <f>IF($C1475="","",IFERROR(IF(INDEX(Roster!$F:$F,MATCH($C1475,Roster!$B:$B,0))="","",INDEX(Roster!$F:$F,MATCH($C1475,Roster!$B:$B,0))&amp;""),"—"))</f>
        <v/>
      </c>
      <c r="I1475" s="25">
        <f>IF($C1475="","",IFERROR(IF(INDEX(Roster!$G:$G,MATCH($C1475,Roster!$B:$B,0))="","",INDEX(Roster!$G:$G,MATCH($C1475,Roster!$B:$B,0))&amp;""),"—"))</f>
        <v/>
      </c>
      <c r="J1475" s="25">
        <f>IF($C1475="","",IFERROR(IF(INDEX(Roster!$I:$I,MATCH($C1475,Roster!$B:$B,0))="","",INDEX(Roster!$I:$I,MATCH($C1475,Roster!$B:$B,0))&amp;""),"—"))</f>
        <v/>
      </c>
      <c r="K1475">
        <f>IF($C1475="","",IFERROR(IF(INDEX(Roster!$J:$J,MATCH($C1475,Roster!$B:$B,0))="","",INDEX(Roster!$J:$J,MATCH($C1475,Roster!$B:$B,0))&amp;""),"—"))</f>
        <v/>
      </c>
      <c r="L1475">
        <f>IF($C1475="","",IFERROR(IF(INDEX(Roster!$K:$K,MATCH($C1475,Roster!$B:$B,0))="","",INDEX(Roster!$K:$K,MATCH($C1475,Roster!$B:$B,0))&amp;""),"—"))</f>
        <v/>
      </c>
      <c r="M1475" s="27" t="n"/>
      <c r="N1475" s="27" t="n"/>
      <c r="O1475" s="25">
        <f>IF($C1475="","",IF($P1475="","—",IF($P1475="Valid (Pass)","Valid","Invalid")))</f>
        <v/>
      </c>
      <c r="P1475" s="27" t="n"/>
      <c r="Q1475" s="27" t="n"/>
      <c r="R1475" s="27" t="n"/>
      <c r="S1475" s="27" t="n"/>
      <c r="T1475" s="25">
        <f>IF($C1475="","",IF(OR(ISNUMBER(SEARCH("quick case",$P1475)),ISNUMBER(SEARCH("quick case",$Q1475))),"Yes","No"))</f>
        <v/>
      </c>
      <c r="U1475" s="25">
        <f>IF($O1475="Invalid",HYPERLINK("mailto:"&amp;$G1475&amp;";"&amp;$I1475&amp;"?cc="&amp;Lists!$E$2&amp;"&amp;subject="&amp;_xlfn.ENCODEURL("[INVALID] Quality audit monitoring completed for "&amp;UPPER($C1475))&amp;"&amp;body="&amp;_xlfn.ENCODEURL("Hi "&amp;$F1475&amp;","&amp;CHAR(10)&amp;"Good day!"&amp;CHAR(10)&amp;CHAR(10)&amp;"A quality monitoring audit has been completed for "&amp;$C1475&amp;"."&amp;CHAR(10)&amp;CHAR(10)&amp;"QUALITY AUDIT DETAILS"&amp;CHAR(10)&amp;"Agent Name: "&amp;$C1475&amp;" (EID "&amp;$D1475&amp;")"&amp;CHAR(10)&amp;"Audit Date: "&amp;TEXT($B1475,"yyyy-mm-dd")&amp;CHAR(10)&amp;"Team Leader: "&amp;$F1475&amp;CHAR(10)&amp;"Case Number: "&amp;$M1475&amp;CHAR(10)&amp;"Transaction ID: "&amp;$N1475&amp;CHAR(10)&amp;"Channel / LOB: "&amp;$K1475&amp;" / "&amp;$L1475&amp;CHAR(10)&amp;"Evaluator: "&amp;$S1475&amp;CHAR(10)&amp;CHAR(10)&amp;"INVALID QUALITY AUDIT DETAILS"&amp;CHAR(10)&amp;"Validation: Invalid"&amp;CHAR(10)&amp;"Invalid Reason: "&amp;$P1475&amp;CHAR(10)&amp;"Expected Resolution Code: "&amp;$Q1475&amp;CHAR(10)&amp;"Remarks: "&amp;LEFT($R1475,600)&amp;CHAR(10)&amp;CHAR(10)&amp;"This is an automated notification from HP Mainstream EQMS."),"✉ Open Email Draft"),"")</f>
        <v/>
      </c>
    </row>
    <row r="1476">
      <c r="A1476" s="25">
        <f>IF($C1476="","","AUD-2026-"&amp;TEXT(ROW()-1,"000000"))</f>
        <v/>
      </c>
      <c r="B1476" s="26" t="n"/>
      <c r="C1476" s="27" t="n"/>
      <c r="D1476" s="25">
        <f>IF($C1476="","",IFERROR(IF(INDEX(Roster!$A:$A,MATCH($C1476,Roster!$B:$B,0))="","",INDEX(Roster!$A:$A,MATCH($C1476,Roster!$B:$B,0))&amp;""),"—"))</f>
        <v/>
      </c>
      <c r="E1476" s="25">
        <f>IF($C1476="","",IFERROR(IF(INDEX(Roster!$C:$C,MATCH($C1476,Roster!$B:$B,0))="","",INDEX(Roster!$C:$C,MATCH($C1476,Roster!$B:$B,0))&amp;""),"—"))</f>
        <v/>
      </c>
      <c r="F1476" s="25">
        <f>IF($C1476="","",IFERROR(IF(INDEX(Roster!$D:$D,MATCH($C1476,Roster!$B:$B,0))="","",INDEX(Roster!$D:$D,MATCH($C1476,Roster!$B:$B,0))&amp;""),"—"))</f>
        <v/>
      </c>
      <c r="G1476" s="25">
        <f>IF($C1476="","",IFERROR(IF(INDEX(Roster!$E:$E,MATCH($C1476,Roster!$B:$B,0))="","",INDEX(Roster!$E:$E,MATCH($C1476,Roster!$B:$B,0))&amp;""),"—"))</f>
        <v/>
      </c>
      <c r="H1476" s="25">
        <f>IF($C1476="","",IFERROR(IF(INDEX(Roster!$F:$F,MATCH($C1476,Roster!$B:$B,0))="","",INDEX(Roster!$F:$F,MATCH($C1476,Roster!$B:$B,0))&amp;""),"—"))</f>
        <v/>
      </c>
      <c r="I1476" s="25">
        <f>IF($C1476="","",IFERROR(IF(INDEX(Roster!$G:$G,MATCH($C1476,Roster!$B:$B,0))="","",INDEX(Roster!$G:$G,MATCH($C1476,Roster!$B:$B,0))&amp;""),"—"))</f>
        <v/>
      </c>
      <c r="J1476" s="25">
        <f>IF($C1476="","",IFERROR(IF(INDEX(Roster!$I:$I,MATCH($C1476,Roster!$B:$B,0))="","",INDEX(Roster!$I:$I,MATCH($C1476,Roster!$B:$B,0))&amp;""),"—"))</f>
        <v/>
      </c>
      <c r="K1476">
        <f>IF($C1476="","",IFERROR(IF(INDEX(Roster!$J:$J,MATCH($C1476,Roster!$B:$B,0))="","",INDEX(Roster!$J:$J,MATCH($C1476,Roster!$B:$B,0))&amp;""),"—"))</f>
        <v/>
      </c>
      <c r="L1476">
        <f>IF($C1476="","",IFERROR(IF(INDEX(Roster!$K:$K,MATCH($C1476,Roster!$B:$B,0))="","",INDEX(Roster!$K:$K,MATCH($C1476,Roster!$B:$B,0))&amp;""),"—"))</f>
        <v/>
      </c>
      <c r="M1476" s="27" t="n"/>
      <c r="N1476" s="27" t="n"/>
      <c r="O1476" s="25">
        <f>IF($C1476="","",IF($P1476="","—",IF($P1476="Valid (Pass)","Valid","Invalid")))</f>
        <v/>
      </c>
      <c r="P1476" s="27" t="n"/>
      <c r="Q1476" s="27" t="n"/>
      <c r="R1476" s="27" t="n"/>
      <c r="S1476" s="27" t="n"/>
      <c r="T1476" s="25">
        <f>IF($C1476="","",IF(OR(ISNUMBER(SEARCH("quick case",$P1476)),ISNUMBER(SEARCH("quick case",$Q1476))),"Yes","No"))</f>
        <v/>
      </c>
      <c r="U1476" s="25">
        <f>IF($O1476="Invalid",HYPERLINK("mailto:"&amp;$G1476&amp;";"&amp;$I1476&amp;"?cc="&amp;Lists!$E$2&amp;"&amp;subject="&amp;_xlfn.ENCODEURL("[INVALID] Quality audit monitoring completed for "&amp;UPPER($C1476))&amp;"&amp;body="&amp;_xlfn.ENCODEURL("Hi "&amp;$F1476&amp;","&amp;CHAR(10)&amp;"Good day!"&amp;CHAR(10)&amp;CHAR(10)&amp;"A quality monitoring audit has been completed for "&amp;$C1476&amp;"."&amp;CHAR(10)&amp;CHAR(10)&amp;"QUALITY AUDIT DETAILS"&amp;CHAR(10)&amp;"Agent Name: "&amp;$C1476&amp;" (EID "&amp;$D1476&amp;")"&amp;CHAR(10)&amp;"Audit Date: "&amp;TEXT($B1476,"yyyy-mm-dd")&amp;CHAR(10)&amp;"Team Leader: "&amp;$F1476&amp;CHAR(10)&amp;"Case Number: "&amp;$M1476&amp;CHAR(10)&amp;"Transaction ID: "&amp;$N1476&amp;CHAR(10)&amp;"Channel / LOB: "&amp;$K1476&amp;" / "&amp;$L1476&amp;CHAR(10)&amp;"Evaluator: "&amp;$S1476&amp;CHAR(10)&amp;CHAR(10)&amp;"INVALID QUALITY AUDIT DETAILS"&amp;CHAR(10)&amp;"Validation: Invalid"&amp;CHAR(10)&amp;"Invalid Reason: "&amp;$P1476&amp;CHAR(10)&amp;"Expected Resolution Code: "&amp;$Q1476&amp;CHAR(10)&amp;"Remarks: "&amp;LEFT($R1476,600)&amp;CHAR(10)&amp;CHAR(10)&amp;"This is an automated notification from HP Mainstream EQMS."),"✉ Open Email Draft"),"")</f>
        <v/>
      </c>
    </row>
    <row r="1477">
      <c r="A1477" s="25">
        <f>IF($C1477="","","AUD-2026-"&amp;TEXT(ROW()-1,"000000"))</f>
        <v/>
      </c>
      <c r="B1477" s="26" t="n"/>
      <c r="C1477" s="27" t="n"/>
      <c r="D1477" s="25">
        <f>IF($C1477="","",IFERROR(IF(INDEX(Roster!$A:$A,MATCH($C1477,Roster!$B:$B,0))="","",INDEX(Roster!$A:$A,MATCH($C1477,Roster!$B:$B,0))&amp;""),"—"))</f>
        <v/>
      </c>
      <c r="E1477" s="25">
        <f>IF($C1477="","",IFERROR(IF(INDEX(Roster!$C:$C,MATCH($C1477,Roster!$B:$B,0))="","",INDEX(Roster!$C:$C,MATCH($C1477,Roster!$B:$B,0))&amp;""),"—"))</f>
        <v/>
      </c>
      <c r="F1477" s="25">
        <f>IF($C1477="","",IFERROR(IF(INDEX(Roster!$D:$D,MATCH($C1477,Roster!$B:$B,0))="","",INDEX(Roster!$D:$D,MATCH($C1477,Roster!$B:$B,0))&amp;""),"—"))</f>
        <v/>
      </c>
      <c r="G1477" s="25">
        <f>IF($C1477="","",IFERROR(IF(INDEX(Roster!$E:$E,MATCH($C1477,Roster!$B:$B,0))="","",INDEX(Roster!$E:$E,MATCH($C1477,Roster!$B:$B,0))&amp;""),"—"))</f>
        <v/>
      </c>
      <c r="H1477" s="25">
        <f>IF($C1477="","",IFERROR(IF(INDEX(Roster!$F:$F,MATCH($C1477,Roster!$B:$B,0))="","",INDEX(Roster!$F:$F,MATCH($C1477,Roster!$B:$B,0))&amp;""),"—"))</f>
        <v/>
      </c>
      <c r="I1477" s="25">
        <f>IF($C1477="","",IFERROR(IF(INDEX(Roster!$G:$G,MATCH($C1477,Roster!$B:$B,0))="","",INDEX(Roster!$G:$G,MATCH($C1477,Roster!$B:$B,0))&amp;""),"—"))</f>
        <v/>
      </c>
      <c r="J1477" s="25">
        <f>IF($C1477="","",IFERROR(IF(INDEX(Roster!$I:$I,MATCH($C1477,Roster!$B:$B,0))="","",INDEX(Roster!$I:$I,MATCH($C1477,Roster!$B:$B,0))&amp;""),"—"))</f>
        <v/>
      </c>
      <c r="K1477">
        <f>IF($C1477="","",IFERROR(IF(INDEX(Roster!$J:$J,MATCH($C1477,Roster!$B:$B,0))="","",INDEX(Roster!$J:$J,MATCH($C1477,Roster!$B:$B,0))&amp;""),"—"))</f>
        <v/>
      </c>
      <c r="L1477">
        <f>IF($C1477="","",IFERROR(IF(INDEX(Roster!$K:$K,MATCH($C1477,Roster!$B:$B,0))="","",INDEX(Roster!$K:$K,MATCH($C1477,Roster!$B:$B,0))&amp;""),"—"))</f>
        <v/>
      </c>
      <c r="M1477" s="27" t="n"/>
      <c r="N1477" s="27" t="n"/>
      <c r="O1477" s="25">
        <f>IF($C1477="","",IF($P1477="","—",IF($P1477="Valid (Pass)","Valid","Invalid")))</f>
        <v/>
      </c>
      <c r="P1477" s="27" t="n"/>
      <c r="Q1477" s="27" t="n"/>
      <c r="R1477" s="27" t="n"/>
      <c r="S1477" s="27" t="n"/>
      <c r="T1477" s="25">
        <f>IF($C1477="","",IF(OR(ISNUMBER(SEARCH("quick case",$P1477)),ISNUMBER(SEARCH("quick case",$Q1477))),"Yes","No"))</f>
        <v/>
      </c>
      <c r="U1477" s="25">
        <f>IF($O1477="Invalid",HYPERLINK("mailto:"&amp;$G1477&amp;";"&amp;$I1477&amp;"?cc="&amp;Lists!$E$2&amp;"&amp;subject="&amp;_xlfn.ENCODEURL("[INVALID] Quality audit monitoring completed for "&amp;UPPER($C1477))&amp;"&amp;body="&amp;_xlfn.ENCODEURL("Hi "&amp;$F1477&amp;","&amp;CHAR(10)&amp;"Good day!"&amp;CHAR(10)&amp;CHAR(10)&amp;"A quality monitoring audit has been completed for "&amp;$C1477&amp;"."&amp;CHAR(10)&amp;CHAR(10)&amp;"QUALITY AUDIT DETAILS"&amp;CHAR(10)&amp;"Agent Name: "&amp;$C1477&amp;" (EID "&amp;$D1477&amp;")"&amp;CHAR(10)&amp;"Audit Date: "&amp;TEXT($B1477,"yyyy-mm-dd")&amp;CHAR(10)&amp;"Team Leader: "&amp;$F1477&amp;CHAR(10)&amp;"Case Number: "&amp;$M1477&amp;CHAR(10)&amp;"Transaction ID: "&amp;$N1477&amp;CHAR(10)&amp;"Channel / LOB: "&amp;$K1477&amp;" / "&amp;$L1477&amp;CHAR(10)&amp;"Evaluator: "&amp;$S1477&amp;CHAR(10)&amp;CHAR(10)&amp;"INVALID QUALITY AUDIT DETAILS"&amp;CHAR(10)&amp;"Validation: Invalid"&amp;CHAR(10)&amp;"Invalid Reason: "&amp;$P1477&amp;CHAR(10)&amp;"Expected Resolution Code: "&amp;$Q1477&amp;CHAR(10)&amp;"Remarks: "&amp;LEFT($R1477,600)&amp;CHAR(10)&amp;CHAR(10)&amp;"This is an automated notification from HP Mainstream EQMS."),"✉ Open Email Draft"),"")</f>
        <v/>
      </c>
    </row>
    <row r="1478">
      <c r="A1478" s="25">
        <f>IF($C1478="","","AUD-2026-"&amp;TEXT(ROW()-1,"000000"))</f>
        <v/>
      </c>
      <c r="B1478" s="26" t="n"/>
      <c r="C1478" s="27" t="n"/>
      <c r="D1478" s="25">
        <f>IF($C1478="","",IFERROR(IF(INDEX(Roster!$A:$A,MATCH($C1478,Roster!$B:$B,0))="","",INDEX(Roster!$A:$A,MATCH($C1478,Roster!$B:$B,0))&amp;""),"—"))</f>
        <v/>
      </c>
      <c r="E1478" s="25">
        <f>IF($C1478="","",IFERROR(IF(INDEX(Roster!$C:$C,MATCH($C1478,Roster!$B:$B,0))="","",INDEX(Roster!$C:$C,MATCH($C1478,Roster!$B:$B,0))&amp;""),"—"))</f>
        <v/>
      </c>
      <c r="F1478" s="25">
        <f>IF($C1478="","",IFERROR(IF(INDEX(Roster!$D:$D,MATCH($C1478,Roster!$B:$B,0))="","",INDEX(Roster!$D:$D,MATCH($C1478,Roster!$B:$B,0))&amp;""),"—"))</f>
        <v/>
      </c>
      <c r="G1478" s="25">
        <f>IF($C1478="","",IFERROR(IF(INDEX(Roster!$E:$E,MATCH($C1478,Roster!$B:$B,0))="","",INDEX(Roster!$E:$E,MATCH($C1478,Roster!$B:$B,0))&amp;""),"—"))</f>
        <v/>
      </c>
      <c r="H1478" s="25">
        <f>IF($C1478="","",IFERROR(IF(INDEX(Roster!$F:$F,MATCH($C1478,Roster!$B:$B,0))="","",INDEX(Roster!$F:$F,MATCH($C1478,Roster!$B:$B,0))&amp;""),"—"))</f>
        <v/>
      </c>
      <c r="I1478" s="25">
        <f>IF($C1478="","",IFERROR(IF(INDEX(Roster!$G:$G,MATCH($C1478,Roster!$B:$B,0))="","",INDEX(Roster!$G:$G,MATCH($C1478,Roster!$B:$B,0))&amp;""),"—"))</f>
        <v/>
      </c>
      <c r="J1478" s="25">
        <f>IF($C1478="","",IFERROR(IF(INDEX(Roster!$I:$I,MATCH($C1478,Roster!$B:$B,0))="","",INDEX(Roster!$I:$I,MATCH($C1478,Roster!$B:$B,0))&amp;""),"—"))</f>
        <v/>
      </c>
      <c r="K1478">
        <f>IF($C1478="","",IFERROR(IF(INDEX(Roster!$J:$J,MATCH($C1478,Roster!$B:$B,0))="","",INDEX(Roster!$J:$J,MATCH($C1478,Roster!$B:$B,0))&amp;""),"—"))</f>
        <v/>
      </c>
      <c r="L1478">
        <f>IF($C1478="","",IFERROR(IF(INDEX(Roster!$K:$K,MATCH($C1478,Roster!$B:$B,0))="","",INDEX(Roster!$K:$K,MATCH($C1478,Roster!$B:$B,0))&amp;""),"—"))</f>
        <v/>
      </c>
      <c r="M1478" s="27" t="n"/>
      <c r="N1478" s="27" t="n"/>
      <c r="O1478" s="25">
        <f>IF($C1478="","",IF($P1478="","—",IF($P1478="Valid (Pass)","Valid","Invalid")))</f>
        <v/>
      </c>
      <c r="P1478" s="27" t="n"/>
      <c r="Q1478" s="27" t="n"/>
      <c r="R1478" s="27" t="n"/>
      <c r="S1478" s="27" t="n"/>
      <c r="T1478" s="25">
        <f>IF($C1478="","",IF(OR(ISNUMBER(SEARCH("quick case",$P1478)),ISNUMBER(SEARCH("quick case",$Q1478))),"Yes","No"))</f>
        <v/>
      </c>
      <c r="U1478" s="25">
        <f>IF($O1478="Invalid",HYPERLINK("mailto:"&amp;$G1478&amp;";"&amp;$I1478&amp;"?cc="&amp;Lists!$E$2&amp;"&amp;subject="&amp;_xlfn.ENCODEURL("[INVALID] Quality audit monitoring completed for "&amp;UPPER($C1478))&amp;"&amp;body="&amp;_xlfn.ENCODEURL("Hi "&amp;$F1478&amp;","&amp;CHAR(10)&amp;"Good day!"&amp;CHAR(10)&amp;CHAR(10)&amp;"A quality monitoring audit has been completed for "&amp;$C1478&amp;"."&amp;CHAR(10)&amp;CHAR(10)&amp;"QUALITY AUDIT DETAILS"&amp;CHAR(10)&amp;"Agent Name: "&amp;$C1478&amp;" (EID "&amp;$D1478&amp;")"&amp;CHAR(10)&amp;"Audit Date: "&amp;TEXT($B1478,"yyyy-mm-dd")&amp;CHAR(10)&amp;"Team Leader: "&amp;$F1478&amp;CHAR(10)&amp;"Case Number: "&amp;$M1478&amp;CHAR(10)&amp;"Transaction ID: "&amp;$N1478&amp;CHAR(10)&amp;"Channel / LOB: "&amp;$K1478&amp;" / "&amp;$L1478&amp;CHAR(10)&amp;"Evaluator: "&amp;$S1478&amp;CHAR(10)&amp;CHAR(10)&amp;"INVALID QUALITY AUDIT DETAILS"&amp;CHAR(10)&amp;"Validation: Invalid"&amp;CHAR(10)&amp;"Invalid Reason: "&amp;$P1478&amp;CHAR(10)&amp;"Expected Resolution Code: "&amp;$Q1478&amp;CHAR(10)&amp;"Remarks: "&amp;LEFT($R1478,600)&amp;CHAR(10)&amp;CHAR(10)&amp;"This is an automated notification from HP Mainstream EQMS."),"✉ Open Email Draft"),"")</f>
        <v/>
      </c>
    </row>
    <row r="1479">
      <c r="A1479" s="25">
        <f>IF($C1479="","","AUD-2026-"&amp;TEXT(ROW()-1,"000000"))</f>
        <v/>
      </c>
      <c r="B1479" s="26" t="n"/>
      <c r="C1479" s="27" t="n"/>
      <c r="D1479" s="25">
        <f>IF($C1479="","",IFERROR(IF(INDEX(Roster!$A:$A,MATCH($C1479,Roster!$B:$B,0))="","",INDEX(Roster!$A:$A,MATCH($C1479,Roster!$B:$B,0))&amp;""),"—"))</f>
        <v/>
      </c>
      <c r="E1479" s="25">
        <f>IF($C1479="","",IFERROR(IF(INDEX(Roster!$C:$C,MATCH($C1479,Roster!$B:$B,0))="","",INDEX(Roster!$C:$C,MATCH($C1479,Roster!$B:$B,0))&amp;""),"—"))</f>
        <v/>
      </c>
      <c r="F1479" s="25">
        <f>IF($C1479="","",IFERROR(IF(INDEX(Roster!$D:$D,MATCH($C1479,Roster!$B:$B,0))="","",INDEX(Roster!$D:$D,MATCH($C1479,Roster!$B:$B,0))&amp;""),"—"))</f>
        <v/>
      </c>
      <c r="G1479" s="25">
        <f>IF($C1479="","",IFERROR(IF(INDEX(Roster!$E:$E,MATCH($C1479,Roster!$B:$B,0))="","",INDEX(Roster!$E:$E,MATCH($C1479,Roster!$B:$B,0))&amp;""),"—"))</f>
        <v/>
      </c>
      <c r="H1479" s="25">
        <f>IF($C1479="","",IFERROR(IF(INDEX(Roster!$F:$F,MATCH($C1479,Roster!$B:$B,0))="","",INDEX(Roster!$F:$F,MATCH($C1479,Roster!$B:$B,0))&amp;""),"—"))</f>
        <v/>
      </c>
      <c r="I1479" s="25">
        <f>IF($C1479="","",IFERROR(IF(INDEX(Roster!$G:$G,MATCH($C1479,Roster!$B:$B,0))="","",INDEX(Roster!$G:$G,MATCH($C1479,Roster!$B:$B,0))&amp;""),"—"))</f>
        <v/>
      </c>
      <c r="J1479" s="25">
        <f>IF($C1479="","",IFERROR(IF(INDEX(Roster!$I:$I,MATCH($C1479,Roster!$B:$B,0))="","",INDEX(Roster!$I:$I,MATCH($C1479,Roster!$B:$B,0))&amp;""),"—"))</f>
        <v/>
      </c>
      <c r="K1479">
        <f>IF($C1479="","",IFERROR(IF(INDEX(Roster!$J:$J,MATCH($C1479,Roster!$B:$B,0))="","",INDEX(Roster!$J:$J,MATCH($C1479,Roster!$B:$B,0))&amp;""),"—"))</f>
        <v/>
      </c>
      <c r="L1479">
        <f>IF($C1479="","",IFERROR(IF(INDEX(Roster!$K:$K,MATCH($C1479,Roster!$B:$B,0))="","",INDEX(Roster!$K:$K,MATCH($C1479,Roster!$B:$B,0))&amp;""),"—"))</f>
        <v/>
      </c>
      <c r="M1479" s="27" t="n"/>
      <c r="N1479" s="27" t="n"/>
      <c r="O1479" s="25">
        <f>IF($C1479="","",IF($P1479="","—",IF($P1479="Valid (Pass)","Valid","Invalid")))</f>
        <v/>
      </c>
      <c r="P1479" s="27" t="n"/>
      <c r="Q1479" s="27" t="n"/>
      <c r="R1479" s="27" t="n"/>
      <c r="S1479" s="27" t="n"/>
      <c r="T1479" s="25">
        <f>IF($C1479="","",IF(OR(ISNUMBER(SEARCH("quick case",$P1479)),ISNUMBER(SEARCH("quick case",$Q1479))),"Yes","No"))</f>
        <v/>
      </c>
      <c r="U1479" s="25">
        <f>IF($O1479="Invalid",HYPERLINK("mailto:"&amp;$G1479&amp;";"&amp;$I1479&amp;"?cc="&amp;Lists!$E$2&amp;"&amp;subject="&amp;_xlfn.ENCODEURL("[INVALID] Quality audit monitoring completed for "&amp;UPPER($C1479))&amp;"&amp;body="&amp;_xlfn.ENCODEURL("Hi "&amp;$F1479&amp;","&amp;CHAR(10)&amp;"Good day!"&amp;CHAR(10)&amp;CHAR(10)&amp;"A quality monitoring audit has been completed for "&amp;$C1479&amp;"."&amp;CHAR(10)&amp;CHAR(10)&amp;"QUALITY AUDIT DETAILS"&amp;CHAR(10)&amp;"Agent Name: "&amp;$C1479&amp;" (EID "&amp;$D1479&amp;")"&amp;CHAR(10)&amp;"Audit Date: "&amp;TEXT($B1479,"yyyy-mm-dd")&amp;CHAR(10)&amp;"Team Leader: "&amp;$F1479&amp;CHAR(10)&amp;"Case Number: "&amp;$M1479&amp;CHAR(10)&amp;"Transaction ID: "&amp;$N1479&amp;CHAR(10)&amp;"Channel / LOB: "&amp;$K1479&amp;" / "&amp;$L1479&amp;CHAR(10)&amp;"Evaluator: "&amp;$S1479&amp;CHAR(10)&amp;CHAR(10)&amp;"INVALID QUALITY AUDIT DETAILS"&amp;CHAR(10)&amp;"Validation: Invalid"&amp;CHAR(10)&amp;"Invalid Reason: "&amp;$P1479&amp;CHAR(10)&amp;"Expected Resolution Code: "&amp;$Q1479&amp;CHAR(10)&amp;"Remarks: "&amp;LEFT($R1479,600)&amp;CHAR(10)&amp;CHAR(10)&amp;"This is an automated notification from HP Mainstream EQMS."),"✉ Open Email Draft"),"")</f>
        <v/>
      </c>
    </row>
    <row r="1480">
      <c r="A1480" s="25">
        <f>IF($C1480="","","AUD-2026-"&amp;TEXT(ROW()-1,"000000"))</f>
        <v/>
      </c>
      <c r="B1480" s="26" t="n"/>
      <c r="C1480" s="27" t="n"/>
      <c r="D1480" s="25">
        <f>IF($C1480="","",IFERROR(IF(INDEX(Roster!$A:$A,MATCH($C1480,Roster!$B:$B,0))="","",INDEX(Roster!$A:$A,MATCH($C1480,Roster!$B:$B,0))&amp;""),"—"))</f>
        <v/>
      </c>
      <c r="E1480" s="25">
        <f>IF($C1480="","",IFERROR(IF(INDEX(Roster!$C:$C,MATCH($C1480,Roster!$B:$B,0))="","",INDEX(Roster!$C:$C,MATCH($C1480,Roster!$B:$B,0))&amp;""),"—"))</f>
        <v/>
      </c>
      <c r="F1480" s="25">
        <f>IF($C1480="","",IFERROR(IF(INDEX(Roster!$D:$D,MATCH($C1480,Roster!$B:$B,0))="","",INDEX(Roster!$D:$D,MATCH($C1480,Roster!$B:$B,0))&amp;""),"—"))</f>
        <v/>
      </c>
      <c r="G1480" s="25">
        <f>IF($C1480="","",IFERROR(IF(INDEX(Roster!$E:$E,MATCH($C1480,Roster!$B:$B,0))="","",INDEX(Roster!$E:$E,MATCH($C1480,Roster!$B:$B,0))&amp;""),"—"))</f>
        <v/>
      </c>
      <c r="H1480" s="25">
        <f>IF($C1480="","",IFERROR(IF(INDEX(Roster!$F:$F,MATCH($C1480,Roster!$B:$B,0))="","",INDEX(Roster!$F:$F,MATCH($C1480,Roster!$B:$B,0))&amp;""),"—"))</f>
        <v/>
      </c>
      <c r="I1480" s="25">
        <f>IF($C1480="","",IFERROR(IF(INDEX(Roster!$G:$G,MATCH($C1480,Roster!$B:$B,0))="","",INDEX(Roster!$G:$G,MATCH($C1480,Roster!$B:$B,0))&amp;""),"—"))</f>
        <v/>
      </c>
      <c r="J1480" s="25">
        <f>IF($C1480="","",IFERROR(IF(INDEX(Roster!$I:$I,MATCH($C1480,Roster!$B:$B,0))="","",INDEX(Roster!$I:$I,MATCH($C1480,Roster!$B:$B,0))&amp;""),"—"))</f>
        <v/>
      </c>
      <c r="K1480">
        <f>IF($C1480="","",IFERROR(IF(INDEX(Roster!$J:$J,MATCH($C1480,Roster!$B:$B,0))="","",INDEX(Roster!$J:$J,MATCH($C1480,Roster!$B:$B,0))&amp;""),"—"))</f>
        <v/>
      </c>
      <c r="L1480">
        <f>IF($C1480="","",IFERROR(IF(INDEX(Roster!$K:$K,MATCH($C1480,Roster!$B:$B,0))="","",INDEX(Roster!$K:$K,MATCH($C1480,Roster!$B:$B,0))&amp;""),"—"))</f>
        <v/>
      </c>
      <c r="M1480" s="27" t="n"/>
      <c r="N1480" s="27" t="n"/>
      <c r="O1480" s="25">
        <f>IF($C1480="","",IF($P1480="","—",IF($P1480="Valid (Pass)","Valid","Invalid")))</f>
        <v/>
      </c>
      <c r="P1480" s="27" t="n"/>
      <c r="Q1480" s="27" t="n"/>
      <c r="R1480" s="27" t="n"/>
      <c r="S1480" s="27" t="n"/>
      <c r="T1480" s="25">
        <f>IF($C1480="","",IF(OR(ISNUMBER(SEARCH("quick case",$P1480)),ISNUMBER(SEARCH("quick case",$Q1480))),"Yes","No"))</f>
        <v/>
      </c>
      <c r="U1480" s="25">
        <f>IF($O1480="Invalid",HYPERLINK("mailto:"&amp;$G1480&amp;";"&amp;$I1480&amp;"?cc="&amp;Lists!$E$2&amp;"&amp;subject="&amp;_xlfn.ENCODEURL("[INVALID] Quality audit monitoring completed for "&amp;UPPER($C1480))&amp;"&amp;body="&amp;_xlfn.ENCODEURL("Hi "&amp;$F1480&amp;","&amp;CHAR(10)&amp;"Good day!"&amp;CHAR(10)&amp;CHAR(10)&amp;"A quality monitoring audit has been completed for "&amp;$C1480&amp;"."&amp;CHAR(10)&amp;CHAR(10)&amp;"QUALITY AUDIT DETAILS"&amp;CHAR(10)&amp;"Agent Name: "&amp;$C1480&amp;" (EID "&amp;$D1480&amp;")"&amp;CHAR(10)&amp;"Audit Date: "&amp;TEXT($B1480,"yyyy-mm-dd")&amp;CHAR(10)&amp;"Team Leader: "&amp;$F1480&amp;CHAR(10)&amp;"Case Number: "&amp;$M1480&amp;CHAR(10)&amp;"Transaction ID: "&amp;$N1480&amp;CHAR(10)&amp;"Channel / LOB: "&amp;$K1480&amp;" / "&amp;$L1480&amp;CHAR(10)&amp;"Evaluator: "&amp;$S1480&amp;CHAR(10)&amp;CHAR(10)&amp;"INVALID QUALITY AUDIT DETAILS"&amp;CHAR(10)&amp;"Validation: Invalid"&amp;CHAR(10)&amp;"Invalid Reason: "&amp;$P1480&amp;CHAR(10)&amp;"Expected Resolution Code: "&amp;$Q1480&amp;CHAR(10)&amp;"Remarks: "&amp;LEFT($R1480,600)&amp;CHAR(10)&amp;CHAR(10)&amp;"This is an automated notification from HP Mainstream EQMS."),"✉ Open Email Draft"),"")</f>
        <v/>
      </c>
    </row>
    <row r="1481">
      <c r="A1481" s="25">
        <f>IF($C1481="","","AUD-2026-"&amp;TEXT(ROW()-1,"000000"))</f>
        <v/>
      </c>
      <c r="B1481" s="26" t="n"/>
      <c r="C1481" s="27" t="n"/>
      <c r="D1481" s="25">
        <f>IF($C1481="","",IFERROR(IF(INDEX(Roster!$A:$A,MATCH($C1481,Roster!$B:$B,0))="","",INDEX(Roster!$A:$A,MATCH($C1481,Roster!$B:$B,0))&amp;""),"—"))</f>
        <v/>
      </c>
      <c r="E1481" s="25">
        <f>IF($C1481="","",IFERROR(IF(INDEX(Roster!$C:$C,MATCH($C1481,Roster!$B:$B,0))="","",INDEX(Roster!$C:$C,MATCH($C1481,Roster!$B:$B,0))&amp;""),"—"))</f>
        <v/>
      </c>
      <c r="F1481" s="25">
        <f>IF($C1481="","",IFERROR(IF(INDEX(Roster!$D:$D,MATCH($C1481,Roster!$B:$B,0))="","",INDEX(Roster!$D:$D,MATCH($C1481,Roster!$B:$B,0))&amp;""),"—"))</f>
        <v/>
      </c>
      <c r="G1481" s="25">
        <f>IF($C1481="","",IFERROR(IF(INDEX(Roster!$E:$E,MATCH($C1481,Roster!$B:$B,0))="","",INDEX(Roster!$E:$E,MATCH($C1481,Roster!$B:$B,0))&amp;""),"—"))</f>
        <v/>
      </c>
      <c r="H1481" s="25">
        <f>IF($C1481="","",IFERROR(IF(INDEX(Roster!$F:$F,MATCH($C1481,Roster!$B:$B,0))="","",INDEX(Roster!$F:$F,MATCH($C1481,Roster!$B:$B,0))&amp;""),"—"))</f>
        <v/>
      </c>
      <c r="I1481" s="25">
        <f>IF($C1481="","",IFERROR(IF(INDEX(Roster!$G:$G,MATCH($C1481,Roster!$B:$B,0))="","",INDEX(Roster!$G:$G,MATCH($C1481,Roster!$B:$B,0))&amp;""),"—"))</f>
        <v/>
      </c>
      <c r="J1481" s="25">
        <f>IF($C1481="","",IFERROR(IF(INDEX(Roster!$I:$I,MATCH($C1481,Roster!$B:$B,0))="","",INDEX(Roster!$I:$I,MATCH($C1481,Roster!$B:$B,0))&amp;""),"—"))</f>
        <v/>
      </c>
      <c r="K1481">
        <f>IF($C1481="","",IFERROR(IF(INDEX(Roster!$J:$J,MATCH($C1481,Roster!$B:$B,0))="","",INDEX(Roster!$J:$J,MATCH($C1481,Roster!$B:$B,0))&amp;""),"—"))</f>
        <v/>
      </c>
      <c r="L1481">
        <f>IF($C1481="","",IFERROR(IF(INDEX(Roster!$K:$K,MATCH($C1481,Roster!$B:$B,0))="","",INDEX(Roster!$K:$K,MATCH($C1481,Roster!$B:$B,0))&amp;""),"—"))</f>
        <v/>
      </c>
      <c r="M1481" s="27" t="n"/>
      <c r="N1481" s="27" t="n"/>
      <c r="O1481" s="25">
        <f>IF($C1481="","",IF($P1481="","—",IF($P1481="Valid (Pass)","Valid","Invalid")))</f>
        <v/>
      </c>
      <c r="P1481" s="27" t="n"/>
      <c r="Q1481" s="27" t="n"/>
      <c r="R1481" s="27" t="n"/>
      <c r="S1481" s="27" t="n"/>
      <c r="T1481" s="25">
        <f>IF($C1481="","",IF(OR(ISNUMBER(SEARCH("quick case",$P1481)),ISNUMBER(SEARCH("quick case",$Q1481))),"Yes","No"))</f>
        <v/>
      </c>
      <c r="U1481" s="25">
        <f>IF($O1481="Invalid",HYPERLINK("mailto:"&amp;$G1481&amp;";"&amp;$I1481&amp;"?cc="&amp;Lists!$E$2&amp;"&amp;subject="&amp;_xlfn.ENCODEURL("[INVALID] Quality audit monitoring completed for "&amp;UPPER($C1481))&amp;"&amp;body="&amp;_xlfn.ENCODEURL("Hi "&amp;$F1481&amp;","&amp;CHAR(10)&amp;"Good day!"&amp;CHAR(10)&amp;CHAR(10)&amp;"A quality monitoring audit has been completed for "&amp;$C1481&amp;"."&amp;CHAR(10)&amp;CHAR(10)&amp;"QUALITY AUDIT DETAILS"&amp;CHAR(10)&amp;"Agent Name: "&amp;$C1481&amp;" (EID "&amp;$D1481&amp;")"&amp;CHAR(10)&amp;"Audit Date: "&amp;TEXT($B1481,"yyyy-mm-dd")&amp;CHAR(10)&amp;"Team Leader: "&amp;$F1481&amp;CHAR(10)&amp;"Case Number: "&amp;$M1481&amp;CHAR(10)&amp;"Transaction ID: "&amp;$N1481&amp;CHAR(10)&amp;"Channel / LOB: "&amp;$K1481&amp;" / "&amp;$L1481&amp;CHAR(10)&amp;"Evaluator: "&amp;$S1481&amp;CHAR(10)&amp;CHAR(10)&amp;"INVALID QUALITY AUDIT DETAILS"&amp;CHAR(10)&amp;"Validation: Invalid"&amp;CHAR(10)&amp;"Invalid Reason: "&amp;$P1481&amp;CHAR(10)&amp;"Expected Resolution Code: "&amp;$Q1481&amp;CHAR(10)&amp;"Remarks: "&amp;LEFT($R1481,600)&amp;CHAR(10)&amp;CHAR(10)&amp;"This is an automated notification from HP Mainstream EQMS."),"✉ Open Email Draft"),"")</f>
        <v/>
      </c>
    </row>
    <row r="1482">
      <c r="A1482" s="25">
        <f>IF($C1482="","","AUD-2026-"&amp;TEXT(ROW()-1,"000000"))</f>
        <v/>
      </c>
      <c r="B1482" s="26" t="n"/>
      <c r="C1482" s="27" t="n"/>
      <c r="D1482" s="25">
        <f>IF($C1482="","",IFERROR(IF(INDEX(Roster!$A:$A,MATCH($C1482,Roster!$B:$B,0))="","",INDEX(Roster!$A:$A,MATCH($C1482,Roster!$B:$B,0))&amp;""),"—"))</f>
        <v/>
      </c>
      <c r="E1482" s="25">
        <f>IF($C1482="","",IFERROR(IF(INDEX(Roster!$C:$C,MATCH($C1482,Roster!$B:$B,0))="","",INDEX(Roster!$C:$C,MATCH($C1482,Roster!$B:$B,0))&amp;""),"—"))</f>
        <v/>
      </c>
      <c r="F1482" s="25">
        <f>IF($C1482="","",IFERROR(IF(INDEX(Roster!$D:$D,MATCH($C1482,Roster!$B:$B,0))="","",INDEX(Roster!$D:$D,MATCH($C1482,Roster!$B:$B,0))&amp;""),"—"))</f>
        <v/>
      </c>
      <c r="G1482" s="25">
        <f>IF($C1482="","",IFERROR(IF(INDEX(Roster!$E:$E,MATCH($C1482,Roster!$B:$B,0))="","",INDEX(Roster!$E:$E,MATCH($C1482,Roster!$B:$B,0))&amp;""),"—"))</f>
        <v/>
      </c>
      <c r="H1482" s="25">
        <f>IF($C1482="","",IFERROR(IF(INDEX(Roster!$F:$F,MATCH($C1482,Roster!$B:$B,0))="","",INDEX(Roster!$F:$F,MATCH($C1482,Roster!$B:$B,0))&amp;""),"—"))</f>
        <v/>
      </c>
      <c r="I1482" s="25">
        <f>IF($C1482="","",IFERROR(IF(INDEX(Roster!$G:$G,MATCH($C1482,Roster!$B:$B,0))="","",INDEX(Roster!$G:$G,MATCH($C1482,Roster!$B:$B,0))&amp;""),"—"))</f>
        <v/>
      </c>
      <c r="J1482" s="25">
        <f>IF($C1482="","",IFERROR(IF(INDEX(Roster!$I:$I,MATCH($C1482,Roster!$B:$B,0))="","",INDEX(Roster!$I:$I,MATCH($C1482,Roster!$B:$B,0))&amp;""),"—"))</f>
        <v/>
      </c>
      <c r="K1482">
        <f>IF($C1482="","",IFERROR(IF(INDEX(Roster!$J:$J,MATCH($C1482,Roster!$B:$B,0))="","",INDEX(Roster!$J:$J,MATCH($C1482,Roster!$B:$B,0))&amp;""),"—"))</f>
        <v/>
      </c>
      <c r="L1482">
        <f>IF($C1482="","",IFERROR(IF(INDEX(Roster!$K:$K,MATCH($C1482,Roster!$B:$B,0))="","",INDEX(Roster!$K:$K,MATCH($C1482,Roster!$B:$B,0))&amp;""),"—"))</f>
        <v/>
      </c>
      <c r="M1482" s="27" t="n"/>
      <c r="N1482" s="27" t="n"/>
      <c r="O1482" s="25">
        <f>IF($C1482="","",IF($P1482="","—",IF($P1482="Valid (Pass)","Valid","Invalid")))</f>
        <v/>
      </c>
      <c r="P1482" s="27" t="n"/>
      <c r="Q1482" s="27" t="n"/>
      <c r="R1482" s="27" t="n"/>
      <c r="S1482" s="27" t="n"/>
      <c r="T1482" s="25">
        <f>IF($C1482="","",IF(OR(ISNUMBER(SEARCH("quick case",$P1482)),ISNUMBER(SEARCH("quick case",$Q1482))),"Yes","No"))</f>
        <v/>
      </c>
      <c r="U1482" s="25">
        <f>IF($O1482="Invalid",HYPERLINK("mailto:"&amp;$G1482&amp;";"&amp;$I1482&amp;"?cc="&amp;Lists!$E$2&amp;"&amp;subject="&amp;_xlfn.ENCODEURL("[INVALID] Quality audit monitoring completed for "&amp;UPPER($C1482))&amp;"&amp;body="&amp;_xlfn.ENCODEURL("Hi "&amp;$F1482&amp;","&amp;CHAR(10)&amp;"Good day!"&amp;CHAR(10)&amp;CHAR(10)&amp;"A quality monitoring audit has been completed for "&amp;$C1482&amp;"."&amp;CHAR(10)&amp;CHAR(10)&amp;"QUALITY AUDIT DETAILS"&amp;CHAR(10)&amp;"Agent Name: "&amp;$C1482&amp;" (EID "&amp;$D1482&amp;")"&amp;CHAR(10)&amp;"Audit Date: "&amp;TEXT($B1482,"yyyy-mm-dd")&amp;CHAR(10)&amp;"Team Leader: "&amp;$F1482&amp;CHAR(10)&amp;"Case Number: "&amp;$M1482&amp;CHAR(10)&amp;"Transaction ID: "&amp;$N1482&amp;CHAR(10)&amp;"Channel / LOB: "&amp;$K1482&amp;" / "&amp;$L1482&amp;CHAR(10)&amp;"Evaluator: "&amp;$S1482&amp;CHAR(10)&amp;CHAR(10)&amp;"INVALID QUALITY AUDIT DETAILS"&amp;CHAR(10)&amp;"Validation: Invalid"&amp;CHAR(10)&amp;"Invalid Reason: "&amp;$P1482&amp;CHAR(10)&amp;"Expected Resolution Code: "&amp;$Q1482&amp;CHAR(10)&amp;"Remarks: "&amp;LEFT($R1482,600)&amp;CHAR(10)&amp;CHAR(10)&amp;"This is an automated notification from HP Mainstream EQMS."),"✉ Open Email Draft"),"")</f>
        <v/>
      </c>
    </row>
    <row r="1483">
      <c r="A1483" s="25">
        <f>IF($C1483="","","AUD-2026-"&amp;TEXT(ROW()-1,"000000"))</f>
        <v/>
      </c>
      <c r="B1483" s="26" t="n"/>
      <c r="C1483" s="27" t="n"/>
      <c r="D1483" s="25">
        <f>IF($C1483="","",IFERROR(IF(INDEX(Roster!$A:$A,MATCH($C1483,Roster!$B:$B,0))="","",INDEX(Roster!$A:$A,MATCH($C1483,Roster!$B:$B,0))&amp;""),"—"))</f>
        <v/>
      </c>
      <c r="E1483" s="25">
        <f>IF($C1483="","",IFERROR(IF(INDEX(Roster!$C:$C,MATCH($C1483,Roster!$B:$B,0))="","",INDEX(Roster!$C:$C,MATCH($C1483,Roster!$B:$B,0))&amp;""),"—"))</f>
        <v/>
      </c>
      <c r="F1483" s="25">
        <f>IF($C1483="","",IFERROR(IF(INDEX(Roster!$D:$D,MATCH($C1483,Roster!$B:$B,0))="","",INDEX(Roster!$D:$D,MATCH($C1483,Roster!$B:$B,0))&amp;""),"—"))</f>
        <v/>
      </c>
      <c r="G1483" s="25">
        <f>IF($C1483="","",IFERROR(IF(INDEX(Roster!$E:$E,MATCH($C1483,Roster!$B:$B,0))="","",INDEX(Roster!$E:$E,MATCH($C1483,Roster!$B:$B,0))&amp;""),"—"))</f>
        <v/>
      </c>
      <c r="H1483" s="25">
        <f>IF($C1483="","",IFERROR(IF(INDEX(Roster!$F:$F,MATCH($C1483,Roster!$B:$B,0))="","",INDEX(Roster!$F:$F,MATCH($C1483,Roster!$B:$B,0))&amp;""),"—"))</f>
        <v/>
      </c>
      <c r="I1483" s="25">
        <f>IF($C1483="","",IFERROR(IF(INDEX(Roster!$G:$G,MATCH($C1483,Roster!$B:$B,0))="","",INDEX(Roster!$G:$G,MATCH($C1483,Roster!$B:$B,0))&amp;""),"—"))</f>
        <v/>
      </c>
      <c r="J1483" s="25">
        <f>IF($C1483="","",IFERROR(IF(INDEX(Roster!$I:$I,MATCH($C1483,Roster!$B:$B,0))="","",INDEX(Roster!$I:$I,MATCH($C1483,Roster!$B:$B,0))&amp;""),"—"))</f>
        <v/>
      </c>
      <c r="K1483">
        <f>IF($C1483="","",IFERROR(IF(INDEX(Roster!$J:$J,MATCH($C1483,Roster!$B:$B,0))="","",INDEX(Roster!$J:$J,MATCH($C1483,Roster!$B:$B,0))&amp;""),"—"))</f>
        <v/>
      </c>
      <c r="L1483">
        <f>IF($C1483="","",IFERROR(IF(INDEX(Roster!$K:$K,MATCH($C1483,Roster!$B:$B,0))="","",INDEX(Roster!$K:$K,MATCH($C1483,Roster!$B:$B,0))&amp;""),"—"))</f>
        <v/>
      </c>
      <c r="M1483" s="27" t="n"/>
      <c r="N1483" s="27" t="n"/>
      <c r="O1483" s="25">
        <f>IF($C1483="","",IF($P1483="","—",IF($P1483="Valid (Pass)","Valid","Invalid")))</f>
        <v/>
      </c>
      <c r="P1483" s="27" t="n"/>
      <c r="Q1483" s="27" t="n"/>
      <c r="R1483" s="27" t="n"/>
      <c r="S1483" s="27" t="n"/>
      <c r="T1483" s="25">
        <f>IF($C1483="","",IF(OR(ISNUMBER(SEARCH("quick case",$P1483)),ISNUMBER(SEARCH("quick case",$Q1483))),"Yes","No"))</f>
        <v/>
      </c>
      <c r="U1483" s="25">
        <f>IF($O1483="Invalid",HYPERLINK("mailto:"&amp;$G1483&amp;";"&amp;$I1483&amp;"?cc="&amp;Lists!$E$2&amp;"&amp;subject="&amp;_xlfn.ENCODEURL("[INVALID] Quality audit monitoring completed for "&amp;UPPER($C1483))&amp;"&amp;body="&amp;_xlfn.ENCODEURL("Hi "&amp;$F1483&amp;","&amp;CHAR(10)&amp;"Good day!"&amp;CHAR(10)&amp;CHAR(10)&amp;"A quality monitoring audit has been completed for "&amp;$C1483&amp;"."&amp;CHAR(10)&amp;CHAR(10)&amp;"QUALITY AUDIT DETAILS"&amp;CHAR(10)&amp;"Agent Name: "&amp;$C1483&amp;" (EID "&amp;$D1483&amp;")"&amp;CHAR(10)&amp;"Audit Date: "&amp;TEXT($B1483,"yyyy-mm-dd")&amp;CHAR(10)&amp;"Team Leader: "&amp;$F1483&amp;CHAR(10)&amp;"Case Number: "&amp;$M1483&amp;CHAR(10)&amp;"Transaction ID: "&amp;$N1483&amp;CHAR(10)&amp;"Channel / LOB: "&amp;$K1483&amp;" / "&amp;$L1483&amp;CHAR(10)&amp;"Evaluator: "&amp;$S1483&amp;CHAR(10)&amp;CHAR(10)&amp;"INVALID QUALITY AUDIT DETAILS"&amp;CHAR(10)&amp;"Validation: Invalid"&amp;CHAR(10)&amp;"Invalid Reason: "&amp;$P1483&amp;CHAR(10)&amp;"Expected Resolution Code: "&amp;$Q1483&amp;CHAR(10)&amp;"Remarks: "&amp;LEFT($R1483,600)&amp;CHAR(10)&amp;CHAR(10)&amp;"This is an automated notification from HP Mainstream EQMS."),"✉ Open Email Draft"),"")</f>
        <v/>
      </c>
    </row>
    <row r="1484">
      <c r="A1484" s="25">
        <f>IF($C1484="","","AUD-2026-"&amp;TEXT(ROW()-1,"000000"))</f>
        <v/>
      </c>
      <c r="B1484" s="26" t="n"/>
      <c r="C1484" s="27" t="n"/>
      <c r="D1484" s="25">
        <f>IF($C1484="","",IFERROR(IF(INDEX(Roster!$A:$A,MATCH($C1484,Roster!$B:$B,0))="","",INDEX(Roster!$A:$A,MATCH($C1484,Roster!$B:$B,0))&amp;""),"—"))</f>
        <v/>
      </c>
      <c r="E1484" s="25">
        <f>IF($C1484="","",IFERROR(IF(INDEX(Roster!$C:$C,MATCH($C1484,Roster!$B:$B,0))="","",INDEX(Roster!$C:$C,MATCH($C1484,Roster!$B:$B,0))&amp;""),"—"))</f>
        <v/>
      </c>
      <c r="F1484" s="25">
        <f>IF($C1484="","",IFERROR(IF(INDEX(Roster!$D:$D,MATCH($C1484,Roster!$B:$B,0))="","",INDEX(Roster!$D:$D,MATCH($C1484,Roster!$B:$B,0))&amp;""),"—"))</f>
        <v/>
      </c>
      <c r="G1484" s="25">
        <f>IF($C1484="","",IFERROR(IF(INDEX(Roster!$E:$E,MATCH($C1484,Roster!$B:$B,0))="","",INDEX(Roster!$E:$E,MATCH($C1484,Roster!$B:$B,0))&amp;""),"—"))</f>
        <v/>
      </c>
      <c r="H1484" s="25">
        <f>IF($C1484="","",IFERROR(IF(INDEX(Roster!$F:$F,MATCH($C1484,Roster!$B:$B,0))="","",INDEX(Roster!$F:$F,MATCH($C1484,Roster!$B:$B,0))&amp;""),"—"))</f>
        <v/>
      </c>
      <c r="I1484" s="25">
        <f>IF($C1484="","",IFERROR(IF(INDEX(Roster!$G:$G,MATCH($C1484,Roster!$B:$B,0))="","",INDEX(Roster!$G:$G,MATCH($C1484,Roster!$B:$B,0))&amp;""),"—"))</f>
        <v/>
      </c>
      <c r="J1484" s="25">
        <f>IF($C1484="","",IFERROR(IF(INDEX(Roster!$I:$I,MATCH($C1484,Roster!$B:$B,0))="","",INDEX(Roster!$I:$I,MATCH($C1484,Roster!$B:$B,0))&amp;""),"—"))</f>
        <v/>
      </c>
      <c r="K1484">
        <f>IF($C1484="","",IFERROR(IF(INDEX(Roster!$J:$J,MATCH($C1484,Roster!$B:$B,0))="","",INDEX(Roster!$J:$J,MATCH($C1484,Roster!$B:$B,0))&amp;""),"—"))</f>
        <v/>
      </c>
      <c r="L1484">
        <f>IF($C1484="","",IFERROR(IF(INDEX(Roster!$K:$K,MATCH($C1484,Roster!$B:$B,0))="","",INDEX(Roster!$K:$K,MATCH($C1484,Roster!$B:$B,0))&amp;""),"—"))</f>
        <v/>
      </c>
      <c r="M1484" s="27" t="n"/>
      <c r="N1484" s="27" t="n"/>
      <c r="O1484" s="25">
        <f>IF($C1484="","",IF($P1484="","—",IF($P1484="Valid (Pass)","Valid","Invalid")))</f>
        <v/>
      </c>
      <c r="P1484" s="27" t="n"/>
      <c r="Q1484" s="27" t="n"/>
      <c r="R1484" s="27" t="n"/>
      <c r="S1484" s="27" t="n"/>
      <c r="T1484" s="25">
        <f>IF($C1484="","",IF(OR(ISNUMBER(SEARCH("quick case",$P1484)),ISNUMBER(SEARCH("quick case",$Q1484))),"Yes","No"))</f>
        <v/>
      </c>
      <c r="U1484" s="25">
        <f>IF($O1484="Invalid",HYPERLINK("mailto:"&amp;$G1484&amp;";"&amp;$I1484&amp;"?cc="&amp;Lists!$E$2&amp;"&amp;subject="&amp;_xlfn.ENCODEURL("[INVALID] Quality audit monitoring completed for "&amp;UPPER($C1484))&amp;"&amp;body="&amp;_xlfn.ENCODEURL("Hi "&amp;$F1484&amp;","&amp;CHAR(10)&amp;"Good day!"&amp;CHAR(10)&amp;CHAR(10)&amp;"A quality monitoring audit has been completed for "&amp;$C1484&amp;"."&amp;CHAR(10)&amp;CHAR(10)&amp;"QUALITY AUDIT DETAILS"&amp;CHAR(10)&amp;"Agent Name: "&amp;$C1484&amp;" (EID "&amp;$D1484&amp;")"&amp;CHAR(10)&amp;"Audit Date: "&amp;TEXT($B1484,"yyyy-mm-dd")&amp;CHAR(10)&amp;"Team Leader: "&amp;$F1484&amp;CHAR(10)&amp;"Case Number: "&amp;$M1484&amp;CHAR(10)&amp;"Transaction ID: "&amp;$N1484&amp;CHAR(10)&amp;"Channel / LOB: "&amp;$K1484&amp;" / "&amp;$L1484&amp;CHAR(10)&amp;"Evaluator: "&amp;$S1484&amp;CHAR(10)&amp;CHAR(10)&amp;"INVALID QUALITY AUDIT DETAILS"&amp;CHAR(10)&amp;"Validation: Invalid"&amp;CHAR(10)&amp;"Invalid Reason: "&amp;$P1484&amp;CHAR(10)&amp;"Expected Resolution Code: "&amp;$Q1484&amp;CHAR(10)&amp;"Remarks: "&amp;LEFT($R1484,600)&amp;CHAR(10)&amp;CHAR(10)&amp;"This is an automated notification from HP Mainstream EQMS."),"✉ Open Email Draft"),"")</f>
        <v/>
      </c>
    </row>
    <row r="1485">
      <c r="A1485" s="25">
        <f>IF($C1485="","","AUD-2026-"&amp;TEXT(ROW()-1,"000000"))</f>
        <v/>
      </c>
      <c r="B1485" s="26" t="n"/>
      <c r="C1485" s="27" t="n"/>
      <c r="D1485" s="25">
        <f>IF($C1485="","",IFERROR(IF(INDEX(Roster!$A:$A,MATCH($C1485,Roster!$B:$B,0))="","",INDEX(Roster!$A:$A,MATCH($C1485,Roster!$B:$B,0))&amp;""),"—"))</f>
        <v/>
      </c>
      <c r="E1485" s="25">
        <f>IF($C1485="","",IFERROR(IF(INDEX(Roster!$C:$C,MATCH($C1485,Roster!$B:$B,0))="","",INDEX(Roster!$C:$C,MATCH($C1485,Roster!$B:$B,0))&amp;""),"—"))</f>
        <v/>
      </c>
      <c r="F1485" s="25">
        <f>IF($C1485="","",IFERROR(IF(INDEX(Roster!$D:$D,MATCH($C1485,Roster!$B:$B,0))="","",INDEX(Roster!$D:$D,MATCH($C1485,Roster!$B:$B,0))&amp;""),"—"))</f>
        <v/>
      </c>
      <c r="G1485" s="25">
        <f>IF($C1485="","",IFERROR(IF(INDEX(Roster!$E:$E,MATCH($C1485,Roster!$B:$B,0))="","",INDEX(Roster!$E:$E,MATCH($C1485,Roster!$B:$B,0))&amp;""),"—"))</f>
        <v/>
      </c>
      <c r="H1485" s="25">
        <f>IF($C1485="","",IFERROR(IF(INDEX(Roster!$F:$F,MATCH($C1485,Roster!$B:$B,0))="","",INDEX(Roster!$F:$F,MATCH($C1485,Roster!$B:$B,0))&amp;""),"—"))</f>
        <v/>
      </c>
      <c r="I1485" s="25">
        <f>IF($C1485="","",IFERROR(IF(INDEX(Roster!$G:$G,MATCH($C1485,Roster!$B:$B,0))="","",INDEX(Roster!$G:$G,MATCH($C1485,Roster!$B:$B,0))&amp;""),"—"))</f>
        <v/>
      </c>
      <c r="J1485" s="25">
        <f>IF($C1485="","",IFERROR(IF(INDEX(Roster!$I:$I,MATCH($C1485,Roster!$B:$B,0))="","",INDEX(Roster!$I:$I,MATCH($C1485,Roster!$B:$B,0))&amp;""),"—"))</f>
        <v/>
      </c>
      <c r="K1485">
        <f>IF($C1485="","",IFERROR(IF(INDEX(Roster!$J:$J,MATCH($C1485,Roster!$B:$B,0))="","",INDEX(Roster!$J:$J,MATCH($C1485,Roster!$B:$B,0))&amp;""),"—"))</f>
        <v/>
      </c>
      <c r="L1485">
        <f>IF($C1485="","",IFERROR(IF(INDEX(Roster!$K:$K,MATCH($C1485,Roster!$B:$B,0))="","",INDEX(Roster!$K:$K,MATCH($C1485,Roster!$B:$B,0))&amp;""),"—"))</f>
        <v/>
      </c>
      <c r="M1485" s="27" t="n"/>
      <c r="N1485" s="27" t="n"/>
      <c r="O1485" s="25">
        <f>IF($C1485="","",IF($P1485="","—",IF($P1485="Valid (Pass)","Valid","Invalid")))</f>
        <v/>
      </c>
      <c r="P1485" s="27" t="n"/>
      <c r="Q1485" s="27" t="n"/>
      <c r="R1485" s="27" t="n"/>
      <c r="S1485" s="27" t="n"/>
      <c r="T1485" s="25">
        <f>IF($C1485="","",IF(OR(ISNUMBER(SEARCH("quick case",$P1485)),ISNUMBER(SEARCH("quick case",$Q1485))),"Yes","No"))</f>
        <v/>
      </c>
      <c r="U1485" s="25">
        <f>IF($O1485="Invalid",HYPERLINK("mailto:"&amp;$G1485&amp;";"&amp;$I1485&amp;"?cc="&amp;Lists!$E$2&amp;"&amp;subject="&amp;_xlfn.ENCODEURL("[INVALID] Quality audit monitoring completed for "&amp;UPPER($C1485))&amp;"&amp;body="&amp;_xlfn.ENCODEURL("Hi "&amp;$F1485&amp;","&amp;CHAR(10)&amp;"Good day!"&amp;CHAR(10)&amp;CHAR(10)&amp;"A quality monitoring audit has been completed for "&amp;$C1485&amp;"."&amp;CHAR(10)&amp;CHAR(10)&amp;"QUALITY AUDIT DETAILS"&amp;CHAR(10)&amp;"Agent Name: "&amp;$C1485&amp;" (EID "&amp;$D1485&amp;")"&amp;CHAR(10)&amp;"Audit Date: "&amp;TEXT($B1485,"yyyy-mm-dd")&amp;CHAR(10)&amp;"Team Leader: "&amp;$F1485&amp;CHAR(10)&amp;"Case Number: "&amp;$M1485&amp;CHAR(10)&amp;"Transaction ID: "&amp;$N1485&amp;CHAR(10)&amp;"Channel / LOB: "&amp;$K1485&amp;" / "&amp;$L1485&amp;CHAR(10)&amp;"Evaluator: "&amp;$S1485&amp;CHAR(10)&amp;CHAR(10)&amp;"INVALID QUALITY AUDIT DETAILS"&amp;CHAR(10)&amp;"Validation: Invalid"&amp;CHAR(10)&amp;"Invalid Reason: "&amp;$P1485&amp;CHAR(10)&amp;"Expected Resolution Code: "&amp;$Q1485&amp;CHAR(10)&amp;"Remarks: "&amp;LEFT($R1485,600)&amp;CHAR(10)&amp;CHAR(10)&amp;"This is an automated notification from HP Mainstream EQMS."),"✉ Open Email Draft"),"")</f>
        <v/>
      </c>
    </row>
    <row r="1486">
      <c r="A1486" s="25">
        <f>IF($C1486="","","AUD-2026-"&amp;TEXT(ROW()-1,"000000"))</f>
        <v/>
      </c>
      <c r="B1486" s="26" t="n"/>
      <c r="C1486" s="27" t="n"/>
      <c r="D1486" s="25">
        <f>IF($C1486="","",IFERROR(IF(INDEX(Roster!$A:$A,MATCH($C1486,Roster!$B:$B,0))="","",INDEX(Roster!$A:$A,MATCH($C1486,Roster!$B:$B,0))&amp;""),"—"))</f>
        <v/>
      </c>
      <c r="E1486" s="25">
        <f>IF($C1486="","",IFERROR(IF(INDEX(Roster!$C:$C,MATCH($C1486,Roster!$B:$B,0))="","",INDEX(Roster!$C:$C,MATCH($C1486,Roster!$B:$B,0))&amp;""),"—"))</f>
        <v/>
      </c>
      <c r="F1486" s="25">
        <f>IF($C1486="","",IFERROR(IF(INDEX(Roster!$D:$D,MATCH($C1486,Roster!$B:$B,0))="","",INDEX(Roster!$D:$D,MATCH($C1486,Roster!$B:$B,0))&amp;""),"—"))</f>
        <v/>
      </c>
      <c r="G1486" s="25">
        <f>IF($C1486="","",IFERROR(IF(INDEX(Roster!$E:$E,MATCH($C1486,Roster!$B:$B,0))="","",INDEX(Roster!$E:$E,MATCH($C1486,Roster!$B:$B,0))&amp;""),"—"))</f>
        <v/>
      </c>
      <c r="H1486" s="25">
        <f>IF($C1486="","",IFERROR(IF(INDEX(Roster!$F:$F,MATCH($C1486,Roster!$B:$B,0))="","",INDEX(Roster!$F:$F,MATCH($C1486,Roster!$B:$B,0))&amp;""),"—"))</f>
        <v/>
      </c>
      <c r="I1486" s="25">
        <f>IF($C1486="","",IFERROR(IF(INDEX(Roster!$G:$G,MATCH($C1486,Roster!$B:$B,0))="","",INDEX(Roster!$G:$G,MATCH($C1486,Roster!$B:$B,0))&amp;""),"—"))</f>
        <v/>
      </c>
      <c r="J1486" s="25">
        <f>IF($C1486="","",IFERROR(IF(INDEX(Roster!$I:$I,MATCH($C1486,Roster!$B:$B,0))="","",INDEX(Roster!$I:$I,MATCH($C1486,Roster!$B:$B,0))&amp;""),"—"))</f>
        <v/>
      </c>
      <c r="K1486">
        <f>IF($C1486="","",IFERROR(IF(INDEX(Roster!$J:$J,MATCH($C1486,Roster!$B:$B,0))="","",INDEX(Roster!$J:$J,MATCH($C1486,Roster!$B:$B,0))&amp;""),"—"))</f>
        <v/>
      </c>
      <c r="L1486">
        <f>IF($C1486="","",IFERROR(IF(INDEX(Roster!$K:$K,MATCH($C1486,Roster!$B:$B,0))="","",INDEX(Roster!$K:$K,MATCH($C1486,Roster!$B:$B,0))&amp;""),"—"))</f>
        <v/>
      </c>
      <c r="M1486" s="27" t="n"/>
      <c r="N1486" s="27" t="n"/>
      <c r="O1486" s="25">
        <f>IF($C1486="","",IF($P1486="","—",IF($P1486="Valid (Pass)","Valid","Invalid")))</f>
        <v/>
      </c>
      <c r="P1486" s="27" t="n"/>
      <c r="Q1486" s="27" t="n"/>
      <c r="R1486" s="27" t="n"/>
      <c r="S1486" s="27" t="n"/>
      <c r="T1486" s="25">
        <f>IF($C1486="","",IF(OR(ISNUMBER(SEARCH("quick case",$P1486)),ISNUMBER(SEARCH("quick case",$Q1486))),"Yes","No"))</f>
        <v/>
      </c>
      <c r="U1486" s="25">
        <f>IF($O1486="Invalid",HYPERLINK("mailto:"&amp;$G1486&amp;";"&amp;$I1486&amp;"?cc="&amp;Lists!$E$2&amp;"&amp;subject="&amp;_xlfn.ENCODEURL("[INVALID] Quality audit monitoring completed for "&amp;UPPER($C1486))&amp;"&amp;body="&amp;_xlfn.ENCODEURL("Hi "&amp;$F1486&amp;","&amp;CHAR(10)&amp;"Good day!"&amp;CHAR(10)&amp;CHAR(10)&amp;"A quality monitoring audit has been completed for "&amp;$C1486&amp;"."&amp;CHAR(10)&amp;CHAR(10)&amp;"QUALITY AUDIT DETAILS"&amp;CHAR(10)&amp;"Agent Name: "&amp;$C1486&amp;" (EID "&amp;$D1486&amp;")"&amp;CHAR(10)&amp;"Audit Date: "&amp;TEXT($B1486,"yyyy-mm-dd")&amp;CHAR(10)&amp;"Team Leader: "&amp;$F1486&amp;CHAR(10)&amp;"Case Number: "&amp;$M1486&amp;CHAR(10)&amp;"Transaction ID: "&amp;$N1486&amp;CHAR(10)&amp;"Channel / LOB: "&amp;$K1486&amp;" / "&amp;$L1486&amp;CHAR(10)&amp;"Evaluator: "&amp;$S1486&amp;CHAR(10)&amp;CHAR(10)&amp;"INVALID QUALITY AUDIT DETAILS"&amp;CHAR(10)&amp;"Validation: Invalid"&amp;CHAR(10)&amp;"Invalid Reason: "&amp;$P1486&amp;CHAR(10)&amp;"Expected Resolution Code: "&amp;$Q1486&amp;CHAR(10)&amp;"Remarks: "&amp;LEFT($R1486,600)&amp;CHAR(10)&amp;CHAR(10)&amp;"This is an automated notification from HP Mainstream EQMS."),"✉ Open Email Draft"),"")</f>
        <v/>
      </c>
    </row>
    <row r="1487">
      <c r="A1487" s="25">
        <f>IF($C1487="","","AUD-2026-"&amp;TEXT(ROW()-1,"000000"))</f>
        <v/>
      </c>
      <c r="B1487" s="26" t="n"/>
      <c r="C1487" s="27" t="n"/>
      <c r="D1487" s="25">
        <f>IF($C1487="","",IFERROR(IF(INDEX(Roster!$A:$A,MATCH($C1487,Roster!$B:$B,0))="","",INDEX(Roster!$A:$A,MATCH($C1487,Roster!$B:$B,0))&amp;""),"—"))</f>
        <v/>
      </c>
      <c r="E1487" s="25">
        <f>IF($C1487="","",IFERROR(IF(INDEX(Roster!$C:$C,MATCH($C1487,Roster!$B:$B,0))="","",INDEX(Roster!$C:$C,MATCH($C1487,Roster!$B:$B,0))&amp;""),"—"))</f>
        <v/>
      </c>
      <c r="F1487" s="25">
        <f>IF($C1487="","",IFERROR(IF(INDEX(Roster!$D:$D,MATCH($C1487,Roster!$B:$B,0))="","",INDEX(Roster!$D:$D,MATCH($C1487,Roster!$B:$B,0))&amp;""),"—"))</f>
        <v/>
      </c>
      <c r="G1487" s="25">
        <f>IF($C1487="","",IFERROR(IF(INDEX(Roster!$E:$E,MATCH($C1487,Roster!$B:$B,0))="","",INDEX(Roster!$E:$E,MATCH($C1487,Roster!$B:$B,0))&amp;""),"—"))</f>
        <v/>
      </c>
      <c r="H1487" s="25">
        <f>IF($C1487="","",IFERROR(IF(INDEX(Roster!$F:$F,MATCH($C1487,Roster!$B:$B,0))="","",INDEX(Roster!$F:$F,MATCH($C1487,Roster!$B:$B,0))&amp;""),"—"))</f>
        <v/>
      </c>
      <c r="I1487" s="25">
        <f>IF($C1487="","",IFERROR(IF(INDEX(Roster!$G:$G,MATCH($C1487,Roster!$B:$B,0))="","",INDEX(Roster!$G:$G,MATCH($C1487,Roster!$B:$B,0))&amp;""),"—"))</f>
        <v/>
      </c>
      <c r="J1487" s="25">
        <f>IF($C1487="","",IFERROR(IF(INDEX(Roster!$I:$I,MATCH($C1487,Roster!$B:$B,0))="","",INDEX(Roster!$I:$I,MATCH($C1487,Roster!$B:$B,0))&amp;""),"—"))</f>
        <v/>
      </c>
      <c r="K1487">
        <f>IF($C1487="","",IFERROR(IF(INDEX(Roster!$J:$J,MATCH($C1487,Roster!$B:$B,0))="","",INDEX(Roster!$J:$J,MATCH($C1487,Roster!$B:$B,0))&amp;""),"—"))</f>
        <v/>
      </c>
      <c r="L1487">
        <f>IF($C1487="","",IFERROR(IF(INDEX(Roster!$K:$K,MATCH($C1487,Roster!$B:$B,0))="","",INDEX(Roster!$K:$K,MATCH($C1487,Roster!$B:$B,0))&amp;""),"—"))</f>
        <v/>
      </c>
      <c r="M1487" s="27" t="n"/>
      <c r="N1487" s="27" t="n"/>
      <c r="O1487" s="25">
        <f>IF($C1487="","",IF($P1487="","—",IF($P1487="Valid (Pass)","Valid","Invalid")))</f>
        <v/>
      </c>
      <c r="P1487" s="27" t="n"/>
      <c r="Q1487" s="27" t="n"/>
      <c r="R1487" s="27" t="n"/>
      <c r="S1487" s="27" t="n"/>
      <c r="T1487" s="25">
        <f>IF($C1487="","",IF(OR(ISNUMBER(SEARCH("quick case",$P1487)),ISNUMBER(SEARCH("quick case",$Q1487))),"Yes","No"))</f>
        <v/>
      </c>
      <c r="U1487" s="25">
        <f>IF($O1487="Invalid",HYPERLINK("mailto:"&amp;$G1487&amp;";"&amp;$I1487&amp;"?cc="&amp;Lists!$E$2&amp;"&amp;subject="&amp;_xlfn.ENCODEURL("[INVALID] Quality audit monitoring completed for "&amp;UPPER($C1487))&amp;"&amp;body="&amp;_xlfn.ENCODEURL("Hi "&amp;$F1487&amp;","&amp;CHAR(10)&amp;"Good day!"&amp;CHAR(10)&amp;CHAR(10)&amp;"A quality monitoring audit has been completed for "&amp;$C1487&amp;"."&amp;CHAR(10)&amp;CHAR(10)&amp;"QUALITY AUDIT DETAILS"&amp;CHAR(10)&amp;"Agent Name: "&amp;$C1487&amp;" (EID "&amp;$D1487&amp;")"&amp;CHAR(10)&amp;"Audit Date: "&amp;TEXT($B1487,"yyyy-mm-dd")&amp;CHAR(10)&amp;"Team Leader: "&amp;$F1487&amp;CHAR(10)&amp;"Case Number: "&amp;$M1487&amp;CHAR(10)&amp;"Transaction ID: "&amp;$N1487&amp;CHAR(10)&amp;"Channel / LOB: "&amp;$K1487&amp;" / "&amp;$L1487&amp;CHAR(10)&amp;"Evaluator: "&amp;$S1487&amp;CHAR(10)&amp;CHAR(10)&amp;"INVALID QUALITY AUDIT DETAILS"&amp;CHAR(10)&amp;"Validation: Invalid"&amp;CHAR(10)&amp;"Invalid Reason: "&amp;$P1487&amp;CHAR(10)&amp;"Expected Resolution Code: "&amp;$Q1487&amp;CHAR(10)&amp;"Remarks: "&amp;LEFT($R1487,600)&amp;CHAR(10)&amp;CHAR(10)&amp;"This is an automated notification from HP Mainstream EQMS."),"✉ Open Email Draft"),"")</f>
        <v/>
      </c>
    </row>
    <row r="1488">
      <c r="A1488" s="25">
        <f>IF($C1488="","","AUD-2026-"&amp;TEXT(ROW()-1,"000000"))</f>
        <v/>
      </c>
      <c r="B1488" s="26" t="n"/>
      <c r="C1488" s="27" t="n"/>
      <c r="D1488" s="25">
        <f>IF($C1488="","",IFERROR(IF(INDEX(Roster!$A:$A,MATCH($C1488,Roster!$B:$B,0))="","",INDEX(Roster!$A:$A,MATCH($C1488,Roster!$B:$B,0))&amp;""),"—"))</f>
        <v/>
      </c>
      <c r="E1488" s="25">
        <f>IF($C1488="","",IFERROR(IF(INDEX(Roster!$C:$C,MATCH($C1488,Roster!$B:$B,0))="","",INDEX(Roster!$C:$C,MATCH($C1488,Roster!$B:$B,0))&amp;""),"—"))</f>
        <v/>
      </c>
      <c r="F1488" s="25">
        <f>IF($C1488="","",IFERROR(IF(INDEX(Roster!$D:$D,MATCH($C1488,Roster!$B:$B,0))="","",INDEX(Roster!$D:$D,MATCH($C1488,Roster!$B:$B,0))&amp;""),"—"))</f>
        <v/>
      </c>
      <c r="G1488" s="25">
        <f>IF($C1488="","",IFERROR(IF(INDEX(Roster!$E:$E,MATCH($C1488,Roster!$B:$B,0))="","",INDEX(Roster!$E:$E,MATCH($C1488,Roster!$B:$B,0))&amp;""),"—"))</f>
        <v/>
      </c>
      <c r="H1488" s="25">
        <f>IF($C1488="","",IFERROR(IF(INDEX(Roster!$F:$F,MATCH($C1488,Roster!$B:$B,0))="","",INDEX(Roster!$F:$F,MATCH($C1488,Roster!$B:$B,0))&amp;""),"—"))</f>
        <v/>
      </c>
      <c r="I1488" s="25">
        <f>IF($C1488="","",IFERROR(IF(INDEX(Roster!$G:$G,MATCH($C1488,Roster!$B:$B,0))="","",INDEX(Roster!$G:$G,MATCH($C1488,Roster!$B:$B,0))&amp;""),"—"))</f>
        <v/>
      </c>
      <c r="J1488" s="25">
        <f>IF($C1488="","",IFERROR(IF(INDEX(Roster!$I:$I,MATCH($C1488,Roster!$B:$B,0))="","",INDEX(Roster!$I:$I,MATCH($C1488,Roster!$B:$B,0))&amp;""),"—"))</f>
        <v/>
      </c>
      <c r="K1488">
        <f>IF($C1488="","",IFERROR(IF(INDEX(Roster!$J:$J,MATCH($C1488,Roster!$B:$B,0))="","",INDEX(Roster!$J:$J,MATCH($C1488,Roster!$B:$B,0))&amp;""),"—"))</f>
        <v/>
      </c>
      <c r="L1488">
        <f>IF($C1488="","",IFERROR(IF(INDEX(Roster!$K:$K,MATCH($C1488,Roster!$B:$B,0))="","",INDEX(Roster!$K:$K,MATCH($C1488,Roster!$B:$B,0))&amp;""),"—"))</f>
        <v/>
      </c>
      <c r="M1488" s="27" t="n"/>
      <c r="N1488" s="27" t="n"/>
      <c r="O1488" s="25">
        <f>IF($C1488="","",IF($P1488="","—",IF($P1488="Valid (Pass)","Valid","Invalid")))</f>
        <v/>
      </c>
      <c r="P1488" s="27" t="n"/>
      <c r="Q1488" s="27" t="n"/>
      <c r="R1488" s="27" t="n"/>
      <c r="S1488" s="27" t="n"/>
      <c r="T1488" s="25">
        <f>IF($C1488="","",IF(OR(ISNUMBER(SEARCH("quick case",$P1488)),ISNUMBER(SEARCH("quick case",$Q1488))),"Yes","No"))</f>
        <v/>
      </c>
      <c r="U1488" s="25">
        <f>IF($O1488="Invalid",HYPERLINK("mailto:"&amp;$G1488&amp;";"&amp;$I1488&amp;"?cc="&amp;Lists!$E$2&amp;"&amp;subject="&amp;_xlfn.ENCODEURL("[INVALID] Quality audit monitoring completed for "&amp;UPPER($C1488))&amp;"&amp;body="&amp;_xlfn.ENCODEURL("Hi "&amp;$F1488&amp;","&amp;CHAR(10)&amp;"Good day!"&amp;CHAR(10)&amp;CHAR(10)&amp;"A quality monitoring audit has been completed for "&amp;$C1488&amp;"."&amp;CHAR(10)&amp;CHAR(10)&amp;"QUALITY AUDIT DETAILS"&amp;CHAR(10)&amp;"Agent Name: "&amp;$C1488&amp;" (EID "&amp;$D1488&amp;")"&amp;CHAR(10)&amp;"Audit Date: "&amp;TEXT($B1488,"yyyy-mm-dd")&amp;CHAR(10)&amp;"Team Leader: "&amp;$F1488&amp;CHAR(10)&amp;"Case Number: "&amp;$M1488&amp;CHAR(10)&amp;"Transaction ID: "&amp;$N1488&amp;CHAR(10)&amp;"Channel / LOB: "&amp;$K1488&amp;" / "&amp;$L1488&amp;CHAR(10)&amp;"Evaluator: "&amp;$S1488&amp;CHAR(10)&amp;CHAR(10)&amp;"INVALID QUALITY AUDIT DETAILS"&amp;CHAR(10)&amp;"Validation: Invalid"&amp;CHAR(10)&amp;"Invalid Reason: "&amp;$P1488&amp;CHAR(10)&amp;"Expected Resolution Code: "&amp;$Q1488&amp;CHAR(10)&amp;"Remarks: "&amp;LEFT($R1488,600)&amp;CHAR(10)&amp;CHAR(10)&amp;"This is an automated notification from HP Mainstream EQMS."),"✉ Open Email Draft"),"")</f>
        <v/>
      </c>
    </row>
    <row r="1489">
      <c r="A1489" s="25">
        <f>IF($C1489="","","AUD-2026-"&amp;TEXT(ROW()-1,"000000"))</f>
        <v/>
      </c>
      <c r="B1489" s="26" t="n"/>
      <c r="C1489" s="27" t="n"/>
      <c r="D1489" s="25">
        <f>IF($C1489="","",IFERROR(IF(INDEX(Roster!$A:$A,MATCH($C1489,Roster!$B:$B,0))="","",INDEX(Roster!$A:$A,MATCH($C1489,Roster!$B:$B,0))&amp;""),"—"))</f>
        <v/>
      </c>
      <c r="E1489" s="25">
        <f>IF($C1489="","",IFERROR(IF(INDEX(Roster!$C:$C,MATCH($C1489,Roster!$B:$B,0))="","",INDEX(Roster!$C:$C,MATCH($C1489,Roster!$B:$B,0))&amp;""),"—"))</f>
        <v/>
      </c>
      <c r="F1489" s="25">
        <f>IF($C1489="","",IFERROR(IF(INDEX(Roster!$D:$D,MATCH($C1489,Roster!$B:$B,0))="","",INDEX(Roster!$D:$D,MATCH($C1489,Roster!$B:$B,0))&amp;""),"—"))</f>
        <v/>
      </c>
      <c r="G1489" s="25">
        <f>IF($C1489="","",IFERROR(IF(INDEX(Roster!$E:$E,MATCH($C1489,Roster!$B:$B,0))="","",INDEX(Roster!$E:$E,MATCH($C1489,Roster!$B:$B,0))&amp;""),"—"))</f>
        <v/>
      </c>
      <c r="H1489" s="25">
        <f>IF($C1489="","",IFERROR(IF(INDEX(Roster!$F:$F,MATCH($C1489,Roster!$B:$B,0))="","",INDEX(Roster!$F:$F,MATCH($C1489,Roster!$B:$B,0))&amp;""),"—"))</f>
        <v/>
      </c>
      <c r="I1489" s="25">
        <f>IF($C1489="","",IFERROR(IF(INDEX(Roster!$G:$G,MATCH($C1489,Roster!$B:$B,0))="","",INDEX(Roster!$G:$G,MATCH($C1489,Roster!$B:$B,0))&amp;""),"—"))</f>
        <v/>
      </c>
      <c r="J1489" s="25">
        <f>IF($C1489="","",IFERROR(IF(INDEX(Roster!$I:$I,MATCH($C1489,Roster!$B:$B,0))="","",INDEX(Roster!$I:$I,MATCH($C1489,Roster!$B:$B,0))&amp;""),"—"))</f>
        <v/>
      </c>
      <c r="K1489">
        <f>IF($C1489="","",IFERROR(IF(INDEX(Roster!$J:$J,MATCH($C1489,Roster!$B:$B,0))="","",INDEX(Roster!$J:$J,MATCH($C1489,Roster!$B:$B,0))&amp;""),"—"))</f>
        <v/>
      </c>
      <c r="L1489">
        <f>IF($C1489="","",IFERROR(IF(INDEX(Roster!$K:$K,MATCH($C1489,Roster!$B:$B,0))="","",INDEX(Roster!$K:$K,MATCH($C1489,Roster!$B:$B,0))&amp;""),"—"))</f>
        <v/>
      </c>
      <c r="M1489" s="27" t="n"/>
      <c r="N1489" s="27" t="n"/>
      <c r="O1489" s="25">
        <f>IF($C1489="","",IF($P1489="","—",IF($P1489="Valid (Pass)","Valid","Invalid")))</f>
        <v/>
      </c>
      <c r="P1489" s="27" t="n"/>
      <c r="Q1489" s="27" t="n"/>
      <c r="R1489" s="27" t="n"/>
      <c r="S1489" s="27" t="n"/>
      <c r="T1489" s="25">
        <f>IF($C1489="","",IF(OR(ISNUMBER(SEARCH("quick case",$P1489)),ISNUMBER(SEARCH("quick case",$Q1489))),"Yes","No"))</f>
        <v/>
      </c>
      <c r="U1489" s="25">
        <f>IF($O1489="Invalid",HYPERLINK("mailto:"&amp;$G1489&amp;";"&amp;$I1489&amp;"?cc="&amp;Lists!$E$2&amp;"&amp;subject="&amp;_xlfn.ENCODEURL("[INVALID] Quality audit monitoring completed for "&amp;UPPER($C1489))&amp;"&amp;body="&amp;_xlfn.ENCODEURL("Hi "&amp;$F1489&amp;","&amp;CHAR(10)&amp;"Good day!"&amp;CHAR(10)&amp;CHAR(10)&amp;"A quality monitoring audit has been completed for "&amp;$C1489&amp;"."&amp;CHAR(10)&amp;CHAR(10)&amp;"QUALITY AUDIT DETAILS"&amp;CHAR(10)&amp;"Agent Name: "&amp;$C1489&amp;" (EID "&amp;$D1489&amp;")"&amp;CHAR(10)&amp;"Audit Date: "&amp;TEXT($B1489,"yyyy-mm-dd")&amp;CHAR(10)&amp;"Team Leader: "&amp;$F1489&amp;CHAR(10)&amp;"Case Number: "&amp;$M1489&amp;CHAR(10)&amp;"Transaction ID: "&amp;$N1489&amp;CHAR(10)&amp;"Channel / LOB: "&amp;$K1489&amp;" / "&amp;$L1489&amp;CHAR(10)&amp;"Evaluator: "&amp;$S1489&amp;CHAR(10)&amp;CHAR(10)&amp;"INVALID QUALITY AUDIT DETAILS"&amp;CHAR(10)&amp;"Validation: Invalid"&amp;CHAR(10)&amp;"Invalid Reason: "&amp;$P1489&amp;CHAR(10)&amp;"Expected Resolution Code: "&amp;$Q1489&amp;CHAR(10)&amp;"Remarks: "&amp;LEFT($R1489,600)&amp;CHAR(10)&amp;CHAR(10)&amp;"This is an automated notification from HP Mainstream EQMS."),"✉ Open Email Draft"),"")</f>
        <v/>
      </c>
    </row>
    <row r="1490">
      <c r="A1490" s="25">
        <f>IF($C1490="","","AUD-2026-"&amp;TEXT(ROW()-1,"000000"))</f>
        <v/>
      </c>
      <c r="B1490" s="26" t="n"/>
      <c r="C1490" s="27" t="n"/>
      <c r="D1490" s="25">
        <f>IF($C1490="","",IFERROR(IF(INDEX(Roster!$A:$A,MATCH($C1490,Roster!$B:$B,0))="","",INDEX(Roster!$A:$A,MATCH($C1490,Roster!$B:$B,0))&amp;""),"—"))</f>
        <v/>
      </c>
      <c r="E1490" s="25">
        <f>IF($C1490="","",IFERROR(IF(INDEX(Roster!$C:$C,MATCH($C1490,Roster!$B:$B,0))="","",INDEX(Roster!$C:$C,MATCH($C1490,Roster!$B:$B,0))&amp;""),"—"))</f>
        <v/>
      </c>
      <c r="F1490" s="25">
        <f>IF($C1490="","",IFERROR(IF(INDEX(Roster!$D:$D,MATCH($C1490,Roster!$B:$B,0))="","",INDEX(Roster!$D:$D,MATCH($C1490,Roster!$B:$B,0))&amp;""),"—"))</f>
        <v/>
      </c>
      <c r="G1490" s="25">
        <f>IF($C1490="","",IFERROR(IF(INDEX(Roster!$E:$E,MATCH($C1490,Roster!$B:$B,0))="","",INDEX(Roster!$E:$E,MATCH($C1490,Roster!$B:$B,0))&amp;""),"—"))</f>
        <v/>
      </c>
      <c r="H1490" s="25">
        <f>IF($C1490="","",IFERROR(IF(INDEX(Roster!$F:$F,MATCH($C1490,Roster!$B:$B,0))="","",INDEX(Roster!$F:$F,MATCH($C1490,Roster!$B:$B,0))&amp;""),"—"))</f>
        <v/>
      </c>
      <c r="I1490" s="25">
        <f>IF($C1490="","",IFERROR(IF(INDEX(Roster!$G:$G,MATCH($C1490,Roster!$B:$B,0))="","",INDEX(Roster!$G:$G,MATCH($C1490,Roster!$B:$B,0))&amp;""),"—"))</f>
        <v/>
      </c>
      <c r="J1490" s="25">
        <f>IF($C1490="","",IFERROR(IF(INDEX(Roster!$I:$I,MATCH($C1490,Roster!$B:$B,0))="","",INDEX(Roster!$I:$I,MATCH($C1490,Roster!$B:$B,0))&amp;""),"—"))</f>
        <v/>
      </c>
      <c r="K1490">
        <f>IF($C1490="","",IFERROR(IF(INDEX(Roster!$J:$J,MATCH($C1490,Roster!$B:$B,0))="","",INDEX(Roster!$J:$J,MATCH($C1490,Roster!$B:$B,0))&amp;""),"—"))</f>
        <v/>
      </c>
      <c r="L1490">
        <f>IF($C1490="","",IFERROR(IF(INDEX(Roster!$K:$K,MATCH($C1490,Roster!$B:$B,0))="","",INDEX(Roster!$K:$K,MATCH($C1490,Roster!$B:$B,0))&amp;""),"—"))</f>
        <v/>
      </c>
      <c r="M1490" s="27" t="n"/>
      <c r="N1490" s="27" t="n"/>
      <c r="O1490" s="25">
        <f>IF($C1490="","",IF($P1490="","—",IF($P1490="Valid (Pass)","Valid","Invalid")))</f>
        <v/>
      </c>
      <c r="P1490" s="27" t="n"/>
      <c r="Q1490" s="27" t="n"/>
      <c r="R1490" s="27" t="n"/>
      <c r="S1490" s="27" t="n"/>
      <c r="T1490" s="25">
        <f>IF($C1490="","",IF(OR(ISNUMBER(SEARCH("quick case",$P1490)),ISNUMBER(SEARCH("quick case",$Q1490))),"Yes","No"))</f>
        <v/>
      </c>
      <c r="U1490" s="25">
        <f>IF($O1490="Invalid",HYPERLINK("mailto:"&amp;$G1490&amp;";"&amp;$I1490&amp;"?cc="&amp;Lists!$E$2&amp;"&amp;subject="&amp;_xlfn.ENCODEURL("[INVALID] Quality audit monitoring completed for "&amp;UPPER($C1490))&amp;"&amp;body="&amp;_xlfn.ENCODEURL("Hi "&amp;$F1490&amp;","&amp;CHAR(10)&amp;"Good day!"&amp;CHAR(10)&amp;CHAR(10)&amp;"A quality monitoring audit has been completed for "&amp;$C1490&amp;"."&amp;CHAR(10)&amp;CHAR(10)&amp;"QUALITY AUDIT DETAILS"&amp;CHAR(10)&amp;"Agent Name: "&amp;$C1490&amp;" (EID "&amp;$D1490&amp;")"&amp;CHAR(10)&amp;"Audit Date: "&amp;TEXT($B1490,"yyyy-mm-dd")&amp;CHAR(10)&amp;"Team Leader: "&amp;$F1490&amp;CHAR(10)&amp;"Case Number: "&amp;$M1490&amp;CHAR(10)&amp;"Transaction ID: "&amp;$N1490&amp;CHAR(10)&amp;"Channel / LOB: "&amp;$K1490&amp;" / "&amp;$L1490&amp;CHAR(10)&amp;"Evaluator: "&amp;$S1490&amp;CHAR(10)&amp;CHAR(10)&amp;"INVALID QUALITY AUDIT DETAILS"&amp;CHAR(10)&amp;"Validation: Invalid"&amp;CHAR(10)&amp;"Invalid Reason: "&amp;$P1490&amp;CHAR(10)&amp;"Expected Resolution Code: "&amp;$Q1490&amp;CHAR(10)&amp;"Remarks: "&amp;LEFT($R1490,600)&amp;CHAR(10)&amp;CHAR(10)&amp;"This is an automated notification from HP Mainstream EQMS."),"✉ Open Email Draft"),"")</f>
        <v/>
      </c>
    </row>
    <row r="1491">
      <c r="A1491" s="25">
        <f>IF($C1491="","","AUD-2026-"&amp;TEXT(ROW()-1,"000000"))</f>
        <v/>
      </c>
      <c r="B1491" s="26" t="n"/>
      <c r="C1491" s="27" t="n"/>
      <c r="D1491" s="25">
        <f>IF($C1491="","",IFERROR(IF(INDEX(Roster!$A:$A,MATCH($C1491,Roster!$B:$B,0))="","",INDEX(Roster!$A:$A,MATCH($C1491,Roster!$B:$B,0))&amp;""),"—"))</f>
        <v/>
      </c>
      <c r="E1491" s="25">
        <f>IF($C1491="","",IFERROR(IF(INDEX(Roster!$C:$C,MATCH($C1491,Roster!$B:$B,0))="","",INDEX(Roster!$C:$C,MATCH($C1491,Roster!$B:$B,0))&amp;""),"—"))</f>
        <v/>
      </c>
      <c r="F1491" s="25">
        <f>IF($C1491="","",IFERROR(IF(INDEX(Roster!$D:$D,MATCH($C1491,Roster!$B:$B,0))="","",INDEX(Roster!$D:$D,MATCH($C1491,Roster!$B:$B,0))&amp;""),"—"))</f>
        <v/>
      </c>
      <c r="G1491" s="25">
        <f>IF($C1491="","",IFERROR(IF(INDEX(Roster!$E:$E,MATCH($C1491,Roster!$B:$B,0))="","",INDEX(Roster!$E:$E,MATCH($C1491,Roster!$B:$B,0))&amp;""),"—"))</f>
        <v/>
      </c>
      <c r="H1491" s="25">
        <f>IF($C1491="","",IFERROR(IF(INDEX(Roster!$F:$F,MATCH($C1491,Roster!$B:$B,0))="","",INDEX(Roster!$F:$F,MATCH($C1491,Roster!$B:$B,0))&amp;""),"—"))</f>
        <v/>
      </c>
      <c r="I1491" s="25">
        <f>IF($C1491="","",IFERROR(IF(INDEX(Roster!$G:$G,MATCH($C1491,Roster!$B:$B,0))="","",INDEX(Roster!$G:$G,MATCH($C1491,Roster!$B:$B,0))&amp;""),"—"))</f>
        <v/>
      </c>
      <c r="J1491" s="25">
        <f>IF($C1491="","",IFERROR(IF(INDEX(Roster!$I:$I,MATCH($C1491,Roster!$B:$B,0))="","",INDEX(Roster!$I:$I,MATCH($C1491,Roster!$B:$B,0))&amp;""),"—"))</f>
        <v/>
      </c>
      <c r="K1491">
        <f>IF($C1491="","",IFERROR(IF(INDEX(Roster!$J:$J,MATCH($C1491,Roster!$B:$B,0))="","",INDEX(Roster!$J:$J,MATCH($C1491,Roster!$B:$B,0))&amp;""),"—"))</f>
        <v/>
      </c>
      <c r="L1491">
        <f>IF($C1491="","",IFERROR(IF(INDEX(Roster!$K:$K,MATCH($C1491,Roster!$B:$B,0))="","",INDEX(Roster!$K:$K,MATCH($C1491,Roster!$B:$B,0))&amp;""),"—"))</f>
        <v/>
      </c>
      <c r="M1491" s="27" t="n"/>
      <c r="N1491" s="27" t="n"/>
      <c r="O1491" s="25">
        <f>IF($C1491="","",IF($P1491="","—",IF($P1491="Valid (Pass)","Valid","Invalid")))</f>
        <v/>
      </c>
      <c r="P1491" s="27" t="n"/>
      <c r="Q1491" s="27" t="n"/>
      <c r="R1491" s="27" t="n"/>
      <c r="S1491" s="27" t="n"/>
      <c r="T1491" s="25">
        <f>IF($C1491="","",IF(OR(ISNUMBER(SEARCH("quick case",$P1491)),ISNUMBER(SEARCH("quick case",$Q1491))),"Yes","No"))</f>
        <v/>
      </c>
      <c r="U1491" s="25">
        <f>IF($O1491="Invalid",HYPERLINK("mailto:"&amp;$G1491&amp;";"&amp;$I1491&amp;"?cc="&amp;Lists!$E$2&amp;"&amp;subject="&amp;_xlfn.ENCODEURL("[INVALID] Quality audit monitoring completed for "&amp;UPPER($C1491))&amp;"&amp;body="&amp;_xlfn.ENCODEURL("Hi "&amp;$F1491&amp;","&amp;CHAR(10)&amp;"Good day!"&amp;CHAR(10)&amp;CHAR(10)&amp;"A quality monitoring audit has been completed for "&amp;$C1491&amp;"."&amp;CHAR(10)&amp;CHAR(10)&amp;"QUALITY AUDIT DETAILS"&amp;CHAR(10)&amp;"Agent Name: "&amp;$C1491&amp;" (EID "&amp;$D1491&amp;")"&amp;CHAR(10)&amp;"Audit Date: "&amp;TEXT($B1491,"yyyy-mm-dd")&amp;CHAR(10)&amp;"Team Leader: "&amp;$F1491&amp;CHAR(10)&amp;"Case Number: "&amp;$M1491&amp;CHAR(10)&amp;"Transaction ID: "&amp;$N1491&amp;CHAR(10)&amp;"Channel / LOB: "&amp;$K1491&amp;" / "&amp;$L1491&amp;CHAR(10)&amp;"Evaluator: "&amp;$S1491&amp;CHAR(10)&amp;CHAR(10)&amp;"INVALID QUALITY AUDIT DETAILS"&amp;CHAR(10)&amp;"Validation: Invalid"&amp;CHAR(10)&amp;"Invalid Reason: "&amp;$P1491&amp;CHAR(10)&amp;"Expected Resolution Code: "&amp;$Q1491&amp;CHAR(10)&amp;"Remarks: "&amp;LEFT($R1491,600)&amp;CHAR(10)&amp;CHAR(10)&amp;"This is an automated notification from HP Mainstream EQMS."),"✉ Open Email Draft"),"")</f>
        <v/>
      </c>
    </row>
    <row r="1492">
      <c r="A1492" s="25">
        <f>IF($C1492="","","AUD-2026-"&amp;TEXT(ROW()-1,"000000"))</f>
        <v/>
      </c>
      <c r="B1492" s="26" t="n"/>
      <c r="C1492" s="27" t="n"/>
      <c r="D1492" s="25">
        <f>IF($C1492="","",IFERROR(IF(INDEX(Roster!$A:$A,MATCH($C1492,Roster!$B:$B,0))="","",INDEX(Roster!$A:$A,MATCH($C1492,Roster!$B:$B,0))&amp;""),"—"))</f>
        <v/>
      </c>
      <c r="E1492" s="25">
        <f>IF($C1492="","",IFERROR(IF(INDEX(Roster!$C:$C,MATCH($C1492,Roster!$B:$B,0))="","",INDEX(Roster!$C:$C,MATCH($C1492,Roster!$B:$B,0))&amp;""),"—"))</f>
        <v/>
      </c>
      <c r="F1492" s="25">
        <f>IF($C1492="","",IFERROR(IF(INDEX(Roster!$D:$D,MATCH($C1492,Roster!$B:$B,0))="","",INDEX(Roster!$D:$D,MATCH($C1492,Roster!$B:$B,0))&amp;""),"—"))</f>
        <v/>
      </c>
      <c r="G1492" s="25">
        <f>IF($C1492="","",IFERROR(IF(INDEX(Roster!$E:$E,MATCH($C1492,Roster!$B:$B,0))="","",INDEX(Roster!$E:$E,MATCH($C1492,Roster!$B:$B,0))&amp;""),"—"))</f>
        <v/>
      </c>
      <c r="H1492" s="25">
        <f>IF($C1492="","",IFERROR(IF(INDEX(Roster!$F:$F,MATCH($C1492,Roster!$B:$B,0))="","",INDEX(Roster!$F:$F,MATCH($C1492,Roster!$B:$B,0))&amp;""),"—"))</f>
        <v/>
      </c>
      <c r="I1492" s="25">
        <f>IF($C1492="","",IFERROR(IF(INDEX(Roster!$G:$G,MATCH($C1492,Roster!$B:$B,0))="","",INDEX(Roster!$G:$G,MATCH($C1492,Roster!$B:$B,0))&amp;""),"—"))</f>
        <v/>
      </c>
      <c r="J1492" s="25">
        <f>IF($C1492="","",IFERROR(IF(INDEX(Roster!$I:$I,MATCH($C1492,Roster!$B:$B,0))="","",INDEX(Roster!$I:$I,MATCH($C1492,Roster!$B:$B,0))&amp;""),"—"))</f>
        <v/>
      </c>
      <c r="K1492">
        <f>IF($C1492="","",IFERROR(IF(INDEX(Roster!$J:$J,MATCH($C1492,Roster!$B:$B,0))="","",INDEX(Roster!$J:$J,MATCH($C1492,Roster!$B:$B,0))&amp;""),"—"))</f>
        <v/>
      </c>
      <c r="L1492">
        <f>IF($C1492="","",IFERROR(IF(INDEX(Roster!$K:$K,MATCH($C1492,Roster!$B:$B,0))="","",INDEX(Roster!$K:$K,MATCH($C1492,Roster!$B:$B,0))&amp;""),"—"))</f>
        <v/>
      </c>
      <c r="M1492" s="27" t="n"/>
      <c r="N1492" s="27" t="n"/>
      <c r="O1492" s="25">
        <f>IF($C1492="","",IF($P1492="","—",IF($P1492="Valid (Pass)","Valid","Invalid")))</f>
        <v/>
      </c>
      <c r="P1492" s="27" t="n"/>
      <c r="Q1492" s="27" t="n"/>
      <c r="R1492" s="27" t="n"/>
      <c r="S1492" s="27" t="n"/>
      <c r="T1492" s="25">
        <f>IF($C1492="","",IF(OR(ISNUMBER(SEARCH("quick case",$P1492)),ISNUMBER(SEARCH("quick case",$Q1492))),"Yes","No"))</f>
        <v/>
      </c>
      <c r="U1492" s="25">
        <f>IF($O1492="Invalid",HYPERLINK("mailto:"&amp;$G1492&amp;";"&amp;$I1492&amp;"?cc="&amp;Lists!$E$2&amp;"&amp;subject="&amp;_xlfn.ENCODEURL("[INVALID] Quality audit monitoring completed for "&amp;UPPER($C1492))&amp;"&amp;body="&amp;_xlfn.ENCODEURL("Hi "&amp;$F1492&amp;","&amp;CHAR(10)&amp;"Good day!"&amp;CHAR(10)&amp;CHAR(10)&amp;"A quality monitoring audit has been completed for "&amp;$C1492&amp;"."&amp;CHAR(10)&amp;CHAR(10)&amp;"QUALITY AUDIT DETAILS"&amp;CHAR(10)&amp;"Agent Name: "&amp;$C1492&amp;" (EID "&amp;$D1492&amp;")"&amp;CHAR(10)&amp;"Audit Date: "&amp;TEXT($B1492,"yyyy-mm-dd")&amp;CHAR(10)&amp;"Team Leader: "&amp;$F1492&amp;CHAR(10)&amp;"Case Number: "&amp;$M1492&amp;CHAR(10)&amp;"Transaction ID: "&amp;$N1492&amp;CHAR(10)&amp;"Channel / LOB: "&amp;$K1492&amp;" / "&amp;$L1492&amp;CHAR(10)&amp;"Evaluator: "&amp;$S1492&amp;CHAR(10)&amp;CHAR(10)&amp;"INVALID QUALITY AUDIT DETAILS"&amp;CHAR(10)&amp;"Validation: Invalid"&amp;CHAR(10)&amp;"Invalid Reason: "&amp;$P1492&amp;CHAR(10)&amp;"Expected Resolution Code: "&amp;$Q1492&amp;CHAR(10)&amp;"Remarks: "&amp;LEFT($R1492,600)&amp;CHAR(10)&amp;CHAR(10)&amp;"This is an automated notification from HP Mainstream EQMS."),"✉ Open Email Draft"),"")</f>
        <v/>
      </c>
    </row>
    <row r="1493">
      <c r="A1493" s="25">
        <f>IF($C1493="","","AUD-2026-"&amp;TEXT(ROW()-1,"000000"))</f>
        <v/>
      </c>
      <c r="B1493" s="26" t="n"/>
      <c r="C1493" s="27" t="n"/>
      <c r="D1493" s="25">
        <f>IF($C1493="","",IFERROR(IF(INDEX(Roster!$A:$A,MATCH($C1493,Roster!$B:$B,0))="","",INDEX(Roster!$A:$A,MATCH($C1493,Roster!$B:$B,0))&amp;""),"—"))</f>
        <v/>
      </c>
      <c r="E1493" s="25">
        <f>IF($C1493="","",IFERROR(IF(INDEX(Roster!$C:$C,MATCH($C1493,Roster!$B:$B,0))="","",INDEX(Roster!$C:$C,MATCH($C1493,Roster!$B:$B,0))&amp;""),"—"))</f>
        <v/>
      </c>
      <c r="F1493" s="25">
        <f>IF($C1493="","",IFERROR(IF(INDEX(Roster!$D:$D,MATCH($C1493,Roster!$B:$B,0))="","",INDEX(Roster!$D:$D,MATCH($C1493,Roster!$B:$B,0))&amp;""),"—"))</f>
        <v/>
      </c>
      <c r="G1493" s="25">
        <f>IF($C1493="","",IFERROR(IF(INDEX(Roster!$E:$E,MATCH($C1493,Roster!$B:$B,0))="","",INDEX(Roster!$E:$E,MATCH($C1493,Roster!$B:$B,0))&amp;""),"—"))</f>
        <v/>
      </c>
      <c r="H1493" s="25">
        <f>IF($C1493="","",IFERROR(IF(INDEX(Roster!$F:$F,MATCH($C1493,Roster!$B:$B,0))="","",INDEX(Roster!$F:$F,MATCH($C1493,Roster!$B:$B,0))&amp;""),"—"))</f>
        <v/>
      </c>
      <c r="I1493" s="25">
        <f>IF($C1493="","",IFERROR(IF(INDEX(Roster!$G:$G,MATCH($C1493,Roster!$B:$B,0))="","",INDEX(Roster!$G:$G,MATCH($C1493,Roster!$B:$B,0))&amp;""),"—"))</f>
        <v/>
      </c>
      <c r="J1493" s="25">
        <f>IF($C1493="","",IFERROR(IF(INDEX(Roster!$I:$I,MATCH($C1493,Roster!$B:$B,0))="","",INDEX(Roster!$I:$I,MATCH($C1493,Roster!$B:$B,0))&amp;""),"—"))</f>
        <v/>
      </c>
      <c r="K1493">
        <f>IF($C1493="","",IFERROR(IF(INDEX(Roster!$J:$J,MATCH($C1493,Roster!$B:$B,0))="","",INDEX(Roster!$J:$J,MATCH($C1493,Roster!$B:$B,0))&amp;""),"—"))</f>
        <v/>
      </c>
      <c r="L1493">
        <f>IF($C1493="","",IFERROR(IF(INDEX(Roster!$K:$K,MATCH($C1493,Roster!$B:$B,0))="","",INDEX(Roster!$K:$K,MATCH($C1493,Roster!$B:$B,0))&amp;""),"—"))</f>
        <v/>
      </c>
      <c r="M1493" s="27" t="n"/>
      <c r="N1493" s="27" t="n"/>
      <c r="O1493" s="25">
        <f>IF($C1493="","",IF($P1493="","—",IF($P1493="Valid (Pass)","Valid","Invalid")))</f>
        <v/>
      </c>
      <c r="P1493" s="27" t="n"/>
      <c r="Q1493" s="27" t="n"/>
      <c r="R1493" s="27" t="n"/>
      <c r="S1493" s="27" t="n"/>
      <c r="T1493" s="25">
        <f>IF($C1493="","",IF(OR(ISNUMBER(SEARCH("quick case",$P1493)),ISNUMBER(SEARCH("quick case",$Q1493))),"Yes","No"))</f>
        <v/>
      </c>
      <c r="U1493" s="25">
        <f>IF($O1493="Invalid",HYPERLINK("mailto:"&amp;$G1493&amp;";"&amp;$I1493&amp;"?cc="&amp;Lists!$E$2&amp;"&amp;subject="&amp;_xlfn.ENCODEURL("[INVALID] Quality audit monitoring completed for "&amp;UPPER($C1493))&amp;"&amp;body="&amp;_xlfn.ENCODEURL("Hi "&amp;$F1493&amp;","&amp;CHAR(10)&amp;"Good day!"&amp;CHAR(10)&amp;CHAR(10)&amp;"A quality monitoring audit has been completed for "&amp;$C1493&amp;"."&amp;CHAR(10)&amp;CHAR(10)&amp;"QUALITY AUDIT DETAILS"&amp;CHAR(10)&amp;"Agent Name: "&amp;$C1493&amp;" (EID "&amp;$D1493&amp;")"&amp;CHAR(10)&amp;"Audit Date: "&amp;TEXT($B1493,"yyyy-mm-dd")&amp;CHAR(10)&amp;"Team Leader: "&amp;$F1493&amp;CHAR(10)&amp;"Case Number: "&amp;$M1493&amp;CHAR(10)&amp;"Transaction ID: "&amp;$N1493&amp;CHAR(10)&amp;"Channel / LOB: "&amp;$K1493&amp;" / "&amp;$L1493&amp;CHAR(10)&amp;"Evaluator: "&amp;$S1493&amp;CHAR(10)&amp;CHAR(10)&amp;"INVALID QUALITY AUDIT DETAILS"&amp;CHAR(10)&amp;"Validation: Invalid"&amp;CHAR(10)&amp;"Invalid Reason: "&amp;$P1493&amp;CHAR(10)&amp;"Expected Resolution Code: "&amp;$Q1493&amp;CHAR(10)&amp;"Remarks: "&amp;LEFT($R1493,600)&amp;CHAR(10)&amp;CHAR(10)&amp;"This is an automated notification from HP Mainstream EQMS."),"✉ Open Email Draft"),"")</f>
        <v/>
      </c>
    </row>
    <row r="1494">
      <c r="A1494" s="25">
        <f>IF($C1494="","","AUD-2026-"&amp;TEXT(ROW()-1,"000000"))</f>
        <v/>
      </c>
      <c r="B1494" s="26" t="n"/>
      <c r="C1494" s="27" t="n"/>
      <c r="D1494" s="25">
        <f>IF($C1494="","",IFERROR(IF(INDEX(Roster!$A:$A,MATCH($C1494,Roster!$B:$B,0))="","",INDEX(Roster!$A:$A,MATCH($C1494,Roster!$B:$B,0))&amp;""),"—"))</f>
        <v/>
      </c>
      <c r="E1494" s="25">
        <f>IF($C1494="","",IFERROR(IF(INDEX(Roster!$C:$C,MATCH($C1494,Roster!$B:$B,0))="","",INDEX(Roster!$C:$C,MATCH($C1494,Roster!$B:$B,0))&amp;""),"—"))</f>
        <v/>
      </c>
      <c r="F1494" s="25">
        <f>IF($C1494="","",IFERROR(IF(INDEX(Roster!$D:$D,MATCH($C1494,Roster!$B:$B,0))="","",INDEX(Roster!$D:$D,MATCH($C1494,Roster!$B:$B,0))&amp;""),"—"))</f>
        <v/>
      </c>
      <c r="G1494" s="25">
        <f>IF($C1494="","",IFERROR(IF(INDEX(Roster!$E:$E,MATCH($C1494,Roster!$B:$B,0))="","",INDEX(Roster!$E:$E,MATCH($C1494,Roster!$B:$B,0))&amp;""),"—"))</f>
        <v/>
      </c>
      <c r="H1494" s="25">
        <f>IF($C1494="","",IFERROR(IF(INDEX(Roster!$F:$F,MATCH($C1494,Roster!$B:$B,0))="","",INDEX(Roster!$F:$F,MATCH($C1494,Roster!$B:$B,0))&amp;""),"—"))</f>
        <v/>
      </c>
      <c r="I1494" s="25">
        <f>IF($C1494="","",IFERROR(IF(INDEX(Roster!$G:$G,MATCH($C1494,Roster!$B:$B,0))="","",INDEX(Roster!$G:$G,MATCH($C1494,Roster!$B:$B,0))&amp;""),"—"))</f>
        <v/>
      </c>
      <c r="J1494" s="25">
        <f>IF($C1494="","",IFERROR(IF(INDEX(Roster!$I:$I,MATCH($C1494,Roster!$B:$B,0))="","",INDEX(Roster!$I:$I,MATCH($C1494,Roster!$B:$B,0))&amp;""),"—"))</f>
        <v/>
      </c>
      <c r="K1494">
        <f>IF($C1494="","",IFERROR(IF(INDEX(Roster!$J:$J,MATCH($C1494,Roster!$B:$B,0))="","",INDEX(Roster!$J:$J,MATCH($C1494,Roster!$B:$B,0))&amp;""),"—"))</f>
        <v/>
      </c>
      <c r="L1494">
        <f>IF($C1494="","",IFERROR(IF(INDEX(Roster!$K:$K,MATCH($C1494,Roster!$B:$B,0))="","",INDEX(Roster!$K:$K,MATCH($C1494,Roster!$B:$B,0))&amp;""),"—"))</f>
        <v/>
      </c>
      <c r="M1494" s="27" t="n"/>
      <c r="N1494" s="27" t="n"/>
      <c r="O1494" s="25">
        <f>IF($C1494="","",IF($P1494="","—",IF($P1494="Valid (Pass)","Valid","Invalid")))</f>
        <v/>
      </c>
      <c r="P1494" s="27" t="n"/>
      <c r="Q1494" s="27" t="n"/>
      <c r="R1494" s="27" t="n"/>
      <c r="S1494" s="27" t="n"/>
      <c r="T1494" s="25">
        <f>IF($C1494="","",IF(OR(ISNUMBER(SEARCH("quick case",$P1494)),ISNUMBER(SEARCH("quick case",$Q1494))),"Yes","No"))</f>
        <v/>
      </c>
      <c r="U1494" s="25">
        <f>IF($O1494="Invalid",HYPERLINK("mailto:"&amp;$G1494&amp;";"&amp;$I1494&amp;"?cc="&amp;Lists!$E$2&amp;"&amp;subject="&amp;_xlfn.ENCODEURL("[INVALID] Quality audit monitoring completed for "&amp;UPPER($C1494))&amp;"&amp;body="&amp;_xlfn.ENCODEURL("Hi "&amp;$F1494&amp;","&amp;CHAR(10)&amp;"Good day!"&amp;CHAR(10)&amp;CHAR(10)&amp;"A quality monitoring audit has been completed for "&amp;$C1494&amp;"."&amp;CHAR(10)&amp;CHAR(10)&amp;"QUALITY AUDIT DETAILS"&amp;CHAR(10)&amp;"Agent Name: "&amp;$C1494&amp;" (EID "&amp;$D1494&amp;")"&amp;CHAR(10)&amp;"Audit Date: "&amp;TEXT($B1494,"yyyy-mm-dd")&amp;CHAR(10)&amp;"Team Leader: "&amp;$F1494&amp;CHAR(10)&amp;"Case Number: "&amp;$M1494&amp;CHAR(10)&amp;"Transaction ID: "&amp;$N1494&amp;CHAR(10)&amp;"Channel / LOB: "&amp;$K1494&amp;" / "&amp;$L1494&amp;CHAR(10)&amp;"Evaluator: "&amp;$S1494&amp;CHAR(10)&amp;CHAR(10)&amp;"INVALID QUALITY AUDIT DETAILS"&amp;CHAR(10)&amp;"Validation: Invalid"&amp;CHAR(10)&amp;"Invalid Reason: "&amp;$P1494&amp;CHAR(10)&amp;"Expected Resolution Code: "&amp;$Q1494&amp;CHAR(10)&amp;"Remarks: "&amp;LEFT($R1494,600)&amp;CHAR(10)&amp;CHAR(10)&amp;"This is an automated notification from HP Mainstream EQMS."),"✉ Open Email Draft"),"")</f>
        <v/>
      </c>
    </row>
    <row r="1495">
      <c r="A1495" s="25">
        <f>IF($C1495="","","AUD-2026-"&amp;TEXT(ROW()-1,"000000"))</f>
        <v/>
      </c>
      <c r="B1495" s="26" t="n"/>
      <c r="C1495" s="27" t="n"/>
      <c r="D1495" s="25">
        <f>IF($C1495="","",IFERROR(IF(INDEX(Roster!$A:$A,MATCH($C1495,Roster!$B:$B,0))="","",INDEX(Roster!$A:$A,MATCH($C1495,Roster!$B:$B,0))&amp;""),"—"))</f>
        <v/>
      </c>
      <c r="E1495" s="25">
        <f>IF($C1495="","",IFERROR(IF(INDEX(Roster!$C:$C,MATCH($C1495,Roster!$B:$B,0))="","",INDEX(Roster!$C:$C,MATCH($C1495,Roster!$B:$B,0))&amp;""),"—"))</f>
        <v/>
      </c>
      <c r="F1495" s="25">
        <f>IF($C1495="","",IFERROR(IF(INDEX(Roster!$D:$D,MATCH($C1495,Roster!$B:$B,0))="","",INDEX(Roster!$D:$D,MATCH($C1495,Roster!$B:$B,0))&amp;""),"—"))</f>
        <v/>
      </c>
      <c r="G1495" s="25">
        <f>IF($C1495="","",IFERROR(IF(INDEX(Roster!$E:$E,MATCH($C1495,Roster!$B:$B,0))="","",INDEX(Roster!$E:$E,MATCH($C1495,Roster!$B:$B,0))&amp;""),"—"))</f>
        <v/>
      </c>
      <c r="H1495" s="25">
        <f>IF($C1495="","",IFERROR(IF(INDEX(Roster!$F:$F,MATCH($C1495,Roster!$B:$B,0))="","",INDEX(Roster!$F:$F,MATCH($C1495,Roster!$B:$B,0))&amp;""),"—"))</f>
        <v/>
      </c>
      <c r="I1495" s="25">
        <f>IF($C1495="","",IFERROR(IF(INDEX(Roster!$G:$G,MATCH($C1495,Roster!$B:$B,0))="","",INDEX(Roster!$G:$G,MATCH($C1495,Roster!$B:$B,0))&amp;""),"—"))</f>
        <v/>
      </c>
      <c r="J1495" s="25">
        <f>IF($C1495="","",IFERROR(IF(INDEX(Roster!$I:$I,MATCH($C1495,Roster!$B:$B,0))="","",INDEX(Roster!$I:$I,MATCH($C1495,Roster!$B:$B,0))&amp;""),"—"))</f>
        <v/>
      </c>
      <c r="K1495">
        <f>IF($C1495="","",IFERROR(IF(INDEX(Roster!$J:$J,MATCH($C1495,Roster!$B:$B,0))="","",INDEX(Roster!$J:$J,MATCH($C1495,Roster!$B:$B,0))&amp;""),"—"))</f>
        <v/>
      </c>
      <c r="L1495">
        <f>IF($C1495="","",IFERROR(IF(INDEX(Roster!$K:$K,MATCH($C1495,Roster!$B:$B,0))="","",INDEX(Roster!$K:$K,MATCH($C1495,Roster!$B:$B,0))&amp;""),"—"))</f>
        <v/>
      </c>
      <c r="M1495" s="27" t="n"/>
      <c r="N1495" s="27" t="n"/>
      <c r="O1495" s="25">
        <f>IF($C1495="","",IF($P1495="","—",IF($P1495="Valid (Pass)","Valid","Invalid")))</f>
        <v/>
      </c>
      <c r="P1495" s="27" t="n"/>
      <c r="Q1495" s="27" t="n"/>
      <c r="R1495" s="27" t="n"/>
      <c r="S1495" s="27" t="n"/>
      <c r="T1495" s="25">
        <f>IF($C1495="","",IF(OR(ISNUMBER(SEARCH("quick case",$P1495)),ISNUMBER(SEARCH("quick case",$Q1495))),"Yes","No"))</f>
        <v/>
      </c>
      <c r="U1495" s="25">
        <f>IF($O1495="Invalid",HYPERLINK("mailto:"&amp;$G1495&amp;";"&amp;$I1495&amp;"?cc="&amp;Lists!$E$2&amp;"&amp;subject="&amp;_xlfn.ENCODEURL("[INVALID] Quality audit monitoring completed for "&amp;UPPER($C1495))&amp;"&amp;body="&amp;_xlfn.ENCODEURL("Hi "&amp;$F1495&amp;","&amp;CHAR(10)&amp;"Good day!"&amp;CHAR(10)&amp;CHAR(10)&amp;"A quality monitoring audit has been completed for "&amp;$C1495&amp;"."&amp;CHAR(10)&amp;CHAR(10)&amp;"QUALITY AUDIT DETAILS"&amp;CHAR(10)&amp;"Agent Name: "&amp;$C1495&amp;" (EID "&amp;$D1495&amp;")"&amp;CHAR(10)&amp;"Audit Date: "&amp;TEXT($B1495,"yyyy-mm-dd")&amp;CHAR(10)&amp;"Team Leader: "&amp;$F1495&amp;CHAR(10)&amp;"Case Number: "&amp;$M1495&amp;CHAR(10)&amp;"Transaction ID: "&amp;$N1495&amp;CHAR(10)&amp;"Channel / LOB: "&amp;$K1495&amp;" / "&amp;$L1495&amp;CHAR(10)&amp;"Evaluator: "&amp;$S1495&amp;CHAR(10)&amp;CHAR(10)&amp;"INVALID QUALITY AUDIT DETAILS"&amp;CHAR(10)&amp;"Validation: Invalid"&amp;CHAR(10)&amp;"Invalid Reason: "&amp;$P1495&amp;CHAR(10)&amp;"Expected Resolution Code: "&amp;$Q1495&amp;CHAR(10)&amp;"Remarks: "&amp;LEFT($R1495,600)&amp;CHAR(10)&amp;CHAR(10)&amp;"This is an automated notification from HP Mainstream EQMS."),"✉ Open Email Draft"),"")</f>
        <v/>
      </c>
    </row>
    <row r="1496">
      <c r="A1496" s="25">
        <f>IF($C1496="","","AUD-2026-"&amp;TEXT(ROW()-1,"000000"))</f>
        <v/>
      </c>
      <c r="B1496" s="26" t="n"/>
      <c r="C1496" s="27" t="n"/>
      <c r="D1496" s="25">
        <f>IF($C1496="","",IFERROR(IF(INDEX(Roster!$A:$A,MATCH($C1496,Roster!$B:$B,0))="","",INDEX(Roster!$A:$A,MATCH($C1496,Roster!$B:$B,0))&amp;""),"—"))</f>
        <v/>
      </c>
      <c r="E1496" s="25">
        <f>IF($C1496="","",IFERROR(IF(INDEX(Roster!$C:$C,MATCH($C1496,Roster!$B:$B,0))="","",INDEX(Roster!$C:$C,MATCH($C1496,Roster!$B:$B,0))&amp;""),"—"))</f>
        <v/>
      </c>
      <c r="F1496" s="25">
        <f>IF($C1496="","",IFERROR(IF(INDEX(Roster!$D:$D,MATCH($C1496,Roster!$B:$B,0))="","",INDEX(Roster!$D:$D,MATCH($C1496,Roster!$B:$B,0))&amp;""),"—"))</f>
        <v/>
      </c>
      <c r="G1496" s="25">
        <f>IF($C1496="","",IFERROR(IF(INDEX(Roster!$E:$E,MATCH($C1496,Roster!$B:$B,0))="","",INDEX(Roster!$E:$E,MATCH($C1496,Roster!$B:$B,0))&amp;""),"—"))</f>
        <v/>
      </c>
      <c r="H1496" s="25">
        <f>IF($C1496="","",IFERROR(IF(INDEX(Roster!$F:$F,MATCH($C1496,Roster!$B:$B,0))="","",INDEX(Roster!$F:$F,MATCH($C1496,Roster!$B:$B,0))&amp;""),"—"))</f>
        <v/>
      </c>
      <c r="I1496" s="25">
        <f>IF($C1496="","",IFERROR(IF(INDEX(Roster!$G:$G,MATCH($C1496,Roster!$B:$B,0))="","",INDEX(Roster!$G:$G,MATCH($C1496,Roster!$B:$B,0))&amp;""),"—"))</f>
        <v/>
      </c>
      <c r="J1496" s="25">
        <f>IF($C1496="","",IFERROR(IF(INDEX(Roster!$I:$I,MATCH($C1496,Roster!$B:$B,0))="","",INDEX(Roster!$I:$I,MATCH($C1496,Roster!$B:$B,0))&amp;""),"—"))</f>
        <v/>
      </c>
      <c r="K1496">
        <f>IF($C1496="","",IFERROR(IF(INDEX(Roster!$J:$J,MATCH($C1496,Roster!$B:$B,0))="","",INDEX(Roster!$J:$J,MATCH($C1496,Roster!$B:$B,0))&amp;""),"—"))</f>
        <v/>
      </c>
      <c r="L1496">
        <f>IF($C1496="","",IFERROR(IF(INDEX(Roster!$K:$K,MATCH($C1496,Roster!$B:$B,0))="","",INDEX(Roster!$K:$K,MATCH($C1496,Roster!$B:$B,0))&amp;""),"—"))</f>
        <v/>
      </c>
      <c r="M1496" s="27" t="n"/>
      <c r="N1496" s="27" t="n"/>
      <c r="O1496" s="25">
        <f>IF($C1496="","",IF($P1496="","—",IF($P1496="Valid (Pass)","Valid","Invalid")))</f>
        <v/>
      </c>
      <c r="P1496" s="27" t="n"/>
      <c r="Q1496" s="27" t="n"/>
      <c r="R1496" s="27" t="n"/>
      <c r="S1496" s="27" t="n"/>
      <c r="T1496" s="25">
        <f>IF($C1496="","",IF(OR(ISNUMBER(SEARCH("quick case",$P1496)),ISNUMBER(SEARCH("quick case",$Q1496))),"Yes","No"))</f>
        <v/>
      </c>
      <c r="U1496" s="25">
        <f>IF($O1496="Invalid",HYPERLINK("mailto:"&amp;$G1496&amp;";"&amp;$I1496&amp;"?cc="&amp;Lists!$E$2&amp;"&amp;subject="&amp;_xlfn.ENCODEURL("[INVALID] Quality audit monitoring completed for "&amp;UPPER($C1496))&amp;"&amp;body="&amp;_xlfn.ENCODEURL("Hi "&amp;$F1496&amp;","&amp;CHAR(10)&amp;"Good day!"&amp;CHAR(10)&amp;CHAR(10)&amp;"A quality monitoring audit has been completed for "&amp;$C1496&amp;"."&amp;CHAR(10)&amp;CHAR(10)&amp;"QUALITY AUDIT DETAILS"&amp;CHAR(10)&amp;"Agent Name: "&amp;$C1496&amp;" (EID "&amp;$D1496&amp;")"&amp;CHAR(10)&amp;"Audit Date: "&amp;TEXT($B1496,"yyyy-mm-dd")&amp;CHAR(10)&amp;"Team Leader: "&amp;$F1496&amp;CHAR(10)&amp;"Case Number: "&amp;$M1496&amp;CHAR(10)&amp;"Transaction ID: "&amp;$N1496&amp;CHAR(10)&amp;"Channel / LOB: "&amp;$K1496&amp;" / "&amp;$L1496&amp;CHAR(10)&amp;"Evaluator: "&amp;$S1496&amp;CHAR(10)&amp;CHAR(10)&amp;"INVALID QUALITY AUDIT DETAILS"&amp;CHAR(10)&amp;"Validation: Invalid"&amp;CHAR(10)&amp;"Invalid Reason: "&amp;$P1496&amp;CHAR(10)&amp;"Expected Resolution Code: "&amp;$Q1496&amp;CHAR(10)&amp;"Remarks: "&amp;LEFT($R1496,600)&amp;CHAR(10)&amp;CHAR(10)&amp;"This is an automated notification from HP Mainstream EQMS."),"✉ Open Email Draft"),"")</f>
        <v/>
      </c>
    </row>
    <row r="1497">
      <c r="A1497" s="25">
        <f>IF($C1497="","","AUD-2026-"&amp;TEXT(ROW()-1,"000000"))</f>
        <v/>
      </c>
      <c r="B1497" s="26" t="n"/>
      <c r="C1497" s="27" t="n"/>
      <c r="D1497" s="25">
        <f>IF($C1497="","",IFERROR(IF(INDEX(Roster!$A:$A,MATCH($C1497,Roster!$B:$B,0))="","",INDEX(Roster!$A:$A,MATCH($C1497,Roster!$B:$B,0))&amp;""),"—"))</f>
        <v/>
      </c>
      <c r="E1497" s="25">
        <f>IF($C1497="","",IFERROR(IF(INDEX(Roster!$C:$C,MATCH($C1497,Roster!$B:$B,0))="","",INDEX(Roster!$C:$C,MATCH($C1497,Roster!$B:$B,0))&amp;""),"—"))</f>
        <v/>
      </c>
      <c r="F1497" s="25">
        <f>IF($C1497="","",IFERROR(IF(INDEX(Roster!$D:$D,MATCH($C1497,Roster!$B:$B,0))="","",INDEX(Roster!$D:$D,MATCH($C1497,Roster!$B:$B,0))&amp;""),"—"))</f>
        <v/>
      </c>
      <c r="G1497" s="25">
        <f>IF($C1497="","",IFERROR(IF(INDEX(Roster!$E:$E,MATCH($C1497,Roster!$B:$B,0))="","",INDEX(Roster!$E:$E,MATCH($C1497,Roster!$B:$B,0))&amp;""),"—"))</f>
        <v/>
      </c>
      <c r="H1497" s="25">
        <f>IF($C1497="","",IFERROR(IF(INDEX(Roster!$F:$F,MATCH($C1497,Roster!$B:$B,0))="","",INDEX(Roster!$F:$F,MATCH($C1497,Roster!$B:$B,0))&amp;""),"—"))</f>
        <v/>
      </c>
      <c r="I1497" s="25">
        <f>IF($C1497="","",IFERROR(IF(INDEX(Roster!$G:$G,MATCH($C1497,Roster!$B:$B,0))="","",INDEX(Roster!$G:$G,MATCH($C1497,Roster!$B:$B,0))&amp;""),"—"))</f>
        <v/>
      </c>
      <c r="J1497" s="25">
        <f>IF($C1497="","",IFERROR(IF(INDEX(Roster!$I:$I,MATCH($C1497,Roster!$B:$B,0))="","",INDEX(Roster!$I:$I,MATCH($C1497,Roster!$B:$B,0))&amp;""),"—"))</f>
        <v/>
      </c>
      <c r="K1497">
        <f>IF($C1497="","",IFERROR(IF(INDEX(Roster!$J:$J,MATCH($C1497,Roster!$B:$B,0))="","",INDEX(Roster!$J:$J,MATCH($C1497,Roster!$B:$B,0))&amp;""),"—"))</f>
        <v/>
      </c>
      <c r="L1497">
        <f>IF($C1497="","",IFERROR(IF(INDEX(Roster!$K:$K,MATCH($C1497,Roster!$B:$B,0))="","",INDEX(Roster!$K:$K,MATCH($C1497,Roster!$B:$B,0))&amp;""),"—"))</f>
        <v/>
      </c>
      <c r="M1497" s="27" t="n"/>
      <c r="N1497" s="27" t="n"/>
      <c r="O1497" s="25">
        <f>IF($C1497="","",IF($P1497="","—",IF($P1497="Valid (Pass)","Valid","Invalid")))</f>
        <v/>
      </c>
      <c r="P1497" s="27" t="n"/>
      <c r="Q1497" s="27" t="n"/>
      <c r="R1497" s="27" t="n"/>
      <c r="S1497" s="27" t="n"/>
      <c r="T1497" s="25">
        <f>IF($C1497="","",IF(OR(ISNUMBER(SEARCH("quick case",$P1497)),ISNUMBER(SEARCH("quick case",$Q1497))),"Yes","No"))</f>
        <v/>
      </c>
      <c r="U1497" s="25">
        <f>IF($O1497="Invalid",HYPERLINK("mailto:"&amp;$G1497&amp;";"&amp;$I1497&amp;"?cc="&amp;Lists!$E$2&amp;"&amp;subject="&amp;_xlfn.ENCODEURL("[INVALID] Quality audit monitoring completed for "&amp;UPPER($C1497))&amp;"&amp;body="&amp;_xlfn.ENCODEURL("Hi "&amp;$F1497&amp;","&amp;CHAR(10)&amp;"Good day!"&amp;CHAR(10)&amp;CHAR(10)&amp;"A quality monitoring audit has been completed for "&amp;$C1497&amp;"."&amp;CHAR(10)&amp;CHAR(10)&amp;"QUALITY AUDIT DETAILS"&amp;CHAR(10)&amp;"Agent Name: "&amp;$C1497&amp;" (EID "&amp;$D1497&amp;")"&amp;CHAR(10)&amp;"Audit Date: "&amp;TEXT($B1497,"yyyy-mm-dd")&amp;CHAR(10)&amp;"Team Leader: "&amp;$F1497&amp;CHAR(10)&amp;"Case Number: "&amp;$M1497&amp;CHAR(10)&amp;"Transaction ID: "&amp;$N1497&amp;CHAR(10)&amp;"Channel / LOB: "&amp;$K1497&amp;" / "&amp;$L1497&amp;CHAR(10)&amp;"Evaluator: "&amp;$S1497&amp;CHAR(10)&amp;CHAR(10)&amp;"INVALID QUALITY AUDIT DETAILS"&amp;CHAR(10)&amp;"Validation: Invalid"&amp;CHAR(10)&amp;"Invalid Reason: "&amp;$P1497&amp;CHAR(10)&amp;"Expected Resolution Code: "&amp;$Q1497&amp;CHAR(10)&amp;"Remarks: "&amp;LEFT($R1497,600)&amp;CHAR(10)&amp;CHAR(10)&amp;"This is an automated notification from HP Mainstream EQMS."),"✉ Open Email Draft"),"")</f>
        <v/>
      </c>
    </row>
    <row r="1498">
      <c r="A1498" s="25">
        <f>IF($C1498="","","AUD-2026-"&amp;TEXT(ROW()-1,"000000"))</f>
        <v/>
      </c>
      <c r="B1498" s="26" t="n"/>
      <c r="C1498" s="27" t="n"/>
      <c r="D1498" s="25">
        <f>IF($C1498="","",IFERROR(IF(INDEX(Roster!$A:$A,MATCH($C1498,Roster!$B:$B,0))="","",INDEX(Roster!$A:$A,MATCH($C1498,Roster!$B:$B,0))&amp;""),"—"))</f>
        <v/>
      </c>
      <c r="E1498" s="25">
        <f>IF($C1498="","",IFERROR(IF(INDEX(Roster!$C:$C,MATCH($C1498,Roster!$B:$B,0))="","",INDEX(Roster!$C:$C,MATCH($C1498,Roster!$B:$B,0))&amp;""),"—"))</f>
        <v/>
      </c>
      <c r="F1498" s="25">
        <f>IF($C1498="","",IFERROR(IF(INDEX(Roster!$D:$D,MATCH($C1498,Roster!$B:$B,0))="","",INDEX(Roster!$D:$D,MATCH($C1498,Roster!$B:$B,0))&amp;""),"—"))</f>
        <v/>
      </c>
      <c r="G1498" s="25">
        <f>IF($C1498="","",IFERROR(IF(INDEX(Roster!$E:$E,MATCH($C1498,Roster!$B:$B,0))="","",INDEX(Roster!$E:$E,MATCH($C1498,Roster!$B:$B,0))&amp;""),"—"))</f>
        <v/>
      </c>
      <c r="H1498" s="25">
        <f>IF($C1498="","",IFERROR(IF(INDEX(Roster!$F:$F,MATCH($C1498,Roster!$B:$B,0))="","",INDEX(Roster!$F:$F,MATCH($C1498,Roster!$B:$B,0))&amp;""),"—"))</f>
        <v/>
      </c>
      <c r="I1498" s="25">
        <f>IF($C1498="","",IFERROR(IF(INDEX(Roster!$G:$G,MATCH($C1498,Roster!$B:$B,0))="","",INDEX(Roster!$G:$G,MATCH($C1498,Roster!$B:$B,0))&amp;""),"—"))</f>
        <v/>
      </c>
      <c r="J1498" s="25">
        <f>IF($C1498="","",IFERROR(IF(INDEX(Roster!$I:$I,MATCH($C1498,Roster!$B:$B,0))="","",INDEX(Roster!$I:$I,MATCH($C1498,Roster!$B:$B,0))&amp;""),"—"))</f>
        <v/>
      </c>
      <c r="K1498">
        <f>IF($C1498="","",IFERROR(IF(INDEX(Roster!$J:$J,MATCH($C1498,Roster!$B:$B,0))="","",INDEX(Roster!$J:$J,MATCH($C1498,Roster!$B:$B,0))&amp;""),"—"))</f>
        <v/>
      </c>
      <c r="L1498">
        <f>IF($C1498="","",IFERROR(IF(INDEX(Roster!$K:$K,MATCH($C1498,Roster!$B:$B,0))="","",INDEX(Roster!$K:$K,MATCH($C1498,Roster!$B:$B,0))&amp;""),"—"))</f>
        <v/>
      </c>
      <c r="M1498" s="27" t="n"/>
      <c r="N1498" s="27" t="n"/>
      <c r="O1498" s="25">
        <f>IF($C1498="","",IF($P1498="","—",IF($P1498="Valid (Pass)","Valid","Invalid")))</f>
        <v/>
      </c>
      <c r="P1498" s="27" t="n"/>
      <c r="Q1498" s="27" t="n"/>
      <c r="R1498" s="27" t="n"/>
      <c r="S1498" s="27" t="n"/>
      <c r="T1498" s="25">
        <f>IF($C1498="","",IF(OR(ISNUMBER(SEARCH("quick case",$P1498)),ISNUMBER(SEARCH("quick case",$Q1498))),"Yes","No"))</f>
        <v/>
      </c>
      <c r="U1498" s="25">
        <f>IF($O1498="Invalid",HYPERLINK("mailto:"&amp;$G1498&amp;";"&amp;$I1498&amp;"?cc="&amp;Lists!$E$2&amp;"&amp;subject="&amp;_xlfn.ENCODEURL("[INVALID] Quality audit monitoring completed for "&amp;UPPER($C1498))&amp;"&amp;body="&amp;_xlfn.ENCODEURL("Hi "&amp;$F1498&amp;","&amp;CHAR(10)&amp;"Good day!"&amp;CHAR(10)&amp;CHAR(10)&amp;"A quality monitoring audit has been completed for "&amp;$C1498&amp;"."&amp;CHAR(10)&amp;CHAR(10)&amp;"QUALITY AUDIT DETAILS"&amp;CHAR(10)&amp;"Agent Name: "&amp;$C1498&amp;" (EID "&amp;$D1498&amp;")"&amp;CHAR(10)&amp;"Audit Date: "&amp;TEXT($B1498,"yyyy-mm-dd")&amp;CHAR(10)&amp;"Team Leader: "&amp;$F1498&amp;CHAR(10)&amp;"Case Number: "&amp;$M1498&amp;CHAR(10)&amp;"Transaction ID: "&amp;$N1498&amp;CHAR(10)&amp;"Channel / LOB: "&amp;$K1498&amp;" / "&amp;$L1498&amp;CHAR(10)&amp;"Evaluator: "&amp;$S1498&amp;CHAR(10)&amp;CHAR(10)&amp;"INVALID QUALITY AUDIT DETAILS"&amp;CHAR(10)&amp;"Validation: Invalid"&amp;CHAR(10)&amp;"Invalid Reason: "&amp;$P1498&amp;CHAR(10)&amp;"Expected Resolution Code: "&amp;$Q1498&amp;CHAR(10)&amp;"Remarks: "&amp;LEFT($R1498,600)&amp;CHAR(10)&amp;CHAR(10)&amp;"This is an automated notification from HP Mainstream EQMS."),"✉ Open Email Draft"),"")</f>
        <v/>
      </c>
    </row>
    <row r="1499">
      <c r="A1499" s="25">
        <f>IF($C1499="","","AUD-2026-"&amp;TEXT(ROW()-1,"000000"))</f>
        <v/>
      </c>
      <c r="B1499" s="26" t="n"/>
      <c r="C1499" s="27" t="n"/>
      <c r="D1499" s="25">
        <f>IF($C1499="","",IFERROR(IF(INDEX(Roster!$A:$A,MATCH($C1499,Roster!$B:$B,0))="","",INDEX(Roster!$A:$A,MATCH($C1499,Roster!$B:$B,0))&amp;""),"—"))</f>
        <v/>
      </c>
      <c r="E1499" s="25">
        <f>IF($C1499="","",IFERROR(IF(INDEX(Roster!$C:$C,MATCH($C1499,Roster!$B:$B,0))="","",INDEX(Roster!$C:$C,MATCH($C1499,Roster!$B:$B,0))&amp;""),"—"))</f>
        <v/>
      </c>
      <c r="F1499" s="25">
        <f>IF($C1499="","",IFERROR(IF(INDEX(Roster!$D:$D,MATCH($C1499,Roster!$B:$B,0))="","",INDEX(Roster!$D:$D,MATCH($C1499,Roster!$B:$B,0))&amp;""),"—"))</f>
        <v/>
      </c>
      <c r="G1499" s="25">
        <f>IF($C1499="","",IFERROR(IF(INDEX(Roster!$E:$E,MATCH($C1499,Roster!$B:$B,0))="","",INDEX(Roster!$E:$E,MATCH($C1499,Roster!$B:$B,0))&amp;""),"—"))</f>
        <v/>
      </c>
      <c r="H1499" s="25">
        <f>IF($C1499="","",IFERROR(IF(INDEX(Roster!$F:$F,MATCH($C1499,Roster!$B:$B,0))="","",INDEX(Roster!$F:$F,MATCH($C1499,Roster!$B:$B,0))&amp;""),"—"))</f>
        <v/>
      </c>
      <c r="I1499" s="25">
        <f>IF($C1499="","",IFERROR(IF(INDEX(Roster!$G:$G,MATCH($C1499,Roster!$B:$B,0))="","",INDEX(Roster!$G:$G,MATCH($C1499,Roster!$B:$B,0))&amp;""),"—"))</f>
        <v/>
      </c>
      <c r="J1499" s="25">
        <f>IF($C1499="","",IFERROR(IF(INDEX(Roster!$I:$I,MATCH($C1499,Roster!$B:$B,0))="","",INDEX(Roster!$I:$I,MATCH($C1499,Roster!$B:$B,0))&amp;""),"—"))</f>
        <v/>
      </c>
      <c r="K1499">
        <f>IF($C1499="","",IFERROR(IF(INDEX(Roster!$J:$J,MATCH($C1499,Roster!$B:$B,0))="","",INDEX(Roster!$J:$J,MATCH($C1499,Roster!$B:$B,0))&amp;""),"—"))</f>
        <v/>
      </c>
      <c r="L1499">
        <f>IF($C1499="","",IFERROR(IF(INDEX(Roster!$K:$K,MATCH($C1499,Roster!$B:$B,0))="","",INDEX(Roster!$K:$K,MATCH($C1499,Roster!$B:$B,0))&amp;""),"—"))</f>
        <v/>
      </c>
      <c r="M1499" s="27" t="n"/>
      <c r="N1499" s="27" t="n"/>
      <c r="O1499" s="25">
        <f>IF($C1499="","",IF($P1499="","—",IF($P1499="Valid (Pass)","Valid","Invalid")))</f>
        <v/>
      </c>
      <c r="P1499" s="27" t="n"/>
      <c r="Q1499" s="27" t="n"/>
      <c r="R1499" s="27" t="n"/>
      <c r="S1499" s="27" t="n"/>
      <c r="T1499" s="25">
        <f>IF($C1499="","",IF(OR(ISNUMBER(SEARCH("quick case",$P1499)),ISNUMBER(SEARCH("quick case",$Q1499))),"Yes","No"))</f>
        <v/>
      </c>
      <c r="U1499" s="25">
        <f>IF($O1499="Invalid",HYPERLINK("mailto:"&amp;$G1499&amp;";"&amp;$I1499&amp;"?cc="&amp;Lists!$E$2&amp;"&amp;subject="&amp;_xlfn.ENCODEURL("[INVALID] Quality audit monitoring completed for "&amp;UPPER($C1499))&amp;"&amp;body="&amp;_xlfn.ENCODEURL("Hi "&amp;$F1499&amp;","&amp;CHAR(10)&amp;"Good day!"&amp;CHAR(10)&amp;CHAR(10)&amp;"A quality monitoring audit has been completed for "&amp;$C1499&amp;"."&amp;CHAR(10)&amp;CHAR(10)&amp;"QUALITY AUDIT DETAILS"&amp;CHAR(10)&amp;"Agent Name: "&amp;$C1499&amp;" (EID "&amp;$D1499&amp;")"&amp;CHAR(10)&amp;"Audit Date: "&amp;TEXT($B1499,"yyyy-mm-dd")&amp;CHAR(10)&amp;"Team Leader: "&amp;$F1499&amp;CHAR(10)&amp;"Case Number: "&amp;$M1499&amp;CHAR(10)&amp;"Transaction ID: "&amp;$N1499&amp;CHAR(10)&amp;"Channel / LOB: "&amp;$K1499&amp;" / "&amp;$L1499&amp;CHAR(10)&amp;"Evaluator: "&amp;$S1499&amp;CHAR(10)&amp;CHAR(10)&amp;"INVALID QUALITY AUDIT DETAILS"&amp;CHAR(10)&amp;"Validation: Invalid"&amp;CHAR(10)&amp;"Invalid Reason: "&amp;$P1499&amp;CHAR(10)&amp;"Expected Resolution Code: "&amp;$Q1499&amp;CHAR(10)&amp;"Remarks: "&amp;LEFT($R1499,600)&amp;CHAR(10)&amp;CHAR(10)&amp;"This is an automated notification from HP Mainstream EQMS."),"✉ Open Email Draft"),"")</f>
        <v/>
      </c>
    </row>
    <row r="1500">
      <c r="A1500" s="25">
        <f>IF($C1500="","","AUD-2026-"&amp;TEXT(ROW()-1,"000000"))</f>
        <v/>
      </c>
      <c r="B1500" s="26" t="n"/>
      <c r="C1500" s="27" t="n"/>
      <c r="D1500" s="25">
        <f>IF($C1500="","",IFERROR(IF(INDEX(Roster!$A:$A,MATCH($C1500,Roster!$B:$B,0))="","",INDEX(Roster!$A:$A,MATCH($C1500,Roster!$B:$B,0))&amp;""),"—"))</f>
        <v/>
      </c>
      <c r="E1500" s="25">
        <f>IF($C1500="","",IFERROR(IF(INDEX(Roster!$C:$C,MATCH($C1500,Roster!$B:$B,0))="","",INDEX(Roster!$C:$C,MATCH($C1500,Roster!$B:$B,0))&amp;""),"—"))</f>
        <v/>
      </c>
      <c r="F1500" s="25">
        <f>IF($C1500="","",IFERROR(IF(INDEX(Roster!$D:$D,MATCH($C1500,Roster!$B:$B,0))="","",INDEX(Roster!$D:$D,MATCH($C1500,Roster!$B:$B,0))&amp;""),"—"))</f>
        <v/>
      </c>
      <c r="G1500" s="25">
        <f>IF($C1500="","",IFERROR(IF(INDEX(Roster!$E:$E,MATCH($C1500,Roster!$B:$B,0))="","",INDEX(Roster!$E:$E,MATCH($C1500,Roster!$B:$B,0))&amp;""),"—"))</f>
        <v/>
      </c>
      <c r="H1500" s="25">
        <f>IF($C1500="","",IFERROR(IF(INDEX(Roster!$F:$F,MATCH($C1500,Roster!$B:$B,0))="","",INDEX(Roster!$F:$F,MATCH($C1500,Roster!$B:$B,0))&amp;""),"—"))</f>
        <v/>
      </c>
      <c r="I1500" s="25">
        <f>IF($C1500="","",IFERROR(IF(INDEX(Roster!$G:$G,MATCH($C1500,Roster!$B:$B,0))="","",INDEX(Roster!$G:$G,MATCH($C1500,Roster!$B:$B,0))&amp;""),"—"))</f>
        <v/>
      </c>
      <c r="J1500" s="25">
        <f>IF($C1500="","",IFERROR(IF(INDEX(Roster!$I:$I,MATCH($C1500,Roster!$B:$B,0))="","",INDEX(Roster!$I:$I,MATCH($C1500,Roster!$B:$B,0))&amp;""),"—"))</f>
        <v/>
      </c>
      <c r="K1500">
        <f>IF($C1500="","",IFERROR(IF(INDEX(Roster!$J:$J,MATCH($C1500,Roster!$B:$B,0))="","",INDEX(Roster!$J:$J,MATCH($C1500,Roster!$B:$B,0))&amp;""),"—"))</f>
        <v/>
      </c>
      <c r="L1500">
        <f>IF($C1500="","",IFERROR(IF(INDEX(Roster!$K:$K,MATCH($C1500,Roster!$B:$B,0))="","",INDEX(Roster!$K:$K,MATCH($C1500,Roster!$B:$B,0))&amp;""),"—"))</f>
        <v/>
      </c>
      <c r="M1500" s="27" t="n"/>
      <c r="N1500" s="27" t="n"/>
      <c r="O1500" s="25">
        <f>IF($C1500="","",IF($P1500="","—",IF($P1500="Valid (Pass)","Valid","Invalid")))</f>
        <v/>
      </c>
      <c r="P1500" s="27" t="n"/>
      <c r="Q1500" s="27" t="n"/>
      <c r="R1500" s="27" t="n"/>
      <c r="S1500" s="27" t="n"/>
      <c r="T1500" s="25">
        <f>IF($C1500="","",IF(OR(ISNUMBER(SEARCH("quick case",$P1500)),ISNUMBER(SEARCH("quick case",$Q1500))),"Yes","No"))</f>
        <v/>
      </c>
      <c r="U1500" s="25">
        <f>IF($O1500="Invalid",HYPERLINK("mailto:"&amp;$G1500&amp;";"&amp;$I1500&amp;"?cc="&amp;Lists!$E$2&amp;"&amp;subject="&amp;_xlfn.ENCODEURL("[INVALID] Quality audit monitoring completed for "&amp;UPPER($C1500))&amp;"&amp;body="&amp;_xlfn.ENCODEURL("Hi "&amp;$F1500&amp;","&amp;CHAR(10)&amp;"Good day!"&amp;CHAR(10)&amp;CHAR(10)&amp;"A quality monitoring audit has been completed for "&amp;$C1500&amp;"."&amp;CHAR(10)&amp;CHAR(10)&amp;"QUALITY AUDIT DETAILS"&amp;CHAR(10)&amp;"Agent Name: "&amp;$C1500&amp;" (EID "&amp;$D1500&amp;")"&amp;CHAR(10)&amp;"Audit Date: "&amp;TEXT($B1500,"yyyy-mm-dd")&amp;CHAR(10)&amp;"Team Leader: "&amp;$F1500&amp;CHAR(10)&amp;"Case Number: "&amp;$M1500&amp;CHAR(10)&amp;"Transaction ID: "&amp;$N1500&amp;CHAR(10)&amp;"Channel / LOB: "&amp;$K1500&amp;" / "&amp;$L1500&amp;CHAR(10)&amp;"Evaluator: "&amp;$S1500&amp;CHAR(10)&amp;CHAR(10)&amp;"INVALID QUALITY AUDIT DETAILS"&amp;CHAR(10)&amp;"Validation: Invalid"&amp;CHAR(10)&amp;"Invalid Reason: "&amp;$P1500&amp;CHAR(10)&amp;"Expected Resolution Code: "&amp;$Q1500&amp;CHAR(10)&amp;"Remarks: "&amp;LEFT($R1500,600)&amp;CHAR(10)&amp;CHAR(10)&amp;"This is an automated notification from HP Mainstream EQMS."),"✉ Open Email Draft"),"")</f>
        <v/>
      </c>
    </row>
    <row r="1501">
      <c r="A1501" s="25">
        <f>IF($C1501="","","AUD-2026-"&amp;TEXT(ROW()-1,"000000"))</f>
        <v/>
      </c>
      <c r="B1501" s="26" t="n"/>
      <c r="C1501" s="27" t="n"/>
      <c r="D1501" s="25">
        <f>IF($C1501="","",IFERROR(IF(INDEX(Roster!$A:$A,MATCH($C1501,Roster!$B:$B,0))="","",INDEX(Roster!$A:$A,MATCH($C1501,Roster!$B:$B,0))&amp;""),"—"))</f>
        <v/>
      </c>
      <c r="E1501" s="25">
        <f>IF($C1501="","",IFERROR(IF(INDEX(Roster!$C:$C,MATCH($C1501,Roster!$B:$B,0))="","",INDEX(Roster!$C:$C,MATCH($C1501,Roster!$B:$B,0))&amp;""),"—"))</f>
        <v/>
      </c>
      <c r="F1501" s="25">
        <f>IF($C1501="","",IFERROR(IF(INDEX(Roster!$D:$D,MATCH($C1501,Roster!$B:$B,0))="","",INDEX(Roster!$D:$D,MATCH($C1501,Roster!$B:$B,0))&amp;""),"—"))</f>
        <v/>
      </c>
      <c r="G1501" s="25">
        <f>IF($C1501="","",IFERROR(IF(INDEX(Roster!$E:$E,MATCH($C1501,Roster!$B:$B,0))="","",INDEX(Roster!$E:$E,MATCH($C1501,Roster!$B:$B,0))&amp;""),"—"))</f>
        <v/>
      </c>
      <c r="H1501" s="25">
        <f>IF($C1501="","",IFERROR(IF(INDEX(Roster!$F:$F,MATCH($C1501,Roster!$B:$B,0))="","",INDEX(Roster!$F:$F,MATCH($C1501,Roster!$B:$B,0))&amp;""),"—"))</f>
        <v/>
      </c>
      <c r="I1501" s="25">
        <f>IF($C1501="","",IFERROR(IF(INDEX(Roster!$G:$G,MATCH($C1501,Roster!$B:$B,0))="","",INDEX(Roster!$G:$G,MATCH($C1501,Roster!$B:$B,0))&amp;""),"—"))</f>
        <v/>
      </c>
      <c r="J1501" s="25">
        <f>IF($C1501="","",IFERROR(IF(INDEX(Roster!$I:$I,MATCH($C1501,Roster!$B:$B,0))="","",INDEX(Roster!$I:$I,MATCH($C1501,Roster!$B:$B,0))&amp;""),"—"))</f>
        <v/>
      </c>
      <c r="K1501">
        <f>IF($C1501="","",IFERROR(IF(INDEX(Roster!$J:$J,MATCH($C1501,Roster!$B:$B,0))="","",INDEX(Roster!$J:$J,MATCH($C1501,Roster!$B:$B,0))&amp;""),"—"))</f>
        <v/>
      </c>
      <c r="L1501">
        <f>IF($C1501="","",IFERROR(IF(INDEX(Roster!$K:$K,MATCH($C1501,Roster!$B:$B,0))="","",INDEX(Roster!$K:$K,MATCH($C1501,Roster!$B:$B,0))&amp;""),"—"))</f>
        <v/>
      </c>
      <c r="M1501" s="27" t="n"/>
      <c r="N1501" s="27" t="n"/>
      <c r="O1501" s="25">
        <f>IF($C1501="","",IF($P1501="","—",IF($P1501="Valid (Pass)","Valid","Invalid")))</f>
        <v/>
      </c>
      <c r="P1501" s="27" t="n"/>
      <c r="Q1501" s="27" t="n"/>
      <c r="R1501" s="27" t="n"/>
      <c r="S1501" s="27" t="n"/>
      <c r="T1501" s="25">
        <f>IF($C1501="","",IF(OR(ISNUMBER(SEARCH("quick case",$P1501)),ISNUMBER(SEARCH("quick case",$Q1501))),"Yes","No"))</f>
        <v/>
      </c>
      <c r="U1501" s="25">
        <f>IF($O1501="Invalid",HYPERLINK("mailto:"&amp;$G1501&amp;";"&amp;$I1501&amp;"?cc="&amp;Lists!$E$2&amp;"&amp;subject="&amp;_xlfn.ENCODEURL("[INVALID] Quality audit monitoring completed for "&amp;UPPER($C1501))&amp;"&amp;body="&amp;_xlfn.ENCODEURL("Hi "&amp;$F1501&amp;","&amp;CHAR(10)&amp;"Good day!"&amp;CHAR(10)&amp;CHAR(10)&amp;"A quality monitoring audit has been completed for "&amp;$C1501&amp;"."&amp;CHAR(10)&amp;CHAR(10)&amp;"QUALITY AUDIT DETAILS"&amp;CHAR(10)&amp;"Agent Name: "&amp;$C1501&amp;" (EID "&amp;$D1501&amp;")"&amp;CHAR(10)&amp;"Audit Date: "&amp;TEXT($B1501,"yyyy-mm-dd")&amp;CHAR(10)&amp;"Team Leader: "&amp;$F1501&amp;CHAR(10)&amp;"Case Number: "&amp;$M1501&amp;CHAR(10)&amp;"Transaction ID: "&amp;$N1501&amp;CHAR(10)&amp;"Channel / LOB: "&amp;$K1501&amp;" / "&amp;$L1501&amp;CHAR(10)&amp;"Evaluator: "&amp;$S1501&amp;CHAR(10)&amp;CHAR(10)&amp;"INVALID QUALITY AUDIT DETAILS"&amp;CHAR(10)&amp;"Validation: Invalid"&amp;CHAR(10)&amp;"Invalid Reason: "&amp;$P1501&amp;CHAR(10)&amp;"Expected Resolution Code: "&amp;$Q1501&amp;CHAR(10)&amp;"Remarks: "&amp;LEFT($R1501,600)&amp;CHAR(10)&amp;CHAR(10)&amp;"This is an automated notification from HP Mainstream EQMS."),"✉ Open Email Draft"),"")</f>
        <v/>
      </c>
    </row>
    <row r="1502">
      <c r="A1502" s="25">
        <f>IF($C1502="","","AUD-2026-"&amp;TEXT(ROW()-1,"000000"))</f>
        <v/>
      </c>
      <c r="B1502" s="26" t="n"/>
      <c r="C1502" s="27" t="n"/>
      <c r="D1502" s="25">
        <f>IF($C1502="","",IFERROR(IF(INDEX(Roster!$A:$A,MATCH($C1502,Roster!$B:$B,0))="","",INDEX(Roster!$A:$A,MATCH($C1502,Roster!$B:$B,0))&amp;""),"—"))</f>
        <v/>
      </c>
      <c r="E1502" s="25">
        <f>IF($C1502="","",IFERROR(IF(INDEX(Roster!$C:$C,MATCH($C1502,Roster!$B:$B,0))="","",INDEX(Roster!$C:$C,MATCH($C1502,Roster!$B:$B,0))&amp;""),"—"))</f>
        <v/>
      </c>
      <c r="F1502" s="25">
        <f>IF($C1502="","",IFERROR(IF(INDEX(Roster!$D:$D,MATCH($C1502,Roster!$B:$B,0))="","",INDEX(Roster!$D:$D,MATCH($C1502,Roster!$B:$B,0))&amp;""),"—"))</f>
        <v/>
      </c>
      <c r="G1502" s="25">
        <f>IF($C1502="","",IFERROR(IF(INDEX(Roster!$E:$E,MATCH($C1502,Roster!$B:$B,0))="","",INDEX(Roster!$E:$E,MATCH($C1502,Roster!$B:$B,0))&amp;""),"—"))</f>
        <v/>
      </c>
      <c r="H1502" s="25">
        <f>IF($C1502="","",IFERROR(IF(INDEX(Roster!$F:$F,MATCH($C1502,Roster!$B:$B,0))="","",INDEX(Roster!$F:$F,MATCH($C1502,Roster!$B:$B,0))&amp;""),"—"))</f>
        <v/>
      </c>
      <c r="I1502" s="25">
        <f>IF($C1502="","",IFERROR(IF(INDEX(Roster!$G:$G,MATCH($C1502,Roster!$B:$B,0))="","",INDEX(Roster!$G:$G,MATCH($C1502,Roster!$B:$B,0))&amp;""),"—"))</f>
        <v/>
      </c>
      <c r="J1502" s="25">
        <f>IF($C1502="","",IFERROR(IF(INDEX(Roster!$I:$I,MATCH($C1502,Roster!$B:$B,0))="","",INDEX(Roster!$I:$I,MATCH($C1502,Roster!$B:$B,0))&amp;""),"—"))</f>
        <v/>
      </c>
      <c r="K1502">
        <f>IF($C1502="","",IFERROR(IF(INDEX(Roster!$J:$J,MATCH($C1502,Roster!$B:$B,0))="","",INDEX(Roster!$J:$J,MATCH($C1502,Roster!$B:$B,0))&amp;""),"—"))</f>
        <v/>
      </c>
      <c r="L1502">
        <f>IF($C1502="","",IFERROR(IF(INDEX(Roster!$K:$K,MATCH($C1502,Roster!$B:$B,0))="","",INDEX(Roster!$K:$K,MATCH($C1502,Roster!$B:$B,0))&amp;""),"—"))</f>
        <v/>
      </c>
      <c r="M1502" s="27" t="n"/>
      <c r="N1502" s="27" t="n"/>
      <c r="O1502" s="25">
        <f>IF($C1502="","",IF($P1502="","—",IF($P1502="Valid (Pass)","Valid","Invalid")))</f>
        <v/>
      </c>
      <c r="P1502" s="27" t="n"/>
      <c r="Q1502" s="27" t="n"/>
      <c r="R1502" s="27" t="n"/>
      <c r="S1502" s="27" t="n"/>
      <c r="T1502" s="25">
        <f>IF($C1502="","",IF(OR(ISNUMBER(SEARCH("quick case",$P1502)),ISNUMBER(SEARCH("quick case",$Q1502))),"Yes","No"))</f>
        <v/>
      </c>
      <c r="U1502" s="25">
        <f>IF($O1502="Invalid",HYPERLINK("mailto:"&amp;$G1502&amp;";"&amp;$I1502&amp;"?cc="&amp;Lists!$E$2&amp;"&amp;subject="&amp;_xlfn.ENCODEURL("[INVALID] Quality audit monitoring completed for "&amp;UPPER($C1502))&amp;"&amp;body="&amp;_xlfn.ENCODEURL("Hi "&amp;$F1502&amp;","&amp;CHAR(10)&amp;"Good day!"&amp;CHAR(10)&amp;CHAR(10)&amp;"A quality monitoring audit has been completed for "&amp;$C1502&amp;"."&amp;CHAR(10)&amp;CHAR(10)&amp;"QUALITY AUDIT DETAILS"&amp;CHAR(10)&amp;"Agent Name: "&amp;$C1502&amp;" (EID "&amp;$D1502&amp;")"&amp;CHAR(10)&amp;"Audit Date: "&amp;TEXT($B1502,"yyyy-mm-dd")&amp;CHAR(10)&amp;"Team Leader: "&amp;$F1502&amp;CHAR(10)&amp;"Case Number: "&amp;$M1502&amp;CHAR(10)&amp;"Transaction ID: "&amp;$N1502&amp;CHAR(10)&amp;"Channel / LOB: "&amp;$K1502&amp;" / "&amp;$L1502&amp;CHAR(10)&amp;"Evaluator: "&amp;$S1502&amp;CHAR(10)&amp;CHAR(10)&amp;"INVALID QUALITY AUDIT DETAILS"&amp;CHAR(10)&amp;"Validation: Invalid"&amp;CHAR(10)&amp;"Invalid Reason: "&amp;$P1502&amp;CHAR(10)&amp;"Expected Resolution Code: "&amp;$Q1502&amp;CHAR(10)&amp;"Remarks: "&amp;LEFT($R1502,600)&amp;CHAR(10)&amp;CHAR(10)&amp;"This is an automated notification from HP Mainstream EQMS."),"✉ Open Email Draft"),"")</f>
        <v/>
      </c>
    </row>
    <row r="1503">
      <c r="A1503" s="25">
        <f>IF($C1503="","","AUD-2026-"&amp;TEXT(ROW()-1,"000000"))</f>
        <v/>
      </c>
      <c r="B1503" s="26" t="n"/>
      <c r="C1503" s="27" t="n"/>
      <c r="D1503" s="25">
        <f>IF($C1503="","",IFERROR(IF(INDEX(Roster!$A:$A,MATCH($C1503,Roster!$B:$B,0))="","",INDEX(Roster!$A:$A,MATCH($C1503,Roster!$B:$B,0))&amp;""),"—"))</f>
        <v/>
      </c>
      <c r="E1503" s="25">
        <f>IF($C1503="","",IFERROR(IF(INDEX(Roster!$C:$C,MATCH($C1503,Roster!$B:$B,0))="","",INDEX(Roster!$C:$C,MATCH($C1503,Roster!$B:$B,0))&amp;""),"—"))</f>
        <v/>
      </c>
      <c r="F1503" s="25">
        <f>IF($C1503="","",IFERROR(IF(INDEX(Roster!$D:$D,MATCH($C1503,Roster!$B:$B,0))="","",INDEX(Roster!$D:$D,MATCH($C1503,Roster!$B:$B,0))&amp;""),"—"))</f>
        <v/>
      </c>
      <c r="G1503" s="25">
        <f>IF($C1503="","",IFERROR(IF(INDEX(Roster!$E:$E,MATCH($C1503,Roster!$B:$B,0))="","",INDEX(Roster!$E:$E,MATCH($C1503,Roster!$B:$B,0))&amp;""),"—"))</f>
        <v/>
      </c>
      <c r="H1503" s="25">
        <f>IF($C1503="","",IFERROR(IF(INDEX(Roster!$F:$F,MATCH($C1503,Roster!$B:$B,0))="","",INDEX(Roster!$F:$F,MATCH($C1503,Roster!$B:$B,0))&amp;""),"—"))</f>
        <v/>
      </c>
      <c r="I1503" s="25">
        <f>IF($C1503="","",IFERROR(IF(INDEX(Roster!$G:$G,MATCH($C1503,Roster!$B:$B,0))="","",INDEX(Roster!$G:$G,MATCH($C1503,Roster!$B:$B,0))&amp;""),"—"))</f>
        <v/>
      </c>
      <c r="J1503" s="25">
        <f>IF($C1503="","",IFERROR(IF(INDEX(Roster!$I:$I,MATCH($C1503,Roster!$B:$B,0))="","",INDEX(Roster!$I:$I,MATCH($C1503,Roster!$B:$B,0))&amp;""),"—"))</f>
        <v/>
      </c>
      <c r="K1503">
        <f>IF($C1503="","",IFERROR(IF(INDEX(Roster!$J:$J,MATCH($C1503,Roster!$B:$B,0))="","",INDEX(Roster!$J:$J,MATCH($C1503,Roster!$B:$B,0))&amp;""),"—"))</f>
        <v/>
      </c>
      <c r="L1503">
        <f>IF($C1503="","",IFERROR(IF(INDEX(Roster!$K:$K,MATCH($C1503,Roster!$B:$B,0))="","",INDEX(Roster!$K:$K,MATCH($C1503,Roster!$B:$B,0))&amp;""),"—"))</f>
        <v/>
      </c>
      <c r="M1503" s="27" t="n"/>
      <c r="N1503" s="27" t="n"/>
      <c r="O1503" s="25">
        <f>IF($C1503="","",IF($P1503="","—",IF($P1503="Valid (Pass)","Valid","Invalid")))</f>
        <v/>
      </c>
      <c r="P1503" s="27" t="n"/>
      <c r="Q1503" s="27" t="n"/>
      <c r="R1503" s="27" t="n"/>
      <c r="S1503" s="27" t="n"/>
      <c r="T1503" s="25">
        <f>IF($C1503="","",IF(OR(ISNUMBER(SEARCH("quick case",$P1503)),ISNUMBER(SEARCH("quick case",$Q1503))),"Yes","No"))</f>
        <v/>
      </c>
      <c r="U1503" s="25">
        <f>IF($O1503="Invalid",HYPERLINK("mailto:"&amp;$G1503&amp;";"&amp;$I1503&amp;"?cc="&amp;Lists!$E$2&amp;"&amp;subject="&amp;_xlfn.ENCODEURL("[INVALID] Quality audit monitoring completed for "&amp;UPPER($C1503))&amp;"&amp;body="&amp;_xlfn.ENCODEURL("Hi "&amp;$F1503&amp;","&amp;CHAR(10)&amp;"Good day!"&amp;CHAR(10)&amp;CHAR(10)&amp;"A quality monitoring audit has been completed for "&amp;$C1503&amp;"."&amp;CHAR(10)&amp;CHAR(10)&amp;"QUALITY AUDIT DETAILS"&amp;CHAR(10)&amp;"Agent Name: "&amp;$C1503&amp;" (EID "&amp;$D1503&amp;")"&amp;CHAR(10)&amp;"Audit Date: "&amp;TEXT($B1503,"yyyy-mm-dd")&amp;CHAR(10)&amp;"Team Leader: "&amp;$F1503&amp;CHAR(10)&amp;"Case Number: "&amp;$M1503&amp;CHAR(10)&amp;"Transaction ID: "&amp;$N1503&amp;CHAR(10)&amp;"Channel / LOB: "&amp;$K1503&amp;" / "&amp;$L1503&amp;CHAR(10)&amp;"Evaluator: "&amp;$S1503&amp;CHAR(10)&amp;CHAR(10)&amp;"INVALID QUALITY AUDIT DETAILS"&amp;CHAR(10)&amp;"Validation: Invalid"&amp;CHAR(10)&amp;"Invalid Reason: "&amp;$P1503&amp;CHAR(10)&amp;"Expected Resolution Code: "&amp;$Q1503&amp;CHAR(10)&amp;"Remarks: "&amp;LEFT($R1503,600)&amp;CHAR(10)&amp;CHAR(10)&amp;"This is an automated notification from HP Mainstream EQMS."),"✉ Open Email Draft"),"")</f>
        <v/>
      </c>
    </row>
    <row r="1504">
      <c r="A1504" s="25">
        <f>IF($C1504="","","AUD-2026-"&amp;TEXT(ROW()-1,"000000"))</f>
        <v/>
      </c>
      <c r="B1504" s="26" t="n"/>
      <c r="C1504" s="27" t="n"/>
      <c r="D1504" s="25">
        <f>IF($C1504="","",IFERROR(IF(INDEX(Roster!$A:$A,MATCH($C1504,Roster!$B:$B,0))="","",INDEX(Roster!$A:$A,MATCH($C1504,Roster!$B:$B,0))&amp;""),"—"))</f>
        <v/>
      </c>
      <c r="E1504" s="25">
        <f>IF($C1504="","",IFERROR(IF(INDEX(Roster!$C:$C,MATCH($C1504,Roster!$B:$B,0))="","",INDEX(Roster!$C:$C,MATCH($C1504,Roster!$B:$B,0))&amp;""),"—"))</f>
        <v/>
      </c>
      <c r="F1504" s="25">
        <f>IF($C1504="","",IFERROR(IF(INDEX(Roster!$D:$D,MATCH($C1504,Roster!$B:$B,0))="","",INDEX(Roster!$D:$D,MATCH($C1504,Roster!$B:$B,0))&amp;""),"—"))</f>
        <v/>
      </c>
      <c r="G1504" s="25">
        <f>IF($C1504="","",IFERROR(IF(INDEX(Roster!$E:$E,MATCH($C1504,Roster!$B:$B,0))="","",INDEX(Roster!$E:$E,MATCH($C1504,Roster!$B:$B,0))&amp;""),"—"))</f>
        <v/>
      </c>
      <c r="H1504" s="25">
        <f>IF($C1504="","",IFERROR(IF(INDEX(Roster!$F:$F,MATCH($C1504,Roster!$B:$B,0))="","",INDEX(Roster!$F:$F,MATCH($C1504,Roster!$B:$B,0))&amp;""),"—"))</f>
        <v/>
      </c>
      <c r="I1504" s="25">
        <f>IF($C1504="","",IFERROR(IF(INDEX(Roster!$G:$G,MATCH($C1504,Roster!$B:$B,0))="","",INDEX(Roster!$G:$G,MATCH($C1504,Roster!$B:$B,0))&amp;""),"—"))</f>
        <v/>
      </c>
      <c r="J1504" s="25">
        <f>IF($C1504="","",IFERROR(IF(INDEX(Roster!$I:$I,MATCH($C1504,Roster!$B:$B,0))="","",INDEX(Roster!$I:$I,MATCH($C1504,Roster!$B:$B,0))&amp;""),"—"))</f>
        <v/>
      </c>
      <c r="K1504">
        <f>IF($C1504="","",IFERROR(IF(INDEX(Roster!$J:$J,MATCH($C1504,Roster!$B:$B,0))="","",INDEX(Roster!$J:$J,MATCH($C1504,Roster!$B:$B,0))&amp;""),"—"))</f>
        <v/>
      </c>
      <c r="L1504">
        <f>IF($C1504="","",IFERROR(IF(INDEX(Roster!$K:$K,MATCH($C1504,Roster!$B:$B,0))="","",INDEX(Roster!$K:$K,MATCH($C1504,Roster!$B:$B,0))&amp;""),"—"))</f>
        <v/>
      </c>
      <c r="M1504" s="27" t="n"/>
      <c r="N1504" s="27" t="n"/>
      <c r="O1504" s="25">
        <f>IF($C1504="","",IF($P1504="","—",IF($P1504="Valid (Pass)","Valid","Invalid")))</f>
        <v/>
      </c>
      <c r="P1504" s="27" t="n"/>
      <c r="Q1504" s="27" t="n"/>
      <c r="R1504" s="27" t="n"/>
      <c r="S1504" s="27" t="n"/>
      <c r="T1504" s="25">
        <f>IF($C1504="","",IF(OR(ISNUMBER(SEARCH("quick case",$P1504)),ISNUMBER(SEARCH("quick case",$Q1504))),"Yes","No"))</f>
        <v/>
      </c>
      <c r="U1504" s="25">
        <f>IF($O1504="Invalid",HYPERLINK("mailto:"&amp;$G1504&amp;";"&amp;$I1504&amp;"?cc="&amp;Lists!$E$2&amp;"&amp;subject="&amp;_xlfn.ENCODEURL("[INVALID] Quality audit monitoring completed for "&amp;UPPER($C1504))&amp;"&amp;body="&amp;_xlfn.ENCODEURL("Hi "&amp;$F1504&amp;","&amp;CHAR(10)&amp;"Good day!"&amp;CHAR(10)&amp;CHAR(10)&amp;"A quality monitoring audit has been completed for "&amp;$C1504&amp;"."&amp;CHAR(10)&amp;CHAR(10)&amp;"QUALITY AUDIT DETAILS"&amp;CHAR(10)&amp;"Agent Name: "&amp;$C1504&amp;" (EID "&amp;$D1504&amp;")"&amp;CHAR(10)&amp;"Audit Date: "&amp;TEXT($B1504,"yyyy-mm-dd")&amp;CHAR(10)&amp;"Team Leader: "&amp;$F1504&amp;CHAR(10)&amp;"Case Number: "&amp;$M1504&amp;CHAR(10)&amp;"Transaction ID: "&amp;$N1504&amp;CHAR(10)&amp;"Channel / LOB: "&amp;$K1504&amp;" / "&amp;$L1504&amp;CHAR(10)&amp;"Evaluator: "&amp;$S1504&amp;CHAR(10)&amp;CHAR(10)&amp;"INVALID QUALITY AUDIT DETAILS"&amp;CHAR(10)&amp;"Validation: Invalid"&amp;CHAR(10)&amp;"Invalid Reason: "&amp;$P1504&amp;CHAR(10)&amp;"Expected Resolution Code: "&amp;$Q1504&amp;CHAR(10)&amp;"Remarks: "&amp;LEFT($R1504,600)&amp;CHAR(10)&amp;CHAR(10)&amp;"This is an automated notification from HP Mainstream EQMS."),"✉ Open Email Draft"),"")</f>
        <v/>
      </c>
    </row>
    <row r="1505">
      <c r="A1505" s="25">
        <f>IF($C1505="","","AUD-2026-"&amp;TEXT(ROW()-1,"000000"))</f>
        <v/>
      </c>
      <c r="B1505" s="26" t="n"/>
      <c r="C1505" s="27" t="n"/>
      <c r="D1505" s="25">
        <f>IF($C1505="","",IFERROR(IF(INDEX(Roster!$A:$A,MATCH($C1505,Roster!$B:$B,0))="","",INDEX(Roster!$A:$A,MATCH($C1505,Roster!$B:$B,0))&amp;""),"—"))</f>
        <v/>
      </c>
      <c r="E1505" s="25">
        <f>IF($C1505="","",IFERROR(IF(INDEX(Roster!$C:$C,MATCH($C1505,Roster!$B:$B,0))="","",INDEX(Roster!$C:$C,MATCH($C1505,Roster!$B:$B,0))&amp;""),"—"))</f>
        <v/>
      </c>
      <c r="F1505" s="25">
        <f>IF($C1505="","",IFERROR(IF(INDEX(Roster!$D:$D,MATCH($C1505,Roster!$B:$B,0))="","",INDEX(Roster!$D:$D,MATCH($C1505,Roster!$B:$B,0))&amp;""),"—"))</f>
        <v/>
      </c>
      <c r="G1505" s="25">
        <f>IF($C1505="","",IFERROR(IF(INDEX(Roster!$E:$E,MATCH($C1505,Roster!$B:$B,0))="","",INDEX(Roster!$E:$E,MATCH($C1505,Roster!$B:$B,0))&amp;""),"—"))</f>
        <v/>
      </c>
      <c r="H1505" s="25">
        <f>IF($C1505="","",IFERROR(IF(INDEX(Roster!$F:$F,MATCH($C1505,Roster!$B:$B,0))="","",INDEX(Roster!$F:$F,MATCH($C1505,Roster!$B:$B,0))&amp;""),"—"))</f>
        <v/>
      </c>
      <c r="I1505" s="25">
        <f>IF($C1505="","",IFERROR(IF(INDEX(Roster!$G:$G,MATCH($C1505,Roster!$B:$B,0))="","",INDEX(Roster!$G:$G,MATCH($C1505,Roster!$B:$B,0))&amp;""),"—"))</f>
        <v/>
      </c>
      <c r="J1505" s="25">
        <f>IF($C1505="","",IFERROR(IF(INDEX(Roster!$I:$I,MATCH($C1505,Roster!$B:$B,0))="","",INDEX(Roster!$I:$I,MATCH($C1505,Roster!$B:$B,0))&amp;""),"—"))</f>
        <v/>
      </c>
      <c r="K1505">
        <f>IF($C1505="","",IFERROR(IF(INDEX(Roster!$J:$J,MATCH($C1505,Roster!$B:$B,0))="","",INDEX(Roster!$J:$J,MATCH($C1505,Roster!$B:$B,0))&amp;""),"—"))</f>
        <v/>
      </c>
      <c r="L1505">
        <f>IF($C1505="","",IFERROR(IF(INDEX(Roster!$K:$K,MATCH($C1505,Roster!$B:$B,0))="","",INDEX(Roster!$K:$K,MATCH($C1505,Roster!$B:$B,0))&amp;""),"—"))</f>
        <v/>
      </c>
      <c r="M1505" s="27" t="n"/>
      <c r="N1505" s="27" t="n"/>
      <c r="O1505" s="25">
        <f>IF($C1505="","",IF($P1505="","—",IF($P1505="Valid (Pass)","Valid","Invalid")))</f>
        <v/>
      </c>
      <c r="P1505" s="27" t="n"/>
      <c r="Q1505" s="27" t="n"/>
      <c r="R1505" s="27" t="n"/>
      <c r="S1505" s="27" t="n"/>
      <c r="T1505" s="25">
        <f>IF($C1505="","",IF(OR(ISNUMBER(SEARCH("quick case",$P1505)),ISNUMBER(SEARCH("quick case",$Q1505))),"Yes","No"))</f>
        <v/>
      </c>
      <c r="U1505" s="25">
        <f>IF($O1505="Invalid",HYPERLINK("mailto:"&amp;$G1505&amp;";"&amp;$I1505&amp;"?cc="&amp;Lists!$E$2&amp;"&amp;subject="&amp;_xlfn.ENCODEURL("[INVALID] Quality audit monitoring completed for "&amp;UPPER($C1505))&amp;"&amp;body="&amp;_xlfn.ENCODEURL("Hi "&amp;$F1505&amp;","&amp;CHAR(10)&amp;"Good day!"&amp;CHAR(10)&amp;CHAR(10)&amp;"A quality monitoring audit has been completed for "&amp;$C1505&amp;"."&amp;CHAR(10)&amp;CHAR(10)&amp;"QUALITY AUDIT DETAILS"&amp;CHAR(10)&amp;"Agent Name: "&amp;$C1505&amp;" (EID "&amp;$D1505&amp;")"&amp;CHAR(10)&amp;"Audit Date: "&amp;TEXT($B1505,"yyyy-mm-dd")&amp;CHAR(10)&amp;"Team Leader: "&amp;$F1505&amp;CHAR(10)&amp;"Case Number: "&amp;$M1505&amp;CHAR(10)&amp;"Transaction ID: "&amp;$N1505&amp;CHAR(10)&amp;"Channel / LOB: "&amp;$K1505&amp;" / "&amp;$L1505&amp;CHAR(10)&amp;"Evaluator: "&amp;$S1505&amp;CHAR(10)&amp;CHAR(10)&amp;"INVALID QUALITY AUDIT DETAILS"&amp;CHAR(10)&amp;"Validation: Invalid"&amp;CHAR(10)&amp;"Invalid Reason: "&amp;$P1505&amp;CHAR(10)&amp;"Expected Resolution Code: "&amp;$Q1505&amp;CHAR(10)&amp;"Remarks: "&amp;LEFT($R1505,600)&amp;CHAR(10)&amp;CHAR(10)&amp;"This is an automated notification from HP Mainstream EQMS."),"✉ Open Email Draft"),"")</f>
        <v/>
      </c>
    </row>
    <row r="1506">
      <c r="A1506" s="25">
        <f>IF($C1506="","","AUD-2026-"&amp;TEXT(ROW()-1,"000000"))</f>
        <v/>
      </c>
      <c r="B1506" s="26" t="n"/>
      <c r="C1506" s="27" t="n"/>
      <c r="D1506" s="25">
        <f>IF($C1506="","",IFERROR(IF(INDEX(Roster!$A:$A,MATCH($C1506,Roster!$B:$B,0))="","",INDEX(Roster!$A:$A,MATCH($C1506,Roster!$B:$B,0))&amp;""),"—"))</f>
        <v/>
      </c>
      <c r="E1506" s="25">
        <f>IF($C1506="","",IFERROR(IF(INDEX(Roster!$C:$C,MATCH($C1506,Roster!$B:$B,0))="","",INDEX(Roster!$C:$C,MATCH($C1506,Roster!$B:$B,0))&amp;""),"—"))</f>
        <v/>
      </c>
      <c r="F1506" s="25">
        <f>IF($C1506="","",IFERROR(IF(INDEX(Roster!$D:$D,MATCH($C1506,Roster!$B:$B,0))="","",INDEX(Roster!$D:$D,MATCH($C1506,Roster!$B:$B,0))&amp;""),"—"))</f>
        <v/>
      </c>
      <c r="G1506" s="25">
        <f>IF($C1506="","",IFERROR(IF(INDEX(Roster!$E:$E,MATCH($C1506,Roster!$B:$B,0))="","",INDEX(Roster!$E:$E,MATCH($C1506,Roster!$B:$B,0))&amp;""),"—"))</f>
        <v/>
      </c>
      <c r="H1506" s="25">
        <f>IF($C1506="","",IFERROR(IF(INDEX(Roster!$F:$F,MATCH($C1506,Roster!$B:$B,0))="","",INDEX(Roster!$F:$F,MATCH($C1506,Roster!$B:$B,0))&amp;""),"—"))</f>
        <v/>
      </c>
      <c r="I1506" s="25">
        <f>IF($C1506="","",IFERROR(IF(INDEX(Roster!$G:$G,MATCH($C1506,Roster!$B:$B,0))="","",INDEX(Roster!$G:$G,MATCH($C1506,Roster!$B:$B,0))&amp;""),"—"))</f>
        <v/>
      </c>
      <c r="J1506" s="25">
        <f>IF($C1506="","",IFERROR(IF(INDEX(Roster!$I:$I,MATCH($C1506,Roster!$B:$B,0))="","",INDEX(Roster!$I:$I,MATCH($C1506,Roster!$B:$B,0))&amp;""),"—"))</f>
        <v/>
      </c>
      <c r="K1506">
        <f>IF($C1506="","",IFERROR(IF(INDEX(Roster!$J:$J,MATCH($C1506,Roster!$B:$B,0))="","",INDEX(Roster!$J:$J,MATCH($C1506,Roster!$B:$B,0))&amp;""),"—"))</f>
        <v/>
      </c>
      <c r="L1506">
        <f>IF($C1506="","",IFERROR(IF(INDEX(Roster!$K:$K,MATCH($C1506,Roster!$B:$B,0))="","",INDEX(Roster!$K:$K,MATCH($C1506,Roster!$B:$B,0))&amp;""),"—"))</f>
        <v/>
      </c>
      <c r="M1506" s="27" t="n"/>
      <c r="N1506" s="27" t="n"/>
      <c r="O1506" s="25">
        <f>IF($C1506="","",IF($P1506="","—",IF($P1506="Valid (Pass)","Valid","Invalid")))</f>
        <v/>
      </c>
      <c r="P1506" s="27" t="n"/>
      <c r="Q1506" s="27" t="n"/>
      <c r="R1506" s="27" t="n"/>
      <c r="S1506" s="27" t="n"/>
      <c r="T1506" s="25">
        <f>IF($C1506="","",IF(OR(ISNUMBER(SEARCH("quick case",$P1506)),ISNUMBER(SEARCH("quick case",$Q1506))),"Yes","No"))</f>
        <v/>
      </c>
      <c r="U1506" s="25">
        <f>IF($O1506="Invalid",HYPERLINK("mailto:"&amp;$G1506&amp;";"&amp;$I1506&amp;"?cc="&amp;Lists!$E$2&amp;"&amp;subject="&amp;_xlfn.ENCODEURL("[INVALID] Quality audit monitoring completed for "&amp;UPPER($C1506))&amp;"&amp;body="&amp;_xlfn.ENCODEURL("Hi "&amp;$F1506&amp;","&amp;CHAR(10)&amp;"Good day!"&amp;CHAR(10)&amp;CHAR(10)&amp;"A quality monitoring audit has been completed for "&amp;$C1506&amp;"."&amp;CHAR(10)&amp;CHAR(10)&amp;"QUALITY AUDIT DETAILS"&amp;CHAR(10)&amp;"Agent Name: "&amp;$C1506&amp;" (EID "&amp;$D1506&amp;")"&amp;CHAR(10)&amp;"Audit Date: "&amp;TEXT($B1506,"yyyy-mm-dd")&amp;CHAR(10)&amp;"Team Leader: "&amp;$F1506&amp;CHAR(10)&amp;"Case Number: "&amp;$M1506&amp;CHAR(10)&amp;"Transaction ID: "&amp;$N1506&amp;CHAR(10)&amp;"Channel / LOB: "&amp;$K1506&amp;" / "&amp;$L1506&amp;CHAR(10)&amp;"Evaluator: "&amp;$S1506&amp;CHAR(10)&amp;CHAR(10)&amp;"INVALID QUALITY AUDIT DETAILS"&amp;CHAR(10)&amp;"Validation: Invalid"&amp;CHAR(10)&amp;"Invalid Reason: "&amp;$P1506&amp;CHAR(10)&amp;"Expected Resolution Code: "&amp;$Q1506&amp;CHAR(10)&amp;"Remarks: "&amp;LEFT($R1506,600)&amp;CHAR(10)&amp;CHAR(10)&amp;"This is an automated notification from HP Mainstream EQMS."),"✉ Open Email Draft"),"")</f>
        <v/>
      </c>
    </row>
    <row r="1507">
      <c r="A1507" s="25">
        <f>IF($C1507="","","AUD-2026-"&amp;TEXT(ROW()-1,"000000"))</f>
        <v/>
      </c>
      <c r="B1507" s="26" t="n"/>
      <c r="C1507" s="27" t="n"/>
      <c r="D1507" s="25">
        <f>IF($C1507="","",IFERROR(IF(INDEX(Roster!$A:$A,MATCH($C1507,Roster!$B:$B,0))="","",INDEX(Roster!$A:$A,MATCH($C1507,Roster!$B:$B,0))&amp;""),"—"))</f>
        <v/>
      </c>
      <c r="E1507" s="25">
        <f>IF($C1507="","",IFERROR(IF(INDEX(Roster!$C:$C,MATCH($C1507,Roster!$B:$B,0))="","",INDEX(Roster!$C:$C,MATCH($C1507,Roster!$B:$B,0))&amp;""),"—"))</f>
        <v/>
      </c>
      <c r="F1507" s="25">
        <f>IF($C1507="","",IFERROR(IF(INDEX(Roster!$D:$D,MATCH($C1507,Roster!$B:$B,0))="","",INDEX(Roster!$D:$D,MATCH($C1507,Roster!$B:$B,0))&amp;""),"—"))</f>
        <v/>
      </c>
      <c r="G1507" s="25">
        <f>IF($C1507="","",IFERROR(IF(INDEX(Roster!$E:$E,MATCH($C1507,Roster!$B:$B,0))="","",INDEX(Roster!$E:$E,MATCH($C1507,Roster!$B:$B,0))&amp;""),"—"))</f>
        <v/>
      </c>
      <c r="H1507" s="25">
        <f>IF($C1507="","",IFERROR(IF(INDEX(Roster!$F:$F,MATCH($C1507,Roster!$B:$B,0))="","",INDEX(Roster!$F:$F,MATCH($C1507,Roster!$B:$B,0))&amp;""),"—"))</f>
        <v/>
      </c>
      <c r="I1507" s="25">
        <f>IF($C1507="","",IFERROR(IF(INDEX(Roster!$G:$G,MATCH($C1507,Roster!$B:$B,0))="","",INDEX(Roster!$G:$G,MATCH($C1507,Roster!$B:$B,0))&amp;""),"—"))</f>
        <v/>
      </c>
      <c r="J1507" s="25">
        <f>IF($C1507="","",IFERROR(IF(INDEX(Roster!$I:$I,MATCH($C1507,Roster!$B:$B,0))="","",INDEX(Roster!$I:$I,MATCH($C1507,Roster!$B:$B,0))&amp;""),"—"))</f>
        <v/>
      </c>
      <c r="K1507">
        <f>IF($C1507="","",IFERROR(IF(INDEX(Roster!$J:$J,MATCH($C1507,Roster!$B:$B,0))="","",INDEX(Roster!$J:$J,MATCH($C1507,Roster!$B:$B,0))&amp;""),"—"))</f>
        <v/>
      </c>
      <c r="L1507">
        <f>IF($C1507="","",IFERROR(IF(INDEX(Roster!$K:$K,MATCH($C1507,Roster!$B:$B,0))="","",INDEX(Roster!$K:$K,MATCH($C1507,Roster!$B:$B,0))&amp;""),"—"))</f>
        <v/>
      </c>
      <c r="M1507" s="27" t="n"/>
      <c r="N1507" s="27" t="n"/>
      <c r="O1507" s="25">
        <f>IF($C1507="","",IF($P1507="","—",IF($P1507="Valid (Pass)","Valid","Invalid")))</f>
        <v/>
      </c>
      <c r="P1507" s="27" t="n"/>
      <c r="Q1507" s="27" t="n"/>
      <c r="R1507" s="27" t="n"/>
      <c r="S1507" s="27" t="n"/>
      <c r="T1507" s="25">
        <f>IF($C1507="","",IF(OR(ISNUMBER(SEARCH("quick case",$P1507)),ISNUMBER(SEARCH("quick case",$Q1507))),"Yes","No"))</f>
        <v/>
      </c>
      <c r="U1507" s="25">
        <f>IF($O1507="Invalid",HYPERLINK("mailto:"&amp;$G1507&amp;";"&amp;$I1507&amp;"?cc="&amp;Lists!$E$2&amp;"&amp;subject="&amp;_xlfn.ENCODEURL("[INVALID] Quality audit monitoring completed for "&amp;UPPER($C1507))&amp;"&amp;body="&amp;_xlfn.ENCODEURL("Hi "&amp;$F1507&amp;","&amp;CHAR(10)&amp;"Good day!"&amp;CHAR(10)&amp;CHAR(10)&amp;"A quality monitoring audit has been completed for "&amp;$C1507&amp;"."&amp;CHAR(10)&amp;CHAR(10)&amp;"QUALITY AUDIT DETAILS"&amp;CHAR(10)&amp;"Agent Name: "&amp;$C1507&amp;" (EID "&amp;$D1507&amp;")"&amp;CHAR(10)&amp;"Audit Date: "&amp;TEXT($B1507,"yyyy-mm-dd")&amp;CHAR(10)&amp;"Team Leader: "&amp;$F1507&amp;CHAR(10)&amp;"Case Number: "&amp;$M1507&amp;CHAR(10)&amp;"Transaction ID: "&amp;$N1507&amp;CHAR(10)&amp;"Channel / LOB: "&amp;$K1507&amp;" / "&amp;$L1507&amp;CHAR(10)&amp;"Evaluator: "&amp;$S1507&amp;CHAR(10)&amp;CHAR(10)&amp;"INVALID QUALITY AUDIT DETAILS"&amp;CHAR(10)&amp;"Validation: Invalid"&amp;CHAR(10)&amp;"Invalid Reason: "&amp;$P1507&amp;CHAR(10)&amp;"Expected Resolution Code: "&amp;$Q1507&amp;CHAR(10)&amp;"Remarks: "&amp;LEFT($R1507,600)&amp;CHAR(10)&amp;CHAR(10)&amp;"This is an automated notification from HP Mainstream EQMS."),"✉ Open Email Draft"),"")</f>
        <v/>
      </c>
    </row>
    <row r="1508">
      <c r="A1508" s="25">
        <f>IF($C1508="","","AUD-2026-"&amp;TEXT(ROW()-1,"000000"))</f>
        <v/>
      </c>
      <c r="B1508" s="26" t="n"/>
      <c r="C1508" s="27" t="n"/>
      <c r="D1508" s="25">
        <f>IF($C1508="","",IFERROR(IF(INDEX(Roster!$A:$A,MATCH($C1508,Roster!$B:$B,0))="","",INDEX(Roster!$A:$A,MATCH($C1508,Roster!$B:$B,0))&amp;""),"—"))</f>
        <v/>
      </c>
      <c r="E1508" s="25">
        <f>IF($C1508="","",IFERROR(IF(INDEX(Roster!$C:$C,MATCH($C1508,Roster!$B:$B,0))="","",INDEX(Roster!$C:$C,MATCH($C1508,Roster!$B:$B,0))&amp;""),"—"))</f>
        <v/>
      </c>
      <c r="F1508" s="25">
        <f>IF($C1508="","",IFERROR(IF(INDEX(Roster!$D:$D,MATCH($C1508,Roster!$B:$B,0))="","",INDEX(Roster!$D:$D,MATCH($C1508,Roster!$B:$B,0))&amp;""),"—"))</f>
        <v/>
      </c>
      <c r="G1508" s="25">
        <f>IF($C1508="","",IFERROR(IF(INDEX(Roster!$E:$E,MATCH($C1508,Roster!$B:$B,0))="","",INDEX(Roster!$E:$E,MATCH($C1508,Roster!$B:$B,0))&amp;""),"—"))</f>
        <v/>
      </c>
      <c r="H1508" s="25">
        <f>IF($C1508="","",IFERROR(IF(INDEX(Roster!$F:$F,MATCH($C1508,Roster!$B:$B,0))="","",INDEX(Roster!$F:$F,MATCH($C1508,Roster!$B:$B,0))&amp;""),"—"))</f>
        <v/>
      </c>
      <c r="I1508" s="25">
        <f>IF($C1508="","",IFERROR(IF(INDEX(Roster!$G:$G,MATCH($C1508,Roster!$B:$B,0))="","",INDEX(Roster!$G:$G,MATCH($C1508,Roster!$B:$B,0))&amp;""),"—"))</f>
        <v/>
      </c>
      <c r="J1508" s="25">
        <f>IF($C1508="","",IFERROR(IF(INDEX(Roster!$I:$I,MATCH($C1508,Roster!$B:$B,0))="","",INDEX(Roster!$I:$I,MATCH($C1508,Roster!$B:$B,0))&amp;""),"—"))</f>
        <v/>
      </c>
      <c r="K1508">
        <f>IF($C1508="","",IFERROR(IF(INDEX(Roster!$J:$J,MATCH($C1508,Roster!$B:$B,0))="","",INDEX(Roster!$J:$J,MATCH($C1508,Roster!$B:$B,0))&amp;""),"—"))</f>
        <v/>
      </c>
      <c r="L1508">
        <f>IF($C1508="","",IFERROR(IF(INDEX(Roster!$K:$K,MATCH($C1508,Roster!$B:$B,0))="","",INDEX(Roster!$K:$K,MATCH($C1508,Roster!$B:$B,0))&amp;""),"—"))</f>
        <v/>
      </c>
      <c r="M1508" s="27" t="n"/>
      <c r="N1508" s="27" t="n"/>
      <c r="O1508" s="25">
        <f>IF($C1508="","",IF($P1508="","—",IF($P1508="Valid (Pass)","Valid","Invalid")))</f>
        <v/>
      </c>
      <c r="P1508" s="27" t="n"/>
      <c r="Q1508" s="27" t="n"/>
      <c r="R1508" s="27" t="n"/>
      <c r="S1508" s="27" t="n"/>
      <c r="T1508" s="25">
        <f>IF($C1508="","",IF(OR(ISNUMBER(SEARCH("quick case",$P1508)),ISNUMBER(SEARCH("quick case",$Q1508))),"Yes","No"))</f>
        <v/>
      </c>
      <c r="U1508" s="25">
        <f>IF($O1508="Invalid",HYPERLINK("mailto:"&amp;$G1508&amp;";"&amp;$I1508&amp;"?cc="&amp;Lists!$E$2&amp;"&amp;subject="&amp;_xlfn.ENCODEURL("[INVALID] Quality audit monitoring completed for "&amp;UPPER($C1508))&amp;"&amp;body="&amp;_xlfn.ENCODEURL("Hi "&amp;$F1508&amp;","&amp;CHAR(10)&amp;"Good day!"&amp;CHAR(10)&amp;CHAR(10)&amp;"A quality monitoring audit has been completed for "&amp;$C1508&amp;"."&amp;CHAR(10)&amp;CHAR(10)&amp;"QUALITY AUDIT DETAILS"&amp;CHAR(10)&amp;"Agent Name: "&amp;$C1508&amp;" (EID "&amp;$D1508&amp;")"&amp;CHAR(10)&amp;"Audit Date: "&amp;TEXT($B1508,"yyyy-mm-dd")&amp;CHAR(10)&amp;"Team Leader: "&amp;$F1508&amp;CHAR(10)&amp;"Case Number: "&amp;$M1508&amp;CHAR(10)&amp;"Transaction ID: "&amp;$N1508&amp;CHAR(10)&amp;"Channel / LOB: "&amp;$K1508&amp;" / "&amp;$L1508&amp;CHAR(10)&amp;"Evaluator: "&amp;$S1508&amp;CHAR(10)&amp;CHAR(10)&amp;"INVALID QUALITY AUDIT DETAILS"&amp;CHAR(10)&amp;"Validation: Invalid"&amp;CHAR(10)&amp;"Invalid Reason: "&amp;$P1508&amp;CHAR(10)&amp;"Expected Resolution Code: "&amp;$Q1508&amp;CHAR(10)&amp;"Remarks: "&amp;LEFT($R1508,600)&amp;CHAR(10)&amp;CHAR(10)&amp;"This is an automated notification from HP Mainstream EQMS."),"✉ Open Email Draft"),"")</f>
        <v/>
      </c>
    </row>
    <row r="1509">
      <c r="A1509" s="25">
        <f>IF($C1509="","","AUD-2026-"&amp;TEXT(ROW()-1,"000000"))</f>
        <v/>
      </c>
      <c r="B1509" s="26" t="n"/>
      <c r="C1509" s="27" t="n"/>
      <c r="D1509" s="25">
        <f>IF($C1509="","",IFERROR(IF(INDEX(Roster!$A:$A,MATCH($C1509,Roster!$B:$B,0))="","",INDEX(Roster!$A:$A,MATCH($C1509,Roster!$B:$B,0))&amp;""),"—"))</f>
        <v/>
      </c>
      <c r="E1509" s="25">
        <f>IF($C1509="","",IFERROR(IF(INDEX(Roster!$C:$C,MATCH($C1509,Roster!$B:$B,0))="","",INDEX(Roster!$C:$C,MATCH($C1509,Roster!$B:$B,0))&amp;""),"—"))</f>
        <v/>
      </c>
      <c r="F1509" s="25">
        <f>IF($C1509="","",IFERROR(IF(INDEX(Roster!$D:$D,MATCH($C1509,Roster!$B:$B,0))="","",INDEX(Roster!$D:$D,MATCH($C1509,Roster!$B:$B,0))&amp;""),"—"))</f>
        <v/>
      </c>
      <c r="G1509" s="25">
        <f>IF($C1509="","",IFERROR(IF(INDEX(Roster!$E:$E,MATCH($C1509,Roster!$B:$B,0))="","",INDEX(Roster!$E:$E,MATCH($C1509,Roster!$B:$B,0))&amp;""),"—"))</f>
        <v/>
      </c>
      <c r="H1509" s="25">
        <f>IF($C1509="","",IFERROR(IF(INDEX(Roster!$F:$F,MATCH($C1509,Roster!$B:$B,0))="","",INDEX(Roster!$F:$F,MATCH($C1509,Roster!$B:$B,0))&amp;""),"—"))</f>
        <v/>
      </c>
      <c r="I1509" s="25">
        <f>IF($C1509="","",IFERROR(IF(INDEX(Roster!$G:$G,MATCH($C1509,Roster!$B:$B,0))="","",INDEX(Roster!$G:$G,MATCH($C1509,Roster!$B:$B,0))&amp;""),"—"))</f>
        <v/>
      </c>
      <c r="J1509" s="25">
        <f>IF($C1509="","",IFERROR(IF(INDEX(Roster!$I:$I,MATCH($C1509,Roster!$B:$B,0))="","",INDEX(Roster!$I:$I,MATCH($C1509,Roster!$B:$B,0))&amp;""),"—"))</f>
        <v/>
      </c>
      <c r="K1509">
        <f>IF($C1509="","",IFERROR(IF(INDEX(Roster!$J:$J,MATCH($C1509,Roster!$B:$B,0))="","",INDEX(Roster!$J:$J,MATCH($C1509,Roster!$B:$B,0))&amp;""),"—"))</f>
        <v/>
      </c>
      <c r="L1509">
        <f>IF($C1509="","",IFERROR(IF(INDEX(Roster!$K:$K,MATCH($C1509,Roster!$B:$B,0))="","",INDEX(Roster!$K:$K,MATCH($C1509,Roster!$B:$B,0))&amp;""),"—"))</f>
        <v/>
      </c>
      <c r="M1509" s="27" t="n"/>
      <c r="N1509" s="27" t="n"/>
      <c r="O1509" s="25">
        <f>IF($C1509="","",IF($P1509="","—",IF($P1509="Valid (Pass)","Valid","Invalid")))</f>
        <v/>
      </c>
      <c r="P1509" s="27" t="n"/>
      <c r="Q1509" s="27" t="n"/>
      <c r="R1509" s="27" t="n"/>
      <c r="S1509" s="27" t="n"/>
      <c r="T1509" s="25">
        <f>IF($C1509="","",IF(OR(ISNUMBER(SEARCH("quick case",$P1509)),ISNUMBER(SEARCH("quick case",$Q1509))),"Yes","No"))</f>
        <v/>
      </c>
      <c r="U1509" s="25">
        <f>IF($O1509="Invalid",HYPERLINK("mailto:"&amp;$G1509&amp;";"&amp;$I1509&amp;"?cc="&amp;Lists!$E$2&amp;"&amp;subject="&amp;_xlfn.ENCODEURL("[INVALID] Quality audit monitoring completed for "&amp;UPPER($C1509))&amp;"&amp;body="&amp;_xlfn.ENCODEURL("Hi "&amp;$F1509&amp;","&amp;CHAR(10)&amp;"Good day!"&amp;CHAR(10)&amp;CHAR(10)&amp;"A quality monitoring audit has been completed for "&amp;$C1509&amp;"."&amp;CHAR(10)&amp;CHAR(10)&amp;"QUALITY AUDIT DETAILS"&amp;CHAR(10)&amp;"Agent Name: "&amp;$C1509&amp;" (EID "&amp;$D1509&amp;")"&amp;CHAR(10)&amp;"Audit Date: "&amp;TEXT($B1509,"yyyy-mm-dd")&amp;CHAR(10)&amp;"Team Leader: "&amp;$F1509&amp;CHAR(10)&amp;"Case Number: "&amp;$M1509&amp;CHAR(10)&amp;"Transaction ID: "&amp;$N1509&amp;CHAR(10)&amp;"Channel / LOB: "&amp;$K1509&amp;" / "&amp;$L1509&amp;CHAR(10)&amp;"Evaluator: "&amp;$S1509&amp;CHAR(10)&amp;CHAR(10)&amp;"INVALID QUALITY AUDIT DETAILS"&amp;CHAR(10)&amp;"Validation: Invalid"&amp;CHAR(10)&amp;"Invalid Reason: "&amp;$P1509&amp;CHAR(10)&amp;"Expected Resolution Code: "&amp;$Q1509&amp;CHAR(10)&amp;"Remarks: "&amp;LEFT($R1509,600)&amp;CHAR(10)&amp;CHAR(10)&amp;"This is an automated notification from HP Mainstream EQMS."),"✉ Open Email Draft"),"")</f>
        <v/>
      </c>
    </row>
    <row r="1510">
      <c r="A1510" s="25">
        <f>IF($C1510="","","AUD-2026-"&amp;TEXT(ROW()-1,"000000"))</f>
        <v/>
      </c>
      <c r="B1510" s="26" t="n"/>
      <c r="C1510" s="27" t="n"/>
      <c r="D1510" s="25">
        <f>IF($C1510="","",IFERROR(IF(INDEX(Roster!$A:$A,MATCH($C1510,Roster!$B:$B,0))="","",INDEX(Roster!$A:$A,MATCH($C1510,Roster!$B:$B,0))&amp;""),"—"))</f>
        <v/>
      </c>
      <c r="E1510" s="25">
        <f>IF($C1510="","",IFERROR(IF(INDEX(Roster!$C:$C,MATCH($C1510,Roster!$B:$B,0))="","",INDEX(Roster!$C:$C,MATCH($C1510,Roster!$B:$B,0))&amp;""),"—"))</f>
        <v/>
      </c>
      <c r="F1510" s="25">
        <f>IF($C1510="","",IFERROR(IF(INDEX(Roster!$D:$D,MATCH($C1510,Roster!$B:$B,0))="","",INDEX(Roster!$D:$D,MATCH($C1510,Roster!$B:$B,0))&amp;""),"—"))</f>
        <v/>
      </c>
      <c r="G1510" s="25">
        <f>IF($C1510="","",IFERROR(IF(INDEX(Roster!$E:$E,MATCH($C1510,Roster!$B:$B,0))="","",INDEX(Roster!$E:$E,MATCH($C1510,Roster!$B:$B,0))&amp;""),"—"))</f>
        <v/>
      </c>
      <c r="H1510" s="25">
        <f>IF($C1510="","",IFERROR(IF(INDEX(Roster!$F:$F,MATCH($C1510,Roster!$B:$B,0))="","",INDEX(Roster!$F:$F,MATCH($C1510,Roster!$B:$B,0))&amp;""),"—"))</f>
        <v/>
      </c>
      <c r="I1510" s="25">
        <f>IF($C1510="","",IFERROR(IF(INDEX(Roster!$G:$G,MATCH($C1510,Roster!$B:$B,0))="","",INDEX(Roster!$G:$G,MATCH($C1510,Roster!$B:$B,0))&amp;""),"—"))</f>
        <v/>
      </c>
      <c r="J1510" s="25">
        <f>IF($C1510="","",IFERROR(IF(INDEX(Roster!$I:$I,MATCH($C1510,Roster!$B:$B,0))="","",INDEX(Roster!$I:$I,MATCH($C1510,Roster!$B:$B,0))&amp;""),"—"))</f>
        <v/>
      </c>
      <c r="K1510">
        <f>IF($C1510="","",IFERROR(IF(INDEX(Roster!$J:$J,MATCH($C1510,Roster!$B:$B,0))="","",INDEX(Roster!$J:$J,MATCH($C1510,Roster!$B:$B,0))&amp;""),"—"))</f>
        <v/>
      </c>
      <c r="L1510">
        <f>IF($C1510="","",IFERROR(IF(INDEX(Roster!$K:$K,MATCH($C1510,Roster!$B:$B,0))="","",INDEX(Roster!$K:$K,MATCH($C1510,Roster!$B:$B,0))&amp;""),"—"))</f>
        <v/>
      </c>
      <c r="M1510" s="27" t="n"/>
      <c r="N1510" s="27" t="n"/>
      <c r="O1510" s="25">
        <f>IF($C1510="","",IF($P1510="","—",IF($P1510="Valid (Pass)","Valid","Invalid")))</f>
        <v/>
      </c>
      <c r="P1510" s="27" t="n"/>
      <c r="Q1510" s="27" t="n"/>
      <c r="R1510" s="27" t="n"/>
      <c r="S1510" s="27" t="n"/>
      <c r="T1510" s="25">
        <f>IF($C1510="","",IF(OR(ISNUMBER(SEARCH("quick case",$P1510)),ISNUMBER(SEARCH("quick case",$Q1510))),"Yes","No"))</f>
        <v/>
      </c>
      <c r="U1510" s="25">
        <f>IF($O1510="Invalid",HYPERLINK("mailto:"&amp;$G1510&amp;";"&amp;$I1510&amp;"?cc="&amp;Lists!$E$2&amp;"&amp;subject="&amp;_xlfn.ENCODEURL("[INVALID] Quality audit monitoring completed for "&amp;UPPER($C1510))&amp;"&amp;body="&amp;_xlfn.ENCODEURL("Hi "&amp;$F1510&amp;","&amp;CHAR(10)&amp;"Good day!"&amp;CHAR(10)&amp;CHAR(10)&amp;"A quality monitoring audit has been completed for "&amp;$C1510&amp;"."&amp;CHAR(10)&amp;CHAR(10)&amp;"QUALITY AUDIT DETAILS"&amp;CHAR(10)&amp;"Agent Name: "&amp;$C1510&amp;" (EID "&amp;$D1510&amp;")"&amp;CHAR(10)&amp;"Audit Date: "&amp;TEXT($B1510,"yyyy-mm-dd")&amp;CHAR(10)&amp;"Team Leader: "&amp;$F1510&amp;CHAR(10)&amp;"Case Number: "&amp;$M1510&amp;CHAR(10)&amp;"Transaction ID: "&amp;$N1510&amp;CHAR(10)&amp;"Channel / LOB: "&amp;$K1510&amp;" / "&amp;$L1510&amp;CHAR(10)&amp;"Evaluator: "&amp;$S1510&amp;CHAR(10)&amp;CHAR(10)&amp;"INVALID QUALITY AUDIT DETAILS"&amp;CHAR(10)&amp;"Validation: Invalid"&amp;CHAR(10)&amp;"Invalid Reason: "&amp;$P1510&amp;CHAR(10)&amp;"Expected Resolution Code: "&amp;$Q1510&amp;CHAR(10)&amp;"Remarks: "&amp;LEFT($R1510,600)&amp;CHAR(10)&amp;CHAR(10)&amp;"This is an automated notification from HP Mainstream EQMS."),"✉ Open Email Draft"),"")</f>
        <v/>
      </c>
    </row>
    <row r="1511">
      <c r="A1511" s="25">
        <f>IF($C1511="","","AUD-2026-"&amp;TEXT(ROW()-1,"000000"))</f>
        <v/>
      </c>
      <c r="B1511" s="26" t="n"/>
      <c r="C1511" s="27" t="n"/>
      <c r="D1511" s="25">
        <f>IF($C1511="","",IFERROR(IF(INDEX(Roster!$A:$A,MATCH($C1511,Roster!$B:$B,0))="","",INDEX(Roster!$A:$A,MATCH($C1511,Roster!$B:$B,0))&amp;""),"—"))</f>
        <v/>
      </c>
      <c r="E1511" s="25">
        <f>IF($C1511="","",IFERROR(IF(INDEX(Roster!$C:$C,MATCH($C1511,Roster!$B:$B,0))="","",INDEX(Roster!$C:$C,MATCH($C1511,Roster!$B:$B,0))&amp;""),"—"))</f>
        <v/>
      </c>
      <c r="F1511" s="25">
        <f>IF($C1511="","",IFERROR(IF(INDEX(Roster!$D:$D,MATCH($C1511,Roster!$B:$B,0))="","",INDEX(Roster!$D:$D,MATCH($C1511,Roster!$B:$B,0))&amp;""),"—"))</f>
        <v/>
      </c>
      <c r="G1511" s="25">
        <f>IF($C1511="","",IFERROR(IF(INDEX(Roster!$E:$E,MATCH($C1511,Roster!$B:$B,0))="","",INDEX(Roster!$E:$E,MATCH($C1511,Roster!$B:$B,0))&amp;""),"—"))</f>
        <v/>
      </c>
      <c r="H1511" s="25">
        <f>IF($C1511="","",IFERROR(IF(INDEX(Roster!$F:$F,MATCH($C1511,Roster!$B:$B,0))="","",INDEX(Roster!$F:$F,MATCH($C1511,Roster!$B:$B,0))&amp;""),"—"))</f>
        <v/>
      </c>
      <c r="I1511" s="25">
        <f>IF($C1511="","",IFERROR(IF(INDEX(Roster!$G:$G,MATCH($C1511,Roster!$B:$B,0))="","",INDEX(Roster!$G:$G,MATCH($C1511,Roster!$B:$B,0))&amp;""),"—"))</f>
        <v/>
      </c>
      <c r="J1511" s="25">
        <f>IF($C1511="","",IFERROR(IF(INDEX(Roster!$I:$I,MATCH($C1511,Roster!$B:$B,0))="","",INDEX(Roster!$I:$I,MATCH($C1511,Roster!$B:$B,0))&amp;""),"—"))</f>
        <v/>
      </c>
      <c r="K1511">
        <f>IF($C1511="","",IFERROR(IF(INDEX(Roster!$J:$J,MATCH($C1511,Roster!$B:$B,0))="","",INDEX(Roster!$J:$J,MATCH($C1511,Roster!$B:$B,0))&amp;""),"—"))</f>
        <v/>
      </c>
      <c r="L1511">
        <f>IF($C1511="","",IFERROR(IF(INDEX(Roster!$K:$K,MATCH($C1511,Roster!$B:$B,0))="","",INDEX(Roster!$K:$K,MATCH($C1511,Roster!$B:$B,0))&amp;""),"—"))</f>
        <v/>
      </c>
      <c r="M1511" s="27" t="n"/>
      <c r="N1511" s="27" t="n"/>
      <c r="O1511" s="25">
        <f>IF($C1511="","",IF($P1511="","—",IF($P1511="Valid (Pass)","Valid","Invalid")))</f>
        <v/>
      </c>
      <c r="P1511" s="27" t="n"/>
      <c r="Q1511" s="27" t="n"/>
      <c r="R1511" s="27" t="n"/>
      <c r="S1511" s="27" t="n"/>
      <c r="T1511" s="25">
        <f>IF($C1511="","",IF(OR(ISNUMBER(SEARCH("quick case",$P1511)),ISNUMBER(SEARCH("quick case",$Q1511))),"Yes","No"))</f>
        <v/>
      </c>
      <c r="U1511" s="25">
        <f>IF($O1511="Invalid",HYPERLINK("mailto:"&amp;$G1511&amp;";"&amp;$I1511&amp;"?cc="&amp;Lists!$E$2&amp;"&amp;subject="&amp;_xlfn.ENCODEURL("[INVALID] Quality audit monitoring completed for "&amp;UPPER($C1511))&amp;"&amp;body="&amp;_xlfn.ENCODEURL("Hi "&amp;$F1511&amp;","&amp;CHAR(10)&amp;"Good day!"&amp;CHAR(10)&amp;CHAR(10)&amp;"A quality monitoring audit has been completed for "&amp;$C1511&amp;"."&amp;CHAR(10)&amp;CHAR(10)&amp;"QUALITY AUDIT DETAILS"&amp;CHAR(10)&amp;"Agent Name: "&amp;$C1511&amp;" (EID "&amp;$D1511&amp;")"&amp;CHAR(10)&amp;"Audit Date: "&amp;TEXT($B1511,"yyyy-mm-dd")&amp;CHAR(10)&amp;"Team Leader: "&amp;$F1511&amp;CHAR(10)&amp;"Case Number: "&amp;$M1511&amp;CHAR(10)&amp;"Transaction ID: "&amp;$N1511&amp;CHAR(10)&amp;"Channel / LOB: "&amp;$K1511&amp;" / "&amp;$L1511&amp;CHAR(10)&amp;"Evaluator: "&amp;$S1511&amp;CHAR(10)&amp;CHAR(10)&amp;"INVALID QUALITY AUDIT DETAILS"&amp;CHAR(10)&amp;"Validation: Invalid"&amp;CHAR(10)&amp;"Invalid Reason: "&amp;$P1511&amp;CHAR(10)&amp;"Expected Resolution Code: "&amp;$Q1511&amp;CHAR(10)&amp;"Remarks: "&amp;LEFT($R1511,600)&amp;CHAR(10)&amp;CHAR(10)&amp;"This is an automated notification from HP Mainstream EQMS."),"✉ Open Email Draft"),"")</f>
        <v/>
      </c>
    </row>
    <row r="1512">
      <c r="A1512" s="25">
        <f>IF($C1512="","","AUD-2026-"&amp;TEXT(ROW()-1,"000000"))</f>
        <v/>
      </c>
      <c r="B1512" s="26" t="n"/>
      <c r="C1512" s="27" t="n"/>
      <c r="D1512" s="25">
        <f>IF($C1512="","",IFERROR(IF(INDEX(Roster!$A:$A,MATCH($C1512,Roster!$B:$B,0))="","",INDEX(Roster!$A:$A,MATCH($C1512,Roster!$B:$B,0))&amp;""),"—"))</f>
        <v/>
      </c>
      <c r="E1512" s="25">
        <f>IF($C1512="","",IFERROR(IF(INDEX(Roster!$C:$C,MATCH($C1512,Roster!$B:$B,0))="","",INDEX(Roster!$C:$C,MATCH($C1512,Roster!$B:$B,0))&amp;""),"—"))</f>
        <v/>
      </c>
      <c r="F1512" s="25">
        <f>IF($C1512="","",IFERROR(IF(INDEX(Roster!$D:$D,MATCH($C1512,Roster!$B:$B,0))="","",INDEX(Roster!$D:$D,MATCH($C1512,Roster!$B:$B,0))&amp;""),"—"))</f>
        <v/>
      </c>
      <c r="G1512" s="25">
        <f>IF($C1512="","",IFERROR(IF(INDEX(Roster!$E:$E,MATCH($C1512,Roster!$B:$B,0))="","",INDEX(Roster!$E:$E,MATCH($C1512,Roster!$B:$B,0))&amp;""),"—"))</f>
        <v/>
      </c>
      <c r="H1512" s="25">
        <f>IF($C1512="","",IFERROR(IF(INDEX(Roster!$F:$F,MATCH($C1512,Roster!$B:$B,0))="","",INDEX(Roster!$F:$F,MATCH($C1512,Roster!$B:$B,0))&amp;""),"—"))</f>
        <v/>
      </c>
      <c r="I1512" s="25">
        <f>IF($C1512="","",IFERROR(IF(INDEX(Roster!$G:$G,MATCH($C1512,Roster!$B:$B,0))="","",INDEX(Roster!$G:$G,MATCH($C1512,Roster!$B:$B,0))&amp;""),"—"))</f>
        <v/>
      </c>
      <c r="J1512" s="25">
        <f>IF($C1512="","",IFERROR(IF(INDEX(Roster!$I:$I,MATCH($C1512,Roster!$B:$B,0))="","",INDEX(Roster!$I:$I,MATCH($C1512,Roster!$B:$B,0))&amp;""),"—"))</f>
        <v/>
      </c>
      <c r="K1512">
        <f>IF($C1512="","",IFERROR(IF(INDEX(Roster!$J:$J,MATCH($C1512,Roster!$B:$B,0))="","",INDEX(Roster!$J:$J,MATCH($C1512,Roster!$B:$B,0))&amp;""),"—"))</f>
        <v/>
      </c>
      <c r="L1512">
        <f>IF($C1512="","",IFERROR(IF(INDEX(Roster!$K:$K,MATCH($C1512,Roster!$B:$B,0))="","",INDEX(Roster!$K:$K,MATCH($C1512,Roster!$B:$B,0))&amp;""),"—"))</f>
        <v/>
      </c>
      <c r="M1512" s="27" t="n"/>
      <c r="N1512" s="27" t="n"/>
      <c r="O1512" s="25">
        <f>IF($C1512="","",IF($P1512="","—",IF($P1512="Valid (Pass)","Valid","Invalid")))</f>
        <v/>
      </c>
      <c r="P1512" s="27" t="n"/>
      <c r="Q1512" s="27" t="n"/>
      <c r="R1512" s="27" t="n"/>
      <c r="S1512" s="27" t="n"/>
      <c r="T1512" s="25">
        <f>IF($C1512="","",IF(OR(ISNUMBER(SEARCH("quick case",$P1512)),ISNUMBER(SEARCH("quick case",$Q1512))),"Yes","No"))</f>
        <v/>
      </c>
      <c r="U1512" s="25">
        <f>IF($O1512="Invalid",HYPERLINK("mailto:"&amp;$G1512&amp;";"&amp;$I1512&amp;"?cc="&amp;Lists!$E$2&amp;"&amp;subject="&amp;_xlfn.ENCODEURL("[INVALID] Quality audit monitoring completed for "&amp;UPPER($C1512))&amp;"&amp;body="&amp;_xlfn.ENCODEURL("Hi "&amp;$F1512&amp;","&amp;CHAR(10)&amp;"Good day!"&amp;CHAR(10)&amp;CHAR(10)&amp;"A quality monitoring audit has been completed for "&amp;$C1512&amp;"."&amp;CHAR(10)&amp;CHAR(10)&amp;"QUALITY AUDIT DETAILS"&amp;CHAR(10)&amp;"Agent Name: "&amp;$C1512&amp;" (EID "&amp;$D1512&amp;")"&amp;CHAR(10)&amp;"Audit Date: "&amp;TEXT($B1512,"yyyy-mm-dd")&amp;CHAR(10)&amp;"Team Leader: "&amp;$F1512&amp;CHAR(10)&amp;"Case Number: "&amp;$M1512&amp;CHAR(10)&amp;"Transaction ID: "&amp;$N1512&amp;CHAR(10)&amp;"Channel / LOB: "&amp;$K1512&amp;" / "&amp;$L1512&amp;CHAR(10)&amp;"Evaluator: "&amp;$S1512&amp;CHAR(10)&amp;CHAR(10)&amp;"INVALID QUALITY AUDIT DETAILS"&amp;CHAR(10)&amp;"Validation: Invalid"&amp;CHAR(10)&amp;"Invalid Reason: "&amp;$P1512&amp;CHAR(10)&amp;"Expected Resolution Code: "&amp;$Q1512&amp;CHAR(10)&amp;"Remarks: "&amp;LEFT($R1512,600)&amp;CHAR(10)&amp;CHAR(10)&amp;"This is an automated notification from HP Mainstream EQMS."),"✉ Open Email Draft"),"")</f>
        <v/>
      </c>
    </row>
    <row r="1513">
      <c r="A1513" s="25">
        <f>IF($C1513="","","AUD-2026-"&amp;TEXT(ROW()-1,"000000"))</f>
        <v/>
      </c>
      <c r="B1513" s="26" t="n"/>
      <c r="C1513" s="27" t="n"/>
      <c r="D1513" s="25">
        <f>IF($C1513="","",IFERROR(IF(INDEX(Roster!$A:$A,MATCH($C1513,Roster!$B:$B,0))="","",INDEX(Roster!$A:$A,MATCH($C1513,Roster!$B:$B,0))&amp;""),"—"))</f>
        <v/>
      </c>
      <c r="E1513" s="25">
        <f>IF($C1513="","",IFERROR(IF(INDEX(Roster!$C:$C,MATCH($C1513,Roster!$B:$B,0))="","",INDEX(Roster!$C:$C,MATCH($C1513,Roster!$B:$B,0))&amp;""),"—"))</f>
        <v/>
      </c>
      <c r="F1513" s="25">
        <f>IF($C1513="","",IFERROR(IF(INDEX(Roster!$D:$D,MATCH($C1513,Roster!$B:$B,0))="","",INDEX(Roster!$D:$D,MATCH($C1513,Roster!$B:$B,0))&amp;""),"—"))</f>
        <v/>
      </c>
      <c r="G1513" s="25">
        <f>IF($C1513="","",IFERROR(IF(INDEX(Roster!$E:$E,MATCH($C1513,Roster!$B:$B,0))="","",INDEX(Roster!$E:$E,MATCH($C1513,Roster!$B:$B,0))&amp;""),"—"))</f>
        <v/>
      </c>
      <c r="H1513" s="25">
        <f>IF($C1513="","",IFERROR(IF(INDEX(Roster!$F:$F,MATCH($C1513,Roster!$B:$B,0))="","",INDEX(Roster!$F:$F,MATCH($C1513,Roster!$B:$B,0))&amp;""),"—"))</f>
        <v/>
      </c>
      <c r="I1513" s="25">
        <f>IF($C1513="","",IFERROR(IF(INDEX(Roster!$G:$G,MATCH($C1513,Roster!$B:$B,0))="","",INDEX(Roster!$G:$G,MATCH($C1513,Roster!$B:$B,0))&amp;""),"—"))</f>
        <v/>
      </c>
      <c r="J1513" s="25">
        <f>IF($C1513="","",IFERROR(IF(INDEX(Roster!$I:$I,MATCH($C1513,Roster!$B:$B,0))="","",INDEX(Roster!$I:$I,MATCH($C1513,Roster!$B:$B,0))&amp;""),"—"))</f>
        <v/>
      </c>
      <c r="K1513">
        <f>IF($C1513="","",IFERROR(IF(INDEX(Roster!$J:$J,MATCH($C1513,Roster!$B:$B,0))="","",INDEX(Roster!$J:$J,MATCH($C1513,Roster!$B:$B,0))&amp;""),"—"))</f>
        <v/>
      </c>
      <c r="L1513">
        <f>IF($C1513="","",IFERROR(IF(INDEX(Roster!$K:$K,MATCH($C1513,Roster!$B:$B,0))="","",INDEX(Roster!$K:$K,MATCH($C1513,Roster!$B:$B,0))&amp;""),"—"))</f>
        <v/>
      </c>
      <c r="M1513" s="27" t="n"/>
      <c r="N1513" s="27" t="n"/>
      <c r="O1513" s="25">
        <f>IF($C1513="","",IF($P1513="","—",IF($P1513="Valid (Pass)","Valid","Invalid")))</f>
        <v/>
      </c>
      <c r="P1513" s="27" t="n"/>
      <c r="Q1513" s="27" t="n"/>
      <c r="R1513" s="27" t="n"/>
      <c r="S1513" s="27" t="n"/>
      <c r="T1513" s="25">
        <f>IF($C1513="","",IF(OR(ISNUMBER(SEARCH("quick case",$P1513)),ISNUMBER(SEARCH("quick case",$Q1513))),"Yes","No"))</f>
        <v/>
      </c>
      <c r="U1513" s="25">
        <f>IF($O1513="Invalid",HYPERLINK("mailto:"&amp;$G1513&amp;";"&amp;$I1513&amp;"?cc="&amp;Lists!$E$2&amp;"&amp;subject="&amp;_xlfn.ENCODEURL("[INVALID] Quality audit monitoring completed for "&amp;UPPER($C1513))&amp;"&amp;body="&amp;_xlfn.ENCODEURL("Hi "&amp;$F1513&amp;","&amp;CHAR(10)&amp;"Good day!"&amp;CHAR(10)&amp;CHAR(10)&amp;"A quality monitoring audit has been completed for "&amp;$C1513&amp;"."&amp;CHAR(10)&amp;CHAR(10)&amp;"QUALITY AUDIT DETAILS"&amp;CHAR(10)&amp;"Agent Name: "&amp;$C1513&amp;" (EID "&amp;$D1513&amp;")"&amp;CHAR(10)&amp;"Audit Date: "&amp;TEXT($B1513,"yyyy-mm-dd")&amp;CHAR(10)&amp;"Team Leader: "&amp;$F1513&amp;CHAR(10)&amp;"Case Number: "&amp;$M1513&amp;CHAR(10)&amp;"Transaction ID: "&amp;$N1513&amp;CHAR(10)&amp;"Channel / LOB: "&amp;$K1513&amp;" / "&amp;$L1513&amp;CHAR(10)&amp;"Evaluator: "&amp;$S1513&amp;CHAR(10)&amp;CHAR(10)&amp;"INVALID QUALITY AUDIT DETAILS"&amp;CHAR(10)&amp;"Validation: Invalid"&amp;CHAR(10)&amp;"Invalid Reason: "&amp;$P1513&amp;CHAR(10)&amp;"Expected Resolution Code: "&amp;$Q1513&amp;CHAR(10)&amp;"Remarks: "&amp;LEFT($R1513,600)&amp;CHAR(10)&amp;CHAR(10)&amp;"This is an automated notification from HP Mainstream EQMS."),"✉ Open Email Draft"),"")</f>
        <v/>
      </c>
    </row>
    <row r="1514">
      <c r="A1514" s="25">
        <f>IF($C1514="","","AUD-2026-"&amp;TEXT(ROW()-1,"000000"))</f>
        <v/>
      </c>
      <c r="B1514" s="26" t="n"/>
      <c r="C1514" s="27" t="n"/>
      <c r="D1514" s="25">
        <f>IF($C1514="","",IFERROR(IF(INDEX(Roster!$A:$A,MATCH($C1514,Roster!$B:$B,0))="","",INDEX(Roster!$A:$A,MATCH($C1514,Roster!$B:$B,0))&amp;""),"—"))</f>
        <v/>
      </c>
      <c r="E1514" s="25">
        <f>IF($C1514="","",IFERROR(IF(INDEX(Roster!$C:$C,MATCH($C1514,Roster!$B:$B,0))="","",INDEX(Roster!$C:$C,MATCH($C1514,Roster!$B:$B,0))&amp;""),"—"))</f>
        <v/>
      </c>
      <c r="F1514" s="25">
        <f>IF($C1514="","",IFERROR(IF(INDEX(Roster!$D:$D,MATCH($C1514,Roster!$B:$B,0))="","",INDEX(Roster!$D:$D,MATCH($C1514,Roster!$B:$B,0))&amp;""),"—"))</f>
        <v/>
      </c>
      <c r="G1514" s="25">
        <f>IF($C1514="","",IFERROR(IF(INDEX(Roster!$E:$E,MATCH($C1514,Roster!$B:$B,0))="","",INDEX(Roster!$E:$E,MATCH($C1514,Roster!$B:$B,0))&amp;""),"—"))</f>
        <v/>
      </c>
      <c r="H1514" s="25">
        <f>IF($C1514="","",IFERROR(IF(INDEX(Roster!$F:$F,MATCH($C1514,Roster!$B:$B,0))="","",INDEX(Roster!$F:$F,MATCH($C1514,Roster!$B:$B,0))&amp;""),"—"))</f>
        <v/>
      </c>
      <c r="I1514" s="25">
        <f>IF($C1514="","",IFERROR(IF(INDEX(Roster!$G:$G,MATCH($C1514,Roster!$B:$B,0))="","",INDEX(Roster!$G:$G,MATCH($C1514,Roster!$B:$B,0))&amp;""),"—"))</f>
        <v/>
      </c>
      <c r="J1514" s="25">
        <f>IF($C1514="","",IFERROR(IF(INDEX(Roster!$I:$I,MATCH($C1514,Roster!$B:$B,0))="","",INDEX(Roster!$I:$I,MATCH($C1514,Roster!$B:$B,0))&amp;""),"—"))</f>
        <v/>
      </c>
      <c r="K1514">
        <f>IF($C1514="","",IFERROR(IF(INDEX(Roster!$J:$J,MATCH($C1514,Roster!$B:$B,0))="","",INDEX(Roster!$J:$J,MATCH($C1514,Roster!$B:$B,0))&amp;""),"—"))</f>
        <v/>
      </c>
      <c r="L1514">
        <f>IF($C1514="","",IFERROR(IF(INDEX(Roster!$K:$K,MATCH($C1514,Roster!$B:$B,0))="","",INDEX(Roster!$K:$K,MATCH($C1514,Roster!$B:$B,0))&amp;""),"—"))</f>
        <v/>
      </c>
      <c r="M1514" s="27" t="n"/>
      <c r="N1514" s="27" t="n"/>
      <c r="O1514" s="25">
        <f>IF($C1514="","",IF($P1514="","—",IF($P1514="Valid (Pass)","Valid","Invalid")))</f>
        <v/>
      </c>
      <c r="P1514" s="27" t="n"/>
      <c r="Q1514" s="27" t="n"/>
      <c r="R1514" s="27" t="n"/>
      <c r="S1514" s="27" t="n"/>
      <c r="T1514" s="25">
        <f>IF($C1514="","",IF(OR(ISNUMBER(SEARCH("quick case",$P1514)),ISNUMBER(SEARCH("quick case",$Q1514))),"Yes","No"))</f>
        <v/>
      </c>
      <c r="U1514" s="25">
        <f>IF($O1514="Invalid",HYPERLINK("mailto:"&amp;$G1514&amp;";"&amp;$I1514&amp;"?cc="&amp;Lists!$E$2&amp;"&amp;subject="&amp;_xlfn.ENCODEURL("[INVALID] Quality audit monitoring completed for "&amp;UPPER($C1514))&amp;"&amp;body="&amp;_xlfn.ENCODEURL("Hi "&amp;$F1514&amp;","&amp;CHAR(10)&amp;"Good day!"&amp;CHAR(10)&amp;CHAR(10)&amp;"A quality monitoring audit has been completed for "&amp;$C1514&amp;"."&amp;CHAR(10)&amp;CHAR(10)&amp;"QUALITY AUDIT DETAILS"&amp;CHAR(10)&amp;"Agent Name: "&amp;$C1514&amp;" (EID "&amp;$D1514&amp;")"&amp;CHAR(10)&amp;"Audit Date: "&amp;TEXT($B1514,"yyyy-mm-dd")&amp;CHAR(10)&amp;"Team Leader: "&amp;$F1514&amp;CHAR(10)&amp;"Case Number: "&amp;$M1514&amp;CHAR(10)&amp;"Transaction ID: "&amp;$N1514&amp;CHAR(10)&amp;"Channel / LOB: "&amp;$K1514&amp;" / "&amp;$L1514&amp;CHAR(10)&amp;"Evaluator: "&amp;$S1514&amp;CHAR(10)&amp;CHAR(10)&amp;"INVALID QUALITY AUDIT DETAILS"&amp;CHAR(10)&amp;"Validation: Invalid"&amp;CHAR(10)&amp;"Invalid Reason: "&amp;$P1514&amp;CHAR(10)&amp;"Expected Resolution Code: "&amp;$Q1514&amp;CHAR(10)&amp;"Remarks: "&amp;LEFT($R1514,600)&amp;CHAR(10)&amp;CHAR(10)&amp;"This is an automated notification from HP Mainstream EQMS."),"✉ Open Email Draft"),"")</f>
        <v/>
      </c>
    </row>
    <row r="1515">
      <c r="A1515" s="25">
        <f>IF($C1515="","","AUD-2026-"&amp;TEXT(ROW()-1,"000000"))</f>
        <v/>
      </c>
      <c r="B1515" s="26" t="n"/>
      <c r="C1515" s="27" t="n"/>
      <c r="D1515" s="25">
        <f>IF($C1515="","",IFERROR(IF(INDEX(Roster!$A:$A,MATCH($C1515,Roster!$B:$B,0))="","",INDEX(Roster!$A:$A,MATCH($C1515,Roster!$B:$B,0))&amp;""),"—"))</f>
        <v/>
      </c>
      <c r="E1515" s="25">
        <f>IF($C1515="","",IFERROR(IF(INDEX(Roster!$C:$C,MATCH($C1515,Roster!$B:$B,0))="","",INDEX(Roster!$C:$C,MATCH($C1515,Roster!$B:$B,0))&amp;""),"—"))</f>
        <v/>
      </c>
      <c r="F1515" s="25">
        <f>IF($C1515="","",IFERROR(IF(INDEX(Roster!$D:$D,MATCH($C1515,Roster!$B:$B,0))="","",INDEX(Roster!$D:$D,MATCH($C1515,Roster!$B:$B,0))&amp;""),"—"))</f>
        <v/>
      </c>
      <c r="G1515" s="25">
        <f>IF($C1515="","",IFERROR(IF(INDEX(Roster!$E:$E,MATCH($C1515,Roster!$B:$B,0))="","",INDEX(Roster!$E:$E,MATCH($C1515,Roster!$B:$B,0))&amp;""),"—"))</f>
        <v/>
      </c>
      <c r="H1515" s="25">
        <f>IF($C1515="","",IFERROR(IF(INDEX(Roster!$F:$F,MATCH($C1515,Roster!$B:$B,0))="","",INDEX(Roster!$F:$F,MATCH($C1515,Roster!$B:$B,0))&amp;""),"—"))</f>
        <v/>
      </c>
      <c r="I1515" s="25">
        <f>IF($C1515="","",IFERROR(IF(INDEX(Roster!$G:$G,MATCH($C1515,Roster!$B:$B,0))="","",INDEX(Roster!$G:$G,MATCH($C1515,Roster!$B:$B,0))&amp;""),"—"))</f>
        <v/>
      </c>
      <c r="J1515" s="25">
        <f>IF($C1515="","",IFERROR(IF(INDEX(Roster!$I:$I,MATCH($C1515,Roster!$B:$B,0))="","",INDEX(Roster!$I:$I,MATCH($C1515,Roster!$B:$B,0))&amp;""),"—"))</f>
        <v/>
      </c>
      <c r="K1515">
        <f>IF($C1515="","",IFERROR(IF(INDEX(Roster!$J:$J,MATCH($C1515,Roster!$B:$B,0))="","",INDEX(Roster!$J:$J,MATCH($C1515,Roster!$B:$B,0))&amp;""),"—"))</f>
        <v/>
      </c>
      <c r="L1515">
        <f>IF($C1515="","",IFERROR(IF(INDEX(Roster!$K:$K,MATCH($C1515,Roster!$B:$B,0))="","",INDEX(Roster!$K:$K,MATCH($C1515,Roster!$B:$B,0))&amp;""),"—"))</f>
        <v/>
      </c>
      <c r="M1515" s="27" t="n"/>
      <c r="N1515" s="27" t="n"/>
      <c r="O1515" s="25">
        <f>IF($C1515="","",IF($P1515="","—",IF($P1515="Valid (Pass)","Valid","Invalid")))</f>
        <v/>
      </c>
      <c r="P1515" s="27" t="n"/>
      <c r="Q1515" s="27" t="n"/>
      <c r="R1515" s="27" t="n"/>
      <c r="S1515" s="27" t="n"/>
      <c r="T1515" s="25">
        <f>IF($C1515="","",IF(OR(ISNUMBER(SEARCH("quick case",$P1515)),ISNUMBER(SEARCH("quick case",$Q1515))),"Yes","No"))</f>
        <v/>
      </c>
      <c r="U1515" s="25">
        <f>IF($O1515="Invalid",HYPERLINK("mailto:"&amp;$G1515&amp;";"&amp;$I1515&amp;"?cc="&amp;Lists!$E$2&amp;"&amp;subject="&amp;_xlfn.ENCODEURL("[INVALID] Quality audit monitoring completed for "&amp;UPPER($C1515))&amp;"&amp;body="&amp;_xlfn.ENCODEURL("Hi "&amp;$F1515&amp;","&amp;CHAR(10)&amp;"Good day!"&amp;CHAR(10)&amp;CHAR(10)&amp;"A quality monitoring audit has been completed for "&amp;$C1515&amp;"."&amp;CHAR(10)&amp;CHAR(10)&amp;"QUALITY AUDIT DETAILS"&amp;CHAR(10)&amp;"Agent Name: "&amp;$C1515&amp;" (EID "&amp;$D1515&amp;")"&amp;CHAR(10)&amp;"Audit Date: "&amp;TEXT($B1515,"yyyy-mm-dd")&amp;CHAR(10)&amp;"Team Leader: "&amp;$F1515&amp;CHAR(10)&amp;"Case Number: "&amp;$M1515&amp;CHAR(10)&amp;"Transaction ID: "&amp;$N1515&amp;CHAR(10)&amp;"Channel / LOB: "&amp;$K1515&amp;" / "&amp;$L1515&amp;CHAR(10)&amp;"Evaluator: "&amp;$S1515&amp;CHAR(10)&amp;CHAR(10)&amp;"INVALID QUALITY AUDIT DETAILS"&amp;CHAR(10)&amp;"Validation: Invalid"&amp;CHAR(10)&amp;"Invalid Reason: "&amp;$P1515&amp;CHAR(10)&amp;"Expected Resolution Code: "&amp;$Q1515&amp;CHAR(10)&amp;"Remarks: "&amp;LEFT($R1515,600)&amp;CHAR(10)&amp;CHAR(10)&amp;"This is an automated notification from HP Mainstream EQMS."),"✉ Open Email Draft"),"")</f>
        <v/>
      </c>
    </row>
    <row r="1516">
      <c r="A1516" s="25">
        <f>IF($C1516="","","AUD-2026-"&amp;TEXT(ROW()-1,"000000"))</f>
        <v/>
      </c>
      <c r="B1516" s="26" t="n"/>
      <c r="C1516" s="27" t="n"/>
      <c r="D1516" s="25">
        <f>IF($C1516="","",IFERROR(IF(INDEX(Roster!$A:$A,MATCH($C1516,Roster!$B:$B,0))="","",INDEX(Roster!$A:$A,MATCH($C1516,Roster!$B:$B,0))&amp;""),"—"))</f>
        <v/>
      </c>
      <c r="E1516" s="25">
        <f>IF($C1516="","",IFERROR(IF(INDEX(Roster!$C:$C,MATCH($C1516,Roster!$B:$B,0))="","",INDEX(Roster!$C:$C,MATCH($C1516,Roster!$B:$B,0))&amp;""),"—"))</f>
        <v/>
      </c>
      <c r="F1516" s="25">
        <f>IF($C1516="","",IFERROR(IF(INDEX(Roster!$D:$D,MATCH($C1516,Roster!$B:$B,0))="","",INDEX(Roster!$D:$D,MATCH($C1516,Roster!$B:$B,0))&amp;""),"—"))</f>
        <v/>
      </c>
      <c r="G1516" s="25">
        <f>IF($C1516="","",IFERROR(IF(INDEX(Roster!$E:$E,MATCH($C1516,Roster!$B:$B,0))="","",INDEX(Roster!$E:$E,MATCH($C1516,Roster!$B:$B,0))&amp;""),"—"))</f>
        <v/>
      </c>
      <c r="H1516" s="25">
        <f>IF($C1516="","",IFERROR(IF(INDEX(Roster!$F:$F,MATCH($C1516,Roster!$B:$B,0))="","",INDEX(Roster!$F:$F,MATCH($C1516,Roster!$B:$B,0))&amp;""),"—"))</f>
        <v/>
      </c>
      <c r="I1516" s="25">
        <f>IF($C1516="","",IFERROR(IF(INDEX(Roster!$G:$G,MATCH($C1516,Roster!$B:$B,0))="","",INDEX(Roster!$G:$G,MATCH($C1516,Roster!$B:$B,0))&amp;""),"—"))</f>
        <v/>
      </c>
      <c r="J1516" s="25">
        <f>IF($C1516="","",IFERROR(IF(INDEX(Roster!$I:$I,MATCH($C1516,Roster!$B:$B,0))="","",INDEX(Roster!$I:$I,MATCH($C1516,Roster!$B:$B,0))&amp;""),"—"))</f>
        <v/>
      </c>
      <c r="K1516">
        <f>IF($C1516="","",IFERROR(IF(INDEX(Roster!$J:$J,MATCH($C1516,Roster!$B:$B,0))="","",INDEX(Roster!$J:$J,MATCH($C1516,Roster!$B:$B,0))&amp;""),"—"))</f>
        <v/>
      </c>
      <c r="L1516">
        <f>IF($C1516="","",IFERROR(IF(INDEX(Roster!$K:$K,MATCH($C1516,Roster!$B:$B,0))="","",INDEX(Roster!$K:$K,MATCH($C1516,Roster!$B:$B,0))&amp;""),"—"))</f>
        <v/>
      </c>
      <c r="M1516" s="27" t="n"/>
      <c r="N1516" s="27" t="n"/>
      <c r="O1516" s="25">
        <f>IF($C1516="","",IF($P1516="","—",IF($P1516="Valid (Pass)","Valid","Invalid")))</f>
        <v/>
      </c>
      <c r="P1516" s="27" t="n"/>
      <c r="Q1516" s="27" t="n"/>
      <c r="R1516" s="27" t="n"/>
      <c r="S1516" s="27" t="n"/>
      <c r="T1516" s="25">
        <f>IF($C1516="","",IF(OR(ISNUMBER(SEARCH("quick case",$P1516)),ISNUMBER(SEARCH("quick case",$Q1516))),"Yes","No"))</f>
        <v/>
      </c>
      <c r="U1516" s="25">
        <f>IF($O1516="Invalid",HYPERLINK("mailto:"&amp;$G1516&amp;";"&amp;$I1516&amp;"?cc="&amp;Lists!$E$2&amp;"&amp;subject="&amp;_xlfn.ENCODEURL("[INVALID] Quality audit monitoring completed for "&amp;UPPER($C1516))&amp;"&amp;body="&amp;_xlfn.ENCODEURL("Hi "&amp;$F1516&amp;","&amp;CHAR(10)&amp;"Good day!"&amp;CHAR(10)&amp;CHAR(10)&amp;"A quality monitoring audit has been completed for "&amp;$C1516&amp;"."&amp;CHAR(10)&amp;CHAR(10)&amp;"QUALITY AUDIT DETAILS"&amp;CHAR(10)&amp;"Agent Name: "&amp;$C1516&amp;" (EID "&amp;$D1516&amp;")"&amp;CHAR(10)&amp;"Audit Date: "&amp;TEXT($B1516,"yyyy-mm-dd")&amp;CHAR(10)&amp;"Team Leader: "&amp;$F1516&amp;CHAR(10)&amp;"Case Number: "&amp;$M1516&amp;CHAR(10)&amp;"Transaction ID: "&amp;$N1516&amp;CHAR(10)&amp;"Channel / LOB: "&amp;$K1516&amp;" / "&amp;$L1516&amp;CHAR(10)&amp;"Evaluator: "&amp;$S1516&amp;CHAR(10)&amp;CHAR(10)&amp;"INVALID QUALITY AUDIT DETAILS"&amp;CHAR(10)&amp;"Validation: Invalid"&amp;CHAR(10)&amp;"Invalid Reason: "&amp;$P1516&amp;CHAR(10)&amp;"Expected Resolution Code: "&amp;$Q1516&amp;CHAR(10)&amp;"Remarks: "&amp;LEFT($R1516,600)&amp;CHAR(10)&amp;CHAR(10)&amp;"This is an automated notification from HP Mainstream EQMS."),"✉ Open Email Draft"),"")</f>
        <v/>
      </c>
    </row>
    <row r="1517">
      <c r="A1517" s="25">
        <f>IF($C1517="","","AUD-2026-"&amp;TEXT(ROW()-1,"000000"))</f>
        <v/>
      </c>
      <c r="B1517" s="26" t="n"/>
      <c r="C1517" s="27" t="n"/>
      <c r="D1517" s="25">
        <f>IF($C1517="","",IFERROR(IF(INDEX(Roster!$A:$A,MATCH($C1517,Roster!$B:$B,0))="","",INDEX(Roster!$A:$A,MATCH($C1517,Roster!$B:$B,0))&amp;""),"—"))</f>
        <v/>
      </c>
      <c r="E1517" s="25">
        <f>IF($C1517="","",IFERROR(IF(INDEX(Roster!$C:$C,MATCH($C1517,Roster!$B:$B,0))="","",INDEX(Roster!$C:$C,MATCH($C1517,Roster!$B:$B,0))&amp;""),"—"))</f>
        <v/>
      </c>
      <c r="F1517" s="25">
        <f>IF($C1517="","",IFERROR(IF(INDEX(Roster!$D:$D,MATCH($C1517,Roster!$B:$B,0))="","",INDEX(Roster!$D:$D,MATCH($C1517,Roster!$B:$B,0))&amp;""),"—"))</f>
        <v/>
      </c>
      <c r="G1517" s="25">
        <f>IF($C1517="","",IFERROR(IF(INDEX(Roster!$E:$E,MATCH($C1517,Roster!$B:$B,0))="","",INDEX(Roster!$E:$E,MATCH($C1517,Roster!$B:$B,0))&amp;""),"—"))</f>
        <v/>
      </c>
      <c r="H1517" s="25">
        <f>IF($C1517="","",IFERROR(IF(INDEX(Roster!$F:$F,MATCH($C1517,Roster!$B:$B,0))="","",INDEX(Roster!$F:$F,MATCH($C1517,Roster!$B:$B,0))&amp;""),"—"))</f>
        <v/>
      </c>
      <c r="I1517" s="25">
        <f>IF($C1517="","",IFERROR(IF(INDEX(Roster!$G:$G,MATCH($C1517,Roster!$B:$B,0))="","",INDEX(Roster!$G:$G,MATCH($C1517,Roster!$B:$B,0))&amp;""),"—"))</f>
        <v/>
      </c>
      <c r="J1517" s="25">
        <f>IF($C1517="","",IFERROR(IF(INDEX(Roster!$I:$I,MATCH($C1517,Roster!$B:$B,0))="","",INDEX(Roster!$I:$I,MATCH($C1517,Roster!$B:$B,0))&amp;""),"—"))</f>
        <v/>
      </c>
      <c r="K1517">
        <f>IF($C1517="","",IFERROR(IF(INDEX(Roster!$J:$J,MATCH($C1517,Roster!$B:$B,0))="","",INDEX(Roster!$J:$J,MATCH($C1517,Roster!$B:$B,0))&amp;""),"—"))</f>
        <v/>
      </c>
      <c r="L1517">
        <f>IF($C1517="","",IFERROR(IF(INDEX(Roster!$K:$K,MATCH($C1517,Roster!$B:$B,0))="","",INDEX(Roster!$K:$K,MATCH($C1517,Roster!$B:$B,0))&amp;""),"—"))</f>
        <v/>
      </c>
      <c r="M1517" s="27" t="n"/>
      <c r="N1517" s="27" t="n"/>
      <c r="O1517" s="25">
        <f>IF($C1517="","",IF($P1517="","—",IF($P1517="Valid (Pass)","Valid","Invalid")))</f>
        <v/>
      </c>
      <c r="P1517" s="27" t="n"/>
      <c r="Q1517" s="27" t="n"/>
      <c r="R1517" s="27" t="n"/>
      <c r="S1517" s="27" t="n"/>
      <c r="T1517" s="25">
        <f>IF($C1517="","",IF(OR(ISNUMBER(SEARCH("quick case",$P1517)),ISNUMBER(SEARCH("quick case",$Q1517))),"Yes","No"))</f>
        <v/>
      </c>
      <c r="U1517" s="25">
        <f>IF($O1517="Invalid",HYPERLINK("mailto:"&amp;$G1517&amp;";"&amp;$I1517&amp;"?cc="&amp;Lists!$E$2&amp;"&amp;subject="&amp;_xlfn.ENCODEURL("[INVALID] Quality audit monitoring completed for "&amp;UPPER($C1517))&amp;"&amp;body="&amp;_xlfn.ENCODEURL("Hi "&amp;$F1517&amp;","&amp;CHAR(10)&amp;"Good day!"&amp;CHAR(10)&amp;CHAR(10)&amp;"A quality monitoring audit has been completed for "&amp;$C1517&amp;"."&amp;CHAR(10)&amp;CHAR(10)&amp;"QUALITY AUDIT DETAILS"&amp;CHAR(10)&amp;"Agent Name: "&amp;$C1517&amp;" (EID "&amp;$D1517&amp;")"&amp;CHAR(10)&amp;"Audit Date: "&amp;TEXT($B1517,"yyyy-mm-dd")&amp;CHAR(10)&amp;"Team Leader: "&amp;$F1517&amp;CHAR(10)&amp;"Case Number: "&amp;$M1517&amp;CHAR(10)&amp;"Transaction ID: "&amp;$N1517&amp;CHAR(10)&amp;"Channel / LOB: "&amp;$K1517&amp;" / "&amp;$L1517&amp;CHAR(10)&amp;"Evaluator: "&amp;$S1517&amp;CHAR(10)&amp;CHAR(10)&amp;"INVALID QUALITY AUDIT DETAILS"&amp;CHAR(10)&amp;"Validation: Invalid"&amp;CHAR(10)&amp;"Invalid Reason: "&amp;$P1517&amp;CHAR(10)&amp;"Expected Resolution Code: "&amp;$Q1517&amp;CHAR(10)&amp;"Remarks: "&amp;LEFT($R1517,600)&amp;CHAR(10)&amp;CHAR(10)&amp;"This is an automated notification from HP Mainstream EQMS."),"✉ Open Email Draft"),"")</f>
        <v/>
      </c>
    </row>
    <row r="1518">
      <c r="A1518" s="25">
        <f>IF($C1518="","","AUD-2026-"&amp;TEXT(ROW()-1,"000000"))</f>
        <v/>
      </c>
      <c r="B1518" s="26" t="n"/>
      <c r="C1518" s="27" t="n"/>
      <c r="D1518" s="25">
        <f>IF($C1518="","",IFERROR(IF(INDEX(Roster!$A:$A,MATCH($C1518,Roster!$B:$B,0))="","",INDEX(Roster!$A:$A,MATCH($C1518,Roster!$B:$B,0))&amp;""),"—"))</f>
        <v/>
      </c>
      <c r="E1518" s="25">
        <f>IF($C1518="","",IFERROR(IF(INDEX(Roster!$C:$C,MATCH($C1518,Roster!$B:$B,0))="","",INDEX(Roster!$C:$C,MATCH($C1518,Roster!$B:$B,0))&amp;""),"—"))</f>
        <v/>
      </c>
      <c r="F1518" s="25">
        <f>IF($C1518="","",IFERROR(IF(INDEX(Roster!$D:$D,MATCH($C1518,Roster!$B:$B,0))="","",INDEX(Roster!$D:$D,MATCH($C1518,Roster!$B:$B,0))&amp;""),"—"))</f>
        <v/>
      </c>
      <c r="G1518" s="25">
        <f>IF($C1518="","",IFERROR(IF(INDEX(Roster!$E:$E,MATCH($C1518,Roster!$B:$B,0))="","",INDEX(Roster!$E:$E,MATCH($C1518,Roster!$B:$B,0))&amp;""),"—"))</f>
        <v/>
      </c>
      <c r="H1518" s="25">
        <f>IF($C1518="","",IFERROR(IF(INDEX(Roster!$F:$F,MATCH($C1518,Roster!$B:$B,0))="","",INDEX(Roster!$F:$F,MATCH($C1518,Roster!$B:$B,0))&amp;""),"—"))</f>
        <v/>
      </c>
      <c r="I1518" s="25">
        <f>IF($C1518="","",IFERROR(IF(INDEX(Roster!$G:$G,MATCH($C1518,Roster!$B:$B,0))="","",INDEX(Roster!$G:$G,MATCH($C1518,Roster!$B:$B,0))&amp;""),"—"))</f>
        <v/>
      </c>
      <c r="J1518" s="25">
        <f>IF($C1518="","",IFERROR(IF(INDEX(Roster!$I:$I,MATCH($C1518,Roster!$B:$B,0))="","",INDEX(Roster!$I:$I,MATCH($C1518,Roster!$B:$B,0))&amp;""),"—"))</f>
        <v/>
      </c>
      <c r="K1518">
        <f>IF($C1518="","",IFERROR(IF(INDEX(Roster!$J:$J,MATCH($C1518,Roster!$B:$B,0))="","",INDEX(Roster!$J:$J,MATCH($C1518,Roster!$B:$B,0))&amp;""),"—"))</f>
        <v/>
      </c>
      <c r="L1518">
        <f>IF($C1518="","",IFERROR(IF(INDEX(Roster!$K:$K,MATCH($C1518,Roster!$B:$B,0))="","",INDEX(Roster!$K:$K,MATCH($C1518,Roster!$B:$B,0))&amp;""),"—"))</f>
        <v/>
      </c>
      <c r="M1518" s="27" t="n"/>
      <c r="N1518" s="27" t="n"/>
      <c r="O1518" s="25">
        <f>IF($C1518="","",IF($P1518="","—",IF($P1518="Valid (Pass)","Valid","Invalid")))</f>
        <v/>
      </c>
      <c r="P1518" s="27" t="n"/>
      <c r="Q1518" s="27" t="n"/>
      <c r="R1518" s="27" t="n"/>
      <c r="S1518" s="27" t="n"/>
      <c r="T1518" s="25">
        <f>IF($C1518="","",IF(OR(ISNUMBER(SEARCH("quick case",$P1518)),ISNUMBER(SEARCH("quick case",$Q1518))),"Yes","No"))</f>
        <v/>
      </c>
      <c r="U1518" s="25">
        <f>IF($O1518="Invalid",HYPERLINK("mailto:"&amp;$G1518&amp;";"&amp;$I1518&amp;"?cc="&amp;Lists!$E$2&amp;"&amp;subject="&amp;_xlfn.ENCODEURL("[INVALID] Quality audit monitoring completed for "&amp;UPPER($C1518))&amp;"&amp;body="&amp;_xlfn.ENCODEURL("Hi "&amp;$F1518&amp;","&amp;CHAR(10)&amp;"Good day!"&amp;CHAR(10)&amp;CHAR(10)&amp;"A quality monitoring audit has been completed for "&amp;$C1518&amp;"."&amp;CHAR(10)&amp;CHAR(10)&amp;"QUALITY AUDIT DETAILS"&amp;CHAR(10)&amp;"Agent Name: "&amp;$C1518&amp;" (EID "&amp;$D1518&amp;")"&amp;CHAR(10)&amp;"Audit Date: "&amp;TEXT($B1518,"yyyy-mm-dd")&amp;CHAR(10)&amp;"Team Leader: "&amp;$F1518&amp;CHAR(10)&amp;"Case Number: "&amp;$M1518&amp;CHAR(10)&amp;"Transaction ID: "&amp;$N1518&amp;CHAR(10)&amp;"Channel / LOB: "&amp;$K1518&amp;" / "&amp;$L1518&amp;CHAR(10)&amp;"Evaluator: "&amp;$S1518&amp;CHAR(10)&amp;CHAR(10)&amp;"INVALID QUALITY AUDIT DETAILS"&amp;CHAR(10)&amp;"Validation: Invalid"&amp;CHAR(10)&amp;"Invalid Reason: "&amp;$P1518&amp;CHAR(10)&amp;"Expected Resolution Code: "&amp;$Q1518&amp;CHAR(10)&amp;"Remarks: "&amp;LEFT($R1518,600)&amp;CHAR(10)&amp;CHAR(10)&amp;"This is an automated notification from HP Mainstream EQMS."),"✉ Open Email Draft"),"")</f>
        <v/>
      </c>
    </row>
    <row r="1519">
      <c r="A1519" s="25">
        <f>IF($C1519="","","AUD-2026-"&amp;TEXT(ROW()-1,"000000"))</f>
        <v/>
      </c>
      <c r="B1519" s="26" t="n"/>
      <c r="C1519" s="27" t="n"/>
      <c r="D1519" s="25">
        <f>IF($C1519="","",IFERROR(IF(INDEX(Roster!$A:$A,MATCH($C1519,Roster!$B:$B,0))="","",INDEX(Roster!$A:$A,MATCH($C1519,Roster!$B:$B,0))&amp;""),"—"))</f>
        <v/>
      </c>
      <c r="E1519" s="25">
        <f>IF($C1519="","",IFERROR(IF(INDEX(Roster!$C:$C,MATCH($C1519,Roster!$B:$B,0))="","",INDEX(Roster!$C:$C,MATCH($C1519,Roster!$B:$B,0))&amp;""),"—"))</f>
        <v/>
      </c>
      <c r="F1519" s="25">
        <f>IF($C1519="","",IFERROR(IF(INDEX(Roster!$D:$D,MATCH($C1519,Roster!$B:$B,0))="","",INDEX(Roster!$D:$D,MATCH($C1519,Roster!$B:$B,0))&amp;""),"—"))</f>
        <v/>
      </c>
      <c r="G1519" s="25">
        <f>IF($C1519="","",IFERROR(IF(INDEX(Roster!$E:$E,MATCH($C1519,Roster!$B:$B,0))="","",INDEX(Roster!$E:$E,MATCH($C1519,Roster!$B:$B,0))&amp;""),"—"))</f>
        <v/>
      </c>
      <c r="H1519" s="25">
        <f>IF($C1519="","",IFERROR(IF(INDEX(Roster!$F:$F,MATCH($C1519,Roster!$B:$B,0))="","",INDEX(Roster!$F:$F,MATCH($C1519,Roster!$B:$B,0))&amp;""),"—"))</f>
        <v/>
      </c>
      <c r="I1519" s="25">
        <f>IF($C1519="","",IFERROR(IF(INDEX(Roster!$G:$G,MATCH($C1519,Roster!$B:$B,0))="","",INDEX(Roster!$G:$G,MATCH($C1519,Roster!$B:$B,0))&amp;""),"—"))</f>
        <v/>
      </c>
      <c r="J1519" s="25">
        <f>IF($C1519="","",IFERROR(IF(INDEX(Roster!$I:$I,MATCH($C1519,Roster!$B:$B,0))="","",INDEX(Roster!$I:$I,MATCH($C1519,Roster!$B:$B,0))&amp;""),"—"))</f>
        <v/>
      </c>
      <c r="K1519">
        <f>IF($C1519="","",IFERROR(IF(INDEX(Roster!$J:$J,MATCH($C1519,Roster!$B:$B,0))="","",INDEX(Roster!$J:$J,MATCH($C1519,Roster!$B:$B,0))&amp;""),"—"))</f>
        <v/>
      </c>
      <c r="L1519">
        <f>IF($C1519="","",IFERROR(IF(INDEX(Roster!$K:$K,MATCH($C1519,Roster!$B:$B,0))="","",INDEX(Roster!$K:$K,MATCH($C1519,Roster!$B:$B,0))&amp;""),"—"))</f>
        <v/>
      </c>
      <c r="M1519" s="27" t="n"/>
      <c r="N1519" s="27" t="n"/>
      <c r="O1519" s="25">
        <f>IF($C1519="","",IF($P1519="","—",IF($P1519="Valid (Pass)","Valid","Invalid")))</f>
        <v/>
      </c>
      <c r="P1519" s="27" t="n"/>
      <c r="Q1519" s="27" t="n"/>
      <c r="R1519" s="27" t="n"/>
      <c r="S1519" s="27" t="n"/>
      <c r="T1519" s="25">
        <f>IF($C1519="","",IF(OR(ISNUMBER(SEARCH("quick case",$P1519)),ISNUMBER(SEARCH("quick case",$Q1519))),"Yes","No"))</f>
        <v/>
      </c>
      <c r="U1519" s="25">
        <f>IF($O1519="Invalid",HYPERLINK("mailto:"&amp;$G1519&amp;";"&amp;$I1519&amp;"?cc="&amp;Lists!$E$2&amp;"&amp;subject="&amp;_xlfn.ENCODEURL("[INVALID] Quality audit monitoring completed for "&amp;UPPER($C1519))&amp;"&amp;body="&amp;_xlfn.ENCODEURL("Hi "&amp;$F1519&amp;","&amp;CHAR(10)&amp;"Good day!"&amp;CHAR(10)&amp;CHAR(10)&amp;"A quality monitoring audit has been completed for "&amp;$C1519&amp;"."&amp;CHAR(10)&amp;CHAR(10)&amp;"QUALITY AUDIT DETAILS"&amp;CHAR(10)&amp;"Agent Name: "&amp;$C1519&amp;" (EID "&amp;$D1519&amp;")"&amp;CHAR(10)&amp;"Audit Date: "&amp;TEXT($B1519,"yyyy-mm-dd")&amp;CHAR(10)&amp;"Team Leader: "&amp;$F1519&amp;CHAR(10)&amp;"Case Number: "&amp;$M1519&amp;CHAR(10)&amp;"Transaction ID: "&amp;$N1519&amp;CHAR(10)&amp;"Channel / LOB: "&amp;$K1519&amp;" / "&amp;$L1519&amp;CHAR(10)&amp;"Evaluator: "&amp;$S1519&amp;CHAR(10)&amp;CHAR(10)&amp;"INVALID QUALITY AUDIT DETAILS"&amp;CHAR(10)&amp;"Validation: Invalid"&amp;CHAR(10)&amp;"Invalid Reason: "&amp;$P1519&amp;CHAR(10)&amp;"Expected Resolution Code: "&amp;$Q1519&amp;CHAR(10)&amp;"Remarks: "&amp;LEFT($R1519,600)&amp;CHAR(10)&amp;CHAR(10)&amp;"This is an automated notification from HP Mainstream EQMS."),"✉ Open Email Draft"),"")</f>
        <v/>
      </c>
    </row>
    <row r="1520">
      <c r="A1520" s="25">
        <f>IF($C1520="","","AUD-2026-"&amp;TEXT(ROW()-1,"000000"))</f>
        <v/>
      </c>
      <c r="B1520" s="26" t="n"/>
      <c r="C1520" s="27" t="n"/>
      <c r="D1520" s="25">
        <f>IF($C1520="","",IFERROR(IF(INDEX(Roster!$A:$A,MATCH($C1520,Roster!$B:$B,0))="","",INDEX(Roster!$A:$A,MATCH($C1520,Roster!$B:$B,0))&amp;""),"—"))</f>
        <v/>
      </c>
      <c r="E1520" s="25">
        <f>IF($C1520="","",IFERROR(IF(INDEX(Roster!$C:$C,MATCH($C1520,Roster!$B:$B,0))="","",INDEX(Roster!$C:$C,MATCH($C1520,Roster!$B:$B,0))&amp;""),"—"))</f>
        <v/>
      </c>
      <c r="F1520" s="25">
        <f>IF($C1520="","",IFERROR(IF(INDEX(Roster!$D:$D,MATCH($C1520,Roster!$B:$B,0))="","",INDEX(Roster!$D:$D,MATCH($C1520,Roster!$B:$B,0))&amp;""),"—"))</f>
        <v/>
      </c>
      <c r="G1520" s="25">
        <f>IF($C1520="","",IFERROR(IF(INDEX(Roster!$E:$E,MATCH($C1520,Roster!$B:$B,0))="","",INDEX(Roster!$E:$E,MATCH($C1520,Roster!$B:$B,0))&amp;""),"—"))</f>
        <v/>
      </c>
      <c r="H1520" s="25">
        <f>IF($C1520="","",IFERROR(IF(INDEX(Roster!$F:$F,MATCH($C1520,Roster!$B:$B,0))="","",INDEX(Roster!$F:$F,MATCH($C1520,Roster!$B:$B,0))&amp;""),"—"))</f>
        <v/>
      </c>
      <c r="I1520" s="25">
        <f>IF($C1520="","",IFERROR(IF(INDEX(Roster!$G:$G,MATCH($C1520,Roster!$B:$B,0))="","",INDEX(Roster!$G:$G,MATCH($C1520,Roster!$B:$B,0))&amp;""),"—"))</f>
        <v/>
      </c>
      <c r="J1520" s="25">
        <f>IF($C1520="","",IFERROR(IF(INDEX(Roster!$I:$I,MATCH($C1520,Roster!$B:$B,0))="","",INDEX(Roster!$I:$I,MATCH($C1520,Roster!$B:$B,0))&amp;""),"—"))</f>
        <v/>
      </c>
      <c r="K1520">
        <f>IF($C1520="","",IFERROR(IF(INDEX(Roster!$J:$J,MATCH($C1520,Roster!$B:$B,0))="","",INDEX(Roster!$J:$J,MATCH($C1520,Roster!$B:$B,0))&amp;""),"—"))</f>
        <v/>
      </c>
      <c r="L1520">
        <f>IF($C1520="","",IFERROR(IF(INDEX(Roster!$K:$K,MATCH($C1520,Roster!$B:$B,0))="","",INDEX(Roster!$K:$K,MATCH($C1520,Roster!$B:$B,0))&amp;""),"—"))</f>
        <v/>
      </c>
      <c r="M1520" s="27" t="n"/>
      <c r="N1520" s="27" t="n"/>
      <c r="O1520" s="25">
        <f>IF($C1520="","",IF($P1520="","—",IF($P1520="Valid (Pass)","Valid","Invalid")))</f>
        <v/>
      </c>
      <c r="P1520" s="27" t="n"/>
      <c r="Q1520" s="27" t="n"/>
      <c r="R1520" s="27" t="n"/>
      <c r="S1520" s="27" t="n"/>
      <c r="T1520" s="25">
        <f>IF($C1520="","",IF(OR(ISNUMBER(SEARCH("quick case",$P1520)),ISNUMBER(SEARCH("quick case",$Q1520))),"Yes","No"))</f>
        <v/>
      </c>
      <c r="U1520" s="25">
        <f>IF($O1520="Invalid",HYPERLINK("mailto:"&amp;$G1520&amp;";"&amp;$I1520&amp;"?cc="&amp;Lists!$E$2&amp;"&amp;subject="&amp;_xlfn.ENCODEURL("[INVALID] Quality audit monitoring completed for "&amp;UPPER($C1520))&amp;"&amp;body="&amp;_xlfn.ENCODEURL("Hi "&amp;$F1520&amp;","&amp;CHAR(10)&amp;"Good day!"&amp;CHAR(10)&amp;CHAR(10)&amp;"A quality monitoring audit has been completed for "&amp;$C1520&amp;"."&amp;CHAR(10)&amp;CHAR(10)&amp;"QUALITY AUDIT DETAILS"&amp;CHAR(10)&amp;"Agent Name: "&amp;$C1520&amp;" (EID "&amp;$D1520&amp;")"&amp;CHAR(10)&amp;"Audit Date: "&amp;TEXT($B1520,"yyyy-mm-dd")&amp;CHAR(10)&amp;"Team Leader: "&amp;$F1520&amp;CHAR(10)&amp;"Case Number: "&amp;$M1520&amp;CHAR(10)&amp;"Transaction ID: "&amp;$N1520&amp;CHAR(10)&amp;"Channel / LOB: "&amp;$K1520&amp;" / "&amp;$L1520&amp;CHAR(10)&amp;"Evaluator: "&amp;$S1520&amp;CHAR(10)&amp;CHAR(10)&amp;"INVALID QUALITY AUDIT DETAILS"&amp;CHAR(10)&amp;"Validation: Invalid"&amp;CHAR(10)&amp;"Invalid Reason: "&amp;$P1520&amp;CHAR(10)&amp;"Expected Resolution Code: "&amp;$Q1520&amp;CHAR(10)&amp;"Remarks: "&amp;LEFT($R1520,600)&amp;CHAR(10)&amp;CHAR(10)&amp;"This is an automated notification from HP Mainstream EQMS."),"✉ Open Email Draft"),"")</f>
        <v/>
      </c>
    </row>
    <row r="1521">
      <c r="A1521" s="25">
        <f>IF($C1521="","","AUD-2026-"&amp;TEXT(ROW()-1,"000000"))</f>
        <v/>
      </c>
      <c r="B1521" s="26" t="n"/>
      <c r="C1521" s="27" t="n"/>
      <c r="D1521" s="25">
        <f>IF($C1521="","",IFERROR(IF(INDEX(Roster!$A:$A,MATCH($C1521,Roster!$B:$B,0))="","",INDEX(Roster!$A:$A,MATCH($C1521,Roster!$B:$B,0))&amp;""),"—"))</f>
        <v/>
      </c>
      <c r="E1521" s="25">
        <f>IF($C1521="","",IFERROR(IF(INDEX(Roster!$C:$C,MATCH($C1521,Roster!$B:$B,0))="","",INDEX(Roster!$C:$C,MATCH($C1521,Roster!$B:$B,0))&amp;""),"—"))</f>
        <v/>
      </c>
      <c r="F1521" s="25">
        <f>IF($C1521="","",IFERROR(IF(INDEX(Roster!$D:$D,MATCH($C1521,Roster!$B:$B,0))="","",INDEX(Roster!$D:$D,MATCH($C1521,Roster!$B:$B,0))&amp;""),"—"))</f>
        <v/>
      </c>
      <c r="G1521" s="25">
        <f>IF($C1521="","",IFERROR(IF(INDEX(Roster!$E:$E,MATCH($C1521,Roster!$B:$B,0))="","",INDEX(Roster!$E:$E,MATCH($C1521,Roster!$B:$B,0))&amp;""),"—"))</f>
        <v/>
      </c>
      <c r="H1521" s="25">
        <f>IF($C1521="","",IFERROR(IF(INDEX(Roster!$F:$F,MATCH($C1521,Roster!$B:$B,0))="","",INDEX(Roster!$F:$F,MATCH($C1521,Roster!$B:$B,0))&amp;""),"—"))</f>
        <v/>
      </c>
      <c r="I1521" s="25">
        <f>IF($C1521="","",IFERROR(IF(INDEX(Roster!$G:$G,MATCH($C1521,Roster!$B:$B,0))="","",INDEX(Roster!$G:$G,MATCH($C1521,Roster!$B:$B,0))&amp;""),"—"))</f>
        <v/>
      </c>
      <c r="J1521" s="25">
        <f>IF($C1521="","",IFERROR(IF(INDEX(Roster!$I:$I,MATCH($C1521,Roster!$B:$B,0))="","",INDEX(Roster!$I:$I,MATCH($C1521,Roster!$B:$B,0))&amp;""),"—"))</f>
        <v/>
      </c>
      <c r="K1521">
        <f>IF($C1521="","",IFERROR(IF(INDEX(Roster!$J:$J,MATCH($C1521,Roster!$B:$B,0))="","",INDEX(Roster!$J:$J,MATCH($C1521,Roster!$B:$B,0))&amp;""),"—"))</f>
        <v/>
      </c>
      <c r="L1521">
        <f>IF($C1521="","",IFERROR(IF(INDEX(Roster!$K:$K,MATCH($C1521,Roster!$B:$B,0))="","",INDEX(Roster!$K:$K,MATCH($C1521,Roster!$B:$B,0))&amp;""),"—"))</f>
        <v/>
      </c>
      <c r="M1521" s="27" t="n"/>
      <c r="N1521" s="27" t="n"/>
      <c r="O1521" s="25">
        <f>IF($C1521="","",IF($P1521="","—",IF($P1521="Valid (Pass)","Valid","Invalid")))</f>
        <v/>
      </c>
      <c r="P1521" s="27" t="n"/>
      <c r="Q1521" s="27" t="n"/>
      <c r="R1521" s="27" t="n"/>
      <c r="S1521" s="27" t="n"/>
      <c r="T1521" s="25">
        <f>IF($C1521="","",IF(OR(ISNUMBER(SEARCH("quick case",$P1521)),ISNUMBER(SEARCH("quick case",$Q1521))),"Yes","No"))</f>
        <v/>
      </c>
      <c r="U1521" s="25">
        <f>IF($O1521="Invalid",HYPERLINK("mailto:"&amp;$G1521&amp;";"&amp;$I1521&amp;"?cc="&amp;Lists!$E$2&amp;"&amp;subject="&amp;_xlfn.ENCODEURL("[INVALID] Quality audit monitoring completed for "&amp;UPPER($C1521))&amp;"&amp;body="&amp;_xlfn.ENCODEURL("Hi "&amp;$F1521&amp;","&amp;CHAR(10)&amp;"Good day!"&amp;CHAR(10)&amp;CHAR(10)&amp;"A quality monitoring audit has been completed for "&amp;$C1521&amp;"."&amp;CHAR(10)&amp;CHAR(10)&amp;"QUALITY AUDIT DETAILS"&amp;CHAR(10)&amp;"Agent Name: "&amp;$C1521&amp;" (EID "&amp;$D1521&amp;")"&amp;CHAR(10)&amp;"Audit Date: "&amp;TEXT($B1521,"yyyy-mm-dd")&amp;CHAR(10)&amp;"Team Leader: "&amp;$F1521&amp;CHAR(10)&amp;"Case Number: "&amp;$M1521&amp;CHAR(10)&amp;"Transaction ID: "&amp;$N1521&amp;CHAR(10)&amp;"Channel / LOB: "&amp;$K1521&amp;" / "&amp;$L1521&amp;CHAR(10)&amp;"Evaluator: "&amp;$S1521&amp;CHAR(10)&amp;CHAR(10)&amp;"INVALID QUALITY AUDIT DETAILS"&amp;CHAR(10)&amp;"Validation: Invalid"&amp;CHAR(10)&amp;"Invalid Reason: "&amp;$P1521&amp;CHAR(10)&amp;"Expected Resolution Code: "&amp;$Q1521&amp;CHAR(10)&amp;"Remarks: "&amp;LEFT($R1521,600)&amp;CHAR(10)&amp;CHAR(10)&amp;"This is an automated notification from HP Mainstream EQMS."),"✉ Open Email Draft"),"")</f>
        <v/>
      </c>
    </row>
    <row r="1522">
      <c r="A1522" s="25">
        <f>IF($C1522="","","AUD-2026-"&amp;TEXT(ROW()-1,"000000"))</f>
        <v/>
      </c>
      <c r="B1522" s="26" t="n"/>
      <c r="C1522" s="27" t="n"/>
      <c r="D1522" s="25">
        <f>IF($C1522="","",IFERROR(IF(INDEX(Roster!$A:$A,MATCH($C1522,Roster!$B:$B,0))="","",INDEX(Roster!$A:$A,MATCH($C1522,Roster!$B:$B,0))&amp;""),"—"))</f>
        <v/>
      </c>
      <c r="E1522" s="25">
        <f>IF($C1522="","",IFERROR(IF(INDEX(Roster!$C:$C,MATCH($C1522,Roster!$B:$B,0))="","",INDEX(Roster!$C:$C,MATCH($C1522,Roster!$B:$B,0))&amp;""),"—"))</f>
        <v/>
      </c>
      <c r="F1522" s="25">
        <f>IF($C1522="","",IFERROR(IF(INDEX(Roster!$D:$D,MATCH($C1522,Roster!$B:$B,0))="","",INDEX(Roster!$D:$D,MATCH($C1522,Roster!$B:$B,0))&amp;""),"—"))</f>
        <v/>
      </c>
      <c r="G1522" s="25">
        <f>IF($C1522="","",IFERROR(IF(INDEX(Roster!$E:$E,MATCH($C1522,Roster!$B:$B,0))="","",INDEX(Roster!$E:$E,MATCH($C1522,Roster!$B:$B,0))&amp;""),"—"))</f>
        <v/>
      </c>
      <c r="H1522" s="25">
        <f>IF($C1522="","",IFERROR(IF(INDEX(Roster!$F:$F,MATCH($C1522,Roster!$B:$B,0))="","",INDEX(Roster!$F:$F,MATCH($C1522,Roster!$B:$B,0))&amp;""),"—"))</f>
        <v/>
      </c>
      <c r="I1522" s="25">
        <f>IF($C1522="","",IFERROR(IF(INDEX(Roster!$G:$G,MATCH($C1522,Roster!$B:$B,0))="","",INDEX(Roster!$G:$G,MATCH($C1522,Roster!$B:$B,0))&amp;""),"—"))</f>
        <v/>
      </c>
      <c r="J1522" s="25">
        <f>IF($C1522="","",IFERROR(IF(INDEX(Roster!$I:$I,MATCH($C1522,Roster!$B:$B,0))="","",INDEX(Roster!$I:$I,MATCH($C1522,Roster!$B:$B,0))&amp;""),"—"))</f>
        <v/>
      </c>
      <c r="K1522">
        <f>IF($C1522="","",IFERROR(IF(INDEX(Roster!$J:$J,MATCH($C1522,Roster!$B:$B,0))="","",INDEX(Roster!$J:$J,MATCH($C1522,Roster!$B:$B,0))&amp;""),"—"))</f>
        <v/>
      </c>
      <c r="L1522">
        <f>IF($C1522="","",IFERROR(IF(INDEX(Roster!$K:$K,MATCH($C1522,Roster!$B:$B,0))="","",INDEX(Roster!$K:$K,MATCH($C1522,Roster!$B:$B,0))&amp;""),"—"))</f>
        <v/>
      </c>
      <c r="M1522" s="27" t="n"/>
      <c r="N1522" s="27" t="n"/>
      <c r="O1522" s="25">
        <f>IF($C1522="","",IF($P1522="","—",IF($P1522="Valid (Pass)","Valid","Invalid")))</f>
        <v/>
      </c>
      <c r="P1522" s="27" t="n"/>
      <c r="Q1522" s="27" t="n"/>
      <c r="R1522" s="27" t="n"/>
      <c r="S1522" s="27" t="n"/>
      <c r="T1522" s="25">
        <f>IF($C1522="","",IF(OR(ISNUMBER(SEARCH("quick case",$P1522)),ISNUMBER(SEARCH("quick case",$Q1522))),"Yes","No"))</f>
        <v/>
      </c>
      <c r="U1522" s="25">
        <f>IF($O1522="Invalid",HYPERLINK("mailto:"&amp;$G1522&amp;";"&amp;$I1522&amp;"?cc="&amp;Lists!$E$2&amp;"&amp;subject="&amp;_xlfn.ENCODEURL("[INVALID] Quality audit monitoring completed for "&amp;UPPER($C1522))&amp;"&amp;body="&amp;_xlfn.ENCODEURL("Hi "&amp;$F1522&amp;","&amp;CHAR(10)&amp;"Good day!"&amp;CHAR(10)&amp;CHAR(10)&amp;"A quality monitoring audit has been completed for "&amp;$C1522&amp;"."&amp;CHAR(10)&amp;CHAR(10)&amp;"QUALITY AUDIT DETAILS"&amp;CHAR(10)&amp;"Agent Name: "&amp;$C1522&amp;" (EID "&amp;$D1522&amp;")"&amp;CHAR(10)&amp;"Audit Date: "&amp;TEXT($B1522,"yyyy-mm-dd")&amp;CHAR(10)&amp;"Team Leader: "&amp;$F1522&amp;CHAR(10)&amp;"Case Number: "&amp;$M1522&amp;CHAR(10)&amp;"Transaction ID: "&amp;$N1522&amp;CHAR(10)&amp;"Channel / LOB: "&amp;$K1522&amp;" / "&amp;$L1522&amp;CHAR(10)&amp;"Evaluator: "&amp;$S1522&amp;CHAR(10)&amp;CHAR(10)&amp;"INVALID QUALITY AUDIT DETAILS"&amp;CHAR(10)&amp;"Validation: Invalid"&amp;CHAR(10)&amp;"Invalid Reason: "&amp;$P1522&amp;CHAR(10)&amp;"Expected Resolution Code: "&amp;$Q1522&amp;CHAR(10)&amp;"Remarks: "&amp;LEFT($R1522,600)&amp;CHAR(10)&amp;CHAR(10)&amp;"This is an automated notification from HP Mainstream EQMS."),"✉ Open Email Draft"),"")</f>
        <v/>
      </c>
    </row>
    <row r="1523">
      <c r="A1523" s="25">
        <f>IF($C1523="","","AUD-2026-"&amp;TEXT(ROW()-1,"000000"))</f>
        <v/>
      </c>
      <c r="B1523" s="26" t="n"/>
      <c r="C1523" s="27" t="n"/>
      <c r="D1523" s="25">
        <f>IF($C1523="","",IFERROR(IF(INDEX(Roster!$A:$A,MATCH($C1523,Roster!$B:$B,0))="","",INDEX(Roster!$A:$A,MATCH($C1523,Roster!$B:$B,0))&amp;""),"—"))</f>
        <v/>
      </c>
      <c r="E1523" s="25">
        <f>IF($C1523="","",IFERROR(IF(INDEX(Roster!$C:$C,MATCH($C1523,Roster!$B:$B,0))="","",INDEX(Roster!$C:$C,MATCH($C1523,Roster!$B:$B,0))&amp;""),"—"))</f>
        <v/>
      </c>
      <c r="F1523" s="25">
        <f>IF($C1523="","",IFERROR(IF(INDEX(Roster!$D:$D,MATCH($C1523,Roster!$B:$B,0))="","",INDEX(Roster!$D:$D,MATCH($C1523,Roster!$B:$B,0))&amp;""),"—"))</f>
        <v/>
      </c>
      <c r="G1523" s="25">
        <f>IF($C1523="","",IFERROR(IF(INDEX(Roster!$E:$E,MATCH($C1523,Roster!$B:$B,0))="","",INDEX(Roster!$E:$E,MATCH($C1523,Roster!$B:$B,0))&amp;""),"—"))</f>
        <v/>
      </c>
      <c r="H1523" s="25">
        <f>IF($C1523="","",IFERROR(IF(INDEX(Roster!$F:$F,MATCH($C1523,Roster!$B:$B,0))="","",INDEX(Roster!$F:$F,MATCH($C1523,Roster!$B:$B,0))&amp;""),"—"))</f>
        <v/>
      </c>
      <c r="I1523" s="25">
        <f>IF($C1523="","",IFERROR(IF(INDEX(Roster!$G:$G,MATCH($C1523,Roster!$B:$B,0))="","",INDEX(Roster!$G:$G,MATCH($C1523,Roster!$B:$B,0))&amp;""),"—"))</f>
        <v/>
      </c>
      <c r="J1523" s="25">
        <f>IF($C1523="","",IFERROR(IF(INDEX(Roster!$I:$I,MATCH($C1523,Roster!$B:$B,0))="","",INDEX(Roster!$I:$I,MATCH($C1523,Roster!$B:$B,0))&amp;""),"—"))</f>
        <v/>
      </c>
      <c r="K1523">
        <f>IF($C1523="","",IFERROR(IF(INDEX(Roster!$J:$J,MATCH($C1523,Roster!$B:$B,0))="","",INDEX(Roster!$J:$J,MATCH($C1523,Roster!$B:$B,0))&amp;""),"—"))</f>
        <v/>
      </c>
      <c r="L1523">
        <f>IF($C1523="","",IFERROR(IF(INDEX(Roster!$K:$K,MATCH($C1523,Roster!$B:$B,0))="","",INDEX(Roster!$K:$K,MATCH($C1523,Roster!$B:$B,0))&amp;""),"—"))</f>
        <v/>
      </c>
      <c r="M1523" s="27" t="n"/>
      <c r="N1523" s="27" t="n"/>
      <c r="O1523" s="25">
        <f>IF($C1523="","",IF($P1523="","—",IF($P1523="Valid (Pass)","Valid","Invalid")))</f>
        <v/>
      </c>
      <c r="P1523" s="27" t="n"/>
      <c r="Q1523" s="27" t="n"/>
      <c r="R1523" s="27" t="n"/>
      <c r="S1523" s="27" t="n"/>
      <c r="T1523" s="25">
        <f>IF($C1523="","",IF(OR(ISNUMBER(SEARCH("quick case",$P1523)),ISNUMBER(SEARCH("quick case",$Q1523))),"Yes","No"))</f>
        <v/>
      </c>
      <c r="U1523" s="25">
        <f>IF($O1523="Invalid",HYPERLINK("mailto:"&amp;$G1523&amp;";"&amp;$I1523&amp;"?cc="&amp;Lists!$E$2&amp;"&amp;subject="&amp;_xlfn.ENCODEURL("[INVALID] Quality audit monitoring completed for "&amp;UPPER($C1523))&amp;"&amp;body="&amp;_xlfn.ENCODEURL("Hi "&amp;$F1523&amp;","&amp;CHAR(10)&amp;"Good day!"&amp;CHAR(10)&amp;CHAR(10)&amp;"A quality monitoring audit has been completed for "&amp;$C1523&amp;"."&amp;CHAR(10)&amp;CHAR(10)&amp;"QUALITY AUDIT DETAILS"&amp;CHAR(10)&amp;"Agent Name: "&amp;$C1523&amp;" (EID "&amp;$D1523&amp;")"&amp;CHAR(10)&amp;"Audit Date: "&amp;TEXT($B1523,"yyyy-mm-dd")&amp;CHAR(10)&amp;"Team Leader: "&amp;$F1523&amp;CHAR(10)&amp;"Case Number: "&amp;$M1523&amp;CHAR(10)&amp;"Transaction ID: "&amp;$N1523&amp;CHAR(10)&amp;"Channel / LOB: "&amp;$K1523&amp;" / "&amp;$L1523&amp;CHAR(10)&amp;"Evaluator: "&amp;$S1523&amp;CHAR(10)&amp;CHAR(10)&amp;"INVALID QUALITY AUDIT DETAILS"&amp;CHAR(10)&amp;"Validation: Invalid"&amp;CHAR(10)&amp;"Invalid Reason: "&amp;$P1523&amp;CHAR(10)&amp;"Expected Resolution Code: "&amp;$Q1523&amp;CHAR(10)&amp;"Remarks: "&amp;LEFT($R1523,600)&amp;CHAR(10)&amp;CHAR(10)&amp;"This is an automated notification from HP Mainstream EQMS."),"✉ Open Email Draft"),"")</f>
        <v/>
      </c>
    </row>
    <row r="1524">
      <c r="A1524" s="25">
        <f>IF($C1524="","","AUD-2026-"&amp;TEXT(ROW()-1,"000000"))</f>
        <v/>
      </c>
      <c r="B1524" s="26" t="n"/>
      <c r="C1524" s="27" t="n"/>
      <c r="D1524" s="25">
        <f>IF($C1524="","",IFERROR(IF(INDEX(Roster!$A:$A,MATCH($C1524,Roster!$B:$B,0))="","",INDEX(Roster!$A:$A,MATCH($C1524,Roster!$B:$B,0))&amp;""),"—"))</f>
        <v/>
      </c>
      <c r="E1524" s="25">
        <f>IF($C1524="","",IFERROR(IF(INDEX(Roster!$C:$C,MATCH($C1524,Roster!$B:$B,0))="","",INDEX(Roster!$C:$C,MATCH($C1524,Roster!$B:$B,0))&amp;""),"—"))</f>
        <v/>
      </c>
      <c r="F1524" s="25">
        <f>IF($C1524="","",IFERROR(IF(INDEX(Roster!$D:$D,MATCH($C1524,Roster!$B:$B,0))="","",INDEX(Roster!$D:$D,MATCH($C1524,Roster!$B:$B,0))&amp;""),"—"))</f>
        <v/>
      </c>
      <c r="G1524" s="25">
        <f>IF($C1524="","",IFERROR(IF(INDEX(Roster!$E:$E,MATCH($C1524,Roster!$B:$B,0))="","",INDEX(Roster!$E:$E,MATCH($C1524,Roster!$B:$B,0))&amp;""),"—"))</f>
        <v/>
      </c>
      <c r="H1524" s="25">
        <f>IF($C1524="","",IFERROR(IF(INDEX(Roster!$F:$F,MATCH($C1524,Roster!$B:$B,0))="","",INDEX(Roster!$F:$F,MATCH($C1524,Roster!$B:$B,0))&amp;""),"—"))</f>
        <v/>
      </c>
      <c r="I1524" s="25">
        <f>IF($C1524="","",IFERROR(IF(INDEX(Roster!$G:$G,MATCH($C1524,Roster!$B:$B,0))="","",INDEX(Roster!$G:$G,MATCH($C1524,Roster!$B:$B,0))&amp;""),"—"))</f>
        <v/>
      </c>
      <c r="J1524" s="25">
        <f>IF($C1524="","",IFERROR(IF(INDEX(Roster!$I:$I,MATCH($C1524,Roster!$B:$B,0))="","",INDEX(Roster!$I:$I,MATCH($C1524,Roster!$B:$B,0))&amp;""),"—"))</f>
        <v/>
      </c>
      <c r="K1524">
        <f>IF($C1524="","",IFERROR(IF(INDEX(Roster!$J:$J,MATCH($C1524,Roster!$B:$B,0))="","",INDEX(Roster!$J:$J,MATCH($C1524,Roster!$B:$B,0))&amp;""),"—"))</f>
        <v/>
      </c>
      <c r="L1524">
        <f>IF($C1524="","",IFERROR(IF(INDEX(Roster!$K:$K,MATCH($C1524,Roster!$B:$B,0))="","",INDEX(Roster!$K:$K,MATCH($C1524,Roster!$B:$B,0))&amp;""),"—"))</f>
        <v/>
      </c>
      <c r="M1524" s="27" t="n"/>
      <c r="N1524" s="27" t="n"/>
      <c r="O1524" s="25">
        <f>IF($C1524="","",IF($P1524="","—",IF($P1524="Valid (Pass)","Valid","Invalid")))</f>
        <v/>
      </c>
      <c r="P1524" s="27" t="n"/>
      <c r="Q1524" s="27" t="n"/>
      <c r="R1524" s="27" t="n"/>
      <c r="S1524" s="27" t="n"/>
      <c r="T1524" s="25">
        <f>IF($C1524="","",IF(OR(ISNUMBER(SEARCH("quick case",$P1524)),ISNUMBER(SEARCH("quick case",$Q1524))),"Yes","No"))</f>
        <v/>
      </c>
      <c r="U1524" s="25">
        <f>IF($O1524="Invalid",HYPERLINK("mailto:"&amp;$G1524&amp;";"&amp;$I1524&amp;"?cc="&amp;Lists!$E$2&amp;"&amp;subject="&amp;_xlfn.ENCODEURL("[INVALID] Quality audit monitoring completed for "&amp;UPPER($C1524))&amp;"&amp;body="&amp;_xlfn.ENCODEURL("Hi "&amp;$F1524&amp;","&amp;CHAR(10)&amp;"Good day!"&amp;CHAR(10)&amp;CHAR(10)&amp;"A quality monitoring audit has been completed for "&amp;$C1524&amp;"."&amp;CHAR(10)&amp;CHAR(10)&amp;"QUALITY AUDIT DETAILS"&amp;CHAR(10)&amp;"Agent Name: "&amp;$C1524&amp;" (EID "&amp;$D1524&amp;")"&amp;CHAR(10)&amp;"Audit Date: "&amp;TEXT($B1524,"yyyy-mm-dd")&amp;CHAR(10)&amp;"Team Leader: "&amp;$F1524&amp;CHAR(10)&amp;"Case Number: "&amp;$M1524&amp;CHAR(10)&amp;"Transaction ID: "&amp;$N1524&amp;CHAR(10)&amp;"Channel / LOB: "&amp;$K1524&amp;" / "&amp;$L1524&amp;CHAR(10)&amp;"Evaluator: "&amp;$S1524&amp;CHAR(10)&amp;CHAR(10)&amp;"INVALID QUALITY AUDIT DETAILS"&amp;CHAR(10)&amp;"Validation: Invalid"&amp;CHAR(10)&amp;"Invalid Reason: "&amp;$P1524&amp;CHAR(10)&amp;"Expected Resolution Code: "&amp;$Q1524&amp;CHAR(10)&amp;"Remarks: "&amp;LEFT($R1524,600)&amp;CHAR(10)&amp;CHAR(10)&amp;"This is an automated notification from HP Mainstream EQMS."),"✉ Open Email Draft"),"")</f>
        <v/>
      </c>
    </row>
    <row r="1525">
      <c r="A1525" s="25">
        <f>IF($C1525="","","AUD-2026-"&amp;TEXT(ROW()-1,"000000"))</f>
        <v/>
      </c>
      <c r="B1525" s="26" t="n"/>
      <c r="C1525" s="27" t="n"/>
      <c r="D1525" s="25">
        <f>IF($C1525="","",IFERROR(IF(INDEX(Roster!$A:$A,MATCH($C1525,Roster!$B:$B,0))="","",INDEX(Roster!$A:$A,MATCH($C1525,Roster!$B:$B,0))&amp;""),"—"))</f>
        <v/>
      </c>
      <c r="E1525" s="25">
        <f>IF($C1525="","",IFERROR(IF(INDEX(Roster!$C:$C,MATCH($C1525,Roster!$B:$B,0))="","",INDEX(Roster!$C:$C,MATCH($C1525,Roster!$B:$B,0))&amp;""),"—"))</f>
        <v/>
      </c>
      <c r="F1525" s="25">
        <f>IF($C1525="","",IFERROR(IF(INDEX(Roster!$D:$D,MATCH($C1525,Roster!$B:$B,0))="","",INDEX(Roster!$D:$D,MATCH($C1525,Roster!$B:$B,0))&amp;""),"—"))</f>
        <v/>
      </c>
      <c r="G1525" s="25">
        <f>IF($C1525="","",IFERROR(IF(INDEX(Roster!$E:$E,MATCH($C1525,Roster!$B:$B,0))="","",INDEX(Roster!$E:$E,MATCH($C1525,Roster!$B:$B,0))&amp;""),"—"))</f>
        <v/>
      </c>
      <c r="H1525" s="25">
        <f>IF($C1525="","",IFERROR(IF(INDEX(Roster!$F:$F,MATCH($C1525,Roster!$B:$B,0))="","",INDEX(Roster!$F:$F,MATCH($C1525,Roster!$B:$B,0))&amp;""),"—"))</f>
        <v/>
      </c>
      <c r="I1525" s="25">
        <f>IF($C1525="","",IFERROR(IF(INDEX(Roster!$G:$G,MATCH($C1525,Roster!$B:$B,0))="","",INDEX(Roster!$G:$G,MATCH($C1525,Roster!$B:$B,0))&amp;""),"—"))</f>
        <v/>
      </c>
      <c r="J1525" s="25">
        <f>IF($C1525="","",IFERROR(IF(INDEX(Roster!$I:$I,MATCH($C1525,Roster!$B:$B,0))="","",INDEX(Roster!$I:$I,MATCH($C1525,Roster!$B:$B,0))&amp;""),"—"))</f>
        <v/>
      </c>
      <c r="K1525">
        <f>IF($C1525="","",IFERROR(IF(INDEX(Roster!$J:$J,MATCH($C1525,Roster!$B:$B,0))="","",INDEX(Roster!$J:$J,MATCH($C1525,Roster!$B:$B,0))&amp;""),"—"))</f>
        <v/>
      </c>
      <c r="L1525">
        <f>IF($C1525="","",IFERROR(IF(INDEX(Roster!$K:$K,MATCH($C1525,Roster!$B:$B,0))="","",INDEX(Roster!$K:$K,MATCH($C1525,Roster!$B:$B,0))&amp;""),"—"))</f>
        <v/>
      </c>
      <c r="M1525" s="27" t="n"/>
      <c r="N1525" s="27" t="n"/>
      <c r="O1525" s="25">
        <f>IF($C1525="","",IF($P1525="","—",IF($P1525="Valid (Pass)","Valid","Invalid")))</f>
        <v/>
      </c>
      <c r="P1525" s="27" t="n"/>
      <c r="Q1525" s="27" t="n"/>
      <c r="R1525" s="27" t="n"/>
      <c r="S1525" s="27" t="n"/>
      <c r="T1525" s="25">
        <f>IF($C1525="","",IF(OR(ISNUMBER(SEARCH("quick case",$P1525)),ISNUMBER(SEARCH("quick case",$Q1525))),"Yes","No"))</f>
        <v/>
      </c>
      <c r="U1525" s="25">
        <f>IF($O1525="Invalid",HYPERLINK("mailto:"&amp;$G1525&amp;";"&amp;$I1525&amp;"?cc="&amp;Lists!$E$2&amp;"&amp;subject="&amp;_xlfn.ENCODEURL("[INVALID] Quality audit monitoring completed for "&amp;UPPER($C1525))&amp;"&amp;body="&amp;_xlfn.ENCODEURL("Hi "&amp;$F1525&amp;","&amp;CHAR(10)&amp;"Good day!"&amp;CHAR(10)&amp;CHAR(10)&amp;"A quality monitoring audit has been completed for "&amp;$C1525&amp;"."&amp;CHAR(10)&amp;CHAR(10)&amp;"QUALITY AUDIT DETAILS"&amp;CHAR(10)&amp;"Agent Name: "&amp;$C1525&amp;" (EID "&amp;$D1525&amp;")"&amp;CHAR(10)&amp;"Audit Date: "&amp;TEXT($B1525,"yyyy-mm-dd")&amp;CHAR(10)&amp;"Team Leader: "&amp;$F1525&amp;CHAR(10)&amp;"Case Number: "&amp;$M1525&amp;CHAR(10)&amp;"Transaction ID: "&amp;$N1525&amp;CHAR(10)&amp;"Channel / LOB: "&amp;$K1525&amp;" / "&amp;$L1525&amp;CHAR(10)&amp;"Evaluator: "&amp;$S1525&amp;CHAR(10)&amp;CHAR(10)&amp;"INVALID QUALITY AUDIT DETAILS"&amp;CHAR(10)&amp;"Validation: Invalid"&amp;CHAR(10)&amp;"Invalid Reason: "&amp;$P1525&amp;CHAR(10)&amp;"Expected Resolution Code: "&amp;$Q1525&amp;CHAR(10)&amp;"Remarks: "&amp;LEFT($R1525,600)&amp;CHAR(10)&amp;CHAR(10)&amp;"This is an automated notification from HP Mainstream EQMS."),"✉ Open Email Draft"),"")</f>
        <v/>
      </c>
    </row>
    <row r="1526">
      <c r="A1526" s="25">
        <f>IF($C1526="","","AUD-2026-"&amp;TEXT(ROW()-1,"000000"))</f>
        <v/>
      </c>
      <c r="B1526" s="26" t="n"/>
      <c r="C1526" s="27" t="n"/>
      <c r="D1526" s="25">
        <f>IF($C1526="","",IFERROR(IF(INDEX(Roster!$A:$A,MATCH($C1526,Roster!$B:$B,0))="","",INDEX(Roster!$A:$A,MATCH($C1526,Roster!$B:$B,0))&amp;""),"—"))</f>
        <v/>
      </c>
      <c r="E1526" s="25">
        <f>IF($C1526="","",IFERROR(IF(INDEX(Roster!$C:$C,MATCH($C1526,Roster!$B:$B,0))="","",INDEX(Roster!$C:$C,MATCH($C1526,Roster!$B:$B,0))&amp;""),"—"))</f>
        <v/>
      </c>
      <c r="F1526" s="25">
        <f>IF($C1526="","",IFERROR(IF(INDEX(Roster!$D:$D,MATCH($C1526,Roster!$B:$B,0))="","",INDEX(Roster!$D:$D,MATCH($C1526,Roster!$B:$B,0))&amp;""),"—"))</f>
        <v/>
      </c>
      <c r="G1526" s="25">
        <f>IF($C1526="","",IFERROR(IF(INDEX(Roster!$E:$E,MATCH($C1526,Roster!$B:$B,0))="","",INDEX(Roster!$E:$E,MATCH($C1526,Roster!$B:$B,0))&amp;""),"—"))</f>
        <v/>
      </c>
      <c r="H1526" s="25">
        <f>IF($C1526="","",IFERROR(IF(INDEX(Roster!$F:$F,MATCH($C1526,Roster!$B:$B,0))="","",INDEX(Roster!$F:$F,MATCH($C1526,Roster!$B:$B,0))&amp;""),"—"))</f>
        <v/>
      </c>
      <c r="I1526" s="25">
        <f>IF($C1526="","",IFERROR(IF(INDEX(Roster!$G:$G,MATCH($C1526,Roster!$B:$B,0))="","",INDEX(Roster!$G:$G,MATCH($C1526,Roster!$B:$B,0))&amp;""),"—"))</f>
        <v/>
      </c>
      <c r="J1526" s="25">
        <f>IF($C1526="","",IFERROR(IF(INDEX(Roster!$I:$I,MATCH($C1526,Roster!$B:$B,0))="","",INDEX(Roster!$I:$I,MATCH($C1526,Roster!$B:$B,0))&amp;""),"—"))</f>
        <v/>
      </c>
      <c r="K1526">
        <f>IF($C1526="","",IFERROR(IF(INDEX(Roster!$J:$J,MATCH($C1526,Roster!$B:$B,0))="","",INDEX(Roster!$J:$J,MATCH($C1526,Roster!$B:$B,0))&amp;""),"—"))</f>
        <v/>
      </c>
      <c r="L1526">
        <f>IF($C1526="","",IFERROR(IF(INDEX(Roster!$K:$K,MATCH($C1526,Roster!$B:$B,0))="","",INDEX(Roster!$K:$K,MATCH($C1526,Roster!$B:$B,0))&amp;""),"—"))</f>
        <v/>
      </c>
      <c r="M1526" s="27" t="n"/>
      <c r="N1526" s="27" t="n"/>
      <c r="O1526" s="25">
        <f>IF($C1526="","",IF($P1526="","—",IF($P1526="Valid (Pass)","Valid","Invalid")))</f>
        <v/>
      </c>
      <c r="P1526" s="27" t="n"/>
      <c r="Q1526" s="27" t="n"/>
      <c r="R1526" s="27" t="n"/>
      <c r="S1526" s="27" t="n"/>
      <c r="T1526" s="25">
        <f>IF($C1526="","",IF(OR(ISNUMBER(SEARCH("quick case",$P1526)),ISNUMBER(SEARCH("quick case",$Q1526))),"Yes","No"))</f>
        <v/>
      </c>
      <c r="U1526" s="25">
        <f>IF($O1526="Invalid",HYPERLINK("mailto:"&amp;$G1526&amp;";"&amp;$I1526&amp;"?cc="&amp;Lists!$E$2&amp;"&amp;subject="&amp;_xlfn.ENCODEURL("[INVALID] Quality audit monitoring completed for "&amp;UPPER($C1526))&amp;"&amp;body="&amp;_xlfn.ENCODEURL("Hi "&amp;$F1526&amp;","&amp;CHAR(10)&amp;"Good day!"&amp;CHAR(10)&amp;CHAR(10)&amp;"A quality monitoring audit has been completed for "&amp;$C1526&amp;"."&amp;CHAR(10)&amp;CHAR(10)&amp;"QUALITY AUDIT DETAILS"&amp;CHAR(10)&amp;"Agent Name: "&amp;$C1526&amp;" (EID "&amp;$D1526&amp;")"&amp;CHAR(10)&amp;"Audit Date: "&amp;TEXT($B1526,"yyyy-mm-dd")&amp;CHAR(10)&amp;"Team Leader: "&amp;$F1526&amp;CHAR(10)&amp;"Case Number: "&amp;$M1526&amp;CHAR(10)&amp;"Transaction ID: "&amp;$N1526&amp;CHAR(10)&amp;"Channel / LOB: "&amp;$K1526&amp;" / "&amp;$L1526&amp;CHAR(10)&amp;"Evaluator: "&amp;$S1526&amp;CHAR(10)&amp;CHAR(10)&amp;"INVALID QUALITY AUDIT DETAILS"&amp;CHAR(10)&amp;"Validation: Invalid"&amp;CHAR(10)&amp;"Invalid Reason: "&amp;$P1526&amp;CHAR(10)&amp;"Expected Resolution Code: "&amp;$Q1526&amp;CHAR(10)&amp;"Remarks: "&amp;LEFT($R1526,600)&amp;CHAR(10)&amp;CHAR(10)&amp;"This is an automated notification from HP Mainstream EQMS."),"✉ Open Email Draft"),"")</f>
        <v/>
      </c>
    </row>
    <row r="1527">
      <c r="A1527" s="25">
        <f>IF($C1527="","","AUD-2026-"&amp;TEXT(ROW()-1,"000000"))</f>
        <v/>
      </c>
      <c r="B1527" s="26" t="n"/>
      <c r="C1527" s="27" t="n"/>
      <c r="D1527" s="25">
        <f>IF($C1527="","",IFERROR(IF(INDEX(Roster!$A:$A,MATCH($C1527,Roster!$B:$B,0))="","",INDEX(Roster!$A:$A,MATCH($C1527,Roster!$B:$B,0))&amp;""),"—"))</f>
        <v/>
      </c>
      <c r="E1527" s="25">
        <f>IF($C1527="","",IFERROR(IF(INDEX(Roster!$C:$C,MATCH($C1527,Roster!$B:$B,0))="","",INDEX(Roster!$C:$C,MATCH($C1527,Roster!$B:$B,0))&amp;""),"—"))</f>
        <v/>
      </c>
      <c r="F1527" s="25">
        <f>IF($C1527="","",IFERROR(IF(INDEX(Roster!$D:$D,MATCH($C1527,Roster!$B:$B,0))="","",INDEX(Roster!$D:$D,MATCH($C1527,Roster!$B:$B,0))&amp;""),"—"))</f>
        <v/>
      </c>
      <c r="G1527" s="25">
        <f>IF($C1527="","",IFERROR(IF(INDEX(Roster!$E:$E,MATCH($C1527,Roster!$B:$B,0))="","",INDEX(Roster!$E:$E,MATCH($C1527,Roster!$B:$B,0))&amp;""),"—"))</f>
        <v/>
      </c>
      <c r="H1527" s="25">
        <f>IF($C1527="","",IFERROR(IF(INDEX(Roster!$F:$F,MATCH($C1527,Roster!$B:$B,0))="","",INDEX(Roster!$F:$F,MATCH($C1527,Roster!$B:$B,0))&amp;""),"—"))</f>
        <v/>
      </c>
      <c r="I1527" s="25">
        <f>IF($C1527="","",IFERROR(IF(INDEX(Roster!$G:$G,MATCH($C1527,Roster!$B:$B,0))="","",INDEX(Roster!$G:$G,MATCH($C1527,Roster!$B:$B,0))&amp;""),"—"))</f>
        <v/>
      </c>
      <c r="J1527" s="25">
        <f>IF($C1527="","",IFERROR(IF(INDEX(Roster!$I:$I,MATCH($C1527,Roster!$B:$B,0))="","",INDEX(Roster!$I:$I,MATCH($C1527,Roster!$B:$B,0))&amp;""),"—"))</f>
        <v/>
      </c>
      <c r="K1527">
        <f>IF($C1527="","",IFERROR(IF(INDEX(Roster!$J:$J,MATCH($C1527,Roster!$B:$B,0))="","",INDEX(Roster!$J:$J,MATCH($C1527,Roster!$B:$B,0))&amp;""),"—"))</f>
        <v/>
      </c>
      <c r="L1527">
        <f>IF($C1527="","",IFERROR(IF(INDEX(Roster!$K:$K,MATCH($C1527,Roster!$B:$B,0))="","",INDEX(Roster!$K:$K,MATCH($C1527,Roster!$B:$B,0))&amp;""),"—"))</f>
        <v/>
      </c>
      <c r="M1527" s="27" t="n"/>
      <c r="N1527" s="27" t="n"/>
      <c r="O1527" s="25">
        <f>IF($C1527="","",IF($P1527="","—",IF($P1527="Valid (Pass)","Valid","Invalid")))</f>
        <v/>
      </c>
      <c r="P1527" s="27" t="n"/>
      <c r="Q1527" s="27" t="n"/>
      <c r="R1527" s="27" t="n"/>
      <c r="S1527" s="27" t="n"/>
      <c r="T1527" s="25">
        <f>IF($C1527="","",IF(OR(ISNUMBER(SEARCH("quick case",$P1527)),ISNUMBER(SEARCH("quick case",$Q1527))),"Yes","No"))</f>
        <v/>
      </c>
      <c r="U1527" s="25">
        <f>IF($O1527="Invalid",HYPERLINK("mailto:"&amp;$G1527&amp;";"&amp;$I1527&amp;"?cc="&amp;Lists!$E$2&amp;"&amp;subject="&amp;_xlfn.ENCODEURL("[INVALID] Quality audit monitoring completed for "&amp;UPPER($C1527))&amp;"&amp;body="&amp;_xlfn.ENCODEURL("Hi "&amp;$F1527&amp;","&amp;CHAR(10)&amp;"Good day!"&amp;CHAR(10)&amp;CHAR(10)&amp;"A quality monitoring audit has been completed for "&amp;$C1527&amp;"."&amp;CHAR(10)&amp;CHAR(10)&amp;"QUALITY AUDIT DETAILS"&amp;CHAR(10)&amp;"Agent Name: "&amp;$C1527&amp;" (EID "&amp;$D1527&amp;")"&amp;CHAR(10)&amp;"Audit Date: "&amp;TEXT($B1527,"yyyy-mm-dd")&amp;CHAR(10)&amp;"Team Leader: "&amp;$F1527&amp;CHAR(10)&amp;"Case Number: "&amp;$M1527&amp;CHAR(10)&amp;"Transaction ID: "&amp;$N1527&amp;CHAR(10)&amp;"Channel / LOB: "&amp;$K1527&amp;" / "&amp;$L1527&amp;CHAR(10)&amp;"Evaluator: "&amp;$S1527&amp;CHAR(10)&amp;CHAR(10)&amp;"INVALID QUALITY AUDIT DETAILS"&amp;CHAR(10)&amp;"Validation: Invalid"&amp;CHAR(10)&amp;"Invalid Reason: "&amp;$P1527&amp;CHAR(10)&amp;"Expected Resolution Code: "&amp;$Q1527&amp;CHAR(10)&amp;"Remarks: "&amp;LEFT($R1527,600)&amp;CHAR(10)&amp;CHAR(10)&amp;"This is an automated notification from HP Mainstream EQMS."),"✉ Open Email Draft"),"")</f>
        <v/>
      </c>
    </row>
    <row r="1528">
      <c r="A1528" s="25">
        <f>IF($C1528="","","AUD-2026-"&amp;TEXT(ROW()-1,"000000"))</f>
        <v/>
      </c>
      <c r="B1528" s="26" t="n"/>
      <c r="C1528" s="27" t="n"/>
      <c r="D1528" s="25">
        <f>IF($C1528="","",IFERROR(IF(INDEX(Roster!$A:$A,MATCH($C1528,Roster!$B:$B,0))="","",INDEX(Roster!$A:$A,MATCH($C1528,Roster!$B:$B,0))&amp;""),"—"))</f>
        <v/>
      </c>
      <c r="E1528" s="25">
        <f>IF($C1528="","",IFERROR(IF(INDEX(Roster!$C:$C,MATCH($C1528,Roster!$B:$B,0))="","",INDEX(Roster!$C:$C,MATCH($C1528,Roster!$B:$B,0))&amp;""),"—"))</f>
        <v/>
      </c>
      <c r="F1528" s="25">
        <f>IF($C1528="","",IFERROR(IF(INDEX(Roster!$D:$D,MATCH($C1528,Roster!$B:$B,0))="","",INDEX(Roster!$D:$D,MATCH($C1528,Roster!$B:$B,0))&amp;""),"—"))</f>
        <v/>
      </c>
      <c r="G1528" s="25">
        <f>IF($C1528="","",IFERROR(IF(INDEX(Roster!$E:$E,MATCH($C1528,Roster!$B:$B,0))="","",INDEX(Roster!$E:$E,MATCH($C1528,Roster!$B:$B,0))&amp;""),"—"))</f>
        <v/>
      </c>
      <c r="H1528" s="25">
        <f>IF($C1528="","",IFERROR(IF(INDEX(Roster!$F:$F,MATCH($C1528,Roster!$B:$B,0))="","",INDEX(Roster!$F:$F,MATCH($C1528,Roster!$B:$B,0))&amp;""),"—"))</f>
        <v/>
      </c>
      <c r="I1528" s="25">
        <f>IF($C1528="","",IFERROR(IF(INDEX(Roster!$G:$G,MATCH($C1528,Roster!$B:$B,0))="","",INDEX(Roster!$G:$G,MATCH($C1528,Roster!$B:$B,0))&amp;""),"—"))</f>
        <v/>
      </c>
      <c r="J1528" s="25">
        <f>IF($C1528="","",IFERROR(IF(INDEX(Roster!$I:$I,MATCH($C1528,Roster!$B:$B,0))="","",INDEX(Roster!$I:$I,MATCH($C1528,Roster!$B:$B,0))&amp;""),"—"))</f>
        <v/>
      </c>
      <c r="K1528">
        <f>IF($C1528="","",IFERROR(IF(INDEX(Roster!$J:$J,MATCH($C1528,Roster!$B:$B,0))="","",INDEX(Roster!$J:$J,MATCH($C1528,Roster!$B:$B,0))&amp;""),"—"))</f>
        <v/>
      </c>
      <c r="L1528">
        <f>IF($C1528="","",IFERROR(IF(INDEX(Roster!$K:$K,MATCH($C1528,Roster!$B:$B,0))="","",INDEX(Roster!$K:$K,MATCH($C1528,Roster!$B:$B,0))&amp;""),"—"))</f>
        <v/>
      </c>
      <c r="M1528" s="27" t="n"/>
      <c r="N1528" s="27" t="n"/>
      <c r="O1528" s="25">
        <f>IF($C1528="","",IF($P1528="","—",IF($P1528="Valid (Pass)","Valid","Invalid")))</f>
        <v/>
      </c>
      <c r="P1528" s="27" t="n"/>
      <c r="Q1528" s="27" t="n"/>
      <c r="R1528" s="27" t="n"/>
      <c r="S1528" s="27" t="n"/>
      <c r="T1528" s="25">
        <f>IF($C1528="","",IF(OR(ISNUMBER(SEARCH("quick case",$P1528)),ISNUMBER(SEARCH("quick case",$Q1528))),"Yes","No"))</f>
        <v/>
      </c>
      <c r="U1528" s="25">
        <f>IF($O1528="Invalid",HYPERLINK("mailto:"&amp;$G1528&amp;";"&amp;$I1528&amp;"?cc="&amp;Lists!$E$2&amp;"&amp;subject="&amp;_xlfn.ENCODEURL("[INVALID] Quality audit monitoring completed for "&amp;UPPER($C1528))&amp;"&amp;body="&amp;_xlfn.ENCODEURL("Hi "&amp;$F1528&amp;","&amp;CHAR(10)&amp;"Good day!"&amp;CHAR(10)&amp;CHAR(10)&amp;"A quality monitoring audit has been completed for "&amp;$C1528&amp;"."&amp;CHAR(10)&amp;CHAR(10)&amp;"QUALITY AUDIT DETAILS"&amp;CHAR(10)&amp;"Agent Name: "&amp;$C1528&amp;" (EID "&amp;$D1528&amp;")"&amp;CHAR(10)&amp;"Audit Date: "&amp;TEXT($B1528,"yyyy-mm-dd")&amp;CHAR(10)&amp;"Team Leader: "&amp;$F1528&amp;CHAR(10)&amp;"Case Number: "&amp;$M1528&amp;CHAR(10)&amp;"Transaction ID: "&amp;$N1528&amp;CHAR(10)&amp;"Channel / LOB: "&amp;$K1528&amp;" / "&amp;$L1528&amp;CHAR(10)&amp;"Evaluator: "&amp;$S1528&amp;CHAR(10)&amp;CHAR(10)&amp;"INVALID QUALITY AUDIT DETAILS"&amp;CHAR(10)&amp;"Validation: Invalid"&amp;CHAR(10)&amp;"Invalid Reason: "&amp;$P1528&amp;CHAR(10)&amp;"Expected Resolution Code: "&amp;$Q1528&amp;CHAR(10)&amp;"Remarks: "&amp;LEFT($R1528,600)&amp;CHAR(10)&amp;CHAR(10)&amp;"This is an automated notification from HP Mainstream EQMS."),"✉ Open Email Draft"),"")</f>
        <v/>
      </c>
    </row>
    <row r="1529">
      <c r="A1529" s="25">
        <f>IF($C1529="","","AUD-2026-"&amp;TEXT(ROW()-1,"000000"))</f>
        <v/>
      </c>
      <c r="B1529" s="26" t="n"/>
      <c r="C1529" s="27" t="n"/>
      <c r="D1529" s="25">
        <f>IF($C1529="","",IFERROR(IF(INDEX(Roster!$A:$A,MATCH($C1529,Roster!$B:$B,0))="","",INDEX(Roster!$A:$A,MATCH($C1529,Roster!$B:$B,0))&amp;""),"—"))</f>
        <v/>
      </c>
      <c r="E1529" s="25">
        <f>IF($C1529="","",IFERROR(IF(INDEX(Roster!$C:$C,MATCH($C1529,Roster!$B:$B,0))="","",INDEX(Roster!$C:$C,MATCH($C1529,Roster!$B:$B,0))&amp;""),"—"))</f>
        <v/>
      </c>
      <c r="F1529" s="25">
        <f>IF($C1529="","",IFERROR(IF(INDEX(Roster!$D:$D,MATCH($C1529,Roster!$B:$B,0))="","",INDEX(Roster!$D:$D,MATCH($C1529,Roster!$B:$B,0))&amp;""),"—"))</f>
        <v/>
      </c>
      <c r="G1529" s="25">
        <f>IF($C1529="","",IFERROR(IF(INDEX(Roster!$E:$E,MATCH($C1529,Roster!$B:$B,0))="","",INDEX(Roster!$E:$E,MATCH($C1529,Roster!$B:$B,0))&amp;""),"—"))</f>
        <v/>
      </c>
      <c r="H1529" s="25">
        <f>IF($C1529="","",IFERROR(IF(INDEX(Roster!$F:$F,MATCH($C1529,Roster!$B:$B,0))="","",INDEX(Roster!$F:$F,MATCH($C1529,Roster!$B:$B,0))&amp;""),"—"))</f>
        <v/>
      </c>
      <c r="I1529" s="25">
        <f>IF($C1529="","",IFERROR(IF(INDEX(Roster!$G:$G,MATCH($C1529,Roster!$B:$B,0))="","",INDEX(Roster!$G:$G,MATCH($C1529,Roster!$B:$B,0))&amp;""),"—"))</f>
        <v/>
      </c>
      <c r="J1529" s="25">
        <f>IF($C1529="","",IFERROR(IF(INDEX(Roster!$I:$I,MATCH($C1529,Roster!$B:$B,0))="","",INDEX(Roster!$I:$I,MATCH($C1529,Roster!$B:$B,0))&amp;""),"—"))</f>
        <v/>
      </c>
      <c r="K1529">
        <f>IF($C1529="","",IFERROR(IF(INDEX(Roster!$J:$J,MATCH($C1529,Roster!$B:$B,0))="","",INDEX(Roster!$J:$J,MATCH($C1529,Roster!$B:$B,0))&amp;""),"—"))</f>
        <v/>
      </c>
      <c r="L1529">
        <f>IF($C1529="","",IFERROR(IF(INDEX(Roster!$K:$K,MATCH($C1529,Roster!$B:$B,0))="","",INDEX(Roster!$K:$K,MATCH($C1529,Roster!$B:$B,0))&amp;""),"—"))</f>
        <v/>
      </c>
      <c r="M1529" s="27" t="n"/>
      <c r="N1529" s="27" t="n"/>
      <c r="O1529" s="25">
        <f>IF($C1529="","",IF($P1529="","—",IF($P1529="Valid (Pass)","Valid","Invalid")))</f>
        <v/>
      </c>
      <c r="P1529" s="27" t="n"/>
      <c r="Q1529" s="27" t="n"/>
      <c r="R1529" s="27" t="n"/>
      <c r="S1529" s="27" t="n"/>
      <c r="T1529" s="25">
        <f>IF($C1529="","",IF(OR(ISNUMBER(SEARCH("quick case",$P1529)),ISNUMBER(SEARCH("quick case",$Q1529))),"Yes","No"))</f>
        <v/>
      </c>
      <c r="U1529" s="25">
        <f>IF($O1529="Invalid",HYPERLINK("mailto:"&amp;$G1529&amp;";"&amp;$I1529&amp;"?cc="&amp;Lists!$E$2&amp;"&amp;subject="&amp;_xlfn.ENCODEURL("[INVALID] Quality audit monitoring completed for "&amp;UPPER($C1529))&amp;"&amp;body="&amp;_xlfn.ENCODEURL("Hi "&amp;$F1529&amp;","&amp;CHAR(10)&amp;"Good day!"&amp;CHAR(10)&amp;CHAR(10)&amp;"A quality monitoring audit has been completed for "&amp;$C1529&amp;"."&amp;CHAR(10)&amp;CHAR(10)&amp;"QUALITY AUDIT DETAILS"&amp;CHAR(10)&amp;"Agent Name: "&amp;$C1529&amp;" (EID "&amp;$D1529&amp;")"&amp;CHAR(10)&amp;"Audit Date: "&amp;TEXT($B1529,"yyyy-mm-dd")&amp;CHAR(10)&amp;"Team Leader: "&amp;$F1529&amp;CHAR(10)&amp;"Case Number: "&amp;$M1529&amp;CHAR(10)&amp;"Transaction ID: "&amp;$N1529&amp;CHAR(10)&amp;"Channel / LOB: "&amp;$K1529&amp;" / "&amp;$L1529&amp;CHAR(10)&amp;"Evaluator: "&amp;$S1529&amp;CHAR(10)&amp;CHAR(10)&amp;"INVALID QUALITY AUDIT DETAILS"&amp;CHAR(10)&amp;"Validation: Invalid"&amp;CHAR(10)&amp;"Invalid Reason: "&amp;$P1529&amp;CHAR(10)&amp;"Expected Resolution Code: "&amp;$Q1529&amp;CHAR(10)&amp;"Remarks: "&amp;LEFT($R1529,600)&amp;CHAR(10)&amp;CHAR(10)&amp;"This is an automated notification from HP Mainstream EQMS."),"✉ Open Email Draft"),"")</f>
        <v/>
      </c>
    </row>
    <row r="1530">
      <c r="A1530" s="25">
        <f>IF($C1530="","","AUD-2026-"&amp;TEXT(ROW()-1,"000000"))</f>
        <v/>
      </c>
      <c r="B1530" s="26" t="n"/>
      <c r="C1530" s="27" t="n"/>
      <c r="D1530" s="25">
        <f>IF($C1530="","",IFERROR(IF(INDEX(Roster!$A:$A,MATCH($C1530,Roster!$B:$B,0))="","",INDEX(Roster!$A:$A,MATCH($C1530,Roster!$B:$B,0))&amp;""),"—"))</f>
        <v/>
      </c>
      <c r="E1530" s="25">
        <f>IF($C1530="","",IFERROR(IF(INDEX(Roster!$C:$C,MATCH($C1530,Roster!$B:$B,0))="","",INDEX(Roster!$C:$C,MATCH($C1530,Roster!$B:$B,0))&amp;""),"—"))</f>
        <v/>
      </c>
      <c r="F1530" s="25">
        <f>IF($C1530="","",IFERROR(IF(INDEX(Roster!$D:$D,MATCH($C1530,Roster!$B:$B,0))="","",INDEX(Roster!$D:$D,MATCH($C1530,Roster!$B:$B,0))&amp;""),"—"))</f>
        <v/>
      </c>
      <c r="G1530" s="25">
        <f>IF($C1530="","",IFERROR(IF(INDEX(Roster!$E:$E,MATCH($C1530,Roster!$B:$B,0))="","",INDEX(Roster!$E:$E,MATCH($C1530,Roster!$B:$B,0))&amp;""),"—"))</f>
        <v/>
      </c>
      <c r="H1530" s="25">
        <f>IF($C1530="","",IFERROR(IF(INDEX(Roster!$F:$F,MATCH($C1530,Roster!$B:$B,0))="","",INDEX(Roster!$F:$F,MATCH($C1530,Roster!$B:$B,0))&amp;""),"—"))</f>
        <v/>
      </c>
      <c r="I1530" s="25">
        <f>IF($C1530="","",IFERROR(IF(INDEX(Roster!$G:$G,MATCH($C1530,Roster!$B:$B,0))="","",INDEX(Roster!$G:$G,MATCH($C1530,Roster!$B:$B,0))&amp;""),"—"))</f>
        <v/>
      </c>
      <c r="J1530" s="25">
        <f>IF($C1530="","",IFERROR(IF(INDEX(Roster!$I:$I,MATCH($C1530,Roster!$B:$B,0))="","",INDEX(Roster!$I:$I,MATCH($C1530,Roster!$B:$B,0))&amp;""),"—"))</f>
        <v/>
      </c>
      <c r="K1530">
        <f>IF($C1530="","",IFERROR(IF(INDEX(Roster!$J:$J,MATCH($C1530,Roster!$B:$B,0))="","",INDEX(Roster!$J:$J,MATCH($C1530,Roster!$B:$B,0))&amp;""),"—"))</f>
        <v/>
      </c>
      <c r="L1530">
        <f>IF($C1530="","",IFERROR(IF(INDEX(Roster!$K:$K,MATCH($C1530,Roster!$B:$B,0))="","",INDEX(Roster!$K:$K,MATCH($C1530,Roster!$B:$B,0))&amp;""),"—"))</f>
        <v/>
      </c>
      <c r="M1530" s="27" t="n"/>
      <c r="N1530" s="27" t="n"/>
      <c r="O1530" s="25">
        <f>IF($C1530="","",IF($P1530="","—",IF($P1530="Valid (Pass)","Valid","Invalid")))</f>
        <v/>
      </c>
      <c r="P1530" s="27" t="n"/>
      <c r="Q1530" s="27" t="n"/>
      <c r="R1530" s="27" t="n"/>
      <c r="S1530" s="27" t="n"/>
      <c r="T1530" s="25">
        <f>IF($C1530="","",IF(OR(ISNUMBER(SEARCH("quick case",$P1530)),ISNUMBER(SEARCH("quick case",$Q1530))),"Yes","No"))</f>
        <v/>
      </c>
      <c r="U1530" s="25">
        <f>IF($O1530="Invalid",HYPERLINK("mailto:"&amp;$G1530&amp;";"&amp;$I1530&amp;"?cc="&amp;Lists!$E$2&amp;"&amp;subject="&amp;_xlfn.ENCODEURL("[INVALID] Quality audit monitoring completed for "&amp;UPPER($C1530))&amp;"&amp;body="&amp;_xlfn.ENCODEURL("Hi "&amp;$F1530&amp;","&amp;CHAR(10)&amp;"Good day!"&amp;CHAR(10)&amp;CHAR(10)&amp;"A quality monitoring audit has been completed for "&amp;$C1530&amp;"."&amp;CHAR(10)&amp;CHAR(10)&amp;"QUALITY AUDIT DETAILS"&amp;CHAR(10)&amp;"Agent Name: "&amp;$C1530&amp;" (EID "&amp;$D1530&amp;")"&amp;CHAR(10)&amp;"Audit Date: "&amp;TEXT($B1530,"yyyy-mm-dd")&amp;CHAR(10)&amp;"Team Leader: "&amp;$F1530&amp;CHAR(10)&amp;"Case Number: "&amp;$M1530&amp;CHAR(10)&amp;"Transaction ID: "&amp;$N1530&amp;CHAR(10)&amp;"Channel / LOB: "&amp;$K1530&amp;" / "&amp;$L1530&amp;CHAR(10)&amp;"Evaluator: "&amp;$S1530&amp;CHAR(10)&amp;CHAR(10)&amp;"INVALID QUALITY AUDIT DETAILS"&amp;CHAR(10)&amp;"Validation: Invalid"&amp;CHAR(10)&amp;"Invalid Reason: "&amp;$P1530&amp;CHAR(10)&amp;"Expected Resolution Code: "&amp;$Q1530&amp;CHAR(10)&amp;"Remarks: "&amp;LEFT($R1530,600)&amp;CHAR(10)&amp;CHAR(10)&amp;"This is an automated notification from HP Mainstream EQMS."),"✉ Open Email Draft"),"")</f>
        <v/>
      </c>
    </row>
    <row r="1531">
      <c r="A1531" s="25">
        <f>IF($C1531="","","AUD-2026-"&amp;TEXT(ROW()-1,"000000"))</f>
        <v/>
      </c>
      <c r="B1531" s="26" t="n"/>
      <c r="C1531" s="27" t="n"/>
      <c r="D1531" s="25">
        <f>IF($C1531="","",IFERROR(IF(INDEX(Roster!$A:$A,MATCH($C1531,Roster!$B:$B,0))="","",INDEX(Roster!$A:$A,MATCH($C1531,Roster!$B:$B,0))&amp;""),"—"))</f>
        <v/>
      </c>
      <c r="E1531" s="25">
        <f>IF($C1531="","",IFERROR(IF(INDEX(Roster!$C:$C,MATCH($C1531,Roster!$B:$B,0))="","",INDEX(Roster!$C:$C,MATCH($C1531,Roster!$B:$B,0))&amp;""),"—"))</f>
        <v/>
      </c>
      <c r="F1531" s="25">
        <f>IF($C1531="","",IFERROR(IF(INDEX(Roster!$D:$D,MATCH($C1531,Roster!$B:$B,0))="","",INDEX(Roster!$D:$D,MATCH($C1531,Roster!$B:$B,0))&amp;""),"—"))</f>
        <v/>
      </c>
      <c r="G1531" s="25">
        <f>IF($C1531="","",IFERROR(IF(INDEX(Roster!$E:$E,MATCH($C1531,Roster!$B:$B,0))="","",INDEX(Roster!$E:$E,MATCH($C1531,Roster!$B:$B,0))&amp;""),"—"))</f>
        <v/>
      </c>
      <c r="H1531" s="25">
        <f>IF($C1531="","",IFERROR(IF(INDEX(Roster!$F:$F,MATCH($C1531,Roster!$B:$B,0))="","",INDEX(Roster!$F:$F,MATCH($C1531,Roster!$B:$B,0))&amp;""),"—"))</f>
        <v/>
      </c>
      <c r="I1531" s="25">
        <f>IF($C1531="","",IFERROR(IF(INDEX(Roster!$G:$G,MATCH($C1531,Roster!$B:$B,0))="","",INDEX(Roster!$G:$G,MATCH($C1531,Roster!$B:$B,0))&amp;""),"—"))</f>
        <v/>
      </c>
      <c r="J1531" s="25">
        <f>IF($C1531="","",IFERROR(IF(INDEX(Roster!$I:$I,MATCH($C1531,Roster!$B:$B,0))="","",INDEX(Roster!$I:$I,MATCH($C1531,Roster!$B:$B,0))&amp;""),"—"))</f>
        <v/>
      </c>
      <c r="K1531">
        <f>IF($C1531="","",IFERROR(IF(INDEX(Roster!$J:$J,MATCH($C1531,Roster!$B:$B,0))="","",INDEX(Roster!$J:$J,MATCH($C1531,Roster!$B:$B,0))&amp;""),"—"))</f>
        <v/>
      </c>
      <c r="L1531">
        <f>IF($C1531="","",IFERROR(IF(INDEX(Roster!$K:$K,MATCH($C1531,Roster!$B:$B,0))="","",INDEX(Roster!$K:$K,MATCH($C1531,Roster!$B:$B,0))&amp;""),"—"))</f>
        <v/>
      </c>
      <c r="M1531" s="27" t="n"/>
      <c r="N1531" s="27" t="n"/>
      <c r="O1531" s="25">
        <f>IF($C1531="","",IF($P1531="","—",IF($P1531="Valid (Pass)","Valid","Invalid")))</f>
        <v/>
      </c>
      <c r="P1531" s="27" t="n"/>
      <c r="Q1531" s="27" t="n"/>
      <c r="R1531" s="27" t="n"/>
      <c r="S1531" s="27" t="n"/>
      <c r="T1531" s="25">
        <f>IF($C1531="","",IF(OR(ISNUMBER(SEARCH("quick case",$P1531)),ISNUMBER(SEARCH("quick case",$Q1531))),"Yes","No"))</f>
        <v/>
      </c>
      <c r="U1531" s="25">
        <f>IF($O1531="Invalid",HYPERLINK("mailto:"&amp;$G1531&amp;";"&amp;$I1531&amp;"?cc="&amp;Lists!$E$2&amp;"&amp;subject="&amp;_xlfn.ENCODEURL("[INVALID] Quality audit monitoring completed for "&amp;UPPER($C1531))&amp;"&amp;body="&amp;_xlfn.ENCODEURL("Hi "&amp;$F1531&amp;","&amp;CHAR(10)&amp;"Good day!"&amp;CHAR(10)&amp;CHAR(10)&amp;"A quality monitoring audit has been completed for "&amp;$C1531&amp;"."&amp;CHAR(10)&amp;CHAR(10)&amp;"QUALITY AUDIT DETAILS"&amp;CHAR(10)&amp;"Agent Name: "&amp;$C1531&amp;" (EID "&amp;$D1531&amp;")"&amp;CHAR(10)&amp;"Audit Date: "&amp;TEXT($B1531,"yyyy-mm-dd")&amp;CHAR(10)&amp;"Team Leader: "&amp;$F1531&amp;CHAR(10)&amp;"Case Number: "&amp;$M1531&amp;CHAR(10)&amp;"Transaction ID: "&amp;$N1531&amp;CHAR(10)&amp;"Channel / LOB: "&amp;$K1531&amp;" / "&amp;$L1531&amp;CHAR(10)&amp;"Evaluator: "&amp;$S1531&amp;CHAR(10)&amp;CHAR(10)&amp;"INVALID QUALITY AUDIT DETAILS"&amp;CHAR(10)&amp;"Validation: Invalid"&amp;CHAR(10)&amp;"Invalid Reason: "&amp;$P1531&amp;CHAR(10)&amp;"Expected Resolution Code: "&amp;$Q1531&amp;CHAR(10)&amp;"Remarks: "&amp;LEFT($R1531,600)&amp;CHAR(10)&amp;CHAR(10)&amp;"This is an automated notification from HP Mainstream EQMS."),"✉ Open Email Draft"),"")</f>
        <v/>
      </c>
    </row>
    <row r="1532">
      <c r="A1532" s="25">
        <f>IF($C1532="","","AUD-2026-"&amp;TEXT(ROW()-1,"000000"))</f>
        <v/>
      </c>
      <c r="B1532" s="26" t="n"/>
      <c r="C1532" s="27" t="n"/>
      <c r="D1532" s="25">
        <f>IF($C1532="","",IFERROR(IF(INDEX(Roster!$A:$A,MATCH($C1532,Roster!$B:$B,0))="","",INDEX(Roster!$A:$A,MATCH($C1532,Roster!$B:$B,0))&amp;""),"—"))</f>
        <v/>
      </c>
      <c r="E1532" s="25">
        <f>IF($C1532="","",IFERROR(IF(INDEX(Roster!$C:$C,MATCH($C1532,Roster!$B:$B,0))="","",INDEX(Roster!$C:$C,MATCH($C1532,Roster!$B:$B,0))&amp;""),"—"))</f>
        <v/>
      </c>
      <c r="F1532" s="25">
        <f>IF($C1532="","",IFERROR(IF(INDEX(Roster!$D:$D,MATCH($C1532,Roster!$B:$B,0))="","",INDEX(Roster!$D:$D,MATCH($C1532,Roster!$B:$B,0))&amp;""),"—"))</f>
        <v/>
      </c>
      <c r="G1532" s="25">
        <f>IF($C1532="","",IFERROR(IF(INDEX(Roster!$E:$E,MATCH($C1532,Roster!$B:$B,0))="","",INDEX(Roster!$E:$E,MATCH($C1532,Roster!$B:$B,0))&amp;""),"—"))</f>
        <v/>
      </c>
      <c r="H1532" s="25">
        <f>IF($C1532="","",IFERROR(IF(INDEX(Roster!$F:$F,MATCH($C1532,Roster!$B:$B,0))="","",INDEX(Roster!$F:$F,MATCH($C1532,Roster!$B:$B,0))&amp;""),"—"))</f>
        <v/>
      </c>
      <c r="I1532" s="25">
        <f>IF($C1532="","",IFERROR(IF(INDEX(Roster!$G:$G,MATCH($C1532,Roster!$B:$B,0))="","",INDEX(Roster!$G:$G,MATCH($C1532,Roster!$B:$B,0))&amp;""),"—"))</f>
        <v/>
      </c>
      <c r="J1532" s="25">
        <f>IF($C1532="","",IFERROR(IF(INDEX(Roster!$I:$I,MATCH($C1532,Roster!$B:$B,0))="","",INDEX(Roster!$I:$I,MATCH($C1532,Roster!$B:$B,0))&amp;""),"—"))</f>
        <v/>
      </c>
      <c r="K1532">
        <f>IF($C1532="","",IFERROR(IF(INDEX(Roster!$J:$J,MATCH($C1532,Roster!$B:$B,0))="","",INDEX(Roster!$J:$J,MATCH($C1532,Roster!$B:$B,0))&amp;""),"—"))</f>
        <v/>
      </c>
      <c r="L1532">
        <f>IF($C1532="","",IFERROR(IF(INDEX(Roster!$K:$K,MATCH($C1532,Roster!$B:$B,0))="","",INDEX(Roster!$K:$K,MATCH($C1532,Roster!$B:$B,0))&amp;""),"—"))</f>
        <v/>
      </c>
      <c r="M1532" s="27" t="n"/>
      <c r="N1532" s="27" t="n"/>
      <c r="O1532" s="25">
        <f>IF($C1532="","",IF($P1532="","—",IF($P1532="Valid (Pass)","Valid","Invalid")))</f>
        <v/>
      </c>
      <c r="P1532" s="27" t="n"/>
      <c r="Q1532" s="27" t="n"/>
      <c r="R1532" s="27" t="n"/>
      <c r="S1532" s="27" t="n"/>
      <c r="T1532" s="25">
        <f>IF($C1532="","",IF(OR(ISNUMBER(SEARCH("quick case",$P1532)),ISNUMBER(SEARCH("quick case",$Q1532))),"Yes","No"))</f>
        <v/>
      </c>
      <c r="U1532" s="25">
        <f>IF($O1532="Invalid",HYPERLINK("mailto:"&amp;$G1532&amp;";"&amp;$I1532&amp;"?cc="&amp;Lists!$E$2&amp;"&amp;subject="&amp;_xlfn.ENCODEURL("[INVALID] Quality audit monitoring completed for "&amp;UPPER($C1532))&amp;"&amp;body="&amp;_xlfn.ENCODEURL("Hi "&amp;$F1532&amp;","&amp;CHAR(10)&amp;"Good day!"&amp;CHAR(10)&amp;CHAR(10)&amp;"A quality monitoring audit has been completed for "&amp;$C1532&amp;"."&amp;CHAR(10)&amp;CHAR(10)&amp;"QUALITY AUDIT DETAILS"&amp;CHAR(10)&amp;"Agent Name: "&amp;$C1532&amp;" (EID "&amp;$D1532&amp;")"&amp;CHAR(10)&amp;"Audit Date: "&amp;TEXT($B1532,"yyyy-mm-dd")&amp;CHAR(10)&amp;"Team Leader: "&amp;$F1532&amp;CHAR(10)&amp;"Case Number: "&amp;$M1532&amp;CHAR(10)&amp;"Transaction ID: "&amp;$N1532&amp;CHAR(10)&amp;"Channel / LOB: "&amp;$K1532&amp;" / "&amp;$L1532&amp;CHAR(10)&amp;"Evaluator: "&amp;$S1532&amp;CHAR(10)&amp;CHAR(10)&amp;"INVALID QUALITY AUDIT DETAILS"&amp;CHAR(10)&amp;"Validation: Invalid"&amp;CHAR(10)&amp;"Invalid Reason: "&amp;$P1532&amp;CHAR(10)&amp;"Expected Resolution Code: "&amp;$Q1532&amp;CHAR(10)&amp;"Remarks: "&amp;LEFT($R1532,600)&amp;CHAR(10)&amp;CHAR(10)&amp;"This is an automated notification from HP Mainstream EQMS."),"✉ Open Email Draft"),"")</f>
        <v/>
      </c>
    </row>
    <row r="1533">
      <c r="A1533" s="25">
        <f>IF($C1533="","","AUD-2026-"&amp;TEXT(ROW()-1,"000000"))</f>
        <v/>
      </c>
      <c r="B1533" s="26" t="n"/>
      <c r="C1533" s="27" t="n"/>
      <c r="D1533" s="25">
        <f>IF($C1533="","",IFERROR(IF(INDEX(Roster!$A:$A,MATCH($C1533,Roster!$B:$B,0))="","",INDEX(Roster!$A:$A,MATCH($C1533,Roster!$B:$B,0))&amp;""),"—"))</f>
        <v/>
      </c>
      <c r="E1533" s="25">
        <f>IF($C1533="","",IFERROR(IF(INDEX(Roster!$C:$C,MATCH($C1533,Roster!$B:$B,0))="","",INDEX(Roster!$C:$C,MATCH($C1533,Roster!$B:$B,0))&amp;""),"—"))</f>
        <v/>
      </c>
      <c r="F1533" s="25">
        <f>IF($C1533="","",IFERROR(IF(INDEX(Roster!$D:$D,MATCH($C1533,Roster!$B:$B,0))="","",INDEX(Roster!$D:$D,MATCH($C1533,Roster!$B:$B,0))&amp;""),"—"))</f>
        <v/>
      </c>
      <c r="G1533" s="25">
        <f>IF($C1533="","",IFERROR(IF(INDEX(Roster!$E:$E,MATCH($C1533,Roster!$B:$B,0))="","",INDEX(Roster!$E:$E,MATCH($C1533,Roster!$B:$B,0))&amp;""),"—"))</f>
        <v/>
      </c>
      <c r="H1533" s="25">
        <f>IF($C1533="","",IFERROR(IF(INDEX(Roster!$F:$F,MATCH($C1533,Roster!$B:$B,0))="","",INDEX(Roster!$F:$F,MATCH($C1533,Roster!$B:$B,0))&amp;""),"—"))</f>
        <v/>
      </c>
      <c r="I1533" s="25">
        <f>IF($C1533="","",IFERROR(IF(INDEX(Roster!$G:$G,MATCH($C1533,Roster!$B:$B,0))="","",INDEX(Roster!$G:$G,MATCH($C1533,Roster!$B:$B,0))&amp;""),"—"))</f>
        <v/>
      </c>
      <c r="J1533" s="25">
        <f>IF($C1533="","",IFERROR(IF(INDEX(Roster!$I:$I,MATCH($C1533,Roster!$B:$B,0))="","",INDEX(Roster!$I:$I,MATCH($C1533,Roster!$B:$B,0))&amp;""),"—"))</f>
        <v/>
      </c>
      <c r="K1533">
        <f>IF($C1533="","",IFERROR(IF(INDEX(Roster!$J:$J,MATCH($C1533,Roster!$B:$B,0))="","",INDEX(Roster!$J:$J,MATCH($C1533,Roster!$B:$B,0))&amp;""),"—"))</f>
        <v/>
      </c>
      <c r="L1533">
        <f>IF($C1533="","",IFERROR(IF(INDEX(Roster!$K:$K,MATCH($C1533,Roster!$B:$B,0))="","",INDEX(Roster!$K:$K,MATCH($C1533,Roster!$B:$B,0))&amp;""),"—"))</f>
        <v/>
      </c>
      <c r="M1533" s="27" t="n"/>
      <c r="N1533" s="27" t="n"/>
      <c r="O1533" s="25">
        <f>IF($C1533="","",IF($P1533="","—",IF($P1533="Valid (Pass)","Valid","Invalid")))</f>
        <v/>
      </c>
      <c r="P1533" s="27" t="n"/>
      <c r="Q1533" s="27" t="n"/>
      <c r="R1533" s="27" t="n"/>
      <c r="S1533" s="27" t="n"/>
      <c r="T1533" s="25">
        <f>IF($C1533="","",IF(OR(ISNUMBER(SEARCH("quick case",$P1533)),ISNUMBER(SEARCH("quick case",$Q1533))),"Yes","No"))</f>
        <v/>
      </c>
      <c r="U1533" s="25">
        <f>IF($O1533="Invalid",HYPERLINK("mailto:"&amp;$G1533&amp;";"&amp;$I1533&amp;"?cc="&amp;Lists!$E$2&amp;"&amp;subject="&amp;_xlfn.ENCODEURL("[INVALID] Quality audit monitoring completed for "&amp;UPPER($C1533))&amp;"&amp;body="&amp;_xlfn.ENCODEURL("Hi "&amp;$F1533&amp;","&amp;CHAR(10)&amp;"Good day!"&amp;CHAR(10)&amp;CHAR(10)&amp;"A quality monitoring audit has been completed for "&amp;$C1533&amp;"."&amp;CHAR(10)&amp;CHAR(10)&amp;"QUALITY AUDIT DETAILS"&amp;CHAR(10)&amp;"Agent Name: "&amp;$C1533&amp;" (EID "&amp;$D1533&amp;")"&amp;CHAR(10)&amp;"Audit Date: "&amp;TEXT($B1533,"yyyy-mm-dd")&amp;CHAR(10)&amp;"Team Leader: "&amp;$F1533&amp;CHAR(10)&amp;"Case Number: "&amp;$M1533&amp;CHAR(10)&amp;"Transaction ID: "&amp;$N1533&amp;CHAR(10)&amp;"Channel / LOB: "&amp;$K1533&amp;" / "&amp;$L1533&amp;CHAR(10)&amp;"Evaluator: "&amp;$S1533&amp;CHAR(10)&amp;CHAR(10)&amp;"INVALID QUALITY AUDIT DETAILS"&amp;CHAR(10)&amp;"Validation: Invalid"&amp;CHAR(10)&amp;"Invalid Reason: "&amp;$P1533&amp;CHAR(10)&amp;"Expected Resolution Code: "&amp;$Q1533&amp;CHAR(10)&amp;"Remarks: "&amp;LEFT($R1533,600)&amp;CHAR(10)&amp;CHAR(10)&amp;"This is an automated notification from HP Mainstream EQMS."),"✉ Open Email Draft"),"")</f>
        <v/>
      </c>
    </row>
    <row r="1534">
      <c r="A1534" s="25">
        <f>IF($C1534="","","AUD-2026-"&amp;TEXT(ROW()-1,"000000"))</f>
        <v/>
      </c>
      <c r="B1534" s="26" t="n"/>
      <c r="C1534" s="27" t="n"/>
      <c r="D1534" s="25">
        <f>IF($C1534="","",IFERROR(IF(INDEX(Roster!$A:$A,MATCH($C1534,Roster!$B:$B,0))="","",INDEX(Roster!$A:$A,MATCH($C1534,Roster!$B:$B,0))&amp;""),"—"))</f>
        <v/>
      </c>
      <c r="E1534" s="25">
        <f>IF($C1534="","",IFERROR(IF(INDEX(Roster!$C:$C,MATCH($C1534,Roster!$B:$B,0))="","",INDEX(Roster!$C:$C,MATCH($C1534,Roster!$B:$B,0))&amp;""),"—"))</f>
        <v/>
      </c>
      <c r="F1534" s="25">
        <f>IF($C1534="","",IFERROR(IF(INDEX(Roster!$D:$D,MATCH($C1534,Roster!$B:$B,0))="","",INDEX(Roster!$D:$D,MATCH($C1534,Roster!$B:$B,0))&amp;""),"—"))</f>
        <v/>
      </c>
      <c r="G1534" s="25">
        <f>IF($C1534="","",IFERROR(IF(INDEX(Roster!$E:$E,MATCH($C1534,Roster!$B:$B,0))="","",INDEX(Roster!$E:$E,MATCH($C1534,Roster!$B:$B,0))&amp;""),"—"))</f>
        <v/>
      </c>
      <c r="H1534" s="25">
        <f>IF($C1534="","",IFERROR(IF(INDEX(Roster!$F:$F,MATCH($C1534,Roster!$B:$B,0))="","",INDEX(Roster!$F:$F,MATCH($C1534,Roster!$B:$B,0))&amp;""),"—"))</f>
        <v/>
      </c>
      <c r="I1534" s="25">
        <f>IF($C1534="","",IFERROR(IF(INDEX(Roster!$G:$G,MATCH($C1534,Roster!$B:$B,0))="","",INDEX(Roster!$G:$G,MATCH($C1534,Roster!$B:$B,0))&amp;""),"—"))</f>
        <v/>
      </c>
      <c r="J1534" s="25">
        <f>IF($C1534="","",IFERROR(IF(INDEX(Roster!$I:$I,MATCH($C1534,Roster!$B:$B,0))="","",INDEX(Roster!$I:$I,MATCH($C1534,Roster!$B:$B,0))&amp;""),"—"))</f>
        <v/>
      </c>
      <c r="K1534">
        <f>IF($C1534="","",IFERROR(IF(INDEX(Roster!$J:$J,MATCH($C1534,Roster!$B:$B,0))="","",INDEX(Roster!$J:$J,MATCH($C1534,Roster!$B:$B,0))&amp;""),"—"))</f>
        <v/>
      </c>
      <c r="L1534">
        <f>IF($C1534="","",IFERROR(IF(INDEX(Roster!$K:$K,MATCH($C1534,Roster!$B:$B,0))="","",INDEX(Roster!$K:$K,MATCH($C1534,Roster!$B:$B,0))&amp;""),"—"))</f>
        <v/>
      </c>
      <c r="M1534" s="27" t="n"/>
      <c r="N1534" s="27" t="n"/>
      <c r="O1534" s="25">
        <f>IF($C1534="","",IF($P1534="","—",IF($P1534="Valid (Pass)","Valid","Invalid")))</f>
        <v/>
      </c>
      <c r="P1534" s="27" t="n"/>
      <c r="Q1534" s="27" t="n"/>
      <c r="R1534" s="27" t="n"/>
      <c r="S1534" s="27" t="n"/>
      <c r="T1534" s="25">
        <f>IF($C1534="","",IF(OR(ISNUMBER(SEARCH("quick case",$P1534)),ISNUMBER(SEARCH("quick case",$Q1534))),"Yes","No"))</f>
        <v/>
      </c>
      <c r="U1534" s="25">
        <f>IF($O1534="Invalid",HYPERLINK("mailto:"&amp;$G1534&amp;";"&amp;$I1534&amp;"?cc="&amp;Lists!$E$2&amp;"&amp;subject="&amp;_xlfn.ENCODEURL("[INVALID] Quality audit monitoring completed for "&amp;UPPER($C1534))&amp;"&amp;body="&amp;_xlfn.ENCODEURL("Hi "&amp;$F1534&amp;","&amp;CHAR(10)&amp;"Good day!"&amp;CHAR(10)&amp;CHAR(10)&amp;"A quality monitoring audit has been completed for "&amp;$C1534&amp;"."&amp;CHAR(10)&amp;CHAR(10)&amp;"QUALITY AUDIT DETAILS"&amp;CHAR(10)&amp;"Agent Name: "&amp;$C1534&amp;" (EID "&amp;$D1534&amp;")"&amp;CHAR(10)&amp;"Audit Date: "&amp;TEXT($B1534,"yyyy-mm-dd")&amp;CHAR(10)&amp;"Team Leader: "&amp;$F1534&amp;CHAR(10)&amp;"Case Number: "&amp;$M1534&amp;CHAR(10)&amp;"Transaction ID: "&amp;$N1534&amp;CHAR(10)&amp;"Channel / LOB: "&amp;$K1534&amp;" / "&amp;$L1534&amp;CHAR(10)&amp;"Evaluator: "&amp;$S1534&amp;CHAR(10)&amp;CHAR(10)&amp;"INVALID QUALITY AUDIT DETAILS"&amp;CHAR(10)&amp;"Validation: Invalid"&amp;CHAR(10)&amp;"Invalid Reason: "&amp;$P1534&amp;CHAR(10)&amp;"Expected Resolution Code: "&amp;$Q1534&amp;CHAR(10)&amp;"Remarks: "&amp;LEFT($R1534,600)&amp;CHAR(10)&amp;CHAR(10)&amp;"This is an automated notification from HP Mainstream EQMS."),"✉ Open Email Draft"),"")</f>
        <v/>
      </c>
    </row>
    <row r="1535">
      <c r="A1535" s="25">
        <f>IF($C1535="","","AUD-2026-"&amp;TEXT(ROW()-1,"000000"))</f>
        <v/>
      </c>
      <c r="B1535" s="26" t="n"/>
      <c r="C1535" s="27" t="n"/>
      <c r="D1535" s="25">
        <f>IF($C1535="","",IFERROR(IF(INDEX(Roster!$A:$A,MATCH($C1535,Roster!$B:$B,0))="","",INDEX(Roster!$A:$A,MATCH($C1535,Roster!$B:$B,0))&amp;""),"—"))</f>
        <v/>
      </c>
      <c r="E1535" s="25">
        <f>IF($C1535="","",IFERROR(IF(INDEX(Roster!$C:$C,MATCH($C1535,Roster!$B:$B,0))="","",INDEX(Roster!$C:$C,MATCH($C1535,Roster!$B:$B,0))&amp;""),"—"))</f>
        <v/>
      </c>
      <c r="F1535" s="25">
        <f>IF($C1535="","",IFERROR(IF(INDEX(Roster!$D:$D,MATCH($C1535,Roster!$B:$B,0))="","",INDEX(Roster!$D:$D,MATCH($C1535,Roster!$B:$B,0))&amp;""),"—"))</f>
        <v/>
      </c>
      <c r="G1535" s="25">
        <f>IF($C1535="","",IFERROR(IF(INDEX(Roster!$E:$E,MATCH($C1535,Roster!$B:$B,0))="","",INDEX(Roster!$E:$E,MATCH($C1535,Roster!$B:$B,0))&amp;""),"—"))</f>
        <v/>
      </c>
      <c r="H1535" s="25">
        <f>IF($C1535="","",IFERROR(IF(INDEX(Roster!$F:$F,MATCH($C1535,Roster!$B:$B,0))="","",INDEX(Roster!$F:$F,MATCH($C1535,Roster!$B:$B,0))&amp;""),"—"))</f>
        <v/>
      </c>
      <c r="I1535" s="25">
        <f>IF($C1535="","",IFERROR(IF(INDEX(Roster!$G:$G,MATCH($C1535,Roster!$B:$B,0))="","",INDEX(Roster!$G:$G,MATCH($C1535,Roster!$B:$B,0))&amp;""),"—"))</f>
        <v/>
      </c>
      <c r="J1535" s="25">
        <f>IF($C1535="","",IFERROR(IF(INDEX(Roster!$I:$I,MATCH($C1535,Roster!$B:$B,0))="","",INDEX(Roster!$I:$I,MATCH($C1535,Roster!$B:$B,0))&amp;""),"—"))</f>
        <v/>
      </c>
      <c r="K1535">
        <f>IF($C1535="","",IFERROR(IF(INDEX(Roster!$J:$J,MATCH($C1535,Roster!$B:$B,0))="","",INDEX(Roster!$J:$J,MATCH($C1535,Roster!$B:$B,0))&amp;""),"—"))</f>
        <v/>
      </c>
      <c r="L1535">
        <f>IF($C1535="","",IFERROR(IF(INDEX(Roster!$K:$K,MATCH($C1535,Roster!$B:$B,0))="","",INDEX(Roster!$K:$K,MATCH($C1535,Roster!$B:$B,0))&amp;""),"—"))</f>
        <v/>
      </c>
      <c r="M1535" s="27" t="n"/>
      <c r="N1535" s="27" t="n"/>
      <c r="O1535" s="25">
        <f>IF($C1535="","",IF($P1535="","—",IF($P1535="Valid (Pass)","Valid","Invalid")))</f>
        <v/>
      </c>
      <c r="P1535" s="27" t="n"/>
      <c r="Q1535" s="27" t="n"/>
      <c r="R1535" s="27" t="n"/>
      <c r="S1535" s="27" t="n"/>
      <c r="T1535" s="25">
        <f>IF($C1535="","",IF(OR(ISNUMBER(SEARCH("quick case",$P1535)),ISNUMBER(SEARCH("quick case",$Q1535))),"Yes","No"))</f>
        <v/>
      </c>
      <c r="U1535" s="25">
        <f>IF($O1535="Invalid",HYPERLINK("mailto:"&amp;$G1535&amp;";"&amp;$I1535&amp;"?cc="&amp;Lists!$E$2&amp;"&amp;subject="&amp;_xlfn.ENCODEURL("[INVALID] Quality audit monitoring completed for "&amp;UPPER($C1535))&amp;"&amp;body="&amp;_xlfn.ENCODEURL("Hi "&amp;$F1535&amp;","&amp;CHAR(10)&amp;"Good day!"&amp;CHAR(10)&amp;CHAR(10)&amp;"A quality monitoring audit has been completed for "&amp;$C1535&amp;"."&amp;CHAR(10)&amp;CHAR(10)&amp;"QUALITY AUDIT DETAILS"&amp;CHAR(10)&amp;"Agent Name: "&amp;$C1535&amp;" (EID "&amp;$D1535&amp;")"&amp;CHAR(10)&amp;"Audit Date: "&amp;TEXT($B1535,"yyyy-mm-dd")&amp;CHAR(10)&amp;"Team Leader: "&amp;$F1535&amp;CHAR(10)&amp;"Case Number: "&amp;$M1535&amp;CHAR(10)&amp;"Transaction ID: "&amp;$N1535&amp;CHAR(10)&amp;"Channel / LOB: "&amp;$K1535&amp;" / "&amp;$L1535&amp;CHAR(10)&amp;"Evaluator: "&amp;$S1535&amp;CHAR(10)&amp;CHAR(10)&amp;"INVALID QUALITY AUDIT DETAILS"&amp;CHAR(10)&amp;"Validation: Invalid"&amp;CHAR(10)&amp;"Invalid Reason: "&amp;$P1535&amp;CHAR(10)&amp;"Expected Resolution Code: "&amp;$Q1535&amp;CHAR(10)&amp;"Remarks: "&amp;LEFT($R1535,600)&amp;CHAR(10)&amp;CHAR(10)&amp;"This is an automated notification from HP Mainstream EQMS."),"✉ Open Email Draft"),"")</f>
        <v/>
      </c>
    </row>
    <row r="1536">
      <c r="A1536" s="25">
        <f>IF($C1536="","","AUD-2026-"&amp;TEXT(ROW()-1,"000000"))</f>
        <v/>
      </c>
      <c r="B1536" s="26" t="n"/>
      <c r="C1536" s="27" t="n"/>
      <c r="D1536" s="25">
        <f>IF($C1536="","",IFERROR(IF(INDEX(Roster!$A:$A,MATCH($C1536,Roster!$B:$B,0))="","",INDEX(Roster!$A:$A,MATCH($C1536,Roster!$B:$B,0))&amp;""),"—"))</f>
        <v/>
      </c>
      <c r="E1536" s="25">
        <f>IF($C1536="","",IFERROR(IF(INDEX(Roster!$C:$C,MATCH($C1536,Roster!$B:$B,0))="","",INDEX(Roster!$C:$C,MATCH($C1536,Roster!$B:$B,0))&amp;""),"—"))</f>
        <v/>
      </c>
      <c r="F1536" s="25">
        <f>IF($C1536="","",IFERROR(IF(INDEX(Roster!$D:$D,MATCH($C1536,Roster!$B:$B,0))="","",INDEX(Roster!$D:$D,MATCH($C1536,Roster!$B:$B,0))&amp;""),"—"))</f>
        <v/>
      </c>
      <c r="G1536" s="25">
        <f>IF($C1536="","",IFERROR(IF(INDEX(Roster!$E:$E,MATCH($C1536,Roster!$B:$B,0))="","",INDEX(Roster!$E:$E,MATCH($C1536,Roster!$B:$B,0))&amp;""),"—"))</f>
        <v/>
      </c>
      <c r="H1536" s="25">
        <f>IF($C1536="","",IFERROR(IF(INDEX(Roster!$F:$F,MATCH($C1536,Roster!$B:$B,0))="","",INDEX(Roster!$F:$F,MATCH($C1536,Roster!$B:$B,0))&amp;""),"—"))</f>
        <v/>
      </c>
      <c r="I1536" s="25">
        <f>IF($C1536="","",IFERROR(IF(INDEX(Roster!$G:$G,MATCH($C1536,Roster!$B:$B,0))="","",INDEX(Roster!$G:$G,MATCH($C1536,Roster!$B:$B,0))&amp;""),"—"))</f>
        <v/>
      </c>
      <c r="J1536" s="25">
        <f>IF($C1536="","",IFERROR(IF(INDEX(Roster!$I:$I,MATCH($C1536,Roster!$B:$B,0))="","",INDEX(Roster!$I:$I,MATCH($C1536,Roster!$B:$B,0))&amp;""),"—"))</f>
        <v/>
      </c>
      <c r="K1536">
        <f>IF($C1536="","",IFERROR(IF(INDEX(Roster!$J:$J,MATCH($C1536,Roster!$B:$B,0))="","",INDEX(Roster!$J:$J,MATCH($C1536,Roster!$B:$B,0))&amp;""),"—"))</f>
        <v/>
      </c>
      <c r="L1536">
        <f>IF($C1536="","",IFERROR(IF(INDEX(Roster!$K:$K,MATCH($C1536,Roster!$B:$B,0))="","",INDEX(Roster!$K:$K,MATCH($C1536,Roster!$B:$B,0))&amp;""),"—"))</f>
        <v/>
      </c>
      <c r="M1536" s="27" t="n"/>
      <c r="N1536" s="27" t="n"/>
      <c r="O1536" s="25">
        <f>IF($C1536="","",IF($P1536="","—",IF($P1536="Valid (Pass)","Valid","Invalid")))</f>
        <v/>
      </c>
      <c r="P1536" s="27" t="n"/>
      <c r="Q1536" s="27" t="n"/>
      <c r="R1536" s="27" t="n"/>
      <c r="S1536" s="27" t="n"/>
      <c r="T1536" s="25">
        <f>IF($C1536="","",IF(OR(ISNUMBER(SEARCH("quick case",$P1536)),ISNUMBER(SEARCH("quick case",$Q1536))),"Yes","No"))</f>
        <v/>
      </c>
      <c r="U1536" s="25">
        <f>IF($O1536="Invalid",HYPERLINK("mailto:"&amp;$G1536&amp;";"&amp;$I1536&amp;"?cc="&amp;Lists!$E$2&amp;"&amp;subject="&amp;_xlfn.ENCODEURL("[INVALID] Quality audit monitoring completed for "&amp;UPPER($C1536))&amp;"&amp;body="&amp;_xlfn.ENCODEURL("Hi "&amp;$F1536&amp;","&amp;CHAR(10)&amp;"Good day!"&amp;CHAR(10)&amp;CHAR(10)&amp;"A quality monitoring audit has been completed for "&amp;$C1536&amp;"."&amp;CHAR(10)&amp;CHAR(10)&amp;"QUALITY AUDIT DETAILS"&amp;CHAR(10)&amp;"Agent Name: "&amp;$C1536&amp;" (EID "&amp;$D1536&amp;")"&amp;CHAR(10)&amp;"Audit Date: "&amp;TEXT($B1536,"yyyy-mm-dd")&amp;CHAR(10)&amp;"Team Leader: "&amp;$F1536&amp;CHAR(10)&amp;"Case Number: "&amp;$M1536&amp;CHAR(10)&amp;"Transaction ID: "&amp;$N1536&amp;CHAR(10)&amp;"Channel / LOB: "&amp;$K1536&amp;" / "&amp;$L1536&amp;CHAR(10)&amp;"Evaluator: "&amp;$S1536&amp;CHAR(10)&amp;CHAR(10)&amp;"INVALID QUALITY AUDIT DETAILS"&amp;CHAR(10)&amp;"Validation: Invalid"&amp;CHAR(10)&amp;"Invalid Reason: "&amp;$P1536&amp;CHAR(10)&amp;"Expected Resolution Code: "&amp;$Q1536&amp;CHAR(10)&amp;"Remarks: "&amp;LEFT($R1536,600)&amp;CHAR(10)&amp;CHAR(10)&amp;"This is an automated notification from HP Mainstream EQMS."),"✉ Open Email Draft"),"")</f>
        <v/>
      </c>
    </row>
    <row r="1537">
      <c r="A1537" s="25">
        <f>IF($C1537="","","AUD-2026-"&amp;TEXT(ROW()-1,"000000"))</f>
        <v/>
      </c>
      <c r="B1537" s="26" t="n"/>
      <c r="C1537" s="27" t="n"/>
      <c r="D1537" s="25">
        <f>IF($C1537="","",IFERROR(IF(INDEX(Roster!$A:$A,MATCH($C1537,Roster!$B:$B,0))="","",INDEX(Roster!$A:$A,MATCH($C1537,Roster!$B:$B,0))&amp;""),"—"))</f>
        <v/>
      </c>
      <c r="E1537" s="25">
        <f>IF($C1537="","",IFERROR(IF(INDEX(Roster!$C:$C,MATCH($C1537,Roster!$B:$B,0))="","",INDEX(Roster!$C:$C,MATCH($C1537,Roster!$B:$B,0))&amp;""),"—"))</f>
        <v/>
      </c>
      <c r="F1537" s="25">
        <f>IF($C1537="","",IFERROR(IF(INDEX(Roster!$D:$D,MATCH($C1537,Roster!$B:$B,0))="","",INDEX(Roster!$D:$D,MATCH($C1537,Roster!$B:$B,0))&amp;""),"—"))</f>
        <v/>
      </c>
      <c r="G1537" s="25">
        <f>IF($C1537="","",IFERROR(IF(INDEX(Roster!$E:$E,MATCH($C1537,Roster!$B:$B,0))="","",INDEX(Roster!$E:$E,MATCH($C1537,Roster!$B:$B,0))&amp;""),"—"))</f>
        <v/>
      </c>
      <c r="H1537" s="25">
        <f>IF($C1537="","",IFERROR(IF(INDEX(Roster!$F:$F,MATCH($C1537,Roster!$B:$B,0))="","",INDEX(Roster!$F:$F,MATCH($C1537,Roster!$B:$B,0))&amp;""),"—"))</f>
        <v/>
      </c>
      <c r="I1537" s="25">
        <f>IF($C1537="","",IFERROR(IF(INDEX(Roster!$G:$G,MATCH($C1537,Roster!$B:$B,0))="","",INDEX(Roster!$G:$G,MATCH($C1537,Roster!$B:$B,0))&amp;""),"—"))</f>
        <v/>
      </c>
      <c r="J1537" s="25">
        <f>IF($C1537="","",IFERROR(IF(INDEX(Roster!$I:$I,MATCH($C1537,Roster!$B:$B,0))="","",INDEX(Roster!$I:$I,MATCH($C1537,Roster!$B:$B,0))&amp;""),"—"))</f>
        <v/>
      </c>
      <c r="K1537">
        <f>IF($C1537="","",IFERROR(IF(INDEX(Roster!$J:$J,MATCH($C1537,Roster!$B:$B,0))="","",INDEX(Roster!$J:$J,MATCH($C1537,Roster!$B:$B,0))&amp;""),"—"))</f>
        <v/>
      </c>
      <c r="L1537">
        <f>IF($C1537="","",IFERROR(IF(INDEX(Roster!$K:$K,MATCH($C1537,Roster!$B:$B,0))="","",INDEX(Roster!$K:$K,MATCH($C1537,Roster!$B:$B,0))&amp;""),"—"))</f>
        <v/>
      </c>
      <c r="M1537" s="27" t="n"/>
      <c r="N1537" s="27" t="n"/>
      <c r="O1537" s="25">
        <f>IF($C1537="","",IF($P1537="","—",IF($P1537="Valid (Pass)","Valid","Invalid")))</f>
        <v/>
      </c>
      <c r="P1537" s="27" t="n"/>
      <c r="Q1537" s="27" t="n"/>
      <c r="R1537" s="27" t="n"/>
      <c r="S1537" s="27" t="n"/>
      <c r="T1537" s="25">
        <f>IF($C1537="","",IF(OR(ISNUMBER(SEARCH("quick case",$P1537)),ISNUMBER(SEARCH("quick case",$Q1537))),"Yes","No"))</f>
        <v/>
      </c>
      <c r="U1537" s="25">
        <f>IF($O1537="Invalid",HYPERLINK("mailto:"&amp;$G1537&amp;";"&amp;$I1537&amp;"?cc="&amp;Lists!$E$2&amp;"&amp;subject="&amp;_xlfn.ENCODEURL("[INVALID] Quality audit monitoring completed for "&amp;UPPER($C1537))&amp;"&amp;body="&amp;_xlfn.ENCODEURL("Hi "&amp;$F1537&amp;","&amp;CHAR(10)&amp;"Good day!"&amp;CHAR(10)&amp;CHAR(10)&amp;"A quality monitoring audit has been completed for "&amp;$C1537&amp;"."&amp;CHAR(10)&amp;CHAR(10)&amp;"QUALITY AUDIT DETAILS"&amp;CHAR(10)&amp;"Agent Name: "&amp;$C1537&amp;" (EID "&amp;$D1537&amp;")"&amp;CHAR(10)&amp;"Audit Date: "&amp;TEXT($B1537,"yyyy-mm-dd")&amp;CHAR(10)&amp;"Team Leader: "&amp;$F1537&amp;CHAR(10)&amp;"Case Number: "&amp;$M1537&amp;CHAR(10)&amp;"Transaction ID: "&amp;$N1537&amp;CHAR(10)&amp;"Channel / LOB: "&amp;$K1537&amp;" / "&amp;$L1537&amp;CHAR(10)&amp;"Evaluator: "&amp;$S1537&amp;CHAR(10)&amp;CHAR(10)&amp;"INVALID QUALITY AUDIT DETAILS"&amp;CHAR(10)&amp;"Validation: Invalid"&amp;CHAR(10)&amp;"Invalid Reason: "&amp;$P1537&amp;CHAR(10)&amp;"Expected Resolution Code: "&amp;$Q1537&amp;CHAR(10)&amp;"Remarks: "&amp;LEFT($R1537,600)&amp;CHAR(10)&amp;CHAR(10)&amp;"This is an automated notification from HP Mainstream EQMS."),"✉ Open Email Draft"),"")</f>
        <v/>
      </c>
    </row>
    <row r="1538">
      <c r="A1538" s="25">
        <f>IF($C1538="","","AUD-2026-"&amp;TEXT(ROW()-1,"000000"))</f>
        <v/>
      </c>
      <c r="B1538" s="26" t="n"/>
      <c r="C1538" s="27" t="n"/>
      <c r="D1538" s="25">
        <f>IF($C1538="","",IFERROR(IF(INDEX(Roster!$A:$A,MATCH($C1538,Roster!$B:$B,0))="","",INDEX(Roster!$A:$A,MATCH($C1538,Roster!$B:$B,0))&amp;""),"—"))</f>
        <v/>
      </c>
      <c r="E1538" s="25">
        <f>IF($C1538="","",IFERROR(IF(INDEX(Roster!$C:$C,MATCH($C1538,Roster!$B:$B,0))="","",INDEX(Roster!$C:$C,MATCH($C1538,Roster!$B:$B,0))&amp;""),"—"))</f>
        <v/>
      </c>
      <c r="F1538" s="25">
        <f>IF($C1538="","",IFERROR(IF(INDEX(Roster!$D:$D,MATCH($C1538,Roster!$B:$B,0))="","",INDEX(Roster!$D:$D,MATCH($C1538,Roster!$B:$B,0))&amp;""),"—"))</f>
        <v/>
      </c>
      <c r="G1538" s="25">
        <f>IF($C1538="","",IFERROR(IF(INDEX(Roster!$E:$E,MATCH($C1538,Roster!$B:$B,0))="","",INDEX(Roster!$E:$E,MATCH($C1538,Roster!$B:$B,0))&amp;""),"—"))</f>
        <v/>
      </c>
      <c r="H1538" s="25">
        <f>IF($C1538="","",IFERROR(IF(INDEX(Roster!$F:$F,MATCH($C1538,Roster!$B:$B,0))="","",INDEX(Roster!$F:$F,MATCH($C1538,Roster!$B:$B,0))&amp;""),"—"))</f>
        <v/>
      </c>
      <c r="I1538" s="25">
        <f>IF($C1538="","",IFERROR(IF(INDEX(Roster!$G:$G,MATCH($C1538,Roster!$B:$B,0))="","",INDEX(Roster!$G:$G,MATCH($C1538,Roster!$B:$B,0))&amp;""),"—"))</f>
        <v/>
      </c>
      <c r="J1538" s="25">
        <f>IF($C1538="","",IFERROR(IF(INDEX(Roster!$I:$I,MATCH($C1538,Roster!$B:$B,0))="","",INDEX(Roster!$I:$I,MATCH($C1538,Roster!$B:$B,0))&amp;""),"—"))</f>
        <v/>
      </c>
      <c r="K1538">
        <f>IF($C1538="","",IFERROR(IF(INDEX(Roster!$J:$J,MATCH($C1538,Roster!$B:$B,0))="","",INDEX(Roster!$J:$J,MATCH($C1538,Roster!$B:$B,0))&amp;""),"—"))</f>
        <v/>
      </c>
      <c r="L1538">
        <f>IF($C1538="","",IFERROR(IF(INDEX(Roster!$K:$K,MATCH($C1538,Roster!$B:$B,0))="","",INDEX(Roster!$K:$K,MATCH($C1538,Roster!$B:$B,0))&amp;""),"—"))</f>
        <v/>
      </c>
      <c r="M1538" s="27" t="n"/>
      <c r="N1538" s="27" t="n"/>
      <c r="O1538" s="25">
        <f>IF($C1538="","",IF($P1538="","—",IF($P1538="Valid (Pass)","Valid","Invalid")))</f>
        <v/>
      </c>
      <c r="P1538" s="27" t="n"/>
      <c r="Q1538" s="27" t="n"/>
      <c r="R1538" s="27" t="n"/>
      <c r="S1538" s="27" t="n"/>
      <c r="T1538" s="25">
        <f>IF($C1538="","",IF(OR(ISNUMBER(SEARCH("quick case",$P1538)),ISNUMBER(SEARCH("quick case",$Q1538))),"Yes","No"))</f>
        <v/>
      </c>
      <c r="U1538" s="25">
        <f>IF($O1538="Invalid",HYPERLINK("mailto:"&amp;$G1538&amp;";"&amp;$I1538&amp;"?cc="&amp;Lists!$E$2&amp;"&amp;subject="&amp;_xlfn.ENCODEURL("[INVALID] Quality audit monitoring completed for "&amp;UPPER($C1538))&amp;"&amp;body="&amp;_xlfn.ENCODEURL("Hi "&amp;$F1538&amp;","&amp;CHAR(10)&amp;"Good day!"&amp;CHAR(10)&amp;CHAR(10)&amp;"A quality monitoring audit has been completed for "&amp;$C1538&amp;"."&amp;CHAR(10)&amp;CHAR(10)&amp;"QUALITY AUDIT DETAILS"&amp;CHAR(10)&amp;"Agent Name: "&amp;$C1538&amp;" (EID "&amp;$D1538&amp;")"&amp;CHAR(10)&amp;"Audit Date: "&amp;TEXT($B1538,"yyyy-mm-dd")&amp;CHAR(10)&amp;"Team Leader: "&amp;$F1538&amp;CHAR(10)&amp;"Case Number: "&amp;$M1538&amp;CHAR(10)&amp;"Transaction ID: "&amp;$N1538&amp;CHAR(10)&amp;"Channel / LOB: "&amp;$K1538&amp;" / "&amp;$L1538&amp;CHAR(10)&amp;"Evaluator: "&amp;$S1538&amp;CHAR(10)&amp;CHAR(10)&amp;"INVALID QUALITY AUDIT DETAILS"&amp;CHAR(10)&amp;"Validation: Invalid"&amp;CHAR(10)&amp;"Invalid Reason: "&amp;$P1538&amp;CHAR(10)&amp;"Expected Resolution Code: "&amp;$Q1538&amp;CHAR(10)&amp;"Remarks: "&amp;LEFT($R1538,600)&amp;CHAR(10)&amp;CHAR(10)&amp;"This is an automated notification from HP Mainstream EQMS."),"✉ Open Email Draft"),"")</f>
        <v/>
      </c>
    </row>
    <row r="1539">
      <c r="A1539" s="25">
        <f>IF($C1539="","","AUD-2026-"&amp;TEXT(ROW()-1,"000000"))</f>
        <v/>
      </c>
      <c r="B1539" s="26" t="n"/>
      <c r="C1539" s="27" t="n"/>
      <c r="D1539" s="25">
        <f>IF($C1539="","",IFERROR(IF(INDEX(Roster!$A:$A,MATCH($C1539,Roster!$B:$B,0))="","",INDEX(Roster!$A:$A,MATCH($C1539,Roster!$B:$B,0))&amp;""),"—"))</f>
        <v/>
      </c>
      <c r="E1539" s="25">
        <f>IF($C1539="","",IFERROR(IF(INDEX(Roster!$C:$C,MATCH($C1539,Roster!$B:$B,0))="","",INDEX(Roster!$C:$C,MATCH($C1539,Roster!$B:$B,0))&amp;""),"—"))</f>
        <v/>
      </c>
      <c r="F1539" s="25">
        <f>IF($C1539="","",IFERROR(IF(INDEX(Roster!$D:$D,MATCH($C1539,Roster!$B:$B,0))="","",INDEX(Roster!$D:$D,MATCH($C1539,Roster!$B:$B,0))&amp;""),"—"))</f>
        <v/>
      </c>
      <c r="G1539" s="25">
        <f>IF($C1539="","",IFERROR(IF(INDEX(Roster!$E:$E,MATCH($C1539,Roster!$B:$B,0))="","",INDEX(Roster!$E:$E,MATCH($C1539,Roster!$B:$B,0))&amp;""),"—"))</f>
        <v/>
      </c>
      <c r="H1539" s="25">
        <f>IF($C1539="","",IFERROR(IF(INDEX(Roster!$F:$F,MATCH($C1539,Roster!$B:$B,0))="","",INDEX(Roster!$F:$F,MATCH($C1539,Roster!$B:$B,0))&amp;""),"—"))</f>
        <v/>
      </c>
      <c r="I1539" s="25">
        <f>IF($C1539="","",IFERROR(IF(INDEX(Roster!$G:$G,MATCH($C1539,Roster!$B:$B,0))="","",INDEX(Roster!$G:$G,MATCH($C1539,Roster!$B:$B,0))&amp;""),"—"))</f>
        <v/>
      </c>
      <c r="J1539" s="25">
        <f>IF($C1539="","",IFERROR(IF(INDEX(Roster!$I:$I,MATCH($C1539,Roster!$B:$B,0))="","",INDEX(Roster!$I:$I,MATCH($C1539,Roster!$B:$B,0))&amp;""),"—"))</f>
        <v/>
      </c>
      <c r="K1539">
        <f>IF($C1539="","",IFERROR(IF(INDEX(Roster!$J:$J,MATCH($C1539,Roster!$B:$B,0))="","",INDEX(Roster!$J:$J,MATCH($C1539,Roster!$B:$B,0))&amp;""),"—"))</f>
        <v/>
      </c>
      <c r="L1539">
        <f>IF($C1539="","",IFERROR(IF(INDEX(Roster!$K:$K,MATCH($C1539,Roster!$B:$B,0))="","",INDEX(Roster!$K:$K,MATCH($C1539,Roster!$B:$B,0))&amp;""),"—"))</f>
        <v/>
      </c>
      <c r="M1539" s="27" t="n"/>
      <c r="N1539" s="27" t="n"/>
      <c r="O1539" s="25">
        <f>IF($C1539="","",IF($P1539="","—",IF($P1539="Valid (Pass)","Valid","Invalid")))</f>
        <v/>
      </c>
      <c r="P1539" s="27" t="n"/>
      <c r="Q1539" s="27" t="n"/>
      <c r="R1539" s="27" t="n"/>
      <c r="S1539" s="27" t="n"/>
      <c r="T1539" s="25">
        <f>IF($C1539="","",IF(OR(ISNUMBER(SEARCH("quick case",$P1539)),ISNUMBER(SEARCH("quick case",$Q1539))),"Yes","No"))</f>
        <v/>
      </c>
      <c r="U1539" s="25">
        <f>IF($O1539="Invalid",HYPERLINK("mailto:"&amp;$G1539&amp;";"&amp;$I1539&amp;"?cc="&amp;Lists!$E$2&amp;"&amp;subject="&amp;_xlfn.ENCODEURL("[INVALID] Quality audit monitoring completed for "&amp;UPPER($C1539))&amp;"&amp;body="&amp;_xlfn.ENCODEURL("Hi "&amp;$F1539&amp;","&amp;CHAR(10)&amp;"Good day!"&amp;CHAR(10)&amp;CHAR(10)&amp;"A quality monitoring audit has been completed for "&amp;$C1539&amp;"."&amp;CHAR(10)&amp;CHAR(10)&amp;"QUALITY AUDIT DETAILS"&amp;CHAR(10)&amp;"Agent Name: "&amp;$C1539&amp;" (EID "&amp;$D1539&amp;")"&amp;CHAR(10)&amp;"Audit Date: "&amp;TEXT($B1539,"yyyy-mm-dd")&amp;CHAR(10)&amp;"Team Leader: "&amp;$F1539&amp;CHAR(10)&amp;"Case Number: "&amp;$M1539&amp;CHAR(10)&amp;"Transaction ID: "&amp;$N1539&amp;CHAR(10)&amp;"Channel / LOB: "&amp;$K1539&amp;" / "&amp;$L1539&amp;CHAR(10)&amp;"Evaluator: "&amp;$S1539&amp;CHAR(10)&amp;CHAR(10)&amp;"INVALID QUALITY AUDIT DETAILS"&amp;CHAR(10)&amp;"Validation: Invalid"&amp;CHAR(10)&amp;"Invalid Reason: "&amp;$P1539&amp;CHAR(10)&amp;"Expected Resolution Code: "&amp;$Q1539&amp;CHAR(10)&amp;"Remarks: "&amp;LEFT($R1539,600)&amp;CHAR(10)&amp;CHAR(10)&amp;"This is an automated notification from HP Mainstream EQMS."),"✉ Open Email Draft"),"")</f>
        <v/>
      </c>
    </row>
    <row r="1540">
      <c r="A1540" s="25">
        <f>IF($C1540="","","AUD-2026-"&amp;TEXT(ROW()-1,"000000"))</f>
        <v/>
      </c>
      <c r="B1540" s="26" t="n"/>
      <c r="C1540" s="27" t="n"/>
      <c r="D1540" s="25">
        <f>IF($C1540="","",IFERROR(IF(INDEX(Roster!$A:$A,MATCH($C1540,Roster!$B:$B,0))="","",INDEX(Roster!$A:$A,MATCH($C1540,Roster!$B:$B,0))&amp;""),"—"))</f>
        <v/>
      </c>
      <c r="E1540" s="25">
        <f>IF($C1540="","",IFERROR(IF(INDEX(Roster!$C:$C,MATCH($C1540,Roster!$B:$B,0))="","",INDEX(Roster!$C:$C,MATCH($C1540,Roster!$B:$B,0))&amp;""),"—"))</f>
        <v/>
      </c>
      <c r="F1540" s="25">
        <f>IF($C1540="","",IFERROR(IF(INDEX(Roster!$D:$D,MATCH($C1540,Roster!$B:$B,0))="","",INDEX(Roster!$D:$D,MATCH($C1540,Roster!$B:$B,0))&amp;""),"—"))</f>
        <v/>
      </c>
      <c r="G1540" s="25">
        <f>IF($C1540="","",IFERROR(IF(INDEX(Roster!$E:$E,MATCH($C1540,Roster!$B:$B,0))="","",INDEX(Roster!$E:$E,MATCH($C1540,Roster!$B:$B,0))&amp;""),"—"))</f>
        <v/>
      </c>
      <c r="H1540" s="25">
        <f>IF($C1540="","",IFERROR(IF(INDEX(Roster!$F:$F,MATCH($C1540,Roster!$B:$B,0))="","",INDEX(Roster!$F:$F,MATCH($C1540,Roster!$B:$B,0))&amp;""),"—"))</f>
        <v/>
      </c>
      <c r="I1540" s="25">
        <f>IF($C1540="","",IFERROR(IF(INDEX(Roster!$G:$G,MATCH($C1540,Roster!$B:$B,0))="","",INDEX(Roster!$G:$G,MATCH($C1540,Roster!$B:$B,0))&amp;""),"—"))</f>
        <v/>
      </c>
      <c r="J1540" s="25">
        <f>IF($C1540="","",IFERROR(IF(INDEX(Roster!$I:$I,MATCH($C1540,Roster!$B:$B,0))="","",INDEX(Roster!$I:$I,MATCH($C1540,Roster!$B:$B,0))&amp;""),"—"))</f>
        <v/>
      </c>
      <c r="K1540">
        <f>IF($C1540="","",IFERROR(IF(INDEX(Roster!$J:$J,MATCH($C1540,Roster!$B:$B,0))="","",INDEX(Roster!$J:$J,MATCH($C1540,Roster!$B:$B,0))&amp;""),"—"))</f>
        <v/>
      </c>
      <c r="L1540">
        <f>IF($C1540="","",IFERROR(IF(INDEX(Roster!$K:$K,MATCH($C1540,Roster!$B:$B,0))="","",INDEX(Roster!$K:$K,MATCH($C1540,Roster!$B:$B,0))&amp;""),"—"))</f>
        <v/>
      </c>
      <c r="M1540" s="27" t="n"/>
      <c r="N1540" s="27" t="n"/>
      <c r="O1540" s="25">
        <f>IF($C1540="","",IF($P1540="","—",IF($P1540="Valid (Pass)","Valid","Invalid")))</f>
        <v/>
      </c>
      <c r="P1540" s="27" t="n"/>
      <c r="Q1540" s="27" t="n"/>
      <c r="R1540" s="27" t="n"/>
      <c r="S1540" s="27" t="n"/>
      <c r="T1540" s="25">
        <f>IF($C1540="","",IF(OR(ISNUMBER(SEARCH("quick case",$P1540)),ISNUMBER(SEARCH("quick case",$Q1540))),"Yes","No"))</f>
        <v/>
      </c>
      <c r="U1540" s="25">
        <f>IF($O1540="Invalid",HYPERLINK("mailto:"&amp;$G1540&amp;";"&amp;$I1540&amp;"?cc="&amp;Lists!$E$2&amp;"&amp;subject="&amp;_xlfn.ENCODEURL("[INVALID] Quality audit monitoring completed for "&amp;UPPER($C1540))&amp;"&amp;body="&amp;_xlfn.ENCODEURL("Hi "&amp;$F1540&amp;","&amp;CHAR(10)&amp;"Good day!"&amp;CHAR(10)&amp;CHAR(10)&amp;"A quality monitoring audit has been completed for "&amp;$C1540&amp;"."&amp;CHAR(10)&amp;CHAR(10)&amp;"QUALITY AUDIT DETAILS"&amp;CHAR(10)&amp;"Agent Name: "&amp;$C1540&amp;" (EID "&amp;$D1540&amp;")"&amp;CHAR(10)&amp;"Audit Date: "&amp;TEXT($B1540,"yyyy-mm-dd")&amp;CHAR(10)&amp;"Team Leader: "&amp;$F1540&amp;CHAR(10)&amp;"Case Number: "&amp;$M1540&amp;CHAR(10)&amp;"Transaction ID: "&amp;$N1540&amp;CHAR(10)&amp;"Channel / LOB: "&amp;$K1540&amp;" / "&amp;$L1540&amp;CHAR(10)&amp;"Evaluator: "&amp;$S1540&amp;CHAR(10)&amp;CHAR(10)&amp;"INVALID QUALITY AUDIT DETAILS"&amp;CHAR(10)&amp;"Validation: Invalid"&amp;CHAR(10)&amp;"Invalid Reason: "&amp;$P1540&amp;CHAR(10)&amp;"Expected Resolution Code: "&amp;$Q1540&amp;CHAR(10)&amp;"Remarks: "&amp;LEFT($R1540,600)&amp;CHAR(10)&amp;CHAR(10)&amp;"This is an automated notification from HP Mainstream EQMS."),"✉ Open Email Draft"),"")</f>
        <v/>
      </c>
    </row>
    <row r="1541">
      <c r="A1541" s="25">
        <f>IF($C1541="","","AUD-2026-"&amp;TEXT(ROW()-1,"000000"))</f>
        <v/>
      </c>
      <c r="B1541" s="26" t="n"/>
      <c r="C1541" s="27" t="n"/>
      <c r="D1541" s="25">
        <f>IF($C1541="","",IFERROR(IF(INDEX(Roster!$A:$A,MATCH($C1541,Roster!$B:$B,0))="","",INDEX(Roster!$A:$A,MATCH($C1541,Roster!$B:$B,0))&amp;""),"—"))</f>
        <v/>
      </c>
      <c r="E1541" s="25">
        <f>IF($C1541="","",IFERROR(IF(INDEX(Roster!$C:$C,MATCH($C1541,Roster!$B:$B,0))="","",INDEX(Roster!$C:$C,MATCH($C1541,Roster!$B:$B,0))&amp;""),"—"))</f>
        <v/>
      </c>
      <c r="F1541" s="25">
        <f>IF($C1541="","",IFERROR(IF(INDEX(Roster!$D:$D,MATCH($C1541,Roster!$B:$B,0))="","",INDEX(Roster!$D:$D,MATCH($C1541,Roster!$B:$B,0))&amp;""),"—"))</f>
        <v/>
      </c>
      <c r="G1541" s="25">
        <f>IF($C1541="","",IFERROR(IF(INDEX(Roster!$E:$E,MATCH($C1541,Roster!$B:$B,0))="","",INDEX(Roster!$E:$E,MATCH($C1541,Roster!$B:$B,0))&amp;""),"—"))</f>
        <v/>
      </c>
      <c r="H1541" s="25">
        <f>IF($C1541="","",IFERROR(IF(INDEX(Roster!$F:$F,MATCH($C1541,Roster!$B:$B,0))="","",INDEX(Roster!$F:$F,MATCH($C1541,Roster!$B:$B,0))&amp;""),"—"))</f>
        <v/>
      </c>
      <c r="I1541" s="25">
        <f>IF($C1541="","",IFERROR(IF(INDEX(Roster!$G:$G,MATCH($C1541,Roster!$B:$B,0))="","",INDEX(Roster!$G:$G,MATCH($C1541,Roster!$B:$B,0))&amp;""),"—"))</f>
        <v/>
      </c>
      <c r="J1541" s="25">
        <f>IF($C1541="","",IFERROR(IF(INDEX(Roster!$I:$I,MATCH($C1541,Roster!$B:$B,0))="","",INDEX(Roster!$I:$I,MATCH($C1541,Roster!$B:$B,0))&amp;""),"—"))</f>
        <v/>
      </c>
      <c r="K1541">
        <f>IF($C1541="","",IFERROR(IF(INDEX(Roster!$J:$J,MATCH($C1541,Roster!$B:$B,0))="","",INDEX(Roster!$J:$J,MATCH($C1541,Roster!$B:$B,0))&amp;""),"—"))</f>
        <v/>
      </c>
      <c r="L1541">
        <f>IF($C1541="","",IFERROR(IF(INDEX(Roster!$K:$K,MATCH($C1541,Roster!$B:$B,0))="","",INDEX(Roster!$K:$K,MATCH($C1541,Roster!$B:$B,0))&amp;""),"—"))</f>
        <v/>
      </c>
      <c r="M1541" s="27" t="n"/>
      <c r="N1541" s="27" t="n"/>
      <c r="O1541" s="25">
        <f>IF($C1541="","",IF($P1541="","—",IF($P1541="Valid (Pass)","Valid","Invalid")))</f>
        <v/>
      </c>
      <c r="P1541" s="27" t="n"/>
      <c r="Q1541" s="27" t="n"/>
      <c r="R1541" s="27" t="n"/>
      <c r="S1541" s="27" t="n"/>
      <c r="T1541" s="25">
        <f>IF($C1541="","",IF(OR(ISNUMBER(SEARCH("quick case",$P1541)),ISNUMBER(SEARCH("quick case",$Q1541))),"Yes","No"))</f>
        <v/>
      </c>
      <c r="U1541" s="25">
        <f>IF($O1541="Invalid",HYPERLINK("mailto:"&amp;$G1541&amp;";"&amp;$I1541&amp;"?cc="&amp;Lists!$E$2&amp;"&amp;subject="&amp;_xlfn.ENCODEURL("[INVALID] Quality audit monitoring completed for "&amp;UPPER($C1541))&amp;"&amp;body="&amp;_xlfn.ENCODEURL("Hi "&amp;$F1541&amp;","&amp;CHAR(10)&amp;"Good day!"&amp;CHAR(10)&amp;CHAR(10)&amp;"A quality monitoring audit has been completed for "&amp;$C1541&amp;"."&amp;CHAR(10)&amp;CHAR(10)&amp;"QUALITY AUDIT DETAILS"&amp;CHAR(10)&amp;"Agent Name: "&amp;$C1541&amp;" (EID "&amp;$D1541&amp;")"&amp;CHAR(10)&amp;"Audit Date: "&amp;TEXT($B1541,"yyyy-mm-dd")&amp;CHAR(10)&amp;"Team Leader: "&amp;$F1541&amp;CHAR(10)&amp;"Case Number: "&amp;$M1541&amp;CHAR(10)&amp;"Transaction ID: "&amp;$N1541&amp;CHAR(10)&amp;"Channel / LOB: "&amp;$K1541&amp;" / "&amp;$L1541&amp;CHAR(10)&amp;"Evaluator: "&amp;$S1541&amp;CHAR(10)&amp;CHAR(10)&amp;"INVALID QUALITY AUDIT DETAILS"&amp;CHAR(10)&amp;"Validation: Invalid"&amp;CHAR(10)&amp;"Invalid Reason: "&amp;$P1541&amp;CHAR(10)&amp;"Expected Resolution Code: "&amp;$Q1541&amp;CHAR(10)&amp;"Remarks: "&amp;LEFT($R1541,600)&amp;CHAR(10)&amp;CHAR(10)&amp;"This is an automated notification from HP Mainstream EQMS."),"✉ Open Email Draft"),"")</f>
        <v/>
      </c>
    </row>
    <row r="1542">
      <c r="A1542" s="25">
        <f>IF($C1542="","","AUD-2026-"&amp;TEXT(ROW()-1,"000000"))</f>
        <v/>
      </c>
      <c r="B1542" s="26" t="n"/>
      <c r="C1542" s="27" t="n"/>
      <c r="D1542" s="25">
        <f>IF($C1542="","",IFERROR(IF(INDEX(Roster!$A:$A,MATCH($C1542,Roster!$B:$B,0))="","",INDEX(Roster!$A:$A,MATCH($C1542,Roster!$B:$B,0))&amp;""),"—"))</f>
        <v/>
      </c>
      <c r="E1542" s="25">
        <f>IF($C1542="","",IFERROR(IF(INDEX(Roster!$C:$C,MATCH($C1542,Roster!$B:$B,0))="","",INDEX(Roster!$C:$C,MATCH($C1542,Roster!$B:$B,0))&amp;""),"—"))</f>
        <v/>
      </c>
      <c r="F1542" s="25">
        <f>IF($C1542="","",IFERROR(IF(INDEX(Roster!$D:$D,MATCH($C1542,Roster!$B:$B,0))="","",INDEX(Roster!$D:$D,MATCH($C1542,Roster!$B:$B,0))&amp;""),"—"))</f>
        <v/>
      </c>
      <c r="G1542" s="25">
        <f>IF($C1542="","",IFERROR(IF(INDEX(Roster!$E:$E,MATCH($C1542,Roster!$B:$B,0))="","",INDEX(Roster!$E:$E,MATCH($C1542,Roster!$B:$B,0))&amp;""),"—"))</f>
        <v/>
      </c>
      <c r="H1542" s="25">
        <f>IF($C1542="","",IFERROR(IF(INDEX(Roster!$F:$F,MATCH($C1542,Roster!$B:$B,0))="","",INDEX(Roster!$F:$F,MATCH($C1542,Roster!$B:$B,0))&amp;""),"—"))</f>
        <v/>
      </c>
      <c r="I1542" s="25">
        <f>IF($C1542="","",IFERROR(IF(INDEX(Roster!$G:$G,MATCH($C1542,Roster!$B:$B,0))="","",INDEX(Roster!$G:$G,MATCH($C1542,Roster!$B:$B,0))&amp;""),"—"))</f>
        <v/>
      </c>
      <c r="J1542" s="25">
        <f>IF($C1542="","",IFERROR(IF(INDEX(Roster!$I:$I,MATCH($C1542,Roster!$B:$B,0))="","",INDEX(Roster!$I:$I,MATCH($C1542,Roster!$B:$B,0))&amp;""),"—"))</f>
        <v/>
      </c>
      <c r="K1542">
        <f>IF($C1542="","",IFERROR(IF(INDEX(Roster!$J:$J,MATCH($C1542,Roster!$B:$B,0))="","",INDEX(Roster!$J:$J,MATCH($C1542,Roster!$B:$B,0))&amp;""),"—"))</f>
        <v/>
      </c>
      <c r="L1542">
        <f>IF($C1542="","",IFERROR(IF(INDEX(Roster!$K:$K,MATCH($C1542,Roster!$B:$B,0))="","",INDEX(Roster!$K:$K,MATCH($C1542,Roster!$B:$B,0))&amp;""),"—"))</f>
        <v/>
      </c>
      <c r="M1542" s="27" t="n"/>
      <c r="N1542" s="27" t="n"/>
      <c r="O1542" s="25">
        <f>IF($C1542="","",IF($P1542="","—",IF($P1542="Valid (Pass)","Valid","Invalid")))</f>
        <v/>
      </c>
      <c r="P1542" s="27" t="n"/>
      <c r="Q1542" s="27" t="n"/>
      <c r="R1542" s="27" t="n"/>
      <c r="S1542" s="27" t="n"/>
      <c r="T1542" s="25">
        <f>IF($C1542="","",IF(OR(ISNUMBER(SEARCH("quick case",$P1542)),ISNUMBER(SEARCH("quick case",$Q1542))),"Yes","No"))</f>
        <v/>
      </c>
      <c r="U1542" s="25">
        <f>IF($O1542="Invalid",HYPERLINK("mailto:"&amp;$G1542&amp;";"&amp;$I1542&amp;"?cc="&amp;Lists!$E$2&amp;"&amp;subject="&amp;_xlfn.ENCODEURL("[INVALID] Quality audit monitoring completed for "&amp;UPPER($C1542))&amp;"&amp;body="&amp;_xlfn.ENCODEURL("Hi "&amp;$F1542&amp;","&amp;CHAR(10)&amp;"Good day!"&amp;CHAR(10)&amp;CHAR(10)&amp;"A quality monitoring audit has been completed for "&amp;$C1542&amp;"."&amp;CHAR(10)&amp;CHAR(10)&amp;"QUALITY AUDIT DETAILS"&amp;CHAR(10)&amp;"Agent Name: "&amp;$C1542&amp;" (EID "&amp;$D1542&amp;")"&amp;CHAR(10)&amp;"Audit Date: "&amp;TEXT($B1542,"yyyy-mm-dd")&amp;CHAR(10)&amp;"Team Leader: "&amp;$F1542&amp;CHAR(10)&amp;"Case Number: "&amp;$M1542&amp;CHAR(10)&amp;"Transaction ID: "&amp;$N1542&amp;CHAR(10)&amp;"Channel / LOB: "&amp;$K1542&amp;" / "&amp;$L1542&amp;CHAR(10)&amp;"Evaluator: "&amp;$S1542&amp;CHAR(10)&amp;CHAR(10)&amp;"INVALID QUALITY AUDIT DETAILS"&amp;CHAR(10)&amp;"Validation: Invalid"&amp;CHAR(10)&amp;"Invalid Reason: "&amp;$P1542&amp;CHAR(10)&amp;"Expected Resolution Code: "&amp;$Q1542&amp;CHAR(10)&amp;"Remarks: "&amp;LEFT($R1542,600)&amp;CHAR(10)&amp;CHAR(10)&amp;"This is an automated notification from HP Mainstream EQMS."),"✉ Open Email Draft"),"")</f>
        <v/>
      </c>
    </row>
    <row r="1543">
      <c r="A1543" s="25">
        <f>IF($C1543="","","AUD-2026-"&amp;TEXT(ROW()-1,"000000"))</f>
        <v/>
      </c>
      <c r="B1543" s="26" t="n"/>
      <c r="C1543" s="27" t="n"/>
      <c r="D1543" s="25">
        <f>IF($C1543="","",IFERROR(IF(INDEX(Roster!$A:$A,MATCH($C1543,Roster!$B:$B,0))="","",INDEX(Roster!$A:$A,MATCH($C1543,Roster!$B:$B,0))&amp;""),"—"))</f>
        <v/>
      </c>
      <c r="E1543" s="25">
        <f>IF($C1543="","",IFERROR(IF(INDEX(Roster!$C:$C,MATCH($C1543,Roster!$B:$B,0))="","",INDEX(Roster!$C:$C,MATCH($C1543,Roster!$B:$B,0))&amp;""),"—"))</f>
        <v/>
      </c>
      <c r="F1543" s="25">
        <f>IF($C1543="","",IFERROR(IF(INDEX(Roster!$D:$D,MATCH($C1543,Roster!$B:$B,0))="","",INDEX(Roster!$D:$D,MATCH($C1543,Roster!$B:$B,0))&amp;""),"—"))</f>
        <v/>
      </c>
      <c r="G1543" s="25">
        <f>IF($C1543="","",IFERROR(IF(INDEX(Roster!$E:$E,MATCH($C1543,Roster!$B:$B,0))="","",INDEX(Roster!$E:$E,MATCH($C1543,Roster!$B:$B,0))&amp;""),"—"))</f>
        <v/>
      </c>
      <c r="H1543" s="25">
        <f>IF($C1543="","",IFERROR(IF(INDEX(Roster!$F:$F,MATCH($C1543,Roster!$B:$B,0))="","",INDEX(Roster!$F:$F,MATCH($C1543,Roster!$B:$B,0))&amp;""),"—"))</f>
        <v/>
      </c>
      <c r="I1543" s="25">
        <f>IF($C1543="","",IFERROR(IF(INDEX(Roster!$G:$G,MATCH($C1543,Roster!$B:$B,0))="","",INDEX(Roster!$G:$G,MATCH($C1543,Roster!$B:$B,0))&amp;""),"—"))</f>
        <v/>
      </c>
      <c r="J1543" s="25">
        <f>IF($C1543="","",IFERROR(IF(INDEX(Roster!$I:$I,MATCH($C1543,Roster!$B:$B,0))="","",INDEX(Roster!$I:$I,MATCH($C1543,Roster!$B:$B,0))&amp;""),"—"))</f>
        <v/>
      </c>
      <c r="K1543">
        <f>IF($C1543="","",IFERROR(IF(INDEX(Roster!$J:$J,MATCH($C1543,Roster!$B:$B,0))="","",INDEX(Roster!$J:$J,MATCH($C1543,Roster!$B:$B,0))&amp;""),"—"))</f>
        <v/>
      </c>
      <c r="L1543">
        <f>IF($C1543="","",IFERROR(IF(INDEX(Roster!$K:$K,MATCH($C1543,Roster!$B:$B,0))="","",INDEX(Roster!$K:$K,MATCH($C1543,Roster!$B:$B,0))&amp;""),"—"))</f>
        <v/>
      </c>
      <c r="M1543" s="27" t="n"/>
      <c r="N1543" s="27" t="n"/>
      <c r="O1543" s="25">
        <f>IF($C1543="","",IF($P1543="","—",IF($P1543="Valid (Pass)","Valid","Invalid")))</f>
        <v/>
      </c>
      <c r="P1543" s="27" t="n"/>
      <c r="Q1543" s="27" t="n"/>
      <c r="R1543" s="27" t="n"/>
      <c r="S1543" s="27" t="n"/>
      <c r="T1543" s="25">
        <f>IF($C1543="","",IF(OR(ISNUMBER(SEARCH("quick case",$P1543)),ISNUMBER(SEARCH("quick case",$Q1543))),"Yes","No"))</f>
        <v/>
      </c>
      <c r="U1543" s="25">
        <f>IF($O1543="Invalid",HYPERLINK("mailto:"&amp;$G1543&amp;";"&amp;$I1543&amp;"?cc="&amp;Lists!$E$2&amp;"&amp;subject="&amp;_xlfn.ENCODEURL("[INVALID] Quality audit monitoring completed for "&amp;UPPER($C1543))&amp;"&amp;body="&amp;_xlfn.ENCODEURL("Hi "&amp;$F1543&amp;","&amp;CHAR(10)&amp;"Good day!"&amp;CHAR(10)&amp;CHAR(10)&amp;"A quality monitoring audit has been completed for "&amp;$C1543&amp;"."&amp;CHAR(10)&amp;CHAR(10)&amp;"QUALITY AUDIT DETAILS"&amp;CHAR(10)&amp;"Agent Name: "&amp;$C1543&amp;" (EID "&amp;$D1543&amp;")"&amp;CHAR(10)&amp;"Audit Date: "&amp;TEXT($B1543,"yyyy-mm-dd")&amp;CHAR(10)&amp;"Team Leader: "&amp;$F1543&amp;CHAR(10)&amp;"Case Number: "&amp;$M1543&amp;CHAR(10)&amp;"Transaction ID: "&amp;$N1543&amp;CHAR(10)&amp;"Channel / LOB: "&amp;$K1543&amp;" / "&amp;$L1543&amp;CHAR(10)&amp;"Evaluator: "&amp;$S1543&amp;CHAR(10)&amp;CHAR(10)&amp;"INVALID QUALITY AUDIT DETAILS"&amp;CHAR(10)&amp;"Validation: Invalid"&amp;CHAR(10)&amp;"Invalid Reason: "&amp;$P1543&amp;CHAR(10)&amp;"Expected Resolution Code: "&amp;$Q1543&amp;CHAR(10)&amp;"Remarks: "&amp;LEFT($R1543,600)&amp;CHAR(10)&amp;CHAR(10)&amp;"This is an automated notification from HP Mainstream EQMS."),"✉ Open Email Draft"),"")</f>
        <v/>
      </c>
    </row>
    <row r="1544">
      <c r="A1544" s="25">
        <f>IF($C1544="","","AUD-2026-"&amp;TEXT(ROW()-1,"000000"))</f>
        <v/>
      </c>
      <c r="B1544" s="26" t="n"/>
      <c r="C1544" s="27" t="n"/>
      <c r="D1544" s="25">
        <f>IF($C1544="","",IFERROR(IF(INDEX(Roster!$A:$A,MATCH($C1544,Roster!$B:$B,0))="","",INDEX(Roster!$A:$A,MATCH($C1544,Roster!$B:$B,0))&amp;""),"—"))</f>
        <v/>
      </c>
      <c r="E1544" s="25">
        <f>IF($C1544="","",IFERROR(IF(INDEX(Roster!$C:$C,MATCH($C1544,Roster!$B:$B,0))="","",INDEX(Roster!$C:$C,MATCH($C1544,Roster!$B:$B,0))&amp;""),"—"))</f>
        <v/>
      </c>
      <c r="F1544" s="25">
        <f>IF($C1544="","",IFERROR(IF(INDEX(Roster!$D:$D,MATCH($C1544,Roster!$B:$B,0))="","",INDEX(Roster!$D:$D,MATCH($C1544,Roster!$B:$B,0))&amp;""),"—"))</f>
        <v/>
      </c>
      <c r="G1544" s="25">
        <f>IF($C1544="","",IFERROR(IF(INDEX(Roster!$E:$E,MATCH($C1544,Roster!$B:$B,0))="","",INDEX(Roster!$E:$E,MATCH($C1544,Roster!$B:$B,0))&amp;""),"—"))</f>
        <v/>
      </c>
      <c r="H1544" s="25">
        <f>IF($C1544="","",IFERROR(IF(INDEX(Roster!$F:$F,MATCH($C1544,Roster!$B:$B,0))="","",INDEX(Roster!$F:$F,MATCH($C1544,Roster!$B:$B,0))&amp;""),"—"))</f>
        <v/>
      </c>
      <c r="I1544" s="25">
        <f>IF($C1544="","",IFERROR(IF(INDEX(Roster!$G:$G,MATCH($C1544,Roster!$B:$B,0))="","",INDEX(Roster!$G:$G,MATCH($C1544,Roster!$B:$B,0))&amp;""),"—"))</f>
        <v/>
      </c>
      <c r="J1544" s="25">
        <f>IF($C1544="","",IFERROR(IF(INDEX(Roster!$I:$I,MATCH($C1544,Roster!$B:$B,0))="","",INDEX(Roster!$I:$I,MATCH($C1544,Roster!$B:$B,0))&amp;""),"—"))</f>
        <v/>
      </c>
      <c r="K1544">
        <f>IF($C1544="","",IFERROR(IF(INDEX(Roster!$J:$J,MATCH($C1544,Roster!$B:$B,0))="","",INDEX(Roster!$J:$J,MATCH($C1544,Roster!$B:$B,0))&amp;""),"—"))</f>
        <v/>
      </c>
      <c r="L1544">
        <f>IF($C1544="","",IFERROR(IF(INDEX(Roster!$K:$K,MATCH($C1544,Roster!$B:$B,0))="","",INDEX(Roster!$K:$K,MATCH($C1544,Roster!$B:$B,0))&amp;""),"—"))</f>
        <v/>
      </c>
      <c r="M1544" s="27" t="n"/>
      <c r="N1544" s="27" t="n"/>
      <c r="O1544" s="25">
        <f>IF($C1544="","",IF($P1544="","—",IF($P1544="Valid (Pass)","Valid","Invalid")))</f>
        <v/>
      </c>
      <c r="P1544" s="27" t="n"/>
      <c r="Q1544" s="27" t="n"/>
      <c r="R1544" s="27" t="n"/>
      <c r="S1544" s="27" t="n"/>
      <c r="T1544" s="25">
        <f>IF($C1544="","",IF(OR(ISNUMBER(SEARCH("quick case",$P1544)),ISNUMBER(SEARCH("quick case",$Q1544))),"Yes","No"))</f>
        <v/>
      </c>
      <c r="U1544" s="25">
        <f>IF($O1544="Invalid",HYPERLINK("mailto:"&amp;$G1544&amp;";"&amp;$I1544&amp;"?cc="&amp;Lists!$E$2&amp;"&amp;subject="&amp;_xlfn.ENCODEURL("[INVALID] Quality audit monitoring completed for "&amp;UPPER($C1544))&amp;"&amp;body="&amp;_xlfn.ENCODEURL("Hi "&amp;$F1544&amp;","&amp;CHAR(10)&amp;"Good day!"&amp;CHAR(10)&amp;CHAR(10)&amp;"A quality monitoring audit has been completed for "&amp;$C1544&amp;"."&amp;CHAR(10)&amp;CHAR(10)&amp;"QUALITY AUDIT DETAILS"&amp;CHAR(10)&amp;"Agent Name: "&amp;$C1544&amp;" (EID "&amp;$D1544&amp;")"&amp;CHAR(10)&amp;"Audit Date: "&amp;TEXT($B1544,"yyyy-mm-dd")&amp;CHAR(10)&amp;"Team Leader: "&amp;$F1544&amp;CHAR(10)&amp;"Case Number: "&amp;$M1544&amp;CHAR(10)&amp;"Transaction ID: "&amp;$N1544&amp;CHAR(10)&amp;"Channel / LOB: "&amp;$K1544&amp;" / "&amp;$L1544&amp;CHAR(10)&amp;"Evaluator: "&amp;$S1544&amp;CHAR(10)&amp;CHAR(10)&amp;"INVALID QUALITY AUDIT DETAILS"&amp;CHAR(10)&amp;"Validation: Invalid"&amp;CHAR(10)&amp;"Invalid Reason: "&amp;$P1544&amp;CHAR(10)&amp;"Expected Resolution Code: "&amp;$Q1544&amp;CHAR(10)&amp;"Remarks: "&amp;LEFT($R1544,600)&amp;CHAR(10)&amp;CHAR(10)&amp;"This is an automated notification from HP Mainstream EQMS."),"✉ Open Email Draft"),"")</f>
        <v/>
      </c>
    </row>
    <row r="1545">
      <c r="A1545" s="25">
        <f>IF($C1545="","","AUD-2026-"&amp;TEXT(ROW()-1,"000000"))</f>
        <v/>
      </c>
      <c r="B1545" s="26" t="n"/>
      <c r="C1545" s="27" t="n"/>
      <c r="D1545" s="25">
        <f>IF($C1545="","",IFERROR(IF(INDEX(Roster!$A:$A,MATCH($C1545,Roster!$B:$B,0))="","",INDEX(Roster!$A:$A,MATCH($C1545,Roster!$B:$B,0))&amp;""),"—"))</f>
        <v/>
      </c>
      <c r="E1545" s="25">
        <f>IF($C1545="","",IFERROR(IF(INDEX(Roster!$C:$C,MATCH($C1545,Roster!$B:$B,0))="","",INDEX(Roster!$C:$C,MATCH($C1545,Roster!$B:$B,0))&amp;""),"—"))</f>
        <v/>
      </c>
      <c r="F1545" s="25">
        <f>IF($C1545="","",IFERROR(IF(INDEX(Roster!$D:$D,MATCH($C1545,Roster!$B:$B,0))="","",INDEX(Roster!$D:$D,MATCH($C1545,Roster!$B:$B,0))&amp;""),"—"))</f>
        <v/>
      </c>
      <c r="G1545" s="25">
        <f>IF($C1545="","",IFERROR(IF(INDEX(Roster!$E:$E,MATCH($C1545,Roster!$B:$B,0))="","",INDEX(Roster!$E:$E,MATCH($C1545,Roster!$B:$B,0))&amp;""),"—"))</f>
        <v/>
      </c>
      <c r="H1545" s="25">
        <f>IF($C1545="","",IFERROR(IF(INDEX(Roster!$F:$F,MATCH($C1545,Roster!$B:$B,0))="","",INDEX(Roster!$F:$F,MATCH($C1545,Roster!$B:$B,0))&amp;""),"—"))</f>
        <v/>
      </c>
      <c r="I1545" s="25">
        <f>IF($C1545="","",IFERROR(IF(INDEX(Roster!$G:$G,MATCH($C1545,Roster!$B:$B,0))="","",INDEX(Roster!$G:$G,MATCH($C1545,Roster!$B:$B,0))&amp;""),"—"))</f>
        <v/>
      </c>
      <c r="J1545" s="25">
        <f>IF($C1545="","",IFERROR(IF(INDEX(Roster!$I:$I,MATCH($C1545,Roster!$B:$B,0))="","",INDEX(Roster!$I:$I,MATCH($C1545,Roster!$B:$B,0))&amp;""),"—"))</f>
        <v/>
      </c>
      <c r="K1545">
        <f>IF($C1545="","",IFERROR(IF(INDEX(Roster!$J:$J,MATCH($C1545,Roster!$B:$B,0))="","",INDEX(Roster!$J:$J,MATCH($C1545,Roster!$B:$B,0))&amp;""),"—"))</f>
        <v/>
      </c>
      <c r="L1545">
        <f>IF($C1545="","",IFERROR(IF(INDEX(Roster!$K:$K,MATCH($C1545,Roster!$B:$B,0))="","",INDEX(Roster!$K:$K,MATCH($C1545,Roster!$B:$B,0))&amp;""),"—"))</f>
        <v/>
      </c>
      <c r="M1545" s="27" t="n"/>
      <c r="N1545" s="27" t="n"/>
      <c r="O1545" s="25">
        <f>IF($C1545="","",IF($P1545="","—",IF($P1545="Valid (Pass)","Valid","Invalid")))</f>
        <v/>
      </c>
      <c r="P1545" s="27" t="n"/>
      <c r="Q1545" s="27" t="n"/>
      <c r="R1545" s="27" t="n"/>
      <c r="S1545" s="27" t="n"/>
      <c r="T1545" s="25">
        <f>IF($C1545="","",IF(OR(ISNUMBER(SEARCH("quick case",$P1545)),ISNUMBER(SEARCH("quick case",$Q1545))),"Yes","No"))</f>
        <v/>
      </c>
      <c r="U1545" s="25">
        <f>IF($O1545="Invalid",HYPERLINK("mailto:"&amp;$G1545&amp;";"&amp;$I1545&amp;"?cc="&amp;Lists!$E$2&amp;"&amp;subject="&amp;_xlfn.ENCODEURL("[INVALID] Quality audit monitoring completed for "&amp;UPPER($C1545))&amp;"&amp;body="&amp;_xlfn.ENCODEURL("Hi "&amp;$F1545&amp;","&amp;CHAR(10)&amp;"Good day!"&amp;CHAR(10)&amp;CHAR(10)&amp;"A quality monitoring audit has been completed for "&amp;$C1545&amp;"."&amp;CHAR(10)&amp;CHAR(10)&amp;"QUALITY AUDIT DETAILS"&amp;CHAR(10)&amp;"Agent Name: "&amp;$C1545&amp;" (EID "&amp;$D1545&amp;")"&amp;CHAR(10)&amp;"Audit Date: "&amp;TEXT($B1545,"yyyy-mm-dd")&amp;CHAR(10)&amp;"Team Leader: "&amp;$F1545&amp;CHAR(10)&amp;"Case Number: "&amp;$M1545&amp;CHAR(10)&amp;"Transaction ID: "&amp;$N1545&amp;CHAR(10)&amp;"Channel / LOB: "&amp;$K1545&amp;" / "&amp;$L1545&amp;CHAR(10)&amp;"Evaluator: "&amp;$S1545&amp;CHAR(10)&amp;CHAR(10)&amp;"INVALID QUALITY AUDIT DETAILS"&amp;CHAR(10)&amp;"Validation: Invalid"&amp;CHAR(10)&amp;"Invalid Reason: "&amp;$P1545&amp;CHAR(10)&amp;"Expected Resolution Code: "&amp;$Q1545&amp;CHAR(10)&amp;"Remarks: "&amp;LEFT($R1545,600)&amp;CHAR(10)&amp;CHAR(10)&amp;"This is an automated notification from HP Mainstream EQMS."),"✉ Open Email Draft"),"")</f>
        <v/>
      </c>
    </row>
    <row r="1546">
      <c r="A1546" s="25">
        <f>IF($C1546="","","AUD-2026-"&amp;TEXT(ROW()-1,"000000"))</f>
        <v/>
      </c>
      <c r="B1546" s="26" t="n"/>
      <c r="C1546" s="27" t="n"/>
      <c r="D1546" s="25">
        <f>IF($C1546="","",IFERROR(IF(INDEX(Roster!$A:$A,MATCH($C1546,Roster!$B:$B,0))="","",INDEX(Roster!$A:$A,MATCH($C1546,Roster!$B:$B,0))&amp;""),"—"))</f>
        <v/>
      </c>
      <c r="E1546" s="25">
        <f>IF($C1546="","",IFERROR(IF(INDEX(Roster!$C:$C,MATCH($C1546,Roster!$B:$B,0))="","",INDEX(Roster!$C:$C,MATCH($C1546,Roster!$B:$B,0))&amp;""),"—"))</f>
        <v/>
      </c>
      <c r="F1546" s="25">
        <f>IF($C1546="","",IFERROR(IF(INDEX(Roster!$D:$D,MATCH($C1546,Roster!$B:$B,0))="","",INDEX(Roster!$D:$D,MATCH($C1546,Roster!$B:$B,0))&amp;""),"—"))</f>
        <v/>
      </c>
      <c r="G1546" s="25">
        <f>IF($C1546="","",IFERROR(IF(INDEX(Roster!$E:$E,MATCH($C1546,Roster!$B:$B,0))="","",INDEX(Roster!$E:$E,MATCH($C1546,Roster!$B:$B,0))&amp;""),"—"))</f>
        <v/>
      </c>
      <c r="H1546" s="25">
        <f>IF($C1546="","",IFERROR(IF(INDEX(Roster!$F:$F,MATCH($C1546,Roster!$B:$B,0))="","",INDEX(Roster!$F:$F,MATCH($C1546,Roster!$B:$B,0))&amp;""),"—"))</f>
        <v/>
      </c>
      <c r="I1546" s="25">
        <f>IF($C1546="","",IFERROR(IF(INDEX(Roster!$G:$G,MATCH($C1546,Roster!$B:$B,0))="","",INDEX(Roster!$G:$G,MATCH($C1546,Roster!$B:$B,0))&amp;""),"—"))</f>
        <v/>
      </c>
      <c r="J1546" s="25">
        <f>IF($C1546="","",IFERROR(IF(INDEX(Roster!$I:$I,MATCH($C1546,Roster!$B:$B,0))="","",INDEX(Roster!$I:$I,MATCH($C1546,Roster!$B:$B,0))&amp;""),"—"))</f>
        <v/>
      </c>
      <c r="K1546">
        <f>IF($C1546="","",IFERROR(IF(INDEX(Roster!$J:$J,MATCH($C1546,Roster!$B:$B,0))="","",INDEX(Roster!$J:$J,MATCH($C1546,Roster!$B:$B,0))&amp;""),"—"))</f>
        <v/>
      </c>
      <c r="L1546">
        <f>IF($C1546="","",IFERROR(IF(INDEX(Roster!$K:$K,MATCH($C1546,Roster!$B:$B,0))="","",INDEX(Roster!$K:$K,MATCH($C1546,Roster!$B:$B,0))&amp;""),"—"))</f>
        <v/>
      </c>
      <c r="M1546" s="27" t="n"/>
      <c r="N1546" s="27" t="n"/>
      <c r="O1546" s="25">
        <f>IF($C1546="","",IF($P1546="","—",IF($P1546="Valid (Pass)","Valid","Invalid")))</f>
        <v/>
      </c>
      <c r="P1546" s="27" t="n"/>
      <c r="Q1546" s="27" t="n"/>
      <c r="R1546" s="27" t="n"/>
      <c r="S1546" s="27" t="n"/>
      <c r="T1546" s="25">
        <f>IF($C1546="","",IF(OR(ISNUMBER(SEARCH("quick case",$P1546)),ISNUMBER(SEARCH("quick case",$Q1546))),"Yes","No"))</f>
        <v/>
      </c>
      <c r="U1546" s="25">
        <f>IF($O1546="Invalid",HYPERLINK("mailto:"&amp;$G1546&amp;";"&amp;$I1546&amp;"?cc="&amp;Lists!$E$2&amp;"&amp;subject="&amp;_xlfn.ENCODEURL("[INVALID] Quality audit monitoring completed for "&amp;UPPER($C1546))&amp;"&amp;body="&amp;_xlfn.ENCODEURL("Hi "&amp;$F1546&amp;","&amp;CHAR(10)&amp;"Good day!"&amp;CHAR(10)&amp;CHAR(10)&amp;"A quality monitoring audit has been completed for "&amp;$C1546&amp;"."&amp;CHAR(10)&amp;CHAR(10)&amp;"QUALITY AUDIT DETAILS"&amp;CHAR(10)&amp;"Agent Name: "&amp;$C1546&amp;" (EID "&amp;$D1546&amp;")"&amp;CHAR(10)&amp;"Audit Date: "&amp;TEXT($B1546,"yyyy-mm-dd")&amp;CHAR(10)&amp;"Team Leader: "&amp;$F1546&amp;CHAR(10)&amp;"Case Number: "&amp;$M1546&amp;CHAR(10)&amp;"Transaction ID: "&amp;$N1546&amp;CHAR(10)&amp;"Channel / LOB: "&amp;$K1546&amp;" / "&amp;$L1546&amp;CHAR(10)&amp;"Evaluator: "&amp;$S1546&amp;CHAR(10)&amp;CHAR(10)&amp;"INVALID QUALITY AUDIT DETAILS"&amp;CHAR(10)&amp;"Validation: Invalid"&amp;CHAR(10)&amp;"Invalid Reason: "&amp;$P1546&amp;CHAR(10)&amp;"Expected Resolution Code: "&amp;$Q1546&amp;CHAR(10)&amp;"Remarks: "&amp;LEFT($R1546,600)&amp;CHAR(10)&amp;CHAR(10)&amp;"This is an automated notification from HP Mainstream EQMS."),"✉ Open Email Draft"),"")</f>
        <v/>
      </c>
    </row>
    <row r="1547">
      <c r="A1547" s="25">
        <f>IF($C1547="","","AUD-2026-"&amp;TEXT(ROW()-1,"000000"))</f>
        <v/>
      </c>
      <c r="B1547" s="26" t="n"/>
      <c r="C1547" s="27" t="n"/>
      <c r="D1547" s="25">
        <f>IF($C1547="","",IFERROR(IF(INDEX(Roster!$A:$A,MATCH($C1547,Roster!$B:$B,0))="","",INDEX(Roster!$A:$A,MATCH($C1547,Roster!$B:$B,0))&amp;""),"—"))</f>
        <v/>
      </c>
      <c r="E1547" s="25">
        <f>IF($C1547="","",IFERROR(IF(INDEX(Roster!$C:$C,MATCH($C1547,Roster!$B:$B,0))="","",INDEX(Roster!$C:$C,MATCH($C1547,Roster!$B:$B,0))&amp;""),"—"))</f>
        <v/>
      </c>
      <c r="F1547" s="25">
        <f>IF($C1547="","",IFERROR(IF(INDEX(Roster!$D:$D,MATCH($C1547,Roster!$B:$B,0))="","",INDEX(Roster!$D:$D,MATCH($C1547,Roster!$B:$B,0))&amp;""),"—"))</f>
        <v/>
      </c>
      <c r="G1547" s="25">
        <f>IF($C1547="","",IFERROR(IF(INDEX(Roster!$E:$E,MATCH($C1547,Roster!$B:$B,0))="","",INDEX(Roster!$E:$E,MATCH($C1547,Roster!$B:$B,0))&amp;""),"—"))</f>
        <v/>
      </c>
      <c r="H1547" s="25">
        <f>IF($C1547="","",IFERROR(IF(INDEX(Roster!$F:$F,MATCH($C1547,Roster!$B:$B,0))="","",INDEX(Roster!$F:$F,MATCH($C1547,Roster!$B:$B,0))&amp;""),"—"))</f>
        <v/>
      </c>
      <c r="I1547" s="25">
        <f>IF($C1547="","",IFERROR(IF(INDEX(Roster!$G:$G,MATCH($C1547,Roster!$B:$B,0))="","",INDEX(Roster!$G:$G,MATCH($C1547,Roster!$B:$B,0))&amp;""),"—"))</f>
        <v/>
      </c>
      <c r="J1547" s="25">
        <f>IF($C1547="","",IFERROR(IF(INDEX(Roster!$I:$I,MATCH($C1547,Roster!$B:$B,0))="","",INDEX(Roster!$I:$I,MATCH($C1547,Roster!$B:$B,0))&amp;""),"—"))</f>
        <v/>
      </c>
      <c r="K1547">
        <f>IF($C1547="","",IFERROR(IF(INDEX(Roster!$J:$J,MATCH($C1547,Roster!$B:$B,0))="","",INDEX(Roster!$J:$J,MATCH($C1547,Roster!$B:$B,0))&amp;""),"—"))</f>
        <v/>
      </c>
      <c r="L1547">
        <f>IF($C1547="","",IFERROR(IF(INDEX(Roster!$K:$K,MATCH($C1547,Roster!$B:$B,0))="","",INDEX(Roster!$K:$K,MATCH($C1547,Roster!$B:$B,0))&amp;""),"—"))</f>
        <v/>
      </c>
      <c r="M1547" s="27" t="n"/>
      <c r="N1547" s="27" t="n"/>
      <c r="O1547" s="25">
        <f>IF($C1547="","",IF($P1547="","—",IF($P1547="Valid (Pass)","Valid","Invalid")))</f>
        <v/>
      </c>
      <c r="P1547" s="27" t="n"/>
      <c r="Q1547" s="27" t="n"/>
      <c r="R1547" s="27" t="n"/>
      <c r="S1547" s="27" t="n"/>
      <c r="T1547" s="25">
        <f>IF($C1547="","",IF(OR(ISNUMBER(SEARCH("quick case",$P1547)),ISNUMBER(SEARCH("quick case",$Q1547))),"Yes","No"))</f>
        <v/>
      </c>
      <c r="U1547" s="25">
        <f>IF($O1547="Invalid",HYPERLINK("mailto:"&amp;$G1547&amp;";"&amp;$I1547&amp;"?cc="&amp;Lists!$E$2&amp;"&amp;subject="&amp;_xlfn.ENCODEURL("[INVALID] Quality audit monitoring completed for "&amp;UPPER($C1547))&amp;"&amp;body="&amp;_xlfn.ENCODEURL("Hi "&amp;$F1547&amp;","&amp;CHAR(10)&amp;"Good day!"&amp;CHAR(10)&amp;CHAR(10)&amp;"A quality monitoring audit has been completed for "&amp;$C1547&amp;"."&amp;CHAR(10)&amp;CHAR(10)&amp;"QUALITY AUDIT DETAILS"&amp;CHAR(10)&amp;"Agent Name: "&amp;$C1547&amp;" (EID "&amp;$D1547&amp;")"&amp;CHAR(10)&amp;"Audit Date: "&amp;TEXT($B1547,"yyyy-mm-dd")&amp;CHAR(10)&amp;"Team Leader: "&amp;$F1547&amp;CHAR(10)&amp;"Case Number: "&amp;$M1547&amp;CHAR(10)&amp;"Transaction ID: "&amp;$N1547&amp;CHAR(10)&amp;"Channel / LOB: "&amp;$K1547&amp;" / "&amp;$L1547&amp;CHAR(10)&amp;"Evaluator: "&amp;$S1547&amp;CHAR(10)&amp;CHAR(10)&amp;"INVALID QUALITY AUDIT DETAILS"&amp;CHAR(10)&amp;"Validation: Invalid"&amp;CHAR(10)&amp;"Invalid Reason: "&amp;$P1547&amp;CHAR(10)&amp;"Expected Resolution Code: "&amp;$Q1547&amp;CHAR(10)&amp;"Remarks: "&amp;LEFT($R1547,600)&amp;CHAR(10)&amp;CHAR(10)&amp;"This is an automated notification from HP Mainstream EQMS."),"✉ Open Email Draft"),"")</f>
        <v/>
      </c>
    </row>
    <row r="1548">
      <c r="A1548" s="25">
        <f>IF($C1548="","","AUD-2026-"&amp;TEXT(ROW()-1,"000000"))</f>
        <v/>
      </c>
      <c r="B1548" s="26" t="n"/>
      <c r="C1548" s="27" t="n"/>
      <c r="D1548" s="25">
        <f>IF($C1548="","",IFERROR(IF(INDEX(Roster!$A:$A,MATCH($C1548,Roster!$B:$B,0))="","",INDEX(Roster!$A:$A,MATCH($C1548,Roster!$B:$B,0))&amp;""),"—"))</f>
        <v/>
      </c>
      <c r="E1548" s="25">
        <f>IF($C1548="","",IFERROR(IF(INDEX(Roster!$C:$C,MATCH($C1548,Roster!$B:$B,0))="","",INDEX(Roster!$C:$C,MATCH($C1548,Roster!$B:$B,0))&amp;""),"—"))</f>
        <v/>
      </c>
      <c r="F1548" s="25">
        <f>IF($C1548="","",IFERROR(IF(INDEX(Roster!$D:$D,MATCH($C1548,Roster!$B:$B,0))="","",INDEX(Roster!$D:$D,MATCH($C1548,Roster!$B:$B,0))&amp;""),"—"))</f>
        <v/>
      </c>
      <c r="G1548" s="25">
        <f>IF($C1548="","",IFERROR(IF(INDEX(Roster!$E:$E,MATCH($C1548,Roster!$B:$B,0))="","",INDEX(Roster!$E:$E,MATCH($C1548,Roster!$B:$B,0))&amp;""),"—"))</f>
        <v/>
      </c>
      <c r="H1548" s="25">
        <f>IF($C1548="","",IFERROR(IF(INDEX(Roster!$F:$F,MATCH($C1548,Roster!$B:$B,0))="","",INDEX(Roster!$F:$F,MATCH($C1548,Roster!$B:$B,0))&amp;""),"—"))</f>
        <v/>
      </c>
      <c r="I1548" s="25">
        <f>IF($C1548="","",IFERROR(IF(INDEX(Roster!$G:$G,MATCH($C1548,Roster!$B:$B,0))="","",INDEX(Roster!$G:$G,MATCH($C1548,Roster!$B:$B,0))&amp;""),"—"))</f>
        <v/>
      </c>
      <c r="J1548" s="25">
        <f>IF($C1548="","",IFERROR(IF(INDEX(Roster!$I:$I,MATCH($C1548,Roster!$B:$B,0))="","",INDEX(Roster!$I:$I,MATCH($C1548,Roster!$B:$B,0))&amp;""),"—"))</f>
        <v/>
      </c>
      <c r="K1548">
        <f>IF($C1548="","",IFERROR(IF(INDEX(Roster!$J:$J,MATCH($C1548,Roster!$B:$B,0))="","",INDEX(Roster!$J:$J,MATCH($C1548,Roster!$B:$B,0))&amp;""),"—"))</f>
        <v/>
      </c>
      <c r="L1548">
        <f>IF($C1548="","",IFERROR(IF(INDEX(Roster!$K:$K,MATCH($C1548,Roster!$B:$B,0))="","",INDEX(Roster!$K:$K,MATCH($C1548,Roster!$B:$B,0))&amp;""),"—"))</f>
        <v/>
      </c>
      <c r="M1548" s="27" t="n"/>
      <c r="N1548" s="27" t="n"/>
      <c r="O1548" s="25">
        <f>IF($C1548="","",IF($P1548="","—",IF($P1548="Valid (Pass)","Valid","Invalid")))</f>
        <v/>
      </c>
      <c r="P1548" s="27" t="n"/>
      <c r="Q1548" s="27" t="n"/>
      <c r="R1548" s="27" t="n"/>
      <c r="S1548" s="27" t="n"/>
      <c r="T1548" s="25">
        <f>IF($C1548="","",IF(OR(ISNUMBER(SEARCH("quick case",$P1548)),ISNUMBER(SEARCH("quick case",$Q1548))),"Yes","No"))</f>
        <v/>
      </c>
      <c r="U1548" s="25">
        <f>IF($O1548="Invalid",HYPERLINK("mailto:"&amp;$G1548&amp;";"&amp;$I1548&amp;"?cc="&amp;Lists!$E$2&amp;"&amp;subject="&amp;_xlfn.ENCODEURL("[INVALID] Quality audit monitoring completed for "&amp;UPPER($C1548))&amp;"&amp;body="&amp;_xlfn.ENCODEURL("Hi "&amp;$F1548&amp;","&amp;CHAR(10)&amp;"Good day!"&amp;CHAR(10)&amp;CHAR(10)&amp;"A quality monitoring audit has been completed for "&amp;$C1548&amp;"."&amp;CHAR(10)&amp;CHAR(10)&amp;"QUALITY AUDIT DETAILS"&amp;CHAR(10)&amp;"Agent Name: "&amp;$C1548&amp;" (EID "&amp;$D1548&amp;")"&amp;CHAR(10)&amp;"Audit Date: "&amp;TEXT($B1548,"yyyy-mm-dd")&amp;CHAR(10)&amp;"Team Leader: "&amp;$F1548&amp;CHAR(10)&amp;"Case Number: "&amp;$M1548&amp;CHAR(10)&amp;"Transaction ID: "&amp;$N1548&amp;CHAR(10)&amp;"Channel / LOB: "&amp;$K1548&amp;" / "&amp;$L1548&amp;CHAR(10)&amp;"Evaluator: "&amp;$S1548&amp;CHAR(10)&amp;CHAR(10)&amp;"INVALID QUALITY AUDIT DETAILS"&amp;CHAR(10)&amp;"Validation: Invalid"&amp;CHAR(10)&amp;"Invalid Reason: "&amp;$P1548&amp;CHAR(10)&amp;"Expected Resolution Code: "&amp;$Q1548&amp;CHAR(10)&amp;"Remarks: "&amp;LEFT($R1548,600)&amp;CHAR(10)&amp;CHAR(10)&amp;"This is an automated notification from HP Mainstream EQMS."),"✉ Open Email Draft"),"")</f>
        <v/>
      </c>
    </row>
    <row r="1549">
      <c r="A1549" s="25">
        <f>IF($C1549="","","AUD-2026-"&amp;TEXT(ROW()-1,"000000"))</f>
        <v/>
      </c>
      <c r="B1549" s="26" t="n"/>
      <c r="C1549" s="27" t="n"/>
      <c r="D1549" s="25">
        <f>IF($C1549="","",IFERROR(IF(INDEX(Roster!$A:$A,MATCH($C1549,Roster!$B:$B,0))="","",INDEX(Roster!$A:$A,MATCH($C1549,Roster!$B:$B,0))&amp;""),"—"))</f>
        <v/>
      </c>
      <c r="E1549" s="25">
        <f>IF($C1549="","",IFERROR(IF(INDEX(Roster!$C:$C,MATCH($C1549,Roster!$B:$B,0))="","",INDEX(Roster!$C:$C,MATCH($C1549,Roster!$B:$B,0))&amp;""),"—"))</f>
        <v/>
      </c>
      <c r="F1549" s="25">
        <f>IF($C1549="","",IFERROR(IF(INDEX(Roster!$D:$D,MATCH($C1549,Roster!$B:$B,0))="","",INDEX(Roster!$D:$D,MATCH($C1549,Roster!$B:$B,0))&amp;""),"—"))</f>
        <v/>
      </c>
      <c r="G1549" s="25">
        <f>IF($C1549="","",IFERROR(IF(INDEX(Roster!$E:$E,MATCH($C1549,Roster!$B:$B,0))="","",INDEX(Roster!$E:$E,MATCH($C1549,Roster!$B:$B,0))&amp;""),"—"))</f>
        <v/>
      </c>
      <c r="H1549" s="25">
        <f>IF($C1549="","",IFERROR(IF(INDEX(Roster!$F:$F,MATCH($C1549,Roster!$B:$B,0))="","",INDEX(Roster!$F:$F,MATCH($C1549,Roster!$B:$B,0))&amp;""),"—"))</f>
        <v/>
      </c>
      <c r="I1549" s="25">
        <f>IF($C1549="","",IFERROR(IF(INDEX(Roster!$G:$G,MATCH($C1549,Roster!$B:$B,0))="","",INDEX(Roster!$G:$G,MATCH($C1549,Roster!$B:$B,0))&amp;""),"—"))</f>
        <v/>
      </c>
      <c r="J1549" s="25">
        <f>IF($C1549="","",IFERROR(IF(INDEX(Roster!$I:$I,MATCH($C1549,Roster!$B:$B,0))="","",INDEX(Roster!$I:$I,MATCH($C1549,Roster!$B:$B,0))&amp;""),"—"))</f>
        <v/>
      </c>
      <c r="K1549">
        <f>IF($C1549="","",IFERROR(IF(INDEX(Roster!$J:$J,MATCH($C1549,Roster!$B:$B,0))="","",INDEX(Roster!$J:$J,MATCH($C1549,Roster!$B:$B,0))&amp;""),"—"))</f>
        <v/>
      </c>
      <c r="L1549">
        <f>IF($C1549="","",IFERROR(IF(INDEX(Roster!$K:$K,MATCH($C1549,Roster!$B:$B,0))="","",INDEX(Roster!$K:$K,MATCH($C1549,Roster!$B:$B,0))&amp;""),"—"))</f>
        <v/>
      </c>
      <c r="M1549" s="27" t="n"/>
      <c r="N1549" s="27" t="n"/>
      <c r="O1549" s="25">
        <f>IF($C1549="","",IF($P1549="","—",IF($P1549="Valid (Pass)","Valid","Invalid")))</f>
        <v/>
      </c>
      <c r="P1549" s="27" t="n"/>
      <c r="Q1549" s="27" t="n"/>
      <c r="R1549" s="27" t="n"/>
      <c r="S1549" s="27" t="n"/>
      <c r="T1549" s="25">
        <f>IF($C1549="","",IF(OR(ISNUMBER(SEARCH("quick case",$P1549)),ISNUMBER(SEARCH("quick case",$Q1549))),"Yes","No"))</f>
        <v/>
      </c>
      <c r="U1549" s="25">
        <f>IF($O1549="Invalid",HYPERLINK("mailto:"&amp;$G1549&amp;";"&amp;$I1549&amp;"?cc="&amp;Lists!$E$2&amp;"&amp;subject="&amp;_xlfn.ENCODEURL("[INVALID] Quality audit monitoring completed for "&amp;UPPER($C1549))&amp;"&amp;body="&amp;_xlfn.ENCODEURL("Hi "&amp;$F1549&amp;","&amp;CHAR(10)&amp;"Good day!"&amp;CHAR(10)&amp;CHAR(10)&amp;"A quality monitoring audit has been completed for "&amp;$C1549&amp;"."&amp;CHAR(10)&amp;CHAR(10)&amp;"QUALITY AUDIT DETAILS"&amp;CHAR(10)&amp;"Agent Name: "&amp;$C1549&amp;" (EID "&amp;$D1549&amp;")"&amp;CHAR(10)&amp;"Audit Date: "&amp;TEXT($B1549,"yyyy-mm-dd")&amp;CHAR(10)&amp;"Team Leader: "&amp;$F1549&amp;CHAR(10)&amp;"Case Number: "&amp;$M1549&amp;CHAR(10)&amp;"Transaction ID: "&amp;$N1549&amp;CHAR(10)&amp;"Channel / LOB: "&amp;$K1549&amp;" / "&amp;$L1549&amp;CHAR(10)&amp;"Evaluator: "&amp;$S1549&amp;CHAR(10)&amp;CHAR(10)&amp;"INVALID QUALITY AUDIT DETAILS"&amp;CHAR(10)&amp;"Validation: Invalid"&amp;CHAR(10)&amp;"Invalid Reason: "&amp;$P1549&amp;CHAR(10)&amp;"Expected Resolution Code: "&amp;$Q1549&amp;CHAR(10)&amp;"Remarks: "&amp;LEFT($R1549,600)&amp;CHAR(10)&amp;CHAR(10)&amp;"This is an automated notification from HP Mainstream EQMS."),"✉ Open Email Draft"),"")</f>
        <v/>
      </c>
    </row>
    <row r="1550">
      <c r="A1550" s="25">
        <f>IF($C1550="","","AUD-2026-"&amp;TEXT(ROW()-1,"000000"))</f>
        <v/>
      </c>
      <c r="B1550" s="26" t="n"/>
      <c r="C1550" s="27" t="n"/>
      <c r="D1550" s="25">
        <f>IF($C1550="","",IFERROR(IF(INDEX(Roster!$A:$A,MATCH($C1550,Roster!$B:$B,0))="","",INDEX(Roster!$A:$A,MATCH($C1550,Roster!$B:$B,0))&amp;""),"—"))</f>
        <v/>
      </c>
      <c r="E1550" s="25">
        <f>IF($C1550="","",IFERROR(IF(INDEX(Roster!$C:$C,MATCH($C1550,Roster!$B:$B,0))="","",INDEX(Roster!$C:$C,MATCH($C1550,Roster!$B:$B,0))&amp;""),"—"))</f>
        <v/>
      </c>
      <c r="F1550" s="25">
        <f>IF($C1550="","",IFERROR(IF(INDEX(Roster!$D:$D,MATCH($C1550,Roster!$B:$B,0))="","",INDEX(Roster!$D:$D,MATCH($C1550,Roster!$B:$B,0))&amp;""),"—"))</f>
        <v/>
      </c>
      <c r="G1550" s="25">
        <f>IF($C1550="","",IFERROR(IF(INDEX(Roster!$E:$E,MATCH($C1550,Roster!$B:$B,0))="","",INDEX(Roster!$E:$E,MATCH($C1550,Roster!$B:$B,0))&amp;""),"—"))</f>
        <v/>
      </c>
      <c r="H1550" s="25">
        <f>IF($C1550="","",IFERROR(IF(INDEX(Roster!$F:$F,MATCH($C1550,Roster!$B:$B,0))="","",INDEX(Roster!$F:$F,MATCH($C1550,Roster!$B:$B,0))&amp;""),"—"))</f>
        <v/>
      </c>
      <c r="I1550" s="25">
        <f>IF($C1550="","",IFERROR(IF(INDEX(Roster!$G:$G,MATCH($C1550,Roster!$B:$B,0))="","",INDEX(Roster!$G:$G,MATCH($C1550,Roster!$B:$B,0))&amp;""),"—"))</f>
        <v/>
      </c>
      <c r="J1550" s="25">
        <f>IF($C1550="","",IFERROR(IF(INDEX(Roster!$I:$I,MATCH($C1550,Roster!$B:$B,0))="","",INDEX(Roster!$I:$I,MATCH($C1550,Roster!$B:$B,0))&amp;""),"—"))</f>
        <v/>
      </c>
      <c r="K1550">
        <f>IF($C1550="","",IFERROR(IF(INDEX(Roster!$J:$J,MATCH($C1550,Roster!$B:$B,0))="","",INDEX(Roster!$J:$J,MATCH($C1550,Roster!$B:$B,0))&amp;""),"—"))</f>
        <v/>
      </c>
      <c r="L1550">
        <f>IF($C1550="","",IFERROR(IF(INDEX(Roster!$K:$K,MATCH($C1550,Roster!$B:$B,0))="","",INDEX(Roster!$K:$K,MATCH($C1550,Roster!$B:$B,0))&amp;""),"—"))</f>
        <v/>
      </c>
      <c r="M1550" s="27" t="n"/>
      <c r="N1550" s="27" t="n"/>
      <c r="O1550" s="25">
        <f>IF($C1550="","",IF($P1550="","—",IF($P1550="Valid (Pass)","Valid","Invalid")))</f>
        <v/>
      </c>
      <c r="P1550" s="27" t="n"/>
      <c r="Q1550" s="27" t="n"/>
      <c r="R1550" s="27" t="n"/>
      <c r="S1550" s="27" t="n"/>
      <c r="T1550" s="25">
        <f>IF($C1550="","",IF(OR(ISNUMBER(SEARCH("quick case",$P1550)),ISNUMBER(SEARCH("quick case",$Q1550))),"Yes","No"))</f>
        <v/>
      </c>
      <c r="U1550" s="25">
        <f>IF($O1550="Invalid",HYPERLINK("mailto:"&amp;$G1550&amp;";"&amp;$I1550&amp;"?cc="&amp;Lists!$E$2&amp;"&amp;subject="&amp;_xlfn.ENCODEURL("[INVALID] Quality audit monitoring completed for "&amp;UPPER($C1550))&amp;"&amp;body="&amp;_xlfn.ENCODEURL("Hi "&amp;$F1550&amp;","&amp;CHAR(10)&amp;"Good day!"&amp;CHAR(10)&amp;CHAR(10)&amp;"A quality monitoring audit has been completed for "&amp;$C1550&amp;"."&amp;CHAR(10)&amp;CHAR(10)&amp;"QUALITY AUDIT DETAILS"&amp;CHAR(10)&amp;"Agent Name: "&amp;$C1550&amp;" (EID "&amp;$D1550&amp;")"&amp;CHAR(10)&amp;"Audit Date: "&amp;TEXT($B1550,"yyyy-mm-dd")&amp;CHAR(10)&amp;"Team Leader: "&amp;$F1550&amp;CHAR(10)&amp;"Case Number: "&amp;$M1550&amp;CHAR(10)&amp;"Transaction ID: "&amp;$N1550&amp;CHAR(10)&amp;"Channel / LOB: "&amp;$K1550&amp;" / "&amp;$L1550&amp;CHAR(10)&amp;"Evaluator: "&amp;$S1550&amp;CHAR(10)&amp;CHAR(10)&amp;"INVALID QUALITY AUDIT DETAILS"&amp;CHAR(10)&amp;"Validation: Invalid"&amp;CHAR(10)&amp;"Invalid Reason: "&amp;$P1550&amp;CHAR(10)&amp;"Expected Resolution Code: "&amp;$Q1550&amp;CHAR(10)&amp;"Remarks: "&amp;LEFT($R1550,600)&amp;CHAR(10)&amp;CHAR(10)&amp;"This is an automated notification from HP Mainstream EQMS."),"✉ Open Email Draft"),"")</f>
        <v/>
      </c>
    </row>
    <row r="1551">
      <c r="A1551" s="25">
        <f>IF($C1551="","","AUD-2026-"&amp;TEXT(ROW()-1,"000000"))</f>
        <v/>
      </c>
      <c r="B1551" s="26" t="n"/>
      <c r="C1551" s="27" t="n"/>
      <c r="D1551" s="25">
        <f>IF($C1551="","",IFERROR(IF(INDEX(Roster!$A:$A,MATCH($C1551,Roster!$B:$B,0))="","",INDEX(Roster!$A:$A,MATCH($C1551,Roster!$B:$B,0))&amp;""),"—"))</f>
        <v/>
      </c>
      <c r="E1551" s="25">
        <f>IF($C1551="","",IFERROR(IF(INDEX(Roster!$C:$C,MATCH($C1551,Roster!$B:$B,0))="","",INDEX(Roster!$C:$C,MATCH($C1551,Roster!$B:$B,0))&amp;""),"—"))</f>
        <v/>
      </c>
      <c r="F1551" s="25">
        <f>IF($C1551="","",IFERROR(IF(INDEX(Roster!$D:$D,MATCH($C1551,Roster!$B:$B,0))="","",INDEX(Roster!$D:$D,MATCH($C1551,Roster!$B:$B,0))&amp;""),"—"))</f>
        <v/>
      </c>
      <c r="G1551" s="25">
        <f>IF($C1551="","",IFERROR(IF(INDEX(Roster!$E:$E,MATCH($C1551,Roster!$B:$B,0))="","",INDEX(Roster!$E:$E,MATCH($C1551,Roster!$B:$B,0))&amp;""),"—"))</f>
        <v/>
      </c>
      <c r="H1551" s="25">
        <f>IF($C1551="","",IFERROR(IF(INDEX(Roster!$F:$F,MATCH($C1551,Roster!$B:$B,0))="","",INDEX(Roster!$F:$F,MATCH($C1551,Roster!$B:$B,0))&amp;""),"—"))</f>
        <v/>
      </c>
      <c r="I1551" s="25">
        <f>IF($C1551="","",IFERROR(IF(INDEX(Roster!$G:$G,MATCH($C1551,Roster!$B:$B,0))="","",INDEX(Roster!$G:$G,MATCH($C1551,Roster!$B:$B,0))&amp;""),"—"))</f>
        <v/>
      </c>
      <c r="J1551" s="25">
        <f>IF($C1551="","",IFERROR(IF(INDEX(Roster!$I:$I,MATCH($C1551,Roster!$B:$B,0))="","",INDEX(Roster!$I:$I,MATCH($C1551,Roster!$B:$B,0))&amp;""),"—"))</f>
        <v/>
      </c>
      <c r="K1551">
        <f>IF($C1551="","",IFERROR(IF(INDEX(Roster!$J:$J,MATCH($C1551,Roster!$B:$B,0))="","",INDEX(Roster!$J:$J,MATCH($C1551,Roster!$B:$B,0))&amp;""),"—"))</f>
        <v/>
      </c>
      <c r="L1551">
        <f>IF($C1551="","",IFERROR(IF(INDEX(Roster!$K:$K,MATCH($C1551,Roster!$B:$B,0))="","",INDEX(Roster!$K:$K,MATCH($C1551,Roster!$B:$B,0))&amp;""),"—"))</f>
        <v/>
      </c>
      <c r="M1551" s="27" t="n"/>
      <c r="N1551" s="27" t="n"/>
      <c r="O1551" s="25">
        <f>IF($C1551="","",IF($P1551="","—",IF($P1551="Valid (Pass)","Valid","Invalid")))</f>
        <v/>
      </c>
      <c r="P1551" s="27" t="n"/>
      <c r="Q1551" s="27" t="n"/>
      <c r="R1551" s="27" t="n"/>
      <c r="S1551" s="27" t="n"/>
      <c r="T1551" s="25">
        <f>IF($C1551="","",IF(OR(ISNUMBER(SEARCH("quick case",$P1551)),ISNUMBER(SEARCH("quick case",$Q1551))),"Yes","No"))</f>
        <v/>
      </c>
      <c r="U1551" s="25">
        <f>IF($O1551="Invalid",HYPERLINK("mailto:"&amp;$G1551&amp;";"&amp;$I1551&amp;"?cc="&amp;Lists!$E$2&amp;"&amp;subject="&amp;_xlfn.ENCODEURL("[INVALID] Quality audit monitoring completed for "&amp;UPPER($C1551))&amp;"&amp;body="&amp;_xlfn.ENCODEURL("Hi "&amp;$F1551&amp;","&amp;CHAR(10)&amp;"Good day!"&amp;CHAR(10)&amp;CHAR(10)&amp;"A quality monitoring audit has been completed for "&amp;$C1551&amp;"."&amp;CHAR(10)&amp;CHAR(10)&amp;"QUALITY AUDIT DETAILS"&amp;CHAR(10)&amp;"Agent Name: "&amp;$C1551&amp;" (EID "&amp;$D1551&amp;")"&amp;CHAR(10)&amp;"Audit Date: "&amp;TEXT($B1551,"yyyy-mm-dd")&amp;CHAR(10)&amp;"Team Leader: "&amp;$F1551&amp;CHAR(10)&amp;"Case Number: "&amp;$M1551&amp;CHAR(10)&amp;"Transaction ID: "&amp;$N1551&amp;CHAR(10)&amp;"Channel / LOB: "&amp;$K1551&amp;" / "&amp;$L1551&amp;CHAR(10)&amp;"Evaluator: "&amp;$S1551&amp;CHAR(10)&amp;CHAR(10)&amp;"INVALID QUALITY AUDIT DETAILS"&amp;CHAR(10)&amp;"Validation: Invalid"&amp;CHAR(10)&amp;"Invalid Reason: "&amp;$P1551&amp;CHAR(10)&amp;"Expected Resolution Code: "&amp;$Q1551&amp;CHAR(10)&amp;"Remarks: "&amp;LEFT($R1551,600)&amp;CHAR(10)&amp;CHAR(10)&amp;"This is an automated notification from HP Mainstream EQMS."),"✉ Open Email Draft"),"")</f>
        <v/>
      </c>
    </row>
    <row r="1552">
      <c r="A1552" s="25">
        <f>IF($C1552="","","AUD-2026-"&amp;TEXT(ROW()-1,"000000"))</f>
        <v/>
      </c>
      <c r="B1552" s="26" t="n"/>
      <c r="C1552" s="27" t="n"/>
      <c r="D1552" s="25">
        <f>IF($C1552="","",IFERROR(IF(INDEX(Roster!$A:$A,MATCH($C1552,Roster!$B:$B,0))="","",INDEX(Roster!$A:$A,MATCH($C1552,Roster!$B:$B,0))&amp;""),"—"))</f>
        <v/>
      </c>
      <c r="E1552" s="25">
        <f>IF($C1552="","",IFERROR(IF(INDEX(Roster!$C:$C,MATCH($C1552,Roster!$B:$B,0))="","",INDEX(Roster!$C:$C,MATCH($C1552,Roster!$B:$B,0))&amp;""),"—"))</f>
        <v/>
      </c>
      <c r="F1552" s="25">
        <f>IF($C1552="","",IFERROR(IF(INDEX(Roster!$D:$D,MATCH($C1552,Roster!$B:$B,0))="","",INDEX(Roster!$D:$D,MATCH($C1552,Roster!$B:$B,0))&amp;""),"—"))</f>
        <v/>
      </c>
      <c r="G1552" s="25">
        <f>IF($C1552="","",IFERROR(IF(INDEX(Roster!$E:$E,MATCH($C1552,Roster!$B:$B,0))="","",INDEX(Roster!$E:$E,MATCH($C1552,Roster!$B:$B,0))&amp;""),"—"))</f>
        <v/>
      </c>
      <c r="H1552" s="25">
        <f>IF($C1552="","",IFERROR(IF(INDEX(Roster!$F:$F,MATCH($C1552,Roster!$B:$B,0))="","",INDEX(Roster!$F:$F,MATCH($C1552,Roster!$B:$B,0))&amp;""),"—"))</f>
        <v/>
      </c>
      <c r="I1552" s="25">
        <f>IF($C1552="","",IFERROR(IF(INDEX(Roster!$G:$G,MATCH($C1552,Roster!$B:$B,0))="","",INDEX(Roster!$G:$G,MATCH($C1552,Roster!$B:$B,0))&amp;""),"—"))</f>
        <v/>
      </c>
      <c r="J1552" s="25">
        <f>IF($C1552="","",IFERROR(IF(INDEX(Roster!$I:$I,MATCH($C1552,Roster!$B:$B,0))="","",INDEX(Roster!$I:$I,MATCH($C1552,Roster!$B:$B,0))&amp;""),"—"))</f>
        <v/>
      </c>
      <c r="K1552">
        <f>IF($C1552="","",IFERROR(IF(INDEX(Roster!$J:$J,MATCH($C1552,Roster!$B:$B,0))="","",INDEX(Roster!$J:$J,MATCH($C1552,Roster!$B:$B,0))&amp;""),"—"))</f>
        <v/>
      </c>
      <c r="L1552">
        <f>IF($C1552="","",IFERROR(IF(INDEX(Roster!$K:$K,MATCH($C1552,Roster!$B:$B,0))="","",INDEX(Roster!$K:$K,MATCH($C1552,Roster!$B:$B,0))&amp;""),"—"))</f>
        <v/>
      </c>
      <c r="M1552" s="27" t="n"/>
      <c r="N1552" s="27" t="n"/>
      <c r="O1552" s="25">
        <f>IF($C1552="","",IF($P1552="","—",IF($P1552="Valid (Pass)","Valid","Invalid")))</f>
        <v/>
      </c>
      <c r="P1552" s="27" t="n"/>
      <c r="Q1552" s="27" t="n"/>
      <c r="R1552" s="27" t="n"/>
      <c r="S1552" s="27" t="n"/>
      <c r="T1552" s="25">
        <f>IF($C1552="","",IF(OR(ISNUMBER(SEARCH("quick case",$P1552)),ISNUMBER(SEARCH("quick case",$Q1552))),"Yes","No"))</f>
        <v/>
      </c>
      <c r="U1552" s="25">
        <f>IF($O1552="Invalid",HYPERLINK("mailto:"&amp;$G1552&amp;";"&amp;$I1552&amp;"?cc="&amp;Lists!$E$2&amp;"&amp;subject="&amp;_xlfn.ENCODEURL("[INVALID] Quality audit monitoring completed for "&amp;UPPER($C1552))&amp;"&amp;body="&amp;_xlfn.ENCODEURL("Hi "&amp;$F1552&amp;","&amp;CHAR(10)&amp;"Good day!"&amp;CHAR(10)&amp;CHAR(10)&amp;"A quality monitoring audit has been completed for "&amp;$C1552&amp;"."&amp;CHAR(10)&amp;CHAR(10)&amp;"QUALITY AUDIT DETAILS"&amp;CHAR(10)&amp;"Agent Name: "&amp;$C1552&amp;" (EID "&amp;$D1552&amp;")"&amp;CHAR(10)&amp;"Audit Date: "&amp;TEXT($B1552,"yyyy-mm-dd")&amp;CHAR(10)&amp;"Team Leader: "&amp;$F1552&amp;CHAR(10)&amp;"Case Number: "&amp;$M1552&amp;CHAR(10)&amp;"Transaction ID: "&amp;$N1552&amp;CHAR(10)&amp;"Channel / LOB: "&amp;$K1552&amp;" / "&amp;$L1552&amp;CHAR(10)&amp;"Evaluator: "&amp;$S1552&amp;CHAR(10)&amp;CHAR(10)&amp;"INVALID QUALITY AUDIT DETAILS"&amp;CHAR(10)&amp;"Validation: Invalid"&amp;CHAR(10)&amp;"Invalid Reason: "&amp;$P1552&amp;CHAR(10)&amp;"Expected Resolution Code: "&amp;$Q1552&amp;CHAR(10)&amp;"Remarks: "&amp;LEFT($R1552,600)&amp;CHAR(10)&amp;CHAR(10)&amp;"This is an automated notification from HP Mainstream EQMS."),"✉ Open Email Draft"),"")</f>
        <v/>
      </c>
    </row>
    <row r="1553">
      <c r="A1553" s="25">
        <f>IF($C1553="","","AUD-2026-"&amp;TEXT(ROW()-1,"000000"))</f>
        <v/>
      </c>
      <c r="B1553" s="26" t="n"/>
      <c r="C1553" s="27" t="n"/>
      <c r="D1553" s="25">
        <f>IF($C1553="","",IFERROR(IF(INDEX(Roster!$A:$A,MATCH($C1553,Roster!$B:$B,0))="","",INDEX(Roster!$A:$A,MATCH($C1553,Roster!$B:$B,0))&amp;""),"—"))</f>
        <v/>
      </c>
      <c r="E1553" s="25">
        <f>IF($C1553="","",IFERROR(IF(INDEX(Roster!$C:$C,MATCH($C1553,Roster!$B:$B,0))="","",INDEX(Roster!$C:$C,MATCH($C1553,Roster!$B:$B,0))&amp;""),"—"))</f>
        <v/>
      </c>
      <c r="F1553" s="25">
        <f>IF($C1553="","",IFERROR(IF(INDEX(Roster!$D:$D,MATCH($C1553,Roster!$B:$B,0))="","",INDEX(Roster!$D:$D,MATCH($C1553,Roster!$B:$B,0))&amp;""),"—"))</f>
        <v/>
      </c>
      <c r="G1553" s="25">
        <f>IF($C1553="","",IFERROR(IF(INDEX(Roster!$E:$E,MATCH($C1553,Roster!$B:$B,0))="","",INDEX(Roster!$E:$E,MATCH($C1553,Roster!$B:$B,0))&amp;""),"—"))</f>
        <v/>
      </c>
      <c r="H1553" s="25">
        <f>IF($C1553="","",IFERROR(IF(INDEX(Roster!$F:$F,MATCH($C1553,Roster!$B:$B,0))="","",INDEX(Roster!$F:$F,MATCH($C1553,Roster!$B:$B,0))&amp;""),"—"))</f>
        <v/>
      </c>
      <c r="I1553" s="25">
        <f>IF($C1553="","",IFERROR(IF(INDEX(Roster!$G:$G,MATCH($C1553,Roster!$B:$B,0))="","",INDEX(Roster!$G:$G,MATCH($C1553,Roster!$B:$B,0))&amp;""),"—"))</f>
        <v/>
      </c>
      <c r="J1553" s="25">
        <f>IF($C1553="","",IFERROR(IF(INDEX(Roster!$I:$I,MATCH($C1553,Roster!$B:$B,0))="","",INDEX(Roster!$I:$I,MATCH($C1553,Roster!$B:$B,0))&amp;""),"—"))</f>
        <v/>
      </c>
      <c r="K1553">
        <f>IF($C1553="","",IFERROR(IF(INDEX(Roster!$J:$J,MATCH($C1553,Roster!$B:$B,0))="","",INDEX(Roster!$J:$J,MATCH($C1553,Roster!$B:$B,0))&amp;""),"—"))</f>
        <v/>
      </c>
      <c r="L1553">
        <f>IF($C1553="","",IFERROR(IF(INDEX(Roster!$K:$K,MATCH($C1553,Roster!$B:$B,0))="","",INDEX(Roster!$K:$K,MATCH($C1553,Roster!$B:$B,0))&amp;""),"—"))</f>
        <v/>
      </c>
      <c r="M1553" s="27" t="n"/>
      <c r="N1553" s="27" t="n"/>
      <c r="O1553" s="25">
        <f>IF($C1553="","",IF($P1553="","—",IF($P1553="Valid (Pass)","Valid","Invalid")))</f>
        <v/>
      </c>
      <c r="P1553" s="27" t="n"/>
      <c r="Q1553" s="27" t="n"/>
      <c r="R1553" s="27" t="n"/>
      <c r="S1553" s="27" t="n"/>
      <c r="T1553" s="25">
        <f>IF($C1553="","",IF(OR(ISNUMBER(SEARCH("quick case",$P1553)),ISNUMBER(SEARCH("quick case",$Q1553))),"Yes","No"))</f>
        <v/>
      </c>
      <c r="U1553" s="25">
        <f>IF($O1553="Invalid",HYPERLINK("mailto:"&amp;$G1553&amp;";"&amp;$I1553&amp;"?cc="&amp;Lists!$E$2&amp;"&amp;subject="&amp;_xlfn.ENCODEURL("[INVALID] Quality audit monitoring completed for "&amp;UPPER($C1553))&amp;"&amp;body="&amp;_xlfn.ENCODEURL("Hi "&amp;$F1553&amp;","&amp;CHAR(10)&amp;"Good day!"&amp;CHAR(10)&amp;CHAR(10)&amp;"A quality monitoring audit has been completed for "&amp;$C1553&amp;"."&amp;CHAR(10)&amp;CHAR(10)&amp;"QUALITY AUDIT DETAILS"&amp;CHAR(10)&amp;"Agent Name: "&amp;$C1553&amp;" (EID "&amp;$D1553&amp;")"&amp;CHAR(10)&amp;"Audit Date: "&amp;TEXT($B1553,"yyyy-mm-dd")&amp;CHAR(10)&amp;"Team Leader: "&amp;$F1553&amp;CHAR(10)&amp;"Case Number: "&amp;$M1553&amp;CHAR(10)&amp;"Transaction ID: "&amp;$N1553&amp;CHAR(10)&amp;"Channel / LOB: "&amp;$K1553&amp;" / "&amp;$L1553&amp;CHAR(10)&amp;"Evaluator: "&amp;$S1553&amp;CHAR(10)&amp;CHAR(10)&amp;"INVALID QUALITY AUDIT DETAILS"&amp;CHAR(10)&amp;"Validation: Invalid"&amp;CHAR(10)&amp;"Invalid Reason: "&amp;$P1553&amp;CHAR(10)&amp;"Expected Resolution Code: "&amp;$Q1553&amp;CHAR(10)&amp;"Remarks: "&amp;LEFT($R1553,600)&amp;CHAR(10)&amp;CHAR(10)&amp;"This is an automated notification from HP Mainstream EQMS."),"✉ Open Email Draft"),"")</f>
        <v/>
      </c>
    </row>
    <row r="1554">
      <c r="A1554" s="25">
        <f>IF($C1554="","","AUD-2026-"&amp;TEXT(ROW()-1,"000000"))</f>
        <v/>
      </c>
      <c r="B1554" s="26" t="n"/>
      <c r="C1554" s="27" t="n"/>
      <c r="D1554" s="25">
        <f>IF($C1554="","",IFERROR(IF(INDEX(Roster!$A:$A,MATCH($C1554,Roster!$B:$B,0))="","",INDEX(Roster!$A:$A,MATCH($C1554,Roster!$B:$B,0))&amp;""),"—"))</f>
        <v/>
      </c>
      <c r="E1554" s="25">
        <f>IF($C1554="","",IFERROR(IF(INDEX(Roster!$C:$C,MATCH($C1554,Roster!$B:$B,0))="","",INDEX(Roster!$C:$C,MATCH($C1554,Roster!$B:$B,0))&amp;""),"—"))</f>
        <v/>
      </c>
      <c r="F1554" s="25">
        <f>IF($C1554="","",IFERROR(IF(INDEX(Roster!$D:$D,MATCH($C1554,Roster!$B:$B,0))="","",INDEX(Roster!$D:$D,MATCH($C1554,Roster!$B:$B,0))&amp;""),"—"))</f>
        <v/>
      </c>
      <c r="G1554" s="25">
        <f>IF($C1554="","",IFERROR(IF(INDEX(Roster!$E:$E,MATCH($C1554,Roster!$B:$B,0))="","",INDEX(Roster!$E:$E,MATCH($C1554,Roster!$B:$B,0))&amp;""),"—"))</f>
        <v/>
      </c>
      <c r="H1554" s="25">
        <f>IF($C1554="","",IFERROR(IF(INDEX(Roster!$F:$F,MATCH($C1554,Roster!$B:$B,0))="","",INDEX(Roster!$F:$F,MATCH($C1554,Roster!$B:$B,0))&amp;""),"—"))</f>
        <v/>
      </c>
      <c r="I1554" s="25">
        <f>IF($C1554="","",IFERROR(IF(INDEX(Roster!$G:$G,MATCH($C1554,Roster!$B:$B,0))="","",INDEX(Roster!$G:$G,MATCH($C1554,Roster!$B:$B,0))&amp;""),"—"))</f>
        <v/>
      </c>
      <c r="J1554" s="25">
        <f>IF($C1554="","",IFERROR(IF(INDEX(Roster!$I:$I,MATCH($C1554,Roster!$B:$B,0))="","",INDEX(Roster!$I:$I,MATCH($C1554,Roster!$B:$B,0))&amp;""),"—"))</f>
        <v/>
      </c>
      <c r="K1554">
        <f>IF($C1554="","",IFERROR(IF(INDEX(Roster!$J:$J,MATCH($C1554,Roster!$B:$B,0))="","",INDEX(Roster!$J:$J,MATCH($C1554,Roster!$B:$B,0))&amp;""),"—"))</f>
        <v/>
      </c>
      <c r="L1554">
        <f>IF($C1554="","",IFERROR(IF(INDEX(Roster!$K:$K,MATCH($C1554,Roster!$B:$B,0))="","",INDEX(Roster!$K:$K,MATCH($C1554,Roster!$B:$B,0))&amp;""),"—"))</f>
        <v/>
      </c>
      <c r="M1554" s="27" t="n"/>
      <c r="N1554" s="27" t="n"/>
      <c r="O1554" s="25">
        <f>IF($C1554="","",IF($P1554="","—",IF($P1554="Valid (Pass)","Valid","Invalid")))</f>
        <v/>
      </c>
      <c r="P1554" s="27" t="n"/>
      <c r="Q1554" s="27" t="n"/>
      <c r="R1554" s="27" t="n"/>
      <c r="S1554" s="27" t="n"/>
      <c r="T1554" s="25">
        <f>IF($C1554="","",IF(OR(ISNUMBER(SEARCH("quick case",$P1554)),ISNUMBER(SEARCH("quick case",$Q1554))),"Yes","No"))</f>
        <v/>
      </c>
      <c r="U1554" s="25">
        <f>IF($O1554="Invalid",HYPERLINK("mailto:"&amp;$G1554&amp;";"&amp;$I1554&amp;"?cc="&amp;Lists!$E$2&amp;"&amp;subject="&amp;_xlfn.ENCODEURL("[INVALID] Quality audit monitoring completed for "&amp;UPPER($C1554))&amp;"&amp;body="&amp;_xlfn.ENCODEURL("Hi "&amp;$F1554&amp;","&amp;CHAR(10)&amp;"Good day!"&amp;CHAR(10)&amp;CHAR(10)&amp;"A quality monitoring audit has been completed for "&amp;$C1554&amp;"."&amp;CHAR(10)&amp;CHAR(10)&amp;"QUALITY AUDIT DETAILS"&amp;CHAR(10)&amp;"Agent Name: "&amp;$C1554&amp;" (EID "&amp;$D1554&amp;")"&amp;CHAR(10)&amp;"Audit Date: "&amp;TEXT($B1554,"yyyy-mm-dd")&amp;CHAR(10)&amp;"Team Leader: "&amp;$F1554&amp;CHAR(10)&amp;"Case Number: "&amp;$M1554&amp;CHAR(10)&amp;"Transaction ID: "&amp;$N1554&amp;CHAR(10)&amp;"Channel / LOB: "&amp;$K1554&amp;" / "&amp;$L1554&amp;CHAR(10)&amp;"Evaluator: "&amp;$S1554&amp;CHAR(10)&amp;CHAR(10)&amp;"INVALID QUALITY AUDIT DETAILS"&amp;CHAR(10)&amp;"Validation: Invalid"&amp;CHAR(10)&amp;"Invalid Reason: "&amp;$P1554&amp;CHAR(10)&amp;"Expected Resolution Code: "&amp;$Q1554&amp;CHAR(10)&amp;"Remarks: "&amp;LEFT($R1554,600)&amp;CHAR(10)&amp;CHAR(10)&amp;"This is an automated notification from HP Mainstream EQMS."),"✉ Open Email Draft"),"")</f>
        <v/>
      </c>
    </row>
    <row r="1555">
      <c r="A1555" s="25">
        <f>IF($C1555="","","AUD-2026-"&amp;TEXT(ROW()-1,"000000"))</f>
        <v/>
      </c>
      <c r="B1555" s="26" t="n"/>
      <c r="C1555" s="27" t="n"/>
      <c r="D1555" s="25">
        <f>IF($C1555="","",IFERROR(IF(INDEX(Roster!$A:$A,MATCH($C1555,Roster!$B:$B,0))="","",INDEX(Roster!$A:$A,MATCH($C1555,Roster!$B:$B,0))&amp;""),"—"))</f>
        <v/>
      </c>
      <c r="E1555" s="25">
        <f>IF($C1555="","",IFERROR(IF(INDEX(Roster!$C:$C,MATCH($C1555,Roster!$B:$B,0))="","",INDEX(Roster!$C:$C,MATCH($C1555,Roster!$B:$B,0))&amp;""),"—"))</f>
        <v/>
      </c>
      <c r="F1555" s="25">
        <f>IF($C1555="","",IFERROR(IF(INDEX(Roster!$D:$D,MATCH($C1555,Roster!$B:$B,0))="","",INDEX(Roster!$D:$D,MATCH($C1555,Roster!$B:$B,0))&amp;""),"—"))</f>
        <v/>
      </c>
      <c r="G1555" s="25">
        <f>IF($C1555="","",IFERROR(IF(INDEX(Roster!$E:$E,MATCH($C1555,Roster!$B:$B,0))="","",INDEX(Roster!$E:$E,MATCH($C1555,Roster!$B:$B,0))&amp;""),"—"))</f>
        <v/>
      </c>
      <c r="H1555" s="25">
        <f>IF($C1555="","",IFERROR(IF(INDEX(Roster!$F:$F,MATCH($C1555,Roster!$B:$B,0))="","",INDEX(Roster!$F:$F,MATCH($C1555,Roster!$B:$B,0))&amp;""),"—"))</f>
        <v/>
      </c>
      <c r="I1555" s="25">
        <f>IF($C1555="","",IFERROR(IF(INDEX(Roster!$G:$G,MATCH($C1555,Roster!$B:$B,0))="","",INDEX(Roster!$G:$G,MATCH($C1555,Roster!$B:$B,0))&amp;""),"—"))</f>
        <v/>
      </c>
      <c r="J1555" s="25">
        <f>IF($C1555="","",IFERROR(IF(INDEX(Roster!$I:$I,MATCH($C1555,Roster!$B:$B,0))="","",INDEX(Roster!$I:$I,MATCH($C1555,Roster!$B:$B,0))&amp;""),"—"))</f>
        <v/>
      </c>
      <c r="K1555">
        <f>IF($C1555="","",IFERROR(IF(INDEX(Roster!$J:$J,MATCH($C1555,Roster!$B:$B,0))="","",INDEX(Roster!$J:$J,MATCH($C1555,Roster!$B:$B,0))&amp;""),"—"))</f>
        <v/>
      </c>
      <c r="L1555">
        <f>IF($C1555="","",IFERROR(IF(INDEX(Roster!$K:$K,MATCH($C1555,Roster!$B:$B,0))="","",INDEX(Roster!$K:$K,MATCH($C1555,Roster!$B:$B,0))&amp;""),"—"))</f>
        <v/>
      </c>
      <c r="M1555" s="27" t="n"/>
      <c r="N1555" s="27" t="n"/>
      <c r="O1555" s="25">
        <f>IF($C1555="","",IF($P1555="","—",IF($P1555="Valid (Pass)","Valid","Invalid")))</f>
        <v/>
      </c>
      <c r="P1555" s="27" t="n"/>
      <c r="Q1555" s="27" t="n"/>
      <c r="R1555" s="27" t="n"/>
      <c r="S1555" s="27" t="n"/>
      <c r="T1555" s="25">
        <f>IF($C1555="","",IF(OR(ISNUMBER(SEARCH("quick case",$P1555)),ISNUMBER(SEARCH("quick case",$Q1555))),"Yes","No"))</f>
        <v/>
      </c>
      <c r="U1555" s="25">
        <f>IF($O1555="Invalid",HYPERLINK("mailto:"&amp;$G1555&amp;";"&amp;$I1555&amp;"?cc="&amp;Lists!$E$2&amp;"&amp;subject="&amp;_xlfn.ENCODEURL("[INVALID] Quality audit monitoring completed for "&amp;UPPER($C1555))&amp;"&amp;body="&amp;_xlfn.ENCODEURL("Hi "&amp;$F1555&amp;","&amp;CHAR(10)&amp;"Good day!"&amp;CHAR(10)&amp;CHAR(10)&amp;"A quality monitoring audit has been completed for "&amp;$C1555&amp;"."&amp;CHAR(10)&amp;CHAR(10)&amp;"QUALITY AUDIT DETAILS"&amp;CHAR(10)&amp;"Agent Name: "&amp;$C1555&amp;" (EID "&amp;$D1555&amp;")"&amp;CHAR(10)&amp;"Audit Date: "&amp;TEXT($B1555,"yyyy-mm-dd")&amp;CHAR(10)&amp;"Team Leader: "&amp;$F1555&amp;CHAR(10)&amp;"Case Number: "&amp;$M1555&amp;CHAR(10)&amp;"Transaction ID: "&amp;$N1555&amp;CHAR(10)&amp;"Channel / LOB: "&amp;$K1555&amp;" / "&amp;$L1555&amp;CHAR(10)&amp;"Evaluator: "&amp;$S1555&amp;CHAR(10)&amp;CHAR(10)&amp;"INVALID QUALITY AUDIT DETAILS"&amp;CHAR(10)&amp;"Validation: Invalid"&amp;CHAR(10)&amp;"Invalid Reason: "&amp;$P1555&amp;CHAR(10)&amp;"Expected Resolution Code: "&amp;$Q1555&amp;CHAR(10)&amp;"Remarks: "&amp;LEFT($R1555,600)&amp;CHAR(10)&amp;CHAR(10)&amp;"This is an automated notification from HP Mainstream EQMS."),"✉ Open Email Draft"),"")</f>
        <v/>
      </c>
    </row>
    <row r="1556">
      <c r="A1556" s="25">
        <f>IF($C1556="","","AUD-2026-"&amp;TEXT(ROW()-1,"000000"))</f>
        <v/>
      </c>
      <c r="B1556" s="26" t="n"/>
      <c r="C1556" s="27" t="n"/>
      <c r="D1556" s="25">
        <f>IF($C1556="","",IFERROR(IF(INDEX(Roster!$A:$A,MATCH($C1556,Roster!$B:$B,0))="","",INDEX(Roster!$A:$A,MATCH($C1556,Roster!$B:$B,0))&amp;""),"—"))</f>
        <v/>
      </c>
      <c r="E1556" s="25">
        <f>IF($C1556="","",IFERROR(IF(INDEX(Roster!$C:$C,MATCH($C1556,Roster!$B:$B,0))="","",INDEX(Roster!$C:$C,MATCH($C1556,Roster!$B:$B,0))&amp;""),"—"))</f>
        <v/>
      </c>
      <c r="F1556" s="25">
        <f>IF($C1556="","",IFERROR(IF(INDEX(Roster!$D:$D,MATCH($C1556,Roster!$B:$B,0))="","",INDEX(Roster!$D:$D,MATCH($C1556,Roster!$B:$B,0))&amp;""),"—"))</f>
        <v/>
      </c>
      <c r="G1556" s="25">
        <f>IF($C1556="","",IFERROR(IF(INDEX(Roster!$E:$E,MATCH($C1556,Roster!$B:$B,0))="","",INDEX(Roster!$E:$E,MATCH($C1556,Roster!$B:$B,0))&amp;""),"—"))</f>
        <v/>
      </c>
      <c r="H1556" s="25">
        <f>IF($C1556="","",IFERROR(IF(INDEX(Roster!$F:$F,MATCH($C1556,Roster!$B:$B,0))="","",INDEX(Roster!$F:$F,MATCH($C1556,Roster!$B:$B,0))&amp;""),"—"))</f>
        <v/>
      </c>
      <c r="I1556" s="25">
        <f>IF($C1556="","",IFERROR(IF(INDEX(Roster!$G:$G,MATCH($C1556,Roster!$B:$B,0))="","",INDEX(Roster!$G:$G,MATCH($C1556,Roster!$B:$B,0))&amp;""),"—"))</f>
        <v/>
      </c>
      <c r="J1556" s="25">
        <f>IF($C1556="","",IFERROR(IF(INDEX(Roster!$I:$I,MATCH($C1556,Roster!$B:$B,0))="","",INDEX(Roster!$I:$I,MATCH($C1556,Roster!$B:$B,0))&amp;""),"—"))</f>
        <v/>
      </c>
      <c r="K1556">
        <f>IF($C1556="","",IFERROR(IF(INDEX(Roster!$J:$J,MATCH($C1556,Roster!$B:$B,0))="","",INDEX(Roster!$J:$J,MATCH($C1556,Roster!$B:$B,0))&amp;""),"—"))</f>
        <v/>
      </c>
      <c r="L1556">
        <f>IF($C1556="","",IFERROR(IF(INDEX(Roster!$K:$K,MATCH($C1556,Roster!$B:$B,0))="","",INDEX(Roster!$K:$K,MATCH($C1556,Roster!$B:$B,0))&amp;""),"—"))</f>
        <v/>
      </c>
      <c r="M1556" s="27" t="n"/>
      <c r="N1556" s="27" t="n"/>
      <c r="O1556" s="25">
        <f>IF($C1556="","",IF($P1556="","—",IF($P1556="Valid (Pass)","Valid","Invalid")))</f>
        <v/>
      </c>
      <c r="P1556" s="27" t="n"/>
      <c r="Q1556" s="27" t="n"/>
      <c r="R1556" s="27" t="n"/>
      <c r="S1556" s="27" t="n"/>
      <c r="T1556" s="25">
        <f>IF($C1556="","",IF(OR(ISNUMBER(SEARCH("quick case",$P1556)),ISNUMBER(SEARCH("quick case",$Q1556))),"Yes","No"))</f>
        <v/>
      </c>
      <c r="U1556" s="25">
        <f>IF($O1556="Invalid",HYPERLINK("mailto:"&amp;$G1556&amp;";"&amp;$I1556&amp;"?cc="&amp;Lists!$E$2&amp;"&amp;subject="&amp;_xlfn.ENCODEURL("[INVALID] Quality audit monitoring completed for "&amp;UPPER($C1556))&amp;"&amp;body="&amp;_xlfn.ENCODEURL("Hi "&amp;$F1556&amp;","&amp;CHAR(10)&amp;"Good day!"&amp;CHAR(10)&amp;CHAR(10)&amp;"A quality monitoring audit has been completed for "&amp;$C1556&amp;"."&amp;CHAR(10)&amp;CHAR(10)&amp;"QUALITY AUDIT DETAILS"&amp;CHAR(10)&amp;"Agent Name: "&amp;$C1556&amp;" (EID "&amp;$D1556&amp;")"&amp;CHAR(10)&amp;"Audit Date: "&amp;TEXT($B1556,"yyyy-mm-dd")&amp;CHAR(10)&amp;"Team Leader: "&amp;$F1556&amp;CHAR(10)&amp;"Case Number: "&amp;$M1556&amp;CHAR(10)&amp;"Transaction ID: "&amp;$N1556&amp;CHAR(10)&amp;"Channel / LOB: "&amp;$K1556&amp;" / "&amp;$L1556&amp;CHAR(10)&amp;"Evaluator: "&amp;$S1556&amp;CHAR(10)&amp;CHAR(10)&amp;"INVALID QUALITY AUDIT DETAILS"&amp;CHAR(10)&amp;"Validation: Invalid"&amp;CHAR(10)&amp;"Invalid Reason: "&amp;$P1556&amp;CHAR(10)&amp;"Expected Resolution Code: "&amp;$Q1556&amp;CHAR(10)&amp;"Remarks: "&amp;LEFT($R1556,600)&amp;CHAR(10)&amp;CHAR(10)&amp;"This is an automated notification from HP Mainstream EQMS."),"✉ Open Email Draft"),"")</f>
        <v/>
      </c>
    </row>
    <row r="1557">
      <c r="A1557" s="25">
        <f>IF($C1557="","","AUD-2026-"&amp;TEXT(ROW()-1,"000000"))</f>
        <v/>
      </c>
      <c r="B1557" s="26" t="n"/>
      <c r="C1557" s="27" t="n"/>
      <c r="D1557" s="25">
        <f>IF($C1557="","",IFERROR(IF(INDEX(Roster!$A:$A,MATCH($C1557,Roster!$B:$B,0))="","",INDEX(Roster!$A:$A,MATCH($C1557,Roster!$B:$B,0))&amp;""),"—"))</f>
        <v/>
      </c>
      <c r="E1557" s="25">
        <f>IF($C1557="","",IFERROR(IF(INDEX(Roster!$C:$C,MATCH($C1557,Roster!$B:$B,0))="","",INDEX(Roster!$C:$C,MATCH($C1557,Roster!$B:$B,0))&amp;""),"—"))</f>
        <v/>
      </c>
      <c r="F1557" s="25">
        <f>IF($C1557="","",IFERROR(IF(INDEX(Roster!$D:$D,MATCH($C1557,Roster!$B:$B,0))="","",INDEX(Roster!$D:$D,MATCH($C1557,Roster!$B:$B,0))&amp;""),"—"))</f>
        <v/>
      </c>
      <c r="G1557" s="25">
        <f>IF($C1557="","",IFERROR(IF(INDEX(Roster!$E:$E,MATCH($C1557,Roster!$B:$B,0))="","",INDEX(Roster!$E:$E,MATCH($C1557,Roster!$B:$B,0))&amp;""),"—"))</f>
        <v/>
      </c>
      <c r="H1557" s="25">
        <f>IF($C1557="","",IFERROR(IF(INDEX(Roster!$F:$F,MATCH($C1557,Roster!$B:$B,0))="","",INDEX(Roster!$F:$F,MATCH($C1557,Roster!$B:$B,0))&amp;""),"—"))</f>
        <v/>
      </c>
      <c r="I1557" s="25">
        <f>IF($C1557="","",IFERROR(IF(INDEX(Roster!$G:$G,MATCH($C1557,Roster!$B:$B,0))="","",INDEX(Roster!$G:$G,MATCH($C1557,Roster!$B:$B,0))&amp;""),"—"))</f>
        <v/>
      </c>
      <c r="J1557" s="25">
        <f>IF($C1557="","",IFERROR(IF(INDEX(Roster!$I:$I,MATCH($C1557,Roster!$B:$B,0))="","",INDEX(Roster!$I:$I,MATCH($C1557,Roster!$B:$B,0))&amp;""),"—"))</f>
        <v/>
      </c>
      <c r="K1557">
        <f>IF($C1557="","",IFERROR(IF(INDEX(Roster!$J:$J,MATCH($C1557,Roster!$B:$B,0))="","",INDEX(Roster!$J:$J,MATCH($C1557,Roster!$B:$B,0))&amp;""),"—"))</f>
        <v/>
      </c>
      <c r="L1557">
        <f>IF($C1557="","",IFERROR(IF(INDEX(Roster!$K:$K,MATCH($C1557,Roster!$B:$B,0))="","",INDEX(Roster!$K:$K,MATCH($C1557,Roster!$B:$B,0))&amp;""),"—"))</f>
        <v/>
      </c>
      <c r="M1557" s="27" t="n"/>
      <c r="N1557" s="27" t="n"/>
      <c r="O1557" s="25">
        <f>IF($C1557="","",IF($P1557="","—",IF($P1557="Valid (Pass)","Valid","Invalid")))</f>
        <v/>
      </c>
      <c r="P1557" s="27" t="n"/>
      <c r="Q1557" s="27" t="n"/>
      <c r="R1557" s="27" t="n"/>
      <c r="S1557" s="27" t="n"/>
      <c r="T1557" s="25">
        <f>IF($C1557="","",IF(OR(ISNUMBER(SEARCH("quick case",$P1557)),ISNUMBER(SEARCH("quick case",$Q1557))),"Yes","No"))</f>
        <v/>
      </c>
      <c r="U1557" s="25">
        <f>IF($O1557="Invalid",HYPERLINK("mailto:"&amp;$G1557&amp;";"&amp;$I1557&amp;"?cc="&amp;Lists!$E$2&amp;"&amp;subject="&amp;_xlfn.ENCODEURL("[INVALID] Quality audit monitoring completed for "&amp;UPPER($C1557))&amp;"&amp;body="&amp;_xlfn.ENCODEURL("Hi "&amp;$F1557&amp;","&amp;CHAR(10)&amp;"Good day!"&amp;CHAR(10)&amp;CHAR(10)&amp;"A quality monitoring audit has been completed for "&amp;$C1557&amp;"."&amp;CHAR(10)&amp;CHAR(10)&amp;"QUALITY AUDIT DETAILS"&amp;CHAR(10)&amp;"Agent Name: "&amp;$C1557&amp;" (EID "&amp;$D1557&amp;")"&amp;CHAR(10)&amp;"Audit Date: "&amp;TEXT($B1557,"yyyy-mm-dd")&amp;CHAR(10)&amp;"Team Leader: "&amp;$F1557&amp;CHAR(10)&amp;"Case Number: "&amp;$M1557&amp;CHAR(10)&amp;"Transaction ID: "&amp;$N1557&amp;CHAR(10)&amp;"Channel / LOB: "&amp;$K1557&amp;" / "&amp;$L1557&amp;CHAR(10)&amp;"Evaluator: "&amp;$S1557&amp;CHAR(10)&amp;CHAR(10)&amp;"INVALID QUALITY AUDIT DETAILS"&amp;CHAR(10)&amp;"Validation: Invalid"&amp;CHAR(10)&amp;"Invalid Reason: "&amp;$P1557&amp;CHAR(10)&amp;"Expected Resolution Code: "&amp;$Q1557&amp;CHAR(10)&amp;"Remarks: "&amp;LEFT($R1557,600)&amp;CHAR(10)&amp;CHAR(10)&amp;"This is an automated notification from HP Mainstream EQMS."),"✉ Open Email Draft"),"")</f>
        <v/>
      </c>
    </row>
    <row r="1558">
      <c r="A1558" s="25">
        <f>IF($C1558="","","AUD-2026-"&amp;TEXT(ROW()-1,"000000"))</f>
        <v/>
      </c>
      <c r="B1558" s="26" t="n"/>
      <c r="C1558" s="27" t="n"/>
      <c r="D1558" s="25">
        <f>IF($C1558="","",IFERROR(IF(INDEX(Roster!$A:$A,MATCH($C1558,Roster!$B:$B,0))="","",INDEX(Roster!$A:$A,MATCH($C1558,Roster!$B:$B,0))&amp;""),"—"))</f>
        <v/>
      </c>
      <c r="E1558" s="25">
        <f>IF($C1558="","",IFERROR(IF(INDEX(Roster!$C:$C,MATCH($C1558,Roster!$B:$B,0))="","",INDEX(Roster!$C:$C,MATCH($C1558,Roster!$B:$B,0))&amp;""),"—"))</f>
        <v/>
      </c>
      <c r="F1558" s="25">
        <f>IF($C1558="","",IFERROR(IF(INDEX(Roster!$D:$D,MATCH($C1558,Roster!$B:$B,0))="","",INDEX(Roster!$D:$D,MATCH($C1558,Roster!$B:$B,0))&amp;""),"—"))</f>
        <v/>
      </c>
      <c r="G1558" s="25">
        <f>IF($C1558="","",IFERROR(IF(INDEX(Roster!$E:$E,MATCH($C1558,Roster!$B:$B,0))="","",INDEX(Roster!$E:$E,MATCH($C1558,Roster!$B:$B,0))&amp;""),"—"))</f>
        <v/>
      </c>
      <c r="H1558" s="25">
        <f>IF($C1558="","",IFERROR(IF(INDEX(Roster!$F:$F,MATCH($C1558,Roster!$B:$B,0))="","",INDEX(Roster!$F:$F,MATCH($C1558,Roster!$B:$B,0))&amp;""),"—"))</f>
        <v/>
      </c>
      <c r="I1558" s="25">
        <f>IF($C1558="","",IFERROR(IF(INDEX(Roster!$G:$G,MATCH($C1558,Roster!$B:$B,0))="","",INDEX(Roster!$G:$G,MATCH($C1558,Roster!$B:$B,0))&amp;""),"—"))</f>
        <v/>
      </c>
      <c r="J1558" s="25">
        <f>IF($C1558="","",IFERROR(IF(INDEX(Roster!$I:$I,MATCH($C1558,Roster!$B:$B,0))="","",INDEX(Roster!$I:$I,MATCH($C1558,Roster!$B:$B,0))&amp;""),"—"))</f>
        <v/>
      </c>
      <c r="K1558">
        <f>IF($C1558="","",IFERROR(IF(INDEX(Roster!$J:$J,MATCH($C1558,Roster!$B:$B,0))="","",INDEX(Roster!$J:$J,MATCH($C1558,Roster!$B:$B,0))&amp;""),"—"))</f>
        <v/>
      </c>
      <c r="L1558">
        <f>IF($C1558="","",IFERROR(IF(INDEX(Roster!$K:$K,MATCH($C1558,Roster!$B:$B,0))="","",INDEX(Roster!$K:$K,MATCH($C1558,Roster!$B:$B,0))&amp;""),"—"))</f>
        <v/>
      </c>
      <c r="M1558" s="27" t="n"/>
      <c r="N1558" s="27" t="n"/>
      <c r="O1558" s="25">
        <f>IF($C1558="","",IF($P1558="","—",IF($P1558="Valid (Pass)","Valid","Invalid")))</f>
        <v/>
      </c>
      <c r="P1558" s="27" t="n"/>
      <c r="Q1558" s="27" t="n"/>
      <c r="R1558" s="27" t="n"/>
      <c r="S1558" s="27" t="n"/>
      <c r="T1558" s="25">
        <f>IF($C1558="","",IF(OR(ISNUMBER(SEARCH("quick case",$P1558)),ISNUMBER(SEARCH("quick case",$Q1558))),"Yes","No"))</f>
        <v/>
      </c>
      <c r="U1558" s="25">
        <f>IF($O1558="Invalid",HYPERLINK("mailto:"&amp;$G1558&amp;";"&amp;$I1558&amp;"?cc="&amp;Lists!$E$2&amp;"&amp;subject="&amp;_xlfn.ENCODEURL("[INVALID] Quality audit monitoring completed for "&amp;UPPER($C1558))&amp;"&amp;body="&amp;_xlfn.ENCODEURL("Hi "&amp;$F1558&amp;","&amp;CHAR(10)&amp;"Good day!"&amp;CHAR(10)&amp;CHAR(10)&amp;"A quality monitoring audit has been completed for "&amp;$C1558&amp;"."&amp;CHAR(10)&amp;CHAR(10)&amp;"QUALITY AUDIT DETAILS"&amp;CHAR(10)&amp;"Agent Name: "&amp;$C1558&amp;" (EID "&amp;$D1558&amp;")"&amp;CHAR(10)&amp;"Audit Date: "&amp;TEXT($B1558,"yyyy-mm-dd")&amp;CHAR(10)&amp;"Team Leader: "&amp;$F1558&amp;CHAR(10)&amp;"Case Number: "&amp;$M1558&amp;CHAR(10)&amp;"Transaction ID: "&amp;$N1558&amp;CHAR(10)&amp;"Channel / LOB: "&amp;$K1558&amp;" / "&amp;$L1558&amp;CHAR(10)&amp;"Evaluator: "&amp;$S1558&amp;CHAR(10)&amp;CHAR(10)&amp;"INVALID QUALITY AUDIT DETAILS"&amp;CHAR(10)&amp;"Validation: Invalid"&amp;CHAR(10)&amp;"Invalid Reason: "&amp;$P1558&amp;CHAR(10)&amp;"Expected Resolution Code: "&amp;$Q1558&amp;CHAR(10)&amp;"Remarks: "&amp;LEFT($R1558,600)&amp;CHAR(10)&amp;CHAR(10)&amp;"This is an automated notification from HP Mainstream EQMS."),"✉ Open Email Draft"),"")</f>
        <v/>
      </c>
    </row>
    <row r="1559">
      <c r="A1559" s="25">
        <f>IF($C1559="","","AUD-2026-"&amp;TEXT(ROW()-1,"000000"))</f>
        <v/>
      </c>
      <c r="B1559" s="26" t="n"/>
      <c r="C1559" s="27" t="n"/>
      <c r="D1559" s="25">
        <f>IF($C1559="","",IFERROR(IF(INDEX(Roster!$A:$A,MATCH($C1559,Roster!$B:$B,0))="","",INDEX(Roster!$A:$A,MATCH($C1559,Roster!$B:$B,0))&amp;""),"—"))</f>
        <v/>
      </c>
      <c r="E1559" s="25">
        <f>IF($C1559="","",IFERROR(IF(INDEX(Roster!$C:$C,MATCH($C1559,Roster!$B:$B,0))="","",INDEX(Roster!$C:$C,MATCH($C1559,Roster!$B:$B,0))&amp;""),"—"))</f>
        <v/>
      </c>
      <c r="F1559" s="25">
        <f>IF($C1559="","",IFERROR(IF(INDEX(Roster!$D:$D,MATCH($C1559,Roster!$B:$B,0))="","",INDEX(Roster!$D:$D,MATCH($C1559,Roster!$B:$B,0))&amp;""),"—"))</f>
        <v/>
      </c>
      <c r="G1559" s="25">
        <f>IF($C1559="","",IFERROR(IF(INDEX(Roster!$E:$E,MATCH($C1559,Roster!$B:$B,0))="","",INDEX(Roster!$E:$E,MATCH($C1559,Roster!$B:$B,0))&amp;""),"—"))</f>
        <v/>
      </c>
      <c r="H1559" s="25">
        <f>IF($C1559="","",IFERROR(IF(INDEX(Roster!$F:$F,MATCH($C1559,Roster!$B:$B,0))="","",INDEX(Roster!$F:$F,MATCH($C1559,Roster!$B:$B,0))&amp;""),"—"))</f>
        <v/>
      </c>
      <c r="I1559" s="25">
        <f>IF($C1559="","",IFERROR(IF(INDEX(Roster!$G:$G,MATCH($C1559,Roster!$B:$B,0))="","",INDEX(Roster!$G:$G,MATCH($C1559,Roster!$B:$B,0))&amp;""),"—"))</f>
        <v/>
      </c>
      <c r="J1559" s="25">
        <f>IF($C1559="","",IFERROR(IF(INDEX(Roster!$I:$I,MATCH($C1559,Roster!$B:$B,0))="","",INDEX(Roster!$I:$I,MATCH($C1559,Roster!$B:$B,0))&amp;""),"—"))</f>
        <v/>
      </c>
      <c r="K1559">
        <f>IF($C1559="","",IFERROR(IF(INDEX(Roster!$J:$J,MATCH($C1559,Roster!$B:$B,0))="","",INDEX(Roster!$J:$J,MATCH($C1559,Roster!$B:$B,0))&amp;""),"—"))</f>
        <v/>
      </c>
      <c r="L1559">
        <f>IF($C1559="","",IFERROR(IF(INDEX(Roster!$K:$K,MATCH($C1559,Roster!$B:$B,0))="","",INDEX(Roster!$K:$K,MATCH($C1559,Roster!$B:$B,0))&amp;""),"—"))</f>
        <v/>
      </c>
      <c r="M1559" s="27" t="n"/>
      <c r="N1559" s="27" t="n"/>
      <c r="O1559" s="25">
        <f>IF($C1559="","",IF($P1559="","—",IF($P1559="Valid (Pass)","Valid","Invalid")))</f>
        <v/>
      </c>
      <c r="P1559" s="27" t="n"/>
      <c r="Q1559" s="27" t="n"/>
      <c r="R1559" s="27" t="n"/>
      <c r="S1559" s="27" t="n"/>
      <c r="T1559" s="25">
        <f>IF($C1559="","",IF(OR(ISNUMBER(SEARCH("quick case",$P1559)),ISNUMBER(SEARCH("quick case",$Q1559))),"Yes","No"))</f>
        <v/>
      </c>
      <c r="U1559" s="25">
        <f>IF($O1559="Invalid",HYPERLINK("mailto:"&amp;$G1559&amp;";"&amp;$I1559&amp;"?cc="&amp;Lists!$E$2&amp;"&amp;subject="&amp;_xlfn.ENCODEURL("[INVALID] Quality audit monitoring completed for "&amp;UPPER($C1559))&amp;"&amp;body="&amp;_xlfn.ENCODEURL("Hi "&amp;$F1559&amp;","&amp;CHAR(10)&amp;"Good day!"&amp;CHAR(10)&amp;CHAR(10)&amp;"A quality monitoring audit has been completed for "&amp;$C1559&amp;"."&amp;CHAR(10)&amp;CHAR(10)&amp;"QUALITY AUDIT DETAILS"&amp;CHAR(10)&amp;"Agent Name: "&amp;$C1559&amp;" (EID "&amp;$D1559&amp;")"&amp;CHAR(10)&amp;"Audit Date: "&amp;TEXT($B1559,"yyyy-mm-dd")&amp;CHAR(10)&amp;"Team Leader: "&amp;$F1559&amp;CHAR(10)&amp;"Case Number: "&amp;$M1559&amp;CHAR(10)&amp;"Transaction ID: "&amp;$N1559&amp;CHAR(10)&amp;"Channel / LOB: "&amp;$K1559&amp;" / "&amp;$L1559&amp;CHAR(10)&amp;"Evaluator: "&amp;$S1559&amp;CHAR(10)&amp;CHAR(10)&amp;"INVALID QUALITY AUDIT DETAILS"&amp;CHAR(10)&amp;"Validation: Invalid"&amp;CHAR(10)&amp;"Invalid Reason: "&amp;$P1559&amp;CHAR(10)&amp;"Expected Resolution Code: "&amp;$Q1559&amp;CHAR(10)&amp;"Remarks: "&amp;LEFT($R1559,600)&amp;CHAR(10)&amp;CHAR(10)&amp;"This is an automated notification from HP Mainstream EQMS."),"✉ Open Email Draft"),"")</f>
        <v/>
      </c>
    </row>
    <row r="1560">
      <c r="A1560" s="25">
        <f>IF($C1560="","","AUD-2026-"&amp;TEXT(ROW()-1,"000000"))</f>
        <v/>
      </c>
      <c r="B1560" s="26" t="n"/>
      <c r="C1560" s="27" t="n"/>
      <c r="D1560" s="25">
        <f>IF($C1560="","",IFERROR(IF(INDEX(Roster!$A:$A,MATCH($C1560,Roster!$B:$B,0))="","",INDEX(Roster!$A:$A,MATCH($C1560,Roster!$B:$B,0))&amp;""),"—"))</f>
        <v/>
      </c>
      <c r="E1560" s="25">
        <f>IF($C1560="","",IFERROR(IF(INDEX(Roster!$C:$C,MATCH($C1560,Roster!$B:$B,0))="","",INDEX(Roster!$C:$C,MATCH($C1560,Roster!$B:$B,0))&amp;""),"—"))</f>
        <v/>
      </c>
      <c r="F1560" s="25">
        <f>IF($C1560="","",IFERROR(IF(INDEX(Roster!$D:$D,MATCH($C1560,Roster!$B:$B,0))="","",INDEX(Roster!$D:$D,MATCH($C1560,Roster!$B:$B,0))&amp;""),"—"))</f>
        <v/>
      </c>
      <c r="G1560" s="25">
        <f>IF($C1560="","",IFERROR(IF(INDEX(Roster!$E:$E,MATCH($C1560,Roster!$B:$B,0))="","",INDEX(Roster!$E:$E,MATCH($C1560,Roster!$B:$B,0))&amp;""),"—"))</f>
        <v/>
      </c>
      <c r="H1560" s="25">
        <f>IF($C1560="","",IFERROR(IF(INDEX(Roster!$F:$F,MATCH($C1560,Roster!$B:$B,0))="","",INDEX(Roster!$F:$F,MATCH($C1560,Roster!$B:$B,0))&amp;""),"—"))</f>
        <v/>
      </c>
      <c r="I1560" s="25">
        <f>IF($C1560="","",IFERROR(IF(INDEX(Roster!$G:$G,MATCH($C1560,Roster!$B:$B,0))="","",INDEX(Roster!$G:$G,MATCH($C1560,Roster!$B:$B,0))&amp;""),"—"))</f>
        <v/>
      </c>
      <c r="J1560" s="25">
        <f>IF($C1560="","",IFERROR(IF(INDEX(Roster!$I:$I,MATCH($C1560,Roster!$B:$B,0))="","",INDEX(Roster!$I:$I,MATCH($C1560,Roster!$B:$B,0))&amp;""),"—"))</f>
        <v/>
      </c>
      <c r="K1560">
        <f>IF($C1560="","",IFERROR(IF(INDEX(Roster!$J:$J,MATCH($C1560,Roster!$B:$B,0))="","",INDEX(Roster!$J:$J,MATCH($C1560,Roster!$B:$B,0))&amp;""),"—"))</f>
        <v/>
      </c>
      <c r="L1560">
        <f>IF($C1560="","",IFERROR(IF(INDEX(Roster!$K:$K,MATCH($C1560,Roster!$B:$B,0))="","",INDEX(Roster!$K:$K,MATCH($C1560,Roster!$B:$B,0))&amp;""),"—"))</f>
        <v/>
      </c>
      <c r="M1560" s="27" t="n"/>
      <c r="N1560" s="27" t="n"/>
      <c r="O1560" s="25">
        <f>IF($C1560="","",IF($P1560="","—",IF($P1560="Valid (Pass)","Valid","Invalid")))</f>
        <v/>
      </c>
      <c r="P1560" s="27" t="n"/>
      <c r="Q1560" s="27" t="n"/>
      <c r="R1560" s="27" t="n"/>
      <c r="S1560" s="27" t="n"/>
      <c r="T1560" s="25">
        <f>IF($C1560="","",IF(OR(ISNUMBER(SEARCH("quick case",$P1560)),ISNUMBER(SEARCH("quick case",$Q1560))),"Yes","No"))</f>
        <v/>
      </c>
      <c r="U1560" s="25">
        <f>IF($O1560="Invalid",HYPERLINK("mailto:"&amp;$G1560&amp;";"&amp;$I1560&amp;"?cc="&amp;Lists!$E$2&amp;"&amp;subject="&amp;_xlfn.ENCODEURL("[INVALID] Quality audit monitoring completed for "&amp;UPPER($C1560))&amp;"&amp;body="&amp;_xlfn.ENCODEURL("Hi "&amp;$F1560&amp;","&amp;CHAR(10)&amp;"Good day!"&amp;CHAR(10)&amp;CHAR(10)&amp;"A quality monitoring audit has been completed for "&amp;$C1560&amp;"."&amp;CHAR(10)&amp;CHAR(10)&amp;"QUALITY AUDIT DETAILS"&amp;CHAR(10)&amp;"Agent Name: "&amp;$C1560&amp;" (EID "&amp;$D1560&amp;")"&amp;CHAR(10)&amp;"Audit Date: "&amp;TEXT($B1560,"yyyy-mm-dd")&amp;CHAR(10)&amp;"Team Leader: "&amp;$F1560&amp;CHAR(10)&amp;"Case Number: "&amp;$M1560&amp;CHAR(10)&amp;"Transaction ID: "&amp;$N1560&amp;CHAR(10)&amp;"Channel / LOB: "&amp;$K1560&amp;" / "&amp;$L1560&amp;CHAR(10)&amp;"Evaluator: "&amp;$S1560&amp;CHAR(10)&amp;CHAR(10)&amp;"INVALID QUALITY AUDIT DETAILS"&amp;CHAR(10)&amp;"Validation: Invalid"&amp;CHAR(10)&amp;"Invalid Reason: "&amp;$P1560&amp;CHAR(10)&amp;"Expected Resolution Code: "&amp;$Q1560&amp;CHAR(10)&amp;"Remarks: "&amp;LEFT($R1560,600)&amp;CHAR(10)&amp;CHAR(10)&amp;"This is an automated notification from HP Mainstream EQMS."),"✉ Open Email Draft"),"")</f>
        <v/>
      </c>
    </row>
    <row r="1561">
      <c r="A1561" s="25">
        <f>IF($C1561="","","AUD-2026-"&amp;TEXT(ROW()-1,"000000"))</f>
        <v/>
      </c>
      <c r="B1561" s="26" t="n"/>
      <c r="C1561" s="27" t="n"/>
      <c r="D1561" s="25">
        <f>IF($C1561="","",IFERROR(IF(INDEX(Roster!$A:$A,MATCH($C1561,Roster!$B:$B,0))="","",INDEX(Roster!$A:$A,MATCH($C1561,Roster!$B:$B,0))&amp;""),"—"))</f>
        <v/>
      </c>
      <c r="E1561" s="25">
        <f>IF($C1561="","",IFERROR(IF(INDEX(Roster!$C:$C,MATCH($C1561,Roster!$B:$B,0))="","",INDEX(Roster!$C:$C,MATCH($C1561,Roster!$B:$B,0))&amp;""),"—"))</f>
        <v/>
      </c>
      <c r="F1561" s="25">
        <f>IF($C1561="","",IFERROR(IF(INDEX(Roster!$D:$D,MATCH($C1561,Roster!$B:$B,0))="","",INDEX(Roster!$D:$D,MATCH($C1561,Roster!$B:$B,0))&amp;""),"—"))</f>
        <v/>
      </c>
      <c r="G1561" s="25">
        <f>IF($C1561="","",IFERROR(IF(INDEX(Roster!$E:$E,MATCH($C1561,Roster!$B:$B,0))="","",INDEX(Roster!$E:$E,MATCH($C1561,Roster!$B:$B,0))&amp;""),"—"))</f>
        <v/>
      </c>
      <c r="H1561" s="25">
        <f>IF($C1561="","",IFERROR(IF(INDEX(Roster!$F:$F,MATCH($C1561,Roster!$B:$B,0))="","",INDEX(Roster!$F:$F,MATCH($C1561,Roster!$B:$B,0))&amp;""),"—"))</f>
        <v/>
      </c>
      <c r="I1561" s="25">
        <f>IF($C1561="","",IFERROR(IF(INDEX(Roster!$G:$G,MATCH($C1561,Roster!$B:$B,0))="","",INDEX(Roster!$G:$G,MATCH($C1561,Roster!$B:$B,0))&amp;""),"—"))</f>
        <v/>
      </c>
      <c r="J1561" s="25">
        <f>IF($C1561="","",IFERROR(IF(INDEX(Roster!$I:$I,MATCH($C1561,Roster!$B:$B,0))="","",INDEX(Roster!$I:$I,MATCH($C1561,Roster!$B:$B,0))&amp;""),"—"))</f>
        <v/>
      </c>
      <c r="K1561">
        <f>IF($C1561="","",IFERROR(IF(INDEX(Roster!$J:$J,MATCH($C1561,Roster!$B:$B,0))="","",INDEX(Roster!$J:$J,MATCH($C1561,Roster!$B:$B,0))&amp;""),"—"))</f>
        <v/>
      </c>
      <c r="L1561">
        <f>IF($C1561="","",IFERROR(IF(INDEX(Roster!$K:$K,MATCH($C1561,Roster!$B:$B,0))="","",INDEX(Roster!$K:$K,MATCH($C1561,Roster!$B:$B,0))&amp;""),"—"))</f>
        <v/>
      </c>
      <c r="M1561" s="27" t="n"/>
      <c r="N1561" s="27" t="n"/>
      <c r="O1561" s="25">
        <f>IF($C1561="","",IF($P1561="","—",IF($P1561="Valid (Pass)","Valid","Invalid")))</f>
        <v/>
      </c>
      <c r="P1561" s="27" t="n"/>
      <c r="Q1561" s="27" t="n"/>
      <c r="R1561" s="27" t="n"/>
      <c r="S1561" s="27" t="n"/>
      <c r="T1561" s="25">
        <f>IF($C1561="","",IF(OR(ISNUMBER(SEARCH("quick case",$P1561)),ISNUMBER(SEARCH("quick case",$Q1561))),"Yes","No"))</f>
        <v/>
      </c>
      <c r="U1561" s="25">
        <f>IF($O1561="Invalid",HYPERLINK("mailto:"&amp;$G1561&amp;";"&amp;$I1561&amp;"?cc="&amp;Lists!$E$2&amp;"&amp;subject="&amp;_xlfn.ENCODEURL("[INVALID] Quality audit monitoring completed for "&amp;UPPER($C1561))&amp;"&amp;body="&amp;_xlfn.ENCODEURL("Hi "&amp;$F1561&amp;","&amp;CHAR(10)&amp;"Good day!"&amp;CHAR(10)&amp;CHAR(10)&amp;"A quality monitoring audit has been completed for "&amp;$C1561&amp;"."&amp;CHAR(10)&amp;CHAR(10)&amp;"QUALITY AUDIT DETAILS"&amp;CHAR(10)&amp;"Agent Name: "&amp;$C1561&amp;" (EID "&amp;$D1561&amp;")"&amp;CHAR(10)&amp;"Audit Date: "&amp;TEXT($B1561,"yyyy-mm-dd")&amp;CHAR(10)&amp;"Team Leader: "&amp;$F1561&amp;CHAR(10)&amp;"Case Number: "&amp;$M1561&amp;CHAR(10)&amp;"Transaction ID: "&amp;$N1561&amp;CHAR(10)&amp;"Channel / LOB: "&amp;$K1561&amp;" / "&amp;$L1561&amp;CHAR(10)&amp;"Evaluator: "&amp;$S1561&amp;CHAR(10)&amp;CHAR(10)&amp;"INVALID QUALITY AUDIT DETAILS"&amp;CHAR(10)&amp;"Validation: Invalid"&amp;CHAR(10)&amp;"Invalid Reason: "&amp;$P1561&amp;CHAR(10)&amp;"Expected Resolution Code: "&amp;$Q1561&amp;CHAR(10)&amp;"Remarks: "&amp;LEFT($R1561,600)&amp;CHAR(10)&amp;CHAR(10)&amp;"This is an automated notification from HP Mainstream EQMS."),"✉ Open Email Draft"),"")</f>
        <v/>
      </c>
    </row>
    <row r="1562">
      <c r="A1562" s="25">
        <f>IF($C1562="","","AUD-2026-"&amp;TEXT(ROW()-1,"000000"))</f>
        <v/>
      </c>
      <c r="B1562" s="26" t="n"/>
      <c r="C1562" s="27" t="n"/>
      <c r="D1562" s="25">
        <f>IF($C1562="","",IFERROR(IF(INDEX(Roster!$A:$A,MATCH($C1562,Roster!$B:$B,0))="","",INDEX(Roster!$A:$A,MATCH($C1562,Roster!$B:$B,0))&amp;""),"—"))</f>
        <v/>
      </c>
      <c r="E1562" s="25">
        <f>IF($C1562="","",IFERROR(IF(INDEX(Roster!$C:$C,MATCH($C1562,Roster!$B:$B,0))="","",INDEX(Roster!$C:$C,MATCH($C1562,Roster!$B:$B,0))&amp;""),"—"))</f>
        <v/>
      </c>
      <c r="F1562" s="25">
        <f>IF($C1562="","",IFERROR(IF(INDEX(Roster!$D:$D,MATCH($C1562,Roster!$B:$B,0))="","",INDEX(Roster!$D:$D,MATCH($C1562,Roster!$B:$B,0))&amp;""),"—"))</f>
        <v/>
      </c>
      <c r="G1562" s="25">
        <f>IF($C1562="","",IFERROR(IF(INDEX(Roster!$E:$E,MATCH($C1562,Roster!$B:$B,0))="","",INDEX(Roster!$E:$E,MATCH($C1562,Roster!$B:$B,0))&amp;""),"—"))</f>
        <v/>
      </c>
      <c r="H1562" s="25">
        <f>IF($C1562="","",IFERROR(IF(INDEX(Roster!$F:$F,MATCH($C1562,Roster!$B:$B,0))="","",INDEX(Roster!$F:$F,MATCH($C1562,Roster!$B:$B,0))&amp;""),"—"))</f>
        <v/>
      </c>
      <c r="I1562" s="25">
        <f>IF($C1562="","",IFERROR(IF(INDEX(Roster!$G:$G,MATCH($C1562,Roster!$B:$B,0))="","",INDEX(Roster!$G:$G,MATCH($C1562,Roster!$B:$B,0))&amp;""),"—"))</f>
        <v/>
      </c>
      <c r="J1562" s="25">
        <f>IF($C1562="","",IFERROR(IF(INDEX(Roster!$I:$I,MATCH($C1562,Roster!$B:$B,0))="","",INDEX(Roster!$I:$I,MATCH($C1562,Roster!$B:$B,0))&amp;""),"—"))</f>
        <v/>
      </c>
      <c r="K1562">
        <f>IF($C1562="","",IFERROR(IF(INDEX(Roster!$J:$J,MATCH($C1562,Roster!$B:$B,0))="","",INDEX(Roster!$J:$J,MATCH($C1562,Roster!$B:$B,0))&amp;""),"—"))</f>
        <v/>
      </c>
      <c r="L1562">
        <f>IF($C1562="","",IFERROR(IF(INDEX(Roster!$K:$K,MATCH($C1562,Roster!$B:$B,0))="","",INDEX(Roster!$K:$K,MATCH($C1562,Roster!$B:$B,0))&amp;""),"—"))</f>
        <v/>
      </c>
      <c r="M1562" s="27" t="n"/>
      <c r="N1562" s="27" t="n"/>
      <c r="O1562" s="25">
        <f>IF($C1562="","",IF($P1562="","—",IF($P1562="Valid (Pass)","Valid","Invalid")))</f>
        <v/>
      </c>
      <c r="P1562" s="27" t="n"/>
      <c r="Q1562" s="27" t="n"/>
      <c r="R1562" s="27" t="n"/>
      <c r="S1562" s="27" t="n"/>
      <c r="T1562" s="25">
        <f>IF($C1562="","",IF(OR(ISNUMBER(SEARCH("quick case",$P1562)),ISNUMBER(SEARCH("quick case",$Q1562))),"Yes","No"))</f>
        <v/>
      </c>
      <c r="U1562" s="25">
        <f>IF($O1562="Invalid",HYPERLINK("mailto:"&amp;$G1562&amp;";"&amp;$I1562&amp;"?cc="&amp;Lists!$E$2&amp;"&amp;subject="&amp;_xlfn.ENCODEURL("[INVALID] Quality audit monitoring completed for "&amp;UPPER($C1562))&amp;"&amp;body="&amp;_xlfn.ENCODEURL("Hi "&amp;$F1562&amp;","&amp;CHAR(10)&amp;"Good day!"&amp;CHAR(10)&amp;CHAR(10)&amp;"A quality monitoring audit has been completed for "&amp;$C1562&amp;"."&amp;CHAR(10)&amp;CHAR(10)&amp;"QUALITY AUDIT DETAILS"&amp;CHAR(10)&amp;"Agent Name: "&amp;$C1562&amp;" (EID "&amp;$D1562&amp;")"&amp;CHAR(10)&amp;"Audit Date: "&amp;TEXT($B1562,"yyyy-mm-dd")&amp;CHAR(10)&amp;"Team Leader: "&amp;$F1562&amp;CHAR(10)&amp;"Case Number: "&amp;$M1562&amp;CHAR(10)&amp;"Transaction ID: "&amp;$N1562&amp;CHAR(10)&amp;"Channel / LOB: "&amp;$K1562&amp;" / "&amp;$L1562&amp;CHAR(10)&amp;"Evaluator: "&amp;$S1562&amp;CHAR(10)&amp;CHAR(10)&amp;"INVALID QUALITY AUDIT DETAILS"&amp;CHAR(10)&amp;"Validation: Invalid"&amp;CHAR(10)&amp;"Invalid Reason: "&amp;$P1562&amp;CHAR(10)&amp;"Expected Resolution Code: "&amp;$Q1562&amp;CHAR(10)&amp;"Remarks: "&amp;LEFT($R1562,600)&amp;CHAR(10)&amp;CHAR(10)&amp;"This is an automated notification from HP Mainstream EQMS."),"✉ Open Email Draft"),"")</f>
        <v/>
      </c>
    </row>
    <row r="1563">
      <c r="A1563" s="25">
        <f>IF($C1563="","","AUD-2026-"&amp;TEXT(ROW()-1,"000000"))</f>
        <v/>
      </c>
      <c r="B1563" s="26" t="n"/>
      <c r="C1563" s="27" t="n"/>
      <c r="D1563" s="25">
        <f>IF($C1563="","",IFERROR(IF(INDEX(Roster!$A:$A,MATCH($C1563,Roster!$B:$B,0))="","",INDEX(Roster!$A:$A,MATCH($C1563,Roster!$B:$B,0))&amp;""),"—"))</f>
        <v/>
      </c>
      <c r="E1563" s="25">
        <f>IF($C1563="","",IFERROR(IF(INDEX(Roster!$C:$C,MATCH($C1563,Roster!$B:$B,0))="","",INDEX(Roster!$C:$C,MATCH($C1563,Roster!$B:$B,0))&amp;""),"—"))</f>
        <v/>
      </c>
      <c r="F1563" s="25">
        <f>IF($C1563="","",IFERROR(IF(INDEX(Roster!$D:$D,MATCH($C1563,Roster!$B:$B,0))="","",INDEX(Roster!$D:$D,MATCH($C1563,Roster!$B:$B,0))&amp;""),"—"))</f>
        <v/>
      </c>
      <c r="G1563" s="25">
        <f>IF($C1563="","",IFERROR(IF(INDEX(Roster!$E:$E,MATCH($C1563,Roster!$B:$B,0))="","",INDEX(Roster!$E:$E,MATCH($C1563,Roster!$B:$B,0))&amp;""),"—"))</f>
        <v/>
      </c>
      <c r="H1563" s="25">
        <f>IF($C1563="","",IFERROR(IF(INDEX(Roster!$F:$F,MATCH($C1563,Roster!$B:$B,0))="","",INDEX(Roster!$F:$F,MATCH($C1563,Roster!$B:$B,0))&amp;""),"—"))</f>
        <v/>
      </c>
      <c r="I1563" s="25">
        <f>IF($C1563="","",IFERROR(IF(INDEX(Roster!$G:$G,MATCH($C1563,Roster!$B:$B,0))="","",INDEX(Roster!$G:$G,MATCH($C1563,Roster!$B:$B,0))&amp;""),"—"))</f>
        <v/>
      </c>
      <c r="J1563" s="25">
        <f>IF($C1563="","",IFERROR(IF(INDEX(Roster!$I:$I,MATCH($C1563,Roster!$B:$B,0))="","",INDEX(Roster!$I:$I,MATCH($C1563,Roster!$B:$B,0))&amp;""),"—"))</f>
        <v/>
      </c>
      <c r="K1563">
        <f>IF($C1563="","",IFERROR(IF(INDEX(Roster!$J:$J,MATCH($C1563,Roster!$B:$B,0))="","",INDEX(Roster!$J:$J,MATCH($C1563,Roster!$B:$B,0))&amp;""),"—"))</f>
        <v/>
      </c>
      <c r="L1563">
        <f>IF($C1563="","",IFERROR(IF(INDEX(Roster!$K:$K,MATCH($C1563,Roster!$B:$B,0))="","",INDEX(Roster!$K:$K,MATCH($C1563,Roster!$B:$B,0))&amp;""),"—"))</f>
        <v/>
      </c>
      <c r="M1563" s="27" t="n"/>
      <c r="N1563" s="27" t="n"/>
      <c r="O1563" s="25">
        <f>IF($C1563="","",IF($P1563="","—",IF($P1563="Valid (Pass)","Valid","Invalid")))</f>
        <v/>
      </c>
      <c r="P1563" s="27" t="n"/>
      <c r="Q1563" s="27" t="n"/>
      <c r="R1563" s="27" t="n"/>
      <c r="S1563" s="27" t="n"/>
      <c r="T1563" s="25">
        <f>IF($C1563="","",IF(OR(ISNUMBER(SEARCH("quick case",$P1563)),ISNUMBER(SEARCH("quick case",$Q1563))),"Yes","No"))</f>
        <v/>
      </c>
      <c r="U1563" s="25">
        <f>IF($O1563="Invalid",HYPERLINK("mailto:"&amp;$G1563&amp;";"&amp;$I1563&amp;"?cc="&amp;Lists!$E$2&amp;"&amp;subject="&amp;_xlfn.ENCODEURL("[INVALID] Quality audit monitoring completed for "&amp;UPPER($C1563))&amp;"&amp;body="&amp;_xlfn.ENCODEURL("Hi "&amp;$F1563&amp;","&amp;CHAR(10)&amp;"Good day!"&amp;CHAR(10)&amp;CHAR(10)&amp;"A quality monitoring audit has been completed for "&amp;$C1563&amp;"."&amp;CHAR(10)&amp;CHAR(10)&amp;"QUALITY AUDIT DETAILS"&amp;CHAR(10)&amp;"Agent Name: "&amp;$C1563&amp;" (EID "&amp;$D1563&amp;")"&amp;CHAR(10)&amp;"Audit Date: "&amp;TEXT($B1563,"yyyy-mm-dd")&amp;CHAR(10)&amp;"Team Leader: "&amp;$F1563&amp;CHAR(10)&amp;"Case Number: "&amp;$M1563&amp;CHAR(10)&amp;"Transaction ID: "&amp;$N1563&amp;CHAR(10)&amp;"Channel / LOB: "&amp;$K1563&amp;" / "&amp;$L1563&amp;CHAR(10)&amp;"Evaluator: "&amp;$S1563&amp;CHAR(10)&amp;CHAR(10)&amp;"INVALID QUALITY AUDIT DETAILS"&amp;CHAR(10)&amp;"Validation: Invalid"&amp;CHAR(10)&amp;"Invalid Reason: "&amp;$P1563&amp;CHAR(10)&amp;"Expected Resolution Code: "&amp;$Q1563&amp;CHAR(10)&amp;"Remarks: "&amp;LEFT($R1563,600)&amp;CHAR(10)&amp;CHAR(10)&amp;"This is an automated notification from HP Mainstream EQMS."),"✉ Open Email Draft"),"")</f>
        <v/>
      </c>
    </row>
    <row r="1564">
      <c r="A1564" s="25">
        <f>IF($C1564="","","AUD-2026-"&amp;TEXT(ROW()-1,"000000"))</f>
        <v/>
      </c>
      <c r="B1564" s="26" t="n"/>
      <c r="C1564" s="27" t="n"/>
      <c r="D1564" s="25">
        <f>IF($C1564="","",IFERROR(IF(INDEX(Roster!$A:$A,MATCH($C1564,Roster!$B:$B,0))="","",INDEX(Roster!$A:$A,MATCH($C1564,Roster!$B:$B,0))&amp;""),"—"))</f>
        <v/>
      </c>
      <c r="E1564" s="25">
        <f>IF($C1564="","",IFERROR(IF(INDEX(Roster!$C:$C,MATCH($C1564,Roster!$B:$B,0))="","",INDEX(Roster!$C:$C,MATCH($C1564,Roster!$B:$B,0))&amp;""),"—"))</f>
        <v/>
      </c>
      <c r="F1564" s="25">
        <f>IF($C1564="","",IFERROR(IF(INDEX(Roster!$D:$D,MATCH($C1564,Roster!$B:$B,0))="","",INDEX(Roster!$D:$D,MATCH($C1564,Roster!$B:$B,0))&amp;""),"—"))</f>
        <v/>
      </c>
      <c r="G1564" s="25">
        <f>IF($C1564="","",IFERROR(IF(INDEX(Roster!$E:$E,MATCH($C1564,Roster!$B:$B,0))="","",INDEX(Roster!$E:$E,MATCH($C1564,Roster!$B:$B,0))&amp;""),"—"))</f>
        <v/>
      </c>
      <c r="H1564" s="25">
        <f>IF($C1564="","",IFERROR(IF(INDEX(Roster!$F:$F,MATCH($C1564,Roster!$B:$B,0))="","",INDEX(Roster!$F:$F,MATCH($C1564,Roster!$B:$B,0))&amp;""),"—"))</f>
        <v/>
      </c>
      <c r="I1564" s="25">
        <f>IF($C1564="","",IFERROR(IF(INDEX(Roster!$G:$G,MATCH($C1564,Roster!$B:$B,0))="","",INDEX(Roster!$G:$G,MATCH($C1564,Roster!$B:$B,0))&amp;""),"—"))</f>
        <v/>
      </c>
      <c r="J1564" s="25">
        <f>IF($C1564="","",IFERROR(IF(INDEX(Roster!$I:$I,MATCH($C1564,Roster!$B:$B,0))="","",INDEX(Roster!$I:$I,MATCH($C1564,Roster!$B:$B,0))&amp;""),"—"))</f>
        <v/>
      </c>
      <c r="K1564">
        <f>IF($C1564="","",IFERROR(IF(INDEX(Roster!$J:$J,MATCH($C1564,Roster!$B:$B,0))="","",INDEX(Roster!$J:$J,MATCH($C1564,Roster!$B:$B,0))&amp;""),"—"))</f>
        <v/>
      </c>
      <c r="L1564">
        <f>IF($C1564="","",IFERROR(IF(INDEX(Roster!$K:$K,MATCH($C1564,Roster!$B:$B,0))="","",INDEX(Roster!$K:$K,MATCH($C1564,Roster!$B:$B,0))&amp;""),"—"))</f>
        <v/>
      </c>
      <c r="M1564" s="27" t="n"/>
      <c r="N1564" s="27" t="n"/>
      <c r="O1564" s="25">
        <f>IF($C1564="","",IF($P1564="","—",IF($P1564="Valid (Pass)","Valid","Invalid")))</f>
        <v/>
      </c>
      <c r="P1564" s="27" t="n"/>
      <c r="Q1564" s="27" t="n"/>
      <c r="R1564" s="27" t="n"/>
      <c r="S1564" s="27" t="n"/>
      <c r="T1564" s="25">
        <f>IF($C1564="","",IF(OR(ISNUMBER(SEARCH("quick case",$P1564)),ISNUMBER(SEARCH("quick case",$Q1564))),"Yes","No"))</f>
        <v/>
      </c>
      <c r="U1564" s="25">
        <f>IF($O1564="Invalid",HYPERLINK("mailto:"&amp;$G1564&amp;";"&amp;$I1564&amp;"?cc="&amp;Lists!$E$2&amp;"&amp;subject="&amp;_xlfn.ENCODEURL("[INVALID] Quality audit monitoring completed for "&amp;UPPER($C1564))&amp;"&amp;body="&amp;_xlfn.ENCODEURL("Hi "&amp;$F1564&amp;","&amp;CHAR(10)&amp;"Good day!"&amp;CHAR(10)&amp;CHAR(10)&amp;"A quality monitoring audit has been completed for "&amp;$C1564&amp;"."&amp;CHAR(10)&amp;CHAR(10)&amp;"QUALITY AUDIT DETAILS"&amp;CHAR(10)&amp;"Agent Name: "&amp;$C1564&amp;" (EID "&amp;$D1564&amp;")"&amp;CHAR(10)&amp;"Audit Date: "&amp;TEXT($B1564,"yyyy-mm-dd")&amp;CHAR(10)&amp;"Team Leader: "&amp;$F1564&amp;CHAR(10)&amp;"Case Number: "&amp;$M1564&amp;CHAR(10)&amp;"Transaction ID: "&amp;$N1564&amp;CHAR(10)&amp;"Channel / LOB: "&amp;$K1564&amp;" / "&amp;$L1564&amp;CHAR(10)&amp;"Evaluator: "&amp;$S1564&amp;CHAR(10)&amp;CHAR(10)&amp;"INVALID QUALITY AUDIT DETAILS"&amp;CHAR(10)&amp;"Validation: Invalid"&amp;CHAR(10)&amp;"Invalid Reason: "&amp;$P1564&amp;CHAR(10)&amp;"Expected Resolution Code: "&amp;$Q1564&amp;CHAR(10)&amp;"Remarks: "&amp;LEFT($R1564,600)&amp;CHAR(10)&amp;CHAR(10)&amp;"This is an automated notification from HP Mainstream EQMS."),"✉ Open Email Draft"),"")</f>
        <v/>
      </c>
    </row>
    <row r="1565">
      <c r="A1565" s="25">
        <f>IF($C1565="","","AUD-2026-"&amp;TEXT(ROW()-1,"000000"))</f>
        <v/>
      </c>
      <c r="B1565" s="26" t="n"/>
      <c r="C1565" s="27" t="n"/>
      <c r="D1565" s="25">
        <f>IF($C1565="","",IFERROR(IF(INDEX(Roster!$A:$A,MATCH($C1565,Roster!$B:$B,0))="","",INDEX(Roster!$A:$A,MATCH($C1565,Roster!$B:$B,0))&amp;""),"—"))</f>
        <v/>
      </c>
      <c r="E1565" s="25">
        <f>IF($C1565="","",IFERROR(IF(INDEX(Roster!$C:$C,MATCH($C1565,Roster!$B:$B,0))="","",INDEX(Roster!$C:$C,MATCH($C1565,Roster!$B:$B,0))&amp;""),"—"))</f>
        <v/>
      </c>
      <c r="F1565" s="25">
        <f>IF($C1565="","",IFERROR(IF(INDEX(Roster!$D:$D,MATCH($C1565,Roster!$B:$B,0))="","",INDEX(Roster!$D:$D,MATCH($C1565,Roster!$B:$B,0))&amp;""),"—"))</f>
        <v/>
      </c>
      <c r="G1565" s="25">
        <f>IF($C1565="","",IFERROR(IF(INDEX(Roster!$E:$E,MATCH($C1565,Roster!$B:$B,0))="","",INDEX(Roster!$E:$E,MATCH($C1565,Roster!$B:$B,0))&amp;""),"—"))</f>
        <v/>
      </c>
      <c r="H1565" s="25">
        <f>IF($C1565="","",IFERROR(IF(INDEX(Roster!$F:$F,MATCH($C1565,Roster!$B:$B,0))="","",INDEX(Roster!$F:$F,MATCH($C1565,Roster!$B:$B,0))&amp;""),"—"))</f>
        <v/>
      </c>
      <c r="I1565" s="25">
        <f>IF($C1565="","",IFERROR(IF(INDEX(Roster!$G:$G,MATCH($C1565,Roster!$B:$B,0))="","",INDEX(Roster!$G:$G,MATCH($C1565,Roster!$B:$B,0))&amp;""),"—"))</f>
        <v/>
      </c>
      <c r="J1565" s="25">
        <f>IF($C1565="","",IFERROR(IF(INDEX(Roster!$I:$I,MATCH($C1565,Roster!$B:$B,0))="","",INDEX(Roster!$I:$I,MATCH($C1565,Roster!$B:$B,0))&amp;""),"—"))</f>
        <v/>
      </c>
      <c r="K1565">
        <f>IF($C1565="","",IFERROR(IF(INDEX(Roster!$J:$J,MATCH($C1565,Roster!$B:$B,0))="","",INDEX(Roster!$J:$J,MATCH($C1565,Roster!$B:$B,0))&amp;""),"—"))</f>
        <v/>
      </c>
      <c r="L1565">
        <f>IF($C1565="","",IFERROR(IF(INDEX(Roster!$K:$K,MATCH($C1565,Roster!$B:$B,0))="","",INDEX(Roster!$K:$K,MATCH($C1565,Roster!$B:$B,0))&amp;""),"—"))</f>
        <v/>
      </c>
      <c r="M1565" s="27" t="n"/>
      <c r="N1565" s="27" t="n"/>
      <c r="O1565" s="25">
        <f>IF($C1565="","",IF($P1565="","—",IF($P1565="Valid (Pass)","Valid","Invalid")))</f>
        <v/>
      </c>
      <c r="P1565" s="27" t="n"/>
      <c r="Q1565" s="27" t="n"/>
      <c r="R1565" s="27" t="n"/>
      <c r="S1565" s="27" t="n"/>
      <c r="T1565" s="25">
        <f>IF($C1565="","",IF(OR(ISNUMBER(SEARCH("quick case",$P1565)),ISNUMBER(SEARCH("quick case",$Q1565))),"Yes","No"))</f>
        <v/>
      </c>
      <c r="U1565" s="25">
        <f>IF($O1565="Invalid",HYPERLINK("mailto:"&amp;$G1565&amp;";"&amp;$I1565&amp;"?cc="&amp;Lists!$E$2&amp;"&amp;subject="&amp;_xlfn.ENCODEURL("[INVALID] Quality audit monitoring completed for "&amp;UPPER($C1565))&amp;"&amp;body="&amp;_xlfn.ENCODEURL("Hi "&amp;$F1565&amp;","&amp;CHAR(10)&amp;"Good day!"&amp;CHAR(10)&amp;CHAR(10)&amp;"A quality monitoring audit has been completed for "&amp;$C1565&amp;"."&amp;CHAR(10)&amp;CHAR(10)&amp;"QUALITY AUDIT DETAILS"&amp;CHAR(10)&amp;"Agent Name: "&amp;$C1565&amp;" (EID "&amp;$D1565&amp;")"&amp;CHAR(10)&amp;"Audit Date: "&amp;TEXT($B1565,"yyyy-mm-dd")&amp;CHAR(10)&amp;"Team Leader: "&amp;$F1565&amp;CHAR(10)&amp;"Case Number: "&amp;$M1565&amp;CHAR(10)&amp;"Transaction ID: "&amp;$N1565&amp;CHAR(10)&amp;"Channel / LOB: "&amp;$K1565&amp;" / "&amp;$L1565&amp;CHAR(10)&amp;"Evaluator: "&amp;$S1565&amp;CHAR(10)&amp;CHAR(10)&amp;"INVALID QUALITY AUDIT DETAILS"&amp;CHAR(10)&amp;"Validation: Invalid"&amp;CHAR(10)&amp;"Invalid Reason: "&amp;$P1565&amp;CHAR(10)&amp;"Expected Resolution Code: "&amp;$Q1565&amp;CHAR(10)&amp;"Remarks: "&amp;LEFT($R1565,600)&amp;CHAR(10)&amp;CHAR(10)&amp;"This is an automated notification from HP Mainstream EQMS."),"✉ Open Email Draft"),"")</f>
        <v/>
      </c>
    </row>
    <row r="1566">
      <c r="A1566" s="25">
        <f>IF($C1566="","","AUD-2026-"&amp;TEXT(ROW()-1,"000000"))</f>
        <v/>
      </c>
      <c r="B1566" s="26" t="n"/>
      <c r="C1566" s="27" t="n"/>
      <c r="D1566" s="25">
        <f>IF($C1566="","",IFERROR(IF(INDEX(Roster!$A:$A,MATCH($C1566,Roster!$B:$B,0))="","",INDEX(Roster!$A:$A,MATCH($C1566,Roster!$B:$B,0))&amp;""),"—"))</f>
        <v/>
      </c>
      <c r="E1566" s="25">
        <f>IF($C1566="","",IFERROR(IF(INDEX(Roster!$C:$C,MATCH($C1566,Roster!$B:$B,0))="","",INDEX(Roster!$C:$C,MATCH($C1566,Roster!$B:$B,0))&amp;""),"—"))</f>
        <v/>
      </c>
      <c r="F1566" s="25">
        <f>IF($C1566="","",IFERROR(IF(INDEX(Roster!$D:$D,MATCH($C1566,Roster!$B:$B,0))="","",INDEX(Roster!$D:$D,MATCH($C1566,Roster!$B:$B,0))&amp;""),"—"))</f>
        <v/>
      </c>
      <c r="G1566" s="25">
        <f>IF($C1566="","",IFERROR(IF(INDEX(Roster!$E:$E,MATCH($C1566,Roster!$B:$B,0))="","",INDEX(Roster!$E:$E,MATCH($C1566,Roster!$B:$B,0))&amp;""),"—"))</f>
        <v/>
      </c>
      <c r="H1566" s="25">
        <f>IF($C1566="","",IFERROR(IF(INDEX(Roster!$F:$F,MATCH($C1566,Roster!$B:$B,0))="","",INDEX(Roster!$F:$F,MATCH($C1566,Roster!$B:$B,0))&amp;""),"—"))</f>
        <v/>
      </c>
      <c r="I1566" s="25">
        <f>IF($C1566="","",IFERROR(IF(INDEX(Roster!$G:$G,MATCH($C1566,Roster!$B:$B,0))="","",INDEX(Roster!$G:$G,MATCH($C1566,Roster!$B:$B,0))&amp;""),"—"))</f>
        <v/>
      </c>
      <c r="J1566" s="25">
        <f>IF($C1566="","",IFERROR(IF(INDEX(Roster!$I:$I,MATCH($C1566,Roster!$B:$B,0))="","",INDEX(Roster!$I:$I,MATCH($C1566,Roster!$B:$B,0))&amp;""),"—"))</f>
        <v/>
      </c>
      <c r="K1566">
        <f>IF($C1566="","",IFERROR(IF(INDEX(Roster!$J:$J,MATCH($C1566,Roster!$B:$B,0))="","",INDEX(Roster!$J:$J,MATCH($C1566,Roster!$B:$B,0))&amp;""),"—"))</f>
        <v/>
      </c>
      <c r="L1566">
        <f>IF($C1566="","",IFERROR(IF(INDEX(Roster!$K:$K,MATCH($C1566,Roster!$B:$B,0))="","",INDEX(Roster!$K:$K,MATCH($C1566,Roster!$B:$B,0))&amp;""),"—"))</f>
        <v/>
      </c>
      <c r="M1566" s="27" t="n"/>
      <c r="N1566" s="27" t="n"/>
      <c r="O1566" s="25">
        <f>IF($C1566="","",IF($P1566="","—",IF($P1566="Valid (Pass)","Valid","Invalid")))</f>
        <v/>
      </c>
      <c r="P1566" s="27" t="n"/>
      <c r="Q1566" s="27" t="n"/>
      <c r="R1566" s="27" t="n"/>
      <c r="S1566" s="27" t="n"/>
      <c r="T1566" s="25">
        <f>IF($C1566="","",IF(OR(ISNUMBER(SEARCH("quick case",$P1566)),ISNUMBER(SEARCH("quick case",$Q1566))),"Yes","No"))</f>
        <v/>
      </c>
      <c r="U1566" s="25">
        <f>IF($O1566="Invalid",HYPERLINK("mailto:"&amp;$G1566&amp;";"&amp;$I1566&amp;"?cc="&amp;Lists!$E$2&amp;"&amp;subject="&amp;_xlfn.ENCODEURL("[INVALID] Quality audit monitoring completed for "&amp;UPPER($C1566))&amp;"&amp;body="&amp;_xlfn.ENCODEURL("Hi "&amp;$F1566&amp;","&amp;CHAR(10)&amp;"Good day!"&amp;CHAR(10)&amp;CHAR(10)&amp;"A quality monitoring audit has been completed for "&amp;$C1566&amp;"."&amp;CHAR(10)&amp;CHAR(10)&amp;"QUALITY AUDIT DETAILS"&amp;CHAR(10)&amp;"Agent Name: "&amp;$C1566&amp;" (EID "&amp;$D1566&amp;")"&amp;CHAR(10)&amp;"Audit Date: "&amp;TEXT($B1566,"yyyy-mm-dd")&amp;CHAR(10)&amp;"Team Leader: "&amp;$F1566&amp;CHAR(10)&amp;"Case Number: "&amp;$M1566&amp;CHAR(10)&amp;"Transaction ID: "&amp;$N1566&amp;CHAR(10)&amp;"Channel / LOB: "&amp;$K1566&amp;" / "&amp;$L1566&amp;CHAR(10)&amp;"Evaluator: "&amp;$S1566&amp;CHAR(10)&amp;CHAR(10)&amp;"INVALID QUALITY AUDIT DETAILS"&amp;CHAR(10)&amp;"Validation: Invalid"&amp;CHAR(10)&amp;"Invalid Reason: "&amp;$P1566&amp;CHAR(10)&amp;"Expected Resolution Code: "&amp;$Q1566&amp;CHAR(10)&amp;"Remarks: "&amp;LEFT($R1566,600)&amp;CHAR(10)&amp;CHAR(10)&amp;"This is an automated notification from HP Mainstream EQMS."),"✉ Open Email Draft"),"")</f>
        <v/>
      </c>
    </row>
    <row r="1567">
      <c r="A1567" s="25">
        <f>IF($C1567="","","AUD-2026-"&amp;TEXT(ROW()-1,"000000"))</f>
        <v/>
      </c>
      <c r="B1567" s="26" t="n"/>
      <c r="C1567" s="27" t="n"/>
      <c r="D1567" s="25">
        <f>IF($C1567="","",IFERROR(IF(INDEX(Roster!$A:$A,MATCH($C1567,Roster!$B:$B,0))="","",INDEX(Roster!$A:$A,MATCH($C1567,Roster!$B:$B,0))&amp;""),"—"))</f>
        <v/>
      </c>
      <c r="E1567" s="25">
        <f>IF($C1567="","",IFERROR(IF(INDEX(Roster!$C:$C,MATCH($C1567,Roster!$B:$B,0))="","",INDEX(Roster!$C:$C,MATCH($C1567,Roster!$B:$B,0))&amp;""),"—"))</f>
        <v/>
      </c>
      <c r="F1567" s="25">
        <f>IF($C1567="","",IFERROR(IF(INDEX(Roster!$D:$D,MATCH($C1567,Roster!$B:$B,0))="","",INDEX(Roster!$D:$D,MATCH($C1567,Roster!$B:$B,0))&amp;""),"—"))</f>
        <v/>
      </c>
      <c r="G1567" s="25">
        <f>IF($C1567="","",IFERROR(IF(INDEX(Roster!$E:$E,MATCH($C1567,Roster!$B:$B,0))="","",INDEX(Roster!$E:$E,MATCH($C1567,Roster!$B:$B,0))&amp;""),"—"))</f>
        <v/>
      </c>
      <c r="H1567" s="25">
        <f>IF($C1567="","",IFERROR(IF(INDEX(Roster!$F:$F,MATCH($C1567,Roster!$B:$B,0))="","",INDEX(Roster!$F:$F,MATCH($C1567,Roster!$B:$B,0))&amp;""),"—"))</f>
        <v/>
      </c>
      <c r="I1567" s="25">
        <f>IF($C1567="","",IFERROR(IF(INDEX(Roster!$G:$G,MATCH($C1567,Roster!$B:$B,0))="","",INDEX(Roster!$G:$G,MATCH($C1567,Roster!$B:$B,0))&amp;""),"—"))</f>
        <v/>
      </c>
      <c r="J1567" s="25">
        <f>IF($C1567="","",IFERROR(IF(INDEX(Roster!$I:$I,MATCH($C1567,Roster!$B:$B,0))="","",INDEX(Roster!$I:$I,MATCH($C1567,Roster!$B:$B,0))&amp;""),"—"))</f>
        <v/>
      </c>
      <c r="K1567">
        <f>IF($C1567="","",IFERROR(IF(INDEX(Roster!$J:$J,MATCH($C1567,Roster!$B:$B,0))="","",INDEX(Roster!$J:$J,MATCH($C1567,Roster!$B:$B,0))&amp;""),"—"))</f>
        <v/>
      </c>
      <c r="L1567">
        <f>IF($C1567="","",IFERROR(IF(INDEX(Roster!$K:$K,MATCH($C1567,Roster!$B:$B,0))="","",INDEX(Roster!$K:$K,MATCH($C1567,Roster!$B:$B,0))&amp;""),"—"))</f>
        <v/>
      </c>
      <c r="M1567" s="27" t="n"/>
      <c r="N1567" s="27" t="n"/>
      <c r="O1567" s="25">
        <f>IF($C1567="","",IF($P1567="","—",IF($P1567="Valid (Pass)","Valid","Invalid")))</f>
        <v/>
      </c>
      <c r="P1567" s="27" t="n"/>
      <c r="Q1567" s="27" t="n"/>
      <c r="R1567" s="27" t="n"/>
      <c r="S1567" s="27" t="n"/>
      <c r="T1567" s="25">
        <f>IF($C1567="","",IF(OR(ISNUMBER(SEARCH("quick case",$P1567)),ISNUMBER(SEARCH("quick case",$Q1567))),"Yes","No"))</f>
        <v/>
      </c>
      <c r="U1567" s="25">
        <f>IF($O1567="Invalid",HYPERLINK("mailto:"&amp;$G1567&amp;";"&amp;$I1567&amp;"?cc="&amp;Lists!$E$2&amp;"&amp;subject="&amp;_xlfn.ENCODEURL("[INVALID] Quality audit monitoring completed for "&amp;UPPER($C1567))&amp;"&amp;body="&amp;_xlfn.ENCODEURL("Hi "&amp;$F1567&amp;","&amp;CHAR(10)&amp;"Good day!"&amp;CHAR(10)&amp;CHAR(10)&amp;"A quality monitoring audit has been completed for "&amp;$C1567&amp;"."&amp;CHAR(10)&amp;CHAR(10)&amp;"QUALITY AUDIT DETAILS"&amp;CHAR(10)&amp;"Agent Name: "&amp;$C1567&amp;" (EID "&amp;$D1567&amp;")"&amp;CHAR(10)&amp;"Audit Date: "&amp;TEXT($B1567,"yyyy-mm-dd")&amp;CHAR(10)&amp;"Team Leader: "&amp;$F1567&amp;CHAR(10)&amp;"Case Number: "&amp;$M1567&amp;CHAR(10)&amp;"Transaction ID: "&amp;$N1567&amp;CHAR(10)&amp;"Channel / LOB: "&amp;$K1567&amp;" / "&amp;$L1567&amp;CHAR(10)&amp;"Evaluator: "&amp;$S1567&amp;CHAR(10)&amp;CHAR(10)&amp;"INVALID QUALITY AUDIT DETAILS"&amp;CHAR(10)&amp;"Validation: Invalid"&amp;CHAR(10)&amp;"Invalid Reason: "&amp;$P1567&amp;CHAR(10)&amp;"Expected Resolution Code: "&amp;$Q1567&amp;CHAR(10)&amp;"Remarks: "&amp;LEFT($R1567,600)&amp;CHAR(10)&amp;CHAR(10)&amp;"This is an automated notification from HP Mainstream EQMS."),"✉ Open Email Draft"),"")</f>
        <v/>
      </c>
    </row>
    <row r="1568">
      <c r="A1568" s="25">
        <f>IF($C1568="","","AUD-2026-"&amp;TEXT(ROW()-1,"000000"))</f>
        <v/>
      </c>
      <c r="B1568" s="26" t="n"/>
      <c r="C1568" s="27" t="n"/>
      <c r="D1568" s="25">
        <f>IF($C1568="","",IFERROR(IF(INDEX(Roster!$A:$A,MATCH($C1568,Roster!$B:$B,0))="","",INDEX(Roster!$A:$A,MATCH($C1568,Roster!$B:$B,0))&amp;""),"—"))</f>
        <v/>
      </c>
      <c r="E1568" s="25">
        <f>IF($C1568="","",IFERROR(IF(INDEX(Roster!$C:$C,MATCH($C1568,Roster!$B:$B,0))="","",INDEX(Roster!$C:$C,MATCH($C1568,Roster!$B:$B,0))&amp;""),"—"))</f>
        <v/>
      </c>
      <c r="F1568" s="25">
        <f>IF($C1568="","",IFERROR(IF(INDEX(Roster!$D:$D,MATCH($C1568,Roster!$B:$B,0))="","",INDEX(Roster!$D:$D,MATCH($C1568,Roster!$B:$B,0))&amp;""),"—"))</f>
        <v/>
      </c>
      <c r="G1568" s="25">
        <f>IF($C1568="","",IFERROR(IF(INDEX(Roster!$E:$E,MATCH($C1568,Roster!$B:$B,0))="","",INDEX(Roster!$E:$E,MATCH($C1568,Roster!$B:$B,0))&amp;""),"—"))</f>
        <v/>
      </c>
      <c r="H1568" s="25">
        <f>IF($C1568="","",IFERROR(IF(INDEX(Roster!$F:$F,MATCH($C1568,Roster!$B:$B,0))="","",INDEX(Roster!$F:$F,MATCH($C1568,Roster!$B:$B,0))&amp;""),"—"))</f>
        <v/>
      </c>
      <c r="I1568" s="25">
        <f>IF($C1568="","",IFERROR(IF(INDEX(Roster!$G:$G,MATCH($C1568,Roster!$B:$B,0))="","",INDEX(Roster!$G:$G,MATCH($C1568,Roster!$B:$B,0))&amp;""),"—"))</f>
        <v/>
      </c>
      <c r="J1568" s="25">
        <f>IF($C1568="","",IFERROR(IF(INDEX(Roster!$I:$I,MATCH($C1568,Roster!$B:$B,0))="","",INDEX(Roster!$I:$I,MATCH($C1568,Roster!$B:$B,0))&amp;""),"—"))</f>
        <v/>
      </c>
      <c r="K1568">
        <f>IF($C1568="","",IFERROR(IF(INDEX(Roster!$J:$J,MATCH($C1568,Roster!$B:$B,0))="","",INDEX(Roster!$J:$J,MATCH($C1568,Roster!$B:$B,0))&amp;""),"—"))</f>
        <v/>
      </c>
      <c r="L1568">
        <f>IF($C1568="","",IFERROR(IF(INDEX(Roster!$K:$K,MATCH($C1568,Roster!$B:$B,0))="","",INDEX(Roster!$K:$K,MATCH($C1568,Roster!$B:$B,0))&amp;""),"—"))</f>
        <v/>
      </c>
      <c r="M1568" s="27" t="n"/>
      <c r="N1568" s="27" t="n"/>
      <c r="O1568" s="25">
        <f>IF($C1568="","",IF($P1568="","—",IF($P1568="Valid (Pass)","Valid","Invalid")))</f>
        <v/>
      </c>
      <c r="P1568" s="27" t="n"/>
      <c r="Q1568" s="27" t="n"/>
      <c r="R1568" s="27" t="n"/>
      <c r="S1568" s="27" t="n"/>
      <c r="T1568" s="25">
        <f>IF($C1568="","",IF(OR(ISNUMBER(SEARCH("quick case",$P1568)),ISNUMBER(SEARCH("quick case",$Q1568))),"Yes","No"))</f>
        <v/>
      </c>
      <c r="U1568" s="25">
        <f>IF($O1568="Invalid",HYPERLINK("mailto:"&amp;$G1568&amp;";"&amp;$I1568&amp;"?cc="&amp;Lists!$E$2&amp;"&amp;subject="&amp;_xlfn.ENCODEURL("[INVALID] Quality audit monitoring completed for "&amp;UPPER($C1568))&amp;"&amp;body="&amp;_xlfn.ENCODEURL("Hi "&amp;$F1568&amp;","&amp;CHAR(10)&amp;"Good day!"&amp;CHAR(10)&amp;CHAR(10)&amp;"A quality monitoring audit has been completed for "&amp;$C1568&amp;"."&amp;CHAR(10)&amp;CHAR(10)&amp;"QUALITY AUDIT DETAILS"&amp;CHAR(10)&amp;"Agent Name: "&amp;$C1568&amp;" (EID "&amp;$D1568&amp;")"&amp;CHAR(10)&amp;"Audit Date: "&amp;TEXT($B1568,"yyyy-mm-dd")&amp;CHAR(10)&amp;"Team Leader: "&amp;$F1568&amp;CHAR(10)&amp;"Case Number: "&amp;$M1568&amp;CHAR(10)&amp;"Transaction ID: "&amp;$N1568&amp;CHAR(10)&amp;"Channel / LOB: "&amp;$K1568&amp;" / "&amp;$L1568&amp;CHAR(10)&amp;"Evaluator: "&amp;$S1568&amp;CHAR(10)&amp;CHAR(10)&amp;"INVALID QUALITY AUDIT DETAILS"&amp;CHAR(10)&amp;"Validation: Invalid"&amp;CHAR(10)&amp;"Invalid Reason: "&amp;$P1568&amp;CHAR(10)&amp;"Expected Resolution Code: "&amp;$Q1568&amp;CHAR(10)&amp;"Remarks: "&amp;LEFT($R1568,600)&amp;CHAR(10)&amp;CHAR(10)&amp;"This is an automated notification from HP Mainstream EQMS."),"✉ Open Email Draft"),"")</f>
        <v/>
      </c>
    </row>
    <row r="1569">
      <c r="A1569" s="25">
        <f>IF($C1569="","","AUD-2026-"&amp;TEXT(ROW()-1,"000000"))</f>
        <v/>
      </c>
      <c r="B1569" s="26" t="n"/>
      <c r="C1569" s="27" t="n"/>
      <c r="D1569" s="25">
        <f>IF($C1569="","",IFERROR(IF(INDEX(Roster!$A:$A,MATCH($C1569,Roster!$B:$B,0))="","",INDEX(Roster!$A:$A,MATCH($C1569,Roster!$B:$B,0))&amp;""),"—"))</f>
        <v/>
      </c>
      <c r="E1569" s="25">
        <f>IF($C1569="","",IFERROR(IF(INDEX(Roster!$C:$C,MATCH($C1569,Roster!$B:$B,0))="","",INDEX(Roster!$C:$C,MATCH($C1569,Roster!$B:$B,0))&amp;""),"—"))</f>
        <v/>
      </c>
      <c r="F1569" s="25">
        <f>IF($C1569="","",IFERROR(IF(INDEX(Roster!$D:$D,MATCH($C1569,Roster!$B:$B,0))="","",INDEX(Roster!$D:$D,MATCH($C1569,Roster!$B:$B,0))&amp;""),"—"))</f>
        <v/>
      </c>
      <c r="G1569" s="25">
        <f>IF($C1569="","",IFERROR(IF(INDEX(Roster!$E:$E,MATCH($C1569,Roster!$B:$B,0))="","",INDEX(Roster!$E:$E,MATCH($C1569,Roster!$B:$B,0))&amp;""),"—"))</f>
        <v/>
      </c>
      <c r="H1569" s="25">
        <f>IF($C1569="","",IFERROR(IF(INDEX(Roster!$F:$F,MATCH($C1569,Roster!$B:$B,0))="","",INDEX(Roster!$F:$F,MATCH($C1569,Roster!$B:$B,0))&amp;""),"—"))</f>
        <v/>
      </c>
      <c r="I1569" s="25">
        <f>IF($C1569="","",IFERROR(IF(INDEX(Roster!$G:$G,MATCH($C1569,Roster!$B:$B,0))="","",INDEX(Roster!$G:$G,MATCH($C1569,Roster!$B:$B,0))&amp;""),"—"))</f>
        <v/>
      </c>
      <c r="J1569" s="25">
        <f>IF($C1569="","",IFERROR(IF(INDEX(Roster!$I:$I,MATCH($C1569,Roster!$B:$B,0))="","",INDEX(Roster!$I:$I,MATCH($C1569,Roster!$B:$B,0))&amp;""),"—"))</f>
        <v/>
      </c>
      <c r="K1569">
        <f>IF($C1569="","",IFERROR(IF(INDEX(Roster!$J:$J,MATCH($C1569,Roster!$B:$B,0))="","",INDEX(Roster!$J:$J,MATCH($C1569,Roster!$B:$B,0))&amp;""),"—"))</f>
        <v/>
      </c>
      <c r="L1569">
        <f>IF($C1569="","",IFERROR(IF(INDEX(Roster!$K:$K,MATCH($C1569,Roster!$B:$B,0))="","",INDEX(Roster!$K:$K,MATCH($C1569,Roster!$B:$B,0))&amp;""),"—"))</f>
        <v/>
      </c>
      <c r="M1569" s="27" t="n"/>
      <c r="N1569" s="27" t="n"/>
      <c r="O1569" s="25">
        <f>IF($C1569="","",IF($P1569="","—",IF($P1569="Valid (Pass)","Valid","Invalid")))</f>
        <v/>
      </c>
      <c r="P1569" s="27" t="n"/>
      <c r="Q1569" s="27" t="n"/>
      <c r="R1569" s="27" t="n"/>
      <c r="S1569" s="27" t="n"/>
      <c r="T1569" s="25">
        <f>IF($C1569="","",IF(OR(ISNUMBER(SEARCH("quick case",$P1569)),ISNUMBER(SEARCH("quick case",$Q1569))),"Yes","No"))</f>
        <v/>
      </c>
      <c r="U1569" s="25">
        <f>IF($O1569="Invalid",HYPERLINK("mailto:"&amp;$G1569&amp;";"&amp;$I1569&amp;"?cc="&amp;Lists!$E$2&amp;"&amp;subject="&amp;_xlfn.ENCODEURL("[INVALID] Quality audit monitoring completed for "&amp;UPPER($C1569))&amp;"&amp;body="&amp;_xlfn.ENCODEURL("Hi "&amp;$F1569&amp;","&amp;CHAR(10)&amp;"Good day!"&amp;CHAR(10)&amp;CHAR(10)&amp;"A quality monitoring audit has been completed for "&amp;$C1569&amp;"."&amp;CHAR(10)&amp;CHAR(10)&amp;"QUALITY AUDIT DETAILS"&amp;CHAR(10)&amp;"Agent Name: "&amp;$C1569&amp;" (EID "&amp;$D1569&amp;")"&amp;CHAR(10)&amp;"Audit Date: "&amp;TEXT($B1569,"yyyy-mm-dd")&amp;CHAR(10)&amp;"Team Leader: "&amp;$F1569&amp;CHAR(10)&amp;"Case Number: "&amp;$M1569&amp;CHAR(10)&amp;"Transaction ID: "&amp;$N1569&amp;CHAR(10)&amp;"Channel / LOB: "&amp;$K1569&amp;" / "&amp;$L1569&amp;CHAR(10)&amp;"Evaluator: "&amp;$S1569&amp;CHAR(10)&amp;CHAR(10)&amp;"INVALID QUALITY AUDIT DETAILS"&amp;CHAR(10)&amp;"Validation: Invalid"&amp;CHAR(10)&amp;"Invalid Reason: "&amp;$P1569&amp;CHAR(10)&amp;"Expected Resolution Code: "&amp;$Q1569&amp;CHAR(10)&amp;"Remarks: "&amp;LEFT($R1569,600)&amp;CHAR(10)&amp;CHAR(10)&amp;"This is an automated notification from HP Mainstream EQMS."),"✉ Open Email Draft"),"")</f>
        <v/>
      </c>
    </row>
    <row r="1570">
      <c r="A1570" s="25">
        <f>IF($C1570="","","AUD-2026-"&amp;TEXT(ROW()-1,"000000"))</f>
        <v/>
      </c>
      <c r="B1570" s="26" t="n"/>
      <c r="C1570" s="27" t="n"/>
      <c r="D1570" s="25">
        <f>IF($C1570="","",IFERROR(IF(INDEX(Roster!$A:$A,MATCH($C1570,Roster!$B:$B,0))="","",INDEX(Roster!$A:$A,MATCH($C1570,Roster!$B:$B,0))&amp;""),"—"))</f>
        <v/>
      </c>
      <c r="E1570" s="25">
        <f>IF($C1570="","",IFERROR(IF(INDEX(Roster!$C:$C,MATCH($C1570,Roster!$B:$B,0))="","",INDEX(Roster!$C:$C,MATCH($C1570,Roster!$B:$B,0))&amp;""),"—"))</f>
        <v/>
      </c>
      <c r="F1570" s="25">
        <f>IF($C1570="","",IFERROR(IF(INDEX(Roster!$D:$D,MATCH($C1570,Roster!$B:$B,0))="","",INDEX(Roster!$D:$D,MATCH($C1570,Roster!$B:$B,0))&amp;""),"—"))</f>
        <v/>
      </c>
      <c r="G1570" s="25">
        <f>IF($C1570="","",IFERROR(IF(INDEX(Roster!$E:$E,MATCH($C1570,Roster!$B:$B,0))="","",INDEX(Roster!$E:$E,MATCH($C1570,Roster!$B:$B,0))&amp;""),"—"))</f>
        <v/>
      </c>
      <c r="H1570" s="25">
        <f>IF($C1570="","",IFERROR(IF(INDEX(Roster!$F:$F,MATCH($C1570,Roster!$B:$B,0))="","",INDEX(Roster!$F:$F,MATCH($C1570,Roster!$B:$B,0))&amp;""),"—"))</f>
        <v/>
      </c>
      <c r="I1570" s="25">
        <f>IF($C1570="","",IFERROR(IF(INDEX(Roster!$G:$G,MATCH($C1570,Roster!$B:$B,0))="","",INDEX(Roster!$G:$G,MATCH($C1570,Roster!$B:$B,0))&amp;""),"—"))</f>
        <v/>
      </c>
      <c r="J1570" s="25">
        <f>IF($C1570="","",IFERROR(IF(INDEX(Roster!$I:$I,MATCH($C1570,Roster!$B:$B,0))="","",INDEX(Roster!$I:$I,MATCH($C1570,Roster!$B:$B,0))&amp;""),"—"))</f>
        <v/>
      </c>
      <c r="K1570">
        <f>IF($C1570="","",IFERROR(IF(INDEX(Roster!$J:$J,MATCH($C1570,Roster!$B:$B,0))="","",INDEX(Roster!$J:$J,MATCH($C1570,Roster!$B:$B,0))&amp;""),"—"))</f>
        <v/>
      </c>
      <c r="L1570">
        <f>IF($C1570="","",IFERROR(IF(INDEX(Roster!$K:$K,MATCH($C1570,Roster!$B:$B,0))="","",INDEX(Roster!$K:$K,MATCH($C1570,Roster!$B:$B,0))&amp;""),"—"))</f>
        <v/>
      </c>
      <c r="M1570" s="27" t="n"/>
      <c r="N1570" s="27" t="n"/>
      <c r="O1570" s="25">
        <f>IF($C1570="","",IF($P1570="","—",IF($P1570="Valid (Pass)","Valid","Invalid")))</f>
        <v/>
      </c>
      <c r="P1570" s="27" t="n"/>
      <c r="Q1570" s="27" t="n"/>
      <c r="R1570" s="27" t="n"/>
      <c r="S1570" s="27" t="n"/>
      <c r="T1570" s="25">
        <f>IF($C1570="","",IF(OR(ISNUMBER(SEARCH("quick case",$P1570)),ISNUMBER(SEARCH("quick case",$Q1570))),"Yes","No"))</f>
        <v/>
      </c>
      <c r="U1570" s="25">
        <f>IF($O1570="Invalid",HYPERLINK("mailto:"&amp;$G1570&amp;";"&amp;$I1570&amp;"?cc="&amp;Lists!$E$2&amp;"&amp;subject="&amp;_xlfn.ENCODEURL("[INVALID] Quality audit monitoring completed for "&amp;UPPER($C1570))&amp;"&amp;body="&amp;_xlfn.ENCODEURL("Hi "&amp;$F1570&amp;","&amp;CHAR(10)&amp;"Good day!"&amp;CHAR(10)&amp;CHAR(10)&amp;"A quality monitoring audit has been completed for "&amp;$C1570&amp;"."&amp;CHAR(10)&amp;CHAR(10)&amp;"QUALITY AUDIT DETAILS"&amp;CHAR(10)&amp;"Agent Name: "&amp;$C1570&amp;" (EID "&amp;$D1570&amp;")"&amp;CHAR(10)&amp;"Audit Date: "&amp;TEXT($B1570,"yyyy-mm-dd")&amp;CHAR(10)&amp;"Team Leader: "&amp;$F1570&amp;CHAR(10)&amp;"Case Number: "&amp;$M1570&amp;CHAR(10)&amp;"Transaction ID: "&amp;$N1570&amp;CHAR(10)&amp;"Channel / LOB: "&amp;$K1570&amp;" / "&amp;$L1570&amp;CHAR(10)&amp;"Evaluator: "&amp;$S1570&amp;CHAR(10)&amp;CHAR(10)&amp;"INVALID QUALITY AUDIT DETAILS"&amp;CHAR(10)&amp;"Validation: Invalid"&amp;CHAR(10)&amp;"Invalid Reason: "&amp;$P1570&amp;CHAR(10)&amp;"Expected Resolution Code: "&amp;$Q1570&amp;CHAR(10)&amp;"Remarks: "&amp;LEFT($R1570,600)&amp;CHAR(10)&amp;CHAR(10)&amp;"This is an automated notification from HP Mainstream EQMS."),"✉ Open Email Draft"),"")</f>
        <v/>
      </c>
    </row>
    <row r="1571">
      <c r="A1571" s="25">
        <f>IF($C1571="","","AUD-2026-"&amp;TEXT(ROW()-1,"000000"))</f>
        <v/>
      </c>
      <c r="B1571" s="26" t="n"/>
      <c r="C1571" s="27" t="n"/>
      <c r="D1571" s="25">
        <f>IF($C1571="","",IFERROR(IF(INDEX(Roster!$A:$A,MATCH($C1571,Roster!$B:$B,0))="","",INDEX(Roster!$A:$A,MATCH($C1571,Roster!$B:$B,0))&amp;""),"—"))</f>
        <v/>
      </c>
      <c r="E1571" s="25">
        <f>IF($C1571="","",IFERROR(IF(INDEX(Roster!$C:$C,MATCH($C1571,Roster!$B:$B,0))="","",INDEX(Roster!$C:$C,MATCH($C1571,Roster!$B:$B,0))&amp;""),"—"))</f>
        <v/>
      </c>
      <c r="F1571" s="25">
        <f>IF($C1571="","",IFERROR(IF(INDEX(Roster!$D:$D,MATCH($C1571,Roster!$B:$B,0))="","",INDEX(Roster!$D:$D,MATCH($C1571,Roster!$B:$B,0))&amp;""),"—"))</f>
        <v/>
      </c>
      <c r="G1571" s="25">
        <f>IF($C1571="","",IFERROR(IF(INDEX(Roster!$E:$E,MATCH($C1571,Roster!$B:$B,0))="","",INDEX(Roster!$E:$E,MATCH($C1571,Roster!$B:$B,0))&amp;""),"—"))</f>
        <v/>
      </c>
      <c r="H1571" s="25">
        <f>IF($C1571="","",IFERROR(IF(INDEX(Roster!$F:$F,MATCH($C1571,Roster!$B:$B,0))="","",INDEX(Roster!$F:$F,MATCH($C1571,Roster!$B:$B,0))&amp;""),"—"))</f>
        <v/>
      </c>
      <c r="I1571" s="25">
        <f>IF($C1571="","",IFERROR(IF(INDEX(Roster!$G:$G,MATCH($C1571,Roster!$B:$B,0))="","",INDEX(Roster!$G:$G,MATCH($C1571,Roster!$B:$B,0))&amp;""),"—"))</f>
        <v/>
      </c>
      <c r="J1571" s="25">
        <f>IF($C1571="","",IFERROR(IF(INDEX(Roster!$I:$I,MATCH($C1571,Roster!$B:$B,0))="","",INDEX(Roster!$I:$I,MATCH($C1571,Roster!$B:$B,0))&amp;""),"—"))</f>
        <v/>
      </c>
      <c r="K1571">
        <f>IF($C1571="","",IFERROR(IF(INDEX(Roster!$J:$J,MATCH($C1571,Roster!$B:$B,0))="","",INDEX(Roster!$J:$J,MATCH($C1571,Roster!$B:$B,0))&amp;""),"—"))</f>
        <v/>
      </c>
      <c r="L1571">
        <f>IF($C1571="","",IFERROR(IF(INDEX(Roster!$K:$K,MATCH($C1571,Roster!$B:$B,0))="","",INDEX(Roster!$K:$K,MATCH($C1571,Roster!$B:$B,0))&amp;""),"—"))</f>
        <v/>
      </c>
      <c r="M1571" s="27" t="n"/>
      <c r="N1571" s="27" t="n"/>
      <c r="O1571" s="25">
        <f>IF($C1571="","",IF($P1571="","—",IF($P1571="Valid (Pass)","Valid","Invalid")))</f>
        <v/>
      </c>
      <c r="P1571" s="27" t="n"/>
      <c r="Q1571" s="27" t="n"/>
      <c r="R1571" s="27" t="n"/>
      <c r="S1571" s="27" t="n"/>
      <c r="T1571" s="25">
        <f>IF($C1571="","",IF(OR(ISNUMBER(SEARCH("quick case",$P1571)),ISNUMBER(SEARCH("quick case",$Q1571))),"Yes","No"))</f>
        <v/>
      </c>
      <c r="U1571" s="25">
        <f>IF($O1571="Invalid",HYPERLINK("mailto:"&amp;$G1571&amp;";"&amp;$I1571&amp;"?cc="&amp;Lists!$E$2&amp;"&amp;subject="&amp;_xlfn.ENCODEURL("[INVALID] Quality audit monitoring completed for "&amp;UPPER($C1571))&amp;"&amp;body="&amp;_xlfn.ENCODEURL("Hi "&amp;$F1571&amp;","&amp;CHAR(10)&amp;"Good day!"&amp;CHAR(10)&amp;CHAR(10)&amp;"A quality monitoring audit has been completed for "&amp;$C1571&amp;"."&amp;CHAR(10)&amp;CHAR(10)&amp;"QUALITY AUDIT DETAILS"&amp;CHAR(10)&amp;"Agent Name: "&amp;$C1571&amp;" (EID "&amp;$D1571&amp;")"&amp;CHAR(10)&amp;"Audit Date: "&amp;TEXT($B1571,"yyyy-mm-dd")&amp;CHAR(10)&amp;"Team Leader: "&amp;$F1571&amp;CHAR(10)&amp;"Case Number: "&amp;$M1571&amp;CHAR(10)&amp;"Transaction ID: "&amp;$N1571&amp;CHAR(10)&amp;"Channel / LOB: "&amp;$K1571&amp;" / "&amp;$L1571&amp;CHAR(10)&amp;"Evaluator: "&amp;$S1571&amp;CHAR(10)&amp;CHAR(10)&amp;"INVALID QUALITY AUDIT DETAILS"&amp;CHAR(10)&amp;"Validation: Invalid"&amp;CHAR(10)&amp;"Invalid Reason: "&amp;$P1571&amp;CHAR(10)&amp;"Expected Resolution Code: "&amp;$Q1571&amp;CHAR(10)&amp;"Remarks: "&amp;LEFT($R1571,600)&amp;CHAR(10)&amp;CHAR(10)&amp;"This is an automated notification from HP Mainstream EQMS."),"✉ Open Email Draft"),"")</f>
        <v/>
      </c>
    </row>
    <row r="1572">
      <c r="A1572" s="25">
        <f>IF($C1572="","","AUD-2026-"&amp;TEXT(ROW()-1,"000000"))</f>
        <v/>
      </c>
      <c r="B1572" s="26" t="n"/>
      <c r="C1572" s="27" t="n"/>
      <c r="D1572" s="25">
        <f>IF($C1572="","",IFERROR(IF(INDEX(Roster!$A:$A,MATCH($C1572,Roster!$B:$B,0))="","",INDEX(Roster!$A:$A,MATCH($C1572,Roster!$B:$B,0))&amp;""),"—"))</f>
        <v/>
      </c>
      <c r="E1572" s="25">
        <f>IF($C1572="","",IFERROR(IF(INDEX(Roster!$C:$C,MATCH($C1572,Roster!$B:$B,0))="","",INDEX(Roster!$C:$C,MATCH($C1572,Roster!$B:$B,0))&amp;""),"—"))</f>
        <v/>
      </c>
      <c r="F1572" s="25">
        <f>IF($C1572="","",IFERROR(IF(INDEX(Roster!$D:$D,MATCH($C1572,Roster!$B:$B,0))="","",INDEX(Roster!$D:$D,MATCH($C1572,Roster!$B:$B,0))&amp;""),"—"))</f>
        <v/>
      </c>
      <c r="G1572" s="25">
        <f>IF($C1572="","",IFERROR(IF(INDEX(Roster!$E:$E,MATCH($C1572,Roster!$B:$B,0))="","",INDEX(Roster!$E:$E,MATCH($C1572,Roster!$B:$B,0))&amp;""),"—"))</f>
        <v/>
      </c>
      <c r="H1572" s="25">
        <f>IF($C1572="","",IFERROR(IF(INDEX(Roster!$F:$F,MATCH($C1572,Roster!$B:$B,0))="","",INDEX(Roster!$F:$F,MATCH($C1572,Roster!$B:$B,0))&amp;""),"—"))</f>
        <v/>
      </c>
      <c r="I1572" s="25">
        <f>IF($C1572="","",IFERROR(IF(INDEX(Roster!$G:$G,MATCH($C1572,Roster!$B:$B,0))="","",INDEX(Roster!$G:$G,MATCH($C1572,Roster!$B:$B,0))&amp;""),"—"))</f>
        <v/>
      </c>
      <c r="J1572" s="25">
        <f>IF($C1572="","",IFERROR(IF(INDEX(Roster!$I:$I,MATCH($C1572,Roster!$B:$B,0))="","",INDEX(Roster!$I:$I,MATCH($C1572,Roster!$B:$B,0))&amp;""),"—"))</f>
        <v/>
      </c>
      <c r="K1572">
        <f>IF($C1572="","",IFERROR(IF(INDEX(Roster!$J:$J,MATCH($C1572,Roster!$B:$B,0))="","",INDEX(Roster!$J:$J,MATCH($C1572,Roster!$B:$B,0))&amp;""),"—"))</f>
        <v/>
      </c>
      <c r="L1572">
        <f>IF($C1572="","",IFERROR(IF(INDEX(Roster!$K:$K,MATCH($C1572,Roster!$B:$B,0))="","",INDEX(Roster!$K:$K,MATCH($C1572,Roster!$B:$B,0))&amp;""),"—"))</f>
        <v/>
      </c>
      <c r="M1572" s="27" t="n"/>
      <c r="N1572" s="27" t="n"/>
      <c r="O1572" s="25">
        <f>IF($C1572="","",IF($P1572="","—",IF($P1572="Valid (Pass)","Valid","Invalid")))</f>
        <v/>
      </c>
      <c r="P1572" s="27" t="n"/>
      <c r="Q1572" s="27" t="n"/>
      <c r="R1572" s="27" t="n"/>
      <c r="S1572" s="27" t="n"/>
      <c r="T1572" s="25">
        <f>IF($C1572="","",IF(OR(ISNUMBER(SEARCH("quick case",$P1572)),ISNUMBER(SEARCH("quick case",$Q1572))),"Yes","No"))</f>
        <v/>
      </c>
      <c r="U1572" s="25">
        <f>IF($O1572="Invalid",HYPERLINK("mailto:"&amp;$G1572&amp;";"&amp;$I1572&amp;"?cc="&amp;Lists!$E$2&amp;"&amp;subject="&amp;_xlfn.ENCODEURL("[INVALID] Quality audit monitoring completed for "&amp;UPPER($C1572))&amp;"&amp;body="&amp;_xlfn.ENCODEURL("Hi "&amp;$F1572&amp;","&amp;CHAR(10)&amp;"Good day!"&amp;CHAR(10)&amp;CHAR(10)&amp;"A quality monitoring audit has been completed for "&amp;$C1572&amp;"."&amp;CHAR(10)&amp;CHAR(10)&amp;"QUALITY AUDIT DETAILS"&amp;CHAR(10)&amp;"Agent Name: "&amp;$C1572&amp;" (EID "&amp;$D1572&amp;")"&amp;CHAR(10)&amp;"Audit Date: "&amp;TEXT($B1572,"yyyy-mm-dd")&amp;CHAR(10)&amp;"Team Leader: "&amp;$F1572&amp;CHAR(10)&amp;"Case Number: "&amp;$M1572&amp;CHAR(10)&amp;"Transaction ID: "&amp;$N1572&amp;CHAR(10)&amp;"Channel / LOB: "&amp;$K1572&amp;" / "&amp;$L1572&amp;CHAR(10)&amp;"Evaluator: "&amp;$S1572&amp;CHAR(10)&amp;CHAR(10)&amp;"INVALID QUALITY AUDIT DETAILS"&amp;CHAR(10)&amp;"Validation: Invalid"&amp;CHAR(10)&amp;"Invalid Reason: "&amp;$P1572&amp;CHAR(10)&amp;"Expected Resolution Code: "&amp;$Q1572&amp;CHAR(10)&amp;"Remarks: "&amp;LEFT($R1572,600)&amp;CHAR(10)&amp;CHAR(10)&amp;"This is an automated notification from HP Mainstream EQMS."),"✉ Open Email Draft"),"")</f>
        <v/>
      </c>
    </row>
    <row r="1573">
      <c r="A1573" s="25">
        <f>IF($C1573="","","AUD-2026-"&amp;TEXT(ROW()-1,"000000"))</f>
        <v/>
      </c>
      <c r="B1573" s="26" t="n"/>
      <c r="C1573" s="27" t="n"/>
      <c r="D1573" s="25">
        <f>IF($C1573="","",IFERROR(IF(INDEX(Roster!$A:$A,MATCH($C1573,Roster!$B:$B,0))="","",INDEX(Roster!$A:$A,MATCH($C1573,Roster!$B:$B,0))&amp;""),"—"))</f>
        <v/>
      </c>
      <c r="E1573" s="25">
        <f>IF($C1573="","",IFERROR(IF(INDEX(Roster!$C:$C,MATCH($C1573,Roster!$B:$B,0))="","",INDEX(Roster!$C:$C,MATCH($C1573,Roster!$B:$B,0))&amp;""),"—"))</f>
        <v/>
      </c>
      <c r="F1573" s="25">
        <f>IF($C1573="","",IFERROR(IF(INDEX(Roster!$D:$D,MATCH($C1573,Roster!$B:$B,0))="","",INDEX(Roster!$D:$D,MATCH($C1573,Roster!$B:$B,0))&amp;""),"—"))</f>
        <v/>
      </c>
      <c r="G1573" s="25">
        <f>IF($C1573="","",IFERROR(IF(INDEX(Roster!$E:$E,MATCH($C1573,Roster!$B:$B,0))="","",INDEX(Roster!$E:$E,MATCH($C1573,Roster!$B:$B,0))&amp;""),"—"))</f>
        <v/>
      </c>
      <c r="H1573" s="25">
        <f>IF($C1573="","",IFERROR(IF(INDEX(Roster!$F:$F,MATCH($C1573,Roster!$B:$B,0))="","",INDEX(Roster!$F:$F,MATCH($C1573,Roster!$B:$B,0))&amp;""),"—"))</f>
        <v/>
      </c>
      <c r="I1573" s="25">
        <f>IF($C1573="","",IFERROR(IF(INDEX(Roster!$G:$G,MATCH($C1573,Roster!$B:$B,0))="","",INDEX(Roster!$G:$G,MATCH($C1573,Roster!$B:$B,0))&amp;""),"—"))</f>
        <v/>
      </c>
      <c r="J1573" s="25">
        <f>IF($C1573="","",IFERROR(IF(INDEX(Roster!$I:$I,MATCH($C1573,Roster!$B:$B,0))="","",INDEX(Roster!$I:$I,MATCH($C1573,Roster!$B:$B,0))&amp;""),"—"))</f>
        <v/>
      </c>
      <c r="K1573">
        <f>IF($C1573="","",IFERROR(IF(INDEX(Roster!$J:$J,MATCH($C1573,Roster!$B:$B,0))="","",INDEX(Roster!$J:$J,MATCH($C1573,Roster!$B:$B,0))&amp;""),"—"))</f>
        <v/>
      </c>
      <c r="L1573">
        <f>IF($C1573="","",IFERROR(IF(INDEX(Roster!$K:$K,MATCH($C1573,Roster!$B:$B,0))="","",INDEX(Roster!$K:$K,MATCH($C1573,Roster!$B:$B,0))&amp;""),"—"))</f>
        <v/>
      </c>
      <c r="M1573" s="27" t="n"/>
      <c r="N1573" s="27" t="n"/>
      <c r="O1573" s="25">
        <f>IF($C1573="","",IF($P1573="","—",IF($P1573="Valid (Pass)","Valid","Invalid")))</f>
        <v/>
      </c>
      <c r="P1573" s="27" t="n"/>
      <c r="Q1573" s="27" t="n"/>
      <c r="R1573" s="27" t="n"/>
      <c r="S1573" s="27" t="n"/>
      <c r="T1573" s="25">
        <f>IF($C1573="","",IF(OR(ISNUMBER(SEARCH("quick case",$P1573)),ISNUMBER(SEARCH("quick case",$Q1573))),"Yes","No"))</f>
        <v/>
      </c>
      <c r="U1573" s="25">
        <f>IF($O1573="Invalid",HYPERLINK("mailto:"&amp;$G1573&amp;";"&amp;$I1573&amp;"?cc="&amp;Lists!$E$2&amp;"&amp;subject="&amp;_xlfn.ENCODEURL("[INVALID] Quality audit monitoring completed for "&amp;UPPER($C1573))&amp;"&amp;body="&amp;_xlfn.ENCODEURL("Hi "&amp;$F1573&amp;","&amp;CHAR(10)&amp;"Good day!"&amp;CHAR(10)&amp;CHAR(10)&amp;"A quality monitoring audit has been completed for "&amp;$C1573&amp;"."&amp;CHAR(10)&amp;CHAR(10)&amp;"QUALITY AUDIT DETAILS"&amp;CHAR(10)&amp;"Agent Name: "&amp;$C1573&amp;" (EID "&amp;$D1573&amp;")"&amp;CHAR(10)&amp;"Audit Date: "&amp;TEXT($B1573,"yyyy-mm-dd")&amp;CHAR(10)&amp;"Team Leader: "&amp;$F1573&amp;CHAR(10)&amp;"Case Number: "&amp;$M1573&amp;CHAR(10)&amp;"Transaction ID: "&amp;$N1573&amp;CHAR(10)&amp;"Channel / LOB: "&amp;$K1573&amp;" / "&amp;$L1573&amp;CHAR(10)&amp;"Evaluator: "&amp;$S1573&amp;CHAR(10)&amp;CHAR(10)&amp;"INVALID QUALITY AUDIT DETAILS"&amp;CHAR(10)&amp;"Validation: Invalid"&amp;CHAR(10)&amp;"Invalid Reason: "&amp;$P1573&amp;CHAR(10)&amp;"Expected Resolution Code: "&amp;$Q1573&amp;CHAR(10)&amp;"Remarks: "&amp;LEFT($R1573,600)&amp;CHAR(10)&amp;CHAR(10)&amp;"This is an automated notification from HP Mainstream EQMS."),"✉ Open Email Draft"),"")</f>
        <v/>
      </c>
    </row>
    <row r="1574">
      <c r="A1574" s="25">
        <f>IF($C1574="","","AUD-2026-"&amp;TEXT(ROW()-1,"000000"))</f>
        <v/>
      </c>
      <c r="B1574" s="26" t="n"/>
      <c r="C1574" s="27" t="n"/>
      <c r="D1574" s="25">
        <f>IF($C1574="","",IFERROR(IF(INDEX(Roster!$A:$A,MATCH($C1574,Roster!$B:$B,0))="","",INDEX(Roster!$A:$A,MATCH($C1574,Roster!$B:$B,0))&amp;""),"—"))</f>
        <v/>
      </c>
      <c r="E1574" s="25">
        <f>IF($C1574="","",IFERROR(IF(INDEX(Roster!$C:$C,MATCH($C1574,Roster!$B:$B,0))="","",INDEX(Roster!$C:$C,MATCH($C1574,Roster!$B:$B,0))&amp;""),"—"))</f>
        <v/>
      </c>
      <c r="F1574" s="25">
        <f>IF($C1574="","",IFERROR(IF(INDEX(Roster!$D:$D,MATCH($C1574,Roster!$B:$B,0))="","",INDEX(Roster!$D:$D,MATCH($C1574,Roster!$B:$B,0))&amp;""),"—"))</f>
        <v/>
      </c>
      <c r="G1574" s="25">
        <f>IF($C1574="","",IFERROR(IF(INDEX(Roster!$E:$E,MATCH($C1574,Roster!$B:$B,0))="","",INDEX(Roster!$E:$E,MATCH($C1574,Roster!$B:$B,0))&amp;""),"—"))</f>
        <v/>
      </c>
      <c r="H1574" s="25">
        <f>IF($C1574="","",IFERROR(IF(INDEX(Roster!$F:$F,MATCH($C1574,Roster!$B:$B,0))="","",INDEX(Roster!$F:$F,MATCH($C1574,Roster!$B:$B,0))&amp;""),"—"))</f>
        <v/>
      </c>
      <c r="I1574" s="25">
        <f>IF($C1574="","",IFERROR(IF(INDEX(Roster!$G:$G,MATCH($C1574,Roster!$B:$B,0))="","",INDEX(Roster!$G:$G,MATCH($C1574,Roster!$B:$B,0))&amp;""),"—"))</f>
        <v/>
      </c>
      <c r="J1574" s="25">
        <f>IF($C1574="","",IFERROR(IF(INDEX(Roster!$I:$I,MATCH($C1574,Roster!$B:$B,0))="","",INDEX(Roster!$I:$I,MATCH($C1574,Roster!$B:$B,0))&amp;""),"—"))</f>
        <v/>
      </c>
      <c r="K1574">
        <f>IF($C1574="","",IFERROR(IF(INDEX(Roster!$J:$J,MATCH($C1574,Roster!$B:$B,0))="","",INDEX(Roster!$J:$J,MATCH($C1574,Roster!$B:$B,0))&amp;""),"—"))</f>
        <v/>
      </c>
      <c r="L1574">
        <f>IF($C1574="","",IFERROR(IF(INDEX(Roster!$K:$K,MATCH($C1574,Roster!$B:$B,0))="","",INDEX(Roster!$K:$K,MATCH($C1574,Roster!$B:$B,0))&amp;""),"—"))</f>
        <v/>
      </c>
      <c r="M1574" s="27" t="n"/>
      <c r="N1574" s="27" t="n"/>
      <c r="O1574" s="25">
        <f>IF($C1574="","",IF($P1574="","—",IF($P1574="Valid (Pass)","Valid","Invalid")))</f>
        <v/>
      </c>
      <c r="P1574" s="27" t="n"/>
      <c r="Q1574" s="27" t="n"/>
      <c r="R1574" s="27" t="n"/>
      <c r="S1574" s="27" t="n"/>
      <c r="T1574" s="25">
        <f>IF($C1574="","",IF(OR(ISNUMBER(SEARCH("quick case",$P1574)),ISNUMBER(SEARCH("quick case",$Q1574))),"Yes","No"))</f>
        <v/>
      </c>
      <c r="U1574" s="25">
        <f>IF($O1574="Invalid",HYPERLINK("mailto:"&amp;$G1574&amp;";"&amp;$I1574&amp;"?cc="&amp;Lists!$E$2&amp;"&amp;subject="&amp;_xlfn.ENCODEURL("[INVALID] Quality audit monitoring completed for "&amp;UPPER($C1574))&amp;"&amp;body="&amp;_xlfn.ENCODEURL("Hi "&amp;$F1574&amp;","&amp;CHAR(10)&amp;"Good day!"&amp;CHAR(10)&amp;CHAR(10)&amp;"A quality monitoring audit has been completed for "&amp;$C1574&amp;"."&amp;CHAR(10)&amp;CHAR(10)&amp;"QUALITY AUDIT DETAILS"&amp;CHAR(10)&amp;"Agent Name: "&amp;$C1574&amp;" (EID "&amp;$D1574&amp;")"&amp;CHAR(10)&amp;"Audit Date: "&amp;TEXT($B1574,"yyyy-mm-dd")&amp;CHAR(10)&amp;"Team Leader: "&amp;$F1574&amp;CHAR(10)&amp;"Case Number: "&amp;$M1574&amp;CHAR(10)&amp;"Transaction ID: "&amp;$N1574&amp;CHAR(10)&amp;"Channel / LOB: "&amp;$K1574&amp;" / "&amp;$L1574&amp;CHAR(10)&amp;"Evaluator: "&amp;$S1574&amp;CHAR(10)&amp;CHAR(10)&amp;"INVALID QUALITY AUDIT DETAILS"&amp;CHAR(10)&amp;"Validation: Invalid"&amp;CHAR(10)&amp;"Invalid Reason: "&amp;$P1574&amp;CHAR(10)&amp;"Expected Resolution Code: "&amp;$Q1574&amp;CHAR(10)&amp;"Remarks: "&amp;LEFT($R1574,600)&amp;CHAR(10)&amp;CHAR(10)&amp;"This is an automated notification from HP Mainstream EQMS."),"✉ Open Email Draft"),"")</f>
        <v/>
      </c>
    </row>
    <row r="1575">
      <c r="A1575" s="25">
        <f>IF($C1575="","","AUD-2026-"&amp;TEXT(ROW()-1,"000000"))</f>
        <v/>
      </c>
      <c r="B1575" s="26" t="n"/>
      <c r="C1575" s="27" t="n"/>
      <c r="D1575" s="25">
        <f>IF($C1575="","",IFERROR(IF(INDEX(Roster!$A:$A,MATCH($C1575,Roster!$B:$B,0))="","",INDEX(Roster!$A:$A,MATCH($C1575,Roster!$B:$B,0))&amp;""),"—"))</f>
        <v/>
      </c>
      <c r="E1575" s="25">
        <f>IF($C1575="","",IFERROR(IF(INDEX(Roster!$C:$C,MATCH($C1575,Roster!$B:$B,0))="","",INDEX(Roster!$C:$C,MATCH($C1575,Roster!$B:$B,0))&amp;""),"—"))</f>
        <v/>
      </c>
      <c r="F1575" s="25">
        <f>IF($C1575="","",IFERROR(IF(INDEX(Roster!$D:$D,MATCH($C1575,Roster!$B:$B,0))="","",INDEX(Roster!$D:$D,MATCH($C1575,Roster!$B:$B,0))&amp;""),"—"))</f>
        <v/>
      </c>
      <c r="G1575" s="25">
        <f>IF($C1575="","",IFERROR(IF(INDEX(Roster!$E:$E,MATCH($C1575,Roster!$B:$B,0))="","",INDEX(Roster!$E:$E,MATCH($C1575,Roster!$B:$B,0))&amp;""),"—"))</f>
        <v/>
      </c>
      <c r="H1575" s="25">
        <f>IF($C1575="","",IFERROR(IF(INDEX(Roster!$F:$F,MATCH($C1575,Roster!$B:$B,0))="","",INDEX(Roster!$F:$F,MATCH($C1575,Roster!$B:$B,0))&amp;""),"—"))</f>
        <v/>
      </c>
      <c r="I1575" s="25">
        <f>IF($C1575="","",IFERROR(IF(INDEX(Roster!$G:$G,MATCH($C1575,Roster!$B:$B,0))="","",INDEX(Roster!$G:$G,MATCH($C1575,Roster!$B:$B,0))&amp;""),"—"))</f>
        <v/>
      </c>
      <c r="J1575" s="25">
        <f>IF($C1575="","",IFERROR(IF(INDEX(Roster!$I:$I,MATCH($C1575,Roster!$B:$B,0))="","",INDEX(Roster!$I:$I,MATCH($C1575,Roster!$B:$B,0))&amp;""),"—"))</f>
        <v/>
      </c>
      <c r="K1575">
        <f>IF($C1575="","",IFERROR(IF(INDEX(Roster!$J:$J,MATCH($C1575,Roster!$B:$B,0))="","",INDEX(Roster!$J:$J,MATCH($C1575,Roster!$B:$B,0))&amp;""),"—"))</f>
        <v/>
      </c>
      <c r="L1575">
        <f>IF($C1575="","",IFERROR(IF(INDEX(Roster!$K:$K,MATCH($C1575,Roster!$B:$B,0))="","",INDEX(Roster!$K:$K,MATCH($C1575,Roster!$B:$B,0))&amp;""),"—"))</f>
        <v/>
      </c>
      <c r="M1575" s="27" t="n"/>
      <c r="N1575" s="27" t="n"/>
      <c r="O1575" s="25">
        <f>IF($C1575="","",IF($P1575="","—",IF($P1575="Valid (Pass)","Valid","Invalid")))</f>
        <v/>
      </c>
      <c r="P1575" s="27" t="n"/>
      <c r="Q1575" s="27" t="n"/>
      <c r="R1575" s="27" t="n"/>
      <c r="S1575" s="27" t="n"/>
      <c r="T1575" s="25">
        <f>IF($C1575="","",IF(OR(ISNUMBER(SEARCH("quick case",$P1575)),ISNUMBER(SEARCH("quick case",$Q1575))),"Yes","No"))</f>
        <v/>
      </c>
      <c r="U1575" s="25">
        <f>IF($O1575="Invalid",HYPERLINK("mailto:"&amp;$G1575&amp;";"&amp;$I1575&amp;"?cc="&amp;Lists!$E$2&amp;"&amp;subject="&amp;_xlfn.ENCODEURL("[INVALID] Quality audit monitoring completed for "&amp;UPPER($C1575))&amp;"&amp;body="&amp;_xlfn.ENCODEURL("Hi "&amp;$F1575&amp;","&amp;CHAR(10)&amp;"Good day!"&amp;CHAR(10)&amp;CHAR(10)&amp;"A quality monitoring audit has been completed for "&amp;$C1575&amp;"."&amp;CHAR(10)&amp;CHAR(10)&amp;"QUALITY AUDIT DETAILS"&amp;CHAR(10)&amp;"Agent Name: "&amp;$C1575&amp;" (EID "&amp;$D1575&amp;")"&amp;CHAR(10)&amp;"Audit Date: "&amp;TEXT($B1575,"yyyy-mm-dd")&amp;CHAR(10)&amp;"Team Leader: "&amp;$F1575&amp;CHAR(10)&amp;"Case Number: "&amp;$M1575&amp;CHAR(10)&amp;"Transaction ID: "&amp;$N1575&amp;CHAR(10)&amp;"Channel / LOB: "&amp;$K1575&amp;" / "&amp;$L1575&amp;CHAR(10)&amp;"Evaluator: "&amp;$S1575&amp;CHAR(10)&amp;CHAR(10)&amp;"INVALID QUALITY AUDIT DETAILS"&amp;CHAR(10)&amp;"Validation: Invalid"&amp;CHAR(10)&amp;"Invalid Reason: "&amp;$P1575&amp;CHAR(10)&amp;"Expected Resolution Code: "&amp;$Q1575&amp;CHAR(10)&amp;"Remarks: "&amp;LEFT($R1575,600)&amp;CHAR(10)&amp;CHAR(10)&amp;"This is an automated notification from HP Mainstream EQMS."),"✉ Open Email Draft"),"")</f>
        <v/>
      </c>
    </row>
    <row r="1576">
      <c r="A1576" s="25">
        <f>IF($C1576="","","AUD-2026-"&amp;TEXT(ROW()-1,"000000"))</f>
        <v/>
      </c>
      <c r="B1576" s="26" t="n"/>
      <c r="C1576" s="27" t="n"/>
      <c r="D1576" s="25">
        <f>IF($C1576="","",IFERROR(IF(INDEX(Roster!$A:$A,MATCH($C1576,Roster!$B:$B,0))="","",INDEX(Roster!$A:$A,MATCH($C1576,Roster!$B:$B,0))&amp;""),"—"))</f>
        <v/>
      </c>
      <c r="E1576" s="25">
        <f>IF($C1576="","",IFERROR(IF(INDEX(Roster!$C:$C,MATCH($C1576,Roster!$B:$B,0))="","",INDEX(Roster!$C:$C,MATCH($C1576,Roster!$B:$B,0))&amp;""),"—"))</f>
        <v/>
      </c>
      <c r="F1576" s="25">
        <f>IF($C1576="","",IFERROR(IF(INDEX(Roster!$D:$D,MATCH($C1576,Roster!$B:$B,0))="","",INDEX(Roster!$D:$D,MATCH($C1576,Roster!$B:$B,0))&amp;""),"—"))</f>
        <v/>
      </c>
      <c r="G1576" s="25">
        <f>IF($C1576="","",IFERROR(IF(INDEX(Roster!$E:$E,MATCH($C1576,Roster!$B:$B,0))="","",INDEX(Roster!$E:$E,MATCH($C1576,Roster!$B:$B,0))&amp;""),"—"))</f>
        <v/>
      </c>
      <c r="H1576" s="25">
        <f>IF($C1576="","",IFERROR(IF(INDEX(Roster!$F:$F,MATCH($C1576,Roster!$B:$B,0))="","",INDEX(Roster!$F:$F,MATCH($C1576,Roster!$B:$B,0))&amp;""),"—"))</f>
        <v/>
      </c>
      <c r="I1576" s="25">
        <f>IF($C1576="","",IFERROR(IF(INDEX(Roster!$G:$G,MATCH($C1576,Roster!$B:$B,0))="","",INDEX(Roster!$G:$G,MATCH($C1576,Roster!$B:$B,0))&amp;""),"—"))</f>
        <v/>
      </c>
      <c r="J1576" s="25">
        <f>IF($C1576="","",IFERROR(IF(INDEX(Roster!$I:$I,MATCH($C1576,Roster!$B:$B,0))="","",INDEX(Roster!$I:$I,MATCH($C1576,Roster!$B:$B,0))&amp;""),"—"))</f>
        <v/>
      </c>
      <c r="K1576">
        <f>IF($C1576="","",IFERROR(IF(INDEX(Roster!$J:$J,MATCH($C1576,Roster!$B:$B,0))="","",INDEX(Roster!$J:$J,MATCH($C1576,Roster!$B:$B,0))&amp;""),"—"))</f>
        <v/>
      </c>
      <c r="L1576">
        <f>IF($C1576="","",IFERROR(IF(INDEX(Roster!$K:$K,MATCH($C1576,Roster!$B:$B,0))="","",INDEX(Roster!$K:$K,MATCH($C1576,Roster!$B:$B,0))&amp;""),"—"))</f>
        <v/>
      </c>
      <c r="M1576" s="27" t="n"/>
      <c r="N1576" s="27" t="n"/>
      <c r="O1576" s="25">
        <f>IF($C1576="","",IF($P1576="","—",IF($P1576="Valid (Pass)","Valid","Invalid")))</f>
        <v/>
      </c>
      <c r="P1576" s="27" t="n"/>
      <c r="Q1576" s="27" t="n"/>
      <c r="R1576" s="27" t="n"/>
      <c r="S1576" s="27" t="n"/>
      <c r="T1576" s="25">
        <f>IF($C1576="","",IF(OR(ISNUMBER(SEARCH("quick case",$P1576)),ISNUMBER(SEARCH("quick case",$Q1576))),"Yes","No"))</f>
        <v/>
      </c>
      <c r="U1576" s="25">
        <f>IF($O1576="Invalid",HYPERLINK("mailto:"&amp;$G1576&amp;";"&amp;$I1576&amp;"?cc="&amp;Lists!$E$2&amp;"&amp;subject="&amp;_xlfn.ENCODEURL("[INVALID] Quality audit monitoring completed for "&amp;UPPER($C1576))&amp;"&amp;body="&amp;_xlfn.ENCODEURL("Hi "&amp;$F1576&amp;","&amp;CHAR(10)&amp;"Good day!"&amp;CHAR(10)&amp;CHAR(10)&amp;"A quality monitoring audit has been completed for "&amp;$C1576&amp;"."&amp;CHAR(10)&amp;CHAR(10)&amp;"QUALITY AUDIT DETAILS"&amp;CHAR(10)&amp;"Agent Name: "&amp;$C1576&amp;" (EID "&amp;$D1576&amp;")"&amp;CHAR(10)&amp;"Audit Date: "&amp;TEXT($B1576,"yyyy-mm-dd")&amp;CHAR(10)&amp;"Team Leader: "&amp;$F1576&amp;CHAR(10)&amp;"Case Number: "&amp;$M1576&amp;CHAR(10)&amp;"Transaction ID: "&amp;$N1576&amp;CHAR(10)&amp;"Channel / LOB: "&amp;$K1576&amp;" / "&amp;$L1576&amp;CHAR(10)&amp;"Evaluator: "&amp;$S1576&amp;CHAR(10)&amp;CHAR(10)&amp;"INVALID QUALITY AUDIT DETAILS"&amp;CHAR(10)&amp;"Validation: Invalid"&amp;CHAR(10)&amp;"Invalid Reason: "&amp;$P1576&amp;CHAR(10)&amp;"Expected Resolution Code: "&amp;$Q1576&amp;CHAR(10)&amp;"Remarks: "&amp;LEFT($R1576,600)&amp;CHAR(10)&amp;CHAR(10)&amp;"This is an automated notification from HP Mainstream EQMS."),"✉ Open Email Draft"),"")</f>
        <v/>
      </c>
    </row>
    <row r="1577">
      <c r="A1577" s="25">
        <f>IF($C1577="","","AUD-2026-"&amp;TEXT(ROW()-1,"000000"))</f>
        <v/>
      </c>
      <c r="B1577" s="26" t="n"/>
      <c r="C1577" s="27" t="n"/>
      <c r="D1577" s="25">
        <f>IF($C1577="","",IFERROR(IF(INDEX(Roster!$A:$A,MATCH($C1577,Roster!$B:$B,0))="","",INDEX(Roster!$A:$A,MATCH($C1577,Roster!$B:$B,0))&amp;""),"—"))</f>
        <v/>
      </c>
      <c r="E1577" s="25">
        <f>IF($C1577="","",IFERROR(IF(INDEX(Roster!$C:$C,MATCH($C1577,Roster!$B:$B,0))="","",INDEX(Roster!$C:$C,MATCH($C1577,Roster!$B:$B,0))&amp;""),"—"))</f>
        <v/>
      </c>
      <c r="F1577" s="25">
        <f>IF($C1577="","",IFERROR(IF(INDEX(Roster!$D:$D,MATCH($C1577,Roster!$B:$B,0))="","",INDEX(Roster!$D:$D,MATCH($C1577,Roster!$B:$B,0))&amp;""),"—"))</f>
        <v/>
      </c>
      <c r="G1577" s="25">
        <f>IF($C1577="","",IFERROR(IF(INDEX(Roster!$E:$E,MATCH($C1577,Roster!$B:$B,0))="","",INDEX(Roster!$E:$E,MATCH($C1577,Roster!$B:$B,0))&amp;""),"—"))</f>
        <v/>
      </c>
      <c r="H1577" s="25">
        <f>IF($C1577="","",IFERROR(IF(INDEX(Roster!$F:$F,MATCH($C1577,Roster!$B:$B,0))="","",INDEX(Roster!$F:$F,MATCH($C1577,Roster!$B:$B,0))&amp;""),"—"))</f>
        <v/>
      </c>
      <c r="I1577" s="25">
        <f>IF($C1577="","",IFERROR(IF(INDEX(Roster!$G:$G,MATCH($C1577,Roster!$B:$B,0))="","",INDEX(Roster!$G:$G,MATCH($C1577,Roster!$B:$B,0))&amp;""),"—"))</f>
        <v/>
      </c>
      <c r="J1577" s="25">
        <f>IF($C1577="","",IFERROR(IF(INDEX(Roster!$I:$I,MATCH($C1577,Roster!$B:$B,0))="","",INDEX(Roster!$I:$I,MATCH($C1577,Roster!$B:$B,0))&amp;""),"—"))</f>
        <v/>
      </c>
      <c r="K1577">
        <f>IF($C1577="","",IFERROR(IF(INDEX(Roster!$J:$J,MATCH($C1577,Roster!$B:$B,0))="","",INDEX(Roster!$J:$J,MATCH($C1577,Roster!$B:$B,0))&amp;""),"—"))</f>
        <v/>
      </c>
      <c r="L1577">
        <f>IF($C1577="","",IFERROR(IF(INDEX(Roster!$K:$K,MATCH($C1577,Roster!$B:$B,0))="","",INDEX(Roster!$K:$K,MATCH($C1577,Roster!$B:$B,0))&amp;""),"—"))</f>
        <v/>
      </c>
      <c r="M1577" s="27" t="n"/>
      <c r="N1577" s="27" t="n"/>
      <c r="O1577" s="25">
        <f>IF($C1577="","",IF($P1577="","—",IF($P1577="Valid (Pass)","Valid","Invalid")))</f>
        <v/>
      </c>
      <c r="P1577" s="27" t="n"/>
      <c r="Q1577" s="27" t="n"/>
      <c r="R1577" s="27" t="n"/>
      <c r="S1577" s="27" t="n"/>
      <c r="T1577" s="25">
        <f>IF($C1577="","",IF(OR(ISNUMBER(SEARCH("quick case",$P1577)),ISNUMBER(SEARCH("quick case",$Q1577))),"Yes","No"))</f>
        <v/>
      </c>
      <c r="U1577" s="25">
        <f>IF($O1577="Invalid",HYPERLINK("mailto:"&amp;$G1577&amp;";"&amp;$I1577&amp;"?cc="&amp;Lists!$E$2&amp;"&amp;subject="&amp;_xlfn.ENCODEURL("[INVALID] Quality audit monitoring completed for "&amp;UPPER($C1577))&amp;"&amp;body="&amp;_xlfn.ENCODEURL("Hi "&amp;$F1577&amp;","&amp;CHAR(10)&amp;"Good day!"&amp;CHAR(10)&amp;CHAR(10)&amp;"A quality monitoring audit has been completed for "&amp;$C1577&amp;"."&amp;CHAR(10)&amp;CHAR(10)&amp;"QUALITY AUDIT DETAILS"&amp;CHAR(10)&amp;"Agent Name: "&amp;$C1577&amp;" (EID "&amp;$D1577&amp;")"&amp;CHAR(10)&amp;"Audit Date: "&amp;TEXT($B1577,"yyyy-mm-dd")&amp;CHAR(10)&amp;"Team Leader: "&amp;$F1577&amp;CHAR(10)&amp;"Case Number: "&amp;$M1577&amp;CHAR(10)&amp;"Transaction ID: "&amp;$N1577&amp;CHAR(10)&amp;"Channel / LOB: "&amp;$K1577&amp;" / "&amp;$L1577&amp;CHAR(10)&amp;"Evaluator: "&amp;$S1577&amp;CHAR(10)&amp;CHAR(10)&amp;"INVALID QUALITY AUDIT DETAILS"&amp;CHAR(10)&amp;"Validation: Invalid"&amp;CHAR(10)&amp;"Invalid Reason: "&amp;$P1577&amp;CHAR(10)&amp;"Expected Resolution Code: "&amp;$Q1577&amp;CHAR(10)&amp;"Remarks: "&amp;LEFT($R1577,600)&amp;CHAR(10)&amp;CHAR(10)&amp;"This is an automated notification from HP Mainstream EQMS."),"✉ Open Email Draft"),"")</f>
        <v/>
      </c>
    </row>
    <row r="1578">
      <c r="A1578" s="25">
        <f>IF($C1578="","","AUD-2026-"&amp;TEXT(ROW()-1,"000000"))</f>
        <v/>
      </c>
      <c r="B1578" s="26" t="n"/>
      <c r="C1578" s="27" t="n"/>
      <c r="D1578" s="25">
        <f>IF($C1578="","",IFERROR(IF(INDEX(Roster!$A:$A,MATCH($C1578,Roster!$B:$B,0))="","",INDEX(Roster!$A:$A,MATCH($C1578,Roster!$B:$B,0))&amp;""),"—"))</f>
        <v/>
      </c>
      <c r="E1578" s="25">
        <f>IF($C1578="","",IFERROR(IF(INDEX(Roster!$C:$C,MATCH($C1578,Roster!$B:$B,0))="","",INDEX(Roster!$C:$C,MATCH($C1578,Roster!$B:$B,0))&amp;""),"—"))</f>
        <v/>
      </c>
      <c r="F1578" s="25">
        <f>IF($C1578="","",IFERROR(IF(INDEX(Roster!$D:$D,MATCH($C1578,Roster!$B:$B,0))="","",INDEX(Roster!$D:$D,MATCH($C1578,Roster!$B:$B,0))&amp;""),"—"))</f>
        <v/>
      </c>
      <c r="G1578" s="25">
        <f>IF($C1578="","",IFERROR(IF(INDEX(Roster!$E:$E,MATCH($C1578,Roster!$B:$B,0))="","",INDEX(Roster!$E:$E,MATCH($C1578,Roster!$B:$B,0))&amp;""),"—"))</f>
        <v/>
      </c>
      <c r="H1578" s="25">
        <f>IF($C1578="","",IFERROR(IF(INDEX(Roster!$F:$F,MATCH($C1578,Roster!$B:$B,0))="","",INDEX(Roster!$F:$F,MATCH($C1578,Roster!$B:$B,0))&amp;""),"—"))</f>
        <v/>
      </c>
      <c r="I1578" s="25">
        <f>IF($C1578="","",IFERROR(IF(INDEX(Roster!$G:$G,MATCH($C1578,Roster!$B:$B,0))="","",INDEX(Roster!$G:$G,MATCH($C1578,Roster!$B:$B,0))&amp;""),"—"))</f>
        <v/>
      </c>
      <c r="J1578" s="25">
        <f>IF($C1578="","",IFERROR(IF(INDEX(Roster!$I:$I,MATCH($C1578,Roster!$B:$B,0))="","",INDEX(Roster!$I:$I,MATCH($C1578,Roster!$B:$B,0))&amp;""),"—"))</f>
        <v/>
      </c>
      <c r="K1578">
        <f>IF($C1578="","",IFERROR(IF(INDEX(Roster!$J:$J,MATCH($C1578,Roster!$B:$B,0))="","",INDEX(Roster!$J:$J,MATCH($C1578,Roster!$B:$B,0))&amp;""),"—"))</f>
        <v/>
      </c>
      <c r="L1578">
        <f>IF($C1578="","",IFERROR(IF(INDEX(Roster!$K:$K,MATCH($C1578,Roster!$B:$B,0))="","",INDEX(Roster!$K:$K,MATCH($C1578,Roster!$B:$B,0))&amp;""),"—"))</f>
        <v/>
      </c>
      <c r="M1578" s="27" t="n"/>
      <c r="N1578" s="27" t="n"/>
      <c r="O1578" s="25">
        <f>IF($C1578="","",IF($P1578="","—",IF($P1578="Valid (Pass)","Valid","Invalid")))</f>
        <v/>
      </c>
      <c r="P1578" s="27" t="n"/>
      <c r="Q1578" s="27" t="n"/>
      <c r="R1578" s="27" t="n"/>
      <c r="S1578" s="27" t="n"/>
      <c r="T1578" s="25">
        <f>IF($C1578="","",IF(OR(ISNUMBER(SEARCH("quick case",$P1578)),ISNUMBER(SEARCH("quick case",$Q1578))),"Yes","No"))</f>
        <v/>
      </c>
      <c r="U1578" s="25">
        <f>IF($O1578="Invalid",HYPERLINK("mailto:"&amp;$G1578&amp;";"&amp;$I1578&amp;"?cc="&amp;Lists!$E$2&amp;"&amp;subject="&amp;_xlfn.ENCODEURL("[INVALID] Quality audit monitoring completed for "&amp;UPPER($C1578))&amp;"&amp;body="&amp;_xlfn.ENCODEURL("Hi "&amp;$F1578&amp;","&amp;CHAR(10)&amp;"Good day!"&amp;CHAR(10)&amp;CHAR(10)&amp;"A quality monitoring audit has been completed for "&amp;$C1578&amp;"."&amp;CHAR(10)&amp;CHAR(10)&amp;"QUALITY AUDIT DETAILS"&amp;CHAR(10)&amp;"Agent Name: "&amp;$C1578&amp;" (EID "&amp;$D1578&amp;")"&amp;CHAR(10)&amp;"Audit Date: "&amp;TEXT($B1578,"yyyy-mm-dd")&amp;CHAR(10)&amp;"Team Leader: "&amp;$F1578&amp;CHAR(10)&amp;"Case Number: "&amp;$M1578&amp;CHAR(10)&amp;"Transaction ID: "&amp;$N1578&amp;CHAR(10)&amp;"Channel / LOB: "&amp;$K1578&amp;" / "&amp;$L1578&amp;CHAR(10)&amp;"Evaluator: "&amp;$S1578&amp;CHAR(10)&amp;CHAR(10)&amp;"INVALID QUALITY AUDIT DETAILS"&amp;CHAR(10)&amp;"Validation: Invalid"&amp;CHAR(10)&amp;"Invalid Reason: "&amp;$P1578&amp;CHAR(10)&amp;"Expected Resolution Code: "&amp;$Q1578&amp;CHAR(10)&amp;"Remarks: "&amp;LEFT($R1578,600)&amp;CHAR(10)&amp;CHAR(10)&amp;"This is an automated notification from HP Mainstream EQMS."),"✉ Open Email Draft"),"")</f>
        <v/>
      </c>
    </row>
    <row r="1579">
      <c r="A1579" s="25">
        <f>IF($C1579="","","AUD-2026-"&amp;TEXT(ROW()-1,"000000"))</f>
        <v/>
      </c>
      <c r="B1579" s="26" t="n"/>
      <c r="C1579" s="27" t="n"/>
      <c r="D1579" s="25">
        <f>IF($C1579="","",IFERROR(IF(INDEX(Roster!$A:$A,MATCH($C1579,Roster!$B:$B,0))="","",INDEX(Roster!$A:$A,MATCH($C1579,Roster!$B:$B,0))&amp;""),"—"))</f>
        <v/>
      </c>
      <c r="E1579" s="25">
        <f>IF($C1579="","",IFERROR(IF(INDEX(Roster!$C:$C,MATCH($C1579,Roster!$B:$B,0))="","",INDEX(Roster!$C:$C,MATCH($C1579,Roster!$B:$B,0))&amp;""),"—"))</f>
        <v/>
      </c>
      <c r="F1579" s="25">
        <f>IF($C1579="","",IFERROR(IF(INDEX(Roster!$D:$D,MATCH($C1579,Roster!$B:$B,0))="","",INDEX(Roster!$D:$D,MATCH($C1579,Roster!$B:$B,0))&amp;""),"—"))</f>
        <v/>
      </c>
      <c r="G1579" s="25">
        <f>IF($C1579="","",IFERROR(IF(INDEX(Roster!$E:$E,MATCH($C1579,Roster!$B:$B,0))="","",INDEX(Roster!$E:$E,MATCH($C1579,Roster!$B:$B,0))&amp;""),"—"))</f>
        <v/>
      </c>
      <c r="H1579" s="25">
        <f>IF($C1579="","",IFERROR(IF(INDEX(Roster!$F:$F,MATCH($C1579,Roster!$B:$B,0))="","",INDEX(Roster!$F:$F,MATCH($C1579,Roster!$B:$B,0))&amp;""),"—"))</f>
        <v/>
      </c>
      <c r="I1579" s="25">
        <f>IF($C1579="","",IFERROR(IF(INDEX(Roster!$G:$G,MATCH($C1579,Roster!$B:$B,0))="","",INDEX(Roster!$G:$G,MATCH($C1579,Roster!$B:$B,0))&amp;""),"—"))</f>
        <v/>
      </c>
      <c r="J1579" s="25">
        <f>IF($C1579="","",IFERROR(IF(INDEX(Roster!$I:$I,MATCH($C1579,Roster!$B:$B,0))="","",INDEX(Roster!$I:$I,MATCH($C1579,Roster!$B:$B,0))&amp;""),"—"))</f>
        <v/>
      </c>
      <c r="K1579">
        <f>IF($C1579="","",IFERROR(IF(INDEX(Roster!$J:$J,MATCH($C1579,Roster!$B:$B,0))="","",INDEX(Roster!$J:$J,MATCH($C1579,Roster!$B:$B,0))&amp;""),"—"))</f>
        <v/>
      </c>
      <c r="L1579">
        <f>IF($C1579="","",IFERROR(IF(INDEX(Roster!$K:$K,MATCH($C1579,Roster!$B:$B,0))="","",INDEX(Roster!$K:$K,MATCH($C1579,Roster!$B:$B,0))&amp;""),"—"))</f>
        <v/>
      </c>
      <c r="M1579" s="27" t="n"/>
      <c r="N1579" s="27" t="n"/>
      <c r="O1579" s="25">
        <f>IF($C1579="","",IF($P1579="","—",IF($P1579="Valid (Pass)","Valid","Invalid")))</f>
        <v/>
      </c>
      <c r="P1579" s="27" t="n"/>
      <c r="Q1579" s="27" t="n"/>
      <c r="R1579" s="27" t="n"/>
      <c r="S1579" s="27" t="n"/>
      <c r="T1579" s="25">
        <f>IF($C1579="","",IF(OR(ISNUMBER(SEARCH("quick case",$P1579)),ISNUMBER(SEARCH("quick case",$Q1579))),"Yes","No"))</f>
        <v/>
      </c>
      <c r="U1579" s="25">
        <f>IF($O1579="Invalid",HYPERLINK("mailto:"&amp;$G1579&amp;";"&amp;$I1579&amp;"?cc="&amp;Lists!$E$2&amp;"&amp;subject="&amp;_xlfn.ENCODEURL("[INVALID] Quality audit monitoring completed for "&amp;UPPER($C1579))&amp;"&amp;body="&amp;_xlfn.ENCODEURL("Hi "&amp;$F1579&amp;","&amp;CHAR(10)&amp;"Good day!"&amp;CHAR(10)&amp;CHAR(10)&amp;"A quality monitoring audit has been completed for "&amp;$C1579&amp;"."&amp;CHAR(10)&amp;CHAR(10)&amp;"QUALITY AUDIT DETAILS"&amp;CHAR(10)&amp;"Agent Name: "&amp;$C1579&amp;" (EID "&amp;$D1579&amp;")"&amp;CHAR(10)&amp;"Audit Date: "&amp;TEXT($B1579,"yyyy-mm-dd")&amp;CHAR(10)&amp;"Team Leader: "&amp;$F1579&amp;CHAR(10)&amp;"Case Number: "&amp;$M1579&amp;CHAR(10)&amp;"Transaction ID: "&amp;$N1579&amp;CHAR(10)&amp;"Channel / LOB: "&amp;$K1579&amp;" / "&amp;$L1579&amp;CHAR(10)&amp;"Evaluator: "&amp;$S1579&amp;CHAR(10)&amp;CHAR(10)&amp;"INVALID QUALITY AUDIT DETAILS"&amp;CHAR(10)&amp;"Validation: Invalid"&amp;CHAR(10)&amp;"Invalid Reason: "&amp;$P1579&amp;CHAR(10)&amp;"Expected Resolution Code: "&amp;$Q1579&amp;CHAR(10)&amp;"Remarks: "&amp;LEFT($R1579,600)&amp;CHAR(10)&amp;CHAR(10)&amp;"This is an automated notification from HP Mainstream EQMS."),"✉ Open Email Draft"),"")</f>
        <v/>
      </c>
    </row>
    <row r="1580">
      <c r="A1580" s="25">
        <f>IF($C1580="","","AUD-2026-"&amp;TEXT(ROW()-1,"000000"))</f>
        <v/>
      </c>
      <c r="B1580" s="26" t="n"/>
      <c r="C1580" s="27" t="n"/>
      <c r="D1580" s="25">
        <f>IF($C1580="","",IFERROR(IF(INDEX(Roster!$A:$A,MATCH($C1580,Roster!$B:$B,0))="","",INDEX(Roster!$A:$A,MATCH($C1580,Roster!$B:$B,0))&amp;""),"—"))</f>
        <v/>
      </c>
      <c r="E1580" s="25">
        <f>IF($C1580="","",IFERROR(IF(INDEX(Roster!$C:$C,MATCH($C1580,Roster!$B:$B,0))="","",INDEX(Roster!$C:$C,MATCH($C1580,Roster!$B:$B,0))&amp;""),"—"))</f>
        <v/>
      </c>
      <c r="F1580" s="25">
        <f>IF($C1580="","",IFERROR(IF(INDEX(Roster!$D:$D,MATCH($C1580,Roster!$B:$B,0))="","",INDEX(Roster!$D:$D,MATCH($C1580,Roster!$B:$B,0))&amp;""),"—"))</f>
        <v/>
      </c>
      <c r="G1580" s="25">
        <f>IF($C1580="","",IFERROR(IF(INDEX(Roster!$E:$E,MATCH($C1580,Roster!$B:$B,0))="","",INDEX(Roster!$E:$E,MATCH($C1580,Roster!$B:$B,0))&amp;""),"—"))</f>
        <v/>
      </c>
      <c r="H1580" s="25">
        <f>IF($C1580="","",IFERROR(IF(INDEX(Roster!$F:$F,MATCH($C1580,Roster!$B:$B,0))="","",INDEX(Roster!$F:$F,MATCH($C1580,Roster!$B:$B,0))&amp;""),"—"))</f>
        <v/>
      </c>
      <c r="I1580" s="25">
        <f>IF($C1580="","",IFERROR(IF(INDEX(Roster!$G:$G,MATCH($C1580,Roster!$B:$B,0))="","",INDEX(Roster!$G:$G,MATCH($C1580,Roster!$B:$B,0))&amp;""),"—"))</f>
        <v/>
      </c>
      <c r="J1580" s="25">
        <f>IF($C1580="","",IFERROR(IF(INDEX(Roster!$I:$I,MATCH($C1580,Roster!$B:$B,0))="","",INDEX(Roster!$I:$I,MATCH($C1580,Roster!$B:$B,0))&amp;""),"—"))</f>
        <v/>
      </c>
      <c r="K1580">
        <f>IF($C1580="","",IFERROR(IF(INDEX(Roster!$J:$J,MATCH($C1580,Roster!$B:$B,0))="","",INDEX(Roster!$J:$J,MATCH($C1580,Roster!$B:$B,0))&amp;""),"—"))</f>
        <v/>
      </c>
      <c r="L1580">
        <f>IF($C1580="","",IFERROR(IF(INDEX(Roster!$K:$K,MATCH($C1580,Roster!$B:$B,0))="","",INDEX(Roster!$K:$K,MATCH($C1580,Roster!$B:$B,0))&amp;""),"—"))</f>
        <v/>
      </c>
      <c r="M1580" s="27" t="n"/>
      <c r="N1580" s="27" t="n"/>
      <c r="O1580" s="25">
        <f>IF($C1580="","",IF($P1580="","—",IF($P1580="Valid (Pass)","Valid","Invalid")))</f>
        <v/>
      </c>
      <c r="P1580" s="27" t="n"/>
      <c r="Q1580" s="27" t="n"/>
      <c r="R1580" s="27" t="n"/>
      <c r="S1580" s="27" t="n"/>
      <c r="T1580" s="25">
        <f>IF($C1580="","",IF(OR(ISNUMBER(SEARCH("quick case",$P1580)),ISNUMBER(SEARCH("quick case",$Q1580))),"Yes","No"))</f>
        <v/>
      </c>
      <c r="U1580" s="25">
        <f>IF($O1580="Invalid",HYPERLINK("mailto:"&amp;$G1580&amp;";"&amp;$I1580&amp;"?cc="&amp;Lists!$E$2&amp;"&amp;subject="&amp;_xlfn.ENCODEURL("[INVALID] Quality audit monitoring completed for "&amp;UPPER($C1580))&amp;"&amp;body="&amp;_xlfn.ENCODEURL("Hi "&amp;$F1580&amp;","&amp;CHAR(10)&amp;"Good day!"&amp;CHAR(10)&amp;CHAR(10)&amp;"A quality monitoring audit has been completed for "&amp;$C1580&amp;"."&amp;CHAR(10)&amp;CHAR(10)&amp;"QUALITY AUDIT DETAILS"&amp;CHAR(10)&amp;"Agent Name: "&amp;$C1580&amp;" (EID "&amp;$D1580&amp;")"&amp;CHAR(10)&amp;"Audit Date: "&amp;TEXT($B1580,"yyyy-mm-dd")&amp;CHAR(10)&amp;"Team Leader: "&amp;$F1580&amp;CHAR(10)&amp;"Case Number: "&amp;$M1580&amp;CHAR(10)&amp;"Transaction ID: "&amp;$N1580&amp;CHAR(10)&amp;"Channel / LOB: "&amp;$K1580&amp;" / "&amp;$L1580&amp;CHAR(10)&amp;"Evaluator: "&amp;$S1580&amp;CHAR(10)&amp;CHAR(10)&amp;"INVALID QUALITY AUDIT DETAILS"&amp;CHAR(10)&amp;"Validation: Invalid"&amp;CHAR(10)&amp;"Invalid Reason: "&amp;$P1580&amp;CHAR(10)&amp;"Expected Resolution Code: "&amp;$Q1580&amp;CHAR(10)&amp;"Remarks: "&amp;LEFT($R1580,600)&amp;CHAR(10)&amp;CHAR(10)&amp;"This is an automated notification from HP Mainstream EQMS."),"✉ Open Email Draft"),"")</f>
        <v/>
      </c>
    </row>
    <row r="1581">
      <c r="A1581" s="25">
        <f>IF($C1581="","","AUD-2026-"&amp;TEXT(ROW()-1,"000000"))</f>
        <v/>
      </c>
      <c r="B1581" s="26" t="n"/>
      <c r="C1581" s="27" t="n"/>
      <c r="D1581" s="25">
        <f>IF($C1581="","",IFERROR(IF(INDEX(Roster!$A:$A,MATCH($C1581,Roster!$B:$B,0))="","",INDEX(Roster!$A:$A,MATCH($C1581,Roster!$B:$B,0))&amp;""),"—"))</f>
        <v/>
      </c>
      <c r="E1581" s="25">
        <f>IF($C1581="","",IFERROR(IF(INDEX(Roster!$C:$C,MATCH($C1581,Roster!$B:$B,0))="","",INDEX(Roster!$C:$C,MATCH($C1581,Roster!$B:$B,0))&amp;""),"—"))</f>
        <v/>
      </c>
      <c r="F1581" s="25">
        <f>IF($C1581="","",IFERROR(IF(INDEX(Roster!$D:$D,MATCH($C1581,Roster!$B:$B,0))="","",INDEX(Roster!$D:$D,MATCH($C1581,Roster!$B:$B,0))&amp;""),"—"))</f>
        <v/>
      </c>
      <c r="G1581" s="25">
        <f>IF($C1581="","",IFERROR(IF(INDEX(Roster!$E:$E,MATCH($C1581,Roster!$B:$B,0))="","",INDEX(Roster!$E:$E,MATCH($C1581,Roster!$B:$B,0))&amp;""),"—"))</f>
        <v/>
      </c>
      <c r="H1581" s="25">
        <f>IF($C1581="","",IFERROR(IF(INDEX(Roster!$F:$F,MATCH($C1581,Roster!$B:$B,0))="","",INDEX(Roster!$F:$F,MATCH($C1581,Roster!$B:$B,0))&amp;""),"—"))</f>
        <v/>
      </c>
      <c r="I1581" s="25">
        <f>IF($C1581="","",IFERROR(IF(INDEX(Roster!$G:$G,MATCH($C1581,Roster!$B:$B,0))="","",INDEX(Roster!$G:$G,MATCH($C1581,Roster!$B:$B,0))&amp;""),"—"))</f>
        <v/>
      </c>
      <c r="J1581" s="25">
        <f>IF($C1581="","",IFERROR(IF(INDEX(Roster!$I:$I,MATCH($C1581,Roster!$B:$B,0))="","",INDEX(Roster!$I:$I,MATCH($C1581,Roster!$B:$B,0))&amp;""),"—"))</f>
        <v/>
      </c>
      <c r="K1581">
        <f>IF($C1581="","",IFERROR(IF(INDEX(Roster!$J:$J,MATCH($C1581,Roster!$B:$B,0))="","",INDEX(Roster!$J:$J,MATCH($C1581,Roster!$B:$B,0))&amp;""),"—"))</f>
        <v/>
      </c>
      <c r="L1581">
        <f>IF($C1581="","",IFERROR(IF(INDEX(Roster!$K:$K,MATCH($C1581,Roster!$B:$B,0))="","",INDEX(Roster!$K:$K,MATCH($C1581,Roster!$B:$B,0))&amp;""),"—"))</f>
        <v/>
      </c>
      <c r="M1581" s="27" t="n"/>
      <c r="N1581" s="27" t="n"/>
      <c r="O1581" s="25">
        <f>IF($C1581="","",IF($P1581="","—",IF($P1581="Valid (Pass)","Valid","Invalid")))</f>
        <v/>
      </c>
      <c r="P1581" s="27" t="n"/>
      <c r="Q1581" s="27" t="n"/>
      <c r="R1581" s="27" t="n"/>
      <c r="S1581" s="27" t="n"/>
      <c r="T1581" s="25">
        <f>IF($C1581="","",IF(OR(ISNUMBER(SEARCH("quick case",$P1581)),ISNUMBER(SEARCH("quick case",$Q1581))),"Yes","No"))</f>
        <v/>
      </c>
      <c r="U1581" s="25">
        <f>IF($O1581="Invalid",HYPERLINK("mailto:"&amp;$G1581&amp;";"&amp;$I1581&amp;"?cc="&amp;Lists!$E$2&amp;"&amp;subject="&amp;_xlfn.ENCODEURL("[INVALID] Quality audit monitoring completed for "&amp;UPPER($C1581))&amp;"&amp;body="&amp;_xlfn.ENCODEURL("Hi "&amp;$F1581&amp;","&amp;CHAR(10)&amp;"Good day!"&amp;CHAR(10)&amp;CHAR(10)&amp;"A quality monitoring audit has been completed for "&amp;$C1581&amp;"."&amp;CHAR(10)&amp;CHAR(10)&amp;"QUALITY AUDIT DETAILS"&amp;CHAR(10)&amp;"Agent Name: "&amp;$C1581&amp;" (EID "&amp;$D1581&amp;")"&amp;CHAR(10)&amp;"Audit Date: "&amp;TEXT($B1581,"yyyy-mm-dd")&amp;CHAR(10)&amp;"Team Leader: "&amp;$F1581&amp;CHAR(10)&amp;"Case Number: "&amp;$M1581&amp;CHAR(10)&amp;"Transaction ID: "&amp;$N1581&amp;CHAR(10)&amp;"Channel / LOB: "&amp;$K1581&amp;" / "&amp;$L1581&amp;CHAR(10)&amp;"Evaluator: "&amp;$S1581&amp;CHAR(10)&amp;CHAR(10)&amp;"INVALID QUALITY AUDIT DETAILS"&amp;CHAR(10)&amp;"Validation: Invalid"&amp;CHAR(10)&amp;"Invalid Reason: "&amp;$P1581&amp;CHAR(10)&amp;"Expected Resolution Code: "&amp;$Q1581&amp;CHAR(10)&amp;"Remarks: "&amp;LEFT($R1581,600)&amp;CHAR(10)&amp;CHAR(10)&amp;"This is an automated notification from HP Mainstream EQMS."),"✉ Open Email Draft"),"")</f>
        <v/>
      </c>
    </row>
    <row r="1582">
      <c r="A1582" s="25">
        <f>IF($C1582="","","AUD-2026-"&amp;TEXT(ROW()-1,"000000"))</f>
        <v/>
      </c>
      <c r="B1582" s="26" t="n"/>
      <c r="C1582" s="27" t="n"/>
      <c r="D1582" s="25">
        <f>IF($C1582="","",IFERROR(IF(INDEX(Roster!$A:$A,MATCH($C1582,Roster!$B:$B,0))="","",INDEX(Roster!$A:$A,MATCH($C1582,Roster!$B:$B,0))&amp;""),"—"))</f>
        <v/>
      </c>
      <c r="E1582" s="25">
        <f>IF($C1582="","",IFERROR(IF(INDEX(Roster!$C:$C,MATCH($C1582,Roster!$B:$B,0))="","",INDEX(Roster!$C:$C,MATCH($C1582,Roster!$B:$B,0))&amp;""),"—"))</f>
        <v/>
      </c>
      <c r="F1582" s="25">
        <f>IF($C1582="","",IFERROR(IF(INDEX(Roster!$D:$D,MATCH($C1582,Roster!$B:$B,0))="","",INDEX(Roster!$D:$D,MATCH($C1582,Roster!$B:$B,0))&amp;""),"—"))</f>
        <v/>
      </c>
      <c r="G1582" s="25">
        <f>IF($C1582="","",IFERROR(IF(INDEX(Roster!$E:$E,MATCH($C1582,Roster!$B:$B,0))="","",INDEX(Roster!$E:$E,MATCH($C1582,Roster!$B:$B,0))&amp;""),"—"))</f>
        <v/>
      </c>
      <c r="H1582" s="25">
        <f>IF($C1582="","",IFERROR(IF(INDEX(Roster!$F:$F,MATCH($C1582,Roster!$B:$B,0))="","",INDEX(Roster!$F:$F,MATCH($C1582,Roster!$B:$B,0))&amp;""),"—"))</f>
        <v/>
      </c>
      <c r="I1582" s="25">
        <f>IF($C1582="","",IFERROR(IF(INDEX(Roster!$G:$G,MATCH($C1582,Roster!$B:$B,0))="","",INDEX(Roster!$G:$G,MATCH($C1582,Roster!$B:$B,0))&amp;""),"—"))</f>
        <v/>
      </c>
      <c r="J1582" s="25">
        <f>IF($C1582="","",IFERROR(IF(INDEX(Roster!$I:$I,MATCH($C1582,Roster!$B:$B,0))="","",INDEX(Roster!$I:$I,MATCH($C1582,Roster!$B:$B,0))&amp;""),"—"))</f>
        <v/>
      </c>
      <c r="K1582">
        <f>IF($C1582="","",IFERROR(IF(INDEX(Roster!$J:$J,MATCH($C1582,Roster!$B:$B,0))="","",INDEX(Roster!$J:$J,MATCH($C1582,Roster!$B:$B,0))&amp;""),"—"))</f>
        <v/>
      </c>
      <c r="L1582">
        <f>IF($C1582="","",IFERROR(IF(INDEX(Roster!$K:$K,MATCH($C1582,Roster!$B:$B,0))="","",INDEX(Roster!$K:$K,MATCH($C1582,Roster!$B:$B,0))&amp;""),"—"))</f>
        <v/>
      </c>
      <c r="M1582" s="27" t="n"/>
      <c r="N1582" s="27" t="n"/>
      <c r="O1582" s="25">
        <f>IF($C1582="","",IF($P1582="","—",IF($P1582="Valid (Pass)","Valid","Invalid")))</f>
        <v/>
      </c>
      <c r="P1582" s="27" t="n"/>
      <c r="Q1582" s="27" t="n"/>
      <c r="R1582" s="27" t="n"/>
      <c r="S1582" s="27" t="n"/>
      <c r="T1582" s="25">
        <f>IF($C1582="","",IF(OR(ISNUMBER(SEARCH("quick case",$P1582)),ISNUMBER(SEARCH("quick case",$Q1582))),"Yes","No"))</f>
        <v/>
      </c>
      <c r="U1582" s="25">
        <f>IF($O1582="Invalid",HYPERLINK("mailto:"&amp;$G1582&amp;";"&amp;$I1582&amp;"?cc="&amp;Lists!$E$2&amp;"&amp;subject="&amp;_xlfn.ENCODEURL("[INVALID] Quality audit monitoring completed for "&amp;UPPER($C1582))&amp;"&amp;body="&amp;_xlfn.ENCODEURL("Hi "&amp;$F1582&amp;","&amp;CHAR(10)&amp;"Good day!"&amp;CHAR(10)&amp;CHAR(10)&amp;"A quality monitoring audit has been completed for "&amp;$C1582&amp;"."&amp;CHAR(10)&amp;CHAR(10)&amp;"QUALITY AUDIT DETAILS"&amp;CHAR(10)&amp;"Agent Name: "&amp;$C1582&amp;" (EID "&amp;$D1582&amp;")"&amp;CHAR(10)&amp;"Audit Date: "&amp;TEXT($B1582,"yyyy-mm-dd")&amp;CHAR(10)&amp;"Team Leader: "&amp;$F1582&amp;CHAR(10)&amp;"Case Number: "&amp;$M1582&amp;CHAR(10)&amp;"Transaction ID: "&amp;$N1582&amp;CHAR(10)&amp;"Channel / LOB: "&amp;$K1582&amp;" / "&amp;$L1582&amp;CHAR(10)&amp;"Evaluator: "&amp;$S1582&amp;CHAR(10)&amp;CHAR(10)&amp;"INVALID QUALITY AUDIT DETAILS"&amp;CHAR(10)&amp;"Validation: Invalid"&amp;CHAR(10)&amp;"Invalid Reason: "&amp;$P1582&amp;CHAR(10)&amp;"Expected Resolution Code: "&amp;$Q1582&amp;CHAR(10)&amp;"Remarks: "&amp;LEFT($R1582,600)&amp;CHAR(10)&amp;CHAR(10)&amp;"This is an automated notification from HP Mainstream EQMS."),"✉ Open Email Draft"),"")</f>
        <v/>
      </c>
    </row>
    <row r="1583">
      <c r="A1583" s="25">
        <f>IF($C1583="","","AUD-2026-"&amp;TEXT(ROW()-1,"000000"))</f>
        <v/>
      </c>
      <c r="B1583" s="26" t="n"/>
      <c r="C1583" s="27" t="n"/>
      <c r="D1583" s="25">
        <f>IF($C1583="","",IFERROR(IF(INDEX(Roster!$A:$A,MATCH($C1583,Roster!$B:$B,0))="","",INDEX(Roster!$A:$A,MATCH($C1583,Roster!$B:$B,0))&amp;""),"—"))</f>
        <v/>
      </c>
      <c r="E1583" s="25">
        <f>IF($C1583="","",IFERROR(IF(INDEX(Roster!$C:$C,MATCH($C1583,Roster!$B:$B,0))="","",INDEX(Roster!$C:$C,MATCH($C1583,Roster!$B:$B,0))&amp;""),"—"))</f>
        <v/>
      </c>
      <c r="F1583" s="25">
        <f>IF($C1583="","",IFERROR(IF(INDEX(Roster!$D:$D,MATCH($C1583,Roster!$B:$B,0))="","",INDEX(Roster!$D:$D,MATCH($C1583,Roster!$B:$B,0))&amp;""),"—"))</f>
        <v/>
      </c>
      <c r="G1583" s="25">
        <f>IF($C1583="","",IFERROR(IF(INDEX(Roster!$E:$E,MATCH($C1583,Roster!$B:$B,0))="","",INDEX(Roster!$E:$E,MATCH($C1583,Roster!$B:$B,0))&amp;""),"—"))</f>
        <v/>
      </c>
      <c r="H1583" s="25">
        <f>IF($C1583="","",IFERROR(IF(INDEX(Roster!$F:$F,MATCH($C1583,Roster!$B:$B,0))="","",INDEX(Roster!$F:$F,MATCH($C1583,Roster!$B:$B,0))&amp;""),"—"))</f>
        <v/>
      </c>
      <c r="I1583" s="25">
        <f>IF($C1583="","",IFERROR(IF(INDEX(Roster!$G:$G,MATCH($C1583,Roster!$B:$B,0))="","",INDEX(Roster!$G:$G,MATCH($C1583,Roster!$B:$B,0))&amp;""),"—"))</f>
        <v/>
      </c>
      <c r="J1583" s="25">
        <f>IF($C1583="","",IFERROR(IF(INDEX(Roster!$I:$I,MATCH($C1583,Roster!$B:$B,0))="","",INDEX(Roster!$I:$I,MATCH($C1583,Roster!$B:$B,0))&amp;""),"—"))</f>
        <v/>
      </c>
      <c r="K1583">
        <f>IF($C1583="","",IFERROR(IF(INDEX(Roster!$J:$J,MATCH($C1583,Roster!$B:$B,0))="","",INDEX(Roster!$J:$J,MATCH($C1583,Roster!$B:$B,0))&amp;""),"—"))</f>
        <v/>
      </c>
      <c r="L1583">
        <f>IF($C1583="","",IFERROR(IF(INDEX(Roster!$K:$K,MATCH($C1583,Roster!$B:$B,0))="","",INDEX(Roster!$K:$K,MATCH($C1583,Roster!$B:$B,0))&amp;""),"—"))</f>
        <v/>
      </c>
      <c r="M1583" s="27" t="n"/>
      <c r="N1583" s="27" t="n"/>
      <c r="O1583" s="25">
        <f>IF($C1583="","",IF($P1583="","—",IF($P1583="Valid (Pass)","Valid","Invalid")))</f>
        <v/>
      </c>
      <c r="P1583" s="27" t="n"/>
      <c r="Q1583" s="27" t="n"/>
      <c r="R1583" s="27" t="n"/>
      <c r="S1583" s="27" t="n"/>
      <c r="T1583" s="25">
        <f>IF($C1583="","",IF(OR(ISNUMBER(SEARCH("quick case",$P1583)),ISNUMBER(SEARCH("quick case",$Q1583))),"Yes","No"))</f>
        <v/>
      </c>
      <c r="U1583" s="25">
        <f>IF($O1583="Invalid",HYPERLINK("mailto:"&amp;$G1583&amp;";"&amp;$I1583&amp;"?cc="&amp;Lists!$E$2&amp;"&amp;subject="&amp;_xlfn.ENCODEURL("[INVALID] Quality audit monitoring completed for "&amp;UPPER($C1583))&amp;"&amp;body="&amp;_xlfn.ENCODEURL("Hi "&amp;$F1583&amp;","&amp;CHAR(10)&amp;"Good day!"&amp;CHAR(10)&amp;CHAR(10)&amp;"A quality monitoring audit has been completed for "&amp;$C1583&amp;"."&amp;CHAR(10)&amp;CHAR(10)&amp;"QUALITY AUDIT DETAILS"&amp;CHAR(10)&amp;"Agent Name: "&amp;$C1583&amp;" (EID "&amp;$D1583&amp;")"&amp;CHAR(10)&amp;"Audit Date: "&amp;TEXT($B1583,"yyyy-mm-dd")&amp;CHAR(10)&amp;"Team Leader: "&amp;$F1583&amp;CHAR(10)&amp;"Case Number: "&amp;$M1583&amp;CHAR(10)&amp;"Transaction ID: "&amp;$N1583&amp;CHAR(10)&amp;"Channel / LOB: "&amp;$K1583&amp;" / "&amp;$L1583&amp;CHAR(10)&amp;"Evaluator: "&amp;$S1583&amp;CHAR(10)&amp;CHAR(10)&amp;"INVALID QUALITY AUDIT DETAILS"&amp;CHAR(10)&amp;"Validation: Invalid"&amp;CHAR(10)&amp;"Invalid Reason: "&amp;$P1583&amp;CHAR(10)&amp;"Expected Resolution Code: "&amp;$Q1583&amp;CHAR(10)&amp;"Remarks: "&amp;LEFT($R1583,600)&amp;CHAR(10)&amp;CHAR(10)&amp;"This is an automated notification from HP Mainstream EQMS."),"✉ Open Email Draft"),"")</f>
        <v/>
      </c>
    </row>
    <row r="1584">
      <c r="A1584" s="25">
        <f>IF($C1584="","","AUD-2026-"&amp;TEXT(ROW()-1,"000000"))</f>
        <v/>
      </c>
      <c r="B1584" s="26" t="n"/>
      <c r="C1584" s="27" t="n"/>
      <c r="D1584" s="25">
        <f>IF($C1584="","",IFERROR(IF(INDEX(Roster!$A:$A,MATCH($C1584,Roster!$B:$B,0))="","",INDEX(Roster!$A:$A,MATCH($C1584,Roster!$B:$B,0))&amp;""),"—"))</f>
        <v/>
      </c>
      <c r="E1584" s="25">
        <f>IF($C1584="","",IFERROR(IF(INDEX(Roster!$C:$C,MATCH($C1584,Roster!$B:$B,0))="","",INDEX(Roster!$C:$C,MATCH($C1584,Roster!$B:$B,0))&amp;""),"—"))</f>
        <v/>
      </c>
      <c r="F1584" s="25">
        <f>IF($C1584="","",IFERROR(IF(INDEX(Roster!$D:$D,MATCH($C1584,Roster!$B:$B,0))="","",INDEX(Roster!$D:$D,MATCH($C1584,Roster!$B:$B,0))&amp;""),"—"))</f>
        <v/>
      </c>
      <c r="G1584" s="25">
        <f>IF($C1584="","",IFERROR(IF(INDEX(Roster!$E:$E,MATCH($C1584,Roster!$B:$B,0))="","",INDEX(Roster!$E:$E,MATCH($C1584,Roster!$B:$B,0))&amp;""),"—"))</f>
        <v/>
      </c>
      <c r="H1584" s="25">
        <f>IF($C1584="","",IFERROR(IF(INDEX(Roster!$F:$F,MATCH($C1584,Roster!$B:$B,0))="","",INDEX(Roster!$F:$F,MATCH($C1584,Roster!$B:$B,0))&amp;""),"—"))</f>
        <v/>
      </c>
      <c r="I1584" s="25">
        <f>IF($C1584="","",IFERROR(IF(INDEX(Roster!$G:$G,MATCH($C1584,Roster!$B:$B,0))="","",INDEX(Roster!$G:$G,MATCH($C1584,Roster!$B:$B,0))&amp;""),"—"))</f>
        <v/>
      </c>
      <c r="J1584" s="25">
        <f>IF($C1584="","",IFERROR(IF(INDEX(Roster!$I:$I,MATCH($C1584,Roster!$B:$B,0))="","",INDEX(Roster!$I:$I,MATCH($C1584,Roster!$B:$B,0))&amp;""),"—"))</f>
        <v/>
      </c>
      <c r="K1584">
        <f>IF($C1584="","",IFERROR(IF(INDEX(Roster!$J:$J,MATCH($C1584,Roster!$B:$B,0))="","",INDEX(Roster!$J:$J,MATCH($C1584,Roster!$B:$B,0))&amp;""),"—"))</f>
        <v/>
      </c>
      <c r="L1584">
        <f>IF($C1584="","",IFERROR(IF(INDEX(Roster!$K:$K,MATCH($C1584,Roster!$B:$B,0))="","",INDEX(Roster!$K:$K,MATCH($C1584,Roster!$B:$B,0))&amp;""),"—"))</f>
        <v/>
      </c>
      <c r="M1584" s="27" t="n"/>
      <c r="N1584" s="27" t="n"/>
      <c r="O1584" s="25">
        <f>IF($C1584="","",IF($P1584="","—",IF($P1584="Valid (Pass)","Valid","Invalid")))</f>
        <v/>
      </c>
      <c r="P1584" s="27" t="n"/>
      <c r="Q1584" s="27" t="n"/>
      <c r="R1584" s="27" t="n"/>
      <c r="S1584" s="27" t="n"/>
      <c r="T1584" s="25">
        <f>IF($C1584="","",IF(OR(ISNUMBER(SEARCH("quick case",$P1584)),ISNUMBER(SEARCH("quick case",$Q1584))),"Yes","No"))</f>
        <v/>
      </c>
      <c r="U1584" s="25">
        <f>IF($O1584="Invalid",HYPERLINK("mailto:"&amp;$G1584&amp;";"&amp;$I1584&amp;"?cc="&amp;Lists!$E$2&amp;"&amp;subject="&amp;_xlfn.ENCODEURL("[INVALID] Quality audit monitoring completed for "&amp;UPPER($C1584))&amp;"&amp;body="&amp;_xlfn.ENCODEURL("Hi "&amp;$F1584&amp;","&amp;CHAR(10)&amp;"Good day!"&amp;CHAR(10)&amp;CHAR(10)&amp;"A quality monitoring audit has been completed for "&amp;$C1584&amp;"."&amp;CHAR(10)&amp;CHAR(10)&amp;"QUALITY AUDIT DETAILS"&amp;CHAR(10)&amp;"Agent Name: "&amp;$C1584&amp;" (EID "&amp;$D1584&amp;")"&amp;CHAR(10)&amp;"Audit Date: "&amp;TEXT($B1584,"yyyy-mm-dd")&amp;CHAR(10)&amp;"Team Leader: "&amp;$F1584&amp;CHAR(10)&amp;"Case Number: "&amp;$M1584&amp;CHAR(10)&amp;"Transaction ID: "&amp;$N1584&amp;CHAR(10)&amp;"Channel / LOB: "&amp;$K1584&amp;" / "&amp;$L1584&amp;CHAR(10)&amp;"Evaluator: "&amp;$S1584&amp;CHAR(10)&amp;CHAR(10)&amp;"INVALID QUALITY AUDIT DETAILS"&amp;CHAR(10)&amp;"Validation: Invalid"&amp;CHAR(10)&amp;"Invalid Reason: "&amp;$P1584&amp;CHAR(10)&amp;"Expected Resolution Code: "&amp;$Q1584&amp;CHAR(10)&amp;"Remarks: "&amp;LEFT($R1584,600)&amp;CHAR(10)&amp;CHAR(10)&amp;"This is an automated notification from HP Mainstream EQMS."),"✉ Open Email Draft"),"")</f>
        <v/>
      </c>
    </row>
    <row r="1585">
      <c r="A1585" s="25">
        <f>IF($C1585="","","AUD-2026-"&amp;TEXT(ROW()-1,"000000"))</f>
        <v/>
      </c>
      <c r="B1585" s="26" t="n"/>
      <c r="C1585" s="27" t="n"/>
      <c r="D1585" s="25">
        <f>IF($C1585="","",IFERROR(IF(INDEX(Roster!$A:$A,MATCH($C1585,Roster!$B:$B,0))="","",INDEX(Roster!$A:$A,MATCH($C1585,Roster!$B:$B,0))&amp;""),"—"))</f>
        <v/>
      </c>
      <c r="E1585" s="25">
        <f>IF($C1585="","",IFERROR(IF(INDEX(Roster!$C:$C,MATCH($C1585,Roster!$B:$B,0))="","",INDEX(Roster!$C:$C,MATCH($C1585,Roster!$B:$B,0))&amp;""),"—"))</f>
        <v/>
      </c>
      <c r="F1585" s="25">
        <f>IF($C1585="","",IFERROR(IF(INDEX(Roster!$D:$D,MATCH($C1585,Roster!$B:$B,0))="","",INDEX(Roster!$D:$D,MATCH($C1585,Roster!$B:$B,0))&amp;""),"—"))</f>
        <v/>
      </c>
      <c r="G1585" s="25">
        <f>IF($C1585="","",IFERROR(IF(INDEX(Roster!$E:$E,MATCH($C1585,Roster!$B:$B,0))="","",INDEX(Roster!$E:$E,MATCH($C1585,Roster!$B:$B,0))&amp;""),"—"))</f>
        <v/>
      </c>
      <c r="H1585" s="25">
        <f>IF($C1585="","",IFERROR(IF(INDEX(Roster!$F:$F,MATCH($C1585,Roster!$B:$B,0))="","",INDEX(Roster!$F:$F,MATCH($C1585,Roster!$B:$B,0))&amp;""),"—"))</f>
        <v/>
      </c>
      <c r="I1585" s="25">
        <f>IF($C1585="","",IFERROR(IF(INDEX(Roster!$G:$G,MATCH($C1585,Roster!$B:$B,0))="","",INDEX(Roster!$G:$G,MATCH($C1585,Roster!$B:$B,0))&amp;""),"—"))</f>
        <v/>
      </c>
      <c r="J1585" s="25">
        <f>IF($C1585="","",IFERROR(IF(INDEX(Roster!$I:$I,MATCH($C1585,Roster!$B:$B,0))="","",INDEX(Roster!$I:$I,MATCH($C1585,Roster!$B:$B,0))&amp;""),"—"))</f>
        <v/>
      </c>
      <c r="K1585">
        <f>IF($C1585="","",IFERROR(IF(INDEX(Roster!$J:$J,MATCH($C1585,Roster!$B:$B,0))="","",INDEX(Roster!$J:$J,MATCH($C1585,Roster!$B:$B,0))&amp;""),"—"))</f>
        <v/>
      </c>
      <c r="L1585">
        <f>IF($C1585="","",IFERROR(IF(INDEX(Roster!$K:$K,MATCH($C1585,Roster!$B:$B,0))="","",INDEX(Roster!$K:$K,MATCH($C1585,Roster!$B:$B,0))&amp;""),"—"))</f>
        <v/>
      </c>
      <c r="M1585" s="27" t="n"/>
      <c r="N1585" s="27" t="n"/>
      <c r="O1585" s="25">
        <f>IF($C1585="","",IF($P1585="","—",IF($P1585="Valid (Pass)","Valid","Invalid")))</f>
        <v/>
      </c>
      <c r="P1585" s="27" t="n"/>
      <c r="Q1585" s="27" t="n"/>
      <c r="R1585" s="27" t="n"/>
      <c r="S1585" s="27" t="n"/>
      <c r="T1585" s="25">
        <f>IF($C1585="","",IF(OR(ISNUMBER(SEARCH("quick case",$P1585)),ISNUMBER(SEARCH("quick case",$Q1585))),"Yes","No"))</f>
        <v/>
      </c>
      <c r="U1585" s="25">
        <f>IF($O1585="Invalid",HYPERLINK("mailto:"&amp;$G1585&amp;";"&amp;$I1585&amp;"?cc="&amp;Lists!$E$2&amp;"&amp;subject="&amp;_xlfn.ENCODEURL("[INVALID] Quality audit monitoring completed for "&amp;UPPER($C1585))&amp;"&amp;body="&amp;_xlfn.ENCODEURL("Hi "&amp;$F1585&amp;","&amp;CHAR(10)&amp;"Good day!"&amp;CHAR(10)&amp;CHAR(10)&amp;"A quality monitoring audit has been completed for "&amp;$C1585&amp;"."&amp;CHAR(10)&amp;CHAR(10)&amp;"QUALITY AUDIT DETAILS"&amp;CHAR(10)&amp;"Agent Name: "&amp;$C1585&amp;" (EID "&amp;$D1585&amp;")"&amp;CHAR(10)&amp;"Audit Date: "&amp;TEXT($B1585,"yyyy-mm-dd")&amp;CHAR(10)&amp;"Team Leader: "&amp;$F1585&amp;CHAR(10)&amp;"Case Number: "&amp;$M1585&amp;CHAR(10)&amp;"Transaction ID: "&amp;$N1585&amp;CHAR(10)&amp;"Channel / LOB: "&amp;$K1585&amp;" / "&amp;$L1585&amp;CHAR(10)&amp;"Evaluator: "&amp;$S1585&amp;CHAR(10)&amp;CHAR(10)&amp;"INVALID QUALITY AUDIT DETAILS"&amp;CHAR(10)&amp;"Validation: Invalid"&amp;CHAR(10)&amp;"Invalid Reason: "&amp;$P1585&amp;CHAR(10)&amp;"Expected Resolution Code: "&amp;$Q1585&amp;CHAR(10)&amp;"Remarks: "&amp;LEFT($R1585,600)&amp;CHAR(10)&amp;CHAR(10)&amp;"This is an automated notification from HP Mainstream EQMS."),"✉ Open Email Draft"),"")</f>
        <v/>
      </c>
    </row>
    <row r="1586">
      <c r="A1586" s="25">
        <f>IF($C1586="","","AUD-2026-"&amp;TEXT(ROW()-1,"000000"))</f>
        <v/>
      </c>
      <c r="B1586" s="26" t="n"/>
      <c r="C1586" s="27" t="n"/>
      <c r="D1586" s="25">
        <f>IF($C1586="","",IFERROR(IF(INDEX(Roster!$A:$A,MATCH($C1586,Roster!$B:$B,0))="","",INDEX(Roster!$A:$A,MATCH($C1586,Roster!$B:$B,0))&amp;""),"—"))</f>
        <v/>
      </c>
      <c r="E1586" s="25">
        <f>IF($C1586="","",IFERROR(IF(INDEX(Roster!$C:$C,MATCH($C1586,Roster!$B:$B,0))="","",INDEX(Roster!$C:$C,MATCH($C1586,Roster!$B:$B,0))&amp;""),"—"))</f>
        <v/>
      </c>
      <c r="F1586" s="25">
        <f>IF($C1586="","",IFERROR(IF(INDEX(Roster!$D:$D,MATCH($C1586,Roster!$B:$B,0))="","",INDEX(Roster!$D:$D,MATCH($C1586,Roster!$B:$B,0))&amp;""),"—"))</f>
        <v/>
      </c>
      <c r="G1586" s="25">
        <f>IF($C1586="","",IFERROR(IF(INDEX(Roster!$E:$E,MATCH($C1586,Roster!$B:$B,0))="","",INDEX(Roster!$E:$E,MATCH($C1586,Roster!$B:$B,0))&amp;""),"—"))</f>
        <v/>
      </c>
      <c r="H1586" s="25">
        <f>IF($C1586="","",IFERROR(IF(INDEX(Roster!$F:$F,MATCH($C1586,Roster!$B:$B,0))="","",INDEX(Roster!$F:$F,MATCH($C1586,Roster!$B:$B,0))&amp;""),"—"))</f>
        <v/>
      </c>
      <c r="I1586" s="25">
        <f>IF($C1586="","",IFERROR(IF(INDEX(Roster!$G:$G,MATCH($C1586,Roster!$B:$B,0))="","",INDEX(Roster!$G:$G,MATCH($C1586,Roster!$B:$B,0))&amp;""),"—"))</f>
        <v/>
      </c>
      <c r="J1586" s="25">
        <f>IF($C1586="","",IFERROR(IF(INDEX(Roster!$I:$I,MATCH($C1586,Roster!$B:$B,0))="","",INDEX(Roster!$I:$I,MATCH($C1586,Roster!$B:$B,0))&amp;""),"—"))</f>
        <v/>
      </c>
      <c r="K1586">
        <f>IF($C1586="","",IFERROR(IF(INDEX(Roster!$J:$J,MATCH($C1586,Roster!$B:$B,0))="","",INDEX(Roster!$J:$J,MATCH($C1586,Roster!$B:$B,0))&amp;""),"—"))</f>
        <v/>
      </c>
      <c r="L1586">
        <f>IF($C1586="","",IFERROR(IF(INDEX(Roster!$K:$K,MATCH($C1586,Roster!$B:$B,0))="","",INDEX(Roster!$K:$K,MATCH($C1586,Roster!$B:$B,0))&amp;""),"—"))</f>
        <v/>
      </c>
      <c r="M1586" s="27" t="n"/>
      <c r="N1586" s="27" t="n"/>
      <c r="O1586" s="25">
        <f>IF($C1586="","",IF($P1586="","—",IF($P1586="Valid (Pass)","Valid","Invalid")))</f>
        <v/>
      </c>
      <c r="P1586" s="27" t="n"/>
      <c r="Q1586" s="27" t="n"/>
      <c r="R1586" s="27" t="n"/>
      <c r="S1586" s="27" t="n"/>
      <c r="T1586" s="25">
        <f>IF($C1586="","",IF(OR(ISNUMBER(SEARCH("quick case",$P1586)),ISNUMBER(SEARCH("quick case",$Q1586))),"Yes","No"))</f>
        <v/>
      </c>
      <c r="U1586" s="25">
        <f>IF($O1586="Invalid",HYPERLINK("mailto:"&amp;$G1586&amp;";"&amp;$I1586&amp;"?cc="&amp;Lists!$E$2&amp;"&amp;subject="&amp;_xlfn.ENCODEURL("[INVALID] Quality audit monitoring completed for "&amp;UPPER($C1586))&amp;"&amp;body="&amp;_xlfn.ENCODEURL("Hi "&amp;$F1586&amp;","&amp;CHAR(10)&amp;"Good day!"&amp;CHAR(10)&amp;CHAR(10)&amp;"A quality monitoring audit has been completed for "&amp;$C1586&amp;"."&amp;CHAR(10)&amp;CHAR(10)&amp;"QUALITY AUDIT DETAILS"&amp;CHAR(10)&amp;"Agent Name: "&amp;$C1586&amp;" (EID "&amp;$D1586&amp;")"&amp;CHAR(10)&amp;"Audit Date: "&amp;TEXT($B1586,"yyyy-mm-dd")&amp;CHAR(10)&amp;"Team Leader: "&amp;$F1586&amp;CHAR(10)&amp;"Case Number: "&amp;$M1586&amp;CHAR(10)&amp;"Transaction ID: "&amp;$N1586&amp;CHAR(10)&amp;"Channel / LOB: "&amp;$K1586&amp;" / "&amp;$L1586&amp;CHAR(10)&amp;"Evaluator: "&amp;$S1586&amp;CHAR(10)&amp;CHAR(10)&amp;"INVALID QUALITY AUDIT DETAILS"&amp;CHAR(10)&amp;"Validation: Invalid"&amp;CHAR(10)&amp;"Invalid Reason: "&amp;$P1586&amp;CHAR(10)&amp;"Expected Resolution Code: "&amp;$Q1586&amp;CHAR(10)&amp;"Remarks: "&amp;LEFT($R1586,600)&amp;CHAR(10)&amp;CHAR(10)&amp;"This is an automated notification from HP Mainstream EQMS."),"✉ Open Email Draft"),"")</f>
        <v/>
      </c>
    </row>
    <row r="1587">
      <c r="A1587" s="25">
        <f>IF($C1587="","","AUD-2026-"&amp;TEXT(ROW()-1,"000000"))</f>
        <v/>
      </c>
      <c r="B1587" s="26" t="n"/>
      <c r="C1587" s="27" t="n"/>
      <c r="D1587" s="25">
        <f>IF($C1587="","",IFERROR(IF(INDEX(Roster!$A:$A,MATCH($C1587,Roster!$B:$B,0))="","",INDEX(Roster!$A:$A,MATCH($C1587,Roster!$B:$B,0))&amp;""),"—"))</f>
        <v/>
      </c>
      <c r="E1587" s="25">
        <f>IF($C1587="","",IFERROR(IF(INDEX(Roster!$C:$C,MATCH($C1587,Roster!$B:$B,0))="","",INDEX(Roster!$C:$C,MATCH($C1587,Roster!$B:$B,0))&amp;""),"—"))</f>
        <v/>
      </c>
      <c r="F1587" s="25">
        <f>IF($C1587="","",IFERROR(IF(INDEX(Roster!$D:$D,MATCH($C1587,Roster!$B:$B,0))="","",INDEX(Roster!$D:$D,MATCH($C1587,Roster!$B:$B,0))&amp;""),"—"))</f>
        <v/>
      </c>
      <c r="G1587" s="25">
        <f>IF($C1587="","",IFERROR(IF(INDEX(Roster!$E:$E,MATCH($C1587,Roster!$B:$B,0))="","",INDEX(Roster!$E:$E,MATCH($C1587,Roster!$B:$B,0))&amp;""),"—"))</f>
        <v/>
      </c>
      <c r="H1587" s="25">
        <f>IF($C1587="","",IFERROR(IF(INDEX(Roster!$F:$F,MATCH($C1587,Roster!$B:$B,0))="","",INDEX(Roster!$F:$F,MATCH($C1587,Roster!$B:$B,0))&amp;""),"—"))</f>
        <v/>
      </c>
      <c r="I1587" s="25">
        <f>IF($C1587="","",IFERROR(IF(INDEX(Roster!$G:$G,MATCH($C1587,Roster!$B:$B,0))="","",INDEX(Roster!$G:$G,MATCH($C1587,Roster!$B:$B,0))&amp;""),"—"))</f>
        <v/>
      </c>
      <c r="J1587" s="25">
        <f>IF($C1587="","",IFERROR(IF(INDEX(Roster!$I:$I,MATCH($C1587,Roster!$B:$B,0))="","",INDEX(Roster!$I:$I,MATCH($C1587,Roster!$B:$B,0))&amp;""),"—"))</f>
        <v/>
      </c>
      <c r="K1587">
        <f>IF($C1587="","",IFERROR(IF(INDEX(Roster!$J:$J,MATCH($C1587,Roster!$B:$B,0))="","",INDEX(Roster!$J:$J,MATCH($C1587,Roster!$B:$B,0))&amp;""),"—"))</f>
        <v/>
      </c>
      <c r="L1587">
        <f>IF($C1587="","",IFERROR(IF(INDEX(Roster!$K:$K,MATCH($C1587,Roster!$B:$B,0))="","",INDEX(Roster!$K:$K,MATCH($C1587,Roster!$B:$B,0))&amp;""),"—"))</f>
        <v/>
      </c>
      <c r="M1587" s="27" t="n"/>
      <c r="N1587" s="27" t="n"/>
      <c r="O1587" s="25">
        <f>IF($C1587="","",IF($P1587="","—",IF($P1587="Valid (Pass)","Valid","Invalid")))</f>
        <v/>
      </c>
      <c r="P1587" s="27" t="n"/>
      <c r="Q1587" s="27" t="n"/>
      <c r="R1587" s="27" t="n"/>
      <c r="S1587" s="27" t="n"/>
      <c r="T1587" s="25">
        <f>IF($C1587="","",IF(OR(ISNUMBER(SEARCH("quick case",$P1587)),ISNUMBER(SEARCH("quick case",$Q1587))),"Yes","No"))</f>
        <v/>
      </c>
      <c r="U1587" s="25">
        <f>IF($O1587="Invalid",HYPERLINK("mailto:"&amp;$G1587&amp;";"&amp;$I1587&amp;"?cc="&amp;Lists!$E$2&amp;"&amp;subject="&amp;_xlfn.ENCODEURL("[INVALID] Quality audit monitoring completed for "&amp;UPPER($C1587))&amp;"&amp;body="&amp;_xlfn.ENCODEURL("Hi "&amp;$F1587&amp;","&amp;CHAR(10)&amp;"Good day!"&amp;CHAR(10)&amp;CHAR(10)&amp;"A quality monitoring audit has been completed for "&amp;$C1587&amp;"."&amp;CHAR(10)&amp;CHAR(10)&amp;"QUALITY AUDIT DETAILS"&amp;CHAR(10)&amp;"Agent Name: "&amp;$C1587&amp;" (EID "&amp;$D1587&amp;")"&amp;CHAR(10)&amp;"Audit Date: "&amp;TEXT($B1587,"yyyy-mm-dd")&amp;CHAR(10)&amp;"Team Leader: "&amp;$F1587&amp;CHAR(10)&amp;"Case Number: "&amp;$M1587&amp;CHAR(10)&amp;"Transaction ID: "&amp;$N1587&amp;CHAR(10)&amp;"Channel / LOB: "&amp;$K1587&amp;" / "&amp;$L1587&amp;CHAR(10)&amp;"Evaluator: "&amp;$S1587&amp;CHAR(10)&amp;CHAR(10)&amp;"INVALID QUALITY AUDIT DETAILS"&amp;CHAR(10)&amp;"Validation: Invalid"&amp;CHAR(10)&amp;"Invalid Reason: "&amp;$P1587&amp;CHAR(10)&amp;"Expected Resolution Code: "&amp;$Q1587&amp;CHAR(10)&amp;"Remarks: "&amp;LEFT($R1587,600)&amp;CHAR(10)&amp;CHAR(10)&amp;"This is an automated notification from HP Mainstream EQMS."),"✉ Open Email Draft"),"")</f>
        <v/>
      </c>
    </row>
    <row r="1588">
      <c r="A1588" s="25">
        <f>IF($C1588="","","AUD-2026-"&amp;TEXT(ROW()-1,"000000"))</f>
        <v/>
      </c>
      <c r="B1588" s="26" t="n"/>
      <c r="C1588" s="27" t="n"/>
      <c r="D1588" s="25">
        <f>IF($C1588="","",IFERROR(IF(INDEX(Roster!$A:$A,MATCH($C1588,Roster!$B:$B,0))="","",INDEX(Roster!$A:$A,MATCH($C1588,Roster!$B:$B,0))&amp;""),"—"))</f>
        <v/>
      </c>
      <c r="E1588" s="25">
        <f>IF($C1588="","",IFERROR(IF(INDEX(Roster!$C:$C,MATCH($C1588,Roster!$B:$B,0))="","",INDEX(Roster!$C:$C,MATCH($C1588,Roster!$B:$B,0))&amp;""),"—"))</f>
        <v/>
      </c>
      <c r="F1588" s="25">
        <f>IF($C1588="","",IFERROR(IF(INDEX(Roster!$D:$D,MATCH($C1588,Roster!$B:$B,0))="","",INDEX(Roster!$D:$D,MATCH($C1588,Roster!$B:$B,0))&amp;""),"—"))</f>
        <v/>
      </c>
      <c r="G1588" s="25">
        <f>IF($C1588="","",IFERROR(IF(INDEX(Roster!$E:$E,MATCH($C1588,Roster!$B:$B,0))="","",INDEX(Roster!$E:$E,MATCH($C1588,Roster!$B:$B,0))&amp;""),"—"))</f>
        <v/>
      </c>
      <c r="H1588" s="25">
        <f>IF($C1588="","",IFERROR(IF(INDEX(Roster!$F:$F,MATCH($C1588,Roster!$B:$B,0))="","",INDEX(Roster!$F:$F,MATCH($C1588,Roster!$B:$B,0))&amp;""),"—"))</f>
        <v/>
      </c>
      <c r="I1588" s="25">
        <f>IF($C1588="","",IFERROR(IF(INDEX(Roster!$G:$G,MATCH($C1588,Roster!$B:$B,0))="","",INDEX(Roster!$G:$G,MATCH($C1588,Roster!$B:$B,0))&amp;""),"—"))</f>
        <v/>
      </c>
      <c r="J1588" s="25">
        <f>IF($C1588="","",IFERROR(IF(INDEX(Roster!$I:$I,MATCH($C1588,Roster!$B:$B,0))="","",INDEX(Roster!$I:$I,MATCH($C1588,Roster!$B:$B,0))&amp;""),"—"))</f>
        <v/>
      </c>
      <c r="K1588">
        <f>IF($C1588="","",IFERROR(IF(INDEX(Roster!$J:$J,MATCH($C1588,Roster!$B:$B,0))="","",INDEX(Roster!$J:$J,MATCH($C1588,Roster!$B:$B,0))&amp;""),"—"))</f>
        <v/>
      </c>
      <c r="L1588">
        <f>IF($C1588="","",IFERROR(IF(INDEX(Roster!$K:$K,MATCH($C1588,Roster!$B:$B,0))="","",INDEX(Roster!$K:$K,MATCH($C1588,Roster!$B:$B,0))&amp;""),"—"))</f>
        <v/>
      </c>
      <c r="M1588" s="27" t="n"/>
      <c r="N1588" s="27" t="n"/>
      <c r="O1588" s="25">
        <f>IF($C1588="","",IF($P1588="","—",IF($P1588="Valid (Pass)","Valid","Invalid")))</f>
        <v/>
      </c>
      <c r="P1588" s="27" t="n"/>
      <c r="Q1588" s="27" t="n"/>
      <c r="R1588" s="27" t="n"/>
      <c r="S1588" s="27" t="n"/>
      <c r="T1588" s="25">
        <f>IF($C1588="","",IF(OR(ISNUMBER(SEARCH("quick case",$P1588)),ISNUMBER(SEARCH("quick case",$Q1588))),"Yes","No"))</f>
        <v/>
      </c>
      <c r="U1588" s="25">
        <f>IF($O1588="Invalid",HYPERLINK("mailto:"&amp;$G1588&amp;";"&amp;$I1588&amp;"?cc="&amp;Lists!$E$2&amp;"&amp;subject="&amp;_xlfn.ENCODEURL("[INVALID] Quality audit monitoring completed for "&amp;UPPER($C1588))&amp;"&amp;body="&amp;_xlfn.ENCODEURL("Hi "&amp;$F1588&amp;","&amp;CHAR(10)&amp;"Good day!"&amp;CHAR(10)&amp;CHAR(10)&amp;"A quality monitoring audit has been completed for "&amp;$C1588&amp;"."&amp;CHAR(10)&amp;CHAR(10)&amp;"QUALITY AUDIT DETAILS"&amp;CHAR(10)&amp;"Agent Name: "&amp;$C1588&amp;" (EID "&amp;$D1588&amp;")"&amp;CHAR(10)&amp;"Audit Date: "&amp;TEXT($B1588,"yyyy-mm-dd")&amp;CHAR(10)&amp;"Team Leader: "&amp;$F1588&amp;CHAR(10)&amp;"Case Number: "&amp;$M1588&amp;CHAR(10)&amp;"Transaction ID: "&amp;$N1588&amp;CHAR(10)&amp;"Channel / LOB: "&amp;$K1588&amp;" / "&amp;$L1588&amp;CHAR(10)&amp;"Evaluator: "&amp;$S1588&amp;CHAR(10)&amp;CHAR(10)&amp;"INVALID QUALITY AUDIT DETAILS"&amp;CHAR(10)&amp;"Validation: Invalid"&amp;CHAR(10)&amp;"Invalid Reason: "&amp;$P1588&amp;CHAR(10)&amp;"Expected Resolution Code: "&amp;$Q1588&amp;CHAR(10)&amp;"Remarks: "&amp;LEFT($R1588,600)&amp;CHAR(10)&amp;CHAR(10)&amp;"This is an automated notification from HP Mainstream EQMS."),"✉ Open Email Draft"),"")</f>
        <v/>
      </c>
    </row>
    <row r="1589">
      <c r="A1589" s="25">
        <f>IF($C1589="","","AUD-2026-"&amp;TEXT(ROW()-1,"000000"))</f>
        <v/>
      </c>
      <c r="B1589" s="26" t="n"/>
      <c r="C1589" s="27" t="n"/>
      <c r="D1589" s="25">
        <f>IF($C1589="","",IFERROR(IF(INDEX(Roster!$A:$A,MATCH($C1589,Roster!$B:$B,0))="","",INDEX(Roster!$A:$A,MATCH($C1589,Roster!$B:$B,0))&amp;""),"—"))</f>
        <v/>
      </c>
      <c r="E1589" s="25">
        <f>IF($C1589="","",IFERROR(IF(INDEX(Roster!$C:$C,MATCH($C1589,Roster!$B:$B,0))="","",INDEX(Roster!$C:$C,MATCH($C1589,Roster!$B:$B,0))&amp;""),"—"))</f>
        <v/>
      </c>
      <c r="F1589" s="25">
        <f>IF($C1589="","",IFERROR(IF(INDEX(Roster!$D:$D,MATCH($C1589,Roster!$B:$B,0))="","",INDEX(Roster!$D:$D,MATCH($C1589,Roster!$B:$B,0))&amp;""),"—"))</f>
        <v/>
      </c>
      <c r="G1589" s="25">
        <f>IF($C1589="","",IFERROR(IF(INDEX(Roster!$E:$E,MATCH($C1589,Roster!$B:$B,0))="","",INDEX(Roster!$E:$E,MATCH($C1589,Roster!$B:$B,0))&amp;""),"—"))</f>
        <v/>
      </c>
      <c r="H1589" s="25">
        <f>IF($C1589="","",IFERROR(IF(INDEX(Roster!$F:$F,MATCH($C1589,Roster!$B:$B,0))="","",INDEX(Roster!$F:$F,MATCH($C1589,Roster!$B:$B,0))&amp;""),"—"))</f>
        <v/>
      </c>
      <c r="I1589" s="25">
        <f>IF($C1589="","",IFERROR(IF(INDEX(Roster!$G:$G,MATCH($C1589,Roster!$B:$B,0))="","",INDEX(Roster!$G:$G,MATCH($C1589,Roster!$B:$B,0))&amp;""),"—"))</f>
        <v/>
      </c>
      <c r="J1589" s="25">
        <f>IF($C1589="","",IFERROR(IF(INDEX(Roster!$I:$I,MATCH($C1589,Roster!$B:$B,0))="","",INDEX(Roster!$I:$I,MATCH($C1589,Roster!$B:$B,0))&amp;""),"—"))</f>
        <v/>
      </c>
      <c r="K1589">
        <f>IF($C1589="","",IFERROR(IF(INDEX(Roster!$J:$J,MATCH($C1589,Roster!$B:$B,0))="","",INDEX(Roster!$J:$J,MATCH($C1589,Roster!$B:$B,0))&amp;""),"—"))</f>
        <v/>
      </c>
      <c r="L1589">
        <f>IF($C1589="","",IFERROR(IF(INDEX(Roster!$K:$K,MATCH($C1589,Roster!$B:$B,0))="","",INDEX(Roster!$K:$K,MATCH($C1589,Roster!$B:$B,0))&amp;""),"—"))</f>
        <v/>
      </c>
      <c r="M1589" s="27" t="n"/>
      <c r="N1589" s="27" t="n"/>
      <c r="O1589" s="25">
        <f>IF($C1589="","",IF($P1589="","—",IF($P1589="Valid (Pass)","Valid","Invalid")))</f>
        <v/>
      </c>
      <c r="P1589" s="27" t="n"/>
      <c r="Q1589" s="27" t="n"/>
      <c r="R1589" s="27" t="n"/>
      <c r="S1589" s="27" t="n"/>
      <c r="T1589" s="25">
        <f>IF($C1589="","",IF(OR(ISNUMBER(SEARCH("quick case",$P1589)),ISNUMBER(SEARCH("quick case",$Q1589))),"Yes","No"))</f>
        <v/>
      </c>
      <c r="U1589" s="25">
        <f>IF($O1589="Invalid",HYPERLINK("mailto:"&amp;$G1589&amp;";"&amp;$I1589&amp;"?cc="&amp;Lists!$E$2&amp;"&amp;subject="&amp;_xlfn.ENCODEURL("[INVALID] Quality audit monitoring completed for "&amp;UPPER($C1589))&amp;"&amp;body="&amp;_xlfn.ENCODEURL("Hi "&amp;$F1589&amp;","&amp;CHAR(10)&amp;"Good day!"&amp;CHAR(10)&amp;CHAR(10)&amp;"A quality monitoring audit has been completed for "&amp;$C1589&amp;"."&amp;CHAR(10)&amp;CHAR(10)&amp;"QUALITY AUDIT DETAILS"&amp;CHAR(10)&amp;"Agent Name: "&amp;$C1589&amp;" (EID "&amp;$D1589&amp;")"&amp;CHAR(10)&amp;"Audit Date: "&amp;TEXT($B1589,"yyyy-mm-dd")&amp;CHAR(10)&amp;"Team Leader: "&amp;$F1589&amp;CHAR(10)&amp;"Case Number: "&amp;$M1589&amp;CHAR(10)&amp;"Transaction ID: "&amp;$N1589&amp;CHAR(10)&amp;"Channel / LOB: "&amp;$K1589&amp;" / "&amp;$L1589&amp;CHAR(10)&amp;"Evaluator: "&amp;$S1589&amp;CHAR(10)&amp;CHAR(10)&amp;"INVALID QUALITY AUDIT DETAILS"&amp;CHAR(10)&amp;"Validation: Invalid"&amp;CHAR(10)&amp;"Invalid Reason: "&amp;$P1589&amp;CHAR(10)&amp;"Expected Resolution Code: "&amp;$Q1589&amp;CHAR(10)&amp;"Remarks: "&amp;LEFT($R1589,600)&amp;CHAR(10)&amp;CHAR(10)&amp;"This is an automated notification from HP Mainstream EQMS."),"✉ Open Email Draft"),"")</f>
        <v/>
      </c>
    </row>
    <row r="1590">
      <c r="A1590" s="25">
        <f>IF($C1590="","","AUD-2026-"&amp;TEXT(ROW()-1,"000000"))</f>
        <v/>
      </c>
      <c r="B1590" s="26" t="n"/>
      <c r="C1590" s="27" t="n"/>
      <c r="D1590" s="25">
        <f>IF($C1590="","",IFERROR(IF(INDEX(Roster!$A:$A,MATCH($C1590,Roster!$B:$B,0))="","",INDEX(Roster!$A:$A,MATCH($C1590,Roster!$B:$B,0))&amp;""),"—"))</f>
        <v/>
      </c>
      <c r="E1590" s="25">
        <f>IF($C1590="","",IFERROR(IF(INDEX(Roster!$C:$C,MATCH($C1590,Roster!$B:$B,0))="","",INDEX(Roster!$C:$C,MATCH($C1590,Roster!$B:$B,0))&amp;""),"—"))</f>
        <v/>
      </c>
      <c r="F1590" s="25">
        <f>IF($C1590="","",IFERROR(IF(INDEX(Roster!$D:$D,MATCH($C1590,Roster!$B:$B,0))="","",INDEX(Roster!$D:$D,MATCH($C1590,Roster!$B:$B,0))&amp;""),"—"))</f>
        <v/>
      </c>
      <c r="G1590" s="25">
        <f>IF($C1590="","",IFERROR(IF(INDEX(Roster!$E:$E,MATCH($C1590,Roster!$B:$B,0))="","",INDEX(Roster!$E:$E,MATCH($C1590,Roster!$B:$B,0))&amp;""),"—"))</f>
        <v/>
      </c>
      <c r="H1590" s="25">
        <f>IF($C1590="","",IFERROR(IF(INDEX(Roster!$F:$F,MATCH($C1590,Roster!$B:$B,0))="","",INDEX(Roster!$F:$F,MATCH($C1590,Roster!$B:$B,0))&amp;""),"—"))</f>
        <v/>
      </c>
      <c r="I1590" s="25">
        <f>IF($C1590="","",IFERROR(IF(INDEX(Roster!$G:$G,MATCH($C1590,Roster!$B:$B,0))="","",INDEX(Roster!$G:$G,MATCH($C1590,Roster!$B:$B,0))&amp;""),"—"))</f>
        <v/>
      </c>
      <c r="J1590" s="25">
        <f>IF($C1590="","",IFERROR(IF(INDEX(Roster!$I:$I,MATCH($C1590,Roster!$B:$B,0))="","",INDEX(Roster!$I:$I,MATCH($C1590,Roster!$B:$B,0))&amp;""),"—"))</f>
        <v/>
      </c>
      <c r="K1590">
        <f>IF($C1590="","",IFERROR(IF(INDEX(Roster!$J:$J,MATCH($C1590,Roster!$B:$B,0))="","",INDEX(Roster!$J:$J,MATCH($C1590,Roster!$B:$B,0))&amp;""),"—"))</f>
        <v/>
      </c>
      <c r="L1590">
        <f>IF($C1590="","",IFERROR(IF(INDEX(Roster!$K:$K,MATCH($C1590,Roster!$B:$B,0))="","",INDEX(Roster!$K:$K,MATCH($C1590,Roster!$B:$B,0))&amp;""),"—"))</f>
        <v/>
      </c>
      <c r="M1590" s="27" t="n"/>
      <c r="N1590" s="27" t="n"/>
      <c r="O1590" s="25">
        <f>IF($C1590="","",IF($P1590="","—",IF($P1590="Valid (Pass)","Valid","Invalid")))</f>
        <v/>
      </c>
      <c r="P1590" s="27" t="n"/>
      <c r="Q1590" s="27" t="n"/>
      <c r="R1590" s="27" t="n"/>
      <c r="S1590" s="27" t="n"/>
      <c r="T1590" s="25">
        <f>IF($C1590="","",IF(OR(ISNUMBER(SEARCH("quick case",$P1590)),ISNUMBER(SEARCH("quick case",$Q1590))),"Yes","No"))</f>
        <v/>
      </c>
      <c r="U1590" s="25">
        <f>IF($O1590="Invalid",HYPERLINK("mailto:"&amp;$G1590&amp;";"&amp;$I1590&amp;"?cc="&amp;Lists!$E$2&amp;"&amp;subject="&amp;_xlfn.ENCODEURL("[INVALID] Quality audit monitoring completed for "&amp;UPPER($C1590))&amp;"&amp;body="&amp;_xlfn.ENCODEURL("Hi "&amp;$F1590&amp;","&amp;CHAR(10)&amp;"Good day!"&amp;CHAR(10)&amp;CHAR(10)&amp;"A quality monitoring audit has been completed for "&amp;$C1590&amp;"."&amp;CHAR(10)&amp;CHAR(10)&amp;"QUALITY AUDIT DETAILS"&amp;CHAR(10)&amp;"Agent Name: "&amp;$C1590&amp;" (EID "&amp;$D1590&amp;")"&amp;CHAR(10)&amp;"Audit Date: "&amp;TEXT($B1590,"yyyy-mm-dd")&amp;CHAR(10)&amp;"Team Leader: "&amp;$F1590&amp;CHAR(10)&amp;"Case Number: "&amp;$M1590&amp;CHAR(10)&amp;"Transaction ID: "&amp;$N1590&amp;CHAR(10)&amp;"Channel / LOB: "&amp;$K1590&amp;" / "&amp;$L1590&amp;CHAR(10)&amp;"Evaluator: "&amp;$S1590&amp;CHAR(10)&amp;CHAR(10)&amp;"INVALID QUALITY AUDIT DETAILS"&amp;CHAR(10)&amp;"Validation: Invalid"&amp;CHAR(10)&amp;"Invalid Reason: "&amp;$P1590&amp;CHAR(10)&amp;"Expected Resolution Code: "&amp;$Q1590&amp;CHAR(10)&amp;"Remarks: "&amp;LEFT($R1590,600)&amp;CHAR(10)&amp;CHAR(10)&amp;"This is an automated notification from HP Mainstream EQMS."),"✉ Open Email Draft"),"")</f>
        <v/>
      </c>
    </row>
    <row r="1591">
      <c r="A1591" s="25">
        <f>IF($C1591="","","AUD-2026-"&amp;TEXT(ROW()-1,"000000"))</f>
        <v/>
      </c>
      <c r="B1591" s="26" t="n"/>
      <c r="C1591" s="27" t="n"/>
      <c r="D1591" s="25">
        <f>IF($C1591="","",IFERROR(IF(INDEX(Roster!$A:$A,MATCH($C1591,Roster!$B:$B,0))="","",INDEX(Roster!$A:$A,MATCH($C1591,Roster!$B:$B,0))&amp;""),"—"))</f>
        <v/>
      </c>
      <c r="E1591" s="25">
        <f>IF($C1591="","",IFERROR(IF(INDEX(Roster!$C:$C,MATCH($C1591,Roster!$B:$B,0))="","",INDEX(Roster!$C:$C,MATCH($C1591,Roster!$B:$B,0))&amp;""),"—"))</f>
        <v/>
      </c>
      <c r="F1591" s="25">
        <f>IF($C1591="","",IFERROR(IF(INDEX(Roster!$D:$D,MATCH($C1591,Roster!$B:$B,0))="","",INDEX(Roster!$D:$D,MATCH($C1591,Roster!$B:$B,0))&amp;""),"—"))</f>
        <v/>
      </c>
      <c r="G1591" s="25">
        <f>IF($C1591="","",IFERROR(IF(INDEX(Roster!$E:$E,MATCH($C1591,Roster!$B:$B,0))="","",INDEX(Roster!$E:$E,MATCH($C1591,Roster!$B:$B,0))&amp;""),"—"))</f>
        <v/>
      </c>
      <c r="H1591" s="25">
        <f>IF($C1591="","",IFERROR(IF(INDEX(Roster!$F:$F,MATCH($C1591,Roster!$B:$B,0))="","",INDEX(Roster!$F:$F,MATCH($C1591,Roster!$B:$B,0))&amp;""),"—"))</f>
        <v/>
      </c>
      <c r="I1591" s="25">
        <f>IF($C1591="","",IFERROR(IF(INDEX(Roster!$G:$G,MATCH($C1591,Roster!$B:$B,0))="","",INDEX(Roster!$G:$G,MATCH($C1591,Roster!$B:$B,0))&amp;""),"—"))</f>
        <v/>
      </c>
      <c r="J1591" s="25">
        <f>IF($C1591="","",IFERROR(IF(INDEX(Roster!$I:$I,MATCH($C1591,Roster!$B:$B,0))="","",INDEX(Roster!$I:$I,MATCH($C1591,Roster!$B:$B,0))&amp;""),"—"))</f>
        <v/>
      </c>
      <c r="K1591">
        <f>IF($C1591="","",IFERROR(IF(INDEX(Roster!$J:$J,MATCH($C1591,Roster!$B:$B,0))="","",INDEX(Roster!$J:$J,MATCH($C1591,Roster!$B:$B,0))&amp;""),"—"))</f>
        <v/>
      </c>
      <c r="L1591">
        <f>IF($C1591="","",IFERROR(IF(INDEX(Roster!$K:$K,MATCH($C1591,Roster!$B:$B,0))="","",INDEX(Roster!$K:$K,MATCH($C1591,Roster!$B:$B,0))&amp;""),"—"))</f>
        <v/>
      </c>
      <c r="M1591" s="27" t="n"/>
      <c r="N1591" s="27" t="n"/>
      <c r="O1591" s="25">
        <f>IF($C1591="","",IF($P1591="","—",IF($P1591="Valid (Pass)","Valid","Invalid")))</f>
        <v/>
      </c>
      <c r="P1591" s="27" t="n"/>
      <c r="Q1591" s="27" t="n"/>
      <c r="R1591" s="27" t="n"/>
      <c r="S1591" s="27" t="n"/>
      <c r="T1591" s="25">
        <f>IF($C1591="","",IF(OR(ISNUMBER(SEARCH("quick case",$P1591)),ISNUMBER(SEARCH("quick case",$Q1591))),"Yes","No"))</f>
        <v/>
      </c>
      <c r="U1591" s="25">
        <f>IF($O1591="Invalid",HYPERLINK("mailto:"&amp;$G1591&amp;";"&amp;$I1591&amp;"?cc="&amp;Lists!$E$2&amp;"&amp;subject="&amp;_xlfn.ENCODEURL("[INVALID] Quality audit monitoring completed for "&amp;UPPER($C1591))&amp;"&amp;body="&amp;_xlfn.ENCODEURL("Hi "&amp;$F1591&amp;","&amp;CHAR(10)&amp;"Good day!"&amp;CHAR(10)&amp;CHAR(10)&amp;"A quality monitoring audit has been completed for "&amp;$C1591&amp;"."&amp;CHAR(10)&amp;CHAR(10)&amp;"QUALITY AUDIT DETAILS"&amp;CHAR(10)&amp;"Agent Name: "&amp;$C1591&amp;" (EID "&amp;$D1591&amp;")"&amp;CHAR(10)&amp;"Audit Date: "&amp;TEXT($B1591,"yyyy-mm-dd")&amp;CHAR(10)&amp;"Team Leader: "&amp;$F1591&amp;CHAR(10)&amp;"Case Number: "&amp;$M1591&amp;CHAR(10)&amp;"Transaction ID: "&amp;$N1591&amp;CHAR(10)&amp;"Channel / LOB: "&amp;$K1591&amp;" / "&amp;$L1591&amp;CHAR(10)&amp;"Evaluator: "&amp;$S1591&amp;CHAR(10)&amp;CHAR(10)&amp;"INVALID QUALITY AUDIT DETAILS"&amp;CHAR(10)&amp;"Validation: Invalid"&amp;CHAR(10)&amp;"Invalid Reason: "&amp;$P1591&amp;CHAR(10)&amp;"Expected Resolution Code: "&amp;$Q1591&amp;CHAR(10)&amp;"Remarks: "&amp;LEFT($R1591,600)&amp;CHAR(10)&amp;CHAR(10)&amp;"This is an automated notification from HP Mainstream EQMS."),"✉ Open Email Draft"),"")</f>
        <v/>
      </c>
    </row>
    <row r="1592">
      <c r="A1592" s="25">
        <f>IF($C1592="","","AUD-2026-"&amp;TEXT(ROW()-1,"000000"))</f>
        <v/>
      </c>
      <c r="B1592" s="26" t="n"/>
      <c r="C1592" s="27" t="n"/>
      <c r="D1592" s="25">
        <f>IF($C1592="","",IFERROR(IF(INDEX(Roster!$A:$A,MATCH($C1592,Roster!$B:$B,0))="","",INDEX(Roster!$A:$A,MATCH($C1592,Roster!$B:$B,0))&amp;""),"—"))</f>
        <v/>
      </c>
      <c r="E1592" s="25">
        <f>IF($C1592="","",IFERROR(IF(INDEX(Roster!$C:$C,MATCH($C1592,Roster!$B:$B,0))="","",INDEX(Roster!$C:$C,MATCH($C1592,Roster!$B:$B,0))&amp;""),"—"))</f>
        <v/>
      </c>
      <c r="F1592" s="25">
        <f>IF($C1592="","",IFERROR(IF(INDEX(Roster!$D:$D,MATCH($C1592,Roster!$B:$B,0))="","",INDEX(Roster!$D:$D,MATCH($C1592,Roster!$B:$B,0))&amp;""),"—"))</f>
        <v/>
      </c>
      <c r="G1592" s="25">
        <f>IF($C1592="","",IFERROR(IF(INDEX(Roster!$E:$E,MATCH($C1592,Roster!$B:$B,0))="","",INDEX(Roster!$E:$E,MATCH($C1592,Roster!$B:$B,0))&amp;""),"—"))</f>
        <v/>
      </c>
      <c r="H1592" s="25">
        <f>IF($C1592="","",IFERROR(IF(INDEX(Roster!$F:$F,MATCH($C1592,Roster!$B:$B,0))="","",INDEX(Roster!$F:$F,MATCH($C1592,Roster!$B:$B,0))&amp;""),"—"))</f>
        <v/>
      </c>
      <c r="I1592" s="25">
        <f>IF($C1592="","",IFERROR(IF(INDEX(Roster!$G:$G,MATCH($C1592,Roster!$B:$B,0))="","",INDEX(Roster!$G:$G,MATCH($C1592,Roster!$B:$B,0))&amp;""),"—"))</f>
        <v/>
      </c>
      <c r="J1592" s="25">
        <f>IF($C1592="","",IFERROR(IF(INDEX(Roster!$I:$I,MATCH($C1592,Roster!$B:$B,0))="","",INDEX(Roster!$I:$I,MATCH($C1592,Roster!$B:$B,0))&amp;""),"—"))</f>
        <v/>
      </c>
      <c r="K1592">
        <f>IF($C1592="","",IFERROR(IF(INDEX(Roster!$J:$J,MATCH($C1592,Roster!$B:$B,0))="","",INDEX(Roster!$J:$J,MATCH($C1592,Roster!$B:$B,0))&amp;""),"—"))</f>
        <v/>
      </c>
      <c r="L1592">
        <f>IF($C1592="","",IFERROR(IF(INDEX(Roster!$K:$K,MATCH($C1592,Roster!$B:$B,0))="","",INDEX(Roster!$K:$K,MATCH($C1592,Roster!$B:$B,0))&amp;""),"—"))</f>
        <v/>
      </c>
      <c r="M1592" s="27" t="n"/>
      <c r="N1592" s="27" t="n"/>
      <c r="O1592" s="25">
        <f>IF($C1592="","",IF($P1592="","—",IF($P1592="Valid (Pass)","Valid","Invalid")))</f>
        <v/>
      </c>
      <c r="P1592" s="27" t="n"/>
      <c r="Q1592" s="27" t="n"/>
      <c r="R1592" s="27" t="n"/>
      <c r="S1592" s="27" t="n"/>
      <c r="T1592" s="25">
        <f>IF($C1592="","",IF(OR(ISNUMBER(SEARCH("quick case",$P1592)),ISNUMBER(SEARCH("quick case",$Q1592))),"Yes","No"))</f>
        <v/>
      </c>
      <c r="U1592" s="25">
        <f>IF($O1592="Invalid",HYPERLINK("mailto:"&amp;$G1592&amp;";"&amp;$I1592&amp;"?cc="&amp;Lists!$E$2&amp;"&amp;subject="&amp;_xlfn.ENCODEURL("[INVALID] Quality audit monitoring completed for "&amp;UPPER($C1592))&amp;"&amp;body="&amp;_xlfn.ENCODEURL("Hi "&amp;$F1592&amp;","&amp;CHAR(10)&amp;"Good day!"&amp;CHAR(10)&amp;CHAR(10)&amp;"A quality monitoring audit has been completed for "&amp;$C1592&amp;"."&amp;CHAR(10)&amp;CHAR(10)&amp;"QUALITY AUDIT DETAILS"&amp;CHAR(10)&amp;"Agent Name: "&amp;$C1592&amp;" (EID "&amp;$D1592&amp;")"&amp;CHAR(10)&amp;"Audit Date: "&amp;TEXT($B1592,"yyyy-mm-dd")&amp;CHAR(10)&amp;"Team Leader: "&amp;$F1592&amp;CHAR(10)&amp;"Case Number: "&amp;$M1592&amp;CHAR(10)&amp;"Transaction ID: "&amp;$N1592&amp;CHAR(10)&amp;"Channel / LOB: "&amp;$K1592&amp;" / "&amp;$L1592&amp;CHAR(10)&amp;"Evaluator: "&amp;$S1592&amp;CHAR(10)&amp;CHAR(10)&amp;"INVALID QUALITY AUDIT DETAILS"&amp;CHAR(10)&amp;"Validation: Invalid"&amp;CHAR(10)&amp;"Invalid Reason: "&amp;$P1592&amp;CHAR(10)&amp;"Expected Resolution Code: "&amp;$Q1592&amp;CHAR(10)&amp;"Remarks: "&amp;LEFT($R1592,600)&amp;CHAR(10)&amp;CHAR(10)&amp;"This is an automated notification from HP Mainstream EQMS."),"✉ Open Email Draft"),"")</f>
        <v/>
      </c>
    </row>
    <row r="1593">
      <c r="A1593" s="25">
        <f>IF($C1593="","","AUD-2026-"&amp;TEXT(ROW()-1,"000000"))</f>
        <v/>
      </c>
      <c r="B1593" s="26" t="n"/>
      <c r="C1593" s="27" t="n"/>
      <c r="D1593" s="25">
        <f>IF($C1593="","",IFERROR(IF(INDEX(Roster!$A:$A,MATCH($C1593,Roster!$B:$B,0))="","",INDEX(Roster!$A:$A,MATCH($C1593,Roster!$B:$B,0))&amp;""),"—"))</f>
        <v/>
      </c>
      <c r="E1593" s="25">
        <f>IF($C1593="","",IFERROR(IF(INDEX(Roster!$C:$C,MATCH($C1593,Roster!$B:$B,0))="","",INDEX(Roster!$C:$C,MATCH($C1593,Roster!$B:$B,0))&amp;""),"—"))</f>
        <v/>
      </c>
      <c r="F1593" s="25">
        <f>IF($C1593="","",IFERROR(IF(INDEX(Roster!$D:$D,MATCH($C1593,Roster!$B:$B,0))="","",INDEX(Roster!$D:$D,MATCH($C1593,Roster!$B:$B,0))&amp;""),"—"))</f>
        <v/>
      </c>
      <c r="G1593" s="25">
        <f>IF($C1593="","",IFERROR(IF(INDEX(Roster!$E:$E,MATCH($C1593,Roster!$B:$B,0))="","",INDEX(Roster!$E:$E,MATCH($C1593,Roster!$B:$B,0))&amp;""),"—"))</f>
        <v/>
      </c>
      <c r="H1593" s="25">
        <f>IF($C1593="","",IFERROR(IF(INDEX(Roster!$F:$F,MATCH($C1593,Roster!$B:$B,0))="","",INDEX(Roster!$F:$F,MATCH($C1593,Roster!$B:$B,0))&amp;""),"—"))</f>
        <v/>
      </c>
      <c r="I1593" s="25">
        <f>IF($C1593="","",IFERROR(IF(INDEX(Roster!$G:$G,MATCH($C1593,Roster!$B:$B,0))="","",INDEX(Roster!$G:$G,MATCH($C1593,Roster!$B:$B,0))&amp;""),"—"))</f>
        <v/>
      </c>
      <c r="J1593" s="25">
        <f>IF($C1593="","",IFERROR(IF(INDEX(Roster!$I:$I,MATCH($C1593,Roster!$B:$B,0))="","",INDEX(Roster!$I:$I,MATCH($C1593,Roster!$B:$B,0))&amp;""),"—"))</f>
        <v/>
      </c>
      <c r="K1593">
        <f>IF($C1593="","",IFERROR(IF(INDEX(Roster!$J:$J,MATCH($C1593,Roster!$B:$B,0))="","",INDEX(Roster!$J:$J,MATCH($C1593,Roster!$B:$B,0))&amp;""),"—"))</f>
        <v/>
      </c>
      <c r="L1593">
        <f>IF($C1593="","",IFERROR(IF(INDEX(Roster!$K:$K,MATCH($C1593,Roster!$B:$B,0))="","",INDEX(Roster!$K:$K,MATCH($C1593,Roster!$B:$B,0))&amp;""),"—"))</f>
        <v/>
      </c>
      <c r="M1593" s="27" t="n"/>
      <c r="N1593" s="27" t="n"/>
      <c r="O1593" s="25">
        <f>IF($C1593="","",IF($P1593="","—",IF($P1593="Valid (Pass)","Valid","Invalid")))</f>
        <v/>
      </c>
      <c r="P1593" s="27" t="n"/>
      <c r="Q1593" s="27" t="n"/>
      <c r="R1593" s="27" t="n"/>
      <c r="S1593" s="27" t="n"/>
      <c r="T1593" s="25">
        <f>IF($C1593="","",IF(OR(ISNUMBER(SEARCH("quick case",$P1593)),ISNUMBER(SEARCH("quick case",$Q1593))),"Yes","No"))</f>
        <v/>
      </c>
      <c r="U1593" s="25">
        <f>IF($O1593="Invalid",HYPERLINK("mailto:"&amp;$G1593&amp;";"&amp;$I1593&amp;"?cc="&amp;Lists!$E$2&amp;"&amp;subject="&amp;_xlfn.ENCODEURL("[INVALID] Quality audit monitoring completed for "&amp;UPPER($C1593))&amp;"&amp;body="&amp;_xlfn.ENCODEURL("Hi "&amp;$F1593&amp;","&amp;CHAR(10)&amp;"Good day!"&amp;CHAR(10)&amp;CHAR(10)&amp;"A quality monitoring audit has been completed for "&amp;$C1593&amp;"."&amp;CHAR(10)&amp;CHAR(10)&amp;"QUALITY AUDIT DETAILS"&amp;CHAR(10)&amp;"Agent Name: "&amp;$C1593&amp;" (EID "&amp;$D1593&amp;")"&amp;CHAR(10)&amp;"Audit Date: "&amp;TEXT($B1593,"yyyy-mm-dd")&amp;CHAR(10)&amp;"Team Leader: "&amp;$F1593&amp;CHAR(10)&amp;"Case Number: "&amp;$M1593&amp;CHAR(10)&amp;"Transaction ID: "&amp;$N1593&amp;CHAR(10)&amp;"Channel / LOB: "&amp;$K1593&amp;" / "&amp;$L1593&amp;CHAR(10)&amp;"Evaluator: "&amp;$S1593&amp;CHAR(10)&amp;CHAR(10)&amp;"INVALID QUALITY AUDIT DETAILS"&amp;CHAR(10)&amp;"Validation: Invalid"&amp;CHAR(10)&amp;"Invalid Reason: "&amp;$P1593&amp;CHAR(10)&amp;"Expected Resolution Code: "&amp;$Q1593&amp;CHAR(10)&amp;"Remarks: "&amp;LEFT($R1593,600)&amp;CHAR(10)&amp;CHAR(10)&amp;"This is an automated notification from HP Mainstream EQMS."),"✉ Open Email Draft"),"")</f>
        <v/>
      </c>
    </row>
    <row r="1594">
      <c r="A1594" s="25">
        <f>IF($C1594="","","AUD-2026-"&amp;TEXT(ROW()-1,"000000"))</f>
        <v/>
      </c>
      <c r="B1594" s="26" t="n"/>
      <c r="C1594" s="27" t="n"/>
      <c r="D1594" s="25">
        <f>IF($C1594="","",IFERROR(IF(INDEX(Roster!$A:$A,MATCH($C1594,Roster!$B:$B,0))="","",INDEX(Roster!$A:$A,MATCH($C1594,Roster!$B:$B,0))&amp;""),"—"))</f>
        <v/>
      </c>
      <c r="E1594" s="25">
        <f>IF($C1594="","",IFERROR(IF(INDEX(Roster!$C:$C,MATCH($C1594,Roster!$B:$B,0))="","",INDEX(Roster!$C:$C,MATCH($C1594,Roster!$B:$B,0))&amp;""),"—"))</f>
        <v/>
      </c>
      <c r="F1594" s="25">
        <f>IF($C1594="","",IFERROR(IF(INDEX(Roster!$D:$D,MATCH($C1594,Roster!$B:$B,0))="","",INDEX(Roster!$D:$D,MATCH($C1594,Roster!$B:$B,0))&amp;""),"—"))</f>
        <v/>
      </c>
      <c r="G1594" s="25">
        <f>IF($C1594="","",IFERROR(IF(INDEX(Roster!$E:$E,MATCH($C1594,Roster!$B:$B,0))="","",INDEX(Roster!$E:$E,MATCH($C1594,Roster!$B:$B,0))&amp;""),"—"))</f>
        <v/>
      </c>
      <c r="H1594" s="25">
        <f>IF($C1594="","",IFERROR(IF(INDEX(Roster!$F:$F,MATCH($C1594,Roster!$B:$B,0))="","",INDEX(Roster!$F:$F,MATCH($C1594,Roster!$B:$B,0))&amp;""),"—"))</f>
        <v/>
      </c>
      <c r="I1594" s="25">
        <f>IF($C1594="","",IFERROR(IF(INDEX(Roster!$G:$G,MATCH($C1594,Roster!$B:$B,0))="","",INDEX(Roster!$G:$G,MATCH($C1594,Roster!$B:$B,0))&amp;""),"—"))</f>
        <v/>
      </c>
      <c r="J1594" s="25">
        <f>IF($C1594="","",IFERROR(IF(INDEX(Roster!$I:$I,MATCH($C1594,Roster!$B:$B,0))="","",INDEX(Roster!$I:$I,MATCH($C1594,Roster!$B:$B,0))&amp;""),"—"))</f>
        <v/>
      </c>
      <c r="K1594">
        <f>IF($C1594="","",IFERROR(IF(INDEX(Roster!$J:$J,MATCH($C1594,Roster!$B:$B,0))="","",INDEX(Roster!$J:$J,MATCH($C1594,Roster!$B:$B,0))&amp;""),"—"))</f>
        <v/>
      </c>
      <c r="L1594">
        <f>IF($C1594="","",IFERROR(IF(INDEX(Roster!$K:$K,MATCH($C1594,Roster!$B:$B,0))="","",INDEX(Roster!$K:$K,MATCH($C1594,Roster!$B:$B,0))&amp;""),"—"))</f>
        <v/>
      </c>
      <c r="M1594" s="27" t="n"/>
      <c r="N1594" s="27" t="n"/>
      <c r="O1594" s="25">
        <f>IF($C1594="","",IF($P1594="","—",IF($P1594="Valid (Pass)","Valid","Invalid")))</f>
        <v/>
      </c>
      <c r="P1594" s="27" t="n"/>
      <c r="Q1594" s="27" t="n"/>
      <c r="R1594" s="27" t="n"/>
      <c r="S1594" s="27" t="n"/>
      <c r="T1594" s="25">
        <f>IF($C1594="","",IF(OR(ISNUMBER(SEARCH("quick case",$P1594)),ISNUMBER(SEARCH("quick case",$Q1594))),"Yes","No"))</f>
        <v/>
      </c>
      <c r="U1594" s="25">
        <f>IF($O1594="Invalid",HYPERLINK("mailto:"&amp;$G1594&amp;";"&amp;$I1594&amp;"?cc="&amp;Lists!$E$2&amp;"&amp;subject="&amp;_xlfn.ENCODEURL("[INVALID] Quality audit monitoring completed for "&amp;UPPER($C1594))&amp;"&amp;body="&amp;_xlfn.ENCODEURL("Hi "&amp;$F1594&amp;","&amp;CHAR(10)&amp;"Good day!"&amp;CHAR(10)&amp;CHAR(10)&amp;"A quality monitoring audit has been completed for "&amp;$C1594&amp;"."&amp;CHAR(10)&amp;CHAR(10)&amp;"QUALITY AUDIT DETAILS"&amp;CHAR(10)&amp;"Agent Name: "&amp;$C1594&amp;" (EID "&amp;$D1594&amp;")"&amp;CHAR(10)&amp;"Audit Date: "&amp;TEXT($B1594,"yyyy-mm-dd")&amp;CHAR(10)&amp;"Team Leader: "&amp;$F1594&amp;CHAR(10)&amp;"Case Number: "&amp;$M1594&amp;CHAR(10)&amp;"Transaction ID: "&amp;$N1594&amp;CHAR(10)&amp;"Channel / LOB: "&amp;$K1594&amp;" / "&amp;$L1594&amp;CHAR(10)&amp;"Evaluator: "&amp;$S1594&amp;CHAR(10)&amp;CHAR(10)&amp;"INVALID QUALITY AUDIT DETAILS"&amp;CHAR(10)&amp;"Validation: Invalid"&amp;CHAR(10)&amp;"Invalid Reason: "&amp;$P1594&amp;CHAR(10)&amp;"Expected Resolution Code: "&amp;$Q1594&amp;CHAR(10)&amp;"Remarks: "&amp;LEFT($R1594,600)&amp;CHAR(10)&amp;CHAR(10)&amp;"This is an automated notification from HP Mainstream EQMS."),"✉ Open Email Draft"),"")</f>
        <v/>
      </c>
    </row>
    <row r="1595">
      <c r="A1595" s="25">
        <f>IF($C1595="","","AUD-2026-"&amp;TEXT(ROW()-1,"000000"))</f>
        <v/>
      </c>
      <c r="B1595" s="26" t="n"/>
      <c r="C1595" s="27" t="n"/>
      <c r="D1595" s="25">
        <f>IF($C1595="","",IFERROR(IF(INDEX(Roster!$A:$A,MATCH($C1595,Roster!$B:$B,0))="","",INDEX(Roster!$A:$A,MATCH($C1595,Roster!$B:$B,0))&amp;""),"—"))</f>
        <v/>
      </c>
      <c r="E1595" s="25">
        <f>IF($C1595="","",IFERROR(IF(INDEX(Roster!$C:$C,MATCH($C1595,Roster!$B:$B,0))="","",INDEX(Roster!$C:$C,MATCH($C1595,Roster!$B:$B,0))&amp;""),"—"))</f>
        <v/>
      </c>
      <c r="F1595" s="25">
        <f>IF($C1595="","",IFERROR(IF(INDEX(Roster!$D:$D,MATCH($C1595,Roster!$B:$B,0))="","",INDEX(Roster!$D:$D,MATCH($C1595,Roster!$B:$B,0))&amp;""),"—"))</f>
        <v/>
      </c>
      <c r="G1595" s="25">
        <f>IF($C1595="","",IFERROR(IF(INDEX(Roster!$E:$E,MATCH($C1595,Roster!$B:$B,0))="","",INDEX(Roster!$E:$E,MATCH($C1595,Roster!$B:$B,0))&amp;""),"—"))</f>
        <v/>
      </c>
      <c r="H1595" s="25">
        <f>IF($C1595="","",IFERROR(IF(INDEX(Roster!$F:$F,MATCH($C1595,Roster!$B:$B,0))="","",INDEX(Roster!$F:$F,MATCH($C1595,Roster!$B:$B,0))&amp;""),"—"))</f>
        <v/>
      </c>
      <c r="I1595" s="25">
        <f>IF($C1595="","",IFERROR(IF(INDEX(Roster!$G:$G,MATCH($C1595,Roster!$B:$B,0))="","",INDEX(Roster!$G:$G,MATCH($C1595,Roster!$B:$B,0))&amp;""),"—"))</f>
        <v/>
      </c>
      <c r="J1595" s="25">
        <f>IF($C1595="","",IFERROR(IF(INDEX(Roster!$I:$I,MATCH($C1595,Roster!$B:$B,0))="","",INDEX(Roster!$I:$I,MATCH($C1595,Roster!$B:$B,0))&amp;""),"—"))</f>
        <v/>
      </c>
      <c r="K1595">
        <f>IF($C1595="","",IFERROR(IF(INDEX(Roster!$J:$J,MATCH($C1595,Roster!$B:$B,0))="","",INDEX(Roster!$J:$J,MATCH($C1595,Roster!$B:$B,0))&amp;""),"—"))</f>
        <v/>
      </c>
      <c r="L1595">
        <f>IF($C1595="","",IFERROR(IF(INDEX(Roster!$K:$K,MATCH($C1595,Roster!$B:$B,0))="","",INDEX(Roster!$K:$K,MATCH($C1595,Roster!$B:$B,0))&amp;""),"—"))</f>
        <v/>
      </c>
      <c r="M1595" s="27" t="n"/>
      <c r="N1595" s="27" t="n"/>
      <c r="O1595" s="25">
        <f>IF($C1595="","",IF($P1595="","—",IF($P1595="Valid (Pass)","Valid","Invalid")))</f>
        <v/>
      </c>
      <c r="P1595" s="27" t="n"/>
      <c r="Q1595" s="27" t="n"/>
      <c r="R1595" s="27" t="n"/>
      <c r="S1595" s="27" t="n"/>
      <c r="T1595" s="25">
        <f>IF($C1595="","",IF(OR(ISNUMBER(SEARCH("quick case",$P1595)),ISNUMBER(SEARCH("quick case",$Q1595))),"Yes","No"))</f>
        <v/>
      </c>
      <c r="U1595" s="25">
        <f>IF($O1595="Invalid",HYPERLINK("mailto:"&amp;$G1595&amp;";"&amp;$I1595&amp;"?cc="&amp;Lists!$E$2&amp;"&amp;subject="&amp;_xlfn.ENCODEURL("[INVALID] Quality audit monitoring completed for "&amp;UPPER($C1595))&amp;"&amp;body="&amp;_xlfn.ENCODEURL("Hi "&amp;$F1595&amp;","&amp;CHAR(10)&amp;"Good day!"&amp;CHAR(10)&amp;CHAR(10)&amp;"A quality monitoring audit has been completed for "&amp;$C1595&amp;"."&amp;CHAR(10)&amp;CHAR(10)&amp;"QUALITY AUDIT DETAILS"&amp;CHAR(10)&amp;"Agent Name: "&amp;$C1595&amp;" (EID "&amp;$D1595&amp;")"&amp;CHAR(10)&amp;"Audit Date: "&amp;TEXT($B1595,"yyyy-mm-dd")&amp;CHAR(10)&amp;"Team Leader: "&amp;$F1595&amp;CHAR(10)&amp;"Case Number: "&amp;$M1595&amp;CHAR(10)&amp;"Transaction ID: "&amp;$N1595&amp;CHAR(10)&amp;"Channel / LOB: "&amp;$K1595&amp;" / "&amp;$L1595&amp;CHAR(10)&amp;"Evaluator: "&amp;$S1595&amp;CHAR(10)&amp;CHAR(10)&amp;"INVALID QUALITY AUDIT DETAILS"&amp;CHAR(10)&amp;"Validation: Invalid"&amp;CHAR(10)&amp;"Invalid Reason: "&amp;$P1595&amp;CHAR(10)&amp;"Expected Resolution Code: "&amp;$Q1595&amp;CHAR(10)&amp;"Remarks: "&amp;LEFT($R1595,600)&amp;CHAR(10)&amp;CHAR(10)&amp;"This is an automated notification from HP Mainstream EQMS."),"✉ Open Email Draft"),"")</f>
        <v/>
      </c>
    </row>
    <row r="1596">
      <c r="A1596" s="25">
        <f>IF($C1596="","","AUD-2026-"&amp;TEXT(ROW()-1,"000000"))</f>
        <v/>
      </c>
      <c r="B1596" s="26" t="n"/>
      <c r="C1596" s="27" t="n"/>
      <c r="D1596" s="25">
        <f>IF($C1596="","",IFERROR(IF(INDEX(Roster!$A:$A,MATCH($C1596,Roster!$B:$B,0))="","",INDEX(Roster!$A:$A,MATCH($C1596,Roster!$B:$B,0))&amp;""),"—"))</f>
        <v/>
      </c>
      <c r="E1596" s="25">
        <f>IF($C1596="","",IFERROR(IF(INDEX(Roster!$C:$C,MATCH($C1596,Roster!$B:$B,0))="","",INDEX(Roster!$C:$C,MATCH($C1596,Roster!$B:$B,0))&amp;""),"—"))</f>
        <v/>
      </c>
      <c r="F1596" s="25">
        <f>IF($C1596="","",IFERROR(IF(INDEX(Roster!$D:$D,MATCH($C1596,Roster!$B:$B,0))="","",INDEX(Roster!$D:$D,MATCH($C1596,Roster!$B:$B,0))&amp;""),"—"))</f>
        <v/>
      </c>
      <c r="G1596" s="25">
        <f>IF($C1596="","",IFERROR(IF(INDEX(Roster!$E:$E,MATCH($C1596,Roster!$B:$B,0))="","",INDEX(Roster!$E:$E,MATCH($C1596,Roster!$B:$B,0))&amp;""),"—"))</f>
        <v/>
      </c>
      <c r="H1596" s="25">
        <f>IF($C1596="","",IFERROR(IF(INDEX(Roster!$F:$F,MATCH($C1596,Roster!$B:$B,0))="","",INDEX(Roster!$F:$F,MATCH($C1596,Roster!$B:$B,0))&amp;""),"—"))</f>
        <v/>
      </c>
      <c r="I1596" s="25">
        <f>IF($C1596="","",IFERROR(IF(INDEX(Roster!$G:$G,MATCH($C1596,Roster!$B:$B,0))="","",INDEX(Roster!$G:$G,MATCH($C1596,Roster!$B:$B,0))&amp;""),"—"))</f>
        <v/>
      </c>
      <c r="J1596" s="25">
        <f>IF($C1596="","",IFERROR(IF(INDEX(Roster!$I:$I,MATCH($C1596,Roster!$B:$B,0))="","",INDEX(Roster!$I:$I,MATCH($C1596,Roster!$B:$B,0))&amp;""),"—"))</f>
        <v/>
      </c>
      <c r="K1596">
        <f>IF($C1596="","",IFERROR(IF(INDEX(Roster!$J:$J,MATCH($C1596,Roster!$B:$B,0))="","",INDEX(Roster!$J:$J,MATCH($C1596,Roster!$B:$B,0))&amp;""),"—"))</f>
        <v/>
      </c>
      <c r="L1596">
        <f>IF($C1596="","",IFERROR(IF(INDEX(Roster!$K:$K,MATCH($C1596,Roster!$B:$B,0))="","",INDEX(Roster!$K:$K,MATCH($C1596,Roster!$B:$B,0))&amp;""),"—"))</f>
        <v/>
      </c>
      <c r="M1596" s="27" t="n"/>
      <c r="N1596" s="27" t="n"/>
      <c r="O1596" s="25">
        <f>IF($C1596="","",IF($P1596="","—",IF($P1596="Valid (Pass)","Valid","Invalid")))</f>
        <v/>
      </c>
      <c r="P1596" s="27" t="n"/>
      <c r="Q1596" s="27" t="n"/>
      <c r="R1596" s="27" t="n"/>
      <c r="S1596" s="27" t="n"/>
      <c r="T1596" s="25">
        <f>IF($C1596="","",IF(OR(ISNUMBER(SEARCH("quick case",$P1596)),ISNUMBER(SEARCH("quick case",$Q1596))),"Yes","No"))</f>
        <v/>
      </c>
      <c r="U1596" s="25">
        <f>IF($O1596="Invalid",HYPERLINK("mailto:"&amp;$G1596&amp;";"&amp;$I1596&amp;"?cc="&amp;Lists!$E$2&amp;"&amp;subject="&amp;_xlfn.ENCODEURL("[INVALID] Quality audit monitoring completed for "&amp;UPPER($C1596))&amp;"&amp;body="&amp;_xlfn.ENCODEURL("Hi "&amp;$F1596&amp;","&amp;CHAR(10)&amp;"Good day!"&amp;CHAR(10)&amp;CHAR(10)&amp;"A quality monitoring audit has been completed for "&amp;$C1596&amp;"."&amp;CHAR(10)&amp;CHAR(10)&amp;"QUALITY AUDIT DETAILS"&amp;CHAR(10)&amp;"Agent Name: "&amp;$C1596&amp;" (EID "&amp;$D1596&amp;")"&amp;CHAR(10)&amp;"Audit Date: "&amp;TEXT($B1596,"yyyy-mm-dd")&amp;CHAR(10)&amp;"Team Leader: "&amp;$F1596&amp;CHAR(10)&amp;"Case Number: "&amp;$M1596&amp;CHAR(10)&amp;"Transaction ID: "&amp;$N1596&amp;CHAR(10)&amp;"Channel / LOB: "&amp;$K1596&amp;" / "&amp;$L1596&amp;CHAR(10)&amp;"Evaluator: "&amp;$S1596&amp;CHAR(10)&amp;CHAR(10)&amp;"INVALID QUALITY AUDIT DETAILS"&amp;CHAR(10)&amp;"Validation: Invalid"&amp;CHAR(10)&amp;"Invalid Reason: "&amp;$P1596&amp;CHAR(10)&amp;"Expected Resolution Code: "&amp;$Q1596&amp;CHAR(10)&amp;"Remarks: "&amp;LEFT($R1596,600)&amp;CHAR(10)&amp;CHAR(10)&amp;"This is an automated notification from HP Mainstream EQMS."),"✉ Open Email Draft"),"")</f>
        <v/>
      </c>
    </row>
    <row r="1597">
      <c r="A1597" s="25">
        <f>IF($C1597="","","AUD-2026-"&amp;TEXT(ROW()-1,"000000"))</f>
        <v/>
      </c>
      <c r="B1597" s="26" t="n"/>
      <c r="C1597" s="27" t="n"/>
      <c r="D1597" s="25">
        <f>IF($C1597="","",IFERROR(IF(INDEX(Roster!$A:$A,MATCH($C1597,Roster!$B:$B,0))="","",INDEX(Roster!$A:$A,MATCH($C1597,Roster!$B:$B,0))&amp;""),"—"))</f>
        <v/>
      </c>
      <c r="E1597" s="25">
        <f>IF($C1597="","",IFERROR(IF(INDEX(Roster!$C:$C,MATCH($C1597,Roster!$B:$B,0))="","",INDEX(Roster!$C:$C,MATCH($C1597,Roster!$B:$B,0))&amp;""),"—"))</f>
        <v/>
      </c>
      <c r="F1597" s="25">
        <f>IF($C1597="","",IFERROR(IF(INDEX(Roster!$D:$D,MATCH($C1597,Roster!$B:$B,0))="","",INDEX(Roster!$D:$D,MATCH($C1597,Roster!$B:$B,0))&amp;""),"—"))</f>
        <v/>
      </c>
      <c r="G1597" s="25">
        <f>IF($C1597="","",IFERROR(IF(INDEX(Roster!$E:$E,MATCH($C1597,Roster!$B:$B,0))="","",INDEX(Roster!$E:$E,MATCH($C1597,Roster!$B:$B,0))&amp;""),"—"))</f>
        <v/>
      </c>
      <c r="H1597" s="25">
        <f>IF($C1597="","",IFERROR(IF(INDEX(Roster!$F:$F,MATCH($C1597,Roster!$B:$B,0))="","",INDEX(Roster!$F:$F,MATCH($C1597,Roster!$B:$B,0))&amp;""),"—"))</f>
        <v/>
      </c>
      <c r="I1597" s="25">
        <f>IF($C1597="","",IFERROR(IF(INDEX(Roster!$G:$G,MATCH($C1597,Roster!$B:$B,0))="","",INDEX(Roster!$G:$G,MATCH($C1597,Roster!$B:$B,0))&amp;""),"—"))</f>
        <v/>
      </c>
      <c r="J1597" s="25">
        <f>IF($C1597="","",IFERROR(IF(INDEX(Roster!$I:$I,MATCH($C1597,Roster!$B:$B,0))="","",INDEX(Roster!$I:$I,MATCH($C1597,Roster!$B:$B,0))&amp;""),"—"))</f>
        <v/>
      </c>
      <c r="K1597">
        <f>IF($C1597="","",IFERROR(IF(INDEX(Roster!$J:$J,MATCH($C1597,Roster!$B:$B,0))="","",INDEX(Roster!$J:$J,MATCH($C1597,Roster!$B:$B,0))&amp;""),"—"))</f>
        <v/>
      </c>
      <c r="L1597">
        <f>IF($C1597="","",IFERROR(IF(INDEX(Roster!$K:$K,MATCH($C1597,Roster!$B:$B,0))="","",INDEX(Roster!$K:$K,MATCH($C1597,Roster!$B:$B,0))&amp;""),"—"))</f>
        <v/>
      </c>
      <c r="M1597" s="27" t="n"/>
      <c r="N1597" s="27" t="n"/>
      <c r="O1597" s="25">
        <f>IF($C1597="","",IF($P1597="","—",IF($P1597="Valid (Pass)","Valid","Invalid")))</f>
        <v/>
      </c>
      <c r="P1597" s="27" t="n"/>
      <c r="Q1597" s="27" t="n"/>
      <c r="R1597" s="27" t="n"/>
      <c r="S1597" s="27" t="n"/>
      <c r="T1597" s="25">
        <f>IF($C1597="","",IF(OR(ISNUMBER(SEARCH("quick case",$P1597)),ISNUMBER(SEARCH("quick case",$Q1597))),"Yes","No"))</f>
        <v/>
      </c>
      <c r="U1597" s="25">
        <f>IF($O1597="Invalid",HYPERLINK("mailto:"&amp;$G1597&amp;";"&amp;$I1597&amp;"?cc="&amp;Lists!$E$2&amp;"&amp;subject="&amp;_xlfn.ENCODEURL("[INVALID] Quality audit monitoring completed for "&amp;UPPER($C1597))&amp;"&amp;body="&amp;_xlfn.ENCODEURL("Hi "&amp;$F1597&amp;","&amp;CHAR(10)&amp;"Good day!"&amp;CHAR(10)&amp;CHAR(10)&amp;"A quality monitoring audit has been completed for "&amp;$C1597&amp;"."&amp;CHAR(10)&amp;CHAR(10)&amp;"QUALITY AUDIT DETAILS"&amp;CHAR(10)&amp;"Agent Name: "&amp;$C1597&amp;" (EID "&amp;$D1597&amp;")"&amp;CHAR(10)&amp;"Audit Date: "&amp;TEXT($B1597,"yyyy-mm-dd")&amp;CHAR(10)&amp;"Team Leader: "&amp;$F1597&amp;CHAR(10)&amp;"Case Number: "&amp;$M1597&amp;CHAR(10)&amp;"Transaction ID: "&amp;$N1597&amp;CHAR(10)&amp;"Channel / LOB: "&amp;$K1597&amp;" / "&amp;$L1597&amp;CHAR(10)&amp;"Evaluator: "&amp;$S1597&amp;CHAR(10)&amp;CHAR(10)&amp;"INVALID QUALITY AUDIT DETAILS"&amp;CHAR(10)&amp;"Validation: Invalid"&amp;CHAR(10)&amp;"Invalid Reason: "&amp;$P1597&amp;CHAR(10)&amp;"Expected Resolution Code: "&amp;$Q1597&amp;CHAR(10)&amp;"Remarks: "&amp;LEFT($R1597,600)&amp;CHAR(10)&amp;CHAR(10)&amp;"This is an automated notification from HP Mainstream EQMS."),"✉ Open Email Draft"),"")</f>
        <v/>
      </c>
    </row>
    <row r="1598">
      <c r="A1598" s="25">
        <f>IF($C1598="","","AUD-2026-"&amp;TEXT(ROW()-1,"000000"))</f>
        <v/>
      </c>
      <c r="B1598" s="26" t="n"/>
      <c r="C1598" s="27" t="n"/>
      <c r="D1598" s="25">
        <f>IF($C1598="","",IFERROR(IF(INDEX(Roster!$A:$A,MATCH($C1598,Roster!$B:$B,0))="","",INDEX(Roster!$A:$A,MATCH($C1598,Roster!$B:$B,0))&amp;""),"—"))</f>
        <v/>
      </c>
      <c r="E1598" s="25">
        <f>IF($C1598="","",IFERROR(IF(INDEX(Roster!$C:$C,MATCH($C1598,Roster!$B:$B,0))="","",INDEX(Roster!$C:$C,MATCH($C1598,Roster!$B:$B,0))&amp;""),"—"))</f>
        <v/>
      </c>
      <c r="F1598" s="25">
        <f>IF($C1598="","",IFERROR(IF(INDEX(Roster!$D:$D,MATCH($C1598,Roster!$B:$B,0))="","",INDEX(Roster!$D:$D,MATCH($C1598,Roster!$B:$B,0))&amp;""),"—"))</f>
        <v/>
      </c>
      <c r="G1598" s="25">
        <f>IF($C1598="","",IFERROR(IF(INDEX(Roster!$E:$E,MATCH($C1598,Roster!$B:$B,0))="","",INDEX(Roster!$E:$E,MATCH($C1598,Roster!$B:$B,0))&amp;""),"—"))</f>
        <v/>
      </c>
      <c r="H1598" s="25">
        <f>IF($C1598="","",IFERROR(IF(INDEX(Roster!$F:$F,MATCH($C1598,Roster!$B:$B,0))="","",INDEX(Roster!$F:$F,MATCH($C1598,Roster!$B:$B,0))&amp;""),"—"))</f>
        <v/>
      </c>
      <c r="I1598" s="25">
        <f>IF($C1598="","",IFERROR(IF(INDEX(Roster!$G:$G,MATCH($C1598,Roster!$B:$B,0))="","",INDEX(Roster!$G:$G,MATCH($C1598,Roster!$B:$B,0))&amp;""),"—"))</f>
        <v/>
      </c>
      <c r="J1598" s="25">
        <f>IF($C1598="","",IFERROR(IF(INDEX(Roster!$I:$I,MATCH($C1598,Roster!$B:$B,0))="","",INDEX(Roster!$I:$I,MATCH($C1598,Roster!$B:$B,0))&amp;""),"—"))</f>
        <v/>
      </c>
      <c r="K1598">
        <f>IF($C1598="","",IFERROR(IF(INDEX(Roster!$J:$J,MATCH($C1598,Roster!$B:$B,0))="","",INDEX(Roster!$J:$J,MATCH($C1598,Roster!$B:$B,0))&amp;""),"—"))</f>
        <v/>
      </c>
      <c r="L1598">
        <f>IF($C1598="","",IFERROR(IF(INDEX(Roster!$K:$K,MATCH($C1598,Roster!$B:$B,0))="","",INDEX(Roster!$K:$K,MATCH($C1598,Roster!$B:$B,0))&amp;""),"—"))</f>
        <v/>
      </c>
      <c r="M1598" s="27" t="n"/>
      <c r="N1598" s="27" t="n"/>
      <c r="O1598" s="25">
        <f>IF($C1598="","",IF($P1598="","—",IF($P1598="Valid (Pass)","Valid","Invalid")))</f>
        <v/>
      </c>
      <c r="P1598" s="27" t="n"/>
      <c r="Q1598" s="27" t="n"/>
      <c r="R1598" s="27" t="n"/>
      <c r="S1598" s="27" t="n"/>
      <c r="T1598" s="25">
        <f>IF($C1598="","",IF(OR(ISNUMBER(SEARCH("quick case",$P1598)),ISNUMBER(SEARCH("quick case",$Q1598))),"Yes","No"))</f>
        <v/>
      </c>
      <c r="U1598" s="25">
        <f>IF($O1598="Invalid",HYPERLINK("mailto:"&amp;$G1598&amp;";"&amp;$I1598&amp;"?cc="&amp;Lists!$E$2&amp;"&amp;subject="&amp;_xlfn.ENCODEURL("[INVALID] Quality audit monitoring completed for "&amp;UPPER($C1598))&amp;"&amp;body="&amp;_xlfn.ENCODEURL("Hi "&amp;$F1598&amp;","&amp;CHAR(10)&amp;"Good day!"&amp;CHAR(10)&amp;CHAR(10)&amp;"A quality monitoring audit has been completed for "&amp;$C1598&amp;"."&amp;CHAR(10)&amp;CHAR(10)&amp;"QUALITY AUDIT DETAILS"&amp;CHAR(10)&amp;"Agent Name: "&amp;$C1598&amp;" (EID "&amp;$D1598&amp;")"&amp;CHAR(10)&amp;"Audit Date: "&amp;TEXT($B1598,"yyyy-mm-dd")&amp;CHAR(10)&amp;"Team Leader: "&amp;$F1598&amp;CHAR(10)&amp;"Case Number: "&amp;$M1598&amp;CHAR(10)&amp;"Transaction ID: "&amp;$N1598&amp;CHAR(10)&amp;"Channel / LOB: "&amp;$K1598&amp;" / "&amp;$L1598&amp;CHAR(10)&amp;"Evaluator: "&amp;$S1598&amp;CHAR(10)&amp;CHAR(10)&amp;"INVALID QUALITY AUDIT DETAILS"&amp;CHAR(10)&amp;"Validation: Invalid"&amp;CHAR(10)&amp;"Invalid Reason: "&amp;$P1598&amp;CHAR(10)&amp;"Expected Resolution Code: "&amp;$Q1598&amp;CHAR(10)&amp;"Remarks: "&amp;LEFT($R1598,600)&amp;CHAR(10)&amp;CHAR(10)&amp;"This is an automated notification from HP Mainstream EQMS."),"✉ Open Email Draft"),"")</f>
        <v/>
      </c>
    </row>
    <row r="1599">
      <c r="A1599" s="25">
        <f>IF($C1599="","","AUD-2026-"&amp;TEXT(ROW()-1,"000000"))</f>
        <v/>
      </c>
      <c r="B1599" s="26" t="n"/>
      <c r="C1599" s="27" t="n"/>
      <c r="D1599" s="25">
        <f>IF($C1599="","",IFERROR(IF(INDEX(Roster!$A:$A,MATCH($C1599,Roster!$B:$B,0))="","",INDEX(Roster!$A:$A,MATCH($C1599,Roster!$B:$B,0))&amp;""),"—"))</f>
        <v/>
      </c>
      <c r="E1599" s="25">
        <f>IF($C1599="","",IFERROR(IF(INDEX(Roster!$C:$C,MATCH($C1599,Roster!$B:$B,0))="","",INDEX(Roster!$C:$C,MATCH($C1599,Roster!$B:$B,0))&amp;""),"—"))</f>
        <v/>
      </c>
      <c r="F1599" s="25">
        <f>IF($C1599="","",IFERROR(IF(INDEX(Roster!$D:$D,MATCH($C1599,Roster!$B:$B,0))="","",INDEX(Roster!$D:$D,MATCH($C1599,Roster!$B:$B,0))&amp;""),"—"))</f>
        <v/>
      </c>
      <c r="G1599" s="25">
        <f>IF($C1599="","",IFERROR(IF(INDEX(Roster!$E:$E,MATCH($C1599,Roster!$B:$B,0))="","",INDEX(Roster!$E:$E,MATCH($C1599,Roster!$B:$B,0))&amp;""),"—"))</f>
        <v/>
      </c>
      <c r="H1599" s="25">
        <f>IF($C1599="","",IFERROR(IF(INDEX(Roster!$F:$F,MATCH($C1599,Roster!$B:$B,0))="","",INDEX(Roster!$F:$F,MATCH($C1599,Roster!$B:$B,0))&amp;""),"—"))</f>
        <v/>
      </c>
      <c r="I1599" s="25">
        <f>IF($C1599="","",IFERROR(IF(INDEX(Roster!$G:$G,MATCH($C1599,Roster!$B:$B,0))="","",INDEX(Roster!$G:$G,MATCH($C1599,Roster!$B:$B,0))&amp;""),"—"))</f>
        <v/>
      </c>
      <c r="J1599" s="25">
        <f>IF($C1599="","",IFERROR(IF(INDEX(Roster!$I:$I,MATCH($C1599,Roster!$B:$B,0))="","",INDEX(Roster!$I:$I,MATCH($C1599,Roster!$B:$B,0))&amp;""),"—"))</f>
        <v/>
      </c>
      <c r="K1599">
        <f>IF($C1599="","",IFERROR(IF(INDEX(Roster!$J:$J,MATCH($C1599,Roster!$B:$B,0))="","",INDEX(Roster!$J:$J,MATCH($C1599,Roster!$B:$B,0))&amp;""),"—"))</f>
        <v/>
      </c>
      <c r="L1599">
        <f>IF($C1599="","",IFERROR(IF(INDEX(Roster!$K:$K,MATCH($C1599,Roster!$B:$B,0))="","",INDEX(Roster!$K:$K,MATCH($C1599,Roster!$B:$B,0))&amp;""),"—"))</f>
        <v/>
      </c>
      <c r="M1599" s="27" t="n"/>
      <c r="N1599" s="27" t="n"/>
      <c r="O1599" s="25">
        <f>IF($C1599="","",IF($P1599="","—",IF($P1599="Valid (Pass)","Valid","Invalid")))</f>
        <v/>
      </c>
      <c r="P1599" s="27" t="n"/>
      <c r="Q1599" s="27" t="n"/>
      <c r="R1599" s="27" t="n"/>
      <c r="S1599" s="27" t="n"/>
      <c r="T1599" s="25">
        <f>IF($C1599="","",IF(OR(ISNUMBER(SEARCH("quick case",$P1599)),ISNUMBER(SEARCH("quick case",$Q1599))),"Yes","No"))</f>
        <v/>
      </c>
      <c r="U1599" s="25">
        <f>IF($O1599="Invalid",HYPERLINK("mailto:"&amp;$G1599&amp;";"&amp;$I1599&amp;"?cc="&amp;Lists!$E$2&amp;"&amp;subject="&amp;_xlfn.ENCODEURL("[INVALID] Quality audit monitoring completed for "&amp;UPPER($C1599))&amp;"&amp;body="&amp;_xlfn.ENCODEURL("Hi "&amp;$F1599&amp;","&amp;CHAR(10)&amp;"Good day!"&amp;CHAR(10)&amp;CHAR(10)&amp;"A quality monitoring audit has been completed for "&amp;$C1599&amp;"."&amp;CHAR(10)&amp;CHAR(10)&amp;"QUALITY AUDIT DETAILS"&amp;CHAR(10)&amp;"Agent Name: "&amp;$C1599&amp;" (EID "&amp;$D1599&amp;")"&amp;CHAR(10)&amp;"Audit Date: "&amp;TEXT($B1599,"yyyy-mm-dd")&amp;CHAR(10)&amp;"Team Leader: "&amp;$F1599&amp;CHAR(10)&amp;"Case Number: "&amp;$M1599&amp;CHAR(10)&amp;"Transaction ID: "&amp;$N1599&amp;CHAR(10)&amp;"Channel / LOB: "&amp;$K1599&amp;" / "&amp;$L1599&amp;CHAR(10)&amp;"Evaluator: "&amp;$S1599&amp;CHAR(10)&amp;CHAR(10)&amp;"INVALID QUALITY AUDIT DETAILS"&amp;CHAR(10)&amp;"Validation: Invalid"&amp;CHAR(10)&amp;"Invalid Reason: "&amp;$P1599&amp;CHAR(10)&amp;"Expected Resolution Code: "&amp;$Q1599&amp;CHAR(10)&amp;"Remarks: "&amp;LEFT($R1599,600)&amp;CHAR(10)&amp;CHAR(10)&amp;"This is an automated notification from HP Mainstream EQMS."),"✉ Open Email Draft"),"")</f>
        <v/>
      </c>
    </row>
    <row r="1600">
      <c r="A1600" s="25">
        <f>IF($C1600="","","AUD-2026-"&amp;TEXT(ROW()-1,"000000"))</f>
        <v/>
      </c>
      <c r="B1600" s="26" t="n"/>
      <c r="C1600" s="27" t="n"/>
      <c r="D1600" s="25">
        <f>IF($C1600="","",IFERROR(IF(INDEX(Roster!$A:$A,MATCH($C1600,Roster!$B:$B,0))="","",INDEX(Roster!$A:$A,MATCH($C1600,Roster!$B:$B,0))&amp;""),"—"))</f>
        <v/>
      </c>
      <c r="E1600" s="25">
        <f>IF($C1600="","",IFERROR(IF(INDEX(Roster!$C:$C,MATCH($C1600,Roster!$B:$B,0))="","",INDEX(Roster!$C:$C,MATCH($C1600,Roster!$B:$B,0))&amp;""),"—"))</f>
        <v/>
      </c>
      <c r="F1600" s="25">
        <f>IF($C1600="","",IFERROR(IF(INDEX(Roster!$D:$D,MATCH($C1600,Roster!$B:$B,0))="","",INDEX(Roster!$D:$D,MATCH($C1600,Roster!$B:$B,0))&amp;""),"—"))</f>
        <v/>
      </c>
      <c r="G1600" s="25">
        <f>IF($C1600="","",IFERROR(IF(INDEX(Roster!$E:$E,MATCH($C1600,Roster!$B:$B,0))="","",INDEX(Roster!$E:$E,MATCH($C1600,Roster!$B:$B,0))&amp;""),"—"))</f>
        <v/>
      </c>
      <c r="H1600" s="25">
        <f>IF($C1600="","",IFERROR(IF(INDEX(Roster!$F:$F,MATCH($C1600,Roster!$B:$B,0))="","",INDEX(Roster!$F:$F,MATCH($C1600,Roster!$B:$B,0))&amp;""),"—"))</f>
        <v/>
      </c>
      <c r="I1600" s="25">
        <f>IF($C1600="","",IFERROR(IF(INDEX(Roster!$G:$G,MATCH($C1600,Roster!$B:$B,0))="","",INDEX(Roster!$G:$G,MATCH($C1600,Roster!$B:$B,0))&amp;""),"—"))</f>
        <v/>
      </c>
      <c r="J1600" s="25">
        <f>IF($C1600="","",IFERROR(IF(INDEX(Roster!$I:$I,MATCH($C1600,Roster!$B:$B,0))="","",INDEX(Roster!$I:$I,MATCH($C1600,Roster!$B:$B,0))&amp;""),"—"))</f>
        <v/>
      </c>
      <c r="K1600">
        <f>IF($C1600="","",IFERROR(IF(INDEX(Roster!$J:$J,MATCH($C1600,Roster!$B:$B,0))="","",INDEX(Roster!$J:$J,MATCH($C1600,Roster!$B:$B,0))&amp;""),"—"))</f>
        <v/>
      </c>
      <c r="L1600">
        <f>IF($C1600="","",IFERROR(IF(INDEX(Roster!$K:$K,MATCH($C1600,Roster!$B:$B,0))="","",INDEX(Roster!$K:$K,MATCH($C1600,Roster!$B:$B,0))&amp;""),"—"))</f>
        <v/>
      </c>
      <c r="M1600" s="27" t="n"/>
      <c r="N1600" s="27" t="n"/>
      <c r="O1600" s="25">
        <f>IF($C1600="","",IF($P1600="","—",IF($P1600="Valid (Pass)","Valid","Invalid")))</f>
        <v/>
      </c>
      <c r="P1600" s="27" t="n"/>
      <c r="Q1600" s="27" t="n"/>
      <c r="R1600" s="27" t="n"/>
      <c r="S1600" s="27" t="n"/>
      <c r="T1600" s="25">
        <f>IF($C1600="","",IF(OR(ISNUMBER(SEARCH("quick case",$P1600)),ISNUMBER(SEARCH("quick case",$Q1600))),"Yes","No"))</f>
        <v/>
      </c>
      <c r="U1600" s="25">
        <f>IF($O1600="Invalid",HYPERLINK("mailto:"&amp;$G1600&amp;";"&amp;$I1600&amp;"?cc="&amp;Lists!$E$2&amp;"&amp;subject="&amp;_xlfn.ENCODEURL("[INVALID] Quality audit monitoring completed for "&amp;UPPER($C1600))&amp;"&amp;body="&amp;_xlfn.ENCODEURL("Hi "&amp;$F1600&amp;","&amp;CHAR(10)&amp;"Good day!"&amp;CHAR(10)&amp;CHAR(10)&amp;"A quality monitoring audit has been completed for "&amp;$C1600&amp;"."&amp;CHAR(10)&amp;CHAR(10)&amp;"QUALITY AUDIT DETAILS"&amp;CHAR(10)&amp;"Agent Name: "&amp;$C1600&amp;" (EID "&amp;$D1600&amp;")"&amp;CHAR(10)&amp;"Audit Date: "&amp;TEXT($B1600,"yyyy-mm-dd")&amp;CHAR(10)&amp;"Team Leader: "&amp;$F1600&amp;CHAR(10)&amp;"Case Number: "&amp;$M1600&amp;CHAR(10)&amp;"Transaction ID: "&amp;$N1600&amp;CHAR(10)&amp;"Channel / LOB: "&amp;$K1600&amp;" / "&amp;$L1600&amp;CHAR(10)&amp;"Evaluator: "&amp;$S1600&amp;CHAR(10)&amp;CHAR(10)&amp;"INVALID QUALITY AUDIT DETAILS"&amp;CHAR(10)&amp;"Validation: Invalid"&amp;CHAR(10)&amp;"Invalid Reason: "&amp;$P1600&amp;CHAR(10)&amp;"Expected Resolution Code: "&amp;$Q1600&amp;CHAR(10)&amp;"Remarks: "&amp;LEFT($R1600,600)&amp;CHAR(10)&amp;CHAR(10)&amp;"This is an automated notification from HP Mainstream EQMS."),"✉ Open Email Draft"),"")</f>
        <v/>
      </c>
    </row>
    <row r="1601">
      <c r="A1601" s="25">
        <f>IF($C1601="","","AUD-2026-"&amp;TEXT(ROW()-1,"000000"))</f>
        <v/>
      </c>
      <c r="B1601" s="26" t="n"/>
      <c r="C1601" s="27" t="n"/>
      <c r="D1601" s="25">
        <f>IF($C1601="","",IFERROR(IF(INDEX(Roster!$A:$A,MATCH($C1601,Roster!$B:$B,0))="","",INDEX(Roster!$A:$A,MATCH($C1601,Roster!$B:$B,0))&amp;""),"—"))</f>
        <v/>
      </c>
      <c r="E1601" s="25">
        <f>IF($C1601="","",IFERROR(IF(INDEX(Roster!$C:$C,MATCH($C1601,Roster!$B:$B,0))="","",INDEX(Roster!$C:$C,MATCH($C1601,Roster!$B:$B,0))&amp;""),"—"))</f>
        <v/>
      </c>
      <c r="F1601" s="25">
        <f>IF($C1601="","",IFERROR(IF(INDEX(Roster!$D:$D,MATCH($C1601,Roster!$B:$B,0))="","",INDEX(Roster!$D:$D,MATCH($C1601,Roster!$B:$B,0))&amp;""),"—"))</f>
        <v/>
      </c>
      <c r="G1601" s="25">
        <f>IF($C1601="","",IFERROR(IF(INDEX(Roster!$E:$E,MATCH($C1601,Roster!$B:$B,0))="","",INDEX(Roster!$E:$E,MATCH($C1601,Roster!$B:$B,0))&amp;""),"—"))</f>
        <v/>
      </c>
      <c r="H1601" s="25">
        <f>IF($C1601="","",IFERROR(IF(INDEX(Roster!$F:$F,MATCH($C1601,Roster!$B:$B,0))="","",INDEX(Roster!$F:$F,MATCH($C1601,Roster!$B:$B,0))&amp;""),"—"))</f>
        <v/>
      </c>
      <c r="I1601" s="25">
        <f>IF($C1601="","",IFERROR(IF(INDEX(Roster!$G:$G,MATCH($C1601,Roster!$B:$B,0))="","",INDEX(Roster!$G:$G,MATCH($C1601,Roster!$B:$B,0))&amp;""),"—"))</f>
        <v/>
      </c>
      <c r="J1601" s="25">
        <f>IF($C1601="","",IFERROR(IF(INDEX(Roster!$I:$I,MATCH($C1601,Roster!$B:$B,0))="","",INDEX(Roster!$I:$I,MATCH($C1601,Roster!$B:$B,0))&amp;""),"—"))</f>
        <v/>
      </c>
      <c r="K1601">
        <f>IF($C1601="","",IFERROR(IF(INDEX(Roster!$J:$J,MATCH($C1601,Roster!$B:$B,0))="","",INDEX(Roster!$J:$J,MATCH($C1601,Roster!$B:$B,0))&amp;""),"—"))</f>
        <v/>
      </c>
      <c r="L1601">
        <f>IF($C1601="","",IFERROR(IF(INDEX(Roster!$K:$K,MATCH($C1601,Roster!$B:$B,0))="","",INDEX(Roster!$K:$K,MATCH($C1601,Roster!$B:$B,0))&amp;""),"—"))</f>
        <v/>
      </c>
      <c r="M1601" s="27" t="n"/>
      <c r="N1601" s="27" t="n"/>
      <c r="O1601" s="25">
        <f>IF($C1601="","",IF($P1601="","—",IF($P1601="Valid (Pass)","Valid","Invalid")))</f>
        <v/>
      </c>
      <c r="P1601" s="27" t="n"/>
      <c r="Q1601" s="27" t="n"/>
      <c r="R1601" s="27" t="n"/>
      <c r="S1601" s="27" t="n"/>
      <c r="T1601" s="25">
        <f>IF($C1601="","",IF(OR(ISNUMBER(SEARCH("quick case",$P1601)),ISNUMBER(SEARCH("quick case",$Q1601))),"Yes","No"))</f>
        <v/>
      </c>
      <c r="U1601" s="25">
        <f>IF($O1601="Invalid",HYPERLINK("mailto:"&amp;$G1601&amp;";"&amp;$I1601&amp;"?cc="&amp;Lists!$E$2&amp;"&amp;subject="&amp;_xlfn.ENCODEURL("[INVALID] Quality audit monitoring completed for "&amp;UPPER($C1601))&amp;"&amp;body="&amp;_xlfn.ENCODEURL("Hi "&amp;$F1601&amp;","&amp;CHAR(10)&amp;"Good day!"&amp;CHAR(10)&amp;CHAR(10)&amp;"A quality monitoring audit has been completed for "&amp;$C1601&amp;"."&amp;CHAR(10)&amp;CHAR(10)&amp;"QUALITY AUDIT DETAILS"&amp;CHAR(10)&amp;"Agent Name: "&amp;$C1601&amp;" (EID "&amp;$D1601&amp;")"&amp;CHAR(10)&amp;"Audit Date: "&amp;TEXT($B1601,"yyyy-mm-dd")&amp;CHAR(10)&amp;"Team Leader: "&amp;$F1601&amp;CHAR(10)&amp;"Case Number: "&amp;$M1601&amp;CHAR(10)&amp;"Transaction ID: "&amp;$N1601&amp;CHAR(10)&amp;"Channel / LOB: "&amp;$K1601&amp;" / "&amp;$L1601&amp;CHAR(10)&amp;"Evaluator: "&amp;$S1601&amp;CHAR(10)&amp;CHAR(10)&amp;"INVALID QUALITY AUDIT DETAILS"&amp;CHAR(10)&amp;"Validation: Invalid"&amp;CHAR(10)&amp;"Invalid Reason: "&amp;$P1601&amp;CHAR(10)&amp;"Expected Resolution Code: "&amp;$Q1601&amp;CHAR(10)&amp;"Remarks: "&amp;LEFT($R1601,600)&amp;CHAR(10)&amp;CHAR(10)&amp;"This is an automated notification from HP Mainstream EQMS."),"✉ Open Email Draft"),"")</f>
        <v/>
      </c>
    </row>
    <row r="1602">
      <c r="A1602" s="25">
        <f>IF($C1602="","","AUD-2026-"&amp;TEXT(ROW()-1,"000000"))</f>
        <v/>
      </c>
      <c r="B1602" s="26" t="n"/>
      <c r="C1602" s="27" t="n"/>
      <c r="D1602" s="25">
        <f>IF($C1602="","",IFERROR(IF(INDEX(Roster!$A:$A,MATCH($C1602,Roster!$B:$B,0))="","",INDEX(Roster!$A:$A,MATCH($C1602,Roster!$B:$B,0))&amp;""),"—"))</f>
        <v/>
      </c>
      <c r="E1602" s="25">
        <f>IF($C1602="","",IFERROR(IF(INDEX(Roster!$C:$C,MATCH($C1602,Roster!$B:$B,0))="","",INDEX(Roster!$C:$C,MATCH($C1602,Roster!$B:$B,0))&amp;""),"—"))</f>
        <v/>
      </c>
      <c r="F1602" s="25">
        <f>IF($C1602="","",IFERROR(IF(INDEX(Roster!$D:$D,MATCH($C1602,Roster!$B:$B,0))="","",INDEX(Roster!$D:$D,MATCH($C1602,Roster!$B:$B,0))&amp;""),"—"))</f>
        <v/>
      </c>
      <c r="G1602" s="25">
        <f>IF($C1602="","",IFERROR(IF(INDEX(Roster!$E:$E,MATCH($C1602,Roster!$B:$B,0))="","",INDEX(Roster!$E:$E,MATCH($C1602,Roster!$B:$B,0))&amp;""),"—"))</f>
        <v/>
      </c>
      <c r="H1602" s="25">
        <f>IF($C1602="","",IFERROR(IF(INDEX(Roster!$F:$F,MATCH($C1602,Roster!$B:$B,0))="","",INDEX(Roster!$F:$F,MATCH($C1602,Roster!$B:$B,0))&amp;""),"—"))</f>
        <v/>
      </c>
      <c r="I1602" s="25">
        <f>IF($C1602="","",IFERROR(IF(INDEX(Roster!$G:$G,MATCH($C1602,Roster!$B:$B,0))="","",INDEX(Roster!$G:$G,MATCH($C1602,Roster!$B:$B,0))&amp;""),"—"))</f>
        <v/>
      </c>
      <c r="J1602" s="25">
        <f>IF($C1602="","",IFERROR(IF(INDEX(Roster!$I:$I,MATCH($C1602,Roster!$B:$B,0))="","",INDEX(Roster!$I:$I,MATCH($C1602,Roster!$B:$B,0))&amp;""),"—"))</f>
        <v/>
      </c>
      <c r="K1602">
        <f>IF($C1602="","",IFERROR(IF(INDEX(Roster!$J:$J,MATCH($C1602,Roster!$B:$B,0))="","",INDEX(Roster!$J:$J,MATCH($C1602,Roster!$B:$B,0))&amp;""),"—"))</f>
        <v/>
      </c>
      <c r="L1602">
        <f>IF($C1602="","",IFERROR(IF(INDEX(Roster!$K:$K,MATCH($C1602,Roster!$B:$B,0))="","",INDEX(Roster!$K:$K,MATCH($C1602,Roster!$B:$B,0))&amp;""),"—"))</f>
        <v/>
      </c>
      <c r="M1602" s="27" t="n"/>
      <c r="N1602" s="27" t="n"/>
      <c r="O1602" s="25">
        <f>IF($C1602="","",IF($P1602="","—",IF($P1602="Valid (Pass)","Valid","Invalid")))</f>
        <v/>
      </c>
      <c r="P1602" s="27" t="n"/>
      <c r="Q1602" s="27" t="n"/>
      <c r="R1602" s="27" t="n"/>
      <c r="S1602" s="27" t="n"/>
      <c r="T1602" s="25">
        <f>IF($C1602="","",IF(OR(ISNUMBER(SEARCH("quick case",$P1602)),ISNUMBER(SEARCH("quick case",$Q1602))),"Yes","No"))</f>
        <v/>
      </c>
      <c r="U1602" s="25">
        <f>IF($O1602="Invalid",HYPERLINK("mailto:"&amp;$G1602&amp;";"&amp;$I1602&amp;"?cc="&amp;Lists!$E$2&amp;"&amp;subject="&amp;_xlfn.ENCODEURL("[INVALID] Quality audit monitoring completed for "&amp;UPPER($C1602))&amp;"&amp;body="&amp;_xlfn.ENCODEURL("Hi "&amp;$F1602&amp;","&amp;CHAR(10)&amp;"Good day!"&amp;CHAR(10)&amp;CHAR(10)&amp;"A quality monitoring audit has been completed for "&amp;$C1602&amp;"."&amp;CHAR(10)&amp;CHAR(10)&amp;"QUALITY AUDIT DETAILS"&amp;CHAR(10)&amp;"Agent Name: "&amp;$C1602&amp;" (EID "&amp;$D1602&amp;")"&amp;CHAR(10)&amp;"Audit Date: "&amp;TEXT($B1602,"yyyy-mm-dd")&amp;CHAR(10)&amp;"Team Leader: "&amp;$F1602&amp;CHAR(10)&amp;"Case Number: "&amp;$M1602&amp;CHAR(10)&amp;"Transaction ID: "&amp;$N1602&amp;CHAR(10)&amp;"Channel / LOB: "&amp;$K1602&amp;" / "&amp;$L1602&amp;CHAR(10)&amp;"Evaluator: "&amp;$S1602&amp;CHAR(10)&amp;CHAR(10)&amp;"INVALID QUALITY AUDIT DETAILS"&amp;CHAR(10)&amp;"Validation: Invalid"&amp;CHAR(10)&amp;"Invalid Reason: "&amp;$P1602&amp;CHAR(10)&amp;"Expected Resolution Code: "&amp;$Q1602&amp;CHAR(10)&amp;"Remarks: "&amp;LEFT($R1602,600)&amp;CHAR(10)&amp;CHAR(10)&amp;"This is an automated notification from HP Mainstream EQMS."),"✉ Open Email Draft"),"")</f>
        <v/>
      </c>
    </row>
    <row r="1603">
      <c r="A1603" s="25">
        <f>IF($C1603="","","AUD-2026-"&amp;TEXT(ROW()-1,"000000"))</f>
        <v/>
      </c>
      <c r="B1603" s="26" t="n"/>
      <c r="C1603" s="27" t="n"/>
      <c r="D1603" s="25">
        <f>IF($C1603="","",IFERROR(IF(INDEX(Roster!$A:$A,MATCH($C1603,Roster!$B:$B,0))="","",INDEX(Roster!$A:$A,MATCH($C1603,Roster!$B:$B,0))&amp;""),"—"))</f>
        <v/>
      </c>
      <c r="E1603" s="25">
        <f>IF($C1603="","",IFERROR(IF(INDEX(Roster!$C:$C,MATCH($C1603,Roster!$B:$B,0))="","",INDEX(Roster!$C:$C,MATCH($C1603,Roster!$B:$B,0))&amp;""),"—"))</f>
        <v/>
      </c>
      <c r="F1603" s="25">
        <f>IF($C1603="","",IFERROR(IF(INDEX(Roster!$D:$D,MATCH($C1603,Roster!$B:$B,0))="","",INDEX(Roster!$D:$D,MATCH($C1603,Roster!$B:$B,0))&amp;""),"—"))</f>
        <v/>
      </c>
      <c r="G1603" s="25">
        <f>IF($C1603="","",IFERROR(IF(INDEX(Roster!$E:$E,MATCH($C1603,Roster!$B:$B,0))="","",INDEX(Roster!$E:$E,MATCH($C1603,Roster!$B:$B,0))&amp;""),"—"))</f>
        <v/>
      </c>
      <c r="H1603" s="25">
        <f>IF($C1603="","",IFERROR(IF(INDEX(Roster!$F:$F,MATCH($C1603,Roster!$B:$B,0))="","",INDEX(Roster!$F:$F,MATCH($C1603,Roster!$B:$B,0))&amp;""),"—"))</f>
        <v/>
      </c>
      <c r="I1603" s="25">
        <f>IF($C1603="","",IFERROR(IF(INDEX(Roster!$G:$G,MATCH($C1603,Roster!$B:$B,0))="","",INDEX(Roster!$G:$G,MATCH($C1603,Roster!$B:$B,0))&amp;""),"—"))</f>
        <v/>
      </c>
      <c r="J1603" s="25">
        <f>IF($C1603="","",IFERROR(IF(INDEX(Roster!$I:$I,MATCH($C1603,Roster!$B:$B,0))="","",INDEX(Roster!$I:$I,MATCH($C1603,Roster!$B:$B,0))&amp;""),"—"))</f>
        <v/>
      </c>
      <c r="K1603">
        <f>IF($C1603="","",IFERROR(IF(INDEX(Roster!$J:$J,MATCH($C1603,Roster!$B:$B,0))="","",INDEX(Roster!$J:$J,MATCH($C1603,Roster!$B:$B,0))&amp;""),"—"))</f>
        <v/>
      </c>
      <c r="L1603">
        <f>IF($C1603="","",IFERROR(IF(INDEX(Roster!$K:$K,MATCH($C1603,Roster!$B:$B,0))="","",INDEX(Roster!$K:$K,MATCH($C1603,Roster!$B:$B,0))&amp;""),"—"))</f>
        <v/>
      </c>
      <c r="M1603" s="27" t="n"/>
      <c r="N1603" s="27" t="n"/>
      <c r="O1603" s="25">
        <f>IF($C1603="","",IF($P1603="","—",IF($P1603="Valid (Pass)","Valid","Invalid")))</f>
        <v/>
      </c>
      <c r="P1603" s="27" t="n"/>
      <c r="Q1603" s="27" t="n"/>
      <c r="R1603" s="27" t="n"/>
      <c r="S1603" s="27" t="n"/>
      <c r="T1603" s="25">
        <f>IF($C1603="","",IF(OR(ISNUMBER(SEARCH("quick case",$P1603)),ISNUMBER(SEARCH("quick case",$Q1603))),"Yes","No"))</f>
        <v/>
      </c>
      <c r="U1603" s="25">
        <f>IF($O1603="Invalid",HYPERLINK("mailto:"&amp;$G1603&amp;";"&amp;$I1603&amp;"?cc="&amp;Lists!$E$2&amp;"&amp;subject="&amp;_xlfn.ENCODEURL("[INVALID] Quality audit monitoring completed for "&amp;UPPER($C1603))&amp;"&amp;body="&amp;_xlfn.ENCODEURL("Hi "&amp;$F1603&amp;","&amp;CHAR(10)&amp;"Good day!"&amp;CHAR(10)&amp;CHAR(10)&amp;"A quality monitoring audit has been completed for "&amp;$C1603&amp;"."&amp;CHAR(10)&amp;CHAR(10)&amp;"QUALITY AUDIT DETAILS"&amp;CHAR(10)&amp;"Agent Name: "&amp;$C1603&amp;" (EID "&amp;$D1603&amp;")"&amp;CHAR(10)&amp;"Audit Date: "&amp;TEXT($B1603,"yyyy-mm-dd")&amp;CHAR(10)&amp;"Team Leader: "&amp;$F1603&amp;CHAR(10)&amp;"Case Number: "&amp;$M1603&amp;CHAR(10)&amp;"Transaction ID: "&amp;$N1603&amp;CHAR(10)&amp;"Channel / LOB: "&amp;$K1603&amp;" / "&amp;$L1603&amp;CHAR(10)&amp;"Evaluator: "&amp;$S1603&amp;CHAR(10)&amp;CHAR(10)&amp;"INVALID QUALITY AUDIT DETAILS"&amp;CHAR(10)&amp;"Validation: Invalid"&amp;CHAR(10)&amp;"Invalid Reason: "&amp;$P1603&amp;CHAR(10)&amp;"Expected Resolution Code: "&amp;$Q1603&amp;CHAR(10)&amp;"Remarks: "&amp;LEFT($R1603,600)&amp;CHAR(10)&amp;CHAR(10)&amp;"This is an automated notification from HP Mainstream EQMS."),"✉ Open Email Draft"),"")</f>
        <v/>
      </c>
    </row>
    <row r="1604">
      <c r="A1604" s="25">
        <f>IF($C1604="","","AUD-2026-"&amp;TEXT(ROW()-1,"000000"))</f>
        <v/>
      </c>
      <c r="B1604" s="26" t="n"/>
      <c r="C1604" s="27" t="n"/>
      <c r="D1604" s="25">
        <f>IF($C1604="","",IFERROR(IF(INDEX(Roster!$A:$A,MATCH($C1604,Roster!$B:$B,0))="","",INDEX(Roster!$A:$A,MATCH($C1604,Roster!$B:$B,0))&amp;""),"—"))</f>
        <v/>
      </c>
      <c r="E1604" s="25">
        <f>IF($C1604="","",IFERROR(IF(INDEX(Roster!$C:$C,MATCH($C1604,Roster!$B:$B,0))="","",INDEX(Roster!$C:$C,MATCH($C1604,Roster!$B:$B,0))&amp;""),"—"))</f>
        <v/>
      </c>
      <c r="F1604" s="25">
        <f>IF($C1604="","",IFERROR(IF(INDEX(Roster!$D:$D,MATCH($C1604,Roster!$B:$B,0))="","",INDEX(Roster!$D:$D,MATCH($C1604,Roster!$B:$B,0))&amp;""),"—"))</f>
        <v/>
      </c>
      <c r="G1604" s="25">
        <f>IF($C1604="","",IFERROR(IF(INDEX(Roster!$E:$E,MATCH($C1604,Roster!$B:$B,0))="","",INDEX(Roster!$E:$E,MATCH($C1604,Roster!$B:$B,0))&amp;""),"—"))</f>
        <v/>
      </c>
      <c r="H1604" s="25">
        <f>IF($C1604="","",IFERROR(IF(INDEX(Roster!$F:$F,MATCH($C1604,Roster!$B:$B,0))="","",INDEX(Roster!$F:$F,MATCH($C1604,Roster!$B:$B,0))&amp;""),"—"))</f>
        <v/>
      </c>
      <c r="I1604" s="25">
        <f>IF($C1604="","",IFERROR(IF(INDEX(Roster!$G:$G,MATCH($C1604,Roster!$B:$B,0))="","",INDEX(Roster!$G:$G,MATCH($C1604,Roster!$B:$B,0))&amp;""),"—"))</f>
        <v/>
      </c>
      <c r="J1604" s="25">
        <f>IF($C1604="","",IFERROR(IF(INDEX(Roster!$I:$I,MATCH($C1604,Roster!$B:$B,0))="","",INDEX(Roster!$I:$I,MATCH($C1604,Roster!$B:$B,0))&amp;""),"—"))</f>
        <v/>
      </c>
      <c r="K1604">
        <f>IF($C1604="","",IFERROR(IF(INDEX(Roster!$J:$J,MATCH($C1604,Roster!$B:$B,0))="","",INDEX(Roster!$J:$J,MATCH($C1604,Roster!$B:$B,0))&amp;""),"—"))</f>
        <v/>
      </c>
      <c r="L1604">
        <f>IF($C1604="","",IFERROR(IF(INDEX(Roster!$K:$K,MATCH($C1604,Roster!$B:$B,0))="","",INDEX(Roster!$K:$K,MATCH($C1604,Roster!$B:$B,0))&amp;""),"—"))</f>
        <v/>
      </c>
      <c r="M1604" s="27" t="n"/>
      <c r="N1604" s="27" t="n"/>
      <c r="O1604" s="25">
        <f>IF($C1604="","",IF($P1604="","—",IF($P1604="Valid (Pass)","Valid","Invalid")))</f>
        <v/>
      </c>
      <c r="P1604" s="27" t="n"/>
      <c r="Q1604" s="27" t="n"/>
      <c r="R1604" s="27" t="n"/>
      <c r="S1604" s="27" t="n"/>
      <c r="T1604" s="25">
        <f>IF($C1604="","",IF(OR(ISNUMBER(SEARCH("quick case",$P1604)),ISNUMBER(SEARCH("quick case",$Q1604))),"Yes","No"))</f>
        <v/>
      </c>
      <c r="U1604" s="25">
        <f>IF($O1604="Invalid",HYPERLINK("mailto:"&amp;$G1604&amp;";"&amp;$I1604&amp;"?cc="&amp;Lists!$E$2&amp;"&amp;subject="&amp;_xlfn.ENCODEURL("[INVALID] Quality audit monitoring completed for "&amp;UPPER($C1604))&amp;"&amp;body="&amp;_xlfn.ENCODEURL("Hi "&amp;$F1604&amp;","&amp;CHAR(10)&amp;"Good day!"&amp;CHAR(10)&amp;CHAR(10)&amp;"A quality monitoring audit has been completed for "&amp;$C1604&amp;"."&amp;CHAR(10)&amp;CHAR(10)&amp;"QUALITY AUDIT DETAILS"&amp;CHAR(10)&amp;"Agent Name: "&amp;$C1604&amp;" (EID "&amp;$D1604&amp;")"&amp;CHAR(10)&amp;"Audit Date: "&amp;TEXT($B1604,"yyyy-mm-dd")&amp;CHAR(10)&amp;"Team Leader: "&amp;$F1604&amp;CHAR(10)&amp;"Case Number: "&amp;$M1604&amp;CHAR(10)&amp;"Transaction ID: "&amp;$N1604&amp;CHAR(10)&amp;"Channel / LOB: "&amp;$K1604&amp;" / "&amp;$L1604&amp;CHAR(10)&amp;"Evaluator: "&amp;$S1604&amp;CHAR(10)&amp;CHAR(10)&amp;"INVALID QUALITY AUDIT DETAILS"&amp;CHAR(10)&amp;"Validation: Invalid"&amp;CHAR(10)&amp;"Invalid Reason: "&amp;$P1604&amp;CHAR(10)&amp;"Expected Resolution Code: "&amp;$Q1604&amp;CHAR(10)&amp;"Remarks: "&amp;LEFT($R1604,600)&amp;CHAR(10)&amp;CHAR(10)&amp;"This is an automated notification from HP Mainstream EQMS."),"✉ Open Email Draft"),"")</f>
        <v/>
      </c>
    </row>
    <row r="1605">
      <c r="A1605" s="25">
        <f>IF($C1605="","","AUD-2026-"&amp;TEXT(ROW()-1,"000000"))</f>
        <v/>
      </c>
      <c r="B1605" s="26" t="n"/>
      <c r="C1605" s="27" t="n"/>
      <c r="D1605" s="25">
        <f>IF($C1605="","",IFERROR(IF(INDEX(Roster!$A:$A,MATCH($C1605,Roster!$B:$B,0))="","",INDEX(Roster!$A:$A,MATCH($C1605,Roster!$B:$B,0))&amp;""),"—"))</f>
        <v/>
      </c>
      <c r="E1605" s="25">
        <f>IF($C1605="","",IFERROR(IF(INDEX(Roster!$C:$C,MATCH($C1605,Roster!$B:$B,0))="","",INDEX(Roster!$C:$C,MATCH($C1605,Roster!$B:$B,0))&amp;""),"—"))</f>
        <v/>
      </c>
      <c r="F1605" s="25">
        <f>IF($C1605="","",IFERROR(IF(INDEX(Roster!$D:$D,MATCH($C1605,Roster!$B:$B,0))="","",INDEX(Roster!$D:$D,MATCH($C1605,Roster!$B:$B,0))&amp;""),"—"))</f>
        <v/>
      </c>
      <c r="G1605" s="25">
        <f>IF($C1605="","",IFERROR(IF(INDEX(Roster!$E:$E,MATCH($C1605,Roster!$B:$B,0))="","",INDEX(Roster!$E:$E,MATCH($C1605,Roster!$B:$B,0))&amp;""),"—"))</f>
        <v/>
      </c>
      <c r="H1605" s="25">
        <f>IF($C1605="","",IFERROR(IF(INDEX(Roster!$F:$F,MATCH($C1605,Roster!$B:$B,0))="","",INDEX(Roster!$F:$F,MATCH($C1605,Roster!$B:$B,0))&amp;""),"—"))</f>
        <v/>
      </c>
      <c r="I1605" s="25">
        <f>IF($C1605="","",IFERROR(IF(INDEX(Roster!$G:$G,MATCH($C1605,Roster!$B:$B,0))="","",INDEX(Roster!$G:$G,MATCH($C1605,Roster!$B:$B,0))&amp;""),"—"))</f>
        <v/>
      </c>
      <c r="J1605" s="25">
        <f>IF($C1605="","",IFERROR(IF(INDEX(Roster!$I:$I,MATCH($C1605,Roster!$B:$B,0))="","",INDEX(Roster!$I:$I,MATCH($C1605,Roster!$B:$B,0))&amp;""),"—"))</f>
        <v/>
      </c>
      <c r="K1605">
        <f>IF($C1605="","",IFERROR(IF(INDEX(Roster!$J:$J,MATCH($C1605,Roster!$B:$B,0))="","",INDEX(Roster!$J:$J,MATCH($C1605,Roster!$B:$B,0))&amp;""),"—"))</f>
        <v/>
      </c>
      <c r="L1605">
        <f>IF($C1605="","",IFERROR(IF(INDEX(Roster!$K:$K,MATCH($C1605,Roster!$B:$B,0))="","",INDEX(Roster!$K:$K,MATCH($C1605,Roster!$B:$B,0))&amp;""),"—"))</f>
        <v/>
      </c>
      <c r="M1605" s="27" t="n"/>
      <c r="N1605" s="27" t="n"/>
      <c r="O1605" s="25">
        <f>IF($C1605="","",IF($P1605="","—",IF($P1605="Valid (Pass)","Valid","Invalid")))</f>
        <v/>
      </c>
      <c r="P1605" s="27" t="n"/>
      <c r="Q1605" s="27" t="n"/>
      <c r="R1605" s="27" t="n"/>
      <c r="S1605" s="27" t="n"/>
      <c r="T1605" s="25">
        <f>IF($C1605="","",IF(OR(ISNUMBER(SEARCH("quick case",$P1605)),ISNUMBER(SEARCH("quick case",$Q1605))),"Yes","No"))</f>
        <v/>
      </c>
      <c r="U1605" s="25">
        <f>IF($O1605="Invalid",HYPERLINK("mailto:"&amp;$G1605&amp;";"&amp;$I1605&amp;"?cc="&amp;Lists!$E$2&amp;"&amp;subject="&amp;_xlfn.ENCODEURL("[INVALID] Quality audit monitoring completed for "&amp;UPPER($C1605))&amp;"&amp;body="&amp;_xlfn.ENCODEURL("Hi "&amp;$F1605&amp;","&amp;CHAR(10)&amp;"Good day!"&amp;CHAR(10)&amp;CHAR(10)&amp;"A quality monitoring audit has been completed for "&amp;$C1605&amp;"."&amp;CHAR(10)&amp;CHAR(10)&amp;"QUALITY AUDIT DETAILS"&amp;CHAR(10)&amp;"Agent Name: "&amp;$C1605&amp;" (EID "&amp;$D1605&amp;")"&amp;CHAR(10)&amp;"Audit Date: "&amp;TEXT($B1605,"yyyy-mm-dd")&amp;CHAR(10)&amp;"Team Leader: "&amp;$F1605&amp;CHAR(10)&amp;"Case Number: "&amp;$M1605&amp;CHAR(10)&amp;"Transaction ID: "&amp;$N1605&amp;CHAR(10)&amp;"Channel / LOB: "&amp;$K1605&amp;" / "&amp;$L1605&amp;CHAR(10)&amp;"Evaluator: "&amp;$S1605&amp;CHAR(10)&amp;CHAR(10)&amp;"INVALID QUALITY AUDIT DETAILS"&amp;CHAR(10)&amp;"Validation: Invalid"&amp;CHAR(10)&amp;"Invalid Reason: "&amp;$P1605&amp;CHAR(10)&amp;"Expected Resolution Code: "&amp;$Q1605&amp;CHAR(10)&amp;"Remarks: "&amp;LEFT($R1605,600)&amp;CHAR(10)&amp;CHAR(10)&amp;"This is an automated notification from HP Mainstream EQMS."),"✉ Open Email Draft"),"")</f>
        <v/>
      </c>
    </row>
    <row r="1606">
      <c r="A1606" s="25">
        <f>IF($C1606="","","AUD-2026-"&amp;TEXT(ROW()-1,"000000"))</f>
        <v/>
      </c>
      <c r="B1606" s="26" t="n"/>
      <c r="C1606" s="27" t="n"/>
      <c r="D1606" s="25">
        <f>IF($C1606="","",IFERROR(IF(INDEX(Roster!$A:$A,MATCH($C1606,Roster!$B:$B,0))="","",INDEX(Roster!$A:$A,MATCH($C1606,Roster!$B:$B,0))&amp;""),"—"))</f>
        <v/>
      </c>
      <c r="E1606" s="25">
        <f>IF($C1606="","",IFERROR(IF(INDEX(Roster!$C:$C,MATCH($C1606,Roster!$B:$B,0))="","",INDEX(Roster!$C:$C,MATCH($C1606,Roster!$B:$B,0))&amp;""),"—"))</f>
        <v/>
      </c>
      <c r="F1606" s="25">
        <f>IF($C1606="","",IFERROR(IF(INDEX(Roster!$D:$D,MATCH($C1606,Roster!$B:$B,0))="","",INDEX(Roster!$D:$D,MATCH($C1606,Roster!$B:$B,0))&amp;""),"—"))</f>
        <v/>
      </c>
      <c r="G1606" s="25">
        <f>IF($C1606="","",IFERROR(IF(INDEX(Roster!$E:$E,MATCH($C1606,Roster!$B:$B,0))="","",INDEX(Roster!$E:$E,MATCH($C1606,Roster!$B:$B,0))&amp;""),"—"))</f>
        <v/>
      </c>
      <c r="H1606" s="25">
        <f>IF($C1606="","",IFERROR(IF(INDEX(Roster!$F:$F,MATCH($C1606,Roster!$B:$B,0))="","",INDEX(Roster!$F:$F,MATCH($C1606,Roster!$B:$B,0))&amp;""),"—"))</f>
        <v/>
      </c>
      <c r="I1606" s="25">
        <f>IF($C1606="","",IFERROR(IF(INDEX(Roster!$G:$G,MATCH($C1606,Roster!$B:$B,0))="","",INDEX(Roster!$G:$G,MATCH($C1606,Roster!$B:$B,0))&amp;""),"—"))</f>
        <v/>
      </c>
      <c r="J1606" s="25">
        <f>IF($C1606="","",IFERROR(IF(INDEX(Roster!$I:$I,MATCH($C1606,Roster!$B:$B,0))="","",INDEX(Roster!$I:$I,MATCH($C1606,Roster!$B:$B,0))&amp;""),"—"))</f>
        <v/>
      </c>
      <c r="K1606">
        <f>IF($C1606="","",IFERROR(IF(INDEX(Roster!$J:$J,MATCH($C1606,Roster!$B:$B,0))="","",INDEX(Roster!$J:$J,MATCH($C1606,Roster!$B:$B,0))&amp;""),"—"))</f>
        <v/>
      </c>
      <c r="L1606">
        <f>IF($C1606="","",IFERROR(IF(INDEX(Roster!$K:$K,MATCH($C1606,Roster!$B:$B,0))="","",INDEX(Roster!$K:$K,MATCH($C1606,Roster!$B:$B,0))&amp;""),"—"))</f>
        <v/>
      </c>
      <c r="M1606" s="27" t="n"/>
      <c r="N1606" s="27" t="n"/>
      <c r="O1606" s="25">
        <f>IF($C1606="","",IF($P1606="","—",IF($P1606="Valid (Pass)","Valid","Invalid")))</f>
        <v/>
      </c>
      <c r="P1606" s="27" t="n"/>
      <c r="Q1606" s="27" t="n"/>
      <c r="R1606" s="27" t="n"/>
      <c r="S1606" s="27" t="n"/>
      <c r="T1606" s="25">
        <f>IF($C1606="","",IF(OR(ISNUMBER(SEARCH("quick case",$P1606)),ISNUMBER(SEARCH("quick case",$Q1606))),"Yes","No"))</f>
        <v/>
      </c>
      <c r="U1606" s="25">
        <f>IF($O1606="Invalid",HYPERLINK("mailto:"&amp;$G1606&amp;";"&amp;$I1606&amp;"?cc="&amp;Lists!$E$2&amp;"&amp;subject="&amp;_xlfn.ENCODEURL("[INVALID] Quality audit monitoring completed for "&amp;UPPER($C1606))&amp;"&amp;body="&amp;_xlfn.ENCODEURL("Hi "&amp;$F1606&amp;","&amp;CHAR(10)&amp;"Good day!"&amp;CHAR(10)&amp;CHAR(10)&amp;"A quality monitoring audit has been completed for "&amp;$C1606&amp;"."&amp;CHAR(10)&amp;CHAR(10)&amp;"QUALITY AUDIT DETAILS"&amp;CHAR(10)&amp;"Agent Name: "&amp;$C1606&amp;" (EID "&amp;$D1606&amp;")"&amp;CHAR(10)&amp;"Audit Date: "&amp;TEXT($B1606,"yyyy-mm-dd")&amp;CHAR(10)&amp;"Team Leader: "&amp;$F1606&amp;CHAR(10)&amp;"Case Number: "&amp;$M1606&amp;CHAR(10)&amp;"Transaction ID: "&amp;$N1606&amp;CHAR(10)&amp;"Channel / LOB: "&amp;$K1606&amp;" / "&amp;$L1606&amp;CHAR(10)&amp;"Evaluator: "&amp;$S1606&amp;CHAR(10)&amp;CHAR(10)&amp;"INVALID QUALITY AUDIT DETAILS"&amp;CHAR(10)&amp;"Validation: Invalid"&amp;CHAR(10)&amp;"Invalid Reason: "&amp;$P1606&amp;CHAR(10)&amp;"Expected Resolution Code: "&amp;$Q1606&amp;CHAR(10)&amp;"Remarks: "&amp;LEFT($R1606,600)&amp;CHAR(10)&amp;CHAR(10)&amp;"This is an automated notification from HP Mainstream EQMS."),"✉ Open Email Draft"),"")</f>
        <v/>
      </c>
    </row>
    <row r="1607">
      <c r="A1607" s="25">
        <f>IF($C1607="","","AUD-2026-"&amp;TEXT(ROW()-1,"000000"))</f>
        <v/>
      </c>
      <c r="B1607" s="26" t="n"/>
      <c r="C1607" s="27" t="n"/>
      <c r="D1607" s="25">
        <f>IF($C1607="","",IFERROR(IF(INDEX(Roster!$A:$A,MATCH($C1607,Roster!$B:$B,0))="","",INDEX(Roster!$A:$A,MATCH($C1607,Roster!$B:$B,0))&amp;""),"—"))</f>
        <v/>
      </c>
      <c r="E1607" s="25">
        <f>IF($C1607="","",IFERROR(IF(INDEX(Roster!$C:$C,MATCH($C1607,Roster!$B:$B,0))="","",INDEX(Roster!$C:$C,MATCH($C1607,Roster!$B:$B,0))&amp;""),"—"))</f>
        <v/>
      </c>
      <c r="F1607" s="25">
        <f>IF($C1607="","",IFERROR(IF(INDEX(Roster!$D:$D,MATCH($C1607,Roster!$B:$B,0))="","",INDEX(Roster!$D:$D,MATCH($C1607,Roster!$B:$B,0))&amp;""),"—"))</f>
        <v/>
      </c>
      <c r="G1607" s="25">
        <f>IF($C1607="","",IFERROR(IF(INDEX(Roster!$E:$E,MATCH($C1607,Roster!$B:$B,0))="","",INDEX(Roster!$E:$E,MATCH($C1607,Roster!$B:$B,0))&amp;""),"—"))</f>
        <v/>
      </c>
      <c r="H1607" s="25">
        <f>IF($C1607="","",IFERROR(IF(INDEX(Roster!$F:$F,MATCH($C1607,Roster!$B:$B,0))="","",INDEX(Roster!$F:$F,MATCH($C1607,Roster!$B:$B,0))&amp;""),"—"))</f>
        <v/>
      </c>
      <c r="I1607" s="25">
        <f>IF($C1607="","",IFERROR(IF(INDEX(Roster!$G:$G,MATCH($C1607,Roster!$B:$B,0))="","",INDEX(Roster!$G:$G,MATCH($C1607,Roster!$B:$B,0))&amp;""),"—"))</f>
        <v/>
      </c>
      <c r="J1607" s="25">
        <f>IF($C1607="","",IFERROR(IF(INDEX(Roster!$I:$I,MATCH($C1607,Roster!$B:$B,0))="","",INDEX(Roster!$I:$I,MATCH($C1607,Roster!$B:$B,0))&amp;""),"—"))</f>
        <v/>
      </c>
      <c r="K1607">
        <f>IF($C1607="","",IFERROR(IF(INDEX(Roster!$J:$J,MATCH($C1607,Roster!$B:$B,0))="","",INDEX(Roster!$J:$J,MATCH($C1607,Roster!$B:$B,0))&amp;""),"—"))</f>
        <v/>
      </c>
      <c r="L1607">
        <f>IF($C1607="","",IFERROR(IF(INDEX(Roster!$K:$K,MATCH($C1607,Roster!$B:$B,0))="","",INDEX(Roster!$K:$K,MATCH($C1607,Roster!$B:$B,0))&amp;""),"—"))</f>
        <v/>
      </c>
      <c r="M1607" s="27" t="n"/>
      <c r="N1607" s="27" t="n"/>
      <c r="O1607" s="25">
        <f>IF($C1607="","",IF($P1607="","—",IF($P1607="Valid (Pass)","Valid","Invalid")))</f>
        <v/>
      </c>
      <c r="P1607" s="27" t="n"/>
      <c r="Q1607" s="27" t="n"/>
      <c r="R1607" s="27" t="n"/>
      <c r="S1607" s="27" t="n"/>
      <c r="T1607" s="25">
        <f>IF($C1607="","",IF(OR(ISNUMBER(SEARCH("quick case",$P1607)),ISNUMBER(SEARCH("quick case",$Q1607))),"Yes","No"))</f>
        <v/>
      </c>
      <c r="U1607" s="25">
        <f>IF($O1607="Invalid",HYPERLINK("mailto:"&amp;$G1607&amp;";"&amp;$I1607&amp;"?cc="&amp;Lists!$E$2&amp;"&amp;subject="&amp;_xlfn.ENCODEURL("[INVALID] Quality audit monitoring completed for "&amp;UPPER($C1607))&amp;"&amp;body="&amp;_xlfn.ENCODEURL("Hi "&amp;$F1607&amp;","&amp;CHAR(10)&amp;"Good day!"&amp;CHAR(10)&amp;CHAR(10)&amp;"A quality monitoring audit has been completed for "&amp;$C1607&amp;"."&amp;CHAR(10)&amp;CHAR(10)&amp;"QUALITY AUDIT DETAILS"&amp;CHAR(10)&amp;"Agent Name: "&amp;$C1607&amp;" (EID "&amp;$D1607&amp;")"&amp;CHAR(10)&amp;"Audit Date: "&amp;TEXT($B1607,"yyyy-mm-dd")&amp;CHAR(10)&amp;"Team Leader: "&amp;$F1607&amp;CHAR(10)&amp;"Case Number: "&amp;$M1607&amp;CHAR(10)&amp;"Transaction ID: "&amp;$N1607&amp;CHAR(10)&amp;"Channel / LOB: "&amp;$K1607&amp;" / "&amp;$L1607&amp;CHAR(10)&amp;"Evaluator: "&amp;$S1607&amp;CHAR(10)&amp;CHAR(10)&amp;"INVALID QUALITY AUDIT DETAILS"&amp;CHAR(10)&amp;"Validation: Invalid"&amp;CHAR(10)&amp;"Invalid Reason: "&amp;$P1607&amp;CHAR(10)&amp;"Expected Resolution Code: "&amp;$Q1607&amp;CHAR(10)&amp;"Remarks: "&amp;LEFT($R1607,600)&amp;CHAR(10)&amp;CHAR(10)&amp;"This is an automated notification from HP Mainstream EQMS."),"✉ Open Email Draft"),"")</f>
        <v/>
      </c>
    </row>
    <row r="1608">
      <c r="A1608" s="25">
        <f>IF($C1608="","","AUD-2026-"&amp;TEXT(ROW()-1,"000000"))</f>
        <v/>
      </c>
      <c r="B1608" s="26" t="n"/>
      <c r="C1608" s="27" t="n"/>
      <c r="D1608" s="25">
        <f>IF($C1608="","",IFERROR(IF(INDEX(Roster!$A:$A,MATCH($C1608,Roster!$B:$B,0))="","",INDEX(Roster!$A:$A,MATCH($C1608,Roster!$B:$B,0))&amp;""),"—"))</f>
        <v/>
      </c>
      <c r="E1608" s="25">
        <f>IF($C1608="","",IFERROR(IF(INDEX(Roster!$C:$C,MATCH($C1608,Roster!$B:$B,0))="","",INDEX(Roster!$C:$C,MATCH($C1608,Roster!$B:$B,0))&amp;""),"—"))</f>
        <v/>
      </c>
      <c r="F1608" s="25">
        <f>IF($C1608="","",IFERROR(IF(INDEX(Roster!$D:$D,MATCH($C1608,Roster!$B:$B,0))="","",INDEX(Roster!$D:$D,MATCH($C1608,Roster!$B:$B,0))&amp;""),"—"))</f>
        <v/>
      </c>
      <c r="G1608" s="25">
        <f>IF($C1608="","",IFERROR(IF(INDEX(Roster!$E:$E,MATCH($C1608,Roster!$B:$B,0))="","",INDEX(Roster!$E:$E,MATCH($C1608,Roster!$B:$B,0))&amp;""),"—"))</f>
        <v/>
      </c>
      <c r="H1608" s="25">
        <f>IF($C1608="","",IFERROR(IF(INDEX(Roster!$F:$F,MATCH($C1608,Roster!$B:$B,0))="","",INDEX(Roster!$F:$F,MATCH($C1608,Roster!$B:$B,0))&amp;""),"—"))</f>
        <v/>
      </c>
      <c r="I1608" s="25">
        <f>IF($C1608="","",IFERROR(IF(INDEX(Roster!$G:$G,MATCH($C1608,Roster!$B:$B,0))="","",INDEX(Roster!$G:$G,MATCH($C1608,Roster!$B:$B,0))&amp;""),"—"))</f>
        <v/>
      </c>
      <c r="J1608" s="25">
        <f>IF($C1608="","",IFERROR(IF(INDEX(Roster!$I:$I,MATCH($C1608,Roster!$B:$B,0))="","",INDEX(Roster!$I:$I,MATCH($C1608,Roster!$B:$B,0))&amp;""),"—"))</f>
        <v/>
      </c>
      <c r="K1608">
        <f>IF($C1608="","",IFERROR(IF(INDEX(Roster!$J:$J,MATCH($C1608,Roster!$B:$B,0))="","",INDEX(Roster!$J:$J,MATCH($C1608,Roster!$B:$B,0))&amp;""),"—"))</f>
        <v/>
      </c>
      <c r="L1608">
        <f>IF($C1608="","",IFERROR(IF(INDEX(Roster!$K:$K,MATCH($C1608,Roster!$B:$B,0))="","",INDEX(Roster!$K:$K,MATCH($C1608,Roster!$B:$B,0))&amp;""),"—"))</f>
        <v/>
      </c>
      <c r="M1608" s="27" t="n"/>
      <c r="N1608" s="27" t="n"/>
      <c r="O1608" s="25">
        <f>IF($C1608="","",IF($P1608="","—",IF($P1608="Valid (Pass)","Valid","Invalid")))</f>
        <v/>
      </c>
      <c r="P1608" s="27" t="n"/>
      <c r="Q1608" s="27" t="n"/>
      <c r="R1608" s="27" t="n"/>
      <c r="S1608" s="27" t="n"/>
      <c r="T1608" s="25">
        <f>IF($C1608="","",IF(OR(ISNUMBER(SEARCH("quick case",$P1608)),ISNUMBER(SEARCH("quick case",$Q1608))),"Yes","No"))</f>
        <v/>
      </c>
      <c r="U1608" s="25">
        <f>IF($O1608="Invalid",HYPERLINK("mailto:"&amp;$G1608&amp;";"&amp;$I1608&amp;"?cc="&amp;Lists!$E$2&amp;"&amp;subject="&amp;_xlfn.ENCODEURL("[INVALID] Quality audit monitoring completed for "&amp;UPPER($C1608))&amp;"&amp;body="&amp;_xlfn.ENCODEURL("Hi "&amp;$F1608&amp;","&amp;CHAR(10)&amp;"Good day!"&amp;CHAR(10)&amp;CHAR(10)&amp;"A quality monitoring audit has been completed for "&amp;$C1608&amp;"."&amp;CHAR(10)&amp;CHAR(10)&amp;"QUALITY AUDIT DETAILS"&amp;CHAR(10)&amp;"Agent Name: "&amp;$C1608&amp;" (EID "&amp;$D1608&amp;")"&amp;CHAR(10)&amp;"Audit Date: "&amp;TEXT($B1608,"yyyy-mm-dd")&amp;CHAR(10)&amp;"Team Leader: "&amp;$F1608&amp;CHAR(10)&amp;"Case Number: "&amp;$M1608&amp;CHAR(10)&amp;"Transaction ID: "&amp;$N1608&amp;CHAR(10)&amp;"Channel / LOB: "&amp;$K1608&amp;" / "&amp;$L1608&amp;CHAR(10)&amp;"Evaluator: "&amp;$S1608&amp;CHAR(10)&amp;CHAR(10)&amp;"INVALID QUALITY AUDIT DETAILS"&amp;CHAR(10)&amp;"Validation: Invalid"&amp;CHAR(10)&amp;"Invalid Reason: "&amp;$P1608&amp;CHAR(10)&amp;"Expected Resolution Code: "&amp;$Q1608&amp;CHAR(10)&amp;"Remarks: "&amp;LEFT($R1608,600)&amp;CHAR(10)&amp;CHAR(10)&amp;"This is an automated notification from HP Mainstream EQMS."),"✉ Open Email Draft"),"")</f>
        <v/>
      </c>
    </row>
    <row r="1609">
      <c r="A1609" s="25">
        <f>IF($C1609="","","AUD-2026-"&amp;TEXT(ROW()-1,"000000"))</f>
        <v/>
      </c>
      <c r="B1609" s="26" t="n"/>
      <c r="C1609" s="27" t="n"/>
      <c r="D1609" s="25">
        <f>IF($C1609="","",IFERROR(IF(INDEX(Roster!$A:$A,MATCH($C1609,Roster!$B:$B,0))="","",INDEX(Roster!$A:$A,MATCH($C1609,Roster!$B:$B,0))&amp;""),"—"))</f>
        <v/>
      </c>
      <c r="E1609" s="25">
        <f>IF($C1609="","",IFERROR(IF(INDEX(Roster!$C:$C,MATCH($C1609,Roster!$B:$B,0))="","",INDEX(Roster!$C:$C,MATCH($C1609,Roster!$B:$B,0))&amp;""),"—"))</f>
        <v/>
      </c>
      <c r="F1609" s="25">
        <f>IF($C1609="","",IFERROR(IF(INDEX(Roster!$D:$D,MATCH($C1609,Roster!$B:$B,0))="","",INDEX(Roster!$D:$D,MATCH($C1609,Roster!$B:$B,0))&amp;""),"—"))</f>
        <v/>
      </c>
      <c r="G1609" s="25">
        <f>IF($C1609="","",IFERROR(IF(INDEX(Roster!$E:$E,MATCH($C1609,Roster!$B:$B,0))="","",INDEX(Roster!$E:$E,MATCH($C1609,Roster!$B:$B,0))&amp;""),"—"))</f>
        <v/>
      </c>
      <c r="H1609" s="25">
        <f>IF($C1609="","",IFERROR(IF(INDEX(Roster!$F:$F,MATCH($C1609,Roster!$B:$B,0))="","",INDEX(Roster!$F:$F,MATCH($C1609,Roster!$B:$B,0))&amp;""),"—"))</f>
        <v/>
      </c>
      <c r="I1609" s="25">
        <f>IF($C1609="","",IFERROR(IF(INDEX(Roster!$G:$G,MATCH($C1609,Roster!$B:$B,0))="","",INDEX(Roster!$G:$G,MATCH($C1609,Roster!$B:$B,0))&amp;""),"—"))</f>
        <v/>
      </c>
      <c r="J1609" s="25">
        <f>IF($C1609="","",IFERROR(IF(INDEX(Roster!$I:$I,MATCH($C1609,Roster!$B:$B,0))="","",INDEX(Roster!$I:$I,MATCH($C1609,Roster!$B:$B,0))&amp;""),"—"))</f>
        <v/>
      </c>
      <c r="K1609">
        <f>IF($C1609="","",IFERROR(IF(INDEX(Roster!$J:$J,MATCH($C1609,Roster!$B:$B,0))="","",INDEX(Roster!$J:$J,MATCH($C1609,Roster!$B:$B,0))&amp;""),"—"))</f>
        <v/>
      </c>
      <c r="L1609">
        <f>IF($C1609="","",IFERROR(IF(INDEX(Roster!$K:$K,MATCH($C1609,Roster!$B:$B,0))="","",INDEX(Roster!$K:$K,MATCH($C1609,Roster!$B:$B,0))&amp;""),"—"))</f>
        <v/>
      </c>
      <c r="M1609" s="27" t="n"/>
      <c r="N1609" s="27" t="n"/>
      <c r="O1609" s="25">
        <f>IF($C1609="","",IF($P1609="","—",IF($P1609="Valid (Pass)","Valid","Invalid")))</f>
        <v/>
      </c>
      <c r="P1609" s="27" t="n"/>
      <c r="Q1609" s="27" t="n"/>
      <c r="R1609" s="27" t="n"/>
      <c r="S1609" s="27" t="n"/>
      <c r="T1609" s="25">
        <f>IF($C1609="","",IF(OR(ISNUMBER(SEARCH("quick case",$P1609)),ISNUMBER(SEARCH("quick case",$Q1609))),"Yes","No"))</f>
        <v/>
      </c>
      <c r="U1609" s="25">
        <f>IF($O1609="Invalid",HYPERLINK("mailto:"&amp;$G1609&amp;";"&amp;$I1609&amp;"?cc="&amp;Lists!$E$2&amp;"&amp;subject="&amp;_xlfn.ENCODEURL("[INVALID] Quality audit monitoring completed for "&amp;UPPER($C1609))&amp;"&amp;body="&amp;_xlfn.ENCODEURL("Hi "&amp;$F1609&amp;","&amp;CHAR(10)&amp;"Good day!"&amp;CHAR(10)&amp;CHAR(10)&amp;"A quality monitoring audit has been completed for "&amp;$C1609&amp;"."&amp;CHAR(10)&amp;CHAR(10)&amp;"QUALITY AUDIT DETAILS"&amp;CHAR(10)&amp;"Agent Name: "&amp;$C1609&amp;" (EID "&amp;$D1609&amp;")"&amp;CHAR(10)&amp;"Audit Date: "&amp;TEXT($B1609,"yyyy-mm-dd")&amp;CHAR(10)&amp;"Team Leader: "&amp;$F1609&amp;CHAR(10)&amp;"Case Number: "&amp;$M1609&amp;CHAR(10)&amp;"Transaction ID: "&amp;$N1609&amp;CHAR(10)&amp;"Channel / LOB: "&amp;$K1609&amp;" / "&amp;$L1609&amp;CHAR(10)&amp;"Evaluator: "&amp;$S1609&amp;CHAR(10)&amp;CHAR(10)&amp;"INVALID QUALITY AUDIT DETAILS"&amp;CHAR(10)&amp;"Validation: Invalid"&amp;CHAR(10)&amp;"Invalid Reason: "&amp;$P1609&amp;CHAR(10)&amp;"Expected Resolution Code: "&amp;$Q1609&amp;CHAR(10)&amp;"Remarks: "&amp;LEFT($R1609,600)&amp;CHAR(10)&amp;CHAR(10)&amp;"This is an automated notification from HP Mainstream EQMS."),"✉ Open Email Draft"),"")</f>
        <v/>
      </c>
    </row>
    <row r="1610">
      <c r="A1610" s="25">
        <f>IF($C1610="","","AUD-2026-"&amp;TEXT(ROW()-1,"000000"))</f>
        <v/>
      </c>
      <c r="B1610" s="26" t="n"/>
      <c r="C1610" s="27" t="n"/>
      <c r="D1610" s="25">
        <f>IF($C1610="","",IFERROR(IF(INDEX(Roster!$A:$A,MATCH($C1610,Roster!$B:$B,0))="","",INDEX(Roster!$A:$A,MATCH($C1610,Roster!$B:$B,0))&amp;""),"—"))</f>
        <v/>
      </c>
      <c r="E1610" s="25">
        <f>IF($C1610="","",IFERROR(IF(INDEX(Roster!$C:$C,MATCH($C1610,Roster!$B:$B,0))="","",INDEX(Roster!$C:$C,MATCH($C1610,Roster!$B:$B,0))&amp;""),"—"))</f>
        <v/>
      </c>
      <c r="F1610" s="25">
        <f>IF($C1610="","",IFERROR(IF(INDEX(Roster!$D:$D,MATCH($C1610,Roster!$B:$B,0))="","",INDEX(Roster!$D:$D,MATCH($C1610,Roster!$B:$B,0))&amp;""),"—"))</f>
        <v/>
      </c>
      <c r="G1610" s="25">
        <f>IF($C1610="","",IFERROR(IF(INDEX(Roster!$E:$E,MATCH($C1610,Roster!$B:$B,0))="","",INDEX(Roster!$E:$E,MATCH($C1610,Roster!$B:$B,0))&amp;""),"—"))</f>
        <v/>
      </c>
      <c r="H1610" s="25">
        <f>IF($C1610="","",IFERROR(IF(INDEX(Roster!$F:$F,MATCH($C1610,Roster!$B:$B,0))="","",INDEX(Roster!$F:$F,MATCH($C1610,Roster!$B:$B,0))&amp;""),"—"))</f>
        <v/>
      </c>
      <c r="I1610" s="25">
        <f>IF($C1610="","",IFERROR(IF(INDEX(Roster!$G:$G,MATCH($C1610,Roster!$B:$B,0))="","",INDEX(Roster!$G:$G,MATCH($C1610,Roster!$B:$B,0))&amp;""),"—"))</f>
        <v/>
      </c>
      <c r="J1610" s="25">
        <f>IF($C1610="","",IFERROR(IF(INDEX(Roster!$I:$I,MATCH($C1610,Roster!$B:$B,0))="","",INDEX(Roster!$I:$I,MATCH($C1610,Roster!$B:$B,0))&amp;""),"—"))</f>
        <v/>
      </c>
      <c r="K1610">
        <f>IF($C1610="","",IFERROR(IF(INDEX(Roster!$J:$J,MATCH($C1610,Roster!$B:$B,0))="","",INDEX(Roster!$J:$J,MATCH($C1610,Roster!$B:$B,0))&amp;""),"—"))</f>
        <v/>
      </c>
      <c r="L1610">
        <f>IF($C1610="","",IFERROR(IF(INDEX(Roster!$K:$K,MATCH($C1610,Roster!$B:$B,0))="","",INDEX(Roster!$K:$K,MATCH($C1610,Roster!$B:$B,0))&amp;""),"—"))</f>
        <v/>
      </c>
      <c r="M1610" s="27" t="n"/>
      <c r="N1610" s="27" t="n"/>
      <c r="O1610" s="25">
        <f>IF($C1610="","",IF($P1610="","—",IF($P1610="Valid (Pass)","Valid","Invalid")))</f>
        <v/>
      </c>
      <c r="P1610" s="27" t="n"/>
      <c r="Q1610" s="27" t="n"/>
      <c r="R1610" s="27" t="n"/>
      <c r="S1610" s="27" t="n"/>
      <c r="T1610" s="25">
        <f>IF($C1610="","",IF(OR(ISNUMBER(SEARCH("quick case",$P1610)),ISNUMBER(SEARCH("quick case",$Q1610))),"Yes","No"))</f>
        <v/>
      </c>
      <c r="U1610" s="25">
        <f>IF($O1610="Invalid",HYPERLINK("mailto:"&amp;$G1610&amp;";"&amp;$I1610&amp;"?cc="&amp;Lists!$E$2&amp;"&amp;subject="&amp;_xlfn.ENCODEURL("[INVALID] Quality audit monitoring completed for "&amp;UPPER($C1610))&amp;"&amp;body="&amp;_xlfn.ENCODEURL("Hi "&amp;$F1610&amp;","&amp;CHAR(10)&amp;"Good day!"&amp;CHAR(10)&amp;CHAR(10)&amp;"A quality monitoring audit has been completed for "&amp;$C1610&amp;"."&amp;CHAR(10)&amp;CHAR(10)&amp;"QUALITY AUDIT DETAILS"&amp;CHAR(10)&amp;"Agent Name: "&amp;$C1610&amp;" (EID "&amp;$D1610&amp;")"&amp;CHAR(10)&amp;"Audit Date: "&amp;TEXT($B1610,"yyyy-mm-dd")&amp;CHAR(10)&amp;"Team Leader: "&amp;$F1610&amp;CHAR(10)&amp;"Case Number: "&amp;$M1610&amp;CHAR(10)&amp;"Transaction ID: "&amp;$N1610&amp;CHAR(10)&amp;"Channel / LOB: "&amp;$K1610&amp;" / "&amp;$L1610&amp;CHAR(10)&amp;"Evaluator: "&amp;$S1610&amp;CHAR(10)&amp;CHAR(10)&amp;"INVALID QUALITY AUDIT DETAILS"&amp;CHAR(10)&amp;"Validation: Invalid"&amp;CHAR(10)&amp;"Invalid Reason: "&amp;$P1610&amp;CHAR(10)&amp;"Expected Resolution Code: "&amp;$Q1610&amp;CHAR(10)&amp;"Remarks: "&amp;LEFT($R1610,600)&amp;CHAR(10)&amp;CHAR(10)&amp;"This is an automated notification from HP Mainstream EQMS."),"✉ Open Email Draft"),"")</f>
        <v/>
      </c>
    </row>
    <row r="1611">
      <c r="A1611" s="25">
        <f>IF($C1611="","","AUD-2026-"&amp;TEXT(ROW()-1,"000000"))</f>
        <v/>
      </c>
      <c r="B1611" s="26" t="n"/>
      <c r="C1611" s="27" t="n"/>
      <c r="D1611" s="25">
        <f>IF($C1611="","",IFERROR(IF(INDEX(Roster!$A:$A,MATCH($C1611,Roster!$B:$B,0))="","",INDEX(Roster!$A:$A,MATCH($C1611,Roster!$B:$B,0))&amp;""),"—"))</f>
        <v/>
      </c>
      <c r="E1611" s="25">
        <f>IF($C1611="","",IFERROR(IF(INDEX(Roster!$C:$C,MATCH($C1611,Roster!$B:$B,0))="","",INDEX(Roster!$C:$C,MATCH($C1611,Roster!$B:$B,0))&amp;""),"—"))</f>
        <v/>
      </c>
      <c r="F1611" s="25">
        <f>IF($C1611="","",IFERROR(IF(INDEX(Roster!$D:$D,MATCH($C1611,Roster!$B:$B,0))="","",INDEX(Roster!$D:$D,MATCH($C1611,Roster!$B:$B,0))&amp;""),"—"))</f>
        <v/>
      </c>
      <c r="G1611" s="25">
        <f>IF($C1611="","",IFERROR(IF(INDEX(Roster!$E:$E,MATCH($C1611,Roster!$B:$B,0))="","",INDEX(Roster!$E:$E,MATCH($C1611,Roster!$B:$B,0))&amp;""),"—"))</f>
        <v/>
      </c>
      <c r="H1611" s="25">
        <f>IF($C1611="","",IFERROR(IF(INDEX(Roster!$F:$F,MATCH($C1611,Roster!$B:$B,0))="","",INDEX(Roster!$F:$F,MATCH($C1611,Roster!$B:$B,0))&amp;""),"—"))</f>
        <v/>
      </c>
      <c r="I1611" s="25">
        <f>IF($C1611="","",IFERROR(IF(INDEX(Roster!$G:$G,MATCH($C1611,Roster!$B:$B,0))="","",INDEX(Roster!$G:$G,MATCH($C1611,Roster!$B:$B,0))&amp;""),"—"))</f>
        <v/>
      </c>
      <c r="J1611" s="25">
        <f>IF($C1611="","",IFERROR(IF(INDEX(Roster!$I:$I,MATCH($C1611,Roster!$B:$B,0))="","",INDEX(Roster!$I:$I,MATCH($C1611,Roster!$B:$B,0))&amp;""),"—"))</f>
        <v/>
      </c>
      <c r="K1611">
        <f>IF($C1611="","",IFERROR(IF(INDEX(Roster!$J:$J,MATCH($C1611,Roster!$B:$B,0))="","",INDEX(Roster!$J:$J,MATCH($C1611,Roster!$B:$B,0))&amp;""),"—"))</f>
        <v/>
      </c>
      <c r="L1611">
        <f>IF($C1611="","",IFERROR(IF(INDEX(Roster!$K:$K,MATCH($C1611,Roster!$B:$B,0))="","",INDEX(Roster!$K:$K,MATCH($C1611,Roster!$B:$B,0))&amp;""),"—"))</f>
        <v/>
      </c>
      <c r="M1611" s="27" t="n"/>
      <c r="N1611" s="27" t="n"/>
      <c r="O1611" s="25">
        <f>IF($C1611="","",IF($P1611="","—",IF($P1611="Valid (Pass)","Valid","Invalid")))</f>
        <v/>
      </c>
      <c r="P1611" s="27" t="n"/>
      <c r="Q1611" s="27" t="n"/>
      <c r="R1611" s="27" t="n"/>
      <c r="S1611" s="27" t="n"/>
      <c r="T1611" s="25">
        <f>IF($C1611="","",IF(OR(ISNUMBER(SEARCH("quick case",$P1611)),ISNUMBER(SEARCH("quick case",$Q1611))),"Yes","No"))</f>
        <v/>
      </c>
      <c r="U1611" s="25">
        <f>IF($O1611="Invalid",HYPERLINK("mailto:"&amp;$G1611&amp;";"&amp;$I1611&amp;"?cc="&amp;Lists!$E$2&amp;"&amp;subject="&amp;_xlfn.ENCODEURL("[INVALID] Quality audit monitoring completed for "&amp;UPPER($C1611))&amp;"&amp;body="&amp;_xlfn.ENCODEURL("Hi "&amp;$F1611&amp;","&amp;CHAR(10)&amp;"Good day!"&amp;CHAR(10)&amp;CHAR(10)&amp;"A quality monitoring audit has been completed for "&amp;$C1611&amp;"."&amp;CHAR(10)&amp;CHAR(10)&amp;"QUALITY AUDIT DETAILS"&amp;CHAR(10)&amp;"Agent Name: "&amp;$C1611&amp;" (EID "&amp;$D1611&amp;")"&amp;CHAR(10)&amp;"Audit Date: "&amp;TEXT($B1611,"yyyy-mm-dd")&amp;CHAR(10)&amp;"Team Leader: "&amp;$F1611&amp;CHAR(10)&amp;"Case Number: "&amp;$M1611&amp;CHAR(10)&amp;"Transaction ID: "&amp;$N1611&amp;CHAR(10)&amp;"Channel / LOB: "&amp;$K1611&amp;" / "&amp;$L1611&amp;CHAR(10)&amp;"Evaluator: "&amp;$S1611&amp;CHAR(10)&amp;CHAR(10)&amp;"INVALID QUALITY AUDIT DETAILS"&amp;CHAR(10)&amp;"Validation: Invalid"&amp;CHAR(10)&amp;"Invalid Reason: "&amp;$P1611&amp;CHAR(10)&amp;"Expected Resolution Code: "&amp;$Q1611&amp;CHAR(10)&amp;"Remarks: "&amp;LEFT($R1611,600)&amp;CHAR(10)&amp;CHAR(10)&amp;"This is an automated notification from HP Mainstream EQMS."),"✉ Open Email Draft"),"")</f>
        <v/>
      </c>
    </row>
    <row r="1612">
      <c r="A1612" s="25">
        <f>IF($C1612="","","AUD-2026-"&amp;TEXT(ROW()-1,"000000"))</f>
        <v/>
      </c>
      <c r="B1612" s="26" t="n"/>
      <c r="C1612" s="27" t="n"/>
      <c r="D1612" s="25">
        <f>IF($C1612="","",IFERROR(IF(INDEX(Roster!$A:$A,MATCH($C1612,Roster!$B:$B,0))="","",INDEX(Roster!$A:$A,MATCH($C1612,Roster!$B:$B,0))&amp;""),"—"))</f>
        <v/>
      </c>
      <c r="E1612" s="25">
        <f>IF($C1612="","",IFERROR(IF(INDEX(Roster!$C:$C,MATCH($C1612,Roster!$B:$B,0))="","",INDEX(Roster!$C:$C,MATCH($C1612,Roster!$B:$B,0))&amp;""),"—"))</f>
        <v/>
      </c>
      <c r="F1612" s="25">
        <f>IF($C1612="","",IFERROR(IF(INDEX(Roster!$D:$D,MATCH($C1612,Roster!$B:$B,0))="","",INDEX(Roster!$D:$D,MATCH($C1612,Roster!$B:$B,0))&amp;""),"—"))</f>
        <v/>
      </c>
      <c r="G1612" s="25">
        <f>IF($C1612="","",IFERROR(IF(INDEX(Roster!$E:$E,MATCH($C1612,Roster!$B:$B,0))="","",INDEX(Roster!$E:$E,MATCH($C1612,Roster!$B:$B,0))&amp;""),"—"))</f>
        <v/>
      </c>
      <c r="H1612" s="25">
        <f>IF($C1612="","",IFERROR(IF(INDEX(Roster!$F:$F,MATCH($C1612,Roster!$B:$B,0))="","",INDEX(Roster!$F:$F,MATCH($C1612,Roster!$B:$B,0))&amp;""),"—"))</f>
        <v/>
      </c>
      <c r="I1612" s="25">
        <f>IF($C1612="","",IFERROR(IF(INDEX(Roster!$G:$G,MATCH($C1612,Roster!$B:$B,0))="","",INDEX(Roster!$G:$G,MATCH($C1612,Roster!$B:$B,0))&amp;""),"—"))</f>
        <v/>
      </c>
      <c r="J1612" s="25">
        <f>IF($C1612="","",IFERROR(IF(INDEX(Roster!$I:$I,MATCH($C1612,Roster!$B:$B,0))="","",INDEX(Roster!$I:$I,MATCH($C1612,Roster!$B:$B,0))&amp;""),"—"))</f>
        <v/>
      </c>
      <c r="K1612">
        <f>IF($C1612="","",IFERROR(IF(INDEX(Roster!$J:$J,MATCH($C1612,Roster!$B:$B,0))="","",INDEX(Roster!$J:$J,MATCH($C1612,Roster!$B:$B,0))&amp;""),"—"))</f>
        <v/>
      </c>
      <c r="L1612">
        <f>IF($C1612="","",IFERROR(IF(INDEX(Roster!$K:$K,MATCH($C1612,Roster!$B:$B,0))="","",INDEX(Roster!$K:$K,MATCH($C1612,Roster!$B:$B,0))&amp;""),"—"))</f>
        <v/>
      </c>
      <c r="M1612" s="27" t="n"/>
      <c r="N1612" s="27" t="n"/>
      <c r="O1612" s="25">
        <f>IF($C1612="","",IF($P1612="","—",IF($P1612="Valid (Pass)","Valid","Invalid")))</f>
        <v/>
      </c>
      <c r="P1612" s="27" t="n"/>
      <c r="Q1612" s="27" t="n"/>
      <c r="R1612" s="27" t="n"/>
      <c r="S1612" s="27" t="n"/>
      <c r="T1612" s="25">
        <f>IF($C1612="","",IF(OR(ISNUMBER(SEARCH("quick case",$P1612)),ISNUMBER(SEARCH("quick case",$Q1612))),"Yes","No"))</f>
        <v/>
      </c>
      <c r="U1612" s="25">
        <f>IF($O1612="Invalid",HYPERLINK("mailto:"&amp;$G1612&amp;";"&amp;$I1612&amp;"?cc="&amp;Lists!$E$2&amp;"&amp;subject="&amp;_xlfn.ENCODEURL("[INVALID] Quality audit monitoring completed for "&amp;UPPER($C1612))&amp;"&amp;body="&amp;_xlfn.ENCODEURL("Hi "&amp;$F1612&amp;","&amp;CHAR(10)&amp;"Good day!"&amp;CHAR(10)&amp;CHAR(10)&amp;"A quality monitoring audit has been completed for "&amp;$C1612&amp;"."&amp;CHAR(10)&amp;CHAR(10)&amp;"QUALITY AUDIT DETAILS"&amp;CHAR(10)&amp;"Agent Name: "&amp;$C1612&amp;" (EID "&amp;$D1612&amp;")"&amp;CHAR(10)&amp;"Audit Date: "&amp;TEXT($B1612,"yyyy-mm-dd")&amp;CHAR(10)&amp;"Team Leader: "&amp;$F1612&amp;CHAR(10)&amp;"Case Number: "&amp;$M1612&amp;CHAR(10)&amp;"Transaction ID: "&amp;$N1612&amp;CHAR(10)&amp;"Channel / LOB: "&amp;$K1612&amp;" / "&amp;$L1612&amp;CHAR(10)&amp;"Evaluator: "&amp;$S1612&amp;CHAR(10)&amp;CHAR(10)&amp;"INVALID QUALITY AUDIT DETAILS"&amp;CHAR(10)&amp;"Validation: Invalid"&amp;CHAR(10)&amp;"Invalid Reason: "&amp;$P1612&amp;CHAR(10)&amp;"Expected Resolution Code: "&amp;$Q1612&amp;CHAR(10)&amp;"Remarks: "&amp;LEFT($R1612,600)&amp;CHAR(10)&amp;CHAR(10)&amp;"This is an automated notification from HP Mainstream EQMS."),"✉ Open Email Draft"),"")</f>
        <v/>
      </c>
    </row>
    <row r="1613">
      <c r="A1613" s="25">
        <f>IF($C1613="","","AUD-2026-"&amp;TEXT(ROW()-1,"000000"))</f>
        <v/>
      </c>
      <c r="B1613" s="26" t="n"/>
      <c r="C1613" s="27" t="n"/>
      <c r="D1613" s="25">
        <f>IF($C1613="","",IFERROR(IF(INDEX(Roster!$A:$A,MATCH($C1613,Roster!$B:$B,0))="","",INDEX(Roster!$A:$A,MATCH($C1613,Roster!$B:$B,0))&amp;""),"—"))</f>
        <v/>
      </c>
      <c r="E1613" s="25">
        <f>IF($C1613="","",IFERROR(IF(INDEX(Roster!$C:$C,MATCH($C1613,Roster!$B:$B,0))="","",INDEX(Roster!$C:$C,MATCH($C1613,Roster!$B:$B,0))&amp;""),"—"))</f>
        <v/>
      </c>
      <c r="F1613" s="25">
        <f>IF($C1613="","",IFERROR(IF(INDEX(Roster!$D:$D,MATCH($C1613,Roster!$B:$B,0))="","",INDEX(Roster!$D:$D,MATCH($C1613,Roster!$B:$B,0))&amp;""),"—"))</f>
        <v/>
      </c>
      <c r="G1613" s="25">
        <f>IF($C1613="","",IFERROR(IF(INDEX(Roster!$E:$E,MATCH($C1613,Roster!$B:$B,0))="","",INDEX(Roster!$E:$E,MATCH($C1613,Roster!$B:$B,0))&amp;""),"—"))</f>
        <v/>
      </c>
      <c r="H1613" s="25">
        <f>IF($C1613="","",IFERROR(IF(INDEX(Roster!$F:$F,MATCH($C1613,Roster!$B:$B,0))="","",INDEX(Roster!$F:$F,MATCH($C1613,Roster!$B:$B,0))&amp;""),"—"))</f>
        <v/>
      </c>
      <c r="I1613" s="25">
        <f>IF($C1613="","",IFERROR(IF(INDEX(Roster!$G:$G,MATCH($C1613,Roster!$B:$B,0))="","",INDEX(Roster!$G:$G,MATCH($C1613,Roster!$B:$B,0))&amp;""),"—"))</f>
        <v/>
      </c>
      <c r="J1613" s="25">
        <f>IF($C1613="","",IFERROR(IF(INDEX(Roster!$I:$I,MATCH($C1613,Roster!$B:$B,0))="","",INDEX(Roster!$I:$I,MATCH($C1613,Roster!$B:$B,0))&amp;""),"—"))</f>
        <v/>
      </c>
      <c r="K1613">
        <f>IF($C1613="","",IFERROR(IF(INDEX(Roster!$J:$J,MATCH($C1613,Roster!$B:$B,0))="","",INDEX(Roster!$J:$J,MATCH($C1613,Roster!$B:$B,0))&amp;""),"—"))</f>
        <v/>
      </c>
      <c r="L1613">
        <f>IF($C1613="","",IFERROR(IF(INDEX(Roster!$K:$K,MATCH($C1613,Roster!$B:$B,0))="","",INDEX(Roster!$K:$K,MATCH($C1613,Roster!$B:$B,0))&amp;""),"—"))</f>
        <v/>
      </c>
      <c r="M1613" s="27" t="n"/>
      <c r="N1613" s="27" t="n"/>
      <c r="O1613" s="25">
        <f>IF($C1613="","",IF($P1613="","—",IF($P1613="Valid (Pass)","Valid","Invalid")))</f>
        <v/>
      </c>
      <c r="P1613" s="27" t="n"/>
      <c r="Q1613" s="27" t="n"/>
      <c r="R1613" s="27" t="n"/>
      <c r="S1613" s="27" t="n"/>
      <c r="T1613" s="25">
        <f>IF($C1613="","",IF(OR(ISNUMBER(SEARCH("quick case",$P1613)),ISNUMBER(SEARCH("quick case",$Q1613))),"Yes","No"))</f>
        <v/>
      </c>
      <c r="U1613" s="25">
        <f>IF($O1613="Invalid",HYPERLINK("mailto:"&amp;$G1613&amp;";"&amp;$I1613&amp;"?cc="&amp;Lists!$E$2&amp;"&amp;subject="&amp;_xlfn.ENCODEURL("[INVALID] Quality audit monitoring completed for "&amp;UPPER($C1613))&amp;"&amp;body="&amp;_xlfn.ENCODEURL("Hi "&amp;$F1613&amp;","&amp;CHAR(10)&amp;"Good day!"&amp;CHAR(10)&amp;CHAR(10)&amp;"A quality monitoring audit has been completed for "&amp;$C1613&amp;"."&amp;CHAR(10)&amp;CHAR(10)&amp;"QUALITY AUDIT DETAILS"&amp;CHAR(10)&amp;"Agent Name: "&amp;$C1613&amp;" (EID "&amp;$D1613&amp;")"&amp;CHAR(10)&amp;"Audit Date: "&amp;TEXT($B1613,"yyyy-mm-dd")&amp;CHAR(10)&amp;"Team Leader: "&amp;$F1613&amp;CHAR(10)&amp;"Case Number: "&amp;$M1613&amp;CHAR(10)&amp;"Transaction ID: "&amp;$N1613&amp;CHAR(10)&amp;"Channel / LOB: "&amp;$K1613&amp;" / "&amp;$L1613&amp;CHAR(10)&amp;"Evaluator: "&amp;$S1613&amp;CHAR(10)&amp;CHAR(10)&amp;"INVALID QUALITY AUDIT DETAILS"&amp;CHAR(10)&amp;"Validation: Invalid"&amp;CHAR(10)&amp;"Invalid Reason: "&amp;$P1613&amp;CHAR(10)&amp;"Expected Resolution Code: "&amp;$Q1613&amp;CHAR(10)&amp;"Remarks: "&amp;LEFT($R1613,600)&amp;CHAR(10)&amp;CHAR(10)&amp;"This is an automated notification from HP Mainstream EQMS."),"✉ Open Email Draft"),"")</f>
        <v/>
      </c>
    </row>
    <row r="1614">
      <c r="A1614" s="25">
        <f>IF($C1614="","","AUD-2026-"&amp;TEXT(ROW()-1,"000000"))</f>
        <v/>
      </c>
      <c r="B1614" s="26" t="n"/>
      <c r="C1614" s="27" t="n"/>
      <c r="D1614" s="25">
        <f>IF($C1614="","",IFERROR(IF(INDEX(Roster!$A:$A,MATCH($C1614,Roster!$B:$B,0))="","",INDEX(Roster!$A:$A,MATCH($C1614,Roster!$B:$B,0))&amp;""),"—"))</f>
        <v/>
      </c>
      <c r="E1614" s="25">
        <f>IF($C1614="","",IFERROR(IF(INDEX(Roster!$C:$C,MATCH($C1614,Roster!$B:$B,0))="","",INDEX(Roster!$C:$C,MATCH($C1614,Roster!$B:$B,0))&amp;""),"—"))</f>
        <v/>
      </c>
      <c r="F1614" s="25">
        <f>IF($C1614="","",IFERROR(IF(INDEX(Roster!$D:$D,MATCH($C1614,Roster!$B:$B,0))="","",INDEX(Roster!$D:$D,MATCH($C1614,Roster!$B:$B,0))&amp;""),"—"))</f>
        <v/>
      </c>
      <c r="G1614" s="25">
        <f>IF($C1614="","",IFERROR(IF(INDEX(Roster!$E:$E,MATCH($C1614,Roster!$B:$B,0))="","",INDEX(Roster!$E:$E,MATCH($C1614,Roster!$B:$B,0))&amp;""),"—"))</f>
        <v/>
      </c>
      <c r="H1614" s="25">
        <f>IF($C1614="","",IFERROR(IF(INDEX(Roster!$F:$F,MATCH($C1614,Roster!$B:$B,0))="","",INDEX(Roster!$F:$F,MATCH($C1614,Roster!$B:$B,0))&amp;""),"—"))</f>
        <v/>
      </c>
      <c r="I1614" s="25">
        <f>IF($C1614="","",IFERROR(IF(INDEX(Roster!$G:$G,MATCH($C1614,Roster!$B:$B,0))="","",INDEX(Roster!$G:$G,MATCH($C1614,Roster!$B:$B,0))&amp;""),"—"))</f>
        <v/>
      </c>
      <c r="J1614" s="25">
        <f>IF($C1614="","",IFERROR(IF(INDEX(Roster!$I:$I,MATCH($C1614,Roster!$B:$B,0))="","",INDEX(Roster!$I:$I,MATCH($C1614,Roster!$B:$B,0))&amp;""),"—"))</f>
        <v/>
      </c>
      <c r="K1614">
        <f>IF($C1614="","",IFERROR(IF(INDEX(Roster!$J:$J,MATCH($C1614,Roster!$B:$B,0))="","",INDEX(Roster!$J:$J,MATCH($C1614,Roster!$B:$B,0))&amp;""),"—"))</f>
        <v/>
      </c>
      <c r="L1614">
        <f>IF($C1614="","",IFERROR(IF(INDEX(Roster!$K:$K,MATCH($C1614,Roster!$B:$B,0))="","",INDEX(Roster!$K:$K,MATCH($C1614,Roster!$B:$B,0))&amp;""),"—"))</f>
        <v/>
      </c>
      <c r="M1614" s="27" t="n"/>
      <c r="N1614" s="27" t="n"/>
      <c r="O1614" s="25">
        <f>IF($C1614="","",IF($P1614="","—",IF($P1614="Valid (Pass)","Valid","Invalid")))</f>
        <v/>
      </c>
      <c r="P1614" s="27" t="n"/>
      <c r="Q1614" s="27" t="n"/>
      <c r="R1614" s="27" t="n"/>
      <c r="S1614" s="27" t="n"/>
      <c r="T1614" s="25">
        <f>IF($C1614="","",IF(OR(ISNUMBER(SEARCH("quick case",$P1614)),ISNUMBER(SEARCH("quick case",$Q1614))),"Yes","No"))</f>
        <v/>
      </c>
      <c r="U1614" s="25">
        <f>IF($O1614="Invalid",HYPERLINK("mailto:"&amp;$G1614&amp;";"&amp;$I1614&amp;"?cc="&amp;Lists!$E$2&amp;"&amp;subject="&amp;_xlfn.ENCODEURL("[INVALID] Quality audit monitoring completed for "&amp;UPPER($C1614))&amp;"&amp;body="&amp;_xlfn.ENCODEURL("Hi "&amp;$F1614&amp;","&amp;CHAR(10)&amp;"Good day!"&amp;CHAR(10)&amp;CHAR(10)&amp;"A quality monitoring audit has been completed for "&amp;$C1614&amp;"."&amp;CHAR(10)&amp;CHAR(10)&amp;"QUALITY AUDIT DETAILS"&amp;CHAR(10)&amp;"Agent Name: "&amp;$C1614&amp;" (EID "&amp;$D1614&amp;")"&amp;CHAR(10)&amp;"Audit Date: "&amp;TEXT($B1614,"yyyy-mm-dd")&amp;CHAR(10)&amp;"Team Leader: "&amp;$F1614&amp;CHAR(10)&amp;"Case Number: "&amp;$M1614&amp;CHAR(10)&amp;"Transaction ID: "&amp;$N1614&amp;CHAR(10)&amp;"Channel / LOB: "&amp;$K1614&amp;" / "&amp;$L1614&amp;CHAR(10)&amp;"Evaluator: "&amp;$S1614&amp;CHAR(10)&amp;CHAR(10)&amp;"INVALID QUALITY AUDIT DETAILS"&amp;CHAR(10)&amp;"Validation: Invalid"&amp;CHAR(10)&amp;"Invalid Reason: "&amp;$P1614&amp;CHAR(10)&amp;"Expected Resolution Code: "&amp;$Q1614&amp;CHAR(10)&amp;"Remarks: "&amp;LEFT($R1614,600)&amp;CHAR(10)&amp;CHAR(10)&amp;"This is an automated notification from HP Mainstream EQMS."),"✉ Open Email Draft"),"")</f>
        <v/>
      </c>
    </row>
    <row r="1615">
      <c r="A1615" s="25">
        <f>IF($C1615="","","AUD-2026-"&amp;TEXT(ROW()-1,"000000"))</f>
        <v/>
      </c>
      <c r="B1615" s="26" t="n"/>
      <c r="C1615" s="27" t="n"/>
      <c r="D1615" s="25">
        <f>IF($C1615="","",IFERROR(IF(INDEX(Roster!$A:$A,MATCH($C1615,Roster!$B:$B,0))="","",INDEX(Roster!$A:$A,MATCH($C1615,Roster!$B:$B,0))&amp;""),"—"))</f>
        <v/>
      </c>
      <c r="E1615" s="25">
        <f>IF($C1615="","",IFERROR(IF(INDEX(Roster!$C:$C,MATCH($C1615,Roster!$B:$B,0))="","",INDEX(Roster!$C:$C,MATCH($C1615,Roster!$B:$B,0))&amp;""),"—"))</f>
        <v/>
      </c>
      <c r="F1615" s="25">
        <f>IF($C1615="","",IFERROR(IF(INDEX(Roster!$D:$D,MATCH($C1615,Roster!$B:$B,0))="","",INDEX(Roster!$D:$D,MATCH($C1615,Roster!$B:$B,0))&amp;""),"—"))</f>
        <v/>
      </c>
      <c r="G1615" s="25">
        <f>IF($C1615="","",IFERROR(IF(INDEX(Roster!$E:$E,MATCH($C1615,Roster!$B:$B,0))="","",INDEX(Roster!$E:$E,MATCH($C1615,Roster!$B:$B,0))&amp;""),"—"))</f>
        <v/>
      </c>
      <c r="H1615" s="25">
        <f>IF($C1615="","",IFERROR(IF(INDEX(Roster!$F:$F,MATCH($C1615,Roster!$B:$B,0))="","",INDEX(Roster!$F:$F,MATCH($C1615,Roster!$B:$B,0))&amp;""),"—"))</f>
        <v/>
      </c>
      <c r="I1615" s="25">
        <f>IF($C1615="","",IFERROR(IF(INDEX(Roster!$G:$G,MATCH($C1615,Roster!$B:$B,0))="","",INDEX(Roster!$G:$G,MATCH($C1615,Roster!$B:$B,0))&amp;""),"—"))</f>
        <v/>
      </c>
      <c r="J1615" s="25">
        <f>IF($C1615="","",IFERROR(IF(INDEX(Roster!$I:$I,MATCH($C1615,Roster!$B:$B,0))="","",INDEX(Roster!$I:$I,MATCH($C1615,Roster!$B:$B,0))&amp;""),"—"))</f>
        <v/>
      </c>
      <c r="K1615">
        <f>IF($C1615="","",IFERROR(IF(INDEX(Roster!$J:$J,MATCH($C1615,Roster!$B:$B,0))="","",INDEX(Roster!$J:$J,MATCH($C1615,Roster!$B:$B,0))&amp;""),"—"))</f>
        <v/>
      </c>
      <c r="L1615">
        <f>IF($C1615="","",IFERROR(IF(INDEX(Roster!$K:$K,MATCH($C1615,Roster!$B:$B,0))="","",INDEX(Roster!$K:$K,MATCH($C1615,Roster!$B:$B,0))&amp;""),"—"))</f>
        <v/>
      </c>
      <c r="M1615" s="27" t="n"/>
      <c r="N1615" s="27" t="n"/>
      <c r="O1615" s="25">
        <f>IF($C1615="","",IF($P1615="","—",IF($P1615="Valid (Pass)","Valid","Invalid")))</f>
        <v/>
      </c>
      <c r="P1615" s="27" t="n"/>
      <c r="Q1615" s="27" t="n"/>
      <c r="R1615" s="27" t="n"/>
      <c r="S1615" s="27" t="n"/>
      <c r="T1615" s="25">
        <f>IF($C1615="","",IF(OR(ISNUMBER(SEARCH("quick case",$P1615)),ISNUMBER(SEARCH("quick case",$Q1615))),"Yes","No"))</f>
        <v/>
      </c>
      <c r="U1615" s="25">
        <f>IF($O1615="Invalid",HYPERLINK("mailto:"&amp;$G1615&amp;";"&amp;$I1615&amp;"?cc="&amp;Lists!$E$2&amp;"&amp;subject="&amp;_xlfn.ENCODEURL("[INVALID] Quality audit monitoring completed for "&amp;UPPER($C1615))&amp;"&amp;body="&amp;_xlfn.ENCODEURL("Hi "&amp;$F1615&amp;","&amp;CHAR(10)&amp;"Good day!"&amp;CHAR(10)&amp;CHAR(10)&amp;"A quality monitoring audit has been completed for "&amp;$C1615&amp;"."&amp;CHAR(10)&amp;CHAR(10)&amp;"QUALITY AUDIT DETAILS"&amp;CHAR(10)&amp;"Agent Name: "&amp;$C1615&amp;" (EID "&amp;$D1615&amp;")"&amp;CHAR(10)&amp;"Audit Date: "&amp;TEXT($B1615,"yyyy-mm-dd")&amp;CHAR(10)&amp;"Team Leader: "&amp;$F1615&amp;CHAR(10)&amp;"Case Number: "&amp;$M1615&amp;CHAR(10)&amp;"Transaction ID: "&amp;$N1615&amp;CHAR(10)&amp;"Channel / LOB: "&amp;$K1615&amp;" / "&amp;$L1615&amp;CHAR(10)&amp;"Evaluator: "&amp;$S1615&amp;CHAR(10)&amp;CHAR(10)&amp;"INVALID QUALITY AUDIT DETAILS"&amp;CHAR(10)&amp;"Validation: Invalid"&amp;CHAR(10)&amp;"Invalid Reason: "&amp;$P1615&amp;CHAR(10)&amp;"Expected Resolution Code: "&amp;$Q1615&amp;CHAR(10)&amp;"Remarks: "&amp;LEFT($R1615,600)&amp;CHAR(10)&amp;CHAR(10)&amp;"This is an automated notification from HP Mainstream EQMS."),"✉ Open Email Draft"),"")</f>
        <v/>
      </c>
    </row>
    <row r="1616">
      <c r="A1616" s="25">
        <f>IF($C1616="","","AUD-2026-"&amp;TEXT(ROW()-1,"000000"))</f>
        <v/>
      </c>
      <c r="B1616" s="26" t="n"/>
      <c r="C1616" s="27" t="n"/>
      <c r="D1616" s="25">
        <f>IF($C1616="","",IFERROR(IF(INDEX(Roster!$A:$A,MATCH($C1616,Roster!$B:$B,0))="","",INDEX(Roster!$A:$A,MATCH($C1616,Roster!$B:$B,0))&amp;""),"—"))</f>
        <v/>
      </c>
      <c r="E1616" s="25">
        <f>IF($C1616="","",IFERROR(IF(INDEX(Roster!$C:$C,MATCH($C1616,Roster!$B:$B,0))="","",INDEX(Roster!$C:$C,MATCH($C1616,Roster!$B:$B,0))&amp;""),"—"))</f>
        <v/>
      </c>
      <c r="F1616" s="25">
        <f>IF($C1616="","",IFERROR(IF(INDEX(Roster!$D:$D,MATCH($C1616,Roster!$B:$B,0))="","",INDEX(Roster!$D:$D,MATCH($C1616,Roster!$B:$B,0))&amp;""),"—"))</f>
        <v/>
      </c>
      <c r="G1616" s="25">
        <f>IF($C1616="","",IFERROR(IF(INDEX(Roster!$E:$E,MATCH($C1616,Roster!$B:$B,0))="","",INDEX(Roster!$E:$E,MATCH($C1616,Roster!$B:$B,0))&amp;""),"—"))</f>
        <v/>
      </c>
      <c r="H1616" s="25">
        <f>IF($C1616="","",IFERROR(IF(INDEX(Roster!$F:$F,MATCH($C1616,Roster!$B:$B,0))="","",INDEX(Roster!$F:$F,MATCH($C1616,Roster!$B:$B,0))&amp;""),"—"))</f>
        <v/>
      </c>
      <c r="I1616" s="25">
        <f>IF($C1616="","",IFERROR(IF(INDEX(Roster!$G:$G,MATCH($C1616,Roster!$B:$B,0))="","",INDEX(Roster!$G:$G,MATCH($C1616,Roster!$B:$B,0))&amp;""),"—"))</f>
        <v/>
      </c>
      <c r="J1616" s="25">
        <f>IF($C1616="","",IFERROR(IF(INDEX(Roster!$I:$I,MATCH($C1616,Roster!$B:$B,0))="","",INDEX(Roster!$I:$I,MATCH($C1616,Roster!$B:$B,0))&amp;""),"—"))</f>
        <v/>
      </c>
      <c r="K1616">
        <f>IF($C1616="","",IFERROR(IF(INDEX(Roster!$J:$J,MATCH($C1616,Roster!$B:$B,0))="","",INDEX(Roster!$J:$J,MATCH($C1616,Roster!$B:$B,0))&amp;""),"—"))</f>
        <v/>
      </c>
      <c r="L1616">
        <f>IF($C1616="","",IFERROR(IF(INDEX(Roster!$K:$K,MATCH($C1616,Roster!$B:$B,0))="","",INDEX(Roster!$K:$K,MATCH($C1616,Roster!$B:$B,0))&amp;""),"—"))</f>
        <v/>
      </c>
      <c r="M1616" s="27" t="n"/>
      <c r="N1616" s="27" t="n"/>
      <c r="O1616" s="25">
        <f>IF($C1616="","",IF($P1616="","—",IF($P1616="Valid (Pass)","Valid","Invalid")))</f>
        <v/>
      </c>
      <c r="P1616" s="27" t="n"/>
      <c r="Q1616" s="27" t="n"/>
      <c r="R1616" s="27" t="n"/>
      <c r="S1616" s="27" t="n"/>
      <c r="T1616" s="25">
        <f>IF($C1616="","",IF(OR(ISNUMBER(SEARCH("quick case",$P1616)),ISNUMBER(SEARCH("quick case",$Q1616))),"Yes","No"))</f>
        <v/>
      </c>
      <c r="U1616" s="25">
        <f>IF($O1616="Invalid",HYPERLINK("mailto:"&amp;$G1616&amp;";"&amp;$I1616&amp;"?cc="&amp;Lists!$E$2&amp;"&amp;subject="&amp;_xlfn.ENCODEURL("[INVALID] Quality audit monitoring completed for "&amp;UPPER($C1616))&amp;"&amp;body="&amp;_xlfn.ENCODEURL("Hi "&amp;$F1616&amp;","&amp;CHAR(10)&amp;"Good day!"&amp;CHAR(10)&amp;CHAR(10)&amp;"A quality monitoring audit has been completed for "&amp;$C1616&amp;"."&amp;CHAR(10)&amp;CHAR(10)&amp;"QUALITY AUDIT DETAILS"&amp;CHAR(10)&amp;"Agent Name: "&amp;$C1616&amp;" (EID "&amp;$D1616&amp;")"&amp;CHAR(10)&amp;"Audit Date: "&amp;TEXT($B1616,"yyyy-mm-dd")&amp;CHAR(10)&amp;"Team Leader: "&amp;$F1616&amp;CHAR(10)&amp;"Case Number: "&amp;$M1616&amp;CHAR(10)&amp;"Transaction ID: "&amp;$N1616&amp;CHAR(10)&amp;"Channel / LOB: "&amp;$K1616&amp;" / "&amp;$L1616&amp;CHAR(10)&amp;"Evaluator: "&amp;$S1616&amp;CHAR(10)&amp;CHAR(10)&amp;"INVALID QUALITY AUDIT DETAILS"&amp;CHAR(10)&amp;"Validation: Invalid"&amp;CHAR(10)&amp;"Invalid Reason: "&amp;$P1616&amp;CHAR(10)&amp;"Expected Resolution Code: "&amp;$Q1616&amp;CHAR(10)&amp;"Remarks: "&amp;LEFT($R1616,600)&amp;CHAR(10)&amp;CHAR(10)&amp;"This is an automated notification from HP Mainstream EQMS."),"✉ Open Email Draft"),"")</f>
        <v/>
      </c>
    </row>
    <row r="1617">
      <c r="A1617" s="25">
        <f>IF($C1617="","","AUD-2026-"&amp;TEXT(ROW()-1,"000000"))</f>
        <v/>
      </c>
      <c r="B1617" s="26" t="n"/>
      <c r="C1617" s="27" t="n"/>
      <c r="D1617" s="25">
        <f>IF($C1617="","",IFERROR(IF(INDEX(Roster!$A:$A,MATCH($C1617,Roster!$B:$B,0))="","",INDEX(Roster!$A:$A,MATCH($C1617,Roster!$B:$B,0))&amp;""),"—"))</f>
        <v/>
      </c>
      <c r="E1617" s="25">
        <f>IF($C1617="","",IFERROR(IF(INDEX(Roster!$C:$C,MATCH($C1617,Roster!$B:$B,0))="","",INDEX(Roster!$C:$C,MATCH($C1617,Roster!$B:$B,0))&amp;""),"—"))</f>
        <v/>
      </c>
      <c r="F1617" s="25">
        <f>IF($C1617="","",IFERROR(IF(INDEX(Roster!$D:$D,MATCH($C1617,Roster!$B:$B,0))="","",INDEX(Roster!$D:$D,MATCH($C1617,Roster!$B:$B,0))&amp;""),"—"))</f>
        <v/>
      </c>
      <c r="G1617" s="25">
        <f>IF($C1617="","",IFERROR(IF(INDEX(Roster!$E:$E,MATCH($C1617,Roster!$B:$B,0))="","",INDEX(Roster!$E:$E,MATCH($C1617,Roster!$B:$B,0))&amp;""),"—"))</f>
        <v/>
      </c>
      <c r="H1617" s="25">
        <f>IF($C1617="","",IFERROR(IF(INDEX(Roster!$F:$F,MATCH($C1617,Roster!$B:$B,0))="","",INDEX(Roster!$F:$F,MATCH($C1617,Roster!$B:$B,0))&amp;""),"—"))</f>
        <v/>
      </c>
      <c r="I1617" s="25">
        <f>IF($C1617="","",IFERROR(IF(INDEX(Roster!$G:$G,MATCH($C1617,Roster!$B:$B,0))="","",INDEX(Roster!$G:$G,MATCH($C1617,Roster!$B:$B,0))&amp;""),"—"))</f>
        <v/>
      </c>
      <c r="J1617" s="25">
        <f>IF($C1617="","",IFERROR(IF(INDEX(Roster!$I:$I,MATCH($C1617,Roster!$B:$B,0))="","",INDEX(Roster!$I:$I,MATCH($C1617,Roster!$B:$B,0))&amp;""),"—"))</f>
        <v/>
      </c>
      <c r="K1617">
        <f>IF($C1617="","",IFERROR(IF(INDEX(Roster!$J:$J,MATCH($C1617,Roster!$B:$B,0))="","",INDEX(Roster!$J:$J,MATCH($C1617,Roster!$B:$B,0))&amp;""),"—"))</f>
        <v/>
      </c>
      <c r="L1617">
        <f>IF($C1617="","",IFERROR(IF(INDEX(Roster!$K:$K,MATCH($C1617,Roster!$B:$B,0))="","",INDEX(Roster!$K:$K,MATCH($C1617,Roster!$B:$B,0))&amp;""),"—"))</f>
        <v/>
      </c>
      <c r="M1617" s="27" t="n"/>
      <c r="N1617" s="27" t="n"/>
      <c r="O1617" s="25">
        <f>IF($C1617="","",IF($P1617="","—",IF($P1617="Valid (Pass)","Valid","Invalid")))</f>
        <v/>
      </c>
      <c r="P1617" s="27" t="n"/>
      <c r="Q1617" s="27" t="n"/>
      <c r="R1617" s="27" t="n"/>
      <c r="S1617" s="27" t="n"/>
      <c r="T1617" s="25">
        <f>IF($C1617="","",IF(OR(ISNUMBER(SEARCH("quick case",$P1617)),ISNUMBER(SEARCH("quick case",$Q1617))),"Yes","No"))</f>
        <v/>
      </c>
      <c r="U1617" s="25">
        <f>IF($O1617="Invalid",HYPERLINK("mailto:"&amp;$G1617&amp;";"&amp;$I1617&amp;"?cc="&amp;Lists!$E$2&amp;"&amp;subject="&amp;_xlfn.ENCODEURL("[INVALID] Quality audit monitoring completed for "&amp;UPPER($C1617))&amp;"&amp;body="&amp;_xlfn.ENCODEURL("Hi "&amp;$F1617&amp;","&amp;CHAR(10)&amp;"Good day!"&amp;CHAR(10)&amp;CHAR(10)&amp;"A quality monitoring audit has been completed for "&amp;$C1617&amp;"."&amp;CHAR(10)&amp;CHAR(10)&amp;"QUALITY AUDIT DETAILS"&amp;CHAR(10)&amp;"Agent Name: "&amp;$C1617&amp;" (EID "&amp;$D1617&amp;")"&amp;CHAR(10)&amp;"Audit Date: "&amp;TEXT($B1617,"yyyy-mm-dd")&amp;CHAR(10)&amp;"Team Leader: "&amp;$F1617&amp;CHAR(10)&amp;"Case Number: "&amp;$M1617&amp;CHAR(10)&amp;"Transaction ID: "&amp;$N1617&amp;CHAR(10)&amp;"Channel / LOB: "&amp;$K1617&amp;" / "&amp;$L1617&amp;CHAR(10)&amp;"Evaluator: "&amp;$S1617&amp;CHAR(10)&amp;CHAR(10)&amp;"INVALID QUALITY AUDIT DETAILS"&amp;CHAR(10)&amp;"Validation: Invalid"&amp;CHAR(10)&amp;"Invalid Reason: "&amp;$P1617&amp;CHAR(10)&amp;"Expected Resolution Code: "&amp;$Q1617&amp;CHAR(10)&amp;"Remarks: "&amp;LEFT($R1617,600)&amp;CHAR(10)&amp;CHAR(10)&amp;"This is an automated notification from HP Mainstream EQMS."),"✉ Open Email Draft"),"")</f>
        <v/>
      </c>
    </row>
    <row r="1618">
      <c r="A1618" s="25">
        <f>IF($C1618="","","AUD-2026-"&amp;TEXT(ROW()-1,"000000"))</f>
        <v/>
      </c>
      <c r="B1618" s="26" t="n"/>
      <c r="C1618" s="27" t="n"/>
      <c r="D1618" s="25">
        <f>IF($C1618="","",IFERROR(IF(INDEX(Roster!$A:$A,MATCH($C1618,Roster!$B:$B,0))="","",INDEX(Roster!$A:$A,MATCH($C1618,Roster!$B:$B,0))&amp;""),"—"))</f>
        <v/>
      </c>
      <c r="E1618" s="25">
        <f>IF($C1618="","",IFERROR(IF(INDEX(Roster!$C:$C,MATCH($C1618,Roster!$B:$B,0))="","",INDEX(Roster!$C:$C,MATCH($C1618,Roster!$B:$B,0))&amp;""),"—"))</f>
        <v/>
      </c>
      <c r="F1618" s="25">
        <f>IF($C1618="","",IFERROR(IF(INDEX(Roster!$D:$D,MATCH($C1618,Roster!$B:$B,0))="","",INDEX(Roster!$D:$D,MATCH($C1618,Roster!$B:$B,0))&amp;""),"—"))</f>
        <v/>
      </c>
      <c r="G1618" s="25">
        <f>IF($C1618="","",IFERROR(IF(INDEX(Roster!$E:$E,MATCH($C1618,Roster!$B:$B,0))="","",INDEX(Roster!$E:$E,MATCH($C1618,Roster!$B:$B,0))&amp;""),"—"))</f>
        <v/>
      </c>
      <c r="H1618" s="25">
        <f>IF($C1618="","",IFERROR(IF(INDEX(Roster!$F:$F,MATCH($C1618,Roster!$B:$B,0))="","",INDEX(Roster!$F:$F,MATCH($C1618,Roster!$B:$B,0))&amp;""),"—"))</f>
        <v/>
      </c>
      <c r="I1618" s="25">
        <f>IF($C1618="","",IFERROR(IF(INDEX(Roster!$G:$G,MATCH($C1618,Roster!$B:$B,0))="","",INDEX(Roster!$G:$G,MATCH($C1618,Roster!$B:$B,0))&amp;""),"—"))</f>
        <v/>
      </c>
      <c r="J1618" s="25">
        <f>IF($C1618="","",IFERROR(IF(INDEX(Roster!$I:$I,MATCH($C1618,Roster!$B:$B,0))="","",INDEX(Roster!$I:$I,MATCH($C1618,Roster!$B:$B,0))&amp;""),"—"))</f>
        <v/>
      </c>
      <c r="K1618">
        <f>IF($C1618="","",IFERROR(IF(INDEX(Roster!$J:$J,MATCH($C1618,Roster!$B:$B,0))="","",INDEX(Roster!$J:$J,MATCH($C1618,Roster!$B:$B,0))&amp;""),"—"))</f>
        <v/>
      </c>
      <c r="L1618">
        <f>IF($C1618="","",IFERROR(IF(INDEX(Roster!$K:$K,MATCH($C1618,Roster!$B:$B,0))="","",INDEX(Roster!$K:$K,MATCH($C1618,Roster!$B:$B,0))&amp;""),"—"))</f>
        <v/>
      </c>
      <c r="M1618" s="27" t="n"/>
      <c r="N1618" s="27" t="n"/>
      <c r="O1618" s="25">
        <f>IF($C1618="","",IF($P1618="","—",IF($P1618="Valid (Pass)","Valid","Invalid")))</f>
        <v/>
      </c>
      <c r="P1618" s="27" t="n"/>
      <c r="Q1618" s="27" t="n"/>
      <c r="R1618" s="27" t="n"/>
      <c r="S1618" s="27" t="n"/>
      <c r="T1618" s="25">
        <f>IF($C1618="","",IF(OR(ISNUMBER(SEARCH("quick case",$P1618)),ISNUMBER(SEARCH("quick case",$Q1618))),"Yes","No"))</f>
        <v/>
      </c>
      <c r="U1618" s="25">
        <f>IF($O1618="Invalid",HYPERLINK("mailto:"&amp;$G1618&amp;";"&amp;$I1618&amp;"?cc="&amp;Lists!$E$2&amp;"&amp;subject="&amp;_xlfn.ENCODEURL("[INVALID] Quality audit monitoring completed for "&amp;UPPER($C1618))&amp;"&amp;body="&amp;_xlfn.ENCODEURL("Hi "&amp;$F1618&amp;","&amp;CHAR(10)&amp;"Good day!"&amp;CHAR(10)&amp;CHAR(10)&amp;"A quality monitoring audit has been completed for "&amp;$C1618&amp;"."&amp;CHAR(10)&amp;CHAR(10)&amp;"QUALITY AUDIT DETAILS"&amp;CHAR(10)&amp;"Agent Name: "&amp;$C1618&amp;" (EID "&amp;$D1618&amp;")"&amp;CHAR(10)&amp;"Audit Date: "&amp;TEXT($B1618,"yyyy-mm-dd")&amp;CHAR(10)&amp;"Team Leader: "&amp;$F1618&amp;CHAR(10)&amp;"Case Number: "&amp;$M1618&amp;CHAR(10)&amp;"Transaction ID: "&amp;$N1618&amp;CHAR(10)&amp;"Channel / LOB: "&amp;$K1618&amp;" / "&amp;$L1618&amp;CHAR(10)&amp;"Evaluator: "&amp;$S1618&amp;CHAR(10)&amp;CHAR(10)&amp;"INVALID QUALITY AUDIT DETAILS"&amp;CHAR(10)&amp;"Validation: Invalid"&amp;CHAR(10)&amp;"Invalid Reason: "&amp;$P1618&amp;CHAR(10)&amp;"Expected Resolution Code: "&amp;$Q1618&amp;CHAR(10)&amp;"Remarks: "&amp;LEFT($R1618,600)&amp;CHAR(10)&amp;CHAR(10)&amp;"This is an automated notification from HP Mainstream EQMS."),"✉ Open Email Draft"),"")</f>
        <v/>
      </c>
    </row>
    <row r="1619">
      <c r="A1619" s="25">
        <f>IF($C1619="","","AUD-2026-"&amp;TEXT(ROW()-1,"000000"))</f>
        <v/>
      </c>
      <c r="B1619" s="26" t="n"/>
      <c r="C1619" s="27" t="n"/>
      <c r="D1619" s="25">
        <f>IF($C1619="","",IFERROR(IF(INDEX(Roster!$A:$A,MATCH($C1619,Roster!$B:$B,0))="","",INDEX(Roster!$A:$A,MATCH($C1619,Roster!$B:$B,0))&amp;""),"—"))</f>
        <v/>
      </c>
      <c r="E1619" s="25">
        <f>IF($C1619="","",IFERROR(IF(INDEX(Roster!$C:$C,MATCH($C1619,Roster!$B:$B,0))="","",INDEX(Roster!$C:$C,MATCH($C1619,Roster!$B:$B,0))&amp;""),"—"))</f>
        <v/>
      </c>
      <c r="F1619" s="25">
        <f>IF($C1619="","",IFERROR(IF(INDEX(Roster!$D:$D,MATCH($C1619,Roster!$B:$B,0))="","",INDEX(Roster!$D:$D,MATCH($C1619,Roster!$B:$B,0))&amp;""),"—"))</f>
        <v/>
      </c>
      <c r="G1619" s="25">
        <f>IF($C1619="","",IFERROR(IF(INDEX(Roster!$E:$E,MATCH($C1619,Roster!$B:$B,0))="","",INDEX(Roster!$E:$E,MATCH($C1619,Roster!$B:$B,0))&amp;""),"—"))</f>
        <v/>
      </c>
      <c r="H1619" s="25">
        <f>IF($C1619="","",IFERROR(IF(INDEX(Roster!$F:$F,MATCH($C1619,Roster!$B:$B,0))="","",INDEX(Roster!$F:$F,MATCH($C1619,Roster!$B:$B,0))&amp;""),"—"))</f>
        <v/>
      </c>
      <c r="I1619" s="25">
        <f>IF($C1619="","",IFERROR(IF(INDEX(Roster!$G:$G,MATCH($C1619,Roster!$B:$B,0))="","",INDEX(Roster!$G:$G,MATCH($C1619,Roster!$B:$B,0))&amp;""),"—"))</f>
        <v/>
      </c>
      <c r="J1619" s="25">
        <f>IF($C1619="","",IFERROR(IF(INDEX(Roster!$I:$I,MATCH($C1619,Roster!$B:$B,0))="","",INDEX(Roster!$I:$I,MATCH($C1619,Roster!$B:$B,0))&amp;""),"—"))</f>
        <v/>
      </c>
      <c r="K1619">
        <f>IF($C1619="","",IFERROR(IF(INDEX(Roster!$J:$J,MATCH($C1619,Roster!$B:$B,0))="","",INDEX(Roster!$J:$J,MATCH($C1619,Roster!$B:$B,0))&amp;""),"—"))</f>
        <v/>
      </c>
      <c r="L1619">
        <f>IF($C1619="","",IFERROR(IF(INDEX(Roster!$K:$K,MATCH($C1619,Roster!$B:$B,0))="","",INDEX(Roster!$K:$K,MATCH($C1619,Roster!$B:$B,0))&amp;""),"—"))</f>
        <v/>
      </c>
      <c r="M1619" s="27" t="n"/>
      <c r="N1619" s="27" t="n"/>
      <c r="O1619" s="25">
        <f>IF($C1619="","",IF($P1619="","—",IF($P1619="Valid (Pass)","Valid","Invalid")))</f>
        <v/>
      </c>
      <c r="P1619" s="27" t="n"/>
      <c r="Q1619" s="27" t="n"/>
      <c r="R1619" s="27" t="n"/>
      <c r="S1619" s="27" t="n"/>
      <c r="T1619" s="25">
        <f>IF($C1619="","",IF(OR(ISNUMBER(SEARCH("quick case",$P1619)),ISNUMBER(SEARCH("quick case",$Q1619))),"Yes","No"))</f>
        <v/>
      </c>
      <c r="U1619" s="25">
        <f>IF($O1619="Invalid",HYPERLINK("mailto:"&amp;$G1619&amp;";"&amp;$I1619&amp;"?cc="&amp;Lists!$E$2&amp;"&amp;subject="&amp;_xlfn.ENCODEURL("[INVALID] Quality audit monitoring completed for "&amp;UPPER($C1619))&amp;"&amp;body="&amp;_xlfn.ENCODEURL("Hi "&amp;$F1619&amp;","&amp;CHAR(10)&amp;"Good day!"&amp;CHAR(10)&amp;CHAR(10)&amp;"A quality monitoring audit has been completed for "&amp;$C1619&amp;"."&amp;CHAR(10)&amp;CHAR(10)&amp;"QUALITY AUDIT DETAILS"&amp;CHAR(10)&amp;"Agent Name: "&amp;$C1619&amp;" (EID "&amp;$D1619&amp;")"&amp;CHAR(10)&amp;"Audit Date: "&amp;TEXT($B1619,"yyyy-mm-dd")&amp;CHAR(10)&amp;"Team Leader: "&amp;$F1619&amp;CHAR(10)&amp;"Case Number: "&amp;$M1619&amp;CHAR(10)&amp;"Transaction ID: "&amp;$N1619&amp;CHAR(10)&amp;"Channel / LOB: "&amp;$K1619&amp;" / "&amp;$L1619&amp;CHAR(10)&amp;"Evaluator: "&amp;$S1619&amp;CHAR(10)&amp;CHAR(10)&amp;"INVALID QUALITY AUDIT DETAILS"&amp;CHAR(10)&amp;"Validation: Invalid"&amp;CHAR(10)&amp;"Invalid Reason: "&amp;$P1619&amp;CHAR(10)&amp;"Expected Resolution Code: "&amp;$Q1619&amp;CHAR(10)&amp;"Remarks: "&amp;LEFT($R1619,600)&amp;CHAR(10)&amp;CHAR(10)&amp;"This is an automated notification from HP Mainstream EQMS."),"✉ Open Email Draft"),"")</f>
        <v/>
      </c>
    </row>
    <row r="1620">
      <c r="A1620" s="25">
        <f>IF($C1620="","","AUD-2026-"&amp;TEXT(ROW()-1,"000000"))</f>
        <v/>
      </c>
      <c r="B1620" s="26" t="n"/>
      <c r="C1620" s="27" t="n"/>
      <c r="D1620" s="25">
        <f>IF($C1620="","",IFERROR(IF(INDEX(Roster!$A:$A,MATCH($C1620,Roster!$B:$B,0))="","",INDEX(Roster!$A:$A,MATCH($C1620,Roster!$B:$B,0))&amp;""),"—"))</f>
        <v/>
      </c>
      <c r="E1620" s="25">
        <f>IF($C1620="","",IFERROR(IF(INDEX(Roster!$C:$C,MATCH($C1620,Roster!$B:$B,0))="","",INDEX(Roster!$C:$C,MATCH($C1620,Roster!$B:$B,0))&amp;""),"—"))</f>
        <v/>
      </c>
      <c r="F1620" s="25">
        <f>IF($C1620="","",IFERROR(IF(INDEX(Roster!$D:$D,MATCH($C1620,Roster!$B:$B,0))="","",INDEX(Roster!$D:$D,MATCH($C1620,Roster!$B:$B,0))&amp;""),"—"))</f>
        <v/>
      </c>
      <c r="G1620" s="25">
        <f>IF($C1620="","",IFERROR(IF(INDEX(Roster!$E:$E,MATCH($C1620,Roster!$B:$B,0))="","",INDEX(Roster!$E:$E,MATCH($C1620,Roster!$B:$B,0))&amp;""),"—"))</f>
        <v/>
      </c>
      <c r="H1620" s="25">
        <f>IF($C1620="","",IFERROR(IF(INDEX(Roster!$F:$F,MATCH($C1620,Roster!$B:$B,0))="","",INDEX(Roster!$F:$F,MATCH($C1620,Roster!$B:$B,0))&amp;""),"—"))</f>
        <v/>
      </c>
      <c r="I1620" s="25">
        <f>IF($C1620="","",IFERROR(IF(INDEX(Roster!$G:$G,MATCH($C1620,Roster!$B:$B,0))="","",INDEX(Roster!$G:$G,MATCH($C1620,Roster!$B:$B,0))&amp;""),"—"))</f>
        <v/>
      </c>
      <c r="J1620" s="25">
        <f>IF($C1620="","",IFERROR(IF(INDEX(Roster!$I:$I,MATCH($C1620,Roster!$B:$B,0))="","",INDEX(Roster!$I:$I,MATCH($C1620,Roster!$B:$B,0))&amp;""),"—"))</f>
        <v/>
      </c>
      <c r="K1620">
        <f>IF($C1620="","",IFERROR(IF(INDEX(Roster!$J:$J,MATCH($C1620,Roster!$B:$B,0))="","",INDEX(Roster!$J:$J,MATCH($C1620,Roster!$B:$B,0))&amp;""),"—"))</f>
        <v/>
      </c>
      <c r="L1620">
        <f>IF($C1620="","",IFERROR(IF(INDEX(Roster!$K:$K,MATCH($C1620,Roster!$B:$B,0))="","",INDEX(Roster!$K:$K,MATCH($C1620,Roster!$B:$B,0))&amp;""),"—"))</f>
        <v/>
      </c>
      <c r="M1620" s="27" t="n"/>
      <c r="N1620" s="27" t="n"/>
      <c r="O1620" s="25">
        <f>IF($C1620="","",IF($P1620="","—",IF($P1620="Valid (Pass)","Valid","Invalid")))</f>
        <v/>
      </c>
      <c r="P1620" s="27" t="n"/>
      <c r="Q1620" s="27" t="n"/>
      <c r="R1620" s="27" t="n"/>
      <c r="S1620" s="27" t="n"/>
      <c r="T1620" s="25">
        <f>IF($C1620="","",IF(OR(ISNUMBER(SEARCH("quick case",$P1620)),ISNUMBER(SEARCH("quick case",$Q1620))),"Yes","No"))</f>
        <v/>
      </c>
      <c r="U1620" s="25">
        <f>IF($O1620="Invalid",HYPERLINK("mailto:"&amp;$G1620&amp;";"&amp;$I1620&amp;"?cc="&amp;Lists!$E$2&amp;"&amp;subject="&amp;_xlfn.ENCODEURL("[INVALID] Quality audit monitoring completed for "&amp;UPPER($C1620))&amp;"&amp;body="&amp;_xlfn.ENCODEURL("Hi "&amp;$F1620&amp;","&amp;CHAR(10)&amp;"Good day!"&amp;CHAR(10)&amp;CHAR(10)&amp;"A quality monitoring audit has been completed for "&amp;$C1620&amp;"."&amp;CHAR(10)&amp;CHAR(10)&amp;"QUALITY AUDIT DETAILS"&amp;CHAR(10)&amp;"Agent Name: "&amp;$C1620&amp;" (EID "&amp;$D1620&amp;")"&amp;CHAR(10)&amp;"Audit Date: "&amp;TEXT($B1620,"yyyy-mm-dd")&amp;CHAR(10)&amp;"Team Leader: "&amp;$F1620&amp;CHAR(10)&amp;"Case Number: "&amp;$M1620&amp;CHAR(10)&amp;"Transaction ID: "&amp;$N1620&amp;CHAR(10)&amp;"Channel / LOB: "&amp;$K1620&amp;" / "&amp;$L1620&amp;CHAR(10)&amp;"Evaluator: "&amp;$S1620&amp;CHAR(10)&amp;CHAR(10)&amp;"INVALID QUALITY AUDIT DETAILS"&amp;CHAR(10)&amp;"Validation: Invalid"&amp;CHAR(10)&amp;"Invalid Reason: "&amp;$P1620&amp;CHAR(10)&amp;"Expected Resolution Code: "&amp;$Q1620&amp;CHAR(10)&amp;"Remarks: "&amp;LEFT($R1620,600)&amp;CHAR(10)&amp;CHAR(10)&amp;"This is an automated notification from HP Mainstream EQMS."),"✉ Open Email Draft"),"")</f>
        <v/>
      </c>
    </row>
    <row r="1621">
      <c r="A1621" s="25">
        <f>IF($C1621="","","AUD-2026-"&amp;TEXT(ROW()-1,"000000"))</f>
        <v/>
      </c>
      <c r="B1621" s="26" t="n"/>
      <c r="C1621" s="27" t="n"/>
      <c r="D1621" s="25">
        <f>IF($C1621="","",IFERROR(IF(INDEX(Roster!$A:$A,MATCH($C1621,Roster!$B:$B,0))="","",INDEX(Roster!$A:$A,MATCH($C1621,Roster!$B:$B,0))&amp;""),"—"))</f>
        <v/>
      </c>
      <c r="E1621" s="25">
        <f>IF($C1621="","",IFERROR(IF(INDEX(Roster!$C:$C,MATCH($C1621,Roster!$B:$B,0))="","",INDEX(Roster!$C:$C,MATCH($C1621,Roster!$B:$B,0))&amp;""),"—"))</f>
        <v/>
      </c>
      <c r="F1621" s="25">
        <f>IF($C1621="","",IFERROR(IF(INDEX(Roster!$D:$D,MATCH($C1621,Roster!$B:$B,0))="","",INDEX(Roster!$D:$D,MATCH($C1621,Roster!$B:$B,0))&amp;""),"—"))</f>
        <v/>
      </c>
      <c r="G1621" s="25">
        <f>IF($C1621="","",IFERROR(IF(INDEX(Roster!$E:$E,MATCH($C1621,Roster!$B:$B,0))="","",INDEX(Roster!$E:$E,MATCH($C1621,Roster!$B:$B,0))&amp;""),"—"))</f>
        <v/>
      </c>
      <c r="H1621" s="25">
        <f>IF($C1621="","",IFERROR(IF(INDEX(Roster!$F:$F,MATCH($C1621,Roster!$B:$B,0))="","",INDEX(Roster!$F:$F,MATCH($C1621,Roster!$B:$B,0))&amp;""),"—"))</f>
        <v/>
      </c>
      <c r="I1621" s="25">
        <f>IF($C1621="","",IFERROR(IF(INDEX(Roster!$G:$G,MATCH($C1621,Roster!$B:$B,0))="","",INDEX(Roster!$G:$G,MATCH($C1621,Roster!$B:$B,0))&amp;""),"—"))</f>
        <v/>
      </c>
      <c r="J1621" s="25">
        <f>IF($C1621="","",IFERROR(IF(INDEX(Roster!$I:$I,MATCH($C1621,Roster!$B:$B,0))="","",INDEX(Roster!$I:$I,MATCH($C1621,Roster!$B:$B,0))&amp;""),"—"))</f>
        <v/>
      </c>
      <c r="K1621">
        <f>IF($C1621="","",IFERROR(IF(INDEX(Roster!$J:$J,MATCH($C1621,Roster!$B:$B,0))="","",INDEX(Roster!$J:$J,MATCH($C1621,Roster!$B:$B,0))&amp;""),"—"))</f>
        <v/>
      </c>
      <c r="L1621">
        <f>IF($C1621="","",IFERROR(IF(INDEX(Roster!$K:$K,MATCH($C1621,Roster!$B:$B,0))="","",INDEX(Roster!$K:$K,MATCH($C1621,Roster!$B:$B,0))&amp;""),"—"))</f>
        <v/>
      </c>
      <c r="M1621" s="27" t="n"/>
      <c r="N1621" s="27" t="n"/>
      <c r="O1621" s="25">
        <f>IF($C1621="","",IF($P1621="","—",IF($P1621="Valid (Pass)","Valid","Invalid")))</f>
        <v/>
      </c>
      <c r="P1621" s="27" t="n"/>
      <c r="Q1621" s="27" t="n"/>
      <c r="R1621" s="27" t="n"/>
      <c r="S1621" s="27" t="n"/>
      <c r="T1621" s="25">
        <f>IF($C1621="","",IF(OR(ISNUMBER(SEARCH("quick case",$P1621)),ISNUMBER(SEARCH("quick case",$Q1621))),"Yes","No"))</f>
        <v/>
      </c>
      <c r="U1621" s="25">
        <f>IF($O1621="Invalid",HYPERLINK("mailto:"&amp;$G1621&amp;";"&amp;$I1621&amp;"?cc="&amp;Lists!$E$2&amp;"&amp;subject="&amp;_xlfn.ENCODEURL("[INVALID] Quality audit monitoring completed for "&amp;UPPER($C1621))&amp;"&amp;body="&amp;_xlfn.ENCODEURL("Hi "&amp;$F1621&amp;","&amp;CHAR(10)&amp;"Good day!"&amp;CHAR(10)&amp;CHAR(10)&amp;"A quality monitoring audit has been completed for "&amp;$C1621&amp;"."&amp;CHAR(10)&amp;CHAR(10)&amp;"QUALITY AUDIT DETAILS"&amp;CHAR(10)&amp;"Agent Name: "&amp;$C1621&amp;" (EID "&amp;$D1621&amp;")"&amp;CHAR(10)&amp;"Audit Date: "&amp;TEXT($B1621,"yyyy-mm-dd")&amp;CHAR(10)&amp;"Team Leader: "&amp;$F1621&amp;CHAR(10)&amp;"Case Number: "&amp;$M1621&amp;CHAR(10)&amp;"Transaction ID: "&amp;$N1621&amp;CHAR(10)&amp;"Channel / LOB: "&amp;$K1621&amp;" / "&amp;$L1621&amp;CHAR(10)&amp;"Evaluator: "&amp;$S1621&amp;CHAR(10)&amp;CHAR(10)&amp;"INVALID QUALITY AUDIT DETAILS"&amp;CHAR(10)&amp;"Validation: Invalid"&amp;CHAR(10)&amp;"Invalid Reason: "&amp;$P1621&amp;CHAR(10)&amp;"Expected Resolution Code: "&amp;$Q1621&amp;CHAR(10)&amp;"Remarks: "&amp;LEFT($R1621,600)&amp;CHAR(10)&amp;CHAR(10)&amp;"This is an automated notification from HP Mainstream EQMS."),"✉ Open Email Draft"),"")</f>
        <v/>
      </c>
    </row>
    <row r="1622">
      <c r="A1622" s="25">
        <f>IF($C1622="","","AUD-2026-"&amp;TEXT(ROW()-1,"000000"))</f>
        <v/>
      </c>
      <c r="B1622" s="26" t="n"/>
      <c r="C1622" s="27" t="n"/>
      <c r="D1622" s="25">
        <f>IF($C1622="","",IFERROR(IF(INDEX(Roster!$A:$A,MATCH($C1622,Roster!$B:$B,0))="","",INDEX(Roster!$A:$A,MATCH($C1622,Roster!$B:$B,0))&amp;""),"—"))</f>
        <v/>
      </c>
      <c r="E1622" s="25">
        <f>IF($C1622="","",IFERROR(IF(INDEX(Roster!$C:$C,MATCH($C1622,Roster!$B:$B,0))="","",INDEX(Roster!$C:$C,MATCH($C1622,Roster!$B:$B,0))&amp;""),"—"))</f>
        <v/>
      </c>
      <c r="F1622" s="25">
        <f>IF($C1622="","",IFERROR(IF(INDEX(Roster!$D:$D,MATCH($C1622,Roster!$B:$B,0))="","",INDEX(Roster!$D:$D,MATCH($C1622,Roster!$B:$B,0))&amp;""),"—"))</f>
        <v/>
      </c>
      <c r="G1622" s="25">
        <f>IF($C1622="","",IFERROR(IF(INDEX(Roster!$E:$E,MATCH($C1622,Roster!$B:$B,0))="","",INDEX(Roster!$E:$E,MATCH($C1622,Roster!$B:$B,0))&amp;""),"—"))</f>
        <v/>
      </c>
      <c r="H1622" s="25">
        <f>IF($C1622="","",IFERROR(IF(INDEX(Roster!$F:$F,MATCH($C1622,Roster!$B:$B,0))="","",INDEX(Roster!$F:$F,MATCH($C1622,Roster!$B:$B,0))&amp;""),"—"))</f>
        <v/>
      </c>
      <c r="I1622" s="25">
        <f>IF($C1622="","",IFERROR(IF(INDEX(Roster!$G:$G,MATCH($C1622,Roster!$B:$B,0))="","",INDEX(Roster!$G:$G,MATCH($C1622,Roster!$B:$B,0))&amp;""),"—"))</f>
        <v/>
      </c>
      <c r="J1622" s="25">
        <f>IF($C1622="","",IFERROR(IF(INDEX(Roster!$I:$I,MATCH($C1622,Roster!$B:$B,0))="","",INDEX(Roster!$I:$I,MATCH($C1622,Roster!$B:$B,0))&amp;""),"—"))</f>
        <v/>
      </c>
      <c r="K1622">
        <f>IF($C1622="","",IFERROR(IF(INDEX(Roster!$J:$J,MATCH($C1622,Roster!$B:$B,0))="","",INDEX(Roster!$J:$J,MATCH($C1622,Roster!$B:$B,0))&amp;""),"—"))</f>
        <v/>
      </c>
      <c r="L1622">
        <f>IF($C1622="","",IFERROR(IF(INDEX(Roster!$K:$K,MATCH($C1622,Roster!$B:$B,0))="","",INDEX(Roster!$K:$K,MATCH($C1622,Roster!$B:$B,0))&amp;""),"—"))</f>
        <v/>
      </c>
      <c r="M1622" s="27" t="n"/>
      <c r="N1622" s="27" t="n"/>
      <c r="O1622" s="25">
        <f>IF($C1622="","",IF($P1622="","—",IF($P1622="Valid (Pass)","Valid","Invalid")))</f>
        <v/>
      </c>
      <c r="P1622" s="27" t="n"/>
      <c r="Q1622" s="27" t="n"/>
      <c r="R1622" s="27" t="n"/>
      <c r="S1622" s="27" t="n"/>
      <c r="T1622" s="25">
        <f>IF($C1622="","",IF(OR(ISNUMBER(SEARCH("quick case",$P1622)),ISNUMBER(SEARCH("quick case",$Q1622))),"Yes","No"))</f>
        <v/>
      </c>
      <c r="U1622" s="25">
        <f>IF($O1622="Invalid",HYPERLINK("mailto:"&amp;$G1622&amp;";"&amp;$I1622&amp;"?cc="&amp;Lists!$E$2&amp;"&amp;subject="&amp;_xlfn.ENCODEURL("[INVALID] Quality audit monitoring completed for "&amp;UPPER($C1622))&amp;"&amp;body="&amp;_xlfn.ENCODEURL("Hi "&amp;$F1622&amp;","&amp;CHAR(10)&amp;"Good day!"&amp;CHAR(10)&amp;CHAR(10)&amp;"A quality monitoring audit has been completed for "&amp;$C1622&amp;"."&amp;CHAR(10)&amp;CHAR(10)&amp;"QUALITY AUDIT DETAILS"&amp;CHAR(10)&amp;"Agent Name: "&amp;$C1622&amp;" (EID "&amp;$D1622&amp;")"&amp;CHAR(10)&amp;"Audit Date: "&amp;TEXT($B1622,"yyyy-mm-dd")&amp;CHAR(10)&amp;"Team Leader: "&amp;$F1622&amp;CHAR(10)&amp;"Case Number: "&amp;$M1622&amp;CHAR(10)&amp;"Transaction ID: "&amp;$N1622&amp;CHAR(10)&amp;"Channel / LOB: "&amp;$K1622&amp;" / "&amp;$L1622&amp;CHAR(10)&amp;"Evaluator: "&amp;$S1622&amp;CHAR(10)&amp;CHAR(10)&amp;"INVALID QUALITY AUDIT DETAILS"&amp;CHAR(10)&amp;"Validation: Invalid"&amp;CHAR(10)&amp;"Invalid Reason: "&amp;$P1622&amp;CHAR(10)&amp;"Expected Resolution Code: "&amp;$Q1622&amp;CHAR(10)&amp;"Remarks: "&amp;LEFT($R1622,600)&amp;CHAR(10)&amp;CHAR(10)&amp;"This is an automated notification from HP Mainstream EQMS."),"✉ Open Email Draft"),"")</f>
        <v/>
      </c>
    </row>
    <row r="1623">
      <c r="A1623" s="25">
        <f>IF($C1623="","","AUD-2026-"&amp;TEXT(ROW()-1,"000000"))</f>
        <v/>
      </c>
      <c r="B1623" s="26" t="n"/>
      <c r="C1623" s="27" t="n"/>
      <c r="D1623" s="25">
        <f>IF($C1623="","",IFERROR(IF(INDEX(Roster!$A:$A,MATCH($C1623,Roster!$B:$B,0))="","",INDEX(Roster!$A:$A,MATCH($C1623,Roster!$B:$B,0))&amp;""),"—"))</f>
        <v/>
      </c>
      <c r="E1623" s="25">
        <f>IF($C1623="","",IFERROR(IF(INDEX(Roster!$C:$C,MATCH($C1623,Roster!$B:$B,0))="","",INDEX(Roster!$C:$C,MATCH($C1623,Roster!$B:$B,0))&amp;""),"—"))</f>
        <v/>
      </c>
      <c r="F1623" s="25">
        <f>IF($C1623="","",IFERROR(IF(INDEX(Roster!$D:$D,MATCH($C1623,Roster!$B:$B,0))="","",INDEX(Roster!$D:$D,MATCH($C1623,Roster!$B:$B,0))&amp;""),"—"))</f>
        <v/>
      </c>
      <c r="G1623" s="25">
        <f>IF($C1623="","",IFERROR(IF(INDEX(Roster!$E:$E,MATCH($C1623,Roster!$B:$B,0))="","",INDEX(Roster!$E:$E,MATCH($C1623,Roster!$B:$B,0))&amp;""),"—"))</f>
        <v/>
      </c>
      <c r="H1623" s="25">
        <f>IF($C1623="","",IFERROR(IF(INDEX(Roster!$F:$F,MATCH($C1623,Roster!$B:$B,0))="","",INDEX(Roster!$F:$F,MATCH($C1623,Roster!$B:$B,0))&amp;""),"—"))</f>
        <v/>
      </c>
      <c r="I1623" s="25">
        <f>IF($C1623="","",IFERROR(IF(INDEX(Roster!$G:$G,MATCH($C1623,Roster!$B:$B,0))="","",INDEX(Roster!$G:$G,MATCH($C1623,Roster!$B:$B,0))&amp;""),"—"))</f>
        <v/>
      </c>
      <c r="J1623" s="25">
        <f>IF($C1623="","",IFERROR(IF(INDEX(Roster!$I:$I,MATCH($C1623,Roster!$B:$B,0))="","",INDEX(Roster!$I:$I,MATCH($C1623,Roster!$B:$B,0))&amp;""),"—"))</f>
        <v/>
      </c>
      <c r="K1623">
        <f>IF($C1623="","",IFERROR(IF(INDEX(Roster!$J:$J,MATCH($C1623,Roster!$B:$B,0))="","",INDEX(Roster!$J:$J,MATCH($C1623,Roster!$B:$B,0))&amp;""),"—"))</f>
        <v/>
      </c>
      <c r="L1623">
        <f>IF($C1623="","",IFERROR(IF(INDEX(Roster!$K:$K,MATCH($C1623,Roster!$B:$B,0))="","",INDEX(Roster!$K:$K,MATCH($C1623,Roster!$B:$B,0))&amp;""),"—"))</f>
        <v/>
      </c>
      <c r="M1623" s="27" t="n"/>
      <c r="N1623" s="27" t="n"/>
      <c r="O1623" s="25">
        <f>IF($C1623="","",IF($P1623="","—",IF($P1623="Valid (Pass)","Valid","Invalid")))</f>
        <v/>
      </c>
      <c r="P1623" s="27" t="n"/>
      <c r="Q1623" s="27" t="n"/>
      <c r="R1623" s="27" t="n"/>
      <c r="S1623" s="27" t="n"/>
      <c r="T1623" s="25">
        <f>IF($C1623="","",IF(OR(ISNUMBER(SEARCH("quick case",$P1623)),ISNUMBER(SEARCH("quick case",$Q1623))),"Yes","No"))</f>
        <v/>
      </c>
      <c r="U1623" s="25">
        <f>IF($O1623="Invalid",HYPERLINK("mailto:"&amp;$G1623&amp;";"&amp;$I1623&amp;"?cc="&amp;Lists!$E$2&amp;"&amp;subject="&amp;_xlfn.ENCODEURL("[INVALID] Quality audit monitoring completed for "&amp;UPPER($C1623))&amp;"&amp;body="&amp;_xlfn.ENCODEURL("Hi "&amp;$F1623&amp;","&amp;CHAR(10)&amp;"Good day!"&amp;CHAR(10)&amp;CHAR(10)&amp;"A quality monitoring audit has been completed for "&amp;$C1623&amp;"."&amp;CHAR(10)&amp;CHAR(10)&amp;"QUALITY AUDIT DETAILS"&amp;CHAR(10)&amp;"Agent Name: "&amp;$C1623&amp;" (EID "&amp;$D1623&amp;")"&amp;CHAR(10)&amp;"Audit Date: "&amp;TEXT($B1623,"yyyy-mm-dd")&amp;CHAR(10)&amp;"Team Leader: "&amp;$F1623&amp;CHAR(10)&amp;"Case Number: "&amp;$M1623&amp;CHAR(10)&amp;"Transaction ID: "&amp;$N1623&amp;CHAR(10)&amp;"Channel / LOB: "&amp;$K1623&amp;" / "&amp;$L1623&amp;CHAR(10)&amp;"Evaluator: "&amp;$S1623&amp;CHAR(10)&amp;CHAR(10)&amp;"INVALID QUALITY AUDIT DETAILS"&amp;CHAR(10)&amp;"Validation: Invalid"&amp;CHAR(10)&amp;"Invalid Reason: "&amp;$P1623&amp;CHAR(10)&amp;"Expected Resolution Code: "&amp;$Q1623&amp;CHAR(10)&amp;"Remarks: "&amp;LEFT($R1623,600)&amp;CHAR(10)&amp;CHAR(10)&amp;"This is an automated notification from HP Mainstream EQMS."),"✉ Open Email Draft"),"")</f>
        <v/>
      </c>
    </row>
    <row r="1624">
      <c r="A1624" s="25">
        <f>IF($C1624="","","AUD-2026-"&amp;TEXT(ROW()-1,"000000"))</f>
        <v/>
      </c>
      <c r="B1624" s="26" t="n"/>
      <c r="C1624" s="27" t="n"/>
      <c r="D1624" s="25">
        <f>IF($C1624="","",IFERROR(IF(INDEX(Roster!$A:$A,MATCH($C1624,Roster!$B:$B,0))="","",INDEX(Roster!$A:$A,MATCH($C1624,Roster!$B:$B,0))&amp;""),"—"))</f>
        <v/>
      </c>
      <c r="E1624" s="25">
        <f>IF($C1624="","",IFERROR(IF(INDEX(Roster!$C:$C,MATCH($C1624,Roster!$B:$B,0))="","",INDEX(Roster!$C:$C,MATCH($C1624,Roster!$B:$B,0))&amp;""),"—"))</f>
        <v/>
      </c>
      <c r="F1624" s="25">
        <f>IF($C1624="","",IFERROR(IF(INDEX(Roster!$D:$D,MATCH($C1624,Roster!$B:$B,0))="","",INDEX(Roster!$D:$D,MATCH($C1624,Roster!$B:$B,0))&amp;""),"—"))</f>
        <v/>
      </c>
      <c r="G1624" s="25">
        <f>IF($C1624="","",IFERROR(IF(INDEX(Roster!$E:$E,MATCH($C1624,Roster!$B:$B,0))="","",INDEX(Roster!$E:$E,MATCH($C1624,Roster!$B:$B,0))&amp;""),"—"))</f>
        <v/>
      </c>
      <c r="H1624" s="25">
        <f>IF($C1624="","",IFERROR(IF(INDEX(Roster!$F:$F,MATCH($C1624,Roster!$B:$B,0))="","",INDEX(Roster!$F:$F,MATCH($C1624,Roster!$B:$B,0))&amp;""),"—"))</f>
        <v/>
      </c>
      <c r="I1624" s="25">
        <f>IF($C1624="","",IFERROR(IF(INDEX(Roster!$G:$G,MATCH($C1624,Roster!$B:$B,0))="","",INDEX(Roster!$G:$G,MATCH($C1624,Roster!$B:$B,0))&amp;""),"—"))</f>
        <v/>
      </c>
      <c r="J1624" s="25">
        <f>IF($C1624="","",IFERROR(IF(INDEX(Roster!$I:$I,MATCH($C1624,Roster!$B:$B,0))="","",INDEX(Roster!$I:$I,MATCH($C1624,Roster!$B:$B,0))&amp;""),"—"))</f>
        <v/>
      </c>
      <c r="K1624">
        <f>IF($C1624="","",IFERROR(IF(INDEX(Roster!$J:$J,MATCH($C1624,Roster!$B:$B,0))="","",INDEX(Roster!$J:$J,MATCH($C1624,Roster!$B:$B,0))&amp;""),"—"))</f>
        <v/>
      </c>
      <c r="L1624">
        <f>IF($C1624="","",IFERROR(IF(INDEX(Roster!$K:$K,MATCH($C1624,Roster!$B:$B,0))="","",INDEX(Roster!$K:$K,MATCH($C1624,Roster!$B:$B,0))&amp;""),"—"))</f>
        <v/>
      </c>
      <c r="M1624" s="27" t="n"/>
      <c r="N1624" s="27" t="n"/>
      <c r="O1624" s="25">
        <f>IF($C1624="","",IF($P1624="","—",IF($P1624="Valid (Pass)","Valid","Invalid")))</f>
        <v/>
      </c>
      <c r="P1624" s="27" t="n"/>
      <c r="Q1624" s="27" t="n"/>
      <c r="R1624" s="27" t="n"/>
      <c r="S1624" s="27" t="n"/>
      <c r="T1624" s="25">
        <f>IF($C1624="","",IF(OR(ISNUMBER(SEARCH("quick case",$P1624)),ISNUMBER(SEARCH("quick case",$Q1624))),"Yes","No"))</f>
        <v/>
      </c>
      <c r="U1624" s="25">
        <f>IF($O1624="Invalid",HYPERLINK("mailto:"&amp;$G1624&amp;";"&amp;$I1624&amp;"?cc="&amp;Lists!$E$2&amp;"&amp;subject="&amp;_xlfn.ENCODEURL("[INVALID] Quality audit monitoring completed for "&amp;UPPER($C1624))&amp;"&amp;body="&amp;_xlfn.ENCODEURL("Hi "&amp;$F1624&amp;","&amp;CHAR(10)&amp;"Good day!"&amp;CHAR(10)&amp;CHAR(10)&amp;"A quality monitoring audit has been completed for "&amp;$C1624&amp;"."&amp;CHAR(10)&amp;CHAR(10)&amp;"QUALITY AUDIT DETAILS"&amp;CHAR(10)&amp;"Agent Name: "&amp;$C1624&amp;" (EID "&amp;$D1624&amp;")"&amp;CHAR(10)&amp;"Audit Date: "&amp;TEXT($B1624,"yyyy-mm-dd")&amp;CHAR(10)&amp;"Team Leader: "&amp;$F1624&amp;CHAR(10)&amp;"Case Number: "&amp;$M1624&amp;CHAR(10)&amp;"Transaction ID: "&amp;$N1624&amp;CHAR(10)&amp;"Channel / LOB: "&amp;$K1624&amp;" / "&amp;$L1624&amp;CHAR(10)&amp;"Evaluator: "&amp;$S1624&amp;CHAR(10)&amp;CHAR(10)&amp;"INVALID QUALITY AUDIT DETAILS"&amp;CHAR(10)&amp;"Validation: Invalid"&amp;CHAR(10)&amp;"Invalid Reason: "&amp;$P1624&amp;CHAR(10)&amp;"Expected Resolution Code: "&amp;$Q1624&amp;CHAR(10)&amp;"Remarks: "&amp;LEFT($R1624,600)&amp;CHAR(10)&amp;CHAR(10)&amp;"This is an automated notification from HP Mainstream EQMS."),"✉ Open Email Draft"),"")</f>
        <v/>
      </c>
    </row>
    <row r="1625">
      <c r="A1625" s="25">
        <f>IF($C1625="","","AUD-2026-"&amp;TEXT(ROW()-1,"000000"))</f>
        <v/>
      </c>
      <c r="B1625" s="26" t="n"/>
      <c r="C1625" s="27" t="n"/>
      <c r="D1625" s="25">
        <f>IF($C1625="","",IFERROR(IF(INDEX(Roster!$A:$A,MATCH($C1625,Roster!$B:$B,0))="","",INDEX(Roster!$A:$A,MATCH($C1625,Roster!$B:$B,0))&amp;""),"—"))</f>
        <v/>
      </c>
      <c r="E1625" s="25">
        <f>IF($C1625="","",IFERROR(IF(INDEX(Roster!$C:$C,MATCH($C1625,Roster!$B:$B,0))="","",INDEX(Roster!$C:$C,MATCH($C1625,Roster!$B:$B,0))&amp;""),"—"))</f>
        <v/>
      </c>
      <c r="F1625" s="25">
        <f>IF($C1625="","",IFERROR(IF(INDEX(Roster!$D:$D,MATCH($C1625,Roster!$B:$B,0))="","",INDEX(Roster!$D:$D,MATCH($C1625,Roster!$B:$B,0))&amp;""),"—"))</f>
        <v/>
      </c>
      <c r="G1625" s="25">
        <f>IF($C1625="","",IFERROR(IF(INDEX(Roster!$E:$E,MATCH($C1625,Roster!$B:$B,0))="","",INDEX(Roster!$E:$E,MATCH($C1625,Roster!$B:$B,0))&amp;""),"—"))</f>
        <v/>
      </c>
      <c r="H1625" s="25">
        <f>IF($C1625="","",IFERROR(IF(INDEX(Roster!$F:$F,MATCH($C1625,Roster!$B:$B,0))="","",INDEX(Roster!$F:$F,MATCH($C1625,Roster!$B:$B,0))&amp;""),"—"))</f>
        <v/>
      </c>
      <c r="I1625" s="25">
        <f>IF($C1625="","",IFERROR(IF(INDEX(Roster!$G:$G,MATCH($C1625,Roster!$B:$B,0))="","",INDEX(Roster!$G:$G,MATCH($C1625,Roster!$B:$B,0))&amp;""),"—"))</f>
        <v/>
      </c>
      <c r="J1625" s="25">
        <f>IF($C1625="","",IFERROR(IF(INDEX(Roster!$I:$I,MATCH($C1625,Roster!$B:$B,0))="","",INDEX(Roster!$I:$I,MATCH($C1625,Roster!$B:$B,0))&amp;""),"—"))</f>
        <v/>
      </c>
      <c r="K1625">
        <f>IF($C1625="","",IFERROR(IF(INDEX(Roster!$J:$J,MATCH($C1625,Roster!$B:$B,0))="","",INDEX(Roster!$J:$J,MATCH($C1625,Roster!$B:$B,0))&amp;""),"—"))</f>
        <v/>
      </c>
      <c r="L1625">
        <f>IF($C1625="","",IFERROR(IF(INDEX(Roster!$K:$K,MATCH($C1625,Roster!$B:$B,0))="","",INDEX(Roster!$K:$K,MATCH($C1625,Roster!$B:$B,0))&amp;""),"—"))</f>
        <v/>
      </c>
      <c r="M1625" s="27" t="n"/>
      <c r="N1625" s="27" t="n"/>
      <c r="O1625" s="25">
        <f>IF($C1625="","",IF($P1625="","—",IF($P1625="Valid (Pass)","Valid","Invalid")))</f>
        <v/>
      </c>
      <c r="P1625" s="27" t="n"/>
      <c r="Q1625" s="27" t="n"/>
      <c r="R1625" s="27" t="n"/>
      <c r="S1625" s="27" t="n"/>
      <c r="T1625" s="25">
        <f>IF($C1625="","",IF(OR(ISNUMBER(SEARCH("quick case",$P1625)),ISNUMBER(SEARCH("quick case",$Q1625))),"Yes","No"))</f>
        <v/>
      </c>
      <c r="U1625" s="25">
        <f>IF($O1625="Invalid",HYPERLINK("mailto:"&amp;$G1625&amp;";"&amp;$I1625&amp;"?cc="&amp;Lists!$E$2&amp;"&amp;subject="&amp;_xlfn.ENCODEURL("[INVALID] Quality audit monitoring completed for "&amp;UPPER($C1625))&amp;"&amp;body="&amp;_xlfn.ENCODEURL("Hi "&amp;$F1625&amp;","&amp;CHAR(10)&amp;"Good day!"&amp;CHAR(10)&amp;CHAR(10)&amp;"A quality monitoring audit has been completed for "&amp;$C1625&amp;"."&amp;CHAR(10)&amp;CHAR(10)&amp;"QUALITY AUDIT DETAILS"&amp;CHAR(10)&amp;"Agent Name: "&amp;$C1625&amp;" (EID "&amp;$D1625&amp;")"&amp;CHAR(10)&amp;"Audit Date: "&amp;TEXT($B1625,"yyyy-mm-dd")&amp;CHAR(10)&amp;"Team Leader: "&amp;$F1625&amp;CHAR(10)&amp;"Case Number: "&amp;$M1625&amp;CHAR(10)&amp;"Transaction ID: "&amp;$N1625&amp;CHAR(10)&amp;"Channel / LOB: "&amp;$K1625&amp;" / "&amp;$L1625&amp;CHAR(10)&amp;"Evaluator: "&amp;$S1625&amp;CHAR(10)&amp;CHAR(10)&amp;"INVALID QUALITY AUDIT DETAILS"&amp;CHAR(10)&amp;"Validation: Invalid"&amp;CHAR(10)&amp;"Invalid Reason: "&amp;$P1625&amp;CHAR(10)&amp;"Expected Resolution Code: "&amp;$Q1625&amp;CHAR(10)&amp;"Remarks: "&amp;LEFT($R1625,600)&amp;CHAR(10)&amp;CHAR(10)&amp;"This is an automated notification from HP Mainstream EQMS."),"✉ Open Email Draft"),"")</f>
        <v/>
      </c>
    </row>
    <row r="1626">
      <c r="A1626" s="25">
        <f>IF($C1626="","","AUD-2026-"&amp;TEXT(ROW()-1,"000000"))</f>
        <v/>
      </c>
      <c r="B1626" s="26" t="n"/>
      <c r="C1626" s="27" t="n"/>
      <c r="D1626" s="25">
        <f>IF($C1626="","",IFERROR(IF(INDEX(Roster!$A:$A,MATCH($C1626,Roster!$B:$B,0))="","",INDEX(Roster!$A:$A,MATCH($C1626,Roster!$B:$B,0))&amp;""),"—"))</f>
        <v/>
      </c>
      <c r="E1626" s="25">
        <f>IF($C1626="","",IFERROR(IF(INDEX(Roster!$C:$C,MATCH($C1626,Roster!$B:$B,0))="","",INDEX(Roster!$C:$C,MATCH($C1626,Roster!$B:$B,0))&amp;""),"—"))</f>
        <v/>
      </c>
      <c r="F1626" s="25">
        <f>IF($C1626="","",IFERROR(IF(INDEX(Roster!$D:$D,MATCH($C1626,Roster!$B:$B,0))="","",INDEX(Roster!$D:$D,MATCH($C1626,Roster!$B:$B,0))&amp;""),"—"))</f>
        <v/>
      </c>
      <c r="G1626" s="25">
        <f>IF($C1626="","",IFERROR(IF(INDEX(Roster!$E:$E,MATCH($C1626,Roster!$B:$B,0))="","",INDEX(Roster!$E:$E,MATCH($C1626,Roster!$B:$B,0))&amp;""),"—"))</f>
        <v/>
      </c>
      <c r="H1626" s="25">
        <f>IF($C1626="","",IFERROR(IF(INDEX(Roster!$F:$F,MATCH($C1626,Roster!$B:$B,0))="","",INDEX(Roster!$F:$F,MATCH($C1626,Roster!$B:$B,0))&amp;""),"—"))</f>
        <v/>
      </c>
      <c r="I1626" s="25">
        <f>IF($C1626="","",IFERROR(IF(INDEX(Roster!$G:$G,MATCH($C1626,Roster!$B:$B,0))="","",INDEX(Roster!$G:$G,MATCH($C1626,Roster!$B:$B,0))&amp;""),"—"))</f>
        <v/>
      </c>
      <c r="J1626" s="25">
        <f>IF($C1626="","",IFERROR(IF(INDEX(Roster!$I:$I,MATCH($C1626,Roster!$B:$B,0))="","",INDEX(Roster!$I:$I,MATCH($C1626,Roster!$B:$B,0))&amp;""),"—"))</f>
        <v/>
      </c>
      <c r="K1626">
        <f>IF($C1626="","",IFERROR(IF(INDEX(Roster!$J:$J,MATCH($C1626,Roster!$B:$B,0))="","",INDEX(Roster!$J:$J,MATCH($C1626,Roster!$B:$B,0))&amp;""),"—"))</f>
        <v/>
      </c>
      <c r="L1626">
        <f>IF($C1626="","",IFERROR(IF(INDEX(Roster!$K:$K,MATCH($C1626,Roster!$B:$B,0))="","",INDEX(Roster!$K:$K,MATCH($C1626,Roster!$B:$B,0))&amp;""),"—"))</f>
        <v/>
      </c>
      <c r="M1626" s="27" t="n"/>
      <c r="N1626" s="27" t="n"/>
      <c r="O1626" s="25">
        <f>IF($C1626="","",IF($P1626="","—",IF($P1626="Valid (Pass)","Valid","Invalid")))</f>
        <v/>
      </c>
      <c r="P1626" s="27" t="n"/>
      <c r="Q1626" s="27" t="n"/>
      <c r="R1626" s="27" t="n"/>
      <c r="S1626" s="27" t="n"/>
      <c r="T1626" s="25">
        <f>IF($C1626="","",IF(OR(ISNUMBER(SEARCH("quick case",$P1626)),ISNUMBER(SEARCH("quick case",$Q1626))),"Yes","No"))</f>
        <v/>
      </c>
      <c r="U1626" s="25">
        <f>IF($O1626="Invalid",HYPERLINK("mailto:"&amp;$G1626&amp;";"&amp;$I1626&amp;"?cc="&amp;Lists!$E$2&amp;"&amp;subject="&amp;_xlfn.ENCODEURL("[INVALID] Quality audit monitoring completed for "&amp;UPPER($C1626))&amp;"&amp;body="&amp;_xlfn.ENCODEURL("Hi "&amp;$F1626&amp;","&amp;CHAR(10)&amp;"Good day!"&amp;CHAR(10)&amp;CHAR(10)&amp;"A quality monitoring audit has been completed for "&amp;$C1626&amp;"."&amp;CHAR(10)&amp;CHAR(10)&amp;"QUALITY AUDIT DETAILS"&amp;CHAR(10)&amp;"Agent Name: "&amp;$C1626&amp;" (EID "&amp;$D1626&amp;")"&amp;CHAR(10)&amp;"Audit Date: "&amp;TEXT($B1626,"yyyy-mm-dd")&amp;CHAR(10)&amp;"Team Leader: "&amp;$F1626&amp;CHAR(10)&amp;"Case Number: "&amp;$M1626&amp;CHAR(10)&amp;"Transaction ID: "&amp;$N1626&amp;CHAR(10)&amp;"Channel / LOB: "&amp;$K1626&amp;" / "&amp;$L1626&amp;CHAR(10)&amp;"Evaluator: "&amp;$S1626&amp;CHAR(10)&amp;CHAR(10)&amp;"INVALID QUALITY AUDIT DETAILS"&amp;CHAR(10)&amp;"Validation: Invalid"&amp;CHAR(10)&amp;"Invalid Reason: "&amp;$P1626&amp;CHAR(10)&amp;"Expected Resolution Code: "&amp;$Q1626&amp;CHAR(10)&amp;"Remarks: "&amp;LEFT($R1626,600)&amp;CHAR(10)&amp;CHAR(10)&amp;"This is an automated notification from HP Mainstream EQMS."),"✉ Open Email Draft"),"")</f>
        <v/>
      </c>
    </row>
    <row r="1627">
      <c r="A1627" s="25">
        <f>IF($C1627="","","AUD-2026-"&amp;TEXT(ROW()-1,"000000"))</f>
        <v/>
      </c>
      <c r="B1627" s="26" t="n"/>
      <c r="C1627" s="27" t="n"/>
      <c r="D1627" s="25">
        <f>IF($C1627="","",IFERROR(IF(INDEX(Roster!$A:$A,MATCH($C1627,Roster!$B:$B,0))="","",INDEX(Roster!$A:$A,MATCH($C1627,Roster!$B:$B,0))&amp;""),"—"))</f>
        <v/>
      </c>
      <c r="E1627" s="25">
        <f>IF($C1627="","",IFERROR(IF(INDEX(Roster!$C:$C,MATCH($C1627,Roster!$B:$B,0))="","",INDEX(Roster!$C:$C,MATCH($C1627,Roster!$B:$B,0))&amp;""),"—"))</f>
        <v/>
      </c>
      <c r="F1627" s="25">
        <f>IF($C1627="","",IFERROR(IF(INDEX(Roster!$D:$D,MATCH($C1627,Roster!$B:$B,0))="","",INDEX(Roster!$D:$D,MATCH($C1627,Roster!$B:$B,0))&amp;""),"—"))</f>
        <v/>
      </c>
      <c r="G1627" s="25">
        <f>IF($C1627="","",IFERROR(IF(INDEX(Roster!$E:$E,MATCH($C1627,Roster!$B:$B,0))="","",INDEX(Roster!$E:$E,MATCH($C1627,Roster!$B:$B,0))&amp;""),"—"))</f>
        <v/>
      </c>
      <c r="H1627" s="25">
        <f>IF($C1627="","",IFERROR(IF(INDEX(Roster!$F:$F,MATCH($C1627,Roster!$B:$B,0))="","",INDEX(Roster!$F:$F,MATCH($C1627,Roster!$B:$B,0))&amp;""),"—"))</f>
        <v/>
      </c>
      <c r="I1627" s="25">
        <f>IF($C1627="","",IFERROR(IF(INDEX(Roster!$G:$G,MATCH($C1627,Roster!$B:$B,0))="","",INDEX(Roster!$G:$G,MATCH($C1627,Roster!$B:$B,0))&amp;""),"—"))</f>
        <v/>
      </c>
      <c r="J1627" s="25">
        <f>IF($C1627="","",IFERROR(IF(INDEX(Roster!$I:$I,MATCH($C1627,Roster!$B:$B,0))="","",INDEX(Roster!$I:$I,MATCH($C1627,Roster!$B:$B,0))&amp;""),"—"))</f>
        <v/>
      </c>
      <c r="K1627">
        <f>IF($C1627="","",IFERROR(IF(INDEX(Roster!$J:$J,MATCH($C1627,Roster!$B:$B,0))="","",INDEX(Roster!$J:$J,MATCH($C1627,Roster!$B:$B,0))&amp;""),"—"))</f>
        <v/>
      </c>
      <c r="L1627">
        <f>IF($C1627="","",IFERROR(IF(INDEX(Roster!$K:$K,MATCH($C1627,Roster!$B:$B,0))="","",INDEX(Roster!$K:$K,MATCH($C1627,Roster!$B:$B,0))&amp;""),"—"))</f>
        <v/>
      </c>
      <c r="M1627" s="27" t="n"/>
      <c r="N1627" s="27" t="n"/>
      <c r="O1627" s="25">
        <f>IF($C1627="","",IF($P1627="","—",IF($P1627="Valid (Pass)","Valid","Invalid")))</f>
        <v/>
      </c>
      <c r="P1627" s="27" t="n"/>
      <c r="Q1627" s="27" t="n"/>
      <c r="R1627" s="27" t="n"/>
      <c r="S1627" s="27" t="n"/>
      <c r="T1627" s="25">
        <f>IF($C1627="","",IF(OR(ISNUMBER(SEARCH("quick case",$P1627)),ISNUMBER(SEARCH("quick case",$Q1627))),"Yes","No"))</f>
        <v/>
      </c>
      <c r="U1627" s="25">
        <f>IF($O1627="Invalid",HYPERLINK("mailto:"&amp;$G1627&amp;";"&amp;$I1627&amp;"?cc="&amp;Lists!$E$2&amp;"&amp;subject="&amp;_xlfn.ENCODEURL("[INVALID] Quality audit monitoring completed for "&amp;UPPER($C1627))&amp;"&amp;body="&amp;_xlfn.ENCODEURL("Hi "&amp;$F1627&amp;","&amp;CHAR(10)&amp;"Good day!"&amp;CHAR(10)&amp;CHAR(10)&amp;"A quality monitoring audit has been completed for "&amp;$C1627&amp;"."&amp;CHAR(10)&amp;CHAR(10)&amp;"QUALITY AUDIT DETAILS"&amp;CHAR(10)&amp;"Agent Name: "&amp;$C1627&amp;" (EID "&amp;$D1627&amp;")"&amp;CHAR(10)&amp;"Audit Date: "&amp;TEXT($B1627,"yyyy-mm-dd")&amp;CHAR(10)&amp;"Team Leader: "&amp;$F1627&amp;CHAR(10)&amp;"Case Number: "&amp;$M1627&amp;CHAR(10)&amp;"Transaction ID: "&amp;$N1627&amp;CHAR(10)&amp;"Channel / LOB: "&amp;$K1627&amp;" / "&amp;$L1627&amp;CHAR(10)&amp;"Evaluator: "&amp;$S1627&amp;CHAR(10)&amp;CHAR(10)&amp;"INVALID QUALITY AUDIT DETAILS"&amp;CHAR(10)&amp;"Validation: Invalid"&amp;CHAR(10)&amp;"Invalid Reason: "&amp;$P1627&amp;CHAR(10)&amp;"Expected Resolution Code: "&amp;$Q1627&amp;CHAR(10)&amp;"Remarks: "&amp;LEFT($R1627,600)&amp;CHAR(10)&amp;CHAR(10)&amp;"This is an automated notification from HP Mainstream EQMS."),"✉ Open Email Draft"),"")</f>
        <v/>
      </c>
    </row>
    <row r="1628">
      <c r="A1628" s="25">
        <f>IF($C1628="","","AUD-2026-"&amp;TEXT(ROW()-1,"000000"))</f>
        <v/>
      </c>
      <c r="B1628" s="26" t="n"/>
      <c r="C1628" s="27" t="n"/>
      <c r="D1628" s="25">
        <f>IF($C1628="","",IFERROR(IF(INDEX(Roster!$A:$A,MATCH($C1628,Roster!$B:$B,0))="","",INDEX(Roster!$A:$A,MATCH($C1628,Roster!$B:$B,0))&amp;""),"—"))</f>
        <v/>
      </c>
      <c r="E1628" s="25">
        <f>IF($C1628="","",IFERROR(IF(INDEX(Roster!$C:$C,MATCH($C1628,Roster!$B:$B,0))="","",INDEX(Roster!$C:$C,MATCH($C1628,Roster!$B:$B,0))&amp;""),"—"))</f>
        <v/>
      </c>
      <c r="F1628" s="25">
        <f>IF($C1628="","",IFERROR(IF(INDEX(Roster!$D:$D,MATCH($C1628,Roster!$B:$B,0))="","",INDEX(Roster!$D:$D,MATCH($C1628,Roster!$B:$B,0))&amp;""),"—"))</f>
        <v/>
      </c>
      <c r="G1628" s="25">
        <f>IF($C1628="","",IFERROR(IF(INDEX(Roster!$E:$E,MATCH($C1628,Roster!$B:$B,0))="","",INDEX(Roster!$E:$E,MATCH($C1628,Roster!$B:$B,0))&amp;""),"—"))</f>
        <v/>
      </c>
      <c r="H1628" s="25">
        <f>IF($C1628="","",IFERROR(IF(INDEX(Roster!$F:$F,MATCH($C1628,Roster!$B:$B,0))="","",INDEX(Roster!$F:$F,MATCH($C1628,Roster!$B:$B,0))&amp;""),"—"))</f>
        <v/>
      </c>
      <c r="I1628" s="25">
        <f>IF($C1628="","",IFERROR(IF(INDEX(Roster!$G:$G,MATCH($C1628,Roster!$B:$B,0))="","",INDEX(Roster!$G:$G,MATCH($C1628,Roster!$B:$B,0))&amp;""),"—"))</f>
        <v/>
      </c>
      <c r="J1628" s="25">
        <f>IF($C1628="","",IFERROR(IF(INDEX(Roster!$I:$I,MATCH($C1628,Roster!$B:$B,0))="","",INDEX(Roster!$I:$I,MATCH($C1628,Roster!$B:$B,0))&amp;""),"—"))</f>
        <v/>
      </c>
      <c r="K1628">
        <f>IF($C1628="","",IFERROR(IF(INDEX(Roster!$J:$J,MATCH($C1628,Roster!$B:$B,0))="","",INDEX(Roster!$J:$J,MATCH($C1628,Roster!$B:$B,0))&amp;""),"—"))</f>
        <v/>
      </c>
      <c r="L1628">
        <f>IF($C1628="","",IFERROR(IF(INDEX(Roster!$K:$K,MATCH($C1628,Roster!$B:$B,0))="","",INDEX(Roster!$K:$K,MATCH($C1628,Roster!$B:$B,0))&amp;""),"—"))</f>
        <v/>
      </c>
      <c r="M1628" s="27" t="n"/>
      <c r="N1628" s="27" t="n"/>
      <c r="O1628" s="25">
        <f>IF($C1628="","",IF($P1628="","—",IF($P1628="Valid (Pass)","Valid","Invalid")))</f>
        <v/>
      </c>
      <c r="P1628" s="27" t="n"/>
      <c r="Q1628" s="27" t="n"/>
      <c r="R1628" s="27" t="n"/>
      <c r="S1628" s="27" t="n"/>
      <c r="T1628" s="25">
        <f>IF($C1628="","",IF(OR(ISNUMBER(SEARCH("quick case",$P1628)),ISNUMBER(SEARCH("quick case",$Q1628))),"Yes","No"))</f>
        <v/>
      </c>
      <c r="U1628" s="25">
        <f>IF($O1628="Invalid",HYPERLINK("mailto:"&amp;$G1628&amp;";"&amp;$I1628&amp;"?cc="&amp;Lists!$E$2&amp;"&amp;subject="&amp;_xlfn.ENCODEURL("[INVALID] Quality audit monitoring completed for "&amp;UPPER($C1628))&amp;"&amp;body="&amp;_xlfn.ENCODEURL("Hi "&amp;$F1628&amp;","&amp;CHAR(10)&amp;"Good day!"&amp;CHAR(10)&amp;CHAR(10)&amp;"A quality monitoring audit has been completed for "&amp;$C1628&amp;"."&amp;CHAR(10)&amp;CHAR(10)&amp;"QUALITY AUDIT DETAILS"&amp;CHAR(10)&amp;"Agent Name: "&amp;$C1628&amp;" (EID "&amp;$D1628&amp;")"&amp;CHAR(10)&amp;"Audit Date: "&amp;TEXT($B1628,"yyyy-mm-dd")&amp;CHAR(10)&amp;"Team Leader: "&amp;$F1628&amp;CHAR(10)&amp;"Case Number: "&amp;$M1628&amp;CHAR(10)&amp;"Transaction ID: "&amp;$N1628&amp;CHAR(10)&amp;"Channel / LOB: "&amp;$K1628&amp;" / "&amp;$L1628&amp;CHAR(10)&amp;"Evaluator: "&amp;$S1628&amp;CHAR(10)&amp;CHAR(10)&amp;"INVALID QUALITY AUDIT DETAILS"&amp;CHAR(10)&amp;"Validation: Invalid"&amp;CHAR(10)&amp;"Invalid Reason: "&amp;$P1628&amp;CHAR(10)&amp;"Expected Resolution Code: "&amp;$Q1628&amp;CHAR(10)&amp;"Remarks: "&amp;LEFT($R1628,600)&amp;CHAR(10)&amp;CHAR(10)&amp;"This is an automated notification from HP Mainstream EQMS."),"✉ Open Email Draft"),"")</f>
        <v/>
      </c>
    </row>
    <row r="1629">
      <c r="A1629" s="25">
        <f>IF($C1629="","","AUD-2026-"&amp;TEXT(ROW()-1,"000000"))</f>
        <v/>
      </c>
      <c r="B1629" s="26" t="n"/>
      <c r="C1629" s="27" t="n"/>
      <c r="D1629" s="25">
        <f>IF($C1629="","",IFERROR(IF(INDEX(Roster!$A:$A,MATCH($C1629,Roster!$B:$B,0))="","",INDEX(Roster!$A:$A,MATCH($C1629,Roster!$B:$B,0))&amp;""),"—"))</f>
        <v/>
      </c>
      <c r="E1629" s="25">
        <f>IF($C1629="","",IFERROR(IF(INDEX(Roster!$C:$C,MATCH($C1629,Roster!$B:$B,0))="","",INDEX(Roster!$C:$C,MATCH($C1629,Roster!$B:$B,0))&amp;""),"—"))</f>
        <v/>
      </c>
      <c r="F1629" s="25">
        <f>IF($C1629="","",IFERROR(IF(INDEX(Roster!$D:$D,MATCH($C1629,Roster!$B:$B,0))="","",INDEX(Roster!$D:$D,MATCH($C1629,Roster!$B:$B,0))&amp;""),"—"))</f>
        <v/>
      </c>
      <c r="G1629" s="25">
        <f>IF($C1629="","",IFERROR(IF(INDEX(Roster!$E:$E,MATCH($C1629,Roster!$B:$B,0))="","",INDEX(Roster!$E:$E,MATCH($C1629,Roster!$B:$B,0))&amp;""),"—"))</f>
        <v/>
      </c>
      <c r="H1629" s="25">
        <f>IF($C1629="","",IFERROR(IF(INDEX(Roster!$F:$F,MATCH($C1629,Roster!$B:$B,0))="","",INDEX(Roster!$F:$F,MATCH($C1629,Roster!$B:$B,0))&amp;""),"—"))</f>
        <v/>
      </c>
      <c r="I1629" s="25">
        <f>IF($C1629="","",IFERROR(IF(INDEX(Roster!$G:$G,MATCH($C1629,Roster!$B:$B,0))="","",INDEX(Roster!$G:$G,MATCH($C1629,Roster!$B:$B,0))&amp;""),"—"))</f>
        <v/>
      </c>
      <c r="J1629" s="25">
        <f>IF($C1629="","",IFERROR(IF(INDEX(Roster!$I:$I,MATCH($C1629,Roster!$B:$B,0))="","",INDEX(Roster!$I:$I,MATCH($C1629,Roster!$B:$B,0))&amp;""),"—"))</f>
        <v/>
      </c>
      <c r="K1629">
        <f>IF($C1629="","",IFERROR(IF(INDEX(Roster!$J:$J,MATCH($C1629,Roster!$B:$B,0))="","",INDEX(Roster!$J:$J,MATCH($C1629,Roster!$B:$B,0))&amp;""),"—"))</f>
        <v/>
      </c>
      <c r="L1629">
        <f>IF($C1629="","",IFERROR(IF(INDEX(Roster!$K:$K,MATCH($C1629,Roster!$B:$B,0))="","",INDEX(Roster!$K:$K,MATCH($C1629,Roster!$B:$B,0))&amp;""),"—"))</f>
        <v/>
      </c>
      <c r="M1629" s="27" t="n"/>
      <c r="N1629" s="27" t="n"/>
      <c r="O1629" s="25">
        <f>IF($C1629="","",IF($P1629="","—",IF($P1629="Valid (Pass)","Valid","Invalid")))</f>
        <v/>
      </c>
      <c r="P1629" s="27" t="n"/>
      <c r="Q1629" s="27" t="n"/>
      <c r="R1629" s="27" t="n"/>
      <c r="S1629" s="27" t="n"/>
      <c r="T1629" s="25">
        <f>IF($C1629="","",IF(OR(ISNUMBER(SEARCH("quick case",$P1629)),ISNUMBER(SEARCH("quick case",$Q1629))),"Yes","No"))</f>
        <v/>
      </c>
      <c r="U1629" s="25">
        <f>IF($O1629="Invalid",HYPERLINK("mailto:"&amp;$G1629&amp;";"&amp;$I1629&amp;"?cc="&amp;Lists!$E$2&amp;"&amp;subject="&amp;_xlfn.ENCODEURL("[INVALID] Quality audit monitoring completed for "&amp;UPPER($C1629))&amp;"&amp;body="&amp;_xlfn.ENCODEURL("Hi "&amp;$F1629&amp;","&amp;CHAR(10)&amp;"Good day!"&amp;CHAR(10)&amp;CHAR(10)&amp;"A quality monitoring audit has been completed for "&amp;$C1629&amp;"."&amp;CHAR(10)&amp;CHAR(10)&amp;"QUALITY AUDIT DETAILS"&amp;CHAR(10)&amp;"Agent Name: "&amp;$C1629&amp;" (EID "&amp;$D1629&amp;")"&amp;CHAR(10)&amp;"Audit Date: "&amp;TEXT($B1629,"yyyy-mm-dd")&amp;CHAR(10)&amp;"Team Leader: "&amp;$F1629&amp;CHAR(10)&amp;"Case Number: "&amp;$M1629&amp;CHAR(10)&amp;"Transaction ID: "&amp;$N1629&amp;CHAR(10)&amp;"Channel / LOB: "&amp;$K1629&amp;" / "&amp;$L1629&amp;CHAR(10)&amp;"Evaluator: "&amp;$S1629&amp;CHAR(10)&amp;CHAR(10)&amp;"INVALID QUALITY AUDIT DETAILS"&amp;CHAR(10)&amp;"Validation: Invalid"&amp;CHAR(10)&amp;"Invalid Reason: "&amp;$P1629&amp;CHAR(10)&amp;"Expected Resolution Code: "&amp;$Q1629&amp;CHAR(10)&amp;"Remarks: "&amp;LEFT($R1629,600)&amp;CHAR(10)&amp;CHAR(10)&amp;"This is an automated notification from HP Mainstream EQMS."),"✉ Open Email Draft"),"")</f>
        <v/>
      </c>
    </row>
    <row r="1630">
      <c r="A1630" s="25">
        <f>IF($C1630="","","AUD-2026-"&amp;TEXT(ROW()-1,"000000"))</f>
        <v/>
      </c>
      <c r="B1630" s="26" t="n"/>
      <c r="C1630" s="27" t="n"/>
      <c r="D1630" s="25">
        <f>IF($C1630="","",IFERROR(IF(INDEX(Roster!$A:$A,MATCH($C1630,Roster!$B:$B,0))="","",INDEX(Roster!$A:$A,MATCH($C1630,Roster!$B:$B,0))&amp;""),"—"))</f>
        <v/>
      </c>
      <c r="E1630" s="25">
        <f>IF($C1630="","",IFERROR(IF(INDEX(Roster!$C:$C,MATCH($C1630,Roster!$B:$B,0))="","",INDEX(Roster!$C:$C,MATCH($C1630,Roster!$B:$B,0))&amp;""),"—"))</f>
        <v/>
      </c>
      <c r="F1630" s="25">
        <f>IF($C1630="","",IFERROR(IF(INDEX(Roster!$D:$D,MATCH($C1630,Roster!$B:$B,0))="","",INDEX(Roster!$D:$D,MATCH($C1630,Roster!$B:$B,0))&amp;""),"—"))</f>
        <v/>
      </c>
      <c r="G1630" s="25">
        <f>IF($C1630="","",IFERROR(IF(INDEX(Roster!$E:$E,MATCH($C1630,Roster!$B:$B,0))="","",INDEX(Roster!$E:$E,MATCH($C1630,Roster!$B:$B,0))&amp;""),"—"))</f>
        <v/>
      </c>
      <c r="H1630" s="25">
        <f>IF($C1630="","",IFERROR(IF(INDEX(Roster!$F:$F,MATCH($C1630,Roster!$B:$B,0))="","",INDEX(Roster!$F:$F,MATCH($C1630,Roster!$B:$B,0))&amp;""),"—"))</f>
        <v/>
      </c>
      <c r="I1630" s="25">
        <f>IF($C1630="","",IFERROR(IF(INDEX(Roster!$G:$G,MATCH($C1630,Roster!$B:$B,0))="","",INDEX(Roster!$G:$G,MATCH($C1630,Roster!$B:$B,0))&amp;""),"—"))</f>
        <v/>
      </c>
      <c r="J1630" s="25">
        <f>IF($C1630="","",IFERROR(IF(INDEX(Roster!$I:$I,MATCH($C1630,Roster!$B:$B,0))="","",INDEX(Roster!$I:$I,MATCH($C1630,Roster!$B:$B,0))&amp;""),"—"))</f>
        <v/>
      </c>
      <c r="K1630">
        <f>IF($C1630="","",IFERROR(IF(INDEX(Roster!$J:$J,MATCH($C1630,Roster!$B:$B,0))="","",INDEX(Roster!$J:$J,MATCH($C1630,Roster!$B:$B,0))&amp;""),"—"))</f>
        <v/>
      </c>
      <c r="L1630">
        <f>IF($C1630="","",IFERROR(IF(INDEX(Roster!$K:$K,MATCH($C1630,Roster!$B:$B,0))="","",INDEX(Roster!$K:$K,MATCH($C1630,Roster!$B:$B,0))&amp;""),"—"))</f>
        <v/>
      </c>
      <c r="M1630" s="27" t="n"/>
      <c r="N1630" s="27" t="n"/>
      <c r="O1630" s="25">
        <f>IF($C1630="","",IF($P1630="","—",IF($P1630="Valid (Pass)","Valid","Invalid")))</f>
        <v/>
      </c>
      <c r="P1630" s="27" t="n"/>
      <c r="Q1630" s="27" t="n"/>
      <c r="R1630" s="27" t="n"/>
      <c r="S1630" s="27" t="n"/>
      <c r="T1630" s="25">
        <f>IF($C1630="","",IF(OR(ISNUMBER(SEARCH("quick case",$P1630)),ISNUMBER(SEARCH("quick case",$Q1630))),"Yes","No"))</f>
        <v/>
      </c>
      <c r="U1630" s="25">
        <f>IF($O1630="Invalid",HYPERLINK("mailto:"&amp;$G1630&amp;";"&amp;$I1630&amp;"?cc="&amp;Lists!$E$2&amp;"&amp;subject="&amp;_xlfn.ENCODEURL("[INVALID] Quality audit monitoring completed for "&amp;UPPER($C1630))&amp;"&amp;body="&amp;_xlfn.ENCODEURL("Hi "&amp;$F1630&amp;","&amp;CHAR(10)&amp;"Good day!"&amp;CHAR(10)&amp;CHAR(10)&amp;"A quality monitoring audit has been completed for "&amp;$C1630&amp;"."&amp;CHAR(10)&amp;CHAR(10)&amp;"QUALITY AUDIT DETAILS"&amp;CHAR(10)&amp;"Agent Name: "&amp;$C1630&amp;" (EID "&amp;$D1630&amp;")"&amp;CHAR(10)&amp;"Audit Date: "&amp;TEXT($B1630,"yyyy-mm-dd")&amp;CHAR(10)&amp;"Team Leader: "&amp;$F1630&amp;CHAR(10)&amp;"Case Number: "&amp;$M1630&amp;CHAR(10)&amp;"Transaction ID: "&amp;$N1630&amp;CHAR(10)&amp;"Channel / LOB: "&amp;$K1630&amp;" / "&amp;$L1630&amp;CHAR(10)&amp;"Evaluator: "&amp;$S1630&amp;CHAR(10)&amp;CHAR(10)&amp;"INVALID QUALITY AUDIT DETAILS"&amp;CHAR(10)&amp;"Validation: Invalid"&amp;CHAR(10)&amp;"Invalid Reason: "&amp;$P1630&amp;CHAR(10)&amp;"Expected Resolution Code: "&amp;$Q1630&amp;CHAR(10)&amp;"Remarks: "&amp;LEFT($R1630,600)&amp;CHAR(10)&amp;CHAR(10)&amp;"This is an automated notification from HP Mainstream EQMS."),"✉ Open Email Draft"),"")</f>
        <v/>
      </c>
    </row>
    <row r="1631">
      <c r="A1631" s="25">
        <f>IF($C1631="","","AUD-2026-"&amp;TEXT(ROW()-1,"000000"))</f>
        <v/>
      </c>
      <c r="B1631" s="26" t="n"/>
      <c r="C1631" s="27" t="n"/>
      <c r="D1631" s="25">
        <f>IF($C1631="","",IFERROR(IF(INDEX(Roster!$A:$A,MATCH($C1631,Roster!$B:$B,0))="","",INDEX(Roster!$A:$A,MATCH($C1631,Roster!$B:$B,0))&amp;""),"—"))</f>
        <v/>
      </c>
      <c r="E1631" s="25">
        <f>IF($C1631="","",IFERROR(IF(INDEX(Roster!$C:$C,MATCH($C1631,Roster!$B:$B,0))="","",INDEX(Roster!$C:$C,MATCH($C1631,Roster!$B:$B,0))&amp;""),"—"))</f>
        <v/>
      </c>
      <c r="F1631" s="25">
        <f>IF($C1631="","",IFERROR(IF(INDEX(Roster!$D:$D,MATCH($C1631,Roster!$B:$B,0))="","",INDEX(Roster!$D:$D,MATCH($C1631,Roster!$B:$B,0))&amp;""),"—"))</f>
        <v/>
      </c>
      <c r="G1631" s="25">
        <f>IF($C1631="","",IFERROR(IF(INDEX(Roster!$E:$E,MATCH($C1631,Roster!$B:$B,0))="","",INDEX(Roster!$E:$E,MATCH($C1631,Roster!$B:$B,0))&amp;""),"—"))</f>
        <v/>
      </c>
      <c r="H1631" s="25">
        <f>IF($C1631="","",IFERROR(IF(INDEX(Roster!$F:$F,MATCH($C1631,Roster!$B:$B,0))="","",INDEX(Roster!$F:$F,MATCH($C1631,Roster!$B:$B,0))&amp;""),"—"))</f>
        <v/>
      </c>
      <c r="I1631" s="25">
        <f>IF($C1631="","",IFERROR(IF(INDEX(Roster!$G:$G,MATCH($C1631,Roster!$B:$B,0))="","",INDEX(Roster!$G:$G,MATCH($C1631,Roster!$B:$B,0))&amp;""),"—"))</f>
        <v/>
      </c>
      <c r="J1631" s="25">
        <f>IF($C1631="","",IFERROR(IF(INDEX(Roster!$I:$I,MATCH($C1631,Roster!$B:$B,0))="","",INDEX(Roster!$I:$I,MATCH($C1631,Roster!$B:$B,0))&amp;""),"—"))</f>
        <v/>
      </c>
      <c r="K1631">
        <f>IF($C1631="","",IFERROR(IF(INDEX(Roster!$J:$J,MATCH($C1631,Roster!$B:$B,0))="","",INDEX(Roster!$J:$J,MATCH($C1631,Roster!$B:$B,0))&amp;""),"—"))</f>
        <v/>
      </c>
      <c r="L1631">
        <f>IF($C1631="","",IFERROR(IF(INDEX(Roster!$K:$K,MATCH($C1631,Roster!$B:$B,0))="","",INDEX(Roster!$K:$K,MATCH($C1631,Roster!$B:$B,0))&amp;""),"—"))</f>
        <v/>
      </c>
      <c r="M1631" s="27" t="n"/>
      <c r="N1631" s="27" t="n"/>
      <c r="O1631" s="25">
        <f>IF($C1631="","",IF($P1631="","—",IF($P1631="Valid (Pass)","Valid","Invalid")))</f>
        <v/>
      </c>
      <c r="P1631" s="27" t="n"/>
      <c r="Q1631" s="27" t="n"/>
      <c r="R1631" s="27" t="n"/>
      <c r="S1631" s="27" t="n"/>
      <c r="T1631" s="25">
        <f>IF($C1631="","",IF(OR(ISNUMBER(SEARCH("quick case",$P1631)),ISNUMBER(SEARCH("quick case",$Q1631))),"Yes","No"))</f>
        <v/>
      </c>
      <c r="U1631" s="25">
        <f>IF($O1631="Invalid",HYPERLINK("mailto:"&amp;$G1631&amp;";"&amp;$I1631&amp;"?cc="&amp;Lists!$E$2&amp;"&amp;subject="&amp;_xlfn.ENCODEURL("[INVALID] Quality audit monitoring completed for "&amp;UPPER($C1631))&amp;"&amp;body="&amp;_xlfn.ENCODEURL("Hi "&amp;$F1631&amp;","&amp;CHAR(10)&amp;"Good day!"&amp;CHAR(10)&amp;CHAR(10)&amp;"A quality monitoring audit has been completed for "&amp;$C1631&amp;"."&amp;CHAR(10)&amp;CHAR(10)&amp;"QUALITY AUDIT DETAILS"&amp;CHAR(10)&amp;"Agent Name: "&amp;$C1631&amp;" (EID "&amp;$D1631&amp;")"&amp;CHAR(10)&amp;"Audit Date: "&amp;TEXT($B1631,"yyyy-mm-dd")&amp;CHAR(10)&amp;"Team Leader: "&amp;$F1631&amp;CHAR(10)&amp;"Case Number: "&amp;$M1631&amp;CHAR(10)&amp;"Transaction ID: "&amp;$N1631&amp;CHAR(10)&amp;"Channel / LOB: "&amp;$K1631&amp;" / "&amp;$L1631&amp;CHAR(10)&amp;"Evaluator: "&amp;$S1631&amp;CHAR(10)&amp;CHAR(10)&amp;"INVALID QUALITY AUDIT DETAILS"&amp;CHAR(10)&amp;"Validation: Invalid"&amp;CHAR(10)&amp;"Invalid Reason: "&amp;$P1631&amp;CHAR(10)&amp;"Expected Resolution Code: "&amp;$Q1631&amp;CHAR(10)&amp;"Remarks: "&amp;LEFT($R1631,600)&amp;CHAR(10)&amp;CHAR(10)&amp;"This is an automated notification from HP Mainstream EQMS."),"✉ Open Email Draft"),"")</f>
        <v/>
      </c>
    </row>
    <row r="1632">
      <c r="A1632" s="25">
        <f>IF($C1632="","","AUD-2026-"&amp;TEXT(ROW()-1,"000000"))</f>
        <v/>
      </c>
      <c r="B1632" s="26" t="n"/>
      <c r="C1632" s="27" t="n"/>
      <c r="D1632" s="25">
        <f>IF($C1632="","",IFERROR(IF(INDEX(Roster!$A:$A,MATCH($C1632,Roster!$B:$B,0))="","",INDEX(Roster!$A:$A,MATCH($C1632,Roster!$B:$B,0))&amp;""),"—"))</f>
        <v/>
      </c>
      <c r="E1632" s="25">
        <f>IF($C1632="","",IFERROR(IF(INDEX(Roster!$C:$C,MATCH($C1632,Roster!$B:$B,0))="","",INDEX(Roster!$C:$C,MATCH($C1632,Roster!$B:$B,0))&amp;""),"—"))</f>
        <v/>
      </c>
      <c r="F1632" s="25">
        <f>IF($C1632="","",IFERROR(IF(INDEX(Roster!$D:$D,MATCH($C1632,Roster!$B:$B,0))="","",INDEX(Roster!$D:$D,MATCH($C1632,Roster!$B:$B,0))&amp;""),"—"))</f>
        <v/>
      </c>
      <c r="G1632" s="25">
        <f>IF($C1632="","",IFERROR(IF(INDEX(Roster!$E:$E,MATCH($C1632,Roster!$B:$B,0))="","",INDEX(Roster!$E:$E,MATCH($C1632,Roster!$B:$B,0))&amp;""),"—"))</f>
        <v/>
      </c>
      <c r="H1632" s="25">
        <f>IF($C1632="","",IFERROR(IF(INDEX(Roster!$F:$F,MATCH($C1632,Roster!$B:$B,0))="","",INDEX(Roster!$F:$F,MATCH($C1632,Roster!$B:$B,0))&amp;""),"—"))</f>
        <v/>
      </c>
      <c r="I1632" s="25">
        <f>IF($C1632="","",IFERROR(IF(INDEX(Roster!$G:$G,MATCH($C1632,Roster!$B:$B,0))="","",INDEX(Roster!$G:$G,MATCH($C1632,Roster!$B:$B,0))&amp;""),"—"))</f>
        <v/>
      </c>
      <c r="J1632" s="25">
        <f>IF($C1632="","",IFERROR(IF(INDEX(Roster!$I:$I,MATCH($C1632,Roster!$B:$B,0))="","",INDEX(Roster!$I:$I,MATCH($C1632,Roster!$B:$B,0))&amp;""),"—"))</f>
        <v/>
      </c>
      <c r="K1632">
        <f>IF($C1632="","",IFERROR(IF(INDEX(Roster!$J:$J,MATCH($C1632,Roster!$B:$B,0))="","",INDEX(Roster!$J:$J,MATCH($C1632,Roster!$B:$B,0))&amp;""),"—"))</f>
        <v/>
      </c>
      <c r="L1632">
        <f>IF($C1632="","",IFERROR(IF(INDEX(Roster!$K:$K,MATCH($C1632,Roster!$B:$B,0))="","",INDEX(Roster!$K:$K,MATCH($C1632,Roster!$B:$B,0))&amp;""),"—"))</f>
        <v/>
      </c>
      <c r="M1632" s="27" t="n"/>
      <c r="N1632" s="27" t="n"/>
      <c r="O1632" s="25">
        <f>IF($C1632="","",IF($P1632="","—",IF($P1632="Valid (Pass)","Valid","Invalid")))</f>
        <v/>
      </c>
      <c r="P1632" s="27" t="n"/>
      <c r="Q1632" s="27" t="n"/>
      <c r="R1632" s="27" t="n"/>
      <c r="S1632" s="27" t="n"/>
      <c r="T1632" s="25">
        <f>IF($C1632="","",IF(OR(ISNUMBER(SEARCH("quick case",$P1632)),ISNUMBER(SEARCH("quick case",$Q1632))),"Yes","No"))</f>
        <v/>
      </c>
      <c r="U1632" s="25">
        <f>IF($O1632="Invalid",HYPERLINK("mailto:"&amp;$G1632&amp;";"&amp;$I1632&amp;"?cc="&amp;Lists!$E$2&amp;"&amp;subject="&amp;_xlfn.ENCODEURL("[INVALID] Quality audit monitoring completed for "&amp;UPPER($C1632))&amp;"&amp;body="&amp;_xlfn.ENCODEURL("Hi "&amp;$F1632&amp;","&amp;CHAR(10)&amp;"Good day!"&amp;CHAR(10)&amp;CHAR(10)&amp;"A quality monitoring audit has been completed for "&amp;$C1632&amp;"."&amp;CHAR(10)&amp;CHAR(10)&amp;"QUALITY AUDIT DETAILS"&amp;CHAR(10)&amp;"Agent Name: "&amp;$C1632&amp;" (EID "&amp;$D1632&amp;")"&amp;CHAR(10)&amp;"Audit Date: "&amp;TEXT($B1632,"yyyy-mm-dd")&amp;CHAR(10)&amp;"Team Leader: "&amp;$F1632&amp;CHAR(10)&amp;"Case Number: "&amp;$M1632&amp;CHAR(10)&amp;"Transaction ID: "&amp;$N1632&amp;CHAR(10)&amp;"Channel / LOB: "&amp;$K1632&amp;" / "&amp;$L1632&amp;CHAR(10)&amp;"Evaluator: "&amp;$S1632&amp;CHAR(10)&amp;CHAR(10)&amp;"INVALID QUALITY AUDIT DETAILS"&amp;CHAR(10)&amp;"Validation: Invalid"&amp;CHAR(10)&amp;"Invalid Reason: "&amp;$P1632&amp;CHAR(10)&amp;"Expected Resolution Code: "&amp;$Q1632&amp;CHAR(10)&amp;"Remarks: "&amp;LEFT($R1632,600)&amp;CHAR(10)&amp;CHAR(10)&amp;"This is an automated notification from HP Mainstream EQMS."),"✉ Open Email Draft"),"")</f>
        <v/>
      </c>
    </row>
    <row r="1633">
      <c r="A1633" s="25">
        <f>IF($C1633="","","AUD-2026-"&amp;TEXT(ROW()-1,"000000"))</f>
        <v/>
      </c>
      <c r="B1633" s="26" t="n"/>
      <c r="C1633" s="27" t="n"/>
      <c r="D1633" s="25">
        <f>IF($C1633="","",IFERROR(IF(INDEX(Roster!$A:$A,MATCH($C1633,Roster!$B:$B,0))="","",INDEX(Roster!$A:$A,MATCH($C1633,Roster!$B:$B,0))&amp;""),"—"))</f>
        <v/>
      </c>
      <c r="E1633" s="25">
        <f>IF($C1633="","",IFERROR(IF(INDEX(Roster!$C:$C,MATCH($C1633,Roster!$B:$B,0))="","",INDEX(Roster!$C:$C,MATCH($C1633,Roster!$B:$B,0))&amp;""),"—"))</f>
        <v/>
      </c>
      <c r="F1633" s="25">
        <f>IF($C1633="","",IFERROR(IF(INDEX(Roster!$D:$D,MATCH($C1633,Roster!$B:$B,0))="","",INDEX(Roster!$D:$D,MATCH($C1633,Roster!$B:$B,0))&amp;""),"—"))</f>
        <v/>
      </c>
      <c r="G1633" s="25">
        <f>IF($C1633="","",IFERROR(IF(INDEX(Roster!$E:$E,MATCH($C1633,Roster!$B:$B,0))="","",INDEX(Roster!$E:$E,MATCH($C1633,Roster!$B:$B,0))&amp;""),"—"))</f>
        <v/>
      </c>
      <c r="H1633" s="25">
        <f>IF($C1633="","",IFERROR(IF(INDEX(Roster!$F:$F,MATCH($C1633,Roster!$B:$B,0))="","",INDEX(Roster!$F:$F,MATCH($C1633,Roster!$B:$B,0))&amp;""),"—"))</f>
        <v/>
      </c>
      <c r="I1633" s="25">
        <f>IF($C1633="","",IFERROR(IF(INDEX(Roster!$G:$G,MATCH($C1633,Roster!$B:$B,0))="","",INDEX(Roster!$G:$G,MATCH($C1633,Roster!$B:$B,0))&amp;""),"—"))</f>
        <v/>
      </c>
      <c r="J1633" s="25">
        <f>IF($C1633="","",IFERROR(IF(INDEX(Roster!$I:$I,MATCH($C1633,Roster!$B:$B,0))="","",INDEX(Roster!$I:$I,MATCH($C1633,Roster!$B:$B,0))&amp;""),"—"))</f>
        <v/>
      </c>
      <c r="K1633">
        <f>IF($C1633="","",IFERROR(IF(INDEX(Roster!$J:$J,MATCH($C1633,Roster!$B:$B,0))="","",INDEX(Roster!$J:$J,MATCH($C1633,Roster!$B:$B,0))&amp;""),"—"))</f>
        <v/>
      </c>
      <c r="L1633">
        <f>IF($C1633="","",IFERROR(IF(INDEX(Roster!$K:$K,MATCH($C1633,Roster!$B:$B,0))="","",INDEX(Roster!$K:$K,MATCH($C1633,Roster!$B:$B,0))&amp;""),"—"))</f>
        <v/>
      </c>
      <c r="M1633" s="27" t="n"/>
      <c r="N1633" s="27" t="n"/>
      <c r="O1633" s="25">
        <f>IF($C1633="","",IF($P1633="","—",IF($P1633="Valid (Pass)","Valid","Invalid")))</f>
        <v/>
      </c>
      <c r="P1633" s="27" t="n"/>
      <c r="Q1633" s="27" t="n"/>
      <c r="R1633" s="27" t="n"/>
      <c r="S1633" s="27" t="n"/>
      <c r="T1633" s="25">
        <f>IF($C1633="","",IF(OR(ISNUMBER(SEARCH("quick case",$P1633)),ISNUMBER(SEARCH("quick case",$Q1633))),"Yes","No"))</f>
        <v/>
      </c>
      <c r="U1633" s="25">
        <f>IF($O1633="Invalid",HYPERLINK("mailto:"&amp;$G1633&amp;";"&amp;$I1633&amp;"?cc="&amp;Lists!$E$2&amp;"&amp;subject="&amp;_xlfn.ENCODEURL("[INVALID] Quality audit monitoring completed for "&amp;UPPER($C1633))&amp;"&amp;body="&amp;_xlfn.ENCODEURL("Hi "&amp;$F1633&amp;","&amp;CHAR(10)&amp;"Good day!"&amp;CHAR(10)&amp;CHAR(10)&amp;"A quality monitoring audit has been completed for "&amp;$C1633&amp;"."&amp;CHAR(10)&amp;CHAR(10)&amp;"QUALITY AUDIT DETAILS"&amp;CHAR(10)&amp;"Agent Name: "&amp;$C1633&amp;" (EID "&amp;$D1633&amp;")"&amp;CHAR(10)&amp;"Audit Date: "&amp;TEXT($B1633,"yyyy-mm-dd")&amp;CHAR(10)&amp;"Team Leader: "&amp;$F1633&amp;CHAR(10)&amp;"Case Number: "&amp;$M1633&amp;CHAR(10)&amp;"Transaction ID: "&amp;$N1633&amp;CHAR(10)&amp;"Channel / LOB: "&amp;$K1633&amp;" / "&amp;$L1633&amp;CHAR(10)&amp;"Evaluator: "&amp;$S1633&amp;CHAR(10)&amp;CHAR(10)&amp;"INVALID QUALITY AUDIT DETAILS"&amp;CHAR(10)&amp;"Validation: Invalid"&amp;CHAR(10)&amp;"Invalid Reason: "&amp;$P1633&amp;CHAR(10)&amp;"Expected Resolution Code: "&amp;$Q1633&amp;CHAR(10)&amp;"Remarks: "&amp;LEFT($R1633,600)&amp;CHAR(10)&amp;CHAR(10)&amp;"This is an automated notification from HP Mainstream EQMS."),"✉ Open Email Draft"),"")</f>
        <v/>
      </c>
    </row>
    <row r="1634">
      <c r="A1634" s="25">
        <f>IF($C1634="","","AUD-2026-"&amp;TEXT(ROW()-1,"000000"))</f>
        <v/>
      </c>
      <c r="B1634" s="26" t="n"/>
      <c r="C1634" s="27" t="n"/>
      <c r="D1634" s="25">
        <f>IF($C1634="","",IFERROR(IF(INDEX(Roster!$A:$A,MATCH($C1634,Roster!$B:$B,0))="","",INDEX(Roster!$A:$A,MATCH($C1634,Roster!$B:$B,0))&amp;""),"—"))</f>
        <v/>
      </c>
      <c r="E1634" s="25">
        <f>IF($C1634="","",IFERROR(IF(INDEX(Roster!$C:$C,MATCH($C1634,Roster!$B:$B,0))="","",INDEX(Roster!$C:$C,MATCH($C1634,Roster!$B:$B,0))&amp;""),"—"))</f>
        <v/>
      </c>
      <c r="F1634" s="25">
        <f>IF($C1634="","",IFERROR(IF(INDEX(Roster!$D:$D,MATCH($C1634,Roster!$B:$B,0))="","",INDEX(Roster!$D:$D,MATCH($C1634,Roster!$B:$B,0))&amp;""),"—"))</f>
        <v/>
      </c>
      <c r="G1634" s="25">
        <f>IF($C1634="","",IFERROR(IF(INDEX(Roster!$E:$E,MATCH($C1634,Roster!$B:$B,0))="","",INDEX(Roster!$E:$E,MATCH($C1634,Roster!$B:$B,0))&amp;""),"—"))</f>
        <v/>
      </c>
      <c r="H1634" s="25">
        <f>IF($C1634="","",IFERROR(IF(INDEX(Roster!$F:$F,MATCH($C1634,Roster!$B:$B,0))="","",INDEX(Roster!$F:$F,MATCH($C1634,Roster!$B:$B,0))&amp;""),"—"))</f>
        <v/>
      </c>
      <c r="I1634" s="25">
        <f>IF($C1634="","",IFERROR(IF(INDEX(Roster!$G:$G,MATCH($C1634,Roster!$B:$B,0))="","",INDEX(Roster!$G:$G,MATCH($C1634,Roster!$B:$B,0))&amp;""),"—"))</f>
        <v/>
      </c>
      <c r="J1634" s="25">
        <f>IF($C1634="","",IFERROR(IF(INDEX(Roster!$I:$I,MATCH($C1634,Roster!$B:$B,0))="","",INDEX(Roster!$I:$I,MATCH($C1634,Roster!$B:$B,0))&amp;""),"—"))</f>
        <v/>
      </c>
      <c r="K1634">
        <f>IF($C1634="","",IFERROR(IF(INDEX(Roster!$J:$J,MATCH($C1634,Roster!$B:$B,0))="","",INDEX(Roster!$J:$J,MATCH($C1634,Roster!$B:$B,0))&amp;""),"—"))</f>
        <v/>
      </c>
      <c r="L1634">
        <f>IF($C1634="","",IFERROR(IF(INDEX(Roster!$K:$K,MATCH($C1634,Roster!$B:$B,0))="","",INDEX(Roster!$K:$K,MATCH($C1634,Roster!$B:$B,0))&amp;""),"—"))</f>
        <v/>
      </c>
      <c r="M1634" s="27" t="n"/>
      <c r="N1634" s="27" t="n"/>
      <c r="O1634" s="25">
        <f>IF($C1634="","",IF($P1634="","—",IF($P1634="Valid (Pass)","Valid","Invalid")))</f>
        <v/>
      </c>
      <c r="P1634" s="27" t="n"/>
      <c r="Q1634" s="27" t="n"/>
      <c r="R1634" s="27" t="n"/>
      <c r="S1634" s="27" t="n"/>
      <c r="T1634" s="25">
        <f>IF($C1634="","",IF(OR(ISNUMBER(SEARCH("quick case",$P1634)),ISNUMBER(SEARCH("quick case",$Q1634))),"Yes","No"))</f>
        <v/>
      </c>
      <c r="U1634" s="25">
        <f>IF($O1634="Invalid",HYPERLINK("mailto:"&amp;$G1634&amp;";"&amp;$I1634&amp;"?cc="&amp;Lists!$E$2&amp;"&amp;subject="&amp;_xlfn.ENCODEURL("[INVALID] Quality audit monitoring completed for "&amp;UPPER($C1634))&amp;"&amp;body="&amp;_xlfn.ENCODEURL("Hi "&amp;$F1634&amp;","&amp;CHAR(10)&amp;"Good day!"&amp;CHAR(10)&amp;CHAR(10)&amp;"A quality monitoring audit has been completed for "&amp;$C1634&amp;"."&amp;CHAR(10)&amp;CHAR(10)&amp;"QUALITY AUDIT DETAILS"&amp;CHAR(10)&amp;"Agent Name: "&amp;$C1634&amp;" (EID "&amp;$D1634&amp;")"&amp;CHAR(10)&amp;"Audit Date: "&amp;TEXT($B1634,"yyyy-mm-dd")&amp;CHAR(10)&amp;"Team Leader: "&amp;$F1634&amp;CHAR(10)&amp;"Case Number: "&amp;$M1634&amp;CHAR(10)&amp;"Transaction ID: "&amp;$N1634&amp;CHAR(10)&amp;"Channel / LOB: "&amp;$K1634&amp;" / "&amp;$L1634&amp;CHAR(10)&amp;"Evaluator: "&amp;$S1634&amp;CHAR(10)&amp;CHAR(10)&amp;"INVALID QUALITY AUDIT DETAILS"&amp;CHAR(10)&amp;"Validation: Invalid"&amp;CHAR(10)&amp;"Invalid Reason: "&amp;$P1634&amp;CHAR(10)&amp;"Expected Resolution Code: "&amp;$Q1634&amp;CHAR(10)&amp;"Remarks: "&amp;LEFT($R1634,600)&amp;CHAR(10)&amp;CHAR(10)&amp;"This is an automated notification from HP Mainstream EQMS."),"✉ Open Email Draft"),"")</f>
        <v/>
      </c>
    </row>
    <row r="1635">
      <c r="A1635" s="25">
        <f>IF($C1635="","","AUD-2026-"&amp;TEXT(ROW()-1,"000000"))</f>
        <v/>
      </c>
      <c r="B1635" s="26" t="n"/>
      <c r="C1635" s="27" t="n"/>
      <c r="D1635" s="25">
        <f>IF($C1635="","",IFERROR(IF(INDEX(Roster!$A:$A,MATCH($C1635,Roster!$B:$B,0))="","",INDEX(Roster!$A:$A,MATCH($C1635,Roster!$B:$B,0))&amp;""),"—"))</f>
        <v/>
      </c>
      <c r="E1635" s="25">
        <f>IF($C1635="","",IFERROR(IF(INDEX(Roster!$C:$C,MATCH($C1635,Roster!$B:$B,0))="","",INDEX(Roster!$C:$C,MATCH($C1635,Roster!$B:$B,0))&amp;""),"—"))</f>
        <v/>
      </c>
      <c r="F1635" s="25">
        <f>IF($C1635="","",IFERROR(IF(INDEX(Roster!$D:$D,MATCH($C1635,Roster!$B:$B,0))="","",INDEX(Roster!$D:$D,MATCH($C1635,Roster!$B:$B,0))&amp;""),"—"))</f>
        <v/>
      </c>
      <c r="G1635" s="25">
        <f>IF($C1635="","",IFERROR(IF(INDEX(Roster!$E:$E,MATCH($C1635,Roster!$B:$B,0))="","",INDEX(Roster!$E:$E,MATCH($C1635,Roster!$B:$B,0))&amp;""),"—"))</f>
        <v/>
      </c>
      <c r="H1635" s="25">
        <f>IF($C1635="","",IFERROR(IF(INDEX(Roster!$F:$F,MATCH($C1635,Roster!$B:$B,0))="","",INDEX(Roster!$F:$F,MATCH($C1635,Roster!$B:$B,0))&amp;""),"—"))</f>
        <v/>
      </c>
      <c r="I1635" s="25">
        <f>IF($C1635="","",IFERROR(IF(INDEX(Roster!$G:$G,MATCH($C1635,Roster!$B:$B,0))="","",INDEX(Roster!$G:$G,MATCH($C1635,Roster!$B:$B,0))&amp;""),"—"))</f>
        <v/>
      </c>
      <c r="J1635" s="25">
        <f>IF($C1635="","",IFERROR(IF(INDEX(Roster!$I:$I,MATCH($C1635,Roster!$B:$B,0))="","",INDEX(Roster!$I:$I,MATCH($C1635,Roster!$B:$B,0))&amp;""),"—"))</f>
        <v/>
      </c>
      <c r="K1635">
        <f>IF($C1635="","",IFERROR(IF(INDEX(Roster!$J:$J,MATCH($C1635,Roster!$B:$B,0))="","",INDEX(Roster!$J:$J,MATCH($C1635,Roster!$B:$B,0))&amp;""),"—"))</f>
        <v/>
      </c>
      <c r="L1635">
        <f>IF($C1635="","",IFERROR(IF(INDEX(Roster!$K:$K,MATCH($C1635,Roster!$B:$B,0))="","",INDEX(Roster!$K:$K,MATCH($C1635,Roster!$B:$B,0))&amp;""),"—"))</f>
        <v/>
      </c>
      <c r="M1635" s="27" t="n"/>
      <c r="N1635" s="27" t="n"/>
      <c r="O1635" s="25">
        <f>IF($C1635="","",IF($P1635="","—",IF($P1635="Valid (Pass)","Valid","Invalid")))</f>
        <v/>
      </c>
      <c r="P1635" s="27" t="n"/>
      <c r="Q1635" s="27" t="n"/>
      <c r="R1635" s="27" t="n"/>
      <c r="S1635" s="27" t="n"/>
      <c r="T1635" s="25">
        <f>IF($C1635="","",IF(OR(ISNUMBER(SEARCH("quick case",$P1635)),ISNUMBER(SEARCH("quick case",$Q1635))),"Yes","No"))</f>
        <v/>
      </c>
      <c r="U1635" s="25">
        <f>IF($O1635="Invalid",HYPERLINK("mailto:"&amp;$G1635&amp;";"&amp;$I1635&amp;"?cc="&amp;Lists!$E$2&amp;"&amp;subject="&amp;_xlfn.ENCODEURL("[INVALID] Quality audit monitoring completed for "&amp;UPPER($C1635))&amp;"&amp;body="&amp;_xlfn.ENCODEURL("Hi "&amp;$F1635&amp;","&amp;CHAR(10)&amp;"Good day!"&amp;CHAR(10)&amp;CHAR(10)&amp;"A quality monitoring audit has been completed for "&amp;$C1635&amp;"."&amp;CHAR(10)&amp;CHAR(10)&amp;"QUALITY AUDIT DETAILS"&amp;CHAR(10)&amp;"Agent Name: "&amp;$C1635&amp;" (EID "&amp;$D1635&amp;")"&amp;CHAR(10)&amp;"Audit Date: "&amp;TEXT($B1635,"yyyy-mm-dd")&amp;CHAR(10)&amp;"Team Leader: "&amp;$F1635&amp;CHAR(10)&amp;"Case Number: "&amp;$M1635&amp;CHAR(10)&amp;"Transaction ID: "&amp;$N1635&amp;CHAR(10)&amp;"Channel / LOB: "&amp;$K1635&amp;" / "&amp;$L1635&amp;CHAR(10)&amp;"Evaluator: "&amp;$S1635&amp;CHAR(10)&amp;CHAR(10)&amp;"INVALID QUALITY AUDIT DETAILS"&amp;CHAR(10)&amp;"Validation: Invalid"&amp;CHAR(10)&amp;"Invalid Reason: "&amp;$P1635&amp;CHAR(10)&amp;"Expected Resolution Code: "&amp;$Q1635&amp;CHAR(10)&amp;"Remarks: "&amp;LEFT($R1635,600)&amp;CHAR(10)&amp;CHAR(10)&amp;"This is an automated notification from HP Mainstream EQMS."),"✉ Open Email Draft"),"")</f>
        <v/>
      </c>
    </row>
    <row r="1636">
      <c r="A1636" s="25">
        <f>IF($C1636="","","AUD-2026-"&amp;TEXT(ROW()-1,"000000"))</f>
        <v/>
      </c>
      <c r="B1636" s="26" t="n"/>
      <c r="C1636" s="27" t="n"/>
      <c r="D1636" s="25">
        <f>IF($C1636="","",IFERROR(IF(INDEX(Roster!$A:$A,MATCH($C1636,Roster!$B:$B,0))="","",INDEX(Roster!$A:$A,MATCH($C1636,Roster!$B:$B,0))&amp;""),"—"))</f>
        <v/>
      </c>
      <c r="E1636" s="25">
        <f>IF($C1636="","",IFERROR(IF(INDEX(Roster!$C:$C,MATCH($C1636,Roster!$B:$B,0))="","",INDEX(Roster!$C:$C,MATCH($C1636,Roster!$B:$B,0))&amp;""),"—"))</f>
        <v/>
      </c>
      <c r="F1636" s="25">
        <f>IF($C1636="","",IFERROR(IF(INDEX(Roster!$D:$D,MATCH($C1636,Roster!$B:$B,0))="","",INDEX(Roster!$D:$D,MATCH($C1636,Roster!$B:$B,0))&amp;""),"—"))</f>
        <v/>
      </c>
      <c r="G1636" s="25">
        <f>IF($C1636="","",IFERROR(IF(INDEX(Roster!$E:$E,MATCH($C1636,Roster!$B:$B,0))="","",INDEX(Roster!$E:$E,MATCH($C1636,Roster!$B:$B,0))&amp;""),"—"))</f>
        <v/>
      </c>
      <c r="H1636" s="25">
        <f>IF($C1636="","",IFERROR(IF(INDEX(Roster!$F:$F,MATCH($C1636,Roster!$B:$B,0))="","",INDEX(Roster!$F:$F,MATCH($C1636,Roster!$B:$B,0))&amp;""),"—"))</f>
        <v/>
      </c>
      <c r="I1636" s="25">
        <f>IF($C1636="","",IFERROR(IF(INDEX(Roster!$G:$G,MATCH($C1636,Roster!$B:$B,0))="","",INDEX(Roster!$G:$G,MATCH($C1636,Roster!$B:$B,0))&amp;""),"—"))</f>
        <v/>
      </c>
      <c r="J1636" s="25">
        <f>IF($C1636="","",IFERROR(IF(INDEX(Roster!$I:$I,MATCH($C1636,Roster!$B:$B,0))="","",INDEX(Roster!$I:$I,MATCH($C1636,Roster!$B:$B,0))&amp;""),"—"))</f>
        <v/>
      </c>
      <c r="K1636">
        <f>IF($C1636="","",IFERROR(IF(INDEX(Roster!$J:$J,MATCH($C1636,Roster!$B:$B,0))="","",INDEX(Roster!$J:$J,MATCH($C1636,Roster!$B:$B,0))&amp;""),"—"))</f>
        <v/>
      </c>
      <c r="L1636">
        <f>IF($C1636="","",IFERROR(IF(INDEX(Roster!$K:$K,MATCH($C1636,Roster!$B:$B,0))="","",INDEX(Roster!$K:$K,MATCH($C1636,Roster!$B:$B,0))&amp;""),"—"))</f>
        <v/>
      </c>
      <c r="M1636" s="27" t="n"/>
      <c r="N1636" s="27" t="n"/>
      <c r="O1636" s="25">
        <f>IF($C1636="","",IF($P1636="","—",IF($P1636="Valid (Pass)","Valid","Invalid")))</f>
        <v/>
      </c>
      <c r="P1636" s="27" t="n"/>
      <c r="Q1636" s="27" t="n"/>
      <c r="R1636" s="27" t="n"/>
      <c r="S1636" s="27" t="n"/>
      <c r="T1636" s="25">
        <f>IF($C1636="","",IF(OR(ISNUMBER(SEARCH("quick case",$P1636)),ISNUMBER(SEARCH("quick case",$Q1636))),"Yes","No"))</f>
        <v/>
      </c>
      <c r="U1636" s="25">
        <f>IF($O1636="Invalid",HYPERLINK("mailto:"&amp;$G1636&amp;";"&amp;$I1636&amp;"?cc="&amp;Lists!$E$2&amp;"&amp;subject="&amp;_xlfn.ENCODEURL("[INVALID] Quality audit monitoring completed for "&amp;UPPER($C1636))&amp;"&amp;body="&amp;_xlfn.ENCODEURL("Hi "&amp;$F1636&amp;","&amp;CHAR(10)&amp;"Good day!"&amp;CHAR(10)&amp;CHAR(10)&amp;"A quality monitoring audit has been completed for "&amp;$C1636&amp;"."&amp;CHAR(10)&amp;CHAR(10)&amp;"QUALITY AUDIT DETAILS"&amp;CHAR(10)&amp;"Agent Name: "&amp;$C1636&amp;" (EID "&amp;$D1636&amp;")"&amp;CHAR(10)&amp;"Audit Date: "&amp;TEXT($B1636,"yyyy-mm-dd")&amp;CHAR(10)&amp;"Team Leader: "&amp;$F1636&amp;CHAR(10)&amp;"Case Number: "&amp;$M1636&amp;CHAR(10)&amp;"Transaction ID: "&amp;$N1636&amp;CHAR(10)&amp;"Channel / LOB: "&amp;$K1636&amp;" / "&amp;$L1636&amp;CHAR(10)&amp;"Evaluator: "&amp;$S1636&amp;CHAR(10)&amp;CHAR(10)&amp;"INVALID QUALITY AUDIT DETAILS"&amp;CHAR(10)&amp;"Validation: Invalid"&amp;CHAR(10)&amp;"Invalid Reason: "&amp;$P1636&amp;CHAR(10)&amp;"Expected Resolution Code: "&amp;$Q1636&amp;CHAR(10)&amp;"Remarks: "&amp;LEFT($R1636,600)&amp;CHAR(10)&amp;CHAR(10)&amp;"This is an automated notification from HP Mainstream EQMS."),"✉ Open Email Draft"),"")</f>
        <v/>
      </c>
    </row>
    <row r="1637">
      <c r="A1637" s="25">
        <f>IF($C1637="","","AUD-2026-"&amp;TEXT(ROW()-1,"000000"))</f>
        <v/>
      </c>
      <c r="B1637" s="26" t="n"/>
      <c r="C1637" s="27" t="n"/>
      <c r="D1637" s="25">
        <f>IF($C1637="","",IFERROR(IF(INDEX(Roster!$A:$A,MATCH($C1637,Roster!$B:$B,0))="","",INDEX(Roster!$A:$A,MATCH($C1637,Roster!$B:$B,0))&amp;""),"—"))</f>
        <v/>
      </c>
      <c r="E1637" s="25">
        <f>IF($C1637="","",IFERROR(IF(INDEX(Roster!$C:$C,MATCH($C1637,Roster!$B:$B,0))="","",INDEX(Roster!$C:$C,MATCH($C1637,Roster!$B:$B,0))&amp;""),"—"))</f>
        <v/>
      </c>
      <c r="F1637" s="25">
        <f>IF($C1637="","",IFERROR(IF(INDEX(Roster!$D:$D,MATCH($C1637,Roster!$B:$B,0))="","",INDEX(Roster!$D:$D,MATCH($C1637,Roster!$B:$B,0))&amp;""),"—"))</f>
        <v/>
      </c>
      <c r="G1637" s="25">
        <f>IF($C1637="","",IFERROR(IF(INDEX(Roster!$E:$E,MATCH($C1637,Roster!$B:$B,0))="","",INDEX(Roster!$E:$E,MATCH($C1637,Roster!$B:$B,0))&amp;""),"—"))</f>
        <v/>
      </c>
      <c r="H1637" s="25">
        <f>IF($C1637="","",IFERROR(IF(INDEX(Roster!$F:$F,MATCH($C1637,Roster!$B:$B,0))="","",INDEX(Roster!$F:$F,MATCH($C1637,Roster!$B:$B,0))&amp;""),"—"))</f>
        <v/>
      </c>
      <c r="I1637" s="25">
        <f>IF($C1637="","",IFERROR(IF(INDEX(Roster!$G:$G,MATCH($C1637,Roster!$B:$B,0))="","",INDEX(Roster!$G:$G,MATCH($C1637,Roster!$B:$B,0))&amp;""),"—"))</f>
        <v/>
      </c>
      <c r="J1637" s="25">
        <f>IF($C1637="","",IFERROR(IF(INDEX(Roster!$I:$I,MATCH($C1637,Roster!$B:$B,0))="","",INDEX(Roster!$I:$I,MATCH($C1637,Roster!$B:$B,0))&amp;""),"—"))</f>
        <v/>
      </c>
      <c r="K1637">
        <f>IF($C1637="","",IFERROR(IF(INDEX(Roster!$J:$J,MATCH($C1637,Roster!$B:$B,0))="","",INDEX(Roster!$J:$J,MATCH($C1637,Roster!$B:$B,0))&amp;""),"—"))</f>
        <v/>
      </c>
      <c r="L1637">
        <f>IF($C1637="","",IFERROR(IF(INDEX(Roster!$K:$K,MATCH($C1637,Roster!$B:$B,0))="","",INDEX(Roster!$K:$K,MATCH($C1637,Roster!$B:$B,0))&amp;""),"—"))</f>
        <v/>
      </c>
      <c r="M1637" s="27" t="n"/>
      <c r="N1637" s="27" t="n"/>
      <c r="O1637" s="25">
        <f>IF($C1637="","",IF($P1637="","—",IF($P1637="Valid (Pass)","Valid","Invalid")))</f>
        <v/>
      </c>
      <c r="P1637" s="27" t="n"/>
      <c r="Q1637" s="27" t="n"/>
      <c r="R1637" s="27" t="n"/>
      <c r="S1637" s="27" t="n"/>
      <c r="T1637" s="25">
        <f>IF($C1637="","",IF(OR(ISNUMBER(SEARCH("quick case",$P1637)),ISNUMBER(SEARCH("quick case",$Q1637))),"Yes","No"))</f>
        <v/>
      </c>
      <c r="U1637" s="25">
        <f>IF($O1637="Invalid",HYPERLINK("mailto:"&amp;$G1637&amp;";"&amp;$I1637&amp;"?cc="&amp;Lists!$E$2&amp;"&amp;subject="&amp;_xlfn.ENCODEURL("[INVALID] Quality audit monitoring completed for "&amp;UPPER($C1637))&amp;"&amp;body="&amp;_xlfn.ENCODEURL("Hi "&amp;$F1637&amp;","&amp;CHAR(10)&amp;"Good day!"&amp;CHAR(10)&amp;CHAR(10)&amp;"A quality monitoring audit has been completed for "&amp;$C1637&amp;"."&amp;CHAR(10)&amp;CHAR(10)&amp;"QUALITY AUDIT DETAILS"&amp;CHAR(10)&amp;"Agent Name: "&amp;$C1637&amp;" (EID "&amp;$D1637&amp;")"&amp;CHAR(10)&amp;"Audit Date: "&amp;TEXT($B1637,"yyyy-mm-dd")&amp;CHAR(10)&amp;"Team Leader: "&amp;$F1637&amp;CHAR(10)&amp;"Case Number: "&amp;$M1637&amp;CHAR(10)&amp;"Transaction ID: "&amp;$N1637&amp;CHAR(10)&amp;"Channel / LOB: "&amp;$K1637&amp;" / "&amp;$L1637&amp;CHAR(10)&amp;"Evaluator: "&amp;$S1637&amp;CHAR(10)&amp;CHAR(10)&amp;"INVALID QUALITY AUDIT DETAILS"&amp;CHAR(10)&amp;"Validation: Invalid"&amp;CHAR(10)&amp;"Invalid Reason: "&amp;$P1637&amp;CHAR(10)&amp;"Expected Resolution Code: "&amp;$Q1637&amp;CHAR(10)&amp;"Remarks: "&amp;LEFT($R1637,600)&amp;CHAR(10)&amp;CHAR(10)&amp;"This is an automated notification from HP Mainstream EQMS."),"✉ Open Email Draft"),"")</f>
        <v/>
      </c>
    </row>
    <row r="1638">
      <c r="A1638" s="25">
        <f>IF($C1638="","","AUD-2026-"&amp;TEXT(ROW()-1,"000000"))</f>
        <v/>
      </c>
      <c r="B1638" s="26" t="n"/>
      <c r="C1638" s="27" t="n"/>
      <c r="D1638" s="25">
        <f>IF($C1638="","",IFERROR(IF(INDEX(Roster!$A:$A,MATCH($C1638,Roster!$B:$B,0))="","",INDEX(Roster!$A:$A,MATCH($C1638,Roster!$B:$B,0))&amp;""),"—"))</f>
        <v/>
      </c>
      <c r="E1638" s="25">
        <f>IF($C1638="","",IFERROR(IF(INDEX(Roster!$C:$C,MATCH($C1638,Roster!$B:$B,0))="","",INDEX(Roster!$C:$C,MATCH($C1638,Roster!$B:$B,0))&amp;""),"—"))</f>
        <v/>
      </c>
      <c r="F1638" s="25">
        <f>IF($C1638="","",IFERROR(IF(INDEX(Roster!$D:$D,MATCH($C1638,Roster!$B:$B,0))="","",INDEX(Roster!$D:$D,MATCH($C1638,Roster!$B:$B,0))&amp;""),"—"))</f>
        <v/>
      </c>
      <c r="G1638" s="25">
        <f>IF($C1638="","",IFERROR(IF(INDEX(Roster!$E:$E,MATCH($C1638,Roster!$B:$B,0))="","",INDEX(Roster!$E:$E,MATCH($C1638,Roster!$B:$B,0))&amp;""),"—"))</f>
        <v/>
      </c>
      <c r="H1638" s="25">
        <f>IF($C1638="","",IFERROR(IF(INDEX(Roster!$F:$F,MATCH($C1638,Roster!$B:$B,0))="","",INDEX(Roster!$F:$F,MATCH($C1638,Roster!$B:$B,0))&amp;""),"—"))</f>
        <v/>
      </c>
      <c r="I1638" s="25">
        <f>IF($C1638="","",IFERROR(IF(INDEX(Roster!$G:$G,MATCH($C1638,Roster!$B:$B,0))="","",INDEX(Roster!$G:$G,MATCH($C1638,Roster!$B:$B,0))&amp;""),"—"))</f>
        <v/>
      </c>
      <c r="J1638" s="25">
        <f>IF($C1638="","",IFERROR(IF(INDEX(Roster!$I:$I,MATCH($C1638,Roster!$B:$B,0))="","",INDEX(Roster!$I:$I,MATCH($C1638,Roster!$B:$B,0))&amp;""),"—"))</f>
        <v/>
      </c>
      <c r="K1638">
        <f>IF($C1638="","",IFERROR(IF(INDEX(Roster!$J:$J,MATCH($C1638,Roster!$B:$B,0))="","",INDEX(Roster!$J:$J,MATCH($C1638,Roster!$B:$B,0))&amp;""),"—"))</f>
        <v/>
      </c>
      <c r="L1638">
        <f>IF($C1638="","",IFERROR(IF(INDEX(Roster!$K:$K,MATCH($C1638,Roster!$B:$B,0))="","",INDEX(Roster!$K:$K,MATCH($C1638,Roster!$B:$B,0))&amp;""),"—"))</f>
        <v/>
      </c>
      <c r="M1638" s="27" t="n"/>
      <c r="N1638" s="27" t="n"/>
      <c r="O1638" s="25">
        <f>IF($C1638="","",IF($P1638="","—",IF($P1638="Valid (Pass)","Valid","Invalid")))</f>
        <v/>
      </c>
      <c r="P1638" s="27" t="n"/>
      <c r="Q1638" s="27" t="n"/>
      <c r="R1638" s="27" t="n"/>
      <c r="S1638" s="27" t="n"/>
      <c r="T1638" s="25">
        <f>IF($C1638="","",IF(OR(ISNUMBER(SEARCH("quick case",$P1638)),ISNUMBER(SEARCH("quick case",$Q1638))),"Yes","No"))</f>
        <v/>
      </c>
      <c r="U1638" s="25">
        <f>IF($O1638="Invalid",HYPERLINK("mailto:"&amp;$G1638&amp;";"&amp;$I1638&amp;"?cc="&amp;Lists!$E$2&amp;"&amp;subject="&amp;_xlfn.ENCODEURL("[INVALID] Quality audit monitoring completed for "&amp;UPPER($C1638))&amp;"&amp;body="&amp;_xlfn.ENCODEURL("Hi "&amp;$F1638&amp;","&amp;CHAR(10)&amp;"Good day!"&amp;CHAR(10)&amp;CHAR(10)&amp;"A quality monitoring audit has been completed for "&amp;$C1638&amp;"."&amp;CHAR(10)&amp;CHAR(10)&amp;"QUALITY AUDIT DETAILS"&amp;CHAR(10)&amp;"Agent Name: "&amp;$C1638&amp;" (EID "&amp;$D1638&amp;")"&amp;CHAR(10)&amp;"Audit Date: "&amp;TEXT($B1638,"yyyy-mm-dd")&amp;CHAR(10)&amp;"Team Leader: "&amp;$F1638&amp;CHAR(10)&amp;"Case Number: "&amp;$M1638&amp;CHAR(10)&amp;"Transaction ID: "&amp;$N1638&amp;CHAR(10)&amp;"Channel / LOB: "&amp;$K1638&amp;" / "&amp;$L1638&amp;CHAR(10)&amp;"Evaluator: "&amp;$S1638&amp;CHAR(10)&amp;CHAR(10)&amp;"INVALID QUALITY AUDIT DETAILS"&amp;CHAR(10)&amp;"Validation: Invalid"&amp;CHAR(10)&amp;"Invalid Reason: "&amp;$P1638&amp;CHAR(10)&amp;"Expected Resolution Code: "&amp;$Q1638&amp;CHAR(10)&amp;"Remarks: "&amp;LEFT($R1638,600)&amp;CHAR(10)&amp;CHAR(10)&amp;"This is an automated notification from HP Mainstream EQMS."),"✉ Open Email Draft"),"")</f>
        <v/>
      </c>
    </row>
    <row r="1639">
      <c r="A1639" s="25">
        <f>IF($C1639="","","AUD-2026-"&amp;TEXT(ROW()-1,"000000"))</f>
        <v/>
      </c>
      <c r="B1639" s="26" t="n"/>
      <c r="C1639" s="27" t="n"/>
      <c r="D1639" s="25">
        <f>IF($C1639="","",IFERROR(IF(INDEX(Roster!$A:$A,MATCH($C1639,Roster!$B:$B,0))="","",INDEX(Roster!$A:$A,MATCH($C1639,Roster!$B:$B,0))&amp;""),"—"))</f>
        <v/>
      </c>
      <c r="E1639" s="25">
        <f>IF($C1639="","",IFERROR(IF(INDEX(Roster!$C:$C,MATCH($C1639,Roster!$B:$B,0))="","",INDEX(Roster!$C:$C,MATCH($C1639,Roster!$B:$B,0))&amp;""),"—"))</f>
        <v/>
      </c>
      <c r="F1639" s="25">
        <f>IF($C1639="","",IFERROR(IF(INDEX(Roster!$D:$D,MATCH($C1639,Roster!$B:$B,0))="","",INDEX(Roster!$D:$D,MATCH($C1639,Roster!$B:$B,0))&amp;""),"—"))</f>
        <v/>
      </c>
      <c r="G1639" s="25">
        <f>IF($C1639="","",IFERROR(IF(INDEX(Roster!$E:$E,MATCH($C1639,Roster!$B:$B,0))="","",INDEX(Roster!$E:$E,MATCH($C1639,Roster!$B:$B,0))&amp;""),"—"))</f>
        <v/>
      </c>
      <c r="H1639" s="25">
        <f>IF($C1639="","",IFERROR(IF(INDEX(Roster!$F:$F,MATCH($C1639,Roster!$B:$B,0))="","",INDEX(Roster!$F:$F,MATCH($C1639,Roster!$B:$B,0))&amp;""),"—"))</f>
        <v/>
      </c>
      <c r="I1639" s="25">
        <f>IF($C1639="","",IFERROR(IF(INDEX(Roster!$G:$G,MATCH($C1639,Roster!$B:$B,0))="","",INDEX(Roster!$G:$G,MATCH($C1639,Roster!$B:$B,0))&amp;""),"—"))</f>
        <v/>
      </c>
      <c r="J1639" s="25">
        <f>IF($C1639="","",IFERROR(IF(INDEX(Roster!$I:$I,MATCH($C1639,Roster!$B:$B,0))="","",INDEX(Roster!$I:$I,MATCH($C1639,Roster!$B:$B,0))&amp;""),"—"))</f>
        <v/>
      </c>
      <c r="K1639">
        <f>IF($C1639="","",IFERROR(IF(INDEX(Roster!$J:$J,MATCH($C1639,Roster!$B:$B,0))="","",INDEX(Roster!$J:$J,MATCH($C1639,Roster!$B:$B,0))&amp;""),"—"))</f>
        <v/>
      </c>
      <c r="L1639">
        <f>IF($C1639="","",IFERROR(IF(INDEX(Roster!$K:$K,MATCH($C1639,Roster!$B:$B,0))="","",INDEX(Roster!$K:$K,MATCH($C1639,Roster!$B:$B,0))&amp;""),"—"))</f>
        <v/>
      </c>
      <c r="M1639" s="27" t="n"/>
      <c r="N1639" s="27" t="n"/>
      <c r="O1639" s="25">
        <f>IF($C1639="","",IF($P1639="","—",IF($P1639="Valid (Pass)","Valid","Invalid")))</f>
        <v/>
      </c>
      <c r="P1639" s="27" t="n"/>
      <c r="Q1639" s="27" t="n"/>
      <c r="R1639" s="27" t="n"/>
      <c r="S1639" s="27" t="n"/>
      <c r="T1639" s="25">
        <f>IF($C1639="","",IF(OR(ISNUMBER(SEARCH("quick case",$P1639)),ISNUMBER(SEARCH("quick case",$Q1639))),"Yes","No"))</f>
        <v/>
      </c>
      <c r="U1639" s="25">
        <f>IF($O1639="Invalid",HYPERLINK("mailto:"&amp;$G1639&amp;";"&amp;$I1639&amp;"?cc="&amp;Lists!$E$2&amp;"&amp;subject="&amp;_xlfn.ENCODEURL("[INVALID] Quality audit monitoring completed for "&amp;UPPER($C1639))&amp;"&amp;body="&amp;_xlfn.ENCODEURL("Hi "&amp;$F1639&amp;","&amp;CHAR(10)&amp;"Good day!"&amp;CHAR(10)&amp;CHAR(10)&amp;"A quality monitoring audit has been completed for "&amp;$C1639&amp;"."&amp;CHAR(10)&amp;CHAR(10)&amp;"QUALITY AUDIT DETAILS"&amp;CHAR(10)&amp;"Agent Name: "&amp;$C1639&amp;" (EID "&amp;$D1639&amp;")"&amp;CHAR(10)&amp;"Audit Date: "&amp;TEXT($B1639,"yyyy-mm-dd")&amp;CHAR(10)&amp;"Team Leader: "&amp;$F1639&amp;CHAR(10)&amp;"Case Number: "&amp;$M1639&amp;CHAR(10)&amp;"Transaction ID: "&amp;$N1639&amp;CHAR(10)&amp;"Channel / LOB: "&amp;$K1639&amp;" / "&amp;$L1639&amp;CHAR(10)&amp;"Evaluator: "&amp;$S1639&amp;CHAR(10)&amp;CHAR(10)&amp;"INVALID QUALITY AUDIT DETAILS"&amp;CHAR(10)&amp;"Validation: Invalid"&amp;CHAR(10)&amp;"Invalid Reason: "&amp;$P1639&amp;CHAR(10)&amp;"Expected Resolution Code: "&amp;$Q1639&amp;CHAR(10)&amp;"Remarks: "&amp;LEFT($R1639,600)&amp;CHAR(10)&amp;CHAR(10)&amp;"This is an automated notification from HP Mainstream EQMS."),"✉ Open Email Draft"),"")</f>
        <v/>
      </c>
    </row>
    <row r="1640">
      <c r="A1640" s="25">
        <f>IF($C1640="","","AUD-2026-"&amp;TEXT(ROW()-1,"000000"))</f>
        <v/>
      </c>
      <c r="B1640" s="26" t="n"/>
      <c r="C1640" s="27" t="n"/>
      <c r="D1640" s="25">
        <f>IF($C1640="","",IFERROR(IF(INDEX(Roster!$A:$A,MATCH($C1640,Roster!$B:$B,0))="","",INDEX(Roster!$A:$A,MATCH($C1640,Roster!$B:$B,0))&amp;""),"—"))</f>
        <v/>
      </c>
      <c r="E1640" s="25">
        <f>IF($C1640="","",IFERROR(IF(INDEX(Roster!$C:$C,MATCH($C1640,Roster!$B:$B,0))="","",INDEX(Roster!$C:$C,MATCH($C1640,Roster!$B:$B,0))&amp;""),"—"))</f>
        <v/>
      </c>
      <c r="F1640" s="25">
        <f>IF($C1640="","",IFERROR(IF(INDEX(Roster!$D:$D,MATCH($C1640,Roster!$B:$B,0))="","",INDEX(Roster!$D:$D,MATCH($C1640,Roster!$B:$B,0))&amp;""),"—"))</f>
        <v/>
      </c>
      <c r="G1640" s="25">
        <f>IF($C1640="","",IFERROR(IF(INDEX(Roster!$E:$E,MATCH($C1640,Roster!$B:$B,0))="","",INDEX(Roster!$E:$E,MATCH($C1640,Roster!$B:$B,0))&amp;""),"—"))</f>
        <v/>
      </c>
      <c r="H1640" s="25">
        <f>IF($C1640="","",IFERROR(IF(INDEX(Roster!$F:$F,MATCH($C1640,Roster!$B:$B,0))="","",INDEX(Roster!$F:$F,MATCH($C1640,Roster!$B:$B,0))&amp;""),"—"))</f>
        <v/>
      </c>
      <c r="I1640" s="25">
        <f>IF($C1640="","",IFERROR(IF(INDEX(Roster!$G:$G,MATCH($C1640,Roster!$B:$B,0))="","",INDEX(Roster!$G:$G,MATCH($C1640,Roster!$B:$B,0))&amp;""),"—"))</f>
        <v/>
      </c>
      <c r="J1640" s="25">
        <f>IF($C1640="","",IFERROR(IF(INDEX(Roster!$I:$I,MATCH($C1640,Roster!$B:$B,0))="","",INDEX(Roster!$I:$I,MATCH($C1640,Roster!$B:$B,0))&amp;""),"—"))</f>
        <v/>
      </c>
      <c r="K1640">
        <f>IF($C1640="","",IFERROR(IF(INDEX(Roster!$J:$J,MATCH($C1640,Roster!$B:$B,0))="","",INDEX(Roster!$J:$J,MATCH($C1640,Roster!$B:$B,0))&amp;""),"—"))</f>
        <v/>
      </c>
      <c r="L1640">
        <f>IF($C1640="","",IFERROR(IF(INDEX(Roster!$K:$K,MATCH($C1640,Roster!$B:$B,0))="","",INDEX(Roster!$K:$K,MATCH($C1640,Roster!$B:$B,0))&amp;""),"—"))</f>
        <v/>
      </c>
      <c r="M1640" s="27" t="n"/>
      <c r="N1640" s="27" t="n"/>
      <c r="O1640" s="25">
        <f>IF($C1640="","",IF($P1640="","—",IF($P1640="Valid (Pass)","Valid","Invalid")))</f>
        <v/>
      </c>
      <c r="P1640" s="27" t="n"/>
      <c r="Q1640" s="27" t="n"/>
      <c r="R1640" s="27" t="n"/>
      <c r="S1640" s="27" t="n"/>
      <c r="T1640" s="25">
        <f>IF($C1640="","",IF(OR(ISNUMBER(SEARCH("quick case",$P1640)),ISNUMBER(SEARCH("quick case",$Q1640))),"Yes","No"))</f>
        <v/>
      </c>
      <c r="U1640" s="25">
        <f>IF($O1640="Invalid",HYPERLINK("mailto:"&amp;$G1640&amp;";"&amp;$I1640&amp;"?cc="&amp;Lists!$E$2&amp;"&amp;subject="&amp;_xlfn.ENCODEURL("[INVALID] Quality audit monitoring completed for "&amp;UPPER($C1640))&amp;"&amp;body="&amp;_xlfn.ENCODEURL("Hi "&amp;$F1640&amp;","&amp;CHAR(10)&amp;"Good day!"&amp;CHAR(10)&amp;CHAR(10)&amp;"A quality monitoring audit has been completed for "&amp;$C1640&amp;"."&amp;CHAR(10)&amp;CHAR(10)&amp;"QUALITY AUDIT DETAILS"&amp;CHAR(10)&amp;"Agent Name: "&amp;$C1640&amp;" (EID "&amp;$D1640&amp;")"&amp;CHAR(10)&amp;"Audit Date: "&amp;TEXT($B1640,"yyyy-mm-dd")&amp;CHAR(10)&amp;"Team Leader: "&amp;$F1640&amp;CHAR(10)&amp;"Case Number: "&amp;$M1640&amp;CHAR(10)&amp;"Transaction ID: "&amp;$N1640&amp;CHAR(10)&amp;"Channel / LOB: "&amp;$K1640&amp;" / "&amp;$L1640&amp;CHAR(10)&amp;"Evaluator: "&amp;$S1640&amp;CHAR(10)&amp;CHAR(10)&amp;"INVALID QUALITY AUDIT DETAILS"&amp;CHAR(10)&amp;"Validation: Invalid"&amp;CHAR(10)&amp;"Invalid Reason: "&amp;$P1640&amp;CHAR(10)&amp;"Expected Resolution Code: "&amp;$Q1640&amp;CHAR(10)&amp;"Remarks: "&amp;LEFT($R1640,600)&amp;CHAR(10)&amp;CHAR(10)&amp;"This is an automated notification from HP Mainstream EQMS."),"✉ Open Email Draft"),"")</f>
        <v/>
      </c>
    </row>
    <row r="1641">
      <c r="A1641" s="25">
        <f>IF($C1641="","","AUD-2026-"&amp;TEXT(ROW()-1,"000000"))</f>
        <v/>
      </c>
      <c r="B1641" s="26" t="n"/>
      <c r="C1641" s="27" t="n"/>
      <c r="D1641" s="25">
        <f>IF($C1641="","",IFERROR(IF(INDEX(Roster!$A:$A,MATCH($C1641,Roster!$B:$B,0))="","",INDEX(Roster!$A:$A,MATCH($C1641,Roster!$B:$B,0))&amp;""),"—"))</f>
        <v/>
      </c>
      <c r="E1641" s="25">
        <f>IF($C1641="","",IFERROR(IF(INDEX(Roster!$C:$C,MATCH($C1641,Roster!$B:$B,0))="","",INDEX(Roster!$C:$C,MATCH($C1641,Roster!$B:$B,0))&amp;""),"—"))</f>
        <v/>
      </c>
      <c r="F1641" s="25">
        <f>IF($C1641="","",IFERROR(IF(INDEX(Roster!$D:$D,MATCH($C1641,Roster!$B:$B,0))="","",INDEX(Roster!$D:$D,MATCH($C1641,Roster!$B:$B,0))&amp;""),"—"))</f>
        <v/>
      </c>
      <c r="G1641" s="25">
        <f>IF($C1641="","",IFERROR(IF(INDEX(Roster!$E:$E,MATCH($C1641,Roster!$B:$B,0))="","",INDEX(Roster!$E:$E,MATCH($C1641,Roster!$B:$B,0))&amp;""),"—"))</f>
        <v/>
      </c>
      <c r="H1641" s="25">
        <f>IF($C1641="","",IFERROR(IF(INDEX(Roster!$F:$F,MATCH($C1641,Roster!$B:$B,0))="","",INDEX(Roster!$F:$F,MATCH($C1641,Roster!$B:$B,0))&amp;""),"—"))</f>
        <v/>
      </c>
      <c r="I1641" s="25">
        <f>IF($C1641="","",IFERROR(IF(INDEX(Roster!$G:$G,MATCH($C1641,Roster!$B:$B,0))="","",INDEX(Roster!$G:$G,MATCH($C1641,Roster!$B:$B,0))&amp;""),"—"))</f>
        <v/>
      </c>
      <c r="J1641" s="25">
        <f>IF($C1641="","",IFERROR(IF(INDEX(Roster!$I:$I,MATCH($C1641,Roster!$B:$B,0))="","",INDEX(Roster!$I:$I,MATCH($C1641,Roster!$B:$B,0))&amp;""),"—"))</f>
        <v/>
      </c>
      <c r="K1641">
        <f>IF($C1641="","",IFERROR(IF(INDEX(Roster!$J:$J,MATCH($C1641,Roster!$B:$B,0))="","",INDEX(Roster!$J:$J,MATCH($C1641,Roster!$B:$B,0))&amp;""),"—"))</f>
        <v/>
      </c>
      <c r="L1641">
        <f>IF($C1641="","",IFERROR(IF(INDEX(Roster!$K:$K,MATCH($C1641,Roster!$B:$B,0))="","",INDEX(Roster!$K:$K,MATCH($C1641,Roster!$B:$B,0))&amp;""),"—"))</f>
        <v/>
      </c>
      <c r="M1641" s="27" t="n"/>
      <c r="N1641" s="27" t="n"/>
      <c r="O1641" s="25">
        <f>IF($C1641="","",IF($P1641="","—",IF($P1641="Valid (Pass)","Valid","Invalid")))</f>
        <v/>
      </c>
      <c r="P1641" s="27" t="n"/>
      <c r="Q1641" s="27" t="n"/>
      <c r="R1641" s="27" t="n"/>
      <c r="S1641" s="27" t="n"/>
      <c r="T1641" s="25">
        <f>IF($C1641="","",IF(OR(ISNUMBER(SEARCH("quick case",$P1641)),ISNUMBER(SEARCH("quick case",$Q1641))),"Yes","No"))</f>
        <v/>
      </c>
      <c r="U1641" s="25">
        <f>IF($O1641="Invalid",HYPERLINK("mailto:"&amp;$G1641&amp;";"&amp;$I1641&amp;"?cc="&amp;Lists!$E$2&amp;"&amp;subject="&amp;_xlfn.ENCODEURL("[INVALID] Quality audit monitoring completed for "&amp;UPPER($C1641))&amp;"&amp;body="&amp;_xlfn.ENCODEURL("Hi "&amp;$F1641&amp;","&amp;CHAR(10)&amp;"Good day!"&amp;CHAR(10)&amp;CHAR(10)&amp;"A quality monitoring audit has been completed for "&amp;$C1641&amp;"."&amp;CHAR(10)&amp;CHAR(10)&amp;"QUALITY AUDIT DETAILS"&amp;CHAR(10)&amp;"Agent Name: "&amp;$C1641&amp;" (EID "&amp;$D1641&amp;")"&amp;CHAR(10)&amp;"Audit Date: "&amp;TEXT($B1641,"yyyy-mm-dd")&amp;CHAR(10)&amp;"Team Leader: "&amp;$F1641&amp;CHAR(10)&amp;"Case Number: "&amp;$M1641&amp;CHAR(10)&amp;"Transaction ID: "&amp;$N1641&amp;CHAR(10)&amp;"Channel / LOB: "&amp;$K1641&amp;" / "&amp;$L1641&amp;CHAR(10)&amp;"Evaluator: "&amp;$S1641&amp;CHAR(10)&amp;CHAR(10)&amp;"INVALID QUALITY AUDIT DETAILS"&amp;CHAR(10)&amp;"Validation: Invalid"&amp;CHAR(10)&amp;"Invalid Reason: "&amp;$P1641&amp;CHAR(10)&amp;"Expected Resolution Code: "&amp;$Q1641&amp;CHAR(10)&amp;"Remarks: "&amp;LEFT($R1641,600)&amp;CHAR(10)&amp;CHAR(10)&amp;"This is an automated notification from HP Mainstream EQMS."),"✉ Open Email Draft"),"")</f>
        <v/>
      </c>
    </row>
    <row r="1642">
      <c r="A1642" s="25">
        <f>IF($C1642="","","AUD-2026-"&amp;TEXT(ROW()-1,"000000"))</f>
        <v/>
      </c>
      <c r="B1642" s="26" t="n"/>
      <c r="C1642" s="27" t="n"/>
      <c r="D1642" s="25">
        <f>IF($C1642="","",IFERROR(IF(INDEX(Roster!$A:$A,MATCH($C1642,Roster!$B:$B,0))="","",INDEX(Roster!$A:$A,MATCH($C1642,Roster!$B:$B,0))&amp;""),"—"))</f>
        <v/>
      </c>
      <c r="E1642" s="25">
        <f>IF($C1642="","",IFERROR(IF(INDEX(Roster!$C:$C,MATCH($C1642,Roster!$B:$B,0))="","",INDEX(Roster!$C:$C,MATCH($C1642,Roster!$B:$B,0))&amp;""),"—"))</f>
        <v/>
      </c>
      <c r="F1642" s="25">
        <f>IF($C1642="","",IFERROR(IF(INDEX(Roster!$D:$D,MATCH($C1642,Roster!$B:$B,0))="","",INDEX(Roster!$D:$D,MATCH($C1642,Roster!$B:$B,0))&amp;""),"—"))</f>
        <v/>
      </c>
      <c r="G1642" s="25">
        <f>IF($C1642="","",IFERROR(IF(INDEX(Roster!$E:$E,MATCH($C1642,Roster!$B:$B,0))="","",INDEX(Roster!$E:$E,MATCH($C1642,Roster!$B:$B,0))&amp;""),"—"))</f>
        <v/>
      </c>
      <c r="H1642" s="25">
        <f>IF($C1642="","",IFERROR(IF(INDEX(Roster!$F:$F,MATCH($C1642,Roster!$B:$B,0))="","",INDEX(Roster!$F:$F,MATCH($C1642,Roster!$B:$B,0))&amp;""),"—"))</f>
        <v/>
      </c>
      <c r="I1642" s="25">
        <f>IF($C1642="","",IFERROR(IF(INDEX(Roster!$G:$G,MATCH($C1642,Roster!$B:$B,0))="","",INDEX(Roster!$G:$G,MATCH($C1642,Roster!$B:$B,0))&amp;""),"—"))</f>
        <v/>
      </c>
      <c r="J1642" s="25">
        <f>IF($C1642="","",IFERROR(IF(INDEX(Roster!$I:$I,MATCH($C1642,Roster!$B:$B,0))="","",INDEX(Roster!$I:$I,MATCH($C1642,Roster!$B:$B,0))&amp;""),"—"))</f>
        <v/>
      </c>
      <c r="K1642">
        <f>IF($C1642="","",IFERROR(IF(INDEX(Roster!$J:$J,MATCH($C1642,Roster!$B:$B,0))="","",INDEX(Roster!$J:$J,MATCH($C1642,Roster!$B:$B,0))&amp;""),"—"))</f>
        <v/>
      </c>
      <c r="L1642">
        <f>IF($C1642="","",IFERROR(IF(INDEX(Roster!$K:$K,MATCH($C1642,Roster!$B:$B,0))="","",INDEX(Roster!$K:$K,MATCH($C1642,Roster!$B:$B,0))&amp;""),"—"))</f>
        <v/>
      </c>
      <c r="M1642" s="27" t="n"/>
      <c r="N1642" s="27" t="n"/>
      <c r="O1642" s="25">
        <f>IF($C1642="","",IF($P1642="","—",IF($P1642="Valid (Pass)","Valid","Invalid")))</f>
        <v/>
      </c>
      <c r="P1642" s="27" t="n"/>
      <c r="Q1642" s="27" t="n"/>
      <c r="R1642" s="27" t="n"/>
      <c r="S1642" s="27" t="n"/>
      <c r="T1642" s="25">
        <f>IF($C1642="","",IF(OR(ISNUMBER(SEARCH("quick case",$P1642)),ISNUMBER(SEARCH("quick case",$Q1642))),"Yes","No"))</f>
        <v/>
      </c>
      <c r="U1642" s="25">
        <f>IF($O1642="Invalid",HYPERLINK("mailto:"&amp;$G1642&amp;";"&amp;$I1642&amp;"?cc="&amp;Lists!$E$2&amp;"&amp;subject="&amp;_xlfn.ENCODEURL("[INVALID] Quality audit monitoring completed for "&amp;UPPER($C1642))&amp;"&amp;body="&amp;_xlfn.ENCODEURL("Hi "&amp;$F1642&amp;","&amp;CHAR(10)&amp;"Good day!"&amp;CHAR(10)&amp;CHAR(10)&amp;"A quality monitoring audit has been completed for "&amp;$C1642&amp;"."&amp;CHAR(10)&amp;CHAR(10)&amp;"QUALITY AUDIT DETAILS"&amp;CHAR(10)&amp;"Agent Name: "&amp;$C1642&amp;" (EID "&amp;$D1642&amp;")"&amp;CHAR(10)&amp;"Audit Date: "&amp;TEXT($B1642,"yyyy-mm-dd")&amp;CHAR(10)&amp;"Team Leader: "&amp;$F1642&amp;CHAR(10)&amp;"Case Number: "&amp;$M1642&amp;CHAR(10)&amp;"Transaction ID: "&amp;$N1642&amp;CHAR(10)&amp;"Channel / LOB: "&amp;$K1642&amp;" / "&amp;$L1642&amp;CHAR(10)&amp;"Evaluator: "&amp;$S1642&amp;CHAR(10)&amp;CHAR(10)&amp;"INVALID QUALITY AUDIT DETAILS"&amp;CHAR(10)&amp;"Validation: Invalid"&amp;CHAR(10)&amp;"Invalid Reason: "&amp;$P1642&amp;CHAR(10)&amp;"Expected Resolution Code: "&amp;$Q1642&amp;CHAR(10)&amp;"Remarks: "&amp;LEFT($R1642,600)&amp;CHAR(10)&amp;CHAR(10)&amp;"This is an automated notification from HP Mainstream EQMS."),"✉ Open Email Draft"),"")</f>
        <v/>
      </c>
    </row>
    <row r="1643">
      <c r="A1643" s="25">
        <f>IF($C1643="","","AUD-2026-"&amp;TEXT(ROW()-1,"000000"))</f>
        <v/>
      </c>
      <c r="B1643" s="26" t="n"/>
      <c r="C1643" s="27" t="n"/>
      <c r="D1643" s="25">
        <f>IF($C1643="","",IFERROR(IF(INDEX(Roster!$A:$A,MATCH($C1643,Roster!$B:$B,0))="","",INDEX(Roster!$A:$A,MATCH($C1643,Roster!$B:$B,0))&amp;""),"—"))</f>
        <v/>
      </c>
      <c r="E1643" s="25">
        <f>IF($C1643="","",IFERROR(IF(INDEX(Roster!$C:$C,MATCH($C1643,Roster!$B:$B,0))="","",INDEX(Roster!$C:$C,MATCH($C1643,Roster!$B:$B,0))&amp;""),"—"))</f>
        <v/>
      </c>
      <c r="F1643" s="25">
        <f>IF($C1643="","",IFERROR(IF(INDEX(Roster!$D:$D,MATCH($C1643,Roster!$B:$B,0))="","",INDEX(Roster!$D:$D,MATCH($C1643,Roster!$B:$B,0))&amp;""),"—"))</f>
        <v/>
      </c>
      <c r="G1643" s="25">
        <f>IF($C1643="","",IFERROR(IF(INDEX(Roster!$E:$E,MATCH($C1643,Roster!$B:$B,0))="","",INDEX(Roster!$E:$E,MATCH($C1643,Roster!$B:$B,0))&amp;""),"—"))</f>
        <v/>
      </c>
      <c r="H1643" s="25">
        <f>IF($C1643="","",IFERROR(IF(INDEX(Roster!$F:$F,MATCH($C1643,Roster!$B:$B,0))="","",INDEX(Roster!$F:$F,MATCH($C1643,Roster!$B:$B,0))&amp;""),"—"))</f>
        <v/>
      </c>
      <c r="I1643" s="25">
        <f>IF($C1643="","",IFERROR(IF(INDEX(Roster!$G:$G,MATCH($C1643,Roster!$B:$B,0))="","",INDEX(Roster!$G:$G,MATCH($C1643,Roster!$B:$B,0))&amp;""),"—"))</f>
        <v/>
      </c>
      <c r="J1643" s="25">
        <f>IF($C1643="","",IFERROR(IF(INDEX(Roster!$I:$I,MATCH($C1643,Roster!$B:$B,0))="","",INDEX(Roster!$I:$I,MATCH($C1643,Roster!$B:$B,0))&amp;""),"—"))</f>
        <v/>
      </c>
      <c r="K1643">
        <f>IF($C1643="","",IFERROR(IF(INDEX(Roster!$J:$J,MATCH($C1643,Roster!$B:$B,0))="","",INDEX(Roster!$J:$J,MATCH($C1643,Roster!$B:$B,0))&amp;""),"—"))</f>
        <v/>
      </c>
      <c r="L1643">
        <f>IF($C1643="","",IFERROR(IF(INDEX(Roster!$K:$K,MATCH($C1643,Roster!$B:$B,0))="","",INDEX(Roster!$K:$K,MATCH($C1643,Roster!$B:$B,0))&amp;""),"—"))</f>
        <v/>
      </c>
      <c r="M1643" s="27" t="n"/>
      <c r="N1643" s="27" t="n"/>
      <c r="O1643" s="25">
        <f>IF($C1643="","",IF($P1643="","—",IF($P1643="Valid (Pass)","Valid","Invalid")))</f>
        <v/>
      </c>
      <c r="P1643" s="27" t="n"/>
      <c r="Q1643" s="27" t="n"/>
      <c r="R1643" s="27" t="n"/>
      <c r="S1643" s="27" t="n"/>
      <c r="T1643" s="25">
        <f>IF($C1643="","",IF(OR(ISNUMBER(SEARCH("quick case",$P1643)),ISNUMBER(SEARCH("quick case",$Q1643))),"Yes","No"))</f>
        <v/>
      </c>
      <c r="U1643" s="25">
        <f>IF($O1643="Invalid",HYPERLINK("mailto:"&amp;$G1643&amp;";"&amp;$I1643&amp;"?cc="&amp;Lists!$E$2&amp;"&amp;subject="&amp;_xlfn.ENCODEURL("[INVALID] Quality audit monitoring completed for "&amp;UPPER($C1643))&amp;"&amp;body="&amp;_xlfn.ENCODEURL("Hi "&amp;$F1643&amp;","&amp;CHAR(10)&amp;"Good day!"&amp;CHAR(10)&amp;CHAR(10)&amp;"A quality monitoring audit has been completed for "&amp;$C1643&amp;"."&amp;CHAR(10)&amp;CHAR(10)&amp;"QUALITY AUDIT DETAILS"&amp;CHAR(10)&amp;"Agent Name: "&amp;$C1643&amp;" (EID "&amp;$D1643&amp;")"&amp;CHAR(10)&amp;"Audit Date: "&amp;TEXT($B1643,"yyyy-mm-dd")&amp;CHAR(10)&amp;"Team Leader: "&amp;$F1643&amp;CHAR(10)&amp;"Case Number: "&amp;$M1643&amp;CHAR(10)&amp;"Transaction ID: "&amp;$N1643&amp;CHAR(10)&amp;"Channel / LOB: "&amp;$K1643&amp;" / "&amp;$L1643&amp;CHAR(10)&amp;"Evaluator: "&amp;$S1643&amp;CHAR(10)&amp;CHAR(10)&amp;"INVALID QUALITY AUDIT DETAILS"&amp;CHAR(10)&amp;"Validation: Invalid"&amp;CHAR(10)&amp;"Invalid Reason: "&amp;$P1643&amp;CHAR(10)&amp;"Expected Resolution Code: "&amp;$Q1643&amp;CHAR(10)&amp;"Remarks: "&amp;LEFT($R1643,600)&amp;CHAR(10)&amp;CHAR(10)&amp;"This is an automated notification from HP Mainstream EQMS."),"✉ Open Email Draft"),"")</f>
        <v/>
      </c>
    </row>
    <row r="1644">
      <c r="A1644" s="25">
        <f>IF($C1644="","","AUD-2026-"&amp;TEXT(ROW()-1,"000000"))</f>
        <v/>
      </c>
      <c r="B1644" s="26" t="n"/>
      <c r="C1644" s="27" t="n"/>
      <c r="D1644" s="25">
        <f>IF($C1644="","",IFERROR(IF(INDEX(Roster!$A:$A,MATCH($C1644,Roster!$B:$B,0))="","",INDEX(Roster!$A:$A,MATCH($C1644,Roster!$B:$B,0))&amp;""),"—"))</f>
        <v/>
      </c>
      <c r="E1644" s="25">
        <f>IF($C1644="","",IFERROR(IF(INDEX(Roster!$C:$C,MATCH($C1644,Roster!$B:$B,0))="","",INDEX(Roster!$C:$C,MATCH($C1644,Roster!$B:$B,0))&amp;""),"—"))</f>
        <v/>
      </c>
      <c r="F1644" s="25">
        <f>IF($C1644="","",IFERROR(IF(INDEX(Roster!$D:$D,MATCH($C1644,Roster!$B:$B,0))="","",INDEX(Roster!$D:$D,MATCH($C1644,Roster!$B:$B,0))&amp;""),"—"))</f>
        <v/>
      </c>
      <c r="G1644" s="25">
        <f>IF($C1644="","",IFERROR(IF(INDEX(Roster!$E:$E,MATCH($C1644,Roster!$B:$B,0))="","",INDEX(Roster!$E:$E,MATCH($C1644,Roster!$B:$B,0))&amp;""),"—"))</f>
        <v/>
      </c>
      <c r="H1644" s="25">
        <f>IF($C1644="","",IFERROR(IF(INDEX(Roster!$F:$F,MATCH($C1644,Roster!$B:$B,0))="","",INDEX(Roster!$F:$F,MATCH($C1644,Roster!$B:$B,0))&amp;""),"—"))</f>
        <v/>
      </c>
      <c r="I1644" s="25">
        <f>IF($C1644="","",IFERROR(IF(INDEX(Roster!$G:$G,MATCH($C1644,Roster!$B:$B,0))="","",INDEX(Roster!$G:$G,MATCH($C1644,Roster!$B:$B,0))&amp;""),"—"))</f>
        <v/>
      </c>
      <c r="J1644" s="25">
        <f>IF($C1644="","",IFERROR(IF(INDEX(Roster!$I:$I,MATCH($C1644,Roster!$B:$B,0))="","",INDEX(Roster!$I:$I,MATCH($C1644,Roster!$B:$B,0))&amp;""),"—"))</f>
        <v/>
      </c>
      <c r="K1644">
        <f>IF($C1644="","",IFERROR(IF(INDEX(Roster!$J:$J,MATCH($C1644,Roster!$B:$B,0))="","",INDEX(Roster!$J:$J,MATCH($C1644,Roster!$B:$B,0))&amp;""),"—"))</f>
        <v/>
      </c>
      <c r="L1644">
        <f>IF($C1644="","",IFERROR(IF(INDEX(Roster!$K:$K,MATCH($C1644,Roster!$B:$B,0))="","",INDEX(Roster!$K:$K,MATCH($C1644,Roster!$B:$B,0))&amp;""),"—"))</f>
        <v/>
      </c>
      <c r="M1644" s="27" t="n"/>
      <c r="N1644" s="27" t="n"/>
      <c r="O1644" s="25">
        <f>IF($C1644="","",IF($P1644="","—",IF($P1644="Valid (Pass)","Valid","Invalid")))</f>
        <v/>
      </c>
      <c r="P1644" s="27" t="n"/>
      <c r="Q1644" s="27" t="n"/>
      <c r="R1644" s="27" t="n"/>
      <c r="S1644" s="27" t="n"/>
      <c r="T1644" s="25">
        <f>IF($C1644="","",IF(OR(ISNUMBER(SEARCH("quick case",$P1644)),ISNUMBER(SEARCH("quick case",$Q1644))),"Yes","No"))</f>
        <v/>
      </c>
      <c r="U1644" s="25">
        <f>IF($O1644="Invalid",HYPERLINK("mailto:"&amp;$G1644&amp;";"&amp;$I1644&amp;"?cc="&amp;Lists!$E$2&amp;"&amp;subject="&amp;_xlfn.ENCODEURL("[INVALID] Quality audit monitoring completed for "&amp;UPPER($C1644))&amp;"&amp;body="&amp;_xlfn.ENCODEURL("Hi "&amp;$F1644&amp;","&amp;CHAR(10)&amp;"Good day!"&amp;CHAR(10)&amp;CHAR(10)&amp;"A quality monitoring audit has been completed for "&amp;$C1644&amp;"."&amp;CHAR(10)&amp;CHAR(10)&amp;"QUALITY AUDIT DETAILS"&amp;CHAR(10)&amp;"Agent Name: "&amp;$C1644&amp;" (EID "&amp;$D1644&amp;")"&amp;CHAR(10)&amp;"Audit Date: "&amp;TEXT($B1644,"yyyy-mm-dd")&amp;CHAR(10)&amp;"Team Leader: "&amp;$F1644&amp;CHAR(10)&amp;"Case Number: "&amp;$M1644&amp;CHAR(10)&amp;"Transaction ID: "&amp;$N1644&amp;CHAR(10)&amp;"Channel / LOB: "&amp;$K1644&amp;" / "&amp;$L1644&amp;CHAR(10)&amp;"Evaluator: "&amp;$S1644&amp;CHAR(10)&amp;CHAR(10)&amp;"INVALID QUALITY AUDIT DETAILS"&amp;CHAR(10)&amp;"Validation: Invalid"&amp;CHAR(10)&amp;"Invalid Reason: "&amp;$P1644&amp;CHAR(10)&amp;"Expected Resolution Code: "&amp;$Q1644&amp;CHAR(10)&amp;"Remarks: "&amp;LEFT($R1644,600)&amp;CHAR(10)&amp;CHAR(10)&amp;"This is an automated notification from HP Mainstream EQMS."),"✉ Open Email Draft"),"")</f>
        <v/>
      </c>
    </row>
    <row r="1645">
      <c r="A1645" s="25">
        <f>IF($C1645="","","AUD-2026-"&amp;TEXT(ROW()-1,"000000"))</f>
        <v/>
      </c>
      <c r="B1645" s="26" t="n"/>
      <c r="C1645" s="27" t="n"/>
      <c r="D1645" s="25">
        <f>IF($C1645="","",IFERROR(IF(INDEX(Roster!$A:$A,MATCH($C1645,Roster!$B:$B,0))="","",INDEX(Roster!$A:$A,MATCH($C1645,Roster!$B:$B,0))&amp;""),"—"))</f>
        <v/>
      </c>
      <c r="E1645" s="25">
        <f>IF($C1645="","",IFERROR(IF(INDEX(Roster!$C:$C,MATCH($C1645,Roster!$B:$B,0))="","",INDEX(Roster!$C:$C,MATCH($C1645,Roster!$B:$B,0))&amp;""),"—"))</f>
        <v/>
      </c>
      <c r="F1645" s="25">
        <f>IF($C1645="","",IFERROR(IF(INDEX(Roster!$D:$D,MATCH($C1645,Roster!$B:$B,0))="","",INDEX(Roster!$D:$D,MATCH($C1645,Roster!$B:$B,0))&amp;""),"—"))</f>
        <v/>
      </c>
      <c r="G1645" s="25">
        <f>IF($C1645="","",IFERROR(IF(INDEX(Roster!$E:$E,MATCH($C1645,Roster!$B:$B,0))="","",INDEX(Roster!$E:$E,MATCH($C1645,Roster!$B:$B,0))&amp;""),"—"))</f>
        <v/>
      </c>
      <c r="H1645" s="25">
        <f>IF($C1645="","",IFERROR(IF(INDEX(Roster!$F:$F,MATCH($C1645,Roster!$B:$B,0))="","",INDEX(Roster!$F:$F,MATCH($C1645,Roster!$B:$B,0))&amp;""),"—"))</f>
        <v/>
      </c>
      <c r="I1645" s="25">
        <f>IF($C1645="","",IFERROR(IF(INDEX(Roster!$G:$G,MATCH($C1645,Roster!$B:$B,0))="","",INDEX(Roster!$G:$G,MATCH($C1645,Roster!$B:$B,0))&amp;""),"—"))</f>
        <v/>
      </c>
      <c r="J1645" s="25">
        <f>IF($C1645="","",IFERROR(IF(INDEX(Roster!$I:$I,MATCH($C1645,Roster!$B:$B,0))="","",INDEX(Roster!$I:$I,MATCH($C1645,Roster!$B:$B,0))&amp;""),"—"))</f>
        <v/>
      </c>
      <c r="K1645">
        <f>IF($C1645="","",IFERROR(IF(INDEX(Roster!$J:$J,MATCH($C1645,Roster!$B:$B,0))="","",INDEX(Roster!$J:$J,MATCH($C1645,Roster!$B:$B,0))&amp;""),"—"))</f>
        <v/>
      </c>
      <c r="L1645">
        <f>IF($C1645="","",IFERROR(IF(INDEX(Roster!$K:$K,MATCH($C1645,Roster!$B:$B,0))="","",INDEX(Roster!$K:$K,MATCH($C1645,Roster!$B:$B,0))&amp;""),"—"))</f>
        <v/>
      </c>
      <c r="M1645" s="27" t="n"/>
      <c r="N1645" s="27" t="n"/>
      <c r="O1645" s="25">
        <f>IF($C1645="","",IF($P1645="","—",IF($P1645="Valid (Pass)","Valid","Invalid")))</f>
        <v/>
      </c>
      <c r="P1645" s="27" t="n"/>
      <c r="Q1645" s="27" t="n"/>
      <c r="R1645" s="27" t="n"/>
      <c r="S1645" s="27" t="n"/>
      <c r="T1645" s="25">
        <f>IF($C1645="","",IF(OR(ISNUMBER(SEARCH("quick case",$P1645)),ISNUMBER(SEARCH("quick case",$Q1645))),"Yes","No"))</f>
        <v/>
      </c>
      <c r="U1645" s="25">
        <f>IF($O1645="Invalid",HYPERLINK("mailto:"&amp;$G1645&amp;";"&amp;$I1645&amp;"?cc="&amp;Lists!$E$2&amp;"&amp;subject="&amp;_xlfn.ENCODEURL("[INVALID] Quality audit monitoring completed for "&amp;UPPER($C1645))&amp;"&amp;body="&amp;_xlfn.ENCODEURL("Hi "&amp;$F1645&amp;","&amp;CHAR(10)&amp;"Good day!"&amp;CHAR(10)&amp;CHAR(10)&amp;"A quality monitoring audit has been completed for "&amp;$C1645&amp;"."&amp;CHAR(10)&amp;CHAR(10)&amp;"QUALITY AUDIT DETAILS"&amp;CHAR(10)&amp;"Agent Name: "&amp;$C1645&amp;" (EID "&amp;$D1645&amp;")"&amp;CHAR(10)&amp;"Audit Date: "&amp;TEXT($B1645,"yyyy-mm-dd")&amp;CHAR(10)&amp;"Team Leader: "&amp;$F1645&amp;CHAR(10)&amp;"Case Number: "&amp;$M1645&amp;CHAR(10)&amp;"Transaction ID: "&amp;$N1645&amp;CHAR(10)&amp;"Channel / LOB: "&amp;$K1645&amp;" / "&amp;$L1645&amp;CHAR(10)&amp;"Evaluator: "&amp;$S1645&amp;CHAR(10)&amp;CHAR(10)&amp;"INVALID QUALITY AUDIT DETAILS"&amp;CHAR(10)&amp;"Validation: Invalid"&amp;CHAR(10)&amp;"Invalid Reason: "&amp;$P1645&amp;CHAR(10)&amp;"Expected Resolution Code: "&amp;$Q1645&amp;CHAR(10)&amp;"Remarks: "&amp;LEFT($R1645,600)&amp;CHAR(10)&amp;CHAR(10)&amp;"This is an automated notification from HP Mainstream EQMS."),"✉ Open Email Draft"),"")</f>
        <v/>
      </c>
    </row>
    <row r="1646">
      <c r="A1646" s="25">
        <f>IF($C1646="","","AUD-2026-"&amp;TEXT(ROW()-1,"000000"))</f>
        <v/>
      </c>
      <c r="B1646" s="26" t="n"/>
      <c r="C1646" s="27" t="n"/>
      <c r="D1646" s="25">
        <f>IF($C1646="","",IFERROR(IF(INDEX(Roster!$A:$A,MATCH($C1646,Roster!$B:$B,0))="","",INDEX(Roster!$A:$A,MATCH($C1646,Roster!$B:$B,0))&amp;""),"—"))</f>
        <v/>
      </c>
      <c r="E1646" s="25">
        <f>IF($C1646="","",IFERROR(IF(INDEX(Roster!$C:$C,MATCH($C1646,Roster!$B:$B,0))="","",INDEX(Roster!$C:$C,MATCH($C1646,Roster!$B:$B,0))&amp;""),"—"))</f>
        <v/>
      </c>
      <c r="F1646" s="25">
        <f>IF($C1646="","",IFERROR(IF(INDEX(Roster!$D:$D,MATCH($C1646,Roster!$B:$B,0))="","",INDEX(Roster!$D:$D,MATCH($C1646,Roster!$B:$B,0))&amp;""),"—"))</f>
        <v/>
      </c>
      <c r="G1646" s="25">
        <f>IF($C1646="","",IFERROR(IF(INDEX(Roster!$E:$E,MATCH($C1646,Roster!$B:$B,0))="","",INDEX(Roster!$E:$E,MATCH($C1646,Roster!$B:$B,0))&amp;""),"—"))</f>
        <v/>
      </c>
      <c r="H1646" s="25">
        <f>IF($C1646="","",IFERROR(IF(INDEX(Roster!$F:$F,MATCH($C1646,Roster!$B:$B,0))="","",INDEX(Roster!$F:$F,MATCH($C1646,Roster!$B:$B,0))&amp;""),"—"))</f>
        <v/>
      </c>
      <c r="I1646" s="25">
        <f>IF($C1646="","",IFERROR(IF(INDEX(Roster!$G:$G,MATCH($C1646,Roster!$B:$B,0))="","",INDEX(Roster!$G:$G,MATCH($C1646,Roster!$B:$B,0))&amp;""),"—"))</f>
        <v/>
      </c>
      <c r="J1646" s="25">
        <f>IF($C1646="","",IFERROR(IF(INDEX(Roster!$I:$I,MATCH($C1646,Roster!$B:$B,0))="","",INDEX(Roster!$I:$I,MATCH($C1646,Roster!$B:$B,0))&amp;""),"—"))</f>
        <v/>
      </c>
      <c r="K1646">
        <f>IF($C1646="","",IFERROR(IF(INDEX(Roster!$J:$J,MATCH($C1646,Roster!$B:$B,0))="","",INDEX(Roster!$J:$J,MATCH($C1646,Roster!$B:$B,0))&amp;""),"—"))</f>
        <v/>
      </c>
      <c r="L1646">
        <f>IF($C1646="","",IFERROR(IF(INDEX(Roster!$K:$K,MATCH($C1646,Roster!$B:$B,0))="","",INDEX(Roster!$K:$K,MATCH($C1646,Roster!$B:$B,0))&amp;""),"—"))</f>
        <v/>
      </c>
      <c r="M1646" s="27" t="n"/>
      <c r="N1646" s="27" t="n"/>
      <c r="O1646" s="25">
        <f>IF($C1646="","",IF($P1646="","—",IF($P1646="Valid (Pass)","Valid","Invalid")))</f>
        <v/>
      </c>
      <c r="P1646" s="27" t="n"/>
      <c r="Q1646" s="27" t="n"/>
      <c r="R1646" s="27" t="n"/>
      <c r="S1646" s="27" t="n"/>
      <c r="T1646" s="25">
        <f>IF($C1646="","",IF(OR(ISNUMBER(SEARCH("quick case",$P1646)),ISNUMBER(SEARCH("quick case",$Q1646))),"Yes","No"))</f>
        <v/>
      </c>
      <c r="U1646" s="25">
        <f>IF($O1646="Invalid",HYPERLINK("mailto:"&amp;$G1646&amp;";"&amp;$I1646&amp;"?cc="&amp;Lists!$E$2&amp;"&amp;subject="&amp;_xlfn.ENCODEURL("[INVALID] Quality audit monitoring completed for "&amp;UPPER($C1646))&amp;"&amp;body="&amp;_xlfn.ENCODEURL("Hi "&amp;$F1646&amp;","&amp;CHAR(10)&amp;"Good day!"&amp;CHAR(10)&amp;CHAR(10)&amp;"A quality monitoring audit has been completed for "&amp;$C1646&amp;"."&amp;CHAR(10)&amp;CHAR(10)&amp;"QUALITY AUDIT DETAILS"&amp;CHAR(10)&amp;"Agent Name: "&amp;$C1646&amp;" (EID "&amp;$D1646&amp;")"&amp;CHAR(10)&amp;"Audit Date: "&amp;TEXT($B1646,"yyyy-mm-dd")&amp;CHAR(10)&amp;"Team Leader: "&amp;$F1646&amp;CHAR(10)&amp;"Case Number: "&amp;$M1646&amp;CHAR(10)&amp;"Transaction ID: "&amp;$N1646&amp;CHAR(10)&amp;"Channel / LOB: "&amp;$K1646&amp;" / "&amp;$L1646&amp;CHAR(10)&amp;"Evaluator: "&amp;$S1646&amp;CHAR(10)&amp;CHAR(10)&amp;"INVALID QUALITY AUDIT DETAILS"&amp;CHAR(10)&amp;"Validation: Invalid"&amp;CHAR(10)&amp;"Invalid Reason: "&amp;$P1646&amp;CHAR(10)&amp;"Expected Resolution Code: "&amp;$Q1646&amp;CHAR(10)&amp;"Remarks: "&amp;LEFT($R1646,600)&amp;CHAR(10)&amp;CHAR(10)&amp;"This is an automated notification from HP Mainstream EQMS."),"✉ Open Email Draft"),"")</f>
        <v/>
      </c>
    </row>
    <row r="1647">
      <c r="A1647" s="25">
        <f>IF($C1647="","","AUD-2026-"&amp;TEXT(ROW()-1,"000000"))</f>
        <v/>
      </c>
      <c r="B1647" s="26" t="n"/>
      <c r="C1647" s="27" t="n"/>
      <c r="D1647" s="25">
        <f>IF($C1647="","",IFERROR(IF(INDEX(Roster!$A:$A,MATCH($C1647,Roster!$B:$B,0))="","",INDEX(Roster!$A:$A,MATCH($C1647,Roster!$B:$B,0))&amp;""),"—"))</f>
        <v/>
      </c>
      <c r="E1647" s="25">
        <f>IF($C1647="","",IFERROR(IF(INDEX(Roster!$C:$C,MATCH($C1647,Roster!$B:$B,0))="","",INDEX(Roster!$C:$C,MATCH($C1647,Roster!$B:$B,0))&amp;""),"—"))</f>
        <v/>
      </c>
      <c r="F1647" s="25">
        <f>IF($C1647="","",IFERROR(IF(INDEX(Roster!$D:$D,MATCH($C1647,Roster!$B:$B,0))="","",INDEX(Roster!$D:$D,MATCH($C1647,Roster!$B:$B,0))&amp;""),"—"))</f>
        <v/>
      </c>
      <c r="G1647" s="25">
        <f>IF($C1647="","",IFERROR(IF(INDEX(Roster!$E:$E,MATCH($C1647,Roster!$B:$B,0))="","",INDEX(Roster!$E:$E,MATCH($C1647,Roster!$B:$B,0))&amp;""),"—"))</f>
        <v/>
      </c>
      <c r="H1647" s="25">
        <f>IF($C1647="","",IFERROR(IF(INDEX(Roster!$F:$F,MATCH($C1647,Roster!$B:$B,0))="","",INDEX(Roster!$F:$F,MATCH($C1647,Roster!$B:$B,0))&amp;""),"—"))</f>
        <v/>
      </c>
      <c r="I1647" s="25">
        <f>IF($C1647="","",IFERROR(IF(INDEX(Roster!$G:$G,MATCH($C1647,Roster!$B:$B,0))="","",INDEX(Roster!$G:$G,MATCH($C1647,Roster!$B:$B,0))&amp;""),"—"))</f>
        <v/>
      </c>
      <c r="J1647" s="25">
        <f>IF($C1647="","",IFERROR(IF(INDEX(Roster!$I:$I,MATCH($C1647,Roster!$B:$B,0))="","",INDEX(Roster!$I:$I,MATCH($C1647,Roster!$B:$B,0))&amp;""),"—"))</f>
        <v/>
      </c>
      <c r="K1647">
        <f>IF($C1647="","",IFERROR(IF(INDEX(Roster!$J:$J,MATCH($C1647,Roster!$B:$B,0))="","",INDEX(Roster!$J:$J,MATCH($C1647,Roster!$B:$B,0))&amp;""),"—"))</f>
        <v/>
      </c>
      <c r="L1647">
        <f>IF($C1647="","",IFERROR(IF(INDEX(Roster!$K:$K,MATCH($C1647,Roster!$B:$B,0))="","",INDEX(Roster!$K:$K,MATCH($C1647,Roster!$B:$B,0))&amp;""),"—"))</f>
        <v/>
      </c>
      <c r="M1647" s="27" t="n"/>
      <c r="N1647" s="27" t="n"/>
      <c r="O1647" s="25">
        <f>IF($C1647="","",IF($P1647="","—",IF($P1647="Valid (Pass)","Valid","Invalid")))</f>
        <v/>
      </c>
      <c r="P1647" s="27" t="n"/>
      <c r="Q1647" s="27" t="n"/>
      <c r="R1647" s="27" t="n"/>
      <c r="S1647" s="27" t="n"/>
      <c r="T1647" s="25">
        <f>IF($C1647="","",IF(OR(ISNUMBER(SEARCH("quick case",$P1647)),ISNUMBER(SEARCH("quick case",$Q1647))),"Yes","No"))</f>
        <v/>
      </c>
      <c r="U1647" s="25">
        <f>IF($O1647="Invalid",HYPERLINK("mailto:"&amp;$G1647&amp;";"&amp;$I1647&amp;"?cc="&amp;Lists!$E$2&amp;"&amp;subject="&amp;_xlfn.ENCODEURL("[INVALID] Quality audit monitoring completed for "&amp;UPPER($C1647))&amp;"&amp;body="&amp;_xlfn.ENCODEURL("Hi "&amp;$F1647&amp;","&amp;CHAR(10)&amp;"Good day!"&amp;CHAR(10)&amp;CHAR(10)&amp;"A quality monitoring audit has been completed for "&amp;$C1647&amp;"."&amp;CHAR(10)&amp;CHAR(10)&amp;"QUALITY AUDIT DETAILS"&amp;CHAR(10)&amp;"Agent Name: "&amp;$C1647&amp;" (EID "&amp;$D1647&amp;")"&amp;CHAR(10)&amp;"Audit Date: "&amp;TEXT($B1647,"yyyy-mm-dd")&amp;CHAR(10)&amp;"Team Leader: "&amp;$F1647&amp;CHAR(10)&amp;"Case Number: "&amp;$M1647&amp;CHAR(10)&amp;"Transaction ID: "&amp;$N1647&amp;CHAR(10)&amp;"Channel / LOB: "&amp;$K1647&amp;" / "&amp;$L1647&amp;CHAR(10)&amp;"Evaluator: "&amp;$S1647&amp;CHAR(10)&amp;CHAR(10)&amp;"INVALID QUALITY AUDIT DETAILS"&amp;CHAR(10)&amp;"Validation: Invalid"&amp;CHAR(10)&amp;"Invalid Reason: "&amp;$P1647&amp;CHAR(10)&amp;"Expected Resolution Code: "&amp;$Q1647&amp;CHAR(10)&amp;"Remarks: "&amp;LEFT($R1647,600)&amp;CHAR(10)&amp;CHAR(10)&amp;"This is an automated notification from HP Mainstream EQMS."),"✉ Open Email Draft"),"")</f>
        <v/>
      </c>
    </row>
    <row r="1648">
      <c r="A1648" s="25">
        <f>IF($C1648="","","AUD-2026-"&amp;TEXT(ROW()-1,"000000"))</f>
        <v/>
      </c>
      <c r="B1648" s="26" t="n"/>
      <c r="C1648" s="27" t="n"/>
      <c r="D1648" s="25">
        <f>IF($C1648="","",IFERROR(IF(INDEX(Roster!$A:$A,MATCH($C1648,Roster!$B:$B,0))="","",INDEX(Roster!$A:$A,MATCH($C1648,Roster!$B:$B,0))&amp;""),"—"))</f>
        <v/>
      </c>
      <c r="E1648" s="25">
        <f>IF($C1648="","",IFERROR(IF(INDEX(Roster!$C:$C,MATCH($C1648,Roster!$B:$B,0))="","",INDEX(Roster!$C:$C,MATCH($C1648,Roster!$B:$B,0))&amp;""),"—"))</f>
        <v/>
      </c>
      <c r="F1648" s="25">
        <f>IF($C1648="","",IFERROR(IF(INDEX(Roster!$D:$D,MATCH($C1648,Roster!$B:$B,0))="","",INDEX(Roster!$D:$D,MATCH($C1648,Roster!$B:$B,0))&amp;""),"—"))</f>
        <v/>
      </c>
      <c r="G1648" s="25">
        <f>IF($C1648="","",IFERROR(IF(INDEX(Roster!$E:$E,MATCH($C1648,Roster!$B:$B,0))="","",INDEX(Roster!$E:$E,MATCH($C1648,Roster!$B:$B,0))&amp;""),"—"))</f>
        <v/>
      </c>
      <c r="H1648" s="25">
        <f>IF($C1648="","",IFERROR(IF(INDEX(Roster!$F:$F,MATCH($C1648,Roster!$B:$B,0))="","",INDEX(Roster!$F:$F,MATCH($C1648,Roster!$B:$B,0))&amp;""),"—"))</f>
        <v/>
      </c>
      <c r="I1648" s="25">
        <f>IF($C1648="","",IFERROR(IF(INDEX(Roster!$G:$G,MATCH($C1648,Roster!$B:$B,0))="","",INDEX(Roster!$G:$G,MATCH($C1648,Roster!$B:$B,0))&amp;""),"—"))</f>
        <v/>
      </c>
      <c r="J1648" s="25">
        <f>IF($C1648="","",IFERROR(IF(INDEX(Roster!$I:$I,MATCH($C1648,Roster!$B:$B,0))="","",INDEX(Roster!$I:$I,MATCH($C1648,Roster!$B:$B,0))&amp;""),"—"))</f>
        <v/>
      </c>
      <c r="K1648">
        <f>IF($C1648="","",IFERROR(IF(INDEX(Roster!$J:$J,MATCH($C1648,Roster!$B:$B,0))="","",INDEX(Roster!$J:$J,MATCH($C1648,Roster!$B:$B,0))&amp;""),"—"))</f>
        <v/>
      </c>
      <c r="L1648">
        <f>IF($C1648="","",IFERROR(IF(INDEX(Roster!$K:$K,MATCH($C1648,Roster!$B:$B,0))="","",INDEX(Roster!$K:$K,MATCH($C1648,Roster!$B:$B,0))&amp;""),"—"))</f>
        <v/>
      </c>
      <c r="M1648" s="27" t="n"/>
      <c r="N1648" s="27" t="n"/>
      <c r="O1648" s="25">
        <f>IF($C1648="","",IF($P1648="","—",IF($P1648="Valid (Pass)","Valid","Invalid")))</f>
        <v/>
      </c>
      <c r="P1648" s="27" t="n"/>
      <c r="Q1648" s="27" t="n"/>
      <c r="R1648" s="27" t="n"/>
      <c r="S1648" s="27" t="n"/>
      <c r="T1648" s="25">
        <f>IF($C1648="","",IF(OR(ISNUMBER(SEARCH("quick case",$P1648)),ISNUMBER(SEARCH("quick case",$Q1648))),"Yes","No"))</f>
        <v/>
      </c>
      <c r="U1648" s="25">
        <f>IF($O1648="Invalid",HYPERLINK("mailto:"&amp;$G1648&amp;";"&amp;$I1648&amp;"?cc="&amp;Lists!$E$2&amp;"&amp;subject="&amp;_xlfn.ENCODEURL("[INVALID] Quality audit monitoring completed for "&amp;UPPER($C1648))&amp;"&amp;body="&amp;_xlfn.ENCODEURL("Hi "&amp;$F1648&amp;","&amp;CHAR(10)&amp;"Good day!"&amp;CHAR(10)&amp;CHAR(10)&amp;"A quality monitoring audit has been completed for "&amp;$C1648&amp;"."&amp;CHAR(10)&amp;CHAR(10)&amp;"QUALITY AUDIT DETAILS"&amp;CHAR(10)&amp;"Agent Name: "&amp;$C1648&amp;" (EID "&amp;$D1648&amp;")"&amp;CHAR(10)&amp;"Audit Date: "&amp;TEXT($B1648,"yyyy-mm-dd")&amp;CHAR(10)&amp;"Team Leader: "&amp;$F1648&amp;CHAR(10)&amp;"Case Number: "&amp;$M1648&amp;CHAR(10)&amp;"Transaction ID: "&amp;$N1648&amp;CHAR(10)&amp;"Channel / LOB: "&amp;$K1648&amp;" / "&amp;$L1648&amp;CHAR(10)&amp;"Evaluator: "&amp;$S1648&amp;CHAR(10)&amp;CHAR(10)&amp;"INVALID QUALITY AUDIT DETAILS"&amp;CHAR(10)&amp;"Validation: Invalid"&amp;CHAR(10)&amp;"Invalid Reason: "&amp;$P1648&amp;CHAR(10)&amp;"Expected Resolution Code: "&amp;$Q1648&amp;CHAR(10)&amp;"Remarks: "&amp;LEFT($R1648,600)&amp;CHAR(10)&amp;CHAR(10)&amp;"This is an automated notification from HP Mainstream EQMS."),"✉ Open Email Draft"),"")</f>
        <v/>
      </c>
    </row>
    <row r="1649">
      <c r="A1649" s="25">
        <f>IF($C1649="","","AUD-2026-"&amp;TEXT(ROW()-1,"000000"))</f>
        <v/>
      </c>
      <c r="B1649" s="26" t="n"/>
      <c r="C1649" s="27" t="n"/>
      <c r="D1649" s="25">
        <f>IF($C1649="","",IFERROR(IF(INDEX(Roster!$A:$A,MATCH($C1649,Roster!$B:$B,0))="","",INDEX(Roster!$A:$A,MATCH($C1649,Roster!$B:$B,0))&amp;""),"—"))</f>
        <v/>
      </c>
      <c r="E1649" s="25">
        <f>IF($C1649="","",IFERROR(IF(INDEX(Roster!$C:$C,MATCH($C1649,Roster!$B:$B,0))="","",INDEX(Roster!$C:$C,MATCH($C1649,Roster!$B:$B,0))&amp;""),"—"))</f>
        <v/>
      </c>
      <c r="F1649" s="25">
        <f>IF($C1649="","",IFERROR(IF(INDEX(Roster!$D:$D,MATCH($C1649,Roster!$B:$B,0))="","",INDEX(Roster!$D:$D,MATCH($C1649,Roster!$B:$B,0))&amp;""),"—"))</f>
        <v/>
      </c>
      <c r="G1649" s="25">
        <f>IF($C1649="","",IFERROR(IF(INDEX(Roster!$E:$E,MATCH($C1649,Roster!$B:$B,0))="","",INDEX(Roster!$E:$E,MATCH($C1649,Roster!$B:$B,0))&amp;""),"—"))</f>
        <v/>
      </c>
      <c r="H1649" s="25">
        <f>IF($C1649="","",IFERROR(IF(INDEX(Roster!$F:$F,MATCH($C1649,Roster!$B:$B,0))="","",INDEX(Roster!$F:$F,MATCH($C1649,Roster!$B:$B,0))&amp;""),"—"))</f>
        <v/>
      </c>
      <c r="I1649" s="25">
        <f>IF($C1649="","",IFERROR(IF(INDEX(Roster!$G:$G,MATCH($C1649,Roster!$B:$B,0))="","",INDEX(Roster!$G:$G,MATCH($C1649,Roster!$B:$B,0))&amp;""),"—"))</f>
        <v/>
      </c>
      <c r="J1649" s="25">
        <f>IF($C1649="","",IFERROR(IF(INDEX(Roster!$I:$I,MATCH($C1649,Roster!$B:$B,0))="","",INDEX(Roster!$I:$I,MATCH($C1649,Roster!$B:$B,0))&amp;""),"—"))</f>
        <v/>
      </c>
      <c r="K1649">
        <f>IF($C1649="","",IFERROR(IF(INDEX(Roster!$J:$J,MATCH($C1649,Roster!$B:$B,0))="","",INDEX(Roster!$J:$J,MATCH($C1649,Roster!$B:$B,0))&amp;""),"—"))</f>
        <v/>
      </c>
      <c r="L1649">
        <f>IF($C1649="","",IFERROR(IF(INDEX(Roster!$K:$K,MATCH($C1649,Roster!$B:$B,0))="","",INDEX(Roster!$K:$K,MATCH($C1649,Roster!$B:$B,0))&amp;""),"—"))</f>
        <v/>
      </c>
      <c r="M1649" s="27" t="n"/>
      <c r="N1649" s="27" t="n"/>
      <c r="O1649" s="25">
        <f>IF($C1649="","",IF($P1649="","—",IF($P1649="Valid (Pass)","Valid","Invalid")))</f>
        <v/>
      </c>
      <c r="P1649" s="27" t="n"/>
      <c r="Q1649" s="27" t="n"/>
      <c r="R1649" s="27" t="n"/>
      <c r="S1649" s="27" t="n"/>
      <c r="T1649" s="25">
        <f>IF($C1649="","",IF(OR(ISNUMBER(SEARCH("quick case",$P1649)),ISNUMBER(SEARCH("quick case",$Q1649))),"Yes","No"))</f>
        <v/>
      </c>
      <c r="U1649" s="25">
        <f>IF($O1649="Invalid",HYPERLINK("mailto:"&amp;$G1649&amp;";"&amp;$I1649&amp;"?cc="&amp;Lists!$E$2&amp;"&amp;subject="&amp;_xlfn.ENCODEURL("[INVALID] Quality audit monitoring completed for "&amp;UPPER($C1649))&amp;"&amp;body="&amp;_xlfn.ENCODEURL("Hi "&amp;$F1649&amp;","&amp;CHAR(10)&amp;"Good day!"&amp;CHAR(10)&amp;CHAR(10)&amp;"A quality monitoring audit has been completed for "&amp;$C1649&amp;"."&amp;CHAR(10)&amp;CHAR(10)&amp;"QUALITY AUDIT DETAILS"&amp;CHAR(10)&amp;"Agent Name: "&amp;$C1649&amp;" (EID "&amp;$D1649&amp;")"&amp;CHAR(10)&amp;"Audit Date: "&amp;TEXT($B1649,"yyyy-mm-dd")&amp;CHAR(10)&amp;"Team Leader: "&amp;$F1649&amp;CHAR(10)&amp;"Case Number: "&amp;$M1649&amp;CHAR(10)&amp;"Transaction ID: "&amp;$N1649&amp;CHAR(10)&amp;"Channel / LOB: "&amp;$K1649&amp;" / "&amp;$L1649&amp;CHAR(10)&amp;"Evaluator: "&amp;$S1649&amp;CHAR(10)&amp;CHAR(10)&amp;"INVALID QUALITY AUDIT DETAILS"&amp;CHAR(10)&amp;"Validation: Invalid"&amp;CHAR(10)&amp;"Invalid Reason: "&amp;$P1649&amp;CHAR(10)&amp;"Expected Resolution Code: "&amp;$Q1649&amp;CHAR(10)&amp;"Remarks: "&amp;LEFT($R1649,600)&amp;CHAR(10)&amp;CHAR(10)&amp;"This is an automated notification from HP Mainstream EQMS."),"✉ Open Email Draft"),"")</f>
        <v/>
      </c>
    </row>
    <row r="1650">
      <c r="A1650" s="25">
        <f>IF($C1650="","","AUD-2026-"&amp;TEXT(ROW()-1,"000000"))</f>
        <v/>
      </c>
      <c r="B1650" s="26" t="n"/>
      <c r="C1650" s="27" t="n"/>
      <c r="D1650" s="25">
        <f>IF($C1650="","",IFERROR(IF(INDEX(Roster!$A:$A,MATCH($C1650,Roster!$B:$B,0))="","",INDEX(Roster!$A:$A,MATCH($C1650,Roster!$B:$B,0))&amp;""),"—"))</f>
        <v/>
      </c>
      <c r="E1650" s="25">
        <f>IF($C1650="","",IFERROR(IF(INDEX(Roster!$C:$C,MATCH($C1650,Roster!$B:$B,0))="","",INDEX(Roster!$C:$C,MATCH($C1650,Roster!$B:$B,0))&amp;""),"—"))</f>
        <v/>
      </c>
      <c r="F1650" s="25">
        <f>IF($C1650="","",IFERROR(IF(INDEX(Roster!$D:$D,MATCH($C1650,Roster!$B:$B,0))="","",INDEX(Roster!$D:$D,MATCH($C1650,Roster!$B:$B,0))&amp;""),"—"))</f>
        <v/>
      </c>
      <c r="G1650" s="25">
        <f>IF($C1650="","",IFERROR(IF(INDEX(Roster!$E:$E,MATCH($C1650,Roster!$B:$B,0))="","",INDEX(Roster!$E:$E,MATCH($C1650,Roster!$B:$B,0))&amp;""),"—"))</f>
        <v/>
      </c>
      <c r="H1650" s="25">
        <f>IF($C1650="","",IFERROR(IF(INDEX(Roster!$F:$F,MATCH($C1650,Roster!$B:$B,0))="","",INDEX(Roster!$F:$F,MATCH($C1650,Roster!$B:$B,0))&amp;""),"—"))</f>
        <v/>
      </c>
      <c r="I1650" s="25">
        <f>IF($C1650="","",IFERROR(IF(INDEX(Roster!$G:$G,MATCH($C1650,Roster!$B:$B,0))="","",INDEX(Roster!$G:$G,MATCH($C1650,Roster!$B:$B,0))&amp;""),"—"))</f>
        <v/>
      </c>
      <c r="J1650" s="25">
        <f>IF($C1650="","",IFERROR(IF(INDEX(Roster!$I:$I,MATCH($C1650,Roster!$B:$B,0))="","",INDEX(Roster!$I:$I,MATCH($C1650,Roster!$B:$B,0))&amp;""),"—"))</f>
        <v/>
      </c>
      <c r="K1650">
        <f>IF($C1650="","",IFERROR(IF(INDEX(Roster!$J:$J,MATCH($C1650,Roster!$B:$B,0))="","",INDEX(Roster!$J:$J,MATCH($C1650,Roster!$B:$B,0))&amp;""),"—"))</f>
        <v/>
      </c>
      <c r="L1650">
        <f>IF($C1650="","",IFERROR(IF(INDEX(Roster!$K:$K,MATCH($C1650,Roster!$B:$B,0))="","",INDEX(Roster!$K:$K,MATCH($C1650,Roster!$B:$B,0))&amp;""),"—"))</f>
        <v/>
      </c>
      <c r="M1650" s="27" t="n"/>
      <c r="N1650" s="27" t="n"/>
      <c r="O1650" s="25">
        <f>IF($C1650="","",IF($P1650="","—",IF($P1650="Valid (Pass)","Valid","Invalid")))</f>
        <v/>
      </c>
      <c r="P1650" s="27" t="n"/>
      <c r="Q1650" s="27" t="n"/>
      <c r="R1650" s="27" t="n"/>
      <c r="S1650" s="27" t="n"/>
      <c r="T1650" s="25">
        <f>IF($C1650="","",IF(OR(ISNUMBER(SEARCH("quick case",$P1650)),ISNUMBER(SEARCH("quick case",$Q1650))),"Yes","No"))</f>
        <v/>
      </c>
      <c r="U1650" s="25">
        <f>IF($O1650="Invalid",HYPERLINK("mailto:"&amp;$G1650&amp;";"&amp;$I1650&amp;"?cc="&amp;Lists!$E$2&amp;"&amp;subject="&amp;_xlfn.ENCODEURL("[INVALID] Quality audit monitoring completed for "&amp;UPPER($C1650))&amp;"&amp;body="&amp;_xlfn.ENCODEURL("Hi "&amp;$F1650&amp;","&amp;CHAR(10)&amp;"Good day!"&amp;CHAR(10)&amp;CHAR(10)&amp;"A quality monitoring audit has been completed for "&amp;$C1650&amp;"."&amp;CHAR(10)&amp;CHAR(10)&amp;"QUALITY AUDIT DETAILS"&amp;CHAR(10)&amp;"Agent Name: "&amp;$C1650&amp;" (EID "&amp;$D1650&amp;")"&amp;CHAR(10)&amp;"Audit Date: "&amp;TEXT($B1650,"yyyy-mm-dd")&amp;CHAR(10)&amp;"Team Leader: "&amp;$F1650&amp;CHAR(10)&amp;"Case Number: "&amp;$M1650&amp;CHAR(10)&amp;"Transaction ID: "&amp;$N1650&amp;CHAR(10)&amp;"Channel / LOB: "&amp;$K1650&amp;" / "&amp;$L1650&amp;CHAR(10)&amp;"Evaluator: "&amp;$S1650&amp;CHAR(10)&amp;CHAR(10)&amp;"INVALID QUALITY AUDIT DETAILS"&amp;CHAR(10)&amp;"Validation: Invalid"&amp;CHAR(10)&amp;"Invalid Reason: "&amp;$P1650&amp;CHAR(10)&amp;"Expected Resolution Code: "&amp;$Q1650&amp;CHAR(10)&amp;"Remarks: "&amp;LEFT($R1650,600)&amp;CHAR(10)&amp;CHAR(10)&amp;"This is an automated notification from HP Mainstream EQMS."),"✉ Open Email Draft"),"")</f>
        <v/>
      </c>
    </row>
    <row r="1651">
      <c r="A1651" s="25">
        <f>IF($C1651="","","AUD-2026-"&amp;TEXT(ROW()-1,"000000"))</f>
        <v/>
      </c>
      <c r="B1651" s="26" t="n"/>
      <c r="C1651" s="27" t="n"/>
      <c r="D1651" s="25">
        <f>IF($C1651="","",IFERROR(IF(INDEX(Roster!$A:$A,MATCH($C1651,Roster!$B:$B,0))="","",INDEX(Roster!$A:$A,MATCH($C1651,Roster!$B:$B,0))&amp;""),"—"))</f>
        <v/>
      </c>
      <c r="E1651" s="25">
        <f>IF($C1651="","",IFERROR(IF(INDEX(Roster!$C:$C,MATCH($C1651,Roster!$B:$B,0))="","",INDEX(Roster!$C:$C,MATCH($C1651,Roster!$B:$B,0))&amp;""),"—"))</f>
        <v/>
      </c>
      <c r="F1651" s="25">
        <f>IF($C1651="","",IFERROR(IF(INDEX(Roster!$D:$D,MATCH($C1651,Roster!$B:$B,0))="","",INDEX(Roster!$D:$D,MATCH($C1651,Roster!$B:$B,0))&amp;""),"—"))</f>
        <v/>
      </c>
      <c r="G1651" s="25">
        <f>IF($C1651="","",IFERROR(IF(INDEX(Roster!$E:$E,MATCH($C1651,Roster!$B:$B,0))="","",INDEX(Roster!$E:$E,MATCH($C1651,Roster!$B:$B,0))&amp;""),"—"))</f>
        <v/>
      </c>
      <c r="H1651" s="25">
        <f>IF($C1651="","",IFERROR(IF(INDEX(Roster!$F:$F,MATCH($C1651,Roster!$B:$B,0))="","",INDEX(Roster!$F:$F,MATCH($C1651,Roster!$B:$B,0))&amp;""),"—"))</f>
        <v/>
      </c>
      <c r="I1651" s="25">
        <f>IF($C1651="","",IFERROR(IF(INDEX(Roster!$G:$G,MATCH($C1651,Roster!$B:$B,0))="","",INDEX(Roster!$G:$G,MATCH($C1651,Roster!$B:$B,0))&amp;""),"—"))</f>
        <v/>
      </c>
      <c r="J1651" s="25">
        <f>IF($C1651="","",IFERROR(IF(INDEX(Roster!$I:$I,MATCH($C1651,Roster!$B:$B,0))="","",INDEX(Roster!$I:$I,MATCH($C1651,Roster!$B:$B,0))&amp;""),"—"))</f>
        <v/>
      </c>
      <c r="K1651">
        <f>IF($C1651="","",IFERROR(IF(INDEX(Roster!$J:$J,MATCH($C1651,Roster!$B:$B,0))="","",INDEX(Roster!$J:$J,MATCH($C1651,Roster!$B:$B,0))&amp;""),"—"))</f>
        <v/>
      </c>
      <c r="L1651">
        <f>IF($C1651="","",IFERROR(IF(INDEX(Roster!$K:$K,MATCH($C1651,Roster!$B:$B,0))="","",INDEX(Roster!$K:$K,MATCH($C1651,Roster!$B:$B,0))&amp;""),"—"))</f>
        <v/>
      </c>
      <c r="M1651" s="27" t="n"/>
      <c r="N1651" s="27" t="n"/>
      <c r="O1651" s="25">
        <f>IF($C1651="","",IF($P1651="","—",IF($P1651="Valid (Pass)","Valid","Invalid")))</f>
        <v/>
      </c>
      <c r="P1651" s="27" t="n"/>
      <c r="Q1651" s="27" t="n"/>
      <c r="R1651" s="27" t="n"/>
      <c r="S1651" s="27" t="n"/>
      <c r="T1651" s="25">
        <f>IF($C1651="","",IF(OR(ISNUMBER(SEARCH("quick case",$P1651)),ISNUMBER(SEARCH("quick case",$Q1651))),"Yes","No"))</f>
        <v/>
      </c>
      <c r="U1651" s="25">
        <f>IF($O1651="Invalid",HYPERLINK("mailto:"&amp;$G1651&amp;";"&amp;$I1651&amp;"?cc="&amp;Lists!$E$2&amp;"&amp;subject="&amp;_xlfn.ENCODEURL("[INVALID] Quality audit monitoring completed for "&amp;UPPER($C1651))&amp;"&amp;body="&amp;_xlfn.ENCODEURL("Hi "&amp;$F1651&amp;","&amp;CHAR(10)&amp;"Good day!"&amp;CHAR(10)&amp;CHAR(10)&amp;"A quality monitoring audit has been completed for "&amp;$C1651&amp;"."&amp;CHAR(10)&amp;CHAR(10)&amp;"QUALITY AUDIT DETAILS"&amp;CHAR(10)&amp;"Agent Name: "&amp;$C1651&amp;" (EID "&amp;$D1651&amp;")"&amp;CHAR(10)&amp;"Audit Date: "&amp;TEXT($B1651,"yyyy-mm-dd")&amp;CHAR(10)&amp;"Team Leader: "&amp;$F1651&amp;CHAR(10)&amp;"Case Number: "&amp;$M1651&amp;CHAR(10)&amp;"Transaction ID: "&amp;$N1651&amp;CHAR(10)&amp;"Channel / LOB: "&amp;$K1651&amp;" / "&amp;$L1651&amp;CHAR(10)&amp;"Evaluator: "&amp;$S1651&amp;CHAR(10)&amp;CHAR(10)&amp;"INVALID QUALITY AUDIT DETAILS"&amp;CHAR(10)&amp;"Validation: Invalid"&amp;CHAR(10)&amp;"Invalid Reason: "&amp;$P1651&amp;CHAR(10)&amp;"Expected Resolution Code: "&amp;$Q1651&amp;CHAR(10)&amp;"Remarks: "&amp;LEFT($R1651,600)&amp;CHAR(10)&amp;CHAR(10)&amp;"This is an automated notification from HP Mainstream EQMS."),"✉ Open Email Draft"),"")</f>
        <v/>
      </c>
    </row>
    <row r="1652">
      <c r="A1652" s="25">
        <f>IF($C1652="","","AUD-2026-"&amp;TEXT(ROW()-1,"000000"))</f>
        <v/>
      </c>
      <c r="B1652" s="26" t="n"/>
      <c r="C1652" s="27" t="n"/>
      <c r="D1652" s="25">
        <f>IF($C1652="","",IFERROR(IF(INDEX(Roster!$A:$A,MATCH($C1652,Roster!$B:$B,0))="","",INDEX(Roster!$A:$A,MATCH($C1652,Roster!$B:$B,0))&amp;""),"—"))</f>
        <v/>
      </c>
      <c r="E1652" s="25">
        <f>IF($C1652="","",IFERROR(IF(INDEX(Roster!$C:$C,MATCH($C1652,Roster!$B:$B,0))="","",INDEX(Roster!$C:$C,MATCH($C1652,Roster!$B:$B,0))&amp;""),"—"))</f>
        <v/>
      </c>
      <c r="F1652" s="25">
        <f>IF($C1652="","",IFERROR(IF(INDEX(Roster!$D:$D,MATCH($C1652,Roster!$B:$B,0))="","",INDEX(Roster!$D:$D,MATCH($C1652,Roster!$B:$B,0))&amp;""),"—"))</f>
        <v/>
      </c>
      <c r="G1652" s="25">
        <f>IF($C1652="","",IFERROR(IF(INDEX(Roster!$E:$E,MATCH($C1652,Roster!$B:$B,0))="","",INDEX(Roster!$E:$E,MATCH($C1652,Roster!$B:$B,0))&amp;""),"—"))</f>
        <v/>
      </c>
      <c r="H1652" s="25">
        <f>IF($C1652="","",IFERROR(IF(INDEX(Roster!$F:$F,MATCH($C1652,Roster!$B:$B,0))="","",INDEX(Roster!$F:$F,MATCH($C1652,Roster!$B:$B,0))&amp;""),"—"))</f>
        <v/>
      </c>
      <c r="I1652" s="25">
        <f>IF($C1652="","",IFERROR(IF(INDEX(Roster!$G:$G,MATCH($C1652,Roster!$B:$B,0))="","",INDEX(Roster!$G:$G,MATCH($C1652,Roster!$B:$B,0))&amp;""),"—"))</f>
        <v/>
      </c>
      <c r="J1652" s="25">
        <f>IF($C1652="","",IFERROR(IF(INDEX(Roster!$I:$I,MATCH($C1652,Roster!$B:$B,0))="","",INDEX(Roster!$I:$I,MATCH($C1652,Roster!$B:$B,0))&amp;""),"—"))</f>
        <v/>
      </c>
      <c r="K1652">
        <f>IF($C1652="","",IFERROR(IF(INDEX(Roster!$J:$J,MATCH($C1652,Roster!$B:$B,0))="","",INDEX(Roster!$J:$J,MATCH($C1652,Roster!$B:$B,0))&amp;""),"—"))</f>
        <v/>
      </c>
      <c r="L1652">
        <f>IF($C1652="","",IFERROR(IF(INDEX(Roster!$K:$K,MATCH($C1652,Roster!$B:$B,0))="","",INDEX(Roster!$K:$K,MATCH($C1652,Roster!$B:$B,0))&amp;""),"—"))</f>
        <v/>
      </c>
      <c r="M1652" s="27" t="n"/>
      <c r="N1652" s="27" t="n"/>
      <c r="O1652" s="25">
        <f>IF($C1652="","",IF($P1652="","—",IF($P1652="Valid (Pass)","Valid","Invalid")))</f>
        <v/>
      </c>
      <c r="P1652" s="27" t="n"/>
      <c r="Q1652" s="27" t="n"/>
      <c r="R1652" s="27" t="n"/>
      <c r="S1652" s="27" t="n"/>
      <c r="T1652" s="25">
        <f>IF($C1652="","",IF(OR(ISNUMBER(SEARCH("quick case",$P1652)),ISNUMBER(SEARCH("quick case",$Q1652))),"Yes","No"))</f>
        <v/>
      </c>
      <c r="U1652" s="25">
        <f>IF($O1652="Invalid",HYPERLINK("mailto:"&amp;$G1652&amp;";"&amp;$I1652&amp;"?cc="&amp;Lists!$E$2&amp;"&amp;subject="&amp;_xlfn.ENCODEURL("[INVALID] Quality audit monitoring completed for "&amp;UPPER($C1652))&amp;"&amp;body="&amp;_xlfn.ENCODEURL("Hi "&amp;$F1652&amp;","&amp;CHAR(10)&amp;"Good day!"&amp;CHAR(10)&amp;CHAR(10)&amp;"A quality monitoring audit has been completed for "&amp;$C1652&amp;"."&amp;CHAR(10)&amp;CHAR(10)&amp;"QUALITY AUDIT DETAILS"&amp;CHAR(10)&amp;"Agent Name: "&amp;$C1652&amp;" (EID "&amp;$D1652&amp;")"&amp;CHAR(10)&amp;"Audit Date: "&amp;TEXT($B1652,"yyyy-mm-dd")&amp;CHAR(10)&amp;"Team Leader: "&amp;$F1652&amp;CHAR(10)&amp;"Case Number: "&amp;$M1652&amp;CHAR(10)&amp;"Transaction ID: "&amp;$N1652&amp;CHAR(10)&amp;"Channel / LOB: "&amp;$K1652&amp;" / "&amp;$L1652&amp;CHAR(10)&amp;"Evaluator: "&amp;$S1652&amp;CHAR(10)&amp;CHAR(10)&amp;"INVALID QUALITY AUDIT DETAILS"&amp;CHAR(10)&amp;"Validation: Invalid"&amp;CHAR(10)&amp;"Invalid Reason: "&amp;$P1652&amp;CHAR(10)&amp;"Expected Resolution Code: "&amp;$Q1652&amp;CHAR(10)&amp;"Remarks: "&amp;LEFT($R1652,600)&amp;CHAR(10)&amp;CHAR(10)&amp;"This is an automated notification from HP Mainstream EQMS."),"✉ Open Email Draft"),"")</f>
        <v/>
      </c>
    </row>
    <row r="1653">
      <c r="A1653" s="25">
        <f>IF($C1653="","","AUD-2026-"&amp;TEXT(ROW()-1,"000000"))</f>
        <v/>
      </c>
      <c r="B1653" s="26" t="n"/>
      <c r="C1653" s="27" t="n"/>
      <c r="D1653" s="25">
        <f>IF($C1653="","",IFERROR(IF(INDEX(Roster!$A:$A,MATCH($C1653,Roster!$B:$B,0))="","",INDEX(Roster!$A:$A,MATCH($C1653,Roster!$B:$B,0))&amp;""),"—"))</f>
        <v/>
      </c>
      <c r="E1653" s="25">
        <f>IF($C1653="","",IFERROR(IF(INDEX(Roster!$C:$C,MATCH($C1653,Roster!$B:$B,0))="","",INDEX(Roster!$C:$C,MATCH($C1653,Roster!$B:$B,0))&amp;""),"—"))</f>
        <v/>
      </c>
      <c r="F1653" s="25">
        <f>IF($C1653="","",IFERROR(IF(INDEX(Roster!$D:$D,MATCH($C1653,Roster!$B:$B,0))="","",INDEX(Roster!$D:$D,MATCH($C1653,Roster!$B:$B,0))&amp;""),"—"))</f>
        <v/>
      </c>
      <c r="G1653" s="25">
        <f>IF($C1653="","",IFERROR(IF(INDEX(Roster!$E:$E,MATCH($C1653,Roster!$B:$B,0))="","",INDEX(Roster!$E:$E,MATCH($C1653,Roster!$B:$B,0))&amp;""),"—"))</f>
        <v/>
      </c>
      <c r="H1653" s="25">
        <f>IF($C1653="","",IFERROR(IF(INDEX(Roster!$F:$F,MATCH($C1653,Roster!$B:$B,0))="","",INDEX(Roster!$F:$F,MATCH($C1653,Roster!$B:$B,0))&amp;""),"—"))</f>
        <v/>
      </c>
      <c r="I1653" s="25">
        <f>IF($C1653="","",IFERROR(IF(INDEX(Roster!$G:$G,MATCH($C1653,Roster!$B:$B,0))="","",INDEX(Roster!$G:$G,MATCH($C1653,Roster!$B:$B,0))&amp;""),"—"))</f>
        <v/>
      </c>
      <c r="J1653" s="25">
        <f>IF($C1653="","",IFERROR(IF(INDEX(Roster!$I:$I,MATCH($C1653,Roster!$B:$B,0))="","",INDEX(Roster!$I:$I,MATCH($C1653,Roster!$B:$B,0))&amp;""),"—"))</f>
        <v/>
      </c>
      <c r="K1653">
        <f>IF($C1653="","",IFERROR(IF(INDEX(Roster!$J:$J,MATCH($C1653,Roster!$B:$B,0))="","",INDEX(Roster!$J:$J,MATCH($C1653,Roster!$B:$B,0))&amp;""),"—"))</f>
        <v/>
      </c>
      <c r="L1653">
        <f>IF($C1653="","",IFERROR(IF(INDEX(Roster!$K:$K,MATCH($C1653,Roster!$B:$B,0))="","",INDEX(Roster!$K:$K,MATCH($C1653,Roster!$B:$B,0))&amp;""),"—"))</f>
        <v/>
      </c>
      <c r="M1653" s="27" t="n"/>
      <c r="N1653" s="27" t="n"/>
      <c r="O1653" s="25">
        <f>IF($C1653="","",IF($P1653="","—",IF($P1653="Valid (Pass)","Valid","Invalid")))</f>
        <v/>
      </c>
      <c r="P1653" s="27" t="n"/>
      <c r="Q1653" s="27" t="n"/>
      <c r="R1653" s="27" t="n"/>
      <c r="S1653" s="27" t="n"/>
      <c r="T1653" s="25">
        <f>IF($C1653="","",IF(OR(ISNUMBER(SEARCH("quick case",$P1653)),ISNUMBER(SEARCH("quick case",$Q1653))),"Yes","No"))</f>
        <v/>
      </c>
      <c r="U1653" s="25">
        <f>IF($O1653="Invalid",HYPERLINK("mailto:"&amp;$G1653&amp;";"&amp;$I1653&amp;"?cc="&amp;Lists!$E$2&amp;"&amp;subject="&amp;_xlfn.ENCODEURL("[INVALID] Quality audit monitoring completed for "&amp;UPPER($C1653))&amp;"&amp;body="&amp;_xlfn.ENCODEURL("Hi "&amp;$F1653&amp;","&amp;CHAR(10)&amp;"Good day!"&amp;CHAR(10)&amp;CHAR(10)&amp;"A quality monitoring audit has been completed for "&amp;$C1653&amp;"."&amp;CHAR(10)&amp;CHAR(10)&amp;"QUALITY AUDIT DETAILS"&amp;CHAR(10)&amp;"Agent Name: "&amp;$C1653&amp;" (EID "&amp;$D1653&amp;")"&amp;CHAR(10)&amp;"Audit Date: "&amp;TEXT($B1653,"yyyy-mm-dd")&amp;CHAR(10)&amp;"Team Leader: "&amp;$F1653&amp;CHAR(10)&amp;"Case Number: "&amp;$M1653&amp;CHAR(10)&amp;"Transaction ID: "&amp;$N1653&amp;CHAR(10)&amp;"Channel / LOB: "&amp;$K1653&amp;" / "&amp;$L1653&amp;CHAR(10)&amp;"Evaluator: "&amp;$S1653&amp;CHAR(10)&amp;CHAR(10)&amp;"INVALID QUALITY AUDIT DETAILS"&amp;CHAR(10)&amp;"Validation: Invalid"&amp;CHAR(10)&amp;"Invalid Reason: "&amp;$P1653&amp;CHAR(10)&amp;"Expected Resolution Code: "&amp;$Q1653&amp;CHAR(10)&amp;"Remarks: "&amp;LEFT($R1653,600)&amp;CHAR(10)&amp;CHAR(10)&amp;"This is an automated notification from HP Mainstream EQMS."),"✉ Open Email Draft"),"")</f>
        <v/>
      </c>
    </row>
    <row r="1654">
      <c r="A1654" s="25">
        <f>IF($C1654="","","AUD-2026-"&amp;TEXT(ROW()-1,"000000"))</f>
        <v/>
      </c>
      <c r="B1654" s="26" t="n"/>
      <c r="C1654" s="27" t="n"/>
      <c r="D1654" s="25">
        <f>IF($C1654="","",IFERROR(IF(INDEX(Roster!$A:$A,MATCH($C1654,Roster!$B:$B,0))="","",INDEX(Roster!$A:$A,MATCH($C1654,Roster!$B:$B,0))&amp;""),"—"))</f>
        <v/>
      </c>
      <c r="E1654" s="25">
        <f>IF($C1654="","",IFERROR(IF(INDEX(Roster!$C:$C,MATCH($C1654,Roster!$B:$B,0))="","",INDEX(Roster!$C:$C,MATCH($C1654,Roster!$B:$B,0))&amp;""),"—"))</f>
        <v/>
      </c>
      <c r="F1654" s="25">
        <f>IF($C1654="","",IFERROR(IF(INDEX(Roster!$D:$D,MATCH($C1654,Roster!$B:$B,0))="","",INDEX(Roster!$D:$D,MATCH($C1654,Roster!$B:$B,0))&amp;""),"—"))</f>
        <v/>
      </c>
      <c r="G1654" s="25">
        <f>IF($C1654="","",IFERROR(IF(INDEX(Roster!$E:$E,MATCH($C1654,Roster!$B:$B,0))="","",INDEX(Roster!$E:$E,MATCH($C1654,Roster!$B:$B,0))&amp;""),"—"))</f>
        <v/>
      </c>
      <c r="H1654" s="25">
        <f>IF($C1654="","",IFERROR(IF(INDEX(Roster!$F:$F,MATCH($C1654,Roster!$B:$B,0))="","",INDEX(Roster!$F:$F,MATCH($C1654,Roster!$B:$B,0))&amp;""),"—"))</f>
        <v/>
      </c>
      <c r="I1654" s="25">
        <f>IF($C1654="","",IFERROR(IF(INDEX(Roster!$G:$G,MATCH($C1654,Roster!$B:$B,0))="","",INDEX(Roster!$G:$G,MATCH($C1654,Roster!$B:$B,0))&amp;""),"—"))</f>
        <v/>
      </c>
      <c r="J1654" s="25">
        <f>IF($C1654="","",IFERROR(IF(INDEX(Roster!$I:$I,MATCH($C1654,Roster!$B:$B,0))="","",INDEX(Roster!$I:$I,MATCH($C1654,Roster!$B:$B,0))&amp;""),"—"))</f>
        <v/>
      </c>
      <c r="K1654">
        <f>IF($C1654="","",IFERROR(IF(INDEX(Roster!$J:$J,MATCH($C1654,Roster!$B:$B,0))="","",INDEX(Roster!$J:$J,MATCH($C1654,Roster!$B:$B,0))&amp;""),"—"))</f>
        <v/>
      </c>
      <c r="L1654">
        <f>IF($C1654="","",IFERROR(IF(INDEX(Roster!$K:$K,MATCH($C1654,Roster!$B:$B,0))="","",INDEX(Roster!$K:$K,MATCH($C1654,Roster!$B:$B,0))&amp;""),"—"))</f>
        <v/>
      </c>
      <c r="M1654" s="27" t="n"/>
      <c r="N1654" s="27" t="n"/>
      <c r="O1654" s="25">
        <f>IF($C1654="","",IF($P1654="","—",IF($P1654="Valid (Pass)","Valid","Invalid")))</f>
        <v/>
      </c>
      <c r="P1654" s="27" t="n"/>
      <c r="Q1654" s="27" t="n"/>
      <c r="R1654" s="27" t="n"/>
      <c r="S1654" s="27" t="n"/>
      <c r="T1654" s="25">
        <f>IF($C1654="","",IF(OR(ISNUMBER(SEARCH("quick case",$P1654)),ISNUMBER(SEARCH("quick case",$Q1654))),"Yes","No"))</f>
        <v/>
      </c>
      <c r="U1654" s="25">
        <f>IF($O1654="Invalid",HYPERLINK("mailto:"&amp;$G1654&amp;";"&amp;$I1654&amp;"?cc="&amp;Lists!$E$2&amp;"&amp;subject="&amp;_xlfn.ENCODEURL("[INVALID] Quality audit monitoring completed for "&amp;UPPER($C1654))&amp;"&amp;body="&amp;_xlfn.ENCODEURL("Hi "&amp;$F1654&amp;","&amp;CHAR(10)&amp;"Good day!"&amp;CHAR(10)&amp;CHAR(10)&amp;"A quality monitoring audit has been completed for "&amp;$C1654&amp;"."&amp;CHAR(10)&amp;CHAR(10)&amp;"QUALITY AUDIT DETAILS"&amp;CHAR(10)&amp;"Agent Name: "&amp;$C1654&amp;" (EID "&amp;$D1654&amp;")"&amp;CHAR(10)&amp;"Audit Date: "&amp;TEXT($B1654,"yyyy-mm-dd")&amp;CHAR(10)&amp;"Team Leader: "&amp;$F1654&amp;CHAR(10)&amp;"Case Number: "&amp;$M1654&amp;CHAR(10)&amp;"Transaction ID: "&amp;$N1654&amp;CHAR(10)&amp;"Channel / LOB: "&amp;$K1654&amp;" / "&amp;$L1654&amp;CHAR(10)&amp;"Evaluator: "&amp;$S1654&amp;CHAR(10)&amp;CHAR(10)&amp;"INVALID QUALITY AUDIT DETAILS"&amp;CHAR(10)&amp;"Validation: Invalid"&amp;CHAR(10)&amp;"Invalid Reason: "&amp;$P1654&amp;CHAR(10)&amp;"Expected Resolution Code: "&amp;$Q1654&amp;CHAR(10)&amp;"Remarks: "&amp;LEFT($R1654,600)&amp;CHAR(10)&amp;CHAR(10)&amp;"This is an automated notification from HP Mainstream EQMS."),"✉ Open Email Draft"),"")</f>
        <v/>
      </c>
    </row>
    <row r="1655">
      <c r="A1655" s="25">
        <f>IF($C1655="","","AUD-2026-"&amp;TEXT(ROW()-1,"000000"))</f>
        <v/>
      </c>
      <c r="B1655" s="26" t="n"/>
      <c r="C1655" s="27" t="n"/>
      <c r="D1655" s="25">
        <f>IF($C1655="","",IFERROR(IF(INDEX(Roster!$A:$A,MATCH($C1655,Roster!$B:$B,0))="","",INDEX(Roster!$A:$A,MATCH($C1655,Roster!$B:$B,0))&amp;""),"—"))</f>
        <v/>
      </c>
      <c r="E1655" s="25">
        <f>IF($C1655="","",IFERROR(IF(INDEX(Roster!$C:$C,MATCH($C1655,Roster!$B:$B,0))="","",INDEX(Roster!$C:$C,MATCH($C1655,Roster!$B:$B,0))&amp;""),"—"))</f>
        <v/>
      </c>
      <c r="F1655" s="25">
        <f>IF($C1655="","",IFERROR(IF(INDEX(Roster!$D:$D,MATCH($C1655,Roster!$B:$B,0))="","",INDEX(Roster!$D:$D,MATCH($C1655,Roster!$B:$B,0))&amp;""),"—"))</f>
        <v/>
      </c>
      <c r="G1655" s="25">
        <f>IF($C1655="","",IFERROR(IF(INDEX(Roster!$E:$E,MATCH($C1655,Roster!$B:$B,0))="","",INDEX(Roster!$E:$E,MATCH($C1655,Roster!$B:$B,0))&amp;""),"—"))</f>
        <v/>
      </c>
      <c r="H1655" s="25">
        <f>IF($C1655="","",IFERROR(IF(INDEX(Roster!$F:$F,MATCH($C1655,Roster!$B:$B,0))="","",INDEX(Roster!$F:$F,MATCH($C1655,Roster!$B:$B,0))&amp;""),"—"))</f>
        <v/>
      </c>
      <c r="I1655" s="25">
        <f>IF($C1655="","",IFERROR(IF(INDEX(Roster!$G:$G,MATCH($C1655,Roster!$B:$B,0))="","",INDEX(Roster!$G:$G,MATCH($C1655,Roster!$B:$B,0))&amp;""),"—"))</f>
        <v/>
      </c>
      <c r="J1655" s="25">
        <f>IF($C1655="","",IFERROR(IF(INDEX(Roster!$I:$I,MATCH($C1655,Roster!$B:$B,0))="","",INDEX(Roster!$I:$I,MATCH($C1655,Roster!$B:$B,0))&amp;""),"—"))</f>
        <v/>
      </c>
      <c r="K1655">
        <f>IF($C1655="","",IFERROR(IF(INDEX(Roster!$J:$J,MATCH($C1655,Roster!$B:$B,0))="","",INDEX(Roster!$J:$J,MATCH($C1655,Roster!$B:$B,0))&amp;""),"—"))</f>
        <v/>
      </c>
      <c r="L1655">
        <f>IF($C1655="","",IFERROR(IF(INDEX(Roster!$K:$K,MATCH($C1655,Roster!$B:$B,0))="","",INDEX(Roster!$K:$K,MATCH($C1655,Roster!$B:$B,0))&amp;""),"—"))</f>
        <v/>
      </c>
      <c r="M1655" s="27" t="n"/>
      <c r="N1655" s="27" t="n"/>
      <c r="O1655" s="25">
        <f>IF($C1655="","",IF($P1655="","—",IF($P1655="Valid (Pass)","Valid","Invalid")))</f>
        <v/>
      </c>
      <c r="P1655" s="27" t="n"/>
      <c r="Q1655" s="27" t="n"/>
      <c r="R1655" s="27" t="n"/>
      <c r="S1655" s="27" t="n"/>
      <c r="T1655" s="25">
        <f>IF($C1655="","",IF(OR(ISNUMBER(SEARCH("quick case",$P1655)),ISNUMBER(SEARCH("quick case",$Q1655))),"Yes","No"))</f>
        <v/>
      </c>
      <c r="U1655" s="25">
        <f>IF($O1655="Invalid",HYPERLINK("mailto:"&amp;$G1655&amp;";"&amp;$I1655&amp;"?cc="&amp;Lists!$E$2&amp;"&amp;subject="&amp;_xlfn.ENCODEURL("[INVALID] Quality audit monitoring completed for "&amp;UPPER($C1655))&amp;"&amp;body="&amp;_xlfn.ENCODEURL("Hi "&amp;$F1655&amp;","&amp;CHAR(10)&amp;"Good day!"&amp;CHAR(10)&amp;CHAR(10)&amp;"A quality monitoring audit has been completed for "&amp;$C1655&amp;"."&amp;CHAR(10)&amp;CHAR(10)&amp;"QUALITY AUDIT DETAILS"&amp;CHAR(10)&amp;"Agent Name: "&amp;$C1655&amp;" (EID "&amp;$D1655&amp;")"&amp;CHAR(10)&amp;"Audit Date: "&amp;TEXT($B1655,"yyyy-mm-dd")&amp;CHAR(10)&amp;"Team Leader: "&amp;$F1655&amp;CHAR(10)&amp;"Case Number: "&amp;$M1655&amp;CHAR(10)&amp;"Transaction ID: "&amp;$N1655&amp;CHAR(10)&amp;"Channel / LOB: "&amp;$K1655&amp;" / "&amp;$L1655&amp;CHAR(10)&amp;"Evaluator: "&amp;$S1655&amp;CHAR(10)&amp;CHAR(10)&amp;"INVALID QUALITY AUDIT DETAILS"&amp;CHAR(10)&amp;"Validation: Invalid"&amp;CHAR(10)&amp;"Invalid Reason: "&amp;$P1655&amp;CHAR(10)&amp;"Expected Resolution Code: "&amp;$Q1655&amp;CHAR(10)&amp;"Remarks: "&amp;LEFT($R1655,600)&amp;CHAR(10)&amp;CHAR(10)&amp;"This is an automated notification from HP Mainstream EQMS."),"✉ Open Email Draft"),"")</f>
        <v/>
      </c>
    </row>
    <row r="1656">
      <c r="A1656" s="25">
        <f>IF($C1656="","","AUD-2026-"&amp;TEXT(ROW()-1,"000000"))</f>
        <v/>
      </c>
      <c r="B1656" s="26" t="n"/>
      <c r="C1656" s="27" t="n"/>
      <c r="D1656" s="25">
        <f>IF($C1656="","",IFERROR(IF(INDEX(Roster!$A:$A,MATCH($C1656,Roster!$B:$B,0))="","",INDEX(Roster!$A:$A,MATCH($C1656,Roster!$B:$B,0))&amp;""),"—"))</f>
        <v/>
      </c>
      <c r="E1656" s="25">
        <f>IF($C1656="","",IFERROR(IF(INDEX(Roster!$C:$C,MATCH($C1656,Roster!$B:$B,0))="","",INDEX(Roster!$C:$C,MATCH($C1656,Roster!$B:$B,0))&amp;""),"—"))</f>
        <v/>
      </c>
      <c r="F1656" s="25">
        <f>IF($C1656="","",IFERROR(IF(INDEX(Roster!$D:$D,MATCH($C1656,Roster!$B:$B,0))="","",INDEX(Roster!$D:$D,MATCH($C1656,Roster!$B:$B,0))&amp;""),"—"))</f>
        <v/>
      </c>
      <c r="G1656" s="25">
        <f>IF($C1656="","",IFERROR(IF(INDEX(Roster!$E:$E,MATCH($C1656,Roster!$B:$B,0))="","",INDEX(Roster!$E:$E,MATCH($C1656,Roster!$B:$B,0))&amp;""),"—"))</f>
        <v/>
      </c>
      <c r="H1656" s="25">
        <f>IF($C1656="","",IFERROR(IF(INDEX(Roster!$F:$F,MATCH($C1656,Roster!$B:$B,0))="","",INDEX(Roster!$F:$F,MATCH($C1656,Roster!$B:$B,0))&amp;""),"—"))</f>
        <v/>
      </c>
      <c r="I1656" s="25">
        <f>IF($C1656="","",IFERROR(IF(INDEX(Roster!$G:$G,MATCH($C1656,Roster!$B:$B,0))="","",INDEX(Roster!$G:$G,MATCH($C1656,Roster!$B:$B,0))&amp;""),"—"))</f>
        <v/>
      </c>
      <c r="J1656" s="25">
        <f>IF($C1656="","",IFERROR(IF(INDEX(Roster!$I:$I,MATCH($C1656,Roster!$B:$B,0))="","",INDEX(Roster!$I:$I,MATCH($C1656,Roster!$B:$B,0))&amp;""),"—"))</f>
        <v/>
      </c>
      <c r="K1656">
        <f>IF($C1656="","",IFERROR(IF(INDEX(Roster!$J:$J,MATCH($C1656,Roster!$B:$B,0))="","",INDEX(Roster!$J:$J,MATCH($C1656,Roster!$B:$B,0))&amp;""),"—"))</f>
        <v/>
      </c>
      <c r="L1656">
        <f>IF($C1656="","",IFERROR(IF(INDEX(Roster!$K:$K,MATCH($C1656,Roster!$B:$B,0))="","",INDEX(Roster!$K:$K,MATCH($C1656,Roster!$B:$B,0))&amp;""),"—"))</f>
        <v/>
      </c>
      <c r="M1656" s="27" t="n"/>
      <c r="N1656" s="27" t="n"/>
      <c r="O1656" s="25">
        <f>IF($C1656="","",IF($P1656="","—",IF($P1656="Valid (Pass)","Valid","Invalid")))</f>
        <v/>
      </c>
      <c r="P1656" s="27" t="n"/>
      <c r="Q1656" s="27" t="n"/>
      <c r="R1656" s="27" t="n"/>
      <c r="S1656" s="27" t="n"/>
      <c r="T1656" s="25">
        <f>IF($C1656="","",IF(OR(ISNUMBER(SEARCH("quick case",$P1656)),ISNUMBER(SEARCH("quick case",$Q1656))),"Yes","No"))</f>
        <v/>
      </c>
      <c r="U1656" s="25">
        <f>IF($O1656="Invalid",HYPERLINK("mailto:"&amp;$G1656&amp;";"&amp;$I1656&amp;"?cc="&amp;Lists!$E$2&amp;"&amp;subject="&amp;_xlfn.ENCODEURL("[INVALID] Quality audit monitoring completed for "&amp;UPPER($C1656))&amp;"&amp;body="&amp;_xlfn.ENCODEURL("Hi "&amp;$F1656&amp;","&amp;CHAR(10)&amp;"Good day!"&amp;CHAR(10)&amp;CHAR(10)&amp;"A quality monitoring audit has been completed for "&amp;$C1656&amp;"."&amp;CHAR(10)&amp;CHAR(10)&amp;"QUALITY AUDIT DETAILS"&amp;CHAR(10)&amp;"Agent Name: "&amp;$C1656&amp;" (EID "&amp;$D1656&amp;")"&amp;CHAR(10)&amp;"Audit Date: "&amp;TEXT($B1656,"yyyy-mm-dd")&amp;CHAR(10)&amp;"Team Leader: "&amp;$F1656&amp;CHAR(10)&amp;"Case Number: "&amp;$M1656&amp;CHAR(10)&amp;"Transaction ID: "&amp;$N1656&amp;CHAR(10)&amp;"Channel / LOB: "&amp;$K1656&amp;" / "&amp;$L1656&amp;CHAR(10)&amp;"Evaluator: "&amp;$S1656&amp;CHAR(10)&amp;CHAR(10)&amp;"INVALID QUALITY AUDIT DETAILS"&amp;CHAR(10)&amp;"Validation: Invalid"&amp;CHAR(10)&amp;"Invalid Reason: "&amp;$P1656&amp;CHAR(10)&amp;"Expected Resolution Code: "&amp;$Q1656&amp;CHAR(10)&amp;"Remarks: "&amp;LEFT($R1656,600)&amp;CHAR(10)&amp;CHAR(10)&amp;"This is an automated notification from HP Mainstream EQMS."),"✉ Open Email Draft"),"")</f>
        <v/>
      </c>
    </row>
    <row r="1657">
      <c r="A1657" s="25">
        <f>IF($C1657="","","AUD-2026-"&amp;TEXT(ROW()-1,"000000"))</f>
        <v/>
      </c>
      <c r="B1657" s="26" t="n"/>
      <c r="C1657" s="27" t="n"/>
      <c r="D1657" s="25">
        <f>IF($C1657="","",IFERROR(IF(INDEX(Roster!$A:$A,MATCH($C1657,Roster!$B:$B,0))="","",INDEX(Roster!$A:$A,MATCH($C1657,Roster!$B:$B,0))&amp;""),"—"))</f>
        <v/>
      </c>
      <c r="E1657" s="25">
        <f>IF($C1657="","",IFERROR(IF(INDEX(Roster!$C:$C,MATCH($C1657,Roster!$B:$B,0))="","",INDEX(Roster!$C:$C,MATCH($C1657,Roster!$B:$B,0))&amp;""),"—"))</f>
        <v/>
      </c>
      <c r="F1657" s="25">
        <f>IF($C1657="","",IFERROR(IF(INDEX(Roster!$D:$D,MATCH($C1657,Roster!$B:$B,0))="","",INDEX(Roster!$D:$D,MATCH($C1657,Roster!$B:$B,0))&amp;""),"—"))</f>
        <v/>
      </c>
      <c r="G1657" s="25">
        <f>IF($C1657="","",IFERROR(IF(INDEX(Roster!$E:$E,MATCH($C1657,Roster!$B:$B,0))="","",INDEX(Roster!$E:$E,MATCH($C1657,Roster!$B:$B,0))&amp;""),"—"))</f>
        <v/>
      </c>
      <c r="H1657" s="25">
        <f>IF($C1657="","",IFERROR(IF(INDEX(Roster!$F:$F,MATCH($C1657,Roster!$B:$B,0))="","",INDEX(Roster!$F:$F,MATCH($C1657,Roster!$B:$B,0))&amp;""),"—"))</f>
        <v/>
      </c>
      <c r="I1657" s="25">
        <f>IF($C1657="","",IFERROR(IF(INDEX(Roster!$G:$G,MATCH($C1657,Roster!$B:$B,0))="","",INDEX(Roster!$G:$G,MATCH($C1657,Roster!$B:$B,0))&amp;""),"—"))</f>
        <v/>
      </c>
      <c r="J1657" s="25">
        <f>IF($C1657="","",IFERROR(IF(INDEX(Roster!$I:$I,MATCH($C1657,Roster!$B:$B,0))="","",INDEX(Roster!$I:$I,MATCH($C1657,Roster!$B:$B,0))&amp;""),"—"))</f>
        <v/>
      </c>
      <c r="K1657">
        <f>IF($C1657="","",IFERROR(IF(INDEX(Roster!$J:$J,MATCH($C1657,Roster!$B:$B,0))="","",INDEX(Roster!$J:$J,MATCH($C1657,Roster!$B:$B,0))&amp;""),"—"))</f>
        <v/>
      </c>
      <c r="L1657">
        <f>IF($C1657="","",IFERROR(IF(INDEX(Roster!$K:$K,MATCH($C1657,Roster!$B:$B,0))="","",INDEX(Roster!$K:$K,MATCH($C1657,Roster!$B:$B,0))&amp;""),"—"))</f>
        <v/>
      </c>
      <c r="M1657" s="27" t="n"/>
      <c r="N1657" s="27" t="n"/>
      <c r="O1657" s="25">
        <f>IF($C1657="","",IF($P1657="","—",IF($P1657="Valid (Pass)","Valid","Invalid")))</f>
        <v/>
      </c>
      <c r="P1657" s="27" t="n"/>
      <c r="Q1657" s="27" t="n"/>
      <c r="R1657" s="27" t="n"/>
      <c r="S1657" s="27" t="n"/>
      <c r="T1657" s="25">
        <f>IF($C1657="","",IF(OR(ISNUMBER(SEARCH("quick case",$P1657)),ISNUMBER(SEARCH("quick case",$Q1657))),"Yes","No"))</f>
        <v/>
      </c>
      <c r="U1657" s="25">
        <f>IF($O1657="Invalid",HYPERLINK("mailto:"&amp;$G1657&amp;";"&amp;$I1657&amp;"?cc="&amp;Lists!$E$2&amp;"&amp;subject="&amp;_xlfn.ENCODEURL("[INVALID] Quality audit monitoring completed for "&amp;UPPER($C1657))&amp;"&amp;body="&amp;_xlfn.ENCODEURL("Hi "&amp;$F1657&amp;","&amp;CHAR(10)&amp;"Good day!"&amp;CHAR(10)&amp;CHAR(10)&amp;"A quality monitoring audit has been completed for "&amp;$C1657&amp;"."&amp;CHAR(10)&amp;CHAR(10)&amp;"QUALITY AUDIT DETAILS"&amp;CHAR(10)&amp;"Agent Name: "&amp;$C1657&amp;" (EID "&amp;$D1657&amp;")"&amp;CHAR(10)&amp;"Audit Date: "&amp;TEXT($B1657,"yyyy-mm-dd")&amp;CHAR(10)&amp;"Team Leader: "&amp;$F1657&amp;CHAR(10)&amp;"Case Number: "&amp;$M1657&amp;CHAR(10)&amp;"Transaction ID: "&amp;$N1657&amp;CHAR(10)&amp;"Channel / LOB: "&amp;$K1657&amp;" / "&amp;$L1657&amp;CHAR(10)&amp;"Evaluator: "&amp;$S1657&amp;CHAR(10)&amp;CHAR(10)&amp;"INVALID QUALITY AUDIT DETAILS"&amp;CHAR(10)&amp;"Validation: Invalid"&amp;CHAR(10)&amp;"Invalid Reason: "&amp;$P1657&amp;CHAR(10)&amp;"Expected Resolution Code: "&amp;$Q1657&amp;CHAR(10)&amp;"Remarks: "&amp;LEFT($R1657,600)&amp;CHAR(10)&amp;CHAR(10)&amp;"This is an automated notification from HP Mainstream EQMS."),"✉ Open Email Draft"),"")</f>
        <v/>
      </c>
    </row>
    <row r="1658">
      <c r="A1658" s="25">
        <f>IF($C1658="","","AUD-2026-"&amp;TEXT(ROW()-1,"000000"))</f>
        <v/>
      </c>
      <c r="B1658" s="26" t="n"/>
      <c r="C1658" s="27" t="n"/>
      <c r="D1658" s="25">
        <f>IF($C1658="","",IFERROR(IF(INDEX(Roster!$A:$A,MATCH($C1658,Roster!$B:$B,0))="","",INDEX(Roster!$A:$A,MATCH($C1658,Roster!$B:$B,0))&amp;""),"—"))</f>
        <v/>
      </c>
      <c r="E1658" s="25">
        <f>IF($C1658="","",IFERROR(IF(INDEX(Roster!$C:$C,MATCH($C1658,Roster!$B:$B,0))="","",INDEX(Roster!$C:$C,MATCH($C1658,Roster!$B:$B,0))&amp;""),"—"))</f>
        <v/>
      </c>
      <c r="F1658" s="25">
        <f>IF($C1658="","",IFERROR(IF(INDEX(Roster!$D:$D,MATCH($C1658,Roster!$B:$B,0))="","",INDEX(Roster!$D:$D,MATCH($C1658,Roster!$B:$B,0))&amp;""),"—"))</f>
        <v/>
      </c>
      <c r="G1658" s="25">
        <f>IF($C1658="","",IFERROR(IF(INDEX(Roster!$E:$E,MATCH($C1658,Roster!$B:$B,0))="","",INDEX(Roster!$E:$E,MATCH($C1658,Roster!$B:$B,0))&amp;""),"—"))</f>
        <v/>
      </c>
      <c r="H1658" s="25">
        <f>IF($C1658="","",IFERROR(IF(INDEX(Roster!$F:$F,MATCH($C1658,Roster!$B:$B,0))="","",INDEX(Roster!$F:$F,MATCH($C1658,Roster!$B:$B,0))&amp;""),"—"))</f>
        <v/>
      </c>
      <c r="I1658" s="25">
        <f>IF($C1658="","",IFERROR(IF(INDEX(Roster!$G:$G,MATCH($C1658,Roster!$B:$B,0))="","",INDEX(Roster!$G:$G,MATCH($C1658,Roster!$B:$B,0))&amp;""),"—"))</f>
        <v/>
      </c>
      <c r="J1658" s="25">
        <f>IF($C1658="","",IFERROR(IF(INDEX(Roster!$I:$I,MATCH($C1658,Roster!$B:$B,0))="","",INDEX(Roster!$I:$I,MATCH($C1658,Roster!$B:$B,0))&amp;""),"—"))</f>
        <v/>
      </c>
      <c r="K1658">
        <f>IF($C1658="","",IFERROR(IF(INDEX(Roster!$J:$J,MATCH($C1658,Roster!$B:$B,0))="","",INDEX(Roster!$J:$J,MATCH($C1658,Roster!$B:$B,0))&amp;""),"—"))</f>
        <v/>
      </c>
      <c r="L1658">
        <f>IF($C1658="","",IFERROR(IF(INDEX(Roster!$K:$K,MATCH($C1658,Roster!$B:$B,0))="","",INDEX(Roster!$K:$K,MATCH($C1658,Roster!$B:$B,0))&amp;""),"—"))</f>
        <v/>
      </c>
      <c r="M1658" s="27" t="n"/>
      <c r="N1658" s="27" t="n"/>
      <c r="O1658" s="25">
        <f>IF($C1658="","",IF($P1658="","—",IF($P1658="Valid (Pass)","Valid","Invalid")))</f>
        <v/>
      </c>
      <c r="P1658" s="27" t="n"/>
      <c r="Q1658" s="27" t="n"/>
      <c r="R1658" s="27" t="n"/>
      <c r="S1658" s="27" t="n"/>
      <c r="T1658" s="25">
        <f>IF($C1658="","",IF(OR(ISNUMBER(SEARCH("quick case",$P1658)),ISNUMBER(SEARCH("quick case",$Q1658))),"Yes","No"))</f>
        <v/>
      </c>
      <c r="U1658" s="25">
        <f>IF($O1658="Invalid",HYPERLINK("mailto:"&amp;$G1658&amp;";"&amp;$I1658&amp;"?cc="&amp;Lists!$E$2&amp;"&amp;subject="&amp;_xlfn.ENCODEURL("[INVALID] Quality audit monitoring completed for "&amp;UPPER($C1658))&amp;"&amp;body="&amp;_xlfn.ENCODEURL("Hi "&amp;$F1658&amp;","&amp;CHAR(10)&amp;"Good day!"&amp;CHAR(10)&amp;CHAR(10)&amp;"A quality monitoring audit has been completed for "&amp;$C1658&amp;"."&amp;CHAR(10)&amp;CHAR(10)&amp;"QUALITY AUDIT DETAILS"&amp;CHAR(10)&amp;"Agent Name: "&amp;$C1658&amp;" (EID "&amp;$D1658&amp;")"&amp;CHAR(10)&amp;"Audit Date: "&amp;TEXT($B1658,"yyyy-mm-dd")&amp;CHAR(10)&amp;"Team Leader: "&amp;$F1658&amp;CHAR(10)&amp;"Case Number: "&amp;$M1658&amp;CHAR(10)&amp;"Transaction ID: "&amp;$N1658&amp;CHAR(10)&amp;"Channel / LOB: "&amp;$K1658&amp;" / "&amp;$L1658&amp;CHAR(10)&amp;"Evaluator: "&amp;$S1658&amp;CHAR(10)&amp;CHAR(10)&amp;"INVALID QUALITY AUDIT DETAILS"&amp;CHAR(10)&amp;"Validation: Invalid"&amp;CHAR(10)&amp;"Invalid Reason: "&amp;$P1658&amp;CHAR(10)&amp;"Expected Resolution Code: "&amp;$Q1658&amp;CHAR(10)&amp;"Remarks: "&amp;LEFT($R1658,600)&amp;CHAR(10)&amp;CHAR(10)&amp;"This is an automated notification from HP Mainstream EQMS."),"✉ Open Email Draft"),"")</f>
        <v/>
      </c>
    </row>
    <row r="1659">
      <c r="A1659" s="25">
        <f>IF($C1659="","","AUD-2026-"&amp;TEXT(ROW()-1,"000000"))</f>
        <v/>
      </c>
      <c r="B1659" s="26" t="n"/>
      <c r="C1659" s="27" t="n"/>
      <c r="D1659" s="25">
        <f>IF($C1659="","",IFERROR(IF(INDEX(Roster!$A:$A,MATCH($C1659,Roster!$B:$B,0))="","",INDEX(Roster!$A:$A,MATCH($C1659,Roster!$B:$B,0))&amp;""),"—"))</f>
        <v/>
      </c>
      <c r="E1659" s="25">
        <f>IF($C1659="","",IFERROR(IF(INDEX(Roster!$C:$C,MATCH($C1659,Roster!$B:$B,0))="","",INDEX(Roster!$C:$C,MATCH($C1659,Roster!$B:$B,0))&amp;""),"—"))</f>
        <v/>
      </c>
      <c r="F1659" s="25">
        <f>IF($C1659="","",IFERROR(IF(INDEX(Roster!$D:$D,MATCH($C1659,Roster!$B:$B,0))="","",INDEX(Roster!$D:$D,MATCH($C1659,Roster!$B:$B,0))&amp;""),"—"))</f>
        <v/>
      </c>
      <c r="G1659" s="25">
        <f>IF($C1659="","",IFERROR(IF(INDEX(Roster!$E:$E,MATCH($C1659,Roster!$B:$B,0))="","",INDEX(Roster!$E:$E,MATCH($C1659,Roster!$B:$B,0))&amp;""),"—"))</f>
        <v/>
      </c>
      <c r="H1659" s="25">
        <f>IF($C1659="","",IFERROR(IF(INDEX(Roster!$F:$F,MATCH($C1659,Roster!$B:$B,0))="","",INDEX(Roster!$F:$F,MATCH($C1659,Roster!$B:$B,0))&amp;""),"—"))</f>
        <v/>
      </c>
      <c r="I1659" s="25">
        <f>IF($C1659="","",IFERROR(IF(INDEX(Roster!$G:$G,MATCH($C1659,Roster!$B:$B,0))="","",INDEX(Roster!$G:$G,MATCH($C1659,Roster!$B:$B,0))&amp;""),"—"))</f>
        <v/>
      </c>
      <c r="J1659" s="25">
        <f>IF($C1659="","",IFERROR(IF(INDEX(Roster!$I:$I,MATCH($C1659,Roster!$B:$B,0))="","",INDEX(Roster!$I:$I,MATCH($C1659,Roster!$B:$B,0))&amp;""),"—"))</f>
        <v/>
      </c>
      <c r="K1659">
        <f>IF($C1659="","",IFERROR(IF(INDEX(Roster!$J:$J,MATCH($C1659,Roster!$B:$B,0))="","",INDEX(Roster!$J:$J,MATCH($C1659,Roster!$B:$B,0))&amp;""),"—"))</f>
        <v/>
      </c>
      <c r="L1659">
        <f>IF($C1659="","",IFERROR(IF(INDEX(Roster!$K:$K,MATCH($C1659,Roster!$B:$B,0))="","",INDEX(Roster!$K:$K,MATCH($C1659,Roster!$B:$B,0))&amp;""),"—"))</f>
        <v/>
      </c>
      <c r="M1659" s="27" t="n"/>
      <c r="N1659" s="27" t="n"/>
      <c r="O1659" s="25">
        <f>IF($C1659="","",IF($P1659="","—",IF($P1659="Valid (Pass)","Valid","Invalid")))</f>
        <v/>
      </c>
      <c r="P1659" s="27" t="n"/>
      <c r="Q1659" s="27" t="n"/>
      <c r="R1659" s="27" t="n"/>
      <c r="S1659" s="27" t="n"/>
      <c r="T1659" s="25">
        <f>IF($C1659="","",IF(OR(ISNUMBER(SEARCH("quick case",$P1659)),ISNUMBER(SEARCH("quick case",$Q1659))),"Yes","No"))</f>
        <v/>
      </c>
      <c r="U1659" s="25">
        <f>IF($O1659="Invalid",HYPERLINK("mailto:"&amp;$G1659&amp;";"&amp;$I1659&amp;"?cc="&amp;Lists!$E$2&amp;"&amp;subject="&amp;_xlfn.ENCODEURL("[INVALID] Quality audit monitoring completed for "&amp;UPPER($C1659))&amp;"&amp;body="&amp;_xlfn.ENCODEURL("Hi "&amp;$F1659&amp;","&amp;CHAR(10)&amp;"Good day!"&amp;CHAR(10)&amp;CHAR(10)&amp;"A quality monitoring audit has been completed for "&amp;$C1659&amp;"."&amp;CHAR(10)&amp;CHAR(10)&amp;"QUALITY AUDIT DETAILS"&amp;CHAR(10)&amp;"Agent Name: "&amp;$C1659&amp;" (EID "&amp;$D1659&amp;")"&amp;CHAR(10)&amp;"Audit Date: "&amp;TEXT($B1659,"yyyy-mm-dd")&amp;CHAR(10)&amp;"Team Leader: "&amp;$F1659&amp;CHAR(10)&amp;"Case Number: "&amp;$M1659&amp;CHAR(10)&amp;"Transaction ID: "&amp;$N1659&amp;CHAR(10)&amp;"Channel / LOB: "&amp;$K1659&amp;" / "&amp;$L1659&amp;CHAR(10)&amp;"Evaluator: "&amp;$S1659&amp;CHAR(10)&amp;CHAR(10)&amp;"INVALID QUALITY AUDIT DETAILS"&amp;CHAR(10)&amp;"Validation: Invalid"&amp;CHAR(10)&amp;"Invalid Reason: "&amp;$P1659&amp;CHAR(10)&amp;"Expected Resolution Code: "&amp;$Q1659&amp;CHAR(10)&amp;"Remarks: "&amp;LEFT($R1659,600)&amp;CHAR(10)&amp;CHAR(10)&amp;"This is an automated notification from HP Mainstream EQMS."),"✉ Open Email Draft"),"")</f>
        <v/>
      </c>
    </row>
    <row r="1660">
      <c r="A1660" s="25">
        <f>IF($C1660="","","AUD-2026-"&amp;TEXT(ROW()-1,"000000"))</f>
        <v/>
      </c>
      <c r="B1660" s="26" t="n"/>
      <c r="C1660" s="27" t="n"/>
      <c r="D1660" s="25">
        <f>IF($C1660="","",IFERROR(IF(INDEX(Roster!$A:$A,MATCH($C1660,Roster!$B:$B,0))="","",INDEX(Roster!$A:$A,MATCH($C1660,Roster!$B:$B,0))&amp;""),"—"))</f>
        <v/>
      </c>
      <c r="E1660" s="25">
        <f>IF($C1660="","",IFERROR(IF(INDEX(Roster!$C:$C,MATCH($C1660,Roster!$B:$B,0))="","",INDEX(Roster!$C:$C,MATCH($C1660,Roster!$B:$B,0))&amp;""),"—"))</f>
        <v/>
      </c>
      <c r="F1660" s="25">
        <f>IF($C1660="","",IFERROR(IF(INDEX(Roster!$D:$D,MATCH($C1660,Roster!$B:$B,0))="","",INDEX(Roster!$D:$D,MATCH($C1660,Roster!$B:$B,0))&amp;""),"—"))</f>
        <v/>
      </c>
      <c r="G1660" s="25">
        <f>IF($C1660="","",IFERROR(IF(INDEX(Roster!$E:$E,MATCH($C1660,Roster!$B:$B,0))="","",INDEX(Roster!$E:$E,MATCH($C1660,Roster!$B:$B,0))&amp;""),"—"))</f>
        <v/>
      </c>
      <c r="H1660" s="25">
        <f>IF($C1660="","",IFERROR(IF(INDEX(Roster!$F:$F,MATCH($C1660,Roster!$B:$B,0))="","",INDEX(Roster!$F:$F,MATCH($C1660,Roster!$B:$B,0))&amp;""),"—"))</f>
        <v/>
      </c>
      <c r="I1660" s="25">
        <f>IF($C1660="","",IFERROR(IF(INDEX(Roster!$G:$G,MATCH($C1660,Roster!$B:$B,0))="","",INDEX(Roster!$G:$G,MATCH($C1660,Roster!$B:$B,0))&amp;""),"—"))</f>
        <v/>
      </c>
      <c r="J1660" s="25">
        <f>IF($C1660="","",IFERROR(IF(INDEX(Roster!$I:$I,MATCH($C1660,Roster!$B:$B,0))="","",INDEX(Roster!$I:$I,MATCH($C1660,Roster!$B:$B,0))&amp;""),"—"))</f>
        <v/>
      </c>
      <c r="K1660">
        <f>IF($C1660="","",IFERROR(IF(INDEX(Roster!$J:$J,MATCH($C1660,Roster!$B:$B,0))="","",INDEX(Roster!$J:$J,MATCH($C1660,Roster!$B:$B,0))&amp;""),"—"))</f>
        <v/>
      </c>
      <c r="L1660">
        <f>IF($C1660="","",IFERROR(IF(INDEX(Roster!$K:$K,MATCH($C1660,Roster!$B:$B,0))="","",INDEX(Roster!$K:$K,MATCH($C1660,Roster!$B:$B,0))&amp;""),"—"))</f>
        <v/>
      </c>
      <c r="M1660" s="27" t="n"/>
      <c r="N1660" s="27" t="n"/>
      <c r="O1660" s="25">
        <f>IF($C1660="","",IF($P1660="","—",IF($P1660="Valid (Pass)","Valid","Invalid")))</f>
        <v/>
      </c>
      <c r="P1660" s="27" t="n"/>
      <c r="Q1660" s="27" t="n"/>
      <c r="R1660" s="27" t="n"/>
      <c r="S1660" s="27" t="n"/>
      <c r="T1660" s="25">
        <f>IF($C1660="","",IF(OR(ISNUMBER(SEARCH("quick case",$P1660)),ISNUMBER(SEARCH("quick case",$Q1660))),"Yes","No"))</f>
        <v/>
      </c>
      <c r="U1660" s="25">
        <f>IF($O1660="Invalid",HYPERLINK("mailto:"&amp;$G1660&amp;";"&amp;$I1660&amp;"?cc="&amp;Lists!$E$2&amp;"&amp;subject="&amp;_xlfn.ENCODEURL("[INVALID] Quality audit monitoring completed for "&amp;UPPER($C1660))&amp;"&amp;body="&amp;_xlfn.ENCODEURL("Hi "&amp;$F1660&amp;","&amp;CHAR(10)&amp;"Good day!"&amp;CHAR(10)&amp;CHAR(10)&amp;"A quality monitoring audit has been completed for "&amp;$C1660&amp;"."&amp;CHAR(10)&amp;CHAR(10)&amp;"QUALITY AUDIT DETAILS"&amp;CHAR(10)&amp;"Agent Name: "&amp;$C1660&amp;" (EID "&amp;$D1660&amp;")"&amp;CHAR(10)&amp;"Audit Date: "&amp;TEXT($B1660,"yyyy-mm-dd")&amp;CHAR(10)&amp;"Team Leader: "&amp;$F1660&amp;CHAR(10)&amp;"Case Number: "&amp;$M1660&amp;CHAR(10)&amp;"Transaction ID: "&amp;$N1660&amp;CHAR(10)&amp;"Channel / LOB: "&amp;$K1660&amp;" / "&amp;$L1660&amp;CHAR(10)&amp;"Evaluator: "&amp;$S1660&amp;CHAR(10)&amp;CHAR(10)&amp;"INVALID QUALITY AUDIT DETAILS"&amp;CHAR(10)&amp;"Validation: Invalid"&amp;CHAR(10)&amp;"Invalid Reason: "&amp;$P1660&amp;CHAR(10)&amp;"Expected Resolution Code: "&amp;$Q1660&amp;CHAR(10)&amp;"Remarks: "&amp;LEFT($R1660,600)&amp;CHAR(10)&amp;CHAR(10)&amp;"This is an automated notification from HP Mainstream EQMS."),"✉ Open Email Draft"),"")</f>
        <v/>
      </c>
    </row>
    <row r="1661">
      <c r="A1661" s="25">
        <f>IF($C1661="","","AUD-2026-"&amp;TEXT(ROW()-1,"000000"))</f>
        <v/>
      </c>
      <c r="B1661" s="26" t="n"/>
      <c r="C1661" s="27" t="n"/>
      <c r="D1661" s="25">
        <f>IF($C1661="","",IFERROR(IF(INDEX(Roster!$A:$A,MATCH($C1661,Roster!$B:$B,0))="","",INDEX(Roster!$A:$A,MATCH($C1661,Roster!$B:$B,0))&amp;""),"—"))</f>
        <v/>
      </c>
      <c r="E1661" s="25">
        <f>IF($C1661="","",IFERROR(IF(INDEX(Roster!$C:$C,MATCH($C1661,Roster!$B:$B,0))="","",INDEX(Roster!$C:$C,MATCH($C1661,Roster!$B:$B,0))&amp;""),"—"))</f>
        <v/>
      </c>
      <c r="F1661" s="25">
        <f>IF($C1661="","",IFERROR(IF(INDEX(Roster!$D:$D,MATCH($C1661,Roster!$B:$B,0))="","",INDEX(Roster!$D:$D,MATCH($C1661,Roster!$B:$B,0))&amp;""),"—"))</f>
        <v/>
      </c>
      <c r="G1661" s="25">
        <f>IF($C1661="","",IFERROR(IF(INDEX(Roster!$E:$E,MATCH($C1661,Roster!$B:$B,0))="","",INDEX(Roster!$E:$E,MATCH($C1661,Roster!$B:$B,0))&amp;""),"—"))</f>
        <v/>
      </c>
      <c r="H1661" s="25">
        <f>IF($C1661="","",IFERROR(IF(INDEX(Roster!$F:$F,MATCH($C1661,Roster!$B:$B,0))="","",INDEX(Roster!$F:$F,MATCH($C1661,Roster!$B:$B,0))&amp;""),"—"))</f>
        <v/>
      </c>
      <c r="I1661" s="25">
        <f>IF($C1661="","",IFERROR(IF(INDEX(Roster!$G:$G,MATCH($C1661,Roster!$B:$B,0))="","",INDEX(Roster!$G:$G,MATCH($C1661,Roster!$B:$B,0))&amp;""),"—"))</f>
        <v/>
      </c>
      <c r="J1661" s="25">
        <f>IF($C1661="","",IFERROR(IF(INDEX(Roster!$I:$I,MATCH($C1661,Roster!$B:$B,0))="","",INDEX(Roster!$I:$I,MATCH($C1661,Roster!$B:$B,0))&amp;""),"—"))</f>
        <v/>
      </c>
      <c r="K1661">
        <f>IF($C1661="","",IFERROR(IF(INDEX(Roster!$J:$J,MATCH($C1661,Roster!$B:$B,0))="","",INDEX(Roster!$J:$J,MATCH($C1661,Roster!$B:$B,0))&amp;""),"—"))</f>
        <v/>
      </c>
      <c r="L1661">
        <f>IF($C1661="","",IFERROR(IF(INDEX(Roster!$K:$K,MATCH($C1661,Roster!$B:$B,0))="","",INDEX(Roster!$K:$K,MATCH($C1661,Roster!$B:$B,0))&amp;""),"—"))</f>
        <v/>
      </c>
      <c r="M1661" s="27" t="n"/>
      <c r="N1661" s="27" t="n"/>
      <c r="O1661" s="25">
        <f>IF($C1661="","",IF($P1661="","—",IF($P1661="Valid (Pass)","Valid","Invalid")))</f>
        <v/>
      </c>
      <c r="P1661" s="27" t="n"/>
      <c r="Q1661" s="27" t="n"/>
      <c r="R1661" s="27" t="n"/>
      <c r="S1661" s="27" t="n"/>
      <c r="T1661" s="25">
        <f>IF($C1661="","",IF(OR(ISNUMBER(SEARCH("quick case",$P1661)),ISNUMBER(SEARCH("quick case",$Q1661))),"Yes","No"))</f>
        <v/>
      </c>
      <c r="U1661" s="25">
        <f>IF($O1661="Invalid",HYPERLINK("mailto:"&amp;$G1661&amp;";"&amp;$I1661&amp;"?cc="&amp;Lists!$E$2&amp;"&amp;subject="&amp;_xlfn.ENCODEURL("[INVALID] Quality audit monitoring completed for "&amp;UPPER($C1661))&amp;"&amp;body="&amp;_xlfn.ENCODEURL("Hi "&amp;$F1661&amp;","&amp;CHAR(10)&amp;"Good day!"&amp;CHAR(10)&amp;CHAR(10)&amp;"A quality monitoring audit has been completed for "&amp;$C1661&amp;"."&amp;CHAR(10)&amp;CHAR(10)&amp;"QUALITY AUDIT DETAILS"&amp;CHAR(10)&amp;"Agent Name: "&amp;$C1661&amp;" (EID "&amp;$D1661&amp;")"&amp;CHAR(10)&amp;"Audit Date: "&amp;TEXT($B1661,"yyyy-mm-dd")&amp;CHAR(10)&amp;"Team Leader: "&amp;$F1661&amp;CHAR(10)&amp;"Case Number: "&amp;$M1661&amp;CHAR(10)&amp;"Transaction ID: "&amp;$N1661&amp;CHAR(10)&amp;"Channel / LOB: "&amp;$K1661&amp;" / "&amp;$L1661&amp;CHAR(10)&amp;"Evaluator: "&amp;$S1661&amp;CHAR(10)&amp;CHAR(10)&amp;"INVALID QUALITY AUDIT DETAILS"&amp;CHAR(10)&amp;"Validation: Invalid"&amp;CHAR(10)&amp;"Invalid Reason: "&amp;$P1661&amp;CHAR(10)&amp;"Expected Resolution Code: "&amp;$Q1661&amp;CHAR(10)&amp;"Remarks: "&amp;LEFT($R1661,600)&amp;CHAR(10)&amp;CHAR(10)&amp;"This is an automated notification from HP Mainstream EQMS."),"✉ Open Email Draft"),"")</f>
        <v/>
      </c>
    </row>
    <row r="1662">
      <c r="A1662" s="25">
        <f>IF($C1662="","","AUD-2026-"&amp;TEXT(ROW()-1,"000000"))</f>
        <v/>
      </c>
      <c r="B1662" s="26" t="n"/>
      <c r="C1662" s="27" t="n"/>
      <c r="D1662" s="25">
        <f>IF($C1662="","",IFERROR(IF(INDEX(Roster!$A:$A,MATCH($C1662,Roster!$B:$B,0))="","",INDEX(Roster!$A:$A,MATCH($C1662,Roster!$B:$B,0))&amp;""),"—"))</f>
        <v/>
      </c>
      <c r="E1662" s="25">
        <f>IF($C1662="","",IFERROR(IF(INDEX(Roster!$C:$C,MATCH($C1662,Roster!$B:$B,0))="","",INDEX(Roster!$C:$C,MATCH($C1662,Roster!$B:$B,0))&amp;""),"—"))</f>
        <v/>
      </c>
      <c r="F1662" s="25">
        <f>IF($C1662="","",IFERROR(IF(INDEX(Roster!$D:$D,MATCH($C1662,Roster!$B:$B,0))="","",INDEX(Roster!$D:$D,MATCH($C1662,Roster!$B:$B,0))&amp;""),"—"))</f>
        <v/>
      </c>
      <c r="G1662" s="25">
        <f>IF($C1662="","",IFERROR(IF(INDEX(Roster!$E:$E,MATCH($C1662,Roster!$B:$B,0))="","",INDEX(Roster!$E:$E,MATCH($C1662,Roster!$B:$B,0))&amp;""),"—"))</f>
        <v/>
      </c>
      <c r="H1662" s="25">
        <f>IF($C1662="","",IFERROR(IF(INDEX(Roster!$F:$F,MATCH($C1662,Roster!$B:$B,0))="","",INDEX(Roster!$F:$F,MATCH($C1662,Roster!$B:$B,0))&amp;""),"—"))</f>
        <v/>
      </c>
      <c r="I1662" s="25">
        <f>IF($C1662="","",IFERROR(IF(INDEX(Roster!$G:$G,MATCH($C1662,Roster!$B:$B,0))="","",INDEX(Roster!$G:$G,MATCH($C1662,Roster!$B:$B,0))&amp;""),"—"))</f>
        <v/>
      </c>
      <c r="J1662" s="25">
        <f>IF($C1662="","",IFERROR(IF(INDEX(Roster!$I:$I,MATCH($C1662,Roster!$B:$B,0))="","",INDEX(Roster!$I:$I,MATCH($C1662,Roster!$B:$B,0))&amp;""),"—"))</f>
        <v/>
      </c>
      <c r="K1662">
        <f>IF($C1662="","",IFERROR(IF(INDEX(Roster!$J:$J,MATCH($C1662,Roster!$B:$B,0))="","",INDEX(Roster!$J:$J,MATCH($C1662,Roster!$B:$B,0))&amp;""),"—"))</f>
        <v/>
      </c>
      <c r="L1662">
        <f>IF($C1662="","",IFERROR(IF(INDEX(Roster!$K:$K,MATCH($C1662,Roster!$B:$B,0))="","",INDEX(Roster!$K:$K,MATCH($C1662,Roster!$B:$B,0))&amp;""),"—"))</f>
        <v/>
      </c>
      <c r="M1662" s="27" t="n"/>
      <c r="N1662" s="27" t="n"/>
      <c r="O1662" s="25">
        <f>IF($C1662="","",IF($P1662="","—",IF($P1662="Valid (Pass)","Valid","Invalid")))</f>
        <v/>
      </c>
      <c r="P1662" s="27" t="n"/>
      <c r="Q1662" s="27" t="n"/>
      <c r="R1662" s="27" t="n"/>
      <c r="S1662" s="27" t="n"/>
      <c r="T1662" s="25">
        <f>IF($C1662="","",IF(OR(ISNUMBER(SEARCH("quick case",$P1662)),ISNUMBER(SEARCH("quick case",$Q1662))),"Yes","No"))</f>
        <v/>
      </c>
      <c r="U1662" s="25">
        <f>IF($O1662="Invalid",HYPERLINK("mailto:"&amp;$G1662&amp;";"&amp;$I1662&amp;"?cc="&amp;Lists!$E$2&amp;"&amp;subject="&amp;_xlfn.ENCODEURL("[INVALID] Quality audit monitoring completed for "&amp;UPPER($C1662))&amp;"&amp;body="&amp;_xlfn.ENCODEURL("Hi "&amp;$F1662&amp;","&amp;CHAR(10)&amp;"Good day!"&amp;CHAR(10)&amp;CHAR(10)&amp;"A quality monitoring audit has been completed for "&amp;$C1662&amp;"."&amp;CHAR(10)&amp;CHAR(10)&amp;"QUALITY AUDIT DETAILS"&amp;CHAR(10)&amp;"Agent Name: "&amp;$C1662&amp;" (EID "&amp;$D1662&amp;")"&amp;CHAR(10)&amp;"Audit Date: "&amp;TEXT($B1662,"yyyy-mm-dd")&amp;CHAR(10)&amp;"Team Leader: "&amp;$F1662&amp;CHAR(10)&amp;"Case Number: "&amp;$M1662&amp;CHAR(10)&amp;"Transaction ID: "&amp;$N1662&amp;CHAR(10)&amp;"Channel / LOB: "&amp;$K1662&amp;" / "&amp;$L1662&amp;CHAR(10)&amp;"Evaluator: "&amp;$S1662&amp;CHAR(10)&amp;CHAR(10)&amp;"INVALID QUALITY AUDIT DETAILS"&amp;CHAR(10)&amp;"Validation: Invalid"&amp;CHAR(10)&amp;"Invalid Reason: "&amp;$P1662&amp;CHAR(10)&amp;"Expected Resolution Code: "&amp;$Q1662&amp;CHAR(10)&amp;"Remarks: "&amp;LEFT($R1662,600)&amp;CHAR(10)&amp;CHAR(10)&amp;"This is an automated notification from HP Mainstream EQMS."),"✉ Open Email Draft"),"")</f>
        <v/>
      </c>
    </row>
    <row r="1663">
      <c r="A1663" s="25">
        <f>IF($C1663="","","AUD-2026-"&amp;TEXT(ROW()-1,"000000"))</f>
        <v/>
      </c>
      <c r="B1663" s="26" t="n"/>
      <c r="C1663" s="27" t="n"/>
      <c r="D1663" s="25">
        <f>IF($C1663="","",IFERROR(IF(INDEX(Roster!$A:$A,MATCH($C1663,Roster!$B:$B,0))="","",INDEX(Roster!$A:$A,MATCH($C1663,Roster!$B:$B,0))&amp;""),"—"))</f>
        <v/>
      </c>
      <c r="E1663" s="25">
        <f>IF($C1663="","",IFERROR(IF(INDEX(Roster!$C:$C,MATCH($C1663,Roster!$B:$B,0))="","",INDEX(Roster!$C:$C,MATCH($C1663,Roster!$B:$B,0))&amp;""),"—"))</f>
        <v/>
      </c>
      <c r="F1663" s="25">
        <f>IF($C1663="","",IFERROR(IF(INDEX(Roster!$D:$D,MATCH($C1663,Roster!$B:$B,0))="","",INDEX(Roster!$D:$D,MATCH($C1663,Roster!$B:$B,0))&amp;""),"—"))</f>
        <v/>
      </c>
      <c r="G1663" s="25">
        <f>IF($C1663="","",IFERROR(IF(INDEX(Roster!$E:$E,MATCH($C1663,Roster!$B:$B,0))="","",INDEX(Roster!$E:$E,MATCH($C1663,Roster!$B:$B,0))&amp;""),"—"))</f>
        <v/>
      </c>
      <c r="H1663" s="25">
        <f>IF($C1663="","",IFERROR(IF(INDEX(Roster!$F:$F,MATCH($C1663,Roster!$B:$B,0))="","",INDEX(Roster!$F:$F,MATCH($C1663,Roster!$B:$B,0))&amp;""),"—"))</f>
        <v/>
      </c>
      <c r="I1663" s="25">
        <f>IF($C1663="","",IFERROR(IF(INDEX(Roster!$G:$G,MATCH($C1663,Roster!$B:$B,0))="","",INDEX(Roster!$G:$G,MATCH($C1663,Roster!$B:$B,0))&amp;""),"—"))</f>
        <v/>
      </c>
      <c r="J1663" s="25">
        <f>IF($C1663="","",IFERROR(IF(INDEX(Roster!$I:$I,MATCH($C1663,Roster!$B:$B,0))="","",INDEX(Roster!$I:$I,MATCH($C1663,Roster!$B:$B,0))&amp;""),"—"))</f>
        <v/>
      </c>
      <c r="K1663">
        <f>IF($C1663="","",IFERROR(IF(INDEX(Roster!$J:$J,MATCH($C1663,Roster!$B:$B,0))="","",INDEX(Roster!$J:$J,MATCH($C1663,Roster!$B:$B,0))&amp;""),"—"))</f>
        <v/>
      </c>
      <c r="L1663">
        <f>IF($C1663="","",IFERROR(IF(INDEX(Roster!$K:$K,MATCH($C1663,Roster!$B:$B,0))="","",INDEX(Roster!$K:$K,MATCH($C1663,Roster!$B:$B,0))&amp;""),"—"))</f>
        <v/>
      </c>
      <c r="M1663" s="27" t="n"/>
      <c r="N1663" s="27" t="n"/>
      <c r="O1663" s="25">
        <f>IF($C1663="","",IF($P1663="","—",IF($P1663="Valid (Pass)","Valid","Invalid")))</f>
        <v/>
      </c>
      <c r="P1663" s="27" t="n"/>
      <c r="Q1663" s="27" t="n"/>
      <c r="R1663" s="27" t="n"/>
      <c r="S1663" s="27" t="n"/>
      <c r="T1663" s="25">
        <f>IF($C1663="","",IF(OR(ISNUMBER(SEARCH("quick case",$P1663)),ISNUMBER(SEARCH("quick case",$Q1663))),"Yes","No"))</f>
        <v/>
      </c>
      <c r="U1663" s="25">
        <f>IF($O1663="Invalid",HYPERLINK("mailto:"&amp;$G1663&amp;";"&amp;$I1663&amp;"?cc="&amp;Lists!$E$2&amp;"&amp;subject="&amp;_xlfn.ENCODEURL("[INVALID] Quality audit monitoring completed for "&amp;UPPER($C1663))&amp;"&amp;body="&amp;_xlfn.ENCODEURL("Hi "&amp;$F1663&amp;","&amp;CHAR(10)&amp;"Good day!"&amp;CHAR(10)&amp;CHAR(10)&amp;"A quality monitoring audit has been completed for "&amp;$C1663&amp;"."&amp;CHAR(10)&amp;CHAR(10)&amp;"QUALITY AUDIT DETAILS"&amp;CHAR(10)&amp;"Agent Name: "&amp;$C1663&amp;" (EID "&amp;$D1663&amp;")"&amp;CHAR(10)&amp;"Audit Date: "&amp;TEXT($B1663,"yyyy-mm-dd")&amp;CHAR(10)&amp;"Team Leader: "&amp;$F1663&amp;CHAR(10)&amp;"Case Number: "&amp;$M1663&amp;CHAR(10)&amp;"Transaction ID: "&amp;$N1663&amp;CHAR(10)&amp;"Channel / LOB: "&amp;$K1663&amp;" / "&amp;$L1663&amp;CHAR(10)&amp;"Evaluator: "&amp;$S1663&amp;CHAR(10)&amp;CHAR(10)&amp;"INVALID QUALITY AUDIT DETAILS"&amp;CHAR(10)&amp;"Validation: Invalid"&amp;CHAR(10)&amp;"Invalid Reason: "&amp;$P1663&amp;CHAR(10)&amp;"Expected Resolution Code: "&amp;$Q1663&amp;CHAR(10)&amp;"Remarks: "&amp;LEFT($R1663,600)&amp;CHAR(10)&amp;CHAR(10)&amp;"This is an automated notification from HP Mainstream EQMS."),"✉ Open Email Draft"),"")</f>
        <v/>
      </c>
    </row>
    <row r="1664">
      <c r="A1664" s="25">
        <f>IF($C1664="","","AUD-2026-"&amp;TEXT(ROW()-1,"000000"))</f>
        <v/>
      </c>
      <c r="B1664" s="26" t="n"/>
      <c r="C1664" s="27" t="n"/>
      <c r="D1664" s="25">
        <f>IF($C1664="","",IFERROR(IF(INDEX(Roster!$A:$A,MATCH($C1664,Roster!$B:$B,0))="","",INDEX(Roster!$A:$A,MATCH($C1664,Roster!$B:$B,0))&amp;""),"—"))</f>
        <v/>
      </c>
      <c r="E1664" s="25">
        <f>IF($C1664="","",IFERROR(IF(INDEX(Roster!$C:$C,MATCH($C1664,Roster!$B:$B,0))="","",INDEX(Roster!$C:$C,MATCH($C1664,Roster!$B:$B,0))&amp;""),"—"))</f>
        <v/>
      </c>
      <c r="F1664" s="25">
        <f>IF($C1664="","",IFERROR(IF(INDEX(Roster!$D:$D,MATCH($C1664,Roster!$B:$B,0))="","",INDEX(Roster!$D:$D,MATCH($C1664,Roster!$B:$B,0))&amp;""),"—"))</f>
        <v/>
      </c>
      <c r="G1664" s="25">
        <f>IF($C1664="","",IFERROR(IF(INDEX(Roster!$E:$E,MATCH($C1664,Roster!$B:$B,0))="","",INDEX(Roster!$E:$E,MATCH($C1664,Roster!$B:$B,0))&amp;""),"—"))</f>
        <v/>
      </c>
      <c r="H1664" s="25">
        <f>IF($C1664="","",IFERROR(IF(INDEX(Roster!$F:$F,MATCH($C1664,Roster!$B:$B,0))="","",INDEX(Roster!$F:$F,MATCH($C1664,Roster!$B:$B,0))&amp;""),"—"))</f>
        <v/>
      </c>
      <c r="I1664" s="25">
        <f>IF($C1664="","",IFERROR(IF(INDEX(Roster!$G:$G,MATCH($C1664,Roster!$B:$B,0))="","",INDEX(Roster!$G:$G,MATCH($C1664,Roster!$B:$B,0))&amp;""),"—"))</f>
        <v/>
      </c>
      <c r="J1664" s="25">
        <f>IF($C1664="","",IFERROR(IF(INDEX(Roster!$I:$I,MATCH($C1664,Roster!$B:$B,0))="","",INDEX(Roster!$I:$I,MATCH($C1664,Roster!$B:$B,0))&amp;""),"—"))</f>
        <v/>
      </c>
      <c r="K1664">
        <f>IF($C1664="","",IFERROR(IF(INDEX(Roster!$J:$J,MATCH($C1664,Roster!$B:$B,0))="","",INDEX(Roster!$J:$J,MATCH($C1664,Roster!$B:$B,0))&amp;""),"—"))</f>
        <v/>
      </c>
      <c r="L1664">
        <f>IF($C1664="","",IFERROR(IF(INDEX(Roster!$K:$K,MATCH($C1664,Roster!$B:$B,0))="","",INDEX(Roster!$K:$K,MATCH($C1664,Roster!$B:$B,0))&amp;""),"—"))</f>
        <v/>
      </c>
      <c r="M1664" s="27" t="n"/>
      <c r="N1664" s="27" t="n"/>
      <c r="O1664" s="25">
        <f>IF($C1664="","",IF($P1664="","—",IF($P1664="Valid (Pass)","Valid","Invalid")))</f>
        <v/>
      </c>
      <c r="P1664" s="27" t="n"/>
      <c r="Q1664" s="27" t="n"/>
      <c r="R1664" s="27" t="n"/>
      <c r="S1664" s="27" t="n"/>
      <c r="T1664" s="25">
        <f>IF($C1664="","",IF(OR(ISNUMBER(SEARCH("quick case",$P1664)),ISNUMBER(SEARCH("quick case",$Q1664))),"Yes","No"))</f>
        <v/>
      </c>
      <c r="U1664" s="25">
        <f>IF($O1664="Invalid",HYPERLINK("mailto:"&amp;$G1664&amp;";"&amp;$I1664&amp;"?cc="&amp;Lists!$E$2&amp;"&amp;subject="&amp;_xlfn.ENCODEURL("[INVALID] Quality audit monitoring completed for "&amp;UPPER($C1664))&amp;"&amp;body="&amp;_xlfn.ENCODEURL("Hi "&amp;$F1664&amp;","&amp;CHAR(10)&amp;"Good day!"&amp;CHAR(10)&amp;CHAR(10)&amp;"A quality monitoring audit has been completed for "&amp;$C1664&amp;"."&amp;CHAR(10)&amp;CHAR(10)&amp;"QUALITY AUDIT DETAILS"&amp;CHAR(10)&amp;"Agent Name: "&amp;$C1664&amp;" (EID "&amp;$D1664&amp;")"&amp;CHAR(10)&amp;"Audit Date: "&amp;TEXT($B1664,"yyyy-mm-dd")&amp;CHAR(10)&amp;"Team Leader: "&amp;$F1664&amp;CHAR(10)&amp;"Case Number: "&amp;$M1664&amp;CHAR(10)&amp;"Transaction ID: "&amp;$N1664&amp;CHAR(10)&amp;"Channel / LOB: "&amp;$K1664&amp;" / "&amp;$L1664&amp;CHAR(10)&amp;"Evaluator: "&amp;$S1664&amp;CHAR(10)&amp;CHAR(10)&amp;"INVALID QUALITY AUDIT DETAILS"&amp;CHAR(10)&amp;"Validation: Invalid"&amp;CHAR(10)&amp;"Invalid Reason: "&amp;$P1664&amp;CHAR(10)&amp;"Expected Resolution Code: "&amp;$Q1664&amp;CHAR(10)&amp;"Remarks: "&amp;LEFT($R1664,600)&amp;CHAR(10)&amp;CHAR(10)&amp;"This is an automated notification from HP Mainstream EQMS."),"✉ Open Email Draft"),"")</f>
        <v/>
      </c>
    </row>
    <row r="1665">
      <c r="A1665" s="25">
        <f>IF($C1665="","","AUD-2026-"&amp;TEXT(ROW()-1,"000000"))</f>
        <v/>
      </c>
      <c r="B1665" s="26" t="n"/>
      <c r="C1665" s="27" t="n"/>
      <c r="D1665" s="25">
        <f>IF($C1665="","",IFERROR(IF(INDEX(Roster!$A:$A,MATCH($C1665,Roster!$B:$B,0))="","",INDEX(Roster!$A:$A,MATCH($C1665,Roster!$B:$B,0))&amp;""),"—"))</f>
        <v/>
      </c>
      <c r="E1665" s="25">
        <f>IF($C1665="","",IFERROR(IF(INDEX(Roster!$C:$C,MATCH($C1665,Roster!$B:$B,0))="","",INDEX(Roster!$C:$C,MATCH($C1665,Roster!$B:$B,0))&amp;""),"—"))</f>
        <v/>
      </c>
      <c r="F1665" s="25">
        <f>IF($C1665="","",IFERROR(IF(INDEX(Roster!$D:$D,MATCH($C1665,Roster!$B:$B,0))="","",INDEX(Roster!$D:$D,MATCH($C1665,Roster!$B:$B,0))&amp;""),"—"))</f>
        <v/>
      </c>
      <c r="G1665" s="25">
        <f>IF($C1665="","",IFERROR(IF(INDEX(Roster!$E:$E,MATCH($C1665,Roster!$B:$B,0))="","",INDEX(Roster!$E:$E,MATCH($C1665,Roster!$B:$B,0))&amp;""),"—"))</f>
        <v/>
      </c>
      <c r="H1665" s="25">
        <f>IF($C1665="","",IFERROR(IF(INDEX(Roster!$F:$F,MATCH($C1665,Roster!$B:$B,0))="","",INDEX(Roster!$F:$F,MATCH($C1665,Roster!$B:$B,0))&amp;""),"—"))</f>
        <v/>
      </c>
      <c r="I1665" s="25">
        <f>IF($C1665="","",IFERROR(IF(INDEX(Roster!$G:$G,MATCH($C1665,Roster!$B:$B,0))="","",INDEX(Roster!$G:$G,MATCH($C1665,Roster!$B:$B,0))&amp;""),"—"))</f>
        <v/>
      </c>
      <c r="J1665" s="25">
        <f>IF($C1665="","",IFERROR(IF(INDEX(Roster!$I:$I,MATCH($C1665,Roster!$B:$B,0))="","",INDEX(Roster!$I:$I,MATCH($C1665,Roster!$B:$B,0))&amp;""),"—"))</f>
        <v/>
      </c>
      <c r="K1665">
        <f>IF($C1665="","",IFERROR(IF(INDEX(Roster!$J:$J,MATCH($C1665,Roster!$B:$B,0))="","",INDEX(Roster!$J:$J,MATCH($C1665,Roster!$B:$B,0))&amp;""),"—"))</f>
        <v/>
      </c>
      <c r="L1665">
        <f>IF($C1665="","",IFERROR(IF(INDEX(Roster!$K:$K,MATCH($C1665,Roster!$B:$B,0))="","",INDEX(Roster!$K:$K,MATCH($C1665,Roster!$B:$B,0))&amp;""),"—"))</f>
        <v/>
      </c>
      <c r="M1665" s="27" t="n"/>
      <c r="N1665" s="27" t="n"/>
      <c r="O1665" s="25">
        <f>IF($C1665="","",IF($P1665="","—",IF($P1665="Valid (Pass)","Valid","Invalid")))</f>
        <v/>
      </c>
      <c r="P1665" s="27" t="n"/>
      <c r="Q1665" s="27" t="n"/>
      <c r="R1665" s="27" t="n"/>
      <c r="S1665" s="27" t="n"/>
      <c r="T1665" s="25">
        <f>IF($C1665="","",IF(OR(ISNUMBER(SEARCH("quick case",$P1665)),ISNUMBER(SEARCH("quick case",$Q1665))),"Yes","No"))</f>
        <v/>
      </c>
      <c r="U1665" s="25">
        <f>IF($O1665="Invalid",HYPERLINK("mailto:"&amp;$G1665&amp;";"&amp;$I1665&amp;"?cc="&amp;Lists!$E$2&amp;"&amp;subject="&amp;_xlfn.ENCODEURL("[INVALID] Quality audit monitoring completed for "&amp;UPPER($C1665))&amp;"&amp;body="&amp;_xlfn.ENCODEURL("Hi "&amp;$F1665&amp;","&amp;CHAR(10)&amp;"Good day!"&amp;CHAR(10)&amp;CHAR(10)&amp;"A quality monitoring audit has been completed for "&amp;$C1665&amp;"."&amp;CHAR(10)&amp;CHAR(10)&amp;"QUALITY AUDIT DETAILS"&amp;CHAR(10)&amp;"Agent Name: "&amp;$C1665&amp;" (EID "&amp;$D1665&amp;")"&amp;CHAR(10)&amp;"Audit Date: "&amp;TEXT($B1665,"yyyy-mm-dd")&amp;CHAR(10)&amp;"Team Leader: "&amp;$F1665&amp;CHAR(10)&amp;"Case Number: "&amp;$M1665&amp;CHAR(10)&amp;"Transaction ID: "&amp;$N1665&amp;CHAR(10)&amp;"Channel / LOB: "&amp;$K1665&amp;" / "&amp;$L1665&amp;CHAR(10)&amp;"Evaluator: "&amp;$S1665&amp;CHAR(10)&amp;CHAR(10)&amp;"INVALID QUALITY AUDIT DETAILS"&amp;CHAR(10)&amp;"Validation: Invalid"&amp;CHAR(10)&amp;"Invalid Reason: "&amp;$P1665&amp;CHAR(10)&amp;"Expected Resolution Code: "&amp;$Q1665&amp;CHAR(10)&amp;"Remarks: "&amp;LEFT($R1665,600)&amp;CHAR(10)&amp;CHAR(10)&amp;"This is an automated notification from HP Mainstream EQMS."),"✉ Open Email Draft"),"")</f>
        <v/>
      </c>
    </row>
    <row r="1666">
      <c r="A1666" s="25">
        <f>IF($C1666="","","AUD-2026-"&amp;TEXT(ROW()-1,"000000"))</f>
        <v/>
      </c>
      <c r="B1666" s="26" t="n"/>
      <c r="C1666" s="27" t="n"/>
      <c r="D1666" s="25">
        <f>IF($C1666="","",IFERROR(IF(INDEX(Roster!$A:$A,MATCH($C1666,Roster!$B:$B,0))="","",INDEX(Roster!$A:$A,MATCH($C1666,Roster!$B:$B,0))&amp;""),"—"))</f>
        <v/>
      </c>
      <c r="E1666" s="25">
        <f>IF($C1666="","",IFERROR(IF(INDEX(Roster!$C:$C,MATCH($C1666,Roster!$B:$B,0))="","",INDEX(Roster!$C:$C,MATCH($C1666,Roster!$B:$B,0))&amp;""),"—"))</f>
        <v/>
      </c>
      <c r="F1666" s="25">
        <f>IF($C1666="","",IFERROR(IF(INDEX(Roster!$D:$D,MATCH($C1666,Roster!$B:$B,0))="","",INDEX(Roster!$D:$D,MATCH($C1666,Roster!$B:$B,0))&amp;""),"—"))</f>
        <v/>
      </c>
      <c r="G1666" s="25">
        <f>IF($C1666="","",IFERROR(IF(INDEX(Roster!$E:$E,MATCH($C1666,Roster!$B:$B,0))="","",INDEX(Roster!$E:$E,MATCH($C1666,Roster!$B:$B,0))&amp;""),"—"))</f>
        <v/>
      </c>
      <c r="H1666" s="25">
        <f>IF($C1666="","",IFERROR(IF(INDEX(Roster!$F:$F,MATCH($C1666,Roster!$B:$B,0))="","",INDEX(Roster!$F:$F,MATCH($C1666,Roster!$B:$B,0))&amp;""),"—"))</f>
        <v/>
      </c>
      <c r="I1666" s="25">
        <f>IF($C1666="","",IFERROR(IF(INDEX(Roster!$G:$G,MATCH($C1666,Roster!$B:$B,0))="","",INDEX(Roster!$G:$G,MATCH($C1666,Roster!$B:$B,0))&amp;""),"—"))</f>
        <v/>
      </c>
      <c r="J1666" s="25">
        <f>IF($C1666="","",IFERROR(IF(INDEX(Roster!$I:$I,MATCH($C1666,Roster!$B:$B,0))="","",INDEX(Roster!$I:$I,MATCH($C1666,Roster!$B:$B,0))&amp;""),"—"))</f>
        <v/>
      </c>
      <c r="K1666">
        <f>IF($C1666="","",IFERROR(IF(INDEX(Roster!$J:$J,MATCH($C1666,Roster!$B:$B,0))="","",INDEX(Roster!$J:$J,MATCH($C1666,Roster!$B:$B,0))&amp;""),"—"))</f>
        <v/>
      </c>
      <c r="L1666">
        <f>IF($C1666="","",IFERROR(IF(INDEX(Roster!$K:$K,MATCH($C1666,Roster!$B:$B,0))="","",INDEX(Roster!$K:$K,MATCH($C1666,Roster!$B:$B,0))&amp;""),"—"))</f>
        <v/>
      </c>
      <c r="M1666" s="27" t="n"/>
      <c r="N1666" s="27" t="n"/>
      <c r="O1666" s="25">
        <f>IF($C1666="","",IF($P1666="","—",IF($P1666="Valid (Pass)","Valid","Invalid")))</f>
        <v/>
      </c>
      <c r="P1666" s="27" t="n"/>
      <c r="Q1666" s="27" t="n"/>
      <c r="R1666" s="27" t="n"/>
      <c r="S1666" s="27" t="n"/>
      <c r="T1666" s="25">
        <f>IF($C1666="","",IF(OR(ISNUMBER(SEARCH("quick case",$P1666)),ISNUMBER(SEARCH("quick case",$Q1666))),"Yes","No"))</f>
        <v/>
      </c>
      <c r="U1666" s="25">
        <f>IF($O1666="Invalid",HYPERLINK("mailto:"&amp;$G1666&amp;";"&amp;$I1666&amp;"?cc="&amp;Lists!$E$2&amp;"&amp;subject="&amp;_xlfn.ENCODEURL("[INVALID] Quality audit monitoring completed for "&amp;UPPER($C1666))&amp;"&amp;body="&amp;_xlfn.ENCODEURL("Hi "&amp;$F1666&amp;","&amp;CHAR(10)&amp;"Good day!"&amp;CHAR(10)&amp;CHAR(10)&amp;"A quality monitoring audit has been completed for "&amp;$C1666&amp;"."&amp;CHAR(10)&amp;CHAR(10)&amp;"QUALITY AUDIT DETAILS"&amp;CHAR(10)&amp;"Agent Name: "&amp;$C1666&amp;" (EID "&amp;$D1666&amp;")"&amp;CHAR(10)&amp;"Audit Date: "&amp;TEXT($B1666,"yyyy-mm-dd")&amp;CHAR(10)&amp;"Team Leader: "&amp;$F1666&amp;CHAR(10)&amp;"Case Number: "&amp;$M1666&amp;CHAR(10)&amp;"Transaction ID: "&amp;$N1666&amp;CHAR(10)&amp;"Channel / LOB: "&amp;$K1666&amp;" / "&amp;$L1666&amp;CHAR(10)&amp;"Evaluator: "&amp;$S1666&amp;CHAR(10)&amp;CHAR(10)&amp;"INVALID QUALITY AUDIT DETAILS"&amp;CHAR(10)&amp;"Validation: Invalid"&amp;CHAR(10)&amp;"Invalid Reason: "&amp;$P1666&amp;CHAR(10)&amp;"Expected Resolution Code: "&amp;$Q1666&amp;CHAR(10)&amp;"Remarks: "&amp;LEFT($R1666,600)&amp;CHAR(10)&amp;CHAR(10)&amp;"This is an automated notification from HP Mainstream EQMS."),"✉ Open Email Draft"),"")</f>
        <v/>
      </c>
    </row>
    <row r="1667">
      <c r="A1667" s="25">
        <f>IF($C1667="","","AUD-2026-"&amp;TEXT(ROW()-1,"000000"))</f>
        <v/>
      </c>
      <c r="B1667" s="26" t="n"/>
      <c r="C1667" s="27" t="n"/>
      <c r="D1667" s="25">
        <f>IF($C1667="","",IFERROR(IF(INDEX(Roster!$A:$A,MATCH($C1667,Roster!$B:$B,0))="","",INDEX(Roster!$A:$A,MATCH($C1667,Roster!$B:$B,0))&amp;""),"—"))</f>
        <v/>
      </c>
      <c r="E1667" s="25">
        <f>IF($C1667="","",IFERROR(IF(INDEX(Roster!$C:$C,MATCH($C1667,Roster!$B:$B,0))="","",INDEX(Roster!$C:$C,MATCH($C1667,Roster!$B:$B,0))&amp;""),"—"))</f>
        <v/>
      </c>
      <c r="F1667" s="25">
        <f>IF($C1667="","",IFERROR(IF(INDEX(Roster!$D:$D,MATCH($C1667,Roster!$B:$B,0))="","",INDEX(Roster!$D:$D,MATCH($C1667,Roster!$B:$B,0))&amp;""),"—"))</f>
        <v/>
      </c>
      <c r="G1667" s="25">
        <f>IF($C1667="","",IFERROR(IF(INDEX(Roster!$E:$E,MATCH($C1667,Roster!$B:$B,0))="","",INDEX(Roster!$E:$E,MATCH($C1667,Roster!$B:$B,0))&amp;""),"—"))</f>
        <v/>
      </c>
      <c r="H1667" s="25">
        <f>IF($C1667="","",IFERROR(IF(INDEX(Roster!$F:$F,MATCH($C1667,Roster!$B:$B,0))="","",INDEX(Roster!$F:$F,MATCH($C1667,Roster!$B:$B,0))&amp;""),"—"))</f>
        <v/>
      </c>
      <c r="I1667" s="25">
        <f>IF($C1667="","",IFERROR(IF(INDEX(Roster!$G:$G,MATCH($C1667,Roster!$B:$B,0))="","",INDEX(Roster!$G:$G,MATCH($C1667,Roster!$B:$B,0))&amp;""),"—"))</f>
        <v/>
      </c>
      <c r="J1667" s="25">
        <f>IF($C1667="","",IFERROR(IF(INDEX(Roster!$I:$I,MATCH($C1667,Roster!$B:$B,0))="","",INDEX(Roster!$I:$I,MATCH($C1667,Roster!$B:$B,0))&amp;""),"—"))</f>
        <v/>
      </c>
      <c r="K1667">
        <f>IF($C1667="","",IFERROR(IF(INDEX(Roster!$J:$J,MATCH($C1667,Roster!$B:$B,0))="","",INDEX(Roster!$J:$J,MATCH($C1667,Roster!$B:$B,0))&amp;""),"—"))</f>
        <v/>
      </c>
      <c r="L1667">
        <f>IF($C1667="","",IFERROR(IF(INDEX(Roster!$K:$K,MATCH($C1667,Roster!$B:$B,0))="","",INDEX(Roster!$K:$K,MATCH($C1667,Roster!$B:$B,0))&amp;""),"—"))</f>
        <v/>
      </c>
      <c r="M1667" s="27" t="n"/>
      <c r="N1667" s="27" t="n"/>
      <c r="O1667" s="25">
        <f>IF($C1667="","",IF($P1667="","—",IF($P1667="Valid (Pass)","Valid","Invalid")))</f>
        <v/>
      </c>
      <c r="P1667" s="27" t="n"/>
      <c r="Q1667" s="27" t="n"/>
      <c r="R1667" s="27" t="n"/>
      <c r="S1667" s="27" t="n"/>
      <c r="T1667" s="25">
        <f>IF($C1667="","",IF(OR(ISNUMBER(SEARCH("quick case",$P1667)),ISNUMBER(SEARCH("quick case",$Q1667))),"Yes","No"))</f>
        <v/>
      </c>
      <c r="U1667" s="25">
        <f>IF($O1667="Invalid",HYPERLINK("mailto:"&amp;$G1667&amp;";"&amp;$I1667&amp;"?cc="&amp;Lists!$E$2&amp;"&amp;subject="&amp;_xlfn.ENCODEURL("[INVALID] Quality audit monitoring completed for "&amp;UPPER($C1667))&amp;"&amp;body="&amp;_xlfn.ENCODEURL("Hi "&amp;$F1667&amp;","&amp;CHAR(10)&amp;"Good day!"&amp;CHAR(10)&amp;CHAR(10)&amp;"A quality monitoring audit has been completed for "&amp;$C1667&amp;"."&amp;CHAR(10)&amp;CHAR(10)&amp;"QUALITY AUDIT DETAILS"&amp;CHAR(10)&amp;"Agent Name: "&amp;$C1667&amp;" (EID "&amp;$D1667&amp;")"&amp;CHAR(10)&amp;"Audit Date: "&amp;TEXT($B1667,"yyyy-mm-dd")&amp;CHAR(10)&amp;"Team Leader: "&amp;$F1667&amp;CHAR(10)&amp;"Case Number: "&amp;$M1667&amp;CHAR(10)&amp;"Transaction ID: "&amp;$N1667&amp;CHAR(10)&amp;"Channel / LOB: "&amp;$K1667&amp;" / "&amp;$L1667&amp;CHAR(10)&amp;"Evaluator: "&amp;$S1667&amp;CHAR(10)&amp;CHAR(10)&amp;"INVALID QUALITY AUDIT DETAILS"&amp;CHAR(10)&amp;"Validation: Invalid"&amp;CHAR(10)&amp;"Invalid Reason: "&amp;$P1667&amp;CHAR(10)&amp;"Expected Resolution Code: "&amp;$Q1667&amp;CHAR(10)&amp;"Remarks: "&amp;LEFT($R1667,600)&amp;CHAR(10)&amp;CHAR(10)&amp;"This is an automated notification from HP Mainstream EQMS."),"✉ Open Email Draft"),"")</f>
        <v/>
      </c>
    </row>
    <row r="1668">
      <c r="A1668" s="25">
        <f>IF($C1668="","","AUD-2026-"&amp;TEXT(ROW()-1,"000000"))</f>
        <v/>
      </c>
      <c r="B1668" s="26" t="n"/>
      <c r="C1668" s="27" t="n"/>
      <c r="D1668" s="25">
        <f>IF($C1668="","",IFERROR(IF(INDEX(Roster!$A:$A,MATCH($C1668,Roster!$B:$B,0))="","",INDEX(Roster!$A:$A,MATCH($C1668,Roster!$B:$B,0))&amp;""),"—"))</f>
        <v/>
      </c>
      <c r="E1668" s="25">
        <f>IF($C1668="","",IFERROR(IF(INDEX(Roster!$C:$C,MATCH($C1668,Roster!$B:$B,0))="","",INDEX(Roster!$C:$C,MATCH($C1668,Roster!$B:$B,0))&amp;""),"—"))</f>
        <v/>
      </c>
      <c r="F1668" s="25">
        <f>IF($C1668="","",IFERROR(IF(INDEX(Roster!$D:$D,MATCH($C1668,Roster!$B:$B,0))="","",INDEX(Roster!$D:$D,MATCH($C1668,Roster!$B:$B,0))&amp;""),"—"))</f>
        <v/>
      </c>
      <c r="G1668" s="25">
        <f>IF($C1668="","",IFERROR(IF(INDEX(Roster!$E:$E,MATCH($C1668,Roster!$B:$B,0))="","",INDEX(Roster!$E:$E,MATCH($C1668,Roster!$B:$B,0))&amp;""),"—"))</f>
        <v/>
      </c>
      <c r="H1668" s="25">
        <f>IF($C1668="","",IFERROR(IF(INDEX(Roster!$F:$F,MATCH($C1668,Roster!$B:$B,0))="","",INDEX(Roster!$F:$F,MATCH($C1668,Roster!$B:$B,0))&amp;""),"—"))</f>
        <v/>
      </c>
      <c r="I1668" s="25">
        <f>IF($C1668="","",IFERROR(IF(INDEX(Roster!$G:$G,MATCH($C1668,Roster!$B:$B,0))="","",INDEX(Roster!$G:$G,MATCH($C1668,Roster!$B:$B,0))&amp;""),"—"))</f>
        <v/>
      </c>
      <c r="J1668" s="25">
        <f>IF($C1668="","",IFERROR(IF(INDEX(Roster!$I:$I,MATCH($C1668,Roster!$B:$B,0))="","",INDEX(Roster!$I:$I,MATCH($C1668,Roster!$B:$B,0))&amp;""),"—"))</f>
        <v/>
      </c>
      <c r="K1668">
        <f>IF($C1668="","",IFERROR(IF(INDEX(Roster!$J:$J,MATCH($C1668,Roster!$B:$B,0))="","",INDEX(Roster!$J:$J,MATCH($C1668,Roster!$B:$B,0))&amp;""),"—"))</f>
        <v/>
      </c>
      <c r="L1668">
        <f>IF($C1668="","",IFERROR(IF(INDEX(Roster!$K:$K,MATCH($C1668,Roster!$B:$B,0))="","",INDEX(Roster!$K:$K,MATCH($C1668,Roster!$B:$B,0))&amp;""),"—"))</f>
        <v/>
      </c>
      <c r="M1668" s="27" t="n"/>
      <c r="N1668" s="27" t="n"/>
      <c r="O1668" s="25">
        <f>IF($C1668="","",IF($P1668="","—",IF($P1668="Valid (Pass)","Valid","Invalid")))</f>
        <v/>
      </c>
      <c r="P1668" s="27" t="n"/>
      <c r="Q1668" s="27" t="n"/>
      <c r="R1668" s="27" t="n"/>
      <c r="S1668" s="27" t="n"/>
      <c r="T1668" s="25">
        <f>IF($C1668="","",IF(OR(ISNUMBER(SEARCH("quick case",$P1668)),ISNUMBER(SEARCH("quick case",$Q1668))),"Yes","No"))</f>
        <v/>
      </c>
      <c r="U1668" s="25">
        <f>IF($O1668="Invalid",HYPERLINK("mailto:"&amp;$G1668&amp;";"&amp;$I1668&amp;"?cc="&amp;Lists!$E$2&amp;"&amp;subject="&amp;_xlfn.ENCODEURL("[INVALID] Quality audit monitoring completed for "&amp;UPPER($C1668))&amp;"&amp;body="&amp;_xlfn.ENCODEURL("Hi "&amp;$F1668&amp;","&amp;CHAR(10)&amp;"Good day!"&amp;CHAR(10)&amp;CHAR(10)&amp;"A quality monitoring audit has been completed for "&amp;$C1668&amp;"."&amp;CHAR(10)&amp;CHAR(10)&amp;"QUALITY AUDIT DETAILS"&amp;CHAR(10)&amp;"Agent Name: "&amp;$C1668&amp;" (EID "&amp;$D1668&amp;")"&amp;CHAR(10)&amp;"Audit Date: "&amp;TEXT($B1668,"yyyy-mm-dd")&amp;CHAR(10)&amp;"Team Leader: "&amp;$F1668&amp;CHAR(10)&amp;"Case Number: "&amp;$M1668&amp;CHAR(10)&amp;"Transaction ID: "&amp;$N1668&amp;CHAR(10)&amp;"Channel / LOB: "&amp;$K1668&amp;" / "&amp;$L1668&amp;CHAR(10)&amp;"Evaluator: "&amp;$S1668&amp;CHAR(10)&amp;CHAR(10)&amp;"INVALID QUALITY AUDIT DETAILS"&amp;CHAR(10)&amp;"Validation: Invalid"&amp;CHAR(10)&amp;"Invalid Reason: "&amp;$P1668&amp;CHAR(10)&amp;"Expected Resolution Code: "&amp;$Q1668&amp;CHAR(10)&amp;"Remarks: "&amp;LEFT($R1668,600)&amp;CHAR(10)&amp;CHAR(10)&amp;"This is an automated notification from HP Mainstream EQMS."),"✉ Open Email Draft"),"")</f>
        <v/>
      </c>
    </row>
    <row r="1669">
      <c r="A1669" s="25">
        <f>IF($C1669="","","AUD-2026-"&amp;TEXT(ROW()-1,"000000"))</f>
        <v/>
      </c>
      <c r="B1669" s="26" t="n"/>
      <c r="C1669" s="27" t="n"/>
      <c r="D1669" s="25">
        <f>IF($C1669="","",IFERROR(IF(INDEX(Roster!$A:$A,MATCH($C1669,Roster!$B:$B,0))="","",INDEX(Roster!$A:$A,MATCH($C1669,Roster!$B:$B,0))&amp;""),"—"))</f>
        <v/>
      </c>
      <c r="E1669" s="25">
        <f>IF($C1669="","",IFERROR(IF(INDEX(Roster!$C:$C,MATCH($C1669,Roster!$B:$B,0))="","",INDEX(Roster!$C:$C,MATCH($C1669,Roster!$B:$B,0))&amp;""),"—"))</f>
        <v/>
      </c>
      <c r="F1669" s="25">
        <f>IF($C1669="","",IFERROR(IF(INDEX(Roster!$D:$D,MATCH($C1669,Roster!$B:$B,0))="","",INDEX(Roster!$D:$D,MATCH($C1669,Roster!$B:$B,0))&amp;""),"—"))</f>
        <v/>
      </c>
      <c r="G1669" s="25">
        <f>IF($C1669="","",IFERROR(IF(INDEX(Roster!$E:$E,MATCH($C1669,Roster!$B:$B,0))="","",INDEX(Roster!$E:$E,MATCH($C1669,Roster!$B:$B,0))&amp;""),"—"))</f>
        <v/>
      </c>
      <c r="H1669" s="25">
        <f>IF($C1669="","",IFERROR(IF(INDEX(Roster!$F:$F,MATCH($C1669,Roster!$B:$B,0))="","",INDEX(Roster!$F:$F,MATCH($C1669,Roster!$B:$B,0))&amp;""),"—"))</f>
        <v/>
      </c>
      <c r="I1669" s="25">
        <f>IF($C1669="","",IFERROR(IF(INDEX(Roster!$G:$G,MATCH($C1669,Roster!$B:$B,0))="","",INDEX(Roster!$G:$G,MATCH($C1669,Roster!$B:$B,0))&amp;""),"—"))</f>
        <v/>
      </c>
      <c r="J1669" s="25">
        <f>IF($C1669="","",IFERROR(IF(INDEX(Roster!$I:$I,MATCH($C1669,Roster!$B:$B,0))="","",INDEX(Roster!$I:$I,MATCH($C1669,Roster!$B:$B,0))&amp;""),"—"))</f>
        <v/>
      </c>
      <c r="K1669">
        <f>IF($C1669="","",IFERROR(IF(INDEX(Roster!$J:$J,MATCH($C1669,Roster!$B:$B,0))="","",INDEX(Roster!$J:$J,MATCH($C1669,Roster!$B:$B,0))&amp;""),"—"))</f>
        <v/>
      </c>
      <c r="L1669">
        <f>IF($C1669="","",IFERROR(IF(INDEX(Roster!$K:$K,MATCH($C1669,Roster!$B:$B,0))="","",INDEX(Roster!$K:$K,MATCH($C1669,Roster!$B:$B,0))&amp;""),"—"))</f>
        <v/>
      </c>
      <c r="M1669" s="27" t="n"/>
      <c r="N1669" s="27" t="n"/>
      <c r="O1669" s="25">
        <f>IF($C1669="","",IF($P1669="","—",IF($P1669="Valid (Pass)","Valid","Invalid")))</f>
        <v/>
      </c>
      <c r="P1669" s="27" t="n"/>
      <c r="Q1669" s="27" t="n"/>
      <c r="R1669" s="27" t="n"/>
      <c r="S1669" s="27" t="n"/>
      <c r="T1669" s="25">
        <f>IF($C1669="","",IF(OR(ISNUMBER(SEARCH("quick case",$P1669)),ISNUMBER(SEARCH("quick case",$Q1669))),"Yes","No"))</f>
        <v/>
      </c>
      <c r="U1669" s="25">
        <f>IF($O1669="Invalid",HYPERLINK("mailto:"&amp;$G1669&amp;";"&amp;$I1669&amp;"?cc="&amp;Lists!$E$2&amp;"&amp;subject="&amp;_xlfn.ENCODEURL("[INVALID] Quality audit monitoring completed for "&amp;UPPER($C1669))&amp;"&amp;body="&amp;_xlfn.ENCODEURL("Hi "&amp;$F1669&amp;","&amp;CHAR(10)&amp;"Good day!"&amp;CHAR(10)&amp;CHAR(10)&amp;"A quality monitoring audit has been completed for "&amp;$C1669&amp;"."&amp;CHAR(10)&amp;CHAR(10)&amp;"QUALITY AUDIT DETAILS"&amp;CHAR(10)&amp;"Agent Name: "&amp;$C1669&amp;" (EID "&amp;$D1669&amp;")"&amp;CHAR(10)&amp;"Audit Date: "&amp;TEXT($B1669,"yyyy-mm-dd")&amp;CHAR(10)&amp;"Team Leader: "&amp;$F1669&amp;CHAR(10)&amp;"Case Number: "&amp;$M1669&amp;CHAR(10)&amp;"Transaction ID: "&amp;$N1669&amp;CHAR(10)&amp;"Channel / LOB: "&amp;$K1669&amp;" / "&amp;$L1669&amp;CHAR(10)&amp;"Evaluator: "&amp;$S1669&amp;CHAR(10)&amp;CHAR(10)&amp;"INVALID QUALITY AUDIT DETAILS"&amp;CHAR(10)&amp;"Validation: Invalid"&amp;CHAR(10)&amp;"Invalid Reason: "&amp;$P1669&amp;CHAR(10)&amp;"Expected Resolution Code: "&amp;$Q1669&amp;CHAR(10)&amp;"Remarks: "&amp;LEFT($R1669,600)&amp;CHAR(10)&amp;CHAR(10)&amp;"This is an automated notification from HP Mainstream EQMS."),"✉ Open Email Draft"),"")</f>
        <v/>
      </c>
    </row>
    <row r="1670">
      <c r="A1670" s="25">
        <f>IF($C1670="","","AUD-2026-"&amp;TEXT(ROW()-1,"000000"))</f>
        <v/>
      </c>
      <c r="B1670" s="26" t="n"/>
      <c r="C1670" s="27" t="n"/>
      <c r="D1670" s="25">
        <f>IF($C1670="","",IFERROR(IF(INDEX(Roster!$A:$A,MATCH($C1670,Roster!$B:$B,0))="","",INDEX(Roster!$A:$A,MATCH($C1670,Roster!$B:$B,0))&amp;""),"—"))</f>
        <v/>
      </c>
      <c r="E1670" s="25">
        <f>IF($C1670="","",IFERROR(IF(INDEX(Roster!$C:$C,MATCH($C1670,Roster!$B:$B,0))="","",INDEX(Roster!$C:$C,MATCH($C1670,Roster!$B:$B,0))&amp;""),"—"))</f>
        <v/>
      </c>
      <c r="F1670" s="25">
        <f>IF($C1670="","",IFERROR(IF(INDEX(Roster!$D:$D,MATCH($C1670,Roster!$B:$B,0))="","",INDEX(Roster!$D:$D,MATCH($C1670,Roster!$B:$B,0))&amp;""),"—"))</f>
        <v/>
      </c>
      <c r="G1670" s="25">
        <f>IF($C1670="","",IFERROR(IF(INDEX(Roster!$E:$E,MATCH($C1670,Roster!$B:$B,0))="","",INDEX(Roster!$E:$E,MATCH($C1670,Roster!$B:$B,0))&amp;""),"—"))</f>
        <v/>
      </c>
      <c r="H1670" s="25">
        <f>IF($C1670="","",IFERROR(IF(INDEX(Roster!$F:$F,MATCH($C1670,Roster!$B:$B,0))="","",INDEX(Roster!$F:$F,MATCH($C1670,Roster!$B:$B,0))&amp;""),"—"))</f>
        <v/>
      </c>
      <c r="I1670" s="25">
        <f>IF($C1670="","",IFERROR(IF(INDEX(Roster!$G:$G,MATCH($C1670,Roster!$B:$B,0))="","",INDEX(Roster!$G:$G,MATCH($C1670,Roster!$B:$B,0))&amp;""),"—"))</f>
        <v/>
      </c>
      <c r="J1670" s="25">
        <f>IF($C1670="","",IFERROR(IF(INDEX(Roster!$I:$I,MATCH($C1670,Roster!$B:$B,0))="","",INDEX(Roster!$I:$I,MATCH($C1670,Roster!$B:$B,0))&amp;""),"—"))</f>
        <v/>
      </c>
      <c r="K1670">
        <f>IF($C1670="","",IFERROR(IF(INDEX(Roster!$J:$J,MATCH($C1670,Roster!$B:$B,0))="","",INDEX(Roster!$J:$J,MATCH($C1670,Roster!$B:$B,0))&amp;""),"—"))</f>
        <v/>
      </c>
      <c r="L1670">
        <f>IF($C1670="","",IFERROR(IF(INDEX(Roster!$K:$K,MATCH($C1670,Roster!$B:$B,0))="","",INDEX(Roster!$K:$K,MATCH($C1670,Roster!$B:$B,0))&amp;""),"—"))</f>
        <v/>
      </c>
      <c r="M1670" s="27" t="n"/>
      <c r="N1670" s="27" t="n"/>
      <c r="O1670" s="25">
        <f>IF($C1670="","",IF($P1670="","—",IF($P1670="Valid (Pass)","Valid","Invalid")))</f>
        <v/>
      </c>
      <c r="P1670" s="27" t="n"/>
      <c r="Q1670" s="27" t="n"/>
      <c r="R1670" s="27" t="n"/>
      <c r="S1670" s="27" t="n"/>
      <c r="T1670" s="25">
        <f>IF($C1670="","",IF(OR(ISNUMBER(SEARCH("quick case",$P1670)),ISNUMBER(SEARCH("quick case",$Q1670))),"Yes","No"))</f>
        <v/>
      </c>
      <c r="U1670" s="25">
        <f>IF($O1670="Invalid",HYPERLINK("mailto:"&amp;$G1670&amp;";"&amp;$I1670&amp;"?cc="&amp;Lists!$E$2&amp;"&amp;subject="&amp;_xlfn.ENCODEURL("[INVALID] Quality audit monitoring completed for "&amp;UPPER($C1670))&amp;"&amp;body="&amp;_xlfn.ENCODEURL("Hi "&amp;$F1670&amp;","&amp;CHAR(10)&amp;"Good day!"&amp;CHAR(10)&amp;CHAR(10)&amp;"A quality monitoring audit has been completed for "&amp;$C1670&amp;"."&amp;CHAR(10)&amp;CHAR(10)&amp;"QUALITY AUDIT DETAILS"&amp;CHAR(10)&amp;"Agent Name: "&amp;$C1670&amp;" (EID "&amp;$D1670&amp;")"&amp;CHAR(10)&amp;"Audit Date: "&amp;TEXT($B1670,"yyyy-mm-dd")&amp;CHAR(10)&amp;"Team Leader: "&amp;$F1670&amp;CHAR(10)&amp;"Case Number: "&amp;$M1670&amp;CHAR(10)&amp;"Transaction ID: "&amp;$N1670&amp;CHAR(10)&amp;"Channel / LOB: "&amp;$K1670&amp;" / "&amp;$L1670&amp;CHAR(10)&amp;"Evaluator: "&amp;$S1670&amp;CHAR(10)&amp;CHAR(10)&amp;"INVALID QUALITY AUDIT DETAILS"&amp;CHAR(10)&amp;"Validation: Invalid"&amp;CHAR(10)&amp;"Invalid Reason: "&amp;$P1670&amp;CHAR(10)&amp;"Expected Resolution Code: "&amp;$Q1670&amp;CHAR(10)&amp;"Remarks: "&amp;LEFT($R1670,600)&amp;CHAR(10)&amp;CHAR(10)&amp;"This is an automated notification from HP Mainstream EQMS."),"✉ Open Email Draft"),"")</f>
        <v/>
      </c>
    </row>
    <row r="1671">
      <c r="A1671" s="25">
        <f>IF($C1671="","","AUD-2026-"&amp;TEXT(ROW()-1,"000000"))</f>
        <v/>
      </c>
      <c r="B1671" s="26" t="n"/>
      <c r="C1671" s="27" t="n"/>
      <c r="D1671" s="25">
        <f>IF($C1671="","",IFERROR(IF(INDEX(Roster!$A:$A,MATCH($C1671,Roster!$B:$B,0))="","",INDEX(Roster!$A:$A,MATCH($C1671,Roster!$B:$B,0))&amp;""),"—"))</f>
        <v/>
      </c>
      <c r="E1671" s="25">
        <f>IF($C1671="","",IFERROR(IF(INDEX(Roster!$C:$C,MATCH($C1671,Roster!$B:$B,0))="","",INDEX(Roster!$C:$C,MATCH($C1671,Roster!$B:$B,0))&amp;""),"—"))</f>
        <v/>
      </c>
      <c r="F1671" s="25">
        <f>IF($C1671="","",IFERROR(IF(INDEX(Roster!$D:$D,MATCH($C1671,Roster!$B:$B,0))="","",INDEX(Roster!$D:$D,MATCH($C1671,Roster!$B:$B,0))&amp;""),"—"))</f>
        <v/>
      </c>
      <c r="G1671" s="25">
        <f>IF($C1671="","",IFERROR(IF(INDEX(Roster!$E:$E,MATCH($C1671,Roster!$B:$B,0))="","",INDEX(Roster!$E:$E,MATCH($C1671,Roster!$B:$B,0))&amp;""),"—"))</f>
        <v/>
      </c>
      <c r="H1671" s="25">
        <f>IF($C1671="","",IFERROR(IF(INDEX(Roster!$F:$F,MATCH($C1671,Roster!$B:$B,0))="","",INDEX(Roster!$F:$F,MATCH($C1671,Roster!$B:$B,0))&amp;""),"—"))</f>
        <v/>
      </c>
      <c r="I1671" s="25">
        <f>IF($C1671="","",IFERROR(IF(INDEX(Roster!$G:$G,MATCH($C1671,Roster!$B:$B,0))="","",INDEX(Roster!$G:$G,MATCH($C1671,Roster!$B:$B,0))&amp;""),"—"))</f>
        <v/>
      </c>
      <c r="J1671" s="25">
        <f>IF($C1671="","",IFERROR(IF(INDEX(Roster!$I:$I,MATCH($C1671,Roster!$B:$B,0))="","",INDEX(Roster!$I:$I,MATCH($C1671,Roster!$B:$B,0))&amp;""),"—"))</f>
        <v/>
      </c>
      <c r="K1671">
        <f>IF($C1671="","",IFERROR(IF(INDEX(Roster!$J:$J,MATCH($C1671,Roster!$B:$B,0))="","",INDEX(Roster!$J:$J,MATCH($C1671,Roster!$B:$B,0))&amp;""),"—"))</f>
        <v/>
      </c>
      <c r="L1671">
        <f>IF($C1671="","",IFERROR(IF(INDEX(Roster!$K:$K,MATCH($C1671,Roster!$B:$B,0))="","",INDEX(Roster!$K:$K,MATCH($C1671,Roster!$B:$B,0))&amp;""),"—"))</f>
        <v/>
      </c>
      <c r="M1671" s="27" t="n"/>
      <c r="N1671" s="27" t="n"/>
      <c r="O1671" s="25">
        <f>IF($C1671="","",IF($P1671="","—",IF($P1671="Valid (Pass)","Valid","Invalid")))</f>
        <v/>
      </c>
      <c r="P1671" s="27" t="n"/>
      <c r="Q1671" s="27" t="n"/>
      <c r="R1671" s="27" t="n"/>
      <c r="S1671" s="27" t="n"/>
      <c r="T1671" s="25">
        <f>IF($C1671="","",IF(OR(ISNUMBER(SEARCH("quick case",$P1671)),ISNUMBER(SEARCH("quick case",$Q1671))),"Yes","No"))</f>
        <v/>
      </c>
      <c r="U1671" s="25">
        <f>IF($O1671="Invalid",HYPERLINK("mailto:"&amp;$G1671&amp;";"&amp;$I1671&amp;"?cc="&amp;Lists!$E$2&amp;"&amp;subject="&amp;_xlfn.ENCODEURL("[INVALID] Quality audit monitoring completed for "&amp;UPPER($C1671))&amp;"&amp;body="&amp;_xlfn.ENCODEURL("Hi "&amp;$F1671&amp;","&amp;CHAR(10)&amp;"Good day!"&amp;CHAR(10)&amp;CHAR(10)&amp;"A quality monitoring audit has been completed for "&amp;$C1671&amp;"."&amp;CHAR(10)&amp;CHAR(10)&amp;"QUALITY AUDIT DETAILS"&amp;CHAR(10)&amp;"Agent Name: "&amp;$C1671&amp;" (EID "&amp;$D1671&amp;")"&amp;CHAR(10)&amp;"Audit Date: "&amp;TEXT($B1671,"yyyy-mm-dd")&amp;CHAR(10)&amp;"Team Leader: "&amp;$F1671&amp;CHAR(10)&amp;"Case Number: "&amp;$M1671&amp;CHAR(10)&amp;"Transaction ID: "&amp;$N1671&amp;CHAR(10)&amp;"Channel / LOB: "&amp;$K1671&amp;" / "&amp;$L1671&amp;CHAR(10)&amp;"Evaluator: "&amp;$S1671&amp;CHAR(10)&amp;CHAR(10)&amp;"INVALID QUALITY AUDIT DETAILS"&amp;CHAR(10)&amp;"Validation: Invalid"&amp;CHAR(10)&amp;"Invalid Reason: "&amp;$P1671&amp;CHAR(10)&amp;"Expected Resolution Code: "&amp;$Q1671&amp;CHAR(10)&amp;"Remarks: "&amp;LEFT($R1671,600)&amp;CHAR(10)&amp;CHAR(10)&amp;"This is an automated notification from HP Mainstream EQMS."),"✉ Open Email Draft"),"")</f>
        <v/>
      </c>
    </row>
    <row r="1672">
      <c r="A1672" s="25">
        <f>IF($C1672="","","AUD-2026-"&amp;TEXT(ROW()-1,"000000"))</f>
        <v/>
      </c>
      <c r="B1672" s="26" t="n"/>
      <c r="C1672" s="27" t="n"/>
      <c r="D1672" s="25">
        <f>IF($C1672="","",IFERROR(IF(INDEX(Roster!$A:$A,MATCH($C1672,Roster!$B:$B,0))="","",INDEX(Roster!$A:$A,MATCH($C1672,Roster!$B:$B,0))&amp;""),"—"))</f>
        <v/>
      </c>
      <c r="E1672" s="25">
        <f>IF($C1672="","",IFERROR(IF(INDEX(Roster!$C:$C,MATCH($C1672,Roster!$B:$B,0))="","",INDEX(Roster!$C:$C,MATCH($C1672,Roster!$B:$B,0))&amp;""),"—"))</f>
        <v/>
      </c>
      <c r="F1672" s="25">
        <f>IF($C1672="","",IFERROR(IF(INDEX(Roster!$D:$D,MATCH($C1672,Roster!$B:$B,0))="","",INDEX(Roster!$D:$D,MATCH($C1672,Roster!$B:$B,0))&amp;""),"—"))</f>
        <v/>
      </c>
      <c r="G1672" s="25">
        <f>IF($C1672="","",IFERROR(IF(INDEX(Roster!$E:$E,MATCH($C1672,Roster!$B:$B,0))="","",INDEX(Roster!$E:$E,MATCH($C1672,Roster!$B:$B,0))&amp;""),"—"))</f>
        <v/>
      </c>
      <c r="H1672" s="25">
        <f>IF($C1672="","",IFERROR(IF(INDEX(Roster!$F:$F,MATCH($C1672,Roster!$B:$B,0))="","",INDEX(Roster!$F:$F,MATCH($C1672,Roster!$B:$B,0))&amp;""),"—"))</f>
        <v/>
      </c>
      <c r="I1672" s="25">
        <f>IF($C1672="","",IFERROR(IF(INDEX(Roster!$G:$G,MATCH($C1672,Roster!$B:$B,0))="","",INDEX(Roster!$G:$G,MATCH($C1672,Roster!$B:$B,0))&amp;""),"—"))</f>
        <v/>
      </c>
      <c r="J1672" s="25">
        <f>IF($C1672="","",IFERROR(IF(INDEX(Roster!$I:$I,MATCH($C1672,Roster!$B:$B,0))="","",INDEX(Roster!$I:$I,MATCH($C1672,Roster!$B:$B,0))&amp;""),"—"))</f>
        <v/>
      </c>
      <c r="K1672">
        <f>IF($C1672="","",IFERROR(IF(INDEX(Roster!$J:$J,MATCH($C1672,Roster!$B:$B,0))="","",INDEX(Roster!$J:$J,MATCH($C1672,Roster!$B:$B,0))&amp;""),"—"))</f>
        <v/>
      </c>
      <c r="L1672">
        <f>IF($C1672="","",IFERROR(IF(INDEX(Roster!$K:$K,MATCH($C1672,Roster!$B:$B,0))="","",INDEX(Roster!$K:$K,MATCH($C1672,Roster!$B:$B,0))&amp;""),"—"))</f>
        <v/>
      </c>
      <c r="M1672" s="27" t="n"/>
      <c r="N1672" s="27" t="n"/>
      <c r="O1672" s="25">
        <f>IF($C1672="","",IF($P1672="","—",IF($P1672="Valid (Pass)","Valid","Invalid")))</f>
        <v/>
      </c>
      <c r="P1672" s="27" t="n"/>
      <c r="Q1672" s="27" t="n"/>
      <c r="R1672" s="27" t="n"/>
      <c r="S1672" s="27" t="n"/>
      <c r="T1672" s="25">
        <f>IF($C1672="","",IF(OR(ISNUMBER(SEARCH("quick case",$P1672)),ISNUMBER(SEARCH("quick case",$Q1672))),"Yes","No"))</f>
        <v/>
      </c>
      <c r="U1672" s="25">
        <f>IF($O1672="Invalid",HYPERLINK("mailto:"&amp;$G1672&amp;";"&amp;$I1672&amp;"?cc="&amp;Lists!$E$2&amp;"&amp;subject="&amp;_xlfn.ENCODEURL("[INVALID] Quality audit monitoring completed for "&amp;UPPER($C1672))&amp;"&amp;body="&amp;_xlfn.ENCODEURL("Hi "&amp;$F1672&amp;","&amp;CHAR(10)&amp;"Good day!"&amp;CHAR(10)&amp;CHAR(10)&amp;"A quality monitoring audit has been completed for "&amp;$C1672&amp;"."&amp;CHAR(10)&amp;CHAR(10)&amp;"QUALITY AUDIT DETAILS"&amp;CHAR(10)&amp;"Agent Name: "&amp;$C1672&amp;" (EID "&amp;$D1672&amp;")"&amp;CHAR(10)&amp;"Audit Date: "&amp;TEXT($B1672,"yyyy-mm-dd")&amp;CHAR(10)&amp;"Team Leader: "&amp;$F1672&amp;CHAR(10)&amp;"Case Number: "&amp;$M1672&amp;CHAR(10)&amp;"Transaction ID: "&amp;$N1672&amp;CHAR(10)&amp;"Channel / LOB: "&amp;$K1672&amp;" / "&amp;$L1672&amp;CHAR(10)&amp;"Evaluator: "&amp;$S1672&amp;CHAR(10)&amp;CHAR(10)&amp;"INVALID QUALITY AUDIT DETAILS"&amp;CHAR(10)&amp;"Validation: Invalid"&amp;CHAR(10)&amp;"Invalid Reason: "&amp;$P1672&amp;CHAR(10)&amp;"Expected Resolution Code: "&amp;$Q1672&amp;CHAR(10)&amp;"Remarks: "&amp;LEFT($R1672,600)&amp;CHAR(10)&amp;CHAR(10)&amp;"This is an automated notification from HP Mainstream EQMS."),"✉ Open Email Draft"),"")</f>
        <v/>
      </c>
    </row>
    <row r="1673">
      <c r="A1673" s="25">
        <f>IF($C1673="","","AUD-2026-"&amp;TEXT(ROW()-1,"000000"))</f>
        <v/>
      </c>
      <c r="B1673" s="26" t="n"/>
      <c r="C1673" s="27" t="n"/>
      <c r="D1673" s="25">
        <f>IF($C1673="","",IFERROR(IF(INDEX(Roster!$A:$A,MATCH($C1673,Roster!$B:$B,0))="","",INDEX(Roster!$A:$A,MATCH($C1673,Roster!$B:$B,0))&amp;""),"—"))</f>
        <v/>
      </c>
      <c r="E1673" s="25">
        <f>IF($C1673="","",IFERROR(IF(INDEX(Roster!$C:$C,MATCH($C1673,Roster!$B:$B,0))="","",INDEX(Roster!$C:$C,MATCH($C1673,Roster!$B:$B,0))&amp;""),"—"))</f>
        <v/>
      </c>
      <c r="F1673" s="25">
        <f>IF($C1673="","",IFERROR(IF(INDEX(Roster!$D:$D,MATCH($C1673,Roster!$B:$B,0))="","",INDEX(Roster!$D:$D,MATCH($C1673,Roster!$B:$B,0))&amp;""),"—"))</f>
        <v/>
      </c>
      <c r="G1673" s="25">
        <f>IF($C1673="","",IFERROR(IF(INDEX(Roster!$E:$E,MATCH($C1673,Roster!$B:$B,0))="","",INDEX(Roster!$E:$E,MATCH($C1673,Roster!$B:$B,0))&amp;""),"—"))</f>
        <v/>
      </c>
      <c r="H1673" s="25">
        <f>IF($C1673="","",IFERROR(IF(INDEX(Roster!$F:$F,MATCH($C1673,Roster!$B:$B,0))="","",INDEX(Roster!$F:$F,MATCH($C1673,Roster!$B:$B,0))&amp;""),"—"))</f>
        <v/>
      </c>
      <c r="I1673" s="25">
        <f>IF($C1673="","",IFERROR(IF(INDEX(Roster!$G:$G,MATCH($C1673,Roster!$B:$B,0))="","",INDEX(Roster!$G:$G,MATCH($C1673,Roster!$B:$B,0))&amp;""),"—"))</f>
        <v/>
      </c>
      <c r="J1673" s="25">
        <f>IF($C1673="","",IFERROR(IF(INDEX(Roster!$I:$I,MATCH($C1673,Roster!$B:$B,0))="","",INDEX(Roster!$I:$I,MATCH($C1673,Roster!$B:$B,0))&amp;""),"—"))</f>
        <v/>
      </c>
      <c r="K1673">
        <f>IF($C1673="","",IFERROR(IF(INDEX(Roster!$J:$J,MATCH($C1673,Roster!$B:$B,0))="","",INDEX(Roster!$J:$J,MATCH($C1673,Roster!$B:$B,0))&amp;""),"—"))</f>
        <v/>
      </c>
      <c r="L1673">
        <f>IF($C1673="","",IFERROR(IF(INDEX(Roster!$K:$K,MATCH($C1673,Roster!$B:$B,0))="","",INDEX(Roster!$K:$K,MATCH($C1673,Roster!$B:$B,0))&amp;""),"—"))</f>
        <v/>
      </c>
      <c r="M1673" s="27" t="n"/>
      <c r="N1673" s="27" t="n"/>
      <c r="O1673" s="25">
        <f>IF($C1673="","",IF($P1673="","—",IF($P1673="Valid (Pass)","Valid","Invalid")))</f>
        <v/>
      </c>
      <c r="P1673" s="27" t="n"/>
      <c r="Q1673" s="27" t="n"/>
      <c r="R1673" s="27" t="n"/>
      <c r="S1673" s="27" t="n"/>
      <c r="T1673" s="25">
        <f>IF($C1673="","",IF(OR(ISNUMBER(SEARCH("quick case",$P1673)),ISNUMBER(SEARCH("quick case",$Q1673))),"Yes","No"))</f>
        <v/>
      </c>
      <c r="U1673" s="25">
        <f>IF($O1673="Invalid",HYPERLINK("mailto:"&amp;$G1673&amp;";"&amp;$I1673&amp;"?cc="&amp;Lists!$E$2&amp;"&amp;subject="&amp;_xlfn.ENCODEURL("[INVALID] Quality audit monitoring completed for "&amp;UPPER($C1673))&amp;"&amp;body="&amp;_xlfn.ENCODEURL("Hi "&amp;$F1673&amp;","&amp;CHAR(10)&amp;"Good day!"&amp;CHAR(10)&amp;CHAR(10)&amp;"A quality monitoring audit has been completed for "&amp;$C1673&amp;"."&amp;CHAR(10)&amp;CHAR(10)&amp;"QUALITY AUDIT DETAILS"&amp;CHAR(10)&amp;"Agent Name: "&amp;$C1673&amp;" (EID "&amp;$D1673&amp;")"&amp;CHAR(10)&amp;"Audit Date: "&amp;TEXT($B1673,"yyyy-mm-dd")&amp;CHAR(10)&amp;"Team Leader: "&amp;$F1673&amp;CHAR(10)&amp;"Case Number: "&amp;$M1673&amp;CHAR(10)&amp;"Transaction ID: "&amp;$N1673&amp;CHAR(10)&amp;"Channel / LOB: "&amp;$K1673&amp;" / "&amp;$L1673&amp;CHAR(10)&amp;"Evaluator: "&amp;$S1673&amp;CHAR(10)&amp;CHAR(10)&amp;"INVALID QUALITY AUDIT DETAILS"&amp;CHAR(10)&amp;"Validation: Invalid"&amp;CHAR(10)&amp;"Invalid Reason: "&amp;$P1673&amp;CHAR(10)&amp;"Expected Resolution Code: "&amp;$Q1673&amp;CHAR(10)&amp;"Remarks: "&amp;LEFT($R1673,600)&amp;CHAR(10)&amp;CHAR(10)&amp;"This is an automated notification from HP Mainstream EQMS."),"✉ Open Email Draft"),"")</f>
        <v/>
      </c>
    </row>
    <row r="1674">
      <c r="A1674" s="25">
        <f>IF($C1674="","","AUD-2026-"&amp;TEXT(ROW()-1,"000000"))</f>
        <v/>
      </c>
      <c r="B1674" s="26" t="n"/>
      <c r="C1674" s="27" t="n"/>
      <c r="D1674" s="25">
        <f>IF($C1674="","",IFERROR(IF(INDEX(Roster!$A:$A,MATCH($C1674,Roster!$B:$B,0))="","",INDEX(Roster!$A:$A,MATCH($C1674,Roster!$B:$B,0))&amp;""),"—"))</f>
        <v/>
      </c>
      <c r="E1674" s="25">
        <f>IF($C1674="","",IFERROR(IF(INDEX(Roster!$C:$C,MATCH($C1674,Roster!$B:$B,0))="","",INDEX(Roster!$C:$C,MATCH($C1674,Roster!$B:$B,0))&amp;""),"—"))</f>
        <v/>
      </c>
      <c r="F1674" s="25">
        <f>IF($C1674="","",IFERROR(IF(INDEX(Roster!$D:$D,MATCH($C1674,Roster!$B:$B,0))="","",INDEX(Roster!$D:$D,MATCH($C1674,Roster!$B:$B,0))&amp;""),"—"))</f>
        <v/>
      </c>
      <c r="G1674" s="25">
        <f>IF($C1674="","",IFERROR(IF(INDEX(Roster!$E:$E,MATCH($C1674,Roster!$B:$B,0))="","",INDEX(Roster!$E:$E,MATCH($C1674,Roster!$B:$B,0))&amp;""),"—"))</f>
        <v/>
      </c>
      <c r="H1674" s="25">
        <f>IF($C1674="","",IFERROR(IF(INDEX(Roster!$F:$F,MATCH($C1674,Roster!$B:$B,0))="","",INDEX(Roster!$F:$F,MATCH($C1674,Roster!$B:$B,0))&amp;""),"—"))</f>
        <v/>
      </c>
      <c r="I1674" s="25">
        <f>IF($C1674="","",IFERROR(IF(INDEX(Roster!$G:$G,MATCH($C1674,Roster!$B:$B,0))="","",INDEX(Roster!$G:$G,MATCH($C1674,Roster!$B:$B,0))&amp;""),"—"))</f>
        <v/>
      </c>
      <c r="J1674" s="25">
        <f>IF($C1674="","",IFERROR(IF(INDEX(Roster!$I:$I,MATCH($C1674,Roster!$B:$B,0))="","",INDEX(Roster!$I:$I,MATCH($C1674,Roster!$B:$B,0))&amp;""),"—"))</f>
        <v/>
      </c>
      <c r="K1674">
        <f>IF($C1674="","",IFERROR(IF(INDEX(Roster!$J:$J,MATCH($C1674,Roster!$B:$B,0))="","",INDEX(Roster!$J:$J,MATCH($C1674,Roster!$B:$B,0))&amp;""),"—"))</f>
        <v/>
      </c>
      <c r="L1674">
        <f>IF($C1674="","",IFERROR(IF(INDEX(Roster!$K:$K,MATCH($C1674,Roster!$B:$B,0))="","",INDEX(Roster!$K:$K,MATCH($C1674,Roster!$B:$B,0))&amp;""),"—"))</f>
        <v/>
      </c>
      <c r="M1674" s="27" t="n"/>
      <c r="N1674" s="27" t="n"/>
      <c r="O1674" s="25">
        <f>IF($C1674="","",IF($P1674="","—",IF($P1674="Valid (Pass)","Valid","Invalid")))</f>
        <v/>
      </c>
      <c r="P1674" s="27" t="n"/>
      <c r="Q1674" s="27" t="n"/>
      <c r="R1674" s="27" t="n"/>
      <c r="S1674" s="27" t="n"/>
      <c r="T1674" s="25">
        <f>IF($C1674="","",IF(OR(ISNUMBER(SEARCH("quick case",$P1674)),ISNUMBER(SEARCH("quick case",$Q1674))),"Yes","No"))</f>
        <v/>
      </c>
      <c r="U1674" s="25">
        <f>IF($O1674="Invalid",HYPERLINK("mailto:"&amp;$G1674&amp;";"&amp;$I1674&amp;"?cc="&amp;Lists!$E$2&amp;"&amp;subject="&amp;_xlfn.ENCODEURL("[INVALID] Quality audit monitoring completed for "&amp;UPPER($C1674))&amp;"&amp;body="&amp;_xlfn.ENCODEURL("Hi "&amp;$F1674&amp;","&amp;CHAR(10)&amp;"Good day!"&amp;CHAR(10)&amp;CHAR(10)&amp;"A quality monitoring audit has been completed for "&amp;$C1674&amp;"."&amp;CHAR(10)&amp;CHAR(10)&amp;"QUALITY AUDIT DETAILS"&amp;CHAR(10)&amp;"Agent Name: "&amp;$C1674&amp;" (EID "&amp;$D1674&amp;")"&amp;CHAR(10)&amp;"Audit Date: "&amp;TEXT($B1674,"yyyy-mm-dd")&amp;CHAR(10)&amp;"Team Leader: "&amp;$F1674&amp;CHAR(10)&amp;"Case Number: "&amp;$M1674&amp;CHAR(10)&amp;"Transaction ID: "&amp;$N1674&amp;CHAR(10)&amp;"Channel / LOB: "&amp;$K1674&amp;" / "&amp;$L1674&amp;CHAR(10)&amp;"Evaluator: "&amp;$S1674&amp;CHAR(10)&amp;CHAR(10)&amp;"INVALID QUALITY AUDIT DETAILS"&amp;CHAR(10)&amp;"Validation: Invalid"&amp;CHAR(10)&amp;"Invalid Reason: "&amp;$P1674&amp;CHAR(10)&amp;"Expected Resolution Code: "&amp;$Q1674&amp;CHAR(10)&amp;"Remarks: "&amp;LEFT($R1674,600)&amp;CHAR(10)&amp;CHAR(10)&amp;"This is an automated notification from HP Mainstream EQMS."),"✉ Open Email Draft"),"")</f>
        <v/>
      </c>
    </row>
    <row r="1675">
      <c r="A1675" s="25">
        <f>IF($C1675="","","AUD-2026-"&amp;TEXT(ROW()-1,"000000"))</f>
        <v/>
      </c>
      <c r="B1675" s="26" t="n"/>
      <c r="C1675" s="27" t="n"/>
      <c r="D1675" s="25">
        <f>IF($C1675="","",IFERROR(IF(INDEX(Roster!$A:$A,MATCH($C1675,Roster!$B:$B,0))="","",INDEX(Roster!$A:$A,MATCH($C1675,Roster!$B:$B,0))&amp;""),"—"))</f>
        <v/>
      </c>
      <c r="E1675" s="25">
        <f>IF($C1675="","",IFERROR(IF(INDEX(Roster!$C:$C,MATCH($C1675,Roster!$B:$B,0))="","",INDEX(Roster!$C:$C,MATCH($C1675,Roster!$B:$B,0))&amp;""),"—"))</f>
        <v/>
      </c>
      <c r="F1675" s="25">
        <f>IF($C1675="","",IFERROR(IF(INDEX(Roster!$D:$D,MATCH($C1675,Roster!$B:$B,0))="","",INDEX(Roster!$D:$D,MATCH($C1675,Roster!$B:$B,0))&amp;""),"—"))</f>
        <v/>
      </c>
      <c r="G1675" s="25">
        <f>IF($C1675="","",IFERROR(IF(INDEX(Roster!$E:$E,MATCH($C1675,Roster!$B:$B,0))="","",INDEX(Roster!$E:$E,MATCH($C1675,Roster!$B:$B,0))&amp;""),"—"))</f>
        <v/>
      </c>
      <c r="H1675" s="25">
        <f>IF($C1675="","",IFERROR(IF(INDEX(Roster!$F:$F,MATCH($C1675,Roster!$B:$B,0))="","",INDEX(Roster!$F:$F,MATCH($C1675,Roster!$B:$B,0))&amp;""),"—"))</f>
        <v/>
      </c>
      <c r="I1675" s="25">
        <f>IF($C1675="","",IFERROR(IF(INDEX(Roster!$G:$G,MATCH($C1675,Roster!$B:$B,0))="","",INDEX(Roster!$G:$G,MATCH($C1675,Roster!$B:$B,0))&amp;""),"—"))</f>
        <v/>
      </c>
      <c r="J1675" s="25">
        <f>IF($C1675="","",IFERROR(IF(INDEX(Roster!$I:$I,MATCH($C1675,Roster!$B:$B,0))="","",INDEX(Roster!$I:$I,MATCH($C1675,Roster!$B:$B,0))&amp;""),"—"))</f>
        <v/>
      </c>
      <c r="K1675">
        <f>IF($C1675="","",IFERROR(IF(INDEX(Roster!$J:$J,MATCH($C1675,Roster!$B:$B,0))="","",INDEX(Roster!$J:$J,MATCH($C1675,Roster!$B:$B,0))&amp;""),"—"))</f>
        <v/>
      </c>
      <c r="L1675">
        <f>IF($C1675="","",IFERROR(IF(INDEX(Roster!$K:$K,MATCH($C1675,Roster!$B:$B,0))="","",INDEX(Roster!$K:$K,MATCH($C1675,Roster!$B:$B,0))&amp;""),"—"))</f>
        <v/>
      </c>
      <c r="M1675" s="27" t="n"/>
      <c r="N1675" s="27" t="n"/>
      <c r="O1675" s="25">
        <f>IF($C1675="","",IF($P1675="","—",IF($P1675="Valid (Pass)","Valid","Invalid")))</f>
        <v/>
      </c>
      <c r="P1675" s="27" t="n"/>
      <c r="Q1675" s="27" t="n"/>
      <c r="R1675" s="27" t="n"/>
      <c r="S1675" s="27" t="n"/>
      <c r="T1675" s="25">
        <f>IF($C1675="","",IF(OR(ISNUMBER(SEARCH("quick case",$P1675)),ISNUMBER(SEARCH("quick case",$Q1675))),"Yes","No"))</f>
        <v/>
      </c>
      <c r="U1675" s="25">
        <f>IF($O1675="Invalid",HYPERLINK("mailto:"&amp;$G1675&amp;";"&amp;$I1675&amp;"?cc="&amp;Lists!$E$2&amp;"&amp;subject="&amp;_xlfn.ENCODEURL("[INVALID] Quality audit monitoring completed for "&amp;UPPER($C1675))&amp;"&amp;body="&amp;_xlfn.ENCODEURL("Hi "&amp;$F1675&amp;","&amp;CHAR(10)&amp;"Good day!"&amp;CHAR(10)&amp;CHAR(10)&amp;"A quality monitoring audit has been completed for "&amp;$C1675&amp;"."&amp;CHAR(10)&amp;CHAR(10)&amp;"QUALITY AUDIT DETAILS"&amp;CHAR(10)&amp;"Agent Name: "&amp;$C1675&amp;" (EID "&amp;$D1675&amp;")"&amp;CHAR(10)&amp;"Audit Date: "&amp;TEXT($B1675,"yyyy-mm-dd")&amp;CHAR(10)&amp;"Team Leader: "&amp;$F1675&amp;CHAR(10)&amp;"Case Number: "&amp;$M1675&amp;CHAR(10)&amp;"Transaction ID: "&amp;$N1675&amp;CHAR(10)&amp;"Channel / LOB: "&amp;$K1675&amp;" / "&amp;$L1675&amp;CHAR(10)&amp;"Evaluator: "&amp;$S1675&amp;CHAR(10)&amp;CHAR(10)&amp;"INVALID QUALITY AUDIT DETAILS"&amp;CHAR(10)&amp;"Validation: Invalid"&amp;CHAR(10)&amp;"Invalid Reason: "&amp;$P1675&amp;CHAR(10)&amp;"Expected Resolution Code: "&amp;$Q1675&amp;CHAR(10)&amp;"Remarks: "&amp;LEFT($R1675,600)&amp;CHAR(10)&amp;CHAR(10)&amp;"This is an automated notification from HP Mainstream EQMS."),"✉ Open Email Draft"),"")</f>
        <v/>
      </c>
    </row>
    <row r="1676">
      <c r="A1676" s="25">
        <f>IF($C1676="","","AUD-2026-"&amp;TEXT(ROW()-1,"000000"))</f>
        <v/>
      </c>
      <c r="B1676" s="26" t="n"/>
      <c r="C1676" s="27" t="n"/>
      <c r="D1676" s="25">
        <f>IF($C1676="","",IFERROR(IF(INDEX(Roster!$A:$A,MATCH($C1676,Roster!$B:$B,0))="","",INDEX(Roster!$A:$A,MATCH($C1676,Roster!$B:$B,0))&amp;""),"—"))</f>
        <v/>
      </c>
      <c r="E1676" s="25">
        <f>IF($C1676="","",IFERROR(IF(INDEX(Roster!$C:$C,MATCH($C1676,Roster!$B:$B,0))="","",INDEX(Roster!$C:$C,MATCH($C1676,Roster!$B:$B,0))&amp;""),"—"))</f>
        <v/>
      </c>
      <c r="F1676" s="25">
        <f>IF($C1676="","",IFERROR(IF(INDEX(Roster!$D:$D,MATCH($C1676,Roster!$B:$B,0))="","",INDEX(Roster!$D:$D,MATCH($C1676,Roster!$B:$B,0))&amp;""),"—"))</f>
        <v/>
      </c>
      <c r="G1676" s="25">
        <f>IF($C1676="","",IFERROR(IF(INDEX(Roster!$E:$E,MATCH($C1676,Roster!$B:$B,0))="","",INDEX(Roster!$E:$E,MATCH($C1676,Roster!$B:$B,0))&amp;""),"—"))</f>
        <v/>
      </c>
      <c r="H1676" s="25">
        <f>IF($C1676="","",IFERROR(IF(INDEX(Roster!$F:$F,MATCH($C1676,Roster!$B:$B,0))="","",INDEX(Roster!$F:$F,MATCH($C1676,Roster!$B:$B,0))&amp;""),"—"))</f>
        <v/>
      </c>
      <c r="I1676" s="25">
        <f>IF($C1676="","",IFERROR(IF(INDEX(Roster!$G:$G,MATCH($C1676,Roster!$B:$B,0))="","",INDEX(Roster!$G:$G,MATCH($C1676,Roster!$B:$B,0))&amp;""),"—"))</f>
        <v/>
      </c>
      <c r="J1676" s="25">
        <f>IF($C1676="","",IFERROR(IF(INDEX(Roster!$I:$I,MATCH($C1676,Roster!$B:$B,0))="","",INDEX(Roster!$I:$I,MATCH($C1676,Roster!$B:$B,0))&amp;""),"—"))</f>
        <v/>
      </c>
      <c r="K1676">
        <f>IF($C1676="","",IFERROR(IF(INDEX(Roster!$J:$J,MATCH($C1676,Roster!$B:$B,0))="","",INDEX(Roster!$J:$J,MATCH($C1676,Roster!$B:$B,0))&amp;""),"—"))</f>
        <v/>
      </c>
      <c r="L1676">
        <f>IF($C1676="","",IFERROR(IF(INDEX(Roster!$K:$K,MATCH($C1676,Roster!$B:$B,0))="","",INDEX(Roster!$K:$K,MATCH($C1676,Roster!$B:$B,0))&amp;""),"—"))</f>
        <v/>
      </c>
      <c r="M1676" s="27" t="n"/>
      <c r="N1676" s="27" t="n"/>
      <c r="O1676" s="25">
        <f>IF($C1676="","",IF($P1676="","—",IF($P1676="Valid (Pass)","Valid","Invalid")))</f>
        <v/>
      </c>
      <c r="P1676" s="27" t="n"/>
      <c r="Q1676" s="27" t="n"/>
      <c r="R1676" s="27" t="n"/>
      <c r="S1676" s="27" t="n"/>
      <c r="T1676" s="25">
        <f>IF($C1676="","",IF(OR(ISNUMBER(SEARCH("quick case",$P1676)),ISNUMBER(SEARCH("quick case",$Q1676))),"Yes","No"))</f>
        <v/>
      </c>
      <c r="U1676" s="25">
        <f>IF($O1676="Invalid",HYPERLINK("mailto:"&amp;$G1676&amp;";"&amp;$I1676&amp;"?cc="&amp;Lists!$E$2&amp;"&amp;subject="&amp;_xlfn.ENCODEURL("[INVALID] Quality audit monitoring completed for "&amp;UPPER($C1676))&amp;"&amp;body="&amp;_xlfn.ENCODEURL("Hi "&amp;$F1676&amp;","&amp;CHAR(10)&amp;"Good day!"&amp;CHAR(10)&amp;CHAR(10)&amp;"A quality monitoring audit has been completed for "&amp;$C1676&amp;"."&amp;CHAR(10)&amp;CHAR(10)&amp;"QUALITY AUDIT DETAILS"&amp;CHAR(10)&amp;"Agent Name: "&amp;$C1676&amp;" (EID "&amp;$D1676&amp;")"&amp;CHAR(10)&amp;"Audit Date: "&amp;TEXT($B1676,"yyyy-mm-dd")&amp;CHAR(10)&amp;"Team Leader: "&amp;$F1676&amp;CHAR(10)&amp;"Case Number: "&amp;$M1676&amp;CHAR(10)&amp;"Transaction ID: "&amp;$N1676&amp;CHAR(10)&amp;"Channel / LOB: "&amp;$K1676&amp;" / "&amp;$L1676&amp;CHAR(10)&amp;"Evaluator: "&amp;$S1676&amp;CHAR(10)&amp;CHAR(10)&amp;"INVALID QUALITY AUDIT DETAILS"&amp;CHAR(10)&amp;"Validation: Invalid"&amp;CHAR(10)&amp;"Invalid Reason: "&amp;$P1676&amp;CHAR(10)&amp;"Expected Resolution Code: "&amp;$Q1676&amp;CHAR(10)&amp;"Remarks: "&amp;LEFT($R1676,600)&amp;CHAR(10)&amp;CHAR(10)&amp;"This is an automated notification from HP Mainstream EQMS."),"✉ Open Email Draft"),"")</f>
        <v/>
      </c>
    </row>
    <row r="1677">
      <c r="A1677" s="25">
        <f>IF($C1677="","","AUD-2026-"&amp;TEXT(ROW()-1,"000000"))</f>
        <v/>
      </c>
      <c r="B1677" s="26" t="n"/>
      <c r="C1677" s="27" t="n"/>
      <c r="D1677" s="25">
        <f>IF($C1677="","",IFERROR(IF(INDEX(Roster!$A:$A,MATCH($C1677,Roster!$B:$B,0))="","",INDEX(Roster!$A:$A,MATCH($C1677,Roster!$B:$B,0))&amp;""),"—"))</f>
        <v/>
      </c>
      <c r="E1677" s="25">
        <f>IF($C1677="","",IFERROR(IF(INDEX(Roster!$C:$C,MATCH($C1677,Roster!$B:$B,0))="","",INDEX(Roster!$C:$C,MATCH($C1677,Roster!$B:$B,0))&amp;""),"—"))</f>
        <v/>
      </c>
      <c r="F1677" s="25">
        <f>IF($C1677="","",IFERROR(IF(INDEX(Roster!$D:$D,MATCH($C1677,Roster!$B:$B,0))="","",INDEX(Roster!$D:$D,MATCH($C1677,Roster!$B:$B,0))&amp;""),"—"))</f>
        <v/>
      </c>
      <c r="G1677" s="25">
        <f>IF($C1677="","",IFERROR(IF(INDEX(Roster!$E:$E,MATCH($C1677,Roster!$B:$B,0))="","",INDEX(Roster!$E:$E,MATCH($C1677,Roster!$B:$B,0))&amp;""),"—"))</f>
        <v/>
      </c>
      <c r="H1677" s="25">
        <f>IF($C1677="","",IFERROR(IF(INDEX(Roster!$F:$F,MATCH($C1677,Roster!$B:$B,0))="","",INDEX(Roster!$F:$F,MATCH($C1677,Roster!$B:$B,0))&amp;""),"—"))</f>
        <v/>
      </c>
      <c r="I1677" s="25">
        <f>IF($C1677="","",IFERROR(IF(INDEX(Roster!$G:$G,MATCH($C1677,Roster!$B:$B,0))="","",INDEX(Roster!$G:$G,MATCH($C1677,Roster!$B:$B,0))&amp;""),"—"))</f>
        <v/>
      </c>
      <c r="J1677" s="25">
        <f>IF($C1677="","",IFERROR(IF(INDEX(Roster!$I:$I,MATCH($C1677,Roster!$B:$B,0))="","",INDEX(Roster!$I:$I,MATCH($C1677,Roster!$B:$B,0))&amp;""),"—"))</f>
        <v/>
      </c>
      <c r="K1677">
        <f>IF($C1677="","",IFERROR(IF(INDEX(Roster!$J:$J,MATCH($C1677,Roster!$B:$B,0))="","",INDEX(Roster!$J:$J,MATCH($C1677,Roster!$B:$B,0))&amp;""),"—"))</f>
        <v/>
      </c>
      <c r="L1677">
        <f>IF($C1677="","",IFERROR(IF(INDEX(Roster!$K:$K,MATCH($C1677,Roster!$B:$B,0))="","",INDEX(Roster!$K:$K,MATCH($C1677,Roster!$B:$B,0))&amp;""),"—"))</f>
        <v/>
      </c>
      <c r="M1677" s="27" t="n"/>
      <c r="N1677" s="27" t="n"/>
      <c r="O1677" s="25">
        <f>IF($C1677="","",IF($P1677="","—",IF($P1677="Valid (Pass)","Valid","Invalid")))</f>
        <v/>
      </c>
      <c r="P1677" s="27" t="n"/>
      <c r="Q1677" s="27" t="n"/>
      <c r="R1677" s="27" t="n"/>
      <c r="S1677" s="27" t="n"/>
      <c r="T1677" s="25">
        <f>IF($C1677="","",IF(OR(ISNUMBER(SEARCH("quick case",$P1677)),ISNUMBER(SEARCH("quick case",$Q1677))),"Yes","No"))</f>
        <v/>
      </c>
      <c r="U1677" s="25">
        <f>IF($O1677="Invalid",HYPERLINK("mailto:"&amp;$G1677&amp;";"&amp;$I1677&amp;"?cc="&amp;Lists!$E$2&amp;"&amp;subject="&amp;_xlfn.ENCODEURL("[INVALID] Quality audit monitoring completed for "&amp;UPPER($C1677))&amp;"&amp;body="&amp;_xlfn.ENCODEURL("Hi "&amp;$F1677&amp;","&amp;CHAR(10)&amp;"Good day!"&amp;CHAR(10)&amp;CHAR(10)&amp;"A quality monitoring audit has been completed for "&amp;$C1677&amp;"."&amp;CHAR(10)&amp;CHAR(10)&amp;"QUALITY AUDIT DETAILS"&amp;CHAR(10)&amp;"Agent Name: "&amp;$C1677&amp;" (EID "&amp;$D1677&amp;")"&amp;CHAR(10)&amp;"Audit Date: "&amp;TEXT($B1677,"yyyy-mm-dd")&amp;CHAR(10)&amp;"Team Leader: "&amp;$F1677&amp;CHAR(10)&amp;"Case Number: "&amp;$M1677&amp;CHAR(10)&amp;"Transaction ID: "&amp;$N1677&amp;CHAR(10)&amp;"Channel / LOB: "&amp;$K1677&amp;" / "&amp;$L1677&amp;CHAR(10)&amp;"Evaluator: "&amp;$S1677&amp;CHAR(10)&amp;CHAR(10)&amp;"INVALID QUALITY AUDIT DETAILS"&amp;CHAR(10)&amp;"Validation: Invalid"&amp;CHAR(10)&amp;"Invalid Reason: "&amp;$P1677&amp;CHAR(10)&amp;"Expected Resolution Code: "&amp;$Q1677&amp;CHAR(10)&amp;"Remarks: "&amp;LEFT($R1677,600)&amp;CHAR(10)&amp;CHAR(10)&amp;"This is an automated notification from HP Mainstream EQMS."),"✉ Open Email Draft"),"")</f>
        <v/>
      </c>
    </row>
    <row r="1678">
      <c r="A1678" s="25">
        <f>IF($C1678="","","AUD-2026-"&amp;TEXT(ROW()-1,"000000"))</f>
        <v/>
      </c>
      <c r="B1678" s="26" t="n"/>
      <c r="C1678" s="27" t="n"/>
      <c r="D1678" s="25">
        <f>IF($C1678="","",IFERROR(IF(INDEX(Roster!$A:$A,MATCH($C1678,Roster!$B:$B,0))="","",INDEX(Roster!$A:$A,MATCH($C1678,Roster!$B:$B,0))&amp;""),"—"))</f>
        <v/>
      </c>
      <c r="E1678" s="25">
        <f>IF($C1678="","",IFERROR(IF(INDEX(Roster!$C:$C,MATCH($C1678,Roster!$B:$B,0))="","",INDEX(Roster!$C:$C,MATCH($C1678,Roster!$B:$B,0))&amp;""),"—"))</f>
        <v/>
      </c>
      <c r="F1678" s="25">
        <f>IF($C1678="","",IFERROR(IF(INDEX(Roster!$D:$D,MATCH($C1678,Roster!$B:$B,0))="","",INDEX(Roster!$D:$D,MATCH($C1678,Roster!$B:$B,0))&amp;""),"—"))</f>
        <v/>
      </c>
      <c r="G1678" s="25">
        <f>IF($C1678="","",IFERROR(IF(INDEX(Roster!$E:$E,MATCH($C1678,Roster!$B:$B,0))="","",INDEX(Roster!$E:$E,MATCH($C1678,Roster!$B:$B,0))&amp;""),"—"))</f>
        <v/>
      </c>
      <c r="H1678" s="25">
        <f>IF($C1678="","",IFERROR(IF(INDEX(Roster!$F:$F,MATCH($C1678,Roster!$B:$B,0))="","",INDEX(Roster!$F:$F,MATCH($C1678,Roster!$B:$B,0))&amp;""),"—"))</f>
        <v/>
      </c>
      <c r="I1678" s="25">
        <f>IF($C1678="","",IFERROR(IF(INDEX(Roster!$G:$G,MATCH($C1678,Roster!$B:$B,0))="","",INDEX(Roster!$G:$G,MATCH($C1678,Roster!$B:$B,0))&amp;""),"—"))</f>
        <v/>
      </c>
      <c r="J1678" s="25">
        <f>IF($C1678="","",IFERROR(IF(INDEX(Roster!$I:$I,MATCH($C1678,Roster!$B:$B,0))="","",INDEX(Roster!$I:$I,MATCH($C1678,Roster!$B:$B,0))&amp;""),"—"))</f>
        <v/>
      </c>
      <c r="K1678">
        <f>IF($C1678="","",IFERROR(IF(INDEX(Roster!$J:$J,MATCH($C1678,Roster!$B:$B,0))="","",INDEX(Roster!$J:$J,MATCH($C1678,Roster!$B:$B,0))&amp;""),"—"))</f>
        <v/>
      </c>
      <c r="L1678">
        <f>IF($C1678="","",IFERROR(IF(INDEX(Roster!$K:$K,MATCH($C1678,Roster!$B:$B,0))="","",INDEX(Roster!$K:$K,MATCH($C1678,Roster!$B:$B,0))&amp;""),"—"))</f>
        <v/>
      </c>
      <c r="M1678" s="27" t="n"/>
      <c r="N1678" s="27" t="n"/>
      <c r="O1678" s="25">
        <f>IF($C1678="","",IF($P1678="","—",IF($P1678="Valid (Pass)","Valid","Invalid")))</f>
        <v/>
      </c>
      <c r="P1678" s="27" t="n"/>
      <c r="Q1678" s="27" t="n"/>
      <c r="R1678" s="27" t="n"/>
      <c r="S1678" s="27" t="n"/>
      <c r="T1678" s="25">
        <f>IF($C1678="","",IF(OR(ISNUMBER(SEARCH("quick case",$P1678)),ISNUMBER(SEARCH("quick case",$Q1678))),"Yes","No"))</f>
        <v/>
      </c>
      <c r="U1678" s="25">
        <f>IF($O1678="Invalid",HYPERLINK("mailto:"&amp;$G1678&amp;";"&amp;$I1678&amp;"?cc="&amp;Lists!$E$2&amp;"&amp;subject="&amp;_xlfn.ENCODEURL("[INVALID] Quality audit monitoring completed for "&amp;UPPER($C1678))&amp;"&amp;body="&amp;_xlfn.ENCODEURL("Hi "&amp;$F1678&amp;","&amp;CHAR(10)&amp;"Good day!"&amp;CHAR(10)&amp;CHAR(10)&amp;"A quality monitoring audit has been completed for "&amp;$C1678&amp;"."&amp;CHAR(10)&amp;CHAR(10)&amp;"QUALITY AUDIT DETAILS"&amp;CHAR(10)&amp;"Agent Name: "&amp;$C1678&amp;" (EID "&amp;$D1678&amp;")"&amp;CHAR(10)&amp;"Audit Date: "&amp;TEXT($B1678,"yyyy-mm-dd")&amp;CHAR(10)&amp;"Team Leader: "&amp;$F1678&amp;CHAR(10)&amp;"Case Number: "&amp;$M1678&amp;CHAR(10)&amp;"Transaction ID: "&amp;$N1678&amp;CHAR(10)&amp;"Channel / LOB: "&amp;$K1678&amp;" / "&amp;$L1678&amp;CHAR(10)&amp;"Evaluator: "&amp;$S1678&amp;CHAR(10)&amp;CHAR(10)&amp;"INVALID QUALITY AUDIT DETAILS"&amp;CHAR(10)&amp;"Validation: Invalid"&amp;CHAR(10)&amp;"Invalid Reason: "&amp;$P1678&amp;CHAR(10)&amp;"Expected Resolution Code: "&amp;$Q1678&amp;CHAR(10)&amp;"Remarks: "&amp;LEFT($R1678,600)&amp;CHAR(10)&amp;CHAR(10)&amp;"This is an automated notification from HP Mainstream EQMS."),"✉ Open Email Draft"),"")</f>
        <v/>
      </c>
    </row>
    <row r="1679">
      <c r="A1679" s="25">
        <f>IF($C1679="","","AUD-2026-"&amp;TEXT(ROW()-1,"000000"))</f>
        <v/>
      </c>
      <c r="B1679" s="26" t="n"/>
      <c r="C1679" s="27" t="n"/>
      <c r="D1679" s="25">
        <f>IF($C1679="","",IFERROR(IF(INDEX(Roster!$A:$A,MATCH($C1679,Roster!$B:$B,0))="","",INDEX(Roster!$A:$A,MATCH($C1679,Roster!$B:$B,0))&amp;""),"—"))</f>
        <v/>
      </c>
      <c r="E1679" s="25">
        <f>IF($C1679="","",IFERROR(IF(INDEX(Roster!$C:$C,MATCH($C1679,Roster!$B:$B,0))="","",INDEX(Roster!$C:$C,MATCH($C1679,Roster!$B:$B,0))&amp;""),"—"))</f>
        <v/>
      </c>
      <c r="F1679" s="25">
        <f>IF($C1679="","",IFERROR(IF(INDEX(Roster!$D:$D,MATCH($C1679,Roster!$B:$B,0))="","",INDEX(Roster!$D:$D,MATCH($C1679,Roster!$B:$B,0))&amp;""),"—"))</f>
        <v/>
      </c>
      <c r="G1679" s="25">
        <f>IF($C1679="","",IFERROR(IF(INDEX(Roster!$E:$E,MATCH($C1679,Roster!$B:$B,0))="","",INDEX(Roster!$E:$E,MATCH($C1679,Roster!$B:$B,0))&amp;""),"—"))</f>
        <v/>
      </c>
      <c r="H1679" s="25">
        <f>IF($C1679="","",IFERROR(IF(INDEX(Roster!$F:$F,MATCH($C1679,Roster!$B:$B,0))="","",INDEX(Roster!$F:$F,MATCH($C1679,Roster!$B:$B,0))&amp;""),"—"))</f>
        <v/>
      </c>
      <c r="I1679" s="25">
        <f>IF($C1679="","",IFERROR(IF(INDEX(Roster!$G:$G,MATCH($C1679,Roster!$B:$B,0))="","",INDEX(Roster!$G:$G,MATCH($C1679,Roster!$B:$B,0))&amp;""),"—"))</f>
        <v/>
      </c>
      <c r="J1679" s="25">
        <f>IF($C1679="","",IFERROR(IF(INDEX(Roster!$I:$I,MATCH($C1679,Roster!$B:$B,0))="","",INDEX(Roster!$I:$I,MATCH($C1679,Roster!$B:$B,0))&amp;""),"—"))</f>
        <v/>
      </c>
      <c r="K1679">
        <f>IF($C1679="","",IFERROR(IF(INDEX(Roster!$J:$J,MATCH($C1679,Roster!$B:$B,0))="","",INDEX(Roster!$J:$J,MATCH($C1679,Roster!$B:$B,0))&amp;""),"—"))</f>
        <v/>
      </c>
      <c r="L1679">
        <f>IF($C1679="","",IFERROR(IF(INDEX(Roster!$K:$K,MATCH($C1679,Roster!$B:$B,0))="","",INDEX(Roster!$K:$K,MATCH($C1679,Roster!$B:$B,0))&amp;""),"—"))</f>
        <v/>
      </c>
      <c r="M1679" s="27" t="n"/>
      <c r="N1679" s="27" t="n"/>
      <c r="O1679" s="25">
        <f>IF($C1679="","",IF($P1679="","—",IF($P1679="Valid (Pass)","Valid","Invalid")))</f>
        <v/>
      </c>
      <c r="P1679" s="27" t="n"/>
      <c r="Q1679" s="27" t="n"/>
      <c r="R1679" s="27" t="n"/>
      <c r="S1679" s="27" t="n"/>
      <c r="T1679" s="25">
        <f>IF($C1679="","",IF(OR(ISNUMBER(SEARCH("quick case",$P1679)),ISNUMBER(SEARCH("quick case",$Q1679))),"Yes","No"))</f>
        <v/>
      </c>
      <c r="U1679" s="25">
        <f>IF($O1679="Invalid",HYPERLINK("mailto:"&amp;$G1679&amp;";"&amp;$I1679&amp;"?cc="&amp;Lists!$E$2&amp;"&amp;subject="&amp;_xlfn.ENCODEURL("[INVALID] Quality audit monitoring completed for "&amp;UPPER($C1679))&amp;"&amp;body="&amp;_xlfn.ENCODEURL("Hi "&amp;$F1679&amp;","&amp;CHAR(10)&amp;"Good day!"&amp;CHAR(10)&amp;CHAR(10)&amp;"A quality monitoring audit has been completed for "&amp;$C1679&amp;"."&amp;CHAR(10)&amp;CHAR(10)&amp;"QUALITY AUDIT DETAILS"&amp;CHAR(10)&amp;"Agent Name: "&amp;$C1679&amp;" (EID "&amp;$D1679&amp;")"&amp;CHAR(10)&amp;"Audit Date: "&amp;TEXT($B1679,"yyyy-mm-dd")&amp;CHAR(10)&amp;"Team Leader: "&amp;$F1679&amp;CHAR(10)&amp;"Case Number: "&amp;$M1679&amp;CHAR(10)&amp;"Transaction ID: "&amp;$N1679&amp;CHAR(10)&amp;"Channel / LOB: "&amp;$K1679&amp;" / "&amp;$L1679&amp;CHAR(10)&amp;"Evaluator: "&amp;$S1679&amp;CHAR(10)&amp;CHAR(10)&amp;"INVALID QUALITY AUDIT DETAILS"&amp;CHAR(10)&amp;"Validation: Invalid"&amp;CHAR(10)&amp;"Invalid Reason: "&amp;$P1679&amp;CHAR(10)&amp;"Expected Resolution Code: "&amp;$Q1679&amp;CHAR(10)&amp;"Remarks: "&amp;LEFT($R1679,600)&amp;CHAR(10)&amp;CHAR(10)&amp;"This is an automated notification from HP Mainstream EQMS."),"✉ Open Email Draft"),"")</f>
        <v/>
      </c>
    </row>
    <row r="1680">
      <c r="A1680" s="25">
        <f>IF($C1680="","","AUD-2026-"&amp;TEXT(ROW()-1,"000000"))</f>
        <v/>
      </c>
      <c r="B1680" s="26" t="n"/>
      <c r="C1680" s="27" t="n"/>
      <c r="D1680" s="25">
        <f>IF($C1680="","",IFERROR(IF(INDEX(Roster!$A:$A,MATCH($C1680,Roster!$B:$B,0))="","",INDEX(Roster!$A:$A,MATCH($C1680,Roster!$B:$B,0))&amp;""),"—"))</f>
        <v/>
      </c>
      <c r="E1680" s="25">
        <f>IF($C1680="","",IFERROR(IF(INDEX(Roster!$C:$C,MATCH($C1680,Roster!$B:$B,0))="","",INDEX(Roster!$C:$C,MATCH($C1680,Roster!$B:$B,0))&amp;""),"—"))</f>
        <v/>
      </c>
      <c r="F1680" s="25">
        <f>IF($C1680="","",IFERROR(IF(INDEX(Roster!$D:$D,MATCH($C1680,Roster!$B:$B,0))="","",INDEX(Roster!$D:$D,MATCH($C1680,Roster!$B:$B,0))&amp;""),"—"))</f>
        <v/>
      </c>
      <c r="G1680" s="25">
        <f>IF($C1680="","",IFERROR(IF(INDEX(Roster!$E:$E,MATCH($C1680,Roster!$B:$B,0))="","",INDEX(Roster!$E:$E,MATCH($C1680,Roster!$B:$B,0))&amp;""),"—"))</f>
        <v/>
      </c>
      <c r="H1680" s="25">
        <f>IF($C1680="","",IFERROR(IF(INDEX(Roster!$F:$F,MATCH($C1680,Roster!$B:$B,0))="","",INDEX(Roster!$F:$F,MATCH($C1680,Roster!$B:$B,0))&amp;""),"—"))</f>
        <v/>
      </c>
      <c r="I1680" s="25">
        <f>IF($C1680="","",IFERROR(IF(INDEX(Roster!$G:$G,MATCH($C1680,Roster!$B:$B,0))="","",INDEX(Roster!$G:$G,MATCH($C1680,Roster!$B:$B,0))&amp;""),"—"))</f>
        <v/>
      </c>
      <c r="J1680" s="25">
        <f>IF($C1680="","",IFERROR(IF(INDEX(Roster!$I:$I,MATCH($C1680,Roster!$B:$B,0))="","",INDEX(Roster!$I:$I,MATCH($C1680,Roster!$B:$B,0))&amp;""),"—"))</f>
        <v/>
      </c>
      <c r="K1680">
        <f>IF($C1680="","",IFERROR(IF(INDEX(Roster!$J:$J,MATCH($C1680,Roster!$B:$B,0))="","",INDEX(Roster!$J:$J,MATCH($C1680,Roster!$B:$B,0))&amp;""),"—"))</f>
        <v/>
      </c>
      <c r="L1680">
        <f>IF($C1680="","",IFERROR(IF(INDEX(Roster!$K:$K,MATCH($C1680,Roster!$B:$B,0))="","",INDEX(Roster!$K:$K,MATCH($C1680,Roster!$B:$B,0))&amp;""),"—"))</f>
        <v/>
      </c>
      <c r="M1680" s="27" t="n"/>
      <c r="N1680" s="27" t="n"/>
      <c r="O1680" s="25">
        <f>IF($C1680="","",IF($P1680="","—",IF($P1680="Valid (Pass)","Valid","Invalid")))</f>
        <v/>
      </c>
      <c r="P1680" s="27" t="n"/>
      <c r="Q1680" s="27" t="n"/>
      <c r="R1680" s="27" t="n"/>
      <c r="S1680" s="27" t="n"/>
      <c r="T1680" s="25">
        <f>IF($C1680="","",IF(OR(ISNUMBER(SEARCH("quick case",$P1680)),ISNUMBER(SEARCH("quick case",$Q1680))),"Yes","No"))</f>
        <v/>
      </c>
      <c r="U1680" s="25">
        <f>IF($O1680="Invalid",HYPERLINK("mailto:"&amp;$G1680&amp;";"&amp;$I1680&amp;"?cc="&amp;Lists!$E$2&amp;"&amp;subject="&amp;_xlfn.ENCODEURL("[INVALID] Quality audit monitoring completed for "&amp;UPPER($C1680))&amp;"&amp;body="&amp;_xlfn.ENCODEURL("Hi "&amp;$F1680&amp;","&amp;CHAR(10)&amp;"Good day!"&amp;CHAR(10)&amp;CHAR(10)&amp;"A quality monitoring audit has been completed for "&amp;$C1680&amp;"."&amp;CHAR(10)&amp;CHAR(10)&amp;"QUALITY AUDIT DETAILS"&amp;CHAR(10)&amp;"Agent Name: "&amp;$C1680&amp;" (EID "&amp;$D1680&amp;")"&amp;CHAR(10)&amp;"Audit Date: "&amp;TEXT($B1680,"yyyy-mm-dd")&amp;CHAR(10)&amp;"Team Leader: "&amp;$F1680&amp;CHAR(10)&amp;"Case Number: "&amp;$M1680&amp;CHAR(10)&amp;"Transaction ID: "&amp;$N1680&amp;CHAR(10)&amp;"Channel / LOB: "&amp;$K1680&amp;" / "&amp;$L1680&amp;CHAR(10)&amp;"Evaluator: "&amp;$S1680&amp;CHAR(10)&amp;CHAR(10)&amp;"INVALID QUALITY AUDIT DETAILS"&amp;CHAR(10)&amp;"Validation: Invalid"&amp;CHAR(10)&amp;"Invalid Reason: "&amp;$P1680&amp;CHAR(10)&amp;"Expected Resolution Code: "&amp;$Q1680&amp;CHAR(10)&amp;"Remarks: "&amp;LEFT($R1680,600)&amp;CHAR(10)&amp;CHAR(10)&amp;"This is an automated notification from HP Mainstream EQMS."),"✉ Open Email Draft"),"")</f>
        <v/>
      </c>
    </row>
    <row r="1681">
      <c r="A1681" s="25">
        <f>IF($C1681="","","AUD-2026-"&amp;TEXT(ROW()-1,"000000"))</f>
        <v/>
      </c>
      <c r="B1681" s="26" t="n"/>
      <c r="C1681" s="27" t="n"/>
      <c r="D1681" s="25">
        <f>IF($C1681="","",IFERROR(IF(INDEX(Roster!$A:$A,MATCH($C1681,Roster!$B:$B,0))="","",INDEX(Roster!$A:$A,MATCH($C1681,Roster!$B:$B,0))&amp;""),"—"))</f>
        <v/>
      </c>
      <c r="E1681" s="25">
        <f>IF($C1681="","",IFERROR(IF(INDEX(Roster!$C:$C,MATCH($C1681,Roster!$B:$B,0))="","",INDEX(Roster!$C:$C,MATCH($C1681,Roster!$B:$B,0))&amp;""),"—"))</f>
        <v/>
      </c>
      <c r="F1681" s="25">
        <f>IF($C1681="","",IFERROR(IF(INDEX(Roster!$D:$D,MATCH($C1681,Roster!$B:$B,0))="","",INDEX(Roster!$D:$D,MATCH($C1681,Roster!$B:$B,0))&amp;""),"—"))</f>
        <v/>
      </c>
      <c r="G1681" s="25">
        <f>IF($C1681="","",IFERROR(IF(INDEX(Roster!$E:$E,MATCH($C1681,Roster!$B:$B,0))="","",INDEX(Roster!$E:$E,MATCH($C1681,Roster!$B:$B,0))&amp;""),"—"))</f>
        <v/>
      </c>
      <c r="H1681" s="25">
        <f>IF($C1681="","",IFERROR(IF(INDEX(Roster!$F:$F,MATCH($C1681,Roster!$B:$B,0))="","",INDEX(Roster!$F:$F,MATCH($C1681,Roster!$B:$B,0))&amp;""),"—"))</f>
        <v/>
      </c>
      <c r="I1681" s="25">
        <f>IF($C1681="","",IFERROR(IF(INDEX(Roster!$G:$G,MATCH($C1681,Roster!$B:$B,0))="","",INDEX(Roster!$G:$G,MATCH($C1681,Roster!$B:$B,0))&amp;""),"—"))</f>
        <v/>
      </c>
      <c r="J1681" s="25">
        <f>IF($C1681="","",IFERROR(IF(INDEX(Roster!$I:$I,MATCH($C1681,Roster!$B:$B,0))="","",INDEX(Roster!$I:$I,MATCH($C1681,Roster!$B:$B,0))&amp;""),"—"))</f>
        <v/>
      </c>
      <c r="K1681">
        <f>IF($C1681="","",IFERROR(IF(INDEX(Roster!$J:$J,MATCH($C1681,Roster!$B:$B,0))="","",INDEX(Roster!$J:$J,MATCH($C1681,Roster!$B:$B,0))&amp;""),"—"))</f>
        <v/>
      </c>
      <c r="L1681">
        <f>IF($C1681="","",IFERROR(IF(INDEX(Roster!$K:$K,MATCH($C1681,Roster!$B:$B,0))="","",INDEX(Roster!$K:$K,MATCH($C1681,Roster!$B:$B,0))&amp;""),"—"))</f>
        <v/>
      </c>
      <c r="M1681" s="27" t="n"/>
      <c r="N1681" s="27" t="n"/>
      <c r="O1681" s="25">
        <f>IF($C1681="","",IF($P1681="","—",IF($P1681="Valid (Pass)","Valid","Invalid")))</f>
        <v/>
      </c>
      <c r="P1681" s="27" t="n"/>
      <c r="Q1681" s="27" t="n"/>
      <c r="R1681" s="27" t="n"/>
      <c r="S1681" s="27" t="n"/>
      <c r="T1681" s="25">
        <f>IF($C1681="","",IF(OR(ISNUMBER(SEARCH("quick case",$P1681)),ISNUMBER(SEARCH("quick case",$Q1681))),"Yes","No"))</f>
        <v/>
      </c>
      <c r="U1681" s="25">
        <f>IF($O1681="Invalid",HYPERLINK("mailto:"&amp;$G1681&amp;";"&amp;$I1681&amp;"?cc="&amp;Lists!$E$2&amp;"&amp;subject="&amp;_xlfn.ENCODEURL("[INVALID] Quality audit monitoring completed for "&amp;UPPER($C1681))&amp;"&amp;body="&amp;_xlfn.ENCODEURL("Hi "&amp;$F1681&amp;","&amp;CHAR(10)&amp;"Good day!"&amp;CHAR(10)&amp;CHAR(10)&amp;"A quality monitoring audit has been completed for "&amp;$C1681&amp;"."&amp;CHAR(10)&amp;CHAR(10)&amp;"QUALITY AUDIT DETAILS"&amp;CHAR(10)&amp;"Agent Name: "&amp;$C1681&amp;" (EID "&amp;$D1681&amp;")"&amp;CHAR(10)&amp;"Audit Date: "&amp;TEXT($B1681,"yyyy-mm-dd")&amp;CHAR(10)&amp;"Team Leader: "&amp;$F1681&amp;CHAR(10)&amp;"Case Number: "&amp;$M1681&amp;CHAR(10)&amp;"Transaction ID: "&amp;$N1681&amp;CHAR(10)&amp;"Channel / LOB: "&amp;$K1681&amp;" / "&amp;$L1681&amp;CHAR(10)&amp;"Evaluator: "&amp;$S1681&amp;CHAR(10)&amp;CHAR(10)&amp;"INVALID QUALITY AUDIT DETAILS"&amp;CHAR(10)&amp;"Validation: Invalid"&amp;CHAR(10)&amp;"Invalid Reason: "&amp;$P1681&amp;CHAR(10)&amp;"Expected Resolution Code: "&amp;$Q1681&amp;CHAR(10)&amp;"Remarks: "&amp;LEFT($R1681,600)&amp;CHAR(10)&amp;CHAR(10)&amp;"This is an automated notification from HP Mainstream EQMS."),"✉ Open Email Draft"),"")</f>
        <v/>
      </c>
    </row>
    <row r="1682">
      <c r="A1682" s="25">
        <f>IF($C1682="","","AUD-2026-"&amp;TEXT(ROW()-1,"000000"))</f>
        <v/>
      </c>
      <c r="B1682" s="26" t="n"/>
      <c r="C1682" s="27" t="n"/>
      <c r="D1682" s="25">
        <f>IF($C1682="","",IFERROR(IF(INDEX(Roster!$A:$A,MATCH($C1682,Roster!$B:$B,0))="","",INDEX(Roster!$A:$A,MATCH($C1682,Roster!$B:$B,0))&amp;""),"—"))</f>
        <v/>
      </c>
      <c r="E1682" s="25">
        <f>IF($C1682="","",IFERROR(IF(INDEX(Roster!$C:$C,MATCH($C1682,Roster!$B:$B,0))="","",INDEX(Roster!$C:$C,MATCH($C1682,Roster!$B:$B,0))&amp;""),"—"))</f>
        <v/>
      </c>
      <c r="F1682" s="25">
        <f>IF($C1682="","",IFERROR(IF(INDEX(Roster!$D:$D,MATCH($C1682,Roster!$B:$B,0))="","",INDEX(Roster!$D:$D,MATCH($C1682,Roster!$B:$B,0))&amp;""),"—"))</f>
        <v/>
      </c>
      <c r="G1682" s="25">
        <f>IF($C1682="","",IFERROR(IF(INDEX(Roster!$E:$E,MATCH($C1682,Roster!$B:$B,0))="","",INDEX(Roster!$E:$E,MATCH($C1682,Roster!$B:$B,0))&amp;""),"—"))</f>
        <v/>
      </c>
      <c r="H1682" s="25">
        <f>IF($C1682="","",IFERROR(IF(INDEX(Roster!$F:$F,MATCH($C1682,Roster!$B:$B,0))="","",INDEX(Roster!$F:$F,MATCH($C1682,Roster!$B:$B,0))&amp;""),"—"))</f>
        <v/>
      </c>
      <c r="I1682" s="25">
        <f>IF($C1682="","",IFERROR(IF(INDEX(Roster!$G:$G,MATCH($C1682,Roster!$B:$B,0))="","",INDEX(Roster!$G:$G,MATCH($C1682,Roster!$B:$B,0))&amp;""),"—"))</f>
        <v/>
      </c>
      <c r="J1682" s="25">
        <f>IF($C1682="","",IFERROR(IF(INDEX(Roster!$I:$I,MATCH($C1682,Roster!$B:$B,0))="","",INDEX(Roster!$I:$I,MATCH($C1682,Roster!$B:$B,0))&amp;""),"—"))</f>
        <v/>
      </c>
      <c r="K1682">
        <f>IF($C1682="","",IFERROR(IF(INDEX(Roster!$J:$J,MATCH($C1682,Roster!$B:$B,0))="","",INDEX(Roster!$J:$J,MATCH($C1682,Roster!$B:$B,0))&amp;""),"—"))</f>
        <v/>
      </c>
      <c r="L1682">
        <f>IF($C1682="","",IFERROR(IF(INDEX(Roster!$K:$K,MATCH($C1682,Roster!$B:$B,0))="","",INDEX(Roster!$K:$K,MATCH($C1682,Roster!$B:$B,0))&amp;""),"—"))</f>
        <v/>
      </c>
      <c r="M1682" s="27" t="n"/>
      <c r="N1682" s="27" t="n"/>
      <c r="O1682" s="25">
        <f>IF($C1682="","",IF($P1682="","—",IF($P1682="Valid (Pass)","Valid","Invalid")))</f>
        <v/>
      </c>
      <c r="P1682" s="27" t="n"/>
      <c r="Q1682" s="27" t="n"/>
      <c r="R1682" s="27" t="n"/>
      <c r="S1682" s="27" t="n"/>
      <c r="T1682" s="25">
        <f>IF($C1682="","",IF(OR(ISNUMBER(SEARCH("quick case",$P1682)),ISNUMBER(SEARCH("quick case",$Q1682))),"Yes","No"))</f>
        <v/>
      </c>
      <c r="U1682" s="25">
        <f>IF($O1682="Invalid",HYPERLINK("mailto:"&amp;$G1682&amp;";"&amp;$I1682&amp;"?cc="&amp;Lists!$E$2&amp;"&amp;subject="&amp;_xlfn.ENCODEURL("[INVALID] Quality audit monitoring completed for "&amp;UPPER($C1682))&amp;"&amp;body="&amp;_xlfn.ENCODEURL("Hi "&amp;$F1682&amp;","&amp;CHAR(10)&amp;"Good day!"&amp;CHAR(10)&amp;CHAR(10)&amp;"A quality monitoring audit has been completed for "&amp;$C1682&amp;"."&amp;CHAR(10)&amp;CHAR(10)&amp;"QUALITY AUDIT DETAILS"&amp;CHAR(10)&amp;"Agent Name: "&amp;$C1682&amp;" (EID "&amp;$D1682&amp;")"&amp;CHAR(10)&amp;"Audit Date: "&amp;TEXT($B1682,"yyyy-mm-dd")&amp;CHAR(10)&amp;"Team Leader: "&amp;$F1682&amp;CHAR(10)&amp;"Case Number: "&amp;$M1682&amp;CHAR(10)&amp;"Transaction ID: "&amp;$N1682&amp;CHAR(10)&amp;"Channel / LOB: "&amp;$K1682&amp;" / "&amp;$L1682&amp;CHAR(10)&amp;"Evaluator: "&amp;$S1682&amp;CHAR(10)&amp;CHAR(10)&amp;"INVALID QUALITY AUDIT DETAILS"&amp;CHAR(10)&amp;"Validation: Invalid"&amp;CHAR(10)&amp;"Invalid Reason: "&amp;$P1682&amp;CHAR(10)&amp;"Expected Resolution Code: "&amp;$Q1682&amp;CHAR(10)&amp;"Remarks: "&amp;LEFT($R1682,600)&amp;CHAR(10)&amp;CHAR(10)&amp;"This is an automated notification from HP Mainstream EQMS."),"✉ Open Email Draft"),"")</f>
        <v/>
      </c>
    </row>
    <row r="1683">
      <c r="A1683" s="25">
        <f>IF($C1683="","","AUD-2026-"&amp;TEXT(ROW()-1,"000000"))</f>
        <v/>
      </c>
      <c r="B1683" s="26" t="n"/>
      <c r="C1683" s="27" t="n"/>
      <c r="D1683" s="25">
        <f>IF($C1683="","",IFERROR(IF(INDEX(Roster!$A:$A,MATCH($C1683,Roster!$B:$B,0))="","",INDEX(Roster!$A:$A,MATCH($C1683,Roster!$B:$B,0))&amp;""),"—"))</f>
        <v/>
      </c>
      <c r="E1683" s="25">
        <f>IF($C1683="","",IFERROR(IF(INDEX(Roster!$C:$C,MATCH($C1683,Roster!$B:$B,0))="","",INDEX(Roster!$C:$C,MATCH($C1683,Roster!$B:$B,0))&amp;""),"—"))</f>
        <v/>
      </c>
      <c r="F1683" s="25">
        <f>IF($C1683="","",IFERROR(IF(INDEX(Roster!$D:$D,MATCH($C1683,Roster!$B:$B,0))="","",INDEX(Roster!$D:$D,MATCH($C1683,Roster!$B:$B,0))&amp;""),"—"))</f>
        <v/>
      </c>
      <c r="G1683" s="25">
        <f>IF($C1683="","",IFERROR(IF(INDEX(Roster!$E:$E,MATCH($C1683,Roster!$B:$B,0))="","",INDEX(Roster!$E:$E,MATCH($C1683,Roster!$B:$B,0))&amp;""),"—"))</f>
        <v/>
      </c>
      <c r="H1683" s="25">
        <f>IF($C1683="","",IFERROR(IF(INDEX(Roster!$F:$F,MATCH($C1683,Roster!$B:$B,0))="","",INDEX(Roster!$F:$F,MATCH($C1683,Roster!$B:$B,0))&amp;""),"—"))</f>
        <v/>
      </c>
      <c r="I1683" s="25">
        <f>IF($C1683="","",IFERROR(IF(INDEX(Roster!$G:$G,MATCH($C1683,Roster!$B:$B,0))="","",INDEX(Roster!$G:$G,MATCH($C1683,Roster!$B:$B,0))&amp;""),"—"))</f>
        <v/>
      </c>
      <c r="J1683" s="25">
        <f>IF($C1683="","",IFERROR(IF(INDEX(Roster!$I:$I,MATCH($C1683,Roster!$B:$B,0))="","",INDEX(Roster!$I:$I,MATCH($C1683,Roster!$B:$B,0))&amp;""),"—"))</f>
        <v/>
      </c>
      <c r="K1683">
        <f>IF($C1683="","",IFERROR(IF(INDEX(Roster!$J:$J,MATCH($C1683,Roster!$B:$B,0))="","",INDEX(Roster!$J:$J,MATCH($C1683,Roster!$B:$B,0))&amp;""),"—"))</f>
        <v/>
      </c>
      <c r="L1683">
        <f>IF($C1683="","",IFERROR(IF(INDEX(Roster!$K:$K,MATCH($C1683,Roster!$B:$B,0))="","",INDEX(Roster!$K:$K,MATCH($C1683,Roster!$B:$B,0))&amp;""),"—"))</f>
        <v/>
      </c>
      <c r="M1683" s="27" t="n"/>
      <c r="N1683" s="27" t="n"/>
      <c r="O1683" s="25">
        <f>IF($C1683="","",IF($P1683="","—",IF($P1683="Valid (Pass)","Valid","Invalid")))</f>
        <v/>
      </c>
      <c r="P1683" s="27" t="n"/>
      <c r="Q1683" s="27" t="n"/>
      <c r="R1683" s="27" t="n"/>
      <c r="S1683" s="27" t="n"/>
      <c r="T1683" s="25">
        <f>IF($C1683="","",IF(OR(ISNUMBER(SEARCH("quick case",$P1683)),ISNUMBER(SEARCH("quick case",$Q1683))),"Yes","No"))</f>
        <v/>
      </c>
      <c r="U1683" s="25">
        <f>IF($O1683="Invalid",HYPERLINK("mailto:"&amp;$G1683&amp;";"&amp;$I1683&amp;"?cc="&amp;Lists!$E$2&amp;"&amp;subject="&amp;_xlfn.ENCODEURL("[INVALID] Quality audit monitoring completed for "&amp;UPPER($C1683))&amp;"&amp;body="&amp;_xlfn.ENCODEURL("Hi "&amp;$F1683&amp;","&amp;CHAR(10)&amp;"Good day!"&amp;CHAR(10)&amp;CHAR(10)&amp;"A quality monitoring audit has been completed for "&amp;$C1683&amp;"."&amp;CHAR(10)&amp;CHAR(10)&amp;"QUALITY AUDIT DETAILS"&amp;CHAR(10)&amp;"Agent Name: "&amp;$C1683&amp;" (EID "&amp;$D1683&amp;")"&amp;CHAR(10)&amp;"Audit Date: "&amp;TEXT($B1683,"yyyy-mm-dd")&amp;CHAR(10)&amp;"Team Leader: "&amp;$F1683&amp;CHAR(10)&amp;"Case Number: "&amp;$M1683&amp;CHAR(10)&amp;"Transaction ID: "&amp;$N1683&amp;CHAR(10)&amp;"Channel / LOB: "&amp;$K1683&amp;" / "&amp;$L1683&amp;CHAR(10)&amp;"Evaluator: "&amp;$S1683&amp;CHAR(10)&amp;CHAR(10)&amp;"INVALID QUALITY AUDIT DETAILS"&amp;CHAR(10)&amp;"Validation: Invalid"&amp;CHAR(10)&amp;"Invalid Reason: "&amp;$P1683&amp;CHAR(10)&amp;"Expected Resolution Code: "&amp;$Q1683&amp;CHAR(10)&amp;"Remarks: "&amp;LEFT($R1683,600)&amp;CHAR(10)&amp;CHAR(10)&amp;"This is an automated notification from HP Mainstream EQMS."),"✉ Open Email Draft"),"")</f>
        <v/>
      </c>
    </row>
    <row r="1684">
      <c r="A1684" s="25">
        <f>IF($C1684="","","AUD-2026-"&amp;TEXT(ROW()-1,"000000"))</f>
        <v/>
      </c>
      <c r="B1684" s="26" t="n"/>
      <c r="C1684" s="27" t="n"/>
      <c r="D1684" s="25">
        <f>IF($C1684="","",IFERROR(IF(INDEX(Roster!$A:$A,MATCH($C1684,Roster!$B:$B,0))="","",INDEX(Roster!$A:$A,MATCH($C1684,Roster!$B:$B,0))&amp;""),"—"))</f>
        <v/>
      </c>
      <c r="E1684" s="25">
        <f>IF($C1684="","",IFERROR(IF(INDEX(Roster!$C:$C,MATCH($C1684,Roster!$B:$B,0))="","",INDEX(Roster!$C:$C,MATCH($C1684,Roster!$B:$B,0))&amp;""),"—"))</f>
        <v/>
      </c>
      <c r="F1684" s="25">
        <f>IF($C1684="","",IFERROR(IF(INDEX(Roster!$D:$D,MATCH($C1684,Roster!$B:$B,0))="","",INDEX(Roster!$D:$D,MATCH($C1684,Roster!$B:$B,0))&amp;""),"—"))</f>
        <v/>
      </c>
      <c r="G1684" s="25">
        <f>IF($C1684="","",IFERROR(IF(INDEX(Roster!$E:$E,MATCH($C1684,Roster!$B:$B,0))="","",INDEX(Roster!$E:$E,MATCH($C1684,Roster!$B:$B,0))&amp;""),"—"))</f>
        <v/>
      </c>
      <c r="H1684" s="25">
        <f>IF($C1684="","",IFERROR(IF(INDEX(Roster!$F:$F,MATCH($C1684,Roster!$B:$B,0))="","",INDEX(Roster!$F:$F,MATCH($C1684,Roster!$B:$B,0))&amp;""),"—"))</f>
        <v/>
      </c>
      <c r="I1684" s="25">
        <f>IF($C1684="","",IFERROR(IF(INDEX(Roster!$G:$G,MATCH($C1684,Roster!$B:$B,0))="","",INDEX(Roster!$G:$G,MATCH($C1684,Roster!$B:$B,0))&amp;""),"—"))</f>
        <v/>
      </c>
      <c r="J1684" s="25">
        <f>IF($C1684="","",IFERROR(IF(INDEX(Roster!$I:$I,MATCH($C1684,Roster!$B:$B,0))="","",INDEX(Roster!$I:$I,MATCH($C1684,Roster!$B:$B,0))&amp;""),"—"))</f>
        <v/>
      </c>
      <c r="K1684">
        <f>IF($C1684="","",IFERROR(IF(INDEX(Roster!$J:$J,MATCH($C1684,Roster!$B:$B,0))="","",INDEX(Roster!$J:$J,MATCH($C1684,Roster!$B:$B,0))&amp;""),"—"))</f>
        <v/>
      </c>
      <c r="L1684">
        <f>IF($C1684="","",IFERROR(IF(INDEX(Roster!$K:$K,MATCH($C1684,Roster!$B:$B,0))="","",INDEX(Roster!$K:$K,MATCH($C1684,Roster!$B:$B,0))&amp;""),"—"))</f>
        <v/>
      </c>
      <c r="M1684" s="27" t="n"/>
      <c r="N1684" s="27" t="n"/>
      <c r="O1684" s="25">
        <f>IF($C1684="","",IF($P1684="","—",IF($P1684="Valid (Pass)","Valid","Invalid")))</f>
        <v/>
      </c>
      <c r="P1684" s="27" t="n"/>
      <c r="Q1684" s="27" t="n"/>
      <c r="R1684" s="27" t="n"/>
      <c r="S1684" s="27" t="n"/>
      <c r="T1684" s="25">
        <f>IF($C1684="","",IF(OR(ISNUMBER(SEARCH("quick case",$P1684)),ISNUMBER(SEARCH("quick case",$Q1684))),"Yes","No"))</f>
        <v/>
      </c>
      <c r="U1684" s="25">
        <f>IF($O1684="Invalid",HYPERLINK("mailto:"&amp;$G1684&amp;";"&amp;$I1684&amp;"?cc="&amp;Lists!$E$2&amp;"&amp;subject="&amp;_xlfn.ENCODEURL("[INVALID] Quality audit monitoring completed for "&amp;UPPER($C1684))&amp;"&amp;body="&amp;_xlfn.ENCODEURL("Hi "&amp;$F1684&amp;","&amp;CHAR(10)&amp;"Good day!"&amp;CHAR(10)&amp;CHAR(10)&amp;"A quality monitoring audit has been completed for "&amp;$C1684&amp;"."&amp;CHAR(10)&amp;CHAR(10)&amp;"QUALITY AUDIT DETAILS"&amp;CHAR(10)&amp;"Agent Name: "&amp;$C1684&amp;" (EID "&amp;$D1684&amp;")"&amp;CHAR(10)&amp;"Audit Date: "&amp;TEXT($B1684,"yyyy-mm-dd")&amp;CHAR(10)&amp;"Team Leader: "&amp;$F1684&amp;CHAR(10)&amp;"Case Number: "&amp;$M1684&amp;CHAR(10)&amp;"Transaction ID: "&amp;$N1684&amp;CHAR(10)&amp;"Channel / LOB: "&amp;$K1684&amp;" / "&amp;$L1684&amp;CHAR(10)&amp;"Evaluator: "&amp;$S1684&amp;CHAR(10)&amp;CHAR(10)&amp;"INVALID QUALITY AUDIT DETAILS"&amp;CHAR(10)&amp;"Validation: Invalid"&amp;CHAR(10)&amp;"Invalid Reason: "&amp;$P1684&amp;CHAR(10)&amp;"Expected Resolution Code: "&amp;$Q1684&amp;CHAR(10)&amp;"Remarks: "&amp;LEFT($R1684,600)&amp;CHAR(10)&amp;CHAR(10)&amp;"This is an automated notification from HP Mainstream EQMS."),"✉ Open Email Draft"),"")</f>
        <v/>
      </c>
    </row>
    <row r="1685">
      <c r="A1685" s="25">
        <f>IF($C1685="","","AUD-2026-"&amp;TEXT(ROW()-1,"000000"))</f>
        <v/>
      </c>
      <c r="B1685" s="26" t="n"/>
      <c r="C1685" s="27" t="n"/>
      <c r="D1685" s="25">
        <f>IF($C1685="","",IFERROR(IF(INDEX(Roster!$A:$A,MATCH($C1685,Roster!$B:$B,0))="","",INDEX(Roster!$A:$A,MATCH($C1685,Roster!$B:$B,0))&amp;""),"—"))</f>
        <v/>
      </c>
      <c r="E1685" s="25">
        <f>IF($C1685="","",IFERROR(IF(INDEX(Roster!$C:$C,MATCH($C1685,Roster!$B:$B,0))="","",INDEX(Roster!$C:$C,MATCH($C1685,Roster!$B:$B,0))&amp;""),"—"))</f>
        <v/>
      </c>
      <c r="F1685" s="25">
        <f>IF($C1685="","",IFERROR(IF(INDEX(Roster!$D:$D,MATCH($C1685,Roster!$B:$B,0))="","",INDEX(Roster!$D:$D,MATCH($C1685,Roster!$B:$B,0))&amp;""),"—"))</f>
        <v/>
      </c>
      <c r="G1685" s="25">
        <f>IF($C1685="","",IFERROR(IF(INDEX(Roster!$E:$E,MATCH($C1685,Roster!$B:$B,0))="","",INDEX(Roster!$E:$E,MATCH($C1685,Roster!$B:$B,0))&amp;""),"—"))</f>
        <v/>
      </c>
      <c r="H1685" s="25">
        <f>IF($C1685="","",IFERROR(IF(INDEX(Roster!$F:$F,MATCH($C1685,Roster!$B:$B,0))="","",INDEX(Roster!$F:$F,MATCH($C1685,Roster!$B:$B,0))&amp;""),"—"))</f>
        <v/>
      </c>
      <c r="I1685" s="25">
        <f>IF($C1685="","",IFERROR(IF(INDEX(Roster!$G:$G,MATCH($C1685,Roster!$B:$B,0))="","",INDEX(Roster!$G:$G,MATCH($C1685,Roster!$B:$B,0))&amp;""),"—"))</f>
        <v/>
      </c>
      <c r="J1685" s="25">
        <f>IF($C1685="","",IFERROR(IF(INDEX(Roster!$I:$I,MATCH($C1685,Roster!$B:$B,0))="","",INDEX(Roster!$I:$I,MATCH($C1685,Roster!$B:$B,0))&amp;""),"—"))</f>
        <v/>
      </c>
      <c r="K1685">
        <f>IF($C1685="","",IFERROR(IF(INDEX(Roster!$J:$J,MATCH($C1685,Roster!$B:$B,0))="","",INDEX(Roster!$J:$J,MATCH($C1685,Roster!$B:$B,0))&amp;""),"—"))</f>
        <v/>
      </c>
      <c r="L1685">
        <f>IF($C1685="","",IFERROR(IF(INDEX(Roster!$K:$K,MATCH($C1685,Roster!$B:$B,0))="","",INDEX(Roster!$K:$K,MATCH($C1685,Roster!$B:$B,0))&amp;""),"—"))</f>
        <v/>
      </c>
      <c r="M1685" s="27" t="n"/>
      <c r="N1685" s="27" t="n"/>
      <c r="O1685" s="25">
        <f>IF($C1685="","",IF($P1685="","—",IF($P1685="Valid (Pass)","Valid","Invalid")))</f>
        <v/>
      </c>
      <c r="P1685" s="27" t="n"/>
      <c r="Q1685" s="27" t="n"/>
      <c r="R1685" s="27" t="n"/>
      <c r="S1685" s="27" t="n"/>
      <c r="T1685" s="25">
        <f>IF($C1685="","",IF(OR(ISNUMBER(SEARCH("quick case",$P1685)),ISNUMBER(SEARCH("quick case",$Q1685))),"Yes","No"))</f>
        <v/>
      </c>
      <c r="U1685" s="25">
        <f>IF($O1685="Invalid",HYPERLINK("mailto:"&amp;$G1685&amp;";"&amp;$I1685&amp;"?cc="&amp;Lists!$E$2&amp;"&amp;subject="&amp;_xlfn.ENCODEURL("[INVALID] Quality audit monitoring completed for "&amp;UPPER($C1685))&amp;"&amp;body="&amp;_xlfn.ENCODEURL("Hi "&amp;$F1685&amp;","&amp;CHAR(10)&amp;"Good day!"&amp;CHAR(10)&amp;CHAR(10)&amp;"A quality monitoring audit has been completed for "&amp;$C1685&amp;"."&amp;CHAR(10)&amp;CHAR(10)&amp;"QUALITY AUDIT DETAILS"&amp;CHAR(10)&amp;"Agent Name: "&amp;$C1685&amp;" (EID "&amp;$D1685&amp;")"&amp;CHAR(10)&amp;"Audit Date: "&amp;TEXT($B1685,"yyyy-mm-dd")&amp;CHAR(10)&amp;"Team Leader: "&amp;$F1685&amp;CHAR(10)&amp;"Case Number: "&amp;$M1685&amp;CHAR(10)&amp;"Transaction ID: "&amp;$N1685&amp;CHAR(10)&amp;"Channel / LOB: "&amp;$K1685&amp;" / "&amp;$L1685&amp;CHAR(10)&amp;"Evaluator: "&amp;$S1685&amp;CHAR(10)&amp;CHAR(10)&amp;"INVALID QUALITY AUDIT DETAILS"&amp;CHAR(10)&amp;"Validation: Invalid"&amp;CHAR(10)&amp;"Invalid Reason: "&amp;$P1685&amp;CHAR(10)&amp;"Expected Resolution Code: "&amp;$Q1685&amp;CHAR(10)&amp;"Remarks: "&amp;LEFT($R1685,600)&amp;CHAR(10)&amp;CHAR(10)&amp;"This is an automated notification from HP Mainstream EQMS."),"✉ Open Email Draft"),"")</f>
        <v/>
      </c>
    </row>
    <row r="1686">
      <c r="A1686" s="25">
        <f>IF($C1686="","","AUD-2026-"&amp;TEXT(ROW()-1,"000000"))</f>
        <v/>
      </c>
      <c r="B1686" s="26" t="n"/>
      <c r="C1686" s="27" t="n"/>
      <c r="D1686" s="25">
        <f>IF($C1686="","",IFERROR(IF(INDEX(Roster!$A:$A,MATCH($C1686,Roster!$B:$B,0))="","",INDEX(Roster!$A:$A,MATCH($C1686,Roster!$B:$B,0))&amp;""),"—"))</f>
        <v/>
      </c>
      <c r="E1686" s="25">
        <f>IF($C1686="","",IFERROR(IF(INDEX(Roster!$C:$C,MATCH($C1686,Roster!$B:$B,0))="","",INDEX(Roster!$C:$C,MATCH($C1686,Roster!$B:$B,0))&amp;""),"—"))</f>
        <v/>
      </c>
      <c r="F1686" s="25">
        <f>IF($C1686="","",IFERROR(IF(INDEX(Roster!$D:$D,MATCH($C1686,Roster!$B:$B,0))="","",INDEX(Roster!$D:$D,MATCH($C1686,Roster!$B:$B,0))&amp;""),"—"))</f>
        <v/>
      </c>
      <c r="G1686" s="25">
        <f>IF($C1686="","",IFERROR(IF(INDEX(Roster!$E:$E,MATCH($C1686,Roster!$B:$B,0))="","",INDEX(Roster!$E:$E,MATCH($C1686,Roster!$B:$B,0))&amp;""),"—"))</f>
        <v/>
      </c>
      <c r="H1686" s="25">
        <f>IF($C1686="","",IFERROR(IF(INDEX(Roster!$F:$F,MATCH($C1686,Roster!$B:$B,0))="","",INDEX(Roster!$F:$F,MATCH($C1686,Roster!$B:$B,0))&amp;""),"—"))</f>
        <v/>
      </c>
      <c r="I1686" s="25">
        <f>IF($C1686="","",IFERROR(IF(INDEX(Roster!$G:$G,MATCH($C1686,Roster!$B:$B,0))="","",INDEX(Roster!$G:$G,MATCH($C1686,Roster!$B:$B,0))&amp;""),"—"))</f>
        <v/>
      </c>
      <c r="J1686" s="25">
        <f>IF($C1686="","",IFERROR(IF(INDEX(Roster!$I:$I,MATCH($C1686,Roster!$B:$B,0))="","",INDEX(Roster!$I:$I,MATCH($C1686,Roster!$B:$B,0))&amp;""),"—"))</f>
        <v/>
      </c>
      <c r="K1686">
        <f>IF($C1686="","",IFERROR(IF(INDEX(Roster!$J:$J,MATCH($C1686,Roster!$B:$B,0))="","",INDEX(Roster!$J:$J,MATCH($C1686,Roster!$B:$B,0))&amp;""),"—"))</f>
        <v/>
      </c>
      <c r="L1686">
        <f>IF($C1686="","",IFERROR(IF(INDEX(Roster!$K:$K,MATCH($C1686,Roster!$B:$B,0))="","",INDEX(Roster!$K:$K,MATCH($C1686,Roster!$B:$B,0))&amp;""),"—"))</f>
        <v/>
      </c>
      <c r="M1686" s="27" t="n"/>
      <c r="N1686" s="27" t="n"/>
      <c r="O1686" s="25">
        <f>IF($C1686="","",IF($P1686="","—",IF($P1686="Valid (Pass)","Valid","Invalid")))</f>
        <v/>
      </c>
      <c r="P1686" s="27" t="n"/>
      <c r="Q1686" s="27" t="n"/>
      <c r="R1686" s="27" t="n"/>
      <c r="S1686" s="27" t="n"/>
      <c r="T1686" s="25">
        <f>IF($C1686="","",IF(OR(ISNUMBER(SEARCH("quick case",$P1686)),ISNUMBER(SEARCH("quick case",$Q1686))),"Yes","No"))</f>
        <v/>
      </c>
      <c r="U1686" s="25">
        <f>IF($O1686="Invalid",HYPERLINK("mailto:"&amp;$G1686&amp;";"&amp;$I1686&amp;"?cc="&amp;Lists!$E$2&amp;"&amp;subject="&amp;_xlfn.ENCODEURL("[INVALID] Quality audit monitoring completed for "&amp;UPPER($C1686))&amp;"&amp;body="&amp;_xlfn.ENCODEURL("Hi "&amp;$F1686&amp;","&amp;CHAR(10)&amp;"Good day!"&amp;CHAR(10)&amp;CHAR(10)&amp;"A quality monitoring audit has been completed for "&amp;$C1686&amp;"."&amp;CHAR(10)&amp;CHAR(10)&amp;"QUALITY AUDIT DETAILS"&amp;CHAR(10)&amp;"Agent Name: "&amp;$C1686&amp;" (EID "&amp;$D1686&amp;")"&amp;CHAR(10)&amp;"Audit Date: "&amp;TEXT($B1686,"yyyy-mm-dd")&amp;CHAR(10)&amp;"Team Leader: "&amp;$F1686&amp;CHAR(10)&amp;"Case Number: "&amp;$M1686&amp;CHAR(10)&amp;"Transaction ID: "&amp;$N1686&amp;CHAR(10)&amp;"Channel / LOB: "&amp;$K1686&amp;" / "&amp;$L1686&amp;CHAR(10)&amp;"Evaluator: "&amp;$S1686&amp;CHAR(10)&amp;CHAR(10)&amp;"INVALID QUALITY AUDIT DETAILS"&amp;CHAR(10)&amp;"Validation: Invalid"&amp;CHAR(10)&amp;"Invalid Reason: "&amp;$P1686&amp;CHAR(10)&amp;"Expected Resolution Code: "&amp;$Q1686&amp;CHAR(10)&amp;"Remarks: "&amp;LEFT($R1686,600)&amp;CHAR(10)&amp;CHAR(10)&amp;"This is an automated notification from HP Mainstream EQMS."),"✉ Open Email Draft"),"")</f>
        <v/>
      </c>
    </row>
    <row r="1687">
      <c r="A1687" s="25">
        <f>IF($C1687="","","AUD-2026-"&amp;TEXT(ROW()-1,"000000"))</f>
        <v/>
      </c>
      <c r="B1687" s="26" t="n"/>
      <c r="C1687" s="27" t="n"/>
      <c r="D1687" s="25">
        <f>IF($C1687="","",IFERROR(IF(INDEX(Roster!$A:$A,MATCH($C1687,Roster!$B:$B,0))="","",INDEX(Roster!$A:$A,MATCH($C1687,Roster!$B:$B,0))&amp;""),"—"))</f>
        <v/>
      </c>
      <c r="E1687" s="25">
        <f>IF($C1687="","",IFERROR(IF(INDEX(Roster!$C:$C,MATCH($C1687,Roster!$B:$B,0))="","",INDEX(Roster!$C:$C,MATCH($C1687,Roster!$B:$B,0))&amp;""),"—"))</f>
        <v/>
      </c>
      <c r="F1687" s="25">
        <f>IF($C1687="","",IFERROR(IF(INDEX(Roster!$D:$D,MATCH($C1687,Roster!$B:$B,0))="","",INDEX(Roster!$D:$D,MATCH($C1687,Roster!$B:$B,0))&amp;""),"—"))</f>
        <v/>
      </c>
      <c r="G1687" s="25">
        <f>IF($C1687="","",IFERROR(IF(INDEX(Roster!$E:$E,MATCH($C1687,Roster!$B:$B,0))="","",INDEX(Roster!$E:$E,MATCH($C1687,Roster!$B:$B,0))&amp;""),"—"))</f>
        <v/>
      </c>
      <c r="H1687" s="25">
        <f>IF($C1687="","",IFERROR(IF(INDEX(Roster!$F:$F,MATCH($C1687,Roster!$B:$B,0))="","",INDEX(Roster!$F:$F,MATCH($C1687,Roster!$B:$B,0))&amp;""),"—"))</f>
        <v/>
      </c>
      <c r="I1687" s="25">
        <f>IF($C1687="","",IFERROR(IF(INDEX(Roster!$G:$G,MATCH($C1687,Roster!$B:$B,0))="","",INDEX(Roster!$G:$G,MATCH($C1687,Roster!$B:$B,0))&amp;""),"—"))</f>
        <v/>
      </c>
      <c r="J1687" s="25">
        <f>IF($C1687="","",IFERROR(IF(INDEX(Roster!$I:$I,MATCH($C1687,Roster!$B:$B,0))="","",INDEX(Roster!$I:$I,MATCH($C1687,Roster!$B:$B,0))&amp;""),"—"))</f>
        <v/>
      </c>
      <c r="K1687">
        <f>IF($C1687="","",IFERROR(IF(INDEX(Roster!$J:$J,MATCH($C1687,Roster!$B:$B,0))="","",INDEX(Roster!$J:$J,MATCH($C1687,Roster!$B:$B,0))&amp;""),"—"))</f>
        <v/>
      </c>
      <c r="L1687">
        <f>IF($C1687="","",IFERROR(IF(INDEX(Roster!$K:$K,MATCH($C1687,Roster!$B:$B,0))="","",INDEX(Roster!$K:$K,MATCH($C1687,Roster!$B:$B,0))&amp;""),"—"))</f>
        <v/>
      </c>
      <c r="M1687" s="27" t="n"/>
      <c r="N1687" s="27" t="n"/>
      <c r="O1687" s="25">
        <f>IF($C1687="","",IF($P1687="","—",IF($P1687="Valid (Pass)","Valid","Invalid")))</f>
        <v/>
      </c>
      <c r="P1687" s="27" t="n"/>
      <c r="Q1687" s="27" t="n"/>
      <c r="R1687" s="27" t="n"/>
      <c r="S1687" s="27" t="n"/>
      <c r="T1687" s="25">
        <f>IF($C1687="","",IF(OR(ISNUMBER(SEARCH("quick case",$P1687)),ISNUMBER(SEARCH("quick case",$Q1687))),"Yes","No"))</f>
        <v/>
      </c>
      <c r="U1687" s="25">
        <f>IF($O1687="Invalid",HYPERLINK("mailto:"&amp;$G1687&amp;";"&amp;$I1687&amp;"?cc="&amp;Lists!$E$2&amp;"&amp;subject="&amp;_xlfn.ENCODEURL("[INVALID] Quality audit monitoring completed for "&amp;UPPER($C1687))&amp;"&amp;body="&amp;_xlfn.ENCODEURL("Hi "&amp;$F1687&amp;","&amp;CHAR(10)&amp;"Good day!"&amp;CHAR(10)&amp;CHAR(10)&amp;"A quality monitoring audit has been completed for "&amp;$C1687&amp;"."&amp;CHAR(10)&amp;CHAR(10)&amp;"QUALITY AUDIT DETAILS"&amp;CHAR(10)&amp;"Agent Name: "&amp;$C1687&amp;" (EID "&amp;$D1687&amp;")"&amp;CHAR(10)&amp;"Audit Date: "&amp;TEXT($B1687,"yyyy-mm-dd")&amp;CHAR(10)&amp;"Team Leader: "&amp;$F1687&amp;CHAR(10)&amp;"Case Number: "&amp;$M1687&amp;CHAR(10)&amp;"Transaction ID: "&amp;$N1687&amp;CHAR(10)&amp;"Channel / LOB: "&amp;$K1687&amp;" / "&amp;$L1687&amp;CHAR(10)&amp;"Evaluator: "&amp;$S1687&amp;CHAR(10)&amp;CHAR(10)&amp;"INVALID QUALITY AUDIT DETAILS"&amp;CHAR(10)&amp;"Validation: Invalid"&amp;CHAR(10)&amp;"Invalid Reason: "&amp;$P1687&amp;CHAR(10)&amp;"Expected Resolution Code: "&amp;$Q1687&amp;CHAR(10)&amp;"Remarks: "&amp;LEFT($R1687,600)&amp;CHAR(10)&amp;CHAR(10)&amp;"This is an automated notification from HP Mainstream EQMS."),"✉ Open Email Draft"),"")</f>
        <v/>
      </c>
    </row>
    <row r="1688">
      <c r="A1688" s="25">
        <f>IF($C1688="","","AUD-2026-"&amp;TEXT(ROW()-1,"000000"))</f>
        <v/>
      </c>
      <c r="B1688" s="26" t="n"/>
      <c r="C1688" s="27" t="n"/>
      <c r="D1688" s="25">
        <f>IF($C1688="","",IFERROR(IF(INDEX(Roster!$A:$A,MATCH($C1688,Roster!$B:$B,0))="","",INDEX(Roster!$A:$A,MATCH($C1688,Roster!$B:$B,0))&amp;""),"—"))</f>
        <v/>
      </c>
      <c r="E1688" s="25">
        <f>IF($C1688="","",IFERROR(IF(INDEX(Roster!$C:$C,MATCH($C1688,Roster!$B:$B,0))="","",INDEX(Roster!$C:$C,MATCH($C1688,Roster!$B:$B,0))&amp;""),"—"))</f>
        <v/>
      </c>
      <c r="F1688" s="25">
        <f>IF($C1688="","",IFERROR(IF(INDEX(Roster!$D:$D,MATCH($C1688,Roster!$B:$B,0))="","",INDEX(Roster!$D:$D,MATCH($C1688,Roster!$B:$B,0))&amp;""),"—"))</f>
        <v/>
      </c>
      <c r="G1688" s="25">
        <f>IF($C1688="","",IFERROR(IF(INDEX(Roster!$E:$E,MATCH($C1688,Roster!$B:$B,0))="","",INDEX(Roster!$E:$E,MATCH($C1688,Roster!$B:$B,0))&amp;""),"—"))</f>
        <v/>
      </c>
      <c r="H1688" s="25">
        <f>IF($C1688="","",IFERROR(IF(INDEX(Roster!$F:$F,MATCH($C1688,Roster!$B:$B,0))="","",INDEX(Roster!$F:$F,MATCH($C1688,Roster!$B:$B,0))&amp;""),"—"))</f>
        <v/>
      </c>
      <c r="I1688" s="25">
        <f>IF($C1688="","",IFERROR(IF(INDEX(Roster!$G:$G,MATCH($C1688,Roster!$B:$B,0))="","",INDEX(Roster!$G:$G,MATCH($C1688,Roster!$B:$B,0))&amp;""),"—"))</f>
        <v/>
      </c>
      <c r="J1688" s="25">
        <f>IF($C1688="","",IFERROR(IF(INDEX(Roster!$I:$I,MATCH($C1688,Roster!$B:$B,0))="","",INDEX(Roster!$I:$I,MATCH($C1688,Roster!$B:$B,0))&amp;""),"—"))</f>
        <v/>
      </c>
      <c r="K1688">
        <f>IF($C1688="","",IFERROR(IF(INDEX(Roster!$J:$J,MATCH($C1688,Roster!$B:$B,0))="","",INDEX(Roster!$J:$J,MATCH($C1688,Roster!$B:$B,0))&amp;""),"—"))</f>
        <v/>
      </c>
      <c r="L1688">
        <f>IF($C1688="","",IFERROR(IF(INDEX(Roster!$K:$K,MATCH($C1688,Roster!$B:$B,0))="","",INDEX(Roster!$K:$K,MATCH($C1688,Roster!$B:$B,0))&amp;""),"—"))</f>
        <v/>
      </c>
      <c r="M1688" s="27" t="n"/>
      <c r="N1688" s="27" t="n"/>
      <c r="O1688" s="25">
        <f>IF($C1688="","",IF($P1688="","—",IF($P1688="Valid (Pass)","Valid","Invalid")))</f>
        <v/>
      </c>
      <c r="P1688" s="27" t="n"/>
      <c r="Q1688" s="27" t="n"/>
      <c r="R1688" s="27" t="n"/>
      <c r="S1688" s="27" t="n"/>
      <c r="T1688" s="25">
        <f>IF($C1688="","",IF(OR(ISNUMBER(SEARCH("quick case",$P1688)),ISNUMBER(SEARCH("quick case",$Q1688))),"Yes","No"))</f>
        <v/>
      </c>
      <c r="U1688" s="25">
        <f>IF($O1688="Invalid",HYPERLINK("mailto:"&amp;$G1688&amp;";"&amp;$I1688&amp;"?cc="&amp;Lists!$E$2&amp;"&amp;subject="&amp;_xlfn.ENCODEURL("[INVALID] Quality audit monitoring completed for "&amp;UPPER($C1688))&amp;"&amp;body="&amp;_xlfn.ENCODEURL("Hi "&amp;$F1688&amp;","&amp;CHAR(10)&amp;"Good day!"&amp;CHAR(10)&amp;CHAR(10)&amp;"A quality monitoring audit has been completed for "&amp;$C1688&amp;"."&amp;CHAR(10)&amp;CHAR(10)&amp;"QUALITY AUDIT DETAILS"&amp;CHAR(10)&amp;"Agent Name: "&amp;$C1688&amp;" (EID "&amp;$D1688&amp;")"&amp;CHAR(10)&amp;"Audit Date: "&amp;TEXT($B1688,"yyyy-mm-dd")&amp;CHAR(10)&amp;"Team Leader: "&amp;$F1688&amp;CHAR(10)&amp;"Case Number: "&amp;$M1688&amp;CHAR(10)&amp;"Transaction ID: "&amp;$N1688&amp;CHAR(10)&amp;"Channel / LOB: "&amp;$K1688&amp;" / "&amp;$L1688&amp;CHAR(10)&amp;"Evaluator: "&amp;$S1688&amp;CHAR(10)&amp;CHAR(10)&amp;"INVALID QUALITY AUDIT DETAILS"&amp;CHAR(10)&amp;"Validation: Invalid"&amp;CHAR(10)&amp;"Invalid Reason: "&amp;$P1688&amp;CHAR(10)&amp;"Expected Resolution Code: "&amp;$Q1688&amp;CHAR(10)&amp;"Remarks: "&amp;LEFT($R1688,600)&amp;CHAR(10)&amp;CHAR(10)&amp;"This is an automated notification from HP Mainstream EQMS."),"✉ Open Email Draft"),"")</f>
        <v/>
      </c>
    </row>
    <row r="1689">
      <c r="A1689" s="25">
        <f>IF($C1689="","","AUD-2026-"&amp;TEXT(ROW()-1,"000000"))</f>
        <v/>
      </c>
      <c r="B1689" s="26" t="n"/>
      <c r="C1689" s="27" t="n"/>
      <c r="D1689" s="25">
        <f>IF($C1689="","",IFERROR(IF(INDEX(Roster!$A:$A,MATCH($C1689,Roster!$B:$B,0))="","",INDEX(Roster!$A:$A,MATCH($C1689,Roster!$B:$B,0))&amp;""),"—"))</f>
        <v/>
      </c>
      <c r="E1689" s="25">
        <f>IF($C1689="","",IFERROR(IF(INDEX(Roster!$C:$C,MATCH($C1689,Roster!$B:$B,0))="","",INDEX(Roster!$C:$C,MATCH($C1689,Roster!$B:$B,0))&amp;""),"—"))</f>
        <v/>
      </c>
      <c r="F1689" s="25">
        <f>IF($C1689="","",IFERROR(IF(INDEX(Roster!$D:$D,MATCH($C1689,Roster!$B:$B,0))="","",INDEX(Roster!$D:$D,MATCH($C1689,Roster!$B:$B,0))&amp;""),"—"))</f>
        <v/>
      </c>
      <c r="G1689" s="25">
        <f>IF($C1689="","",IFERROR(IF(INDEX(Roster!$E:$E,MATCH($C1689,Roster!$B:$B,0))="","",INDEX(Roster!$E:$E,MATCH($C1689,Roster!$B:$B,0))&amp;""),"—"))</f>
        <v/>
      </c>
      <c r="H1689" s="25">
        <f>IF($C1689="","",IFERROR(IF(INDEX(Roster!$F:$F,MATCH($C1689,Roster!$B:$B,0))="","",INDEX(Roster!$F:$F,MATCH($C1689,Roster!$B:$B,0))&amp;""),"—"))</f>
        <v/>
      </c>
      <c r="I1689" s="25">
        <f>IF($C1689="","",IFERROR(IF(INDEX(Roster!$G:$G,MATCH($C1689,Roster!$B:$B,0))="","",INDEX(Roster!$G:$G,MATCH($C1689,Roster!$B:$B,0))&amp;""),"—"))</f>
        <v/>
      </c>
      <c r="J1689" s="25">
        <f>IF($C1689="","",IFERROR(IF(INDEX(Roster!$I:$I,MATCH($C1689,Roster!$B:$B,0))="","",INDEX(Roster!$I:$I,MATCH($C1689,Roster!$B:$B,0))&amp;""),"—"))</f>
        <v/>
      </c>
      <c r="K1689">
        <f>IF($C1689="","",IFERROR(IF(INDEX(Roster!$J:$J,MATCH($C1689,Roster!$B:$B,0))="","",INDEX(Roster!$J:$J,MATCH($C1689,Roster!$B:$B,0))&amp;""),"—"))</f>
        <v/>
      </c>
      <c r="L1689">
        <f>IF($C1689="","",IFERROR(IF(INDEX(Roster!$K:$K,MATCH($C1689,Roster!$B:$B,0))="","",INDEX(Roster!$K:$K,MATCH($C1689,Roster!$B:$B,0))&amp;""),"—"))</f>
        <v/>
      </c>
      <c r="M1689" s="27" t="n"/>
      <c r="N1689" s="27" t="n"/>
      <c r="O1689" s="25">
        <f>IF($C1689="","",IF($P1689="","—",IF($P1689="Valid (Pass)","Valid","Invalid")))</f>
        <v/>
      </c>
      <c r="P1689" s="27" t="n"/>
      <c r="Q1689" s="27" t="n"/>
      <c r="R1689" s="27" t="n"/>
      <c r="S1689" s="27" t="n"/>
      <c r="T1689" s="25">
        <f>IF($C1689="","",IF(OR(ISNUMBER(SEARCH("quick case",$P1689)),ISNUMBER(SEARCH("quick case",$Q1689))),"Yes","No"))</f>
        <v/>
      </c>
      <c r="U1689" s="25">
        <f>IF($O1689="Invalid",HYPERLINK("mailto:"&amp;$G1689&amp;";"&amp;$I1689&amp;"?cc="&amp;Lists!$E$2&amp;"&amp;subject="&amp;_xlfn.ENCODEURL("[INVALID] Quality audit monitoring completed for "&amp;UPPER($C1689))&amp;"&amp;body="&amp;_xlfn.ENCODEURL("Hi "&amp;$F1689&amp;","&amp;CHAR(10)&amp;"Good day!"&amp;CHAR(10)&amp;CHAR(10)&amp;"A quality monitoring audit has been completed for "&amp;$C1689&amp;"."&amp;CHAR(10)&amp;CHAR(10)&amp;"QUALITY AUDIT DETAILS"&amp;CHAR(10)&amp;"Agent Name: "&amp;$C1689&amp;" (EID "&amp;$D1689&amp;")"&amp;CHAR(10)&amp;"Audit Date: "&amp;TEXT($B1689,"yyyy-mm-dd")&amp;CHAR(10)&amp;"Team Leader: "&amp;$F1689&amp;CHAR(10)&amp;"Case Number: "&amp;$M1689&amp;CHAR(10)&amp;"Transaction ID: "&amp;$N1689&amp;CHAR(10)&amp;"Channel / LOB: "&amp;$K1689&amp;" / "&amp;$L1689&amp;CHAR(10)&amp;"Evaluator: "&amp;$S1689&amp;CHAR(10)&amp;CHAR(10)&amp;"INVALID QUALITY AUDIT DETAILS"&amp;CHAR(10)&amp;"Validation: Invalid"&amp;CHAR(10)&amp;"Invalid Reason: "&amp;$P1689&amp;CHAR(10)&amp;"Expected Resolution Code: "&amp;$Q1689&amp;CHAR(10)&amp;"Remarks: "&amp;LEFT($R1689,600)&amp;CHAR(10)&amp;CHAR(10)&amp;"This is an automated notification from HP Mainstream EQMS."),"✉ Open Email Draft"),"")</f>
        <v/>
      </c>
    </row>
    <row r="1690">
      <c r="A1690" s="25">
        <f>IF($C1690="","","AUD-2026-"&amp;TEXT(ROW()-1,"000000"))</f>
        <v/>
      </c>
      <c r="B1690" s="26" t="n"/>
      <c r="C1690" s="27" t="n"/>
      <c r="D1690" s="25">
        <f>IF($C1690="","",IFERROR(IF(INDEX(Roster!$A:$A,MATCH($C1690,Roster!$B:$B,0))="","",INDEX(Roster!$A:$A,MATCH($C1690,Roster!$B:$B,0))&amp;""),"—"))</f>
        <v/>
      </c>
      <c r="E1690" s="25">
        <f>IF($C1690="","",IFERROR(IF(INDEX(Roster!$C:$C,MATCH($C1690,Roster!$B:$B,0))="","",INDEX(Roster!$C:$C,MATCH($C1690,Roster!$B:$B,0))&amp;""),"—"))</f>
        <v/>
      </c>
      <c r="F1690" s="25">
        <f>IF($C1690="","",IFERROR(IF(INDEX(Roster!$D:$D,MATCH($C1690,Roster!$B:$B,0))="","",INDEX(Roster!$D:$D,MATCH($C1690,Roster!$B:$B,0))&amp;""),"—"))</f>
        <v/>
      </c>
      <c r="G1690" s="25">
        <f>IF($C1690="","",IFERROR(IF(INDEX(Roster!$E:$E,MATCH($C1690,Roster!$B:$B,0))="","",INDEX(Roster!$E:$E,MATCH($C1690,Roster!$B:$B,0))&amp;""),"—"))</f>
        <v/>
      </c>
      <c r="H1690" s="25">
        <f>IF($C1690="","",IFERROR(IF(INDEX(Roster!$F:$F,MATCH($C1690,Roster!$B:$B,0))="","",INDEX(Roster!$F:$F,MATCH($C1690,Roster!$B:$B,0))&amp;""),"—"))</f>
        <v/>
      </c>
      <c r="I1690" s="25">
        <f>IF($C1690="","",IFERROR(IF(INDEX(Roster!$G:$G,MATCH($C1690,Roster!$B:$B,0))="","",INDEX(Roster!$G:$G,MATCH($C1690,Roster!$B:$B,0))&amp;""),"—"))</f>
        <v/>
      </c>
      <c r="J1690" s="25">
        <f>IF($C1690="","",IFERROR(IF(INDEX(Roster!$I:$I,MATCH($C1690,Roster!$B:$B,0))="","",INDEX(Roster!$I:$I,MATCH($C1690,Roster!$B:$B,0))&amp;""),"—"))</f>
        <v/>
      </c>
      <c r="K1690">
        <f>IF($C1690="","",IFERROR(IF(INDEX(Roster!$J:$J,MATCH($C1690,Roster!$B:$B,0))="","",INDEX(Roster!$J:$J,MATCH($C1690,Roster!$B:$B,0))&amp;""),"—"))</f>
        <v/>
      </c>
      <c r="L1690">
        <f>IF($C1690="","",IFERROR(IF(INDEX(Roster!$K:$K,MATCH($C1690,Roster!$B:$B,0))="","",INDEX(Roster!$K:$K,MATCH($C1690,Roster!$B:$B,0))&amp;""),"—"))</f>
        <v/>
      </c>
      <c r="M1690" s="27" t="n"/>
      <c r="N1690" s="27" t="n"/>
      <c r="O1690" s="25">
        <f>IF($C1690="","",IF($P1690="","—",IF($P1690="Valid (Pass)","Valid","Invalid")))</f>
        <v/>
      </c>
      <c r="P1690" s="27" t="n"/>
      <c r="Q1690" s="27" t="n"/>
      <c r="R1690" s="27" t="n"/>
      <c r="S1690" s="27" t="n"/>
      <c r="T1690" s="25">
        <f>IF($C1690="","",IF(OR(ISNUMBER(SEARCH("quick case",$P1690)),ISNUMBER(SEARCH("quick case",$Q1690))),"Yes","No"))</f>
        <v/>
      </c>
      <c r="U1690" s="25">
        <f>IF($O1690="Invalid",HYPERLINK("mailto:"&amp;$G1690&amp;";"&amp;$I1690&amp;"?cc="&amp;Lists!$E$2&amp;"&amp;subject="&amp;_xlfn.ENCODEURL("[INVALID] Quality audit monitoring completed for "&amp;UPPER($C1690))&amp;"&amp;body="&amp;_xlfn.ENCODEURL("Hi "&amp;$F1690&amp;","&amp;CHAR(10)&amp;"Good day!"&amp;CHAR(10)&amp;CHAR(10)&amp;"A quality monitoring audit has been completed for "&amp;$C1690&amp;"."&amp;CHAR(10)&amp;CHAR(10)&amp;"QUALITY AUDIT DETAILS"&amp;CHAR(10)&amp;"Agent Name: "&amp;$C1690&amp;" (EID "&amp;$D1690&amp;")"&amp;CHAR(10)&amp;"Audit Date: "&amp;TEXT($B1690,"yyyy-mm-dd")&amp;CHAR(10)&amp;"Team Leader: "&amp;$F1690&amp;CHAR(10)&amp;"Case Number: "&amp;$M1690&amp;CHAR(10)&amp;"Transaction ID: "&amp;$N1690&amp;CHAR(10)&amp;"Channel / LOB: "&amp;$K1690&amp;" / "&amp;$L1690&amp;CHAR(10)&amp;"Evaluator: "&amp;$S1690&amp;CHAR(10)&amp;CHAR(10)&amp;"INVALID QUALITY AUDIT DETAILS"&amp;CHAR(10)&amp;"Validation: Invalid"&amp;CHAR(10)&amp;"Invalid Reason: "&amp;$P1690&amp;CHAR(10)&amp;"Expected Resolution Code: "&amp;$Q1690&amp;CHAR(10)&amp;"Remarks: "&amp;LEFT($R1690,600)&amp;CHAR(10)&amp;CHAR(10)&amp;"This is an automated notification from HP Mainstream EQMS."),"✉ Open Email Draft"),"")</f>
        <v/>
      </c>
    </row>
    <row r="1691">
      <c r="A1691" s="25">
        <f>IF($C1691="","","AUD-2026-"&amp;TEXT(ROW()-1,"000000"))</f>
        <v/>
      </c>
      <c r="B1691" s="26" t="n"/>
      <c r="C1691" s="27" t="n"/>
      <c r="D1691" s="25">
        <f>IF($C1691="","",IFERROR(IF(INDEX(Roster!$A:$A,MATCH($C1691,Roster!$B:$B,0))="","",INDEX(Roster!$A:$A,MATCH($C1691,Roster!$B:$B,0))&amp;""),"—"))</f>
        <v/>
      </c>
      <c r="E1691" s="25">
        <f>IF($C1691="","",IFERROR(IF(INDEX(Roster!$C:$C,MATCH($C1691,Roster!$B:$B,0))="","",INDEX(Roster!$C:$C,MATCH($C1691,Roster!$B:$B,0))&amp;""),"—"))</f>
        <v/>
      </c>
      <c r="F1691" s="25">
        <f>IF($C1691="","",IFERROR(IF(INDEX(Roster!$D:$D,MATCH($C1691,Roster!$B:$B,0))="","",INDEX(Roster!$D:$D,MATCH($C1691,Roster!$B:$B,0))&amp;""),"—"))</f>
        <v/>
      </c>
      <c r="G1691" s="25">
        <f>IF($C1691="","",IFERROR(IF(INDEX(Roster!$E:$E,MATCH($C1691,Roster!$B:$B,0))="","",INDEX(Roster!$E:$E,MATCH($C1691,Roster!$B:$B,0))&amp;""),"—"))</f>
        <v/>
      </c>
      <c r="H1691" s="25">
        <f>IF($C1691="","",IFERROR(IF(INDEX(Roster!$F:$F,MATCH($C1691,Roster!$B:$B,0))="","",INDEX(Roster!$F:$F,MATCH($C1691,Roster!$B:$B,0))&amp;""),"—"))</f>
        <v/>
      </c>
      <c r="I1691" s="25">
        <f>IF($C1691="","",IFERROR(IF(INDEX(Roster!$G:$G,MATCH($C1691,Roster!$B:$B,0))="","",INDEX(Roster!$G:$G,MATCH($C1691,Roster!$B:$B,0))&amp;""),"—"))</f>
        <v/>
      </c>
      <c r="J1691" s="25">
        <f>IF($C1691="","",IFERROR(IF(INDEX(Roster!$I:$I,MATCH($C1691,Roster!$B:$B,0))="","",INDEX(Roster!$I:$I,MATCH($C1691,Roster!$B:$B,0))&amp;""),"—"))</f>
        <v/>
      </c>
      <c r="K1691">
        <f>IF($C1691="","",IFERROR(IF(INDEX(Roster!$J:$J,MATCH($C1691,Roster!$B:$B,0))="","",INDEX(Roster!$J:$J,MATCH($C1691,Roster!$B:$B,0))&amp;""),"—"))</f>
        <v/>
      </c>
      <c r="L1691">
        <f>IF($C1691="","",IFERROR(IF(INDEX(Roster!$K:$K,MATCH($C1691,Roster!$B:$B,0))="","",INDEX(Roster!$K:$K,MATCH($C1691,Roster!$B:$B,0))&amp;""),"—"))</f>
        <v/>
      </c>
      <c r="M1691" s="27" t="n"/>
      <c r="N1691" s="27" t="n"/>
      <c r="O1691" s="25">
        <f>IF($C1691="","",IF($P1691="","—",IF($P1691="Valid (Pass)","Valid","Invalid")))</f>
        <v/>
      </c>
      <c r="P1691" s="27" t="n"/>
      <c r="Q1691" s="27" t="n"/>
      <c r="R1691" s="27" t="n"/>
      <c r="S1691" s="27" t="n"/>
      <c r="T1691" s="25">
        <f>IF($C1691="","",IF(OR(ISNUMBER(SEARCH("quick case",$P1691)),ISNUMBER(SEARCH("quick case",$Q1691))),"Yes","No"))</f>
        <v/>
      </c>
      <c r="U1691" s="25">
        <f>IF($O1691="Invalid",HYPERLINK("mailto:"&amp;$G1691&amp;";"&amp;$I1691&amp;"?cc="&amp;Lists!$E$2&amp;"&amp;subject="&amp;_xlfn.ENCODEURL("[INVALID] Quality audit monitoring completed for "&amp;UPPER($C1691))&amp;"&amp;body="&amp;_xlfn.ENCODEURL("Hi "&amp;$F1691&amp;","&amp;CHAR(10)&amp;"Good day!"&amp;CHAR(10)&amp;CHAR(10)&amp;"A quality monitoring audit has been completed for "&amp;$C1691&amp;"."&amp;CHAR(10)&amp;CHAR(10)&amp;"QUALITY AUDIT DETAILS"&amp;CHAR(10)&amp;"Agent Name: "&amp;$C1691&amp;" (EID "&amp;$D1691&amp;")"&amp;CHAR(10)&amp;"Audit Date: "&amp;TEXT($B1691,"yyyy-mm-dd")&amp;CHAR(10)&amp;"Team Leader: "&amp;$F1691&amp;CHAR(10)&amp;"Case Number: "&amp;$M1691&amp;CHAR(10)&amp;"Transaction ID: "&amp;$N1691&amp;CHAR(10)&amp;"Channel / LOB: "&amp;$K1691&amp;" / "&amp;$L1691&amp;CHAR(10)&amp;"Evaluator: "&amp;$S1691&amp;CHAR(10)&amp;CHAR(10)&amp;"INVALID QUALITY AUDIT DETAILS"&amp;CHAR(10)&amp;"Validation: Invalid"&amp;CHAR(10)&amp;"Invalid Reason: "&amp;$P1691&amp;CHAR(10)&amp;"Expected Resolution Code: "&amp;$Q1691&amp;CHAR(10)&amp;"Remarks: "&amp;LEFT($R1691,600)&amp;CHAR(10)&amp;CHAR(10)&amp;"This is an automated notification from HP Mainstream EQMS."),"✉ Open Email Draft"),"")</f>
        <v/>
      </c>
    </row>
    <row r="1692">
      <c r="A1692" s="25">
        <f>IF($C1692="","","AUD-2026-"&amp;TEXT(ROW()-1,"000000"))</f>
        <v/>
      </c>
      <c r="B1692" s="26" t="n"/>
      <c r="C1692" s="27" t="n"/>
      <c r="D1692" s="25">
        <f>IF($C1692="","",IFERROR(IF(INDEX(Roster!$A:$A,MATCH($C1692,Roster!$B:$B,0))="","",INDEX(Roster!$A:$A,MATCH($C1692,Roster!$B:$B,0))&amp;""),"—"))</f>
        <v/>
      </c>
      <c r="E1692" s="25">
        <f>IF($C1692="","",IFERROR(IF(INDEX(Roster!$C:$C,MATCH($C1692,Roster!$B:$B,0))="","",INDEX(Roster!$C:$C,MATCH($C1692,Roster!$B:$B,0))&amp;""),"—"))</f>
        <v/>
      </c>
      <c r="F1692" s="25">
        <f>IF($C1692="","",IFERROR(IF(INDEX(Roster!$D:$D,MATCH($C1692,Roster!$B:$B,0))="","",INDEX(Roster!$D:$D,MATCH($C1692,Roster!$B:$B,0))&amp;""),"—"))</f>
        <v/>
      </c>
      <c r="G1692" s="25">
        <f>IF($C1692="","",IFERROR(IF(INDEX(Roster!$E:$E,MATCH($C1692,Roster!$B:$B,0))="","",INDEX(Roster!$E:$E,MATCH($C1692,Roster!$B:$B,0))&amp;""),"—"))</f>
        <v/>
      </c>
      <c r="H1692" s="25">
        <f>IF($C1692="","",IFERROR(IF(INDEX(Roster!$F:$F,MATCH($C1692,Roster!$B:$B,0))="","",INDEX(Roster!$F:$F,MATCH($C1692,Roster!$B:$B,0))&amp;""),"—"))</f>
        <v/>
      </c>
      <c r="I1692" s="25">
        <f>IF($C1692="","",IFERROR(IF(INDEX(Roster!$G:$G,MATCH($C1692,Roster!$B:$B,0))="","",INDEX(Roster!$G:$G,MATCH($C1692,Roster!$B:$B,0))&amp;""),"—"))</f>
        <v/>
      </c>
      <c r="J1692" s="25">
        <f>IF($C1692="","",IFERROR(IF(INDEX(Roster!$I:$I,MATCH($C1692,Roster!$B:$B,0))="","",INDEX(Roster!$I:$I,MATCH($C1692,Roster!$B:$B,0))&amp;""),"—"))</f>
        <v/>
      </c>
      <c r="K1692">
        <f>IF($C1692="","",IFERROR(IF(INDEX(Roster!$J:$J,MATCH($C1692,Roster!$B:$B,0))="","",INDEX(Roster!$J:$J,MATCH($C1692,Roster!$B:$B,0))&amp;""),"—"))</f>
        <v/>
      </c>
      <c r="L1692">
        <f>IF($C1692="","",IFERROR(IF(INDEX(Roster!$K:$K,MATCH($C1692,Roster!$B:$B,0))="","",INDEX(Roster!$K:$K,MATCH($C1692,Roster!$B:$B,0))&amp;""),"—"))</f>
        <v/>
      </c>
      <c r="M1692" s="27" t="n"/>
      <c r="N1692" s="27" t="n"/>
      <c r="O1692" s="25">
        <f>IF($C1692="","",IF($P1692="","—",IF($P1692="Valid (Pass)","Valid","Invalid")))</f>
        <v/>
      </c>
      <c r="P1692" s="27" t="n"/>
      <c r="Q1692" s="27" t="n"/>
      <c r="R1692" s="27" t="n"/>
      <c r="S1692" s="27" t="n"/>
      <c r="T1692" s="25">
        <f>IF($C1692="","",IF(OR(ISNUMBER(SEARCH("quick case",$P1692)),ISNUMBER(SEARCH("quick case",$Q1692))),"Yes","No"))</f>
        <v/>
      </c>
      <c r="U1692" s="25">
        <f>IF($O1692="Invalid",HYPERLINK("mailto:"&amp;$G1692&amp;";"&amp;$I1692&amp;"?cc="&amp;Lists!$E$2&amp;"&amp;subject="&amp;_xlfn.ENCODEURL("[INVALID] Quality audit monitoring completed for "&amp;UPPER($C1692))&amp;"&amp;body="&amp;_xlfn.ENCODEURL("Hi "&amp;$F1692&amp;","&amp;CHAR(10)&amp;"Good day!"&amp;CHAR(10)&amp;CHAR(10)&amp;"A quality monitoring audit has been completed for "&amp;$C1692&amp;"."&amp;CHAR(10)&amp;CHAR(10)&amp;"QUALITY AUDIT DETAILS"&amp;CHAR(10)&amp;"Agent Name: "&amp;$C1692&amp;" (EID "&amp;$D1692&amp;")"&amp;CHAR(10)&amp;"Audit Date: "&amp;TEXT($B1692,"yyyy-mm-dd")&amp;CHAR(10)&amp;"Team Leader: "&amp;$F1692&amp;CHAR(10)&amp;"Case Number: "&amp;$M1692&amp;CHAR(10)&amp;"Transaction ID: "&amp;$N1692&amp;CHAR(10)&amp;"Channel / LOB: "&amp;$K1692&amp;" / "&amp;$L1692&amp;CHAR(10)&amp;"Evaluator: "&amp;$S1692&amp;CHAR(10)&amp;CHAR(10)&amp;"INVALID QUALITY AUDIT DETAILS"&amp;CHAR(10)&amp;"Validation: Invalid"&amp;CHAR(10)&amp;"Invalid Reason: "&amp;$P1692&amp;CHAR(10)&amp;"Expected Resolution Code: "&amp;$Q1692&amp;CHAR(10)&amp;"Remarks: "&amp;LEFT($R1692,600)&amp;CHAR(10)&amp;CHAR(10)&amp;"This is an automated notification from HP Mainstream EQMS."),"✉ Open Email Draft"),"")</f>
        <v/>
      </c>
    </row>
    <row r="1693">
      <c r="A1693" s="25">
        <f>IF($C1693="","","AUD-2026-"&amp;TEXT(ROW()-1,"000000"))</f>
        <v/>
      </c>
      <c r="B1693" s="26" t="n"/>
      <c r="C1693" s="27" t="n"/>
      <c r="D1693" s="25">
        <f>IF($C1693="","",IFERROR(IF(INDEX(Roster!$A:$A,MATCH($C1693,Roster!$B:$B,0))="","",INDEX(Roster!$A:$A,MATCH($C1693,Roster!$B:$B,0))&amp;""),"—"))</f>
        <v/>
      </c>
      <c r="E1693" s="25">
        <f>IF($C1693="","",IFERROR(IF(INDEX(Roster!$C:$C,MATCH($C1693,Roster!$B:$B,0))="","",INDEX(Roster!$C:$C,MATCH($C1693,Roster!$B:$B,0))&amp;""),"—"))</f>
        <v/>
      </c>
      <c r="F1693" s="25">
        <f>IF($C1693="","",IFERROR(IF(INDEX(Roster!$D:$D,MATCH($C1693,Roster!$B:$B,0))="","",INDEX(Roster!$D:$D,MATCH($C1693,Roster!$B:$B,0))&amp;""),"—"))</f>
        <v/>
      </c>
      <c r="G1693" s="25">
        <f>IF($C1693="","",IFERROR(IF(INDEX(Roster!$E:$E,MATCH($C1693,Roster!$B:$B,0))="","",INDEX(Roster!$E:$E,MATCH($C1693,Roster!$B:$B,0))&amp;""),"—"))</f>
        <v/>
      </c>
      <c r="H1693" s="25">
        <f>IF($C1693="","",IFERROR(IF(INDEX(Roster!$F:$F,MATCH($C1693,Roster!$B:$B,0))="","",INDEX(Roster!$F:$F,MATCH($C1693,Roster!$B:$B,0))&amp;""),"—"))</f>
        <v/>
      </c>
      <c r="I1693" s="25">
        <f>IF($C1693="","",IFERROR(IF(INDEX(Roster!$G:$G,MATCH($C1693,Roster!$B:$B,0))="","",INDEX(Roster!$G:$G,MATCH($C1693,Roster!$B:$B,0))&amp;""),"—"))</f>
        <v/>
      </c>
      <c r="J1693" s="25">
        <f>IF($C1693="","",IFERROR(IF(INDEX(Roster!$I:$I,MATCH($C1693,Roster!$B:$B,0))="","",INDEX(Roster!$I:$I,MATCH($C1693,Roster!$B:$B,0))&amp;""),"—"))</f>
        <v/>
      </c>
      <c r="K1693">
        <f>IF($C1693="","",IFERROR(IF(INDEX(Roster!$J:$J,MATCH($C1693,Roster!$B:$B,0))="","",INDEX(Roster!$J:$J,MATCH($C1693,Roster!$B:$B,0))&amp;""),"—"))</f>
        <v/>
      </c>
      <c r="L1693">
        <f>IF($C1693="","",IFERROR(IF(INDEX(Roster!$K:$K,MATCH($C1693,Roster!$B:$B,0))="","",INDEX(Roster!$K:$K,MATCH($C1693,Roster!$B:$B,0))&amp;""),"—"))</f>
        <v/>
      </c>
      <c r="M1693" s="27" t="n"/>
      <c r="N1693" s="27" t="n"/>
      <c r="O1693" s="25">
        <f>IF($C1693="","",IF($P1693="","—",IF($P1693="Valid (Pass)","Valid","Invalid")))</f>
        <v/>
      </c>
      <c r="P1693" s="27" t="n"/>
      <c r="Q1693" s="27" t="n"/>
      <c r="R1693" s="27" t="n"/>
      <c r="S1693" s="27" t="n"/>
      <c r="T1693" s="25">
        <f>IF($C1693="","",IF(OR(ISNUMBER(SEARCH("quick case",$P1693)),ISNUMBER(SEARCH("quick case",$Q1693))),"Yes","No"))</f>
        <v/>
      </c>
      <c r="U1693" s="25">
        <f>IF($O1693="Invalid",HYPERLINK("mailto:"&amp;$G1693&amp;";"&amp;$I1693&amp;"?cc="&amp;Lists!$E$2&amp;"&amp;subject="&amp;_xlfn.ENCODEURL("[INVALID] Quality audit monitoring completed for "&amp;UPPER($C1693))&amp;"&amp;body="&amp;_xlfn.ENCODEURL("Hi "&amp;$F1693&amp;","&amp;CHAR(10)&amp;"Good day!"&amp;CHAR(10)&amp;CHAR(10)&amp;"A quality monitoring audit has been completed for "&amp;$C1693&amp;"."&amp;CHAR(10)&amp;CHAR(10)&amp;"QUALITY AUDIT DETAILS"&amp;CHAR(10)&amp;"Agent Name: "&amp;$C1693&amp;" (EID "&amp;$D1693&amp;")"&amp;CHAR(10)&amp;"Audit Date: "&amp;TEXT($B1693,"yyyy-mm-dd")&amp;CHAR(10)&amp;"Team Leader: "&amp;$F1693&amp;CHAR(10)&amp;"Case Number: "&amp;$M1693&amp;CHAR(10)&amp;"Transaction ID: "&amp;$N1693&amp;CHAR(10)&amp;"Channel / LOB: "&amp;$K1693&amp;" / "&amp;$L1693&amp;CHAR(10)&amp;"Evaluator: "&amp;$S1693&amp;CHAR(10)&amp;CHAR(10)&amp;"INVALID QUALITY AUDIT DETAILS"&amp;CHAR(10)&amp;"Validation: Invalid"&amp;CHAR(10)&amp;"Invalid Reason: "&amp;$P1693&amp;CHAR(10)&amp;"Expected Resolution Code: "&amp;$Q1693&amp;CHAR(10)&amp;"Remarks: "&amp;LEFT($R1693,600)&amp;CHAR(10)&amp;CHAR(10)&amp;"This is an automated notification from HP Mainstream EQMS."),"✉ Open Email Draft"),"")</f>
        <v/>
      </c>
    </row>
    <row r="1694">
      <c r="A1694" s="25">
        <f>IF($C1694="","","AUD-2026-"&amp;TEXT(ROW()-1,"000000"))</f>
        <v/>
      </c>
      <c r="B1694" s="26" t="n"/>
      <c r="C1694" s="27" t="n"/>
      <c r="D1694" s="25">
        <f>IF($C1694="","",IFERROR(IF(INDEX(Roster!$A:$A,MATCH($C1694,Roster!$B:$B,0))="","",INDEX(Roster!$A:$A,MATCH($C1694,Roster!$B:$B,0))&amp;""),"—"))</f>
        <v/>
      </c>
      <c r="E1694" s="25">
        <f>IF($C1694="","",IFERROR(IF(INDEX(Roster!$C:$C,MATCH($C1694,Roster!$B:$B,0))="","",INDEX(Roster!$C:$C,MATCH($C1694,Roster!$B:$B,0))&amp;""),"—"))</f>
        <v/>
      </c>
      <c r="F1694" s="25">
        <f>IF($C1694="","",IFERROR(IF(INDEX(Roster!$D:$D,MATCH($C1694,Roster!$B:$B,0))="","",INDEX(Roster!$D:$D,MATCH($C1694,Roster!$B:$B,0))&amp;""),"—"))</f>
        <v/>
      </c>
      <c r="G1694" s="25">
        <f>IF($C1694="","",IFERROR(IF(INDEX(Roster!$E:$E,MATCH($C1694,Roster!$B:$B,0))="","",INDEX(Roster!$E:$E,MATCH($C1694,Roster!$B:$B,0))&amp;""),"—"))</f>
        <v/>
      </c>
      <c r="H1694" s="25">
        <f>IF($C1694="","",IFERROR(IF(INDEX(Roster!$F:$F,MATCH($C1694,Roster!$B:$B,0))="","",INDEX(Roster!$F:$F,MATCH($C1694,Roster!$B:$B,0))&amp;""),"—"))</f>
        <v/>
      </c>
      <c r="I1694" s="25">
        <f>IF($C1694="","",IFERROR(IF(INDEX(Roster!$G:$G,MATCH($C1694,Roster!$B:$B,0))="","",INDEX(Roster!$G:$G,MATCH($C1694,Roster!$B:$B,0))&amp;""),"—"))</f>
        <v/>
      </c>
      <c r="J1694" s="25">
        <f>IF($C1694="","",IFERROR(IF(INDEX(Roster!$I:$I,MATCH($C1694,Roster!$B:$B,0))="","",INDEX(Roster!$I:$I,MATCH($C1694,Roster!$B:$B,0))&amp;""),"—"))</f>
        <v/>
      </c>
      <c r="K1694">
        <f>IF($C1694="","",IFERROR(IF(INDEX(Roster!$J:$J,MATCH($C1694,Roster!$B:$B,0))="","",INDEX(Roster!$J:$J,MATCH($C1694,Roster!$B:$B,0))&amp;""),"—"))</f>
        <v/>
      </c>
      <c r="L1694">
        <f>IF($C1694="","",IFERROR(IF(INDEX(Roster!$K:$K,MATCH($C1694,Roster!$B:$B,0))="","",INDEX(Roster!$K:$K,MATCH($C1694,Roster!$B:$B,0))&amp;""),"—"))</f>
        <v/>
      </c>
      <c r="M1694" s="27" t="n"/>
      <c r="N1694" s="27" t="n"/>
      <c r="O1694" s="25">
        <f>IF($C1694="","",IF($P1694="","—",IF($P1694="Valid (Pass)","Valid","Invalid")))</f>
        <v/>
      </c>
      <c r="P1694" s="27" t="n"/>
      <c r="Q1694" s="27" t="n"/>
      <c r="R1694" s="27" t="n"/>
      <c r="S1694" s="27" t="n"/>
      <c r="T1694" s="25">
        <f>IF($C1694="","",IF(OR(ISNUMBER(SEARCH("quick case",$P1694)),ISNUMBER(SEARCH("quick case",$Q1694))),"Yes","No"))</f>
        <v/>
      </c>
      <c r="U1694" s="25">
        <f>IF($O1694="Invalid",HYPERLINK("mailto:"&amp;$G1694&amp;";"&amp;$I1694&amp;"?cc="&amp;Lists!$E$2&amp;"&amp;subject="&amp;_xlfn.ENCODEURL("[INVALID] Quality audit monitoring completed for "&amp;UPPER($C1694))&amp;"&amp;body="&amp;_xlfn.ENCODEURL("Hi "&amp;$F1694&amp;","&amp;CHAR(10)&amp;"Good day!"&amp;CHAR(10)&amp;CHAR(10)&amp;"A quality monitoring audit has been completed for "&amp;$C1694&amp;"."&amp;CHAR(10)&amp;CHAR(10)&amp;"QUALITY AUDIT DETAILS"&amp;CHAR(10)&amp;"Agent Name: "&amp;$C1694&amp;" (EID "&amp;$D1694&amp;")"&amp;CHAR(10)&amp;"Audit Date: "&amp;TEXT($B1694,"yyyy-mm-dd")&amp;CHAR(10)&amp;"Team Leader: "&amp;$F1694&amp;CHAR(10)&amp;"Case Number: "&amp;$M1694&amp;CHAR(10)&amp;"Transaction ID: "&amp;$N1694&amp;CHAR(10)&amp;"Channel / LOB: "&amp;$K1694&amp;" / "&amp;$L1694&amp;CHAR(10)&amp;"Evaluator: "&amp;$S1694&amp;CHAR(10)&amp;CHAR(10)&amp;"INVALID QUALITY AUDIT DETAILS"&amp;CHAR(10)&amp;"Validation: Invalid"&amp;CHAR(10)&amp;"Invalid Reason: "&amp;$P1694&amp;CHAR(10)&amp;"Expected Resolution Code: "&amp;$Q1694&amp;CHAR(10)&amp;"Remarks: "&amp;LEFT($R1694,600)&amp;CHAR(10)&amp;CHAR(10)&amp;"This is an automated notification from HP Mainstream EQMS."),"✉ Open Email Draft"),"")</f>
        <v/>
      </c>
    </row>
    <row r="1695">
      <c r="A1695" s="25">
        <f>IF($C1695="","","AUD-2026-"&amp;TEXT(ROW()-1,"000000"))</f>
        <v/>
      </c>
      <c r="B1695" s="26" t="n"/>
      <c r="C1695" s="27" t="n"/>
      <c r="D1695" s="25">
        <f>IF($C1695="","",IFERROR(IF(INDEX(Roster!$A:$A,MATCH($C1695,Roster!$B:$B,0))="","",INDEX(Roster!$A:$A,MATCH($C1695,Roster!$B:$B,0))&amp;""),"—"))</f>
        <v/>
      </c>
      <c r="E1695" s="25">
        <f>IF($C1695="","",IFERROR(IF(INDEX(Roster!$C:$C,MATCH($C1695,Roster!$B:$B,0))="","",INDEX(Roster!$C:$C,MATCH($C1695,Roster!$B:$B,0))&amp;""),"—"))</f>
        <v/>
      </c>
      <c r="F1695" s="25">
        <f>IF($C1695="","",IFERROR(IF(INDEX(Roster!$D:$D,MATCH($C1695,Roster!$B:$B,0))="","",INDEX(Roster!$D:$D,MATCH($C1695,Roster!$B:$B,0))&amp;""),"—"))</f>
        <v/>
      </c>
      <c r="G1695" s="25">
        <f>IF($C1695="","",IFERROR(IF(INDEX(Roster!$E:$E,MATCH($C1695,Roster!$B:$B,0))="","",INDEX(Roster!$E:$E,MATCH($C1695,Roster!$B:$B,0))&amp;""),"—"))</f>
        <v/>
      </c>
      <c r="H1695" s="25">
        <f>IF($C1695="","",IFERROR(IF(INDEX(Roster!$F:$F,MATCH($C1695,Roster!$B:$B,0))="","",INDEX(Roster!$F:$F,MATCH($C1695,Roster!$B:$B,0))&amp;""),"—"))</f>
        <v/>
      </c>
      <c r="I1695" s="25">
        <f>IF($C1695="","",IFERROR(IF(INDEX(Roster!$G:$G,MATCH($C1695,Roster!$B:$B,0))="","",INDEX(Roster!$G:$G,MATCH($C1695,Roster!$B:$B,0))&amp;""),"—"))</f>
        <v/>
      </c>
      <c r="J1695" s="25">
        <f>IF($C1695="","",IFERROR(IF(INDEX(Roster!$I:$I,MATCH($C1695,Roster!$B:$B,0))="","",INDEX(Roster!$I:$I,MATCH($C1695,Roster!$B:$B,0))&amp;""),"—"))</f>
        <v/>
      </c>
      <c r="K1695">
        <f>IF($C1695="","",IFERROR(IF(INDEX(Roster!$J:$J,MATCH($C1695,Roster!$B:$B,0))="","",INDEX(Roster!$J:$J,MATCH($C1695,Roster!$B:$B,0))&amp;""),"—"))</f>
        <v/>
      </c>
      <c r="L1695">
        <f>IF($C1695="","",IFERROR(IF(INDEX(Roster!$K:$K,MATCH($C1695,Roster!$B:$B,0))="","",INDEX(Roster!$K:$K,MATCH($C1695,Roster!$B:$B,0))&amp;""),"—"))</f>
        <v/>
      </c>
      <c r="M1695" s="27" t="n"/>
      <c r="N1695" s="27" t="n"/>
      <c r="O1695" s="25">
        <f>IF($C1695="","",IF($P1695="","—",IF($P1695="Valid (Pass)","Valid","Invalid")))</f>
        <v/>
      </c>
      <c r="P1695" s="27" t="n"/>
      <c r="Q1695" s="27" t="n"/>
      <c r="R1695" s="27" t="n"/>
      <c r="S1695" s="27" t="n"/>
      <c r="T1695" s="25">
        <f>IF($C1695="","",IF(OR(ISNUMBER(SEARCH("quick case",$P1695)),ISNUMBER(SEARCH("quick case",$Q1695))),"Yes","No"))</f>
        <v/>
      </c>
      <c r="U1695" s="25">
        <f>IF($O1695="Invalid",HYPERLINK("mailto:"&amp;$G1695&amp;";"&amp;$I1695&amp;"?cc="&amp;Lists!$E$2&amp;"&amp;subject="&amp;_xlfn.ENCODEURL("[INVALID] Quality audit monitoring completed for "&amp;UPPER($C1695))&amp;"&amp;body="&amp;_xlfn.ENCODEURL("Hi "&amp;$F1695&amp;","&amp;CHAR(10)&amp;"Good day!"&amp;CHAR(10)&amp;CHAR(10)&amp;"A quality monitoring audit has been completed for "&amp;$C1695&amp;"."&amp;CHAR(10)&amp;CHAR(10)&amp;"QUALITY AUDIT DETAILS"&amp;CHAR(10)&amp;"Agent Name: "&amp;$C1695&amp;" (EID "&amp;$D1695&amp;")"&amp;CHAR(10)&amp;"Audit Date: "&amp;TEXT($B1695,"yyyy-mm-dd")&amp;CHAR(10)&amp;"Team Leader: "&amp;$F1695&amp;CHAR(10)&amp;"Case Number: "&amp;$M1695&amp;CHAR(10)&amp;"Transaction ID: "&amp;$N1695&amp;CHAR(10)&amp;"Channel / LOB: "&amp;$K1695&amp;" / "&amp;$L1695&amp;CHAR(10)&amp;"Evaluator: "&amp;$S1695&amp;CHAR(10)&amp;CHAR(10)&amp;"INVALID QUALITY AUDIT DETAILS"&amp;CHAR(10)&amp;"Validation: Invalid"&amp;CHAR(10)&amp;"Invalid Reason: "&amp;$P1695&amp;CHAR(10)&amp;"Expected Resolution Code: "&amp;$Q1695&amp;CHAR(10)&amp;"Remarks: "&amp;LEFT($R1695,600)&amp;CHAR(10)&amp;CHAR(10)&amp;"This is an automated notification from HP Mainstream EQMS."),"✉ Open Email Draft"),"")</f>
        <v/>
      </c>
    </row>
    <row r="1696">
      <c r="A1696" s="25">
        <f>IF($C1696="","","AUD-2026-"&amp;TEXT(ROW()-1,"000000"))</f>
        <v/>
      </c>
      <c r="B1696" s="26" t="n"/>
      <c r="C1696" s="27" t="n"/>
      <c r="D1696" s="25">
        <f>IF($C1696="","",IFERROR(IF(INDEX(Roster!$A:$A,MATCH($C1696,Roster!$B:$B,0))="","",INDEX(Roster!$A:$A,MATCH($C1696,Roster!$B:$B,0))&amp;""),"—"))</f>
        <v/>
      </c>
      <c r="E1696" s="25">
        <f>IF($C1696="","",IFERROR(IF(INDEX(Roster!$C:$C,MATCH($C1696,Roster!$B:$B,0))="","",INDEX(Roster!$C:$C,MATCH($C1696,Roster!$B:$B,0))&amp;""),"—"))</f>
        <v/>
      </c>
      <c r="F1696" s="25">
        <f>IF($C1696="","",IFERROR(IF(INDEX(Roster!$D:$D,MATCH($C1696,Roster!$B:$B,0))="","",INDEX(Roster!$D:$D,MATCH($C1696,Roster!$B:$B,0))&amp;""),"—"))</f>
        <v/>
      </c>
      <c r="G1696" s="25">
        <f>IF($C1696="","",IFERROR(IF(INDEX(Roster!$E:$E,MATCH($C1696,Roster!$B:$B,0))="","",INDEX(Roster!$E:$E,MATCH($C1696,Roster!$B:$B,0))&amp;""),"—"))</f>
        <v/>
      </c>
      <c r="H1696" s="25">
        <f>IF($C1696="","",IFERROR(IF(INDEX(Roster!$F:$F,MATCH($C1696,Roster!$B:$B,0))="","",INDEX(Roster!$F:$F,MATCH($C1696,Roster!$B:$B,0))&amp;""),"—"))</f>
        <v/>
      </c>
      <c r="I1696" s="25">
        <f>IF($C1696="","",IFERROR(IF(INDEX(Roster!$G:$G,MATCH($C1696,Roster!$B:$B,0))="","",INDEX(Roster!$G:$G,MATCH($C1696,Roster!$B:$B,0))&amp;""),"—"))</f>
        <v/>
      </c>
      <c r="J1696" s="25">
        <f>IF($C1696="","",IFERROR(IF(INDEX(Roster!$I:$I,MATCH($C1696,Roster!$B:$B,0))="","",INDEX(Roster!$I:$I,MATCH($C1696,Roster!$B:$B,0))&amp;""),"—"))</f>
        <v/>
      </c>
      <c r="K1696">
        <f>IF($C1696="","",IFERROR(IF(INDEX(Roster!$J:$J,MATCH($C1696,Roster!$B:$B,0))="","",INDEX(Roster!$J:$J,MATCH($C1696,Roster!$B:$B,0))&amp;""),"—"))</f>
        <v/>
      </c>
      <c r="L1696">
        <f>IF($C1696="","",IFERROR(IF(INDEX(Roster!$K:$K,MATCH($C1696,Roster!$B:$B,0))="","",INDEX(Roster!$K:$K,MATCH($C1696,Roster!$B:$B,0))&amp;""),"—"))</f>
        <v/>
      </c>
      <c r="M1696" s="27" t="n"/>
      <c r="N1696" s="27" t="n"/>
      <c r="O1696" s="25">
        <f>IF($C1696="","",IF($P1696="","—",IF($P1696="Valid (Pass)","Valid","Invalid")))</f>
        <v/>
      </c>
      <c r="P1696" s="27" t="n"/>
      <c r="Q1696" s="27" t="n"/>
      <c r="R1696" s="27" t="n"/>
      <c r="S1696" s="27" t="n"/>
      <c r="T1696" s="25">
        <f>IF($C1696="","",IF(OR(ISNUMBER(SEARCH("quick case",$P1696)),ISNUMBER(SEARCH("quick case",$Q1696))),"Yes","No"))</f>
        <v/>
      </c>
      <c r="U1696" s="25">
        <f>IF($O1696="Invalid",HYPERLINK("mailto:"&amp;$G1696&amp;";"&amp;$I1696&amp;"?cc="&amp;Lists!$E$2&amp;"&amp;subject="&amp;_xlfn.ENCODEURL("[INVALID] Quality audit monitoring completed for "&amp;UPPER($C1696))&amp;"&amp;body="&amp;_xlfn.ENCODEURL("Hi "&amp;$F1696&amp;","&amp;CHAR(10)&amp;"Good day!"&amp;CHAR(10)&amp;CHAR(10)&amp;"A quality monitoring audit has been completed for "&amp;$C1696&amp;"."&amp;CHAR(10)&amp;CHAR(10)&amp;"QUALITY AUDIT DETAILS"&amp;CHAR(10)&amp;"Agent Name: "&amp;$C1696&amp;" (EID "&amp;$D1696&amp;")"&amp;CHAR(10)&amp;"Audit Date: "&amp;TEXT($B1696,"yyyy-mm-dd")&amp;CHAR(10)&amp;"Team Leader: "&amp;$F1696&amp;CHAR(10)&amp;"Case Number: "&amp;$M1696&amp;CHAR(10)&amp;"Transaction ID: "&amp;$N1696&amp;CHAR(10)&amp;"Channel / LOB: "&amp;$K1696&amp;" / "&amp;$L1696&amp;CHAR(10)&amp;"Evaluator: "&amp;$S1696&amp;CHAR(10)&amp;CHAR(10)&amp;"INVALID QUALITY AUDIT DETAILS"&amp;CHAR(10)&amp;"Validation: Invalid"&amp;CHAR(10)&amp;"Invalid Reason: "&amp;$P1696&amp;CHAR(10)&amp;"Expected Resolution Code: "&amp;$Q1696&amp;CHAR(10)&amp;"Remarks: "&amp;LEFT($R1696,600)&amp;CHAR(10)&amp;CHAR(10)&amp;"This is an automated notification from HP Mainstream EQMS."),"✉ Open Email Draft"),"")</f>
        <v/>
      </c>
    </row>
    <row r="1697">
      <c r="A1697" s="25">
        <f>IF($C1697="","","AUD-2026-"&amp;TEXT(ROW()-1,"000000"))</f>
        <v/>
      </c>
      <c r="B1697" s="26" t="n"/>
      <c r="C1697" s="27" t="n"/>
      <c r="D1697" s="25">
        <f>IF($C1697="","",IFERROR(IF(INDEX(Roster!$A:$A,MATCH($C1697,Roster!$B:$B,0))="","",INDEX(Roster!$A:$A,MATCH($C1697,Roster!$B:$B,0))&amp;""),"—"))</f>
        <v/>
      </c>
      <c r="E1697" s="25">
        <f>IF($C1697="","",IFERROR(IF(INDEX(Roster!$C:$C,MATCH($C1697,Roster!$B:$B,0))="","",INDEX(Roster!$C:$C,MATCH($C1697,Roster!$B:$B,0))&amp;""),"—"))</f>
        <v/>
      </c>
      <c r="F1697" s="25">
        <f>IF($C1697="","",IFERROR(IF(INDEX(Roster!$D:$D,MATCH($C1697,Roster!$B:$B,0))="","",INDEX(Roster!$D:$D,MATCH($C1697,Roster!$B:$B,0))&amp;""),"—"))</f>
        <v/>
      </c>
      <c r="G1697" s="25">
        <f>IF($C1697="","",IFERROR(IF(INDEX(Roster!$E:$E,MATCH($C1697,Roster!$B:$B,0))="","",INDEX(Roster!$E:$E,MATCH($C1697,Roster!$B:$B,0))&amp;""),"—"))</f>
        <v/>
      </c>
      <c r="H1697" s="25">
        <f>IF($C1697="","",IFERROR(IF(INDEX(Roster!$F:$F,MATCH($C1697,Roster!$B:$B,0))="","",INDEX(Roster!$F:$F,MATCH($C1697,Roster!$B:$B,0))&amp;""),"—"))</f>
        <v/>
      </c>
      <c r="I1697" s="25">
        <f>IF($C1697="","",IFERROR(IF(INDEX(Roster!$G:$G,MATCH($C1697,Roster!$B:$B,0))="","",INDEX(Roster!$G:$G,MATCH($C1697,Roster!$B:$B,0))&amp;""),"—"))</f>
        <v/>
      </c>
      <c r="J1697" s="25">
        <f>IF($C1697="","",IFERROR(IF(INDEX(Roster!$I:$I,MATCH($C1697,Roster!$B:$B,0))="","",INDEX(Roster!$I:$I,MATCH($C1697,Roster!$B:$B,0))&amp;""),"—"))</f>
        <v/>
      </c>
      <c r="K1697">
        <f>IF($C1697="","",IFERROR(IF(INDEX(Roster!$J:$J,MATCH($C1697,Roster!$B:$B,0))="","",INDEX(Roster!$J:$J,MATCH($C1697,Roster!$B:$B,0))&amp;""),"—"))</f>
        <v/>
      </c>
      <c r="L1697">
        <f>IF($C1697="","",IFERROR(IF(INDEX(Roster!$K:$K,MATCH($C1697,Roster!$B:$B,0))="","",INDEX(Roster!$K:$K,MATCH($C1697,Roster!$B:$B,0))&amp;""),"—"))</f>
        <v/>
      </c>
      <c r="M1697" s="27" t="n"/>
      <c r="N1697" s="27" t="n"/>
      <c r="O1697" s="25">
        <f>IF($C1697="","",IF($P1697="","—",IF($P1697="Valid (Pass)","Valid","Invalid")))</f>
        <v/>
      </c>
      <c r="P1697" s="27" t="n"/>
      <c r="Q1697" s="27" t="n"/>
      <c r="R1697" s="27" t="n"/>
      <c r="S1697" s="27" t="n"/>
      <c r="T1697" s="25">
        <f>IF($C1697="","",IF(OR(ISNUMBER(SEARCH("quick case",$P1697)),ISNUMBER(SEARCH("quick case",$Q1697))),"Yes","No"))</f>
        <v/>
      </c>
      <c r="U1697" s="25">
        <f>IF($O1697="Invalid",HYPERLINK("mailto:"&amp;$G1697&amp;";"&amp;$I1697&amp;"?cc="&amp;Lists!$E$2&amp;"&amp;subject="&amp;_xlfn.ENCODEURL("[INVALID] Quality audit monitoring completed for "&amp;UPPER($C1697))&amp;"&amp;body="&amp;_xlfn.ENCODEURL("Hi "&amp;$F1697&amp;","&amp;CHAR(10)&amp;"Good day!"&amp;CHAR(10)&amp;CHAR(10)&amp;"A quality monitoring audit has been completed for "&amp;$C1697&amp;"."&amp;CHAR(10)&amp;CHAR(10)&amp;"QUALITY AUDIT DETAILS"&amp;CHAR(10)&amp;"Agent Name: "&amp;$C1697&amp;" (EID "&amp;$D1697&amp;")"&amp;CHAR(10)&amp;"Audit Date: "&amp;TEXT($B1697,"yyyy-mm-dd")&amp;CHAR(10)&amp;"Team Leader: "&amp;$F1697&amp;CHAR(10)&amp;"Case Number: "&amp;$M1697&amp;CHAR(10)&amp;"Transaction ID: "&amp;$N1697&amp;CHAR(10)&amp;"Channel / LOB: "&amp;$K1697&amp;" / "&amp;$L1697&amp;CHAR(10)&amp;"Evaluator: "&amp;$S1697&amp;CHAR(10)&amp;CHAR(10)&amp;"INVALID QUALITY AUDIT DETAILS"&amp;CHAR(10)&amp;"Validation: Invalid"&amp;CHAR(10)&amp;"Invalid Reason: "&amp;$P1697&amp;CHAR(10)&amp;"Expected Resolution Code: "&amp;$Q1697&amp;CHAR(10)&amp;"Remarks: "&amp;LEFT($R1697,600)&amp;CHAR(10)&amp;CHAR(10)&amp;"This is an automated notification from HP Mainstream EQMS."),"✉ Open Email Draft"),"")</f>
        <v/>
      </c>
    </row>
    <row r="1698">
      <c r="A1698" s="25">
        <f>IF($C1698="","","AUD-2026-"&amp;TEXT(ROW()-1,"000000"))</f>
        <v/>
      </c>
      <c r="B1698" s="26" t="n"/>
      <c r="C1698" s="27" t="n"/>
      <c r="D1698" s="25">
        <f>IF($C1698="","",IFERROR(IF(INDEX(Roster!$A:$A,MATCH($C1698,Roster!$B:$B,0))="","",INDEX(Roster!$A:$A,MATCH($C1698,Roster!$B:$B,0))&amp;""),"—"))</f>
        <v/>
      </c>
      <c r="E1698" s="25">
        <f>IF($C1698="","",IFERROR(IF(INDEX(Roster!$C:$C,MATCH($C1698,Roster!$B:$B,0))="","",INDEX(Roster!$C:$C,MATCH($C1698,Roster!$B:$B,0))&amp;""),"—"))</f>
        <v/>
      </c>
      <c r="F1698" s="25">
        <f>IF($C1698="","",IFERROR(IF(INDEX(Roster!$D:$D,MATCH($C1698,Roster!$B:$B,0))="","",INDEX(Roster!$D:$D,MATCH($C1698,Roster!$B:$B,0))&amp;""),"—"))</f>
        <v/>
      </c>
      <c r="G1698" s="25">
        <f>IF($C1698="","",IFERROR(IF(INDEX(Roster!$E:$E,MATCH($C1698,Roster!$B:$B,0))="","",INDEX(Roster!$E:$E,MATCH($C1698,Roster!$B:$B,0))&amp;""),"—"))</f>
        <v/>
      </c>
      <c r="H1698" s="25">
        <f>IF($C1698="","",IFERROR(IF(INDEX(Roster!$F:$F,MATCH($C1698,Roster!$B:$B,0))="","",INDEX(Roster!$F:$F,MATCH($C1698,Roster!$B:$B,0))&amp;""),"—"))</f>
        <v/>
      </c>
      <c r="I1698" s="25">
        <f>IF($C1698="","",IFERROR(IF(INDEX(Roster!$G:$G,MATCH($C1698,Roster!$B:$B,0))="","",INDEX(Roster!$G:$G,MATCH($C1698,Roster!$B:$B,0))&amp;""),"—"))</f>
        <v/>
      </c>
      <c r="J1698" s="25">
        <f>IF($C1698="","",IFERROR(IF(INDEX(Roster!$I:$I,MATCH($C1698,Roster!$B:$B,0))="","",INDEX(Roster!$I:$I,MATCH($C1698,Roster!$B:$B,0))&amp;""),"—"))</f>
        <v/>
      </c>
      <c r="K1698">
        <f>IF($C1698="","",IFERROR(IF(INDEX(Roster!$J:$J,MATCH($C1698,Roster!$B:$B,0))="","",INDEX(Roster!$J:$J,MATCH($C1698,Roster!$B:$B,0))&amp;""),"—"))</f>
        <v/>
      </c>
      <c r="L1698">
        <f>IF($C1698="","",IFERROR(IF(INDEX(Roster!$K:$K,MATCH($C1698,Roster!$B:$B,0))="","",INDEX(Roster!$K:$K,MATCH($C1698,Roster!$B:$B,0))&amp;""),"—"))</f>
        <v/>
      </c>
      <c r="M1698" s="27" t="n"/>
      <c r="N1698" s="27" t="n"/>
      <c r="O1698" s="25">
        <f>IF($C1698="","",IF($P1698="","—",IF($P1698="Valid (Pass)","Valid","Invalid")))</f>
        <v/>
      </c>
      <c r="P1698" s="27" t="n"/>
      <c r="Q1698" s="27" t="n"/>
      <c r="R1698" s="27" t="n"/>
      <c r="S1698" s="27" t="n"/>
      <c r="T1698" s="25">
        <f>IF($C1698="","",IF(OR(ISNUMBER(SEARCH("quick case",$P1698)),ISNUMBER(SEARCH("quick case",$Q1698))),"Yes","No"))</f>
        <v/>
      </c>
      <c r="U1698" s="25">
        <f>IF($O1698="Invalid",HYPERLINK("mailto:"&amp;$G1698&amp;";"&amp;$I1698&amp;"?cc="&amp;Lists!$E$2&amp;"&amp;subject="&amp;_xlfn.ENCODEURL("[INVALID] Quality audit monitoring completed for "&amp;UPPER($C1698))&amp;"&amp;body="&amp;_xlfn.ENCODEURL("Hi "&amp;$F1698&amp;","&amp;CHAR(10)&amp;"Good day!"&amp;CHAR(10)&amp;CHAR(10)&amp;"A quality monitoring audit has been completed for "&amp;$C1698&amp;"."&amp;CHAR(10)&amp;CHAR(10)&amp;"QUALITY AUDIT DETAILS"&amp;CHAR(10)&amp;"Agent Name: "&amp;$C1698&amp;" (EID "&amp;$D1698&amp;")"&amp;CHAR(10)&amp;"Audit Date: "&amp;TEXT($B1698,"yyyy-mm-dd")&amp;CHAR(10)&amp;"Team Leader: "&amp;$F1698&amp;CHAR(10)&amp;"Case Number: "&amp;$M1698&amp;CHAR(10)&amp;"Transaction ID: "&amp;$N1698&amp;CHAR(10)&amp;"Channel / LOB: "&amp;$K1698&amp;" / "&amp;$L1698&amp;CHAR(10)&amp;"Evaluator: "&amp;$S1698&amp;CHAR(10)&amp;CHAR(10)&amp;"INVALID QUALITY AUDIT DETAILS"&amp;CHAR(10)&amp;"Validation: Invalid"&amp;CHAR(10)&amp;"Invalid Reason: "&amp;$P1698&amp;CHAR(10)&amp;"Expected Resolution Code: "&amp;$Q1698&amp;CHAR(10)&amp;"Remarks: "&amp;LEFT($R1698,600)&amp;CHAR(10)&amp;CHAR(10)&amp;"This is an automated notification from HP Mainstream EQMS."),"✉ Open Email Draft"),"")</f>
        <v/>
      </c>
    </row>
    <row r="1699">
      <c r="A1699" s="25">
        <f>IF($C1699="","","AUD-2026-"&amp;TEXT(ROW()-1,"000000"))</f>
        <v/>
      </c>
      <c r="B1699" s="26" t="n"/>
      <c r="C1699" s="27" t="n"/>
      <c r="D1699" s="25">
        <f>IF($C1699="","",IFERROR(IF(INDEX(Roster!$A:$A,MATCH($C1699,Roster!$B:$B,0))="","",INDEX(Roster!$A:$A,MATCH($C1699,Roster!$B:$B,0))&amp;""),"—"))</f>
        <v/>
      </c>
      <c r="E1699" s="25">
        <f>IF($C1699="","",IFERROR(IF(INDEX(Roster!$C:$C,MATCH($C1699,Roster!$B:$B,0))="","",INDEX(Roster!$C:$C,MATCH($C1699,Roster!$B:$B,0))&amp;""),"—"))</f>
        <v/>
      </c>
      <c r="F1699" s="25">
        <f>IF($C1699="","",IFERROR(IF(INDEX(Roster!$D:$D,MATCH($C1699,Roster!$B:$B,0))="","",INDEX(Roster!$D:$D,MATCH($C1699,Roster!$B:$B,0))&amp;""),"—"))</f>
        <v/>
      </c>
      <c r="G1699" s="25">
        <f>IF($C1699="","",IFERROR(IF(INDEX(Roster!$E:$E,MATCH($C1699,Roster!$B:$B,0))="","",INDEX(Roster!$E:$E,MATCH($C1699,Roster!$B:$B,0))&amp;""),"—"))</f>
        <v/>
      </c>
      <c r="H1699" s="25">
        <f>IF($C1699="","",IFERROR(IF(INDEX(Roster!$F:$F,MATCH($C1699,Roster!$B:$B,0))="","",INDEX(Roster!$F:$F,MATCH($C1699,Roster!$B:$B,0))&amp;""),"—"))</f>
        <v/>
      </c>
      <c r="I1699" s="25">
        <f>IF($C1699="","",IFERROR(IF(INDEX(Roster!$G:$G,MATCH($C1699,Roster!$B:$B,0))="","",INDEX(Roster!$G:$G,MATCH($C1699,Roster!$B:$B,0))&amp;""),"—"))</f>
        <v/>
      </c>
      <c r="J1699" s="25">
        <f>IF($C1699="","",IFERROR(IF(INDEX(Roster!$I:$I,MATCH($C1699,Roster!$B:$B,0))="","",INDEX(Roster!$I:$I,MATCH($C1699,Roster!$B:$B,0))&amp;""),"—"))</f>
        <v/>
      </c>
      <c r="K1699">
        <f>IF($C1699="","",IFERROR(IF(INDEX(Roster!$J:$J,MATCH($C1699,Roster!$B:$B,0))="","",INDEX(Roster!$J:$J,MATCH($C1699,Roster!$B:$B,0))&amp;""),"—"))</f>
        <v/>
      </c>
      <c r="L1699">
        <f>IF($C1699="","",IFERROR(IF(INDEX(Roster!$K:$K,MATCH($C1699,Roster!$B:$B,0))="","",INDEX(Roster!$K:$K,MATCH($C1699,Roster!$B:$B,0))&amp;""),"—"))</f>
        <v/>
      </c>
      <c r="M1699" s="27" t="n"/>
      <c r="N1699" s="27" t="n"/>
      <c r="O1699" s="25">
        <f>IF($C1699="","",IF($P1699="","—",IF($P1699="Valid (Pass)","Valid","Invalid")))</f>
        <v/>
      </c>
      <c r="P1699" s="27" t="n"/>
      <c r="Q1699" s="27" t="n"/>
      <c r="R1699" s="27" t="n"/>
      <c r="S1699" s="27" t="n"/>
      <c r="T1699" s="25">
        <f>IF($C1699="","",IF(OR(ISNUMBER(SEARCH("quick case",$P1699)),ISNUMBER(SEARCH("quick case",$Q1699))),"Yes","No"))</f>
        <v/>
      </c>
      <c r="U1699" s="25">
        <f>IF($O1699="Invalid",HYPERLINK("mailto:"&amp;$G1699&amp;";"&amp;$I1699&amp;"?cc="&amp;Lists!$E$2&amp;"&amp;subject="&amp;_xlfn.ENCODEURL("[INVALID] Quality audit monitoring completed for "&amp;UPPER($C1699))&amp;"&amp;body="&amp;_xlfn.ENCODEURL("Hi "&amp;$F1699&amp;","&amp;CHAR(10)&amp;"Good day!"&amp;CHAR(10)&amp;CHAR(10)&amp;"A quality monitoring audit has been completed for "&amp;$C1699&amp;"."&amp;CHAR(10)&amp;CHAR(10)&amp;"QUALITY AUDIT DETAILS"&amp;CHAR(10)&amp;"Agent Name: "&amp;$C1699&amp;" (EID "&amp;$D1699&amp;")"&amp;CHAR(10)&amp;"Audit Date: "&amp;TEXT($B1699,"yyyy-mm-dd")&amp;CHAR(10)&amp;"Team Leader: "&amp;$F1699&amp;CHAR(10)&amp;"Case Number: "&amp;$M1699&amp;CHAR(10)&amp;"Transaction ID: "&amp;$N1699&amp;CHAR(10)&amp;"Channel / LOB: "&amp;$K1699&amp;" / "&amp;$L1699&amp;CHAR(10)&amp;"Evaluator: "&amp;$S1699&amp;CHAR(10)&amp;CHAR(10)&amp;"INVALID QUALITY AUDIT DETAILS"&amp;CHAR(10)&amp;"Validation: Invalid"&amp;CHAR(10)&amp;"Invalid Reason: "&amp;$P1699&amp;CHAR(10)&amp;"Expected Resolution Code: "&amp;$Q1699&amp;CHAR(10)&amp;"Remarks: "&amp;LEFT($R1699,600)&amp;CHAR(10)&amp;CHAR(10)&amp;"This is an automated notification from HP Mainstream EQMS."),"✉ Open Email Draft"),"")</f>
        <v/>
      </c>
    </row>
    <row r="1700">
      <c r="A1700" s="25">
        <f>IF($C1700="","","AUD-2026-"&amp;TEXT(ROW()-1,"000000"))</f>
        <v/>
      </c>
      <c r="B1700" s="26" t="n"/>
      <c r="C1700" s="27" t="n"/>
      <c r="D1700" s="25">
        <f>IF($C1700="","",IFERROR(IF(INDEX(Roster!$A:$A,MATCH($C1700,Roster!$B:$B,0))="","",INDEX(Roster!$A:$A,MATCH($C1700,Roster!$B:$B,0))&amp;""),"—"))</f>
        <v/>
      </c>
      <c r="E1700" s="25">
        <f>IF($C1700="","",IFERROR(IF(INDEX(Roster!$C:$C,MATCH($C1700,Roster!$B:$B,0))="","",INDEX(Roster!$C:$C,MATCH($C1700,Roster!$B:$B,0))&amp;""),"—"))</f>
        <v/>
      </c>
      <c r="F1700" s="25">
        <f>IF($C1700="","",IFERROR(IF(INDEX(Roster!$D:$D,MATCH($C1700,Roster!$B:$B,0))="","",INDEX(Roster!$D:$D,MATCH($C1700,Roster!$B:$B,0))&amp;""),"—"))</f>
        <v/>
      </c>
      <c r="G1700" s="25">
        <f>IF($C1700="","",IFERROR(IF(INDEX(Roster!$E:$E,MATCH($C1700,Roster!$B:$B,0))="","",INDEX(Roster!$E:$E,MATCH($C1700,Roster!$B:$B,0))&amp;""),"—"))</f>
        <v/>
      </c>
      <c r="H1700" s="25">
        <f>IF($C1700="","",IFERROR(IF(INDEX(Roster!$F:$F,MATCH($C1700,Roster!$B:$B,0))="","",INDEX(Roster!$F:$F,MATCH($C1700,Roster!$B:$B,0))&amp;""),"—"))</f>
        <v/>
      </c>
      <c r="I1700" s="25">
        <f>IF($C1700="","",IFERROR(IF(INDEX(Roster!$G:$G,MATCH($C1700,Roster!$B:$B,0))="","",INDEX(Roster!$G:$G,MATCH($C1700,Roster!$B:$B,0))&amp;""),"—"))</f>
        <v/>
      </c>
      <c r="J1700" s="25">
        <f>IF($C1700="","",IFERROR(IF(INDEX(Roster!$I:$I,MATCH($C1700,Roster!$B:$B,0))="","",INDEX(Roster!$I:$I,MATCH($C1700,Roster!$B:$B,0))&amp;""),"—"))</f>
        <v/>
      </c>
      <c r="K1700">
        <f>IF($C1700="","",IFERROR(IF(INDEX(Roster!$J:$J,MATCH($C1700,Roster!$B:$B,0))="","",INDEX(Roster!$J:$J,MATCH($C1700,Roster!$B:$B,0))&amp;""),"—"))</f>
        <v/>
      </c>
      <c r="L1700">
        <f>IF($C1700="","",IFERROR(IF(INDEX(Roster!$K:$K,MATCH($C1700,Roster!$B:$B,0))="","",INDEX(Roster!$K:$K,MATCH($C1700,Roster!$B:$B,0))&amp;""),"—"))</f>
        <v/>
      </c>
      <c r="M1700" s="27" t="n"/>
      <c r="N1700" s="27" t="n"/>
      <c r="O1700" s="25">
        <f>IF($C1700="","",IF($P1700="","—",IF($P1700="Valid (Pass)","Valid","Invalid")))</f>
        <v/>
      </c>
      <c r="P1700" s="27" t="n"/>
      <c r="Q1700" s="27" t="n"/>
      <c r="R1700" s="27" t="n"/>
      <c r="S1700" s="27" t="n"/>
      <c r="T1700" s="25">
        <f>IF($C1700="","",IF(OR(ISNUMBER(SEARCH("quick case",$P1700)),ISNUMBER(SEARCH("quick case",$Q1700))),"Yes","No"))</f>
        <v/>
      </c>
      <c r="U1700" s="25">
        <f>IF($O1700="Invalid",HYPERLINK("mailto:"&amp;$G1700&amp;";"&amp;$I1700&amp;"?cc="&amp;Lists!$E$2&amp;"&amp;subject="&amp;_xlfn.ENCODEURL("[INVALID] Quality audit monitoring completed for "&amp;UPPER($C1700))&amp;"&amp;body="&amp;_xlfn.ENCODEURL("Hi "&amp;$F1700&amp;","&amp;CHAR(10)&amp;"Good day!"&amp;CHAR(10)&amp;CHAR(10)&amp;"A quality monitoring audit has been completed for "&amp;$C1700&amp;"."&amp;CHAR(10)&amp;CHAR(10)&amp;"QUALITY AUDIT DETAILS"&amp;CHAR(10)&amp;"Agent Name: "&amp;$C1700&amp;" (EID "&amp;$D1700&amp;")"&amp;CHAR(10)&amp;"Audit Date: "&amp;TEXT($B1700,"yyyy-mm-dd")&amp;CHAR(10)&amp;"Team Leader: "&amp;$F1700&amp;CHAR(10)&amp;"Case Number: "&amp;$M1700&amp;CHAR(10)&amp;"Transaction ID: "&amp;$N1700&amp;CHAR(10)&amp;"Channel / LOB: "&amp;$K1700&amp;" / "&amp;$L1700&amp;CHAR(10)&amp;"Evaluator: "&amp;$S1700&amp;CHAR(10)&amp;CHAR(10)&amp;"INVALID QUALITY AUDIT DETAILS"&amp;CHAR(10)&amp;"Validation: Invalid"&amp;CHAR(10)&amp;"Invalid Reason: "&amp;$P1700&amp;CHAR(10)&amp;"Expected Resolution Code: "&amp;$Q1700&amp;CHAR(10)&amp;"Remarks: "&amp;LEFT($R1700,600)&amp;CHAR(10)&amp;CHAR(10)&amp;"This is an automated notification from HP Mainstream EQMS."),"✉ Open Email Draft"),"")</f>
        <v/>
      </c>
    </row>
    <row r="1701">
      <c r="A1701" s="25">
        <f>IF($C1701="","","AUD-2026-"&amp;TEXT(ROW()-1,"000000"))</f>
        <v/>
      </c>
      <c r="B1701" s="26" t="n"/>
      <c r="C1701" s="27" t="n"/>
      <c r="D1701" s="25">
        <f>IF($C1701="","",IFERROR(IF(INDEX(Roster!$A:$A,MATCH($C1701,Roster!$B:$B,0))="","",INDEX(Roster!$A:$A,MATCH($C1701,Roster!$B:$B,0))&amp;""),"—"))</f>
        <v/>
      </c>
      <c r="E1701" s="25">
        <f>IF($C1701="","",IFERROR(IF(INDEX(Roster!$C:$C,MATCH($C1701,Roster!$B:$B,0))="","",INDEX(Roster!$C:$C,MATCH($C1701,Roster!$B:$B,0))&amp;""),"—"))</f>
        <v/>
      </c>
      <c r="F1701" s="25">
        <f>IF($C1701="","",IFERROR(IF(INDEX(Roster!$D:$D,MATCH($C1701,Roster!$B:$B,0))="","",INDEX(Roster!$D:$D,MATCH($C1701,Roster!$B:$B,0))&amp;""),"—"))</f>
        <v/>
      </c>
      <c r="G1701" s="25">
        <f>IF($C1701="","",IFERROR(IF(INDEX(Roster!$E:$E,MATCH($C1701,Roster!$B:$B,0))="","",INDEX(Roster!$E:$E,MATCH($C1701,Roster!$B:$B,0))&amp;""),"—"))</f>
        <v/>
      </c>
      <c r="H1701" s="25">
        <f>IF($C1701="","",IFERROR(IF(INDEX(Roster!$F:$F,MATCH($C1701,Roster!$B:$B,0))="","",INDEX(Roster!$F:$F,MATCH($C1701,Roster!$B:$B,0))&amp;""),"—"))</f>
        <v/>
      </c>
      <c r="I1701" s="25">
        <f>IF($C1701="","",IFERROR(IF(INDEX(Roster!$G:$G,MATCH($C1701,Roster!$B:$B,0))="","",INDEX(Roster!$G:$G,MATCH($C1701,Roster!$B:$B,0))&amp;""),"—"))</f>
        <v/>
      </c>
      <c r="J1701" s="25">
        <f>IF($C1701="","",IFERROR(IF(INDEX(Roster!$I:$I,MATCH($C1701,Roster!$B:$B,0))="","",INDEX(Roster!$I:$I,MATCH($C1701,Roster!$B:$B,0))&amp;""),"—"))</f>
        <v/>
      </c>
      <c r="K1701">
        <f>IF($C1701="","",IFERROR(IF(INDEX(Roster!$J:$J,MATCH($C1701,Roster!$B:$B,0))="","",INDEX(Roster!$J:$J,MATCH($C1701,Roster!$B:$B,0))&amp;""),"—"))</f>
        <v/>
      </c>
      <c r="L1701">
        <f>IF($C1701="","",IFERROR(IF(INDEX(Roster!$K:$K,MATCH($C1701,Roster!$B:$B,0))="","",INDEX(Roster!$K:$K,MATCH($C1701,Roster!$B:$B,0))&amp;""),"—"))</f>
        <v/>
      </c>
      <c r="M1701" s="27" t="n"/>
      <c r="N1701" s="27" t="n"/>
      <c r="O1701" s="25">
        <f>IF($C1701="","",IF($P1701="","—",IF($P1701="Valid (Pass)","Valid","Invalid")))</f>
        <v/>
      </c>
      <c r="P1701" s="27" t="n"/>
      <c r="Q1701" s="27" t="n"/>
      <c r="R1701" s="27" t="n"/>
      <c r="S1701" s="27" t="n"/>
      <c r="T1701" s="25">
        <f>IF($C1701="","",IF(OR(ISNUMBER(SEARCH("quick case",$P1701)),ISNUMBER(SEARCH("quick case",$Q1701))),"Yes","No"))</f>
        <v/>
      </c>
      <c r="U1701" s="25">
        <f>IF($O1701="Invalid",HYPERLINK("mailto:"&amp;$G1701&amp;";"&amp;$I1701&amp;"?cc="&amp;Lists!$E$2&amp;"&amp;subject="&amp;_xlfn.ENCODEURL("[INVALID] Quality audit monitoring completed for "&amp;UPPER($C1701))&amp;"&amp;body="&amp;_xlfn.ENCODEURL("Hi "&amp;$F1701&amp;","&amp;CHAR(10)&amp;"Good day!"&amp;CHAR(10)&amp;CHAR(10)&amp;"A quality monitoring audit has been completed for "&amp;$C1701&amp;"."&amp;CHAR(10)&amp;CHAR(10)&amp;"QUALITY AUDIT DETAILS"&amp;CHAR(10)&amp;"Agent Name: "&amp;$C1701&amp;" (EID "&amp;$D1701&amp;")"&amp;CHAR(10)&amp;"Audit Date: "&amp;TEXT($B1701,"yyyy-mm-dd")&amp;CHAR(10)&amp;"Team Leader: "&amp;$F1701&amp;CHAR(10)&amp;"Case Number: "&amp;$M1701&amp;CHAR(10)&amp;"Transaction ID: "&amp;$N1701&amp;CHAR(10)&amp;"Channel / LOB: "&amp;$K1701&amp;" / "&amp;$L1701&amp;CHAR(10)&amp;"Evaluator: "&amp;$S1701&amp;CHAR(10)&amp;CHAR(10)&amp;"INVALID QUALITY AUDIT DETAILS"&amp;CHAR(10)&amp;"Validation: Invalid"&amp;CHAR(10)&amp;"Invalid Reason: "&amp;$P1701&amp;CHAR(10)&amp;"Expected Resolution Code: "&amp;$Q1701&amp;CHAR(10)&amp;"Remarks: "&amp;LEFT($R1701,600)&amp;CHAR(10)&amp;CHAR(10)&amp;"This is an automated notification from HP Mainstream EQMS."),"✉ Open Email Draft"),"")</f>
        <v/>
      </c>
    </row>
    <row r="1702">
      <c r="A1702" s="25">
        <f>IF($C1702="","","AUD-2026-"&amp;TEXT(ROW()-1,"000000"))</f>
        <v/>
      </c>
      <c r="B1702" s="26" t="n"/>
      <c r="C1702" s="27" t="n"/>
      <c r="D1702" s="25">
        <f>IF($C1702="","",IFERROR(IF(INDEX(Roster!$A:$A,MATCH($C1702,Roster!$B:$B,0))="","",INDEX(Roster!$A:$A,MATCH($C1702,Roster!$B:$B,0))&amp;""),"—"))</f>
        <v/>
      </c>
      <c r="E1702" s="25">
        <f>IF($C1702="","",IFERROR(IF(INDEX(Roster!$C:$C,MATCH($C1702,Roster!$B:$B,0))="","",INDEX(Roster!$C:$C,MATCH($C1702,Roster!$B:$B,0))&amp;""),"—"))</f>
        <v/>
      </c>
      <c r="F1702" s="25">
        <f>IF($C1702="","",IFERROR(IF(INDEX(Roster!$D:$D,MATCH($C1702,Roster!$B:$B,0))="","",INDEX(Roster!$D:$D,MATCH($C1702,Roster!$B:$B,0))&amp;""),"—"))</f>
        <v/>
      </c>
      <c r="G1702" s="25">
        <f>IF($C1702="","",IFERROR(IF(INDEX(Roster!$E:$E,MATCH($C1702,Roster!$B:$B,0))="","",INDEX(Roster!$E:$E,MATCH($C1702,Roster!$B:$B,0))&amp;""),"—"))</f>
        <v/>
      </c>
      <c r="H1702" s="25">
        <f>IF($C1702="","",IFERROR(IF(INDEX(Roster!$F:$F,MATCH($C1702,Roster!$B:$B,0))="","",INDEX(Roster!$F:$F,MATCH($C1702,Roster!$B:$B,0))&amp;""),"—"))</f>
        <v/>
      </c>
      <c r="I1702" s="25">
        <f>IF($C1702="","",IFERROR(IF(INDEX(Roster!$G:$G,MATCH($C1702,Roster!$B:$B,0))="","",INDEX(Roster!$G:$G,MATCH($C1702,Roster!$B:$B,0))&amp;""),"—"))</f>
        <v/>
      </c>
      <c r="J1702" s="25">
        <f>IF($C1702="","",IFERROR(IF(INDEX(Roster!$I:$I,MATCH($C1702,Roster!$B:$B,0))="","",INDEX(Roster!$I:$I,MATCH($C1702,Roster!$B:$B,0))&amp;""),"—"))</f>
        <v/>
      </c>
      <c r="K1702">
        <f>IF($C1702="","",IFERROR(IF(INDEX(Roster!$J:$J,MATCH($C1702,Roster!$B:$B,0))="","",INDEX(Roster!$J:$J,MATCH($C1702,Roster!$B:$B,0))&amp;""),"—"))</f>
        <v/>
      </c>
      <c r="L1702">
        <f>IF($C1702="","",IFERROR(IF(INDEX(Roster!$K:$K,MATCH($C1702,Roster!$B:$B,0))="","",INDEX(Roster!$K:$K,MATCH($C1702,Roster!$B:$B,0))&amp;""),"—"))</f>
        <v/>
      </c>
      <c r="M1702" s="27" t="n"/>
      <c r="N1702" s="27" t="n"/>
      <c r="O1702" s="25">
        <f>IF($C1702="","",IF($P1702="","—",IF($P1702="Valid (Pass)","Valid","Invalid")))</f>
        <v/>
      </c>
      <c r="P1702" s="27" t="n"/>
      <c r="Q1702" s="27" t="n"/>
      <c r="R1702" s="27" t="n"/>
      <c r="S1702" s="27" t="n"/>
      <c r="T1702" s="25">
        <f>IF($C1702="","",IF(OR(ISNUMBER(SEARCH("quick case",$P1702)),ISNUMBER(SEARCH("quick case",$Q1702))),"Yes","No"))</f>
        <v/>
      </c>
      <c r="U1702" s="25">
        <f>IF($O1702="Invalid",HYPERLINK("mailto:"&amp;$G1702&amp;";"&amp;$I1702&amp;"?cc="&amp;Lists!$E$2&amp;"&amp;subject="&amp;_xlfn.ENCODEURL("[INVALID] Quality audit monitoring completed for "&amp;UPPER($C1702))&amp;"&amp;body="&amp;_xlfn.ENCODEURL("Hi "&amp;$F1702&amp;","&amp;CHAR(10)&amp;"Good day!"&amp;CHAR(10)&amp;CHAR(10)&amp;"A quality monitoring audit has been completed for "&amp;$C1702&amp;"."&amp;CHAR(10)&amp;CHAR(10)&amp;"QUALITY AUDIT DETAILS"&amp;CHAR(10)&amp;"Agent Name: "&amp;$C1702&amp;" (EID "&amp;$D1702&amp;")"&amp;CHAR(10)&amp;"Audit Date: "&amp;TEXT($B1702,"yyyy-mm-dd")&amp;CHAR(10)&amp;"Team Leader: "&amp;$F1702&amp;CHAR(10)&amp;"Case Number: "&amp;$M1702&amp;CHAR(10)&amp;"Transaction ID: "&amp;$N1702&amp;CHAR(10)&amp;"Channel / LOB: "&amp;$K1702&amp;" / "&amp;$L1702&amp;CHAR(10)&amp;"Evaluator: "&amp;$S1702&amp;CHAR(10)&amp;CHAR(10)&amp;"INVALID QUALITY AUDIT DETAILS"&amp;CHAR(10)&amp;"Validation: Invalid"&amp;CHAR(10)&amp;"Invalid Reason: "&amp;$P1702&amp;CHAR(10)&amp;"Expected Resolution Code: "&amp;$Q1702&amp;CHAR(10)&amp;"Remarks: "&amp;LEFT($R1702,600)&amp;CHAR(10)&amp;CHAR(10)&amp;"This is an automated notification from HP Mainstream EQMS."),"✉ Open Email Draft"),"")</f>
        <v/>
      </c>
    </row>
    <row r="1703">
      <c r="A1703" s="25">
        <f>IF($C1703="","","AUD-2026-"&amp;TEXT(ROW()-1,"000000"))</f>
        <v/>
      </c>
      <c r="B1703" s="26" t="n"/>
      <c r="C1703" s="27" t="n"/>
      <c r="D1703" s="25">
        <f>IF($C1703="","",IFERROR(IF(INDEX(Roster!$A:$A,MATCH($C1703,Roster!$B:$B,0))="","",INDEX(Roster!$A:$A,MATCH($C1703,Roster!$B:$B,0))&amp;""),"—"))</f>
        <v/>
      </c>
      <c r="E1703" s="25">
        <f>IF($C1703="","",IFERROR(IF(INDEX(Roster!$C:$C,MATCH($C1703,Roster!$B:$B,0))="","",INDEX(Roster!$C:$C,MATCH($C1703,Roster!$B:$B,0))&amp;""),"—"))</f>
        <v/>
      </c>
      <c r="F1703" s="25">
        <f>IF($C1703="","",IFERROR(IF(INDEX(Roster!$D:$D,MATCH($C1703,Roster!$B:$B,0))="","",INDEX(Roster!$D:$D,MATCH($C1703,Roster!$B:$B,0))&amp;""),"—"))</f>
        <v/>
      </c>
      <c r="G1703" s="25">
        <f>IF($C1703="","",IFERROR(IF(INDEX(Roster!$E:$E,MATCH($C1703,Roster!$B:$B,0))="","",INDEX(Roster!$E:$E,MATCH($C1703,Roster!$B:$B,0))&amp;""),"—"))</f>
        <v/>
      </c>
      <c r="H1703" s="25">
        <f>IF($C1703="","",IFERROR(IF(INDEX(Roster!$F:$F,MATCH($C1703,Roster!$B:$B,0))="","",INDEX(Roster!$F:$F,MATCH($C1703,Roster!$B:$B,0))&amp;""),"—"))</f>
        <v/>
      </c>
      <c r="I1703" s="25">
        <f>IF($C1703="","",IFERROR(IF(INDEX(Roster!$G:$G,MATCH($C1703,Roster!$B:$B,0))="","",INDEX(Roster!$G:$G,MATCH($C1703,Roster!$B:$B,0))&amp;""),"—"))</f>
        <v/>
      </c>
      <c r="J1703" s="25">
        <f>IF($C1703="","",IFERROR(IF(INDEX(Roster!$I:$I,MATCH($C1703,Roster!$B:$B,0))="","",INDEX(Roster!$I:$I,MATCH($C1703,Roster!$B:$B,0))&amp;""),"—"))</f>
        <v/>
      </c>
      <c r="K1703">
        <f>IF($C1703="","",IFERROR(IF(INDEX(Roster!$J:$J,MATCH($C1703,Roster!$B:$B,0))="","",INDEX(Roster!$J:$J,MATCH($C1703,Roster!$B:$B,0))&amp;""),"—"))</f>
        <v/>
      </c>
      <c r="L1703">
        <f>IF($C1703="","",IFERROR(IF(INDEX(Roster!$K:$K,MATCH($C1703,Roster!$B:$B,0))="","",INDEX(Roster!$K:$K,MATCH($C1703,Roster!$B:$B,0))&amp;""),"—"))</f>
        <v/>
      </c>
      <c r="M1703" s="27" t="n"/>
      <c r="N1703" s="27" t="n"/>
      <c r="O1703" s="25">
        <f>IF($C1703="","",IF($P1703="","—",IF($P1703="Valid (Pass)","Valid","Invalid")))</f>
        <v/>
      </c>
      <c r="P1703" s="27" t="n"/>
      <c r="Q1703" s="27" t="n"/>
      <c r="R1703" s="27" t="n"/>
      <c r="S1703" s="27" t="n"/>
      <c r="T1703" s="25">
        <f>IF($C1703="","",IF(OR(ISNUMBER(SEARCH("quick case",$P1703)),ISNUMBER(SEARCH("quick case",$Q1703))),"Yes","No"))</f>
        <v/>
      </c>
      <c r="U1703" s="25">
        <f>IF($O1703="Invalid",HYPERLINK("mailto:"&amp;$G1703&amp;";"&amp;$I1703&amp;"?cc="&amp;Lists!$E$2&amp;"&amp;subject="&amp;_xlfn.ENCODEURL("[INVALID] Quality audit monitoring completed for "&amp;UPPER($C1703))&amp;"&amp;body="&amp;_xlfn.ENCODEURL("Hi "&amp;$F1703&amp;","&amp;CHAR(10)&amp;"Good day!"&amp;CHAR(10)&amp;CHAR(10)&amp;"A quality monitoring audit has been completed for "&amp;$C1703&amp;"."&amp;CHAR(10)&amp;CHAR(10)&amp;"QUALITY AUDIT DETAILS"&amp;CHAR(10)&amp;"Agent Name: "&amp;$C1703&amp;" (EID "&amp;$D1703&amp;")"&amp;CHAR(10)&amp;"Audit Date: "&amp;TEXT($B1703,"yyyy-mm-dd")&amp;CHAR(10)&amp;"Team Leader: "&amp;$F1703&amp;CHAR(10)&amp;"Case Number: "&amp;$M1703&amp;CHAR(10)&amp;"Transaction ID: "&amp;$N1703&amp;CHAR(10)&amp;"Channel / LOB: "&amp;$K1703&amp;" / "&amp;$L1703&amp;CHAR(10)&amp;"Evaluator: "&amp;$S1703&amp;CHAR(10)&amp;CHAR(10)&amp;"INVALID QUALITY AUDIT DETAILS"&amp;CHAR(10)&amp;"Validation: Invalid"&amp;CHAR(10)&amp;"Invalid Reason: "&amp;$P1703&amp;CHAR(10)&amp;"Expected Resolution Code: "&amp;$Q1703&amp;CHAR(10)&amp;"Remarks: "&amp;LEFT($R1703,600)&amp;CHAR(10)&amp;CHAR(10)&amp;"This is an automated notification from HP Mainstream EQMS."),"✉ Open Email Draft"),"")</f>
        <v/>
      </c>
    </row>
    <row r="1704">
      <c r="A1704" s="25">
        <f>IF($C1704="","","AUD-2026-"&amp;TEXT(ROW()-1,"000000"))</f>
        <v/>
      </c>
      <c r="B1704" s="26" t="n"/>
      <c r="C1704" s="27" t="n"/>
      <c r="D1704" s="25">
        <f>IF($C1704="","",IFERROR(IF(INDEX(Roster!$A:$A,MATCH($C1704,Roster!$B:$B,0))="","",INDEX(Roster!$A:$A,MATCH($C1704,Roster!$B:$B,0))&amp;""),"—"))</f>
        <v/>
      </c>
      <c r="E1704" s="25">
        <f>IF($C1704="","",IFERROR(IF(INDEX(Roster!$C:$C,MATCH($C1704,Roster!$B:$B,0))="","",INDEX(Roster!$C:$C,MATCH($C1704,Roster!$B:$B,0))&amp;""),"—"))</f>
        <v/>
      </c>
      <c r="F1704" s="25">
        <f>IF($C1704="","",IFERROR(IF(INDEX(Roster!$D:$D,MATCH($C1704,Roster!$B:$B,0))="","",INDEX(Roster!$D:$D,MATCH($C1704,Roster!$B:$B,0))&amp;""),"—"))</f>
        <v/>
      </c>
      <c r="G1704" s="25">
        <f>IF($C1704="","",IFERROR(IF(INDEX(Roster!$E:$E,MATCH($C1704,Roster!$B:$B,0))="","",INDEX(Roster!$E:$E,MATCH($C1704,Roster!$B:$B,0))&amp;""),"—"))</f>
        <v/>
      </c>
      <c r="H1704" s="25">
        <f>IF($C1704="","",IFERROR(IF(INDEX(Roster!$F:$F,MATCH($C1704,Roster!$B:$B,0))="","",INDEX(Roster!$F:$F,MATCH($C1704,Roster!$B:$B,0))&amp;""),"—"))</f>
        <v/>
      </c>
      <c r="I1704" s="25">
        <f>IF($C1704="","",IFERROR(IF(INDEX(Roster!$G:$G,MATCH($C1704,Roster!$B:$B,0))="","",INDEX(Roster!$G:$G,MATCH($C1704,Roster!$B:$B,0))&amp;""),"—"))</f>
        <v/>
      </c>
      <c r="J1704" s="25">
        <f>IF($C1704="","",IFERROR(IF(INDEX(Roster!$I:$I,MATCH($C1704,Roster!$B:$B,0))="","",INDEX(Roster!$I:$I,MATCH($C1704,Roster!$B:$B,0))&amp;""),"—"))</f>
        <v/>
      </c>
      <c r="K1704">
        <f>IF($C1704="","",IFERROR(IF(INDEX(Roster!$J:$J,MATCH($C1704,Roster!$B:$B,0))="","",INDEX(Roster!$J:$J,MATCH($C1704,Roster!$B:$B,0))&amp;""),"—"))</f>
        <v/>
      </c>
      <c r="L1704">
        <f>IF($C1704="","",IFERROR(IF(INDEX(Roster!$K:$K,MATCH($C1704,Roster!$B:$B,0))="","",INDEX(Roster!$K:$K,MATCH($C1704,Roster!$B:$B,0))&amp;""),"—"))</f>
        <v/>
      </c>
      <c r="M1704" s="27" t="n"/>
      <c r="N1704" s="27" t="n"/>
      <c r="O1704" s="25">
        <f>IF($C1704="","",IF($P1704="","—",IF($P1704="Valid (Pass)","Valid","Invalid")))</f>
        <v/>
      </c>
      <c r="P1704" s="27" t="n"/>
      <c r="Q1704" s="27" t="n"/>
      <c r="R1704" s="27" t="n"/>
      <c r="S1704" s="27" t="n"/>
      <c r="T1704" s="25">
        <f>IF($C1704="","",IF(OR(ISNUMBER(SEARCH("quick case",$P1704)),ISNUMBER(SEARCH("quick case",$Q1704))),"Yes","No"))</f>
        <v/>
      </c>
      <c r="U1704" s="25">
        <f>IF($O1704="Invalid",HYPERLINK("mailto:"&amp;$G1704&amp;";"&amp;$I1704&amp;"?cc="&amp;Lists!$E$2&amp;"&amp;subject="&amp;_xlfn.ENCODEURL("[INVALID] Quality audit monitoring completed for "&amp;UPPER($C1704))&amp;"&amp;body="&amp;_xlfn.ENCODEURL("Hi "&amp;$F1704&amp;","&amp;CHAR(10)&amp;"Good day!"&amp;CHAR(10)&amp;CHAR(10)&amp;"A quality monitoring audit has been completed for "&amp;$C1704&amp;"."&amp;CHAR(10)&amp;CHAR(10)&amp;"QUALITY AUDIT DETAILS"&amp;CHAR(10)&amp;"Agent Name: "&amp;$C1704&amp;" (EID "&amp;$D1704&amp;")"&amp;CHAR(10)&amp;"Audit Date: "&amp;TEXT($B1704,"yyyy-mm-dd")&amp;CHAR(10)&amp;"Team Leader: "&amp;$F1704&amp;CHAR(10)&amp;"Case Number: "&amp;$M1704&amp;CHAR(10)&amp;"Transaction ID: "&amp;$N1704&amp;CHAR(10)&amp;"Channel / LOB: "&amp;$K1704&amp;" / "&amp;$L1704&amp;CHAR(10)&amp;"Evaluator: "&amp;$S1704&amp;CHAR(10)&amp;CHAR(10)&amp;"INVALID QUALITY AUDIT DETAILS"&amp;CHAR(10)&amp;"Validation: Invalid"&amp;CHAR(10)&amp;"Invalid Reason: "&amp;$P1704&amp;CHAR(10)&amp;"Expected Resolution Code: "&amp;$Q1704&amp;CHAR(10)&amp;"Remarks: "&amp;LEFT($R1704,600)&amp;CHAR(10)&amp;CHAR(10)&amp;"This is an automated notification from HP Mainstream EQMS."),"✉ Open Email Draft"),"")</f>
        <v/>
      </c>
    </row>
    <row r="1705">
      <c r="A1705" s="25">
        <f>IF($C1705="","","AUD-2026-"&amp;TEXT(ROW()-1,"000000"))</f>
        <v/>
      </c>
      <c r="B1705" s="26" t="n"/>
      <c r="C1705" s="27" t="n"/>
      <c r="D1705" s="25">
        <f>IF($C1705="","",IFERROR(IF(INDEX(Roster!$A:$A,MATCH($C1705,Roster!$B:$B,0))="","",INDEX(Roster!$A:$A,MATCH($C1705,Roster!$B:$B,0))&amp;""),"—"))</f>
        <v/>
      </c>
      <c r="E1705" s="25">
        <f>IF($C1705="","",IFERROR(IF(INDEX(Roster!$C:$C,MATCH($C1705,Roster!$B:$B,0))="","",INDEX(Roster!$C:$C,MATCH($C1705,Roster!$B:$B,0))&amp;""),"—"))</f>
        <v/>
      </c>
      <c r="F1705" s="25">
        <f>IF($C1705="","",IFERROR(IF(INDEX(Roster!$D:$D,MATCH($C1705,Roster!$B:$B,0))="","",INDEX(Roster!$D:$D,MATCH($C1705,Roster!$B:$B,0))&amp;""),"—"))</f>
        <v/>
      </c>
      <c r="G1705" s="25">
        <f>IF($C1705="","",IFERROR(IF(INDEX(Roster!$E:$E,MATCH($C1705,Roster!$B:$B,0))="","",INDEX(Roster!$E:$E,MATCH($C1705,Roster!$B:$B,0))&amp;""),"—"))</f>
        <v/>
      </c>
      <c r="H1705" s="25">
        <f>IF($C1705="","",IFERROR(IF(INDEX(Roster!$F:$F,MATCH($C1705,Roster!$B:$B,0))="","",INDEX(Roster!$F:$F,MATCH($C1705,Roster!$B:$B,0))&amp;""),"—"))</f>
        <v/>
      </c>
      <c r="I1705" s="25">
        <f>IF($C1705="","",IFERROR(IF(INDEX(Roster!$G:$G,MATCH($C1705,Roster!$B:$B,0))="","",INDEX(Roster!$G:$G,MATCH($C1705,Roster!$B:$B,0))&amp;""),"—"))</f>
        <v/>
      </c>
      <c r="J1705" s="25">
        <f>IF($C1705="","",IFERROR(IF(INDEX(Roster!$I:$I,MATCH($C1705,Roster!$B:$B,0))="","",INDEX(Roster!$I:$I,MATCH($C1705,Roster!$B:$B,0))&amp;""),"—"))</f>
        <v/>
      </c>
      <c r="K1705">
        <f>IF($C1705="","",IFERROR(IF(INDEX(Roster!$J:$J,MATCH($C1705,Roster!$B:$B,0))="","",INDEX(Roster!$J:$J,MATCH($C1705,Roster!$B:$B,0))&amp;""),"—"))</f>
        <v/>
      </c>
      <c r="L1705">
        <f>IF($C1705="","",IFERROR(IF(INDEX(Roster!$K:$K,MATCH($C1705,Roster!$B:$B,0))="","",INDEX(Roster!$K:$K,MATCH($C1705,Roster!$B:$B,0))&amp;""),"—"))</f>
        <v/>
      </c>
      <c r="M1705" s="27" t="n"/>
      <c r="N1705" s="27" t="n"/>
      <c r="O1705" s="25">
        <f>IF($C1705="","",IF($P1705="","—",IF($P1705="Valid (Pass)","Valid","Invalid")))</f>
        <v/>
      </c>
      <c r="P1705" s="27" t="n"/>
      <c r="Q1705" s="27" t="n"/>
      <c r="R1705" s="27" t="n"/>
      <c r="S1705" s="27" t="n"/>
      <c r="T1705" s="25">
        <f>IF($C1705="","",IF(OR(ISNUMBER(SEARCH("quick case",$P1705)),ISNUMBER(SEARCH("quick case",$Q1705))),"Yes","No"))</f>
        <v/>
      </c>
      <c r="U1705" s="25">
        <f>IF($O1705="Invalid",HYPERLINK("mailto:"&amp;$G1705&amp;";"&amp;$I1705&amp;"?cc="&amp;Lists!$E$2&amp;"&amp;subject="&amp;_xlfn.ENCODEURL("[INVALID] Quality audit monitoring completed for "&amp;UPPER($C1705))&amp;"&amp;body="&amp;_xlfn.ENCODEURL("Hi "&amp;$F1705&amp;","&amp;CHAR(10)&amp;"Good day!"&amp;CHAR(10)&amp;CHAR(10)&amp;"A quality monitoring audit has been completed for "&amp;$C1705&amp;"."&amp;CHAR(10)&amp;CHAR(10)&amp;"QUALITY AUDIT DETAILS"&amp;CHAR(10)&amp;"Agent Name: "&amp;$C1705&amp;" (EID "&amp;$D1705&amp;")"&amp;CHAR(10)&amp;"Audit Date: "&amp;TEXT($B1705,"yyyy-mm-dd")&amp;CHAR(10)&amp;"Team Leader: "&amp;$F1705&amp;CHAR(10)&amp;"Case Number: "&amp;$M1705&amp;CHAR(10)&amp;"Transaction ID: "&amp;$N1705&amp;CHAR(10)&amp;"Channel / LOB: "&amp;$K1705&amp;" / "&amp;$L1705&amp;CHAR(10)&amp;"Evaluator: "&amp;$S1705&amp;CHAR(10)&amp;CHAR(10)&amp;"INVALID QUALITY AUDIT DETAILS"&amp;CHAR(10)&amp;"Validation: Invalid"&amp;CHAR(10)&amp;"Invalid Reason: "&amp;$P1705&amp;CHAR(10)&amp;"Expected Resolution Code: "&amp;$Q1705&amp;CHAR(10)&amp;"Remarks: "&amp;LEFT($R1705,600)&amp;CHAR(10)&amp;CHAR(10)&amp;"This is an automated notification from HP Mainstream EQMS."),"✉ Open Email Draft"),"")</f>
        <v/>
      </c>
    </row>
    <row r="1706">
      <c r="A1706" s="25">
        <f>IF($C1706="","","AUD-2026-"&amp;TEXT(ROW()-1,"000000"))</f>
        <v/>
      </c>
      <c r="B1706" s="26" t="n"/>
      <c r="C1706" s="27" t="n"/>
      <c r="D1706" s="25">
        <f>IF($C1706="","",IFERROR(IF(INDEX(Roster!$A:$A,MATCH($C1706,Roster!$B:$B,0))="","",INDEX(Roster!$A:$A,MATCH($C1706,Roster!$B:$B,0))&amp;""),"—"))</f>
        <v/>
      </c>
      <c r="E1706" s="25">
        <f>IF($C1706="","",IFERROR(IF(INDEX(Roster!$C:$C,MATCH($C1706,Roster!$B:$B,0))="","",INDEX(Roster!$C:$C,MATCH($C1706,Roster!$B:$B,0))&amp;""),"—"))</f>
        <v/>
      </c>
      <c r="F1706" s="25">
        <f>IF($C1706="","",IFERROR(IF(INDEX(Roster!$D:$D,MATCH($C1706,Roster!$B:$B,0))="","",INDEX(Roster!$D:$D,MATCH($C1706,Roster!$B:$B,0))&amp;""),"—"))</f>
        <v/>
      </c>
      <c r="G1706" s="25">
        <f>IF($C1706="","",IFERROR(IF(INDEX(Roster!$E:$E,MATCH($C1706,Roster!$B:$B,0))="","",INDEX(Roster!$E:$E,MATCH($C1706,Roster!$B:$B,0))&amp;""),"—"))</f>
        <v/>
      </c>
      <c r="H1706" s="25">
        <f>IF($C1706="","",IFERROR(IF(INDEX(Roster!$F:$F,MATCH($C1706,Roster!$B:$B,0))="","",INDEX(Roster!$F:$F,MATCH($C1706,Roster!$B:$B,0))&amp;""),"—"))</f>
        <v/>
      </c>
      <c r="I1706" s="25">
        <f>IF($C1706="","",IFERROR(IF(INDEX(Roster!$G:$G,MATCH($C1706,Roster!$B:$B,0))="","",INDEX(Roster!$G:$G,MATCH($C1706,Roster!$B:$B,0))&amp;""),"—"))</f>
        <v/>
      </c>
      <c r="J1706" s="25">
        <f>IF($C1706="","",IFERROR(IF(INDEX(Roster!$I:$I,MATCH($C1706,Roster!$B:$B,0))="","",INDEX(Roster!$I:$I,MATCH($C1706,Roster!$B:$B,0))&amp;""),"—"))</f>
        <v/>
      </c>
      <c r="K1706">
        <f>IF($C1706="","",IFERROR(IF(INDEX(Roster!$J:$J,MATCH($C1706,Roster!$B:$B,0))="","",INDEX(Roster!$J:$J,MATCH($C1706,Roster!$B:$B,0))&amp;""),"—"))</f>
        <v/>
      </c>
      <c r="L1706">
        <f>IF($C1706="","",IFERROR(IF(INDEX(Roster!$K:$K,MATCH($C1706,Roster!$B:$B,0))="","",INDEX(Roster!$K:$K,MATCH($C1706,Roster!$B:$B,0))&amp;""),"—"))</f>
        <v/>
      </c>
      <c r="M1706" s="27" t="n"/>
      <c r="N1706" s="27" t="n"/>
      <c r="O1706" s="25">
        <f>IF($C1706="","",IF($P1706="","—",IF($P1706="Valid (Pass)","Valid","Invalid")))</f>
        <v/>
      </c>
      <c r="P1706" s="27" t="n"/>
      <c r="Q1706" s="27" t="n"/>
      <c r="R1706" s="27" t="n"/>
      <c r="S1706" s="27" t="n"/>
      <c r="T1706" s="25">
        <f>IF($C1706="","",IF(OR(ISNUMBER(SEARCH("quick case",$P1706)),ISNUMBER(SEARCH("quick case",$Q1706))),"Yes","No"))</f>
        <v/>
      </c>
      <c r="U1706" s="25">
        <f>IF($O1706="Invalid",HYPERLINK("mailto:"&amp;$G1706&amp;";"&amp;$I1706&amp;"?cc="&amp;Lists!$E$2&amp;"&amp;subject="&amp;_xlfn.ENCODEURL("[INVALID] Quality audit monitoring completed for "&amp;UPPER($C1706))&amp;"&amp;body="&amp;_xlfn.ENCODEURL("Hi "&amp;$F1706&amp;","&amp;CHAR(10)&amp;"Good day!"&amp;CHAR(10)&amp;CHAR(10)&amp;"A quality monitoring audit has been completed for "&amp;$C1706&amp;"."&amp;CHAR(10)&amp;CHAR(10)&amp;"QUALITY AUDIT DETAILS"&amp;CHAR(10)&amp;"Agent Name: "&amp;$C1706&amp;" (EID "&amp;$D1706&amp;")"&amp;CHAR(10)&amp;"Audit Date: "&amp;TEXT($B1706,"yyyy-mm-dd")&amp;CHAR(10)&amp;"Team Leader: "&amp;$F1706&amp;CHAR(10)&amp;"Case Number: "&amp;$M1706&amp;CHAR(10)&amp;"Transaction ID: "&amp;$N1706&amp;CHAR(10)&amp;"Channel / LOB: "&amp;$K1706&amp;" / "&amp;$L1706&amp;CHAR(10)&amp;"Evaluator: "&amp;$S1706&amp;CHAR(10)&amp;CHAR(10)&amp;"INVALID QUALITY AUDIT DETAILS"&amp;CHAR(10)&amp;"Validation: Invalid"&amp;CHAR(10)&amp;"Invalid Reason: "&amp;$P1706&amp;CHAR(10)&amp;"Expected Resolution Code: "&amp;$Q1706&amp;CHAR(10)&amp;"Remarks: "&amp;LEFT($R1706,600)&amp;CHAR(10)&amp;CHAR(10)&amp;"This is an automated notification from HP Mainstream EQMS."),"✉ Open Email Draft"),"")</f>
        <v/>
      </c>
    </row>
    <row r="1707">
      <c r="A1707" s="25">
        <f>IF($C1707="","","AUD-2026-"&amp;TEXT(ROW()-1,"000000"))</f>
        <v/>
      </c>
      <c r="B1707" s="26" t="n"/>
      <c r="C1707" s="27" t="n"/>
      <c r="D1707" s="25">
        <f>IF($C1707="","",IFERROR(IF(INDEX(Roster!$A:$A,MATCH($C1707,Roster!$B:$B,0))="","",INDEX(Roster!$A:$A,MATCH($C1707,Roster!$B:$B,0))&amp;""),"—"))</f>
        <v/>
      </c>
      <c r="E1707" s="25">
        <f>IF($C1707="","",IFERROR(IF(INDEX(Roster!$C:$C,MATCH($C1707,Roster!$B:$B,0))="","",INDEX(Roster!$C:$C,MATCH($C1707,Roster!$B:$B,0))&amp;""),"—"))</f>
        <v/>
      </c>
      <c r="F1707" s="25">
        <f>IF($C1707="","",IFERROR(IF(INDEX(Roster!$D:$D,MATCH($C1707,Roster!$B:$B,0))="","",INDEX(Roster!$D:$D,MATCH($C1707,Roster!$B:$B,0))&amp;""),"—"))</f>
        <v/>
      </c>
      <c r="G1707" s="25">
        <f>IF($C1707="","",IFERROR(IF(INDEX(Roster!$E:$E,MATCH($C1707,Roster!$B:$B,0))="","",INDEX(Roster!$E:$E,MATCH($C1707,Roster!$B:$B,0))&amp;""),"—"))</f>
        <v/>
      </c>
      <c r="H1707" s="25">
        <f>IF($C1707="","",IFERROR(IF(INDEX(Roster!$F:$F,MATCH($C1707,Roster!$B:$B,0))="","",INDEX(Roster!$F:$F,MATCH($C1707,Roster!$B:$B,0))&amp;""),"—"))</f>
        <v/>
      </c>
      <c r="I1707" s="25">
        <f>IF($C1707="","",IFERROR(IF(INDEX(Roster!$G:$G,MATCH($C1707,Roster!$B:$B,0))="","",INDEX(Roster!$G:$G,MATCH($C1707,Roster!$B:$B,0))&amp;""),"—"))</f>
        <v/>
      </c>
      <c r="J1707" s="25">
        <f>IF($C1707="","",IFERROR(IF(INDEX(Roster!$I:$I,MATCH($C1707,Roster!$B:$B,0))="","",INDEX(Roster!$I:$I,MATCH($C1707,Roster!$B:$B,0))&amp;""),"—"))</f>
        <v/>
      </c>
      <c r="K1707">
        <f>IF($C1707="","",IFERROR(IF(INDEX(Roster!$J:$J,MATCH($C1707,Roster!$B:$B,0))="","",INDEX(Roster!$J:$J,MATCH($C1707,Roster!$B:$B,0))&amp;""),"—"))</f>
        <v/>
      </c>
      <c r="L1707">
        <f>IF($C1707="","",IFERROR(IF(INDEX(Roster!$K:$K,MATCH($C1707,Roster!$B:$B,0))="","",INDEX(Roster!$K:$K,MATCH($C1707,Roster!$B:$B,0))&amp;""),"—"))</f>
        <v/>
      </c>
      <c r="M1707" s="27" t="n"/>
      <c r="N1707" s="27" t="n"/>
      <c r="O1707" s="25">
        <f>IF($C1707="","",IF($P1707="","—",IF($P1707="Valid (Pass)","Valid","Invalid")))</f>
        <v/>
      </c>
      <c r="P1707" s="27" t="n"/>
      <c r="Q1707" s="27" t="n"/>
      <c r="R1707" s="27" t="n"/>
      <c r="S1707" s="27" t="n"/>
      <c r="T1707" s="25">
        <f>IF($C1707="","",IF(OR(ISNUMBER(SEARCH("quick case",$P1707)),ISNUMBER(SEARCH("quick case",$Q1707))),"Yes","No"))</f>
        <v/>
      </c>
      <c r="U1707" s="25">
        <f>IF($O1707="Invalid",HYPERLINK("mailto:"&amp;$G1707&amp;";"&amp;$I1707&amp;"?cc="&amp;Lists!$E$2&amp;"&amp;subject="&amp;_xlfn.ENCODEURL("[INVALID] Quality audit monitoring completed for "&amp;UPPER($C1707))&amp;"&amp;body="&amp;_xlfn.ENCODEURL("Hi "&amp;$F1707&amp;","&amp;CHAR(10)&amp;"Good day!"&amp;CHAR(10)&amp;CHAR(10)&amp;"A quality monitoring audit has been completed for "&amp;$C1707&amp;"."&amp;CHAR(10)&amp;CHAR(10)&amp;"QUALITY AUDIT DETAILS"&amp;CHAR(10)&amp;"Agent Name: "&amp;$C1707&amp;" (EID "&amp;$D1707&amp;")"&amp;CHAR(10)&amp;"Audit Date: "&amp;TEXT($B1707,"yyyy-mm-dd")&amp;CHAR(10)&amp;"Team Leader: "&amp;$F1707&amp;CHAR(10)&amp;"Case Number: "&amp;$M1707&amp;CHAR(10)&amp;"Transaction ID: "&amp;$N1707&amp;CHAR(10)&amp;"Channel / LOB: "&amp;$K1707&amp;" / "&amp;$L1707&amp;CHAR(10)&amp;"Evaluator: "&amp;$S1707&amp;CHAR(10)&amp;CHAR(10)&amp;"INVALID QUALITY AUDIT DETAILS"&amp;CHAR(10)&amp;"Validation: Invalid"&amp;CHAR(10)&amp;"Invalid Reason: "&amp;$P1707&amp;CHAR(10)&amp;"Expected Resolution Code: "&amp;$Q1707&amp;CHAR(10)&amp;"Remarks: "&amp;LEFT($R1707,600)&amp;CHAR(10)&amp;CHAR(10)&amp;"This is an automated notification from HP Mainstream EQMS."),"✉ Open Email Draft"),"")</f>
        <v/>
      </c>
    </row>
    <row r="1708">
      <c r="A1708" s="25">
        <f>IF($C1708="","","AUD-2026-"&amp;TEXT(ROW()-1,"000000"))</f>
        <v/>
      </c>
      <c r="B1708" s="26" t="n"/>
      <c r="C1708" s="27" t="n"/>
      <c r="D1708" s="25">
        <f>IF($C1708="","",IFERROR(IF(INDEX(Roster!$A:$A,MATCH($C1708,Roster!$B:$B,0))="","",INDEX(Roster!$A:$A,MATCH($C1708,Roster!$B:$B,0))&amp;""),"—"))</f>
        <v/>
      </c>
      <c r="E1708" s="25">
        <f>IF($C1708="","",IFERROR(IF(INDEX(Roster!$C:$C,MATCH($C1708,Roster!$B:$B,0))="","",INDEX(Roster!$C:$C,MATCH($C1708,Roster!$B:$B,0))&amp;""),"—"))</f>
        <v/>
      </c>
      <c r="F1708" s="25">
        <f>IF($C1708="","",IFERROR(IF(INDEX(Roster!$D:$D,MATCH($C1708,Roster!$B:$B,0))="","",INDEX(Roster!$D:$D,MATCH($C1708,Roster!$B:$B,0))&amp;""),"—"))</f>
        <v/>
      </c>
      <c r="G1708" s="25">
        <f>IF($C1708="","",IFERROR(IF(INDEX(Roster!$E:$E,MATCH($C1708,Roster!$B:$B,0))="","",INDEX(Roster!$E:$E,MATCH($C1708,Roster!$B:$B,0))&amp;""),"—"))</f>
        <v/>
      </c>
      <c r="H1708" s="25">
        <f>IF($C1708="","",IFERROR(IF(INDEX(Roster!$F:$F,MATCH($C1708,Roster!$B:$B,0))="","",INDEX(Roster!$F:$F,MATCH($C1708,Roster!$B:$B,0))&amp;""),"—"))</f>
        <v/>
      </c>
      <c r="I1708" s="25">
        <f>IF($C1708="","",IFERROR(IF(INDEX(Roster!$G:$G,MATCH($C1708,Roster!$B:$B,0))="","",INDEX(Roster!$G:$G,MATCH($C1708,Roster!$B:$B,0))&amp;""),"—"))</f>
        <v/>
      </c>
      <c r="J1708" s="25">
        <f>IF($C1708="","",IFERROR(IF(INDEX(Roster!$I:$I,MATCH($C1708,Roster!$B:$B,0))="","",INDEX(Roster!$I:$I,MATCH($C1708,Roster!$B:$B,0))&amp;""),"—"))</f>
        <v/>
      </c>
      <c r="K1708">
        <f>IF($C1708="","",IFERROR(IF(INDEX(Roster!$J:$J,MATCH($C1708,Roster!$B:$B,0))="","",INDEX(Roster!$J:$J,MATCH($C1708,Roster!$B:$B,0))&amp;""),"—"))</f>
        <v/>
      </c>
      <c r="L1708">
        <f>IF($C1708="","",IFERROR(IF(INDEX(Roster!$K:$K,MATCH($C1708,Roster!$B:$B,0))="","",INDEX(Roster!$K:$K,MATCH($C1708,Roster!$B:$B,0))&amp;""),"—"))</f>
        <v/>
      </c>
      <c r="M1708" s="27" t="n"/>
      <c r="N1708" s="27" t="n"/>
      <c r="O1708" s="25">
        <f>IF($C1708="","",IF($P1708="","—",IF($P1708="Valid (Pass)","Valid","Invalid")))</f>
        <v/>
      </c>
      <c r="P1708" s="27" t="n"/>
      <c r="Q1708" s="27" t="n"/>
      <c r="R1708" s="27" t="n"/>
      <c r="S1708" s="27" t="n"/>
      <c r="T1708" s="25">
        <f>IF($C1708="","",IF(OR(ISNUMBER(SEARCH("quick case",$P1708)),ISNUMBER(SEARCH("quick case",$Q1708))),"Yes","No"))</f>
        <v/>
      </c>
      <c r="U1708" s="25">
        <f>IF($O1708="Invalid",HYPERLINK("mailto:"&amp;$G1708&amp;";"&amp;$I1708&amp;"?cc="&amp;Lists!$E$2&amp;"&amp;subject="&amp;_xlfn.ENCODEURL("[INVALID] Quality audit monitoring completed for "&amp;UPPER($C1708))&amp;"&amp;body="&amp;_xlfn.ENCODEURL("Hi "&amp;$F1708&amp;","&amp;CHAR(10)&amp;"Good day!"&amp;CHAR(10)&amp;CHAR(10)&amp;"A quality monitoring audit has been completed for "&amp;$C1708&amp;"."&amp;CHAR(10)&amp;CHAR(10)&amp;"QUALITY AUDIT DETAILS"&amp;CHAR(10)&amp;"Agent Name: "&amp;$C1708&amp;" (EID "&amp;$D1708&amp;")"&amp;CHAR(10)&amp;"Audit Date: "&amp;TEXT($B1708,"yyyy-mm-dd")&amp;CHAR(10)&amp;"Team Leader: "&amp;$F1708&amp;CHAR(10)&amp;"Case Number: "&amp;$M1708&amp;CHAR(10)&amp;"Transaction ID: "&amp;$N1708&amp;CHAR(10)&amp;"Channel / LOB: "&amp;$K1708&amp;" / "&amp;$L1708&amp;CHAR(10)&amp;"Evaluator: "&amp;$S1708&amp;CHAR(10)&amp;CHAR(10)&amp;"INVALID QUALITY AUDIT DETAILS"&amp;CHAR(10)&amp;"Validation: Invalid"&amp;CHAR(10)&amp;"Invalid Reason: "&amp;$P1708&amp;CHAR(10)&amp;"Expected Resolution Code: "&amp;$Q1708&amp;CHAR(10)&amp;"Remarks: "&amp;LEFT($R1708,600)&amp;CHAR(10)&amp;CHAR(10)&amp;"This is an automated notification from HP Mainstream EQMS."),"✉ Open Email Draft"),"")</f>
        <v/>
      </c>
    </row>
    <row r="1709">
      <c r="A1709" s="25">
        <f>IF($C1709="","","AUD-2026-"&amp;TEXT(ROW()-1,"000000"))</f>
        <v/>
      </c>
      <c r="B1709" s="26" t="n"/>
      <c r="C1709" s="27" t="n"/>
      <c r="D1709" s="25">
        <f>IF($C1709="","",IFERROR(IF(INDEX(Roster!$A:$A,MATCH($C1709,Roster!$B:$B,0))="","",INDEX(Roster!$A:$A,MATCH($C1709,Roster!$B:$B,0))&amp;""),"—"))</f>
        <v/>
      </c>
      <c r="E1709" s="25">
        <f>IF($C1709="","",IFERROR(IF(INDEX(Roster!$C:$C,MATCH($C1709,Roster!$B:$B,0))="","",INDEX(Roster!$C:$C,MATCH($C1709,Roster!$B:$B,0))&amp;""),"—"))</f>
        <v/>
      </c>
      <c r="F1709" s="25">
        <f>IF($C1709="","",IFERROR(IF(INDEX(Roster!$D:$D,MATCH($C1709,Roster!$B:$B,0))="","",INDEX(Roster!$D:$D,MATCH($C1709,Roster!$B:$B,0))&amp;""),"—"))</f>
        <v/>
      </c>
      <c r="G1709" s="25">
        <f>IF($C1709="","",IFERROR(IF(INDEX(Roster!$E:$E,MATCH($C1709,Roster!$B:$B,0))="","",INDEX(Roster!$E:$E,MATCH($C1709,Roster!$B:$B,0))&amp;""),"—"))</f>
        <v/>
      </c>
      <c r="H1709" s="25">
        <f>IF($C1709="","",IFERROR(IF(INDEX(Roster!$F:$F,MATCH($C1709,Roster!$B:$B,0))="","",INDEX(Roster!$F:$F,MATCH($C1709,Roster!$B:$B,0))&amp;""),"—"))</f>
        <v/>
      </c>
      <c r="I1709" s="25">
        <f>IF($C1709="","",IFERROR(IF(INDEX(Roster!$G:$G,MATCH($C1709,Roster!$B:$B,0))="","",INDEX(Roster!$G:$G,MATCH($C1709,Roster!$B:$B,0))&amp;""),"—"))</f>
        <v/>
      </c>
      <c r="J1709" s="25">
        <f>IF($C1709="","",IFERROR(IF(INDEX(Roster!$I:$I,MATCH($C1709,Roster!$B:$B,0))="","",INDEX(Roster!$I:$I,MATCH($C1709,Roster!$B:$B,0))&amp;""),"—"))</f>
        <v/>
      </c>
      <c r="K1709">
        <f>IF($C1709="","",IFERROR(IF(INDEX(Roster!$J:$J,MATCH($C1709,Roster!$B:$B,0))="","",INDEX(Roster!$J:$J,MATCH($C1709,Roster!$B:$B,0))&amp;""),"—"))</f>
        <v/>
      </c>
      <c r="L1709">
        <f>IF($C1709="","",IFERROR(IF(INDEX(Roster!$K:$K,MATCH($C1709,Roster!$B:$B,0))="","",INDEX(Roster!$K:$K,MATCH($C1709,Roster!$B:$B,0))&amp;""),"—"))</f>
        <v/>
      </c>
      <c r="M1709" s="27" t="n"/>
      <c r="N1709" s="27" t="n"/>
      <c r="O1709" s="25">
        <f>IF($C1709="","",IF($P1709="","—",IF($P1709="Valid (Pass)","Valid","Invalid")))</f>
        <v/>
      </c>
      <c r="P1709" s="27" t="n"/>
      <c r="Q1709" s="27" t="n"/>
      <c r="R1709" s="27" t="n"/>
      <c r="S1709" s="27" t="n"/>
      <c r="T1709" s="25">
        <f>IF($C1709="","",IF(OR(ISNUMBER(SEARCH("quick case",$P1709)),ISNUMBER(SEARCH("quick case",$Q1709))),"Yes","No"))</f>
        <v/>
      </c>
      <c r="U1709" s="25">
        <f>IF($O1709="Invalid",HYPERLINK("mailto:"&amp;$G1709&amp;";"&amp;$I1709&amp;"?cc="&amp;Lists!$E$2&amp;"&amp;subject="&amp;_xlfn.ENCODEURL("[INVALID] Quality audit monitoring completed for "&amp;UPPER($C1709))&amp;"&amp;body="&amp;_xlfn.ENCODEURL("Hi "&amp;$F1709&amp;","&amp;CHAR(10)&amp;"Good day!"&amp;CHAR(10)&amp;CHAR(10)&amp;"A quality monitoring audit has been completed for "&amp;$C1709&amp;"."&amp;CHAR(10)&amp;CHAR(10)&amp;"QUALITY AUDIT DETAILS"&amp;CHAR(10)&amp;"Agent Name: "&amp;$C1709&amp;" (EID "&amp;$D1709&amp;")"&amp;CHAR(10)&amp;"Audit Date: "&amp;TEXT($B1709,"yyyy-mm-dd")&amp;CHAR(10)&amp;"Team Leader: "&amp;$F1709&amp;CHAR(10)&amp;"Case Number: "&amp;$M1709&amp;CHAR(10)&amp;"Transaction ID: "&amp;$N1709&amp;CHAR(10)&amp;"Channel / LOB: "&amp;$K1709&amp;" / "&amp;$L1709&amp;CHAR(10)&amp;"Evaluator: "&amp;$S1709&amp;CHAR(10)&amp;CHAR(10)&amp;"INVALID QUALITY AUDIT DETAILS"&amp;CHAR(10)&amp;"Validation: Invalid"&amp;CHAR(10)&amp;"Invalid Reason: "&amp;$P1709&amp;CHAR(10)&amp;"Expected Resolution Code: "&amp;$Q1709&amp;CHAR(10)&amp;"Remarks: "&amp;LEFT($R1709,600)&amp;CHAR(10)&amp;CHAR(10)&amp;"This is an automated notification from HP Mainstream EQMS."),"✉ Open Email Draft"),"")</f>
        <v/>
      </c>
    </row>
    <row r="1710">
      <c r="A1710" s="25">
        <f>IF($C1710="","","AUD-2026-"&amp;TEXT(ROW()-1,"000000"))</f>
        <v/>
      </c>
      <c r="B1710" s="26" t="n"/>
      <c r="C1710" s="27" t="n"/>
      <c r="D1710" s="25">
        <f>IF($C1710="","",IFERROR(IF(INDEX(Roster!$A:$A,MATCH($C1710,Roster!$B:$B,0))="","",INDEX(Roster!$A:$A,MATCH($C1710,Roster!$B:$B,0))&amp;""),"—"))</f>
        <v/>
      </c>
      <c r="E1710" s="25">
        <f>IF($C1710="","",IFERROR(IF(INDEX(Roster!$C:$C,MATCH($C1710,Roster!$B:$B,0))="","",INDEX(Roster!$C:$C,MATCH($C1710,Roster!$B:$B,0))&amp;""),"—"))</f>
        <v/>
      </c>
      <c r="F1710" s="25">
        <f>IF($C1710="","",IFERROR(IF(INDEX(Roster!$D:$D,MATCH($C1710,Roster!$B:$B,0))="","",INDEX(Roster!$D:$D,MATCH($C1710,Roster!$B:$B,0))&amp;""),"—"))</f>
        <v/>
      </c>
      <c r="G1710" s="25">
        <f>IF($C1710="","",IFERROR(IF(INDEX(Roster!$E:$E,MATCH($C1710,Roster!$B:$B,0))="","",INDEX(Roster!$E:$E,MATCH($C1710,Roster!$B:$B,0))&amp;""),"—"))</f>
        <v/>
      </c>
      <c r="H1710" s="25">
        <f>IF($C1710="","",IFERROR(IF(INDEX(Roster!$F:$F,MATCH($C1710,Roster!$B:$B,0))="","",INDEX(Roster!$F:$F,MATCH($C1710,Roster!$B:$B,0))&amp;""),"—"))</f>
        <v/>
      </c>
      <c r="I1710" s="25">
        <f>IF($C1710="","",IFERROR(IF(INDEX(Roster!$G:$G,MATCH($C1710,Roster!$B:$B,0))="","",INDEX(Roster!$G:$G,MATCH($C1710,Roster!$B:$B,0))&amp;""),"—"))</f>
        <v/>
      </c>
      <c r="J1710" s="25">
        <f>IF($C1710="","",IFERROR(IF(INDEX(Roster!$I:$I,MATCH($C1710,Roster!$B:$B,0))="","",INDEX(Roster!$I:$I,MATCH($C1710,Roster!$B:$B,0))&amp;""),"—"))</f>
        <v/>
      </c>
      <c r="K1710">
        <f>IF($C1710="","",IFERROR(IF(INDEX(Roster!$J:$J,MATCH($C1710,Roster!$B:$B,0))="","",INDEX(Roster!$J:$J,MATCH($C1710,Roster!$B:$B,0))&amp;""),"—"))</f>
        <v/>
      </c>
      <c r="L1710">
        <f>IF($C1710="","",IFERROR(IF(INDEX(Roster!$K:$K,MATCH($C1710,Roster!$B:$B,0))="","",INDEX(Roster!$K:$K,MATCH($C1710,Roster!$B:$B,0))&amp;""),"—"))</f>
        <v/>
      </c>
      <c r="M1710" s="27" t="n"/>
      <c r="N1710" s="27" t="n"/>
      <c r="O1710" s="25">
        <f>IF($C1710="","",IF($P1710="","—",IF($P1710="Valid (Pass)","Valid","Invalid")))</f>
        <v/>
      </c>
      <c r="P1710" s="27" t="n"/>
      <c r="Q1710" s="27" t="n"/>
      <c r="R1710" s="27" t="n"/>
      <c r="S1710" s="27" t="n"/>
      <c r="T1710" s="25">
        <f>IF($C1710="","",IF(OR(ISNUMBER(SEARCH("quick case",$P1710)),ISNUMBER(SEARCH("quick case",$Q1710))),"Yes","No"))</f>
        <v/>
      </c>
      <c r="U1710" s="25">
        <f>IF($O1710="Invalid",HYPERLINK("mailto:"&amp;$G1710&amp;";"&amp;$I1710&amp;"?cc="&amp;Lists!$E$2&amp;"&amp;subject="&amp;_xlfn.ENCODEURL("[INVALID] Quality audit monitoring completed for "&amp;UPPER($C1710))&amp;"&amp;body="&amp;_xlfn.ENCODEURL("Hi "&amp;$F1710&amp;","&amp;CHAR(10)&amp;"Good day!"&amp;CHAR(10)&amp;CHAR(10)&amp;"A quality monitoring audit has been completed for "&amp;$C1710&amp;"."&amp;CHAR(10)&amp;CHAR(10)&amp;"QUALITY AUDIT DETAILS"&amp;CHAR(10)&amp;"Agent Name: "&amp;$C1710&amp;" (EID "&amp;$D1710&amp;")"&amp;CHAR(10)&amp;"Audit Date: "&amp;TEXT($B1710,"yyyy-mm-dd")&amp;CHAR(10)&amp;"Team Leader: "&amp;$F1710&amp;CHAR(10)&amp;"Case Number: "&amp;$M1710&amp;CHAR(10)&amp;"Transaction ID: "&amp;$N1710&amp;CHAR(10)&amp;"Channel / LOB: "&amp;$K1710&amp;" / "&amp;$L1710&amp;CHAR(10)&amp;"Evaluator: "&amp;$S1710&amp;CHAR(10)&amp;CHAR(10)&amp;"INVALID QUALITY AUDIT DETAILS"&amp;CHAR(10)&amp;"Validation: Invalid"&amp;CHAR(10)&amp;"Invalid Reason: "&amp;$P1710&amp;CHAR(10)&amp;"Expected Resolution Code: "&amp;$Q1710&amp;CHAR(10)&amp;"Remarks: "&amp;LEFT($R1710,600)&amp;CHAR(10)&amp;CHAR(10)&amp;"This is an automated notification from HP Mainstream EQMS."),"✉ Open Email Draft"),"")</f>
        <v/>
      </c>
    </row>
    <row r="1711">
      <c r="A1711" s="25">
        <f>IF($C1711="","","AUD-2026-"&amp;TEXT(ROW()-1,"000000"))</f>
        <v/>
      </c>
      <c r="B1711" s="26" t="n"/>
      <c r="C1711" s="27" t="n"/>
      <c r="D1711" s="25">
        <f>IF($C1711="","",IFERROR(IF(INDEX(Roster!$A:$A,MATCH($C1711,Roster!$B:$B,0))="","",INDEX(Roster!$A:$A,MATCH($C1711,Roster!$B:$B,0))&amp;""),"—"))</f>
        <v/>
      </c>
      <c r="E1711" s="25">
        <f>IF($C1711="","",IFERROR(IF(INDEX(Roster!$C:$C,MATCH($C1711,Roster!$B:$B,0))="","",INDEX(Roster!$C:$C,MATCH($C1711,Roster!$B:$B,0))&amp;""),"—"))</f>
        <v/>
      </c>
      <c r="F1711" s="25">
        <f>IF($C1711="","",IFERROR(IF(INDEX(Roster!$D:$D,MATCH($C1711,Roster!$B:$B,0))="","",INDEX(Roster!$D:$D,MATCH($C1711,Roster!$B:$B,0))&amp;""),"—"))</f>
        <v/>
      </c>
      <c r="G1711" s="25">
        <f>IF($C1711="","",IFERROR(IF(INDEX(Roster!$E:$E,MATCH($C1711,Roster!$B:$B,0))="","",INDEX(Roster!$E:$E,MATCH($C1711,Roster!$B:$B,0))&amp;""),"—"))</f>
        <v/>
      </c>
      <c r="H1711" s="25">
        <f>IF($C1711="","",IFERROR(IF(INDEX(Roster!$F:$F,MATCH($C1711,Roster!$B:$B,0))="","",INDEX(Roster!$F:$F,MATCH($C1711,Roster!$B:$B,0))&amp;""),"—"))</f>
        <v/>
      </c>
      <c r="I1711" s="25">
        <f>IF($C1711="","",IFERROR(IF(INDEX(Roster!$G:$G,MATCH($C1711,Roster!$B:$B,0))="","",INDEX(Roster!$G:$G,MATCH($C1711,Roster!$B:$B,0))&amp;""),"—"))</f>
        <v/>
      </c>
      <c r="J1711" s="25">
        <f>IF($C1711="","",IFERROR(IF(INDEX(Roster!$I:$I,MATCH($C1711,Roster!$B:$B,0))="","",INDEX(Roster!$I:$I,MATCH($C1711,Roster!$B:$B,0))&amp;""),"—"))</f>
        <v/>
      </c>
      <c r="K1711">
        <f>IF($C1711="","",IFERROR(IF(INDEX(Roster!$J:$J,MATCH($C1711,Roster!$B:$B,0))="","",INDEX(Roster!$J:$J,MATCH($C1711,Roster!$B:$B,0))&amp;""),"—"))</f>
        <v/>
      </c>
      <c r="L1711">
        <f>IF($C1711="","",IFERROR(IF(INDEX(Roster!$K:$K,MATCH($C1711,Roster!$B:$B,0))="","",INDEX(Roster!$K:$K,MATCH($C1711,Roster!$B:$B,0))&amp;""),"—"))</f>
        <v/>
      </c>
      <c r="M1711" s="27" t="n"/>
      <c r="N1711" s="27" t="n"/>
      <c r="O1711" s="25">
        <f>IF($C1711="","",IF($P1711="","—",IF($P1711="Valid (Pass)","Valid","Invalid")))</f>
        <v/>
      </c>
      <c r="P1711" s="27" t="n"/>
      <c r="Q1711" s="27" t="n"/>
      <c r="R1711" s="27" t="n"/>
      <c r="S1711" s="27" t="n"/>
      <c r="T1711" s="25">
        <f>IF($C1711="","",IF(OR(ISNUMBER(SEARCH("quick case",$P1711)),ISNUMBER(SEARCH("quick case",$Q1711))),"Yes","No"))</f>
        <v/>
      </c>
      <c r="U1711" s="25">
        <f>IF($O1711="Invalid",HYPERLINK("mailto:"&amp;$G1711&amp;";"&amp;$I1711&amp;"?cc="&amp;Lists!$E$2&amp;"&amp;subject="&amp;_xlfn.ENCODEURL("[INVALID] Quality audit monitoring completed for "&amp;UPPER($C1711))&amp;"&amp;body="&amp;_xlfn.ENCODEURL("Hi "&amp;$F1711&amp;","&amp;CHAR(10)&amp;"Good day!"&amp;CHAR(10)&amp;CHAR(10)&amp;"A quality monitoring audit has been completed for "&amp;$C1711&amp;"."&amp;CHAR(10)&amp;CHAR(10)&amp;"QUALITY AUDIT DETAILS"&amp;CHAR(10)&amp;"Agent Name: "&amp;$C1711&amp;" (EID "&amp;$D1711&amp;")"&amp;CHAR(10)&amp;"Audit Date: "&amp;TEXT($B1711,"yyyy-mm-dd")&amp;CHAR(10)&amp;"Team Leader: "&amp;$F1711&amp;CHAR(10)&amp;"Case Number: "&amp;$M1711&amp;CHAR(10)&amp;"Transaction ID: "&amp;$N1711&amp;CHAR(10)&amp;"Channel / LOB: "&amp;$K1711&amp;" / "&amp;$L1711&amp;CHAR(10)&amp;"Evaluator: "&amp;$S1711&amp;CHAR(10)&amp;CHAR(10)&amp;"INVALID QUALITY AUDIT DETAILS"&amp;CHAR(10)&amp;"Validation: Invalid"&amp;CHAR(10)&amp;"Invalid Reason: "&amp;$P1711&amp;CHAR(10)&amp;"Expected Resolution Code: "&amp;$Q1711&amp;CHAR(10)&amp;"Remarks: "&amp;LEFT($R1711,600)&amp;CHAR(10)&amp;CHAR(10)&amp;"This is an automated notification from HP Mainstream EQMS."),"✉ Open Email Draft"),"")</f>
        <v/>
      </c>
    </row>
    <row r="1712">
      <c r="A1712" s="25">
        <f>IF($C1712="","","AUD-2026-"&amp;TEXT(ROW()-1,"000000"))</f>
        <v/>
      </c>
      <c r="B1712" s="26" t="n"/>
      <c r="C1712" s="27" t="n"/>
      <c r="D1712" s="25">
        <f>IF($C1712="","",IFERROR(IF(INDEX(Roster!$A:$A,MATCH($C1712,Roster!$B:$B,0))="","",INDEX(Roster!$A:$A,MATCH($C1712,Roster!$B:$B,0))&amp;""),"—"))</f>
        <v/>
      </c>
      <c r="E1712" s="25">
        <f>IF($C1712="","",IFERROR(IF(INDEX(Roster!$C:$C,MATCH($C1712,Roster!$B:$B,0))="","",INDEX(Roster!$C:$C,MATCH($C1712,Roster!$B:$B,0))&amp;""),"—"))</f>
        <v/>
      </c>
      <c r="F1712" s="25">
        <f>IF($C1712="","",IFERROR(IF(INDEX(Roster!$D:$D,MATCH($C1712,Roster!$B:$B,0))="","",INDEX(Roster!$D:$D,MATCH($C1712,Roster!$B:$B,0))&amp;""),"—"))</f>
        <v/>
      </c>
      <c r="G1712" s="25">
        <f>IF($C1712="","",IFERROR(IF(INDEX(Roster!$E:$E,MATCH($C1712,Roster!$B:$B,0))="","",INDEX(Roster!$E:$E,MATCH($C1712,Roster!$B:$B,0))&amp;""),"—"))</f>
        <v/>
      </c>
      <c r="H1712" s="25">
        <f>IF($C1712="","",IFERROR(IF(INDEX(Roster!$F:$F,MATCH($C1712,Roster!$B:$B,0))="","",INDEX(Roster!$F:$F,MATCH($C1712,Roster!$B:$B,0))&amp;""),"—"))</f>
        <v/>
      </c>
      <c r="I1712" s="25">
        <f>IF($C1712="","",IFERROR(IF(INDEX(Roster!$G:$G,MATCH($C1712,Roster!$B:$B,0))="","",INDEX(Roster!$G:$G,MATCH($C1712,Roster!$B:$B,0))&amp;""),"—"))</f>
        <v/>
      </c>
      <c r="J1712" s="25">
        <f>IF($C1712="","",IFERROR(IF(INDEX(Roster!$I:$I,MATCH($C1712,Roster!$B:$B,0))="","",INDEX(Roster!$I:$I,MATCH($C1712,Roster!$B:$B,0))&amp;""),"—"))</f>
        <v/>
      </c>
      <c r="K1712">
        <f>IF($C1712="","",IFERROR(IF(INDEX(Roster!$J:$J,MATCH($C1712,Roster!$B:$B,0))="","",INDEX(Roster!$J:$J,MATCH($C1712,Roster!$B:$B,0))&amp;""),"—"))</f>
        <v/>
      </c>
      <c r="L1712">
        <f>IF($C1712="","",IFERROR(IF(INDEX(Roster!$K:$K,MATCH($C1712,Roster!$B:$B,0))="","",INDEX(Roster!$K:$K,MATCH($C1712,Roster!$B:$B,0))&amp;""),"—"))</f>
        <v/>
      </c>
      <c r="M1712" s="27" t="n"/>
      <c r="N1712" s="27" t="n"/>
      <c r="O1712" s="25">
        <f>IF($C1712="","",IF($P1712="","—",IF($P1712="Valid (Pass)","Valid","Invalid")))</f>
        <v/>
      </c>
      <c r="P1712" s="27" t="n"/>
      <c r="Q1712" s="27" t="n"/>
      <c r="R1712" s="27" t="n"/>
      <c r="S1712" s="27" t="n"/>
      <c r="T1712" s="25">
        <f>IF($C1712="","",IF(OR(ISNUMBER(SEARCH("quick case",$P1712)),ISNUMBER(SEARCH("quick case",$Q1712))),"Yes","No"))</f>
        <v/>
      </c>
      <c r="U1712" s="25">
        <f>IF($O1712="Invalid",HYPERLINK("mailto:"&amp;$G1712&amp;";"&amp;$I1712&amp;"?cc="&amp;Lists!$E$2&amp;"&amp;subject="&amp;_xlfn.ENCODEURL("[INVALID] Quality audit monitoring completed for "&amp;UPPER($C1712))&amp;"&amp;body="&amp;_xlfn.ENCODEURL("Hi "&amp;$F1712&amp;","&amp;CHAR(10)&amp;"Good day!"&amp;CHAR(10)&amp;CHAR(10)&amp;"A quality monitoring audit has been completed for "&amp;$C1712&amp;"."&amp;CHAR(10)&amp;CHAR(10)&amp;"QUALITY AUDIT DETAILS"&amp;CHAR(10)&amp;"Agent Name: "&amp;$C1712&amp;" (EID "&amp;$D1712&amp;")"&amp;CHAR(10)&amp;"Audit Date: "&amp;TEXT($B1712,"yyyy-mm-dd")&amp;CHAR(10)&amp;"Team Leader: "&amp;$F1712&amp;CHAR(10)&amp;"Case Number: "&amp;$M1712&amp;CHAR(10)&amp;"Transaction ID: "&amp;$N1712&amp;CHAR(10)&amp;"Channel / LOB: "&amp;$K1712&amp;" / "&amp;$L1712&amp;CHAR(10)&amp;"Evaluator: "&amp;$S1712&amp;CHAR(10)&amp;CHAR(10)&amp;"INVALID QUALITY AUDIT DETAILS"&amp;CHAR(10)&amp;"Validation: Invalid"&amp;CHAR(10)&amp;"Invalid Reason: "&amp;$P1712&amp;CHAR(10)&amp;"Expected Resolution Code: "&amp;$Q1712&amp;CHAR(10)&amp;"Remarks: "&amp;LEFT($R1712,600)&amp;CHAR(10)&amp;CHAR(10)&amp;"This is an automated notification from HP Mainstream EQMS."),"✉ Open Email Draft"),"")</f>
        <v/>
      </c>
    </row>
    <row r="1713">
      <c r="A1713" s="25">
        <f>IF($C1713="","","AUD-2026-"&amp;TEXT(ROW()-1,"000000"))</f>
        <v/>
      </c>
      <c r="B1713" s="26" t="n"/>
      <c r="C1713" s="27" t="n"/>
      <c r="D1713" s="25">
        <f>IF($C1713="","",IFERROR(IF(INDEX(Roster!$A:$A,MATCH($C1713,Roster!$B:$B,0))="","",INDEX(Roster!$A:$A,MATCH($C1713,Roster!$B:$B,0))&amp;""),"—"))</f>
        <v/>
      </c>
      <c r="E1713" s="25">
        <f>IF($C1713="","",IFERROR(IF(INDEX(Roster!$C:$C,MATCH($C1713,Roster!$B:$B,0))="","",INDEX(Roster!$C:$C,MATCH($C1713,Roster!$B:$B,0))&amp;""),"—"))</f>
        <v/>
      </c>
      <c r="F1713" s="25">
        <f>IF($C1713="","",IFERROR(IF(INDEX(Roster!$D:$D,MATCH($C1713,Roster!$B:$B,0))="","",INDEX(Roster!$D:$D,MATCH($C1713,Roster!$B:$B,0))&amp;""),"—"))</f>
        <v/>
      </c>
      <c r="G1713" s="25">
        <f>IF($C1713="","",IFERROR(IF(INDEX(Roster!$E:$E,MATCH($C1713,Roster!$B:$B,0))="","",INDEX(Roster!$E:$E,MATCH($C1713,Roster!$B:$B,0))&amp;""),"—"))</f>
        <v/>
      </c>
      <c r="H1713" s="25">
        <f>IF($C1713="","",IFERROR(IF(INDEX(Roster!$F:$F,MATCH($C1713,Roster!$B:$B,0))="","",INDEX(Roster!$F:$F,MATCH($C1713,Roster!$B:$B,0))&amp;""),"—"))</f>
        <v/>
      </c>
      <c r="I1713" s="25">
        <f>IF($C1713="","",IFERROR(IF(INDEX(Roster!$G:$G,MATCH($C1713,Roster!$B:$B,0))="","",INDEX(Roster!$G:$G,MATCH($C1713,Roster!$B:$B,0))&amp;""),"—"))</f>
        <v/>
      </c>
      <c r="J1713" s="25">
        <f>IF($C1713="","",IFERROR(IF(INDEX(Roster!$I:$I,MATCH($C1713,Roster!$B:$B,0))="","",INDEX(Roster!$I:$I,MATCH($C1713,Roster!$B:$B,0))&amp;""),"—"))</f>
        <v/>
      </c>
      <c r="K1713">
        <f>IF($C1713="","",IFERROR(IF(INDEX(Roster!$J:$J,MATCH($C1713,Roster!$B:$B,0))="","",INDEX(Roster!$J:$J,MATCH($C1713,Roster!$B:$B,0))&amp;""),"—"))</f>
        <v/>
      </c>
      <c r="L1713">
        <f>IF($C1713="","",IFERROR(IF(INDEX(Roster!$K:$K,MATCH($C1713,Roster!$B:$B,0))="","",INDEX(Roster!$K:$K,MATCH($C1713,Roster!$B:$B,0))&amp;""),"—"))</f>
        <v/>
      </c>
      <c r="M1713" s="27" t="n"/>
      <c r="N1713" s="27" t="n"/>
      <c r="O1713" s="25">
        <f>IF($C1713="","",IF($P1713="","—",IF($P1713="Valid (Pass)","Valid","Invalid")))</f>
        <v/>
      </c>
      <c r="P1713" s="27" t="n"/>
      <c r="Q1713" s="27" t="n"/>
      <c r="R1713" s="27" t="n"/>
      <c r="S1713" s="27" t="n"/>
      <c r="T1713" s="25">
        <f>IF($C1713="","",IF(OR(ISNUMBER(SEARCH("quick case",$P1713)),ISNUMBER(SEARCH("quick case",$Q1713))),"Yes","No"))</f>
        <v/>
      </c>
      <c r="U1713" s="25">
        <f>IF($O1713="Invalid",HYPERLINK("mailto:"&amp;$G1713&amp;";"&amp;$I1713&amp;"?cc="&amp;Lists!$E$2&amp;"&amp;subject="&amp;_xlfn.ENCODEURL("[INVALID] Quality audit monitoring completed for "&amp;UPPER($C1713))&amp;"&amp;body="&amp;_xlfn.ENCODEURL("Hi "&amp;$F1713&amp;","&amp;CHAR(10)&amp;"Good day!"&amp;CHAR(10)&amp;CHAR(10)&amp;"A quality monitoring audit has been completed for "&amp;$C1713&amp;"."&amp;CHAR(10)&amp;CHAR(10)&amp;"QUALITY AUDIT DETAILS"&amp;CHAR(10)&amp;"Agent Name: "&amp;$C1713&amp;" (EID "&amp;$D1713&amp;")"&amp;CHAR(10)&amp;"Audit Date: "&amp;TEXT($B1713,"yyyy-mm-dd")&amp;CHAR(10)&amp;"Team Leader: "&amp;$F1713&amp;CHAR(10)&amp;"Case Number: "&amp;$M1713&amp;CHAR(10)&amp;"Transaction ID: "&amp;$N1713&amp;CHAR(10)&amp;"Channel / LOB: "&amp;$K1713&amp;" / "&amp;$L1713&amp;CHAR(10)&amp;"Evaluator: "&amp;$S1713&amp;CHAR(10)&amp;CHAR(10)&amp;"INVALID QUALITY AUDIT DETAILS"&amp;CHAR(10)&amp;"Validation: Invalid"&amp;CHAR(10)&amp;"Invalid Reason: "&amp;$P1713&amp;CHAR(10)&amp;"Expected Resolution Code: "&amp;$Q1713&amp;CHAR(10)&amp;"Remarks: "&amp;LEFT($R1713,600)&amp;CHAR(10)&amp;CHAR(10)&amp;"This is an automated notification from HP Mainstream EQMS."),"✉ Open Email Draft"),"")</f>
        <v/>
      </c>
    </row>
    <row r="1714">
      <c r="A1714" s="25">
        <f>IF($C1714="","","AUD-2026-"&amp;TEXT(ROW()-1,"000000"))</f>
        <v/>
      </c>
      <c r="B1714" s="26" t="n"/>
      <c r="C1714" s="27" t="n"/>
      <c r="D1714" s="25">
        <f>IF($C1714="","",IFERROR(IF(INDEX(Roster!$A:$A,MATCH($C1714,Roster!$B:$B,0))="","",INDEX(Roster!$A:$A,MATCH($C1714,Roster!$B:$B,0))&amp;""),"—"))</f>
        <v/>
      </c>
      <c r="E1714" s="25">
        <f>IF($C1714="","",IFERROR(IF(INDEX(Roster!$C:$C,MATCH($C1714,Roster!$B:$B,0))="","",INDEX(Roster!$C:$C,MATCH($C1714,Roster!$B:$B,0))&amp;""),"—"))</f>
        <v/>
      </c>
      <c r="F1714" s="25">
        <f>IF($C1714="","",IFERROR(IF(INDEX(Roster!$D:$D,MATCH($C1714,Roster!$B:$B,0))="","",INDEX(Roster!$D:$D,MATCH($C1714,Roster!$B:$B,0))&amp;""),"—"))</f>
        <v/>
      </c>
      <c r="G1714" s="25">
        <f>IF($C1714="","",IFERROR(IF(INDEX(Roster!$E:$E,MATCH($C1714,Roster!$B:$B,0))="","",INDEX(Roster!$E:$E,MATCH($C1714,Roster!$B:$B,0))&amp;""),"—"))</f>
        <v/>
      </c>
      <c r="H1714" s="25">
        <f>IF($C1714="","",IFERROR(IF(INDEX(Roster!$F:$F,MATCH($C1714,Roster!$B:$B,0))="","",INDEX(Roster!$F:$F,MATCH($C1714,Roster!$B:$B,0))&amp;""),"—"))</f>
        <v/>
      </c>
      <c r="I1714" s="25">
        <f>IF($C1714="","",IFERROR(IF(INDEX(Roster!$G:$G,MATCH($C1714,Roster!$B:$B,0))="","",INDEX(Roster!$G:$G,MATCH($C1714,Roster!$B:$B,0))&amp;""),"—"))</f>
        <v/>
      </c>
      <c r="J1714" s="25">
        <f>IF($C1714="","",IFERROR(IF(INDEX(Roster!$I:$I,MATCH($C1714,Roster!$B:$B,0))="","",INDEX(Roster!$I:$I,MATCH($C1714,Roster!$B:$B,0))&amp;""),"—"))</f>
        <v/>
      </c>
      <c r="K1714">
        <f>IF($C1714="","",IFERROR(IF(INDEX(Roster!$J:$J,MATCH($C1714,Roster!$B:$B,0))="","",INDEX(Roster!$J:$J,MATCH($C1714,Roster!$B:$B,0))&amp;""),"—"))</f>
        <v/>
      </c>
      <c r="L1714">
        <f>IF($C1714="","",IFERROR(IF(INDEX(Roster!$K:$K,MATCH($C1714,Roster!$B:$B,0))="","",INDEX(Roster!$K:$K,MATCH($C1714,Roster!$B:$B,0))&amp;""),"—"))</f>
        <v/>
      </c>
      <c r="M1714" s="27" t="n"/>
      <c r="N1714" s="27" t="n"/>
      <c r="O1714" s="25">
        <f>IF($C1714="","",IF($P1714="","—",IF($P1714="Valid (Pass)","Valid","Invalid")))</f>
        <v/>
      </c>
      <c r="P1714" s="27" t="n"/>
      <c r="Q1714" s="27" t="n"/>
      <c r="R1714" s="27" t="n"/>
      <c r="S1714" s="27" t="n"/>
      <c r="T1714" s="25">
        <f>IF($C1714="","",IF(OR(ISNUMBER(SEARCH("quick case",$P1714)),ISNUMBER(SEARCH("quick case",$Q1714))),"Yes","No"))</f>
        <v/>
      </c>
      <c r="U1714" s="25">
        <f>IF($O1714="Invalid",HYPERLINK("mailto:"&amp;$G1714&amp;";"&amp;$I1714&amp;"?cc="&amp;Lists!$E$2&amp;"&amp;subject="&amp;_xlfn.ENCODEURL("[INVALID] Quality audit monitoring completed for "&amp;UPPER($C1714))&amp;"&amp;body="&amp;_xlfn.ENCODEURL("Hi "&amp;$F1714&amp;","&amp;CHAR(10)&amp;"Good day!"&amp;CHAR(10)&amp;CHAR(10)&amp;"A quality monitoring audit has been completed for "&amp;$C1714&amp;"."&amp;CHAR(10)&amp;CHAR(10)&amp;"QUALITY AUDIT DETAILS"&amp;CHAR(10)&amp;"Agent Name: "&amp;$C1714&amp;" (EID "&amp;$D1714&amp;")"&amp;CHAR(10)&amp;"Audit Date: "&amp;TEXT($B1714,"yyyy-mm-dd")&amp;CHAR(10)&amp;"Team Leader: "&amp;$F1714&amp;CHAR(10)&amp;"Case Number: "&amp;$M1714&amp;CHAR(10)&amp;"Transaction ID: "&amp;$N1714&amp;CHAR(10)&amp;"Channel / LOB: "&amp;$K1714&amp;" / "&amp;$L1714&amp;CHAR(10)&amp;"Evaluator: "&amp;$S1714&amp;CHAR(10)&amp;CHAR(10)&amp;"INVALID QUALITY AUDIT DETAILS"&amp;CHAR(10)&amp;"Validation: Invalid"&amp;CHAR(10)&amp;"Invalid Reason: "&amp;$P1714&amp;CHAR(10)&amp;"Expected Resolution Code: "&amp;$Q1714&amp;CHAR(10)&amp;"Remarks: "&amp;LEFT($R1714,600)&amp;CHAR(10)&amp;CHAR(10)&amp;"This is an automated notification from HP Mainstream EQMS."),"✉ Open Email Draft"),"")</f>
        <v/>
      </c>
    </row>
    <row r="1715">
      <c r="A1715" s="25">
        <f>IF($C1715="","","AUD-2026-"&amp;TEXT(ROW()-1,"000000"))</f>
        <v/>
      </c>
      <c r="B1715" s="26" t="n"/>
      <c r="C1715" s="27" t="n"/>
      <c r="D1715" s="25">
        <f>IF($C1715="","",IFERROR(IF(INDEX(Roster!$A:$A,MATCH($C1715,Roster!$B:$B,0))="","",INDEX(Roster!$A:$A,MATCH($C1715,Roster!$B:$B,0))&amp;""),"—"))</f>
        <v/>
      </c>
      <c r="E1715" s="25">
        <f>IF($C1715="","",IFERROR(IF(INDEX(Roster!$C:$C,MATCH($C1715,Roster!$B:$B,0))="","",INDEX(Roster!$C:$C,MATCH($C1715,Roster!$B:$B,0))&amp;""),"—"))</f>
        <v/>
      </c>
      <c r="F1715" s="25">
        <f>IF($C1715="","",IFERROR(IF(INDEX(Roster!$D:$D,MATCH($C1715,Roster!$B:$B,0))="","",INDEX(Roster!$D:$D,MATCH($C1715,Roster!$B:$B,0))&amp;""),"—"))</f>
        <v/>
      </c>
      <c r="G1715" s="25">
        <f>IF($C1715="","",IFERROR(IF(INDEX(Roster!$E:$E,MATCH($C1715,Roster!$B:$B,0))="","",INDEX(Roster!$E:$E,MATCH($C1715,Roster!$B:$B,0))&amp;""),"—"))</f>
        <v/>
      </c>
      <c r="H1715" s="25">
        <f>IF($C1715="","",IFERROR(IF(INDEX(Roster!$F:$F,MATCH($C1715,Roster!$B:$B,0))="","",INDEX(Roster!$F:$F,MATCH($C1715,Roster!$B:$B,0))&amp;""),"—"))</f>
        <v/>
      </c>
      <c r="I1715" s="25">
        <f>IF($C1715="","",IFERROR(IF(INDEX(Roster!$G:$G,MATCH($C1715,Roster!$B:$B,0))="","",INDEX(Roster!$G:$G,MATCH($C1715,Roster!$B:$B,0))&amp;""),"—"))</f>
        <v/>
      </c>
      <c r="J1715" s="25">
        <f>IF($C1715="","",IFERROR(IF(INDEX(Roster!$I:$I,MATCH($C1715,Roster!$B:$B,0))="","",INDEX(Roster!$I:$I,MATCH($C1715,Roster!$B:$B,0))&amp;""),"—"))</f>
        <v/>
      </c>
      <c r="K1715">
        <f>IF($C1715="","",IFERROR(IF(INDEX(Roster!$J:$J,MATCH($C1715,Roster!$B:$B,0))="","",INDEX(Roster!$J:$J,MATCH($C1715,Roster!$B:$B,0))&amp;""),"—"))</f>
        <v/>
      </c>
      <c r="L1715">
        <f>IF($C1715="","",IFERROR(IF(INDEX(Roster!$K:$K,MATCH($C1715,Roster!$B:$B,0))="","",INDEX(Roster!$K:$K,MATCH($C1715,Roster!$B:$B,0))&amp;""),"—"))</f>
        <v/>
      </c>
      <c r="M1715" s="27" t="n"/>
      <c r="N1715" s="27" t="n"/>
      <c r="O1715" s="25">
        <f>IF($C1715="","",IF($P1715="","—",IF($P1715="Valid (Pass)","Valid","Invalid")))</f>
        <v/>
      </c>
      <c r="P1715" s="27" t="n"/>
      <c r="Q1715" s="27" t="n"/>
      <c r="R1715" s="27" t="n"/>
      <c r="S1715" s="27" t="n"/>
      <c r="T1715" s="25">
        <f>IF($C1715="","",IF(OR(ISNUMBER(SEARCH("quick case",$P1715)),ISNUMBER(SEARCH("quick case",$Q1715))),"Yes","No"))</f>
        <v/>
      </c>
      <c r="U1715" s="25">
        <f>IF($O1715="Invalid",HYPERLINK("mailto:"&amp;$G1715&amp;";"&amp;$I1715&amp;"?cc="&amp;Lists!$E$2&amp;"&amp;subject="&amp;_xlfn.ENCODEURL("[INVALID] Quality audit monitoring completed for "&amp;UPPER($C1715))&amp;"&amp;body="&amp;_xlfn.ENCODEURL("Hi "&amp;$F1715&amp;","&amp;CHAR(10)&amp;"Good day!"&amp;CHAR(10)&amp;CHAR(10)&amp;"A quality monitoring audit has been completed for "&amp;$C1715&amp;"."&amp;CHAR(10)&amp;CHAR(10)&amp;"QUALITY AUDIT DETAILS"&amp;CHAR(10)&amp;"Agent Name: "&amp;$C1715&amp;" (EID "&amp;$D1715&amp;")"&amp;CHAR(10)&amp;"Audit Date: "&amp;TEXT($B1715,"yyyy-mm-dd")&amp;CHAR(10)&amp;"Team Leader: "&amp;$F1715&amp;CHAR(10)&amp;"Case Number: "&amp;$M1715&amp;CHAR(10)&amp;"Transaction ID: "&amp;$N1715&amp;CHAR(10)&amp;"Channel / LOB: "&amp;$K1715&amp;" / "&amp;$L1715&amp;CHAR(10)&amp;"Evaluator: "&amp;$S1715&amp;CHAR(10)&amp;CHAR(10)&amp;"INVALID QUALITY AUDIT DETAILS"&amp;CHAR(10)&amp;"Validation: Invalid"&amp;CHAR(10)&amp;"Invalid Reason: "&amp;$P1715&amp;CHAR(10)&amp;"Expected Resolution Code: "&amp;$Q1715&amp;CHAR(10)&amp;"Remarks: "&amp;LEFT($R1715,600)&amp;CHAR(10)&amp;CHAR(10)&amp;"This is an automated notification from HP Mainstream EQMS."),"✉ Open Email Draft"),"")</f>
        <v/>
      </c>
    </row>
    <row r="1716">
      <c r="A1716" s="25">
        <f>IF($C1716="","","AUD-2026-"&amp;TEXT(ROW()-1,"000000"))</f>
        <v/>
      </c>
      <c r="B1716" s="26" t="n"/>
      <c r="C1716" s="27" t="n"/>
      <c r="D1716" s="25">
        <f>IF($C1716="","",IFERROR(IF(INDEX(Roster!$A:$A,MATCH($C1716,Roster!$B:$B,0))="","",INDEX(Roster!$A:$A,MATCH($C1716,Roster!$B:$B,0))&amp;""),"—"))</f>
        <v/>
      </c>
      <c r="E1716" s="25">
        <f>IF($C1716="","",IFERROR(IF(INDEX(Roster!$C:$C,MATCH($C1716,Roster!$B:$B,0))="","",INDEX(Roster!$C:$C,MATCH($C1716,Roster!$B:$B,0))&amp;""),"—"))</f>
        <v/>
      </c>
      <c r="F1716" s="25">
        <f>IF($C1716="","",IFERROR(IF(INDEX(Roster!$D:$D,MATCH($C1716,Roster!$B:$B,0))="","",INDEX(Roster!$D:$D,MATCH($C1716,Roster!$B:$B,0))&amp;""),"—"))</f>
        <v/>
      </c>
      <c r="G1716" s="25">
        <f>IF($C1716="","",IFERROR(IF(INDEX(Roster!$E:$E,MATCH($C1716,Roster!$B:$B,0))="","",INDEX(Roster!$E:$E,MATCH($C1716,Roster!$B:$B,0))&amp;""),"—"))</f>
        <v/>
      </c>
      <c r="H1716" s="25">
        <f>IF($C1716="","",IFERROR(IF(INDEX(Roster!$F:$F,MATCH($C1716,Roster!$B:$B,0))="","",INDEX(Roster!$F:$F,MATCH($C1716,Roster!$B:$B,0))&amp;""),"—"))</f>
        <v/>
      </c>
      <c r="I1716" s="25">
        <f>IF($C1716="","",IFERROR(IF(INDEX(Roster!$G:$G,MATCH($C1716,Roster!$B:$B,0))="","",INDEX(Roster!$G:$G,MATCH($C1716,Roster!$B:$B,0))&amp;""),"—"))</f>
        <v/>
      </c>
      <c r="J1716" s="25">
        <f>IF($C1716="","",IFERROR(IF(INDEX(Roster!$I:$I,MATCH($C1716,Roster!$B:$B,0))="","",INDEX(Roster!$I:$I,MATCH($C1716,Roster!$B:$B,0))&amp;""),"—"))</f>
        <v/>
      </c>
      <c r="K1716">
        <f>IF($C1716="","",IFERROR(IF(INDEX(Roster!$J:$J,MATCH($C1716,Roster!$B:$B,0))="","",INDEX(Roster!$J:$J,MATCH($C1716,Roster!$B:$B,0))&amp;""),"—"))</f>
        <v/>
      </c>
      <c r="L1716">
        <f>IF($C1716="","",IFERROR(IF(INDEX(Roster!$K:$K,MATCH($C1716,Roster!$B:$B,0))="","",INDEX(Roster!$K:$K,MATCH($C1716,Roster!$B:$B,0))&amp;""),"—"))</f>
        <v/>
      </c>
      <c r="M1716" s="27" t="n"/>
      <c r="N1716" s="27" t="n"/>
      <c r="O1716" s="25">
        <f>IF($C1716="","",IF($P1716="","—",IF($P1716="Valid (Pass)","Valid","Invalid")))</f>
        <v/>
      </c>
      <c r="P1716" s="27" t="n"/>
      <c r="Q1716" s="27" t="n"/>
      <c r="R1716" s="27" t="n"/>
      <c r="S1716" s="27" t="n"/>
      <c r="T1716" s="25">
        <f>IF($C1716="","",IF(OR(ISNUMBER(SEARCH("quick case",$P1716)),ISNUMBER(SEARCH("quick case",$Q1716))),"Yes","No"))</f>
        <v/>
      </c>
      <c r="U1716" s="25">
        <f>IF($O1716="Invalid",HYPERLINK("mailto:"&amp;$G1716&amp;";"&amp;$I1716&amp;"?cc="&amp;Lists!$E$2&amp;"&amp;subject="&amp;_xlfn.ENCODEURL("[INVALID] Quality audit monitoring completed for "&amp;UPPER($C1716))&amp;"&amp;body="&amp;_xlfn.ENCODEURL("Hi "&amp;$F1716&amp;","&amp;CHAR(10)&amp;"Good day!"&amp;CHAR(10)&amp;CHAR(10)&amp;"A quality monitoring audit has been completed for "&amp;$C1716&amp;"."&amp;CHAR(10)&amp;CHAR(10)&amp;"QUALITY AUDIT DETAILS"&amp;CHAR(10)&amp;"Agent Name: "&amp;$C1716&amp;" (EID "&amp;$D1716&amp;")"&amp;CHAR(10)&amp;"Audit Date: "&amp;TEXT($B1716,"yyyy-mm-dd")&amp;CHAR(10)&amp;"Team Leader: "&amp;$F1716&amp;CHAR(10)&amp;"Case Number: "&amp;$M1716&amp;CHAR(10)&amp;"Transaction ID: "&amp;$N1716&amp;CHAR(10)&amp;"Channel / LOB: "&amp;$K1716&amp;" / "&amp;$L1716&amp;CHAR(10)&amp;"Evaluator: "&amp;$S1716&amp;CHAR(10)&amp;CHAR(10)&amp;"INVALID QUALITY AUDIT DETAILS"&amp;CHAR(10)&amp;"Validation: Invalid"&amp;CHAR(10)&amp;"Invalid Reason: "&amp;$P1716&amp;CHAR(10)&amp;"Expected Resolution Code: "&amp;$Q1716&amp;CHAR(10)&amp;"Remarks: "&amp;LEFT($R1716,600)&amp;CHAR(10)&amp;CHAR(10)&amp;"This is an automated notification from HP Mainstream EQMS."),"✉ Open Email Draft"),"")</f>
        <v/>
      </c>
    </row>
    <row r="1717">
      <c r="A1717" s="25">
        <f>IF($C1717="","","AUD-2026-"&amp;TEXT(ROW()-1,"000000"))</f>
        <v/>
      </c>
      <c r="B1717" s="26" t="n"/>
      <c r="C1717" s="27" t="n"/>
      <c r="D1717" s="25">
        <f>IF($C1717="","",IFERROR(IF(INDEX(Roster!$A:$A,MATCH($C1717,Roster!$B:$B,0))="","",INDEX(Roster!$A:$A,MATCH($C1717,Roster!$B:$B,0))&amp;""),"—"))</f>
        <v/>
      </c>
      <c r="E1717" s="25">
        <f>IF($C1717="","",IFERROR(IF(INDEX(Roster!$C:$C,MATCH($C1717,Roster!$B:$B,0))="","",INDEX(Roster!$C:$C,MATCH($C1717,Roster!$B:$B,0))&amp;""),"—"))</f>
        <v/>
      </c>
      <c r="F1717" s="25">
        <f>IF($C1717="","",IFERROR(IF(INDEX(Roster!$D:$D,MATCH($C1717,Roster!$B:$B,0))="","",INDEX(Roster!$D:$D,MATCH($C1717,Roster!$B:$B,0))&amp;""),"—"))</f>
        <v/>
      </c>
      <c r="G1717" s="25">
        <f>IF($C1717="","",IFERROR(IF(INDEX(Roster!$E:$E,MATCH($C1717,Roster!$B:$B,0))="","",INDEX(Roster!$E:$E,MATCH($C1717,Roster!$B:$B,0))&amp;""),"—"))</f>
        <v/>
      </c>
      <c r="H1717" s="25">
        <f>IF($C1717="","",IFERROR(IF(INDEX(Roster!$F:$F,MATCH($C1717,Roster!$B:$B,0))="","",INDEX(Roster!$F:$F,MATCH($C1717,Roster!$B:$B,0))&amp;""),"—"))</f>
        <v/>
      </c>
      <c r="I1717" s="25">
        <f>IF($C1717="","",IFERROR(IF(INDEX(Roster!$G:$G,MATCH($C1717,Roster!$B:$B,0))="","",INDEX(Roster!$G:$G,MATCH($C1717,Roster!$B:$B,0))&amp;""),"—"))</f>
        <v/>
      </c>
      <c r="J1717" s="25">
        <f>IF($C1717="","",IFERROR(IF(INDEX(Roster!$I:$I,MATCH($C1717,Roster!$B:$B,0))="","",INDEX(Roster!$I:$I,MATCH($C1717,Roster!$B:$B,0))&amp;""),"—"))</f>
        <v/>
      </c>
      <c r="K1717">
        <f>IF($C1717="","",IFERROR(IF(INDEX(Roster!$J:$J,MATCH($C1717,Roster!$B:$B,0))="","",INDEX(Roster!$J:$J,MATCH($C1717,Roster!$B:$B,0))&amp;""),"—"))</f>
        <v/>
      </c>
      <c r="L1717">
        <f>IF($C1717="","",IFERROR(IF(INDEX(Roster!$K:$K,MATCH($C1717,Roster!$B:$B,0))="","",INDEX(Roster!$K:$K,MATCH($C1717,Roster!$B:$B,0))&amp;""),"—"))</f>
        <v/>
      </c>
      <c r="M1717" s="27" t="n"/>
      <c r="N1717" s="27" t="n"/>
      <c r="O1717" s="25">
        <f>IF($C1717="","",IF($P1717="","—",IF($P1717="Valid (Pass)","Valid","Invalid")))</f>
        <v/>
      </c>
      <c r="P1717" s="27" t="n"/>
      <c r="Q1717" s="27" t="n"/>
      <c r="R1717" s="27" t="n"/>
      <c r="S1717" s="27" t="n"/>
      <c r="T1717" s="25">
        <f>IF($C1717="","",IF(OR(ISNUMBER(SEARCH("quick case",$P1717)),ISNUMBER(SEARCH("quick case",$Q1717))),"Yes","No"))</f>
        <v/>
      </c>
      <c r="U1717" s="25">
        <f>IF($O1717="Invalid",HYPERLINK("mailto:"&amp;$G1717&amp;";"&amp;$I1717&amp;"?cc="&amp;Lists!$E$2&amp;"&amp;subject="&amp;_xlfn.ENCODEURL("[INVALID] Quality audit monitoring completed for "&amp;UPPER($C1717))&amp;"&amp;body="&amp;_xlfn.ENCODEURL("Hi "&amp;$F1717&amp;","&amp;CHAR(10)&amp;"Good day!"&amp;CHAR(10)&amp;CHAR(10)&amp;"A quality monitoring audit has been completed for "&amp;$C1717&amp;"."&amp;CHAR(10)&amp;CHAR(10)&amp;"QUALITY AUDIT DETAILS"&amp;CHAR(10)&amp;"Agent Name: "&amp;$C1717&amp;" (EID "&amp;$D1717&amp;")"&amp;CHAR(10)&amp;"Audit Date: "&amp;TEXT($B1717,"yyyy-mm-dd")&amp;CHAR(10)&amp;"Team Leader: "&amp;$F1717&amp;CHAR(10)&amp;"Case Number: "&amp;$M1717&amp;CHAR(10)&amp;"Transaction ID: "&amp;$N1717&amp;CHAR(10)&amp;"Channel / LOB: "&amp;$K1717&amp;" / "&amp;$L1717&amp;CHAR(10)&amp;"Evaluator: "&amp;$S1717&amp;CHAR(10)&amp;CHAR(10)&amp;"INVALID QUALITY AUDIT DETAILS"&amp;CHAR(10)&amp;"Validation: Invalid"&amp;CHAR(10)&amp;"Invalid Reason: "&amp;$P1717&amp;CHAR(10)&amp;"Expected Resolution Code: "&amp;$Q1717&amp;CHAR(10)&amp;"Remarks: "&amp;LEFT($R1717,600)&amp;CHAR(10)&amp;CHAR(10)&amp;"This is an automated notification from HP Mainstream EQMS."),"✉ Open Email Draft"),"")</f>
        <v/>
      </c>
    </row>
    <row r="1718">
      <c r="A1718" s="25">
        <f>IF($C1718="","","AUD-2026-"&amp;TEXT(ROW()-1,"000000"))</f>
        <v/>
      </c>
      <c r="B1718" s="26" t="n"/>
      <c r="C1718" s="27" t="n"/>
      <c r="D1718" s="25">
        <f>IF($C1718="","",IFERROR(IF(INDEX(Roster!$A:$A,MATCH($C1718,Roster!$B:$B,0))="","",INDEX(Roster!$A:$A,MATCH($C1718,Roster!$B:$B,0))&amp;""),"—"))</f>
        <v/>
      </c>
      <c r="E1718" s="25">
        <f>IF($C1718="","",IFERROR(IF(INDEX(Roster!$C:$C,MATCH($C1718,Roster!$B:$B,0))="","",INDEX(Roster!$C:$C,MATCH($C1718,Roster!$B:$B,0))&amp;""),"—"))</f>
        <v/>
      </c>
      <c r="F1718" s="25">
        <f>IF($C1718="","",IFERROR(IF(INDEX(Roster!$D:$D,MATCH($C1718,Roster!$B:$B,0))="","",INDEX(Roster!$D:$D,MATCH($C1718,Roster!$B:$B,0))&amp;""),"—"))</f>
        <v/>
      </c>
      <c r="G1718" s="25">
        <f>IF($C1718="","",IFERROR(IF(INDEX(Roster!$E:$E,MATCH($C1718,Roster!$B:$B,0))="","",INDEX(Roster!$E:$E,MATCH($C1718,Roster!$B:$B,0))&amp;""),"—"))</f>
        <v/>
      </c>
      <c r="H1718" s="25">
        <f>IF($C1718="","",IFERROR(IF(INDEX(Roster!$F:$F,MATCH($C1718,Roster!$B:$B,0))="","",INDEX(Roster!$F:$F,MATCH($C1718,Roster!$B:$B,0))&amp;""),"—"))</f>
        <v/>
      </c>
      <c r="I1718" s="25">
        <f>IF($C1718="","",IFERROR(IF(INDEX(Roster!$G:$G,MATCH($C1718,Roster!$B:$B,0))="","",INDEX(Roster!$G:$G,MATCH($C1718,Roster!$B:$B,0))&amp;""),"—"))</f>
        <v/>
      </c>
      <c r="J1718" s="25">
        <f>IF($C1718="","",IFERROR(IF(INDEX(Roster!$I:$I,MATCH($C1718,Roster!$B:$B,0))="","",INDEX(Roster!$I:$I,MATCH($C1718,Roster!$B:$B,0))&amp;""),"—"))</f>
        <v/>
      </c>
      <c r="K1718">
        <f>IF($C1718="","",IFERROR(IF(INDEX(Roster!$J:$J,MATCH($C1718,Roster!$B:$B,0))="","",INDEX(Roster!$J:$J,MATCH($C1718,Roster!$B:$B,0))&amp;""),"—"))</f>
        <v/>
      </c>
      <c r="L1718">
        <f>IF($C1718="","",IFERROR(IF(INDEX(Roster!$K:$K,MATCH($C1718,Roster!$B:$B,0))="","",INDEX(Roster!$K:$K,MATCH($C1718,Roster!$B:$B,0))&amp;""),"—"))</f>
        <v/>
      </c>
      <c r="M1718" s="27" t="n"/>
      <c r="N1718" s="27" t="n"/>
      <c r="O1718" s="25">
        <f>IF($C1718="","",IF($P1718="","—",IF($P1718="Valid (Pass)","Valid","Invalid")))</f>
        <v/>
      </c>
      <c r="P1718" s="27" t="n"/>
      <c r="Q1718" s="27" t="n"/>
      <c r="R1718" s="27" t="n"/>
      <c r="S1718" s="27" t="n"/>
      <c r="T1718" s="25">
        <f>IF($C1718="","",IF(OR(ISNUMBER(SEARCH("quick case",$P1718)),ISNUMBER(SEARCH("quick case",$Q1718))),"Yes","No"))</f>
        <v/>
      </c>
      <c r="U1718" s="25">
        <f>IF($O1718="Invalid",HYPERLINK("mailto:"&amp;$G1718&amp;";"&amp;$I1718&amp;"?cc="&amp;Lists!$E$2&amp;"&amp;subject="&amp;_xlfn.ENCODEURL("[INVALID] Quality audit monitoring completed for "&amp;UPPER($C1718))&amp;"&amp;body="&amp;_xlfn.ENCODEURL("Hi "&amp;$F1718&amp;","&amp;CHAR(10)&amp;"Good day!"&amp;CHAR(10)&amp;CHAR(10)&amp;"A quality monitoring audit has been completed for "&amp;$C1718&amp;"."&amp;CHAR(10)&amp;CHAR(10)&amp;"QUALITY AUDIT DETAILS"&amp;CHAR(10)&amp;"Agent Name: "&amp;$C1718&amp;" (EID "&amp;$D1718&amp;")"&amp;CHAR(10)&amp;"Audit Date: "&amp;TEXT($B1718,"yyyy-mm-dd")&amp;CHAR(10)&amp;"Team Leader: "&amp;$F1718&amp;CHAR(10)&amp;"Case Number: "&amp;$M1718&amp;CHAR(10)&amp;"Transaction ID: "&amp;$N1718&amp;CHAR(10)&amp;"Channel / LOB: "&amp;$K1718&amp;" / "&amp;$L1718&amp;CHAR(10)&amp;"Evaluator: "&amp;$S1718&amp;CHAR(10)&amp;CHAR(10)&amp;"INVALID QUALITY AUDIT DETAILS"&amp;CHAR(10)&amp;"Validation: Invalid"&amp;CHAR(10)&amp;"Invalid Reason: "&amp;$P1718&amp;CHAR(10)&amp;"Expected Resolution Code: "&amp;$Q1718&amp;CHAR(10)&amp;"Remarks: "&amp;LEFT($R1718,600)&amp;CHAR(10)&amp;CHAR(10)&amp;"This is an automated notification from HP Mainstream EQMS."),"✉ Open Email Draft"),"")</f>
        <v/>
      </c>
    </row>
    <row r="1719">
      <c r="A1719" s="25">
        <f>IF($C1719="","","AUD-2026-"&amp;TEXT(ROW()-1,"000000"))</f>
        <v/>
      </c>
      <c r="B1719" s="26" t="n"/>
      <c r="C1719" s="27" t="n"/>
      <c r="D1719" s="25">
        <f>IF($C1719="","",IFERROR(IF(INDEX(Roster!$A:$A,MATCH($C1719,Roster!$B:$B,0))="","",INDEX(Roster!$A:$A,MATCH($C1719,Roster!$B:$B,0))&amp;""),"—"))</f>
        <v/>
      </c>
      <c r="E1719" s="25">
        <f>IF($C1719="","",IFERROR(IF(INDEX(Roster!$C:$C,MATCH($C1719,Roster!$B:$B,0))="","",INDEX(Roster!$C:$C,MATCH($C1719,Roster!$B:$B,0))&amp;""),"—"))</f>
        <v/>
      </c>
      <c r="F1719" s="25">
        <f>IF($C1719="","",IFERROR(IF(INDEX(Roster!$D:$D,MATCH($C1719,Roster!$B:$B,0))="","",INDEX(Roster!$D:$D,MATCH($C1719,Roster!$B:$B,0))&amp;""),"—"))</f>
        <v/>
      </c>
      <c r="G1719" s="25">
        <f>IF($C1719="","",IFERROR(IF(INDEX(Roster!$E:$E,MATCH($C1719,Roster!$B:$B,0))="","",INDEX(Roster!$E:$E,MATCH($C1719,Roster!$B:$B,0))&amp;""),"—"))</f>
        <v/>
      </c>
      <c r="H1719" s="25">
        <f>IF($C1719="","",IFERROR(IF(INDEX(Roster!$F:$F,MATCH($C1719,Roster!$B:$B,0))="","",INDEX(Roster!$F:$F,MATCH($C1719,Roster!$B:$B,0))&amp;""),"—"))</f>
        <v/>
      </c>
      <c r="I1719" s="25">
        <f>IF($C1719="","",IFERROR(IF(INDEX(Roster!$G:$G,MATCH($C1719,Roster!$B:$B,0))="","",INDEX(Roster!$G:$G,MATCH($C1719,Roster!$B:$B,0))&amp;""),"—"))</f>
        <v/>
      </c>
      <c r="J1719" s="25">
        <f>IF($C1719="","",IFERROR(IF(INDEX(Roster!$I:$I,MATCH($C1719,Roster!$B:$B,0))="","",INDEX(Roster!$I:$I,MATCH($C1719,Roster!$B:$B,0))&amp;""),"—"))</f>
        <v/>
      </c>
      <c r="K1719">
        <f>IF($C1719="","",IFERROR(IF(INDEX(Roster!$J:$J,MATCH($C1719,Roster!$B:$B,0))="","",INDEX(Roster!$J:$J,MATCH($C1719,Roster!$B:$B,0))&amp;""),"—"))</f>
        <v/>
      </c>
      <c r="L1719">
        <f>IF($C1719="","",IFERROR(IF(INDEX(Roster!$K:$K,MATCH($C1719,Roster!$B:$B,0))="","",INDEX(Roster!$K:$K,MATCH($C1719,Roster!$B:$B,0))&amp;""),"—"))</f>
        <v/>
      </c>
      <c r="M1719" s="27" t="n"/>
      <c r="N1719" s="27" t="n"/>
      <c r="O1719" s="25">
        <f>IF($C1719="","",IF($P1719="","—",IF($P1719="Valid (Pass)","Valid","Invalid")))</f>
        <v/>
      </c>
      <c r="P1719" s="27" t="n"/>
      <c r="Q1719" s="27" t="n"/>
      <c r="R1719" s="27" t="n"/>
      <c r="S1719" s="27" t="n"/>
      <c r="T1719" s="25">
        <f>IF($C1719="","",IF(OR(ISNUMBER(SEARCH("quick case",$P1719)),ISNUMBER(SEARCH("quick case",$Q1719))),"Yes","No"))</f>
        <v/>
      </c>
      <c r="U1719" s="25">
        <f>IF($O1719="Invalid",HYPERLINK("mailto:"&amp;$G1719&amp;";"&amp;$I1719&amp;"?cc="&amp;Lists!$E$2&amp;"&amp;subject="&amp;_xlfn.ENCODEURL("[INVALID] Quality audit monitoring completed for "&amp;UPPER($C1719))&amp;"&amp;body="&amp;_xlfn.ENCODEURL("Hi "&amp;$F1719&amp;","&amp;CHAR(10)&amp;"Good day!"&amp;CHAR(10)&amp;CHAR(10)&amp;"A quality monitoring audit has been completed for "&amp;$C1719&amp;"."&amp;CHAR(10)&amp;CHAR(10)&amp;"QUALITY AUDIT DETAILS"&amp;CHAR(10)&amp;"Agent Name: "&amp;$C1719&amp;" (EID "&amp;$D1719&amp;")"&amp;CHAR(10)&amp;"Audit Date: "&amp;TEXT($B1719,"yyyy-mm-dd")&amp;CHAR(10)&amp;"Team Leader: "&amp;$F1719&amp;CHAR(10)&amp;"Case Number: "&amp;$M1719&amp;CHAR(10)&amp;"Transaction ID: "&amp;$N1719&amp;CHAR(10)&amp;"Channel / LOB: "&amp;$K1719&amp;" / "&amp;$L1719&amp;CHAR(10)&amp;"Evaluator: "&amp;$S1719&amp;CHAR(10)&amp;CHAR(10)&amp;"INVALID QUALITY AUDIT DETAILS"&amp;CHAR(10)&amp;"Validation: Invalid"&amp;CHAR(10)&amp;"Invalid Reason: "&amp;$P1719&amp;CHAR(10)&amp;"Expected Resolution Code: "&amp;$Q1719&amp;CHAR(10)&amp;"Remarks: "&amp;LEFT($R1719,600)&amp;CHAR(10)&amp;CHAR(10)&amp;"This is an automated notification from HP Mainstream EQMS."),"✉ Open Email Draft"),"")</f>
        <v/>
      </c>
    </row>
    <row r="1720">
      <c r="A1720" s="25">
        <f>IF($C1720="","","AUD-2026-"&amp;TEXT(ROW()-1,"000000"))</f>
        <v/>
      </c>
      <c r="B1720" s="26" t="n"/>
      <c r="C1720" s="27" t="n"/>
      <c r="D1720" s="25">
        <f>IF($C1720="","",IFERROR(IF(INDEX(Roster!$A:$A,MATCH($C1720,Roster!$B:$B,0))="","",INDEX(Roster!$A:$A,MATCH($C1720,Roster!$B:$B,0))&amp;""),"—"))</f>
        <v/>
      </c>
      <c r="E1720" s="25">
        <f>IF($C1720="","",IFERROR(IF(INDEX(Roster!$C:$C,MATCH($C1720,Roster!$B:$B,0))="","",INDEX(Roster!$C:$C,MATCH($C1720,Roster!$B:$B,0))&amp;""),"—"))</f>
        <v/>
      </c>
      <c r="F1720" s="25">
        <f>IF($C1720="","",IFERROR(IF(INDEX(Roster!$D:$D,MATCH($C1720,Roster!$B:$B,0))="","",INDEX(Roster!$D:$D,MATCH($C1720,Roster!$B:$B,0))&amp;""),"—"))</f>
        <v/>
      </c>
      <c r="G1720" s="25">
        <f>IF($C1720="","",IFERROR(IF(INDEX(Roster!$E:$E,MATCH($C1720,Roster!$B:$B,0))="","",INDEX(Roster!$E:$E,MATCH($C1720,Roster!$B:$B,0))&amp;""),"—"))</f>
        <v/>
      </c>
      <c r="H1720" s="25">
        <f>IF($C1720="","",IFERROR(IF(INDEX(Roster!$F:$F,MATCH($C1720,Roster!$B:$B,0))="","",INDEX(Roster!$F:$F,MATCH($C1720,Roster!$B:$B,0))&amp;""),"—"))</f>
        <v/>
      </c>
      <c r="I1720" s="25">
        <f>IF($C1720="","",IFERROR(IF(INDEX(Roster!$G:$G,MATCH($C1720,Roster!$B:$B,0))="","",INDEX(Roster!$G:$G,MATCH($C1720,Roster!$B:$B,0))&amp;""),"—"))</f>
        <v/>
      </c>
      <c r="J1720" s="25">
        <f>IF($C1720="","",IFERROR(IF(INDEX(Roster!$I:$I,MATCH($C1720,Roster!$B:$B,0))="","",INDEX(Roster!$I:$I,MATCH($C1720,Roster!$B:$B,0))&amp;""),"—"))</f>
        <v/>
      </c>
      <c r="K1720">
        <f>IF($C1720="","",IFERROR(IF(INDEX(Roster!$J:$J,MATCH($C1720,Roster!$B:$B,0))="","",INDEX(Roster!$J:$J,MATCH($C1720,Roster!$B:$B,0))&amp;""),"—"))</f>
        <v/>
      </c>
      <c r="L1720">
        <f>IF($C1720="","",IFERROR(IF(INDEX(Roster!$K:$K,MATCH($C1720,Roster!$B:$B,0))="","",INDEX(Roster!$K:$K,MATCH($C1720,Roster!$B:$B,0))&amp;""),"—"))</f>
        <v/>
      </c>
      <c r="M1720" s="27" t="n"/>
      <c r="N1720" s="27" t="n"/>
      <c r="O1720" s="25">
        <f>IF($C1720="","",IF($P1720="","—",IF($P1720="Valid (Pass)","Valid","Invalid")))</f>
        <v/>
      </c>
      <c r="P1720" s="27" t="n"/>
      <c r="Q1720" s="27" t="n"/>
      <c r="R1720" s="27" t="n"/>
      <c r="S1720" s="27" t="n"/>
      <c r="T1720" s="25">
        <f>IF($C1720="","",IF(OR(ISNUMBER(SEARCH("quick case",$P1720)),ISNUMBER(SEARCH("quick case",$Q1720))),"Yes","No"))</f>
        <v/>
      </c>
      <c r="U1720" s="25">
        <f>IF($O1720="Invalid",HYPERLINK("mailto:"&amp;$G1720&amp;";"&amp;$I1720&amp;"?cc="&amp;Lists!$E$2&amp;"&amp;subject="&amp;_xlfn.ENCODEURL("[INVALID] Quality audit monitoring completed for "&amp;UPPER($C1720))&amp;"&amp;body="&amp;_xlfn.ENCODEURL("Hi "&amp;$F1720&amp;","&amp;CHAR(10)&amp;"Good day!"&amp;CHAR(10)&amp;CHAR(10)&amp;"A quality monitoring audit has been completed for "&amp;$C1720&amp;"."&amp;CHAR(10)&amp;CHAR(10)&amp;"QUALITY AUDIT DETAILS"&amp;CHAR(10)&amp;"Agent Name: "&amp;$C1720&amp;" (EID "&amp;$D1720&amp;")"&amp;CHAR(10)&amp;"Audit Date: "&amp;TEXT($B1720,"yyyy-mm-dd")&amp;CHAR(10)&amp;"Team Leader: "&amp;$F1720&amp;CHAR(10)&amp;"Case Number: "&amp;$M1720&amp;CHAR(10)&amp;"Transaction ID: "&amp;$N1720&amp;CHAR(10)&amp;"Channel / LOB: "&amp;$K1720&amp;" / "&amp;$L1720&amp;CHAR(10)&amp;"Evaluator: "&amp;$S1720&amp;CHAR(10)&amp;CHAR(10)&amp;"INVALID QUALITY AUDIT DETAILS"&amp;CHAR(10)&amp;"Validation: Invalid"&amp;CHAR(10)&amp;"Invalid Reason: "&amp;$P1720&amp;CHAR(10)&amp;"Expected Resolution Code: "&amp;$Q1720&amp;CHAR(10)&amp;"Remarks: "&amp;LEFT($R1720,600)&amp;CHAR(10)&amp;CHAR(10)&amp;"This is an automated notification from HP Mainstream EQMS."),"✉ Open Email Draft"),"")</f>
        <v/>
      </c>
    </row>
    <row r="1721">
      <c r="A1721" s="25">
        <f>IF($C1721="","","AUD-2026-"&amp;TEXT(ROW()-1,"000000"))</f>
        <v/>
      </c>
      <c r="B1721" s="26" t="n"/>
      <c r="C1721" s="27" t="n"/>
      <c r="D1721" s="25">
        <f>IF($C1721="","",IFERROR(IF(INDEX(Roster!$A:$A,MATCH($C1721,Roster!$B:$B,0))="","",INDEX(Roster!$A:$A,MATCH($C1721,Roster!$B:$B,0))&amp;""),"—"))</f>
        <v/>
      </c>
      <c r="E1721" s="25">
        <f>IF($C1721="","",IFERROR(IF(INDEX(Roster!$C:$C,MATCH($C1721,Roster!$B:$B,0))="","",INDEX(Roster!$C:$C,MATCH($C1721,Roster!$B:$B,0))&amp;""),"—"))</f>
        <v/>
      </c>
      <c r="F1721" s="25">
        <f>IF($C1721="","",IFERROR(IF(INDEX(Roster!$D:$D,MATCH($C1721,Roster!$B:$B,0))="","",INDEX(Roster!$D:$D,MATCH($C1721,Roster!$B:$B,0))&amp;""),"—"))</f>
        <v/>
      </c>
      <c r="G1721" s="25">
        <f>IF($C1721="","",IFERROR(IF(INDEX(Roster!$E:$E,MATCH($C1721,Roster!$B:$B,0))="","",INDEX(Roster!$E:$E,MATCH($C1721,Roster!$B:$B,0))&amp;""),"—"))</f>
        <v/>
      </c>
      <c r="H1721" s="25">
        <f>IF($C1721="","",IFERROR(IF(INDEX(Roster!$F:$F,MATCH($C1721,Roster!$B:$B,0))="","",INDEX(Roster!$F:$F,MATCH($C1721,Roster!$B:$B,0))&amp;""),"—"))</f>
        <v/>
      </c>
      <c r="I1721" s="25">
        <f>IF($C1721="","",IFERROR(IF(INDEX(Roster!$G:$G,MATCH($C1721,Roster!$B:$B,0))="","",INDEX(Roster!$G:$G,MATCH($C1721,Roster!$B:$B,0))&amp;""),"—"))</f>
        <v/>
      </c>
      <c r="J1721" s="25">
        <f>IF($C1721="","",IFERROR(IF(INDEX(Roster!$I:$I,MATCH($C1721,Roster!$B:$B,0))="","",INDEX(Roster!$I:$I,MATCH($C1721,Roster!$B:$B,0))&amp;""),"—"))</f>
        <v/>
      </c>
      <c r="K1721">
        <f>IF($C1721="","",IFERROR(IF(INDEX(Roster!$J:$J,MATCH($C1721,Roster!$B:$B,0))="","",INDEX(Roster!$J:$J,MATCH($C1721,Roster!$B:$B,0))&amp;""),"—"))</f>
        <v/>
      </c>
      <c r="L1721">
        <f>IF($C1721="","",IFERROR(IF(INDEX(Roster!$K:$K,MATCH($C1721,Roster!$B:$B,0))="","",INDEX(Roster!$K:$K,MATCH($C1721,Roster!$B:$B,0))&amp;""),"—"))</f>
        <v/>
      </c>
      <c r="M1721" s="27" t="n"/>
      <c r="N1721" s="27" t="n"/>
      <c r="O1721" s="25">
        <f>IF($C1721="","",IF($P1721="","—",IF($P1721="Valid (Pass)","Valid","Invalid")))</f>
        <v/>
      </c>
      <c r="P1721" s="27" t="n"/>
      <c r="Q1721" s="27" t="n"/>
      <c r="R1721" s="27" t="n"/>
      <c r="S1721" s="27" t="n"/>
      <c r="T1721" s="25">
        <f>IF($C1721="","",IF(OR(ISNUMBER(SEARCH("quick case",$P1721)),ISNUMBER(SEARCH("quick case",$Q1721))),"Yes","No"))</f>
        <v/>
      </c>
      <c r="U1721" s="25">
        <f>IF($O1721="Invalid",HYPERLINK("mailto:"&amp;$G1721&amp;";"&amp;$I1721&amp;"?cc="&amp;Lists!$E$2&amp;"&amp;subject="&amp;_xlfn.ENCODEURL("[INVALID] Quality audit monitoring completed for "&amp;UPPER($C1721))&amp;"&amp;body="&amp;_xlfn.ENCODEURL("Hi "&amp;$F1721&amp;","&amp;CHAR(10)&amp;"Good day!"&amp;CHAR(10)&amp;CHAR(10)&amp;"A quality monitoring audit has been completed for "&amp;$C1721&amp;"."&amp;CHAR(10)&amp;CHAR(10)&amp;"QUALITY AUDIT DETAILS"&amp;CHAR(10)&amp;"Agent Name: "&amp;$C1721&amp;" (EID "&amp;$D1721&amp;")"&amp;CHAR(10)&amp;"Audit Date: "&amp;TEXT($B1721,"yyyy-mm-dd")&amp;CHAR(10)&amp;"Team Leader: "&amp;$F1721&amp;CHAR(10)&amp;"Case Number: "&amp;$M1721&amp;CHAR(10)&amp;"Transaction ID: "&amp;$N1721&amp;CHAR(10)&amp;"Channel / LOB: "&amp;$K1721&amp;" / "&amp;$L1721&amp;CHAR(10)&amp;"Evaluator: "&amp;$S1721&amp;CHAR(10)&amp;CHAR(10)&amp;"INVALID QUALITY AUDIT DETAILS"&amp;CHAR(10)&amp;"Validation: Invalid"&amp;CHAR(10)&amp;"Invalid Reason: "&amp;$P1721&amp;CHAR(10)&amp;"Expected Resolution Code: "&amp;$Q1721&amp;CHAR(10)&amp;"Remarks: "&amp;LEFT($R1721,600)&amp;CHAR(10)&amp;CHAR(10)&amp;"This is an automated notification from HP Mainstream EQMS."),"✉ Open Email Draft"),"")</f>
        <v/>
      </c>
    </row>
    <row r="1722">
      <c r="A1722" s="25">
        <f>IF($C1722="","","AUD-2026-"&amp;TEXT(ROW()-1,"000000"))</f>
        <v/>
      </c>
      <c r="B1722" s="26" t="n"/>
      <c r="C1722" s="27" t="n"/>
      <c r="D1722" s="25">
        <f>IF($C1722="","",IFERROR(IF(INDEX(Roster!$A:$A,MATCH($C1722,Roster!$B:$B,0))="","",INDEX(Roster!$A:$A,MATCH($C1722,Roster!$B:$B,0))&amp;""),"—"))</f>
        <v/>
      </c>
      <c r="E1722" s="25">
        <f>IF($C1722="","",IFERROR(IF(INDEX(Roster!$C:$C,MATCH($C1722,Roster!$B:$B,0))="","",INDEX(Roster!$C:$C,MATCH($C1722,Roster!$B:$B,0))&amp;""),"—"))</f>
        <v/>
      </c>
      <c r="F1722" s="25">
        <f>IF($C1722="","",IFERROR(IF(INDEX(Roster!$D:$D,MATCH($C1722,Roster!$B:$B,0))="","",INDEX(Roster!$D:$D,MATCH($C1722,Roster!$B:$B,0))&amp;""),"—"))</f>
        <v/>
      </c>
      <c r="G1722" s="25">
        <f>IF($C1722="","",IFERROR(IF(INDEX(Roster!$E:$E,MATCH($C1722,Roster!$B:$B,0))="","",INDEX(Roster!$E:$E,MATCH($C1722,Roster!$B:$B,0))&amp;""),"—"))</f>
        <v/>
      </c>
      <c r="H1722" s="25">
        <f>IF($C1722="","",IFERROR(IF(INDEX(Roster!$F:$F,MATCH($C1722,Roster!$B:$B,0))="","",INDEX(Roster!$F:$F,MATCH($C1722,Roster!$B:$B,0))&amp;""),"—"))</f>
        <v/>
      </c>
      <c r="I1722" s="25">
        <f>IF($C1722="","",IFERROR(IF(INDEX(Roster!$G:$G,MATCH($C1722,Roster!$B:$B,0))="","",INDEX(Roster!$G:$G,MATCH($C1722,Roster!$B:$B,0))&amp;""),"—"))</f>
        <v/>
      </c>
      <c r="J1722" s="25">
        <f>IF($C1722="","",IFERROR(IF(INDEX(Roster!$I:$I,MATCH($C1722,Roster!$B:$B,0))="","",INDEX(Roster!$I:$I,MATCH($C1722,Roster!$B:$B,0))&amp;""),"—"))</f>
        <v/>
      </c>
      <c r="K1722">
        <f>IF($C1722="","",IFERROR(IF(INDEX(Roster!$J:$J,MATCH($C1722,Roster!$B:$B,0))="","",INDEX(Roster!$J:$J,MATCH($C1722,Roster!$B:$B,0))&amp;""),"—"))</f>
        <v/>
      </c>
      <c r="L1722">
        <f>IF($C1722="","",IFERROR(IF(INDEX(Roster!$K:$K,MATCH($C1722,Roster!$B:$B,0))="","",INDEX(Roster!$K:$K,MATCH($C1722,Roster!$B:$B,0))&amp;""),"—"))</f>
        <v/>
      </c>
      <c r="M1722" s="27" t="n"/>
      <c r="N1722" s="27" t="n"/>
      <c r="O1722" s="25">
        <f>IF($C1722="","",IF($P1722="","—",IF($P1722="Valid (Pass)","Valid","Invalid")))</f>
        <v/>
      </c>
      <c r="P1722" s="27" t="n"/>
      <c r="Q1722" s="27" t="n"/>
      <c r="R1722" s="27" t="n"/>
      <c r="S1722" s="27" t="n"/>
      <c r="T1722" s="25">
        <f>IF($C1722="","",IF(OR(ISNUMBER(SEARCH("quick case",$P1722)),ISNUMBER(SEARCH("quick case",$Q1722))),"Yes","No"))</f>
        <v/>
      </c>
      <c r="U1722" s="25">
        <f>IF($O1722="Invalid",HYPERLINK("mailto:"&amp;$G1722&amp;";"&amp;$I1722&amp;"?cc="&amp;Lists!$E$2&amp;"&amp;subject="&amp;_xlfn.ENCODEURL("[INVALID] Quality audit monitoring completed for "&amp;UPPER($C1722))&amp;"&amp;body="&amp;_xlfn.ENCODEURL("Hi "&amp;$F1722&amp;","&amp;CHAR(10)&amp;"Good day!"&amp;CHAR(10)&amp;CHAR(10)&amp;"A quality monitoring audit has been completed for "&amp;$C1722&amp;"."&amp;CHAR(10)&amp;CHAR(10)&amp;"QUALITY AUDIT DETAILS"&amp;CHAR(10)&amp;"Agent Name: "&amp;$C1722&amp;" (EID "&amp;$D1722&amp;")"&amp;CHAR(10)&amp;"Audit Date: "&amp;TEXT($B1722,"yyyy-mm-dd")&amp;CHAR(10)&amp;"Team Leader: "&amp;$F1722&amp;CHAR(10)&amp;"Case Number: "&amp;$M1722&amp;CHAR(10)&amp;"Transaction ID: "&amp;$N1722&amp;CHAR(10)&amp;"Channel / LOB: "&amp;$K1722&amp;" / "&amp;$L1722&amp;CHAR(10)&amp;"Evaluator: "&amp;$S1722&amp;CHAR(10)&amp;CHAR(10)&amp;"INVALID QUALITY AUDIT DETAILS"&amp;CHAR(10)&amp;"Validation: Invalid"&amp;CHAR(10)&amp;"Invalid Reason: "&amp;$P1722&amp;CHAR(10)&amp;"Expected Resolution Code: "&amp;$Q1722&amp;CHAR(10)&amp;"Remarks: "&amp;LEFT($R1722,600)&amp;CHAR(10)&amp;CHAR(10)&amp;"This is an automated notification from HP Mainstream EQMS."),"✉ Open Email Draft"),"")</f>
        <v/>
      </c>
    </row>
    <row r="1723">
      <c r="A1723" s="25">
        <f>IF($C1723="","","AUD-2026-"&amp;TEXT(ROW()-1,"000000"))</f>
        <v/>
      </c>
      <c r="B1723" s="26" t="n"/>
      <c r="C1723" s="27" t="n"/>
      <c r="D1723" s="25">
        <f>IF($C1723="","",IFERROR(IF(INDEX(Roster!$A:$A,MATCH($C1723,Roster!$B:$B,0))="","",INDEX(Roster!$A:$A,MATCH($C1723,Roster!$B:$B,0))&amp;""),"—"))</f>
        <v/>
      </c>
      <c r="E1723" s="25">
        <f>IF($C1723="","",IFERROR(IF(INDEX(Roster!$C:$C,MATCH($C1723,Roster!$B:$B,0))="","",INDEX(Roster!$C:$C,MATCH($C1723,Roster!$B:$B,0))&amp;""),"—"))</f>
        <v/>
      </c>
      <c r="F1723" s="25">
        <f>IF($C1723="","",IFERROR(IF(INDEX(Roster!$D:$D,MATCH($C1723,Roster!$B:$B,0))="","",INDEX(Roster!$D:$D,MATCH($C1723,Roster!$B:$B,0))&amp;""),"—"))</f>
        <v/>
      </c>
      <c r="G1723" s="25">
        <f>IF($C1723="","",IFERROR(IF(INDEX(Roster!$E:$E,MATCH($C1723,Roster!$B:$B,0))="","",INDEX(Roster!$E:$E,MATCH($C1723,Roster!$B:$B,0))&amp;""),"—"))</f>
        <v/>
      </c>
      <c r="H1723" s="25">
        <f>IF($C1723="","",IFERROR(IF(INDEX(Roster!$F:$F,MATCH($C1723,Roster!$B:$B,0))="","",INDEX(Roster!$F:$F,MATCH($C1723,Roster!$B:$B,0))&amp;""),"—"))</f>
        <v/>
      </c>
      <c r="I1723" s="25">
        <f>IF($C1723="","",IFERROR(IF(INDEX(Roster!$G:$G,MATCH($C1723,Roster!$B:$B,0))="","",INDEX(Roster!$G:$G,MATCH($C1723,Roster!$B:$B,0))&amp;""),"—"))</f>
        <v/>
      </c>
      <c r="J1723" s="25">
        <f>IF($C1723="","",IFERROR(IF(INDEX(Roster!$I:$I,MATCH($C1723,Roster!$B:$B,0))="","",INDEX(Roster!$I:$I,MATCH($C1723,Roster!$B:$B,0))&amp;""),"—"))</f>
        <v/>
      </c>
      <c r="K1723">
        <f>IF($C1723="","",IFERROR(IF(INDEX(Roster!$J:$J,MATCH($C1723,Roster!$B:$B,0))="","",INDEX(Roster!$J:$J,MATCH($C1723,Roster!$B:$B,0))&amp;""),"—"))</f>
        <v/>
      </c>
      <c r="L1723">
        <f>IF($C1723="","",IFERROR(IF(INDEX(Roster!$K:$K,MATCH($C1723,Roster!$B:$B,0))="","",INDEX(Roster!$K:$K,MATCH($C1723,Roster!$B:$B,0))&amp;""),"—"))</f>
        <v/>
      </c>
      <c r="M1723" s="27" t="n"/>
      <c r="N1723" s="27" t="n"/>
      <c r="O1723" s="25">
        <f>IF($C1723="","",IF($P1723="","—",IF($P1723="Valid (Pass)","Valid","Invalid")))</f>
        <v/>
      </c>
      <c r="P1723" s="27" t="n"/>
      <c r="Q1723" s="27" t="n"/>
      <c r="R1723" s="27" t="n"/>
      <c r="S1723" s="27" t="n"/>
      <c r="T1723" s="25">
        <f>IF($C1723="","",IF(OR(ISNUMBER(SEARCH("quick case",$P1723)),ISNUMBER(SEARCH("quick case",$Q1723))),"Yes","No"))</f>
        <v/>
      </c>
      <c r="U1723" s="25">
        <f>IF($O1723="Invalid",HYPERLINK("mailto:"&amp;$G1723&amp;";"&amp;$I1723&amp;"?cc="&amp;Lists!$E$2&amp;"&amp;subject="&amp;_xlfn.ENCODEURL("[INVALID] Quality audit monitoring completed for "&amp;UPPER($C1723))&amp;"&amp;body="&amp;_xlfn.ENCODEURL("Hi "&amp;$F1723&amp;","&amp;CHAR(10)&amp;"Good day!"&amp;CHAR(10)&amp;CHAR(10)&amp;"A quality monitoring audit has been completed for "&amp;$C1723&amp;"."&amp;CHAR(10)&amp;CHAR(10)&amp;"QUALITY AUDIT DETAILS"&amp;CHAR(10)&amp;"Agent Name: "&amp;$C1723&amp;" (EID "&amp;$D1723&amp;")"&amp;CHAR(10)&amp;"Audit Date: "&amp;TEXT($B1723,"yyyy-mm-dd")&amp;CHAR(10)&amp;"Team Leader: "&amp;$F1723&amp;CHAR(10)&amp;"Case Number: "&amp;$M1723&amp;CHAR(10)&amp;"Transaction ID: "&amp;$N1723&amp;CHAR(10)&amp;"Channel / LOB: "&amp;$K1723&amp;" / "&amp;$L1723&amp;CHAR(10)&amp;"Evaluator: "&amp;$S1723&amp;CHAR(10)&amp;CHAR(10)&amp;"INVALID QUALITY AUDIT DETAILS"&amp;CHAR(10)&amp;"Validation: Invalid"&amp;CHAR(10)&amp;"Invalid Reason: "&amp;$P1723&amp;CHAR(10)&amp;"Expected Resolution Code: "&amp;$Q1723&amp;CHAR(10)&amp;"Remarks: "&amp;LEFT($R1723,600)&amp;CHAR(10)&amp;CHAR(10)&amp;"This is an automated notification from HP Mainstream EQMS."),"✉ Open Email Draft"),"")</f>
        <v/>
      </c>
    </row>
    <row r="1724">
      <c r="A1724" s="25">
        <f>IF($C1724="","","AUD-2026-"&amp;TEXT(ROW()-1,"000000"))</f>
        <v/>
      </c>
      <c r="B1724" s="26" t="n"/>
      <c r="C1724" s="27" t="n"/>
      <c r="D1724" s="25">
        <f>IF($C1724="","",IFERROR(IF(INDEX(Roster!$A:$A,MATCH($C1724,Roster!$B:$B,0))="","",INDEX(Roster!$A:$A,MATCH($C1724,Roster!$B:$B,0))&amp;""),"—"))</f>
        <v/>
      </c>
      <c r="E1724" s="25">
        <f>IF($C1724="","",IFERROR(IF(INDEX(Roster!$C:$C,MATCH($C1724,Roster!$B:$B,0))="","",INDEX(Roster!$C:$C,MATCH($C1724,Roster!$B:$B,0))&amp;""),"—"))</f>
        <v/>
      </c>
      <c r="F1724" s="25">
        <f>IF($C1724="","",IFERROR(IF(INDEX(Roster!$D:$D,MATCH($C1724,Roster!$B:$B,0))="","",INDEX(Roster!$D:$D,MATCH($C1724,Roster!$B:$B,0))&amp;""),"—"))</f>
        <v/>
      </c>
      <c r="G1724" s="25">
        <f>IF($C1724="","",IFERROR(IF(INDEX(Roster!$E:$E,MATCH($C1724,Roster!$B:$B,0))="","",INDEX(Roster!$E:$E,MATCH($C1724,Roster!$B:$B,0))&amp;""),"—"))</f>
        <v/>
      </c>
      <c r="H1724" s="25">
        <f>IF($C1724="","",IFERROR(IF(INDEX(Roster!$F:$F,MATCH($C1724,Roster!$B:$B,0))="","",INDEX(Roster!$F:$F,MATCH($C1724,Roster!$B:$B,0))&amp;""),"—"))</f>
        <v/>
      </c>
      <c r="I1724" s="25">
        <f>IF($C1724="","",IFERROR(IF(INDEX(Roster!$G:$G,MATCH($C1724,Roster!$B:$B,0))="","",INDEX(Roster!$G:$G,MATCH($C1724,Roster!$B:$B,0))&amp;""),"—"))</f>
        <v/>
      </c>
      <c r="J1724" s="25">
        <f>IF($C1724="","",IFERROR(IF(INDEX(Roster!$I:$I,MATCH($C1724,Roster!$B:$B,0))="","",INDEX(Roster!$I:$I,MATCH($C1724,Roster!$B:$B,0))&amp;""),"—"))</f>
        <v/>
      </c>
      <c r="K1724">
        <f>IF($C1724="","",IFERROR(IF(INDEX(Roster!$J:$J,MATCH($C1724,Roster!$B:$B,0))="","",INDEX(Roster!$J:$J,MATCH($C1724,Roster!$B:$B,0))&amp;""),"—"))</f>
        <v/>
      </c>
      <c r="L1724">
        <f>IF($C1724="","",IFERROR(IF(INDEX(Roster!$K:$K,MATCH($C1724,Roster!$B:$B,0))="","",INDEX(Roster!$K:$K,MATCH($C1724,Roster!$B:$B,0))&amp;""),"—"))</f>
        <v/>
      </c>
      <c r="M1724" s="27" t="n"/>
      <c r="N1724" s="27" t="n"/>
      <c r="O1724" s="25">
        <f>IF($C1724="","",IF($P1724="","—",IF($P1724="Valid (Pass)","Valid","Invalid")))</f>
        <v/>
      </c>
      <c r="P1724" s="27" t="n"/>
      <c r="Q1724" s="27" t="n"/>
      <c r="R1724" s="27" t="n"/>
      <c r="S1724" s="27" t="n"/>
      <c r="T1724" s="25">
        <f>IF($C1724="","",IF(OR(ISNUMBER(SEARCH("quick case",$P1724)),ISNUMBER(SEARCH("quick case",$Q1724))),"Yes","No"))</f>
        <v/>
      </c>
      <c r="U1724" s="25">
        <f>IF($O1724="Invalid",HYPERLINK("mailto:"&amp;$G1724&amp;";"&amp;$I1724&amp;"?cc="&amp;Lists!$E$2&amp;"&amp;subject="&amp;_xlfn.ENCODEURL("[INVALID] Quality audit monitoring completed for "&amp;UPPER($C1724))&amp;"&amp;body="&amp;_xlfn.ENCODEURL("Hi "&amp;$F1724&amp;","&amp;CHAR(10)&amp;"Good day!"&amp;CHAR(10)&amp;CHAR(10)&amp;"A quality monitoring audit has been completed for "&amp;$C1724&amp;"."&amp;CHAR(10)&amp;CHAR(10)&amp;"QUALITY AUDIT DETAILS"&amp;CHAR(10)&amp;"Agent Name: "&amp;$C1724&amp;" (EID "&amp;$D1724&amp;")"&amp;CHAR(10)&amp;"Audit Date: "&amp;TEXT($B1724,"yyyy-mm-dd")&amp;CHAR(10)&amp;"Team Leader: "&amp;$F1724&amp;CHAR(10)&amp;"Case Number: "&amp;$M1724&amp;CHAR(10)&amp;"Transaction ID: "&amp;$N1724&amp;CHAR(10)&amp;"Channel / LOB: "&amp;$K1724&amp;" / "&amp;$L1724&amp;CHAR(10)&amp;"Evaluator: "&amp;$S1724&amp;CHAR(10)&amp;CHAR(10)&amp;"INVALID QUALITY AUDIT DETAILS"&amp;CHAR(10)&amp;"Validation: Invalid"&amp;CHAR(10)&amp;"Invalid Reason: "&amp;$P1724&amp;CHAR(10)&amp;"Expected Resolution Code: "&amp;$Q1724&amp;CHAR(10)&amp;"Remarks: "&amp;LEFT($R1724,600)&amp;CHAR(10)&amp;CHAR(10)&amp;"This is an automated notification from HP Mainstream EQMS."),"✉ Open Email Draft"),"")</f>
        <v/>
      </c>
    </row>
    <row r="1725">
      <c r="A1725" s="25">
        <f>IF($C1725="","","AUD-2026-"&amp;TEXT(ROW()-1,"000000"))</f>
        <v/>
      </c>
      <c r="B1725" s="26" t="n"/>
      <c r="C1725" s="27" t="n"/>
      <c r="D1725" s="25">
        <f>IF($C1725="","",IFERROR(IF(INDEX(Roster!$A:$A,MATCH($C1725,Roster!$B:$B,0))="","",INDEX(Roster!$A:$A,MATCH($C1725,Roster!$B:$B,0))&amp;""),"—"))</f>
        <v/>
      </c>
      <c r="E1725" s="25">
        <f>IF($C1725="","",IFERROR(IF(INDEX(Roster!$C:$C,MATCH($C1725,Roster!$B:$B,0))="","",INDEX(Roster!$C:$C,MATCH($C1725,Roster!$B:$B,0))&amp;""),"—"))</f>
        <v/>
      </c>
      <c r="F1725" s="25">
        <f>IF($C1725="","",IFERROR(IF(INDEX(Roster!$D:$D,MATCH($C1725,Roster!$B:$B,0))="","",INDEX(Roster!$D:$D,MATCH($C1725,Roster!$B:$B,0))&amp;""),"—"))</f>
        <v/>
      </c>
      <c r="G1725" s="25">
        <f>IF($C1725="","",IFERROR(IF(INDEX(Roster!$E:$E,MATCH($C1725,Roster!$B:$B,0))="","",INDEX(Roster!$E:$E,MATCH($C1725,Roster!$B:$B,0))&amp;""),"—"))</f>
        <v/>
      </c>
      <c r="H1725" s="25">
        <f>IF($C1725="","",IFERROR(IF(INDEX(Roster!$F:$F,MATCH($C1725,Roster!$B:$B,0))="","",INDEX(Roster!$F:$F,MATCH($C1725,Roster!$B:$B,0))&amp;""),"—"))</f>
        <v/>
      </c>
      <c r="I1725" s="25">
        <f>IF($C1725="","",IFERROR(IF(INDEX(Roster!$G:$G,MATCH($C1725,Roster!$B:$B,0))="","",INDEX(Roster!$G:$G,MATCH($C1725,Roster!$B:$B,0))&amp;""),"—"))</f>
        <v/>
      </c>
      <c r="J1725" s="25">
        <f>IF($C1725="","",IFERROR(IF(INDEX(Roster!$I:$I,MATCH($C1725,Roster!$B:$B,0))="","",INDEX(Roster!$I:$I,MATCH($C1725,Roster!$B:$B,0))&amp;""),"—"))</f>
        <v/>
      </c>
      <c r="K1725">
        <f>IF($C1725="","",IFERROR(IF(INDEX(Roster!$J:$J,MATCH($C1725,Roster!$B:$B,0))="","",INDEX(Roster!$J:$J,MATCH($C1725,Roster!$B:$B,0))&amp;""),"—"))</f>
        <v/>
      </c>
      <c r="L1725">
        <f>IF($C1725="","",IFERROR(IF(INDEX(Roster!$K:$K,MATCH($C1725,Roster!$B:$B,0))="","",INDEX(Roster!$K:$K,MATCH($C1725,Roster!$B:$B,0))&amp;""),"—"))</f>
        <v/>
      </c>
      <c r="M1725" s="27" t="n"/>
      <c r="N1725" s="27" t="n"/>
      <c r="O1725" s="25">
        <f>IF($C1725="","",IF($P1725="","—",IF($P1725="Valid (Pass)","Valid","Invalid")))</f>
        <v/>
      </c>
      <c r="P1725" s="27" t="n"/>
      <c r="Q1725" s="27" t="n"/>
      <c r="R1725" s="27" t="n"/>
      <c r="S1725" s="27" t="n"/>
      <c r="T1725" s="25">
        <f>IF($C1725="","",IF(OR(ISNUMBER(SEARCH("quick case",$P1725)),ISNUMBER(SEARCH("quick case",$Q1725))),"Yes","No"))</f>
        <v/>
      </c>
      <c r="U1725" s="25">
        <f>IF($O1725="Invalid",HYPERLINK("mailto:"&amp;$G1725&amp;";"&amp;$I1725&amp;"?cc="&amp;Lists!$E$2&amp;"&amp;subject="&amp;_xlfn.ENCODEURL("[INVALID] Quality audit monitoring completed for "&amp;UPPER($C1725))&amp;"&amp;body="&amp;_xlfn.ENCODEURL("Hi "&amp;$F1725&amp;","&amp;CHAR(10)&amp;"Good day!"&amp;CHAR(10)&amp;CHAR(10)&amp;"A quality monitoring audit has been completed for "&amp;$C1725&amp;"."&amp;CHAR(10)&amp;CHAR(10)&amp;"QUALITY AUDIT DETAILS"&amp;CHAR(10)&amp;"Agent Name: "&amp;$C1725&amp;" (EID "&amp;$D1725&amp;")"&amp;CHAR(10)&amp;"Audit Date: "&amp;TEXT($B1725,"yyyy-mm-dd")&amp;CHAR(10)&amp;"Team Leader: "&amp;$F1725&amp;CHAR(10)&amp;"Case Number: "&amp;$M1725&amp;CHAR(10)&amp;"Transaction ID: "&amp;$N1725&amp;CHAR(10)&amp;"Channel / LOB: "&amp;$K1725&amp;" / "&amp;$L1725&amp;CHAR(10)&amp;"Evaluator: "&amp;$S1725&amp;CHAR(10)&amp;CHAR(10)&amp;"INVALID QUALITY AUDIT DETAILS"&amp;CHAR(10)&amp;"Validation: Invalid"&amp;CHAR(10)&amp;"Invalid Reason: "&amp;$P1725&amp;CHAR(10)&amp;"Expected Resolution Code: "&amp;$Q1725&amp;CHAR(10)&amp;"Remarks: "&amp;LEFT($R1725,600)&amp;CHAR(10)&amp;CHAR(10)&amp;"This is an automated notification from HP Mainstream EQMS."),"✉ Open Email Draft"),"")</f>
        <v/>
      </c>
    </row>
    <row r="1726">
      <c r="A1726" s="25">
        <f>IF($C1726="","","AUD-2026-"&amp;TEXT(ROW()-1,"000000"))</f>
        <v/>
      </c>
      <c r="B1726" s="26" t="n"/>
      <c r="C1726" s="27" t="n"/>
      <c r="D1726" s="25">
        <f>IF($C1726="","",IFERROR(IF(INDEX(Roster!$A:$A,MATCH($C1726,Roster!$B:$B,0))="","",INDEX(Roster!$A:$A,MATCH($C1726,Roster!$B:$B,0))&amp;""),"—"))</f>
        <v/>
      </c>
      <c r="E1726" s="25">
        <f>IF($C1726="","",IFERROR(IF(INDEX(Roster!$C:$C,MATCH($C1726,Roster!$B:$B,0))="","",INDEX(Roster!$C:$C,MATCH($C1726,Roster!$B:$B,0))&amp;""),"—"))</f>
        <v/>
      </c>
      <c r="F1726" s="25">
        <f>IF($C1726="","",IFERROR(IF(INDEX(Roster!$D:$D,MATCH($C1726,Roster!$B:$B,0))="","",INDEX(Roster!$D:$D,MATCH($C1726,Roster!$B:$B,0))&amp;""),"—"))</f>
        <v/>
      </c>
      <c r="G1726" s="25">
        <f>IF($C1726="","",IFERROR(IF(INDEX(Roster!$E:$E,MATCH($C1726,Roster!$B:$B,0))="","",INDEX(Roster!$E:$E,MATCH($C1726,Roster!$B:$B,0))&amp;""),"—"))</f>
        <v/>
      </c>
      <c r="H1726" s="25">
        <f>IF($C1726="","",IFERROR(IF(INDEX(Roster!$F:$F,MATCH($C1726,Roster!$B:$B,0))="","",INDEX(Roster!$F:$F,MATCH($C1726,Roster!$B:$B,0))&amp;""),"—"))</f>
        <v/>
      </c>
      <c r="I1726" s="25">
        <f>IF($C1726="","",IFERROR(IF(INDEX(Roster!$G:$G,MATCH($C1726,Roster!$B:$B,0))="","",INDEX(Roster!$G:$G,MATCH($C1726,Roster!$B:$B,0))&amp;""),"—"))</f>
        <v/>
      </c>
      <c r="J1726" s="25">
        <f>IF($C1726="","",IFERROR(IF(INDEX(Roster!$I:$I,MATCH($C1726,Roster!$B:$B,0))="","",INDEX(Roster!$I:$I,MATCH($C1726,Roster!$B:$B,0))&amp;""),"—"))</f>
        <v/>
      </c>
      <c r="K1726">
        <f>IF($C1726="","",IFERROR(IF(INDEX(Roster!$J:$J,MATCH($C1726,Roster!$B:$B,0))="","",INDEX(Roster!$J:$J,MATCH($C1726,Roster!$B:$B,0))&amp;""),"—"))</f>
        <v/>
      </c>
      <c r="L1726">
        <f>IF($C1726="","",IFERROR(IF(INDEX(Roster!$K:$K,MATCH($C1726,Roster!$B:$B,0))="","",INDEX(Roster!$K:$K,MATCH($C1726,Roster!$B:$B,0))&amp;""),"—"))</f>
        <v/>
      </c>
      <c r="M1726" s="27" t="n"/>
      <c r="N1726" s="27" t="n"/>
      <c r="O1726" s="25">
        <f>IF($C1726="","",IF($P1726="","—",IF($P1726="Valid (Pass)","Valid","Invalid")))</f>
        <v/>
      </c>
      <c r="P1726" s="27" t="n"/>
      <c r="Q1726" s="27" t="n"/>
      <c r="R1726" s="27" t="n"/>
      <c r="S1726" s="27" t="n"/>
      <c r="T1726" s="25">
        <f>IF($C1726="","",IF(OR(ISNUMBER(SEARCH("quick case",$P1726)),ISNUMBER(SEARCH("quick case",$Q1726))),"Yes","No"))</f>
        <v/>
      </c>
      <c r="U1726" s="25">
        <f>IF($O1726="Invalid",HYPERLINK("mailto:"&amp;$G1726&amp;";"&amp;$I1726&amp;"?cc="&amp;Lists!$E$2&amp;"&amp;subject="&amp;_xlfn.ENCODEURL("[INVALID] Quality audit monitoring completed for "&amp;UPPER($C1726))&amp;"&amp;body="&amp;_xlfn.ENCODEURL("Hi "&amp;$F1726&amp;","&amp;CHAR(10)&amp;"Good day!"&amp;CHAR(10)&amp;CHAR(10)&amp;"A quality monitoring audit has been completed for "&amp;$C1726&amp;"."&amp;CHAR(10)&amp;CHAR(10)&amp;"QUALITY AUDIT DETAILS"&amp;CHAR(10)&amp;"Agent Name: "&amp;$C1726&amp;" (EID "&amp;$D1726&amp;")"&amp;CHAR(10)&amp;"Audit Date: "&amp;TEXT($B1726,"yyyy-mm-dd")&amp;CHAR(10)&amp;"Team Leader: "&amp;$F1726&amp;CHAR(10)&amp;"Case Number: "&amp;$M1726&amp;CHAR(10)&amp;"Transaction ID: "&amp;$N1726&amp;CHAR(10)&amp;"Channel / LOB: "&amp;$K1726&amp;" / "&amp;$L1726&amp;CHAR(10)&amp;"Evaluator: "&amp;$S1726&amp;CHAR(10)&amp;CHAR(10)&amp;"INVALID QUALITY AUDIT DETAILS"&amp;CHAR(10)&amp;"Validation: Invalid"&amp;CHAR(10)&amp;"Invalid Reason: "&amp;$P1726&amp;CHAR(10)&amp;"Expected Resolution Code: "&amp;$Q1726&amp;CHAR(10)&amp;"Remarks: "&amp;LEFT($R1726,600)&amp;CHAR(10)&amp;CHAR(10)&amp;"This is an automated notification from HP Mainstream EQMS."),"✉ Open Email Draft"),"")</f>
        <v/>
      </c>
    </row>
    <row r="1727">
      <c r="A1727" s="25">
        <f>IF($C1727="","","AUD-2026-"&amp;TEXT(ROW()-1,"000000"))</f>
        <v/>
      </c>
      <c r="B1727" s="26" t="n"/>
      <c r="C1727" s="27" t="n"/>
      <c r="D1727" s="25">
        <f>IF($C1727="","",IFERROR(IF(INDEX(Roster!$A:$A,MATCH($C1727,Roster!$B:$B,0))="","",INDEX(Roster!$A:$A,MATCH($C1727,Roster!$B:$B,0))&amp;""),"—"))</f>
        <v/>
      </c>
      <c r="E1727" s="25">
        <f>IF($C1727="","",IFERROR(IF(INDEX(Roster!$C:$C,MATCH($C1727,Roster!$B:$B,0))="","",INDEX(Roster!$C:$C,MATCH($C1727,Roster!$B:$B,0))&amp;""),"—"))</f>
        <v/>
      </c>
      <c r="F1727" s="25">
        <f>IF($C1727="","",IFERROR(IF(INDEX(Roster!$D:$D,MATCH($C1727,Roster!$B:$B,0))="","",INDEX(Roster!$D:$D,MATCH($C1727,Roster!$B:$B,0))&amp;""),"—"))</f>
        <v/>
      </c>
      <c r="G1727" s="25">
        <f>IF($C1727="","",IFERROR(IF(INDEX(Roster!$E:$E,MATCH($C1727,Roster!$B:$B,0))="","",INDEX(Roster!$E:$E,MATCH($C1727,Roster!$B:$B,0))&amp;""),"—"))</f>
        <v/>
      </c>
      <c r="H1727" s="25">
        <f>IF($C1727="","",IFERROR(IF(INDEX(Roster!$F:$F,MATCH($C1727,Roster!$B:$B,0))="","",INDEX(Roster!$F:$F,MATCH($C1727,Roster!$B:$B,0))&amp;""),"—"))</f>
        <v/>
      </c>
      <c r="I1727" s="25">
        <f>IF($C1727="","",IFERROR(IF(INDEX(Roster!$G:$G,MATCH($C1727,Roster!$B:$B,0))="","",INDEX(Roster!$G:$G,MATCH($C1727,Roster!$B:$B,0))&amp;""),"—"))</f>
        <v/>
      </c>
      <c r="J1727" s="25">
        <f>IF($C1727="","",IFERROR(IF(INDEX(Roster!$I:$I,MATCH($C1727,Roster!$B:$B,0))="","",INDEX(Roster!$I:$I,MATCH($C1727,Roster!$B:$B,0))&amp;""),"—"))</f>
        <v/>
      </c>
      <c r="K1727">
        <f>IF($C1727="","",IFERROR(IF(INDEX(Roster!$J:$J,MATCH($C1727,Roster!$B:$B,0))="","",INDEX(Roster!$J:$J,MATCH($C1727,Roster!$B:$B,0))&amp;""),"—"))</f>
        <v/>
      </c>
      <c r="L1727">
        <f>IF($C1727="","",IFERROR(IF(INDEX(Roster!$K:$K,MATCH($C1727,Roster!$B:$B,0))="","",INDEX(Roster!$K:$K,MATCH($C1727,Roster!$B:$B,0))&amp;""),"—"))</f>
        <v/>
      </c>
      <c r="M1727" s="27" t="n"/>
      <c r="N1727" s="27" t="n"/>
      <c r="O1727" s="25">
        <f>IF($C1727="","",IF($P1727="","—",IF($P1727="Valid (Pass)","Valid","Invalid")))</f>
        <v/>
      </c>
      <c r="P1727" s="27" t="n"/>
      <c r="Q1727" s="27" t="n"/>
      <c r="R1727" s="27" t="n"/>
      <c r="S1727" s="27" t="n"/>
      <c r="T1727" s="25">
        <f>IF($C1727="","",IF(OR(ISNUMBER(SEARCH("quick case",$P1727)),ISNUMBER(SEARCH("quick case",$Q1727))),"Yes","No"))</f>
        <v/>
      </c>
      <c r="U1727" s="25">
        <f>IF($O1727="Invalid",HYPERLINK("mailto:"&amp;$G1727&amp;";"&amp;$I1727&amp;"?cc="&amp;Lists!$E$2&amp;"&amp;subject="&amp;_xlfn.ENCODEURL("[INVALID] Quality audit monitoring completed for "&amp;UPPER($C1727))&amp;"&amp;body="&amp;_xlfn.ENCODEURL("Hi "&amp;$F1727&amp;","&amp;CHAR(10)&amp;"Good day!"&amp;CHAR(10)&amp;CHAR(10)&amp;"A quality monitoring audit has been completed for "&amp;$C1727&amp;"."&amp;CHAR(10)&amp;CHAR(10)&amp;"QUALITY AUDIT DETAILS"&amp;CHAR(10)&amp;"Agent Name: "&amp;$C1727&amp;" (EID "&amp;$D1727&amp;")"&amp;CHAR(10)&amp;"Audit Date: "&amp;TEXT($B1727,"yyyy-mm-dd")&amp;CHAR(10)&amp;"Team Leader: "&amp;$F1727&amp;CHAR(10)&amp;"Case Number: "&amp;$M1727&amp;CHAR(10)&amp;"Transaction ID: "&amp;$N1727&amp;CHAR(10)&amp;"Channel / LOB: "&amp;$K1727&amp;" / "&amp;$L1727&amp;CHAR(10)&amp;"Evaluator: "&amp;$S1727&amp;CHAR(10)&amp;CHAR(10)&amp;"INVALID QUALITY AUDIT DETAILS"&amp;CHAR(10)&amp;"Validation: Invalid"&amp;CHAR(10)&amp;"Invalid Reason: "&amp;$P1727&amp;CHAR(10)&amp;"Expected Resolution Code: "&amp;$Q1727&amp;CHAR(10)&amp;"Remarks: "&amp;LEFT($R1727,600)&amp;CHAR(10)&amp;CHAR(10)&amp;"This is an automated notification from HP Mainstream EQMS."),"✉ Open Email Draft"),"")</f>
        <v/>
      </c>
    </row>
    <row r="1728">
      <c r="A1728" s="25">
        <f>IF($C1728="","","AUD-2026-"&amp;TEXT(ROW()-1,"000000"))</f>
        <v/>
      </c>
      <c r="B1728" s="26" t="n"/>
      <c r="C1728" s="27" t="n"/>
      <c r="D1728" s="25">
        <f>IF($C1728="","",IFERROR(IF(INDEX(Roster!$A:$A,MATCH($C1728,Roster!$B:$B,0))="","",INDEX(Roster!$A:$A,MATCH($C1728,Roster!$B:$B,0))&amp;""),"—"))</f>
        <v/>
      </c>
      <c r="E1728" s="25">
        <f>IF($C1728="","",IFERROR(IF(INDEX(Roster!$C:$C,MATCH($C1728,Roster!$B:$B,0))="","",INDEX(Roster!$C:$C,MATCH($C1728,Roster!$B:$B,0))&amp;""),"—"))</f>
        <v/>
      </c>
      <c r="F1728" s="25">
        <f>IF($C1728="","",IFERROR(IF(INDEX(Roster!$D:$D,MATCH($C1728,Roster!$B:$B,0))="","",INDEX(Roster!$D:$D,MATCH($C1728,Roster!$B:$B,0))&amp;""),"—"))</f>
        <v/>
      </c>
      <c r="G1728" s="25">
        <f>IF($C1728="","",IFERROR(IF(INDEX(Roster!$E:$E,MATCH($C1728,Roster!$B:$B,0))="","",INDEX(Roster!$E:$E,MATCH($C1728,Roster!$B:$B,0))&amp;""),"—"))</f>
        <v/>
      </c>
      <c r="H1728" s="25">
        <f>IF($C1728="","",IFERROR(IF(INDEX(Roster!$F:$F,MATCH($C1728,Roster!$B:$B,0))="","",INDEX(Roster!$F:$F,MATCH($C1728,Roster!$B:$B,0))&amp;""),"—"))</f>
        <v/>
      </c>
      <c r="I1728" s="25">
        <f>IF($C1728="","",IFERROR(IF(INDEX(Roster!$G:$G,MATCH($C1728,Roster!$B:$B,0))="","",INDEX(Roster!$G:$G,MATCH($C1728,Roster!$B:$B,0))&amp;""),"—"))</f>
        <v/>
      </c>
      <c r="J1728" s="25">
        <f>IF($C1728="","",IFERROR(IF(INDEX(Roster!$I:$I,MATCH($C1728,Roster!$B:$B,0))="","",INDEX(Roster!$I:$I,MATCH($C1728,Roster!$B:$B,0))&amp;""),"—"))</f>
        <v/>
      </c>
      <c r="K1728">
        <f>IF($C1728="","",IFERROR(IF(INDEX(Roster!$J:$J,MATCH($C1728,Roster!$B:$B,0))="","",INDEX(Roster!$J:$J,MATCH($C1728,Roster!$B:$B,0))&amp;""),"—"))</f>
        <v/>
      </c>
      <c r="L1728">
        <f>IF($C1728="","",IFERROR(IF(INDEX(Roster!$K:$K,MATCH($C1728,Roster!$B:$B,0))="","",INDEX(Roster!$K:$K,MATCH($C1728,Roster!$B:$B,0))&amp;""),"—"))</f>
        <v/>
      </c>
      <c r="M1728" s="27" t="n"/>
      <c r="N1728" s="27" t="n"/>
      <c r="O1728" s="25">
        <f>IF($C1728="","",IF($P1728="","—",IF($P1728="Valid (Pass)","Valid","Invalid")))</f>
        <v/>
      </c>
      <c r="P1728" s="27" t="n"/>
      <c r="Q1728" s="27" t="n"/>
      <c r="R1728" s="27" t="n"/>
      <c r="S1728" s="27" t="n"/>
      <c r="T1728" s="25">
        <f>IF($C1728="","",IF(OR(ISNUMBER(SEARCH("quick case",$P1728)),ISNUMBER(SEARCH("quick case",$Q1728))),"Yes","No"))</f>
        <v/>
      </c>
      <c r="U1728" s="25">
        <f>IF($O1728="Invalid",HYPERLINK("mailto:"&amp;$G1728&amp;";"&amp;$I1728&amp;"?cc="&amp;Lists!$E$2&amp;"&amp;subject="&amp;_xlfn.ENCODEURL("[INVALID] Quality audit monitoring completed for "&amp;UPPER($C1728))&amp;"&amp;body="&amp;_xlfn.ENCODEURL("Hi "&amp;$F1728&amp;","&amp;CHAR(10)&amp;"Good day!"&amp;CHAR(10)&amp;CHAR(10)&amp;"A quality monitoring audit has been completed for "&amp;$C1728&amp;"."&amp;CHAR(10)&amp;CHAR(10)&amp;"QUALITY AUDIT DETAILS"&amp;CHAR(10)&amp;"Agent Name: "&amp;$C1728&amp;" (EID "&amp;$D1728&amp;")"&amp;CHAR(10)&amp;"Audit Date: "&amp;TEXT($B1728,"yyyy-mm-dd")&amp;CHAR(10)&amp;"Team Leader: "&amp;$F1728&amp;CHAR(10)&amp;"Case Number: "&amp;$M1728&amp;CHAR(10)&amp;"Transaction ID: "&amp;$N1728&amp;CHAR(10)&amp;"Channel / LOB: "&amp;$K1728&amp;" / "&amp;$L1728&amp;CHAR(10)&amp;"Evaluator: "&amp;$S1728&amp;CHAR(10)&amp;CHAR(10)&amp;"INVALID QUALITY AUDIT DETAILS"&amp;CHAR(10)&amp;"Validation: Invalid"&amp;CHAR(10)&amp;"Invalid Reason: "&amp;$P1728&amp;CHAR(10)&amp;"Expected Resolution Code: "&amp;$Q1728&amp;CHAR(10)&amp;"Remarks: "&amp;LEFT($R1728,600)&amp;CHAR(10)&amp;CHAR(10)&amp;"This is an automated notification from HP Mainstream EQMS."),"✉ Open Email Draft"),"")</f>
        <v/>
      </c>
    </row>
    <row r="1729">
      <c r="A1729" s="25">
        <f>IF($C1729="","","AUD-2026-"&amp;TEXT(ROW()-1,"000000"))</f>
        <v/>
      </c>
      <c r="B1729" s="26" t="n"/>
      <c r="C1729" s="27" t="n"/>
      <c r="D1729" s="25">
        <f>IF($C1729="","",IFERROR(IF(INDEX(Roster!$A:$A,MATCH($C1729,Roster!$B:$B,0))="","",INDEX(Roster!$A:$A,MATCH($C1729,Roster!$B:$B,0))&amp;""),"—"))</f>
        <v/>
      </c>
      <c r="E1729" s="25">
        <f>IF($C1729="","",IFERROR(IF(INDEX(Roster!$C:$C,MATCH($C1729,Roster!$B:$B,0))="","",INDEX(Roster!$C:$C,MATCH($C1729,Roster!$B:$B,0))&amp;""),"—"))</f>
        <v/>
      </c>
      <c r="F1729" s="25">
        <f>IF($C1729="","",IFERROR(IF(INDEX(Roster!$D:$D,MATCH($C1729,Roster!$B:$B,0))="","",INDEX(Roster!$D:$D,MATCH($C1729,Roster!$B:$B,0))&amp;""),"—"))</f>
        <v/>
      </c>
      <c r="G1729" s="25">
        <f>IF($C1729="","",IFERROR(IF(INDEX(Roster!$E:$E,MATCH($C1729,Roster!$B:$B,0))="","",INDEX(Roster!$E:$E,MATCH($C1729,Roster!$B:$B,0))&amp;""),"—"))</f>
        <v/>
      </c>
      <c r="H1729" s="25">
        <f>IF($C1729="","",IFERROR(IF(INDEX(Roster!$F:$F,MATCH($C1729,Roster!$B:$B,0))="","",INDEX(Roster!$F:$F,MATCH($C1729,Roster!$B:$B,0))&amp;""),"—"))</f>
        <v/>
      </c>
      <c r="I1729" s="25">
        <f>IF($C1729="","",IFERROR(IF(INDEX(Roster!$G:$G,MATCH($C1729,Roster!$B:$B,0))="","",INDEX(Roster!$G:$G,MATCH($C1729,Roster!$B:$B,0))&amp;""),"—"))</f>
        <v/>
      </c>
      <c r="J1729" s="25">
        <f>IF($C1729="","",IFERROR(IF(INDEX(Roster!$I:$I,MATCH($C1729,Roster!$B:$B,0))="","",INDEX(Roster!$I:$I,MATCH($C1729,Roster!$B:$B,0))&amp;""),"—"))</f>
        <v/>
      </c>
      <c r="K1729">
        <f>IF($C1729="","",IFERROR(IF(INDEX(Roster!$J:$J,MATCH($C1729,Roster!$B:$B,0))="","",INDEX(Roster!$J:$J,MATCH($C1729,Roster!$B:$B,0))&amp;""),"—"))</f>
        <v/>
      </c>
      <c r="L1729">
        <f>IF($C1729="","",IFERROR(IF(INDEX(Roster!$K:$K,MATCH($C1729,Roster!$B:$B,0))="","",INDEX(Roster!$K:$K,MATCH($C1729,Roster!$B:$B,0))&amp;""),"—"))</f>
        <v/>
      </c>
      <c r="M1729" s="27" t="n"/>
      <c r="N1729" s="27" t="n"/>
      <c r="O1729" s="25">
        <f>IF($C1729="","",IF($P1729="","—",IF($P1729="Valid (Pass)","Valid","Invalid")))</f>
        <v/>
      </c>
      <c r="P1729" s="27" t="n"/>
      <c r="Q1729" s="27" t="n"/>
      <c r="R1729" s="27" t="n"/>
      <c r="S1729" s="27" t="n"/>
      <c r="T1729" s="25">
        <f>IF($C1729="","",IF(OR(ISNUMBER(SEARCH("quick case",$P1729)),ISNUMBER(SEARCH("quick case",$Q1729))),"Yes","No"))</f>
        <v/>
      </c>
      <c r="U1729" s="25">
        <f>IF($O1729="Invalid",HYPERLINK("mailto:"&amp;$G1729&amp;";"&amp;$I1729&amp;"?cc="&amp;Lists!$E$2&amp;"&amp;subject="&amp;_xlfn.ENCODEURL("[INVALID] Quality audit monitoring completed for "&amp;UPPER($C1729))&amp;"&amp;body="&amp;_xlfn.ENCODEURL("Hi "&amp;$F1729&amp;","&amp;CHAR(10)&amp;"Good day!"&amp;CHAR(10)&amp;CHAR(10)&amp;"A quality monitoring audit has been completed for "&amp;$C1729&amp;"."&amp;CHAR(10)&amp;CHAR(10)&amp;"QUALITY AUDIT DETAILS"&amp;CHAR(10)&amp;"Agent Name: "&amp;$C1729&amp;" (EID "&amp;$D1729&amp;")"&amp;CHAR(10)&amp;"Audit Date: "&amp;TEXT($B1729,"yyyy-mm-dd")&amp;CHAR(10)&amp;"Team Leader: "&amp;$F1729&amp;CHAR(10)&amp;"Case Number: "&amp;$M1729&amp;CHAR(10)&amp;"Transaction ID: "&amp;$N1729&amp;CHAR(10)&amp;"Channel / LOB: "&amp;$K1729&amp;" / "&amp;$L1729&amp;CHAR(10)&amp;"Evaluator: "&amp;$S1729&amp;CHAR(10)&amp;CHAR(10)&amp;"INVALID QUALITY AUDIT DETAILS"&amp;CHAR(10)&amp;"Validation: Invalid"&amp;CHAR(10)&amp;"Invalid Reason: "&amp;$P1729&amp;CHAR(10)&amp;"Expected Resolution Code: "&amp;$Q1729&amp;CHAR(10)&amp;"Remarks: "&amp;LEFT($R1729,600)&amp;CHAR(10)&amp;CHAR(10)&amp;"This is an automated notification from HP Mainstream EQMS."),"✉ Open Email Draft"),"")</f>
        <v/>
      </c>
    </row>
    <row r="1730">
      <c r="A1730" s="25">
        <f>IF($C1730="","","AUD-2026-"&amp;TEXT(ROW()-1,"000000"))</f>
        <v/>
      </c>
      <c r="B1730" s="26" t="n"/>
      <c r="C1730" s="27" t="n"/>
      <c r="D1730" s="25">
        <f>IF($C1730="","",IFERROR(IF(INDEX(Roster!$A:$A,MATCH($C1730,Roster!$B:$B,0))="","",INDEX(Roster!$A:$A,MATCH($C1730,Roster!$B:$B,0))&amp;""),"—"))</f>
        <v/>
      </c>
      <c r="E1730" s="25">
        <f>IF($C1730="","",IFERROR(IF(INDEX(Roster!$C:$C,MATCH($C1730,Roster!$B:$B,0))="","",INDEX(Roster!$C:$C,MATCH($C1730,Roster!$B:$B,0))&amp;""),"—"))</f>
        <v/>
      </c>
      <c r="F1730" s="25">
        <f>IF($C1730="","",IFERROR(IF(INDEX(Roster!$D:$D,MATCH($C1730,Roster!$B:$B,0))="","",INDEX(Roster!$D:$D,MATCH($C1730,Roster!$B:$B,0))&amp;""),"—"))</f>
        <v/>
      </c>
      <c r="G1730" s="25">
        <f>IF($C1730="","",IFERROR(IF(INDEX(Roster!$E:$E,MATCH($C1730,Roster!$B:$B,0))="","",INDEX(Roster!$E:$E,MATCH($C1730,Roster!$B:$B,0))&amp;""),"—"))</f>
        <v/>
      </c>
      <c r="H1730" s="25">
        <f>IF($C1730="","",IFERROR(IF(INDEX(Roster!$F:$F,MATCH($C1730,Roster!$B:$B,0))="","",INDEX(Roster!$F:$F,MATCH($C1730,Roster!$B:$B,0))&amp;""),"—"))</f>
        <v/>
      </c>
      <c r="I1730" s="25">
        <f>IF($C1730="","",IFERROR(IF(INDEX(Roster!$G:$G,MATCH($C1730,Roster!$B:$B,0))="","",INDEX(Roster!$G:$G,MATCH($C1730,Roster!$B:$B,0))&amp;""),"—"))</f>
        <v/>
      </c>
      <c r="J1730" s="25">
        <f>IF($C1730="","",IFERROR(IF(INDEX(Roster!$I:$I,MATCH($C1730,Roster!$B:$B,0))="","",INDEX(Roster!$I:$I,MATCH($C1730,Roster!$B:$B,0))&amp;""),"—"))</f>
        <v/>
      </c>
      <c r="K1730">
        <f>IF($C1730="","",IFERROR(IF(INDEX(Roster!$J:$J,MATCH($C1730,Roster!$B:$B,0))="","",INDEX(Roster!$J:$J,MATCH($C1730,Roster!$B:$B,0))&amp;""),"—"))</f>
        <v/>
      </c>
      <c r="L1730">
        <f>IF($C1730="","",IFERROR(IF(INDEX(Roster!$K:$K,MATCH($C1730,Roster!$B:$B,0))="","",INDEX(Roster!$K:$K,MATCH($C1730,Roster!$B:$B,0))&amp;""),"—"))</f>
        <v/>
      </c>
      <c r="M1730" s="27" t="n"/>
      <c r="N1730" s="27" t="n"/>
      <c r="O1730" s="25">
        <f>IF($C1730="","",IF($P1730="","—",IF($P1730="Valid (Pass)","Valid","Invalid")))</f>
        <v/>
      </c>
      <c r="P1730" s="27" t="n"/>
      <c r="Q1730" s="27" t="n"/>
      <c r="R1730" s="27" t="n"/>
      <c r="S1730" s="27" t="n"/>
      <c r="T1730" s="25">
        <f>IF($C1730="","",IF(OR(ISNUMBER(SEARCH("quick case",$P1730)),ISNUMBER(SEARCH("quick case",$Q1730))),"Yes","No"))</f>
        <v/>
      </c>
      <c r="U1730" s="25">
        <f>IF($O1730="Invalid",HYPERLINK("mailto:"&amp;$G1730&amp;";"&amp;$I1730&amp;"?cc="&amp;Lists!$E$2&amp;"&amp;subject="&amp;_xlfn.ENCODEURL("[INVALID] Quality audit monitoring completed for "&amp;UPPER($C1730))&amp;"&amp;body="&amp;_xlfn.ENCODEURL("Hi "&amp;$F1730&amp;","&amp;CHAR(10)&amp;"Good day!"&amp;CHAR(10)&amp;CHAR(10)&amp;"A quality monitoring audit has been completed for "&amp;$C1730&amp;"."&amp;CHAR(10)&amp;CHAR(10)&amp;"QUALITY AUDIT DETAILS"&amp;CHAR(10)&amp;"Agent Name: "&amp;$C1730&amp;" (EID "&amp;$D1730&amp;")"&amp;CHAR(10)&amp;"Audit Date: "&amp;TEXT($B1730,"yyyy-mm-dd")&amp;CHAR(10)&amp;"Team Leader: "&amp;$F1730&amp;CHAR(10)&amp;"Case Number: "&amp;$M1730&amp;CHAR(10)&amp;"Transaction ID: "&amp;$N1730&amp;CHAR(10)&amp;"Channel / LOB: "&amp;$K1730&amp;" / "&amp;$L1730&amp;CHAR(10)&amp;"Evaluator: "&amp;$S1730&amp;CHAR(10)&amp;CHAR(10)&amp;"INVALID QUALITY AUDIT DETAILS"&amp;CHAR(10)&amp;"Validation: Invalid"&amp;CHAR(10)&amp;"Invalid Reason: "&amp;$P1730&amp;CHAR(10)&amp;"Expected Resolution Code: "&amp;$Q1730&amp;CHAR(10)&amp;"Remarks: "&amp;LEFT($R1730,600)&amp;CHAR(10)&amp;CHAR(10)&amp;"This is an automated notification from HP Mainstream EQMS."),"✉ Open Email Draft"),"")</f>
        <v/>
      </c>
    </row>
    <row r="1731">
      <c r="A1731" s="25">
        <f>IF($C1731="","","AUD-2026-"&amp;TEXT(ROW()-1,"000000"))</f>
        <v/>
      </c>
      <c r="B1731" s="26" t="n"/>
      <c r="C1731" s="27" t="n"/>
      <c r="D1731" s="25">
        <f>IF($C1731="","",IFERROR(IF(INDEX(Roster!$A:$A,MATCH($C1731,Roster!$B:$B,0))="","",INDEX(Roster!$A:$A,MATCH($C1731,Roster!$B:$B,0))&amp;""),"—"))</f>
        <v/>
      </c>
      <c r="E1731" s="25">
        <f>IF($C1731="","",IFERROR(IF(INDEX(Roster!$C:$C,MATCH($C1731,Roster!$B:$B,0))="","",INDEX(Roster!$C:$C,MATCH($C1731,Roster!$B:$B,0))&amp;""),"—"))</f>
        <v/>
      </c>
      <c r="F1731" s="25">
        <f>IF($C1731="","",IFERROR(IF(INDEX(Roster!$D:$D,MATCH($C1731,Roster!$B:$B,0))="","",INDEX(Roster!$D:$D,MATCH($C1731,Roster!$B:$B,0))&amp;""),"—"))</f>
        <v/>
      </c>
      <c r="G1731" s="25">
        <f>IF($C1731="","",IFERROR(IF(INDEX(Roster!$E:$E,MATCH($C1731,Roster!$B:$B,0))="","",INDEX(Roster!$E:$E,MATCH($C1731,Roster!$B:$B,0))&amp;""),"—"))</f>
        <v/>
      </c>
      <c r="H1731" s="25">
        <f>IF($C1731="","",IFERROR(IF(INDEX(Roster!$F:$F,MATCH($C1731,Roster!$B:$B,0))="","",INDEX(Roster!$F:$F,MATCH($C1731,Roster!$B:$B,0))&amp;""),"—"))</f>
        <v/>
      </c>
      <c r="I1731" s="25">
        <f>IF($C1731="","",IFERROR(IF(INDEX(Roster!$G:$G,MATCH($C1731,Roster!$B:$B,0))="","",INDEX(Roster!$G:$G,MATCH($C1731,Roster!$B:$B,0))&amp;""),"—"))</f>
        <v/>
      </c>
      <c r="J1731" s="25">
        <f>IF($C1731="","",IFERROR(IF(INDEX(Roster!$I:$I,MATCH($C1731,Roster!$B:$B,0))="","",INDEX(Roster!$I:$I,MATCH($C1731,Roster!$B:$B,0))&amp;""),"—"))</f>
        <v/>
      </c>
      <c r="K1731">
        <f>IF($C1731="","",IFERROR(IF(INDEX(Roster!$J:$J,MATCH($C1731,Roster!$B:$B,0))="","",INDEX(Roster!$J:$J,MATCH($C1731,Roster!$B:$B,0))&amp;""),"—"))</f>
        <v/>
      </c>
      <c r="L1731">
        <f>IF($C1731="","",IFERROR(IF(INDEX(Roster!$K:$K,MATCH($C1731,Roster!$B:$B,0))="","",INDEX(Roster!$K:$K,MATCH($C1731,Roster!$B:$B,0))&amp;""),"—"))</f>
        <v/>
      </c>
      <c r="M1731" s="27" t="n"/>
      <c r="N1731" s="27" t="n"/>
      <c r="O1731" s="25">
        <f>IF($C1731="","",IF($P1731="","—",IF($P1731="Valid (Pass)","Valid","Invalid")))</f>
        <v/>
      </c>
      <c r="P1731" s="27" t="n"/>
      <c r="Q1731" s="27" t="n"/>
      <c r="R1731" s="27" t="n"/>
      <c r="S1731" s="27" t="n"/>
      <c r="T1731" s="25">
        <f>IF($C1731="","",IF(OR(ISNUMBER(SEARCH("quick case",$P1731)),ISNUMBER(SEARCH("quick case",$Q1731))),"Yes","No"))</f>
        <v/>
      </c>
      <c r="U1731" s="25">
        <f>IF($O1731="Invalid",HYPERLINK("mailto:"&amp;$G1731&amp;";"&amp;$I1731&amp;"?cc="&amp;Lists!$E$2&amp;"&amp;subject="&amp;_xlfn.ENCODEURL("[INVALID] Quality audit monitoring completed for "&amp;UPPER($C1731))&amp;"&amp;body="&amp;_xlfn.ENCODEURL("Hi "&amp;$F1731&amp;","&amp;CHAR(10)&amp;"Good day!"&amp;CHAR(10)&amp;CHAR(10)&amp;"A quality monitoring audit has been completed for "&amp;$C1731&amp;"."&amp;CHAR(10)&amp;CHAR(10)&amp;"QUALITY AUDIT DETAILS"&amp;CHAR(10)&amp;"Agent Name: "&amp;$C1731&amp;" (EID "&amp;$D1731&amp;")"&amp;CHAR(10)&amp;"Audit Date: "&amp;TEXT($B1731,"yyyy-mm-dd")&amp;CHAR(10)&amp;"Team Leader: "&amp;$F1731&amp;CHAR(10)&amp;"Case Number: "&amp;$M1731&amp;CHAR(10)&amp;"Transaction ID: "&amp;$N1731&amp;CHAR(10)&amp;"Channel / LOB: "&amp;$K1731&amp;" / "&amp;$L1731&amp;CHAR(10)&amp;"Evaluator: "&amp;$S1731&amp;CHAR(10)&amp;CHAR(10)&amp;"INVALID QUALITY AUDIT DETAILS"&amp;CHAR(10)&amp;"Validation: Invalid"&amp;CHAR(10)&amp;"Invalid Reason: "&amp;$P1731&amp;CHAR(10)&amp;"Expected Resolution Code: "&amp;$Q1731&amp;CHAR(10)&amp;"Remarks: "&amp;LEFT($R1731,600)&amp;CHAR(10)&amp;CHAR(10)&amp;"This is an automated notification from HP Mainstream EQMS."),"✉ Open Email Draft"),"")</f>
        <v/>
      </c>
    </row>
    <row r="1732">
      <c r="A1732" s="25">
        <f>IF($C1732="","","AUD-2026-"&amp;TEXT(ROW()-1,"000000"))</f>
        <v/>
      </c>
      <c r="B1732" s="26" t="n"/>
      <c r="C1732" s="27" t="n"/>
      <c r="D1732" s="25">
        <f>IF($C1732="","",IFERROR(IF(INDEX(Roster!$A:$A,MATCH($C1732,Roster!$B:$B,0))="","",INDEX(Roster!$A:$A,MATCH($C1732,Roster!$B:$B,0))&amp;""),"—"))</f>
        <v/>
      </c>
      <c r="E1732" s="25">
        <f>IF($C1732="","",IFERROR(IF(INDEX(Roster!$C:$C,MATCH($C1732,Roster!$B:$B,0))="","",INDEX(Roster!$C:$C,MATCH($C1732,Roster!$B:$B,0))&amp;""),"—"))</f>
        <v/>
      </c>
      <c r="F1732" s="25">
        <f>IF($C1732="","",IFERROR(IF(INDEX(Roster!$D:$D,MATCH($C1732,Roster!$B:$B,0))="","",INDEX(Roster!$D:$D,MATCH($C1732,Roster!$B:$B,0))&amp;""),"—"))</f>
        <v/>
      </c>
      <c r="G1732" s="25">
        <f>IF($C1732="","",IFERROR(IF(INDEX(Roster!$E:$E,MATCH($C1732,Roster!$B:$B,0))="","",INDEX(Roster!$E:$E,MATCH($C1732,Roster!$B:$B,0))&amp;""),"—"))</f>
        <v/>
      </c>
      <c r="H1732" s="25">
        <f>IF($C1732="","",IFERROR(IF(INDEX(Roster!$F:$F,MATCH($C1732,Roster!$B:$B,0))="","",INDEX(Roster!$F:$F,MATCH($C1732,Roster!$B:$B,0))&amp;""),"—"))</f>
        <v/>
      </c>
      <c r="I1732" s="25">
        <f>IF($C1732="","",IFERROR(IF(INDEX(Roster!$G:$G,MATCH($C1732,Roster!$B:$B,0))="","",INDEX(Roster!$G:$G,MATCH($C1732,Roster!$B:$B,0))&amp;""),"—"))</f>
        <v/>
      </c>
      <c r="J1732" s="25">
        <f>IF($C1732="","",IFERROR(IF(INDEX(Roster!$I:$I,MATCH($C1732,Roster!$B:$B,0))="","",INDEX(Roster!$I:$I,MATCH($C1732,Roster!$B:$B,0))&amp;""),"—"))</f>
        <v/>
      </c>
      <c r="K1732">
        <f>IF($C1732="","",IFERROR(IF(INDEX(Roster!$J:$J,MATCH($C1732,Roster!$B:$B,0))="","",INDEX(Roster!$J:$J,MATCH($C1732,Roster!$B:$B,0))&amp;""),"—"))</f>
        <v/>
      </c>
      <c r="L1732">
        <f>IF($C1732="","",IFERROR(IF(INDEX(Roster!$K:$K,MATCH($C1732,Roster!$B:$B,0))="","",INDEX(Roster!$K:$K,MATCH($C1732,Roster!$B:$B,0))&amp;""),"—"))</f>
        <v/>
      </c>
      <c r="M1732" s="27" t="n"/>
      <c r="N1732" s="27" t="n"/>
      <c r="O1732" s="25">
        <f>IF($C1732="","",IF($P1732="","—",IF($P1732="Valid (Pass)","Valid","Invalid")))</f>
        <v/>
      </c>
      <c r="P1732" s="27" t="n"/>
      <c r="Q1732" s="27" t="n"/>
      <c r="R1732" s="27" t="n"/>
      <c r="S1732" s="27" t="n"/>
      <c r="T1732" s="25">
        <f>IF($C1732="","",IF(OR(ISNUMBER(SEARCH("quick case",$P1732)),ISNUMBER(SEARCH("quick case",$Q1732))),"Yes","No"))</f>
        <v/>
      </c>
      <c r="U1732" s="25">
        <f>IF($O1732="Invalid",HYPERLINK("mailto:"&amp;$G1732&amp;";"&amp;$I1732&amp;"?cc="&amp;Lists!$E$2&amp;"&amp;subject="&amp;_xlfn.ENCODEURL("[INVALID] Quality audit monitoring completed for "&amp;UPPER($C1732))&amp;"&amp;body="&amp;_xlfn.ENCODEURL("Hi "&amp;$F1732&amp;","&amp;CHAR(10)&amp;"Good day!"&amp;CHAR(10)&amp;CHAR(10)&amp;"A quality monitoring audit has been completed for "&amp;$C1732&amp;"."&amp;CHAR(10)&amp;CHAR(10)&amp;"QUALITY AUDIT DETAILS"&amp;CHAR(10)&amp;"Agent Name: "&amp;$C1732&amp;" (EID "&amp;$D1732&amp;")"&amp;CHAR(10)&amp;"Audit Date: "&amp;TEXT($B1732,"yyyy-mm-dd")&amp;CHAR(10)&amp;"Team Leader: "&amp;$F1732&amp;CHAR(10)&amp;"Case Number: "&amp;$M1732&amp;CHAR(10)&amp;"Transaction ID: "&amp;$N1732&amp;CHAR(10)&amp;"Channel / LOB: "&amp;$K1732&amp;" / "&amp;$L1732&amp;CHAR(10)&amp;"Evaluator: "&amp;$S1732&amp;CHAR(10)&amp;CHAR(10)&amp;"INVALID QUALITY AUDIT DETAILS"&amp;CHAR(10)&amp;"Validation: Invalid"&amp;CHAR(10)&amp;"Invalid Reason: "&amp;$P1732&amp;CHAR(10)&amp;"Expected Resolution Code: "&amp;$Q1732&amp;CHAR(10)&amp;"Remarks: "&amp;LEFT($R1732,600)&amp;CHAR(10)&amp;CHAR(10)&amp;"This is an automated notification from HP Mainstream EQMS."),"✉ Open Email Draft"),"")</f>
        <v/>
      </c>
    </row>
    <row r="1733">
      <c r="A1733" s="25">
        <f>IF($C1733="","","AUD-2026-"&amp;TEXT(ROW()-1,"000000"))</f>
        <v/>
      </c>
      <c r="B1733" s="26" t="n"/>
      <c r="C1733" s="27" t="n"/>
      <c r="D1733" s="25">
        <f>IF($C1733="","",IFERROR(IF(INDEX(Roster!$A:$A,MATCH($C1733,Roster!$B:$B,0))="","",INDEX(Roster!$A:$A,MATCH($C1733,Roster!$B:$B,0))&amp;""),"—"))</f>
        <v/>
      </c>
      <c r="E1733" s="25">
        <f>IF($C1733="","",IFERROR(IF(INDEX(Roster!$C:$C,MATCH($C1733,Roster!$B:$B,0))="","",INDEX(Roster!$C:$C,MATCH($C1733,Roster!$B:$B,0))&amp;""),"—"))</f>
        <v/>
      </c>
      <c r="F1733" s="25">
        <f>IF($C1733="","",IFERROR(IF(INDEX(Roster!$D:$D,MATCH($C1733,Roster!$B:$B,0))="","",INDEX(Roster!$D:$D,MATCH($C1733,Roster!$B:$B,0))&amp;""),"—"))</f>
        <v/>
      </c>
      <c r="G1733" s="25">
        <f>IF($C1733="","",IFERROR(IF(INDEX(Roster!$E:$E,MATCH($C1733,Roster!$B:$B,0))="","",INDEX(Roster!$E:$E,MATCH($C1733,Roster!$B:$B,0))&amp;""),"—"))</f>
        <v/>
      </c>
      <c r="H1733" s="25">
        <f>IF($C1733="","",IFERROR(IF(INDEX(Roster!$F:$F,MATCH($C1733,Roster!$B:$B,0))="","",INDEX(Roster!$F:$F,MATCH($C1733,Roster!$B:$B,0))&amp;""),"—"))</f>
        <v/>
      </c>
      <c r="I1733" s="25">
        <f>IF($C1733="","",IFERROR(IF(INDEX(Roster!$G:$G,MATCH($C1733,Roster!$B:$B,0))="","",INDEX(Roster!$G:$G,MATCH($C1733,Roster!$B:$B,0))&amp;""),"—"))</f>
        <v/>
      </c>
      <c r="J1733" s="25">
        <f>IF($C1733="","",IFERROR(IF(INDEX(Roster!$I:$I,MATCH($C1733,Roster!$B:$B,0))="","",INDEX(Roster!$I:$I,MATCH($C1733,Roster!$B:$B,0))&amp;""),"—"))</f>
        <v/>
      </c>
      <c r="K1733">
        <f>IF($C1733="","",IFERROR(IF(INDEX(Roster!$J:$J,MATCH($C1733,Roster!$B:$B,0))="","",INDEX(Roster!$J:$J,MATCH($C1733,Roster!$B:$B,0))&amp;""),"—"))</f>
        <v/>
      </c>
      <c r="L1733">
        <f>IF($C1733="","",IFERROR(IF(INDEX(Roster!$K:$K,MATCH($C1733,Roster!$B:$B,0))="","",INDEX(Roster!$K:$K,MATCH($C1733,Roster!$B:$B,0))&amp;""),"—"))</f>
        <v/>
      </c>
      <c r="M1733" s="27" t="n"/>
      <c r="N1733" s="27" t="n"/>
      <c r="O1733" s="25">
        <f>IF($C1733="","",IF($P1733="","—",IF($P1733="Valid (Pass)","Valid","Invalid")))</f>
        <v/>
      </c>
      <c r="P1733" s="27" t="n"/>
      <c r="Q1733" s="27" t="n"/>
      <c r="R1733" s="27" t="n"/>
      <c r="S1733" s="27" t="n"/>
      <c r="T1733" s="25">
        <f>IF($C1733="","",IF(OR(ISNUMBER(SEARCH("quick case",$P1733)),ISNUMBER(SEARCH("quick case",$Q1733))),"Yes","No"))</f>
        <v/>
      </c>
      <c r="U1733" s="25">
        <f>IF($O1733="Invalid",HYPERLINK("mailto:"&amp;$G1733&amp;";"&amp;$I1733&amp;"?cc="&amp;Lists!$E$2&amp;"&amp;subject="&amp;_xlfn.ENCODEURL("[INVALID] Quality audit monitoring completed for "&amp;UPPER($C1733))&amp;"&amp;body="&amp;_xlfn.ENCODEURL("Hi "&amp;$F1733&amp;","&amp;CHAR(10)&amp;"Good day!"&amp;CHAR(10)&amp;CHAR(10)&amp;"A quality monitoring audit has been completed for "&amp;$C1733&amp;"."&amp;CHAR(10)&amp;CHAR(10)&amp;"QUALITY AUDIT DETAILS"&amp;CHAR(10)&amp;"Agent Name: "&amp;$C1733&amp;" (EID "&amp;$D1733&amp;")"&amp;CHAR(10)&amp;"Audit Date: "&amp;TEXT($B1733,"yyyy-mm-dd")&amp;CHAR(10)&amp;"Team Leader: "&amp;$F1733&amp;CHAR(10)&amp;"Case Number: "&amp;$M1733&amp;CHAR(10)&amp;"Transaction ID: "&amp;$N1733&amp;CHAR(10)&amp;"Channel / LOB: "&amp;$K1733&amp;" / "&amp;$L1733&amp;CHAR(10)&amp;"Evaluator: "&amp;$S1733&amp;CHAR(10)&amp;CHAR(10)&amp;"INVALID QUALITY AUDIT DETAILS"&amp;CHAR(10)&amp;"Validation: Invalid"&amp;CHAR(10)&amp;"Invalid Reason: "&amp;$P1733&amp;CHAR(10)&amp;"Expected Resolution Code: "&amp;$Q1733&amp;CHAR(10)&amp;"Remarks: "&amp;LEFT($R1733,600)&amp;CHAR(10)&amp;CHAR(10)&amp;"This is an automated notification from HP Mainstream EQMS."),"✉ Open Email Draft"),"")</f>
        <v/>
      </c>
    </row>
    <row r="1734">
      <c r="A1734" s="25">
        <f>IF($C1734="","","AUD-2026-"&amp;TEXT(ROW()-1,"000000"))</f>
        <v/>
      </c>
      <c r="B1734" s="26" t="n"/>
      <c r="C1734" s="27" t="n"/>
      <c r="D1734" s="25">
        <f>IF($C1734="","",IFERROR(IF(INDEX(Roster!$A:$A,MATCH($C1734,Roster!$B:$B,0))="","",INDEX(Roster!$A:$A,MATCH($C1734,Roster!$B:$B,0))&amp;""),"—"))</f>
        <v/>
      </c>
      <c r="E1734" s="25">
        <f>IF($C1734="","",IFERROR(IF(INDEX(Roster!$C:$C,MATCH($C1734,Roster!$B:$B,0))="","",INDEX(Roster!$C:$C,MATCH($C1734,Roster!$B:$B,0))&amp;""),"—"))</f>
        <v/>
      </c>
      <c r="F1734" s="25">
        <f>IF($C1734="","",IFERROR(IF(INDEX(Roster!$D:$D,MATCH($C1734,Roster!$B:$B,0))="","",INDEX(Roster!$D:$D,MATCH($C1734,Roster!$B:$B,0))&amp;""),"—"))</f>
        <v/>
      </c>
      <c r="G1734" s="25">
        <f>IF($C1734="","",IFERROR(IF(INDEX(Roster!$E:$E,MATCH($C1734,Roster!$B:$B,0))="","",INDEX(Roster!$E:$E,MATCH($C1734,Roster!$B:$B,0))&amp;""),"—"))</f>
        <v/>
      </c>
      <c r="H1734" s="25">
        <f>IF($C1734="","",IFERROR(IF(INDEX(Roster!$F:$F,MATCH($C1734,Roster!$B:$B,0))="","",INDEX(Roster!$F:$F,MATCH($C1734,Roster!$B:$B,0))&amp;""),"—"))</f>
        <v/>
      </c>
      <c r="I1734" s="25">
        <f>IF($C1734="","",IFERROR(IF(INDEX(Roster!$G:$G,MATCH($C1734,Roster!$B:$B,0))="","",INDEX(Roster!$G:$G,MATCH($C1734,Roster!$B:$B,0))&amp;""),"—"))</f>
        <v/>
      </c>
      <c r="J1734" s="25">
        <f>IF($C1734="","",IFERROR(IF(INDEX(Roster!$I:$I,MATCH($C1734,Roster!$B:$B,0))="","",INDEX(Roster!$I:$I,MATCH($C1734,Roster!$B:$B,0))&amp;""),"—"))</f>
        <v/>
      </c>
      <c r="K1734">
        <f>IF($C1734="","",IFERROR(IF(INDEX(Roster!$J:$J,MATCH($C1734,Roster!$B:$B,0))="","",INDEX(Roster!$J:$J,MATCH($C1734,Roster!$B:$B,0))&amp;""),"—"))</f>
        <v/>
      </c>
      <c r="L1734">
        <f>IF($C1734="","",IFERROR(IF(INDEX(Roster!$K:$K,MATCH($C1734,Roster!$B:$B,0))="","",INDEX(Roster!$K:$K,MATCH($C1734,Roster!$B:$B,0))&amp;""),"—"))</f>
        <v/>
      </c>
      <c r="M1734" s="27" t="n"/>
      <c r="N1734" s="27" t="n"/>
      <c r="O1734" s="25">
        <f>IF($C1734="","",IF($P1734="","—",IF($P1734="Valid (Pass)","Valid","Invalid")))</f>
        <v/>
      </c>
      <c r="P1734" s="27" t="n"/>
      <c r="Q1734" s="27" t="n"/>
      <c r="R1734" s="27" t="n"/>
      <c r="S1734" s="27" t="n"/>
      <c r="T1734" s="25">
        <f>IF($C1734="","",IF(OR(ISNUMBER(SEARCH("quick case",$P1734)),ISNUMBER(SEARCH("quick case",$Q1734))),"Yes","No"))</f>
        <v/>
      </c>
      <c r="U1734" s="25">
        <f>IF($O1734="Invalid",HYPERLINK("mailto:"&amp;$G1734&amp;";"&amp;$I1734&amp;"?cc="&amp;Lists!$E$2&amp;"&amp;subject="&amp;_xlfn.ENCODEURL("[INVALID] Quality audit monitoring completed for "&amp;UPPER($C1734))&amp;"&amp;body="&amp;_xlfn.ENCODEURL("Hi "&amp;$F1734&amp;","&amp;CHAR(10)&amp;"Good day!"&amp;CHAR(10)&amp;CHAR(10)&amp;"A quality monitoring audit has been completed for "&amp;$C1734&amp;"."&amp;CHAR(10)&amp;CHAR(10)&amp;"QUALITY AUDIT DETAILS"&amp;CHAR(10)&amp;"Agent Name: "&amp;$C1734&amp;" (EID "&amp;$D1734&amp;")"&amp;CHAR(10)&amp;"Audit Date: "&amp;TEXT($B1734,"yyyy-mm-dd")&amp;CHAR(10)&amp;"Team Leader: "&amp;$F1734&amp;CHAR(10)&amp;"Case Number: "&amp;$M1734&amp;CHAR(10)&amp;"Transaction ID: "&amp;$N1734&amp;CHAR(10)&amp;"Channel / LOB: "&amp;$K1734&amp;" / "&amp;$L1734&amp;CHAR(10)&amp;"Evaluator: "&amp;$S1734&amp;CHAR(10)&amp;CHAR(10)&amp;"INVALID QUALITY AUDIT DETAILS"&amp;CHAR(10)&amp;"Validation: Invalid"&amp;CHAR(10)&amp;"Invalid Reason: "&amp;$P1734&amp;CHAR(10)&amp;"Expected Resolution Code: "&amp;$Q1734&amp;CHAR(10)&amp;"Remarks: "&amp;LEFT($R1734,600)&amp;CHAR(10)&amp;CHAR(10)&amp;"This is an automated notification from HP Mainstream EQMS."),"✉ Open Email Draft"),"")</f>
        <v/>
      </c>
    </row>
    <row r="1735">
      <c r="A1735" s="25">
        <f>IF($C1735="","","AUD-2026-"&amp;TEXT(ROW()-1,"000000"))</f>
        <v/>
      </c>
      <c r="B1735" s="26" t="n"/>
      <c r="C1735" s="27" t="n"/>
      <c r="D1735" s="25">
        <f>IF($C1735="","",IFERROR(IF(INDEX(Roster!$A:$A,MATCH($C1735,Roster!$B:$B,0))="","",INDEX(Roster!$A:$A,MATCH($C1735,Roster!$B:$B,0))&amp;""),"—"))</f>
        <v/>
      </c>
      <c r="E1735" s="25">
        <f>IF($C1735="","",IFERROR(IF(INDEX(Roster!$C:$C,MATCH($C1735,Roster!$B:$B,0))="","",INDEX(Roster!$C:$C,MATCH($C1735,Roster!$B:$B,0))&amp;""),"—"))</f>
        <v/>
      </c>
      <c r="F1735" s="25">
        <f>IF($C1735="","",IFERROR(IF(INDEX(Roster!$D:$D,MATCH($C1735,Roster!$B:$B,0))="","",INDEX(Roster!$D:$D,MATCH($C1735,Roster!$B:$B,0))&amp;""),"—"))</f>
        <v/>
      </c>
      <c r="G1735" s="25">
        <f>IF($C1735="","",IFERROR(IF(INDEX(Roster!$E:$E,MATCH($C1735,Roster!$B:$B,0))="","",INDEX(Roster!$E:$E,MATCH($C1735,Roster!$B:$B,0))&amp;""),"—"))</f>
        <v/>
      </c>
      <c r="H1735" s="25">
        <f>IF($C1735="","",IFERROR(IF(INDEX(Roster!$F:$F,MATCH($C1735,Roster!$B:$B,0))="","",INDEX(Roster!$F:$F,MATCH($C1735,Roster!$B:$B,0))&amp;""),"—"))</f>
        <v/>
      </c>
      <c r="I1735" s="25">
        <f>IF($C1735="","",IFERROR(IF(INDEX(Roster!$G:$G,MATCH($C1735,Roster!$B:$B,0))="","",INDEX(Roster!$G:$G,MATCH($C1735,Roster!$B:$B,0))&amp;""),"—"))</f>
        <v/>
      </c>
      <c r="J1735" s="25">
        <f>IF($C1735="","",IFERROR(IF(INDEX(Roster!$I:$I,MATCH($C1735,Roster!$B:$B,0))="","",INDEX(Roster!$I:$I,MATCH($C1735,Roster!$B:$B,0))&amp;""),"—"))</f>
        <v/>
      </c>
      <c r="K1735">
        <f>IF($C1735="","",IFERROR(IF(INDEX(Roster!$J:$J,MATCH($C1735,Roster!$B:$B,0))="","",INDEX(Roster!$J:$J,MATCH($C1735,Roster!$B:$B,0))&amp;""),"—"))</f>
        <v/>
      </c>
      <c r="L1735">
        <f>IF($C1735="","",IFERROR(IF(INDEX(Roster!$K:$K,MATCH($C1735,Roster!$B:$B,0))="","",INDEX(Roster!$K:$K,MATCH($C1735,Roster!$B:$B,0))&amp;""),"—"))</f>
        <v/>
      </c>
      <c r="M1735" s="27" t="n"/>
      <c r="N1735" s="27" t="n"/>
      <c r="O1735" s="25">
        <f>IF($C1735="","",IF($P1735="","—",IF($P1735="Valid (Pass)","Valid","Invalid")))</f>
        <v/>
      </c>
      <c r="P1735" s="27" t="n"/>
      <c r="Q1735" s="27" t="n"/>
      <c r="R1735" s="27" t="n"/>
      <c r="S1735" s="27" t="n"/>
      <c r="T1735" s="25">
        <f>IF($C1735="","",IF(OR(ISNUMBER(SEARCH("quick case",$P1735)),ISNUMBER(SEARCH("quick case",$Q1735))),"Yes","No"))</f>
        <v/>
      </c>
      <c r="U1735" s="25">
        <f>IF($O1735="Invalid",HYPERLINK("mailto:"&amp;$G1735&amp;";"&amp;$I1735&amp;"?cc="&amp;Lists!$E$2&amp;"&amp;subject="&amp;_xlfn.ENCODEURL("[INVALID] Quality audit monitoring completed for "&amp;UPPER($C1735))&amp;"&amp;body="&amp;_xlfn.ENCODEURL("Hi "&amp;$F1735&amp;","&amp;CHAR(10)&amp;"Good day!"&amp;CHAR(10)&amp;CHAR(10)&amp;"A quality monitoring audit has been completed for "&amp;$C1735&amp;"."&amp;CHAR(10)&amp;CHAR(10)&amp;"QUALITY AUDIT DETAILS"&amp;CHAR(10)&amp;"Agent Name: "&amp;$C1735&amp;" (EID "&amp;$D1735&amp;")"&amp;CHAR(10)&amp;"Audit Date: "&amp;TEXT($B1735,"yyyy-mm-dd")&amp;CHAR(10)&amp;"Team Leader: "&amp;$F1735&amp;CHAR(10)&amp;"Case Number: "&amp;$M1735&amp;CHAR(10)&amp;"Transaction ID: "&amp;$N1735&amp;CHAR(10)&amp;"Channel / LOB: "&amp;$K1735&amp;" / "&amp;$L1735&amp;CHAR(10)&amp;"Evaluator: "&amp;$S1735&amp;CHAR(10)&amp;CHAR(10)&amp;"INVALID QUALITY AUDIT DETAILS"&amp;CHAR(10)&amp;"Validation: Invalid"&amp;CHAR(10)&amp;"Invalid Reason: "&amp;$P1735&amp;CHAR(10)&amp;"Expected Resolution Code: "&amp;$Q1735&amp;CHAR(10)&amp;"Remarks: "&amp;LEFT($R1735,600)&amp;CHAR(10)&amp;CHAR(10)&amp;"This is an automated notification from HP Mainstream EQMS."),"✉ Open Email Draft"),"")</f>
        <v/>
      </c>
    </row>
    <row r="1736">
      <c r="A1736" s="25">
        <f>IF($C1736="","","AUD-2026-"&amp;TEXT(ROW()-1,"000000"))</f>
        <v/>
      </c>
      <c r="B1736" s="26" t="n"/>
      <c r="C1736" s="27" t="n"/>
      <c r="D1736" s="25">
        <f>IF($C1736="","",IFERROR(IF(INDEX(Roster!$A:$A,MATCH($C1736,Roster!$B:$B,0))="","",INDEX(Roster!$A:$A,MATCH($C1736,Roster!$B:$B,0))&amp;""),"—"))</f>
        <v/>
      </c>
      <c r="E1736" s="25">
        <f>IF($C1736="","",IFERROR(IF(INDEX(Roster!$C:$C,MATCH($C1736,Roster!$B:$B,0))="","",INDEX(Roster!$C:$C,MATCH($C1736,Roster!$B:$B,0))&amp;""),"—"))</f>
        <v/>
      </c>
      <c r="F1736" s="25">
        <f>IF($C1736="","",IFERROR(IF(INDEX(Roster!$D:$D,MATCH($C1736,Roster!$B:$B,0))="","",INDEX(Roster!$D:$D,MATCH($C1736,Roster!$B:$B,0))&amp;""),"—"))</f>
        <v/>
      </c>
      <c r="G1736" s="25">
        <f>IF($C1736="","",IFERROR(IF(INDEX(Roster!$E:$E,MATCH($C1736,Roster!$B:$B,0))="","",INDEX(Roster!$E:$E,MATCH($C1736,Roster!$B:$B,0))&amp;""),"—"))</f>
        <v/>
      </c>
      <c r="H1736" s="25">
        <f>IF($C1736="","",IFERROR(IF(INDEX(Roster!$F:$F,MATCH($C1736,Roster!$B:$B,0))="","",INDEX(Roster!$F:$F,MATCH($C1736,Roster!$B:$B,0))&amp;""),"—"))</f>
        <v/>
      </c>
      <c r="I1736" s="25">
        <f>IF($C1736="","",IFERROR(IF(INDEX(Roster!$G:$G,MATCH($C1736,Roster!$B:$B,0))="","",INDEX(Roster!$G:$G,MATCH($C1736,Roster!$B:$B,0))&amp;""),"—"))</f>
        <v/>
      </c>
      <c r="J1736" s="25">
        <f>IF($C1736="","",IFERROR(IF(INDEX(Roster!$I:$I,MATCH($C1736,Roster!$B:$B,0))="","",INDEX(Roster!$I:$I,MATCH($C1736,Roster!$B:$B,0))&amp;""),"—"))</f>
        <v/>
      </c>
      <c r="K1736">
        <f>IF($C1736="","",IFERROR(IF(INDEX(Roster!$J:$J,MATCH($C1736,Roster!$B:$B,0))="","",INDEX(Roster!$J:$J,MATCH($C1736,Roster!$B:$B,0))&amp;""),"—"))</f>
        <v/>
      </c>
      <c r="L1736">
        <f>IF($C1736="","",IFERROR(IF(INDEX(Roster!$K:$K,MATCH($C1736,Roster!$B:$B,0))="","",INDEX(Roster!$K:$K,MATCH($C1736,Roster!$B:$B,0))&amp;""),"—"))</f>
        <v/>
      </c>
      <c r="M1736" s="27" t="n"/>
      <c r="N1736" s="27" t="n"/>
      <c r="O1736" s="25">
        <f>IF($C1736="","",IF($P1736="","—",IF($P1736="Valid (Pass)","Valid","Invalid")))</f>
        <v/>
      </c>
      <c r="P1736" s="27" t="n"/>
      <c r="Q1736" s="27" t="n"/>
      <c r="R1736" s="27" t="n"/>
      <c r="S1736" s="27" t="n"/>
      <c r="T1736" s="25">
        <f>IF($C1736="","",IF(OR(ISNUMBER(SEARCH("quick case",$P1736)),ISNUMBER(SEARCH("quick case",$Q1736))),"Yes","No"))</f>
        <v/>
      </c>
      <c r="U1736" s="25">
        <f>IF($O1736="Invalid",HYPERLINK("mailto:"&amp;$G1736&amp;";"&amp;$I1736&amp;"?cc="&amp;Lists!$E$2&amp;"&amp;subject="&amp;_xlfn.ENCODEURL("[INVALID] Quality audit monitoring completed for "&amp;UPPER($C1736))&amp;"&amp;body="&amp;_xlfn.ENCODEURL("Hi "&amp;$F1736&amp;","&amp;CHAR(10)&amp;"Good day!"&amp;CHAR(10)&amp;CHAR(10)&amp;"A quality monitoring audit has been completed for "&amp;$C1736&amp;"."&amp;CHAR(10)&amp;CHAR(10)&amp;"QUALITY AUDIT DETAILS"&amp;CHAR(10)&amp;"Agent Name: "&amp;$C1736&amp;" (EID "&amp;$D1736&amp;")"&amp;CHAR(10)&amp;"Audit Date: "&amp;TEXT($B1736,"yyyy-mm-dd")&amp;CHAR(10)&amp;"Team Leader: "&amp;$F1736&amp;CHAR(10)&amp;"Case Number: "&amp;$M1736&amp;CHAR(10)&amp;"Transaction ID: "&amp;$N1736&amp;CHAR(10)&amp;"Channel / LOB: "&amp;$K1736&amp;" / "&amp;$L1736&amp;CHAR(10)&amp;"Evaluator: "&amp;$S1736&amp;CHAR(10)&amp;CHAR(10)&amp;"INVALID QUALITY AUDIT DETAILS"&amp;CHAR(10)&amp;"Validation: Invalid"&amp;CHAR(10)&amp;"Invalid Reason: "&amp;$P1736&amp;CHAR(10)&amp;"Expected Resolution Code: "&amp;$Q1736&amp;CHAR(10)&amp;"Remarks: "&amp;LEFT($R1736,600)&amp;CHAR(10)&amp;CHAR(10)&amp;"This is an automated notification from HP Mainstream EQMS."),"✉ Open Email Draft"),"")</f>
        <v/>
      </c>
    </row>
    <row r="1737">
      <c r="A1737" s="25">
        <f>IF($C1737="","","AUD-2026-"&amp;TEXT(ROW()-1,"000000"))</f>
        <v/>
      </c>
      <c r="B1737" s="26" t="n"/>
      <c r="C1737" s="27" t="n"/>
      <c r="D1737" s="25">
        <f>IF($C1737="","",IFERROR(IF(INDEX(Roster!$A:$A,MATCH($C1737,Roster!$B:$B,0))="","",INDEX(Roster!$A:$A,MATCH($C1737,Roster!$B:$B,0))&amp;""),"—"))</f>
        <v/>
      </c>
      <c r="E1737" s="25">
        <f>IF($C1737="","",IFERROR(IF(INDEX(Roster!$C:$C,MATCH($C1737,Roster!$B:$B,0))="","",INDEX(Roster!$C:$C,MATCH($C1737,Roster!$B:$B,0))&amp;""),"—"))</f>
        <v/>
      </c>
      <c r="F1737" s="25">
        <f>IF($C1737="","",IFERROR(IF(INDEX(Roster!$D:$D,MATCH($C1737,Roster!$B:$B,0))="","",INDEX(Roster!$D:$D,MATCH($C1737,Roster!$B:$B,0))&amp;""),"—"))</f>
        <v/>
      </c>
      <c r="G1737" s="25">
        <f>IF($C1737="","",IFERROR(IF(INDEX(Roster!$E:$E,MATCH($C1737,Roster!$B:$B,0))="","",INDEX(Roster!$E:$E,MATCH($C1737,Roster!$B:$B,0))&amp;""),"—"))</f>
        <v/>
      </c>
      <c r="H1737" s="25">
        <f>IF($C1737="","",IFERROR(IF(INDEX(Roster!$F:$F,MATCH($C1737,Roster!$B:$B,0))="","",INDEX(Roster!$F:$F,MATCH($C1737,Roster!$B:$B,0))&amp;""),"—"))</f>
        <v/>
      </c>
      <c r="I1737" s="25">
        <f>IF($C1737="","",IFERROR(IF(INDEX(Roster!$G:$G,MATCH($C1737,Roster!$B:$B,0))="","",INDEX(Roster!$G:$G,MATCH($C1737,Roster!$B:$B,0))&amp;""),"—"))</f>
        <v/>
      </c>
      <c r="J1737" s="25">
        <f>IF($C1737="","",IFERROR(IF(INDEX(Roster!$I:$I,MATCH($C1737,Roster!$B:$B,0))="","",INDEX(Roster!$I:$I,MATCH($C1737,Roster!$B:$B,0))&amp;""),"—"))</f>
        <v/>
      </c>
      <c r="K1737">
        <f>IF($C1737="","",IFERROR(IF(INDEX(Roster!$J:$J,MATCH($C1737,Roster!$B:$B,0))="","",INDEX(Roster!$J:$J,MATCH($C1737,Roster!$B:$B,0))&amp;""),"—"))</f>
        <v/>
      </c>
      <c r="L1737">
        <f>IF($C1737="","",IFERROR(IF(INDEX(Roster!$K:$K,MATCH($C1737,Roster!$B:$B,0))="","",INDEX(Roster!$K:$K,MATCH($C1737,Roster!$B:$B,0))&amp;""),"—"))</f>
        <v/>
      </c>
      <c r="M1737" s="27" t="n"/>
      <c r="N1737" s="27" t="n"/>
      <c r="O1737" s="25">
        <f>IF($C1737="","",IF($P1737="","—",IF($P1737="Valid (Pass)","Valid","Invalid")))</f>
        <v/>
      </c>
      <c r="P1737" s="27" t="n"/>
      <c r="Q1737" s="27" t="n"/>
      <c r="R1737" s="27" t="n"/>
      <c r="S1737" s="27" t="n"/>
      <c r="T1737" s="25">
        <f>IF($C1737="","",IF(OR(ISNUMBER(SEARCH("quick case",$P1737)),ISNUMBER(SEARCH("quick case",$Q1737))),"Yes","No"))</f>
        <v/>
      </c>
      <c r="U1737" s="25">
        <f>IF($O1737="Invalid",HYPERLINK("mailto:"&amp;$G1737&amp;";"&amp;$I1737&amp;"?cc="&amp;Lists!$E$2&amp;"&amp;subject="&amp;_xlfn.ENCODEURL("[INVALID] Quality audit monitoring completed for "&amp;UPPER($C1737))&amp;"&amp;body="&amp;_xlfn.ENCODEURL("Hi "&amp;$F1737&amp;","&amp;CHAR(10)&amp;"Good day!"&amp;CHAR(10)&amp;CHAR(10)&amp;"A quality monitoring audit has been completed for "&amp;$C1737&amp;"."&amp;CHAR(10)&amp;CHAR(10)&amp;"QUALITY AUDIT DETAILS"&amp;CHAR(10)&amp;"Agent Name: "&amp;$C1737&amp;" (EID "&amp;$D1737&amp;")"&amp;CHAR(10)&amp;"Audit Date: "&amp;TEXT($B1737,"yyyy-mm-dd")&amp;CHAR(10)&amp;"Team Leader: "&amp;$F1737&amp;CHAR(10)&amp;"Case Number: "&amp;$M1737&amp;CHAR(10)&amp;"Transaction ID: "&amp;$N1737&amp;CHAR(10)&amp;"Channel / LOB: "&amp;$K1737&amp;" / "&amp;$L1737&amp;CHAR(10)&amp;"Evaluator: "&amp;$S1737&amp;CHAR(10)&amp;CHAR(10)&amp;"INVALID QUALITY AUDIT DETAILS"&amp;CHAR(10)&amp;"Validation: Invalid"&amp;CHAR(10)&amp;"Invalid Reason: "&amp;$P1737&amp;CHAR(10)&amp;"Expected Resolution Code: "&amp;$Q1737&amp;CHAR(10)&amp;"Remarks: "&amp;LEFT($R1737,600)&amp;CHAR(10)&amp;CHAR(10)&amp;"This is an automated notification from HP Mainstream EQMS."),"✉ Open Email Draft"),"")</f>
        <v/>
      </c>
    </row>
    <row r="1738">
      <c r="A1738" s="25">
        <f>IF($C1738="","","AUD-2026-"&amp;TEXT(ROW()-1,"000000"))</f>
        <v/>
      </c>
      <c r="B1738" s="26" t="n"/>
      <c r="C1738" s="27" t="n"/>
      <c r="D1738" s="25">
        <f>IF($C1738="","",IFERROR(IF(INDEX(Roster!$A:$A,MATCH($C1738,Roster!$B:$B,0))="","",INDEX(Roster!$A:$A,MATCH($C1738,Roster!$B:$B,0))&amp;""),"—"))</f>
        <v/>
      </c>
      <c r="E1738" s="25">
        <f>IF($C1738="","",IFERROR(IF(INDEX(Roster!$C:$C,MATCH($C1738,Roster!$B:$B,0))="","",INDEX(Roster!$C:$C,MATCH($C1738,Roster!$B:$B,0))&amp;""),"—"))</f>
        <v/>
      </c>
      <c r="F1738" s="25">
        <f>IF($C1738="","",IFERROR(IF(INDEX(Roster!$D:$D,MATCH($C1738,Roster!$B:$B,0))="","",INDEX(Roster!$D:$D,MATCH($C1738,Roster!$B:$B,0))&amp;""),"—"))</f>
        <v/>
      </c>
      <c r="G1738" s="25">
        <f>IF($C1738="","",IFERROR(IF(INDEX(Roster!$E:$E,MATCH($C1738,Roster!$B:$B,0))="","",INDEX(Roster!$E:$E,MATCH($C1738,Roster!$B:$B,0))&amp;""),"—"))</f>
        <v/>
      </c>
      <c r="H1738" s="25">
        <f>IF($C1738="","",IFERROR(IF(INDEX(Roster!$F:$F,MATCH($C1738,Roster!$B:$B,0))="","",INDEX(Roster!$F:$F,MATCH($C1738,Roster!$B:$B,0))&amp;""),"—"))</f>
        <v/>
      </c>
      <c r="I1738" s="25">
        <f>IF($C1738="","",IFERROR(IF(INDEX(Roster!$G:$G,MATCH($C1738,Roster!$B:$B,0))="","",INDEX(Roster!$G:$G,MATCH($C1738,Roster!$B:$B,0))&amp;""),"—"))</f>
        <v/>
      </c>
      <c r="J1738" s="25">
        <f>IF($C1738="","",IFERROR(IF(INDEX(Roster!$I:$I,MATCH($C1738,Roster!$B:$B,0))="","",INDEX(Roster!$I:$I,MATCH($C1738,Roster!$B:$B,0))&amp;""),"—"))</f>
        <v/>
      </c>
      <c r="K1738">
        <f>IF($C1738="","",IFERROR(IF(INDEX(Roster!$J:$J,MATCH($C1738,Roster!$B:$B,0))="","",INDEX(Roster!$J:$J,MATCH($C1738,Roster!$B:$B,0))&amp;""),"—"))</f>
        <v/>
      </c>
      <c r="L1738">
        <f>IF($C1738="","",IFERROR(IF(INDEX(Roster!$K:$K,MATCH($C1738,Roster!$B:$B,0))="","",INDEX(Roster!$K:$K,MATCH($C1738,Roster!$B:$B,0))&amp;""),"—"))</f>
        <v/>
      </c>
      <c r="M1738" s="27" t="n"/>
      <c r="N1738" s="27" t="n"/>
      <c r="O1738" s="25">
        <f>IF($C1738="","",IF($P1738="","—",IF($P1738="Valid (Pass)","Valid","Invalid")))</f>
        <v/>
      </c>
      <c r="P1738" s="27" t="n"/>
      <c r="Q1738" s="27" t="n"/>
      <c r="R1738" s="27" t="n"/>
      <c r="S1738" s="27" t="n"/>
      <c r="T1738" s="25">
        <f>IF($C1738="","",IF(OR(ISNUMBER(SEARCH("quick case",$P1738)),ISNUMBER(SEARCH("quick case",$Q1738))),"Yes","No"))</f>
        <v/>
      </c>
      <c r="U1738" s="25">
        <f>IF($O1738="Invalid",HYPERLINK("mailto:"&amp;$G1738&amp;";"&amp;$I1738&amp;"?cc="&amp;Lists!$E$2&amp;"&amp;subject="&amp;_xlfn.ENCODEURL("[INVALID] Quality audit monitoring completed for "&amp;UPPER($C1738))&amp;"&amp;body="&amp;_xlfn.ENCODEURL("Hi "&amp;$F1738&amp;","&amp;CHAR(10)&amp;"Good day!"&amp;CHAR(10)&amp;CHAR(10)&amp;"A quality monitoring audit has been completed for "&amp;$C1738&amp;"."&amp;CHAR(10)&amp;CHAR(10)&amp;"QUALITY AUDIT DETAILS"&amp;CHAR(10)&amp;"Agent Name: "&amp;$C1738&amp;" (EID "&amp;$D1738&amp;")"&amp;CHAR(10)&amp;"Audit Date: "&amp;TEXT($B1738,"yyyy-mm-dd")&amp;CHAR(10)&amp;"Team Leader: "&amp;$F1738&amp;CHAR(10)&amp;"Case Number: "&amp;$M1738&amp;CHAR(10)&amp;"Transaction ID: "&amp;$N1738&amp;CHAR(10)&amp;"Channel / LOB: "&amp;$K1738&amp;" / "&amp;$L1738&amp;CHAR(10)&amp;"Evaluator: "&amp;$S1738&amp;CHAR(10)&amp;CHAR(10)&amp;"INVALID QUALITY AUDIT DETAILS"&amp;CHAR(10)&amp;"Validation: Invalid"&amp;CHAR(10)&amp;"Invalid Reason: "&amp;$P1738&amp;CHAR(10)&amp;"Expected Resolution Code: "&amp;$Q1738&amp;CHAR(10)&amp;"Remarks: "&amp;LEFT($R1738,600)&amp;CHAR(10)&amp;CHAR(10)&amp;"This is an automated notification from HP Mainstream EQMS."),"✉ Open Email Draft"),"")</f>
        <v/>
      </c>
    </row>
    <row r="1739">
      <c r="A1739" s="25">
        <f>IF($C1739="","","AUD-2026-"&amp;TEXT(ROW()-1,"000000"))</f>
        <v/>
      </c>
      <c r="B1739" s="26" t="n"/>
      <c r="C1739" s="27" t="n"/>
      <c r="D1739" s="25">
        <f>IF($C1739="","",IFERROR(IF(INDEX(Roster!$A:$A,MATCH($C1739,Roster!$B:$B,0))="","",INDEX(Roster!$A:$A,MATCH($C1739,Roster!$B:$B,0))&amp;""),"—"))</f>
        <v/>
      </c>
      <c r="E1739" s="25">
        <f>IF($C1739="","",IFERROR(IF(INDEX(Roster!$C:$C,MATCH($C1739,Roster!$B:$B,0))="","",INDEX(Roster!$C:$C,MATCH($C1739,Roster!$B:$B,0))&amp;""),"—"))</f>
        <v/>
      </c>
      <c r="F1739" s="25">
        <f>IF($C1739="","",IFERROR(IF(INDEX(Roster!$D:$D,MATCH($C1739,Roster!$B:$B,0))="","",INDEX(Roster!$D:$D,MATCH($C1739,Roster!$B:$B,0))&amp;""),"—"))</f>
        <v/>
      </c>
      <c r="G1739" s="25">
        <f>IF($C1739="","",IFERROR(IF(INDEX(Roster!$E:$E,MATCH($C1739,Roster!$B:$B,0))="","",INDEX(Roster!$E:$E,MATCH($C1739,Roster!$B:$B,0))&amp;""),"—"))</f>
        <v/>
      </c>
      <c r="H1739" s="25">
        <f>IF($C1739="","",IFERROR(IF(INDEX(Roster!$F:$F,MATCH($C1739,Roster!$B:$B,0))="","",INDEX(Roster!$F:$F,MATCH($C1739,Roster!$B:$B,0))&amp;""),"—"))</f>
        <v/>
      </c>
      <c r="I1739" s="25">
        <f>IF($C1739="","",IFERROR(IF(INDEX(Roster!$G:$G,MATCH($C1739,Roster!$B:$B,0))="","",INDEX(Roster!$G:$G,MATCH($C1739,Roster!$B:$B,0))&amp;""),"—"))</f>
        <v/>
      </c>
      <c r="J1739" s="25">
        <f>IF($C1739="","",IFERROR(IF(INDEX(Roster!$I:$I,MATCH($C1739,Roster!$B:$B,0))="","",INDEX(Roster!$I:$I,MATCH($C1739,Roster!$B:$B,0))&amp;""),"—"))</f>
        <v/>
      </c>
      <c r="K1739">
        <f>IF($C1739="","",IFERROR(IF(INDEX(Roster!$J:$J,MATCH($C1739,Roster!$B:$B,0))="","",INDEX(Roster!$J:$J,MATCH($C1739,Roster!$B:$B,0))&amp;""),"—"))</f>
        <v/>
      </c>
      <c r="L1739">
        <f>IF($C1739="","",IFERROR(IF(INDEX(Roster!$K:$K,MATCH($C1739,Roster!$B:$B,0))="","",INDEX(Roster!$K:$K,MATCH($C1739,Roster!$B:$B,0))&amp;""),"—"))</f>
        <v/>
      </c>
      <c r="M1739" s="27" t="n"/>
      <c r="N1739" s="27" t="n"/>
      <c r="O1739" s="25">
        <f>IF($C1739="","",IF($P1739="","—",IF($P1739="Valid (Pass)","Valid","Invalid")))</f>
        <v/>
      </c>
      <c r="P1739" s="27" t="n"/>
      <c r="Q1739" s="27" t="n"/>
      <c r="R1739" s="27" t="n"/>
      <c r="S1739" s="27" t="n"/>
      <c r="T1739" s="25">
        <f>IF($C1739="","",IF(OR(ISNUMBER(SEARCH("quick case",$P1739)),ISNUMBER(SEARCH("quick case",$Q1739))),"Yes","No"))</f>
        <v/>
      </c>
      <c r="U1739" s="25">
        <f>IF($O1739="Invalid",HYPERLINK("mailto:"&amp;$G1739&amp;";"&amp;$I1739&amp;"?cc="&amp;Lists!$E$2&amp;"&amp;subject="&amp;_xlfn.ENCODEURL("[INVALID] Quality audit monitoring completed for "&amp;UPPER($C1739))&amp;"&amp;body="&amp;_xlfn.ENCODEURL("Hi "&amp;$F1739&amp;","&amp;CHAR(10)&amp;"Good day!"&amp;CHAR(10)&amp;CHAR(10)&amp;"A quality monitoring audit has been completed for "&amp;$C1739&amp;"."&amp;CHAR(10)&amp;CHAR(10)&amp;"QUALITY AUDIT DETAILS"&amp;CHAR(10)&amp;"Agent Name: "&amp;$C1739&amp;" (EID "&amp;$D1739&amp;")"&amp;CHAR(10)&amp;"Audit Date: "&amp;TEXT($B1739,"yyyy-mm-dd")&amp;CHAR(10)&amp;"Team Leader: "&amp;$F1739&amp;CHAR(10)&amp;"Case Number: "&amp;$M1739&amp;CHAR(10)&amp;"Transaction ID: "&amp;$N1739&amp;CHAR(10)&amp;"Channel / LOB: "&amp;$K1739&amp;" / "&amp;$L1739&amp;CHAR(10)&amp;"Evaluator: "&amp;$S1739&amp;CHAR(10)&amp;CHAR(10)&amp;"INVALID QUALITY AUDIT DETAILS"&amp;CHAR(10)&amp;"Validation: Invalid"&amp;CHAR(10)&amp;"Invalid Reason: "&amp;$P1739&amp;CHAR(10)&amp;"Expected Resolution Code: "&amp;$Q1739&amp;CHAR(10)&amp;"Remarks: "&amp;LEFT($R1739,600)&amp;CHAR(10)&amp;CHAR(10)&amp;"This is an automated notification from HP Mainstream EQMS."),"✉ Open Email Draft"),"")</f>
        <v/>
      </c>
    </row>
    <row r="1740">
      <c r="A1740" s="25">
        <f>IF($C1740="","","AUD-2026-"&amp;TEXT(ROW()-1,"000000"))</f>
        <v/>
      </c>
      <c r="B1740" s="26" t="n"/>
      <c r="C1740" s="27" t="n"/>
      <c r="D1740" s="25">
        <f>IF($C1740="","",IFERROR(IF(INDEX(Roster!$A:$A,MATCH($C1740,Roster!$B:$B,0))="","",INDEX(Roster!$A:$A,MATCH($C1740,Roster!$B:$B,0))&amp;""),"—"))</f>
        <v/>
      </c>
      <c r="E1740" s="25">
        <f>IF($C1740="","",IFERROR(IF(INDEX(Roster!$C:$C,MATCH($C1740,Roster!$B:$B,0))="","",INDEX(Roster!$C:$C,MATCH($C1740,Roster!$B:$B,0))&amp;""),"—"))</f>
        <v/>
      </c>
      <c r="F1740" s="25">
        <f>IF($C1740="","",IFERROR(IF(INDEX(Roster!$D:$D,MATCH($C1740,Roster!$B:$B,0))="","",INDEX(Roster!$D:$D,MATCH($C1740,Roster!$B:$B,0))&amp;""),"—"))</f>
        <v/>
      </c>
      <c r="G1740" s="25">
        <f>IF($C1740="","",IFERROR(IF(INDEX(Roster!$E:$E,MATCH($C1740,Roster!$B:$B,0))="","",INDEX(Roster!$E:$E,MATCH($C1740,Roster!$B:$B,0))&amp;""),"—"))</f>
        <v/>
      </c>
      <c r="H1740" s="25">
        <f>IF($C1740="","",IFERROR(IF(INDEX(Roster!$F:$F,MATCH($C1740,Roster!$B:$B,0))="","",INDEX(Roster!$F:$F,MATCH($C1740,Roster!$B:$B,0))&amp;""),"—"))</f>
        <v/>
      </c>
      <c r="I1740" s="25">
        <f>IF($C1740="","",IFERROR(IF(INDEX(Roster!$G:$G,MATCH($C1740,Roster!$B:$B,0))="","",INDEX(Roster!$G:$G,MATCH($C1740,Roster!$B:$B,0))&amp;""),"—"))</f>
        <v/>
      </c>
      <c r="J1740" s="25">
        <f>IF($C1740="","",IFERROR(IF(INDEX(Roster!$I:$I,MATCH($C1740,Roster!$B:$B,0))="","",INDEX(Roster!$I:$I,MATCH($C1740,Roster!$B:$B,0))&amp;""),"—"))</f>
        <v/>
      </c>
      <c r="K1740">
        <f>IF($C1740="","",IFERROR(IF(INDEX(Roster!$J:$J,MATCH($C1740,Roster!$B:$B,0))="","",INDEX(Roster!$J:$J,MATCH($C1740,Roster!$B:$B,0))&amp;""),"—"))</f>
        <v/>
      </c>
      <c r="L1740">
        <f>IF($C1740="","",IFERROR(IF(INDEX(Roster!$K:$K,MATCH($C1740,Roster!$B:$B,0))="","",INDEX(Roster!$K:$K,MATCH($C1740,Roster!$B:$B,0))&amp;""),"—"))</f>
        <v/>
      </c>
      <c r="M1740" s="27" t="n"/>
      <c r="N1740" s="27" t="n"/>
      <c r="O1740" s="25">
        <f>IF($C1740="","",IF($P1740="","—",IF($P1740="Valid (Pass)","Valid","Invalid")))</f>
        <v/>
      </c>
      <c r="P1740" s="27" t="n"/>
      <c r="Q1740" s="27" t="n"/>
      <c r="R1740" s="27" t="n"/>
      <c r="S1740" s="27" t="n"/>
      <c r="T1740" s="25">
        <f>IF($C1740="","",IF(OR(ISNUMBER(SEARCH("quick case",$P1740)),ISNUMBER(SEARCH("quick case",$Q1740))),"Yes","No"))</f>
        <v/>
      </c>
      <c r="U1740" s="25">
        <f>IF($O1740="Invalid",HYPERLINK("mailto:"&amp;$G1740&amp;";"&amp;$I1740&amp;"?cc="&amp;Lists!$E$2&amp;"&amp;subject="&amp;_xlfn.ENCODEURL("[INVALID] Quality audit monitoring completed for "&amp;UPPER($C1740))&amp;"&amp;body="&amp;_xlfn.ENCODEURL("Hi "&amp;$F1740&amp;","&amp;CHAR(10)&amp;"Good day!"&amp;CHAR(10)&amp;CHAR(10)&amp;"A quality monitoring audit has been completed for "&amp;$C1740&amp;"."&amp;CHAR(10)&amp;CHAR(10)&amp;"QUALITY AUDIT DETAILS"&amp;CHAR(10)&amp;"Agent Name: "&amp;$C1740&amp;" (EID "&amp;$D1740&amp;")"&amp;CHAR(10)&amp;"Audit Date: "&amp;TEXT($B1740,"yyyy-mm-dd")&amp;CHAR(10)&amp;"Team Leader: "&amp;$F1740&amp;CHAR(10)&amp;"Case Number: "&amp;$M1740&amp;CHAR(10)&amp;"Transaction ID: "&amp;$N1740&amp;CHAR(10)&amp;"Channel / LOB: "&amp;$K1740&amp;" / "&amp;$L1740&amp;CHAR(10)&amp;"Evaluator: "&amp;$S1740&amp;CHAR(10)&amp;CHAR(10)&amp;"INVALID QUALITY AUDIT DETAILS"&amp;CHAR(10)&amp;"Validation: Invalid"&amp;CHAR(10)&amp;"Invalid Reason: "&amp;$P1740&amp;CHAR(10)&amp;"Expected Resolution Code: "&amp;$Q1740&amp;CHAR(10)&amp;"Remarks: "&amp;LEFT($R1740,600)&amp;CHAR(10)&amp;CHAR(10)&amp;"This is an automated notification from HP Mainstream EQMS."),"✉ Open Email Draft"),"")</f>
        <v/>
      </c>
    </row>
    <row r="1741">
      <c r="A1741" s="25">
        <f>IF($C1741="","","AUD-2026-"&amp;TEXT(ROW()-1,"000000"))</f>
        <v/>
      </c>
      <c r="B1741" s="26" t="n"/>
      <c r="C1741" s="27" t="n"/>
      <c r="D1741" s="25">
        <f>IF($C1741="","",IFERROR(IF(INDEX(Roster!$A:$A,MATCH($C1741,Roster!$B:$B,0))="","",INDEX(Roster!$A:$A,MATCH($C1741,Roster!$B:$B,0))&amp;""),"—"))</f>
        <v/>
      </c>
      <c r="E1741" s="25">
        <f>IF($C1741="","",IFERROR(IF(INDEX(Roster!$C:$C,MATCH($C1741,Roster!$B:$B,0))="","",INDEX(Roster!$C:$C,MATCH($C1741,Roster!$B:$B,0))&amp;""),"—"))</f>
        <v/>
      </c>
      <c r="F1741" s="25">
        <f>IF($C1741="","",IFERROR(IF(INDEX(Roster!$D:$D,MATCH($C1741,Roster!$B:$B,0))="","",INDEX(Roster!$D:$D,MATCH($C1741,Roster!$B:$B,0))&amp;""),"—"))</f>
        <v/>
      </c>
      <c r="G1741" s="25">
        <f>IF($C1741="","",IFERROR(IF(INDEX(Roster!$E:$E,MATCH($C1741,Roster!$B:$B,0))="","",INDEX(Roster!$E:$E,MATCH($C1741,Roster!$B:$B,0))&amp;""),"—"))</f>
        <v/>
      </c>
      <c r="H1741" s="25">
        <f>IF($C1741="","",IFERROR(IF(INDEX(Roster!$F:$F,MATCH($C1741,Roster!$B:$B,0))="","",INDEX(Roster!$F:$F,MATCH($C1741,Roster!$B:$B,0))&amp;""),"—"))</f>
        <v/>
      </c>
      <c r="I1741" s="25">
        <f>IF($C1741="","",IFERROR(IF(INDEX(Roster!$G:$G,MATCH($C1741,Roster!$B:$B,0))="","",INDEX(Roster!$G:$G,MATCH($C1741,Roster!$B:$B,0))&amp;""),"—"))</f>
        <v/>
      </c>
      <c r="J1741" s="25">
        <f>IF($C1741="","",IFERROR(IF(INDEX(Roster!$I:$I,MATCH($C1741,Roster!$B:$B,0))="","",INDEX(Roster!$I:$I,MATCH($C1741,Roster!$B:$B,0))&amp;""),"—"))</f>
        <v/>
      </c>
      <c r="K1741">
        <f>IF($C1741="","",IFERROR(IF(INDEX(Roster!$J:$J,MATCH($C1741,Roster!$B:$B,0))="","",INDEX(Roster!$J:$J,MATCH($C1741,Roster!$B:$B,0))&amp;""),"—"))</f>
        <v/>
      </c>
      <c r="L1741">
        <f>IF($C1741="","",IFERROR(IF(INDEX(Roster!$K:$K,MATCH($C1741,Roster!$B:$B,0))="","",INDEX(Roster!$K:$K,MATCH($C1741,Roster!$B:$B,0))&amp;""),"—"))</f>
        <v/>
      </c>
      <c r="M1741" s="27" t="n"/>
      <c r="N1741" s="27" t="n"/>
      <c r="O1741" s="25">
        <f>IF($C1741="","",IF($P1741="","—",IF($P1741="Valid (Pass)","Valid","Invalid")))</f>
        <v/>
      </c>
      <c r="P1741" s="27" t="n"/>
      <c r="Q1741" s="27" t="n"/>
      <c r="R1741" s="27" t="n"/>
      <c r="S1741" s="27" t="n"/>
      <c r="T1741" s="25">
        <f>IF($C1741="","",IF(OR(ISNUMBER(SEARCH("quick case",$P1741)),ISNUMBER(SEARCH("quick case",$Q1741))),"Yes","No"))</f>
        <v/>
      </c>
      <c r="U1741" s="25">
        <f>IF($O1741="Invalid",HYPERLINK("mailto:"&amp;$G1741&amp;";"&amp;$I1741&amp;"?cc="&amp;Lists!$E$2&amp;"&amp;subject="&amp;_xlfn.ENCODEURL("[INVALID] Quality audit monitoring completed for "&amp;UPPER($C1741))&amp;"&amp;body="&amp;_xlfn.ENCODEURL("Hi "&amp;$F1741&amp;","&amp;CHAR(10)&amp;"Good day!"&amp;CHAR(10)&amp;CHAR(10)&amp;"A quality monitoring audit has been completed for "&amp;$C1741&amp;"."&amp;CHAR(10)&amp;CHAR(10)&amp;"QUALITY AUDIT DETAILS"&amp;CHAR(10)&amp;"Agent Name: "&amp;$C1741&amp;" (EID "&amp;$D1741&amp;")"&amp;CHAR(10)&amp;"Audit Date: "&amp;TEXT($B1741,"yyyy-mm-dd")&amp;CHAR(10)&amp;"Team Leader: "&amp;$F1741&amp;CHAR(10)&amp;"Case Number: "&amp;$M1741&amp;CHAR(10)&amp;"Transaction ID: "&amp;$N1741&amp;CHAR(10)&amp;"Channel / LOB: "&amp;$K1741&amp;" / "&amp;$L1741&amp;CHAR(10)&amp;"Evaluator: "&amp;$S1741&amp;CHAR(10)&amp;CHAR(10)&amp;"INVALID QUALITY AUDIT DETAILS"&amp;CHAR(10)&amp;"Validation: Invalid"&amp;CHAR(10)&amp;"Invalid Reason: "&amp;$P1741&amp;CHAR(10)&amp;"Expected Resolution Code: "&amp;$Q1741&amp;CHAR(10)&amp;"Remarks: "&amp;LEFT($R1741,600)&amp;CHAR(10)&amp;CHAR(10)&amp;"This is an automated notification from HP Mainstream EQMS."),"✉ Open Email Draft"),"")</f>
        <v/>
      </c>
    </row>
    <row r="1742">
      <c r="A1742" s="25">
        <f>IF($C1742="","","AUD-2026-"&amp;TEXT(ROW()-1,"000000"))</f>
        <v/>
      </c>
      <c r="B1742" s="26" t="n"/>
      <c r="C1742" s="27" t="n"/>
      <c r="D1742" s="25">
        <f>IF($C1742="","",IFERROR(IF(INDEX(Roster!$A:$A,MATCH($C1742,Roster!$B:$B,0))="","",INDEX(Roster!$A:$A,MATCH($C1742,Roster!$B:$B,0))&amp;""),"—"))</f>
        <v/>
      </c>
      <c r="E1742" s="25">
        <f>IF($C1742="","",IFERROR(IF(INDEX(Roster!$C:$C,MATCH($C1742,Roster!$B:$B,0))="","",INDEX(Roster!$C:$C,MATCH($C1742,Roster!$B:$B,0))&amp;""),"—"))</f>
        <v/>
      </c>
      <c r="F1742" s="25">
        <f>IF($C1742="","",IFERROR(IF(INDEX(Roster!$D:$D,MATCH($C1742,Roster!$B:$B,0))="","",INDEX(Roster!$D:$D,MATCH($C1742,Roster!$B:$B,0))&amp;""),"—"))</f>
        <v/>
      </c>
      <c r="G1742" s="25">
        <f>IF($C1742="","",IFERROR(IF(INDEX(Roster!$E:$E,MATCH($C1742,Roster!$B:$B,0))="","",INDEX(Roster!$E:$E,MATCH($C1742,Roster!$B:$B,0))&amp;""),"—"))</f>
        <v/>
      </c>
      <c r="H1742" s="25">
        <f>IF($C1742="","",IFERROR(IF(INDEX(Roster!$F:$F,MATCH($C1742,Roster!$B:$B,0))="","",INDEX(Roster!$F:$F,MATCH($C1742,Roster!$B:$B,0))&amp;""),"—"))</f>
        <v/>
      </c>
      <c r="I1742" s="25">
        <f>IF($C1742="","",IFERROR(IF(INDEX(Roster!$G:$G,MATCH($C1742,Roster!$B:$B,0))="","",INDEX(Roster!$G:$G,MATCH($C1742,Roster!$B:$B,0))&amp;""),"—"))</f>
        <v/>
      </c>
      <c r="J1742" s="25">
        <f>IF($C1742="","",IFERROR(IF(INDEX(Roster!$I:$I,MATCH($C1742,Roster!$B:$B,0))="","",INDEX(Roster!$I:$I,MATCH($C1742,Roster!$B:$B,0))&amp;""),"—"))</f>
        <v/>
      </c>
      <c r="K1742">
        <f>IF($C1742="","",IFERROR(IF(INDEX(Roster!$J:$J,MATCH($C1742,Roster!$B:$B,0))="","",INDEX(Roster!$J:$J,MATCH($C1742,Roster!$B:$B,0))&amp;""),"—"))</f>
        <v/>
      </c>
      <c r="L1742">
        <f>IF($C1742="","",IFERROR(IF(INDEX(Roster!$K:$K,MATCH($C1742,Roster!$B:$B,0))="","",INDEX(Roster!$K:$K,MATCH($C1742,Roster!$B:$B,0))&amp;""),"—"))</f>
        <v/>
      </c>
      <c r="M1742" s="27" t="n"/>
      <c r="N1742" s="27" t="n"/>
      <c r="O1742" s="25">
        <f>IF($C1742="","",IF($P1742="","—",IF($P1742="Valid (Pass)","Valid","Invalid")))</f>
        <v/>
      </c>
      <c r="P1742" s="27" t="n"/>
      <c r="Q1742" s="27" t="n"/>
      <c r="R1742" s="27" t="n"/>
      <c r="S1742" s="27" t="n"/>
      <c r="T1742" s="25">
        <f>IF($C1742="","",IF(OR(ISNUMBER(SEARCH("quick case",$P1742)),ISNUMBER(SEARCH("quick case",$Q1742))),"Yes","No"))</f>
        <v/>
      </c>
      <c r="U1742" s="25">
        <f>IF($O1742="Invalid",HYPERLINK("mailto:"&amp;$G1742&amp;";"&amp;$I1742&amp;"?cc="&amp;Lists!$E$2&amp;"&amp;subject="&amp;_xlfn.ENCODEURL("[INVALID] Quality audit monitoring completed for "&amp;UPPER($C1742))&amp;"&amp;body="&amp;_xlfn.ENCODEURL("Hi "&amp;$F1742&amp;","&amp;CHAR(10)&amp;"Good day!"&amp;CHAR(10)&amp;CHAR(10)&amp;"A quality monitoring audit has been completed for "&amp;$C1742&amp;"."&amp;CHAR(10)&amp;CHAR(10)&amp;"QUALITY AUDIT DETAILS"&amp;CHAR(10)&amp;"Agent Name: "&amp;$C1742&amp;" (EID "&amp;$D1742&amp;")"&amp;CHAR(10)&amp;"Audit Date: "&amp;TEXT($B1742,"yyyy-mm-dd")&amp;CHAR(10)&amp;"Team Leader: "&amp;$F1742&amp;CHAR(10)&amp;"Case Number: "&amp;$M1742&amp;CHAR(10)&amp;"Transaction ID: "&amp;$N1742&amp;CHAR(10)&amp;"Channel / LOB: "&amp;$K1742&amp;" / "&amp;$L1742&amp;CHAR(10)&amp;"Evaluator: "&amp;$S1742&amp;CHAR(10)&amp;CHAR(10)&amp;"INVALID QUALITY AUDIT DETAILS"&amp;CHAR(10)&amp;"Validation: Invalid"&amp;CHAR(10)&amp;"Invalid Reason: "&amp;$P1742&amp;CHAR(10)&amp;"Expected Resolution Code: "&amp;$Q1742&amp;CHAR(10)&amp;"Remarks: "&amp;LEFT($R1742,600)&amp;CHAR(10)&amp;CHAR(10)&amp;"This is an automated notification from HP Mainstream EQMS."),"✉ Open Email Draft"),"")</f>
        <v/>
      </c>
    </row>
    <row r="1743">
      <c r="A1743" s="25">
        <f>IF($C1743="","","AUD-2026-"&amp;TEXT(ROW()-1,"000000"))</f>
        <v/>
      </c>
      <c r="B1743" s="26" t="n"/>
      <c r="C1743" s="27" t="n"/>
      <c r="D1743" s="25">
        <f>IF($C1743="","",IFERROR(IF(INDEX(Roster!$A:$A,MATCH($C1743,Roster!$B:$B,0))="","",INDEX(Roster!$A:$A,MATCH($C1743,Roster!$B:$B,0))&amp;""),"—"))</f>
        <v/>
      </c>
      <c r="E1743" s="25">
        <f>IF($C1743="","",IFERROR(IF(INDEX(Roster!$C:$C,MATCH($C1743,Roster!$B:$B,0))="","",INDEX(Roster!$C:$C,MATCH($C1743,Roster!$B:$B,0))&amp;""),"—"))</f>
        <v/>
      </c>
      <c r="F1743" s="25">
        <f>IF($C1743="","",IFERROR(IF(INDEX(Roster!$D:$D,MATCH($C1743,Roster!$B:$B,0))="","",INDEX(Roster!$D:$D,MATCH($C1743,Roster!$B:$B,0))&amp;""),"—"))</f>
        <v/>
      </c>
      <c r="G1743" s="25">
        <f>IF($C1743="","",IFERROR(IF(INDEX(Roster!$E:$E,MATCH($C1743,Roster!$B:$B,0))="","",INDEX(Roster!$E:$E,MATCH($C1743,Roster!$B:$B,0))&amp;""),"—"))</f>
        <v/>
      </c>
      <c r="H1743" s="25">
        <f>IF($C1743="","",IFERROR(IF(INDEX(Roster!$F:$F,MATCH($C1743,Roster!$B:$B,0))="","",INDEX(Roster!$F:$F,MATCH($C1743,Roster!$B:$B,0))&amp;""),"—"))</f>
        <v/>
      </c>
      <c r="I1743" s="25">
        <f>IF($C1743="","",IFERROR(IF(INDEX(Roster!$G:$G,MATCH($C1743,Roster!$B:$B,0))="","",INDEX(Roster!$G:$G,MATCH($C1743,Roster!$B:$B,0))&amp;""),"—"))</f>
        <v/>
      </c>
      <c r="J1743" s="25">
        <f>IF($C1743="","",IFERROR(IF(INDEX(Roster!$I:$I,MATCH($C1743,Roster!$B:$B,0))="","",INDEX(Roster!$I:$I,MATCH($C1743,Roster!$B:$B,0))&amp;""),"—"))</f>
        <v/>
      </c>
      <c r="K1743">
        <f>IF($C1743="","",IFERROR(IF(INDEX(Roster!$J:$J,MATCH($C1743,Roster!$B:$B,0))="","",INDEX(Roster!$J:$J,MATCH($C1743,Roster!$B:$B,0))&amp;""),"—"))</f>
        <v/>
      </c>
      <c r="L1743">
        <f>IF($C1743="","",IFERROR(IF(INDEX(Roster!$K:$K,MATCH($C1743,Roster!$B:$B,0))="","",INDEX(Roster!$K:$K,MATCH($C1743,Roster!$B:$B,0))&amp;""),"—"))</f>
        <v/>
      </c>
      <c r="M1743" s="27" t="n"/>
      <c r="N1743" s="27" t="n"/>
      <c r="O1743" s="25">
        <f>IF($C1743="","",IF($P1743="","—",IF($P1743="Valid (Pass)","Valid","Invalid")))</f>
        <v/>
      </c>
      <c r="P1743" s="27" t="n"/>
      <c r="Q1743" s="27" t="n"/>
      <c r="R1743" s="27" t="n"/>
      <c r="S1743" s="27" t="n"/>
      <c r="T1743" s="25">
        <f>IF($C1743="","",IF(OR(ISNUMBER(SEARCH("quick case",$P1743)),ISNUMBER(SEARCH("quick case",$Q1743))),"Yes","No"))</f>
        <v/>
      </c>
      <c r="U1743" s="25">
        <f>IF($O1743="Invalid",HYPERLINK("mailto:"&amp;$G1743&amp;";"&amp;$I1743&amp;"?cc="&amp;Lists!$E$2&amp;"&amp;subject="&amp;_xlfn.ENCODEURL("[INVALID] Quality audit monitoring completed for "&amp;UPPER($C1743))&amp;"&amp;body="&amp;_xlfn.ENCODEURL("Hi "&amp;$F1743&amp;","&amp;CHAR(10)&amp;"Good day!"&amp;CHAR(10)&amp;CHAR(10)&amp;"A quality monitoring audit has been completed for "&amp;$C1743&amp;"."&amp;CHAR(10)&amp;CHAR(10)&amp;"QUALITY AUDIT DETAILS"&amp;CHAR(10)&amp;"Agent Name: "&amp;$C1743&amp;" (EID "&amp;$D1743&amp;")"&amp;CHAR(10)&amp;"Audit Date: "&amp;TEXT($B1743,"yyyy-mm-dd")&amp;CHAR(10)&amp;"Team Leader: "&amp;$F1743&amp;CHAR(10)&amp;"Case Number: "&amp;$M1743&amp;CHAR(10)&amp;"Transaction ID: "&amp;$N1743&amp;CHAR(10)&amp;"Channel / LOB: "&amp;$K1743&amp;" / "&amp;$L1743&amp;CHAR(10)&amp;"Evaluator: "&amp;$S1743&amp;CHAR(10)&amp;CHAR(10)&amp;"INVALID QUALITY AUDIT DETAILS"&amp;CHAR(10)&amp;"Validation: Invalid"&amp;CHAR(10)&amp;"Invalid Reason: "&amp;$P1743&amp;CHAR(10)&amp;"Expected Resolution Code: "&amp;$Q1743&amp;CHAR(10)&amp;"Remarks: "&amp;LEFT($R1743,600)&amp;CHAR(10)&amp;CHAR(10)&amp;"This is an automated notification from HP Mainstream EQMS."),"✉ Open Email Draft"),"")</f>
        <v/>
      </c>
    </row>
    <row r="1744">
      <c r="A1744" s="25">
        <f>IF($C1744="","","AUD-2026-"&amp;TEXT(ROW()-1,"000000"))</f>
        <v/>
      </c>
      <c r="B1744" s="26" t="n"/>
      <c r="C1744" s="27" t="n"/>
      <c r="D1744" s="25">
        <f>IF($C1744="","",IFERROR(IF(INDEX(Roster!$A:$A,MATCH($C1744,Roster!$B:$B,0))="","",INDEX(Roster!$A:$A,MATCH($C1744,Roster!$B:$B,0))&amp;""),"—"))</f>
        <v/>
      </c>
      <c r="E1744" s="25">
        <f>IF($C1744="","",IFERROR(IF(INDEX(Roster!$C:$C,MATCH($C1744,Roster!$B:$B,0))="","",INDEX(Roster!$C:$C,MATCH($C1744,Roster!$B:$B,0))&amp;""),"—"))</f>
        <v/>
      </c>
      <c r="F1744" s="25">
        <f>IF($C1744="","",IFERROR(IF(INDEX(Roster!$D:$D,MATCH($C1744,Roster!$B:$B,0))="","",INDEX(Roster!$D:$D,MATCH($C1744,Roster!$B:$B,0))&amp;""),"—"))</f>
        <v/>
      </c>
      <c r="G1744" s="25">
        <f>IF($C1744="","",IFERROR(IF(INDEX(Roster!$E:$E,MATCH($C1744,Roster!$B:$B,0))="","",INDEX(Roster!$E:$E,MATCH($C1744,Roster!$B:$B,0))&amp;""),"—"))</f>
        <v/>
      </c>
      <c r="H1744" s="25">
        <f>IF($C1744="","",IFERROR(IF(INDEX(Roster!$F:$F,MATCH($C1744,Roster!$B:$B,0))="","",INDEX(Roster!$F:$F,MATCH($C1744,Roster!$B:$B,0))&amp;""),"—"))</f>
        <v/>
      </c>
      <c r="I1744" s="25">
        <f>IF($C1744="","",IFERROR(IF(INDEX(Roster!$G:$G,MATCH($C1744,Roster!$B:$B,0))="","",INDEX(Roster!$G:$G,MATCH($C1744,Roster!$B:$B,0))&amp;""),"—"))</f>
        <v/>
      </c>
      <c r="J1744" s="25">
        <f>IF($C1744="","",IFERROR(IF(INDEX(Roster!$I:$I,MATCH($C1744,Roster!$B:$B,0))="","",INDEX(Roster!$I:$I,MATCH($C1744,Roster!$B:$B,0))&amp;""),"—"))</f>
        <v/>
      </c>
      <c r="K1744">
        <f>IF($C1744="","",IFERROR(IF(INDEX(Roster!$J:$J,MATCH($C1744,Roster!$B:$B,0))="","",INDEX(Roster!$J:$J,MATCH($C1744,Roster!$B:$B,0))&amp;""),"—"))</f>
        <v/>
      </c>
      <c r="L1744">
        <f>IF($C1744="","",IFERROR(IF(INDEX(Roster!$K:$K,MATCH($C1744,Roster!$B:$B,0))="","",INDEX(Roster!$K:$K,MATCH($C1744,Roster!$B:$B,0))&amp;""),"—"))</f>
        <v/>
      </c>
      <c r="M1744" s="27" t="n"/>
      <c r="N1744" s="27" t="n"/>
      <c r="O1744" s="25">
        <f>IF($C1744="","",IF($P1744="","—",IF($P1744="Valid (Pass)","Valid","Invalid")))</f>
        <v/>
      </c>
      <c r="P1744" s="27" t="n"/>
      <c r="Q1744" s="27" t="n"/>
      <c r="R1744" s="27" t="n"/>
      <c r="S1744" s="27" t="n"/>
      <c r="T1744" s="25">
        <f>IF($C1744="","",IF(OR(ISNUMBER(SEARCH("quick case",$P1744)),ISNUMBER(SEARCH("quick case",$Q1744))),"Yes","No"))</f>
        <v/>
      </c>
      <c r="U1744" s="25">
        <f>IF($O1744="Invalid",HYPERLINK("mailto:"&amp;$G1744&amp;";"&amp;$I1744&amp;"?cc="&amp;Lists!$E$2&amp;"&amp;subject="&amp;_xlfn.ENCODEURL("[INVALID] Quality audit monitoring completed for "&amp;UPPER($C1744))&amp;"&amp;body="&amp;_xlfn.ENCODEURL("Hi "&amp;$F1744&amp;","&amp;CHAR(10)&amp;"Good day!"&amp;CHAR(10)&amp;CHAR(10)&amp;"A quality monitoring audit has been completed for "&amp;$C1744&amp;"."&amp;CHAR(10)&amp;CHAR(10)&amp;"QUALITY AUDIT DETAILS"&amp;CHAR(10)&amp;"Agent Name: "&amp;$C1744&amp;" (EID "&amp;$D1744&amp;")"&amp;CHAR(10)&amp;"Audit Date: "&amp;TEXT($B1744,"yyyy-mm-dd")&amp;CHAR(10)&amp;"Team Leader: "&amp;$F1744&amp;CHAR(10)&amp;"Case Number: "&amp;$M1744&amp;CHAR(10)&amp;"Transaction ID: "&amp;$N1744&amp;CHAR(10)&amp;"Channel / LOB: "&amp;$K1744&amp;" / "&amp;$L1744&amp;CHAR(10)&amp;"Evaluator: "&amp;$S1744&amp;CHAR(10)&amp;CHAR(10)&amp;"INVALID QUALITY AUDIT DETAILS"&amp;CHAR(10)&amp;"Validation: Invalid"&amp;CHAR(10)&amp;"Invalid Reason: "&amp;$P1744&amp;CHAR(10)&amp;"Expected Resolution Code: "&amp;$Q1744&amp;CHAR(10)&amp;"Remarks: "&amp;LEFT($R1744,600)&amp;CHAR(10)&amp;CHAR(10)&amp;"This is an automated notification from HP Mainstream EQMS."),"✉ Open Email Draft"),"")</f>
        <v/>
      </c>
    </row>
    <row r="1745">
      <c r="A1745" s="25">
        <f>IF($C1745="","","AUD-2026-"&amp;TEXT(ROW()-1,"000000"))</f>
        <v/>
      </c>
      <c r="B1745" s="26" t="n"/>
      <c r="C1745" s="27" t="n"/>
      <c r="D1745" s="25">
        <f>IF($C1745="","",IFERROR(IF(INDEX(Roster!$A:$A,MATCH($C1745,Roster!$B:$B,0))="","",INDEX(Roster!$A:$A,MATCH($C1745,Roster!$B:$B,0))&amp;""),"—"))</f>
        <v/>
      </c>
      <c r="E1745" s="25">
        <f>IF($C1745="","",IFERROR(IF(INDEX(Roster!$C:$C,MATCH($C1745,Roster!$B:$B,0))="","",INDEX(Roster!$C:$C,MATCH($C1745,Roster!$B:$B,0))&amp;""),"—"))</f>
        <v/>
      </c>
      <c r="F1745" s="25">
        <f>IF($C1745="","",IFERROR(IF(INDEX(Roster!$D:$D,MATCH($C1745,Roster!$B:$B,0))="","",INDEX(Roster!$D:$D,MATCH($C1745,Roster!$B:$B,0))&amp;""),"—"))</f>
        <v/>
      </c>
      <c r="G1745" s="25">
        <f>IF($C1745="","",IFERROR(IF(INDEX(Roster!$E:$E,MATCH($C1745,Roster!$B:$B,0))="","",INDEX(Roster!$E:$E,MATCH($C1745,Roster!$B:$B,0))&amp;""),"—"))</f>
        <v/>
      </c>
      <c r="H1745" s="25">
        <f>IF($C1745="","",IFERROR(IF(INDEX(Roster!$F:$F,MATCH($C1745,Roster!$B:$B,0))="","",INDEX(Roster!$F:$F,MATCH($C1745,Roster!$B:$B,0))&amp;""),"—"))</f>
        <v/>
      </c>
      <c r="I1745" s="25">
        <f>IF($C1745="","",IFERROR(IF(INDEX(Roster!$G:$G,MATCH($C1745,Roster!$B:$B,0))="","",INDEX(Roster!$G:$G,MATCH($C1745,Roster!$B:$B,0))&amp;""),"—"))</f>
        <v/>
      </c>
      <c r="J1745" s="25">
        <f>IF($C1745="","",IFERROR(IF(INDEX(Roster!$I:$I,MATCH($C1745,Roster!$B:$B,0))="","",INDEX(Roster!$I:$I,MATCH($C1745,Roster!$B:$B,0))&amp;""),"—"))</f>
        <v/>
      </c>
      <c r="K1745">
        <f>IF($C1745="","",IFERROR(IF(INDEX(Roster!$J:$J,MATCH($C1745,Roster!$B:$B,0))="","",INDEX(Roster!$J:$J,MATCH($C1745,Roster!$B:$B,0))&amp;""),"—"))</f>
        <v/>
      </c>
      <c r="L1745">
        <f>IF($C1745="","",IFERROR(IF(INDEX(Roster!$K:$K,MATCH($C1745,Roster!$B:$B,0))="","",INDEX(Roster!$K:$K,MATCH($C1745,Roster!$B:$B,0))&amp;""),"—"))</f>
        <v/>
      </c>
      <c r="M1745" s="27" t="n"/>
      <c r="N1745" s="27" t="n"/>
      <c r="O1745" s="25">
        <f>IF($C1745="","",IF($P1745="","—",IF($P1745="Valid (Pass)","Valid","Invalid")))</f>
        <v/>
      </c>
      <c r="P1745" s="27" t="n"/>
      <c r="Q1745" s="27" t="n"/>
      <c r="R1745" s="27" t="n"/>
      <c r="S1745" s="27" t="n"/>
      <c r="T1745" s="25">
        <f>IF($C1745="","",IF(OR(ISNUMBER(SEARCH("quick case",$P1745)),ISNUMBER(SEARCH("quick case",$Q1745))),"Yes","No"))</f>
        <v/>
      </c>
      <c r="U1745" s="25">
        <f>IF($O1745="Invalid",HYPERLINK("mailto:"&amp;$G1745&amp;";"&amp;$I1745&amp;"?cc="&amp;Lists!$E$2&amp;"&amp;subject="&amp;_xlfn.ENCODEURL("[INVALID] Quality audit monitoring completed for "&amp;UPPER($C1745))&amp;"&amp;body="&amp;_xlfn.ENCODEURL("Hi "&amp;$F1745&amp;","&amp;CHAR(10)&amp;"Good day!"&amp;CHAR(10)&amp;CHAR(10)&amp;"A quality monitoring audit has been completed for "&amp;$C1745&amp;"."&amp;CHAR(10)&amp;CHAR(10)&amp;"QUALITY AUDIT DETAILS"&amp;CHAR(10)&amp;"Agent Name: "&amp;$C1745&amp;" (EID "&amp;$D1745&amp;")"&amp;CHAR(10)&amp;"Audit Date: "&amp;TEXT($B1745,"yyyy-mm-dd")&amp;CHAR(10)&amp;"Team Leader: "&amp;$F1745&amp;CHAR(10)&amp;"Case Number: "&amp;$M1745&amp;CHAR(10)&amp;"Transaction ID: "&amp;$N1745&amp;CHAR(10)&amp;"Channel / LOB: "&amp;$K1745&amp;" / "&amp;$L1745&amp;CHAR(10)&amp;"Evaluator: "&amp;$S1745&amp;CHAR(10)&amp;CHAR(10)&amp;"INVALID QUALITY AUDIT DETAILS"&amp;CHAR(10)&amp;"Validation: Invalid"&amp;CHAR(10)&amp;"Invalid Reason: "&amp;$P1745&amp;CHAR(10)&amp;"Expected Resolution Code: "&amp;$Q1745&amp;CHAR(10)&amp;"Remarks: "&amp;LEFT($R1745,600)&amp;CHAR(10)&amp;CHAR(10)&amp;"This is an automated notification from HP Mainstream EQMS."),"✉ Open Email Draft"),"")</f>
        <v/>
      </c>
    </row>
    <row r="1746">
      <c r="A1746" s="25">
        <f>IF($C1746="","","AUD-2026-"&amp;TEXT(ROW()-1,"000000"))</f>
        <v/>
      </c>
      <c r="B1746" s="26" t="n"/>
      <c r="C1746" s="27" t="n"/>
      <c r="D1746" s="25">
        <f>IF($C1746="","",IFERROR(IF(INDEX(Roster!$A:$A,MATCH($C1746,Roster!$B:$B,0))="","",INDEX(Roster!$A:$A,MATCH($C1746,Roster!$B:$B,0))&amp;""),"—"))</f>
        <v/>
      </c>
      <c r="E1746" s="25">
        <f>IF($C1746="","",IFERROR(IF(INDEX(Roster!$C:$C,MATCH($C1746,Roster!$B:$B,0))="","",INDEX(Roster!$C:$C,MATCH($C1746,Roster!$B:$B,0))&amp;""),"—"))</f>
        <v/>
      </c>
      <c r="F1746" s="25">
        <f>IF($C1746="","",IFERROR(IF(INDEX(Roster!$D:$D,MATCH($C1746,Roster!$B:$B,0))="","",INDEX(Roster!$D:$D,MATCH($C1746,Roster!$B:$B,0))&amp;""),"—"))</f>
        <v/>
      </c>
      <c r="G1746" s="25">
        <f>IF($C1746="","",IFERROR(IF(INDEX(Roster!$E:$E,MATCH($C1746,Roster!$B:$B,0))="","",INDEX(Roster!$E:$E,MATCH($C1746,Roster!$B:$B,0))&amp;""),"—"))</f>
        <v/>
      </c>
      <c r="H1746" s="25">
        <f>IF($C1746="","",IFERROR(IF(INDEX(Roster!$F:$F,MATCH($C1746,Roster!$B:$B,0))="","",INDEX(Roster!$F:$F,MATCH($C1746,Roster!$B:$B,0))&amp;""),"—"))</f>
        <v/>
      </c>
      <c r="I1746" s="25">
        <f>IF($C1746="","",IFERROR(IF(INDEX(Roster!$G:$G,MATCH($C1746,Roster!$B:$B,0))="","",INDEX(Roster!$G:$G,MATCH($C1746,Roster!$B:$B,0))&amp;""),"—"))</f>
        <v/>
      </c>
      <c r="J1746" s="25">
        <f>IF($C1746="","",IFERROR(IF(INDEX(Roster!$I:$I,MATCH($C1746,Roster!$B:$B,0))="","",INDEX(Roster!$I:$I,MATCH($C1746,Roster!$B:$B,0))&amp;""),"—"))</f>
        <v/>
      </c>
      <c r="K1746">
        <f>IF($C1746="","",IFERROR(IF(INDEX(Roster!$J:$J,MATCH($C1746,Roster!$B:$B,0))="","",INDEX(Roster!$J:$J,MATCH($C1746,Roster!$B:$B,0))&amp;""),"—"))</f>
        <v/>
      </c>
      <c r="L1746">
        <f>IF($C1746="","",IFERROR(IF(INDEX(Roster!$K:$K,MATCH($C1746,Roster!$B:$B,0))="","",INDEX(Roster!$K:$K,MATCH($C1746,Roster!$B:$B,0))&amp;""),"—"))</f>
        <v/>
      </c>
      <c r="M1746" s="27" t="n"/>
      <c r="N1746" s="27" t="n"/>
      <c r="O1746" s="25">
        <f>IF($C1746="","",IF($P1746="","—",IF($P1746="Valid (Pass)","Valid","Invalid")))</f>
        <v/>
      </c>
      <c r="P1746" s="27" t="n"/>
      <c r="Q1746" s="27" t="n"/>
      <c r="R1746" s="27" t="n"/>
      <c r="S1746" s="27" t="n"/>
      <c r="T1746" s="25">
        <f>IF($C1746="","",IF(OR(ISNUMBER(SEARCH("quick case",$P1746)),ISNUMBER(SEARCH("quick case",$Q1746))),"Yes","No"))</f>
        <v/>
      </c>
      <c r="U1746" s="25">
        <f>IF($O1746="Invalid",HYPERLINK("mailto:"&amp;$G1746&amp;";"&amp;$I1746&amp;"?cc="&amp;Lists!$E$2&amp;"&amp;subject="&amp;_xlfn.ENCODEURL("[INVALID] Quality audit monitoring completed for "&amp;UPPER($C1746))&amp;"&amp;body="&amp;_xlfn.ENCODEURL("Hi "&amp;$F1746&amp;","&amp;CHAR(10)&amp;"Good day!"&amp;CHAR(10)&amp;CHAR(10)&amp;"A quality monitoring audit has been completed for "&amp;$C1746&amp;"."&amp;CHAR(10)&amp;CHAR(10)&amp;"QUALITY AUDIT DETAILS"&amp;CHAR(10)&amp;"Agent Name: "&amp;$C1746&amp;" (EID "&amp;$D1746&amp;")"&amp;CHAR(10)&amp;"Audit Date: "&amp;TEXT($B1746,"yyyy-mm-dd")&amp;CHAR(10)&amp;"Team Leader: "&amp;$F1746&amp;CHAR(10)&amp;"Case Number: "&amp;$M1746&amp;CHAR(10)&amp;"Transaction ID: "&amp;$N1746&amp;CHAR(10)&amp;"Channel / LOB: "&amp;$K1746&amp;" / "&amp;$L1746&amp;CHAR(10)&amp;"Evaluator: "&amp;$S1746&amp;CHAR(10)&amp;CHAR(10)&amp;"INVALID QUALITY AUDIT DETAILS"&amp;CHAR(10)&amp;"Validation: Invalid"&amp;CHAR(10)&amp;"Invalid Reason: "&amp;$P1746&amp;CHAR(10)&amp;"Expected Resolution Code: "&amp;$Q1746&amp;CHAR(10)&amp;"Remarks: "&amp;LEFT($R1746,600)&amp;CHAR(10)&amp;CHAR(10)&amp;"This is an automated notification from HP Mainstream EQMS."),"✉ Open Email Draft"),"")</f>
        <v/>
      </c>
    </row>
    <row r="1747">
      <c r="A1747" s="25">
        <f>IF($C1747="","","AUD-2026-"&amp;TEXT(ROW()-1,"000000"))</f>
        <v/>
      </c>
      <c r="B1747" s="26" t="n"/>
      <c r="C1747" s="27" t="n"/>
      <c r="D1747" s="25">
        <f>IF($C1747="","",IFERROR(IF(INDEX(Roster!$A:$A,MATCH($C1747,Roster!$B:$B,0))="","",INDEX(Roster!$A:$A,MATCH($C1747,Roster!$B:$B,0))&amp;""),"—"))</f>
        <v/>
      </c>
      <c r="E1747" s="25">
        <f>IF($C1747="","",IFERROR(IF(INDEX(Roster!$C:$C,MATCH($C1747,Roster!$B:$B,0))="","",INDEX(Roster!$C:$C,MATCH($C1747,Roster!$B:$B,0))&amp;""),"—"))</f>
        <v/>
      </c>
      <c r="F1747" s="25">
        <f>IF($C1747="","",IFERROR(IF(INDEX(Roster!$D:$D,MATCH($C1747,Roster!$B:$B,0))="","",INDEX(Roster!$D:$D,MATCH($C1747,Roster!$B:$B,0))&amp;""),"—"))</f>
        <v/>
      </c>
      <c r="G1747" s="25">
        <f>IF($C1747="","",IFERROR(IF(INDEX(Roster!$E:$E,MATCH($C1747,Roster!$B:$B,0))="","",INDEX(Roster!$E:$E,MATCH($C1747,Roster!$B:$B,0))&amp;""),"—"))</f>
        <v/>
      </c>
      <c r="H1747" s="25">
        <f>IF($C1747="","",IFERROR(IF(INDEX(Roster!$F:$F,MATCH($C1747,Roster!$B:$B,0))="","",INDEX(Roster!$F:$F,MATCH($C1747,Roster!$B:$B,0))&amp;""),"—"))</f>
        <v/>
      </c>
      <c r="I1747" s="25">
        <f>IF($C1747="","",IFERROR(IF(INDEX(Roster!$G:$G,MATCH($C1747,Roster!$B:$B,0))="","",INDEX(Roster!$G:$G,MATCH($C1747,Roster!$B:$B,0))&amp;""),"—"))</f>
        <v/>
      </c>
      <c r="J1747" s="25">
        <f>IF($C1747="","",IFERROR(IF(INDEX(Roster!$I:$I,MATCH($C1747,Roster!$B:$B,0))="","",INDEX(Roster!$I:$I,MATCH($C1747,Roster!$B:$B,0))&amp;""),"—"))</f>
        <v/>
      </c>
      <c r="K1747">
        <f>IF($C1747="","",IFERROR(IF(INDEX(Roster!$J:$J,MATCH($C1747,Roster!$B:$B,0))="","",INDEX(Roster!$J:$J,MATCH($C1747,Roster!$B:$B,0))&amp;""),"—"))</f>
        <v/>
      </c>
      <c r="L1747">
        <f>IF($C1747="","",IFERROR(IF(INDEX(Roster!$K:$K,MATCH($C1747,Roster!$B:$B,0))="","",INDEX(Roster!$K:$K,MATCH($C1747,Roster!$B:$B,0))&amp;""),"—"))</f>
        <v/>
      </c>
      <c r="M1747" s="27" t="n"/>
      <c r="N1747" s="27" t="n"/>
      <c r="O1747" s="25">
        <f>IF($C1747="","",IF($P1747="","—",IF($P1747="Valid (Pass)","Valid","Invalid")))</f>
        <v/>
      </c>
      <c r="P1747" s="27" t="n"/>
      <c r="Q1747" s="27" t="n"/>
      <c r="R1747" s="27" t="n"/>
      <c r="S1747" s="27" t="n"/>
      <c r="T1747" s="25">
        <f>IF($C1747="","",IF(OR(ISNUMBER(SEARCH("quick case",$P1747)),ISNUMBER(SEARCH("quick case",$Q1747))),"Yes","No"))</f>
        <v/>
      </c>
      <c r="U1747" s="25">
        <f>IF($O1747="Invalid",HYPERLINK("mailto:"&amp;$G1747&amp;";"&amp;$I1747&amp;"?cc="&amp;Lists!$E$2&amp;"&amp;subject="&amp;_xlfn.ENCODEURL("[INVALID] Quality audit monitoring completed for "&amp;UPPER($C1747))&amp;"&amp;body="&amp;_xlfn.ENCODEURL("Hi "&amp;$F1747&amp;","&amp;CHAR(10)&amp;"Good day!"&amp;CHAR(10)&amp;CHAR(10)&amp;"A quality monitoring audit has been completed for "&amp;$C1747&amp;"."&amp;CHAR(10)&amp;CHAR(10)&amp;"QUALITY AUDIT DETAILS"&amp;CHAR(10)&amp;"Agent Name: "&amp;$C1747&amp;" (EID "&amp;$D1747&amp;")"&amp;CHAR(10)&amp;"Audit Date: "&amp;TEXT($B1747,"yyyy-mm-dd")&amp;CHAR(10)&amp;"Team Leader: "&amp;$F1747&amp;CHAR(10)&amp;"Case Number: "&amp;$M1747&amp;CHAR(10)&amp;"Transaction ID: "&amp;$N1747&amp;CHAR(10)&amp;"Channel / LOB: "&amp;$K1747&amp;" / "&amp;$L1747&amp;CHAR(10)&amp;"Evaluator: "&amp;$S1747&amp;CHAR(10)&amp;CHAR(10)&amp;"INVALID QUALITY AUDIT DETAILS"&amp;CHAR(10)&amp;"Validation: Invalid"&amp;CHAR(10)&amp;"Invalid Reason: "&amp;$P1747&amp;CHAR(10)&amp;"Expected Resolution Code: "&amp;$Q1747&amp;CHAR(10)&amp;"Remarks: "&amp;LEFT($R1747,600)&amp;CHAR(10)&amp;CHAR(10)&amp;"This is an automated notification from HP Mainstream EQMS."),"✉ Open Email Draft"),"")</f>
        <v/>
      </c>
    </row>
    <row r="1748">
      <c r="A1748" s="25">
        <f>IF($C1748="","","AUD-2026-"&amp;TEXT(ROW()-1,"000000"))</f>
        <v/>
      </c>
      <c r="B1748" s="26" t="n"/>
      <c r="C1748" s="27" t="n"/>
      <c r="D1748" s="25">
        <f>IF($C1748="","",IFERROR(IF(INDEX(Roster!$A:$A,MATCH($C1748,Roster!$B:$B,0))="","",INDEX(Roster!$A:$A,MATCH($C1748,Roster!$B:$B,0))&amp;""),"—"))</f>
        <v/>
      </c>
      <c r="E1748" s="25">
        <f>IF($C1748="","",IFERROR(IF(INDEX(Roster!$C:$C,MATCH($C1748,Roster!$B:$B,0))="","",INDEX(Roster!$C:$C,MATCH($C1748,Roster!$B:$B,0))&amp;""),"—"))</f>
        <v/>
      </c>
      <c r="F1748" s="25">
        <f>IF($C1748="","",IFERROR(IF(INDEX(Roster!$D:$D,MATCH($C1748,Roster!$B:$B,0))="","",INDEX(Roster!$D:$D,MATCH($C1748,Roster!$B:$B,0))&amp;""),"—"))</f>
        <v/>
      </c>
      <c r="G1748" s="25">
        <f>IF($C1748="","",IFERROR(IF(INDEX(Roster!$E:$E,MATCH($C1748,Roster!$B:$B,0))="","",INDEX(Roster!$E:$E,MATCH($C1748,Roster!$B:$B,0))&amp;""),"—"))</f>
        <v/>
      </c>
      <c r="H1748" s="25">
        <f>IF($C1748="","",IFERROR(IF(INDEX(Roster!$F:$F,MATCH($C1748,Roster!$B:$B,0))="","",INDEX(Roster!$F:$F,MATCH($C1748,Roster!$B:$B,0))&amp;""),"—"))</f>
        <v/>
      </c>
      <c r="I1748" s="25">
        <f>IF($C1748="","",IFERROR(IF(INDEX(Roster!$G:$G,MATCH($C1748,Roster!$B:$B,0))="","",INDEX(Roster!$G:$G,MATCH($C1748,Roster!$B:$B,0))&amp;""),"—"))</f>
        <v/>
      </c>
      <c r="J1748" s="25">
        <f>IF($C1748="","",IFERROR(IF(INDEX(Roster!$I:$I,MATCH($C1748,Roster!$B:$B,0))="","",INDEX(Roster!$I:$I,MATCH($C1748,Roster!$B:$B,0))&amp;""),"—"))</f>
        <v/>
      </c>
      <c r="K1748">
        <f>IF($C1748="","",IFERROR(IF(INDEX(Roster!$J:$J,MATCH($C1748,Roster!$B:$B,0))="","",INDEX(Roster!$J:$J,MATCH($C1748,Roster!$B:$B,0))&amp;""),"—"))</f>
        <v/>
      </c>
      <c r="L1748">
        <f>IF($C1748="","",IFERROR(IF(INDEX(Roster!$K:$K,MATCH($C1748,Roster!$B:$B,0))="","",INDEX(Roster!$K:$K,MATCH($C1748,Roster!$B:$B,0))&amp;""),"—"))</f>
        <v/>
      </c>
      <c r="M1748" s="27" t="n"/>
      <c r="N1748" s="27" t="n"/>
      <c r="O1748" s="25">
        <f>IF($C1748="","",IF($P1748="","—",IF($P1748="Valid (Pass)","Valid","Invalid")))</f>
        <v/>
      </c>
      <c r="P1748" s="27" t="n"/>
      <c r="Q1748" s="27" t="n"/>
      <c r="R1748" s="27" t="n"/>
      <c r="S1748" s="27" t="n"/>
      <c r="T1748" s="25">
        <f>IF($C1748="","",IF(OR(ISNUMBER(SEARCH("quick case",$P1748)),ISNUMBER(SEARCH("quick case",$Q1748))),"Yes","No"))</f>
        <v/>
      </c>
      <c r="U1748" s="25">
        <f>IF($O1748="Invalid",HYPERLINK("mailto:"&amp;$G1748&amp;";"&amp;$I1748&amp;"?cc="&amp;Lists!$E$2&amp;"&amp;subject="&amp;_xlfn.ENCODEURL("[INVALID] Quality audit monitoring completed for "&amp;UPPER($C1748))&amp;"&amp;body="&amp;_xlfn.ENCODEURL("Hi "&amp;$F1748&amp;","&amp;CHAR(10)&amp;"Good day!"&amp;CHAR(10)&amp;CHAR(10)&amp;"A quality monitoring audit has been completed for "&amp;$C1748&amp;"."&amp;CHAR(10)&amp;CHAR(10)&amp;"QUALITY AUDIT DETAILS"&amp;CHAR(10)&amp;"Agent Name: "&amp;$C1748&amp;" (EID "&amp;$D1748&amp;")"&amp;CHAR(10)&amp;"Audit Date: "&amp;TEXT($B1748,"yyyy-mm-dd")&amp;CHAR(10)&amp;"Team Leader: "&amp;$F1748&amp;CHAR(10)&amp;"Case Number: "&amp;$M1748&amp;CHAR(10)&amp;"Transaction ID: "&amp;$N1748&amp;CHAR(10)&amp;"Channel / LOB: "&amp;$K1748&amp;" / "&amp;$L1748&amp;CHAR(10)&amp;"Evaluator: "&amp;$S1748&amp;CHAR(10)&amp;CHAR(10)&amp;"INVALID QUALITY AUDIT DETAILS"&amp;CHAR(10)&amp;"Validation: Invalid"&amp;CHAR(10)&amp;"Invalid Reason: "&amp;$P1748&amp;CHAR(10)&amp;"Expected Resolution Code: "&amp;$Q1748&amp;CHAR(10)&amp;"Remarks: "&amp;LEFT($R1748,600)&amp;CHAR(10)&amp;CHAR(10)&amp;"This is an automated notification from HP Mainstream EQMS."),"✉ Open Email Draft"),"")</f>
        <v/>
      </c>
    </row>
    <row r="1749">
      <c r="A1749" s="25">
        <f>IF($C1749="","","AUD-2026-"&amp;TEXT(ROW()-1,"000000"))</f>
        <v/>
      </c>
      <c r="B1749" s="26" t="n"/>
      <c r="C1749" s="27" t="n"/>
      <c r="D1749" s="25">
        <f>IF($C1749="","",IFERROR(IF(INDEX(Roster!$A:$A,MATCH($C1749,Roster!$B:$B,0))="","",INDEX(Roster!$A:$A,MATCH($C1749,Roster!$B:$B,0))&amp;""),"—"))</f>
        <v/>
      </c>
      <c r="E1749" s="25">
        <f>IF($C1749="","",IFERROR(IF(INDEX(Roster!$C:$C,MATCH($C1749,Roster!$B:$B,0))="","",INDEX(Roster!$C:$C,MATCH($C1749,Roster!$B:$B,0))&amp;""),"—"))</f>
        <v/>
      </c>
      <c r="F1749" s="25">
        <f>IF($C1749="","",IFERROR(IF(INDEX(Roster!$D:$D,MATCH($C1749,Roster!$B:$B,0))="","",INDEX(Roster!$D:$D,MATCH($C1749,Roster!$B:$B,0))&amp;""),"—"))</f>
        <v/>
      </c>
      <c r="G1749" s="25">
        <f>IF($C1749="","",IFERROR(IF(INDEX(Roster!$E:$E,MATCH($C1749,Roster!$B:$B,0))="","",INDEX(Roster!$E:$E,MATCH($C1749,Roster!$B:$B,0))&amp;""),"—"))</f>
        <v/>
      </c>
      <c r="H1749" s="25">
        <f>IF($C1749="","",IFERROR(IF(INDEX(Roster!$F:$F,MATCH($C1749,Roster!$B:$B,0))="","",INDEX(Roster!$F:$F,MATCH($C1749,Roster!$B:$B,0))&amp;""),"—"))</f>
        <v/>
      </c>
      <c r="I1749" s="25">
        <f>IF($C1749="","",IFERROR(IF(INDEX(Roster!$G:$G,MATCH($C1749,Roster!$B:$B,0))="","",INDEX(Roster!$G:$G,MATCH($C1749,Roster!$B:$B,0))&amp;""),"—"))</f>
        <v/>
      </c>
      <c r="J1749" s="25">
        <f>IF($C1749="","",IFERROR(IF(INDEX(Roster!$I:$I,MATCH($C1749,Roster!$B:$B,0))="","",INDEX(Roster!$I:$I,MATCH($C1749,Roster!$B:$B,0))&amp;""),"—"))</f>
        <v/>
      </c>
      <c r="K1749">
        <f>IF($C1749="","",IFERROR(IF(INDEX(Roster!$J:$J,MATCH($C1749,Roster!$B:$B,0))="","",INDEX(Roster!$J:$J,MATCH($C1749,Roster!$B:$B,0))&amp;""),"—"))</f>
        <v/>
      </c>
      <c r="L1749">
        <f>IF($C1749="","",IFERROR(IF(INDEX(Roster!$K:$K,MATCH($C1749,Roster!$B:$B,0))="","",INDEX(Roster!$K:$K,MATCH($C1749,Roster!$B:$B,0))&amp;""),"—"))</f>
        <v/>
      </c>
      <c r="M1749" s="27" t="n"/>
      <c r="N1749" s="27" t="n"/>
      <c r="O1749" s="25">
        <f>IF($C1749="","",IF($P1749="","—",IF($P1749="Valid (Pass)","Valid","Invalid")))</f>
        <v/>
      </c>
      <c r="P1749" s="27" t="n"/>
      <c r="Q1749" s="27" t="n"/>
      <c r="R1749" s="27" t="n"/>
      <c r="S1749" s="27" t="n"/>
      <c r="T1749" s="25">
        <f>IF($C1749="","",IF(OR(ISNUMBER(SEARCH("quick case",$P1749)),ISNUMBER(SEARCH("quick case",$Q1749))),"Yes","No"))</f>
        <v/>
      </c>
      <c r="U1749" s="25">
        <f>IF($O1749="Invalid",HYPERLINK("mailto:"&amp;$G1749&amp;";"&amp;$I1749&amp;"?cc="&amp;Lists!$E$2&amp;"&amp;subject="&amp;_xlfn.ENCODEURL("[INVALID] Quality audit monitoring completed for "&amp;UPPER($C1749))&amp;"&amp;body="&amp;_xlfn.ENCODEURL("Hi "&amp;$F1749&amp;","&amp;CHAR(10)&amp;"Good day!"&amp;CHAR(10)&amp;CHAR(10)&amp;"A quality monitoring audit has been completed for "&amp;$C1749&amp;"."&amp;CHAR(10)&amp;CHAR(10)&amp;"QUALITY AUDIT DETAILS"&amp;CHAR(10)&amp;"Agent Name: "&amp;$C1749&amp;" (EID "&amp;$D1749&amp;")"&amp;CHAR(10)&amp;"Audit Date: "&amp;TEXT($B1749,"yyyy-mm-dd")&amp;CHAR(10)&amp;"Team Leader: "&amp;$F1749&amp;CHAR(10)&amp;"Case Number: "&amp;$M1749&amp;CHAR(10)&amp;"Transaction ID: "&amp;$N1749&amp;CHAR(10)&amp;"Channel / LOB: "&amp;$K1749&amp;" / "&amp;$L1749&amp;CHAR(10)&amp;"Evaluator: "&amp;$S1749&amp;CHAR(10)&amp;CHAR(10)&amp;"INVALID QUALITY AUDIT DETAILS"&amp;CHAR(10)&amp;"Validation: Invalid"&amp;CHAR(10)&amp;"Invalid Reason: "&amp;$P1749&amp;CHAR(10)&amp;"Expected Resolution Code: "&amp;$Q1749&amp;CHAR(10)&amp;"Remarks: "&amp;LEFT($R1749,600)&amp;CHAR(10)&amp;CHAR(10)&amp;"This is an automated notification from HP Mainstream EQMS."),"✉ Open Email Draft"),"")</f>
        <v/>
      </c>
    </row>
    <row r="1750">
      <c r="A1750" s="25">
        <f>IF($C1750="","","AUD-2026-"&amp;TEXT(ROW()-1,"000000"))</f>
        <v/>
      </c>
      <c r="B1750" s="26" t="n"/>
      <c r="C1750" s="27" t="n"/>
      <c r="D1750" s="25">
        <f>IF($C1750="","",IFERROR(IF(INDEX(Roster!$A:$A,MATCH($C1750,Roster!$B:$B,0))="","",INDEX(Roster!$A:$A,MATCH($C1750,Roster!$B:$B,0))&amp;""),"—"))</f>
        <v/>
      </c>
      <c r="E1750" s="25">
        <f>IF($C1750="","",IFERROR(IF(INDEX(Roster!$C:$C,MATCH($C1750,Roster!$B:$B,0))="","",INDEX(Roster!$C:$C,MATCH($C1750,Roster!$B:$B,0))&amp;""),"—"))</f>
        <v/>
      </c>
      <c r="F1750" s="25">
        <f>IF($C1750="","",IFERROR(IF(INDEX(Roster!$D:$D,MATCH($C1750,Roster!$B:$B,0))="","",INDEX(Roster!$D:$D,MATCH($C1750,Roster!$B:$B,0))&amp;""),"—"))</f>
        <v/>
      </c>
      <c r="G1750" s="25">
        <f>IF($C1750="","",IFERROR(IF(INDEX(Roster!$E:$E,MATCH($C1750,Roster!$B:$B,0))="","",INDEX(Roster!$E:$E,MATCH($C1750,Roster!$B:$B,0))&amp;""),"—"))</f>
        <v/>
      </c>
      <c r="H1750" s="25">
        <f>IF($C1750="","",IFERROR(IF(INDEX(Roster!$F:$F,MATCH($C1750,Roster!$B:$B,0))="","",INDEX(Roster!$F:$F,MATCH($C1750,Roster!$B:$B,0))&amp;""),"—"))</f>
        <v/>
      </c>
      <c r="I1750" s="25">
        <f>IF($C1750="","",IFERROR(IF(INDEX(Roster!$G:$G,MATCH($C1750,Roster!$B:$B,0))="","",INDEX(Roster!$G:$G,MATCH($C1750,Roster!$B:$B,0))&amp;""),"—"))</f>
        <v/>
      </c>
      <c r="J1750" s="25">
        <f>IF($C1750="","",IFERROR(IF(INDEX(Roster!$I:$I,MATCH($C1750,Roster!$B:$B,0))="","",INDEX(Roster!$I:$I,MATCH($C1750,Roster!$B:$B,0))&amp;""),"—"))</f>
        <v/>
      </c>
      <c r="K1750">
        <f>IF($C1750="","",IFERROR(IF(INDEX(Roster!$J:$J,MATCH($C1750,Roster!$B:$B,0))="","",INDEX(Roster!$J:$J,MATCH($C1750,Roster!$B:$B,0))&amp;""),"—"))</f>
        <v/>
      </c>
      <c r="L1750">
        <f>IF($C1750="","",IFERROR(IF(INDEX(Roster!$K:$K,MATCH($C1750,Roster!$B:$B,0))="","",INDEX(Roster!$K:$K,MATCH($C1750,Roster!$B:$B,0))&amp;""),"—"))</f>
        <v/>
      </c>
      <c r="M1750" s="27" t="n"/>
      <c r="N1750" s="27" t="n"/>
      <c r="O1750" s="25">
        <f>IF($C1750="","",IF($P1750="","—",IF($P1750="Valid (Pass)","Valid","Invalid")))</f>
        <v/>
      </c>
      <c r="P1750" s="27" t="n"/>
      <c r="Q1750" s="27" t="n"/>
      <c r="R1750" s="27" t="n"/>
      <c r="S1750" s="27" t="n"/>
      <c r="T1750" s="25">
        <f>IF($C1750="","",IF(OR(ISNUMBER(SEARCH("quick case",$P1750)),ISNUMBER(SEARCH("quick case",$Q1750))),"Yes","No"))</f>
        <v/>
      </c>
      <c r="U1750" s="25">
        <f>IF($O1750="Invalid",HYPERLINK("mailto:"&amp;$G1750&amp;";"&amp;$I1750&amp;"?cc="&amp;Lists!$E$2&amp;"&amp;subject="&amp;_xlfn.ENCODEURL("[INVALID] Quality audit monitoring completed for "&amp;UPPER($C1750))&amp;"&amp;body="&amp;_xlfn.ENCODEURL("Hi "&amp;$F1750&amp;","&amp;CHAR(10)&amp;"Good day!"&amp;CHAR(10)&amp;CHAR(10)&amp;"A quality monitoring audit has been completed for "&amp;$C1750&amp;"."&amp;CHAR(10)&amp;CHAR(10)&amp;"QUALITY AUDIT DETAILS"&amp;CHAR(10)&amp;"Agent Name: "&amp;$C1750&amp;" (EID "&amp;$D1750&amp;")"&amp;CHAR(10)&amp;"Audit Date: "&amp;TEXT($B1750,"yyyy-mm-dd")&amp;CHAR(10)&amp;"Team Leader: "&amp;$F1750&amp;CHAR(10)&amp;"Case Number: "&amp;$M1750&amp;CHAR(10)&amp;"Transaction ID: "&amp;$N1750&amp;CHAR(10)&amp;"Channel / LOB: "&amp;$K1750&amp;" / "&amp;$L1750&amp;CHAR(10)&amp;"Evaluator: "&amp;$S1750&amp;CHAR(10)&amp;CHAR(10)&amp;"INVALID QUALITY AUDIT DETAILS"&amp;CHAR(10)&amp;"Validation: Invalid"&amp;CHAR(10)&amp;"Invalid Reason: "&amp;$P1750&amp;CHAR(10)&amp;"Expected Resolution Code: "&amp;$Q1750&amp;CHAR(10)&amp;"Remarks: "&amp;LEFT($R1750,600)&amp;CHAR(10)&amp;CHAR(10)&amp;"This is an automated notification from HP Mainstream EQMS."),"✉ Open Email Draft"),"")</f>
        <v/>
      </c>
    </row>
    <row r="1751">
      <c r="A1751" s="25">
        <f>IF($C1751="","","AUD-2026-"&amp;TEXT(ROW()-1,"000000"))</f>
        <v/>
      </c>
      <c r="B1751" s="26" t="n"/>
      <c r="C1751" s="27" t="n"/>
      <c r="D1751" s="25">
        <f>IF($C1751="","",IFERROR(IF(INDEX(Roster!$A:$A,MATCH($C1751,Roster!$B:$B,0))="","",INDEX(Roster!$A:$A,MATCH($C1751,Roster!$B:$B,0))&amp;""),"—"))</f>
        <v/>
      </c>
      <c r="E1751" s="25">
        <f>IF($C1751="","",IFERROR(IF(INDEX(Roster!$C:$C,MATCH($C1751,Roster!$B:$B,0))="","",INDEX(Roster!$C:$C,MATCH($C1751,Roster!$B:$B,0))&amp;""),"—"))</f>
        <v/>
      </c>
      <c r="F1751" s="25">
        <f>IF($C1751="","",IFERROR(IF(INDEX(Roster!$D:$D,MATCH($C1751,Roster!$B:$B,0))="","",INDEX(Roster!$D:$D,MATCH($C1751,Roster!$B:$B,0))&amp;""),"—"))</f>
        <v/>
      </c>
      <c r="G1751" s="25">
        <f>IF($C1751="","",IFERROR(IF(INDEX(Roster!$E:$E,MATCH($C1751,Roster!$B:$B,0))="","",INDEX(Roster!$E:$E,MATCH($C1751,Roster!$B:$B,0))&amp;""),"—"))</f>
        <v/>
      </c>
      <c r="H1751" s="25">
        <f>IF($C1751="","",IFERROR(IF(INDEX(Roster!$F:$F,MATCH($C1751,Roster!$B:$B,0))="","",INDEX(Roster!$F:$F,MATCH($C1751,Roster!$B:$B,0))&amp;""),"—"))</f>
        <v/>
      </c>
      <c r="I1751" s="25">
        <f>IF($C1751="","",IFERROR(IF(INDEX(Roster!$G:$G,MATCH($C1751,Roster!$B:$B,0))="","",INDEX(Roster!$G:$G,MATCH($C1751,Roster!$B:$B,0))&amp;""),"—"))</f>
        <v/>
      </c>
      <c r="J1751" s="25">
        <f>IF($C1751="","",IFERROR(IF(INDEX(Roster!$I:$I,MATCH($C1751,Roster!$B:$B,0))="","",INDEX(Roster!$I:$I,MATCH($C1751,Roster!$B:$B,0))&amp;""),"—"))</f>
        <v/>
      </c>
      <c r="K1751">
        <f>IF($C1751="","",IFERROR(IF(INDEX(Roster!$J:$J,MATCH($C1751,Roster!$B:$B,0))="","",INDEX(Roster!$J:$J,MATCH($C1751,Roster!$B:$B,0))&amp;""),"—"))</f>
        <v/>
      </c>
      <c r="L1751">
        <f>IF($C1751="","",IFERROR(IF(INDEX(Roster!$K:$K,MATCH($C1751,Roster!$B:$B,0))="","",INDEX(Roster!$K:$K,MATCH($C1751,Roster!$B:$B,0))&amp;""),"—"))</f>
        <v/>
      </c>
      <c r="M1751" s="27" t="n"/>
      <c r="N1751" s="27" t="n"/>
      <c r="O1751" s="25">
        <f>IF($C1751="","",IF($P1751="","—",IF($P1751="Valid (Pass)","Valid","Invalid")))</f>
        <v/>
      </c>
      <c r="P1751" s="27" t="n"/>
      <c r="Q1751" s="27" t="n"/>
      <c r="R1751" s="27" t="n"/>
      <c r="S1751" s="27" t="n"/>
      <c r="T1751" s="25">
        <f>IF($C1751="","",IF(OR(ISNUMBER(SEARCH("quick case",$P1751)),ISNUMBER(SEARCH("quick case",$Q1751))),"Yes","No"))</f>
        <v/>
      </c>
      <c r="U1751" s="25">
        <f>IF($O1751="Invalid",HYPERLINK("mailto:"&amp;$G1751&amp;";"&amp;$I1751&amp;"?cc="&amp;Lists!$E$2&amp;"&amp;subject="&amp;_xlfn.ENCODEURL("[INVALID] Quality audit monitoring completed for "&amp;UPPER($C1751))&amp;"&amp;body="&amp;_xlfn.ENCODEURL("Hi "&amp;$F1751&amp;","&amp;CHAR(10)&amp;"Good day!"&amp;CHAR(10)&amp;CHAR(10)&amp;"A quality monitoring audit has been completed for "&amp;$C1751&amp;"."&amp;CHAR(10)&amp;CHAR(10)&amp;"QUALITY AUDIT DETAILS"&amp;CHAR(10)&amp;"Agent Name: "&amp;$C1751&amp;" (EID "&amp;$D1751&amp;")"&amp;CHAR(10)&amp;"Audit Date: "&amp;TEXT($B1751,"yyyy-mm-dd")&amp;CHAR(10)&amp;"Team Leader: "&amp;$F1751&amp;CHAR(10)&amp;"Case Number: "&amp;$M1751&amp;CHAR(10)&amp;"Transaction ID: "&amp;$N1751&amp;CHAR(10)&amp;"Channel / LOB: "&amp;$K1751&amp;" / "&amp;$L1751&amp;CHAR(10)&amp;"Evaluator: "&amp;$S1751&amp;CHAR(10)&amp;CHAR(10)&amp;"INVALID QUALITY AUDIT DETAILS"&amp;CHAR(10)&amp;"Validation: Invalid"&amp;CHAR(10)&amp;"Invalid Reason: "&amp;$P1751&amp;CHAR(10)&amp;"Expected Resolution Code: "&amp;$Q1751&amp;CHAR(10)&amp;"Remarks: "&amp;LEFT($R1751,600)&amp;CHAR(10)&amp;CHAR(10)&amp;"This is an automated notification from HP Mainstream EQMS."),"✉ Open Email Draft"),"")</f>
        <v/>
      </c>
    </row>
    <row r="1752">
      <c r="A1752" s="25">
        <f>IF($C1752="","","AUD-2026-"&amp;TEXT(ROW()-1,"000000"))</f>
        <v/>
      </c>
      <c r="B1752" s="26" t="n"/>
      <c r="C1752" s="27" t="n"/>
      <c r="D1752" s="25">
        <f>IF($C1752="","",IFERROR(IF(INDEX(Roster!$A:$A,MATCH($C1752,Roster!$B:$B,0))="","",INDEX(Roster!$A:$A,MATCH($C1752,Roster!$B:$B,0))&amp;""),"—"))</f>
        <v/>
      </c>
      <c r="E1752" s="25">
        <f>IF($C1752="","",IFERROR(IF(INDEX(Roster!$C:$C,MATCH($C1752,Roster!$B:$B,0))="","",INDEX(Roster!$C:$C,MATCH($C1752,Roster!$B:$B,0))&amp;""),"—"))</f>
        <v/>
      </c>
      <c r="F1752" s="25">
        <f>IF($C1752="","",IFERROR(IF(INDEX(Roster!$D:$D,MATCH($C1752,Roster!$B:$B,0))="","",INDEX(Roster!$D:$D,MATCH($C1752,Roster!$B:$B,0))&amp;""),"—"))</f>
        <v/>
      </c>
      <c r="G1752" s="25">
        <f>IF($C1752="","",IFERROR(IF(INDEX(Roster!$E:$E,MATCH($C1752,Roster!$B:$B,0))="","",INDEX(Roster!$E:$E,MATCH($C1752,Roster!$B:$B,0))&amp;""),"—"))</f>
        <v/>
      </c>
      <c r="H1752" s="25">
        <f>IF($C1752="","",IFERROR(IF(INDEX(Roster!$F:$F,MATCH($C1752,Roster!$B:$B,0))="","",INDEX(Roster!$F:$F,MATCH($C1752,Roster!$B:$B,0))&amp;""),"—"))</f>
        <v/>
      </c>
      <c r="I1752" s="25">
        <f>IF($C1752="","",IFERROR(IF(INDEX(Roster!$G:$G,MATCH($C1752,Roster!$B:$B,0))="","",INDEX(Roster!$G:$G,MATCH($C1752,Roster!$B:$B,0))&amp;""),"—"))</f>
        <v/>
      </c>
      <c r="J1752" s="25">
        <f>IF($C1752="","",IFERROR(IF(INDEX(Roster!$I:$I,MATCH($C1752,Roster!$B:$B,0))="","",INDEX(Roster!$I:$I,MATCH($C1752,Roster!$B:$B,0))&amp;""),"—"))</f>
        <v/>
      </c>
      <c r="K1752">
        <f>IF($C1752="","",IFERROR(IF(INDEX(Roster!$J:$J,MATCH($C1752,Roster!$B:$B,0))="","",INDEX(Roster!$J:$J,MATCH($C1752,Roster!$B:$B,0))&amp;""),"—"))</f>
        <v/>
      </c>
      <c r="L1752">
        <f>IF($C1752="","",IFERROR(IF(INDEX(Roster!$K:$K,MATCH($C1752,Roster!$B:$B,0))="","",INDEX(Roster!$K:$K,MATCH($C1752,Roster!$B:$B,0))&amp;""),"—"))</f>
        <v/>
      </c>
      <c r="M1752" s="27" t="n"/>
      <c r="N1752" s="27" t="n"/>
      <c r="O1752" s="25">
        <f>IF($C1752="","",IF($P1752="","—",IF($P1752="Valid (Pass)","Valid","Invalid")))</f>
        <v/>
      </c>
      <c r="P1752" s="27" t="n"/>
      <c r="Q1752" s="27" t="n"/>
      <c r="R1752" s="27" t="n"/>
      <c r="S1752" s="27" t="n"/>
      <c r="T1752" s="25">
        <f>IF($C1752="","",IF(OR(ISNUMBER(SEARCH("quick case",$P1752)),ISNUMBER(SEARCH("quick case",$Q1752))),"Yes","No"))</f>
        <v/>
      </c>
      <c r="U1752" s="25">
        <f>IF($O1752="Invalid",HYPERLINK("mailto:"&amp;$G1752&amp;";"&amp;$I1752&amp;"?cc="&amp;Lists!$E$2&amp;"&amp;subject="&amp;_xlfn.ENCODEURL("[INVALID] Quality audit monitoring completed for "&amp;UPPER($C1752))&amp;"&amp;body="&amp;_xlfn.ENCODEURL("Hi "&amp;$F1752&amp;","&amp;CHAR(10)&amp;"Good day!"&amp;CHAR(10)&amp;CHAR(10)&amp;"A quality monitoring audit has been completed for "&amp;$C1752&amp;"."&amp;CHAR(10)&amp;CHAR(10)&amp;"QUALITY AUDIT DETAILS"&amp;CHAR(10)&amp;"Agent Name: "&amp;$C1752&amp;" (EID "&amp;$D1752&amp;")"&amp;CHAR(10)&amp;"Audit Date: "&amp;TEXT($B1752,"yyyy-mm-dd")&amp;CHAR(10)&amp;"Team Leader: "&amp;$F1752&amp;CHAR(10)&amp;"Case Number: "&amp;$M1752&amp;CHAR(10)&amp;"Transaction ID: "&amp;$N1752&amp;CHAR(10)&amp;"Channel / LOB: "&amp;$K1752&amp;" / "&amp;$L1752&amp;CHAR(10)&amp;"Evaluator: "&amp;$S1752&amp;CHAR(10)&amp;CHAR(10)&amp;"INVALID QUALITY AUDIT DETAILS"&amp;CHAR(10)&amp;"Validation: Invalid"&amp;CHAR(10)&amp;"Invalid Reason: "&amp;$P1752&amp;CHAR(10)&amp;"Expected Resolution Code: "&amp;$Q1752&amp;CHAR(10)&amp;"Remarks: "&amp;LEFT($R1752,600)&amp;CHAR(10)&amp;CHAR(10)&amp;"This is an automated notification from HP Mainstream EQMS."),"✉ Open Email Draft"),"")</f>
        <v/>
      </c>
    </row>
    <row r="1753">
      <c r="A1753" s="25">
        <f>IF($C1753="","","AUD-2026-"&amp;TEXT(ROW()-1,"000000"))</f>
        <v/>
      </c>
      <c r="B1753" s="26" t="n"/>
      <c r="C1753" s="27" t="n"/>
      <c r="D1753" s="25">
        <f>IF($C1753="","",IFERROR(IF(INDEX(Roster!$A:$A,MATCH($C1753,Roster!$B:$B,0))="","",INDEX(Roster!$A:$A,MATCH($C1753,Roster!$B:$B,0))&amp;""),"—"))</f>
        <v/>
      </c>
      <c r="E1753" s="25">
        <f>IF($C1753="","",IFERROR(IF(INDEX(Roster!$C:$C,MATCH($C1753,Roster!$B:$B,0))="","",INDEX(Roster!$C:$C,MATCH($C1753,Roster!$B:$B,0))&amp;""),"—"))</f>
        <v/>
      </c>
      <c r="F1753" s="25">
        <f>IF($C1753="","",IFERROR(IF(INDEX(Roster!$D:$D,MATCH($C1753,Roster!$B:$B,0))="","",INDEX(Roster!$D:$D,MATCH($C1753,Roster!$B:$B,0))&amp;""),"—"))</f>
        <v/>
      </c>
      <c r="G1753" s="25">
        <f>IF($C1753="","",IFERROR(IF(INDEX(Roster!$E:$E,MATCH($C1753,Roster!$B:$B,0))="","",INDEX(Roster!$E:$E,MATCH($C1753,Roster!$B:$B,0))&amp;""),"—"))</f>
        <v/>
      </c>
      <c r="H1753" s="25">
        <f>IF($C1753="","",IFERROR(IF(INDEX(Roster!$F:$F,MATCH($C1753,Roster!$B:$B,0))="","",INDEX(Roster!$F:$F,MATCH($C1753,Roster!$B:$B,0))&amp;""),"—"))</f>
        <v/>
      </c>
      <c r="I1753" s="25">
        <f>IF($C1753="","",IFERROR(IF(INDEX(Roster!$G:$G,MATCH($C1753,Roster!$B:$B,0))="","",INDEX(Roster!$G:$G,MATCH($C1753,Roster!$B:$B,0))&amp;""),"—"))</f>
        <v/>
      </c>
      <c r="J1753" s="25">
        <f>IF($C1753="","",IFERROR(IF(INDEX(Roster!$I:$I,MATCH($C1753,Roster!$B:$B,0))="","",INDEX(Roster!$I:$I,MATCH($C1753,Roster!$B:$B,0))&amp;""),"—"))</f>
        <v/>
      </c>
      <c r="K1753">
        <f>IF($C1753="","",IFERROR(IF(INDEX(Roster!$J:$J,MATCH($C1753,Roster!$B:$B,0))="","",INDEX(Roster!$J:$J,MATCH($C1753,Roster!$B:$B,0))&amp;""),"—"))</f>
        <v/>
      </c>
      <c r="L1753">
        <f>IF($C1753="","",IFERROR(IF(INDEX(Roster!$K:$K,MATCH($C1753,Roster!$B:$B,0))="","",INDEX(Roster!$K:$K,MATCH($C1753,Roster!$B:$B,0))&amp;""),"—"))</f>
        <v/>
      </c>
      <c r="M1753" s="27" t="n"/>
      <c r="N1753" s="27" t="n"/>
      <c r="O1753" s="25">
        <f>IF($C1753="","",IF($P1753="","—",IF($P1753="Valid (Pass)","Valid","Invalid")))</f>
        <v/>
      </c>
      <c r="P1753" s="27" t="n"/>
      <c r="Q1753" s="27" t="n"/>
      <c r="R1753" s="27" t="n"/>
      <c r="S1753" s="27" t="n"/>
      <c r="T1753" s="25">
        <f>IF($C1753="","",IF(OR(ISNUMBER(SEARCH("quick case",$P1753)),ISNUMBER(SEARCH("quick case",$Q1753))),"Yes","No"))</f>
        <v/>
      </c>
      <c r="U1753" s="25">
        <f>IF($O1753="Invalid",HYPERLINK("mailto:"&amp;$G1753&amp;";"&amp;$I1753&amp;"?cc="&amp;Lists!$E$2&amp;"&amp;subject="&amp;_xlfn.ENCODEURL("[INVALID] Quality audit monitoring completed for "&amp;UPPER($C1753))&amp;"&amp;body="&amp;_xlfn.ENCODEURL("Hi "&amp;$F1753&amp;","&amp;CHAR(10)&amp;"Good day!"&amp;CHAR(10)&amp;CHAR(10)&amp;"A quality monitoring audit has been completed for "&amp;$C1753&amp;"."&amp;CHAR(10)&amp;CHAR(10)&amp;"QUALITY AUDIT DETAILS"&amp;CHAR(10)&amp;"Agent Name: "&amp;$C1753&amp;" (EID "&amp;$D1753&amp;")"&amp;CHAR(10)&amp;"Audit Date: "&amp;TEXT($B1753,"yyyy-mm-dd")&amp;CHAR(10)&amp;"Team Leader: "&amp;$F1753&amp;CHAR(10)&amp;"Case Number: "&amp;$M1753&amp;CHAR(10)&amp;"Transaction ID: "&amp;$N1753&amp;CHAR(10)&amp;"Channel / LOB: "&amp;$K1753&amp;" / "&amp;$L1753&amp;CHAR(10)&amp;"Evaluator: "&amp;$S1753&amp;CHAR(10)&amp;CHAR(10)&amp;"INVALID QUALITY AUDIT DETAILS"&amp;CHAR(10)&amp;"Validation: Invalid"&amp;CHAR(10)&amp;"Invalid Reason: "&amp;$P1753&amp;CHAR(10)&amp;"Expected Resolution Code: "&amp;$Q1753&amp;CHAR(10)&amp;"Remarks: "&amp;LEFT($R1753,600)&amp;CHAR(10)&amp;CHAR(10)&amp;"This is an automated notification from HP Mainstream EQMS."),"✉ Open Email Draft"),"")</f>
        <v/>
      </c>
    </row>
    <row r="1754">
      <c r="A1754" s="25">
        <f>IF($C1754="","","AUD-2026-"&amp;TEXT(ROW()-1,"000000"))</f>
        <v/>
      </c>
      <c r="B1754" s="26" t="n"/>
      <c r="C1754" s="27" t="n"/>
      <c r="D1754" s="25">
        <f>IF($C1754="","",IFERROR(IF(INDEX(Roster!$A:$A,MATCH($C1754,Roster!$B:$B,0))="","",INDEX(Roster!$A:$A,MATCH($C1754,Roster!$B:$B,0))&amp;""),"—"))</f>
        <v/>
      </c>
      <c r="E1754" s="25">
        <f>IF($C1754="","",IFERROR(IF(INDEX(Roster!$C:$C,MATCH($C1754,Roster!$B:$B,0))="","",INDEX(Roster!$C:$C,MATCH($C1754,Roster!$B:$B,0))&amp;""),"—"))</f>
        <v/>
      </c>
      <c r="F1754" s="25">
        <f>IF($C1754="","",IFERROR(IF(INDEX(Roster!$D:$D,MATCH($C1754,Roster!$B:$B,0))="","",INDEX(Roster!$D:$D,MATCH($C1754,Roster!$B:$B,0))&amp;""),"—"))</f>
        <v/>
      </c>
      <c r="G1754" s="25">
        <f>IF($C1754="","",IFERROR(IF(INDEX(Roster!$E:$E,MATCH($C1754,Roster!$B:$B,0))="","",INDEX(Roster!$E:$E,MATCH($C1754,Roster!$B:$B,0))&amp;""),"—"))</f>
        <v/>
      </c>
      <c r="H1754" s="25">
        <f>IF($C1754="","",IFERROR(IF(INDEX(Roster!$F:$F,MATCH($C1754,Roster!$B:$B,0))="","",INDEX(Roster!$F:$F,MATCH($C1754,Roster!$B:$B,0))&amp;""),"—"))</f>
        <v/>
      </c>
      <c r="I1754" s="25">
        <f>IF($C1754="","",IFERROR(IF(INDEX(Roster!$G:$G,MATCH($C1754,Roster!$B:$B,0))="","",INDEX(Roster!$G:$G,MATCH($C1754,Roster!$B:$B,0))&amp;""),"—"))</f>
        <v/>
      </c>
      <c r="J1754" s="25">
        <f>IF($C1754="","",IFERROR(IF(INDEX(Roster!$I:$I,MATCH($C1754,Roster!$B:$B,0))="","",INDEX(Roster!$I:$I,MATCH($C1754,Roster!$B:$B,0))&amp;""),"—"))</f>
        <v/>
      </c>
      <c r="K1754">
        <f>IF($C1754="","",IFERROR(IF(INDEX(Roster!$J:$J,MATCH($C1754,Roster!$B:$B,0))="","",INDEX(Roster!$J:$J,MATCH($C1754,Roster!$B:$B,0))&amp;""),"—"))</f>
        <v/>
      </c>
      <c r="L1754">
        <f>IF($C1754="","",IFERROR(IF(INDEX(Roster!$K:$K,MATCH($C1754,Roster!$B:$B,0))="","",INDEX(Roster!$K:$K,MATCH($C1754,Roster!$B:$B,0))&amp;""),"—"))</f>
        <v/>
      </c>
      <c r="M1754" s="27" t="n"/>
      <c r="N1754" s="27" t="n"/>
      <c r="O1754" s="25">
        <f>IF($C1754="","",IF($P1754="","—",IF($P1754="Valid (Pass)","Valid","Invalid")))</f>
        <v/>
      </c>
      <c r="P1754" s="27" t="n"/>
      <c r="Q1754" s="27" t="n"/>
      <c r="R1754" s="27" t="n"/>
      <c r="S1754" s="27" t="n"/>
      <c r="T1754" s="25">
        <f>IF($C1754="","",IF(OR(ISNUMBER(SEARCH("quick case",$P1754)),ISNUMBER(SEARCH("quick case",$Q1754))),"Yes","No"))</f>
        <v/>
      </c>
      <c r="U1754" s="25">
        <f>IF($O1754="Invalid",HYPERLINK("mailto:"&amp;$G1754&amp;";"&amp;$I1754&amp;"?cc="&amp;Lists!$E$2&amp;"&amp;subject="&amp;_xlfn.ENCODEURL("[INVALID] Quality audit monitoring completed for "&amp;UPPER($C1754))&amp;"&amp;body="&amp;_xlfn.ENCODEURL("Hi "&amp;$F1754&amp;","&amp;CHAR(10)&amp;"Good day!"&amp;CHAR(10)&amp;CHAR(10)&amp;"A quality monitoring audit has been completed for "&amp;$C1754&amp;"."&amp;CHAR(10)&amp;CHAR(10)&amp;"QUALITY AUDIT DETAILS"&amp;CHAR(10)&amp;"Agent Name: "&amp;$C1754&amp;" (EID "&amp;$D1754&amp;")"&amp;CHAR(10)&amp;"Audit Date: "&amp;TEXT($B1754,"yyyy-mm-dd")&amp;CHAR(10)&amp;"Team Leader: "&amp;$F1754&amp;CHAR(10)&amp;"Case Number: "&amp;$M1754&amp;CHAR(10)&amp;"Transaction ID: "&amp;$N1754&amp;CHAR(10)&amp;"Channel / LOB: "&amp;$K1754&amp;" / "&amp;$L1754&amp;CHAR(10)&amp;"Evaluator: "&amp;$S1754&amp;CHAR(10)&amp;CHAR(10)&amp;"INVALID QUALITY AUDIT DETAILS"&amp;CHAR(10)&amp;"Validation: Invalid"&amp;CHAR(10)&amp;"Invalid Reason: "&amp;$P1754&amp;CHAR(10)&amp;"Expected Resolution Code: "&amp;$Q1754&amp;CHAR(10)&amp;"Remarks: "&amp;LEFT($R1754,600)&amp;CHAR(10)&amp;CHAR(10)&amp;"This is an automated notification from HP Mainstream EQMS."),"✉ Open Email Draft"),"")</f>
        <v/>
      </c>
    </row>
    <row r="1755">
      <c r="A1755" s="25">
        <f>IF($C1755="","","AUD-2026-"&amp;TEXT(ROW()-1,"000000"))</f>
        <v/>
      </c>
      <c r="B1755" s="26" t="n"/>
      <c r="C1755" s="27" t="n"/>
      <c r="D1755" s="25">
        <f>IF($C1755="","",IFERROR(IF(INDEX(Roster!$A:$A,MATCH($C1755,Roster!$B:$B,0))="","",INDEX(Roster!$A:$A,MATCH($C1755,Roster!$B:$B,0))&amp;""),"—"))</f>
        <v/>
      </c>
      <c r="E1755" s="25">
        <f>IF($C1755="","",IFERROR(IF(INDEX(Roster!$C:$C,MATCH($C1755,Roster!$B:$B,0))="","",INDEX(Roster!$C:$C,MATCH($C1755,Roster!$B:$B,0))&amp;""),"—"))</f>
        <v/>
      </c>
      <c r="F1755" s="25">
        <f>IF($C1755="","",IFERROR(IF(INDEX(Roster!$D:$D,MATCH($C1755,Roster!$B:$B,0))="","",INDEX(Roster!$D:$D,MATCH($C1755,Roster!$B:$B,0))&amp;""),"—"))</f>
        <v/>
      </c>
      <c r="G1755" s="25">
        <f>IF($C1755="","",IFERROR(IF(INDEX(Roster!$E:$E,MATCH($C1755,Roster!$B:$B,0))="","",INDEX(Roster!$E:$E,MATCH($C1755,Roster!$B:$B,0))&amp;""),"—"))</f>
        <v/>
      </c>
      <c r="H1755" s="25">
        <f>IF($C1755="","",IFERROR(IF(INDEX(Roster!$F:$F,MATCH($C1755,Roster!$B:$B,0))="","",INDEX(Roster!$F:$F,MATCH($C1755,Roster!$B:$B,0))&amp;""),"—"))</f>
        <v/>
      </c>
      <c r="I1755" s="25">
        <f>IF($C1755="","",IFERROR(IF(INDEX(Roster!$G:$G,MATCH($C1755,Roster!$B:$B,0))="","",INDEX(Roster!$G:$G,MATCH($C1755,Roster!$B:$B,0))&amp;""),"—"))</f>
        <v/>
      </c>
      <c r="J1755" s="25">
        <f>IF($C1755="","",IFERROR(IF(INDEX(Roster!$I:$I,MATCH($C1755,Roster!$B:$B,0))="","",INDEX(Roster!$I:$I,MATCH($C1755,Roster!$B:$B,0))&amp;""),"—"))</f>
        <v/>
      </c>
      <c r="K1755">
        <f>IF($C1755="","",IFERROR(IF(INDEX(Roster!$J:$J,MATCH($C1755,Roster!$B:$B,0))="","",INDEX(Roster!$J:$J,MATCH($C1755,Roster!$B:$B,0))&amp;""),"—"))</f>
        <v/>
      </c>
      <c r="L1755">
        <f>IF($C1755="","",IFERROR(IF(INDEX(Roster!$K:$K,MATCH($C1755,Roster!$B:$B,0))="","",INDEX(Roster!$K:$K,MATCH($C1755,Roster!$B:$B,0))&amp;""),"—"))</f>
        <v/>
      </c>
      <c r="M1755" s="27" t="n"/>
      <c r="N1755" s="27" t="n"/>
      <c r="O1755" s="25">
        <f>IF($C1755="","",IF($P1755="","—",IF($P1755="Valid (Pass)","Valid","Invalid")))</f>
        <v/>
      </c>
      <c r="P1755" s="27" t="n"/>
      <c r="Q1755" s="27" t="n"/>
      <c r="R1755" s="27" t="n"/>
      <c r="S1755" s="27" t="n"/>
      <c r="T1755" s="25">
        <f>IF($C1755="","",IF(OR(ISNUMBER(SEARCH("quick case",$P1755)),ISNUMBER(SEARCH("quick case",$Q1755))),"Yes","No"))</f>
        <v/>
      </c>
      <c r="U1755" s="25">
        <f>IF($O1755="Invalid",HYPERLINK("mailto:"&amp;$G1755&amp;";"&amp;$I1755&amp;"?cc="&amp;Lists!$E$2&amp;"&amp;subject="&amp;_xlfn.ENCODEURL("[INVALID] Quality audit monitoring completed for "&amp;UPPER($C1755))&amp;"&amp;body="&amp;_xlfn.ENCODEURL("Hi "&amp;$F1755&amp;","&amp;CHAR(10)&amp;"Good day!"&amp;CHAR(10)&amp;CHAR(10)&amp;"A quality monitoring audit has been completed for "&amp;$C1755&amp;"."&amp;CHAR(10)&amp;CHAR(10)&amp;"QUALITY AUDIT DETAILS"&amp;CHAR(10)&amp;"Agent Name: "&amp;$C1755&amp;" (EID "&amp;$D1755&amp;")"&amp;CHAR(10)&amp;"Audit Date: "&amp;TEXT($B1755,"yyyy-mm-dd")&amp;CHAR(10)&amp;"Team Leader: "&amp;$F1755&amp;CHAR(10)&amp;"Case Number: "&amp;$M1755&amp;CHAR(10)&amp;"Transaction ID: "&amp;$N1755&amp;CHAR(10)&amp;"Channel / LOB: "&amp;$K1755&amp;" / "&amp;$L1755&amp;CHAR(10)&amp;"Evaluator: "&amp;$S1755&amp;CHAR(10)&amp;CHAR(10)&amp;"INVALID QUALITY AUDIT DETAILS"&amp;CHAR(10)&amp;"Validation: Invalid"&amp;CHAR(10)&amp;"Invalid Reason: "&amp;$P1755&amp;CHAR(10)&amp;"Expected Resolution Code: "&amp;$Q1755&amp;CHAR(10)&amp;"Remarks: "&amp;LEFT($R1755,600)&amp;CHAR(10)&amp;CHAR(10)&amp;"This is an automated notification from HP Mainstream EQMS."),"✉ Open Email Draft"),"")</f>
        <v/>
      </c>
    </row>
    <row r="1756">
      <c r="A1756" s="25">
        <f>IF($C1756="","","AUD-2026-"&amp;TEXT(ROW()-1,"000000"))</f>
        <v/>
      </c>
      <c r="B1756" s="26" t="n"/>
      <c r="C1756" s="27" t="n"/>
      <c r="D1756" s="25">
        <f>IF($C1756="","",IFERROR(IF(INDEX(Roster!$A:$A,MATCH($C1756,Roster!$B:$B,0))="","",INDEX(Roster!$A:$A,MATCH($C1756,Roster!$B:$B,0))&amp;""),"—"))</f>
        <v/>
      </c>
      <c r="E1756" s="25">
        <f>IF($C1756="","",IFERROR(IF(INDEX(Roster!$C:$C,MATCH($C1756,Roster!$B:$B,0))="","",INDEX(Roster!$C:$C,MATCH($C1756,Roster!$B:$B,0))&amp;""),"—"))</f>
        <v/>
      </c>
      <c r="F1756" s="25">
        <f>IF($C1756="","",IFERROR(IF(INDEX(Roster!$D:$D,MATCH($C1756,Roster!$B:$B,0))="","",INDEX(Roster!$D:$D,MATCH($C1756,Roster!$B:$B,0))&amp;""),"—"))</f>
        <v/>
      </c>
      <c r="G1756" s="25">
        <f>IF($C1756="","",IFERROR(IF(INDEX(Roster!$E:$E,MATCH($C1756,Roster!$B:$B,0))="","",INDEX(Roster!$E:$E,MATCH($C1756,Roster!$B:$B,0))&amp;""),"—"))</f>
        <v/>
      </c>
      <c r="H1756" s="25">
        <f>IF($C1756="","",IFERROR(IF(INDEX(Roster!$F:$F,MATCH($C1756,Roster!$B:$B,0))="","",INDEX(Roster!$F:$F,MATCH($C1756,Roster!$B:$B,0))&amp;""),"—"))</f>
        <v/>
      </c>
      <c r="I1756" s="25">
        <f>IF($C1756="","",IFERROR(IF(INDEX(Roster!$G:$G,MATCH($C1756,Roster!$B:$B,0))="","",INDEX(Roster!$G:$G,MATCH($C1756,Roster!$B:$B,0))&amp;""),"—"))</f>
        <v/>
      </c>
      <c r="J1756" s="25">
        <f>IF($C1756="","",IFERROR(IF(INDEX(Roster!$I:$I,MATCH($C1756,Roster!$B:$B,0))="","",INDEX(Roster!$I:$I,MATCH($C1756,Roster!$B:$B,0))&amp;""),"—"))</f>
        <v/>
      </c>
      <c r="K1756">
        <f>IF($C1756="","",IFERROR(IF(INDEX(Roster!$J:$J,MATCH($C1756,Roster!$B:$B,0))="","",INDEX(Roster!$J:$J,MATCH($C1756,Roster!$B:$B,0))&amp;""),"—"))</f>
        <v/>
      </c>
      <c r="L1756">
        <f>IF($C1756="","",IFERROR(IF(INDEX(Roster!$K:$K,MATCH($C1756,Roster!$B:$B,0))="","",INDEX(Roster!$K:$K,MATCH($C1756,Roster!$B:$B,0))&amp;""),"—"))</f>
        <v/>
      </c>
      <c r="M1756" s="27" t="n"/>
      <c r="N1756" s="27" t="n"/>
      <c r="O1756" s="25">
        <f>IF($C1756="","",IF($P1756="","—",IF($P1756="Valid (Pass)","Valid","Invalid")))</f>
        <v/>
      </c>
      <c r="P1756" s="27" t="n"/>
      <c r="Q1756" s="27" t="n"/>
      <c r="R1756" s="27" t="n"/>
      <c r="S1756" s="27" t="n"/>
      <c r="T1756" s="25">
        <f>IF($C1756="","",IF(OR(ISNUMBER(SEARCH("quick case",$P1756)),ISNUMBER(SEARCH("quick case",$Q1756))),"Yes","No"))</f>
        <v/>
      </c>
      <c r="U1756" s="25">
        <f>IF($O1756="Invalid",HYPERLINK("mailto:"&amp;$G1756&amp;";"&amp;$I1756&amp;"?cc="&amp;Lists!$E$2&amp;"&amp;subject="&amp;_xlfn.ENCODEURL("[INVALID] Quality audit monitoring completed for "&amp;UPPER($C1756))&amp;"&amp;body="&amp;_xlfn.ENCODEURL("Hi "&amp;$F1756&amp;","&amp;CHAR(10)&amp;"Good day!"&amp;CHAR(10)&amp;CHAR(10)&amp;"A quality monitoring audit has been completed for "&amp;$C1756&amp;"."&amp;CHAR(10)&amp;CHAR(10)&amp;"QUALITY AUDIT DETAILS"&amp;CHAR(10)&amp;"Agent Name: "&amp;$C1756&amp;" (EID "&amp;$D1756&amp;")"&amp;CHAR(10)&amp;"Audit Date: "&amp;TEXT($B1756,"yyyy-mm-dd")&amp;CHAR(10)&amp;"Team Leader: "&amp;$F1756&amp;CHAR(10)&amp;"Case Number: "&amp;$M1756&amp;CHAR(10)&amp;"Transaction ID: "&amp;$N1756&amp;CHAR(10)&amp;"Channel / LOB: "&amp;$K1756&amp;" / "&amp;$L1756&amp;CHAR(10)&amp;"Evaluator: "&amp;$S1756&amp;CHAR(10)&amp;CHAR(10)&amp;"INVALID QUALITY AUDIT DETAILS"&amp;CHAR(10)&amp;"Validation: Invalid"&amp;CHAR(10)&amp;"Invalid Reason: "&amp;$P1756&amp;CHAR(10)&amp;"Expected Resolution Code: "&amp;$Q1756&amp;CHAR(10)&amp;"Remarks: "&amp;LEFT($R1756,600)&amp;CHAR(10)&amp;CHAR(10)&amp;"This is an automated notification from HP Mainstream EQMS."),"✉ Open Email Draft"),"")</f>
        <v/>
      </c>
    </row>
    <row r="1757">
      <c r="A1757" s="25">
        <f>IF($C1757="","","AUD-2026-"&amp;TEXT(ROW()-1,"000000"))</f>
        <v/>
      </c>
      <c r="B1757" s="26" t="n"/>
      <c r="C1757" s="27" t="n"/>
      <c r="D1757" s="25">
        <f>IF($C1757="","",IFERROR(IF(INDEX(Roster!$A:$A,MATCH($C1757,Roster!$B:$B,0))="","",INDEX(Roster!$A:$A,MATCH($C1757,Roster!$B:$B,0))&amp;""),"—"))</f>
        <v/>
      </c>
      <c r="E1757" s="25">
        <f>IF($C1757="","",IFERROR(IF(INDEX(Roster!$C:$C,MATCH($C1757,Roster!$B:$B,0))="","",INDEX(Roster!$C:$C,MATCH($C1757,Roster!$B:$B,0))&amp;""),"—"))</f>
        <v/>
      </c>
      <c r="F1757" s="25">
        <f>IF($C1757="","",IFERROR(IF(INDEX(Roster!$D:$D,MATCH($C1757,Roster!$B:$B,0))="","",INDEX(Roster!$D:$D,MATCH($C1757,Roster!$B:$B,0))&amp;""),"—"))</f>
        <v/>
      </c>
      <c r="G1757" s="25">
        <f>IF($C1757="","",IFERROR(IF(INDEX(Roster!$E:$E,MATCH($C1757,Roster!$B:$B,0))="","",INDEX(Roster!$E:$E,MATCH($C1757,Roster!$B:$B,0))&amp;""),"—"))</f>
        <v/>
      </c>
      <c r="H1757" s="25">
        <f>IF($C1757="","",IFERROR(IF(INDEX(Roster!$F:$F,MATCH($C1757,Roster!$B:$B,0))="","",INDEX(Roster!$F:$F,MATCH($C1757,Roster!$B:$B,0))&amp;""),"—"))</f>
        <v/>
      </c>
      <c r="I1757" s="25">
        <f>IF($C1757="","",IFERROR(IF(INDEX(Roster!$G:$G,MATCH($C1757,Roster!$B:$B,0))="","",INDEX(Roster!$G:$G,MATCH($C1757,Roster!$B:$B,0))&amp;""),"—"))</f>
        <v/>
      </c>
      <c r="J1757" s="25">
        <f>IF($C1757="","",IFERROR(IF(INDEX(Roster!$I:$I,MATCH($C1757,Roster!$B:$B,0))="","",INDEX(Roster!$I:$I,MATCH($C1757,Roster!$B:$B,0))&amp;""),"—"))</f>
        <v/>
      </c>
      <c r="K1757">
        <f>IF($C1757="","",IFERROR(IF(INDEX(Roster!$J:$J,MATCH($C1757,Roster!$B:$B,0))="","",INDEX(Roster!$J:$J,MATCH($C1757,Roster!$B:$B,0))&amp;""),"—"))</f>
        <v/>
      </c>
      <c r="L1757">
        <f>IF($C1757="","",IFERROR(IF(INDEX(Roster!$K:$K,MATCH($C1757,Roster!$B:$B,0))="","",INDEX(Roster!$K:$K,MATCH($C1757,Roster!$B:$B,0))&amp;""),"—"))</f>
        <v/>
      </c>
      <c r="M1757" s="27" t="n"/>
      <c r="N1757" s="27" t="n"/>
      <c r="O1757" s="25">
        <f>IF($C1757="","",IF($P1757="","—",IF($P1757="Valid (Pass)","Valid","Invalid")))</f>
        <v/>
      </c>
      <c r="P1757" s="27" t="n"/>
      <c r="Q1757" s="27" t="n"/>
      <c r="R1757" s="27" t="n"/>
      <c r="S1757" s="27" t="n"/>
      <c r="T1757" s="25">
        <f>IF($C1757="","",IF(OR(ISNUMBER(SEARCH("quick case",$P1757)),ISNUMBER(SEARCH("quick case",$Q1757))),"Yes","No"))</f>
        <v/>
      </c>
      <c r="U1757" s="25">
        <f>IF($O1757="Invalid",HYPERLINK("mailto:"&amp;$G1757&amp;";"&amp;$I1757&amp;"?cc="&amp;Lists!$E$2&amp;"&amp;subject="&amp;_xlfn.ENCODEURL("[INVALID] Quality audit monitoring completed for "&amp;UPPER($C1757))&amp;"&amp;body="&amp;_xlfn.ENCODEURL("Hi "&amp;$F1757&amp;","&amp;CHAR(10)&amp;"Good day!"&amp;CHAR(10)&amp;CHAR(10)&amp;"A quality monitoring audit has been completed for "&amp;$C1757&amp;"."&amp;CHAR(10)&amp;CHAR(10)&amp;"QUALITY AUDIT DETAILS"&amp;CHAR(10)&amp;"Agent Name: "&amp;$C1757&amp;" (EID "&amp;$D1757&amp;")"&amp;CHAR(10)&amp;"Audit Date: "&amp;TEXT($B1757,"yyyy-mm-dd")&amp;CHAR(10)&amp;"Team Leader: "&amp;$F1757&amp;CHAR(10)&amp;"Case Number: "&amp;$M1757&amp;CHAR(10)&amp;"Transaction ID: "&amp;$N1757&amp;CHAR(10)&amp;"Channel / LOB: "&amp;$K1757&amp;" / "&amp;$L1757&amp;CHAR(10)&amp;"Evaluator: "&amp;$S1757&amp;CHAR(10)&amp;CHAR(10)&amp;"INVALID QUALITY AUDIT DETAILS"&amp;CHAR(10)&amp;"Validation: Invalid"&amp;CHAR(10)&amp;"Invalid Reason: "&amp;$P1757&amp;CHAR(10)&amp;"Expected Resolution Code: "&amp;$Q1757&amp;CHAR(10)&amp;"Remarks: "&amp;LEFT($R1757,600)&amp;CHAR(10)&amp;CHAR(10)&amp;"This is an automated notification from HP Mainstream EQMS."),"✉ Open Email Draft"),"")</f>
        <v/>
      </c>
    </row>
    <row r="1758">
      <c r="A1758" s="25">
        <f>IF($C1758="","","AUD-2026-"&amp;TEXT(ROW()-1,"000000"))</f>
        <v/>
      </c>
      <c r="B1758" s="26" t="n"/>
      <c r="C1758" s="27" t="n"/>
      <c r="D1758" s="25">
        <f>IF($C1758="","",IFERROR(IF(INDEX(Roster!$A:$A,MATCH($C1758,Roster!$B:$B,0))="","",INDEX(Roster!$A:$A,MATCH($C1758,Roster!$B:$B,0))&amp;""),"—"))</f>
        <v/>
      </c>
      <c r="E1758" s="25">
        <f>IF($C1758="","",IFERROR(IF(INDEX(Roster!$C:$C,MATCH($C1758,Roster!$B:$B,0))="","",INDEX(Roster!$C:$C,MATCH($C1758,Roster!$B:$B,0))&amp;""),"—"))</f>
        <v/>
      </c>
      <c r="F1758" s="25">
        <f>IF($C1758="","",IFERROR(IF(INDEX(Roster!$D:$D,MATCH($C1758,Roster!$B:$B,0))="","",INDEX(Roster!$D:$D,MATCH($C1758,Roster!$B:$B,0))&amp;""),"—"))</f>
        <v/>
      </c>
      <c r="G1758" s="25">
        <f>IF($C1758="","",IFERROR(IF(INDEX(Roster!$E:$E,MATCH($C1758,Roster!$B:$B,0))="","",INDEX(Roster!$E:$E,MATCH($C1758,Roster!$B:$B,0))&amp;""),"—"))</f>
        <v/>
      </c>
      <c r="H1758" s="25">
        <f>IF($C1758="","",IFERROR(IF(INDEX(Roster!$F:$F,MATCH($C1758,Roster!$B:$B,0))="","",INDEX(Roster!$F:$F,MATCH($C1758,Roster!$B:$B,0))&amp;""),"—"))</f>
        <v/>
      </c>
      <c r="I1758" s="25">
        <f>IF($C1758="","",IFERROR(IF(INDEX(Roster!$G:$G,MATCH($C1758,Roster!$B:$B,0))="","",INDEX(Roster!$G:$G,MATCH($C1758,Roster!$B:$B,0))&amp;""),"—"))</f>
        <v/>
      </c>
      <c r="J1758" s="25">
        <f>IF($C1758="","",IFERROR(IF(INDEX(Roster!$I:$I,MATCH($C1758,Roster!$B:$B,0))="","",INDEX(Roster!$I:$I,MATCH($C1758,Roster!$B:$B,0))&amp;""),"—"))</f>
        <v/>
      </c>
      <c r="K1758">
        <f>IF($C1758="","",IFERROR(IF(INDEX(Roster!$J:$J,MATCH($C1758,Roster!$B:$B,0))="","",INDEX(Roster!$J:$J,MATCH($C1758,Roster!$B:$B,0))&amp;""),"—"))</f>
        <v/>
      </c>
      <c r="L1758">
        <f>IF($C1758="","",IFERROR(IF(INDEX(Roster!$K:$K,MATCH($C1758,Roster!$B:$B,0))="","",INDEX(Roster!$K:$K,MATCH($C1758,Roster!$B:$B,0))&amp;""),"—"))</f>
        <v/>
      </c>
      <c r="M1758" s="27" t="n"/>
      <c r="N1758" s="27" t="n"/>
      <c r="O1758" s="25">
        <f>IF($C1758="","",IF($P1758="","—",IF($P1758="Valid (Pass)","Valid","Invalid")))</f>
        <v/>
      </c>
      <c r="P1758" s="27" t="n"/>
      <c r="Q1758" s="27" t="n"/>
      <c r="R1758" s="27" t="n"/>
      <c r="S1758" s="27" t="n"/>
      <c r="T1758" s="25">
        <f>IF($C1758="","",IF(OR(ISNUMBER(SEARCH("quick case",$P1758)),ISNUMBER(SEARCH("quick case",$Q1758))),"Yes","No"))</f>
        <v/>
      </c>
      <c r="U1758" s="25">
        <f>IF($O1758="Invalid",HYPERLINK("mailto:"&amp;$G1758&amp;";"&amp;$I1758&amp;"?cc="&amp;Lists!$E$2&amp;"&amp;subject="&amp;_xlfn.ENCODEURL("[INVALID] Quality audit monitoring completed for "&amp;UPPER($C1758))&amp;"&amp;body="&amp;_xlfn.ENCODEURL("Hi "&amp;$F1758&amp;","&amp;CHAR(10)&amp;"Good day!"&amp;CHAR(10)&amp;CHAR(10)&amp;"A quality monitoring audit has been completed for "&amp;$C1758&amp;"."&amp;CHAR(10)&amp;CHAR(10)&amp;"QUALITY AUDIT DETAILS"&amp;CHAR(10)&amp;"Agent Name: "&amp;$C1758&amp;" (EID "&amp;$D1758&amp;")"&amp;CHAR(10)&amp;"Audit Date: "&amp;TEXT($B1758,"yyyy-mm-dd")&amp;CHAR(10)&amp;"Team Leader: "&amp;$F1758&amp;CHAR(10)&amp;"Case Number: "&amp;$M1758&amp;CHAR(10)&amp;"Transaction ID: "&amp;$N1758&amp;CHAR(10)&amp;"Channel / LOB: "&amp;$K1758&amp;" / "&amp;$L1758&amp;CHAR(10)&amp;"Evaluator: "&amp;$S1758&amp;CHAR(10)&amp;CHAR(10)&amp;"INVALID QUALITY AUDIT DETAILS"&amp;CHAR(10)&amp;"Validation: Invalid"&amp;CHAR(10)&amp;"Invalid Reason: "&amp;$P1758&amp;CHAR(10)&amp;"Expected Resolution Code: "&amp;$Q1758&amp;CHAR(10)&amp;"Remarks: "&amp;LEFT($R1758,600)&amp;CHAR(10)&amp;CHAR(10)&amp;"This is an automated notification from HP Mainstream EQMS."),"✉ Open Email Draft"),"")</f>
        <v/>
      </c>
    </row>
    <row r="1759">
      <c r="A1759" s="25">
        <f>IF($C1759="","","AUD-2026-"&amp;TEXT(ROW()-1,"000000"))</f>
        <v/>
      </c>
      <c r="B1759" s="26" t="n"/>
      <c r="C1759" s="27" t="n"/>
      <c r="D1759" s="25">
        <f>IF($C1759="","",IFERROR(IF(INDEX(Roster!$A:$A,MATCH($C1759,Roster!$B:$B,0))="","",INDEX(Roster!$A:$A,MATCH($C1759,Roster!$B:$B,0))&amp;""),"—"))</f>
        <v/>
      </c>
      <c r="E1759" s="25">
        <f>IF($C1759="","",IFERROR(IF(INDEX(Roster!$C:$C,MATCH($C1759,Roster!$B:$B,0))="","",INDEX(Roster!$C:$C,MATCH($C1759,Roster!$B:$B,0))&amp;""),"—"))</f>
        <v/>
      </c>
      <c r="F1759" s="25">
        <f>IF($C1759="","",IFERROR(IF(INDEX(Roster!$D:$D,MATCH($C1759,Roster!$B:$B,0))="","",INDEX(Roster!$D:$D,MATCH($C1759,Roster!$B:$B,0))&amp;""),"—"))</f>
        <v/>
      </c>
      <c r="G1759" s="25">
        <f>IF($C1759="","",IFERROR(IF(INDEX(Roster!$E:$E,MATCH($C1759,Roster!$B:$B,0))="","",INDEX(Roster!$E:$E,MATCH($C1759,Roster!$B:$B,0))&amp;""),"—"))</f>
        <v/>
      </c>
      <c r="H1759" s="25">
        <f>IF($C1759="","",IFERROR(IF(INDEX(Roster!$F:$F,MATCH($C1759,Roster!$B:$B,0))="","",INDEX(Roster!$F:$F,MATCH($C1759,Roster!$B:$B,0))&amp;""),"—"))</f>
        <v/>
      </c>
      <c r="I1759" s="25">
        <f>IF($C1759="","",IFERROR(IF(INDEX(Roster!$G:$G,MATCH($C1759,Roster!$B:$B,0))="","",INDEX(Roster!$G:$G,MATCH($C1759,Roster!$B:$B,0))&amp;""),"—"))</f>
        <v/>
      </c>
      <c r="J1759" s="25">
        <f>IF($C1759="","",IFERROR(IF(INDEX(Roster!$I:$I,MATCH($C1759,Roster!$B:$B,0))="","",INDEX(Roster!$I:$I,MATCH($C1759,Roster!$B:$B,0))&amp;""),"—"))</f>
        <v/>
      </c>
      <c r="K1759">
        <f>IF($C1759="","",IFERROR(IF(INDEX(Roster!$J:$J,MATCH($C1759,Roster!$B:$B,0))="","",INDEX(Roster!$J:$J,MATCH($C1759,Roster!$B:$B,0))&amp;""),"—"))</f>
        <v/>
      </c>
      <c r="L1759">
        <f>IF($C1759="","",IFERROR(IF(INDEX(Roster!$K:$K,MATCH($C1759,Roster!$B:$B,0))="","",INDEX(Roster!$K:$K,MATCH($C1759,Roster!$B:$B,0))&amp;""),"—"))</f>
        <v/>
      </c>
      <c r="M1759" s="27" t="n"/>
      <c r="N1759" s="27" t="n"/>
      <c r="O1759" s="25">
        <f>IF($C1759="","",IF($P1759="","—",IF($P1759="Valid (Pass)","Valid","Invalid")))</f>
        <v/>
      </c>
      <c r="P1759" s="27" t="n"/>
      <c r="Q1759" s="27" t="n"/>
      <c r="R1759" s="27" t="n"/>
      <c r="S1759" s="27" t="n"/>
      <c r="T1759" s="25">
        <f>IF($C1759="","",IF(OR(ISNUMBER(SEARCH("quick case",$P1759)),ISNUMBER(SEARCH("quick case",$Q1759))),"Yes","No"))</f>
        <v/>
      </c>
      <c r="U1759" s="25">
        <f>IF($O1759="Invalid",HYPERLINK("mailto:"&amp;$G1759&amp;";"&amp;$I1759&amp;"?cc="&amp;Lists!$E$2&amp;"&amp;subject="&amp;_xlfn.ENCODEURL("[INVALID] Quality audit monitoring completed for "&amp;UPPER($C1759))&amp;"&amp;body="&amp;_xlfn.ENCODEURL("Hi "&amp;$F1759&amp;","&amp;CHAR(10)&amp;"Good day!"&amp;CHAR(10)&amp;CHAR(10)&amp;"A quality monitoring audit has been completed for "&amp;$C1759&amp;"."&amp;CHAR(10)&amp;CHAR(10)&amp;"QUALITY AUDIT DETAILS"&amp;CHAR(10)&amp;"Agent Name: "&amp;$C1759&amp;" (EID "&amp;$D1759&amp;")"&amp;CHAR(10)&amp;"Audit Date: "&amp;TEXT($B1759,"yyyy-mm-dd")&amp;CHAR(10)&amp;"Team Leader: "&amp;$F1759&amp;CHAR(10)&amp;"Case Number: "&amp;$M1759&amp;CHAR(10)&amp;"Transaction ID: "&amp;$N1759&amp;CHAR(10)&amp;"Channel / LOB: "&amp;$K1759&amp;" / "&amp;$L1759&amp;CHAR(10)&amp;"Evaluator: "&amp;$S1759&amp;CHAR(10)&amp;CHAR(10)&amp;"INVALID QUALITY AUDIT DETAILS"&amp;CHAR(10)&amp;"Validation: Invalid"&amp;CHAR(10)&amp;"Invalid Reason: "&amp;$P1759&amp;CHAR(10)&amp;"Expected Resolution Code: "&amp;$Q1759&amp;CHAR(10)&amp;"Remarks: "&amp;LEFT($R1759,600)&amp;CHAR(10)&amp;CHAR(10)&amp;"This is an automated notification from HP Mainstream EQMS."),"✉ Open Email Draft"),"")</f>
        <v/>
      </c>
    </row>
    <row r="1760">
      <c r="A1760" s="25">
        <f>IF($C1760="","","AUD-2026-"&amp;TEXT(ROW()-1,"000000"))</f>
        <v/>
      </c>
      <c r="B1760" s="26" t="n"/>
      <c r="C1760" s="27" t="n"/>
      <c r="D1760" s="25">
        <f>IF($C1760="","",IFERROR(IF(INDEX(Roster!$A:$A,MATCH($C1760,Roster!$B:$B,0))="","",INDEX(Roster!$A:$A,MATCH($C1760,Roster!$B:$B,0))&amp;""),"—"))</f>
        <v/>
      </c>
      <c r="E1760" s="25">
        <f>IF($C1760="","",IFERROR(IF(INDEX(Roster!$C:$C,MATCH($C1760,Roster!$B:$B,0))="","",INDEX(Roster!$C:$C,MATCH($C1760,Roster!$B:$B,0))&amp;""),"—"))</f>
        <v/>
      </c>
      <c r="F1760" s="25">
        <f>IF($C1760="","",IFERROR(IF(INDEX(Roster!$D:$D,MATCH($C1760,Roster!$B:$B,0))="","",INDEX(Roster!$D:$D,MATCH($C1760,Roster!$B:$B,0))&amp;""),"—"))</f>
        <v/>
      </c>
      <c r="G1760" s="25">
        <f>IF($C1760="","",IFERROR(IF(INDEX(Roster!$E:$E,MATCH($C1760,Roster!$B:$B,0))="","",INDEX(Roster!$E:$E,MATCH($C1760,Roster!$B:$B,0))&amp;""),"—"))</f>
        <v/>
      </c>
      <c r="H1760" s="25">
        <f>IF($C1760="","",IFERROR(IF(INDEX(Roster!$F:$F,MATCH($C1760,Roster!$B:$B,0))="","",INDEX(Roster!$F:$F,MATCH($C1760,Roster!$B:$B,0))&amp;""),"—"))</f>
        <v/>
      </c>
      <c r="I1760" s="25">
        <f>IF($C1760="","",IFERROR(IF(INDEX(Roster!$G:$G,MATCH($C1760,Roster!$B:$B,0))="","",INDEX(Roster!$G:$G,MATCH($C1760,Roster!$B:$B,0))&amp;""),"—"))</f>
        <v/>
      </c>
      <c r="J1760" s="25">
        <f>IF($C1760="","",IFERROR(IF(INDEX(Roster!$I:$I,MATCH($C1760,Roster!$B:$B,0))="","",INDEX(Roster!$I:$I,MATCH($C1760,Roster!$B:$B,0))&amp;""),"—"))</f>
        <v/>
      </c>
      <c r="K1760">
        <f>IF($C1760="","",IFERROR(IF(INDEX(Roster!$J:$J,MATCH($C1760,Roster!$B:$B,0))="","",INDEX(Roster!$J:$J,MATCH($C1760,Roster!$B:$B,0))&amp;""),"—"))</f>
        <v/>
      </c>
      <c r="L1760">
        <f>IF($C1760="","",IFERROR(IF(INDEX(Roster!$K:$K,MATCH($C1760,Roster!$B:$B,0))="","",INDEX(Roster!$K:$K,MATCH($C1760,Roster!$B:$B,0))&amp;""),"—"))</f>
        <v/>
      </c>
      <c r="M1760" s="27" t="n"/>
      <c r="N1760" s="27" t="n"/>
      <c r="O1760" s="25">
        <f>IF($C1760="","",IF($P1760="","—",IF($P1760="Valid (Pass)","Valid","Invalid")))</f>
        <v/>
      </c>
      <c r="P1760" s="27" t="n"/>
      <c r="Q1760" s="27" t="n"/>
      <c r="R1760" s="27" t="n"/>
      <c r="S1760" s="27" t="n"/>
      <c r="T1760" s="25">
        <f>IF($C1760="","",IF(OR(ISNUMBER(SEARCH("quick case",$P1760)),ISNUMBER(SEARCH("quick case",$Q1760))),"Yes","No"))</f>
        <v/>
      </c>
      <c r="U1760" s="25">
        <f>IF($O1760="Invalid",HYPERLINK("mailto:"&amp;$G1760&amp;";"&amp;$I1760&amp;"?cc="&amp;Lists!$E$2&amp;"&amp;subject="&amp;_xlfn.ENCODEURL("[INVALID] Quality audit monitoring completed for "&amp;UPPER($C1760))&amp;"&amp;body="&amp;_xlfn.ENCODEURL("Hi "&amp;$F1760&amp;","&amp;CHAR(10)&amp;"Good day!"&amp;CHAR(10)&amp;CHAR(10)&amp;"A quality monitoring audit has been completed for "&amp;$C1760&amp;"."&amp;CHAR(10)&amp;CHAR(10)&amp;"QUALITY AUDIT DETAILS"&amp;CHAR(10)&amp;"Agent Name: "&amp;$C1760&amp;" (EID "&amp;$D1760&amp;")"&amp;CHAR(10)&amp;"Audit Date: "&amp;TEXT($B1760,"yyyy-mm-dd")&amp;CHAR(10)&amp;"Team Leader: "&amp;$F1760&amp;CHAR(10)&amp;"Case Number: "&amp;$M1760&amp;CHAR(10)&amp;"Transaction ID: "&amp;$N1760&amp;CHAR(10)&amp;"Channel / LOB: "&amp;$K1760&amp;" / "&amp;$L1760&amp;CHAR(10)&amp;"Evaluator: "&amp;$S1760&amp;CHAR(10)&amp;CHAR(10)&amp;"INVALID QUALITY AUDIT DETAILS"&amp;CHAR(10)&amp;"Validation: Invalid"&amp;CHAR(10)&amp;"Invalid Reason: "&amp;$P1760&amp;CHAR(10)&amp;"Expected Resolution Code: "&amp;$Q1760&amp;CHAR(10)&amp;"Remarks: "&amp;LEFT($R1760,600)&amp;CHAR(10)&amp;CHAR(10)&amp;"This is an automated notification from HP Mainstream EQMS."),"✉ Open Email Draft"),"")</f>
        <v/>
      </c>
    </row>
    <row r="1761">
      <c r="A1761" s="25">
        <f>IF($C1761="","","AUD-2026-"&amp;TEXT(ROW()-1,"000000"))</f>
        <v/>
      </c>
      <c r="B1761" s="26" t="n"/>
      <c r="C1761" s="27" t="n"/>
      <c r="D1761" s="25">
        <f>IF($C1761="","",IFERROR(IF(INDEX(Roster!$A:$A,MATCH($C1761,Roster!$B:$B,0))="","",INDEX(Roster!$A:$A,MATCH($C1761,Roster!$B:$B,0))&amp;""),"—"))</f>
        <v/>
      </c>
      <c r="E1761" s="25">
        <f>IF($C1761="","",IFERROR(IF(INDEX(Roster!$C:$C,MATCH($C1761,Roster!$B:$B,0))="","",INDEX(Roster!$C:$C,MATCH($C1761,Roster!$B:$B,0))&amp;""),"—"))</f>
        <v/>
      </c>
      <c r="F1761" s="25">
        <f>IF($C1761="","",IFERROR(IF(INDEX(Roster!$D:$D,MATCH($C1761,Roster!$B:$B,0))="","",INDEX(Roster!$D:$D,MATCH($C1761,Roster!$B:$B,0))&amp;""),"—"))</f>
        <v/>
      </c>
      <c r="G1761" s="25">
        <f>IF($C1761="","",IFERROR(IF(INDEX(Roster!$E:$E,MATCH($C1761,Roster!$B:$B,0))="","",INDEX(Roster!$E:$E,MATCH($C1761,Roster!$B:$B,0))&amp;""),"—"))</f>
        <v/>
      </c>
      <c r="H1761" s="25">
        <f>IF($C1761="","",IFERROR(IF(INDEX(Roster!$F:$F,MATCH($C1761,Roster!$B:$B,0))="","",INDEX(Roster!$F:$F,MATCH($C1761,Roster!$B:$B,0))&amp;""),"—"))</f>
        <v/>
      </c>
      <c r="I1761" s="25">
        <f>IF($C1761="","",IFERROR(IF(INDEX(Roster!$G:$G,MATCH($C1761,Roster!$B:$B,0))="","",INDEX(Roster!$G:$G,MATCH($C1761,Roster!$B:$B,0))&amp;""),"—"))</f>
        <v/>
      </c>
      <c r="J1761" s="25">
        <f>IF($C1761="","",IFERROR(IF(INDEX(Roster!$I:$I,MATCH($C1761,Roster!$B:$B,0))="","",INDEX(Roster!$I:$I,MATCH($C1761,Roster!$B:$B,0))&amp;""),"—"))</f>
        <v/>
      </c>
      <c r="K1761">
        <f>IF($C1761="","",IFERROR(IF(INDEX(Roster!$J:$J,MATCH($C1761,Roster!$B:$B,0))="","",INDEX(Roster!$J:$J,MATCH($C1761,Roster!$B:$B,0))&amp;""),"—"))</f>
        <v/>
      </c>
      <c r="L1761">
        <f>IF($C1761="","",IFERROR(IF(INDEX(Roster!$K:$K,MATCH($C1761,Roster!$B:$B,0))="","",INDEX(Roster!$K:$K,MATCH($C1761,Roster!$B:$B,0))&amp;""),"—"))</f>
        <v/>
      </c>
      <c r="M1761" s="27" t="n"/>
      <c r="N1761" s="27" t="n"/>
      <c r="O1761" s="25">
        <f>IF($C1761="","",IF($P1761="","—",IF($P1761="Valid (Pass)","Valid","Invalid")))</f>
        <v/>
      </c>
      <c r="P1761" s="27" t="n"/>
      <c r="Q1761" s="27" t="n"/>
      <c r="R1761" s="27" t="n"/>
      <c r="S1761" s="27" t="n"/>
      <c r="T1761" s="25">
        <f>IF($C1761="","",IF(OR(ISNUMBER(SEARCH("quick case",$P1761)),ISNUMBER(SEARCH("quick case",$Q1761))),"Yes","No"))</f>
        <v/>
      </c>
      <c r="U1761" s="25">
        <f>IF($O1761="Invalid",HYPERLINK("mailto:"&amp;$G1761&amp;";"&amp;$I1761&amp;"?cc="&amp;Lists!$E$2&amp;"&amp;subject="&amp;_xlfn.ENCODEURL("[INVALID] Quality audit monitoring completed for "&amp;UPPER($C1761))&amp;"&amp;body="&amp;_xlfn.ENCODEURL("Hi "&amp;$F1761&amp;","&amp;CHAR(10)&amp;"Good day!"&amp;CHAR(10)&amp;CHAR(10)&amp;"A quality monitoring audit has been completed for "&amp;$C1761&amp;"."&amp;CHAR(10)&amp;CHAR(10)&amp;"QUALITY AUDIT DETAILS"&amp;CHAR(10)&amp;"Agent Name: "&amp;$C1761&amp;" (EID "&amp;$D1761&amp;")"&amp;CHAR(10)&amp;"Audit Date: "&amp;TEXT($B1761,"yyyy-mm-dd")&amp;CHAR(10)&amp;"Team Leader: "&amp;$F1761&amp;CHAR(10)&amp;"Case Number: "&amp;$M1761&amp;CHAR(10)&amp;"Transaction ID: "&amp;$N1761&amp;CHAR(10)&amp;"Channel / LOB: "&amp;$K1761&amp;" / "&amp;$L1761&amp;CHAR(10)&amp;"Evaluator: "&amp;$S1761&amp;CHAR(10)&amp;CHAR(10)&amp;"INVALID QUALITY AUDIT DETAILS"&amp;CHAR(10)&amp;"Validation: Invalid"&amp;CHAR(10)&amp;"Invalid Reason: "&amp;$P1761&amp;CHAR(10)&amp;"Expected Resolution Code: "&amp;$Q1761&amp;CHAR(10)&amp;"Remarks: "&amp;LEFT($R1761,600)&amp;CHAR(10)&amp;CHAR(10)&amp;"This is an automated notification from HP Mainstream EQMS."),"✉ Open Email Draft"),"")</f>
        <v/>
      </c>
    </row>
    <row r="1762">
      <c r="A1762" s="25">
        <f>IF($C1762="","","AUD-2026-"&amp;TEXT(ROW()-1,"000000"))</f>
        <v/>
      </c>
      <c r="B1762" s="26" t="n"/>
      <c r="C1762" s="27" t="n"/>
      <c r="D1762" s="25">
        <f>IF($C1762="","",IFERROR(IF(INDEX(Roster!$A:$A,MATCH($C1762,Roster!$B:$B,0))="","",INDEX(Roster!$A:$A,MATCH($C1762,Roster!$B:$B,0))&amp;""),"—"))</f>
        <v/>
      </c>
      <c r="E1762" s="25">
        <f>IF($C1762="","",IFERROR(IF(INDEX(Roster!$C:$C,MATCH($C1762,Roster!$B:$B,0))="","",INDEX(Roster!$C:$C,MATCH($C1762,Roster!$B:$B,0))&amp;""),"—"))</f>
        <v/>
      </c>
      <c r="F1762" s="25">
        <f>IF($C1762="","",IFERROR(IF(INDEX(Roster!$D:$D,MATCH($C1762,Roster!$B:$B,0))="","",INDEX(Roster!$D:$D,MATCH($C1762,Roster!$B:$B,0))&amp;""),"—"))</f>
        <v/>
      </c>
      <c r="G1762" s="25">
        <f>IF($C1762="","",IFERROR(IF(INDEX(Roster!$E:$E,MATCH($C1762,Roster!$B:$B,0))="","",INDEX(Roster!$E:$E,MATCH($C1762,Roster!$B:$B,0))&amp;""),"—"))</f>
        <v/>
      </c>
      <c r="H1762" s="25">
        <f>IF($C1762="","",IFERROR(IF(INDEX(Roster!$F:$F,MATCH($C1762,Roster!$B:$B,0))="","",INDEX(Roster!$F:$F,MATCH($C1762,Roster!$B:$B,0))&amp;""),"—"))</f>
        <v/>
      </c>
      <c r="I1762" s="25">
        <f>IF($C1762="","",IFERROR(IF(INDEX(Roster!$G:$G,MATCH($C1762,Roster!$B:$B,0))="","",INDEX(Roster!$G:$G,MATCH($C1762,Roster!$B:$B,0))&amp;""),"—"))</f>
        <v/>
      </c>
      <c r="J1762" s="25">
        <f>IF($C1762="","",IFERROR(IF(INDEX(Roster!$I:$I,MATCH($C1762,Roster!$B:$B,0))="","",INDEX(Roster!$I:$I,MATCH($C1762,Roster!$B:$B,0))&amp;""),"—"))</f>
        <v/>
      </c>
      <c r="K1762">
        <f>IF($C1762="","",IFERROR(IF(INDEX(Roster!$J:$J,MATCH($C1762,Roster!$B:$B,0))="","",INDEX(Roster!$J:$J,MATCH($C1762,Roster!$B:$B,0))&amp;""),"—"))</f>
        <v/>
      </c>
      <c r="L1762">
        <f>IF($C1762="","",IFERROR(IF(INDEX(Roster!$K:$K,MATCH($C1762,Roster!$B:$B,0))="","",INDEX(Roster!$K:$K,MATCH($C1762,Roster!$B:$B,0))&amp;""),"—"))</f>
        <v/>
      </c>
      <c r="M1762" s="27" t="n"/>
      <c r="N1762" s="27" t="n"/>
      <c r="O1762" s="25">
        <f>IF($C1762="","",IF($P1762="","—",IF($P1762="Valid (Pass)","Valid","Invalid")))</f>
        <v/>
      </c>
      <c r="P1762" s="27" t="n"/>
      <c r="Q1762" s="27" t="n"/>
      <c r="R1762" s="27" t="n"/>
      <c r="S1762" s="27" t="n"/>
      <c r="T1762" s="25">
        <f>IF($C1762="","",IF(OR(ISNUMBER(SEARCH("quick case",$P1762)),ISNUMBER(SEARCH("quick case",$Q1762))),"Yes","No"))</f>
        <v/>
      </c>
      <c r="U1762" s="25">
        <f>IF($O1762="Invalid",HYPERLINK("mailto:"&amp;$G1762&amp;";"&amp;$I1762&amp;"?cc="&amp;Lists!$E$2&amp;"&amp;subject="&amp;_xlfn.ENCODEURL("[INVALID] Quality audit monitoring completed for "&amp;UPPER($C1762))&amp;"&amp;body="&amp;_xlfn.ENCODEURL("Hi "&amp;$F1762&amp;","&amp;CHAR(10)&amp;"Good day!"&amp;CHAR(10)&amp;CHAR(10)&amp;"A quality monitoring audit has been completed for "&amp;$C1762&amp;"."&amp;CHAR(10)&amp;CHAR(10)&amp;"QUALITY AUDIT DETAILS"&amp;CHAR(10)&amp;"Agent Name: "&amp;$C1762&amp;" (EID "&amp;$D1762&amp;")"&amp;CHAR(10)&amp;"Audit Date: "&amp;TEXT($B1762,"yyyy-mm-dd")&amp;CHAR(10)&amp;"Team Leader: "&amp;$F1762&amp;CHAR(10)&amp;"Case Number: "&amp;$M1762&amp;CHAR(10)&amp;"Transaction ID: "&amp;$N1762&amp;CHAR(10)&amp;"Channel / LOB: "&amp;$K1762&amp;" / "&amp;$L1762&amp;CHAR(10)&amp;"Evaluator: "&amp;$S1762&amp;CHAR(10)&amp;CHAR(10)&amp;"INVALID QUALITY AUDIT DETAILS"&amp;CHAR(10)&amp;"Validation: Invalid"&amp;CHAR(10)&amp;"Invalid Reason: "&amp;$P1762&amp;CHAR(10)&amp;"Expected Resolution Code: "&amp;$Q1762&amp;CHAR(10)&amp;"Remarks: "&amp;LEFT($R1762,600)&amp;CHAR(10)&amp;CHAR(10)&amp;"This is an automated notification from HP Mainstream EQMS."),"✉ Open Email Draft"),"")</f>
        <v/>
      </c>
    </row>
    <row r="1763">
      <c r="A1763" s="25">
        <f>IF($C1763="","","AUD-2026-"&amp;TEXT(ROW()-1,"000000"))</f>
        <v/>
      </c>
      <c r="B1763" s="26" t="n"/>
      <c r="C1763" s="27" t="n"/>
      <c r="D1763" s="25">
        <f>IF($C1763="","",IFERROR(IF(INDEX(Roster!$A:$A,MATCH($C1763,Roster!$B:$B,0))="","",INDEX(Roster!$A:$A,MATCH($C1763,Roster!$B:$B,0))&amp;""),"—"))</f>
        <v/>
      </c>
      <c r="E1763" s="25">
        <f>IF($C1763="","",IFERROR(IF(INDEX(Roster!$C:$C,MATCH($C1763,Roster!$B:$B,0))="","",INDEX(Roster!$C:$C,MATCH($C1763,Roster!$B:$B,0))&amp;""),"—"))</f>
        <v/>
      </c>
      <c r="F1763" s="25">
        <f>IF($C1763="","",IFERROR(IF(INDEX(Roster!$D:$D,MATCH($C1763,Roster!$B:$B,0))="","",INDEX(Roster!$D:$D,MATCH($C1763,Roster!$B:$B,0))&amp;""),"—"))</f>
        <v/>
      </c>
      <c r="G1763" s="25">
        <f>IF($C1763="","",IFERROR(IF(INDEX(Roster!$E:$E,MATCH($C1763,Roster!$B:$B,0))="","",INDEX(Roster!$E:$E,MATCH($C1763,Roster!$B:$B,0))&amp;""),"—"))</f>
        <v/>
      </c>
      <c r="H1763" s="25">
        <f>IF($C1763="","",IFERROR(IF(INDEX(Roster!$F:$F,MATCH($C1763,Roster!$B:$B,0))="","",INDEX(Roster!$F:$F,MATCH($C1763,Roster!$B:$B,0))&amp;""),"—"))</f>
        <v/>
      </c>
      <c r="I1763" s="25">
        <f>IF($C1763="","",IFERROR(IF(INDEX(Roster!$G:$G,MATCH($C1763,Roster!$B:$B,0))="","",INDEX(Roster!$G:$G,MATCH($C1763,Roster!$B:$B,0))&amp;""),"—"))</f>
        <v/>
      </c>
      <c r="J1763" s="25">
        <f>IF($C1763="","",IFERROR(IF(INDEX(Roster!$I:$I,MATCH($C1763,Roster!$B:$B,0))="","",INDEX(Roster!$I:$I,MATCH($C1763,Roster!$B:$B,0))&amp;""),"—"))</f>
        <v/>
      </c>
      <c r="K1763">
        <f>IF($C1763="","",IFERROR(IF(INDEX(Roster!$J:$J,MATCH($C1763,Roster!$B:$B,0))="","",INDEX(Roster!$J:$J,MATCH($C1763,Roster!$B:$B,0))&amp;""),"—"))</f>
        <v/>
      </c>
      <c r="L1763">
        <f>IF($C1763="","",IFERROR(IF(INDEX(Roster!$K:$K,MATCH($C1763,Roster!$B:$B,0))="","",INDEX(Roster!$K:$K,MATCH($C1763,Roster!$B:$B,0))&amp;""),"—"))</f>
        <v/>
      </c>
      <c r="M1763" s="27" t="n"/>
      <c r="N1763" s="27" t="n"/>
      <c r="O1763" s="25">
        <f>IF($C1763="","",IF($P1763="","—",IF($P1763="Valid (Pass)","Valid","Invalid")))</f>
        <v/>
      </c>
      <c r="P1763" s="27" t="n"/>
      <c r="Q1763" s="27" t="n"/>
      <c r="R1763" s="27" t="n"/>
      <c r="S1763" s="27" t="n"/>
      <c r="T1763" s="25">
        <f>IF($C1763="","",IF(OR(ISNUMBER(SEARCH("quick case",$P1763)),ISNUMBER(SEARCH("quick case",$Q1763))),"Yes","No"))</f>
        <v/>
      </c>
      <c r="U1763" s="25">
        <f>IF($O1763="Invalid",HYPERLINK("mailto:"&amp;$G1763&amp;";"&amp;$I1763&amp;"?cc="&amp;Lists!$E$2&amp;"&amp;subject="&amp;_xlfn.ENCODEURL("[INVALID] Quality audit monitoring completed for "&amp;UPPER($C1763))&amp;"&amp;body="&amp;_xlfn.ENCODEURL("Hi "&amp;$F1763&amp;","&amp;CHAR(10)&amp;"Good day!"&amp;CHAR(10)&amp;CHAR(10)&amp;"A quality monitoring audit has been completed for "&amp;$C1763&amp;"."&amp;CHAR(10)&amp;CHAR(10)&amp;"QUALITY AUDIT DETAILS"&amp;CHAR(10)&amp;"Agent Name: "&amp;$C1763&amp;" (EID "&amp;$D1763&amp;")"&amp;CHAR(10)&amp;"Audit Date: "&amp;TEXT($B1763,"yyyy-mm-dd")&amp;CHAR(10)&amp;"Team Leader: "&amp;$F1763&amp;CHAR(10)&amp;"Case Number: "&amp;$M1763&amp;CHAR(10)&amp;"Transaction ID: "&amp;$N1763&amp;CHAR(10)&amp;"Channel / LOB: "&amp;$K1763&amp;" / "&amp;$L1763&amp;CHAR(10)&amp;"Evaluator: "&amp;$S1763&amp;CHAR(10)&amp;CHAR(10)&amp;"INVALID QUALITY AUDIT DETAILS"&amp;CHAR(10)&amp;"Validation: Invalid"&amp;CHAR(10)&amp;"Invalid Reason: "&amp;$P1763&amp;CHAR(10)&amp;"Expected Resolution Code: "&amp;$Q1763&amp;CHAR(10)&amp;"Remarks: "&amp;LEFT($R1763,600)&amp;CHAR(10)&amp;CHAR(10)&amp;"This is an automated notification from HP Mainstream EQMS."),"✉ Open Email Draft"),"")</f>
        <v/>
      </c>
    </row>
    <row r="1764">
      <c r="A1764" s="25">
        <f>IF($C1764="","","AUD-2026-"&amp;TEXT(ROW()-1,"000000"))</f>
        <v/>
      </c>
      <c r="B1764" s="26" t="n"/>
      <c r="C1764" s="27" t="n"/>
      <c r="D1764" s="25">
        <f>IF($C1764="","",IFERROR(IF(INDEX(Roster!$A:$A,MATCH($C1764,Roster!$B:$B,0))="","",INDEX(Roster!$A:$A,MATCH($C1764,Roster!$B:$B,0))&amp;""),"—"))</f>
        <v/>
      </c>
      <c r="E1764" s="25">
        <f>IF($C1764="","",IFERROR(IF(INDEX(Roster!$C:$C,MATCH($C1764,Roster!$B:$B,0))="","",INDEX(Roster!$C:$C,MATCH($C1764,Roster!$B:$B,0))&amp;""),"—"))</f>
        <v/>
      </c>
      <c r="F1764" s="25">
        <f>IF($C1764="","",IFERROR(IF(INDEX(Roster!$D:$D,MATCH($C1764,Roster!$B:$B,0))="","",INDEX(Roster!$D:$D,MATCH($C1764,Roster!$B:$B,0))&amp;""),"—"))</f>
        <v/>
      </c>
      <c r="G1764" s="25">
        <f>IF($C1764="","",IFERROR(IF(INDEX(Roster!$E:$E,MATCH($C1764,Roster!$B:$B,0))="","",INDEX(Roster!$E:$E,MATCH($C1764,Roster!$B:$B,0))&amp;""),"—"))</f>
        <v/>
      </c>
      <c r="H1764" s="25">
        <f>IF($C1764="","",IFERROR(IF(INDEX(Roster!$F:$F,MATCH($C1764,Roster!$B:$B,0))="","",INDEX(Roster!$F:$F,MATCH($C1764,Roster!$B:$B,0))&amp;""),"—"))</f>
        <v/>
      </c>
      <c r="I1764" s="25">
        <f>IF($C1764="","",IFERROR(IF(INDEX(Roster!$G:$G,MATCH($C1764,Roster!$B:$B,0))="","",INDEX(Roster!$G:$G,MATCH($C1764,Roster!$B:$B,0))&amp;""),"—"))</f>
        <v/>
      </c>
      <c r="J1764" s="25">
        <f>IF($C1764="","",IFERROR(IF(INDEX(Roster!$I:$I,MATCH($C1764,Roster!$B:$B,0))="","",INDEX(Roster!$I:$I,MATCH($C1764,Roster!$B:$B,0))&amp;""),"—"))</f>
        <v/>
      </c>
      <c r="K1764">
        <f>IF($C1764="","",IFERROR(IF(INDEX(Roster!$J:$J,MATCH($C1764,Roster!$B:$B,0))="","",INDEX(Roster!$J:$J,MATCH($C1764,Roster!$B:$B,0))&amp;""),"—"))</f>
        <v/>
      </c>
      <c r="L1764">
        <f>IF($C1764="","",IFERROR(IF(INDEX(Roster!$K:$K,MATCH($C1764,Roster!$B:$B,0))="","",INDEX(Roster!$K:$K,MATCH($C1764,Roster!$B:$B,0))&amp;""),"—"))</f>
        <v/>
      </c>
      <c r="M1764" s="27" t="n"/>
      <c r="N1764" s="27" t="n"/>
      <c r="O1764" s="25">
        <f>IF($C1764="","",IF($P1764="","—",IF($P1764="Valid (Pass)","Valid","Invalid")))</f>
        <v/>
      </c>
      <c r="P1764" s="27" t="n"/>
      <c r="Q1764" s="27" t="n"/>
      <c r="R1764" s="27" t="n"/>
      <c r="S1764" s="27" t="n"/>
      <c r="T1764" s="25">
        <f>IF($C1764="","",IF(OR(ISNUMBER(SEARCH("quick case",$P1764)),ISNUMBER(SEARCH("quick case",$Q1764))),"Yes","No"))</f>
        <v/>
      </c>
      <c r="U1764" s="25">
        <f>IF($O1764="Invalid",HYPERLINK("mailto:"&amp;$G1764&amp;";"&amp;$I1764&amp;"?cc="&amp;Lists!$E$2&amp;"&amp;subject="&amp;_xlfn.ENCODEURL("[INVALID] Quality audit monitoring completed for "&amp;UPPER($C1764))&amp;"&amp;body="&amp;_xlfn.ENCODEURL("Hi "&amp;$F1764&amp;","&amp;CHAR(10)&amp;"Good day!"&amp;CHAR(10)&amp;CHAR(10)&amp;"A quality monitoring audit has been completed for "&amp;$C1764&amp;"."&amp;CHAR(10)&amp;CHAR(10)&amp;"QUALITY AUDIT DETAILS"&amp;CHAR(10)&amp;"Agent Name: "&amp;$C1764&amp;" (EID "&amp;$D1764&amp;")"&amp;CHAR(10)&amp;"Audit Date: "&amp;TEXT($B1764,"yyyy-mm-dd")&amp;CHAR(10)&amp;"Team Leader: "&amp;$F1764&amp;CHAR(10)&amp;"Case Number: "&amp;$M1764&amp;CHAR(10)&amp;"Transaction ID: "&amp;$N1764&amp;CHAR(10)&amp;"Channel / LOB: "&amp;$K1764&amp;" / "&amp;$L1764&amp;CHAR(10)&amp;"Evaluator: "&amp;$S1764&amp;CHAR(10)&amp;CHAR(10)&amp;"INVALID QUALITY AUDIT DETAILS"&amp;CHAR(10)&amp;"Validation: Invalid"&amp;CHAR(10)&amp;"Invalid Reason: "&amp;$P1764&amp;CHAR(10)&amp;"Expected Resolution Code: "&amp;$Q1764&amp;CHAR(10)&amp;"Remarks: "&amp;LEFT($R1764,600)&amp;CHAR(10)&amp;CHAR(10)&amp;"This is an automated notification from HP Mainstream EQMS."),"✉ Open Email Draft"),"")</f>
        <v/>
      </c>
    </row>
    <row r="1765">
      <c r="A1765" s="25">
        <f>IF($C1765="","","AUD-2026-"&amp;TEXT(ROW()-1,"000000"))</f>
        <v/>
      </c>
      <c r="B1765" s="26" t="n"/>
      <c r="C1765" s="27" t="n"/>
      <c r="D1765" s="25">
        <f>IF($C1765="","",IFERROR(IF(INDEX(Roster!$A:$A,MATCH($C1765,Roster!$B:$B,0))="","",INDEX(Roster!$A:$A,MATCH($C1765,Roster!$B:$B,0))&amp;""),"—"))</f>
        <v/>
      </c>
      <c r="E1765" s="25">
        <f>IF($C1765="","",IFERROR(IF(INDEX(Roster!$C:$C,MATCH($C1765,Roster!$B:$B,0))="","",INDEX(Roster!$C:$C,MATCH($C1765,Roster!$B:$B,0))&amp;""),"—"))</f>
        <v/>
      </c>
      <c r="F1765" s="25">
        <f>IF($C1765="","",IFERROR(IF(INDEX(Roster!$D:$D,MATCH($C1765,Roster!$B:$B,0))="","",INDEX(Roster!$D:$D,MATCH($C1765,Roster!$B:$B,0))&amp;""),"—"))</f>
        <v/>
      </c>
      <c r="G1765" s="25">
        <f>IF($C1765="","",IFERROR(IF(INDEX(Roster!$E:$E,MATCH($C1765,Roster!$B:$B,0))="","",INDEX(Roster!$E:$E,MATCH($C1765,Roster!$B:$B,0))&amp;""),"—"))</f>
        <v/>
      </c>
      <c r="H1765" s="25">
        <f>IF($C1765="","",IFERROR(IF(INDEX(Roster!$F:$F,MATCH($C1765,Roster!$B:$B,0))="","",INDEX(Roster!$F:$F,MATCH($C1765,Roster!$B:$B,0))&amp;""),"—"))</f>
        <v/>
      </c>
      <c r="I1765" s="25">
        <f>IF($C1765="","",IFERROR(IF(INDEX(Roster!$G:$G,MATCH($C1765,Roster!$B:$B,0))="","",INDEX(Roster!$G:$G,MATCH($C1765,Roster!$B:$B,0))&amp;""),"—"))</f>
        <v/>
      </c>
      <c r="J1765" s="25">
        <f>IF($C1765="","",IFERROR(IF(INDEX(Roster!$I:$I,MATCH($C1765,Roster!$B:$B,0))="","",INDEX(Roster!$I:$I,MATCH($C1765,Roster!$B:$B,0))&amp;""),"—"))</f>
        <v/>
      </c>
      <c r="K1765">
        <f>IF($C1765="","",IFERROR(IF(INDEX(Roster!$J:$J,MATCH($C1765,Roster!$B:$B,0))="","",INDEX(Roster!$J:$J,MATCH($C1765,Roster!$B:$B,0))&amp;""),"—"))</f>
        <v/>
      </c>
      <c r="L1765">
        <f>IF($C1765="","",IFERROR(IF(INDEX(Roster!$K:$K,MATCH($C1765,Roster!$B:$B,0))="","",INDEX(Roster!$K:$K,MATCH($C1765,Roster!$B:$B,0))&amp;""),"—"))</f>
        <v/>
      </c>
      <c r="M1765" s="27" t="n"/>
      <c r="N1765" s="27" t="n"/>
      <c r="O1765" s="25">
        <f>IF($C1765="","",IF($P1765="","—",IF($P1765="Valid (Pass)","Valid","Invalid")))</f>
        <v/>
      </c>
      <c r="P1765" s="27" t="n"/>
      <c r="Q1765" s="27" t="n"/>
      <c r="R1765" s="27" t="n"/>
      <c r="S1765" s="27" t="n"/>
      <c r="T1765" s="25">
        <f>IF($C1765="","",IF(OR(ISNUMBER(SEARCH("quick case",$P1765)),ISNUMBER(SEARCH("quick case",$Q1765))),"Yes","No"))</f>
        <v/>
      </c>
      <c r="U1765" s="25">
        <f>IF($O1765="Invalid",HYPERLINK("mailto:"&amp;$G1765&amp;";"&amp;$I1765&amp;"?cc="&amp;Lists!$E$2&amp;"&amp;subject="&amp;_xlfn.ENCODEURL("[INVALID] Quality audit monitoring completed for "&amp;UPPER($C1765))&amp;"&amp;body="&amp;_xlfn.ENCODEURL("Hi "&amp;$F1765&amp;","&amp;CHAR(10)&amp;"Good day!"&amp;CHAR(10)&amp;CHAR(10)&amp;"A quality monitoring audit has been completed for "&amp;$C1765&amp;"."&amp;CHAR(10)&amp;CHAR(10)&amp;"QUALITY AUDIT DETAILS"&amp;CHAR(10)&amp;"Agent Name: "&amp;$C1765&amp;" (EID "&amp;$D1765&amp;")"&amp;CHAR(10)&amp;"Audit Date: "&amp;TEXT($B1765,"yyyy-mm-dd")&amp;CHAR(10)&amp;"Team Leader: "&amp;$F1765&amp;CHAR(10)&amp;"Case Number: "&amp;$M1765&amp;CHAR(10)&amp;"Transaction ID: "&amp;$N1765&amp;CHAR(10)&amp;"Channel / LOB: "&amp;$K1765&amp;" / "&amp;$L1765&amp;CHAR(10)&amp;"Evaluator: "&amp;$S1765&amp;CHAR(10)&amp;CHAR(10)&amp;"INVALID QUALITY AUDIT DETAILS"&amp;CHAR(10)&amp;"Validation: Invalid"&amp;CHAR(10)&amp;"Invalid Reason: "&amp;$P1765&amp;CHAR(10)&amp;"Expected Resolution Code: "&amp;$Q1765&amp;CHAR(10)&amp;"Remarks: "&amp;LEFT($R1765,600)&amp;CHAR(10)&amp;CHAR(10)&amp;"This is an automated notification from HP Mainstream EQMS."),"✉ Open Email Draft"),"")</f>
        <v/>
      </c>
    </row>
    <row r="1766">
      <c r="A1766" s="25">
        <f>IF($C1766="","","AUD-2026-"&amp;TEXT(ROW()-1,"000000"))</f>
        <v/>
      </c>
      <c r="B1766" s="26" t="n"/>
      <c r="C1766" s="27" t="n"/>
      <c r="D1766" s="25">
        <f>IF($C1766="","",IFERROR(IF(INDEX(Roster!$A:$A,MATCH($C1766,Roster!$B:$B,0))="","",INDEX(Roster!$A:$A,MATCH($C1766,Roster!$B:$B,0))&amp;""),"—"))</f>
        <v/>
      </c>
      <c r="E1766" s="25">
        <f>IF($C1766="","",IFERROR(IF(INDEX(Roster!$C:$C,MATCH($C1766,Roster!$B:$B,0))="","",INDEX(Roster!$C:$C,MATCH($C1766,Roster!$B:$B,0))&amp;""),"—"))</f>
        <v/>
      </c>
      <c r="F1766" s="25">
        <f>IF($C1766="","",IFERROR(IF(INDEX(Roster!$D:$D,MATCH($C1766,Roster!$B:$B,0))="","",INDEX(Roster!$D:$D,MATCH($C1766,Roster!$B:$B,0))&amp;""),"—"))</f>
        <v/>
      </c>
      <c r="G1766" s="25">
        <f>IF($C1766="","",IFERROR(IF(INDEX(Roster!$E:$E,MATCH($C1766,Roster!$B:$B,0))="","",INDEX(Roster!$E:$E,MATCH($C1766,Roster!$B:$B,0))&amp;""),"—"))</f>
        <v/>
      </c>
      <c r="H1766" s="25">
        <f>IF($C1766="","",IFERROR(IF(INDEX(Roster!$F:$F,MATCH($C1766,Roster!$B:$B,0))="","",INDEX(Roster!$F:$F,MATCH($C1766,Roster!$B:$B,0))&amp;""),"—"))</f>
        <v/>
      </c>
      <c r="I1766" s="25">
        <f>IF($C1766="","",IFERROR(IF(INDEX(Roster!$G:$G,MATCH($C1766,Roster!$B:$B,0))="","",INDEX(Roster!$G:$G,MATCH($C1766,Roster!$B:$B,0))&amp;""),"—"))</f>
        <v/>
      </c>
      <c r="J1766" s="25">
        <f>IF($C1766="","",IFERROR(IF(INDEX(Roster!$I:$I,MATCH($C1766,Roster!$B:$B,0))="","",INDEX(Roster!$I:$I,MATCH($C1766,Roster!$B:$B,0))&amp;""),"—"))</f>
        <v/>
      </c>
      <c r="K1766">
        <f>IF($C1766="","",IFERROR(IF(INDEX(Roster!$J:$J,MATCH($C1766,Roster!$B:$B,0))="","",INDEX(Roster!$J:$J,MATCH($C1766,Roster!$B:$B,0))&amp;""),"—"))</f>
        <v/>
      </c>
      <c r="L1766">
        <f>IF($C1766="","",IFERROR(IF(INDEX(Roster!$K:$K,MATCH($C1766,Roster!$B:$B,0))="","",INDEX(Roster!$K:$K,MATCH($C1766,Roster!$B:$B,0))&amp;""),"—"))</f>
        <v/>
      </c>
      <c r="M1766" s="27" t="n"/>
      <c r="N1766" s="27" t="n"/>
      <c r="O1766" s="25">
        <f>IF($C1766="","",IF($P1766="","—",IF($P1766="Valid (Pass)","Valid","Invalid")))</f>
        <v/>
      </c>
      <c r="P1766" s="27" t="n"/>
      <c r="Q1766" s="27" t="n"/>
      <c r="R1766" s="27" t="n"/>
      <c r="S1766" s="27" t="n"/>
      <c r="T1766" s="25">
        <f>IF($C1766="","",IF(OR(ISNUMBER(SEARCH("quick case",$P1766)),ISNUMBER(SEARCH("quick case",$Q1766))),"Yes","No"))</f>
        <v/>
      </c>
      <c r="U1766" s="25">
        <f>IF($O1766="Invalid",HYPERLINK("mailto:"&amp;$G1766&amp;";"&amp;$I1766&amp;"?cc="&amp;Lists!$E$2&amp;"&amp;subject="&amp;_xlfn.ENCODEURL("[INVALID] Quality audit monitoring completed for "&amp;UPPER($C1766))&amp;"&amp;body="&amp;_xlfn.ENCODEURL("Hi "&amp;$F1766&amp;","&amp;CHAR(10)&amp;"Good day!"&amp;CHAR(10)&amp;CHAR(10)&amp;"A quality monitoring audit has been completed for "&amp;$C1766&amp;"."&amp;CHAR(10)&amp;CHAR(10)&amp;"QUALITY AUDIT DETAILS"&amp;CHAR(10)&amp;"Agent Name: "&amp;$C1766&amp;" (EID "&amp;$D1766&amp;")"&amp;CHAR(10)&amp;"Audit Date: "&amp;TEXT($B1766,"yyyy-mm-dd")&amp;CHAR(10)&amp;"Team Leader: "&amp;$F1766&amp;CHAR(10)&amp;"Case Number: "&amp;$M1766&amp;CHAR(10)&amp;"Transaction ID: "&amp;$N1766&amp;CHAR(10)&amp;"Channel / LOB: "&amp;$K1766&amp;" / "&amp;$L1766&amp;CHAR(10)&amp;"Evaluator: "&amp;$S1766&amp;CHAR(10)&amp;CHAR(10)&amp;"INVALID QUALITY AUDIT DETAILS"&amp;CHAR(10)&amp;"Validation: Invalid"&amp;CHAR(10)&amp;"Invalid Reason: "&amp;$P1766&amp;CHAR(10)&amp;"Expected Resolution Code: "&amp;$Q1766&amp;CHAR(10)&amp;"Remarks: "&amp;LEFT($R1766,600)&amp;CHAR(10)&amp;CHAR(10)&amp;"This is an automated notification from HP Mainstream EQMS."),"✉ Open Email Draft"),"")</f>
        <v/>
      </c>
    </row>
    <row r="1767">
      <c r="A1767" s="25">
        <f>IF($C1767="","","AUD-2026-"&amp;TEXT(ROW()-1,"000000"))</f>
        <v/>
      </c>
      <c r="B1767" s="26" t="n"/>
      <c r="C1767" s="27" t="n"/>
      <c r="D1767" s="25">
        <f>IF($C1767="","",IFERROR(IF(INDEX(Roster!$A:$A,MATCH($C1767,Roster!$B:$B,0))="","",INDEX(Roster!$A:$A,MATCH($C1767,Roster!$B:$B,0))&amp;""),"—"))</f>
        <v/>
      </c>
      <c r="E1767" s="25">
        <f>IF($C1767="","",IFERROR(IF(INDEX(Roster!$C:$C,MATCH($C1767,Roster!$B:$B,0))="","",INDEX(Roster!$C:$C,MATCH($C1767,Roster!$B:$B,0))&amp;""),"—"))</f>
        <v/>
      </c>
      <c r="F1767" s="25">
        <f>IF($C1767="","",IFERROR(IF(INDEX(Roster!$D:$D,MATCH($C1767,Roster!$B:$B,0))="","",INDEX(Roster!$D:$D,MATCH($C1767,Roster!$B:$B,0))&amp;""),"—"))</f>
        <v/>
      </c>
      <c r="G1767" s="25">
        <f>IF($C1767="","",IFERROR(IF(INDEX(Roster!$E:$E,MATCH($C1767,Roster!$B:$B,0))="","",INDEX(Roster!$E:$E,MATCH($C1767,Roster!$B:$B,0))&amp;""),"—"))</f>
        <v/>
      </c>
      <c r="H1767" s="25">
        <f>IF($C1767="","",IFERROR(IF(INDEX(Roster!$F:$F,MATCH($C1767,Roster!$B:$B,0))="","",INDEX(Roster!$F:$F,MATCH($C1767,Roster!$B:$B,0))&amp;""),"—"))</f>
        <v/>
      </c>
      <c r="I1767" s="25">
        <f>IF($C1767="","",IFERROR(IF(INDEX(Roster!$G:$G,MATCH($C1767,Roster!$B:$B,0))="","",INDEX(Roster!$G:$G,MATCH($C1767,Roster!$B:$B,0))&amp;""),"—"))</f>
        <v/>
      </c>
      <c r="J1767" s="25">
        <f>IF($C1767="","",IFERROR(IF(INDEX(Roster!$I:$I,MATCH($C1767,Roster!$B:$B,0))="","",INDEX(Roster!$I:$I,MATCH($C1767,Roster!$B:$B,0))&amp;""),"—"))</f>
        <v/>
      </c>
      <c r="K1767">
        <f>IF($C1767="","",IFERROR(IF(INDEX(Roster!$J:$J,MATCH($C1767,Roster!$B:$B,0))="","",INDEX(Roster!$J:$J,MATCH($C1767,Roster!$B:$B,0))&amp;""),"—"))</f>
        <v/>
      </c>
      <c r="L1767">
        <f>IF($C1767="","",IFERROR(IF(INDEX(Roster!$K:$K,MATCH($C1767,Roster!$B:$B,0))="","",INDEX(Roster!$K:$K,MATCH($C1767,Roster!$B:$B,0))&amp;""),"—"))</f>
        <v/>
      </c>
      <c r="M1767" s="27" t="n"/>
      <c r="N1767" s="27" t="n"/>
      <c r="O1767" s="25">
        <f>IF($C1767="","",IF($P1767="","—",IF($P1767="Valid (Pass)","Valid","Invalid")))</f>
        <v/>
      </c>
      <c r="P1767" s="27" t="n"/>
      <c r="Q1767" s="27" t="n"/>
      <c r="R1767" s="27" t="n"/>
      <c r="S1767" s="27" t="n"/>
      <c r="T1767" s="25">
        <f>IF($C1767="","",IF(OR(ISNUMBER(SEARCH("quick case",$P1767)),ISNUMBER(SEARCH("quick case",$Q1767))),"Yes","No"))</f>
        <v/>
      </c>
      <c r="U1767" s="25">
        <f>IF($O1767="Invalid",HYPERLINK("mailto:"&amp;$G1767&amp;";"&amp;$I1767&amp;"?cc="&amp;Lists!$E$2&amp;"&amp;subject="&amp;_xlfn.ENCODEURL("[INVALID] Quality audit monitoring completed for "&amp;UPPER($C1767))&amp;"&amp;body="&amp;_xlfn.ENCODEURL("Hi "&amp;$F1767&amp;","&amp;CHAR(10)&amp;"Good day!"&amp;CHAR(10)&amp;CHAR(10)&amp;"A quality monitoring audit has been completed for "&amp;$C1767&amp;"."&amp;CHAR(10)&amp;CHAR(10)&amp;"QUALITY AUDIT DETAILS"&amp;CHAR(10)&amp;"Agent Name: "&amp;$C1767&amp;" (EID "&amp;$D1767&amp;")"&amp;CHAR(10)&amp;"Audit Date: "&amp;TEXT($B1767,"yyyy-mm-dd")&amp;CHAR(10)&amp;"Team Leader: "&amp;$F1767&amp;CHAR(10)&amp;"Case Number: "&amp;$M1767&amp;CHAR(10)&amp;"Transaction ID: "&amp;$N1767&amp;CHAR(10)&amp;"Channel / LOB: "&amp;$K1767&amp;" / "&amp;$L1767&amp;CHAR(10)&amp;"Evaluator: "&amp;$S1767&amp;CHAR(10)&amp;CHAR(10)&amp;"INVALID QUALITY AUDIT DETAILS"&amp;CHAR(10)&amp;"Validation: Invalid"&amp;CHAR(10)&amp;"Invalid Reason: "&amp;$P1767&amp;CHAR(10)&amp;"Expected Resolution Code: "&amp;$Q1767&amp;CHAR(10)&amp;"Remarks: "&amp;LEFT($R1767,600)&amp;CHAR(10)&amp;CHAR(10)&amp;"This is an automated notification from HP Mainstream EQMS."),"✉ Open Email Draft"),"")</f>
        <v/>
      </c>
    </row>
    <row r="1768">
      <c r="A1768" s="25">
        <f>IF($C1768="","","AUD-2026-"&amp;TEXT(ROW()-1,"000000"))</f>
        <v/>
      </c>
      <c r="B1768" s="26" t="n"/>
      <c r="C1768" s="27" t="n"/>
      <c r="D1768" s="25">
        <f>IF($C1768="","",IFERROR(IF(INDEX(Roster!$A:$A,MATCH($C1768,Roster!$B:$B,0))="","",INDEX(Roster!$A:$A,MATCH($C1768,Roster!$B:$B,0))&amp;""),"—"))</f>
        <v/>
      </c>
      <c r="E1768" s="25">
        <f>IF($C1768="","",IFERROR(IF(INDEX(Roster!$C:$C,MATCH($C1768,Roster!$B:$B,0))="","",INDEX(Roster!$C:$C,MATCH($C1768,Roster!$B:$B,0))&amp;""),"—"))</f>
        <v/>
      </c>
      <c r="F1768" s="25">
        <f>IF($C1768="","",IFERROR(IF(INDEX(Roster!$D:$D,MATCH($C1768,Roster!$B:$B,0))="","",INDEX(Roster!$D:$D,MATCH($C1768,Roster!$B:$B,0))&amp;""),"—"))</f>
        <v/>
      </c>
      <c r="G1768" s="25">
        <f>IF($C1768="","",IFERROR(IF(INDEX(Roster!$E:$E,MATCH($C1768,Roster!$B:$B,0))="","",INDEX(Roster!$E:$E,MATCH($C1768,Roster!$B:$B,0))&amp;""),"—"))</f>
        <v/>
      </c>
      <c r="H1768" s="25">
        <f>IF($C1768="","",IFERROR(IF(INDEX(Roster!$F:$F,MATCH($C1768,Roster!$B:$B,0))="","",INDEX(Roster!$F:$F,MATCH($C1768,Roster!$B:$B,0))&amp;""),"—"))</f>
        <v/>
      </c>
      <c r="I1768" s="25">
        <f>IF($C1768="","",IFERROR(IF(INDEX(Roster!$G:$G,MATCH($C1768,Roster!$B:$B,0))="","",INDEX(Roster!$G:$G,MATCH($C1768,Roster!$B:$B,0))&amp;""),"—"))</f>
        <v/>
      </c>
      <c r="J1768" s="25">
        <f>IF($C1768="","",IFERROR(IF(INDEX(Roster!$I:$I,MATCH($C1768,Roster!$B:$B,0))="","",INDEX(Roster!$I:$I,MATCH($C1768,Roster!$B:$B,0))&amp;""),"—"))</f>
        <v/>
      </c>
      <c r="K1768">
        <f>IF($C1768="","",IFERROR(IF(INDEX(Roster!$J:$J,MATCH($C1768,Roster!$B:$B,0))="","",INDEX(Roster!$J:$J,MATCH($C1768,Roster!$B:$B,0))&amp;""),"—"))</f>
        <v/>
      </c>
      <c r="L1768">
        <f>IF($C1768="","",IFERROR(IF(INDEX(Roster!$K:$K,MATCH($C1768,Roster!$B:$B,0))="","",INDEX(Roster!$K:$K,MATCH($C1768,Roster!$B:$B,0))&amp;""),"—"))</f>
        <v/>
      </c>
      <c r="M1768" s="27" t="n"/>
      <c r="N1768" s="27" t="n"/>
      <c r="O1768" s="25">
        <f>IF($C1768="","",IF($P1768="","—",IF($P1768="Valid (Pass)","Valid","Invalid")))</f>
        <v/>
      </c>
      <c r="P1768" s="27" t="n"/>
      <c r="Q1768" s="27" t="n"/>
      <c r="R1768" s="27" t="n"/>
      <c r="S1768" s="27" t="n"/>
      <c r="T1768" s="25">
        <f>IF($C1768="","",IF(OR(ISNUMBER(SEARCH("quick case",$P1768)),ISNUMBER(SEARCH("quick case",$Q1768))),"Yes","No"))</f>
        <v/>
      </c>
      <c r="U1768" s="25">
        <f>IF($O1768="Invalid",HYPERLINK("mailto:"&amp;$G1768&amp;";"&amp;$I1768&amp;"?cc="&amp;Lists!$E$2&amp;"&amp;subject="&amp;_xlfn.ENCODEURL("[INVALID] Quality audit monitoring completed for "&amp;UPPER($C1768))&amp;"&amp;body="&amp;_xlfn.ENCODEURL("Hi "&amp;$F1768&amp;","&amp;CHAR(10)&amp;"Good day!"&amp;CHAR(10)&amp;CHAR(10)&amp;"A quality monitoring audit has been completed for "&amp;$C1768&amp;"."&amp;CHAR(10)&amp;CHAR(10)&amp;"QUALITY AUDIT DETAILS"&amp;CHAR(10)&amp;"Agent Name: "&amp;$C1768&amp;" (EID "&amp;$D1768&amp;")"&amp;CHAR(10)&amp;"Audit Date: "&amp;TEXT($B1768,"yyyy-mm-dd")&amp;CHAR(10)&amp;"Team Leader: "&amp;$F1768&amp;CHAR(10)&amp;"Case Number: "&amp;$M1768&amp;CHAR(10)&amp;"Transaction ID: "&amp;$N1768&amp;CHAR(10)&amp;"Channel / LOB: "&amp;$K1768&amp;" / "&amp;$L1768&amp;CHAR(10)&amp;"Evaluator: "&amp;$S1768&amp;CHAR(10)&amp;CHAR(10)&amp;"INVALID QUALITY AUDIT DETAILS"&amp;CHAR(10)&amp;"Validation: Invalid"&amp;CHAR(10)&amp;"Invalid Reason: "&amp;$P1768&amp;CHAR(10)&amp;"Expected Resolution Code: "&amp;$Q1768&amp;CHAR(10)&amp;"Remarks: "&amp;LEFT($R1768,600)&amp;CHAR(10)&amp;CHAR(10)&amp;"This is an automated notification from HP Mainstream EQMS."),"✉ Open Email Draft"),"")</f>
        <v/>
      </c>
    </row>
    <row r="1769">
      <c r="A1769" s="25">
        <f>IF($C1769="","","AUD-2026-"&amp;TEXT(ROW()-1,"000000"))</f>
        <v/>
      </c>
      <c r="B1769" s="26" t="n"/>
      <c r="C1769" s="27" t="n"/>
      <c r="D1769" s="25">
        <f>IF($C1769="","",IFERROR(IF(INDEX(Roster!$A:$A,MATCH($C1769,Roster!$B:$B,0))="","",INDEX(Roster!$A:$A,MATCH($C1769,Roster!$B:$B,0))&amp;""),"—"))</f>
        <v/>
      </c>
      <c r="E1769" s="25">
        <f>IF($C1769="","",IFERROR(IF(INDEX(Roster!$C:$C,MATCH($C1769,Roster!$B:$B,0))="","",INDEX(Roster!$C:$C,MATCH($C1769,Roster!$B:$B,0))&amp;""),"—"))</f>
        <v/>
      </c>
      <c r="F1769" s="25">
        <f>IF($C1769="","",IFERROR(IF(INDEX(Roster!$D:$D,MATCH($C1769,Roster!$B:$B,0))="","",INDEX(Roster!$D:$D,MATCH($C1769,Roster!$B:$B,0))&amp;""),"—"))</f>
        <v/>
      </c>
      <c r="G1769" s="25">
        <f>IF($C1769="","",IFERROR(IF(INDEX(Roster!$E:$E,MATCH($C1769,Roster!$B:$B,0))="","",INDEX(Roster!$E:$E,MATCH($C1769,Roster!$B:$B,0))&amp;""),"—"))</f>
        <v/>
      </c>
      <c r="H1769" s="25">
        <f>IF($C1769="","",IFERROR(IF(INDEX(Roster!$F:$F,MATCH($C1769,Roster!$B:$B,0))="","",INDEX(Roster!$F:$F,MATCH($C1769,Roster!$B:$B,0))&amp;""),"—"))</f>
        <v/>
      </c>
      <c r="I1769" s="25">
        <f>IF($C1769="","",IFERROR(IF(INDEX(Roster!$G:$G,MATCH($C1769,Roster!$B:$B,0))="","",INDEX(Roster!$G:$G,MATCH($C1769,Roster!$B:$B,0))&amp;""),"—"))</f>
        <v/>
      </c>
      <c r="J1769" s="25">
        <f>IF($C1769="","",IFERROR(IF(INDEX(Roster!$I:$I,MATCH($C1769,Roster!$B:$B,0))="","",INDEX(Roster!$I:$I,MATCH($C1769,Roster!$B:$B,0))&amp;""),"—"))</f>
        <v/>
      </c>
      <c r="K1769">
        <f>IF($C1769="","",IFERROR(IF(INDEX(Roster!$J:$J,MATCH($C1769,Roster!$B:$B,0))="","",INDEX(Roster!$J:$J,MATCH($C1769,Roster!$B:$B,0))&amp;""),"—"))</f>
        <v/>
      </c>
      <c r="L1769">
        <f>IF($C1769="","",IFERROR(IF(INDEX(Roster!$K:$K,MATCH($C1769,Roster!$B:$B,0))="","",INDEX(Roster!$K:$K,MATCH($C1769,Roster!$B:$B,0))&amp;""),"—"))</f>
        <v/>
      </c>
      <c r="M1769" s="27" t="n"/>
      <c r="N1769" s="27" t="n"/>
      <c r="O1769" s="25">
        <f>IF($C1769="","",IF($P1769="","—",IF($P1769="Valid (Pass)","Valid","Invalid")))</f>
        <v/>
      </c>
      <c r="P1769" s="27" t="n"/>
      <c r="Q1769" s="27" t="n"/>
      <c r="R1769" s="27" t="n"/>
      <c r="S1769" s="27" t="n"/>
      <c r="T1769" s="25">
        <f>IF($C1769="","",IF(OR(ISNUMBER(SEARCH("quick case",$P1769)),ISNUMBER(SEARCH("quick case",$Q1769))),"Yes","No"))</f>
        <v/>
      </c>
      <c r="U1769" s="25">
        <f>IF($O1769="Invalid",HYPERLINK("mailto:"&amp;$G1769&amp;";"&amp;$I1769&amp;"?cc="&amp;Lists!$E$2&amp;"&amp;subject="&amp;_xlfn.ENCODEURL("[INVALID] Quality audit monitoring completed for "&amp;UPPER($C1769))&amp;"&amp;body="&amp;_xlfn.ENCODEURL("Hi "&amp;$F1769&amp;","&amp;CHAR(10)&amp;"Good day!"&amp;CHAR(10)&amp;CHAR(10)&amp;"A quality monitoring audit has been completed for "&amp;$C1769&amp;"."&amp;CHAR(10)&amp;CHAR(10)&amp;"QUALITY AUDIT DETAILS"&amp;CHAR(10)&amp;"Agent Name: "&amp;$C1769&amp;" (EID "&amp;$D1769&amp;")"&amp;CHAR(10)&amp;"Audit Date: "&amp;TEXT($B1769,"yyyy-mm-dd")&amp;CHAR(10)&amp;"Team Leader: "&amp;$F1769&amp;CHAR(10)&amp;"Case Number: "&amp;$M1769&amp;CHAR(10)&amp;"Transaction ID: "&amp;$N1769&amp;CHAR(10)&amp;"Channel / LOB: "&amp;$K1769&amp;" / "&amp;$L1769&amp;CHAR(10)&amp;"Evaluator: "&amp;$S1769&amp;CHAR(10)&amp;CHAR(10)&amp;"INVALID QUALITY AUDIT DETAILS"&amp;CHAR(10)&amp;"Validation: Invalid"&amp;CHAR(10)&amp;"Invalid Reason: "&amp;$P1769&amp;CHAR(10)&amp;"Expected Resolution Code: "&amp;$Q1769&amp;CHAR(10)&amp;"Remarks: "&amp;LEFT($R1769,600)&amp;CHAR(10)&amp;CHAR(10)&amp;"This is an automated notification from HP Mainstream EQMS."),"✉ Open Email Draft"),"")</f>
        <v/>
      </c>
    </row>
    <row r="1770">
      <c r="A1770" s="25">
        <f>IF($C1770="","","AUD-2026-"&amp;TEXT(ROW()-1,"000000"))</f>
        <v/>
      </c>
      <c r="B1770" s="26" t="n"/>
      <c r="C1770" s="27" t="n"/>
      <c r="D1770" s="25">
        <f>IF($C1770="","",IFERROR(IF(INDEX(Roster!$A:$A,MATCH($C1770,Roster!$B:$B,0))="","",INDEX(Roster!$A:$A,MATCH($C1770,Roster!$B:$B,0))&amp;""),"—"))</f>
        <v/>
      </c>
      <c r="E1770" s="25">
        <f>IF($C1770="","",IFERROR(IF(INDEX(Roster!$C:$C,MATCH($C1770,Roster!$B:$B,0))="","",INDEX(Roster!$C:$C,MATCH($C1770,Roster!$B:$B,0))&amp;""),"—"))</f>
        <v/>
      </c>
      <c r="F1770" s="25">
        <f>IF($C1770="","",IFERROR(IF(INDEX(Roster!$D:$D,MATCH($C1770,Roster!$B:$B,0))="","",INDEX(Roster!$D:$D,MATCH($C1770,Roster!$B:$B,0))&amp;""),"—"))</f>
        <v/>
      </c>
      <c r="G1770" s="25">
        <f>IF($C1770="","",IFERROR(IF(INDEX(Roster!$E:$E,MATCH($C1770,Roster!$B:$B,0))="","",INDEX(Roster!$E:$E,MATCH($C1770,Roster!$B:$B,0))&amp;""),"—"))</f>
        <v/>
      </c>
      <c r="H1770" s="25">
        <f>IF($C1770="","",IFERROR(IF(INDEX(Roster!$F:$F,MATCH($C1770,Roster!$B:$B,0))="","",INDEX(Roster!$F:$F,MATCH($C1770,Roster!$B:$B,0))&amp;""),"—"))</f>
        <v/>
      </c>
      <c r="I1770" s="25">
        <f>IF($C1770="","",IFERROR(IF(INDEX(Roster!$G:$G,MATCH($C1770,Roster!$B:$B,0))="","",INDEX(Roster!$G:$G,MATCH($C1770,Roster!$B:$B,0))&amp;""),"—"))</f>
        <v/>
      </c>
      <c r="J1770" s="25">
        <f>IF($C1770="","",IFERROR(IF(INDEX(Roster!$I:$I,MATCH($C1770,Roster!$B:$B,0))="","",INDEX(Roster!$I:$I,MATCH($C1770,Roster!$B:$B,0))&amp;""),"—"))</f>
        <v/>
      </c>
      <c r="K1770">
        <f>IF($C1770="","",IFERROR(IF(INDEX(Roster!$J:$J,MATCH($C1770,Roster!$B:$B,0))="","",INDEX(Roster!$J:$J,MATCH($C1770,Roster!$B:$B,0))&amp;""),"—"))</f>
        <v/>
      </c>
      <c r="L1770">
        <f>IF($C1770="","",IFERROR(IF(INDEX(Roster!$K:$K,MATCH($C1770,Roster!$B:$B,0))="","",INDEX(Roster!$K:$K,MATCH($C1770,Roster!$B:$B,0))&amp;""),"—"))</f>
        <v/>
      </c>
      <c r="M1770" s="27" t="n"/>
      <c r="N1770" s="27" t="n"/>
      <c r="O1770" s="25">
        <f>IF($C1770="","",IF($P1770="","—",IF($P1770="Valid (Pass)","Valid","Invalid")))</f>
        <v/>
      </c>
      <c r="P1770" s="27" t="n"/>
      <c r="Q1770" s="27" t="n"/>
      <c r="R1770" s="27" t="n"/>
      <c r="S1770" s="27" t="n"/>
      <c r="T1770" s="25">
        <f>IF($C1770="","",IF(OR(ISNUMBER(SEARCH("quick case",$P1770)),ISNUMBER(SEARCH("quick case",$Q1770))),"Yes","No"))</f>
        <v/>
      </c>
      <c r="U1770" s="25">
        <f>IF($O1770="Invalid",HYPERLINK("mailto:"&amp;$G1770&amp;";"&amp;$I1770&amp;"?cc="&amp;Lists!$E$2&amp;"&amp;subject="&amp;_xlfn.ENCODEURL("[INVALID] Quality audit monitoring completed for "&amp;UPPER($C1770))&amp;"&amp;body="&amp;_xlfn.ENCODEURL("Hi "&amp;$F1770&amp;","&amp;CHAR(10)&amp;"Good day!"&amp;CHAR(10)&amp;CHAR(10)&amp;"A quality monitoring audit has been completed for "&amp;$C1770&amp;"."&amp;CHAR(10)&amp;CHAR(10)&amp;"QUALITY AUDIT DETAILS"&amp;CHAR(10)&amp;"Agent Name: "&amp;$C1770&amp;" (EID "&amp;$D1770&amp;")"&amp;CHAR(10)&amp;"Audit Date: "&amp;TEXT($B1770,"yyyy-mm-dd")&amp;CHAR(10)&amp;"Team Leader: "&amp;$F1770&amp;CHAR(10)&amp;"Case Number: "&amp;$M1770&amp;CHAR(10)&amp;"Transaction ID: "&amp;$N1770&amp;CHAR(10)&amp;"Channel / LOB: "&amp;$K1770&amp;" / "&amp;$L1770&amp;CHAR(10)&amp;"Evaluator: "&amp;$S1770&amp;CHAR(10)&amp;CHAR(10)&amp;"INVALID QUALITY AUDIT DETAILS"&amp;CHAR(10)&amp;"Validation: Invalid"&amp;CHAR(10)&amp;"Invalid Reason: "&amp;$P1770&amp;CHAR(10)&amp;"Expected Resolution Code: "&amp;$Q1770&amp;CHAR(10)&amp;"Remarks: "&amp;LEFT($R1770,600)&amp;CHAR(10)&amp;CHAR(10)&amp;"This is an automated notification from HP Mainstream EQMS."),"✉ Open Email Draft"),"")</f>
        <v/>
      </c>
    </row>
    <row r="1771">
      <c r="A1771" s="25">
        <f>IF($C1771="","","AUD-2026-"&amp;TEXT(ROW()-1,"000000"))</f>
        <v/>
      </c>
      <c r="B1771" s="26" t="n"/>
      <c r="C1771" s="27" t="n"/>
      <c r="D1771" s="25">
        <f>IF($C1771="","",IFERROR(IF(INDEX(Roster!$A:$A,MATCH($C1771,Roster!$B:$B,0))="","",INDEX(Roster!$A:$A,MATCH($C1771,Roster!$B:$B,0))&amp;""),"—"))</f>
        <v/>
      </c>
      <c r="E1771" s="25">
        <f>IF($C1771="","",IFERROR(IF(INDEX(Roster!$C:$C,MATCH($C1771,Roster!$B:$B,0))="","",INDEX(Roster!$C:$C,MATCH($C1771,Roster!$B:$B,0))&amp;""),"—"))</f>
        <v/>
      </c>
      <c r="F1771" s="25">
        <f>IF($C1771="","",IFERROR(IF(INDEX(Roster!$D:$D,MATCH($C1771,Roster!$B:$B,0))="","",INDEX(Roster!$D:$D,MATCH($C1771,Roster!$B:$B,0))&amp;""),"—"))</f>
        <v/>
      </c>
      <c r="G1771" s="25">
        <f>IF($C1771="","",IFERROR(IF(INDEX(Roster!$E:$E,MATCH($C1771,Roster!$B:$B,0))="","",INDEX(Roster!$E:$E,MATCH($C1771,Roster!$B:$B,0))&amp;""),"—"))</f>
        <v/>
      </c>
      <c r="H1771" s="25">
        <f>IF($C1771="","",IFERROR(IF(INDEX(Roster!$F:$F,MATCH($C1771,Roster!$B:$B,0))="","",INDEX(Roster!$F:$F,MATCH($C1771,Roster!$B:$B,0))&amp;""),"—"))</f>
        <v/>
      </c>
      <c r="I1771" s="25">
        <f>IF($C1771="","",IFERROR(IF(INDEX(Roster!$G:$G,MATCH($C1771,Roster!$B:$B,0))="","",INDEX(Roster!$G:$G,MATCH($C1771,Roster!$B:$B,0))&amp;""),"—"))</f>
        <v/>
      </c>
      <c r="J1771" s="25">
        <f>IF($C1771="","",IFERROR(IF(INDEX(Roster!$I:$I,MATCH($C1771,Roster!$B:$B,0))="","",INDEX(Roster!$I:$I,MATCH($C1771,Roster!$B:$B,0))&amp;""),"—"))</f>
        <v/>
      </c>
      <c r="K1771">
        <f>IF($C1771="","",IFERROR(IF(INDEX(Roster!$J:$J,MATCH($C1771,Roster!$B:$B,0))="","",INDEX(Roster!$J:$J,MATCH($C1771,Roster!$B:$B,0))&amp;""),"—"))</f>
        <v/>
      </c>
      <c r="L1771">
        <f>IF($C1771="","",IFERROR(IF(INDEX(Roster!$K:$K,MATCH($C1771,Roster!$B:$B,0))="","",INDEX(Roster!$K:$K,MATCH($C1771,Roster!$B:$B,0))&amp;""),"—"))</f>
        <v/>
      </c>
      <c r="M1771" s="27" t="n"/>
      <c r="N1771" s="27" t="n"/>
      <c r="O1771" s="25">
        <f>IF($C1771="","",IF($P1771="","—",IF($P1771="Valid (Pass)","Valid","Invalid")))</f>
        <v/>
      </c>
      <c r="P1771" s="27" t="n"/>
      <c r="Q1771" s="27" t="n"/>
      <c r="R1771" s="27" t="n"/>
      <c r="S1771" s="27" t="n"/>
      <c r="T1771" s="25">
        <f>IF($C1771="","",IF(OR(ISNUMBER(SEARCH("quick case",$P1771)),ISNUMBER(SEARCH("quick case",$Q1771))),"Yes","No"))</f>
        <v/>
      </c>
      <c r="U1771" s="25">
        <f>IF($O1771="Invalid",HYPERLINK("mailto:"&amp;$G1771&amp;";"&amp;$I1771&amp;"?cc="&amp;Lists!$E$2&amp;"&amp;subject="&amp;_xlfn.ENCODEURL("[INVALID] Quality audit monitoring completed for "&amp;UPPER($C1771))&amp;"&amp;body="&amp;_xlfn.ENCODEURL("Hi "&amp;$F1771&amp;","&amp;CHAR(10)&amp;"Good day!"&amp;CHAR(10)&amp;CHAR(10)&amp;"A quality monitoring audit has been completed for "&amp;$C1771&amp;"."&amp;CHAR(10)&amp;CHAR(10)&amp;"QUALITY AUDIT DETAILS"&amp;CHAR(10)&amp;"Agent Name: "&amp;$C1771&amp;" (EID "&amp;$D1771&amp;")"&amp;CHAR(10)&amp;"Audit Date: "&amp;TEXT($B1771,"yyyy-mm-dd")&amp;CHAR(10)&amp;"Team Leader: "&amp;$F1771&amp;CHAR(10)&amp;"Case Number: "&amp;$M1771&amp;CHAR(10)&amp;"Transaction ID: "&amp;$N1771&amp;CHAR(10)&amp;"Channel / LOB: "&amp;$K1771&amp;" / "&amp;$L1771&amp;CHAR(10)&amp;"Evaluator: "&amp;$S1771&amp;CHAR(10)&amp;CHAR(10)&amp;"INVALID QUALITY AUDIT DETAILS"&amp;CHAR(10)&amp;"Validation: Invalid"&amp;CHAR(10)&amp;"Invalid Reason: "&amp;$P1771&amp;CHAR(10)&amp;"Expected Resolution Code: "&amp;$Q1771&amp;CHAR(10)&amp;"Remarks: "&amp;LEFT($R1771,600)&amp;CHAR(10)&amp;CHAR(10)&amp;"This is an automated notification from HP Mainstream EQMS."),"✉ Open Email Draft"),"")</f>
        <v/>
      </c>
    </row>
    <row r="1772">
      <c r="A1772" s="25">
        <f>IF($C1772="","","AUD-2026-"&amp;TEXT(ROW()-1,"000000"))</f>
        <v/>
      </c>
      <c r="B1772" s="26" t="n"/>
      <c r="C1772" s="27" t="n"/>
      <c r="D1772" s="25">
        <f>IF($C1772="","",IFERROR(IF(INDEX(Roster!$A:$A,MATCH($C1772,Roster!$B:$B,0))="","",INDEX(Roster!$A:$A,MATCH($C1772,Roster!$B:$B,0))&amp;""),"—"))</f>
        <v/>
      </c>
      <c r="E1772" s="25">
        <f>IF($C1772="","",IFERROR(IF(INDEX(Roster!$C:$C,MATCH($C1772,Roster!$B:$B,0))="","",INDEX(Roster!$C:$C,MATCH($C1772,Roster!$B:$B,0))&amp;""),"—"))</f>
        <v/>
      </c>
      <c r="F1772" s="25">
        <f>IF($C1772="","",IFERROR(IF(INDEX(Roster!$D:$D,MATCH($C1772,Roster!$B:$B,0))="","",INDEX(Roster!$D:$D,MATCH($C1772,Roster!$B:$B,0))&amp;""),"—"))</f>
        <v/>
      </c>
      <c r="G1772" s="25">
        <f>IF($C1772="","",IFERROR(IF(INDEX(Roster!$E:$E,MATCH($C1772,Roster!$B:$B,0))="","",INDEX(Roster!$E:$E,MATCH($C1772,Roster!$B:$B,0))&amp;""),"—"))</f>
        <v/>
      </c>
      <c r="H1772" s="25">
        <f>IF($C1772="","",IFERROR(IF(INDEX(Roster!$F:$F,MATCH($C1772,Roster!$B:$B,0))="","",INDEX(Roster!$F:$F,MATCH($C1772,Roster!$B:$B,0))&amp;""),"—"))</f>
        <v/>
      </c>
      <c r="I1772" s="25">
        <f>IF($C1772="","",IFERROR(IF(INDEX(Roster!$G:$G,MATCH($C1772,Roster!$B:$B,0))="","",INDEX(Roster!$G:$G,MATCH($C1772,Roster!$B:$B,0))&amp;""),"—"))</f>
        <v/>
      </c>
      <c r="J1772" s="25">
        <f>IF($C1772="","",IFERROR(IF(INDEX(Roster!$I:$I,MATCH($C1772,Roster!$B:$B,0))="","",INDEX(Roster!$I:$I,MATCH($C1772,Roster!$B:$B,0))&amp;""),"—"))</f>
        <v/>
      </c>
      <c r="K1772">
        <f>IF($C1772="","",IFERROR(IF(INDEX(Roster!$J:$J,MATCH($C1772,Roster!$B:$B,0))="","",INDEX(Roster!$J:$J,MATCH($C1772,Roster!$B:$B,0))&amp;""),"—"))</f>
        <v/>
      </c>
      <c r="L1772">
        <f>IF($C1772="","",IFERROR(IF(INDEX(Roster!$K:$K,MATCH($C1772,Roster!$B:$B,0))="","",INDEX(Roster!$K:$K,MATCH($C1772,Roster!$B:$B,0))&amp;""),"—"))</f>
        <v/>
      </c>
      <c r="M1772" s="27" t="n"/>
      <c r="N1772" s="27" t="n"/>
      <c r="O1772" s="25">
        <f>IF($C1772="","",IF($P1772="","—",IF($P1772="Valid (Pass)","Valid","Invalid")))</f>
        <v/>
      </c>
      <c r="P1772" s="27" t="n"/>
      <c r="Q1772" s="27" t="n"/>
      <c r="R1772" s="27" t="n"/>
      <c r="S1772" s="27" t="n"/>
      <c r="T1772" s="25">
        <f>IF($C1772="","",IF(OR(ISNUMBER(SEARCH("quick case",$P1772)),ISNUMBER(SEARCH("quick case",$Q1772))),"Yes","No"))</f>
        <v/>
      </c>
      <c r="U1772" s="25">
        <f>IF($O1772="Invalid",HYPERLINK("mailto:"&amp;$G1772&amp;";"&amp;$I1772&amp;"?cc="&amp;Lists!$E$2&amp;"&amp;subject="&amp;_xlfn.ENCODEURL("[INVALID] Quality audit monitoring completed for "&amp;UPPER($C1772))&amp;"&amp;body="&amp;_xlfn.ENCODEURL("Hi "&amp;$F1772&amp;","&amp;CHAR(10)&amp;"Good day!"&amp;CHAR(10)&amp;CHAR(10)&amp;"A quality monitoring audit has been completed for "&amp;$C1772&amp;"."&amp;CHAR(10)&amp;CHAR(10)&amp;"QUALITY AUDIT DETAILS"&amp;CHAR(10)&amp;"Agent Name: "&amp;$C1772&amp;" (EID "&amp;$D1772&amp;")"&amp;CHAR(10)&amp;"Audit Date: "&amp;TEXT($B1772,"yyyy-mm-dd")&amp;CHAR(10)&amp;"Team Leader: "&amp;$F1772&amp;CHAR(10)&amp;"Case Number: "&amp;$M1772&amp;CHAR(10)&amp;"Transaction ID: "&amp;$N1772&amp;CHAR(10)&amp;"Channel / LOB: "&amp;$K1772&amp;" / "&amp;$L1772&amp;CHAR(10)&amp;"Evaluator: "&amp;$S1772&amp;CHAR(10)&amp;CHAR(10)&amp;"INVALID QUALITY AUDIT DETAILS"&amp;CHAR(10)&amp;"Validation: Invalid"&amp;CHAR(10)&amp;"Invalid Reason: "&amp;$P1772&amp;CHAR(10)&amp;"Expected Resolution Code: "&amp;$Q1772&amp;CHAR(10)&amp;"Remarks: "&amp;LEFT($R1772,600)&amp;CHAR(10)&amp;CHAR(10)&amp;"This is an automated notification from HP Mainstream EQMS."),"✉ Open Email Draft"),"")</f>
        <v/>
      </c>
    </row>
    <row r="1773">
      <c r="A1773" s="25">
        <f>IF($C1773="","","AUD-2026-"&amp;TEXT(ROW()-1,"000000"))</f>
        <v/>
      </c>
      <c r="B1773" s="26" t="n"/>
      <c r="C1773" s="27" t="n"/>
      <c r="D1773" s="25">
        <f>IF($C1773="","",IFERROR(IF(INDEX(Roster!$A:$A,MATCH($C1773,Roster!$B:$B,0))="","",INDEX(Roster!$A:$A,MATCH($C1773,Roster!$B:$B,0))&amp;""),"—"))</f>
        <v/>
      </c>
      <c r="E1773" s="25">
        <f>IF($C1773="","",IFERROR(IF(INDEX(Roster!$C:$C,MATCH($C1773,Roster!$B:$B,0))="","",INDEX(Roster!$C:$C,MATCH($C1773,Roster!$B:$B,0))&amp;""),"—"))</f>
        <v/>
      </c>
      <c r="F1773" s="25">
        <f>IF($C1773="","",IFERROR(IF(INDEX(Roster!$D:$D,MATCH($C1773,Roster!$B:$B,0))="","",INDEX(Roster!$D:$D,MATCH($C1773,Roster!$B:$B,0))&amp;""),"—"))</f>
        <v/>
      </c>
      <c r="G1773" s="25">
        <f>IF($C1773="","",IFERROR(IF(INDEX(Roster!$E:$E,MATCH($C1773,Roster!$B:$B,0))="","",INDEX(Roster!$E:$E,MATCH($C1773,Roster!$B:$B,0))&amp;""),"—"))</f>
        <v/>
      </c>
      <c r="H1773" s="25">
        <f>IF($C1773="","",IFERROR(IF(INDEX(Roster!$F:$F,MATCH($C1773,Roster!$B:$B,0))="","",INDEX(Roster!$F:$F,MATCH($C1773,Roster!$B:$B,0))&amp;""),"—"))</f>
        <v/>
      </c>
      <c r="I1773" s="25">
        <f>IF($C1773="","",IFERROR(IF(INDEX(Roster!$G:$G,MATCH($C1773,Roster!$B:$B,0))="","",INDEX(Roster!$G:$G,MATCH($C1773,Roster!$B:$B,0))&amp;""),"—"))</f>
        <v/>
      </c>
      <c r="J1773" s="25">
        <f>IF($C1773="","",IFERROR(IF(INDEX(Roster!$I:$I,MATCH($C1773,Roster!$B:$B,0))="","",INDEX(Roster!$I:$I,MATCH($C1773,Roster!$B:$B,0))&amp;""),"—"))</f>
        <v/>
      </c>
      <c r="K1773">
        <f>IF($C1773="","",IFERROR(IF(INDEX(Roster!$J:$J,MATCH($C1773,Roster!$B:$B,0))="","",INDEX(Roster!$J:$J,MATCH($C1773,Roster!$B:$B,0))&amp;""),"—"))</f>
        <v/>
      </c>
      <c r="L1773">
        <f>IF($C1773="","",IFERROR(IF(INDEX(Roster!$K:$K,MATCH($C1773,Roster!$B:$B,0))="","",INDEX(Roster!$K:$K,MATCH($C1773,Roster!$B:$B,0))&amp;""),"—"))</f>
        <v/>
      </c>
      <c r="M1773" s="27" t="n"/>
      <c r="N1773" s="27" t="n"/>
      <c r="O1773" s="25">
        <f>IF($C1773="","",IF($P1773="","—",IF($P1773="Valid (Pass)","Valid","Invalid")))</f>
        <v/>
      </c>
      <c r="P1773" s="27" t="n"/>
      <c r="Q1773" s="27" t="n"/>
      <c r="R1773" s="27" t="n"/>
      <c r="S1773" s="27" t="n"/>
      <c r="T1773" s="25">
        <f>IF($C1773="","",IF(OR(ISNUMBER(SEARCH("quick case",$P1773)),ISNUMBER(SEARCH("quick case",$Q1773))),"Yes","No"))</f>
        <v/>
      </c>
      <c r="U1773" s="25">
        <f>IF($O1773="Invalid",HYPERLINK("mailto:"&amp;$G1773&amp;";"&amp;$I1773&amp;"?cc="&amp;Lists!$E$2&amp;"&amp;subject="&amp;_xlfn.ENCODEURL("[INVALID] Quality audit monitoring completed for "&amp;UPPER($C1773))&amp;"&amp;body="&amp;_xlfn.ENCODEURL("Hi "&amp;$F1773&amp;","&amp;CHAR(10)&amp;"Good day!"&amp;CHAR(10)&amp;CHAR(10)&amp;"A quality monitoring audit has been completed for "&amp;$C1773&amp;"."&amp;CHAR(10)&amp;CHAR(10)&amp;"QUALITY AUDIT DETAILS"&amp;CHAR(10)&amp;"Agent Name: "&amp;$C1773&amp;" (EID "&amp;$D1773&amp;")"&amp;CHAR(10)&amp;"Audit Date: "&amp;TEXT($B1773,"yyyy-mm-dd")&amp;CHAR(10)&amp;"Team Leader: "&amp;$F1773&amp;CHAR(10)&amp;"Case Number: "&amp;$M1773&amp;CHAR(10)&amp;"Transaction ID: "&amp;$N1773&amp;CHAR(10)&amp;"Channel / LOB: "&amp;$K1773&amp;" / "&amp;$L1773&amp;CHAR(10)&amp;"Evaluator: "&amp;$S1773&amp;CHAR(10)&amp;CHAR(10)&amp;"INVALID QUALITY AUDIT DETAILS"&amp;CHAR(10)&amp;"Validation: Invalid"&amp;CHAR(10)&amp;"Invalid Reason: "&amp;$P1773&amp;CHAR(10)&amp;"Expected Resolution Code: "&amp;$Q1773&amp;CHAR(10)&amp;"Remarks: "&amp;LEFT($R1773,600)&amp;CHAR(10)&amp;CHAR(10)&amp;"This is an automated notification from HP Mainstream EQMS."),"✉ Open Email Draft"),"")</f>
        <v/>
      </c>
    </row>
    <row r="1774">
      <c r="A1774" s="25">
        <f>IF($C1774="","","AUD-2026-"&amp;TEXT(ROW()-1,"000000"))</f>
        <v/>
      </c>
      <c r="B1774" s="26" t="n"/>
      <c r="C1774" s="27" t="n"/>
      <c r="D1774" s="25">
        <f>IF($C1774="","",IFERROR(IF(INDEX(Roster!$A:$A,MATCH($C1774,Roster!$B:$B,0))="","",INDEX(Roster!$A:$A,MATCH($C1774,Roster!$B:$B,0))&amp;""),"—"))</f>
        <v/>
      </c>
      <c r="E1774" s="25">
        <f>IF($C1774="","",IFERROR(IF(INDEX(Roster!$C:$C,MATCH($C1774,Roster!$B:$B,0))="","",INDEX(Roster!$C:$C,MATCH($C1774,Roster!$B:$B,0))&amp;""),"—"))</f>
        <v/>
      </c>
      <c r="F1774" s="25">
        <f>IF($C1774="","",IFERROR(IF(INDEX(Roster!$D:$D,MATCH($C1774,Roster!$B:$B,0))="","",INDEX(Roster!$D:$D,MATCH($C1774,Roster!$B:$B,0))&amp;""),"—"))</f>
        <v/>
      </c>
      <c r="G1774" s="25">
        <f>IF($C1774="","",IFERROR(IF(INDEX(Roster!$E:$E,MATCH($C1774,Roster!$B:$B,0))="","",INDEX(Roster!$E:$E,MATCH($C1774,Roster!$B:$B,0))&amp;""),"—"))</f>
        <v/>
      </c>
      <c r="H1774" s="25">
        <f>IF($C1774="","",IFERROR(IF(INDEX(Roster!$F:$F,MATCH($C1774,Roster!$B:$B,0))="","",INDEX(Roster!$F:$F,MATCH($C1774,Roster!$B:$B,0))&amp;""),"—"))</f>
        <v/>
      </c>
      <c r="I1774" s="25">
        <f>IF($C1774="","",IFERROR(IF(INDEX(Roster!$G:$G,MATCH($C1774,Roster!$B:$B,0))="","",INDEX(Roster!$G:$G,MATCH($C1774,Roster!$B:$B,0))&amp;""),"—"))</f>
        <v/>
      </c>
      <c r="J1774" s="25">
        <f>IF($C1774="","",IFERROR(IF(INDEX(Roster!$I:$I,MATCH($C1774,Roster!$B:$B,0))="","",INDEX(Roster!$I:$I,MATCH($C1774,Roster!$B:$B,0))&amp;""),"—"))</f>
        <v/>
      </c>
      <c r="K1774">
        <f>IF($C1774="","",IFERROR(IF(INDEX(Roster!$J:$J,MATCH($C1774,Roster!$B:$B,0))="","",INDEX(Roster!$J:$J,MATCH($C1774,Roster!$B:$B,0))&amp;""),"—"))</f>
        <v/>
      </c>
      <c r="L1774">
        <f>IF($C1774="","",IFERROR(IF(INDEX(Roster!$K:$K,MATCH($C1774,Roster!$B:$B,0))="","",INDEX(Roster!$K:$K,MATCH($C1774,Roster!$B:$B,0))&amp;""),"—"))</f>
        <v/>
      </c>
      <c r="M1774" s="27" t="n"/>
      <c r="N1774" s="27" t="n"/>
      <c r="O1774" s="25">
        <f>IF($C1774="","",IF($P1774="","—",IF($P1774="Valid (Pass)","Valid","Invalid")))</f>
        <v/>
      </c>
      <c r="P1774" s="27" t="n"/>
      <c r="Q1774" s="27" t="n"/>
      <c r="R1774" s="27" t="n"/>
      <c r="S1774" s="27" t="n"/>
      <c r="T1774" s="25">
        <f>IF($C1774="","",IF(OR(ISNUMBER(SEARCH("quick case",$P1774)),ISNUMBER(SEARCH("quick case",$Q1774))),"Yes","No"))</f>
        <v/>
      </c>
      <c r="U1774" s="25">
        <f>IF($O1774="Invalid",HYPERLINK("mailto:"&amp;$G1774&amp;";"&amp;$I1774&amp;"?cc="&amp;Lists!$E$2&amp;"&amp;subject="&amp;_xlfn.ENCODEURL("[INVALID] Quality audit monitoring completed for "&amp;UPPER($C1774))&amp;"&amp;body="&amp;_xlfn.ENCODEURL("Hi "&amp;$F1774&amp;","&amp;CHAR(10)&amp;"Good day!"&amp;CHAR(10)&amp;CHAR(10)&amp;"A quality monitoring audit has been completed for "&amp;$C1774&amp;"."&amp;CHAR(10)&amp;CHAR(10)&amp;"QUALITY AUDIT DETAILS"&amp;CHAR(10)&amp;"Agent Name: "&amp;$C1774&amp;" (EID "&amp;$D1774&amp;")"&amp;CHAR(10)&amp;"Audit Date: "&amp;TEXT($B1774,"yyyy-mm-dd")&amp;CHAR(10)&amp;"Team Leader: "&amp;$F1774&amp;CHAR(10)&amp;"Case Number: "&amp;$M1774&amp;CHAR(10)&amp;"Transaction ID: "&amp;$N1774&amp;CHAR(10)&amp;"Channel / LOB: "&amp;$K1774&amp;" / "&amp;$L1774&amp;CHAR(10)&amp;"Evaluator: "&amp;$S1774&amp;CHAR(10)&amp;CHAR(10)&amp;"INVALID QUALITY AUDIT DETAILS"&amp;CHAR(10)&amp;"Validation: Invalid"&amp;CHAR(10)&amp;"Invalid Reason: "&amp;$P1774&amp;CHAR(10)&amp;"Expected Resolution Code: "&amp;$Q1774&amp;CHAR(10)&amp;"Remarks: "&amp;LEFT($R1774,600)&amp;CHAR(10)&amp;CHAR(10)&amp;"This is an automated notification from HP Mainstream EQMS."),"✉ Open Email Draft"),"")</f>
        <v/>
      </c>
    </row>
    <row r="1775">
      <c r="A1775" s="25">
        <f>IF($C1775="","","AUD-2026-"&amp;TEXT(ROW()-1,"000000"))</f>
        <v/>
      </c>
      <c r="B1775" s="26" t="n"/>
      <c r="C1775" s="27" t="n"/>
      <c r="D1775" s="25">
        <f>IF($C1775="","",IFERROR(IF(INDEX(Roster!$A:$A,MATCH($C1775,Roster!$B:$B,0))="","",INDEX(Roster!$A:$A,MATCH($C1775,Roster!$B:$B,0))&amp;""),"—"))</f>
        <v/>
      </c>
      <c r="E1775" s="25">
        <f>IF($C1775="","",IFERROR(IF(INDEX(Roster!$C:$C,MATCH($C1775,Roster!$B:$B,0))="","",INDEX(Roster!$C:$C,MATCH($C1775,Roster!$B:$B,0))&amp;""),"—"))</f>
        <v/>
      </c>
      <c r="F1775" s="25">
        <f>IF($C1775="","",IFERROR(IF(INDEX(Roster!$D:$D,MATCH($C1775,Roster!$B:$B,0))="","",INDEX(Roster!$D:$D,MATCH($C1775,Roster!$B:$B,0))&amp;""),"—"))</f>
        <v/>
      </c>
      <c r="G1775" s="25">
        <f>IF($C1775="","",IFERROR(IF(INDEX(Roster!$E:$E,MATCH($C1775,Roster!$B:$B,0))="","",INDEX(Roster!$E:$E,MATCH($C1775,Roster!$B:$B,0))&amp;""),"—"))</f>
        <v/>
      </c>
      <c r="H1775" s="25">
        <f>IF($C1775="","",IFERROR(IF(INDEX(Roster!$F:$F,MATCH($C1775,Roster!$B:$B,0))="","",INDEX(Roster!$F:$F,MATCH($C1775,Roster!$B:$B,0))&amp;""),"—"))</f>
        <v/>
      </c>
      <c r="I1775" s="25">
        <f>IF($C1775="","",IFERROR(IF(INDEX(Roster!$G:$G,MATCH($C1775,Roster!$B:$B,0))="","",INDEX(Roster!$G:$G,MATCH($C1775,Roster!$B:$B,0))&amp;""),"—"))</f>
        <v/>
      </c>
      <c r="J1775" s="25">
        <f>IF($C1775="","",IFERROR(IF(INDEX(Roster!$I:$I,MATCH($C1775,Roster!$B:$B,0))="","",INDEX(Roster!$I:$I,MATCH($C1775,Roster!$B:$B,0))&amp;""),"—"))</f>
        <v/>
      </c>
      <c r="K1775">
        <f>IF($C1775="","",IFERROR(IF(INDEX(Roster!$J:$J,MATCH($C1775,Roster!$B:$B,0))="","",INDEX(Roster!$J:$J,MATCH($C1775,Roster!$B:$B,0))&amp;""),"—"))</f>
        <v/>
      </c>
      <c r="L1775">
        <f>IF($C1775="","",IFERROR(IF(INDEX(Roster!$K:$K,MATCH($C1775,Roster!$B:$B,0))="","",INDEX(Roster!$K:$K,MATCH($C1775,Roster!$B:$B,0))&amp;""),"—"))</f>
        <v/>
      </c>
      <c r="M1775" s="27" t="n"/>
      <c r="N1775" s="27" t="n"/>
      <c r="O1775" s="25">
        <f>IF($C1775="","",IF($P1775="","—",IF($P1775="Valid (Pass)","Valid","Invalid")))</f>
        <v/>
      </c>
      <c r="P1775" s="27" t="n"/>
      <c r="Q1775" s="27" t="n"/>
      <c r="R1775" s="27" t="n"/>
      <c r="S1775" s="27" t="n"/>
      <c r="T1775" s="25">
        <f>IF($C1775="","",IF(OR(ISNUMBER(SEARCH("quick case",$P1775)),ISNUMBER(SEARCH("quick case",$Q1775))),"Yes","No"))</f>
        <v/>
      </c>
      <c r="U1775" s="25">
        <f>IF($O1775="Invalid",HYPERLINK("mailto:"&amp;$G1775&amp;";"&amp;$I1775&amp;"?cc="&amp;Lists!$E$2&amp;"&amp;subject="&amp;_xlfn.ENCODEURL("[INVALID] Quality audit monitoring completed for "&amp;UPPER($C1775))&amp;"&amp;body="&amp;_xlfn.ENCODEURL("Hi "&amp;$F1775&amp;","&amp;CHAR(10)&amp;"Good day!"&amp;CHAR(10)&amp;CHAR(10)&amp;"A quality monitoring audit has been completed for "&amp;$C1775&amp;"."&amp;CHAR(10)&amp;CHAR(10)&amp;"QUALITY AUDIT DETAILS"&amp;CHAR(10)&amp;"Agent Name: "&amp;$C1775&amp;" (EID "&amp;$D1775&amp;")"&amp;CHAR(10)&amp;"Audit Date: "&amp;TEXT($B1775,"yyyy-mm-dd")&amp;CHAR(10)&amp;"Team Leader: "&amp;$F1775&amp;CHAR(10)&amp;"Case Number: "&amp;$M1775&amp;CHAR(10)&amp;"Transaction ID: "&amp;$N1775&amp;CHAR(10)&amp;"Channel / LOB: "&amp;$K1775&amp;" / "&amp;$L1775&amp;CHAR(10)&amp;"Evaluator: "&amp;$S1775&amp;CHAR(10)&amp;CHAR(10)&amp;"INVALID QUALITY AUDIT DETAILS"&amp;CHAR(10)&amp;"Validation: Invalid"&amp;CHAR(10)&amp;"Invalid Reason: "&amp;$P1775&amp;CHAR(10)&amp;"Expected Resolution Code: "&amp;$Q1775&amp;CHAR(10)&amp;"Remarks: "&amp;LEFT($R1775,600)&amp;CHAR(10)&amp;CHAR(10)&amp;"This is an automated notification from HP Mainstream EQMS."),"✉ Open Email Draft"),"")</f>
        <v/>
      </c>
    </row>
    <row r="1776">
      <c r="A1776" s="25">
        <f>IF($C1776="","","AUD-2026-"&amp;TEXT(ROW()-1,"000000"))</f>
        <v/>
      </c>
      <c r="B1776" s="26" t="n"/>
      <c r="C1776" s="27" t="n"/>
      <c r="D1776" s="25">
        <f>IF($C1776="","",IFERROR(IF(INDEX(Roster!$A:$A,MATCH($C1776,Roster!$B:$B,0))="","",INDEX(Roster!$A:$A,MATCH($C1776,Roster!$B:$B,0))&amp;""),"—"))</f>
        <v/>
      </c>
      <c r="E1776" s="25">
        <f>IF($C1776="","",IFERROR(IF(INDEX(Roster!$C:$C,MATCH($C1776,Roster!$B:$B,0))="","",INDEX(Roster!$C:$C,MATCH($C1776,Roster!$B:$B,0))&amp;""),"—"))</f>
        <v/>
      </c>
      <c r="F1776" s="25">
        <f>IF($C1776="","",IFERROR(IF(INDEX(Roster!$D:$D,MATCH($C1776,Roster!$B:$B,0))="","",INDEX(Roster!$D:$D,MATCH($C1776,Roster!$B:$B,0))&amp;""),"—"))</f>
        <v/>
      </c>
      <c r="G1776" s="25">
        <f>IF($C1776="","",IFERROR(IF(INDEX(Roster!$E:$E,MATCH($C1776,Roster!$B:$B,0))="","",INDEX(Roster!$E:$E,MATCH($C1776,Roster!$B:$B,0))&amp;""),"—"))</f>
        <v/>
      </c>
      <c r="H1776" s="25">
        <f>IF($C1776="","",IFERROR(IF(INDEX(Roster!$F:$F,MATCH($C1776,Roster!$B:$B,0))="","",INDEX(Roster!$F:$F,MATCH($C1776,Roster!$B:$B,0))&amp;""),"—"))</f>
        <v/>
      </c>
      <c r="I1776" s="25">
        <f>IF($C1776="","",IFERROR(IF(INDEX(Roster!$G:$G,MATCH($C1776,Roster!$B:$B,0))="","",INDEX(Roster!$G:$G,MATCH($C1776,Roster!$B:$B,0))&amp;""),"—"))</f>
        <v/>
      </c>
      <c r="J1776" s="25">
        <f>IF($C1776="","",IFERROR(IF(INDEX(Roster!$I:$I,MATCH($C1776,Roster!$B:$B,0))="","",INDEX(Roster!$I:$I,MATCH($C1776,Roster!$B:$B,0))&amp;""),"—"))</f>
        <v/>
      </c>
      <c r="K1776">
        <f>IF($C1776="","",IFERROR(IF(INDEX(Roster!$J:$J,MATCH($C1776,Roster!$B:$B,0))="","",INDEX(Roster!$J:$J,MATCH($C1776,Roster!$B:$B,0))&amp;""),"—"))</f>
        <v/>
      </c>
      <c r="L1776">
        <f>IF($C1776="","",IFERROR(IF(INDEX(Roster!$K:$K,MATCH($C1776,Roster!$B:$B,0))="","",INDEX(Roster!$K:$K,MATCH($C1776,Roster!$B:$B,0))&amp;""),"—"))</f>
        <v/>
      </c>
      <c r="M1776" s="27" t="n"/>
      <c r="N1776" s="27" t="n"/>
      <c r="O1776" s="25">
        <f>IF($C1776="","",IF($P1776="","—",IF($P1776="Valid (Pass)","Valid","Invalid")))</f>
        <v/>
      </c>
      <c r="P1776" s="27" t="n"/>
      <c r="Q1776" s="27" t="n"/>
      <c r="R1776" s="27" t="n"/>
      <c r="S1776" s="27" t="n"/>
      <c r="T1776" s="25">
        <f>IF($C1776="","",IF(OR(ISNUMBER(SEARCH("quick case",$P1776)),ISNUMBER(SEARCH("quick case",$Q1776))),"Yes","No"))</f>
        <v/>
      </c>
      <c r="U1776" s="25">
        <f>IF($O1776="Invalid",HYPERLINK("mailto:"&amp;$G1776&amp;";"&amp;$I1776&amp;"?cc="&amp;Lists!$E$2&amp;"&amp;subject="&amp;_xlfn.ENCODEURL("[INVALID] Quality audit monitoring completed for "&amp;UPPER($C1776))&amp;"&amp;body="&amp;_xlfn.ENCODEURL("Hi "&amp;$F1776&amp;","&amp;CHAR(10)&amp;"Good day!"&amp;CHAR(10)&amp;CHAR(10)&amp;"A quality monitoring audit has been completed for "&amp;$C1776&amp;"."&amp;CHAR(10)&amp;CHAR(10)&amp;"QUALITY AUDIT DETAILS"&amp;CHAR(10)&amp;"Agent Name: "&amp;$C1776&amp;" (EID "&amp;$D1776&amp;")"&amp;CHAR(10)&amp;"Audit Date: "&amp;TEXT($B1776,"yyyy-mm-dd")&amp;CHAR(10)&amp;"Team Leader: "&amp;$F1776&amp;CHAR(10)&amp;"Case Number: "&amp;$M1776&amp;CHAR(10)&amp;"Transaction ID: "&amp;$N1776&amp;CHAR(10)&amp;"Channel / LOB: "&amp;$K1776&amp;" / "&amp;$L1776&amp;CHAR(10)&amp;"Evaluator: "&amp;$S1776&amp;CHAR(10)&amp;CHAR(10)&amp;"INVALID QUALITY AUDIT DETAILS"&amp;CHAR(10)&amp;"Validation: Invalid"&amp;CHAR(10)&amp;"Invalid Reason: "&amp;$P1776&amp;CHAR(10)&amp;"Expected Resolution Code: "&amp;$Q1776&amp;CHAR(10)&amp;"Remarks: "&amp;LEFT($R1776,600)&amp;CHAR(10)&amp;CHAR(10)&amp;"This is an automated notification from HP Mainstream EQMS."),"✉ Open Email Draft"),"")</f>
        <v/>
      </c>
    </row>
    <row r="1777">
      <c r="A1777" s="25">
        <f>IF($C1777="","","AUD-2026-"&amp;TEXT(ROW()-1,"000000"))</f>
        <v/>
      </c>
      <c r="B1777" s="26" t="n"/>
      <c r="C1777" s="27" t="n"/>
      <c r="D1777" s="25">
        <f>IF($C1777="","",IFERROR(IF(INDEX(Roster!$A:$A,MATCH($C1777,Roster!$B:$B,0))="","",INDEX(Roster!$A:$A,MATCH($C1777,Roster!$B:$B,0))&amp;""),"—"))</f>
        <v/>
      </c>
      <c r="E1777" s="25">
        <f>IF($C1777="","",IFERROR(IF(INDEX(Roster!$C:$C,MATCH($C1777,Roster!$B:$B,0))="","",INDEX(Roster!$C:$C,MATCH($C1777,Roster!$B:$B,0))&amp;""),"—"))</f>
        <v/>
      </c>
      <c r="F1777" s="25">
        <f>IF($C1777="","",IFERROR(IF(INDEX(Roster!$D:$D,MATCH($C1777,Roster!$B:$B,0))="","",INDEX(Roster!$D:$D,MATCH($C1777,Roster!$B:$B,0))&amp;""),"—"))</f>
        <v/>
      </c>
      <c r="G1777" s="25">
        <f>IF($C1777="","",IFERROR(IF(INDEX(Roster!$E:$E,MATCH($C1777,Roster!$B:$B,0))="","",INDEX(Roster!$E:$E,MATCH($C1777,Roster!$B:$B,0))&amp;""),"—"))</f>
        <v/>
      </c>
      <c r="H1777" s="25">
        <f>IF($C1777="","",IFERROR(IF(INDEX(Roster!$F:$F,MATCH($C1777,Roster!$B:$B,0))="","",INDEX(Roster!$F:$F,MATCH($C1777,Roster!$B:$B,0))&amp;""),"—"))</f>
        <v/>
      </c>
      <c r="I1777" s="25">
        <f>IF($C1777="","",IFERROR(IF(INDEX(Roster!$G:$G,MATCH($C1777,Roster!$B:$B,0))="","",INDEX(Roster!$G:$G,MATCH($C1777,Roster!$B:$B,0))&amp;""),"—"))</f>
        <v/>
      </c>
      <c r="J1777" s="25">
        <f>IF($C1777="","",IFERROR(IF(INDEX(Roster!$I:$I,MATCH($C1777,Roster!$B:$B,0))="","",INDEX(Roster!$I:$I,MATCH($C1777,Roster!$B:$B,0))&amp;""),"—"))</f>
        <v/>
      </c>
      <c r="K1777">
        <f>IF($C1777="","",IFERROR(IF(INDEX(Roster!$J:$J,MATCH($C1777,Roster!$B:$B,0))="","",INDEX(Roster!$J:$J,MATCH($C1777,Roster!$B:$B,0))&amp;""),"—"))</f>
        <v/>
      </c>
      <c r="L1777">
        <f>IF($C1777="","",IFERROR(IF(INDEX(Roster!$K:$K,MATCH($C1777,Roster!$B:$B,0))="","",INDEX(Roster!$K:$K,MATCH($C1777,Roster!$B:$B,0))&amp;""),"—"))</f>
        <v/>
      </c>
      <c r="M1777" s="27" t="n"/>
      <c r="N1777" s="27" t="n"/>
      <c r="O1777" s="25">
        <f>IF($C1777="","",IF($P1777="","—",IF($P1777="Valid (Pass)","Valid","Invalid")))</f>
        <v/>
      </c>
      <c r="P1777" s="27" t="n"/>
      <c r="Q1777" s="27" t="n"/>
      <c r="R1777" s="27" t="n"/>
      <c r="S1777" s="27" t="n"/>
      <c r="T1777" s="25">
        <f>IF($C1777="","",IF(OR(ISNUMBER(SEARCH("quick case",$P1777)),ISNUMBER(SEARCH("quick case",$Q1777))),"Yes","No"))</f>
        <v/>
      </c>
      <c r="U1777" s="25">
        <f>IF($O1777="Invalid",HYPERLINK("mailto:"&amp;$G1777&amp;";"&amp;$I1777&amp;"?cc="&amp;Lists!$E$2&amp;"&amp;subject="&amp;_xlfn.ENCODEURL("[INVALID] Quality audit monitoring completed for "&amp;UPPER($C1777))&amp;"&amp;body="&amp;_xlfn.ENCODEURL("Hi "&amp;$F1777&amp;","&amp;CHAR(10)&amp;"Good day!"&amp;CHAR(10)&amp;CHAR(10)&amp;"A quality monitoring audit has been completed for "&amp;$C1777&amp;"."&amp;CHAR(10)&amp;CHAR(10)&amp;"QUALITY AUDIT DETAILS"&amp;CHAR(10)&amp;"Agent Name: "&amp;$C1777&amp;" (EID "&amp;$D1777&amp;")"&amp;CHAR(10)&amp;"Audit Date: "&amp;TEXT($B1777,"yyyy-mm-dd")&amp;CHAR(10)&amp;"Team Leader: "&amp;$F1777&amp;CHAR(10)&amp;"Case Number: "&amp;$M1777&amp;CHAR(10)&amp;"Transaction ID: "&amp;$N1777&amp;CHAR(10)&amp;"Channel / LOB: "&amp;$K1777&amp;" / "&amp;$L1777&amp;CHAR(10)&amp;"Evaluator: "&amp;$S1777&amp;CHAR(10)&amp;CHAR(10)&amp;"INVALID QUALITY AUDIT DETAILS"&amp;CHAR(10)&amp;"Validation: Invalid"&amp;CHAR(10)&amp;"Invalid Reason: "&amp;$P1777&amp;CHAR(10)&amp;"Expected Resolution Code: "&amp;$Q1777&amp;CHAR(10)&amp;"Remarks: "&amp;LEFT($R1777,600)&amp;CHAR(10)&amp;CHAR(10)&amp;"This is an automated notification from HP Mainstream EQMS."),"✉ Open Email Draft"),"")</f>
        <v/>
      </c>
    </row>
    <row r="1778">
      <c r="A1778" s="25">
        <f>IF($C1778="","","AUD-2026-"&amp;TEXT(ROW()-1,"000000"))</f>
        <v/>
      </c>
      <c r="B1778" s="26" t="n"/>
      <c r="C1778" s="27" t="n"/>
      <c r="D1778" s="25">
        <f>IF($C1778="","",IFERROR(IF(INDEX(Roster!$A:$A,MATCH($C1778,Roster!$B:$B,0))="","",INDEX(Roster!$A:$A,MATCH($C1778,Roster!$B:$B,0))&amp;""),"—"))</f>
        <v/>
      </c>
      <c r="E1778" s="25">
        <f>IF($C1778="","",IFERROR(IF(INDEX(Roster!$C:$C,MATCH($C1778,Roster!$B:$B,0))="","",INDEX(Roster!$C:$C,MATCH($C1778,Roster!$B:$B,0))&amp;""),"—"))</f>
        <v/>
      </c>
      <c r="F1778" s="25">
        <f>IF($C1778="","",IFERROR(IF(INDEX(Roster!$D:$D,MATCH($C1778,Roster!$B:$B,0))="","",INDEX(Roster!$D:$D,MATCH($C1778,Roster!$B:$B,0))&amp;""),"—"))</f>
        <v/>
      </c>
      <c r="G1778" s="25">
        <f>IF($C1778="","",IFERROR(IF(INDEX(Roster!$E:$E,MATCH($C1778,Roster!$B:$B,0))="","",INDEX(Roster!$E:$E,MATCH($C1778,Roster!$B:$B,0))&amp;""),"—"))</f>
        <v/>
      </c>
      <c r="H1778" s="25">
        <f>IF($C1778="","",IFERROR(IF(INDEX(Roster!$F:$F,MATCH($C1778,Roster!$B:$B,0))="","",INDEX(Roster!$F:$F,MATCH($C1778,Roster!$B:$B,0))&amp;""),"—"))</f>
        <v/>
      </c>
      <c r="I1778" s="25">
        <f>IF($C1778="","",IFERROR(IF(INDEX(Roster!$G:$G,MATCH($C1778,Roster!$B:$B,0))="","",INDEX(Roster!$G:$G,MATCH($C1778,Roster!$B:$B,0))&amp;""),"—"))</f>
        <v/>
      </c>
      <c r="J1778" s="25">
        <f>IF($C1778="","",IFERROR(IF(INDEX(Roster!$I:$I,MATCH($C1778,Roster!$B:$B,0))="","",INDEX(Roster!$I:$I,MATCH($C1778,Roster!$B:$B,0))&amp;""),"—"))</f>
        <v/>
      </c>
      <c r="K1778">
        <f>IF($C1778="","",IFERROR(IF(INDEX(Roster!$J:$J,MATCH($C1778,Roster!$B:$B,0))="","",INDEX(Roster!$J:$J,MATCH($C1778,Roster!$B:$B,0))&amp;""),"—"))</f>
        <v/>
      </c>
      <c r="L1778">
        <f>IF($C1778="","",IFERROR(IF(INDEX(Roster!$K:$K,MATCH($C1778,Roster!$B:$B,0))="","",INDEX(Roster!$K:$K,MATCH($C1778,Roster!$B:$B,0))&amp;""),"—"))</f>
        <v/>
      </c>
      <c r="M1778" s="27" t="n"/>
      <c r="N1778" s="27" t="n"/>
      <c r="O1778" s="25">
        <f>IF($C1778="","",IF($P1778="","—",IF($P1778="Valid (Pass)","Valid","Invalid")))</f>
        <v/>
      </c>
      <c r="P1778" s="27" t="n"/>
      <c r="Q1778" s="27" t="n"/>
      <c r="R1778" s="27" t="n"/>
      <c r="S1778" s="27" t="n"/>
      <c r="T1778" s="25">
        <f>IF($C1778="","",IF(OR(ISNUMBER(SEARCH("quick case",$P1778)),ISNUMBER(SEARCH("quick case",$Q1778))),"Yes","No"))</f>
        <v/>
      </c>
      <c r="U1778" s="25">
        <f>IF($O1778="Invalid",HYPERLINK("mailto:"&amp;$G1778&amp;";"&amp;$I1778&amp;"?cc="&amp;Lists!$E$2&amp;"&amp;subject="&amp;_xlfn.ENCODEURL("[INVALID] Quality audit monitoring completed for "&amp;UPPER($C1778))&amp;"&amp;body="&amp;_xlfn.ENCODEURL("Hi "&amp;$F1778&amp;","&amp;CHAR(10)&amp;"Good day!"&amp;CHAR(10)&amp;CHAR(10)&amp;"A quality monitoring audit has been completed for "&amp;$C1778&amp;"."&amp;CHAR(10)&amp;CHAR(10)&amp;"QUALITY AUDIT DETAILS"&amp;CHAR(10)&amp;"Agent Name: "&amp;$C1778&amp;" (EID "&amp;$D1778&amp;")"&amp;CHAR(10)&amp;"Audit Date: "&amp;TEXT($B1778,"yyyy-mm-dd")&amp;CHAR(10)&amp;"Team Leader: "&amp;$F1778&amp;CHAR(10)&amp;"Case Number: "&amp;$M1778&amp;CHAR(10)&amp;"Transaction ID: "&amp;$N1778&amp;CHAR(10)&amp;"Channel / LOB: "&amp;$K1778&amp;" / "&amp;$L1778&amp;CHAR(10)&amp;"Evaluator: "&amp;$S1778&amp;CHAR(10)&amp;CHAR(10)&amp;"INVALID QUALITY AUDIT DETAILS"&amp;CHAR(10)&amp;"Validation: Invalid"&amp;CHAR(10)&amp;"Invalid Reason: "&amp;$P1778&amp;CHAR(10)&amp;"Expected Resolution Code: "&amp;$Q1778&amp;CHAR(10)&amp;"Remarks: "&amp;LEFT($R1778,600)&amp;CHAR(10)&amp;CHAR(10)&amp;"This is an automated notification from HP Mainstream EQMS."),"✉ Open Email Draft"),"")</f>
        <v/>
      </c>
    </row>
    <row r="1779">
      <c r="A1779" s="25">
        <f>IF($C1779="","","AUD-2026-"&amp;TEXT(ROW()-1,"000000"))</f>
        <v/>
      </c>
      <c r="B1779" s="26" t="n"/>
      <c r="C1779" s="27" t="n"/>
      <c r="D1779" s="25">
        <f>IF($C1779="","",IFERROR(IF(INDEX(Roster!$A:$A,MATCH($C1779,Roster!$B:$B,0))="","",INDEX(Roster!$A:$A,MATCH($C1779,Roster!$B:$B,0))&amp;""),"—"))</f>
        <v/>
      </c>
      <c r="E1779" s="25">
        <f>IF($C1779="","",IFERROR(IF(INDEX(Roster!$C:$C,MATCH($C1779,Roster!$B:$B,0))="","",INDEX(Roster!$C:$C,MATCH($C1779,Roster!$B:$B,0))&amp;""),"—"))</f>
        <v/>
      </c>
      <c r="F1779" s="25">
        <f>IF($C1779="","",IFERROR(IF(INDEX(Roster!$D:$D,MATCH($C1779,Roster!$B:$B,0))="","",INDEX(Roster!$D:$D,MATCH($C1779,Roster!$B:$B,0))&amp;""),"—"))</f>
        <v/>
      </c>
      <c r="G1779" s="25">
        <f>IF($C1779="","",IFERROR(IF(INDEX(Roster!$E:$E,MATCH($C1779,Roster!$B:$B,0))="","",INDEX(Roster!$E:$E,MATCH($C1779,Roster!$B:$B,0))&amp;""),"—"))</f>
        <v/>
      </c>
      <c r="H1779" s="25">
        <f>IF($C1779="","",IFERROR(IF(INDEX(Roster!$F:$F,MATCH($C1779,Roster!$B:$B,0))="","",INDEX(Roster!$F:$F,MATCH($C1779,Roster!$B:$B,0))&amp;""),"—"))</f>
        <v/>
      </c>
      <c r="I1779" s="25">
        <f>IF($C1779="","",IFERROR(IF(INDEX(Roster!$G:$G,MATCH($C1779,Roster!$B:$B,0))="","",INDEX(Roster!$G:$G,MATCH($C1779,Roster!$B:$B,0))&amp;""),"—"))</f>
        <v/>
      </c>
      <c r="J1779" s="25">
        <f>IF($C1779="","",IFERROR(IF(INDEX(Roster!$I:$I,MATCH($C1779,Roster!$B:$B,0))="","",INDEX(Roster!$I:$I,MATCH($C1779,Roster!$B:$B,0))&amp;""),"—"))</f>
        <v/>
      </c>
      <c r="K1779">
        <f>IF($C1779="","",IFERROR(IF(INDEX(Roster!$J:$J,MATCH($C1779,Roster!$B:$B,0))="","",INDEX(Roster!$J:$J,MATCH($C1779,Roster!$B:$B,0))&amp;""),"—"))</f>
        <v/>
      </c>
      <c r="L1779">
        <f>IF($C1779="","",IFERROR(IF(INDEX(Roster!$K:$K,MATCH($C1779,Roster!$B:$B,0))="","",INDEX(Roster!$K:$K,MATCH($C1779,Roster!$B:$B,0))&amp;""),"—"))</f>
        <v/>
      </c>
      <c r="M1779" s="27" t="n"/>
      <c r="N1779" s="27" t="n"/>
      <c r="O1779" s="25">
        <f>IF($C1779="","",IF($P1779="","—",IF($P1779="Valid (Pass)","Valid","Invalid")))</f>
        <v/>
      </c>
      <c r="P1779" s="27" t="n"/>
      <c r="Q1779" s="27" t="n"/>
      <c r="R1779" s="27" t="n"/>
      <c r="S1779" s="27" t="n"/>
      <c r="T1779" s="25">
        <f>IF($C1779="","",IF(OR(ISNUMBER(SEARCH("quick case",$P1779)),ISNUMBER(SEARCH("quick case",$Q1779))),"Yes","No"))</f>
        <v/>
      </c>
      <c r="U1779" s="25">
        <f>IF($O1779="Invalid",HYPERLINK("mailto:"&amp;$G1779&amp;";"&amp;$I1779&amp;"?cc="&amp;Lists!$E$2&amp;"&amp;subject="&amp;_xlfn.ENCODEURL("[INVALID] Quality audit monitoring completed for "&amp;UPPER($C1779))&amp;"&amp;body="&amp;_xlfn.ENCODEURL("Hi "&amp;$F1779&amp;","&amp;CHAR(10)&amp;"Good day!"&amp;CHAR(10)&amp;CHAR(10)&amp;"A quality monitoring audit has been completed for "&amp;$C1779&amp;"."&amp;CHAR(10)&amp;CHAR(10)&amp;"QUALITY AUDIT DETAILS"&amp;CHAR(10)&amp;"Agent Name: "&amp;$C1779&amp;" (EID "&amp;$D1779&amp;")"&amp;CHAR(10)&amp;"Audit Date: "&amp;TEXT($B1779,"yyyy-mm-dd")&amp;CHAR(10)&amp;"Team Leader: "&amp;$F1779&amp;CHAR(10)&amp;"Case Number: "&amp;$M1779&amp;CHAR(10)&amp;"Transaction ID: "&amp;$N1779&amp;CHAR(10)&amp;"Channel / LOB: "&amp;$K1779&amp;" / "&amp;$L1779&amp;CHAR(10)&amp;"Evaluator: "&amp;$S1779&amp;CHAR(10)&amp;CHAR(10)&amp;"INVALID QUALITY AUDIT DETAILS"&amp;CHAR(10)&amp;"Validation: Invalid"&amp;CHAR(10)&amp;"Invalid Reason: "&amp;$P1779&amp;CHAR(10)&amp;"Expected Resolution Code: "&amp;$Q1779&amp;CHAR(10)&amp;"Remarks: "&amp;LEFT($R1779,600)&amp;CHAR(10)&amp;CHAR(10)&amp;"This is an automated notification from HP Mainstream EQMS."),"✉ Open Email Draft"),"")</f>
        <v/>
      </c>
    </row>
    <row r="1780">
      <c r="A1780" s="25">
        <f>IF($C1780="","","AUD-2026-"&amp;TEXT(ROW()-1,"000000"))</f>
        <v/>
      </c>
      <c r="B1780" s="26" t="n"/>
      <c r="C1780" s="27" t="n"/>
      <c r="D1780" s="25">
        <f>IF($C1780="","",IFERROR(IF(INDEX(Roster!$A:$A,MATCH($C1780,Roster!$B:$B,0))="","",INDEX(Roster!$A:$A,MATCH($C1780,Roster!$B:$B,0))&amp;""),"—"))</f>
        <v/>
      </c>
      <c r="E1780" s="25">
        <f>IF($C1780="","",IFERROR(IF(INDEX(Roster!$C:$C,MATCH($C1780,Roster!$B:$B,0))="","",INDEX(Roster!$C:$C,MATCH($C1780,Roster!$B:$B,0))&amp;""),"—"))</f>
        <v/>
      </c>
      <c r="F1780" s="25">
        <f>IF($C1780="","",IFERROR(IF(INDEX(Roster!$D:$D,MATCH($C1780,Roster!$B:$B,0))="","",INDEX(Roster!$D:$D,MATCH($C1780,Roster!$B:$B,0))&amp;""),"—"))</f>
        <v/>
      </c>
      <c r="G1780" s="25">
        <f>IF($C1780="","",IFERROR(IF(INDEX(Roster!$E:$E,MATCH($C1780,Roster!$B:$B,0))="","",INDEX(Roster!$E:$E,MATCH($C1780,Roster!$B:$B,0))&amp;""),"—"))</f>
        <v/>
      </c>
      <c r="H1780" s="25">
        <f>IF($C1780="","",IFERROR(IF(INDEX(Roster!$F:$F,MATCH($C1780,Roster!$B:$B,0))="","",INDEX(Roster!$F:$F,MATCH($C1780,Roster!$B:$B,0))&amp;""),"—"))</f>
        <v/>
      </c>
      <c r="I1780" s="25">
        <f>IF($C1780="","",IFERROR(IF(INDEX(Roster!$G:$G,MATCH($C1780,Roster!$B:$B,0))="","",INDEX(Roster!$G:$G,MATCH($C1780,Roster!$B:$B,0))&amp;""),"—"))</f>
        <v/>
      </c>
      <c r="J1780" s="25">
        <f>IF($C1780="","",IFERROR(IF(INDEX(Roster!$I:$I,MATCH($C1780,Roster!$B:$B,0))="","",INDEX(Roster!$I:$I,MATCH($C1780,Roster!$B:$B,0))&amp;""),"—"))</f>
        <v/>
      </c>
      <c r="K1780">
        <f>IF($C1780="","",IFERROR(IF(INDEX(Roster!$J:$J,MATCH($C1780,Roster!$B:$B,0))="","",INDEX(Roster!$J:$J,MATCH($C1780,Roster!$B:$B,0))&amp;""),"—"))</f>
        <v/>
      </c>
      <c r="L1780">
        <f>IF($C1780="","",IFERROR(IF(INDEX(Roster!$K:$K,MATCH($C1780,Roster!$B:$B,0))="","",INDEX(Roster!$K:$K,MATCH($C1780,Roster!$B:$B,0))&amp;""),"—"))</f>
        <v/>
      </c>
      <c r="M1780" s="27" t="n"/>
      <c r="N1780" s="27" t="n"/>
      <c r="O1780" s="25">
        <f>IF($C1780="","",IF($P1780="","—",IF($P1780="Valid (Pass)","Valid","Invalid")))</f>
        <v/>
      </c>
      <c r="P1780" s="27" t="n"/>
      <c r="Q1780" s="27" t="n"/>
      <c r="R1780" s="27" t="n"/>
      <c r="S1780" s="27" t="n"/>
      <c r="T1780" s="25">
        <f>IF($C1780="","",IF(OR(ISNUMBER(SEARCH("quick case",$P1780)),ISNUMBER(SEARCH("quick case",$Q1780))),"Yes","No"))</f>
        <v/>
      </c>
      <c r="U1780" s="25">
        <f>IF($O1780="Invalid",HYPERLINK("mailto:"&amp;$G1780&amp;";"&amp;$I1780&amp;"?cc="&amp;Lists!$E$2&amp;"&amp;subject="&amp;_xlfn.ENCODEURL("[INVALID] Quality audit monitoring completed for "&amp;UPPER($C1780))&amp;"&amp;body="&amp;_xlfn.ENCODEURL("Hi "&amp;$F1780&amp;","&amp;CHAR(10)&amp;"Good day!"&amp;CHAR(10)&amp;CHAR(10)&amp;"A quality monitoring audit has been completed for "&amp;$C1780&amp;"."&amp;CHAR(10)&amp;CHAR(10)&amp;"QUALITY AUDIT DETAILS"&amp;CHAR(10)&amp;"Agent Name: "&amp;$C1780&amp;" (EID "&amp;$D1780&amp;")"&amp;CHAR(10)&amp;"Audit Date: "&amp;TEXT($B1780,"yyyy-mm-dd")&amp;CHAR(10)&amp;"Team Leader: "&amp;$F1780&amp;CHAR(10)&amp;"Case Number: "&amp;$M1780&amp;CHAR(10)&amp;"Transaction ID: "&amp;$N1780&amp;CHAR(10)&amp;"Channel / LOB: "&amp;$K1780&amp;" / "&amp;$L1780&amp;CHAR(10)&amp;"Evaluator: "&amp;$S1780&amp;CHAR(10)&amp;CHAR(10)&amp;"INVALID QUALITY AUDIT DETAILS"&amp;CHAR(10)&amp;"Validation: Invalid"&amp;CHAR(10)&amp;"Invalid Reason: "&amp;$P1780&amp;CHAR(10)&amp;"Expected Resolution Code: "&amp;$Q1780&amp;CHAR(10)&amp;"Remarks: "&amp;LEFT($R1780,600)&amp;CHAR(10)&amp;CHAR(10)&amp;"This is an automated notification from HP Mainstream EQMS."),"✉ Open Email Draft"),"")</f>
        <v/>
      </c>
    </row>
    <row r="1781">
      <c r="A1781" s="25">
        <f>IF($C1781="","","AUD-2026-"&amp;TEXT(ROW()-1,"000000"))</f>
        <v/>
      </c>
      <c r="B1781" s="26" t="n"/>
      <c r="C1781" s="27" t="n"/>
      <c r="D1781" s="25">
        <f>IF($C1781="","",IFERROR(IF(INDEX(Roster!$A:$A,MATCH($C1781,Roster!$B:$B,0))="","",INDEX(Roster!$A:$A,MATCH($C1781,Roster!$B:$B,0))&amp;""),"—"))</f>
        <v/>
      </c>
      <c r="E1781" s="25">
        <f>IF($C1781="","",IFERROR(IF(INDEX(Roster!$C:$C,MATCH($C1781,Roster!$B:$B,0))="","",INDEX(Roster!$C:$C,MATCH($C1781,Roster!$B:$B,0))&amp;""),"—"))</f>
        <v/>
      </c>
      <c r="F1781" s="25">
        <f>IF($C1781="","",IFERROR(IF(INDEX(Roster!$D:$D,MATCH($C1781,Roster!$B:$B,0))="","",INDEX(Roster!$D:$D,MATCH($C1781,Roster!$B:$B,0))&amp;""),"—"))</f>
        <v/>
      </c>
      <c r="G1781" s="25">
        <f>IF($C1781="","",IFERROR(IF(INDEX(Roster!$E:$E,MATCH($C1781,Roster!$B:$B,0))="","",INDEX(Roster!$E:$E,MATCH($C1781,Roster!$B:$B,0))&amp;""),"—"))</f>
        <v/>
      </c>
      <c r="H1781" s="25">
        <f>IF($C1781="","",IFERROR(IF(INDEX(Roster!$F:$F,MATCH($C1781,Roster!$B:$B,0))="","",INDEX(Roster!$F:$F,MATCH($C1781,Roster!$B:$B,0))&amp;""),"—"))</f>
        <v/>
      </c>
      <c r="I1781" s="25">
        <f>IF($C1781="","",IFERROR(IF(INDEX(Roster!$G:$G,MATCH($C1781,Roster!$B:$B,0))="","",INDEX(Roster!$G:$G,MATCH($C1781,Roster!$B:$B,0))&amp;""),"—"))</f>
        <v/>
      </c>
      <c r="J1781" s="25">
        <f>IF($C1781="","",IFERROR(IF(INDEX(Roster!$I:$I,MATCH($C1781,Roster!$B:$B,0))="","",INDEX(Roster!$I:$I,MATCH($C1781,Roster!$B:$B,0))&amp;""),"—"))</f>
        <v/>
      </c>
      <c r="K1781">
        <f>IF($C1781="","",IFERROR(IF(INDEX(Roster!$J:$J,MATCH($C1781,Roster!$B:$B,0))="","",INDEX(Roster!$J:$J,MATCH($C1781,Roster!$B:$B,0))&amp;""),"—"))</f>
        <v/>
      </c>
      <c r="L1781">
        <f>IF($C1781="","",IFERROR(IF(INDEX(Roster!$K:$K,MATCH($C1781,Roster!$B:$B,0))="","",INDEX(Roster!$K:$K,MATCH($C1781,Roster!$B:$B,0))&amp;""),"—"))</f>
        <v/>
      </c>
      <c r="M1781" s="27" t="n"/>
      <c r="N1781" s="27" t="n"/>
      <c r="O1781" s="25">
        <f>IF($C1781="","",IF($P1781="","—",IF($P1781="Valid (Pass)","Valid","Invalid")))</f>
        <v/>
      </c>
      <c r="P1781" s="27" t="n"/>
      <c r="Q1781" s="27" t="n"/>
      <c r="R1781" s="27" t="n"/>
      <c r="S1781" s="27" t="n"/>
      <c r="T1781" s="25">
        <f>IF($C1781="","",IF(OR(ISNUMBER(SEARCH("quick case",$P1781)),ISNUMBER(SEARCH("quick case",$Q1781))),"Yes","No"))</f>
        <v/>
      </c>
      <c r="U1781" s="25">
        <f>IF($O1781="Invalid",HYPERLINK("mailto:"&amp;$G1781&amp;";"&amp;$I1781&amp;"?cc="&amp;Lists!$E$2&amp;"&amp;subject="&amp;_xlfn.ENCODEURL("[INVALID] Quality audit monitoring completed for "&amp;UPPER($C1781))&amp;"&amp;body="&amp;_xlfn.ENCODEURL("Hi "&amp;$F1781&amp;","&amp;CHAR(10)&amp;"Good day!"&amp;CHAR(10)&amp;CHAR(10)&amp;"A quality monitoring audit has been completed for "&amp;$C1781&amp;"."&amp;CHAR(10)&amp;CHAR(10)&amp;"QUALITY AUDIT DETAILS"&amp;CHAR(10)&amp;"Agent Name: "&amp;$C1781&amp;" (EID "&amp;$D1781&amp;")"&amp;CHAR(10)&amp;"Audit Date: "&amp;TEXT($B1781,"yyyy-mm-dd")&amp;CHAR(10)&amp;"Team Leader: "&amp;$F1781&amp;CHAR(10)&amp;"Case Number: "&amp;$M1781&amp;CHAR(10)&amp;"Transaction ID: "&amp;$N1781&amp;CHAR(10)&amp;"Channel / LOB: "&amp;$K1781&amp;" / "&amp;$L1781&amp;CHAR(10)&amp;"Evaluator: "&amp;$S1781&amp;CHAR(10)&amp;CHAR(10)&amp;"INVALID QUALITY AUDIT DETAILS"&amp;CHAR(10)&amp;"Validation: Invalid"&amp;CHAR(10)&amp;"Invalid Reason: "&amp;$P1781&amp;CHAR(10)&amp;"Expected Resolution Code: "&amp;$Q1781&amp;CHAR(10)&amp;"Remarks: "&amp;LEFT($R1781,600)&amp;CHAR(10)&amp;CHAR(10)&amp;"This is an automated notification from HP Mainstream EQMS."),"✉ Open Email Draft"),"")</f>
        <v/>
      </c>
    </row>
    <row r="1782">
      <c r="A1782" s="25">
        <f>IF($C1782="","","AUD-2026-"&amp;TEXT(ROW()-1,"000000"))</f>
        <v/>
      </c>
      <c r="B1782" s="26" t="n"/>
      <c r="C1782" s="27" t="n"/>
      <c r="D1782" s="25">
        <f>IF($C1782="","",IFERROR(IF(INDEX(Roster!$A:$A,MATCH($C1782,Roster!$B:$B,0))="","",INDEX(Roster!$A:$A,MATCH($C1782,Roster!$B:$B,0))&amp;""),"—"))</f>
        <v/>
      </c>
      <c r="E1782" s="25">
        <f>IF($C1782="","",IFERROR(IF(INDEX(Roster!$C:$C,MATCH($C1782,Roster!$B:$B,0))="","",INDEX(Roster!$C:$C,MATCH($C1782,Roster!$B:$B,0))&amp;""),"—"))</f>
        <v/>
      </c>
      <c r="F1782" s="25">
        <f>IF($C1782="","",IFERROR(IF(INDEX(Roster!$D:$D,MATCH($C1782,Roster!$B:$B,0))="","",INDEX(Roster!$D:$D,MATCH($C1782,Roster!$B:$B,0))&amp;""),"—"))</f>
        <v/>
      </c>
      <c r="G1782" s="25">
        <f>IF($C1782="","",IFERROR(IF(INDEX(Roster!$E:$E,MATCH($C1782,Roster!$B:$B,0))="","",INDEX(Roster!$E:$E,MATCH($C1782,Roster!$B:$B,0))&amp;""),"—"))</f>
        <v/>
      </c>
      <c r="H1782" s="25">
        <f>IF($C1782="","",IFERROR(IF(INDEX(Roster!$F:$F,MATCH($C1782,Roster!$B:$B,0))="","",INDEX(Roster!$F:$F,MATCH($C1782,Roster!$B:$B,0))&amp;""),"—"))</f>
        <v/>
      </c>
      <c r="I1782" s="25">
        <f>IF($C1782="","",IFERROR(IF(INDEX(Roster!$G:$G,MATCH($C1782,Roster!$B:$B,0))="","",INDEX(Roster!$G:$G,MATCH($C1782,Roster!$B:$B,0))&amp;""),"—"))</f>
        <v/>
      </c>
      <c r="J1782" s="25">
        <f>IF($C1782="","",IFERROR(IF(INDEX(Roster!$I:$I,MATCH($C1782,Roster!$B:$B,0))="","",INDEX(Roster!$I:$I,MATCH($C1782,Roster!$B:$B,0))&amp;""),"—"))</f>
        <v/>
      </c>
      <c r="K1782">
        <f>IF($C1782="","",IFERROR(IF(INDEX(Roster!$J:$J,MATCH($C1782,Roster!$B:$B,0))="","",INDEX(Roster!$J:$J,MATCH($C1782,Roster!$B:$B,0))&amp;""),"—"))</f>
        <v/>
      </c>
      <c r="L1782">
        <f>IF($C1782="","",IFERROR(IF(INDEX(Roster!$K:$K,MATCH($C1782,Roster!$B:$B,0))="","",INDEX(Roster!$K:$K,MATCH($C1782,Roster!$B:$B,0))&amp;""),"—"))</f>
        <v/>
      </c>
      <c r="M1782" s="27" t="n"/>
      <c r="N1782" s="27" t="n"/>
      <c r="O1782" s="25">
        <f>IF($C1782="","",IF($P1782="","—",IF($P1782="Valid (Pass)","Valid","Invalid")))</f>
        <v/>
      </c>
      <c r="P1782" s="27" t="n"/>
      <c r="Q1782" s="27" t="n"/>
      <c r="R1782" s="27" t="n"/>
      <c r="S1782" s="27" t="n"/>
      <c r="T1782" s="25">
        <f>IF($C1782="","",IF(OR(ISNUMBER(SEARCH("quick case",$P1782)),ISNUMBER(SEARCH("quick case",$Q1782))),"Yes","No"))</f>
        <v/>
      </c>
      <c r="U1782" s="25">
        <f>IF($O1782="Invalid",HYPERLINK("mailto:"&amp;$G1782&amp;";"&amp;$I1782&amp;"?cc="&amp;Lists!$E$2&amp;"&amp;subject="&amp;_xlfn.ENCODEURL("[INVALID] Quality audit monitoring completed for "&amp;UPPER($C1782))&amp;"&amp;body="&amp;_xlfn.ENCODEURL("Hi "&amp;$F1782&amp;","&amp;CHAR(10)&amp;"Good day!"&amp;CHAR(10)&amp;CHAR(10)&amp;"A quality monitoring audit has been completed for "&amp;$C1782&amp;"."&amp;CHAR(10)&amp;CHAR(10)&amp;"QUALITY AUDIT DETAILS"&amp;CHAR(10)&amp;"Agent Name: "&amp;$C1782&amp;" (EID "&amp;$D1782&amp;")"&amp;CHAR(10)&amp;"Audit Date: "&amp;TEXT($B1782,"yyyy-mm-dd")&amp;CHAR(10)&amp;"Team Leader: "&amp;$F1782&amp;CHAR(10)&amp;"Case Number: "&amp;$M1782&amp;CHAR(10)&amp;"Transaction ID: "&amp;$N1782&amp;CHAR(10)&amp;"Channel / LOB: "&amp;$K1782&amp;" / "&amp;$L1782&amp;CHAR(10)&amp;"Evaluator: "&amp;$S1782&amp;CHAR(10)&amp;CHAR(10)&amp;"INVALID QUALITY AUDIT DETAILS"&amp;CHAR(10)&amp;"Validation: Invalid"&amp;CHAR(10)&amp;"Invalid Reason: "&amp;$P1782&amp;CHAR(10)&amp;"Expected Resolution Code: "&amp;$Q1782&amp;CHAR(10)&amp;"Remarks: "&amp;LEFT($R1782,600)&amp;CHAR(10)&amp;CHAR(10)&amp;"This is an automated notification from HP Mainstream EQMS."),"✉ Open Email Draft"),"")</f>
        <v/>
      </c>
    </row>
    <row r="1783">
      <c r="A1783" s="25">
        <f>IF($C1783="","","AUD-2026-"&amp;TEXT(ROW()-1,"000000"))</f>
        <v/>
      </c>
      <c r="B1783" s="26" t="n"/>
      <c r="C1783" s="27" t="n"/>
      <c r="D1783" s="25">
        <f>IF($C1783="","",IFERROR(IF(INDEX(Roster!$A:$A,MATCH($C1783,Roster!$B:$B,0))="","",INDEX(Roster!$A:$A,MATCH($C1783,Roster!$B:$B,0))&amp;""),"—"))</f>
        <v/>
      </c>
      <c r="E1783" s="25">
        <f>IF($C1783="","",IFERROR(IF(INDEX(Roster!$C:$C,MATCH($C1783,Roster!$B:$B,0))="","",INDEX(Roster!$C:$C,MATCH($C1783,Roster!$B:$B,0))&amp;""),"—"))</f>
        <v/>
      </c>
      <c r="F1783" s="25">
        <f>IF($C1783="","",IFERROR(IF(INDEX(Roster!$D:$D,MATCH($C1783,Roster!$B:$B,0))="","",INDEX(Roster!$D:$D,MATCH($C1783,Roster!$B:$B,0))&amp;""),"—"))</f>
        <v/>
      </c>
      <c r="G1783" s="25">
        <f>IF($C1783="","",IFERROR(IF(INDEX(Roster!$E:$E,MATCH($C1783,Roster!$B:$B,0))="","",INDEX(Roster!$E:$E,MATCH($C1783,Roster!$B:$B,0))&amp;""),"—"))</f>
        <v/>
      </c>
      <c r="H1783" s="25">
        <f>IF($C1783="","",IFERROR(IF(INDEX(Roster!$F:$F,MATCH($C1783,Roster!$B:$B,0))="","",INDEX(Roster!$F:$F,MATCH($C1783,Roster!$B:$B,0))&amp;""),"—"))</f>
        <v/>
      </c>
      <c r="I1783" s="25">
        <f>IF($C1783="","",IFERROR(IF(INDEX(Roster!$G:$G,MATCH($C1783,Roster!$B:$B,0))="","",INDEX(Roster!$G:$G,MATCH($C1783,Roster!$B:$B,0))&amp;""),"—"))</f>
        <v/>
      </c>
      <c r="J1783" s="25">
        <f>IF($C1783="","",IFERROR(IF(INDEX(Roster!$I:$I,MATCH($C1783,Roster!$B:$B,0))="","",INDEX(Roster!$I:$I,MATCH($C1783,Roster!$B:$B,0))&amp;""),"—"))</f>
        <v/>
      </c>
      <c r="K1783">
        <f>IF($C1783="","",IFERROR(IF(INDEX(Roster!$J:$J,MATCH($C1783,Roster!$B:$B,0))="","",INDEX(Roster!$J:$J,MATCH($C1783,Roster!$B:$B,0))&amp;""),"—"))</f>
        <v/>
      </c>
      <c r="L1783">
        <f>IF($C1783="","",IFERROR(IF(INDEX(Roster!$K:$K,MATCH($C1783,Roster!$B:$B,0))="","",INDEX(Roster!$K:$K,MATCH($C1783,Roster!$B:$B,0))&amp;""),"—"))</f>
        <v/>
      </c>
      <c r="M1783" s="27" t="n"/>
      <c r="N1783" s="27" t="n"/>
      <c r="O1783" s="25">
        <f>IF($C1783="","",IF($P1783="","—",IF($P1783="Valid (Pass)","Valid","Invalid")))</f>
        <v/>
      </c>
      <c r="P1783" s="27" t="n"/>
      <c r="Q1783" s="27" t="n"/>
      <c r="R1783" s="27" t="n"/>
      <c r="S1783" s="27" t="n"/>
      <c r="T1783" s="25">
        <f>IF($C1783="","",IF(OR(ISNUMBER(SEARCH("quick case",$P1783)),ISNUMBER(SEARCH("quick case",$Q1783))),"Yes","No"))</f>
        <v/>
      </c>
      <c r="U1783" s="25">
        <f>IF($O1783="Invalid",HYPERLINK("mailto:"&amp;$G1783&amp;";"&amp;$I1783&amp;"?cc="&amp;Lists!$E$2&amp;"&amp;subject="&amp;_xlfn.ENCODEURL("[INVALID] Quality audit monitoring completed for "&amp;UPPER($C1783))&amp;"&amp;body="&amp;_xlfn.ENCODEURL("Hi "&amp;$F1783&amp;","&amp;CHAR(10)&amp;"Good day!"&amp;CHAR(10)&amp;CHAR(10)&amp;"A quality monitoring audit has been completed for "&amp;$C1783&amp;"."&amp;CHAR(10)&amp;CHAR(10)&amp;"QUALITY AUDIT DETAILS"&amp;CHAR(10)&amp;"Agent Name: "&amp;$C1783&amp;" (EID "&amp;$D1783&amp;")"&amp;CHAR(10)&amp;"Audit Date: "&amp;TEXT($B1783,"yyyy-mm-dd")&amp;CHAR(10)&amp;"Team Leader: "&amp;$F1783&amp;CHAR(10)&amp;"Case Number: "&amp;$M1783&amp;CHAR(10)&amp;"Transaction ID: "&amp;$N1783&amp;CHAR(10)&amp;"Channel / LOB: "&amp;$K1783&amp;" / "&amp;$L1783&amp;CHAR(10)&amp;"Evaluator: "&amp;$S1783&amp;CHAR(10)&amp;CHAR(10)&amp;"INVALID QUALITY AUDIT DETAILS"&amp;CHAR(10)&amp;"Validation: Invalid"&amp;CHAR(10)&amp;"Invalid Reason: "&amp;$P1783&amp;CHAR(10)&amp;"Expected Resolution Code: "&amp;$Q1783&amp;CHAR(10)&amp;"Remarks: "&amp;LEFT($R1783,600)&amp;CHAR(10)&amp;CHAR(10)&amp;"This is an automated notification from HP Mainstream EQMS."),"✉ Open Email Draft"),"")</f>
        <v/>
      </c>
    </row>
    <row r="1784">
      <c r="A1784" s="25">
        <f>IF($C1784="","","AUD-2026-"&amp;TEXT(ROW()-1,"000000"))</f>
        <v/>
      </c>
      <c r="B1784" s="26" t="n"/>
      <c r="C1784" s="27" t="n"/>
      <c r="D1784" s="25">
        <f>IF($C1784="","",IFERROR(IF(INDEX(Roster!$A:$A,MATCH($C1784,Roster!$B:$B,0))="","",INDEX(Roster!$A:$A,MATCH($C1784,Roster!$B:$B,0))&amp;""),"—"))</f>
        <v/>
      </c>
      <c r="E1784" s="25">
        <f>IF($C1784="","",IFERROR(IF(INDEX(Roster!$C:$C,MATCH($C1784,Roster!$B:$B,0))="","",INDEX(Roster!$C:$C,MATCH($C1784,Roster!$B:$B,0))&amp;""),"—"))</f>
        <v/>
      </c>
      <c r="F1784" s="25">
        <f>IF($C1784="","",IFERROR(IF(INDEX(Roster!$D:$D,MATCH($C1784,Roster!$B:$B,0))="","",INDEX(Roster!$D:$D,MATCH($C1784,Roster!$B:$B,0))&amp;""),"—"))</f>
        <v/>
      </c>
      <c r="G1784" s="25">
        <f>IF($C1784="","",IFERROR(IF(INDEX(Roster!$E:$E,MATCH($C1784,Roster!$B:$B,0))="","",INDEX(Roster!$E:$E,MATCH($C1784,Roster!$B:$B,0))&amp;""),"—"))</f>
        <v/>
      </c>
      <c r="H1784" s="25">
        <f>IF($C1784="","",IFERROR(IF(INDEX(Roster!$F:$F,MATCH($C1784,Roster!$B:$B,0))="","",INDEX(Roster!$F:$F,MATCH($C1784,Roster!$B:$B,0))&amp;""),"—"))</f>
        <v/>
      </c>
      <c r="I1784" s="25">
        <f>IF($C1784="","",IFERROR(IF(INDEX(Roster!$G:$G,MATCH($C1784,Roster!$B:$B,0))="","",INDEX(Roster!$G:$G,MATCH($C1784,Roster!$B:$B,0))&amp;""),"—"))</f>
        <v/>
      </c>
      <c r="J1784" s="25">
        <f>IF($C1784="","",IFERROR(IF(INDEX(Roster!$I:$I,MATCH($C1784,Roster!$B:$B,0))="","",INDEX(Roster!$I:$I,MATCH($C1784,Roster!$B:$B,0))&amp;""),"—"))</f>
        <v/>
      </c>
      <c r="K1784">
        <f>IF($C1784="","",IFERROR(IF(INDEX(Roster!$J:$J,MATCH($C1784,Roster!$B:$B,0))="","",INDEX(Roster!$J:$J,MATCH($C1784,Roster!$B:$B,0))&amp;""),"—"))</f>
        <v/>
      </c>
      <c r="L1784">
        <f>IF($C1784="","",IFERROR(IF(INDEX(Roster!$K:$K,MATCH($C1784,Roster!$B:$B,0))="","",INDEX(Roster!$K:$K,MATCH($C1784,Roster!$B:$B,0))&amp;""),"—"))</f>
        <v/>
      </c>
      <c r="M1784" s="27" t="n"/>
      <c r="N1784" s="27" t="n"/>
      <c r="O1784" s="25">
        <f>IF($C1784="","",IF($P1784="","—",IF($P1784="Valid (Pass)","Valid","Invalid")))</f>
        <v/>
      </c>
      <c r="P1784" s="27" t="n"/>
      <c r="Q1784" s="27" t="n"/>
      <c r="R1784" s="27" t="n"/>
      <c r="S1784" s="27" t="n"/>
      <c r="T1784" s="25">
        <f>IF($C1784="","",IF(OR(ISNUMBER(SEARCH("quick case",$P1784)),ISNUMBER(SEARCH("quick case",$Q1784))),"Yes","No"))</f>
        <v/>
      </c>
      <c r="U1784" s="25">
        <f>IF($O1784="Invalid",HYPERLINK("mailto:"&amp;$G1784&amp;";"&amp;$I1784&amp;"?cc="&amp;Lists!$E$2&amp;"&amp;subject="&amp;_xlfn.ENCODEURL("[INVALID] Quality audit monitoring completed for "&amp;UPPER($C1784))&amp;"&amp;body="&amp;_xlfn.ENCODEURL("Hi "&amp;$F1784&amp;","&amp;CHAR(10)&amp;"Good day!"&amp;CHAR(10)&amp;CHAR(10)&amp;"A quality monitoring audit has been completed for "&amp;$C1784&amp;"."&amp;CHAR(10)&amp;CHAR(10)&amp;"QUALITY AUDIT DETAILS"&amp;CHAR(10)&amp;"Agent Name: "&amp;$C1784&amp;" (EID "&amp;$D1784&amp;")"&amp;CHAR(10)&amp;"Audit Date: "&amp;TEXT($B1784,"yyyy-mm-dd")&amp;CHAR(10)&amp;"Team Leader: "&amp;$F1784&amp;CHAR(10)&amp;"Case Number: "&amp;$M1784&amp;CHAR(10)&amp;"Transaction ID: "&amp;$N1784&amp;CHAR(10)&amp;"Channel / LOB: "&amp;$K1784&amp;" / "&amp;$L1784&amp;CHAR(10)&amp;"Evaluator: "&amp;$S1784&amp;CHAR(10)&amp;CHAR(10)&amp;"INVALID QUALITY AUDIT DETAILS"&amp;CHAR(10)&amp;"Validation: Invalid"&amp;CHAR(10)&amp;"Invalid Reason: "&amp;$P1784&amp;CHAR(10)&amp;"Expected Resolution Code: "&amp;$Q1784&amp;CHAR(10)&amp;"Remarks: "&amp;LEFT($R1784,600)&amp;CHAR(10)&amp;CHAR(10)&amp;"This is an automated notification from HP Mainstream EQMS."),"✉ Open Email Draft"),"")</f>
        <v/>
      </c>
    </row>
    <row r="1785">
      <c r="A1785" s="25">
        <f>IF($C1785="","","AUD-2026-"&amp;TEXT(ROW()-1,"000000"))</f>
        <v/>
      </c>
      <c r="B1785" s="26" t="n"/>
      <c r="C1785" s="27" t="n"/>
      <c r="D1785" s="25">
        <f>IF($C1785="","",IFERROR(IF(INDEX(Roster!$A:$A,MATCH($C1785,Roster!$B:$B,0))="","",INDEX(Roster!$A:$A,MATCH($C1785,Roster!$B:$B,0))&amp;""),"—"))</f>
        <v/>
      </c>
      <c r="E1785" s="25">
        <f>IF($C1785="","",IFERROR(IF(INDEX(Roster!$C:$C,MATCH($C1785,Roster!$B:$B,0))="","",INDEX(Roster!$C:$C,MATCH($C1785,Roster!$B:$B,0))&amp;""),"—"))</f>
        <v/>
      </c>
      <c r="F1785" s="25">
        <f>IF($C1785="","",IFERROR(IF(INDEX(Roster!$D:$D,MATCH($C1785,Roster!$B:$B,0))="","",INDEX(Roster!$D:$D,MATCH($C1785,Roster!$B:$B,0))&amp;""),"—"))</f>
        <v/>
      </c>
      <c r="G1785" s="25">
        <f>IF($C1785="","",IFERROR(IF(INDEX(Roster!$E:$E,MATCH($C1785,Roster!$B:$B,0))="","",INDEX(Roster!$E:$E,MATCH($C1785,Roster!$B:$B,0))&amp;""),"—"))</f>
        <v/>
      </c>
      <c r="H1785" s="25">
        <f>IF($C1785="","",IFERROR(IF(INDEX(Roster!$F:$F,MATCH($C1785,Roster!$B:$B,0))="","",INDEX(Roster!$F:$F,MATCH($C1785,Roster!$B:$B,0))&amp;""),"—"))</f>
        <v/>
      </c>
      <c r="I1785" s="25">
        <f>IF($C1785="","",IFERROR(IF(INDEX(Roster!$G:$G,MATCH($C1785,Roster!$B:$B,0))="","",INDEX(Roster!$G:$G,MATCH($C1785,Roster!$B:$B,0))&amp;""),"—"))</f>
        <v/>
      </c>
      <c r="J1785" s="25">
        <f>IF($C1785="","",IFERROR(IF(INDEX(Roster!$I:$I,MATCH($C1785,Roster!$B:$B,0))="","",INDEX(Roster!$I:$I,MATCH($C1785,Roster!$B:$B,0))&amp;""),"—"))</f>
        <v/>
      </c>
      <c r="K1785">
        <f>IF($C1785="","",IFERROR(IF(INDEX(Roster!$J:$J,MATCH($C1785,Roster!$B:$B,0))="","",INDEX(Roster!$J:$J,MATCH($C1785,Roster!$B:$B,0))&amp;""),"—"))</f>
        <v/>
      </c>
      <c r="L1785">
        <f>IF($C1785="","",IFERROR(IF(INDEX(Roster!$K:$K,MATCH($C1785,Roster!$B:$B,0))="","",INDEX(Roster!$K:$K,MATCH($C1785,Roster!$B:$B,0))&amp;""),"—"))</f>
        <v/>
      </c>
      <c r="M1785" s="27" t="n"/>
      <c r="N1785" s="27" t="n"/>
      <c r="O1785" s="25">
        <f>IF($C1785="","",IF($P1785="","—",IF($P1785="Valid (Pass)","Valid","Invalid")))</f>
        <v/>
      </c>
      <c r="P1785" s="27" t="n"/>
      <c r="Q1785" s="27" t="n"/>
      <c r="R1785" s="27" t="n"/>
      <c r="S1785" s="27" t="n"/>
      <c r="T1785" s="25">
        <f>IF($C1785="","",IF(OR(ISNUMBER(SEARCH("quick case",$P1785)),ISNUMBER(SEARCH("quick case",$Q1785))),"Yes","No"))</f>
        <v/>
      </c>
      <c r="U1785" s="25">
        <f>IF($O1785="Invalid",HYPERLINK("mailto:"&amp;$G1785&amp;";"&amp;$I1785&amp;"?cc="&amp;Lists!$E$2&amp;"&amp;subject="&amp;_xlfn.ENCODEURL("[INVALID] Quality audit monitoring completed for "&amp;UPPER($C1785))&amp;"&amp;body="&amp;_xlfn.ENCODEURL("Hi "&amp;$F1785&amp;","&amp;CHAR(10)&amp;"Good day!"&amp;CHAR(10)&amp;CHAR(10)&amp;"A quality monitoring audit has been completed for "&amp;$C1785&amp;"."&amp;CHAR(10)&amp;CHAR(10)&amp;"QUALITY AUDIT DETAILS"&amp;CHAR(10)&amp;"Agent Name: "&amp;$C1785&amp;" (EID "&amp;$D1785&amp;")"&amp;CHAR(10)&amp;"Audit Date: "&amp;TEXT($B1785,"yyyy-mm-dd")&amp;CHAR(10)&amp;"Team Leader: "&amp;$F1785&amp;CHAR(10)&amp;"Case Number: "&amp;$M1785&amp;CHAR(10)&amp;"Transaction ID: "&amp;$N1785&amp;CHAR(10)&amp;"Channel / LOB: "&amp;$K1785&amp;" / "&amp;$L1785&amp;CHAR(10)&amp;"Evaluator: "&amp;$S1785&amp;CHAR(10)&amp;CHAR(10)&amp;"INVALID QUALITY AUDIT DETAILS"&amp;CHAR(10)&amp;"Validation: Invalid"&amp;CHAR(10)&amp;"Invalid Reason: "&amp;$P1785&amp;CHAR(10)&amp;"Expected Resolution Code: "&amp;$Q1785&amp;CHAR(10)&amp;"Remarks: "&amp;LEFT($R1785,600)&amp;CHAR(10)&amp;CHAR(10)&amp;"This is an automated notification from HP Mainstream EQMS."),"✉ Open Email Draft"),"")</f>
        <v/>
      </c>
    </row>
    <row r="1786">
      <c r="A1786" s="25">
        <f>IF($C1786="","","AUD-2026-"&amp;TEXT(ROW()-1,"000000"))</f>
        <v/>
      </c>
      <c r="B1786" s="26" t="n"/>
      <c r="C1786" s="27" t="n"/>
      <c r="D1786" s="25">
        <f>IF($C1786="","",IFERROR(IF(INDEX(Roster!$A:$A,MATCH($C1786,Roster!$B:$B,0))="","",INDEX(Roster!$A:$A,MATCH($C1786,Roster!$B:$B,0))&amp;""),"—"))</f>
        <v/>
      </c>
      <c r="E1786" s="25">
        <f>IF($C1786="","",IFERROR(IF(INDEX(Roster!$C:$C,MATCH($C1786,Roster!$B:$B,0))="","",INDEX(Roster!$C:$C,MATCH($C1786,Roster!$B:$B,0))&amp;""),"—"))</f>
        <v/>
      </c>
      <c r="F1786" s="25">
        <f>IF($C1786="","",IFERROR(IF(INDEX(Roster!$D:$D,MATCH($C1786,Roster!$B:$B,0))="","",INDEX(Roster!$D:$D,MATCH($C1786,Roster!$B:$B,0))&amp;""),"—"))</f>
        <v/>
      </c>
      <c r="G1786" s="25">
        <f>IF($C1786="","",IFERROR(IF(INDEX(Roster!$E:$E,MATCH($C1786,Roster!$B:$B,0))="","",INDEX(Roster!$E:$E,MATCH($C1786,Roster!$B:$B,0))&amp;""),"—"))</f>
        <v/>
      </c>
      <c r="H1786" s="25">
        <f>IF($C1786="","",IFERROR(IF(INDEX(Roster!$F:$F,MATCH($C1786,Roster!$B:$B,0))="","",INDEX(Roster!$F:$F,MATCH($C1786,Roster!$B:$B,0))&amp;""),"—"))</f>
        <v/>
      </c>
      <c r="I1786" s="25">
        <f>IF($C1786="","",IFERROR(IF(INDEX(Roster!$G:$G,MATCH($C1786,Roster!$B:$B,0))="","",INDEX(Roster!$G:$G,MATCH($C1786,Roster!$B:$B,0))&amp;""),"—"))</f>
        <v/>
      </c>
      <c r="J1786" s="25">
        <f>IF($C1786="","",IFERROR(IF(INDEX(Roster!$I:$I,MATCH($C1786,Roster!$B:$B,0))="","",INDEX(Roster!$I:$I,MATCH($C1786,Roster!$B:$B,0))&amp;""),"—"))</f>
        <v/>
      </c>
      <c r="K1786">
        <f>IF($C1786="","",IFERROR(IF(INDEX(Roster!$J:$J,MATCH($C1786,Roster!$B:$B,0))="","",INDEX(Roster!$J:$J,MATCH($C1786,Roster!$B:$B,0))&amp;""),"—"))</f>
        <v/>
      </c>
      <c r="L1786">
        <f>IF($C1786="","",IFERROR(IF(INDEX(Roster!$K:$K,MATCH($C1786,Roster!$B:$B,0))="","",INDEX(Roster!$K:$K,MATCH($C1786,Roster!$B:$B,0))&amp;""),"—"))</f>
        <v/>
      </c>
      <c r="M1786" s="27" t="n"/>
      <c r="N1786" s="27" t="n"/>
      <c r="O1786" s="25">
        <f>IF($C1786="","",IF($P1786="","—",IF($P1786="Valid (Pass)","Valid","Invalid")))</f>
        <v/>
      </c>
      <c r="P1786" s="27" t="n"/>
      <c r="Q1786" s="27" t="n"/>
      <c r="R1786" s="27" t="n"/>
      <c r="S1786" s="27" t="n"/>
      <c r="T1786" s="25">
        <f>IF($C1786="","",IF(OR(ISNUMBER(SEARCH("quick case",$P1786)),ISNUMBER(SEARCH("quick case",$Q1786))),"Yes","No"))</f>
        <v/>
      </c>
      <c r="U1786" s="25">
        <f>IF($O1786="Invalid",HYPERLINK("mailto:"&amp;$G1786&amp;";"&amp;$I1786&amp;"?cc="&amp;Lists!$E$2&amp;"&amp;subject="&amp;_xlfn.ENCODEURL("[INVALID] Quality audit monitoring completed for "&amp;UPPER($C1786))&amp;"&amp;body="&amp;_xlfn.ENCODEURL("Hi "&amp;$F1786&amp;","&amp;CHAR(10)&amp;"Good day!"&amp;CHAR(10)&amp;CHAR(10)&amp;"A quality monitoring audit has been completed for "&amp;$C1786&amp;"."&amp;CHAR(10)&amp;CHAR(10)&amp;"QUALITY AUDIT DETAILS"&amp;CHAR(10)&amp;"Agent Name: "&amp;$C1786&amp;" (EID "&amp;$D1786&amp;")"&amp;CHAR(10)&amp;"Audit Date: "&amp;TEXT($B1786,"yyyy-mm-dd")&amp;CHAR(10)&amp;"Team Leader: "&amp;$F1786&amp;CHAR(10)&amp;"Case Number: "&amp;$M1786&amp;CHAR(10)&amp;"Transaction ID: "&amp;$N1786&amp;CHAR(10)&amp;"Channel / LOB: "&amp;$K1786&amp;" / "&amp;$L1786&amp;CHAR(10)&amp;"Evaluator: "&amp;$S1786&amp;CHAR(10)&amp;CHAR(10)&amp;"INVALID QUALITY AUDIT DETAILS"&amp;CHAR(10)&amp;"Validation: Invalid"&amp;CHAR(10)&amp;"Invalid Reason: "&amp;$P1786&amp;CHAR(10)&amp;"Expected Resolution Code: "&amp;$Q1786&amp;CHAR(10)&amp;"Remarks: "&amp;LEFT($R1786,600)&amp;CHAR(10)&amp;CHAR(10)&amp;"This is an automated notification from HP Mainstream EQMS."),"✉ Open Email Draft"),"")</f>
        <v/>
      </c>
    </row>
    <row r="1787">
      <c r="A1787" s="25">
        <f>IF($C1787="","","AUD-2026-"&amp;TEXT(ROW()-1,"000000"))</f>
        <v/>
      </c>
      <c r="B1787" s="26" t="n"/>
      <c r="C1787" s="27" t="n"/>
      <c r="D1787" s="25">
        <f>IF($C1787="","",IFERROR(IF(INDEX(Roster!$A:$A,MATCH($C1787,Roster!$B:$B,0))="","",INDEX(Roster!$A:$A,MATCH($C1787,Roster!$B:$B,0))&amp;""),"—"))</f>
        <v/>
      </c>
      <c r="E1787" s="25">
        <f>IF($C1787="","",IFERROR(IF(INDEX(Roster!$C:$C,MATCH($C1787,Roster!$B:$B,0))="","",INDEX(Roster!$C:$C,MATCH($C1787,Roster!$B:$B,0))&amp;""),"—"))</f>
        <v/>
      </c>
      <c r="F1787" s="25">
        <f>IF($C1787="","",IFERROR(IF(INDEX(Roster!$D:$D,MATCH($C1787,Roster!$B:$B,0))="","",INDEX(Roster!$D:$D,MATCH($C1787,Roster!$B:$B,0))&amp;""),"—"))</f>
        <v/>
      </c>
      <c r="G1787" s="25">
        <f>IF($C1787="","",IFERROR(IF(INDEX(Roster!$E:$E,MATCH($C1787,Roster!$B:$B,0))="","",INDEX(Roster!$E:$E,MATCH($C1787,Roster!$B:$B,0))&amp;""),"—"))</f>
        <v/>
      </c>
      <c r="H1787" s="25">
        <f>IF($C1787="","",IFERROR(IF(INDEX(Roster!$F:$F,MATCH($C1787,Roster!$B:$B,0))="","",INDEX(Roster!$F:$F,MATCH($C1787,Roster!$B:$B,0))&amp;""),"—"))</f>
        <v/>
      </c>
      <c r="I1787" s="25">
        <f>IF($C1787="","",IFERROR(IF(INDEX(Roster!$G:$G,MATCH($C1787,Roster!$B:$B,0))="","",INDEX(Roster!$G:$G,MATCH($C1787,Roster!$B:$B,0))&amp;""),"—"))</f>
        <v/>
      </c>
      <c r="J1787" s="25">
        <f>IF($C1787="","",IFERROR(IF(INDEX(Roster!$I:$I,MATCH($C1787,Roster!$B:$B,0))="","",INDEX(Roster!$I:$I,MATCH($C1787,Roster!$B:$B,0))&amp;""),"—"))</f>
        <v/>
      </c>
      <c r="K1787">
        <f>IF($C1787="","",IFERROR(IF(INDEX(Roster!$J:$J,MATCH($C1787,Roster!$B:$B,0))="","",INDEX(Roster!$J:$J,MATCH($C1787,Roster!$B:$B,0))&amp;""),"—"))</f>
        <v/>
      </c>
      <c r="L1787">
        <f>IF($C1787="","",IFERROR(IF(INDEX(Roster!$K:$K,MATCH($C1787,Roster!$B:$B,0))="","",INDEX(Roster!$K:$K,MATCH($C1787,Roster!$B:$B,0))&amp;""),"—"))</f>
        <v/>
      </c>
      <c r="M1787" s="27" t="n"/>
      <c r="N1787" s="27" t="n"/>
      <c r="O1787" s="25">
        <f>IF($C1787="","",IF($P1787="","—",IF($P1787="Valid (Pass)","Valid","Invalid")))</f>
        <v/>
      </c>
      <c r="P1787" s="27" t="n"/>
      <c r="Q1787" s="27" t="n"/>
      <c r="R1787" s="27" t="n"/>
      <c r="S1787" s="27" t="n"/>
      <c r="T1787" s="25">
        <f>IF($C1787="","",IF(OR(ISNUMBER(SEARCH("quick case",$P1787)),ISNUMBER(SEARCH("quick case",$Q1787))),"Yes","No"))</f>
        <v/>
      </c>
      <c r="U1787" s="25">
        <f>IF($O1787="Invalid",HYPERLINK("mailto:"&amp;$G1787&amp;";"&amp;$I1787&amp;"?cc="&amp;Lists!$E$2&amp;"&amp;subject="&amp;_xlfn.ENCODEURL("[INVALID] Quality audit monitoring completed for "&amp;UPPER($C1787))&amp;"&amp;body="&amp;_xlfn.ENCODEURL("Hi "&amp;$F1787&amp;","&amp;CHAR(10)&amp;"Good day!"&amp;CHAR(10)&amp;CHAR(10)&amp;"A quality monitoring audit has been completed for "&amp;$C1787&amp;"."&amp;CHAR(10)&amp;CHAR(10)&amp;"QUALITY AUDIT DETAILS"&amp;CHAR(10)&amp;"Agent Name: "&amp;$C1787&amp;" (EID "&amp;$D1787&amp;")"&amp;CHAR(10)&amp;"Audit Date: "&amp;TEXT($B1787,"yyyy-mm-dd")&amp;CHAR(10)&amp;"Team Leader: "&amp;$F1787&amp;CHAR(10)&amp;"Case Number: "&amp;$M1787&amp;CHAR(10)&amp;"Transaction ID: "&amp;$N1787&amp;CHAR(10)&amp;"Channel / LOB: "&amp;$K1787&amp;" / "&amp;$L1787&amp;CHAR(10)&amp;"Evaluator: "&amp;$S1787&amp;CHAR(10)&amp;CHAR(10)&amp;"INVALID QUALITY AUDIT DETAILS"&amp;CHAR(10)&amp;"Validation: Invalid"&amp;CHAR(10)&amp;"Invalid Reason: "&amp;$P1787&amp;CHAR(10)&amp;"Expected Resolution Code: "&amp;$Q1787&amp;CHAR(10)&amp;"Remarks: "&amp;LEFT($R1787,600)&amp;CHAR(10)&amp;CHAR(10)&amp;"This is an automated notification from HP Mainstream EQMS."),"✉ Open Email Draft"),"")</f>
        <v/>
      </c>
    </row>
    <row r="1788">
      <c r="A1788" s="25">
        <f>IF($C1788="","","AUD-2026-"&amp;TEXT(ROW()-1,"000000"))</f>
        <v/>
      </c>
      <c r="B1788" s="26" t="n"/>
      <c r="C1788" s="27" t="n"/>
      <c r="D1788" s="25">
        <f>IF($C1788="","",IFERROR(IF(INDEX(Roster!$A:$A,MATCH($C1788,Roster!$B:$B,0))="","",INDEX(Roster!$A:$A,MATCH($C1788,Roster!$B:$B,0))&amp;""),"—"))</f>
        <v/>
      </c>
      <c r="E1788" s="25">
        <f>IF($C1788="","",IFERROR(IF(INDEX(Roster!$C:$C,MATCH($C1788,Roster!$B:$B,0))="","",INDEX(Roster!$C:$C,MATCH($C1788,Roster!$B:$B,0))&amp;""),"—"))</f>
        <v/>
      </c>
      <c r="F1788" s="25">
        <f>IF($C1788="","",IFERROR(IF(INDEX(Roster!$D:$D,MATCH($C1788,Roster!$B:$B,0))="","",INDEX(Roster!$D:$D,MATCH($C1788,Roster!$B:$B,0))&amp;""),"—"))</f>
        <v/>
      </c>
      <c r="G1788" s="25">
        <f>IF($C1788="","",IFERROR(IF(INDEX(Roster!$E:$E,MATCH($C1788,Roster!$B:$B,0))="","",INDEX(Roster!$E:$E,MATCH($C1788,Roster!$B:$B,0))&amp;""),"—"))</f>
        <v/>
      </c>
      <c r="H1788" s="25">
        <f>IF($C1788="","",IFERROR(IF(INDEX(Roster!$F:$F,MATCH($C1788,Roster!$B:$B,0))="","",INDEX(Roster!$F:$F,MATCH($C1788,Roster!$B:$B,0))&amp;""),"—"))</f>
        <v/>
      </c>
      <c r="I1788" s="25">
        <f>IF($C1788="","",IFERROR(IF(INDEX(Roster!$G:$G,MATCH($C1788,Roster!$B:$B,0))="","",INDEX(Roster!$G:$G,MATCH($C1788,Roster!$B:$B,0))&amp;""),"—"))</f>
        <v/>
      </c>
      <c r="J1788" s="25">
        <f>IF($C1788="","",IFERROR(IF(INDEX(Roster!$I:$I,MATCH($C1788,Roster!$B:$B,0))="","",INDEX(Roster!$I:$I,MATCH($C1788,Roster!$B:$B,0))&amp;""),"—"))</f>
        <v/>
      </c>
      <c r="K1788">
        <f>IF($C1788="","",IFERROR(IF(INDEX(Roster!$J:$J,MATCH($C1788,Roster!$B:$B,0))="","",INDEX(Roster!$J:$J,MATCH($C1788,Roster!$B:$B,0))&amp;""),"—"))</f>
        <v/>
      </c>
      <c r="L1788">
        <f>IF($C1788="","",IFERROR(IF(INDEX(Roster!$K:$K,MATCH($C1788,Roster!$B:$B,0))="","",INDEX(Roster!$K:$K,MATCH($C1788,Roster!$B:$B,0))&amp;""),"—"))</f>
        <v/>
      </c>
      <c r="M1788" s="27" t="n"/>
      <c r="N1788" s="27" t="n"/>
      <c r="O1788" s="25">
        <f>IF($C1788="","",IF($P1788="","—",IF($P1788="Valid (Pass)","Valid","Invalid")))</f>
        <v/>
      </c>
      <c r="P1788" s="27" t="n"/>
      <c r="Q1788" s="27" t="n"/>
      <c r="R1788" s="27" t="n"/>
      <c r="S1788" s="27" t="n"/>
      <c r="T1788" s="25">
        <f>IF($C1788="","",IF(OR(ISNUMBER(SEARCH("quick case",$P1788)),ISNUMBER(SEARCH("quick case",$Q1788))),"Yes","No"))</f>
        <v/>
      </c>
      <c r="U1788" s="25">
        <f>IF($O1788="Invalid",HYPERLINK("mailto:"&amp;$G1788&amp;";"&amp;$I1788&amp;"?cc="&amp;Lists!$E$2&amp;"&amp;subject="&amp;_xlfn.ENCODEURL("[INVALID] Quality audit monitoring completed for "&amp;UPPER($C1788))&amp;"&amp;body="&amp;_xlfn.ENCODEURL("Hi "&amp;$F1788&amp;","&amp;CHAR(10)&amp;"Good day!"&amp;CHAR(10)&amp;CHAR(10)&amp;"A quality monitoring audit has been completed for "&amp;$C1788&amp;"."&amp;CHAR(10)&amp;CHAR(10)&amp;"QUALITY AUDIT DETAILS"&amp;CHAR(10)&amp;"Agent Name: "&amp;$C1788&amp;" (EID "&amp;$D1788&amp;")"&amp;CHAR(10)&amp;"Audit Date: "&amp;TEXT($B1788,"yyyy-mm-dd")&amp;CHAR(10)&amp;"Team Leader: "&amp;$F1788&amp;CHAR(10)&amp;"Case Number: "&amp;$M1788&amp;CHAR(10)&amp;"Transaction ID: "&amp;$N1788&amp;CHAR(10)&amp;"Channel / LOB: "&amp;$K1788&amp;" / "&amp;$L1788&amp;CHAR(10)&amp;"Evaluator: "&amp;$S1788&amp;CHAR(10)&amp;CHAR(10)&amp;"INVALID QUALITY AUDIT DETAILS"&amp;CHAR(10)&amp;"Validation: Invalid"&amp;CHAR(10)&amp;"Invalid Reason: "&amp;$P1788&amp;CHAR(10)&amp;"Expected Resolution Code: "&amp;$Q1788&amp;CHAR(10)&amp;"Remarks: "&amp;LEFT($R1788,600)&amp;CHAR(10)&amp;CHAR(10)&amp;"This is an automated notification from HP Mainstream EQMS."),"✉ Open Email Draft"),"")</f>
        <v/>
      </c>
    </row>
    <row r="1789">
      <c r="A1789" s="25">
        <f>IF($C1789="","","AUD-2026-"&amp;TEXT(ROW()-1,"000000"))</f>
        <v/>
      </c>
      <c r="B1789" s="26" t="n"/>
      <c r="C1789" s="27" t="n"/>
      <c r="D1789" s="25">
        <f>IF($C1789="","",IFERROR(IF(INDEX(Roster!$A:$A,MATCH($C1789,Roster!$B:$B,0))="","",INDEX(Roster!$A:$A,MATCH($C1789,Roster!$B:$B,0))&amp;""),"—"))</f>
        <v/>
      </c>
      <c r="E1789" s="25">
        <f>IF($C1789="","",IFERROR(IF(INDEX(Roster!$C:$C,MATCH($C1789,Roster!$B:$B,0))="","",INDEX(Roster!$C:$C,MATCH($C1789,Roster!$B:$B,0))&amp;""),"—"))</f>
        <v/>
      </c>
      <c r="F1789" s="25">
        <f>IF($C1789="","",IFERROR(IF(INDEX(Roster!$D:$D,MATCH($C1789,Roster!$B:$B,0))="","",INDEX(Roster!$D:$D,MATCH($C1789,Roster!$B:$B,0))&amp;""),"—"))</f>
        <v/>
      </c>
      <c r="G1789" s="25">
        <f>IF($C1789="","",IFERROR(IF(INDEX(Roster!$E:$E,MATCH($C1789,Roster!$B:$B,0))="","",INDEX(Roster!$E:$E,MATCH($C1789,Roster!$B:$B,0))&amp;""),"—"))</f>
        <v/>
      </c>
      <c r="H1789" s="25">
        <f>IF($C1789="","",IFERROR(IF(INDEX(Roster!$F:$F,MATCH($C1789,Roster!$B:$B,0))="","",INDEX(Roster!$F:$F,MATCH($C1789,Roster!$B:$B,0))&amp;""),"—"))</f>
        <v/>
      </c>
      <c r="I1789" s="25">
        <f>IF($C1789="","",IFERROR(IF(INDEX(Roster!$G:$G,MATCH($C1789,Roster!$B:$B,0))="","",INDEX(Roster!$G:$G,MATCH($C1789,Roster!$B:$B,0))&amp;""),"—"))</f>
        <v/>
      </c>
      <c r="J1789" s="25">
        <f>IF($C1789="","",IFERROR(IF(INDEX(Roster!$I:$I,MATCH($C1789,Roster!$B:$B,0))="","",INDEX(Roster!$I:$I,MATCH($C1789,Roster!$B:$B,0))&amp;""),"—"))</f>
        <v/>
      </c>
      <c r="K1789">
        <f>IF($C1789="","",IFERROR(IF(INDEX(Roster!$J:$J,MATCH($C1789,Roster!$B:$B,0))="","",INDEX(Roster!$J:$J,MATCH($C1789,Roster!$B:$B,0))&amp;""),"—"))</f>
        <v/>
      </c>
      <c r="L1789">
        <f>IF($C1789="","",IFERROR(IF(INDEX(Roster!$K:$K,MATCH($C1789,Roster!$B:$B,0))="","",INDEX(Roster!$K:$K,MATCH($C1789,Roster!$B:$B,0))&amp;""),"—"))</f>
        <v/>
      </c>
      <c r="M1789" s="27" t="n"/>
      <c r="N1789" s="27" t="n"/>
      <c r="O1789" s="25">
        <f>IF($C1789="","",IF($P1789="","—",IF($P1789="Valid (Pass)","Valid","Invalid")))</f>
        <v/>
      </c>
      <c r="P1789" s="27" t="n"/>
      <c r="Q1789" s="27" t="n"/>
      <c r="R1789" s="27" t="n"/>
      <c r="S1789" s="27" t="n"/>
      <c r="T1789" s="25">
        <f>IF($C1789="","",IF(OR(ISNUMBER(SEARCH("quick case",$P1789)),ISNUMBER(SEARCH("quick case",$Q1789))),"Yes","No"))</f>
        <v/>
      </c>
      <c r="U1789" s="25">
        <f>IF($O1789="Invalid",HYPERLINK("mailto:"&amp;$G1789&amp;";"&amp;$I1789&amp;"?cc="&amp;Lists!$E$2&amp;"&amp;subject="&amp;_xlfn.ENCODEURL("[INVALID] Quality audit monitoring completed for "&amp;UPPER($C1789))&amp;"&amp;body="&amp;_xlfn.ENCODEURL("Hi "&amp;$F1789&amp;","&amp;CHAR(10)&amp;"Good day!"&amp;CHAR(10)&amp;CHAR(10)&amp;"A quality monitoring audit has been completed for "&amp;$C1789&amp;"."&amp;CHAR(10)&amp;CHAR(10)&amp;"QUALITY AUDIT DETAILS"&amp;CHAR(10)&amp;"Agent Name: "&amp;$C1789&amp;" (EID "&amp;$D1789&amp;")"&amp;CHAR(10)&amp;"Audit Date: "&amp;TEXT($B1789,"yyyy-mm-dd")&amp;CHAR(10)&amp;"Team Leader: "&amp;$F1789&amp;CHAR(10)&amp;"Case Number: "&amp;$M1789&amp;CHAR(10)&amp;"Transaction ID: "&amp;$N1789&amp;CHAR(10)&amp;"Channel / LOB: "&amp;$K1789&amp;" / "&amp;$L1789&amp;CHAR(10)&amp;"Evaluator: "&amp;$S1789&amp;CHAR(10)&amp;CHAR(10)&amp;"INVALID QUALITY AUDIT DETAILS"&amp;CHAR(10)&amp;"Validation: Invalid"&amp;CHAR(10)&amp;"Invalid Reason: "&amp;$P1789&amp;CHAR(10)&amp;"Expected Resolution Code: "&amp;$Q1789&amp;CHAR(10)&amp;"Remarks: "&amp;LEFT($R1789,600)&amp;CHAR(10)&amp;CHAR(10)&amp;"This is an automated notification from HP Mainstream EQMS."),"✉ Open Email Draft"),"")</f>
        <v/>
      </c>
    </row>
    <row r="1790">
      <c r="A1790" s="25">
        <f>IF($C1790="","","AUD-2026-"&amp;TEXT(ROW()-1,"000000"))</f>
        <v/>
      </c>
      <c r="B1790" s="26" t="n"/>
      <c r="C1790" s="27" t="n"/>
      <c r="D1790" s="25">
        <f>IF($C1790="","",IFERROR(IF(INDEX(Roster!$A:$A,MATCH($C1790,Roster!$B:$B,0))="","",INDEX(Roster!$A:$A,MATCH($C1790,Roster!$B:$B,0))&amp;""),"—"))</f>
        <v/>
      </c>
      <c r="E1790" s="25">
        <f>IF($C1790="","",IFERROR(IF(INDEX(Roster!$C:$C,MATCH($C1790,Roster!$B:$B,0))="","",INDEX(Roster!$C:$C,MATCH($C1790,Roster!$B:$B,0))&amp;""),"—"))</f>
        <v/>
      </c>
      <c r="F1790" s="25">
        <f>IF($C1790="","",IFERROR(IF(INDEX(Roster!$D:$D,MATCH($C1790,Roster!$B:$B,0))="","",INDEX(Roster!$D:$D,MATCH($C1790,Roster!$B:$B,0))&amp;""),"—"))</f>
        <v/>
      </c>
      <c r="G1790" s="25">
        <f>IF($C1790="","",IFERROR(IF(INDEX(Roster!$E:$E,MATCH($C1790,Roster!$B:$B,0))="","",INDEX(Roster!$E:$E,MATCH($C1790,Roster!$B:$B,0))&amp;""),"—"))</f>
        <v/>
      </c>
      <c r="H1790" s="25">
        <f>IF($C1790="","",IFERROR(IF(INDEX(Roster!$F:$F,MATCH($C1790,Roster!$B:$B,0))="","",INDEX(Roster!$F:$F,MATCH($C1790,Roster!$B:$B,0))&amp;""),"—"))</f>
        <v/>
      </c>
      <c r="I1790" s="25">
        <f>IF($C1790="","",IFERROR(IF(INDEX(Roster!$G:$G,MATCH($C1790,Roster!$B:$B,0))="","",INDEX(Roster!$G:$G,MATCH($C1790,Roster!$B:$B,0))&amp;""),"—"))</f>
        <v/>
      </c>
      <c r="J1790" s="25">
        <f>IF($C1790="","",IFERROR(IF(INDEX(Roster!$I:$I,MATCH($C1790,Roster!$B:$B,0))="","",INDEX(Roster!$I:$I,MATCH($C1790,Roster!$B:$B,0))&amp;""),"—"))</f>
        <v/>
      </c>
      <c r="K1790">
        <f>IF($C1790="","",IFERROR(IF(INDEX(Roster!$J:$J,MATCH($C1790,Roster!$B:$B,0))="","",INDEX(Roster!$J:$J,MATCH($C1790,Roster!$B:$B,0))&amp;""),"—"))</f>
        <v/>
      </c>
      <c r="L1790">
        <f>IF($C1790="","",IFERROR(IF(INDEX(Roster!$K:$K,MATCH($C1790,Roster!$B:$B,0))="","",INDEX(Roster!$K:$K,MATCH($C1790,Roster!$B:$B,0))&amp;""),"—"))</f>
        <v/>
      </c>
      <c r="M1790" s="27" t="n"/>
      <c r="N1790" s="27" t="n"/>
      <c r="O1790" s="25">
        <f>IF($C1790="","",IF($P1790="","—",IF($P1790="Valid (Pass)","Valid","Invalid")))</f>
        <v/>
      </c>
      <c r="P1790" s="27" t="n"/>
      <c r="Q1790" s="27" t="n"/>
      <c r="R1790" s="27" t="n"/>
      <c r="S1790" s="27" t="n"/>
      <c r="T1790" s="25">
        <f>IF($C1790="","",IF(OR(ISNUMBER(SEARCH("quick case",$P1790)),ISNUMBER(SEARCH("quick case",$Q1790))),"Yes","No"))</f>
        <v/>
      </c>
      <c r="U1790" s="25">
        <f>IF($O1790="Invalid",HYPERLINK("mailto:"&amp;$G1790&amp;";"&amp;$I1790&amp;"?cc="&amp;Lists!$E$2&amp;"&amp;subject="&amp;_xlfn.ENCODEURL("[INVALID] Quality audit monitoring completed for "&amp;UPPER($C1790))&amp;"&amp;body="&amp;_xlfn.ENCODEURL("Hi "&amp;$F1790&amp;","&amp;CHAR(10)&amp;"Good day!"&amp;CHAR(10)&amp;CHAR(10)&amp;"A quality monitoring audit has been completed for "&amp;$C1790&amp;"."&amp;CHAR(10)&amp;CHAR(10)&amp;"QUALITY AUDIT DETAILS"&amp;CHAR(10)&amp;"Agent Name: "&amp;$C1790&amp;" (EID "&amp;$D1790&amp;")"&amp;CHAR(10)&amp;"Audit Date: "&amp;TEXT($B1790,"yyyy-mm-dd")&amp;CHAR(10)&amp;"Team Leader: "&amp;$F1790&amp;CHAR(10)&amp;"Case Number: "&amp;$M1790&amp;CHAR(10)&amp;"Transaction ID: "&amp;$N1790&amp;CHAR(10)&amp;"Channel / LOB: "&amp;$K1790&amp;" / "&amp;$L1790&amp;CHAR(10)&amp;"Evaluator: "&amp;$S1790&amp;CHAR(10)&amp;CHAR(10)&amp;"INVALID QUALITY AUDIT DETAILS"&amp;CHAR(10)&amp;"Validation: Invalid"&amp;CHAR(10)&amp;"Invalid Reason: "&amp;$P1790&amp;CHAR(10)&amp;"Expected Resolution Code: "&amp;$Q1790&amp;CHAR(10)&amp;"Remarks: "&amp;LEFT($R1790,600)&amp;CHAR(10)&amp;CHAR(10)&amp;"This is an automated notification from HP Mainstream EQMS."),"✉ Open Email Draft"),"")</f>
        <v/>
      </c>
    </row>
    <row r="1791">
      <c r="A1791" s="25">
        <f>IF($C1791="","","AUD-2026-"&amp;TEXT(ROW()-1,"000000"))</f>
        <v/>
      </c>
      <c r="B1791" s="26" t="n"/>
      <c r="C1791" s="27" t="n"/>
      <c r="D1791" s="25">
        <f>IF($C1791="","",IFERROR(IF(INDEX(Roster!$A:$A,MATCH($C1791,Roster!$B:$B,0))="","",INDEX(Roster!$A:$A,MATCH($C1791,Roster!$B:$B,0))&amp;""),"—"))</f>
        <v/>
      </c>
      <c r="E1791" s="25">
        <f>IF($C1791="","",IFERROR(IF(INDEX(Roster!$C:$C,MATCH($C1791,Roster!$B:$B,0))="","",INDEX(Roster!$C:$C,MATCH($C1791,Roster!$B:$B,0))&amp;""),"—"))</f>
        <v/>
      </c>
      <c r="F1791" s="25">
        <f>IF($C1791="","",IFERROR(IF(INDEX(Roster!$D:$D,MATCH($C1791,Roster!$B:$B,0))="","",INDEX(Roster!$D:$D,MATCH($C1791,Roster!$B:$B,0))&amp;""),"—"))</f>
        <v/>
      </c>
      <c r="G1791" s="25">
        <f>IF($C1791="","",IFERROR(IF(INDEX(Roster!$E:$E,MATCH($C1791,Roster!$B:$B,0))="","",INDEX(Roster!$E:$E,MATCH($C1791,Roster!$B:$B,0))&amp;""),"—"))</f>
        <v/>
      </c>
      <c r="H1791" s="25">
        <f>IF($C1791="","",IFERROR(IF(INDEX(Roster!$F:$F,MATCH($C1791,Roster!$B:$B,0))="","",INDEX(Roster!$F:$F,MATCH($C1791,Roster!$B:$B,0))&amp;""),"—"))</f>
        <v/>
      </c>
      <c r="I1791" s="25">
        <f>IF($C1791="","",IFERROR(IF(INDEX(Roster!$G:$G,MATCH($C1791,Roster!$B:$B,0))="","",INDEX(Roster!$G:$G,MATCH($C1791,Roster!$B:$B,0))&amp;""),"—"))</f>
        <v/>
      </c>
      <c r="J1791" s="25">
        <f>IF($C1791="","",IFERROR(IF(INDEX(Roster!$I:$I,MATCH($C1791,Roster!$B:$B,0))="","",INDEX(Roster!$I:$I,MATCH($C1791,Roster!$B:$B,0))&amp;""),"—"))</f>
        <v/>
      </c>
      <c r="K1791">
        <f>IF($C1791="","",IFERROR(IF(INDEX(Roster!$J:$J,MATCH($C1791,Roster!$B:$B,0))="","",INDEX(Roster!$J:$J,MATCH($C1791,Roster!$B:$B,0))&amp;""),"—"))</f>
        <v/>
      </c>
      <c r="L1791">
        <f>IF($C1791="","",IFERROR(IF(INDEX(Roster!$K:$K,MATCH($C1791,Roster!$B:$B,0))="","",INDEX(Roster!$K:$K,MATCH($C1791,Roster!$B:$B,0))&amp;""),"—"))</f>
        <v/>
      </c>
      <c r="M1791" s="27" t="n"/>
      <c r="N1791" s="27" t="n"/>
      <c r="O1791" s="25">
        <f>IF($C1791="","",IF($P1791="","—",IF($P1791="Valid (Pass)","Valid","Invalid")))</f>
        <v/>
      </c>
      <c r="P1791" s="27" t="n"/>
      <c r="Q1791" s="27" t="n"/>
      <c r="R1791" s="27" t="n"/>
      <c r="S1791" s="27" t="n"/>
      <c r="T1791" s="25">
        <f>IF($C1791="","",IF(OR(ISNUMBER(SEARCH("quick case",$P1791)),ISNUMBER(SEARCH("quick case",$Q1791))),"Yes","No"))</f>
        <v/>
      </c>
      <c r="U1791" s="25">
        <f>IF($O1791="Invalid",HYPERLINK("mailto:"&amp;$G1791&amp;";"&amp;$I1791&amp;"?cc="&amp;Lists!$E$2&amp;"&amp;subject="&amp;_xlfn.ENCODEURL("[INVALID] Quality audit monitoring completed for "&amp;UPPER($C1791))&amp;"&amp;body="&amp;_xlfn.ENCODEURL("Hi "&amp;$F1791&amp;","&amp;CHAR(10)&amp;"Good day!"&amp;CHAR(10)&amp;CHAR(10)&amp;"A quality monitoring audit has been completed for "&amp;$C1791&amp;"."&amp;CHAR(10)&amp;CHAR(10)&amp;"QUALITY AUDIT DETAILS"&amp;CHAR(10)&amp;"Agent Name: "&amp;$C1791&amp;" (EID "&amp;$D1791&amp;")"&amp;CHAR(10)&amp;"Audit Date: "&amp;TEXT($B1791,"yyyy-mm-dd")&amp;CHAR(10)&amp;"Team Leader: "&amp;$F1791&amp;CHAR(10)&amp;"Case Number: "&amp;$M1791&amp;CHAR(10)&amp;"Transaction ID: "&amp;$N1791&amp;CHAR(10)&amp;"Channel / LOB: "&amp;$K1791&amp;" / "&amp;$L1791&amp;CHAR(10)&amp;"Evaluator: "&amp;$S1791&amp;CHAR(10)&amp;CHAR(10)&amp;"INVALID QUALITY AUDIT DETAILS"&amp;CHAR(10)&amp;"Validation: Invalid"&amp;CHAR(10)&amp;"Invalid Reason: "&amp;$P1791&amp;CHAR(10)&amp;"Expected Resolution Code: "&amp;$Q1791&amp;CHAR(10)&amp;"Remarks: "&amp;LEFT($R1791,600)&amp;CHAR(10)&amp;CHAR(10)&amp;"This is an automated notification from HP Mainstream EQMS."),"✉ Open Email Draft"),"")</f>
        <v/>
      </c>
    </row>
    <row r="1792">
      <c r="A1792" s="25">
        <f>IF($C1792="","","AUD-2026-"&amp;TEXT(ROW()-1,"000000"))</f>
        <v/>
      </c>
      <c r="B1792" s="26" t="n"/>
      <c r="C1792" s="27" t="n"/>
      <c r="D1792" s="25">
        <f>IF($C1792="","",IFERROR(IF(INDEX(Roster!$A:$A,MATCH($C1792,Roster!$B:$B,0))="","",INDEX(Roster!$A:$A,MATCH($C1792,Roster!$B:$B,0))&amp;""),"—"))</f>
        <v/>
      </c>
      <c r="E1792" s="25">
        <f>IF($C1792="","",IFERROR(IF(INDEX(Roster!$C:$C,MATCH($C1792,Roster!$B:$B,0))="","",INDEX(Roster!$C:$C,MATCH($C1792,Roster!$B:$B,0))&amp;""),"—"))</f>
        <v/>
      </c>
      <c r="F1792" s="25">
        <f>IF($C1792="","",IFERROR(IF(INDEX(Roster!$D:$D,MATCH($C1792,Roster!$B:$B,0))="","",INDEX(Roster!$D:$D,MATCH($C1792,Roster!$B:$B,0))&amp;""),"—"))</f>
        <v/>
      </c>
      <c r="G1792" s="25">
        <f>IF($C1792="","",IFERROR(IF(INDEX(Roster!$E:$E,MATCH($C1792,Roster!$B:$B,0))="","",INDEX(Roster!$E:$E,MATCH($C1792,Roster!$B:$B,0))&amp;""),"—"))</f>
        <v/>
      </c>
      <c r="H1792" s="25">
        <f>IF($C1792="","",IFERROR(IF(INDEX(Roster!$F:$F,MATCH($C1792,Roster!$B:$B,0))="","",INDEX(Roster!$F:$F,MATCH($C1792,Roster!$B:$B,0))&amp;""),"—"))</f>
        <v/>
      </c>
      <c r="I1792" s="25">
        <f>IF($C1792="","",IFERROR(IF(INDEX(Roster!$G:$G,MATCH($C1792,Roster!$B:$B,0))="","",INDEX(Roster!$G:$G,MATCH($C1792,Roster!$B:$B,0))&amp;""),"—"))</f>
        <v/>
      </c>
      <c r="J1792" s="25">
        <f>IF($C1792="","",IFERROR(IF(INDEX(Roster!$I:$I,MATCH($C1792,Roster!$B:$B,0))="","",INDEX(Roster!$I:$I,MATCH($C1792,Roster!$B:$B,0))&amp;""),"—"))</f>
        <v/>
      </c>
      <c r="K1792">
        <f>IF($C1792="","",IFERROR(IF(INDEX(Roster!$J:$J,MATCH($C1792,Roster!$B:$B,0))="","",INDEX(Roster!$J:$J,MATCH($C1792,Roster!$B:$B,0))&amp;""),"—"))</f>
        <v/>
      </c>
      <c r="L1792">
        <f>IF($C1792="","",IFERROR(IF(INDEX(Roster!$K:$K,MATCH($C1792,Roster!$B:$B,0))="","",INDEX(Roster!$K:$K,MATCH($C1792,Roster!$B:$B,0))&amp;""),"—"))</f>
        <v/>
      </c>
      <c r="M1792" s="27" t="n"/>
      <c r="N1792" s="27" t="n"/>
      <c r="O1792" s="25">
        <f>IF($C1792="","",IF($P1792="","—",IF($P1792="Valid (Pass)","Valid","Invalid")))</f>
        <v/>
      </c>
      <c r="P1792" s="27" t="n"/>
      <c r="Q1792" s="27" t="n"/>
      <c r="R1792" s="27" t="n"/>
      <c r="S1792" s="27" t="n"/>
      <c r="T1792" s="25">
        <f>IF($C1792="","",IF(OR(ISNUMBER(SEARCH("quick case",$P1792)),ISNUMBER(SEARCH("quick case",$Q1792))),"Yes","No"))</f>
        <v/>
      </c>
      <c r="U1792" s="25">
        <f>IF($O1792="Invalid",HYPERLINK("mailto:"&amp;$G1792&amp;";"&amp;$I1792&amp;"?cc="&amp;Lists!$E$2&amp;"&amp;subject="&amp;_xlfn.ENCODEURL("[INVALID] Quality audit monitoring completed for "&amp;UPPER($C1792))&amp;"&amp;body="&amp;_xlfn.ENCODEURL("Hi "&amp;$F1792&amp;","&amp;CHAR(10)&amp;"Good day!"&amp;CHAR(10)&amp;CHAR(10)&amp;"A quality monitoring audit has been completed for "&amp;$C1792&amp;"."&amp;CHAR(10)&amp;CHAR(10)&amp;"QUALITY AUDIT DETAILS"&amp;CHAR(10)&amp;"Agent Name: "&amp;$C1792&amp;" (EID "&amp;$D1792&amp;")"&amp;CHAR(10)&amp;"Audit Date: "&amp;TEXT($B1792,"yyyy-mm-dd")&amp;CHAR(10)&amp;"Team Leader: "&amp;$F1792&amp;CHAR(10)&amp;"Case Number: "&amp;$M1792&amp;CHAR(10)&amp;"Transaction ID: "&amp;$N1792&amp;CHAR(10)&amp;"Channel / LOB: "&amp;$K1792&amp;" / "&amp;$L1792&amp;CHAR(10)&amp;"Evaluator: "&amp;$S1792&amp;CHAR(10)&amp;CHAR(10)&amp;"INVALID QUALITY AUDIT DETAILS"&amp;CHAR(10)&amp;"Validation: Invalid"&amp;CHAR(10)&amp;"Invalid Reason: "&amp;$P1792&amp;CHAR(10)&amp;"Expected Resolution Code: "&amp;$Q1792&amp;CHAR(10)&amp;"Remarks: "&amp;LEFT($R1792,600)&amp;CHAR(10)&amp;CHAR(10)&amp;"This is an automated notification from HP Mainstream EQMS."),"✉ Open Email Draft"),"")</f>
        <v/>
      </c>
    </row>
    <row r="1793">
      <c r="A1793" s="25">
        <f>IF($C1793="","","AUD-2026-"&amp;TEXT(ROW()-1,"000000"))</f>
        <v/>
      </c>
      <c r="B1793" s="26" t="n"/>
      <c r="C1793" s="27" t="n"/>
      <c r="D1793" s="25">
        <f>IF($C1793="","",IFERROR(IF(INDEX(Roster!$A:$A,MATCH($C1793,Roster!$B:$B,0))="","",INDEX(Roster!$A:$A,MATCH($C1793,Roster!$B:$B,0))&amp;""),"—"))</f>
        <v/>
      </c>
      <c r="E1793" s="25">
        <f>IF($C1793="","",IFERROR(IF(INDEX(Roster!$C:$C,MATCH($C1793,Roster!$B:$B,0))="","",INDEX(Roster!$C:$C,MATCH($C1793,Roster!$B:$B,0))&amp;""),"—"))</f>
        <v/>
      </c>
      <c r="F1793" s="25">
        <f>IF($C1793="","",IFERROR(IF(INDEX(Roster!$D:$D,MATCH($C1793,Roster!$B:$B,0))="","",INDEX(Roster!$D:$D,MATCH($C1793,Roster!$B:$B,0))&amp;""),"—"))</f>
        <v/>
      </c>
      <c r="G1793" s="25">
        <f>IF($C1793="","",IFERROR(IF(INDEX(Roster!$E:$E,MATCH($C1793,Roster!$B:$B,0))="","",INDEX(Roster!$E:$E,MATCH($C1793,Roster!$B:$B,0))&amp;""),"—"))</f>
        <v/>
      </c>
      <c r="H1793" s="25">
        <f>IF($C1793="","",IFERROR(IF(INDEX(Roster!$F:$F,MATCH($C1793,Roster!$B:$B,0))="","",INDEX(Roster!$F:$F,MATCH($C1793,Roster!$B:$B,0))&amp;""),"—"))</f>
        <v/>
      </c>
      <c r="I1793" s="25">
        <f>IF($C1793="","",IFERROR(IF(INDEX(Roster!$G:$G,MATCH($C1793,Roster!$B:$B,0))="","",INDEX(Roster!$G:$G,MATCH($C1793,Roster!$B:$B,0))&amp;""),"—"))</f>
        <v/>
      </c>
      <c r="J1793" s="25">
        <f>IF($C1793="","",IFERROR(IF(INDEX(Roster!$I:$I,MATCH($C1793,Roster!$B:$B,0))="","",INDEX(Roster!$I:$I,MATCH($C1793,Roster!$B:$B,0))&amp;""),"—"))</f>
        <v/>
      </c>
      <c r="K1793">
        <f>IF($C1793="","",IFERROR(IF(INDEX(Roster!$J:$J,MATCH($C1793,Roster!$B:$B,0))="","",INDEX(Roster!$J:$J,MATCH($C1793,Roster!$B:$B,0))&amp;""),"—"))</f>
        <v/>
      </c>
      <c r="L1793">
        <f>IF($C1793="","",IFERROR(IF(INDEX(Roster!$K:$K,MATCH($C1793,Roster!$B:$B,0))="","",INDEX(Roster!$K:$K,MATCH($C1793,Roster!$B:$B,0))&amp;""),"—"))</f>
        <v/>
      </c>
      <c r="M1793" s="27" t="n"/>
      <c r="N1793" s="27" t="n"/>
      <c r="O1793" s="25">
        <f>IF($C1793="","",IF($P1793="","—",IF($P1793="Valid (Pass)","Valid","Invalid")))</f>
        <v/>
      </c>
      <c r="P1793" s="27" t="n"/>
      <c r="Q1793" s="27" t="n"/>
      <c r="R1793" s="27" t="n"/>
      <c r="S1793" s="27" t="n"/>
      <c r="T1793" s="25">
        <f>IF($C1793="","",IF(OR(ISNUMBER(SEARCH("quick case",$P1793)),ISNUMBER(SEARCH("quick case",$Q1793))),"Yes","No"))</f>
        <v/>
      </c>
      <c r="U1793" s="25">
        <f>IF($O1793="Invalid",HYPERLINK("mailto:"&amp;$G1793&amp;";"&amp;$I1793&amp;"?cc="&amp;Lists!$E$2&amp;"&amp;subject="&amp;_xlfn.ENCODEURL("[INVALID] Quality audit monitoring completed for "&amp;UPPER($C1793))&amp;"&amp;body="&amp;_xlfn.ENCODEURL("Hi "&amp;$F1793&amp;","&amp;CHAR(10)&amp;"Good day!"&amp;CHAR(10)&amp;CHAR(10)&amp;"A quality monitoring audit has been completed for "&amp;$C1793&amp;"."&amp;CHAR(10)&amp;CHAR(10)&amp;"QUALITY AUDIT DETAILS"&amp;CHAR(10)&amp;"Agent Name: "&amp;$C1793&amp;" (EID "&amp;$D1793&amp;")"&amp;CHAR(10)&amp;"Audit Date: "&amp;TEXT($B1793,"yyyy-mm-dd")&amp;CHAR(10)&amp;"Team Leader: "&amp;$F1793&amp;CHAR(10)&amp;"Case Number: "&amp;$M1793&amp;CHAR(10)&amp;"Transaction ID: "&amp;$N1793&amp;CHAR(10)&amp;"Channel / LOB: "&amp;$K1793&amp;" / "&amp;$L1793&amp;CHAR(10)&amp;"Evaluator: "&amp;$S1793&amp;CHAR(10)&amp;CHAR(10)&amp;"INVALID QUALITY AUDIT DETAILS"&amp;CHAR(10)&amp;"Validation: Invalid"&amp;CHAR(10)&amp;"Invalid Reason: "&amp;$P1793&amp;CHAR(10)&amp;"Expected Resolution Code: "&amp;$Q1793&amp;CHAR(10)&amp;"Remarks: "&amp;LEFT($R1793,600)&amp;CHAR(10)&amp;CHAR(10)&amp;"This is an automated notification from HP Mainstream EQMS."),"✉ Open Email Draft"),"")</f>
        <v/>
      </c>
    </row>
    <row r="1794">
      <c r="A1794" s="25">
        <f>IF($C1794="","","AUD-2026-"&amp;TEXT(ROW()-1,"000000"))</f>
        <v/>
      </c>
      <c r="B1794" s="26" t="n"/>
      <c r="C1794" s="27" t="n"/>
      <c r="D1794" s="25">
        <f>IF($C1794="","",IFERROR(IF(INDEX(Roster!$A:$A,MATCH($C1794,Roster!$B:$B,0))="","",INDEX(Roster!$A:$A,MATCH($C1794,Roster!$B:$B,0))&amp;""),"—"))</f>
        <v/>
      </c>
      <c r="E1794" s="25">
        <f>IF($C1794="","",IFERROR(IF(INDEX(Roster!$C:$C,MATCH($C1794,Roster!$B:$B,0))="","",INDEX(Roster!$C:$C,MATCH($C1794,Roster!$B:$B,0))&amp;""),"—"))</f>
        <v/>
      </c>
      <c r="F1794" s="25">
        <f>IF($C1794="","",IFERROR(IF(INDEX(Roster!$D:$D,MATCH($C1794,Roster!$B:$B,0))="","",INDEX(Roster!$D:$D,MATCH($C1794,Roster!$B:$B,0))&amp;""),"—"))</f>
        <v/>
      </c>
      <c r="G1794" s="25">
        <f>IF($C1794="","",IFERROR(IF(INDEX(Roster!$E:$E,MATCH($C1794,Roster!$B:$B,0))="","",INDEX(Roster!$E:$E,MATCH($C1794,Roster!$B:$B,0))&amp;""),"—"))</f>
        <v/>
      </c>
      <c r="H1794" s="25">
        <f>IF($C1794="","",IFERROR(IF(INDEX(Roster!$F:$F,MATCH($C1794,Roster!$B:$B,0))="","",INDEX(Roster!$F:$F,MATCH($C1794,Roster!$B:$B,0))&amp;""),"—"))</f>
        <v/>
      </c>
      <c r="I1794" s="25">
        <f>IF($C1794="","",IFERROR(IF(INDEX(Roster!$G:$G,MATCH($C1794,Roster!$B:$B,0))="","",INDEX(Roster!$G:$G,MATCH($C1794,Roster!$B:$B,0))&amp;""),"—"))</f>
        <v/>
      </c>
      <c r="J1794" s="25">
        <f>IF($C1794="","",IFERROR(IF(INDEX(Roster!$I:$I,MATCH($C1794,Roster!$B:$B,0))="","",INDEX(Roster!$I:$I,MATCH($C1794,Roster!$B:$B,0))&amp;""),"—"))</f>
        <v/>
      </c>
      <c r="K1794">
        <f>IF($C1794="","",IFERROR(IF(INDEX(Roster!$J:$J,MATCH($C1794,Roster!$B:$B,0))="","",INDEX(Roster!$J:$J,MATCH($C1794,Roster!$B:$B,0))&amp;""),"—"))</f>
        <v/>
      </c>
      <c r="L1794">
        <f>IF($C1794="","",IFERROR(IF(INDEX(Roster!$K:$K,MATCH($C1794,Roster!$B:$B,0))="","",INDEX(Roster!$K:$K,MATCH($C1794,Roster!$B:$B,0))&amp;""),"—"))</f>
        <v/>
      </c>
      <c r="M1794" s="27" t="n"/>
      <c r="N1794" s="27" t="n"/>
      <c r="O1794" s="25">
        <f>IF($C1794="","",IF($P1794="","—",IF($P1794="Valid (Pass)","Valid","Invalid")))</f>
        <v/>
      </c>
      <c r="P1794" s="27" t="n"/>
      <c r="Q1794" s="27" t="n"/>
      <c r="R1794" s="27" t="n"/>
      <c r="S1794" s="27" t="n"/>
      <c r="T1794" s="25">
        <f>IF($C1794="","",IF(OR(ISNUMBER(SEARCH("quick case",$P1794)),ISNUMBER(SEARCH("quick case",$Q1794))),"Yes","No"))</f>
        <v/>
      </c>
      <c r="U1794" s="25">
        <f>IF($O1794="Invalid",HYPERLINK("mailto:"&amp;$G1794&amp;";"&amp;$I1794&amp;"?cc="&amp;Lists!$E$2&amp;"&amp;subject="&amp;_xlfn.ENCODEURL("[INVALID] Quality audit monitoring completed for "&amp;UPPER($C1794))&amp;"&amp;body="&amp;_xlfn.ENCODEURL("Hi "&amp;$F1794&amp;","&amp;CHAR(10)&amp;"Good day!"&amp;CHAR(10)&amp;CHAR(10)&amp;"A quality monitoring audit has been completed for "&amp;$C1794&amp;"."&amp;CHAR(10)&amp;CHAR(10)&amp;"QUALITY AUDIT DETAILS"&amp;CHAR(10)&amp;"Agent Name: "&amp;$C1794&amp;" (EID "&amp;$D1794&amp;")"&amp;CHAR(10)&amp;"Audit Date: "&amp;TEXT($B1794,"yyyy-mm-dd")&amp;CHAR(10)&amp;"Team Leader: "&amp;$F1794&amp;CHAR(10)&amp;"Case Number: "&amp;$M1794&amp;CHAR(10)&amp;"Transaction ID: "&amp;$N1794&amp;CHAR(10)&amp;"Channel / LOB: "&amp;$K1794&amp;" / "&amp;$L1794&amp;CHAR(10)&amp;"Evaluator: "&amp;$S1794&amp;CHAR(10)&amp;CHAR(10)&amp;"INVALID QUALITY AUDIT DETAILS"&amp;CHAR(10)&amp;"Validation: Invalid"&amp;CHAR(10)&amp;"Invalid Reason: "&amp;$P1794&amp;CHAR(10)&amp;"Expected Resolution Code: "&amp;$Q1794&amp;CHAR(10)&amp;"Remarks: "&amp;LEFT($R1794,600)&amp;CHAR(10)&amp;CHAR(10)&amp;"This is an automated notification from HP Mainstream EQMS."),"✉ Open Email Draft"),"")</f>
        <v/>
      </c>
    </row>
    <row r="1795">
      <c r="A1795" s="25">
        <f>IF($C1795="","","AUD-2026-"&amp;TEXT(ROW()-1,"000000"))</f>
        <v/>
      </c>
      <c r="B1795" s="26" t="n"/>
      <c r="C1795" s="27" t="n"/>
      <c r="D1795" s="25">
        <f>IF($C1795="","",IFERROR(IF(INDEX(Roster!$A:$A,MATCH($C1795,Roster!$B:$B,0))="","",INDEX(Roster!$A:$A,MATCH($C1795,Roster!$B:$B,0))&amp;""),"—"))</f>
        <v/>
      </c>
      <c r="E1795" s="25">
        <f>IF($C1795="","",IFERROR(IF(INDEX(Roster!$C:$C,MATCH($C1795,Roster!$B:$B,0))="","",INDEX(Roster!$C:$C,MATCH($C1795,Roster!$B:$B,0))&amp;""),"—"))</f>
        <v/>
      </c>
      <c r="F1795" s="25">
        <f>IF($C1795="","",IFERROR(IF(INDEX(Roster!$D:$D,MATCH($C1795,Roster!$B:$B,0))="","",INDEX(Roster!$D:$D,MATCH($C1795,Roster!$B:$B,0))&amp;""),"—"))</f>
        <v/>
      </c>
      <c r="G1795" s="25">
        <f>IF($C1795="","",IFERROR(IF(INDEX(Roster!$E:$E,MATCH($C1795,Roster!$B:$B,0))="","",INDEX(Roster!$E:$E,MATCH($C1795,Roster!$B:$B,0))&amp;""),"—"))</f>
        <v/>
      </c>
      <c r="H1795" s="25">
        <f>IF($C1795="","",IFERROR(IF(INDEX(Roster!$F:$F,MATCH($C1795,Roster!$B:$B,0))="","",INDEX(Roster!$F:$F,MATCH($C1795,Roster!$B:$B,0))&amp;""),"—"))</f>
        <v/>
      </c>
      <c r="I1795" s="25">
        <f>IF($C1795="","",IFERROR(IF(INDEX(Roster!$G:$G,MATCH($C1795,Roster!$B:$B,0))="","",INDEX(Roster!$G:$G,MATCH($C1795,Roster!$B:$B,0))&amp;""),"—"))</f>
        <v/>
      </c>
      <c r="J1795" s="25">
        <f>IF($C1795="","",IFERROR(IF(INDEX(Roster!$I:$I,MATCH($C1795,Roster!$B:$B,0))="","",INDEX(Roster!$I:$I,MATCH($C1795,Roster!$B:$B,0))&amp;""),"—"))</f>
        <v/>
      </c>
      <c r="K1795">
        <f>IF($C1795="","",IFERROR(IF(INDEX(Roster!$J:$J,MATCH($C1795,Roster!$B:$B,0))="","",INDEX(Roster!$J:$J,MATCH($C1795,Roster!$B:$B,0))&amp;""),"—"))</f>
        <v/>
      </c>
      <c r="L1795">
        <f>IF($C1795="","",IFERROR(IF(INDEX(Roster!$K:$K,MATCH($C1795,Roster!$B:$B,0))="","",INDEX(Roster!$K:$K,MATCH($C1795,Roster!$B:$B,0))&amp;""),"—"))</f>
        <v/>
      </c>
      <c r="M1795" s="27" t="n"/>
      <c r="N1795" s="27" t="n"/>
      <c r="O1795" s="25">
        <f>IF($C1795="","",IF($P1795="","—",IF($P1795="Valid (Pass)","Valid","Invalid")))</f>
        <v/>
      </c>
      <c r="P1795" s="27" t="n"/>
      <c r="Q1795" s="27" t="n"/>
      <c r="R1795" s="27" t="n"/>
      <c r="S1795" s="27" t="n"/>
      <c r="T1795" s="25">
        <f>IF($C1795="","",IF(OR(ISNUMBER(SEARCH("quick case",$P1795)),ISNUMBER(SEARCH("quick case",$Q1795))),"Yes","No"))</f>
        <v/>
      </c>
      <c r="U1795" s="25">
        <f>IF($O1795="Invalid",HYPERLINK("mailto:"&amp;$G1795&amp;";"&amp;$I1795&amp;"?cc="&amp;Lists!$E$2&amp;"&amp;subject="&amp;_xlfn.ENCODEURL("[INVALID] Quality audit monitoring completed for "&amp;UPPER($C1795))&amp;"&amp;body="&amp;_xlfn.ENCODEURL("Hi "&amp;$F1795&amp;","&amp;CHAR(10)&amp;"Good day!"&amp;CHAR(10)&amp;CHAR(10)&amp;"A quality monitoring audit has been completed for "&amp;$C1795&amp;"."&amp;CHAR(10)&amp;CHAR(10)&amp;"QUALITY AUDIT DETAILS"&amp;CHAR(10)&amp;"Agent Name: "&amp;$C1795&amp;" (EID "&amp;$D1795&amp;")"&amp;CHAR(10)&amp;"Audit Date: "&amp;TEXT($B1795,"yyyy-mm-dd")&amp;CHAR(10)&amp;"Team Leader: "&amp;$F1795&amp;CHAR(10)&amp;"Case Number: "&amp;$M1795&amp;CHAR(10)&amp;"Transaction ID: "&amp;$N1795&amp;CHAR(10)&amp;"Channel / LOB: "&amp;$K1795&amp;" / "&amp;$L1795&amp;CHAR(10)&amp;"Evaluator: "&amp;$S1795&amp;CHAR(10)&amp;CHAR(10)&amp;"INVALID QUALITY AUDIT DETAILS"&amp;CHAR(10)&amp;"Validation: Invalid"&amp;CHAR(10)&amp;"Invalid Reason: "&amp;$P1795&amp;CHAR(10)&amp;"Expected Resolution Code: "&amp;$Q1795&amp;CHAR(10)&amp;"Remarks: "&amp;LEFT($R1795,600)&amp;CHAR(10)&amp;CHAR(10)&amp;"This is an automated notification from HP Mainstream EQMS."),"✉ Open Email Draft"),"")</f>
        <v/>
      </c>
    </row>
    <row r="1796">
      <c r="A1796" s="25">
        <f>IF($C1796="","","AUD-2026-"&amp;TEXT(ROW()-1,"000000"))</f>
        <v/>
      </c>
      <c r="B1796" s="26" t="n"/>
      <c r="C1796" s="27" t="n"/>
      <c r="D1796" s="25">
        <f>IF($C1796="","",IFERROR(IF(INDEX(Roster!$A:$A,MATCH($C1796,Roster!$B:$B,0))="","",INDEX(Roster!$A:$A,MATCH($C1796,Roster!$B:$B,0))&amp;""),"—"))</f>
        <v/>
      </c>
      <c r="E1796" s="25">
        <f>IF($C1796="","",IFERROR(IF(INDEX(Roster!$C:$C,MATCH($C1796,Roster!$B:$B,0))="","",INDEX(Roster!$C:$C,MATCH($C1796,Roster!$B:$B,0))&amp;""),"—"))</f>
        <v/>
      </c>
      <c r="F1796" s="25">
        <f>IF($C1796="","",IFERROR(IF(INDEX(Roster!$D:$D,MATCH($C1796,Roster!$B:$B,0))="","",INDEX(Roster!$D:$D,MATCH($C1796,Roster!$B:$B,0))&amp;""),"—"))</f>
        <v/>
      </c>
      <c r="G1796" s="25">
        <f>IF($C1796="","",IFERROR(IF(INDEX(Roster!$E:$E,MATCH($C1796,Roster!$B:$B,0))="","",INDEX(Roster!$E:$E,MATCH($C1796,Roster!$B:$B,0))&amp;""),"—"))</f>
        <v/>
      </c>
      <c r="H1796" s="25">
        <f>IF($C1796="","",IFERROR(IF(INDEX(Roster!$F:$F,MATCH($C1796,Roster!$B:$B,0))="","",INDEX(Roster!$F:$F,MATCH($C1796,Roster!$B:$B,0))&amp;""),"—"))</f>
        <v/>
      </c>
      <c r="I1796" s="25">
        <f>IF($C1796="","",IFERROR(IF(INDEX(Roster!$G:$G,MATCH($C1796,Roster!$B:$B,0))="","",INDEX(Roster!$G:$G,MATCH($C1796,Roster!$B:$B,0))&amp;""),"—"))</f>
        <v/>
      </c>
      <c r="J1796" s="25">
        <f>IF($C1796="","",IFERROR(IF(INDEX(Roster!$I:$I,MATCH($C1796,Roster!$B:$B,0))="","",INDEX(Roster!$I:$I,MATCH($C1796,Roster!$B:$B,0))&amp;""),"—"))</f>
        <v/>
      </c>
      <c r="K1796">
        <f>IF($C1796="","",IFERROR(IF(INDEX(Roster!$J:$J,MATCH($C1796,Roster!$B:$B,0))="","",INDEX(Roster!$J:$J,MATCH($C1796,Roster!$B:$B,0))&amp;""),"—"))</f>
        <v/>
      </c>
      <c r="L1796">
        <f>IF($C1796="","",IFERROR(IF(INDEX(Roster!$K:$K,MATCH($C1796,Roster!$B:$B,0))="","",INDEX(Roster!$K:$K,MATCH($C1796,Roster!$B:$B,0))&amp;""),"—"))</f>
        <v/>
      </c>
      <c r="M1796" s="27" t="n"/>
      <c r="N1796" s="27" t="n"/>
      <c r="O1796" s="25">
        <f>IF($C1796="","",IF($P1796="","—",IF($P1796="Valid (Pass)","Valid","Invalid")))</f>
        <v/>
      </c>
      <c r="P1796" s="27" t="n"/>
      <c r="Q1796" s="27" t="n"/>
      <c r="R1796" s="27" t="n"/>
      <c r="S1796" s="27" t="n"/>
      <c r="T1796" s="25">
        <f>IF($C1796="","",IF(OR(ISNUMBER(SEARCH("quick case",$P1796)),ISNUMBER(SEARCH("quick case",$Q1796))),"Yes","No"))</f>
        <v/>
      </c>
      <c r="U1796" s="25">
        <f>IF($O1796="Invalid",HYPERLINK("mailto:"&amp;$G1796&amp;";"&amp;$I1796&amp;"?cc="&amp;Lists!$E$2&amp;"&amp;subject="&amp;_xlfn.ENCODEURL("[INVALID] Quality audit monitoring completed for "&amp;UPPER($C1796))&amp;"&amp;body="&amp;_xlfn.ENCODEURL("Hi "&amp;$F1796&amp;","&amp;CHAR(10)&amp;"Good day!"&amp;CHAR(10)&amp;CHAR(10)&amp;"A quality monitoring audit has been completed for "&amp;$C1796&amp;"."&amp;CHAR(10)&amp;CHAR(10)&amp;"QUALITY AUDIT DETAILS"&amp;CHAR(10)&amp;"Agent Name: "&amp;$C1796&amp;" (EID "&amp;$D1796&amp;")"&amp;CHAR(10)&amp;"Audit Date: "&amp;TEXT($B1796,"yyyy-mm-dd")&amp;CHAR(10)&amp;"Team Leader: "&amp;$F1796&amp;CHAR(10)&amp;"Case Number: "&amp;$M1796&amp;CHAR(10)&amp;"Transaction ID: "&amp;$N1796&amp;CHAR(10)&amp;"Channel / LOB: "&amp;$K1796&amp;" / "&amp;$L1796&amp;CHAR(10)&amp;"Evaluator: "&amp;$S1796&amp;CHAR(10)&amp;CHAR(10)&amp;"INVALID QUALITY AUDIT DETAILS"&amp;CHAR(10)&amp;"Validation: Invalid"&amp;CHAR(10)&amp;"Invalid Reason: "&amp;$P1796&amp;CHAR(10)&amp;"Expected Resolution Code: "&amp;$Q1796&amp;CHAR(10)&amp;"Remarks: "&amp;LEFT($R1796,600)&amp;CHAR(10)&amp;CHAR(10)&amp;"This is an automated notification from HP Mainstream EQMS."),"✉ Open Email Draft"),"")</f>
        <v/>
      </c>
    </row>
    <row r="1797">
      <c r="A1797" s="25">
        <f>IF($C1797="","","AUD-2026-"&amp;TEXT(ROW()-1,"000000"))</f>
        <v/>
      </c>
      <c r="B1797" s="26" t="n"/>
      <c r="C1797" s="27" t="n"/>
      <c r="D1797" s="25">
        <f>IF($C1797="","",IFERROR(IF(INDEX(Roster!$A:$A,MATCH($C1797,Roster!$B:$B,0))="","",INDEX(Roster!$A:$A,MATCH($C1797,Roster!$B:$B,0))&amp;""),"—"))</f>
        <v/>
      </c>
      <c r="E1797" s="25">
        <f>IF($C1797="","",IFERROR(IF(INDEX(Roster!$C:$C,MATCH($C1797,Roster!$B:$B,0))="","",INDEX(Roster!$C:$C,MATCH($C1797,Roster!$B:$B,0))&amp;""),"—"))</f>
        <v/>
      </c>
      <c r="F1797" s="25">
        <f>IF($C1797="","",IFERROR(IF(INDEX(Roster!$D:$D,MATCH($C1797,Roster!$B:$B,0))="","",INDEX(Roster!$D:$D,MATCH($C1797,Roster!$B:$B,0))&amp;""),"—"))</f>
        <v/>
      </c>
      <c r="G1797" s="25">
        <f>IF($C1797="","",IFERROR(IF(INDEX(Roster!$E:$E,MATCH($C1797,Roster!$B:$B,0))="","",INDEX(Roster!$E:$E,MATCH($C1797,Roster!$B:$B,0))&amp;""),"—"))</f>
        <v/>
      </c>
      <c r="H1797" s="25">
        <f>IF($C1797="","",IFERROR(IF(INDEX(Roster!$F:$F,MATCH($C1797,Roster!$B:$B,0))="","",INDEX(Roster!$F:$F,MATCH($C1797,Roster!$B:$B,0))&amp;""),"—"))</f>
        <v/>
      </c>
      <c r="I1797" s="25">
        <f>IF($C1797="","",IFERROR(IF(INDEX(Roster!$G:$G,MATCH($C1797,Roster!$B:$B,0))="","",INDEX(Roster!$G:$G,MATCH($C1797,Roster!$B:$B,0))&amp;""),"—"))</f>
        <v/>
      </c>
      <c r="J1797" s="25">
        <f>IF($C1797="","",IFERROR(IF(INDEX(Roster!$I:$I,MATCH($C1797,Roster!$B:$B,0))="","",INDEX(Roster!$I:$I,MATCH($C1797,Roster!$B:$B,0))&amp;""),"—"))</f>
        <v/>
      </c>
      <c r="K1797">
        <f>IF($C1797="","",IFERROR(IF(INDEX(Roster!$J:$J,MATCH($C1797,Roster!$B:$B,0))="","",INDEX(Roster!$J:$J,MATCH($C1797,Roster!$B:$B,0))&amp;""),"—"))</f>
        <v/>
      </c>
      <c r="L1797">
        <f>IF($C1797="","",IFERROR(IF(INDEX(Roster!$K:$K,MATCH($C1797,Roster!$B:$B,0))="","",INDEX(Roster!$K:$K,MATCH($C1797,Roster!$B:$B,0))&amp;""),"—"))</f>
        <v/>
      </c>
      <c r="M1797" s="27" t="n"/>
      <c r="N1797" s="27" t="n"/>
      <c r="O1797" s="25">
        <f>IF($C1797="","",IF($P1797="","—",IF($P1797="Valid (Pass)","Valid","Invalid")))</f>
        <v/>
      </c>
      <c r="P1797" s="27" t="n"/>
      <c r="Q1797" s="27" t="n"/>
      <c r="R1797" s="27" t="n"/>
      <c r="S1797" s="27" t="n"/>
      <c r="T1797" s="25">
        <f>IF($C1797="","",IF(OR(ISNUMBER(SEARCH("quick case",$P1797)),ISNUMBER(SEARCH("quick case",$Q1797))),"Yes","No"))</f>
        <v/>
      </c>
      <c r="U1797" s="25">
        <f>IF($O1797="Invalid",HYPERLINK("mailto:"&amp;$G1797&amp;";"&amp;$I1797&amp;"?cc="&amp;Lists!$E$2&amp;"&amp;subject="&amp;_xlfn.ENCODEURL("[INVALID] Quality audit monitoring completed for "&amp;UPPER($C1797))&amp;"&amp;body="&amp;_xlfn.ENCODEURL("Hi "&amp;$F1797&amp;","&amp;CHAR(10)&amp;"Good day!"&amp;CHAR(10)&amp;CHAR(10)&amp;"A quality monitoring audit has been completed for "&amp;$C1797&amp;"."&amp;CHAR(10)&amp;CHAR(10)&amp;"QUALITY AUDIT DETAILS"&amp;CHAR(10)&amp;"Agent Name: "&amp;$C1797&amp;" (EID "&amp;$D1797&amp;")"&amp;CHAR(10)&amp;"Audit Date: "&amp;TEXT($B1797,"yyyy-mm-dd")&amp;CHAR(10)&amp;"Team Leader: "&amp;$F1797&amp;CHAR(10)&amp;"Case Number: "&amp;$M1797&amp;CHAR(10)&amp;"Transaction ID: "&amp;$N1797&amp;CHAR(10)&amp;"Channel / LOB: "&amp;$K1797&amp;" / "&amp;$L1797&amp;CHAR(10)&amp;"Evaluator: "&amp;$S1797&amp;CHAR(10)&amp;CHAR(10)&amp;"INVALID QUALITY AUDIT DETAILS"&amp;CHAR(10)&amp;"Validation: Invalid"&amp;CHAR(10)&amp;"Invalid Reason: "&amp;$P1797&amp;CHAR(10)&amp;"Expected Resolution Code: "&amp;$Q1797&amp;CHAR(10)&amp;"Remarks: "&amp;LEFT($R1797,600)&amp;CHAR(10)&amp;CHAR(10)&amp;"This is an automated notification from HP Mainstream EQMS."),"✉ Open Email Draft"),"")</f>
        <v/>
      </c>
    </row>
    <row r="1798">
      <c r="A1798" s="25">
        <f>IF($C1798="","","AUD-2026-"&amp;TEXT(ROW()-1,"000000"))</f>
        <v/>
      </c>
      <c r="B1798" s="26" t="n"/>
      <c r="C1798" s="27" t="n"/>
      <c r="D1798" s="25">
        <f>IF($C1798="","",IFERROR(IF(INDEX(Roster!$A:$A,MATCH($C1798,Roster!$B:$B,0))="","",INDEX(Roster!$A:$A,MATCH($C1798,Roster!$B:$B,0))&amp;""),"—"))</f>
        <v/>
      </c>
      <c r="E1798" s="25">
        <f>IF($C1798="","",IFERROR(IF(INDEX(Roster!$C:$C,MATCH($C1798,Roster!$B:$B,0))="","",INDEX(Roster!$C:$C,MATCH($C1798,Roster!$B:$B,0))&amp;""),"—"))</f>
        <v/>
      </c>
      <c r="F1798" s="25">
        <f>IF($C1798="","",IFERROR(IF(INDEX(Roster!$D:$D,MATCH($C1798,Roster!$B:$B,0))="","",INDEX(Roster!$D:$D,MATCH($C1798,Roster!$B:$B,0))&amp;""),"—"))</f>
        <v/>
      </c>
      <c r="G1798" s="25">
        <f>IF($C1798="","",IFERROR(IF(INDEX(Roster!$E:$E,MATCH($C1798,Roster!$B:$B,0))="","",INDEX(Roster!$E:$E,MATCH($C1798,Roster!$B:$B,0))&amp;""),"—"))</f>
        <v/>
      </c>
      <c r="H1798" s="25">
        <f>IF($C1798="","",IFERROR(IF(INDEX(Roster!$F:$F,MATCH($C1798,Roster!$B:$B,0))="","",INDEX(Roster!$F:$F,MATCH($C1798,Roster!$B:$B,0))&amp;""),"—"))</f>
        <v/>
      </c>
      <c r="I1798" s="25">
        <f>IF($C1798="","",IFERROR(IF(INDEX(Roster!$G:$G,MATCH($C1798,Roster!$B:$B,0))="","",INDEX(Roster!$G:$G,MATCH($C1798,Roster!$B:$B,0))&amp;""),"—"))</f>
        <v/>
      </c>
      <c r="J1798" s="25">
        <f>IF($C1798="","",IFERROR(IF(INDEX(Roster!$I:$I,MATCH($C1798,Roster!$B:$B,0))="","",INDEX(Roster!$I:$I,MATCH($C1798,Roster!$B:$B,0))&amp;""),"—"))</f>
        <v/>
      </c>
      <c r="K1798">
        <f>IF($C1798="","",IFERROR(IF(INDEX(Roster!$J:$J,MATCH($C1798,Roster!$B:$B,0))="","",INDEX(Roster!$J:$J,MATCH($C1798,Roster!$B:$B,0))&amp;""),"—"))</f>
        <v/>
      </c>
      <c r="L1798">
        <f>IF($C1798="","",IFERROR(IF(INDEX(Roster!$K:$K,MATCH($C1798,Roster!$B:$B,0))="","",INDEX(Roster!$K:$K,MATCH($C1798,Roster!$B:$B,0))&amp;""),"—"))</f>
        <v/>
      </c>
      <c r="M1798" s="27" t="n"/>
      <c r="N1798" s="27" t="n"/>
      <c r="O1798" s="25">
        <f>IF($C1798="","",IF($P1798="","—",IF($P1798="Valid (Pass)","Valid","Invalid")))</f>
        <v/>
      </c>
      <c r="P1798" s="27" t="n"/>
      <c r="Q1798" s="27" t="n"/>
      <c r="R1798" s="27" t="n"/>
      <c r="S1798" s="27" t="n"/>
      <c r="T1798" s="25">
        <f>IF($C1798="","",IF(OR(ISNUMBER(SEARCH("quick case",$P1798)),ISNUMBER(SEARCH("quick case",$Q1798))),"Yes","No"))</f>
        <v/>
      </c>
      <c r="U1798" s="25">
        <f>IF($O1798="Invalid",HYPERLINK("mailto:"&amp;$G1798&amp;";"&amp;$I1798&amp;"?cc="&amp;Lists!$E$2&amp;"&amp;subject="&amp;_xlfn.ENCODEURL("[INVALID] Quality audit monitoring completed for "&amp;UPPER($C1798))&amp;"&amp;body="&amp;_xlfn.ENCODEURL("Hi "&amp;$F1798&amp;","&amp;CHAR(10)&amp;"Good day!"&amp;CHAR(10)&amp;CHAR(10)&amp;"A quality monitoring audit has been completed for "&amp;$C1798&amp;"."&amp;CHAR(10)&amp;CHAR(10)&amp;"QUALITY AUDIT DETAILS"&amp;CHAR(10)&amp;"Agent Name: "&amp;$C1798&amp;" (EID "&amp;$D1798&amp;")"&amp;CHAR(10)&amp;"Audit Date: "&amp;TEXT($B1798,"yyyy-mm-dd")&amp;CHAR(10)&amp;"Team Leader: "&amp;$F1798&amp;CHAR(10)&amp;"Case Number: "&amp;$M1798&amp;CHAR(10)&amp;"Transaction ID: "&amp;$N1798&amp;CHAR(10)&amp;"Channel / LOB: "&amp;$K1798&amp;" / "&amp;$L1798&amp;CHAR(10)&amp;"Evaluator: "&amp;$S1798&amp;CHAR(10)&amp;CHAR(10)&amp;"INVALID QUALITY AUDIT DETAILS"&amp;CHAR(10)&amp;"Validation: Invalid"&amp;CHAR(10)&amp;"Invalid Reason: "&amp;$P1798&amp;CHAR(10)&amp;"Expected Resolution Code: "&amp;$Q1798&amp;CHAR(10)&amp;"Remarks: "&amp;LEFT($R1798,600)&amp;CHAR(10)&amp;CHAR(10)&amp;"This is an automated notification from HP Mainstream EQMS."),"✉ Open Email Draft"),"")</f>
        <v/>
      </c>
    </row>
    <row r="1799">
      <c r="A1799" s="25">
        <f>IF($C1799="","","AUD-2026-"&amp;TEXT(ROW()-1,"000000"))</f>
        <v/>
      </c>
      <c r="B1799" s="26" t="n"/>
      <c r="C1799" s="27" t="n"/>
      <c r="D1799" s="25">
        <f>IF($C1799="","",IFERROR(IF(INDEX(Roster!$A:$A,MATCH($C1799,Roster!$B:$B,0))="","",INDEX(Roster!$A:$A,MATCH($C1799,Roster!$B:$B,0))&amp;""),"—"))</f>
        <v/>
      </c>
      <c r="E1799" s="25">
        <f>IF($C1799="","",IFERROR(IF(INDEX(Roster!$C:$C,MATCH($C1799,Roster!$B:$B,0))="","",INDEX(Roster!$C:$C,MATCH($C1799,Roster!$B:$B,0))&amp;""),"—"))</f>
        <v/>
      </c>
      <c r="F1799" s="25">
        <f>IF($C1799="","",IFERROR(IF(INDEX(Roster!$D:$D,MATCH($C1799,Roster!$B:$B,0))="","",INDEX(Roster!$D:$D,MATCH($C1799,Roster!$B:$B,0))&amp;""),"—"))</f>
        <v/>
      </c>
      <c r="G1799" s="25">
        <f>IF($C1799="","",IFERROR(IF(INDEX(Roster!$E:$E,MATCH($C1799,Roster!$B:$B,0))="","",INDEX(Roster!$E:$E,MATCH($C1799,Roster!$B:$B,0))&amp;""),"—"))</f>
        <v/>
      </c>
      <c r="H1799" s="25">
        <f>IF($C1799="","",IFERROR(IF(INDEX(Roster!$F:$F,MATCH($C1799,Roster!$B:$B,0))="","",INDEX(Roster!$F:$F,MATCH($C1799,Roster!$B:$B,0))&amp;""),"—"))</f>
        <v/>
      </c>
      <c r="I1799" s="25">
        <f>IF($C1799="","",IFERROR(IF(INDEX(Roster!$G:$G,MATCH($C1799,Roster!$B:$B,0))="","",INDEX(Roster!$G:$G,MATCH($C1799,Roster!$B:$B,0))&amp;""),"—"))</f>
        <v/>
      </c>
      <c r="J1799" s="25">
        <f>IF($C1799="","",IFERROR(IF(INDEX(Roster!$I:$I,MATCH($C1799,Roster!$B:$B,0))="","",INDEX(Roster!$I:$I,MATCH($C1799,Roster!$B:$B,0))&amp;""),"—"))</f>
        <v/>
      </c>
      <c r="K1799">
        <f>IF($C1799="","",IFERROR(IF(INDEX(Roster!$J:$J,MATCH($C1799,Roster!$B:$B,0))="","",INDEX(Roster!$J:$J,MATCH($C1799,Roster!$B:$B,0))&amp;""),"—"))</f>
        <v/>
      </c>
      <c r="L1799">
        <f>IF($C1799="","",IFERROR(IF(INDEX(Roster!$K:$K,MATCH($C1799,Roster!$B:$B,0))="","",INDEX(Roster!$K:$K,MATCH($C1799,Roster!$B:$B,0))&amp;""),"—"))</f>
        <v/>
      </c>
      <c r="M1799" s="27" t="n"/>
      <c r="N1799" s="27" t="n"/>
      <c r="O1799" s="25">
        <f>IF($C1799="","",IF($P1799="","—",IF($P1799="Valid (Pass)","Valid","Invalid")))</f>
        <v/>
      </c>
      <c r="P1799" s="27" t="n"/>
      <c r="Q1799" s="27" t="n"/>
      <c r="R1799" s="27" t="n"/>
      <c r="S1799" s="27" t="n"/>
      <c r="T1799" s="25">
        <f>IF($C1799="","",IF(OR(ISNUMBER(SEARCH("quick case",$P1799)),ISNUMBER(SEARCH("quick case",$Q1799))),"Yes","No"))</f>
        <v/>
      </c>
      <c r="U1799" s="25">
        <f>IF($O1799="Invalid",HYPERLINK("mailto:"&amp;$G1799&amp;";"&amp;$I1799&amp;"?cc="&amp;Lists!$E$2&amp;"&amp;subject="&amp;_xlfn.ENCODEURL("[INVALID] Quality audit monitoring completed for "&amp;UPPER($C1799))&amp;"&amp;body="&amp;_xlfn.ENCODEURL("Hi "&amp;$F1799&amp;","&amp;CHAR(10)&amp;"Good day!"&amp;CHAR(10)&amp;CHAR(10)&amp;"A quality monitoring audit has been completed for "&amp;$C1799&amp;"."&amp;CHAR(10)&amp;CHAR(10)&amp;"QUALITY AUDIT DETAILS"&amp;CHAR(10)&amp;"Agent Name: "&amp;$C1799&amp;" (EID "&amp;$D1799&amp;")"&amp;CHAR(10)&amp;"Audit Date: "&amp;TEXT($B1799,"yyyy-mm-dd")&amp;CHAR(10)&amp;"Team Leader: "&amp;$F1799&amp;CHAR(10)&amp;"Case Number: "&amp;$M1799&amp;CHAR(10)&amp;"Transaction ID: "&amp;$N1799&amp;CHAR(10)&amp;"Channel / LOB: "&amp;$K1799&amp;" / "&amp;$L1799&amp;CHAR(10)&amp;"Evaluator: "&amp;$S1799&amp;CHAR(10)&amp;CHAR(10)&amp;"INVALID QUALITY AUDIT DETAILS"&amp;CHAR(10)&amp;"Validation: Invalid"&amp;CHAR(10)&amp;"Invalid Reason: "&amp;$P1799&amp;CHAR(10)&amp;"Expected Resolution Code: "&amp;$Q1799&amp;CHAR(10)&amp;"Remarks: "&amp;LEFT($R1799,600)&amp;CHAR(10)&amp;CHAR(10)&amp;"This is an automated notification from HP Mainstream EQMS."),"✉ Open Email Draft"),"")</f>
        <v/>
      </c>
    </row>
    <row r="1800">
      <c r="A1800" s="25">
        <f>IF($C1800="","","AUD-2026-"&amp;TEXT(ROW()-1,"000000"))</f>
        <v/>
      </c>
      <c r="B1800" s="26" t="n"/>
      <c r="C1800" s="27" t="n"/>
      <c r="D1800" s="25">
        <f>IF($C1800="","",IFERROR(IF(INDEX(Roster!$A:$A,MATCH($C1800,Roster!$B:$B,0))="","",INDEX(Roster!$A:$A,MATCH($C1800,Roster!$B:$B,0))&amp;""),"—"))</f>
        <v/>
      </c>
      <c r="E1800" s="25">
        <f>IF($C1800="","",IFERROR(IF(INDEX(Roster!$C:$C,MATCH($C1800,Roster!$B:$B,0))="","",INDEX(Roster!$C:$C,MATCH($C1800,Roster!$B:$B,0))&amp;""),"—"))</f>
        <v/>
      </c>
      <c r="F1800" s="25">
        <f>IF($C1800="","",IFERROR(IF(INDEX(Roster!$D:$D,MATCH($C1800,Roster!$B:$B,0))="","",INDEX(Roster!$D:$D,MATCH($C1800,Roster!$B:$B,0))&amp;""),"—"))</f>
        <v/>
      </c>
      <c r="G1800" s="25">
        <f>IF($C1800="","",IFERROR(IF(INDEX(Roster!$E:$E,MATCH($C1800,Roster!$B:$B,0))="","",INDEX(Roster!$E:$E,MATCH($C1800,Roster!$B:$B,0))&amp;""),"—"))</f>
        <v/>
      </c>
      <c r="H1800" s="25">
        <f>IF($C1800="","",IFERROR(IF(INDEX(Roster!$F:$F,MATCH($C1800,Roster!$B:$B,0))="","",INDEX(Roster!$F:$F,MATCH($C1800,Roster!$B:$B,0))&amp;""),"—"))</f>
        <v/>
      </c>
      <c r="I1800" s="25">
        <f>IF($C1800="","",IFERROR(IF(INDEX(Roster!$G:$G,MATCH($C1800,Roster!$B:$B,0))="","",INDEX(Roster!$G:$G,MATCH($C1800,Roster!$B:$B,0))&amp;""),"—"))</f>
        <v/>
      </c>
      <c r="J1800" s="25">
        <f>IF($C1800="","",IFERROR(IF(INDEX(Roster!$I:$I,MATCH($C1800,Roster!$B:$B,0))="","",INDEX(Roster!$I:$I,MATCH($C1800,Roster!$B:$B,0))&amp;""),"—"))</f>
        <v/>
      </c>
      <c r="K1800">
        <f>IF($C1800="","",IFERROR(IF(INDEX(Roster!$J:$J,MATCH($C1800,Roster!$B:$B,0))="","",INDEX(Roster!$J:$J,MATCH($C1800,Roster!$B:$B,0))&amp;""),"—"))</f>
        <v/>
      </c>
      <c r="L1800">
        <f>IF($C1800="","",IFERROR(IF(INDEX(Roster!$K:$K,MATCH($C1800,Roster!$B:$B,0))="","",INDEX(Roster!$K:$K,MATCH($C1800,Roster!$B:$B,0))&amp;""),"—"))</f>
        <v/>
      </c>
      <c r="M1800" s="27" t="n"/>
      <c r="N1800" s="27" t="n"/>
      <c r="O1800" s="25">
        <f>IF($C1800="","",IF($P1800="","—",IF($P1800="Valid (Pass)","Valid","Invalid")))</f>
        <v/>
      </c>
      <c r="P1800" s="27" t="n"/>
      <c r="Q1800" s="27" t="n"/>
      <c r="R1800" s="27" t="n"/>
      <c r="S1800" s="27" t="n"/>
      <c r="T1800" s="25">
        <f>IF($C1800="","",IF(OR(ISNUMBER(SEARCH("quick case",$P1800)),ISNUMBER(SEARCH("quick case",$Q1800))),"Yes","No"))</f>
        <v/>
      </c>
      <c r="U1800" s="25">
        <f>IF($O1800="Invalid",HYPERLINK("mailto:"&amp;$G1800&amp;";"&amp;$I1800&amp;"?cc="&amp;Lists!$E$2&amp;"&amp;subject="&amp;_xlfn.ENCODEURL("[INVALID] Quality audit monitoring completed for "&amp;UPPER($C1800))&amp;"&amp;body="&amp;_xlfn.ENCODEURL("Hi "&amp;$F1800&amp;","&amp;CHAR(10)&amp;"Good day!"&amp;CHAR(10)&amp;CHAR(10)&amp;"A quality monitoring audit has been completed for "&amp;$C1800&amp;"."&amp;CHAR(10)&amp;CHAR(10)&amp;"QUALITY AUDIT DETAILS"&amp;CHAR(10)&amp;"Agent Name: "&amp;$C1800&amp;" (EID "&amp;$D1800&amp;")"&amp;CHAR(10)&amp;"Audit Date: "&amp;TEXT($B1800,"yyyy-mm-dd")&amp;CHAR(10)&amp;"Team Leader: "&amp;$F1800&amp;CHAR(10)&amp;"Case Number: "&amp;$M1800&amp;CHAR(10)&amp;"Transaction ID: "&amp;$N1800&amp;CHAR(10)&amp;"Channel / LOB: "&amp;$K1800&amp;" / "&amp;$L1800&amp;CHAR(10)&amp;"Evaluator: "&amp;$S1800&amp;CHAR(10)&amp;CHAR(10)&amp;"INVALID QUALITY AUDIT DETAILS"&amp;CHAR(10)&amp;"Validation: Invalid"&amp;CHAR(10)&amp;"Invalid Reason: "&amp;$P1800&amp;CHAR(10)&amp;"Expected Resolution Code: "&amp;$Q1800&amp;CHAR(10)&amp;"Remarks: "&amp;LEFT($R1800,600)&amp;CHAR(10)&amp;CHAR(10)&amp;"This is an automated notification from HP Mainstream EQMS."),"✉ Open Email Draft"),"")</f>
        <v/>
      </c>
    </row>
    <row r="1801">
      <c r="A1801" s="25">
        <f>IF($C1801="","","AUD-2026-"&amp;TEXT(ROW()-1,"000000"))</f>
        <v/>
      </c>
      <c r="B1801" s="26" t="n"/>
      <c r="C1801" s="27" t="n"/>
      <c r="D1801" s="25">
        <f>IF($C1801="","",IFERROR(IF(INDEX(Roster!$A:$A,MATCH($C1801,Roster!$B:$B,0))="","",INDEX(Roster!$A:$A,MATCH($C1801,Roster!$B:$B,0))&amp;""),"—"))</f>
        <v/>
      </c>
      <c r="E1801" s="25">
        <f>IF($C1801="","",IFERROR(IF(INDEX(Roster!$C:$C,MATCH($C1801,Roster!$B:$B,0))="","",INDEX(Roster!$C:$C,MATCH($C1801,Roster!$B:$B,0))&amp;""),"—"))</f>
        <v/>
      </c>
      <c r="F1801" s="25">
        <f>IF($C1801="","",IFERROR(IF(INDEX(Roster!$D:$D,MATCH($C1801,Roster!$B:$B,0))="","",INDEX(Roster!$D:$D,MATCH($C1801,Roster!$B:$B,0))&amp;""),"—"))</f>
        <v/>
      </c>
      <c r="G1801" s="25">
        <f>IF($C1801="","",IFERROR(IF(INDEX(Roster!$E:$E,MATCH($C1801,Roster!$B:$B,0))="","",INDEX(Roster!$E:$E,MATCH($C1801,Roster!$B:$B,0))&amp;""),"—"))</f>
        <v/>
      </c>
      <c r="H1801" s="25">
        <f>IF($C1801="","",IFERROR(IF(INDEX(Roster!$F:$F,MATCH($C1801,Roster!$B:$B,0))="","",INDEX(Roster!$F:$F,MATCH($C1801,Roster!$B:$B,0))&amp;""),"—"))</f>
        <v/>
      </c>
      <c r="I1801" s="25">
        <f>IF($C1801="","",IFERROR(IF(INDEX(Roster!$G:$G,MATCH($C1801,Roster!$B:$B,0))="","",INDEX(Roster!$G:$G,MATCH($C1801,Roster!$B:$B,0))&amp;""),"—"))</f>
        <v/>
      </c>
      <c r="J1801" s="25">
        <f>IF($C1801="","",IFERROR(IF(INDEX(Roster!$I:$I,MATCH($C1801,Roster!$B:$B,0))="","",INDEX(Roster!$I:$I,MATCH($C1801,Roster!$B:$B,0))&amp;""),"—"))</f>
        <v/>
      </c>
      <c r="K1801">
        <f>IF($C1801="","",IFERROR(IF(INDEX(Roster!$J:$J,MATCH($C1801,Roster!$B:$B,0))="","",INDEX(Roster!$J:$J,MATCH($C1801,Roster!$B:$B,0))&amp;""),"—"))</f>
        <v/>
      </c>
      <c r="L1801">
        <f>IF($C1801="","",IFERROR(IF(INDEX(Roster!$K:$K,MATCH($C1801,Roster!$B:$B,0))="","",INDEX(Roster!$K:$K,MATCH($C1801,Roster!$B:$B,0))&amp;""),"—"))</f>
        <v/>
      </c>
      <c r="M1801" s="27" t="n"/>
      <c r="N1801" s="27" t="n"/>
      <c r="O1801" s="25">
        <f>IF($C1801="","",IF($P1801="","—",IF($P1801="Valid (Pass)","Valid","Invalid")))</f>
        <v/>
      </c>
      <c r="P1801" s="27" t="n"/>
      <c r="Q1801" s="27" t="n"/>
      <c r="R1801" s="27" t="n"/>
      <c r="S1801" s="27" t="n"/>
      <c r="T1801" s="25">
        <f>IF($C1801="","",IF(OR(ISNUMBER(SEARCH("quick case",$P1801)),ISNUMBER(SEARCH("quick case",$Q1801))),"Yes","No"))</f>
        <v/>
      </c>
      <c r="U1801" s="25">
        <f>IF($O1801="Invalid",HYPERLINK("mailto:"&amp;$G1801&amp;";"&amp;$I1801&amp;"?cc="&amp;Lists!$E$2&amp;"&amp;subject="&amp;_xlfn.ENCODEURL("[INVALID] Quality audit monitoring completed for "&amp;UPPER($C1801))&amp;"&amp;body="&amp;_xlfn.ENCODEURL("Hi "&amp;$F1801&amp;","&amp;CHAR(10)&amp;"Good day!"&amp;CHAR(10)&amp;CHAR(10)&amp;"A quality monitoring audit has been completed for "&amp;$C1801&amp;"."&amp;CHAR(10)&amp;CHAR(10)&amp;"QUALITY AUDIT DETAILS"&amp;CHAR(10)&amp;"Agent Name: "&amp;$C1801&amp;" (EID "&amp;$D1801&amp;")"&amp;CHAR(10)&amp;"Audit Date: "&amp;TEXT($B1801,"yyyy-mm-dd")&amp;CHAR(10)&amp;"Team Leader: "&amp;$F1801&amp;CHAR(10)&amp;"Case Number: "&amp;$M1801&amp;CHAR(10)&amp;"Transaction ID: "&amp;$N1801&amp;CHAR(10)&amp;"Channel / LOB: "&amp;$K1801&amp;" / "&amp;$L1801&amp;CHAR(10)&amp;"Evaluator: "&amp;$S1801&amp;CHAR(10)&amp;CHAR(10)&amp;"INVALID QUALITY AUDIT DETAILS"&amp;CHAR(10)&amp;"Validation: Invalid"&amp;CHAR(10)&amp;"Invalid Reason: "&amp;$P1801&amp;CHAR(10)&amp;"Expected Resolution Code: "&amp;$Q1801&amp;CHAR(10)&amp;"Remarks: "&amp;LEFT($R1801,600)&amp;CHAR(10)&amp;CHAR(10)&amp;"This is an automated notification from HP Mainstream EQMS."),"✉ Open Email Draft"),"")</f>
        <v/>
      </c>
    </row>
    <row r="1802">
      <c r="A1802" s="25">
        <f>IF($C1802="","","AUD-2026-"&amp;TEXT(ROW()-1,"000000"))</f>
        <v/>
      </c>
      <c r="B1802" s="26" t="n"/>
      <c r="C1802" s="27" t="n"/>
      <c r="D1802" s="25">
        <f>IF($C1802="","",IFERROR(IF(INDEX(Roster!$A:$A,MATCH($C1802,Roster!$B:$B,0))="","",INDEX(Roster!$A:$A,MATCH($C1802,Roster!$B:$B,0))&amp;""),"—"))</f>
        <v/>
      </c>
      <c r="E1802" s="25">
        <f>IF($C1802="","",IFERROR(IF(INDEX(Roster!$C:$C,MATCH($C1802,Roster!$B:$B,0))="","",INDEX(Roster!$C:$C,MATCH($C1802,Roster!$B:$B,0))&amp;""),"—"))</f>
        <v/>
      </c>
      <c r="F1802" s="25">
        <f>IF($C1802="","",IFERROR(IF(INDEX(Roster!$D:$D,MATCH($C1802,Roster!$B:$B,0))="","",INDEX(Roster!$D:$D,MATCH($C1802,Roster!$B:$B,0))&amp;""),"—"))</f>
        <v/>
      </c>
      <c r="G1802" s="25">
        <f>IF($C1802="","",IFERROR(IF(INDEX(Roster!$E:$E,MATCH($C1802,Roster!$B:$B,0))="","",INDEX(Roster!$E:$E,MATCH($C1802,Roster!$B:$B,0))&amp;""),"—"))</f>
        <v/>
      </c>
      <c r="H1802" s="25">
        <f>IF($C1802="","",IFERROR(IF(INDEX(Roster!$F:$F,MATCH($C1802,Roster!$B:$B,0))="","",INDEX(Roster!$F:$F,MATCH($C1802,Roster!$B:$B,0))&amp;""),"—"))</f>
        <v/>
      </c>
      <c r="I1802" s="25">
        <f>IF($C1802="","",IFERROR(IF(INDEX(Roster!$G:$G,MATCH($C1802,Roster!$B:$B,0))="","",INDEX(Roster!$G:$G,MATCH($C1802,Roster!$B:$B,0))&amp;""),"—"))</f>
        <v/>
      </c>
      <c r="J1802" s="25">
        <f>IF($C1802="","",IFERROR(IF(INDEX(Roster!$I:$I,MATCH($C1802,Roster!$B:$B,0))="","",INDEX(Roster!$I:$I,MATCH($C1802,Roster!$B:$B,0))&amp;""),"—"))</f>
        <v/>
      </c>
      <c r="K1802">
        <f>IF($C1802="","",IFERROR(IF(INDEX(Roster!$J:$J,MATCH($C1802,Roster!$B:$B,0))="","",INDEX(Roster!$J:$J,MATCH($C1802,Roster!$B:$B,0))&amp;""),"—"))</f>
        <v/>
      </c>
      <c r="L1802">
        <f>IF($C1802="","",IFERROR(IF(INDEX(Roster!$K:$K,MATCH($C1802,Roster!$B:$B,0))="","",INDEX(Roster!$K:$K,MATCH($C1802,Roster!$B:$B,0))&amp;""),"—"))</f>
        <v/>
      </c>
      <c r="M1802" s="27" t="n"/>
      <c r="N1802" s="27" t="n"/>
      <c r="O1802" s="25">
        <f>IF($C1802="","",IF($P1802="","—",IF($P1802="Valid (Pass)","Valid","Invalid")))</f>
        <v/>
      </c>
      <c r="P1802" s="27" t="n"/>
      <c r="Q1802" s="27" t="n"/>
      <c r="R1802" s="27" t="n"/>
      <c r="S1802" s="27" t="n"/>
      <c r="T1802" s="25">
        <f>IF($C1802="","",IF(OR(ISNUMBER(SEARCH("quick case",$P1802)),ISNUMBER(SEARCH("quick case",$Q1802))),"Yes","No"))</f>
        <v/>
      </c>
      <c r="U1802" s="25">
        <f>IF($O1802="Invalid",HYPERLINK("mailto:"&amp;$G1802&amp;";"&amp;$I1802&amp;"?cc="&amp;Lists!$E$2&amp;"&amp;subject="&amp;_xlfn.ENCODEURL("[INVALID] Quality audit monitoring completed for "&amp;UPPER($C1802))&amp;"&amp;body="&amp;_xlfn.ENCODEURL("Hi "&amp;$F1802&amp;","&amp;CHAR(10)&amp;"Good day!"&amp;CHAR(10)&amp;CHAR(10)&amp;"A quality monitoring audit has been completed for "&amp;$C1802&amp;"."&amp;CHAR(10)&amp;CHAR(10)&amp;"QUALITY AUDIT DETAILS"&amp;CHAR(10)&amp;"Agent Name: "&amp;$C1802&amp;" (EID "&amp;$D1802&amp;")"&amp;CHAR(10)&amp;"Audit Date: "&amp;TEXT($B1802,"yyyy-mm-dd")&amp;CHAR(10)&amp;"Team Leader: "&amp;$F1802&amp;CHAR(10)&amp;"Case Number: "&amp;$M1802&amp;CHAR(10)&amp;"Transaction ID: "&amp;$N1802&amp;CHAR(10)&amp;"Channel / LOB: "&amp;$K1802&amp;" / "&amp;$L1802&amp;CHAR(10)&amp;"Evaluator: "&amp;$S1802&amp;CHAR(10)&amp;CHAR(10)&amp;"INVALID QUALITY AUDIT DETAILS"&amp;CHAR(10)&amp;"Validation: Invalid"&amp;CHAR(10)&amp;"Invalid Reason: "&amp;$P1802&amp;CHAR(10)&amp;"Expected Resolution Code: "&amp;$Q1802&amp;CHAR(10)&amp;"Remarks: "&amp;LEFT($R1802,600)&amp;CHAR(10)&amp;CHAR(10)&amp;"This is an automated notification from HP Mainstream EQMS."),"✉ Open Email Draft"),"")</f>
        <v/>
      </c>
    </row>
    <row r="1803">
      <c r="A1803" s="25">
        <f>IF($C1803="","","AUD-2026-"&amp;TEXT(ROW()-1,"000000"))</f>
        <v/>
      </c>
      <c r="B1803" s="26" t="n"/>
      <c r="C1803" s="27" t="n"/>
      <c r="D1803" s="25">
        <f>IF($C1803="","",IFERROR(IF(INDEX(Roster!$A:$A,MATCH($C1803,Roster!$B:$B,0))="","",INDEX(Roster!$A:$A,MATCH($C1803,Roster!$B:$B,0))&amp;""),"—"))</f>
        <v/>
      </c>
      <c r="E1803" s="25">
        <f>IF($C1803="","",IFERROR(IF(INDEX(Roster!$C:$C,MATCH($C1803,Roster!$B:$B,0))="","",INDEX(Roster!$C:$C,MATCH($C1803,Roster!$B:$B,0))&amp;""),"—"))</f>
        <v/>
      </c>
      <c r="F1803" s="25">
        <f>IF($C1803="","",IFERROR(IF(INDEX(Roster!$D:$D,MATCH($C1803,Roster!$B:$B,0))="","",INDEX(Roster!$D:$D,MATCH($C1803,Roster!$B:$B,0))&amp;""),"—"))</f>
        <v/>
      </c>
      <c r="G1803" s="25">
        <f>IF($C1803="","",IFERROR(IF(INDEX(Roster!$E:$E,MATCH($C1803,Roster!$B:$B,0))="","",INDEX(Roster!$E:$E,MATCH($C1803,Roster!$B:$B,0))&amp;""),"—"))</f>
        <v/>
      </c>
      <c r="H1803" s="25">
        <f>IF($C1803="","",IFERROR(IF(INDEX(Roster!$F:$F,MATCH($C1803,Roster!$B:$B,0))="","",INDEX(Roster!$F:$F,MATCH($C1803,Roster!$B:$B,0))&amp;""),"—"))</f>
        <v/>
      </c>
      <c r="I1803" s="25">
        <f>IF($C1803="","",IFERROR(IF(INDEX(Roster!$G:$G,MATCH($C1803,Roster!$B:$B,0))="","",INDEX(Roster!$G:$G,MATCH($C1803,Roster!$B:$B,0))&amp;""),"—"))</f>
        <v/>
      </c>
      <c r="J1803" s="25">
        <f>IF($C1803="","",IFERROR(IF(INDEX(Roster!$I:$I,MATCH($C1803,Roster!$B:$B,0))="","",INDEX(Roster!$I:$I,MATCH($C1803,Roster!$B:$B,0))&amp;""),"—"))</f>
        <v/>
      </c>
      <c r="K1803">
        <f>IF($C1803="","",IFERROR(IF(INDEX(Roster!$J:$J,MATCH($C1803,Roster!$B:$B,0))="","",INDEX(Roster!$J:$J,MATCH($C1803,Roster!$B:$B,0))&amp;""),"—"))</f>
        <v/>
      </c>
      <c r="L1803">
        <f>IF($C1803="","",IFERROR(IF(INDEX(Roster!$K:$K,MATCH($C1803,Roster!$B:$B,0))="","",INDEX(Roster!$K:$K,MATCH($C1803,Roster!$B:$B,0))&amp;""),"—"))</f>
        <v/>
      </c>
      <c r="M1803" s="27" t="n"/>
      <c r="N1803" s="27" t="n"/>
      <c r="O1803" s="25">
        <f>IF($C1803="","",IF($P1803="","—",IF($P1803="Valid (Pass)","Valid","Invalid")))</f>
        <v/>
      </c>
      <c r="P1803" s="27" t="n"/>
      <c r="Q1803" s="27" t="n"/>
      <c r="R1803" s="27" t="n"/>
      <c r="S1803" s="27" t="n"/>
      <c r="T1803" s="25">
        <f>IF($C1803="","",IF(OR(ISNUMBER(SEARCH("quick case",$P1803)),ISNUMBER(SEARCH("quick case",$Q1803))),"Yes","No"))</f>
        <v/>
      </c>
      <c r="U1803" s="25">
        <f>IF($O1803="Invalid",HYPERLINK("mailto:"&amp;$G1803&amp;";"&amp;$I1803&amp;"?cc="&amp;Lists!$E$2&amp;"&amp;subject="&amp;_xlfn.ENCODEURL("[INVALID] Quality audit monitoring completed for "&amp;UPPER($C1803))&amp;"&amp;body="&amp;_xlfn.ENCODEURL("Hi "&amp;$F1803&amp;","&amp;CHAR(10)&amp;"Good day!"&amp;CHAR(10)&amp;CHAR(10)&amp;"A quality monitoring audit has been completed for "&amp;$C1803&amp;"."&amp;CHAR(10)&amp;CHAR(10)&amp;"QUALITY AUDIT DETAILS"&amp;CHAR(10)&amp;"Agent Name: "&amp;$C1803&amp;" (EID "&amp;$D1803&amp;")"&amp;CHAR(10)&amp;"Audit Date: "&amp;TEXT($B1803,"yyyy-mm-dd")&amp;CHAR(10)&amp;"Team Leader: "&amp;$F1803&amp;CHAR(10)&amp;"Case Number: "&amp;$M1803&amp;CHAR(10)&amp;"Transaction ID: "&amp;$N1803&amp;CHAR(10)&amp;"Channel / LOB: "&amp;$K1803&amp;" / "&amp;$L1803&amp;CHAR(10)&amp;"Evaluator: "&amp;$S1803&amp;CHAR(10)&amp;CHAR(10)&amp;"INVALID QUALITY AUDIT DETAILS"&amp;CHAR(10)&amp;"Validation: Invalid"&amp;CHAR(10)&amp;"Invalid Reason: "&amp;$P1803&amp;CHAR(10)&amp;"Expected Resolution Code: "&amp;$Q1803&amp;CHAR(10)&amp;"Remarks: "&amp;LEFT($R1803,600)&amp;CHAR(10)&amp;CHAR(10)&amp;"This is an automated notification from HP Mainstream EQMS."),"✉ Open Email Draft"),"")</f>
        <v/>
      </c>
    </row>
    <row r="1804">
      <c r="A1804" s="25">
        <f>IF($C1804="","","AUD-2026-"&amp;TEXT(ROW()-1,"000000"))</f>
        <v/>
      </c>
      <c r="B1804" s="26" t="n"/>
      <c r="C1804" s="27" t="n"/>
      <c r="D1804" s="25">
        <f>IF($C1804="","",IFERROR(IF(INDEX(Roster!$A:$A,MATCH($C1804,Roster!$B:$B,0))="","",INDEX(Roster!$A:$A,MATCH($C1804,Roster!$B:$B,0))&amp;""),"—"))</f>
        <v/>
      </c>
      <c r="E1804" s="25">
        <f>IF($C1804="","",IFERROR(IF(INDEX(Roster!$C:$C,MATCH($C1804,Roster!$B:$B,0))="","",INDEX(Roster!$C:$C,MATCH($C1804,Roster!$B:$B,0))&amp;""),"—"))</f>
        <v/>
      </c>
      <c r="F1804" s="25">
        <f>IF($C1804="","",IFERROR(IF(INDEX(Roster!$D:$D,MATCH($C1804,Roster!$B:$B,0))="","",INDEX(Roster!$D:$D,MATCH($C1804,Roster!$B:$B,0))&amp;""),"—"))</f>
        <v/>
      </c>
      <c r="G1804" s="25">
        <f>IF($C1804="","",IFERROR(IF(INDEX(Roster!$E:$E,MATCH($C1804,Roster!$B:$B,0))="","",INDEX(Roster!$E:$E,MATCH($C1804,Roster!$B:$B,0))&amp;""),"—"))</f>
        <v/>
      </c>
      <c r="H1804" s="25">
        <f>IF($C1804="","",IFERROR(IF(INDEX(Roster!$F:$F,MATCH($C1804,Roster!$B:$B,0))="","",INDEX(Roster!$F:$F,MATCH($C1804,Roster!$B:$B,0))&amp;""),"—"))</f>
        <v/>
      </c>
      <c r="I1804" s="25">
        <f>IF($C1804="","",IFERROR(IF(INDEX(Roster!$G:$G,MATCH($C1804,Roster!$B:$B,0))="","",INDEX(Roster!$G:$G,MATCH($C1804,Roster!$B:$B,0))&amp;""),"—"))</f>
        <v/>
      </c>
      <c r="J1804" s="25">
        <f>IF($C1804="","",IFERROR(IF(INDEX(Roster!$I:$I,MATCH($C1804,Roster!$B:$B,0))="","",INDEX(Roster!$I:$I,MATCH($C1804,Roster!$B:$B,0))&amp;""),"—"))</f>
        <v/>
      </c>
      <c r="K1804">
        <f>IF($C1804="","",IFERROR(IF(INDEX(Roster!$J:$J,MATCH($C1804,Roster!$B:$B,0))="","",INDEX(Roster!$J:$J,MATCH($C1804,Roster!$B:$B,0))&amp;""),"—"))</f>
        <v/>
      </c>
      <c r="L1804">
        <f>IF($C1804="","",IFERROR(IF(INDEX(Roster!$K:$K,MATCH($C1804,Roster!$B:$B,0))="","",INDEX(Roster!$K:$K,MATCH($C1804,Roster!$B:$B,0))&amp;""),"—"))</f>
        <v/>
      </c>
      <c r="M1804" s="27" t="n"/>
      <c r="N1804" s="27" t="n"/>
      <c r="O1804" s="25">
        <f>IF($C1804="","",IF($P1804="","—",IF($P1804="Valid (Pass)","Valid","Invalid")))</f>
        <v/>
      </c>
      <c r="P1804" s="27" t="n"/>
      <c r="Q1804" s="27" t="n"/>
      <c r="R1804" s="27" t="n"/>
      <c r="S1804" s="27" t="n"/>
      <c r="T1804" s="25">
        <f>IF($C1804="","",IF(OR(ISNUMBER(SEARCH("quick case",$P1804)),ISNUMBER(SEARCH("quick case",$Q1804))),"Yes","No"))</f>
        <v/>
      </c>
      <c r="U1804" s="25">
        <f>IF($O1804="Invalid",HYPERLINK("mailto:"&amp;$G1804&amp;";"&amp;$I1804&amp;"?cc="&amp;Lists!$E$2&amp;"&amp;subject="&amp;_xlfn.ENCODEURL("[INVALID] Quality audit monitoring completed for "&amp;UPPER($C1804))&amp;"&amp;body="&amp;_xlfn.ENCODEURL("Hi "&amp;$F1804&amp;","&amp;CHAR(10)&amp;"Good day!"&amp;CHAR(10)&amp;CHAR(10)&amp;"A quality monitoring audit has been completed for "&amp;$C1804&amp;"."&amp;CHAR(10)&amp;CHAR(10)&amp;"QUALITY AUDIT DETAILS"&amp;CHAR(10)&amp;"Agent Name: "&amp;$C1804&amp;" (EID "&amp;$D1804&amp;")"&amp;CHAR(10)&amp;"Audit Date: "&amp;TEXT($B1804,"yyyy-mm-dd")&amp;CHAR(10)&amp;"Team Leader: "&amp;$F1804&amp;CHAR(10)&amp;"Case Number: "&amp;$M1804&amp;CHAR(10)&amp;"Transaction ID: "&amp;$N1804&amp;CHAR(10)&amp;"Channel / LOB: "&amp;$K1804&amp;" / "&amp;$L1804&amp;CHAR(10)&amp;"Evaluator: "&amp;$S1804&amp;CHAR(10)&amp;CHAR(10)&amp;"INVALID QUALITY AUDIT DETAILS"&amp;CHAR(10)&amp;"Validation: Invalid"&amp;CHAR(10)&amp;"Invalid Reason: "&amp;$P1804&amp;CHAR(10)&amp;"Expected Resolution Code: "&amp;$Q1804&amp;CHAR(10)&amp;"Remarks: "&amp;LEFT($R1804,600)&amp;CHAR(10)&amp;CHAR(10)&amp;"This is an automated notification from HP Mainstream EQMS."),"✉ Open Email Draft"),"")</f>
        <v/>
      </c>
    </row>
    <row r="1805">
      <c r="A1805" s="25">
        <f>IF($C1805="","","AUD-2026-"&amp;TEXT(ROW()-1,"000000"))</f>
        <v/>
      </c>
      <c r="B1805" s="26" t="n"/>
      <c r="C1805" s="27" t="n"/>
      <c r="D1805" s="25">
        <f>IF($C1805="","",IFERROR(IF(INDEX(Roster!$A:$A,MATCH($C1805,Roster!$B:$B,0))="","",INDEX(Roster!$A:$A,MATCH($C1805,Roster!$B:$B,0))&amp;""),"—"))</f>
        <v/>
      </c>
      <c r="E1805" s="25">
        <f>IF($C1805="","",IFERROR(IF(INDEX(Roster!$C:$C,MATCH($C1805,Roster!$B:$B,0))="","",INDEX(Roster!$C:$C,MATCH($C1805,Roster!$B:$B,0))&amp;""),"—"))</f>
        <v/>
      </c>
      <c r="F1805" s="25">
        <f>IF($C1805="","",IFERROR(IF(INDEX(Roster!$D:$D,MATCH($C1805,Roster!$B:$B,0))="","",INDEX(Roster!$D:$D,MATCH($C1805,Roster!$B:$B,0))&amp;""),"—"))</f>
        <v/>
      </c>
      <c r="G1805" s="25">
        <f>IF($C1805="","",IFERROR(IF(INDEX(Roster!$E:$E,MATCH($C1805,Roster!$B:$B,0))="","",INDEX(Roster!$E:$E,MATCH($C1805,Roster!$B:$B,0))&amp;""),"—"))</f>
        <v/>
      </c>
      <c r="H1805" s="25">
        <f>IF($C1805="","",IFERROR(IF(INDEX(Roster!$F:$F,MATCH($C1805,Roster!$B:$B,0))="","",INDEX(Roster!$F:$F,MATCH($C1805,Roster!$B:$B,0))&amp;""),"—"))</f>
        <v/>
      </c>
      <c r="I1805" s="25">
        <f>IF($C1805="","",IFERROR(IF(INDEX(Roster!$G:$G,MATCH($C1805,Roster!$B:$B,0))="","",INDEX(Roster!$G:$G,MATCH($C1805,Roster!$B:$B,0))&amp;""),"—"))</f>
        <v/>
      </c>
      <c r="J1805" s="25">
        <f>IF($C1805="","",IFERROR(IF(INDEX(Roster!$I:$I,MATCH($C1805,Roster!$B:$B,0))="","",INDEX(Roster!$I:$I,MATCH($C1805,Roster!$B:$B,0))&amp;""),"—"))</f>
        <v/>
      </c>
      <c r="K1805">
        <f>IF($C1805="","",IFERROR(IF(INDEX(Roster!$J:$J,MATCH($C1805,Roster!$B:$B,0))="","",INDEX(Roster!$J:$J,MATCH($C1805,Roster!$B:$B,0))&amp;""),"—"))</f>
        <v/>
      </c>
      <c r="L1805">
        <f>IF($C1805="","",IFERROR(IF(INDEX(Roster!$K:$K,MATCH($C1805,Roster!$B:$B,0))="","",INDEX(Roster!$K:$K,MATCH($C1805,Roster!$B:$B,0))&amp;""),"—"))</f>
        <v/>
      </c>
      <c r="M1805" s="27" t="n"/>
      <c r="N1805" s="27" t="n"/>
      <c r="O1805" s="25">
        <f>IF($C1805="","",IF($P1805="","—",IF($P1805="Valid (Pass)","Valid","Invalid")))</f>
        <v/>
      </c>
      <c r="P1805" s="27" t="n"/>
      <c r="Q1805" s="27" t="n"/>
      <c r="R1805" s="27" t="n"/>
      <c r="S1805" s="27" t="n"/>
      <c r="T1805" s="25">
        <f>IF($C1805="","",IF(OR(ISNUMBER(SEARCH("quick case",$P1805)),ISNUMBER(SEARCH("quick case",$Q1805))),"Yes","No"))</f>
        <v/>
      </c>
      <c r="U1805" s="25">
        <f>IF($O1805="Invalid",HYPERLINK("mailto:"&amp;$G1805&amp;";"&amp;$I1805&amp;"?cc="&amp;Lists!$E$2&amp;"&amp;subject="&amp;_xlfn.ENCODEURL("[INVALID] Quality audit monitoring completed for "&amp;UPPER($C1805))&amp;"&amp;body="&amp;_xlfn.ENCODEURL("Hi "&amp;$F1805&amp;","&amp;CHAR(10)&amp;"Good day!"&amp;CHAR(10)&amp;CHAR(10)&amp;"A quality monitoring audit has been completed for "&amp;$C1805&amp;"."&amp;CHAR(10)&amp;CHAR(10)&amp;"QUALITY AUDIT DETAILS"&amp;CHAR(10)&amp;"Agent Name: "&amp;$C1805&amp;" (EID "&amp;$D1805&amp;")"&amp;CHAR(10)&amp;"Audit Date: "&amp;TEXT($B1805,"yyyy-mm-dd")&amp;CHAR(10)&amp;"Team Leader: "&amp;$F1805&amp;CHAR(10)&amp;"Case Number: "&amp;$M1805&amp;CHAR(10)&amp;"Transaction ID: "&amp;$N1805&amp;CHAR(10)&amp;"Channel / LOB: "&amp;$K1805&amp;" / "&amp;$L1805&amp;CHAR(10)&amp;"Evaluator: "&amp;$S1805&amp;CHAR(10)&amp;CHAR(10)&amp;"INVALID QUALITY AUDIT DETAILS"&amp;CHAR(10)&amp;"Validation: Invalid"&amp;CHAR(10)&amp;"Invalid Reason: "&amp;$P1805&amp;CHAR(10)&amp;"Expected Resolution Code: "&amp;$Q1805&amp;CHAR(10)&amp;"Remarks: "&amp;LEFT($R1805,600)&amp;CHAR(10)&amp;CHAR(10)&amp;"This is an automated notification from HP Mainstream EQMS."),"✉ Open Email Draft"),"")</f>
        <v/>
      </c>
    </row>
    <row r="1806">
      <c r="A1806" s="25">
        <f>IF($C1806="","","AUD-2026-"&amp;TEXT(ROW()-1,"000000"))</f>
        <v/>
      </c>
      <c r="B1806" s="26" t="n"/>
      <c r="C1806" s="27" t="n"/>
      <c r="D1806" s="25">
        <f>IF($C1806="","",IFERROR(IF(INDEX(Roster!$A:$A,MATCH($C1806,Roster!$B:$B,0))="","",INDEX(Roster!$A:$A,MATCH($C1806,Roster!$B:$B,0))&amp;""),"—"))</f>
        <v/>
      </c>
      <c r="E1806" s="25">
        <f>IF($C1806="","",IFERROR(IF(INDEX(Roster!$C:$C,MATCH($C1806,Roster!$B:$B,0))="","",INDEX(Roster!$C:$C,MATCH($C1806,Roster!$B:$B,0))&amp;""),"—"))</f>
        <v/>
      </c>
      <c r="F1806" s="25">
        <f>IF($C1806="","",IFERROR(IF(INDEX(Roster!$D:$D,MATCH($C1806,Roster!$B:$B,0))="","",INDEX(Roster!$D:$D,MATCH($C1806,Roster!$B:$B,0))&amp;""),"—"))</f>
        <v/>
      </c>
      <c r="G1806" s="25">
        <f>IF($C1806="","",IFERROR(IF(INDEX(Roster!$E:$E,MATCH($C1806,Roster!$B:$B,0))="","",INDEX(Roster!$E:$E,MATCH($C1806,Roster!$B:$B,0))&amp;""),"—"))</f>
        <v/>
      </c>
      <c r="H1806" s="25">
        <f>IF($C1806="","",IFERROR(IF(INDEX(Roster!$F:$F,MATCH($C1806,Roster!$B:$B,0))="","",INDEX(Roster!$F:$F,MATCH($C1806,Roster!$B:$B,0))&amp;""),"—"))</f>
        <v/>
      </c>
      <c r="I1806" s="25">
        <f>IF($C1806="","",IFERROR(IF(INDEX(Roster!$G:$G,MATCH($C1806,Roster!$B:$B,0))="","",INDEX(Roster!$G:$G,MATCH($C1806,Roster!$B:$B,0))&amp;""),"—"))</f>
        <v/>
      </c>
      <c r="J1806" s="25">
        <f>IF($C1806="","",IFERROR(IF(INDEX(Roster!$I:$I,MATCH($C1806,Roster!$B:$B,0))="","",INDEX(Roster!$I:$I,MATCH($C1806,Roster!$B:$B,0))&amp;""),"—"))</f>
        <v/>
      </c>
      <c r="K1806">
        <f>IF($C1806="","",IFERROR(IF(INDEX(Roster!$J:$J,MATCH($C1806,Roster!$B:$B,0))="","",INDEX(Roster!$J:$J,MATCH($C1806,Roster!$B:$B,0))&amp;""),"—"))</f>
        <v/>
      </c>
      <c r="L1806">
        <f>IF($C1806="","",IFERROR(IF(INDEX(Roster!$K:$K,MATCH($C1806,Roster!$B:$B,0))="","",INDEX(Roster!$K:$K,MATCH($C1806,Roster!$B:$B,0))&amp;""),"—"))</f>
        <v/>
      </c>
      <c r="M1806" s="27" t="n"/>
      <c r="N1806" s="27" t="n"/>
      <c r="O1806" s="25">
        <f>IF($C1806="","",IF($P1806="","—",IF($P1806="Valid (Pass)","Valid","Invalid")))</f>
        <v/>
      </c>
      <c r="P1806" s="27" t="n"/>
      <c r="Q1806" s="27" t="n"/>
      <c r="R1806" s="27" t="n"/>
      <c r="S1806" s="27" t="n"/>
      <c r="T1806" s="25">
        <f>IF($C1806="","",IF(OR(ISNUMBER(SEARCH("quick case",$P1806)),ISNUMBER(SEARCH("quick case",$Q1806))),"Yes","No"))</f>
        <v/>
      </c>
      <c r="U1806" s="25">
        <f>IF($O1806="Invalid",HYPERLINK("mailto:"&amp;$G1806&amp;";"&amp;$I1806&amp;"?cc="&amp;Lists!$E$2&amp;"&amp;subject="&amp;_xlfn.ENCODEURL("[INVALID] Quality audit monitoring completed for "&amp;UPPER($C1806))&amp;"&amp;body="&amp;_xlfn.ENCODEURL("Hi "&amp;$F1806&amp;","&amp;CHAR(10)&amp;"Good day!"&amp;CHAR(10)&amp;CHAR(10)&amp;"A quality monitoring audit has been completed for "&amp;$C1806&amp;"."&amp;CHAR(10)&amp;CHAR(10)&amp;"QUALITY AUDIT DETAILS"&amp;CHAR(10)&amp;"Agent Name: "&amp;$C1806&amp;" (EID "&amp;$D1806&amp;")"&amp;CHAR(10)&amp;"Audit Date: "&amp;TEXT($B1806,"yyyy-mm-dd")&amp;CHAR(10)&amp;"Team Leader: "&amp;$F1806&amp;CHAR(10)&amp;"Case Number: "&amp;$M1806&amp;CHAR(10)&amp;"Transaction ID: "&amp;$N1806&amp;CHAR(10)&amp;"Channel / LOB: "&amp;$K1806&amp;" / "&amp;$L1806&amp;CHAR(10)&amp;"Evaluator: "&amp;$S1806&amp;CHAR(10)&amp;CHAR(10)&amp;"INVALID QUALITY AUDIT DETAILS"&amp;CHAR(10)&amp;"Validation: Invalid"&amp;CHAR(10)&amp;"Invalid Reason: "&amp;$P1806&amp;CHAR(10)&amp;"Expected Resolution Code: "&amp;$Q1806&amp;CHAR(10)&amp;"Remarks: "&amp;LEFT($R1806,600)&amp;CHAR(10)&amp;CHAR(10)&amp;"This is an automated notification from HP Mainstream EQMS."),"✉ Open Email Draft"),"")</f>
        <v/>
      </c>
    </row>
    <row r="1807">
      <c r="A1807" s="25">
        <f>IF($C1807="","","AUD-2026-"&amp;TEXT(ROW()-1,"000000"))</f>
        <v/>
      </c>
      <c r="B1807" s="26" t="n"/>
      <c r="C1807" s="27" t="n"/>
      <c r="D1807" s="25">
        <f>IF($C1807="","",IFERROR(IF(INDEX(Roster!$A:$A,MATCH($C1807,Roster!$B:$B,0))="","",INDEX(Roster!$A:$A,MATCH($C1807,Roster!$B:$B,0))&amp;""),"—"))</f>
        <v/>
      </c>
      <c r="E1807" s="25">
        <f>IF($C1807="","",IFERROR(IF(INDEX(Roster!$C:$C,MATCH($C1807,Roster!$B:$B,0))="","",INDEX(Roster!$C:$C,MATCH($C1807,Roster!$B:$B,0))&amp;""),"—"))</f>
        <v/>
      </c>
      <c r="F1807" s="25">
        <f>IF($C1807="","",IFERROR(IF(INDEX(Roster!$D:$D,MATCH($C1807,Roster!$B:$B,0))="","",INDEX(Roster!$D:$D,MATCH($C1807,Roster!$B:$B,0))&amp;""),"—"))</f>
        <v/>
      </c>
      <c r="G1807" s="25">
        <f>IF($C1807="","",IFERROR(IF(INDEX(Roster!$E:$E,MATCH($C1807,Roster!$B:$B,0))="","",INDEX(Roster!$E:$E,MATCH($C1807,Roster!$B:$B,0))&amp;""),"—"))</f>
        <v/>
      </c>
      <c r="H1807" s="25">
        <f>IF($C1807="","",IFERROR(IF(INDEX(Roster!$F:$F,MATCH($C1807,Roster!$B:$B,0))="","",INDEX(Roster!$F:$F,MATCH($C1807,Roster!$B:$B,0))&amp;""),"—"))</f>
        <v/>
      </c>
      <c r="I1807" s="25">
        <f>IF($C1807="","",IFERROR(IF(INDEX(Roster!$G:$G,MATCH($C1807,Roster!$B:$B,0))="","",INDEX(Roster!$G:$G,MATCH($C1807,Roster!$B:$B,0))&amp;""),"—"))</f>
        <v/>
      </c>
      <c r="J1807" s="25">
        <f>IF($C1807="","",IFERROR(IF(INDEX(Roster!$I:$I,MATCH($C1807,Roster!$B:$B,0))="","",INDEX(Roster!$I:$I,MATCH($C1807,Roster!$B:$B,0))&amp;""),"—"))</f>
        <v/>
      </c>
      <c r="K1807">
        <f>IF($C1807="","",IFERROR(IF(INDEX(Roster!$J:$J,MATCH($C1807,Roster!$B:$B,0))="","",INDEX(Roster!$J:$J,MATCH($C1807,Roster!$B:$B,0))&amp;""),"—"))</f>
        <v/>
      </c>
      <c r="L1807">
        <f>IF($C1807="","",IFERROR(IF(INDEX(Roster!$K:$K,MATCH($C1807,Roster!$B:$B,0))="","",INDEX(Roster!$K:$K,MATCH($C1807,Roster!$B:$B,0))&amp;""),"—"))</f>
        <v/>
      </c>
      <c r="M1807" s="27" t="n"/>
      <c r="N1807" s="27" t="n"/>
      <c r="O1807" s="25">
        <f>IF($C1807="","",IF($P1807="","—",IF($P1807="Valid (Pass)","Valid","Invalid")))</f>
        <v/>
      </c>
      <c r="P1807" s="27" t="n"/>
      <c r="Q1807" s="27" t="n"/>
      <c r="R1807" s="27" t="n"/>
      <c r="S1807" s="27" t="n"/>
      <c r="T1807" s="25">
        <f>IF($C1807="","",IF(OR(ISNUMBER(SEARCH("quick case",$P1807)),ISNUMBER(SEARCH("quick case",$Q1807))),"Yes","No"))</f>
        <v/>
      </c>
      <c r="U1807" s="25">
        <f>IF($O1807="Invalid",HYPERLINK("mailto:"&amp;$G1807&amp;";"&amp;$I1807&amp;"?cc="&amp;Lists!$E$2&amp;"&amp;subject="&amp;_xlfn.ENCODEURL("[INVALID] Quality audit monitoring completed for "&amp;UPPER($C1807))&amp;"&amp;body="&amp;_xlfn.ENCODEURL("Hi "&amp;$F1807&amp;","&amp;CHAR(10)&amp;"Good day!"&amp;CHAR(10)&amp;CHAR(10)&amp;"A quality monitoring audit has been completed for "&amp;$C1807&amp;"."&amp;CHAR(10)&amp;CHAR(10)&amp;"QUALITY AUDIT DETAILS"&amp;CHAR(10)&amp;"Agent Name: "&amp;$C1807&amp;" (EID "&amp;$D1807&amp;")"&amp;CHAR(10)&amp;"Audit Date: "&amp;TEXT($B1807,"yyyy-mm-dd")&amp;CHAR(10)&amp;"Team Leader: "&amp;$F1807&amp;CHAR(10)&amp;"Case Number: "&amp;$M1807&amp;CHAR(10)&amp;"Transaction ID: "&amp;$N1807&amp;CHAR(10)&amp;"Channel / LOB: "&amp;$K1807&amp;" / "&amp;$L1807&amp;CHAR(10)&amp;"Evaluator: "&amp;$S1807&amp;CHAR(10)&amp;CHAR(10)&amp;"INVALID QUALITY AUDIT DETAILS"&amp;CHAR(10)&amp;"Validation: Invalid"&amp;CHAR(10)&amp;"Invalid Reason: "&amp;$P1807&amp;CHAR(10)&amp;"Expected Resolution Code: "&amp;$Q1807&amp;CHAR(10)&amp;"Remarks: "&amp;LEFT($R1807,600)&amp;CHAR(10)&amp;CHAR(10)&amp;"This is an automated notification from HP Mainstream EQMS."),"✉ Open Email Draft"),"")</f>
        <v/>
      </c>
    </row>
    <row r="1808">
      <c r="A1808" s="25">
        <f>IF($C1808="","","AUD-2026-"&amp;TEXT(ROW()-1,"000000"))</f>
        <v/>
      </c>
      <c r="B1808" s="26" t="n"/>
      <c r="C1808" s="27" t="n"/>
      <c r="D1808" s="25">
        <f>IF($C1808="","",IFERROR(IF(INDEX(Roster!$A:$A,MATCH($C1808,Roster!$B:$B,0))="","",INDEX(Roster!$A:$A,MATCH($C1808,Roster!$B:$B,0))&amp;""),"—"))</f>
        <v/>
      </c>
      <c r="E1808" s="25">
        <f>IF($C1808="","",IFERROR(IF(INDEX(Roster!$C:$C,MATCH($C1808,Roster!$B:$B,0))="","",INDEX(Roster!$C:$C,MATCH($C1808,Roster!$B:$B,0))&amp;""),"—"))</f>
        <v/>
      </c>
      <c r="F1808" s="25">
        <f>IF($C1808="","",IFERROR(IF(INDEX(Roster!$D:$D,MATCH($C1808,Roster!$B:$B,0))="","",INDEX(Roster!$D:$D,MATCH($C1808,Roster!$B:$B,0))&amp;""),"—"))</f>
        <v/>
      </c>
      <c r="G1808" s="25">
        <f>IF($C1808="","",IFERROR(IF(INDEX(Roster!$E:$E,MATCH($C1808,Roster!$B:$B,0))="","",INDEX(Roster!$E:$E,MATCH($C1808,Roster!$B:$B,0))&amp;""),"—"))</f>
        <v/>
      </c>
      <c r="H1808" s="25">
        <f>IF($C1808="","",IFERROR(IF(INDEX(Roster!$F:$F,MATCH($C1808,Roster!$B:$B,0))="","",INDEX(Roster!$F:$F,MATCH($C1808,Roster!$B:$B,0))&amp;""),"—"))</f>
        <v/>
      </c>
      <c r="I1808" s="25">
        <f>IF($C1808="","",IFERROR(IF(INDEX(Roster!$G:$G,MATCH($C1808,Roster!$B:$B,0))="","",INDEX(Roster!$G:$G,MATCH($C1808,Roster!$B:$B,0))&amp;""),"—"))</f>
        <v/>
      </c>
      <c r="J1808" s="25">
        <f>IF($C1808="","",IFERROR(IF(INDEX(Roster!$I:$I,MATCH($C1808,Roster!$B:$B,0))="","",INDEX(Roster!$I:$I,MATCH($C1808,Roster!$B:$B,0))&amp;""),"—"))</f>
        <v/>
      </c>
      <c r="K1808">
        <f>IF($C1808="","",IFERROR(IF(INDEX(Roster!$J:$J,MATCH($C1808,Roster!$B:$B,0))="","",INDEX(Roster!$J:$J,MATCH($C1808,Roster!$B:$B,0))&amp;""),"—"))</f>
        <v/>
      </c>
      <c r="L1808">
        <f>IF($C1808="","",IFERROR(IF(INDEX(Roster!$K:$K,MATCH($C1808,Roster!$B:$B,0))="","",INDEX(Roster!$K:$K,MATCH($C1808,Roster!$B:$B,0))&amp;""),"—"))</f>
        <v/>
      </c>
      <c r="M1808" s="27" t="n"/>
      <c r="N1808" s="27" t="n"/>
      <c r="O1808" s="25">
        <f>IF($C1808="","",IF($P1808="","—",IF($P1808="Valid (Pass)","Valid","Invalid")))</f>
        <v/>
      </c>
      <c r="P1808" s="27" t="n"/>
      <c r="Q1808" s="27" t="n"/>
      <c r="R1808" s="27" t="n"/>
      <c r="S1808" s="27" t="n"/>
      <c r="T1808" s="25">
        <f>IF($C1808="","",IF(OR(ISNUMBER(SEARCH("quick case",$P1808)),ISNUMBER(SEARCH("quick case",$Q1808))),"Yes","No"))</f>
        <v/>
      </c>
      <c r="U1808" s="25">
        <f>IF($O1808="Invalid",HYPERLINK("mailto:"&amp;$G1808&amp;";"&amp;$I1808&amp;"?cc="&amp;Lists!$E$2&amp;"&amp;subject="&amp;_xlfn.ENCODEURL("[INVALID] Quality audit monitoring completed for "&amp;UPPER($C1808))&amp;"&amp;body="&amp;_xlfn.ENCODEURL("Hi "&amp;$F1808&amp;","&amp;CHAR(10)&amp;"Good day!"&amp;CHAR(10)&amp;CHAR(10)&amp;"A quality monitoring audit has been completed for "&amp;$C1808&amp;"."&amp;CHAR(10)&amp;CHAR(10)&amp;"QUALITY AUDIT DETAILS"&amp;CHAR(10)&amp;"Agent Name: "&amp;$C1808&amp;" (EID "&amp;$D1808&amp;")"&amp;CHAR(10)&amp;"Audit Date: "&amp;TEXT($B1808,"yyyy-mm-dd")&amp;CHAR(10)&amp;"Team Leader: "&amp;$F1808&amp;CHAR(10)&amp;"Case Number: "&amp;$M1808&amp;CHAR(10)&amp;"Transaction ID: "&amp;$N1808&amp;CHAR(10)&amp;"Channel / LOB: "&amp;$K1808&amp;" / "&amp;$L1808&amp;CHAR(10)&amp;"Evaluator: "&amp;$S1808&amp;CHAR(10)&amp;CHAR(10)&amp;"INVALID QUALITY AUDIT DETAILS"&amp;CHAR(10)&amp;"Validation: Invalid"&amp;CHAR(10)&amp;"Invalid Reason: "&amp;$P1808&amp;CHAR(10)&amp;"Expected Resolution Code: "&amp;$Q1808&amp;CHAR(10)&amp;"Remarks: "&amp;LEFT($R1808,600)&amp;CHAR(10)&amp;CHAR(10)&amp;"This is an automated notification from HP Mainstream EQMS."),"✉ Open Email Draft"),"")</f>
        <v/>
      </c>
    </row>
    <row r="1809">
      <c r="A1809" s="25">
        <f>IF($C1809="","","AUD-2026-"&amp;TEXT(ROW()-1,"000000"))</f>
        <v/>
      </c>
      <c r="B1809" s="26" t="n"/>
      <c r="C1809" s="27" t="n"/>
      <c r="D1809" s="25">
        <f>IF($C1809="","",IFERROR(IF(INDEX(Roster!$A:$A,MATCH($C1809,Roster!$B:$B,0))="","",INDEX(Roster!$A:$A,MATCH($C1809,Roster!$B:$B,0))&amp;""),"—"))</f>
        <v/>
      </c>
      <c r="E1809" s="25">
        <f>IF($C1809="","",IFERROR(IF(INDEX(Roster!$C:$C,MATCH($C1809,Roster!$B:$B,0))="","",INDEX(Roster!$C:$C,MATCH($C1809,Roster!$B:$B,0))&amp;""),"—"))</f>
        <v/>
      </c>
      <c r="F1809" s="25">
        <f>IF($C1809="","",IFERROR(IF(INDEX(Roster!$D:$D,MATCH($C1809,Roster!$B:$B,0))="","",INDEX(Roster!$D:$D,MATCH($C1809,Roster!$B:$B,0))&amp;""),"—"))</f>
        <v/>
      </c>
      <c r="G1809" s="25">
        <f>IF($C1809="","",IFERROR(IF(INDEX(Roster!$E:$E,MATCH($C1809,Roster!$B:$B,0))="","",INDEX(Roster!$E:$E,MATCH($C1809,Roster!$B:$B,0))&amp;""),"—"))</f>
        <v/>
      </c>
      <c r="H1809" s="25">
        <f>IF($C1809="","",IFERROR(IF(INDEX(Roster!$F:$F,MATCH($C1809,Roster!$B:$B,0))="","",INDEX(Roster!$F:$F,MATCH($C1809,Roster!$B:$B,0))&amp;""),"—"))</f>
        <v/>
      </c>
      <c r="I1809" s="25">
        <f>IF($C1809="","",IFERROR(IF(INDEX(Roster!$G:$G,MATCH($C1809,Roster!$B:$B,0))="","",INDEX(Roster!$G:$G,MATCH($C1809,Roster!$B:$B,0))&amp;""),"—"))</f>
        <v/>
      </c>
      <c r="J1809" s="25">
        <f>IF($C1809="","",IFERROR(IF(INDEX(Roster!$I:$I,MATCH($C1809,Roster!$B:$B,0))="","",INDEX(Roster!$I:$I,MATCH($C1809,Roster!$B:$B,0))&amp;""),"—"))</f>
        <v/>
      </c>
      <c r="K1809">
        <f>IF($C1809="","",IFERROR(IF(INDEX(Roster!$J:$J,MATCH($C1809,Roster!$B:$B,0))="","",INDEX(Roster!$J:$J,MATCH($C1809,Roster!$B:$B,0))&amp;""),"—"))</f>
        <v/>
      </c>
      <c r="L1809">
        <f>IF($C1809="","",IFERROR(IF(INDEX(Roster!$K:$K,MATCH($C1809,Roster!$B:$B,0))="","",INDEX(Roster!$K:$K,MATCH($C1809,Roster!$B:$B,0))&amp;""),"—"))</f>
        <v/>
      </c>
      <c r="M1809" s="27" t="n"/>
      <c r="N1809" s="27" t="n"/>
      <c r="O1809" s="25">
        <f>IF($C1809="","",IF($P1809="","—",IF($P1809="Valid (Pass)","Valid","Invalid")))</f>
        <v/>
      </c>
      <c r="P1809" s="27" t="n"/>
      <c r="Q1809" s="27" t="n"/>
      <c r="R1809" s="27" t="n"/>
      <c r="S1809" s="27" t="n"/>
      <c r="T1809" s="25">
        <f>IF($C1809="","",IF(OR(ISNUMBER(SEARCH("quick case",$P1809)),ISNUMBER(SEARCH("quick case",$Q1809))),"Yes","No"))</f>
        <v/>
      </c>
      <c r="U1809" s="25">
        <f>IF($O1809="Invalid",HYPERLINK("mailto:"&amp;$G1809&amp;";"&amp;$I1809&amp;"?cc="&amp;Lists!$E$2&amp;"&amp;subject="&amp;_xlfn.ENCODEURL("[INVALID] Quality audit monitoring completed for "&amp;UPPER($C1809))&amp;"&amp;body="&amp;_xlfn.ENCODEURL("Hi "&amp;$F1809&amp;","&amp;CHAR(10)&amp;"Good day!"&amp;CHAR(10)&amp;CHAR(10)&amp;"A quality monitoring audit has been completed for "&amp;$C1809&amp;"."&amp;CHAR(10)&amp;CHAR(10)&amp;"QUALITY AUDIT DETAILS"&amp;CHAR(10)&amp;"Agent Name: "&amp;$C1809&amp;" (EID "&amp;$D1809&amp;")"&amp;CHAR(10)&amp;"Audit Date: "&amp;TEXT($B1809,"yyyy-mm-dd")&amp;CHAR(10)&amp;"Team Leader: "&amp;$F1809&amp;CHAR(10)&amp;"Case Number: "&amp;$M1809&amp;CHAR(10)&amp;"Transaction ID: "&amp;$N1809&amp;CHAR(10)&amp;"Channel / LOB: "&amp;$K1809&amp;" / "&amp;$L1809&amp;CHAR(10)&amp;"Evaluator: "&amp;$S1809&amp;CHAR(10)&amp;CHAR(10)&amp;"INVALID QUALITY AUDIT DETAILS"&amp;CHAR(10)&amp;"Validation: Invalid"&amp;CHAR(10)&amp;"Invalid Reason: "&amp;$P1809&amp;CHAR(10)&amp;"Expected Resolution Code: "&amp;$Q1809&amp;CHAR(10)&amp;"Remarks: "&amp;LEFT($R1809,600)&amp;CHAR(10)&amp;CHAR(10)&amp;"This is an automated notification from HP Mainstream EQMS."),"✉ Open Email Draft"),"")</f>
        <v/>
      </c>
    </row>
    <row r="1810">
      <c r="A1810" s="25">
        <f>IF($C1810="","","AUD-2026-"&amp;TEXT(ROW()-1,"000000"))</f>
        <v/>
      </c>
      <c r="B1810" s="26" t="n"/>
      <c r="C1810" s="27" t="n"/>
      <c r="D1810" s="25">
        <f>IF($C1810="","",IFERROR(IF(INDEX(Roster!$A:$A,MATCH($C1810,Roster!$B:$B,0))="","",INDEX(Roster!$A:$A,MATCH($C1810,Roster!$B:$B,0))&amp;""),"—"))</f>
        <v/>
      </c>
      <c r="E1810" s="25">
        <f>IF($C1810="","",IFERROR(IF(INDEX(Roster!$C:$C,MATCH($C1810,Roster!$B:$B,0))="","",INDEX(Roster!$C:$C,MATCH($C1810,Roster!$B:$B,0))&amp;""),"—"))</f>
        <v/>
      </c>
      <c r="F1810" s="25">
        <f>IF($C1810="","",IFERROR(IF(INDEX(Roster!$D:$D,MATCH($C1810,Roster!$B:$B,0))="","",INDEX(Roster!$D:$D,MATCH($C1810,Roster!$B:$B,0))&amp;""),"—"))</f>
        <v/>
      </c>
      <c r="G1810" s="25">
        <f>IF($C1810="","",IFERROR(IF(INDEX(Roster!$E:$E,MATCH($C1810,Roster!$B:$B,0))="","",INDEX(Roster!$E:$E,MATCH($C1810,Roster!$B:$B,0))&amp;""),"—"))</f>
        <v/>
      </c>
      <c r="H1810" s="25">
        <f>IF($C1810="","",IFERROR(IF(INDEX(Roster!$F:$F,MATCH($C1810,Roster!$B:$B,0))="","",INDEX(Roster!$F:$F,MATCH($C1810,Roster!$B:$B,0))&amp;""),"—"))</f>
        <v/>
      </c>
      <c r="I1810" s="25">
        <f>IF($C1810="","",IFERROR(IF(INDEX(Roster!$G:$G,MATCH($C1810,Roster!$B:$B,0))="","",INDEX(Roster!$G:$G,MATCH($C1810,Roster!$B:$B,0))&amp;""),"—"))</f>
        <v/>
      </c>
      <c r="J1810" s="25">
        <f>IF($C1810="","",IFERROR(IF(INDEX(Roster!$I:$I,MATCH($C1810,Roster!$B:$B,0))="","",INDEX(Roster!$I:$I,MATCH($C1810,Roster!$B:$B,0))&amp;""),"—"))</f>
        <v/>
      </c>
      <c r="K1810">
        <f>IF($C1810="","",IFERROR(IF(INDEX(Roster!$J:$J,MATCH($C1810,Roster!$B:$B,0))="","",INDEX(Roster!$J:$J,MATCH($C1810,Roster!$B:$B,0))&amp;""),"—"))</f>
        <v/>
      </c>
      <c r="L1810">
        <f>IF($C1810="","",IFERROR(IF(INDEX(Roster!$K:$K,MATCH($C1810,Roster!$B:$B,0))="","",INDEX(Roster!$K:$K,MATCH($C1810,Roster!$B:$B,0))&amp;""),"—"))</f>
        <v/>
      </c>
      <c r="M1810" s="27" t="n"/>
      <c r="N1810" s="27" t="n"/>
      <c r="O1810" s="25">
        <f>IF($C1810="","",IF($P1810="","—",IF($P1810="Valid (Pass)","Valid","Invalid")))</f>
        <v/>
      </c>
      <c r="P1810" s="27" t="n"/>
      <c r="Q1810" s="27" t="n"/>
      <c r="R1810" s="27" t="n"/>
      <c r="S1810" s="27" t="n"/>
      <c r="T1810" s="25">
        <f>IF($C1810="","",IF(OR(ISNUMBER(SEARCH("quick case",$P1810)),ISNUMBER(SEARCH("quick case",$Q1810))),"Yes","No"))</f>
        <v/>
      </c>
      <c r="U1810" s="25">
        <f>IF($O1810="Invalid",HYPERLINK("mailto:"&amp;$G1810&amp;";"&amp;$I1810&amp;"?cc="&amp;Lists!$E$2&amp;"&amp;subject="&amp;_xlfn.ENCODEURL("[INVALID] Quality audit monitoring completed for "&amp;UPPER($C1810))&amp;"&amp;body="&amp;_xlfn.ENCODEURL("Hi "&amp;$F1810&amp;","&amp;CHAR(10)&amp;"Good day!"&amp;CHAR(10)&amp;CHAR(10)&amp;"A quality monitoring audit has been completed for "&amp;$C1810&amp;"."&amp;CHAR(10)&amp;CHAR(10)&amp;"QUALITY AUDIT DETAILS"&amp;CHAR(10)&amp;"Agent Name: "&amp;$C1810&amp;" (EID "&amp;$D1810&amp;")"&amp;CHAR(10)&amp;"Audit Date: "&amp;TEXT($B1810,"yyyy-mm-dd")&amp;CHAR(10)&amp;"Team Leader: "&amp;$F1810&amp;CHAR(10)&amp;"Case Number: "&amp;$M1810&amp;CHAR(10)&amp;"Transaction ID: "&amp;$N1810&amp;CHAR(10)&amp;"Channel / LOB: "&amp;$K1810&amp;" / "&amp;$L1810&amp;CHAR(10)&amp;"Evaluator: "&amp;$S1810&amp;CHAR(10)&amp;CHAR(10)&amp;"INVALID QUALITY AUDIT DETAILS"&amp;CHAR(10)&amp;"Validation: Invalid"&amp;CHAR(10)&amp;"Invalid Reason: "&amp;$P1810&amp;CHAR(10)&amp;"Expected Resolution Code: "&amp;$Q1810&amp;CHAR(10)&amp;"Remarks: "&amp;LEFT($R1810,600)&amp;CHAR(10)&amp;CHAR(10)&amp;"This is an automated notification from HP Mainstream EQMS."),"✉ Open Email Draft"),"")</f>
        <v/>
      </c>
    </row>
    <row r="1811">
      <c r="A1811" s="25">
        <f>IF($C1811="","","AUD-2026-"&amp;TEXT(ROW()-1,"000000"))</f>
        <v/>
      </c>
      <c r="B1811" s="26" t="n"/>
      <c r="C1811" s="27" t="n"/>
      <c r="D1811" s="25">
        <f>IF($C1811="","",IFERROR(IF(INDEX(Roster!$A:$A,MATCH($C1811,Roster!$B:$B,0))="","",INDEX(Roster!$A:$A,MATCH($C1811,Roster!$B:$B,0))&amp;""),"—"))</f>
        <v/>
      </c>
      <c r="E1811" s="25">
        <f>IF($C1811="","",IFERROR(IF(INDEX(Roster!$C:$C,MATCH($C1811,Roster!$B:$B,0))="","",INDEX(Roster!$C:$C,MATCH($C1811,Roster!$B:$B,0))&amp;""),"—"))</f>
        <v/>
      </c>
      <c r="F1811" s="25">
        <f>IF($C1811="","",IFERROR(IF(INDEX(Roster!$D:$D,MATCH($C1811,Roster!$B:$B,0))="","",INDEX(Roster!$D:$D,MATCH($C1811,Roster!$B:$B,0))&amp;""),"—"))</f>
        <v/>
      </c>
      <c r="G1811" s="25">
        <f>IF($C1811="","",IFERROR(IF(INDEX(Roster!$E:$E,MATCH($C1811,Roster!$B:$B,0))="","",INDEX(Roster!$E:$E,MATCH($C1811,Roster!$B:$B,0))&amp;""),"—"))</f>
        <v/>
      </c>
      <c r="H1811" s="25">
        <f>IF($C1811="","",IFERROR(IF(INDEX(Roster!$F:$F,MATCH($C1811,Roster!$B:$B,0))="","",INDEX(Roster!$F:$F,MATCH($C1811,Roster!$B:$B,0))&amp;""),"—"))</f>
        <v/>
      </c>
      <c r="I1811" s="25">
        <f>IF($C1811="","",IFERROR(IF(INDEX(Roster!$G:$G,MATCH($C1811,Roster!$B:$B,0))="","",INDEX(Roster!$G:$G,MATCH($C1811,Roster!$B:$B,0))&amp;""),"—"))</f>
        <v/>
      </c>
      <c r="J1811" s="25">
        <f>IF($C1811="","",IFERROR(IF(INDEX(Roster!$I:$I,MATCH($C1811,Roster!$B:$B,0))="","",INDEX(Roster!$I:$I,MATCH($C1811,Roster!$B:$B,0))&amp;""),"—"))</f>
        <v/>
      </c>
      <c r="K1811">
        <f>IF($C1811="","",IFERROR(IF(INDEX(Roster!$J:$J,MATCH($C1811,Roster!$B:$B,0))="","",INDEX(Roster!$J:$J,MATCH($C1811,Roster!$B:$B,0))&amp;""),"—"))</f>
        <v/>
      </c>
      <c r="L1811">
        <f>IF($C1811="","",IFERROR(IF(INDEX(Roster!$K:$K,MATCH($C1811,Roster!$B:$B,0))="","",INDEX(Roster!$K:$K,MATCH($C1811,Roster!$B:$B,0))&amp;""),"—"))</f>
        <v/>
      </c>
      <c r="M1811" s="27" t="n"/>
      <c r="N1811" s="27" t="n"/>
      <c r="O1811" s="25">
        <f>IF($C1811="","",IF($P1811="","—",IF($P1811="Valid (Pass)","Valid","Invalid")))</f>
        <v/>
      </c>
      <c r="P1811" s="27" t="n"/>
      <c r="Q1811" s="27" t="n"/>
      <c r="R1811" s="27" t="n"/>
      <c r="S1811" s="27" t="n"/>
      <c r="T1811" s="25">
        <f>IF($C1811="","",IF(OR(ISNUMBER(SEARCH("quick case",$P1811)),ISNUMBER(SEARCH("quick case",$Q1811))),"Yes","No"))</f>
        <v/>
      </c>
      <c r="U1811" s="25">
        <f>IF($O1811="Invalid",HYPERLINK("mailto:"&amp;$G1811&amp;";"&amp;$I1811&amp;"?cc="&amp;Lists!$E$2&amp;"&amp;subject="&amp;_xlfn.ENCODEURL("[INVALID] Quality audit monitoring completed for "&amp;UPPER($C1811))&amp;"&amp;body="&amp;_xlfn.ENCODEURL("Hi "&amp;$F1811&amp;","&amp;CHAR(10)&amp;"Good day!"&amp;CHAR(10)&amp;CHAR(10)&amp;"A quality monitoring audit has been completed for "&amp;$C1811&amp;"."&amp;CHAR(10)&amp;CHAR(10)&amp;"QUALITY AUDIT DETAILS"&amp;CHAR(10)&amp;"Agent Name: "&amp;$C1811&amp;" (EID "&amp;$D1811&amp;")"&amp;CHAR(10)&amp;"Audit Date: "&amp;TEXT($B1811,"yyyy-mm-dd")&amp;CHAR(10)&amp;"Team Leader: "&amp;$F1811&amp;CHAR(10)&amp;"Case Number: "&amp;$M1811&amp;CHAR(10)&amp;"Transaction ID: "&amp;$N1811&amp;CHAR(10)&amp;"Channel / LOB: "&amp;$K1811&amp;" / "&amp;$L1811&amp;CHAR(10)&amp;"Evaluator: "&amp;$S1811&amp;CHAR(10)&amp;CHAR(10)&amp;"INVALID QUALITY AUDIT DETAILS"&amp;CHAR(10)&amp;"Validation: Invalid"&amp;CHAR(10)&amp;"Invalid Reason: "&amp;$P1811&amp;CHAR(10)&amp;"Expected Resolution Code: "&amp;$Q1811&amp;CHAR(10)&amp;"Remarks: "&amp;LEFT($R1811,600)&amp;CHAR(10)&amp;CHAR(10)&amp;"This is an automated notification from HP Mainstream EQMS."),"✉ Open Email Draft"),"")</f>
        <v/>
      </c>
    </row>
    <row r="1812">
      <c r="A1812" s="25">
        <f>IF($C1812="","","AUD-2026-"&amp;TEXT(ROW()-1,"000000"))</f>
        <v/>
      </c>
      <c r="B1812" s="26" t="n"/>
      <c r="C1812" s="27" t="n"/>
      <c r="D1812" s="25">
        <f>IF($C1812="","",IFERROR(IF(INDEX(Roster!$A:$A,MATCH($C1812,Roster!$B:$B,0))="","",INDEX(Roster!$A:$A,MATCH($C1812,Roster!$B:$B,0))&amp;""),"—"))</f>
        <v/>
      </c>
      <c r="E1812" s="25">
        <f>IF($C1812="","",IFERROR(IF(INDEX(Roster!$C:$C,MATCH($C1812,Roster!$B:$B,0))="","",INDEX(Roster!$C:$C,MATCH($C1812,Roster!$B:$B,0))&amp;""),"—"))</f>
        <v/>
      </c>
      <c r="F1812" s="25">
        <f>IF($C1812="","",IFERROR(IF(INDEX(Roster!$D:$D,MATCH($C1812,Roster!$B:$B,0))="","",INDEX(Roster!$D:$D,MATCH($C1812,Roster!$B:$B,0))&amp;""),"—"))</f>
        <v/>
      </c>
      <c r="G1812" s="25">
        <f>IF($C1812="","",IFERROR(IF(INDEX(Roster!$E:$E,MATCH($C1812,Roster!$B:$B,0))="","",INDEX(Roster!$E:$E,MATCH($C1812,Roster!$B:$B,0))&amp;""),"—"))</f>
        <v/>
      </c>
      <c r="H1812" s="25">
        <f>IF($C1812="","",IFERROR(IF(INDEX(Roster!$F:$F,MATCH($C1812,Roster!$B:$B,0))="","",INDEX(Roster!$F:$F,MATCH($C1812,Roster!$B:$B,0))&amp;""),"—"))</f>
        <v/>
      </c>
      <c r="I1812" s="25">
        <f>IF($C1812="","",IFERROR(IF(INDEX(Roster!$G:$G,MATCH($C1812,Roster!$B:$B,0))="","",INDEX(Roster!$G:$G,MATCH($C1812,Roster!$B:$B,0))&amp;""),"—"))</f>
        <v/>
      </c>
      <c r="J1812" s="25">
        <f>IF($C1812="","",IFERROR(IF(INDEX(Roster!$I:$I,MATCH($C1812,Roster!$B:$B,0))="","",INDEX(Roster!$I:$I,MATCH($C1812,Roster!$B:$B,0))&amp;""),"—"))</f>
        <v/>
      </c>
      <c r="K1812">
        <f>IF($C1812="","",IFERROR(IF(INDEX(Roster!$J:$J,MATCH($C1812,Roster!$B:$B,0))="","",INDEX(Roster!$J:$J,MATCH($C1812,Roster!$B:$B,0))&amp;""),"—"))</f>
        <v/>
      </c>
      <c r="L1812">
        <f>IF($C1812="","",IFERROR(IF(INDEX(Roster!$K:$K,MATCH($C1812,Roster!$B:$B,0))="","",INDEX(Roster!$K:$K,MATCH($C1812,Roster!$B:$B,0))&amp;""),"—"))</f>
        <v/>
      </c>
      <c r="M1812" s="27" t="n"/>
      <c r="N1812" s="27" t="n"/>
      <c r="O1812" s="25">
        <f>IF($C1812="","",IF($P1812="","—",IF($P1812="Valid (Pass)","Valid","Invalid")))</f>
        <v/>
      </c>
      <c r="P1812" s="27" t="n"/>
      <c r="Q1812" s="27" t="n"/>
      <c r="R1812" s="27" t="n"/>
      <c r="S1812" s="27" t="n"/>
      <c r="T1812" s="25">
        <f>IF($C1812="","",IF(OR(ISNUMBER(SEARCH("quick case",$P1812)),ISNUMBER(SEARCH("quick case",$Q1812))),"Yes","No"))</f>
        <v/>
      </c>
      <c r="U1812" s="25">
        <f>IF($O1812="Invalid",HYPERLINK("mailto:"&amp;$G1812&amp;";"&amp;$I1812&amp;"?cc="&amp;Lists!$E$2&amp;"&amp;subject="&amp;_xlfn.ENCODEURL("[INVALID] Quality audit monitoring completed for "&amp;UPPER($C1812))&amp;"&amp;body="&amp;_xlfn.ENCODEURL("Hi "&amp;$F1812&amp;","&amp;CHAR(10)&amp;"Good day!"&amp;CHAR(10)&amp;CHAR(10)&amp;"A quality monitoring audit has been completed for "&amp;$C1812&amp;"."&amp;CHAR(10)&amp;CHAR(10)&amp;"QUALITY AUDIT DETAILS"&amp;CHAR(10)&amp;"Agent Name: "&amp;$C1812&amp;" (EID "&amp;$D1812&amp;")"&amp;CHAR(10)&amp;"Audit Date: "&amp;TEXT($B1812,"yyyy-mm-dd")&amp;CHAR(10)&amp;"Team Leader: "&amp;$F1812&amp;CHAR(10)&amp;"Case Number: "&amp;$M1812&amp;CHAR(10)&amp;"Transaction ID: "&amp;$N1812&amp;CHAR(10)&amp;"Channel / LOB: "&amp;$K1812&amp;" / "&amp;$L1812&amp;CHAR(10)&amp;"Evaluator: "&amp;$S1812&amp;CHAR(10)&amp;CHAR(10)&amp;"INVALID QUALITY AUDIT DETAILS"&amp;CHAR(10)&amp;"Validation: Invalid"&amp;CHAR(10)&amp;"Invalid Reason: "&amp;$P1812&amp;CHAR(10)&amp;"Expected Resolution Code: "&amp;$Q1812&amp;CHAR(10)&amp;"Remarks: "&amp;LEFT($R1812,600)&amp;CHAR(10)&amp;CHAR(10)&amp;"This is an automated notification from HP Mainstream EQMS."),"✉ Open Email Draft"),"")</f>
        <v/>
      </c>
    </row>
    <row r="1813">
      <c r="A1813" s="25">
        <f>IF($C1813="","","AUD-2026-"&amp;TEXT(ROW()-1,"000000"))</f>
        <v/>
      </c>
      <c r="B1813" s="26" t="n"/>
      <c r="C1813" s="27" t="n"/>
      <c r="D1813" s="25">
        <f>IF($C1813="","",IFERROR(IF(INDEX(Roster!$A:$A,MATCH($C1813,Roster!$B:$B,0))="","",INDEX(Roster!$A:$A,MATCH($C1813,Roster!$B:$B,0))&amp;""),"—"))</f>
        <v/>
      </c>
      <c r="E1813" s="25">
        <f>IF($C1813="","",IFERROR(IF(INDEX(Roster!$C:$C,MATCH($C1813,Roster!$B:$B,0))="","",INDEX(Roster!$C:$C,MATCH($C1813,Roster!$B:$B,0))&amp;""),"—"))</f>
        <v/>
      </c>
      <c r="F1813" s="25">
        <f>IF($C1813="","",IFERROR(IF(INDEX(Roster!$D:$D,MATCH($C1813,Roster!$B:$B,0))="","",INDEX(Roster!$D:$D,MATCH($C1813,Roster!$B:$B,0))&amp;""),"—"))</f>
        <v/>
      </c>
      <c r="G1813" s="25">
        <f>IF($C1813="","",IFERROR(IF(INDEX(Roster!$E:$E,MATCH($C1813,Roster!$B:$B,0))="","",INDEX(Roster!$E:$E,MATCH($C1813,Roster!$B:$B,0))&amp;""),"—"))</f>
        <v/>
      </c>
      <c r="H1813" s="25">
        <f>IF($C1813="","",IFERROR(IF(INDEX(Roster!$F:$F,MATCH($C1813,Roster!$B:$B,0))="","",INDEX(Roster!$F:$F,MATCH($C1813,Roster!$B:$B,0))&amp;""),"—"))</f>
        <v/>
      </c>
      <c r="I1813" s="25">
        <f>IF($C1813="","",IFERROR(IF(INDEX(Roster!$G:$G,MATCH($C1813,Roster!$B:$B,0))="","",INDEX(Roster!$G:$G,MATCH($C1813,Roster!$B:$B,0))&amp;""),"—"))</f>
        <v/>
      </c>
      <c r="J1813" s="25">
        <f>IF($C1813="","",IFERROR(IF(INDEX(Roster!$I:$I,MATCH($C1813,Roster!$B:$B,0))="","",INDEX(Roster!$I:$I,MATCH($C1813,Roster!$B:$B,0))&amp;""),"—"))</f>
        <v/>
      </c>
      <c r="K1813">
        <f>IF($C1813="","",IFERROR(IF(INDEX(Roster!$J:$J,MATCH($C1813,Roster!$B:$B,0))="","",INDEX(Roster!$J:$J,MATCH($C1813,Roster!$B:$B,0))&amp;""),"—"))</f>
        <v/>
      </c>
      <c r="L1813">
        <f>IF($C1813="","",IFERROR(IF(INDEX(Roster!$K:$K,MATCH($C1813,Roster!$B:$B,0))="","",INDEX(Roster!$K:$K,MATCH($C1813,Roster!$B:$B,0))&amp;""),"—"))</f>
        <v/>
      </c>
      <c r="M1813" s="27" t="n"/>
      <c r="N1813" s="27" t="n"/>
      <c r="O1813" s="25">
        <f>IF($C1813="","",IF($P1813="","—",IF($P1813="Valid (Pass)","Valid","Invalid")))</f>
        <v/>
      </c>
      <c r="P1813" s="27" t="n"/>
      <c r="Q1813" s="27" t="n"/>
      <c r="R1813" s="27" t="n"/>
      <c r="S1813" s="27" t="n"/>
      <c r="T1813" s="25">
        <f>IF($C1813="","",IF(OR(ISNUMBER(SEARCH("quick case",$P1813)),ISNUMBER(SEARCH("quick case",$Q1813))),"Yes","No"))</f>
        <v/>
      </c>
      <c r="U1813" s="25">
        <f>IF($O1813="Invalid",HYPERLINK("mailto:"&amp;$G1813&amp;";"&amp;$I1813&amp;"?cc="&amp;Lists!$E$2&amp;"&amp;subject="&amp;_xlfn.ENCODEURL("[INVALID] Quality audit monitoring completed for "&amp;UPPER($C1813))&amp;"&amp;body="&amp;_xlfn.ENCODEURL("Hi "&amp;$F1813&amp;","&amp;CHAR(10)&amp;"Good day!"&amp;CHAR(10)&amp;CHAR(10)&amp;"A quality monitoring audit has been completed for "&amp;$C1813&amp;"."&amp;CHAR(10)&amp;CHAR(10)&amp;"QUALITY AUDIT DETAILS"&amp;CHAR(10)&amp;"Agent Name: "&amp;$C1813&amp;" (EID "&amp;$D1813&amp;")"&amp;CHAR(10)&amp;"Audit Date: "&amp;TEXT($B1813,"yyyy-mm-dd")&amp;CHAR(10)&amp;"Team Leader: "&amp;$F1813&amp;CHAR(10)&amp;"Case Number: "&amp;$M1813&amp;CHAR(10)&amp;"Transaction ID: "&amp;$N1813&amp;CHAR(10)&amp;"Channel / LOB: "&amp;$K1813&amp;" / "&amp;$L1813&amp;CHAR(10)&amp;"Evaluator: "&amp;$S1813&amp;CHAR(10)&amp;CHAR(10)&amp;"INVALID QUALITY AUDIT DETAILS"&amp;CHAR(10)&amp;"Validation: Invalid"&amp;CHAR(10)&amp;"Invalid Reason: "&amp;$P1813&amp;CHAR(10)&amp;"Expected Resolution Code: "&amp;$Q1813&amp;CHAR(10)&amp;"Remarks: "&amp;LEFT($R1813,600)&amp;CHAR(10)&amp;CHAR(10)&amp;"This is an automated notification from HP Mainstream EQMS."),"✉ Open Email Draft"),"")</f>
        <v/>
      </c>
    </row>
    <row r="1814">
      <c r="A1814" s="25">
        <f>IF($C1814="","","AUD-2026-"&amp;TEXT(ROW()-1,"000000"))</f>
        <v/>
      </c>
      <c r="B1814" s="26" t="n"/>
      <c r="C1814" s="27" t="n"/>
      <c r="D1814" s="25">
        <f>IF($C1814="","",IFERROR(IF(INDEX(Roster!$A:$A,MATCH($C1814,Roster!$B:$B,0))="","",INDEX(Roster!$A:$A,MATCH($C1814,Roster!$B:$B,0))&amp;""),"—"))</f>
        <v/>
      </c>
      <c r="E1814" s="25">
        <f>IF($C1814="","",IFERROR(IF(INDEX(Roster!$C:$C,MATCH($C1814,Roster!$B:$B,0))="","",INDEX(Roster!$C:$C,MATCH($C1814,Roster!$B:$B,0))&amp;""),"—"))</f>
        <v/>
      </c>
      <c r="F1814" s="25">
        <f>IF($C1814="","",IFERROR(IF(INDEX(Roster!$D:$D,MATCH($C1814,Roster!$B:$B,0))="","",INDEX(Roster!$D:$D,MATCH($C1814,Roster!$B:$B,0))&amp;""),"—"))</f>
        <v/>
      </c>
      <c r="G1814" s="25">
        <f>IF($C1814="","",IFERROR(IF(INDEX(Roster!$E:$E,MATCH($C1814,Roster!$B:$B,0))="","",INDEX(Roster!$E:$E,MATCH($C1814,Roster!$B:$B,0))&amp;""),"—"))</f>
        <v/>
      </c>
      <c r="H1814" s="25">
        <f>IF($C1814="","",IFERROR(IF(INDEX(Roster!$F:$F,MATCH($C1814,Roster!$B:$B,0))="","",INDEX(Roster!$F:$F,MATCH($C1814,Roster!$B:$B,0))&amp;""),"—"))</f>
        <v/>
      </c>
      <c r="I1814" s="25">
        <f>IF($C1814="","",IFERROR(IF(INDEX(Roster!$G:$G,MATCH($C1814,Roster!$B:$B,0))="","",INDEX(Roster!$G:$G,MATCH($C1814,Roster!$B:$B,0))&amp;""),"—"))</f>
        <v/>
      </c>
      <c r="J1814" s="25">
        <f>IF($C1814="","",IFERROR(IF(INDEX(Roster!$I:$I,MATCH($C1814,Roster!$B:$B,0))="","",INDEX(Roster!$I:$I,MATCH($C1814,Roster!$B:$B,0))&amp;""),"—"))</f>
        <v/>
      </c>
      <c r="K1814">
        <f>IF($C1814="","",IFERROR(IF(INDEX(Roster!$J:$J,MATCH($C1814,Roster!$B:$B,0))="","",INDEX(Roster!$J:$J,MATCH($C1814,Roster!$B:$B,0))&amp;""),"—"))</f>
        <v/>
      </c>
      <c r="L1814">
        <f>IF($C1814="","",IFERROR(IF(INDEX(Roster!$K:$K,MATCH($C1814,Roster!$B:$B,0))="","",INDEX(Roster!$K:$K,MATCH($C1814,Roster!$B:$B,0))&amp;""),"—"))</f>
        <v/>
      </c>
      <c r="M1814" s="27" t="n"/>
      <c r="N1814" s="27" t="n"/>
      <c r="O1814" s="25">
        <f>IF($C1814="","",IF($P1814="","—",IF($P1814="Valid (Pass)","Valid","Invalid")))</f>
        <v/>
      </c>
      <c r="P1814" s="27" t="n"/>
      <c r="Q1814" s="27" t="n"/>
      <c r="R1814" s="27" t="n"/>
      <c r="S1814" s="27" t="n"/>
      <c r="T1814" s="25">
        <f>IF($C1814="","",IF(OR(ISNUMBER(SEARCH("quick case",$P1814)),ISNUMBER(SEARCH("quick case",$Q1814))),"Yes","No"))</f>
        <v/>
      </c>
      <c r="U1814" s="25">
        <f>IF($O1814="Invalid",HYPERLINK("mailto:"&amp;$G1814&amp;";"&amp;$I1814&amp;"?cc="&amp;Lists!$E$2&amp;"&amp;subject="&amp;_xlfn.ENCODEURL("[INVALID] Quality audit monitoring completed for "&amp;UPPER($C1814))&amp;"&amp;body="&amp;_xlfn.ENCODEURL("Hi "&amp;$F1814&amp;","&amp;CHAR(10)&amp;"Good day!"&amp;CHAR(10)&amp;CHAR(10)&amp;"A quality monitoring audit has been completed for "&amp;$C1814&amp;"."&amp;CHAR(10)&amp;CHAR(10)&amp;"QUALITY AUDIT DETAILS"&amp;CHAR(10)&amp;"Agent Name: "&amp;$C1814&amp;" (EID "&amp;$D1814&amp;")"&amp;CHAR(10)&amp;"Audit Date: "&amp;TEXT($B1814,"yyyy-mm-dd")&amp;CHAR(10)&amp;"Team Leader: "&amp;$F1814&amp;CHAR(10)&amp;"Case Number: "&amp;$M1814&amp;CHAR(10)&amp;"Transaction ID: "&amp;$N1814&amp;CHAR(10)&amp;"Channel / LOB: "&amp;$K1814&amp;" / "&amp;$L1814&amp;CHAR(10)&amp;"Evaluator: "&amp;$S1814&amp;CHAR(10)&amp;CHAR(10)&amp;"INVALID QUALITY AUDIT DETAILS"&amp;CHAR(10)&amp;"Validation: Invalid"&amp;CHAR(10)&amp;"Invalid Reason: "&amp;$P1814&amp;CHAR(10)&amp;"Expected Resolution Code: "&amp;$Q1814&amp;CHAR(10)&amp;"Remarks: "&amp;LEFT($R1814,600)&amp;CHAR(10)&amp;CHAR(10)&amp;"This is an automated notification from HP Mainstream EQMS."),"✉ Open Email Draft"),"")</f>
        <v/>
      </c>
    </row>
    <row r="1815">
      <c r="A1815" s="25">
        <f>IF($C1815="","","AUD-2026-"&amp;TEXT(ROW()-1,"000000"))</f>
        <v/>
      </c>
      <c r="B1815" s="26" t="n"/>
      <c r="C1815" s="27" t="n"/>
      <c r="D1815" s="25">
        <f>IF($C1815="","",IFERROR(IF(INDEX(Roster!$A:$A,MATCH($C1815,Roster!$B:$B,0))="","",INDEX(Roster!$A:$A,MATCH($C1815,Roster!$B:$B,0))&amp;""),"—"))</f>
        <v/>
      </c>
      <c r="E1815" s="25">
        <f>IF($C1815="","",IFERROR(IF(INDEX(Roster!$C:$C,MATCH($C1815,Roster!$B:$B,0))="","",INDEX(Roster!$C:$C,MATCH($C1815,Roster!$B:$B,0))&amp;""),"—"))</f>
        <v/>
      </c>
      <c r="F1815" s="25">
        <f>IF($C1815="","",IFERROR(IF(INDEX(Roster!$D:$D,MATCH($C1815,Roster!$B:$B,0))="","",INDEX(Roster!$D:$D,MATCH($C1815,Roster!$B:$B,0))&amp;""),"—"))</f>
        <v/>
      </c>
      <c r="G1815" s="25">
        <f>IF($C1815="","",IFERROR(IF(INDEX(Roster!$E:$E,MATCH($C1815,Roster!$B:$B,0))="","",INDEX(Roster!$E:$E,MATCH($C1815,Roster!$B:$B,0))&amp;""),"—"))</f>
        <v/>
      </c>
      <c r="H1815" s="25">
        <f>IF($C1815="","",IFERROR(IF(INDEX(Roster!$F:$F,MATCH($C1815,Roster!$B:$B,0))="","",INDEX(Roster!$F:$F,MATCH($C1815,Roster!$B:$B,0))&amp;""),"—"))</f>
        <v/>
      </c>
      <c r="I1815" s="25">
        <f>IF($C1815="","",IFERROR(IF(INDEX(Roster!$G:$G,MATCH($C1815,Roster!$B:$B,0))="","",INDEX(Roster!$G:$G,MATCH($C1815,Roster!$B:$B,0))&amp;""),"—"))</f>
        <v/>
      </c>
      <c r="J1815" s="25">
        <f>IF($C1815="","",IFERROR(IF(INDEX(Roster!$I:$I,MATCH($C1815,Roster!$B:$B,0))="","",INDEX(Roster!$I:$I,MATCH($C1815,Roster!$B:$B,0))&amp;""),"—"))</f>
        <v/>
      </c>
      <c r="K1815">
        <f>IF($C1815="","",IFERROR(IF(INDEX(Roster!$J:$J,MATCH($C1815,Roster!$B:$B,0))="","",INDEX(Roster!$J:$J,MATCH($C1815,Roster!$B:$B,0))&amp;""),"—"))</f>
        <v/>
      </c>
      <c r="L1815">
        <f>IF($C1815="","",IFERROR(IF(INDEX(Roster!$K:$K,MATCH($C1815,Roster!$B:$B,0))="","",INDEX(Roster!$K:$K,MATCH($C1815,Roster!$B:$B,0))&amp;""),"—"))</f>
        <v/>
      </c>
      <c r="M1815" s="27" t="n"/>
      <c r="N1815" s="27" t="n"/>
      <c r="O1815" s="25">
        <f>IF($C1815="","",IF($P1815="","—",IF($P1815="Valid (Pass)","Valid","Invalid")))</f>
        <v/>
      </c>
      <c r="P1815" s="27" t="n"/>
      <c r="Q1815" s="27" t="n"/>
      <c r="R1815" s="27" t="n"/>
      <c r="S1815" s="27" t="n"/>
      <c r="T1815" s="25">
        <f>IF($C1815="","",IF(OR(ISNUMBER(SEARCH("quick case",$P1815)),ISNUMBER(SEARCH("quick case",$Q1815))),"Yes","No"))</f>
        <v/>
      </c>
      <c r="U1815" s="25">
        <f>IF($O1815="Invalid",HYPERLINK("mailto:"&amp;$G1815&amp;";"&amp;$I1815&amp;"?cc="&amp;Lists!$E$2&amp;"&amp;subject="&amp;_xlfn.ENCODEURL("[INVALID] Quality audit monitoring completed for "&amp;UPPER($C1815))&amp;"&amp;body="&amp;_xlfn.ENCODEURL("Hi "&amp;$F1815&amp;","&amp;CHAR(10)&amp;"Good day!"&amp;CHAR(10)&amp;CHAR(10)&amp;"A quality monitoring audit has been completed for "&amp;$C1815&amp;"."&amp;CHAR(10)&amp;CHAR(10)&amp;"QUALITY AUDIT DETAILS"&amp;CHAR(10)&amp;"Agent Name: "&amp;$C1815&amp;" (EID "&amp;$D1815&amp;")"&amp;CHAR(10)&amp;"Audit Date: "&amp;TEXT($B1815,"yyyy-mm-dd")&amp;CHAR(10)&amp;"Team Leader: "&amp;$F1815&amp;CHAR(10)&amp;"Case Number: "&amp;$M1815&amp;CHAR(10)&amp;"Transaction ID: "&amp;$N1815&amp;CHAR(10)&amp;"Channel / LOB: "&amp;$K1815&amp;" / "&amp;$L1815&amp;CHAR(10)&amp;"Evaluator: "&amp;$S1815&amp;CHAR(10)&amp;CHAR(10)&amp;"INVALID QUALITY AUDIT DETAILS"&amp;CHAR(10)&amp;"Validation: Invalid"&amp;CHAR(10)&amp;"Invalid Reason: "&amp;$P1815&amp;CHAR(10)&amp;"Expected Resolution Code: "&amp;$Q1815&amp;CHAR(10)&amp;"Remarks: "&amp;LEFT($R1815,600)&amp;CHAR(10)&amp;CHAR(10)&amp;"This is an automated notification from HP Mainstream EQMS."),"✉ Open Email Draft"),"")</f>
        <v/>
      </c>
    </row>
    <row r="1816">
      <c r="A1816" s="25">
        <f>IF($C1816="","","AUD-2026-"&amp;TEXT(ROW()-1,"000000"))</f>
        <v/>
      </c>
      <c r="B1816" s="26" t="n"/>
      <c r="C1816" s="27" t="n"/>
      <c r="D1816" s="25">
        <f>IF($C1816="","",IFERROR(IF(INDEX(Roster!$A:$A,MATCH($C1816,Roster!$B:$B,0))="","",INDEX(Roster!$A:$A,MATCH($C1816,Roster!$B:$B,0))&amp;""),"—"))</f>
        <v/>
      </c>
      <c r="E1816" s="25">
        <f>IF($C1816="","",IFERROR(IF(INDEX(Roster!$C:$C,MATCH($C1816,Roster!$B:$B,0))="","",INDEX(Roster!$C:$C,MATCH($C1816,Roster!$B:$B,0))&amp;""),"—"))</f>
        <v/>
      </c>
      <c r="F1816" s="25">
        <f>IF($C1816="","",IFERROR(IF(INDEX(Roster!$D:$D,MATCH($C1816,Roster!$B:$B,0))="","",INDEX(Roster!$D:$D,MATCH($C1816,Roster!$B:$B,0))&amp;""),"—"))</f>
        <v/>
      </c>
      <c r="G1816" s="25">
        <f>IF($C1816="","",IFERROR(IF(INDEX(Roster!$E:$E,MATCH($C1816,Roster!$B:$B,0))="","",INDEX(Roster!$E:$E,MATCH($C1816,Roster!$B:$B,0))&amp;""),"—"))</f>
        <v/>
      </c>
      <c r="H1816" s="25">
        <f>IF($C1816="","",IFERROR(IF(INDEX(Roster!$F:$F,MATCH($C1816,Roster!$B:$B,0))="","",INDEX(Roster!$F:$F,MATCH($C1816,Roster!$B:$B,0))&amp;""),"—"))</f>
        <v/>
      </c>
      <c r="I1816" s="25">
        <f>IF($C1816="","",IFERROR(IF(INDEX(Roster!$G:$G,MATCH($C1816,Roster!$B:$B,0))="","",INDEX(Roster!$G:$G,MATCH($C1816,Roster!$B:$B,0))&amp;""),"—"))</f>
        <v/>
      </c>
      <c r="J1816" s="25">
        <f>IF($C1816="","",IFERROR(IF(INDEX(Roster!$I:$I,MATCH($C1816,Roster!$B:$B,0))="","",INDEX(Roster!$I:$I,MATCH($C1816,Roster!$B:$B,0))&amp;""),"—"))</f>
        <v/>
      </c>
      <c r="K1816">
        <f>IF($C1816="","",IFERROR(IF(INDEX(Roster!$J:$J,MATCH($C1816,Roster!$B:$B,0))="","",INDEX(Roster!$J:$J,MATCH($C1816,Roster!$B:$B,0))&amp;""),"—"))</f>
        <v/>
      </c>
      <c r="L1816">
        <f>IF($C1816="","",IFERROR(IF(INDEX(Roster!$K:$K,MATCH($C1816,Roster!$B:$B,0))="","",INDEX(Roster!$K:$K,MATCH($C1816,Roster!$B:$B,0))&amp;""),"—"))</f>
        <v/>
      </c>
      <c r="M1816" s="27" t="n"/>
      <c r="N1816" s="27" t="n"/>
      <c r="O1816" s="25">
        <f>IF($C1816="","",IF($P1816="","—",IF($P1816="Valid (Pass)","Valid","Invalid")))</f>
        <v/>
      </c>
      <c r="P1816" s="27" t="n"/>
      <c r="Q1816" s="27" t="n"/>
      <c r="R1816" s="27" t="n"/>
      <c r="S1816" s="27" t="n"/>
      <c r="T1816" s="25">
        <f>IF($C1816="","",IF(OR(ISNUMBER(SEARCH("quick case",$P1816)),ISNUMBER(SEARCH("quick case",$Q1816))),"Yes","No"))</f>
        <v/>
      </c>
      <c r="U1816" s="25">
        <f>IF($O1816="Invalid",HYPERLINK("mailto:"&amp;$G1816&amp;";"&amp;$I1816&amp;"?cc="&amp;Lists!$E$2&amp;"&amp;subject="&amp;_xlfn.ENCODEURL("[INVALID] Quality audit monitoring completed for "&amp;UPPER($C1816))&amp;"&amp;body="&amp;_xlfn.ENCODEURL("Hi "&amp;$F1816&amp;","&amp;CHAR(10)&amp;"Good day!"&amp;CHAR(10)&amp;CHAR(10)&amp;"A quality monitoring audit has been completed for "&amp;$C1816&amp;"."&amp;CHAR(10)&amp;CHAR(10)&amp;"QUALITY AUDIT DETAILS"&amp;CHAR(10)&amp;"Agent Name: "&amp;$C1816&amp;" (EID "&amp;$D1816&amp;")"&amp;CHAR(10)&amp;"Audit Date: "&amp;TEXT($B1816,"yyyy-mm-dd")&amp;CHAR(10)&amp;"Team Leader: "&amp;$F1816&amp;CHAR(10)&amp;"Case Number: "&amp;$M1816&amp;CHAR(10)&amp;"Transaction ID: "&amp;$N1816&amp;CHAR(10)&amp;"Channel / LOB: "&amp;$K1816&amp;" / "&amp;$L1816&amp;CHAR(10)&amp;"Evaluator: "&amp;$S1816&amp;CHAR(10)&amp;CHAR(10)&amp;"INVALID QUALITY AUDIT DETAILS"&amp;CHAR(10)&amp;"Validation: Invalid"&amp;CHAR(10)&amp;"Invalid Reason: "&amp;$P1816&amp;CHAR(10)&amp;"Expected Resolution Code: "&amp;$Q1816&amp;CHAR(10)&amp;"Remarks: "&amp;LEFT($R1816,600)&amp;CHAR(10)&amp;CHAR(10)&amp;"This is an automated notification from HP Mainstream EQMS."),"✉ Open Email Draft"),"")</f>
        <v/>
      </c>
    </row>
    <row r="1817">
      <c r="A1817" s="25">
        <f>IF($C1817="","","AUD-2026-"&amp;TEXT(ROW()-1,"000000"))</f>
        <v/>
      </c>
      <c r="B1817" s="26" t="n"/>
      <c r="C1817" s="27" t="n"/>
      <c r="D1817" s="25">
        <f>IF($C1817="","",IFERROR(IF(INDEX(Roster!$A:$A,MATCH($C1817,Roster!$B:$B,0))="","",INDEX(Roster!$A:$A,MATCH($C1817,Roster!$B:$B,0))&amp;""),"—"))</f>
        <v/>
      </c>
      <c r="E1817" s="25">
        <f>IF($C1817="","",IFERROR(IF(INDEX(Roster!$C:$C,MATCH($C1817,Roster!$B:$B,0))="","",INDEX(Roster!$C:$C,MATCH($C1817,Roster!$B:$B,0))&amp;""),"—"))</f>
        <v/>
      </c>
      <c r="F1817" s="25">
        <f>IF($C1817="","",IFERROR(IF(INDEX(Roster!$D:$D,MATCH($C1817,Roster!$B:$B,0))="","",INDEX(Roster!$D:$D,MATCH($C1817,Roster!$B:$B,0))&amp;""),"—"))</f>
        <v/>
      </c>
      <c r="G1817" s="25">
        <f>IF($C1817="","",IFERROR(IF(INDEX(Roster!$E:$E,MATCH($C1817,Roster!$B:$B,0))="","",INDEX(Roster!$E:$E,MATCH($C1817,Roster!$B:$B,0))&amp;""),"—"))</f>
        <v/>
      </c>
      <c r="H1817" s="25">
        <f>IF($C1817="","",IFERROR(IF(INDEX(Roster!$F:$F,MATCH($C1817,Roster!$B:$B,0))="","",INDEX(Roster!$F:$F,MATCH($C1817,Roster!$B:$B,0))&amp;""),"—"))</f>
        <v/>
      </c>
      <c r="I1817" s="25">
        <f>IF($C1817="","",IFERROR(IF(INDEX(Roster!$G:$G,MATCH($C1817,Roster!$B:$B,0))="","",INDEX(Roster!$G:$G,MATCH($C1817,Roster!$B:$B,0))&amp;""),"—"))</f>
        <v/>
      </c>
      <c r="J1817" s="25">
        <f>IF($C1817="","",IFERROR(IF(INDEX(Roster!$I:$I,MATCH($C1817,Roster!$B:$B,0))="","",INDEX(Roster!$I:$I,MATCH($C1817,Roster!$B:$B,0))&amp;""),"—"))</f>
        <v/>
      </c>
      <c r="K1817">
        <f>IF($C1817="","",IFERROR(IF(INDEX(Roster!$J:$J,MATCH($C1817,Roster!$B:$B,0))="","",INDEX(Roster!$J:$J,MATCH($C1817,Roster!$B:$B,0))&amp;""),"—"))</f>
        <v/>
      </c>
      <c r="L1817">
        <f>IF($C1817="","",IFERROR(IF(INDEX(Roster!$K:$K,MATCH($C1817,Roster!$B:$B,0))="","",INDEX(Roster!$K:$K,MATCH($C1817,Roster!$B:$B,0))&amp;""),"—"))</f>
        <v/>
      </c>
      <c r="M1817" s="27" t="n"/>
      <c r="N1817" s="27" t="n"/>
      <c r="O1817" s="25">
        <f>IF($C1817="","",IF($P1817="","—",IF($P1817="Valid (Pass)","Valid","Invalid")))</f>
        <v/>
      </c>
      <c r="P1817" s="27" t="n"/>
      <c r="Q1817" s="27" t="n"/>
      <c r="R1817" s="27" t="n"/>
      <c r="S1817" s="27" t="n"/>
      <c r="T1817" s="25">
        <f>IF($C1817="","",IF(OR(ISNUMBER(SEARCH("quick case",$P1817)),ISNUMBER(SEARCH("quick case",$Q1817))),"Yes","No"))</f>
        <v/>
      </c>
      <c r="U1817" s="25">
        <f>IF($O1817="Invalid",HYPERLINK("mailto:"&amp;$G1817&amp;";"&amp;$I1817&amp;"?cc="&amp;Lists!$E$2&amp;"&amp;subject="&amp;_xlfn.ENCODEURL("[INVALID] Quality audit monitoring completed for "&amp;UPPER($C1817))&amp;"&amp;body="&amp;_xlfn.ENCODEURL("Hi "&amp;$F1817&amp;","&amp;CHAR(10)&amp;"Good day!"&amp;CHAR(10)&amp;CHAR(10)&amp;"A quality monitoring audit has been completed for "&amp;$C1817&amp;"."&amp;CHAR(10)&amp;CHAR(10)&amp;"QUALITY AUDIT DETAILS"&amp;CHAR(10)&amp;"Agent Name: "&amp;$C1817&amp;" (EID "&amp;$D1817&amp;")"&amp;CHAR(10)&amp;"Audit Date: "&amp;TEXT($B1817,"yyyy-mm-dd")&amp;CHAR(10)&amp;"Team Leader: "&amp;$F1817&amp;CHAR(10)&amp;"Case Number: "&amp;$M1817&amp;CHAR(10)&amp;"Transaction ID: "&amp;$N1817&amp;CHAR(10)&amp;"Channel / LOB: "&amp;$K1817&amp;" / "&amp;$L1817&amp;CHAR(10)&amp;"Evaluator: "&amp;$S1817&amp;CHAR(10)&amp;CHAR(10)&amp;"INVALID QUALITY AUDIT DETAILS"&amp;CHAR(10)&amp;"Validation: Invalid"&amp;CHAR(10)&amp;"Invalid Reason: "&amp;$P1817&amp;CHAR(10)&amp;"Expected Resolution Code: "&amp;$Q1817&amp;CHAR(10)&amp;"Remarks: "&amp;LEFT($R1817,600)&amp;CHAR(10)&amp;CHAR(10)&amp;"This is an automated notification from HP Mainstream EQMS."),"✉ Open Email Draft"),"")</f>
        <v/>
      </c>
    </row>
    <row r="1818">
      <c r="A1818" s="25">
        <f>IF($C1818="","","AUD-2026-"&amp;TEXT(ROW()-1,"000000"))</f>
        <v/>
      </c>
      <c r="B1818" s="26" t="n"/>
      <c r="C1818" s="27" t="n"/>
      <c r="D1818" s="25">
        <f>IF($C1818="","",IFERROR(IF(INDEX(Roster!$A:$A,MATCH($C1818,Roster!$B:$B,0))="","",INDEX(Roster!$A:$A,MATCH($C1818,Roster!$B:$B,0))&amp;""),"—"))</f>
        <v/>
      </c>
      <c r="E1818" s="25">
        <f>IF($C1818="","",IFERROR(IF(INDEX(Roster!$C:$C,MATCH($C1818,Roster!$B:$B,0))="","",INDEX(Roster!$C:$C,MATCH($C1818,Roster!$B:$B,0))&amp;""),"—"))</f>
        <v/>
      </c>
      <c r="F1818" s="25">
        <f>IF($C1818="","",IFERROR(IF(INDEX(Roster!$D:$D,MATCH($C1818,Roster!$B:$B,0))="","",INDEX(Roster!$D:$D,MATCH($C1818,Roster!$B:$B,0))&amp;""),"—"))</f>
        <v/>
      </c>
      <c r="G1818" s="25">
        <f>IF($C1818="","",IFERROR(IF(INDEX(Roster!$E:$E,MATCH($C1818,Roster!$B:$B,0))="","",INDEX(Roster!$E:$E,MATCH($C1818,Roster!$B:$B,0))&amp;""),"—"))</f>
        <v/>
      </c>
      <c r="H1818" s="25">
        <f>IF($C1818="","",IFERROR(IF(INDEX(Roster!$F:$F,MATCH($C1818,Roster!$B:$B,0))="","",INDEX(Roster!$F:$F,MATCH($C1818,Roster!$B:$B,0))&amp;""),"—"))</f>
        <v/>
      </c>
      <c r="I1818" s="25">
        <f>IF($C1818="","",IFERROR(IF(INDEX(Roster!$G:$G,MATCH($C1818,Roster!$B:$B,0))="","",INDEX(Roster!$G:$G,MATCH($C1818,Roster!$B:$B,0))&amp;""),"—"))</f>
        <v/>
      </c>
      <c r="J1818" s="25">
        <f>IF($C1818="","",IFERROR(IF(INDEX(Roster!$I:$I,MATCH($C1818,Roster!$B:$B,0))="","",INDEX(Roster!$I:$I,MATCH($C1818,Roster!$B:$B,0))&amp;""),"—"))</f>
        <v/>
      </c>
      <c r="K1818">
        <f>IF($C1818="","",IFERROR(IF(INDEX(Roster!$J:$J,MATCH($C1818,Roster!$B:$B,0))="","",INDEX(Roster!$J:$J,MATCH($C1818,Roster!$B:$B,0))&amp;""),"—"))</f>
        <v/>
      </c>
      <c r="L1818">
        <f>IF($C1818="","",IFERROR(IF(INDEX(Roster!$K:$K,MATCH($C1818,Roster!$B:$B,0))="","",INDEX(Roster!$K:$K,MATCH($C1818,Roster!$B:$B,0))&amp;""),"—"))</f>
        <v/>
      </c>
      <c r="M1818" s="27" t="n"/>
      <c r="N1818" s="27" t="n"/>
      <c r="O1818" s="25">
        <f>IF($C1818="","",IF($P1818="","—",IF($P1818="Valid (Pass)","Valid","Invalid")))</f>
        <v/>
      </c>
      <c r="P1818" s="27" t="n"/>
      <c r="Q1818" s="27" t="n"/>
      <c r="R1818" s="27" t="n"/>
      <c r="S1818" s="27" t="n"/>
      <c r="T1818" s="25">
        <f>IF($C1818="","",IF(OR(ISNUMBER(SEARCH("quick case",$P1818)),ISNUMBER(SEARCH("quick case",$Q1818))),"Yes","No"))</f>
        <v/>
      </c>
      <c r="U1818" s="25">
        <f>IF($O1818="Invalid",HYPERLINK("mailto:"&amp;$G1818&amp;";"&amp;$I1818&amp;"?cc="&amp;Lists!$E$2&amp;"&amp;subject="&amp;_xlfn.ENCODEURL("[INVALID] Quality audit monitoring completed for "&amp;UPPER($C1818))&amp;"&amp;body="&amp;_xlfn.ENCODEURL("Hi "&amp;$F1818&amp;","&amp;CHAR(10)&amp;"Good day!"&amp;CHAR(10)&amp;CHAR(10)&amp;"A quality monitoring audit has been completed for "&amp;$C1818&amp;"."&amp;CHAR(10)&amp;CHAR(10)&amp;"QUALITY AUDIT DETAILS"&amp;CHAR(10)&amp;"Agent Name: "&amp;$C1818&amp;" (EID "&amp;$D1818&amp;")"&amp;CHAR(10)&amp;"Audit Date: "&amp;TEXT($B1818,"yyyy-mm-dd")&amp;CHAR(10)&amp;"Team Leader: "&amp;$F1818&amp;CHAR(10)&amp;"Case Number: "&amp;$M1818&amp;CHAR(10)&amp;"Transaction ID: "&amp;$N1818&amp;CHAR(10)&amp;"Channel / LOB: "&amp;$K1818&amp;" / "&amp;$L1818&amp;CHAR(10)&amp;"Evaluator: "&amp;$S1818&amp;CHAR(10)&amp;CHAR(10)&amp;"INVALID QUALITY AUDIT DETAILS"&amp;CHAR(10)&amp;"Validation: Invalid"&amp;CHAR(10)&amp;"Invalid Reason: "&amp;$P1818&amp;CHAR(10)&amp;"Expected Resolution Code: "&amp;$Q1818&amp;CHAR(10)&amp;"Remarks: "&amp;LEFT($R1818,600)&amp;CHAR(10)&amp;CHAR(10)&amp;"This is an automated notification from HP Mainstream EQMS."),"✉ Open Email Draft"),"")</f>
        <v/>
      </c>
    </row>
    <row r="1819">
      <c r="A1819" s="25">
        <f>IF($C1819="","","AUD-2026-"&amp;TEXT(ROW()-1,"000000"))</f>
        <v/>
      </c>
      <c r="B1819" s="26" t="n"/>
      <c r="C1819" s="27" t="n"/>
      <c r="D1819" s="25">
        <f>IF($C1819="","",IFERROR(IF(INDEX(Roster!$A:$A,MATCH($C1819,Roster!$B:$B,0))="","",INDEX(Roster!$A:$A,MATCH($C1819,Roster!$B:$B,0))&amp;""),"—"))</f>
        <v/>
      </c>
      <c r="E1819" s="25">
        <f>IF($C1819="","",IFERROR(IF(INDEX(Roster!$C:$C,MATCH($C1819,Roster!$B:$B,0))="","",INDEX(Roster!$C:$C,MATCH($C1819,Roster!$B:$B,0))&amp;""),"—"))</f>
        <v/>
      </c>
      <c r="F1819" s="25">
        <f>IF($C1819="","",IFERROR(IF(INDEX(Roster!$D:$D,MATCH($C1819,Roster!$B:$B,0))="","",INDEX(Roster!$D:$D,MATCH($C1819,Roster!$B:$B,0))&amp;""),"—"))</f>
        <v/>
      </c>
      <c r="G1819" s="25">
        <f>IF($C1819="","",IFERROR(IF(INDEX(Roster!$E:$E,MATCH($C1819,Roster!$B:$B,0))="","",INDEX(Roster!$E:$E,MATCH($C1819,Roster!$B:$B,0))&amp;""),"—"))</f>
        <v/>
      </c>
      <c r="H1819" s="25">
        <f>IF($C1819="","",IFERROR(IF(INDEX(Roster!$F:$F,MATCH($C1819,Roster!$B:$B,0))="","",INDEX(Roster!$F:$F,MATCH($C1819,Roster!$B:$B,0))&amp;""),"—"))</f>
        <v/>
      </c>
      <c r="I1819" s="25">
        <f>IF($C1819="","",IFERROR(IF(INDEX(Roster!$G:$G,MATCH($C1819,Roster!$B:$B,0))="","",INDEX(Roster!$G:$G,MATCH($C1819,Roster!$B:$B,0))&amp;""),"—"))</f>
        <v/>
      </c>
      <c r="J1819" s="25">
        <f>IF($C1819="","",IFERROR(IF(INDEX(Roster!$I:$I,MATCH($C1819,Roster!$B:$B,0))="","",INDEX(Roster!$I:$I,MATCH($C1819,Roster!$B:$B,0))&amp;""),"—"))</f>
        <v/>
      </c>
      <c r="K1819">
        <f>IF($C1819="","",IFERROR(IF(INDEX(Roster!$J:$J,MATCH($C1819,Roster!$B:$B,0))="","",INDEX(Roster!$J:$J,MATCH($C1819,Roster!$B:$B,0))&amp;""),"—"))</f>
        <v/>
      </c>
      <c r="L1819">
        <f>IF($C1819="","",IFERROR(IF(INDEX(Roster!$K:$K,MATCH($C1819,Roster!$B:$B,0))="","",INDEX(Roster!$K:$K,MATCH($C1819,Roster!$B:$B,0))&amp;""),"—"))</f>
        <v/>
      </c>
      <c r="M1819" s="27" t="n"/>
      <c r="N1819" s="27" t="n"/>
      <c r="O1819" s="25">
        <f>IF($C1819="","",IF($P1819="","—",IF($P1819="Valid (Pass)","Valid","Invalid")))</f>
        <v/>
      </c>
      <c r="P1819" s="27" t="n"/>
      <c r="Q1819" s="27" t="n"/>
      <c r="R1819" s="27" t="n"/>
      <c r="S1819" s="27" t="n"/>
      <c r="T1819" s="25">
        <f>IF($C1819="","",IF(OR(ISNUMBER(SEARCH("quick case",$P1819)),ISNUMBER(SEARCH("quick case",$Q1819))),"Yes","No"))</f>
        <v/>
      </c>
      <c r="U1819" s="25">
        <f>IF($O1819="Invalid",HYPERLINK("mailto:"&amp;$G1819&amp;";"&amp;$I1819&amp;"?cc="&amp;Lists!$E$2&amp;"&amp;subject="&amp;_xlfn.ENCODEURL("[INVALID] Quality audit monitoring completed for "&amp;UPPER($C1819))&amp;"&amp;body="&amp;_xlfn.ENCODEURL("Hi "&amp;$F1819&amp;","&amp;CHAR(10)&amp;"Good day!"&amp;CHAR(10)&amp;CHAR(10)&amp;"A quality monitoring audit has been completed for "&amp;$C1819&amp;"."&amp;CHAR(10)&amp;CHAR(10)&amp;"QUALITY AUDIT DETAILS"&amp;CHAR(10)&amp;"Agent Name: "&amp;$C1819&amp;" (EID "&amp;$D1819&amp;")"&amp;CHAR(10)&amp;"Audit Date: "&amp;TEXT($B1819,"yyyy-mm-dd")&amp;CHAR(10)&amp;"Team Leader: "&amp;$F1819&amp;CHAR(10)&amp;"Case Number: "&amp;$M1819&amp;CHAR(10)&amp;"Transaction ID: "&amp;$N1819&amp;CHAR(10)&amp;"Channel / LOB: "&amp;$K1819&amp;" / "&amp;$L1819&amp;CHAR(10)&amp;"Evaluator: "&amp;$S1819&amp;CHAR(10)&amp;CHAR(10)&amp;"INVALID QUALITY AUDIT DETAILS"&amp;CHAR(10)&amp;"Validation: Invalid"&amp;CHAR(10)&amp;"Invalid Reason: "&amp;$P1819&amp;CHAR(10)&amp;"Expected Resolution Code: "&amp;$Q1819&amp;CHAR(10)&amp;"Remarks: "&amp;LEFT($R1819,600)&amp;CHAR(10)&amp;CHAR(10)&amp;"This is an automated notification from HP Mainstream EQMS."),"✉ Open Email Draft"),"")</f>
        <v/>
      </c>
    </row>
    <row r="1820">
      <c r="A1820" s="25">
        <f>IF($C1820="","","AUD-2026-"&amp;TEXT(ROW()-1,"000000"))</f>
        <v/>
      </c>
      <c r="B1820" s="26" t="n"/>
      <c r="C1820" s="27" t="n"/>
      <c r="D1820" s="25">
        <f>IF($C1820="","",IFERROR(IF(INDEX(Roster!$A:$A,MATCH($C1820,Roster!$B:$B,0))="","",INDEX(Roster!$A:$A,MATCH($C1820,Roster!$B:$B,0))&amp;""),"—"))</f>
        <v/>
      </c>
      <c r="E1820" s="25">
        <f>IF($C1820="","",IFERROR(IF(INDEX(Roster!$C:$C,MATCH($C1820,Roster!$B:$B,0))="","",INDEX(Roster!$C:$C,MATCH($C1820,Roster!$B:$B,0))&amp;""),"—"))</f>
        <v/>
      </c>
      <c r="F1820" s="25">
        <f>IF($C1820="","",IFERROR(IF(INDEX(Roster!$D:$D,MATCH($C1820,Roster!$B:$B,0))="","",INDEX(Roster!$D:$D,MATCH($C1820,Roster!$B:$B,0))&amp;""),"—"))</f>
        <v/>
      </c>
      <c r="G1820" s="25">
        <f>IF($C1820="","",IFERROR(IF(INDEX(Roster!$E:$E,MATCH($C1820,Roster!$B:$B,0))="","",INDEX(Roster!$E:$E,MATCH($C1820,Roster!$B:$B,0))&amp;""),"—"))</f>
        <v/>
      </c>
      <c r="H1820" s="25">
        <f>IF($C1820="","",IFERROR(IF(INDEX(Roster!$F:$F,MATCH($C1820,Roster!$B:$B,0))="","",INDEX(Roster!$F:$F,MATCH($C1820,Roster!$B:$B,0))&amp;""),"—"))</f>
        <v/>
      </c>
      <c r="I1820" s="25">
        <f>IF($C1820="","",IFERROR(IF(INDEX(Roster!$G:$G,MATCH($C1820,Roster!$B:$B,0))="","",INDEX(Roster!$G:$G,MATCH($C1820,Roster!$B:$B,0))&amp;""),"—"))</f>
        <v/>
      </c>
      <c r="J1820" s="25">
        <f>IF($C1820="","",IFERROR(IF(INDEX(Roster!$I:$I,MATCH($C1820,Roster!$B:$B,0))="","",INDEX(Roster!$I:$I,MATCH($C1820,Roster!$B:$B,0))&amp;""),"—"))</f>
        <v/>
      </c>
      <c r="K1820">
        <f>IF($C1820="","",IFERROR(IF(INDEX(Roster!$J:$J,MATCH($C1820,Roster!$B:$B,0))="","",INDEX(Roster!$J:$J,MATCH($C1820,Roster!$B:$B,0))&amp;""),"—"))</f>
        <v/>
      </c>
      <c r="L1820">
        <f>IF($C1820="","",IFERROR(IF(INDEX(Roster!$K:$K,MATCH($C1820,Roster!$B:$B,0))="","",INDEX(Roster!$K:$K,MATCH($C1820,Roster!$B:$B,0))&amp;""),"—"))</f>
        <v/>
      </c>
      <c r="M1820" s="27" t="n"/>
      <c r="N1820" s="27" t="n"/>
      <c r="O1820" s="25">
        <f>IF($C1820="","",IF($P1820="","—",IF($P1820="Valid (Pass)","Valid","Invalid")))</f>
        <v/>
      </c>
      <c r="P1820" s="27" t="n"/>
      <c r="Q1820" s="27" t="n"/>
      <c r="R1820" s="27" t="n"/>
      <c r="S1820" s="27" t="n"/>
      <c r="T1820" s="25">
        <f>IF($C1820="","",IF(OR(ISNUMBER(SEARCH("quick case",$P1820)),ISNUMBER(SEARCH("quick case",$Q1820))),"Yes","No"))</f>
        <v/>
      </c>
      <c r="U1820" s="25">
        <f>IF($O1820="Invalid",HYPERLINK("mailto:"&amp;$G1820&amp;";"&amp;$I1820&amp;"?cc="&amp;Lists!$E$2&amp;"&amp;subject="&amp;_xlfn.ENCODEURL("[INVALID] Quality audit monitoring completed for "&amp;UPPER($C1820))&amp;"&amp;body="&amp;_xlfn.ENCODEURL("Hi "&amp;$F1820&amp;","&amp;CHAR(10)&amp;"Good day!"&amp;CHAR(10)&amp;CHAR(10)&amp;"A quality monitoring audit has been completed for "&amp;$C1820&amp;"."&amp;CHAR(10)&amp;CHAR(10)&amp;"QUALITY AUDIT DETAILS"&amp;CHAR(10)&amp;"Agent Name: "&amp;$C1820&amp;" (EID "&amp;$D1820&amp;")"&amp;CHAR(10)&amp;"Audit Date: "&amp;TEXT($B1820,"yyyy-mm-dd")&amp;CHAR(10)&amp;"Team Leader: "&amp;$F1820&amp;CHAR(10)&amp;"Case Number: "&amp;$M1820&amp;CHAR(10)&amp;"Transaction ID: "&amp;$N1820&amp;CHAR(10)&amp;"Channel / LOB: "&amp;$K1820&amp;" / "&amp;$L1820&amp;CHAR(10)&amp;"Evaluator: "&amp;$S1820&amp;CHAR(10)&amp;CHAR(10)&amp;"INVALID QUALITY AUDIT DETAILS"&amp;CHAR(10)&amp;"Validation: Invalid"&amp;CHAR(10)&amp;"Invalid Reason: "&amp;$P1820&amp;CHAR(10)&amp;"Expected Resolution Code: "&amp;$Q1820&amp;CHAR(10)&amp;"Remarks: "&amp;LEFT($R1820,600)&amp;CHAR(10)&amp;CHAR(10)&amp;"This is an automated notification from HP Mainstream EQMS."),"✉ Open Email Draft"),"")</f>
        <v/>
      </c>
    </row>
    <row r="1821">
      <c r="A1821" s="25">
        <f>IF($C1821="","","AUD-2026-"&amp;TEXT(ROW()-1,"000000"))</f>
        <v/>
      </c>
      <c r="B1821" s="26" t="n"/>
      <c r="C1821" s="27" t="n"/>
      <c r="D1821" s="25">
        <f>IF($C1821="","",IFERROR(IF(INDEX(Roster!$A:$A,MATCH($C1821,Roster!$B:$B,0))="","",INDEX(Roster!$A:$A,MATCH($C1821,Roster!$B:$B,0))&amp;""),"—"))</f>
        <v/>
      </c>
      <c r="E1821" s="25">
        <f>IF($C1821="","",IFERROR(IF(INDEX(Roster!$C:$C,MATCH($C1821,Roster!$B:$B,0))="","",INDEX(Roster!$C:$C,MATCH($C1821,Roster!$B:$B,0))&amp;""),"—"))</f>
        <v/>
      </c>
      <c r="F1821" s="25">
        <f>IF($C1821="","",IFERROR(IF(INDEX(Roster!$D:$D,MATCH($C1821,Roster!$B:$B,0))="","",INDEX(Roster!$D:$D,MATCH($C1821,Roster!$B:$B,0))&amp;""),"—"))</f>
        <v/>
      </c>
      <c r="G1821" s="25">
        <f>IF($C1821="","",IFERROR(IF(INDEX(Roster!$E:$E,MATCH($C1821,Roster!$B:$B,0))="","",INDEX(Roster!$E:$E,MATCH($C1821,Roster!$B:$B,0))&amp;""),"—"))</f>
        <v/>
      </c>
      <c r="H1821" s="25">
        <f>IF($C1821="","",IFERROR(IF(INDEX(Roster!$F:$F,MATCH($C1821,Roster!$B:$B,0))="","",INDEX(Roster!$F:$F,MATCH($C1821,Roster!$B:$B,0))&amp;""),"—"))</f>
        <v/>
      </c>
      <c r="I1821" s="25">
        <f>IF($C1821="","",IFERROR(IF(INDEX(Roster!$G:$G,MATCH($C1821,Roster!$B:$B,0))="","",INDEX(Roster!$G:$G,MATCH($C1821,Roster!$B:$B,0))&amp;""),"—"))</f>
        <v/>
      </c>
      <c r="J1821" s="25">
        <f>IF($C1821="","",IFERROR(IF(INDEX(Roster!$I:$I,MATCH($C1821,Roster!$B:$B,0))="","",INDEX(Roster!$I:$I,MATCH($C1821,Roster!$B:$B,0))&amp;""),"—"))</f>
        <v/>
      </c>
      <c r="K1821">
        <f>IF($C1821="","",IFERROR(IF(INDEX(Roster!$J:$J,MATCH($C1821,Roster!$B:$B,0))="","",INDEX(Roster!$J:$J,MATCH($C1821,Roster!$B:$B,0))&amp;""),"—"))</f>
        <v/>
      </c>
      <c r="L1821">
        <f>IF($C1821="","",IFERROR(IF(INDEX(Roster!$K:$K,MATCH($C1821,Roster!$B:$B,0))="","",INDEX(Roster!$K:$K,MATCH($C1821,Roster!$B:$B,0))&amp;""),"—"))</f>
        <v/>
      </c>
      <c r="M1821" s="27" t="n"/>
      <c r="N1821" s="27" t="n"/>
      <c r="O1821" s="25">
        <f>IF($C1821="","",IF($P1821="","—",IF($P1821="Valid (Pass)","Valid","Invalid")))</f>
        <v/>
      </c>
      <c r="P1821" s="27" t="n"/>
      <c r="Q1821" s="27" t="n"/>
      <c r="R1821" s="27" t="n"/>
      <c r="S1821" s="27" t="n"/>
      <c r="T1821" s="25">
        <f>IF($C1821="","",IF(OR(ISNUMBER(SEARCH("quick case",$P1821)),ISNUMBER(SEARCH("quick case",$Q1821))),"Yes","No"))</f>
        <v/>
      </c>
      <c r="U1821" s="25">
        <f>IF($O1821="Invalid",HYPERLINK("mailto:"&amp;$G1821&amp;";"&amp;$I1821&amp;"?cc="&amp;Lists!$E$2&amp;"&amp;subject="&amp;_xlfn.ENCODEURL("[INVALID] Quality audit monitoring completed for "&amp;UPPER($C1821))&amp;"&amp;body="&amp;_xlfn.ENCODEURL("Hi "&amp;$F1821&amp;","&amp;CHAR(10)&amp;"Good day!"&amp;CHAR(10)&amp;CHAR(10)&amp;"A quality monitoring audit has been completed for "&amp;$C1821&amp;"."&amp;CHAR(10)&amp;CHAR(10)&amp;"QUALITY AUDIT DETAILS"&amp;CHAR(10)&amp;"Agent Name: "&amp;$C1821&amp;" (EID "&amp;$D1821&amp;")"&amp;CHAR(10)&amp;"Audit Date: "&amp;TEXT($B1821,"yyyy-mm-dd")&amp;CHAR(10)&amp;"Team Leader: "&amp;$F1821&amp;CHAR(10)&amp;"Case Number: "&amp;$M1821&amp;CHAR(10)&amp;"Transaction ID: "&amp;$N1821&amp;CHAR(10)&amp;"Channel / LOB: "&amp;$K1821&amp;" / "&amp;$L1821&amp;CHAR(10)&amp;"Evaluator: "&amp;$S1821&amp;CHAR(10)&amp;CHAR(10)&amp;"INVALID QUALITY AUDIT DETAILS"&amp;CHAR(10)&amp;"Validation: Invalid"&amp;CHAR(10)&amp;"Invalid Reason: "&amp;$P1821&amp;CHAR(10)&amp;"Expected Resolution Code: "&amp;$Q1821&amp;CHAR(10)&amp;"Remarks: "&amp;LEFT($R1821,600)&amp;CHAR(10)&amp;CHAR(10)&amp;"This is an automated notification from HP Mainstream EQMS."),"✉ Open Email Draft"),"")</f>
        <v/>
      </c>
    </row>
    <row r="1822">
      <c r="A1822" s="25">
        <f>IF($C1822="","","AUD-2026-"&amp;TEXT(ROW()-1,"000000"))</f>
        <v/>
      </c>
      <c r="B1822" s="26" t="n"/>
      <c r="C1822" s="27" t="n"/>
      <c r="D1822" s="25">
        <f>IF($C1822="","",IFERROR(IF(INDEX(Roster!$A:$A,MATCH($C1822,Roster!$B:$B,0))="","",INDEX(Roster!$A:$A,MATCH($C1822,Roster!$B:$B,0))&amp;""),"—"))</f>
        <v/>
      </c>
      <c r="E1822" s="25">
        <f>IF($C1822="","",IFERROR(IF(INDEX(Roster!$C:$C,MATCH($C1822,Roster!$B:$B,0))="","",INDEX(Roster!$C:$C,MATCH($C1822,Roster!$B:$B,0))&amp;""),"—"))</f>
        <v/>
      </c>
      <c r="F1822" s="25">
        <f>IF($C1822="","",IFERROR(IF(INDEX(Roster!$D:$D,MATCH($C1822,Roster!$B:$B,0))="","",INDEX(Roster!$D:$D,MATCH($C1822,Roster!$B:$B,0))&amp;""),"—"))</f>
        <v/>
      </c>
      <c r="G1822" s="25">
        <f>IF($C1822="","",IFERROR(IF(INDEX(Roster!$E:$E,MATCH($C1822,Roster!$B:$B,0))="","",INDEX(Roster!$E:$E,MATCH($C1822,Roster!$B:$B,0))&amp;""),"—"))</f>
        <v/>
      </c>
      <c r="H1822" s="25">
        <f>IF($C1822="","",IFERROR(IF(INDEX(Roster!$F:$F,MATCH($C1822,Roster!$B:$B,0))="","",INDEX(Roster!$F:$F,MATCH($C1822,Roster!$B:$B,0))&amp;""),"—"))</f>
        <v/>
      </c>
      <c r="I1822" s="25">
        <f>IF($C1822="","",IFERROR(IF(INDEX(Roster!$G:$G,MATCH($C1822,Roster!$B:$B,0))="","",INDEX(Roster!$G:$G,MATCH($C1822,Roster!$B:$B,0))&amp;""),"—"))</f>
        <v/>
      </c>
      <c r="J1822" s="25">
        <f>IF($C1822="","",IFERROR(IF(INDEX(Roster!$I:$I,MATCH($C1822,Roster!$B:$B,0))="","",INDEX(Roster!$I:$I,MATCH($C1822,Roster!$B:$B,0))&amp;""),"—"))</f>
        <v/>
      </c>
      <c r="K1822">
        <f>IF($C1822="","",IFERROR(IF(INDEX(Roster!$J:$J,MATCH($C1822,Roster!$B:$B,0))="","",INDEX(Roster!$J:$J,MATCH($C1822,Roster!$B:$B,0))&amp;""),"—"))</f>
        <v/>
      </c>
      <c r="L1822">
        <f>IF($C1822="","",IFERROR(IF(INDEX(Roster!$K:$K,MATCH($C1822,Roster!$B:$B,0))="","",INDEX(Roster!$K:$K,MATCH($C1822,Roster!$B:$B,0))&amp;""),"—"))</f>
        <v/>
      </c>
      <c r="M1822" s="27" t="n"/>
      <c r="N1822" s="27" t="n"/>
      <c r="O1822" s="25">
        <f>IF($C1822="","",IF($P1822="","—",IF($P1822="Valid (Pass)","Valid","Invalid")))</f>
        <v/>
      </c>
      <c r="P1822" s="27" t="n"/>
      <c r="Q1822" s="27" t="n"/>
      <c r="R1822" s="27" t="n"/>
      <c r="S1822" s="27" t="n"/>
      <c r="T1822" s="25">
        <f>IF($C1822="","",IF(OR(ISNUMBER(SEARCH("quick case",$P1822)),ISNUMBER(SEARCH("quick case",$Q1822))),"Yes","No"))</f>
        <v/>
      </c>
      <c r="U1822" s="25">
        <f>IF($O1822="Invalid",HYPERLINK("mailto:"&amp;$G1822&amp;";"&amp;$I1822&amp;"?cc="&amp;Lists!$E$2&amp;"&amp;subject="&amp;_xlfn.ENCODEURL("[INVALID] Quality audit monitoring completed for "&amp;UPPER($C1822))&amp;"&amp;body="&amp;_xlfn.ENCODEURL("Hi "&amp;$F1822&amp;","&amp;CHAR(10)&amp;"Good day!"&amp;CHAR(10)&amp;CHAR(10)&amp;"A quality monitoring audit has been completed for "&amp;$C1822&amp;"."&amp;CHAR(10)&amp;CHAR(10)&amp;"QUALITY AUDIT DETAILS"&amp;CHAR(10)&amp;"Agent Name: "&amp;$C1822&amp;" (EID "&amp;$D1822&amp;")"&amp;CHAR(10)&amp;"Audit Date: "&amp;TEXT($B1822,"yyyy-mm-dd")&amp;CHAR(10)&amp;"Team Leader: "&amp;$F1822&amp;CHAR(10)&amp;"Case Number: "&amp;$M1822&amp;CHAR(10)&amp;"Transaction ID: "&amp;$N1822&amp;CHAR(10)&amp;"Channel / LOB: "&amp;$K1822&amp;" / "&amp;$L1822&amp;CHAR(10)&amp;"Evaluator: "&amp;$S1822&amp;CHAR(10)&amp;CHAR(10)&amp;"INVALID QUALITY AUDIT DETAILS"&amp;CHAR(10)&amp;"Validation: Invalid"&amp;CHAR(10)&amp;"Invalid Reason: "&amp;$P1822&amp;CHAR(10)&amp;"Expected Resolution Code: "&amp;$Q1822&amp;CHAR(10)&amp;"Remarks: "&amp;LEFT($R1822,600)&amp;CHAR(10)&amp;CHAR(10)&amp;"This is an automated notification from HP Mainstream EQMS."),"✉ Open Email Draft"),"")</f>
        <v/>
      </c>
    </row>
    <row r="1823">
      <c r="A1823" s="25">
        <f>IF($C1823="","","AUD-2026-"&amp;TEXT(ROW()-1,"000000"))</f>
        <v/>
      </c>
      <c r="B1823" s="26" t="n"/>
      <c r="C1823" s="27" t="n"/>
      <c r="D1823" s="25">
        <f>IF($C1823="","",IFERROR(IF(INDEX(Roster!$A:$A,MATCH($C1823,Roster!$B:$B,0))="","",INDEX(Roster!$A:$A,MATCH($C1823,Roster!$B:$B,0))&amp;""),"—"))</f>
        <v/>
      </c>
      <c r="E1823" s="25">
        <f>IF($C1823="","",IFERROR(IF(INDEX(Roster!$C:$C,MATCH($C1823,Roster!$B:$B,0))="","",INDEX(Roster!$C:$C,MATCH($C1823,Roster!$B:$B,0))&amp;""),"—"))</f>
        <v/>
      </c>
      <c r="F1823" s="25">
        <f>IF($C1823="","",IFERROR(IF(INDEX(Roster!$D:$D,MATCH($C1823,Roster!$B:$B,0))="","",INDEX(Roster!$D:$D,MATCH($C1823,Roster!$B:$B,0))&amp;""),"—"))</f>
        <v/>
      </c>
      <c r="G1823" s="25">
        <f>IF($C1823="","",IFERROR(IF(INDEX(Roster!$E:$E,MATCH($C1823,Roster!$B:$B,0))="","",INDEX(Roster!$E:$E,MATCH($C1823,Roster!$B:$B,0))&amp;""),"—"))</f>
        <v/>
      </c>
      <c r="H1823" s="25">
        <f>IF($C1823="","",IFERROR(IF(INDEX(Roster!$F:$F,MATCH($C1823,Roster!$B:$B,0))="","",INDEX(Roster!$F:$F,MATCH($C1823,Roster!$B:$B,0))&amp;""),"—"))</f>
        <v/>
      </c>
      <c r="I1823" s="25">
        <f>IF($C1823="","",IFERROR(IF(INDEX(Roster!$G:$G,MATCH($C1823,Roster!$B:$B,0))="","",INDEX(Roster!$G:$G,MATCH($C1823,Roster!$B:$B,0))&amp;""),"—"))</f>
        <v/>
      </c>
      <c r="J1823" s="25">
        <f>IF($C1823="","",IFERROR(IF(INDEX(Roster!$I:$I,MATCH($C1823,Roster!$B:$B,0))="","",INDEX(Roster!$I:$I,MATCH($C1823,Roster!$B:$B,0))&amp;""),"—"))</f>
        <v/>
      </c>
      <c r="K1823">
        <f>IF($C1823="","",IFERROR(IF(INDEX(Roster!$J:$J,MATCH($C1823,Roster!$B:$B,0))="","",INDEX(Roster!$J:$J,MATCH($C1823,Roster!$B:$B,0))&amp;""),"—"))</f>
        <v/>
      </c>
      <c r="L1823">
        <f>IF($C1823="","",IFERROR(IF(INDEX(Roster!$K:$K,MATCH($C1823,Roster!$B:$B,0))="","",INDEX(Roster!$K:$K,MATCH($C1823,Roster!$B:$B,0))&amp;""),"—"))</f>
        <v/>
      </c>
      <c r="M1823" s="27" t="n"/>
      <c r="N1823" s="27" t="n"/>
      <c r="O1823" s="25">
        <f>IF($C1823="","",IF($P1823="","—",IF($P1823="Valid (Pass)","Valid","Invalid")))</f>
        <v/>
      </c>
      <c r="P1823" s="27" t="n"/>
      <c r="Q1823" s="27" t="n"/>
      <c r="R1823" s="27" t="n"/>
      <c r="S1823" s="27" t="n"/>
      <c r="T1823" s="25">
        <f>IF($C1823="","",IF(OR(ISNUMBER(SEARCH("quick case",$P1823)),ISNUMBER(SEARCH("quick case",$Q1823))),"Yes","No"))</f>
        <v/>
      </c>
      <c r="U1823" s="25">
        <f>IF($O1823="Invalid",HYPERLINK("mailto:"&amp;$G1823&amp;";"&amp;$I1823&amp;"?cc="&amp;Lists!$E$2&amp;"&amp;subject="&amp;_xlfn.ENCODEURL("[INVALID] Quality audit monitoring completed for "&amp;UPPER($C1823))&amp;"&amp;body="&amp;_xlfn.ENCODEURL("Hi "&amp;$F1823&amp;","&amp;CHAR(10)&amp;"Good day!"&amp;CHAR(10)&amp;CHAR(10)&amp;"A quality monitoring audit has been completed for "&amp;$C1823&amp;"."&amp;CHAR(10)&amp;CHAR(10)&amp;"QUALITY AUDIT DETAILS"&amp;CHAR(10)&amp;"Agent Name: "&amp;$C1823&amp;" (EID "&amp;$D1823&amp;")"&amp;CHAR(10)&amp;"Audit Date: "&amp;TEXT($B1823,"yyyy-mm-dd")&amp;CHAR(10)&amp;"Team Leader: "&amp;$F1823&amp;CHAR(10)&amp;"Case Number: "&amp;$M1823&amp;CHAR(10)&amp;"Transaction ID: "&amp;$N1823&amp;CHAR(10)&amp;"Channel / LOB: "&amp;$K1823&amp;" / "&amp;$L1823&amp;CHAR(10)&amp;"Evaluator: "&amp;$S1823&amp;CHAR(10)&amp;CHAR(10)&amp;"INVALID QUALITY AUDIT DETAILS"&amp;CHAR(10)&amp;"Validation: Invalid"&amp;CHAR(10)&amp;"Invalid Reason: "&amp;$P1823&amp;CHAR(10)&amp;"Expected Resolution Code: "&amp;$Q1823&amp;CHAR(10)&amp;"Remarks: "&amp;LEFT($R1823,600)&amp;CHAR(10)&amp;CHAR(10)&amp;"This is an automated notification from HP Mainstream EQMS."),"✉ Open Email Draft"),"")</f>
        <v/>
      </c>
    </row>
    <row r="1824">
      <c r="A1824" s="25">
        <f>IF($C1824="","","AUD-2026-"&amp;TEXT(ROW()-1,"000000"))</f>
        <v/>
      </c>
      <c r="B1824" s="26" t="n"/>
      <c r="C1824" s="27" t="n"/>
      <c r="D1824" s="25">
        <f>IF($C1824="","",IFERROR(IF(INDEX(Roster!$A:$A,MATCH($C1824,Roster!$B:$B,0))="","",INDEX(Roster!$A:$A,MATCH($C1824,Roster!$B:$B,0))&amp;""),"—"))</f>
        <v/>
      </c>
      <c r="E1824" s="25">
        <f>IF($C1824="","",IFERROR(IF(INDEX(Roster!$C:$C,MATCH($C1824,Roster!$B:$B,0))="","",INDEX(Roster!$C:$C,MATCH($C1824,Roster!$B:$B,0))&amp;""),"—"))</f>
        <v/>
      </c>
      <c r="F1824" s="25">
        <f>IF($C1824="","",IFERROR(IF(INDEX(Roster!$D:$D,MATCH($C1824,Roster!$B:$B,0))="","",INDEX(Roster!$D:$D,MATCH($C1824,Roster!$B:$B,0))&amp;""),"—"))</f>
        <v/>
      </c>
      <c r="G1824" s="25">
        <f>IF($C1824="","",IFERROR(IF(INDEX(Roster!$E:$E,MATCH($C1824,Roster!$B:$B,0))="","",INDEX(Roster!$E:$E,MATCH($C1824,Roster!$B:$B,0))&amp;""),"—"))</f>
        <v/>
      </c>
      <c r="H1824" s="25">
        <f>IF($C1824="","",IFERROR(IF(INDEX(Roster!$F:$F,MATCH($C1824,Roster!$B:$B,0))="","",INDEX(Roster!$F:$F,MATCH($C1824,Roster!$B:$B,0))&amp;""),"—"))</f>
        <v/>
      </c>
      <c r="I1824" s="25">
        <f>IF($C1824="","",IFERROR(IF(INDEX(Roster!$G:$G,MATCH($C1824,Roster!$B:$B,0))="","",INDEX(Roster!$G:$G,MATCH($C1824,Roster!$B:$B,0))&amp;""),"—"))</f>
        <v/>
      </c>
      <c r="J1824" s="25">
        <f>IF($C1824="","",IFERROR(IF(INDEX(Roster!$I:$I,MATCH($C1824,Roster!$B:$B,0))="","",INDEX(Roster!$I:$I,MATCH($C1824,Roster!$B:$B,0))&amp;""),"—"))</f>
        <v/>
      </c>
      <c r="K1824">
        <f>IF($C1824="","",IFERROR(IF(INDEX(Roster!$J:$J,MATCH($C1824,Roster!$B:$B,0))="","",INDEX(Roster!$J:$J,MATCH($C1824,Roster!$B:$B,0))&amp;""),"—"))</f>
        <v/>
      </c>
      <c r="L1824">
        <f>IF($C1824="","",IFERROR(IF(INDEX(Roster!$K:$K,MATCH($C1824,Roster!$B:$B,0))="","",INDEX(Roster!$K:$K,MATCH($C1824,Roster!$B:$B,0))&amp;""),"—"))</f>
        <v/>
      </c>
      <c r="M1824" s="27" t="n"/>
      <c r="N1824" s="27" t="n"/>
      <c r="O1824" s="25">
        <f>IF($C1824="","",IF($P1824="","—",IF($P1824="Valid (Pass)","Valid","Invalid")))</f>
        <v/>
      </c>
      <c r="P1824" s="27" t="n"/>
      <c r="Q1824" s="27" t="n"/>
      <c r="R1824" s="27" t="n"/>
      <c r="S1824" s="27" t="n"/>
      <c r="T1824" s="25">
        <f>IF($C1824="","",IF(OR(ISNUMBER(SEARCH("quick case",$P1824)),ISNUMBER(SEARCH("quick case",$Q1824))),"Yes","No"))</f>
        <v/>
      </c>
      <c r="U1824" s="25">
        <f>IF($O1824="Invalid",HYPERLINK("mailto:"&amp;$G1824&amp;";"&amp;$I1824&amp;"?cc="&amp;Lists!$E$2&amp;"&amp;subject="&amp;_xlfn.ENCODEURL("[INVALID] Quality audit monitoring completed for "&amp;UPPER($C1824))&amp;"&amp;body="&amp;_xlfn.ENCODEURL("Hi "&amp;$F1824&amp;","&amp;CHAR(10)&amp;"Good day!"&amp;CHAR(10)&amp;CHAR(10)&amp;"A quality monitoring audit has been completed for "&amp;$C1824&amp;"."&amp;CHAR(10)&amp;CHAR(10)&amp;"QUALITY AUDIT DETAILS"&amp;CHAR(10)&amp;"Agent Name: "&amp;$C1824&amp;" (EID "&amp;$D1824&amp;")"&amp;CHAR(10)&amp;"Audit Date: "&amp;TEXT($B1824,"yyyy-mm-dd")&amp;CHAR(10)&amp;"Team Leader: "&amp;$F1824&amp;CHAR(10)&amp;"Case Number: "&amp;$M1824&amp;CHAR(10)&amp;"Transaction ID: "&amp;$N1824&amp;CHAR(10)&amp;"Channel / LOB: "&amp;$K1824&amp;" / "&amp;$L1824&amp;CHAR(10)&amp;"Evaluator: "&amp;$S1824&amp;CHAR(10)&amp;CHAR(10)&amp;"INVALID QUALITY AUDIT DETAILS"&amp;CHAR(10)&amp;"Validation: Invalid"&amp;CHAR(10)&amp;"Invalid Reason: "&amp;$P1824&amp;CHAR(10)&amp;"Expected Resolution Code: "&amp;$Q1824&amp;CHAR(10)&amp;"Remarks: "&amp;LEFT($R1824,600)&amp;CHAR(10)&amp;CHAR(10)&amp;"This is an automated notification from HP Mainstream EQMS."),"✉ Open Email Draft"),"")</f>
        <v/>
      </c>
    </row>
    <row r="1825">
      <c r="A1825" s="25">
        <f>IF($C1825="","","AUD-2026-"&amp;TEXT(ROW()-1,"000000"))</f>
        <v/>
      </c>
      <c r="B1825" s="26" t="n"/>
      <c r="C1825" s="27" t="n"/>
      <c r="D1825" s="25">
        <f>IF($C1825="","",IFERROR(IF(INDEX(Roster!$A:$A,MATCH($C1825,Roster!$B:$B,0))="","",INDEX(Roster!$A:$A,MATCH($C1825,Roster!$B:$B,0))&amp;""),"—"))</f>
        <v/>
      </c>
      <c r="E1825" s="25">
        <f>IF($C1825="","",IFERROR(IF(INDEX(Roster!$C:$C,MATCH($C1825,Roster!$B:$B,0))="","",INDEX(Roster!$C:$C,MATCH($C1825,Roster!$B:$B,0))&amp;""),"—"))</f>
        <v/>
      </c>
      <c r="F1825" s="25">
        <f>IF($C1825="","",IFERROR(IF(INDEX(Roster!$D:$D,MATCH($C1825,Roster!$B:$B,0))="","",INDEX(Roster!$D:$D,MATCH($C1825,Roster!$B:$B,0))&amp;""),"—"))</f>
        <v/>
      </c>
      <c r="G1825" s="25">
        <f>IF($C1825="","",IFERROR(IF(INDEX(Roster!$E:$E,MATCH($C1825,Roster!$B:$B,0))="","",INDEX(Roster!$E:$E,MATCH($C1825,Roster!$B:$B,0))&amp;""),"—"))</f>
        <v/>
      </c>
      <c r="H1825" s="25">
        <f>IF($C1825="","",IFERROR(IF(INDEX(Roster!$F:$F,MATCH($C1825,Roster!$B:$B,0))="","",INDEX(Roster!$F:$F,MATCH($C1825,Roster!$B:$B,0))&amp;""),"—"))</f>
        <v/>
      </c>
      <c r="I1825" s="25">
        <f>IF($C1825="","",IFERROR(IF(INDEX(Roster!$G:$G,MATCH($C1825,Roster!$B:$B,0))="","",INDEX(Roster!$G:$G,MATCH($C1825,Roster!$B:$B,0))&amp;""),"—"))</f>
        <v/>
      </c>
      <c r="J1825" s="25">
        <f>IF($C1825="","",IFERROR(IF(INDEX(Roster!$I:$I,MATCH($C1825,Roster!$B:$B,0))="","",INDEX(Roster!$I:$I,MATCH($C1825,Roster!$B:$B,0))&amp;""),"—"))</f>
        <v/>
      </c>
      <c r="K1825">
        <f>IF($C1825="","",IFERROR(IF(INDEX(Roster!$J:$J,MATCH($C1825,Roster!$B:$B,0))="","",INDEX(Roster!$J:$J,MATCH($C1825,Roster!$B:$B,0))&amp;""),"—"))</f>
        <v/>
      </c>
      <c r="L1825">
        <f>IF($C1825="","",IFERROR(IF(INDEX(Roster!$K:$K,MATCH($C1825,Roster!$B:$B,0))="","",INDEX(Roster!$K:$K,MATCH($C1825,Roster!$B:$B,0))&amp;""),"—"))</f>
        <v/>
      </c>
      <c r="M1825" s="27" t="n"/>
      <c r="N1825" s="27" t="n"/>
      <c r="O1825" s="25">
        <f>IF($C1825="","",IF($P1825="","—",IF($P1825="Valid (Pass)","Valid","Invalid")))</f>
        <v/>
      </c>
      <c r="P1825" s="27" t="n"/>
      <c r="Q1825" s="27" t="n"/>
      <c r="R1825" s="27" t="n"/>
      <c r="S1825" s="27" t="n"/>
      <c r="T1825" s="25">
        <f>IF($C1825="","",IF(OR(ISNUMBER(SEARCH("quick case",$P1825)),ISNUMBER(SEARCH("quick case",$Q1825))),"Yes","No"))</f>
        <v/>
      </c>
      <c r="U1825" s="25">
        <f>IF($O1825="Invalid",HYPERLINK("mailto:"&amp;$G1825&amp;";"&amp;$I1825&amp;"?cc="&amp;Lists!$E$2&amp;"&amp;subject="&amp;_xlfn.ENCODEURL("[INVALID] Quality audit monitoring completed for "&amp;UPPER($C1825))&amp;"&amp;body="&amp;_xlfn.ENCODEURL("Hi "&amp;$F1825&amp;","&amp;CHAR(10)&amp;"Good day!"&amp;CHAR(10)&amp;CHAR(10)&amp;"A quality monitoring audit has been completed for "&amp;$C1825&amp;"."&amp;CHAR(10)&amp;CHAR(10)&amp;"QUALITY AUDIT DETAILS"&amp;CHAR(10)&amp;"Agent Name: "&amp;$C1825&amp;" (EID "&amp;$D1825&amp;")"&amp;CHAR(10)&amp;"Audit Date: "&amp;TEXT($B1825,"yyyy-mm-dd")&amp;CHAR(10)&amp;"Team Leader: "&amp;$F1825&amp;CHAR(10)&amp;"Case Number: "&amp;$M1825&amp;CHAR(10)&amp;"Transaction ID: "&amp;$N1825&amp;CHAR(10)&amp;"Channel / LOB: "&amp;$K1825&amp;" / "&amp;$L1825&amp;CHAR(10)&amp;"Evaluator: "&amp;$S1825&amp;CHAR(10)&amp;CHAR(10)&amp;"INVALID QUALITY AUDIT DETAILS"&amp;CHAR(10)&amp;"Validation: Invalid"&amp;CHAR(10)&amp;"Invalid Reason: "&amp;$P1825&amp;CHAR(10)&amp;"Expected Resolution Code: "&amp;$Q1825&amp;CHAR(10)&amp;"Remarks: "&amp;LEFT($R1825,600)&amp;CHAR(10)&amp;CHAR(10)&amp;"This is an automated notification from HP Mainstream EQMS."),"✉ Open Email Draft"),"")</f>
        <v/>
      </c>
    </row>
    <row r="1826">
      <c r="A1826" s="25">
        <f>IF($C1826="","","AUD-2026-"&amp;TEXT(ROW()-1,"000000"))</f>
        <v/>
      </c>
      <c r="B1826" s="26" t="n"/>
      <c r="C1826" s="27" t="n"/>
      <c r="D1826" s="25">
        <f>IF($C1826="","",IFERROR(IF(INDEX(Roster!$A:$A,MATCH($C1826,Roster!$B:$B,0))="","",INDEX(Roster!$A:$A,MATCH($C1826,Roster!$B:$B,0))&amp;""),"—"))</f>
        <v/>
      </c>
      <c r="E1826" s="25">
        <f>IF($C1826="","",IFERROR(IF(INDEX(Roster!$C:$C,MATCH($C1826,Roster!$B:$B,0))="","",INDEX(Roster!$C:$C,MATCH($C1826,Roster!$B:$B,0))&amp;""),"—"))</f>
        <v/>
      </c>
      <c r="F1826" s="25">
        <f>IF($C1826="","",IFERROR(IF(INDEX(Roster!$D:$D,MATCH($C1826,Roster!$B:$B,0))="","",INDEX(Roster!$D:$D,MATCH($C1826,Roster!$B:$B,0))&amp;""),"—"))</f>
        <v/>
      </c>
      <c r="G1826" s="25">
        <f>IF($C1826="","",IFERROR(IF(INDEX(Roster!$E:$E,MATCH($C1826,Roster!$B:$B,0))="","",INDEX(Roster!$E:$E,MATCH($C1826,Roster!$B:$B,0))&amp;""),"—"))</f>
        <v/>
      </c>
      <c r="H1826" s="25">
        <f>IF($C1826="","",IFERROR(IF(INDEX(Roster!$F:$F,MATCH($C1826,Roster!$B:$B,0))="","",INDEX(Roster!$F:$F,MATCH($C1826,Roster!$B:$B,0))&amp;""),"—"))</f>
        <v/>
      </c>
      <c r="I1826" s="25">
        <f>IF($C1826="","",IFERROR(IF(INDEX(Roster!$G:$G,MATCH($C1826,Roster!$B:$B,0))="","",INDEX(Roster!$G:$G,MATCH($C1826,Roster!$B:$B,0))&amp;""),"—"))</f>
        <v/>
      </c>
      <c r="J1826" s="25">
        <f>IF($C1826="","",IFERROR(IF(INDEX(Roster!$I:$I,MATCH($C1826,Roster!$B:$B,0))="","",INDEX(Roster!$I:$I,MATCH($C1826,Roster!$B:$B,0))&amp;""),"—"))</f>
        <v/>
      </c>
      <c r="K1826">
        <f>IF($C1826="","",IFERROR(IF(INDEX(Roster!$J:$J,MATCH($C1826,Roster!$B:$B,0))="","",INDEX(Roster!$J:$J,MATCH($C1826,Roster!$B:$B,0))&amp;""),"—"))</f>
        <v/>
      </c>
      <c r="L1826">
        <f>IF($C1826="","",IFERROR(IF(INDEX(Roster!$K:$K,MATCH($C1826,Roster!$B:$B,0))="","",INDEX(Roster!$K:$K,MATCH($C1826,Roster!$B:$B,0))&amp;""),"—"))</f>
        <v/>
      </c>
      <c r="M1826" s="27" t="n"/>
      <c r="N1826" s="27" t="n"/>
      <c r="O1826" s="25">
        <f>IF($C1826="","",IF($P1826="","—",IF($P1826="Valid (Pass)","Valid","Invalid")))</f>
        <v/>
      </c>
      <c r="P1826" s="27" t="n"/>
      <c r="Q1826" s="27" t="n"/>
      <c r="R1826" s="27" t="n"/>
      <c r="S1826" s="27" t="n"/>
      <c r="T1826" s="25">
        <f>IF($C1826="","",IF(OR(ISNUMBER(SEARCH("quick case",$P1826)),ISNUMBER(SEARCH("quick case",$Q1826))),"Yes","No"))</f>
        <v/>
      </c>
      <c r="U1826" s="25">
        <f>IF($O1826="Invalid",HYPERLINK("mailto:"&amp;$G1826&amp;";"&amp;$I1826&amp;"?cc="&amp;Lists!$E$2&amp;"&amp;subject="&amp;_xlfn.ENCODEURL("[INVALID] Quality audit monitoring completed for "&amp;UPPER($C1826))&amp;"&amp;body="&amp;_xlfn.ENCODEURL("Hi "&amp;$F1826&amp;","&amp;CHAR(10)&amp;"Good day!"&amp;CHAR(10)&amp;CHAR(10)&amp;"A quality monitoring audit has been completed for "&amp;$C1826&amp;"."&amp;CHAR(10)&amp;CHAR(10)&amp;"QUALITY AUDIT DETAILS"&amp;CHAR(10)&amp;"Agent Name: "&amp;$C1826&amp;" (EID "&amp;$D1826&amp;")"&amp;CHAR(10)&amp;"Audit Date: "&amp;TEXT($B1826,"yyyy-mm-dd")&amp;CHAR(10)&amp;"Team Leader: "&amp;$F1826&amp;CHAR(10)&amp;"Case Number: "&amp;$M1826&amp;CHAR(10)&amp;"Transaction ID: "&amp;$N1826&amp;CHAR(10)&amp;"Channel / LOB: "&amp;$K1826&amp;" / "&amp;$L1826&amp;CHAR(10)&amp;"Evaluator: "&amp;$S1826&amp;CHAR(10)&amp;CHAR(10)&amp;"INVALID QUALITY AUDIT DETAILS"&amp;CHAR(10)&amp;"Validation: Invalid"&amp;CHAR(10)&amp;"Invalid Reason: "&amp;$P1826&amp;CHAR(10)&amp;"Expected Resolution Code: "&amp;$Q1826&amp;CHAR(10)&amp;"Remarks: "&amp;LEFT($R1826,600)&amp;CHAR(10)&amp;CHAR(10)&amp;"This is an automated notification from HP Mainstream EQMS."),"✉ Open Email Draft"),"")</f>
        <v/>
      </c>
    </row>
    <row r="1827">
      <c r="A1827" s="25">
        <f>IF($C1827="","","AUD-2026-"&amp;TEXT(ROW()-1,"000000"))</f>
        <v/>
      </c>
      <c r="B1827" s="26" t="n"/>
      <c r="C1827" s="27" t="n"/>
      <c r="D1827" s="25">
        <f>IF($C1827="","",IFERROR(IF(INDEX(Roster!$A:$A,MATCH($C1827,Roster!$B:$B,0))="","",INDEX(Roster!$A:$A,MATCH($C1827,Roster!$B:$B,0))&amp;""),"—"))</f>
        <v/>
      </c>
      <c r="E1827" s="25">
        <f>IF($C1827="","",IFERROR(IF(INDEX(Roster!$C:$C,MATCH($C1827,Roster!$B:$B,0))="","",INDEX(Roster!$C:$C,MATCH($C1827,Roster!$B:$B,0))&amp;""),"—"))</f>
        <v/>
      </c>
      <c r="F1827" s="25">
        <f>IF($C1827="","",IFERROR(IF(INDEX(Roster!$D:$D,MATCH($C1827,Roster!$B:$B,0))="","",INDEX(Roster!$D:$D,MATCH($C1827,Roster!$B:$B,0))&amp;""),"—"))</f>
        <v/>
      </c>
      <c r="G1827" s="25">
        <f>IF($C1827="","",IFERROR(IF(INDEX(Roster!$E:$E,MATCH($C1827,Roster!$B:$B,0))="","",INDEX(Roster!$E:$E,MATCH($C1827,Roster!$B:$B,0))&amp;""),"—"))</f>
        <v/>
      </c>
      <c r="H1827" s="25">
        <f>IF($C1827="","",IFERROR(IF(INDEX(Roster!$F:$F,MATCH($C1827,Roster!$B:$B,0))="","",INDEX(Roster!$F:$F,MATCH($C1827,Roster!$B:$B,0))&amp;""),"—"))</f>
        <v/>
      </c>
      <c r="I1827" s="25">
        <f>IF($C1827="","",IFERROR(IF(INDEX(Roster!$G:$G,MATCH($C1827,Roster!$B:$B,0))="","",INDEX(Roster!$G:$G,MATCH($C1827,Roster!$B:$B,0))&amp;""),"—"))</f>
        <v/>
      </c>
      <c r="J1827" s="25">
        <f>IF($C1827="","",IFERROR(IF(INDEX(Roster!$I:$I,MATCH($C1827,Roster!$B:$B,0))="","",INDEX(Roster!$I:$I,MATCH($C1827,Roster!$B:$B,0))&amp;""),"—"))</f>
        <v/>
      </c>
      <c r="K1827">
        <f>IF($C1827="","",IFERROR(IF(INDEX(Roster!$J:$J,MATCH($C1827,Roster!$B:$B,0))="","",INDEX(Roster!$J:$J,MATCH($C1827,Roster!$B:$B,0))&amp;""),"—"))</f>
        <v/>
      </c>
      <c r="L1827">
        <f>IF($C1827="","",IFERROR(IF(INDEX(Roster!$K:$K,MATCH($C1827,Roster!$B:$B,0))="","",INDEX(Roster!$K:$K,MATCH($C1827,Roster!$B:$B,0))&amp;""),"—"))</f>
        <v/>
      </c>
      <c r="M1827" s="27" t="n"/>
      <c r="N1827" s="27" t="n"/>
      <c r="O1827" s="25">
        <f>IF($C1827="","",IF($P1827="","—",IF($P1827="Valid (Pass)","Valid","Invalid")))</f>
        <v/>
      </c>
      <c r="P1827" s="27" t="n"/>
      <c r="Q1827" s="27" t="n"/>
      <c r="R1827" s="27" t="n"/>
      <c r="S1827" s="27" t="n"/>
      <c r="T1827" s="25">
        <f>IF($C1827="","",IF(OR(ISNUMBER(SEARCH("quick case",$P1827)),ISNUMBER(SEARCH("quick case",$Q1827))),"Yes","No"))</f>
        <v/>
      </c>
      <c r="U1827" s="25">
        <f>IF($O1827="Invalid",HYPERLINK("mailto:"&amp;$G1827&amp;";"&amp;$I1827&amp;"?cc="&amp;Lists!$E$2&amp;"&amp;subject="&amp;_xlfn.ENCODEURL("[INVALID] Quality audit monitoring completed for "&amp;UPPER($C1827))&amp;"&amp;body="&amp;_xlfn.ENCODEURL("Hi "&amp;$F1827&amp;","&amp;CHAR(10)&amp;"Good day!"&amp;CHAR(10)&amp;CHAR(10)&amp;"A quality monitoring audit has been completed for "&amp;$C1827&amp;"."&amp;CHAR(10)&amp;CHAR(10)&amp;"QUALITY AUDIT DETAILS"&amp;CHAR(10)&amp;"Agent Name: "&amp;$C1827&amp;" (EID "&amp;$D1827&amp;")"&amp;CHAR(10)&amp;"Audit Date: "&amp;TEXT($B1827,"yyyy-mm-dd")&amp;CHAR(10)&amp;"Team Leader: "&amp;$F1827&amp;CHAR(10)&amp;"Case Number: "&amp;$M1827&amp;CHAR(10)&amp;"Transaction ID: "&amp;$N1827&amp;CHAR(10)&amp;"Channel / LOB: "&amp;$K1827&amp;" / "&amp;$L1827&amp;CHAR(10)&amp;"Evaluator: "&amp;$S1827&amp;CHAR(10)&amp;CHAR(10)&amp;"INVALID QUALITY AUDIT DETAILS"&amp;CHAR(10)&amp;"Validation: Invalid"&amp;CHAR(10)&amp;"Invalid Reason: "&amp;$P1827&amp;CHAR(10)&amp;"Expected Resolution Code: "&amp;$Q1827&amp;CHAR(10)&amp;"Remarks: "&amp;LEFT($R1827,600)&amp;CHAR(10)&amp;CHAR(10)&amp;"This is an automated notification from HP Mainstream EQMS."),"✉ Open Email Draft"),"")</f>
        <v/>
      </c>
    </row>
    <row r="1828">
      <c r="A1828" s="25">
        <f>IF($C1828="","","AUD-2026-"&amp;TEXT(ROW()-1,"000000"))</f>
        <v/>
      </c>
      <c r="B1828" s="26" t="n"/>
      <c r="C1828" s="27" t="n"/>
      <c r="D1828" s="25">
        <f>IF($C1828="","",IFERROR(IF(INDEX(Roster!$A:$A,MATCH($C1828,Roster!$B:$B,0))="","",INDEX(Roster!$A:$A,MATCH($C1828,Roster!$B:$B,0))&amp;""),"—"))</f>
        <v/>
      </c>
      <c r="E1828" s="25">
        <f>IF($C1828="","",IFERROR(IF(INDEX(Roster!$C:$C,MATCH($C1828,Roster!$B:$B,0))="","",INDEX(Roster!$C:$C,MATCH($C1828,Roster!$B:$B,0))&amp;""),"—"))</f>
        <v/>
      </c>
      <c r="F1828" s="25">
        <f>IF($C1828="","",IFERROR(IF(INDEX(Roster!$D:$D,MATCH($C1828,Roster!$B:$B,0))="","",INDEX(Roster!$D:$D,MATCH($C1828,Roster!$B:$B,0))&amp;""),"—"))</f>
        <v/>
      </c>
      <c r="G1828" s="25">
        <f>IF($C1828="","",IFERROR(IF(INDEX(Roster!$E:$E,MATCH($C1828,Roster!$B:$B,0))="","",INDEX(Roster!$E:$E,MATCH($C1828,Roster!$B:$B,0))&amp;""),"—"))</f>
        <v/>
      </c>
      <c r="H1828" s="25">
        <f>IF($C1828="","",IFERROR(IF(INDEX(Roster!$F:$F,MATCH($C1828,Roster!$B:$B,0))="","",INDEX(Roster!$F:$F,MATCH($C1828,Roster!$B:$B,0))&amp;""),"—"))</f>
        <v/>
      </c>
      <c r="I1828" s="25">
        <f>IF($C1828="","",IFERROR(IF(INDEX(Roster!$G:$G,MATCH($C1828,Roster!$B:$B,0))="","",INDEX(Roster!$G:$G,MATCH($C1828,Roster!$B:$B,0))&amp;""),"—"))</f>
        <v/>
      </c>
      <c r="J1828" s="25">
        <f>IF($C1828="","",IFERROR(IF(INDEX(Roster!$I:$I,MATCH($C1828,Roster!$B:$B,0))="","",INDEX(Roster!$I:$I,MATCH($C1828,Roster!$B:$B,0))&amp;""),"—"))</f>
        <v/>
      </c>
      <c r="K1828">
        <f>IF($C1828="","",IFERROR(IF(INDEX(Roster!$J:$J,MATCH($C1828,Roster!$B:$B,0))="","",INDEX(Roster!$J:$J,MATCH($C1828,Roster!$B:$B,0))&amp;""),"—"))</f>
        <v/>
      </c>
      <c r="L1828">
        <f>IF($C1828="","",IFERROR(IF(INDEX(Roster!$K:$K,MATCH($C1828,Roster!$B:$B,0))="","",INDEX(Roster!$K:$K,MATCH($C1828,Roster!$B:$B,0))&amp;""),"—"))</f>
        <v/>
      </c>
      <c r="M1828" s="27" t="n"/>
      <c r="N1828" s="27" t="n"/>
      <c r="O1828" s="25">
        <f>IF($C1828="","",IF($P1828="","—",IF($P1828="Valid (Pass)","Valid","Invalid")))</f>
        <v/>
      </c>
      <c r="P1828" s="27" t="n"/>
      <c r="Q1828" s="27" t="n"/>
      <c r="R1828" s="27" t="n"/>
      <c r="S1828" s="27" t="n"/>
      <c r="T1828" s="25">
        <f>IF($C1828="","",IF(OR(ISNUMBER(SEARCH("quick case",$P1828)),ISNUMBER(SEARCH("quick case",$Q1828))),"Yes","No"))</f>
        <v/>
      </c>
      <c r="U1828" s="25">
        <f>IF($O1828="Invalid",HYPERLINK("mailto:"&amp;$G1828&amp;";"&amp;$I1828&amp;"?cc="&amp;Lists!$E$2&amp;"&amp;subject="&amp;_xlfn.ENCODEURL("[INVALID] Quality audit monitoring completed for "&amp;UPPER($C1828))&amp;"&amp;body="&amp;_xlfn.ENCODEURL("Hi "&amp;$F1828&amp;","&amp;CHAR(10)&amp;"Good day!"&amp;CHAR(10)&amp;CHAR(10)&amp;"A quality monitoring audit has been completed for "&amp;$C1828&amp;"."&amp;CHAR(10)&amp;CHAR(10)&amp;"QUALITY AUDIT DETAILS"&amp;CHAR(10)&amp;"Agent Name: "&amp;$C1828&amp;" (EID "&amp;$D1828&amp;")"&amp;CHAR(10)&amp;"Audit Date: "&amp;TEXT($B1828,"yyyy-mm-dd")&amp;CHAR(10)&amp;"Team Leader: "&amp;$F1828&amp;CHAR(10)&amp;"Case Number: "&amp;$M1828&amp;CHAR(10)&amp;"Transaction ID: "&amp;$N1828&amp;CHAR(10)&amp;"Channel / LOB: "&amp;$K1828&amp;" / "&amp;$L1828&amp;CHAR(10)&amp;"Evaluator: "&amp;$S1828&amp;CHAR(10)&amp;CHAR(10)&amp;"INVALID QUALITY AUDIT DETAILS"&amp;CHAR(10)&amp;"Validation: Invalid"&amp;CHAR(10)&amp;"Invalid Reason: "&amp;$P1828&amp;CHAR(10)&amp;"Expected Resolution Code: "&amp;$Q1828&amp;CHAR(10)&amp;"Remarks: "&amp;LEFT($R1828,600)&amp;CHAR(10)&amp;CHAR(10)&amp;"This is an automated notification from HP Mainstream EQMS."),"✉ Open Email Draft"),"")</f>
        <v/>
      </c>
    </row>
    <row r="1829">
      <c r="A1829" s="25">
        <f>IF($C1829="","","AUD-2026-"&amp;TEXT(ROW()-1,"000000"))</f>
        <v/>
      </c>
      <c r="B1829" s="26" t="n"/>
      <c r="C1829" s="27" t="n"/>
      <c r="D1829" s="25">
        <f>IF($C1829="","",IFERROR(IF(INDEX(Roster!$A:$A,MATCH($C1829,Roster!$B:$B,0))="","",INDEX(Roster!$A:$A,MATCH($C1829,Roster!$B:$B,0))&amp;""),"—"))</f>
        <v/>
      </c>
      <c r="E1829" s="25">
        <f>IF($C1829="","",IFERROR(IF(INDEX(Roster!$C:$C,MATCH($C1829,Roster!$B:$B,0))="","",INDEX(Roster!$C:$C,MATCH($C1829,Roster!$B:$B,0))&amp;""),"—"))</f>
        <v/>
      </c>
      <c r="F1829" s="25">
        <f>IF($C1829="","",IFERROR(IF(INDEX(Roster!$D:$D,MATCH($C1829,Roster!$B:$B,0))="","",INDEX(Roster!$D:$D,MATCH($C1829,Roster!$B:$B,0))&amp;""),"—"))</f>
        <v/>
      </c>
      <c r="G1829" s="25">
        <f>IF($C1829="","",IFERROR(IF(INDEX(Roster!$E:$E,MATCH($C1829,Roster!$B:$B,0))="","",INDEX(Roster!$E:$E,MATCH($C1829,Roster!$B:$B,0))&amp;""),"—"))</f>
        <v/>
      </c>
      <c r="H1829" s="25">
        <f>IF($C1829="","",IFERROR(IF(INDEX(Roster!$F:$F,MATCH($C1829,Roster!$B:$B,0))="","",INDEX(Roster!$F:$F,MATCH($C1829,Roster!$B:$B,0))&amp;""),"—"))</f>
        <v/>
      </c>
      <c r="I1829" s="25">
        <f>IF($C1829="","",IFERROR(IF(INDEX(Roster!$G:$G,MATCH($C1829,Roster!$B:$B,0))="","",INDEX(Roster!$G:$G,MATCH($C1829,Roster!$B:$B,0))&amp;""),"—"))</f>
        <v/>
      </c>
      <c r="J1829" s="25">
        <f>IF($C1829="","",IFERROR(IF(INDEX(Roster!$I:$I,MATCH($C1829,Roster!$B:$B,0))="","",INDEX(Roster!$I:$I,MATCH($C1829,Roster!$B:$B,0))&amp;""),"—"))</f>
        <v/>
      </c>
      <c r="K1829">
        <f>IF($C1829="","",IFERROR(IF(INDEX(Roster!$J:$J,MATCH($C1829,Roster!$B:$B,0))="","",INDEX(Roster!$J:$J,MATCH($C1829,Roster!$B:$B,0))&amp;""),"—"))</f>
        <v/>
      </c>
      <c r="L1829">
        <f>IF($C1829="","",IFERROR(IF(INDEX(Roster!$K:$K,MATCH($C1829,Roster!$B:$B,0))="","",INDEX(Roster!$K:$K,MATCH($C1829,Roster!$B:$B,0))&amp;""),"—"))</f>
        <v/>
      </c>
      <c r="M1829" s="27" t="n"/>
      <c r="N1829" s="27" t="n"/>
      <c r="O1829" s="25">
        <f>IF($C1829="","",IF($P1829="","—",IF($P1829="Valid (Pass)","Valid","Invalid")))</f>
        <v/>
      </c>
      <c r="P1829" s="27" t="n"/>
      <c r="Q1829" s="27" t="n"/>
      <c r="R1829" s="27" t="n"/>
      <c r="S1829" s="27" t="n"/>
      <c r="T1829" s="25">
        <f>IF($C1829="","",IF(OR(ISNUMBER(SEARCH("quick case",$P1829)),ISNUMBER(SEARCH("quick case",$Q1829))),"Yes","No"))</f>
        <v/>
      </c>
      <c r="U1829" s="25">
        <f>IF($O1829="Invalid",HYPERLINK("mailto:"&amp;$G1829&amp;";"&amp;$I1829&amp;"?cc="&amp;Lists!$E$2&amp;"&amp;subject="&amp;_xlfn.ENCODEURL("[INVALID] Quality audit monitoring completed for "&amp;UPPER($C1829))&amp;"&amp;body="&amp;_xlfn.ENCODEURL("Hi "&amp;$F1829&amp;","&amp;CHAR(10)&amp;"Good day!"&amp;CHAR(10)&amp;CHAR(10)&amp;"A quality monitoring audit has been completed for "&amp;$C1829&amp;"."&amp;CHAR(10)&amp;CHAR(10)&amp;"QUALITY AUDIT DETAILS"&amp;CHAR(10)&amp;"Agent Name: "&amp;$C1829&amp;" (EID "&amp;$D1829&amp;")"&amp;CHAR(10)&amp;"Audit Date: "&amp;TEXT($B1829,"yyyy-mm-dd")&amp;CHAR(10)&amp;"Team Leader: "&amp;$F1829&amp;CHAR(10)&amp;"Case Number: "&amp;$M1829&amp;CHAR(10)&amp;"Transaction ID: "&amp;$N1829&amp;CHAR(10)&amp;"Channel / LOB: "&amp;$K1829&amp;" / "&amp;$L1829&amp;CHAR(10)&amp;"Evaluator: "&amp;$S1829&amp;CHAR(10)&amp;CHAR(10)&amp;"INVALID QUALITY AUDIT DETAILS"&amp;CHAR(10)&amp;"Validation: Invalid"&amp;CHAR(10)&amp;"Invalid Reason: "&amp;$P1829&amp;CHAR(10)&amp;"Expected Resolution Code: "&amp;$Q1829&amp;CHAR(10)&amp;"Remarks: "&amp;LEFT($R1829,600)&amp;CHAR(10)&amp;CHAR(10)&amp;"This is an automated notification from HP Mainstream EQMS."),"✉ Open Email Draft"),"")</f>
        <v/>
      </c>
    </row>
    <row r="1830">
      <c r="A1830" s="25">
        <f>IF($C1830="","","AUD-2026-"&amp;TEXT(ROW()-1,"000000"))</f>
        <v/>
      </c>
      <c r="B1830" s="26" t="n"/>
      <c r="C1830" s="27" t="n"/>
      <c r="D1830" s="25">
        <f>IF($C1830="","",IFERROR(IF(INDEX(Roster!$A:$A,MATCH($C1830,Roster!$B:$B,0))="","",INDEX(Roster!$A:$A,MATCH($C1830,Roster!$B:$B,0))&amp;""),"—"))</f>
        <v/>
      </c>
      <c r="E1830" s="25">
        <f>IF($C1830="","",IFERROR(IF(INDEX(Roster!$C:$C,MATCH($C1830,Roster!$B:$B,0))="","",INDEX(Roster!$C:$C,MATCH($C1830,Roster!$B:$B,0))&amp;""),"—"))</f>
        <v/>
      </c>
      <c r="F1830" s="25">
        <f>IF($C1830="","",IFERROR(IF(INDEX(Roster!$D:$D,MATCH($C1830,Roster!$B:$B,0))="","",INDEX(Roster!$D:$D,MATCH($C1830,Roster!$B:$B,0))&amp;""),"—"))</f>
        <v/>
      </c>
      <c r="G1830" s="25">
        <f>IF($C1830="","",IFERROR(IF(INDEX(Roster!$E:$E,MATCH($C1830,Roster!$B:$B,0))="","",INDEX(Roster!$E:$E,MATCH($C1830,Roster!$B:$B,0))&amp;""),"—"))</f>
        <v/>
      </c>
      <c r="H1830" s="25">
        <f>IF($C1830="","",IFERROR(IF(INDEX(Roster!$F:$F,MATCH($C1830,Roster!$B:$B,0))="","",INDEX(Roster!$F:$F,MATCH($C1830,Roster!$B:$B,0))&amp;""),"—"))</f>
        <v/>
      </c>
      <c r="I1830" s="25">
        <f>IF($C1830="","",IFERROR(IF(INDEX(Roster!$G:$G,MATCH($C1830,Roster!$B:$B,0))="","",INDEX(Roster!$G:$G,MATCH($C1830,Roster!$B:$B,0))&amp;""),"—"))</f>
        <v/>
      </c>
      <c r="J1830" s="25">
        <f>IF($C1830="","",IFERROR(IF(INDEX(Roster!$I:$I,MATCH($C1830,Roster!$B:$B,0))="","",INDEX(Roster!$I:$I,MATCH($C1830,Roster!$B:$B,0))&amp;""),"—"))</f>
        <v/>
      </c>
      <c r="K1830">
        <f>IF($C1830="","",IFERROR(IF(INDEX(Roster!$J:$J,MATCH($C1830,Roster!$B:$B,0))="","",INDEX(Roster!$J:$J,MATCH($C1830,Roster!$B:$B,0))&amp;""),"—"))</f>
        <v/>
      </c>
      <c r="L1830">
        <f>IF($C1830="","",IFERROR(IF(INDEX(Roster!$K:$K,MATCH($C1830,Roster!$B:$B,0))="","",INDEX(Roster!$K:$K,MATCH($C1830,Roster!$B:$B,0))&amp;""),"—"))</f>
        <v/>
      </c>
      <c r="M1830" s="27" t="n"/>
      <c r="N1830" s="27" t="n"/>
      <c r="O1830" s="25">
        <f>IF($C1830="","",IF($P1830="","—",IF($P1830="Valid (Pass)","Valid","Invalid")))</f>
        <v/>
      </c>
      <c r="P1830" s="27" t="n"/>
      <c r="Q1830" s="27" t="n"/>
      <c r="R1830" s="27" t="n"/>
      <c r="S1830" s="27" t="n"/>
      <c r="T1830" s="25">
        <f>IF($C1830="","",IF(OR(ISNUMBER(SEARCH("quick case",$P1830)),ISNUMBER(SEARCH("quick case",$Q1830))),"Yes","No"))</f>
        <v/>
      </c>
      <c r="U1830" s="25">
        <f>IF($O1830="Invalid",HYPERLINK("mailto:"&amp;$G1830&amp;";"&amp;$I1830&amp;"?cc="&amp;Lists!$E$2&amp;"&amp;subject="&amp;_xlfn.ENCODEURL("[INVALID] Quality audit monitoring completed for "&amp;UPPER($C1830))&amp;"&amp;body="&amp;_xlfn.ENCODEURL("Hi "&amp;$F1830&amp;","&amp;CHAR(10)&amp;"Good day!"&amp;CHAR(10)&amp;CHAR(10)&amp;"A quality monitoring audit has been completed for "&amp;$C1830&amp;"."&amp;CHAR(10)&amp;CHAR(10)&amp;"QUALITY AUDIT DETAILS"&amp;CHAR(10)&amp;"Agent Name: "&amp;$C1830&amp;" (EID "&amp;$D1830&amp;")"&amp;CHAR(10)&amp;"Audit Date: "&amp;TEXT($B1830,"yyyy-mm-dd")&amp;CHAR(10)&amp;"Team Leader: "&amp;$F1830&amp;CHAR(10)&amp;"Case Number: "&amp;$M1830&amp;CHAR(10)&amp;"Transaction ID: "&amp;$N1830&amp;CHAR(10)&amp;"Channel / LOB: "&amp;$K1830&amp;" / "&amp;$L1830&amp;CHAR(10)&amp;"Evaluator: "&amp;$S1830&amp;CHAR(10)&amp;CHAR(10)&amp;"INVALID QUALITY AUDIT DETAILS"&amp;CHAR(10)&amp;"Validation: Invalid"&amp;CHAR(10)&amp;"Invalid Reason: "&amp;$P1830&amp;CHAR(10)&amp;"Expected Resolution Code: "&amp;$Q1830&amp;CHAR(10)&amp;"Remarks: "&amp;LEFT($R1830,600)&amp;CHAR(10)&amp;CHAR(10)&amp;"This is an automated notification from HP Mainstream EQMS."),"✉ Open Email Draft"),"")</f>
        <v/>
      </c>
    </row>
    <row r="1831">
      <c r="A1831" s="25">
        <f>IF($C1831="","","AUD-2026-"&amp;TEXT(ROW()-1,"000000"))</f>
        <v/>
      </c>
      <c r="B1831" s="26" t="n"/>
      <c r="C1831" s="27" t="n"/>
      <c r="D1831" s="25">
        <f>IF($C1831="","",IFERROR(IF(INDEX(Roster!$A:$A,MATCH($C1831,Roster!$B:$B,0))="","",INDEX(Roster!$A:$A,MATCH($C1831,Roster!$B:$B,0))&amp;""),"—"))</f>
        <v/>
      </c>
      <c r="E1831" s="25">
        <f>IF($C1831="","",IFERROR(IF(INDEX(Roster!$C:$C,MATCH($C1831,Roster!$B:$B,0))="","",INDEX(Roster!$C:$C,MATCH($C1831,Roster!$B:$B,0))&amp;""),"—"))</f>
        <v/>
      </c>
      <c r="F1831" s="25">
        <f>IF($C1831="","",IFERROR(IF(INDEX(Roster!$D:$D,MATCH($C1831,Roster!$B:$B,0))="","",INDEX(Roster!$D:$D,MATCH($C1831,Roster!$B:$B,0))&amp;""),"—"))</f>
        <v/>
      </c>
      <c r="G1831" s="25">
        <f>IF($C1831="","",IFERROR(IF(INDEX(Roster!$E:$E,MATCH($C1831,Roster!$B:$B,0))="","",INDEX(Roster!$E:$E,MATCH($C1831,Roster!$B:$B,0))&amp;""),"—"))</f>
        <v/>
      </c>
      <c r="H1831" s="25">
        <f>IF($C1831="","",IFERROR(IF(INDEX(Roster!$F:$F,MATCH($C1831,Roster!$B:$B,0))="","",INDEX(Roster!$F:$F,MATCH($C1831,Roster!$B:$B,0))&amp;""),"—"))</f>
        <v/>
      </c>
      <c r="I1831" s="25">
        <f>IF($C1831="","",IFERROR(IF(INDEX(Roster!$G:$G,MATCH($C1831,Roster!$B:$B,0))="","",INDEX(Roster!$G:$G,MATCH($C1831,Roster!$B:$B,0))&amp;""),"—"))</f>
        <v/>
      </c>
      <c r="J1831" s="25">
        <f>IF($C1831="","",IFERROR(IF(INDEX(Roster!$I:$I,MATCH($C1831,Roster!$B:$B,0))="","",INDEX(Roster!$I:$I,MATCH($C1831,Roster!$B:$B,0))&amp;""),"—"))</f>
        <v/>
      </c>
      <c r="K1831">
        <f>IF($C1831="","",IFERROR(IF(INDEX(Roster!$J:$J,MATCH($C1831,Roster!$B:$B,0))="","",INDEX(Roster!$J:$J,MATCH($C1831,Roster!$B:$B,0))&amp;""),"—"))</f>
        <v/>
      </c>
      <c r="L1831">
        <f>IF($C1831="","",IFERROR(IF(INDEX(Roster!$K:$K,MATCH($C1831,Roster!$B:$B,0))="","",INDEX(Roster!$K:$K,MATCH($C1831,Roster!$B:$B,0))&amp;""),"—"))</f>
        <v/>
      </c>
      <c r="M1831" s="27" t="n"/>
      <c r="N1831" s="27" t="n"/>
      <c r="O1831" s="25">
        <f>IF($C1831="","",IF($P1831="","—",IF($P1831="Valid (Pass)","Valid","Invalid")))</f>
        <v/>
      </c>
      <c r="P1831" s="27" t="n"/>
      <c r="Q1831" s="27" t="n"/>
      <c r="R1831" s="27" t="n"/>
      <c r="S1831" s="27" t="n"/>
      <c r="T1831" s="25">
        <f>IF($C1831="","",IF(OR(ISNUMBER(SEARCH("quick case",$P1831)),ISNUMBER(SEARCH("quick case",$Q1831))),"Yes","No"))</f>
        <v/>
      </c>
      <c r="U1831" s="25">
        <f>IF($O1831="Invalid",HYPERLINK("mailto:"&amp;$G1831&amp;";"&amp;$I1831&amp;"?cc="&amp;Lists!$E$2&amp;"&amp;subject="&amp;_xlfn.ENCODEURL("[INVALID] Quality audit monitoring completed for "&amp;UPPER($C1831))&amp;"&amp;body="&amp;_xlfn.ENCODEURL("Hi "&amp;$F1831&amp;","&amp;CHAR(10)&amp;"Good day!"&amp;CHAR(10)&amp;CHAR(10)&amp;"A quality monitoring audit has been completed for "&amp;$C1831&amp;"."&amp;CHAR(10)&amp;CHAR(10)&amp;"QUALITY AUDIT DETAILS"&amp;CHAR(10)&amp;"Agent Name: "&amp;$C1831&amp;" (EID "&amp;$D1831&amp;")"&amp;CHAR(10)&amp;"Audit Date: "&amp;TEXT($B1831,"yyyy-mm-dd")&amp;CHAR(10)&amp;"Team Leader: "&amp;$F1831&amp;CHAR(10)&amp;"Case Number: "&amp;$M1831&amp;CHAR(10)&amp;"Transaction ID: "&amp;$N1831&amp;CHAR(10)&amp;"Channel / LOB: "&amp;$K1831&amp;" / "&amp;$L1831&amp;CHAR(10)&amp;"Evaluator: "&amp;$S1831&amp;CHAR(10)&amp;CHAR(10)&amp;"INVALID QUALITY AUDIT DETAILS"&amp;CHAR(10)&amp;"Validation: Invalid"&amp;CHAR(10)&amp;"Invalid Reason: "&amp;$P1831&amp;CHAR(10)&amp;"Expected Resolution Code: "&amp;$Q1831&amp;CHAR(10)&amp;"Remarks: "&amp;LEFT($R1831,600)&amp;CHAR(10)&amp;CHAR(10)&amp;"This is an automated notification from HP Mainstream EQMS."),"✉ Open Email Draft"),"")</f>
        <v/>
      </c>
    </row>
    <row r="1832">
      <c r="A1832" s="25">
        <f>IF($C1832="","","AUD-2026-"&amp;TEXT(ROW()-1,"000000"))</f>
        <v/>
      </c>
      <c r="B1832" s="26" t="n"/>
      <c r="C1832" s="27" t="n"/>
      <c r="D1832" s="25">
        <f>IF($C1832="","",IFERROR(IF(INDEX(Roster!$A:$A,MATCH($C1832,Roster!$B:$B,0))="","",INDEX(Roster!$A:$A,MATCH($C1832,Roster!$B:$B,0))&amp;""),"—"))</f>
        <v/>
      </c>
      <c r="E1832" s="25">
        <f>IF($C1832="","",IFERROR(IF(INDEX(Roster!$C:$C,MATCH($C1832,Roster!$B:$B,0))="","",INDEX(Roster!$C:$C,MATCH($C1832,Roster!$B:$B,0))&amp;""),"—"))</f>
        <v/>
      </c>
      <c r="F1832" s="25">
        <f>IF($C1832="","",IFERROR(IF(INDEX(Roster!$D:$D,MATCH($C1832,Roster!$B:$B,0))="","",INDEX(Roster!$D:$D,MATCH($C1832,Roster!$B:$B,0))&amp;""),"—"))</f>
        <v/>
      </c>
      <c r="G1832" s="25">
        <f>IF($C1832="","",IFERROR(IF(INDEX(Roster!$E:$E,MATCH($C1832,Roster!$B:$B,0))="","",INDEX(Roster!$E:$E,MATCH($C1832,Roster!$B:$B,0))&amp;""),"—"))</f>
        <v/>
      </c>
      <c r="H1832" s="25">
        <f>IF($C1832="","",IFERROR(IF(INDEX(Roster!$F:$F,MATCH($C1832,Roster!$B:$B,0))="","",INDEX(Roster!$F:$F,MATCH($C1832,Roster!$B:$B,0))&amp;""),"—"))</f>
        <v/>
      </c>
      <c r="I1832" s="25">
        <f>IF($C1832="","",IFERROR(IF(INDEX(Roster!$G:$G,MATCH($C1832,Roster!$B:$B,0))="","",INDEX(Roster!$G:$G,MATCH($C1832,Roster!$B:$B,0))&amp;""),"—"))</f>
        <v/>
      </c>
      <c r="J1832" s="25">
        <f>IF($C1832="","",IFERROR(IF(INDEX(Roster!$I:$I,MATCH($C1832,Roster!$B:$B,0))="","",INDEX(Roster!$I:$I,MATCH($C1832,Roster!$B:$B,0))&amp;""),"—"))</f>
        <v/>
      </c>
      <c r="K1832">
        <f>IF($C1832="","",IFERROR(IF(INDEX(Roster!$J:$J,MATCH($C1832,Roster!$B:$B,0))="","",INDEX(Roster!$J:$J,MATCH($C1832,Roster!$B:$B,0))&amp;""),"—"))</f>
        <v/>
      </c>
      <c r="L1832">
        <f>IF($C1832="","",IFERROR(IF(INDEX(Roster!$K:$K,MATCH($C1832,Roster!$B:$B,0))="","",INDEX(Roster!$K:$K,MATCH($C1832,Roster!$B:$B,0))&amp;""),"—"))</f>
        <v/>
      </c>
      <c r="M1832" s="27" t="n"/>
      <c r="N1832" s="27" t="n"/>
      <c r="O1832" s="25">
        <f>IF($C1832="","",IF($P1832="","—",IF($P1832="Valid (Pass)","Valid","Invalid")))</f>
        <v/>
      </c>
      <c r="P1832" s="27" t="n"/>
      <c r="Q1832" s="27" t="n"/>
      <c r="R1832" s="27" t="n"/>
      <c r="S1832" s="27" t="n"/>
      <c r="T1832" s="25">
        <f>IF($C1832="","",IF(OR(ISNUMBER(SEARCH("quick case",$P1832)),ISNUMBER(SEARCH("quick case",$Q1832))),"Yes","No"))</f>
        <v/>
      </c>
      <c r="U1832" s="25">
        <f>IF($O1832="Invalid",HYPERLINK("mailto:"&amp;$G1832&amp;";"&amp;$I1832&amp;"?cc="&amp;Lists!$E$2&amp;"&amp;subject="&amp;_xlfn.ENCODEURL("[INVALID] Quality audit monitoring completed for "&amp;UPPER($C1832))&amp;"&amp;body="&amp;_xlfn.ENCODEURL("Hi "&amp;$F1832&amp;","&amp;CHAR(10)&amp;"Good day!"&amp;CHAR(10)&amp;CHAR(10)&amp;"A quality monitoring audit has been completed for "&amp;$C1832&amp;"."&amp;CHAR(10)&amp;CHAR(10)&amp;"QUALITY AUDIT DETAILS"&amp;CHAR(10)&amp;"Agent Name: "&amp;$C1832&amp;" (EID "&amp;$D1832&amp;")"&amp;CHAR(10)&amp;"Audit Date: "&amp;TEXT($B1832,"yyyy-mm-dd")&amp;CHAR(10)&amp;"Team Leader: "&amp;$F1832&amp;CHAR(10)&amp;"Case Number: "&amp;$M1832&amp;CHAR(10)&amp;"Transaction ID: "&amp;$N1832&amp;CHAR(10)&amp;"Channel / LOB: "&amp;$K1832&amp;" / "&amp;$L1832&amp;CHAR(10)&amp;"Evaluator: "&amp;$S1832&amp;CHAR(10)&amp;CHAR(10)&amp;"INVALID QUALITY AUDIT DETAILS"&amp;CHAR(10)&amp;"Validation: Invalid"&amp;CHAR(10)&amp;"Invalid Reason: "&amp;$P1832&amp;CHAR(10)&amp;"Expected Resolution Code: "&amp;$Q1832&amp;CHAR(10)&amp;"Remarks: "&amp;LEFT($R1832,600)&amp;CHAR(10)&amp;CHAR(10)&amp;"This is an automated notification from HP Mainstream EQMS."),"✉ Open Email Draft"),"")</f>
        <v/>
      </c>
    </row>
    <row r="1833">
      <c r="A1833" s="25">
        <f>IF($C1833="","","AUD-2026-"&amp;TEXT(ROW()-1,"000000"))</f>
        <v/>
      </c>
      <c r="B1833" s="26" t="n"/>
      <c r="C1833" s="27" t="n"/>
      <c r="D1833" s="25">
        <f>IF($C1833="","",IFERROR(IF(INDEX(Roster!$A:$A,MATCH($C1833,Roster!$B:$B,0))="","",INDEX(Roster!$A:$A,MATCH($C1833,Roster!$B:$B,0))&amp;""),"—"))</f>
        <v/>
      </c>
      <c r="E1833" s="25">
        <f>IF($C1833="","",IFERROR(IF(INDEX(Roster!$C:$C,MATCH($C1833,Roster!$B:$B,0))="","",INDEX(Roster!$C:$C,MATCH($C1833,Roster!$B:$B,0))&amp;""),"—"))</f>
        <v/>
      </c>
      <c r="F1833" s="25">
        <f>IF($C1833="","",IFERROR(IF(INDEX(Roster!$D:$D,MATCH($C1833,Roster!$B:$B,0))="","",INDEX(Roster!$D:$D,MATCH($C1833,Roster!$B:$B,0))&amp;""),"—"))</f>
        <v/>
      </c>
      <c r="G1833" s="25">
        <f>IF($C1833="","",IFERROR(IF(INDEX(Roster!$E:$E,MATCH($C1833,Roster!$B:$B,0))="","",INDEX(Roster!$E:$E,MATCH($C1833,Roster!$B:$B,0))&amp;""),"—"))</f>
        <v/>
      </c>
      <c r="H1833" s="25">
        <f>IF($C1833="","",IFERROR(IF(INDEX(Roster!$F:$F,MATCH($C1833,Roster!$B:$B,0))="","",INDEX(Roster!$F:$F,MATCH($C1833,Roster!$B:$B,0))&amp;""),"—"))</f>
        <v/>
      </c>
      <c r="I1833" s="25">
        <f>IF($C1833="","",IFERROR(IF(INDEX(Roster!$G:$G,MATCH($C1833,Roster!$B:$B,0))="","",INDEX(Roster!$G:$G,MATCH($C1833,Roster!$B:$B,0))&amp;""),"—"))</f>
        <v/>
      </c>
      <c r="J1833" s="25">
        <f>IF($C1833="","",IFERROR(IF(INDEX(Roster!$I:$I,MATCH($C1833,Roster!$B:$B,0))="","",INDEX(Roster!$I:$I,MATCH($C1833,Roster!$B:$B,0))&amp;""),"—"))</f>
        <v/>
      </c>
      <c r="K1833">
        <f>IF($C1833="","",IFERROR(IF(INDEX(Roster!$J:$J,MATCH($C1833,Roster!$B:$B,0))="","",INDEX(Roster!$J:$J,MATCH($C1833,Roster!$B:$B,0))&amp;""),"—"))</f>
        <v/>
      </c>
      <c r="L1833">
        <f>IF($C1833="","",IFERROR(IF(INDEX(Roster!$K:$K,MATCH($C1833,Roster!$B:$B,0))="","",INDEX(Roster!$K:$K,MATCH($C1833,Roster!$B:$B,0))&amp;""),"—"))</f>
        <v/>
      </c>
      <c r="M1833" s="27" t="n"/>
      <c r="N1833" s="27" t="n"/>
      <c r="O1833" s="25">
        <f>IF($C1833="","",IF($P1833="","—",IF($P1833="Valid (Pass)","Valid","Invalid")))</f>
        <v/>
      </c>
      <c r="P1833" s="27" t="n"/>
      <c r="Q1833" s="27" t="n"/>
      <c r="R1833" s="27" t="n"/>
      <c r="S1833" s="27" t="n"/>
      <c r="T1833" s="25">
        <f>IF($C1833="","",IF(OR(ISNUMBER(SEARCH("quick case",$P1833)),ISNUMBER(SEARCH("quick case",$Q1833))),"Yes","No"))</f>
        <v/>
      </c>
      <c r="U1833" s="25">
        <f>IF($O1833="Invalid",HYPERLINK("mailto:"&amp;$G1833&amp;";"&amp;$I1833&amp;"?cc="&amp;Lists!$E$2&amp;"&amp;subject="&amp;_xlfn.ENCODEURL("[INVALID] Quality audit monitoring completed for "&amp;UPPER($C1833))&amp;"&amp;body="&amp;_xlfn.ENCODEURL("Hi "&amp;$F1833&amp;","&amp;CHAR(10)&amp;"Good day!"&amp;CHAR(10)&amp;CHAR(10)&amp;"A quality monitoring audit has been completed for "&amp;$C1833&amp;"."&amp;CHAR(10)&amp;CHAR(10)&amp;"QUALITY AUDIT DETAILS"&amp;CHAR(10)&amp;"Agent Name: "&amp;$C1833&amp;" (EID "&amp;$D1833&amp;")"&amp;CHAR(10)&amp;"Audit Date: "&amp;TEXT($B1833,"yyyy-mm-dd")&amp;CHAR(10)&amp;"Team Leader: "&amp;$F1833&amp;CHAR(10)&amp;"Case Number: "&amp;$M1833&amp;CHAR(10)&amp;"Transaction ID: "&amp;$N1833&amp;CHAR(10)&amp;"Channel / LOB: "&amp;$K1833&amp;" / "&amp;$L1833&amp;CHAR(10)&amp;"Evaluator: "&amp;$S1833&amp;CHAR(10)&amp;CHAR(10)&amp;"INVALID QUALITY AUDIT DETAILS"&amp;CHAR(10)&amp;"Validation: Invalid"&amp;CHAR(10)&amp;"Invalid Reason: "&amp;$P1833&amp;CHAR(10)&amp;"Expected Resolution Code: "&amp;$Q1833&amp;CHAR(10)&amp;"Remarks: "&amp;LEFT($R1833,600)&amp;CHAR(10)&amp;CHAR(10)&amp;"This is an automated notification from HP Mainstream EQMS."),"✉ Open Email Draft"),"")</f>
        <v/>
      </c>
    </row>
    <row r="1834">
      <c r="A1834" s="25">
        <f>IF($C1834="","","AUD-2026-"&amp;TEXT(ROW()-1,"000000"))</f>
        <v/>
      </c>
      <c r="B1834" s="26" t="n"/>
      <c r="C1834" s="27" t="n"/>
      <c r="D1834" s="25">
        <f>IF($C1834="","",IFERROR(IF(INDEX(Roster!$A:$A,MATCH($C1834,Roster!$B:$B,0))="","",INDEX(Roster!$A:$A,MATCH($C1834,Roster!$B:$B,0))&amp;""),"—"))</f>
        <v/>
      </c>
      <c r="E1834" s="25">
        <f>IF($C1834="","",IFERROR(IF(INDEX(Roster!$C:$C,MATCH($C1834,Roster!$B:$B,0))="","",INDEX(Roster!$C:$C,MATCH($C1834,Roster!$B:$B,0))&amp;""),"—"))</f>
        <v/>
      </c>
      <c r="F1834" s="25">
        <f>IF($C1834="","",IFERROR(IF(INDEX(Roster!$D:$D,MATCH($C1834,Roster!$B:$B,0))="","",INDEX(Roster!$D:$D,MATCH($C1834,Roster!$B:$B,0))&amp;""),"—"))</f>
        <v/>
      </c>
      <c r="G1834" s="25">
        <f>IF($C1834="","",IFERROR(IF(INDEX(Roster!$E:$E,MATCH($C1834,Roster!$B:$B,0))="","",INDEX(Roster!$E:$E,MATCH($C1834,Roster!$B:$B,0))&amp;""),"—"))</f>
        <v/>
      </c>
      <c r="H1834" s="25">
        <f>IF($C1834="","",IFERROR(IF(INDEX(Roster!$F:$F,MATCH($C1834,Roster!$B:$B,0))="","",INDEX(Roster!$F:$F,MATCH($C1834,Roster!$B:$B,0))&amp;""),"—"))</f>
        <v/>
      </c>
      <c r="I1834" s="25">
        <f>IF($C1834="","",IFERROR(IF(INDEX(Roster!$G:$G,MATCH($C1834,Roster!$B:$B,0))="","",INDEX(Roster!$G:$G,MATCH($C1834,Roster!$B:$B,0))&amp;""),"—"))</f>
        <v/>
      </c>
      <c r="J1834" s="25">
        <f>IF($C1834="","",IFERROR(IF(INDEX(Roster!$I:$I,MATCH($C1834,Roster!$B:$B,0))="","",INDEX(Roster!$I:$I,MATCH($C1834,Roster!$B:$B,0))&amp;""),"—"))</f>
        <v/>
      </c>
      <c r="K1834">
        <f>IF($C1834="","",IFERROR(IF(INDEX(Roster!$J:$J,MATCH($C1834,Roster!$B:$B,0))="","",INDEX(Roster!$J:$J,MATCH($C1834,Roster!$B:$B,0))&amp;""),"—"))</f>
        <v/>
      </c>
      <c r="L1834">
        <f>IF($C1834="","",IFERROR(IF(INDEX(Roster!$K:$K,MATCH($C1834,Roster!$B:$B,0))="","",INDEX(Roster!$K:$K,MATCH($C1834,Roster!$B:$B,0))&amp;""),"—"))</f>
        <v/>
      </c>
      <c r="M1834" s="27" t="n"/>
      <c r="N1834" s="27" t="n"/>
      <c r="O1834" s="25">
        <f>IF($C1834="","",IF($P1834="","—",IF($P1834="Valid (Pass)","Valid","Invalid")))</f>
        <v/>
      </c>
      <c r="P1834" s="27" t="n"/>
      <c r="Q1834" s="27" t="n"/>
      <c r="R1834" s="27" t="n"/>
      <c r="S1834" s="27" t="n"/>
      <c r="T1834" s="25">
        <f>IF($C1834="","",IF(OR(ISNUMBER(SEARCH("quick case",$P1834)),ISNUMBER(SEARCH("quick case",$Q1834))),"Yes","No"))</f>
        <v/>
      </c>
      <c r="U1834" s="25">
        <f>IF($O1834="Invalid",HYPERLINK("mailto:"&amp;$G1834&amp;";"&amp;$I1834&amp;"?cc="&amp;Lists!$E$2&amp;"&amp;subject="&amp;_xlfn.ENCODEURL("[INVALID] Quality audit monitoring completed for "&amp;UPPER($C1834))&amp;"&amp;body="&amp;_xlfn.ENCODEURL("Hi "&amp;$F1834&amp;","&amp;CHAR(10)&amp;"Good day!"&amp;CHAR(10)&amp;CHAR(10)&amp;"A quality monitoring audit has been completed for "&amp;$C1834&amp;"."&amp;CHAR(10)&amp;CHAR(10)&amp;"QUALITY AUDIT DETAILS"&amp;CHAR(10)&amp;"Agent Name: "&amp;$C1834&amp;" (EID "&amp;$D1834&amp;")"&amp;CHAR(10)&amp;"Audit Date: "&amp;TEXT($B1834,"yyyy-mm-dd")&amp;CHAR(10)&amp;"Team Leader: "&amp;$F1834&amp;CHAR(10)&amp;"Case Number: "&amp;$M1834&amp;CHAR(10)&amp;"Transaction ID: "&amp;$N1834&amp;CHAR(10)&amp;"Channel / LOB: "&amp;$K1834&amp;" / "&amp;$L1834&amp;CHAR(10)&amp;"Evaluator: "&amp;$S1834&amp;CHAR(10)&amp;CHAR(10)&amp;"INVALID QUALITY AUDIT DETAILS"&amp;CHAR(10)&amp;"Validation: Invalid"&amp;CHAR(10)&amp;"Invalid Reason: "&amp;$P1834&amp;CHAR(10)&amp;"Expected Resolution Code: "&amp;$Q1834&amp;CHAR(10)&amp;"Remarks: "&amp;LEFT($R1834,600)&amp;CHAR(10)&amp;CHAR(10)&amp;"This is an automated notification from HP Mainstream EQMS."),"✉ Open Email Draft"),"")</f>
        <v/>
      </c>
    </row>
    <row r="1835">
      <c r="A1835" s="25">
        <f>IF($C1835="","","AUD-2026-"&amp;TEXT(ROW()-1,"000000"))</f>
        <v/>
      </c>
      <c r="B1835" s="26" t="n"/>
      <c r="C1835" s="27" t="n"/>
      <c r="D1835" s="25">
        <f>IF($C1835="","",IFERROR(IF(INDEX(Roster!$A:$A,MATCH($C1835,Roster!$B:$B,0))="","",INDEX(Roster!$A:$A,MATCH($C1835,Roster!$B:$B,0))&amp;""),"—"))</f>
        <v/>
      </c>
      <c r="E1835" s="25">
        <f>IF($C1835="","",IFERROR(IF(INDEX(Roster!$C:$C,MATCH($C1835,Roster!$B:$B,0))="","",INDEX(Roster!$C:$C,MATCH($C1835,Roster!$B:$B,0))&amp;""),"—"))</f>
        <v/>
      </c>
      <c r="F1835" s="25">
        <f>IF($C1835="","",IFERROR(IF(INDEX(Roster!$D:$D,MATCH($C1835,Roster!$B:$B,0))="","",INDEX(Roster!$D:$D,MATCH($C1835,Roster!$B:$B,0))&amp;""),"—"))</f>
        <v/>
      </c>
      <c r="G1835" s="25">
        <f>IF($C1835="","",IFERROR(IF(INDEX(Roster!$E:$E,MATCH($C1835,Roster!$B:$B,0))="","",INDEX(Roster!$E:$E,MATCH($C1835,Roster!$B:$B,0))&amp;""),"—"))</f>
        <v/>
      </c>
      <c r="H1835" s="25">
        <f>IF($C1835="","",IFERROR(IF(INDEX(Roster!$F:$F,MATCH($C1835,Roster!$B:$B,0))="","",INDEX(Roster!$F:$F,MATCH($C1835,Roster!$B:$B,0))&amp;""),"—"))</f>
        <v/>
      </c>
      <c r="I1835" s="25">
        <f>IF($C1835="","",IFERROR(IF(INDEX(Roster!$G:$G,MATCH($C1835,Roster!$B:$B,0))="","",INDEX(Roster!$G:$G,MATCH($C1835,Roster!$B:$B,0))&amp;""),"—"))</f>
        <v/>
      </c>
      <c r="J1835" s="25">
        <f>IF($C1835="","",IFERROR(IF(INDEX(Roster!$I:$I,MATCH($C1835,Roster!$B:$B,0))="","",INDEX(Roster!$I:$I,MATCH($C1835,Roster!$B:$B,0))&amp;""),"—"))</f>
        <v/>
      </c>
      <c r="K1835">
        <f>IF($C1835="","",IFERROR(IF(INDEX(Roster!$J:$J,MATCH($C1835,Roster!$B:$B,0))="","",INDEX(Roster!$J:$J,MATCH($C1835,Roster!$B:$B,0))&amp;""),"—"))</f>
        <v/>
      </c>
      <c r="L1835">
        <f>IF($C1835="","",IFERROR(IF(INDEX(Roster!$K:$K,MATCH($C1835,Roster!$B:$B,0))="","",INDEX(Roster!$K:$K,MATCH($C1835,Roster!$B:$B,0))&amp;""),"—"))</f>
        <v/>
      </c>
      <c r="M1835" s="27" t="n"/>
      <c r="N1835" s="27" t="n"/>
      <c r="O1835" s="25">
        <f>IF($C1835="","",IF($P1835="","—",IF($P1835="Valid (Pass)","Valid","Invalid")))</f>
        <v/>
      </c>
      <c r="P1835" s="27" t="n"/>
      <c r="Q1835" s="27" t="n"/>
      <c r="R1835" s="27" t="n"/>
      <c r="S1835" s="27" t="n"/>
      <c r="T1835" s="25">
        <f>IF($C1835="","",IF(OR(ISNUMBER(SEARCH("quick case",$P1835)),ISNUMBER(SEARCH("quick case",$Q1835))),"Yes","No"))</f>
        <v/>
      </c>
      <c r="U1835" s="25">
        <f>IF($O1835="Invalid",HYPERLINK("mailto:"&amp;$G1835&amp;";"&amp;$I1835&amp;"?cc="&amp;Lists!$E$2&amp;"&amp;subject="&amp;_xlfn.ENCODEURL("[INVALID] Quality audit monitoring completed for "&amp;UPPER($C1835))&amp;"&amp;body="&amp;_xlfn.ENCODEURL("Hi "&amp;$F1835&amp;","&amp;CHAR(10)&amp;"Good day!"&amp;CHAR(10)&amp;CHAR(10)&amp;"A quality monitoring audit has been completed for "&amp;$C1835&amp;"."&amp;CHAR(10)&amp;CHAR(10)&amp;"QUALITY AUDIT DETAILS"&amp;CHAR(10)&amp;"Agent Name: "&amp;$C1835&amp;" (EID "&amp;$D1835&amp;")"&amp;CHAR(10)&amp;"Audit Date: "&amp;TEXT($B1835,"yyyy-mm-dd")&amp;CHAR(10)&amp;"Team Leader: "&amp;$F1835&amp;CHAR(10)&amp;"Case Number: "&amp;$M1835&amp;CHAR(10)&amp;"Transaction ID: "&amp;$N1835&amp;CHAR(10)&amp;"Channel / LOB: "&amp;$K1835&amp;" / "&amp;$L1835&amp;CHAR(10)&amp;"Evaluator: "&amp;$S1835&amp;CHAR(10)&amp;CHAR(10)&amp;"INVALID QUALITY AUDIT DETAILS"&amp;CHAR(10)&amp;"Validation: Invalid"&amp;CHAR(10)&amp;"Invalid Reason: "&amp;$P1835&amp;CHAR(10)&amp;"Expected Resolution Code: "&amp;$Q1835&amp;CHAR(10)&amp;"Remarks: "&amp;LEFT($R1835,600)&amp;CHAR(10)&amp;CHAR(10)&amp;"This is an automated notification from HP Mainstream EQMS."),"✉ Open Email Draft"),"")</f>
        <v/>
      </c>
    </row>
    <row r="1836">
      <c r="A1836" s="25">
        <f>IF($C1836="","","AUD-2026-"&amp;TEXT(ROW()-1,"000000"))</f>
        <v/>
      </c>
      <c r="B1836" s="26" t="n"/>
      <c r="C1836" s="27" t="n"/>
      <c r="D1836" s="25">
        <f>IF($C1836="","",IFERROR(IF(INDEX(Roster!$A:$A,MATCH($C1836,Roster!$B:$B,0))="","",INDEX(Roster!$A:$A,MATCH($C1836,Roster!$B:$B,0))&amp;""),"—"))</f>
        <v/>
      </c>
      <c r="E1836" s="25">
        <f>IF($C1836="","",IFERROR(IF(INDEX(Roster!$C:$C,MATCH($C1836,Roster!$B:$B,0))="","",INDEX(Roster!$C:$C,MATCH($C1836,Roster!$B:$B,0))&amp;""),"—"))</f>
        <v/>
      </c>
      <c r="F1836" s="25">
        <f>IF($C1836="","",IFERROR(IF(INDEX(Roster!$D:$D,MATCH($C1836,Roster!$B:$B,0))="","",INDEX(Roster!$D:$D,MATCH($C1836,Roster!$B:$B,0))&amp;""),"—"))</f>
        <v/>
      </c>
      <c r="G1836" s="25">
        <f>IF($C1836="","",IFERROR(IF(INDEX(Roster!$E:$E,MATCH($C1836,Roster!$B:$B,0))="","",INDEX(Roster!$E:$E,MATCH($C1836,Roster!$B:$B,0))&amp;""),"—"))</f>
        <v/>
      </c>
      <c r="H1836" s="25">
        <f>IF($C1836="","",IFERROR(IF(INDEX(Roster!$F:$F,MATCH($C1836,Roster!$B:$B,0))="","",INDEX(Roster!$F:$F,MATCH($C1836,Roster!$B:$B,0))&amp;""),"—"))</f>
        <v/>
      </c>
      <c r="I1836" s="25">
        <f>IF($C1836="","",IFERROR(IF(INDEX(Roster!$G:$G,MATCH($C1836,Roster!$B:$B,0))="","",INDEX(Roster!$G:$G,MATCH($C1836,Roster!$B:$B,0))&amp;""),"—"))</f>
        <v/>
      </c>
      <c r="J1836" s="25">
        <f>IF($C1836="","",IFERROR(IF(INDEX(Roster!$I:$I,MATCH($C1836,Roster!$B:$B,0))="","",INDEX(Roster!$I:$I,MATCH($C1836,Roster!$B:$B,0))&amp;""),"—"))</f>
        <v/>
      </c>
      <c r="K1836">
        <f>IF($C1836="","",IFERROR(IF(INDEX(Roster!$J:$J,MATCH($C1836,Roster!$B:$B,0))="","",INDEX(Roster!$J:$J,MATCH($C1836,Roster!$B:$B,0))&amp;""),"—"))</f>
        <v/>
      </c>
      <c r="L1836">
        <f>IF($C1836="","",IFERROR(IF(INDEX(Roster!$K:$K,MATCH($C1836,Roster!$B:$B,0))="","",INDEX(Roster!$K:$K,MATCH($C1836,Roster!$B:$B,0))&amp;""),"—"))</f>
        <v/>
      </c>
      <c r="M1836" s="27" t="n"/>
      <c r="N1836" s="27" t="n"/>
      <c r="O1836" s="25">
        <f>IF($C1836="","",IF($P1836="","—",IF($P1836="Valid (Pass)","Valid","Invalid")))</f>
        <v/>
      </c>
      <c r="P1836" s="27" t="n"/>
      <c r="Q1836" s="27" t="n"/>
      <c r="R1836" s="27" t="n"/>
      <c r="S1836" s="27" t="n"/>
      <c r="T1836" s="25">
        <f>IF($C1836="","",IF(OR(ISNUMBER(SEARCH("quick case",$P1836)),ISNUMBER(SEARCH("quick case",$Q1836))),"Yes","No"))</f>
        <v/>
      </c>
      <c r="U1836" s="25">
        <f>IF($O1836="Invalid",HYPERLINK("mailto:"&amp;$G1836&amp;";"&amp;$I1836&amp;"?cc="&amp;Lists!$E$2&amp;"&amp;subject="&amp;_xlfn.ENCODEURL("[INVALID] Quality audit monitoring completed for "&amp;UPPER($C1836))&amp;"&amp;body="&amp;_xlfn.ENCODEURL("Hi "&amp;$F1836&amp;","&amp;CHAR(10)&amp;"Good day!"&amp;CHAR(10)&amp;CHAR(10)&amp;"A quality monitoring audit has been completed for "&amp;$C1836&amp;"."&amp;CHAR(10)&amp;CHAR(10)&amp;"QUALITY AUDIT DETAILS"&amp;CHAR(10)&amp;"Agent Name: "&amp;$C1836&amp;" (EID "&amp;$D1836&amp;")"&amp;CHAR(10)&amp;"Audit Date: "&amp;TEXT($B1836,"yyyy-mm-dd")&amp;CHAR(10)&amp;"Team Leader: "&amp;$F1836&amp;CHAR(10)&amp;"Case Number: "&amp;$M1836&amp;CHAR(10)&amp;"Transaction ID: "&amp;$N1836&amp;CHAR(10)&amp;"Channel / LOB: "&amp;$K1836&amp;" / "&amp;$L1836&amp;CHAR(10)&amp;"Evaluator: "&amp;$S1836&amp;CHAR(10)&amp;CHAR(10)&amp;"INVALID QUALITY AUDIT DETAILS"&amp;CHAR(10)&amp;"Validation: Invalid"&amp;CHAR(10)&amp;"Invalid Reason: "&amp;$P1836&amp;CHAR(10)&amp;"Expected Resolution Code: "&amp;$Q1836&amp;CHAR(10)&amp;"Remarks: "&amp;LEFT($R1836,600)&amp;CHAR(10)&amp;CHAR(10)&amp;"This is an automated notification from HP Mainstream EQMS."),"✉ Open Email Draft"),"")</f>
        <v/>
      </c>
    </row>
    <row r="1837">
      <c r="A1837" s="25">
        <f>IF($C1837="","","AUD-2026-"&amp;TEXT(ROW()-1,"000000"))</f>
        <v/>
      </c>
      <c r="B1837" s="26" t="n"/>
      <c r="C1837" s="27" t="n"/>
      <c r="D1837" s="25">
        <f>IF($C1837="","",IFERROR(IF(INDEX(Roster!$A:$A,MATCH($C1837,Roster!$B:$B,0))="","",INDEX(Roster!$A:$A,MATCH($C1837,Roster!$B:$B,0))&amp;""),"—"))</f>
        <v/>
      </c>
      <c r="E1837" s="25">
        <f>IF($C1837="","",IFERROR(IF(INDEX(Roster!$C:$C,MATCH($C1837,Roster!$B:$B,0))="","",INDEX(Roster!$C:$C,MATCH($C1837,Roster!$B:$B,0))&amp;""),"—"))</f>
        <v/>
      </c>
      <c r="F1837" s="25">
        <f>IF($C1837="","",IFERROR(IF(INDEX(Roster!$D:$D,MATCH($C1837,Roster!$B:$B,0))="","",INDEX(Roster!$D:$D,MATCH($C1837,Roster!$B:$B,0))&amp;""),"—"))</f>
        <v/>
      </c>
      <c r="G1837" s="25">
        <f>IF($C1837="","",IFERROR(IF(INDEX(Roster!$E:$E,MATCH($C1837,Roster!$B:$B,0))="","",INDEX(Roster!$E:$E,MATCH($C1837,Roster!$B:$B,0))&amp;""),"—"))</f>
        <v/>
      </c>
      <c r="H1837" s="25">
        <f>IF($C1837="","",IFERROR(IF(INDEX(Roster!$F:$F,MATCH($C1837,Roster!$B:$B,0))="","",INDEX(Roster!$F:$F,MATCH($C1837,Roster!$B:$B,0))&amp;""),"—"))</f>
        <v/>
      </c>
      <c r="I1837" s="25">
        <f>IF($C1837="","",IFERROR(IF(INDEX(Roster!$G:$G,MATCH($C1837,Roster!$B:$B,0))="","",INDEX(Roster!$G:$G,MATCH($C1837,Roster!$B:$B,0))&amp;""),"—"))</f>
        <v/>
      </c>
      <c r="J1837" s="25">
        <f>IF($C1837="","",IFERROR(IF(INDEX(Roster!$I:$I,MATCH($C1837,Roster!$B:$B,0))="","",INDEX(Roster!$I:$I,MATCH($C1837,Roster!$B:$B,0))&amp;""),"—"))</f>
        <v/>
      </c>
      <c r="K1837">
        <f>IF($C1837="","",IFERROR(IF(INDEX(Roster!$J:$J,MATCH($C1837,Roster!$B:$B,0))="","",INDEX(Roster!$J:$J,MATCH($C1837,Roster!$B:$B,0))&amp;""),"—"))</f>
        <v/>
      </c>
      <c r="L1837">
        <f>IF($C1837="","",IFERROR(IF(INDEX(Roster!$K:$K,MATCH($C1837,Roster!$B:$B,0))="","",INDEX(Roster!$K:$K,MATCH($C1837,Roster!$B:$B,0))&amp;""),"—"))</f>
        <v/>
      </c>
      <c r="M1837" s="27" t="n"/>
      <c r="N1837" s="27" t="n"/>
      <c r="O1837" s="25">
        <f>IF($C1837="","",IF($P1837="","—",IF($P1837="Valid (Pass)","Valid","Invalid")))</f>
        <v/>
      </c>
      <c r="P1837" s="27" t="n"/>
      <c r="Q1837" s="27" t="n"/>
      <c r="R1837" s="27" t="n"/>
      <c r="S1837" s="27" t="n"/>
      <c r="T1837" s="25">
        <f>IF($C1837="","",IF(OR(ISNUMBER(SEARCH("quick case",$P1837)),ISNUMBER(SEARCH("quick case",$Q1837))),"Yes","No"))</f>
        <v/>
      </c>
      <c r="U1837" s="25">
        <f>IF($O1837="Invalid",HYPERLINK("mailto:"&amp;$G1837&amp;";"&amp;$I1837&amp;"?cc="&amp;Lists!$E$2&amp;"&amp;subject="&amp;_xlfn.ENCODEURL("[INVALID] Quality audit monitoring completed for "&amp;UPPER($C1837))&amp;"&amp;body="&amp;_xlfn.ENCODEURL("Hi "&amp;$F1837&amp;","&amp;CHAR(10)&amp;"Good day!"&amp;CHAR(10)&amp;CHAR(10)&amp;"A quality monitoring audit has been completed for "&amp;$C1837&amp;"."&amp;CHAR(10)&amp;CHAR(10)&amp;"QUALITY AUDIT DETAILS"&amp;CHAR(10)&amp;"Agent Name: "&amp;$C1837&amp;" (EID "&amp;$D1837&amp;")"&amp;CHAR(10)&amp;"Audit Date: "&amp;TEXT($B1837,"yyyy-mm-dd")&amp;CHAR(10)&amp;"Team Leader: "&amp;$F1837&amp;CHAR(10)&amp;"Case Number: "&amp;$M1837&amp;CHAR(10)&amp;"Transaction ID: "&amp;$N1837&amp;CHAR(10)&amp;"Channel / LOB: "&amp;$K1837&amp;" / "&amp;$L1837&amp;CHAR(10)&amp;"Evaluator: "&amp;$S1837&amp;CHAR(10)&amp;CHAR(10)&amp;"INVALID QUALITY AUDIT DETAILS"&amp;CHAR(10)&amp;"Validation: Invalid"&amp;CHAR(10)&amp;"Invalid Reason: "&amp;$P1837&amp;CHAR(10)&amp;"Expected Resolution Code: "&amp;$Q1837&amp;CHAR(10)&amp;"Remarks: "&amp;LEFT($R1837,600)&amp;CHAR(10)&amp;CHAR(10)&amp;"This is an automated notification from HP Mainstream EQMS."),"✉ Open Email Draft"),"")</f>
        <v/>
      </c>
    </row>
    <row r="1838">
      <c r="A1838" s="25">
        <f>IF($C1838="","","AUD-2026-"&amp;TEXT(ROW()-1,"000000"))</f>
        <v/>
      </c>
      <c r="B1838" s="26" t="n"/>
      <c r="C1838" s="27" t="n"/>
      <c r="D1838" s="25">
        <f>IF($C1838="","",IFERROR(IF(INDEX(Roster!$A:$A,MATCH($C1838,Roster!$B:$B,0))="","",INDEX(Roster!$A:$A,MATCH($C1838,Roster!$B:$B,0))&amp;""),"—"))</f>
        <v/>
      </c>
      <c r="E1838" s="25">
        <f>IF($C1838="","",IFERROR(IF(INDEX(Roster!$C:$C,MATCH($C1838,Roster!$B:$B,0))="","",INDEX(Roster!$C:$C,MATCH($C1838,Roster!$B:$B,0))&amp;""),"—"))</f>
        <v/>
      </c>
      <c r="F1838" s="25">
        <f>IF($C1838="","",IFERROR(IF(INDEX(Roster!$D:$D,MATCH($C1838,Roster!$B:$B,0))="","",INDEX(Roster!$D:$D,MATCH($C1838,Roster!$B:$B,0))&amp;""),"—"))</f>
        <v/>
      </c>
      <c r="G1838" s="25">
        <f>IF($C1838="","",IFERROR(IF(INDEX(Roster!$E:$E,MATCH($C1838,Roster!$B:$B,0))="","",INDEX(Roster!$E:$E,MATCH($C1838,Roster!$B:$B,0))&amp;""),"—"))</f>
        <v/>
      </c>
      <c r="H1838" s="25">
        <f>IF($C1838="","",IFERROR(IF(INDEX(Roster!$F:$F,MATCH($C1838,Roster!$B:$B,0))="","",INDEX(Roster!$F:$F,MATCH($C1838,Roster!$B:$B,0))&amp;""),"—"))</f>
        <v/>
      </c>
      <c r="I1838" s="25">
        <f>IF($C1838="","",IFERROR(IF(INDEX(Roster!$G:$G,MATCH($C1838,Roster!$B:$B,0))="","",INDEX(Roster!$G:$G,MATCH($C1838,Roster!$B:$B,0))&amp;""),"—"))</f>
        <v/>
      </c>
      <c r="J1838" s="25">
        <f>IF($C1838="","",IFERROR(IF(INDEX(Roster!$I:$I,MATCH($C1838,Roster!$B:$B,0))="","",INDEX(Roster!$I:$I,MATCH($C1838,Roster!$B:$B,0))&amp;""),"—"))</f>
        <v/>
      </c>
      <c r="K1838">
        <f>IF($C1838="","",IFERROR(IF(INDEX(Roster!$J:$J,MATCH($C1838,Roster!$B:$B,0))="","",INDEX(Roster!$J:$J,MATCH($C1838,Roster!$B:$B,0))&amp;""),"—"))</f>
        <v/>
      </c>
      <c r="L1838">
        <f>IF($C1838="","",IFERROR(IF(INDEX(Roster!$K:$K,MATCH($C1838,Roster!$B:$B,0))="","",INDEX(Roster!$K:$K,MATCH($C1838,Roster!$B:$B,0))&amp;""),"—"))</f>
        <v/>
      </c>
      <c r="M1838" s="27" t="n"/>
      <c r="N1838" s="27" t="n"/>
      <c r="O1838" s="25">
        <f>IF($C1838="","",IF($P1838="","—",IF($P1838="Valid (Pass)","Valid","Invalid")))</f>
        <v/>
      </c>
      <c r="P1838" s="27" t="n"/>
      <c r="Q1838" s="27" t="n"/>
      <c r="R1838" s="27" t="n"/>
      <c r="S1838" s="27" t="n"/>
      <c r="T1838" s="25">
        <f>IF($C1838="","",IF(OR(ISNUMBER(SEARCH("quick case",$P1838)),ISNUMBER(SEARCH("quick case",$Q1838))),"Yes","No"))</f>
        <v/>
      </c>
      <c r="U1838" s="25">
        <f>IF($O1838="Invalid",HYPERLINK("mailto:"&amp;$G1838&amp;";"&amp;$I1838&amp;"?cc="&amp;Lists!$E$2&amp;"&amp;subject="&amp;_xlfn.ENCODEURL("[INVALID] Quality audit monitoring completed for "&amp;UPPER($C1838))&amp;"&amp;body="&amp;_xlfn.ENCODEURL("Hi "&amp;$F1838&amp;","&amp;CHAR(10)&amp;"Good day!"&amp;CHAR(10)&amp;CHAR(10)&amp;"A quality monitoring audit has been completed for "&amp;$C1838&amp;"."&amp;CHAR(10)&amp;CHAR(10)&amp;"QUALITY AUDIT DETAILS"&amp;CHAR(10)&amp;"Agent Name: "&amp;$C1838&amp;" (EID "&amp;$D1838&amp;")"&amp;CHAR(10)&amp;"Audit Date: "&amp;TEXT($B1838,"yyyy-mm-dd")&amp;CHAR(10)&amp;"Team Leader: "&amp;$F1838&amp;CHAR(10)&amp;"Case Number: "&amp;$M1838&amp;CHAR(10)&amp;"Transaction ID: "&amp;$N1838&amp;CHAR(10)&amp;"Channel / LOB: "&amp;$K1838&amp;" / "&amp;$L1838&amp;CHAR(10)&amp;"Evaluator: "&amp;$S1838&amp;CHAR(10)&amp;CHAR(10)&amp;"INVALID QUALITY AUDIT DETAILS"&amp;CHAR(10)&amp;"Validation: Invalid"&amp;CHAR(10)&amp;"Invalid Reason: "&amp;$P1838&amp;CHAR(10)&amp;"Expected Resolution Code: "&amp;$Q1838&amp;CHAR(10)&amp;"Remarks: "&amp;LEFT($R1838,600)&amp;CHAR(10)&amp;CHAR(10)&amp;"This is an automated notification from HP Mainstream EQMS."),"✉ Open Email Draft"),"")</f>
        <v/>
      </c>
    </row>
    <row r="1839">
      <c r="A1839" s="25">
        <f>IF($C1839="","","AUD-2026-"&amp;TEXT(ROW()-1,"000000"))</f>
        <v/>
      </c>
      <c r="B1839" s="26" t="n"/>
      <c r="C1839" s="27" t="n"/>
      <c r="D1839" s="25">
        <f>IF($C1839="","",IFERROR(IF(INDEX(Roster!$A:$A,MATCH($C1839,Roster!$B:$B,0))="","",INDEX(Roster!$A:$A,MATCH($C1839,Roster!$B:$B,0))&amp;""),"—"))</f>
        <v/>
      </c>
      <c r="E1839" s="25">
        <f>IF($C1839="","",IFERROR(IF(INDEX(Roster!$C:$C,MATCH($C1839,Roster!$B:$B,0))="","",INDEX(Roster!$C:$C,MATCH($C1839,Roster!$B:$B,0))&amp;""),"—"))</f>
        <v/>
      </c>
      <c r="F1839" s="25">
        <f>IF($C1839="","",IFERROR(IF(INDEX(Roster!$D:$D,MATCH($C1839,Roster!$B:$B,0))="","",INDEX(Roster!$D:$D,MATCH($C1839,Roster!$B:$B,0))&amp;""),"—"))</f>
        <v/>
      </c>
      <c r="G1839" s="25">
        <f>IF($C1839="","",IFERROR(IF(INDEX(Roster!$E:$E,MATCH($C1839,Roster!$B:$B,0))="","",INDEX(Roster!$E:$E,MATCH($C1839,Roster!$B:$B,0))&amp;""),"—"))</f>
        <v/>
      </c>
      <c r="H1839" s="25">
        <f>IF($C1839="","",IFERROR(IF(INDEX(Roster!$F:$F,MATCH($C1839,Roster!$B:$B,0))="","",INDEX(Roster!$F:$F,MATCH($C1839,Roster!$B:$B,0))&amp;""),"—"))</f>
        <v/>
      </c>
      <c r="I1839" s="25">
        <f>IF($C1839="","",IFERROR(IF(INDEX(Roster!$G:$G,MATCH($C1839,Roster!$B:$B,0))="","",INDEX(Roster!$G:$G,MATCH($C1839,Roster!$B:$B,0))&amp;""),"—"))</f>
        <v/>
      </c>
      <c r="J1839" s="25">
        <f>IF($C1839="","",IFERROR(IF(INDEX(Roster!$I:$I,MATCH($C1839,Roster!$B:$B,0))="","",INDEX(Roster!$I:$I,MATCH($C1839,Roster!$B:$B,0))&amp;""),"—"))</f>
        <v/>
      </c>
      <c r="K1839">
        <f>IF($C1839="","",IFERROR(IF(INDEX(Roster!$J:$J,MATCH($C1839,Roster!$B:$B,0))="","",INDEX(Roster!$J:$J,MATCH($C1839,Roster!$B:$B,0))&amp;""),"—"))</f>
        <v/>
      </c>
      <c r="L1839">
        <f>IF($C1839="","",IFERROR(IF(INDEX(Roster!$K:$K,MATCH($C1839,Roster!$B:$B,0))="","",INDEX(Roster!$K:$K,MATCH($C1839,Roster!$B:$B,0))&amp;""),"—"))</f>
        <v/>
      </c>
      <c r="M1839" s="27" t="n"/>
      <c r="N1839" s="27" t="n"/>
      <c r="O1839" s="25">
        <f>IF($C1839="","",IF($P1839="","—",IF($P1839="Valid (Pass)","Valid","Invalid")))</f>
        <v/>
      </c>
      <c r="P1839" s="27" t="n"/>
      <c r="Q1839" s="27" t="n"/>
      <c r="R1839" s="27" t="n"/>
      <c r="S1839" s="27" t="n"/>
      <c r="T1839" s="25">
        <f>IF($C1839="","",IF(OR(ISNUMBER(SEARCH("quick case",$P1839)),ISNUMBER(SEARCH("quick case",$Q1839))),"Yes","No"))</f>
        <v/>
      </c>
      <c r="U1839" s="25">
        <f>IF($O1839="Invalid",HYPERLINK("mailto:"&amp;$G1839&amp;";"&amp;$I1839&amp;"?cc="&amp;Lists!$E$2&amp;"&amp;subject="&amp;_xlfn.ENCODEURL("[INVALID] Quality audit monitoring completed for "&amp;UPPER($C1839))&amp;"&amp;body="&amp;_xlfn.ENCODEURL("Hi "&amp;$F1839&amp;","&amp;CHAR(10)&amp;"Good day!"&amp;CHAR(10)&amp;CHAR(10)&amp;"A quality monitoring audit has been completed for "&amp;$C1839&amp;"."&amp;CHAR(10)&amp;CHAR(10)&amp;"QUALITY AUDIT DETAILS"&amp;CHAR(10)&amp;"Agent Name: "&amp;$C1839&amp;" (EID "&amp;$D1839&amp;")"&amp;CHAR(10)&amp;"Audit Date: "&amp;TEXT($B1839,"yyyy-mm-dd")&amp;CHAR(10)&amp;"Team Leader: "&amp;$F1839&amp;CHAR(10)&amp;"Case Number: "&amp;$M1839&amp;CHAR(10)&amp;"Transaction ID: "&amp;$N1839&amp;CHAR(10)&amp;"Channel / LOB: "&amp;$K1839&amp;" / "&amp;$L1839&amp;CHAR(10)&amp;"Evaluator: "&amp;$S1839&amp;CHAR(10)&amp;CHAR(10)&amp;"INVALID QUALITY AUDIT DETAILS"&amp;CHAR(10)&amp;"Validation: Invalid"&amp;CHAR(10)&amp;"Invalid Reason: "&amp;$P1839&amp;CHAR(10)&amp;"Expected Resolution Code: "&amp;$Q1839&amp;CHAR(10)&amp;"Remarks: "&amp;LEFT($R1839,600)&amp;CHAR(10)&amp;CHAR(10)&amp;"This is an automated notification from HP Mainstream EQMS."),"✉ Open Email Draft"),"")</f>
        <v/>
      </c>
    </row>
    <row r="1840">
      <c r="A1840" s="25">
        <f>IF($C1840="","","AUD-2026-"&amp;TEXT(ROW()-1,"000000"))</f>
        <v/>
      </c>
      <c r="B1840" s="26" t="n"/>
      <c r="C1840" s="27" t="n"/>
      <c r="D1840" s="25">
        <f>IF($C1840="","",IFERROR(IF(INDEX(Roster!$A:$A,MATCH($C1840,Roster!$B:$B,0))="","",INDEX(Roster!$A:$A,MATCH($C1840,Roster!$B:$B,0))&amp;""),"—"))</f>
        <v/>
      </c>
      <c r="E1840" s="25">
        <f>IF($C1840="","",IFERROR(IF(INDEX(Roster!$C:$C,MATCH($C1840,Roster!$B:$B,0))="","",INDEX(Roster!$C:$C,MATCH($C1840,Roster!$B:$B,0))&amp;""),"—"))</f>
        <v/>
      </c>
      <c r="F1840" s="25">
        <f>IF($C1840="","",IFERROR(IF(INDEX(Roster!$D:$D,MATCH($C1840,Roster!$B:$B,0))="","",INDEX(Roster!$D:$D,MATCH($C1840,Roster!$B:$B,0))&amp;""),"—"))</f>
        <v/>
      </c>
      <c r="G1840" s="25">
        <f>IF($C1840="","",IFERROR(IF(INDEX(Roster!$E:$E,MATCH($C1840,Roster!$B:$B,0))="","",INDEX(Roster!$E:$E,MATCH($C1840,Roster!$B:$B,0))&amp;""),"—"))</f>
        <v/>
      </c>
      <c r="H1840" s="25">
        <f>IF($C1840="","",IFERROR(IF(INDEX(Roster!$F:$F,MATCH($C1840,Roster!$B:$B,0))="","",INDEX(Roster!$F:$F,MATCH($C1840,Roster!$B:$B,0))&amp;""),"—"))</f>
        <v/>
      </c>
      <c r="I1840" s="25">
        <f>IF($C1840="","",IFERROR(IF(INDEX(Roster!$G:$G,MATCH($C1840,Roster!$B:$B,0))="","",INDEX(Roster!$G:$G,MATCH($C1840,Roster!$B:$B,0))&amp;""),"—"))</f>
        <v/>
      </c>
      <c r="J1840" s="25">
        <f>IF($C1840="","",IFERROR(IF(INDEX(Roster!$I:$I,MATCH($C1840,Roster!$B:$B,0))="","",INDEX(Roster!$I:$I,MATCH($C1840,Roster!$B:$B,0))&amp;""),"—"))</f>
        <v/>
      </c>
      <c r="K1840">
        <f>IF($C1840="","",IFERROR(IF(INDEX(Roster!$J:$J,MATCH($C1840,Roster!$B:$B,0))="","",INDEX(Roster!$J:$J,MATCH($C1840,Roster!$B:$B,0))&amp;""),"—"))</f>
        <v/>
      </c>
      <c r="L1840">
        <f>IF($C1840="","",IFERROR(IF(INDEX(Roster!$K:$K,MATCH($C1840,Roster!$B:$B,0))="","",INDEX(Roster!$K:$K,MATCH($C1840,Roster!$B:$B,0))&amp;""),"—"))</f>
        <v/>
      </c>
      <c r="M1840" s="27" t="n"/>
      <c r="N1840" s="27" t="n"/>
      <c r="O1840" s="25">
        <f>IF($C1840="","",IF($P1840="","—",IF($P1840="Valid (Pass)","Valid","Invalid")))</f>
        <v/>
      </c>
      <c r="P1840" s="27" t="n"/>
      <c r="Q1840" s="27" t="n"/>
      <c r="R1840" s="27" t="n"/>
      <c r="S1840" s="27" t="n"/>
      <c r="T1840" s="25">
        <f>IF($C1840="","",IF(OR(ISNUMBER(SEARCH("quick case",$P1840)),ISNUMBER(SEARCH("quick case",$Q1840))),"Yes","No"))</f>
        <v/>
      </c>
      <c r="U1840" s="25">
        <f>IF($O1840="Invalid",HYPERLINK("mailto:"&amp;$G1840&amp;";"&amp;$I1840&amp;"?cc="&amp;Lists!$E$2&amp;"&amp;subject="&amp;_xlfn.ENCODEURL("[INVALID] Quality audit monitoring completed for "&amp;UPPER($C1840))&amp;"&amp;body="&amp;_xlfn.ENCODEURL("Hi "&amp;$F1840&amp;","&amp;CHAR(10)&amp;"Good day!"&amp;CHAR(10)&amp;CHAR(10)&amp;"A quality monitoring audit has been completed for "&amp;$C1840&amp;"."&amp;CHAR(10)&amp;CHAR(10)&amp;"QUALITY AUDIT DETAILS"&amp;CHAR(10)&amp;"Agent Name: "&amp;$C1840&amp;" (EID "&amp;$D1840&amp;")"&amp;CHAR(10)&amp;"Audit Date: "&amp;TEXT($B1840,"yyyy-mm-dd")&amp;CHAR(10)&amp;"Team Leader: "&amp;$F1840&amp;CHAR(10)&amp;"Case Number: "&amp;$M1840&amp;CHAR(10)&amp;"Transaction ID: "&amp;$N1840&amp;CHAR(10)&amp;"Channel / LOB: "&amp;$K1840&amp;" / "&amp;$L1840&amp;CHAR(10)&amp;"Evaluator: "&amp;$S1840&amp;CHAR(10)&amp;CHAR(10)&amp;"INVALID QUALITY AUDIT DETAILS"&amp;CHAR(10)&amp;"Validation: Invalid"&amp;CHAR(10)&amp;"Invalid Reason: "&amp;$P1840&amp;CHAR(10)&amp;"Expected Resolution Code: "&amp;$Q1840&amp;CHAR(10)&amp;"Remarks: "&amp;LEFT($R1840,600)&amp;CHAR(10)&amp;CHAR(10)&amp;"This is an automated notification from HP Mainstream EQMS."),"✉ Open Email Draft"),"")</f>
        <v/>
      </c>
    </row>
    <row r="1841">
      <c r="A1841" s="25">
        <f>IF($C1841="","","AUD-2026-"&amp;TEXT(ROW()-1,"000000"))</f>
        <v/>
      </c>
      <c r="B1841" s="26" t="n"/>
      <c r="C1841" s="27" t="n"/>
      <c r="D1841" s="25">
        <f>IF($C1841="","",IFERROR(IF(INDEX(Roster!$A:$A,MATCH($C1841,Roster!$B:$B,0))="","",INDEX(Roster!$A:$A,MATCH($C1841,Roster!$B:$B,0))&amp;""),"—"))</f>
        <v/>
      </c>
      <c r="E1841" s="25">
        <f>IF($C1841="","",IFERROR(IF(INDEX(Roster!$C:$C,MATCH($C1841,Roster!$B:$B,0))="","",INDEX(Roster!$C:$C,MATCH($C1841,Roster!$B:$B,0))&amp;""),"—"))</f>
        <v/>
      </c>
      <c r="F1841" s="25">
        <f>IF($C1841="","",IFERROR(IF(INDEX(Roster!$D:$D,MATCH($C1841,Roster!$B:$B,0))="","",INDEX(Roster!$D:$D,MATCH($C1841,Roster!$B:$B,0))&amp;""),"—"))</f>
        <v/>
      </c>
      <c r="G1841" s="25">
        <f>IF($C1841="","",IFERROR(IF(INDEX(Roster!$E:$E,MATCH($C1841,Roster!$B:$B,0))="","",INDEX(Roster!$E:$E,MATCH($C1841,Roster!$B:$B,0))&amp;""),"—"))</f>
        <v/>
      </c>
      <c r="H1841" s="25">
        <f>IF($C1841="","",IFERROR(IF(INDEX(Roster!$F:$F,MATCH($C1841,Roster!$B:$B,0))="","",INDEX(Roster!$F:$F,MATCH($C1841,Roster!$B:$B,0))&amp;""),"—"))</f>
        <v/>
      </c>
      <c r="I1841" s="25">
        <f>IF($C1841="","",IFERROR(IF(INDEX(Roster!$G:$G,MATCH($C1841,Roster!$B:$B,0))="","",INDEX(Roster!$G:$G,MATCH($C1841,Roster!$B:$B,0))&amp;""),"—"))</f>
        <v/>
      </c>
      <c r="J1841" s="25">
        <f>IF($C1841="","",IFERROR(IF(INDEX(Roster!$I:$I,MATCH($C1841,Roster!$B:$B,0))="","",INDEX(Roster!$I:$I,MATCH($C1841,Roster!$B:$B,0))&amp;""),"—"))</f>
        <v/>
      </c>
      <c r="K1841">
        <f>IF($C1841="","",IFERROR(IF(INDEX(Roster!$J:$J,MATCH($C1841,Roster!$B:$B,0))="","",INDEX(Roster!$J:$J,MATCH($C1841,Roster!$B:$B,0))&amp;""),"—"))</f>
        <v/>
      </c>
      <c r="L1841">
        <f>IF($C1841="","",IFERROR(IF(INDEX(Roster!$K:$K,MATCH($C1841,Roster!$B:$B,0))="","",INDEX(Roster!$K:$K,MATCH($C1841,Roster!$B:$B,0))&amp;""),"—"))</f>
        <v/>
      </c>
      <c r="M1841" s="27" t="n"/>
      <c r="N1841" s="27" t="n"/>
      <c r="O1841" s="25">
        <f>IF($C1841="","",IF($P1841="","—",IF($P1841="Valid (Pass)","Valid","Invalid")))</f>
        <v/>
      </c>
      <c r="P1841" s="27" t="n"/>
      <c r="Q1841" s="27" t="n"/>
      <c r="R1841" s="27" t="n"/>
      <c r="S1841" s="27" t="n"/>
      <c r="T1841" s="25">
        <f>IF($C1841="","",IF(OR(ISNUMBER(SEARCH("quick case",$P1841)),ISNUMBER(SEARCH("quick case",$Q1841))),"Yes","No"))</f>
        <v/>
      </c>
      <c r="U1841" s="25">
        <f>IF($O1841="Invalid",HYPERLINK("mailto:"&amp;$G1841&amp;";"&amp;$I1841&amp;"?cc="&amp;Lists!$E$2&amp;"&amp;subject="&amp;_xlfn.ENCODEURL("[INVALID] Quality audit monitoring completed for "&amp;UPPER($C1841))&amp;"&amp;body="&amp;_xlfn.ENCODEURL("Hi "&amp;$F1841&amp;","&amp;CHAR(10)&amp;"Good day!"&amp;CHAR(10)&amp;CHAR(10)&amp;"A quality monitoring audit has been completed for "&amp;$C1841&amp;"."&amp;CHAR(10)&amp;CHAR(10)&amp;"QUALITY AUDIT DETAILS"&amp;CHAR(10)&amp;"Agent Name: "&amp;$C1841&amp;" (EID "&amp;$D1841&amp;")"&amp;CHAR(10)&amp;"Audit Date: "&amp;TEXT($B1841,"yyyy-mm-dd")&amp;CHAR(10)&amp;"Team Leader: "&amp;$F1841&amp;CHAR(10)&amp;"Case Number: "&amp;$M1841&amp;CHAR(10)&amp;"Transaction ID: "&amp;$N1841&amp;CHAR(10)&amp;"Channel / LOB: "&amp;$K1841&amp;" / "&amp;$L1841&amp;CHAR(10)&amp;"Evaluator: "&amp;$S1841&amp;CHAR(10)&amp;CHAR(10)&amp;"INVALID QUALITY AUDIT DETAILS"&amp;CHAR(10)&amp;"Validation: Invalid"&amp;CHAR(10)&amp;"Invalid Reason: "&amp;$P1841&amp;CHAR(10)&amp;"Expected Resolution Code: "&amp;$Q1841&amp;CHAR(10)&amp;"Remarks: "&amp;LEFT($R1841,600)&amp;CHAR(10)&amp;CHAR(10)&amp;"This is an automated notification from HP Mainstream EQMS."),"✉ Open Email Draft"),"")</f>
        <v/>
      </c>
    </row>
    <row r="1842">
      <c r="A1842" s="25">
        <f>IF($C1842="","","AUD-2026-"&amp;TEXT(ROW()-1,"000000"))</f>
        <v/>
      </c>
      <c r="B1842" s="26" t="n"/>
      <c r="C1842" s="27" t="n"/>
      <c r="D1842" s="25">
        <f>IF($C1842="","",IFERROR(IF(INDEX(Roster!$A:$A,MATCH($C1842,Roster!$B:$B,0))="","",INDEX(Roster!$A:$A,MATCH($C1842,Roster!$B:$B,0))&amp;""),"—"))</f>
        <v/>
      </c>
      <c r="E1842" s="25">
        <f>IF($C1842="","",IFERROR(IF(INDEX(Roster!$C:$C,MATCH($C1842,Roster!$B:$B,0))="","",INDEX(Roster!$C:$C,MATCH($C1842,Roster!$B:$B,0))&amp;""),"—"))</f>
        <v/>
      </c>
      <c r="F1842" s="25">
        <f>IF($C1842="","",IFERROR(IF(INDEX(Roster!$D:$D,MATCH($C1842,Roster!$B:$B,0))="","",INDEX(Roster!$D:$D,MATCH($C1842,Roster!$B:$B,0))&amp;""),"—"))</f>
        <v/>
      </c>
      <c r="G1842" s="25">
        <f>IF($C1842="","",IFERROR(IF(INDEX(Roster!$E:$E,MATCH($C1842,Roster!$B:$B,0))="","",INDEX(Roster!$E:$E,MATCH($C1842,Roster!$B:$B,0))&amp;""),"—"))</f>
        <v/>
      </c>
      <c r="H1842" s="25">
        <f>IF($C1842="","",IFERROR(IF(INDEX(Roster!$F:$F,MATCH($C1842,Roster!$B:$B,0))="","",INDEX(Roster!$F:$F,MATCH($C1842,Roster!$B:$B,0))&amp;""),"—"))</f>
        <v/>
      </c>
      <c r="I1842" s="25">
        <f>IF($C1842="","",IFERROR(IF(INDEX(Roster!$G:$G,MATCH($C1842,Roster!$B:$B,0))="","",INDEX(Roster!$G:$G,MATCH($C1842,Roster!$B:$B,0))&amp;""),"—"))</f>
        <v/>
      </c>
      <c r="J1842" s="25">
        <f>IF($C1842="","",IFERROR(IF(INDEX(Roster!$I:$I,MATCH($C1842,Roster!$B:$B,0))="","",INDEX(Roster!$I:$I,MATCH($C1842,Roster!$B:$B,0))&amp;""),"—"))</f>
        <v/>
      </c>
      <c r="K1842">
        <f>IF($C1842="","",IFERROR(IF(INDEX(Roster!$J:$J,MATCH($C1842,Roster!$B:$B,0))="","",INDEX(Roster!$J:$J,MATCH($C1842,Roster!$B:$B,0))&amp;""),"—"))</f>
        <v/>
      </c>
      <c r="L1842">
        <f>IF($C1842="","",IFERROR(IF(INDEX(Roster!$K:$K,MATCH($C1842,Roster!$B:$B,0))="","",INDEX(Roster!$K:$K,MATCH($C1842,Roster!$B:$B,0))&amp;""),"—"))</f>
        <v/>
      </c>
      <c r="M1842" s="27" t="n"/>
      <c r="N1842" s="27" t="n"/>
      <c r="O1842" s="25">
        <f>IF($C1842="","",IF($P1842="","—",IF($P1842="Valid (Pass)","Valid","Invalid")))</f>
        <v/>
      </c>
      <c r="P1842" s="27" t="n"/>
      <c r="Q1842" s="27" t="n"/>
      <c r="R1842" s="27" t="n"/>
      <c r="S1842" s="27" t="n"/>
      <c r="T1842" s="25">
        <f>IF($C1842="","",IF(OR(ISNUMBER(SEARCH("quick case",$P1842)),ISNUMBER(SEARCH("quick case",$Q1842))),"Yes","No"))</f>
        <v/>
      </c>
      <c r="U1842" s="25">
        <f>IF($O1842="Invalid",HYPERLINK("mailto:"&amp;$G1842&amp;";"&amp;$I1842&amp;"?cc="&amp;Lists!$E$2&amp;"&amp;subject="&amp;_xlfn.ENCODEURL("[INVALID] Quality audit monitoring completed for "&amp;UPPER($C1842))&amp;"&amp;body="&amp;_xlfn.ENCODEURL("Hi "&amp;$F1842&amp;","&amp;CHAR(10)&amp;"Good day!"&amp;CHAR(10)&amp;CHAR(10)&amp;"A quality monitoring audit has been completed for "&amp;$C1842&amp;"."&amp;CHAR(10)&amp;CHAR(10)&amp;"QUALITY AUDIT DETAILS"&amp;CHAR(10)&amp;"Agent Name: "&amp;$C1842&amp;" (EID "&amp;$D1842&amp;")"&amp;CHAR(10)&amp;"Audit Date: "&amp;TEXT($B1842,"yyyy-mm-dd")&amp;CHAR(10)&amp;"Team Leader: "&amp;$F1842&amp;CHAR(10)&amp;"Case Number: "&amp;$M1842&amp;CHAR(10)&amp;"Transaction ID: "&amp;$N1842&amp;CHAR(10)&amp;"Channel / LOB: "&amp;$K1842&amp;" / "&amp;$L1842&amp;CHAR(10)&amp;"Evaluator: "&amp;$S1842&amp;CHAR(10)&amp;CHAR(10)&amp;"INVALID QUALITY AUDIT DETAILS"&amp;CHAR(10)&amp;"Validation: Invalid"&amp;CHAR(10)&amp;"Invalid Reason: "&amp;$P1842&amp;CHAR(10)&amp;"Expected Resolution Code: "&amp;$Q1842&amp;CHAR(10)&amp;"Remarks: "&amp;LEFT($R1842,600)&amp;CHAR(10)&amp;CHAR(10)&amp;"This is an automated notification from HP Mainstream EQMS."),"✉ Open Email Draft"),"")</f>
        <v/>
      </c>
    </row>
    <row r="1843">
      <c r="A1843" s="25">
        <f>IF($C1843="","","AUD-2026-"&amp;TEXT(ROW()-1,"000000"))</f>
        <v/>
      </c>
      <c r="B1843" s="26" t="n"/>
      <c r="C1843" s="27" t="n"/>
      <c r="D1843" s="25">
        <f>IF($C1843="","",IFERROR(IF(INDEX(Roster!$A:$A,MATCH($C1843,Roster!$B:$B,0))="","",INDEX(Roster!$A:$A,MATCH($C1843,Roster!$B:$B,0))&amp;""),"—"))</f>
        <v/>
      </c>
      <c r="E1843" s="25">
        <f>IF($C1843="","",IFERROR(IF(INDEX(Roster!$C:$C,MATCH($C1843,Roster!$B:$B,0))="","",INDEX(Roster!$C:$C,MATCH($C1843,Roster!$B:$B,0))&amp;""),"—"))</f>
        <v/>
      </c>
      <c r="F1843" s="25">
        <f>IF($C1843="","",IFERROR(IF(INDEX(Roster!$D:$D,MATCH($C1843,Roster!$B:$B,0))="","",INDEX(Roster!$D:$D,MATCH($C1843,Roster!$B:$B,0))&amp;""),"—"))</f>
        <v/>
      </c>
      <c r="G1843" s="25">
        <f>IF($C1843="","",IFERROR(IF(INDEX(Roster!$E:$E,MATCH($C1843,Roster!$B:$B,0))="","",INDEX(Roster!$E:$E,MATCH($C1843,Roster!$B:$B,0))&amp;""),"—"))</f>
        <v/>
      </c>
      <c r="H1843" s="25">
        <f>IF($C1843="","",IFERROR(IF(INDEX(Roster!$F:$F,MATCH($C1843,Roster!$B:$B,0))="","",INDEX(Roster!$F:$F,MATCH($C1843,Roster!$B:$B,0))&amp;""),"—"))</f>
        <v/>
      </c>
      <c r="I1843" s="25">
        <f>IF($C1843="","",IFERROR(IF(INDEX(Roster!$G:$G,MATCH($C1843,Roster!$B:$B,0))="","",INDEX(Roster!$G:$G,MATCH($C1843,Roster!$B:$B,0))&amp;""),"—"))</f>
        <v/>
      </c>
      <c r="J1843" s="25">
        <f>IF($C1843="","",IFERROR(IF(INDEX(Roster!$I:$I,MATCH($C1843,Roster!$B:$B,0))="","",INDEX(Roster!$I:$I,MATCH($C1843,Roster!$B:$B,0))&amp;""),"—"))</f>
        <v/>
      </c>
      <c r="K1843">
        <f>IF($C1843="","",IFERROR(IF(INDEX(Roster!$J:$J,MATCH($C1843,Roster!$B:$B,0))="","",INDEX(Roster!$J:$J,MATCH($C1843,Roster!$B:$B,0))&amp;""),"—"))</f>
        <v/>
      </c>
      <c r="L1843">
        <f>IF($C1843="","",IFERROR(IF(INDEX(Roster!$K:$K,MATCH($C1843,Roster!$B:$B,0))="","",INDEX(Roster!$K:$K,MATCH($C1843,Roster!$B:$B,0))&amp;""),"—"))</f>
        <v/>
      </c>
      <c r="M1843" s="27" t="n"/>
      <c r="N1843" s="27" t="n"/>
      <c r="O1843" s="25">
        <f>IF($C1843="","",IF($P1843="","—",IF($P1843="Valid (Pass)","Valid","Invalid")))</f>
        <v/>
      </c>
      <c r="P1843" s="27" t="n"/>
      <c r="Q1843" s="27" t="n"/>
      <c r="R1843" s="27" t="n"/>
      <c r="S1843" s="27" t="n"/>
      <c r="T1843" s="25">
        <f>IF($C1843="","",IF(OR(ISNUMBER(SEARCH("quick case",$P1843)),ISNUMBER(SEARCH("quick case",$Q1843))),"Yes","No"))</f>
        <v/>
      </c>
      <c r="U1843" s="25">
        <f>IF($O1843="Invalid",HYPERLINK("mailto:"&amp;$G1843&amp;";"&amp;$I1843&amp;"?cc="&amp;Lists!$E$2&amp;"&amp;subject="&amp;_xlfn.ENCODEURL("[INVALID] Quality audit monitoring completed for "&amp;UPPER($C1843))&amp;"&amp;body="&amp;_xlfn.ENCODEURL("Hi "&amp;$F1843&amp;","&amp;CHAR(10)&amp;"Good day!"&amp;CHAR(10)&amp;CHAR(10)&amp;"A quality monitoring audit has been completed for "&amp;$C1843&amp;"."&amp;CHAR(10)&amp;CHAR(10)&amp;"QUALITY AUDIT DETAILS"&amp;CHAR(10)&amp;"Agent Name: "&amp;$C1843&amp;" (EID "&amp;$D1843&amp;")"&amp;CHAR(10)&amp;"Audit Date: "&amp;TEXT($B1843,"yyyy-mm-dd")&amp;CHAR(10)&amp;"Team Leader: "&amp;$F1843&amp;CHAR(10)&amp;"Case Number: "&amp;$M1843&amp;CHAR(10)&amp;"Transaction ID: "&amp;$N1843&amp;CHAR(10)&amp;"Channel / LOB: "&amp;$K1843&amp;" / "&amp;$L1843&amp;CHAR(10)&amp;"Evaluator: "&amp;$S1843&amp;CHAR(10)&amp;CHAR(10)&amp;"INVALID QUALITY AUDIT DETAILS"&amp;CHAR(10)&amp;"Validation: Invalid"&amp;CHAR(10)&amp;"Invalid Reason: "&amp;$P1843&amp;CHAR(10)&amp;"Expected Resolution Code: "&amp;$Q1843&amp;CHAR(10)&amp;"Remarks: "&amp;LEFT($R1843,600)&amp;CHAR(10)&amp;CHAR(10)&amp;"This is an automated notification from HP Mainstream EQMS."),"✉ Open Email Draft"),"")</f>
        <v/>
      </c>
    </row>
    <row r="1844">
      <c r="A1844" s="25">
        <f>IF($C1844="","","AUD-2026-"&amp;TEXT(ROW()-1,"000000"))</f>
        <v/>
      </c>
      <c r="B1844" s="26" t="n"/>
      <c r="C1844" s="27" t="n"/>
      <c r="D1844" s="25">
        <f>IF($C1844="","",IFERROR(IF(INDEX(Roster!$A:$A,MATCH($C1844,Roster!$B:$B,0))="","",INDEX(Roster!$A:$A,MATCH($C1844,Roster!$B:$B,0))&amp;""),"—"))</f>
        <v/>
      </c>
      <c r="E1844" s="25">
        <f>IF($C1844="","",IFERROR(IF(INDEX(Roster!$C:$C,MATCH($C1844,Roster!$B:$B,0))="","",INDEX(Roster!$C:$C,MATCH($C1844,Roster!$B:$B,0))&amp;""),"—"))</f>
        <v/>
      </c>
      <c r="F1844" s="25">
        <f>IF($C1844="","",IFERROR(IF(INDEX(Roster!$D:$D,MATCH($C1844,Roster!$B:$B,0))="","",INDEX(Roster!$D:$D,MATCH($C1844,Roster!$B:$B,0))&amp;""),"—"))</f>
        <v/>
      </c>
      <c r="G1844" s="25">
        <f>IF($C1844="","",IFERROR(IF(INDEX(Roster!$E:$E,MATCH($C1844,Roster!$B:$B,0))="","",INDEX(Roster!$E:$E,MATCH($C1844,Roster!$B:$B,0))&amp;""),"—"))</f>
        <v/>
      </c>
      <c r="H1844" s="25">
        <f>IF($C1844="","",IFERROR(IF(INDEX(Roster!$F:$F,MATCH($C1844,Roster!$B:$B,0))="","",INDEX(Roster!$F:$F,MATCH($C1844,Roster!$B:$B,0))&amp;""),"—"))</f>
        <v/>
      </c>
      <c r="I1844" s="25">
        <f>IF($C1844="","",IFERROR(IF(INDEX(Roster!$G:$G,MATCH($C1844,Roster!$B:$B,0))="","",INDEX(Roster!$G:$G,MATCH($C1844,Roster!$B:$B,0))&amp;""),"—"))</f>
        <v/>
      </c>
      <c r="J1844" s="25">
        <f>IF($C1844="","",IFERROR(IF(INDEX(Roster!$I:$I,MATCH($C1844,Roster!$B:$B,0))="","",INDEX(Roster!$I:$I,MATCH($C1844,Roster!$B:$B,0))&amp;""),"—"))</f>
        <v/>
      </c>
      <c r="K1844">
        <f>IF($C1844="","",IFERROR(IF(INDEX(Roster!$J:$J,MATCH($C1844,Roster!$B:$B,0))="","",INDEX(Roster!$J:$J,MATCH($C1844,Roster!$B:$B,0))&amp;""),"—"))</f>
        <v/>
      </c>
      <c r="L1844">
        <f>IF($C1844="","",IFERROR(IF(INDEX(Roster!$K:$K,MATCH($C1844,Roster!$B:$B,0))="","",INDEX(Roster!$K:$K,MATCH($C1844,Roster!$B:$B,0))&amp;""),"—"))</f>
        <v/>
      </c>
      <c r="M1844" s="27" t="n"/>
      <c r="N1844" s="27" t="n"/>
      <c r="O1844" s="25">
        <f>IF($C1844="","",IF($P1844="","—",IF($P1844="Valid (Pass)","Valid","Invalid")))</f>
        <v/>
      </c>
      <c r="P1844" s="27" t="n"/>
      <c r="Q1844" s="27" t="n"/>
      <c r="R1844" s="27" t="n"/>
      <c r="S1844" s="27" t="n"/>
      <c r="T1844" s="25">
        <f>IF($C1844="","",IF(OR(ISNUMBER(SEARCH("quick case",$P1844)),ISNUMBER(SEARCH("quick case",$Q1844))),"Yes","No"))</f>
        <v/>
      </c>
      <c r="U1844" s="25">
        <f>IF($O1844="Invalid",HYPERLINK("mailto:"&amp;$G1844&amp;";"&amp;$I1844&amp;"?cc="&amp;Lists!$E$2&amp;"&amp;subject="&amp;_xlfn.ENCODEURL("[INVALID] Quality audit monitoring completed for "&amp;UPPER($C1844))&amp;"&amp;body="&amp;_xlfn.ENCODEURL("Hi "&amp;$F1844&amp;","&amp;CHAR(10)&amp;"Good day!"&amp;CHAR(10)&amp;CHAR(10)&amp;"A quality monitoring audit has been completed for "&amp;$C1844&amp;"."&amp;CHAR(10)&amp;CHAR(10)&amp;"QUALITY AUDIT DETAILS"&amp;CHAR(10)&amp;"Agent Name: "&amp;$C1844&amp;" (EID "&amp;$D1844&amp;")"&amp;CHAR(10)&amp;"Audit Date: "&amp;TEXT($B1844,"yyyy-mm-dd")&amp;CHAR(10)&amp;"Team Leader: "&amp;$F1844&amp;CHAR(10)&amp;"Case Number: "&amp;$M1844&amp;CHAR(10)&amp;"Transaction ID: "&amp;$N1844&amp;CHAR(10)&amp;"Channel / LOB: "&amp;$K1844&amp;" / "&amp;$L1844&amp;CHAR(10)&amp;"Evaluator: "&amp;$S1844&amp;CHAR(10)&amp;CHAR(10)&amp;"INVALID QUALITY AUDIT DETAILS"&amp;CHAR(10)&amp;"Validation: Invalid"&amp;CHAR(10)&amp;"Invalid Reason: "&amp;$P1844&amp;CHAR(10)&amp;"Expected Resolution Code: "&amp;$Q1844&amp;CHAR(10)&amp;"Remarks: "&amp;LEFT($R1844,600)&amp;CHAR(10)&amp;CHAR(10)&amp;"This is an automated notification from HP Mainstream EQMS."),"✉ Open Email Draft"),"")</f>
        <v/>
      </c>
    </row>
    <row r="1845">
      <c r="A1845" s="25">
        <f>IF($C1845="","","AUD-2026-"&amp;TEXT(ROW()-1,"000000"))</f>
        <v/>
      </c>
      <c r="B1845" s="26" t="n"/>
      <c r="C1845" s="27" t="n"/>
      <c r="D1845" s="25">
        <f>IF($C1845="","",IFERROR(IF(INDEX(Roster!$A:$A,MATCH($C1845,Roster!$B:$B,0))="","",INDEX(Roster!$A:$A,MATCH($C1845,Roster!$B:$B,0))&amp;""),"—"))</f>
        <v/>
      </c>
      <c r="E1845" s="25">
        <f>IF($C1845="","",IFERROR(IF(INDEX(Roster!$C:$C,MATCH($C1845,Roster!$B:$B,0))="","",INDEX(Roster!$C:$C,MATCH($C1845,Roster!$B:$B,0))&amp;""),"—"))</f>
        <v/>
      </c>
      <c r="F1845" s="25">
        <f>IF($C1845="","",IFERROR(IF(INDEX(Roster!$D:$D,MATCH($C1845,Roster!$B:$B,0))="","",INDEX(Roster!$D:$D,MATCH($C1845,Roster!$B:$B,0))&amp;""),"—"))</f>
        <v/>
      </c>
      <c r="G1845" s="25">
        <f>IF($C1845="","",IFERROR(IF(INDEX(Roster!$E:$E,MATCH($C1845,Roster!$B:$B,0))="","",INDEX(Roster!$E:$E,MATCH($C1845,Roster!$B:$B,0))&amp;""),"—"))</f>
        <v/>
      </c>
      <c r="H1845" s="25">
        <f>IF($C1845="","",IFERROR(IF(INDEX(Roster!$F:$F,MATCH($C1845,Roster!$B:$B,0))="","",INDEX(Roster!$F:$F,MATCH($C1845,Roster!$B:$B,0))&amp;""),"—"))</f>
        <v/>
      </c>
      <c r="I1845" s="25">
        <f>IF($C1845="","",IFERROR(IF(INDEX(Roster!$G:$G,MATCH($C1845,Roster!$B:$B,0))="","",INDEX(Roster!$G:$G,MATCH($C1845,Roster!$B:$B,0))&amp;""),"—"))</f>
        <v/>
      </c>
      <c r="J1845" s="25">
        <f>IF($C1845="","",IFERROR(IF(INDEX(Roster!$I:$I,MATCH($C1845,Roster!$B:$B,0))="","",INDEX(Roster!$I:$I,MATCH($C1845,Roster!$B:$B,0))&amp;""),"—"))</f>
        <v/>
      </c>
      <c r="K1845">
        <f>IF($C1845="","",IFERROR(IF(INDEX(Roster!$J:$J,MATCH($C1845,Roster!$B:$B,0))="","",INDEX(Roster!$J:$J,MATCH($C1845,Roster!$B:$B,0))&amp;""),"—"))</f>
        <v/>
      </c>
      <c r="L1845">
        <f>IF($C1845="","",IFERROR(IF(INDEX(Roster!$K:$K,MATCH($C1845,Roster!$B:$B,0))="","",INDEX(Roster!$K:$K,MATCH($C1845,Roster!$B:$B,0))&amp;""),"—"))</f>
        <v/>
      </c>
      <c r="M1845" s="27" t="n"/>
      <c r="N1845" s="27" t="n"/>
      <c r="O1845" s="25">
        <f>IF($C1845="","",IF($P1845="","—",IF($P1845="Valid (Pass)","Valid","Invalid")))</f>
        <v/>
      </c>
      <c r="P1845" s="27" t="n"/>
      <c r="Q1845" s="27" t="n"/>
      <c r="R1845" s="27" t="n"/>
      <c r="S1845" s="27" t="n"/>
      <c r="T1845" s="25">
        <f>IF($C1845="","",IF(OR(ISNUMBER(SEARCH("quick case",$P1845)),ISNUMBER(SEARCH("quick case",$Q1845))),"Yes","No"))</f>
        <v/>
      </c>
      <c r="U1845" s="25">
        <f>IF($O1845="Invalid",HYPERLINK("mailto:"&amp;$G1845&amp;";"&amp;$I1845&amp;"?cc="&amp;Lists!$E$2&amp;"&amp;subject="&amp;_xlfn.ENCODEURL("[INVALID] Quality audit monitoring completed for "&amp;UPPER($C1845))&amp;"&amp;body="&amp;_xlfn.ENCODEURL("Hi "&amp;$F1845&amp;","&amp;CHAR(10)&amp;"Good day!"&amp;CHAR(10)&amp;CHAR(10)&amp;"A quality monitoring audit has been completed for "&amp;$C1845&amp;"."&amp;CHAR(10)&amp;CHAR(10)&amp;"QUALITY AUDIT DETAILS"&amp;CHAR(10)&amp;"Agent Name: "&amp;$C1845&amp;" (EID "&amp;$D1845&amp;")"&amp;CHAR(10)&amp;"Audit Date: "&amp;TEXT($B1845,"yyyy-mm-dd")&amp;CHAR(10)&amp;"Team Leader: "&amp;$F1845&amp;CHAR(10)&amp;"Case Number: "&amp;$M1845&amp;CHAR(10)&amp;"Transaction ID: "&amp;$N1845&amp;CHAR(10)&amp;"Channel / LOB: "&amp;$K1845&amp;" / "&amp;$L1845&amp;CHAR(10)&amp;"Evaluator: "&amp;$S1845&amp;CHAR(10)&amp;CHAR(10)&amp;"INVALID QUALITY AUDIT DETAILS"&amp;CHAR(10)&amp;"Validation: Invalid"&amp;CHAR(10)&amp;"Invalid Reason: "&amp;$P1845&amp;CHAR(10)&amp;"Expected Resolution Code: "&amp;$Q1845&amp;CHAR(10)&amp;"Remarks: "&amp;LEFT($R1845,600)&amp;CHAR(10)&amp;CHAR(10)&amp;"This is an automated notification from HP Mainstream EQMS."),"✉ Open Email Draft"),"")</f>
        <v/>
      </c>
    </row>
    <row r="1846">
      <c r="A1846" s="25">
        <f>IF($C1846="","","AUD-2026-"&amp;TEXT(ROW()-1,"000000"))</f>
        <v/>
      </c>
      <c r="B1846" s="26" t="n"/>
      <c r="C1846" s="27" t="n"/>
      <c r="D1846" s="25">
        <f>IF($C1846="","",IFERROR(IF(INDEX(Roster!$A:$A,MATCH($C1846,Roster!$B:$B,0))="","",INDEX(Roster!$A:$A,MATCH($C1846,Roster!$B:$B,0))&amp;""),"—"))</f>
        <v/>
      </c>
      <c r="E1846" s="25">
        <f>IF($C1846="","",IFERROR(IF(INDEX(Roster!$C:$C,MATCH($C1846,Roster!$B:$B,0))="","",INDEX(Roster!$C:$C,MATCH($C1846,Roster!$B:$B,0))&amp;""),"—"))</f>
        <v/>
      </c>
      <c r="F1846" s="25">
        <f>IF($C1846="","",IFERROR(IF(INDEX(Roster!$D:$D,MATCH($C1846,Roster!$B:$B,0))="","",INDEX(Roster!$D:$D,MATCH($C1846,Roster!$B:$B,0))&amp;""),"—"))</f>
        <v/>
      </c>
      <c r="G1846" s="25">
        <f>IF($C1846="","",IFERROR(IF(INDEX(Roster!$E:$E,MATCH($C1846,Roster!$B:$B,0))="","",INDEX(Roster!$E:$E,MATCH($C1846,Roster!$B:$B,0))&amp;""),"—"))</f>
        <v/>
      </c>
      <c r="H1846" s="25">
        <f>IF($C1846="","",IFERROR(IF(INDEX(Roster!$F:$F,MATCH($C1846,Roster!$B:$B,0))="","",INDEX(Roster!$F:$F,MATCH($C1846,Roster!$B:$B,0))&amp;""),"—"))</f>
        <v/>
      </c>
      <c r="I1846" s="25">
        <f>IF($C1846="","",IFERROR(IF(INDEX(Roster!$G:$G,MATCH($C1846,Roster!$B:$B,0))="","",INDEX(Roster!$G:$G,MATCH($C1846,Roster!$B:$B,0))&amp;""),"—"))</f>
        <v/>
      </c>
      <c r="J1846" s="25">
        <f>IF($C1846="","",IFERROR(IF(INDEX(Roster!$I:$I,MATCH($C1846,Roster!$B:$B,0))="","",INDEX(Roster!$I:$I,MATCH($C1846,Roster!$B:$B,0))&amp;""),"—"))</f>
        <v/>
      </c>
      <c r="K1846">
        <f>IF($C1846="","",IFERROR(IF(INDEX(Roster!$J:$J,MATCH($C1846,Roster!$B:$B,0))="","",INDEX(Roster!$J:$J,MATCH($C1846,Roster!$B:$B,0))&amp;""),"—"))</f>
        <v/>
      </c>
      <c r="L1846">
        <f>IF($C1846="","",IFERROR(IF(INDEX(Roster!$K:$K,MATCH($C1846,Roster!$B:$B,0))="","",INDEX(Roster!$K:$K,MATCH($C1846,Roster!$B:$B,0))&amp;""),"—"))</f>
        <v/>
      </c>
      <c r="M1846" s="27" t="n"/>
      <c r="N1846" s="27" t="n"/>
      <c r="O1846" s="25">
        <f>IF($C1846="","",IF($P1846="","—",IF($P1846="Valid (Pass)","Valid","Invalid")))</f>
        <v/>
      </c>
      <c r="P1846" s="27" t="n"/>
      <c r="Q1846" s="27" t="n"/>
      <c r="R1846" s="27" t="n"/>
      <c r="S1846" s="27" t="n"/>
      <c r="T1846" s="25">
        <f>IF($C1846="","",IF(OR(ISNUMBER(SEARCH("quick case",$P1846)),ISNUMBER(SEARCH("quick case",$Q1846))),"Yes","No"))</f>
        <v/>
      </c>
      <c r="U1846" s="25">
        <f>IF($O1846="Invalid",HYPERLINK("mailto:"&amp;$G1846&amp;";"&amp;$I1846&amp;"?cc="&amp;Lists!$E$2&amp;"&amp;subject="&amp;_xlfn.ENCODEURL("[INVALID] Quality audit monitoring completed for "&amp;UPPER($C1846))&amp;"&amp;body="&amp;_xlfn.ENCODEURL("Hi "&amp;$F1846&amp;","&amp;CHAR(10)&amp;"Good day!"&amp;CHAR(10)&amp;CHAR(10)&amp;"A quality monitoring audit has been completed for "&amp;$C1846&amp;"."&amp;CHAR(10)&amp;CHAR(10)&amp;"QUALITY AUDIT DETAILS"&amp;CHAR(10)&amp;"Agent Name: "&amp;$C1846&amp;" (EID "&amp;$D1846&amp;")"&amp;CHAR(10)&amp;"Audit Date: "&amp;TEXT($B1846,"yyyy-mm-dd")&amp;CHAR(10)&amp;"Team Leader: "&amp;$F1846&amp;CHAR(10)&amp;"Case Number: "&amp;$M1846&amp;CHAR(10)&amp;"Transaction ID: "&amp;$N1846&amp;CHAR(10)&amp;"Channel / LOB: "&amp;$K1846&amp;" / "&amp;$L1846&amp;CHAR(10)&amp;"Evaluator: "&amp;$S1846&amp;CHAR(10)&amp;CHAR(10)&amp;"INVALID QUALITY AUDIT DETAILS"&amp;CHAR(10)&amp;"Validation: Invalid"&amp;CHAR(10)&amp;"Invalid Reason: "&amp;$P1846&amp;CHAR(10)&amp;"Expected Resolution Code: "&amp;$Q1846&amp;CHAR(10)&amp;"Remarks: "&amp;LEFT($R1846,600)&amp;CHAR(10)&amp;CHAR(10)&amp;"This is an automated notification from HP Mainstream EQMS."),"✉ Open Email Draft"),"")</f>
        <v/>
      </c>
    </row>
    <row r="1847">
      <c r="A1847" s="25">
        <f>IF($C1847="","","AUD-2026-"&amp;TEXT(ROW()-1,"000000"))</f>
        <v/>
      </c>
      <c r="B1847" s="26" t="n"/>
      <c r="C1847" s="27" t="n"/>
      <c r="D1847" s="25">
        <f>IF($C1847="","",IFERROR(IF(INDEX(Roster!$A:$A,MATCH($C1847,Roster!$B:$B,0))="","",INDEX(Roster!$A:$A,MATCH($C1847,Roster!$B:$B,0))&amp;""),"—"))</f>
        <v/>
      </c>
      <c r="E1847" s="25">
        <f>IF($C1847="","",IFERROR(IF(INDEX(Roster!$C:$C,MATCH($C1847,Roster!$B:$B,0))="","",INDEX(Roster!$C:$C,MATCH($C1847,Roster!$B:$B,0))&amp;""),"—"))</f>
        <v/>
      </c>
      <c r="F1847" s="25">
        <f>IF($C1847="","",IFERROR(IF(INDEX(Roster!$D:$D,MATCH($C1847,Roster!$B:$B,0))="","",INDEX(Roster!$D:$D,MATCH($C1847,Roster!$B:$B,0))&amp;""),"—"))</f>
        <v/>
      </c>
      <c r="G1847" s="25">
        <f>IF($C1847="","",IFERROR(IF(INDEX(Roster!$E:$E,MATCH($C1847,Roster!$B:$B,0))="","",INDEX(Roster!$E:$E,MATCH($C1847,Roster!$B:$B,0))&amp;""),"—"))</f>
        <v/>
      </c>
      <c r="H1847" s="25">
        <f>IF($C1847="","",IFERROR(IF(INDEX(Roster!$F:$F,MATCH($C1847,Roster!$B:$B,0))="","",INDEX(Roster!$F:$F,MATCH($C1847,Roster!$B:$B,0))&amp;""),"—"))</f>
        <v/>
      </c>
      <c r="I1847" s="25">
        <f>IF($C1847="","",IFERROR(IF(INDEX(Roster!$G:$G,MATCH($C1847,Roster!$B:$B,0))="","",INDEX(Roster!$G:$G,MATCH($C1847,Roster!$B:$B,0))&amp;""),"—"))</f>
        <v/>
      </c>
      <c r="J1847" s="25">
        <f>IF($C1847="","",IFERROR(IF(INDEX(Roster!$I:$I,MATCH($C1847,Roster!$B:$B,0))="","",INDEX(Roster!$I:$I,MATCH($C1847,Roster!$B:$B,0))&amp;""),"—"))</f>
        <v/>
      </c>
      <c r="K1847">
        <f>IF($C1847="","",IFERROR(IF(INDEX(Roster!$J:$J,MATCH($C1847,Roster!$B:$B,0))="","",INDEX(Roster!$J:$J,MATCH($C1847,Roster!$B:$B,0))&amp;""),"—"))</f>
        <v/>
      </c>
      <c r="L1847">
        <f>IF($C1847="","",IFERROR(IF(INDEX(Roster!$K:$K,MATCH($C1847,Roster!$B:$B,0))="","",INDEX(Roster!$K:$K,MATCH($C1847,Roster!$B:$B,0))&amp;""),"—"))</f>
        <v/>
      </c>
      <c r="M1847" s="27" t="n"/>
      <c r="N1847" s="27" t="n"/>
      <c r="O1847" s="25">
        <f>IF($C1847="","",IF($P1847="","—",IF($P1847="Valid (Pass)","Valid","Invalid")))</f>
        <v/>
      </c>
      <c r="P1847" s="27" t="n"/>
      <c r="Q1847" s="27" t="n"/>
      <c r="R1847" s="27" t="n"/>
      <c r="S1847" s="27" t="n"/>
      <c r="T1847" s="25">
        <f>IF($C1847="","",IF(OR(ISNUMBER(SEARCH("quick case",$P1847)),ISNUMBER(SEARCH("quick case",$Q1847))),"Yes","No"))</f>
        <v/>
      </c>
      <c r="U1847" s="25">
        <f>IF($O1847="Invalid",HYPERLINK("mailto:"&amp;$G1847&amp;";"&amp;$I1847&amp;"?cc="&amp;Lists!$E$2&amp;"&amp;subject="&amp;_xlfn.ENCODEURL("[INVALID] Quality audit monitoring completed for "&amp;UPPER($C1847))&amp;"&amp;body="&amp;_xlfn.ENCODEURL("Hi "&amp;$F1847&amp;","&amp;CHAR(10)&amp;"Good day!"&amp;CHAR(10)&amp;CHAR(10)&amp;"A quality monitoring audit has been completed for "&amp;$C1847&amp;"."&amp;CHAR(10)&amp;CHAR(10)&amp;"QUALITY AUDIT DETAILS"&amp;CHAR(10)&amp;"Agent Name: "&amp;$C1847&amp;" (EID "&amp;$D1847&amp;")"&amp;CHAR(10)&amp;"Audit Date: "&amp;TEXT($B1847,"yyyy-mm-dd")&amp;CHAR(10)&amp;"Team Leader: "&amp;$F1847&amp;CHAR(10)&amp;"Case Number: "&amp;$M1847&amp;CHAR(10)&amp;"Transaction ID: "&amp;$N1847&amp;CHAR(10)&amp;"Channel / LOB: "&amp;$K1847&amp;" / "&amp;$L1847&amp;CHAR(10)&amp;"Evaluator: "&amp;$S1847&amp;CHAR(10)&amp;CHAR(10)&amp;"INVALID QUALITY AUDIT DETAILS"&amp;CHAR(10)&amp;"Validation: Invalid"&amp;CHAR(10)&amp;"Invalid Reason: "&amp;$P1847&amp;CHAR(10)&amp;"Expected Resolution Code: "&amp;$Q1847&amp;CHAR(10)&amp;"Remarks: "&amp;LEFT($R1847,600)&amp;CHAR(10)&amp;CHAR(10)&amp;"This is an automated notification from HP Mainstream EQMS."),"✉ Open Email Draft"),"")</f>
        <v/>
      </c>
    </row>
    <row r="1848">
      <c r="A1848" s="25">
        <f>IF($C1848="","","AUD-2026-"&amp;TEXT(ROW()-1,"000000"))</f>
        <v/>
      </c>
      <c r="B1848" s="26" t="n"/>
      <c r="C1848" s="27" t="n"/>
      <c r="D1848" s="25">
        <f>IF($C1848="","",IFERROR(IF(INDEX(Roster!$A:$A,MATCH($C1848,Roster!$B:$B,0))="","",INDEX(Roster!$A:$A,MATCH($C1848,Roster!$B:$B,0))&amp;""),"—"))</f>
        <v/>
      </c>
      <c r="E1848" s="25">
        <f>IF($C1848="","",IFERROR(IF(INDEX(Roster!$C:$C,MATCH($C1848,Roster!$B:$B,0))="","",INDEX(Roster!$C:$C,MATCH($C1848,Roster!$B:$B,0))&amp;""),"—"))</f>
        <v/>
      </c>
      <c r="F1848" s="25">
        <f>IF($C1848="","",IFERROR(IF(INDEX(Roster!$D:$D,MATCH($C1848,Roster!$B:$B,0))="","",INDEX(Roster!$D:$D,MATCH($C1848,Roster!$B:$B,0))&amp;""),"—"))</f>
        <v/>
      </c>
      <c r="G1848" s="25">
        <f>IF($C1848="","",IFERROR(IF(INDEX(Roster!$E:$E,MATCH($C1848,Roster!$B:$B,0))="","",INDEX(Roster!$E:$E,MATCH($C1848,Roster!$B:$B,0))&amp;""),"—"))</f>
        <v/>
      </c>
      <c r="H1848" s="25">
        <f>IF($C1848="","",IFERROR(IF(INDEX(Roster!$F:$F,MATCH($C1848,Roster!$B:$B,0))="","",INDEX(Roster!$F:$F,MATCH($C1848,Roster!$B:$B,0))&amp;""),"—"))</f>
        <v/>
      </c>
      <c r="I1848" s="25">
        <f>IF($C1848="","",IFERROR(IF(INDEX(Roster!$G:$G,MATCH($C1848,Roster!$B:$B,0))="","",INDEX(Roster!$G:$G,MATCH($C1848,Roster!$B:$B,0))&amp;""),"—"))</f>
        <v/>
      </c>
      <c r="J1848" s="25">
        <f>IF($C1848="","",IFERROR(IF(INDEX(Roster!$I:$I,MATCH($C1848,Roster!$B:$B,0))="","",INDEX(Roster!$I:$I,MATCH($C1848,Roster!$B:$B,0))&amp;""),"—"))</f>
        <v/>
      </c>
      <c r="K1848">
        <f>IF($C1848="","",IFERROR(IF(INDEX(Roster!$J:$J,MATCH($C1848,Roster!$B:$B,0))="","",INDEX(Roster!$J:$J,MATCH($C1848,Roster!$B:$B,0))&amp;""),"—"))</f>
        <v/>
      </c>
      <c r="L1848">
        <f>IF($C1848="","",IFERROR(IF(INDEX(Roster!$K:$K,MATCH($C1848,Roster!$B:$B,0))="","",INDEX(Roster!$K:$K,MATCH($C1848,Roster!$B:$B,0))&amp;""),"—"))</f>
        <v/>
      </c>
      <c r="M1848" s="27" t="n"/>
      <c r="N1848" s="27" t="n"/>
      <c r="O1848" s="25">
        <f>IF($C1848="","",IF($P1848="","—",IF($P1848="Valid (Pass)","Valid","Invalid")))</f>
        <v/>
      </c>
      <c r="P1848" s="27" t="n"/>
      <c r="Q1848" s="27" t="n"/>
      <c r="R1848" s="27" t="n"/>
      <c r="S1848" s="27" t="n"/>
      <c r="T1848" s="25">
        <f>IF($C1848="","",IF(OR(ISNUMBER(SEARCH("quick case",$P1848)),ISNUMBER(SEARCH("quick case",$Q1848))),"Yes","No"))</f>
        <v/>
      </c>
      <c r="U1848" s="25">
        <f>IF($O1848="Invalid",HYPERLINK("mailto:"&amp;$G1848&amp;";"&amp;$I1848&amp;"?cc="&amp;Lists!$E$2&amp;"&amp;subject="&amp;_xlfn.ENCODEURL("[INVALID] Quality audit monitoring completed for "&amp;UPPER($C1848))&amp;"&amp;body="&amp;_xlfn.ENCODEURL("Hi "&amp;$F1848&amp;","&amp;CHAR(10)&amp;"Good day!"&amp;CHAR(10)&amp;CHAR(10)&amp;"A quality monitoring audit has been completed for "&amp;$C1848&amp;"."&amp;CHAR(10)&amp;CHAR(10)&amp;"QUALITY AUDIT DETAILS"&amp;CHAR(10)&amp;"Agent Name: "&amp;$C1848&amp;" (EID "&amp;$D1848&amp;")"&amp;CHAR(10)&amp;"Audit Date: "&amp;TEXT($B1848,"yyyy-mm-dd")&amp;CHAR(10)&amp;"Team Leader: "&amp;$F1848&amp;CHAR(10)&amp;"Case Number: "&amp;$M1848&amp;CHAR(10)&amp;"Transaction ID: "&amp;$N1848&amp;CHAR(10)&amp;"Channel / LOB: "&amp;$K1848&amp;" / "&amp;$L1848&amp;CHAR(10)&amp;"Evaluator: "&amp;$S1848&amp;CHAR(10)&amp;CHAR(10)&amp;"INVALID QUALITY AUDIT DETAILS"&amp;CHAR(10)&amp;"Validation: Invalid"&amp;CHAR(10)&amp;"Invalid Reason: "&amp;$P1848&amp;CHAR(10)&amp;"Expected Resolution Code: "&amp;$Q1848&amp;CHAR(10)&amp;"Remarks: "&amp;LEFT($R1848,600)&amp;CHAR(10)&amp;CHAR(10)&amp;"This is an automated notification from HP Mainstream EQMS."),"✉ Open Email Draft"),"")</f>
        <v/>
      </c>
    </row>
    <row r="1849">
      <c r="A1849" s="25">
        <f>IF($C1849="","","AUD-2026-"&amp;TEXT(ROW()-1,"000000"))</f>
        <v/>
      </c>
      <c r="B1849" s="26" t="n"/>
      <c r="C1849" s="27" t="n"/>
      <c r="D1849" s="25">
        <f>IF($C1849="","",IFERROR(IF(INDEX(Roster!$A:$A,MATCH($C1849,Roster!$B:$B,0))="","",INDEX(Roster!$A:$A,MATCH($C1849,Roster!$B:$B,0))&amp;""),"—"))</f>
        <v/>
      </c>
      <c r="E1849" s="25">
        <f>IF($C1849="","",IFERROR(IF(INDEX(Roster!$C:$C,MATCH($C1849,Roster!$B:$B,0))="","",INDEX(Roster!$C:$C,MATCH($C1849,Roster!$B:$B,0))&amp;""),"—"))</f>
        <v/>
      </c>
      <c r="F1849" s="25">
        <f>IF($C1849="","",IFERROR(IF(INDEX(Roster!$D:$D,MATCH($C1849,Roster!$B:$B,0))="","",INDEX(Roster!$D:$D,MATCH($C1849,Roster!$B:$B,0))&amp;""),"—"))</f>
        <v/>
      </c>
      <c r="G1849" s="25">
        <f>IF($C1849="","",IFERROR(IF(INDEX(Roster!$E:$E,MATCH($C1849,Roster!$B:$B,0))="","",INDEX(Roster!$E:$E,MATCH($C1849,Roster!$B:$B,0))&amp;""),"—"))</f>
        <v/>
      </c>
      <c r="H1849" s="25">
        <f>IF($C1849="","",IFERROR(IF(INDEX(Roster!$F:$F,MATCH($C1849,Roster!$B:$B,0))="","",INDEX(Roster!$F:$F,MATCH($C1849,Roster!$B:$B,0))&amp;""),"—"))</f>
        <v/>
      </c>
      <c r="I1849" s="25">
        <f>IF($C1849="","",IFERROR(IF(INDEX(Roster!$G:$G,MATCH($C1849,Roster!$B:$B,0))="","",INDEX(Roster!$G:$G,MATCH($C1849,Roster!$B:$B,0))&amp;""),"—"))</f>
        <v/>
      </c>
      <c r="J1849" s="25">
        <f>IF($C1849="","",IFERROR(IF(INDEX(Roster!$I:$I,MATCH($C1849,Roster!$B:$B,0))="","",INDEX(Roster!$I:$I,MATCH($C1849,Roster!$B:$B,0))&amp;""),"—"))</f>
        <v/>
      </c>
      <c r="K1849">
        <f>IF($C1849="","",IFERROR(IF(INDEX(Roster!$J:$J,MATCH($C1849,Roster!$B:$B,0))="","",INDEX(Roster!$J:$J,MATCH($C1849,Roster!$B:$B,0))&amp;""),"—"))</f>
        <v/>
      </c>
      <c r="L1849">
        <f>IF($C1849="","",IFERROR(IF(INDEX(Roster!$K:$K,MATCH($C1849,Roster!$B:$B,0))="","",INDEX(Roster!$K:$K,MATCH($C1849,Roster!$B:$B,0))&amp;""),"—"))</f>
        <v/>
      </c>
      <c r="M1849" s="27" t="n"/>
      <c r="N1849" s="27" t="n"/>
      <c r="O1849" s="25">
        <f>IF($C1849="","",IF($P1849="","—",IF($P1849="Valid (Pass)","Valid","Invalid")))</f>
        <v/>
      </c>
      <c r="P1849" s="27" t="n"/>
      <c r="Q1849" s="27" t="n"/>
      <c r="R1849" s="27" t="n"/>
      <c r="S1849" s="27" t="n"/>
      <c r="T1849" s="25">
        <f>IF($C1849="","",IF(OR(ISNUMBER(SEARCH("quick case",$P1849)),ISNUMBER(SEARCH("quick case",$Q1849))),"Yes","No"))</f>
        <v/>
      </c>
      <c r="U1849" s="25">
        <f>IF($O1849="Invalid",HYPERLINK("mailto:"&amp;$G1849&amp;";"&amp;$I1849&amp;"?cc="&amp;Lists!$E$2&amp;"&amp;subject="&amp;_xlfn.ENCODEURL("[INVALID] Quality audit monitoring completed for "&amp;UPPER($C1849))&amp;"&amp;body="&amp;_xlfn.ENCODEURL("Hi "&amp;$F1849&amp;","&amp;CHAR(10)&amp;"Good day!"&amp;CHAR(10)&amp;CHAR(10)&amp;"A quality monitoring audit has been completed for "&amp;$C1849&amp;"."&amp;CHAR(10)&amp;CHAR(10)&amp;"QUALITY AUDIT DETAILS"&amp;CHAR(10)&amp;"Agent Name: "&amp;$C1849&amp;" (EID "&amp;$D1849&amp;")"&amp;CHAR(10)&amp;"Audit Date: "&amp;TEXT($B1849,"yyyy-mm-dd")&amp;CHAR(10)&amp;"Team Leader: "&amp;$F1849&amp;CHAR(10)&amp;"Case Number: "&amp;$M1849&amp;CHAR(10)&amp;"Transaction ID: "&amp;$N1849&amp;CHAR(10)&amp;"Channel / LOB: "&amp;$K1849&amp;" / "&amp;$L1849&amp;CHAR(10)&amp;"Evaluator: "&amp;$S1849&amp;CHAR(10)&amp;CHAR(10)&amp;"INVALID QUALITY AUDIT DETAILS"&amp;CHAR(10)&amp;"Validation: Invalid"&amp;CHAR(10)&amp;"Invalid Reason: "&amp;$P1849&amp;CHAR(10)&amp;"Expected Resolution Code: "&amp;$Q1849&amp;CHAR(10)&amp;"Remarks: "&amp;LEFT($R1849,600)&amp;CHAR(10)&amp;CHAR(10)&amp;"This is an automated notification from HP Mainstream EQMS."),"✉ Open Email Draft"),"")</f>
        <v/>
      </c>
    </row>
    <row r="1850">
      <c r="A1850" s="25">
        <f>IF($C1850="","","AUD-2026-"&amp;TEXT(ROW()-1,"000000"))</f>
        <v/>
      </c>
      <c r="B1850" s="26" t="n"/>
      <c r="C1850" s="27" t="n"/>
      <c r="D1850" s="25">
        <f>IF($C1850="","",IFERROR(IF(INDEX(Roster!$A:$A,MATCH($C1850,Roster!$B:$B,0))="","",INDEX(Roster!$A:$A,MATCH($C1850,Roster!$B:$B,0))&amp;""),"—"))</f>
        <v/>
      </c>
      <c r="E1850" s="25">
        <f>IF($C1850="","",IFERROR(IF(INDEX(Roster!$C:$C,MATCH($C1850,Roster!$B:$B,0))="","",INDEX(Roster!$C:$C,MATCH($C1850,Roster!$B:$B,0))&amp;""),"—"))</f>
        <v/>
      </c>
      <c r="F1850" s="25">
        <f>IF($C1850="","",IFERROR(IF(INDEX(Roster!$D:$D,MATCH($C1850,Roster!$B:$B,0))="","",INDEX(Roster!$D:$D,MATCH($C1850,Roster!$B:$B,0))&amp;""),"—"))</f>
        <v/>
      </c>
      <c r="G1850" s="25">
        <f>IF($C1850="","",IFERROR(IF(INDEX(Roster!$E:$E,MATCH($C1850,Roster!$B:$B,0))="","",INDEX(Roster!$E:$E,MATCH($C1850,Roster!$B:$B,0))&amp;""),"—"))</f>
        <v/>
      </c>
      <c r="H1850" s="25">
        <f>IF($C1850="","",IFERROR(IF(INDEX(Roster!$F:$F,MATCH($C1850,Roster!$B:$B,0))="","",INDEX(Roster!$F:$F,MATCH($C1850,Roster!$B:$B,0))&amp;""),"—"))</f>
        <v/>
      </c>
      <c r="I1850" s="25">
        <f>IF($C1850="","",IFERROR(IF(INDEX(Roster!$G:$G,MATCH($C1850,Roster!$B:$B,0))="","",INDEX(Roster!$G:$G,MATCH($C1850,Roster!$B:$B,0))&amp;""),"—"))</f>
        <v/>
      </c>
      <c r="J1850" s="25">
        <f>IF($C1850="","",IFERROR(IF(INDEX(Roster!$I:$I,MATCH($C1850,Roster!$B:$B,0))="","",INDEX(Roster!$I:$I,MATCH($C1850,Roster!$B:$B,0))&amp;""),"—"))</f>
        <v/>
      </c>
      <c r="K1850">
        <f>IF($C1850="","",IFERROR(IF(INDEX(Roster!$J:$J,MATCH($C1850,Roster!$B:$B,0))="","",INDEX(Roster!$J:$J,MATCH($C1850,Roster!$B:$B,0))&amp;""),"—"))</f>
        <v/>
      </c>
      <c r="L1850">
        <f>IF($C1850="","",IFERROR(IF(INDEX(Roster!$K:$K,MATCH($C1850,Roster!$B:$B,0))="","",INDEX(Roster!$K:$K,MATCH($C1850,Roster!$B:$B,0))&amp;""),"—"))</f>
        <v/>
      </c>
      <c r="M1850" s="27" t="n"/>
      <c r="N1850" s="27" t="n"/>
      <c r="O1850" s="25">
        <f>IF($C1850="","",IF($P1850="","—",IF($P1850="Valid (Pass)","Valid","Invalid")))</f>
        <v/>
      </c>
      <c r="P1850" s="27" t="n"/>
      <c r="Q1850" s="27" t="n"/>
      <c r="R1850" s="27" t="n"/>
      <c r="S1850" s="27" t="n"/>
      <c r="T1850" s="25">
        <f>IF($C1850="","",IF(OR(ISNUMBER(SEARCH("quick case",$P1850)),ISNUMBER(SEARCH("quick case",$Q1850))),"Yes","No"))</f>
        <v/>
      </c>
      <c r="U1850" s="25">
        <f>IF($O1850="Invalid",HYPERLINK("mailto:"&amp;$G1850&amp;";"&amp;$I1850&amp;"?cc="&amp;Lists!$E$2&amp;"&amp;subject="&amp;_xlfn.ENCODEURL("[INVALID] Quality audit monitoring completed for "&amp;UPPER($C1850))&amp;"&amp;body="&amp;_xlfn.ENCODEURL("Hi "&amp;$F1850&amp;","&amp;CHAR(10)&amp;"Good day!"&amp;CHAR(10)&amp;CHAR(10)&amp;"A quality monitoring audit has been completed for "&amp;$C1850&amp;"."&amp;CHAR(10)&amp;CHAR(10)&amp;"QUALITY AUDIT DETAILS"&amp;CHAR(10)&amp;"Agent Name: "&amp;$C1850&amp;" (EID "&amp;$D1850&amp;")"&amp;CHAR(10)&amp;"Audit Date: "&amp;TEXT($B1850,"yyyy-mm-dd")&amp;CHAR(10)&amp;"Team Leader: "&amp;$F1850&amp;CHAR(10)&amp;"Case Number: "&amp;$M1850&amp;CHAR(10)&amp;"Transaction ID: "&amp;$N1850&amp;CHAR(10)&amp;"Channel / LOB: "&amp;$K1850&amp;" / "&amp;$L1850&amp;CHAR(10)&amp;"Evaluator: "&amp;$S1850&amp;CHAR(10)&amp;CHAR(10)&amp;"INVALID QUALITY AUDIT DETAILS"&amp;CHAR(10)&amp;"Validation: Invalid"&amp;CHAR(10)&amp;"Invalid Reason: "&amp;$P1850&amp;CHAR(10)&amp;"Expected Resolution Code: "&amp;$Q1850&amp;CHAR(10)&amp;"Remarks: "&amp;LEFT($R1850,600)&amp;CHAR(10)&amp;CHAR(10)&amp;"This is an automated notification from HP Mainstream EQMS."),"✉ Open Email Draft"),"")</f>
        <v/>
      </c>
    </row>
    <row r="1851">
      <c r="A1851" s="25">
        <f>IF($C1851="","","AUD-2026-"&amp;TEXT(ROW()-1,"000000"))</f>
        <v/>
      </c>
      <c r="B1851" s="26" t="n"/>
      <c r="C1851" s="27" t="n"/>
      <c r="D1851" s="25">
        <f>IF($C1851="","",IFERROR(IF(INDEX(Roster!$A:$A,MATCH($C1851,Roster!$B:$B,0))="","",INDEX(Roster!$A:$A,MATCH($C1851,Roster!$B:$B,0))&amp;""),"—"))</f>
        <v/>
      </c>
      <c r="E1851" s="25">
        <f>IF($C1851="","",IFERROR(IF(INDEX(Roster!$C:$C,MATCH($C1851,Roster!$B:$B,0))="","",INDEX(Roster!$C:$C,MATCH($C1851,Roster!$B:$B,0))&amp;""),"—"))</f>
        <v/>
      </c>
      <c r="F1851" s="25">
        <f>IF($C1851="","",IFERROR(IF(INDEX(Roster!$D:$D,MATCH($C1851,Roster!$B:$B,0))="","",INDEX(Roster!$D:$D,MATCH($C1851,Roster!$B:$B,0))&amp;""),"—"))</f>
        <v/>
      </c>
      <c r="G1851" s="25">
        <f>IF($C1851="","",IFERROR(IF(INDEX(Roster!$E:$E,MATCH($C1851,Roster!$B:$B,0))="","",INDEX(Roster!$E:$E,MATCH($C1851,Roster!$B:$B,0))&amp;""),"—"))</f>
        <v/>
      </c>
      <c r="H1851" s="25">
        <f>IF($C1851="","",IFERROR(IF(INDEX(Roster!$F:$F,MATCH($C1851,Roster!$B:$B,0))="","",INDEX(Roster!$F:$F,MATCH($C1851,Roster!$B:$B,0))&amp;""),"—"))</f>
        <v/>
      </c>
      <c r="I1851" s="25">
        <f>IF($C1851="","",IFERROR(IF(INDEX(Roster!$G:$G,MATCH($C1851,Roster!$B:$B,0))="","",INDEX(Roster!$G:$G,MATCH($C1851,Roster!$B:$B,0))&amp;""),"—"))</f>
        <v/>
      </c>
      <c r="J1851" s="25">
        <f>IF($C1851="","",IFERROR(IF(INDEX(Roster!$I:$I,MATCH($C1851,Roster!$B:$B,0))="","",INDEX(Roster!$I:$I,MATCH($C1851,Roster!$B:$B,0))&amp;""),"—"))</f>
        <v/>
      </c>
      <c r="K1851">
        <f>IF($C1851="","",IFERROR(IF(INDEX(Roster!$J:$J,MATCH($C1851,Roster!$B:$B,0))="","",INDEX(Roster!$J:$J,MATCH($C1851,Roster!$B:$B,0))&amp;""),"—"))</f>
        <v/>
      </c>
      <c r="L1851">
        <f>IF($C1851="","",IFERROR(IF(INDEX(Roster!$K:$K,MATCH($C1851,Roster!$B:$B,0))="","",INDEX(Roster!$K:$K,MATCH($C1851,Roster!$B:$B,0))&amp;""),"—"))</f>
        <v/>
      </c>
      <c r="M1851" s="27" t="n"/>
      <c r="N1851" s="27" t="n"/>
      <c r="O1851" s="25">
        <f>IF($C1851="","",IF($P1851="","—",IF($P1851="Valid (Pass)","Valid","Invalid")))</f>
        <v/>
      </c>
      <c r="P1851" s="27" t="n"/>
      <c r="Q1851" s="27" t="n"/>
      <c r="R1851" s="27" t="n"/>
      <c r="S1851" s="27" t="n"/>
      <c r="T1851" s="25">
        <f>IF($C1851="","",IF(OR(ISNUMBER(SEARCH("quick case",$P1851)),ISNUMBER(SEARCH("quick case",$Q1851))),"Yes","No"))</f>
        <v/>
      </c>
      <c r="U1851" s="25">
        <f>IF($O1851="Invalid",HYPERLINK("mailto:"&amp;$G1851&amp;";"&amp;$I1851&amp;"?cc="&amp;Lists!$E$2&amp;"&amp;subject="&amp;_xlfn.ENCODEURL("[INVALID] Quality audit monitoring completed for "&amp;UPPER($C1851))&amp;"&amp;body="&amp;_xlfn.ENCODEURL("Hi "&amp;$F1851&amp;","&amp;CHAR(10)&amp;"Good day!"&amp;CHAR(10)&amp;CHAR(10)&amp;"A quality monitoring audit has been completed for "&amp;$C1851&amp;"."&amp;CHAR(10)&amp;CHAR(10)&amp;"QUALITY AUDIT DETAILS"&amp;CHAR(10)&amp;"Agent Name: "&amp;$C1851&amp;" (EID "&amp;$D1851&amp;")"&amp;CHAR(10)&amp;"Audit Date: "&amp;TEXT($B1851,"yyyy-mm-dd")&amp;CHAR(10)&amp;"Team Leader: "&amp;$F1851&amp;CHAR(10)&amp;"Case Number: "&amp;$M1851&amp;CHAR(10)&amp;"Transaction ID: "&amp;$N1851&amp;CHAR(10)&amp;"Channel / LOB: "&amp;$K1851&amp;" / "&amp;$L1851&amp;CHAR(10)&amp;"Evaluator: "&amp;$S1851&amp;CHAR(10)&amp;CHAR(10)&amp;"INVALID QUALITY AUDIT DETAILS"&amp;CHAR(10)&amp;"Validation: Invalid"&amp;CHAR(10)&amp;"Invalid Reason: "&amp;$P1851&amp;CHAR(10)&amp;"Expected Resolution Code: "&amp;$Q1851&amp;CHAR(10)&amp;"Remarks: "&amp;LEFT($R1851,600)&amp;CHAR(10)&amp;CHAR(10)&amp;"This is an automated notification from HP Mainstream EQMS."),"✉ Open Email Draft"),"")</f>
        <v/>
      </c>
    </row>
    <row r="1852">
      <c r="A1852" s="25">
        <f>IF($C1852="","","AUD-2026-"&amp;TEXT(ROW()-1,"000000"))</f>
        <v/>
      </c>
      <c r="B1852" s="26" t="n"/>
      <c r="C1852" s="27" t="n"/>
      <c r="D1852" s="25">
        <f>IF($C1852="","",IFERROR(IF(INDEX(Roster!$A:$A,MATCH($C1852,Roster!$B:$B,0))="","",INDEX(Roster!$A:$A,MATCH($C1852,Roster!$B:$B,0))&amp;""),"—"))</f>
        <v/>
      </c>
      <c r="E1852" s="25">
        <f>IF($C1852="","",IFERROR(IF(INDEX(Roster!$C:$C,MATCH($C1852,Roster!$B:$B,0))="","",INDEX(Roster!$C:$C,MATCH($C1852,Roster!$B:$B,0))&amp;""),"—"))</f>
        <v/>
      </c>
      <c r="F1852" s="25">
        <f>IF($C1852="","",IFERROR(IF(INDEX(Roster!$D:$D,MATCH($C1852,Roster!$B:$B,0))="","",INDEX(Roster!$D:$D,MATCH($C1852,Roster!$B:$B,0))&amp;""),"—"))</f>
        <v/>
      </c>
      <c r="G1852" s="25">
        <f>IF($C1852="","",IFERROR(IF(INDEX(Roster!$E:$E,MATCH($C1852,Roster!$B:$B,0))="","",INDEX(Roster!$E:$E,MATCH($C1852,Roster!$B:$B,0))&amp;""),"—"))</f>
        <v/>
      </c>
      <c r="H1852" s="25">
        <f>IF($C1852="","",IFERROR(IF(INDEX(Roster!$F:$F,MATCH($C1852,Roster!$B:$B,0))="","",INDEX(Roster!$F:$F,MATCH($C1852,Roster!$B:$B,0))&amp;""),"—"))</f>
        <v/>
      </c>
      <c r="I1852" s="25">
        <f>IF($C1852="","",IFERROR(IF(INDEX(Roster!$G:$G,MATCH($C1852,Roster!$B:$B,0))="","",INDEX(Roster!$G:$G,MATCH($C1852,Roster!$B:$B,0))&amp;""),"—"))</f>
        <v/>
      </c>
      <c r="J1852" s="25">
        <f>IF($C1852="","",IFERROR(IF(INDEX(Roster!$I:$I,MATCH($C1852,Roster!$B:$B,0))="","",INDEX(Roster!$I:$I,MATCH($C1852,Roster!$B:$B,0))&amp;""),"—"))</f>
        <v/>
      </c>
      <c r="K1852">
        <f>IF($C1852="","",IFERROR(IF(INDEX(Roster!$J:$J,MATCH($C1852,Roster!$B:$B,0))="","",INDEX(Roster!$J:$J,MATCH($C1852,Roster!$B:$B,0))&amp;""),"—"))</f>
        <v/>
      </c>
      <c r="L1852">
        <f>IF($C1852="","",IFERROR(IF(INDEX(Roster!$K:$K,MATCH($C1852,Roster!$B:$B,0))="","",INDEX(Roster!$K:$K,MATCH($C1852,Roster!$B:$B,0))&amp;""),"—"))</f>
        <v/>
      </c>
      <c r="M1852" s="27" t="n"/>
      <c r="N1852" s="27" t="n"/>
      <c r="O1852" s="25">
        <f>IF($C1852="","",IF($P1852="","—",IF($P1852="Valid (Pass)","Valid","Invalid")))</f>
        <v/>
      </c>
      <c r="P1852" s="27" t="n"/>
      <c r="Q1852" s="27" t="n"/>
      <c r="R1852" s="27" t="n"/>
      <c r="S1852" s="27" t="n"/>
      <c r="T1852" s="25">
        <f>IF($C1852="","",IF(OR(ISNUMBER(SEARCH("quick case",$P1852)),ISNUMBER(SEARCH("quick case",$Q1852))),"Yes","No"))</f>
        <v/>
      </c>
      <c r="U1852" s="25">
        <f>IF($O1852="Invalid",HYPERLINK("mailto:"&amp;$G1852&amp;";"&amp;$I1852&amp;"?cc="&amp;Lists!$E$2&amp;"&amp;subject="&amp;_xlfn.ENCODEURL("[INVALID] Quality audit monitoring completed for "&amp;UPPER($C1852))&amp;"&amp;body="&amp;_xlfn.ENCODEURL("Hi "&amp;$F1852&amp;","&amp;CHAR(10)&amp;"Good day!"&amp;CHAR(10)&amp;CHAR(10)&amp;"A quality monitoring audit has been completed for "&amp;$C1852&amp;"."&amp;CHAR(10)&amp;CHAR(10)&amp;"QUALITY AUDIT DETAILS"&amp;CHAR(10)&amp;"Agent Name: "&amp;$C1852&amp;" (EID "&amp;$D1852&amp;")"&amp;CHAR(10)&amp;"Audit Date: "&amp;TEXT($B1852,"yyyy-mm-dd")&amp;CHAR(10)&amp;"Team Leader: "&amp;$F1852&amp;CHAR(10)&amp;"Case Number: "&amp;$M1852&amp;CHAR(10)&amp;"Transaction ID: "&amp;$N1852&amp;CHAR(10)&amp;"Channel / LOB: "&amp;$K1852&amp;" / "&amp;$L1852&amp;CHAR(10)&amp;"Evaluator: "&amp;$S1852&amp;CHAR(10)&amp;CHAR(10)&amp;"INVALID QUALITY AUDIT DETAILS"&amp;CHAR(10)&amp;"Validation: Invalid"&amp;CHAR(10)&amp;"Invalid Reason: "&amp;$P1852&amp;CHAR(10)&amp;"Expected Resolution Code: "&amp;$Q1852&amp;CHAR(10)&amp;"Remarks: "&amp;LEFT($R1852,600)&amp;CHAR(10)&amp;CHAR(10)&amp;"This is an automated notification from HP Mainstream EQMS."),"✉ Open Email Draft"),"")</f>
        <v/>
      </c>
    </row>
    <row r="1853">
      <c r="A1853" s="25">
        <f>IF($C1853="","","AUD-2026-"&amp;TEXT(ROW()-1,"000000"))</f>
        <v/>
      </c>
      <c r="B1853" s="26" t="n"/>
      <c r="C1853" s="27" t="n"/>
      <c r="D1853" s="25">
        <f>IF($C1853="","",IFERROR(IF(INDEX(Roster!$A:$A,MATCH($C1853,Roster!$B:$B,0))="","",INDEX(Roster!$A:$A,MATCH($C1853,Roster!$B:$B,0))&amp;""),"—"))</f>
        <v/>
      </c>
      <c r="E1853" s="25">
        <f>IF($C1853="","",IFERROR(IF(INDEX(Roster!$C:$C,MATCH($C1853,Roster!$B:$B,0))="","",INDEX(Roster!$C:$C,MATCH($C1853,Roster!$B:$B,0))&amp;""),"—"))</f>
        <v/>
      </c>
      <c r="F1853" s="25">
        <f>IF($C1853="","",IFERROR(IF(INDEX(Roster!$D:$D,MATCH($C1853,Roster!$B:$B,0))="","",INDEX(Roster!$D:$D,MATCH($C1853,Roster!$B:$B,0))&amp;""),"—"))</f>
        <v/>
      </c>
      <c r="G1853" s="25">
        <f>IF($C1853="","",IFERROR(IF(INDEX(Roster!$E:$E,MATCH($C1853,Roster!$B:$B,0))="","",INDEX(Roster!$E:$E,MATCH($C1853,Roster!$B:$B,0))&amp;""),"—"))</f>
        <v/>
      </c>
      <c r="H1853" s="25">
        <f>IF($C1853="","",IFERROR(IF(INDEX(Roster!$F:$F,MATCH($C1853,Roster!$B:$B,0))="","",INDEX(Roster!$F:$F,MATCH($C1853,Roster!$B:$B,0))&amp;""),"—"))</f>
        <v/>
      </c>
      <c r="I1853" s="25">
        <f>IF($C1853="","",IFERROR(IF(INDEX(Roster!$G:$G,MATCH($C1853,Roster!$B:$B,0))="","",INDEX(Roster!$G:$G,MATCH($C1853,Roster!$B:$B,0))&amp;""),"—"))</f>
        <v/>
      </c>
      <c r="J1853" s="25">
        <f>IF($C1853="","",IFERROR(IF(INDEX(Roster!$I:$I,MATCH($C1853,Roster!$B:$B,0))="","",INDEX(Roster!$I:$I,MATCH($C1853,Roster!$B:$B,0))&amp;""),"—"))</f>
        <v/>
      </c>
      <c r="K1853">
        <f>IF($C1853="","",IFERROR(IF(INDEX(Roster!$J:$J,MATCH($C1853,Roster!$B:$B,0))="","",INDEX(Roster!$J:$J,MATCH($C1853,Roster!$B:$B,0))&amp;""),"—"))</f>
        <v/>
      </c>
      <c r="L1853">
        <f>IF($C1853="","",IFERROR(IF(INDEX(Roster!$K:$K,MATCH($C1853,Roster!$B:$B,0))="","",INDEX(Roster!$K:$K,MATCH($C1853,Roster!$B:$B,0))&amp;""),"—"))</f>
        <v/>
      </c>
      <c r="M1853" s="27" t="n"/>
      <c r="N1853" s="27" t="n"/>
      <c r="O1853" s="25">
        <f>IF($C1853="","",IF($P1853="","—",IF($P1853="Valid (Pass)","Valid","Invalid")))</f>
        <v/>
      </c>
      <c r="P1853" s="27" t="n"/>
      <c r="Q1853" s="27" t="n"/>
      <c r="R1853" s="27" t="n"/>
      <c r="S1853" s="27" t="n"/>
      <c r="T1853" s="25">
        <f>IF($C1853="","",IF(OR(ISNUMBER(SEARCH("quick case",$P1853)),ISNUMBER(SEARCH("quick case",$Q1853))),"Yes","No"))</f>
        <v/>
      </c>
      <c r="U1853" s="25">
        <f>IF($O1853="Invalid",HYPERLINK("mailto:"&amp;$G1853&amp;";"&amp;$I1853&amp;"?cc="&amp;Lists!$E$2&amp;"&amp;subject="&amp;_xlfn.ENCODEURL("[INVALID] Quality audit monitoring completed for "&amp;UPPER($C1853))&amp;"&amp;body="&amp;_xlfn.ENCODEURL("Hi "&amp;$F1853&amp;","&amp;CHAR(10)&amp;"Good day!"&amp;CHAR(10)&amp;CHAR(10)&amp;"A quality monitoring audit has been completed for "&amp;$C1853&amp;"."&amp;CHAR(10)&amp;CHAR(10)&amp;"QUALITY AUDIT DETAILS"&amp;CHAR(10)&amp;"Agent Name: "&amp;$C1853&amp;" (EID "&amp;$D1853&amp;")"&amp;CHAR(10)&amp;"Audit Date: "&amp;TEXT($B1853,"yyyy-mm-dd")&amp;CHAR(10)&amp;"Team Leader: "&amp;$F1853&amp;CHAR(10)&amp;"Case Number: "&amp;$M1853&amp;CHAR(10)&amp;"Transaction ID: "&amp;$N1853&amp;CHAR(10)&amp;"Channel / LOB: "&amp;$K1853&amp;" / "&amp;$L1853&amp;CHAR(10)&amp;"Evaluator: "&amp;$S1853&amp;CHAR(10)&amp;CHAR(10)&amp;"INVALID QUALITY AUDIT DETAILS"&amp;CHAR(10)&amp;"Validation: Invalid"&amp;CHAR(10)&amp;"Invalid Reason: "&amp;$P1853&amp;CHAR(10)&amp;"Expected Resolution Code: "&amp;$Q1853&amp;CHAR(10)&amp;"Remarks: "&amp;LEFT($R1853,600)&amp;CHAR(10)&amp;CHAR(10)&amp;"This is an automated notification from HP Mainstream EQMS."),"✉ Open Email Draft"),"")</f>
        <v/>
      </c>
    </row>
    <row r="1854">
      <c r="A1854" s="25">
        <f>IF($C1854="","","AUD-2026-"&amp;TEXT(ROW()-1,"000000"))</f>
        <v/>
      </c>
      <c r="B1854" s="26" t="n"/>
      <c r="C1854" s="27" t="n"/>
      <c r="D1854" s="25">
        <f>IF($C1854="","",IFERROR(IF(INDEX(Roster!$A:$A,MATCH($C1854,Roster!$B:$B,0))="","",INDEX(Roster!$A:$A,MATCH($C1854,Roster!$B:$B,0))&amp;""),"—"))</f>
        <v/>
      </c>
      <c r="E1854" s="25">
        <f>IF($C1854="","",IFERROR(IF(INDEX(Roster!$C:$C,MATCH($C1854,Roster!$B:$B,0))="","",INDEX(Roster!$C:$C,MATCH($C1854,Roster!$B:$B,0))&amp;""),"—"))</f>
        <v/>
      </c>
      <c r="F1854" s="25">
        <f>IF($C1854="","",IFERROR(IF(INDEX(Roster!$D:$D,MATCH($C1854,Roster!$B:$B,0))="","",INDEX(Roster!$D:$D,MATCH($C1854,Roster!$B:$B,0))&amp;""),"—"))</f>
        <v/>
      </c>
      <c r="G1854" s="25">
        <f>IF($C1854="","",IFERROR(IF(INDEX(Roster!$E:$E,MATCH($C1854,Roster!$B:$B,0))="","",INDEX(Roster!$E:$E,MATCH($C1854,Roster!$B:$B,0))&amp;""),"—"))</f>
        <v/>
      </c>
      <c r="H1854" s="25">
        <f>IF($C1854="","",IFERROR(IF(INDEX(Roster!$F:$F,MATCH($C1854,Roster!$B:$B,0))="","",INDEX(Roster!$F:$F,MATCH($C1854,Roster!$B:$B,0))&amp;""),"—"))</f>
        <v/>
      </c>
      <c r="I1854" s="25">
        <f>IF($C1854="","",IFERROR(IF(INDEX(Roster!$G:$G,MATCH($C1854,Roster!$B:$B,0))="","",INDEX(Roster!$G:$G,MATCH($C1854,Roster!$B:$B,0))&amp;""),"—"))</f>
        <v/>
      </c>
      <c r="J1854" s="25">
        <f>IF($C1854="","",IFERROR(IF(INDEX(Roster!$I:$I,MATCH($C1854,Roster!$B:$B,0))="","",INDEX(Roster!$I:$I,MATCH($C1854,Roster!$B:$B,0))&amp;""),"—"))</f>
        <v/>
      </c>
      <c r="K1854">
        <f>IF($C1854="","",IFERROR(IF(INDEX(Roster!$J:$J,MATCH($C1854,Roster!$B:$B,0))="","",INDEX(Roster!$J:$J,MATCH($C1854,Roster!$B:$B,0))&amp;""),"—"))</f>
        <v/>
      </c>
      <c r="L1854">
        <f>IF($C1854="","",IFERROR(IF(INDEX(Roster!$K:$K,MATCH($C1854,Roster!$B:$B,0))="","",INDEX(Roster!$K:$K,MATCH($C1854,Roster!$B:$B,0))&amp;""),"—"))</f>
        <v/>
      </c>
      <c r="M1854" s="27" t="n"/>
      <c r="N1854" s="27" t="n"/>
      <c r="O1854" s="25">
        <f>IF($C1854="","",IF($P1854="","—",IF($P1854="Valid (Pass)","Valid","Invalid")))</f>
        <v/>
      </c>
      <c r="P1854" s="27" t="n"/>
      <c r="Q1854" s="27" t="n"/>
      <c r="R1854" s="27" t="n"/>
      <c r="S1854" s="27" t="n"/>
      <c r="T1854" s="25">
        <f>IF($C1854="","",IF(OR(ISNUMBER(SEARCH("quick case",$P1854)),ISNUMBER(SEARCH("quick case",$Q1854))),"Yes","No"))</f>
        <v/>
      </c>
      <c r="U1854" s="25">
        <f>IF($O1854="Invalid",HYPERLINK("mailto:"&amp;$G1854&amp;";"&amp;$I1854&amp;"?cc="&amp;Lists!$E$2&amp;"&amp;subject="&amp;_xlfn.ENCODEURL("[INVALID] Quality audit monitoring completed for "&amp;UPPER($C1854))&amp;"&amp;body="&amp;_xlfn.ENCODEURL("Hi "&amp;$F1854&amp;","&amp;CHAR(10)&amp;"Good day!"&amp;CHAR(10)&amp;CHAR(10)&amp;"A quality monitoring audit has been completed for "&amp;$C1854&amp;"."&amp;CHAR(10)&amp;CHAR(10)&amp;"QUALITY AUDIT DETAILS"&amp;CHAR(10)&amp;"Agent Name: "&amp;$C1854&amp;" (EID "&amp;$D1854&amp;")"&amp;CHAR(10)&amp;"Audit Date: "&amp;TEXT($B1854,"yyyy-mm-dd")&amp;CHAR(10)&amp;"Team Leader: "&amp;$F1854&amp;CHAR(10)&amp;"Case Number: "&amp;$M1854&amp;CHAR(10)&amp;"Transaction ID: "&amp;$N1854&amp;CHAR(10)&amp;"Channel / LOB: "&amp;$K1854&amp;" / "&amp;$L1854&amp;CHAR(10)&amp;"Evaluator: "&amp;$S1854&amp;CHAR(10)&amp;CHAR(10)&amp;"INVALID QUALITY AUDIT DETAILS"&amp;CHAR(10)&amp;"Validation: Invalid"&amp;CHAR(10)&amp;"Invalid Reason: "&amp;$P1854&amp;CHAR(10)&amp;"Expected Resolution Code: "&amp;$Q1854&amp;CHAR(10)&amp;"Remarks: "&amp;LEFT($R1854,600)&amp;CHAR(10)&amp;CHAR(10)&amp;"This is an automated notification from HP Mainstream EQMS."),"✉ Open Email Draft"),"")</f>
        <v/>
      </c>
    </row>
    <row r="1855">
      <c r="A1855" s="25">
        <f>IF($C1855="","","AUD-2026-"&amp;TEXT(ROW()-1,"000000"))</f>
        <v/>
      </c>
      <c r="B1855" s="26" t="n"/>
      <c r="C1855" s="27" t="n"/>
      <c r="D1855" s="25">
        <f>IF($C1855="","",IFERROR(IF(INDEX(Roster!$A:$A,MATCH($C1855,Roster!$B:$B,0))="","",INDEX(Roster!$A:$A,MATCH($C1855,Roster!$B:$B,0))&amp;""),"—"))</f>
        <v/>
      </c>
      <c r="E1855" s="25">
        <f>IF($C1855="","",IFERROR(IF(INDEX(Roster!$C:$C,MATCH($C1855,Roster!$B:$B,0))="","",INDEX(Roster!$C:$C,MATCH($C1855,Roster!$B:$B,0))&amp;""),"—"))</f>
        <v/>
      </c>
      <c r="F1855" s="25">
        <f>IF($C1855="","",IFERROR(IF(INDEX(Roster!$D:$D,MATCH($C1855,Roster!$B:$B,0))="","",INDEX(Roster!$D:$D,MATCH($C1855,Roster!$B:$B,0))&amp;""),"—"))</f>
        <v/>
      </c>
      <c r="G1855" s="25">
        <f>IF($C1855="","",IFERROR(IF(INDEX(Roster!$E:$E,MATCH($C1855,Roster!$B:$B,0))="","",INDEX(Roster!$E:$E,MATCH($C1855,Roster!$B:$B,0))&amp;""),"—"))</f>
        <v/>
      </c>
      <c r="H1855" s="25">
        <f>IF($C1855="","",IFERROR(IF(INDEX(Roster!$F:$F,MATCH($C1855,Roster!$B:$B,0))="","",INDEX(Roster!$F:$F,MATCH($C1855,Roster!$B:$B,0))&amp;""),"—"))</f>
        <v/>
      </c>
      <c r="I1855" s="25">
        <f>IF($C1855="","",IFERROR(IF(INDEX(Roster!$G:$G,MATCH($C1855,Roster!$B:$B,0))="","",INDEX(Roster!$G:$G,MATCH($C1855,Roster!$B:$B,0))&amp;""),"—"))</f>
        <v/>
      </c>
      <c r="J1855" s="25">
        <f>IF($C1855="","",IFERROR(IF(INDEX(Roster!$I:$I,MATCH($C1855,Roster!$B:$B,0))="","",INDEX(Roster!$I:$I,MATCH($C1855,Roster!$B:$B,0))&amp;""),"—"))</f>
        <v/>
      </c>
      <c r="K1855">
        <f>IF($C1855="","",IFERROR(IF(INDEX(Roster!$J:$J,MATCH($C1855,Roster!$B:$B,0))="","",INDEX(Roster!$J:$J,MATCH($C1855,Roster!$B:$B,0))&amp;""),"—"))</f>
        <v/>
      </c>
      <c r="L1855">
        <f>IF($C1855="","",IFERROR(IF(INDEX(Roster!$K:$K,MATCH($C1855,Roster!$B:$B,0))="","",INDEX(Roster!$K:$K,MATCH($C1855,Roster!$B:$B,0))&amp;""),"—"))</f>
        <v/>
      </c>
      <c r="M1855" s="27" t="n"/>
      <c r="N1855" s="27" t="n"/>
      <c r="O1855" s="25">
        <f>IF($C1855="","",IF($P1855="","—",IF($P1855="Valid (Pass)","Valid","Invalid")))</f>
        <v/>
      </c>
      <c r="P1855" s="27" t="n"/>
      <c r="Q1855" s="27" t="n"/>
      <c r="R1855" s="27" t="n"/>
      <c r="S1855" s="27" t="n"/>
      <c r="T1855" s="25">
        <f>IF($C1855="","",IF(OR(ISNUMBER(SEARCH("quick case",$P1855)),ISNUMBER(SEARCH("quick case",$Q1855))),"Yes","No"))</f>
        <v/>
      </c>
      <c r="U1855" s="25">
        <f>IF($O1855="Invalid",HYPERLINK("mailto:"&amp;$G1855&amp;";"&amp;$I1855&amp;"?cc="&amp;Lists!$E$2&amp;"&amp;subject="&amp;_xlfn.ENCODEURL("[INVALID] Quality audit monitoring completed for "&amp;UPPER($C1855))&amp;"&amp;body="&amp;_xlfn.ENCODEURL("Hi "&amp;$F1855&amp;","&amp;CHAR(10)&amp;"Good day!"&amp;CHAR(10)&amp;CHAR(10)&amp;"A quality monitoring audit has been completed for "&amp;$C1855&amp;"."&amp;CHAR(10)&amp;CHAR(10)&amp;"QUALITY AUDIT DETAILS"&amp;CHAR(10)&amp;"Agent Name: "&amp;$C1855&amp;" (EID "&amp;$D1855&amp;")"&amp;CHAR(10)&amp;"Audit Date: "&amp;TEXT($B1855,"yyyy-mm-dd")&amp;CHAR(10)&amp;"Team Leader: "&amp;$F1855&amp;CHAR(10)&amp;"Case Number: "&amp;$M1855&amp;CHAR(10)&amp;"Transaction ID: "&amp;$N1855&amp;CHAR(10)&amp;"Channel / LOB: "&amp;$K1855&amp;" / "&amp;$L1855&amp;CHAR(10)&amp;"Evaluator: "&amp;$S1855&amp;CHAR(10)&amp;CHAR(10)&amp;"INVALID QUALITY AUDIT DETAILS"&amp;CHAR(10)&amp;"Validation: Invalid"&amp;CHAR(10)&amp;"Invalid Reason: "&amp;$P1855&amp;CHAR(10)&amp;"Expected Resolution Code: "&amp;$Q1855&amp;CHAR(10)&amp;"Remarks: "&amp;LEFT($R1855,600)&amp;CHAR(10)&amp;CHAR(10)&amp;"This is an automated notification from HP Mainstream EQMS."),"✉ Open Email Draft"),"")</f>
        <v/>
      </c>
    </row>
    <row r="1856">
      <c r="A1856" s="25">
        <f>IF($C1856="","","AUD-2026-"&amp;TEXT(ROW()-1,"000000"))</f>
        <v/>
      </c>
      <c r="B1856" s="26" t="n"/>
      <c r="C1856" s="27" t="n"/>
      <c r="D1856" s="25">
        <f>IF($C1856="","",IFERROR(IF(INDEX(Roster!$A:$A,MATCH($C1856,Roster!$B:$B,0))="","",INDEX(Roster!$A:$A,MATCH($C1856,Roster!$B:$B,0))&amp;""),"—"))</f>
        <v/>
      </c>
      <c r="E1856" s="25">
        <f>IF($C1856="","",IFERROR(IF(INDEX(Roster!$C:$C,MATCH($C1856,Roster!$B:$B,0))="","",INDEX(Roster!$C:$C,MATCH($C1856,Roster!$B:$B,0))&amp;""),"—"))</f>
        <v/>
      </c>
      <c r="F1856" s="25">
        <f>IF($C1856="","",IFERROR(IF(INDEX(Roster!$D:$D,MATCH($C1856,Roster!$B:$B,0))="","",INDEX(Roster!$D:$D,MATCH($C1856,Roster!$B:$B,0))&amp;""),"—"))</f>
        <v/>
      </c>
      <c r="G1856" s="25">
        <f>IF($C1856="","",IFERROR(IF(INDEX(Roster!$E:$E,MATCH($C1856,Roster!$B:$B,0))="","",INDEX(Roster!$E:$E,MATCH($C1856,Roster!$B:$B,0))&amp;""),"—"))</f>
        <v/>
      </c>
      <c r="H1856" s="25">
        <f>IF($C1856="","",IFERROR(IF(INDEX(Roster!$F:$F,MATCH($C1856,Roster!$B:$B,0))="","",INDEX(Roster!$F:$F,MATCH($C1856,Roster!$B:$B,0))&amp;""),"—"))</f>
        <v/>
      </c>
      <c r="I1856" s="25">
        <f>IF($C1856="","",IFERROR(IF(INDEX(Roster!$G:$G,MATCH($C1856,Roster!$B:$B,0))="","",INDEX(Roster!$G:$G,MATCH($C1856,Roster!$B:$B,0))&amp;""),"—"))</f>
        <v/>
      </c>
      <c r="J1856" s="25">
        <f>IF($C1856="","",IFERROR(IF(INDEX(Roster!$I:$I,MATCH($C1856,Roster!$B:$B,0))="","",INDEX(Roster!$I:$I,MATCH($C1856,Roster!$B:$B,0))&amp;""),"—"))</f>
        <v/>
      </c>
      <c r="K1856">
        <f>IF($C1856="","",IFERROR(IF(INDEX(Roster!$J:$J,MATCH($C1856,Roster!$B:$B,0))="","",INDEX(Roster!$J:$J,MATCH($C1856,Roster!$B:$B,0))&amp;""),"—"))</f>
        <v/>
      </c>
      <c r="L1856">
        <f>IF($C1856="","",IFERROR(IF(INDEX(Roster!$K:$K,MATCH($C1856,Roster!$B:$B,0))="","",INDEX(Roster!$K:$K,MATCH($C1856,Roster!$B:$B,0))&amp;""),"—"))</f>
        <v/>
      </c>
      <c r="M1856" s="27" t="n"/>
      <c r="N1856" s="27" t="n"/>
      <c r="O1856" s="25">
        <f>IF($C1856="","",IF($P1856="","—",IF($P1856="Valid (Pass)","Valid","Invalid")))</f>
        <v/>
      </c>
      <c r="P1856" s="27" t="n"/>
      <c r="Q1856" s="27" t="n"/>
      <c r="R1856" s="27" t="n"/>
      <c r="S1856" s="27" t="n"/>
      <c r="T1856" s="25">
        <f>IF($C1856="","",IF(OR(ISNUMBER(SEARCH("quick case",$P1856)),ISNUMBER(SEARCH("quick case",$Q1856))),"Yes","No"))</f>
        <v/>
      </c>
      <c r="U1856" s="25">
        <f>IF($O1856="Invalid",HYPERLINK("mailto:"&amp;$G1856&amp;";"&amp;$I1856&amp;"?cc="&amp;Lists!$E$2&amp;"&amp;subject="&amp;_xlfn.ENCODEURL("[INVALID] Quality audit monitoring completed for "&amp;UPPER($C1856))&amp;"&amp;body="&amp;_xlfn.ENCODEURL("Hi "&amp;$F1856&amp;","&amp;CHAR(10)&amp;"Good day!"&amp;CHAR(10)&amp;CHAR(10)&amp;"A quality monitoring audit has been completed for "&amp;$C1856&amp;"."&amp;CHAR(10)&amp;CHAR(10)&amp;"QUALITY AUDIT DETAILS"&amp;CHAR(10)&amp;"Agent Name: "&amp;$C1856&amp;" (EID "&amp;$D1856&amp;")"&amp;CHAR(10)&amp;"Audit Date: "&amp;TEXT($B1856,"yyyy-mm-dd")&amp;CHAR(10)&amp;"Team Leader: "&amp;$F1856&amp;CHAR(10)&amp;"Case Number: "&amp;$M1856&amp;CHAR(10)&amp;"Transaction ID: "&amp;$N1856&amp;CHAR(10)&amp;"Channel / LOB: "&amp;$K1856&amp;" / "&amp;$L1856&amp;CHAR(10)&amp;"Evaluator: "&amp;$S1856&amp;CHAR(10)&amp;CHAR(10)&amp;"INVALID QUALITY AUDIT DETAILS"&amp;CHAR(10)&amp;"Validation: Invalid"&amp;CHAR(10)&amp;"Invalid Reason: "&amp;$P1856&amp;CHAR(10)&amp;"Expected Resolution Code: "&amp;$Q1856&amp;CHAR(10)&amp;"Remarks: "&amp;LEFT($R1856,600)&amp;CHAR(10)&amp;CHAR(10)&amp;"This is an automated notification from HP Mainstream EQMS."),"✉ Open Email Draft"),"")</f>
        <v/>
      </c>
    </row>
    <row r="1857">
      <c r="A1857" s="25">
        <f>IF($C1857="","","AUD-2026-"&amp;TEXT(ROW()-1,"000000"))</f>
        <v/>
      </c>
      <c r="B1857" s="26" t="n"/>
      <c r="C1857" s="27" t="n"/>
      <c r="D1857" s="25">
        <f>IF($C1857="","",IFERROR(IF(INDEX(Roster!$A:$A,MATCH($C1857,Roster!$B:$B,0))="","",INDEX(Roster!$A:$A,MATCH($C1857,Roster!$B:$B,0))&amp;""),"—"))</f>
        <v/>
      </c>
      <c r="E1857" s="25">
        <f>IF($C1857="","",IFERROR(IF(INDEX(Roster!$C:$C,MATCH($C1857,Roster!$B:$B,0))="","",INDEX(Roster!$C:$C,MATCH($C1857,Roster!$B:$B,0))&amp;""),"—"))</f>
        <v/>
      </c>
      <c r="F1857" s="25">
        <f>IF($C1857="","",IFERROR(IF(INDEX(Roster!$D:$D,MATCH($C1857,Roster!$B:$B,0))="","",INDEX(Roster!$D:$D,MATCH($C1857,Roster!$B:$B,0))&amp;""),"—"))</f>
        <v/>
      </c>
      <c r="G1857" s="25">
        <f>IF($C1857="","",IFERROR(IF(INDEX(Roster!$E:$E,MATCH($C1857,Roster!$B:$B,0))="","",INDEX(Roster!$E:$E,MATCH($C1857,Roster!$B:$B,0))&amp;""),"—"))</f>
        <v/>
      </c>
      <c r="H1857" s="25">
        <f>IF($C1857="","",IFERROR(IF(INDEX(Roster!$F:$F,MATCH($C1857,Roster!$B:$B,0))="","",INDEX(Roster!$F:$F,MATCH($C1857,Roster!$B:$B,0))&amp;""),"—"))</f>
        <v/>
      </c>
      <c r="I1857" s="25">
        <f>IF($C1857="","",IFERROR(IF(INDEX(Roster!$G:$G,MATCH($C1857,Roster!$B:$B,0))="","",INDEX(Roster!$G:$G,MATCH($C1857,Roster!$B:$B,0))&amp;""),"—"))</f>
        <v/>
      </c>
      <c r="J1857" s="25">
        <f>IF($C1857="","",IFERROR(IF(INDEX(Roster!$I:$I,MATCH($C1857,Roster!$B:$B,0))="","",INDEX(Roster!$I:$I,MATCH($C1857,Roster!$B:$B,0))&amp;""),"—"))</f>
        <v/>
      </c>
      <c r="K1857">
        <f>IF($C1857="","",IFERROR(IF(INDEX(Roster!$J:$J,MATCH($C1857,Roster!$B:$B,0))="","",INDEX(Roster!$J:$J,MATCH($C1857,Roster!$B:$B,0))&amp;""),"—"))</f>
        <v/>
      </c>
      <c r="L1857">
        <f>IF($C1857="","",IFERROR(IF(INDEX(Roster!$K:$K,MATCH($C1857,Roster!$B:$B,0))="","",INDEX(Roster!$K:$K,MATCH($C1857,Roster!$B:$B,0))&amp;""),"—"))</f>
        <v/>
      </c>
      <c r="M1857" s="27" t="n"/>
      <c r="N1857" s="27" t="n"/>
      <c r="O1857" s="25">
        <f>IF($C1857="","",IF($P1857="","—",IF($P1857="Valid (Pass)","Valid","Invalid")))</f>
        <v/>
      </c>
      <c r="P1857" s="27" t="n"/>
      <c r="Q1857" s="27" t="n"/>
      <c r="R1857" s="27" t="n"/>
      <c r="S1857" s="27" t="n"/>
      <c r="T1857" s="25">
        <f>IF($C1857="","",IF(OR(ISNUMBER(SEARCH("quick case",$P1857)),ISNUMBER(SEARCH("quick case",$Q1857))),"Yes","No"))</f>
        <v/>
      </c>
      <c r="U1857" s="25">
        <f>IF($O1857="Invalid",HYPERLINK("mailto:"&amp;$G1857&amp;";"&amp;$I1857&amp;"?cc="&amp;Lists!$E$2&amp;"&amp;subject="&amp;_xlfn.ENCODEURL("[INVALID] Quality audit monitoring completed for "&amp;UPPER($C1857))&amp;"&amp;body="&amp;_xlfn.ENCODEURL("Hi "&amp;$F1857&amp;","&amp;CHAR(10)&amp;"Good day!"&amp;CHAR(10)&amp;CHAR(10)&amp;"A quality monitoring audit has been completed for "&amp;$C1857&amp;"."&amp;CHAR(10)&amp;CHAR(10)&amp;"QUALITY AUDIT DETAILS"&amp;CHAR(10)&amp;"Agent Name: "&amp;$C1857&amp;" (EID "&amp;$D1857&amp;")"&amp;CHAR(10)&amp;"Audit Date: "&amp;TEXT($B1857,"yyyy-mm-dd")&amp;CHAR(10)&amp;"Team Leader: "&amp;$F1857&amp;CHAR(10)&amp;"Case Number: "&amp;$M1857&amp;CHAR(10)&amp;"Transaction ID: "&amp;$N1857&amp;CHAR(10)&amp;"Channel / LOB: "&amp;$K1857&amp;" / "&amp;$L1857&amp;CHAR(10)&amp;"Evaluator: "&amp;$S1857&amp;CHAR(10)&amp;CHAR(10)&amp;"INVALID QUALITY AUDIT DETAILS"&amp;CHAR(10)&amp;"Validation: Invalid"&amp;CHAR(10)&amp;"Invalid Reason: "&amp;$P1857&amp;CHAR(10)&amp;"Expected Resolution Code: "&amp;$Q1857&amp;CHAR(10)&amp;"Remarks: "&amp;LEFT($R1857,600)&amp;CHAR(10)&amp;CHAR(10)&amp;"This is an automated notification from HP Mainstream EQMS."),"✉ Open Email Draft"),"")</f>
        <v/>
      </c>
    </row>
    <row r="1858">
      <c r="A1858" s="25">
        <f>IF($C1858="","","AUD-2026-"&amp;TEXT(ROW()-1,"000000"))</f>
        <v/>
      </c>
      <c r="B1858" s="26" t="n"/>
      <c r="C1858" s="27" t="n"/>
      <c r="D1858" s="25">
        <f>IF($C1858="","",IFERROR(IF(INDEX(Roster!$A:$A,MATCH($C1858,Roster!$B:$B,0))="","",INDEX(Roster!$A:$A,MATCH($C1858,Roster!$B:$B,0))&amp;""),"—"))</f>
        <v/>
      </c>
      <c r="E1858" s="25">
        <f>IF($C1858="","",IFERROR(IF(INDEX(Roster!$C:$C,MATCH($C1858,Roster!$B:$B,0))="","",INDEX(Roster!$C:$C,MATCH($C1858,Roster!$B:$B,0))&amp;""),"—"))</f>
        <v/>
      </c>
      <c r="F1858" s="25">
        <f>IF($C1858="","",IFERROR(IF(INDEX(Roster!$D:$D,MATCH($C1858,Roster!$B:$B,0))="","",INDEX(Roster!$D:$D,MATCH($C1858,Roster!$B:$B,0))&amp;""),"—"))</f>
        <v/>
      </c>
      <c r="G1858" s="25">
        <f>IF($C1858="","",IFERROR(IF(INDEX(Roster!$E:$E,MATCH($C1858,Roster!$B:$B,0))="","",INDEX(Roster!$E:$E,MATCH($C1858,Roster!$B:$B,0))&amp;""),"—"))</f>
        <v/>
      </c>
      <c r="H1858" s="25">
        <f>IF($C1858="","",IFERROR(IF(INDEX(Roster!$F:$F,MATCH($C1858,Roster!$B:$B,0))="","",INDEX(Roster!$F:$F,MATCH($C1858,Roster!$B:$B,0))&amp;""),"—"))</f>
        <v/>
      </c>
      <c r="I1858" s="25">
        <f>IF($C1858="","",IFERROR(IF(INDEX(Roster!$G:$G,MATCH($C1858,Roster!$B:$B,0))="","",INDEX(Roster!$G:$G,MATCH($C1858,Roster!$B:$B,0))&amp;""),"—"))</f>
        <v/>
      </c>
      <c r="J1858" s="25">
        <f>IF($C1858="","",IFERROR(IF(INDEX(Roster!$I:$I,MATCH($C1858,Roster!$B:$B,0))="","",INDEX(Roster!$I:$I,MATCH($C1858,Roster!$B:$B,0))&amp;""),"—"))</f>
        <v/>
      </c>
      <c r="K1858">
        <f>IF($C1858="","",IFERROR(IF(INDEX(Roster!$J:$J,MATCH($C1858,Roster!$B:$B,0))="","",INDEX(Roster!$J:$J,MATCH($C1858,Roster!$B:$B,0))&amp;""),"—"))</f>
        <v/>
      </c>
      <c r="L1858">
        <f>IF($C1858="","",IFERROR(IF(INDEX(Roster!$K:$K,MATCH($C1858,Roster!$B:$B,0))="","",INDEX(Roster!$K:$K,MATCH($C1858,Roster!$B:$B,0))&amp;""),"—"))</f>
        <v/>
      </c>
      <c r="M1858" s="27" t="n"/>
      <c r="N1858" s="27" t="n"/>
      <c r="O1858" s="25">
        <f>IF($C1858="","",IF($P1858="","—",IF($P1858="Valid (Pass)","Valid","Invalid")))</f>
        <v/>
      </c>
      <c r="P1858" s="27" t="n"/>
      <c r="Q1858" s="27" t="n"/>
      <c r="R1858" s="27" t="n"/>
      <c r="S1858" s="27" t="n"/>
      <c r="T1858" s="25">
        <f>IF($C1858="","",IF(OR(ISNUMBER(SEARCH("quick case",$P1858)),ISNUMBER(SEARCH("quick case",$Q1858))),"Yes","No"))</f>
        <v/>
      </c>
      <c r="U1858" s="25">
        <f>IF($O1858="Invalid",HYPERLINK("mailto:"&amp;$G1858&amp;";"&amp;$I1858&amp;"?cc="&amp;Lists!$E$2&amp;"&amp;subject="&amp;_xlfn.ENCODEURL("[INVALID] Quality audit monitoring completed for "&amp;UPPER($C1858))&amp;"&amp;body="&amp;_xlfn.ENCODEURL("Hi "&amp;$F1858&amp;","&amp;CHAR(10)&amp;"Good day!"&amp;CHAR(10)&amp;CHAR(10)&amp;"A quality monitoring audit has been completed for "&amp;$C1858&amp;"."&amp;CHAR(10)&amp;CHAR(10)&amp;"QUALITY AUDIT DETAILS"&amp;CHAR(10)&amp;"Agent Name: "&amp;$C1858&amp;" (EID "&amp;$D1858&amp;")"&amp;CHAR(10)&amp;"Audit Date: "&amp;TEXT($B1858,"yyyy-mm-dd")&amp;CHAR(10)&amp;"Team Leader: "&amp;$F1858&amp;CHAR(10)&amp;"Case Number: "&amp;$M1858&amp;CHAR(10)&amp;"Transaction ID: "&amp;$N1858&amp;CHAR(10)&amp;"Channel / LOB: "&amp;$K1858&amp;" / "&amp;$L1858&amp;CHAR(10)&amp;"Evaluator: "&amp;$S1858&amp;CHAR(10)&amp;CHAR(10)&amp;"INVALID QUALITY AUDIT DETAILS"&amp;CHAR(10)&amp;"Validation: Invalid"&amp;CHAR(10)&amp;"Invalid Reason: "&amp;$P1858&amp;CHAR(10)&amp;"Expected Resolution Code: "&amp;$Q1858&amp;CHAR(10)&amp;"Remarks: "&amp;LEFT($R1858,600)&amp;CHAR(10)&amp;CHAR(10)&amp;"This is an automated notification from HP Mainstream EQMS."),"✉ Open Email Draft"),"")</f>
        <v/>
      </c>
    </row>
    <row r="1859">
      <c r="A1859" s="25">
        <f>IF($C1859="","","AUD-2026-"&amp;TEXT(ROW()-1,"000000"))</f>
        <v/>
      </c>
      <c r="B1859" s="26" t="n"/>
      <c r="C1859" s="27" t="n"/>
      <c r="D1859" s="25">
        <f>IF($C1859="","",IFERROR(IF(INDEX(Roster!$A:$A,MATCH($C1859,Roster!$B:$B,0))="","",INDEX(Roster!$A:$A,MATCH($C1859,Roster!$B:$B,0))&amp;""),"—"))</f>
        <v/>
      </c>
      <c r="E1859" s="25">
        <f>IF($C1859="","",IFERROR(IF(INDEX(Roster!$C:$C,MATCH($C1859,Roster!$B:$B,0))="","",INDEX(Roster!$C:$C,MATCH($C1859,Roster!$B:$B,0))&amp;""),"—"))</f>
        <v/>
      </c>
      <c r="F1859" s="25">
        <f>IF($C1859="","",IFERROR(IF(INDEX(Roster!$D:$D,MATCH($C1859,Roster!$B:$B,0))="","",INDEX(Roster!$D:$D,MATCH($C1859,Roster!$B:$B,0))&amp;""),"—"))</f>
        <v/>
      </c>
      <c r="G1859" s="25">
        <f>IF($C1859="","",IFERROR(IF(INDEX(Roster!$E:$E,MATCH($C1859,Roster!$B:$B,0))="","",INDEX(Roster!$E:$E,MATCH($C1859,Roster!$B:$B,0))&amp;""),"—"))</f>
        <v/>
      </c>
      <c r="H1859" s="25">
        <f>IF($C1859="","",IFERROR(IF(INDEX(Roster!$F:$F,MATCH($C1859,Roster!$B:$B,0))="","",INDEX(Roster!$F:$F,MATCH($C1859,Roster!$B:$B,0))&amp;""),"—"))</f>
        <v/>
      </c>
      <c r="I1859" s="25">
        <f>IF($C1859="","",IFERROR(IF(INDEX(Roster!$G:$G,MATCH($C1859,Roster!$B:$B,0))="","",INDEX(Roster!$G:$G,MATCH($C1859,Roster!$B:$B,0))&amp;""),"—"))</f>
        <v/>
      </c>
      <c r="J1859" s="25">
        <f>IF($C1859="","",IFERROR(IF(INDEX(Roster!$I:$I,MATCH($C1859,Roster!$B:$B,0))="","",INDEX(Roster!$I:$I,MATCH($C1859,Roster!$B:$B,0))&amp;""),"—"))</f>
        <v/>
      </c>
      <c r="K1859">
        <f>IF($C1859="","",IFERROR(IF(INDEX(Roster!$J:$J,MATCH($C1859,Roster!$B:$B,0))="","",INDEX(Roster!$J:$J,MATCH($C1859,Roster!$B:$B,0))&amp;""),"—"))</f>
        <v/>
      </c>
      <c r="L1859">
        <f>IF($C1859="","",IFERROR(IF(INDEX(Roster!$K:$K,MATCH($C1859,Roster!$B:$B,0))="","",INDEX(Roster!$K:$K,MATCH($C1859,Roster!$B:$B,0))&amp;""),"—"))</f>
        <v/>
      </c>
      <c r="M1859" s="27" t="n"/>
      <c r="N1859" s="27" t="n"/>
      <c r="O1859" s="25">
        <f>IF($C1859="","",IF($P1859="","—",IF($P1859="Valid (Pass)","Valid","Invalid")))</f>
        <v/>
      </c>
      <c r="P1859" s="27" t="n"/>
      <c r="Q1859" s="27" t="n"/>
      <c r="R1859" s="27" t="n"/>
      <c r="S1859" s="27" t="n"/>
      <c r="T1859" s="25">
        <f>IF($C1859="","",IF(OR(ISNUMBER(SEARCH("quick case",$P1859)),ISNUMBER(SEARCH("quick case",$Q1859))),"Yes","No"))</f>
        <v/>
      </c>
      <c r="U1859" s="25">
        <f>IF($O1859="Invalid",HYPERLINK("mailto:"&amp;$G1859&amp;";"&amp;$I1859&amp;"?cc="&amp;Lists!$E$2&amp;"&amp;subject="&amp;_xlfn.ENCODEURL("[INVALID] Quality audit monitoring completed for "&amp;UPPER($C1859))&amp;"&amp;body="&amp;_xlfn.ENCODEURL("Hi "&amp;$F1859&amp;","&amp;CHAR(10)&amp;"Good day!"&amp;CHAR(10)&amp;CHAR(10)&amp;"A quality monitoring audit has been completed for "&amp;$C1859&amp;"."&amp;CHAR(10)&amp;CHAR(10)&amp;"QUALITY AUDIT DETAILS"&amp;CHAR(10)&amp;"Agent Name: "&amp;$C1859&amp;" (EID "&amp;$D1859&amp;")"&amp;CHAR(10)&amp;"Audit Date: "&amp;TEXT($B1859,"yyyy-mm-dd")&amp;CHAR(10)&amp;"Team Leader: "&amp;$F1859&amp;CHAR(10)&amp;"Case Number: "&amp;$M1859&amp;CHAR(10)&amp;"Transaction ID: "&amp;$N1859&amp;CHAR(10)&amp;"Channel / LOB: "&amp;$K1859&amp;" / "&amp;$L1859&amp;CHAR(10)&amp;"Evaluator: "&amp;$S1859&amp;CHAR(10)&amp;CHAR(10)&amp;"INVALID QUALITY AUDIT DETAILS"&amp;CHAR(10)&amp;"Validation: Invalid"&amp;CHAR(10)&amp;"Invalid Reason: "&amp;$P1859&amp;CHAR(10)&amp;"Expected Resolution Code: "&amp;$Q1859&amp;CHAR(10)&amp;"Remarks: "&amp;LEFT($R1859,600)&amp;CHAR(10)&amp;CHAR(10)&amp;"This is an automated notification from HP Mainstream EQMS."),"✉ Open Email Draft"),"")</f>
        <v/>
      </c>
    </row>
    <row r="1860">
      <c r="A1860" s="25">
        <f>IF($C1860="","","AUD-2026-"&amp;TEXT(ROW()-1,"000000"))</f>
        <v/>
      </c>
      <c r="B1860" s="26" t="n"/>
      <c r="C1860" s="27" t="n"/>
      <c r="D1860" s="25">
        <f>IF($C1860="","",IFERROR(IF(INDEX(Roster!$A:$A,MATCH($C1860,Roster!$B:$B,0))="","",INDEX(Roster!$A:$A,MATCH($C1860,Roster!$B:$B,0))&amp;""),"—"))</f>
        <v/>
      </c>
      <c r="E1860" s="25">
        <f>IF($C1860="","",IFERROR(IF(INDEX(Roster!$C:$C,MATCH($C1860,Roster!$B:$B,0))="","",INDEX(Roster!$C:$C,MATCH($C1860,Roster!$B:$B,0))&amp;""),"—"))</f>
        <v/>
      </c>
      <c r="F1860" s="25">
        <f>IF($C1860="","",IFERROR(IF(INDEX(Roster!$D:$D,MATCH($C1860,Roster!$B:$B,0))="","",INDEX(Roster!$D:$D,MATCH($C1860,Roster!$B:$B,0))&amp;""),"—"))</f>
        <v/>
      </c>
      <c r="G1860" s="25">
        <f>IF($C1860="","",IFERROR(IF(INDEX(Roster!$E:$E,MATCH($C1860,Roster!$B:$B,0))="","",INDEX(Roster!$E:$E,MATCH($C1860,Roster!$B:$B,0))&amp;""),"—"))</f>
        <v/>
      </c>
      <c r="H1860" s="25">
        <f>IF($C1860="","",IFERROR(IF(INDEX(Roster!$F:$F,MATCH($C1860,Roster!$B:$B,0))="","",INDEX(Roster!$F:$F,MATCH($C1860,Roster!$B:$B,0))&amp;""),"—"))</f>
        <v/>
      </c>
      <c r="I1860" s="25">
        <f>IF($C1860="","",IFERROR(IF(INDEX(Roster!$G:$G,MATCH($C1860,Roster!$B:$B,0))="","",INDEX(Roster!$G:$G,MATCH($C1860,Roster!$B:$B,0))&amp;""),"—"))</f>
        <v/>
      </c>
      <c r="J1860" s="25">
        <f>IF($C1860="","",IFERROR(IF(INDEX(Roster!$I:$I,MATCH($C1860,Roster!$B:$B,0))="","",INDEX(Roster!$I:$I,MATCH($C1860,Roster!$B:$B,0))&amp;""),"—"))</f>
        <v/>
      </c>
      <c r="K1860">
        <f>IF($C1860="","",IFERROR(IF(INDEX(Roster!$J:$J,MATCH($C1860,Roster!$B:$B,0))="","",INDEX(Roster!$J:$J,MATCH($C1860,Roster!$B:$B,0))&amp;""),"—"))</f>
        <v/>
      </c>
      <c r="L1860">
        <f>IF($C1860="","",IFERROR(IF(INDEX(Roster!$K:$K,MATCH($C1860,Roster!$B:$B,0))="","",INDEX(Roster!$K:$K,MATCH($C1860,Roster!$B:$B,0))&amp;""),"—"))</f>
        <v/>
      </c>
      <c r="M1860" s="27" t="n"/>
      <c r="N1860" s="27" t="n"/>
      <c r="O1860" s="25">
        <f>IF($C1860="","",IF($P1860="","—",IF($P1860="Valid (Pass)","Valid","Invalid")))</f>
        <v/>
      </c>
      <c r="P1860" s="27" t="n"/>
      <c r="Q1860" s="27" t="n"/>
      <c r="R1860" s="27" t="n"/>
      <c r="S1860" s="27" t="n"/>
      <c r="T1860" s="25">
        <f>IF($C1860="","",IF(OR(ISNUMBER(SEARCH("quick case",$P1860)),ISNUMBER(SEARCH("quick case",$Q1860))),"Yes","No"))</f>
        <v/>
      </c>
      <c r="U1860" s="25">
        <f>IF($O1860="Invalid",HYPERLINK("mailto:"&amp;$G1860&amp;";"&amp;$I1860&amp;"?cc="&amp;Lists!$E$2&amp;"&amp;subject="&amp;_xlfn.ENCODEURL("[INVALID] Quality audit monitoring completed for "&amp;UPPER($C1860))&amp;"&amp;body="&amp;_xlfn.ENCODEURL("Hi "&amp;$F1860&amp;","&amp;CHAR(10)&amp;"Good day!"&amp;CHAR(10)&amp;CHAR(10)&amp;"A quality monitoring audit has been completed for "&amp;$C1860&amp;"."&amp;CHAR(10)&amp;CHAR(10)&amp;"QUALITY AUDIT DETAILS"&amp;CHAR(10)&amp;"Agent Name: "&amp;$C1860&amp;" (EID "&amp;$D1860&amp;")"&amp;CHAR(10)&amp;"Audit Date: "&amp;TEXT($B1860,"yyyy-mm-dd")&amp;CHAR(10)&amp;"Team Leader: "&amp;$F1860&amp;CHAR(10)&amp;"Case Number: "&amp;$M1860&amp;CHAR(10)&amp;"Transaction ID: "&amp;$N1860&amp;CHAR(10)&amp;"Channel / LOB: "&amp;$K1860&amp;" / "&amp;$L1860&amp;CHAR(10)&amp;"Evaluator: "&amp;$S1860&amp;CHAR(10)&amp;CHAR(10)&amp;"INVALID QUALITY AUDIT DETAILS"&amp;CHAR(10)&amp;"Validation: Invalid"&amp;CHAR(10)&amp;"Invalid Reason: "&amp;$P1860&amp;CHAR(10)&amp;"Expected Resolution Code: "&amp;$Q1860&amp;CHAR(10)&amp;"Remarks: "&amp;LEFT($R1860,600)&amp;CHAR(10)&amp;CHAR(10)&amp;"This is an automated notification from HP Mainstream EQMS."),"✉ Open Email Draft"),"")</f>
        <v/>
      </c>
    </row>
    <row r="1861">
      <c r="A1861" s="25">
        <f>IF($C1861="","","AUD-2026-"&amp;TEXT(ROW()-1,"000000"))</f>
        <v/>
      </c>
      <c r="B1861" s="26" t="n"/>
      <c r="C1861" s="27" t="n"/>
      <c r="D1861" s="25">
        <f>IF($C1861="","",IFERROR(IF(INDEX(Roster!$A:$A,MATCH($C1861,Roster!$B:$B,0))="","",INDEX(Roster!$A:$A,MATCH($C1861,Roster!$B:$B,0))&amp;""),"—"))</f>
        <v/>
      </c>
      <c r="E1861" s="25">
        <f>IF($C1861="","",IFERROR(IF(INDEX(Roster!$C:$C,MATCH($C1861,Roster!$B:$B,0))="","",INDEX(Roster!$C:$C,MATCH($C1861,Roster!$B:$B,0))&amp;""),"—"))</f>
        <v/>
      </c>
      <c r="F1861" s="25">
        <f>IF($C1861="","",IFERROR(IF(INDEX(Roster!$D:$D,MATCH($C1861,Roster!$B:$B,0))="","",INDEX(Roster!$D:$D,MATCH($C1861,Roster!$B:$B,0))&amp;""),"—"))</f>
        <v/>
      </c>
      <c r="G1861" s="25">
        <f>IF($C1861="","",IFERROR(IF(INDEX(Roster!$E:$E,MATCH($C1861,Roster!$B:$B,0))="","",INDEX(Roster!$E:$E,MATCH($C1861,Roster!$B:$B,0))&amp;""),"—"))</f>
        <v/>
      </c>
      <c r="H1861" s="25">
        <f>IF($C1861="","",IFERROR(IF(INDEX(Roster!$F:$F,MATCH($C1861,Roster!$B:$B,0))="","",INDEX(Roster!$F:$F,MATCH($C1861,Roster!$B:$B,0))&amp;""),"—"))</f>
        <v/>
      </c>
      <c r="I1861" s="25">
        <f>IF($C1861="","",IFERROR(IF(INDEX(Roster!$G:$G,MATCH($C1861,Roster!$B:$B,0))="","",INDEX(Roster!$G:$G,MATCH($C1861,Roster!$B:$B,0))&amp;""),"—"))</f>
        <v/>
      </c>
      <c r="J1861" s="25">
        <f>IF($C1861="","",IFERROR(IF(INDEX(Roster!$I:$I,MATCH($C1861,Roster!$B:$B,0))="","",INDEX(Roster!$I:$I,MATCH($C1861,Roster!$B:$B,0))&amp;""),"—"))</f>
        <v/>
      </c>
      <c r="K1861">
        <f>IF($C1861="","",IFERROR(IF(INDEX(Roster!$J:$J,MATCH($C1861,Roster!$B:$B,0))="","",INDEX(Roster!$J:$J,MATCH($C1861,Roster!$B:$B,0))&amp;""),"—"))</f>
        <v/>
      </c>
      <c r="L1861">
        <f>IF($C1861="","",IFERROR(IF(INDEX(Roster!$K:$K,MATCH($C1861,Roster!$B:$B,0))="","",INDEX(Roster!$K:$K,MATCH($C1861,Roster!$B:$B,0))&amp;""),"—"))</f>
        <v/>
      </c>
      <c r="M1861" s="27" t="n"/>
      <c r="N1861" s="27" t="n"/>
      <c r="O1861" s="25">
        <f>IF($C1861="","",IF($P1861="","—",IF($P1861="Valid (Pass)","Valid","Invalid")))</f>
        <v/>
      </c>
      <c r="P1861" s="27" t="n"/>
      <c r="Q1861" s="27" t="n"/>
      <c r="R1861" s="27" t="n"/>
      <c r="S1861" s="27" t="n"/>
      <c r="T1861" s="25">
        <f>IF($C1861="","",IF(OR(ISNUMBER(SEARCH("quick case",$P1861)),ISNUMBER(SEARCH("quick case",$Q1861))),"Yes","No"))</f>
        <v/>
      </c>
      <c r="U1861" s="25">
        <f>IF($O1861="Invalid",HYPERLINK("mailto:"&amp;$G1861&amp;";"&amp;$I1861&amp;"?cc="&amp;Lists!$E$2&amp;"&amp;subject="&amp;_xlfn.ENCODEURL("[INVALID] Quality audit monitoring completed for "&amp;UPPER($C1861))&amp;"&amp;body="&amp;_xlfn.ENCODEURL("Hi "&amp;$F1861&amp;","&amp;CHAR(10)&amp;"Good day!"&amp;CHAR(10)&amp;CHAR(10)&amp;"A quality monitoring audit has been completed for "&amp;$C1861&amp;"."&amp;CHAR(10)&amp;CHAR(10)&amp;"QUALITY AUDIT DETAILS"&amp;CHAR(10)&amp;"Agent Name: "&amp;$C1861&amp;" (EID "&amp;$D1861&amp;")"&amp;CHAR(10)&amp;"Audit Date: "&amp;TEXT($B1861,"yyyy-mm-dd")&amp;CHAR(10)&amp;"Team Leader: "&amp;$F1861&amp;CHAR(10)&amp;"Case Number: "&amp;$M1861&amp;CHAR(10)&amp;"Transaction ID: "&amp;$N1861&amp;CHAR(10)&amp;"Channel / LOB: "&amp;$K1861&amp;" / "&amp;$L1861&amp;CHAR(10)&amp;"Evaluator: "&amp;$S1861&amp;CHAR(10)&amp;CHAR(10)&amp;"INVALID QUALITY AUDIT DETAILS"&amp;CHAR(10)&amp;"Validation: Invalid"&amp;CHAR(10)&amp;"Invalid Reason: "&amp;$P1861&amp;CHAR(10)&amp;"Expected Resolution Code: "&amp;$Q1861&amp;CHAR(10)&amp;"Remarks: "&amp;LEFT($R1861,600)&amp;CHAR(10)&amp;CHAR(10)&amp;"This is an automated notification from HP Mainstream EQMS."),"✉ Open Email Draft"),"")</f>
        <v/>
      </c>
    </row>
    <row r="1862">
      <c r="A1862" s="25">
        <f>IF($C1862="","","AUD-2026-"&amp;TEXT(ROW()-1,"000000"))</f>
        <v/>
      </c>
      <c r="B1862" s="26" t="n"/>
      <c r="C1862" s="27" t="n"/>
      <c r="D1862" s="25">
        <f>IF($C1862="","",IFERROR(IF(INDEX(Roster!$A:$A,MATCH($C1862,Roster!$B:$B,0))="","",INDEX(Roster!$A:$A,MATCH($C1862,Roster!$B:$B,0))&amp;""),"—"))</f>
        <v/>
      </c>
      <c r="E1862" s="25">
        <f>IF($C1862="","",IFERROR(IF(INDEX(Roster!$C:$C,MATCH($C1862,Roster!$B:$B,0))="","",INDEX(Roster!$C:$C,MATCH($C1862,Roster!$B:$B,0))&amp;""),"—"))</f>
        <v/>
      </c>
      <c r="F1862" s="25">
        <f>IF($C1862="","",IFERROR(IF(INDEX(Roster!$D:$D,MATCH($C1862,Roster!$B:$B,0))="","",INDEX(Roster!$D:$D,MATCH($C1862,Roster!$B:$B,0))&amp;""),"—"))</f>
        <v/>
      </c>
      <c r="G1862" s="25">
        <f>IF($C1862="","",IFERROR(IF(INDEX(Roster!$E:$E,MATCH($C1862,Roster!$B:$B,0))="","",INDEX(Roster!$E:$E,MATCH($C1862,Roster!$B:$B,0))&amp;""),"—"))</f>
        <v/>
      </c>
      <c r="H1862" s="25">
        <f>IF($C1862="","",IFERROR(IF(INDEX(Roster!$F:$F,MATCH($C1862,Roster!$B:$B,0))="","",INDEX(Roster!$F:$F,MATCH($C1862,Roster!$B:$B,0))&amp;""),"—"))</f>
        <v/>
      </c>
      <c r="I1862" s="25">
        <f>IF($C1862="","",IFERROR(IF(INDEX(Roster!$G:$G,MATCH($C1862,Roster!$B:$B,0))="","",INDEX(Roster!$G:$G,MATCH($C1862,Roster!$B:$B,0))&amp;""),"—"))</f>
        <v/>
      </c>
      <c r="J1862" s="25">
        <f>IF($C1862="","",IFERROR(IF(INDEX(Roster!$I:$I,MATCH($C1862,Roster!$B:$B,0))="","",INDEX(Roster!$I:$I,MATCH($C1862,Roster!$B:$B,0))&amp;""),"—"))</f>
        <v/>
      </c>
      <c r="K1862">
        <f>IF($C1862="","",IFERROR(IF(INDEX(Roster!$J:$J,MATCH($C1862,Roster!$B:$B,0))="","",INDEX(Roster!$J:$J,MATCH($C1862,Roster!$B:$B,0))&amp;""),"—"))</f>
        <v/>
      </c>
      <c r="L1862">
        <f>IF($C1862="","",IFERROR(IF(INDEX(Roster!$K:$K,MATCH($C1862,Roster!$B:$B,0))="","",INDEX(Roster!$K:$K,MATCH($C1862,Roster!$B:$B,0))&amp;""),"—"))</f>
        <v/>
      </c>
      <c r="M1862" s="27" t="n"/>
      <c r="N1862" s="27" t="n"/>
      <c r="O1862" s="25">
        <f>IF($C1862="","",IF($P1862="","—",IF($P1862="Valid (Pass)","Valid","Invalid")))</f>
        <v/>
      </c>
      <c r="P1862" s="27" t="n"/>
      <c r="Q1862" s="27" t="n"/>
      <c r="R1862" s="27" t="n"/>
      <c r="S1862" s="27" t="n"/>
      <c r="T1862" s="25">
        <f>IF($C1862="","",IF(OR(ISNUMBER(SEARCH("quick case",$P1862)),ISNUMBER(SEARCH("quick case",$Q1862))),"Yes","No"))</f>
        <v/>
      </c>
      <c r="U1862" s="25">
        <f>IF($O1862="Invalid",HYPERLINK("mailto:"&amp;$G1862&amp;";"&amp;$I1862&amp;"?cc="&amp;Lists!$E$2&amp;"&amp;subject="&amp;_xlfn.ENCODEURL("[INVALID] Quality audit monitoring completed for "&amp;UPPER($C1862))&amp;"&amp;body="&amp;_xlfn.ENCODEURL("Hi "&amp;$F1862&amp;","&amp;CHAR(10)&amp;"Good day!"&amp;CHAR(10)&amp;CHAR(10)&amp;"A quality monitoring audit has been completed for "&amp;$C1862&amp;"."&amp;CHAR(10)&amp;CHAR(10)&amp;"QUALITY AUDIT DETAILS"&amp;CHAR(10)&amp;"Agent Name: "&amp;$C1862&amp;" (EID "&amp;$D1862&amp;")"&amp;CHAR(10)&amp;"Audit Date: "&amp;TEXT($B1862,"yyyy-mm-dd")&amp;CHAR(10)&amp;"Team Leader: "&amp;$F1862&amp;CHAR(10)&amp;"Case Number: "&amp;$M1862&amp;CHAR(10)&amp;"Transaction ID: "&amp;$N1862&amp;CHAR(10)&amp;"Channel / LOB: "&amp;$K1862&amp;" / "&amp;$L1862&amp;CHAR(10)&amp;"Evaluator: "&amp;$S1862&amp;CHAR(10)&amp;CHAR(10)&amp;"INVALID QUALITY AUDIT DETAILS"&amp;CHAR(10)&amp;"Validation: Invalid"&amp;CHAR(10)&amp;"Invalid Reason: "&amp;$P1862&amp;CHAR(10)&amp;"Expected Resolution Code: "&amp;$Q1862&amp;CHAR(10)&amp;"Remarks: "&amp;LEFT($R1862,600)&amp;CHAR(10)&amp;CHAR(10)&amp;"This is an automated notification from HP Mainstream EQMS."),"✉ Open Email Draft"),"")</f>
        <v/>
      </c>
    </row>
    <row r="1863">
      <c r="A1863" s="25">
        <f>IF($C1863="","","AUD-2026-"&amp;TEXT(ROW()-1,"000000"))</f>
        <v/>
      </c>
      <c r="B1863" s="26" t="n"/>
      <c r="C1863" s="27" t="n"/>
      <c r="D1863" s="25">
        <f>IF($C1863="","",IFERROR(IF(INDEX(Roster!$A:$A,MATCH($C1863,Roster!$B:$B,0))="","",INDEX(Roster!$A:$A,MATCH($C1863,Roster!$B:$B,0))&amp;""),"—"))</f>
        <v/>
      </c>
      <c r="E1863" s="25">
        <f>IF($C1863="","",IFERROR(IF(INDEX(Roster!$C:$C,MATCH($C1863,Roster!$B:$B,0))="","",INDEX(Roster!$C:$C,MATCH($C1863,Roster!$B:$B,0))&amp;""),"—"))</f>
        <v/>
      </c>
      <c r="F1863" s="25">
        <f>IF($C1863="","",IFERROR(IF(INDEX(Roster!$D:$D,MATCH($C1863,Roster!$B:$B,0))="","",INDEX(Roster!$D:$D,MATCH($C1863,Roster!$B:$B,0))&amp;""),"—"))</f>
        <v/>
      </c>
      <c r="G1863" s="25">
        <f>IF($C1863="","",IFERROR(IF(INDEX(Roster!$E:$E,MATCH($C1863,Roster!$B:$B,0))="","",INDEX(Roster!$E:$E,MATCH($C1863,Roster!$B:$B,0))&amp;""),"—"))</f>
        <v/>
      </c>
      <c r="H1863" s="25">
        <f>IF($C1863="","",IFERROR(IF(INDEX(Roster!$F:$F,MATCH($C1863,Roster!$B:$B,0))="","",INDEX(Roster!$F:$F,MATCH($C1863,Roster!$B:$B,0))&amp;""),"—"))</f>
        <v/>
      </c>
      <c r="I1863" s="25">
        <f>IF($C1863="","",IFERROR(IF(INDEX(Roster!$G:$G,MATCH($C1863,Roster!$B:$B,0))="","",INDEX(Roster!$G:$G,MATCH($C1863,Roster!$B:$B,0))&amp;""),"—"))</f>
        <v/>
      </c>
      <c r="J1863" s="25">
        <f>IF($C1863="","",IFERROR(IF(INDEX(Roster!$I:$I,MATCH($C1863,Roster!$B:$B,0))="","",INDEX(Roster!$I:$I,MATCH($C1863,Roster!$B:$B,0))&amp;""),"—"))</f>
        <v/>
      </c>
      <c r="K1863">
        <f>IF($C1863="","",IFERROR(IF(INDEX(Roster!$J:$J,MATCH($C1863,Roster!$B:$B,0))="","",INDEX(Roster!$J:$J,MATCH($C1863,Roster!$B:$B,0))&amp;""),"—"))</f>
        <v/>
      </c>
      <c r="L1863">
        <f>IF($C1863="","",IFERROR(IF(INDEX(Roster!$K:$K,MATCH($C1863,Roster!$B:$B,0))="","",INDEX(Roster!$K:$K,MATCH($C1863,Roster!$B:$B,0))&amp;""),"—"))</f>
        <v/>
      </c>
      <c r="M1863" s="27" t="n"/>
      <c r="N1863" s="27" t="n"/>
      <c r="O1863" s="25">
        <f>IF($C1863="","",IF($P1863="","—",IF($P1863="Valid (Pass)","Valid","Invalid")))</f>
        <v/>
      </c>
      <c r="P1863" s="27" t="n"/>
      <c r="Q1863" s="27" t="n"/>
      <c r="R1863" s="27" t="n"/>
      <c r="S1863" s="27" t="n"/>
      <c r="T1863" s="25">
        <f>IF($C1863="","",IF(OR(ISNUMBER(SEARCH("quick case",$P1863)),ISNUMBER(SEARCH("quick case",$Q1863))),"Yes","No"))</f>
        <v/>
      </c>
      <c r="U1863" s="25">
        <f>IF($O1863="Invalid",HYPERLINK("mailto:"&amp;$G1863&amp;";"&amp;$I1863&amp;"?cc="&amp;Lists!$E$2&amp;"&amp;subject="&amp;_xlfn.ENCODEURL("[INVALID] Quality audit monitoring completed for "&amp;UPPER($C1863))&amp;"&amp;body="&amp;_xlfn.ENCODEURL("Hi "&amp;$F1863&amp;","&amp;CHAR(10)&amp;"Good day!"&amp;CHAR(10)&amp;CHAR(10)&amp;"A quality monitoring audit has been completed for "&amp;$C1863&amp;"."&amp;CHAR(10)&amp;CHAR(10)&amp;"QUALITY AUDIT DETAILS"&amp;CHAR(10)&amp;"Agent Name: "&amp;$C1863&amp;" (EID "&amp;$D1863&amp;")"&amp;CHAR(10)&amp;"Audit Date: "&amp;TEXT($B1863,"yyyy-mm-dd")&amp;CHAR(10)&amp;"Team Leader: "&amp;$F1863&amp;CHAR(10)&amp;"Case Number: "&amp;$M1863&amp;CHAR(10)&amp;"Transaction ID: "&amp;$N1863&amp;CHAR(10)&amp;"Channel / LOB: "&amp;$K1863&amp;" / "&amp;$L1863&amp;CHAR(10)&amp;"Evaluator: "&amp;$S1863&amp;CHAR(10)&amp;CHAR(10)&amp;"INVALID QUALITY AUDIT DETAILS"&amp;CHAR(10)&amp;"Validation: Invalid"&amp;CHAR(10)&amp;"Invalid Reason: "&amp;$P1863&amp;CHAR(10)&amp;"Expected Resolution Code: "&amp;$Q1863&amp;CHAR(10)&amp;"Remarks: "&amp;LEFT($R1863,600)&amp;CHAR(10)&amp;CHAR(10)&amp;"This is an automated notification from HP Mainstream EQMS."),"✉ Open Email Draft"),"")</f>
        <v/>
      </c>
    </row>
    <row r="1864">
      <c r="A1864" s="25">
        <f>IF($C1864="","","AUD-2026-"&amp;TEXT(ROW()-1,"000000"))</f>
        <v/>
      </c>
      <c r="B1864" s="26" t="n"/>
      <c r="C1864" s="27" t="n"/>
      <c r="D1864" s="25">
        <f>IF($C1864="","",IFERROR(IF(INDEX(Roster!$A:$A,MATCH($C1864,Roster!$B:$B,0))="","",INDEX(Roster!$A:$A,MATCH($C1864,Roster!$B:$B,0))&amp;""),"—"))</f>
        <v/>
      </c>
      <c r="E1864" s="25">
        <f>IF($C1864="","",IFERROR(IF(INDEX(Roster!$C:$C,MATCH($C1864,Roster!$B:$B,0))="","",INDEX(Roster!$C:$C,MATCH($C1864,Roster!$B:$B,0))&amp;""),"—"))</f>
        <v/>
      </c>
      <c r="F1864" s="25">
        <f>IF($C1864="","",IFERROR(IF(INDEX(Roster!$D:$D,MATCH($C1864,Roster!$B:$B,0))="","",INDEX(Roster!$D:$D,MATCH($C1864,Roster!$B:$B,0))&amp;""),"—"))</f>
        <v/>
      </c>
      <c r="G1864" s="25">
        <f>IF($C1864="","",IFERROR(IF(INDEX(Roster!$E:$E,MATCH($C1864,Roster!$B:$B,0))="","",INDEX(Roster!$E:$E,MATCH($C1864,Roster!$B:$B,0))&amp;""),"—"))</f>
        <v/>
      </c>
      <c r="H1864" s="25">
        <f>IF($C1864="","",IFERROR(IF(INDEX(Roster!$F:$F,MATCH($C1864,Roster!$B:$B,0))="","",INDEX(Roster!$F:$F,MATCH($C1864,Roster!$B:$B,0))&amp;""),"—"))</f>
        <v/>
      </c>
      <c r="I1864" s="25">
        <f>IF($C1864="","",IFERROR(IF(INDEX(Roster!$G:$G,MATCH($C1864,Roster!$B:$B,0))="","",INDEX(Roster!$G:$G,MATCH($C1864,Roster!$B:$B,0))&amp;""),"—"))</f>
        <v/>
      </c>
      <c r="J1864" s="25">
        <f>IF($C1864="","",IFERROR(IF(INDEX(Roster!$I:$I,MATCH($C1864,Roster!$B:$B,0))="","",INDEX(Roster!$I:$I,MATCH($C1864,Roster!$B:$B,0))&amp;""),"—"))</f>
        <v/>
      </c>
      <c r="K1864">
        <f>IF($C1864="","",IFERROR(IF(INDEX(Roster!$J:$J,MATCH($C1864,Roster!$B:$B,0))="","",INDEX(Roster!$J:$J,MATCH($C1864,Roster!$B:$B,0))&amp;""),"—"))</f>
        <v/>
      </c>
      <c r="L1864">
        <f>IF($C1864="","",IFERROR(IF(INDEX(Roster!$K:$K,MATCH($C1864,Roster!$B:$B,0))="","",INDEX(Roster!$K:$K,MATCH($C1864,Roster!$B:$B,0))&amp;""),"—"))</f>
        <v/>
      </c>
      <c r="M1864" s="27" t="n"/>
      <c r="N1864" s="27" t="n"/>
      <c r="O1864" s="25">
        <f>IF($C1864="","",IF($P1864="","—",IF($P1864="Valid (Pass)","Valid","Invalid")))</f>
        <v/>
      </c>
      <c r="P1864" s="27" t="n"/>
      <c r="Q1864" s="27" t="n"/>
      <c r="R1864" s="27" t="n"/>
      <c r="S1864" s="27" t="n"/>
      <c r="T1864" s="25">
        <f>IF($C1864="","",IF(OR(ISNUMBER(SEARCH("quick case",$P1864)),ISNUMBER(SEARCH("quick case",$Q1864))),"Yes","No"))</f>
        <v/>
      </c>
      <c r="U1864" s="25">
        <f>IF($O1864="Invalid",HYPERLINK("mailto:"&amp;$G1864&amp;";"&amp;$I1864&amp;"?cc="&amp;Lists!$E$2&amp;"&amp;subject="&amp;_xlfn.ENCODEURL("[INVALID] Quality audit monitoring completed for "&amp;UPPER($C1864))&amp;"&amp;body="&amp;_xlfn.ENCODEURL("Hi "&amp;$F1864&amp;","&amp;CHAR(10)&amp;"Good day!"&amp;CHAR(10)&amp;CHAR(10)&amp;"A quality monitoring audit has been completed for "&amp;$C1864&amp;"."&amp;CHAR(10)&amp;CHAR(10)&amp;"QUALITY AUDIT DETAILS"&amp;CHAR(10)&amp;"Agent Name: "&amp;$C1864&amp;" (EID "&amp;$D1864&amp;")"&amp;CHAR(10)&amp;"Audit Date: "&amp;TEXT($B1864,"yyyy-mm-dd")&amp;CHAR(10)&amp;"Team Leader: "&amp;$F1864&amp;CHAR(10)&amp;"Case Number: "&amp;$M1864&amp;CHAR(10)&amp;"Transaction ID: "&amp;$N1864&amp;CHAR(10)&amp;"Channel / LOB: "&amp;$K1864&amp;" / "&amp;$L1864&amp;CHAR(10)&amp;"Evaluator: "&amp;$S1864&amp;CHAR(10)&amp;CHAR(10)&amp;"INVALID QUALITY AUDIT DETAILS"&amp;CHAR(10)&amp;"Validation: Invalid"&amp;CHAR(10)&amp;"Invalid Reason: "&amp;$P1864&amp;CHAR(10)&amp;"Expected Resolution Code: "&amp;$Q1864&amp;CHAR(10)&amp;"Remarks: "&amp;LEFT($R1864,600)&amp;CHAR(10)&amp;CHAR(10)&amp;"This is an automated notification from HP Mainstream EQMS."),"✉ Open Email Draft"),"")</f>
        <v/>
      </c>
    </row>
    <row r="1865">
      <c r="A1865" s="25">
        <f>IF($C1865="","","AUD-2026-"&amp;TEXT(ROW()-1,"000000"))</f>
        <v/>
      </c>
      <c r="B1865" s="26" t="n"/>
      <c r="C1865" s="27" t="n"/>
      <c r="D1865" s="25">
        <f>IF($C1865="","",IFERROR(IF(INDEX(Roster!$A:$A,MATCH($C1865,Roster!$B:$B,0))="","",INDEX(Roster!$A:$A,MATCH($C1865,Roster!$B:$B,0))&amp;""),"—"))</f>
        <v/>
      </c>
      <c r="E1865" s="25">
        <f>IF($C1865="","",IFERROR(IF(INDEX(Roster!$C:$C,MATCH($C1865,Roster!$B:$B,0))="","",INDEX(Roster!$C:$C,MATCH($C1865,Roster!$B:$B,0))&amp;""),"—"))</f>
        <v/>
      </c>
      <c r="F1865" s="25">
        <f>IF($C1865="","",IFERROR(IF(INDEX(Roster!$D:$D,MATCH($C1865,Roster!$B:$B,0))="","",INDEX(Roster!$D:$D,MATCH($C1865,Roster!$B:$B,0))&amp;""),"—"))</f>
        <v/>
      </c>
      <c r="G1865" s="25">
        <f>IF($C1865="","",IFERROR(IF(INDEX(Roster!$E:$E,MATCH($C1865,Roster!$B:$B,0))="","",INDEX(Roster!$E:$E,MATCH($C1865,Roster!$B:$B,0))&amp;""),"—"))</f>
        <v/>
      </c>
      <c r="H1865" s="25">
        <f>IF($C1865="","",IFERROR(IF(INDEX(Roster!$F:$F,MATCH($C1865,Roster!$B:$B,0))="","",INDEX(Roster!$F:$F,MATCH($C1865,Roster!$B:$B,0))&amp;""),"—"))</f>
        <v/>
      </c>
      <c r="I1865" s="25">
        <f>IF($C1865="","",IFERROR(IF(INDEX(Roster!$G:$G,MATCH($C1865,Roster!$B:$B,0))="","",INDEX(Roster!$G:$G,MATCH($C1865,Roster!$B:$B,0))&amp;""),"—"))</f>
        <v/>
      </c>
      <c r="J1865" s="25">
        <f>IF($C1865="","",IFERROR(IF(INDEX(Roster!$I:$I,MATCH($C1865,Roster!$B:$B,0))="","",INDEX(Roster!$I:$I,MATCH($C1865,Roster!$B:$B,0))&amp;""),"—"))</f>
        <v/>
      </c>
      <c r="K1865">
        <f>IF($C1865="","",IFERROR(IF(INDEX(Roster!$J:$J,MATCH($C1865,Roster!$B:$B,0))="","",INDEX(Roster!$J:$J,MATCH($C1865,Roster!$B:$B,0))&amp;""),"—"))</f>
        <v/>
      </c>
      <c r="L1865">
        <f>IF($C1865="","",IFERROR(IF(INDEX(Roster!$K:$K,MATCH($C1865,Roster!$B:$B,0))="","",INDEX(Roster!$K:$K,MATCH($C1865,Roster!$B:$B,0))&amp;""),"—"))</f>
        <v/>
      </c>
      <c r="M1865" s="27" t="n"/>
      <c r="N1865" s="27" t="n"/>
      <c r="O1865" s="25">
        <f>IF($C1865="","",IF($P1865="","—",IF($P1865="Valid (Pass)","Valid","Invalid")))</f>
        <v/>
      </c>
      <c r="P1865" s="27" t="n"/>
      <c r="Q1865" s="27" t="n"/>
      <c r="R1865" s="27" t="n"/>
      <c r="S1865" s="27" t="n"/>
      <c r="T1865" s="25">
        <f>IF($C1865="","",IF(OR(ISNUMBER(SEARCH("quick case",$P1865)),ISNUMBER(SEARCH("quick case",$Q1865))),"Yes","No"))</f>
        <v/>
      </c>
      <c r="U1865" s="25">
        <f>IF($O1865="Invalid",HYPERLINK("mailto:"&amp;$G1865&amp;";"&amp;$I1865&amp;"?cc="&amp;Lists!$E$2&amp;"&amp;subject="&amp;_xlfn.ENCODEURL("[INVALID] Quality audit monitoring completed for "&amp;UPPER($C1865))&amp;"&amp;body="&amp;_xlfn.ENCODEURL("Hi "&amp;$F1865&amp;","&amp;CHAR(10)&amp;"Good day!"&amp;CHAR(10)&amp;CHAR(10)&amp;"A quality monitoring audit has been completed for "&amp;$C1865&amp;"."&amp;CHAR(10)&amp;CHAR(10)&amp;"QUALITY AUDIT DETAILS"&amp;CHAR(10)&amp;"Agent Name: "&amp;$C1865&amp;" (EID "&amp;$D1865&amp;")"&amp;CHAR(10)&amp;"Audit Date: "&amp;TEXT($B1865,"yyyy-mm-dd")&amp;CHAR(10)&amp;"Team Leader: "&amp;$F1865&amp;CHAR(10)&amp;"Case Number: "&amp;$M1865&amp;CHAR(10)&amp;"Transaction ID: "&amp;$N1865&amp;CHAR(10)&amp;"Channel / LOB: "&amp;$K1865&amp;" / "&amp;$L1865&amp;CHAR(10)&amp;"Evaluator: "&amp;$S1865&amp;CHAR(10)&amp;CHAR(10)&amp;"INVALID QUALITY AUDIT DETAILS"&amp;CHAR(10)&amp;"Validation: Invalid"&amp;CHAR(10)&amp;"Invalid Reason: "&amp;$P1865&amp;CHAR(10)&amp;"Expected Resolution Code: "&amp;$Q1865&amp;CHAR(10)&amp;"Remarks: "&amp;LEFT($R1865,600)&amp;CHAR(10)&amp;CHAR(10)&amp;"This is an automated notification from HP Mainstream EQMS."),"✉ Open Email Draft"),"")</f>
        <v/>
      </c>
    </row>
    <row r="1866">
      <c r="A1866" s="25">
        <f>IF($C1866="","","AUD-2026-"&amp;TEXT(ROW()-1,"000000"))</f>
        <v/>
      </c>
      <c r="B1866" s="26" t="n"/>
      <c r="C1866" s="27" t="n"/>
      <c r="D1866" s="25">
        <f>IF($C1866="","",IFERROR(IF(INDEX(Roster!$A:$A,MATCH($C1866,Roster!$B:$B,0))="","",INDEX(Roster!$A:$A,MATCH($C1866,Roster!$B:$B,0))&amp;""),"—"))</f>
        <v/>
      </c>
      <c r="E1866" s="25">
        <f>IF($C1866="","",IFERROR(IF(INDEX(Roster!$C:$C,MATCH($C1866,Roster!$B:$B,0))="","",INDEX(Roster!$C:$C,MATCH($C1866,Roster!$B:$B,0))&amp;""),"—"))</f>
        <v/>
      </c>
      <c r="F1866" s="25">
        <f>IF($C1866="","",IFERROR(IF(INDEX(Roster!$D:$D,MATCH($C1866,Roster!$B:$B,0))="","",INDEX(Roster!$D:$D,MATCH($C1866,Roster!$B:$B,0))&amp;""),"—"))</f>
        <v/>
      </c>
      <c r="G1866" s="25">
        <f>IF($C1866="","",IFERROR(IF(INDEX(Roster!$E:$E,MATCH($C1866,Roster!$B:$B,0))="","",INDEX(Roster!$E:$E,MATCH($C1866,Roster!$B:$B,0))&amp;""),"—"))</f>
        <v/>
      </c>
      <c r="H1866" s="25">
        <f>IF($C1866="","",IFERROR(IF(INDEX(Roster!$F:$F,MATCH($C1866,Roster!$B:$B,0))="","",INDEX(Roster!$F:$F,MATCH($C1866,Roster!$B:$B,0))&amp;""),"—"))</f>
        <v/>
      </c>
      <c r="I1866" s="25">
        <f>IF($C1866="","",IFERROR(IF(INDEX(Roster!$G:$G,MATCH($C1866,Roster!$B:$B,0))="","",INDEX(Roster!$G:$G,MATCH($C1866,Roster!$B:$B,0))&amp;""),"—"))</f>
        <v/>
      </c>
      <c r="J1866" s="25">
        <f>IF($C1866="","",IFERROR(IF(INDEX(Roster!$I:$I,MATCH($C1866,Roster!$B:$B,0))="","",INDEX(Roster!$I:$I,MATCH($C1866,Roster!$B:$B,0))&amp;""),"—"))</f>
        <v/>
      </c>
      <c r="K1866">
        <f>IF($C1866="","",IFERROR(IF(INDEX(Roster!$J:$J,MATCH($C1866,Roster!$B:$B,0))="","",INDEX(Roster!$J:$J,MATCH($C1866,Roster!$B:$B,0))&amp;""),"—"))</f>
        <v/>
      </c>
      <c r="L1866">
        <f>IF($C1866="","",IFERROR(IF(INDEX(Roster!$K:$K,MATCH($C1866,Roster!$B:$B,0))="","",INDEX(Roster!$K:$K,MATCH($C1866,Roster!$B:$B,0))&amp;""),"—"))</f>
        <v/>
      </c>
      <c r="M1866" s="27" t="n"/>
      <c r="N1866" s="27" t="n"/>
      <c r="O1866" s="25">
        <f>IF($C1866="","",IF($P1866="","—",IF($P1866="Valid (Pass)","Valid","Invalid")))</f>
        <v/>
      </c>
      <c r="P1866" s="27" t="n"/>
      <c r="Q1866" s="27" t="n"/>
      <c r="R1866" s="27" t="n"/>
      <c r="S1866" s="27" t="n"/>
      <c r="T1866" s="25">
        <f>IF($C1866="","",IF(OR(ISNUMBER(SEARCH("quick case",$P1866)),ISNUMBER(SEARCH("quick case",$Q1866))),"Yes","No"))</f>
        <v/>
      </c>
      <c r="U1866" s="25">
        <f>IF($O1866="Invalid",HYPERLINK("mailto:"&amp;$G1866&amp;";"&amp;$I1866&amp;"?cc="&amp;Lists!$E$2&amp;"&amp;subject="&amp;_xlfn.ENCODEURL("[INVALID] Quality audit monitoring completed for "&amp;UPPER($C1866))&amp;"&amp;body="&amp;_xlfn.ENCODEURL("Hi "&amp;$F1866&amp;","&amp;CHAR(10)&amp;"Good day!"&amp;CHAR(10)&amp;CHAR(10)&amp;"A quality monitoring audit has been completed for "&amp;$C1866&amp;"."&amp;CHAR(10)&amp;CHAR(10)&amp;"QUALITY AUDIT DETAILS"&amp;CHAR(10)&amp;"Agent Name: "&amp;$C1866&amp;" (EID "&amp;$D1866&amp;")"&amp;CHAR(10)&amp;"Audit Date: "&amp;TEXT($B1866,"yyyy-mm-dd")&amp;CHAR(10)&amp;"Team Leader: "&amp;$F1866&amp;CHAR(10)&amp;"Case Number: "&amp;$M1866&amp;CHAR(10)&amp;"Transaction ID: "&amp;$N1866&amp;CHAR(10)&amp;"Channel / LOB: "&amp;$K1866&amp;" / "&amp;$L1866&amp;CHAR(10)&amp;"Evaluator: "&amp;$S1866&amp;CHAR(10)&amp;CHAR(10)&amp;"INVALID QUALITY AUDIT DETAILS"&amp;CHAR(10)&amp;"Validation: Invalid"&amp;CHAR(10)&amp;"Invalid Reason: "&amp;$P1866&amp;CHAR(10)&amp;"Expected Resolution Code: "&amp;$Q1866&amp;CHAR(10)&amp;"Remarks: "&amp;LEFT($R1866,600)&amp;CHAR(10)&amp;CHAR(10)&amp;"This is an automated notification from HP Mainstream EQMS."),"✉ Open Email Draft"),"")</f>
        <v/>
      </c>
    </row>
    <row r="1867">
      <c r="A1867" s="25">
        <f>IF($C1867="","","AUD-2026-"&amp;TEXT(ROW()-1,"000000"))</f>
        <v/>
      </c>
      <c r="B1867" s="26" t="n"/>
      <c r="C1867" s="27" t="n"/>
      <c r="D1867" s="25">
        <f>IF($C1867="","",IFERROR(IF(INDEX(Roster!$A:$A,MATCH($C1867,Roster!$B:$B,0))="","",INDEX(Roster!$A:$A,MATCH($C1867,Roster!$B:$B,0))&amp;""),"—"))</f>
        <v/>
      </c>
      <c r="E1867" s="25">
        <f>IF($C1867="","",IFERROR(IF(INDEX(Roster!$C:$C,MATCH($C1867,Roster!$B:$B,0))="","",INDEX(Roster!$C:$C,MATCH($C1867,Roster!$B:$B,0))&amp;""),"—"))</f>
        <v/>
      </c>
      <c r="F1867" s="25">
        <f>IF($C1867="","",IFERROR(IF(INDEX(Roster!$D:$D,MATCH($C1867,Roster!$B:$B,0))="","",INDEX(Roster!$D:$D,MATCH($C1867,Roster!$B:$B,0))&amp;""),"—"))</f>
        <v/>
      </c>
      <c r="G1867" s="25">
        <f>IF($C1867="","",IFERROR(IF(INDEX(Roster!$E:$E,MATCH($C1867,Roster!$B:$B,0))="","",INDEX(Roster!$E:$E,MATCH($C1867,Roster!$B:$B,0))&amp;""),"—"))</f>
        <v/>
      </c>
      <c r="H1867" s="25">
        <f>IF($C1867="","",IFERROR(IF(INDEX(Roster!$F:$F,MATCH($C1867,Roster!$B:$B,0))="","",INDEX(Roster!$F:$F,MATCH($C1867,Roster!$B:$B,0))&amp;""),"—"))</f>
        <v/>
      </c>
      <c r="I1867" s="25">
        <f>IF($C1867="","",IFERROR(IF(INDEX(Roster!$G:$G,MATCH($C1867,Roster!$B:$B,0))="","",INDEX(Roster!$G:$G,MATCH($C1867,Roster!$B:$B,0))&amp;""),"—"))</f>
        <v/>
      </c>
      <c r="J1867" s="25">
        <f>IF($C1867="","",IFERROR(IF(INDEX(Roster!$I:$I,MATCH($C1867,Roster!$B:$B,0))="","",INDEX(Roster!$I:$I,MATCH($C1867,Roster!$B:$B,0))&amp;""),"—"))</f>
        <v/>
      </c>
      <c r="K1867">
        <f>IF($C1867="","",IFERROR(IF(INDEX(Roster!$J:$J,MATCH($C1867,Roster!$B:$B,0))="","",INDEX(Roster!$J:$J,MATCH($C1867,Roster!$B:$B,0))&amp;""),"—"))</f>
        <v/>
      </c>
      <c r="L1867">
        <f>IF($C1867="","",IFERROR(IF(INDEX(Roster!$K:$K,MATCH($C1867,Roster!$B:$B,0))="","",INDEX(Roster!$K:$K,MATCH($C1867,Roster!$B:$B,0))&amp;""),"—"))</f>
        <v/>
      </c>
      <c r="M1867" s="27" t="n"/>
      <c r="N1867" s="27" t="n"/>
      <c r="O1867" s="25">
        <f>IF($C1867="","",IF($P1867="","—",IF($P1867="Valid (Pass)","Valid","Invalid")))</f>
        <v/>
      </c>
      <c r="P1867" s="27" t="n"/>
      <c r="Q1867" s="27" t="n"/>
      <c r="R1867" s="27" t="n"/>
      <c r="S1867" s="27" t="n"/>
      <c r="T1867" s="25">
        <f>IF($C1867="","",IF(OR(ISNUMBER(SEARCH("quick case",$P1867)),ISNUMBER(SEARCH("quick case",$Q1867))),"Yes","No"))</f>
        <v/>
      </c>
      <c r="U1867" s="25">
        <f>IF($O1867="Invalid",HYPERLINK("mailto:"&amp;$G1867&amp;";"&amp;$I1867&amp;"?cc="&amp;Lists!$E$2&amp;"&amp;subject="&amp;_xlfn.ENCODEURL("[INVALID] Quality audit monitoring completed for "&amp;UPPER($C1867))&amp;"&amp;body="&amp;_xlfn.ENCODEURL("Hi "&amp;$F1867&amp;","&amp;CHAR(10)&amp;"Good day!"&amp;CHAR(10)&amp;CHAR(10)&amp;"A quality monitoring audit has been completed for "&amp;$C1867&amp;"."&amp;CHAR(10)&amp;CHAR(10)&amp;"QUALITY AUDIT DETAILS"&amp;CHAR(10)&amp;"Agent Name: "&amp;$C1867&amp;" (EID "&amp;$D1867&amp;")"&amp;CHAR(10)&amp;"Audit Date: "&amp;TEXT($B1867,"yyyy-mm-dd")&amp;CHAR(10)&amp;"Team Leader: "&amp;$F1867&amp;CHAR(10)&amp;"Case Number: "&amp;$M1867&amp;CHAR(10)&amp;"Transaction ID: "&amp;$N1867&amp;CHAR(10)&amp;"Channel / LOB: "&amp;$K1867&amp;" / "&amp;$L1867&amp;CHAR(10)&amp;"Evaluator: "&amp;$S1867&amp;CHAR(10)&amp;CHAR(10)&amp;"INVALID QUALITY AUDIT DETAILS"&amp;CHAR(10)&amp;"Validation: Invalid"&amp;CHAR(10)&amp;"Invalid Reason: "&amp;$P1867&amp;CHAR(10)&amp;"Expected Resolution Code: "&amp;$Q1867&amp;CHAR(10)&amp;"Remarks: "&amp;LEFT($R1867,600)&amp;CHAR(10)&amp;CHAR(10)&amp;"This is an automated notification from HP Mainstream EQMS."),"✉ Open Email Draft"),"")</f>
        <v/>
      </c>
    </row>
    <row r="1868">
      <c r="A1868" s="25">
        <f>IF($C1868="","","AUD-2026-"&amp;TEXT(ROW()-1,"000000"))</f>
        <v/>
      </c>
      <c r="B1868" s="26" t="n"/>
      <c r="C1868" s="27" t="n"/>
      <c r="D1868" s="25">
        <f>IF($C1868="","",IFERROR(IF(INDEX(Roster!$A:$A,MATCH($C1868,Roster!$B:$B,0))="","",INDEX(Roster!$A:$A,MATCH($C1868,Roster!$B:$B,0))&amp;""),"—"))</f>
        <v/>
      </c>
      <c r="E1868" s="25">
        <f>IF($C1868="","",IFERROR(IF(INDEX(Roster!$C:$C,MATCH($C1868,Roster!$B:$B,0))="","",INDEX(Roster!$C:$C,MATCH($C1868,Roster!$B:$B,0))&amp;""),"—"))</f>
        <v/>
      </c>
      <c r="F1868" s="25">
        <f>IF($C1868="","",IFERROR(IF(INDEX(Roster!$D:$D,MATCH($C1868,Roster!$B:$B,0))="","",INDEX(Roster!$D:$D,MATCH($C1868,Roster!$B:$B,0))&amp;""),"—"))</f>
        <v/>
      </c>
      <c r="G1868" s="25">
        <f>IF($C1868="","",IFERROR(IF(INDEX(Roster!$E:$E,MATCH($C1868,Roster!$B:$B,0))="","",INDEX(Roster!$E:$E,MATCH($C1868,Roster!$B:$B,0))&amp;""),"—"))</f>
        <v/>
      </c>
      <c r="H1868" s="25">
        <f>IF($C1868="","",IFERROR(IF(INDEX(Roster!$F:$F,MATCH($C1868,Roster!$B:$B,0))="","",INDEX(Roster!$F:$F,MATCH($C1868,Roster!$B:$B,0))&amp;""),"—"))</f>
        <v/>
      </c>
      <c r="I1868" s="25">
        <f>IF($C1868="","",IFERROR(IF(INDEX(Roster!$G:$G,MATCH($C1868,Roster!$B:$B,0))="","",INDEX(Roster!$G:$G,MATCH($C1868,Roster!$B:$B,0))&amp;""),"—"))</f>
        <v/>
      </c>
      <c r="J1868" s="25">
        <f>IF($C1868="","",IFERROR(IF(INDEX(Roster!$I:$I,MATCH($C1868,Roster!$B:$B,0))="","",INDEX(Roster!$I:$I,MATCH($C1868,Roster!$B:$B,0))&amp;""),"—"))</f>
        <v/>
      </c>
      <c r="K1868">
        <f>IF($C1868="","",IFERROR(IF(INDEX(Roster!$J:$J,MATCH($C1868,Roster!$B:$B,0))="","",INDEX(Roster!$J:$J,MATCH($C1868,Roster!$B:$B,0))&amp;""),"—"))</f>
        <v/>
      </c>
      <c r="L1868">
        <f>IF($C1868="","",IFERROR(IF(INDEX(Roster!$K:$K,MATCH($C1868,Roster!$B:$B,0))="","",INDEX(Roster!$K:$K,MATCH($C1868,Roster!$B:$B,0))&amp;""),"—"))</f>
        <v/>
      </c>
      <c r="M1868" s="27" t="n"/>
      <c r="N1868" s="27" t="n"/>
      <c r="O1868" s="25">
        <f>IF($C1868="","",IF($P1868="","—",IF($P1868="Valid (Pass)","Valid","Invalid")))</f>
        <v/>
      </c>
      <c r="P1868" s="27" t="n"/>
      <c r="Q1868" s="27" t="n"/>
      <c r="R1868" s="27" t="n"/>
      <c r="S1868" s="27" t="n"/>
      <c r="T1868" s="25">
        <f>IF($C1868="","",IF(OR(ISNUMBER(SEARCH("quick case",$P1868)),ISNUMBER(SEARCH("quick case",$Q1868))),"Yes","No"))</f>
        <v/>
      </c>
      <c r="U1868" s="25">
        <f>IF($O1868="Invalid",HYPERLINK("mailto:"&amp;$G1868&amp;";"&amp;$I1868&amp;"?cc="&amp;Lists!$E$2&amp;"&amp;subject="&amp;_xlfn.ENCODEURL("[INVALID] Quality audit monitoring completed for "&amp;UPPER($C1868))&amp;"&amp;body="&amp;_xlfn.ENCODEURL("Hi "&amp;$F1868&amp;","&amp;CHAR(10)&amp;"Good day!"&amp;CHAR(10)&amp;CHAR(10)&amp;"A quality monitoring audit has been completed for "&amp;$C1868&amp;"."&amp;CHAR(10)&amp;CHAR(10)&amp;"QUALITY AUDIT DETAILS"&amp;CHAR(10)&amp;"Agent Name: "&amp;$C1868&amp;" (EID "&amp;$D1868&amp;")"&amp;CHAR(10)&amp;"Audit Date: "&amp;TEXT($B1868,"yyyy-mm-dd")&amp;CHAR(10)&amp;"Team Leader: "&amp;$F1868&amp;CHAR(10)&amp;"Case Number: "&amp;$M1868&amp;CHAR(10)&amp;"Transaction ID: "&amp;$N1868&amp;CHAR(10)&amp;"Channel / LOB: "&amp;$K1868&amp;" / "&amp;$L1868&amp;CHAR(10)&amp;"Evaluator: "&amp;$S1868&amp;CHAR(10)&amp;CHAR(10)&amp;"INVALID QUALITY AUDIT DETAILS"&amp;CHAR(10)&amp;"Validation: Invalid"&amp;CHAR(10)&amp;"Invalid Reason: "&amp;$P1868&amp;CHAR(10)&amp;"Expected Resolution Code: "&amp;$Q1868&amp;CHAR(10)&amp;"Remarks: "&amp;LEFT($R1868,600)&amp;CHAR(10)&amp;CHAR(10)&amp;"This is an automated notification from HP Mainstream EQMS."),"✉ Open Email Draft"),"")</f>
        <v/>
      </c>
    </row>
    <row r="1869">
      <c r="A1869" s="25">
        <f>IF($C1869="","","AUD-2026-"&amp;TEXT(ROW()-1,"000000"))</f>
        <v/>
      </c>
      <c r="B1869" s="26" t="n"/>
      <c r="C1869" s="27" t="n"/>
      <c r="D1869" s="25">
        <f>IF($C1869="","",IFERROR(IF(INDEX(Roster!$A:$A,MATCH($C1869,Roster!$B:$B,0))="","",INDEX(Roster!$A:$A,MATCH($C1869,Roster!$B:$B,0))&amp;""),"—"))</f>
        <v/>
      </c>
      <c r="E1869" s="25">
        <f>IF($C1869="","",IFERROR(IF(INDEX(Roster!$C:$C,MATCH($C1869,Roster!$B:$B,0))="","",INDEX(Roster!$C:$C,MATCH($C1869,Roster!$B:$B,0))&amp;""),"—"))</f>
        <v/>
      </c>
      <c r="F1869" s="25">
        <f>IF($C1869="","",IFERROR(IF(INDEX(Roster!$D:$D,MATCH($C1869,Roster!$B:$B,0))="","",INDEX(Roster!$D:$D,MATCH($C1869,Roster!$B:$B,0))&amp;""),"—"))</f>
        <v/>
      </c>
      <c r="G1869" s="25">
        <f>IF($C1869="","",IFERROR(IF(INDEX(Roster!$E:$E,MATCH($C1869,Roster!$B:$B,0))="","",INDEX(Roster!$E:$E,MATCH($C1869,Roster!$B:$B,0))&amp;""),"—"))</f>
        <v/>
      </c>
      <c r="H1869" s="25">
        <f>IF($C1869="","",IFERROR(IF(INDEX(Roster!$F:$F,MATCH($C1869,Roster!$B:$B,0))="","",INDEX(Roster!$F:$F,MATCH($C1869,Roster!$B:$B,0))&amp;""),"—"))</f>
        <v/>
      </c>
      <c r="I1869" s="25">
        <f>IF($C1869="","",IFERROR(IF(INDEX(Roster!$G:$G,MATCH($C1869,Roster!$B:$B,0))="","",INDEX(Roster!$G:$G,MATCH($C1869,Roster!$B:$B,0))&amp;""),"—"))</f>
        <v/>
      </c>
      <c r="J1869" s="25">
        <f>IF($C1869="","",IFERROR(IF(INDEX(Roster!$I:$I,MATCH($C1869,Roster!$B:$B,0))="","",INDEX(Roster!$I:$I,MATCH($C1869,Roster!$B:$B,0))&amp;""),"—"))</f>
        <v/>
      </c>
      <c r="K1869">
        <f>IF($C1869="","",IFERROR(IF(INDEX(Roster!$J:$J,MATCH($C1869,Roster!$B:$B,0))="","",INDEX(Roster!$J:$J,MATCH($C1869,Roster!$B:$B,0))&amp;""),"—"))</f>
        <v/>
      </c>
      <c r="L1869">
        <f>IF($C1869="","",IFERROR(IF(INDEX(Roster!$K:$K,MATCH($C1869,Roster!$B:$B,0))="","",INDEX(Roster!$K:$K,MATCH($C1869,Roster!$B:$B,0))&amp;""),"—"))</f>
        <v/>
      </c>
      <c r="M1869" s="27" t="n"/>
      <c r="N1869" s="27" t="n"/>
      <c r="O1869" s="25">
        <f>IF($C1869="","",IF($P1869="","—",IF($P1869="Valid (Pass)","Valid","Invalid")))</f>
        <v/>
      </c>
      <c r="P1869" s="27" t="n"/>
      <c r="Q1869" s="27" t="n"/>
      <c r="R1869" s="27" t="n"/>
      <c r="S1869" s="27" t="n"/>
      <c r="T1869" s="25">
        <f>IF($C1869="","",IF(OR(ISNUMBER(SEARCH("quick case",$P1869)),ISNUMBER(SEARCH("quick case",$Q1869))),"Yes","No"))</f>
        <v/>
      </c>
      <c r="U1869" s="25">
        <f>IF($O1869="Invalid",HYPERLINK("mailto:"&amp;$G1869&amp;";"&amp;$I1869&amp;"?cc="&amp;Lists!$E$2&amp;"&amp;subject="&amp;_xlfn.ENCODEURL("[INVALID] Quality audit monitoring completed for "&amp;UPPER($C1869))&amp;"&amp;body="&amp;_xlfn.ENCODEURL("Hi "&amp;$F1869&amp;","&amp;CHAR(10)&amp;"Good day!"&amp;CHAR(10)&amp;CHAR(10)&amp;"A quality monitoring audit has been completed for "&amp;$C1869&amp;"."&amp;CHAR(10)&amp;CHAR(10)&amp;"QUALITY AUDIT DETAILS"&amp;CHAR(10)&amp;"Agent Name: "&amp;$C1869&amp;" (EID "&amp;$D1869&amp;")"&amp;CHAR(10)&amp;"Audit Date: "&amp;TEXT($B1869,"yyyy-mm-dd")&amp;CHAR(10)&amp;"Team Leader: "&amp;$F1869&amp;CHAR(10)&amp;"Case Number: "&amp;$M1869&amp;CHAR(10)&amp;"Transaction ID: "&amp;$N1869&amp;CHAR(10)&amp;"Channel / LOB: "&amp;$K1869&amp;" / "&amp;$L1869&amp;CHAR(10)&amp;"Evaluator: "&amp;$S1869&amp;CHAR(10)&amp;CHAR(10)&amp;"INVALID QUALITY AUDIT DETAILS"&amp;CHAR(10)&amp;"Validation: Invalid"&amp;CHAR(10)&amp;"Invalid Reason: "&amp;$P1869&amp;CHAR(10)&amp;"Expected Resolution Code: "&amp;$Q1869&amp;CHAR(10)&amp;"Remarks: "&amp;LEFT($R1869,600)&amp;CHAR(10)&amp;CHAR(10)&amp;"This is an automated notification from HP Mainstream EQMS."),"✉ Open Email Draft"),"")</f>
        <v/>
      </c>
    </row>
    <row r="1870">
      <c r="A1870" s="25">
        <f>IF($C1870="","","AUD-2026-"&amp;TEXT(ROW()-1,"000000"))</f>
        <v/>
      </c>
      <c r="B1870" s="26" t="n"/>
      <c r="C1870" s="27" t="n"/>
      <c r="D1870" s="25">
        <f>IF($C1870="","",IFERROR(IF(INDEX(Roster!$A:$A,MATCH($C1870,Roster!$B:$B,0))="","",INDEX(Roster!$A:$A,MATCH($C1870,Roster!$B:$B,0))&amp;""),"—"))</f>
        <v/>
      </c>
      <c r="E1870" s="25">
        <f>IF($C1870="","",IFERROR(IF(INDEX(Roster!$C:$C,MATCH($C1870,Roster!$B:$B,0))="","",INDEX(Roster!$C:$C,MATCH($C1870,Roster!$B:$B,0))&amp;""),"—"))</f>
        <v/>
      </c>
      <c r="F1870" s="25">
        <f>IF($C1870="","",IFERROR(IF(INDEX(Roster!$D:$D,MATCH($C1870,Roster!$B:$B,0))="","",INDEX(Roster!$D:$D,MATCH($C1870,Roster!$B:$B,0))&amp;""),"—"))</f>
        <v/>
      </c>
      <c r="G1870" s="25">
        <f>IF($C1870="","",IFERROR(IF(INDEX(Roster!$E:$E,MATCH($C1870,Roster!$B:$B,0))="","",INDEX(Roster!$E:$E,MATCH($C1870,Roster!$B:$B,0))&amp;""),"—"))</f>
        <v/>
      </c>
      <c r="H1870" s="25">
        <f>IF($C1870="","",IFERROR(IF(INDEX(Roster!$F:$F,MATCH($C1870,Roster!$B:$B,0))="","",INDEX(Roster!$F:$F,MATCH($C1870,Roster!$B:$B,0))&amp;""),"—"))</f>
        <v/>
      </c>
      <c r="I1870" s="25">
        <f>IF($C1870="","",IFERROR(IF(INDEX(Roster!$G:$G,MATCH($C1870,Roster!$B:$B,0))="","",INDEX(Roster!$G:$G,MATCH($C1870,Roster!$B:$B,0))&amp;""),"—"))</f>
        <v/>
      </c>
      <c r="J1870" s="25">
        <f>IF($C1870="","",IFERROR(IF(INDEX(Roster!$I:$I,MATCH($C1870,Roster!$B:$B,0))="","",INDEX(Roster!$I:$I,MATCH($C1870,Roster!$B:$B,0))&amp;""),"—"))</f>
        <v/>
      </c>
      <c r="K1870">
        <f>IF($C1870="","",IFERROR(IF(INDEX(Roster!$J:$J,MATCH($C1870,Roster!$B:$B,0))="","",INDEX(Roster!$J:$J,MATCH($C1870,Roster!$B:$B,0))&amp;""),"—"))</f>
        <v/>
      </c>
      <c r="L1870">
        <f>IF($C1870="","",IFERROR(IF(INDEX(Roster!$K:$K,MATCH($C1870,Roster!$B:$B,0))="","",INDEX(Roster!$K:$K,MATCH($C1870,Roster!$B:$B,0))&amp;""),"—"))</f>
        <v/>
      </c>
      <c r="M1870" s="27" t="n"/>
      <c r="N1870" s="27" t="n"/>
      <c r="O1870" s="25">
        <f>IF($C1870="","",IF($P1870="","—",IF($P1870="Valid (Pass)","Valid","Invalid")))</f>
        <v/>
      </c>
      <c r="P1870" s="27" t="n"/>
      <c r="Q1870" s="27" t="n"/>
      <c r="R1870" s="27" t="n"/>
      <c r="S1870" s="27" t="n"/>
      <c r="T1870" s="25">
        <f>IF($C1870="","",IF(OR(ISNUMBER(SEARCH("quick case",$P1870)),ISNUMBER(SEARCH("quick case",$Q1870))),"Yes","No"))</f>
        <v/>
      </c>
      <c r="U1870" s="25">
        <f>IF($O1870="Invalid",HYPERLINK("mailto:"&amp;$G1870&amp;";"&amp;$I1870&amp;"?cc="&amp;Lists!$E$2&amp;"&amp;subject="&amp;_xlfn.ENCODEURL("[INVALID] Quality audit monitoring completed for "&amp;UPPER($C1870))&amp;"&amp;body="&amp;_xlfn.ENCODEURL("Hi "&amp;$F1870&amp;","&amp;CHAR(10)&amp;"Good day!"&amp;CHAR(10)&amp;CHAR(10)&amp;"A quality monitoring audit has been completed for "&amp;$C1870&amp;"."&amp;CHAR(10)&amp;CHAR(10)&amp;"QUALITY AUDIT DETAILS"&amp;CHAR(10)&amp;"Agent Name: "&amp;$C1870&amp;" (EID "&amp;$D1870&amp;")"&amp;CHAR(10)&amp;"Audit Date: "&amp;TEXT($B1870,"yyyy-mm-dd")&amp;CHAR(10)&amp;"Team Leader: "&amp;$F1870&amp;CHAR(10)&amp;"Case Number: "&amp;$M1870&amp;CHAR(10)&amp;"Transaction ID: "&amp;$N1870&amp;CHAR(10)&amp;"Channel / LOB: "&amp;$K1870&amp;" / "&amp;$L1870&amp;CHAR(10)&amp;"Evaluator: "&amp;$S1870&amp;CHAR(10)&amp;CHAR(10)&amp;"INVALID QUALITY AUDIT DETAILS"&amp;CHAR(10)&amp;"Validation: Invalid"&amp;CHAR(10)&amp;"Invalid Reason: "&amp;$P1870&amp;CHAR(10)&amp;"Expected Resolution Code: "&amp;$Q1870&amp;CHAR(10)&amp;"Remarks: "&amp;LEFT($R1870,600)&amp;CHAR(10)&amp;CHAR(10)&amp;"This is an automated notification from HP Mainstream EQMS."),"✉ Open Email Draft"),"")</f>
        <v/>
      </c>
    </row>
    <row r="1871">
      <c r="A1871" s="25">
        <f>IF($C1871="","","AUD-2026-"&amp;TEXT(ROW()-1,"000000"))</f>
        <v/>
      </c>
      <c r="B1871" s="26" t="n"/>
      <c r="C1871" s="27" t="n"/>
      <c r="D1871" s="25">
        <f>IF($C1871="","",IFERROR(IF(INDEX(Roster!$A:$A,MATCH($C1871,Roster!$B:$B,0))="","",INDEX(Roster!$A:$A,MATCH($C1871,Roster!$B:$B,0))&amp;""),"—"))</f>
        <v/>
      </c>
      <c r="E1871" s="25">
        <f>IF($C1871="","",IFERROR(IF(INDEX(Roster!$C:$C,MATCH($C1871,Roster!$B:$B,0))="","",INDEX(Roster!$C:$C,MATCH($C1871,Roster!$B:$B,0))&amp;""),"—"))</f>
        <v/>
      </c>
      <c r="F1871" s="25">
        <f>IF($C1871="","",IFERROR(IF(INDEX(Roster!$D:$D,MATCH($C1871,Roster!$B:$B,0))="","",INDEX(Roster!$D:$D,MATCH($C1871,Roster!$B:$B,0))&amp;""),"—"))</f>
        <v/>
      </c>
      <c r="G1871" s="25">
        <f>IF($C1871="","",IFERROR(IF(INDEX(Roster!$E:$E,MATCH($C1871,Roster!$B:$B,0))="","",INDEX(Roster!$E:$E,MATCH($C1871,Roster!$B:$B,0))&amp;""),"—"))</f>
        <v/>
      </c>
      <c r="H1871" s="25">
        <f>IF($C1871="","",IFERROR(IF(INDEX(Roster!$F:$F,MATCH($C1871,Roster!$B:$B,0))="","",INDEX(Roster!$F:$F,MATCH($C1871,Roster!$B:$B,0))&amp;""),"—"))</f>
        <v/>
      </c>
      <c r="I1871" s="25">
        <f>IF($C1871="","",IFERROR(IF(INDEX(Roster!$G:$G,MATCH($C1871,Roster!$B:$B,0))="","",INDEX(Roster!$G:$G,MATCH($C1871,Roster!$B:$B,0))&amp;""),"—"))</f>
        <v/>
      </c>
      <c r="J1871" s="25">
        <f>IF($C1871="","",IFERROR(IF(INDEX(Roster!$I:$I,MATCH($C1871,Roster!$B:$B,0))="","",INDEX(Roster!$I:$I,MATCH($C1871,Roster!$B:$B,0))&amp;""),"—"))</f>
        <v/>
      </c>
      <c r="K1871">
        <f>IF($C1871="","",IFERROR(IF(INDEX(Roster!$J:$J,MATCH($C1871,Roster!$B:$B,0))="","",INDEX(Roster!$J:$J,MATCH($C1871,Roster!$B:$B,0))&amp;""),"—"))</f>
        <v/>
      </c>
      <c r="L1871">
        <f>IF($C1871="","",IFERROR(IF(INDEX(Roster!$K:$K,MATCH($C1871,Roster!$B:$B,0))="","",INDEX(Roster!$K:$K,MATCH($C1871,Roster!$B:$B,0))&amp;""),"—"))</f>
        <v/>
      </c>
      <c r="M1871" s="27" t="n"/>
      <c r="N1871" s="27" t="n"/>
      <c r="O1871" s="25">
        <f>IF($C1871="","",IF($P1871="","—",IF($P1871="Valid (Pass)","Valid","Invalid")))</f>
        <v/>
      </c>
      <c r="P1871" s="27" t="n"/>
      <c r="Q1871" s="27" t="n"/>
      <c r="R1871" s="27" t="n"/>
      <c r="S1871" s="27" t="n"/>
      <c r="T1871" s="25">
        <f>IF($C1871="","",IF(OR(ISNUMBER(SEARCH("quick case",$P1871)),ISNUMBER(SEARCH("quick case",$Q1871))),"Yes","No"))</f>
        <v/>
      </c>
      <c r="U1871" s="25">
        <f>IF($O1871="Invalid",HYPERLINK("mailto:"&amp;$G1871&amp;";"&amp;$I1871&amp;"?cc="&amp;Lists!$E$2&amp;"&amp;subject="&amp;_xlfn.ENCODEURL("[INVALID] Quality audit monitoring completed for "&amp;UPPER($C1871))&amp;"&amp;body="&amp;_xlfn.ENCODEURL("Hi "&amp;$F1871&amp;","&amp;CHAR(10)&amp;"Good day!"&amp;CHAR(10)&amp;CHAR(10)&amp;"A quality monitoring audit has been completed for "&amp;$C1871&amp;"."&amp;CHAR(10)&amp;CHAR(10)&amp;"QUALITY AUDIT DETAILS"&amp;CHAR(10)&amp;"Agent Name: "&amp;$C1871&amp;" (EID "&amp;$D1871&amp;")"&amp;CHAR(10)&amp;"Audit Date: "&amp;TEXT($B1871,"yyyy-mm-dd")&amp;CHAR(10)&amp;"Team Leader: "&amp;$F1871&amp;CHAR(10)&amp;"Case Number: "&amp;$M1871&amp;CHAR(10)&amp;"Transaction ID: "&amp;$N1871&amp;CHAR(10)&amp;"Channel / LOB: "&amp;$K1871&amp;" / "&amp;$L1871&amp;CHAR(10)&amp;"Evaluator: "&amp;$S1871&amp;CHAR(10)&amp;CHAR(10)&amp;"INVALID QUALITY AUDIT DETAILS"&amp;CHAR(10)&amp;"Validation: Invalid"&amp;CHAR(10)&amp;"Invalid Reason: "&amp;$P1871&amp;CHAR(10)&amp;"Expected Resolution Code: "&amp;$Q1871&amp;CHAR(10)&amp;"Remarks: "&amp;LEFT($R1871,600)&amp;CHAR(10)&amp;CHAR(10)&amp;"This is an automated notification from HP Mainstream EQMS."),"✉ Open Email Draft"),"")</f>
        <v/>
      </c>
    </row>
    <row r="1872">
      <c r="A1872" s="25">
        <f>IF($C1872="","","AUD-2026-"&amp;TEXT(ROW()-1,"000000"))</f>
        <v/>
      </c>
      <c r="B1872" s="26" t="n"/>
      <c r="C1872" s="27" t="n"/>
      <c r="D1872" s="25">
        <f>IF($C1872="","",IFERROR(IF(INDEX(Roster!$A:$A,MATCH($C1872,Roster!$B:$B,0))="","",INDEX(Roster!$A:$A,MATCH($C1872,Roster!$B:$B,0))&amp;""),"—"))</f>
        <v/>
      </c>
      <c r="E1872" s="25">
        <f>IF($C1872="","",IFERROR(IF(INDEX(Roster!$C:$C,MATCH($C1872,Roster!$B:$B,0))="","",INDEX(Roster!$C:$C,MATCH($C1872,Roster!$B:$B,0))&amp;""),"—"))</f>
        <v/>
      </c>
      <c r="F1872" s="25">
        <f>IF($C1872="","",IFERROR(IF(INDEX(Roster!$D:$D,MATCH($C1872,Roster!$B:$B,0))="","",INDEX(Roster!$D:$D,MATCH($C1872,Roster!$B:$B,0))&amp;""),"—"))</f>
        <v/>
      </c>
      <c r="G1872" s="25">
        <f>IF($C1872="","",IFERROR(IF(INDEX(Roster!$E:$E,MATCH($C1872,Roster!$B:$B,0))="","",INDEX(Roster!$E:$E,MATCH($C1872,Roster!$B:$B,0))&amp;""),"—"))</f>
        <v/>
      </c>
      <c r="H1872" s="25">
        <f>IF($C1872="","",IFERROR(IF(INDEX(Roster!$F:$F,MATCH($C1872,Roster!$B:$B,0))="","",INDEX(Roster!$F:$F,MATCH($C1872,Roster!$B:$B,0))&amp;""),"—"))</f>
        <v/>
      </c>
      <c r="I1872" s="25">
        <f>IF($C1872="","",IFERROR(IF(INDEX(Roster!$G:$G,MATCH($C1872,Roster!$B:$B,0))="","",INDEX(Roster!$G:$G,MATCH($C1872,Roster!$B:$B,0))&amp;""),"—"))</f>
        <v/>
      </c>
      <c r="J1872" s="25">
        <f>IF($C1872="","",IFERROR(IF(INDEX(Roster!$I:$I,MATCH($C1872,Roster!$B:$B,0))="","",INDEX(Roster!$I:$I,MATCH($C1872,Roster!$B:$B,0))&amp;""),"—"))</f>
        <v/>
      </c>
      <c r="K1872">
        <f>IF($C1872="","",IFERROR(IF(INDEX(Roster!$J:$J,MATCH($C1872,Roster!$B:$B,0))="","",INDEX(Roster!$J:$J,MATCH($C1872,Roster!$B:$B,0))&amp;""),"—"))</f>
        <v/>
      </c>
      <c r="L1872">
        <f>IF($C1872="","",IFERROR(IF(INDEX(Roster!$K:$K,MATCH($C1872,Roster!$B:$B,0))="","",INDEX(Roster!$K:$K,MATCH($C1872,Roster!$B:$B,0))&amp;""),"—"))</f>
        <v/>
      </c>
      <c r="M1872" s="27" t="n"/>
      <c r="N1872" s="27" t="n"/>
      <c r="O1872" s="25">
        <f>IF($C1872="","",IF($P1872="","—",IF($P1872="Valid (Pass)","Valid","Invalid")))</f>
        <v/>
      </c>
      <c r="P1872" s="27" t="n"/>
      <c r="Q1872" s="27" t="n"/>
      <c r="R1872" s="27" t="n"/>
      <c r="S1872" s="27" t="n"/>
      <c r="T1872" s="25">
        <f>IF($C1872="","",IF(OR(ISNUMBER(SEARCH("quick case",$P1872)),ISNUMBER(SEARCH("quick case",$Q1872))),"Yes","No"))</f>
        <v/>
      </c>
      <c r="U1872" s="25">
        <f>IF($O1872="Invalid",HYPERLINK("mailto:"&amp;$G1872&amp;";"&amp;$I1872&amp;"?cc="&amp;Lists!$E$2&amp;"&amp;subject="&amp;_xlfn.ENCODEURL("[INVALID] Quality audit monitoring completed for "&amp;UPPER($C1872))&amp;"&amp;body="&amp;_xlfn.ENCODEURL("Hi "&amp;$F1872&amp;","&amp;CHAR(10)&amp;"Good day!"&amp;CHAR(10)&amp;CHAR(10)&amp;"A quality monitoring audit has been completed for "&amp;$C1872&amp;"."&amp;CHAR(10)&amp;CHAR(10)&amp;"QUALITY AUDIT DETAILS"&amp;CHAR(10)&amp;"Agent Name: "&amp;$C1872&amp;" (EID "&amp;$D1872&amp;")"&amp;CHAR(10)&amp;"Audit Date: "&amp;TEXT($B1872,"yyyy-mm-dd")&amp;CHAR(10)&amp;"Team Leader: "&amp;$F1872&amp;CHAR(10)&amp;"Case Number: "&amp;$M1872&amp;CHAR(10)&amp;"Transaction ID: "&amp;$N1872&amp;CHAR(10)&amp;"Channel / LOB: "&amp;$K1872&amp;" / "&amp;$L1872&amp;CHAR(10)&amp;"Evaluator: "&amp;$S1872&amp;CHAR(10)&amp;CHAR(10)&amp;"INVALID QUALITY AUDIT DETAILS"&amp;CHAR(10)&amp;"Validation: Invalid"&amp;CHAR(10)&amp;"Invalid Reason: "&amp;$P1872&amp;CHAR(10)&amp;"Expected Resolution Code: "&amp;$Q1872&amp;CHAR(10)&amp;"Remarks: "&amp;LEFT($R1872,600)&amp;CHAR(10)&amp;CHAR(10)&amp;"This is an automated notification from HP Mainstream EQMS."),"✉ Open Email Draft"),"")</f>
        <v/>
      </c>
    </row>
    <row r="1873">
      <c r="A1873" s="25">
        <f>IF($C1873="","","AUD-2026-"&amp;TEXT(ROW()-1,"000000"))</f>
        <v/>
      </c>
      <c r="B1873" s="26" t="n"/>
      <c r="C1873" s="27" t="n"/>
      <c r="D1873" s="25">
        <f>IF($C1873="","",IFERROR(IF(INDEX(Roster!$A:$A,MATCH($C1873,Roster!$B:$B,0))="","",INDEX(Roster!$A:$A,MATCH($C1873,Roster!$B:$B,0))&amp;""),"—"))</f>
        <v/>
      </c>
      <c r="E1873" s="25">
        <f>IF($C1873="","",IFERROR(IF(INDEX(Roster!$C:$C,MATCH($C1873,Roster!$B:$B,0))="","",INDEX(Roster!$C:$C,MATCH($C1873,Roster!$B:$B,0))&amp;""),"—"))</f>
        <v/>
      </c>
      <c r="F1873" s="25">
        <f>IF($C1873="","",IFERROR(IF(INDEX(Roster!$D:$D,MATCH($C1873,Roster!$B:$B,0))="","",INDEX(Roster!$D:$D,MATCH($C1873,Roster!$B:$B,0))&amp;""),"—"))</f>
        <v/>
      </c>
      <c r="G1873" s="25">
        <f>IF($C1873="","",IFERROR(IF(INDEX(Roster!$E:$E,MATCH($C1873,Roster!$B:$B,0))="","",INDEX(Roster!$E:$E,MATCH($C1873,Roster!$B:$B,0))&amp;""),"—"))</f>
        <v/>
      </c>
      <c r="H1873" s="25">
        <f>IF($C1873="","",IFERROR(IF(INDEX(Roster!$F:$F,MATCH($C1873,Roster!$B:$B,0))="","",INDEX(Roster!$F:$F,MATCH($C1873,Roster!$B:$B,0))&amp;""),"—"))</f>
        <v/>
      </c>
      <c r="I1873" s="25">
        <f>IF($C1873="","",IFERROR(IF(INDEX(Roster!$G:$G,MATCH($C1873,Roster!$B:$B,0))="","",INDEX(Roster!$G:$G,MATCH($C1873,Roster!$B:$B,0))&amp;""),"—"))</f>
        <v/>
      </c>
      <c r="J1873" s="25">
        <f>IF($C1873="","",IFERROR(IF(INDEX(Roster!$I:$I,MATCH($C1873,Roster!$B:$B,0))="","",INDEX(Roster!$I:$I,MATCH($C1873,Roster!$B:$B,0))&amp;""),"—"))</f>
        <v/>
      </c>
      <c r="K1873">
        <f>IF($C1873="","",IFERROR(IF(INDEX(Roster!$J:$J,MATCH($C1873,Roster!$B:$B,0))="","",INDEX(Roster!$J:$J,MATCH($C1873,Roster!$B:$B,0))&amp;""),"—"))</f>
        <v/>
      </c>
      <c r="L1873">
        <f>IF($C1873="","",IFERROR(IF(INDEX(Roster!$K:$K,MATCH($C1873,Roster!$B:$B,0))="","",INDEX(Roster!$K:$K,MATCH($C1873,Roster!$B:$B,0))&amp;""),"—"))</f>
        <v/>
      </c>
      <c r="M1873" s="27" t="n"/>
      <c r="N1873" s="27" t="n"/>
      <c r="O1873" s="25">
        <f>IF($C1873="","",IF($P1873="","—",IF($P1873="Valid (Pass)","Valid","Invalid")))</f>
        <v/>
      </c>
      <c r="P1873" s="27" t="n"/>
      <c r="Q1873" s="27" t="n"/>
      <c r="R1873" s="27" t="n"/>
      <c r="S1873" s="27" t="n"/>
      <c r="T1873" s="25">
        <f>IF($C1873="","",IF(OR(ISNUMBER(SEARCH("quick case",$P1873)),ISNUMBER(SEARCH("quick case",$Q1873))),"Yes","No"))</f>
        <v/>
      </c>
      <c r="U1873" s="25">
        <f>IF($O1873="Invalid",HYPERLINK("mailto:"&amp;$G1873&amp;";"&amp;$I1873&amp;"?cc="&amp;Lists!$E$2&amp;"&amp;subject="&amp;_xlfn.ENCODEURL("[INVALID] Quality audit monitoring completed for "&amp;UPPER($C1873))&amp;"&amp;body="&amp;_xlfn.ENCODEURL("Hi "&amp;$F1873&amp;","&amp;CHAR(10)&amp;"Good day!"&amp;CHAR(10)&amp;CHAR(10)&amp;"A quality monitoring audit has been completed for "&amp;$C1873&amp;"."&amp;CHAR(10)&amp;CHAR(10)&amp;"QUALITY AUDIT DETAILS"&amp;CHAR(10)&amp;"Agent Name: "&amp;$C1873&amp;" (EID "&amp;$D1873&amp;")"&amp;CHAR(10)&amp;"Audit Date: "&amp;TEXT($B1873,"yyyy-mm-dd")&amp;CHAR(10)&amp;"Team Leader: "&amp;$F1873&amp;CHAR(10)&amp;"Case Number: "&amp;$M1873&amp;CHAR(10)&amp;"Transaction ID: "&amp;$N1873&amp;CHAR(10)&amp;"Channel / LOB: "&amp;$K1873&amp;" / "&amp;$L1873&amp;CHAR(10)&amp;"Evaluator: "&amp;$S1873&amp;CHAR(10)&amp;CHAR(10)&amp;"INVALID QUALITY AUDIT DETAILS"&amp;CHAR(10)&amp;"Validation: Invalid"&amp;CHAR(10)&amp;"Invalid Reason: "&amp;$P1873&amp;CHAR(10)&amp;"Expected Resolution Code: "&amp;$Q1873&amp;CHAR(10)&amp;"Remarks: "&amp;LEFT($R1873,600)&amp;CHAR(10)&amp;CHAR(10)&amp;"This is an automated notification from HP Mainstream EQMS."),"✉ Open Email Draft"),"")</f>
        <v/>
      </c>
    </row>
    <row r="1874">
      <c r="A1874" s="25">
        <f>IF($C1874="","","AUD-2026-"&amp;TEXT(ROW()-1,"000000"))</f>
        <v/>
      </c>
      <c r="B1874" s="26" t="n"/>
      <c r="C1874" s="27" t="n"/>
      <c r="D1874" s="25">
        <f>IF($C1874="","",IFERROR(IF(INDEX(Roster!$A:$A,MATCH($C1874,Roster!$B:$B,0))="","",INDEX(Roster!$A:$A,MATCH($C1874,Roster!$B:$B,0))&amp;""),"—"))</f>
        <v/>
      </c>
      <c r="E1874" s="25">
        <f>IF($C1874="","",IFERROR(IF(INDEX(Roster!$C:$C,MATCH($C1874,Roster!$B:$B,0))="","",INDEX(Roster!$C:$C,MATCH($C1874,Roster!$B:$B,0))&amp;""),"—"))</f>
        <v/>
      </c>
      <c r="F1874" s="25">
        <f>IF($C1874="","",IFERROR(IF(INDEX(Roster!$D:$D,MATCH($C1874,Roster!$B:$B,0))="","",INDEX(Roster!$D:$D,MATCH($C1874,Roster!$B:$B,0))&amp;""),"—"))</f>
        <v/>
      </c>
      <c r="G1874" s="25">
        <f>IF($C1874="","",IFERROR(IF(INDEX(Roster!$E:$E,MATCH($C1874,Roster!$B:$B,0))="","",INDEX(Roster!$E:$E,MATCH($C1874,Roster!$B:$B,0))&amp;""),"—"))</f>
        <v/>
      </c>
      <c r="H1874" s="25">
        <f>IF($C1874="","",IFERROR(IF(INDEX(Roster!$F:$F,MATCH($C1874,Roster!$B:$B,0))="","",INDEX(Roster!$F:$F,MATCH($C1874,Roster!$B:$B,0))&amp;""),"—"))</f>
        <v/>
      </c>
      <c r="I1874" s="25">
        <f>IF($C1874="","",IFERROR(IF(INDEX(Roster!$G:$G,MATCH($C1874,Roster!$B:$B,0))="","",INDEX(Roster!$G:$G,MATCH($C1874,Roster!$B:$B,0))&amp;""),"—"))</f>
        <v/>
      </c>
      <c r="J1874" s="25">
        <f>IF($C1874="","",IFERROR(IF(INDEX(Roster!$I:$I,MATCH($C1874,Roster!$B:$B,0))="","",INDEX(Roster!$I:$I,MATCH($C1874,Roster!$B:$B,0))&amp;""),"—"))</f>
        <v/>
      </c>
      <c r="K1874">
        <f>IF($C1874="","",IFERROR(IF(INDEX(Roster!$J:$J,MATCH($C1874,Roster!$B:$B,0))="","",INDEX(Roster!$J:$J,MATCH($C1874,Roster!$B:$B,0))&amp;""),"—"))</f>
        <v/>
      </c>
      <c r="L1874">
        <f>IF($C1874="","",IFERROR(IF(INDEX(Roster!$K:$K,MATCH($C1874,Roster!$B:$B,0))="","",INDEX(Roster!$K:$K,MATCH($C1874,Roster!$B:$B,0))&amp;""),"—"))</f>
        <v/>
      </c>
      <c r="M1874" s="27" t="n"/>
      <c r="N1874" s="27" t="n"/>
      <c r="O1874" s="25">
        <f>IF($C1874="","",IF($P1874="","—",IF($P1874="Valid (Pass)","Valid","Invalid")))</f>
        <v/>
      </c>
      <c r="P1874" s="27" t="n"/>
      <c r="Q1874" s="27" t="n"/>
      <c r="R1874" s="27" t="n"/>
      <c r="S1874" s="27" t="n"/>
      <c r="T1874" s="25">
        <f>IF($C1874="","",IF(OR(ISNUMBER(SEARCH("quick case",$P1874)),ISNUMBER(SEARCH("quick case",$Q1874))),"Yes","No"))</f>
        <v/>
      </c>
      <c r="U1874" s="25">
        <f>IF($O1874="Invalid",HYPERLINK("mailto:"&amp;$G1874&amp;";"&amp;$I1874&amp;"?cc="&amp;Lists!$E$2&amp;"&amp;subject="&amp;_xlfn.ENCODEURL("[INVALID] Quality audit monitoring completed for "&amp;UPPER($C1874))&amp;"&amp;body="&amp;_xlfn.ENCODEURL("Hi "&amp;$F1874&amp;","&amp;CHAR(10)&amp;"Good day!"&amp;CHAR(10)&amp;CHAR(10)&amp;"A quality monitoring audit has been completed for "&amp;$C1874&amp;"."&amp;CHAR(10)&amp;CHAR(10)&amp;"QUALITY AUDIT DETAILS"&amp;CHAR(10)&amp;"Agent Name: "&amp;$C1874&amp;" (EID "&amp;$D1874&amp;")"&amp;CHAR(10)&amp;"Audit Date: "&amp;TEXT($B1874,"yyyy-mm-dd")&amp;CHAR(10)&amp;"Team Leader: "&amp;$F1874&amp;CHAR(10)&amp;"Case Number: "&amp;$M1874&amp;CHAR(10)&amp;"Transaction ID: "&amp;$N1874&amp;CHAR(10)&amp;"Channel / LOB: "&amp;$K1874&amp;" / "&amp;$L1874&amp;CHAR(10)&amp;"Evaluator: "&amp;$S1874&amp;CHAR(10)&amp;CHAR(10)&amp;"INVALID QUALITY AUDIT DETAILS"&amp;CHAR(10)&amp;"Validation: Invalid"&amp;CHAR(10)&amp;"Invalid Reason: "&amp;$P1874&amp;CHAR(10)&amp;"Expected Resolution Code: "&amp;$Q1874&amp;CHAR(10)&amp;"Remarks: "&amp;LEFT($R1874,600)&amp;CHAR(10)&amp;CHAR(10)&amp;"This is an automated notification from HP Mainstream EQMS."),"✉ Open Email Draft"),"")</f>
        <v/>
      </c>
    </row>
    <row r="1875">
      <c r="A1875" s="25">
        <f>IF($C1875="","","AUD-2026-"&amp;TEXT(ROW()-1,"000000"))</f>
        <v/>
      </c>
      <c r="B1875" s="26" t="n"/>
      <c r="C1875" s="27" t="n"/>
      <c r="D1875" s="25">
        <f>IF($C1875="","",IFERROR(IF(INDEX(Roster!$A:$A,MATCH($C1875,Roster!$B:$B,0))="","",INDEX(Roster!$A:$A,MATCH($C1875,Roster!$B:$B,0))&amp;""),"—"))</f>
        <v/>
      </c>
      <c r="E1875" s="25">
        <f>IF($C1875="","",IFERROR(IF(INDEX(Roster!$C:$C,MATCH($C1875,Roster!$B:$B,0))="","",INDEX(Roster!$C:$C,MATCH($C1875,Roster!$B:$B,0))&amp;""),"—"))</f>
        <v/>
      </c>
      <c r="F1875" s="25">
        <f>IF($C1875="","",IFERROR(IF(INDEX(Roster!$D:$D,MATCH($C1875,Roster!$B:$B,0))="","",INDEX(Roster!$D:$D,MATCH($C1875,Roster!$B:$B,0))&amp;""),"—"))</f>
        <v/>
      </c>
      <c r="G1875" s="25">
        <f>IF($C1875="","",IFERROR(IF(INDEX(Roster!$E:$E,MATCH($C1875,Roster!$B:$B,0))="","",INDEX(Roster!$E:$E,MATCH($C1875,Roster!$B:$B,0))&amp;""),"—"))</f>
        <v/>
      </c>
      <c r="H1875" s="25">
        <f>IF($C1875="","",IFERROR(IF(INDEX(Roster!$F:$F,MATCH($C1875,Roster!$B:$B,0))="","",INDEX(Roster!$F:$F,MATCH($C1875,Roster!$B:$B,0))&amp;""),"—"))</f>
        <v/>
      </c>
      <c r="I1875" s="25">
        <f>IF($C1875="","",IFERROR(IF(INDEX(Roster!$G:$G,MATCH($C1875,Roster!$B:$B,0))="","",INDEX(Roster!$G:$G,MATCH($C1875,Roster!$B:$B,0))&amp;""),"—"))</f>
        <v/>
      </c>
      <c r="J1875" s="25">
        <f>IF($C1875="","",IFERROR(IF(INDEX(Roster!$I:$I,MATCH($C1875,Roster!$B:$B,0))="","",INDEX(Roster!$I:$I,MATCH($C1875,Roster!$B:$B,0))&amp;""),"—"))</f>
        <v/>
      </c>
      <c r="K1875">
        <f>IF($C1875="","",IFERROR(IF(INDEX(Roster!$J:$J,MATCH($C1875,Roster!$B:$B,0))="","",INDEX(Roster!$J:$J,MATCH($C1875,Roster!$B:$B,0))&amp;""),"—"))</f>
        <v/>
      </c>
      <c r="L1875">
        <f>IF($C1875="","",IFERROR(IF(INDEX(Roster!$K:$K,MATCH($C1875,Roster!$B:$B,0))="","",INDEX(Roster!$K:$K,MATCH($C1875,Roster!$B:$B,0))&amp;""),"—"))</f>
        <v/>
      </c>
      <c r="M1875" s="27" t="n"/>
      <c r="N1875" s="27" t="n"/>
      <c r="O1875" s="25">
        <f>IF($C1875="","",IF($P1875="","—",IF($P1875="Valid (Pass)","Valid","Invalid")))</f>
        <v/>
      </c>
      <c r="P1875" s="27" t="n"/>
      <c r="Q1875" s="27" t="n"/>
      <c r="R1875" s="27" t="n"/>
      <c r="S1875" s="27" t="n"/>
      <c r="T1875" s="25">
        <f>IF($C1875="","",IF(OR(ISNUMBER(SEARCH("quick case",$P1875)),ISNUMBER(SEARCH("quick case",$Q1875))),"Yes","No"))</f>
        <v/>
      </c>
      <c r="U1875" s="25">
        <f>IF($O1875="Invalid",HYPERLINK("mailto:"&amp;$G1875&amp;";"&amp;$I1875&amp;"?cc="&amp;Lists!$E$2&amp;"&amp;subject="&amp;_xlfn.ENCODEURL("[INVALID] Quality audit monitoring completed for "&amp;UPPER($C1875))&amp;"&amp;body="&amp;_xlfn.ENCODEURL("Hi "&amp;$F1875&amp;","&amp;CHAR(10)&amp;"Good day!"&amp;CHAR(10)&amp;CHAR(10)&amp;"A quality monitoring audit has been completed for "&amp;$C1875&amp;"."&amp;CHAR(10)&amp;CHAR(10)&amp;"QUALITY AUDIT DETAILS"&amp;CHAR(10)&amp;"Agent Name: "&amp;$C1875&amp;" (EID "&amp;$D1875&amp;")"&amp;CHAR(10)&amp;"Audit Date: "&amp;TEXT($B1875,"yyyy-mm-dd")&amp;CHAR(10)&amp;"Team Leader: "&amp;$F1875&amp;CHAR(10)&amp;"Case Number: "&amp;$M1875&amp;CHAR(10)&amp;"Transaction ID: "&amp;$N1875&amp;CHAR(10)&amp;"Channel / LOB: "&amp;$K1875&amp;" / "&amp;$L1875&amp;CHAR(10)&amp;"Evaluator: "&amp;$S1875&amp;CHAR(10)&amp;CHAR(10)&amp;"INVALID QUALITY AUDIT DETAILS"&amp;CHAR(10)&amp;"Validation: Invalid"&amp;CHAR(10)&amp;"Invalid Reason: "&amp;$P1875&amp;CHAR(10)&amp;"Expected Resolution Code: "&amp;$Q1875&amp;CHAR(10)&amp;"Remarks: "&amp;LEFT($R1875,600)&amp;CHAR(10)&amp;CHAR(10)&amp;"This is an automated notification from HP Mainstream EQMS."),"✉ Open Email Draft"),"")</f>
        <v/>
      </c>
    </row>
    <row r="1876">
      <c r="A1876" s="25">
        <f>IF($C1876="","","AUD-2026-"&amp;TEXT(ROW()-1,"000000"))</f>
        <v/>
      </c>
      <c r="B1876" s="26" t="n"/>
      <c r="C1876" s="27" t="n"/>
      <c r="D1876" s="25">
        <f>IF($C1876="","",IFERROR(IF(INDEX(Roster!$A:$A,MATCH($C1876,Roster!$B:$B,0))="","",INDEX(Roster!$A:$A,MATCH($C1876,Roster!$B:$B,0))&amp;""),"—"))</f>
        <v/>
      </c>
      <c r="E1876" s="25">
        <f>IF($C1876="","",IFERROR(IF(INDEX(Roster!$C:$C,MATCH($C1876,Roster!$B:$B,0))="","",INDEX(Roster!$C:$C,MATCH($C1876,Roster!$B:$B,0))&amp;""),"—"))</f>
        <v/>
      </c>
      <c r="F1876" s="25">
        <f>IF($C1876="","",IFERROR(IF(INDEX(Roster!$D:$D,MATCH($C1876,Roster!$B:$B,0))="","",INDEX(Roster!$D:$D,MATCH($C1876,Roster!$B:$B,0))&amp;""),"—"))</f>
        <v/>
      </c>
      <c r="G1876" s="25">
        <f>IF($C1876="","",IFERROR(IF(INDEX(Roster!$E:$E,MATCH($C1876,Roster!$B:$B,0))="","",INDEX(Roster!$E:$E,MATCH($C1876,Roster!$B:$B,0))&amp;""),"—"))</f>
        <v/>
      </c>
      <c r="H1876" s="25">
        <f>IF($C1876="","",IFERROR(IF(INDEX(Roster!$F:$F,MATCH($C1876,Roster!$B:$B,0))="","",INDEX(Roster!$F:$F,MATCH($C1876,Roster!$B:$B,0))&amp;""),"—"))</f>
        <v/>
      </c>
      <c r="I1876" s="25">
        <f>IF($C1876="","",IFERROR(IF(INDEX(Roster!$G:$G,MATCH($C1876,Roster!$B:$B,0))="","",INDEX(Roster!$G:$G,MATCH($C1876,Roster!$B:$B,0))&amp;""),"—"))</f>
        <v/>
      </c>
      <c r="J1876" s="25">
        <f>IF($C1876="","",IFERROR(IF(INDEX(Roster!$I:$I,MATCH($C1876,Roster!$B:$B,0))="","",INDEX(Roster!$I:$I,MATCH($C1876,Roster!$B:$B,0))&amp;""),"—"))</f>
        <v/>
      </c>
      <c r="K1876">
        <f>IF($C1876="","",IFERROR(IF(INDEX(Roster!$J:$J,MATCH($C1876,Roster!$B:$B,0))="","",INDEX(Roster!$J:$J,MATCH($C1876,Roster!$B:$B,0))&amp;""),"—"))</f>
        <v/>
      </c>
      <c r="L1876">
        <f>IF($C1876="","",IFERROR(IF(INDEX(Roster!$K:$K,MATCH($C1876,Roster!$B:$B,0))="","",INDEX(Roster!$K:$K,MATCH($C1876,Roster!$B:$B,0))&amp;""),"—"))</f>
        <v/>
      </c>
      <c r="M1876" s="27" t="n"/>
      <c r="N1876" s="27" t="n"/>
      <c r="O1876" s="25">
        <f>IF($C1876="","",IF($P1876="","—",IF($P1876="Valid (Pass)","Valid","Invalid")))</f>
        <v/>
      </c>
      <c r="P1876" s="27" t="n"/>
      <c r="Q1876" s="27" t="n"/>
      <c r="R1876" s="27" t="n"/>
      <c r="S1876" s="27" t="n"/>
      <c r="T1876" s="25">
        <f>IF($C1876="","",IF(OR(ISNUMBER(SEARCH("quick case",$P1876)),ISNUMBER(SEARCH("quick case",$Q1876))),"Yes","No"))</f>
        <v/>
      </c>
      <c r="U1876" s="25">
        <f>IF($O1876="Invalid",HYPERLINK("mailto:"&amp;$G1876&amp;";"&amp;$I1876&amp;"?cc="&amp;Lists!$E$2&amp;"&amp;subject="&amp;_xlfn.ENCODEURL("[INVALID] Quality audit monitoring completed for "&amp;UPPER($C1876))&amp;"&amp;body="&amp;_xlfn.ENCODEURL("Hi "&amp;$F1876&amp;","&amp;CHAR(10)&amp;"Good day!"&amp;CHAR(10)&amp;CHAR(10)&amp;"A quality monitoring audit has been completed for "&amp;$C1876&amp;"."&amp;CHAR(10)&amp;CHAR(10)&amp;"QUALITY AUDIT DETAILS"&amp;CHAR(10)&amp;"Agent Name: "&amp;$C1876&amp;" (EID "&amp;$D1876&amp;")"&amp;CHAR(10)&amp;"Audit Date: "&amp;TEXT($B1876,"yyyy-mm-dd")&amp;CHAR(10)&amp;"Team Leader: "&amp;$F1876&amp;CHAR(10)&amp;"Case Number: "&amp;$M1876&amp;CHAR(10)&amp;"Transaction ID: "&amp;$N1876&amp;CHAR(10)&amp;"Channel / LOB: "&amp;$K1876&amp;" / "&amp;$L1876&amp;CHAR(10)&amp;"Evaluator: "&amp;$S1876&amp;CHAR(10)&amp;CHAR(10)&amp;"INVALID QUALITY AUDIT DETAILS"&amp;CHAR(10)&amp;"Validation: Invalid"&amp;CHAR(10)&amp;"Invalid Reason: "&amp;$P1876&amp;CHAR(10)&amp;"Expected Resolution Code: "&amp;$Q1876&amp;CHAR(10)&amp;"Remarks: "&amp;LEFT($R1876,600)&amp;CHAR(10)&amp;CHAR(10)&amp;"This is an automated notification from HP Mainstream EQMS."),"✉ Open Email Draft"),"")</f>
        <v/>
      </c>
    </row>
    <row r="1877">
      <c r="A1877" s="25">
        <f>IF($C1877="","","AUD-2026-"&amp;TEXT(ROW()-1,"000000"))</f>
        <v/>
      </c>
      <c r="B1877" s="26" t="n"/>
      <c r="C1877" s="27" t="n"/>
      <c r="D1877" s="25">
        <f>IF($C1877="","",IFERROR(IF(INDEX(Roster!$A:$A,MATCH($C1877,Roster!$B:$B,0))="","",INDEX(Roster!$A:$A,MATCH($C1877,Roster!$B:$B,0))&amp;""),"—"))</f>
        <v/>
      </c>
      <c r="E1877" s="25">
        <f>IF($C1877="","",IFERROR(IF(INDEX(Roster!$C:$C,MATCH($C1877,Roster!$B:$B,0))="","",INDEX(Roster!$C:$C,MATCH($C1877,Roster!$B:$B,0))&amp;""),"—"))</f>
        <v/>
      </c>
      <c r="F1877" s="25">
        <f>IF($C1877="","",IFERROR(IF(INDEX(Roster!$D:$D,MATCH($C1877,Roster!$B:$B,0))="","",INDEX(Roster!$D:$D,MATCH($C1877,Roster!$B:$B,0))&amp;""),"—"))</f>
        <v/>
      </c>
      <c r="G1877" s="25">
        <f>IF($C1877="","",IFERROR(IF(INDEX(Roster!$E:$E,MATCH($C1877,Roster!$B:$B,0))="","",INDEX(Roster!$E:$E,MATCH($C1877,Roster!$B:$B,0))&amp;""),"—"))</f>
        <v/>
      </c>
      <c r="H1877" s="25">
        <f>IF($C1877="","",IFERROR(IF(INDEX(Roster!$F:$F,MATCH($C1877,Roster!$B:$B,0))="","",INDEX(Roster!$F:$F,MATCH($C1877,Roster!$B:$B,0))&amp;""),"—"))</f>
        <v/>
      </c>
      <c r="I1877" s="25">
        <f>IF($C1877="","",IFERROR(IF(INDEX(Roster!$G:$G,MATCH($C1877,Roster!$B:$B,0))="","",INDEX(Roster!$G:$G,MATCH($C1877,Roster!$B:$B,0))&amp;""),"—"))</f>
        <v/>
      </c>
      <c r="J1877" s="25">
        <f>IF($C1877="","",IFERROR(IF(INDEX(Roster!$I:$I,MATCH($C1877,Roster!$B:$B,0))="","",INDEX(Roster!$I:$I,MATCH($C1877,Roster!$B:$B,0))&amp;""),"—"))</f>
        <v/>
      </c>
      <c r="K1877">
        <f>IF($C1877="","",IFERROR(IF(INDEX(Roster!$J:$J,MATCH($C1877,Roster!$B:$B,0))="","",INDEX(Roster!$J:$J,MATCH($C1877,Roster!$B:$B,0))&amp;""),"—"))</f>
        <v/>
      </c>
      <c r="L1877">
        <f>IF($C1877="","",IFERROR(IF(INDEX(Roster!$K:$K,MATCH($C1877,Roster!$B:$B,0))="","",INDEX(Roster!$K:$K,MATCH($C1877,Roster!$B:$B,0))&amp;""),"—"))</f>
        <v/>
      </c>
      <c r="M1877" s="27" t="n"/>
      <c r="N1877" s="27" t="n"/>
      <c r="O1877" s="25">
        <f>IF($C1877="","",IF($P1877="","—",IF($P1877="Valid (Pass)","Valid","Invalid")))</f>
        <v/>
      </c>
      <c r="P1877" s="27" t="n"/>
      <c r="Q1877" s="27" t="n"/>
      <c r="R1877" s="27" t="n"/>
      <c r="S1877" s="27" t="n"/>
      <c r="T1877" s="25">
        <f>IF($C1877="","",IF(OR(ISNUMBER(SEARCH("quick case",$P1877)),ISNUMBER(SEARCH("quick case",$Q1877))),"Yes","No"))</f>
        <v/>
      </c>
      <c r="U1877" s="25">
        <f>IF($O1877="Invalid",HYPERLINK("mailto:"&amp;$G1877&amp;";"&amp;$I1877&amp;"?cc="&amp;Lists!$E$2&amp;"&amp;subject="&amp;_xlfn.ENCODEURL("[INVALID] Quality audit monitoring completed for "&amp;UPPER($C1877))&amp;"&amp;body="&amp;_xlfn.ENCODEURL("Hi "&amp;$F1877&amp;","&amp;CHAR(10)&amp;"Good day!"&amp;CHAR(10)&amp;CHAR(10)&amp;"A quality monitoring audit has been completed for "&amp;$C1877&amp;"."&amp;CHAR(10)&amp;CHAR(10)&amp;"QUALITY AUDIT DETAILS"&amp;CHAR(10)&amp;"Agent Name: "&amp;$C1877&amp;" (EID "&amp;$D1877&amp;")"&amp;CHAR(10)&amp;"Audit Date: "&amp;TEXT($B1877,"yyyy-mm-dd")&amp;CHAR(10)&amp;"Team Leader: "&amp;$F1877&amp;CHAR(10)&amp;"Case Number: "&amp;$M1877&amp;CHAR(10)&amp;"Transaction ID: "&amp;$N1877&amp;CHAR(10)&amp;"Channel / LOB: "&amp;$K1877&amp;" / "&amp;$L1877&amp;CHAR(10)&amp;"Evaluator: "&amp;$S1877&amp;CHAR(10)&amp;CHAR(10)&amp;"INVALID QUALITY AUDIT DETAILS"&amp;CHAR(10)&amp;"Validation: Invalid"&amp;CHAR(10)&amp;"Invalid Reason: "&amp;$P1877&amp;CHAR(10)&amp;"Expected Resolution Code: "&amp;$Q1877&amp;CHAR(10)&amp;"Remarks: "&amp;LEFT($R1877,600)&amp;CHAR(10)&amp;CHAR(10)&amp;"This is an automated notification from HP Mainstream EQMS."),"✉ Open Email Draft"),"")</f>
        <v/>
      </c>
    </row>
    <row r="1878">
      <c r="A1878" s="25">
        <f>IF($C1878="","","AUD-2026-"&amp;TEXT(ROW()-1,"000000"))</f>
        <v/>
      </c>
      <c r="B1878" s="26" t="n"/>
      <c r="C1878" s="27" t="n"/>
      <c r="D1878" s="25">
        <f>IF($C1878="","",IFERROR(IF(INDEX(Roster!$A:$A,MATCH($C1878,Roster!$B:$B,0))="","",INDEX(Roster!$A:$A,MATCH($C1878,Roster!$B:$B,0))&amp;""),"—"))</f>
        <v/>
      </c>
      <c r="E1878" s="25">
        <f>IF($C1878="","",IFERROR(IF(INDEX(Roster!$C:$C,MATCH($C1878,Roster!$B:$B,0))="","",INDEX(Roster!$C:$C,MATCH($C1878,Roster!$B:$B,0))&amp;""),"—"))</f>
        <v/>
      </c>
      <c r="F1878" s="25">
        <f>IF($C1878="","",IFERROR(IF(INDEX(Roster!$D:$D,MATCH($C1878,Roster!$B:$B,0))="","",INDEX(Roster!$D:$D,MATCH($C1878,Roster!$B:$B,0))&amp;""),"—"))</f>
        <v/>
      </c>
      <c r="G1878" s="25">
        <f>IF($C1878="","",IFERROR(IF(INDEX(Roster!$E:$E,MATCH($C1878,Roster!$B:$B,0))="","",INDEX(Roster!$E:$E,MATCH($C1878,Roster!$B:$B,0))&amp;""),"—"))</f>
        <v/>
      </c>
      <c r="H1878" s="25">
        <f>IF($C1878="","",IFERROR(IF(INDEX(Roster!$F:$F,MATCH($C1878,Roster!$B:$B,0))="","",INDEX(Roster!$F:$F,MATCH($C1878,Roster!$B:$B,0))&amp;""),"—"))</f>
        <v/>
      </c>
      <c r="I1878" s="25">
        <f>IF($C1878="","",IFERROR(IF(INDEX(Roster!$G:$G,MATCH($C1878,Roster!$B:$B,0))="","",INDEX(Roster!$G:$G,MATCH($C1878,Roster!$B:$B,0))&amp;""),"—"))</f>
        <v/>
      </c>
      <c r="J1878" s="25">
        <f>IF($C1878="","",IFERROR(IF(INDEX(Roster!$I:$I,MATCH($C1878,Roster!$B:$B,0))="","",INDEX(Roster!$I:$I,MATCH($C1878,Roster!$B:$B,0))&amp;""),"—"))</f>
        <v/>
      </c>
      <c r="K1878">
        <f>IF($C1878="","",IFERROR(IF(INDEX(Roster!$J:$J,MATCH($C1878,Roster!$B:$B,0))="","",INDEX(Roster!$J:$J,MATCH($C1878,Roster!$B:$B,0))&amp;""),"—"))</f>
        <v/>
      </c>
      <c r="L1878">
        <f>IF($C1878="","",IFERROR(IF(INDEX(Roster!$K:$K,MATCH($C1878,Roster!$B:$B,0))="","",INDEX(Roster!$K:$K,MATCH($C1878,Roster!$B:$B,0))&amp;""),"—"))</f>
        <v/>
      </c>
      <c r="M1878" s="27" t="n"/>
      <c r="N1878" s="27" t="n"/>
      <c r="O1878" s="25">
        <f>IF($C1878="","",IF($P1878="","—",IF($P1878="Valid (Pass)","Valid","Invalid")))</f>
        <v/>
      </c>
      <c r="P1878" s="27" t="n"/>
      <c r="Q1878" s="27" t="n"/>
      <c r="R1878" s="27" t="n"/>
      <c r="S1878" s="27" t="n"/>
      <c r="T1878" s="25">
        <f>IF($C1878="","",IF(OR(ISNUMBER(SEARCH("quick case",$P1878)),ISNUMBER(SEARCH("quick case",$Q1878))),"Yes","No"))</f>
        <v/>
      </c>
      <c r="U1878" s="25">
        <f>IF($O1878="Invalid",HYPERLINK("mailto:"&amp;$G1878&amp;";"&amp;$I1878&amp;"?cc="&amp;Lists!$E$2&amp;"&amp;subject="&amp;_xlfn.ENCODEURL("[INVALID] Quality audit monitoring completed for "&amp;UPPER($C1878))&amp;"&amp;body="&amp;_xlfn.ENCODEURL("Hi "&amp;$F1878&amp;","&amp;CHAR(10)&amp;"Good day!"&amp;CHAR(10)&amp;CHAR(10)&amp;"A quality monitoring audit has been completed for "&amp;$C1878&amp;"."&amp;CHAR(10)&amp;CHAR(10)&amp;"QUALITY AUDIT DETAILS"&amp;CHAR(10)&amp;"Agent Name: "&amp;$C1878&amp;" (EID "&amp;$D1878&amp;")"&amp;CHAR(10)&amp;"Audit Date: "&amp;TEXT($B1878,"yyyy-mm-dd")&amp;CHAR(10)&amp;"Team Leader: "&amp;$F1878&amp;CHAR(10)&amp;"Case Number: "&amp;$M1878&amp;CHAR(10)&amp;"Transaction ID: "&amp;$N1878&amp;CHAR(10)&amp;"Channel / LOB: "&amp;$K1878&amp;" / "&amp;$L1878&amp;CHAR(10)&amp;"Evaluator: "&amp;$S1878&amp;CHAR(10)&amp;CHAR(10)&amp;"INVALID QUALITY AUDIT DETAILS"&amp;CHAR(10)&amp;"Validation: Invalid"&amp;CHAR(10)&amp;"Invalid Reason: "&amp;$P1878&amp;CHAR(10)&amp;"Expected Resolution Code: "&amp;$Q1878&amp;CHAR(10)&amp;"Remarks: "&amp;LEFT($R1878,600)&amp;CHAR(10)&amp;CHAR(10)&amp;"This is an automated notification from HP Mainstream EQMS."),"✉ Open Email Draft"),"")</f>
        <v/>
      </c>
    </row>
    <row r="1879">
      <c r="A1879" s="25">
        <f>IF($C1879="","","AUD-2026-"&amp;TEXT(ROW()-1,"000000"))</f>
        <v/>
      </c>
      <c r="B1879" s="26" t="n"/>
      <c r="C1879" s="27" t="n"/>
      <c r="D1879" s="25">
        <f>IF($C1879="","",IFERROR(IF(INDEX(Roster!$A:$A,MATCH($C1879,Roster!$B:$B,0))="","",INDEX(Roster!$A:$A,MATCH($C1879,Roster!$B:$B,0))&amp;""),"—"))</f>
        <v/>
      </c>
      <c r="E1879" s="25">
        <f>IF($C1879="","",IFERROR(IF(INDEX(Roster!$C:$C,MATCH($C1879,Roster!$B:$B,0))="","",INDEX(Roster!$C:$C,MATCH($C1879,Roster!$B:$B,0))&amp;""),"—"))</f>
        <v/>
      </c>
      <c r="F1879" s="25">
        <f>IF($C1879="","",IFERROR(IF(INDEX(Roster!$D:$D,MATCH($C1879,Roster!$B:$B,0))="","",INDEX(Roster!$D:$D,MATCH($C1879,Roster!$B:$B,0))&amp;""),"—"))</f>
        <v/>
      </c>
      <c r="G1879" s="25">
        <f>IF($C1879="","",IFERROR(IF(INDEX(Roster!$E:$E,MATCH($C1879,Roster!$B:$B,0))="","",INDEX(Roster!$E:$E,MATCH($C1879,Roster!$B:$B,0))&amp;""),"—"))</f>
        <v/>
      </c>
      <c r="H1879" s="25">
        <f>IF($C1879="","",IFERROR(IF(INDEX(Roster!$F:$F,MATCH($C1879,Roster!$B:$B,0))="","",INDEX(Roster!$F:$F,MATCH($C1879,Roster!$B:$B,0))&amp;""),"—"))</f>
        <v/>
      </c>
      <c r="I1879" s="25">
        <f>IF($C1879="","",IFERROR(IF(INDEX(Roster!$G:$G,MATCH($C1879,Roster!$B:$B,0))="","",INDEX(Roster!$G:$G,MATCH($C1879,Roster!$B:$B,0))&amp;""),"—"))</f>
        <v/>
      </c>
      <c r="J1879" s="25">
        <f>IF($C1879="","",IFERROR(IF(INDEX(Roster!$I:$I,MATCH($C1879,Roster!$B:$B,0))="","",INDEX(Roster!$I:$I,MATCH($C1879,Roster!$B:$B,0))&amp;""),"—"))</f>
        <v/>
      </c>
      <c r="K1879">
        <f>IF($C1879="","",IFERROR(IF(INDEX(Roster!$J:$J,MATCH($C1879,Roster!$B:$B,0))="","",INDEX(Roster!$J:$J,MATCH($C1879,Roster!$B:$B,0))&amp;""),"—"))</f>
        <v/>
      </c>
      <c r="L1879">
        <f>IF($C1879="","",IFERROR(IF(INDEX(Roster!$K:$K,MATCH($C1879,Roster!$B:$B,0))="","",INDEX(Roster!$K:$K,MATCH($C1879,Roster!$B:$B,0))&amp;""),"—"))</f>
        <v/>
      </c>
      <c r="M1879" s="27" t="n"/>
      <c r="N1879" s="27" t="n"/>
      <c r="O1879" s="25">
        <f>IF($C1879="","",IF($P1879="","—",IF($P1879="Valid (Pass)","Valid","Invalid")))</f>
        <v/>
      </c>
      <c r="P1879" s="27" t="n"/>
      <c r="Q1879" s="27" t="n"/>
      <c r="R1879" s="27" t="n"/>
      <c r="S1879" s="27" t="n"/>
      <c r="T1879" s="25">
        <f>IF($C1879="","",IF(OR(ISNUMBER(SEARCH("quick case",$P1879)),ISNUMBER(SEARCH("quick case",$Q1879))),"Yes","No"))</f>
        <v/>
      </c>
      <c r="U1879" s="25">
        <f>IF($O1879="Invalid",HYPERLINK("mailto:"&amp;$G1879&amp;";"&amp;$I1879&amp;"?cc="&amp;Lists!$E$2&amp;"&amp;subject="&amp;_xlfn.ENCODEURL("[INVALID] Quality audit monitoring completed for "&amp;UPPER($C1879))&amp;"&amp;body="&amp;_xlfn.ENCODEURL("Hi "&amp;$F1879&amp;","&amp;CHAR(10)&amp;"Good day!"&amp;CHAR(10)&amp;CHAR(10)&amp;"A quality monitoring audit has been completed for "&amp;$C1879&amp;"."&amp;CHAR(10)&amp;CHAR(10)&amp;"QUALITY AUDIT DETAILS"&amp;CHAR(10)&amp;"Agent Name: "&amp;$C1879&amp;" (EID "&amp;$D1879&amp;")"&amp;CHAR(10)&amp;"Audit Date: "&amp;TEXT($B1879,"yyyy-mm-dd")&amp;CHAR(10)&amp;"Team Leader: "&amp;$F1879&amp;CHAR(10)&amp;"Case Number: "&amp;$M1879&amp;CHAR(10)&amp;"Transaction ID: "&amp;$N1879&amp;CHAR(10)&amp;"Channel / LOB: "&amp;$K1879&amp;" / "&amp;$L1879&amp;CHAR(10)&amp;"Evaluator: "&amp;$S1879&amp;CHAR(10)&amp;CHAR(10)&amp;"INVALID QUALITY AUDIT DETAILS"&amp;CHAR(10)&amp;"Validation: Invalid"&amp;CHAR(10)&amp;"Invalid Reason: "&amp;$P1879&amp;CHAR(10)&amp;"Expected Resolution Code: "&amp;$Q1879&amp;CHAR(10)&amp;"Remarks: "&amp;LEFT($R1879,600)&amp;CHAR(10)&amp;CHAR(10)&amp;"This is an automated notification from HP Mainstream EQMS."),"✉ Open Email Draft"),"")</f>
        <v/>
      </c>
    </row>
    <row r="1880">
      <c r="A1880" s="25">
        <f>IF($C1880="","","AUD-2026-"&amp;TEXT(ROW()-1,"000000"))</f>
        <v/>
      </c>
      <c r="B1880" s="26" t="n"/>
      <c r="C1880" s="27" t="n"/>
      <c r="D1880" s="25">
        <f>IF($C1880="","",IFERROR(IF(INDEX(Roster!$A:$A,MATCH($C1880,Roster!$B:$B,0))="","",INDEX(Roster!$A:$A,MATCH($C1880,Roster!$B:$B,0))&amp;""),"—"))</f>
        <v/>
      </c>
      <c r="E1880" s="25">
        <f>IF($C1880="","",IFERROR(IF(INDEX(Roster!$C:$C,MATCH($C1880,Roster!$B:$B,0))="","",INDEX(Roster!$C:$C,MATCH($C1880,Roster!$B:$B,0))&amp;""),"—"))</f>
        <v/>
      </c>
      <c r="F1880" s="25">
        <f>IF($C1880="","",IFERROR(IF(INDEX(Roster!$D:$D,MATCH($C1880,Roster!$B:$B,0))="","",INDEX(Roster!$D:$D,MATCH($C1880,Roster!$B:$B,0))&amp;""),"—"))</f>
        <v/>
      </c>
      <c r="G1880" s="25">
        <f>IF($C1880="","",IFERROR(IF(INDEX(Roster!$E:$E,MATCH($C1880,Roster!$B:$B,0))="","",INDEX(Roster!$E:$E,MATCH($C1880,Roster!$B:$B,0))&amp;""),"—"))</f>
        <v/>
      </c>
      <c r="H1880" s="25">
        <f>IF($C1880="","",IFERROR(IF(INDEX(Roster!$F:$F,MATCH($C1880,Roster!$B:$B,0))="","",INDEX(Roster!$F:$F,MATCH($C1880,Roster!$B:$B,0))&amp;""),"—"))</f>
        <v/>
      </c>
      <c r="I1880" s="25">
        <f>IF($C1880="","",IFERROR(IF(INDEX(Roster!$G:$G,MATCH($C1880,Roster!$B:$B,0))="","",INDEX(Roster!$G:$G,MATCH($C1880,Roster!$B:$B,0))&amp;""),"—"))</f>
        <v/>
      </c>
      <c r="J1880" s="25">
        <f>IF($C1880="","",IFERROR(IF(INDEX(Roster!$I:$I,MATCH($C1880,Roster!$B:$B,0))="","",INDEX(Roster!$I:$I,MATCH($C1880,Roster!$B:$B,0))&amp;""),"—"))</f>
        <v/>
      </c>
      <c r="K1880">
        <f>IF($C1880="","",IFERROR(IF(INDEX(Roster!$J:$J,MATCH($C1880,Roster!$B:$B,0))="","",INDEX(Roster!$J:$J,MATCH($C1880,Roster!$B:$B,0))&amp;""),"—"))</f>
        <v/>
      </c>
      <c r="L1880">
        <f>IF($C1880="","",IFERROR(IF(INDEX(Roster!$K:$K,MATCH($C1880,Roster!$B:$B,0))="","",INDEX(Roster!$K:$K,MATCH($C1880,Roster!$B:$B,0))&amp;""),"—"))</f>
        <v/>
      </c>
      <c r="M1880" s="27" t="n"/>
      <c r="N1880" s="27" t="n"/>
      <c r="O1880" s="25">
        <f>IF($C1880="","",IF($P1880="","—",IF($P1880="Valid (Pass)","Valid","Invalid")))</f>
        <v/>
      </c>
      <c r="P1880" s="27" t="n"/>
      <c r="Q1880" s="27" t="n"/>
      <c r="R1880" s="27" t="n"/>
      <c r="S1880" s="27" t="n"/>
      <c r="T1880" s="25">
        <f>IF($C1880="","",IF(OR(ISNUMBER(SEARCH("quick case",$P1880)),ISNUMBER(SEARCH("quick case",$Q1880))),"Yes","No"))</f>
        <v/>
      </c>
      <c r="U1880" s="25">
        <f>IF($O1880="Invalid",HYPERLINK("mailto:"&amp;$G1880&amp;";"&amp;$I1880&amp;"?cc="&amp;Lists!$E$2&amp;"&amp;subject="&amp;_xlfn.ENCODEURL("[INVALID] Quality audit monitoring completed for "&amp;UPPER($C1880))&amp;"&amp;body="&amp;_xlfn.ENCODEURL("Hi "&amp;$F1880&amp;","&amp;CHAR(10)&amp;"Good day!"&amp;CHAR(10)&amp;CHAR(10)&amp;"A quality monitoring audit has been completed for "&amp;$C1880&amp;"."&amp;CHAR(10)&amp;CHAR(10)&amp;"QUALITY AUDIT DETAILS"&amp;CHAR(10)&amp;"Agent Name: "&amp;$C1880&amp;" (EID "&amp;$D1880&amp;")"&amp;CHAR(10)&amp;"Audit Date: "&amp;TEXT($B1880,"yyyy-mm-dd")&amp;CHAR(10)&amp;"Team Leader: "&amp;$F1880&amp;CHAR(10)&amp;"Case Number: "&amp;$M1880&amp;CHAR(10)&amp;"Transaction ID: "&amp;$N1880&amp;CHAR(10)&amp;"Channel / LOB: "&amp;$K1880&amp;" / "&amp;$L1880&amp;CHAR(10)&amp;"Evaluator: "&amp;$S1880&amp;CHAR(10)&amp;CHAR(10)&amp;"INVALID QUALITY AUDIT DETAILS"&amp;CHAR(10)&amp;"Validation: Invalid"&amp;CHAR(10)&amp;"Invalid Reason: "&amp;$P1880&amp;CHAR(10)&amp;"Expected Resolution Code: "&amp;$Q1880&amp;CHAR(10)&amp;"Remarks: "&amp;LEFT($R1880,600)&amp;CHAR(10)&amp;CHAR(10)&amp;"This is an automated notification from HP Mainstream EQMS."),"✉ Open Email Draft"),"")</f>
        <v/>
      </c>
    </row>
    <row r="1881">
      <c r="A1881" s="25">
        <f>IF($C1881="","","AUD-2026-"&amp;TEXT(ROW()-1,"000000"))</f>
        <v/>
      </c>
      <c r="B1881" s="26" t="n"/>
      <c r="C1881" s="27" t="n"/>
      <c r="D1881" s="25">
        <f>IF($C1881="","",IFERROR(IF(INDEX(Roster!$A:$A,MATCH($C1881,Roster!$B:$B,0))="","",INDEX(Roster!$A:$A,MATCH($C1881,Roster!$B:$B,0))&amp;""),"—"))</f>
        <v/>
      </c>
      <c r="E1881" s="25">
        <f>IF($C1881="","",IFERROR(IF(INDEX(Roster!$C:$C,MATCH($C1881,Roster!$B:$B,0))="","",INDEX(Roster!$C:$C,MATCH($C1881,Roster!$B:$B,0))&amp;""),"—"))</f>
        <v/>
      </c>
      <c r="F1881" s="25">
        <f>IF($C1881="","",IFERROR(IF(INDEX(Roster!$D:$D,MATCH($C1881,Roster!$B:$B,0))="","",INDEX(Roster!$D:$D,MATCH($C1881,Roster!$B:$B,0))&amp;""),"—"))</f>
        <v/>
      </c>
      <c r="G1881" s="25">
        <f>IF($C1881="","",IFERROR(IF(INDEX(Roster!$E:$E,MATCH($C1881,Roster!$B:$B,0))="","",INDEX(Roster!$E:$E,MATCH($C1881,Roster!$B:$B,0))&amp;""),"—"))</f>
        <v/>
      </c>
      <c r="H1881" s="25">
        <f>IF($C1881="","",IFERROR(IF(INDEX(Roster!$F:$F,MATCH($C1881,Roster!$B:$B,0))="","",INDEX(Roster!$F:$F,MATCH($C1881,Roster!$B:$B,0))&amp;""),"—"))</f>
        <v/>
      </c>
      <c r="I1881" s="25">
        <f>IF($C1881="","",IFERROR(IF(INDEX(Roster!$G:$G,MATCH($C1881,Roster!$B:$B,0))="","",INDEX(Roster!$G:$G,MATCH($C1881,Roster!$B:$B,0))&amp;""),"—"))</f>
        <v/>
      </c>
      <c r="J1881" s="25">
        <f>IF($C1881="","",IFERROR(IF(INDEX(Roster!$I:$I,MATCH($C1881,Roster!$B:$B,0))="","",INDEX(Roster!$I:$I,MATCH($C1881,Roster!$B:$B,0))&amp;""),"—"))</f>
        <v/>
      </c>
      <c r="K1881">
        <f>IF($C1881="","",IFERROR(IF(INDEX(Roster!$J:$J,MATCH($C1881,Roster!$B:$B,0))="","",INDEX(Roster!$J:$J,MATCH($C1881,Roster!$B:$B,0))&amp;""),"—"))</f>
        <v/>
      </c>
      <c r="L1881">
        <f>IF($C1881="","",IFERROR(IF(INDEX(Roster!$K:$K,MATCH($C1881,Roster!$B:$B,0))="","",INDEX(Roster!$K:$K,MATCH($C1881,Roster!$B:$B,0))&amp;""),"—"))</f>
        <v/>
      </c>
      <c r="M1881" s="27" t="n"/>
      <c r="N1881" s="27" t="n"/>
      <c r="O1881" s="25">
        <f>IF($C1881="","",IF($P1881="","—",IF($P1881="Valid (Pass)","Valid","Invalid")))</f>
        <v/>
      </c>
      <c r="P1881" s="27" t="n"/>
      <c r="Q1881" s="27" t="n"/>
      <c r="R1881" s="27" t="n"/>
      <c r="S1881" s="27" t="n"/>
      <c r="T1881" s="25">
        <f>IF($C1881="","",IF(OR(ISNUMBER(SEARCH("quick case",$P1881)),ISNUMBER(SEARCH("quick case",$Q1881))),"Yes","No"))</f>
        <v/>
      </c>
      <c r="U1881" s="25">
        <f>IF($O1881="Invalid",HYPERLINK("mailto:"&amp;$G1881&amp;";"&amp;$I1881&amp;"?cc="&amp;Lists!$E$2&amp;"&amp;subject="&amp;_xlfn.ENCODEURL("[INVALID] Quality audit monitoring completed for "&amp;UPPER($C1881))&amp;"&amp;body="&amp;_xlfn.ENCODEURL("Hi "&amp;$F1881&amp;","&amp;CHAR(10)&amp;"Good day!"&amp;CHAR(10)&amp;CHAR(10)&amp;"A quality monitoring audit has been completed for "&amp;$C1881&amp;"."&amp;CHAR(10)&amp;CHAR(10)&amp;"QUALITY AUDIT DETAILS"&amp;CHAR(10)&amp;"Agent Name: "&amp;$C1881&amp;" (EID "&amp;$D1881&amp;")"&amp;CHAR(10)&amp;"Audit Date: "&amp;TEXT($B1881,"yyyy-mm-dd")&amp;CHAR(10)&amp;"Team Leader: "&amp;$F1881&amp;CHAR(10)&amp;"Case Number: "&amp;$M1881&amp;CHAR(10)&amp;"Transaction ID: "&amp;$N1881&amp;CHAR(10)&amp;"Channel / LOB: "&amp;$K1881&amp;" / "&amp;$L1881&amp;CHAR(10)&amp;"Evaluator: "&amp;$S1881&amp;CHAR(10)&amp;CHAR(10)&amp;"INVALID QUALITY AUDIT DETAILS"&amp;CHAR(10)&amp;"Validation: Invalid"&amp;CHAR(10)&amp;"Invalid Reason: "&amp;$P1881&amp;CHAR(10)&amp;"Expected Resolution Code: "&amp;$Q1881&amp;CHAR(10)&amp;"Remarks: "&amp;LEFT($R1881,600)&amp;CHAR(10)&amp;CHAR(10)&amp;"This is an automated notification from HP Mainstream EQMS."),"✉ Open Email Draft"),"")</f>
        <v/>
      </c>
    </row>
    <row r="1882">
      <c r="A1882" s="25">
        <f>IF($C1882="","","AUD-2026-"&amp;TEXT(ROW()-1,"000000"))</f>
        <v/>
      </c>
      <c r="B1882" s="26" t="n"/>
      <c r="C1882" s="27" t="n"/>
      <c r="D1882" s="25">
        <f>IF($C1882="","",IFERROR(IF(INDEX(Roster!$A:$A,MATCH($C1882,Roster!$B:$B,0))="","",INDEX(Roster!$A:$A,MATCH($C1882,Roster!$B:$B,0))&amp;""),"—"))</f>
        <v/>
      </c>
      <c r="E1882" s="25">
        <f>IF($C1882="","",IFERROR(IF(INDEX(Roster!$C:$C,MATCH($C1882,Roster!$B:$B,0))="","",INDEX(Roster!$C:$C,MATCH($C1882,Roster!$B:$B,0))&amp;""),"—"))</f>
        <v/>
      </c>
      <c r="F1882" s="25">
        <f>IF($C1882="","",IFERROR(IF(INDEX(Roster!$D:$D,MATCH($C1882,Roster!$B:$B,0))="","",INDEX(Roster!$D:$D,MATCH($C1882,Roster!$B:$B,0))&amp;""),"—"))</f>
        <v/>
      </c>
      <c r="G1882" s="25">
        <f>IF($C1882="","",IFERROR(IF(INDEX(Roster!$E:$E,MATCH($C1882,Roster!$B:$B,0))="","",INDEX(Roster!$E:$E,MATCH($C1882,Roster!$B:$B,0))&amp;""),"—"))</f>
        <v/>
      </c>
      <c r="H1882" s="25">
        <f>IF($C1882="","",IFERROR(IF(INDEX(Roster!$F:$F,MATCH($C1882,Roster!$B:$B,0))="","",INDEX(Roster!$F:$F,MATCH($C1882,Roster!$B:$B,0))&amp;""),"—"))</f>
        <v/>
      </c>
      <c r="I1882" s="25">
        <f>IF($C1882="","",IFERROR(IF(INDEX(Roster!$G:$G,MATCH($C1882,Roster!$B:$B,0))="","",INDEX(Roster!$G:$G,MATCH($C1882,Roster!$B:$B,0))&amp;""),"—"))</f>
        <v/>
      </c>
      <c r="J1882" s="25">
        <f>IF($C1882="","",IFERROR(IF(INDEX(Roster!$I:$I,MATCH($C1882,Roster!$B:$B,0))="","",INDEX(Roster!$I:$I,MATCH($C1882,Roster!$B:$B,0))&amp;""),"—"))</f>
        <v/>
      </c>
      <c r="K1882">
        <f>IF($C1882="","",IFERROR(IF(INDEX(Roster!$J:$J,MATCH($C1882,Roster!$B:$B,0))="","",INDEX(Roster!$J:$J,MATCH($C1882,Roster!$B:$B,0))&amp;""),"—"))</f>
        <v/>
      </c>
      <c r="L1882">
        <f>IF($C1882="","",IFERROR(IF(INDEX(Roster!$K:$K,MATCH($C1882,Roster!$B:$B,0))="","",INDEX(Roster!$K:$K,MATCH($C1882,Roster!$B:$B,0))&amp;""),"—"))</f>
        <v/>
      </c>
      <c r="M1882" s="27" t="n"/>
      <c r="N1882" s="27" t="n"/>
      <c r="O1882" s="25">
        <f>IF($C1882="","",IF($P1882="","—",IF($P1882="Valid (Pass)","Valid","Invalid")))</f>
        <v/>
      </c>
      <c r="P1882" s="27" t="n"/>
      <c r="Q1882" s="27" t="n"/>
      <c r="R1882" s="27" t="n"/>
      <c r="S1882" s="27" t="n"/>
      <c r="T1882" s="25">
        <f>IF($C1882="","",IF(OR(ISNUMBER(SEARCH("quick case",$P1882)),ISNUMBER(SEARCH("quick case",$Q1882))),"Yes","No"))</f>
        <v/>
      </c>
      <c r="U1882" s="25">
        <f>IF($O1882="Invalid",HYPERLINK("mailto:"&amp;$G1882&amp;";"&amp;$I1882&amp;"?cc="&amp;Lists!$E$2&amp;"&amp;subject="&amp;_xlfn.ENCODEURL("[INVALID] Quality audit monitoring completed for "&amp;UPPER($C1882))&amp;"&amp;body="&amp;_xlfn.ENCODEURL("Hi "&amp;$F1882&amp;","&amp;CHAR(10)&amp;"Good day!"&amp;CHAR(10)&amp;CHAR(10)&amp;"A quality monitoring audit has been completed for "&amp;$C1882&amp;"."&amp;CHAR(10)&amp;CHAR(10)&amp;"QUALITY AUDIT DETAILS"&amp;CHAR(10)&amp;"Agent Name: "&amp;$C1882&amp;" (EID "&amp;$D1882&amp;")"&amp;CHAR(10)&amp;"Audit Date: "&amp;TEXT($B1882,"yyyy-mm-dd")&amp;CHAR(10)&amp;"Team Leader: "&amp;$F1882&amp;CHAR(10)&amp;"Case Number: "&amp;$M1882&amp;CHAR(10)&amp;"Transaction ID: "&amp;$N1882&amp;CHAR(10)&amp;"Channel / LOB: "&amp;$K1882&amp;" / "&amp;$L1882&amp;CHAR(10)&amp;"Evaluator: "&amp;$S1882&amp;CHAR(10)&amp;CHAR(10)&amp;"INVALID QUALITY AUDIT DETAILS"&amp;CHAR(10)&amp;"Validation: Invalid"&amp;CHAR(10)&amp;"Invalid Reason: "&amp;$P1882&amp;CHAR(10)&amp;"Expected Resolution Code: "&amp;$Q1882&amp;CHAR(10)&amp;"Remarks: "&amp;LEFT($R1882,600)&amp;CHAR(10)&amp;CHAR(10)&amp;"This is an automated notification from HP Mainstream EQMS."),"✉ Open Email Draft"),"")</f>
        <v/>
      </c>
    </row>
    <row r="1883">
      <c r="A1883" s="25">
        <f>IF($C1883="","","AUD-2026-"&amp;TEXT(ROW()-1,"000000"))</f>
        <v/>
      </c>
      <c r="B1883" s="26" t="n"/>
      <c r="C1883" s="27" t="n"/>
      <c r="D1883" s="25">
        <f>IF($C1883="","",IFERROR(IF(INDEX(Roster!$A:$A,MATCH($C1883,Roster!$B:$B,0))="","",INDEX(Roster!$A:$A,MATCH($C1883,Roster!$B:$B,0))&amp;""),"—"))</f>
        <v/>
      </c>
      <c r="E1883" s="25">
        <f>IF($C1883="","",IFERROR(IF(INDEX(Roster!$C:$C,MATCH($C1883,Roster!$B:$B,0))="","",INDEX(Roster!$C:$C,MATCH($C1883,Roster!$B:$B,0))&amp;""),"—"))</f>
        <v/>
      </c>
      <c r="F1883" s="25">
        <f>IF($C1883="","",IFERROR(IF(INDEX(Roster!$D:$D,MATCH($C1883,Roster!$B:$B,0))="","",INDEX(Roster!$D:$D,MATCH($C1883,Roster!$B:$B,0))&amp;""),"—"))</f>
        <v/>
      </c>
      <c r="G1883" s="25">
        <f>IF($C1883="","",IFERROR(IF(INDEX(Roster!$E:$E,MATCH($C1883,Roster!$B:$B,0))="","",INDEX(Roster!$E:$E,MATCH($C1883,Roster!$B:$B,0))&amp;""),"—"))</f>
        <v/>
      </c>
      <c r="H1883" s="25">
        <f>IF($C1883="","",IFERROR(IF(INDEX(Roster!$F:$F,MATCH($C1883,Roster!$B:$B,0))="","",INDEX(Roster!$F:$F,MATCH($C1883,Roster!$B:$B,0))&amp;""),"—"))</f>
        <v/>
      </c>
      <c r="I1883" s="25">
        <f>IF($C1883="","",IFERROR(IF(INDEX(Roster!$G:$G,MATCH($C1883,Roster!$B:$B,0))="","",INDEX(Roster!$G:$G,MATCH($C1883,Roster!$B:$B,0))&amp;""),"—"))</f>
        <v/>
      </c>
      <c r="J1883" s="25">
        <f>IF($C1883="","",IFERROR(IF(INDEX(Roster!$I:$I,MATCH($C1883,Roster!$B:$B,0))="","",INDEX(Roster!$I:$I,MATCH($C1883,Roster!$B:$B,0))&amp;""),"—"))</f>
        <v/>
      </c>
      <c r="K1883">
        <f>IF($C1883="","",IFERROR(IF(INDEX(Roster!$J:$J,MATCH($C1883,Roster!$B:$B,0))="","",INDEX(Roster!$J:$J,MATCH($C1883,Roster!$B:$B,0))&amp;""),"—"))</f>
        <v/>
      </c>
      <c r="L1883">
        <f>IF($C1883="","",IFERROR(IF(INDEX(Roster!$K:$K,MATCH($C1883,Roster!$B:$B,0))="","",INDEX(Roster!$K:$K,MATCH($C1883,Roster!$B:$B,0))&amp;""),"—"))</f>
        <v/>
      </c>
      <c r="M1883" s="27" t="n"/>
      <c r="N1883" s="27" t="n"/>
      <c r="O1883" s="25">
        <f>IF($C1883="","",IF($P1883="","—",IF($P1883="Valid (Pass)","Valid","Invalid")))</f>
        <v/>
      </c>
      <c r="P1883" s="27" t="n"/>
      <c r="Q1883" s="27" t="n"/>
      <c r="R1883" s="27" t="n"/>
      <c r="S1883" s="27" t="n"/>
      <c r="T1883" s="25">
        <f>IF($C1883="","",IF(OR(ISNUMBER(SEARCH("quick case",$P1883)),ISNUMBER(SEARCH("quick case",$Q1883))),"Yes","No"))</f>
        <v/>
      </c>
      <c r="U1883" s="25">
        <f>IF($O1883="Invalid",HYPERLINK("mailto:"&amp;$G1883&amp;";"&amp;$I1883&amp;"?cc="&amp;Lists!$E$2&amp;"&amp;subject="&amp;_xlfn.ENCODEURL("[INVALID] Quality audit monitoring completed for "&amp;UPPER($C1883))&amp;"&amp;body="&amp;_xlfn.ENCODEURL("Hi "&amp;$F1883&amp;","&amp;CHAR(10)&amp;"Good day!"&amp;CHAR(10)&amp;CHAR(10)&amp;"A quality monitoring audit has been completed for "&amp;$C1883&amp;"."&amp;CHAR(10)&amp;CHAR(10)&amp;"QUALITY AUDIT DETAILS"&amp;CHAR(10)&amp;"Agent Name: "&amp;$C1883&amp;" (EID "&amp;$D1883&amp;")"&amp;CHAR(10)&amp;"Audit Date: "&amp;TEXT($B1883,"yyyy-mm-dd")&amp;CHAR(10)&amp;"Team Leader: "&amp;$F1883&amp;CHAR(10)&amp;"Case Number: "&amp;$M1883&amp;CHAR(10)&amp;"Transaction ID: "&amp;$N1883&amp;CHAR(10)&amp;"Channel / LOB: "&amp;$K1883&amp;" / "&amp;$L1883&amp;CHAR(10)&amp;"Evaluator: "&amp;$S1883&amp;CHAR(10)&amp;CHAR(10)&amp;"INVALID QUALITY AUDIT DETAILS"&amp;CHAR(10)&amp;"Validation: Invalid"&amp;CHAR(10)&amp;"Invalid Reason: "&amp;$P1883&amp;CHAR(10)&amp;"Expected Resolution Code: "&amp;$Q1883&amp;CHAR(10)&amp;"Remarks: "&amp;LEFT($R1883,600)&amp;CHAR(10)&amp;CHAR(10)&amp;"This is an automated notification from HP Mainstream EQMS."),"✉ Open Email Draft"),"")</f>
        <v/>
      </c>
    </row>
    <row r="1884">
      <c r="A1884" s="25">
        <f>IF($C1884="","","AUD-2026-"&amp;TEXT(ROW()-1,"000000"))</f>
        <v/>
      </c>
      <c r="B1884" s="26" t="n"/>
      <c r="C1884" s="27" t="n"/>
      <c r="D1884" s="25">
        <f>IF($C1884="","",IFERROR(IF(INDEX(Roster!$A:$A,MATCH($C1884,Roster!$B:$B,0))="","",INDEX(Roster!$A:$A,MATCH($C1884,Roster!$B:$B,0))&amp;""),"—"))</f>
        <v/>
      </c>
      <c r="E1884" s="25">
        <f>IF($C1884="","",IFERROR(IF(INDEX(Roster!$C:$C,MATCH($C1884,Roster!$B:$B,0))="","",INDEX(Roster!$C:$C,MATCH($C1884,Roster!$B:$B,0))&amp;""),"—"))</f>
        <v/>
      </c>
      <c r="F1884" s="25">
        <f>IF($C1884="","",IFERROR(IF(INDEX(Roster!$D:$D,MATCH($C1884,Roster!$B:$B,0))="","",INDEX(Roster!$D:$D,MATCH($C1884,Roster!$B:$B,0))&amp;""),"—"))</f>
        <v/>
      </c>
      <c r="G1884" s="25">
        <f>IF($C1884="","",IFERROR(IF(INDEX(Roster!$E:$E,MATCH($C1884,Roster!$B:$B,0))="","",INDEX(Roster!$E:$E,MATCH($C1884,Roster!$B:$B,0))&amp;""),"—"))</f>
        <v/>
      </c>
      <c r="H1884" s="25">
        <f>IF($C1884="","",IFERROR(IF(INDEX(Roster!$F:$F,MATCH($C1884,Roster!$B:$B,0))="","",INDEX(Roster!$F:$F,MATCH($C1884,Roster!$B:$B,0))&amp;""),"—"))</f>
        <v/>
      </c>
      <c r="I1884" s="25">
        <f>IF($C1884="","",IFERROR(IF(INDEX(Roster!$G:$G,MATCH($C1884,Roster!$B:$B,0))="","",INDEX(Roster!$G:$G,MATCH($C1884,Roster!$B:$B,0))&amp;""),"—"))</f>
        <v/>
      </c>
      <c r="J1884" s="25">
        <f>IF($C1884="","",IFERROR(IF(INDEX(Roster!$I:$I,MATCH($C1884,Roster!$B:$B,0))="","",INDEX(Roster!$I:$I,MATCH($C1884,Roster!$B:$B,0))&amp;""),"—"))</f>
        <v/>
      </c>
      <c r="K1884">
        <f>IF($C1884="","",IFERROR(IF(INDEX(Roster!$J:$J,MATCH($C1884,Roster!$B:$B,0))="","",INDEX(Roster!$J:$J,MATCH($C1884,Roster!$B:$B,0))&amp;""),"—"))</f>
        <v/>
      </c>
      <c r="L1884">
        <f>IF($C1884="","",IFERROR(IF(INDEX(Roster!$K:$K,MATCH($C1884,Roster!$B:$B,0))="","",INDEX(Roster!$K:$K,MATCH($C1884,Roster!$B:$B,0))&amp;""),"—"))</f>
        <v/>
      </c>
      <c r="M1884" s="27" t="n"/>
      <c r="N1884" s="27" t="n"/>
      <c r="O1884" s="25">
        <f>IF($C1884="","",IF($P1884="","—",IF($P1884="Valid (Pass)","Valid","Invalid")))</f>
        <v/>
      </c>
      <c r="P1884" s="27" t="n"/>
      <c r="Q1884" s="27" t="n"/>
      <c r="R1884" s="27" t="n"/>
      <c r="S1884" s="27" t="n"/>
      <c r="T1884" s="25">
        <f>IF($C1884="","",IF(OR(ISNUMBER(SEARCH("quick case",$P1884)),ISNUMBER(SEARCH("quick case",$Q1884))),"Yes","No"))</f>
        <v/>
      </c>
      <c r="U1884" s="25">
        <f>IF($O1884="Invalid",HYPERLINK("mailto:"&amp;$G1884&amp;";"&amp;$I1884&amp;"?cc="&amp;Lists!$E$2&amp;"&amp;subject="&amp;_xlfn.ENCODEURL("[INVALID] Quality audit monitoring completed for "&amp;UPPER($C1884))&amp;"&amp;body="&amp;_xlfn.ENCODEURL("Hi "&amp;$F1884&amp;","&amp;CHAR(10)&amp;"Good day!"&amp;CHAR(10)&amp;CHAR(10)&amp;"A quality monitoring audit has been completed for "&amp;$C1884&amp;"."&amp;CHAR(10)&amp;CHAR(10)&amp;"QUALITY AUDIT DETAILS"&amp;CHAR(10)&amp;"Agent Name: "&amp;$C1884&amp;" (EID "&amp;$D1884&amp;")"&amp;CHAR(10)&amp;"Audit Date: "&amp;TEXT($B1884,"yyyy-mm-dd")&amp;CHAR(10)&amp;"Team Leader: "&amp;$F1884&amp;CHAR(10)&amp;"Case Number: "&amp;$M1884&amp;CHAR(10)&amp;"Transaction ID: "&amp;$N1884&amp;CHAR(10)&amp;"Channel / LOB: "&amp;$K1884&amp;" / "&amp;$L1884&amp;CHAR(10)&amp;"Evaluator: "&amp;$S1884&amp;CHAR(10)&amp;CHAR(10)&amp;"INVALID QUALITY AUDIT DETAILS"&amp;CHAR(10)&amp;"Validation: Invalid"&amp;CHAR(10)&amp;"Invalid Reason: "&amp;$P1884&amp;CHAR(10)&amp;"Expected Resolution Code: "&amp;$Q1884&amp;CHAR(10)&amp;"Remarks: "&amp;LEFT($R1884,600)&amp;CHAR(10)&amp;CHAR(10)&amp;"This is an automated notification from HP Mainstream EQMS."),"✉ Open Email Draft"),"")</f>
        <v/>
      </c>
    </row>
    <row r="1885">
      <c r="A1885" s="25">
        <f>IF($C1885="","","AUD-2026-"&amp;TEXT(ROW()-1,"000000"))</f>
        <v/>
      </c>
      <c r="B1885" s="26" t="n"/>
      <c r="C1885" s="27" t="n"/>
      <c r="D1885" s="25">
        <f>IF($C1885="","",IFERROR(IF(INDEX(Roster!$A:$A,MATCH($C1885,Roster!$B:$B,0))="","",INDEX(Roster!$A:$A,MATCH($C1885,Roster!$B:$B,0))&amp;""),"—"))</f>
        <v/>
      </c>
      <c r="E1885" s="25">
        <f>IF($C1885="","",IFERROR(IF(INDEX(Roster!$C:$C,MATCH($C1885,Roster!$B:$B,0))="","",INDEX(Roster!$C:$C,MATCH($C1885,Roster!$B:$B,0))&amp;""),"—"))</f>
        <v/>
      </c>
      <c r="F1885" s="25">
        <f>IF($C1885="","",IFERROR(IF(INDEX(Roster!$D:$D,MATCH($C1885,Roster!$B:$B,0))="","",INDEX(Roster!$D:$D,MATCH($C1885,Roster!$B:$B,0))&amp;""),"—"))</f>
        <v/>
      </c>
      <c r="G1885" s="25">
        <f>IF($C1885="","",IFERROR(IF(INDEX(Roster!$E:$E,MATCH($C1885,Roster!$B:$B,0))="","",INDEX(Roster!$E:$E,MATCH($C1885,Roster!$B:$B,0))&amp;""),"—"))</f>
        <v/>
      </c>
      <c r="H1885" s="25">
        <f>IF($C1885="","",IFERROR(IF(INDEX(Roster!$F:$F,MATCH($C1885,Roster!$B:$B,0))="","",INDEX(Roster!$F:$F,MATCH($C1885,Roster!$B:$B,0))&amp;""),"—"))</f>
        <v/>
      </c>
      <c r="I1885" s="25">
        <f>IF($C1885="","",IFERROR(IF(INDEX(Roster!$G:$G,MATCH($C1885,Roster!$B:$B,0))="","",INDEX(Roster!$G:$G,MATCH($C1885,Roster!$B:$B,0))&amp;""),"—"))</f>
        <v/>
      </c>
      <c r="J1885" s="25">
        <f>IF($C1885="","",IFERROR(IF(INDEX(Roster!$I:$I,MATCH($C1885,Roster!$B:$B,0))="","",INDEX(Roster!$I:$I,MATCH($C1885,Roster!$B:$B,0))&amp;""),"—"))</f>
        <v/>
      </c>
      <c r="K1885">
        <f>IF($C1885="","",IFERROR(IF(INDEX(Roster!$J:$J,MATCH($C1885,Roster!$B:$B,0))="","",INDEX(Roster!$J:$J,MATCH($C1885,Roster!$B:$B,0))&amp;""),"—"))</f>
        <v/>
      </c>
      <c r="L1885">
        <f>IF($C1885="","",IFERROR(IF(INDEX(Roster!$K:$K,MATCH($C1885,Roster!$B:$B,0))="","",INDEX(Roster!$K:$K,MATCH($C1885,Roster!$B:$B,0))&amp;""),"—"))</f>
        <v/>
      </c>
      <c r="M1885" s="27" t="n"/>
      <c r="N1885" s="27" t="n"/>
      <c r="O1885" s="25">
        <f>IF($C1885="","",IF($P1885="","—",IF($P1885="Valid (Pass)","Valid","Invalid")))</f>
        <v/>
      </c>
      <c r="P1885" s="27" t="n"/>
      <c r="Q1885" s="27" t="n"/>
      <c r="R1885" s="27" t="n"/>
      <c r="S1885" s="27" t="n"/>
      <c r="T1885" s="25">
        <f>IF($C1885="","",IF(OR(ISNUMBER(SEARCH("quick case",$P1885)),ISNUMBER(SEARCH("quick case",$Q1885))),"Yes","No"))</f>
        <v/>
      </c>
      <c r="U1885" s="25">
        <f>IF($O1885="Invalid",HYPERLINK("mailto:"&amp;$G1885&amp;";"&amp;$I1885&amp;"?cc="&amp;Lists!$E$2&amp;"&amp;subject="&amp;_xlfn.ENCODEURL("[INVALID] Quality audit monitoring completed for "&amp;UPPER($C1885))&amp;"&amp;body="&amp;_xlfn.ENCODEURL("Hi "&amp;$F1885&amp;","&amp;CHAR(10)&amp;"Good day!"&amp;CHAR(10)&amp;CHAR(10)&amp;"A quality monitoring audit has been completed for "&amp;$C1885&amp;"."&amp;CHAR(10)&amp;CHAR(10)&amp;"QUALITY AUDIT DETAILS"&amp;CHAR(10)&amp;"Agent Name: "&amp;$C1885&amp;" (EID "&amp;$D1885&amp;")"&amp;CHAR(10)&amp;"Audit Date: "&amp;TEXT($B1885,"yyyy-mm-dd")&amp;CHAR(10)&amp;"Team Leader: "&amp;$F1885&amp;CHAR(10)&amp;"Case Number: "&amp;$M1885&amp;CHAR(10)&amp;"Transaction ID: "&amp;$N1885&amp;CHAR(10)&amp;"Channel / LOB: "&amp;$K1885&amp;" / "&amp;$L1885&amp;CHAR(10)&amp;"Evaluator: "&amp;$S1885&amp;CHAR(10)&amp;CHAR(10)&amp;"INVALID QUALITY AUDIT DETAILS"&amp;CHAR(10)&amp;"Validation: Invalid"&amp;CHAR(10)&amp;"Invalid Reason: "&amp;$P1885&amp;CHAR(10)&amp;"Expected Resolution Code: "&amp;$Q1885&amp;CHAR(10)&amp;"Remarks: "&amp;LEFT($R1885,600)&amp;CHAR(10)&amp;CHAR(10)&amp;"This is an automated notification from HP Mainstream EQMS."),"✉ Open Email Draft"),"")</f>
        <v/>
      </c>
    </row>
    <row r="1886">
      <c r="A1886" s="25">
        <f>IF($C1886="","","AUD-2026-"&amp;TEXT(ROW()-1,"000000"))</f>
        <v/>
      </c>
      <c r="B1886" s="26" t="n"/>
      <c r="C1886" s="27" t="n"/>
      <c r="D1886" s="25">
        <f>IF($C1886="","",IFERROR(IF(INDEX(Roster!$A:$A,MATCH($C1886,Roster!$B:$B,0))="","",INDEX(Roster!$A:$A,MATCH($C1886,Roster!$B:$B,0))&amp;""),"—"))</f>
        <v/>
      </c>
      <c r="E1886" s="25">
        <f>IF($C1886="","",IFERROR(IF(INDEX(Roster!$C:$C,MATCH($C1886,Roster!$B:$B,0))="","",INDEX(Roster!$C:$C,MATCH($C1886,Roster!$B:$B,0))&amp;""),"—"))</f>
        <v/>
      </c>
      <c r="F1886" s="25">
        <f>IF($C1886="","",IFERROR(IF(INDEX(Roster!$D:$D,MATCH($C1886,Roster!$B:$B,0))="","",INDEX(Roster!$D:$D,MATCH($C1886,Roster!$B:$B,0))&amp;""),"—"))</f>
        <v/>
      </c>
      <c r="G1886" s="25">
        <f>IF($C1886="","",IFERROR(IF(INDEX(Roster!$E:$E,MATCH($C1886,Roster!$B:$B,0))="","",INDEX(Roster!$E:$E,MATCH($C1886,Roster!$B:$B,0))&amp;""),"—"))</f>
        <v/>
      </c>
      <c r="H1886" s="25">
        <f>IF($C1886="","",IFERROR(IF(INDEX(Roster!$F:$F,MATCH($C1886,Roster!$B:$B,0))="","",INDEX(Roster!$F:$F,MATCH($C1886,Roster!$B:$B,0))&amp;""),"—"))</f>
        <v/>
      </c>
      <c r="I1886" s="25">
        <f>IF($C1886="","",IFERROR(IF(INDEX(Roster!$G:$G,MATCH($C1886,Roster!$B:$B,0))="","",INDEX(Roster!$G:$G,MATCH($C1886,Roster!$B:$B,0))&amp;""),"—"))</f>
        <v/>
      </c>
      <c r="J1886" s="25">
        <f>IF($C1886="","",IFERROR(IF(INDEX(Roster!$I:$I,MATCH($C1886,Roster!$B:$B,0))="","",INDEX(Roster!$I:$I,MATCH($C1886,Roster!$B:$B,0))&amp;""),"—"))</f>
        <v/>
      </c>
      <c r="K1886">
        <f>IF($C1886="","",IFERROR(IF(INDEX(Roster!$J:$J,MATCH($C1886,Roster!$B:$B,0))="","",INDEX(Roster!$J:$J,MATCH($C1886,Roster!$B:$B,0))&amp;""),"—"))</f>
        <v/>
      </c>
      <c r="L1886">
        <f>IF($C1886="","",IFERROR(IF(INDEX(Roster!$K:$K,MATCH($C1886,Roster!$B:$B,0))="","",INDEX(Roster!$K:$K,MATCH($C1886,Roster!$B:$B,0))&amp;""),"—"))</f>
        <v/>
      </c>
      <c r="M1886" s="27" t="n"/>
      <c r="N1886" s="27" t="n"/>
      <c r="O1886" s="25">
        <f>IF($C1886="","",IF($P1886="","—",IF($P1886="Valid (Pass)","Valid","Invalid")))</f>
        <v/>
      </c>
      <c r="P1886" s="27" t="n"/>
      <c r="Q1886" s="27" t="n"/>
      <c r="R1886" s="27" t="n"/>
      <c r="S1886" s="27" t="n"/>
      <c r="T1886" s="25">
        <f>IF($C1886="","",IF(OR(ISNUMBER(SEARCH("quick case",$P1886)),ISNUMBER(SEARCH("quick case",$Q1886))),"Yes","No"))</f>
        <v/>
      </c>
      <c r="U1886" s="25">
        <f>IF($O1886="Invalid",HYPERLINK("mailto:"&amp;$G1886&amp;";"&amp;$I1886&amp;"?cc="&amp;Lists!$E$2&amp;"&amp;subject="&amp;_xlfn.ENCODEURL("[INVALID] Quality audit monitoring completed for "&amp;UPPER($C1886))&amp;"&amp;body="&amp;_xlfn.ENCODEURL("Hi "&amp;$F1886&amp;","&amp;CHAR(10)&amp;"Good day!"&amp;CHAR(10)&amp;CHAR(10)&amp;"A quality monitoring audit has been completed for "&amp;$C1886&amp;"."&amp;CHAR(10)&amp;CHAR(10)&amp;"QUALITY AUDIT DETAILS"&amp;CHAR(10)&amp;"Agent Name: "&amp;$C1886&amp;" (EID "&amp;$D1886&amp;")"&amp;CHAR(10)&amp;"Audit Date: "&amp;TEXT($B1886,"yyyy-mm-dd")&amp;CHAR(10)&amp;"Team Leader: "&amp;$F1886&amp;CHAR(10)&amp;"Case Number: "&amp;$M1886&amp;CHAR(10)&amp;"Transaction ID: "&amp;$N1886&amp;CHAR(10)&amp;"Channel / LOB: "&amp;$K1886&amp;" / "&amp;$L1886&amp;CHAR(10)&amp;"Evaluator: "&amp;$S1886&amp;CHAR(10)&amp;CHAR(10)&amp;"INVALID QUALITY AUDIT DETAILS"&amp;CHAR(10)&amp;"Validation: Invalid"&amp;CHAR(10)&amp;"Invalid Reason: "&amp;$P1886&amp;CHAR(10)&amp;"Expected Resolution Code: "&amp;$Q1886&amp;CHAR(10)&amp;"Remarks: "&amp;LEFT($R1886,600)&amp;CHAR(10)&amp;CHAR(10)&amp;"This is an automated notification from HP Mainstream EQMS."),"✉ Open Email Draft"),"")</f>
        <v/>
      </c>
    </row>
    <row r="1887">
      <c r="A1887" s="25">
        <f>IF($C1887="","","AUD-2026-"&amp;TEXT(ROW()-1,"000000"))</f>
        <v/>
      </c>
      <c r="B1887" s="26" t="n"/>
      <c r="C1887" s="27" t="n"/>
      <c r="D1887" s="25">
        <f>IF($C1887="","",IFERROR(IF(INDEX(Roster!$A:$A,MATCH($C1887,Roster!$B:$B,0))="","",INDEX(Roster!$A:$A,MATCH($C1887,Roster!$B:$B,0))&amp;""),"—"))</f>
        <v/>
      </c>
      <c r="E1887" s="25">
        <f>IF($C1887="","",IFERROR(IF(INDEX(Roster!$C:$C,MATCH($C1887,Roster!$B:$B,0))="","",INDEX(Roster!$C:$C,MATCH($C1887,Roster!$B:$B,0))&amp;""),"—"))</f>
        <v/>
      </c>
      <c r="F1887" s="25">
        <f>IF($C1887="","",IFERROR(IF(INDEX(Roster!$D:$D,MATCH($C1887,Roster!$B:$B,0))="","",INDEX(Roster!$D:$D,MATCH($C1887,Roster!$B:$B,0))&amp;""),"—"))</f>
        <v/>
      </c>
      <c r="G1887" s="25">
        <f>IF($C1887="","",IFERROR(IF(INDEX(Roster!$E:$E,MATCH($C1887,Roster!$B:$B,0))="","",INDEX(Roster!$E:$E,MATCH($C1887,Roster!$B:$B,0))&amp;""),"—"))</f>
        <v/>
      </c>
      <c r="H1887" s="25">
        <f>IF($C1887="","",IFERROR(IF(INDEX(Roster!$F:$F,MATCH($C1887,Roster!$B:$B,0))="","",INDEX(Roster!$F:$F,MATCH($C1887,Roster!$B:$B,0))&amp;""),"—"))</f>
        <v/>
      </c>
      <c r="I1887" s="25">
        <f>IF($C1887="","",IFERROR(IF(INDEX(Roster!$G:$G,MATCH($C1887,Roster!$B:$B,0))="","",INDEX(Roster!$G:$G,MATCH($C1887,Roster!$B:$B,0))&amp;""),"—"))</f>
        <v/>
      </c>
      <c r="J1887" s="25">
        <f>IF($C1887="","",IFERROR(IF(INDEX(Roster!$I:$I,MATCH($C1887,Roster!$B:$B,0))="","",INDEX(Roster!$I:$I,MATCH($C1887,Roster!$B:$B,0))&amp;""),"—"))</f>
        <v/>
      </c>
      <c r="K1887">
        <f>IF($C1887="","",IFERROR(IF(INDEX(Roster!$J:$J,MATCH($C1887,Roster!$B:$B,0))="","",INDEX(Roster!$J:$J,MATCH($C1887,Roster!$B:$B,0))&amp;""),"—"))</f>
        <v/>
      </c>
      <c r="L1887">
        <f>IF($C1887="","",IFERROR(IF(INDEX(Roster!$K:$K,MATCH($C1887,Roster!$B:$B,0))="","",INDEX(Roster!$K:$K,MATCH($C1887,Roster!$B:$B,0))&amp;""),"—"))</f>
        <v/>
      </c>
      <c r="M1887" s="27" t="n"/>
      <c r="N1887" s="27" t="n"/>
      <c r="O1887" s="25">
        <f>IF($C1887="","",IF($P1887="","—",IF($P1887="Valid (Pass)","Valid","Invalid")))</f>
        <v/>
      </c>
      <c r="P1887" s="27" t="n"/>
      <c r="Q1887" s="27" t="n"/>
      <c r="R1887" s="27" t="n"/>
      <c r="S1887" s="27" t="n"/>
      <c r="T1887" s="25">
        <f>IF($C1887="","",IF(OR(ISNUMBER(SEARCH("quick case",$P1887)),ISNUMBER(SEARCH("quick case",$Q1887))),"Yes","No"))</f>
        <v/>
      </c>
      <c r="U1887" s="25">
        <f>IF($O1887="Invalid",HYPERLINK("mailto:"&amp;$G1887&amp;";"&amp;$I1887&amp;"?cc="&amp;Lists!$E$2&amp;"&amp;subject="&amp;_xlfn.ENCODEURL("[INVALID] Quality audit monitoring completed for "&amp;UPPER($C1887))&amp;"&amp;body="&amp;_xlfn.ENCODEURL("Hi "&amp;$F1887&amp;","&amp;CHAR(10)&amp;"Good day!"&amp;CHAR(10)&amp;CHAR(10)&amp;"A quality monitoring audit has been completed for "&amp;$C1887&amp;"."&amp;CHAR(10)&amp;CHAR(10)&amp;"QUALITY AUDIT DETAILS"&amp;CHAR(10)&amp;"Agent Name: "&amp;$C1887&amp;" (EID "&amp;$D1887&amp;")"&amp;CHAR(10)&amp;"Audit Date: "&amp;TEXT($B1887,"yyyy-mm-dd")&amp;CHAR(10)&amp;"Team Leader: "&amp;$F1887&amp;CHAR(10)&amp;"Case Number: "&amp;$M1887&amp;CHAR(10)&amp;"Transaction ID: "&amp;$N1887&amp;CHAR(10)&amp;"Channel / LOB: "&amp;$K1887&amp;" / "&amp;$L1887&amp;CHAR(10)&amp;"Evaluator: "&amp;$S1887&amp;CHAR(10)&amp;CHAR(10)&amp;"INVALID QUALITY AUDIT DETAILS"&amp;CHAR(10)&amp;"Validation: Invalid"&amp;CHAR(10)&amp;"Invalid Reason: "&amp;$P1887&amp;CHAR(10)&amp;"Expected Resolution Code: "&amp;$Q1887&amp;CHAR(10)&amp;"Remarks: "&amp;LEFT($R1887,600)&amp;CHAR(10)&amp;CHAR(10)&amp;"This is an automated notification from HP Mainstream EQMS."),"✉ Open Email Draft"),"")</f>
        <v/>
      </c>
    </row>
    <row r="1888">
      <c r="A1888" s="25">
        <f>IF($C1888="","","AUD-2026-"&amp;TEXT(ROW()-1,"000000"))</f>
        <v/>
      </c>
      <c r="B1888" s="26" t="n"/>
      <c r="C1888" s="27" t="n"/>
      <c r="D1888" s="25">
        <f>IF($C1888="","",IFERROR(IF(INDEX(Roster!$A:$A,MATCH($C1888,Roster!$B:$B,0))="","",INDEX(Roster!$A:$A,MATCH($C1888,Roster!$B:$B,0))&amp;""),"—"))</f>
        <v/>
      </c>
      <c r="E1888" s="25">
        <f>IF($C1888="","",IFERROR(IF(INDEX(Roster!$C:$C,MATCH($C1888,Roster!$B:$B,0))="","",INDEX(Roster!$C:$C,MATCH($C1888,Roster!$B:$B,0))&amp;""),"—"))</f>
        <v/>
      </c>
      <c r="F1888" s="25">
        <f>IF($C1888="","",IFERROR(IF(INDEX(Roster!$D:$D,MATCH($C1888,Roster!$B:$B,0))="","",INDEX(Roster!$D:$D,MATCH($C1888,Roster!$B:$B,0))&amp;""),"—"))</f>
        <v/>
      </c>
      <c r="G1888" s="25">
        <f>IF($C1888="","",IFERROR(IF(INDEX(Roster!$E:$E,MATCH($C1888,Roster!$B:$B,0))="","",INDEX(Roster!$E:$E,MATCH($C1888,Roster!$B:$B,0))&amp;""),"—"))</f>
        <v/>
      </c>
      <c r="H1888" s="25">
        <f>IF($C1888="","",IFERROR(IF(INDEX(Roster!$F:$F,MATCH($C1888,Roster!$B:$B,0))="","",INDEX(Roster!$F:$F,MATCH($C1888,Roster!$B:$B,0))&amp;""),"—"))</f>
        <v/>
      </c>
      <c r="I1888" s="25">
        <f>IF($C1888="","",IFERROR(IF(INDEX(Roster!$G:$G,MATCH($C1888,Roster!$B:$B,0))="","",INDEX(Roster!$G:$G,MATCH($C1888,Roster!$B:$B,0))&amp;""),"—"))</f>
        <v/>
      </c>
      <c r="J1888" s="25">
        <f>IF($C1888="","",IFERROR(IF(INDEX(Roster!$I:$I,MATCH($C1888,Roster!$B:$B,0))="","",INDEX(Roster!$I:$I,MATCH($C1888,Roster!$B:$B,0))&amp;""),"—"))</f>
        <v/>
      </c>
      <c r="K1888">
        <f>IF($C1888="","",IFERROR(IF(INDEX(Roster!$J:$J,MATCH($C1888,Roster!$B:$B,0))="","",INDEX(Roster!$J:$J,MATCH($C1888,Roster!$B:$B,0))&amp;""),"—"))</f>
        <v/>
      </c>
      <c r="L1888">
        <f>IF($C1888="","",IFERROR(IF(INDEX(Roster!$K:$K,MATCH($C1888,Roster!$B:$B,0))="","",INDEX(Roster!$K:$K,MATCH($C1888,Roster!$B:$B,0))&amp;""),"—"))</f>
        <v/>
      </c>
      <c r="M1888" s="27" t="n"/>
      <c r="N1888" s="27" t="n"/>
      <c r="O1888" s="25">
        <f>IF($C1888="","",IF($P1888="","—",IF($P1888="Valid (Pass)","Valid","Invalid")))</f>
        <v/>
      </c>
      <c r="P1888" s="27" t="n"/>
      <c r="Q1888" s="27" t="n"/>
      <c r="R1888" s="27" t="n"/>
      <c r="S1888" s="27" t="n"/>
      <c r="T1888" s="25">
        <f>IF($C1888="","",IF(OR(ISNUMBER(SEARCH("quick case",$P1888)),ISNUMBER(SEARCH("quick case",$Q1888))),"Yes","No"))</f>
        <v/>
      </c>
      <c r="U1888" s="25">
        <f>IF($O1888="Invalid",HYPERLINK("mailto:"&amp;$G1888&amp;";"&amp;$I1888&amp;"?cc="&amp;Lists!$E$2&amp;"&amp;subject="&amp;_xlfn.ENCODEURL("[INVALID] Quality audit monitoring completed for "&amp;UPPER($C1888))&amp;"&amp;body="&amp;_xlfn.ENCODEURL("Hi "&amp;$F1888&amp;","&amp;CHAR(10)&amp;"Good day!"&amp;CHAR(10)&amp;CHAR(10)&amp;"A quality monitoring audit has been completed for "&amp;$C1888&amp;"."&amp;CHAR(10)&amp;CHAR(10)&amp;"QUALITY AUDIT DETAILS"&amp;CHAR(10)&amp;"Agent Name: "&amp;$C1888&amp;" (EID "&amp;$D1888&amp;")"&amp;CHAR(10)&amp;"Audit Date: "&amp;TEXT($B1888,"yyyy-mm-dd")&amp;CHAR(10)&amp;"Team Leader: "&amp;$F1888&amp;CHAR(10)&amp;"Case Number: "&amp;$M1888&amp;CHAR(10)&amp;"Transaction ID: "&amp;$N1888&amp;CHAR(10)&amp;"Channel / LOB: "&amp;$K1888&amp;" / "&amp;$L1888&amp;CHAR(10)&amp;"Evaluator: "&amp;$S1888&amp;CHAR(10)&amp;CHAR(10)&amp;"INVALID QUALITY AUDIT DETAILS"&amp;CHAR(10)&amp;"Validation: Invalid"&amp;CHAR(10)&amp;"Invalid Reason: "&amp;$P1888&amp;CHAR(10)&amp;"Expected Resolution Code: "&amp;$Q1888&amp;CHAR(10)&amp;"Remarks: "&amp;LEFT($R1888,600)&amp;CHAR(10)&amp;CHAR(10)&amp;"This is an automated notification from HP Mainstream EQMS."),"✉ Open Email Draft"),"")</f>
        <v/>
      </c>
    </row>
    <row r="1889">
      <c r="A1889" s="25">
        <f>IF($C1889="","","AUD-2026-"&amp;TEXT(ROW()-1,"000000"))</f>
        <v/>
      </c>
      <c r="B1889" s="26" t="n"/>
      <c r="C1889" s="27" t="n"/>
      <c r="D1889" s="25">
        <f>IF($C1889="","",IFERROR(IF(INDEX(Roster!$A:$A,MATCH($C1889,Roster!$B:$B,0))="","",INDEX(Roster!$A:$A,MATCH($C1889,Roster!$B:$B,0))&amp;""),"—"))</f>
        <v/>
      </c>
      <c r="E1889" s="25">
        <f>IF($C1889="","",IFERROR(IF(INDEX(Roster!$C:$C,MATCH($C1889,Roster!$B:$B,0))="","",INDEX(Roster!$C:$C,MATCH($C1889,Roster!$B:$B,0))&amp;""),"—"))</f>
        <v/>
      </c>
      <c r="F1889" s="25">
        <f>IF($C1889="","",IFERROR(IF(INDEX(Roster!$D:$D,MATCH($C1889,Roster!$B:$B,0))="","",INDEX(Roster!$D:$D,MATCH($C1889,Roster!$B:$B,0))&amp;""),"—"))</f>
        <v/>
      </c>
      <c r="G1889" s="25">
        <f>IF($C1889="","",IFERROR(IF(INDEX(Roster!$E:$E,MATCH($C1889,Roster!$B:$B,0))="","",INDEX(Roster!$E:$E,MATCH($C1889,Roster!$B:$B,0))&amp;""),"—"))</f>
        <v/>
      </c>
      <c r="H1889" s="25">
        <f>IF($C1889="","",IFERROR(IF(INDEX(Roster!$F:$F,MATCH($C1889,Roster!$B:$B,0))="","",INDEX(Roster!$F:$F,MATCH($C1889,Roster!$B:$B,0))&amp;""),"—"))</f>
        <v/>
      </c>
      <c r="I1889" s="25">
        <f>IF($C1889="","",IFERROR(IF(INDEX(Roster!$G:$G,MATCH($C1889,Roster!$B:$B,0))="","",INDEX(Roster!$G:$G,MATCH($C1889,Roster!$B:$B,0))&amp;""),"—"))</f>
        <v/>
      </c>
      <c r="J1889" s="25">
        <f>IF($C1889="","",IFERROR(IF(INDEX(Roster!$I:$I,MATCH($C1889,Roster!$B:$B,0))="","",INDEX(Roster!$I:$I,MATCH($C1889,Roster!$B:$B,0))&amp;""),"—"))</f>
        <v/>
      </c>
      <c r="K1889">
        <f>IF($C1889="","",IFERROR(IF(INDEX(Roster!$J:$J,MATCH($C1889,Roster!$B:$B,0))="","",INDEX(Roster!$J:$J,MATCH($C1889,Roster!$B:$B,0))&amp;""),"—"))</f>
        <v/>
      </c>
      <c r="L1889">
        <f>IF($C1889="","",IFERROR(IF(INDEX(Roster!$K:$K,MATCH($C1889,Roster!$B:$B,0))="","",INDEX(Roster!$K:$K,MATCH($C1889,Roster!$B:$B,0))&amp;""),"—"))</f>
        <v/>
      </c>
      <c r="M1889" s="27" t="n"/>
      <c r="N1889" s="27" t="n"/>
      <c r="O1889" s="25">
        <f>IF($C1889="","",IF($P1889="","—",IF($P1889="Valid (Pass)","Valid","Invalid")))</f>
        <v/>
      </c>
      <c r="P1889" s="27" t="n"/>
      <c r="Q1889" s="27" t="n"/>
      <c r="R1889" s="27" t="n"/>
      <c r="S1889" s="27" t="n"/>
      <c r="T1889" s="25">
        <f>IF($C1889="","",IF(OR(ISNUMBER(SEARCH("quick case",$P1889)),ISNUMBER(SEARCH("quick case",$Q1889))),"Yes","No"))</f>
        <v/>
      </c>
      <c r="U1889" s="25">
        <f>IF($O1889="Invalid",HYPERLINK("mailto:"&amp;$G1889&amp;";"&amp;$I1889&amp;"?cc="&amp;Lists!$E$2&amp;"&amp;subject="&amp;_xlfn.ENCODEURL("[INVALID] Quality audit monitoring completed for "&amp;UPPER($C1889))&amp;"&amp;body="&amp;_xlfn.ENCODEURL("Hi "&amp;$F1889&amp;","&amp;CHAR(10)&amp;"Good day!"&amp;CHAR(10)&amp;CHAR(10)&amp;"A quality monitoring audit has been completed for "&amp;$C1889&amp;"."&amp;CHAR(10)&amp;CHAR(10)&amp;"QUALITY AUDIT DETAILS"&amp;CHAR(10)&amp;"Agent Name: "&amp;$C1889&amp;" (EID "&amp;$D1889&amp;")"&amp;CHAR(10)&amp;"Audit Date: "&amp;TEXT($B1889,"yyyy-mm-dd")&amp;CHAR(10)&amp;"Team Leader: "&amp;$F1889&amp;CHAR(10)&amp;"Case Number: "&amp;$M1889&amp;CHAR(10)&amp;"Transaction ID: "&amp;$N1889&amp;CHAR(10)&amp;"Channel / LOB: "&amp;$K1889&amp;" / "&amp;$L1889&amp;CHAR(10)&amp;"Evaluator: "&amp;$S1889&amp;CHAR(10)&amp;CHAR(10)&amp;"INVALID QUALITY AUDIT DETAILS"&amp;CHAR(10)&amp;"Validation: Invalid"&amp;CHAR(10)&amp;"Invalid Reason: "&amp;$P1889&amp;CHAR(10)&amp;"Expected Resolution Code: "&amp;$Q1889&amp;CHAR(10)&amp;"Remarks: "&amp;LEFT($R1889,600)&amp;CHAR(10)&amp;CHAR(10)&amp;"This is an automated notification from HP Mainstream EQMS."),"✉ Open Email Draft"),"")</f>
        <v/>
      </c>
    </row>
    <row r="1890">
      <c r="A1890" s="25">
        <f>IF($C1890="","","AUD-2026-"&amp;TEXT(ROW()-1,"000000"))</f>
        <v/>
      </c>
      <c r="B1890" s="26" t="n"/>
      <c r="C1890" s="27" t="n"/>
      <c r="D1890" s="25">
        <f>IF($C1890="","",IFERROR(IF(INDEX(Roster!$A:$A,MATCH($C1890,Roster!$B:$B,0))="","",INDEX(Roster!$A:$A,MATCH($C1890,Roster!$B:$B,0))&amp;""),"—"))</f>
        <v/>
      </c>
      <c r="E1890" s="25">
        <f>IF($C1890="","",IFERROR(IF(INDEX(Roster!$C:$C,MATCH($C1890,Roster!$B:$B,0))="","",INDEX(Roster!$C:$C,MATCH($C1890,Roster!$B:$B,0))&amp;""),"—"))</f>
        <v/>
      </c>
      <c r="F1890" s="25">
        <f>IF($C1890="","",IFERROR(IF(INDEX(Roster!$D:$D,MATCH($C1890,Roster!$B:$B,0))="","",INDEX(Roster!$D:$D,MATCH($C1890,Roster!$B:$B,0))&amp;""),"—"))</f>
        <v/>
      </c>
      <c r="G1890" s="25">
        <f>IF($C1890="","",IFERROR(IF(INDEX(Roster!$E:$E,MATCH($C1890,Roster!$B:$B,0))="","",INDEX(Roster!$E:$E,MATCH($C1890,Roster!$B:$B,0))&amp;""),"—"))</f>
        <v/>
      </c>
      <c r="H1890" s="25">
        <f>IF($C1890="","",IFERROR(IF(INDEX(Roster!$F:$F,MATCH($C1890,Roster!$B:$B,0))="","",INDEX(Roster!$F:$F,MATCH($C1890,Roster!$B:$B,0))&amp;""),"—"))</f>
        <v/>
      </c>
      <c r="I1890" s="25">
        <f>IF($C1890="","",IFERROR(IF(INDEX(Roster!$G:$G,MATCH($C1890,Roster!$B:$B,0))="","",INDEX(Roster!$G:$G,MATCH($C1890,Roster!$B:$B,0))&amp;""),"—"))</f>
        <v/>
      </c>
      <c r="J1890" s="25">
        <f>IF($C1890="","",IFERROR(IF(INDEX(Roster!$I:$I,MATCH($C1890,Roster!$B:$B,0))="","",INDEX(Roster!$I:$I,MATCH($C1890,Roster!$B:$B,0))&amp;""),"—"))</f>
        <v/>
      </c>
      <c r="K1890">
        <f>IF($C1890="","",IFERROR(IF(INDEX(Roster!$J:$J,MATCH($C1890,Roster!$B:$B,0))="","",INDEX(Roster!$J:$J,MATCH($C1890,Roster!$B:$B,0))&amp;""),"—"))</f>
        <v/>
      </c>
      <c r="L1890">
        <f>IF($C1890="","",IFERROR(IF(INDEX(Roster!$K:$K,MATCH($C1890,Roster!$B:$B,0))="","",INDEX(Roster!$K:$K,MATCH($C1890,Roster!$B:$B,0))&amp;""),"—"))</f>
        <v/>
      </c>
      <c r="M1890" s="27" t="n"/>
      <c r="N1890" s="27" t="n"/>
      <c r="O1890" s="25">
        <f>IF($C1890="","",IF($P1890="","—",IF($P1890="Valid (Pass)","Valid","Invalid")))</f>
        <v/>
      </c>
      <c r="P1890" s="27" t="n"/>
      <c r="Q1890" s="27" t="n"/>
      <c r="R1890" s="27" t="n"/>
      <c r="S1890" s="27" t="n"/>
      <c r="T1890" s="25">
        <f>IF($C1890="","",IF(OR(ISNUMBER(SEARCH("quick case",$P1890)),ISNUMBER(SEARCH("quick case",$Q1890))),"Yes","No"))</f>
        <v/>
      </c>
      <c r="U1890" s="25">
        <f>IF($O1890="Invalid",HYPERLINK("mailto:"&amp;$G1890&amp;";"&amp;$I1890&amp;"?cc="&amp;Lists!$E$2&amp;"&amp;subject="&amp;_xlfn.ENCODEURL("[INVALID] Quality audit monitoring completed for "&amp;UPPER($C1890))&amp;"&amp;body="&amp;_xlfn.ENCODEURL("Hi "&amp;$F1890&amp;","&amp;CHAR(10)&amp;"Good day!"&amp;CHAR(10)&amp;CHAR(10)&amp;"A quality monitoring audit has been completed for "&amp;$C1890&amp;"."&amp;CHAR(10)&amp;CHAR(10)&amp;"QUALITY AUDIT DETAILS"&amp;CHAR(10)&amp;"Agent Name: "&amp;$C1890&amp;" (EID "&amp;$D1890&amp;")"&amp;CHAR(10)&amp;"Audit Date: "&amp;TEXT($B1890,"yyyy-mm-dd")&amp;CHAR(10)&amp;"Team Leader: "&amp;$F1890&amp;CHAR(10)&amp;"Case Number: "&amp;$M1890&amp;CHAR(10)&amp;"Transaction ID: "&amp;$N1890&amp;CHAR(10)&amp;"Channel / LOB: "&amp;$K1890&amp;" / "&amp;$L1890&amp;CHAR(10)&amp;"Evaluator: "&amp;$S1890&amp;CHAR(10)&amp;CHAR(10)&amp;"INVALID QUALITY AUDIT DETAILS"&amp;CHAR(10)&amp;"Validation: Invalid"&amp;CHAR(10)&amp;"Invalid Reason: "&amp;$P1890&amp;CHAR(10)&amp;"Expected Resolution Code: "&amp;$Q1890&amp;CHAR(10)&amp;"Remarks: "&amp;LEFT($R1890,600)&amp;CHAR(10)&amp;CHAR(10)&amp;"This is an automated notification from HP Mainstream EQMS."),"✉ Open Email Draft"),"")</f>
        <v/>
      </c>
    </row>
    <row r="1891">
      <c r="A1891" s="25">
        <f>IF($C1891="","","AUD-2026-"&amp;TEXT(ROW()-1,"000000"))</f>
        <v/>
      </c>
      <c r="B1891" s="26" t="n"/>
      <c r="C1891" s="27" t="n"/>
      <c r="D1891" s="25">
        <f>IF($C1891="","",IFERROR(IF(INDEX(Roster!$A:$A,MATCH($C1891,Roster!$B:$B,0))="","",INDEX(Roster!$A:$A,MATCH($C1891,Roster!$B:$B,0))&amp;""),"—"))</f>
        <v/>
      </c>
      <c r="E1891" s="25">
        <f>IF($C1891="","",IFERROR(IF(INDEX(Roster!$C:$C,MATCH($C1891,Roster!$B:$B,0))="","",INDEX(Roster!$C:$C,MATCH($C1891,Roster!$B:$B,0))&amp;""),"—"))</f>
        <v/>
      </c>
      <c r="F1891" s="25">
        <f>IF($C1891="","",IFERROR(IF(INDEX(Roster!$D:$D,MATCH($C1891,Roster!$B:$B,0))="","",INDEX(Roster!$D:$D,MATCH($C1891,Roster!$B:$B,0))&amp;""),"—"))</f>
        <v/>
      </c>
      <c r="G1891" s="25">
        <f>IF($C1891="","",IFERROR(IF(INDEX(Roster!$E:$E,MATCH($C1891,Roster!$B:$B,0))="","",INDEX(Roster!$E:$E,MATCH($C1891,Roster!$B:$B,0))&amp;""),"—"))</f>
        <v/>
      </c>
      <c r="H1891" s="25">
        <f>IF($C1891="","",IFERROR(IF(INDEX(Roster!$F:$F,MATCH($C1891,Roster!$B:$B,0))="","",INDEX(Roster!$F:$F,MATCH($C1891,Roster!$B:$B,0))&amp;""),"—"))</f>
        <v/>
      </c>
      <c r="I1891" s="25">
        <f>IF($C1891="","",IFERROR(IF(INDEX(Roster!$G:$G,MATCH($C1891,Roster!$B:$B,0))="","",INDEX(Roster!$G:$G,MATCH($C1891,Roster!$B:$B,0))&amp;""),"—"))</f>
        <v/>
      </c>
      <c r="J1891" s="25">
        <f>IF($C1891="","",IFERROR(IF(INDEX(Roster!$I:$I,MATCH($C1891,Roster!$B:$B,0))="","",INDEX(Roster!$I:$I,MATCH($C1891,Roster!$B:$B,0))&amp;""),"—"))</f>
        <v/>
      </c>
      <c r="K1891">
        <f>IF($C1891="","",IFERROR(IF(INDEX(Roster!$J:$J,MATCH($C1891,Roster!$B:$B,0))="","",INDEX(Roster!$J:$J,MATCH($C1891,Roster!$B:$B,0))&amp;""),"—"))</f>
        <v/>
      </c>
      <c r="L1891">
        <f>IF($C1891="","",IFERROR(IF(INDEX(Roster!$K:$K,MATCH($C1891,Roster!$B:$B,0))="","",INDEX(Roster!$K:$K,MATCH($C1891,Roster!$B:$B,0))&amp;""),"—"))</f>
        <v/>
      </c>
      <c r="M1891" s="27" t="n"/>
      <c r="N1891" s="27" t="n"/>
      <c r="O1891" s="25">
        <f>IF($C1891="","",IF($P1891="","—",IF($P1891="Valid (Pass)","Valid","Invalid")))</f>
        <v/>
      </c>
      <c r="P1891" s="27" t="n"/>
      <c r="Q1891" s="27" t="n"/>
      <c r="R1891" s="27" t="n"/>
      <c r="S1891" s="27" t="n"/>
      <c r="T1891" s="25">
        <f>IF($C1891="","",IF(OR(ISNUMBER(SEARCH("quick case",$P1891)),ISNUMBER(SEARCH("quick case",$Q1891))),"Yes","No"))</f>
        <v/>
      </c>
      <c r="U1891" s="25">
        <f>IF($O1891="Invalid",HYPERLINK("mailto:"&amp;$G1891&amp;";"&amp;$I1891&amp;"?cc="&amp;Lists!$E$2&amp;"&amp;subject="&amp;_xlfn.ENCODEURL("[INVALID] Quality audit monitoring completed for "&amp;UPPER($C1891))&amp;"&amp;body="&amp;_xlfn.ENCODEURL("Hi "&amp;$F1891&amp;","&amp;CHAR(10)&amp;"Good day!"&amp;CHAR(10)&amp;CHAR(10)&amp;"A quality monitoring audit has been completed for "&amp;$C1891&amp;"."&amp;CHAR(10)&amp;CHAR(10)&amp;"QUALITY AUDIT DETAILS"&amp;CHAR(10)&amp;"Agent Name: "&amp;$C1891&amp;" (EID "&amp;$D1891&amp;")"&amp;CHAR(10)&amp;"Audit Date: "&amp;TEXT($B1891,"yyyy-mm-dd")&amp;CHAR(10)&amp;"Team Leader: "&amp;$F1891&amp;CHAR(10)&amp;"Case Number: "&amp;$M1891&amp;CHAR(10)&amp;"Transaction ID: "&amp;$N1891&amp;CHAR(10)&amp;"Channel / LOB: "&amp;$K1891&amp;" / "&amp;$L1891&amp;CHAR(10)&amp;"Evaluator: "&amp;$S1891&amp;CHAR(10)&amp;CHAR(10)&amp;"INVALID QUALITY AUDIT DETAILS"&amp;CHAR(10)&amp;"Validation: Invalid"&amp;CHAR(10)&amp;"Invalid Reason: "&amp;$P1891&amp;CHAR(10)&amp;"Expected Resolution Code: "&amp;$Q1891&amp;CHAR(10)&amp;"Remarks: "&amp;LEFT($R1891,600)&amp;CHAR(10)&amp;CHAR(10)&amp;"This is an automated notification from HP Mainstream EQMS."),"✉ Open Email Draft"),"")</f>
        <v/>
      </c>
    </row>
    <row r="1892">
      <c r="A1892" s="25">
        <f>IF($C1892="","","AUD-2026-"&amp;TEXT(ROW()-1,"000000"))</f>
        <v/>
      </c>
      <c r="B1892" s="26" t="n"/>
      <c r="C1892" s="27" t="n"/>
      <c r="D1892" s="25">
        <f>IF($C1892="","",IFERROR(IF(INDEX(Roster!$A:$A,MATCH($C1892,Roster!$B:$B,0))="","",INDEX(Roster!$A:$A,MATCH($C1892,Roster!$B:$B,0))&amp;""),"—"))</f>
        <v/>
      </c>
      <c r="E1892" s="25">
        <f>IF($C1892="","",IFERROR(IF(INDEX(Roster!$C:$C,MATCH($C1892,Roster!$B:$B,0))="","",INDEX(Roster!$C:$C,MATCH($C1892,Roster!$B:$B,0))&amp;""),"—"))</f>
        <v/>
      </c>
      <c r="F1892" s="25">
        <f>IF($C1892="","",IFERROR(IF(INDEX(Roster!$D:$D,MATCH($C1892,Roster!$B:$B,0))="","",INDEX(Roster!$D:$D,MATCH($C1892,Roster!$B:$B,0))&amp;""),"—"))</f>
        <v/>
      </c>
      <c r="G1892" s="25">
        <f>IF($C1892="","",IFERROR(IF(INDEX(Roster!$E:$E,MATCH($C1892,Roster!$B:$B,0))="","",INDEX(Roster!$E:$E,MATCH($C1892,Roster!$B:$B,0))&amp;""),"—"))</f>
        <v/>
      </c>
      <c r="H1892" s="25">
        <f>IF($C1892="","",IFERROR(IF(INDEX(Roster!$F:$F,MATCH($C1892,Roster!$B:$B,0))="","",INDEX(Roster!$F:$F,MATCH($C1892,Roster!$B:$B,0))&amp;""),"—"))</f>
        <v/>
      </c>
      <c r="I1892" s="25">
        <f>IF($C1892="","",IFERROR(IF(INDEX(Roster!$G:$G,MATCH($C1892,Roster!$B:$B,0))="","",INDEX(Roster!$G:$G,MATCH($C1892,Roster!$B:$B,0))&amp;""),"—"))</f>
        <v/>
      </c>
      <c r="J1892" s="25">
        <f>IF($C1892="","",IFERROR(IF(INDEX(Roster!$I:$I,MATCH($C1892,Roster!$B:$B,0))="","",INDEX(Roster!$I:$I,MATCH($C1892,Roster!$B:$B,0))&amp;""),"—"))</f>
        <v/>
      </c>
      <c r="K1892">
        <f>IF($C1892="","",IFERROR(IF(INDEX(Roster!$J:$J,MATCH($C1892,Roster!$B:$B,0))="","",INDEX(Roster!$J:$J,MATCH($C1892,Roster!$B:$B,0))&amp;""),"—"))</f>
        <v/>
      </c>
      <c r="L1892">
        <f>IF($C1892="","",IFERROR(IF(INDEX(Roster!$K:$K,MATCH($C1892,Roster!$B:$B,0))="","",INDEX(Roster!$K:$K,MATCH($C1892,Roster!$B:$B,0))&amp;""),"—"))</f>
        <v/>
      </c>
      <c r="M1892" s="27" t="n"/>
      <c r="N1892" s="27" t="n"/>
      <c r="O1892" s="25">
        <f>IF($C1892="","",IF($P1892="","—",IF($P1892="Valid (Pass)","Valid","Invalid")))</f>
        <v/>
      </c>
      <c r="P1892" s="27" t="n"/>
      <c r="Q1892" s="27" t="n"/>
      <c r="R1892" s="27" t="n"/>
      <c r="S1892" s="27" t="n"/>
      <c r="T1892" s="25">
        <f>IF($C1892="","",IF(OR(ISNUMBER(SEARCH("quick case",$P1892)),ISNUMBER(SEARCH("quick case",$Q1892))),"Yes","No"))</f>
        <v/>
      </c>
      <c r="U1892" s="25">
        <f>IF($O1892="Invalid",HYPERLINK("mailto:"&amp;$G1892&amp;";"&amp;$I1892&amp;"?cc="&amp;Lists!$E$2&amp;"&amp;subject="&amp;_xlfn.ENCODEURL("[INVALID] Quality audit monitoring completed for "&amp;UPPER($C1892))&amp;"&amp;body="&amp;_xlfn.ENCODEURL("Hi "&amp;$F1892&amp;","&amp;CHAR(10)&amp;"Good day!"&amp;CHAR(10)&amp;CHAR(10)&amp;"A quality monitoring audit has been completed for "&amp;$C1892&amp;"."&amp;CHAR(10)&amp;CHAR(10)&amp;"QUALITY AUDIT DETAILS"&amp;CHAR(10)&amp;"Agent Name: "&amp;$C1892&amp;" (EID "&amp;$D1892&amp;")"&amp;CHAR(10)&amp;"Audit Date: "&amp;TEXT($B1892,"yyyy-mm-dd")&amp;CHAR(10)&amp;"Team Leader: "&amp;$F1892&amp;CHAR(10)&amp;"Case Number: "&amp;$M1892&amp;CHAR(10)&amp;"Transaction ID: "&amp;$N1892&amp;CHAR(10)&amp;"Channel / LOB: "&amp;$K1892&amp;" / "&amp;$L1892&amp;CHAR(10)&amp;"Evaluator: "&amp;$S1892&amp;CHAR(10)&amp;CHAR(10)&amp;"INVALID QUALITY AUDIT DETAILS"&amp;CHAR(10)&amp;"Validation: Invalid"&amp;CHAR(10)&amp;"Invalid Reason: "&amp;$P1892&amp;CHAR(10)&amp;"Expected Resolution Code: "&amp;$Q1892&amp;CHAR(10)&amp;"Remarks: "&amp;LEFT($R1892,600)&amp;CHAR(10)&amp;CHAR(10)&amp;"This is an automated notification from HP Mainstream EQMS."),"✉ Open Email Draft"),"")</f>
        <v/>
      </c>
    </row>
    <row r="1893">
      <c r="A1893" s="25">
        <f>IF($C1893="","","AUD-2026-"&amp;TEXT(ROW()-1,"000000"))</f>
        <v/>
      </c>
      <c r="B1893" s="26" t="n"/>
      <c r="C1893" s="27" t="n"/>
      <c r="D1893" s="25">
        <f>IF($C1893="","",IFERROR(IF(INDEX(Roster!$A:$A,MATCH($C1893,Roster!$B:$B,0))="","",INDEX(Roster!$A:$A,MATCH($C1893,Roster!$B:$B,0))&amp;""),"—"))</f>
        <v/>
      </c>
      <c r="E1893" s="25">
        <f>IF($C1893="","",IFERROR(IF(INDEX(Roster!$C:$C,MATCH($C1893,Roster!$B:$B,0))="","",INDEX(Roster!$C:$C,MATCH($C1893,Roster!$B:$B,0))&amp;""),"—"))</f>
        <v/>
      </c>
      <c r="F1893" s="25">
        <f>IF($C1893="","",IFERROR(IF(INDEX(Roster!$D:$D,MATCH($C1893,Roster!$B:$B,0))="","",INDEX(Roster!$D:$D,MATCH($C1893,Roster!$B:$B,0))&amp;""),"—"))</f>
        <v/>
      </c>
      <c r="G1893" s="25">
        <f>IF($C1893="","",IFERROR(IF(INDEX(Roster!$E:$E,MATCH($C1893,Roster!$B:$B,0))="","",INDEX(Roster!$E:$E,MATCH($C1893,Roster!$B:$B,0))&amp;""),"—"))</f>
        <v/>
      </c>
      <c r="H1893" s="25">
        <f>IF($C1893="","",IFERROR(IF(INDEX(Roster!$F:$F,MATCH($C1893,Roster!$B:$B,0))="","",INDEX(Roster!$F:$F,MATCH($C1893,Roster!$B:$B,0))&amp;""),"—"))</f>
        <v/>
      </c>
      <c r="I1893" s="25">
        <f>IF($C1893="","",IFERROR(IF(INDEX(Roster!$G:$G,MATCH($C1893,Roster!$B:$B,0))="","",INDEX(Roster!$G:$G,MATCH($C1893,Roster!$B:$B,0))&amp;""),"—"))</f>
        <v/>
      </c>
      <c r="J1893" s="25">
        <f>IF($C1893="","",IFERROR(IF(INDEX(Roster!$I:$I,MATCH($C1893,Roster!$B:$B,0))="","",INDEX(Roster!$I:$I,MATCH($C1893,Roster!$B:$B,0))&amp;""),"—"))</f>
        <v/>
      </c>
      <c r="K1893">
        <f>IF($C1893="","",IFERROR(IF(INDEX(Roster!$J:$J,MATCH($C1893,Roster!$B:$B,0))="","",INDEX(Roster!$J:$J,MATCH($C1893,Roster!$B:$B,0))&amp;""),"—"))</f>
        <v/>
      </c>
      <c r="L1893">
        <f>IF($C1893="","",IFERROR(IF(INDEX(Roster!$K:$K,MATCH($C1893,Roster!$B:$B,0))="","",INDEX(Roster!$K:$K,MATCH($C1893,Roster!$B:$B,0))&amp;""),"—"))</f>
        <v/>
      </c>
      <c r="M1893" s="27" t="n"/>
      <c r="N1893" s="27" t="n"/>
      <c r="O1893" s="25">
        <f>IF($C1893="","",IF($P1893="","—",IF($P1893="Valid (Pass)","Valid","Invalid")))</f>
        <v/>
      </c>
      <c r="P1893" s="27" t="n"/>
      <c r="Q1893" s="27" t="n"/>
      <c r="R1893" s="27" t="n"/>
      <c r="S1893" s="27" t="n"/>
      <c r="T1893" s="25">
        <f>IF($C1893="","",IF(OR(ISNUMBER(SEARCH("quick case",$P1893)),ISNUMBER(SEARCH("quick case",$Q1893))),"Yes","No"))</f>
        <v/>
      </c>
      <c r="U1893" s="25">
        <f>IF($O1893="Invalid",HYPERLINK("mailto:"&amp;$G1893&amp;";"&amp;$I1893&amp;"?cc="&amp;Lists!$E$2&amp;"&amp;subject="&amp;_xlfn.ENCODEURL("[INVALID] Quality audit monitoring completed for "&amp;UPPER($C1893))&amp;"&amp;body="&amp;_xlfn.ENCODEURL("Hi "&amp;$F1893&amp;","&amp;CHAR(10)&amp;"Good day!"&amp;CHAR(10)&amp;CHAR(10)&amp;"A quality monitoring audit has been completed for "&amp;$C1893&amp;"."&amp;CHAR(10)&amp;CHAR(10)&amp;"QUALITY AUDIT DETAILS"&amp;CHAR(10)&amp;"Agent Name: "&amp;$C1893&amp;" (EID "&amp;$D1893&amp;")"&amp;CHAR(10)&amp;"Audit Date: "&amp;TEXT($B1893,"yyyy-mm-dd")&amp;CHAR(10)&amp;"Team Leader: "&amp;$F1893&amp;CHAR(10)&amp;"Case Number: "&amp;$M1893&amp;CHAR(10)&amp;"Transaction ID: "&amp;$N1893&amp;CHAR(10)&amp;"Channel / LOB: "&amp;$K1893&amp;" / "&amp;$L1893&amp;CHAR(10)&amp;"Evaluator: "&amp;$S1893&amp;CHAR(10)&amp;CHAR(10)&amp;"INVALID QUALITY AUDIT DETAILS"&amp;CHAR(10)&amp;"Validation: Invalid"&amp;CHAR(10)&amp;"Invalid Reason: "&amp;$P1893&amp;CHAR(10)&amp;"Expected Resolution Code: "&amp;$Q1893&amp;CHAR(10)&amp;"Remarks: "&amp;LEFT($R1893,600)&amp;CHAR(10)&amp;CHAR(10)&amp;"This is an automated notification from HP Mainstream EQMS."),"✉ Open Email Draft"),"")</f>
        <v/>
      </c>
    </row>
    <row r="1894">
      <c r="A1894" s="25">
        <f>IF($C1894="","","AUD-2026-"&amp;TEXT(ROW()-1,"000000"))</f>
        <v/>
      </c>
      <c r="B1894" s="26" t="n"/>
      <c r="C1894" s="27" t="n"/>
      <c r="D1894" s="25">
        <f>IF($C1894="","",IFERROR(IF(INDEX(Roster!$A:$A,MATCH($C1894,Roster!$B:$B,0))="","",INDEX(Roster!$A:$A,MATCH($C1894,Roster!$B:$B,0))&amp;""),"—"))</f>
        <v/>
      </c>
      <c r="E1894" s="25">
        <f>IF($C1894="","",IFERROR(IF(INDEX(Roster!$C:$C,MATCH($C1894,Roster!$B:$B,0))="","",INDEX(Roster!$C:$C,MATCH($C1894,Roster!$B:$B,0))&amp;""),"—"))</f>
        <v/>
      </c>
      <c r="F1894" s="25">
        <f>IF($C1894="","",IFERROR(IF(INDEX(Roster!$D:$D,MATCH($C1894,Roster!$B:$B,0))="","",INDEX(Roster!$D:$D,MATCH($C1894,Roster!$B:$B,0))&amp;""),"—"))</f>
        <v/>
      </c>
      <c r="G1894" s="25">
        <f>IF($C1894="","",IFERROR(IF(INDEX(Roster!$E:$E,MATCH($C1894,Roster!$B:$B,0))="","",INDEX(Roster!$E:$E,MATCH($C1894,Roster!$B:$B,0))&amp;""),"—"))</f>
        <v/>
      </c>
      <c r="H1894" s="25">
        <f>IF($C1894="","",IFERROR(IF(INDEX(Roster!$F:$F,MATCH($C1894,Roster!$B:$B,0))="","",INDEX(Roster!$F:$F,MATCH($C1894,Roster!$B:$B,0))&amp;""),"—"))</f>
        <v/>
      </c>
      <c r="I1894" s="25">
        <f>IF($C1894="","",IFERROR(IF(INDEX(Roster!$G:$G,MATCH($C1894,Roster!$B:$B,0))="","",INDEX(Roster!$G:$G,MATCH($C1894,Roster!$B:$B,0))&amp;""),"—"))</f>
        <v/>
      </c>
      <c r="J1894" s="25">
        <f>IF($C1894="","",IFERROR(IF(INDEX(Roster!$I:$I,MATCH($C1894,Roster!$B:$B,0))="","",INDEX(Roster!$I:$I,MATCH($C1894,Roster!$B:$B,0))&amp;""),"—"))</f>
        <v/>
      </c>
      <c r="K1894">
        <f>IF($C1894="","",IFERROR(IF(INDEX(Roster!$J:$J,MATCH($C1894,Roster!$B:$B,0))="","",INDEX(Roster!$J:$J,MATCH($C1894,Roster!$B:$B,0))&amp;""),"—"))</f>
        <v/>
      </c>
      <c r="L1894">
        <f>IF($C1894="","",IFERROR(IF(INDEX(Roster!$K:$K,MATCH($C1894,Roster!$B:$B,0))="","",INDEX(Roster!$K:$K,MATCH($C1894,Roster!$B:$B,0))&amp;""),"—"))</f>
        <v/>
      </c>
      <c r="M1894" s="27" t="n"/>
      <c r="N1894" s="27" t="n"/>
      <c r="O1894" s="25">
        <f>IF($C1894="","",IF($P1894="","—",IF($P1894="Valid (Pass)","Valid","Invalid")))</f>
        <v/>
      </c>
      <c r="P1894" s="27" t="n"/>
      <c r="Q1894" s="27" t="n"/>
      <c r="R1894" s="27" t="n"/>
      <c r="S1894" s="27" t="n"/>
      <c r="T1894" s="25">
        <f>IF($C1894="","",IF(OR(ISNUMBER(SEARCH("quick case",$P1894)),ISNUMBER(SEARCH("quick case",$Q1894))),"Yes","No"))</f>
        <v/>
      </c>
      <c r="U1894" s="25">
        <f>IF($O1894="Invalid",HYPERLINK("mailto:"&amp;$G1894&amp;";"&amp;$I1894&amp;"?cc="&amp;Lists!$E$2&amp;"&amp;subject="&amp;_xlfn.ENCODEURL("[INVALID] Quality audit monitoring completed for "&amp;UPPER($C1894))&amp;"&amp;body="&amp;_xlfn.ENCODEURL("Hi "&amp;$F1894&amp;","&amp;CHAR(10)&amp;"Good day!"&amp;CHAR(10)&amp;CHAR(10)&amp;"A quality monitoring audit has been completed for "&amp;$C1894&amp;"."&amp;CHAR(10)&amp;CHAR(10)&amp;"QUALITY AUDIT DETAILS"&amp;CHAR(10)&amp;"Agent Name: "&amp;$C1894&amp;" (EID "&amp;$D1894&amp;")"&amp;CHAR(10)&amp;"Audit Date: "&amp;TEXT($B1894,"yyyy-mm-dd")&amp;CHAR(10)&amp;"Team Leader: "&amp;$F1894&amp;CHAR(10)&amp;"Case Number: "&amp;$M1894&amp;CHAR(10)&amp;"Transaction ID: "&amp;$N1894&amp;CHAR(10)&amp;"Channel / LOB: "&amp;$K1894&amp;" / "&amp;$L1894&amp;CHAR(10)&amp;"Evaluator: "&amp;$S1894&amp;CHAR(10)&amp;CHAR(10)&amp;"INVALID QUALITY AUDIT DETAILS"&amp;CHAR(10)&amp;"Validation: Invalid"&amp;CHAR(10)&amp;"Invalid Reason: "&amp;$P1894&amp;CHAR(10)&amp;"Expected Resolution Code: "&amp;$Q1894&amp;CHAR(10)&amp;"Remarks: "&amp;LEFT($R1894,600)&amp;CHAR(10)&amp;CHAR(10)&amp;"This is an automated notification from HP Mainstream EQMS."),"✉ Open Email Draft"),"")</f>
        <v/>
      </c>
    </row>
    <row r="1895">
      <c r="A1895" s="25">
        <f>IF($C1895="","","AUD-2026-"&amp;TEXT(ROW()-1,"000000"))</f>
        <v/>
      </c>
      <c r="B1895" s="26" t="n"/>
      <c r="C1895" s="27" t="n"/>
      <c r="D1895" s="25">
        <f>IF($C1895="","",IFERROR(IF(INDEX(Roster!$A:$A,MATCH($C1895,Roster!$B:$B,0))="","",INDEX(Roster!$A:$A,MATCH($C1895,Roster!$B:$B,0))&amp;""),"—"))</f>
        <v/>
      </c>
      <c r="E1895" s="25">
        <f>IF($C1895="","",IFERROR(IF(INDEX(Roster!$C:$C,MATCH($C1895,Roster!$B:$B,0))="","",INDEX(Roster!$C:$C,MATCH($C1895,Roster!$B:$B,0))&amp;""),"—"))</f>
        <v/>
      </c>
      <c r="F1895" s="25">
        <f>IF($C1895="","",IFERROR(IF(INDEX(Roster!$D:$D,MATCH($C1895,Roster!$B:$B,0))="","",INDEX(Roster!$D:$D,MATCH($C1895,Roster!$B:$B,0))&amp;""),"—"))</f>
        <v/>
      </c>
      <c r="G1895" s="25">
        <f>IF($C1895="","",IFERROR(IF(INDEX(Roster!$E:$E,MATCH($C1895,Roster!$B:$B,0))="","",INDEX(Roster!$E:$E,MATCH($C1895,Roster!$B:$B,0))&amp;""),"—"))</f>
        <v/>
      </c>
      <c r="H1895" s="25">
        <f>IF($C1895="","",IFERROR(IF(INDEX(Roster!$F:$F,MATCH($C1895,Roster!$B:$B,0))="","",INDEX(Roster!$F:$F,MATCH($C1895,Roster!$B:$B,0))&amp;""),"—"))</f>
        <v/>
      </c>
      <c r="I1895" s="25">
        <f>IF($C1895="","",IFERROR(IF(INDEX(Roster!$G:$G,MATCH($C1895,Roster!$B:$B,0))="","",INDEX(Roster!$G:$G,MATCH($C1895,Roster!$B:$B,0))&amp;""),"—"))</f>
        <v/>
      </c>
      <c r="J1895" s="25">
        <f>IF($C1895="","",IFERROR(IF(INDEX(Roster!$I:$I,MATCH($C1895,Roster!$B:$B,0))="","",INDEX(Roster!$I:$I,MATCH($C1895,Roster!$B:$B,0))&amp;""),"—"))</f>
        <v/>
      </c>
      <c r="K1895">
        <f>IF($C1895="","",IFERROR(IF(INDEX(Roster!$J:$J,MATCH($C1895,Roster!$B:$B,0))="","",INDEX(Roster!$J:$J,MATCH($C1895,Roster!$B:$B,0))&amp;""),"—"))</f>
        <v/>
      </c>
      <c r="L1895">
        <f>IF($C1895="","",IFERROR(IF(INDEX(Roster!$K:$K,MATCH($C1895,Roster!$B:$B,0))="","",INDEX(Roster!$K:$K,MATCH($C1895,Roster!$B:$B,0))&amp;""),"—"))</f>
        <v/>
      </c>
      <c r="M1895" s="27" t="n"/>
      <c r="N1895" s="27" t="n"/>
      <c r="O1895" s="25">
        <f>IF($C1895="","",IF($P1895="","—",IF($P1895="Valid (Pass)","Valid","Invalid")))</f>
        <v/>
      </c>
      <c r="P1895" s="27" t="n"/>
      <c r="Q1895" s="27" t="n"/>
      <c r="R1895" s="27" t="n"/>
      <c r="S1895" s="27" t="n"/>
      <c r="T1895" s="25">
        <f>IF($C1895="","",IF(OR(ISNUMBER(SEARCH("quick case",$P1895)),ISNUMBER(SEARCH("quick case",$Q1895))),"Yes","No"))</f>
        <v/>
      </c>
      <c r="U1895" s="25">
        <f>IF($O1895="Invalid",HYPERLINK("mailto:"&amp;$G1895&amp;";"&amp;$I1895&amp;"?cc="&amp;Lists!$E$2&amp;"&amp;subject="&amp;_xlfn.ENCODEURL("[INVALID] Quality audit monitoring completed for "&amp;UPPER($C1895))&amp;"&amp;body="&amp;_xlfn.ENCODEURL("Hi "&amp;$F1895&amp;","&amp;CHAR(10)&amp;"Good day!"&amp;CHAR(10)&amp;CHAR(10)&amp;"A quality monitoring audit has been completed for "&amp;$C1895&amp;"."&amp;CHAR(10)&amp;CHAR(10)&amp;"QUALITY AUDIT DETAILS"&amp;CHAR(10)&amp;"Agent Name: "&amp;$C1895&amp;" (EID "&amp;$D1895&amp;")"&amp;CHAR(10)&amp;"Audit Date: "&amp;TEXT($B1895,"yyyy-mm-dd")&amp;CHAR(10)&amp;"Team Leader: "&amp;$F1895&amp;CHAR(10)&amp;"Case Number: "&amp;$M1895&amp;CHAR(10)&amp;"Transaction ID: "&amp;$N1895&amp;CHAR(10)&amp;"Channel / LOB: "&amp;$K1895&amp;" / "&amp;$L1895&amp;CHAR(10)&amp;"Evaluator: "&amp;$S1895&amp;CHAR(10)&amp;CHAR(10)&amp;"INVALID QUALITY AUDIT DETAILS"&amp;CHAR(10)&amp;"Validation: Invalid"&amp;CHAR(10)&amp;"Invalid Reason: "&amp;$P1895&amp;CHAR(10)&amp;"Expected Resolution Code: "&amp;$Q1895&amp;CHAR(10)&amp;"Remarks: "&amp;LEFT($R1895,600)&amp;CHAR(10)&amp;CHAR(10)&amp;"This is an automated notification from HP Mainstream EQMS."),"✉ Open Email Draft"),"")</f>
        <v/>
      </c>
    </row>
    <row r="1896">
      <c r="A1896" s="25">
        <f>IF($C1896="","","AUD-2026-"&amp;TEXT(ROW()-1,"000000"))</f>
        <v/>
      </c>
      <c r="B1896" s="26" t="n"/>
      <c r="C1896" s="27" t="n"/>
      <c r="D1896" s="25">
        <f>IF($C1896="","",IFERROR(IF(INDEX(Roster!$A:$A,MATCH($C1896,Roster!$B:$B,0))="","",INDEX(Roster!$A:$A,MATCH($C1896,Roster!$B:$B,0))&amp;""),"—"))</f>
        <v/>
      </c>
      <c r="E1896" s="25">
        <f>IF($C1896="","",IFERROR(IF(INDEX(Roster!$C:$C,MATCH($C1896,Roster!$B:$B,0))="","",INDEX(Roster!$C:$C,MATCH($C1896,Roster!$B:$B,0))&amp;""),"—"))</f>
        <v/>
      </c>
      <c r="F1896" s="25">
        <f>IF($C1896="","",IFERROR(IF(INDEX(Roster!$D:$D,MATCH($C1896,Roster!$B:$B,0))="","",INDEX(Roster!$D:$D,MATCH($C1896,Roster!$B:$B,0))&amp;""),"—"))</f>
        <v/>
      </c>
      <c r="G1896" s="25">
        <f>IF($C1896="","",IFERROR(IF(INDEX(Roster!$E:$E,MATCH($C1896,Roster!$B:$B,0))="","",INDEX(Roster!$E:$E,MATCH($C1896,Roster!$B:$B,0))&amp;""),"—"))</f>
        <v/>
      </c>
      <c r="H1896" s="25">
        <f>IF($C1896="","",IFERROR(IF(INDEX(Roster!$F:$F,MATCH($C1896,Roster!$B:$B,0))="","",INDEX(Roster!$F:$F,MATCH($C1896,Roster!$B:$B,0))&amp;""),"—"))</f>
        <v/>
      </c>
      <c r="I1896" s="25">
        <f>IF($C1896="","",IFERROR(IF(INDEX(Roster!$G:$G,MATCH($C1896,Roster!$B:$B,0))="","",INDEX(Roster!$G:$G,MATCH($C1896,Roster!$B:$B,0))&amp;""),"—"))</f>
        <v/>
      </c>
      <c r="J1896" s="25">
        <f>IF($C1896="","",IFERROR(IF(INDEX(Roster!$I:$I,MATCH($C1896,Roster!$B:$B,0))="","",INDEX(Roster!$I:$I,MATCH($C1896,Roster!$B:$B,0))&amp;""),"—"))</f>
        <v/>
      </c>
      <c r="K1896">
        <f>IF($C1896="","",IFERROR(IF(INDEX(Roster!$J:$J,MATCH($C1896,Roster!$B:$B,0))="","",INDEX(Roster!$J:$J,MATCH($C1896,Roster!$B:$B,0))&amp;""),"—"))</f>
        <v/>
      </c>
      <c r="L1896">
        <f>IF($C1896="","",IFERROR(IF(INDEX(Roster!$K:$K,MATCH($C1896,Roster!$B:$B,0))="","",INDEX(Roster!$K:$K,MATCH($C1896,Roster!$B:$B,0))&amp;""),"—"))</f>
        <v/>
      </c>
      <c r="M1896" s="27" t="n"/>
      <c r="N1896" s="27" t="n"/>
      <c r="O1896" s="25">
        <f>IF($C1896="","",IF($P1896="","—",IF($P1896="Valid (Pass)","Valid","Invalid")))</f>
        <v/>
      </c>
      <c r="P1896" s="27" t="n"/>
      <c r="Q1896" s="27" t="n"/>
      <c r="R1896" s="27" t="n"/>
      <c r="S1896" s="27" t="n"/>
      <c r="T1896" s="25">
        <f>IF($C1896="","",IF(OR(ISNUMBER(SEARCH("quick case",$P1896)),ISNUMBER(SEARCH("quick case",$Q1896))),"Yes","No"))</f>
        <v/>
      </c>
      <c r="U1896" s="25">
        <f>IF($O1896="Invalid",HYPERLINK("mailto:"&amp;$G1896&amp;";"&amp;$I1896&amp;"?cc="&amp;Lists!$E$2&amp;"&amp;subject="&amp;_xlfn.ENCODEURL("[INVALID] Quality audit monitoring completed for "&amp;UPPER($C1896))&amp;"&amp;body="&amp;_xlfn.ENCODEURL("Hi "&amp;$F1896&amp;","&amp;CHAR(10)&amp;"Good day!"&amp;CHAR(10)&amp;CHAR(10)&amp;"A quality monitoring audit has been completed for "&amp;$C1896&amp;"."&amp;CHAR(10)&amp;CHAR(10)&amp;"QUALITY AUDIT DETAILS"&amp;CHAR(10)&amp;"Agent Name: "&amp;$C1896&amp;" (EID "&amp;$D1896&amp;")"&amp;CHAR(10)&amp;"Audit Date: "&amp;TEXT($B1896,"yyyy-mm-dd")&amp;CHAR(10)&amp;"Team Leader: "&amp;$F1896&amp;CHAR(10)&amp;"Case Number: "&amp;$M1896&amp;CHAR(10)&amp;"Transaction ID: "&amp;$N1896&amp;CHAR(10)&amp;"Channel / LOB: "&amp;$K1896&amp;" / "&amp;$L1896&amp;CHAR(10)&amp;"Evaluator: "&amp;$S1896&amp;CHAR(10)&amp;CHAR(10)&amp;"INVALID QUALITY AUDIT DETAILS"&amp;CHAR(10)&amp;"Validation: Invalid"&amp;CHAR(10)&amp;"Invalid Reason: "&amp;$P1896&amp;CHAR(10)&amp;"Expected Resolution Code: "&amp;$Q1896&amp;CHAR(10)&amp;"Remarks: "&amp;LEFT($R1896,600)&amp;CHAR(10)&amp;CHAR(10)&amp;"This is an automated notification from HP Mainstream EQMS."),"✉ Open Email Draft"),"")</f>
        <v/>
      </c>
    </row>
    <row r="1897">
      <c r="A1897" s="25">
        <f>IF($C1897="","","AUD-2026-"&amp;TEXT(ROW()-1,"000000"))</f>
        <v/>
      </c>
      <c r="B1897" s="26" t="n"/>
      <c r="C1897" s="27" t="n"/>
      <c r="D1897" s="25">
        <f>IF($C1897="","",IFERROR(IF(INDEX(Roster!$A:$A,MATCH($C1897,Roster!$B:$B,0))="","",INDEX(Roster!$A:$A,MATCH($C1897,Roster!$B:$B,0))&amp;""),"—"))</f>
        <v/>
      </c>
      <c r="E1897" s="25">
        <f>IF($C1897="","",IFERROR(IF(INDEX(Roster!$C:$C,MATCH($C1897,Roster!$B:$B,0))="","",INDEX(Roster!$C:$C,MATCH($C1897,Roster!$B:$B,0))&amp;""),"—"))</f>
        <v/>
      </c>
      <c r="F1897" s="25">
        <f>IF($C1897="","",IFERROR(IF(INDEX(Roster!$D:$D,MATCH($C1897,Roster!$B:$B,0))="","",INDEX(Roster!$D:$D,MATCH($C1897,Roster!$B:$B,0))&amp;""),"—"))</f>
        <v/>
      </c>
      <c r="G1897" s="25">
        <f>IF($C1897="","",IFERROR(IF(INDEX(Roster!$E:$E,MATCH($C1897,Roster!$B:$B,0))="","",INDEX(Roster!$E:$E,MATCH($C1897,Roster!$B:$B,0))&amp;""),"—"))</f>
        <v/>
      </c>
      <c r="H1897" s="25">
        <f>IF($C1897="","",IFERROR(IF(INDEX(Roster!$F:$F,MATCH($C1897,Roster!$B:$B,0))="","",INDEX(Roster!$F:$F,MATCH($C1897,Roster!$B:$B,0))&amp;""),"—"))</f>
        <v/>
      </c>
      <c r="I1897" s="25">
        <f>IF($C1897="","",IFERROR(IF(INDEX(Roster!$G:$G,MATCH($C1897,Roster!$B:$B,0))="","",INDEX(Roster!$G:$G,MATCH($C1897,Roster!$B:$B,0))&amp;""),"—"))</f>
        <v/>
      </c>
      <c r="J1897" s="25">
        <f>IF($C1897="","",IFERROR(IF(INDEX(Roster!$I:$I,MATCH($C1897,Roster!$B:$B,0))="","",INDEX(Roster!$I:$I,MATCH($C1897,Roster!$B:$B,0))&amp;""),"—"))</f>
        <v/>
      </c>
      <c r="K1897">
        <f>IF($C1897="","",IFERROR(IF(INDEX(Roster!$J:$J,MATCH($C1897,Roster!$B:$B,0))="","",INDEX(Roster!$J:$J,MATCH($C1897,Roster!$B:$B,0))&amp;""),"—"))</f>
        <v/>
      </c>
      <c r="L1897">
        <f>IF($C1897="","",IFERROR(IF(INDEX(Roster!$K:$K,MATCH($C1897,Roster!$B:$B,0))="","",INDEX(Roster!$K:$K,MATCH($C1897,Roster!$B:$B,0))&amp;""),"—"))</f>
        <v/>
      </c>
      <c r="M1897" s="27" t="n"/>
      <c r="N1897" s="27" t="n"/>
      <c r="O1897" s="25">
        <f>IF($C1897="","",IF($P1897="","—",IF($P1897="Valid (Pass)","Valid","Invalid")))</f>
        <v/>
      </c>
      <c r="P1897" s="27" t="n"/>
      <c r="Q1897" s="27" t="n"/>
      <c r="R1897" s="27" t="n"/>
      <c r="S1897" s="27" t="n"/>
      <c r="T1897" s="25">
        <f>IF($C1897="","",IF(OR(ISNUMBER(SEARCH("quick case",$P1897)),ISNUMBER(SEARCH("quick case",$Q1897))),"Yes","No"))</f>
        <v/>
      </c>
      <c r="U1897" s="25">
        <f>IF($O1897="Invalid",HYPERLINK("mailto:"&amp;$G1897&amp;";"&amp;$I1897&amp;"?cc="&amp;Lists!$E$2&amp;"&amp;subject="&amp;_xlfn.ENCODEURL("[INVALID] Quality audit monitoring completed for "&amp;UPPER($C1897))&amp;"&amp;body="&amp;_xlfn.ENCODEURL("Hi "&amp;$F1897&amp;","&amp;CHAR(10)&amp;"Good day!"&amp;CHAR(10)&amp;CHAR(10)&amp;"A quality monitoring audit has been completed for "&amp;$C1897&amp;"."&amp;CHAR(10)&amp;CHAR(10)&amp;"QUALITY AUDIT DETAILS"&amp;CHAR(10)&amp;"Agent Name: "&amp;$C1897&amp;" (EID "&amp;$D1897&amp;")"&amp;CHAR(10)&amp;"Audit Date: "&amp;TEXT($B1897,"yyyy-mm-dd")&amp;CHAR(10)&amp;"Team Leader: "&amp;$F1897&amp;CHAR(10)&amp;"Case Number: "&amp;$M1897&amp;CHAR(10)&amp;"Transaction ID: "&amp;$N1897&amp;CHAR(10)&amp;"Channel / LOB: "&amp;$K1897&amp;" / "&amp;$L1897&amp;CHAR(10)&amp;"Evaluator: "&amp;$S1897&amp;CHAR(10)&amp;CHAR(10)&amp;"INVALID QUALITY AUDIT DETAILS"&amp;CHAR(10)&amp;"Validation: Invalid"&amp;CHAR(10)&amp;"Invalid Reason: "&amp;$P1897&amp;CHAR(10)&amp;"Expected Resolution Code: "&amp;$Q1897&amp;CHAR(10)&amp;"Remarks: "&amp;LEFT($R1897,600)&amp;CHAR(10)&amp;CHAR(10)&amp;"This is an automated notification from HP Mainstream EQMS."),"✉ Open Email Draft"),"")</f>
        <v/>
      </c>
    </row>
    <row r="1898">
      <c r="A1898" s="25">
        <f>IF($C1898="","","AUD-2026-"&amp;TEXT(ROW()-1,"000000"))</f>
        <v/>
      </c>
      <c r="B1898" s="26" t="n"/>
      <c r="C1898" s="27" t="n"/>
      <c r="D1898" s="25">
        <f>IF($C1898="","",IFERROR(IF(INDEX(Roster!$A:$A,MATCH($C1898,Roster!$B:$B,0))="","",INDEX(Roster!$A:$A,MATCH($C1898,Roster!$B:$B,0))&amp;""),"—"))</f>
        <v/>
      </c>
      <c r="E1898" s="25">
        <f>IF($C1898="","",IFERROR(IF(INDEX(Roster!$C:$C,MATCH($C1898,Roster!$B:$B,0))="","",INDEX(Roster!$C:$C,MATCH($C1898,Roster!$B:$B,0))&amp;""),"—"))</f>
        <v/>
      </c>
      <c r="F1898" s="25">
        <f>IF($C1898="","",IFERROR(IF(INDEX(Roster!$D:$D,MATCH($C1898,Roster!$B:$B,0))="","",INDEX(Roster!$D:$D,MATCH($C1898,Roster!$B:$B,0))&amp;""),"—"))</f>
        <v/>
      </c>
      <c r="G1898" s="25">
        <f>IF($C1898="","",IFERROR(IF(INDEX(Roster!$E:$E,MATCH($C1898,Roster!$B:$B,0))="","",INDEX(Roster!$E:$E,MATCH($C1898,Roster!$B:$B,0))&amp;""),"—"))</f>
        <v/>
      </c>
      <c r="H1898" s="25">
        <f>IF($C1898="","",IFERROR(IF(INDEX(Roster!$F:$F,MATCH($C1898,Roster!$B:$B,0))="","",INDEX(Roster!$F:$F,MATCH($C1898,Roster!$B:$B,0))&amp;""),"—"))</f>
        <v/>
      </c>
      <c r="I1898" s="25">
        <f>IF($C1898="","",IFERROR(IF(INDEX(Roster!$G:$G,MATCH($C1898,Roster!$B:$B,0))="","",INDEX(Roster!$G:$G,MATCH($C1898,Roster!$B:$B,0))&amp;""),"—"))</f>
        <v/>
      </c>
      <c r="J1898" s="25">
        <f>IF($C1898="","",IFERROR(IF(INDEX(Roster!$I:$I,MATCH($C1898,Roster!$B:$B,0))="","",INDEX(Roster!$I:$I,MATCH($C1898,Roster!$B:$B,0))&amp;""),"—"))</f>
        <v/>
      </c>
      <c r="K1898">
        <f>IF($C1898="","",IFERROR(IF(INDEX(Roster!$J:$J,MATCH($C1898,Roster!$B:$B,0))="","",INDEX(Roster!$J:$J,MATCH($C1898,Roster!$B:$B,0))&amp;""),"—"))</f>
        <v/>
      </c>
      <c r="L1898">
        <f>IF($C1898="","",IFERROR(IF(INDEX(Roster!$K:$K,MATCH($C1898,Roster!$B:$B,0))="","",INDEX(Roster!$K:$K,MATCH($C1898,Roster!$B:$B,0))&amp;""),"—"))</f>
        <v/>
      </c>
      <c r="M1898" s="27" t="n"/>
      <c r="N1898" s="27" t="n"/>
      <c r="O1898" s="25">
        <f>IF($C1898="","",IF($P1898="","—",IF($P1898="Valid (Pass)","Valid","Invalid")))</f>
        <v/>
      </c>
      <c r="P1898" s="27" t="n"/>
      <c r="Q1898" s="27" t="n"/>
      <c r="R1898" s="27" t="n"/>
      <c r="S1898" s="27" t="n"/>
      <c r="T1898" s="25">
        <f>IF($C1898="","",IF(OR(ISNUMBER(SEARCH("quick case",$P1898)),ISNUMBER(SEARCH("quick case",$Q1898))),"Yes","No"))</f>
        <v/>
      </c>
      <c r="U1898" s="25">
        <f>IF($O1898="Invalid",HYPERLINK("mailto:"&amp;$G1898&amp;";"&amp;$I1898&amp;"?cc="&amp;Lists!$E$2&amp;"&amp;subject="&amp;_xlfn.ENCODEURL("[INVALID] Quality audit monitoring completed for "&amp;UPPER($C1898))&amp;"&amp;body="&amp;_xlfn.ENCODEURL("Hi "&amp;$F1898&amp;","&amp;CHAR(10)&amp;"Good day!"&amp;CHAR(10)&amp;CHAR(10)&amp;"A quality monitoring audit has been completed for "&amp;$C1898&amp;"."&amp;CHAR(10)&amp;CHAR(10)&amp;"QUALITY AUDIT DETAILS"&amp;CHAR(10)&amp;"Agent Name: "&amp;$C1898&amp;" (EID "&amp;$D1898&amp;")"&amp;CHAR(10)&amp;"Audit Date: "&amp;TEXT($B1898,"yyyy-mm-dd")&amp;CHAR(10)&amp;"Team Leader: "&amp;$F1898&amp;CHAR(10)&amp;"Case Number: "&amp;$M1898&amp;CHAR(10)&amp;"Transaction ID: "&amp;$N1898&amp;CHAR(10)&amp;"Channel / LOB: "&amp;$K1898&amp;" / "&amp;$L1898&amp;CHAR(10)&amp;"Evaluator: "&amp;$S1898&amp;CHAR(10)&amp;CHAR(10)&amp;"INVALID QUALITY AUDIT DETAILS"&amp;CHAR(10)&amp;"Validation: Invalid"&amp;CHAR(10)&amp;"Invalid Reason: "&amp;$P1898&amp;CHAR(10)&amp;"Expected Resolution Code: "&amp;$Q1898&amp;CHAR(10)&amp;"Remarks: "&amp;LEFT($R1898,600)&amp;CHAR(10)&amp;CHAR(10)&amp;"This is an automated notification from HP Mainstream EQMS."),"✉ Open Email Draft"),"")</f>
        <v/>
      </c>
    </row>
    <row r="1899">
      <c r="A1899" s="25">
        <f>IF($C1899="","","AUD-2026-"&amp;TEXT(ROW()-1,"000000"))</f>
        <v/>
      </c>
      <c r="B1899" s="26" t="n"/>
      <c r="C1899" s="27" t="n"/>
      <c r="D1899" s="25">
        <f>IF($C1899="","",IFERROR(IF(INDEX(Roster!$A:$A,MATCH($C1899,Roster!$B:$B,0))="","",INDEX(Roster!$A:$A,MATCH($C1899,Roster!$B:$B,0))&amp;""),"—"))</f>
        <v/>
      </c>
      <c r="E1899" s="25">
        <f>IF($C1899="","",IFERROR(IF(INDEX(Roster!$C:$C,MATCH($C1899,Roster!$B:$B,0))="","",INDEX(Roster!$C:$C,MATCH($C1899,Roster!$B:$B,0))&amp;""),"—"))</f>
        <v/>
      </c>
      <c r="F1899" s="25">
        <f>IF($C1899="","",IFERROR(IF(INDEX(Roster!$D:$D,MATCH($C1899,Roster!$B:$B,0))="","",INDEX(Roster!$D:$D,MATCH($C1899,Roster!$B:$B,0))&amp;""),"—"))</f>
        <v/>
      </c>
      <c r="G1899" s="25">
        <f>IF($C1899="","",IFERROR(IF(INDEX(Roster!$E:$E,MATCH($C1899,Roster!$B:$B,0))="","",INDEX(Roster!$E:$E,MATCH($C1899,Roster!$B:$B,0))&amp;""),"—"))</f>
        <v/>
      </c>
      <c r="H1899" s="25">
        <f>IF($C1899="","",IFERROR(IF(INDEX(Roster!$F:$F,MATCH($C1899,Roster!$B:$B,0))="","",INDEX(Roster!$F:$F,MATCH($C1899,Roster!$B:$B,0))&amp;""),"—"))</f>
        <v/>
      </c>
      <c r="I1899" s="25">
        <f>IF($C1899="","",IFERROR(IF(INDEX(Roster!$G:$G,MATCH($C1899,Roster!$B:$B,0))="","",INDEX(Roster!$G:$G,MATCH($C1899,Roster!$B:$B,0))&amp;""),"—"))</f>
        <v/>
      </c>
      <c r="J1899" s="25">
        <f>IF($C1899="","",IFERROR(IF(INDEX(Roster!$I:$I,MATCH($C1899,Roster!$B:$B,0))="","",INDEX(Roster!$I:$I,MATCH($C1899,Roster!$B:$B,0))&amp;""),"—"))</f>
        <v/>
      </c>
      <c r="K1899">
        <f>IF($C1899="","",IFERROR(IF(INDEX(Roster!$J:$J,MATCH($C1899,Roster!$B:$B,0))="","",INDEX(Roster!$J:$J,MATCH($C1899,Roster!$B:$B,0))&amp;""),"—"))</f>
        <v/>
      </c>
      <c r="L1899">
        <f>IF($C1899="","",IFERROR(IF(INDEX(Roster!$K:$K,MATCH($C1899,Roster!$B:$B,0))="","",INDEX(Roster!$K:$K,MATCH($C1899,Roster!$B:$B,0))&amp;""),"—"))</f>
        <v/>
      </c>
      <c r="M1899" s="27" t="n"/>
      <c r="N1899" s="27" t="n"/>
      <c r="O1899" s="25">
        <f>IF($C1899="","",IF($P1899="","—",IF($P1899="Valid (Pass)","Valid","Invalid")))</f>
        <v/>
      </c>
      <c r="P1899" s="27" t="n"/>
      <c r="Q1899" s="27" t="n"/>
      <c r="R1899" s="27" t="n"/>
      <c r="S1899" s="27" t="n"/>
      <c r="T1899" s="25">
        <f>IF($C1899="","",IF(OR(ISNUMBER(SEARCH("quick case",$P1899)),ISNUMBER(SEARCH("quick case",$Q1899))),"Yes","No"))</f>
        <v/>
      </c>
      <c r="U1899" s="25">
        <f>IF($O1899="Invalid",HYPERLINK("mailto:"&amp;$G1899&amp;";"&amp;$I1899&amp;"?cc="&amp;Lists!$E$2&amp;"&amp;subject="&amp;_xlfn.ENCODEURL("[INVALID] Quality audit monitoring completed for "&amp;UPPER($C1899))&amp;"&amp;body="&amp;_xlfn.ENCODEURL("Hi "&amp;$F1899&amp;","&amp;CHAR(10)&amp;"Good day!"&amp;CHAR(10)&amp;CHAR(10)&amp;"A quality monitoring audit has been completed for "&amp;$C1899&amp;"."&amp;CHAR(10)&amp;CHAR(10)&amp;"QUALITY AUDIT DETAILS"&amp;CHAR(10)&amp;"Agent Name: "&amp;$C1899&amp;" (EID "&amp;$D1899&amp;")"&amp;CHAR(10)&amp;"Audit Date: "&amp;TEXT($B1899,"yyyy-mm-dd")&amp;CHAR(10)&amp;"Team Leader: "&amp;$F1899&amp;CHAR(10)&amp;"Case Number: "&amp;$M1899&amp;CHAR(10)&amp;"Transaction ID: "&amp;$N1899&amp;CHAR(10)&amp;"Channel / LOB: "&amp;$K1899&amp;" / "&amp;$L1899&amp;CHAR(10)&amp;"Evaluator: "&amp;$S1899&amp;CHAR(10)&amp;CHAR(10)&amp;"INVALID QUALITY AUDIT DETAILS"&amp;CHAR(10)&amp;"Validation: Invalid"&amp;CHAR(10)&amp;"Invalid Reason: "&amp;$P1899&amp;CHAR(10)&amp;"Expected Resolution Code: "&amp;$Q1899&amp;CHAR(10)&amp;"Remarks: "&amp;LEFT($R1899,600)&amp;CHAR(10)&amp;CHAR(10)&amp;"This is an automated notification from HP Mainstream EQMS."),"✉ Open Email Draft"),"")</f>
        <v/>
      </c>
    </row>
    <row r="1900">
      <c r="A1900" s="25">
        <f>IF($C1900="","","AUD-2026-"&amp;TEXT(ROW()-1,"000000"))</f>
        <v/>
      </c>
      <c r="B1900" s="26" t="n"/>
      <c r="C1900" s="27" t="n"/>
      <c r="D1900" s="25">
        <f>IF($C1900="","",IFERROR(IF(INDEX(Roster!$A:$A,MATCH($C1900,Roster!$B:$B,0))="","",INDEX(Roster!$A:$A,MATCH($C1900,Roster!$B:$B,0))&amp;""),"—"))</f>
        <v/>
      </c>
      <c r="E1900" s="25">
        <f>IF($C1900="","",IFERROR(IF(INDEX(Roster!$C:$C,MATCH($C1900,Roster!$B:$B,0))="","",INDEX(Roster!$C:$C,MATCH($C1900,Roster!$B:$B,0))&amp;""),"—"))</f>
        <v/>
      </c>
      <c r="F1900" s="25">
        <f>IF($C1900="","",IFERROR(IF(INDEX(Roster!$D:$D,MATCH($C1900,Roster!$B:$B,0))="","",INDEX(Roster!$D:$D,MATCH($C1900,Roster!$B:$B,0))&amp;""),"—"))</f>
        <v/>
      </c>
      <c r="G1900" s="25">
        <f>IF($C1900="","",IFERROR(IF(INDEX(Roster!$E:$E,MATCH($C1900,Roster!$B:$B,0))="","",INDEX(Roster!$E:$E,MATCH($C1900,Roster!$B:$B,0))&amp;""),"—"))</f>
        <v/>
      </c>
      <c r="H1900" s="25">
        <f>IF($C1900="","",IFERROR(IF(INDEX(Roster!$F:$F,MATCH($C1900,Roster!$B:$B,0))="","",INDEX(Roster!$F:$F,MATCH($C1900,Roster!$B:$B,0))&amp;""),"—"))</f>
        <v/>
      </c>
      <c r="I1900" s="25">
        <f>IF($C1900="","",IFERROR(IF(INDEX(Roster!$G:$G,MATCH($C1900,Roster!$B:$B,0))="","",INDEX(Roster!$G:$G,MATCH($C1900,Roster!$B:$B,0))&amp;""),"—"))</f>
        <v/>
      </c>
      <c r="J1900" s="25">
        <f>IF($C1900="","",IFERROR(IF(INDEX(Roster!$I:$I,MATCH($C1900,Roster!$B:$B,0))="","",INDEX(Roster!$I:$I,MATCH($C1900,Roster!$B:$B,0))&amp;""),"—"))</f>
        <v/>
      </c>
      <c r="K1900">
        <f>IF($C1900="","",IFERROR(IF(INDEX(Roster!$J:$J,MATCH($C1900,Roster!$B:$B,0))="","",INDEX(Roster!$J:$J,MATCH($C1900,Roster!$B:$B,0))&amp;""),"—"))</f>
        <v/>
      </c>
      <c r="L1900">
        <f>IF($C1900="","",IFERROR(IF(INDEX(Roster!$K:$K,MATCH($C1900,Roster!$B:$B,0))="","",INDEX(Roster!$K:$K,MATCH($C1900,Roster!$B:$B,0))&amp;""),"—"))</f>
        <v/>
      </c>
      <c r="M1900" s="27" t="n"/>
      <c r="N1900" s="27" t="n"/>
      <c r="O1900" s="25">
        <f>IF($C1900="","",IF($P1900="","—",IF($P1900="Valid (Pass)","Valid","Invalid")))</f>
        <v/>
      </c>
      <c r="P1900" s="27" t="n"/>
      <c r="Q1900" s="27" t="n"/>
      <c r="R1900" s="27" t="n"/>
      <c r="S1900" s="27" t="n"/>
      <c r="T1900" s="25">
        <f>IF($C1900="","",IF(OR(ISNUMBER(SEARCH("quick case",$P1900)),ISNUMBER(SEARCH("quick case",$Q1900))),"Yes","No"))</f>
        <v/>
      </c>
      <c r="U1900" s="25">
        <f>IF($O1900="Invalid",HYPERLINK("mailto:"&amp;$G1900&amp;";"&amp;$I1900&amp;"?cc="&amp;Lists!$E$2&amp;"&amp;subject="&amp;_xlfn.ENCODEURL("[INVALID] Quality audit monitoring completed for "&amp;UPPER($C1900))&amp;"&amp;body="&amp;_xlfn.ENCODEURL("Hi "&amp;$F1900&amp;","&amp;CHAR(10)&amp;"Good day!"&amp;CHAR(10)&amp;CHAR(10)&amp;"A quality monitoring audit has been completed for "&amp;$C1900&amp;"."&amp;CHAR(10)&amp;CHAR(10)&amp;"QUALITY AUDIT DETAILS"&amp;CHAR(10)&amp;"Agent Name: "&amp;$C1900&amp;" (EID "&amp;$D1900&amp;")"&amp;CHAR(10)&amp;"Audit Date: "&amp;TEXT($B1900,"yyyy-mm-dd")&amp;CHAR(10)&amp;"Team Leader: "&amp;$F1900&amp;CHAR(10)&amp;"Case Number: "&amp;$M1900&amp;CHAR(10)&amp;"Transaction ID: "&amp;$N1900&amp;CHAR(10)&amp;"Channel / LOB: "&amp;$K1900&amp;" / "&amp;$L1900&amp;CHAR(10)&amp;"Evaluator: "&amp;$S1900&amp;CHAR(10)&amp;CHAR(10)&amp;"INVALID QUALITY AUDIT DETAILS"&amp;CHAR(10)&amp;"Validation: Invalid"&amp;CHAR(10)&amp;"Invalid Reason: "&amp;$P1900&amp;CHAR(10)&amp;"Expected Resolution Code: "&amp;$Q1900&amp;CHAR(10)&amp;"Remarks: "&amp;LEFT($R1900,600)&amp;CHAR(10)&amp;CHAR(10)&amp;"This is an automated notification from HP Mainstream EQMS."),"✉ Open Email Draft"),"")</f>
        <v/>
      </c>
    </row>
    <row r="1901">
      <c r="A1901" s="25">
        <f>IF($C1901="","","AUD-2026-"&amp;TEXT(ROW()-1,"000000"))</f>
        <v/>
      </c>
      <c r="B1901" s="26" t="n"/>
      <c r="C1901" s="27" t="n"/>
      <c r="D1901" s="25">
        <f>IF($C1901="","",IFERROR(IF(INDEX(Roster!$A:$A,MATCH($C1901,Roster!$B:$B,0))="","",INDEX(Roster!$A:$A,MATCH($C1901,Roster!$B:$B,0))&amp;""),"—"))</f>
        <v/>
      </c>
      <c r="E1901" s="25">
        <f>IF($C1901="","",IFERROR(IF(INDEX(Roster!$C:$C,MATCH($C1901,Roster!$B:$B,0))="","",INDEX(Roster!$C:$C,MATCH($C1901,Roster!$B:$B,0))&amp;""),"—"))</f>
        <v/>
      </c>
      <c r="F1901" s="25">
        <f>IF($C1901="","",IFERROR(IF(INDEX(Roster!$D:$D,MATCH($C1901,Roster!$B:$B,0))="","",INDEX(Roster!$D:$D,MATCH($C1901,Roster!$B:$B,0))&amp;""),"—"))</f>
        <v/>
      </c>
      <c r="G1901" s="25">
        <f>IF($C1901="","",IFERROR(IF(INDEX(Roster!$E:$E,MATCH($C1901,Roster!$B:$B,0))="","",INDEX(Roster!$E:$E,MATCH($C1901,Roster!$B:$B,0))&amp;""),"—"))</f>
        <v/>
      </c>
      <c r="H1901" s="25">
        <f>IF($C1901="","",IFERROR(IF(INDEX(Roster!$F:$F,MATCH($C1901,Roster!$B:$B,0))="","",INDEX(Roster!$F:$F,MATCH($C1901,Roster!$B:$B,0))&amp;""),"—"))</f>
        <v/>
      </c>
      <c r="I1901" s="25">
        <f>IF($C1901="","",IFERROR(IF(INDEX(Roster!$G:$G,MATCH($C1901,Roster!$B:$B,0))="","",INDEX(Roster!$G:$G,MATCH($C1901,Roster!$B:$B,0))&amp;""),"—"))</f>
        <v/>
      </c>
      <c r="J1901" s="25">
        <f>IF($C1901="","",IFERROR(IF(INDEX(Roster!$I:$I,MATCH($C1901,Roster!$B:$B,0))="","",INDEX(Roster!$I:$I,MATCH($C1901,Roster!$B:$B,0))&amp;""),"—"))</f>
        <v/>
      </c>
      <c r="K1901">
        <f>IF($C1901="","",IFERROR(IF(INDEX(Roster!$J:$J,MATCH($C1901,Roster!$B:$B,0))="","",INDEX(Roster!$J:$J,MATCH($C1901,Roster!$B:$B,0))&amp;""),"—"))</f>
        <v/>
      </c>
      <c r="L1901">
        <f>IF($C1901="","",IFERROR(IF(INDEX(Roster!$K:$K,MATCH($C1901,Roster!$B:$B,0))="","",INDEX(Roster!$K:$K,MATCH($C1901,Roster!$B:$B,0))&amp;""),"—"))</f>
        <v/>
      </c>
      <c r="M1901" s="27" t="n"/>
      <c r="N1901" s="27" t="n"/>
      <c r="O1901" s="25">
        <f>IF($C1901="","",IF($P1901="","—",IF($P1901="Valid (Pass)","Valid","Invalid")))</f>
        <v/>
      </c>
      <c r="P1901" s="27" t="n"/>
      <c r="Q1901" s="27" t="n"/>
      <c r="R1901" s="27" t="n"/>
      <c r="S1901" s="27" t="n"/>
      <c r="T1901" s="25">
        <f>IF($C1901="","",IF(OR(ISNUMBER(SEARCH("quick case",$P1901)),ISNUMBER(SEARCH("quick case",$Q1901))),"Yes","No"))</f>
        <v/>
      </c>
      <c r="U1901" s="25">
        <f>IF($O1901="Invalid",HYPERLINK("mailto:"&amp;$G1901&amp;";"&amp;$I1901&amp;"?cc="&amp;Lists!$E$2&amp;"&amp;subject="&amp;_xlfn.ENCODEURL("[INVALID] Quality audit monitoring completed for "&amp;UPPER($C1901))&amp;"&amp;body="&amp;_xlfn.ENCODEURL("Hi "&amp;$F1901&amp;","&amp;CHAR(10)&amp;"Good day!"&amp;CHAR(10)&amp;CHAR(10)&amp;"A quality monitoring audit has been completed for "&amp;$C1901&amp;"."&amp;CHAR(10)&amp;CHAR(10)&amp;"QUALITY AUDIT DETAILS"&amp;CHAR(10)&amp;"Agent Name: "&amp;$C1901&amp;" (EID "&amp;$D1901&amp;")"&amp;CHAR(10)&amp;"Audit Date: "&amp;TEXT($B1901,"yyyy-mm-dd")&amp;CHAR(10)&amp;"Team Leader: "&amp;$F1901&amp;CHAR(10)&amp;"Case Number: "&amp;$M1901&amp;CHAR(10)&amp;"Transaction ID: "&amp;$N1901&amp;CHAR(10)&amp;"Channel / LOB: "&amp;$K1901&amp;" / "&amp;$L1901&amp;CHAR(10)&amp;"Evaluator: "&amp;$S1901&amp;CHAR(10)&amp;CHAR(10)&amp;"INVALID QUALITY AUDIT DETAILS"&amp;CHAR(10)&amp;"Validation: Invalid"&amp;CHAR(10)&amp;"Invalid Reason: "&amp;$P1901&amp;CHAR(10)&amp;"Expected Resolution Code: "&amp;$Q1901&amp;CHAR(10)&amp;"Remarks: "&amp;LEFT($R1901,600)&amp;CHAR(10)&amp;CHAR(10)&amp;"This is an automated notification from HP Mainstream EQMS."),"✉ Open Email Draft"),"")</f>
        <v/>
      </c>
    </row>
    <row r="1902">
      <c r="A1902" s="25">
        <f>IF($C1902="","","AUD-2026-"&amp;TEXT(ROW()-1,"000000"))</f>
        <v/>
      </c>
      <c r="B1902" s="26" t="n"/>
      <c r="C1902" s="27" t="n"/>
      <c r="D1902" s="25">
        <f>IF($C1902="","",IFERROR(IF(INDEX(Roster!$A:$A,MATCH($C1902,Roster!$B:$B,0))="","",INDEX(Roster!$A:$A,MATCH($C1902,Roster!$B:$B,0))&amp;""),"—"))</f>
        <v/>
      </c>
      <c r="E1902" s="25">
        <f>IF($C1902="","",IFERROR(IF(INDEX(Roster!$C:$C,MATCH($C1902,Roster!$B:$B,0))="","",INDEX(Roster!$C:$C,MATCH($C1902,Roster!$B:$B,0))&amp;""),"—"))</f>
        <v/>
      </c>
      <c r="F1902" s="25">
        <f>IF($C1902="","",IFERROR(IF(INDEX(Roster!$D:$D,MATCH($C1902,Roster!$B:$B,0))="","",INDEX(Roster!$D:$D,MATCH($C1902,Roster!$B:$B,0))&amp;""),"—"))</f>
        <v/>
      </c>
      <c r="G1902" s="25">
        <f>IF($C1902="","",IFERROR(IF(INDEX(Roster!$E:$E,MATCH($C1902,Roster!$B:$B,0))="","",INDEX(Roster!$E:$E,MATCH($C1902,Roster!$B:$B,0))&amp;""),"—"))</f>
        <v/>
      </c>
      <c r="H1902" s="25">
        <f>IF($C1902="","",IFERROR(IF(INDEX(Roster!$F:$F,MATCH($C1902,Roster!$B:$B,0))="","",INDEX(Roster!$F:$F,MATCH($C1902,Roster!$B:$B,0))&amp;""),"—"))</f>
        <v/>
      </c>
      <c r="I1902" s="25">
        <f>IF($C1902="","",IFERROR(IF(INDEX(Roster!$G:$G,MATCH($C1902,Roster!$B:$B,0))="","",INDEX(Roster!$G:$G,MATCH($C1902,Roster!$B:$B,0))&amp;""),"—"))</f>
        <v/>
      </c>
      <c r="J1902" s="25">
        <f>IF($C1902="","",IFERROR(IF(INDEX(Roster!$I:$I,MATCH($C1902,Roster!$B:$B,0))="","",INDEX(Roster!$I:$I,MATCH($C1902,Roster!$B:$B,0))&amp;""),"—"))</f>
        <v/>
      </c>
      <c r="K1902">
        <f>IF($C1902="","",IFERROR(IF(INDEX(Roster!$J:$J,MATCH($C1902,Roster!$B:$B,0))="","",INDEX(Roster!$J:$J,MATCH($C1902,Roster!$B:$B,0))&amp;""),"—"))</f>
        <v/>
      </c>
      <c r="L1902">
        <f>IF($C1902="","",IFERROR(IF(INDEX(Roster!$K:$K,MATCH($C1902,Roster!$B:$B,0))="","",INDEX(Roster!$K:$K,MATCH($C1902,Roster!$B:$B,0))&amp;""),"—"))</f>
        <v/>
      </c>
      <c r="M1902" s="27" t="n"/>
      <c r="N1902" s="27" t="n"/>
      <c r="O1902" s="25">
        <f>IF($C1902="","",IF($P1902="","—",IF($P1902="Valid (Pass)","Valid","Invalid")))</f>
        <v/>
      </c>
      <c r="P1902" s="27" t="n"/>
      <c r="Q1902" s="27" t="n"/>
      <c r="R1902" s="27" t="n"/>
      <c r="S1902" s="27" t="n"/>
      <c r="T1902" s="25">
        <f>IF($C1902="","",IF(OR(ISNUMBER(SEARCH("quick case",$P1902)),ISNUMBER(SEARCH("quick case",$Q1902))),"Yes","No"))</f>
        <v/>
      </c>
      <c r="U1902" s="25">
        <f>IF($O1902="Invalid",HYPERLINK("mailto:"&amp;$G1902&amp;";"&amp;$I1902&amp;"?cc="&amp;Lists!$E$2&amp;"&amp;subject="&amp;_xlfn.ENCODEURL("[INVALID] Quality audit monitoring completed for "&amp;UPPER($C1902))&amp;"&amp;body="&amp;_xlfn.ENCODEURL("Hi "&amp;$F1902&amp;","&amp;CHAR(10)&amp;"Good day!"&amp;CHAR(10)&amp;CHAR(10)&amp;"A quality monitoring audit has been completed for "&amp;$C1902&amp;"."&amp;CHAR(10)&amp;CHAR(10)&amp;"QUALITY AUDIT DETAILS"&amp;CHAR(10)&amp;"Agent Name: "&amp;$C1902&amp;" (EID "&amp;$D1902&amp;")"&amp;CHAR(10)&amp;"Audit Date: "&amp;TEXT($B1902,"yyyy-mm-dd")&amp;CHAR(10)&amp;"Team Leader: "&amp;$F1902&amp;CHAR(10)&amp;"Case Number: "&amp;$M1902&amp;CHAR(10)&amp;"Transaction ID: "&amp;$N1902&amp;CHAR(10)&amp;"Channel / LOB: "&amp;$K1902&amp;" / "&amp;$L1902&amp;CHAR(10)&amp;"Evaluator: "&amp;$S1902&amp;CHAR(10)&amp;CHAR(10)&amp;"INVALID QUALITY AUDIT DETAILS"&amp;CHAR(10)&amp;"Validation: Invalid"&amp;CHAR(10)&amp;"Invalid Reason: "&amp;$P1902&amp;CHAR(10)&amp;"Expected Resolution Code: "&amp;$Q1902&amp;CHAR(10)&amp;"Remarks: "&amp;LEFT($R1902,600)&amp;CHAR(10)&amp;CHAR(10)&amp;"This is an automated notification from HP Mainstream EQMS."),"✉ Open Email Draft"),"")</f>
        <v/>
      </c>
    </row>
    <row r="1903">
      <c r="A1903" s="25">
        <f>IF($C1903="","","AUD-2026-"&amp;TEXT(ROW()-1,"000000"))</f>
        <v/>
      </c>
      <c r="B1903" s="26" t="n"/>
      <c r="C1903" s="27" t="n"/>
      <c r="D1903" s="25">
        <f>IF($C1903="","",IFERROR(IF(INDEX(Roster!$A:$A,MATCH($C1903,Roster!$B:$B,0))="","",INDEX(Roster!$A:$A,MATCH($C1903,Roster!$B:$B,0))&amp;""),"—"))</f>
        <v/>
      </c>
      <c r="E1903" s="25">
        <f>IF($C1903="","",IFERROR(IF(INDEX(Roster!$C:$C,MATCH($C1903,Roster!$B:$B,0))="","",INDEX(Roster!$C:$C,MATCH($C1903,Roster!$B:$B,0))&amp;""),"—"))</f>
        <v/>
      </c>
      <c r="F1903" s="25">
        <f>IF($C1903="","",IFERROR(IF(INDEX(Roster!$D:$D,MATCH($C1903,Roster!$B:$B,0))="","",INDEX(Roster!$D:$D,MATCH($C1903,Roster!$B:$B,0))&amp;""),"—"))</f>
        <v/>
      </c>
      <c r="G1903" s="25">
        <f>IF($C1903="","",IFERROR(IF(INDEX(Roster!$E:$E,MATCH($C1903,Roster!$B:$B,0))="","",INDEX(Roster!$E:$E,MATCH($C1903,Roster!$B:$B,0))&amp;""),"—"))</f>
        <v/>
      </c>
      <c r="H1903" s="25">
        <f>IF($C1903="","",IFERROR(IF(INDEX(Roster!$F:$F,MATCH($C1903,Roster!$B:$B,0))="","",INDEX(Roster!$F:$F,MATCH($C1903,Roster!$B:$B,0))&amp;""),"—"))</f>
        <v/>
      </c>
      <c r="I1903" s="25">
        <f>IF($C1903="","",IFERROR(IF(INDEX(Roster!$G:$G,MATCH($C1903,Roster!$B:$B,0))="","",INDEX(Roster!$G:$G,MATCH($C1903,Roster!$B:$B,0))&amp;""),"—"))</f>
        <v/>
      </c>
      <c r="J1903" s="25">
        <f>IF($C1903="","",IFERROR(IF(INDEX(Roster!$I:$I,MATCH($C1903,Roster!$B:$B,0))="","",INDEX(Roster!$I:$I,MATCH($C1903,Roster!$B:$B,0))&amp;""),"—"))</f>
        <v/>
      </c>
      <c r="K1903">
        <f>IF($C1903="","",IFERROR(IF(INDEX(Roster!$J:$J,MATCH($C1903,Roster!$B:$B,0))="","",INDEX(Roster!$J:$J,MATCH($C1903,Roster!$B:$B,0))&amp;""),"—"))</f>
        <v/>
      </c>
      <c r="L1903">
        <f>IF($C1903="","",IFERROR(IF(INDEX(Roster!$K:$K,MATCH($C1903,Roster!$B:$B,0))="","",INDEX(Roster!$K:$K,MATCH($C1903,Roster!$B:$B,0))&amp;""),"—"))</f>
        <v/>
      </c>
      <c r="M1903" s="27" t="n"/>
      <c r="N1903" s="27" t="n"/>
      <c r="O1903" s="25">
        <f>IF($C1903="","",IF($P1903="","—",IF($P1903="Valid (Pass)","Valid","Invalid")))</f>
        <v/>
      </c>
      <c r="P1903" s="27" t="n"/>
      <c r="Q1903" s="27" t="n"/>
      <c r="R1903" s="27" t="n"/>
      <c r="S1903" s="27" t="n"/>
      <c r="T1903" s="25">
        <f>IF($C1903="","",IF(OR(ISNUMBER(SEARCH("quick case",$P1903)),ISNUMBER(SEARCH("quick case",$Q1903))),"Yes","No"))</f>
        <v/>
      </c>
      <c r="U1903" s="25">
        <f>IF($O1903="Invalid",HYPERLINK("mailto:"&amp;$G1903&amp;";"&amp;$I1903&amp;"?cc="&amp;Lists!$E$2&amp;"&amp;subject="&amp;_xlfn.ENCODEURL("[INVALID] Quality audit monitoring completed for "&amp;UPPER($C1903))&amp;"&amp;body="&amp;_xlfn.ENCODEURL("Hi "&amp;$F1903&amp;","&amp;CHAR(10)&amp;"Good day!"&amp;CHAR(10)&amp;CHAR(10)&amp;"A quality monitoring audit has been completed for "&amp;$C1903&amp;"."&amp;CHAR(10)&amp;CHAR(10)&amp;"QUALITY AUDIT DETAILS"&amp;CHAR(10)&amp;"Agent Name: "&amp;$C1903&amp;" (EID "&amp;$D1903&amp;")"&amp;CHAR(10)&amp;"Audit Date: "&amp;TEXT($B1903,"yyyy-mm-dd")&amp;CHAR(10)&amp;"Team Leader: "&amp;$F1903&amp;CHAR(10)&amp;"Case Number: "&amp;$M1903&amp;CHAR(10)&amp;"Transaction ID: "&amp;$N1903&amp;CHAR(10)&amp;"Channel / LOB: "&amp;$K1903&amp;" / "&amp;$L1903&amp;CHAR(10)&amp;"Evaluator: "&amp;$S1903&amp;CHAR(10)&amp;CHAR(10)&amp;"INVALID QUALITY AUDIT DETAILS"&amp;CHAR(10)&amp;"Validation: Invalid"&amp;CHAR(10)&amp;"Invalid Reason: "&amp;$P1903&amp;CHAR(10)&amp;"Expected Resolution Code: "&amp;$Q1903&amp;CHAR(10)&amp;"Remarks: "&amp;LEFT($R1903,600)&amp;CHAR(10)&amp;CHAR(10)&amp;"This is an automated notification from HP Mainstream EQMS."),"✉ Open Email Draft"),"")</f>
        <v/>
      </c>
    </row>
    <row r="1904">
      <c r="A1904" s="25">
        <f>IF($C1904="","","AUD-2026-"&amp;TEXT(ROW()-1,"000000"))</f>
        <v/>
      </c>
      <c r="B1904" s="26" t="n"/>
      <c r="C1904" s="27" t="n"/>
      <c r="D1904" s="25">
        <f>IF($C1904="","",IFERROR(IF(INDEX(Roster!$A:$A,MATCH($C1904,Roster!$B:$B,0))="","",INDEX(Roster!$A:$A,MATCH($C1904,Roster!$B:$B,0))&amp;""),"—"))</f>
        <v/>
      </c>
      <c r="E1904" s="25">
        <f>IF($C1904="","",IFERROR(IF(INDEX(Roster!$C:$C,MATCH($C1904,Roster!$B:$B,0))="","",INDEX(Roster!$C:$C,MATCH($C1904,Roster!$B:$B,0))&amp;""),"—"))</f>
        <v/>
      </c>
      <c r="F1904" s="25">
        <f>IF($C1904="","",IFERROR(IF(INDEX(Roster!$D:$D,MATCH($C1904,Roster!$B:$B,0))="","",INDEX(Roster!$D:$D,MATCH($C1904,Roster!$B:$B,0))&amp;""),"—"))</f>
        <v/>
      </c>
      <c r="G1904" s="25">
        <f>IF($C1904="","",IFERROR(IF(INDEX(Roster!$E:$E,MATCH($C1904,Roster!$B:$B,0))="","",INDEX(Roster!$E:$E,MATCH($C1904,Roster!$B:$B,0))&amp;""),"—"))</f>
        <v/>
      </c>
      <c r="H1904" s="25">
        <f>IF($C1904="","",IFERROR(IF(INDEX(Roster!$F:$F,MATCH($C1904,Roster!$B:$B,0))="","",INDEX(Roster!$F:$F,MATCH($C1904,Roster!$B:$B,0))&amp;""),"—"))</f>
        <v/>
      </c>
      <c r="I1904" s="25">
        <f>IF($C1904="","",IFERROR(IF(INDEX(Roster!$G:$G,MATCH($C1904,Roster!$B:$B,0))="","",INDEX(Roster!$G:$G,MATCH($C1904,Roster!$B:$B,0))&amp;""),"—"))</f>
        <v/>
      </c>
      <c r="J1904" s="25">
        <f>IF($C1904="","",IFERROR(IF(INDEX(Roster!$I:$I,MATCH($C1904,Roster!$B:$B,0))="","",INDEX(Roster!$I:$I,MATCH($C1904,Roster!$B:$B,0))&amp;""),"—"))</f>
        <v/>
      </c>
      <c r="K1904">
        <f>IF($C1904="","",IFERROR(IF(INDEX(Roster!$J:$J,MATCH($C1904,Roster!$B:$B,0))="","",INDEX(Roster!$J:$J,MATCH($C1904,Roster!$B:$B,0))&amp;""),"—"))</f>
        <v/>
      </c>
      <c r="L1904">
        <f>IF($C1904="","",IFERROR(IF(INDEX(Roster!$K:$K,MATCH($C1904,Roster!$B:$B,0))="","",INDEX(Roster!$K:$K,MATCH($C1904,Roster!$B:$B,0))&amp;""),"—"))</f>
        <v/>
      </c>
      <c r="M1904" s="27" t="n"/>
      <c r="N1904" s="27" t="n"/>
      <c r="O1904" s="25">
        <f>IF($C1904="","",IF($P1904="","—",IF($P1904="Valid (Pass)","Valid","Invalid")))</f>
        <v/>
      </c>
      <c r="P1904" s="27" t="n"/>
      <c r="Q1904" s="27" t="n"/>
      <c r="R1904" s="27" t="n"/>
      <c r="S1904" s="27" t="n"/>
      <c r="T1904" s="25">
        <f>IF($C1904="","",IF(OR(ISNUMBER(SEARCH("quick case",$P1904)),ISNUMBER(SEARCH("quick case",$Q1904))),"Yes","No"))</f>
        <v/>
      </c>
      <c r="U1904" s="25">
        <f>IF($O1904="Invalid",HYPERLINK("mailto:"&amp;$G1904&amp;";"&amp;$I1904&amp;"?cc="&amp;Lists!$E$2&amp;"&amp;subject="&amp;_xlfn.ENCODEURL("[INVALID] Quality audit monitoring completed for "&amp;UPPER($C1904))&amp;"&amp;body="&amp;_xlfn.ENCODEURL("Hi "&amp;$F1904&amp;","&amp;CHAR(10)&amp;"Good day!"&amp;CHAR(10)&amp;CHAR(10)&amp;"A quality monitoring audit has been completed for "&amp;$C1904&amp;"."&amp;CHAR(10)&amp;CHAR(10)&amp;"QUALITY AUDIT DETAILS"&amp;CHAR(10)&amp;"Agent Name: "&amp;$C1904&amp;" (EID "&amp;$D1904&amp;")"&amp;CHAR(10)&amp;"Audit Date: "&amp;TEXT($B1904,"yyyy-mm-dd")&amp;CHAR(10)&amp;"Team Leader: "&amp;$F1904&amp;CHAR(10)&amp;"Case Number: "&amp;$M1904&amp;CHAR(10)&amp;"Transaction ID: "&amp;$N1904&amp;CHAR(10)&amp;"Channel / LOB: "&amp;$K1904&amp;" / "&amp;$L1904&amp;CHAR(10)&amp;"Evaluator: "&amp;$S1904&amp;CHAR(10)&amp;CHAR(10)&amp;"INVALID QUALITY AUDIT DETAILS"&amp;CHAR(10)&amp;"Validation: Invalid"&amp;CHAR(10)&amp;"Invalid Reason: "&amp;$P1904&amp;CHAR(10)&amp;"Expected Resolution Code: "&amp;$Q1904&amp;CHAR(10)&amp;"Remarks: "&amp;LEFT($R1904,600)&amp;CHAR(10)&amp;CHAR(10)&amp;"This is an automated notification from HP Mainstream EQMS."),"✉ Open Email Draft"),"")</f>
        <v/>
      </c>
    </row>
    <row r="1905">
      <c r="A1905" s="25">
        <f>IF($C1905="","","AUD-2026-"&amp;TEXT(ROW()-1,"000000"))</f>
        <v/>
      </c>
      <c r="B1905" s="26" t="n"/>
      <c r="C1905" s="27" t="n"/>
      <c r="D1905" s="25">
        <f>IF($C1905="","",IFERROR(IF(INDEX(Roster!$A:$A,MATCH($C1905,Roster!$B:$B,0))="","",INDEX(Roster!$A:$A,MATCH($C1905,Roster!$B:$B,0))&amp;""),"—"))</f>
        <v/>
      </c>
      <c r="E1905" s="25">
        <f>IF($C1905="","",IFERROR(IF(INDEX(Roster!$C:$C,MATCH($C1905,Roster!$B:$B,0))="","",INDEX(Roster!$C:$C,MATCH($C1905,Roster!$B:$B,0))&amp;""),"—"))</f>
        <v/>
      </c>
      <c r="F1905" s="25">
        <f>IF($C1905="","",IFERROR(IF(INDEX(Roster!$D:$D,MATCH($C1905,Roster!$B:$B,0))="","",INDEX(Roster!$D:$D,MATCH($C1905,Roster!$B:$B,0))&amp;""),"—"))</f>
        <v/>
      </c>
      <c r="G1905" s="25">
        <f>IF($C1905="","",IFERROR(IF(INDEX(Roster!$E:$E,MATCH($C1905,Roster!$B:$B,0))="","",INDEX(Roster!$E:$E,MATCH($C1905,Roster!$B:$B,0))&amp;""),"—"))</f>
        <v/>
      </c>
      <c r="H1905" s="25">
        <f>IF($C1905="","",IFERROR(IF(INDEX(Roster!$F:$F,MATCH($C1905,Roster!$B:$B,0))="","",INDEX(Roster!$F:$F,MATCH($C1905,Roster!$B:$B,0))&amp;""),"—"))</f>
        <v/>
      </c>
      <c r="I1905" s="25">
        <f>IF($C1905="","",IFERROR(IF(INDEX(Roster!$G:$G,MATCH($C1905,Roster!$B:$B,0))="","",INDEX(Roster!$G:$G,MATCH($C1905,Roster!$B:$B,0))&amp;""),"—"))</f>
        <v/>
      </c>
      <c r="J1905" s="25">
        <f>IF($C1905="","",IFERROR(IF(INDEX(Roster!$I:$I,MATCH($C1905,Roster!$B:$B,0))="","",INDEX(Roster!$I:$I,MATCH($C1905,Roster!$B:$B,0))&amp;""),"—"))</f>
        <v/>
      </c>
      <c r="K1905">
        <f>IF($C1905="","",IFERROR(IF(INDEX(Roster!$J:$J,MATCH($C1905,Roster!$B:$B,0))="","",INDEX(Roster!$J:$J,MATCH($C1905,Roster!$B:$B,0))&amp;""),"—"))</f>
        <v/>
      </c>
      <c r="L1905">
        <f>IF($C1905="","",IFERROR(IF(INDEX(Roster!$K:$K,MATCH($C1905,Roster!$B:$B,0))="","",INDEX(Roster!$K:$K,MATCH($C1905,Roster!$B:$B,0))&amp;""),"—"))</f>
        <v/>
      </c>
      <c r="M1905" s="27" t="n"/>
      <c r="N1905" s="27" t="n"/>
      <c r="O1905" s="25">
        <f>IF($C1905="","",IF($P1905="","—",IF($P1905="Valid (Pass)","Valid","Invalid")))</f>
        <v/>
      </c>
      <c r="P1905" s="27" t="n"/>
      <c r="Q1905" s="27" t="n"/>
      <c r="R1905" s="27" t="n"/>
      <c r="S1905" s="27" t="n"/>
      <c r="T1905" s="25">
        <f>IF($C1905="","",IF(OR(ISNUMBER(SEARCH("quick case",$P1905)),ISNUMBER(SEARCH("quick case",$Q1905))),"Yes","No"))</f>
        <v/>
      </c>
      <c r="U1905" s="25">
        <f>IF($O1905="Invalid",HYPERLINK("mailto:"&amp;$G1905&amp;";"&amp;$I1905&amp;"?cc="&amp;Lists!$E$2&amp;"&amp;subject="&amp;_xlfn.ENCODEURL("[INVALID] Quality audit monitoring completed for "&amp;UPPER($C1905))&amp;"&amp;body="&amp;_xlfn.ENCODEURL("Hi "&amp;$F1905&amp;","&amp;CHAR(10)&amp;"Good day!"&amp;CHAR(10)&amp;CHAR(10)&amp;"A quality monitoring audit has been completed for "&amp;$C1905&amp;"."&amp;CHAR(10)&amp;CHAR(10)&amp;"QUALITY AUDIT DETAILS"&amp;CHAR(10)&amp;"Agent Name: "&amp;$C1905&amp;" (EID "&amp;$D1905&amp;")"&amp;CHAR(10)&amp;"Audit Date: "&amp;TEXT($B1905,"yyyy-mm-dd")&amp;CHAR(10)&amp;"Team Leader: "&amp;$F1905&amp;CHAR(10)&amp;"Case Number: "&amp;$M1905&amp;CHAR(10)&amp;"Transaction ID: "&amp;$N1905&amp;CHAR(10)&amp;"Channel / LOB: "&amp;$K1905&amp;" / "&amp;$L1905&amp;CHAR(10)&amp;"Evaluator: "&amp;$S1905&amp;CHAR(10)&amp;CHAR(10)&amp;"INVALID QUALITY AUDIT DETAILS"&amp;CHAR(10)&amp;"Validation: Invalid"&amp;CHAR(10)&amp;"Invalid Reason: "&amp;$P1905&amp;CHAR(10)&amp;"Expected Resolution Code: "&amp;$Q1905&amp;CHAR(10)&amp;"Remarks: "&amp;LEFT($R1905,600)&amp;CHAR(10)&amp;CHAR(10)&amp;"This is an automated notification from HP Mainstream EQMS."),"✉ Open Email Draft"),"")</f>
        <v/>
      </c>
    </row>
    <row r="1906">
      <c r="A1906" s="25">
        <f>IF($C1906="","","AUD-2026-"&amp;TEXT(ROW()-1,"000000"))</f>
        <v/>
      </c>
      <c r="B1906" s="26" t="n"/>
      <c r="C1906" s="27" t="n"/>
      <c r="D1906" s="25">
        <f>IF($C1906="","",IFERROR(IF(INDEX(Roster!$A:$A,MATCH($C1906,Roster!$B:$B,0))="","",INDEX(Roster!$A:$A,MATCH($C1906,Roster!$B:$B,0))&amp;""),"—"))</f>
        <v/>
      </c>
      <c r="E1906" s="25">
        <f>IF($C1906="","",IFERROR(IF(INDEX(Roster!$C:$C,MATCH($C1906,Roster!$B:$B,0))="","",INDEX(Roster!$C:$C,MATCH($C1906,Roster!$B:$B,0))&amp;""),"—"))</f>
        <v/>
      </c>
      <c r="F1906" s="25">
        <f>IF($C1906="","",IFERROR(IF(INDEX(Roster!$D:$D,MATCH($C1906,Roster!$B:$B,0))="","",INDEX(Roster!$D:$D,MATCH($C1906,Roster!$B:$B,0))&amp;""),"—"))</f>
        <v/>
      </c>
      <c r="G1906" s="25">
        <f>IF($C1906="","",IFERROR(IF(INDEX(Roster!$E:$E,MATCH($C1906,Roster!$B:$B,0))="","",INDEX(Roster!$E:$E,MATCH($C1906,Roster!$B:$B,0))&amp;""),"—"))</f>
        <v/>
      </c>
      <c r="H1906" s="25">
        <f>IF($C1906="","",IFERROR(IF(INDEX(Roster!$F:$F,MATCH($C1906,Roster!$B:$B,0))="","",INDEX(Roster!$F:$F,MATCH($C1906,Roster!$B:$B,0))&amp;""),"—"))</f>
        <v/>
      </c>
      <c r="I1906" s="25">
        <f>IF($C1906="","",IFERROR(IF(INDEX(Roster!$G:$G,MATCH($C1906,Roster!$B:$B,0))="","",INDEX(Roster!$G:$G,MATCH($C1906,Roster!$B:$B,0))&amp;""),"—"))</f>
        <v/>
      </c>
      <c r="J1906" s="25">
        <f>IF($C1906="","",IFERROR(IF(INDEX(Roster!$I:$I,MATCH($C1906,Roster!$B:$B,0))="","",INDEX(Roster!$I:$I,MATCH($C1906,Roster!$B:$B,0))&amp;""),"—"))</f>
        <v/>
      </c>
      <c r="K1906">
        <f>IF($C1906="","",IFERROR(IF(INDEX(Roster!$J:$J,MATCH($C1906,Roster!$B:$B,0))="","",INDEX(Roster!$J:$J,MATCH($C1906,Roster!$B:$B,0))&amp;""),"—"))</f>
        <v/>
      </c>
      <c r="L1906">
        <f>IF($C1906="","",IFERROR(IF(INDEX(Roster!$K:$K,MATCH($C1906,Roster!$B:$B,0))="","",INDEX(Roster!$K:$K,MATCH($C1906,Roster!$B:$B,0))&amp;""),"—"))</f>
        <v/>
      </c>
      <c r="M1906" s="27" t="n"/>
      <c r="N1906" s="27" t="n"/>
      <c r="O1906" s="25">
        <f>IF($C1906="","",IF($P1906="","—",IF($P1906="Valid (Pass)","Valid","Invalid")))</f>
        <v/>
      </c>
      <c r="P1906" s="27" t="n"/>
      <c r="Q1906" s="27" t="n"/>
      <c r="R1906" s="27" t="n"/>
      <c r="S1906" s="27" t="n"/>
      <c r="T1906" s="25">
        <f>IF($C1906="","",IF(OR(ISNUMBER(SEARCH("quick case",$P1906)),ISNUMBER(SEARCH("quick case",$Q1906))),"Yes","No"))</f>
        <v/>
      </c>
      <c r="U1906" s="25">
        <f>IF($O1906="Invalid",HYPERLINK("mailto:"&amp;$G1906&amp;";"&amp;$I1906&amp;"?cc="&amp;Lists!$E$2&amp;"&amp;subject="&amp;_xlfn.ENCODEURL("[INVALID] Quality audit monitoring completed for "&amp;UPPER($C1906))&amp;"&amp;body="&amp;_xlfn.ENCODEURL("Hi "&amp;$F1906&amp;","&amp;CHAR(10)&amp;"Good day!"&amp;CHAR(10)&amp;CHAR(10)&amp;"A quality monitoring audit has been completed for "&amp;$C1906&amp;"."&amp;CHAR(10)&amp;CHAR(10)&amp;"QUALITY AUDIT DETAILS"&amp;CHAR(10)&amp;"Agent Name: "&amp;$C1906&amp;" (EID "&amp;$D1906&amp;")"&amp;CHAR(10)&amp;"Audit Date: "&amp;TEXT($B1906,"yyyy-mm-dd")&amp;CHAR(10)&amp;"Team Leader: "&amp;$F1906&amp;CHAR(10)&amp;"Case Number: "&amp;$M1906&amp;CHAR(10)&amp;"Transaction ID: "&amp;$N1906&amp;CHAR(10)&amp;"Channel / LOB: "&amp;$K1906&amp;" / "&amp;$L1906&amp;CHAR(10)&amp;"Evaluator: "&amp;$S1906&amp;CHAR(10)&amp;CHAR(10)&amp;"INVALID QUALITY AUDIT DETAILS"&amp;CHAR(10)&amp;"Validation: Invalid"&amp;CHAR(10)&amp;"Invalid Reason: "&amp;$P1906&amp;CHAR(10)&amp;"Expected Resolution Code: "&amp;$Q1906&amp;CHAR(10)&amp;"Remarks: "&amp;LEFT($R1906,600)&amp;CHAR(10)&amp;CHAR(10)&amp;"This is an automated notification from HP Mainstream EQMS."),"✉ Open Email Draft"),"")</f>
        <v/>
      </c>
    </row>
    <row r="1907">
      <c r="A1907" s="25">
        <f>IF($C1907="","","AUD-2026-"&amp;TEXT(ROW()-1,"000000"))</f>
        <v/>
      </c>
      <c r="B1907" s="26" t="n"/>
      <c r="C1907" s="27" t="n"/>
      <c r="D1907" s="25">
        <f>IF($C1907="","",IFERROR(IF(INDEX(Roster!$A:$A,MATCH($C1907,Roster!$B:$B,0))="","",INDEX(Roster!$A:$A,MATCH($C1907,Roster!$B:$B,0))&amp;""),"—"))</f>
        <v/>
      </c>
      <c r="E1907" s="25">
        <f>IF($C1907="","",IFERROR(IF(INDEX(Roster!$C:$C,MATCH($C1907,Roster!$B:$B,0))="","",INDEX(Roster!$C:$C,MATCH($C1907,Roster!$B:$B,0))&amp;""),"—"))</f>
        <v/>
      </c>
      <c r="F1907" s="25">
        <f>IF($C1907="","",IFERROR(IF(INDEX(Roster!$D:$D,MATCH($C1907,Roster!$B:$B,0))="","",INDEX(Roster!$D:$D,MATCH($C1907,Roster!$B:$B,0))&amp;""),"—"))</f>
        <v/>
      </c>
      <c r="G1907" s="25">
        <f>IF($C1907="","",IFERROR(IF(INDEX(Roster!$E:$E,MATCH($C1907,Roster!$B:$B,0))="","",INDEX(Roster!$E:$E,MATCH($C1907,Roster!$B:$B,0))&amp;""),"—"))</f>
        <v/>
      </c>
      <c r="H1907" s="25">
        <f>IF($C1907="","",IFERROR(IF(INDEX(Roster!$F:$F,MATCH($C1907,Roster!$B:$B,0))="","",INDEX(Roster!$F:$F,MATCH($C1907,Roster!$B:$B,0))&amp;""),"—"))</f>
        <v/>
      </c>
      <c r="I1907" s="25">
        <f>IF($C1907="","",IFERROR(IF(INDEX(Roster!$G:$G,MATCH($C1907,Roster!$B:$B,0))="","",INDEX(Roster!$G:$G,MATCH($C1907,Roster!$B:$B,0))&amp;""),"—"))</f>
        <v/>
      </c>
      <c r="J1907" s="25">
        <f>IF($C1907="","",IFERROR(IF(INDEX(Roster!$I:$I,MATCH($C1907,Roster!$B:$B,0))="","",INDEX(Roster!$I:$I,MATCH($C1907,Roster!$B:$B,0))&amp;""),"—"))</f>
        <v/>
      </c>
      <c r="K1907">
        <f>IF($C1907="","",IFERROR(IF(INDEX(Roster!$J:$J,MATCH($C1907,Roster!$B:$B,0))="","",INDEX(Roster!$J:$J,MATCH($C1907,Roster!$B:$B,0))&amp;""),"—"))</f>
        <v/>
      </c>
      <c r="L1907">
        <f>IF($C1907="","",IFERROR(IF(INDEX(Roster!$K:$K,MATCH($C1907,Roster!$B:$B,0))="","",INDEX(Roster!$K:$K,MATCH($C1907,Roster!$B:$B,0))&amp;""),"—"))</f>
        <v/>
      </c>
      <c r="M1907" s="27" t="n"/>
      <c r="N1907" s="27" t="n"/>
      <c r="O1907" s="25">
        <f>IF($C1907="","",IF($P1907="","—",IF($P1907="Valid (Pass)","Valid","Invalid")))</f>
        <v/>
      </c>
      <c r="P1907" s="27" t="n"/>
      <c r="Q1907" s="27" t="n"/>
      <c r="R1907" s="27" t="n"/>
      <c r="S1907" s="27" t="n"/>
      <c r="T1907" s="25">
        <f>IF($C1907="","",IF(OR(ISNUMBER(SEARCH("quick case",$P1907)),ISNUMBER(SEARCH("quick case",$Q1907))),"Yes","No"))</f>
        <v/>
      </c>
      <c r="U1907" s="25">
        <f>IF($O1907="Invalid",HYPERLINK("mailto:"&amp;$G1907&amp;";"&amp;$I1907&amp;"?cc="&amp;Lists!$E$2&amp;"&amp;subject="&amp;_xlfn.ENCODEURL("[INVALID] Quality audit monitoring completed for "&amp;UPPER($C1907))&amp;"&amp;body="&amp;_xlfn.ENCODEURL("Hi "&amp;$F1907&amp;","&amp;CHAR(10)&amp;"Good day!"&amp;CHAR(10)&amp;CHAR(10)&amp;"A quality monitoring audit has been completed for "&amp;$C1907&amp;"."&amp;CHAR(10)&amp;CHAR(10)&amp;"QUALITY AUDIT DETAILS"&amp;CHAR(10)&amp;"Agent Name: "&amp;$C1907&amp;" (EID "&amp;$D1907&amp;")"&amp;CHAR(10)&amp;"Audit Date: "&amp;TEXT($B1907,"yyyy-mm-dd")&amp;CHAR(10)&amp;"Team Leader: "&amp;$F1907&amp;CHAR(10)&amp;"Case Number: "&amp;$M1907&amp;CHAR(10)&amp;"Transaction ID: "&amp;$N1907&amp;CHAR(10)&amp;"Channel / LOB: "&amp;$K1907&amp;" / "&amp;$L1907&amp;CHAR(10)&amp;"Evaluator: "&amp;$S1907&amp;CHAR(10)&amp;CHAR(10)&amp;"INVALID QUALITY AUDIT DETAILS"&amp;CHAR(10)&amp;"Validation: Invalid"&amp;CHAR(10)&amp;"Invalid Reason: "&amp;$P1907&amp;CHAR(10)&amp;"Expected Resolution Code: "&amp;$Q1907&amp;CHAR(10)&amp;"Remarks: "&amp;LEFT($R1907,600)&amp;CHAR(10)&amp;CHAR(10)&amp;"This is an automated notification from HP Mainstream EQMS."),"✉ Open Email Draft"),"")</f>
        <v/>
      </c>
    </row>
    <row r="1908">
      <c r="A1908" s="25">
        <f>IF($C1908="","","AUD-2026-"&amp;TEXT(ROW()-1,"000000"))</f>
        <v/>
      </c>
      <c r="B1908" s="26" t="n"/>
      <c r="C1908" s="27" t="n"/>
      <c r="D1908" s="25">
        <f>IF($C1908="","",IFERROR(IF(INDEX(Roster!$A:$A,MATCH($C1908,Roster!$B:$B,0))="","",INDEX(Roster!$A:$A,MATCH($C1908,Roster!$B:$B,0))&amp;""),"—"))</f>
        <v/>
      </c>
      <c r="E1908" s="25">
        <f>IF($C1908="","",IFERROR(IF(INDEX(Roster!$C:$C,MATCH($C1908,Roster!$B:$B,0))="","",INDEX(Roster!$C:$C,MATCH($C1908,Roster!$B:$B,0))&amp;""),"—"))</f>
        <v/>
      </c>
      <c r="F1908" s="25">
        <f>IF($C1908="","",IFERROR(IF(INDEX(Roster!$D:$D,MATCH($C1908,Roster!$B:$B,0))="","",INDEX(Roster!$D:$D,MATCH($C1908,Roster!$B:$B,0))&amp;""),"—"))</f>
        <v/>
      </c>
      <c r="G1908" s="25">
        <f>IF($C1908="","",IFERROR(IF(INDEX(Roster!$E:$E,MATCH($C1908,Roster!$B:$B,0))="","",INDEX(Roster!$E:$E,MATCH($C1908,Roster!$B:$B,0))&amp;""),"—"))</f>
        <v/>
      </c>
      <c r="H1908" s="25">
        <f>IF($C1908="","",IFERROR(IF(INDEX(Roster!$F:$F,MATCH($C1908,Roster!$B:$B,0))="","",INDEX(Roster!$F:$F,MATCH($C1908,Roster!$B:$B,0))&amp;""),"—"))</f>
        <v/>
      </c>
      <c r="I1908" s="25">
        <f>IF($C1908="","",IFERROR(IF(INDEX(Roster!$G:$G,MATCH($C1908,Roster!$B:$B,0))="","",INDEX(Roster!$G:$G,MATCH($C1908,Roster!$B:$B,0))&amp;""),"—"))</f>
        <v/>
      </c>
      <c r="J1908" s="25">
        <f>IF($C1908="","",IFERROR(IF(INDEX(Roster!$I:$I,MATCH($C1908,Roster!$B:$B,0))="","",INDEX(Roster!$I:$I,MATCH($C1908,Roster!$B:$B,0))&amp;""),"—"))</f>
        <v/>
      </c>
      <c r="K1908">
        <f>IF($C1908="","",IFERROR(IF(INDEX(Roster!$J:$J,MATCH($C1908,Roster!$B:$B,0))="","",INDEX(Roster!$J:$J,MATCH($C1908,Roster!$B:$B,0))&amp;""),"—"))</f>
        <v/>
      </c>
      <c r="L1908">
        <f>IF($C1908="","",IFERROR(IF(INDEX(Roster!$K:$K,MATCH($C1908,Roster!$B:$B,0))="","",INDEX(Roster!$K:$K,MATCH($C1908,Roster!$B:$B,0))&amp;""),"—"))</f>
        <v/>
      </c>
      <c r="M1908" s="27" t="n"/>
      <c r="N1908" s="27" t="n"/>
      <c r="O1908" s="25">
        <f>IF($C1908="","",IF($P1908="","—",IF($P1908="Valid (Pass)","Valid","Invalid")))</f>
        <v/>
      </c>
      <c r="P1908" s="27" t="n"/>
      <c r="Q1908" s="27" t="n"/>
      <c r="R1908" s="27" t="n"/>
      <c r="S1908" s="27" t="n"/>
      <c r="T1908" s="25">
        <f>IF($C1908="","",IF(OR(ISNUMBER(SEARCH("quick case",$P1908)),ISNUMBER(SEARCH("quick case",$Q1908))),"Yes","No"))</f>
        <v/>
      </c>
      <c r="U1908" s="25">
        <f>IF($O1908="Invalid",HYPERLINK("mailto:"&amp;$G1908&amp;";"&amp;$I1908&amp;"?cc="&amp;Lists!$E$2&amp;"&amp;subject="&amp;_xlfn.ENCODEURL("[INVALID] Quality audit monitoring completed for "&amp;UPPER($C1908))&amp;"&amp;body="&amp;_xlfn.ENCODEURL("Hi "&amp;$F1908&amp;","&amp;CHAR(10)&amp;"Good day!"&amp;CHAR(10)&amp;CHAR(10)&amp;"A quality monitoring audit has been completed for "&amp;$C1908&amp;"."&amp;CHAR(10)&amp;CHAR(10)&amp;"QUALITY AUDIT DETAILS"&amp;CHAR(10)&amp;"Agent Name: "&amp;$C1908&amp;" (EID "&amp;$D1908&amp;")"&amp;CHAR(10)&amp;"Audit Date: "&amp;TEXT($B1908,"yyyy-mm-dd")&amp;CHAR(10)&amp;"Team Leader: "&amp;$F1908&amp;CHAR(10)&amp;"Case Number: "&amp;$M1908&amp;CHAR(10)&amp;"Transaction ID: "&amp;$N1908&amp;CHAR(10)&amp;"Channel / LOB: "&amp;$K1908&amp;" / "&amp;$L1908&amp;CHAR(10)&amp;"Evaluator: "&amp;$S1908&amp;CHAR(10)&amp;CHAR(10)&amp;"INVALID QUALITY AUDIT DETAILS"&amp;CHAR(10)&amp;"Validation: Invalid"&amp;CHAR(10)&amp;"Invalid Reason: "&amp;$P1908&amp;CHAR(10)&amp;"Expected Resolution Code: "&amp;$Q1908&amp;CHAR(10)&amp;"Remarks: "&amp;LEFT($R1908,600)&amp;CHAR(10)&amp;CHAR(10)&amp;"This is an automated notification from HP Mainstream EQMS."),"✉ Open Email Draft"),"")</f>
        <v/>
      </c>
    </row>
    <row r="1909">
      <c r="A1909" s="25">
        <f>IF($C1909="","","AUD-2026-"&amp;TEXT(ROW()-1,"000000"))</f>
        <v/>
      </c>
      <c r="B1909" s="26" t="n"/>
      <c r="C1909" s="27" t="n"/>
      <c r="D1909" s="25">
        <f>IF($C1909="","",IFERROR(IF(INDEX(Roster!$A:$A,MATCH($C1909,Roster!$B:$B,0))="","",INDEX(Roster!$A:$A,MATCH($C1909,Roster!$B:$B,0))&amp;""),"—"))</f>
        <v/>
      </c>
      <c r="E1909" s="25">
        <f>IF($C1909="","",IFERROR(IF(INDEX(Roster!$C:$C,MATCH($C1909,Roster!$B:$B,0))="","",INDEX(Roster!$C:$C,MATCH($C1909,Roster!$B:$B,0))&amp;""),"—"))</f>
        <v/>
      </c>
      <c r="F1909" s="25">
        <f>IF($C1909="","",IFERROR(IF(INDEX(Roster!$D:$D,MATCH($C1909,Roster!$B:$B,0))="","",INDEX(Roster!$D:$D,MATCH($C1909,Roster!$B:$B,0))&amp;""),"—"))</f>
        <v/>
      </c>
      <c r="G1909" s="25">
        <f>IF($C1909="","",IFERROR(IF(INDEX(Roster!$E:$E,MATCH($C1909,Roster!$B:$B,0))="","",INDEX(Roster!$E:$E,MATCH($C1909,Roster!$B:$B,0))&amp;""),"—"))</f>
        <v/>
      </c>
      <c r="H1909" s="25">
        <f>IF($C1909="","",IFERROR(IF(INDEX(Roster!$F:$F,MATCH($C1909,Roster!$B:$B,0))="","",INDEX(Roster!$F:$F,MATCH($C1909,Roster!$B:$B,0))&amp;""),"—"))</f>
        <v/>
      </c>
      <c r="I1909" s="25">
        <f>IF($C1909="","",IFERROR(IF(INDEX(Roster!$G:$G,MATCH($C1909,Roster!$B:$B,0))="","",INDEX(Roster!$G:$G,MATCH($C1909,Roster!$B:$B,0))&amp;""),"—"))</f>
        <v/>
      </c>
      <c r="J1909" s="25">
        <f>IF($C1909="","",IFERROR(IF(INDEX(Roster!$I:$I,MATCH($C1909,Roster!$B:$B,0))="","",INDEX(Roster!$I:$I,MATCH($C1909,Roster!$B:$B,0))&amp;""),"—"))</f>
        <v/>
      </c>
      <c r="K1909">
        <f>IF($C1909="","",IFERROR(IF(INDEX(Roster!$J:$J,MATCH($C1909,Roster!$B:$B,0))="","",INDEX(Roster!$J:$J,MATCH($C1909,Roster!$B:$B,0))&amp;""),"—"))</f>
        <v/>
      </c>
      <c r="L1909">
        <f>IF($C1909="","",IFERROR(IF(INDEX(Roster!$K:$K,MATCH($C1909,Roster!$B:$B,0))="","",INDEX(Roster!$K:$K,MATCH($C1909,Roster!$B:$B,0))&amp;""),"—"))</f>
        <v/>
      </c>
      <c r="M1909" s="27" t="n"/>
      <c r="N1909" s="27" t="n"/>
      <c r="O1909" s="25">
        <f>IF($C1909="","",IF($P1909="","—",IF($P1909="Valid (Pass)","Valid","Invalid")))</f>
        <v/>
      </c>
      <c r="P1909" s="27" t="n"/>
      <c r="Q1909" s="27" t="n"/>
      <c r="R1909" s="27" t="n"/>
      <c r="S1909" s="27" t="n"/>
      <c r="T1909" s="25">
        <f>IF($C1909="","",IF(OR(ISNUMBER(SEARCH("quick case",$P1909)),ISNUMBER(SEARCH("quick case",$Q1909))),"Yes","No"))</f>
        <v/>
      </c>
      <c r="U1909" s="25">
        <f>IF($O1909="Invalid",HYPERLINK("mailto:"&amp;$G1909&amp;";"&amp;$I1909&amp;"?cc="&amp;Lists!$E$2&amp;"&amp;subject="&amp;_xlfn.ENCODEURL("[INVALID] Quality audit monitoring completed for "&amp;UPPER($C1909))&amp;"&amp;body="&amp;_xlfn.ENCODEURL("Hi "&amp;$F1909&amp;","&amp;CHAR(10)&amp;"Good day!"&amp;CHAR(10)&amp;CHAR(10)&amp;"A quality monitoring audit has been completed for "&amp;$C1909&amp;"."&amp;CHAR(10)&amp;CHAR(10)&amp;"QUALITY AUDIT DETAILS"&amp;CHAR(10)&amp;"Agent Name: "&amp;$C1909&amp;" (EID "&amp;$D1909&amp;")"&amp;CHAR(10)&amp;"Audit Date: "&amp;TEXT($B1909,"yyyy-mm-dd")&amp;CHAR(10)&amp;"Team Leader: "&amp;$F1909&amp;CHAR(10)&amp;"Case Number: "&amp;$M1909&amp;CHAR(10)&amp;"Transaction ID: "&amp;$N1909&amp;CHAR(10)&amp;"Channel / LOB: "&amp;$K1909&amp;" / "&amp;$L1909&amp;CHAR(10)&amp;"Evaluator: "&amp;$S1909&amp;CHAR(10)&amp;CHAR(10)&amp;"INVALID QUALITY AUDIT DETAILS"&amp;CHAR(10)&amp;"Validation: Invalid"&amp;CHAR(10)&amp;"Invalid Reason: "&amp;$P1909&amp;CHAR(10)&amp;"Expected Resolution Code: "&amp;$Q1909&amp;CHAR(10)&amp;"Remarks: "&amp;LEFT($R1909,600)&amp;CHAR(10)&amp;CHAR(10)&amp;"This is an automated notification from HP Mainstream EQMS."),"✉ Open Email Draft"),"")</f>
        <v/>
      </c>
    </row>
    <row r="1910">
      <c r="A1910" s="25">
        <f>IF($C1910="","","AUD-2026-"&amp;TEXT(ROW()-1,"000000"))</f>
        <v/>
      </c>
      <c r="B1910" s="26" t="n"/>
      <c r="C1910" s="27" t="n"/>
      <c r="D1910" s="25">
        <f>IF($C1910="","",IFERROR(IF(INDEX(Roster!$A:$A,MATCH($C1910,Roster!$B:$B,0))="","",INDEX(Roster!$A:$A,MATCH($C1910,Roster!$B:$B,0))&amp;""),"—"))</f>
        <v/>
      </c>
      <c r="E1910" s="25">
        <f>IF($C1910="","",IFERROR(IF(INDEX(Roster!$C:$C,MATCH($C1910,Roster!$B:$B,0))="","",INDEX(Roster!$C:$C,MATCH($C1910,Roster!$B:$B,0))&amp;""),"—"))</f>
        <v/>
      </c>
      <c r="F1910" s="25">
        <f>IF($C1910="","",IFERROR(IF(INDEX(Roster!$D:$D,MATCH($C1910,Roster!$B:$B,0))="","",INDEX(Roster!$D:$D,MATCH($C1910,Roster!$B:$B,0))&amp;""),"—"))</f>
        <v/>
      </c>
      <c r="G1910" s="25">
        <f>IF($C1910="","",IFERROR(IF(INDEX(Roster!$E:$E,MATCH($C1910,Roster!$B:$B,0))="","",INDEX(Roster!$E:$E,MATCH($C1910,Roster!$B:$B,0))&amp;""),"—"))</f>
        <v/>
      </c>
      <c r="H1910" s="25">
        <f>IF($C1910="","",IFERROR(IF(INDEX(Roster!$F:$F,MATCH($C1910,Roster!$B:$B,0))="","",INDEX(Roster!$F:$F,MATCH($C1910,Roster!$B:$B,0))&amp;""),"—"))</f>
        <v/>
      </c>
      <c r="I1910" s="25">
        <f>IF($C1910="","",IFERROR(IF(INDEX(Roster!$G:$G,MATCH($C1910,Roster!$B:$B,0))="","",INDEX(Roster!$G:$G,MATCH($C1910,Roster!$B:$B,0))&amp;""),"—"))</f>
        <v/>
      </c>
      <c r="J1910" s="25">
        <f>IF($C1910="","",IFERROR(IF(INDEX(Roster!$I:$I,MATCH($C1910,Roster!$B:$B,0))="","",INDEX(Roster!$I:$I,MATCH($C1910,Roster!$B:$B,0))&amp;""),"—"))</f>
        <v/>
      </c>
      <c r="K1910">
        <f>IF($C1910="","",IFERROR(IF(INDEX(Roster!$J:$J,MATCH($C1910,Roster!$B:$B,0))="","",INDEX(Roster!$J:$J,MATCH($C1910,Roster!$B:$B,0))&amp;""),"—"))</f>
        <v/>
      </c>
      <c r="L1910">
        <f>IF($C1910="","",IFERROR(IF(INDEX(Roster!$K:$K,MATCH($C1910,Roster!$B:$B,0))="","",INDEX(Roster!$K:$K,MATCH($C1910,Roster!$B:$B,0))&amp;""),"—"))</f>
        <v/>
      </c>
      <c r="M1910" s="27" t="n"/>
      <c r="N1910" s="27" t="n"/>
      <c r="O1910" s="25">
        <f>IF($C1910="","",IF($P1910="","—",IF($P1910="Valid (Pass)","Valid","Invalid")))</f>
        <v/>
      </c>
      <c r="P1910" s="27" t="n"/>
      <c r="Q1910" s="27" t="n"/>
      <c r="R1910" s="27" t="n"/>
      <c r="S1910" s="27" t="n"/>
      <c r="T1910" s="25">
        <f>IF($C1910="","",IF(OR(ISNUMBER(SEARCH("quick case",$P1910)),ISNUMBER(SEARCH("quick case",$Q1910))),"Yes","No"))</f>
        <v/>
      </c>
      <c r="U1910" s="25">
        <f>IF($O1910="Invalid",HYPERLINK("mailto:"&amp;$G1910&amp;";"&amp;$I1910&amp;"?cc="&amp;Lists!$E$2&amp;"&amp;subject="&amp;_xlfn.ENCODEURL("[INVALID] Quality audit monitoring completed for "&amp;UPPER($C1910))&amp;"&amp;body="&amp;_xlfn.ENCODEURL("Hi "&amp;$F1910&amp;","&amp;CHAR(10)&amp;"Good day!"&amp;CHAR(10)&amp;CHAR(10)&amp;"A quality monitoring audit has been completed for "&amp;$C1910&amp;"."&amp;CHAR(10)&amp;CHAR(10)&amp;"QUALITY AUDIT DETAILS"&amp;CHAR(10)&amp;"Agent Name: "&amp;$C1910&amp;" (EID "&amp;$D1910&amp;")"&amp;CHAR(10)&amp;"Audit Date: "&amp;TEXT($B1910,"yyyy-mm-dd")&amp;CHAR(10)&amp;"Team Leader: "&amp;$F1910&amp;CHAR(10)&amp;"Case Number: "&amp;$M1910&amp;CHAR(10)&amp;"Transaction ID: "&amp;$N1910&amp;CHAR(10)&amp;"Channel / LOB: "&amp;$K1910&amp;" / "&amp;$L1910&amp;CHAR(10)&amp;"Evaluator: "&amp;$S1910&amp;CHAR(10)&amp;CHAR(10)&amp;"INVALID QUALITY AUDIT DETAILS"&amp;CHAR(10)&amp;"Validation: Invalid"&amp;CHAR(10)&amp;"Invalid Reason: "&amp;$P1910&amp;CHAR(10)&amp;"Expected Resolution Code: "&amp;$Q1910&amp;CHAR(10)&amp;"Remarks: "&amp;LEFT($R1910,600)&amp;CHAR(10)&amp;CHAR(10)&amp;"This is an automated notification from HP Mainstream EQMS."),"✉ Open Email Draft"),"")</f>
        <v/>
      </c>
    </row>
    <row r="1911">
      <c r="A1911" s="25">
        <f>IF($C1911="","","AUD-2026-"&amp;TEXT(ROW()-1,"000000"))</f>
        <v/>
      </c>
      <c r="B1911" s="26" t="n"/>
      <c r="C1911" s="27" t="n"/>
      <c r="D1911" s="25">
        <f>IF($C1911="","",IFERROR(IF(INDEX(Roster!$A:$A,MATCH($C1911,Roster!$B:$B,0))="","",INDEX(Roster!$A:$A,MATCH($C1911,Roster!$B:$B,0))&amp;""),"—"))</f>
        <v/>
      </c>
      <c r="E1911" s="25">
        <f>IF($C1911="","",IFERROR(IF(INDEX(Roster!$C:$C,MATCH($C1911,Roster!$B:$B,0))="","",INDEX(Roster!$C:$C,MATCH($C1911,Roster!$B:$B,0))&amp;""),"—"))</f>
        <v/>
      </c>
      <c r="F1911" s="25">
        <f>IF($C1911="","",IFERROR(IF(INDEX(Roster!$D:$D,MATCH($C1911,Roster!$B:$B,0))="","",INDEX(Roster!$D:$D,MATCH($C1911,Roster!$B:$B,0))&amp;""),"—"))</f>
        <v/>
      </c>
      <c r="G1911" s="25">
        <f>IF($C1911="","",IFERROR(IF(INDEX(Roster!$E:$E,MATCH($C1911,Roster!$B:$B,0))="","",INDEX(Roster!$E:$E,MATCH($C1911,Roster!$B:$B,0))&amp;""),"—"))</f>
        <v/>
      </c>
      <c r="H1911" s="25">
        <f>IF($C1911="","",IFERROR(IF(INDEX(Roster!$F:$F,MATCH($C1911,Roster!$B:$B,0))="","",INDEX(Roster!$F:$F,MATCH($C1911,Roster!$B:$B,0))&amp;""),"—"))</f>
        <v/>
      </c>
      <c r="I1911" s="25">
        <f>IF($C1911="","",IFERROR(IF(INDEX(Roster!$G:$G,MATCH($C1911,Roster!$B:$B,0))="","",INDEX(Roster!$G:$G,MATCH($C1911,Roster!$B:$B,0))&amp;""),"—"))</f>
        <v/>
      </c>
      <c r="J1911" s="25">
        <f>IF($C1911="","",IFERROR(IF(INDEX(Roster!$I:$I,MATCH($C1911,Roster!$B:$B,0))="","",INDEX(Roster!$I:$I,MATCH($C1911,Roster!$B:$B,0))&amp;""),"—"))</f>
        <v/>
      </c>
      <c r="K1911">
        <f>IF($C1911="","",IFERROR(IF(INDEX(Roster!$J:$J,MATCH($C1911,Roster!$B:$B,0))="","",INDEX(Roster!$J:$J,MATCH($C1911,Roster!$B:$B,0))&amp;""),"—"))</f>
        <v/>
      </c>
      <c r="L1911">
        <f>IF($C1911="","",IFERROR(IF(INDEX(Roster!$K:$K,MATCH($C1911,Roster!$B:$B,0))="","",INDEX(Roster!$K:$K,MATCH($C1911,Roster!$B:$B,0))&amp;""),"—"))</f>
        <v/>
      </c>
      <c r="M1911" s="27" t="n"/>
      <c r="N1911" s="27" t="n"/>
      <c r="O1911" s="25">
        <f>IF($C1911="","",IF($P1911="","—",IF($P1911="Valid (Pass)","Valid","Invalid")))</f>
        <v/>
      </c>
      <c r="P1911" s="27" t="n"/>
      <c r="Q1911" s="27" t="n"/>
      <c r="R1911" s="27" t="n"/>
      <c r="S1911" s="27" t="n"/>
      <c r="T1911" s="25">
        <f>IF($C1911="","",IF(OR(ISNUMBER(SEARCH("quick case",$P1911)),ISNUMBER(SEARCH("quick case",$Q1911))),"Yes","No"))</f>
        <v/>
      </c>
      <c r="U1911" s="25">
        <f>IF($O1911="Invalid",HYPERLINK("mailto:"&amp;$G1911&amp;";"&amp;$I1911&amp;"?cc="&amp;Lists!$E$2&amp;"&amp;subject="&amp;_xlfn.ENCODEURL("[INVALID] Quality audit monitoring completed for "&amp;UPPER($C1911))&amp;"&amp;body="&amp;_xlfn.ENCODEURL("Hi "&amp;$F1911&amp;","&amp;CHAR(10)&amp;"Good day!"&amp;CHAR(10)&amp;CHAR(10)&amp;"A quality monitoring audit has been completed for "&amp;$C1911&amp;"."&amp;CHAR(10)&amp;CHAR(10)&amp;"QUALITY AUDIT DETAILS"&amp;CHAR(10)&amp;"Agent Name: "&amp;$C1911&amp;" (EID "&amp;$D1911&amp;")"&amp;CHAR(10)&amp;"Audit Date: "&amp;TEXT($B1911,"yyyy-mm-dd")&amp;CHAR(10)&amp;"Team Leader: "&amp;$F1911&amp;CHAR(10)&amp;"Case Number: "&amp;$M1911&amp;CHAR(10)&amp;"Transaction ID: "&amp;$N1911&amp;CHAR(10)&amp;"Channel / LOB: "&amp;$K1911&amp;" / "&amp;$L1911&amp;CHAR(10)&amp;"Evaluator: "&amp;$S1911&amp;CHAR(10)&amp;CHAR(10)&amp;"INVALID QUALITY AUDIT DETAILS"&amp;CHAR(10)&amp;"Validation: Invalid"&amp;CHAR(10)&amp;"Invalid Reason: "&amp;$P1911&amp;CHAR(10)&amp;"Expected Resolution Code: "&amp;$Q1911&amp;CHAR(10)&amp;"Remarks: "&amp;LEFT($R1911,600)&amp;CHAR(10)&amp;CHAR(10)&amp;"This is an automated notification from HP Mainstream EQMS."),"✉ Open Email Draft"),"")</f>
        <v/>
      </c>
    </row>
    <row r="1912">
      <c r="A1912" s="25">
        <f>IF($C1912="","","AUD-2026-"&amp;TEXT(ROW()-1,"000000"))</f>
        <v/>
      </c>
      <c r="B1912" s="26" t="n"/>
      <c r="C1912" s="27" t="n"/>
      <c r="D1912" s="25">
        <f>IF($C1912="","",IFERROR(IF(INDEX(Roster!$A:$A,MATCH($C1912,Roster!$B:$B,0))="","",INDEX(Roster!$A:$A,MATCH($C1912,Roster!$B:$B,0))&amp;""),"—"))</f>
        <v/>
      </c>
      <c r="E1912" s="25">
        <f>IF($C1912="","",IFERROR(IF(INDEX(Roster!$C:$C,MATCH($C1912,Roster!$B:$B,0))="","",INDEX(Roster!$C:$C,MATCH($C1912,Roster!$B:$B,0))&amp;""),"—"))</f>
        <v/>
      </c>
      <c r="F1912" s="25">
        <f>IF($C1912="","",IFERROR(IF(INDEX(Roster!$D:$D,MATCH($C1912,Roster!$B:$B,0))="","",INDEX(Roster!$D:$D,MATCH($C1912,Roster!$B:$B,0))&amp;""),"—"))</f>
        <v/>
      </c>
      <c r="G1912" s="25">
        <f>IF($C1912="","",IFERROR(IF(INDEX(Roster!$E:$E,MATCH($C1912,Roster!$B:$B,0))="","",INDEX(Roster!$E:$E,MATCH($C1912,Roster!$B:$B,0))&amp;""),"—"))</f>
        <v/>
      </c>
      <c r="H1912" s="25">
        <f>IF($C1912="","",IFERROR(IF(INDEX(Roster!$F:$F,MATCH($C1912,Roster!$B:$B,0))="","",INDEX(Roster!$F:$F,MATCH($C1912,Roster!$B:$B,0))&amp;""),"—"))</f>
        <v/>
      </c>
      <c r="I1912" s="25">
        <f>IF($C1912="","",IFERROR(IF(INDEX(Roster!$G:$G,MATCH($C1912,Roster!$B:$B,0))="","",INDEX(Roster!$G:$G,MATCH($C1912,Roster!$B:$B,0))&amp;""),"—"))</f>
        <v/>
      </c>
      <c r="J1912" s="25">
        <f>IF($C1912="","",IFERROR(IF(INDEX(Roster!$I:$I,MATCH($C1912,Roster!$B:$B,0))="","",INDEX(Roster!$I:$I,MATCH($C1912,Roster!$B:$B,0))&amp;""),"—"))</f>
        <v/>
      </c>
      <c r="K1912">
        <f>IF($C1912="","",IFERROR(IF(INDEX(Roster!$J:$J,MATCH($C1912,Roster!$B:$B,0))="","",INDEX(Roster!$J:$J,MATCH($C1912,Roster!$B:$B,0))&amp;""),"—"))</f>
        <v/>
      </c>
      <c r="L1912">
        <f>IF($C1912="","",IFERROR(IF(INDEX(Roster!$K:$K,MATCH($C1912,Roster!$B:$B,0))="","",INDEX(Roster!$K:$K,MATCH($C1912,Roster!$B:$B,0))&amp;""),"—"))</f>
        <v/>
      </c>
      <c r="M1912" s="27" t="n"/>
      <c r="N1912" s="27" t="n"/>
      <c r="O1912" s="25">
        <f>IF($C1912="","",IF($P1912="","—",IF($P1912="Valid (Pass)","Valid","Invalid")))</f>
        <v/>
      </c>
      <c r="P1912" s="27" t="n"/>
      <c r="Q1912" s="27" t="n"/>
      <c r="R1912" s="27" t="n"/>
      <c r="S1912" s="27" t="n"/>
      <c r="T1912" s="25">
        <f>IF($C1912="","",IF(OR(ISNUMBER(SEARCH("quick case",$P1912)),ISNUMBER(SEARCH("quick case",$Q1912))),"Yes","No"))</f>
        <v/>
      </c>
      <c r="U1912" s="25">
        <f>IF($O1912="Invalid",HYPERLINK("mailto:"&amp;$G1912&amp;";"&amp;$I1912&amp;"?cc="&amp;Lists!$E$2&amp;"&amp;subject="&amp;_xlfn.ENCODEURL("[INVALID] Quality audit monitoring completed for "&amp;UPPER($C1912))&amp;"&amp;body="&amp;_xlfn.ENCODEURL("Hi "&amp;$F1912&amp;","&amp;CHAR(10)&amp;"Good day!"&amp;CHAR(10)&amp;CHAR(10)&amp;"A quality monitoring audit has been completed for "&amp;$C1912&amp;"."&amp;CHAR(10)&amp;CHAR(10)&amp;"QUALITY AUDIT DETAILS"&amp;CHAR(10)&amp;"Agent Name: "&amp;$C1912&amp;" (EID "&amp;$D1912&amp;")"&amp;CHAR(10)&amp;"Audit Date: "&amp;TEXT($B1912,"yyyy-mm-dd")&amp;CHAR(10)&amp;"Team Leader: "&amp;$F1912&amp;CHAR(10)&amp;"Case Number: "&amp;$M1912&amp;CHAR(10)&amp;"Transaction ID: "&amp;$N1912&amp;CHAR(10)&amp;"Channel / LOB: "&amp;$K1912&amp;" / "&amp;$L1912&amp;CHAR(10)&amp;"Evaluator: "&amp;$S1912&amp;CHAR(10)&amp;CHAR(10)&amp;"INVALID QUALITY AUDIT DETAILS"&amp;CHAR(10)&amp;"Validation: Invalid"&amp;CHAR(10)&amp;"Invalid Reason: "&amp;$P1912&amp;CHAR(10)&amp;"Expected Resolution Code: "&amp;$Q1912&amp;CHAR(10)&amp;"Remarks: "&amp;LEFT($R1912,600)&amp;CHAR(10)&amp;CHAR(10)&amp;"This is an automated notification from HP Mainstream EQMS."),"✉ Open Email Draft"),"")</f>
        <v/>
      </c>
    </row>
    <row r="1913">
      <c r="A1913" s="25">
        <f>IF($C1913="","","AUD-2026-"&amp;TEXT(ROW()-1,"000000"))</f>
        <v/>
      </c>
      <c r="B1913" s="26" t="n"/>
      <c r="C1913" s="27" t="n"/>
      <c r="D1913" s="25">
        <f>IF($C1913="","",IFERROR(IF(INDEX(Roster!$A:$A,MATCH($C1913,Roster!$B:$B,0))="","",INDEX(Roster!$A:$A,MATCH($C1913,Roster!$B:$B,0))&amp;""),"—"))</f>
        <v/>
      </c>
      <c r="E1913" s="25">
        <f>IF($C1913="","",IFERROR(IF(INDEX(Roster!$C:$C,MATCH($C1913,Roster!$B:$B,0))="","",INDEX(Roster!$C:$C,MATCH($C1913,Roster!$B:$B,0))&amp;""),"—"))</f>
        <v/>
      </c>
      <c r="F1913" s="25">
        <f>IF($C1913="","",IFERROR(IF(INDEX(Roster!$D:$D,MATCH($C1913,Roster!$B:$B,0))="","",INDEX(Roster!$D:$D,MATCH($C1913,Roster!$B:$B,0))&amp;""),"—"))</f>
        <v/>
      </c>
      <c r="G1913" s="25">
        <f>IF($C1913="","",IFERROR(IF(INDEX(Roster!$E:$E,MATCH($C1913,Roster!$B:$B,0))="","",INDEX(Roster!$E:$E,MATCH($C1913,Roster!$B:$B,0))&amp;""),"—"))</f>
        <v/>
      </c>
      <c r="H1913" s="25">
        <f>IF($C1913="","",IFERROR(IF(INDEX(Roster!$F:$F,MATCH($C1913,Roster!$B:$B,0))="","",INDEX(Roster!$F:$F,MATCH($C1913,Roster!$B:$B,0))&amp;""),"—"))</f>
        <v/>
      </c>
      <c r="I1913" s="25">
        <f>IF($C1913="","",IFERROR(IF(INDEX(Roster!$G:$G,MATCH($C1913,Roster!$B:$B,0))="","",INDEX(Roster!$G:$G,MATCH($C1913,Roster!$B:$B,0))&amp;""),"—"))</f>
        <v/>
      </c>
      <c r="J1913" s="25">
        <f>IF($C1913="","",IFERROR(IF(INDEX(Roster!$I:$I,MATCH($C1913,Roster!$B:$B,0))="","",INDEX(Roster!$I:$I,MATCH($C1913,Roster!$B:$B,0))&amp;""),"—"))</f>
        <v/>
      </c>
      <c r="K1913">
        <f>IF($C1913="","",IFERROR(IF(INDEX(Roster!$J:$J,MATCH($C1913,Roster!$B:$B,0))="","",INDEX(Roster!$J:$J,MATCH($C1913,Roster!$B:$B,0))&amp;""),"—"))</f>
        <v/>
      </c>
      <c r="L1913">
        <f>IF($C1913="","",IFERROR(IF(INDEX(Roster!$K:$K,MATCH($C1913,Roster!$B:$B,0))="","",INDEX(Roster!$K:$K,MATCH($C1913,Roster!$B:$B,0))&amp;""),"—"))</f>
        <v/>
      </c>
      <c r="M1913" s="27" t="n"/>
      <c r="N1913" s="27" t="n"/>
      <c r="O1913" s="25">
        <f>IF($C1913="","",IF($P1913="","—",IF($P1913="Valid (Pass)","Valid","Invalid")))</f>
        <v/>
      </c>
      <c r="P1913" s="27" t="n"/>
      <c r="Q1913" s="27" t="n"/>
      <c r="R1913" s="27" t="n"/>
      <c r="S1913" s="27" t="n"/>
      <c r="T1913" s="25">
        <f>IF($C1913="","",IF(OR(ISNUMBER(SEARCH("quick case",$P1913)),ISNUMBER(SEARCH("quick case",$Q1913))),"Yes","No"))</f>
        <v/>
      </c>
      <c r="U1913" s="25">
        <f>IF($O1913="Invalid",HYPERLINK("mailto:"&amp;$G1913&amp;";"&amp;$I1913&amp;"?cc="&amp;Lists!$E$2&amp;"&amp;subject="&amp;_xlfn.ENCODEURL("[INVALID] Quality audit monitoring completed for "&amp;UPPER($C1913))&amp;"&amp;body="&amp;_xlfn.ENCODEURL("Hi "&amp;$F1913&amp;","&amp;CHAR(10)&amp;"Good day!"&amp;CHAR(10)&amp;CHAR(10)&amp;"A quality monitoring audit has been completed for "&amp;$C1913&amp;"."&amp;CHAR(10)&amp;CHAR(10)&amp;"QUALITY AUDIT DETAILS"&amp;CHAR(10)&amp;"Agent Name: "&amp;$C1913&amp;" (EID "&amp;$D1913&amp;")"&amp;CHAR(10)&amp;"Audit Date: "&amp;TEXT($B1913,"yyyy-mm-dd")&amp;CHAR(10)&amp;"Team Leader: "&amp;$F1913&amp;CHAR(10)&amp;"Case Number: "&amp;$M1913&amp;CHAR(10)&amp;"Transaction ID: "&amp;$N1913&amp;CHAR(10)&amp;"Channel / LOB: "&amp;$K1913&amp;" / "&amp;$L1913&amp;CHAR(10)&amp;"Evaluator: "&amp;$S1913&amp;CHAR(10)&amp;CHAR(10)&amp;"INVALID QUALITY AUDIT DETAILS"&amp;CHAR(10)&amp;"Validation: Invalid"&amp;CHAR(10)&amp;"Invalid Reason: "&amp;$P1913&amp;CHAR(10)&amp;"Expected Resolution Code: "&amp;$Q1913&amp;CHAR(10)&amp;"Remarks: "&amp;LEFT($R1913,600)&amp;CHAR(10)&amp;CHAR(10)&amp;"This is an automated notification from HP Mainstream EQMS."),"✉ Open Email Draft"),"")</f>
        <v/>
      </c>
    </row>
    <row r="1914">
      <c r="A1914" s="25">
        <f>IF($C1914="","","AUD-2026-"&amp;TEXT(ROW()-1,"000000"))</f>
        <v/>
      </c>
      <c r="B1914" s="26" t="n"/>
      <c r="C1914" s="27" t="n"/>
      <c r="D1914" s="25">
        <f>IF($C1914="","",IFERROR(IF(INDEX(Roster!$A:$A,MATCH($C1914,Roster!$B:$B,0))="","",INDEX(Roster!$A:$A,MATCH($C1914,Roster!$B:$B,0))&amp;""),"—"))</f>
        <v/>
      </c>
      <c r="E1914" s="25">
        <f>IF($C1914="","",IFERROR(IF(INDEX(Roster!$C:$C,MATCH($C1914,Roster!$B:$B,0))="","",INDEX(Roster!$C:$C,MATCH($C1914,Roster!$B:$B,0))&amp;""),"—"))</f>
        <v/>
      </c>
      <c r="F1914" s="25">
        <f>IF($C1914="","",IFERROR(IF(INDEX(Roster!$D:$D,MATCH($C1914,Roster!$B:$B,0))="","",INDEX(Roster!$D:$D,MATCH($C1914,Roster!$B:$B,0))&amp;""),"—"))</f>
        <v/>
      </c>
      <c r="G1914" s="25">
        <f>IF($C1914="","",IFERROR(IF(INDEX(Roster!$E:$E,MATCH($C1914,Roster!$B:$B,0))="","",INDEX(Roster!$E:$E,MATCH($C1914,Roster!$B:$B,0))&amp;""),"—"))</f>
        <v/>
      </c>
      <c r="H1914" s="25">
        <f>IF($C1914="","",IFERROR(IF(INDEX(Roster!$F:$F,MATCH($C1914,Roster!$B:$B,0))="","",INDEX(Roster!$F:$F,MATCH($C1914,Roster!$B:$B,0))&amp;""),"—"))</f>
        <v/>
      </c>
      <c r="I1914" s="25">
        <f>IF($C1914="","",IFERROR(IF(INDEX(Roster!$G:$G,MATCH($C1914,Roster!$B:$B,0))="","",INDEX(Roster!$G:$G,MATCH($C1914,Roster!$B:$B,0))&amp;""),"—"))</f>
        <v/>
      </c>
      <c r="J1914" s="25">
        <f>IF($C1914="","",IFERROR(IF(INDEX(Roster!$I:$I,MATCH($C1914,Roster!$B:$B,0))="","",INDEX(Roster!$I:$I,MATCH($C1914,Roster!$B:$B,0))&amp;""),"—"))</f>
        <v/>
      </c>
      <c r="K1914">
        <f>IF($C1914="","",IFERROR(IF(INDEX(Roster!$J:$J,MATCH($C1914,Roster!$B:$B,0))="","",INDEX(Roster!$J:$J,MATCH($C1914,Roster!$B:$B,0))&amp;""),"—"))</f>
        <v/>
      </c>
      <c r="L1914">
        <f>IF($C1914="","",IFERROR(IF(INDEX(Roster!$K:$K,MATCH($C1914,Roster!$B:$B,0))="","",INDEX(Roster!$K:$K,MATCH($C1914,Roster!$B:$B,0))&amp;""),"—"))</f>
        <v/>
      </c>
      <c r="M1914" s="27" t="n"/>
      <c r="N1914" s="27" t="n"/>
      <c r="O1914" s="25">
        <f>IF($C1914="","",IF($P1914="","—",IF($P1914="Valid (Pass)","Valid","Invalid")))</f>
        <v/>
      </c>
      <c r="P1914" s="27" t="n"/>
      <c r="Q1914" s="27" t="n"/>
      <c r="R1914" s="27" t="n"/>
      <c r="S1914" s="27" t="n"/>
      <c r="T1914" s="25">
        <f>IF($C1914="","",IF(OR(ISNUMBER(SEARCH("quick case",$P1914)),ISNUMBER(SEARCH("quick case",$Q1914))),"Yes","No"))</f>
        <v/>
      </c>
      <c r="U1914" s="25">
        <f>IF($O1914="Invalid",HYPERLINK("mailto:"&amp;$G1914&amp;";"&amp;$I1914&amp;"?cc="&amp;Lists!$E$2&amp;"&amp;subject="&amp;_xlfn.ENCODEURL("[INVALID] Quality audit monitoring completed for "&amp;UPPER($C1914))&amp;"&amp;body="&amp;_xlfn.ENCODEURL("Hi "&amp;$F1914&amp;","&amp;CHAR(10)&amp;"Good day!"&amp;CHAR(10)&amp;CHAR(10)&amp;"A quality monitoring audit has been completed for "&amp;$C1914&amp;"."&amp;CHAR(10)&amp;CHAR(10)&amp;"QUALITY AUDIT DETAILS"&amp;CHAR(10)&amp;"Agent Name: "&amp;$C1914&amp;" (EID "&amp;$D1914&amp;")"&amp;CHAR(10)&amp;"Audit Date: "&amp;TEXT($B1914,"yyyy-mm-dd")&amp;CHAR(10)&amp;"Team Leader: "&amp;$F1914&amp;CHAR(10)&amp;"Case Number: "&amp;$M1914&amp;CHAR(10)&amp;"Transaction ID: "&amp;$N1914&amp;CHAR(10)&amp;"Channel / LOB: "&amp;$K1914&amp;" / "&amp;$L1914&amp;CHAR(10)&amp;"Evaluator: "&amp;$S1914&amp;CHAR(10)&amp;CHAR(10)&amp;"INVALID QUALITY AUDIT DETAILS"&amp;CHAR(10)&amp;"Validation: Invalid"&amp;CHAR(10)&amp;"Invalid Reason: "&amp;$P1914&amp;CHAR(10)&amp;"Expected Resolution Code: "&amp;$Q1914&amp;CHAR(10)&amp;"Remarks: "&amp;LEFT($R1914,600)&amp;CHAR(10)&amp;CHAR(10)&amp;"This is an automated notification from HP Mainstream EQMS."),"✉ Open Email Draft"),"")</f>
        <v/>
      </c>
    </row>
    <row r="1915">
      <c r="A1915" s="25">
        <f>IF($C1915="","","AUD-2026-"&amp;TEXT(ROW()-1,"000000"))</f>
        <v/>
      </c>
      <c r="B1915" s="26" t="n"/>
      <c r="C1915" s="27" t="n"/>
      <c r="D1915" s="25">
        <f>IF($C1915="","",IFERROR(IF(INDEX(Roster!$A:$A,MATCH($C1915,Roster!$B:$B,0))="","",INDEX(Roster!$A:$A,MATCH($C1915,Roster!$B:$B,0))&amp;""),"—"))</f>
        <v/>
      </c>
      <c r="E1915" s="25">
        <f>IF($C1915="","",IFERROR(IF(INDEX(Roster!$C:$C,MATCH($C1915,Roster!$B:$B,0))="","",INDEX(Roster!$C:$C,MATCH($C1915,Roster!$B:$B,0))&amp;""),"—"))</f>
        <v/>
      </c>
      <c r="F1915" s="25">
        <f>IF($C1915="","",IFERROR(IF(INDEX(Roster!$D:$D,MATCH($C1915,Roster!$B:$B,0))="","",INDEX(Roster!$D:$D,MATCH($C1915,Roster!$B:$B,0))&amp;""),"—"))</f>
        <v/>
      </c>
      <c r="G1915" s="25">
        <f>IF($C1915="","",IFERROR(IF(INDEX(Roster!$E:$E,MATCH($C1915,Roster!$B:$B,0))="","",INDEX(Roster!$E:$E,MATCH($C1915,Roster!$B:$B,0))&amp;""),"—"))</f>
        <v/>
      </c>
      <c r="H1915" s="25">
        <f>IF($C1915="","",IFERROR(IF(INDEX(Roster!$F:$F,MATCH($C1915,Roster!$B:$B,0))="","",INDEX(Roster!$F:$F,MATCH($C1915,Roster!$B:$B,0))&amp;""),"—"))</f>
        <v/>
      </c>
      <c r="I1915" s="25">
        <f>IF($C1915="","",IFERROR(IF(INDEX(Roster!$G:$G,MATCH($C1915,Roster!$B:$B,0))="","",INDEX(Roster!$G:$G,MATCH($C1915,Roster!$B:$B,0))&amp;""),"—"))</f>
        <v/>
      </c>
      <c r="J1915" s="25">
        <f>IF($C1915="","",IFERROR(IF(INDEX(Roster!$I:$I,MATCH($C1915,Roster!$B:$B,0))="","",INDEX(Roster!$I:$I,MATCH($C1915,Roster!$B:$B,0))&amp;""),"—"))</f>
        <v/>
      </c>
      <c r="K1915">
        <f>IF($C1915="","",IFERROR(IF(INDEX(Roster!$J:$J,MATCH($C1915,Roster!$B:$B,0))="","",INDEX(Roster!$J:$J,MATCH($C1915,Roster!$B:$B,0))&amp;""),"—"))</f>
        <v/>
      </c>
      <c r="L1915">
        <f>IF($C1915="","",IFERROR(IF(INDEX(Roster!$K:$K,MATCH($C1915,Roster!$B:$B,0))="","",INDEX(Roster!$K:$K,MATCH($C1915,Roster!$B:$B,0))&amp;""),"—"))</f>
        <v/>
      </c>
      <c r="M1915" s="27" t="n"/>
      <c r="N1915" s="27" t="n"/>
      <c r="O1915" s="25">
        <f>IF($C1915="","",IF($P1915="","—",IF($P1915="Valid (Pass)","Valid","Invalid")))</f>
        <v/>
      </c>
      <c r="P1915" s="27" t="n"/>
      <c r="Q1915" s="27" t="n"/>
      <c r="R1915" s="27" t="n"/>
      <c r="S1915" s="27" t="n"/>
      <c r="T1915" s="25">
        <f>IF($C1915="","",IF(OR(ISNUMBER(SEARCH("quick case",$P1915)),ISNUMBER(SEARCH("quick case",$Q1915))),"Yes","No"))</f>
        <v/>
      </c>
      <c r="U1915" s="25">
        <f>IF($O1915="Invalid",HYPERLINK("mailto:"&amp;$G1915&amp;";"&amp;$I1915&amp;"?cc="&amp;Lists!$E$2&amp;"&amp;subject="&amp;_xlfn.ENCODEURL("[INVALID] Quality audit monitoring completed for "&amp;UPPER($C1915))&amp;"&amp;body="&amp;_xlfn.ENCODEURL("Hi "&amp;$F1915&amp;","&amp;CHAR(10)&amp;"Good day!"&amp;CHAR(10)&amp;CHAR(10)&amp;"A quality monitoring audit has been completed for "&amp;$C1915&amp;"."&amp;CHAR(10)&amp;CHAR(10)&amp;"QUALITY AUDIT DETAILS"&amp;CHAR(10)&amp;"Agent Name: "&amp;$C1915&amp;" (EID "&amp;$D1915&amp;")"&amp;CHAR(10)&amp;"Audit Date: "&amp;TEXT($B1915,"yyyy-mm-dd")&amp;CHAR(10)&amp;"Team Leader: "&amp;$F1915&amp;CHAR(10)&amp;"Case Number: "&amp;$M1915&amp;CHAR(10)&amp;"Transaction ID: "&amp;$N1915&amp;CHAR(10)&amp;"Channel / LOB: "&amp;$K1915&amp;" / "&amp;$L1915&amp;CHAR(10)&amp;"Evaluator: "&amp;$S1915&amp;CHAR(10)&amp;CHAR(10)&amp;"INVALID QUALITY AUDIT DETAILS"&amp;CHAR(10)&amp;"Validation: Invalid"&amp;CHAR(10)&amp;"Invalid Reason: "&amp;$P1915&amp;CHAR(10)&amp;"Expected Resolution Code: "&amp;$Q1915&amp;CHAR(10)&amp;"Remarks: "&amp;LEFT($R1915,600)&amp;CHAR(10)&amp;CHAR(10)&amp;"This is an automated notification from HP Mainstream EQMS."),"✉ Open Email Draft"),"")</f>
        <v/>
      </c>
    </row>
    <row r="1916">
      <c r="A1916" s="25">
        <f>IF($C1916="","","AUD-2026-"&amp;TEXT(ROW()-1,"000000"))</f>
        <v/>
      </c>
      <c r="B1916" s="26" t="n"/>
      <c r="C1916" s="27" t="n"/>
      <c r="D1916" s="25">
        <f>IF($C1916="","",IFERROR(IF(INDEX(Roster!$A:$A,MATCH($C1916,Roster!$B:$B,0))="","",INDEX(Roster!$A:$A,MATCH($C1916,Roster!$B:$B,0))&amp;""),"—"))</f>
        <v/>
      </c>
      <c r="E1916" s="25">
        <f>IF($C1916="","",IFERROR(IF(INDEX(Roster!$C:$C,MATCH($C1916,Roster!$B:$B,0))="","",INDEX(Roster!$C:$C,MATCH($C1916,Roster!$B:$B,0))&amp;""),"—"))</f>
        <v/>
      </c>
      <c r="F1916" s="25">
        <f>IF($C1916="","",IFERROR(IF(INDEX(Roster!$D:$D,MATCH($C1916,Roster!$B:$B,0))="","",INDEX(Roster!$D:$D,MATCH($C1916,Roster!$B:$B,0))&amp;""),"—"))</f>
        <v/>
      </c>
      <c r="G1916" s="25">
        <f>IF($C1916="","",IFERROR(IF(INDEX(Roster!$E:$E,MATCH($C1916,Roster!$B:$B,0))="","",INDEX(Roster!$E:$E,MATCH($C1916,Roster!$B:$B,0))&amp;""),"—"))</f>
        <v/>
      </c>
      <c r="H1916" s="25">
        <f>IF($C1916="","",IFERROR(IF(INDEX(Roster!$F:$F,MATCH($C1916,Roster!$B:$B,0))="","",INDEX(Roster!$F:$F,MATCH($C1916,Roster!$B:$B,0))&amp;""),"—"))</f>
        <v/>
      </c>
      <c r="I1916" s="25">
        <f>IF($C1916="","",IFERROR(IF(INDEX(Roster!$G:$G,MATCH($C1916,Roster!$B:$B,0))="","",INDEX(Roster!$G:$G,MATCH($C1916,Roster!$B:$B,0))&amp;""),"—"))</f>
        <v/>
      </c>
      <c r="J1916" s="25">
        <f>IF($C1916="","",IFERROR(IF(INDEX(Roster!$I:$I,MATCH($C1916,Roster!$B:$B,0))="","",INDEX(Roster!$I:$I,MATCH($C1916,Roster!$B:$B,0))&amp;""),"—"))</f>
        <v/>
      </c>
      <c r="K1916">
        <f>IF($C1916="","",IFERROR(IF(INDEX(Roster!$J:$J,MATCH($C1916,Roster!$B:$B,0))="","",INDEX(Roster!$J:$J,MATCH($C1916,Roster!$B:$B,0))&amp;""),"—"))</f>
        <v/>
      </c>
      <c r="L1916">
        <f>IF($C1916="","",IFERROR(IF(INDEX(Roster!$K:$K,MATCH($C1916,Roster!$B:$B,0))="","",INDEX(Roster!$K:$K,MATCH($C1916,Roster!$B:$B,0))&amp;""),"—"))</f>
        <v/>
      </c>
      <c r="M1916" s="27" t="n"/>
      <c r="N1916" s="27" t="n"/>
      <c r="O1916" s="25">
        <f>IF($C1916="","",IF($P1916="","—",IF($P1916="Valid (Pass)","Valid","Invalid")))</f>
        <v/>
      </c>
      <c r="P1916" s="27" t="n"/>
      <c r="Q1916" s="27" t="n"/>
      <c r="R1916" s="27" t="n"/>
      <c r="S1916" s="27" t="n"/>
      <c r="T1916" s="25">
        <f>IF($C1916="","",IF(OR(ISNUMBER(SEARCH("quick case",$P1916)),ISNUMBER(SEARCH("quick case",$Q1916))),"Yes","No"))</f>
        <v/>
      </c>
      <c r="U1916" s="25">
        <f>IF($O1916="Invalid",HYPERLINK("mailto:"&amp;$G1916&amp;";"&amp;$I1916&amp;"?cc="&amp;Lists!$E$2&amp;"&amp;subject="&amp;_xlfn.ENCODEURL("[INVALID] Quality audit monitoring completed for "&amp;UPPER($C1916))&amp;"&amp;body="&amp;_xlfn.ENCODEURL("Hi "&amp;$F1916&amp;","&amp;CHAR(10)&amp;"Good day!"&amp;CHAR(10)&amp;CHAR(10)&amp;"A quality monitoring audit has been completed for "&amp;$C1916&amp;"."&amp;CHAR(10)&amp;CHAR(10)&amp;"QUALITY AUDIT DETAILS"&amp;CHAR(10)&amp;"Agent Name: "&amp;$C1916&amp;" (EID "&amp;$D1916&amp;")"&amp;CHAR(10)&amp;"Audit Date: "&amp;TEXT($B1916,"yyyy-mm-dd")&amp;CHAR(10)&amp;"Team Leader: "&amp;$F1916&amp;CHAR(10)&amp;"Case Number: "&amp;$M1916&amp;CHAR(10)&amp;"Transaction ID: "&amp;$N1916&amp;CHAR(10)&amp;"Channel / LOB: "&amp;$K1916&amp;" / "&amp;$L1916&amp;CHAR(10)&amp;"Evaluator: "&amp;$S1916&amp;CHAR(10)&amp;CHAR(10)&amp;"INVALID QUALITY AUDIT DETAILS"&amp;CHAR(10)&amp;"Validation: Invalid"&amp;CHAR(10)&amp;"Invalid Reason: "&amp;$P1916&amp;CHAR(10)&amp;"Expected Resolution Code: "&amp;$Q1916&amp;CHAR(10)&amp;"Remarks: "&amp;LEFT($R1916,600)&amp;CHAR(10)&amp;CHAR(10)&amp;"This is an automated notification from HP Mainstream EQMS."),"✉ Open Email Draft"),"")</f>
        <v/>
      </c>
    </row>
    <row r="1917">
      <c r="A1917" s="25">
        <f>IF($C1917="","","AUD-2026-"&amp;TEXT(ROW()-1,"000000"))</f>
        <v/>
      </c>
      <c r="B1917" s="26" t="n"/>
      <c r="C1917" s="27" t="n"/>
      <c r="D1917" s="25">
        <f>IF($C1917="","",IFERROR(IF(INDEX(Roster!$A:$A,MATCH($C1917,Roster!$B:$B,0))="","",INDEX(Roster!$A:$A,MATCH($C1917,Roster!$B:$B,0))&amp;""),"—"))</f>
        <v/>
      </c>
      <c r="E1917" s="25">
        <f>IF($C1917="","",IFERROR(IF(INDEX(Roster!$C:$C,MATCH($C1917,Roster!$B:$B,0))="","",INDEX(Roster!$C:$C,MATCH($C1917,Roster!$B:$B,0))&amp;""),"—"))</f>
        <v/>
      </c>
      <c r="F1917" s="25">
        <f>IF($C1917="","",IFERROR(IF(INDEX(Roster!$D:$D,MATCH($C1917,Roster!$B:$B,0))="","",INDEX(Roster!$D:$D,MATCH($C1917,Roster!$B:$B,0))&amp;""),"—"))</f>
        <v/>
      </c>
      <c r="G1917" s="25">
        <f>IF($C1917="","",IFERROR(IF(INDEX(Roster!$E:$E,MATCH($C1917,Roster!$B:$B,0))="","",INDEX(Roster!$E:$E,MATCH($C1917,Roster!$B:$B,0))&amp;""),"—"))</f>
        <v/>
      </c>
      <c r="H1917" s="25">
        <f>IF($C1917="","",IFERROR(IF(INDEX(Roster!$F:$F,MATCH($C1917,Roster!$B:$B,0))="","",INDEX(Roster!$F:$F,MATCH($C1917,Roster!$B:$B,0))&amp;""),"—"))</f>
        <v/>
      </c>
      <c r="I1917" s="25">
        <f>IF($C1917="","",IFERROR(IF(INDEX(Roster!$G:$G,MATCH($C1917,Roster!$B:$B,0))="","",INDEX(Roster!$G:$G,MATCH($C1917,Roster!$B:$B,0))&amp;""),"—"))</f>
        <v/>
      </c>
      <c r="J1917" s="25">
        <f>IF($C1917="","",IFERROR(IF(INDEX(Roster!$I:$I,MATCH($C1917,Roster!$B:$B,0))="","",INDEX(Roster!$I:$I,MATCH($C1917,Roster!$B:$B,0))&amp;""),"—"))</f>
        <v/>
      </c>
      <c r="K1917">
        <f>IF($C1917="","",IFERROR(IF(INDEX(Roster!$J:$J,MATCH($C1917,Roster!$B:$B,0))="","",INDEX(Roster!$J:$J,MATCH($C1917,Roster!$B:$B,0))&amp;""),"—"))</f>
        <v/>
      </c>
      <c r="L1917">
        <f>IF($C1917="","",IFERROR(IF(INDEX(Roster!$K:$K,MATCH($C1917,Roster!$B:$B,0))="","",INDEX(Roster!$K:$K,MATCH($C1917,Roster!$B:$B,0))&amp;""),"—"))</f>
        <v/>
      </c>
      <c r="M1917" s="27" t="n"/>
      <c r="N1917" s="27" t="n"/>
      <c r="O1917" s="25">
        <f>IF($C1917="","",IF($P1917="","—",IF($P1917="Valid (Pass)","Valid","Invalid")))</f>
        <v/>
      </c>
      <c r="P1917" s="27" t="n"/>
      <c r="Q1917" s="27" t="n"/>
      <c r="R1917" s="27" t="n"/>
      <c r="S1917" s="27" t="n"/>
      <c r="T1917" s="25">
        <f>IF($C1917="","",IF(OR(ISNUMBER(SEARCH("quick case",$P1917)),ISNUMBER(SEARCH("quick case",$Q1917))),"Yes","No"))</f>
        <v/>
      </c>
      <c r="U1917" s="25">
        <f>IF($O1917="Invalid",HYPERLINK("mailto:"&amp;$G1917&amp;";"&amp;$I1917&amp;"?cc="&amp;Lists!$E$2&amp;"&amp;subject="&amp;_xlfn.ENCODEURL("[INVALID] Quality audit monitoring completed for "&amp;UPPER($C1917))&amp;"&amp;body="&amp;_xlfn.ENCODEURL("Hi "&amp;$F1917&amp;","&amp;CHAR(10)&amp;"Good day!"&amp;CHAR(10)&amp;CHAR(10)&amp;"A quality monitoring audit has been completed for "&amp;$C1917&amp;"."&amp;CHAR(10)&amp;CHAR(10)&amp;"QUALITY AUDIT DETAILS"&amp;CHAR(10)&amp;"Agent Name: "&amp;$C1917&amp;" (EID "&amp;$D1917&amp;")"&amp;CHAR(10)&amp;"Audit Date: "&amp;TEXT($B1917,"yyyy-mm-dd")&amp;CHAR(10)&amp;"Team Leader: "&amp;$F1917&amp;CHAR(10)&amp;"Case Number: "&amp;$M1917&amp;CHAR(10)&amp;"Transaction ID: "&amp;$N1917&amp;CHAR(10)&amp;"Channel / LOB: "&amp;$K1917&amp;" / "&amp;$L1917&amp;CHAR(10)&amp;"Evaluator: "&amp;$S1917&amp;CHAR(10)&amp;CHAR(10)&amp;"INVALID QUALITY AUDIT DETAILS"&amp;CHAR(10)&amp;"Validation: Invalid"&amp;CHAR(10)&amp;"Invalid Reason: "&amp;$P1917&amp;CHAR(10)&amp;"Expected Resolution Code: "&amp;$Q1917&amp;CHAR(10)&amp;"Remarks: "&amp;LEFT($R1917,600)&amp;CHAR(10)&amp;CHAR(10)&amp;"This is an automated notification from HP Mainstream EQMS."),"✉ Open Email Draft"),"")</f>
        <v/>
      </c>
    </row>
    <row r="1918">
      <c r="A1918" s="25">
        <f>IF($C1918="","","AUD-2026-"&amp;TEXT(ROW()-1,"000000"))</f>
        <v/>
      </c>
      <c r="B1918" s="26" t="n"/>
      <c r="C1918" s="27" t="n"/>
      <c r="D1918" s="25">
        <f>IF($C1918="","",IFERROR(IF(INDEX(Roster!$A:$A,MATCH($C1918,Roster!$B:$B,0))="","",INDEX(Roster!$A:$A,MATCH($C1918,Roster!$B:$B,0))&amp;""),"—"))</f>
        <v/>
      </c>
      <c r="E1918" s="25">
        <f>IF($C1918="","",IFERROR(IF(INDEX(Roster!$C:$C,MATCH($C1918,Roster!$B:$B,0))="","",INDEX(Roster!$C:$C,MATCH($C1918,Roster!$B:$B,0))&amp;""),"—"))</f>
        <v/>
      </c>
      <c r="F1918" s="25">
        <f>IF($C1918="","",IFERROR(IF(INDEX(Roster!$D:$D,MATCH($C1918,Roster!$B:$B,0))="","",INDEX(Roster!$D:$D,MATCH($C1918,Roster!$B:$B,0))&amp;""),"—"))</f>
        <v/>
      </c>
      <c r="G1918" s="25">
        <f>IF($C1918="","",IFERROR(IF(INDEX(Roster!$E:$E,MATCH($C1918,Roster!$B:$B,0))="","",INDEX(Roster!$E:$E,MATCH($C1918,Roster!$B:$B,0))&amp;""),"—"))</f>
        <v/>
      </c>
      <c r="H1918" s="25">
        <f>IF($C1918="","",IFERROR(IF(INDEX(Roster!$F:$F,MATCH($C1918,Roster!$B:$B,0))="","",INDEX(Roster!$F:$F,MATCH($C1918,Roster!$B:$B,0))&amp;""),"—"))</f>
        <v/>
      </c>
      <c r="I1918" s="25">
        <f>IF($C1918="","",IFERROR(IF(INDEX(Roster!$G:$G,MATCH($C1918,Roster!$B:$B,0))="","",INDEX(Roster!$G:$G,MATCH($C1918,Roster!$B:$B,0))&amp;""),"—"))</f>
        <v/>
      </c>
      <c r="J1918" s="25">
        <f>IF($C1918="","",IFERROR(IF(INDEX(Roster!$I:$I,MATCH($C1918,Roster!$B:$B,0))="","",INDEX(Roster!$I:$I,MATCH($C1918,Roster!$B:$B,0))&amp;""),"—"))</f>
        <v/>
      </c>
      <c r="K1918">
        <f>IF($C1918="","",IFERROR(IF(INDEX(Roster!$J:$J,MATCH($C1918,Roster!$B:$B,0))="","",INDEX(Roster!$J:$J,MATCH($C1918,Roster!$B:$B,0))&amp;""),"—"))</f>
        <v/>
      </c>
      <c r="L1918">
        <f>IF($C1918="","",IFERROR(IF(INDEX(Roster!$K:$K,MATCH($C1918,Roster!$B:$B,0))="","",INDEX(Roster!$K:$K,MATCH($C1918,Roster!$B:$B,0))&amp;""),"—"))</f>
        <v/>
      </c>
      <c r="M1918" s="27" t="n"/>
      <c r="N1918" s="27" t="n"/>
      <c r="O1918" s="25">
        <f>IF($C1918="","",IF($P1918="","—",IF($P1918="Valid (Pass)","Valid","Invalid")))</f>
        <v/>
      </c>
      <c r="P1918" s="27" t="n"/>
      <c r="Q1918" s="27" t="n"/>
      <c r="R1918" s="27" t="n"/>
      <c r="S1918" s="27" t="n"/>
      <c r="T1918" s="25">
        <f>IF($C1918="","",IF(OR(ISNUMBER(SEARCH("quick case",$P1918)),ISNUMBER(SEARCH("quick case",$Q1918))),"Yes","No"))</f>
        <v/>
      </c>
      <c r="U1918" s="25">
        <f>IF($O1918="Invalid",HYPERLINK("mailto:"&amp;$G1918&amp;";"&amp;$I1918&amp;"?cc="&amp;Lists!$E$2&amp;"&amp;subject="&amp;_xlfn.ENCODEURL("[INVALID] Quality audit monitoring completed for "&amp;UPPER($C1918))&amp;"&amp;body="&amp;_xlfn.ENCODEURL("Hi "&amp;$F1918&amp;","&amp;CHAR(10)&amp;"Good day!"&amp;CHAR(10)&amp;CHAR(10)&amp;"A quality monitoring audit has been completed for "&amp;$C1918&amp;"."&amp;CHAR(10)&amp;CHAR(10)&amp;"QUALITY AUDIT DETAILS"&amp;CHAR(10)&amp;"Agent Name: "&amp;$C1918&amp;" (EID "&amp;$D1918&amp;")"&amp;CHAR(10)&amp;"Audit Date: "&amp;TEXT($B1918,"yyyy-mm-dd")&amp;CHAR(10)&amp;"Team Leader: "&amp;$F1918&amp;CHAR(10)&amp;"Case Number: "&amp;$M1918&amp;CHAR(10)&amp;"Transaction ID: "&amp;$N1918&amp;CHAR(10)&amp;"Channel / LOB: "&amp;$K1918&amp;" / "&amp;$L1918&amp;CHAR(10)&amp;"Evaluator: "&amp;$S1918&amp;CHAR(10)&amp;CHAR(10)&amp;"INVALID QUALITY AUDIT DETAILS"&amp;CHAR(10)&amp;"Validation: Invalid"&amp;CHAR(10)&amp;"Invalid Reason: "&amp;$P1918&amp;CHAR(10)&amp;"Expected Resolution Code: "&amp;$Q1918&amp;CHAR(10)&amp;"Remarks: "&amp;LEFT($R1918,600)&amp;CHAR(10)&amp;CHAR(10)&amp;"This is an automated notification from HP Mainstream EQMS."),"✉ Open Email Draft"),"")</f>
        <v/>
      </c>
    </row>
    <row r="1919">
      <c r="A1919" s="25">
        <f>IF($C1919="","","AUD-2026-"&amp;TEXT(ROW()-1,"000000"))</f>
        <v/>
      </c>
      <c r="B1919" s="26" t="n"/>
      <c r="C1919" s="27" t="n"/>
      <c r="D1919" s="25">
        <f>IF($C1919="","",IFERROR(IF(INDEX(Roster!$A:$A,MATCH($C1919,Roster!$B:$B,0))="","",INDEX(Roster!$A:$A,MATCH($C1919,Roster!$B:$B,0))&amp;""),"—"))</f>
        <v/>
      </c>
      <c r="E1919" s="25">
        <f>IF($C1919="","",IFERROR(IF(INDEX(Roster!$C:$C,MATCH($C1919,Roster!$B:$B,0))="","",INDEX(Roster!$C:$C,MATCH($C1919,Roster!$B:$B,0))&amp;""),"—"))</f>
        <v/>
      </c>
      <c r="F1919" s="25">
        <f>IF($C1919="","",IFERROR(IF(INDEX(Roster!$D:$D,MATCH($C1919,Roster!$B:$B,0))="","",INDEX(Roster!$D:$D,MATCH($C1919,Roster!$B:$B,0))&amp;""),"—"))</f>
        <v/>
      </c>
      <c r="G1919" s="25">
        <f>IF($C1919="","",IFERROR(IF(INDEX(Roster!$E:$E,MATCH($C1919,Roster!$B:$B,0))="","",INDEX(Roster!$E:$E,MATCH($C1919,Roster!$B:$B,0))&amp;""),"—"))</f>
        <v/>
      </c>
      <c r="H1919" s="25">
        <f>IF($C1919="","",IFERROR(IF(INDEX(Roster!$F:$F,MATCH($C1919,Roster!$B:$B,0))="","",INDEX(Roster!$F:$F,MATCH($C1919,Roster!$B:$B,0))&amp;""),"—"))</f>
        <v/>
      </c>
      <c r="I1919" s="25">
        <f>IF($C1919="","",IFERROR(IF(INDEX(Roster!$G:$G,MATCH($C1919,Roster!$B:$B,0))="","",INDEX(Roster!$G:$G,MATCH($C1919,Roster!$B:$B,0))&amp;""),"—"))</f>
        <v/>
      </c>
      <c r="J1919" s="25">
        <f>IF($C1919="","",IFERROR(IF(INDEX(Roster!$I:$I,MATCH($C1919,Roster!$B:$B,0))="","",INDEX(Roster!$I:$I,MATCH($C1919,Roster!$B:$B,0))&amp;""),"—"))</f>
        <v/>
      </c>
      <c r="K1919">
        <f>IF($C1919="","",IFERROR(IF(INDEX(Roster!$J:$J,MATCH($C1919,Roster!$B:$B,0))="","",INDEX(Roster!$J:$J,MATCH($C1919,Roster!$B:$B,0))&amp;""),"—"))</f>
        <v/>
      </c>
      <c r="L1919">
        <f>IF($C1919="","",IFERROR(IF(INDEX(Roster!$K:$K,MATCH($C1919,Roster!$B:$B,0))="","",INDEX(Roster!$K:$K,MATCH($C1919,Roster!$B:$B,0))&amp;""),"—"))</f>
        <v/>
      </c>
      <c r="M1919" s="27" t="n"/>
      <c r="N1919" s="27" t="n"/>
      <c r="O1919" s="25">
        <f>IF($C1919="","",IF($P1919="","—",IF($P1919="Valid (Pass)","Valid","Invalid")))</f>
        <v/>
      </c>
      <c r="P1919" s="27" t="n"/>
      <c r="Q1919" s="27" t="n"/>
      <c r="R1919" s="27" t="n"/>
      <c r="S1919" s="27" t="n"/>
      <c r="T1919" s="25">
        <f>IF($C1919="","",IF(OR(ISNUMBER(SEARCH("quick case",$P1919)),ISNUMBER(SEARCH("quick case",$Q1919))),"Yes","No"))</f>
        <v/>
      </c>
      <c r="U1919" s="25">
        <f>IF($O1919="Invalid",HYPERLINK("mailto:"&amp;$G1919&amp;";"&amp;$I1919&amp;"?cc="&amp;Lists!$E$2&amp;"&amp;subject="&amp;_xlfn.ENCODEURL("[INVALID] Quality audit monitoring completed for "&amp;UPPER($C1919))&amp;"&amp;body="&amp;_xlfn.ENCODEURL("Hi "&amp;$F1919&amp;","&amp;CHAR(10)&amp;"Good day!"&amp;CHAR(10)&amp;CHAR(10)&amp;"A quality monitoring audit has been completed for "&amp;$C1919&amp;"."&amp;CHAR(10)&amp;CHAR(10)&amp;"QUALITY AUDIT DETAILS"&amp;CHAR(10)&amp;"Agent Name: "&amp;$C1919&amp;" (EID "&amp;$D1919&amp;")"&amp;CHAR(10)&amp;"Audit Date: "&amp;TEXT($B1919,"yyyy-mm-dd")&amp;CHAR(10)&amp;"Team Leader: "&amp;$F1919&amp;CHAR(10)&amp;"Case Number: "&amp;$M1919&amp;CHAR(10)&amp;"Transaction ID: "&amp;$N1919&amp;CHAR(10)&amp;"Channel / LOB: "&amp;$K1919&amp;" / "&amp;$L1919&amp;CHAR(10)&amp;"Evaluator: "&amp;$S1919&amp;CHAR(10)&amp;CHAR(10)&amp;"INVALID QUALITY AUDIT DETAILS"&amp;CHAR(10)&amp;"Validation: Invalid"&amp;CHAR(10)&amp;"Invalid Reason: "&amp;$P1919&amp;CHAR(10)&amp;"Expected Resolution Code: "&amp;$Q1919&amp;CHAR(10)&amp;"Remarks: "&amp;LEFT($R1919,600)&amp;CHAR(10)&amp;CHAR(10)&amp;"This is an automated notification from HP Mainstream EQMS."),"✉ Open Email Draft"),"")</f>
        <v/>
      </c>
    </row>
    <row r="1920">
      <c r="A1920" s="25">
        <f>IF($C1920="","","AUD-2026-"&amp;TEXT(ROW()-1,"000000"))</f>
        <v/>
      </c>
      <c r="B1920" s="26" t="n"/>
      <c r="C1920" s="27" t="n"/>
      <c r="D1920" s="25">
        <f>IF($C1920="","",IFERROR(IF(INDEX(Roster!$A:$A,MATCH($C1920,Roster!$B:$B,0))="","",INDEX(Roster!$A:$A,MATCH($C1920,Roster!$B:$B,0))&amp;""),"—"))</f>
        <v/>
      </c>
      <c r="E1920" s="25">
        <f>IF($C1920="","",IFERROR(IF(INDEX(Roster!$C:$C,MATCH($C1920,Roster!$B:$B,0))="","",INDEX(Roster!$C:$C,MATCH($C1920,Roster!$B:$B,0))&amp;""),"—"))</f>
        <v/>
      </c>
      <c r="F1920" s="25">
        <f>IF($C1920="","",IFERROR(IF(INDEX(Roster!$D:$D,MATCH($C1920,Roster!$B:$B,0))="","",INDEX(Roster!$D:$D,MATCH($C1920,Roster!$B:$B,0))&amp;""),"—"))</f>
        <v/>
      </c>
      <c r="G1920" s="25">
        <f>IF($C1920="","",IFERROR(IF(INDEX(Roster!$E:$E,MATCH($C1920,Roster!$B:$B,0))="","",INDEX(Roster!$E:$E,MATCH($C1920,Roster!$B:$B,0))&amp;""),"—"))</f>
        <v/>
      </c>
      <c r="H1920" s="25">
        <f>IF($C1920="","",IFERROR(IF(INDEX(Roster!$F:$F,MATCH($C1920,Roster!$B:$B,0))="","",INDEX(Roster!$F:$F,MATCH($C1920,Roster!$B:$B,0))&amp;""),"—"))</f>
        <v/>
      </c>
      <c r="I1920" s="25">
        <f>IF($C1920="","",IFERROR(IF(INDEX(Roster!$G:$G,MATCH($C1920,Roster!$B:$B,0))="","",INDEX(Roster!$G:$G,MATCH($C1920,Roster!$B:$B,0))&amp;""),"—"))</f>
        <v/>
      </c>
      <c r="J1920" s="25">
        <f>IF($C1920="","",IFERROR(IF(INDEX(Roster!$I:$I,MATCH($C1920,Roster!$B:$B,0))="","",INDEX(Roster!$I:$I,MATCH($C1920,Roster!$B:$B,0))&amp;""),"—"))</f>
        <v/>
      </c>
      <c r="K1920">
        <f>IF($C1920="","",IFERROR(IF(INDEX(Roster!$J:$J,MATCH($C1920,Roster!$B:$B,0))="","",INDEX(Roster!$J:$J,MATCH($C1920,Roster!$B:$B,0))&amp;""),"—"))</f>
        <v/>
      </c>
      <c r="L1920">
        <f>IF($C1920="","",IFERROR(IF(INDEX(Roster!$K:$K,MATCH($C1920,Roster!$B:$B,0))="","",INDEX(Roster!$K:$K,MATCH($C1920,Roster!$B:$B,0))&amp;""),"—"))</f>
        <v/>
      </c>
      <c r="M1920" s="27" t="n"/>
      <c r="N1920" s="27" t="n"/>
      <c r="O1920" s="25">
        <f>IF($C1920="","",IF($P1920="","—",IF($P1920="Valid (Pass)","Valid","Invalid")))</f>
        <v/>
      </c>
      <c r="P1920" s="27" t="n"/>
      <c r="Q1920" s="27" t="n"/>
      <c r="R1920" s="27" t="n"/>
      <c r="S1920" s="27" t="n"/>
      <c r="T1920" s="25">
        <f>IF($C1920="","",IF(OR(ISNUMBER(SEARCH("quick case",$P1920)),ISNUMBER(SEARCH("quick case",$Q1920))),"Yes","No"))</f>
        <v/>
      </c>
      <c r="U1920" s="25">
        <f>IF($O1920="Invalid",HYPERLINK("mailto:"&amp;$G1920&amp;";"&amp;$I1920&amp;"?cc="&amp;Lists!$E$2&amp;"&amp;subject="&amp;_xlfn.ENCODEURL("[INVALID] Quality audit monitoring completed for "&amp;UPPER($C1920))&amp;"&amp;body="&amp;_xlfn.ENCODEURL("Hi "&amp;$F1920&amp;","&amp;CHAR(10)&amp;"Good day!"&amp;CHAR(10)&amp;CHAR(10)&amp;"A quality monitoring audit has been completed for "&amp;$C1920&amp;"."&amp;CHAR(10)&amp;CHAR(10)&amp;"QUALITY AUDIT DETAILS"&amp;CHAR(10)&amp;"Agent Name: "&amp;$C1920&amp;" (EID "&amp;$D1920&amp;")"&amp;CHAR(10)&amp;"Audit Date: "&amp;TEXT($B1920,"yyyy-mm-dd")&amp;CHAR(10)&amp;"Team Leader: "&amp;$F1920&amp;CHAR(10)&amp;"Case Number: "&amp;$M1920&amp;CHAR(10)&amp;"Transaction ID: "&amp;$N1920&amp;CHAR(10)&amp;"Channel / LOB: "&amp;$K1920&amp;" / "&amp;$L1920&amp;CHAR(10)&amp;"Evaluator: "&amp;$S1920&amp;CHAR(10)&amp;CHAR(10)&amp;"INVALID QUALITY AUDIT DETAILS"&amp;CHAR(10)&amp;"Validation: Invalid"&amp;CHAR(10)&amp;"Invalid Reason: "&amp;$P1920&amp;CHAR(10)&amp;"Expected Resolution Code: "&amp;$Q1920&amp;CHAR(10)&amp;"Remarks: "&amp;LEFT($R1920,600)&amp;CHAR(10)&amp;CHAR(10)&amp;"This is an automated notification from HP Mainstream EQMS."),"✉ Open Email Draft"),"")</f>
        <v/>
      </c>
    </row>
    <row r="1921">
      <c r="A1921" s="25">
        <f>IF($C1921="","","AUD-2026-"&amp;TEXT(ROW()-1,"000000"))</f>
        <v/>
      </c>
      <c r="B1921" s="26" t="n"/>
      <c r="C1921" s="27" t="n"/>
      <c r="D1921" s="25">
        <f>IF($C1921="","",IFERROR(IF(INDEX(Roster!$A:$A,MATCH($C1921,Roster!$B:$B,0))="","",INDEX(Roster!$A:$A,MATCH($C1921,Roster!$B:$B,0))&amp;""),"—"))</f>
        <v/>
      </c>
      <c r="E1921" s="25">
        <f>IF($C1921="","",IFERROR(IF(INDEX(Roster!$C:$C,MATCH($C1921,Roster!$B:$B,0))="","",INDEX(Roster!$C:$C,MATCH($C1921,Roster!$B:$B,0))&amp;""),"—"))</f>
        <v/>
      </c>
      <c r="F1921" s="25">
        <f>IF($C1921="","",IFERROR(IF(INDEX(Roster!$D:$D,MATCH($C1921,Roster!$B:$B,0))="","",INDEX(Roster!$D:$D,MATCH($C1921,Roster!$B:$B,0))&amp;""),"—"))</f>
        <v/>
      </c>
      <c r="G1921" s="25">
        <f>IF($C1921="","",IFERROR(IF(INDEX(Roster!$E:$E,MATCH($C1921,Roster!$B:$B,0))="","",INDEX(Roster!$E:$E,MATCH($C1921,Roster!$B:$B,0))&amp;""),"—"))</f>
        <v/>
      </c>
      <c r="H1921" s="25">
        <f>IF($C1921="","",IFERROR(IF(INDEX(Roster!$F:$F,MATCH($C1921,Roster!$B:$B,0))="","",INDEX(Roster!$F:$F,MATCH($C1921,Roster!$B:$B,0))&amp;""),"—"))</f>
        <v/>
      </c>
      <c r="I1921" s="25">
        <f>IF($C1921="","",IFERROR(IF(INDEX(Roster!$G:$G,MATCH($C1921,Roster!$B:$B,0))="","",INDEX(Roster!$G:$G,MATCH($C1921,Roster!$B:$B,0))&amp;""),"—"))</f>
        <v/>
      </c>
      <c r="J1921" s="25">
        <f>IF($C1921="","",IFERROR(IF(INDEX(Roster!$I:$I,MATCH($C1921,Roster!$B:$B,0))="","",INDEX(Roster!$I:$I,MATCH($C1921,Roster!$B:$B,0))&amp;""),"—"))</f>
        <v/>
      </c>
      <c r="K1921">
        <f>IF($C1921="","",IFERROR(IF(INDEX(Roster!$J:$J,MATCH($C1921,Roster!$B:$B,0))="","",INDEX(Roster!$J:$J,MATCH($C1921,Roster!$B:$B,0))&amp;""),"—"))</f>
        <v/>
      </c>
      <c r="L1921">
        <f>IF($C1921="","",IFERROR(IF(INDEX(Roster!$K:$K,MATCH($C1921,Roster!$B:$B,0))="","",INDEX(Roster!$K:$K,MATCH($C1921,Roster!$B:$B,0))&amp;""),"—"))</f>
        <v/>
      </c>
      <c r="M1921" s="27" t="n"/>
      <c r="N1921" s="27" t="n"/>
      <c r="O1921" s="25">
        <f>IF($C1921="","",IF($P1921="","—",IF($P1921="Valid (Pass)","Valid","Invalid")))</f>
        <v/>
      </c>
      <c r="P1921" s="27" t="n"/>
      <c r="Q1921" s="27" t="n"/>
      <c r="R1921" s="27" t="n"/>
      <c r="S1921" s="27" t="n"/>
      <c r="T1921" s="25">
        <f>IF($C1921="","",IF(OR(ISNUMBER(SEARCH("quick case",$P1921)),ISNUMBER(SEARCH("quick case",$Q1921))),"Yes","No"))</f>
        <v/>
      </c>
      <c r="U1921" s="25">
        <f>IF($O1921="Invalid",HYPERLINK("mailto:"&amp;$G1921&amp;";"&amp;$I1921&amp;"?cc="&amp;Lists!$E$2&amp;"&amp;subject="&amp;_xlfn.ENCODEURL("[INVALID] Quality audit monitoring completed for "&amp;UPPER($C1921))&amp;"&amp;body="&amp;_xlfn.ENCODEURL("Hi "&amp;$F1921&amp;","&amp;CHAR(10)&amp;"Good day!"&amp;CHAR(10)&amp;CHAR(10)&amp;"A quality monitoring audit has been completed for "&amp;$C1921&amp;"."&amp;CHAR(10)&amp;CHAR(10)&amp;"QUALITY AUDIT DETAILS"&amp;CHAR(10)&amp;"Agent Name: "&amp;$C1921&amp;" (EID "&amp;$D1921&amp;")"&amp;CHAR(10)&amp;"Audit Date: "&amp;TEXT($B1921,"yyyy-mm-dd")&amp;CHAR(10)&amp;"Team Leader: "&amp;$F1921&amp;CHAR(10)&amp;"Case Number: "&amp;$M1921&amp;CHAR(10)&amp;"Transaction ID: "&amp;$N1921&amp;CHAR(10)&amp;"Channel / LOB: "&amp;$K1921&amp;" / "&amp;$L1921&amp;CHAR(10)&amp;"Evaluator: "&amp;$S1921&amp;CHAR(10)&amp;CHAR(10)&amp;"INVALID QUALITY AUDIT DETAILS"&amp;CHAR(10)&amp;"Validation: Invalid"&amp;CHAR(10)&amp;"Invalid Reason: "&amp;$P1921&amp;CHAR(10)&amp;"Expected Resolution Code: "&amp;$Q1921&amp;CHAR(10)&amp;"Remarks: "&amp;LEFT($R1921,600)&amp;CHAR(10)&amp;CHAR(10)&amp;"This is an automated notification from HP Mainstream EQMS."),"✉ Open Email Draft"),"")</f>
        <v/>
      </c>
    </row>
    <row r="1922">
      <c r="A1922" s="25">
        <f>IF($C1922="","","AUD-2026-"&amp;TEXT(ROW()-1,"000000"))</f>
        <v/>
      </c>
      <c r="B1922" s="26" t="n"/>
      <c r="C1922" s="27" t="n"/>
      <c r="D1922" s="25">
        <f>IF($C1922="","",IFERROR(IF(INDEX(Roster!$A:$A,MATCH($C1922,Roster!$B:$B,0))="","",INDEX(Roster!$A:$A,MATCH($C1922,Roster!$B:$B,0))&amp;""),"—"))</f>
        <v/>
      </c>
      <c r="E1922" s="25">
        <f>IF($C1922="","",IFERROR(IF(INDEX(Roster!$C:$C,MATCH($C1922,Roster!$B:$B,0))="","",INDEX(Roster!$C:$C,MATCH($C1922,Roster!$B:$B,0))&amp;""),"—"))</f>
        <v/>
      </c>
      <c r="F1922" s="25">
        <f>IF($C1922="","",IFERROR(IF(INDEX(Roster!$D:$D,MATCH($C1922,Roster!$B:$B,0))="","",INDEX(Roster!$D:$D,MATCH($C1922,Roster!$B:$B,0))&amp;""),"—"))</f>
        <v/>
      </c>
      <c r="G1922" s="25">
        <f>IF($C1922="","",IFERROR(IF(INDEX(Roster!$E:$E,MATCH($C1922,Roster!$B:$B,0))="","",INDEX(Roster!$E:$E,MATCH($C1922,Roster!$B:$B,0))&amp;""),"—"))</f>
        <v/>
      </c>
      <c r="H1922" s="25">
        <f>IF($C1922="","",IFERROR(IF(INDEX(Roster!$F:$F,MATCH($C1922,Roster!$B:$B,0))="","",INDEX(Roster!$F:$F,MATCH($C1922,Roster!$B:$B,0))&amp;""),"—"))</f>
        <v/>
      </c>
      <c r="I1922" s="25">
        <f>IF($C1922="","",IFERROR(IF(INDEX(Roster!$G:$G,MATCH($C1922,Roster!$B:$B,0))="","",INDEX(Roster!$G:$G,MATCH($C1922,Roster!$B:$B,0))&amp;""),"—"))</f>
        <v/>
      </c>
      <c r="J1922" s="25">
        <f>IF($C1922="","",IFERROR(IF(INDEX(Roster!$I:$I,MATCH($C1922,Roster!$B:$B,0))="","",INDEX(Roster!$I:$I,MATCH($C1922,Roster!$B:$B,0))&amp;""),"—"))</f>
        <v/>
      </c>
      <c r="K1922">
        <f>IF($C1922="","",IFERROR(IF(INDEX(Roster!$J:$J,MATCH($C1922,Roster!$B:$B,0))="","",INDEX(Roster!$J:$J,MATCH($C1922,Roster!$B:$B,0))&amp;""),"—"))</f>
        <v/>
      </c>
      <c r="L1922">
        <f>IF($C1922="","",IFERROR(IF(INDEX(Roster!$K:$K,MATCH($C1922,Roster!$B:$B,0))="","",INDEX(Roster!$K:$K,MATCH($C1922,Roster!$B:$B,0))&amp;""),"—"))</f>
        <v/>
      </c>
      <c r="M1922" s="27" t="n"/>
      <c r="N1922" s="27" t="n"/>
      <c r="O1922" s="25">
        <f>IF($C1922="","",IF($P1922="","—",IF($P1922="Valid (Pass)","Valid","Invalid")))</f>
        <v/>
      </c>
      <c r="P1922" s="27" t="n"/>
      <c r="Q1922" s="27" t="n"/>
      <c r="R1922" s="27" t="n"/>
      <c r="S1922" s="27" t="n"/>
      <c r="T1922" s="25">
        <f>IF($C1922="","",IF(OR(ISNUMBER(SEARCH("quick case",$P1922)),ISNUMBER(SEARCH("quick case",$Q1922))),"Yes","No"))</f>
        <v/>
      </c>
      <c r="U1922" s="25">
        <f>IF($O1922="Invalid",HYPERLINK("mailto:"&amp;$G1922&amp;";"&amp;$I1922&amp;"?cc="&amp;Lists!$E$2&amp;"&amp;subject="&amp;_xlfn.ENCODEURL("[INVALID] Quality audit monitoring completed for "&amp;UPPER($C1922))&amp;"&amp;body="&amp;_xlfn.ENCODEURL("Hi "&amp;$F1922&amp;","&amp;CHAR(10)&amp;"Good day!"&amp;CHAR(10)&amp;CHAR(10)&amp;"A quality monitoring audit has been completed for "&amp;$C1922&amp;"."&amp;CHAR(10)&amp;CHAR(10)&amp;"QUALITY AUDIT DETAILS"&amp;CHAR(10)&amp;"Agent Name: "&amp;$C1922&amp;" (EID "&amp;$D1922&amp;")"&amp;CHAR(10)&amp;"Audit Date: "&amp;TEXT($B1922,"yyyy-mm-dd")&amp;CHAR(10)&amp;"Team Leader: "&amp;$F1922&amp;CHAR(10)&amp;"Case Number: "&amp;$M1922&amp;CHAR(10)&amp;"Transaction ID: "&amp;$N1922&amp;CHAR(10)&amp;"Channel / LOB: "&amp;$K1922&amp;" / "&amp;$L1922&amp;CHAR(10)&amp;"Evaluator: "&amp;$S1922&amp;CHAR(10)&amp;CHAR(10)&amp;"INVALID QUALITY AUDIT DETAILS"&amp;CHAR(10)&amp;"Validation: Invalid"&amp;CHAR(10)&amp;"Invalid Reason: "&amp;$P1922&amp;CHAR(10)&amp;"Expected Resolution Code: "&amp;$Q1922&amp;CHAR(10)&amp;"Remarks: "&amp;LEFT($R1922,600)&amp;CHAR(10)&amp;CHAR(10)&amp;"This is an automated notification from HP Mainstream EQMS."),"✉ Open Email Draft"),"")</f>
        <v/>
      </c>
    </row>
    <row r="1923">
      <c r="A1923" s="25">
        <f>IF($C1923="","","AUD-2026-"&amp;TEXT(ROW()-1,"000000"))</f>
        <v/>
      </c>
      <c r="B1923" s="26" t="n"/>
      <c r="C1923" s="27" t="n"/>
      <c r="D1923" s="25">
        <f>IF($C1923="","",IFERROR(IF(INDEX(Roster!$A:$A,MATCH($C1923,Roster!$B:$B,0))="","",INDEX(Roster!$A:$A,MATCH($C1923,Roster!$B:$B,0))&amp;""),"—"))</f>
        <v/>
      </c>
      <c r="E1923" s="25">
        <f>IF($C1923="","",IFERROR(IF(INDEX(Roster!$C:$C,MATCH($C1923,Roster!$B:$B,0))="","",INDEX(Roster!$C:$C,MATCH($C1923,Roster!$B:$B,0))&amp;""),"—"))</f>
        <v/>
      </c>
      <c r="F1923" s="25">
        <f>IF($C1923="","",IFERROR(IF(INDEX(Roster!$D:$D,MATCH($C1923,Roster!$B:$B,0))="","",INDEX(Roster!$D:$D,MATCH($C1923,Roster!$B:$B,0))&amp;""),"—"))</f>
        <v/>
      </c>
      <c r="G1923" s="25">
        <f>IF($C1923="","",IFERROR(IF(INDEX(Roster!$E:$E,MATCH($C1923,Roster!$B:$B,0))="","",INDEX(Roster!$E:$E,MATCH($C1923,Roster!$B:$B,0))&amp;""),"—"))</f>
        <v/>
      </c>
      <c r="H1923" s="25">
        <f>IF($C1923="","",IFERROR(IF(INDEX(Roster!$F:$F,MATCH($C1923,Roster!$B:$B,0))="","",INDEX(Roster!$F:$F,MATCH($C1923,Roster!$B:$B,0))&amp;""),"—"))</f>
        <v/>
      </c>
      <c r="I1923" s="25">
        <f>IF($C1923="","",IFERROR(IF(INDEX(Roster!$G:$G,MATCH($C1923,Roster!$B:$B,0))="","",INDEX(Roster!$G:$G,MATCH($C1923,Roster!$B:$B,0))&amp;""),"—"))</f>
        <v/>
      </c>
      <c r="J1923" s="25">
        <f>IF($C1923="","",IFERROR(IF(INDEX(Roster!$I:$I,MATCH($C1923,Roster!$B:$B,0))="","",INDEX(Roster!$I:$I,MATCH($C1923,Roster!$B:$B,0))&amp;""),"—"))</f>
        <v/>
      </c>
      <c r="K1923">
        <f>IF($C1923="","",IFERROR(IF(INDEX(Roster!$J:$J,MATCH($C1923,Roster!$B:$B,0))="","",INDEX(Roster!$J:$J,MATCH($C1923,Roster!$B:$B,0))&amp;""),"—"))</f>
        <v/>
      </c>
      <c r="L1923">
        <f>IF($C1923="","",IFERROR(IF(INDEX(Roster!$K:$K,MATCH($C1923,Roster!$B:$B,0))="","",INDEX(Roster!$K:$K,MATCH($C1923,Roster!$B:$B,0))&amp;""),"—"))</f>
        <v/>
      </c>
      <c r="M1923" s="27" t="n"/>
      <c r="N1923" s="27" t="n"/>
      <c r="O1923" s="25">
        <f>IF($C1923="","",IF($P1923="","—",IF($P1923="Valid (Pass)","Valid","Invalid")))</f>
        <v/>
      </c>
      <c r="P1923" s="27" t="n"/>
      <c r="Q1923" s="27" t="n"/>
      <c r="R1923" s="27" t="n"/>
      <c r="S1923" s="27" t="n"/>
      <c r="T1923" s="25">
        <f>IF($C1923="","",IF(OR(ISNUMBER(SEARCH("quick case",$P1923)),ISNUMBER(SEARCH("quick case",$Q1923))),"Yes","No"))</f>
        <v/>
      </c>
      <c r="U1923" s="25">
        <f>IF($O1923="Invalid",HYPERLINK("mailto:"&amp;$G1923&amp;";"&amp;$I1923&amp;"?cc="&amp;Lists!$E$2&amp;"&amp;subject="&amp;_xlfn.ENCODEURL("[INVALID] Quality audit monitoring completed for "&amp;UPPER($C1923))&amp;"&amp;body="&amp;_xlfn.ENCODEURL("Hi "&amp;$F1923&amp;","&amp;CHAR(10)&amp;"Good day!"&amp;CHAR(10)&amp;CHAR(10)&amp;"A quality monitoring audit has been completed for "&amp;$C1923&amp;"."&amp;CHAR(10)&amp;CHAR(10)&amp;"QUALITY AUDIT DETAILS"&amp;CHAR(10)&amp;"Agent Name: "&amp;$C1923&amp;" (EID "&amp;$D1923&amp;")"&amp;CHAR(10)&amp;"Audit Date: "&amp;TEXT($B1923,"yyyy-mm-dd")&amp;CHAR(10)&amp;"Team Leader: "&amp;$F1923&amp;CHAR(10)&amp;"Case Number: "&amp;$M1923&amp;CHAR(10)&amp;"Transaction ID: "&amp;$N1923&amp;CHAR(10)&amp;"Channel / LOB: "&amp;$K1923&amp;" / "&amp;$L1923&amp;CHAR(10)&amp;"Evaluator: "&amp;$S1923&amp;CHAR(10)&amp;CHAR(10)&amp;"INVALID QUALITY AUDIT DETAILS"&amp;CHAR(10)&amp;"Validation: Invalid"&amp;CHAR(10)&amp;"Invalid Reason: "&amp;$P1923&amp;CHAR(10)&amp;"Expected Resolution Code: "&amp;$Q1923&amp;CHAR(10)&amp;"Remarks: "&amp;LEFT($R1923,600)&amp;CHAR(10)&amp;CHAR(10)&amp;"This is an automated notification from HP Mainstream EQMS."),"✉ Open Email Draft"),"")</f>
        <v/>
      </c>
    </row>
    <row r="1924">
      <c r="A1924" s="25">
        <f>IF($C1924="","","AUD-2026-"&amp;TEXT(ROW()-1,"000000"))</f>
        <v/>
      </c>
      <c r="B1924" s="26" t="n"/>
      <c r="C1924" s="27" t="n"/>
      <c r="D1924" s="25">
        <f>IF($C1924="","",IFERROR(IF(INDEX(Roster!$A:$A,MATCH($C1924,Roster!$B:$B,0))="","",INDEX(Roster!$A:$A,MATCH($C1924,Roster!$B:$B,0))&amp;""),"—"))</f>
        <v/>
      </c>
      <c r="E1924" s="25">
        <f>IF($C1924="","",IFERROR(IF(INDEX(Roster!$C:$C,MATCH($C1924,Roster!$B:$B,0))="","",INDEX(Roster!$C:$C,MATCH($C1924,Roster!$B:$B,0))&amp;""),"—"))</f>
        <v/>
      </c>
      <c r="F1924" s="25">
        <f>IF($C1924="","",IFERROR(IF(INDEX(Roster!$D:$D,MATCH($C1924,Roster!$B:$B,0))="","",INDEX(Roster!$D:$D,MATCH($C1924,Roster!$B:$B,0))&amp;""),"—"))</f>
        <v/>
      </c>
      <c r="G1924" s="25">
        <f>IF($C1924="","",IFERROR(IF(INDEX(Roster!$E:$E,MATCH($C1924,Roster!$B:$B,0))="","",INDEX(Roster!$E:$E,MATCH($C1924,Roster!$B:$B,0))&amp;""),"—"))</f>
        <v/>
      </c>
      <c r="H1924" s="25">
        <f>IF($C1924="","",IFERROR(IF(INDEX(Roster!$F:$F,MATCH($C1924,Roster!$B:$B,0))="","",INDEX(Roster!$F:$F,MATCH($C1924,Roster!$B:$B,0))&amp;""),"—"))</f>
        <v/>
      </c>
      <c r="I1924" s="25">
        <f>IF($C1924="","",IFERROR(IF(INDEX(Roster!$G:$G,MATCH($C1924,Roster!$B:$B,0))="","",INDEX(Roster!$G:$G,MATCH($C1924,Roster!$B:$B,0))&amp;""),"—"))</f>
        <v/>
      </c>
      <c r="J1924" s="25">
        <f>IF($C1924="","",IFERROR(IF(INDEX(Roster!$I:$I,MATCH($C1924,Roster!$B:$B,0))="","",INDEX(Roster!$I:$I,MATCH($C1924,Roster!$B:$B,0))&amp;""),"—"))</f>
        <v/>
      </c>
      <c r="K1924">
        <f>IF($C1924="","",IFERROR(IF(INDEX(Roster!$J:$J,MATCH($C1924,Roster!$B:$B,0))="","",INDEX(Roster!$J:$J,MATCH($C1924,Roster!$B:$B,0))&amp;""),"—"))</f>
        <v/>
      </c>
      <c r="L1924">
        <f>IF($C1924="","",IFERROR(IF(INDEX(Roster!$K:$K,MATCH($C1924,Roster!$B:$B,0))="","",INDEX(Roster!$K:$K,MATCH($C1924,Roster!$B:$B,0))&amp;""),"—"))</f>
        <v/>
      </c>
      <c r="M1924" s="27" t="n"/>
      <c r="N1924" s="27" t="n"/>
      <c r="O1924" s="25">
        <f>IF($C1924="","",IF($P1924="","—",IF($P1924="Valid (Pass)","Valid","Invalid")))</f>
        <v/>
      </c>
      <c r="P1924" s="27" t="n"/>
      <c r="Q1924" s="27" t="n"/>
      <c r="R1924" s="27" t="n"/>
      <c r="S1924" s="27" t="n"/>
      <c r="T1924" s="25">
        <f>IF($C1924="","",IF(OR(ISNUMBER(SEARCH("quick case",$P1924)),ISNUMBER(SEARCH("quick case",$Q1924))),"Yes","No"))</f>
        <v/>
      </c>
      <c r="U1924" s="25">
        <f>IF($O1924="Invalid",HYPERLINK("mailto:"&amp;$G1924&amp;";"&amp;$I1924&amp;"?cc="&amp;Lists!$E$2&amp;"&amp;subject="&amp;_xlfn.ENCODEURL("[INVALID] Quality audit monitoring completed for "&amp;UPPER($C1924))&amp;"&amp;body="&amp;_xlfn.ENCODEURL("Hi "&amp;$F1924&amp;","&amp;CHAR(10)&amp;"Good day!"&amp;CHAR(10)&amp;CHAR(10)&amp;"A quality monitoring audit has been completed for "&amp;$C1924&amp;"."&amp;CHAR(10)&amp;CHAR(10)&amp;"QUALITY AUDIT DETAILS"&amp;CHAR(10)&amp;"Agent Name: "&amp;$C1924&amp;" (EID "&amp;$D1924&amp;")"&amp;CHAR(10)&amp;"Audit Date: "&amp;TEXT($B1924,"yyyy-mm-dd")&amp;CHAR(10)&amp;"Team Leader: "&amp;$F1924&amp;CHAR(10)&amp;"Case Number: "&amp;$M1924&amp;CHAR(10)&amp;"Transaction ID: "&amp;$N1924&amp;CHAR(10)&amp;"Channel / LOB: "&amp;$K1924&amp;" / "&amp;$L1924&amp;CHAR(10)&amp;"Evaluator: "&amp;$S1924&amp;CHAR(10)&amp;CHAR(10)&amp;"INVALID QUALITY AUDIT DETAILS"&amp;CHAR(10)&amp;"Validation: Invalid"&amp;CHAR(10)&amp;"Invalid Reason: "&amp;$P1924&amp;CHAR(10)&amp;"Expected Resolution Code: "&amp;$Q1924&amp;CHAR(10)&amp;"Remarks: "&amp;LEFT($R1924,600)&amp;CHAR(10)&amp;CHAR(10)&amp;"This is an automated notification from HP Mainstream EQMS."),"✉ Open Email Draft"),"")</f>
        <v/>
      </c>
    </row>
    <row r="1925">
      <c r="A1925" s="25">
        <f>IF($C1925="","","AUD-2026-"&amp;TEXT(ROW()-1,"000000"))</f>
        <v/>
      </c>
      <c r="B1925" s="26" t="n"/>
      <c r="C1925" s="27" t="n"/>
      <c r="D1925" s="25">
        <f>IF($C1925="","",IFERROR(IF(INDEX(Roster!$A:$A,MATCH($C1925,Roster!$B:$B,0))="","",INDEX(Roster!$A:$A,MATCH($C1925,Roster!$B:$B,0))&amp;""),"—"))</f>
        <v/>
      </c>
      <c r="E1925" s="25">
        <f>IF($C1925="","",IFERROR(IF(INDEX(Roster!$C:$C,MATCH($C1925,Roster!$B:$B,0))="","",INDEX(Roster!$C:$C,MATCH($C1925,Roster!$B:$B,0))&amp;""),"—"))</f>
        <v/>
      </c>
      <c r="F1925" s="25">
        <f>IF($C1925="","",IFERROR(IF(INDEX(Roster!$D:$D,MATCH($C1925,Roster!$B:$B,0))="","",INDEX(Roster!$D:$D,MATCH($C1925,Roster!$B:$B,0))&amp;""),"—"))</f>
        <v/>
      </c>
      <c r="G1925" s="25">
        <f>IF($C1925="","",IFERROR(IF(INDEX(Roster!$E:$E,MATCH($C1925,Roster!$B:$B,0))="","",INDEX(Roster!$E:$E,MATCH($C1925,Roster!$B:$B,0))&amp;""),"—"))</f>
        <v/>
      </c>
      <c r="H1925" s="25">
        <f>IF($C1925="","",IFERROR(IF(INDEX(Roster!$F:$F,MATCH($C1925,Roster!$B:$B,0))="","",INDEX(Roster!$F:$F,MATCH($C1925,Roster!$B:$B,0))&amp;""),"—"))</f>
        <v/>
      </c>
      <c r="I1925" s="25">
        <f>IF($C1925="","",IFERROR(IF(INDEX(Roster!$G:$G,MATCH($C1925,Roster!$B:$B,0))="","",INDEX(Roster!$G:$G,MATCH($C1925,Roster!$B:$B,0))&amp;""),"—"))</f>
        <v/>
      </c>
      <c r="J1925" s="25">
        <f>IF($C1925="","",IFERROR(IF(INDEX(Roster!$I:$I,MATCH($C1925,Roster!$B:$B,0))="","",INDEX(Roster!$I:$I,MATCH($C1925,Roster!$B:$B,0))&amp;""),"—"))</f>
        <v/>
      </c>
      <c r="K1925">
        <f>IF($C1925="","",IFERROR(IF(INDEX(Roster!$J:$J,MATCH($C1925,Roster!$B:$B,0))="","",INDEX(Roster!$J:$J,MATCH($C1925,Roster!$B:$B,0))&amp;""),"—"))</f>
        <v/>
      </c>
      <c r="L1925">
        <f>IF($C1925="","",IFERROR(IF(INDEX(Roster!$K:$K,MATCH($C1925,Roster!$B:$B,0))="","",INDEX(Roster!$K:$K,MATCH($C1925,Roster!$B:$B,0))&amp;""),"—"))</f>
        <v/>
      </c>
      <c r="M1925" s="27" t="n"/>
      <c r="N1925" s="27" t="n"/>
      <c r="O1925" s="25">
        <f>IF($C1925="","",IF($P1925="","—",IF($P1925="Valid (Pass)","Valid","Invalid")))</f>
        <v/>
      </c>
      <c r="P1925" s="27" t="n"/>
      <c r="Q1925" s="27" t="n"/>
      <c r="R1925" s="27" t="n"/>
      <c r="S1925" s="27" t="n"/>
      <c r="T1925" s="25">
        <f>IF($C1925="","",IF(OR(ISNUMBER(SEARCH("quick case",$P1925)),ISNUMBER(SEARCH("quick case",$Q1925))),"Yes","No"))</f>
        <v/>
      </c>
      <c r="U1925" s="25">
        <f>IF($O1925="Invalid",HYPERLINK("mailto:"&amp;$G1925&amp;";"&amp;$I1925&amp;"?cc="&amp;Lists!$E$2&amp;"&amp;subject="&amp;_xlfn.ENCODEURL("[INVALID] Quality audit monitoring completed for "&amp;UPPER($C1925))&amp;"&amp;body="&amp;_xlfn.ENCODEURL("Hi "&amp;$F1925&amp;","&amp;CHAR(10)&amp;"Good day!"&amp;CHAR(10)&amp;CHAR(10)&amp;"A quality monitoring audit has been completed for "&amp;$C1925&amp;"."&amp;CHAR(10)&amp;CHAR(10)&amp;"QUALITY AUDIT DETAILS"&amp;CHAR(10)&amp;"Agent Name: "&amp;$C1925&amp;" (EID "&amp;$D1925&amp;")"&amp;CHAR(10)&amp;"Audit Date: "&amp;TEXT($B1925,"yyyy-mm-dd")&amp;CHAR(10)&amp;"Team Leader: "&amp;$F1925&amp;CHAR(10)&amp;"Case Number: "&amp;$M1925&amp;CHAR(10)&amp;"Transaction ID: "&amp;$N1925&amp;CHAR(10)&amp;"Channel / LOB: "&amp;$K1925&amp;" / "&amp;$L1925&amp;CHAR(10)&amp;"Evaluator: "&amp;$S1925&amp;CHAR(10)&amp;CHAR(10)&amp;"INVALID QUALITY AUDIT DETAILS"&amp;CHAR(10)&amp;"Validation: Invalid"&amp;CHAR(10)&amp;"Invalid Reason: "&amp;$P1925&amp;CHAR(10)&amp;"Expected Resolution Code: "&amp;$Q1925&amp;CHAR(10)&amp;"Remarks: "&amp;LEFT($R1925,600)&amp;CHAR(10)&amp;CHAR(10)&amp;"This is an automated notification from HP Mainstream EQMS."),"✉ Open Email Draft"),"")</f>
        <v/>
      </c>
    </row>
    <row r="1926">
      <c r="A1926" s="25">
        <f>IF($C1926="","","AUD-2026-"&amp;TEXT(ROW()-1,"000000"))</f>
        <v/>
      </c>
      <c r="B1926" s="26" t="n"/>
      <c r="C1926" s="27" t="n"/>
      <c r="D1926" s="25">
        <f>IF($C1926="","",IFERROR(IF(INDEX(Roster!$A:$A,MATCH($C1926,Roster!$B:$B,0))="","",INDEX(Roster!$A:$A,MATCH($C1926,Roster!$B:$B,0))&amp;""),"—"))</f>
        <v/>
      </c>
      <c r="E1926" s="25">
        <f>IF($C1926="","",IFERROR(IF(INDEX(Roster!$C:$C,MATCH($C1926,Roster!$B:$B,0))="","",INDEX(Roster!$C:$C,MATCH($C1926,Roster!$B:$B,0))&amp;""),"—"))</f>
        <v/>
      </c>
      <c r="F1926" s="25">
        <f>IF($C1926="","",IFERROR(IF(INDEX(Roster!$D:$D,MATCH($C1926,Roster!$B:$B,0))="","",INDEX(Roster!$D:$D,MATCH($C1926,Roster!$B:$B,0))&amp;""),"—"))</f>
        <v/>
      </c>
      <c r="G1926" s="25">
        <f>IF($C1926="","",IFERROR(IF(INDEX(Roster!$E:$E,MATCH($C1926,Roster!$B:$B,0))="","",INDEX(Roster!$E:$E,MATCH($C1926,Roster!$B:$B,0))&amp;""),"—"))</f>
        <v/>
      </c>
      <c r="H1926" s="25">
        <f>IF($C1926="","",IFERROR(IF(INDEX(Roster!$F:$F,MATCH($C1926,Roster!$B:$B,0))="","",INDEX(Roster!$F:$F,MATCH($C1926,Roster!$B:$B,0))&amp;""),"—"))</f>
        <v/>
      </c>
      <c r="I1926" s="25">
        <f>IF($C1926="","",IFERROR(IF(INDEX(Roster!$G:$G,MATCH($C1926,Roster!$B:$B,0))="","",INDEX(Roster!$G:$G,MATCH($C1926,Roster!$B:$B,0))&amp;""),"—"))</f>
        <v/>
      </c>
      <c r="J1926" s="25">
        <f>IF($C1926="","",IFERROR(IF(INDEX(Roster!$I:$I,MATCH($C1926,Roster!$B:$B,0))="","",INDEX(Roster!$I:$I,MATCH($C1926,Roster!$B:$B,0))&amp;""),"—"))</f>
        <v/>
      </c>
      <c r="K1926">
        <f>IF($C1926="","",IFERROR(IF(INDEX(Roster!$J:$J,MATCH($C1926,Roster!$B:$B,0))="","",INDEX(Roster!$J:$J,MATCH($C1926,Roster!$B:$B,0))&amp;""),"—"))</f>
        <v/>
      </c>
      <c r="L1926">
        <f>IF($C1926="","",IFERROR(IF(INDEX(Roster!$K:$K,MATCH($C1926,Roster!$B:$B,0))="","",INDEX(Roster!$K:$K,MATCH($C1926,Roster!$B:$B,0))&amp;""),"—"))</f>
        <v/>
      </c>
      <c r="M1926" s="27" t="n"/>
      <c r="N1926" s="27" t="n"/>
      <c r="O1926" s="25">
        <f>IF($C1926="","",IF($P1926="","—",IF($P1926="Valid (Pass)","Valid","Invalid")))</f>
        <v/>
      </c>
      <c r="P1926" s="27" t="n"/>
      <c r="Q1926" s="27" t="n"/>
      <c r="R1926" s="27" t="n"/>
      <c r="S1926" s="27" t="n"/>
      <c r="T1926" s="25">
        <f>IF($C1926="","",IF(OR(ISNUMBER(SEARCH("quick case",$P1926)),ISNUMBER(SEARCH("quick case",$Q1926))),"Yes","No"))</f>
        <v/>
      </c>
      <c r="U1926" s="25">
        <f>IF($O1926="Invalid",HYPERLINK("mailto:"&amp;$G1926&amp;";"&amp;$I1926&amp;"?cc="&amp;Lists!$E$2&amp;"&amp;subject="&amp;_xlfn.ENCODEURL("[INVALID] Quality audit monitoring completed for "&amp;UPPER($C1926))&amp;"&amp;body="&amp;_xlfn.ENCODEURL("Hi "&amp;$F1926&amp;","&amp;CHAR(10)&amp;"Good day!"&amp;CHAR(10)&amp;CHAR(10)&amp;"A quality monitoring audit has been completed for "&amp;$C1926&amp;"."&amp;CHAR(10)&amp;CHAR(10)&amp;"QUALITY AUDIT DETAILS"&amp;CHAR(10)&amp;"Agent Name: "&amp;$C1926&amp;" (EID "&amp;$D1926&amp;")"&amp;CHAR(10)&amp;"Audit Date: "&amp;TEXT($B1926,"yyyy-mm-dd")&amp;CHAR(10)&amp;"Team Leader: "&amp;$F1926&amp;CHAR(10)&amp;"Case Number: "&amp;$M1926&amp;CHAR(10)&amp;"Transaction ID: "&amp;$N1926&amp;CHAR(10)&amp;"Channel / LOB: "&amp;$K1926&amp;" / "&amp;$L1926&amp;CHAR(10)&amp;"Evaluator: "&amp;$S1926&amp;CHAR(10)&amp;CHAR(10)&amp;"INVALID QUALITY AUDIT DETAILS"&amp;CHAR(10)&amp;"Validation: Invalid"&amp;CHAR(10)&amp;"Invalid Reason: "&amp;$P1926&amp;CHAR(10)&amp;"Expected Resolution Code: "&amp;$Q1926&amp;CHAR(10)&amp;"Remarks: "&amp;LEFT($R1926,600)&amp;CHAR(10)&amp;CHAR(10)&amp;"This is an automated notification from HP Mainstream EQMS."),"✉ Open Email Draft"),"")</f>
        <v/>
      </c>
    </row>
    <row r="1927">
      <c r="A1927" s="25">
        <f>IF($C1927="","","AUD-2026-"&amp;TEXT(ROW()-1,"000000"))</f>
        <v/>
      </c>
      <c r="B1927" s="26" t="n"/>
      <c r="C1927" s="27" t="n"/>
      <c r="D1927" s="25">
        <f>IF($C1927="","",IFERROR(IF(INDEX(Roster!$A:$A,MATCH($C1927,Roster!$B:$B,0))="","",INDEX(Roster!$A:$A,MATCH($C1927,Roster!$B:$B,0))&amp;""),"—"))</f>
        <v/>
      </c>
      <c r="E1927" s="25">
        <f>IF($C1927="","",IFERROR(IF(INDEX(Roster!$C:$C,MATCH($C1927,Roster!$B:$B,0))="","",INDEX(Roster!$C:$C,MATCH($C1927,Roster!$B:$B,0))&amp;""),"—"))</f>
        <v/>
      </c>
      <c r="F1927" s="25">
        <f>IF($C1927="","",IFERROR(IF(INDEX(Roster!$D:$D,MATCH($C1927,Roster!$B:$B,0))="","",INDEX(Roster!$D:$D,MATCH($C1927,Roster!$B:$B,0))&amp;""),"—"))</f>
        <v/>
      </c>
      <c r="G1927" s="25">
        <f>IF($C1927="","",IFERROR(IF(INDEX(Roster!$E:$E,MATCH($C1927,Roster!$B:$B,0))="","",INDEX(Roster!$E:$E,MATCH($C1927,Roster!$B:$B,0))&amp;""),"—"))</f>
        <v/>
      </c>
      <c r="H1927" s="25">
        <f>IF($C1927="","",IFERROR(IF(INDEX(Roster!$F:$F,MATCH($C1927,Roster!$B:$B,0))="","",INDEX(Roster!$F:$F,MATCH($C1927,Roster!$B:$B,0))&amp;""),"—"))</f>
        <v/>
      </c>
      <c r="I1927" s="25">
        <f>IF($C1927="","",IFERROR(IF(INDEX(Roster!$G:$G,MATCH($C1927,Roster!$B:$B,0))="","",INDEX(Roster!$G:$G,MATCH($C1927,Roster!$B:$B,0))&amp;""),"—"))</f>
        <v/>
      </c>
      <c r="J1927" s="25">
        <f>IF($C1927="","",IFERROR(IF(INDEX(Roster!$I:$I,MATCH($C1927,Roster!$B:$B,0))="","",INDEX(Roster!$I:$I,MATCH($C1927,Roster!$B:$B,0))&amp;""),"—"))</f>
        <v/>
      </c>
      <c r="K1927">
        <f>IF($C1927="","",IFERROR(IF(INDEX(Roster!$J:$J,MATCH($C1927,Roster!$B:$B,0))="","",INDEX(Roster!$J:$J,MATCH($C1927,Roster!$B:$B,0))&amp;""),"—"))</f>
        <v/>
      </c>
      <c r="L1927">
        <f>IF($C1927="","",IFERROR(IF(INDEX(Roster!$K:$K,MATCH($C1927,Roster!$B:$B,0))="","",INDEX(Roster!$K:$K,MATCH($C1927,Roster!$B:$B,0))&amp;""),"—"))</f>
        <v/>
      </c>
      <c r="M1927" s="27" t="n"/>
      <c r="N1927" s="27" t="n"/>
      <c r="O1927" s="25">
        <f>IF($C1927="","",IF($P1927="","—",IF($P1927="Valid (Pass)","Valid","Invalid")))</f>
        <v/>
      </c>
      <c r="P1927" s="27" t="n"/>
      <c r="Q1927" s="27" t="n"/>
      <c r="R1927" s="27" t="n"/>
      <c r="S1927" s="27" t="n"/>
      <c r="T1927" s="25">
        <f>IF($C1927="","",IF(OR(ISNUMBER(SEARCH("quick case",$P1927)),ISNUMBER(SEARCH("quick case",$Q1927))),"Yes","No"))</f>
        <v/>
      </c>
      <c r="U1927" s="25">
        <f>IF($O1927="Invalid",HYPERLINK("mailto:"&amp;$G1927&amp;";"&amp;$I1927&amp;"?cc="&amp;Lists!$E$2&amp;"&amp;subject="&amp;_xlfn.ENCODEURL("[INVALID] Quality audit monitoring completed for "&amp;UPPER($C1927))&amp;"&amp;body="&amp;_xlfn.ENCODEURL("Hi "&amp;$F1927&amp;","&amp;CHAR(10)&amp;"Good day!"&amp;CHAR(10)&amp;CHAR(10)&amp;"A quality monitoring audit has been completed for "&amp;$C1927&amp;"."&amp;CHAR(10)&amp;CHAR(10)&amp;"QUALITY AUDIT DETAILS"&amp;CHAR(10)&amp;"Agent Name: "&amp;$C1927&amp;" (EID "&amp;$D1927&amp;")"&amp;CHAR(10)&amp;"Audit Date: "&amp;TEXT($B1927,"yyyy-mm-dd")&amp;CHAR(10)&amp;"Team Leader: "&amp;$F1927&amp;CHAR(10)&amp;"Case Number: "&amp;$M1927&amp;CHAR(10)&amp;"Transaction ID: "&amp;$N1927&amp;CHAR(10)&amp;"Channel / LOB: "&amp;$K1927&amp;" / "&amp;$L1927&amp;CHAR(10)&amp;"Evaluator: "&amp;$S1927&amp;CHAR(10)&amp;CHAR(10)&amp;"INVALID QUALITY AUDIT DETAILS"&amp;CHAR(10)&amp;"Validation: Invalid"&amp;CHAR(10)&amp;"Invalid Reason: "&amp;$P1927&amp;CHAR(10)&amp;"Expected Resolution Code: "&amp;$Q1927&amp;CHAR(10)&amp;"Remarks: "&amp;LEFT($R1927,600)&amp;CHAR(10)&amp;CHAR(10)&amp;"This is an automated notification from HP Mainstream EQMS."),"✉ Open Email Draft"),"")</f>
        <v/>
      </c>
    </row>
    <row r="1928">
      <c r="A1928" s="25">
        <f>IF($C1928="","","AUD-2026-"&amp;TEXT(ROW()-1,"000000"))</f>
        <v/>
      </c>
      <c r="B1928" s="26" t="n"/>
      <c r="C1928" s="27" t="n"/>
      <c r="D1928" s="25">
        <f>IF($C1928="","",IFERROR(IF(INDEX(Roster!$A:$A,MATCH($C1928,Roster!$B:$B,0))="","",INDEX(Roster!$A:$A,MATCH($C1928,Roster!$B:$B,0))&amp;""),"—"))</f>
        <v/>
      </c>
      <c r="E1928" s="25">
        <f>IF($C1928="","",IFERROR(IF(INDEX(Roster!$C:$C,MATCH($C1928,Roster!$B:$B,0))="","",INDEX(Roster!$C:$C,MATCH($C1928,Roster!$B:$B,0))&amp;""),"—"))</f>
        <v/>
      </c>
      <c r="F1928" s="25">
        <f>IF($C1928="","",IFERROR(IF(INDEX(Roster!$D:$D,MATCH($C1928,Roster!$B:$B,0))="","",INDEX(Roster!$D:$D,MATCH($C1928,Roster!$B:$B,0))&amp;""),"—"))</f>
        <v/>
      </c>
      <c r="G1928" s="25">
        <f>IF($C1928="","",IFERROR(IF(INDEX(Roster!$E:$E,MATCH($C1928,Roster!$B:$B,0))="","",INDEX(Roster!$E:$E,MATCH($C1928,Roster!$B:$B,0))&amp;""),"—"))</f>
        <v/>
      </c>
      <c r="H1928" s="25">
        <f>IF($C1928="","",IFERROR(IF(INDEX(Roster!$F:$F,MATCH($C1928,Roster!$B:$B,0))="","",INDEX(Roster!$F:$F,MATCH($C1928,Roster!$B:$B,0))&amp;""),"—"))</f>
        <v/>
      </c>
      <c r="I1928" s="25">
        <f>IF($C1928="","",IFERROR(IF(INDEX(Roster!$G:$G,MATCH($C1928,Roster!$B:$B,0))="","",INDEX(Roster!$G:$G,MATCH($C1928,Roster!$B:$B,0))&amp;""),"—"))</f>
        <v/>
      </c>
      <c r="J1928" s="25">
        <f>IF($C1928="","",IFERROR(IF(INDEX(Roster!$I:$I,MATCH($C1928,Roster!$B:$B,0))="","",INDEX(Roster!$I:$I,MATCH($C1928,Roster!$B:$B,0))&amp;""),"—"))</f>
        <v/>
      </c>
      <c r="K1928">
        <f>IF($C1928="","",IFERROR(IF(INDEX(Roster!$J:$J,MATCH($C1928,Roster!$B:$B,0))="","",INDEX(Roster!$J:$J,MATCH($C1928,Roster!$B:$B,0))&amp;""),"—"))</f>
        <v/>
      </c>
      <c r="L1928">
        <f>IF($C1928="","",IFERROR(IF(INDEX(Roster!$K:$K,MATCH($C1928,Roster!$B:$B,0))="","",INDEX(Roster!$K:$K,MATCH($C1928,Roster!$B:$B,0))&amp;""),"—"))</f>
        <v/>
      </c>
      <c r="M1928" s="27" t="n"/>
      <c r="N1928" s="27" t="n"/>
      <c r="O1928" s="25">
        <f>IF($C1928="","",IF($P1928="","—",IF($P1928="Valid (Pass)","Valid","Invalid")))</f>
        <v/>
      </c>
      <c r="P1928" s="27" t="n"/>
      <c r="Q1928" s="27" t="n"/>
      <c r="R1928" s="27" t="n"/>
      <c r="S1928" s="27" t="n"/>
      <c r="T1928" s="25">
        <f>IF($C1928="","",IF(OR(ISNUMBER(SEARCH("quick case",$P1928)),ISNUMBER(SEARCH("quick case",$Q1928))),"Yes","No"))</f>
        <v/>
      </c>
      <c r="U1928" s="25">
        <f>IF($O1928="Invalid",HYPERLINK("mailto:"&amp;$G1928&amp;";"&amp;$I1928&amp;"?cc="&amp;Lists!$E$2&amp;"&amp;subject="&amp;_xlfn.ENCODEURL("[INVALID] Quality audit monitoring completed for "&amp;UPPER($C1928))&amp;"&amp;body="&amp;_xlfn.ENCODEURL("Hi "&amp;$F1928&amp;","&amp;CHAR(10)&amp;"Good day!"&amp;CHAR(10)&amp;CHAR(10)&amp;"A quality monitoring audit has been completed for "&amp;$C1928&amp;"."&amp;CHAR(10)&amp;CHAR(10)&amp;"QUALITY AUDIT DETAILS"&amp;CHAR(10)&amp;"Agent Name: "&amp;$C1928&amp;" (EID "&amp;$D1928&amp;")"&amp;CHAR(10)&amp;"Audit Date: "&amp;TEXT($B1928,"yyyy-mm-dd")&amp;CHAR(10)&amp;"Team Leader: "&amp;$F1928&amp;CHAR(10)&amp;"Case Number: "&amp;$M1928&amp;CHAR(10)&amp;"Transaction ID: "&amp;$N1928&amp;CHAR(10)&amp;"Channel / LOB: "&amp;$K1928&amp;" / "&amp;$L1928&amp;CHAR(10)&amp;"Evaluator: "&amp;$S1928&amp;CHAR(10)&amp;CHAR(10)&amp;"INVALID QUALITY AUDIT DETAILS"&amp;CHAR(10)&amp;"Validation: Invalid"&amp;CHAR(10)&amp;"Invalid Reason: "&amp;$P1928&amp;CHAR(10)&amp;"Expected Resolution Code: "&amp;$Q1928&amp;CHAR(10)&amp;"Remarks: "&amp;LEFT($R1928,600)&amp;CHAR(10)&amp;CHAR(10)&amp;"This is an automated notification from HP Mainstream EQMS."),"✉ Open Email Draft"),"")</f>
        <v/>
      </c>
    </row>
    <row r="1929">
      <c r="A1929" s="25">
        <f>IF($C1929="","","AUD-2026-"&amp;TEXT(ROW()-1,"000000"))</f>
        <v/>
      </c>
      <c r="B1929" s="26" t="n"/>
      <c r="C1929" s="27" t="n"/>
      <c r="D1929" s="25">
        <f>IF($C1929="","",IFERROR(IF(INDEX(Roster!$A:$A,MATCH($C1929,Roster!$B:$B,0))="","",INDEX(Roster!$A:$A,MATCH($C1929,Roster!$B:$B,0))&amp;""),"—"))</f>
        <v/>
      </c>
      <c r="E1929" s="25">
        <f>IF($C1929="","",IFERROR(IF(INDEX(Roster!$C:$C,MATCH($C1929,Roster!$B:$B,0))="","",INDEX(Roster!$C:$C,MATCH($C1929,Roster!$B:$B,0))&amp;""),"—"))</f>
        <v/>
      </c>
      <c r="F1929" s="25">
        <f>IF($C1929="","",IFERROR(IF(INDEX(Roster!$D:$D,MATCH($C1929,Roster!$B:$B,0))="","",INDEX(Roster!$D:$D,MATCH($C1929,Roster!$B:$B,0))&amp;""),"—"))</f>
        <v/>
      </c>
      <c r="G1929" s="25">
        <f>IF($C1929="","",IFERROR(IF(INDEX(Roster!$E:$E,MATCH($C1929,Roster!$B:$B,0))="","",INDEX(Roster!$E:$E,MATCH($C1929,Roster!$B:$B,0))&amp;""),"—"))</f>
        <v/>
      </c>
      <c r="H1929" s="25">
        <f>IF($C1929="","",IFERROR(IF(INDEX(Roster!$F:$F,MATCH($C1929,Roster!$B:$B,0))="","",INDEX(Roster!$F:$F,MATCH($C1929,Roster!$B:$B,0))&amp;""),"—"))</f>
        <v/>
      </c>
      <c r="I1929" s="25">
        <f>IF($C1929="","",IFERROR(IF(INDEX(Roster!$G:$G,MATCH($C1929,Roster!$B:$B,0))="","",INDEX(Roster!$G:$G,MATCH($C1929,Roster!$B:$B,0))&amp;""),"—"))</f>
        <v/>
      </c>
      <c r="J1929" s="25">
        <f>IF($C1929="","",IFERROR(IF(INDEX(Roster!$I:$I,MATCH($C1929,Roster!$B:$B,0))="","",INDEX(Roster!$I:$I,MATCH($C1929,Roster!$B:$B,0))&amp;""),"—"))</f>
        <v/>
      </c>
      <c r="K1929">
        <f>IF($C1929="","",IFERROR(IF(INDEX(Roster!$J:$J,MATCH($C1929,Roster!$B:$B,0))="","",INDEX(Roster!$J:$J,MATCH($C1929,Roster!$B:$B,0))&amp;""),"—"))</f>
        <v/>
      </c>
      <c r="L1929">
        <f>IF($C1929="","",IFERROR(IF(INDEX(Roster!$K:$K,MATCH($C1929,Roster!$B:$B,0))="","",INDEX(Roster!$K:$K,MATCH($C1929,Roster!$B:$B,0))&amp;""),"—"))</f>
        <v/>
      </c>
      <c r="M1929" s="27" t="n"/>
      <c r="N1929" s="27" t="n"/>
      <c r="O1929" s="25">
        <f>IF($C1929="","",IF($P1929="","—",IF($P1929="Valid (Pass)","Valid","Invalid")))</f>
        <v/>
      </c>
      <c r="P1929" s="27" t="n"/>
      <c r="Q1929" s="27" t="n"/>
      <c r="R1929" s="27" t="n"/>
      <c r="S1929" s="27" t="n"/>
      <c r="T1929" s="25">
        <f>IF($C1929="","",IF(OR(ISNUMBER(SEARCH("quick case",$P1929)),ISNUMBER(SEARCH("quick case",$Q1929))),"Yes","No"))</f>
        <v/>
      </c>
      <c r="U1929" s="25">
        <f>IF($O1929="Invalid",HYPERLINK("mailto:"&amp;$G1929&amp;";"&amp;$I1929&amp;"?cc="&amp;Lists!$E$2&amp;"&amp;subject="&amp;_xlfn.ENCODEURL("[INVALID] Quality audit monitoring completed for "&amp;UPPER($C1929))&amp;"&amp;body="&amp;_xlfn.ENCODEURL("Hi "&amp;$F1929&amp;","&amp;CHAR(10)&amp;"Good day!"&amp;CHAR(10)&amp;CHAR(10)&amp;"A quality monitoring audit has been completed for "&amp;$C1929&amp;"."&amp;CHAR(10)&amp;CHAR(10)&amp;"QUALITY AUDIT DETAILS"&amp;CHAR(10)&amp;"Agent Name: "&amp;$C1929&amp;" (EID "&amp;$D1929&amp;")"&amp;CHAR(10)&amp;"Audit Date: "&amp;TEXT($B1929,"yyyy-mm-dd")&amp;CHAR(10)&amp;"Team Leader: "&amp;$F1929&amp;CHAR(10)&amp;"Case Number: "&amp;$M1929&amp;CHAR(10)&amp;"Transaction ID: "&amp;$N1929&amp;CHAR(10)&amp;"Channel / LOB: "&amp;$K1929&amp;" / "&amp;$L1929&amp;CHAR(10)&amp;"Evaluator: "&amp;$S1929&amp;CHAR(10)&amp;CHAR(10)&amp;"INVALID QUALITY AUDIT DETAILS"&amp;CHAR(10)&amp;"Validation: Invalid"&amp;CHAR(10)&amp;"Invalid Reason: "&amp;$P1929&amp;CHAR(10)&amp;"Expected Resolution Code: "&amp;$Q1929&amp;CHAR(10)&amp;"Remarks: "&amp;LEFT($R1929,600)&amp;CHAR(10)&amp;CHAR(10)&amp;"This is an automated notification from HP Mainstream EQMS."),"✉ Open Email Draft"),"")</f>
        <v/>
      </c>
    </row>
    <row r="1930">
      <c r="A1930" s="25">
        <f>IF($C1930="","","AUD-2026-"&amp;TEXT(ROW()-1,"000000"))</f>
        <v/>
      </c>
      <c r="B1930" s="26" t="n"/>
      <c r="C1930" s="27" t="n"/>
      <c r="D1930" s="25">
        <f>IF($C1930="","",IFERROR(IF(INDEX(Roster!$A:$A,MATCH($C1930,Roster!$B:$B,0))="","",INDEX(Roster!$A:$A,MATCH($C1930,Roster!$B:$B,0))&amp;""),"—"))</f>
        <v/>
      </c>
      <c r="E1930" s="25">
        <f>IF($C1930="","",IFERROR(IF(INDEX(Roster!$C:$C,MATCH($C1930,Roster!$B:$B,0))="","",INDEX(Roster!$C:$C,MATCH($C1930,Roster!$B:$B,0))&amp;""),"—"))</f>
        <v/>
      </c>
      <c r="F1930" s="25">
        <f>IF($C1930="","",IFERROR(IF(INDEX(Roster!$D:$D,MATCH($C1930,Roster!$B:$B,0))="","",INDEX(Roster!$D:$D,MATCH($C1930,Roster!$B:$B,0))&amp;""),"—"))</f>
        <v/>
      </c>
      <c r="G1930" s="25">
        <f>IF($C1930="","",IFERROR(IF(INDEX(Roster!$E:$E,MATCH($C1930,Roster!$B:$B,0))="","",INDEX(Roster!$E:$E,MATCH($C1930,Roster!$B:$B,0))&amp;""),"—"))</f>
        <v/>
      </c>
      <c r="H1930" s="25">
        <f>IF($C1930="","",IFERROR(IF(INDEX(Roster!$F:$F,MATCH($C1930,Roster!$B:$B,0))="","",INDEX(Roster!$F:$F,MATCH($C1930,Roster!$B:$B,0))&amp;""),"—"))</f>
        <v/>
      </c>
      <c r="I1930" s="25">
        <f>IF($C1930="","",IFERROR(IF(INDEX(Roster!$G:$G,MATCH($C1930,Roster!$B:$B,0))="","",INDEX(Roster!$G:$G,MATCH($C1930,Roster!$B:$B,0))&amp;""),"—"))</f>
        <v/>
      </c>
      <c r="J1930" s="25">
        <f>IF($C1930="","",IFERROR(IF(INDEX(Roster!$I:$I,MATCH($C1930,Roster!$B:$B,0))="","",INDEX(Roster!$I:$I,MATCH($C1930,Roster!$B:$B,0))&amp;""),"—"))</f>
        <v/>
      </c>
      <c r="K1930">
        <f>IF($C1930="","",IFERROR(IF(INDEX(Roster!$J:$J,MATCH($C1930,Roster!$B:$B,0))="","",INDEX(Roster!$J:$J,MATCH($C1930,Roster!$B:$B,0))&amp;""),"—"))</f>
        <v/>
      </c>
      <c r="L1930">
        <f>IF($C1930="","",IFERROR(IF(INDEX(Roster!$K:$K,MATCH($C1930,Roster!$B:$B,0))="","",INDEX(Roster!$K:$K,MATCH($C1930,Roster!$B:$B,0))&amp;""),"—"))</f>
        <v/>
      </c>
      <c r="M1930" s="27" t="n"/>
      <c r="N1930" s="27" t="n"/>
      <c r="O1930" s="25">
        <f>IF($C1930="","",IF($P1930="","—",IF($P1930="Valid (Pass)","Valid","Invalid")))</f>
        <v/>
      </c>
      <c r="P1930" s="27" t="n"/>
      <c r="Q1930" s="27" t="n"/>
      <c r="R1930" s="27" t="n"/>
      <c r="S1930" s="27" t="n"/>
      <c r="T1930" s="25">
        <f>IF($C1930="","",IF(OR(ISNUMBER(SEARCH("quick case",$P1930)),ISNUMBER(SEARCH("quick case",$Q1930))),"Yes","No"))</f>
        <v/>
      </c>
      <c r="U1930" s="25">
        <f>IF($O1930="Invalid",HYPERLINK("mailto:"&amp;$G1930&amp;";"&amp;$I1930&amp;"?cc="&amp;Lists!$E$2&amp;"&amp;subject="&amp;_xlfn.ENCODEURL("[INVALID] Quality audit monitoring completed for "&amp;UPPER($C1930))&amp;"&amp;body="&amp;_xlfn.ENCODEURL("Hi "&amp;$F1930&amp;","&amp;CHAR(10)&amp;"Good day!"&amp;CHAR(10)&amp;CHAR(10)&amp;"A quality monitoring audit has been completed for "&amp;$C1930&amp;"."&amp;CHAR(10)&amp;CHAR(10)&amp;"QUALITY AUDIT DETAILS"&amp;CHAR(10)&amp;"Agent Name: "&amp;$C1930&amp;" (EID "&amp;$D1930&amp;")"&amp;CHAR(10)&amp;"Audit Date: "&amp;TEXT($B1930,"yyyy-mm-dd")&amp;CHAR(10)&amp;"Team Leader: "&amp;$F1930&amp;CHAR(10)&amp;"Case Number: "&amp;$M1930&amp;CHAR(10)&amp;"Transaction ID: "&amp;$N1930&amp;CHAR(10)&amp;"Channel / LOB: "&amp;$K1930&amp;" / "&amp;$L1930&amp;CHAR(10)&amp;"Evaluator: "&amp;$S1930&amp;CHAR(10)&amp;CHAR(10)&amp;"INVALID QUALITY AUDIT DETAILS"&amp;CHAR(10)&amp;"Validation: Invalid"&amp;CHAR(10)&amp;"Invalid Reason: "&amp;$P1930&amp;CHAR(10)&amp;"Expected Resolution Code: "&amp;$Q1930&amp;CHAR(10)&amp;"Remarks: "&amp;LEFT($R1930,600)&amp;CHAR(10)&amp;CHAR(10)&amp;"This is an automated notification from HP Mainstream EQMS."),"✉ Open Email Draft"),"")</f>
        <v/>
      </c>
    </row>
    <row r="1931">
      <c r="A1931" s="25">
        <f>IF($C1931="","","AUD-2026-"&amp;TEXT(ROW()-1,"000000"))</f>
        <v/>
      </c>
      <c r="B1931" s="26" t="n"/>
      <c r="C1931" s="27" t="n"/>
      <c r="D1931" s="25">
        <f>IF($C1931="","",IFERROR(IF(INDEX(Roster!$A:$A,MATCH($C1931,Roster!$B:$B,0))="","",INDEX(Roster!$A:$A,MATCH($C1931,Roster!$B:$B,0))&amp;""),"—"))</f>
        <v/>
      </c>
      <c r="E1931" s="25">
        <f>IF($C1931="","",IFERROR(IF(INDEX(Roster!$C:$C,MATCH($C1931,Roster!$B:$B,0))="","",INDEX(Roster!$C:$C,MATCH($C1931,Roster!$B:$B,0))&amp;""),"—"))</f>
        <v/>
      </c>
      <c r="F1931" s="25">
        <f>IF($C1931="","",IFERROR(IF(INDEX(Roster!$D:$D,MATCH($C1931,Roster!$B:$B,0))="","",INDEX(Roster!$D:$D,MATCH($C1931,Roster!$B:$B,0))&amp;""),"—"))</f>
        <v/>
      </c>
      <c r="G1931" s="25">
        <f>IF($C1931="","",IFERROR(IF(INDEX(Roster!$E:$E,MATCH($C1931,Roster!$B:$B,0))="","",INDEX(Roster!$E:$E,MATCH($C1931,Roster!$B:$B,0))&amp;""),"—"))</f>
        <v/>
      </c>
      <c r="H1931" s="25">
        <f>IF($C1931="","",IFERROR(IF(INDEX(Roster!$F:$F,MATCH($C1931,Roster!$B:$B,0))="","",INDEX(Roster!$F:$F,MATCH($C1931,Roster!$B:$B,0))&amp;""),"—"))</f>
        <v/>
      </c>
      <c r="I1931" s="25">
        <f>IF($C1931="","",IFERROR(IF(INDEX(Roster!$G:$G,MATCH($C1931,Roster!$B:$B,0))="","",INDEX(Roster!$G:$G,MATCH($C1931,Roster!$B:$B,0))&amp;""),"—"))</f>
        <v/>
      </c>
      <c r="J1931" s="25">
        <f>IF($C1931="","",IFERROR(IF(INDEX(Roster!$I:$I,MATCH($C1931,Roster!$B:$B,0))="","",INDEX(Roster!$I:$I,MATCH($C1931,Roster!$B:$B,0))&amp;""),"—"))</f>
        <v/>
      </c>
      <c r="K1931">
        <f>IF($C1931="","",IFERROR(IF(INDEX(Roster!$J:$J,MATCH($C1931,Roster!$B:$B,0))="","",INDEX(Roster!$J:$J,MATCH($C1931,Roster!$B:$B,0))&amp;""),"—"))</f>
        <v/>
      </c>
      <c r="L1931">
        <f>IF($C1931="","",IFERROR(IF(INDEX(Roster!$K:$K,MATCH($C1931,Roster!$B:$B,0))="","",INDEX(Roster!$K:$K,MATCH($C1931,Roster!$B:$B,0))&amp;""),"—"))</f>
        <v/>
      </c>
      <c r="M1931" s="27" t="n"/>
      <c r="N1931" s="27" t="n"/>
      <c r="O1931" s="25">
        <f>IF($C1931="","",IF($P1931="","—",IF($P1931="Valid (Pass)","Valid","Invalid")))</f>
        <v/>
      </c>
      <c r="P1931" s="27" t="n"/>
      <c r="Q1931" s="27" t="n"/>
      <c r="R1931" s="27" t="n"/>
      <c r="S1931" s="27" t="n"/>
      <c r="T1931" s="25">
        <f>IF($C1931="","",IF(OR(ISNUMBER(SEARCH("quick case",$P1931)),ISNUMBER(SEARCH("quick case",$Q1931))),"Yes","No"))</f>
        <v/>
      </c>
      <c r="U1931" s="25">
        <f>IF($O1931="Invalid",HYPERLINK("mailto:"&amp;$G1931&amp;";"&amp;$I1931&amp;"?cc="&amp;Lists!$E$2&amp;"&amp;subject="&amp;_xlfn.ENCODEURL("[INVALID] Quality audit monitoring completed for "&amp;UPPER($C1931))&amp;"&amp;body="&amp;_xlfn.ENCODEURL("Hi "&amp;$F1931&amp;","&amp;CHAR(10)&amp;"Good day!"&amp;CHAR(10)&amp;CHAR(10)&amp;"A quality monitoring audit has been completed for "&amp;$C1931&amp;"."&amp;CHAR(10)&amp;CHAR(10)&amp;"QUALITY AUDIT DETAILS"&amp;CHAR(10)&amp;"Agent Name: "&amp;$C1931&amp;" (EID "&amp;$D1931&amp;")"&amp;CHAR(10)&amp;"Audit Date: "&amp;TEXT($B1931,"yyyy-mm-dd")&amp;CHAR(10)&amp;"Team Leader: "&amp;$F1931&amp;CHAR(10)&amp;"Case Number: "&amp;$M1931&amp;CHAR(10)&amp;"Transaction ID: "&amp;$N1931&amp;CHAR(10)&amp;"Channel / LOB: "&amp;$K1931&amp;" / "&amp;$L1931&amp;CHAR(10)&amp;"Evaluator: "&amp;$S1931&amp;CHAR(10)&amp;CHAR(10)&amp;"INVALID QUALITY AUDIT DETAILS"&amp;CHAR(10)&amp;"Validation: Invalid"&amp;CHAR(10)&amp;"Invalid Reason: "&amp;$P1931&amp;CHAR(10)&amp;"Expected Resolution Code: "&amp;$Q1931&amp;CHAR(10)&amp;"Remarks: "&amp;LEFT($R1931,600)&amp;CHAR(10)&amp;CHAR(10)&amp;"This is an automated notification from HP Mainstream EQMS."),"✉ Open Email Draft"),"")</f>
        <v/>
      </c>
    </row>
    <row r="1932">
      <c r="A1932" s="25">
        <f>IF($C1932="","","AUD-2026-"&amp;TEXT(ROW()-1,"000000"))</f>
        <v/>
      </c>
      <c r="B1932" s="26" t="n"/>
      <c r="C1932" s="27" t="n"/>
      <c r="D1932" s="25">
        <f>IF($C1932="","",IFERROR(IF(INDEX(Roster!$A:$A,MATCH($C1932,Roster!$B:$B,0))="","",INDEX(Roster!$A:$A,MATCH($C1932,Roster!$B:$B,0))&amp;""),"—"))</f>
        <v/>
      </c>
      <c r="E1932" s="25">
        <f>IF($C1932="","",IFERROR(IF(INDEX(Roster!$C:$C,MATCH($C1932,Roster!$B:$B,0))="","",INDEX(Roster!$C:$C,MATCH($C1932,Roster!$B:$B,0))&amp;""),"—"))</f>
        <v/>
      </c>
      <c r="F1932" s="25">
        <f>IF($C1932="","",IFERROR(IF(INDEX(Roster!$D:$D,MATCH($C1932,Roster!$B:$B,0))="","",INDEX(Roster!$D:$D,MATCH($C1932,Roster!$B:$B,0))&amp;""),"—"))</f>
        <v/>
      </c>
      <c r="G1932" s="25">
        <f>IF($C1932="","",IFERROR(IF(INDEX(Roster!$E:$E,MATCH($C1932,Roster!$B:$B,0))="","",INDEX(Roster!$E:$E,MATCH($C1932,Roster!$B:$B,0))&amp;""),"—"))</f>
        <v/>
      </c>
      <c r="H1932" s="25">
        <f>IF($C1932="","",IFERROR(IF(INDEX(Roster!$F:$F,MATCH($C1932,Roster!$B:$B,0))="","",INDEX(Roster!$F:$F,MATCH($C1932,Roster!$B:$B,0))&amp;""),"—"))</f>
        <v/>
      </c>
      <c r="I1932" s="25">
        <f>IF($C1932="","",IFERROR(IF(INDEX(Roster!$G:$G,MATCH($C1932,Roster!$B:$B,0))="","",INDEX(Roster!$G:$G,MATCH($C1932,Roster!$B:$B,0))&amp;""),"—"))</f>
        <v/>
      </c>
      <c r="J1932" s="25">
        <f>IF($C1932="","",IFERROR(IF(INDEX(Roster!$I:$I,MATCH($C1932,Roster!$B:$B,0))="","",INDEX(Roster!$I:$I,MATCH($C1932,Roster!$B:$B,0))&amp;""),"—"))</f>
        <v/>
      </c>
      <c r="K1932">
        <f>IF($C1932="","",IFERROR(IF(INDEX(Roster!$J:$J,MATCH($C1932,Roster!$B:$B,0))="","",INDEX(Roster!$J:$J,MATCH($C1932,Roster!$B:$B,0))&amp;""),"—"))</f>
        <v/>
      </c>
      <c r="L1932">
        <f>IF($C1932="","",IFERROR(IF(INDEX(Roster!$K:$K,MATCH($C1932,Roster!$B:$B,0))="","",INDEX(Roster!$K:$K,MATCH($C1932,Roster!$B:$B,0))&amp;""),"—"))</f>
        <v/>
      </c>
      <c r="M1932" s="27" t="n"/>
      <c r="N1932" s="27" t="n"/>
      <c r="O1932" s="25">
        <f>IF($C1932="","",IF($P1932="","—",IF($P1932="Valid (Pass)","Valid","Invalid")))</f>
        <v/>
      </c>
      <c r="P1932" s="27" t="n"/>
      <c r="Q1932" s="27" t="n"/>
      <c r="R1932" s="27" t="n"/>
      <c r="S1932" s="27" t="n"/>
      <c r="T1932" s="25">
        <f>IF($C1932="","",IF(OR(ISNUMBER(SEARCH("quick case",$P1932)),ISNUMBER(SEARCH("quick case",$Q1932))),"Yes","No"))</f>
        <v/>
      </c>
      <c r="U1932" s="25">
        <f>IF($O1932="Invalid",HYPERLINK("mailto:"&amp;$G1932&amp;";"&amp;$I1932&amp;"?cc="&amp;Lists!$E$2&amp;"&amp;subject="&amp;_xlfn.ENCODEURL("[INVALID] Quality audit monitoring completed for "&amp;UPPER($C1932))&amp;"&amp;body="&amp;_xlfn.ENCODEURL("Hi "&amp;$F1932&amp;","&amp;CHAR(10)&amp;"Good day!"&amp;CHAR(10)&amp;CHAR(10)&amp;"A quality monitoring audit has been completed for "&amp;$C1932&amp;"."&amp;CHAR(10)&amp;CHAR(10)&amp;"QUALITY AUDIT DETAILS"&amp;CHAR(10)&amp;"Agent Name: "&amp;$C1932&amp;" (EID "&amp;$D1932&amp;")"&amp;CHAR(10)&amp;"Audit Date: "&amp;TEXT($B1932,"yyyy-mm-dd")&amp;CHAR(10)&amp;"Team Leader: "&amp;$F1932&amp;CHAR(10)&amp;"Case Number: "&amp;$M1932&amp;CHAR(10)&amp;"Transaction ID: "&amp;$N1932&amp;CHAR(10)&amp;"Channel / LOB: "&amp;$K1932&amp;" / "&amp;$L1932&amp;CHAR(10)&amp;"Evaluator: "&amp;$S1932&amp;CHAR(10)&amp;CHAR(10)&amp;"INVALID QUALITY AUDIT DETAILS"&amp;CHAR(10)&amp;"Validation: Invalid"&amp;CHAR(10)&amp;"Invalid Reason: "&amp;$P1932&amp;CHAR(10)&amp;"Expected Resolution Code: "&amp;$Q1932&amp;CHAR(10)&amp;"Remarks: "&amp;LEFT($R1932,600)&amp;CHAR(10)&amp;CHAR(10)&amp;"This is an automated notification from HP Mainstream EQMS."),"✉ Open Email Draft"),"")</f>
        <v/>
      </c>
    </row>
    <row r="1933">
      <c r="A1933" s="25">
        <f>IF($C1933="","","AUD-2026-"&amp;TEXT(ROW()-1,"000000"))</f>
        <v/>
      </c>
      <c r="B1933" s="26" t="n"/>
      <c r="C1933" s="27" t="n"/>
      <c r="D1933" s="25">
        <f>IF($C1933="","",IFERROR(IF(INDEX(Roster!$A:$A,MATCH($C1933,Roster!$B:$B,0))="","",INDEX(Roster!$A:$A,MATCH($C1933,Roster!$B:$B,0))&amp;""),"—"))</f>
        <v/>
      </c>
      <c r="E1933" s="25">
        <f>IF($C1933="","",IFERROR(IF(INDEX(Roster!$C:$C,MATCH($C1933,Roster!$B:$B,0))="","",INDEX(Roster!$C:$C,MATCH($C1933,Roster!$B:$B,0))&amp;""),"—"))</f>
        <v/>
      </c>
      <c r="F1933" s="25">
        <f>IF($C1933="","",IFERROR(IF(INDEX(Roster!$D:$D,MATCH($C1933,Roster!$B:$B,0))="","",INDEX(Roster!$D:$D,MATCH($C1933,Roster!$B:$B,0))&amp;""),"—"))</f>
        <v/>
      </c>
      <c r="G1933" s="25">
        <f>IF($C1933="","",IFERROR(IF(INDEX(Roster!$E:$E,MATCH($C1933,Roster!$B:$B,0))="","",INDEX(Roster!$E:$E,MATCH($C1933,Roster!$B:$B,0))&amp;""),"—"))</f>
        <v/>
      </c>
      <c r="H1933" s="25">
        <f>IF($C1933="","",IFERROR(IF(INDEX(Roster!$F:$F,MATCH($C1933,Roster!$B:$B,0))="","",INDEX(Roster!$F:$F,MATCH($C1933,Roster!$B:$B,0))&amp;""),"—"))</f>
        <v/>
      </c>
      <c r="I1933" s="25">
        <f>IF($C1933="","",IFERROR(IF(INDEX(Roster!$G:$G,MATCH($C1933,Roster!$B:$B,0))="","",INDEX(Roster!$G:$G,MATCH($C1933,Roster!$B:$B,0))&amp;""),"—"))</f>
        <v/>
      </c>
      <c r="J1933" s="25">
        <f>IF($C1933="","",IFERROR(IF(INDEX(Roster!$I:$I,MATCH($C1933,Roster!$B:$B,0))="","",INDEX(Roster!$I:$I,MATCH($C1933,Roster!$B:$B,0))&amp;""),"—"))</f>
        <v/>
      </c>
      <c r="K1933">
        <f>IF($C1933="","",IFERROR(IF(INDEX(Roster!$J:$J,MATCH($C1933,Roster!$B:$B,0))="","",INDEX(Roster!$J:$J,MATCH($C1933,Roster!$B:$B,0))&amp;""),"—"))</f>
        <v/>
      </c>
      <c r="L1933">
        <f>IF($C1933="","",IFERROR(IF(INDEX(Roster!$K:$K,MATCH($C1933,Roster!$B:$B,0))="","",INDEX(Roster!$K:$K,MATCH($C1933,Roster!$B:$B,0))&amp;""),"—"))</f>
        <v/>
      </c>
      <c r="M1933" s="27" t="n"/>
      <c r="N1933" s="27" t="n"/>
      <c r="O1933" s="25">
        <f>IF($C1933="","",IF($P1933="","—",IF($P1933="Valid (Pass)","Valid","Invalid")))</f>
        <v/>
      </c>
      <c r="P1933" s="27" t="n"/>
      <c r="Q1933" s="27" t="n"/>
      <c r="R1933" s="27" t="n"/>
      <c r="S1933" s="27" t="n"/>
      <c r="T1933" s="25">
        <f>IF($C1933="","",IF(OR(ISNUMBER(SEARCH("quick case",$P1933)),ISNUMBER(SEARCH("quick case",$Q1933))),"Yes","No"))</f>
        <v/>
      </c>
      <c r="U1933" s="25">
        <f>IF($O1933="Invalid",HYPERLINK("mailto:"&amp;$G1933&amp;";"&amp;$I1933&amp;"?cc="&amp;Lists!$E$2&amp;"&amp;subject="&amp;_xlfn.ENCODEURL("[INVALID] Quality audit monitoring completed for "&amp;UPPER($C1933))&amp;"&amp;body="&amp;_xlfn.ENCODEURL("Hi "&amp;$F1933&amp;","&amp;CHAR(10)&amp;"Good day!"&amp;CHAR(10)&amp;CHAR(10)&amp;"A quality monitoring audit has been completed for "&amp;$C1933&amp;"."&amp;CHAR(10)&amp;CHAR(10)&amp;"QUALITY AUDIT DETAILS"&amp;CHAR(10)&amp;"Agent Name: "&amp;$C1933&amp;" (EID "&amp;$D1933&amp;")"&amp;CHAR(10)&amp;"Audit Date: "&amp;TEXT($B1933,"yyyy-mm-dd")&amp;CHAR(10)&amp;"Team Leader: "&amp;$F1933&amp;CHAR(10)&amp;"Case Number: "&amp;$M1933&amp;CHAR(10)&amp;"Transaction ID: "&amp;$N1933&amp;CHAR(10)&amp;"Channel / LOB: "&amp;$K1933&amp;" / "&amp;$L1933&amp;CHAR(10)&amp;"Evaluator: "&amp;$S1933&amp;CHAR(10)&amp;CHAR(10)&amp;"INVALID QUALITY AUDIT DETAILS"&amp;CHAR(10)&amp;"Validation: Invalid"&amp;CHAR(10)&amp;"Invalid Reason: "&amp;$P1933&amp;CHAR(10)&amp;"Expected Resolution Code: "&amp;$Q1933&amp;CHAR(10)&amp;"Remarks: "&amp;LEFT($R1933,600)&amp;CHAR(10)&amp;CHAR(10)&amp;"This is an automated notification from HP Mainstream EQMS."),"✉ Open Email Draft"),"")</f>
        <v/>
      </c>
    </row>
    <row r="1934">
      <c r="A1934" s="25">
        <f>IF($C1934="","","AUD-2026-"&amp;TEXT(ROW()-1,"000000"))</f>
        <v/>
      </c>
      <c r="B1934" s="26" t="n"/>
      <c r="C1934" s="27" t="n"/>
      <c r="D1934" s="25">
        <f>IF($C1934="","",IFERROR(IF(INDEX(Roster!$A:$A,MATCH($C1934,Roster!$B:$B,0))="","",INDEX(Roster!$A:$A,MATCH($C1934,Roster!$B:$B,0))&amp;""),"—"))</f>
        <v/>
      </c>
      <c r="E1934" s="25">
        <f>IF($C1934="","",IFERROR(IF(INDEX(Roster!$C:$C,MATCH($C1934,Roster!$B:$B,0))="","",INDEX(Roster!$C:$C,MATCH($C1934,Roster!$B:$B,0))&amp;""),"—"))</f>
        <v/>
      </c>
      <c r="F1934" s="25">
        <f>IF($C1934="","",IFERROR(IF(INDEX(Roster!$D:$D,MATCH($C1934,Roster!$B:$B,0))="","",INDEX(Roster!$D:$D,MATCH($C1934,Roster!$B:$B,0))&amp;""),"—"))</f>
        <v/>
      </c>
      <c r="G1934" s="25">
        <f>IF($C1934="","",IFERROR(IF(INDEX(Roster!$E:$E,MATCH($C1934,Roster!$B:$B,0))="","",INDEX(Roster!$E:$E,MATCH($C1934,Roster!$B:$B,0))&amp;""),"—"))</f>
        <v/>
      </c>
      <c r="H1934" s="25">
        <f>IF($C1934="","",IFERROR(IF(INDEX(Roster!$F:$F,MATCH($C1934,Roster!$B:$B,0))="","",INDEX(Roster!$F:$F,MATCH($C1934,Roster!$B:$B,0))&amp;""),"—"))</f>
        <v/>
      </c>
      <c r="I1934" s="25">
        <f>IF($C1934="","",IFERROR(IF(INDEX(Roster!$G:$G,MATCH($C1934,Roster!$B:$B,0))="","",INDEX(Roster!$G:$G,MATCH($C1934,Roster!$B:$B,0))&amp;""),"—"))</f>
        <v/>
      </c>
      <c r="J1934" s="25">
        <f>IF($C1934="","",IFERROR(IF(INDEX(Roster!$I:$I,MATCH($C1934,Roster!$B:$B,0))="","",INDEX(Roster!$I:$I,MATCH($C1934,Roster!$B:$B,0))&amp;""),"—"))</f>
        <v/>
      </c>
      <c r="K1934">
        <f>IF($C1934="","",IFERROR(IF(INDEX(Roster!$J:$J,MATCH($C1934,Roster!$B:$B,0))="","",INDEX(Roster!$J:$J,MATCH($C1934,Roster!$B:$B,0))&amp;""),"—"))</f>
        <v/>
      </c>
      <c r="L1934">
        <f>IF($C1934="","",IFERROR(IF(INDEX(Roster!$K:$K,MATCH($C1934,Roster!$B:$B,0))="","",INDEX(Roster!$K:$K,MATCH($C1934,Roster!$B:$B,0))&amp;""),"—"))</f>
        <v/>
      </c>
      <c r="M1934" s="27" t="n"/>
      <c r="N1934" s="27" t="n"/>
      <c r="O1934" s="25">
        <f>IF($C1934="","",IF($P1934="","—",IF($P1934="Valid (Pass)","Valid","Invalid")))</f>
        <v/>
      </c>
      <c r="P1934" s="27" t="n"/>
      <c r="Q1934" s="27" t="n"/>
      <c r="R1934" s="27" t="n"/>
      <c r="S1934" s="27" t="n"/>
      <c r="T1934" s="25">
        <f>IF($C1934="","",IF(OR(ISNUMBER(SEARCH("quick case",$P1934)),ISNUMBER(SEARCH("quick case",$Q1934))),"Yes","No"))</f>
        <v/>
      </c>
      <c r="U1934" s="25">
        <f>IF($O1934="Invalid",HYPERLINK("mailto:"&amp;$G1934&amp;";"&amp;$I1934&amp;"?cc="&amp;Lists!$E$2&amp;"&amp;subject="&amp;_xlfn.ENCODEURL("[INVALID] Quality audit monitoring completed for "&amp;UPPER($C1934))&amp;"&amp;body="&amp;_xlfn.ENCODEURL("Hi "&amp;$F1934&amp;","&amp;CHAR(10)&amp;"Good day!"&amp;CHAR(10)&amp;CHAR(10)&amp;"A quality monitoring audit has been completed for "&amp;$C1934&amp;"."&amp;CHAR(10)&amp;CHAR(10)&amp;"QUALITY AUDIT DETAILS"&amp;CHAR(10)&amp;"Agent Name: "&amp;$C1934&amp;" (EID "&amp;$D1934&amp;")"&amp;CHAR(10)&amp;"Audit Date: "&amp;TEXT($B1934,"yyyy-mm-dd")&amp;CHAR(10)&amp;"Team Leader: "&amp;$F1934&amp;CHAR(10)&amp;"Case Number: "&amp;$M1934&amp;CHAR(10)&amp;"Transaction ID: "&amp;$N1934&amp;CHAR(10)&amp;"Channel / LOB: "&amp;$K1934&amp;" / "&amp;$L1934&amp;CHAR(10)&amp;"Evaluator: "&amp;$S1934&amp;CHAR(10)&amp;CHAR(10)&amp;"INVALID QUALITY AUDIT DETAILS"&amp;CHAR(10)&amp;"Validation: Invalid"&amp;CHAR(10)&amp;"Invalid Reason: "&amp;$P1934&amp;CHAR(10)&amp;"Expected Resolution Code: "&amp;$Q1934&amp;CHAR(10)&amp;"Remarks: "&amp;LEFT($R1934,600)&amp;CHAR(10)&amp;CHAR(10)&amp;"This is an automated notification from HP Mainstream EQMS."),"✉ Open Email Draft"),"")</f>
        <v/>
      </c>
    </row>
    <row r="1935">
      <c r="A1935" s="25">
        <f>IF($C1935="","","AUD-2026-"&amp;TEXT(ROW()-1,"000000"))</f>
        <v/>
      </c>
      <c r="B1935" s="26" t="n"/>
      <c r="C1935" s="27" t="n"/>
      <c r="D1935" s="25">
        <f>IF($C1935="","",IFERROR(IF(INDEX(Roster!$A:$A,MATCH($C1935,Roster!$B:$B,0))="","",INDEX(Roster!$A:$A,MATCH($C1935,Roster!$B:$B,0))&amp;""),"—"))</f>
        <v/>
      </c>
      <c r="E1935" s="25">
        <f>IF($C1935="","",IFERROR(IF(INDEX(Roster!$C:$C,MATCH($C1935,Roster!$B:$B,0))="","",INDEX(Roster!$C:$C,MATCH($C1935,Roster!$B:$B,0))&amp;""),"—"))</f>
        <v/>
      </c>
      <c r="F1935" s="25">
        <f>IF($C1935="","",IFERROR(IF(INDEX(Roster!$D:$D,MATCH($C1935,Roster!$B:$B,0))="","",INDEX(Roster!$D:$D,MATCH($C1935,Roster!$B:$B,0))&amp;""),"—"))</f>
        <v/>
      </c>
      <c r="G1935" s="25">
        <f>IF($C1935="","",IFERROR(IF(INDEX(Roster!$E:$E,MATCH($C1935,Roster!$B:$B,0))="","",INDEX(Roster!$E:$E,MATCH($C1935,Roster!$B:$B,0))&amp;""),"—"))</f>
        <v/>
      </c>
      <c r="H1935" s="25">
        <f>IF($C1935="","",IFERROR(IF(INDEX(Roster!$F:$F,MATCH($C1935,Roster!$B:$B,0))="","",INDEX(Roster!$F:$F,MATCH($C1935,Roster!$B:$B,0))&amp;""),"—"))</f>
        <v/>
      </c>
      <c r="I1935" s="25">
        <f>IF($C1935="","",IFERROR(IF(INDEX(Roster!$G:$G,MATCH($C1935,Roster!$B:$B,0))="","",INDEX(Roster!$G:$G,MATCH($C1935,Roster!$B:$B,0))&amp;""),"—"))</f>
        <v/>
      </c>
      <c r="J1935" s="25">
        <f>IF($C1935="","",IFERROR(IF(INDEX(Roster!$I:$I,MATCH($C1935,Roster!$B:$B,0))="","",INDEX(Roster!$I:$I,MATCH($C1935,Roster!$B:$B,0))&amp;""),"—"))</f>
        <v/>
      </c>
      <c r="K1935">
        <f>IF($C1935="","",IFERROR(IF(INDEX(Roster!$J:$J,MATCH($C1935,Roster!$B:$B,0))="","",INDEX(Roster!$J:$J,MATCH($C1935,Roster!$B:$B,0))&amp;""),"—"))</f>
        <v/>
      </c>
      <c r="L1935">
        <f>IF($C1935="","",IFERROR(IF(INDEX(Roster!$K:$K,MATCH($C1935,Roster!$B:$B,0))="","",INDEX(Roster!$K:$K,MATCH($C1935,Roster!$B:$B,0))&amp;""),"—"))</f>
        <v/>
      </c>
      <c r="M1935" s="27" t="n"/>
      <c r="N1935" s="27" t="n"/>
      <c r="O1935" s="25">
        <f>IF($C1935="","",IF($P1935="","—",IF($P1935="Valid (Pass)","Valid","Invalid")))</f>
        <v/>
      </c>
      <c r="P1935" s="27" t="n"/>
      <c r="Q1935" s="27" t="n"/>
      <c r="R1935" s="27" t="n"/>
      <c r="S1935" s="27" t="n"/>
      <c r="T1935" s="25">
        <f>IF($C1935="","",IF(OR(ISNUMBER(SEARCH("quick case",$P1935)),ISNUMBER(SEARCH("quick case",$Q1935))),"Yes","No"))</f>
        <v/>
      </c>
      <c r="U1935" s="25">
        <f>IF($O1935="Invalid",HYPERLINK("mailto:"&amp;$G1935&amp;";"&amp;$I1935&amp;"?cc="&amp;Lists!$E$2&amp;"&amp;subject="&amp;_xlfn.ENCODEURL("[INVALID] Quality audit monitoring completed for "&amp;UPPER($C1935))&amp;"&amp;body="&amp;_xlfn.ENCODEURL("Hi "&amp;$F1935&amp;","&amp;CHAR(10)&amp;"Good day!"&amp;CHAR(10)&amp;CHAR(10)&amp;"A quality monitoring audit has been completed for "&amp;$C1935&amp;"."&amp;CHAR(10)&amp;CHAR(10)&amp;"QUALITY AUDIT DETAILS"&amp;CHAR(10)&amp;"Agent Name: "&amp;$C1935&amp;" (EID "&amp;$D1935&amp;")"&amp;CHAR(10)&amp;"Audit Date: "&amp;TEXT($B1935,"yyyy-mm-dd")&amp;CHAR(10)&amp;"Team Leader: "&amp;$F1935&amp;CHAR(10)&amp;"Case Number: "&amp;$M1935&amp;CHAR(10)&amp;"Transaction ID: "&amp;$N1935&amp;CHAR(10)&amp;"Channel / LOB: "&amp;$K1935&amp;" / "&amp;$L1935&amp;CHAR(10)&amp;"Evaluator: "&amp;$S1935&amp;CHAR(10)&amp;CHAR(10)&amp;"INVALID QUALITY AUDIT DETAILS"&amp;CHAR(10)&amp;"Validation: Invalid"&amp;CHAR(10)&amp;"Invalid Reason: "&amp;$P1935&amp;CHAR(10)&amp;"Expected Resolution Code: "&amp;$Q1935&amp;CHAR(10)&amp;"Remarks: "&amp;LEFT($R1935,600)&amp;CHAR(10)&amp;CHAR(10)&amp;"This is an automated notification from HP Mainstream EQMS."),"✉ Open Email Draft"),"")</f>
        <v/>
      </c>
    </row>
    <row r="1936">
      <c r="A1936" s="25">
        <f>IF($C1936="","","AUD-2026-"&amp;TEXT(ROW()-1,"000000"))</f>
        <v/>
      </c>
      <c r="B1936" s="26" t="n"/>
      <c r="C1936" s="27" t="n"/>
      <c r="D1936" s="25">
        <f>IF($C1936="","",IFERROR(IF(INDEX(Roster!$A:$A,MATCH($C1936,Roster!$B:$B,0))="","",INDEX(Roster!$A:$A,MATCH($C1936,Roster!$B:$B,0))&amp;""),"—"))</f>
        <v/>
      </c>
      <c r="E1936" s="25">
        <f>IF($C1936="","",IFERROR(IF(INDEX(Roster!$C:$C,MATCH($C1936,Roster!$B:$B,0))="","",INDEX(Roster!$C:$C,MATCH($C1936,Roster!$B:$B,0))&amp;""),"—"))</f>
        <v/>
      </c>
      <c r="F1936" s="25">
        <f>IF($C1936="","",IFERROR(IF(INDEX(Roster!$D:$D,MATCH($C1936,Roster!$B:$B,0))="","",INDEX(Roster!$D:$D,MATCH($C1936,Roster!$B:$B,0))&amp;""),"—"))</f>
        <v/>
      </c>
      <c r="G1936" s="25">
        <f>IF($C1936="","",IFERROR(IF(INDEX(Roster!$E:$E,MATCH($C1936,Roster!$B:$B,0))="","",INDEX(Roster!$E:$E,MATCH($C1936,Roster!$B:$B,0))&amp;""),"—"))</f>
        <v/>
      </c>
      <c r="H1936" s="25">
        <f>IF($C1936="","",IFERROR(IF(INDEX(Roster!$F:$F,MATCH($C1936,Roster!$B:$B,0))="","",INDEX(Roster!$F:$F,MATCH($C1936,Roster!$B:$B,0))&amp;""),"—"))</f>
        <v/>
      </c>
      <c r="I1936" s="25">
        <f>IF($C1936="","",IFERROR(IF(INDEX(Roster!$G:$G,MATCH($C1936,Roster!$B:$B,0))="","",INDEX(Roster!$G:$G,MATCH($C1936,Roster!$B:$B,0))&amp;""),"—"))</f>
        <v/>
      </c>
      <c r="J1936" s="25">
        <f>IF($C1936="","",IFERROR(IF(INDEX(Roster!$I:$I,MATCH($C1936,Roster!$B:$B,0))="","",INDEX(Roster!$I:$I,MATCH($C1936,Roster!$B:$B,0))&amp;""),"—"))</f>
        <v/>
      </c>
      <c r="K1936">
        <f>IF($C1936="","",IFERROR(IF(INDEX(Roster!$J:$J,MATCH($C1936,Roster!$B:$B,0))="","",INDEX(Roster!$J:$J,MATCH($C1936,Roster!$B:$B,0))&amp;""),"—"))</f>
        <v/>
      </c>
      <c r="L1936">
        <f>IF($C1936="","",IFERROR(IF(INDEX(Roster!$K:$K,MATCH($C1936,Roster!$B:$B,0))="","",INDEX(Roster!$K:$K,MATCH($C1936,Roster!$B:$B,0))&amp;""),"—"))</f>
        <v/>
      </c>
      <c r="M1936" s="27" t="n"/>
      <c r="N1936" s="27" t="n"/>
      <c r="O1936" s="25">
        <f>IF($C1936="","",IF($P1936="","—",IF($P1936="Valid (Pass)","Valid","Invalid")))</f>
        <v/>
      </c>
      <c r="P1936" s="27" t="n"/>
      <c r="Q1936" s="27" t="n"/>
      <c r="R1936" s="27" t="n"/>
      <c r="S1936" s="27" t="n"/>
      <c r="T1936" s="25">
        <f>IF($C1936="","",IF(OR(ISNUMBER(SEARCH("quick case",$P1936)),ISNUMBER(SEARCH("quick case",$Q1936))),"Yes","No"))</f>
        <v/>
      </c>
      <c r="U1936" s="25">
        <f>IF($O1936="Invalid",HYPERLINK("mailto:"&amp;$G1936&amp;";"&amp;$I1936&amp;"?cc="&amp;Lists!$E$2&amp;"&amp;subject="&amp;_xlfn.ENCODEURL("[INVALID] Quality audit monitoring completed for "&amp;UPPER($C1936))&amp;"&amp;body="&amp;_xlfn.ENCODEURL("Hi "&amp;$F1936&amp;","&amp;CHAR(10)&amp;"Good day!"&amp;CHAR(10)&amp;CHAR(10)&amp;"A quality monitoring audit has been completed for "&amp;$C1936&amp;"."&amp;CHAR(10)&amp;CHAR(10)&amp;"QUALITY AUDIT DETAILS"&amp;CHAR(10)&amp;"Agent Name: "&amp;$C1936&amp;" (EID "&amp;$D1936&amp;")"&amp;CHAR(10)&amp;"Audit Date: "&amp;TEXT($B1936,"yyyy-mm-dd")&amp;CHAR(10)&amp;"Team Leader: "&amp;$F1936&amp;CHAR(10)&amp;"Case Number: "&amp;$M1936&amp;CHAR(10)&amp;"Transaction ID: "&amp;$N1936&amp;CHAR(10)&amp;"Channel / LOB: "&amp;$K1936&amp;" / "&amp;$L1936&amp;CHAR(10)&amp;"Evaluator: "&amp;$S1936&amp;CHAR(10)&amp;CHAR(10)&amp;"INVALID QUALITY AUDIT DETAILS"&amp;CHAR(10)&amp;"Validation: Invalid"&amp;CHAR(10)&amp;"Invalid Reason: "&amp;$P1936&amp;CHAR(10)&amp;"Expected Resolution Code: "&amp;$Q1936&amp;CHAR(10)&amp;"Remarks: "&amp;LEFT($R1936,600)&amp;CHAR(10)&amp;CHAR(10)&amp;"This is an automated notification from HP Mainstream EQMS."),"✉ Open Email Draft"),"")</f>
        <v/>
      </c>
    </row>
    <row r="1937">
      <c r="A1937" s="25">
        <f>IF($C1937="","","AUD-2026-"&amp;TEXT(ROW()-1,"000000"))</f>
        <v/>
      </c>
      <c r="B1937" s="26" t="n"/>
      <c r="C1937" s="27" t="n"/>
      <c r="D1937" s="25">
        <f>IF($C1937="","",IFERROR(IF(INDEX(Roster!$A:$A,MATCH($C1937,Roster!$B:$B,0))="","",INDEX(Roster!$A:$A,MATCH($C1937,Roster!$B:$B,0))&amp;""),"—"))</f>
        <v/>
      </c>
      <c r="E1937" s="25">
        <f>IF($C1937="","",IFERROR(IF(INDEX(Roster!$C:$C,MATCH($C1937,Roster!$B:$B,0))="","",INDEX(Roster!$C:$C,MATCH($C1937,Roster!$B:$B,0))&amp;""),"—"))</f>
        <v/>
      </c>
      <c r="F1937" s="25">
        <f>IF($C1937="","",IFERROR(IF(INDEX(Roster!$D:$D,MATCH($C1937,Roster!$B:$B,0))="","",INDEX(Roster!$D:$D,MATCH($C1937,Roster!$B:$B,0))&amp;""),"—"))</f>
        <v/>
      </c>
      <c r="G1937" s="25">
        <f>IF($C1937="","",IFERROR(IF(INDEX(Roster!$E:$E,MATCH($C1937,Roster!$B:$B,0))="","",INDEX(Roster!$E:$E,MATCH($C1937,Roster!$B:$B,0))&amp;""),"—"))</f>
        <v/>
      </c>
      <c r="H1937" s="25">
        <f>IF($C1937="","",IFERROR(IF(INDEX(Roster!$F:$F,MATCH($C1937,Roster!$B:$B,0))="","",INDEX(Roster!$F:$F,MATCH($C1937,Roster!$B:$B,0))&amp;""),"—"))</f>
        <v/>
      </c>
      <c r="I1937" s="25">
        <f>IF($C1937="","",IFERROR(IF(INDEX(Roster!$G:$G,MATCH($C1937,Roster!$B:$B,0))="","",INDEX(Roster!$G:$G,MATCH($C1937,Roster!$B:$B,0))&amp;""),"—"))</f>
        <v/>
      </c>
      <c r="J1937" s="25">
        <f>IF($C1937="","",IFERROR(IF(INDEX(Roster!$I:$I,MATCH($C1937,Roster!$B:$B,0))="","",INDEX(Roster!$I:$I,MATCH($C1937,Roster!$B:$B,0))&amp;""),"—"))</f>
        <v/>
      </c>
      <c r="K1937">
        <f>IF($C1937="","",IFERROR(IF(INDEX(Roster!$J:$J,MATCH($C1937,Roster!$B:$B,0))="","",INDEX(Roster!$J:$J,MATCH($C1937,Roster!$B:$B,0))&amp;""),"—"))</f>
        <v/>
      </c>
      <c r="L1937">
        <f>IF($C1937="","",IFERROR(IF(INDEX(Roster!$K:$K,MATCH($C1937,Roster!$B:$B,0))="","",INDEX(Roster!$K:$K,MATCH($C1937,Roster!$B:$B,0))&amp;""),"—"))</f>
        <v/>
      </c>
      <c r="M1937" s="27" t="n"/>
      <c r="N1937" s="27" t="n"/>
      <c r="O1937" s="25">
        <f>IF($C1937="","",IF($P1937="","—",IF($P1937="Valid (Pass)","Valid","Invalid")))</f>
        <v/>
      </c>
      <c r="P1937" s="27" t="n"/>
      <c r="Q1937" s="27" t="n"/>
      <c r="R1937" s="27" t="n"/>
      <c r="S1937" s="27" t="n"/>
      <c r="T1937" s="25">
        <f>IF($C1937="","",IF(OR(ISNUMBER(SEARCH("quick case",$P1937)),ISNUMBER(SEARCH("quick case",$Q1937))),"Yes","No"))</f>
        <v/>
      </c>
      <c r="U1937" s="25">
        <f>IF($O1937="Invalid",HYPERLINK("mailto:"&amp;$G1937&amp;";"&amp;$I1937&amp;"?cc="&amp;Lists!$E$2&amp;"&amp;subject="&amp;_xlfn.ENCODEURL("[INVALID] Quality audit monitoring completed for "&amp;UPPER($C1937))&amp;"&amp;body="&amp;_xlfn.ENCODEURL("Hi "&amp;$F1937&amp;","&amp;CHAR(10)&amp;"Good day!"&amp;CHAR(10)&amp;CHAR(10)&amp;"A quality monitoring audit has been completed for "&amp;$C1937&amp;"."&amp;CHAR(10)&amp;CHAR(10)&amp;"QUALITY AUDIT DETAILS"&amp;CHAR(10)&amp;"Agent Name: "&amp;$C1937&amp;" (EID "&amp;$D1937&amp;")"&amp;CHAR(10)&amp;"Audit Date: "&amp;TEXT($B1937,"yyyy-mm-dd")&amp;CHAR(10)&amp;"Team Leader: "&amp;$F1937&amp;CHAR(10)&amp;"Case Number: "&amp;$M1937&amp;CHAR(10)&amp;"Transaction ID: "&amp;$N1937&amp;CHAR(10)&amp;"Channel / LOB: "&amp;$K1937&amp;" / "&amp;$L1937&amp;CHAR(10)&amp;"Evaluator: "&amp;$S1937&amp;CHAR(10)&amp;CHAR(10)&amp;"INVALID QUALITY AUDIT DETAILS"&amp;CHAR(10)&amp;"Validation: Invalid"&amp;CHAR(10)&amp;"Invalid Reason: "&amp;$P1937&amp;CHAR(10)&amp;"Expected Resolution Code: "&amp;$Q1937&amp;CHAR(10)&amp;"Remarks: "&amp;LEFT($R1937,600)&amp;CHAR(10)&amp;CHAR(10)&amp;"This is an automated notification from HP Mainstream EQMS."),"✉ Open Email Draft"),"")</f>
        <v/>
      </c>
    </row>
    <row r="1938">
      <c r="A1938" s="25">
        <f>IF($C1938="","","AUD-2026-"&amp;TEXT(ROW()-1,"000000"))</f>
        <v/>
      </c>
      <c r="B1938" s="26" t="n"/>
      <c r="C1938" s="27" t="n"/>
      <c r="D1938" s="25">
        <f>IF($C1938="","",IFERROR(IF(INDEX(Roster!$A:$A,MATCH($C1938,Roster!$B:$B,0))="","",INDEX(Roster!$A:$A,MATCH($C1938,Roster!$B:$B,0))&amp;""),"—"))</f>
        <v/>
      </c>
      <c r="E1938" s="25">
        <f>IF($C1938="","",IFERROR(IF(INDEX(Roster!$C:$C,MATCH($C1938,Roster!$B:$B,0))="","",INDEX(Roster!$C:$C,MATCH($C1938,Roster!$B:$B,0))&amp;""),"—"))</f>
        <v/>
      </c>
      <c r="F1938" s="25">
        <f>IF($C1938="","",IFERROR(IF(INDEX(Roster!$D:$D,MATCH($C1938,Roster!$B:$B,0))="","",INDEX(Roster!$D:$D,MATCH($C1938,Roster!$B:$B,0))&amp;""),"—"))</f>
        <v/>
      </c>
      <c r="G1938" s="25">
        <f>IF($C1938="","",IFERROR(IF(INDEX(Roster!$E:$E,MATCH($C1938,Roster!$B:$B,0))="","",INDEX(Roster!$E:$E,MATCH($C1938,Roster!$B:$B,0))&amp;""),"—"))</f>
        <v/>
      </c>
      <c r="H1938" s="25">
        <f>IF($C1938="","",IFERROR(IF(INDEX(Roster!$F:$F,MATCH($C1938,Roster!$B:$B,0))="","",INDEX(Roster!$F:$F,MATCH($C1938,Roster!$B:$B,0))&amp;""),"—"))</f>
        <v/>
      </c>
      <c r="I1938" s="25">
        <f>IF($C1938="","",IFERROR(IF(INDEX(Roster!$G:$G,MATCH($C1938,Roster!$B:$B,0))="","",INDEX(Roster!$G:$G,MATCH($C1938,Roster!$B:$B,0))&amp;""),"—"))</f>
        <v/>
      </c>
      <c r="J1938" s="25">
        <f>IF($C1938="","",IFERROR(IF(INDEX(Roster!$I:$I,MATCH($C1938,Roster!$B:$B,0))="","",INDEX(Roster!$I:$I,MATCH($C1938,Roster!$B:$B,0))&amp;""),"—"))</f>
        <v/>
      </c>
      <c r="K1938">
        <f>IF($C1938="","",IFERROR(IF(INDEX(Roster!$J:$J,MATCH($C1938,Roster!$B:$B,0))="","",INDEX(Roster!$J:$J,MATCH($C1938,Roster!$B:$B,0))&amp;""),"—"))</f>
        <v/>
      </c>
      <c r="L1938">
        <f>IF($C1938="","",IFERROR(IF(INDEX(Roster!$K:$K,MATCH($C1938,Roster!$B:$B,0))="","",INDEX(Roster!$K:$K,MATCH($C1938,Roster!$B:$B,0))&amp;""),"—"))</f>
        <v/>
      </c>
      <c r="M1938" s="27" t="n"/>
      <c r="N1938" s="27" t="n"/>
      <c r="O1938" s="25">
        <f>IF($C1938="","",IF($P1938="","—",IF($P1938="Valid (Pass)","Valid","Invalid")))</f>
        <v/>
      </c>
      <c r="P1938" s="27" t="n"/>
      <c r="Q1938" s="27" t="n"/>
      <c r="R1938" s="27" t="n"/>
      <c r="S1938" s="27" t="n"/>
      <c r="T1938" s="25">
        <f>IF($C1938="","",IF(OR(ISNUMBER(SEARCH("quick case",$P1938)),ISNUMBER(SEARCH("quick case",$Q1938))),"Yes","No"))</f>
        <v/>
      </c>
      <c r="U1938" s="25">
        <f>IF($O1938="Invalid",HYPERLINK("mailto:"&amp;$G1938&amp;";"&amp;$I1938&amp;"?cc="&amp;Lists!$E$2&amp;"&amp;subject="&amp;_xlfn.ENCODEURL("[INVALID] Quality audit monitoring completed for "&amp;UPPER($C1938))&amp;"&amp;body="&amp;_xlfn.ENCODEURL("Hi "&amp;$F1938&amp;","&amp;CHAR(10)&amp;"Good day!"&amp;CHAR(10)&amp;CHAR(10)&amp;"A quality monitoring audit has been completed for "&amp;$C1938&amp;"."&amp;CHAR(10)&amp;CHAR(10)&amp;"QUALITY AUDIT DETAILS"&amp;CHAR(10)&amp;"Agent Name: "&amp;$C1938&amp;" (EID "&amp;$D1938&amp;")"&amp;CHAR(10)&amp;"Audit Date: "&amp;TEXT($B1938,"yyyy-mm-dd")&amp;CHAR(10)&amp;"Team Leader: "&amp;$F1938&amp;CHAR(10)&amp;"Case Number: "&amp;$M1938&amp;CHAR(10)&amp;"Transaction ID: "&amp;$N1938&amp;CHAR(10)&amp;"Channel / LOB: "&amp;$K1938&amp;" / "&amp;$L1938&amp;CHAR(10)&amp;"Evaluator: "&amp;$S1938&amp;CHAR(10)&amp;CHAR(10)&amp;"INVALID QUALITY AUDIT DETAILS"&amp;CHAR(10)&amp;"Validation: Invalid"&amp;CHAR(10)&amp;"Invalid Reason: "&amp;$P1938&amp;CHAR(10)&amp;"Expected Resolution Code: "&amp;$Q1938&amp;CHAR(10)&amp;"Remarks: "&amp;LEFT($R1938,600)&amp;CHAR(10)&amp;CHAR(10)&amp;"This is an automated notification from HP Mainstream EQMS."),"✉ Open Email Draft"),"")</f>
        <v/>
      </c>
    </row>
    <row r="1939">
      <c r="A1939" s="25">
        <f>IF($C1939="","","AUD-2026-"&amp;TEXT(ROW()-1,"000000"))</f>
        <v/>
      </c>
      <c r="B1939" s="26" t="n"/>
      <c r="C1939" s="27" t="n"/>
      <c r="D1939" s="25">
        <f>IF($C1939="","",IFERROR(IF(INDEX(Roster!$A:$A,MATCH($C1939,Roster!$B:$B,0))="","",INDEX(Roster!$A:$A,MATCH($C1939,Roster!$B:$B,0))&amp;""),"—"))</f>
        <v/>
      </c>
      <c r="E1939" s="25">
        <f>IF($C1939="","",IFERROR(IF(INDEX(Roster!$C:$C,MATCH($C1939,Roster!$B:$B,0))="","",INDEX(Roster!$C:$C,MATCH($C1939,Roster!$B:$B,0))&amp;""),"—"))</f>
        <v/>
      </c>
      <c r="F1939" s="25">
        <f>IF($C1939="","",IFERROR(IF(INDEX(Roster!$D:$D,MATCH($C1939,Roster!$B:$B,0))="","",INDEX(Roster!$D:$D,MATCH($C1939,Roster!$B:$B,0))&amp;""),"—"))</f>
        <v/>
      </c>
      <c r="G1939" s="25">
        <f>IF($C1939="","",IFERROR(IF(INDEX(Roster!$E:$E,MATCH($C1939,Roster!$B:$B,0))="","",INDEX(Roster!$E:$E,MATCH($C1939,Roster!$B:$B,0))&amp;""),"—"))</f>
        <v/>
      </c>
      <c r="H1939" s="25">
        <f>IF($C1939="","",IFERROR(IF(INDEX(Roster!$F:$F,MATCH($C1939,Roster!$B:$B,0))="","",INDEX(Roster!$F:$F,MATCH($C1939,Roster!$B:$B,0))&amp;""),"—"))</f>
        <v/>
      </c>
      <c r="I1939" s="25">
        <f>IF($C1939="","",IFERROR(IF(INDEX(Roster!$G:$G,MATCH($C1939,Roster!$B:$B,0))="","",INDEX(Roster!$G:$G,MATCH($C1939,Roster!$B:$B,0))&amp;""),"—"))</f>
        <v/>
      </c>
      <c r="J1939" s="25">
        <f>IF($C1939="","",IFERROR(IF(INDEX(Roster!$I:$I,MATCH($C1939,Roster!$B:$B,0))="","",INDEX(Roster!$I:$I,MATCH($C1939,Roster!$B:$B,0))&amp;""),"—"))</f>
        <v/>
      </c>
      <c r="K1939">
        <f>IF($C1939="","",IFERROR(IF(INDEX(Roster!$J:$J,MATCH($C1939,Roster!$B:$B,0))="","",INDEX(Roster!$J:$J,MATCH($C1939,Roster!$B:$B,0))&amp;""),"—"))</f>
        <v/>
      </c>
      <c r="L1939">
        <f>IF($C1939="","",IFERROR(IF(INDEX(Roster!$K:$K,MATCH($C1939,Roster!$B:$B,0))="","",INDEX(Roster!$K:$K,MATCH($C1939,Roster!$B:$B,0))&amp;""),"—"))</f>
        <v/>
      </c>
      <c r="M1939" s="27" t="n"/>
      <c r="N1939" s="27" t="n"/>
      <c r="O1939" s="25">
        <f>IF($C1939="","",IF($P1939="","—",IF($P1939="Valid (Pass)","Valid","Invalid")))</f>
        <v/>
      </c>
      <c r="P1939" s="27" t="n"/>
      <c r="Q1939" s="27" t="n"/>
      <c r="R1939" s="27" t="n"/>
      <c r="S1939" s="27" t="n"/>
      <c r="T1939" s="25">
        <f>IF($C1939="","",IF(OR(ISNUMBER(SEARCH("quick case",$P1939)),ISNUMBER(SEARCH("quick case",$Q1939))),"Yes","No"))</f>
        <v/>
      </c>
      <c r="U1939" s="25">
        <f>IF($O1939="Invalid",HYPERLINK("mailto:"&amp;$G1939&amp;";"&amp;$I1939&amp;"?cc="&amp;Lists!$E$2&amp;"&amp;subject="&amp;_xlfn.ENCODEURL("[INVALID] Quality audit monitoring completed for "&amp;UPPER($C1939))&amp;"&amp;body="&amp;_xlfn.ENCODEURL("Hi "&amp;$F1939&amp;","&amp;CHAR(10)&amp;"Good day!"&amp;CHAR(10)&amp;CHAR(10)&amp;"A quality monitoring audit has been completed for "&amp;$C1939&amp;"."&amp;CHAR(10)&amp;CHAR(10)&amp;"QUALITY AUDIT DETAILS"&amp;CHAR(10)&amp;"Agent Name: "&amp;$C1939&amp;" (EID "&amp;$D1939&amp;")"&amp;CHAR(10)&amp;"Audit Date: "&amp;TEXT($B1939,"yyyy-mm-dd")&amp;CHAR(10)&amp;"Team Leader: "&amp;$F1939&amp;CHAR(10)&amp;"Case Number: "&amp;$M1939&amp;CHAR(10)&amp;"Transaction ID: "&amp;$N1939&amp;CHAR(10)&amp;"Channel / LOB: "&amp;$K1939&amp;" / "&amp;$L1939&amp;CHAR(10)&amp;"Evaluator: "&amp;$S1939&amp;CHAR(10)&amp;CHAR(10)&amp;"INVALID QUALITY AUDIT DETAILS"&amp;CHAR(10)&amp;"Validation: Invalid"&amp;CHAR(10)&amp;"Invalid Reason: "&amp;$P1939&amp;CHAR(10)&amp;"Expected Resolution Code: "&amp;$Q1939&amp;CHAR(10)&amp;"Remarks: "&amp;LEFT($R1939,600)&amp;CHAR(10)&amp;CHAR(10)&amp;"This is an automated notification from HP Mainstream EQMS."),"✉ Open Email Draft"),"")</f>
        <v/>
      </c>
    </row>
    <row r="1940">
      <c r="A1940" s="25">
        <f>IF($C1940="","","AUD-2026-"&amp;TEXT(ROW()-1,"000000"))</f>
        <v/>
      </c>
      <c r="B1940" s="26" t="n"/>
      <c r="C1940" s="27" t="n"/>
      <c r="D1940" s="25">
        <f>IF($C1940="","",IFERROR(IF(INDEX(Roster!$A:$A,MATCH($C1940,Roster!$B:$B,0))="","",INDEX(Roster!$A:$A,MATCH($C1940,Roster!$B:$B,0))&amp;""),"—"))</f>
        <v/>
      </c>
      <c r="E1940" s="25">
        <f>IF($C1940="","",IFERROR(IF(INDEX(Roster!$C:$C,MATCH($C1940,Roster!$B:$B,0))="","",INDEX(Roster!$C:$C,MATCH($C1940,Roster!$B:$B,0))&amp;""),"—"))</f>
        <v/>
      </c>
      <c r="F1940" s="25">
        <f>IF($C1940="","",IFERROR(IF(INDEX(Roster!$D:$D,MATCH($C1940,Roster!$B:$B,0))="","",INDEX(Roster!$D:$D,MATCH($C1940,Roster!$B:$B,0))&amp;""),"—"))</f>
        <v/>
      </c>
      <c r="G1940" s="25">
        <f>IF($C1940="","",IFERROR(IF(INDEX(Roster!$E:$E,MATCH($C1940,Roster!$B:$B,0))="","",INDEX(Roster!$E:$E,MATCH($C1940,Roster!$B:$B,0))&amp;""),"—"))</f>
        <v/>
      </c>
      <c r="H1940" s="25">
        <f>IF($C1940="","",IFERROR(IF(INDEX(Roster!$F:$F,MATCH($C1940,Roster!$B:$B,0))="","",INDEX(Roster!$F:$F,MATCH($C1940,Roster!$B:$B,0))&amp;""),"—"))</f>
        <v/>
      </c>
      <c r="I1940" s="25">
        <f>IF($C1940="","",IFERROR(IF(INDEX(Roster!$G:$G,MATCH($C1940,Roster!$B:$B,0))="","",INDEX(Roster!$G:$G,MATCH($C1940,Roster!$B:$B,0))&amp;""),"—"))</f>
        <v/>
      </c>
      <c r="J1940" s="25">
        <f>IF($C1940="","",IFERROR(IF(INDEX(Roster!$I:$I,MATCH($C1940,Roster!$B:$B,0))="","",INDEX(Roster!$I:$I,MATCH($C1940,Roster!$B:$B,0))&amp;""),"—"))</f>
        <v/>
      </c>
      <c r="K1940">
        <f>IF($C1940="","",IFERROR(IF(INDEX(Roster!$J:$J,MATCH($C1940,Roster!$B:$B,0))="","",INDEX(Roster!$J:$J,MATCH($C1940,Roster!$B:$B,0))&amp;""),"—"))</f>
        <v/>
      </c>
      <c r="L1940">
        <f>IF($C1940="","",IFERROR(IF(INDEX(Roster!$K:$K,MATCH($C1940,Roster!$B:$B,0))="","",INDEX(Roster!$K:$K,MATCH($C1940,Roster!$B:$B,0))&amp;""),"—"))</f>
        <v/>
      </c>
      <c r="M1940" s="27" t="n"/>
      <c r="N1940" s="27" t="n"/>
      <c r="O1940" s="25">
        <f>IF($C1940="","",IF($P1940="","—",IF($P1940="Valid (Pass)","Valid","Invalid")))</f>
        <v/>
      </c>
      <c r="P1940" s="27" t="n"/>
      <c r="Q1940" s="27" t="n"/>
      <c r="R1940" s="27" t="n"/>
      <c r="S1940" s="27" t="n"/>
      <c r="T1940" s="25">
        <f>IF($C1940="","",IF(OR(ISNUMBER(SEARCH("quick case",$P1940)),ISNUMBER(SEARCH("quick case",$Q1940))),"Yes","No"))</f>
        <v/>
      </c>
      <c r="U1940" s="25">
        <f>IF($O1940="Invalid",HYPERLINK("mailto:"&amp;$G1940&amp;";"&amp;$I1940&amp;"?cc="&amp;Lists!$E$2&amp;"&amp;subject="&amp;_xlfn.ENCODEURL("[INVALID] Quality audit monitoring completed for "&amp;UPPER($C1940))&amp;"&amp;body="&amp;_xlfn.ENCODEURL("Hi "&amp;$F1940&amp;","&amp;CHAR(10)&amp;"Good day!"&amp;CHAR(10)&amp;CHAR(10)&amp;"A quality monitoring audit has been completed for "&amp;$C1940&amp;"."&amp;CHAR(10)&amp;CHAR(10)&amp;"QUALITY AUDIT DETAILS"&amp;CHAR(10)&amp;"Agent Name: "&amp;$C1940&amp;" (EID "&amp;$D1940&amp;")"&amp;CHAR(10)&amp;"Audit Date: "&amp;TEXT($B1940,"yyyy-mm-dd")&amp;CHAR(10)&amp;"Team Leader: "&amp;$F1940&amp;CHAR(10)&amp;"Case Number: "&amp;$M1940&amp;CHAR(10)&amp;"Transaction ID: "&amp;$N1940&amp;CHAR(10)&amp;"Channel / LOB: "&amp;$K1940&amp;" / "&amp;$L1940&amp;CHAR(10)&amp;"Evaluator: "&amp;$S1940&amp;CHAR(10)&amp;CHAR(10)&amp;"INVALID QUALITY AUDIT DETAILS"&amp;CHAR(10)&amp;"Validation: Invalid"&amp;CHAR(10)&amp;"Invalid Reason: "&amp;$P1940&amp;CHAR(10)&amp;"Expected Resolution Code: "&amp;$Q1940&amp;CHAR(10)&amp;"Remarks: "&amp;LEFT($R1940,600)&amp;CHAR(10)&amp;CHAR(10)&amp;"This is an automated notification from HP Mainstream EQMS."),"✉ Open Email Draft"),"")</f>
        <v/>
      </c>
    </row>
    <row r="1941">
      <c r="A1941" s="25">
        <f>IF($C1941="","","AUD-2026-"&amp;TEXT(ROW()-1,"000000"))</f>
        <v/>
      </c>
      <c r="B1941" s="26" t="n"/>
      <c r="C1941" s="27" t="n"/>
      <c r="D1941" s="25">
        <f>IF($C1941="","",IFERROR(IF(INDEX(Roster!$A:$A,MATCH($C1941,Roster!$B:$B,0))="","",INDEX(Roster!$A:$A,MATCH($C1941,Roster!$B:$B,0))&amp;""),"—"))</f>
        <v/>
      </c>
      <c r="E1941" s="25">
        <f>IF($C1941="","",IFERROR(IF(INDEX(Roster!$C:$C,MATCH($C1941,Roster!$B:$B,0))="","",INDEX(Roster!$C:$C,MATCH($C1941,Roster!$B:$B,0))&amp;""),"—"))</f>
        <v/>
      </c>
      <c r="F1941" s="25">
        <f>IF($C1941="","",IFERROR(IF(INDEX(Roster!$D:$D,MATCH($C1941,Roster!$B:$B,0))="","",INDEX(Roster!$D:$D,MATCH($C1941,Roster!$B:$B,0))&amp;""),"—"))</f>
        <v/>
      </c>
      <c r="G1941" s="25">
        <f>IF($C1941="","",IFERROR(IF(INDEX(Roster!$E:$E,MATCH($C1941,Roster!$B:$B,0))="","",INDEX(Roster!$E:$E,MATCH($C1941,Roster!$B:$B,0))&amp;""),"—"))</f>
        <v/>
      </c>
      <c r="H1941" s="25">
        <f>IF($C1941="","",IFERROR(IF(INDEX(Roster!$F:$F,MATCH($C1941,Roster!$B:$B,0))="","",INDEX(Roster!$F:$F,MATCH($C1941,Roster!$B:$B,0))&amp;""),"—"))</f>
        <v/>
      </c>
      <c r="I1941" s="25">
        <f>IF($C1941="","",IFERROR(IF(INDEX(Roster!$G:$G,MATCH($C1941,Roster!$B:$B,0))="","",INDEX(Roster!$G:$G,MATCH($C1941,Roster!$B:$B,0))&amp;""),"—"))</f>
        <v/>
      </c>
      <c r="J1941" s="25">
        <f>IF($C1941="","",IFERROR(IF(INDEX(Roster!$I:$I,MATCH($C1941,Roster!$B:$B,0))="","",INDEX(Roster!$I:$I,MATCH($C1941,Roster!$B:$B,0))&amp;""),"—"))</f>
        <v/>
      </c>
      <c r="K1941">
        <f>IF($C1941="","",IFERROR(IF(INDEX(Roster!$J:$J,MATCH($C1941,Roster!$B:$B,0))="","",INDEX(Roster!$J:$J,MATCH($C1941,Roster!$B:$B,0))&amp;""),"—"))</f>
        <v/>
      </c>
      <c r="L1941">
        <f>IF($C1941="","",IFERROR(IF(INDEX(Roster!$K:$K,MATCH($C1941,Roster!$B:$B,0))="","",INDEX(Roster!$K:$K,MATCH($C1941,Roster!$B:$B,0))&amp;""),"—"))</f>
        <v/>
      </c>
      <c r="M1941" s="27" t="n"/>
      <c r="N1941" s="27" t="n"/>
      <c r="O1941" s="25">
        <f>IF($C1941="","",IF($P1941="","—",IF($P1941="Valid (Pass)","Valid","Invalid")))</f>
        <v/>
      </c>
      <c r="P1941" s="27" t="n"/>
      <c r="Q1941" s="27" t="n"/>
      <c r="R1941" s="27" t="n"/>
      <c r="S1941" s="27" t="n"/>
      <c r="T1941" s="25">
        <f>IF($C1941="","",IF(OR(ISNUMBER(SEARCH("quick case",$P1941)),ISNUMBER(SEARCH("quick case",$Q1941))),"Yes","No"))</f>
        <v/>
      </c>
      <c r="U1941" s="25">
        <f>IF($O1941="Invalid",HYPERLINK("mailto:"&amp;$G1941&amp;";"&amp;$I1941&amp;"?cc="&amp;Lists!$E$2&amp;"&amp;subject="&amp;_xlfn.ENCODEURL("[INVALID] Quality audit monitoring completed for "&amp;UPPER($C1941))&amp;"&amp;body="&amp;_xlfn.ENCODEURL("Hi "&amp;$F1941&amp;","&amp;CHAR(10)&amp;"Good day!"&amp;CHAR(10)&amp;CHAR(10)&amp;"A quality monitoring audit has been completed for "&amp;$C1941&amp;"."&amp;CHAR(10)&amp;CHAR(10)&amp;"QUALITY AUDIT DETAILS"&amp;CHAR(10)&amp;"Agent Name: "&amp;$C1941&amp;" (EID "&amp;$D1941&amp;")"&amp;CHAR(10)&amp;"Audit Date: "&amp;TEXT($B1941,"yyyy-mm-dd")&amp;CHAR(10)&amp;"Team Leader: "&amp;$F1941&amp;CHAR(10)&amp;"Case Number: "&amp;$M1941&amp;CHAR(10)&amp;"Transaction ID: "&amp;$N1941&amp;CHAR(10)&amp;"Channel / LOB: "&amp;$K1941&amp;" / "&amp;$L1941&amp;CHAR(10)&amp;"Evaluator: "&amp;$S1941&amp;CHAR(10)&amp;CHAR(10)&amp;"INVALID QUALITY AUDIT DETAILS"&amp;CHAR(10)&amp;"Validation: Invalid"&amp;CHAR(10)&amp;"Invalid Reason: "&amp;$P1941&amp;CHAR(10)&amp;"Expected Resolution Code: "&amp;$Q1941&amp;CHAR(10)&amp;"Remarks: "&amp;LEFT($R1941,600)&amp;CHAR(10)&amp;CHAR(10)&amp;"This is an automated notification from HP Mainstream EQMS."),"✉ Open Email Draft"),"")</f>
        <v/>
      </c>
    </row>
    <row r="1942">
      <c r="A1942" s="25">
        <f>IF($C1942="","","AUD-2026-"&amp;TEXT(ROW()-1,"000000"))</f>
        <v/>
      </c>
      <c r="B1942" s="26" t="n"/>
      <c r="C1942" s="27" t="n"/>
      <c r="D1942" s="25">
        <f>IF($C1942="","",IFERROR(IF(INDEX(Roster!$A:$A,MATCH($C1942,Roster!$B:$B,0))="","",INDEX(Roster!$A:$A,MATCH($C1942,Roster!$B:$B,0))&amp;""),"—"))</f>
        <v/>
      </c>
      <c r="E1942" s="25">
        <f>IF($C1942="","",IFERROR(IF(INDEX(Roster!$C:$C,MATCH($C1942,Roster!$B:$B,0))="","",INDEX(Roster!$C:$C,MATCH($C1942,Roster!$B:$B,0))&amp;""),"—"))</f>
        <v/>
      </c>
      <c r="F1942" s="25">
        <f>IF($C1942="","",IFERROR(IF(INDEX(Roster!$D:$D,MATCH($C1942,Roster!$B:$B,0))="","",INDEX(Roster!$D:$D,MATCH($C1942,Roster!$B:$B,0))&amp;""),"—"))</f>
        <v/>
      </c>
      <c r="G1942" s="25">
        <f>IF($C1942="","",IFERROR(IF(INDEX(Roster!$E:$E,MATCH($C1942,Roster!$B:$B,0))="","",INDEX(Roster!$E:$E,MATCH($C1942,Roster!$B:$B,0))&amp;""),"—"))</f>
        <v/>
      </c>
      <c r="H1942" s="25">
        <f>IF($C1942="","",IFERROR(IF(INDEX(Roster!$F:$F,MATCH($C1942,Roster!$B:$B,0))="","",INDEX(Roster!$F:$F,MATCH($C1942,Roster!$B:$B,0))&amp;""),"—"))</f>
        <v/>
      </c>
      <c r="I1942" s="25">
        <f>IF($C1942="","",IFERROR(IF(INDEX(Roster!$G:$G,MATCH($C1942,Roster!$B:$B,0))="","",INDEX(Roster!$G:$G,MATCH($C1942,Roster!$B:$B,0))&amp;""),"—"))</f>
        <v/>
      </c>
      <c r="J1942" s="25">
        <f>IF($C1942="","",IFERROR(IF(INDEX(Roster!$I:$I,MATCH($C1942,Roster!$B:$B,0))="","",INDEX(Roster!$I:$I,MATCH($C1942,Roster!$B:$B,0))&amp;""),"—"))</f>
        <v/>
      </c>
      <c r="K1942">
        <f>IF($C1942="","",IFERROR(IF(INDEX(Roster!$J:$J,MATCH($C1942,Roster!$B:$B,0))="","",INDEX(Roster!$J:$J,MATCH($C1942,Roster!$B:$B,0))&amp;""),"—"))</f>
        <v/>
      </c>
      <c r="L1942">
        <f>IF($C1942="","",IFERROR(IF(INDEX(Roster!$K:$K,MATCH($C1942,Roster!$B:$B,0))="","",INDEX(Roster!$K:$K,MATCH($C1942,Roster!$B:$B,0))&amp;""),"—"))</f>
        <v/>
      </c>
      <c r="M1942" s="27" t="n"/>
      <c r="N1942" s="27" t="n"/>
      <c r="O1942" s="25">
        <f>IF($C1942="","",IF($P1942="","—",IF($P1942="Valid (Pass)","Valid","Invalid")))</f>
        <v/>
      </c>
      <c r="P1942" s="27" t="n"/>
      <c r="Q1942" s="27" t="n"/>
      <c r="R1942" s="27" t="n"/>
      <c r="S1942" s="27" t="n"/>
      <c r="T1942" s="25">
        <f>IF($C1942="","",IF(OR(ISNUMBER(SEARCH("quick case",$P1942)),ISNUMBER(SEARCH("quick case",$Q1942))),"Yes","No"))</f>
        <v/>
      </c>
      <c r="U1942" s="25">
        <f>IF($O1942="Invalid",HYPERLINK("mailto:"&amp;$G1942&amp;";"&amp;$I1942&amp;"?cc="&amp;Lists!$E$2&amp;"&amp;subject="&amp;_xlfn.ENCODEURL("[INVALID] Quality audit monitoring completed for "&amp;UPPER($C1942))&amp;"&amp;body="&amp;_xlfn.ENCODEURL("Hi "&amp;$F1942&amp;","&amp;CHAR(10)&amp;"Good day!"&amp;CHAR(10)&amp;CHAR(10)&amp;"A quality monitoring audit has been completed for "&amp;$C1942&amp;"."&amp;CHAR(10)&amp;CHAR(10)&amp;"QUALITY AUDIT DETAILS"&amp;CHAR(10)&amp;"Agent Name: "&amp;$C1942&amp;" (EID "&amp;$D1942&amp;")"&amp;CHAR(10)&amp;"Audit Date: "&amp;TEXT($B1942,"yyyy-mm-dd")&amp;CHAR(10)&amp;"Team Leader: "&amp;$F1942&amp;CHAR(10)&amp;"Case Number: "&amp;$M1942&amp;CHAR(10)&amp;"Transaction ID: "&amp;$N1942&amp;CHAR(10)&amp;"Channel / LOB: "&amp;$K1942&amp;" / "&amp;$L1942&amp;CHAR(10)&amp;"Evaluator: "&amp;$S1942&amp;CHAR(10)&amp;CHAR(10)&amp;"INVALID QUALITY AUDIT DETAILS"&amp;CHAR(10)&amp;"Validation: Invalid"&amp;CHAR(10)&amp;"Invalid Reason: "&amp;$P1942&amp;CHAR(10)&amp;"Expected Resolution Code: "&amp;$Q1942&amp;CHAR(10)&amp;"Remarks: "&amp;LEFT($R1942,600)&amp;CHAR(10)&amp;CHAR(10)&amp;"This is an automated notification from HP Mainstream EQMS."),"✉ Open Email Draft"),"")</f>
        <v/>
      </c>
    </row>
    <row r="1943">
      <c r="A1943" s="25">
        <f>IF($C1943="","","AUD-2026-"&amp;TEXT(ROW()-1,"000000"))</f>
        <v/>
      </c>
      <c r="B1943" s="26" t="n"/>
      <c r="C1943" s="27" t="n"/>
      <c r="D1943" s="25">
        <f>IF($C1943="","",IFERROR(IF(INDEX(Roster!$A:$A,MATCH($C1943,Roster!$B:$B,0))="","",INDEX(Roster!$A:$A,MATCH($C1943,Roster!$B:$B,0))&amp;""),"—"))</f>
        <v/>
      </c>
      <c r="E1943" s="25">
        <f>IF($C1943="","",IFERROR(IF(INDEX(Roster!$C:$C,MATCH($C1943,Roster!$B:$B,0))="","",INDEX(Roster!$C:$C,MATCH($C1943,Roster!$B:$B,0))&amp;""),"—"))</f>
        <v/>
      </c>
      <c r="F1943" s="25">
        <f>IF($C1943="","",IFERROR(IF(INDEX(Roster!$D:$D,MATCH($C1943,Roster!$B:$B,0))="","",INDEX(Roster!$D:$D,MATCH($C1943,Roster!$B:$B,0))&amp;""),"—"))</f>
        <v/>
      </c>
      <c r="G1943" s="25">
        <f>IF($C1943="","",IFERROR(IF(INDEX(Roster!$E:$E,MATCH($C1943,Roster!$B:$B,0))="","",INDEX(Roster!$E:$E,MATCH($C1943,Roster!$B:$B,0))&amp;""),"—"))</f>
        <v/>
      </c>
      <c r="H1943" s="25">
        <f>IF($C1943="","",IFERROR(IF(INDEX(Roster!$F:$F,MATCH($C1943,Roster!$B:$B,0))="","",INDEX(Roster!$F:$F,MATCH($C1943,Roster!$B:$B,0))&amp;""),"—"))</f>
        <v/>
      </c>
      <c r="I1943" s="25">
        <f>IF($C1943="","",IFERROR(IF(INDEX(Roster!$G:$G,MATCH($C1943,Roster!$B:$B,0))="","",INDEX(Roster!$G:$G,MATCH($C1943,Roster!$B:$B,0))&amp;""),"—"))</f>
        <v/>
      </c>
      <c r="J1943" s="25">
        <f>IF($C1943="","",IFERROR(IF(INDEX(Roster!$I:$I,MATCH($C1943,Roster!$B:$B,0))="","",INDEX(Roster!$I:$I,MATCH($C1943,Roster!$B:$B,0))&amp;""),"—"))</f>
        <v/>
      </c>
      <c r="K1943">
        <f>IF($C1943="","",IFERROR(IF(INDEX(Roster!$J:$J,MATCH($C1943,Roster!$B:$B,0))="","",INDEX(Roster!$J:$J,MATCH($C1943,Roster!$B:$B,0))&amp;""),"—"))</f>
        <v/>
      </c>
      <c r="L1943">
        <f>IF($C1943="","",IFERROR(IF(INDEX(Roster!$K:$K,MATCH($C1943,Roster!$B:$B,0))="","",INDEX(Roster!$K:$K,MATCH($C1943,Roster!$B:$B,0))&amp;""),"—"))</f>
        <v/>
      </c>
      <c r="M1943" s="27" t="n"/>
      <c r="N1943" s="27" t="n"/>
      <c r="O1943" s="25">
        <f>IF($C1943="","",IF($P1943="","—",IF($P1943="Valid (Pass)","Valid","Invalid")))</f>
        <v/>
      </c>
      <c r="P1943" s="27" t="n"/>
      <c r="Q1943" s="27" t="n"/>
      <c r="R1943" s="27" t="n"/>
      <c r="S1943" s="27" t="n"/>
      <c r="T1943" s="25">
        <f>IF($C1943="","",IF(OR(ISNUMBER(SEARCH("quick case",$P1943)),ISNUMBER(SEARCH("quick case",$Q1943))),"Yes","No"))</f>
        <v/>
      </c>
      <c r="U1943" s="25">
        <f>IF($O1943="Invalid",HYPERLINK("mailto:"&amp;$G1943&amp;";"&amp;$I1943&amp;"?cc="&amp;Lists!$E$2&amp;"&amp;subject="&amp;_xlfn.ENCODEURL("[INVALID] Quality audit monitoring completed for "&amp;UPPER($C1943))&amp;"&amp;body="&amp;_xlfn.ENCODEURL("Hi "&amp;$F1943&amp;","&amp;CHAR(10)&amp;"Good day!"&amp;CHAR(10)&amp;CHAR(10)&amp;"A quality monitoring audit has been completed for "&amp;$C1943&amp;"."&amp;CHAR(10)&amp;CHAR(10)&amp;"QUALITY AUDIT DETAILS"&amp;CHAR(10)&amp;"Agent Name: "&amp;$C1943&amp;" (EID "&amp;$D1943&amp;")"&amp;CHAR(10)&amp;"Audit Date: "&amp;TEXT($B1943,"yyyy-mm-dd")&amp;CHAR(10)&amp;"Team Leader: "&amp;$F1943&amp;CHAR(10)&amp;"Case Number: "&amp;$M1943&amp;CHAR(10)&amp;"Transaction ID: "&amp;$N1943&amp;CHAR(10)&amp;"Channel / LOB: "&amp;$K1943&amp;" / "&amp;$L1943&amp;CHAR(10)&amp;"Evaluator: "&amp;$S1943&amp;CHAR(10)&amp;CHAR(10)&amp;"INVALID QUALITY AUDIT DETAILS"&amp;CHAR(10)&amp;"Validation: Invalid"&amp;CHAR(10)&amp;"Invalid Reason: "&amp;$P1943&amp;CHAR(10)&amp;"Expected Resolution Code: "&amp;$Q1943&amp;CHAR(10)&amp;"Remarks: "&amp;LEFT($R1943,600)&amp;CHAR(10)&amp;CHAR(10)&amp;"This is an automated notification from HP Mainstream EQMS."),"✉ Open Email Draft"),"")</f>
        <v/>
      </c>
    </row>
    <row r="1944">
      <c r="A1944" s="25">
        <f>IF($C1944="","","AUD-2026-"&amp;TEXT(ROW()-1,"000000"))</f>
        <v/>
      </c>
      <c r="B1944" s="26" t="n"/>
      <c r="C1944" s="27" t="n"/>
      <c r="D1944" s="25">
        <f>IF($C1944="","",IFERROR(IF(INDEX(Roster!$A:$A,MATCH($C1944,Roster!$B:$B,0))="","",INDEX(Roster!$A:$A,MATCH($C1944,Roster!$B:$B,0))&amp;""),"—"))</f>
        <v/>
      </c>
      <c r="E1944" s="25">
        <f>IF($C1944="","",IFERROR(IF(INDEX(Roster!$C:$C,MATCH($C1944,Roster!$B:$B,0))="","",INDEX(Roster!$C:$C,MATCH($C1944,Roster!$B:$B,0))&amp;""),"—"))</f>
        <v/>
      </c>
      <c r="F1944" s="25">
        <f>IF($C1944="","",IFERROR(IF(INDEX(Roster!$D:$D,MATCH($C1944,Roster!$B:$B,0))="","",INDEX(Roster!$D:$D,MATCH($C1944,Roster!$B:$B,0))&amp;""),"—"))</f>
        <v/>
      </c>
      <c r="G1944" s="25">
        <f>IF($C1944="","",IFERROR(IF(INDEX(Roster!$E:$E,MATCH($C1944,Roster!$B:$B,0))="","",INDEX(Roster!$E:$E,MATCH($C1944,Roster!$B:$B,0))&amp;""),"—"))</f>
        <v/>
      </c>
      <c r="H1944" s="25">
        <f>IF($C1944="","",IFERROR(IF(INDEX(Roster!$F:$F,MATCH($C1944,Roster!$B:$B,0))="","",INDEX(Roster!$F:$F,MATCH($C1944,Roster!$B:$B,0))&amp;""),"—"))</f>
        <v/>
      </c>
      <c r="I1944" s="25">
        <f>IF($C1944="","",IFERROR(IF(INDEX(Roster!$G:$G,MATCH($C1944,Roster!$B:$B,0))="","",INDEX(Roster!$G:$G,MATCH($C1944,Roster!$B:$B,0))&amp;""),"—"))</f>
        <v/>
      </c>
      <c r="J1944" s="25">
        <f>IF($C1944="","",IFERROR(IF(INDEX(Roster!$I:$I,MATCH($C1944,Roster!$B:$B,0))="","",INDEX(Roster!$I:$I,MATCH($C1944,Roster!$B:$B,0))&amp;""),"—"))</f>
        <v/>
      </c>
      <c r="K1944">
        <f>IF($C1944="","",IFERROR(IF(INDEX(Roster!$J:$J,MATCH($C1944,Roster!$B:$B,0))="","",INDEX(Roster!$J:$J,MATCH($C1944,Roster!$B:$B,0))&amp;""),"—"))</f>
        <v/>
      </c>
      <c r="L1944">
        <f>IF($C1944="","",IFERROR(IF(INDEX(Roster!$K:$K,MATCH($C1944,Roster!$B:$B,0))="","",INDEX(Roster!$K:$K,MATCH($C1944,Roster!$B:$B,0))&amp;""),"—"))</f>
        <v/>
      </c>
      <c r="M1944" s="27" t="n"/>
      <c r="N1944" s="27" t="n"/>
      <c r="O1944" s="25">
        <f>IF($C1944="","",IF($P1944="","—",IF($P1944="Valid (Pass)","Valid","Invalid")))</f>
        <v/>
      </c>
      <c r="P1944" s="27" t="n"/>
      <c r="Q1944" s="27" t="n"/>
      <c r="R1944" s="27" t="n"/>
      <c r="S1944" s="27" t="n"/>
      <c r="T1944" s="25">
        <f>IF($C1944="","",IF(OR(ISNUMBER(SEARCH("quick case",$P1944)),ISNUMBER(SEARCH("quick case",$Q1944))),"Yes","No"))</f>
        <v/>
      </c>
      <c r="U1944" s="25">
        <f>IF($O1944="Invalid",HYPERLINK("mailto:"&amp;$G1944&amp;";"&amp;$I1944&amp;"?cc="&amp;Lists!$E$2&amp;"&amp;subject="&amp;_xlfn.ENCODEURL("[INVALID] Quality audit monitoring completed for "&amp;UPPER($C1944))&amp;"&amp;body="&amp;_xlfn.ENCODEURL("Hi "&amp;$F1944&amp;","&amp;CHAR(10)&amp;"Good day!"&amp;CHAR(10)&amp;CHAR(10)&amp;"A quality monitoring audit has been completed for "&amp;$C1944&amp;"."&amp;CHAR(10)&amp;CHAR(10)&amp;"QUALITY AUDIT DETAILS"&amp;CHAR(10)&amp;"Agent Name: "&amp;$C1944&amp;" (EID "&amp;$D1944&amp;")"&amp;CHAR(10)&amp;"Audit Date: "&amp;TEXT($B1944,"yyyy-mm-dd")&amp;CHAR(10)&amp;"Team Leader: "&amp;$F1944&amp;CHAR(10)&amp;"Case Number: "&amp;$M1944&amp;CHAR(10)&amp;"Transaction ID: "&amp;$N1944&amp;CHAR(10)&amp;"Channel / LOB: "&amp;$K1944&amp;" / "&amp;$L1944&amp;CHAR(10)&amp;"Evaluator: "&amp;$S1944&amp;CHAR(10)&amp;CHAR(10)&amp;"INVALID QUALITY AUDIT DETAILS"&amp;CHAR(10)&amp;"Validation: Invalid"&amp;CHAR(10)&amp;"Invalid Reason: "&amp;$P1944&amp;CHAR(10)&amp;"Expected Resolution Code: "&amp;$Q1944&amp;CHAR(10)&amp;"Remarks: "&amp;LEFT($R1944,600)&amp;CHAR(10)&amp;CHAR(10)&amp;"This is an automated notification from HP Mainstream EQMS."),"✉ Open Email Draft"),"")</f>
        <v/>
      </c>
    </row>
    <row r="1945">
      <c r="A1945" s="25">
        <f>IF($C1945="","","AUD-2026-"&amp;TEXT(ROW()-1,"000000"))</f>
        <v/>
      </c>
      <c r="B1945" s="26" t="n"/>
      <c r="C1945" s="27" t="n"/>
      <c r="D1945" s="25">
        <f>IF($C1945="","",IFERROR(IF(INDEX(Roster!$A:$A,MATCH($C1945,Roster!$B:$B,0))="","",INDEX(Roster!$A:$A,MATCH($C1945,Roster!$B:$B,0))&amp;""),"—"))</f>
        <v/>
      </c>
      <c r="E1945" s="25">
        <f>IF($C1945="","",IFERROR(IF(INDEX(Roster!$C:$C,MATCH($C1945,Roster!$B:$B,0))="","",INDEX(Roster!$C:$C,MATCH($C1945,Roster!$B:$B,0))&amp;""),"—"))</f>
        <v/>
      </c>
      <c r="F1945" s="25">
        <f>IF($C1945="","",IFERROR(IF(INDEX(Roster!$D:$D,MATCH($C1945,Roster!$B:$B,0))="","",INDEX(Roster!$D:$D,MATCH($C1945,Roster!$B:$B,0))&amp;""),"—"))</f>
        <v/>
      </c>
      <c r="G1945" s="25">
        <f>IF($C1945="","",IFERROR(IF(INDEX(Roster!$E:$E,MATCH($C1945,Roster!$B:$B,0))="","",INDEX(Roster!$E:$E,MATCH($C1945,Roster!$B:$B,0))&amp;""),"—"))</f>
        <v/>
      </c>
      <c r="H1945" s="25">
        <f>IF($C1945="","",IFERROR(IF(INDEX(Roster!$F:$F,MATCH($C1945,Roster!$B:$B,0))="","",INDEX(Roster!$F:$F,MATCH($C1945,Roster!$B:$B,0))&amp;""),"—"))</f>
        <v/>
      </c>
      <c r="I1945" s="25">
        <f>IF($C1945="","",IFERROR(IF(INDEX(Roster!$G:$G,MATCH($C1945,Roster!$B:$B,0))="","",INDEX(Roster!$G:$G,MATCH($C1945,Roster!$B:$B,0))&amp;""),"—"))</f>
        <v/>
      </c>
      <c r="J1945" s="25">
        <f>IF($C1945="","",IFERROR(IF(INDEX(Roster!$I:$I,MATCH($C1945,Roster!$B:$B,0))="","",INDEX(Roster!$I:$I,MATCH($C1945,Roster!$B:$B,0))&amp;""),"—"))</f>
        <v/>
      </c>
      <c r="K1945">
        <f>IF($C1945="","",IFERROR(IF(INDEX(Roster!$J:$J,MATCH($C1945,Roster!$B:$B,0))="","",INDEX(Roster!$J:$J,MATCH($C1945,Roster!$B:$B,0))&amp;""),"—"))</f>
        <v/>
      </c>
      <c r="L1945">
        <f>IF($C1945="","",IFERROR(IF(INDEX(Roster!$K:$K,MATCH($C1945,Roster!$B:$B,0))="","",INDEX(Roster!$K:$K,MATCH($C1945,Roster!$B:$B,0))&amp;""),"—"))</f>
        <v/>
      </c>
      <c r="M1945" s="27" t="n"/>
      <c r="N1945" s="27" t="n"/>
      <c r="O1945" s="25">
        <f>IF($C1945="","",IF($P1945="","—",IF($P1945="Valid (Pass)","Valid","Invalid")))</f>
        <v/>
      </c>
      <c r="P1945" s="27" t="n"/>
      <c r="Q1945" s="27" t="n"/>
      <c r="R1945" s="27" t="n"/>
      <c r="S1945" s="27" t="n"/>
      <c r="T1945" s="25">
        <f>IF($C1945="","",IF(OR(ISNUMBER(SEARCH("quick case",$P1945)),ISNUMBER(SEARCH("quick case",$Q1945))),"Yes","No"))</f>
        <v/>
      </c>
      <c r="U1945" s="25">
        <f>IF($O1945="Invalid",HYPERLINK("mailto:"&amp;$G1945&amp;";"&amp;$I1945&amp;"?cc="&amp;Lists!$E$2&amp;"&amp;subject="&amp;_xlfn.ENCODEURL("[INVALID] Quality audit monitoring completed for "&amp;UPPER($C1945))&amp;"&amp;body="&amp;_xlfn.ENCODEURL("Hi "&amp;$F1945&amp;","&amp;CHAR(10)&amp;"Good day!"&amp;CHAR(10)&amp;CHAR(10)&amp;"A quality monitoring audit has been completed for "&amp;$C1945&amp;"."&amp;CHAR(10)&amp;CHAR(10)&amp;"QUALITY AUDIT DETAILS"&amp;CHAR(10)&amp;"Agent Name: "&amp;$C1945&amp;" (EID "&amp;$D1945&amp;")"&amp;CHAR(10)&amp;"Audit Date: "&amp;TEXT($B1945,"yyyy-mm-dd")&amp;CHAR(10)&amp;"Team Leader: "&amp;$F1945&amp;CHAR(10)&amp;"Case Number: "&amp;$M1945&amp;CHAR(10)&amp;"Transaction ID: "&amp;$N1945&amp;CHAR(10)&amp;"Channel / LOB: "&amp;$K1945&amp;" / "&amp;$L1945&amp;CHAR(10)&amp;"Evaluator: "&amp;$S1945&amp;CHAR(10)&amp;CHAR(10)&amp;"INVALID QUALITY AUDIT DETAILS"&amp;CHAR(10)&amp;"Validation: Invalid"&amp;CHAR(10)&amp;"Invalid Reason: "&amp;$P1945&amp;CHAR(10)&amp;"Expected Resolution Code: "&amp;$Q1945&amp;CHAR(10)&amp;"Remarks: "&amp;LEFT($R1945,600)&amp;CHAR(10)&amp;CHAR(10)&amp;"This is an automated notification from HP Mainstream EQMS."),"✉ Open Email Draft"),"")</f>
        <v/>
      </c>
    </row>
    <row r="1946">
      <c r="A1946" s="25">
        <f>IF($C1946="","","AUD-2026-"&amp;TEXT(ROW()-1,"000000"))</f>
        <v/>
      </c>
      <c r="B1946" s="26" t="n"/>
      <c r="C1946" s="27" t="n"/>
      <c r="D1946" s="25">
        <f>IF($C1946="","",IFERROR(IF(INDEX(Roster!$A:$A,MATCH($C1946,Roster!$B:$B,0))="","",INDEX(Roster!$A:$A,MATCH($C1946,Roster!$B:$B,0))&amp;""),"—"))</f>
        <v/>
      </c>
      <c r="E1946" s="25">
        <f>IF($C1946="","",IFERROR(IF(INDEX(Roster!$C:$C,MATCH($C1946,Roster!$B:$B,0))="","",INDEX(Roster!$C:$C,MATCH($C1946,Roster!$B:$B,0))&amp;""),"—"))</f>
        <v/>
      </c>
      <c r="F1946" s="25">
        <f>IF($C1946="","",IFERROR(IF(INDEX(Roster!$D:$D,MATCH($C1946,Roster!$B:$B,0))="","",INDEX(Roster!$D:$D,MATCH($C1946,Roster!$B:$B,0))&amp;""),"—"))</f>
        <v/>
      </c>
      <c r="G1946" s="25">
        <f>IF($C1946="","",IFERROR(IF(INDEX(Roster!$E:$E,MATCH($C1946,Roster!$B:$B,0))="","",INDEX(Roster!$E:$E,MATCH($C1946,Roster!$B:$B,0))&amp;""),"—"))</f>
        <v/>
      </c>
      <c r="H1946" s="25">
        <f>IF($C1946="","",IFERROR(IF(INDEX(Roster!$F:$F,MATCH($C1946,Roster!$B:$B,0))="","",INDEX(Roster!$F:$F,MATCH($C1946,Roster!$B:$B,0))&amp;""),"—"))</f>
        <v/>
      </c>
      <c r="I1946" s="25">
        <f>IF($C1946="","",IFERROR(IF(INDEX(Roster!$G:$G,MATCH($C1946,Roster!$B:$B,0))="","",INDEX(Roster!$G:$G,MATCH($C1946,Roster!$B:$B,0))&amp;""),"—"))</f>
        <v/>
      </c>
      <c r="J1946" s="25">
        <f>IF($C1946="","",IFERROR(IF(INDEX(Roster!$I:$I,MATCH($C1946,Roster!$B:$B,0))="","",INDEX(Roster!$I:$I,MATCH($C1946,Roster!$B:$B,0))&amp;""),"—"))</f>
        <v/>
      </c>
      <c r="K1946">
        <f>IF($C1946="","",IFERROR(IF(INDEX(Roster!$J:$J,MATCH($C1946,Roster!$B:$B,0))="","",INDEX(Roster!$J:$J,MATCH($C1946,Roster!$B:$B,0))&amp;""),"—"))</f>
        <v/>
      </c>
      <c r="L1946">
        <f>IF($C1946="","",IFERROR(IF(INDEX(Roster!$K:$K,MATCH($C1946,Roster!$B:$B,0))="","",INDEX(Roster!$K:$K,MATCH($C1946,Roster!$B:$B,0))&amp;""),"—"))</f>
        <v/>
      </c>
      <c r="M1946" s="27" t="n"/>
      <c r="N1946" s="27" t="n"/>
      <c r="O1946" s="25">
        <f>IF($C1946="","",IF($P1946="","—",IF($P1946="Valid (Pass)","Valid","Invalid")))</f>
        <v/>
      </c>
      <c r="P1946" s="27" t="n"/>
      <c r="Q1946" s="27" t="n"/>
      <c r="R1946" s="27" t="n"/>
      <c r="S1946" s="27" t="n"/>
      <c r="T1946" s="25">
        <f>IF($C1946="","",IF(OR(ISNUMBER(SEARCH("quick case",$P1946)),ISNUMBER(SEARCH("quick case",$Q1946))),"Yes","No"))</f>
        <v/>
      </c>
      <c r="U1946" s="25">
        <f>IF($O1946="Invalid",HYPERLINK("mailto:"&amp;$G1946&amp;";"&amp;$I1946&amp;"?cc="&amp;Lists!$E$2&amp;"&amp;subject="&amp;_xlfn.ENCODEURL("[INVALID] Quality audit monitoring completed for "&amp;UPPER($C1946))&amp;"&amp;body="&amp;_xlfn.ENCODEURL("Hi "&amp;$F1946&amp;","&amp;CHAR(10)&amp;"Good day!"&amp;CHAR(10)&amp;CHAR(10)&amp;"A quality monitoring audit has been completed for "&amp;$C1946&amp;"."&amp;CHAR(10)&amp;CHAR(10)&amp;"QUALITY AUDIT DETAILS"&amp;CHAR(10)&amp;"Agent Name: "&amp;$C1946&amp;" (EID "&amp;$D1946&amp;")"&amp;CHAR(10)&amp;"Audit Date: "&amp;TEXT($B1946,"yyyy-mm-dd")&amp;CHAR(10)&amp;"Team Leader: "&amp;$F1946&amp;CHAR(10)&amp;"Case Number: "&amp;$M1946&amp;CHAR(10)&amp;"Transaction ID: "&amp;$N1946&amp;CHAR(10)&amp;"Channel / LOB: "&amp;$K1946&amp;" / "&amp;$L1946&amp;CHAR(10)&amp;"Evaluator: "&amp;$S1946&amp;CHAR(10)&amp;CHAR(10)&amp;"INVALID QUALITY AUDIT DETAILS"&amp;CHAR(10)&amp;"Validation: Invalid"&amp;CHAR(10)&amp;"Invalid Reason: "&amp;$P1946&amp;CHAR(10)&amp;"Expected Resolution Code: "&amp;$Q1946&amp;CHAR(10)&amp;"Remarks: "&amp;LEFT($R1946,600)&amp;CHAR(10)&amp;CHAR(10)&amp;"This is an automated notification from HP Mainstream EQMS."),"✉ Open Email Draft"),"")</f>
        <v/>
      </c>
    </row>
    <row r="1947">
      <c r="A1947" s="25">
        <f>IF($C1947="","","AUD-2026-"&amp;TEXT(ROW()-1,"000000"))</f>
        <v/>
      </c>
      <c r="B1947" s="26" t="n"/>
      <c r="C1947" s="27" t="n"/>
      <c r="D1947" s="25">
        <f>IF($C1947="","",IFERROR(IF(INDEX(Roster!$A:$A,MATCH($C1947,Roster!$B:$B,0))="","",INDEX(Roster!$A:$A,MATCH($C1947,Roster!$B:$B,0))&amp;""),"—"))</f>
        <v/>
      </c>
      <c r="E1947" s="25">
        <f>IF($C1947="","",IFERROR(IF(INDEX(Roster!$C:$C,MATCH($C1947,Roster!$B:$B,0))="","",INDEX(Roster!$C:$C,MATCH($C1947,Roster!$B:$B,0))&amp;""),"—"))</f>
        <v/>
      </c>
      <c r="F1947" s="25">
        <f>IF($C1947="","",IFERROR(IF(INDEX(Roster!$D:$D,MATCH($C1947,Roster!$B:$B,0))="","",INDEX(Roster!$D:$D,MATCH($C1947,Roster!$B:$B,0))&amp;""),"—"))</f>
        <v/>
      </c>
      <c r="G1947" s="25">
        <f>IF($C1947="","",IFERROR(IF(INDEX(Roster!$E:$E,MATCH($C1947,Roster!$B:$B,0))="","",INDEX(Roster!$E:$E,MATCH($C1947,Roster!$B:$B,0))&amp;""),"—"))</f>
        <v/>
      </c>
      <c r="H1947" s="25">
        <f>IF($C1947="","",IFERROR(IF(INDEX(Roster!$F:$F,MATCH($C1947,Roster!$B:$B,0))="","",INDEX(Roster!$F:$F,MATCH($C1947,Roster!$B:$B,0))&amp;""),"—"))</f>
        <v/>
      </c>
      <c r="I1947" s="25">
        <f>IF($C1947="","",IFERROR(IF(INDEX(Roster!$G:$G,MATCH($C1947,Roster!$B:$B,0))="","",INDEX(Roster!$G:$G,MATCH($C1947,Roster!$B:$B,0))&amp;""),"—"))</f>
        <v/>
      </c>
      <c r="J1947" s="25">
        <f>IF($C1947="","",IFERROR(IF(INDEX(Roster!$I:$I,MATCH($C1947,Roster!$B:$B,0))="","",INDEX(Roster!$I:$I,MATCH($C1947,Roster!$B:$B,0))&amp;""),"—"))</f>
        <v/>
      </c>
      <c r="K1947">
        <f>IF($C1947="","",IFERROR(IF(INDEX(Roster!$J:$J,MATCH($C1947,Roster!$B:$B,0))="","",INDEX(Roster!$J:$J,MATCH($C1947,Roster!$B:$B,0))&amp;""),"—"))</f>
        <v/>
      </c>
      <c r="L1947">
        <f>IF($C1947="","",IFERROR(IF(INDEX(Roster!$K:$K,MATCH($C1947,Roster!$B:$B,0))="","",INDEX(Roster!$K:$K,MATCH($C1947,Roster!$B:$B,0))&amp;""),"—"))</f>
        <v/>
      </c>
      <c r="M1947" s="27" t="n"/>
      <c r="N1947" s="27" t="n"/>
      <c r="O1947" s="25">
        <f>IF($C1947="","",IF($P1947="","—",IF($P1947="Valid (Pass)","Valid","Invalid")))</f>
        <v/>
      </c>
      <c r="P1947" s="27" t="n"/>
      <c r="Q1947" s="27" t="n"/>
      <c r="R1947" s="27" t="n"/>
      <c r="S1947" s="27" t="n"/>
      <c r="T1947" s="25">
        <f>IF($C1947="","",IF(OR(ISNUMBER(SEARCH("quick case",$P1947)),ISNUMBER(SEARCH("quick case",$Q1947))),"Yes","No"))</f>
        <v/>
      </c>
      <c r="U1947" s="25">
        <f>IF($O1947="Invalid",HYPERLINK("mailto:"&amp;$G1947&amp;";"&amp;$I1947&amp;"?cc="&amp;Lists!$E$2&amp;"&amp;subject="&amp;_xlfn.ENCODEURL("[INVALID] Quality audit monitoring completed for "&amp;UPPER($C1947))&amp;"&amp;body="&amp;_xlfn.ENCODEURL("Hi "&amp;$F1947&amp;","&amp;CHAR(10)&amp;"Good day!"&amp;CHAR(10)&amp;CHAR(10)&amp;"A quality monitoring audit has been completed for "&amp;$C1947&amp;"."&amp;CHAR(10)&amp;CHAR(10)&amp;"QUALITY AUDIT DETAILS"&amp;CHAR(10)&amp;"Agent Name: "&amp;$C1947&amp;" (EID "&amp;$D1947&amp;")"&amp;CHAR(10)&amp;"Audit Date: "&amp;TEXT($B1947,"yyyy-mm-dd")&amp;CHAR(10)&amp;"Team Leader: "&amp;$F1947&amp;CHAR(10)&amp;"Case Number: "&amp;$M1947&amp;CHAR(10)&amp;"Transaction ID: "&amp;$N1947&amp;CHAR(10)&amp;"Channel / LOB: "&amp;$K1947&amp;" / "&amp;$L1947&amp;CHAR(10)&amp;"Evaluator: "&amp;$S1947&amp;CHAR(10)&amp;CHAR(10)&amp;"INVALID QUALITY AUDIT DETAILS"&amp;CHAR(10)&amp;"Validation: Invalid"&amp;CHAR(10)&amp;"Invalid Reason: "&amp;$P1947&amp;CHAR(10)&amp;"Expected Resolution Code: "&amp;$Q1947&amp;CHAR(10)&amp;"Remarks: "&amp;LEFT($R1947,600)&amp;CHAR(10)&amp;CHAR(10)&amp;"This is an automated notification from HP Mainstream EQMS."),"✉ Open Email Draft"),"")</f>
        <v/>
      </c>
    </row>
    <row r="1948">
      <c r="A1948" s="25">
        <f>IF($C1948="","","AUD-2026-"&amp;TEXT(ROW()-1,"000000"))</f>
        <v/>
      </c>
      <c r="B1948" s="26" t="n"/>
      <c r="C1948" s="27" t="n"/>
      <c r="D1948" s="25">
        <f>IF($C1948="","",IFERROR(IF(INDEX(Roster!$A:$A,MATCH($C1948,Roster!$B:$B,0))="","",INDEX(Roster!$A:$A,MATCH($C1948,Roster!$B:$B,0))&amp;""),"—"))</f>
        <v/>
      </c>
      <c r="E1948" s="25">
        <f>IF($C1948="","",IFERROR(IF(INDEX(Roster!$C:$C,MATCH($C1948,Roster!$B:$B,0))="","",INDEX(Roster!$C:$C,MATCH($C1948,Roster!$B:$B,0))&amp;""),"—"))</f>
        <v/>
      </c>
      <c r="F1948" s="25">
        <f>IF($C1948="","",IFERROR(IF(INDEX(Roster!$D:$D,MATCH($C1948,Roster!$B:$B,0))="","",INDEX(Roster!$D:$D,MATCH($C1948,Roster!$B:$B,0))&amp;""),"—"))</f>
        <v/>
      </c>
      <c r="G1948" s="25">
        <f>IF($C1948="","",IFERROR(IF(INDEX(Roster!$E:$E,MATCH($C1948,Roster!$B:$B,0))="","",INDEX(Roster!$E:$E,MATCH($C1948,Roster!$B:$B,0))&amp;""),"—"))</f>
        <v/>
      </c>
      <c r="H1948" s="25">
        <f>IF($C1948="","",IFERROR(IF(INDEX(Roster!$F:$F,MATCH($C1948,Roster!$B:$B,0))="","",INDEX(Roster!$F:$F,MATCH($C1948,Roster!$B:$B,0))&amp;""),"—"))</f>
        <v/>
      </c>
      <c r="I1948" s="25">
        <f>IF($C1948="","",IFERROR(IF(INDEX(Roster!$G:$G,MATCH($C1948,Roster!$B:$B,0))="","",INDEX(Roster!$G:$G,MATCH($C1948,Roster!$B:$B,0))&amp;""),"—"))</f>
        <v/>
      </c>
      <c r="J1948" s="25">
        <f>IF($C1948="","",IFERROR(IF(INDEX(Roster!$I:$I,MATCH($C1948,Roster!$B:$B,0))="","",INDEX(Roster!$I:$I,MATCH($C1948,Roster!$B:$B,0))&amp;""),"—"))</f>
        <v/>
      </c>
      <c r="K1948">
        <f>IF($C1948="","",IFERROR(IF(INDEX(Roster!$J:$J,MATCH($C1948,Roster!$B:$B,0))="","",INDEX(Roster!$J:$J,MATCH($C1948,Roster!$B:$B,0))&amp;""),"—"))</f>
        <v/>
      </c>
      <c r="L1948">
        <f>IF($C1948="","",IFERROR(IF(INDEX(Roster!$K:$K,MATCH($C1948,Roster!$B:$B,0))="","",INDEX(Roster!$K:$K,MATCH($C1948,Roster!$B:$B,0))&amp;""),"—"))</f>
        <v/>
      </c>
      <c r="M1948" s="27" t="n"/>
      <c r="N1948" s="27" t="n"/>
      <c r="O1948" s="25">
        <f>IF($C1948="","",IF($P1948="","—",IF($P1948="Valid (Pass)","Valid","Invalid")))</f>
        <v/>
      </c>
      <c r="P1948" s="27" t="n"/>
      <c r="Q1948" s="27" t="n"/>
      <c r="R1948" s="27" t="n"/>
      <c r="S1948" s="27" t="n"/>
      <c r="T1948" s="25">
        <f>IF($C1948="","",IF(OR(ISNUMBER(SEARCH("quick case",$P1948)),ISNUMBER(SEARCH("quick case",$Q1948))),"Yes","No"))</f>
        <v/>
      </c>
      <c r="U1948" s="25">
        <f>IF($O1948="Invalid",HYPERLINK("mailto:"&amp;$G1948&amp;";"&amp;$I1948&amp;"?cc="&amp;Lists!$E$2&amp;"&amp;subject="&amp;_xlfn.ENCODEURL("[INVALID] Quality audit monitoring completed for "&amp;UPPER($C1948))&amp;"&amp;body="&amp;_xlfn.ENCODEURL("Hi "&amp;$F1948&amp;","&amp;CHAR(10)&amp;"Good day!"&amp;CHAR(10)&amp;CHAR(10)&amp;"A quality monitoring audit has been completed for "&amp;$C1948&amp;"."&amp;CHAR(10)&amp;CHAR(10)&amp;"QUALITY AUDIT DETAILS"&amp;CHAR(10)&amp;"Agent Name: "&amp;$C1948&amp;" (EID "&amp;$D1948&amp;")"&amp;CHAR(10)&amp;"Audit Date: "&amp;TEXT($B1948,"yyyy-mm-dd")&amp;CHAR(10)&amp;"Team Leader: "&amp;$F1948&amp;CHAR(10)&amp;"Case Number: "&amp;$M1948&amp;CHAR(10)&amp;"Transaction ID: "&amp;$N1948&amp;CHAR(10)&amp;"Channel / LOB: "&amp;$K1948&amp;" / "&amp;$L1948&amp;CHAR(10)&amp;"Evaluator: "&amp;$S1948&amp;CHAR(10)&amp;CHAR(10)&amp;"INVALID QUALITY AUDIT DETAILS"&amp;CHAR(10)&amp;"Validation: Invalid"&amp;CHAR(10)&amp;"Invalid Reason: "&amp;$P1948&amp;CHAR(10)&amp;"Expected Resolution Code: "&amp;$Q1948&amp;CHAR(10)&amp;"Remarks: "&amp;LEFT($R1948,600)&amp;CHAR(10)&amp;CHAR(10)&amp;"This is an automated notification from HP Mainstream EQMS."),"✉ Open Email Draft"),"")</f>
        <v/>
      </c>
    </row>
    <row r="1949">
      <c r="A1949" s="25">
        <f>IF($C1949="","","AUD-2026-"&amp;TEXT(ROW()-1,"000000"))</f>
        <v/>
      </c>
      <c r="B1949" s="26" t="n"/>
      <c r="C1949" s="27" t="n"/>
      <c r="D1949" s="25">
        <f>IF($C1949="","",IFERROR(IF(INDEX(Roster!$A:$A,MATCH($C1949,Roster!$B:$B,0))="","",INDEX(Roster!$A:$A,MATCH($C1949,Roster!$B:$B,0))&amp;""),"—"))</f>
        <v/>
      </c>
      <c r="E1949" s="25">
        <f>IF($C1949="","",IFERROR(IF(INDEX(Roster!$C:$C,MATCH($C1949,Roster!$B:$B,0))="","",INDEX(Roster!$C:$C,MATCH($C1949,Roster!$B:$B,0))&amp;""),"—"))</f>
        <v/>
      </c>
      <c r="F1949" s="25">
        <f>IF($C1949="","",IFERROR(IF(INDEX(Roster!$D:$D,MATCH($C1949,Roster!$B:$B,0))="","",INDEX(Roster!$D:$D,MATCH($C1949,Roster!$B:$B,0))&amp;""),"—"))</f>
        <v/>
      </c>
      <c r="G1949" s="25">
        <f>IF($C1949="","",IFERROR(IF(INDEX(Roster!$E:$E,MATCH($C1949,Roster!$B:$B,0))="","",INDEX(Roster!$E:$E,MATCH($C1949,Roster!$B:$B,0))&amp;""),"—"))</f>
        <v/>
      </c>
      <c r="H1949" s="25">
        <f>IF($C1949="","",IFERROR(IF(INDEX(Roster!$F:$F,MATCH($C1949,Roster!$B:$B,0))="","",INDEX(Roster!$F:$F,MATCH($C1949,Roster!$B:$B,0))&amp;""),"—"))</f>
        <v/>
      </c>
      <c r="I1949" s="25">
        <f>IF($C1949="","",IFERROR(IF(INDEX(Roster!$G:$G,MATCH($C1949,Roster!$B:$B,0))="","",INDEX(Roster!$G:$G,MATCH($C1949,Roster!$B:$B,0))&amp;""),"—"))</f>
        <v/>
      </c>
      <c r="J1949" s="25">
        <f>IF($C1949="","",IFERROR(IF(INDEX(Roster!$I:$I,MATCH($C1949,Roster!$B:$B,0))="","",INDEX(Roster!$I:$I,MATCH($C1949,Roster!$B:$B,0))&amp;""),"—"))</f>
        <v/>
      </c>
      <c r="K1949">
        <f>IF($C1949="","",IFERROR(IF(INDEX(Roster!$J:$J,MATCH($C1949,Roster!$B:$B,0))="","",INDEX(Roster!$J:$J,MATCH($C1949,Roster!$B:$B,0))&amp;""),"—"))</f>
        <v/>
      </c>
      <c r="L1949">
        <f>IF($C1949="","",IFERROR(IF(INDEX(Roster!$K:$K,MATCH($C1949,Roster!$B:$B,0))="","",INDEX(Roster!$K:$K,MATCH($C1949,Roster!$B:$B,0))&amp;""),"—"))</f>
        <v/>
      </c>
      <c r="M1949" s="27" t="n"/>
      <c r="N1949" s="27" t="n"/>
      <c r="O1949" s="25">
        <f>IF($C1949="","",IF($P1949="","—",IF($P1949="Valid (Pass)","Valid","Invalid")))</f>
        <v/>
      </c>
      <c r="P1949" s="27" t="n"/>
      <c r="Q1949" s="27" t="n"/>
      <c r="R1949" s="27" t="n"/>
      <c r="S1949" s="27" t="n"/>
      <c r="T1949" s="25">
        <f>IF($C1949="","",IF(OR(ISNUMBER(SEARCH("quick case",$P1949)),ISNUMBER(SEARCH("quick case",$Q1949))),"Yes","No"))</f>
        <v/>
      </c>
      <c r="U1949" s="25">
        <f>IF($O1949="Invalid",HYPERLINK("mailto:"&amp;$G1949&amp;";"&amp;$I1949&amp;"?cc="&amp;Lists!$E$2&amp;"&amp;subject="&amp;_xlfn.ENCODEURL("[INVALID] Quality audit monitoring completed for "&amp;UPPER($C1949))&amp;"&amp;body="&amp;_xlfn.ENCODEURL("Hi "&amp;$F1949&amp;","&amp;CHAR(10)&amp;"Good day!"&amp;CHAR(10)&amp;CHAR(10)&amp;"A quality monitoring audit has been completed for "&amp;$C1949&amp;"."&amp;CHAR(10)&amp;CHAR(10)&amp;"QUALITY AUDIT DETAILS"&amp;CHAR(10)&amp;"Agent Name: "&amp;$C1949&amp;" (EID "&amp;$D1949&amp;")"&amp;CHAR(10)&amp;"Audit Date: "&amp;TEXT($B1949,"yyyy-mm-dd")&amp;CHAR(10)&amp;"Team Leader: "&amp;$F1949&amp;CHAR(10)&amp;"Case Number: "&amp;$M1949&amp;CHAR(10)&amp;"Transaction ID: "&amp;$N1949&amp;CHAR(10)&amp;"Channel / LOB: "&amp;$K1949&amp;" / "&amp;$L1949&amp;CHAR(10)&amp;"Evaluator: "&amp;$S1949&amp;CHAR(10)&amp;CHAR(10)&amp;"INVALID QUALITY AUDIT DETAILS"&amp;CHAR(10)&amp;"Validation: Invalid"&amp;CHAR(10)&amp;"Invalid Reason: "&amp;$P1949&amp;CHAR(10)&amp;"Expected Resolution Code: "&amp;$Q1949&amp;CHAR(10)&amp;"Remarks: "&amp;LEFT($R1949,600)&amp;CHAR(10)&amp;CHAR(10)&amp;"This is an automated notification from HP Mainstream EQMS."),"✉ Open Email Draft"),"")</f>
        <v/>
      </c>
    </row>
    <row r="1950">
      <c r="A1950" s="25">
        <f>IF($C1950="","","AUD-2026-"&amp;TEXT(ROW()-1,"000000"))</f>
        <v/>
      </c>
      <c r="B1950" s="26" t="n"/>
      <c r="C1950" s="27" t="n"/>
      <c r="D1950" s="25">
        <f>IF($C1950="","",IFERROR(IF(INDEX(Roster!$A:$A,MATCH($C1950,Roster!$B:$B,0))="","",INDEX(Roster!$A:$A,MATCH($C1950,Roster!$B:$B,0))&amp;""),"—"))</f>
        <v/>
      </c>
      <c r="E1950" s="25">
        <f>IF($C1950="","",IFERROR(IF(INDEX(Roster!$C:$C,MATCH($C1950,Roster!$B:$B,0))="","",INDEX(Roster!$C:$C,MATCH($C1950,Roster!$B:$B,0))&amp;""),"—"))</f>
        <v/>
      </c>
      <c r="F1950" s="25">
        <f>IF($C1950="","",IFERROR(IF(INDEX(Roster!$D:$D,MATCH($C1950,Roster!$B:$B,0))="","",INDEX(Roster!$D:$D,MATCH($C1950,Roster!$B:$B,0))&amp;""),"—"))</f>
        <v/>
      </c>
      <c r="G1950" s="25">
        <f>IF($C1950="","",IFERROR(IF(INDEX(Roster!$E:$E,MATCH($C1950,Roster!$B:$B,0))="","",INDEX(Roster!$E:$E,MATCH($C1950,Roster!$B:$B,0))&amp;""),"—"))</f>
        <v/>
      </c>
      <c r="H1950" s="25">
        <f>IF($C1950="","",IFERROR(IF(INDEX(Roster!$F:$F,MATCH($C1950,Roster!$B:$B,0))="","",INDEX(Roster!$F:$F,MATCH($C1950,Roster!$B:$B,0))&amp;""),"—"))</f>
        <v/>
      </c>
      <c r="I1950" s="25">
        <f>IF($C1950="","",IFERROR(IF(INDEX(Roster!$G:$G,MATCH($C1950,Roster!$B:$B,0))="","",INDEX(Roster!$G:$G,MATCH($C1950,Roster!$B:$B,0))&amp;""),"—"))</f>
        <v/>
      </c>
      <c r="J1950" s="25">
        <f>IF($C1950="","",IFERROR(IF(INDEX(Roster!$I:$I,MATCH($C1950,Roster!$B:$B,0))="","",INDEX(Roster!$I:$I,MATCH($C1950,Roster!$B:$B,0))&amp;""),"—"))</f>
        <v/>
      </c>
      <c r="K1950">
        <f>IF($C1950="","",IFERROR(IF(INDEX(Roster!$J:$J,MATCH($C1950,Roster!$B:$B,0))="","",INDEX(Roster!$J:$J,MATCH($C1950,Roster!$B:$B,0))&amp;""),"—"))</f>
        <v/>
      </c>
      <c r="L1950">
        <f>IF($C1950="","",IFERROR(IF(INDEX(Roster!$K:$K,MATCH($C1950,Roster!$B:$B,0))="","",INDEX(Roster!$K:$K,MATCH($C1950,Roster!$B:$B,0))&amp;""),"—"))</f>
        <v/>
      </c>
      <c r="M1950" s="27" t="n"/>
      <c r="N1950" s="27" t="n"/>
      <c r="O1950" s="25">
        <f>IF($C1950="","",IF($P1950="","—",IF($P1950="Valid (Pass)","Valid","Invalid")))</f>
        <v/>
      </c>
      <c r="P1950" s="27" t="n"/>
      <c r="Q1950" s="27" t="n"/>
      <c r="R1950" s="27" t="n"/>
      <c r="S1950" s="27" t="n"/>
      <c r="T1950" s="25">
        <f>IF($C1950="","",IF(OR(ISNUMBER(SEARCH("quick case",$P1950)),ISNUMBER(SEARCH("quick case",$Q1950))),"Yes","No"))</f>
        <v/>
      </c>
      <c r="U1950" s="25">
        <f>IF($O1950="Invalid",HYPERLINK("mailto:"&amp;$G1950&amp;";"&amp;$I1950&amp;"?cc="&amp;Lists!$E$2&amp;"&amp;subject="&amp;_xlfn.ENCODEURL("[INVALID] Quality audit monitoring completed for "&amp;UPPER($C1950))&amp;"&amp;body="&amp;_xlfn.ENCODEURL("Hi "&amp;$F1950&amp;","&amp;CHAR(10)&amp;"Good day!"&amp;CHAR(10)&amp;CHAR(10)&amp;"A quality monitoring audit has been completed for "&amp;$C1950&amp;"."&amp;CHAR(10)&amp;CHAR(10)&amp;"QUALITY AUDIT DETAILS"&amp;CHAR(10)&amp;"Agent Name: "&amp;$C1950&amp;" (EID "&amp;$D1950&amp;")"&amp;CHAR(10)&amp;"Audit Date: "&amp;TEXT($B1950,"yyyy-mm-dd")&amp;CHAR(10)&amp;"Team Leader: "&amp;$F1950&amp;CHAR(10)&amp;"Case Number: "&amp;$M1950&amp;CHAR(10)&amp;"Transaction ID: "&amp;$N1950&amp;CHAR(10)&amp;"Channel / LOB: "&amp;$K1950&amp;" / "&amp;$L1950&amp;CHAR(10)&amp;"Evaluator: "&amp;$S1950&amp;CHAR(10)&amp;CHAR(10)&amp;"INVALID QUALITY AUDIT DETAILS"&amp;CHAR(10)&amp;"Validation: Invalid"&amp;CHAR(10)&amp;"Invalid Reason: "&amp;$P1950&amp;CHAR(10)&amp;"Expected Resolution Code: "&amp;$Q1950&amp;CHAR(10)&amp;"Remarks: "&amp;LEFT($R1950,600)&amp;CHAR(10)&amp;CHAR(10)&amp;"This is an automated notification from HP Mainstream EQMS."),"✉ Open Email Draft"),"")</f>
        <v/>
      </c>
    </row>
    <row r="1951">
      <c r="A1951" s="25">
        <f>IF($C1951="","","AUD-2026-"&amp;TEXT(ROW()-1,"000000"))</f>
        <v/>
      </c>
      <c r="B1951" s="26" t="n"/>
      <c r="C1951" s="27" t="n"/>
      <c r="D1951" s="25">
        <f>IF($C1951="","",IFERROR(IF(INDEX(Roster!$A:$A,MATCH($C1951,Roster!$B:$B,0))="","",INDEX(Roster!$A:$A,MATCH($C1951,Roster!$B:$B,0))&amp;""),"—"))</f>
        <v/>
      </c>
      <c r="E1951" s="25">
        <f>IF($C1951="","",IFERROR(IF(INDEX(Roster!$C:$C,MATCH($C1951,Roster!$B:$B,0))="","",INDEX(Roster!$C:$C,MATCH($C1951,Roster!$B:$B,0))&amp;""),"—"))</f>
        <v/>
      </c>
      <c r="F1951" s="25">
        <f>IF($C1951="","",IFERROR(IF(INDEX(Roster!$D:$D,MATCH($C1951,Roster!$B:$B,0))="","",INDEX(Roster!$D:$D,MATCH($C1951,Roster!$B:$B,0))&amp;""),"—"))</f>
        <v/>
      </c>
      <c r="G1951" s="25">
        <f>IF($C1951="","",IFERROR(IF(INDEX(Roster!$E:$E,MATCH($C1951,Roster!$B:$B,0))="","",INDEX(Roster!$E:$E,MATCH($C1951,Roster!$B:$B,0))&amp;""),"—"))</f>
        <v/>
      </c>
      <c r="H1951" s="25">
        <f>IF($C1951="","",IFERROR(IF(INDEX(Roster!$F:$F,MATCH($C1951,Roster!$B:$B,0))="","",INDEX(Roster!$F:$F,MATCH($C1951,Roster!$B:$B,0))&amp;""),"—"))</f>
        <v/>
      </c>
      <c r="I1951" s="25">
        <f>IF($C1951="","",IFERROR(IF(INDEX(Roster!$G:$G,MATCH($C1951,Roster!$B:$B,0))="","",INDEX(Roster!$G:$G,MATCH($C1951,Roster!$B:$B,0))&amp;""),"—"))</f>
        <v/>
      </c>
      <c r="J1951" s="25">
        <f>IF($C1951="","",IFERROR(IF(INDEX(Roster!$I:$I,MATCH($C1951,Roster!$B:$B,0))="","",INDEX(Roster!$I:$I,MATCH($C1951,Roster!$B:$B,0))&amp;""),"—"))</f>
        <v/>
      </c>
      <c r="K1951">
        <f>IF($C1951="","",IFERROR(IF(INDEX(Roster!$J:$J,MATCH($C1951,Roster!$B:$B,0))="","",INDEX(Roster!$J:$J,MATCH($C1951,Roster!$B:$B,0))&amp;""),"—"))</f>
        <v/>
      </c>
      <c r="L1951">
        <f>IF($C1951="","",IFERROR(IF(INDEX(Roster!$K:$K,MATCH($C1951,Roster!$B:$B,0))="","",INDEX(Roster!$K:$K,MATCH($C1951,Roster!$B:$B,0))&amp;""),"—"))</f>
        <v/>
      </c>
      <c r="M1951" s="27" t="n"/>
      <c r="N1951" s="27" t="n"/>
      <c r="O1951" s="25">
        <f>IF($C1951="","",IF($P1951="","—",IF($P1951="Valid (Pass)","Valid","Invalid")))</f>
        <v/>
      </c>
      <c r="P1951" s="27" t="n"/>
      <c r="Q1951" s="27" t="n"/>
      <c r="R1951" s="27" t="n"/>
      <c r="S1951" s="27" t="n"/>
      <c r="T1951" s="25">
        <f>IF($C1951="","",IF(OR(ISNUMBER(SEARCH("quick case",$P1951)),ISNUMBER(SEARCH("quick case",$Q1951))),"Yes","No"))</f>
        <v/>
      </c>
      <c r="U1951" s="25">
        <f>IF($O1951="Invalid",HYPERLINK("mailto:"&amp;$G1951&amp;";"&amp;$I1951&amp;"?cc="&amp;Lists!$E$2&amp;"&amp;subject="&amp;_xlfn.ENCODEURL("[INVALID] Quality audit monitoring completed for "&amp;UPPER($C1951))&amp;"&amp;body="&amp;_xlfn.ENCODEURL("Hi "&amp;$F1951&amp;","&amp;CHAR(10)&amp;"Good day!"&amp;CHAR(10)&amp;CHAR(10)&amp;"A quality monitoring audit has been completed for "&amp;$C1951&amp;"."&amp;CHAR(10)&amp;CHAR(10)&amp;"QUALITY AUDIT DETAILS"&amp;CHAR(10)&amp;"Agent Name: "&amp;$C1951&amp;" (EID "&amp;$D1951&amp;")"&amp;CHAR(10)&amp;"Audit Date: "&amp;TEXT($B1951,"yyyy-mm-dd")&amp;CHAR(10)&amp;"Team Leader: "&amp;$F1951&amp;CHAR(10)&amp;"Case Number: "&amp;$M1951&amp;CHAR(10)&amp;"Transaction ID: "&amp;$N1951&amp;CHAR(10)&amp;"Channel / LOB: "&amp;$K1951&amp;" / "&amp;$L1951&amp;CHAR(10)&amp;"Evaluator: "&amp;$S1951&amp;CHAR(10)&amp;CHAR(10)&amp;"INVALID QUALITY AUDIT DETAILS"&amp;CHAR(10)&amp;"Validation: Invalid"&amp;CHAR(10)&amp;"Invalid Reason: "&amp;$P1951&amp;CHAR(10)&amp;"Expected Resolution Code: "&amp;$Q1951&amp;CHAR(10)&amp;"Remarks: "&amp;LEFT($R1951,600)&amp;CHAR(10)&amp;CHAR(10)&amp;"This is an automated notification from HP Mainstream EQMS."),"✉ Open Email Draft"),"")</f>
        <v/>
      </c>
    </row>
    <row r="1952">
      <c r="A1952" s="25">
        <f>IF($C1952="","","AUD-2026-"&amp;TEXT(ROW()-1,"000000"))</f>
        <v/>
      </c>
      <c r="B1952" s="26" t="n"/>
      <c r="C1952" s="27" t="n"/>
      <c r="D1952" s="25">
        <f>IF($C1952="","",IFERROR(IF(INDEX(Roster!$A:$A,MATCH($C1952,Roster!$B:$B,0))="","",INDEX(Roster!$A:$A,MATCH($C1952,Roster!$B:$B,0))&amp;""),"—"))</f>
        <v/>
      </c>
      <c r="E1952" s="25">
        <f>IF($C1952="","",IFERROR(IF(INDEX(Roster!$C:$C,MATCH($C1952,Roster!$B:$B,0))="","",INDEX(Roster!$C:$C,MATCH($C1952,Roster!$B:$B,0))&amp;""),"—"))</f>
        <v/>
      </c>
      <c r="F1952" s="25">
        <f>IF($C1952="","",IFERROR(IF(INDEX(Roster!$D:$D,MATCH($C1952,Roster!$B:$B,0))="","",INDEX(Roster!$D:$D,MATCH($C1952,Roster!$B:$B,0))&amp;""),"—"))</f>
        <v/>
      </c>
      <c r="G1952" s="25">
        <f>IF($C1952="","",IFERROR(IF(INDEX(Roster!$E:$E,MATCH($C1952,Roster!$B:$B,0))="","",INDEX(Roster!$E:$E,MATCH($C1952,Roster!$B:$B,0))&amp;""),"—"))</f>
        <v/>
      </c>
      <c r="H1952" s="25">
        <f>IF($C1952="","",IFERROR(IF(INDEX(Roster!$F:$F,MATCH($C1952,Roster!$B:$B,0))="","",INDEX(Roster!$F:$F,MATCH($C1952,Roster!$B:$B,0))&amp;""),"—"))</f>
        <v/>
      </c>
      <c r="I1952" s="25">
        <f>IF($C1952="","",IFERROR(IF(INDEX(Roster!$G:$G,MATCH($C1952,Roster!$B:$B,0))="","",INDEX(Roster!$G:$G,MATCH($C1952,Roster!$B:$B,0))&amp;""),"—"))</f>
        <v/>
      </c>
      <c r="J1952" s="25">
        <f>IF($C1952="","",IFERROR(IF(INDEX(Roster!$I:$I,MATCH($C1952,Roster!$B:$B,0))="","",INDEX(Roster!$I:$I,MATCH($C1952,Roster!$B:$B,0))&amp;""),"—"))</f>
        <v/>
      </c>
      <c r="K1952">
        <f>IF($C1952="","",IFERROR(IF(INDEX(Roster!$J:$J,MATCH($C1952,Roster!$B:$B,0))="","",INDEX(Roster!$J:$J,MATCH($C1952,Roster!$B:$B,0))&amp;""),"—"))</f>
        <v/>
      </c>
      <c r="L1952">
        <f>IF($C1952="","",IFERROR(IF(INDEX(Roster!$K:$K,MATCH($C1952,Roster!$B:$B,0))="","",INDEX(Roster!$K:$K,MATCH($C1952,Roster!$B:$B,0))&amp;""),"—"))</f>
        <v/>
      </c>
      <c r="M1952" s="27" t="n"/>
      <c r="N1952" s="27" t="n"/>
      <c r="O1952" s="25">
        <f>IF($C1952="","",IF($P1952="","—",IF($P1952="Valid (Pass)","Valid","Invalid")))</f>
        <v/>
      </c>
      <c r="P1952" s="27" t="n"/>
      <c r="Q1952" s="27" t="n"/>
      <c r="R1952" s="27" t="n"/>
      <c r="S1952" s="27" t="n"/>
      <c r="T1952" s="25">
        <f>IF($C1952="","",IF(OR(ISNUMBER(SEARCH("quick case",$P1952)),ISNUMBER(SEARCH("quick case",$Q1952))),"Yes","No"))</f>
        <v/>
      </c>
      <c r="U1952" s="25">
        <f>IF($O1952="Invalid",HYPERLINK("mailto:"&amp;$G1952&amp;";"&amp;$I1952&amp;"?cc="&amp;Lists!$E$2&amp;"&amp;subject="&amp;_xlfn.ENCODEURL("[INVALID] Quality audit monitoring completed for "&amp;UPPER($C1952))&amp;"&amp;body="&amp;_xlfn.ENCODEURL("Hi "&amp;$F1952&amp;","&amp;CHAR(10)&amp;"Good day!"&amp;CHAR(10)&amp;CHAR(10)&amp;"A quality monitoring audit has been completed for "&amp;$C1952&amp;"."&amp;CHAR(10)&amp;CHAR(10)&amp;"QUALITY AUDIT DETAILS"&amp;CHAR(10)&amp;"Agent Name: "&amp;$C1952&amp;" (EID "&amp;$D1952&amp;")"&amp;CHAR(10)&amp;"Audit Date: "&amp;TEXT($B1952,"yyyy-mm-dd")&amp;CHAR(10)&amp;"Team Leader: "&amp;$F1952&amp;CHAR(10)&amp;"Case Number: "&amp;$M1952&amp;CHAR(10)&amp;"Transaction ID: "&amp;$N1952&amp;CHAR(10)&amp;"Channel / LOB: "&amp;$K1952&amp;" / "&amp;$L1952&amp;CHAR(10)&amp;"Evaluator: "&amp;$S1952&amp;CHAR(10)&amp;CHAR(10)&amp;"INVALID QUALITY AUDIT DETAILS"&amp;CHAR(10)&amp;"Validation: Invalid"&amp;CHAR(10)&amp;"Invalid Reason: "&amp;$P1952&amp;CHAR(10)&amp;"Expected Resolution Code: "&amp;$Q1952&amp;CHAR(10)&amp;"Remarks: "&amp;LEFT($R1952,600)&amp;CHAR(10)&amp;CHAR(10)&amp;"This is an automated notification from HP Mainstream EQMS."),"✉ Open Email Draft"),"")</f>
        <v/>
      </c>
    </row>
    <row r="1953">
      <c r="A1953" s="25">
        <f>IF($C1953="","","AUD-2026-"&amp;TEXT(ROW()-1,"000000"))</f>
        <v/>
      </c>
      <c r="B1953" s="26" t="n"/>
      <c r="C1953" s="27" t="n"/>
      <c r="D1953" s="25">
        <f>IF($C1953="","",IFERROR(IF(INDEX(Roster!$A:$A,MATCH($C1953,Roster!$B:$B,0))="","",INDEX(Roster!$A:$A,MATCH($C1953,Roster!$B:$B,0))&amp;""),"—"))</f>
        <v/>
      </c>
      <c r="E1953" s="25">
        <f>IF($C1953="","",IFERROR(IF(INDEX(Roster!$C:$C,MATCH($C1953,Roster!$B:$B,0))="","",INDEX(Roster!$C:$C,MATCH($C1953,Roster!$B:$B,0))&amp;""),"—"))</f>
        <v/>
      </c>
      <c r="F1953" s="25">
        <f>IF($C1953="","",IFERROR(IF(INDEX(Roster!$D:$D,MATCH($C1953,Roster!$B:$B,0))="","",INDEX(Roster!$D:$D,MATCH($C1953,Roster!$B:$B,0))&amp;""),"—"))</f>
        <v/>
      </c>
      <c r="G1953" s="25">
        <f>IF($C1953="","",IFERROR(IF(INDEX(Roster!$E:$E,MATCH($C1953,Roster!$B:$B,0))="","",INDEX(Roster!$E:$E,MATCH($C1953,Roster!$B:$B,0))&amp;""),"—"))</f>
        <v/>
      </c>
      <c r="H1953" s="25">
        <f>IF($C1953="","",IFERROR(IF(INDEX(Roster!$F:$F,MATCH($C1953,Roster!$B:$B,0))="","",INDEX(Roster!$F:$F,MATCH($C1953,Roster!$B:$B,0))&amp;""),"—"))</f>
        <v/>
      </c>
      <c r="I1953" s="25">
        <f>IF($C1953="","",IFERROR(IF(INDEX(Roster!$G:$G,MATCH($C1953,Roster!$B:$B,0))="","",INDEX(Roster!$G:$G,MATCH($C1953,Roster!$B:$B,0))&amp;""),"—"))</f>
        <v/>
      </c>
      <c r="J1953" s="25">
        <f>IF($C1953="","",IFERROR(IF(INDEX(Roster!$I:$I,MATCH($C1953,Roster!$B:$B,0))="","",INDEX(Roster!$I:$I,MATCH($C1953,Roster!$B:$B,0))&amp;""),"—"))</f>
        <v/>
      </c>
      <c r="K1953">
        <f>IF($C1953="","",IFERROR(IF(INDEX(Roster!$J:$J,MATCH($C1953,Roster!$B:$B,0))="","",INDEX(Roster!$J:$J,MATCH($C1953,Roster!$B:$B,0))&amp;""),"—"))</f>
        <v/>
      </c>
      <c r="L1953">
        <f>IF($C1953="","",IFERROR(IF(INDEX(Roster!$K:$K,MATCH($C1953,Roster!$B:$B,0))="","",INDEX(Roster!$K:$K,MATCH($C1953,Roster!$B:$B,0))&amp;""),"—"))</f>
        <v/>
      </c>
      <c r="M1953" s="27" t="n"/>
      <c r="N1953" s="27" t="n"/>
      <c r="O1953" s="25">
        <f>IF($C1953="","",IF($P1953="","—",IF($P1953="Valid (Pass)","Valid","Invalid")))</f>
        <v/>
      </c>
      <c r="P1953" s="27" t="n"/>
      <c r="Q1953" s="27" t="n"/>
      <c r="R1953" s="27" t="n"/>
      <c r="S1953" s="27" t="n"/>
      <c r="T1953" s="25">
        <f>IF($C1953="","",IF(OR(ISNUMBER(SEARCH("quick case",$P1953)),ISNUMBER(SEARCH("quick case",$Q1953))),"Yes","No"))</f>
        <v/>
      </c>
      <c r="U1953" s="25">
        <f>IF($O1953="Invalid",HYPERLINK("mailto:"&amp;$G1953&amp;";"&amp;$I1953&amp;"?cc="&amp;Lists!$E$2&amp;"&amp;subject="&amp;_xlfn.ENCODEURL("[INVALID] Quality audit monitoring completed for "&amp;UPPER($C1953))&amp;"&amp;body="&amp;_xlfn.ENCODEURL("Hi "&amp;$F1953&amp;","&amp;CHAR(10)&amp;"Good day!"&amp;CHAR(10)&amp;CHAR(10)&amp;"A quality monitoring audit has been completed for "&amp;$C1953&amp;"."&amp;CHAR(10)&amp;CHAR(10)&amp;"QUALITY AUDIT DETAILS"&amp;CHAR(10)&amp;"Agent Name: "&amp;$C1953&amp;" (EID "&amp;$D1953&amp;")"&amp;CHAR(10)&amp;"Audit Date: "&amp;TEXT($B1953,"yyyy-mm-dd")&amp;CHAR(10)&amp;"Team Leader: "&amp;$F1953&amp;CHAR(10)&amp;"Case Number: "&amp;$M1953&amp;CHAR(10)&amp;"Transaction ID: "&amp;$N1953&amp;CHAR(10)&amp;"Channel / LOB: "&amp;$K1953&amp;" / "&amp;$L1953&amp;CHAR(10)&amp;"Evaluator: "&amp;$S1953&amp;CHAR(10)&amp;CHAR(10)&amp;"INVALID QUALITY AUDIT DETAILS"&amp;CHAR(10)&amp;"Validation: Invalid"&amp;CHAR(10)&amp;"Invalid Reason: "&amp;$P1953&amp;CHAR(10)&amp;"Expected Resolution Code: "&amp;$Q1953&amp;CHAR(10)&amp;"Remarks: "&amp;LEFT($R1953,600)&amp;CHAR(10)&amp;CHAR(10)&amp;"This is an automated notification from HP Mainstream EQMS."),"✉ Open Email Draft"),"")</f>
        <v/>
      </c>
    </row>
    <row r="1954">
      <c r="A1954" s="25">
        <f>IF($C1954="","","AUD-2026-"&amp;TEXT(ROW()-1,"000000"))</f>
        <v/>
      </c>
      <c r="B1954" s="26" t="n"/>
      <c r="C1954" s="27" t="n"/>
      <c r="D1954" s="25">
        <f>IF($C1954="","",IFERROR(IF(INDEX(Roster!$A:$A,MATCH($C1954,Roster!$B:$B,0))="","",INDEX(Roster!$A:$A,MATCH($C1954,Roster!$B:$B,0))&amp;""),"—"))</f>
        <v/>
      </c>
      <c r="E1954" s="25">
        <f>IF($C1954="","",IFERROR(IF(INDEX(Roster!$C:$C,MATCH($C1954,Roster!$B:$B,0))="","",INDEX(Roster!$C:$C,MATCH($C1954,Roster!$B:$B,0))&amp;""),"—"))</f>
        <v/>
      </c>
      <c r="F1954" s="25">
        <f>IF($C1954="","",IFERROR(IF(INDEX(Roster!$D:$D,MATCH($C1954,Roster!$B:$B,0))="","",INDEX(Roster!$D:$D,MATCH($C1954,Roster!$B:$B,0))&amp;""),"—"))</f>
        <v/>
      </c>
      <c r="G1954" s="25">
        <f>IF($C1954="","",IFERROR(IF(INDEX(Roster!$E:$E,MATCH($C1954,Roster!$B:$B,0))="","",INDEX(Roster!$E:$E,MATCH($C1954,Roster!$B:$B,0))&amp;""),"—"))</f>
        <v/>
      </c>
      <c r="H1954" s="25">
        <f>IF($C1954="","",IFERROR(IF(INDEX(Roster!$F:$F,MATCH($C1954,Roster!$B:$B,0))="","",INDEX(Roster!$F:$F,MATCH($C1954,Roster!$B:$B,0))&amp;""),"—"))</f>
        <v/>
      </c>
      <c r="I1954" s="25">
        <f>IF($C1954="","",IFERROR(IF(INDEX(Roster!$G:$G,MATCH($C1954,Roster!$B:$B,0))="","",INDEX(Roster!$G:$G,MATCH($C1954,Roster!$B:$B,0))&amp;""),"—"))</f>
        <v/>
      </c>
      <c r="J1954" s="25">
        <f>IF($C1954="","",IFERROR(IF(INDEX(Roster!$I:$I,MATCH($C1954,Roster!$B:$B,0))="","",INDEX(Roster!$I:$I,MATCH($C1954,Roster!$B:$B,0))&amp;""),"—"))</f>
        <v/>
      </c>
      <c r="K1954">
        <f>IF($C1954="","",IFERROR(IF(INDEX(Roster!$J:$J,MATCH($C1954,Roster!$B:$B,0))="","",INDEX(Roster!$J:$J,MATCH($C1954,Roster!$B:$B,0))&amp;""),"—"))</f>
        <v/>
      </c>
      <c r="L1954">
        <f>IF($C1954="","",IFERROR(IF(INDEX(Roster!$K:$K,MATCH($C1954,Roster!$B:$B,0))="","",INDEX(Roster!$K:$K,MATCH($C1954,Roster!$B:$B,0))&amp;""),"—"))</f>
        <v/>
      </c>
      <c r="M1954" s="27" t="n"/>
      <c r="N1954" s="27" t="n"/>
      <c r="O1954" s="25">
        <f>IF($C1954="","",IF($P1954="","—",IF($P1954="Valid (Pass)","Valid","Invalid")))</f>
        <v/>
      </c>
      <c r="P1954" s="27" t="n"/>
      <c r="Q1954" s="27" t="n"/>
      <c r="R1954" s="27" t="n"/>
      <c r="S1954" s="27" t="n"/>
      <c r="T1954" s="25">
        <f>IF($C1954="","",IF(OR(ISNUMBER(SEARCH("quick case",$P1954)),ISNUMBER(SEARCH("quick case",$Q1954))),"Yes","No"))</f>
        <v/>
      </c>
      <c r="U1954" s="25">
        <f>IF($O1954="Invalid",HYPERLINK("mailto:"&amp;$G1954&amp;";"&amp;$I1954&amp;"?cc="&amp;Lists!$E$2&amp;"&amp;subject="&amp;_xlfn.ENCODEURL("[INVALID] Quality audit monitoring completed for "&amp;UPPER($C1954))&amp;"&amp;body="&amp;_xlfn.ENCODEURL("Hi "&amp;$F1954&amp;","&amp;CHAR(10)&amp;"Good day!"&amp;CHAR(10)&amp;CHAR(10)&amp;"A quality monitoring audit has been completed for "&amp;$C1954&amp;"."&amp;CHAR(10)&amp;CHAR(10)&amp;"QUALITY AUDIT DETAILS"&amp;CHAR(10)&amp;"Agent Name: "&amp;$C1954&amp;" (EID "&amp;$D1954&amp;")"&amp;CHAR(10)&amp;"Audit Date: "&amp;TEXT($B1954,"yyyy-mm-dd")&amp;CHAR(10)&amp;"Team Leader: "&amp;$F1954&amp;CHAR(10)&amp;"Case Number: "&amp;$M1954&amp;CHAR(10)&amp;"Transaction ID: "&amp;$N1954&amp;CHAR(10)&amp;"Channel / LOB: "&amp;$K1954&amp;" / "&amp;$L1954&amp;CHAR(10)&amp;"Evaluator: "&amp;$S1954&amp;CHAR(10)&amp;CHAR(10)&amp;"INVALID QUALITY AUDIT DETAILS"&amp;CHAR(10)&amp;"Validation: Invalid"&amp;CHAR(10)&amp;"Invalid Reason: "&amp;$P1954&amp;CHAR(10)&amp;"Expected Resolution Code: "&amp;$Q1954&amp;CHAR(10)&amp;"Remarks: "&amp;LEFT($R1954,600)&amp;CHAR(10)&amp;CHAR(10)&amp;"This is an automated notification from HP Mainstream EQMS."),"✉ Open Email Draft"),"")</f>
        <v/>
      </c>
    </row>
    <row r="1955">
      <c r="A1955" s="25">
        <f>IF($C1955="","","AUD-2026-"&amp;TEXT(ROW()-1,"000000"))</f>
        <v/>
      </c>
      <c r="B1955" s="26" t="n"/>
      <c r="C1955" s="27" t="n"/>
      <c r="D1955" s="25">
        <f>IF($C1955="","",IFERROR(IF(INDEX(Roster!$A:$A,MATCH($C1955,Roster!$B:$B,0))="","",INDEX(Roster!$A:$A,MATCH($C1955,Roster!$B:$B,0))&amp;""),"—"))</f>
        <v/>
      </c>
      <c r="E1955" s="25">
        <f>IF($C1955="","",IFERROR(IF(INDEX(Roster!$C:$C,MATCH($C1955,Roster!$B:$B,0))="","",INDEX(Roster!$C:$C,MATCH($C1955,Roster!$B:$B,0))&amp;""),"—"))</f>
        <v/>
      </c>
      <c r="F1955" s="25">
        <f>IF($C1955="","",IFERROR(IF(INDEX(Roster!$D:$D,MATCH($C1955,Roster!$B:$B,0))="","",INDEX(Roster!$D:$D,MATCH($C1955,Roster!$B:$B,0))&amp;""),"—"))</f>
        <v/>
      </c>
      <c r="G1955" s="25">
        <f>IF($C1955="","",IFERROR(IF(INDEX(Roster!$E:$E,MATCH($C1955,Roster!$B:$B,0))="","",INDEX(Roster!$E:$E,MATCH($C1955,Roster!$B:$B,0))&amp;""),"—"))</f>
        <v/>
      </c>
      <c r="H1955" s="25">
        <f>IF($C1955="","",IFERROR(IF(INDEX(Roster!$F:$F,MATCH($C1955,Roster!$B:$B,0))="","",INDEX(Roster!$F:$F,MATCH($C1955,Roster!$B:$B,0))&amp;""),"—"))</f>
        <v/>
      </c>
      <c r="I1955" s="25">
        <f>IF($C1955="","",IFERROR(IF(INDEX(Roster!$G:$G,MATCH($C1955,Roster!$B:$B,0))="","",INDEX(Roster!$G:$G,MATCH($C1955,Roster!$B:$B,0))&amp;""),"—"))</f>
        <v/>
      </c>
      <c r="J1955" s="25">
        <f>IF($C1955="","",IFERROR(IF(INDEX(Roster!$I:$I,MATCH($C1955,Roster!$B:$B,0))="","",INDEX(Roster!$I:$I,MATCH($C1955,Roster!$B:$B,0))&amp;""),"—"))</f>
        <v/>
      </c>
      <c r="K1955">
        <f>IF($C1955="","",IFERROR(IF(INDEX(Roster!$J:$J,MATCH($C1955,Roster!$B:$B,0))="","",INDEX(Roster!$J:$J,MATCH($C1955,Roster!$B:$B,0))&amp;""),"—"))</f>
        <v/>
      </c>
      <c r="L1955">
        <f>IF($C1955="","",IFERROR(IF(INDEX(Roster!$K:$K,MATCH($C1955,Roster!$B:$B,0))="","",INDEX(Roster!$K:$K,MATCH($C1955,Roster!$B:$B,0))&amp;""),"—"))</f>
        <v/>
      </c>
      <c r="M1955" s="27" t="n"/>
      <c r="N1955" s="27" t="n"/>
      <c r="O1955" s="25">
        <f>IF($C1955="","",IF($P1955="","—",IF($P1955="Valid (Pass)","Valid","Invalid")))</f>
        <v/>
      </c>
      <c r="P1955" s="27" t="n"/>
      <c r="Q1955" s="27" t="n"/>
      <c r="R1955" s="27" t="n"/>
      <c r="S1955" s="27" t="n"/>
      <c r="T1955" s="25">
        <f>IF($C1955="","",IF(OR(ISNUMBER(SEARCH("quick case",$P1955)),ISNUMBER(SEARCH("quick case",$Q1955))),"Yes","No"))</f>
        <v/>
      </c>
      <c r="U1955" s="25">
        <f>IF($O1955="Invalid",HYPERLINK("mailto:"&amp;$G1955&amp;";"&amp;$I1955&amp;"?cc="&amp;Lists!$E$2&amp;"&amp;subject="&amp;_xlfn.ENCODEURL("[INVALID] Quality audit monitoring completed for "&amp;UPPER($C1955))&amp;"&amp;body="&amp;_xlfn.ENCODEURL("Hi "&amp;$F1955&amp;","&amp;CHAR(10)&amp;"Good day!"&amp;CHAR(10)&amp;CHAR(10)&amp;"A quality monitoring audit has been completed for "&amp;$C1955&amp;"."&amp;CHAR(10)&amp;CHAR(10)&amp;"QUALITY AUDIT DETAILS"&amp;CHAR(10)&amp;"Agent Name: "&amp;$C1955&amp;" (EID "&amp;$D1955&amp;")"&amp;CHAR(10)&amp;"Audit Date: "&amp;TEXT($B1955,"yyyy-mm-dd")&amp;CHAR(10)&amp;"Team Leader: "&amp;$F1955&amp;CHAR(10)&amp;"Case Number: "&amp;$M1955&amp;CHAR(10)&amp;"Transaction ID: "&amp;$N1955&amp;CHAR(10)&amp;"Channel / LOB: "&amp;$K1955&amp;" / "&amp;$L1955&amp;CHAR(10)&amp;"Evaluator: "&amp;$S1955&amp;CHAR(10)&amp;CHAR(10)&amp;"INVALID QUALITY AUDIT DETAILS"&amp;CHAR(10)&amp;"Validation: Invalid"&amp;CHAR(10)&amp;"Invalid Reason: "&amp;$P1955&amp;CHAR(10)&amp;"Expected Resolution Code: "&amp;$Q1955&amp;CHAR(10)&amp;"Remarks: "&amp;LEFT($R1955,600)&amp;CHAR(10)&amp;CHAR(10)&amp;"This is an automated notification from HP Mainstream EQMS."),"✉ Open Email Draft"),"")</f>
        <v/>
      </c>
    </row>
    <row r="1956">
      <c r="A1956" s="25">
        <f>IF($C1956="","","AUD-2026-"&amp;TEXT(ROW()-1,"000000"))</f>
        <v/>
      </c>
      <c r="B1956" s="26" t="n"/>
      <c r="C1956" s="27" t="n"/>
      <c r="D1956" s="25">
        <f>IF($C1956="","",IFERROR(IF(INDEX(Roster!$A:$A,MATCH($C1956,Roster!$B:$B,0))="","",INDEX(Roster!$A:$A,MATCH($C1956,Roster!$B:$B,0))&amp;""),"—"))</f>
        <v/>
      </c>
      <c r="E1956" s="25">
        <f>IF($C1956="","",IFERROR(IF(INDEX(Roster!$C:$C,MATCH($C1956,Roster!$B:$B,0))="","",INDEX(Roster!$C:$C,MATCH($C1956,Roster!$B:$B,0))&amp;""),"—"))</f>
        <v/>
      </c>
      <c r="F1956" s="25">
        <f>IF($C1956="","",IFERROR(IF(INDEX(Roster!$D:$D,MATCH($C1956,Roster!$B:$B,0))="","",INDEX(Roster!$D:$D,MATCH($C1956,Roster!$B:$B,0))&amp;""),"—"))</f>
        <v/>
      </c>
      <c r="G1956" s="25">
        <f>IF($C1956="","",IFERROR(IF(INDEX(Roster!$E:$E,MATCH($C1956,Roster!$B:$B,0))="","",INDEX(Roster!$E:$E,MATCH($C1956,Roster!$B:$B,0))&amp;""),"—"))</f>
        <v/>
      </c>
      <c r="H1956" s="25">
        <f>IF($C1956="","",IFERROR(IF(INDEX(Roster!$F:$F,MATCH($C1956,Roster!$B:$B,0))="","",INDEX(Roster!$F:$F,MATCH($C1956,Roster!$B:$B,0))&amp;""),"—"))</f>
        <v/>
      </c>
      <c r="I1956" s="25">
        <f>IF($C1956="","",IFERROR(IF(INDEX(Roster!$G:$G,MATCH($C1956,Roster!$B:$B,0))="","",INDEX(Roster!$G:$G,MATCH($C1956,Roster!$B:$B,0))&amp;""),"—"))</f>
        <v/>
      </c>
      <c r="J1956" s="25">
        <f>IF($C1956="","",IFERROR(IF(INDEX(Roster!$I:$I,MATCH($C1956,Roster!$B:$B,0))="","",INDEX(Roster!$I:$I,MATCH($C1956,Roster!$B:$B,0))&amp;""),"—"))</f>
        <v/>
      </c>
      <c r="K1956">
        <f>IF($C1956="","",IFERROR(IF(INDEX(Roster!$J:$J,MATCH($C1956,Roster!$B:$B,0))="","",INDEX(Roster!$J:$J,MATCH($C1956,Roster!$B:$B,0))&amp;""),"—"))</f>
        <v/>
      </c>
      <c r="L1956">
        <f>IF($C1956="","",IFERROR(IF(INDEX(Roster!$K:$K,MATCH($C1956,Roster!$B:$B,0))="","",INDEX(Roster!$K:$K,MATCH($C1956,Roster!$B:$B,0))&amp;""),"—"))</f>
        <v/>
      </c>
      <c r="M1956" s="27" t="n"/>
      <c r="N1956" s="27" t="n"/>
      <c r="O1956" s="25">
        <f>IF($C1956="","",IF($P1956="","—",IF($P1956="Valid (Pass)","Valid","Invalid")))</f>
        <v/>
      </c>
      <c r="P1956" s="27" t="n"/>
      <c r="Q1956" s="27" t="n"/>
      <c r="R1956" s="27" t="n"/>
      <c r="S1956" s="27" t="n"/>
      <c r="T1956" s="25">
        <f>IF($C1956="","",IF(OR(ISNUMBER(SEARCH("quick case",$P1956)),ISNUMBER(SEARCH("quick case",$Q1956))),"Yes","No"))</f>
        <v/>
      </c>
      <c r="U1956" s="25">
        <f>IF($O1956="Invalid",HYPERLINK("mailto:"&amp;$G1956&amp;";"&amp;$I1956&amp;"?cc="&amp;Lists!$E$2&amp;"&amp;subject="&amp;_xlfn.ENCODEURL("[INVALID] Quality audit monitoring completed for "&amp;UPPER($C1956))&amp;"&amp;body="&amp;_xlfn.ENCODEURL("Hi "&amp;$F1956&amp;","&amp;CHAR(10)&amp;"Good day!"&amp;CHAR(10)&amp;CHAR(10)&amp;"A quality monitoring audit has been completed for "&amp;$C1956&amp;"."&amp;CHAR(10)&amp;CHAR(10)&amp;"QUALITY AUDIT DETAILS"&amp;CHAR(10)&amp;"Agent Name: "&amp;$C1956&amp;" (EID "&amp;$D1956&amp;")"&amp;CHAR(10)&amp;"Audit Date: "&amp;TEXT($B1956,"yyyy-mm-dd")&amp;CHAR(10)&amp;"Team Leader: "&amp;$F1956&amp;CHAR(10)&amp;"Case Number: "&amp;$M1956&amp;CHAR(10)&amp;"Transaction ID: "&amp;$N1956&amp;CHAR(10)&amp;"Channel / LOB: "&amp;$K1956&amp;" / "&amp;$L1956&amp;CHAR(10)&amp;"Evaluator: "&amp;$S1956&amp;CHAR(10)&amp;CHAR(10)&amp;"INVALID QUALITY AUDIT DETAILS"&amp;CHAR(10)&amp;"Validation: Invalid"&amp;CHAR(10)&amp;"Invalid Reason: "&amp;$P1956&amp;CHAR(10)&amp;"Expected Resolution Code: "&amp;$Q1956&amp;CHAR(10)&amp;"Remarks: "&amp;LEFT($R1956,600)&amp;CHAR(10)&amp;CHAR(10)&amp;"This is an automated notification from HP Mainstream EQMS."),"✉ Open Email Draft"),"")</f>
        <v/>
      </c>
    </row>
    <row r="1957">
      <c r="A1957" s="25">
        <f>IF($C1957="","","AUD-2026-"&amp;TEXT(ROW()-1,"000000"))</f>
        <v/>
      </c>
      <c r="B1957" s="26" t="n"/>
      <c r="C1957" s="27" t="n"/>
      <c r="D1957" s="25">
        <f>IF($C1957="","",IFERROR(IF(INDEX(Roster!$A:$A,MATCH($C1957,Roster!$B:$B,0))="","",INDEX(Roster!$A:$A,MATCH($C1957,Roster!$B:$B,0))&amp;""),"—"))</f>
        <v/>
      </c>
      <c r="E1957" s="25">
        <f>IF($C1957="","",IFERROR(IF(INDEX(Roster!$C:$C,MATCH($C1957,Roster!$B:$B,0))="","",INDEX(Roster!$C:$C,MATCH($C1957,Roster!$B:$B,0))&amp;""),"—"))</f>
        <v/>
      </c>
      <c r="F1957" s="25">
        <f>IF($C1957="","",IFERROR(IF(INDEX(Roster!$D:$D,MATCH($C1957,Roster!$B:$B,0))="","",INDEX(Roster!$D:$D,MATCH($C1957,Roster!$B:$B,0))&amp;""),"—"))</f>
        <v/>
      </c>
      <c r="G1957" s="25">
        <f>IF($C1957="","",IFERROR(IF(INDEX(Roster!$E:$E,MATCH($C1957,Roster!$B:$B,0))="","",INDEX(Roster!$E:$E,MATCH($C1957,Roster!$B:$B,0))&amp;""),"—"))</f>
        <v/>
      </c>
      <c r="H1957" s="25">
        <f>IF($C1957="","",IFERROR(IF(INDEX(Roster!$F:$F,MATCH($C1957,Roster!$B:$B,0))="","",INDEX(Roster!$F:$F,MATCH($C1957,Roster!$B:$B,0))&amp;""),"—"))</f>
        <v/>
      </c>
      <c r="I1957" s="25">
        <f>IF($C1957="","",IFERROR(IF(INDEX(Roster!$G:$G,MATCH($C1957,Roster!$B:$B,0))="","",INDEX(Roster!$G:$G,MATCH($C1957,Roster!$B:$B,0))&amp;""),"—"))</f>
        <v/>
      </c>
      <c r="J1957" s="25">
        <f>IF($C1957="","",IFERROR(IF(INDEX(Roster!$I:$I,MATCH($C1957,Roster!$B:$B,0))="","",INDEX(Roster!$I:$I,MATCH($C1957,Roster!$B:$B,0))&amp;""),"—"))</f>
        <v/>
      </c>
      <c r="K1957">
        <f>IF($C1957="","",IFERROR(IF(INDEX(Roster!$J:$J,MATCH($C1957,Roster!$B:$B,0))="","",INDEX(Roster!$J:$J,MATCH($C1957,Roster!$B:$B,0))&amp;""),"—"))</f>
        <v/>
      </c>
      <c r="L1957">
        <f>IF($C1957="","",IFERROR(IF(INDEX(Roster!$K:$K,MATCH($C1957,Roster!$B:$B,0))="","",INDEX(Roster!$K:$K,MATCH($C1957,Roster!$B:$B,0))&amp;""),"—"))</f>
        <v/>
      </c>
      <c r="M1957" s="27" t="n"/>
      <c r="N1957" s="27" t="n"/>
      <c r="O1957" s="25">
        <f>IF($C1957="","",IF($P1957="","—",IF($P1957="Valid (Pass)","Valid","Invalid")))</f>
        <v/>
      </c>
      <c r="P1957" s="27" t="n"/>
      <c r="Q1957" s="27" t="n"/>
      <c r="R1957" s="27" t="n"/>
      <c r="S1957" s="27" t="n"/>
      <c r="T1957" s="25">
        <f>IF($C1957="","",IF(OR(ISNUMBER(SEARCH("quick case",$P1957)),ISNUMBER(SEARCH("quick case",$Q1957))),"Yes","No"))</f>
        <v/>
      </c>
      <c r="U1957" s="25">
        <f>IF($O1957="Invalid",HYPERLINK("mailto:"&amp;$G1957&amp;";"&amp;$I1957&amp;"?cc="&amp;Lists!$E$2&amp;"&amp;subject="&amp;_xlfn.ENCODEURL("[INVALID] Quality audit monitoring completed for "&amp;UPPER($C1957))&amp;"&amp;body="&amp;_xlfn.ENCODEURL("Hi "&amp;$F1957&amp;","&amp;CHAR(10)&amp;"Good day!"&amp;CHAR(10)&amp;CHAR(10)&amp;"A quality monitoring audit has been completed for "&amp;$C1957&amp;"."&amp;CHAR(10)&amp;CHAR(10)&amp;"QUALITY AUDIT DETAILS"&amp;CHAR(10)&amp;"Agent Name: "&amp;$C1957&amp;" (EID "&amp;$D1957&amp;")"&amp;CHAR(10)&amp;"Audit Date: "&amp;TEXT($B1957,"yyyy-mm-dd")&amp;CHAR(10)&amp;"Team Leader: "&amp;$F1957&amp;CHAR(10)&amp;"Case Number: "&amp;$M1957&amp;CHAR(10)&amp;"Transaction ID: "&amp;$N1957&amp;CHAR(10)&amp;"Channel / LOB: "&amp;$K1957&amp;" / "&amp;$L1957&amp;CHAR(10)&amp;"Evaluator: "&amp;$S1957&amp;CHAR(10)&amp;CHAR(10)&amp;"INVALID QUALITY AUDIT DETAILS"&amp;CHAR(10)&amp;"Validation: Invalid"&amp;CHAR(10)&amp;"Invalid Reason: "&amp;$P1957&amp;CHAR(10)&amp;"Expected Resolution Code: "&amp;$Q1957&amp;CHAR(10)&amp;"Remarks: "&amp;LEFT($R1957,600)&amp;CHAR(10)&amp;CHAR(10)&amp;"This is an automated notification from HP Mainstream EQMS."),"✉ Open Email Draft"),"")</f>
        <v/>
      </c>
    </row>
    <row r="1958">
      <c r="A1958" s="25">
        <f>IF($C1958="","","AUD-2026-"&amp;TEXT(ROW()-1,"000000"))</f>
        <v/>
      </c>
      <c r="B1958" s="26" t="n"/>
      <c r="C1958" s="27" t="n"/>
      <c r="D1958" s="25">
        <f>IF($C1958="","",IFERROR(IF(INDEX(Roster!$A:$A,MATCH($C1958,Roster!$B:$B,0))="","",INDEX(Roster!$A:$A,MATCH($C1958,Roster!$B:$B,0))&amp;""),"—"))</f>
        <v/>
      </c>
      <c r="E1958" s="25">
        <f>IF($C1958="","",IFERROR(IF(INDEX(Roster!$C:$C,MATCH($C1958,Roster!$B:$B,0))="","",INDEX(Roster!$C:$C,MATCH($C1958,Roster!$B:$B,0))&amp;""),"—"))</f>
        <v/>
      </c>
      <c r="F1958" s="25">
        <f>IF($C1958="","",IFERROR(IF(INDEX(Roster!$D:$D,MATCH($C1958,Roster!$B:$B,0))="","",INDEX(Roster!$D:$D,MATCH($C1958,Roster!$B:$B,0))&amp;""),"—"))</f>
        <v/>
      </c>
      <c r="G1958" s="25">
        <f>IF($C1958="","",IFERROR(IF(INDEX(Roster!$E:$E,MATCH($C1958,Roster!$B:$B,0))="","",INDEX(Roster!$E:$E,MATCH($C1958,Roster!$B:$B,0))&amp;""),"—"))</f>
        <v/>
      </c>
      <c r="H1958" s="25">
        <f>IF($C1958="","",IFERROR(IF(INDEX(Roster!$F:$F,MATCH($C1958,Roster!$B:$B,0))="","",INDEX(Roster!$F:$F,MATCH($C1958,Roster!$B:$B,0))&amp;""),"—"))</f>
        <v/>
      </c>
      <c r="I1958" s="25">
        <f>IF($C1958="","",IFERROR(IF(INDEX(Roster!$G:$G,MATCH($C1958,Roster!$B:$B,0))="","",INDEX(Roster!$G:$G,MATCH($C1958,Roster!$B:$B,0))&amp;""),"—"))</f>
        <v/>
      </c>
      <c r="J1958" s="25">
        <f>IF($C1958="","",IFERROR(IF(INDEX(Roster!$I:$I,MATCH($C1958,Roster!$B:$B,0))="","",INDEX(Roster!$I:$I,MATCH($C1958,Roster!$B:$B,0))&amp;""),"—"))</f>
        <v/>
      </c>
      <c r="K1958">
        <f>IF($C1958="","",IFERROR(IF(INDEX(Roster!$J:$J,MATCH($C1958,Roster!$B:$B,0))="","",INDEX(Roster!$J:$J,MATCH($C1958,Roster!$B:$B,0))&amp;""),"—"))</f>
        <v/>
      </c>
      <c r="L1958">
        <f>IF($C1958="","",IFERROR(IF(INDEX(Roster!$K:$K,MATCH($C1958,Roster!$B:$B,0))="","",INDEX(Roster!$K:$K,MATCH($C1958,Roster!$B:$B,0))&amp;""),"—"))</f>
        <v/>
      </c>
      <c r="M1958" s="27" t="n"/>
      <c r="N1958" s="27" t="n"/>
      <c r="O1958" s="25">
        <f>IF($C1958="","",IF($P1958="","—",IF($P1958="Valid (Pass)","Valid","Invalid")))</f>
        <v/>
      </c>
      <c r="P1958" s="27" t="n"/>
      <c r="Q1958" s="27" t="n"/>
      <c r="R1958" s="27" t="n"/>
      <c r="S1958" s="27" t="n"/>
      <c r="T1958" s="25">
        <f>IF($C1958="","",IF(OR(ISNUMBER(SEARCH("quick case",$P1958)),ISNUMBER(SEARCH("quick case",$Q1958))),"Yes","No"))</f>
        <v/>
      </c>
      <c r="U1958" s="25">
        <f>IF($O1958="Invalid",HYPERLINK("mailto:"&amp;$G1958&amp;";"&amp;$I1958&amp;"?cc="&amp;Lists!$E$2&amp;"&amp;subject="&amp;_xlfn.ENCODEURL("[INVALID] Quality audit monitoring completed for "&amp;UPPER($C1958))&amp;"&amp;body="&amp;_xlfn.ENCODEURL("Hi "&amp;$F1958&amp;","&amp;CHAR(10)&amp;"Good day!"&amp;CHAR(10)&amp;CHAR(10)&amp;"A quality monitoring audit has been completed for "&amp;$C1958&amp;"."&amp;CHAR(10)&amp;CHAR(10)&amp;"QUALITY AUDIT DETAILS"&amp;CHAR(10)&amp;"Agent Name: "&amp;$C1958&amp;" (EID "&amp;$D1958&amp;")"&amp;CHAR(10)&amp;"Audit Date: "&amp;TEXT($B1958,"yyyy-mm-dd")&amp;CHAR(10)&amp;"Team Leader: "&amp;$F1958&amp;CHAR(10)&amp;"Case Number: "&amp;$M1958&amp;CHAR(10)&amp;"Transaction ID: "&amp;$N1958&amp;CHAR(10)&amp;"Channel / LOB: "&amp;$K1958&amp;" / "&amp;$L1958&amp;CHAR(10)&amp;"Evaluator: "&amp;$S1958&amp;CHAR(10)&amp;CHAR(10)&amp;"INVALID QUALITY AUDIT DETAILS"&amp;CHAR(10)&amp;"Validation: Invalid"&amp;CHAR(10)&amp;"Invalid Reason: "&amp;$P1958&amp;CHAR(10)&amp;"Expected Resolution Code: "&amp;$Q1958&amp;CHAR(10)&amp;"Remarks: "&amp;LEFT($R1958,600)&amp;CHAR(10)&amp;CHAR(10)&amp;"This is an automated notification from HP Mainstream EQMS."),"✉ Open Email Draft"),"")</f>
        <v/>
      </c>
    </row>
    <row r="1959">
      <c r="A1959" s="25">
        <f>IF($C1959="","","AUD-2026-"&amp;TEXT(ROW()-1,"000000"))</f>
        <v/>
      </c>
      <c r="B1959" s="26" t="n"/>
      <c r="C1959" s="27" t="n"/>
      <c r="D1959" s="25">
        <f>IF($C1959="","",IFERROR(IF(INDEX(Roster!$A:$A,MATCH($C1959,Roster!$B:$B,0))="","",INDEX(Roster!$A:$A,MATCH($C1959,Roster!$B:$B,0))&amp;""),"—"))</f>
        <v/>
      </c>
      <c r="E1959" s="25">
        <f>IF($C1959="","",IFERROR(IF(INDEX(Roster!$C:$C,MATCH($C1959,Roster!$B:$B,0))="","",INDEX(Roster!$C:$C,MATCH($C1959,Roster!$B:$B,0))&amp;""),"—"))</f>
        <v/>
      </c>
      <c r="F1959" s="25">
        <f>IF($C1959="","",IFERROR(IF(INDEX(Roster!$D:$D,MATCH($C1959,Roster!$B:$B,0))="","",INDEX(Roster!$D:$D,MATCH($C1959,Roster!$B:$B,0))&amp;""),"—"))</f>
        <v/>
      </c>
      <c r="G1959" s="25">
        <f>IF($C1959="","",IFERROR(IF(INDEX(Roster!$E:$E,MATCH($C1959,Roster!$B:$B,0))="","",INDEX(Roster!$E:$E,MATCH($C1959,Roster!$B:$B,0))&amp;""),"—"))</f>
        <v/>
      </c>
      <c r="H1959" s="25">
        <f>IF($C1959="","",IFERROR(IF(INDEX(Roster!$F:$F,MATCH($C1959,Roster!$B:$B,0))="","",INDEX(Roster!$F:$F,MATCH($C1959,Roster!$B:$B,0))&amp;""),"—"))</f>
        <v/>
      </c>
      <c r="I1959" s="25">
        <f>IF($C1959="","",IFERROR(IF(INDEX(Roster!$G:$G,MATCH($C1959,Roster!$B:$B,0))="","",INDEX(Roster!$G:$G,MATCH($C1959,Roster!$B:$B,0))&amp;""),"—"))</f>
        <v/>
      </c>
      <c r="J1959" s="25">
        <f>IF($C1959="","",IFERROR(IF(INDEX(Roster!$I:$I,MATCH($C1959,Roster!$B:$B,0))="","",INDEX(Roster!$I:$I,MATCH($C1959,Roster!$B:$B,0))&amp;""),"—"))</f>
        <v/>
      </c>
      <c r="K1959">
        <f>IF($C1959="","",IFERROR(IF(INDEX(Roster!$J:$J,MATCH($C1959,Roster!$B:$B,0))="","",INDEX(Roster!$J:$J,MATCH($C1959,Roster!$B:$B,0))&amp;""),"—"))</f>
        <v/>
      </c>
      <c r="L1959">
        <f>IF($C1959="","",IFERROR(IF(INDEX(Roster!$K:$K,MATCH($C1959,Roster!$B:$B,0))="","",INDEX(Roster!$K:$K,MATCH($C1959,Roster!$B:$B,0))&amp;""),"—"))</f>
        <v/>
      </c>
      <c r="M1959" s="27" t="n"/>
      <c r="N1959" s="27" t="n"/>
      <c r="O1959" s="25">
        <f>IF($C1959="","",IF($P1959="","—",IF($P1959="Valid (Pass)","Valid","Invalid")))</f>
        <v/>
      </c>
      <c r="P1959" s="27" t="n"/>
      <c r="Q1959" s="27" t="n"/>
      <c r="R1959" s="27" t="n"/>
      <c r="S1959" s="27" t="n"/>
      <c r="T1959" s="25">
        <f>IF($C1959="","",IF(OR(ISNUMBER(SEARCH("quick case",$P1959)),ISNUMBER(SEARCH("quick case",$Q1959))),"Yes","No"))</f>
        <v/>
      </c>
      <c r="U1959" s="25">
        <f>IF($O1959="Invalid",HYPERLINK("mailto:"&amp;$G1959&amp;";"&amp;$I1959&amp;"?cc="&amp;Lists!$E$2&amp;"&amp;subject="&amp;_xlfn.ENCODEURL("[INVALID] Quality audit monitoring completed for "&amp;UPPER($C1959))&amp;"&amp;body="&amp;_xlfn.ENCODEURL("Hi "&amp;$F1959&amp;","&amp;CHAR(10)&amp;"Good day!"&amp;CHAR(10)&amp;CHAR(10)&amp;"A quality monitoring audit has been completed for "&amp;$C1959&amp;"."&amp;CHAR(10)&amp;CHAR(10)&amp;"QUALITY AUDIT DETAILS"&amp;CHAR(10)&amp;"Agent Name: "&amp;$C1959&amp;" (EID "&amp;$D1959&amp;")"&amp;CHAR(10)&amp;"Audit Date: "&amp;TEXT($B1959,"yyyy-mm-dd")&amp;CHAR(10)&amp;"Team Leader: "&amp;$F1959&amp;CHAR(10)&amp;"Case Number: "&amp;$M1959&amp;CHAR(10)&amp;"Transaction ID: "&amp;$N1959&amp;CHAR(10)&amp;"Channel / LOB: "&amp;$K1959&amp;" / "&amp;$L1959&amp;CHAR(10)&amp;"Evaluator: "&amp;$S1959&amp;CHAR(10)&amp;CHAR(10)&amp;"INVALID QUALITY AUDIT DETAILS"&amp;CHAR(10)&amp;"Validation: Invalid"&amp;CHAR(10)&amp;"Invalid Reason: "&amp;$P1959&amp;CHAR(10)&amp;"Expected Resolution Code: "&amp;$Q1959&amp;CHAR(10)&amp;"Remarks: "&amp;LEFT($R1959,600)&amp;CHAR(10)&amp;CHAR(10)&amp;"This is an automated notification from HP Mainstream EQMS."),"✉ Open Email Draft"),"")</f>
        <v/>
      </c>
    </row>
    <row r="1960">
      <c r="A1960" s="25">
        <f>IF($C1960="","","AUD-2026-"&amp;TEXT(ROW()-1,"000000"))</f>
        <v/>
      </c>
      <c r="B1960" s="26" t="n"/>
      <c r="C1960" s="27" t="n"/>
      <c r="D1960" s="25">
        <f>IF($C1960="","",IFERROR(IF(INDEX(Roster!$A:$A,MATCH($C1960,Roster!$B:$B,0))="","",INDEX(Roster!$A:$A,MATCH($C1960,Roster!$B:$B,0))&amp;""),"—"))</f>
        <v/>
      </c>
      <c r="E1960" s="25">
        <f>IF($C1960="","",IFERROR(IF(INDEX(Roster!$C:$C,MATCH($C1960,Roster!$B:$B,0))="","",INDEX(Roster!$C:$C,MATCH($C1960,Roster!$B:$B,0))&amp;""),"—"))</f>
        <v/>
      </c>
      <c r="F1960" s="25">
        <f>IF($C1960="","",IFERROR(IF(INDEX(Roster!$D:$D,MATCH($C1960,Roster!$B:$B,0))="","",INDEX(Roster!$D:$D,MATCH($C1960,Roster!$B:$B,0))&amp;""),"—"))</f>
        <v/>
      </c>
      <c r="G1960" s="25">
        <f>IF($C1960="","",IFERROR(IF(INDEX(Roster!$E:$E,MATCH($C1960,Roster!$B:$B,0))="","",INDEX(Roster!$E:$E,MATCH($C1960,Roster!$B:$B,0))&amp;""),"—"))</f>
        <v/>
      </c>
      <c r="H1960" s="25">
        <f>IF($C1960="","",IFERROR(IF(INDEX(Roster!$F:$F,MATCH($C1960,Roster!$B:$B,0))="","",INDEX(Roster!$F:$F,MATCH($C1960,Roster!$B:$B,0))&amp;""),"—"))</f>
        <v/>
      </c>
      <c r="I1960" s="25">
        <f>IF($C1960="","",IFERROR(IF(INDEX(Roster!$G:$G,MATCH($C1960,Roster!$B:$B,0))="","",INDEX(Roster!$G:$G,MATCH($C1960,Roster!$B:$B,0))&amp;""),"—"))</f>
        <v/>
      </c>
      <c r="J1960" s="25">
        <f>IF($C1960="","",IFERROR(IF(INDEX(Roster!$I:$I,MATCH($C1960,Roster!$B:$B,0))="","",INDEX(Roster!$I:$I,MATCH($C1960,Roster!$B:$B,0))&amp;""),"—"))</f>
        <v/>
      </c>
      <c r="K1960">
        <f>IF($C1960="","",IFERROR(IF(INDEX(Roster!$J:$J,MATCH($C1960,Roster!$B:$B,0))="","",INDEX(Roster!$J:$J,MATCH($C1960,Roster!$B:$B,0))&amp;""),"—"))</f>
        <v/>
      </c>
      <c r="L1960">
        <f>IF($C1960="","",IFERROR(IF(INDEX(Roster!$K:$K,MATCH($C1960,Roster!$B:$B,0))="","",INDEX(Roster!$K:$K,MATCH($C1960,Roster!$B:$B,0))&amp;""),"—"))</f>
        <v/>
      </c>
      <c r="M1960" s="27" t="n"/>
      <c r="N1960" s="27" t="n"/>
      <c r="O1960" s="25">
        <f>IF($C1960="","",IF($P1960="","—",IF($P1960="Valid (Pass)","Valid","Invalid")))</f>
        <v/>
      </c>
      <c r="P1960" s="27" t="n"/>
      <c r="Q1960" s="27" t="n"/>
      <c r="R1960" s="27" t="n"/>
      <c r="S1960" s="27" t="n"/>
      <c r="T1960" s="25">
        <f>IF($C1960="","",IF(OR(ISNUMBER(SEARCH("quick case",$P1960)),ISNUMBER(SEARCH("quick case",$Q1960))),"Yes","No"))</f>
        <v/>
      </c>
      <c r="U1960" s="25">
        <f>IF($O1960="Invalid",HYPERLINK("mailto:"&amp;$G1960&amp;";"&amp;$I1960&amp;"?cc="&amp;Lists!$E$2&amp;"&amp;subject="&amp;_xlfn.ENCODEURL("[INVALID] Quality audit monitoring completed for "&amp;UPPER($C1960))&amp;"&amp;body="&amp;_xlfn.ENCODEURL("Hi "&amp;$F1960&amp;","&amp;CHAR(10)&amp;"Good day!"&amp;CHAR(10)&amp;CHAR(10)&amp;"A quality monitoring audit has been completed for "&amp;$C1960&amp;"."&amp;CHAR(10)&amp;CHAR(10)&amp;"QUALITY AUDIT DETAILS"&amp;CHAR(10)&amp;"Agent Name: "&amp;$C1960&amp;" (EID "&amp;$D1960&amp;")"&amp;CHAR(10)&amp;"Audit Date: "&amp;TEXT($B1960,"yyyy-mm-dd")&amp;CHAR(10)&amp;"Team Leader: "&amp;$F1960&amp;CHAR(10)&amp;"Case Number: "&amp;$M1960&amp;CHAR(10)&amp;"Transaction ID: "&amp;$N1960&amp;CHAR(10)&amp;"Channel / LOB: "&amp;$K1960&amp;" / "&amp;$L1960&amp;CHAR(10)&amp;"Evaluator: "&amp;$S1960&amp;CHAR(10)&amp;CHAR(10)&amp;"INVALID QUALITY AUDIT DETAILS"&amp;CHAR(10)&amp;"Validation: Invalid"&amp;CHAR(10)&amp;"Invalid Reason: "&amp;$P1960&amp;CHAR(10)&amp;"Expected Resolution Code: "&amp;$Q1960&amp;CHAR(10)&amp;"Remarks: "&amp;LEFT($R1960,600)&amp;CHAR(10)&amp;CHAR(10)&amp;"This is an automated notification from HP Mainstream EQMS."),"✉ Open Email Draft"),"")</f>
        <v/>
      </c>
    </row>
    <row r="1961">
      <c r="A1961" s="25">
        <f>IF($C1961="","","AUD-2026-"&amp;TEXT(ROW()-1,"000000"))</f>
        <v/>
      </c>
      <c r="B1961" s="26" t="n"/>
      <c r="C1961" s="27" t="n"/>
      <c r="D1961" s="25">
        <f>IF($C1961="","",IFERROR(IF(INDEX(Roster!$A:$A,MATCH($C1961,Roster!$B:$B,0))="","",INDEX(Roster!$A:$A,MATCH($C1961,Roster!$B:$B,0))&amp;""),"—"))</f>
        <v/>
      </c>
      <c r="E1961" s="25">
        <f>IF($C1961="","",IFERROR(IF(INDEX(Roster!$C:$C,MATCH($C1961,Roster!$B:$B,0))="","",INDEX(Roster!$C:$C,MATCH($C1961,Roster!$B:$B,0))&amp;""),"—"))</f>
        <v/>
      </c>
      <c r="F1961" s="25">
        <f>IF($C1961="","",IFERROR(IF(INDEX(Roster!$D:$D,MATCH($C1961,Roster!$B:$B,0))="","",INDEX(Roster!$D:$D,MATCH($C1961,Roster!$B:$B,0))&amp;""),"—"))</f>
        <v/>
      </c>
      <c r="G1961" s="25">
        <f>IF($C1961="","",IFERROR(IF(INDEX(Roster!$E:$E,MATCH($C1961,Roster!$B:$B,0))="","",INDEX(Roster!$E:$E,MATCH($C1961,Roster!$B:$B,0))&amp;""),"—"))</f>
        <v/>
      </c>
      <c r="H1961" s="25">
        <f>IF($C1961="","",IFERROR(IF(INDEX(Roster!$F:$F,MATCH($C1961,Roster!$B:$B,0))="","",INDEX(Roster!$F:$F,MATCH($C1961,Roster!$B:$B,0))&amp;""),"—"))</f>
        <v/>
      </c>
      <c r="I1961" s="25">
        <f>IF($C1961="","",IFERROR(IF(INDEX(Roster!$G:$G,MATCH($C1961,Roster!$B:$B,0))="","",INDEX(Roster!$G:$G,MATCH($C1961,Roster!$B:$B,0))&amp;""),"—"))</f>
        <v/>
      </c>
      <c r="J1961" s="25">
        <f>IF($C1961="","",IFERROR(IF(INDEX(Roster!$I:$I,MATCH($C1961,Roster!$B:$B,0))="","",INDEX(Roster!$I:$I,MATCH($C1961,Roster!$B:$B,0))&amp;""),"—"))</f>
        <v/>
      </c>
      <c r="K1961">
        <f>IF($C1961="","",IFERROR(IF(INDEX(Roster!$J:$J,MATCH($C1961,Roster!$B:$B,0))="","",INDEX(Roster!$J:$J,MATCH($C1961,Roster!$B:$B,0))&amp;""),"—"))</f>
        <v/>
      </c>
      <c r="L1961">
        <f>IF($C1961="","",IFERROR(IF(INDEX(Roster!$K:$K,MATCH($C1961,Roster!$B:$B,0))="","",INDEX(Roster!$K:$K,MATCH($C1961,Roster!$B:$B,0))&amp;""),"—"))</f>
        <v/>
      </c>
      <c r="M1961" s="27" t="n"/>
      <c r="N1961" s="27" t="n"/>
      <c r="O1961" s="25">
        <f>IF($C1961="","",IF($P1961="","—",IF($P1961="Valid (Pass)","Valid","Invalid")))</f>
        <v/>
      </c>
      <c r="P1961" s="27" t="n"/>
      <c r="Q1961" s="27" t="n"/>
      <c r="R1961" s="27" t="n"/>
      <c r="S1961" s="27" t="n"/>
      <c r="T1961" s="25">
        <f>IF($C1961="","",IF(OR(ISNUMBER(SEARCH("quick case",$P1961)),ISNUMBER(SEARCH("quick case",$Q1961))),"Yes","No"))</f>
        <v/>
      </c>
      <c r="U1961" s="25">
        <f>IF($O1961="Invalid",HYPERLINK("mailto:"&amp;$G1961&amp;";"&amp;$I1961&amp;"?cc="&amp;Lists!$E$2&amp;"&amp;subject="&amp;_xlfn.ENCODEURL("[INVALID] Quality audit monitoring completed for "&amp;UPPER($C1961))&amp;"&amp;body="&amp;_xlfn.ENCODEURL("Hi "&amp;$F1961&amp;","&amp;CHAR(10)&amp;"Good day!"&amp;CHAR(10)&amp;CHAR(10)&amp;"A quality monitoring audit has been completed for "&amp;$C1961&amp;"."&amp;CHAR(10)&amp;CHAR(10)&amp;"QUALITY AUDIT DETAILS"&amp;CHAR(10)&amp;"Agent Name: "&amp;$C1961&amp;" (EID "&amp;$D1961&amp;")"&amp;CHAR(10)&amp;"Audit Date: "&amp;TEXT($B1961,"yyyy-mm-dd")&amp;CHAR(10)&amp;"Team Leader: "&amp;$F1961&amp;CHAR(10)&amp;"Case Number: "&amp;$M1961&amp;CHAR(10)&amp;"Transaction ID: "&amp;$N1961&amp;CHAR(10)&amp;"Channel / LOB: "&amp;$K1961&amp;" / "&amp;$L1961&amp;CHAR(10)&amp;"Evaluator: "&amp;$S1961&amp;CHAR(10)&amp;CHAR(10)&amp;"INVALID QUALITY AUDIT DETAILS"&amp;CHAR(10)&amp;"Validation: Invalid"&amp;CHAR(10)&amp;"Invalid Reason: "&amp;$P1961&amp;CHAR(10)&amp;"Expected Resolution Code: "&amp;$Q1961&amp;CHAR(10)&amp;"Remarks: "&amp;LEFT($R1961,600)&amp;CHAR(10)&amp;CHAR(10)&amp;"This is an automated notification from HP Mainstream EQMS."),"✉ Open Email Draft"),"")</f>
        <v/>
      </c>
    </row>
    <row r="1962">
      <c r="A1962" s="25">
        <f>IF($C1962="","","AUD-2026-"&amp;TEXT(ROW()-1,"000000"))</f>
        <v/>
      </c>
      <c r="B1962" s="26" t="n"/>
      <c r="C1962" s="27" t="n"/>
      <c r="D1962" s="25">
        <f>IF($C1962="","",IFERROR(IF(INDEX(Roster!$A:$A,MATCH($C1962,Roster!$B:$B,0))="","",INDEX(Roster!$A:$A,MATCH($C1962,Roster!$B:$B,0))&amp;""),"—"))</f>
        <v/>
      </c>
      <c r="E1962" s="25">
        <f>IF($C1962="","",IFERROR(IF(INDEX(Roster!$C:$C,MATCH($C1962,Roster!$B:$B,0))="","",INDEX(Roster!$C:$C,MATCH($C1962,Roster!$B:$B,0))&amp;""),"—"))</f>
        <v/>
      </c>
      <c r="F1962" s="25">
        <f>IF($C1962="","",IFERROR(IF(INDEX(Roster!$D:$D,MATCH($C1962,Roster!$B:$B,0))="","",INDEX(Roster!$D:$D,MATCH($C1962,Roster!$B:$B,0))&amp;""),"—"))</f>
        <v/>
      </c>
      <c r="G1962" s="25">
        <f>IF($C1962="","",IFERROR(IF(INDEX(Roster!$E:$E,MATCH($C1962,Roster!$B:$B,0))="","",INDEX(Roster!$E:$E,MATCH($C1962,Roster!$B:$B,0))&amp;""),"—"))</f>
        <v/>
      </c>
      <c r="H1962" s="25">
        <f>IF($C1962="","",IFERROR(IF(INDEX(Roster!$F:$F,MATCH($C1962,Roster!$B:$B,0))="","",INDEX(Roster!$F:$F,MATCH($C1962,Roster!$B:$B,0))&amp;""),"—"))</f>
        <v/>
      </c>
      <c r="I1962" s="25">
        <f>IF($C1962="","",IFERROR(IF(INDEX(Roster!$G:$G,MATCH($C1962,Roster!$B:$B,0))="","",INDEX(Roster!$G:$G,MATCH($C1962,Roster!$B:$B,0))&amp;""),"—"))</f>
        <v/>
      </c>
      <c r="J1962" s="25">
        <f>IF($C1962="","",IFERROR(IF(INDEX(Roster!$I:$I,MATCH($C1962,Roster!$B:$B,0))="","",INDEX(Roster!$I:$I,MATCH($C1962,Roster!$B:$B,0))&amp;""),"—"))</f>
        <v/>
      </c>
      <c r="K1962">
        <f>IF($C1962="","",IFERROR(IF(INDEX(Roster!$J:$J,MATCH($C1962,Roster!$B:$B,0))="","",INDEX(Roster!$J:$J,MATCH($C1962,Roster!$B:$B,0))&amp;""),"—"))</f>
        <v/>
      </c>
      <c r="L1962">
        <f>IF($C1962="","",IFERROR(IF(INDEX(Roster!$K:$K,MATCH($C1962,Roster!$B:$B,0))="","",INDEX(Roster!$K:$K,MATCH($C1962,Roster!$B:$B,0))&amp;""),"—"))</f>
        <v/>
      </c>
      <c r="M1962" s="27" t="n"/>
      <c r="N1962" s="27" t="n"/>
      <c r="O1962" s="25">
        <f>IF($C1962="","",IF($P1962="","—",IF($P1962="Valid (Pass)","Valid","Invalid")))</f>
        <v/>
      </c>
      <c r="P1962" s="27" t="n"/>
      <c r="Q1962" s="27" t="n"/>
      <c r="R1962" s="27" t="n"/>
      <c r="S1962" s="27" t="n"/>
      <c r="T1962" s="25">
        <f>IF($C1962="","",IF(OR(ISNUMBER(SEARCH("quick case",$P1962)),ISNUMBER(SEARCH("quick case",$Q1962))),"Yes","No"))</f>
        <v/>
      </c>
      <c r="U1962" s="25">
        <f>IF($O1962="Invalid",HYPERLINK("mailto:"&amp;$G1962&amp;";"&amp;$I1962&amp;"?cc="&amp;Lists!$E$2&amp;"&amp;subject="&amp;_xlfn.ENCODEURL("[INVALID] Quality audit monitoring completed for "&amp;UPPER($C1962))&amp;"&amp;body="&amp;_xlfn.ENCODEURL("Hi "&amp;$F1962&amp;","&amp;CHAR(10)&amp;"Good day!"&amp;CHAR(10)&amp;CHAR(10)&amp;"A quality monitoring audit has been completed for "&amp;$C1962&amp;"."&amp;CHAR(10)&amp;CHAR(10)&amp;"QUALITY AUDIT DETAILS"&amp;CHAR(10)&amp;"Agent Name: "&amp;$C1962&amp;" (EID "&amp;$D1962&amp;")"&amp;CHAR(10)&amp;"Audit Date: "&amp;TEXT($B1962,"yyyy-mm-dd")&amp;CHAR(10)&amp;"Team Leader: "&amp;$F1962&amp;CHAR(10)&amp;"Case Number: "&amp;$M1962&amp;CHAR(10)&amp;"Transaction ID: "&amp;$N1962&amp;CHAR(10)&amp;"Channel / LOB: "&amp;$K1962&amp;" / "&amp;$L1962&amp;CHAR(10)&amp;"Evaluator: "&amp;$S1962&amp;CHAR(10)&amp;CHAR(10)&amp;"INVALID QUALITY AUDIT DETAILS"&amp;CHAR(10)&amp;"Validation: Invalid"&amp;CHAR(10)&amp;"Invalid Reason: "&amp;$P1962&amp;CHAR(10)&amp;"Expected Resolution Code: "&amp;$Q1962&amp;CHAR(10)&amp;"Remarks: "&amp;LEFT($R1962,600)&amp;CHAR(10)&amp;CHAR(10)&amp;"This is an automated notification from HP Mainstream EQMS."),"✉ Open Email Draft"),"")</f>
        <v/>
      </c>
    </row>
    <row r="1963">
      <c r="A1963" s="25">
        <f>IF($C1963="","","AUD-2026-"&amp;TEXT(ROW()-1,"000000"))</f>
        <v/>
      </c>
      <c r="B1963" s="26" t="n"/>
      <c r="C1963" s="27" t="n"/>
      <c r="D1963" s="25">
        <f>IF($C1963="","",IFERROR(IF(INDEX(Roster!$A:$A,MATCH($C1963,Roster!$B:$B,0))="","",INDEX(Roster!$A:$A,MATCH($C1963,Roster!$B:$B,0))&amp;""),"—"))</f>
        <v/>
      </c>
      <c r="E1963" s="25">
        <f>IF($C1963="","",IFERROR(IF(INDEX(Roster!$C:$C,MATCH($C1963,Roster!$B:$B,0))="","",INDEX(Roster!$C:$C,MATCH($C1963,Roster!$B:$B,0))&amp;""),"—"))</f>
        <v/>
      </c>
      <c r="F1963" s="25">
        <f>IF($C1963="","",IFERROR(IF(INDEX(Roster!$D:$D,MATCH($C1963,Roster!$B:$B,0))="","",INDEX(Roster!$D:$D,MATCH($C1963,Roster!$B:$B,0))&amp;""),"—"))</f>
        <v/>
      </c>
      <c r="G1963" s="25">
        <f>IF($C1963="","",IFERROR(IF(INDEX(Roster!$E:$E,MATCH($C1963,Roster!$B:$B,0))="","",INDEX(Roster!$E:$E,MATCH($C1963,Roster!$B:$B,0))&amp;""),"—"))</f>
        <v/>
      </c>
      <c r="H1963" s="25">
        <f>IF($C1963="","",IFERROR(IF(INDEX(Roster!$F:$F,MATCH($C1963,Roster!$B:$B,0))="","",INDEX(Roster!$F:$F,MATCH($C1963,Roster!$B:$B,0))&amp;""),"—"))</f>
        <v/>
      </c>
      <c r="I1963" s="25">
        <f>IF($C1963="","",IFERROR(IF(INDEX(Roster!$G:$G,MATCH($C1963,Roster!$B:$B,0))="","",INDEX(Roster!$G:$G,MATCH($C1963,Roster!$B:$B,0))&amp;""),"—"))</f>
        <v/>
      </c>
      <c r="J1963" s="25">
        <f>IF($C1963="","",IFERROR(IF(INDEX(Roster!$I:$I,MATCH($C1963,Roster!$B:$B,0))="","",INDEX(Roster!$I:$I,MATCH($C1963,Roster!$B:$B,0))&amp;""),"—"))</f>
        <v/>
      </c>
      <c r="K1963">
        <f>IF($C1963="","",IFERROR(IF(INDEX(Roster!$J:$J,MATCH($C1963,Roster!$B:$B,0))="","",INDEX(Roster!$J:$J,MATCH($C1963,Roster!$B:$B,0))&amp;""),"—"))</f>
        <v/>
      </c>
      <c r="L1963">
        <f>IF($C1963="","",IFERROR(IF(INDEX(Roster!$K:$K,MATCH($C1963,Roster!$B:$B,0))="","",INDEX(Roster!$K:$K,MATCH($C1963,Roster!$B:$B,0))&amp;""),"—"))</f>
        <v/>
      </c>
      <c r="M1963" s="27" t="n"/>
      <c r="N1963" s="27" t="n"/>
      <c r="O1963" s="25">
        <f>IF($C1963="","",IF($P1963="","—",IF($P1963="Valid (Pass)","Valid","Invalid")))</f>
        <v/>
      </c>
      <c r="P1963" s="27" t="n"/>
      <c r="Q1963" s="27" t="n"/>
      <c r="R1963" s="27" t="n"/>
      <c r="S1963" s="27" t="n"/>
      <c r="T1963" s="25">
        <f>IF($C1963="","",IF(OR(ISNUMBER(SEARCH("quick case",$P1963)),ISNUMBER(SEARCH("quick case",$Q1963))),"Yes","No"))</f>
        <v/>
      </c>
      <c r="U1963" s="25">
        <f>IF($O1963="Invalid",HYPERLINK("mailto:"&amp;$G1963&amp;";"&amp;$I1963&amp;"?cc="&amp;Lists!$E$2&amp;"&amp;subject="&amp;_xlfn.ENCODEURL("[INVALID] Quality audit monitoring completed for "&amp;UPPER($C1963))&amp;"&amp;body="&amp;_xlfn.ENCODEURL("Hi "&amp;$F1963&amp;","&amp;CHAR(10)&amp;"Good day!"&amp;CHAR(10)&amp;CHAR(10)&amp;"A quality monitoring audit has been completed for "&amp;$C1963&amp;"."&amp;CHAR(10)&amp;CHAR(10)&amp;"QUALITY AUDIT DETAILS"&amp;CHAR(10)&amp;"Agent Name: "&amp;$C1963&amp;" (EID "&amp;$D1963&amp;")"&amp;CHAR(10)&amp;"Audit Date: "&amp;TEXT($B1963,"yyyy-mm-dd")&amp;CHAR(10)&amp;"Team Leader: "&amp;$F1963&amp;CHAR(10)&amp;"Case Number: "&amp;$M1963&amp;CHAR(10)&amp;"Transaction ID: "&amp;$N1963&amp;CHAR(10)&amp;"Channel / LOB: "&amp;$K1963&amp;" / "&amp;$L1963&amp;CHAR(10)&amp;"Evaluator: "&amp;$S1963&amp;CHAR(10)&amp;CHAR(10)&amp;"INVALID QUALITY AUDIT DETAILS"&amp;CHAR(10)&amp;"Validation: Invalid"&amp;CHAR(10)&amp;"Invalid Reason: "&amp;$P1963&amp;CHAR(10)&amp;"Expected Resolution Code: "&amp;$Q1963&amp;CHAR(10)&amp;"Remarks: "&amp;LEFT($R1963,600)&amp;CHAR(10)&amp;CHAR(10)&amp;"This is an automated notification from HP Mainstream EQMS."),"✉ Open Email Draft"),"")</f>
        <v/>
      </c>
    </row>
    <row r="1964">
      <c r="A1964" s="25">
        <f>IF($C1964="","","AUD-2026-"&amp;TEXT(ROW()-1,"000000"))</f>
        <v/>
      </c>
      <c r="B1964" s="26" t="n"/>
      <c r="C1964" s="27" t="n"/>
      <c r="D1964" s="25">
        <f>IF($C1964="","",IFERROR(IF(INDEX(Roster!$A:$A,MATCH($C1964,Roster!$B:$B,0))="","",INDEX(Roster!$A:$A,MATCH($C1964,Roster!$B:$B,0))&amp;""),"—"))</f>
        <v/>
      </c>
      <c r="E1964" s="25">
        <f>IF($C1964="","",IFERROR(IF(INDEX(Roster!$C:$C,MATCH($C1964,Roster!$B:$B,0))="","",INDEX(Roster!$C:$C,MATCH($C1964,Roster!$B:$B,0))&amp;""),"—"))</f>
        <v/>
      </c>
      <c r="F1964" s="25">
        <f>IF($C1964="","",IFERROR(IF(INDEX(Roster!$D:$D,MATCH($C1964,Roster!$B:$B,0))="","",INDEX(Roster!$D:$D,MATCH($C1964,Roster!$B:$B,0))&amp;""),"—"))</f>
        <v/>
      </c>
      <c r="G1964" s="25">
        <f>IF($C1964="","",IFERROR(IF(INDEX(Roster!$E:$E,MATCH($C1964,Roster!$B:$B,0))="","",INDEX(Roster!$E:$E,MATCH($C1964,Roster!$B:$B,0))&amp;""),"—"))</f>
        <v/>
      </c>
      <c r="H1964" s="25">
        <f>IF($C1964="","",IFERROR(IF(INDEX(Roster!$F:$F,MATCH($C1964,Roster!$B:$B,0))="","",INDEX(Roster!$F:$F,MATCH($C1964,Roster!$B:$B,0))&amp;""),"—"))</f>
        <v/>
      </c>
      <c r="I1964" s="25">
        <f>IF($C1964="","",IFERROR(IF(INDEX(Roster!$G:$G,MATCH($C1964,Roster!$B:$B,0))="","",INDEX(Roster!$G:$G,MATCH($C1964,Roster!$B:$B,0))&amp;""),"—"))</f>
        <v/>
      </c>
      <c r="J1964" s="25">
        <f>IF($C1964="","",IFERROR(IF(INDEX(Roster!$I:$I,MATCH($C1964,Roster!$B:$B,0))="","",INDEX(Roster!$I:$I,MATCH($C1964,Roster!$B:$B,0))&amp;""),"—"))</f>
        <v/>
      </c>
      <c r="K1964">
        <f>IF($C1964="","",IFERROR(IF(INDEX(Roster!$J:$J,MATCH($C1964,Roster!$B:$B,0))="","",INDEX(Roster!$J:$J,MATCH($C1964,Roster!$B:$B,0))&amp;""),"—"))</f>
        <v/>
      </c>
      <c r="L1964">
        <f>IF($C1964="","",IFERROR(IF(INDEX(Roster!$K:$K,MATCH($C1964,Roster!$B:$B,0))="","",INDEX(Roster!$K:$K,MATCH($C1964,Roster!$B:$B,0))&amp;""),"—"))</f>
        <v/>
      </c>
      <c r="M1964" s="27" t="n"/>
      <c r="N1964" s="27" t="n"/>
      <c r="O1964" s="25">
        <f>IF($C1964="","",IF($P1964="","—",IF($P1964="Valid (Pass)","Valid","Invalid")))</f>
        <v/>
      </c>
      <c r="P1964" s="27" t="n"/>
      <c r="Q1964" s="27" t="n"/>
      <c r="R1964" s="27" t="n"/>
      <c r="S1964" s="27" t="n"/>
      <c r="T1964" s="25">
        <f>IF($C1964="","",IF(OR(ISNUMBER(SEARCH("quick case",$P1964)),ISNUMBER(SEARCH("quick case",$Q1964))),"Yes","No"))</f>
        <v/>
      </c>
      <c r="U1964" s="25">
        <f>IF($O1964="Invalid",HYPERLINK("mailto:"&amp;$G1964&amp;";"&amp;$I1964&amp;"?cc="&amp;Lists!$E$2&amp;"&amp;subject="&amp;_xlfn.ENCODEURL("[INVALID] Quality audit monitoring completed for "&amp;UPPER($C1964))&amp;"&amp;body="&amp;_xlfn.ENCODEURL("Hi "&amp;$F1964&amp;","&amp;CHAR(10)&amp;"Good day!"&amp;CHAR(10)&amp;CHAR(10)&amp;"A quality monitoring audit has been completed for "&amp;$C1964&amp;"."&amp;CHAR(10)&amp;CHAR(10)&amp;"QUALITY AUDIT DETAILS"&amp;CHAR(10)&amp;"Agent Name: "&amp;$C1964&amp;" (EID "&amp;$D1964&amp;")"&amp;CHAR(10)&amp;"Audit Date: "&amp;TEXT($B1964,"yyyy-mm-dd")&amp;CHAR(10)&amp;"Team Leader: "&amp;$F1964&amp;CHAR(10)&amp;"Case Number: "&amp;$M1964&amp;CHAR(10)&amp;"Transaction ID: "&amp;$N1964&amp;CHAR(10)&amp;"Channel / LOB: "&amp;$K1964&amp;" / "&amp;$L1964&amp;CHAR(10)&amp;"Evaluator: "&amp;$S1964&amp;CHAR(10)&amp;CHAR(10)&amp;"INVALID QUALITY AUDIT DETAILS"&amp;CHAR(10)&amp;"Validation: Invalid"&amp;CHAR(10)&amp;"Invalid Reason: "&amp;$P1964&amp;CHAR(10)&amp;"Expected Resolution Code: "&amp;$Q1964&amp;CHAR(10)&amp;"Remarks: "&amp;LEFT($R1964,600)&amp;CHAR(10)&amp;CHAR(10)&amp;"This is an automated notification from HP Mainstream EQMS."),"✉ Open Email Draft"),"")</f>
        <v/>
      </c>
    </row>
    <row r="1965">
      <c r="A1965" s="25">
        <f>IF($C1965="","","AUD-2026-"&amp;TEXT(ROW()-1,"000000"))</f>
        <v/>
      </c>
      <c r="B1965" s="26" t="n"/>
      <c r="C1965" s="27" t="n"/>
      <c r="D1965" s="25">
        <f>IF($C1965="","",IFERROR(IF(INDEX(Roster!$A:$A,MATCH($C1965,Roster!$B:$B,0))="","",INDEX(Roster!$A:$A,MATCH($C1965,Roster!$B:$B,0))&amp;""),"—"))</f>
        <v/>
      </c>
      <c r="E1965" s="25">
        <f>IF($C1965="","",IFERROR(IF(INDEX(Roster!$C:$C,MATCH($C1965,Roster!$B:$B,0))="","",INDEX(Roster!$C:$C,MATCH($C1965,Roster!$B:$B,0))&amp;""),"—"))</f>
        <v/>
      </c>
      <c r="F1965" s="25">
        <f>IF($C1965="","",IFERROR(IF(INDEX(Roster!$D:$D,MATCH($C1965,Roster!$B:$B,0))="","",INDEX(Roster!$D:$D,MATCH($C1965,Roster!$B:$B,0))&amp;""),"—"))</f>
        <v/>
      </c>
      <c r="G1965" s="25">
        <f>IF($C1965="","",IFERROR(IF(INDEX(Roster!$E:$E,MATCH($C1965,Roster!$B:$B,0))="","",INDEX(Roster!$E:$E,MATCH($C1965,Roster!$B:$B,0))&amp;""),"—"))</f>
        <v/>
      </c>
      <c r="H1965" s="25">
        <f>IF($C1965="","",IFERROR(IF(INDEX(Roster!$F:$F,MATCH($C1965,Roster!$B:$B,0))="","",INDEX(Roster!$F:$F,MATCH($C1965,Roster!$B:$B,0))&amp;""),"—"))</f>
        <v/>
      </c>
      <c r="I1965" s="25">
        <f>IF($C1965="","",IFERROR(IF(INDEX(Roster!$G:$G,MATCH($C1965,Roster!$B:$B,0))="","",INDEX(Roster!$G:$G,MATCH($C1965,Roster!$B:$B,0))&amp;""),"—"))</f>
        <v/>
      </c>
      <c r="J1965" s="25">
        <f>IF($C1965="","",IFERROR(IF(INDEX(Roster!$I:$I,MATCH($C1965,Roster!$B:$B,0))="","",INDEX(Roster!$I:$I,MATCH($C1965,Roster!$B:$B,0))&amp;""),"—"))</f>
        <v/>
      </c>
      <c r="K1965">
        <f>IF($C1965="","",IFERROR(IF(INDEX(Roster!$J:$J,MATCH($C1965,Roster!$B:$B,0))="","",INDEX(Roster!$J:$J,MATCH($C1965,Roster!$B:$B,0))&amp;""),"—"))</f>
        <v/>
      </c>
      <c r="L1965">
        <f>IF($C1965="","",IFERROR(IF(INDEX(Roster!$K:$K,MATCH($C1965,Roster!$B:$B,0))="","",INDEX(Roster!$K:$K,MATCH($C1965,Roster!$B:$B,0))&amp;""),"—"))</f>
        <v/>
      </c>
      <c r="M1965" s="27" t="n"/>
      <c r="N1965" s="27" t="n"/>
      <c r="O1965" s="25">
        <f>IF($C1965="","",IF($P1965="","—",IF($P1965="Valid (Pass)","Valid","Invalid")))</f>
        <v/>
      </c>
      <c r="P1965" s="27" t="n"/>
      <c r="Q1965" s="27" t="n"/>
      <c r="R1965" s="27" t="n"/>
      <c r="S1965" s="27" t="n"/>
      <c r="T1965" s="25">
        <f>IF($C1965="","",IF(OR(ISNUMBER(SEARCH("quick case",$P1965)),ISNUMBER(SEARCH("quick case",$Q1965))),"Yes","No"))</f>
        <v/>
      </c>
      <c r="U1965" s="25">
        <f>IF($O1965="Invalid",HYPERLINK("mailto:"&amp;$G1965&amp;";"&amp;$I1965&amp;"?cc="&amp;Lists!$E$2&amp;"&amp;subject="&amp;_xlfn.ENCODEURL("[INVALID] Quality audit monitoring completed for "&amp;UPPER($C1965))&amp;"&amp;body="&amp;_xlfn.ENCODEURL("Hi "&amp;$F1965&amp;","&amp;CHAR(10)&amp;"Good day!"&amp;CHAR(10)&amp;CHAR(10)&amp;"A quality monitoring audit has been completed for "&amp;$C1965&amp;"."&amp;CHAR(10)&amp;CHAR(10)&amp;"QUALITY AUDIT DETAILS"&amp;CHAR(10)&amp;"Agent Name: "&amp;$C1965&amp;" (EID "&amp;$D1965&amp;")"&amp;CHAR(10)&amp;"Audit Date: "&amp;TEXT($B1965,"yyyy-mm-dd")&amp;CHAR(10)&amp;"Team Leader: "&amp;$F1965&amp;CHAR(10)&amp;"Case Number: "&amp;$M1965&amp;CHAR(10)&amp;"Transaction ID: "&amp;$N1965&amp;CHAR(10)&amp;"Channel / LOB: "&amp;$K1965&amp;" / "&amp;$L1965&amp;CHAR(10)&amp;"Evaluator: "&amp;$S1965&amp;CHAR(10)&amp;CHAR(10)&amp;"INVALID QUALITY AUDIT DETAILS"&amp;CHAR(10)&amp;"Validation: Invalid"&amp;CHAR(10)&amp;"Invalid Reason: "&amp;$P1965&amp;CHAR(10)&amp;"Expected Resolution Code: "&amp;$Q1965&amp;CHAR(10)&amp;"Remarks: "&amp;LEFT($R1965,600)&amp;CHAR(10)&amp;CHAR(10)&amp;"This is an automated notification from HP Mainstream EQMS."),"✉ Open Email Draft"),"")</f>
        <v/>
      </c>
    </row>
    <row r="1966">
      <c r="A1966" s="25">
        <f>IF($C1966="","","AUD-2026-"&amp;TEXT(ROW()-1,"000000"))</f>
        <v/>
      </c>
      <c r="B1966" s="26" t="n"/>
      <c r="C1966" s="27" t="n"/>
      <c r="D1966" s="25">
        <f>IF($C1966="","",IFERROR(IF(INDEX(Roster!$A:$A,MATCH($C1966,Roster!$B:$B,0))="","",INDEX(Roster!$A:$A,MATCH($C1966,Roster!$B:$B,0))&amp;""),"—"))</f>
        <v/>
      </c>
      <c r="E1966" s="25">
        <f>IF($C1966="","",IFERROR(IF(INDEX(Roster!$C:$C,MATCH($C1966,Roster!$B:$B,0))="","",INDEX(Roster!$C:$C,MATCH($C1966,Roster!$B:$B,0))&amp;""),"—"))</f>
        <v/>
      </c>
      <c r="F1966" s="25">
        <f>IF($C1966="","",IFERROR(IF(INDEX(Roster!$D:$D,MATCH($C1966,Roster!$B:$B,0))="","",INDEX(Roster!$D:$D,MATCH($C1966,Roster!$B:$B,0))&amp;""),"—"))</f>
        <v/>
      </c>
      <c r="G1966" s="25">
        <f>IF($C1966="","",IFERROR(IF(INDEX(Roster!$E:$E,MATCH($C1966,Roster!$B:$B,0))="","",INDEX(Roster!$E:$E,MATCH($C1966,Roster!$B:$B,0))&amp;""),"—"))</f>
        <v/>
      </c>
      <c r="H1966" s="25">
        <f>IF($C1966="","",IFERROR(IF(INDEX(Roster!$F:$F,MATCH($C1966,Roster!$B:$B,0))="","",INDEX(Roster!$F:$F,MATCH($C1966,Roster!$B:$B,0))&amp;""),"—"))</f>
        <v/>
      </c>
      <c r="I1966" s="25">
        <f>IF($C1966="","",IFERROR(IF(INDEX(Roster!$G:$G,MATCH($C1966,Roster!$B:$B,0))="","",INDEX(Roster!$G:$G,MATCH($C1966,Roster!$B:$B,0))&amp;""),"—"))</f>
        <v/>
      </c>
      <c r="J1966" s="25">
        <f>IF($C1966="","",IFERROR(IF(INDEX(Roster!$I:$I,MATCH($C1966,Roster!$B:$B,0))="","",INDEX(Roster!$I:$I,MATCH($C1966,Roster!$B:$B,0))&amp;""),"—"))</f>
        <v/>
      </c>
      <c r="K1966">
        <f>IF($C1966="","",IFERROR(IF(INDEX(Roster!$J:$J,MATCH($C1966,Roster!$B:$B,0))="","",INDEX(Roster!$J:$J,MATCH($C1966,Roster!$B:$B,0))&amp;""),"—"))</f>
        <v/>
      </c>
      <c r="L1966">
        <f>IF($C1966="","",IFERROR(IF(INDEX(Roster!$K:$K,MATCH($C1966,Roster!$B:$B,0))="","",INDEX(Roster!$K:$K,MATCH($C1966,Roster!$B:$B,0))&amp;""),"—"))</f>
        <v/>
      </c>
      <c r="M1966" s="27" t="n"/>
      <c r="N1966" s="27" t="n"/>
      <c r="O1966" s="25">
        <f>IF($C1966="","",IF($P1966="","—",IF($P1966="Valid (Pass)","Valid","Invalid")))</f>
        <v/>
      </c>
      <c r="P1966" s="27" t="n"/>
      <c r="Q1966" s="27" t="n"/>
      <c r="R1966" s="27" t="n"/>
      <c r="S1966" s="27" t="n"/>
      <c r="T1966" s="25">
        <f>IF($C1966="","",IF(OR(ISNUMBER(SEARCH("quick case",$P1966)),ISNUMBER(SEARCH("quick case",$Q1966))),"Yes","No"))</f>
        <v/>
      </c>
      <c r="U1966" s="25">
        <f>IF($O1966="Invalid",HYPERLINK("mailto:"&amp;$G1966&amp;";"&amp;$I1966&amp;"?cc="&amp;Lists!$E$2&amp;"&amp;subject="&amp;_xlfn.ENCODEURL("[INVALID] Quality audit monitoring completed for "&amp;UPPER($C1966))&amp;"&amp;body="&amp;_xlfn.ENCODEURL("Hi "&amp;$F1966&amp;","&amp;CHAR(10)&amp;"Good day!"&amp;CHAR(10)&amp;CHAR(10)&amp;"A quality monitoring audit has been completed for "&amp;$C1966&amp;"."&amp;CHAR(10)&amp;CHAR(10)&amp;"QUALITY AUDIT DETAILS"&amp;CHAR(10)&amp;"Agent Name: "&amp;$C1966&amp;" (EID "&amp;$D1966&amp;")"&amp;CHAR(10)&amp;"Audit Date: "&amp;TEXT($B1966,"yyyy-mm-dd")&amp;CHAR(10)&amp;"Team Leader: "&amp;$F1966&amp;CHAR(10)&amp;"Case Number: "&amp;$M1966&amp;CHAR(10)&amp;"Transaction ID: "&amp;$N1966&amp;CHAR(10)&amp;"Channel / LOB: "&amp;$K1966&amp;" / "&amp;$L1966&amp;CHAR(10)&amp;"Evaluator: "&amp;$S1966&amp;CHAR(10)&amp;CHAR(10)&amp;"INVALID QUALITY AUDIT DETAILS"&amp;CHAR(10)&amp;"Validation: Invalid"&amp;CHAR(10)&amp;"Invalid Reason: "&amp;$P1966&amp;CHAR(10)&amp;"Expected Resolution Code: "&amp;$Q1966&amp;CHAR(10)&amp;"Remarks: "&amp;LEFT($R1966,600)&amp;CHAR(10)&amp;CHAR(10)&amp;"This is an automated notification from HP Mainstream EQMS."),"✉ Open Email Draft"),"")</f>
        <v/>
      </c>
    </row>
    <row r="1967">
      <c r="A1967" s="25">
        <f>IF($C1967="","","AUD-2026-"&amp;TEXT(ROW()-1,"000000"))</f>
        <v/>
      </c>
      <c r="B1967" s="26" t="n"/>
      <c r="C1967" s="27" t="n"/>
      <c r="D1967" s="25">
        <f>IF($C1967="","",IFERROR(IF(INDEX(Roster!$A:$A,MATCH($C1967,Roster!$B:$B,0))="","",INDEX(Roster!$A:$A,MATCH($C1967,Roster!$B:$B,0))&amp;""),"—"))</f>
        <v/>
      </c>
      <c r="E1967" s="25">
        <f>IF($C1967="","",IFERROR(IF(INDEX(Roster!$C:$C,MATCH($C1967,Roster!$B:$B,0))="","",INDEX(Roster!$C:$C,MATCH($C1967,Roster!$B:$B,0))&amp;""),"—"))</f>
        <v/>
      </c>
      <c r="F1967" s="25">
        <f>IF($C1967="","",IFERROR(IF(INDEX(Roster!$D:$D,MATCH($C1967,Roster!$B:$B,0))="","",INDEX(Roster!$D:$D,MATCH($C1967,Roster!$B:$B,0))&amp;""),"—"))</f>
        <v/>
      </c>
      <c r="G1967" s="25">
        <f>IF($C1967="","",IFERROR(IF(INDEX(Roster!$E:$E,MATCH($C1967,Roster!$B:$B,0))="","",INDEX(Roster!$E:$E,MATCH($C1967,Roster!$B:$B,0))&amp;""),"—"))</f>
        <v/>
      </c>
      <c r="H1967" s="25">
        <f>IF($C1967="","",IFERROR(IF(INDEX(Roster!$F:$F,MATCH($C1967,Roster!$B:$B,0))="","",INDEX(Roster!$F:$F,MATCH($C1967,Roster!$B:$B,0))&amp;""),"—"))</f>
        <v/>
      </c>
      <c r="I1967" s="25">
        <f>IF($C1967="","",IFERROR(IF(INDEX(Roster!$G:$G,MATCH($C1967,Roster!$B:$B,0))="","",INDEX(Roster!$G:$G,MATCH($C1967,Roster!$B:$B,0))&amp;""),"—"))</f>
        <v/>
      </c>
      <c r="J1967" s="25">
        <f>IF($C1967="","",IFERROR(IF(INDEX(Roster!$I:$I,MATCH($C1967,Roster!$B:$B,0))="","",INDEX(Roster!$I:$I,MATCH($C1967,Roster!$B:$B,0))&amp;""),"—"))</f>
        <v/>
      </c>
      <c r="K1967">
        <f>IF($C1967="","",IFERROR(IF(INDEX(Roster!$J:$J,MATCH($C1967,Roster!$B:$B,0))="","",INDEX(Roster!$J:$J,MATCH($C1967,Roster!$B:$B,0))&amp;""),"—"))</f>
        <v/>
      </c>
      <c r="L1967">
        <f>IF($C1967="","",IFERROR(IF(INDEX(Roster!$K:$K,MATCH($C1967,Roster!$B:$B,0))="","",INDEX(Roster!$K:$K,MATCH($C1967,Roster!$B:$B,0))&amp;""),"—"))</f>
        <v/>
      </c>
      <c r="M1967" s="27" t="n"/>
      <c r="N1967" s="27" t="n"/>
      <c r="O1967" s="25">
        <f>IF($C1967="","",IF($P1967="","—",IF($P1967="Valid (Pass)","Valid","Invalid")))</f>
        <v/>
      </c>
      <c r="P1967" s="27" t="n"/>
      <c r="Q1967" s="27" t="n"/>
      <c r="R1967" s="27" t="n"/>
      <c r="S1967" s="27" t="n"/>
      <c r="T1967" s="25">
        <f>IF($C1967="","",IF(OR(ISNUMBER(SEARCH("quick case",$P1967)),ISNUMBER(SEARCH("quick case",$Q1967))),"Yes","No"))</f>
        <v/>
      </c>
      <c r="U1967" s="25">
        <f>IF($O1967="Invalid",HYPERLINK("mailto:"&amp;$G1967&amp;";"&amp;$I1967&amp;"?cc="&amp;Lists!$E$2&amp;"&amp;subject="&amp;_xlfn.ENCODEURL("[INVALID] Quality audit monitoring completed for "&amp;UPPER($C1967))&amp;"&amp;body="&amp;_xlfn.ENCODEURL("Hi "&amp;$F1967&amp;","&amp;CHAR(10)&amp;"Good day!"&amp;CHAR(10)&amp;CHAR(10)&amp;"A quality monitoring audit has been completed for "&amp;$C1967&amp;"."&amp;CHAR(10)&amp;CHAR(10)&amp;"QUALITY AUDIT DETAILS"&amp;CHAR(10)&amp;"Agent Name: "&amp;$C1967&amp;" (EID "&amp;$D1967&amp;")"&amp;CHAR(10)&amp;"Audit Date: "&amp;TEXT($B1967,"yyyy-mm-dd")&amp;CHAR(10)&amp;"Team Leader: "&amp;$F1967&amp;CHAR(10)&amp;"Case Number: "&amp;$M1967&amp;CHAR(10)&amp;"Transaction ID: "&amp;$N1967&amp;CHAR(10)&amp;"Channel / LOB: "&amp;$K1967&amp;" / "&amp;$L1967&amp;CHAR(10)&amp;"Evaluator: "&amp;$S1967&amp;CHAR(10)&amp;CHAR(10)&amp;"INVALID QUALITY AUDIT DETAILS"&amp;CHAR(10)&amp;"Validation: Invalid"&amp;CHAR(10)&amp;"Invalid Reason: "&amp;$P1967&amp;CHAR(10)&amp;"Expected Resolution Code: "&amp;$Q1967&amp;CHAR(10)&amp;"Remarks: "&amp;LEFT($R1967,600)&amp;CHAR(10)&amp;CHAR(10)&amp;"This is an automated notification from HP Mainstream EQMS."),"✉ Open Email Draft"),"")</f>
        <v/>
      </c>
    </row>
    <row r="1968">
      <c r="A1968" s="25">
        <f>IF($C1968="","","AUD-2026-"&amp;TEXT(ROW()-1,"000000"))</f>
        <v/>
      </c>
      <c r="B1968" s="26" t="n"/>
      <c r="C1968" s="27" t="n"/>
      <c r="D1968" s="25">
        <f>IF($C1968="","",IFERROR(IF(INDEX(Roster!$A:$A,MATCH($C1968,Roster!$B:$B,0))="","",INDEX(Roster!$A:$A,MATCH($C1968,Roster!$B:$B,0))&amp;""),"—"))</f>
        <v/>
      </c>
      <c r="E1968" s="25">
        <f>IF($C1968="","",IFERROR(IF(INDEX(Roster!$C:$C,MATCH($C1968,Roster!$B:$B,0))="","",INDEX(Roster!$C:$C,MATCH($C1968,Roster!$B:$B,0))&amp;""),"—"))</f>
        <v/>
      </c>
      <c r="F1968" s="25">
        <f>IF($C1968="","",IFERROR(IF(INDEX(Roster!$D:$D,MATCH($C1968,Roster!$B:$B,0))="","",INDEX(Roster!$D:$D,MATCH($C1968,Roster!$B:$B,0))&amp;""),"—"))</f>
        <v/>
      </c>
      <c r="G1968" s="25">
        <f>IF($C1968="","",IFERROR(IF(INDEX(Roster!$E:$E,MATCH($C1968,Roster!$B:$B,0))="","",INDEX(Roster!$E:$E,MATCH($C1968,Roster!$B:$B,0))&amp;""),"—"))</f>
        <v/>
      </c>
      <c r="H1968" s="25">
        <f>IF($C1968="","",IFERROR(IF(INDEX(Roster!$F:$F,MATCH($C1968,Roster!$B:$B,0))="","",INDEX(Roster!$F:$F,MATCH($C1968,Roster!$B:$B,0))&amp;""),"—"))</f>
        <v/>
      </c>
      <c r="I1968" s="25">
        <f>IF($C1968="","",IFERROR(IF(INDEX(Roster!$G:$G,MATCH($C1968,Roster!$B:$B,0))="","",INDEX(Roster!$G:$G,MATCH($C1968,Roster!$B:$B,0))&amp;""),"—"))</f>
        <v/>
      </c>
      <c r="J1968" s="25">
        <f>IF($C1968="","",IFERROR(IF(INDEX(Roster!$I:$I,MATCH($C1968,Roster!$B:$B,0))="","",INDEX(Roster!$I:$I,MATCH($C1968,Roster!$B:$B,0))&amp;""),"—"))</f>
        <v/>
      </c>
      <c r="K1968">
        <f>IF($C1968="","",IFERROR(IF(INDEX(Roster!$J:$J,MATCH($C1968,Roster!$B:$B,0))="","",INDEX(Roster!$J:$J,MATCH($C1968,Roster!$B:$B,0))&amp;""),"—"))</f>
        <v/>
      </c>
      <c r="L1968">
        <f>IF($C1968="","",IFERROR(IF(INDEX(Roster!$K:$K,MATCH($C1968,Roster!$B:$B,0))="","",INDEX(Roster!$K:$K,MATCH($C1968,Roster!$B:$B,0))&amp;""),"—"))</f>
        <v/>
      </c>
      <c r="M1968" s="27" t="n"/>
      <c r="N1968" s="27" t="n"/>
      <c r="O1968" s="25">
        <f>IF($C1968="","",IF($P1968="","—",IF($P1968="Valid (Pass)","Valid","Invalid")))</f>
        <v/>
      </c>
      <c r="P1968" s="27" t="n"/>
      <c r="Q1968" s="27" t="n"/>
      <c r="R1968" s="27" t="n"/>
      <c r="S1968" s="27" t="n"/>
      <c r="T1968" s="25">
        <f>IF($C1968="","",IF(OR(ISNUMBER(SEARCH("quick case",$P1968)),ISNUMBER(SEARCH("quick case",$Q1968))),"Yes","No"))</f>
        <v/>
      </c>
      <c r="U1968" s="25">
        <f>IF($O1968="Invalid",HYPERLINK("mailto:"&amp;$G1968&amp;";"&amp;$I1968&amp;"?cc="&amp;Lists!$E$2&amp;"&amp;subject="&amp;_xlfn.ENCODEURL("[INVALID] Quality audit monitoring completed for "&amp;UPPER($C1968))&amp;"&amp;body="&amp;_xlfn.ENCODEURL("Hi "&amp;$F1968&amp;","&amp;CHAR(10)&amp;"Good day!"&amp;CHAR(10)&amp;CHAR(10)&amp;"A quality monitoring audit has been completed for "&amp;$C1968&amp;"."&amp;CHAR(10)&amp;CHAR(10)&amp;"QUALITY AUDIT DETAILS"&amp;CHAR(10)&amp;"Agent Name: "&amp;$C1968&amp;" (EID "&amp;$D1968&amp;")"&amp;CHAR(10)&amp;"Audit Date: "&amp;TEXT($B1968,"yyyy-mm-dd")&amp;CHAR(10)&amp;"Team Leader: "&amp;$F1968&amp;CHAR(10)&amp;"Case Number: "&amp;$M1968&amp;CHAR(10)&amp;"Transaction ID: "&amp;$N1968&amp;CHAR(10)&amp;"Channel / LOB: "&amp;$K1968&amp;" / "&amp;$L1968&amp;CHAR(10)&amp;"Evaluator: "&amp;$S1968&amp;CHAR(10)&amp;CHAR(10)&amp;"INVALID QUALITY AUDIT DETAILS"&amp;CHAR(10)&amp;"Validation: Invalid"&amp;CHAR(10)&amp;"Invalid Reason: "&amp;$P1968&amp;CHAR(10)&amp;"Expected Resolution Code: "&amp;$Q1968&amp;CHAR(10)&amp;"Remarks: "&amp;LEFT($R1968,600)&amp;CHAR(10)&amp;CHAR(10)&amp;"This is an automated notification from HP Mainstream EQMS."),"✉ Open Email Draft"),"")</f>
        <v/>
      </c>
    </row>
    <row r="1969">
      <c r="A1969" s="25">
        <f>IF($C1969="","","AUD-2026-"&amp;TEXT(ROW()-1,"000000"))</f>
        <v/>
      </c>
      <c r="B1969" s="26" t="n"/>
      <c r="C1969" s="27" t="n"/>
      <c r="D1969" s="25">
        <f>IF($C1969="","",IFERROR(IF(INDEX(Roster!$A:$A,MATCH($C1969,Roster!$B:$B,0))="","",INDEX(Roster!$A:$A,MATCH($C1969,Roster!$B:$B,0))&amp;""),"—"))</f>
        <v/>
      </c>
      <c r="E1969" s="25">
        <f>IF($C1969="","",IFERROR(IF(INDEX(Roster!$C:$C,MATCH($C1969,Roster!$B:$B,0))="","",INDEX(Roster!$C:$C,MATCH($C1969,Roster!$B:$B,0))&amp;""),"—"))</f>
        <v/>
      </c>
      <c r="F1969" s="25">
        <f>IF($C1969="","",IFERROR(IF(INDEX(Roster!$D:$D,MATCH($C1969,Roster!$B:$B,0))="","",INDEX(Roster!$D:$D,MATCH($C1969,Roster!$B:$B,0))&amp;""),"—"))</f>
        <v/>
      </c>
      <c r="G1969" s="25">
        <f>IF($C1969="","",IFERROR(IF(INDEX(Roster!$E:$E,MATCH($C1969,Roster!$B:$B,0))="","",INDEX(Roster!$E:$E,MATCH($C1969,Roster!$B:$B,0))&amp;""),"—"))</f>
        <v/>
      </c>
      <c r="H1969" s="25">
        <f>IF($C1969="","",IFERROR(IF(INDEX(Roster!$F:$F,MATCH($C1969,Roster!$B:$B,0))="","",INDEX(Roster!$F:$F,MATCH($C1969,Roster!$B:$B,0))&amp;""),"—"))</f>
        <v/>
      </c>
      <c r="I1969" s="25">
        <f>IF($C1969="","",IFERROR(IF(INDEX(Roster!$G:$G,MATCH($C1969,Roster!$B:$B,0))="","",INDEX(Roster!$G:$G,MATCH($C1969,Roster!$B:$B,0))&amp;""),"—"))</f>
        <v/>
      </c>
      <c r="J1969" s="25">
        <f>IF($C1969="","",IFERROR(IF(INDEX(Roster!$I:$I,MATCH($C1969,Roster!$B:$B,0))="","",INDEX(Roster!$I:$I,MATCH($C1969,Roster!$B:$B,0))&amp;""),"—"))</f>
        <v/>
      </c>
      <c r="K1969">
        <f>IF($C1969="","",IFERROR(IF(INDEX(Roster!$J:$J,MATCH($C1969,Roster!$B:$B,0))="","",INDEX(Roster!$J:$J,MATCH($C1969,Roster!$B:$B,0))&amp;""),"—"))</f>
        <v/>
      </c>
      <c r="L1969">
        <f>IF($C1969="","",IFERROR(IF(INDEX(Roster!$K:$K,MATCH($C1969,Roster!$B:$B,0))="","",INDEX(Roster!$K:$K,MATCH($C1969,Roster!$B:$B,0))&amp;""),"—"))</f>
        <v/>
      </c>
      <c r="M1969" s="27" t="n"/>
      <c r="N1969" s="27" t="n"/>
      <c r="O1969" s="25">
        <f>IF($C1969="","",IF($P1969="","—",IF($P1969="Valid (Pass)","Valid","Invalid")))</f>
        <v/>
      </c>
      <c r="P1969" s="27" t="n"/>
      <c r="Q1969" s="27" t="n"/>
      <c r="R1969" s="27" t="n"/>
      <c r="S1969" s="27" t="n"/>
      <c r="T1969" s="25">
        <f>IF($C1969="","",IF(OR(ISNUMBER(SEARCH("quick case",$P1969)),ISNUMBER(SEARCH("quick case",$Q1969))),"Yes","No"))</f>
        <v/>
      </c>
      <c r="U1969" s="25">
        <f>IF($O1969="Invalid",HYPERLINK("mailto:"&amp;$G1969&amp;";"&amp;$I1969&amp;"?cc="&amp;Lists!$E$2&amp;"&amp;subject="&amp;_xlfn.ENCODEURL("[INVALID] Quality audit monitoring completed for "&amp;UPPER($C1969))&amp;"&amp;body="&amp;_xlfn.ENCODEURL("Hi "&amp;$F1969&amp;","&amp;CHAR(10)&amp;"Good day!"&amp;CHAR(10)&amp;CHAR(10)&amp;"A quality monitoring audit has been completed for "&amp;$C1969&amp;"."&amp;CHAR(10)&amp;CHAR(10)&amp;"QUALITY AUDIT DETAILS"&amp;CHAR(10)&amp;"Agent Name: "&amp;$C1969&amp;" (EID "&amp;$D1969&amp;")"&amp;CHAR(10)&amp;"Audit Date: "&amp;TEXT($B1969,"yyyy-mm-dd")&amp;CHAR(10)&amp;"Team Leader: "&amp;$F1969&amp;CHAR(10)&amp;"Case Number: "&amp;$M1969&amp;CHAR(10)&amp;"Transaction ID: "&amp;$N1969&amp;CHAR(10)&amp;"Channel / LOB: "&amp;$K1969&amp;" / "&amp;$L1969&amp;CHAR(10)&amp;"Evaluator: "&amp;$S1969&amp;CHAR(10)&amp;CHAR(10)&amp;"INVALID QUALITY AUDIT DETAILS"&amp;CHAR(10)&amp;"Validation: Invalid"&amp;CHAR(10)&amp;"Invalid Reason: "&amp;$P1969&amp;CHAR(10)&amp;"Expected Resolution Code: "&amp;$Q1969&amp;CHAR(10)&amp;"Remarks: "&amp;LEFT($R1969,600)&amp;CHAR(10)&amp;CHAR(10)&amp;"This is an automated notification from HP Mainstream EQMS."),"✉ Open Email Draft"),"")</f>
        <v/>
      </c>
    </row>
    <row r="1970">
      <c r="A1970" s="25">
        <f>IF($C1970="","","AUD-2026-"&amp;TEXT(ROW()-1,"000000"))</f>
        <v/>
      </c>
      <c r="B1970" s="26" t="n"/>
      <c r="C1970" s="27" t="n"/>
      <c r="D1970" s="25">
        <f>IF($C1970="","",IFERROR(IF(INDEX(Roster!$A:$A,MATCH($C1970,Roster!$B:$B,0))="","",INDEX(Roster!$A:$A,MATCH($C1970,Roster!$B:$B,0))&amp;""),"—"))</f>
        <v/>
      </c>
      <c r="E1970" s="25">
        <f>IF($C1970="","",IFERROR(IF(INDEX(Roster!$C:$C,MATCH($C1970,Roster!$B:$B,0))="","",INDEX(Roster!$C:$C,MATCH($C1970,Roster!$B:$B,0))&amp;""),"—"))</f>
        <v/>
      </c>
      <c r="F1970" s="25">
        <f>IF($C1970="","",IFERROR(IF(INDEX(Roster!$D:$D,MATCH($C1970,Roster!$B:$B,0))="","",INDEX(Roster!$D:$D,MATCH($C1970,Roster!$B:$B,0))&amp;""),"—"))</f>
        <v/>
      </c>
      <c r="G1970" s="25">
        <f>IF($C1970="","",IFERROR(IF(INDEX(Roster!$E:$E,MATCH($C1970,Roster!$B:$B,0))="","",INDEX(Roster!$E:$E,MATCH($C1970,Roster!$B:$B,0))&amp;""),"—"))</f>
        <v/>
      </c>
      <c r="H1970" s="25">
        <f>IF($C1970="","",IFERROR(IF(INDEX(Roster!$F:$F,MATCH($C1970,Roster!$B:$B,0))="","",INDEX(Roster!$F:$F,MATCH($C1970,Roster!$B:$B,0))&amp;""),"—"))</f>
        <v/>
      </c>
      <c r="I1970" s="25">
        <f>IF($C1970="","",IFERROR(IF(INDEX(Roster!$G:$G,MATCH($C1970,Roster!$B:$B,0))="","",INDEX(Roster!$G:$G,MATCH($C1970,Roster!$B:$B,0))&amp;""),"—"))</f>
        <v/>
      </c>
      <c r="J1970" s="25">
        <f>IF($C1970="","",IFERROR(IF(INDEX(Roster!$I:$I,MATCH($C1970,Roster!$B:$B,0))="","",INDEX(Roster!$I:$I,MATCH($C1970,Roster!$B:$B,0))&amp;""),"—"))</f>
        <v/>
      </c>
      <c r="K1970">
        <f>IF($C1970="","",IFERROR(IF(INDEX(Roster!$J:$J,MATCH($C1970,Roster!$B:$B,0))="","",INDEX(Roster!$J:$J,MATCH($C1970,Roster!$B:$B,0))&amp;""),"—"))</f>
        <v/>
      </c>
      <c r="L1970">
        <f>IF($C1970="","",IFERROR(IF(INDEX(Roster!$K:$K,MATCH($C1970,Roster!$B:$B,0))="","",INDEX(Roster!$K:$K,MATCH($C1970,Roster!$B:$B,0))&amp;""),"—"))</f>
        <v/>
      </c>
      <c r="M1970" s="27" t="n"/>
      <c r="N1970" s="27" t="n"/>
      <c r="O1970" s="25">
        <f>IF($C1970="","",IF($P1970="","—",IF($P1970="Valid (Pass)","Valid","Invalid")))</f>
        <v/>
      </c>
      <c r="P1970" s="27" t="n"/>
      <c r="Q1970" s="27" t="n"/>
      <c r="R1970" s="27" t="n"/>
      <c r="S1970" s="27" t="n"/>
      <c r="T1970" s="25">
        <f>IF($C1970="","",IF(OR(ISNUMBER(SEARCH("quick case",$P1970)),ISNUMBER(SEARCH("quick case",$Q1970))),"Yes","No"))</f>
        <v/>
      </c>
      <c r="U1970" s="25">
        <f>IF($O1970="Invalid",HYPERLINK("mailto:"&amp;$G1970&amp;";"&amp;$I1970&amp;"?cc="&amp;Lists!$E$2&amp;"&amp;subject="&amp;_xlfn.ENCODEURL("[INVALID] Quality audit monitoring completed for "&amp;UPPER($C1970))&amp;"&amp;body="&amp;_xlfn.ENCODEURL("Hi "&amp;$F1970&amp;","&amp;CHAR(10)&amp;"Good day!"&amp;CHAR(10)&amp;CHAR(10)&amp;"A quality monitoring audit has been completed for "&amp;$C1970&amp;"."&amp;CHAR(10)&amp;CHAR(10)&amp;"QUALITY AUDIT DETAILS"&amp;CHAR(10)&amp;"Agent Name: "&amp;$C1970&amp;" (EID "&amp;$D1970&amp;")"&amp;CHAR(10)&amp;"Audit Date: "&amp;TEXT($B1970,"yyyy-mm-dd")&amp;CHAR(10)&amp;"Team Leader: "&amp;$F1970&amp;CHAR(10)&amp;"Case Number: "&amp;$M1970&amp;CHAR(10)&amp;"Transaction ID: "&amp;$N1970&amp;CHAR(10)&amp;"Channel / LOB: "&amp;$K1970&amp;" / "&amp;$L1970&amp;CHAR(10)&amp;"Evaluator: "&amp;$S1970&amp;CHAR(10)&amp;CHAR(10)&amp;"INVALID QUALITY AUDIT DETAILS"&amp;CHAR(10)&amp;"Validation: Invalid"&amp;CHAR(10)&amp;"Invalid Reason: "&amp;$P1970&amp;CHAR(10)&amp;"Expected Resolution Code: "&amp;$Q1970&amp;CHAR(10)&amp;"Remarks: "&amp;LEFT($R1970,600)&amp;CHAR(10)&amp;CHAR(10)&amp;"This is an automated notification from HP Mainstream EQMS."),"✉ Open Email Draft"),"")</f>
        <v/>
      </c>
    </row>
    <row r="1971">
      <c r="A1971" s="25">
        <f>IF($C1971="","","AUD-2026-"&amp;TEXT(ROW()-1,"000000"))</f>
        <v/>
      </c>
      <c r="B1971" s="26" t="n"/>
      <c r="C1971" s="27" t="n"/>
      <c r="D1971" s="25">
        <f>IF($C1971="","",IFERROR(IF(INDEX(Roster!$A:$A,MATCH($C1971,Roster!$B:$B,0))="","",INDEX(Roster!$A:$A,MATCH($C1971,Roster!$B:$B,0))&amp;""),"—"))</f>
        <v/>
      </c>
      <c r="E1971" s="25">
        <f>IF($C1971="","",IFERROR(IF(INDEX(Roster!$C:$C,MATCH($C1971,Roster!$B:$B,0))="","",INDEX(Roster!$C:$C,MATCH($C1971,Roster!$B:$B,0))&amp;""),"—"))</f>
        <v/>
      </c>
      <c r="F1971" s="25">
        <f>IF($C1971="","",IFERROR(IF(INDEX(Roster!$D:$D,MATCH($C1971,Roster!$B:$B,0))="","",INDEX(Roster!$D:$D,MATCH($C1971,Roster!$B:$B,0))&amp;""),"—"))</f>
        <v/>
      </c>
      <c r="G1971" s="25">
        <f>IF($C1971="","",IFERROR(IF(INDEX(Roster!$E:$E,MATCH($C1971,Roster!$B:$B,0))="","",INDEX(Roster!$E:$E,MATCH($C1971,Roster!$B:$B,0))&amp;""),"—"))</f>
        <v/>
      </c>
      <c r="H1971" s="25">
        <f>IF($C1971="","",IFERROR(IF(INDEX(Roster!$F:$F,MATCH($C1971,Roster!$B:$B,0))="","",INDEX(Roster!$F:$F,MATCH($C1971,Roster!$B:$B,0))&amp;""),"—"))</f>
        <v/>
      </c>
      <c r="I1971" s="25">
        <f>IF($C1971="","",IFERROR(IF(INDEX(Roster!$G:$G,MATCH($C1971,Roster!$B:$B,0))="","",INDEX(Roster!$G:$G,MATCH($C1971,Roster!$B:$B,0))&amp;""),"—"))</f>
        <v/>
      </c>
      <c r="J1971" s="25">
        <f>IF($C1971="","",IFERROR(IF(INDEX(Roster!$I:$I,MATCH($C1971,Roster!$B:$B,0))="","",INDEX(Roster!$I:$I,MATCH($C1971,Roster!$B:$B,0))&amp;""),"—"))</f>
        <v/>
      </c>
      <c r="K1971">
        <f>IF($C1971="","",IFERROR(IF(INDEX(Roster!$J:$J,MATCH($C1971,Roster!$B:$B,0))="","",INDEX(Roster!$J:$J,MATCH($C1971,Roster!$B:$B,0))&amp;""),"—"))</f>
        <v/>
      </c>
      <c r="L1971">
        <f>IF($C1971="","",IFERROR(IF(INDEX(Roster!$K:$K,MATCH($C1971,Roster!$B:$B,0))="","",INDEX(Roster!$K:$K,MATCH($C1971,Roster!$B:$B,0))&amp;""),"—"))</f>
        <v/>
      </c>
      <c r="M1971" s="27" t="n"/>
      <c r="N1971" s="27" t="n"/>
      <c r="O1971" s="25">
        <f>IF($C1971="","",IF($P1971="","—",IF($P1971="Valid (Pass)","Valid","Invalid")))</f>
        <v/>
      </c>
      <c r="P1971" s="27" t="n"/>
      <c r="Q1971" s="27" t="n"/>
      <c r="R1971" s="27" t="n"/>
      <c r="S1971" s="27" t="n"/>
      <c r="T1971" s="25">
        <f>IF($C1971="","",IF(OR(ISNUMBER(SEARCH("quick case",$P1971)),ISNUMBER(SEARCH("quick case",$Q1971))),"Yes","No"))</f>
        <v/>
      </c>
      <c r="U1971" s="25">
        <f>IF($O1971="Invalid",HYPERLINK("mailto:"&amp;$G1971&amp;";"&amp;$I1971&amp;"?cc="&amp;Lists!$E$2&amp;"&amp;subject="&amp;_xlfn.ENCODEURL("[INVALID] Quality audit monitoring completed for "&amp;UPPER($C1971))&amp;"&amp;body="&amp;_xlfn.ENCODEURL("Hi "&amp;$F1971&amp;","&amp;CHAR(10)&amp;"Good day!"&amp;CHAR(10)&amp;CHAR(10)&amp;"A quality monitoring audit has been completed for "&amp;$C1971&amp;"."&amp;CHAR(10)&amp;CHAR(10)&amp;"QUALITY AUDIT DETAILS"&amp;CHAR(10)&amp;"Agent Name: "&amp;$C1971&amp;" (EID "&amp;$D1971&amp;")"&amp;CHAR(10)&amp;"Audit Date: "&amp;TEXT($B1971,"yyyy-mm-dd")&amp;CHAR(10)&amp;"Team Leader: "&amp;$F1971&amp;CHAR(10)&amp;"Case Number: "&amp;$M1971&amp;CHAR(10)&amp;"Transaction ID: "&amp;$N1971&amp;CHAR(10)&amp;"Channel / LOB: "&amp;$K1971&amp;" / "&amp;$L1971&amp;CHAR(10)&amp;"Evaluator: "&amp;$S1971&amp;CHAR(10)&amp;CHAR(10)&amp;"INVALID QUALITY AUDIT DETAILS"&amp;CHAR(10)&amp;"Validation: Invalid"&amp;CHAR(10)&amp;"Invalid Reason: "&amp;$P1971&amp;CHAR(10)&amp;"Expected Resolution Code: "&amp;$Q1971&amp;CHAR(10)&amp;"Remarks: "&amp;LEFT($R1971,600)&amp;CHAR(10)&amp;CHAR(10)&amp;"This is an automated notification from HP Mainstream EQMS."),"✉ Open Email Draft"),"")</f>
        <v/>
      </c>
    </row>
    <row r="1972">
      <c r="A1972" s="25">
        <f>IF($C1972="","","AUD-2026-"&amp;TEXT(ROW()-1,"000000"))</f>
        <v/>
      </c>
      <c r="B1972" s="26" t="n"/>
      <c r="C1972" s="27" t="n"/>
      <c r="D1972" s="25">
        <f>IF($C1972="","",IFERROR(IF(INDEX(Roster!$A:$A,MATCH($C1972,Roster!$B:$B,0))="","",INDEX(Roster!$A:$A,MATCH($C1972,Roster!$B:$B,0))&amp;""),"—"))</f>
        <v/>
      </c>
      <c r="E1972" s="25">
        <f>IF($C1972="","",IFERROR(IF(INDEX(Roster!$C:$C,MATCH($C1972,Roster!$B:$B,0))="","",INDEX(Roster!$C:$C,MATCH($C1972,Roster!$B:$B,0))&amp;""),"—"))</f>
        <v/>
      </c>
      <c r="F1972" s="25">
        <f>IF($C1972="","",IFERROR(IF(INDEX(Roster!$D:$D,MATCH($C1972,Roster!$B:$B,0))="","",INDEX(Roster!$D:$D,MATCH($C1972,Roster!$B:$B,0))&amp;""),"—"))</f>
        <v/>
      </c>
      <c r="G1972" s="25">
        <f>IF($C1972="","",IFERROR(IF(INDEX(Roster!$E:$E,MATCH($C1972,Roster!$B:$B,0))="","",INDEX(Roster!$E:$E,MATCH($C1972,Roster!$B:$B,0))&amp;""),"—"))</f>
        <v/>
      </c>
      <c r="H1972" s="25">
        <f>IF($C1972="","",IFERROR(IF(INDEX(Roster!$F:$F,MATCH($C1972,Roster!$B:$B,0))="","",INDEX(Roster!$F:$F,MATCH($C1972,Roster!$B:$B,0))&amp;""),"—"))</f>
        <v/>
      </c>
      <c r="I1972" s="25">
        <f>IF($C1972="","",IFERROR(IF(INDEX(Roster!$G:$G,MATCH($C1972,Roster!$B:$B,0))="","",INDEX(Roster!$G:$G,MATCH($C1972,Roster!$B:$B,0))&amp;""),"—"))</f>
        <v/>
      </c>
      <c r="J1972" s="25">
        <f>IF($C1972="","",IFERROR(IF(INDEX(Roster!$I:$I,MATCH($C1972,Roster!$B:$B,0))="","",INDEX(Roster!$I:$I,MATCH($C1972,Roster!$B:$B,0))&amp;""),"—"))</f>
        <v/>
      </c>
      <c r="K1972">
        <f>IF($C1972="","",IFERROR(IF(INDEX(Roster!$J:$J,MATCH($C1972,Roster!$B:$B,0))="","",INDEX(Roster!$J:$J,MATCH($C1972,Roster!$B:$B,0))&amp;""),"—"))</f>
        <v/>
      </c>
      <c r="L1972">
        <f>IF($C1972="","",IFERROR(IF(INDEX(Roster!$K:$K,MATCH($C1972,Roster!$B:$B,0))="","",INDEX(Roster!$K:$K,MATCH($C1972,Roster!$B:$B,0))&amp;""),"—"))</f>
        <v/>
      </c>
      <c r="M1972" s="27" t="n"/>
      <c r="N1972" s="27" t="n"/>
      <c r="O1972" s="25">
        <f>IF($C1972="","",IF($P1972="","—",IF($P1972="Valid (Pass)","Valid","Invalid")))</f>
        <v/>
      </c>
      <c r="P1972" s="27" t="n"/>
      <c r="Q1972" s="27" t="n"/>
      <c r="R1972" s="27" t="n"/>
      <c r="S1972" s="27" t="n"/>
      <c r="T1972" s="25">
        <f>IF($C1972="","",IF(OR(ISNUMBER(SEARCH("quick case",$P1972)),ISNUMBER(SEARCH("quick case",$Q1972))),"Yes","No"))</f>
        <v/>
      </c>
      <c r="U1972" s="25">
        <f>IF($O1972="Invalid",HYPERLINK("mailto:"&amp;$G1972&amp;";"&amp;$I1972&amp;"?cc="&amp;Lists!$E$2&amp;"&amp;subject="&amp;_xlfn.ENCODEURL("[INVALID] Quality audit monitoring completed for "&amp;UPPER($C1972))&amp;"&amp;body="&amp;_xlfn.ENCODEURL("Hi "&amp;$F1972&amp;","&amp;CHAR(10)&amp;"Good day!"&amp;CHAR(10)&amp;CHAR(10)&amp;"A quality monitoring audit has been completed for "&amp;$C1972&amp;"."&amp;CHAR(10)&amp;CHAR(10)&amp;"QUALITY AUDIT DETAILS"&amp;CHAR(10)&amp;"Agent Name: "&amp;$C1972&amp;" (EID "&amp;$D1972&amp;")"&amp;CHAR(10)&amp;"Audit Date: "&amp;TEXT($B1972,"yyyy-mm-dd")&amp;CHAR(10)&amp;"Team Leader: "&amp;$F1972&amp;CHAR(10)&amp;"Case Number: "&amp;$M1972&amp;CHAR(10)&amp;"Transaction ID: "&amp;$N1972&amp;CHAR(10)&amp;"Channel / LOB: "&amp;$K1972&amp;" / "&amp;$L1972&amp;CHAR(10)&amp;"Evaluator: "&amp;$S1972&amp;CHAR(10)&amp;CHAR(10)&amp;"INVALID QUALITY AUDIT DETAILS"&amp;CHAR(10)&amp;"Validation: Invalid"&amp;CHAR(10)&amp;"Invalid Reason: "&amp;$P1972&amp;CHAR(10)&amp;"Expected Resolution Code: "&amp;$Q1972&amp;CHAR(10)&amp;"Remarks: "&amp;LEFT($R1972,600)&amp;CHAR(10)&amp;CHAR(10)&amp;"This is an automated notification from HP Mainstream EQMS."),"✉ Open Email Draft"),"")</f>
        <v/>
      </c>
    </row>
    <row r="1973">
      <c r="A1973" s="25">
        <f>IF($C1973="","","AUD-2026-"&amp;TEXT(ROW()-1,"000000"))</f>
        <v/>
      </c>
      <c r="B1973" s="26" t="n"/>
      <c r="C1973" s="27" t="n"/>
      <c r="D1973" s="25">
        <f>IF($C1973="","",IFERROR(IF(INDEX(Roster!$A:$A,MATCH($C1973,Roster!$B:$B,0))="","",INDEX(Roster!$A:$A,MATCH($C1973,Roster!$B:$B,0))&amp;""),"—"))</f>
        <v/>
      </c>
      <c r="E1973" s="25">
        <f>IF($C1973="","",IFERROR(IF(INDEX(Roster!$C:$C,MATCH($C1973,Roster!$B:$B,0))="","",INDEX(Roster!$C:$C,MATCH($C1973,Roster!$B:$B,0))&amp;""),"—"))</f>
        <v/>
      </c>
      <c r="F1973" s="25">
        <f>IF($C1973="","",IFERROR(IF(INDEX(Roster!$D:$D,MATCH($C1973,Roster!$B:$B,0))="","",INDEX(Roster!$D:$D,MATCH($C1973,Roster!$B:$B,0))&amp;""),"—"))</f>
        <v/>
      </c>
      <c r="G1973" s="25">
        <f>IF($C1973="","",IFERROR(IF(INDEX(Roster!$E:$E,MATCH($C1973,Roster!$B:$B,0))="","",INDEX(Roster!$E:$E,MATCH($C1973,Roster!$B:$B,0))&amp;""),"—"))</f>
        <v/>
      </c>
      <c r="H1973" s="25">
        <f>IF($C1973="","",IFERROR(IF(INDEX(Roster!$F:$F,MATCH($C1973,Roster!$B:$B,0))="","",INDEX(Roster!$F:$F,MATCH($C1973,Roster!$B:$B,0))&amp;""),"—"))</f>
        <v/>
      </c>
      <c r="I1973" s="25">
        <f>IF($C1973="","",IFERROR(IF(INDEX(Roster!$G:$G,MATCH($C1973,Roster!$B:$B,0))="","",INDEX(Roster!$G:$G,MATCH($C1973,Roster!$B:$B,0))&amp;""),"—"))</f>
        <v/>
      </c>
      <c r="J1973" s="25">
        <f>IF($C1973="","",IFERROR(IF(INDEX(Roster!$I:$I,MATCH($C1973,Roster!$B:$B,0))="","",INDEX(Roster!$I:$I,MATCH($C1973,Roster!$B:$B,0))&amp;""),"—"))</f>
        <v/>
      </c>
      <c r="K1973">
        <f>IF($C1973="","",IFERROR(IF(INDEX(Roster!$J:$J,MATCH($C1973,Roster!$B:$B,0))="","",INDEX(Roster!$J:$J,MATCH($C1973,Roster!$B:$B,0))&amp;""),"—"))</f>
        <v/>
      </c>
      <c r="L1973">
        <f>IF($C1973="","",IFERROR(IF(INDEX(Roster!$K:$K,MATCH($C1973,Roster!$B:$B,0))="","",INDEX(Roster!$K:$K,MATCH($C1973,Roster!$B:$B,0))&amp;""),"—"))</f>
        <v/>
      </c>
      <c r="M1973" s="27" t="n"/>
      <c r="N1973" s="27" t="n"/>
      <c r="O1973" s="25">
        <f>IF($C1973="","",IF($P1973="","—",IF($P1973="Valid (Pass)","Valid","Invalid")))</f>
        <v/>
      </c>
      <c r="P1973" s="27" t="n"/>
      <c r="Q1973" s="27" t="n"/>
      <c r="R1973" s="27" t="n"/>
      <c r="S1973" s="27" t="n"/>
      <c r="T1973" s="25">
        <f>IF($C1973="","",IF(OR(ISNUMBER(SEARCH("quick case",$P1973)),ISNUMBER(SEARCH("quick case",$Q1973))),"Yes","No"))</f>
        <v/>
      </c>
      <c r="U1973" s="25">
        <f>IF($O1973="Invalid",HYPERLINK("mailto:"&amp;$G1973&amp;";"&amp;$I1973&amp;"?cc="&amp;Lists!$E$2&amp;"&amp;subject="&amp;_xlfn.ENCODEURL("[INVALID] Quality audit monitoring completed for "&amp;UPPER($C1973))&amp;"&amp;body="&amp;_xlfn.ENCODEURL("Hi "&amp;$F1973&amp;","&amp;CHAR(10)&amp;"Good day!"&amp;CHAR(10)&amp;CHAR(10)&amp;"A quality monitoring audit has been completed for "&amp;$C1973&amp;"."&amp;CHAR(10)&amp;CHAR(10)&amp;"QUALITY AUDIT DETAILS"&amp;CHAR(10)&amp;"Agent Name: "&amp;$C1973&amp;" (EID "&amp;$D1973&amp;")"&amp;CHAR(10)&amp;"Audit Date: "&amp;TEXT($B1973,"yyyy-mm-dd")&amp;CHAR(10)&amp;"Team Leader: "&amp;$F1973&amp;CHAR(10)&amp;"Case Number: "&amp;$M1973&amp;CHAR(10)&amp;"Transaction ID: "&amp;$N1973&amp;CHAR(10)&amp;"Channel / LOB: "&amp;$K1973&amp;" / "&amp;$L1973&amp;CHAR(10)&amp;"Evaluator: "&amp;$S1973&amp;CHAR(10)&amp;CHAR(10)&amp;"INVALID QUALITY AUDIT DETAILS"&amp;CHAR(10)&amp;"Validation: Invalid"&amp;CHAR(10)&amp;"Invalid Reason: "&amp;$P1973&amp;CHAR(10)&amp;"Expected Resolution Code: "&amp;$Q1973&amp;CHAR(10)&amp;"Remarks: "&amp;LEFT($R1973,600)&amp;CHAR(10)&amp;CHAR(10)&amp;"This is an automated notification from HP Mainstream EQMS."),"✉ Open Email Draft"),"")</f>
        <v/>
      </c>
    </row>
    <row r="1974">
      <c r="A1974" s="25">
        <f>IF($C1974="","","AUD-2026-"&amp;TEXT(ROW()-1,"000000"))</f>
        <v/>
      </c>
      <c r="B1974" s="26" t="n"/>
      <c r="C1974" s="27" t="n"/>
      <c r="D1974" s="25">
        <f>IF($C1974="","",IFERROR(IF(INDEX(Roster!$A:$A,MATCH($C1974,Roster!$B:$B,0))="","",INDEX(Roster!$A:$A,MATCH($C1974,Roster!$B:$B,0))&amp;""),"—"))</f>
        <v/>
      </c>
      <c r="E1974" s="25">
        <f>IF($C1974="","",IFERROR(IF(INDEX(Roster!$C:$C,MATCH($C1974,Roster!$B:$B,0))="","",INDEX(Roster!$C:$C,MATCH($C1974,Roster!$B:$B,0))&amp;""),"—"))</f>
        <v/>
      </c>
      <c r="F1974" s="25">
        <f>IF($C1974="","",IFERROR(IF(INDEX(Roster!$D:$D,MATCH($C1974,Roster!$B:$B,0))="","",INDEX(Roster!$D:$D,MATCH($C1974,Roster!$B:$B,0))&amp;""),"—"))</f>
        <v/>
      </c>
      <c r="G1974" s="25">
        <f>IF($C1974="","",IFERROR(IF(INDEX(Roster!$E:$E,MATCH($C1974,Roster!$B:$B,0))="","",INDEX(Roster!$E:$E,MATCH($C1974,Roster!$B:$B,0))&amp;""),"—"))</f>
        <v/>
      </c>
      <c r="H1974" s="25">
        <f>IF($C1974="","",IFERROR(IF(INDEX(Roster!$F:$F,MATCH($C1974,Roster!$B:$B,0))="","",INDEX(Roster!$F:$F,MATCH($C1974,Roster!$B:$B,0))&amp;""),"—"))</f>
        <v/>
      </c>
      <c r="I1974" s="25">
        <f>IF($C1974="","",IFERROR(IF(INDEX(Roster!$G:$G,MATCH($C1974,Roster!$B:$B,0))="","",INDEX(Roster!$G:$G,MATCH($C1974,Roster!$B:$B,0))&amp;""),"—"))</f>
        <v/>
      </c>
      <c r="J1974" s="25">
        <f>IF($C1974="","",IFERROR(IF(INDEX(Roster!$I:$I,MATCH($C1974,Roster!$B:$B,0))="","",INDEX(Roster!$I:$I,MATCH($C1974,Roster!$B:$B,0))&amp;""),"—"))</f>
        <v/>
      </c>
      <c r="K1974">
        <f>IF($C1974="","",IFERROR(IF(INDEX(Roster!$J:$J,MATCH($C1974,Roster!$B:$B,0))="","",INDEX(Roster!$J:$J,MATCH($C1974,Roster!$B:$B,0))&amp;""),"—"))</f>
        <v/>
      </c>
      <c r="L1974">
        <f>IF($C1974="","",IFERROR(IF(INDEX(Roster!$K:$K,MATCH($C1974,Roster!$B:$B,0))="","",INDEX(Roster!$K:$K,MATCH($C1974,Roster!$B:$B,0))&amp;""),"—"))</f>
        <v/>
      </c>
      <c r="M1974" s="27" t="n"/>
      <c r="N1974" s="27" t="n"/>
      <c r="O1974" s="25">
        <f>IF($C1974="","",IF($P1974="","—",IF($P1974="Valid (Pass)","Valid","Invalid")))</f>
        <v/>
      </c>
      <c r="P1974" s="27" t="n"/>
      <c r="Q1974" s="27" t="n"/>
      <c r="R1974" s="27" t="n"/>
      <c r="S1974" s="27" t="n"/>
      <c r="T1974" s="25">
        <f>IF($C1974="","",IF(OR(ISNUMBER(SEARCH("quick case",$P1974)),ISNUMBER(SEARCH("quick case",$Q1974))),"Yes","No"))</f>
        <v/>
      </c>
      <c r="U1974" s="25">
        <f>IF($O1974="Invalid",HYPERLINK("mailto:"&amp;$G1974&amp;";"&amp;$I1974&amp;"?cc="&amp;Lists!$E$2&amp;"&amp;subject="&amp;_xlfn.ENCODEURL("[INVALID] Quality audit monitoring completed for "&amp;UPPER($C1974))&amp;"&amp;body="&amp;_xlfn.ENCODEURL("Hi "&amp;$F1974&amp;","&amp;CHAR(10)&amp;"Good day!"&amp;CHAR(10)&amp;CHAR(10)&amp;"A quality monitoring audit has been completed for "&amp;$C1974&amp;"."&amp;CHAR(10)&amp;CHAR(10)&amp;"QUALITY AUDIT DETAILS"&amp;CHAR(10)&amp;"Agent Name: "&amp;$C1974&amp;" (EID "&amp;$D1974&amp;")"&amp;CHAR(10)&amp;"Audit Date: "&amp;TEXT($B1974,"yyyy-mm-dd")&amp;CHAR(10)&amp;"Team Leader: "&amp;$F1974&amp;CHAR(10)&amp;"Case Number: "&amp;$M1974&amp;CHAR(10)&amp;"Transaction ID: "&amp;$N1974&amp;CHAR(10)&amp;"Channel / LOB: "&amp;$K1974&amp;" / "&amp;$L1974&amp;CHAR(10)&amp;"Evaluator: "&amp;$S1974&amp;CHAR(10)&amp;CHAR(10)&amp;"INVALID QUALITY AUDIT DETAILS"&amp;CHAR(10)&amp;"Validation: Invalid"&amp;CHAR(10)&amp;"Invalid Reason: "&amp;$P1974&amp;CHAR(10)&amp;"Expected Resolution Code: "&amp;$Q1974&amp;CHAR(10)&amp;"Remarks: "&amp;LEFT($R1974,600)&amp;CHAR(10)&amp;CHAR(10)&amp;"This is an automated notification from HP Mainstream EQMS."),"✉ Open Email Draft"),"")</f>
        <v/>
      </c>
    </row>
    <row r="1975">
      <c r="A1975" s="25">
        <f>IF($C1975="","","AUD-2026-"&amp;TEXT(ROW()-1,"000000"))</f>
        <v/>
      </c>
      <c r="B1975" s="26" t="n"/>
      <c r="C1975" s="27" t="n"/>
      <c r="D1975" s="25">
        <f>IF($C1975="","",IFERROR(IF(INDEX(Roster!$A:$A,MATCH($C1975,Roster!$B:$B,0))="","",INDEX(Roster!$A:$A,MATCH($C1975,Roster!$B:$B,0))&amp;""),"—"))</f>
        <v/>
      </c>
      <c r="E1975" s="25">
        <f>IF($C1975="","",IFERROR(IF(INDEX(Roster!$C:$C,MATCH($C1975,Roster!$B:$B,0))="","",INDEX(Roster!$C:$C,MATCH($C1975,Roster!$B:$B,0))&amp;""),"—"))</f>
        <v/>
      </c>
      <c r="F1975" s="25">
        <f>IF($C1975="","",IFERROR(IF(INDEX(Roster!$D:$D,MATCH($C1975,Roster!$B:$B,0))="","",INDEX(Roster!$D:$D,MATCH($C1975,Roster!$B:$B,0))&amp;""),"—"))</f>
        <v/>
      </c>
      <c r="G1975" s="25">
        <f>IF($C1975="","",IFERROR(IF(INDEX(Roster!$E:$E,MATCH($C1975,Roster!$B:$B,0))="","",INDEX(Roster!$E:$E,MATCH($C1975,Roster!$B:$B,0))&amp;""),"—"))</f>
        <v/>
      </c>
      <c r="H1975" s="25">
        <f>IF($C1975="","",IFERROR(IF(INDEX(Roster!$F:$F,MATCH($C1975,Roster!$B:$B,0))="","",INDEX(Roster!$F:$F,MATCH($C1975,Roster!$B:$B,0))&amp;""),"—"))</f>
        <v/>
      </c>
      <c r="I1975" s="25">
        <f>IF($C1975="","",IFERROR(IF(INDEX(Roster!$G:$G,MATCH($C1975,Roster!$B:$B,0))="","",INDEX(Roster!$G:$G,MATCH($C1975,Roster!$B:$B,0))&amp;""),"—"))</f>
        <v/>
      </c>
      <c r="J1975" s="25">
        <f>IF($C1975="","",IFERROR(IF(INDEX(Roster!$I:$I,MATCH($C1975,Roster!$B:$B,0))="","",INDEX(Roster!$I:$I,MATCH($C1975,Roster!$B:$B,0))&amp;""),"—"))</f>
        <v/>
      </c>
      <c r="K1975">
        <f>IF($C1975="","",IFERROR(IF(INDEX(Roster!$J:$J,MATCH($C1975,Roster!$B:$B,0))="","",INDEX(Roster!$J:$J,MATCH($C1975,Roster!$B:$B,0))&amp;""),"—"))</f>
        <v/>
      </c>
      <c r="L1975">
        <f>IF($C1975="","",IFERROR(IF(INDEX(Roster!$K:$K,MATCH($C1975,Roster!$B:$B,0))="","",INDEX(Roster!$K:$K,MATCH($C1975,Roster!$B:$B,0))&amp;""),"—"))</f>
        <v/>
      </c>
      <c r="M1975" s="27" t="n"/>
      <c r="N1975" s="27" t="n"/>
      <c r="O1975" s="25">
        <f>IF($C1975="","",IF($P1975="","—",IF($P1975="Valid (Pass)","Valid","Invalid")))</f>
        <v/>
      </c>
      <c r="P1975" s="27" t="n"/>
      <c r="Q1975" s="27" t="n"/>
      <c r="R1975" s="27" t="n"/>
      <c r="S1975" s="27" t="n"/>
      <c r="T1975" s="25">
        <f>IF($C1975="","",IF(OR(ISNUMBER(SEARCH("quick case",$P1975)),ISNUMBER(SEARCH("quick case",$Q1975))),"Yes","No"))</f>
        <v/>
      </c>
      <c r="U1975" s="25">
        <f>IF($O1975="Invalid",HYPERLINK("mailto:"&amp;$G1975&amp;";"&amp;$I1975&amp;"?cc="&amp;Lists!$E$2&amp;"&amp;subject="&amp;_xlfn.ENCODEURL("[INVALID] Quality audit monitoring completed for "&amp;UPPER($C1975))&amp;"&amp;body="&amp;_xlfn.ENCODEURL("Hi "&amp;$F1975&amp;","&amp;CHAR(10)&amp;"Good day!"&amp;CHAR(10)&amp;CHAR(10)&amp;"A quality monitoring audit has been completed for "&amp;$C1975&amp;"."&amp;CHAR(10)&amp;CHAR(10)&amp;"QUALITY AUDIT DETAILS"&amp;CHAR(10)&amp;"Agent Name: "&amp;$C1975&amp;" (EID "&amp;$D1975&amp;")"&amp;CHAR(10)&amp;"Audit Date: "&amp;TEXT($B1975,"yyyy-mm-dd")&amp;CHAR(10)&amp;"Team Leader: "&amp;$F1975&amp;CHAR(10)&amp;"Case Number: "&amp;$M1975&amp;CHAR(10)&amp;"Transaction ID: "&amp;$N1975&amp;CHAR(10)&amp;"Channel / LOB: "&amp;$K1975&amp;" / "&amp;$L1975&amp;CHAR(10)&amp;"Evaluator: "&amp;$S1975&amp;CHAR(10)&amp;CHAR(10)&amp;"INVALID QUALITY AUDIT DETAILS"&amp;CHAR(10)&amp;"Validation: Invalid"&amp;CHAR(10)&amp;"Invalid Reason: "&amp;$P1975&amp;CHAR(10)&amp;"Expected Resolution Code: "&amp;$Q1975&amp;CHAR(10)&amp;"Remarks: "&amp;LEFT($R1975,600)&amp;CHAR(10)&amp;CHAR(10)&amp;"This is an automated notification from HP Mainstream EQMS."),"✉ Open Email Draft"),"")</f>
        <v/>
      </c>
    </row>
    <row r="1976">
      <c r="A1976" s="25">
        <f>IF($C1976="","","AUD-2026-"&amp;TEXT(ROW()-1,"000000"))</f>
        <v/>
      </c>
      <c r="B1976" s="26" t="n"/>
      <c r="C1976" s="27" t="n"/>
      <c r="D1976" s="25">
        <f>IF($C1976="","",IFERROR(IF(INDEX(Roster!$A:$A,MATCH($C1976,Roster!$B:$B,0))="","",INDEX(Roster!$A:$A,MATCH($C1976,Roster!$B:$B,0))&amp;""),"—"))</f>
        <v/>
      </c>
      <c r="E1976" s="25">
        <f>IF($C1976="","",IFERROR(IF(INDEX(Roster!$C:$C,MATCH($C1976,Roster!$B:$B,0))="","",INDEX(Roster!$C:$C,MATCH($C1976,Roster!$B:$B,0))&amp;""),"—"))</f>
        <v/>
      </c>
      <c r="F1976" s="25">
        <f>IF($C1976="","",IFERROR(IF(INDEX(Roster!$D:$D,MATCH($C1976,Roster!$B:$B,0))="","",INDEX(Roster!$D:$D,MATCH($C1976,Roster!$B:$B,0))&amp;""),"—"))</f>
        <v/>
      </c>
      <c r="G1976" s="25">
        <f>IF($C1976="","",IFERROR(IF(INDEX(Roster!$E:$E,MATCH($C1976,Roster!$B:$B,0))="","",INDEX(Roster!$E:$E,MATCH($C1976,Roster!$B:$B,0))&amp;""),"—"))</f>
        <v/>
      </c>
      <c r="H1976" s="25">
        <f>IF($C1976="","",IFERROR(IF(INDEX(Roster!$F:$F,MATCH($C1976,Roster!$B:$B,0))="","",INDEX(Roster!$F:$F,MATCH($C1976,Roster!$B:$B,0))&amp;""),"—"))</f>
        <v/>
      </c>
      <c r="I1976" s="25">
        <f>IF($C1976="","",IFERROR(IF(INDEX(Roster!$G:$G,MATCH($C1976,Roster!$B:$B,0))="","",INDEX(Roster!$G:$G,MATCH($C1976,Roster!$B:$B,0))&amp;""),"—"))</f>
        <v/>
      </c>
      <c r="J1976" s="25">
        <f>IF($C1976="","",IFERROR(IF(INDEX(Roster!$I:$I,MATCH($C1976,Roster!$B:$B,0))="","",INDEX(Roster!$I:$I,MATCH($C1976,Roster!$B:$B,0))&amp;""),"—"))</f>
        <v/>
      </c>
      <c r="K1976">
        <f>IF($C1976="","",IFERROR(IF(INDEX(Roster!$J:$J,MATCH($C1976,Roster!$B:$B,0))="","",INDEX(Roster!$J:$J,MATCH($C1976,Roster!$B:$B,0))&amp;""),"—"))</f>
        <v/>
      </c>
      <c r="L1976">
        <f>IF($C1976="","",IFERROR(IF(INDEX(Roster!$K:$K,MATCH($C1976,Roster!$B:$B,0))="","",INDEX(Roster!$K:$K,MATCH($C1976,Roster!$B:$B,0))&amp;""),"—"))</f>
        <v/>
      </c>
      <c r="M1976" s="27" t="n"/>
      <c r="N1976" s="27" t="n"/>
      <c r="O1976" s="25">
        <f>IF($C1976="","",IF($P1976="","—",IF($P1976="Valid (Pass)","Valid","Invalid")))</f>
        <v/>
      </c>
      <c r="P1976" s="27" t="n"/>
      <c r="Q1976" s="27" t="n"/>
      <c r="R1976" s="27" t="n"/>
      <c r="S1976" s="27" t="n"/>
      <c r="T1976" s="25">
        <f>IF($C1976="","",IF(OR(ISNUMBER(SEARCH("quick case",$P1976)),ISNUMBER(SEARCH("quick case",$Q1976))),"Yes","No"))</f>
        <v/>
      </c>
      <c r="U1976" s="25">
        <f>IF($O1976="Invalid",HYPERLINK("mailto:"&amp;$G1976&amp;";"&amp;$I1976&amp;"?cc="&amp;Lists!$E$2&amp;"&amp;subject="&amp;_xlfn.ENCODEURL("[INVALID] Quality audit monitoring completed for "&amp;UPPER($C1976))&amp;"&amp;body="&amp;_xlfn.ENCODEURL("Hi "&amp;$F1976&amp;","&amp;CHAR(10)&amp;"Good day!"&amp;CHAR(10)&amp;CHAR(10)&amp;"A quality monitoring audit has been completed for "&amp;$C1976&amp;"."&amp;CHAR(10)&amp;CHAR(10)&amp;"QUALITY AUDIT DETAILS"&amp;CHAR(10)&amp;"Agent Name: "&amp;$C1976&amp;" (EID "&amp;$D1976&amp;")"&amp;CHAR(10)&amp;"Audit Date: "&amp;TEXT($B1976,"yyyy-mm-dd")&amp;CHAR(10)&amp;"Team Leader: "&amp;$F1976&amp;CHAR(10)&amp;"Case Number: "&amp;$M1976&amp;CHAR(10)&amp;"Transaction ID: "&amp;$N1976&amp;CHAR(10)&amp;"Channel / LOB: "&amp;$K1976&amp;" / "&amp;$L1976&amp;CHAR(10)&amp;"Evaluator: "&amp;$S1976&amp;CHAR(10)&amp;CHAR(10)&amp;"INVALID QUALITY AUDIT DETAILS"&amp;CHAR(10)&amp;"Validation: Invalid"&amp;CHAR(10)&amp;"Invalid Reason: "&amp;$P1976&amp;CHAR(10)&amp;"Expected Resolution Code: "&amp;$Q1976&amp;CHAR(10)&amp;"Remarks: "&amp;LEFT($R1976,600)&amp;CHAR(10)&amp;CHAR(10)&amp;"This is an automated notification from HP Mainstream EQMS."),"✉ Open Email Draft"),"")</f>
        <v/>
      </c>
    </row>
    <row r="1977">
      <c r="A1977" s="25">
        <f>IF($C1977="","","AUD-2026-"&amp;TEXT(ROW()-1,"000000"))</f>
        <v/>
      </c>
      <c r="B1977" s="26" t="n"/>
      <c r="C1977" s="27" t="n"/>
      <c r="D1977" s="25">
        <f>IF($C1977="","",IFERROR(IF(INDEX(Roster!$A:$A,MATCH($C1977,Roster!$B:$B,0))="","",INDEX(Roster!$A:$A,MATCH($C1977,Roster!$B:$B,0))&amp;""),"—"))</f>
        <v/>
      </c>
      <c r="E1977" s="25">
        <f>IF($C1977="","",IFERROR(IF(INDEX(Roster!$C:$C,MATCH($C1977,Roster!$B:$B,0))="","",INDEX(Roster!$C:$C,MATCH($C1977,Roster!$B:$B,0))&amp;""),"—"))</f>
        <v/>
      </c>
      <c r="F1977" s="25">
        <f>IF($C1977="","",IFERROR(IF(INDEX(Roster!$D:$D,MATCH($C1977,Roster!$B:$B,0))="","",INDEX(Roster!$D:$D,MATCH($C1977,Roster!$B:$B,0))&amp;""),"—"))</f>
        <v/>
      </c>
      <c r="G1977" s="25">
        <f>IF($C1977="","",IFERROR(IF(INDEX(Roster!$E:$E,MATCH($C1977,Roster!$B:$B,0))="","",INDEX(Roster!$E:$E,MATCH($C1977,Roster!$B:$B,0))&amp;""),"—"))</f>
        <v/>
      </c>
      <c r="H1977" s="25">
        <f>IF($C1977="","",IFERROR(IF(INDEX(Roster!$F:$F,MATCH($C1977,Roster!$B:$B,0))="","",INDEX(Roster!$F:$F,MATCH($C1977,Roster!$B:$B,0))&amp;""),"—"))</f>
        <v/>
      </c>
      <c r="I1977" s="25">
        <f>IF($C1977="","",IFERROR(IF(INDEX(Roster!$G:$G,MATCH($C1977,Roster!$B:$B,0))="","",INDEX(Roster!$G:$G,MATCH($C1977,Roster!$B:$B,0))&amp;""),"—"))</f>
        <v/>
      </c>
      <c r="J1977" s="25">
        <f>IF($C1977="","",IFERROR(IF(INDEX(Roster!$I:$I,MATCH($C1977,Roster!$B:$B,0))="","",INDEX(Roster!$I:$I,MATCH($C1977,Roster!$B:$B,0))&amp;""),"—"))</f>
        <v/>
      </c>
      <c r="K1977">
        <f>IF($C1977="","",IFERROR(IF(INDEX(Roster!$J:$J,MATCH($C1977,Roster!$B:$B,0))="","",INDEX(Roster!$J:$J,MATCH($C1977,Roster!$B:$B,0))&amp;""),"—"))</f>
        <v/>
      </c>
      <c r="L1977">
        <f>IF($C1977="","",IFERROR(IF(INDEX(Roster!$K:$K,MATCH($C1977,Roster!$B:$B,0))="","",INDEX(Roster!$K:$K,MATCH($C1977,Roster!$B:$B,0))&amp;""),"—"))</f>
        <v/>
      </c>
      <c r="M1977" s="27" t="n"/>
      <c r="N1977" s="27" t="n"/>
      <c r="O1977" s="25">
        <f>IF($C1977="","",IF($P1977="","—",IF($P1977="Valid (Pass)","Valid","Invalid")))</f>
        <v/>
      </c>
      <c r="P1977" s="27" t="n"/>
      <c r="Q1977" s="27" t="n"/>
      <c r="R1977" s="27" t="n"/>
      <c r="S1977" s="27" t="n"/>
      <c r="T1977" s="25">
        <f>IF($C1977="","",IF(OR(ISNUMBER(SEARCH("quick case",$P1977)),ISNUMBER(SEARCH("quick case",$Q1977))),"Yes","No"))</f>
        <v/>
      </c>
      <c r="U1977" s="25">
        <f>IF($O1977="Invalid",HYPERLINK("mailto:"&amp;$G1977&amp;";"&amp;$I1977&amp;"?cc="&amp;Lists!$E$2&amp;"&amp;subject="&amp;_xlfn.ENCODEURL("[INVALID] Quality audit monitoring completed for "&amp;UPPER($C1977))&amp;"&amp;body="&amp;_xlfn.ENCODEURL("Hi "&amp;$F1977&amp;","&amp;CHAR(10)&amp;"Good day!"&amp;CHAR(10)&amp;CHAR(10)&amp;"A quality monitoring audit has been completed for "&amp;$C1977&amp;"."&amp;CHAR(10)&amp;CHAR(10)&amp;"QUALITY AUDIT DETAILS"&amp;CHAR(10)&amp;"Agent Name: "&amp;$C1977&amp;" (EID "&amp;$D1977&amp;")"&amp;CHAR(10)&amp;"Audit Date: "&amp;TEXT($B1977,"yyyy-mm-dd")&amp;CHAR(10)&amp;"Team Leader: "&amp;$F1977&amp;CHAR(10)&amp;"Case Number: "&amp;$M1977&amp;CHAR(10)&amp;"Transaction ID: "&amp;$N1977&amp;CHAR(10)&amp;"Channel / LOB: "&amp;$K1977&amp;" / "&amp;$L1977&amp;CHAR(10)&amp;"Evaluator: "&amp;$S1977&amp;CHAR(10)&amp;CHAR(10)&amp;"INVALID QUALITY AUDIT DETAILS"&amp;CHAR(10)&amp;"Validation: Invalid"&amp;CHAR(10)&amp;"Invalid Reason: "&amp;$P1977&amp;CHAR(10)&amp;"Expected Resolution Code: "&amp;$Q1977&amp;CHAR(10)&amp;"Remarks: "&amp;LEFT($R1977,600)&amp;CHAR(10)&amp;CHAR(10)&amp;"This is an automated notification from HP Mainstream EQMS."),"✉ Open Email Draft"),"")</f>
        <v/>
      </c>
    </row>
    <row r="1978">
      <c r="A1978" s="25">
        <f>IF($C1978="","","AUD-2026-"&amp;TEXT(ROW()-1,"000000"))</f>
        <v/>
      </c>
      <c r="B1978" s="26" t="n"/>
      <c r="C1978" s="27" t="n"/>
      <c r="D1978" s="25">
        <f>IF($C1978="","",IFERROR(IF(INDEX(Roster!$A:$A,MATCH($C1978,Roster!$B:$B,0))="","",INDEX(Roster!$A:$A,MATCH($C1978,Roster!$B:$B,0))&amp;""),"—"))</f>
        <v/>
      </c>
      <c r="E1978" s="25">
        <f>IF($C1978="","",IFERROR(IF(INDEX(Roster!$C:$C,MATCH($C1978,Roster!$B:$B,0))="","",INDEX(Roster!$C:$C,MATCH($C1978,Roster!$B:$B,0))&amp;""),"—"))</f>
        <v/>
      </c>
      <c r="F1978" s="25">
        <f>IF($C1978="","",IFERROR(IF(INDEX(Roster!$D:$D,MATCH($C1978,Roster!$B:$B,0))="","",INDEX(Roster!$D:$D,MATCH($C1978,Roster!$B:$B,0))&amp;""),"—"))</f>
        <v/>
      </c>
      <c r="G1978" s="25">
        <f>IF($C1978="","",IFERROR(IF(INDEX(Roster!$E:$E,MATCH($C1978,Roster!$B:$B,0))="","",INDEX(Roster!$E:$E,MATCH($C1978,Roster!$B:$B,0))&amp;""),"—"))</f>
        <v/>
      </c>
      <c r="H1978" s="25">
        <f>IF($C1978="","",IFERROR(IF(INDEX(Roster!$F:$F,MATCH($C1978,Roster!$B:$B,0))="","",INDEX(Roster!$F:$F,MATCH($C1978,Roster!$B:$B,0))&amp;""),"—"))</f>
        <v/>
      </c>
      <c r="I1978" s="25">
        <f>IF($C1978="","",IFERROR(IF(INDEX(Roster!$G:$G,MATCH($C1978,Roster!$B:$B,0))="","",INDEX(Roster!$G:$G,MATCH($C1978,Roster!$B:$B,0))&amp;""),"—"))</f>
        <v/>
      </c>
      <c r="J1978" s="25">
        <f>IF($C1978="","",IFERROR(IF(INDEX(Roster!$I:$I,MATCH($C1978,Roster!$B:$B,0))="","",INDEX(Roster!$I:$I,MATCH($C1978,Roster!$B:$B,0))&amp;""),"—"))</f>
        <v/>
      </c>
      <c r="K1978">
        <f>IF($C1978="","",IFERROR(IF(INDEX(Roster!$J:$J,MATCH($C1978,Roster!$B:$B,0))="","",INDEX(Roster!$J:$J,MATCH($C1978,Roster!$B:$B,0))&amp;""),"—"))</f>
        <v/>
      </c>
      <c r="L1978">
        <f>IF($C1978="","",IFERROR(IF(INDEX(Roster!$K:$K,MATCH($C1978,Roster!$B:$B,0))="","",INDEX(Roster!$K:$K,MATCH($C1978,Roster!$B:$B,0))&amp;""),"—"))</f>
        <v/>
      </c>
      <c r="M1978" s="27" t="n"/>
      <c r="N1978" s="27" t="n"/>
      <c r="O1978" s="25">
        <f>IF($C1978="","",IF($P1978="","—",IF($P1978="Valid (Pass)","Valid","Invalid")))</f>
        <v/>
      </c>
      <c r="P1978" s="27" t="n"/>
      <c r="Q1978" s="27" t="n"/>
      <c r="R1978" s="27" t="n"/>
      <c r="S1978" s="27" t="n"/>
      <c r="T1978" s="25">
        <f>IF($C1978="","",IF(OR(ISNUMBER(SEARCH("quick case",$P1978)),ISNUMBER(SEARCH("quick case",$Q1978))),"Yes","No"))</f>
        <v/>
      </c>
      <c r="U1978" s="25">
        <f>IF($O1978="Invalid",HYPERLINK("mailto:"&amp;$G1978&amp;";"&amp;$I1978&amp;"?cc="&amp;Lists!$E$2&amp;"&amp;subject="&amp;_xlfn.ENCODEURL("[INVALID] Quality audit monitoring completed for "&amp;UPPER($C1978))&amp;"&amp;body="&amp;_xlfn.ENCODEURL("Hi "&amp;$F1978&amp;","&amp;CHAR(10)&amp;"Good day!"&amp;CHAR(10)&amp;CHAR(10)&amp;"A quality monitoring audit has been completed for "&amp;$C1978&amp;"."&amp;CHAR(10)&amp;CHAR(10)&amp;"QUALITY AUDIT DETAILS"&amp;CHAR(10)&amp;"Agent Name: "&amp;$C1978&amp;" (EID "&amp;$D1978&amp;")"&amp;CHAR(10)&amp;"Audit Date: "&amp;TEXT($B1978,"yyyy-mm-dd")&amp;CHAR(10)&amp;"Team Leader: "&amp;$F1978&amp;CHAR(10)&amp;"Case Number: "&amp;$M1978&amp;CHAR(10)&amp;"Transaction ID: "&amp;$N1978&amp;CHAR(10)&amp;"Channel / LOB: "&amp;$K1978&amp;" / "&amp;$L1978&amp;CHAR(10)&amp;"Evaluator: "&amp;$S1978&amp;CHAR(10)&amp;CHAR(10)&amp;"INVALID QUALITY AUDIT DETAILS"&amp;CHAR(10)&amp;"Validation: Invalid"&amp;CHAR(10)&amp;"Invalid Reason: "&amp;$P1978&amp;CHAR(10)&amp;"Expected Resolution Code: "&amp;$Q1978&amp;CHAR(10)&amp;"Remarks: "&amp;LEFT($R1978,600)&amp;CHAR(10)&amp;CHAR(10)&amp;"This is an automated notification from HP Mainstream EQMS."),"✉ Open Email Draft"),"")</f>
        <v/>
      </c>
    </row>
    <row r="1979">
      <c r="A1979" s="25">
        <f>IF($C1979="","","AUD-2026-"&amp;TEXT(ROW()-1,"000000"))</f>
        <v/>
      </c>
      <c r="B1979" s="26" t="n"/>
      <c r="C1979" s="27" t="n"/>
      <c r="D1979" s="25">
        <f>IF($C1979="","",IFERROR(IF(INDEX(Roster!$A:$A,MATCH($C1979,Roster!$B:$B,0))="","",INDEX(Roster!$A:$A,MATCH($C1979,Roster!$B:$B,0))&amp;""),"—"))</f>
        <v/>
      </c>
      <c r="E1979" s="25">
        <f>IF($C1979="","",IFERROR(IF(INDEX(Roster!$C:$C,MATCH($C1979,Roster!$B:$B,0))="","",INDEX(Roster!$C:$C,MATCH($C1979,Roster!$B:$B,0))&amp;""),"—"))</f>
        <v/>
      </c>
      <c r="F1979" s="25">
        <f>IF($C1979="","",IFERROR(IF(INDEX(Roster!$D:$D,MATCH($C1979,Roster!$B:$B,0))="","",INDEX(Roster!$D:$D,MATCH($C1979,Roster!$B:$B,0))&amp;""),"—"))</f>
        <v/>
      </c>
      <c r="G1979" s="25">
        <f>IF($C1979="","",IFERROR(IF(INDEX(Roster!$E:$E,MATCH($C1979,Roster!$B:$B,0))="","",INDEX(Roster!$E:$E,MATCH($C1979,Roster!$B:$B,0))&amp;""),"—"))</f>
        <v/>
      </c>
      <c r="H1979" s="25">
        <f>IF($C1979="","",IFERROR(IF(INDEX(Roster!$F:$F,MATCH($C1979,Roster!$B:$B,0))="","",INDEX(Roster!$F:$F,MATCH($C1979,Roster!$B:$B,0))&amp;""),"—"))</f>
        <v/>
      </c>
      <c r="I1979" s="25">
        <f>IF($C1979="","",IFERROR(IF(INDEX(Roster!$G:$G,MATCH($C1979,Roster!$B:$B,0))="","",INDEX(Roster!$G:$G,MATCH($C1979,Roster!$B:$B,0))&amp;""),"—"))</f>
        <v/>
      </c>
      <c r="J1979" s="25">
        <f>IF($C1979="","",IFERROR(IF(INDEX(Roster!$I:$I,MATCH($C1979,Roster!$B:$B,0))="","",INDEX(Roster!$I:$I,MATCH($C1979,Roster!$B:$B,0))&amp;""),"—"))</f>
        <v/>
      </c>
      <c r="K1979">
        <f>IF($C1979="","",IFERROR(IF(INDEX(Roster!$J:$J,MATCH($C1979,Roster!$B:$B,0))="","",INDEX(Roster!$J:$J,MATCH($C1979,Roster!$B:$B,0))&amp;""),"—"))</f>
        <v/>
      </c>
      <c r="L1979">
        <f>IF($C1979="","",IFERROR(IF(INDEX(Roster!$K:$K,MATCH($C1979,Roster!$B:$B,0))="","",INDEX(Roster!$K:$K,MATCH($C1979,Roster!$B:$B,0))&amp;""),"—"))</f>
        <v/>
      </c>
      <c r="M1979" s="27" t="n"/>
      <c r="N1979" s="27" t="n"/>
      <c r="O1979" s="25">
        <f>IF($C1979="","",IF($P1979="","—",IF($P1979="Valid (Pass)","Valid","Invalid")))</f>
        <v/>
      </c>
      <c r="P1979" s="27" t="n"/>
      <c r="Q1979" s="27" t="n"/>
      <c r="R1979" s="27" t="n"/>
      <c r="S1979" s="27" t="n"/>
      <c r="T1979" s="25">
        <f>IF($C1979="","",IF(OR(ISNUMBER(SEARCH("quick case",$P1979)),ISNUMBER(SEARCH("quick case",$Q1979))),"Yes","No"))</f>
        <v/>
      </c>
      <c r="U1979" s="25">
        <f>IF($O1979="Invalid",HYPERLINK("mailto:"&amp;$G1979&amp;";"&amp;$I1979&amp;"?cc="&amp;Lists!$E$2&amp;"&amp;subject="&amp;_xlfn.ENCODEURL("[INVALID] Quality audit monitoring completed for "&amp;UPPER($C1979))&amp;"&amp;body="&amp;_xlfn.ENCODEURL("Hi "&amp;$F1979&amp;","&amp;CHAR(10)&amp;"Good day!"&amp;CHAR(10)&amp;CHAR(10)&amp;"A quality monitoring audit has been completed for "&amp;$C1979&amp;"."&amp;CHAR(10)&amp;CHAR(10)&amp;"QUALITY AUDIT DETAILS"&amp;CHAR(10)&amp;"Agent Name: "&amp;$C1979&amp;" (EID "&amp;$D1979&amp;")"&amp;CHAR(10)&amp;"Audit Date: "&amp;TEXT($B1979,"yyyy-mm-dd")&amp;CHAR(10)&amp;"Team Leader: "&amp;$F1979&amp;CHAR(10)&amp;"Case Number: "&amp;$M1979&amp;CHAR(10)&amp;"Transaction ID: "&amp;$N1979&amp;CHAR(10)&amp;"Channel / LOB: "&amp;$K1979&amp;" / "&amp;$L1979&amp;CHAR(10)&amp;"Evaluator: "&amp;$S1979&amp;CHAR(10)&amp;CHAR(10)&amp;"INVALID QUALITY AUDIT DETAILS"&amp;CHAR(10)&amp;"Validation: Invalid"&amp;CHAR(10)&amp;"Invalid Reason: "&amp;$P1979&amp;CHAR(10)&amp;"Expected Resolution Code: "&amp;$Q1979&amp;CHAR(10)&amp;"Remarks: "&amp;LEFT($R1979,600)&amp;CHAR(10)&amp;CHAR(10)&amp;"This is an automated notification from HP Mainstream EQMS."),"✉ Open Email Draft"),"")</f>
        <v/>
      </c>
    </row>
    <row r="1980">
      <c r="A1980" s="25">
        <f>IF($C1980="","","AUD-2026-"&amp;TEXT(ROW()-1,"000000"))</f>
        <v/>
      </c>
      <c r="B1980" s="26" t="n"/>
      <c r="C1980" s="27" t="n"/>
      <c r="D1980" s="25">
        <f>IF($C1980="","",IFERROR(IF(INDEX(Roster!$A:$A,MATCH($C1980,Roster!$B:$B,0))="","",INDEX(Roster!$A:$A,MATCH($C1980,Roster!$B:$B,0))&amp;""),"—"))</f>
        <v/>
      </c>
      <c r="E1980" s="25">
        <f>IF($C1980="","",IFERROR(IF(INDEX(Roster!$C:$C,MATCH($C1980,Roster!$B:$B,0))="","",INDEX(Roster!$C:$C,MATCH($C1980,Roster!$B:$B,0))&amp;""),"—"))</f>
        <v/>
      </c>
      <c r="F1980" s="25">
        <f>IF($C1980="","",IFERROR(IF(INDEX(Roster!$D:$D,MATCH($C1980,Roster!$B:$B,0))="","",INDEX(Roster!$D:$D,MATCH($C1980,Roster!$B:$B,0))&amp;""),"—"))</f>
        <v/>
      </c>
      <c r="G1980" s="25">
        <f>IF($C1980="","",IFERROR(IF(INDEX(Roster!$E:$E,MATCH($C1980,Roster!$B:$B,0))="","",INDEX(Roster!$E:$E,MATCH($C1980,Roster!$B:$B,0))&amp;""),"—"))</f>
        <v/>
      </c>
      <c r="H1980" s="25">
        <f>IF($C1980="","",IFERROR(IF(INDEX(Roster!$F:$F,MATCH($C1980,Roster!$B:$B,0))="","",INDEX(Roster!$F:$F,MATCH($C1980,Roster!$B:$B,0))&amp;""),"—"))</f>
        <v/>
      </c>
      <c r="I1980" s="25">
        <f>IF($C1980="","",IFERROR(IF(INDEX(Roster!$G:$G,MATCH($C1980,Roster!$B:$B,0))="","",INDEX(Roster!$G:$G,MATCH($C1980,Roster!$B:$B,0))&amp;""),"—"))</f>
        <v/>
      </c>
      <c r="J1980" s="25">
        <f>IF($C1980="","",IFERROR(IF(INDEX(Roster!$I:$I,MATCH($C1980,Roster!$B:$B,0))="","",INDEX(Roster!$I:$I,MATCH($C1980,Roster!$B:$B,0))&amp;""),"—"))</f>
        <v/>
      </c>
      <c r="K1980">
        <f>IF($C1980="","",IFERROR(IF(INDEX(Roster!$J:$J,MATCH($C1980,Roster!$B:$B,0))="","",INDEX(Roster!$J:$J,MATCH($C1980,Roster!$B:$B,0))&amp;""),"—"))</f>
        <v/>
      </c>
      <c r="L1980">
        <f>IF($C1980="","",IFERROR(IF(INDEX(Roster!$K:$K,MATCH($C1980,Roster!$B:$B,0))="","",INDEX(Roster!$K:$K,MATCH($C1980,Roster!$B:$B,0))&amp;""),"—"))</f>
        <v/>
      </c>
      <c r="M1980" s="27" t="n"/>
      <c r="N1980" s="27" t="n"/>
      <c r="O1980" s="25">
        <f>IF($C1980="","",IF($P1980="","—",IF($P1980="Valid (Pass)","Valid","Invalid")))</f>
        <v/>
      </c>
      <c r="P1980" s="27" t="n"/>
      <c r="Q1980" s="27" t="n"/>
      <c r="R1980" s="27" t="n"/>
      <c r="S1980" s="27" t="n"/>
      <c r="T1980" s="25">
        <f>IF($C1980="","",IF(OR(ISNUMBER(SEARCH("quick case",$P1980)),ISNUMBER(SEARCH("quick case",$Q1980))),"Yes","No"))</f>
        <v/>
      </c>
      <c r="U1980" s="25">
        <f>IF($O1980="Invalid",HYPERLINK("mailto:"&amp;$G1980&amp;";"&amp;$I1980&amp;"?cc="&amp;Lists!$E$2&amp;"&amp;subject="&amp;_xlfn.ENCODEURL("[INVALID] Quality audit monitoring completed for "&amp;UPPER($C1980))&amp;"&amp;body="&amp;_xlfn.ENCODEURL("Hi "&amp;$F1980&amp;","&amp;CHAR(10)&amp;"Good day!"&amp;CHAR(10)&amp;CHAR(10)&amp;"A quality monitoring audit has been completed for "&amp;$C1980&amp;"."&amp;CHAR(10)&amp;CHAR(10)&amp;"QUALITY AUDIT DETAILS"&amp;CHAR(10)&amp;"Agent Name: "&amp;$C1980&amp;" (EID "&amp;$D1980&amp;")"&amp;CHAR(10)&amp;"Audit Date: "&amp;TEXT($B1980,"yyyy-mm-dd")&amp;CHAR(10)&amp;"Team Leader: "&amp;$F1980&amp;CHAR(10)&amp;"Case Number: "&amp;$M1980&amp;CHAR(10)&amp;"Transaction ID: "&amp;$N1980&amp;CHAR(10)&amp;"Channel / LOB: "&amp;$K1980&amp;" / "&amp;$L1980&amp;CHAR(10)&amp;"Evaluator: "&amp;$S1980&amp;CHAR(10)&amp;CHAR(10)&amp;"INVALID QUALITY AUDIT DETAILS"&amp;CHAR(10)&amp;"Validation: Invalid"&amp;CHAR(10)&amp;"Invalid Reason: "&amp;$P1980&amp;CHAR(10)&amp;"Expected Resolution Code: "&amp;$Q1980&amp;CHAR(10)&amp;"Remarks: "&amp;LEFT($R1980,600)&amp;CHAR(10)&amp;CHAR(10)&amp;"This is an automated notification from HP Mainstream EQMS."),"✉ Open Email Draft"),"")</f>
        <v/>
      </c>
    </row>
    <row r="1981">
      <c r="A1981" s="25">
        <f>IF($C1981="","","AUD-2026-"&amp;TEXT(ROW()-1,"000000"))</f>
        <v/>
      </c>
      <c r="B1981" s="26" t="n"/>
      <c r="C1981" s="27" t="n"/>
      <c r="D1981" s="25">
        <f>IF($C1981="","",IFERROR(IF(INDEX(Roster!$A:$A,MATCH($C1981,Roster!$B:$B,0))="","",INDEX(Roster!$A:$A,MATCH($C1981,Roster!$B:$B,0))&amp;""),"—"))</f>
        <v/>
      </c>
      <c r="E1981" s="25">
        <f>IF($C1981="","",IFERROR(IF(INDEX(Roster!$C:$C,MATCH($C1981,Roster!$B:$B,0))="","",INDEX(Roster!$C:$C,MATCH($C1981,Roster!$B:$B,0))&amp;""),"—"))</f>
        <v/>
      </c>
      <c r="F1981" s="25">
        <f>IF($C1981="","",IFERROR(IF(INDEX(Roster!$D:$D,MATCH($C1981,Roster!$B:$B,0))="","",INDEX(Roster!$D:$D,MATCH($C1981,Roster!$B:$B,0))&amp;""),"—"))</f>
        <v/>
      </c>
      <c r="G1981" s="25">
        <f>IF($C1981="","",IFERROR(IF(INDEX(Roster!$E:$E,MATCH($C1981,Roster!$B:$B,0))="","",INDEX(Roster!$E:$E,MATCH($C1981,Roster!$B:$B,0))&amp;""),"—"))</f>
        <v/>
      </c>
      <c r="H1981" s="25">
        <f>IF($C1981="","",IFERROR(IF(INDEX(Roster!$F:$F,MATCH($C1981,Roster!$B:$B,0))="","",INDEX(Roster!$F:$F,MATCH($C1981,Roster!$B:$B,0))&amp;""),"—"))</f>
        <v/>
      </c>
      <c r="I1981" s="25">
        <f>IF($C1981="","",IFERROR(IF(INDEX(Roster!$G:$G,MATCH($C1981,Roster!$B:$B,0))="","",INDEX(Roster!$G:$G,MATCH($C1981,Roster!$B:$B,0))&amp;""),"—"))</f>
        <v/>
      </c>
      <c r="J1981" s="25">
        <f>IF($C1981="","",IFERROR(IF(INDEX(Roster!$I:$I,MATCH($C1981,Roster!$B:$B,0))="","",INDEX(Roster!$I:$I,MATCH($C1981,Roster!$B:$B,0))&amp;""),"—"))</f>
        <v/>
      </c>
      <c r="K1981">
        <f>IF($C1981="","",IFERROR(IF(INDEX(Roster!$J:$J,MATCH($C1981,Roster!$B:$B,0))="","",INDEX(Roster!$J:$J,MATCH($C1981,Roster!$B:$B,0))&amp;""),"—"))</f>
        <v/>
      </c>
      <c r="L1981">
        <f>IF($C1981="","",IFERROR(IF(INDEX(Roster!$K:$K,MATCH($C1981,Roster!$B:$B,0))="","",INDEX(Roster!$K:$K,MATCH($C1981,Roster!$B:$B,0))&amp;""),"—"))</f>
        <v/>
      </c>
      <c r="M1981" s="27" t="n"/>
      <c r="N1981" s="27" t="n"/>
      <c r="O1981" s="25">
        <f>IF($C1981="","",IF($P1981="","—",IF($P1981="Valid (Pass)","Valid","Invalid")))</f>
        <v/>
      </c>
      <c r="P1981" s="27" t="n"/>
      <c r="Q1981" s="27" t="n"/>
      <c r="R1981" s="27" t="n"/>
      <c r="S1981" s="27" t="n"/>
      <c r="T1981" s="25">
        <f>IF($C1981="","",IF(OR(ISNUMBER(SEARCH("quick case",$P1981)),ISNUMBER(SEARCH("quick case",$Q1981))),"Yes","No"))</f>
        <v/>
      </c>
      <c r="U1981" s="25">
        <f>IF($O1981="Invalid",HYPERLINK("mailto:"&amp;$G1981&amp;";"&amp;$I1981&amp;"?cc="&amp;Lists!$E$2&amp;"&amp;subject="&amp;_xlfn.ENCODEURL("[INVALID] Quality audit monitoring completed for "&amp;UPPER($C1981))&amp;"&amp;body="&amp;_xlfn.ENCODEURL("Hi "&amp;$F1981&amp;","&amp;CHAR(10)&amp;"Good day!"&amp;CHAR(10)&amp;CHAR(10)&amp;"A quality monitoring audit has been completed for "&amp;$C1981&amp;"."&amp;CHAR(10)&amp;CHAR(10)&amp;"QUALITY AUDIT DETAILS"&amp;CHAR(10)&amp;"Agent Name: "&amp;$C1981&amp;" (EID "&amp;$D1981&amp;")"&amp;CHAR(10)&amp;"Audit Date: "&amp;TEXT($B1981,"yyyy-mm-dd")&amp;CHAR(10)&amp;"Team Leader: "&amp;$F1981&amp;CHAR(10)&amp;"Case Number: "&amp;$M1981&amp;CHAR(10)&amp;"Transaction ID: "&amp;$N1981&amp;CHAR(10)&amp;"Channel / LOB: "&amp;$K1981&amp;" / "&amp;$L1981&amp;CHAR(10)&amp;"Evaluator: "&amp;$S1981&amp;CHAR(10)&amp;CHAR(10)&amp;"INVALID QUALITY AUDIT DETAILS"&amp;CHAR(10)&amp;"Validation: Invalid"&amp;CHAR(10)&amp;"Invalid Reason: "&amp;$P1981&amp;CHAR(10)&amp;"Expected Resolution Code: "&amp;$Q1981&amp;CHAR(10)&amp;"Remarks: "&amp;LEFT($R1981,600)&amp;CHAR(10)&amp;CHAR(10)&amp;"This is an automated notification from HP Mainstream EQMS."),"✉ Open Email Draft"),"")</f>
        <v/>
      </c>
    </row>
    <row r="1982">
      <c r="A1982" s="25">
        <f>IF($C1982="","","AUD-2026-"&amp;TEXT(ROW()-1,"000000"))</f>
        <v/>
      </c>
      <c r="B1982" s="26" t="n"/>
      <c r="C1982" s="27" t="n"/>
      <c r="D1982" s="25">
        <f>IF($C1982="","",IFERROR(IF(INDEX(Roster!$A:$A,MATCH($C1982,Roster!$B:$B,0))="","",INDEX(Roster!$A:$A,MATCH($C1982,Roster!$B:$B,0))&amp;""),"—"))</f>
        <v/>
      </c>
      <c r="E1982" s="25">
        <f>IF($C1982="","",IFERROR(IF(INDEX(Roster!$C:$C,MATCH($C1982,Roster!$B:$B,0))="","",INDEX(Roster!$C:$C,MATCH($C1982,Roster!$B:$B,0))&amp;""),"—"))</f>
        <v/>
      </c>
      <c r="F1982" s="25">
        <f>IF($C1982="","",IFERROR(IF(INDEX(Roster!$D:$D,MATCH($C1982,Roster!$B:$B,0))="","",INDEX(Roster!$D:$D,MATCH($C1982,Roster!$B:$B,0))&amp;""),"—"))</f>
        <v/>
      </c>
      <c r="G1982" s="25">
        <f>IF($C1982="","",IFERROR(IF(INDEX(Roster!$E:$E,MATCH($C1982,Roster!$B:$B,0))="","",INDEX(Roster!$E:$E,MATCH($C1982,Roster!$B:$B,0))&amp;""),"—"))</f>
        <v/>
      </c>
      <c r="H1982" s="25">
        <f>IF($C1982="","",IFERROR(IF(INDEX(Roster!$F:$F,MATCH($C1982,Roster!$B:$B,0))="","",INDEX(Roster!$F:$F,MATCH($C1982,Roster!$B:$B,0))&amp;""),"—"))</f>
        <v/>
      </c>
      <c r="I1982" s="25">
        <f>IF($C1982="","",IFERROR(IF(INDEX(Roster!$G:$G,MATCH($C1982,Roster!$B:$B,0))="","",INDEX(Roster!$G:$G,MATCH($C1982,Roster!$B:$B,0))&amp;""),"—"))</f>
        <v/>
      </c>
      <c r="J1982" s="25">
        <f>IF($C1982="","",IFERROR(IF(INDEX(Roster!$I:$I,MATCH($C1982,Roster!$B:$B,0))="","",INDEX(Roster!$I:$I,MATCH($C1982,Roster!$B:$B,0))&amp;""),"—"))</f>
        <v/>
      </c>
      <c r="K1982">
        <f>IF($C1982="","",IFERROR(IF(INDEX(Roster!$J:$J,MATCH($C1982,Roster!$B:$B,0))="","",INDEX(Roster!$J:$J,MATCH($C1982,Roster!$B:$B,0))&amp;""),"—"))</f>
        <v/>
      </c>
      <c r="L1982">
        <f>IF($C1982="","",IFERROR(IF(INDEX(Roster!$K:$K,MATCH($C1982,Roster!$B:$B,0))="","",INDEX(Roster!$K:$K,MATCH($C1982,Roster!$B:$B,0))&amp;""),"—"))</f>
        <v/>
      </c>
      <c r="M1982" s="27" t="n"/>
      <c r="N1982" s="27" t="n"/>
      <c r="O1982" s="25">
        <f>IF($C1982="","",IF($P1982="","—",IF($P1982="Valid (Pass)","Valid","Invalid")))</f>
        <v/>
      </c>
      <c r="P1982" s="27" t="n"/>
      <c r="Q1982" s="27" t="n"/>
      <c r="R1982" s="27" t="n"/>
      <c r="S1982" s="27" t="n"/>
      <c r="T1982" s="25">
        <f>IF($C1982="","",IF(OR(ISNUMBER(SEARCH("quick case",$P1982)),ISNUMBER(SEARCH("quick case",$Q1982))),"Yes","No"))</f>
        <v/>
      </c>
      <c r="U1982" s="25">
        <f>IF($O1982="Invalid",HYPERLINK("mailto:"&amp;$G1982&amp;";"&amp;$I1982&amp;"?cc="&amp;Lists!$E$2&amp;"&amp;subject="&amp;_xlfn.ENCODEURL("[INVALID] Quality audit monitoring completed for "&amp;UPPER($C1982))&amp;"&amp;body="&amp;_xlfn.ENCODEURL("Hi "&amp;$F1982&amp;","&amp;CHAR(10)&amp;"Good day!"&amp;CHAR(10)&amp;CHAR(10)&amp;"A quality monitoring audit has been completed for "&amp;$C1982&amp;"."&amp;CHAR(10)&amp;CHAR(10)&amp;"QUALITY AUDIT DETAILS"&amp;CHAR(10)&amp;"Agent Name: "&amp;$C1982&amp;" (EID "&amp;$D1982&amp;")"&amp;CHAR(10)&amp;"Audit Date: "&amp;TEXT($B1982,"yyyy-mm-dd")&amp;CHAR(10)&amp;"Team Leader: "&amp;$F1982&amp;CHAR(10)&amp;"Case Number: "&amp;$M1982&amp;CHAR(10)&amp;"Transaction ID: "&amp;$N1982&amp;CHAR(10)&amp;"Channel / LOB: "&amp;$K1982&amp;" / "&amp;$L1982&amp;CHAR(10)&amp;"Evaluator: "&amp;$S1982&amp;CHAR(10)&amp;CHAR(10)&amp;"INVALID QUALITY AUDIT DETAILS"&amp;CHAR(10)&amp;"Validation: Invalid"&amp;CHAR(10)&amp;"Invalid Reason: "&amp;$P1982&amp;CHAR(10)&amp;"Expected Resolution Code: "&amp;$Q1982&amp;CHAR(10)&amp;"Remarks: "&amp;LEFT($R1982,600)&amp;CHAR(10)&amp;CHAR(10)&amp;"This is an automated notification from HP Mainstream EQMS."),"✉ Open Email Draft"),"")</f>
        <v/>
      </c>
    </row>
    <row r="1983">
      <c r="A1983" s="25">
        <f>IF($C1983="","","AUD-2026-"&amp;TEXT(ROW()-1,"000000"))</f>
        <v/>
      </c>
      <c r="B1983" s="26" t="n"/>
      <c r="C1983" s="27" t="n"/>
      <c r="D1983" s="25">
        <f>IF($C1983="","",IFERROR(IF(INDEX(Roster!$A:$A,MATCH($C1983,Roster!$B:$B,0))="","",INDEX(Roster!$A:$A,MATCH($C1983,Roster!$B:$B,0))&amp;""),"—"))</f>
        <v/>
      </c>
      <c r="E1983" s="25">
        <f>IF($C1983="","",IFERROR(IF(INDEX(Roster!$C:$C,MATCH($C1983,Roster!$B:$B,0))="","",INDEX(Roster!$C:$C,MATCH($C1983,Roster!$B:$B,0))&amp;""),"—"))</f>
        <v/>
      </c>
      <c r="F1983" s="25">
        <f>IF($C1983="","",IFERROR(IF(INDEX(Roster!$D:$D,MATCH($C1983,Roster!$B:$B,0))="","",INDEX(Roster!$D:$D,MATCH($C1983,Roster!$B:$B,0))&amp;""),"—"))</f>
        <v/>
      </c>
      <c r="G1983" s="25">
        <f>IF($C1983="","",IFERROR(IF(INDEX(Roster!$E:$E,MATCH($C1983,Roster!$B:$B,0))="","",INDEX(Roster!$E:$E,MATCH($C1983,Roster!$B:$B,0))&amp;""),"—"))</f>
        <v/>
      </c>
      <c r="H1983" s="25">
        <f>IF($C1983="","",IFERROR(IF(INDEX(Roster!$F:$F,MATCH($C1983,Roster!$B:$B,0))="","",INDEX(Roster!$F:$F,MATCH($C1983,Roster!$B:$B,0))&amp;""),"—"))</f>
        <v/>
      </c>
      <c r="I1983" s="25">
        <f>IF($C1983="","",IFERROR(IF(INDEX(Roster!$G:$G,MATCH($C1983,Roster!$B:$B,0))="","",INDEX(Roster!$G:$G,MATCH($C1983,Roster!$B:$B,0))&amp;""),"—"))</f>
        <v/>
      </c>
      <c r="J1983" s="25">
        <f>IF($C1983="","",IFERROR(IF(INDEX(Roster!$I:$I,MATCH($C1983,Roster!$B:$B,0))="","",INDEX(Roster!$I:$I,MATCH($C1983,Roster!$B:$B,0))&amp;""),"—"))</f>
        <v/>
      </c>
      <c r="K1983">
        <f>IF($C1983="","",IFERROR(IF(INDEX(Roster!$J:$J,MATCH($C1983,Roster!$B:$B,0))="","",INDEX(Roster!$J:$J,MATCH($C1983,Roster!$B:$B,0))&amp;""),"—"))</f>
        <v/>
      </c>
      <c r="L1983">
        <f>IF($C1983="","",IFERROR(IF(INDEX(Roster!$K:$K,MATCH($C1983,Roster!$B:$B,0))="","",INDEX(Roster!$K:$K,MATCH($C1983,Roster!$B:$B,0))&amp;""),"—"))</f>
        <v/>
      </c>
      <c r="M1983" s="27" t="n"/>
      <c r="N1983" s="27" t="n"/>
      <c r="O1983" s="25">
        <f>IF($C1983="","",IF($P1983="","—",IF($P1983="Valid (Pass)","Valid","Invalid")))</f>
        <v/>
      </c>
      <c r="P1983" s="27" t="n"/>
      <c r="Q1983" s="27" t="n"/>
      <c r="R1983" s="27" t="n"/>
      <c r="S1983" s="27" t="n"/>
      <c r="T1983" s="25">
        <f>IF($C1983="","",IF(OR(ISNUMBER(SEARCH("quick case",$P1983)),ISNUMBER(SEARCH("quick case",$Q1983))),"Yes","No"))</f>
        <v/>
      </c>
      <c r="U1983" s="25">
        <f>IF($O1983="Invalid",HYPERLINK("mailto:"&amp;$G1983&amp;";"&amp;$I1983&amp;"?cc="&amp;Lists!$E$2&amp;"&amp;subject="&amp;_xlfn.ENCODEURL("[INVALID] Quality audit monitoring completed for "&amp;UPPER($C1983))&amp;"&amp;body="&amp;_xlfn.ENCODEURL("Hi "&amp;$F1983&amp;","&amp;CHAR(10)&amp;"Good day!"&amp;CHAR(10)&amp;CHAR(10)&amp;"A quality monitoring audit has been completed for "&amp;$C1983&amp;"."&amp;CHAR(10)&amp;CHAR(10)&amp;"QUALITY AUDIT DETAILS"&amp;CHAR(10)&amp;"Agent Name: "&amp;$C1983&amp;" (EID "&amp;$D1983&amp;")"&amp;CHAR(10)&amp;"Audit Date: "&amp;TEXT($B1983,"yyyy-mm-dd")&amp;CHAR(10)&amp;"Team Leader: "&amp;$F1983&amp;CHAR(10)&amp;"Case Number: "&amp;$M1983&amp;CHAR(10)&amp;"Transaction ID: "&amp;$N1983&amp;CHAR(10)&amp;"Channel / LOB: "&amp;$K1983&amp;" / "&amp;$L1983&amp;CHAR(10)&amp;"Evaluator: "&amp;$S1983&amp;CHAR(10)&amp;CHAR(10)&amp;"INVALID QUALITY AUDIT DETAILS"&amp;CHAR(10)&amp;"Validation: Invalid"&amp;CHAR(10)&amp;"Invalid Reason: "&amp;$P1983&amp;CHAR(10)&amp;"Expected Resolution Code: "&amp;$Q1983&amp;CHAR(10)&amp;"Remarks: "&amp;LEFT($R1983,600)&amp;CHAR(10)&amp;CHAR(10)&amp;"This is an automated notification from HP Mainstream EQMS."),"✉ Open Email Draft"),"")</f>
        <v/>
      </c>
    </row>
    <row r="1984">
      <c r="A1984" s="25">
        <f>IF($C1984="","","AUD-2026-"&amp;TEXT(ROW()-1,"000000"))</f>
        <v/>
      </c>
      <c r="B1984" s="26" t="n"/>
      <c r="C1984" s="27" t="n"/>
      <c r="D1984" s="25">
        <f>IF($C1984="","",IFERROR(IF(INDEX(Roster!$A:$A,MATCH($C1984,Roster!$B:$B,0))="","",INDEX(Roster!$A:$A,MATCH($C1984,Roster!$B:$B,0))&amp;""),"—"))</f>
        <v/>
      </c>
      <c r="E1984" s="25">
        <f>IF($C1984="","",IFERROR(IF(INDEX(Roster!$C:$C,MATCH($C1984,Roster!$B:$B,0))="","",INDEX(Roster!$C:$C,MATCH($C1984,Roster!$B:$B,0))&amp;""),"—"))</f>
        <v/>
      </c>
      <c r="F1984" s="25">
        <f>IF($C1984="","",IFERROR(IF(INDEX(Roster!$D:$D,MATCH($C1984,Roster!$B:$B,0))="","",INDEX(Roster!$D:$D,MATCH($C1984,Roster!$B:$B,0))&amp;""),"—"))</f>
        <v/>
      </c>
      <c r="G1984" s="25">
        <f>IF($C1984="","",IFERROR(IF(INDEX(Roster!$E:$E,MATCH($C1984,Roster!$B:$B,0))="","",INDEX(Roster!$E:$E,MATCH($C1984,Roster!$B:$B,0))&amp;""),"—"))</f>
        <v/>
      </c>
      <c r="H1984" s="25">
        <f>IF($C1984="","",IFERROR(IF(INDEX(Roster!$F:$F,MATCH($C1984,Roster!$B:$B,0))="","",INDEX(Roster!$F:$F,MATCH($C1984,Roster!$B:$B,0))&amp;""),"—"))</f>
        <v/>
      </c>
      <c r="I1984" s="25">
        <f>IF($C1984="","",IFERROR(IF(INDEX(Roster!$G:$G,MATCH($C1984,Roster!$B:$B,0))="","",INDEX(Roster!$G:$G,MATCH($C1984,Roster!$B:$B,0))&amp;""),"—"))</f>
        <v/>
      </c>
      <c r="J1984" s="25">
        <f>IF($C1984="","",IFERROR(IF(INDEX(Roster!$I:$I,MATCH($C1984,Roster!$B:$B,0))="","",INDEX(Roster!$I:$I,MATCH($C1984,Roster!$B:$B,0))&amp;""),"—"))</f>
        <v/>
      </c>
      <c r="K1984">
        <f>IF($C1984="","",IFERROR(IF(INDEX(Roster!$J:$J,MATCH($C1984,Roster!$B:$B,0))="","",INDEX(Roster!$J:$J,MATCH($C1984,Roster!$B:$B,0))&amp;""),"—"))</f>
        <v/>
      </c>
      <c r="L1984">
        <f>IF($C1984="","",IFERROR(IF(INDEX(Roster!$K:$K,MATCH($C1984,Roster!$B:$B,0))="","",INDEX(Roster!$K:$K,MATCH($C1984,Roster!$B:$B,0))&amp;""),"—"))</f>
        <v/>
      </c>
      <c r="M1984" s="27" t="n"/>
      <c r="N1984" s="27" t="n"/>
      <c r="O1984" s="25">
        <f>IF($C1984="","",IF($P1984="","—",IF($P1984="Valid (Pass)","Valid","Invalid")))</f>
        <v/>
      </c>
      <c r="P1984" s="27" t="n"/>
      <c r="Q1984" s="27" t="n"/>
      <c r="R1984" s="27" t="n"/>
      <c r="S1984" s="27" t="n"/>
      <c r="T1984" s="25">
        <f>IF($C1984="","",IF(OR(ISNUMBER(SEARCH("quick case",$P1984)),ISNUMBER(SEARCH("quick case",$Q1984))),"Yes","No"))</f>
        <v/>
      </c>
      <c r="U1984" s="25">
        <f>IF($O1984="Invalid",HYPERLINK("mailto:"&amp;$G1984&amp;";"&amp;$I1984&amp;"?cc="&amp;Lists!$E$2&amp;"&amp;subject="&amp;_xlfn.ENCODEURL("[INVALID] Quality audit monitoring completed for "&amp;UPPER($C1984))&amp;"&amp;body="&amp;_xlfn.ENCODEURL("Hi "&amp;$F1984&amp;","&amp;CHAR(10)&amp;"Good day!"&amp;CHAR(10)&amp;CHAR(10)&amp;"A quality monitoring audit has been completed for "&amp;$C1984&amp;"."&amp;CHAR(10)&amp;CHAR(10)&amp;"QUALITY AUDIT DETAILS"&amp;CHAR(10)&amp;"Agent Name: "&amp;$C1984&amp;" (EID "&amp;$D1984&amp;")"&amp;CHAR(10)&amp;"Audit Date: "&amp;TEXT($B1984,"yyyy-mm-dd")&amp;CHAR(10)&amp;"Team Leader: "&amp;$F1984&amp;CHAR(10)&amp;"Case Number: "&amp;$M1984&amp;CHAR(10)&amp;"Transaction ID: "&amp;$N1984&amp;CHAR(10)&amp;"Channel / LOB: "&amp;$K1984&amp;" / "&amp;$L1984&amp;CHAR(10)&amp;"Evaluator: "&amp;$S1984&amp;CHAR(10)&amp;CHAR(10)&amp;"INVALID QUALITY AUDIT DETAILS"&amp;CHAR(10)&amp;"Validation: Invalid"&amp;CHAR(10)&amp;"Invalid Reason: "&amp;$P1984&amp;CHAR(10)&amp;"Expected Resolution Code: "&amp;$Q1984&amp;CHAR(10)&amp;"Remarks: "&amp;LEFT($R1984,600)&amp;CHAR(10)&amp;CHAR(10)&amp;"This is an automated notification from HP Mainstream EQMS."),"✉ Open Email Draft"),"")</f>
        <v/>
      </c>
    </row>
    <row r="1985">
      <c r="A1985" s="25">
        <f>IF($C1985="","","AUD-2026-"&amp;TEXT(ROW()-1,"000000"))</f>
        <v/>
      </c>
      <c r="B1985" s="26" t="n"/>
      <c r="C1985" s="27" t="n"/>
      <c r="D1985" s="25">
        <f>IF($C1985="","",IFERROR(IF(INDEX(Roster!$A:$A,MATCH($C1985,Roster!$B:$B,0))="","",INDEX(Roster!$A:$A,MATCH($C1985,Roster!$B:$B,0))&amp;""),"—"))</f>
        <v/>
      </c>
      <c r="E1985" s="25">
        <f>IF($C1985="","",IFERROR(IF(INDEX(Roster!$C:$C,MATCH($C1985,Roster!$B:$B,0))="","",INDEX(Roster!$C:$C,MATCH($C1985,Roster!$B:$B,0))&amp;""),"—"))</f>
        <v/>
      </c>
      <c r="F1985" s="25">
        <f>IF($C1985="","",IFERROR(IF(INDEX(Roster!$D:$D,MATCH($C1985,Roster!$B:$B,0))="","",INDEX(Roster!$D:$D,MATCH($C1985,Roster!$B:$B,0))&amp;""),"—"))</f>
        <v/>
      </c>
      <c r="G1985" s="25">
        <f>IF($C1985="","",IFERROR(IF(INDEX(Roster!$E:$E,MATCH($C1985,Roster!$B:$B,0))="","",INDEX(Roster!$E:$E,MATCH($C1985,Roster!$B:$B,0))&amp;""),"—"))</f>
        <v/>
      </c>
      <c r="H1985" s="25">
        <f>IF($C1985="","",IFERROR(IF(INDEX(Roster!$F:$F,MATCH($C1985,Roster!$B:$B,0))="","",INDEX(Roster!$F:$F,MATCH($C1985,Roster!$B:$B,0))&amp;""),"—"))</f>
        <v/>
      </c>
      <c r="I1985" s="25">
        <f>IF($C1985="","",IFERROR(IF(INDEX(Roster!$G:$G,MATCH($C1985,Roster!$B:$B,0))="","",INDEX(Roster!$G:$G,MATCH($C1985,Roster!$B:$B,0))&amp;""),"—"))</f>
        <v/>
      </c>
      <c r="J1985" s="25">
        <f>IF($C1985="","",IFERROR(IF(INDEX(Roster!$I:$I,MATCH($C1985,Roster!$B:$B,0))="","",INDEX(Roster!$I:$I,MATCH($C1985,Roster!$B:$B,0))&amp;""),"—"))</f>
        <v/>
      </c>
      <c r="K1985">
        <f>IF($C1985="","",IFERROR(IF(INDEX(Roster!$J:$J,MATCH($C1985,Roster!$B:$B,0))="","",INDEX(Roster!$J:$J,MATCH($C1985,Roster!$B:$B,0))&amp;""),"—"))</f>
        <v/>
      </c>
      <c r="L1985">
        <f>IF($C1985="","",IFERROR(IF(INDEX(Roster!$K:$K,MATCH($C1985,Roster!$B:$B,0))="","",INDEX(Roster!$K:$K,MATCH($C1985,Roster!$B:$B,0))&amp;""),"—"))</f>
        <v/>
      </c>
      <c r="M1985" s="27" t="n"/>
      <c r="N1985" s="27" t="n"/>
      <c r="O1985" s="25">
        <f>IF($C1985="","",IF($P1985="","—",IF($P1985="Valid (Pass)","Valid","Invalid")))</f>
        <v/>
      </c>
      <c r="P1985" s="27" t="n"/>
      <c r="Q1985" s="27" t="n"/>
      <c r="R1985" s="27" t="n"/>
      <c r="S1985" s="27" t="n"/>
      <c r="T1985" s="25">
        <f>IF($C1985="","",IF(OR(ISNUMBER(SEARCH("quick case",$P1985)),ISNUMBER(SEARCH("quick case",$Q1985))),"Yes","No"))</f>
        <v/>
      </c>
      <c r="U1985" s="25">
        <f>IF($O1985="Invalid",HYPERLINK("mailto:"&amp;$G1985&amp;";"&amp;$I1985&amp;"?cc="&amp;Lists!$E$2&amp;"&amp;subject="&amp;_xlfn.ENCODEURL("[INVALID] Quality audit monitoring completed for "&amp;UPPER($C1985))&amp;"&amp;body="&amp;_xlfn.ENCODEURL("Hi "&amp;$F1985&amp;","&amp;CHAR(10)&amp;"Good day!"&amp;CHAR(10)&amp;CHAR(10)&amp;"A quality monitoring audit has been completed for "&amp;$C1985&amp;"."&amp;CHAR(10)&amp;CHAR(10)&amp;"QUALITY AUDIT DETAILS"&amp;CHAR(10)&amp;"Agent Name: "&amp;$C1985&amp;" (EID "&amp;$D1985&amp;")"&amp;CHAR(10)&amp;"Audit Date: "&amp;TEXT($B1985,"yyyy-mm-dd")&amp;CHAR(10)&amp;"Team Leader: "&amp;$F1985&amp;CHAR(10)&amp;"Case Number: "&amp;$M1985&amp;CHAR(10)&amp;"Transaction ID: "&amp;$N1985&amp;CHAR(10)&amp;"Channel / LOB: "&amp;$K1985&amp;" / "&amp;$L1985&amp;CHAR(10)&amp;"Evaluator: "&amp;$S1985&amp;CHAR(10)&amp;CHAR(10)&amp;"INVALID QUALITY AUDIT DETAILS"&amp;CHAR(10)&amp;"Validation: Invalid"&amp;CHAR(10)&amp;"Invalid Reason: "&amp;$P1985&amp;CHAR(10)&amp;"Expected Resolution Code: "&amp;$Q1985&amp;CHAR(10)&amp;"Remarks: "&amp;LEFT($R1985,600)&amp;CHAR(10)&amp;CHAR(10)&amp;"This is an automated notification from HP Mainstream EQMS."),"✉ Open Email Draft"),"")</f>
        <v/>
      </c>
    </row>
    <row r="1986">
      <c r="A1986" s="25">
        <f>IF($C1986="","","AUD-2026-"&amp;TEXT(ROW()-1,"000000"))</f>
        <v/>
      </c>
      <c r="B1986" s="26" t="n"/>
      <c r="C1986" s="27" t="n"/>
      <c r="D1986" s="25">
        <f>IF($C1986="","",IFERROR(IF(INDEX(Roster!$A:$A,MATCH($C1986,Roster!$B:$B,0))="","",INDEX(Roster!$A:$A,MATCH($C1986,Roster!$B:$B,0))&amp;""),"—"))</f>
        <v/>
      </c>
      <c r="E1986" s="25">
        <f>IF($C1986="","",IFERROR(IF(INDEX(Roster!$C:$C,MATCH($C1986,Roster!$B:$B,0))="","",INDEX(Roster!$C:$C,MATCH($C1986,Roster!$B:$B,0))&amp;""),"—"))</f>
        <v/>
      </c>
      <c r="F1986" s="25">
        <f>IF($C1986="","",IFERROR(IF(INDEX(Roster!$D:$D,MATCH($C1986,Roster!$B:$B,0))="","",INDEX(Roster!$D:$D,MATCH($C1986,Roster!$B:$B,0))&amp;""),"—"))</f>
        <v/>
      </c>
      <c r="G1986" s="25">
        <f>IF($C1986="","",IFERROR(IF(INDEX(Roster!$E:$E,MATCH($C1986,Roster!$B:$B,0))="","",INDEX(Roster!$E:$E,MATCH($C1986,Roster!$B:$B,0))&amp;""),"—"))</f>
        <v/>
      </c>
      <c r="H1986" s="25">
        <f>IF($C1986="","",IFERROR(IF(INDEX(Roster!$F:$F,MATCH($C1986,Roster!$B:$B,0))="","",INDEX(Roster!$F:$F,MATCH($C1986,Roster!$B:$B,0))&amp;""),"—"))</f>
        <v/>
      </c>
      <c r="I1986" s="25">
        <f>IF($C1986="","",IFERROR(IF(INDEX(Roster!$G:$G,MATCH($C1986,Roster!$B:$B,0))="","",INDEX(Roster!$G:$G,MATCH($C1986,Roster!$B:$B,0))&amp;""),"—"))</f>
        <v/>
      </c>
      <c r="J1986" s="25">
        <f>IF($C1986="","",IFERROR(IF(INDEX(Roster!$I:$I,MATCH($C1986,Roster!$B:$B,0))="","",INDEX(Roster!$I:$I,MATCH($C1986,Roster!$B:$B,0))&amp;""),"—"))</f>
        <v/>
      </c>
      <c r="K1986">
        <f>IF($C1986="","",IFERROR(IF(INDEX(Roster!$J:$J,MATCH($C1986,Roster!$B:$B,0))="","",INDEX(Roster!$J:$J,MATCH($C1986,Roster!$B:$B,0))&amp;""),"—"))</f>
        <v/>
      </c>
      <c r="L1986">
        <f>IF($C1986="","",IFERROR(IF(INDEX(Roster!$K:$K,MATCH($C1986,Roster!$B:$B,0))="","",INDEX(Roster!$K:$K,MATCH($C1986,Roster!$B:$B,0))&amp;""),"—"))</f>
        <v/>
      </c>
      <c r="M1986" s="27" t="n"/>
      <c r="N1986" s="27" t="n"/>
      <c r="O1986" s="25">
        <f>IF($C1986="","",IF($P1986="","—",IF($P1986="Valid (Pass)","Valid","Invalid")))</f>
        <v/>
      </c>
      <c r="P1986" s="27" t="n"/>
      <c r="Q1986" s="27" t="n"/>
      <c r="R1986" s="27" t="n"/>
      <c r="S1986" s="27" t="n"/>
      <c r="T1986" s="25">
        <f>IF($C1986="","",IF(OR(ISNUMBER(SEARCH("quick case",$P1986)),ISNUMBER(SEARCH("quick case",$Q1986))),"Yes","No"))</f>
        <v/>
      </c>
      <c r="U1986" s="25">
        <f>IF($O1986="Invalid",HYPERLINK("mailto:"&amp;$G1986&amp;";"&amp;$I1986&amp;"?cc="&amp;Lists!$E$2&amp;"&amp;subject="&amp;_xlfn.ENCODEURL("[INVALID] Quality audit monitoring completed for "&amp;UPPER($C1986))&amp;"&amp;body="&amp;_xlfn.ENCODEURL("Hi "&amp;$F1986&amp;","&amp;CHAR(10)&amp;"Good day!"&amp;CHAR(10)&amp;CHAR(10)&amp;"A quality monitoring audit has been completed for "&amp;$C1986&amp;"."&amp;CHAR(10)&amp;CHAR(10)&amp;"QUALITY AUDIT DETAILS"&amp;CHAR(10)&amp;"Agent Name: "&amp;$C1986&amp;" (EID "&amp;$D1986&amp;")"&amp;CHAR(10)&amp;"Audit Date: "&amp;TEXT($B1986,"yyyy-mm-dd")&amp;CHAR(10)&amp;"Team Leader: "&amp;$F1986&amp;CHAR(10)&amp;"Case Number: "&amp;$M1986&amp;CHAR(10)&amp;"Transaction ID: "&amp;$N1986&amp;CHAR(10)&amp;"Channel / LOB: "&amp;$K1986&amp;" / "&amp;$L1986&amp;CHAR(10)&amp;"Evaluator: "&amp;$S1986&amp;CHAR(10)&amp;CHAR(10)&amp;"INVALID QUALITY AUDIT DETAILS"&amp;CHAR(10)&amp;"Validation: Invalid"&amp;CHAR(10)&amp;"Invalid Reason: "&amp;$P1986&amp;CHAR(10)&amp;"Expected Resolution Code: "&amp;$Q1986&amp;CHAR(10)&amp;"Remarks: "&amp;LEFT($R1986,600)&amp;CHAR(10)&amp;CHAR(10)&amp;"This is an automated notification from HP Mainstream EQMS."),"✉ Open Email Draft"),"")</f>
        <v/>
      </c>
    </row>
    <row r="1987">
      <c r="A1987" s="25">
        <f>IF($C1987="","","AUD-2026-"&amp;TEXT(ROW()-1,"000000"))</f>
        <v/>
      </c>
      <c r="B1987" s="26" t="n"/>
      <c r="C1987" s="27" t="n"/>
      <c r="D1987" s="25">
        <f>IF($C1987="","",IFERROR(IF(INDEX(Roster!$A:$A,MATCH($C1987,Roster!$B:$B,0))="","",INDEX(Roster!$A:$A,MATCH($C1987,Roster!$B:$B,0))&amp;""),"—"))</f>
        <v/>
      </c>
      <c r="E1987" s="25">
        <f>IF($C1987="","",IFERROR(IF(INDEX(Roster!$C:$C,MATCH($C1987,Roster!$B:$B,0))="","",INDEX(Roster!$C:$C,MATCH($C1987,Roster!$B:$B,0))&amp;""),"—"))</f>
        <v/>
      </c>
      <c r="F1987" s="25">
        <f>IF($C1987="","",IFERROR(IF(INDEX(Roster!$D:$D,MATCH($C1987,Roster!$B:$B,0))="","",INDEX(Roster!$D:$D,MATCH($C1987,Roster!$B:$B,0))&amp;""),"—"))</f>
        <v/>
      </c>
      <c r="G1987" s="25">
        <f>IF($C1987="","",IFERROR(IF(INDEX(Roster!$E:$E,MATCH($C1987,Roster!$B:$B,0))="","",INDEX(Roster!$E:$E,MATCH($C1987,Roster!$B:$B,0))&amp;""),"—"))</f>
        <v/>
      </c>
      <c r="H1987" s="25">
        <f>IF($C1987="","",IFERROR(IF(INDEX(Roster!$F:$F,MATCH($C1987,Roster!$B:$B,0))="","",INDEX(Roster!$F:$F,MATCH($C1987,Roster!$B:$B,0))&amp;""),"—"))</f>
        <v/>
      </c>
      <c r="I1987" s="25">
        <f>IF($C1987="","",IFERROR(IF(INDEX(Roster!$G:$G,MATCH($C1987,Roster!$B:$B,0))="","",INDEX(Roster!$G:$G,MATCH($C1987,Roster!$B:$B,0))&amp;""),"—"))</f>
        <v/>
      </c>
      <c r="J1987" s="25">
        <f>IF($C1987="","",IFERROR(IF(INDEX(Roster!$I:$I,MATCH($C1987,Roster!$B:$B,0))="","",INDEX(Roster!$I:$I,MATCH($C1987,Roster!$B:$B,0))&amp;""),"—"))</f>
        <v/>
      </c>
      <c r="K1987">
        <f>IF($C1987="","",IFERROR(IF(INDEX(Roster!$J:$J,MATCH($C1987,Roster!$B:$B,0))="","",INDEX(Roster!$J:$J,MATCH($C1987,Roster!$B:$B,0))&amp;""),"—"))</f>
        <v/>
      </c>
      <c r="L1987">
        <f>IF($C1987="","",IFERROR(IF(INDEX(Roster!$K:$K,MATCH($C1987,Roster!$B:$B,0))="","",INDEX(Roster!$K:$K,MATCH($C1987,Roster!$B:$B,0))&amp;""),"—"))</f>
        <v/>
      </c>
      <c r="M1987" s="27" t="n"/>
      <c r="N1987" s="27" t="n"/>
      <c r="O1987" s="25">
        <f>IF($C1987="","",IF($P1987="","—",IF($P1987="Valid (Pass)","Valid","Invalid")))</f>
        <v/>
      </c>
      <c r="P1987" s="27" t="n"/>
      <c r="Q1987" s="27" t="n"/>
      <c r="R1987" s="27" t="n"/>
      <c r="S1987" s="27" t="n"/>
      <c r="T1987" s="25">
        <f>IF($C1987="","",IF(OR(ISNUMBER(SEARCH("quick case",$P1987)),ISNUMBER(SEARCH("quick case",$Q1987))),"Yes","No"))</f>
        <v/>
      </c>
      <c r="U1987" s="25">
        <f>IF($O1987="Invalid",HYPERLINK("mailto:"&amp;$G1987&amp;";"&amp;$I1987&amp;"?cc="&amp;Lists!$E$2&amp;"&amp;subject="&amp;_xlfn.ENCODEURL("[INVALID] Quality audit monitoring completed for "&amp;UPPER($C1987))&amp;"&amp;body="&amp;_xlfn.ENCODEURL("Hi "&amp;$F1987&amp;","&amp;CHAR(10)&amp;"Good day!"&amp;CHAR(10)&amp;CHAR(10)&amp;"A quality monitoring audit has been completed for "&amp;$C1987&amp;"."&amp;CHAR(10)&amp;CHAR(10)&amp;"QUALITY AUDIT DETAILS"&amp;CHAR(10)&amp;"Agent Name: "&amp;$C1987&amp;" (EID "&amp;$D1987&amp;")"&amp;CHAR(10)&amp;"Audit Date: "&amp;TEXT($B1987,"yyyy-mm-dd")&amp;CHAR(10)&amp;"Team Leader: "&amp;$F1987&amp;CHAR(10)&amp;"Case Number: "&amp;$M1987&amp;CHAR(10)&amp;"Transaction ID: "&amp;$N1987&amp;CHAR(10)&amp;"Channel / LOB: "&amp;$K1987&amp;" / "&amp;$L1987&amp;CHAR(10)&amp;"Evaluator: "&amp;$S1987&amp;CHAR(10)&amp;CHAR(10)&amp;"INVALID QUALITY AUDIT DETAILS"&amp;CHAR(10)&amp;"Validation: Invalid"&amp;CHAR(10)&amp;"Invalid Reason: "&amp;$P1987&amp;CHAR(10)&amp;"Expected Resolution Code: "&amp;$Q1987&amp;CHAR(10)&amp;"Remarks: "&amp;LEFT($R1987,600)&amp;CHAR(10)&amp;CHAR(10)&amp;"This is an automated notification from HP Mainstream EQMS."),"✉ Open Email Draft"),"")</f>
        <v/>
      </c>
    </row>
    <row r="1988">
      <c r="A1988" s="25">
        <f>IF($C1988="","","AUD-2026-"&amp;TEXT(ROW()-1,"000000"))</f>
        <v/>
      </c>
      <c r="B1988" s="26" t="n"/>
      <c r="C1988" s="27" t="n"/>
      <c r="D1988" s="25">
        <f>IF($C1988="","",IFERROR(IF(INDEX(Roster!$A:$A,MATCH($C1988,Roster!$B:$B,0))="","",INDEX(Roster!$A:$A,MATCH($C1988,Roster!$B:$B,0))&amp;""),"—"))</f>
        <v/>
      </c>
      <c r="E1988" s="25">
        <f>IF($C1988="","",IFERROR(IF(INDEX(Roster!$C:$C,MATCH($C1988,Roster!$B:$B,0))="","",INDEX(Roster!$C:$C,MATCH($C1988,Roster!$B:$B,0))&amp;""),"—"))</f>
        <v/>
      </c>
      <c r="F1988" s="25">
        <f>IF($C1988="","",IFERROR(IF(INDEX(Roster!$D:$D,MATCH($C1988,Roster!$B:$B,0))="","",INDEX(Roster!$D:$D,MATCH($C1988,Roster!$B:$B,0))&amp;""),"—"))</f>
        <v/>
      </c>
      <c r="G1988" s="25">
        <f>IF($C1988="","",IFERROR(IF(INDEX(Roster!$E:$E,MATCH($C1988,Roster!$B:$B,0))="","",INDEX(Roster!$E:$E,MATCH($C1988,Roster!$B:$B,0))&amp;""),"—"))</f>
        <v/>
      </c>
      <c r="H1988" s="25">
        <f>IF($C1988="","",IFERROR(IF(INDEX(Roster!$F:$F,MATCH($C1988,Roster!$B:$B,0))="","",INDEX(Roster!$F:$F,MATCH($C1988,Roster!$B:$B,0))&amp;""),"—"))</f>
        <v/>
      </c>
      <c r="I1988" s="25">
        <f>IF($C1988="","",IFERROR(IF(INDEX(Roster!$G:$G,MATCH($C1988,Roster!$B:$B,0))="","",INDEX(Roster!$G:$G,MATCH($C1988,Roster!$B:$B,0))&amp;""),"—"))</f>
        <v/>
      </c>
      <c r="J1988" s="25">
        <f>IF($C1988="","",IFERROR(IF(INDEX(Roster!$I:$I,MATCH($C1988,Roster!$B:$B,0))="","",INDEX(Roster!$I:$I,MATCH($C1988,Roster!$B:$B,0))&amp;""),"—"))</f>
        <v/>
      </c>
      <c r="K1988">
        <f>IF($C1988="","",IFERROR(IF(INDEX(Roster!$J:$J,MATCH($C1988,Roster!$B:$B,0))="","",INDEX(Roster!$J:$J,MATCH($C1988,Roster!$B:$B,0))&amp;""),"—"))</f>
        <v/>
      </c>
      <c r="L1988">
        <f>IF($C1988="","",IFERROR(IF(INDEX(Roster!$K:$K,MATCH($C1988,Roster!$B:$B,0))="","",INDEX(Roster!$K:$K,MATCH($C1988,Roster!$B:$B,0))&amp;""),"—"))</f>
        <v/>
      </c>
      <c r="M1988" s="27" t="n"/>
      <c r="N1988" s="27" t="n"/>
      <c r="O1988" s="25">
        <f>IF($C1988="","",IF($P1988="","—",IF($P1988="Valid (Pass)","Valid","Invalid")))</f>
        <v/>
      </c>
      <c r="P1988" s="27" t="n"/>
      <c r="Q1988" s="27" t="n"/>
      <c r="R1988" s="27" t="n"/>
      <c r="S1988" s="27" t="n"/>
      <c r="T1988" s="25">
        <f>IF($C1988="","",IF(OR(ISNUMBER(SEARCH("quick case",$P1988)),ISNUMBER(SEARCH("quick case",$Q1988))),"Yes","No"))</f>
        <v/>
      </c>
      <c r="U1988" s="25">
        <f>IF($O1988="Invalid",HYPERLINK("mailto:"&amp;$G1988&amp;";"&amp;$I1988&amp;"?cc="&amp;Lists!$E$2&amp;"&amp;subject="&amp;_xlfn.ENCODEURL("[INVALID] Quality audit monitoring completed for "&amp;UPPER($C1988))&amp;"&amp;body="&amp;_xlfn.ENCODEURL("Hi "&amp;$F1988&amp;","&amp;CHAR(10)&amp;"Good day!"&amp;CHAR(10)&amp;CHAR(10)&amp;"A quality monitoring audit has been completed for "&amp;$C1988&amp;"."&amp;CHAR(10)&amp;CHAR(10)&amp;"QUALITY AUDIT DETAILS"&amp;CHAR(10)&amp;"Agent Name: "&amp;$C1988&amp;" (EID "&amp;$D1988&amp;")"&amp;CHAR(10)&amp;"Audit Date: "&amp;TEXT($B1988,"yyyy-mm-dd")&amp;CHAR(10)&amp;"Team Leader: "&amp;$F1988&amp;CHAR(10)&amp;"Case Number: "&amp;$M1988&amp;CHAR(10)&amp;"Transaction ID: "&amp;$N1988&amp;CHAR(10)&amp;"Channel / LOB: "&amp;$K1988&amp;" / "&amp;$L1988&amp;CHAR(10)&amp;"Evaluator: "&amp;$S1988&amp;CHAR(10)&amp;CHAR(10)&amp;"INVALID QUALITY AUDIT DETAILS"&amp;CHAR(10)&amp;"Validation: Invalid"&amp;CHAR(10)&amp;"Invalid Reason: "&amp;$P1988&amp;CHAR(10)&amp;"Expected Resolution Code: "&amp;$Q1988&amp;CHAR(10)&amp;"Remarks: "&amp;LEFT($R1988,600)&amp;CHAR(10)&amp;CHAR(10)&amp;"This is an automated notification from HP Mainstream EQMS."),"✉ Open Email Draft"),"")</f>
        <v/>
      </c>
    </row>
    <row r="1989">
      <c r="A1989" s="25">
        <f>IF($C1989="","","AUD-2026-"&amp;TEXT(ROW()-1,"000000"))</f>
        <v/>
      </c>
      <c r="B1989" s="26" t="n"/>
      <c r="C1989" s="27" t="n"/>
      <c r="D1989" s="25">
        <f>IF($C1989="","",IFERROR(IF(INDEX(Roster!$A:$A,MATCH($C1989,Roster!$B:$B,0))="","",INDEX(Roster!$A:$A,MATCH($C1989,Roster!$B:$B,0))&amp;""),"—"))</f>
        <v/>
      </c>
      <c r="E1989" s="25">
        <f>IF($C1989="","",IFERROR(IF(INDEX(Roster!$C:$C,MATCH($C1989,Roster!$B:$B,0))="","",INDEX(Roster!$C:$C,MATCH($C1989,Roster!$B:$B,0))&amp;""),"—"))</f>
        <v/>
      </c>
      <c r="F1989" s="25">
        <f>IF($C1989="","",IFERROR(IF(INDEX(Roster!$D:$D,MATCH($C1989,Roster!$B:$B,0))="","",INDEX(Roster!$D:$D,MATCH($C1989,Roster!$B:$B,0))&amp;""),"—"))</f>
        <v/>
      </c>
      <c r="G1989" s="25">
        <f>IF($C1989="","",IFERROR(IF(INDEX(Roster!$E:$E,MATCH($C1989,Roster!$B:$B,0))="","",INDEX(Roster!$E:$E,MATCH($C1989,Roster!$B:$B,0))&amp;""),"—"))</f>
        <v/>
      </c>
      <c r="H1989" s="25">
        <f>IF($C1989="","",IFERROR(IF(INDEX(Roster!$F:$F,MATCH($C1989,Roster!$B:$B,0))="","",INDEX(Roster!$F:$F,MATCH($C1989,Roster!$B:$B,0))&amp;""),"—"))</f>
        <v/>
      </c>
      <c r="I1989" s="25">
        <f>IF($C1989="","",IFERROR(IF(INDEX(Roster!$G:$G,MATCH($C1989,Roster!$B:$B,0))="","",INDEX(Roster!$G:$G,MATCH($C1989,Roster!$B:$B,0))&amp;""),"—"))</f>
        <v/>
      </c>
      <c r="J1989" s="25">
        <f>IF($C1989="","",IFERROR(IF(INDEX(Roster!$I:$I,MATCH($C1989,Roster!$B:$B,0))="","",INDEX(Roster!$I:$I,MATCH($C1989,Roster!$B:$B,0))&amp;""),"—"))</f>
        <v/>
      </c>
      <c r="K1989">
        <f>IF($C1989="","",IFERROR(IF(INDEX(Roster!$J:$J,MATCH($C1989,Roster!$B:$B,0))="","",INDEX(Roster!$J:$J,MATCH($C1989,Roster!$B:$B,0))&amp;""),"—"))</f>
        <v/>
      </c>
      <c r="L1989">
        <f>IF($C1989="","",IFERROR(IF(INDEX(Roster!$K:$K,MATCH($C1989,Roster!$B:$B,0))="","",INDEX(Roster!$K:$K,MATCH($C1989,Roster!$B:$B,0))&amp;""),"—"))</f>
        <v/>
      </c>
      <c r="M1989" s="27" t="n"/>
      <c r="N1989" s="27" t="n"/>
      <c r="O1989" s="25">
        <f>IF($C1989="","",IF($P1989="","—",IF($P1989="Valid (Pass)","Valid","Invalid")))</f>
        <v/>
      </c>
      <c r="P1989" s="27" t="n"/>
      <c r="Q1989" s="27" t="n"/>
      <c r="R1989" s="27" t="n"/>
      <c r="S1989" s="27" t="n"/>
      <c r="T1989" s="25">
        <f>IF($C1989="","",IF(OR(ISNUMBER(SEARCH("quick case",$P1989)),ISNUMBER(SEARCH("quick case",$Q1989))),"Yes","No"))</f>
        <v/>
      </c>
      <c r="U1989" s="25">
        <f>IF($O1989="Invalid",HYPERLINK("mailto:"&amp;$G1989&amp;";"&amp;$I1989&amp;"?cc="&amp;Lists!$E$2&amp;"&amp;subject="&amp;_xlfn.ENCODEURL("[INVALID] Quality audit monitoring completed for "&amp;UPPER($C1989))&amp;"&amp;body="&amp;_xlfn.ENCODEURL("Hi "&amp;$F1989&amp;","&amp;CHAR(10)&amp;"Good day!"&amp;CHAR(10)&amp;CHAR(10)&amp;"A quality monitoring audit has been completed for "&amp;$C1989&amp;"."&amp;CHAR(10)&amp;CHAR(10)&amp;"QUALITY AUDIT DETAILS"&amp;CHAR(10)&amp;"Agent Name: "&amp;$C1989&amp;" (EID "&amp;$D1989&amp;")"&amp;CHAR(10)&amp;"Audit Date: "&amp;TEXT($B1989,"yyyy-mm-dd")&amp;CHAR(10)&amp;"Team Leader: "&amp;$F1989&amp;CHAR(10)&amp;"Case Number: "&amp;$M1989&amp;CHAR(10)&amp;"Transaction ID: "&amp;$N1989&amp;CHAR(10)&amp;"Channel / LOB: "&amp;$K1989&amp;" / "&amp;$L1989&amp;CHAR(10)&amp;"Evaluator: "&amp;$S1989&amp;CHAR(10)&amp;CHAR(10)&amp;"INVALID QUALITY AUDIT DETAILS"&amp;CHAR(10)&amp;"Validation: Invalid"&amp;CHAR(10)&amp;"Invalid Reason: "&amp;$P1989&amp;CHAR(10)&amp;"Expected Resolution Code: "&amp;$Q1989&amp;CHAR(10)&amp;"Remarks: "&amp;LEFT($R1989,600)&amp;CHAR(10)&amp;CHAR(10)&amp;"This is an automated notification from HP Mainstream EQMS."),"✉ Open Email Draft"),"")</f>
        <v/>
      </c>
    </row>
    <row r="1990">
      <c r="A1990" s="25">
        <f>IF($C1990="","","AUD-2026-"&amp;TEXT(ROW()-1,"000000"))</f>
        <v/>
      </c>
      <c r="B1990" s="26" t="n"/>
      <c r="C1990" s="27" t="n"/>
      <c r="D1990" s="25">
        <f>IF($C1990="","",IFERROR(IF(INDEX(Roster!$A:$A,MATCH($C1990,Roster!$B:$B,0))="","",INDEX(Roster!$A:$A,MATCH($C1990,Roster!$B:$B,0))&amp;""),"—"))</f>
        <v/>
      </c>
      <c r="E1990" s="25">
        <f>IF($C1990="","",IFERROR(IF(INDEX(Roster!$C:$C,MATCH($C1990,Roster!$B:$B,0))="","",INDEX(Roster!$C:$C,MATCH($C1990,Roster!$B:$B,0))&amp;""),"—"))</f>
        <v/>
      </c>
      <c r="F1990" s="25">
        <f>IF($C1990="","",IFERROR(IF(INDEX(Roster!$D:$D,MATCH($C1990,Roster!$B:$B,0))="","",INDEX(Roster!$D:$D,MATCH($C1990,Roster!$B:$B,0))&amp;""),"—"))</f>
        <v/>
      </c>
      <c r="G1990" s="25">
        <f>IF($C1990="","",IFERROR(IF(INDEX(Roster!$E:$E,MATCH($C1990,Roster!$B:$B,0))="","",INDEX(Roster!$E:$E,MATCH($C1990,Roster!$B:$B,0))&amp;""),"—"))</f>
        <v/>
      </c>
      <c r="H1990" s="25">
        <f>IF($C1990="","",IFERROR(IF(INDEX(Roster!$F:$F,MATCH($C1990,Roster!$B:$B,0))="","",INDEX(Roster!$F:$F,MATCH($C1990,Roster!$B:$B,0))&amp;""),"—"))</f>
        <v/>
      </c>
      <c r="I1990" s="25">
        <f>IF($C1990="","",IFERROR(IF(INDEX(Roster!$G:$G,MATCH($C1990,Roster!$B:$B,0))="","",INDEX(Roster!$G:$G,MATCH($C1990,Roster!$B:$B,0))&amp;""),"—"))</f>
        <v/>
      </c>
      <c r="J1990" s="25">
        <f>IF($C1990="","",IFERROR(IF(INDEX(Roster!$I:$I,MATCH($C1990,Roster!$B:$B,0))="","",INDEX(Roster!$I:$I,MATCH($C1990,Roster!$B:$B,0))&amp;""),"—"))</f>
        <v/>
      </c>
      <c r="K1990">
        <f>IF($C1990="","",IFERROR(IF(INDEX(Roster!$J:$J,MATCH($C1990,Roster!$B:$B,0))="","",INDEX(Roster!$J:$J,MATCH($C1990,Roster!$B:$B,0))&amp;""),"—"))</f>
        <v/>
      </c>
      <c r="L1990">
        <f>IF($C1990="","",IFERROR(IF(INDEX(Roster!$K:$K,MATCH($C1990,Roster!$B:$B,0))="","",INDEX(Roster!$K:$K,MATCH($C1990,Roster!$B:$B,0))&amp;""),"—"))</f>
        <v/>
      </c>
      <c r="M1990" s="27" t="n"/>
      <c r="N1990" s="27" t="n"/>
      <c r="O1990" s="25">
        <f>IF($C1990="","",IF($P1990="","—",IF($P1990="Valid (Pass)","Valid","Invalid")))</f>
        <v/>
      </c>
      <c r="P1990" s="27" t="n"/>
      <c r="Q1990" s="27" t="n"/>
      <c r="R1990" s="27" t="n"/>
      <c r="S1990" s="27" t="n"/>
      <c r="T1990" s="25">
        <f>IF($C1990="","",IF(OR(ISNUMBER(SEARCH("quick case",$P1990)),ISNUMBER(SEARCH("quick case",$Q1990))),"Yes","No"))</f>
        <v/>
      </c>
      <c r="U1990" s="25">
        <f>IF($O1990="Invalid",HYPERLINK("mailto:"&amp;$G1990&amp;";"&amp;$I1990&amp;"?cc="&amp;Lists!$E$2&amp;"&amp;subject="&amp;_xlfn.ENCODEURL("[INVALID] Quality audit monitoring completed for "&amp;UPPER($C1990))&amp;"&amp;body="&amp;_xlfn.ENCODEURL("Hi "&amp;$F1990&amp;","&amp;CHAR(10)&amp;"Good day!"&amp;CHAR(10)&amp;CHAR(10)&amp;"A quality monitoring audit has been completed for "&amp;$C1990&amp;"."&amp;CHAR(10)&amp;CHAR(10)&amp;"QUALITY AUDIT DETAILS"&amp;CHAR(10)&amp;"Agent Name: "&amp;$C1990&amp;" (EID "&amp;$D1990&amp;")"&amp;CHAR(10)&amp;"Audit Date: "&amp;TEXT($B1990,"yyyy-mm-dd")&amp;CHAR(10)&amp;"Team Leader: "&amp;$F1990&amp;CHAR(10)&amp;"Case Number: "&amp;$M1990&amp;CHAR(10)&amp;"Transaction ID: "&amp;$N1990&amp;CHAR(10)&amp;"Channel / LOB: "&amp;$K1990&amp;" / "&amp;$L1990&amp;CHAR(10)&amp;"Evaluator: "&amp;$S1990&amp;CHAR(10)&amp;CHAR(10)&amp;"INVALID QUALITY AUDIT DETAILS"&amp;CHAR(10)&amp;"Validation: Invalid"&amp;CHAR(10)&amp;"Invalid Reason: "&amp;$P1990&amp;CHAR(10)&amp;"Expected Resolution Code: "&amp;$Q1990&amp;CHAR(10)&amp;"Remarks: "&amp;LEFT($R1990,600)&amp;CHAR(10)&amp;CHAR(10)&amp;"This is an automated notification from HP Mainstream EQMS."),"✉ Open Email Draft"),"")</f>
        <v/>
      </c>
    </row>
    <row r="1991">
      <c r="A1991" s="25">
        <f>IF($C1991="","","AUD-2026-"&amp;TEXT(ROW()-1,"000000"))</f>
        <v/>
      </c>
      <c r="B1991" s="26" t="n"/>
      <c r="C1991" s="27" t="n"/>
      <c r="D1991" s="25">
        <f>IF($C1991="","",IFERROR(IF(INDEX(Roster!$A:$A,MATCH($C1991,Roster!$B:$B,0))="","",INDEX(Roster!$A:$A,MATCH($C1991,Roster!$B:$B,0))&amp;""),"—"))</f>
        <v/>
      </c>
      <c r="E1991" s="25">
        <f>IF($C1991="","",IFERROR(IF(INDEX(Roster!$C:$C,MATCH($C1991,Roster!$B:$B,0))="","",INDEX(Roster!$C:$C,MATCH($C1991,Roster!$B:$B,0))&amp;""),"—"))</f>
        <v/>
      </c>
      <c r="F1991" s="25">
        <f>IF($C1991="","",IFERROR(IF(INDEX(Roster!$D:$D,MATCH($C1991,Roster!$B:$B,0))="","",INDEX(Roster!$D:$D,MATCH($C1991,Roster!$B:$B,0))&amp;""),"—"))</f>
        <v/>
      </c>
      <c r="G1991" s="25">
        <f>IF($C1991="","",IFERROR(IF(INDEX(Roster!$E:$E,MATCH($C1991,Roster!$B:$B,0))="","",INDEX(Roster!$E:$E,MATCH($C1991,Roster!$B:$B,0))&amp;""),"—"))</f>
        <v/>
      </c>
      <c r="H1991" s="25">
        <f>IF($C1991="","",IFERROR(IF(INDEX(Roster!$F:$F,MATCH($C1991,Roster!$B:$B,0))="","",INDEX(Roster!$F:$F,MATCH($C1991,Roster!$B:$B,0))&amp;""),"—"))</f>
        <v/>
      </c>
      <c r="I1991" s="25">
        <f>IF($C1991="","",IFERROR(IF(INDEX(Roster!$G:$G,MATCH($C1991,Roster!$B:$B,0))="","",INDEX(Roster!$G:$G,MATCH($C1991,Roster!$B:$B,0))&amp;""),"—"))</f>
        <v/>
      </c>
      <c r="J1991" s="25">
        <f>IF($C1991="","",IFERROR(IF(INDEX(Roster!$I:$I,MATCH($C1991,Roster!$B:$B,0))="","",INDEX(Roster!$I:$I,MATCH($C1991,Roster!$B:$B,0))&amp;""),"—"))</f>
        <v/>
      </c>
      <c r="K1991">
        <f>IF($C1991="","",IFERROR(IF(INDEX(Roster!$J:$J,MATCH($C1991,Roster!$B:$B,0))="","",INDEX(Roster!$J:$J,MATCH($C1991,Roster!$B:$B,0))&amp;""),"—"))</f>
        <v/>
      </c>
      <c r="L1991">
        <f>IF($C1991="","",IFERROR(IF(INDEX(Roster!$K:$K,MATCH($C1991,Roster!$B:$B,0))="","",INDEX(Roster!$K:$K,MATCH($C1991,Roster!$B:$B,0))&amp;""),"—"))</f>
        <v/>
      </c>
      <c r="M1991" s="27" t="n"/>
      <c r="N1991" s="27" t="n"/>
      <c r="O1991" s="25">
        <f>IF($C1991="","",IF($P1991="","—",IF($P1991="Valid (Pass)","Valid","Invalid")))</f>
        <v/>
      </c>
      <c r="P1991" s="27" t="n"/>
      <c r="Q1991" s="27" t="n"/>
      <c r="R1991" s="27" t="n"/>
      <c r="S1991" s="27" t="n"/>
      <c r="T1991" s="25">
        <f>IF($C1991="","",IF(OR(ISNUMBER(SEARCH("quick case",$P1991)),ISNUMBER(SEARCH("quick case",$Q1991))),"Yes","No"))</f>
        <v/>
      </c>
      <c r="U1991" s="25">
        <f>IF($O1991="Invalid",HYPERLINK("mailto:"&amp;$G1991&amp;";"&amp;$I1991&amp;"?cc="&amp;Lists!$E$2&amp;"&amp;subject="&amp;_xlfn.ENCODEURL("[INVALID] Quality audit monitoring completed for "&amp;UPPER($C1991))&amp;"&amp;body="&amp;_xlfn.ENCODEURL("Hi "&amp;$F1991&amp;","&amp;CHAR(10)&amp;"Good day!"&amp;CHAR(10)&amp;CHAR(10)&amp;"A quality monitoring audit has been completed for "&amp;$C1991&amp;"."&amp;CHAR(10)&amp;CHAR(10)&amp;"QUALITY AUDIT DETAILS"&amp;CHAR(10)&amp;"Agent Name: "&amp;$C1991&amp;" (EID "&amp;$D1991&amp;")"&amp;CHAR(10)&amp;"Audit Date: "&amp;TEXT($B1991,"yyyy-mm-dd")&amp;CHAR(10)&amp;"Team Leader: "&amp;$F1991&amp;CHAR(10)&amp;"Case Number: "&amp;$M1991&amp;CHAR(10)&amp;"Transaction ID: "&amp;$N1991&amp;CHAR(10)&amp;"Channel / LOB: "&amp;$K1991&amp;" / "&amp;$L1991&amp;CHAR(10)&amp;"Evaluator: "&amp;$S1991&amp;CHAR(10)&amp;CHAR(10)&amp;"INVALID QUALITY AUDIT DETAILS"&amp;CHAR(10)&amp;"Validation: Invalid"&amp;CHAR(10)&amp;"Invalid Reason: "&amp;$P1991&amp;CHAR(10)&amp;"Expected Resolution Code: "&amp;$Q1991&amp;CHAR(10)&amp;"Remarks: "&amp;LEFT($R1991,600)&amp;CHAR(10)&amp;CHAR(10)&amp;"This is an automated notification from HP Mainstream EQMS."),"✉ Open Email Draft"),"")</f>
        <v/>
      </c>
    </row>
    <row r="1992">
      <c r="A1992" s="25">
        <f>IF($C1992="","","AUD-2026-"&amp;TEXT(ROW()-1,"000000"))</f>
        <v/>
      </c>
      <c r="B1992" s="26" t="n"/>
      <c r="C1992" s="27" t="n"/>
      <c r="D1992" s="25">
        <f>IF($C1992="","",IFERROR(IF(INDEX(Roster!$A:$A,MATCH($C1992,Roster!$B:$B,0))="","",INDEX(Roster!$A:$A,MATCH($C1992,Roster!$B:$B,0))&amp;""),"—"))</f>
        <v/>
      </c>
      <c r="E1992" s="25">
        <f>IF($C1992="","",IFERROR(IF(INDEX(Roster!$C:$C,MATCH($C1992,Roster!$B:$B,0))="","",INDEX(Roster!$C:$C,MATCH($C1992,Roster!$B:$B,0))&amp;""),"—"))</f>
        <v/>
      </c>
      <c r="F1992" s="25">
        <f>IF($C1992="","",IFERROR(IF(INDEX(Roster!$D:$D,MATCH($C1992,Roster!$B:$B,0))="","",INDEX(Roster!$D:$D,MATCH($C1992,Roster!$B:$B,0))&amp;""),"—"))</f>
        <v/>
      </c>
      <c r="G1992" s="25">
        <f>IF($C1992="","",IFERROR(IF(INDEX(Roster!$E:$E,MATCH($C1992,Roster!$B:$B,0))="","",INDEX(Roster!$E:$E,MATCH($C1992,Roster!$B:$B,0))&amp;""),"—"))</f>
        <v/>
      </c>
      <c r="H1992" s="25">
        <f>IF($C1992="","",IFERROR(IF(INDEX(Roster!$F:$F,MATCH($C1992,Roster!$B:$B,0))="","",INDEX(Roster!$F:$F,MATCH($C1992,Roster!$B:$B,0))&amp;""),"—"))</f>
        <v/>
      </c>
      <c r="I1992" s="25">
        <f>IF($C1992="","",IFERROR(IF(INDEX(Roster!$G:$G,MATCH($C1992,Roster!$B:$B,0))="","",INDEX(Roster!$G:$G,MATCH($C1992,Roster!$B:$B,0))&amp;""),"—"))</f>
        <v/>
      </c>
      <c r="J1992" s="25">
        <f>IF($C1992="","",IFERROR(IF(INDEX(Roster!$I:$I,MATCH($C1992,Roster!$B:$B,0))="","",INDEX(Roster!$I:$I,MATCH($C1992,Roster!$B:$B,0))&amp;""),"—"))</f>
        <v/>
      </c>
      <c r="K1992">
        <f>IF($C1992="","",IFERROR(IF(INDEX(Roster!$J:$J,MATCH($C1992,Roster!$B:$B,0))="","",INDEX(Roster!$J:$J,MATCH($C1992,Roster!$B:$B,0))&amp;""),"—"))</f>
        <v/>
      </c>
      <c r="L1992">
        <f>IF($C1992="","",IFERROR(IF(INDEX(Roster!$K:$K,MATCH($C1992,Roster!$B:$B,0))="","",INDEX(Roster!$K:$K,MATCH($C1992,Roster!$B:$B,0))&amp;""),"—"))</f>
        <v/>
      </c>
      <c r="M1992" s="27" t="n"/>
      <c r="N1992" s="27" t="n"/>
      <c r="O1992" s="25">
        <f>IF($C1992="","",IF($P1992="","—",IF($P1992="Valid (Pass)","Valid","Invalid")))</f>
        <v/>
      </c>
      <c r="P1992" s="27" t="n"/>
      <c r="Q1992" s="27" t="n"/>
      <c r="R1992" s="27" t="n"/>
      <c r="S1992" s="27" t="n"/>
      <c r="T1992" s="25">
        <f>IF($C1992="","",IF(OR(ISNUMBER(SEARCH("quick case",$P1992)),ISNUMBER(SEARCH("quick case",$Q1992))),"Yes","No"))</f>
        <v/>
      </c>
      <c r="U1992" s="25">
        <f>IF($O1992="Invalid",HYPERLINK("mailto:"&amp;$G1992&amp;";"&amp;$I1992&amp;"?cc="&amp;Lists!$E$2&amp;"&amp;subject="&amp;_xlfn.ENCODEURL("[INVALID] Quality audit monitoring completed for "&amp;UPPER($C1992))&amp;"&amp;body="&amp;_xlfn.ENCODEURL("Hi "&amp;$F1992&amp;","&amp;CHAR(10)&amp;"Good day!"&amp;CHAR(10)&amp;CHAR(10)&amp;"A quality monitoring audit has been completed for "&amp;$C1992&amp;"."&amp;CHAR(10)&amp;CHAR(10)&amp;"QUALITY AUDIT DETAILS"&amp;CHAR(10)&amp;"Agent Name: "&amp;$C1992&amp;" (EID "&amp;$D1992&amp;")"&amp;CHAR(10)&amp;"Audit Date: "&amp;TEXT($B1992,"yyyy-mm-dd")&amp;CHAR(10)&amp;"Team Leader: "&amp;$F1992&amp;CHAR(10)&amp;"Case Number: "&amp;$M1992&amp;CHAR(10)&amp;"Transaction ID: "&amp;$N1992&amp;CHAR(10)&amp;"Channel / LOB: "&amp;$K1992&amp;" / "&amp;$L1992&amp;CHAR(10)&amp;"Evaluator: "&amp;$S1992&amp;CHAR(10)&amp;CHAR(10)&amp;"INVALID QUALITY AUDIT DETAILS"&amp;CHAR(10)&amp;"Validation: Invalid"&amp;CHAR(10)&amp;"Invalid Reason: "&amp;$P1992&amp;CHAR(10)&amp;"Expected Resolution Code: "&amp;$Q1992&amp;CHAR(10)&amp;"Remarks: "&amp;LEFT($R1992,600)&amp;CHAR(10)&amp;CHAR(10)&amp;"This is an automated notification from HP Mainstream EQMS."),"✉ Open Email Draft"),"")</f>
        <v/>
      </c>
    </row>
    <row r="1993">
      <c r="A1993" s="25">
        <f>IF($C1993="","","AUD-2026-"&amp;TEXT(ROW()-1,"000000"))</f>
        <v/>
      </c>
      <c r="B1993" s="26" t="n"/>
      <c r="C1993" s="27" t="n"/>
      <c r="D1993" s="25">
        <f>IF($C1993="","",IFERROR(IF(INDEX(Roster!$A:$A,MATCH($C1993,Roster!$B:$B,0))="","",INDEX(Roster!$A:$A,MATCH($C1993,Roster!$B:$B,0))&amp;""),"—"))</f>
        <v/>
      </c>
      <c r="E1993" s="25">
        <f>IF($C1993="","",IFERROR(IF(INDEX(Roster!$C:$C,MATCH($C1993,Roster!$B:$B,0))="","",INDEX(Roster!$C:$C,MATCH($C1993,Roster!$B:$B,0))&amp;""),"—"))</f>
        <v/>
      </c>
      <c r="F1993" s="25">
        <f>IF($C1993="","",IFERROR(IF(INDEX(Roster!$D:$D,MATCH($C1993,Roster!$B:$B,0))="","",INDEX(Roster!$D:$D,MATCH($C1993,Roster!$B:$B,0))&amp;""),"—"))</f>
        <v/>
      </c>
      <c r="G1993" s="25">
        <f>IF($C1993="","",IFERROR(IF(INDEX(Roster!$E:$E,MATCH($C1993,Roster!$B:$B,0))="","",INDEX(Roster!$E:$E,MATCH($C1993,Roster!$B:$B,0))&amp;""),"—"))</f>
        <v/>
      </c>
      <c r="H1993" s="25">
        <f>IF($C1993="","",IFERROR(IF(INDEX(Roster!$F:$F,MATCH($C1993,Roster!$B:$B,0))="","",INDEX(Roster!$F:$F,MATCH($C1993,Roster!$B:$B,0))&amp;""),"—"))</f>
        <v/>
      </c>
      <c r="I1993" s="25">
        <f>IF($C1993="","",IFERROR(IF(INDEX(Roster!$G:$G,MATCH($C1993,Roster!$B:$B,0))="","",INDEX(Roster!$G:$G,MATCH($C1993,Roster!$B:$B,0))&amp;""),"—"))</f>
        <v/>
      </c>
      <c r="J1993" s="25">
        <f>IF($C1993="","",IFERROR(IF(INDEX(Roster!$I:$I,MATCH($C1993,Roster!$B:$B,0))="","",INDEX(Roster!$I:$I,MATCH($C1993,Roster!$B:$B,0))&amp;""),"—"))</f>
        <v/>
      </c>
      <c r="K1993">
        <f>IF($C1993="","",IFERROR(IF(INDEX(Roster!$J:$J,MATCH($C1993,Roster!$B:$B,0))="","",INDEX(Roster!$J:$J,MATCH($C1993,Roster!$B:$B,0))&amp;""),"—"))</f>
        <v/>
      </c>
      <c r="L1993">
        <f>IF($C1993="","",IFERROR(IF(INDEX(Roster!$K:$K,MATCH($C1993,Roster!$B:$B,0))="","",INDEX(Roster!$K:$K,MATCH($C1993,Roster!$B:$B,0))&amp;""),"—"))</f>
        <v/>
      </c>
      <c r="M1993" s="27" t="n"/>
      <c r="N1993" s="27" t="n"/>
      <c r="O1993" s="25">
        <f>IF($C1993="","",IF($P1993="","—",IF($P1993="Valid (Pass)","Valid","Invalid")))</f>
        <v/>
      </c>
      <c r="P1993" s="27" t="n"/>
      <c r="Q1993" s="27" t="n"/>
      <c r="R1993" s="27" t="n"/>
      <c r="S1993" s="27" t="n"/>
      <c r="T1993" s="25">
        <f>IF($C1993="","",IF(OR(ISNUMBER(SEARCH("quick case",$P1993)),ISNUMBER(SEARCH("quick case",$Q1993))),"Yes","No"))</f>
        <v/>
      </c>
      <c r="U1993" s="25">
        <f>IF($O1993="Invalid",HYPERLINK("mailto:"&amp;$G1993&amp;";"&amp;$I1993&amp;"?cc="&amp;Lists!$E$2&amp;"&amp;subject="&amp;_xlfn.ENCODEURL("[INVALID] Quality audit monitoring completed for "&amp;UPPER($C1993))&amp;"&amp;body="&amp;_xlfn.ENCODEURL("Hi "&amp;$F1993&amp;","&amp;CHAR(10)&amp;"Good day!"&amp;CHAR(10)&amp;CHAR(10)&amp;"A quality monitoring audit has been completed for "&amp;$C1993&amp;"."&amp;CHAR(10)&amp;CHAR(10)&amp;"QUALITY AUDIT DETAILS"&amp;CHAR(10)&amp;"Agent Name: "&amp;$C1993&amp;" (EID "&amp;$D1993&amp;")"&amp;CHAR(10)&amp;"Audit Date: "&amp;TEXT($B1993,"yyyy-mm-dd")&amp;CHAR(10)&amp;"Team Leader: "&amp;$F1993&amp;CHAR(10)&amp;"Case Number: "&amp;$M1993&amp;CHAR(10)&amp;"Transaction ID: "&amp;$N1993&amp;CHAR(10)&amp;"Channel / LOB: "&amp;$K1993&amp;" / "&amp;$L1993&amp;CHAR(10)&amp;"Evaluator: "&amp;$S1993&amp;CHAR(10)&amp;CHAR(10)&amp;"INVALID QUALITY AUDIT DETAILS"&amp;CHAR(10)&amp;"Validation: Invalid"&amp;CHAR(10)&amp;"Invalid Reason: "&amp;$P1993&amp;CHAR(10)&amp;"Expected Resolution Code: "&amp;$Q1993&amp;CHAR(10)&amp;"Remarks: "&amp;LEFT($R1993,600)&amp;CHAR(10)&amp;CHAR(10)&amp;"This is an automated notification from HP Mainstream EQMS."),"✉ Open Email Draft"),"")</f>
        <v/>
      </c>
    </row>
    <row r="1994">
      <c r="A1994" s="25">
        <f>IF($C1994="","","AUD-2026-"&amp;TEXT(ROW()-1,"000000"))</f>
        <v/>
      </c>
      <c r="B1994" s="26" t="n"/>
      <c r="C1994" s="27" t="n"/>
      <c r="D1994" s="25">
        <f>IF($C1994="","",IFERROR(IF(INDEX(Roster!$A:$A,MATCH($C1994,Roster!$B:$B,0))="","",INDEX(Roster!$A:$A,MATCH($C1994,Roster!$B:$B,0))&amp;""),"—"))</f>
        <v/>
      </c>
      <c r="E1994" s="25">
        <f>IF($C1994="","",IFERROR(IF(INDEX(Roster!$C:$C,MATCH($C1994,Roster!$B:$B,0))="","",INDEX(Roster!$C:$C,MATCH($C1994,Roster!$B:$B,0))&amp;""),"—"))</f>
        <v/>
      </c>
      <c r="F1994" s="25">
        <f>IF($C1994="","",IFERROR(IF(INDEX(Roster!$D:$D,MATCH($C1994,Roster!$B:$B,0))="","",INDEX(Roster!$D:$D,MATCH($C1994,Roster!$B:$B,0))&amp;""),"—"))</f>
        <v/>
      </c>
      <c r="G1994" s="25">
        <f>IF($C1994="","",IFERROR(IF(INDEX(Roster!$E:$E,MATCH($C1994,Roster!$B:$B,0))="","",INDEX(Roster!$E:$E,MATCH($C1994,Roster!$B:$B,0))&amp;""),"—"))</f>
        <v/>
      </c>
      <c r="H1994" s="25">
        <f>IF($C1994="","",IFERROR(IF(INDEX(Roster!$F:$F,MATCH($C1994,Roster!$B:$B,0))="","",INDEX(Roster!$F:$F,MATCH($C1994,Roster!$B:$B,0))&amp;""),"—"))</f>
        <v/>
      </c>
      <c r="I1994" s="25">
        <f>IF($C1994="","",IFERROR(IF(INDEX(Roster!$G:$G,MATCH($C1994,Roster!$B:$B,0))="","",INDEX(Roster!$G:$G,MATCH($C1994,Roster!$B:$B,0))&amp;""),"—"))</f>
        <v/>
      </c>
      <c r="J1994" s="25">
        <f>IF($C1994="","",IFERROR(IF(INDEX(Roster!$I:$I,MATCH($C1994,Roster!$B:$B,0))="","",INDEX(Roster!$I:$I,MATCH($C1994,Roster!$B:$B,0))&amp;""),"—"))</f>
        <v/>
      </c>
      <c r="K1994">
        <f>IF($C1994="","",IFERROR(IF(INDEX(Roster!$J:$J,MATCH($C1994,Roster!$B:$B,0))="","",INDEX(Roster!$J:$J,MATCH($C1994,Roster!$B:$B,0))&amp;""),"—"))</f>
        <v/>
      </c>
      <c r="L1994">
        <f>IF($C1994="","",IFERROR(IF(INDEX(Roster!$K:$K,MATCH($C1994,Roster!$B:$B,0))="","",INDEX(Roster!$K:$K,MATCH($C1994,Roster!$B:$B,0))&amp;""),"—"))</f>
        <v/>
      </c>
      <c r="M1994" s="27" t="n"/>
      <c r="N1994" s="27" t="n"/>
      <c r="O1994" s="25">
        <f>IF($C1994="","",IF($P1994="","—",IF($P1994="Valid (Pass)","Valid","Invalid")))</f>
        <v/>
      </c>
      <c r="P1994" s="27" t="n"/>
      <c r="Q1994" s="27" t="n"/>
      <c r="R1994" s="27" t="n"/>
      <c r="S1994" s="27" t="n"/>
      <c r="T1994" s="25">
        <f>IF($C1994="","",IF(OR(ISNUMBER(SEARCH("quick case",$P1994)),ISNUMBER(SEARCH("quick case",$Q1994))),"Yes","No"))</f>
        <v/>
      </c>
      <c r="U1994" s="25">
        <f>IF($O1994="Invalid",HYPERLINK("mailto:"&amp;$G1994&amp;";"&amp;$I1994&amp;"?cc="&amp;Lists!$E$2&amp;"&amp;subject="&amp;_xlfn.ENCODEURL("[INVALID] Quality audit monitoring completed for "&amp;UPPER($C1994))&amp;"&amp;body="&amp;_xlfn.ENCODEURL("Hi "&amp;$F1994&amp;","&amp;CHAR(10)&amp;"Good day!"&amp;CHAR(10)&amp;CHAR(10)&amp;"A quality monitoring audit has been completed for "&amp;$C1994&amp;"."&amp;CHAR(10)&amp;CHAR(10)&amp;"QUALITY AUDIT DETAILS"&amp;CHAR(10)&amp;"Agent Name: "&amp;$C1994&amp;" (EID "&amp;$D1994&amp;")"&amp;CHAR(10)&amp;"Audit Date: "&amp;TEXT($B1994,"yyyy-mm-dd")&amp;CHAR(10)&amp;"Team Leader: "&amp;$F1994&amp;CHAR(10)&amp;"Case Number: "&amp;$M1994&amp;CHAR(10)&amp;"Transaction ID: "&amp;$N1994&amp;CHAR(10)&amp;"Channel / LOB: "&amp;$K1994&amp;" / "&amp;$L1994&amp;CHAR(10)&amp;"Evaluator: "&amp;$S1994&amp;CHAR(10)&amp;CHAR(10)&amp;"INVALID QUALITY AUDIT DETAILS"&amp;CHAR(10)&amp;"Validation: Invalid"&amp;CHAR(10)&amp;"Invalid Reason: "&amp;$P1994&amp;CHAR(10)&amp;"Expected Resolution Code: "&amp;$Q1994&amp;CHAR(10)&amp;"Remarks: "&amp;LEFT($R1994,600)&amp;CHAR(10)&amp;CHAR(10)&amp;"This is an automated notification from HP Mainstream EQMS."),"✉ Open Email Draft"),"")</f>
        <v/>
      </c>
    </row>
    <row r="1995">
      <c r="A1995" s="25">
        <f>IF($C1995="","","AUD-2026-"&amp;TEXT(ROW()-1,"000000"))</f>
        <v/>
      </c>
      <c r="B1995" s="26" t="n"/>
      <c r="C1995" s="27" t="n"/>
      <c r="D1995" s="25">
        <f>IF($C1995="","",IFERROR(IF(INDEX(Roster!$A:$A,MATCH($C1995,Roster!$B:$B,0))="","",INDEX(Roster!$A:$A,MATCH($C1995,Roster!$B:$B,0))&amp;""),"—"))</f>
        <v/>
      </c>
      <c r="E1995" s="25">
        <f>IF($C1995="","",IFERROR(IF(INDEX(Roster!$C:$C,MATCH($C1995,Roster!$B:$B,0))="","",INDEX(Roster!$C:$C,MATCH($C1995,Roster!$B:$B,0))&amp;""),"—"))</f>
        <v/>
      </c>
      <c r="F1995" s="25">
        <f>IF($C1995="","",IFERROR(IF(INDEX(Roster!$D:$D,MATCH($C1995,Roster!$B:$B,0))="","",INDEX(Roster!$D:$D,MATCH($C1995,Roster!$B:$B,0))&amp;""),"—"))</f>
        <v/>
      </c>
      <c r="G1995" s="25">
        <f>IF($C1995="","",IFERROR(IF(INDEX(Roster!$E:$E,MATCH($C1995,Roster!$B:$B,0))="","",INDEX(Roster!$E:$E,MATCH($C1995,Roster!$B:$B,0))&amp;""),"—"))</f>
        <v/>
      </c>
      <c r="H1995" s="25">
        <f>IF($C1995="","",IFERROR(IF(INDEX(Roster!$F:$F,MATCH($C1995,Roster!$B:$B,0))="","",INDEX(Roster!$F:$F,MATCH($C1995,Roster!$B:$B,0))&amp;""),"—"))</f>
        <v/>
      </c>
      <c r="I1995" s="25">
        <f>IF($C1995="","",IFERROR(IF(INDEX(Roster!$G:$G,MATCH($C1995,Roster!$B:$B,0))="","",INDEX(Roster!$G:$G,MATCH($C1995,Roster!$B:$B,0))&amp;""),"—"))</f>
        <v/>
      </c>
      <c r="J1995" s="25">
        <f>IF($C1995="","",IFERROR(IF(INDEX(Roster!$I:$I,MATCH($C1995,Roster!$B:$B,0))="","",INDEX(Roster!$I:$I,MATCH($C1995,Roster!$B:$B,0))&amp;""),"—"))</f>
        <v/>
      </c>
      <c r="K1995">
        <f>IF($C1995="","",IFERROR(IF(INDEX(Roster!$J:$J,MATCH($C1995,Roster!$B:$B,0))="","",INDEX(Roster!$J:$J,MATCH($C1995,Roster!$B:$B,0))&amp;""),"—"))</f>
        <v/>
      </c>
      <c r="L1995">
        <f>IF($C1995="","",IFERROR(IF(INDEX(Roster!$K:$K,MATCH($C1995,Roster!$B:$B,0))="","",INDEX(Roster!$K:$K,MATCH($C1995,Roster!$B:$B,0))&amp;""),"—"))</f>
        <v/>
      </c>
      <c r="M1995" s="27" t="n"/>
      <c r="N1995" s="27" t="n"/>
      <c r="O1995" s="25">
        <f>IF($C1995="","",IF($P1995="","—",IF($P1995="Valid (Pass)","Valid","Invalid")))</f>
        <v/>
      </c>
      <c r="P1995" s="27" t="n"/>
      <c r="Q1995" s="27" t="n"/>
      <c r="R1995" s="27" t="n"/>
      <c r="S1995" s="27" t="n"/>
      <c r="T1995" s="25">
        <f>IF($C1995="","",IF(OR(ISNUMBER(SEARCH("quick case",$P1995)),ISNUMBER(SEARCH("quick case",$Q1995))),"Yes","No"))</f>
        <v/>
      </c>
      <c r="U1995" s="25">
        <f>IF($O1995="Invalid",HYPERLINK("mailto:"&amp;$G1995&amp;";"&amp;$I1995&amp;"?cc="&amp;Lists!$E$2&amp;"&amp;subject="&amp;_xlfn.ENCODEURL("[INVALID] Quality audit monitoring completed for "&amp;UPPER($C1995))&amp;"&amp;body="&amp;_xlfn.ENCODEURL("Hi "&amp;$F1995&amp;","&amp;CHAR(10)&amp;"Good day!"&amp;CHAR(10)&amp;CHAR(10)&amp;"A quality monitoring audit has been completed for "&amp;$C1995&amp;"."&amp;CHAR(10)&amp;CHAR(10)&amp;"QUALITY AUDIT DETAILS"&amp;CHAR(10)&amp;"Agent Name: "&amp;$C1995&amp;" (EID "&amp;$D1995&amp;")"&amp;CHAR(10)&amp;"Audit Date: "&amp;TEXT($B1995,"yyyy-mm-dd")&amp;CHAR(10)&amp;"Team Leader: "&amp;$F1995&amp;CHAR(10)&amp;"Case Number: "&amp;$M1995&amp;CHAR(10)&amp;"Transaction ID: "&amp;$N1995&amp;CHAR(10)&amp;"Channel / LOB: "&amp;$K1995&amp;" / "&amp;$L1995&amp;CHAR(10)&amp;"Evaluator: "&amp;$S1995&amp;CHAR(10)&amp;CHAR(10)&amp;"INVALID QUALITY AUDIT DETAILS"&amp;CHAR(10)&amp;"Validation: Invalid"&amp;CHAR(10)&amp;"Invalid Reason: "&amp;$P1995&amp;CHAR(10)&amp;"Expected Resolution Code: "&amp;$Q1995&amp;CHAR(10)&amp;"Remarks: "&amp;LEFT($R1995,600)&amp;CHAR(10)&amp;CHAR(10)&amp;"This is an automated notification from HP Mainstream EQMS."),"✉ Open Email Draft"),"")</f>
        <v/>
      </c>
    </row>
    <row r="1996">
      <c r="A1996" s="25">
        <f>IF($C1996="","","AUD-2026-"&amp;TEXT(ROW()-1,"000000"))</f>
        <v/>
      </c>
      <c r="B1996" s="26" t="n"/>
      <c r="C1996" s="27" t="n"/>
      <c r="D1996" s="25">
        <f>IF($C1996="","",IFERROR(IF(INDEX(Roster!$A:$A,MATCH($C1996,Roster!$B:$B,0))="","",INDEX(Roster!$A:$A,MATCH($C1996,Roster!$B:$B,0))&amp;""),"—"))</f>
        <v/>
      </c>
      <c r="E1996" s="25">
        <f>IF($C1996="","",IFERROR(IF(INDEX(Roster!$C:$C,MATCH($C1996,Roster!$B:$B,0))="","",INDEX(Roster!$C:$C,MATCH($C1996,Roster!$B:$B,0))&amp;""),"—"))</f>
        <v/>
      </c>
      <c r="F1996" s="25">
        <f>IF($C1996="","",IFERROR(IF(INDEX(Roster!$D:$D,MATCH($C1996,Roster!$B:$B,0))="","",INDEX(Roster!$D:$D,MATCH($C1996,Roster!$B:$B,0))&amp;""),"—"))</f>
        <v/>
      </c>
      <c r="G1996" s="25">
        <f>IF($C1996="","",IFERROR(IF(INDEX(Roster!$E:$E,MATCH($C1996,Roster!$B:$B,0))="","",INDEX(Roster!$E:$E,MATCH($C1996,Roster!$B:$B,0))&amp;""),"—"))</f>
        <v/>
      </c>
      <c r="H1996" s="25">
        <f>IF($C1996="","",IFERROR(IF(INDEX(Roster!$F:$F,MATCH($C1996,Roster!$B:$B,0))="","",INDEX(Roster!$F:$F,MATCH($C1996,Roster!$B:$B,0))&amp;""),"—"))</f>
        <v/>
      </c>
      <c r="I1996" s="25">
        <f>IF($C1996="","",IFERROR(IF(INDEX(Roster!$G:$G,MATCH($C1996,Roster!$B:$B,0))="","",INDEX(Roster!$G:$G,MATCH($C1996,Roster!$B:$B,0))&amp;""),"—"))</f>
        <v/>
      </c>
      <c r="J1996" s="25">
        <f>IF($C1996="","",IFERROR(IF(INDEX(Roster!$I:$I,MATCH($C1996,Roster!$B:$B,0))="","",INDEX(Roster!$I:$I,MATCH($C1996,Roster!$B:$B,0))&amp;""),"—"))</f>
        <v/>
      </c>
      <c r="K1996">
        <f>IF($C1996="","",IFERROR(IF(INDEX(Roster!$J:$J,MATCH($C1996,Roster!$B:$B,0))="","",INDEX(Roster!$J:$J,MATCH($C1996,Roster!$B:$B,0))&amp;""),"—"))</f>
        <v/>
      </c>
      <c r="L1996">
        <f>IF($C1996="","",IFERROR(IF(INDEX(Roster!$K:$K,MATCH($C1996,Roster!$B:$B,0))="","",INDEX(Roster!$K:$K,MATCH($C1996,Roster!$B:$B,0))&amp;""),"—"))</f>
        <v/>
      </c>
      <c r="M1996" s="27" t="n"/>
      <c r="N1996" s="27" t="n"/>
      <c r="O1996" s="25">
        <f>IF($C1996="","",IF($P1996="","—",IF($P1996="Valid (Pass)","Valid","Invalid")))</f>
        <v/>
      </c>
      <c r="P1996" s="27" t="n"/>
      <c r="Q1996" s="27" t="n"/>
      <c r="R1996" s="27" t="n"/>
      <c r="S1996" s="27" t="n"/>
      <c r="T1996" s="25">
        <f>IF($C1996="","",IF(OR(ISNUMBER(SEARCH("quick case",$P1996)),ISNUMBER(SEARCH("quick case",$Q1996))),"Yes","No"))</f>
        <v/>
      </c>
      <c r="U1996" s="25">
        <f>IF($O1996="Invalid",HYPERLINK("mailto:"&amp;$G1996&amp;";"&amp;$I1996&amp;"?cc="&amp;Lists!$E$2&amp;"&amp;subject="&amp;_xlfn.ENCODEURL("[INVALID] Quality audit monitoring completed for "&amp;UPPER($C1996))&amp;"&amp;body="&amp;_xlfn.ENCODEURL("Hi "&amp;$F1996&amp;","&amp;CHAR(10)&amp;"Good day!"&amp;CHAR(10)&amp;CHAR(10)&amp;"A quality monitoring audit has been completed for "&amp;$C1996&amp;"."&amp;CHAR(10)&amp;CHAR(10)&amp;"QUALITY AUDIT DETAILS"&amp;CHAR(10)&amp;"Agent Name: "&amp;$C1996&amp;" (EID "&amp;$D1996&amp;")"&amp;CHAR(10)&amp;"Audit Date: "&amp;TEXT($B1996,"yyyy-mm-dd")&amp;CHAR(10)&amp;"Team Leader: "&amp;$F1996&amp;CHAR(10)&amp;"Case Number: "&amp;$M1996&amp;CHAR(10)&amp;"Transaction ID: "&amp;$N1996&amp;CHAR(10)&amp;"Channel / LOB: "&amp;$K1996&amp;" / "&amp;$L1996&amp;CHAR(10)&amp;"Evaluator: "&amp;$S1996&amp;CHAR(10)&amp;CHAR(10)&amp;"INVALID QUALITY AUDIT DETAILS"&amp;CHAR(10)&amp;"Validation: Invalid"&amp;CHAR(10)&amp;"Invalid Reason: "&amp;$P1996&amp;CHAR(10)&amp;"Expected Resolution Code: "&amp;$Q1996&amp;CHAR(10)&amp;"Remarks: "&amp;LEFT($R1996,600)&amp;CHAR(10)&amp;CHAR(10)&amp;"This is an automated notification from HP Mainstream EQMS."),"✉ Open Email Draft"),"")</f>
        <v/>
      </c>
    </row>
    <row r="1997">
      <c r="A1997" s="25">
        <f>IF($C1997="","","AUD-2026-"&amp;TEXT(ROW()-1,"000000"))</f>
        <v/>
      </c>
      <c r="B1997" s="26" t="n"/>
      <c r="C1997" s="27" t="n"/>
      <c r="D1997" s="25">
        <f>IF($C1997="","",IFERROR(IF(INDEX(Roster!$A:$A,MATCH($C1997,Roster!$B:$B,0))="","",INDEX(Roster!$A:$A,MATCH($C1997,Roster!$B:$B,0))&amp;""),"—"))</f>
        <v/>
      </c>
      <c r="E1997" s="25">
        <f>IF($C1997="","",IFERROR(IF(INDEX(Roster!$C:$C,MATCH($C1997,Roster!$B:$B,0))="","",INDEX(Roster!$C:$C,MATCH($C1997,Roster!$B:$B,0))&amp;""),"—"))</f>
        <v/>
      </c>
      <c r="F1997" s="25">
        <f>IF($C1997="","",IFERROR(IF(INDEX(Roster!$D:$D,MATCH($C1997,Roster!$B:$B,0))="","",INDEX(Roster!$D:$D,MATCH($C1997,Roster!$B:$B,0))&amp;""),"—"))</f>
        <v/>
      </c>
      <c r="G1997" s="25">
        <f>IF($C1997="","",IFERROR(IF(INDEX(Roster!$E:$E,MATCH($C1997,Roster!$B:$B,0))="","",INDEX(Roster!$E:$E,MATCH($C1997,Roster!$B:$B,0))&amp;""),"—"))</f>
        <v/>
      </c>
      <c r="H1997" s="25">
        <f>IF($C1997="","",IFERROR(IF(INDEX(Roster!$F:$F,MATCH($C1997,Roster!$B:$B,0))="","",INDEX(Roster!$F:$F,MATCH($C1997,Roster!$B:$B,0))&amp;""),"—"))</f>
        <v/>
      </c>
      <c r="I1997" s="25">
        <f>IF($C1997="","",IFERROR(IF(INDEX(Roster!$G:$G,MATCH($C1997,Roster!$B:$B,0))="","",INDEX(Roster!$G:$G,MATCH($C1997,Roster!$B:$B,0))&amp;""),"—"))</f>
        <v/>
      </c>
      <c r="J1997" s="25">
        <f>IF($C1997="","",IFERROR(IF(INDEX(Roster!$I:$I,MATCH($C1997,Roster!$B:$B,0))="","",INDEX(Roster!$I:$I,MATCH($C1997,Roster!$B:$B,0))&amp;""),"—"))</f>
        <v/>
      </c>
      <c r="K1997">
        <f>IF($C1997="","",IFERROR(IF(INDEX(Roster!$J:$J,MATCH($C1997,Roster!$B:$B,0))="","",INDEX(Roster!$J:$J,MATCH($C1997,Roster!$B:$B,0))&amp;""),"—"))</f>
        <v/>
      </c>
      <c r="L1997">
        <f>IF($C1997="","",IFERROR(IF(INDEX(Roster!$K:$K,MATCH($C1997,Roster!$B:$B,0))="","",INDEX(Roster!$K:$K,MATCH($C1997,Roster!$B:$B,0))&amp;""),"—"))</f>
        <v/>
      </c>
      <c r="M1997" s="27" t="n"/>
      <c r="N1997" s="27" t="n"/>
      <c r="O1997" s="25">
        <f>IF($C1997="","",IF($P1997="","—",IF($P1997="Valid (Pass)","Valid","Invalid")))</f>
        <v/>
      </c>
      <c r="P1997" s="27" t="n"/>
      <c r="Q1997" s="27" t="n"/>
      <c r="R1997" s="27" t="n"/>
      <c r="S1997" s="27" t="n"/>
      <c r="T1997" s="25">
        <f>IF($C1997="","",IF(OR(ISNUMBER(SEARCH("quick case",$P1997)),ISNUMBER(SEARCH("quick case",$Q1997))),"Yes","No"))</f>
        <v/>
      </c>
      <c r="U1997" s="25">
        <f>IF($O1997="Invalid",HYPERLINK("mailto:"&amp;$G1997&amp;";"&amp;$I1997&amp;"?cc="&amp;Lists!$E$2&amp;"&amp;subject="&amp;_xlfn.ENCODEURL("[INVALID] Quality audit monitoring completed for "&amp;UPPER($C1997))&amp;"&amp;body="&amp;_xlfn.ENCODEURL("Hi "&amp;$F1997&amp;","&amp;CHAR(10)&amp;"Good day!"&amp;CHAR(10)&amp;CHAR(10)&amp;"A quality monitoring audit has been completed for "&amp;$C1997&amp;"."&amp;CHAR(10)&amp;CHAR(10)&amp;"QUALITY AUDIT DETAILS"&amp;CHAR(10)&amp;"Agent Name: "&amp;$C1997&amp;" (EID "&amp;$D1997&amp;")"&amp;CHAR(10)&amp;"Audit Date: "&amp;TEXT($B1997,"yyyy-mm-dd")&amp;CHAR(10)&amp;"Team Leader: "&amp;$F1997&amp;CHAR(10)&amp;"Case Number: "&amp;$M1997&amp;CHAR(10)&amp;"Transaction ID: "&amp;$N1997&amp;CHAR(10)&amp;"Channel / LOB: "&amp;$K1997&amp;" / "&amp;$L1997&amp;CHAR(10)&amp;"Evaluator: "&amp;$S1997&amp;CHAR(10)&amp;CHAR(10)&amp;"INVALID QUALITY AUDIT DETAILS"&amp;CHAR(10)&amp;"Validation: Invalid"&amp;CHAR(10)&amp;"Invalid Reason: "&amp;$P1997&amp;CHAR(10)&amp;"Expected Resolution Code: "&amp;$Q1997&amp;CHAR(10)&amp;"Remarks: "&amp;LEFT($R1997,600)&amp;CHAR(10)&amp;CHAR(10)&amp;"This is an automated notification from HP Mainstream EQMS."),"✉ Open Email Draft"),"")</f>
        <v/>
      </c>
    </row>
    <row r="1998">
      <c r="A1998" s="25">
        <f>IF($C1998="","","AUD-2026-"&amp;TEXT(ROW()-1,"000000"))</f>
        <v/>
      </c>
      <c r="B1998" s="26" t="n"/>
      <c r="C1998" s="27" t="n"/>
      <c r="D1998" s="25">
        <f>IF($C1998="","",IFERROR(IF(INDEX(Roster!$A:$A,MATCH($C1998,Roster!$B:$B,0))="","",INDEX(Roster!$A:$A,MATCH($C1998,Roster!$B:$B,0))&amp;""),"—"))</f>
        <v/>
      </c>
      <c r="E1998" s="25">
        <f>IF($C1998="","",IFERROR(IF(INDEX(Roster!$C:$C,MATCH($C1998,Roster!$B:$B,0))="","",INDEX(Roster!$C:$C,MATCH($C1998,Roster!$B:$B,0))&amp;""),"—"))</f>
        <v/>
      </c>
      <c r="F1998" s="25">
        <f>IF($C1998="","",IFERROR(IF(INDEX(Roster!$D:$D,MATCH($C1998,Roster!$B:$B,0))="","",INDEX(Roster!$D:$D,MATCH($C1998,Roster!$B:$B,0))&amp;""),"—"))</f>
        <v/>
      </c>
      <c r="G1998" s="25">
        <f>IF($C1998="","",IFERROR(IF(INDEX(Roster!$E:$E,MATCH($C1998,Roster!$B:$B,0))="","",INDEX(Roster!$E:$E,MATCH($C1998,Roster!$B:$B,0))&amp;""),"—"))</f>
        <v/>
      </c>
      <c r="H1998" s="25">
        <f>IF($C1998="","",IFERROR(IF(INDEX(Roster!$F:$F,MATCH($C1998,Roster!$B:$B,0))="","",INDEX(Roster!$F:$F,MATCH($C1998,Roster!$B:$B,0))&amp;""),"—"))</f>
        <v/>
      </c>
      <c r="I1998" s="25">
        <f>IF($C1998="","",IFERROR(IF(INDEX(Roster!$G:$G,MATCH($C1998,Roster!$B:$B,0))="","",INDEX(Roster!$G:$G,MATCH($C1998,Roster!$B:$B,0))&amp;""),"—"))</f>
        <v/>
      </c>
      <c r="J1998" s="25">
        <f>IF($C1998="","",IFERROR(IF(INDEX(Roster!$I:$I,MATCH($C1998,Roster!$B:$B,0))="","",INDEX(Roster!$I:$I,MATCH($C1998,Roster!$B:$B,0))&amp;""),"—"))</f>
        <v/>
      </c>
      <c r="K1998">
        <f>IF($C1998="","",IFERROR(IF(INDEX(Roster!$J:$J,MATCH($C1998,Roster!$B:$B,0))="","",INDEX(Roster!$J:$J,MATCH($C1998,Roster!$B:$B,0))&amp;""),"—"))</f>
        <v/>
      </c>
      <c r="L1998">
        <f>IF($C1998="","",IFERROR(IF(INDEX(Roster!$K:$K,MATCH($C1998,Roster!$B:$B,0))="","",INDEX(Roster!$K:$K,MATCH($C1998,Roster!$B:$B,0))&amp;""),"—"))</f>
        <v/>
      </c>
      <c r="M1998" s="27" t="n"/>
      <c r="N1998" s="27" t="n"/>
      <c r="O1998" s="25">
        <f>IF($C1998="","",IF($P1998="","—",IF($P1998="Valid (Pass)","Valid","Invalid")))</f>
        <v/>
      </c>
      <c r="P1998" s="27" t="n"/>
      <c r="Q1998" s="27" t="n"/>
      <c r="R1998" s="27" t="n"/>
      <c r="S1998" s="27" t="n"/>
      <c r="T1998" s="25">
        <f>IF($C1998="","",IF(OR(ISNUMBER(SEARCH("quick case",$P1998)),ISNUMBER(SEARCH("quick case",$Q1998))),"Yes","No"))</f>
        <v/>
      </c>
      <c r="U1998" s="25">
        <f>IF($O1998="Invalid",HYPERLINK("mailto:"&amp;$G1998&amp;";"&amp;$I1998&amp;"?cc="&amp;Lists!$E$2&amp;"&amp;subject="&amp;_xlfn.ENCODEURL("[INVALID] Quality audit monitoring completed for "&amp;UPPER($C1998))&amp;"&amp;body="&amp;_xlfn.ENCODEURL("Hi "&amp;$F1998&amp;","&amp;CHAR(10)&amp;"Good day!"&amp;CHAR(10)&amp;CHAR(10)&amp;"A quality monitoring audit has been completed for "&amp;$C1998&amp;"."&amp;CHAR(10)&amp;CHAR(10)&amp;"QUALITY AUDIT DETAILS"&amp;CHAR(10)&amp;"Agent Name: "&amp;$C1998&amp;" (EID "&amp;$D1998&amp;")"&amp;CHAR(10)&amp;"Audit Date: "&amp;TEXT($B1998,"yyyy-mm-dd")&amp;CHAR(10)&amp;"Team Leader: "&amp;$F1998&amp;CHAR(10)&amp;"Case Number: "&amp;$M1998&amp;CHAR(10)&amp;"Transaction ID: "&amp;$N1998&amp;CHAR(10)&amp;"Channel / LOB: "&amp;$K1998&amp;" / "&amp;$L1998&amp;CHAR(10)&amp;"Evaluator: "&amp;$S1998&amp;CHAR(10)&amp;CHAR(10)&amp;"INVALID QUALITY AUDIT DETAILS"&amp;CHAR(10)&amp;"Validation: Invalid"&amp;CHAR(10)&amp;"Invalid Reason: "&amp;$P1998&amp;CHAR(10)&amp;"Expected Resolution Code: "&amp;$Q1998&amp;CHAR(10)&amp;"Remarks: "&amp;LEFT($R1998,600)&amp;CHAR(10)&amp;CHAR(10)&amp;"This is an automated notification from HP Mainstream EQMS."),"✉ Open Email Draft"),"")</f>
        <v/>
      </c>
    </row>
    <row r="1999">
      <c r="A1999" s="25">
        <f>IF($C1999="","","AUD-2026-"&amp;TEXT(ROW()-1,"000000"))</f>
        <v/>
      </c>
      <c r="B1999" s="26" t="n"/>
      <c r="C1999" s="27" t="n"/>
      <c r="D1999" s="25">
        <f>IF($C1999="","",IFERROR(IF(INDEX(Roster!$A:$A,MATCH($C1999,Roster!$B:$B,0))="","",INDEX(Roster!$A:$A,MATCH($C1999,Roster!$B:$B,0))&amp;""),"—"))</f>
        <v/>
      </c>
      <c r="E1999" s="25">
        <f>IF($C1999="","",IFERROR(IF(INDEX(Roster!$C:$C,MATCH($C1999,Roster!$B:$B,0))="","",INDEX(Roster!$C:$C,MATCH($C1999,Roster!$B:$B,0))&amp;""),"—"))</f>
        <v/>
      </c>
      <c r="F1999" s="25">
        <f>IF($C1999="","",IFERROR(IF(INDEX(Roster!$D:$D,MATCH($C1999,Roster!$B:$B,0))="","",INDEX(Roster!$D:$D,MATCH($C1999,Roster!$B:$B,0))&amp;""),"—"))</f>
        <v/>
      </c>
      <c r="G1999" s="25">
        <f>IF($C1999="","",IFERROR(IF(INDEX(Roster!$E:$E,MATCH($C1999,Roster!$B:$B,0))="","",INDEX(Roster!$E:$E,MATCH($C1999,Roster!$B:$B,0))&amp;""),"—"))</f>
        <v/>
      </c>
      <c r="H1999" s="25">
        <f>IF($C1999="","",IFERROR(IF(INDEX(Roster!$F:$F,MATCH($C1999,Roster!$B:$B,0))="","",INDEX(Roster!$F:$F,MATCH($C1999,Roster!$B:$B,0))&amp;""),"—"))</f>
        <v/>
      </c>
      <c r="I1999" s="25">
        <f>IF($C1999="","",IFERROR(IF(INDEX(Roster!$G:$G,MATCH($C1999,Roster!$B:$B,0))="","",INDEX(Roster!$G:$G,MATCH($C1999,Roster!$B:$B,0))&amp;""),"—"))</f>
        <v/>
      </c>
      <c r="J1999" s="25">
        <f>IF($C1999="","",IFERROR(IF(INDEX(Roster!$I:$I,MATCH($C1999,Roster!$B:$B,0))="","",INDEX(Roster!$I:$I,MATCH($C1999,Roster!$B:$B,0))&amp;""),"—"))</f>
        <v/>
      </c>
      <c r="K1999">
        <f>IF($C1999="","",IFERROR(IF(INDEX(Roster!$J:$J,MATCH($C1999,Roster!$B:$B,0))="","",INDEX(Roster!$J:$J,MATCH($C1999,Roster!$B:$B,0))&amp;""),"—"))</f>
        <v/>
      </c>
      <c r="L1999">
        <f>IF($C1999="","",IFERROR(IF(INDEX(Roster!$K:$K,MATCH($C1999,Roster!$B:$B,0))="","",INDEX(Roster!$K:$K,MATCH($C1999,Roster!$B:$B,0))&amp;""),"—"))</f>
        <v/>
      </c>
      <c r="M1999" s="27" t="n"/>
      <c r="N1999" s="27" t="n"/>
      <c r="O1999" s="25">
        <f>IF($C1999="","",IF($P1999="","—",IF($P1999="Valid (Pass)","Valid","Invalid")))</f>
        <v/>
      </c>
      <c r="P1999" s="27" t="n"/>
      <c r="Q1999" s="27" t="n"/>
      <c r="R1999" s="27" t="n"/>
      <c r="S1999" s="27" t="n"/>
      <c r="T1999" s="25">
        <f>IF($C1999="","",IF(OR(ISNUMBER(SEARCH("quick case",$P1999)),ISNUMBER(SEARCH("quick case",$Q1999))),"Yes","No"))</f>
        <v/>
      </c>
      <c r="U1999" s="25">
        <f>IF($O1999="Invalid",HYPERLINK("mailto:"&amp;$G1999&amp;";"&amp;$I1999&amp;"?cc="&amp;Lists!$E$2&amp;"&amp;subject="&amp;_xlfn.ENCODEURL("[INVALID] Quality audit monitoring completed for "&amp;UPPER($C1999))&amp;"&amp;body="&amp;_xlfn.ENCODEURL("Hi "&amp;$F1999&amp;","&amp;CHAR(10)&amp;"Good day!"&amp;CHAR(10)&amp;CHAR(10)&amp;"A quality monitoring audit has been completed for "&amp;$C1999&amp;"."&amp;CHAR(10)&amp;CHAR(10)&amp;"QUALITY AUDIT DETAILS"&amp;CHAR(10)&amp;"Agent Name: "&amp;$C1999&amp;" (EID "&amp;$D1999&amp;")"&amp;CHAR(10)&amp;"Audit Date: "&amp;TEXT($B1999,"yyyy-mm-dd")&amp;CHAR(10)&amp;"Team Leader: "&amp;$F1999&amp;CHAR(10)&amp;"Case Number: "&amp;$M1999&amp;CHAR(10)&amp;"Transaction ID: "&amp;$N1999&amp;CHAR(10)&amp;"Channel / LOB: "&amp;$K1999&amp;" / "&amp;$L1999&amp;CHAR(10)&amp;"Evaluator: "&amp;$S1999&amp;CHAR(10)&amp;CHAR(10)&amp;"INVALID QUALITY AUDIT DETAILS"&amp;CHAR(10)&amp;"Validation: Invalid"&amp;CHAR(10)&amp;"Invalid Reason: "&amp;$P1999&amp;CHAR(10)&amp;"Expected Resolution Code: "&amp;$Q1999&amp;CHAR(10)&amp;"Remarks: "&amp;LEFT($R1999,600)&amp;CHAR(10)&amp;CHAR(10)&amp;"This is an automated notification from HP Mainstream EQMS."),"✉ Open Email Draft"),"")</f>
        <v/>
      </c>
    </row>
    <row r="2000">
      <c r="A2000" s="25">
        <f>IF($C2000="","","AUD-2026-"&amp;TEXT(ROW()-1,"000000"))</f>
        <v/>
      </c>
      <c r="B2000" s="26" t="n"/>
      <c r="C2000" s="27" t="n"/>
      <c r="D2000" s="25">
        <f>IF($C2000="","",IFERROR(IF(INDEX(Roster!$A:$A,MATCH($C2000,Roster!$B:$B,0))="","",INDEX(Roster!$A:$A,MATCH($C2000,Roster!$B:$B,0))&amp;""),"—"))</f>
        <v/>
      </c>
      <c r="E2000" s="25">
        <f>IF($C2000="","",IFERROR(IF(INDEX(Roster!$C:$C,MATCH($C2000,Roster!$B:$B,0))="","",INDEX(Roster!$C:$C,MATCH($C2000,Roster!$B:$B,0))&amp;""),"—"))</f>
        <v/>
      </c>
      <c r="F2000" s="25">
        <f>IF($C2000="","",IFERROR(IF(INDEX(Roster!$D:$D,MATCH($C2000,Roster!$B:$B,0))="","",INDEX(Roster!$D:$D,MATCH($C2000,Roster!$B:$B,0))&amp;""),"—"))</f>
        <v/>
      </c>
      <c r="G2000" s="25">
        <f>IF($C2000="","",IFERROR(IF(INDEX(Roster!$E:$E,MATCH($C2000,Roster!$B:$B,0))="","",INDEX(Roster!$E:$E,MATCH($C2000,Roster!$B:$B,0))&amp;""),"—"))</f>
        <v/>
      </c>
      <c r="H2000" s="25">
        <f>IF($C2000="","",IFERROR(IF(INDEX(Roster!$F:$F,MATCH($C2000,Roster!$B:$B,0))="","",INDEX(Roster!$F:$F,MATCH($C2000,Roster!$B:$B,0))&amp;""),"—"))</f>
        <v/>
      </c>
      <c r="I2000" s="25">
        <f>IF($C2000="","",IFERROR(IF(INDEX(Roster!$G:$G,MATCH($C2000,Roster!$B:$B,0))="","",INDEX(Roster!$G:$G,MATCH($C2000,Roster!$B:$B,0))&amp;""),"—"))</f>
        <v/>
      </c>
      <c r="J2000" s="25">
        <f>IF($C2000="","",IFERROR(IF(INDEX(Roster!$I:$I,MATCH($C2000,Roster!$B:$B,0))="","",INDEX(Roster!$I:$I,MATCH($C2000,Roster!$B:$B,0))&amp;""),"—"))</f>
        <v/>
      </c>
      <c r="K2000">
        <f>IF($C2000="","",IFERROR(IF(INDEX(Roster!$J:$J,MATCH($C2000,Roster!$B:$B,0))="","",INDEX(Roster!$J:$J,MATCH($C2000,Roster!$B:$B,0))&amp;""),"—"))</f>
        <v/>
      </c>
      <c r="L2000">
        <f>IF($C2000="","",IFERROR(IF(INDEX(Roster!$K:$K,MATCH($C2000,Roster!$B:$B,0))="","",INDEX(Roster!$K:$K,MATCH($C2000,Roster!$B:$B,0))&amp;""),"—"))</f>
        <v/>
      </c>
      <c r="M2000" s="27" t="n"/>
      <c r="N2000" s="27" t="n"/>
      <c r="O2000" s="25">
        <f>IF($C2000="","",IF($P2000="","—",IF($P2000="Valid (Pass)","Valid","Invalid")))</f>
        <v/>
      </c>
      <c r="P2000" s="27" t="n"/>
      <c r="Q2000" s="27" t="n"/>
      <c r="R2000" s="27" t="n"/>
      <c r="S2000" s="27" t="n"/>
      <c r="T2000" s="25">
        <f>IF($C2000="","",IF(OR(ISNUMBER(SEARCH("quick case",$P2000)),ISNUMBER(SEARCH("quick case",$Q2000))),"Yes","No"))</f>
        <v/>
      </c>
      <c r="U2000" s="25">
        <f>IF($O2000="Invalid",HYPERLINK("mailto:"&amp;$G2000&amp;";"&amp;$I2000&amp;"?cc="&amp;Lists!$E$2&amp;"&amp;subject="&amp;_xlfn.ENCODEURL("[INVALID] Quality audit monitoring completed for "&amp;UPPER($C2000))&amp;"&amp;body="&amp;_xlfn.ENCODEURL("Hi "&amp;$F2000&amp;","&amp;CHAR(10)&amp;"Good day!"&amp;CHAR(10)&amp;CHAR(10)&amp;"A quality monitoring audit has been completed for "&amp;$C2000&amp;"."&amp;CHAR(10)&amp;CHAR(10)&amp;"QUALITY AUDIT DETAILS"&amp;CHAR(10)&amp;"Agent Name: "&amp;$C2000&amp;" (EID "&amp;$D2000&amp;")"&amp;CHAR(10)&amp;"Audit Date: "&amp;TEXT($B2000,"yyyy-mm-dd")&amp;CHAR(10)&amp;"Team Leader: "&amp;$F2000&amp;CHAR(10)&amp;"Case Number: "&amp;$M2000&amp;CHAR(10)&amp;"Transaction ID: "&amp;$N2000&amp;CHAR(10)&amp;"Channel / LOB: "&amp;$K2000&amp;" / "&amp;$L2000&amp;CHAR(10)&amp;"Evaluator: "&amp;$S2000&amp;CHAR(10)&amp;CHAR(10)&amp;"INVALID QUALITY AUDIT DETAILS"&amp;CHAR(10)&amp;"Validation: Invalid"&amp;CHAR(10)&amp;"Invalid Reason: "&amp;$P2000&amp;CHAR(10)&amp;"Expected Resolution Code: "&amp;$Q2000&amp;CHAR(10)&amp;"Remarks: "&amp;LEFT($R2000,600)&amp;CHAR(10)&amp;CHAR(10)&amp;"This is an automated notification from HP Mainstream EQMS."),"✉ Open Email Draft"),"")</f>
        <v/>
      </c>
    </row>
    <row r="2001">
      <c r="A2001" s="25">
        <f>IF($C2001="","","AUD-2026-"&amp;TEXT(ROW()-1,"000000"))</f>
        <v/>
      </c>
      <c r="B2001" s="26" t="n"/>
      <c r="C2001" s="27" t="n"/>
      <c r="D2001" s="25">
        <f>IF($C2001="","",IFERROR(IF(INDEX(Roster!$A:$A,MATCH($C2001,Roster!$B:$B,0))="","",INDEX(Roster!$A:$A,MATCH($C2001,Roster!$B:$B,0))&amp;""),"—"))</f>
        <v/>
      </c>
      <c r="E2001" s="25">
        <f>IF($C2001="","",IFERROR(IF(INDEX(Roster!$C:$C,MATCH($C2001,Roster!$B:$B,0))="","",INDEX(Roster!$C:$C,MATCH($C2001,Roster!$B:$B,0))&amp;""),"—"))</f>
        <v/>
      </c>
      <c r="F2001" s="25">
        <f>IF($C2001="","",IFERROR(IF(INDEX(Roster!$D:$D,MATCH($C2001,Roster!$B:$B,0))="","",INDEX(Roster!$D:$D,MATCH($C2001,Roster!$B:$B,0))&amp;""),"—"))</f>
        <v/>
      </c>
      <c r="G2001" s="25">
        <f>IF($C2001="","",IFERROR(IF(INDEX(Roster!$E:$E,MATCH($C2001,Roster!$B:$B,0))="","",INDEX(Roster!$E:$E,MATCH($C2001,Roster!$B:$B,0))&amp;""),"—"))</f>
        <v/>
      </c>
      <c r="H2001" s="25">
        <f>IF($C2001="","",IFERROR(IF(INDEX(Roster!$F:$F,MATCH($C2001,Roster!$B:$B,0))="","",INDEX(Roster!$F:$F,MATCH($C2001,Roster!$B:$B,0))&amp;""),"—"))</f>
        <v/>
      </c>
      <c r="I2001" s="25">
        <f>IF($C2001="","",IFERROR(IF(INDEX(Roster!$G:$G,MATCH($C2001,Roster!$B:$B,0))="","",INDEX(Roster!$G:$G,MATCH($C2001,Roster!$B:$B,0))&amp;""),"—"))</f>
        <v/>
      </c>
      <c r="J2001" s="25">
        <f>IF($C2001="","",IFERROR(IF(INDEX(Roster!$I:$I,MATCH($C2001,Roster!$B:$B,0))="","",INDEX(Roster!$I:$I,MATCH($C2001,Roster!$B:$B,0))&amp;""),"—"))</f>
        <v/>
      </c>
      <c r="K2001">
        <f>IF($C2001="","",IFERROR(IF(INDEX(Roster!$J:$J,MATCH($C2001,Roster!$B:$B,0))="","",INDEX(Roster!$J:$J,MATCH($C2001,Roster!$B:$B,0))&amp;""),"—"))</f>
        <v/>
      </c>
      <c r="L2001">
        <f>IF($C2001="","",IFERROR(IF(INDEX(Roster!$K:$K,MATCH($C2001,Roster!$B:$B,0))="","",INDEX(Roster!$K:$K,MATCH($C2001,Roster!$B:$B,0))&amp;""),"—"))</f>
        <v/>
      </c>
      <c r="M2001" s="27" t="n"/>
      <c r="N2001" s="27" t="n"/>
      <c r="O2001" s="25">
        <f>IF($C2001="","",IF($P2001="","—",IF($P2001="Valid (Pass)","Valid","Invalid")))</f>
        <v/>
      </c>
      <c r="P2001" s="27" t="n"/>
      <c r="Q2001" s="27" t="n"/>
      <c r="R2001" s="27" t="n"/>
      <c r="S2001" s="27" t="n"/>
      <c r="T2001" s="25">
        <f>IF($C2001="","",IF(OR(ISNUMBER(SEARCH("quick case",$P2001)),ISNUMBER(SEARCH("quick case",$Q2001))),"Yes","No"))</f>
        <v/>
      </c>
      <c r="U2001" s="25">
        <f>IF($O2001="Invalid",HYPERLINK("mailto:"&amp;$G2001&amp;";"&amp;$I2001&amp;"?cc="&amp;Lists!$E$2&amp;"&amp;subject="&amp;_xlfn.ENCODEURL("[INVALID] Quality audit monitoring completed for "&amp;UPPER($C2001))&amp;"&amp;body="&amp;_xlfn.ENCODEURL("Hi "&amp;$F2001&amp;","&amp;CHAR(10)&amp;"Good day!"&amp;CHAR(10)&amp;CHAR(10)&amp;"A quality monitoring audit has been completed for "&amp;$C2001&amp;"."&amp;CHAR(10)&amp;CHAR(10)&amp;"QUALITY AUDIT DETAILS"&amp;CHAR(10)&amp;"Agent Name: "&amp;$C2001&amp;" (EID "&amp;$D2001&amp;")"&amp;CHAR(10)&amp;"Audit Date: "&amp;TEXT($B2001,"yyyy-mm-dd")&amp;CHAR(10)&amp;"Team Leader: "&amp;$F2001&amp;CHAR(10)&amp;"Case Number: "&amp;$M2001&amp;CHAR(10)&amp;"Transaction ID: "&amp;$N2001&amp;CHAR(10)&amp;"Channel / LOB: "&amp;$K2001&amp;" / "&amp;$L2001&amp;CHAR(10)&amp;"Evaluator: "&amp;$S2001&amp;CHAR(10)&amp;CHAR(10)&amp;"INVALID QUALITY AUDIT DETAILS"&amp;CHAR(10)&amp;"Validation: Invalid"&amp;CHAR(10)&amp;"Invalid Reason: "&amp;$P2001&amp;CHAR(10)&amp;"Expected Resolution Code: "&amp;$Q2001&amp;CHAR(10)&amp;"Remarks: "&amp;LEFT($R2001,600)&amp;CHAR(10)&amp;CHAR(10)&amp;"This is an automated notification from HP Mainstream EQMS."),"✉ Open Email Draft"),"")</f>
        <v/>
      </c>
    </row>
  </sheetData>
  <sheetProtection selectLockedCells="0" selectUnlockedCells="0" sheet="1" objects="0" insertRows="1" insertHyperlinks="1" autoFilter="0" scenarios="0" formatColumns="0" deleteColumns="1" insertColumns="1" pivotTables="1" deleteRows="1" formatCells="0" formatRows="0" sort="0"/>
  <conditionalFormatting sqref="O2:O2001">
    <cfRule type="cellIs" priority="1" operator="equal" dxfId="0">
      <formula>"Invalid"</formula>
    </cfRule>
    <cfRule type="cellIs" priority="2" operator="equal" dxfId="1">
      <formula>"Valid"</formula>
    </cfRule>
  </conditionalFormatting>
  <conditionalFormatting sqref="M2:M2001">
    <cfRule type="expression" priority="3" dxfId="2">
      <formula>AND($M2&lt;&gt;"",COUNTIF($M$2:$M$2001,$M2)&gt;1)</formula>
    </cfRule>
  </conditionalFormatting>
  <conditionalFormatting sqref="B2:B2001">
    <cfRule type="expression" priority="4" dxfId="3">
      <formula>AND($C2&lt;&gt;"",$B2="")</formula>
    </cfRule>
  </conditionalFormatting>
  <dataValidations count="4">
    <dataValidation sqref="C2:C2001" showDropDown="0" showInputMessage="0" showErrorMessage="1" allowBlank="1" type="list">
      <formula1>=AgentNames</formula1>
    </dataValidation>
    <dataValidation sqref="P2:P2001" showDropDown="0" showInputMessage="0" showErrorMessage="1" allowBlank="1" type="list">
      <formula1>=ResOptions</formula1>
    </dataValidation>
    <dataValidation sqref="Q2:Q2001" showDropDown="0" showInputMessage="0" showErrorMessage="1" allowBlank="1" type="list">
      <formula1>=ExpOptions</formula1>
    </dataValidation>
    <dataValidation sqref="S2:S2001" showDropDown="0" showInputMessage="0" showErrorMessage="1" allowBlank="1" type="list">
      <formula1>=AuditorNames</formula1>
    </dataValidation>
  </dataValidation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tabColor rgb="000A7D0A"/>
    <outlinePr summaryBelow="1" summaryRight="1"/>
    <pageSetUpPr/>
  </sheetPr>
  <dimension ref="A1:K465"/>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36" customWidth="1" min="3" max="3"/>
    <col width="30" customWidth="1" min="4" max="4"/>
    <col width="36" customWidth="1" min="5" max="5"/>
    <col width="30" customWidth="1" min="6" max="6"/>
    <col width="36" customWidth="1" min="7" max="7"/>
    <col width="30" customWidth="1" min="8" max="8"/>
    <col width="36" customWidth="1" min="9" max="9"/>
    <col width="14" customWidth="1" min="10" max="10"/>
    <col width="16" customWidth="1" min="11" max="11"/>
  </cols>
  <sheetData>
    <row r="1">
      <c r="A1" t="inlineStr">
        <is>
          <t>EmployeeNumber</t>
        </is>
      </c>
      <c r="B1" t="inlineStr">
        <is>
          <t>FullName</t>
        </is>
      </c>
      <c r="C1" t="inlineStr">
        <is>
          <t>Email</t>
        </is>
      </c>
      <c r="D1" t="inlineStr">
        <is>
          <t>ImmediateSupervisor</t>
        </is>
      </c>
      <c r="E1" t="inlineStr">
        <is>
          <t>ImmediateSupervisorEmail</t>
        </is>
      </c>
      <c r="F1" t="inlineStr">
        <is>
          <t>Manager</t>
        </is>
      </c>
      <c r="G1" t="inlineStr">
        <is>
          <t>ManagerEmail</t>
        </is>
      </c>
      <c r="H1" t="inlineStr">
        <is>
          <t>SOM</t>
        </is>
      </c>
      <c r="I1" t="inlineStr">
        <is>
          <t>SOMEmail</t>
        </is>
      </c>
      <c r="J1" t="inlineStr">
        <is>
          <t>CHANNEL</t>
        </is>
      </c>
      <c r="K1" t="inlineStr">
        <is>
          <t>Internal LOB</t>
        </is>
      </c>
    </row>
    <row r="2">
      <c r="A2" t="inlineStr">
        <is>
          <t>101543581</t>
        </is>
      </c>
      <c r="B2" t="inlineStr">
        <is>
          <t>Abad, Roberto Jr Marquez</t>
        </is>
      </c>
      <c r="C2" t="inlineStr">
        <is>
          <t>roberto.abad1@concentrix.com</t>
        </is>
      </c>
      <c r="D2" t="inlineStr">
        <is>
          <t>Poon, Aris Sobrevilla</t>
        </is>
      </c>
      <c r="E2" t="inlineStr">
        <is>
          <t>aris.poon@concentrix.com</t>
        </is>
      </c>
      <c r="F2" t="inlineStr">
        <is>
          <t>Ramos, Ma Concepcion Sanchez</t>
        </is>
      </c>
      <c r="G2" t="inlineStr">
        <is>
          <t>maconcepcion.ramos@concentrix.com</t>
        </is>
      </c>
      <c r="H2" t="inlineStr">
        <is>
          <t>Ebuenga, Sheryll Avellaneda</t>
        </is>
      </c>
      <c r="I2" t="inlineStr">
        <is>
          <t>sheryll.ebuenga@concentrix.com</t>
        </is>
      </c>
      <c r="J2" t="inlineStr"/>
      <c r="K2" t="inlineStr">
        <is>
          <t>HP Mainstream</t>
        </is>
      </c>
    </row>
    <row r="3">
      <c r="A3" t="inlineStr">
        <is>
          <t>103577169</t>
        </is>
      </c>
      <c r="B3" t="inlineStr">
        <is>
          <t>Abadilla, Paul Justin Aleguiojo</t>
        </is>
      </c>
      <c r="C3" t="inlineStr">
        <is>
          <t>pauljustin.abadilla@concentrix.com</t>
        </is>
      </c>
      <c r="D3" t="inlineStr">
        <is>
          <t>Salafranca, Ryan Alejo</t>
        </is>
      </c>
      <c r="E3" t="inlineStr">
        <is>
          <t>ryan.salafranca@concentrix.com</t>
        </is>
      </c>
      <c r="F3" t="inlineStr">
        <is>
          <t>Arcena, Alberto Chua</t>
        </is>
      </c>
      <c r="G3" t="inlineStr">
        <is>
          <t>alberto.arcenajr@concentrix.com</t>
        </is>
      </c>
      <c r="H3" t="inlineStr">
        <is>
          <t>Ebuenga, Sheryll Avellaneda</t>
        </is>
      </c>
      <c r="I3" t="inlineStr">
        <is>
          <t>sheryll.ebuenga@concentrix.com</t>
        </is>
      </c>
      <c r="J3" t="inlineStr"/>
      <c r="K3" t="inlineStr">
        <is>
          <t>HP Mainstream</t>
        </is>
      </c>
    </row>
    <row r="4">
      <c r="A4" t="inlineStr">
        <is>
          <t>103119848</t>
        </is>
      </c>
      <c r="B4" t="inlineStr">
        <is>
          <t>Abella, Asianicole Cuambot</t>
        </is>
      </c>
      <c r="C4" t="inlineStr">
        <is>
          <t>asianicole.abella@concentrix.com</t>
        </is>
      </c>
      <c r="D4" t="inlineStr">
        <is>
          <t>Blas, Jesus Jr Trinidad</t>
        </is>
      </c>
      <c r="E4" t="inlineStr">
        <is>
          <t>jesus.blas@concentrix.com</t>
        </is>
      </c>
      <c r="F4" t="inlineStr">
        <is>
          <t>Arcena, Alberto Chua</t>
        </is>
      </c>
      <c r="G4" t="inlineStr">
        <is>
          <t>alberto.arcenajr@concentrix.com</t>
        </is>
      </c>
      <c r="H4" t="inlineStr">
        <is>
          <t>Ebuenga, Sheryll Avellaneda</t>
        </is>
      </c>
      <c r="I4" t="inlineStr">
        <is>
          <t>sheryll.ebuenga@concentrix.com</t>
        </is>
      </c>
      <c r="J4" t="inlineStr"/>
      <c r="K4" t="inlineStr">
        <is>
          <t>HP Mainstream</t>
        </is>
      </c>
    </row>
    <row r="5">
      <c r="A5" t="inlineStr">
        <is>
          <t>102286678</t>
        </is>
      </c>
      <c r="B5" t="inlineStr">
        <is>
          <t>Abella, Ma. Divina Centino</t>
        </is>
      </c>
      <c r="C5" t="inlineStr">
        <is>
          <t>madivina.abella@concentrix.com</t>
        </is>
      </c>
      <c r="D5" t="inlineStr">
        <is>
          <t>De Guzman, Gabriel Rodrigo</t>
        </is>
      </c>
      <c r="E5" t="inlineStr">
        <is>
          <t>gabriel.deguzman@concentrix.com</t>
        </is>
      </c>
      <c r="F5" t="inlineStr">
        <is>
          <t>Arcena, Alberto Chua</t>
        </is>
      </c>
      <c r="G5" t="inlineStr">
        <is>
          <t>alberto.arcenajr@concentrix.com</t>
        </is>
      </c>
      <c r="H5" t="inlineStr">
        <is>
          <t>Ebuenga, Sheryll Avellaneda</t>
        </is>
      </c>
      <c r="I5" t="inlineStr">
        <is>
          <t>sheryll.ebuenga@concentrix.com</t>
        </is>
      </c>
      <c r="J5" t="inlineStr"/>
      <c r="K5" t="inlineStr">
        <is>
          <t>HP Mainstream</t>
        </is>
      </c>
    </row>
    <row r="6">
      <c r="A6" t="inlineStr">
        <is>
          <t>101778847</t>
        </is>
      </c>
      <c r="B6" t="inlineStr">
        <is>
          <t>Abellar, Nina Grace Lincallo</t>
        </is>
      </c>
      <c r="C6" t="inlineStr">
        <is>
          <t>ninagrace.abellar@concentrix.com</t>
        </is>
      </c>
      <c r="D6" t="inlineStr">
        <is>
          <t>Adrales, Allen Rick Aguilar</t>
        </is>
      </c>
      <c r="E6" t="inlineStr">
        <is>
          <t>allenrick.adrales@concentrix.com</t>
        </is>
      </c>
      <c r="F6" t="inlineStr">
        <is>
          <t>Ramos, Ma Concepcion Sanchez</t>
        </is>
      </c>
      <c r="G6" t="inlineStr">
        <is>
          <t>maconcepcion.ramos@concentrix.com</t>
        </is>
      </c>
      <c r="H6" t="inlineStr">
        <is>
          <t>Ebuenga, Sheryll Avellaneda</t>
        </is>
      </c>
      <c r="I6" t="inlineStr">
        <is>
          <t>sheryll.ebuenga@concentrix.com</t>
        </is>
      </c>
      <c r="J6" t="inlineStr"/>
      <c r="K6" t="inlineStr">
        <is>
          <t>HP Mainstream</t>
        </is>
      </c>
    </row>
    <row r="7">
      <c r="A7" t="inlineStr">
        <is>
          <t>101719087</t>
        </is>
      </c>
      <c r="B7" t="inlineStr">
        <is>
          <t>Abogado, Maria Cristina Cambaliza</t>
        </is>
      </c>
      <c r="C7" t="inlineStr">
        <is>
          <t>mariacristina.cambaliza@concentrix.com</t>
        </is>
      </c>
      <c r="D7" t="inlineStr">
        <is>
          <t>Dela Fuente, Erick John Palomo</t>
        </is>
      </c>
      <c r="E7" t="inlineStr">
        <is>
          <t>erickjohn.delafuente@concentrix.com</t>
        </is>
      </c>
      <c r="F7" t="inlineStr">
        <is>
          <t>Dela Fuente, Erick John Palomo</t>
        </is>
      </c>
      <c r="G7" t="inlineStr">
        <is>
          <t>erickjohn.delafuente@concentrix.com</t>
        </is>
      </c>
      <c r="H7" t="inlineStr">
        <is>
          <t>Ebuenga, Sheryll Avellaneda</t>
        </is>
      </c>
      <c r="I7" t="inlineStr">
        <is>
          <t>sheryll.ebuenga@concentrix.com</t>
        </is>
      </c>
      <c r="J7" t="inlineStr"/>
      <c r="K7" t="inlineStr">
        <is>
          <t>HP Mainstream</t>
        </is>
      </c>
    </row>
    <row r="8">
      <c r="A8" t="inlineStr">
        <is>
          <t>103388575</t>
        </is>
      </c>
      <c r="B8" t="inlineStr">
        <is>
          <t>Aceron, Ma Jovel Salvador</t>
        </is>
      </c>
      <c r="C8" t="inlineStr">
        <is>
          <t>majovel.aceron@concentrix.com</t>
        </is>
      </c>
      <c r="D8" t="inlineStr">
        <is>
          <t>Hije, Bernadeth Rosales</t>
        </is>
      </c>
      <c r="E8" t="inlineStr">
        <is>
          <t>bernadeth.hije@concentrix.com</t>
        </is>
      </c>
      <c r="F8" t="inlineStr">
        <is>
          <t>Benedicto, Allen Kiel Lazarra</t>
        </is>
      </c>
      <c r="G8" t="inlineStr">
        <is>
          <t>allenkiel.benedicto@concentrix.com</t>
        </is>
      </c>
      <c r="H8" t="inlineStr">
        <is>
          <t>Ebuenga, Sheryll Avellaneda</t>
        </is>
      </c>
      <c r="I8" t="inlineStr">
        <is>
          <t>sheryll.ebuenga@concentrix.com</t>
        </is>
      </c>
      <c r="J8" t="inlineStr"/>
      <c r="K8" t="inlineStr">
        <is>
          <t>HP Mainstream</t>
        </is>
      </c>
    </row>
    <row r="9">
      <c r="A9" t="inlineStr">
        <is>
          <t>103577170</t>
        </is>
      </c>
      <c r="B9" t="inlineStr">
        <is>
          <t>Acuesta, Charles Gerry Stephen Logdat</t>
        </is>
      </c>
      <c r="C9" t="inlineStr">
        <is>
          <t>charlesgerrystephen.acuesta@concentrix.com</t>
        </is>
      </c>
      <c r="D9" t="inlineStr">
        <is>
          <t>Salafranca, Ryan Alejo</t>
        </is>
      </c>
      <c r="E9" t="inlineStr">
        <is>
          <t>ryan.salafranca@concentrix.com</t>
        </is>
      </c>
      <c r="F9" t="inlineStr">
        <is>
          <t>Arcena, Alberto Chua</t>
        </is>
      </c>
      <c r="G9" t="inlineStr">
        <is>
          <t>alberto.arcenajr@concentrix.com</t>
        </is>
      </c>
      <c r="H9" t="inlineStr">
        <is>
          <t>Ebuenga, Sheryll Avellaneda</t>
        </is>
      </c>
      <c r="I9" t="inlineStr">
        <is>
          <t>sheryll.ebuenga@concentrix.com</t>
        </is>
      </c>
      <c r="J9" t="inlineStr"/>
      <c r="K9" t="inlineStr">
        <is>
          <t>HP Mainstream</t>
        </is>
      </c>
    </row>
    <row r="10">
      <c r="A10" t="inlineStr">
        <is>
          <t>101483586</t>
        </is>
      </c>
      <c r="B10" t="inlineStr">
        <is>
          <t>Adrales, Allen Rick Aguilar</t>
        </is>
      </c>
      <c r="C10" t="inlineStr">
        <is>
          <t>allenrick.adrales@concentrix.com</t>
        </is>
      </c>
      <c r="D10" t="inlineStr">
        <is>
          <t>Ramos, Ma Concepcion Sanchez</t>
        </is>
      </c>
      <c r="E10" t="inlineStr">
        <is>
          <t>maconcepcion.ramos@concentrix.com</t>
        </is>
      </c>
      <c r="F10" t="inlineStr">
        <is>
          <t>Ramos, Ma Concepcion Sanchez</t>
        </is>
      </c>
      <c r="G10" t="inlineStr">
        <is>
          <t>maconcepcion.ramos@concentrix.com</t>
        </is>
      </c>
      <c r="H10" t="inlineStr">
        <is>
          <t>Ebuenga, Sheryll Avellaneda</t>
        </is>
      </c>
      <c r="I10" t="inlineStr">
        <is>
          <t>sheryll.ebuenga@concentrix.com</t>
        </is>
      </c>
      <c r="J10" t="inlineStr"/>
      <c r="K10" t="inlineStr">
        <is>
          <t>HP Mainstream</t>
        </is>
      </c>
    </row>
    <row r="11">
      <c r="A11" t="inlineStr">
        <is>
          <t>102254768</t>
        </is>
      </c>
      <c r="B11" t="inlineStr">
        <is>
          <t>Agcaoili, Angel Moraine Hinoo</t>
        </is>
      </c>
      <c r="C11" t="inlineStr">
        <is>
          <t>angelmoraine.agcaoili@concentrix.com</t>
        </is>
      </c>
      <c r="D11" t="inlineStr">
        <is>
          <t>Belandres, Nica Marie Ballola</t>
        </is>
      </c>
      <c r="E11" t="inlineStr">
        <is>
          <t>nicamarie.belandres@concentrix.com</t>
        </is>
      </c>
      <c r="F11" t="inlineStr">
        <is>
          <t>Benedicto, Allen Kiel Lazarra</t>
        </is>
      </c>
      <c r="G11" t="inlineStr">
        <is>
          <t>allenkiel.benedicto@concentrix.com</t>
        </is>
      </c>
      <c r="H11" t="inlineStr">
        <is>
          <t>Ebuenga, Sheryll Avellaneda</t>
        </is>
      </c>
      <c r="I11" t="inlineStr">
        <is>
          <t>sheryll.ebuenga@concentrix.com</t>
        </is>
      </c>
      <c r="J11" t="inlineStr"/>
      <c r="K11" t="inlineStr">
        <is>
          <t>HP Mainstream</t>
        </is>
      </c>
    </row>
    <row r="12">
      <c r="A12" t="inlineStr">
        <is>
          <t>101170831</t>
        </is>
      </c>
      <c r="B12" t="inlineStr">
        <is>
          <t>Aguas, Thea Tolentino</t>
        </is>
      </c>
      <c r="C12" t="inlineStr">
        <is>
          <t>thea.aguas@concentrix.com</t>
        </is>
      </c>
      <c r="D12" t="inlineStr">
        <is>
          <t>Panti, Alger Arellano</t>
        </is>
      </c>
      <c r="E12" t="inlineStr">
        <is>
          <t>alger.panti@concentrix.com</t>
        </is>
      </c>
      <c r="F12" t="inlineStr">
        <is>
          <t>Panti, Alger Arellano</t>
        </is>
      </c>
      <c r="G12" t="inlineStr">
        <is>
          <t>alger.panti@concentrix.com</t>
        </is>
      </c>
      <c r="H12" t="inlineStr">
        <is>
          <t>-</t>
        </is>
      </c>
      <c r="I12" t="inlineStr"/>
      <c r="J12" t="inlineStr"/>
      <c r="K12" t="inlineStr">
        <is>
          <t>HP Mainstream</t>
        </is>
      </c>
    </row>
    <row r="13">
      <c r="A13" t="inlineStr">
        <is>
          <t>103394144</t>
        </is>
      </c>
      <c r="B13" t="inlineStr">
        <is>
          <t>Aguto, Luke Matthew Mariano</t>
        </is>
      </c>
      <c r="C13" t="inlineStr">
        <is>
          <t>lukematthew.aguto@concentrix.com</t>
        </is>
      </c>
      <c r="D13" t="inlineStr">
        <is>
          <t>Andrecoso, April Melody Sunga</t>
        </is>
      </c>
      <c r="E13" t="inlineStr">
        <is>
          <t>aprilmelody.andrecoso@concentrix.com</t>
        </is>
      </c>
      <c r="F13" t="inlineStr">
        <is>
          <t>Benedicto, Allen Kiel Lazarra</t>
        </is>
      </c>
      <c r="G13" t="inlineStr">
        <is>
          <t>allenkiel.benedicto@concentrix.com</t>
        </is>
      </c>
      <c r="H13" t="inlineStr">
        <is>
          <t>Ebuenga, Sheryll Avellaneda</t>
        </is>
      </c>
      <c r="I13" t="inlineStr">
        <is>
          <t>sheryll.ebuenga@concentrix.com</t>
        </is>
      </c>
      <c r="J13" t="inlineStr"/>
      <c r="K13" t="inlineStr">
        <is>
          <t>HP Mainstream</t>
        </is>
      </c>
    </row>
    <row r="14">
      <c r="A14" t="inlineStr">
        <is>
          <t>101391267</t>
        </is>
      </c>
      <c r="B14" t="inlineStr">
        <is>
          <t>Ajose, Ferd Mark Cristobal</t>
        </is>
      </c>
      <c r="C14" t="inlineStr">
        <is>
          <t>ferdmark.ajose@concentrix.com</t>
        </is>
      </c>
      <c r="D14" t="inlineStr">
        <is>
          <t>Andrecoso, April Melody Sunga</t>
        </is>
      </c>
      <c r="E14" t="inlineStr">
        <is>
          <t>aprilmelody.andrecoso@concentrix.com</t>
        </is>
      </c>
      <c r="F14" t="inlineStr">
        <is>
          <t>Benedicto, Allen Kiel Lazarra</t>
        </is>
      </c>
      <c r="G14" t="inlineStr">
        <is>
          <t>allenkiel.benedicto@concentrix.com</t>
        </is>
      </c>
      <c r="H14" t="inlineStr">
        <is>
          <t>Ebuenga, Sheryll Avellaneda</t>
        </is>
      </c>
      <c r="I14" t="inlineStr">
        <is>
          <t>sheryll.ebuenga@concentrix.com</t>
        </is>
      </c>
      <c r="J14" t="inlineStr"/>
      <c r="K14" t="inlineStr">
        <is>
          <t>HP Mainstream</t>
        </is>
      </c>
    </row>
    <row r="15">
      <c r="A15" t="inlineStr">
        <is>
          <t>101541998</t>
        </is>
      </c>
      <c r="B15" t="inlineStr">
        <is>
          <t>Albios, Art Christopher Salinas</t>
        </is>
      </c>
      <c r="C15" t="inlineStr">
        <is>
          <t>artchristopher.albios1@concentrix.com</t>
        </is>
      </c>
      <c r="D15" t="inlineStr">
        <is>
          <t>Aluning, Alain-Angelo Cangco</t>
        </is>
      </c>
      <c r="E15" t="inlineStr">
        <is>
          <t>alain-angelo.aluning@concentrix.com</t>
        </is>
      </c>
      <c r="F15" t="inlineStr">
        <is>
          <t>Arcena, Alberto Chua</t>
        </is>
      </c>
      <c r="G15" t="inlineStr">
        <is>
          <t>alberto.arcenajr@concentrix.com</t>
        </is>
      </c>
      <c r="H15" t="inlineStr">
        <is>
          <t>Ebuenga, Sheryll Avellaneda</t>
        </is>
      </c>
      <c r="I15" t="inlineStr">
        <is>
          <t>sheryll.ebuenga@concentrix.com</t>
        </is>
      </c>
      <c r="J15" t="inlineStr"/>
      <c r="K15" t="inlineStr">
        <is>
          <t>HP Mainstream</t>
        </is>
      </c>
    </row>
    <row r="16">
      <c r="A16" t="inlineStr">
        <is>
          <t>103415795</t>
        </is>
      </c>
      <c r="B16" t="inlineStr">
        <is>
          <t>Alcancia, Jaycel Giron</t>
        </is>
      </c>
      <c r="C16" t="inlineStr">
        <is>
          <t>jaycel.alcancia@concentrix.com</t>
        </is>
      </c>
      <c r="D16" t="inlineStr">
        <is>
          <t>Aluning, Alain-Angelo Cangco</t>
        </is>
      </c>
      <c r="E16" t="inlineStr">
        <is>
          <t>alain-angelo.aluning@concentrix.com</t>
        </is>
      </c>
      <c r="F16" t="inlineStr">
        <is>
          <t>Arcena, Alberto Chua</t>
        </is>
      </c>
      <c r="G16" t="inlineStr">
        <is>
          <t>alberto.arcenajr@concentrix.com</t>
        </is>
      </c>
      <c r="H16" t="inlineStr">
        <is>
          <t>Ebuenga, Sheryll Avellaneda</t>
        </is>
      </c>
      <c r="I16" t="inlineStr">
        <is>
          <t>sheryll.ebuenga@concentrix.com</t>
        </is>
      </c>
      <c r="J16" t="inlineStr"/>
      <c r="K16" t="inlineStr">
        <is>
          <t>HP Mainstream</t>
        </is>
      </c>
    </row>
    <row r="17">
      <c r="A17" t="inlineStr">
        <is>
          <t>101637247</t>
        </is>
      </c>
      <c r="B17" t="inlineStr">
        <is>
          <t>Aldea, Arthel Jane Donasco</t>
        </is>
      </c>
      <c r="C17" t="inlineStr">
        <is>
          <t>artheljane.aldea@concentrix.com</t>
        </is>
      </c>
      <c r="D17" t="inlineStr">
        <is>
          <t>Vedia, Jerson Reyes</t>
        </is>
      </c>
      <c r="E17" t="inlineStr">
        <is>
          <t>jerson.vedia@concentrix.com</t>
        </is>
      </c>
      <c r="F17" t="inlineStr">
        <is>
          <t>Ramos, Ma Concepcion Sanchez</t>
        </is>
      </c>
      <c r="G17" t="inlineStr">
        <is>
          <t>maconcepcion.ramos@concentrix.com</t>
        </is>
      </c>
      <c r="H17" t="inlineStr">
        <is>
          <t>Ebuenga, Sheryll Avellaneda</t>
        </is>
      </c>
      <c r="I17" t="inlineStr">
        <is>
          <t>sheryll.ebuenga@concentrix.com</t>
        </is>
      </c>
      <c r="J17" t="inlineStr"/>
      <c r="K17" t="inlineStr">
        <is>
          <t>HP Mainstream</t>
        </is>
      </c>
    </row>
    <row r="18">
      <c r="A18" t="inlineStr">
        <is>
          <t>102126373</t>
        </is>
      </c>
      <c r="B18" t="inlineStr">
        <is>
          <t>Alestre, Jolina Balde</t>
        </is>
      </c>
      <c r="C18" t="inlineStr">
        <is>
          <t>jolina.alestre@concentrix.com</t>
        </is>
      </c>
      <c r="D18" t="inlineStr">
        <is>
          <t>Quinto, Bernadeth Mendoza</t>
        </is>
      </c>
      <c r="E18" t="inlineStr">
        <is>
          <t>bernadeth.quinto@concentrix.com</t>
        </is>
      </c>
      <c r="F18" t="inlineStr">
        <is>
          <t>Benedicto, Allen Kiel Lazarra</t>
        </is>
      </c>
      <c r="G18" t="inlineStr">
        <is>
          <t>allenkiel.benedicto@concentrix.com</t>
        </is>
      </c>
      <c r="H18" t="inlineStr">
        <is>
          <t>Ebuenga, Sheryll Avellaneda</t>
        </is>
      </c>
      <c r="I18" t="inlineStr">
        <is>
          <t>sheryll.ebuenga@concentrix.com</t>
        </is>
      </c>
      <c r="J18" t="inlineStr"/>
      <c r="K18" t="inlineStr">
        <is>
          <t>HP Mainstream</t>
        </is>
      </c>
    </row>
    <row r="19">
      <c r="A19" t="inlineStr">
        <is>
          <t>103518200</t>
        </is>
      </c>
      <c r="B19" t="inlineStr">
        <is>
          <t>Alinday, Shiela Marie Altabano</t>
        </is>
      </c>
      <c r="C19" t="inlineStr">
        <is>
          <t>shielamarie.alinday@concentrix.com</t>
        </is>
      </c>
      <c r="D19" t="inlineStr">
        <is>
          <t>Aluning, Alain-Angelo Cangco</t>
        </is>
      </c>
      <c r="E19" t="inlineStr">
        <is>
          <t>alain-angelo.aluning@concentrix.com</t>
        </is>
      </c>
      <c r="F19" t="inlineStr">
        <is>
          <t>Arcena, Alberto Chua</t>
        </is>
      </c>
      <c r="G19" t="inlineStr">
        <is>
          <t>alberto.arcenajr@concentrix.com</t>
        </is>
      </c>
      <c r="H19" t="inlineStr">
        <is>
          <t>Ebuenga, Sheryll Avellaneda</t>
        </is>
      </c>
      <c r="I19" t="inlineStr">
        <is>
          <t>sheryll.ebuenga@concentrix.com</t>
        </is>
      </c>
      <c r="J19" t="inlineStr"/>
      <c r="K19" t="inlineStr">
        <is>
          <t>HP Mainstream</t>
        </is>
      </c>
    </row>
    <row r="20">
      <c r="A20" t="inlineStr">
        <is>
          <t>101023718</t>
        </is>
      </c>
      <c r="B20" t="inlineStr">
        <is>
          <t>Almiñe, Jaypee Maniquiz</t>
        </is>
      </c>
      <c r="C20" t="inlineStr">
        <is>
          <t>jaypee.almine@concentrix.com</t>
        </is>
      </c>
      <c r="D20" t="inlineStr">
        <is>
          <t>Racha, Grace Eunice Divinagracia</t>
        </is>
      </c>
      <c r="E20" t="inlineStr">
        <is>
          <t>graceeunice.racha@concentrix.com</t>
        </is>
      </c>
      <c r="F20" t="inlineStr">
        <is>
          <t>Ramos, Ma Concepcion Sanchez</t>
        </is>
      </c>
      <c r="G20" t="inlineStr">
        <is>
          <t>maconcepcion.ramos@concentrix.com</t>
        </is>
      </c>
      <c r="H20" t="inlineStr">
        <is>
          <t>Ebuenga, Sheryll Avellaneda</t>
        </is>
      </c>
      <c r="I20" t="inlineStr">
        <is>
          <t>sheryll.ebuenga@concentrix.com</t>
        </is>
      </c>
      <c r="J20" t="inlineStr"/>
      <c r="K20" t="inlineStr">
        <is>
          <t>HP Mainstream</t>
        </is>
      </c>
    </row>
    <row r="21">
      <c r="A21" t="inlineStr">
        <is>
          <t>476138</t>
        </is>
      </c>
      <c r="B21" t="inlineStr">
        <is>
          <t>Almodiel, Shaileen Eduarte</t>
        </is>
      </c>
      <c r="C21" t="inlineStr">
        <is>
          <t>shaileen.almodiel@concentrix.com</t>
        </is>
      </c>
      <c r="D21" t="inlineStr">
        <is>
          <t>Chan, Caroline Cruce</t>
        </is>
      </c>
      <c r="E21" t="inlineStr">
        <is>
          <t>caroline.chan@concentrix.com</t>
        </is>
      </c>
      <c r="F21" t="inlineStr">
        <is>
          <t>Chan, Caroline Cruce</t>
        </is>
      </c>
      <c r="G21" t="inlineStr">
        <is>
          <t>caroline.chan@concentrix.com</t>
        </is>
      </c>
      <c r="H21" t="inlineStr">
        <is>
          <t>-</t>
        </is>
      </c>
      <c r="I21" t="inlineStr"/>
      <c r="J21" t="inlineStr"/>
      <c r="K21" t="inlineStr">
        <is>
          <t>HP Mainstream</t>
        </is>
      </c>
    </row>
    <row r="22">
      <c r="A22" t="inlineStr">
        <is>
          <t>454921</t>
        </is>
      </c>
      <c r="B22" t="inlineStr">
        <is>
          <t>Aluning, Alain-Angelo Cangco</t>
        </is>
      </c>
      <c r="C22" t="inlineStr">
        <is>
          <t>alain-angelo.aluning@concentrix.com</t>
        </is>
      </c>
      <c r="D22" t="inlineStr">
        <is>
          <t>Arcena, Alberto Chua</t>
        </is>
      </c>
      <c r="E22" t="inlineStr">
        <is>
          <t>alberto.arcenajr@concentrix.com</t>
        </is>
      </c>
      <c r="F22" t="inlineStr">
        <is>
          <t>Arcena, Alberto Chua</t>
        </is>
      </c>
      <c r="G22" t="inlineStr">
        <is>
          <t>alberto.arcenajr@concentrix.com</t>
        </is>
      </c>
      <c r="H22" t="inlineStr">
        <is>
          <t>Ebuenga, Sheryll Avellaneda</t>
        </is>
      </c>
      <c r="I22" t="inlineStr">
        <is>
          <t>sheryll.ebuenga@concentrix.com</t>
        </is>
      </c>
      <c r="J22" t="inlineStr"/>
      <c r="K22" t="inlineStr">
        <is>
          <t>HP Mainstream</t>
        </is>
      </c>
    </row>
    <row r="23">
      <c r="A23" t="inlineStr">
        <is>
          <t>102867414</t>
        </is>
      </c>
      <c r="B23" t="inlineStr">
        <is>
          <t>Alvarez, Wenerick Francisco</t>
        </is>
      </c>
      <c r="C23" t="inlineStr">
        <is>
          <t>wenerick.alvarez@concentrix.com</t>
        </is>
      </c>
      <c r="D23" t="inlineStr">
        <is>
          <t>Ferrer, Jasper Kenneth Labor</t>
        </is>
      </c>
      <c r="E23" t="inlineStr">
        <is>
          <t>jasperkenneth.ferrer@concentrix.com</t>
        </is>
      </c>
      <c r="F23" t="inlineStr">
        <is>
          <t>Nito, Reynaldo Tribol</t>
        </is>
      </c>
      <c r="G23" t="inlineStr">
        <is>
          <t>reynaldo.nito@concentrix.com</t>
        </is>
      </c>
      <c r="H23" t="inlineStr">
        <is>
          <t>Ebuenga, Sheryll Avellaneda</t>
        </is>
      </c>
      <c r="I23" t="inlineStr">
        <is>
          <t>sheryll.ebuenga@concentrix.com</t>
        </is>
      </c>
      <c r="J23" t="inlineStr"/>
      <c r="K23" t="inlineStr">
        <is>
          <t>HP Mainstream</t>
        </is>
      </c>
    </row>
    <row r="24">
      <c r="A24" t="inlineStr">
        <is>
          <t>103188741</t>
        </is>
      </c>
      <c r="B24" t="inlineStr">
        <is>
          <t>Amboyon, Julieta Mata</t>
        </is>
      </c>
      <c r="C24" t="inlineStr">
        <is>
          <t>julieta.amboyon@concentrix.com</t>
        </is>
      </c>
      <c r="D24" t="inlineStr">
        <is>
          <t>Vedia, Jerson Reyes</t>
        </is>
      </c>
      <c r="E24" t="inlineStr">
        <is>
          <t>jerson.vedia@concentrix.com</t>
        </is>
      </c>
      <c r="F24" t="inlineStr">
        <is>
          <t>Ramos, Ma Concepcion Sanchez</t>
        </is>
      </c>
      <c r="G24" t="inlineStr">
        <is>
          <t>maconcepcion.ramos@concentrix.com</t>
        </is>
      </c>
      <c r="H24" t="inlineStr">
        <is>
          <t>Ebuenga, Sheryll Avellaneda</t>
        </is>
      </c>
      <c r="I24" t="inlineStr">
        <is>
          <t>sheryll.ebuenga@concentrix.com</t>
        </is>
      </c>
      <c r="J24" t="inlineStr"/>
      <c r="K24" t="inlineStr">
        <is>
          <t>HP Mainstream</t>
        </is>
      </c>
    </row>
    <row r="25">
      <c r="A25" t="inlineStr">
        <is>
          <t>102113167</t>
        </is>
      </c>
      <c r="B25" t="inlineStr">
        <is>
          <t>Andrecoso, April Melody Sunga</t>
        </is>
      </c>
      <c r="C25" t="inlineStr">
        <is>
          <t>aprilmelody.andrecoso@concentrix.com</t>
        </is>
      </c>
      <c r="D25" t="inlineStr">
        <is>
          <t>Benedicto, Allen Kiel Lazarra</t>
        </is>
      </c>
      <c r="E25" t="inlineStr">
        <is>
          <t>allenkiel.benedicto@concentrix.com</t>
        </is>
      </c>
      <c r="F25" t="inlineStr">
        <is>
          <t>Benedicto, Allen Kiel Lazarra</t>
        </is>
      </c>
      <c r="G25" t="inlineStr">
        <is>
          <t>allenkiel.benedicto@concentrix.com</t>
        </is>
      </c>
      <c r="H25" t="inlineStr">
        <is>
          <t>Ebuenga, Sheryll Avellaneda</t>
        </is>
      </c>
      <c r="I25" t="inlineStr">
        <is>
          <t>sheryll.ebuenga@concentrix.com</t>
        </is>
      </c>
      <c r="J25" t="inlineStr"/>
      <c r="K25" t="inlineStr">
        <is>
          <t>HP Mainstream</t>
        </is>
      </c>
    </row>
    <row r="26">
      <c r="A26" t="inlineStr">
        <is>
          <t>102044380</t>
        </is>
      </c>
      <c r="B26" t="inlineStr">
        <is>
          <t>Anilado, Ellen Sunga</t>
        </is>
      </c>
      <c r="C26" t="inlineStr">
        <is>
          <t>ellen.anilado@concentrix.com</t>
        </is>
      </c>
      <c r="D26" t="inlineStr">
        <is>
          <t>Racha, Grace Eunice Divinagracia</t>
        </is>
      </c>
      <c r="E26" t="inlineStr">
        <is>
          <t>graceeunice.racha@concentrix.com</t>
        </is>
      </c>
      <c r="F26" t="inlineStr">
        <is>
          <t>Ramos, Ma Concepcion Sanchez</t>
        </is>
      </c>
      <c r="G26" t="inlineStr">
        <is>
          <t>maconcepcion.ramos@concentrix.com</t>
        </is>
      </c>
      <c r="H26" t="inlineStr">
        <is>
          <t>Ebuenga, Sheryll Avellaneda</t>
        </is>
      </c>
      <c r="I26" t="inlineStr">
        <is>
          <t>sheryll.ebuenga@concentrix.com</t>
        </is>
      </c>
      <c r="J26" t="inlineStr"/>
      <c r="K26" t="inlineStr">
        <is>
          <t>HP Mainstream</t>
        </is>
      </c>
    </row>
    <row r="27">
      <c r="A27" t="inlineStr">
        <is>
          <t>103577938</t>
        </is>
      </c>
      <c r="B27" t="inlineStr">
        <is>
          <t>Antonio, Jeric Camillan</t>
        </is>
      </c>
      <c r="C27" t="inlineStr">
        <is>
          <t>jeric.antonio1@concentrix.com</t>
        </is>
      </c>
      <c r="D27" t="inlineStr">
        <is>
          <t>Sheilick Anne Munoz</t>
        </is>
      </c>
      <c r="E27" t="inlineStr"/>
      <c r="F27" t="inlineStr">
        <is>
          <t>Pineda, Gerald Christian Bo</t>
        </is>
      </c>
      <c r="G27" t="inlineStr">
        <is>
          <t>geraldchristian.pineda@concentrix.com</t>
        </is>
      </c>
      <c r="H27" t="inlineStr">
        <is>
          <t>Medel, Lorelei Gabriel</t>
        </is>
      </c>
      <c r="I27" t="inlineStr">
        <is>
          <t>lorelei.gabriel@concentrix.com</t>
        </is>
      </c>
      <c r="J27" t="inlineStr"/>
      <c r="K27" t="inlineStr">
        <is>
          <t>HP Mainstream</t>
        </is>
      </c>
    </row>
    <row r="28">
      <c r="A28" t="inlineStr">
        <is>
          <t>103378689</t>
        </is>
      </c>
      <c r="B28" t="inlineStr">
        <is>
          <t>Antonio, Marvin Molo</t>
        </is>
      </c>
      <c r="C28" t="inlineStr">
        <is>
          <t>marvin.antonio@concentrix.com</t>
        </is>
      </c>
      <c r="D28" t="inlineStr">
        <is>
          <t>Ugalino, Jonadel Pineda</t>
        </is>
      </c>
      <c r="E28" t="inlineStr">
        <is>
          <t>jonadel.ugalino@concentrix.com</t>
        </is>
      </c>
      <c r="F28" t="inlineStr">
        <is>
          <t>Benedicto, Allen Kiel Lazarra</t>
        </is>
      </c>
      <c r="G28" t="inlineStr">
        <is>
          <t>allenkiel.benedicto@concentrix.com</t>
        </is>
      </c>
      <c r="H28" t="inlineStr">
        <is>
          <t>Ebuenga, Sheryll Avellaneda</t>
        </is>
      </c>
      <c r="I28" t="inlineStr">
        <is>
          <t>sheryll.ebuenga@concentrix.com</t>
        </is>
      </c>
      <c r="J28" t="inlineStr"/>
      <c r="K28" t="inlineStr">
        <is>
          <t>HP Mainstream</t>
        </is>
      </c>
    </row>
    <row r="29">
      <c r="A29" t="inlineStr">
        <is>
          <t>102160525</t>
        </is>
      </c>
      <c r="B29" t="inlineStr">
        <is>
          <t>Antonio, Patricia Ann Valdez</t>
        </is>
      </c>
      <c r="C29" t="inlineStr">
        <is>
          <t>patriciaann.antonio@concentrix.com</t>
        </is>
      </c>
      <c r="D29" t="inlineStr">
        <is>
          <t>Ferrer, Jasper Kenneth Labor</t>
        </is>
      </c>
      <c r="E29" t="inlineStr">
        <is>
          <t>jasperkenneth.ferrer@concentrix.com</t>
        </is>
      </c>
      <c r="F29" t="inlineStr">
        <is>
          <t>Nito, Reynaldo Tribol</t>
        </is>
      </c>
      <c r="G29" t="inlineStr">
        <is>
          <t>reynaldo.nito@concentrix.com</t>
        </is>
      </c>
      <c r="H29" t="inlineStr">
        <is>
          <t>Ebuenga, Sheryll Avellaneda</t>
        </is>
      </c>
      <c r="I29" t="inlineStr">
        <is>
          <t>sheryll.ebuenga@concentrix.com</t>
        </is>
      </c>
      <c r="J29" t="inlineStr"/>
      <c r="K29" t="inlineStr">
        <is>
          <t>HP Mainstream</t>
        </is>
      </c>
    </row>
    <row r="30">
      <c r="A30" t="inlineStr">
        <is>
          <t>103518201</t>
        </is>
      </c>
      <c r="B30" t="inlineStr">
        <is>
          <t>Apostol, Shaira Nmn</t>
        </is>
      </c>
      <c r="C30" t="inlineStr">
        <is>
          <t>shaira.apostol@concentrix.com</t>
        </is>
      </c>
      <c r="D30" t="inlineStr">
        <is>
          <t>Racha, Grace Eunice Divinagracia</t>
        </is>
      </c>
      <c r="E30" t="inlineStr">
        <is>
          <t>graceeunice.racha@concentrix.com</t>
        </is>
      </c>
      <c r="F30" t="inlineStr">
        <is>
          <t>Ramos, Ma Concepcion Sanchez</t>
        </is>
      </c>
      <c r="G30" t="inlineStr">
        <is>
          <t>maconcepcion.ramos@concentrix.com</t>
        </is>
      </c>
      <c r="H30" t="inlineStr">
        <is>
          <t>Ebuenga, Sheryll Avellaneda</t>
        </is>
      </c>
      <c r="I30" t="inlineStr">
        <is>
          <t>sheryll.ebuenga@concentrix.com</t>
        </is>
      </c>
      <c r="J30" t="inlineStr"/>
      <c r="K30" t="inlineStr">
        <is>
          <t>HP Mainstream</t>
        </is>
      </c>
    </row>
    <row r="31">
      <c r="A31" t="inlineStr">
        <is>
          <t>102047216</t>
        </is>
      </c>
      <c r="B31" t="inlineStr">
        <is>
          <t>Apuang, Cecilia Basilga</t>
        </is>
      </c>
      <c r="C31" t="inlineStr">
        <is>
          <t>cecilia.apuang@concentrix.com</t>
        </is>
      </c>
      <c r="D31" t="inlineStr">
        <is>
          <t>Poon, Aris Sobrevilla</t>
        </is>
      </c>
      <c r="E31" t="inlineStr">
        <is>
          <t>aris.poon@concentrix.com</t>
        </is>
      </c>
      <c r="F31" t="inlineStr">
        <is>
          <t>Ramos, Ma Concepcion Sanchez</t>
        </is>
      </c>
      <c r="G31" t="inlineStr">
        <is>
          <t>maconcepcion.ramos@concentrix.com</t>
        </is>
      </c>
      <c r="H31" t="inlineStr">
        <is>
          <t>Ebuenga, Sheryll Avellaneda</t>
        </is>
      </c>
      <c r="I31" t="inlineStr">
        <is>
          <t>sheryll.ebuenga@concentrix.com</t>
        </is>
      </c>
      <c r="J31" t="inlineStr"/>
      <c r="K31" t="inlineStr">
        <is>
          <t>HP Mainstream</t>
        </is>
      </c>
    </row>
    <row r="32">
      <c r="A32" t="inlineStr">
        <is>
          <t>101571853</t>
        </is>
      </c>
      <c r="B32" t="inlineStr">
        <is>
          <t>Aquino, Ricky Nido</t>
        </is>
      </c>
      <c r="C32" t="inlineStr">
        <is>
          <t>ricky.aquino@concentrix.com</t>
        </is>
      </c>
      <c r="D32" t="inlineStr">
        <is>
          <t>Luñiza, Jona Claveria</t>
        </is>
      </c>
      <c r="E32" t="inlineStr">
        <is>
          <t>jona.luniza@concentrix.com</t>
        </is>
      </c>
      <c r="F32" t="inlineStr">
        <is>
          <t>Arcena, Alberto Chua</t>
        </is>
      </c>
      <c r="G32" t="inlineStr">
        <is>
          <t>alberto.arcenajr@concentrix.com</t>
        </is>
      </c>
      <c r="H32" t="inlineStr">
        <is>
          <t>Ebuenga, Sheryll Avellaneda</t>
        </is>
      </c>
      <c r="I32" t="inlineStr">
        <is>
          <t>sheryll.ebuenga@concentrix.com</t>
        </is>
      </c>
      <c r="J32" t="inlineStr"/>
      <c r="K32" t="inlineStr">
        <is>
          <t>HP Mainstream</t>
        </is>
      </c>
    </row>
    <row r="33">
      <c r="A33" t="inlineStr">
        <is>
          <t>103189120</t>
        </is>
      </c>
      <c r="B33" t="inlineStr">
        <is>
          <t>Aramburo Jr., Romeo Marzan</t>
        </is>
      </c>
      <c r="C33" t="inlineStr">
        <is>
          <t>romeo.aramburojr@concentrix.com</t>
        </is>
      </c>
      <c r="D33" t="inlineStr">
        <is>
          <t>Vedia, Jerson Reyes</t>
        </is>
      </c>
      <c r="E33" t="inlineStr">
        <is>
          <t>jerson.vedia@concentrix.com</t>
        </is>
      </c>
      <c r="F33" t="inlineStr">
        <is>
          <t>Ramos, Ma Concepcion Sanchez</t>
        </is>
      </c>
      <c r="G33" t="inlineStr">
        <is>
          <t>maconcepcion.ramos@concentrix.com</t>
        </is>
      </c>
      <c r="H33" t="inlineStr">
        <is>
          <t>Ebuenga, Sheryll Avellaneda</t>
        </is>
      </c>
      <c r="I33" t="inlineStr">
        <is>
          <t>sheryll.ebuenga@concentrix.com</t>
        </is>
      </c>
      <c r="J33" t="inlineStr"/>
      <c r="K33" t="inlineStr">
        <is>
          <t>HP Mainstream</t>
        </is>
      </c>
    </row>
    <row r="34">
      <c r="A34" t="inlineStr">
        <is>
          <t>145670</t>
        </is>
      </c>
      <c r="B34" t="inlineStr">
        <is>
          <t>Arcena, Alberto Chua</t>
        </is>
      </c>
      <c r="C34" t="inlineStr">
        <is>
          <t>alberto.arcenajr@concentrix.com</t>
        </is>
      </c>
      <c r="D34" t="inlineStr">
        <is>
          <t>Sevilla, Audrey Marie Galindo</t>
        </is>
      </c>
      <c r="E34" t="inlineStr">
        <is>
          <t>audrey.galindosevilla@concentrix.com</t>
        </is>
      </c>
      <c r="F34" t="inlineStr">
        <is>
          <t>-</t>
        </is>
      </c>
      <c r="G34" t="inlineStr"/>
      <c r="H34" t="inlineStr">
        <is>
          <t>-</t>
        </is>
      </c>
      <c r="I34" t="inlineStr"/>
      <c r="J34" t="inlineStr"/>
      <c r="K34" t="inlineStr">
        <is>
          <t>HP Mainstream</t>
        </is>
      </c>
    </row>
    <row r="35">
      <c r="A35" t="inlineStr">
        <is>
          <t>101245258</t>
        </is>
      </c>
      <c r="B35" t="inlineStr">
        <is>
          <t>Aringo, Ivy Mical Jugo</t>
        </is>
      </c>
      <c r="C35" t="inlineStr">
        <is>
          <t>ivymical.aringo@concentrix.com</t>
        </is>
      </c>
      <c r="D35" t="inlineStr">
        <is>
          <t>Cinco, Neville Dimagiba</t>
        </is>
      </c>
      <c r="E35" t="inlineStr">
        <is>
          <t>neville.cinco@concentrix.com</t>
        </is>
      </c>
      <c r="F35" t="inlineStr">
        <is>
          <t>Christian Bajo</t>
        </is>
      </c>
      <c r="G35" t="inlineStr"/>
      <c r="H35" t="inlineStr">
        <is>
          <t>-</t>
        </is>
      </c>
      <c r="I35" t="inlineStr"/>
      <c r="J35" t="inlineStr"/>
      <c r="K35" t="inlineStr">
        <is>
          <t>HP Mainstream</t>
        </is>
      </c>
    </row>
    <row r="36">
      <c r="A36" t="inlineStr">
        <is>
          <t>103075166</t>
        </is>
      </c>
      <c r="B36" t="inlineStr">
        <is>
          <t>Arnado, Ricardo Agapito Guison</t>
        </is>
      </c>
      <c r="C36" t="inlineStr">
        <is>
          <t>ricardoagapito.arnado@concentrix.com</t>
        </is>
      </c>
      <c r="D36" t="inlineStr">
        <is>
          <t>Blas, Jesus Jr Trinidad</t>
        </is>
      </c>
      <c r="E36" t="inlineStr">
        <is>
          <t>jesus.blas@concentrix.com</t>
        </is>
      </c>
      <c r="F36" t="inlineStr">
        <is>
          <t>Arcena, Alberto Chua</t>
        </is>
      </c>
      <c r="G36" t="inlineStr">
        <is>
          <t>alberto.arcenajr@concentrix.com</t>
        </is>
      </c>
      <c r="H36" t="inlineStr">
        <is>
          <t>Ebuenga, Sheryll Avellaneda</t>
        </is>
      </c>
      <c r="I36" t="inlineStr">
        <is>
          <t>sheryll.ebuenga@concentrix.com</t>
        </is>
      </c>
      <c r="J36" t="inlineStr"/>
      <c r="K36" t="inlineStr">
        <is>
          <t>HP Mainstream</t>
        </is>
      </c>
    </row>
    <row r="37">
      <c r="A37" t="inlineStr">
        <is>
          <t>101495993</t>
        </is>
      </c>
      <c r="B37" t="inlineStr">
        <is>
          <t>Arriola, Kathrine Kae Advincula</t>
        </is>
      </c>
      <c r="C37" t="inlineStr">
        <is>
          <t>kathrinekae.arriola@concentrix.com</t>
        </is>
      </c>
      <c r="D37" t="inlineStr">
        <is>
          <t>Cinco, Neville Dimagiba</t>
        </is>
      </c>
      <c r="E37" t="inlineStr">
        <is>
          <t>neville.cinco@concentrix.com</t>
        </is>
      </c>
      <c r="F37" t="inlineStr">
        <is>
          <t>Christian Bajo</t>
        </is>
      </c>
      <c r="G37" t="inlineStr"/>
      <c r="H37" t="inlineStr">
        <is>
          <t>-</t>
        </is>
      </c>
      <c r="I37" t="inlineStr"/>
      <c r="J37" t="inlineStr"/>
      <c r="K37" t="inlineStr">
        <is>
          <t>HP Mainstream</t>
        </is>
      </c>
    </row>
    <row r="38">
      <c r="A38" t="inlineStr">
        <is>
          <t>102078871</t>
        </is>
      </c>
      <c r="B38" t="inlineStr">
        <is>
          <t>Arsenue, Melvin Rosario</t>
        </is>
      </c>
      <c r="C38" t="inlineStr">
        <is>
          <t>melvin.arsenue@concentrix.com</t>
        </is>
      </c>
      <c r="D38" t="inlineStr">
        <is>
          <t>Ugalino, Jonadel Pineda</t>
        </is>
      </c>
      <c r="E38" t="inlineStr">
        <is>
          <t>jonadel.ugalino@concentrix.com</t>
        </is>
      </c>
      <c r="F38" t="inlineStr">
        <is>
          <t>Benedicto, Allen Kiel Lazarra</t>
        </is>
      </c>
      <c r="G38" t="inlineStr">
        <is>
          <t>allenkiel.benedicto@concentrix.com</t>
        </is>
      </c>
      <c r="H38" t="inlineStr">
        <is>
          <t>Ebuenga, Sheryll Avellaneda</t>
        </is>
      </c>
      <c r="I38" t="inlineStr">
        <is>
          <t>sheryll.ebuenga@concentrix.com</t>
        </is>
      </c>
      <c r="J38" t="inlineStr"/>
      <c r="K38" t="inlineStr">
        <is>
          <t>HP Mainstream</t>
        </is>
      </c>
    </row>
    <row r="39">
      <c r="A39" t="inlineStr">
        <is>
          <t>101556076</t>
        </is>
      </c>
      <c r="B39" t="inlineStr">
        <is>
          <t>Asenas, Sheryll Mae Futalan</t>
        </is>
      </c>
      <c r="C39" t="inlineStr">
        <is>
          <t>sheryllmae.asenas@concentrix.com</t>
        </is>
      </c>
      <c r="D39" t="inlineStr">
        <is>
          <t>Galope, Danri Catacutan</t>
        </is>
      </c>
      <c r="E39" t="inlineStr">
        <is>
          <t>danri.galope@concentrix.com</t>
        </is>
      </c>
      <c r="F39" t="inlineStr">
        <is>
          <t>Ramos, Ma Concepcion Sanchez</t>
        </is>
      </c>
      <c r="G39" t="inlineStr">
        <is>
          <t>maconcepcion.ramos@concentrix.com</t>
        </is>
      </c>
      <c r="H39" t="inlineStr">
        <is>
          <t>Ebuenga, Sheryll Avellaneda</t>
        </is>
      </c>
      <c r="I39" t="inlineStr">
        <is>
          <t>sheryll.ebuenga@concentrix.com</t>
        </is>
      </c>
      <c r="J39" t="inlineStr"/>
      <c r="K39" t="inlineStr">
        <is>
          <t>HP Mainstream</t>
        </is>
      </c>
    </row>
    <row r="40">
      <c r="A40" t="inlineStr">
        <is>
          <t>102206550</t>
        </is>
      </c>
      <c r="B40" t="inlineStr">
        <is>
          <t>Awitan, Jane Arimado</t>
        </is>
      </c>
      <c r="C40" t="inlineStr">
        <is>
          <t>jane.awitan@concentrix.com</t>
        </is>
      </c>
      <c r="D40" t="inlineStr">
        <is>
          <t>Andrecoso, April Melody Sunga</t>
        </is>
      </c>
      <c r="E40" t="inlineStr">
        <is>
          <t>aprilmelody.andrecoso@concentrix.com</t>
        </is>
      </c>
      <c r="F40" t="inlineStr">
        <is>
          <t>Benedicto, Allen Kiel Lazarra</t>
        </is>
      </c>
      <c r="G40" t="inlineStr">
        <is>
          <t>allenkiel.benedicto@concentrix.com</t>
        </is>
      </c>
      <c r="H40" t="inlineStr">
        <is>
          <t>Ebuenga, Sheryll Avellaneda</t>
        </is>
      </c>
      <c r="I40" t="inlineStr">
        <is>
          <t>sheryll.ebuenga@concentrix.com</t>
        </is>
      </c>
      <c r="J40" t="inlineStr"/>
      <c r="K40" t="inlineStr">
        <is>
          <t>HP Mainstream</t>
        </is>
      </c>
    </row>
    <row r="41">
      <c r="A41" t="inlineStr">
        <is>
          <t>101291762</t>
        </is>
      </c>
      <c r="B41" t="inlineStr">
        <is>
          <t>Baguino, Ariel Forbes</t>
        </is>
      </c>
      <c r="C41" t="inlineStr">
        <is>
          <t>ariel.baguino@concentrix.com</t>
        </is>
      </c>
      <c r="D41" t="inlineStr">
        <is>
          <t>Racha, Grace Eunice Divinagracia</t>
        </is>
      </c>
      <c r="E41" t="inlineStr">
        <is>
          <t>graceeunice.racha@concentrix.com</t>
        </is>
      </c>
      <c r="F41" t="inlineStr">
        <is>
          <t>Ramos, Ma Concepcion Sanchez</t>
        </is>
      </c>
      <c r="G41" t="inlineStr">
        <is>
          <t>maconcepcion.ramos@concentrix.com</t>
        </is>
      </c>
      <c r="H41" t="inlineStr">
        <is>
          <t>Ebuenga, Sheryll Avellaneda</t>
        </is>
      </c>
      <c r="I41" t="inlineStr">
        <is>
          <t>sheryll.ebuenga@concentrix.com</t>
        </is>
      </c>
      <c r="J41" t="inlineStr"/>
      <c r="K41" t="inlineStr">
        <is>
          <t>HP Mainstream</t>
        </is>
      </c>
    </row>
    <row r="42">
      <c r="A42" t="inlineStr">
        <is>
          <t>101995840</t>
        </is>
      </c>
      <c r="B42" t="inlineStr">
        <is>
          <t>Balingit, Judy Ann Getubig</t>
        </is>
      </c>
      <c r="C42" t="inlineStr">
        <is>
          <t>judyann.balingit@concentrix.com</t>
        </is>
      </c>
      <c r="D42" t="inlineStr">
        <is>
          <t>Sernal, Rachelle Ibiernas</t>
        </is>
      </c>
      <c r="E42" t="inlineStr">
        <is>
          <t>rachelle.sernal@concentrix.com</t>
        </is>
      </c>
      <c r="F42" t="inlineStr">
        <is>
          <t>Benedicto, Allen Kiel Lazarra</t>
        </is>
      </c>
      <c r="G42" t="inlineStr">
        <is>
          <t>allenkiel.benedicto@concentrix.com</t>
        </is>
      </c>
      <c r="H42" t="inlineStr">
        <is>
          <t>Ebuenga, Sheryll Avellaneda</t>
        </is>
      </c>
      <c r="I42" t="inlineStr">
        <is>
          <t>sheryll.ebuenga@concentrix.com</t>
        </is>
      </c>
      <c r="J42" t="inlineStr"/>
      <c r="K42" t="inlineStr">
        <is>
          <t>HP Mainstream</t>
        </is>
      </c>
    </row>
    <row r="43">
      <c r="A43" t="inlineStr">
        <is>
          <t>101736462</t>
        </is>
      </c>
      <c r="B43" t="inlineStr">
        <is>
          <t>Balles, Reymund Esquivel</t>
        </is>
      </c>
      <c r="C43" t="inlineStr">
        <is>
          <t>reymund.balles@concentrix.com</t>
        </is>
      </c>
      <c r="D43" t="inlineStr">
        <is>
          <t>Aluning, Alain-Angelo Cangco</t>
        </is>
      </c>
      <c r="E43" t="inlineStr">
        <is>
          <t>alain-angelo.aluning@concentrix.com</t>
        </is>
      </c>
      <c r="F43" t="inlineStr">
        <is>
          <t>Arcena, Alberto Chua</t>
        </is>
      </c>
      <c r="G43" t="inlineStr">
        <is>
          <t>alberto.arcenajr@concentrix.com</t>
        </is>
      </c>
      <c r="H43" t="inlineStr">
        <is>
          <t>Ebuenga, Sheryll Avellaneda</t>
        </is>
      </c>
      <c r="I43" t="inlineStr">
        <is>
          <t>sheryll.ebuenga@concentrix.com</t>
        </is>
      </c>
      <c r="J43" t="inlineStr"/>
      <c r="K43" t="inlineStr">
        <is>
          <t>HP Mainstream</t>
        </is>
      </c>
    </row>
    <row r="44">
      <c r="A44" t="inlineStr">
        <is>
          <t>101768637</t>
        </is>
      </c>
      <c r="B44" t="inlineStr">
        <is>
          <t>Baloco, Paula Bianca Villarante</t>
        </is>
      </c>
      <c r="C44" t="inlineStr">
        <is>
          <t>paulabianca.baloco@concentrix.com</t>
        </is>
      </c>
      <c r="D44" t="inlineStr">
        <is>
          <t>Ferrer, Jasper Kenneth Labor</t>
        </is>
      </c>
      <c r="E44" t="inlineStr">
        <is>
          <t>jasperkenneth.ferrer@concentrix.com</t>
        </is>
      </c>
      <c r="F44" t="inlineStr">
        <is>
          <t>Nito, Reynaldo Tribol</t>
        </is>
      </c>
      <c r="G44" t="inlineStr">
        <is>
          <t>reynaldo.nito@concentrix.com</t>
        </is>
      </c>
      <c r="H44" t="inlineStr">
        <is>
          <t>Ebuenga, Sheryll Avellaneda</t>
        </is>
      </c>
      <c r="I44" t="inlineStr">
        <is>
          <t>sheryll.ebuenga@concentrix.com</t>
        </is>
      </c>
      <c r="J44" t="inlineStr"/>
      <c r="K44" t="inlineStr">
        <is>
          <t>HP Mainstream</t>
        </is>
      </c>
    </row>
    <row r="45">
      <c r="A45" t="inlineStr">
        <is>
          <t>102165562</t>
        </is>
      </c>
      <c r="B45" t="inlineStr">
        <is>
          <t>Baltazar, Ryan Casey Lansangan</t>
        </is>
      </c>
      <c r="C45" t="inlineStr">
        <is>
          <t>ryancasey.baltazar@concentrix.com</t>
        </is>
      </c>
      <c r="D45" t="inlineStr">
        <is>
          <t>Ferrer, Jasper Kenneth Labor</t>
        </is>
      </c>
      <c r="E45" t="inlineStr">
        <is>
          <t>jasperkenneth.ferrer@concentrix.com</t>
        </is>
      </c>
      <c r="F45" t="inlineStr">
        <is>
          <t>Nito, Reynaldo Tribol</t>
        </is>
      </c>
      <c r="G45" t="inlineStr">
        <is>
          <t>reynaldo.nito@concentrix.com</t>
        </is>
      </c>
      <c r="H45" t="inlineStr">
        <is>
          <t>Ebuenga, Sheryll Avellaneda</t>
        </is>
      </c>
      <c r="I45" t="inlineStr">
        <is>
          <t>sheryll.ebuenga@concentrix.com</t>
        </is>
      </c>
      <c r="J45" t="inlineStr"/>
      <c r="K45" t="inlineStr">
        <is>
          <t>HP Mainstream</t>
        </is>
      </c>
    </row>
    <row r="46">
      <c r="A46" t="inlineStr">
        <is>
          <t>102083797</t>
        </is>
      </c>
      <c r="B46" t="inlineStr">
        <is>
          <t>Basbas, Lea Mai Lado</t>
        </is>
      </c>
      <c r="C46" t="inlineStr">
        <is>
          <t>leamai.basbas@concentrix.com</t>
        </is>
      </c>
      <c r="D46" t="inlineStr">
        <is>
          <t>De Guzman, Gabriel Rodrigo</t>
        </is>
      </c>
      <c r="E46" t="inlineStr">
        <is>
          <t>gabriel.deguzman@concentrix.com</t>
        </is>
      </c>
      <c r="F46" t="inlineStr">
        <is>
          <t>Arcena, Alberto Chua</t>
        </is>
      </c>
      <c r="G46" t="inlineStr">
        <is>
          <t>alberto.arcenajr@concentrix.com</t>
        </is>
      </c>
      <c r="H46" t="inlineStr">
        <is>
          <t>Ebuenga, Sheryll Avellaneda</t>
        </is>
      </c>
      <c r="I46" t="inlineStr">
        <is>
          <t>sheryll.ebuenga@concentrix.com</t>
        </is>
      </c>
      <c r="J46" t="inlineStr"/>
      <c r="K46" t="inlineStr">
        <is>
          <t>HP Mainstream</t>
        </is>
      </c>
    </row>
    <row r="47">
      <c r="A47" t="inlineStr">
        <is>
          <t>101604136</t>
        </is>
      </c>
      <c r="B47" t="inlineStr">
        <is>
          <t>Batimana, Randy Pardilla</t>
        </is>
      </c>
      <c r="C47" t="inlineStr">
        <is>
          <t>randy.batimana@concentrix.com</t>
        </is>
      </c>
      <c r="D47" t="inlineStr">
        <is>
          <t>Ong, Lesley Ann Bayotas</t>
        </is>
      </c>
      <c r="E47" t="inlineStr">
        <is>
          <t>lesleyann.ong@concentrix.com</t>
        </is>
      </c>
      <c r="F47" t="inlineStr">
        <is>
          <t>Ramos, Ma Concepcion Sanchez</t>
        </is>
      </c>
      <c r="G47" t="inlineStr">
        <is>
          <t>maconcepcion.ramos@concentrix.com</t>
        </is>
      </c>
      <c r="H47" t="inlineStr">
        <is>
          <t>Ebuenga, Sheryll Avellaneda</t>
        </is>
      </c>
      <c r="I47" t="inlineStr">
        <is>
          <t>sheryll.ebuenga@concentrix.com</t>
        </is>
      </c>
      <c r="J47" t="inlineStr"/>
      <c r="K47" t="inlineStr">
        <is>
          <t>HP Mainstream</t>
        </is>
      </c>
    </row>
    <row r="48">
      <c r="A48" t="inlineStr">
        <is>
          <t>101367239</t>
        </is>
      </c>
      <c r="B48" t="inlineStr">
        <is>
          <t>Bautista, Allan Joseph Sanchez</t>
        </is>
      </c>
      <c r="C48" t="inlineStr">
        <is>
          <t>allanjoseph.bautista@concentrix.com</t>
        </is>
      </c>
      <c r="D48" t="inlineStr">
        <is>
          <t>De Guzman, Gabriel Rodrigo</t>
        </is>
      </c>
      <c r="E48" t="inlineStr">
        <is>
          <t>gabriel.deguzman@concentrix.com</t>
        </is>
      </c>
      <c r="F48" t="inlineStr">
        <is>
          <t>Arcena, Alberto Chua</t>
        </is>
      </c>
      <c r="G48" t="inlineStr">
        <is>
          <t>alberto.arcenajr@concentrix.com</t>
        </is>
      </c>
      <c r="H48" t="inlineStr">
        <is>
          <t>Ebuenga, Sheryll Avellaneda</t>
        </is>
      </c>
      <c r="I48" t="inlineStr">
        <is>
          <t>sheryll.ebuenga@concentrix.com</t>
        </is>
      </c>
      <c r="J48" t="inlineStr"/>
      <c r="K48" t="inlineStr">
        <is>
          <t>HP Mainstream</t>
        </is>
      </c>
    </row>
    <row r="49">
      <c r="A49" t="inlineStr">
        <is>
          <t>102867415</t>
        </is>
      </c>
      <c r="B49" t="inlineStr">
        <is>
          <t>Bautista, Arvie Aggabao</t>
        </is>
      </c>
      <c r="C49" t="inlineStr">
        <is>
          <t>arvie.aggabao@concentrix.com</t>
        </is>
      </c>
      <c r="D49" t="inlineStr">
        <is>
          <t>Racha, Grace Eunice Divinagracia</t>
        </is>
      </c>
      <c r="E49" t="inlineStr">
        <is>
          <t>graceeunice.racha@concentrix.com</t>
        </is>
      </c>
      <c r="F49" t="inlineStr">
        <is>
          <t>Ramos, Ma Concepcion Sanchez</t>
        </is>
      </c>
      <c r="G49" t="inlineStr">
        <is>
          <t>maconcepcion.ramos@concentrix.com</t>
        </is>
      </c>
      <c r="H49" t="inlineStr">
        <is>
          <t>Ebuenga, Sheryll Avellaneda</t>
        </is>
      </c>
      <c r="I49" t="inlineStr">
        <is>
          <t>sheryll.ebuenga@concentrix.com</t>
        </is>
      </c>
      <c r="J49" t="inlineStr"/>
      <c r="K49" t="inlineStr">
        <is>
          <t>HP Mainstream</t>
        </is>
      </c>
    </row>
    <row r="50">
      <c r="A50" t="inlineStr">
        <is>
          <t>100903844</t>
        </is>
      </c>
      <c r="B50" t="inlineStr">
        <is>
          <t>Baya, Cindy Diaz</t>
        </is>
      </c>
      <c r="C50" t="inlineStr">
        <is>
          <t>cindy.baya@concentrix.com</t>
        </is>
      </c>
      <c r="D50" t="inlineStr">
        <is>
          <t>Galope, Danri Catacutan</t>
        </is>
      </c>
      <c r="E50" t="inlineStr">
        <is>
          <t>danri.galope@concentrix.com</t>
        </is>
      </c>
      <c r="F50" t="inlineStr">
        <is>
          <t>Ramos, Ma Concepcion Sanchez</t>
        </is>
      </c>
      <c r="G50" t="inlineStr">
        <is>
          <t>maconcepcion.ramos@concentrix.com</t>
        </is>
      </c>
      <c r="H50" t="inlineStr">
        <is>
          <t>Ebuenga, Sheryll Avellaneda</t>
        </is>
      </c>
      <c r="I50" t="inlineStr">
        <is>
          <t>sheryll.ebuenga@concentrix.com</t>
        </is>
      </c>
      <c r="J50" t="inlineStr"/>
      <c r="K50" t="inlineStr">
        <is>
          <t>HP Mainstream</t>
        </is>
      </c>
    </row>
    <row r="51">
      <c r="A51" t="inlineStr">
        <is>
          <t>103119634</t>
        </is>
      </c>
      <c r="B51" t="inlineStr">
        <is>
          <t>Bayson, Johnnella Faith Baluco</t>
        </is>
      </c>
      <c r="C51" t="inlineStr">
        <is>
          <t>johnnellafaith.bayson@concentrix.com</t>
        </is>
      </c>
      <c r="D51" t="inlineStr">
        <is>
          <t>Blas, Jesus Jr Trinidad</t>
        </is>
      </c>
      <c r="E51" t="inlineStr">
        <is>
          <t>jesus.blas@concentrix.com</t>
        </is>
      </c>
      <c r="F51" t="inlineStr">
        <is>
          <t>Arcena, Alberto Chua</t>
        </is>
      </c>
      <c r="G51" t="inlineStr">
        <is>
          <t>alberto.arcenajr@concentrix.com</t>
        </is>
      </c>
      <c r="H51" t="inlineStr">
        <is>
          <t>Ebuenga, Sheryll Avellaneda</t>
        </is>
      </c>
      <c r="I51" t="inlineStr">
        <is>
          <t>sheryll.ebuenga@concentrix.com</t>
        </is>
      </c>
      <c r="J51" t="inlineStr"/>
      <c r="K51" t="inlineStr">
        <is>
          <t>HP Mainstream</t>
        </is>
      </c>
    </row>
    <row r="52">
      <c r="A52" t="inlineStr">
        <is>
          <t>288605</t>
        </is>
      </c>
      <c r="B52" t="inlineStr">
        <is>
          <t>Belandres, Nica Marie Ballola</t>
        </is>
      </c>
      <c r="C52" t="inlineStr">
        <is>
          <t>nicamarie.belandres@concentrix.com</t>
        </is>
      </c>
      <c r="D52" t="inlineStr">
        <is>
          <t>Benedicto, Allen Kiel Lazarra</t>
        </is>
      </c>
      <c r="E52" t="inlineStr">
        <is>
          <t>allenkiel.benedicto@concentrix.com</t>
        </is>
      </c>
      <c r="F52" t="inlineStr">
        <is>
          <t>Benedicto, Allen Kiel Lazarra</t>
        </is>
      </c>
      <c r="G52" t="inlineStr">
        <is>
          <t>allenkiel.benedicto@concentrix.com</t>
        </is>
      </c>
      <c r="H52" t="inlineStr">
        <is>
          <t>Ebuenga, Sheryll Avellaneda</t>
        </is>
      </c>
      <c r="I52" t="inlineStr">
        <is>
          <t>sheryll.ebuenga@concentrix.com</t>
        </is>
      </c>
      <c r="J52" t="inlineStr"/>
      <c r="K52" t="inlineStr">
        <is>
          <t>HP Mainstream</t>
        </is>
      </c>
    </row>
    <row r="53">
      <c r="A53" t="inlineStr">
        <is>
          <t>102220859</t>
        </is>
      </c>
      <c r="B53" t="inlineStr">
        <is>
          <t>Belgica, Jessa Sarmiento</t>
        </is>
      </c>
      <c r="C53" t="inlineStr">
        <is>
          <t>jessa.belgica@concentrix.com</t>
        </is>
      </c>
      <c r="D53" t="inlineStr">
        <is>
          <t>Sernal, Rachelle Ibiernas</t>
        </is>
      </c>
      <c r="E53" t="inlineStr">
        <is>
          <t>rachelle.sernal@concentrix.com</t>
        </is>
      </c>
      <c r="F53" t="inlineStr">
        <is>
          <t>Benedicto, Allen Kiel Lazarra</t>
        </is>
      </c>
      <c r="G53" t="inlineStr">
        <is>
          <t>allenkiel.benedicto@concentrix.com</t>
        </is>
      </c>
      <c r="H53" t="inlineStr">
        <is>
          <t>Ebuenga, Sheryll Avellaneda</t>
        </is>
      </c>
      <c r="I53" t="inlineStr">
        <is>
          <t>sheryll.ebuenga@concentrix.com</t>
        </is>
      </c>
      <c r="J53" t="inlineStr"/>
      <c r="K53" t="inlineStr">
        <is>
          <t>HP Mainstream</t>
        </is>
      </c>
    </row>
    <row r="54">
      <c r="A54" t="inlineStr">
        <is>
          <t>103188739</t>
        </is>
      </c>
      <c r="B54" t="inlineStr">
        <is>
          <t>Bella, Zarla Marie Mallorca</t>
        </is>
      </c>
      <c r="C54" t="inlineStr">
        <is>
          <t>zarlamarie.bella@concentrix.com</t>
        </is>
      </c>
      <c r="D54" t="inlineStr">
        <is>
          <t>Vedia, Jerson Reyes</t>
        </is>
      </c>
      <c r="E54" t="inlineStr">
        <is>
          <t>jerson.vedia@concentrix.com</t>
        </is>
      </c>
      <c r="F54" t="inlineStr">
        <is>
          <t>Ramos, Ma Concepcion Sanchez</t>
        </is>
      </c>
      <c r="G54" t="inlineStr">
        <is>
          <t>maconcepcion.ramos@concentrix.com</t>
        </is>
      </c>
      <c r="H54" t="inlineStr">
        <is>
          <t>Ebuenga, Sheryll Avellaneda</t>
        </is>
      </c>
      <c r="I54" t="inlineStr">
        <is>
          <t>sheryll.ebuenga@concentrix.com</t>
        </is>
      </c>
      <c r="J54" t="inlineStr"/>
      <c r="K54" t="inlineStr">
        <is>
          <t>HP Mainstream</t>
        </is>
      </c>
    </row>
    <row r="55">
      <c r="A55" t="inlineStr">
        <is>
          <t>98715</t>
        </is>
      </c>
      <c r="B55" t="inlineStr">
        <is>
          <t>Benedicto, Allen Kiel Lazarra</t>
        </is>
      </c>
      <c r="C55" t="inlineStr">
        <is>
          <t>allenkiel.benedicto@concentrix.com</t>
        </is>
      </c>
      <c r="D55" t="inlineStr">
        <is>
          <t>Sevilla, Audrey Marie Galindo</t>
        </is>
      </c>
      <c r="E55" t="inlineStr">
        <is>
          <t>audrey.galindosevilla@concentrix.com</t>
        </is>
      </c>
      <c r="F55" t="inlineStr">
        <is>
          <t>-</t>
        </is>
      </c>
      <c r="G55" t="inlineStr"/>
      <c r="H55" t="inlineStr">
        <is>
          <t>-</t>
        </is>
      </c>
      <c r="I55" t="inlineStr"/>
      <c r="J55" t="inlineStr"/>
      <c r="K55" t="inlineStr">
        <is>
          <t>HP Mainstream</t>
        </is>
      </c>
    </row>
    <row r="56">
      <c r="A56" t="inlineStr">
        <is>
          <t>98716</t>
        </is>
      </c>
      <c r="B56" t="inlineStr">
        <is>
          <t>Benedicto, Mona Liza Matias</t>
        </is>
      </c>
      <c r="C56" t="inlineStr">
        <is>
          <t>monaliza.benedicto@concentrix.com</t>
        </is>
      </c>
      <c r="D56" t="inlineStr">
        <is>
          <t>Panti, Alger Arellano</t>
        </is>
      </c>
      <c r="E56" t="inlineStr">
        <is>
          <t>alger.panti@concentrix.com</t>
        </is>
      </c>
      <c r="F56" t="inlineStr">
        <is>
          <t>Panti, Alger Arellano</t>
        </is>
      </c>
      <c r="G56" t="inlineStr">
        <is>
          <t>alger.panti@concentrix.com</t>
        </is>
      </c>
      <c r="H56" t="inlineStr">
        <is>
          <t>-</t>
        </is>
      </c>
      <c r="I56" t="inlineStr"/>
      <c r="J56" t="inlineStr"/>
      <c r="K56" t="inlineStr">
        <is>
          <t>HP Mainstream</t>
        </is>
      </c>
    </row>
    <row r="57">
      <c r="A57" t="inlineStr">
        <is>
          <t>101349762</t>
        </is>
      </c>
      <c r="B57" t="inlineStr">
        <is>
          <t>Bernardo, Mary Jane Cayme</t>
        </is>
      </c>
      <c r="C57" t="inlineStr">
        <is>
          <t>maryjane.bernardo@concentrix.com</t>
        </is>
      </c>
      <c r="D57" t="inlineStr">
        <is>
          <t>Racha, Grace Eunice Divinagracia</t>
        </is>
      </c>
      <c r="E57" t="inlineStr">
        <is>
          <t>graceeunice.racha@concentrix.com</t>
        </is>
      </c>
      <c r="F57" t="inlineStr">
        <is>
          <t>Ramos, Ma Concepcion Sanchez</t>
        </is>
      </c>
      <c r="G57" t="inlineStr">
        <is>
          <t>maconcepcion.ramos@concentrix.com</t>
        </is>
      </c>
      <c r="H57" t="inlineStr">
        <is>
          <t>Ebuenga, Sheryll Avellaneda</t>
        </is>
      </c>
      <c r="I57" t="inlineStr">
        <is>
          <t>sheryll.ebuenga@concentrix.com</t>
        </is>
      </c>
      <c r="J57" t="inlineStr"/>
      <c r="K57" t="inlineStr">
        <is>
          <t>HP Mainstream</t>
        </is>
      </c>
    </row>
    <row r="58">
      <c r="A58" t="inlineStr">
        <is>
          <t>103378646</t>
        </is>
      </c>
      <c r="B58" t="inlineStr">
        <is>
          <t>Bernat, Rae Anne Claro</t>
        </is>
      </c>
      <c r="C58" t="inlineStr">
        <is>
          <t>raeanne.bernat@concentrix.com</t>
        </is>
      </c>
      <c r="D58" t="inlineStr">
        <is>
          <t>Ugalino, Jonadel Pineda</t>
        </is>
      </c>
      <c r="E58" t="inlineStr">
        <is>
          <t>jonadel.ugalino@concentrix.com</t>
        </is>
      </c>
      <c r="F58" t="inlineStr">
        <is>
          <t>Benedicto, Allen Kiel Lazarra</t>
        </is>
      </c>
      <c r="G58" t="inlineStr">
        <is>
          <t>allenkiel.benedicto@concentrix.com</t>
        </is>
      </c>
      <c r="H58" t="inlineStr">
        <is>
          <t>Ebuenga, Sheryll Avellaneda</t>
        </is>
      </c>
      <c r="I58" t="inlineStr">
        <is>
          <t>sheryll.ebuenga@concentrix.com</t>
        </is>
      </c>
      <c r="J58" t="inlineStr"/>
      <c r="K58" t="inlineStr">
        <is>
          <t>HP Mainstream</t>
        </is>
      </c>
    </row>
    <row r="59">
      <c r="A59" t="inlineStr">
        <is>
          <t>1059264</t>
        </is>
      </c>
      <c r="B59" t="inlineStr">
        <is>
          <t>Bertos, Cindy Salmingo</t>
        </is>
      </c>
      <c r="C59" t="inlineStr">
        <is>
          <t>cindy.bertos@concentrix.com</t>
        </is>
      </c>
      <c r="D59" t="inlineStr">
        <is>
          <t>Adrales, Allen Rick Aguilar</t>
        </is>
      </c>
      <c r="E59" t="inlineStr">
        <is>
          <t>allenrick.adrales@concentrix.com</t>
        </is>
      </c>
      <c r="F59" t="inlineStr">
        <is>
          <t>Ramos, Ma Concepcion Sanchez</t>
        </is>
      </c>
      <c r="G59" t="inlineStr">
        <is>
          <t>maconcepcion.ramos@concentrix.com</t>
        </is>
      </c>
      <c r="H59" t="inlineStr">
        <is>
          <t>Ebuenga, Sheryll Avellaneda</t>
        </is>
      </c>
      <c r="I59" t="inlineStr">
        <is>
          <t>sheryll.ebuenga@concentrix.com</t>
        </is>
      </c>
      <c r="J59" t="inlineStr"/>
      <c r="K59" t="inlineStr">
        <is>
          <t>HP Mainstream</t>
        </is>
      </c>
    </row>
    <row r="60">
      <c r="A60" t="inlineStr">
        <is>
          <t>101688555</t>
        </is>
      </c>
      <c r="B60" t="inlineStr">
        <is>
          <t>Bhardwaj, Sundeep Taneza</t>
        </is>
      </c>
      <c r="C60" t="inlineStr">
        <is>
          <t>sundeep.bhardwaj@concentrix.com</t>
        </is>
      </c>
      <c r="D60" t="inlineStr">
        <is>
          <t>Chan, Caroline Cruce</t>
        </is>
      </c>
      <c r="E60" t="inlineStr">
        <is>
          <t>caroline.chan@concentrix.com</t>
        </is>
      </c>
      <c r="F60" t="inlineStr">
        <is>
          <t>Chan, Caroline Cruce</t>
        </is>
      </c>
      <c r="G60" t="inlineStr">
        <is>
          <t>caroline.chan@concentrix.com</t>
        </is>
      </c>
      <c r="H60" t="inlineStr">
        <is>
          <t>-</t>
        </is>
      </c>
      <c r="I60" t="inlineStr"/>
      <c r="J60" t="inlineStr"/>
      <c r="K60" t="inlineStr">
        <is>
          <t>HP Mainstream</t>
        </is>
      </c>
    </row>
    <row r="61">
      <c r="A61" t="inlineStr">
        <is>
          <t>1036539</t>
        </is>
      </c>
      <c r="B61" t="inlineStr">
        <is>
          <t>Billete, Salve Checa</t>
        </is>
      </c>
      <c r="C61" t="inlineStr">
        <is>
          <t>salve.billete@concentrix.com</t>
        </is>
      </c>
      <c r="D61" t="inlineStr">
        <is>
          <t>Adrales, Allen Rick Aguilar</t>
        </is>
      </c>
      <c r="E61" t="inlineStr">
        <is>
          <t>allenrick.adrales@concentrix.com</t>
        </is>
      </c>
      <c r="F61" t="inlineStr">
        <is>
          <t>Ramos, Ma Concepcion Sanchez</t>
        </is>
      </c>
      <c r="G61" t="inlineStr">
        <is>
          <t>maconcepcion.ramos@concentrix.com</t>
        </is>
      </c>
      <c r="H61" t="inlineStr">
        <is>
          <t>Ebuenga, Sheryll Avellaneda</t>
        </is>
      </c>
      <c r="I61" t="inlineStr">
        <is>
          <t>sheryll.ebuenga@concentrix.com</t>
        </is>
      </c>
      <c r="J61" t="inlineStr"/>
      <c r="K61" t="inlineStr">
        <is>
          <t>HP Mainstream</t>
        </is>
      </c>
    </row>
    <row r="62">
      <c r="A62" t="inlineStr">
        <is>
          <t>102041750</t>
        </is>
      </c>
      <c r="B62" t="inlineStr">
        <is>
          <t>Blanco, Mary Jane Severano</t>
        </is>
      </c>
      <c r="C62" t="inlineStr">
        <is>
          <t>maryjane.blanco@concentrix.com</t>
        </is>
      </c>
      <c r="D62" t="inlineStr">
        <is>
          <t>Galope, Danri Catacutan</t>
        </is>
      </c>
      <c r="E62" t="inlineStr">
        <is>
          <t>danri.galope@concentrix.com</t>
        </is>
      </c>
      <c r="F62" t="inlineStr">
        <is>
          <t>Ramos, Ma Concepcion Sanchez</t>
        </is>
      </c>
      <c r="G62" t="inlineStr">
        <is>
          <t>maconcepcion.ramos@concentrix.com</t>
        </is>
      </c>
      <c r="H62" t="inlineStr">
        <is>
          <t>Ebuenga, Sheryll Avellaneda</t>
        </is>
      </c>
      <c r="I62" t="inlineStr">
        <is>
          <t>sheryll.ebuenga@concentrix.com</t>
        </is>
      </c>
      <c r="J62" t="inlineStr"/>
      <c r="K62" t="inlineStr">
        <is>
          <t>HP Mainstream</t>
        </is>
      </c>
    </row>
    <row r="63">
      <c r="A63" t="inlineStr">
        <is>
          <t>261317</t>
        </is>
      </c>
      <c r="B63" t="inlineStr">
        <is>
          <t>Blas, Jesus Jr Trinidad</t>
        </is>
      </c>
      <c r="C63" t="inlineStr">
        <is>
          <t>jesus.blas@concentrix.com</t>
        </is>
      </c>
      <c r="D63" t="inlineStr">
        <is>
          <t>Arcena, Alberto Chua</t>
        </is>
      </c>
      <c r="E63" t="inlineStr">
        <is>
          <t>alberto.arcenajr@concentrix.com</t>
        </is>
      </c>
      <c r="F63" t="inlineStr">
        <is>
          <t>Arcena, Alberto Chua</t>
        </is>
      </c>
      <c r="G63" t="inlineStr">
        <is>
          <t>alberto.arcenajr@concentrix.com</t>
        </is>
      </c>
      <c r="H63" t="inlineStr">
        <is>
          <t>Ebuenga, Sheryll Avellaneda</t>
        </is>
      </c>
      <c r="I63" t="inlineStr">
        <is>
          <t>sheryll.ebuenga@concentrix.com</t>
        </is>
      </c>
      <c r="J63" t="inlineStr"/>
      <c r="K63" t="inlineStr">
        <is>
          <t>HP Mainstream</t>
        </is>
      </c>
    </row>
    <row r="64">
      <c r="A64" t="inlineStr">
        <is>
          <t>102013064</t>
        </is>
      </c>
      <c r="B64" t="inlineStr">
        <is>
          <t>Boado, Jennifer A</t>
        </is>
      </c>
      <c r="C64" t="inlineStr">
        <is>
          <t>jennifer.boado@concentrix.com</t>
        </is>
      </c>
      <c r="D64" t="inlineStr">
        <is>
          <t>Quinto, Bernadeth Mendoza</t>
        </is>
      </c>
      <c r="E64" t="inlineStr">
        <is>
          <t>bernadeth.quinto@concentrix.com</t>
        </is>
      </c>
      <c r="F64" t="inlineStr">
        <is>
          <t>Benedicto, Allen Kiel Lazarra</t>
        </is>
      </c>
      <c r="G64" t="inlineStr">
        <is>
          <t>allenkiel.benedicto@concentrix.com</t>
        </is>
      </c>
      <c r="H64" t="inlineStr">
        <is>
          <t>Ebuenga, Sheryll Avellaneda</t>
        </is>
      </c>
      <c r="I64" t="inlineStr">
        <is>
          <t>sheryll.ebuenga@concentrix.com</t>
        </is>
      </c>
      <c r="J64" t="inlineStr"/>
      <c r="K64" t="inlineStr">
        <is>
          <t>HP Mainstream</t>
        </is>
      </c>
    </row>
    <row r="65">
      <c r="A65" t="inlineStr">
        <is>
          <t>101941761</t>
        </is>
      </c>
      <c r="B65" t="inlineStr">
        <is>
          <t>Bocar, Genesis -</t>
        </is>
      </c>
      <c r="C65" t="inlineStr">
        <is>
          <t>genesis.bocar@concentrix.com</t>
        </is>
      </c>
      <c r="D65" t="inlineStr">
        <is>
          <t>Adrales, Allen Rick Aguilar</t>
        </is>
      </c>
      <c r="E65" t="inlineStr">
        <is>
          <t>allenrick.adrales@concentrix.com</t>
        </is>
      </c>
      <c r="F65" t="inlineStr">
        <is>
          <t>Ramos, Ma Concepcion Sanchez</t>
        </is>
      </c>
      <c r="G65" t="inlineStr">
        <is>
          <t>maconcepcion.ramos@concentrix.com</t>
        </is>
      </c>
      <c r="H65" t="inlineStr">
        <is>
          <t>Ebuenga, Sheryll Avellaneda</t>
        </is>
      </c>
      <c r="I65" t="inlineStr">
        <is>
          <t>sheryll.ebuenga@concentrix.com</t>
        </is>
      </c>
      <c r="J65" t="inlineStr"/>
      <c r="K65" t="inlineStr">
        <is>
          <t>HP Mainstream</t>
        </is>
      </c>
    </row>
    <row r="66">
      <c r="A66" t="inlineStr">
        <is>
          <t>102365965</t>
        </is>
      </c>
      <c r="B66" t="inlineStr">
        <is>
          <t>Bocbocila, Josiel Amahit</t>
        </is>
      </c>
      <c r="C66" t="inlineStr">
        <is>
          <t>josiel.bocbocila@concentrix.com</t>
        </is>
      </c>
      <c r="D66" t="inlineStr">
        <is>
          <t>Ugalino, Jonadel Pineda</t>
        </is>
      </c>
      <c r="E66" t="inlineStr">
        <is>
          <t>jonadel.ugalino@concentrix.com</t>
        </is>
      </c>
      <c r="F66" t="inlineStr">
        <is>
          <t>Benedicto, Allen Kiel Lazarra</t>
        </is>
      </c>
      <c r="G66" t="inlineStr">
        <is>
          <t>allenkiel.benedicto@concentrix.com</t>
        </is>
      </c>
      <c r="H66" t="inlineStr">
        <is>
          <t>Ebuenga, Sheryll Avellaneda</t>
        </is>
      </c>
      <c r="I66" t="inlineStr">
        <is>
          <t>sheryll.ebuenga@concentrix.com</t>
        </is>
      </c>
      <c r="J66" t="inlineStr"/>
      <c r="K66" t="inlineStr">
        <is>
          <t>HP Mainstream</t>
        </is>
      </c>
    </row>
    <row r="67">
      <c r="A67" t="inlineStr">
        <is>
          <t>102884614</t>
        </is>
      </c>
      <c r="B67" t="inlineStr">
        <is>
          <t>Bondal, Dwennie Loraine Mendoza</t>
        </is>
      </c>
      <c r="C67" t="inlineStr">
        <is>
          <t>dwennieloraine.bondal@concentrix.com</t>
        </is>
      </c>
      <c r="D67" t="inlineStr">
        <is>
          <t>Racha, Grace Eunice Divinagracia</t>
        </is>
      </c>
      <c r="E67" t="inlineStr">
        <is>
          <t>graceeunice.racha@concentrix.com</t>
        </is>
      </c>
      <c r="F67" t="inlineStr">
        <is>
          <t>Ramos, Ma Concepcion Sanchez</t>
        </is>
      </c>
      <c r="G67" t="inlineStr">
        <is>
          <t>maconcepcion.ramos@concentrix.com</t>
        </is>
      </c>
      <c r="H67" t="inlineStr">
        <is>
          <t>Ebuenga, Sheryll Avellaneda</t>
        </is>
      </c>
      <c r="I67" t="inlineStr">
        <is>
          <t>sheryll.ebuenga@concentrix.com</t>
        </is>
      </c>
      <c r="J67" t="inlineStr"/>
      <c r="K67" t="inlineStr">
        <is>
          <t>HP Mainstream</t>
        </is>
      </c>
    </row>
    <row r="68">
      <c r="A68" t="inlineStr">
        <is>
          <t>102082102</t>
        </is>
      </c>
      <c r="B68" t="inlineStr">
        <is>
          <t>Bonilla, Ralph Vincent Tolentino</t>
        </is>
      </c>
      <c r="C68" t="inlineStr">
        <is>
          <t>ralphvincent.bonilla@concentrix.com</t>
        </is>
      </c>
      <c r="D68" t="inlineStr">
        <is>
          <t>Andrecoso, April Melody Sunga</t>
        </is>
      </c>
      <c r="E68" t="inlineStr">
        <is>
          <t>aprilmelody.andrecoso@concentrix.com</t>
        </is>
      </c>
      <c r="F68" t="inlineStr">
        <is>
          <t>Benedicto, Allen Kiel Lazarra</t>
        </is>
      </c>
      <c r="G68" t="inlineStr">
        <is>
          <t>allenkiel.benedicto@concentrix.com</t>
        </is>
      </c>
      <c r="H68" t="inlineStr">
        <is>
          <t>Ebuenga, Sheryll Avellaneda</t>
        </is>
      </c>
      <c r="I68" t="inlineStr">
        <is>
          <t>sheryll.ebuenga@concentrix.com</t>
        </is>
      </c>
      <c r="J68" t="inlineStr"/>
      <c r="K68" t="inlineStr">
        <is>
          <t>HP Mainstream</t>
        </is>
      </c>
    </row>
    <row r="69">
      <c r="A69" t="inlineStr">
        <is>
          <t>103103310</t>
        </is>
      </c>
      <c r="B69" t="inlineStr">
        <is>
          <t>Borbon, Genesis Amor Mendoza</t>
        </is>
      </c>
      <c r="C69" t="inlineStr">
        <is>
          <t>genesisamor.borbon@concentrix.com</t>
        </is>
      </c>
      <c r="D69" t="inlineStr">
        <is>
          <t>Ferrer, Jasper Kenneth Labor</t>
        </is>
      </c>
      <c r="E69" t="inlineStr">
        <is>
          <t>jasperkenneth.ferrer@concentrix.com</t>
        </is>
      </c>
      <c r="F69" t="inlineStr">
        <is>
          <t>Nito, Reynaldo Tribol</t>
        </is>
      </c>
      <c r="G69" t="inlineStr">
        <is>
          <t>reynaldo.nito@concentrix.com</t>
        </is>
      </c>
      <c r="H69" t="inlineStr">
        <is>
          <t>Ebuenga, Sheryll Avellaneda</t>
        </is>
      </c>
      <c r="I69" t="inlineStr">
        <is>
          <t>sheryll.ebuenga@concentrix.com</t>
        </is>
      </c>
      <c r="J69" t="inlineStr"/>
      <c r="K69" t="inlineStr">
        <is>
          <t>HP Mainstream</t>
        </is>
      </c>
    </row>
    <row r="70">
      <c r="A70" t="inlineStr">
        <is>
          <t>103235572</t>
        </is>
      </c>
      <c r="B70" t="inlineStr">
        <is>
          <t>Bordarays, Alyssa Matudan</t>
        </is>
      </c>
      <c r="C70" t="inlineStr">
        <is>
          <t>alyssa.bordarays@concentrix.com</t>
        </is>
      </c>
      <c r="D70" t="inlineStr">
        <is>
          <t>Andrecoso, April Melody Sunga</t>
        </is>
      </c>
      <c r="E70" t="inlineStr">
        <is>
          <t>aprilmelody.andrecoso@concentrix.com</t>
        </is>
      </c>
      <c r="F70" t="inlineStr">
        <is>
          <t>Benedicto, Allen Kiel Lazarra</t>
        </is>
      </c>
      <c r="G70" t="inlineStr">
        <is>
          <t>allenkiel.benedicto@concentrix.com</t>
        </is>
      </c>
      <c r="H70" t="inlineStr">
        <is>
          <t>Ebuenga, Sheryll Avellaneda</t>
        </is>
      </c>
      <c r="I70" t="inlineStr">
        <is>
          <t>sheryll.ebuenga@concentrix.com</t>
        </is>
      </c>
      <c r="J70" t="inlineStr"/>
      <c r="K70" t="inlineStr">
        <is>
          <t>HP Mainstream</t>
        </is>
      </c>
    </row>
    <row r="71">
      <c r="A71" t="inlineStr">
        <is>
          <t>101789090</t>
        </is>
      </c>
      <c r="B71" t="inlineStr">
        <is>
          <t>Boribor, Mary Shane Ombing</t>
        </is>
      </c>
      <c r="C71" t="inlineStr">
        <is>
          <t>maryshane.boribor@concentrix.com</t>
        </is>
      </c>
      <c r="D71" t="inlineStr">
        <is>
          <t>Belandres, Nica Marie Ballola</t>
        </is>
      </c>
      <c r="E71" t="inlineStr">
        <is>
          <t>nicamarie.belandres@concentrix.com</t>
        </is>
      </c>
      <c r="F71" t="inlineStr">
        <is>
          <t>Benedicto, Allen Kiel Lazarra</t>
        </is>
      </c>
      <c r="G71" t="inlineStr">
        <is>
          <t>allenkiel.benedicto@concentrix.com</t>
        </is>
      </c>
      <c r="H71" t="inlineStr">
        <is>
          <t>Ebuenga, Sheryll Avellaneda</t>
        </is>
      </c>
      <c r="I71" t="inlineStr">
        <is>
          <t>sheryll.ebuenga@concentrix.com</t>
        </is>
      </c>
      <c r="J71" t="inlineStr"/>
      <c r="K71" t="inlineStr">
        <is>
          <t>HP Mainstream</t>
        </is>
      </c>
    </row>
    <row r="72">
      <c r="A72" t="inlineStr">
        <is>
          <t>101412728</t>
        </is>
      </c>
      <c r="B72" t="inlineStr">
        <is>
          <t>Bornolla, Lord Kelvin Amos</t>
        </is>
      </c>
      <c r="C72" t="inlineStr">
        <is>
          <t>lordkelvin.bornolla@concentrix.com</t>
        </is>
      </c>
      <c r="D72" t="inlineStr">
        <is>
          <t>De Guzman, Gabriel Rodrigo</t>
        </is>
      </c>
      <c r="E72" t="inlineStr">
        <is>
          <t>gabriel.deguzman@concentrix.com</t>
        </is>
      </c>
      <c r="F72" t="inlineStr">
        <is>
          <t>Arcena, Alberto Chua</t>
        </is>
      </c>
      <c r="G72" t="inlineStr">
        <is>
          <t>alberto.arcenajr@concentrix.com</t>
        </is>
      </c>
      <c r="H72" t="inlineStr">
        <is>
          <t>Ebuenga, Sheryll Avellaneda</t>
        </is>
      </c>
      <c r="I72" t="inlineStr">
        <is>
          <t>sheryll.ebuenga@concentrix.com</t>
        </is>
      </c>
      <c r="J72" t="inlineStr"/>
      <c r="K72" t="inlineStr">
        <is>
          <t>HP Mainstream</t>
        </is>
      </c>
    </row>
    <row r="73">
      <c r="A73" t="inlineStr">
        <is>
          <t>102200321</t>
        </is>
      </c>
      <c r="B73" t="inlineStr">
        <is>
          <t>Bote, Roderic Fabay</t>
        </is>
      </c>
      <c r="C73" t="inlineStr">
        <is>
          <t>roderic.bote@concentrix.com</t>
        </is>
      </c>
      <c r="D73" t="inlineStr">
        <is>
          <t>Andrecoso, April Melody Sunga</t>
        </is>
      </c>
      <c r="E73" t="inlineStr">
        <is>
          <t>aprilmelody.andrecoso@concentrix.com</t>
        </is>
      </c>
      <c r="F73" t="inlineStr">
        <is>
          <t>Benedicto, Allen Kiel Lazarra</t>
        </is>
      </c>
      <c r="G73" t="inlineStr">
        <is>
          <t>allenkiel.benedicto@concentrix.com</t>
        </is>
      </c>
      <c r="H73" t="inlineStr">
        <is>
          <t>Ebuenga, Sheryll Avellaneda</t>
        </is>
      </c>
      <c r="I73" t="inlineStr">
        <is>
          <t>sheryll.ebuenga@concentrix.com</t>
        </is>
      </c>
      <c r="J73" t="inlineStr"/>
      <c r="K73" t="inlineStr">
        <is>
          <t>HP Mainstream</t>
        </is>
      </c>
    </row>
    <row r="74">
      <c r="A74" t="inlineStr">
        <is>
          <t>101946754</t>
        </is>
      </c>
      <c r="B74" t="inlineStr">
        <is>
          <t>Bravo, Janilyne Flores</t>
        </is>
      </c>
      <c r="C74" t="inlineStr">
        <is>
          <t>janilyne.flores@concentrix.com</t>
        </is>
      </c>
      <c r="D74" t="inlineStr">
        <is>
          <t>Adrales, Allen Rick Aguilar</t>
        </is>
      </c>
      <c r="E74" t="inlineStr">
        <is>
          <t>allenrick.adrales@concentrix.com</t>
        </is>
      </c>
      <c r="F74" t="inlineStr">
        <is>
          <t>Ramos, Ma Concepcion Sanchez</t>
        </is>
      </c>
      <c r="G74" t="inlineStr">
        <is>
          <t>maconcepcion.ramos@concentrix.com</t>
        </is>
      </c>
      <c r="H74" t="inlineStr">
        <is>
          <t>Ebuenga, Sheryll Avellaneda</t>
        </is>
      </c>
      <c r="I74" t="inlineStr">
        <is>
          <t>sheryll.ebuenga@concentrix.com</t>
        </is>
      </c>
      <c r="J74" t="inlineStr"/>
      <c r="K74" t="inlineStr">
        <is>
          <t>HP Mainstream</t>
        </is>
      </c>
    </row>
    <row r="75">
      <c r="A75" t="inlineStr">
        <is>
          <t>259330</t>
        </is>
      </c>
      <c r="B75" t="inlineStr">
        <is>
          <t>Briones, Aries Ang</t>
        </is>
      </c>
      <c r="C75" t="inlineStr">
        <is>
          <t>aries.briones@concentrix.com</t>
        </is>
      </c>
      <c r="D75" t="inlineStr">
        <is>
          <t>Arcena, Alberto Chua</t>
        </is>
      </c>
      <c r="E75" t="inlineStr">
        <is>
          <t>alberto.arcenajr@concentrix.com</t>
        </is>
      </c>
      <c r="F75" t="inlineStr">
        <is>
          <t>Arcena, Alberto Chua</t>
        </is>
      </c>
      <c r="G75" t="inlineStr">
        <is>
          <t>alberto.arcenajr@concentrix.com</t>
        </is>
      </c>
      <c r="H75" t="inlineStr">
        <is>
          <t>Ebuenga, Sheryll Avellaneda</t>
        </is>
      </c>
      <c r="I75" t="inlineStr">
        <is>
          <t>sheryll.ebuenga@concentrix.com</t>
        </is>
      </c>
      <c r="J75" t="inlineStr"/>
      <c r="K75" t="inlineStr">
        <is>
          <t>HP Mainstream</t>
        </is>
      </c>
    </row>
    <row r="76">
      <c r="A76" t="inlineStr">
        <is>
          <t>103453347</t>
        </is>
      </c>
      <c r="B76" t="inlineStr">
        <is>
          <t>Brioso, John Vergel Quinones</t>
        </is>
      </c>
      <c r="C76" t="inlineStr">
        <is>
          <t>johnvergel.brioso@concentrix.com</t>
        </is>
      </c>
      <c r="D76" t="inlineStr">
        <is>
          <t>Sernal, Rachelle Ibiernas</t>
        </is>
      </c>
      <c r="E76" t="inlineStr">
        <is>
          <t>rachelle.sernal@concentrix.com</t>
        </is>
      </c>
      <c r="F76" t="inlineStr">
        <is>
          <t>Benedicto, Allen Kiel Lazarra</t>
        </is>
      </c>
      <c r="G76" t="inlineStr">
        <is>
          <t>allenkiel.benedicto@concentrix.com</t>
        </is>
      </c>
      <c r="H76" t="inlineStr">
        <is>
          <t>Ebuenga, Sheryll Avellaneda</t>
        </is>
      </c>
      <c r="I76" t="inlineStr">
        <is>
          <t>sheryll.ebuenga@concentrix.com</t>
        </is>
      </c>
      <c r="J76" t="inlineStr"/>
      <c r="K76" t="inlineStr">
        <is>
          <t>HP Mainstream</t>
        </is>
      </c>
    </row>
    <row r="77">
      <c r="A77" t="inlineStr">
        <is>
          <t>103110245</t>
        </is>
      </c>
      <c r="B77" t="inlineStr">
        <is>
          <t>Brosas, Solito Quinquito</t>
        </is>
      </c>
      <c r="C77" t="inlineStr">
        <is>
          <t>solito.brosas@concentrix.com</t>
        </is>
      </c>
      <c r="D77" t="inlineStr">
        <is>
          <t>Ong, Lesley Ann Bayotas</t>
        </is>
      </c>
      <c r="E77" t="inlineStr">
        <is>
          <t>lesleyann.ong@concentrix.com</t>
        </is>
      </c>
      <c r="F77" t="inlineStr">
        <is>
          <t>Ramos, Ma Concepcion Sanchez</t>
        </is>
      </c>
      <c r="G77" t="inlineStr">
        <is>
          <t>maconcepcion.ramos@concentrix.com</t>
        </is>
      </c>
      <c r="H77" t="inlineStr">
        <is>
          <t>Ebuenga, Sheryll Avellaneda</t>
        </is>
      </c>
      <c r="I77" t="inlineStr">
        <is>
          <t>sheryll.ebuenga@concentrix.com</t>
        </is>
      </c>
      <c r="J77" t="inlineStr"/>
      <c r="K77" t="inlineStr">
        <is>
          <t>HP Mainstream</t>
        </is>
      </c>
    </row>
    <row r="78">
      <c r="A78" t="inlineStr">
        <is>
          <t>849142</t>
        </is>
      </c>
      <c r="B78" t="inlineStr">
        <is>
          <t>Brual, Donnah Kharoleen Balagtas</t>
        </is>
      </c>
      <c r="C78" t="inlineStr">
        <is>
          <t>donnah.brual@concentrix.com</t>
        </is>
      </c>
      <c r="D78" t="inlineStr">
        <is>
          <t>Chan, Caroline Cruce</t>
        </is>
      </c>
      <c r="E78" t="inlineStr">
        <is>
          <t>caroline.chan@concentrix.com</t>
        </is>
      </c>
      <c r="F78" t="inlineStr">
        <is>
          <t>Chan, Caroline Cruce</t>
        </is>
      </c>
      <c r="G78" t="inlineStr">
        <is>
          <t>caroline.chan@concentrix.com</t>
        </is>
      </c>
      <c r="H78" t="inlineStr">
        <is>
          <t>-</t>
        </is>
      </c>
      <c r="I78" t="inlineStr"/>
      <c r="J78" t="inlineStr"/>
      <c r="K78" t="inlineStr">
        <is>
          <t>HP Mainstream</t>
        </is>
      </c>
    </row>
    <row r="79">
      <c r="A79" t="inlineStr">
        <is>
          <t>102862033</t>
        </is>
      </c>
      <c r="B79" t="inlineStr">
        <is>
          <t>Buenaventura, Claudette Andrea Limjuco</t>
        </is>
      </c>
      <c r="C79" t="inlineStr">
        <is>
          <t>claudetteandrea.buenaventura@concentrix.com</t>
        </is>
      </c>
      <c r="D79" t="inlineStr">
        <is>
          <t>Andrecoso, April Melody Sunga</t>
        </is>
      </c>
      <c r="E79" t="inlineStr">
        <is>
          <t>aprilmelody.andrecoso@concentrix.com</t>
        </is>
      </c>
      <c r="F79" t="inlineStr">
        <is>
          <t>Benedicto, Allen Kiel Lazarra</t>
        </is>
      </c>
      <c r="G79" t="inlineStr">
        <is>
          <t>allenkiel.benedicto@concentrix.com</t>
        </is>
      </c>
      <c r="H79" t="inlineStr">
        <is>
          <t>Ebuenga, Sheryll Avellaneda</t>
        </is>
      </c>
      <c r="I79" t="inlineStr">
        <is>
          <t>sheryll.ebuenga@concentrix.com</t>
        </is>
      </c>
      <c r="J79" t="inlineStr"/>
      <c r="K79" t="inlineStr">
        <is>
          <t>HP Mainstream</t>
        </is>
      </c>
    </row>
    <row r="80">
      <c r="A80" t="inlineStr">
        <is>
          <t>465996</t>
        </is>
      </c>
      <c r="B80" t="inlineStr">
        <is>
          <t>Buendia, Clarissa San Vicente</t>
        </is>
      </c>
      <c r="C80" t="inlineStr">
        <is>
          <t>clarissa.buendia@concentrix.com</t>
        </is>
      </c>
      <c r="D80" t="inlineStr">
        <is>
          <t>Panti, Alger Arellano</t>
        </is>
      </c>
      <c r="E80" t="inlineStr">
        <is>
          <t>alger.panti@concentrix.com</t>
        </is>
      </c>
      <c r="F80" t="inlineStr">
        <is>
          <t>Panti, Alger Arellano</t>
        </is>
      </c>
      <c r="G80" t="inlineStr">
        <is>
          <t>alger.panti@concentrix.com</t>
        </is>
      </c>
      <c r="H80" t="inlineStr">
        <is>
          <t>-</t>
        </is>
      </c>
      <c r="I80" t="inlineStr"/>
      <c r="J80" t="inlineStr"/>
      <c r="K80" t="inlineStr">
        <is>
          <t>HP Mainstream</t>
        </is>
      </c>
    </row>
    <row r="81">
      <c r="A81" t="inlineStr">
        <is>
          <t>101768502</t>
        </is>
      </c>
      <c r="B81" t="inlineStr">
        <is>
          <t>Bughao, Vicente Carlos De Luna</t>
        </is>
      </c>
      <c r="C81" t="inlineStr">
        <is>
          <t>vicentecarlos.bughao@concentrix.com</t>
        </is>
      </c>
      <c r="D81" t="inlineStr">
        <is>
          <t>Vedia, Jerson Reyes</t>
        </is>
      </c>
      <c r="E81" t="inlineStr">
        <is>
          <t>jerson.vedia@concentrix.com</t>
        </is>
      </c>
      <c r="F81" t="inlineStr">
        <is>
          <t>Ramos, Ma Concepcion Sanchez</t>
        </is>
      </c>
      <c r="G81" t="inlineStr">
        <is>
          <t>maconcepcion.ramos@concentrix.com</t>
        </is>
      </c>
      <c r="H81" t="inlineStr">
        <is>
          <t>Ebuenga, Sheryll Avellaneda</t>
        </is>
      </c>
      <c r="I81" t="inlineStr">
        <is>
          <t>sheryll.ebuenga@concentrix.com</t>
        </is>
      </c>
      <c r="J81" t="inlineStr"/>
      <c r="K81" t="inlineStr">
        <is>
          <t>HP Mainstream</t>
        </is>
      </c>
    </row>
    <row r="82">
      <c r="A82" t="inlineStr">
        <is>
          <t>281553</t>
        </is>
      </c>
      <c r="B82" t="inlineStr">
        <is>
          <t>Cabus, Dionicio Hernandez</t>
        </is>
      </c>
      <c r="C82" t="inlineStr">
        <is>
          <t>dionicio.cabus@concentrix.com</t>
        </is>
      </c>
      <c r="D82" t="inlineStr">
        <is>
          <t>Vedia, Jerson Reyes</t>
        </is>
      </c>
      <c r="E82" t="inlineStr">
        <is>
          <t>jerson.vedia@concentrix.com</t>
        </is>
      </c>
      <c r="F82" t="inlineStr">
        <is>
          <t>Ramos, Ma Concepcion Sanchez</t>
        </is>
      </c>
      <c r="G82" t="inlineStr">
        <is>
          <t>maconcepcion.ramos@concentrix.com</t>
        </is>
      </c>
      <c r="H82" t="inlineStr">
        <is>
          <t>Ebuenga, Sheryll Avellaneda</t>
        </is>
      </c>
      <c r="I82" t="inlineStr">
        <is>
          <t>sheryll.ebuenga@concentrix.com</t>
        </is>
      </c>
      <c r="J82" t="inlineStr"/>
      <c r="K82" t="inlineStr">
        <is>
          <t>HP Mainstream</t>
        </is>
      </c>
    </row>
    <row r="83">
      <c r="A83" t="inlineStr">
        <is>
          <t>1050612</t>
        </is>
      </c>
      <c r="B83" t="inlineStr">
        <is>
          <t>Calo, Mayet Largosa</t>
        </is>
      </c>
      <c r="C83" t="inlineStr">
        <is>
          <t>mayet.calo@concentrix.com</t>
        </is>
      </c>
      <c r="D83" t="inlineStr">
        <is>
          <t>Hije, Bernadeth Rosales</t>
        </is>
      </c>
      <c r="E83" t="inlineStr">
        <is>
          <t>bernadeth.hije@concentrix.com</t>
        </is>
      </c>
      <c r="F83" t="inlineStr">
        <is>
          <t>Benedicto, Allen Kiel Lazarra</t>
        </is>
      </c>
      <c r="G83" t="inlineStr">
        <is>
          <t>allenkiel.benedicto@concentrix.com</t>
        </is>
      </c>
      <c r="H83" t="inlineStr">
        <is>
          <t>Ebuenga, Sheryll Avellaneda</t>
        </is>
      </c>
      <c r="I83" t="inlineStr">
        <is>
          <t>sheryll.ebuenga@concentrix.com</t>
        </is>
      </c>
      <c r="J83" t="inlineStr"/>
      <c r="K83" t="inlineStr">
        <is>
          <t>HP Mainstream</t>
        </is>
      </c>
    </row>
    <row r="84">
      <c r="A84" t="inlineStr">
        <is>
          <t>101386887</t>
        </is>
      </c>
      <c r="B84" t="inlineStr">
        <is>
          <t>Calvendra, Jaycelle Perez</t>
        </is>
      </c>
      <c r="C84" t="inlineStr">
        <is>
          <t>jaycelle.perez@concentrix.com</t>
        </is>
      </c>
      <c r="D84" t="inlineStr">
        <is>
          <t>Belandres, Nica Marie Ballola</t>
        </is>
      </c>
      <c r="E84" t="inlineStr">
        <is>
          <t>nicamarie.belandres@concentrix.com</t>
        </is>
      </c>
      <c r="F84" t="inlineStr">
        <is>
          <t>Benedicto, Allen Kiel Lazarra</t>
        </is>
      </c>
      <c r="G84" t="inlineStr">
        <is>
          <t>allenkiel.benedicto@concentrix.com</t>
        </is>
      </c>
      <c r="H84" t="inlineStr">
        <is>
          <t>Ebuenga, Sheryll Avellaneda</t>
        </is>
      </c>
      <c r="I84" t="inlineStr">
        <is>
          <t>sheryll.ebuenga@concentrix.com</t>
        </is>
      </c>
      <c r="J84" t="inlineStr"/>
      <c r="K84" t="inlineStr">
        <is>
          <t>HP Mainstream</t>
        </is>
      </c>
    </row>
    <row r="85">
      <c r="A85" t="inlineStr">
        <is>
          <t>102235710</t>
        </is>
      </c>
      <c r="B85" t="inlineStr">
        <is>
          <t>Cambe, Bernadeth Punzalan</t>
        </is>
      </c>
      <c r="C85" t="inlineStr">
        <is>
          <t>bernadeth.cambe@concentrix.com</t>
        </is>
      </c>
      <c r="D85" t="inlineStr">
        <is>
          <t>Poon, Aris Sobrevilla</t>
        </is>
      </c>
      <c r="E85" t="inlineStr">
        <is>
          <t>aris.poon@concentrix.com</t>
        </is>
      </c>
      <c r="F85" t="inlineStr">
        <is>
          <t>Ramos, Ma Concepcion Sanchez</t>
        </is>
      </c>
      <c r="G85" t="inlineStr">
        <is>
          <t>maconcepcion.ramos@concentrix.com</t>
        </is>
      </c>
      <c r="H85" t="inlineStr">
        <is>
          <t>Ebuenga, Sheryll Avellaneda</t>
        </is>
      </c>
      <c r="I85" t="inlineStr">
        <is>
          <t>sheryll.ebuenga@concentrix.com</t>
        </is>
      </c>
      <c r="J85" t="inlineStr"/>
      <c r="K85" t="inlineStr">
        <is>
          <t>HP Mainstream</t>
        </is>
      </c>
    </row>
    <row r="86">
      <c r="A86" t="inlineStr">
        <is>
          <t>1083158</t>
        </is>
      </c>
      <c r="B86" t="inlineStr">
        <is>
          <t>Canales, Mark Florenz Guballo</t>
        </is>
      </c>
      <c r="C86" t="inlineStr">
        <is>
          <t>markflorenz.canales@concentrix.com</t>
        </is>
      </c>
      <c r="D86" t="inlineStr">
        <is>
          <t>Belandres, Nica Marie Ballola</t>
        </is>
      </c>
      <c r="E86" t="inlineStr">
        <is>
          <t>nicamarie.belandres@concentrix.com</t>
        </is>
      </c>
      <c r="F86" t="inlineStr">
        <is>
          <t>Benedicto, Allen Kiel Lazarra</t>
        </is>
      </c>
      <c r="G86" t="inlineStr">
        <is>
          <t>allenkiel.benedicto@concentrix.com</t>
        </is>
      </c>
      <c r="H86" t="inlineStr">
        <is>
          <t>Ebuenga, Sheryll Avellaneda</t>
        </is>
      </c>
      <c r="I86" t="inlineStr">
        <is>
          <t>sheryll.ebuenga@concentrix.com</t>
        </is>
      </c>
      <c r="J86" t="inlineStr"/>
      <c r="K86" t="inlineStr">
        <is>
          <t>HP Mainstream</t>
        </is>
      </c>
    </row>
    <row r="87">
      <c r="A87" t="inlineStr">
        <is>
          <t>102864800</t>
        </is>
      </c>
      <c r="B87" t="inlineStr">
        <is>
          <t>Capales, Quennie Vasquez</t>
        </is>
      </c>
      <c r="C87" t="inlineStr">
        <is>
          <t>quennie.vasquez@concentrix.com</t>
        </is>
      </c>
      <c r="D87" t="inlineStr">
        <is>
          <t>Adrales, Allen Rick Aguilar</t>
        </is>
      </c>
      <c r="E87" t="inlineStr">
        <is>
          <t>allenrick.adrales@concentrix.com</t>
        </is>
      </c>
      <c r="F87" t="inlineStr">
        <is>
          <t>Ramos, Ma Concepcion Sanchez</t>
        </is>
      </c>
      <c r="G87" t="inlineStr">
        <is>
          <t>maconcepcion.ramos@concentrix.com</t>
        </is>
      </c>
      <c r="H87" t="inlineStr">
        <is>
          <t>Ebuenga, Sheryll Avellaneda</t>
        </is>
      </c>
      <c r="I87" t="inlineStr">
        <is>
          <t>sheryll.ebuenga@concentrix.com</t>
        </is>
      </c>
      <c r="J87" t="inlineStr"/>
      <c r="K87" t="inlineStr">
        <is>
          <t>HP Mainstream</t>
        </is>
      </c>
    </row>
    <row r="88">
      <c r="A88" t="inlineStr">
        <is>
          <t>103577190</t>
        </is>
      </c>
      <c r="B88" t="inlineStr">
        <is>
          <t>Capule, Angel Kate Devaras</t>
        </is>
      </c>
      <c r="C88" t="inlineStr">
        <is>
          <t>angelkate.capule@concentrix.com</t>
        </is>
      </c>
      <c r="D88" t="inlineStr">
        <is>
          <t>Salafranca, Ryan Alejo</t>
        </is>
      </c>
      <c r="E88" t="inlineStr">
        <is>
          <t>ryan.salafranca@concentrix.com</t>
        </is>
      </c>
      <c r="F88" t="inlineStr">
        <is>
          <t>Arcena, Alberto Chua</t>
        </is>
      </c>
      <c r="G88" t="inlineStr">
        <is>
          <t>alberto.arcenajr@concentrix.com</t>
        </is>
      </c>
      <c r="H88" t="inlineStr">
        <is>
          <t>Ebuenga, Sheryll Avellaneda</t>
        </is>
      </c>
      <c r="I88" t="inlineStr">
        <is>
          <t>sheryll.ebuenga@concentrix.com</t>
        </is>
      </c>
      <c r="J88" t="inlineStr"/>
      <c r="K88" t="inlineStr">
        <is>
          <t>HP Mainstream</t>
        </is>
      </c>
    </row>
    <row r="89">
      <c r="A89" t="inlineStr">
        <is>
          <t>103335575</t>
        </is>
      </c>
      <c r="B89" t="inlineStr">
        <is>
          <t>Carbajal, James Nathaniel Abastillas</t>
        </is>
      </c>
      <c r="C89" t="inlineStr">
        <is>
          <t>jamesnathaniel.carbajal@concentrix.com</t>
        </is>
      </c>
      <c r="D89" t="inlineStr">
        <is>
          <t>Sernal, Rachelle Ibiernas</t>
        </is>
      </c>
      <c r="E89" t="inlineStr">
        <is>
          <t>rachelle.sernal@concentrix.com</t>
        </is>
      </c>
      <c r="F89" t="inlineStr">
        <is>
          <t>Benedicto, Allen Kiel Lazarra</t>
        </is>
      </c>
      <c r="G89" t="inlineStr">
        <is>
          <t>allenkiel.benedicto@concentrix.com</t>
        </is>
      </c>
      <c r="H89" t="inlineStr">
        <is>
          <t>Ebuenga, Sheryll Avellaneda</t>
        </is>
      </c>
      <c r="I89" t="inlineStr">
        <is>
          <t>sheryll.ebuenga@concentrix.com</t>
        </is>
      </c>
      <c r="J89" t="inlineStr"/>
      <c r="K89" t="inlineStr">
        <is>
          <t>HP Mainstream</t>
        </is>
      </c>
    </row>
    <row r="90">
      <c r="A90" t="inlineStr">
        <is>
          <t>102370621</t>
        </is>
      </c>
      <c r="B90" t="inlineStr">
        <is>
          <t>Carpio, Ellen Rose Medina</t>
        </is>
      </c>
      <c r="C90" t="inlineStr">
        <is>
          <t>ellenrose.carpio@concentrix.com</t>
        </is>
      </c>
      <c r="D90" t="inlineStr">
        <is>
          <t>Sernal, Rachelle Ibiernas</t>
        </is>
      </c>
      <c r="E90" t="inlineStr">
        <is>
          <t>rachelle.sernal@concentrix.com</t>
        </is>
      </c>
      <c r="F90" t="inlineStr">
        <is>
          <t>Benedicto, Allen Kiel Lazarra</t>
        </is>
      </c>
      <c r="G90" t="inlineStr">
        <is>
          <t>allenkiel.benedicto@concentrix.com</t>
        </is>
      </c>
      <c r="H90" t="inlineStr">
        <is>
          <t>Ebuenga, Sheryll Avellaneda</t>
        </is>
      </c>
      <c r="I90" t="inlineStr">
        <is>
          <t>sheryll.ebuenga@concentrix.com</t>
        </is>
      </c>
      <c r="J90" t="inlineStr"/>
      <c r="K90" t="inlineStr">
        <is>
          <t>HP Mainstream</t>
        </is>
      </c>
    </row>
    <row r="91">
      <c r="A91" t="inlineStr">
        <is>
          <t>101936922</t>
        </is>
      </c>
      <c r="B91" t="inlineStr">
        <is>
          <t>Casing, Jhon Carlo Azarcon</t>
        </is>
      </c>
      <c r="C91" t="inlineStr">
        <is>
          <t>jhoncarlo.casing@concentrix.com</t>
        </is>
      </c>
      <c r="D91" t="inlineStr">
        <is>
          <t>Adrales, Allen Rick Aguilar</t>
        </is>
      </c>
      <c r="E91" t="inlineStr">
        <is>
          <t>allenrick.adrales@concentrix.com</t>
        </is>
      </c>
      <c r="F91" t="inlineStr">
        <is>
          <t>Ramos, Ma Concepcion Sanchez</t>
        </is>
      </c>
      <c r="G91" t="inlineStr">
        <is>
          <t>maconcepcion.ramos@concentrix.com</t>
        </is>
      </c>
      <c r="H91" t="inlineStr">
        <is>
          <t>Ebuenga, Sheryll Avellaneda</t>
        </is>
      </c>
      <c r="I91" t="inlineStr">
        <is>
          <t>sheryll.ebuenga@concentrix.com</t>
        </is>
      </c>
      <c r="J91" t="inlineStr"/>
      <c r="K91" t="inlineStr">
        <is>
          <t>HP Mainstream</t>
        </is>
      </c>
    </row>
    <row r="92">
      <c r="A92" t="inlineStr">
        <is>
          <t>102146028</t>
        </is>
      </c>
      <c r="B92" t="inlineStr">
        <is>
          <t>Casiño, Jaypee Cabural</t>
        </is>
      </c>
      <c r="C92" t="inlineStr">
        <is>
          <t>jaypee.casino@concentrix.com</t>
        </is>
      </c>
      <c r="D92" t="inlineStr">
        <is>
          <t>Aluning, Alain-Angelo Cangco</t>
        </is>
      </c>
      <c r="E92" t="inlineStr">
        <is>
          <t>alain-angelo.aluning@concentrix.com</t>
        </is>
      </c>
      <c r="F92" t="inlineStr">
        <is>
          <t>Arcena, Alberto Chua</t>
        </is>
      </c>
      <c r="G92" t="inlineStr">
        <is>
          <t>alberto.arcenajr@concentrix.com</t>
        </is>
      </c>
      <c r="H92" t="inlineStr">
        <is>
          <t>Ebuenga, Sheryll Avellaneda</t>
        </is>
      </c>
      <c r="I92" t="inlineStr">
        <is>
          <t>sheryll.ebuenga@concentrix.com</t>
        </is>
      </c>
      <c r="J92" t="inlineStr"/>
      <c r="K92" t="inlineStr">
        <is>
          <t>HP Mainstream</t>
        </is>
      </c>
    </row>
    <row r="93">
      <c r="A93" t="inlineStr">
        <is>
          <t>102347944</t>
        </is>
      </c>
      <c r="B93" t="inlineStr">
        <is>
          <t>Castillo, Wilbert Pamplona</t>
        </is>
      </c>
      <c r="C93" t="inlineStr">
        <is>
          <t>wilbert.castillo@concentrix.com</t>
        </is>
      </c>
      <c r="D93" t="inlineStr">
        <is>
          <t>Ebuenga, Sheryll Avellaneda</t>
        </is>
      </c>
      <c r="E93" t="inlineStr">
        <is>
          <t>sheryll.ebuenga@concentrix.com</t>
        </is>
      </c>
      <c r="F93" t="inlineStr">
        <is>
          <t>Ebuenga, Sheryll Avellaneda</t>
        </is>
      </c>
      <c r="G93" t="inlineStr">
        <is>
          <t>sheryll.ebuenga@concentrix.com</t>
        </is>
      </c>
      <c r="H93" t="inlineStr">
        <is>
          <t>-</t>
        </is>
      </c>
      <c r="I93" t="inlineStr"/>
      <c r="J93" t="inlineStr"/>
      <c r="K93" t="inlineStr">
        <is>
          <t>HP Mainstream</t>
        </is>
      </c>
    </row>
    <row r="94">
      <c r="A94" t="inlineStr">
        <is>
          <t>101736459</t>
        </is>
      </c>
      <c r="B94" t="inlineStr">
        <is>
          <t>Castro, Michael Catiempo</t>
        </is>
      </c>
      <c r="C94" t="inlineStr">
        <is>
          <t>michael.castro@concentrix.com</t>
        </is>
      </c>
      <c r="D94" t="inlineStr">
        <is>
          <t>Luñiza, Jona Claveria</t>
        </is>
      </c>
      <c r="E94" t="inlineStr">
        <is>
          <t>jona.luniza@concentrix.com</t>
        </is>
      </c>
      <c r="F94" t="inlineStr">
        <is>
          <t>Arcena, Alberto Chua</t>
        </is>
      </c>
      <c r="G94" t="inlineStr">
        <is>
          <t>alberto.arcenajr@concentrix.com</t>
        </is>
      </c>
      <c r="H94" t="inlineStr">
        <is>
          <t>Ebuenga, Sheryll Avellaneda</t>
        </is>
      </c>
      <c r="I94" t="inlineStr">
        <is>
          <t>sheryll.ebuenga@concentrix.com</t>
        </is>
      </c>
      <c r="J94" t="inlineStr"/>
      <c r="K94" t="inlineStr">
        <is>
          <t>HP Mainstream</t>
        </is>
      </c>
    </row>
    <row r="95">
      <c r="A95" t="inlineStr">
        <is>
          <t>102040932</t>
        </is>
      </c>
      <c r="B95" t="inlineStr">
        <is>
          <t>Cañaveral, January Olivar</t>
        </is>
      </c>
      <c r="C95" t="inlineStr">
        <is>
          <t>january.canaveral@concentrix.com</t>
        </is>
      </c>
      <c r="D95" t="inlineStr">
        <is>
          <t>Andrecoso, April Melody Sunga</t>
        </is>
      </c>
      <c r="E95" t="inlineStr">
        <is>
          <t>aprilmelody.andrecoso@concentrix.com</t>
        </is>
      </c>
      <c r="F95" t="inlineStr">
        <is>
          <t>Benedicto, Allen Kiel Lazarra</t>
        </is>
      </c>
      <c r="G95" t="inlineStr">
        <is>
          <t>allenkiel.benedicto@concentrix.com</t>
        </is>
      </c>
      <c r="H95" t="inlineStr">
        <is>
          <t>Ebuenga, Sheryll Avellaneda</t>
        </is>
      </c>
      <c r="I95" t="inlineStr">
        <is>
          <t>sheryll.ebuenga@concentrix.com</t>
        </is>
      </c>
      <c r="J95" t="inlineStr"/>
      <c r="K95" t="inlineStr">
        <is>
          <t>HP Mainstream</t>
        </is>
      </c>
    </row>
    <row r="96">
      <c r="A96" t="inlineStr">
        <is>
          <t>141998</t>
        </is>
      </c>
      <c r="B96" t="inlineStr">
        <is>
          <t>Cañedo, Danie Dela Cruz</t>
        </is>
      </c>
      <c r="C96" t="inlineStr">
        <is>
          <t>danie.canedo@concentrix.com</t>
        </is>
      </c>
      <c r="D96" t="inlineStr">
        <is>
          <t>Cinco, Neville Dimagiba</t>
        </is>
      </c>
      <c r="E96" t="inlineStr">
        <is>
          <t>neville.cinco@concentrix.com</t>
        </is>
      </c>
      <c r="F96" t="inlineStr">
        <is>
          <t>Christian Bajo</t>
        </is>
      </c>
      <c r="G96" t="inlineStr"/>
      <c r="H96" t="inlineStr">
        <is>
          <t>-</t>
        </is>
      </c>
      <c r="I96" t="inlineStr"/>
      <c r="J96" t="inlineStr"/>
      <c r="K96" t="inlineStr">
        <is>
          <t>HP Mainstream</t>
        </is>
      </c>
    </row>
    <row r="97">
      <c r="A97" t="inlineStr">
        <is>
          <t>101398990</t>
        </is>
      </c>
      <c r="B97" t="inlineStr">
        <is>
          <t>Cerace, Jayson Silvio</t>
        </is>
      </c>
      <c r="C97" t="inlineStr">
        <is>
          <t>jayson.cerace@concentrix.com</t>
        </is>
      </c>
      <c r="D97" t="inlineStr">
        <is>
          <t>Galope, Danri Catacutan</t>
        </is>
      </c>
      <c r="E97" t="inlineStr">
        <is>
          <t>danri.galope@concentrix.com</t>
        </is>
      </c>
      <c r="F97" t="inlineStr">
        <is>
          <t>Ramos, Ma Concepcion Sanchez</t>
        </is>
      </c>
      <c r="G97" t="inlineStr">
        <is>
          <t>maconcepcion.ramos@concentrix.com</t>
        </is>
      </c>
      <c r="H97" t="inlineStr">
        <is>
          <t>Ebuenga, Sheryll Avellaneda</t>
        </is>
      </c>
      <c r="I97" t="inlineStr">
        <is>
          <t>sheryll.ebuenga@concentrix.com</t>
        </is>
      </c>
      <c r="J97" t="inlineStr"/>
      <c r="K97" t="inlineStr">
        <is>
          <t>HP Mainstream</t>
        </is>
      </c>
    </row>
    <row r="98">
      <c r="A98" t="inlineStr">
        <is>
          <t>100896068</t>
        </is>
      </c>
      <c r="B98" t="inlineStr">
        <is>
          <t>Chan, Caroline Cruce</t>
        </is>
      </c>
      <c r="C98" t="inlineStr">
        <is>
          <t>caroline.chan@concentrix.com</t>
        </is>
      </c>
      <c r="D98" t="inlineStr">
        <is>
          <t>Medel, Lorelei Gabriel</t>
        </is>
      </c>
      <c r="E98" t="inlineStr">
        <is>
          <t>lorelei.gabriel@concentrix.com</t>
        </is>
      </c>
      <c r="F98" t="inlineStr">
        <is>
          <t>Medel, Lorelei Gabriel</t>
        </is>
      </c>
      <c r="G98" t="inlineStr">
        <is>
          <t>lorelei.gabriel@concentrix.com</t>
        </is>
      </c>
      <c r="H98" t="inlineStr">
        <is>
          <t>-</t>
        </is>
      </c>
      <c r="I98" t="inlineStr"/>
      <c r="J98" t="inlineStr"/>
      <c r="K98" t="inlineStr">
        <is>
          <t>HP Mainstream</t>
        </is>
      </c>
    </row>
    <row r="99">
      <c r="A99" t="inlineStr">
        <is>
          <t>102026429</t>
        </is>
      </c>
      <c r="B99" t="inlineStr">
        <is>
          <t>Chu, Ivan Rainier Tan</t>
        </is>
      </c>
      <c r="C99" t="inlineStr">
        <is>
          <t>ivanrainier.chu@concentrix.com</t>
        </is>
      </c>
      <c r="D99" t="inlineStr">
        <is>
          <t>Blas, Jesus Jr Trinidad</t>
        </is>
      </c>
      <c r="E99" t="inlineStr">
        <is>
          <t>jesus.blas@concentrix.com</t>
        </is>
      </c>
      <c r="F99" t="inlineStr">
        <is>
          <t>Arcena, Alberto Chua</t>
        </is>
      </c>
      <c r="G99" t="inlineStr">
        <is>
          <t>alberto.arcenajr@concentrix.com</t>
        </is>
      </c>
      <c r="H99" t="inlineStr">
        <is>
          <t>Ebuenga, Sheryll Avellaneda</t>
        </is>
      </c>
      <c r="I99" t="inlineStr">
        <is>
          <t>sheryll.ebuenga@concentrix.com</t>
        </is>
      </c>
      <c r="J99" t="inlineStr"/>
      <c r="K99" t="inlineStr">
        <is>
          <t>HP Mainstream</t>
        </is>
      </c>
    </row>
    <row r="100">
      <c r="A100" t="inlineStr">
        <is>
          <t>136250</t>
        </is>
      </c>
      <c r="B100" t="inlineStr">
        <is>
          <t>Cinco, Neville Dimagiba</t>
        </is>
      </c>
      <c r="C100" t="inlineStr">
        <is>
          <t>neville.cinco@concentrix.com</t>
        </is>
      </c>
      <c r="D100" t="inlineStr">
        <is>
          <t>Bajo, Christian Dela Cruz</t>
        </is>
      </c>
      <c r="E100" t="inlineStr"/>
      <c r="F100" t="inlineStr">
        <is>
          <t>Bajo, Christian Dela Cruz</t>
        </is>
      </c>
      <c r="G100" t="inlineStr"/>
      <c r="H100" t="inlineStr">
        <is>
          <t>-</t>
        </is>
      </c>
      <c r="I100" t="inlineStr"/>
      <c r="J100" t="inlineStr"/>
      <c r="K100" t="inlineStr">
        <is>
          <t>HP Mainstream</t>
        </is>
      </c>
    </row>
    <row r="101">
      <c r="A101" t="inlineStr">
        <is>
          <t>101550417</t>
        </is>
      </c>
      <c r="B101" t="inlineStr">
        <is>
          <t>Claro, Yvonne Larita</t>
        </is>
      </c>
      <c r="C101" t="inlineStr">
        <is>
          <t>yvonne.claro@concentrix.com</t>
        </is>
      </c>
      <c r="D101" t="inlineStr">
        <is>
          <t>Aluning, Alain-Angelo Cangco</t>
        </is>
      </c>
      <c r="E101" t="inlineStr">
        <is>
          <t>alain-angelo.aluning@concentrix.com</t>
        </is>
      </c>
      <c r="F101" t="inlineStr">
        <is>
          <t>Arcena, Alberto Chua</t>
        </is>
      </c>
      <c r="G101" t="inlineStr">
        <is>
          <t>alberto.arcenajr@concentrix.com</t>
        </is>
      </c>
      <c r="H101" t="inlineStr">
        <is>
          <t>Ebuenga, Sheryll Avellaneda</t>
        </is>
      </c>
      <c r="I101" t="inlineStr">
        <is>
          <t>sheryll.ebuenga@concentrix.com</t>
        </is>
      </c>
      <c r="J101" t="inlineStr"/>
      <c r="K101" t="inlineStr">
        <is>
          <t>HP Mainstream</t>
        </is>
      </c>
    </row>
    <row r="102">
      <c r="A102" t="inlineStr">
        <is>
          <t>101409762</t>
        </is>
      </c>
      <c r="B102" t="inlineStr">
        <is>
          <t>Cornell, Saida Mateo</t>
        </is>
      </c>
      <c r="C102" t="inlineStr">
        <is>
          <t>saida.cornell@concentrix.com</t>
        </is>
      </c>
      <c r="D102" t="inlineStr">
        <is>
          <t>Adrales, Allen Rick Aguilar</t>
        </is>
      </c>
      <c r="E102" t="inlineStr">
        <is>
          <t>allenrick.adrales@concentrix.com</t>
        </is>
      </c>
      <c r="F102" t="inlineStr">
        <is>
          <t>Ramos, Ma Concepcion Sanchez</t>
        </is>
      </c>
      <c r="G102" t="inlineStr">
        <is>
          <t>maconcepcion.ramos@concentrix.com</t>
        </is>
      </c>
      <c r="H102" t="inlineStr">
        <is>
          <t>Ebuenga, Sheryll Avellaneda</t>
        </is>
      </c>
      <c r="I102" t="inlineStr">
        <is>
          <t>sheryll.ebuenga@concentrix.com</t>
        </is>
      </c>
      <c r="J102" t="inlineStr"/>
      <c r="K102" t="inlineStr">
        <is>
          <t>HP Mainstream</t>
        </is>
      </c>
    </row>
    <row r="103">
      <c r="A103" t="inlineStr">
        <is>
          <t>103096939</t>
        </is>
      </c>
      <c r="B103" t="inlineStr">
        <is>
          <t>Costoy, Renel Dave Nmn</t>
        </is>
      </c>
      <c r="C103" t="inlineStr">
        <is>
          <t>reneldave.costoy@concentrix.com</t>
        </is>
      </c>
      <c r="D103" t="inlineStr">
        <is>
          <t>Racha, Grace Eunice Divinagracia</t>
        </is>
      </c>
      <c r="E103" t="inlineStr">
        <is>
          <t>graceeunice.racha@concentrix.com</t>
        </is>
      </c>
      <c r="F103" t="inlineStr">
        <is>
          <t>Ramos, Ma Concepcion Sanchez</t>
        </is>
      </c>
      <c r="G103" t="inlineStr">
        <is>
          <t>maconcepcion.ramos@concentrix.com</t>
        </is>
      </c>
      <c r="H103" t="inlineStr">
        <is>
          <t>Ebuenga, Sheryll Avellaneda</t>
        </is>
      </c>
      <c r="I103" t="inlineStr">
        <is>
          <t>sheryll.ebuenga@concentrix.com</t>
        </is>
      </c>
      <c r="J103" t="inlineStr"/>
      <c r="K103" t="inlineStr">
        <is>
          <t>HP Mainstream</t>
        </is>
      </c>
    </row>
    <row r="104">
      <c r="A104" t="inlineStr">
        <is>
          <t>101904970</t>
        </is>
      </c>
      <c r="B104" t="inlineStr">
        <is>
          <t>Crisostomo, Alma Tigas</t>
        </is>
      </c>
      <c r="C104" t="inlineStr">
        <is>
          <t>alma.crisostomo@concentrix.com</t>
        </is>
      </c>
      <c r="D104" t="inlineStr">
        <is>
          <t>Blas, Jesus Jr Trinidad</t>
        </is>
      </c>
      <c r="E104" t="inlineStr">
        <is>
          <t>jesus.blas@concentrix.com</t>
        </is>
      </c>
      <c r="F104" t="inlineStr">
        <is>
          <t>Arcena, Alberto Chua</t>
        </is>
      </c>
      <c r="G104" t="inlineStr">
        <is>
          <t>alberto.arcenajr@concentrix.com</t>
        </is>
      </c>
      <c r="H104" t="inlineStr">
        <is>
          <t>Ebuenga, Sheryll Avellaneda</t>
        </is>
      </c>
      <c r="I104" t="inlineStr">
        <is>
          <t>sheryll.ebuenga@concentrix.com</t>
        </is>
      </c>
      <c r="J104" t="inlineStr"/>
      <c r="K104" t="inlineStr">
        <is>
          <t>HP Mainstream</t>
        </is>
      </c>
    </row>
    <row r="105">
      <c r="A105" t="inlineStr">
        <is>
          <t>103248344</t>
        </is>
      </c>
      <c r="B105" t="inlineStr">
        <is>
          <t>Cruz, Donato Mataganas</t>
        </is>
      </c>
      <c r="C105" t="inlineStr">
        <is>
          <t>donato.cruz@concentrix.com</t>
        </is>
      </c>
      <c r="D105" t="inlineStr">
        <is>
          <t>Lungcay, Robin Landayan</t>
        </is>
      </c>
      <c r="E105" t="inlineStr">
        <is>
          <t>robin.lungcay@concentrix.com</t>
        </is>
      </c>
      <c r="F105" t="inlineStr">
        <is>
          <t>Benedicto, Allen Kiel Lazarra</t>
        </is>
      </c>
      <c r="G105" t="inlineStr">
        <is>
          <t>allenkiel.benedicto@concentrix.com</t>
        </is>
      </c>
      <c r="H105" t="inlineStr">
        <is>
          <t>Ebuenga, Sheryll Avellaneda</t>
        </is>
      </c>
      <c r="I105" t="inlineStr">
        <is>
          <t>sheryll.ebuenga@concentrix.com</t>
        </is>
      </c>
      <c r="J105" t="inlineStr"/>
      <c r="K105" t="inlineStr">
        <is>
          <t>HP Mainstream</t>
        </is>
      </c>
    </row>
    <row r="106">
      <c r="A106" t="inlineStr">
        <is>
          <t>101573344</t>
        </is>
      </c>
      <c r="B106" t="inlineStr">
        <is>
          <t>Cruz, Jenefa Rose Salas</t>
        </is>
      </c>
      <c r="C106" t="inlineStr">
        <is>
          <t>jenefarose.cruz@concentrix.com</t>
        </is>
      </c>
      <c r="D106" t="inlineStr">
        <is>
          <t>Ferrer, Jasper Kenneth Labor</t>
        </is>
      </c>
      <c r="E106" t="inlineStr">
        <is>
          <t>jasperkenneth.ferrer@concentrix.com</t>
        </is>
      </c>
      <c r="F106" t="inlineStr">
        <is>
          <t>Nito, Reynaldo Tribol</t>
        </is>
      </c>
      <c r="G106" t="inlineStr">
        <is>
          <t>reynaldo.nito@concentrix.com</t>
        </is>
      </c>
      <c r="H106" t="inlineStr">
        <is>
          <t>Ebuenga, Sheryll Avellaneda</t>
        </is>
      </c>
      <c r="I106" t="inlineStr">
        <is>
          <t>sheryll.ebuenga@concentrix.com</t>
        </is>
      </c>
      <c r="J106" t="inlineStr"/>
      <c r="K106" t="inlineStr">
        <is>
          <t>HP Mainstream</t>
        </is>
      </c>
    </row>
    <row r="107">
      <c r="A107" t="inlineStr">
        <is>
          <t>102156702</t>
        </is>
      </c>
      <c r="B107" t="inlineStr">
        <is>
          <t>Cruz, Ma. Cassandra Orada</t>
        </is>
      </c>
      <c r="C107" t="inlineStr">
        <is>
          <t>macassandra.cruz@concentrix.com</t>
        </is>
      </c>
      <c r="D107" t="inlineStr">
        <is>
          <t>Sernal, Rachelle Ibiernas</t>
        </is>
      </c>
      <c r="E107" t="inlineStr">
        <is>
          <t>rachelle.sernal@concentrix.com</t>
        </is>
      </c>
      <c r="F107" t="inlineStr">
        <is>
          <t>Benedicto, Allen Kiel Lazarra</t>
        </is>
      </c>
      <c r="G107" t="inlineStr">
        <is>
          <t>allenkiel.benedicto@concentrix.com</t>
        </is>
      </c>
      <c r="H107" t="inlineStr">
        <is>
          <t>Ebuenga, Sheryll Avellaneda</t>
        </is>
      </c>
      <c r="I107" t="inlineStr">
        <is>
          <t>sheryll.ebuenga@concentrix.com</t>
        </is>
      </c>
      <c r="J107" t="inlineStr"/>
      <c r="K107" t="inlineStr">
        <is>
          <t>HP Mainstream</t>
        </is>
      </c>
    </row>
    <row r="108">
      <c r="A108" t="inlineStr">
        <is>
          <t>103164373</t>
        </is>
      </c>
      <c r="B108" t="inlineStr">
        <is>
          <t>Cruz, Michael Portem</t>
        </is>
      </c>
      <c r="C108" t="inlineStr">
        <is>
          <t>michael.cruz5@concentrix.com</t>
        </is>
      </c>
      <c r="D108" t="inlineStr">
        <is>
          <t>Aluning, Alain-Angelo Cangco</t>
        </is>
      </c>
      <c r="E108" t="inlineStr">
        <is>
          <t>alain-angelo.aluning@concentrix.com</t>
        </is>
      </c>
      <c r="F108" t="inlineStr">
        <is>
          <t>Arcena, Alberto Chua</t>
        </is>
      </c>
      <c r="G108" t="inlineStr">
        <is>
          <t>alberto.arcenajr@concentrix.com</t>
        </is>
      </c>
      <c r="H108" t="inlineStr">
        <is>
          <t>Ebuenga, Sheryll Avellaneda</t>
        </is>
      </c>
      <c r="I108" t="inlineStr">
        <is>
          <t>sheryll.ebuenga@concentrix.com</t>
        </is>
      </c>
      <c r="J108" t="inlineStr"/>
      <c r="K108" t="inlineStr">
        <is>
          <t>HP Mainstream</t>
        </is>
      </c>
    </row>
    <row r="109">
      <c r="A109" t="inlineStr">
        <is>
          <t>102862220</t>
        </is>
      </c>
      <c r="B109" t="inlineStr">
        <is>
          <t>Cruz, Niel Aldrin Ibañez</t>
        </is>
      </c>
      <c r="C109" t="inlineStr">
        <is>
          <t>nielaldrin.cruz@concentrix.com</t>
        </is>
      </c>
      <c r="D109" t="inlineStr">
        <is>
          <t>Hije, Bernadeth Rosales</t>
        </is>
      </c>
      <c r="E109" t="inlineStr">
        <is>
          <t>bernadeth.hije@concentrix.com</t>
        </is>
      </c>
      <c r="F109" t="inlineStr">
        <is>
          <t>Benedicto, Allen Kiel Lazarra</t>
        </is>
      </c>
      <c r="G109" t="inlineStr">
        <is>
          <t>allenkiel.benedicto@concentrix.com</t>
        </is>
      </c>
      <c r="H109" t="inlineStr">
        <is>
          <t>Ebuenga, Sheryll Avellaneda</t>
        </is>
      </c>
      <c r="I109" t="inlineStr">
        <is>
          <t>sheryll.ebuenga@concentrix.com</t>
        </is>
      </c>
      <c r="J109" t="inlineStr"/>
      <c r="K109" t="inlineStr">
        <is>
          <t>HP Mainstream</t>
        </is>
      </c>
    </row>
    <row r="110">
      <c r="A110" t="inlineStr">
        <is>
          <t>103018061</t>
        </is>
      </c>
      <c r="B110" t="inlineStr">
        <is>
          <t>Cua, Mary Grace Largo</t>
        </is>
      </c>
      <c r="C110" t="inlineStr">
        <is>
          <t>marygrace.cua@concentrix.com</t>
        </is>
      </c>
      <c r="D110" t="inlineStr">
        <is>
          <t>Ugalino, Jonadel Pineda</t>
        </is>
      </c>
      <c r="E110" t="inlineStr">
        <is>
          <t>jonadel.ugalino@concentrix.com</t>
        </is>
      </c>
      <c r="F110" t="inlineStr">
        <is>
          <t>Benedicto, Allen Kiel Lazarra</t>
        </is>
      </c>
      <c r="G110" t="inlineStr">
        <is>
          <t>allenkiel.benedicto@concentrix.com</t>
        </is>
      </c>
      <c r="H110" t="inlineStr">
        <is>
          <t>Ebuenga, Sheryll Avellaneda</t>
        </is>
      </c>
      <c r="I110" t="inlineStr">
        <is>
          <t>sheryll.ebuenga@concentrix.com</t>
        </is>
      </c>
      <c r="J110" t="inlineStr"/>
      <c r="K110" t="inlineStr">
        <is>
          <t>HP Mainstream</t>
        </is>
      </c>
    </row>
    <row r="111">
      <c r="A111" t="inlineStr">
        <is>
          <t>101419182</t>
        </is>
      </c>
      <c r="B111" t="inlineStr">
        <is>
          <t>Cuambot, Khimverly Ocampo</t>
        </is>
      </c>
      <c r="C111" t="inlineStr">
        <is>
          <t>khimverly.cuambot@concentrix.com</t>
        </is>
      </c>
      <c r="D111" t="inlineStr">
        <is>
          <t>Vedia, Jerson Reyes</t>
        </is>
      </c>
      <c r="E111" t="inlineStr">
        <is>
          <t>jerson.vedia@concentrix.com</t>
        </is>
      </c>
      <c r="F111" t="inlineStr">
        <is>
          <t>Ramos, Ma Concepcion Sanchez</t>
        </is>
      </c>
      <c r="G111" t="inlineStr">
        <is>
          <t>maconcepcion.ramos@concentrix.com</t>
        </is>
      </c>
      <c r="H111" t="inlineStr">
        <is>
          <t>Ebuenga, Sheryll Avellaneda</t>
        </is>
      </c>
      <c r="I111" t="inlineStr">
        <is>
          <t>sheryll.ebuenga@concentrix.com</t>
        </is>
      </c>
      <c r="J111" t="inlineStr"/>
      <c r="K111" t="inlineStr">
        <is>
          <t>HP Mainstream</t>
        </is>
      </c>
    </row>
    <row r="112">
      <c r="A112" t="inlineStr">
        <is>
          <t>103516830</t>
        </is>
      </c>
      <c r="B112" t="inlineStr">
        <is>
          <t>Cubillas, Rhena June Matuguina</t>
        </is>
      </c>
      <c r="C112" t="inlineStr">
        <is>
          <t>rhenajune.cubillas@concentrix.com</t>
        </is>
      </c>
      <c r="D112" t="inlineStr">
        <is>
          <t>Aluning, Alain-Angelo Cangco</t>
        </is>
      </c>
      <c r="E112" t="inlineStr">
        <is>
          <t>alain-angelo.aluning@concentrix.com</t>
        </is>
      </c>
      <c r="F112" t="inlineStr">
        <is>
          <t>Arcena, Alberto Chua</t>
        </is>
      </c>
      <c r="G112" t="inlineStr">
        <is>
          <t>alberto.arcenajr@concentrix.com</t>
        </is>
      </c>
      <c r="H112" t="inlineStr">
        <is>
          <t>Ebuenga, Sheryll Avellaneda</t>
        </is>
      </c>
      <c r="I112" t="inlineStr">
        <is>
          <t>sheryll.ebuenga@concentrix.com</t>
        </is>
      </c>
      <c r="J112" t="inlineStr"/>
      <c r="K112" t="inlineStr">
        <is>
          <t>HP Mainstream</t>
        </is>
      </c>
    </row>
    <row r="113">
      <c r="A113" t="inlineStr">
        <is>
          <t>100785265</t>
        </is>
      </c>
      <c r="B113" t="inlineStr">
        <is>
          <t>Cuenta, Azar Glenn Hilvano</t>
        </is>
      </c>
      <c r="C113" t="inlineStr">
        <is>
          <t>azarglenn.cuenta@concentrix.com</t>
        </is>
      </c>
      <c r="D113" t="inlineStr">
        <is>
          <t>Lungcay, Robin Landayan</t>
        </is>
      </c>
      <c r="E113" t="inlineStr">
        <is>
          <t>robin.lungcay@concentrix.com</t>
        </is>
      </c>
      <c r="F113" t="inlineStr">
        <is>
          <t>Benedicto, Allen Kiel Lazarra</t>
        </is>
      </c>
      <c r="G113" t="inlineStr">
        <is>
          <t>allenkiel.benedicto@concentrix.com</t>
        </is>
      </c>
      <c r="H113" t="inlineStr">
        <is>
          <t>Ebuenga, Sheryll Avellaneda</t>
        </is>
      </c>
      <c r="I113" t="inlineStr">
        <is>
          <t>sheryll.ebuenga@concentrix.com</t>
        </is>
      </c>
      <c r="J113" t="inlineStr"/>
      <c r="K113" t="inlineStr">
        <is>
          <t>HP Mainstream</t>
        </is>
      </c>
    </row>
    <row r="114">
      <c r="A114" t="inlineStr">
        <is>
          <t>421748</t>
        </is>
      </c>
      <c r="B114" t="inlineStr">
        <is>
          <t>Cunanan, Clarence Rico</t>
        </is>
      </c>
      <c r="C114" t="inlineStr">
        <is>
          <t>clarence.cunanan@concentrix.com</t>
        </is>
      </c>
      <c r="D114" t="inlineStr">
        <is>
          <t>Vedia, Jerson Reyes</t>
        </is>
      </c>
      <c r="E114" t="inlineStr">
        <is>
          <t>jerson.vedia@concentrix.com</t>
        </is>
      </c>
      <c r="F114" t="inlineStr">
        <is>
          <t>Ramos, Ma Concepcion Sanchez</t>
        </is>
      </c>
      <c r="G114" t="inlineStr">
        <is>
          <t>maconcepcion.ramos@concentrix.com</t>
        </is>
      </c>
      <c r="H114" t="inlineStr">
        <is>
          <t>Ebuenga, Sheryll Avellaneda</t>
        </is>
      </c>
      <c r="I114" t="inlineStr">
        <is>
          <t>sheryll.ebuenga@concentrix.com</t>
        </is>
      </c>
      <c r="J114" t="inlineStr"/>
      <c r="K114" t="inlineStr">
        <is>
          <t>HP Mainstream</t>
        </is>
      </c>
    </row>
    <row r="115">
      <c r="A115" t="inlineStr">
        <is>
          <t>101768497</t>
        </is>
      </c>
      <c r="B115" t="inlineStr">
        <is>
          <t>Cura Jr, Isagani Dela Rosa</t>
        </is>
      </c>
      <c r="C115" t="inlineStr">
        <is>
          <t>isagani.curajr@concentrix.com</t>
        </is>
      </c>
      <c r="D115" t="inlineStr">
        <is>
          <t>Vedia, Jerson Reyes</t>
        </is>
      </c>
      <c r="E115" t="inlineStr">
        <is>
          <t>jerson.vedia@concentrix.com</t>
        </is>
      </c>
      <c r="F115" t="inlineStr">
        <is>
          <t>Ramos, Ma Concepcion Sanchez</t>
        </is>
      </c>
      <c r="G115" t="inlineStr">
        <is>
          <t>maconcepcion.ramos@concentrix.com</t>
        </is>
      </c>
      <c r="H115" t="inlineStr">
        <is>
          <t>Ebuenga, Sheryll Avellaneda</t>
        </is>
      </c>
      <c r="I115" t="inlineStr">
        <is>
          <t>sheryll.ebuenga@concentrix.com</t>
        </is>
      </c>
      <c r="J115" t="inlineStr"/>
      <c r="K115" t="inlineStr">
        <is>
          <t>HP Mainstream</t>
        </is>
      </c>
    </row>
    <row r="116">
      <c r="A116" t="inlineStr">
        <is>
          <t>103384570</t>
        </is>
      </c>
      <c r="B116" t="inlineStr">
        <is>
          <t>Daclizon, Raffy Baldonado</t>
        </is>
      </c>
      <c r="C116" t="inlineStr">
        <is>
          <t>raffy.daclizon@concentrix.com</t>
        </is>
      </c>
      <c r="D116" t="inlineStr">
        <is>
          <t>Poon, Aris Sobrevilla</t>
        </is>
      </c>
      <c r="E116" t="inlineStr">
        <is>
          <t>aris.poon@concentrix.com</t>
        </is>
      </c>
      <c r="F116" t="inlineStr">
        <is>
          <t>Ramos, Ma Concepcion Sanchez</t>
        </is>
      </c>
      <c r="G116" t="inlineStr">
        <is>
          <t>maconcepcion.ramos@concentrix.com</t>
        </is>
      </c>
      <c r="H116" t="inlineStr">
        <is>
          <t>Ebuenga, Sheryll Avellaneda</t>
        </is>
      </c>
      <c r="I116" t="inlineStr">
        <is>
          <t>sheryll.ebuenga@concentrix.com</t>
        </is>
      </c>
      <c r="J116" t="inlineStr"/>
      <c r="K116" t="inlineStr">
        <is>
          <t>HP Mainstream</t>
        </is>
      </c>
    </row>
    <row r="117">
      <c r="A117" t="inlineStr">
        <is>
          <t>101548169</t>
        </is>
      </c>
      <c r="B117" t="inlineStr">
        <is>
          <t>Dagani, Karin Camarin</t>
        </is>
      </c>
      <c r="C117" t="inlineStr">
        <is>
          <t>karin.dagani@concentrix.com</t>
        </is>
      </c>
      <c r="D117" t="inlineStr">
        <is>
          <t>Blas, Jesus Jr Trinidad</t>
        </is>
      </c>
      <c r="E117" t="inlineStr">
        <is>
          <t>jesus.blas@concentrix.com</t>
        </is>
      </c>
      <c r="F117" t="inlineStr">
        <is>
          <t>Arcena, Alberto Chua</t>
        </is>
      </c>
      <c r="G117" t="inlineStr">
        <is>
          <t>alberto.arcenajr@concentrix.com</t>
        </is>
      </c>
      <c r="H117" t="inlineStr">
        <is>
          <t>Ebuenga, Sheryll Avellaneda</t>
        </is>
      </c>
      <c r="I117" t="inlineStr">
        <is>
          <t>sheryll.ebuenga@concentrix.com</t>
        </is>
      </c>
      <c r="J117" t="inlineStr"/>
      <c r="K117" t="inlineStr">
        <is>
          <t>HP Mainstream</t>
        </is>
      </c>
    </row>
    <row r="118">
      <c r="A118" t="inlineStr">
        <is>
          <t>263764</t>
        </is>
      </c>
      <c r="B118" t="inlineStr">
        <is>
          <t>Dagdagan, Maria Francisca Querubin</t>
        </is>
      </c>
      <c r="C118" t="inlineStr">
        <is>
          <t>mariafrancisca.dagdagan@concentrix.com</t>
        </is>
      </c>
      <c r="D118" t="inlineStr">
        <is>
          <t>Andrecoso, April Melody Sunga</t>
        </is>
      </c>
      <c r="E118" t="inlineStr">
        <is>
          <t>aprilmelody.andrecoso@concentrix.com</t>
        </is>
      </c>
      <c r="F118" t="inlineStr">
        <is>
          <t>Benedicto, Allen Kiel Lazarra</t>
        </is>
      </c>
      <c r="G118" t="inlineStr">
        <is>
          <t>allenkiel.benedicto@concentrix.com</t>
        </is>
      </c>
      <c r="H118" t="inlineStr">
        <is>
          <t>Ebuenga, Sheryll Avellaneda</t>
        </is>
      </c>
      <c r="I118" t="inlineStr">
        <is>
          <t>sheryll.ebuenga@concentrix.com</t>
        </is>
      </c>
      <c r="J118" t="inlineStr"/>
      <c r="K118" t="inlineStr">
        <is>
          <t>HP Mainstream</t>
        </is>
      </c>
    </row>
    <row r="119">
      <c r="A119" t="inlineStr">
        <is>
          <t>142012</t>
        </is>
      </c>
      <c r="B119" t="inlineStr">
        <is>
          <t>Danao, Prince Edward Sanchez</t>
        </is>
      </c>
      <c r="C119" t="inlineStr">
        <is>
          <t>princeedward.danao@concentrix.com</t>
        </is>
      </c>
      <c r="D119" t="inlineStr">
        <is>
          <t>Vedia, Jerson Reyes</t>
        </is>
      </c>
      <c r="E119" t="inlineStr">
        <is>
          <t>jerson.vedia@concentrix.com</t>
        </is>
      </c>
      <c r="F119" t="inlineStr">
        <is>
          <t>Ramos, Ma Concepcion Sanchez</t>
        </is>
      </c>
      <c r="G119" t="inlineStr">
        <is>
          <t>maconcepcion.ramos@concentrix.com</t>
        </is>
      </c>
      <c r="H119" t="inlineStr">
        <is>
          <t>Ebuenga, Sheryll Avellaneda</t>
        </is>
      </c>
      <c r="I119" t="inlineStr">
        <is>
          <t>sheryll.ebuenga@concentrix.com</t>
        </is>
      </c>
      <c r="J119" t="inlineStr"/>
      <c r="K119" t="inlineStr">
        <is>
          <t>HP Mainstream</t>
        </is>
      </c>
    </row>
    <row r="120">
      <c r="A120" t="inlineStr">
        <is>
          <t>103404426</t>
        </is>
      </c>
      <c r="B120" t="inlineStr">
        <is>
          <t>Danting, Racquel Lacap</t>
        </is>
      </c>
      <c r="C120" t="inlineStr">
        <is>
          <t>racquel.danting@concentrix.com</t>
        </is>
      </c>
      <c r="D120" t="inlineStr">
        <is>
          <t>Briones, Aries Ang</t>
        </is>
      </c>
      <c r="E120" t="inlineStr">
        <is>
          <t>aries.briones@concentrix.com</t>
        </is>
      </c>
      <c r="F120" t="inlineStr">
        <is>
          <t>Arcena, Alberto Chua</t>
        </is>
      </c>
      <c r="G120" t="inlineStr">
        <is>
          <t>alberto.arcenajr@concentrix.com</t>
        </is>
      </c>
      <c r="H120" t="inlineStr">
        <is>
          <t>Ebuenga, Sheryll Avellaneda</t>
        </is>
      </c>
      <c r="I120" t="inlineStr">
        <is>
          <t>sheryll.ebuenga@concentrix.com</t>
        </is>
      </c>
      <c r="J120" t="inlineStr"/>
      <c r="K120" t="inlineStr">
        <is>
          <t>HP Mainstream</t>
        </is>
      </c>
    </row>
    <row r="121">
      <c r="A121" t="inlineStr">
        <is>
          <t>103420020</t>
        </is>
      </c>
      <c r="B121" t="inlineStr">
        <is>
          <t>David, Renariza Parena</t>
        </is>
      </c>
      <c r="C121" t="inlineStr">
        <is>
          <t>renariza.david@concentrix.com</t>
        </is>
      </c>
      <c r="D121" t="inlineStr">
        <is>
          <t>Briones, Aries Ang</t>
        </is>
      </c>
      <c r="E121" t="inlineStr">
        <is>
          <t>aries.briones@concentrix.com</t>
        </is>
      </c>
      <c r="F121" t="inlineStr">
        <is>
          <t>Arcena, Alberto Chua</t>
        </is>
      </c>
      <c r="G121" t="inlineStr">
        <is>
          <t>alberto.arcenajr@concentrix.com</t>
        </is>
      </c>
      <c r="H121" t="inlineStr">
        <is>
          <t>Ebuenga, Sheryll Avellaneda</t>
        </is>
      </c>
      <c r="I121" t="inlineStr">
        <is>
          <t>sheryll.ebuenga@concentrix.com</t>
        </is>
      </c>
      <c r="J121" t="inlineStr"/>
      <c r="K121" t="inlineStr">
        <is>
          <t>HP Mainstream</t>
        </is>
      </c>
    </row>
    <row r="122">
      <c r="A122" t="inlineStr">
        <is>
          <t>102280899</t>
        </is>
      </c>
      <c r="B122" t="inlineStr">
        <is>
          <t>Dayapera, Nathalie Kaila Fontamillas</t>
        </is>
      </c>
      <c r="C122" t="inlineStr">
        <is>
          <t>nathaliekaila.dayapera1@concentrix.com</t>
        </is>
      </c>
      <c r="D122" t="inlineStr">
        <is>
          <t>Poon, Aris Sobrevilla</t>
        </is>
      </c>
      <c r="E122" t="inlineStr">
        <is>
          <t>aris.poon@concentrix.com</t>
        </is>
      </c>
      <c r="F122" t="inlineStr">
        <is>
          <t>Ramos, Ma Concepcion Sanchez</t>
        </is>
      </c>
      <c r="G122" t="inlineStr">
        <is>
          <t>maconcepcion.ramos@concentrix.com</t>
        </is>
      </c>
      <c r="H122" t="inlineStr">
        <is>
          <t>Ebuenga, Sheryll Avellaneda</t>
        </is>
      </c>
      <c r="I122" t="inlineStr">
        <is>
          <t>sheryll.ebuenga@concentrix.com</t>
        </is>
      </c>
      <c r="J122" t="inlineStr"/>
      <c r="K122" t="inlineStr">
        <is>
          <t>HP Mainstream</t>
        </is>
      </c>
    </row>
    <row r="123">
      <c r="A123" t="inlineStr">
        <is>
          <t>102224473</t>
        </is>
      </c>
      <c r="B123" t="inlineStr">
        <is>
          <t>De Goma, Jerome Morales</t>
        </is>
      </c>
      <c r="C123" t="inlineStr">
        <is>
          <t>jerome.degoma@concentrix.com</t>
        </is>
      </c>
      <c r="D123" t="inlineStr">
        <is>
          <t>Belandres, Nica Marie Ballola</t>
        </is>
      </c>
      <c r="E123" t="inlineStr">
        <is>
          <t>nicamarie.belandres@concentrix.com</t>
        </is>
      </c>
      <c r="F123" t="inlineStr">
        <is>
          <t>Benedicto, Allen Kiel Lazarra</t>
        </is>
      </c>
      <c r="G123" t="inlineStr">
        <is>
          <t>allenkiel.benedicto@concentrix.com</t>
        </is>
      </c>
      <c r="H123" t="inlineStr">
        <is>
          <t>Ebuenga, Sheryll Avellaneda</t>
        </is>
      </c>
      <c r="I123" t="inlineStr">
        <is>
          <t>sheryll.ebuenga@concentrix.com</t>
        </is>
      </c>
      <c r="J123" t="inlineStr"/>
      <c r="K123" t="inlineStr">
        <is>
          <t>HP Mainstream</t>
        </is>
      </c>
    </row>
    <row r="124">
      <c r="A124" t="inlineStr">
        <is>
          <t>103577135</t>
        </is>
      </c>
      <c r="B124" t="inlineStr">
        <is>
          <t>De Guzman, Benzie Na</t>
        </is>
      </c>
      <c r="C124" t="inlineStr">
        <is>
          <t>benzie.deguzman@concentrix.com</t>
        </is>
      </c>
      <c r="D124" t="inlineStr">
        <is>
          <t>Salafranca, Ryan Alejo</t>
        </is>
      </c>
      <c r="E124" t="inlineStr">
        <is>
          <t>ryan.salafranca@concentrix.com</t>
        </is>
      </c>
      <c r="F124" t="inlineStr">
        <is>
          <t>Arcena, Alberto Chua</t>
        </is>
      </c>
      <c r="G124" t="inlineStr">
        <is>
          <t>alberto.arcenajr@concentrix.com</t>
        </is>
      </c>
      <c r="H124" t="inlineStr">
        <is>
          <t>Ebuenga, Sheryll Avellaneda</t>
        </is>
      </c>
      <c r="I124" t="inlineStr">
        <is>
          <t>sheryll.ebuenga@concentrix.com</t>
        </is>
      </c>
      <c r="J124" t="inlineStr"/>
      <c r="K124" t="inlineStr">
        <is>
          <t>HP Mainstream</t>
        </is>
      </c>
    </row>
    <row r="125">
      <c r="A125" t="inlineStr">
        <is>
          <t>102125891</t>
        </is>
      </c>
      <c r="B125" t="inlineStr">
        <is>
          <t>De Guzman, Emil Salvador</t>
        </is>
      </c>
      <c r="C125" t="inlineStr">
        <is>
          <t>emil.deguzman@concentrix.com</t>
        </is>
      </c>
      <c r="D125" t="inlineStr">
        <is>
          <t>Galope, Danri Catacutan</t>
        </is>
      </c>
      <c r="E125" t="inlineStr">
        <is>
          <t>danri.galope@concentrix.com</t>
        </is>
      </c>
      <c r="F125" t="inlineStr">
        <is>
          <t>Ramos, Ma Concepcion Sanchez</t>
        </is>
      </c>
      <c r="G125" t="inlineStr">
        <is>
          <t>maconcepcion.ramos@concentrix.com</t>
        </is>
      </c>
      <c r="H125" t="inlineStr">
        <is>
          <t>Ebuenga, Sheryll Avellaneda</t>
        </is>
      </c>
      <c r="I125" t="inlineStr">
        <is>
          <t>sheryll.ebuenga@concentrix.com</t>
        </is>
      </c>
      <c r="J125" t="inlineStr"/>
      <c r="K125" t="inlineStr">
        <is>
          <t>HP Mainstream</t>
        </is>
      </c>
    </row>
    <row r="126">
      <c r="A126" t="inlineStr">
        <is>
          <t>172211</t>
        </is>
      </c>
      <c r="B126" t="inlineStr">
        <is>
          <t>De Guzman, Gabriel Rodrigo</t>
        </is>
      </c>
      <c r="C126" t="inlineStr">
        <is>
          <t>gabriel.deguzman@concentrix.com</t>
        </is>
      </c>
      <c r="D126" t="inlineStr">
        <is>
          <t>Arcena, Alberto Chua</t>
        </is>
      </c>
      <c r="E126" t="inlineStr">
        <is>
          <t>alberto.arcenajr@concentrix.com</t>
        </is>
      </c>
      <c r="F126" t="inlineStr">
        <is>
          <t>Arcena, Alberto Chua</t>
        </is>
      </c>
      <c r="G126" t="inlineStr">
        <is>
          <t>alberto.arcenajr@concentrix.com</t>
        </is>
      </c>
      <c r="H126" t="inlineStr">
        <is>
          <t>Ebuenga, Sheryll Avellaneda</t>
        </is>
      </c>
      <c r="I126" t="inlineStr">
        <is>
          <t>sheryll.ebuenga@concentrix.com</t>
        </is>
      </c>
      <c r="J126" t="inlineStr"/>
      <c r="K126" t="inlineStr">
        <is>
          <t>HP Mainstream</t>
        </is>
      </c>
    </row>
    <row r="127">
      <c r="A127" t="inlineStr">
        <is>
          <t>101681611</t>
        </is>
      </c>
      <c r="B127" t="inlineStr">
        <is>
          <t>De Guzman, Gilbert Bondad</t>
        </is>
      </c>
      <c r="C127" t="inlineStr">
        <is>
          <t>gilbert.deguzman@concentrix.com</t>
        </is>
      </c>
      <c r="D127" t="inlineStr">
        <is>
          <t>Belandres, Nica Marie Ballola</t>
        </is>
      </c>
      <c r="E127" t="inlineStr">
        <is>
          <t>nicamarie.belandres@concentrix.com</t>
        </is>
      </c>
      <c r="F127" t="inlineStr">
        <is>
          <t>Benedicto, Allen Kiel Lazarra</t>
        </is>
      </c>
      <c r="G127" t="inlineStr">
        <is>
          <t>allenkiel.benedicto@concentrix.com</t>
        </is>
      </c>
      <c r="H127" t="inlineStr">
        <is>
          <t>Ebuenga, Sheryll Avellaneda</t>
        </is>
      </c>
      <c r="I127" t="inlineStr">
        <is>
          <t>sheryll.ebuenga@concentrix.com</t>
        </is>
      </c>
      <c r="J127" t="inlineStr"/>
      <c r="K127" t="inlineStr">
        <is>
          <t>HP Mainstream</t>
        </is>
      </c>
    </row>
    <row r="128">
      <c r="A128" t="inlineStr">
        <is>
          <t>102005723</t>
        </is>
      </c>
      <c r="B128" t="inlineStr">
        <is>
          <t>De Guzman, Marks Frederick Robosa</t>
        </is>
      </c>
      <c r="C128" t="inlineStr">
        <is>
          <t>marksfrederick.deguzman@concentrix.com</t>
        </is>
      </c>
      <c r="D128" t="inlineStr">
        <is>
          <t>Quinto, Bernadeth Mendoza</t>
        </is>
      </c>
      <c r="E128" t="inlineStr">
        <is>
          <t>bernadeth.quinto@concentrix.com</t>
        </is>
      </c>
      <c r="F128" t="inlineStr">
        <is>
          <t>Benedicto, Allen Kiel Lazarra</t>
        </is>
      </c>
      <c r="G128" t="inlineStr">
        <is>
          <t>allenkiel.benedicto@concentrix.com</t>
        </is>
      </c>
      <c r="H128" t="inlineStr">
        <is>
          <t>Ebuenga, Sheryll Avellaneda</t>
        </is>
      </c>
      <c r="I128" t="inlineStr">
        <is>
          <t>sheryll.ebuenga@concentrix.com</t>
        </is>
      </c>
      <c r="J128" t="inlineStr"/>
      <c r="K128" t="inlineStr">
        <is>
          <t>HP Mainstream</t>
        </is>
      </c>
    </row>
    <row r="129">
      <c r="A129" t="inlineStr">
        <is>
          <t>102175258</t>
        </is>
      </c>
      <c r="B129" t="inlineStr">
        <is>
          <t>De Guzman, Steven Michael Flores</t>
        </is>
      </c>
      <c r="C129" t="inlineStr">
        <is>
          <t>stevenmichael.deguzman@concentrix.com</t>
        </is>
      </c>
      <c r="D129" t="inlineStr">
        <is>
          <t>Nito, Reynaldo Tribol</t>
        </is>
      </c>
      <c r="E129" t="inlineStr">
        <is>
          <t>reynaldo.nito@concentrix.com</t>
        </is>
      </c>
      <c r="F129" t="inlineStr">
        <is>
          <t>Nito, Reynaldo Tribol</t>
        </is>
      </c>
      <c r="G129" t="inlineStr">
        <is>
          <t>reynaldo.nito@concentrix.com</t>
        </is>
      </c>
      <c r="H129" t="inlineStr">
        <is>
          <t>Ebuenga, Sheryll Avellaneda</t>
        </is>
      </c>
      <c r="I129" t="inlineStr">
        <is>
          <t>sheryll.ebuenga@concentrix.com</t>
        </is>
      </c>
      <c r="J129" t="inlineStr"/>
      <c r="K129" t="inlineStr">
        <is>
          <t>HP Mainstream</t>
        </is>
      </c>
    </row>
    <row r="130">
      <c r="A130" t="inlineStr">
        <is>
          <t>102465064</t>
        </is>
      </c>
      <c r="B130" t="inlineStr">
        <is>
          <t>De Jesus, Alondra Mae Velasco</t>
        </is>
      </c>
      <c r="C130" t="inlineStr">
        <is>
          <t>alondramae.dejesus@concentrix.com</t>
        </is>
      </c>
      <c r="D130" t="inlineStr">
        <is>
          <t>Aluning, Alain-Angelo Cangco</t>
        </is>
      </c>
      <c r="E130" t="inlineStr">
        <is>
          <t>alain-angelo.aluning@concentrix.com</t>
        </is>
      </c>
      <c r="F130" t="inlineStr">
        <is>
          <t>Arcena, Alberto Chua</t>
        </is>
      </c>
      <c r="G130" t="inlineStr">
        <is>
          <t>alberto.arcenajr@concentrix.com</t>
        </is>
      </c>
      <c r="H130" t="inlineStr">
        <is>
          <t>Ebuenga, Sheryll Avellaneda</t>
        </is>
      </c>
      <c r="I130" t="inlineStr">
        <is>
          <t>sheryll.ebuenga@concentrix.com</t>
        </is>
      </c>
      <c r="J130" t="inlineStr"/>
      <c r="K130" t="inlineStr">
        <is>
          <t>HP Mainstream</t>
        </is>
      </c>
    </row>
    <row r="131">
      <c r="A131" t="inlineStr">
        <is>
          <t>103370380</t>
        </is>
      </c>
      <c r="B131" t="inlineStr">
        <is>
          <t>De Leon, Edison Alvarez</t>
        </is>
      </c>
      <c r="C131" t="inlineStr">
        <is>
          <t>edison.deleon@concentrix.com</t>
        </is>
      </c>
      <c r="D131" t="inlineStr">
        <is>
          <t>Poon, Aris Sobrevilla</t>
        </is>
      </c>
      <c r="E131" t="inlineStr">
        <is>
          <t>aris.poon@concentrix.com</t>
        </is>
      </c>
      <c r="F131" t="inlineStr">
        <is>
          <t>Ramos, Ma Concepcion Sanchez</t>
        </is>
      </c>
      <c r="G131" t="inlineStr">
        <is>
          <t>maconcepcion.ramos@concentrix.com</t>
        </is>
      </c>
      <c r="H131" t="inlineStr">
        <is>
          <t>Ebuenga, Sheryll Avellaneda</t>
        </is>
      </c>
      <c r="I131" t="inlineStr">
        <is>
          <t>sheryll.ebuenga@concentrix.com</t>
        </is>
      </c>
      <c r="J131" t="inlineStr"/>
      <c r="K131" t="inlineStr">
        <is>
          <t>HP Mainstream</t>
        </is>
      </c>
    </row>
    <row r="132">
      <c r="A132" t="inlineStr">
        <is>
          <t>101551925</t>
        </is>
      </c>
      <c r="B132" t="inlineStr">
        <is>
          <t>De Leon, Gerald Michael Solana</t>
        </is>
      </c>
      <c r="C132" t="inlineStr">
        <is>
          <t>geraldmichael.deleon@concentrix.com</t>
        </is>
      </c>
      <c r="D132" t="inlineStr">
        <is>
          <t>Vedia, Jerson Reyes</t>
        </is>
      </c>
      <c r="E132" t="inlineStr">
        <is>
          <t>jerson.vedia@concentrix.com</t>
        </is>
      </c>
      <c r="F132" t="inlineStr">
        <is>
          <t>Ramos, Ma Concepcion Sanchez</t>
        </is>
      </c>
      <c r="G132" t="inlineStr">
        <is>
          <t>maconcepcion.ramos@concentrix.com</t>
        </is>
      </c>
      <c r="H132" t="inlineStr">
        <is>
          <t>Ebuenga, Sheryll Avellaneda</t>
        </is>
      </c>
      <c r="I132" t="inlineStr">
        <is>
          <t>sheryll.ebuenga@concentrix.com</t>
        </is>
      </c>
      <c r="J132" t="inlineStr"/>
      <c r="K132" t="inlineStr">
        <is>
          <t>HP Mainstream</t>
        </is>
      </c>
    </row>
    <row r="133">
      <c r="A133" t="inlineStr">
        <is>
          <t>101242465</t>
        </is>
      </c>
      <c r="B133" t="inlineStr">
        <is>
          <t>De Leon, Melanie Sitjar</t>
        </is>
      </c>
      <c r="C133" t="inlineStr">
        <is>
          <t>melanie.deleon1@concentrix.com</t>
        </is>
      </c>
      <c r="D133" t="inlineStr">
        <is>
          <t>Blas, Jesus Jr Trinidad</t>
        </is>
      </c>
      <c r="E133" t="inlineStr">
        <is>
          <t>jesus.blas@concentrix.com</t>
        </is>
      </c>
      <c r="F133" t="inlineStr">
        <is>
          <t>Arcena, Alberto Chua</t>
        </is>
      </c>
      <c r="G133" t="inlineStr">
        <is>
          <t>alberto.arcenajr@concentrix.com</t>
        </is>
      </c>
      <c r="H133" t="inlineStr">
        <is>
          <t>Ebuenga, Sheryll Avellaneda</t>
        </is>
      </c>
      <c r="I133" t="inlineStr">
        <is>
          <t>sheryll.ebuenga@concentrix.com</t>
        </is>
      </c>
      <c r="J133" t="inlineStr"/>
      <c r="K133" t="inlineStr">
        <is>
          <t>HP Mainstream</t>
        </is>
      </c>
    </row>
    <row r="134">
      <c r="A134" t="inlineStr">
        <is>
          <t>103384571</t>
        </is>
      </c>
      <c r="B134" t="inlineStr">
        <is>
          <t>De Leon, Menandro Bron</t>
        </is>
      </c>
      <c r="C134" t="inlineStr">
        <is>
          <t>menandro.deleon@concentrix.com</t>
        </is>
      </c>
      <c r="D134" t="inlineStr">
        <is>
          <t>Poon, Aris Sobrevilla</t>
        </is>
      </c>
      <c r="E134" t="inlineStr">
        <is>
          <t>aris.poon@concentrix.com</t>
        </is>
      </c>
      <c r="F134" t="inlineStr">
        <is>
          <t>Ramos, Ma Concepcion Sanchez</t>
        </is>
      </c>
      <c r="G134" t="inlineStr">
        <is>
          <t>maconcepcion.ramos@concentrix.com</t>
        </is>
      </c>
      <c r="H134" t="inlineStr">
        <is>
          <t>Ebuenga, Sheryll Avellaneda</t>
        </is>
      </c>
      <c r="I134" t="inlineStr">
        <is>
          <t>sheryll.ebuenga@concentrix.com</t>
        </is>
      </c>
      <c r="J134" t="inlineStr"/>
      <c r="K134" t="inlineStr">
        <is>
          <t>HP Mainstream</t>
        </is>
      </c>
    </row>
    <row r="135">
      <c r="A135" t="inlineStr">
        <is>
          <t>102243023</t>
        </is>
      </c>
      <c r="B135" t="inlineStr">
        <is>
          <t>De Leon, Neley Joyce Salvador</t>
        </is>
      </c>
      <c r="C135" t="inlineStr">
        <is>
          <t>neleyjoyce.deleon@concentrix.com</t>
        </is>
      </c>
      <c r="D135" t="inlineStr">
        <is>
          <t>Poon, Aris Sobrevilla</t>
        </is>
      </c>
      <c r="E135" t="inlineStr">
        <is>
          <t>aris.poon@concentrix.com</t>
        </is>
      </c>
      <c r="F135" t="inlineStr">
        <is>
          <t>Ramos, Ma Concepcion Sanchez</t>
        </is>
      </c>
      <c r="G135" t="inlineStr">
        <is>
          <t>maconcepcion.ramos@concentrix.com</t>
        </is>
      </c>
      <c r="H135" t="inlineStr">
        <is>
          <t>Ebuenga, Sheryll Avellaneda</t>
        </is>
      </c>
      <c r="I135" t="inlineStr">
        <is>
          <t>sheryll.ebuenga@concentrix.com</t>
        </is>
      </c>
      <c r="J135" t="inlineStr"/>
      <c r="K135" t="inlineStr">
        <is>
          <t>HP Mainstream</t>
        </is>
      </c>
    </row>
    <row r="136">
      <c r="A136" t="inlineStr">
        <is>
          <t>103188738</t>
        </is>
      </c>
      <c r="B136" t="inlineStr">
        <is>
          <t>De Santos, Bea Maxene Santiago</t>
        </is>
      </c>
      <c r="C136" t="inlineStr">
        <is>
          <t>beamaxene.desantos@concentrix.com</t>
        </is>
      </c>
      <c r="D136" t="inlineStr">
        <is>
          <t>Vedia, Jerson Reyes</t>
        </is>
      </c>
      <c r="E136" t="inlineStr">
        <is>
          <t>jerson.vedia@concentrix.com</t>
        </is>
      </c>
      <c r="F136" t="inlineStr">
        <is>
          <t>Ramos, Ma Concepcion Sanchez</t>
        </is>
      </c>
      <c r="G136" t="inlineStr">
        <is>
          <t>maconcepcion.ramos@concentrix.com</t>
        </is>
      </c>
      <c r="H136" t="inlineStr">
        <is>
          <t>Ebuenga, Sheryll Avellaneda</t>
        </is>
      </c>
      <c r="I136" t="inlineStr">
        <is>
          <t>sheryll.ebuenga@concentrix.com</t>
        </is>
      </c>
      <c r="J136" t="inlineStr"/>
      <c r="K136" t="inlineStr">
        <is>
          <t>HP Mainstream</t>
        </is>
      </c>
    </row>
    <row r="137">
      <c r="A137" t="inlineStr">
        <is>
          <t>101864671</t>
        </is>
      </c>
      <c r="B137" t="inlineStr">
        <is>
          <t>De Villa, Scott Chavez</t>
        </is>
      </c>
      <c r="C137" t="inlineStr">
        <is>
          <t>scott.devilla@concentrix.com</t>
        </is>
      </c>
      <c r="D137" t="inlineStr">
        <is>
          <t>Racha, Grace Eunice Divinagracia</t>
        </is>
      </c>
      <c r="E137" t="inlineStr">
        <is>
          <t>graceeunice.racha@concentrix.com</t>
        </is>
      </c>
      <c r="F137" t="inlineStr">
        <is>
          <t>Ramos, Ma Concepcion Sanchez</t>
        </is>
      </c>
      <c r="G137" t="inlineStr">
        <is>
          <t>maconcepcion.ramos@concentrix.com</t>
        </is>
      </c>
      <c r="H137" t="inlineStr">
        <is>
          <t>Ebuenga, Sheryll Avellaneda</t>
        </is>
      </c>
      <c r="I137" t="inlineStr">
        <is>
          <t>sheryll.ebuenga@concentrix.com</t>
        </is>
      </c>
      <c r="J137" t="inlineStr"/>
      <c r="K137" t="inlineStr">
        <is>
          <t>HP Mainstream</t>
        </is>
      </c>
    </row>
    <row r="138">
      <c r="A138" t="inlineStr">
        <is>
          <t>101056863</t>
        </is>
      </c>
      <c r="B138" t="inlineStr">
        <is>
          <t>Decena, Archieval</t>
        </is>
      </c>
      <c r="C138" t="inlineStr">
        <is>
          <t>archieval.decena@concentrix.com</t>
        </is>
      </c>
      <c r="D138" t="inlineStr">
        <is>
          <t>Chan, Caroline Cruce</t>
        </is>
      </c>
      <c r="E138" t="inlineStr">
        <is>
          <t>caroline.chan@concentrix.com</t>
        </is>
      </c>
      <c r="F138" t="inlineStr">
        <is>
          <t>Chan, Caroline Cruce</t>
        </is>
      </c>
      <c r="G138" t="inlineStr">
        <is>
          <t>caroline.chan@concentrix.com</t>
        </is>
      </c>
      <c r="H138" t="inlineStr">
        <is>
          <t>-</t>
        </is>
      </c>
      <c r="I138" t="inlineStr"/>
      <c r="J138" t="inlineStr"/>
      <c r="K138" t="inlineStr">
        <is>
          <t>HP Mainstream</t>
        </is>
      </c>
    </row>
    <row r="139">
      <c r="A139" t="inlineStr">
        <is>
          <t>102193501</t>
        </is>
      </c>
      <c r="B139" t="inlineStr">
        <is>
          <t>Dela Cruz, Donaldo Laygo</t>
        </is>
      </c>
      <c r="C139" t="inlineStr">
        <is>
          <t>donaldo.delacruz@concentrix.com</t>
        </is>
      </c>
      <c r="D139" t="inlineStr">
        <is>
          <t>Quinto, Bernadeth Mendoza</t>
        </is>
      </c>
      <c r="E139" t="inlineStr">
        <is>
          <t>bernadeth.quinto@concentrix.com</t>
        </is>
      </c>
      <c r="F139" t="inlineStr">
        <is>
          <t>Benedicto, Allen Kiel Lazarra</t>
        </is>
      </c>
      <c r="G139" t="inlineStr">
        <is>
          <t>allenkiel.benedicto@concentrix.com</t>
        </is>
      </c>
      <c r="H139" t="inlineStr">
        <is>
          <t>Ebuenga, Sheryll Avellaneda</t>
        </is>
      </c>
      <c r="I139" t="inlineStr">
        <is>
          <t>sheryll.ebuenga@concentrix.com</t>
        </is>
      </c>
      <c r="J139" t="inlineStr"/>
      <c r="K139" t="inlineStr">
        <is>
          <t>HP Mainstream</t>
        </is>
      </c>
    </row>
    <row r="140">
      <c r="A140" t="inlineStr">
        <is>
          <t>102205504</t>
        </is>
      </c>
      <c r="B140" t="inlineStr">
        <is>
          <t>Dela Cruz, Jochelle Ann Bernas</t>
        </is>
      </c>
      <c r="C140" t="inlineStr">
        <is>
          <t>jochelleann.delacruz@concentrix.com</t>
        </is>
      </c>
      <c r="D140" t="inlineStr">
        <is>
          <t>Sernal, Rachelle Ibiernas</t>
        </is>
      </c>
      <c r="E140" t="inlineStr">
        <is>
          <t>rachelle.sernal@concentrix.com</t>
        </is>
      </c>
      <c r="F140" t="inlineStr">
        <is>
          <t>Benedicto, Allen Kiel Lazarra</t>
        </is>
      </c>
      <c r="G140" t="inlineStr">
        <is>
          <t>allenkiel.benedicto@concentrix.com</t>
        </is>
      </c>
      <c r="H140" t="inlineStr">
        <is>
          <t>Ebuenga, Sheryll Avellaneda</t>
        </is>
      </c>
      <c r="I140" t="inlineStr">
        <is>
          <t>sheryll.ebuenga@concentrix.com</t>
        </is>
      </c>
      <c r="J140" t="inlineStr"/>
      <c r="K140" t="inlineStr">
        <is>
          <t>HP Mainstream</t>
        </is>
      </c>
    </row>
    <row r="141">
      <c r="A141" t="inlineStr">
        <is>
          <t>101921527</t>
        </is>
      </c>
      <c r="B141" t="inlineStr">
        <is>
          <t>Dela Cruz, Rodalyn Daylo</t>
        </is>
      </c>
      <c r="C141" t="inlineStr">
        <is>
          <t>rodalyn.delacruz@concentrix.com</t>
        </is>
      </c>
      <c r="D141" t="inlineStr">
        <is>
          <t>Adrales, Allen Rick Aguilar</t>
        </is>
      </c>
      <c r="E141" t="inlineStr">
        <is>
          <t>allenrick.adrales@concentrix.com</t>
        </is>
      </c>
      <c r="F141" t="inlineStr">
        <is>
          <t>Ramos, Ma Concepcion Sanchez</t>
        </is>
      </c>
      <c r="G141" t="inlineStr">
        <is>
          <t>maconcepcion.ramos@concentrix.com</t>
        </is>
      </c>
      <c r="H141" t="inlineStr">
        <is>
          <t>Ebuenga, Sheryll Avellaneda</t>
        </is>
      </c>
      <c r="I141" t="inlineStr">
        <is>
          <t>sheryll.ebuenga@concentrix.com</t>
        </is>
      </c>
      <c r="J141" t="inlineStr"/>
      <c r="K141" t="inlineStr">
        <is>
          <t>HP Mainstream</t>
        </is>
      </c>
    </row>
    <row r="142">
      <c r="A142" t="inlineStr">
        <is>
          <t>459294</t>
        </is>
      </c>
      <c r="B142" t="inlineStr">
        <is>
          <t>Dela Fuente, Erick John Palomo</t>
        </is>
      </c>
      <c r="C142" t="inlineStr">
        <is>
          <t>erickjohn.delafuente@concentrix.com</t>
        </is>
      </c>
      <c r="D142" t="inlineStr">
        <is>
          <t>Ebuenga, Sheryll Avellaneda</t>
        </is>
      </c>
      <c r="E142" t="inlineStr">
        <is>
          <t>sheryll.ebuenga@concentrix.com</t>
        </is>
      </c>
      <c r="F142" t="inlineStr">
        <is>
          <t>Sevilla, Audrey Marie Galindo</t>
        </is>
      </c>
      <c r="G142" t="inlineStr">
        <is>
          <t>audrey.galindosevilla@concentrix.com</t>
        </is>
      </c>
      <c r="H142" t="inlineStr">
        <is>
          <t>-</t>
        </is>
      </c>
      <c r="I142" t="inlineStr"/>
      <c r="J142" t="inlineStr"/>
      <c r="K142" t="inlineStr">
        <is>
          <t>HP Mainstream</t>
        </is>
      </c>
    </row>
    <row r="143">
      <c r="A143" t="inlineStr">
        <is>
          <t>102036315</t>
        </is>
      </c>
      <c r="B143" t="inlineStr">
        <is>
          <t>Dela Torre, Anghelica Cuanico</t>
        </is>
      </c>
      <c r="C143" t="inlineStr">
        <is>
          <t>anghelica.delatorre@concentrix.com</t>
        </is>
      </c>
      <c r="D143" t="inlineStr">
        <is>
          <t>Vedia, Jerson Reyes</t>
        </is>
      </c>
      <c r="E143" t="inlineStr">
        <is>
          <t>jerson.vedia@concentrix.com</t>
        </is>
      </c>
      <c r="F143" t="inlineStr">
        <is>
          <t>Ramos, Ma Concepcion Sanchez</t>
        </is>
      </c>
      <c r="G143" t="inlineStr">
        <is>
          <t>maconcepcion.ramos@concentrix.com</t>
        </is>
      </c>
      <c r="H143" t="inlineStr">
        <is>
          <t>Ebuenga, Sheryll Avellaneda</t>
        </is>
      </c>
      <c r="I143" t="inlineStr">
        <is>
          <t>sheryll.ebuenga@concentrix.com</t>
        </is>
      </c>
      <c r="J143" t="inlineStr"/>
      <c r="K143" t="inlineStr">
        <is>
          <t>HP Mainstream</t>
        </is>
      </c>
    </row>
    <row r="144">
      <c r="A144" t="inlineStr">
        <is>
          <t>101425779</t>
        </is>
      </c>
      <c r="B144" t="inlineStr">
        <is>
          <t>Delbo, Ana Marie Espira</t>
        </is>
      </c>
      <c r="C144" t="inlineStr">
        <is>
          <t>anamarie.delbo@concentrix.com</t>
        </is>
      </c>
      <c r="D144" t="inlineStr">
        <is>
          <t>Ong, Lesley Ann Bayotas</t>
        </is>
      </c>
      <c r="E144" t="inlineStr">
        <is>
          <t>lesleyann.ong@concentrix.com</t>
        </is>
      </c>
      <c r="F144" t="inlineStr">
        <is>
          <t>Ramos, Ma Concepcion Sanchez</t>
        </is>
      </c>
      <c r="G144" t="inlineStr">
        <is>
          <t>maconcepcion.ramos@concentrix.com</t>
        </is>
      </c>
      <c r="H144" t="inlineStr">
        <is>
          <t>Ebuenga, Sheryll Avellaneda</t>
        </is>
      </c>
      <c r="I144" t="inlineStr">
        <is>
          <t>sheryll.ebuenga@concentrix.com</t>
        </is>
      </c>
      <c r="J144" t="inlineStr"/>
      <c r="K144" t="inlineStr">
        <is>
          <t>HP Mainstream</t>
        </is>
      </c>
    </row>
    <row r="145">
      <c r="A145" t="inlineStr">
        <is>
          <t>101212328</t>
        </is>
      </c>
      <c r="B145" t="inlineStr">
        <is>
          <t>Delos Reyes, Anthony De Castro</t>
        </is>
      </c>
      <c r="C145" t="inlineStr">
        <is>
          <t>anthony.delosreyes@concentrix.com</t>
        </is>
      </c>
      <c r="D145" t="inlineStr">
        <is>
          <t>Vedia, Jerson Reyes</t>
        </is>
      </c>
      <c r="E145" t="inlineStr">
        <is>
          <t>jerson.vedia@concentrix.com</t>
        </is>
      </c>
      <c r="F145" t="inlineStr">
        <is>
          <t>Ramos, Ma Concepcion Sanchez</t>
        </is>
      </c>
      <c r="G145" t="inlineStr">
        <is>
          <t>maconcepcion.ramos@concentrix.com</t>
        </is>
      </c>
      <c r="H145" t="inlineStr">
        <is>
          <t>Ebuenga, Sheryll Avellaneda</t>
        </is>
      </c>
      <c r="I145" t="inlineStr">
        <is>
          <t>sheryll.ebuenga@concentrix.com</t>
        </is>
      </c>
      <c r="J145" t="inlineStr"/>
      <c r="K145" t="inlineStr">
        <is>
          <t>HP Mainstream</t>
        </is>
      </c>
    </row>
    <row r="146">
      <c r="A146" t="inlineStr">
        <is>
          <t>102140036</t>
        </is>
      </c>
      <c r="B146" t="inlineStr">
        <is>
          <t>Demetrio, Olivia Continedas</t>
        </is>
      </c>
      <c r="C146" t="inlineStr">
        <is>
          <t>olivia.demetrio@concentrix.com</t>
        </is>
      </c>
      <c r="D146" t="inlineStr">
        <is>
          <t>Hije, Bernadeth Rosales</t>
        </is>
      </c>
      <c r="E146" t="inlineStr">
        <is>
          <t>bernadeth.hije@concentrix.com</t>
        </is>
      </c>
      <c r="F146" t="inlineStr">
        <is>
          <t>Benedicto, Allen Kiel Lazarra</t>
        </is>
      </c>
      <c r="G146" t="inlineStr">
        <is>
          <t>allenkiel.benedicto@concentrix.com</t>
        </is>
      </c>
      <c r="H146" t="inlineStr">
        <is>
          <t>Ebuenga, Sheryll Avellaneda</t>
        </is>
      </c>
      <c r="I146" t="inlineStr">
        <is>
          <t>sheryll.ebuenga@concentrix.com</t>
        </is>
      </c>
      <c r="J146" t="inlineStr"/>
      <c r="K146" t="inlineStr">
        <is>
          <t>HP Mainstream</t>
        </is>
      </c>
    </row>
    <row r="147">
      <c r="A147" t="inlineStr">
        <is>
          <t>102107165</t>
        </is>
      </c>
      <c r="B147" t="inlineStr">
        <is>
          <t>Deri, Roselyn Dioneda</t>
        </is>
      </c>
      <c r="C147" t="inlineStr">
        <is>
          <t>roselyn.deri@concentrix.com</t>
        </is>
      </c>
      <c r="D147" t="inlineStr">
        <is>
          <t>Pineda, Gerald Christian Bo</t>
        </is>
      </c>
      <c r="E147" t="inlineStr">
        <is>
          <t>geraldchristian.pineda@concentrix.com</t>
        </is>
      </c>
      <c r="F147" t="inlineStr">
        <is>
          <t>Medel, Lorelei Gabriel</t>
        </is>
      </c>
      <c r="G147" t="inlineStr">
        <is>
          <t>lorelei.gabriel@concentrix.com</t>
        </is>
      </c>
      <c r="H147" t="inlineStr">
        <is>
          <t>-</t>
        </is>
      </c>
      <c r="I147" t="inlineStr"/>
      <c r="J147" t="inlineStr"/>
      <c r="K147" t="inlineStr">
        <is>
          <t>HP Mainstream</t>
        </is>
      </c>
    </row>
    <row r="148">
      <c r="A148" t="inlineStr">
        <is>
          <t>101215407</t>
        </is>
      </c>
      <c r="B148" t="inlineStr">
        <is>
          <t>Diano, Lester Torres</t>
        </is>
      </c>
      <c r="C148" t="inlineStr">
        <is>
          <t>lester.diano@concentrix.com</t>
        </is>
      </c>
      <c r="D148" t="inlineStr">
        <is>
          <t>Belandres, Nica Marie Ballola</t>
        </is>
      </c>
      <c r="E148" t="inlineStr">
        <is>
          <t>nicamarie.belandres@concentrix.com</t>
        </is>
      </c>
      <c r="F148" t="inlineStr">
        <is>
          <t>Benedicto, Allen Kiel Lazarra</t>
        </is>
      </c>
      <c r="G148" t="inlineStr">
        <is>
          <t>allenkiel.benedicto@concentrix.com</t>
        </is>
      </c>
      <c r="H148" t="inlineStr">
        <is>
          <t>Ebuenga, Sheryll Avellaneda</t>
        </is>
      </c>
      <c r="I148" t="inlineStr">
        <is>
          <t>sheryll.ebuenga@concentrix.com</t>
        </is>
      </c>
      <c r="J148" t="inlineStr"/>
      <c r="K148" t="inlineStr">
        <is>
          <t>HP Mainstream</t>
        </is>
      </c>
    </row>
    <row r="149">
      <c r="A149" t="inlineStr">
        <is>
          <t>103518447</t>
        </is>
      </c>
      <c r="B149" t="inlineStr">
        <is>
          <t>Diaz, Apol Sablawon</t>
        </is>
      </c>
      <c r="C149" t="inlineStr">
        <is>
          <t>apol.diaz@concentrix.com</t>
        </is>
      </c>
      <c r="D149" t="inlineStr">
        <is>
          <t>Racha, Grace Eunice Divinagracia</t>
        </is>
      </c>
      <c r="E149" t="inlineStr">
        <is>
          <t>graceeunice.racha@concentrix.com</t>
        </is>
      </c>
      <c r="F149" t="inlineStr">
        <is>
          <t>Ramos, Ma Concepcion Sanchez</t>
        </is>
      </c>
      <c r="G149" t="inlineStr">
        <is>
          <t>maconcepcion.ramos@concentrix.com</t>
        </is>
      </c>
      <c r="H149" t="inlineStr">
        <is>
          <t>Ebuenga, Sheryll Avellaneda</t>
        </is>
      </c>
      <c r="I149" t="inlineStr">
        <is>
          <t>sheryll.ebuenga@concentrix.com</t>
        </is>
      </c>
      <c r="J149" t="inlineStr"/>
      <c r="K149" t="inlineStr">
        <is>
          <t>HP Mainstream</t>
        </is>
      </c>
    </row>
    <row r="150">
      <c r="A150" t="inlineStr">
        <is>
          <t>103422088</t>
        </is>
      </c>
      <c r="B150" t="inlineStr">
        <is>
          <t>Dino, Justin Clark Laynes</t>
        </is>
      </c>
      <c r="C150" t="inlineStr">
        <is>
          <t>justinclark.dino@concentrix.com</t>
        </is>
      </c>
      <c r="D150" t="inlineStr">
        <is>
          <t>Lungcay, Robin Landayan</t>
        </is>
      </c>
      <c r="E150" t="inlineStr">
        <is>
          <t>robin.lungcay@concentrix.com</t>
        </is>
      </c>
      <c r="F150" t="inlineStr">
        <is>
          <t>Benedicto, Allen Kiel Lazarra</t>
        </is>
      </c>
      <c r="G150" t="inlineStr">
        <is>
          <t>allenkiel.benedicto@concentrix.com</t>
        </is>
      </c>
      <c r="H150" t="inlineStr">
        <is>
          <t>Ebuenga, Sheryll Avellaneda</t>
        </is>
      </c>
      <c r="I150" t="inlineStr">
        <is>
          <t>sheryll.ebuenga@concentrix.com</t>
        </is>
      </c>
      <c r="J150" t="inlineStr"/>
      <c r="K150" t="inlineStr">
        <is>
          <t>HP Mainstream</t>
        </is>
      </c>
    </row>
    <row r="151">
      <c r="A151" t="inlineStr">
        <is>
          <t>101473264</t>
        </is>
      </c>
      <c r="B151" t="inlineStr">
        <is>
          <t>Divina, Jansaint Dave Camacho</t>
        </is>
      </c>
      <c r="C151" t="inlineStr">
        <is>
          <t>jansaintdave.divina@concentrix.com</t>
        </is>
      </c>
      <c r="D151" t="inlineStr">
        <is>
          <t>Galope, Danri Catacutan</t>
        </is>
      </c>
      <c r="E151" t="inlineStr">
        <is>
          <t>danri.galope@concentrix.com</t>
        </is>
      </c>
      <c r="F151" t="inlineStr">
        <is>
          <t>Ramos, Ma Concepcion Sanchez</t>
        </is>
      </c>
      <c r="G151" t="inlineStr">
        <is>
          <t>maconcepcion.ramos@concentrix.com</t>
        </is>
      </c>
      <c r="H151" t="inlineStr">
        <is>
          <t>Ebuenga, Sheryll Avellaneda</t>
        </is>
      </c>
      <c r="I151" t="inlineStr">
        <is>
          <t>sheryll.ebuenga@concentrix.com</t>
        </is>
      </c>
      <c r="J151" t="inlineStr"/>
      <c r="K151" t="inlineStr">
        <is>
          <t>HP Mainstream</t>
        </is>
      </c>
    </row>
    <row r="152">
      <c r="A152" t="inlineStr">
        <is>
          <t>231261</t>
        </is>
      </c>
      <c r="B152" t="inlineStr">
        <is>
          <t>Dizon, Milanie Yap</t>
        </is>
      </c>
      <c r="C152" t="inlineStr">
        <is>
          <t>milanie.dizon@concentrix.com</t>
        </is>
      </c>
      <c r="D152" t="inlineStr">
        <is>
          <t>De Guzman, Gabriel Rodrigo</t>
        </is>
      </c>
      <c r="E152" t="inlineStr">
        <is>
          <t>gabriel.deguzman@concentrix.com</t>
        </is>
      </c>
      <c r="F152" t="inlineStr">
        <is>
          <t>Arcena, Alberto Chua</t>
        </is>
      </c>
      <c r="G152" t="inlineStr">
        <is>
          <t>alberto.arcenajr@concentrix.com</t>
        </is>
      </c>
      <c r="H152" t="inlineStr">
        <is>
          <t>Ebuenga, Sheryll Avellaneda</t>
        </is>
      </c>
      <c r="I152" t="inlineStr">
        <is>
          <t>sheryll.ebuenga@concentrix.com</t>
        </is>
      </c>
      <c r="J152" t="inlineStr"/>
      <c r="K152" t="inlineStr">
        <is>
          <t>HP Mainstream</t>
        </is>
      </c>
    </row>
    <row r="153">
      <c r="A153" t="inlineStr">
        <is>
          <t>102366623</t>
        </is>
      </c>
      <c r="B153" t="inlineStr">
        <is>
          <t>Dordas, Ireneo Delfin</t>
        </is>
      </c>
      <c r="C153" t="inlineStr">
        <is>
          <t>ireneoii.dordas@concentrix.com</t>
        </is>
      </c>
      <c r="D153" t="inlineStr">
        <is>
          <t>Ugalino, Jonadel Pineda</t>
        </is>
      </c>
      <c r="E153" t="inlineStr">
        <is>
          <t>jonadel.ugalino@concentrix.com</t>
        </is>
      </c>
      <c r="F153" t="inlineStr">
        <is>
          <t>Benedicto, Allen Kiel Lazarra</t>
        </is>
      </c>
      <c r="G153" t="inlineStr">
        <is>
          <t>allenkiel.benedicto@concentrix.com</t>
        </is>
      </c>
      <c r="H153" t="inlineStr">
        <is>
          <t>Ebuenga, Sheryll Avellaneda</t>
        </is>
      </c>
      <c r="I153" t="inlineStr">
        <is>
          <t>sheryll.ebuenga@concentrix.com</t>
        </is>
      </c>
      <c r="J153" t="inlineStr"/>
      <c r="K153" t="inlineStr">
        <is>
          <t>HP Mainstream</t>
        </is>
      </c>
    </row>
    <row r="154">
      <c r="A154" t="inlineStr">
        <is>
          <t>103577136</t>
        </is>
      </c>
      <c r="B154" t="inlineStr">
        <is>
          <t>Dublin, Alliah Crystelle Reyes</t>
        </is>
      </c>
      <c r="C154" t="inlineStr">
        <is>
          <t>alliahcrystelle.dublin@concentrix.com</t>
        </is>
      </c>
      <c r="D154" t="inlineStr">
        <is>
          <t>Salafranca, Ryan Alejo</t>
        </is>
      </c>
      <c r="E154" t="inlineStr">
        <is>
          <t>ryan.salafranca@concentrix.com</t>
        </is>
      </c>
      <c r="F154" t="inlineStr">
        <is>
          <t>Arcena, Alberto Chua</t>
        </is>
      </c>
      <c r="G154" t="inlineStr">
        <is>
          <t>alberto.arcenajr@concentrix.com</t>
        </is>
      </c>
      <c r="H154" t="inlineStr">
        <is>
          <t>Ebuenga, Sheryll Avellaneda</t>
        </is>
      </c>
      <c r="I154" t="inlineStr">
        <is>
          <t>sheryll.ebuenga@concentrix.com</t>
        </is>
      </c>
      <c r="J154" t="inlineStr"/>
      <c r="K154" t="inlineStr">
        <is>
          <t>HP Mainstream</t>
        </is>
      </c>
    </row>
    <row r="155">
      <c r="A155" t="inlineStr">
        <is>
          <t>101090003</t>
        </is>
      </c>
      <c r="B155" t="inlineStr">
        <is>
          <t>Dungca, Luis Amante Digman</t>
        </is>
      </c>
      <c r="C155" t="inlineStr">
        <is>
          <t>luisamante.dungca@concentrix.com</t>
        </is>
      </c>
      <c r="D155" t="inlineStr">
        <is>
          <t>Luñiza, Jona Claveria</t>
        </is>
      </c>
      <c r="E155" t="inlineStr">
        <is>
          <t>jona.luniza@concentrix.com</t>
        </is>
      </c>
      <c r="F155" t="inlineStr">
        <is>
          <t>Arcena, Alberto Chua</t>
        </is>
      </c>
      <c r="G155" t="inlineStr">
        <is>
          <t>alberto.arcenajr@concentrix.com</t>
        </is>
      </c>
      <c r="H155" t="inlineStr">
        <is>
          <t>Ebuenga, Sheryll Avellaneda</t>
        </is>
      </c>
      <c r="I155" t="inlineStr">
        <is>
          <t>sheryll.ebuenga@concentrix.com</t>
        </is>
      </c>
      <c r="J155" t="inlineStr"/>
      <c r="K155" t="inlineStr">
        <is>
          <t>HP Mainstream</t>
        </is>
      </c>
    </row>
    <row r="156">
      <c r="A156" t="inlineStr">
        <is>
          <t>101604128</t>
        </is>
      </c>
      <c r="B156" t="inlineStr">
        <is>
          <t>Dy, Jonathan Dumindin</t>
        </is>
      </c>
      <c r="C156" t="inlineStr">
        <is>
          <t>jonathan.dy@concentrix.com</t>
        </is>
      </c>
      <c r="D156" t="inlineStr">
        <is>
          <t>Vedia, Jerson Reyes</t>
        </is>
      </c>
      <c r="E156" t="inlineStr">
        <is>
          <t>jerson.vedia@concentrix.com</t>
        </is>
      </c>
      <c r="F156" t="inlineStr">
        <is>
          <t>Ramos, Ma Concepcion Sanchez</t>
        </is>
      </c>
      <c r="G156" t="inlineStr">
        <is>
          <t>maconcepcion.ramos@concentrix.com</t>
        </is>
      </c>
      <c r="H156" t="inlineStr">
        <is>
          <t>Ebuenga, Sheryll Avellaneda</t>
        </is>
      </c>
      <c r="I156" t="inlineStr">
        <is>
          <t>sheryll.ebuenga@concentrix.com</t>
        </is>
      </c>
      <c r="J156" t="inlineStr"/>
      <c r="K156" t="inlineStr">
        <is>
          <t>HP Mainstream</t>
        </is>
      </c>
    </row>
    <row r="157">
      <c r="A157" t="inlineStr">
        <is>
          <t>101920517</t>
        </is>
      </c>
      <c r="B157" t="inlineStr">
        <is>
          <t>Ebuenga, Sheryll Avellaneda</t>
        </is>
      </c>
      <c r="C157" t="inlineStr">
        <is>
          <t>sheryll.ebuenga@concentrix.com</t>
        </is>
      </c>
      <c r="D157" t="inlineStr">
        <is>
          <t>Sevilla, Audrey Marie Galindo</t>
        </is>
      </c>
      <c r="E157" t="inlineStr">
        <is>
          <t>audrey.galindosevilla@concentrix.com</t>
        </is>
      </c>
      <c r="F157" t="inlineStr">
        <is>
          <t>Sevilla, Audrey Marie Galindo</t>
        </is>
      </c>
      <c r="G157" t="inlineStr">
        <is>
          <t>audrey.galindosevilla@concentrix.com</t>
        </is>
      </c>
      <c r="H157" t="inlineStr">
        <is>
          <t>-</t>
        </is>
      </c>
      <c r="I157" t="inlineStr"/>
      <c r="J157" t="inlineStr"/>
      <c r="K157" t="inlineStr">
        <is>
          <t>HP Mainstream</t>
        </is>
      </c>
    </row>
    <row r="158">
      <c r="A158" t="inlineStr">
        <is>
          <t>101665934</t>
        </is>
      </c>
      <c r="B158" t="inlineStr">
        <is>
          <t>Edralin, Emma Desuyo</t>
        </is>
      </c>
      <c r="C158" t="inlineStr">
        <is>
          <t>emma.edralin@concentrix.com</t>
        </is>
      </c>
      <c r="D158" t="inlineStr">
        <is>
          <t>Quinto, Bernadeth Mendoza</t>
        </is>
      </c>
      <c r="E158" t="inlineStr">
        <is>
          <t>bernadeth.quinto@concentrix.com</t>
        </is>
      </c>
      <c r="F158" t="inlineStr">
        <is>
          <t>Benedicto, Allen Kiel Lazarra</t>
        </is>
      </c>
      <c r="G158" t="inlineStr">
        <is>
          <t>allenkiel.benedicto@concentrix.com</t>
        </is>
      </c>
      <c r="H158" t="inlineStr">
        <is>
          <t>Ebuenga, Sheryll Avellaneda</t>
        </is>
      </c>
      <c r="I158" t="inlineStr">
        <is>
          <t>sheryll.ebuenga@concentrix.com</t>
        </is>
      </c>
      <c r="J158" t="inlineStr"/>
      <c r="K158" t="inlineStr">
        <is>
          <t>HP Mainstream</t>
        </is>
      </c>
    </row>
    <row r="159">
      <c r="A159" t="inlineStr">
        <is>
          <t>101252083</t>
        </is>
      </c>
      <c r="B159" t="inlineStr">
        <is>
          <t>Eduardo, Emil Manucot</t>
        </is>
      </c>
      <c r="C159" t="inlineStr">
        <is>
          <t>emil.eduardo@concentrix.com</t>
        </is>
      </c>
      <c r="D159" t="inlineStr">
        <is>
          <t>Chan, Caroline Cruce</t>
        </is>
      </c>
      <c r="E159" t="inlineStr">
        <is>
          <t>caroline.chan@concentrix.com</t>
        </is>
      </c>
      <c r="F159" t="inlineStr">
        <is>
          <t>Chan, Caroline Cruce</t>
        </is>
      </c>
      <c r="G159" t="inlineStr">
        <is>
          <t>caroline.chan@concentrix.com</t>
        </is>
      </c>
      <c r="H159" t="inlineStr">
        <is>
          <t>-</t>
        </is>
      </c>
      <c r="I159" t="inlineStr"/>
      <c r="J159" t="inlineStr"/>
      <c r="K159" t="inlineStr">
        <is>
          <t>HP Mainstream</t>
        </is>
      </c>
    </row>
    <row r="160">
      <c r="A160" t="inlineStr">
        <is>
          <t>102146519</t>
        </is>
      </c>
      <c r="B160" t="inlineStr">
        <is>
          <t>Ejurcadas, Princess Jane Bleack</t>
        </is>
      </c>
      <c r="C160" t="inlineStr">
        <is>
          <t>princessjane.ejurcadas@concentrix.com</t>
        </is>
      </c>
      <c r="D160" t="inlineStr">
        <is>
          <t>Sernal, Rachelle Ibiernas</t>
        </is>
      </c>
      <c r="E160" t="inlineStr">
        <is>
          <t>rachelle.sernal@concentrix.com</t>
        </is>
      </c>
      <c r="F160" t="inlineStr">
        <is>
          <t>Benedicto, Allen Kiel Lazarra</t>
        </is>
      </c>
      <c r="G160" t="inlineStr">
        <is>
          <t>allenkiel.benedicto@concentrix.com</t>
        </is>
      </c>
      <c r="H160" t="inlineStr">
        <is>
          <t>Ebuenga, Sheryll Avellaneda</t>
        </is>
      </c>
      <c r="I160" t="inlineStr">
        <is>
          <t>sheryll.ebuenga@concentrix.com</t>
        </is>
      </c>
      <c r="J160" t="inlineStr"/>
      <c r="K160" t="inlineStr">
        <is>
          <t>HP Mainstream</t>
        </is>
      </c>
    </row>
    <row r="161">
      <c r="A161" t="inlineStr">
        <is>
          <t>103424264</t>
        </is>
      </c>
      <c r="B161" t="inlineStr">
        <is>
          <t>Elefante, Windelyn Veniegas</t>
        </is>
      </c>
      <c r="C161" t="inlineStr">
        <is>
          <t>windelyn.elefante@concentrix.com</t>
        </is>
      </c>
      <c r="D161" t="inlineStr">
        <is>
          <t>Sernal, Rachelle Ibiernas</t>
        </is>
      </c>
      <c r="E161" t="inlineStr">
        <is>
          <t>rachelle.sernal@concentrix.com</t>
        </is>
      </c>
      <c r="F161" t="inlineStr">
        <is>
          <t>Benedicto, Allen Kiel Lazarra</t>
        </is>
      </c>
      <c r="G161" t="inlineStr">
        <is>
          <t>allenkiel.benedicto@concentrix.com</t>
        </is>
      </c>
      <c r="H161" t="inlineStr">
        <is>
          <t>Ebuenga, Sheryll Avellaneda</t>
        </is>
      </c>
      <c r="I161" t="inlineStr">
        <is>
          <t>sheryll.ebuenga@concentrix.com</t>
        </is>
      </c>
      <c r="J161" t="inlineStr"/>
      <c r="K161" t="inlineStr">
        <is>
          <t>HP Mainstream</t>
        </is>
      </c>
    </row>
    <row r="162">
      <c r="A162" t="inlineStr">
        <is>
          <t>100612289</t>
        </is>
      </c>
      <c r="B162" t="inlineStr">
        <is>
          <t>Enriquez, Irene Cañas</t>
        </is>
      </c>
      <c r="C162" t="inlineStr">
        <is>
          <t>irene.enriquez@concentrix.com</t>
        </is>
      </c>
      <c r="D162" t="inlineStr">
        <is>
          <t>Quinto, Bernadeth Mendoza</t>
        </is>
      </c>
      <c r="E162" t="inlineStr">
        <is>
          <t>bernadeth.quinto@concentrix.com</t>
        </is>
      </c>
      <c r="F162" t="inlineStr">
        <is>
          <t>Benedicto, Allen Kiel Lazarra</t>
        </is>
      </c>
      <c r="G162" t="inlineStr">
        <is>
          <t>allenkiel.benedicto@concentrix.com</t>
        </is>
      </c>
      <c r="H162" t="inlineStr">
        <is>
          <t>Ebuenga, Sheryll Avellaneda</t>
        </is>
      </c>
      <c r="I162" t="inlineStr">
        <is>
          <t>sheryll.ebuenga@concentrix.com</t>
        </is>
      </c>
      <c r="J162" t="inlineStr"/>
      <c r="K162" t="inlineStr">
        <is>
          <t>HP Mainstream</t>
        </is>
      </c>
    </row>
    <row r="163">
      <c r="A163" t="inlineStr">
        <is>
          <t>101424031</t>
        </is>
      </c>
      <c r="B163" t="inlineStr">
        <is>
          <t>Epino, Niccolo Vince Matunan</t>
        </is>
      </c>
      <c r="C163" t="inlineStr">
        <is>
          <t>niccolovince.epino@concentrix.com</t>
        </is>
      </c>
      <c r="D163" t="inlineStr">
        <is>
          <t>Dela Fuente, Erick John Palomo</t>
        </is>
      </c>
      <c r="E163" t="inlineStr">
        <is>
          <t>erickjohn.delafuente@concentrix.com</t>
        </is>
      </c>
      <c r="F163" t="inlineStr">
        <is>
          <t>Dela Fuente, Erick John Palomo</t>
        </is>
      </c>
      <c r="G163" t="inlineStr">
        <is>
          <t>erickjohn.delafuente@concentrix.com</t>
        </is>
      </c>
      <c r="H163" t="inlineStr">
        <is>
          <t>Ebuenga, Sheryll Avellaneda</t>
        </is>
      </c>
      <c r="I163" t="inlineStr">
        <is>
          <t>sheryll.ebuenga@concentrix.com</t>
        </is>
      </c>
      <c r="J163" t="inlineStr"/>
      <c r="K163" t="inlineStr">
        <is>
          <t>HP Mainstream</t>
        </is>
      </c>
    </row>
    <row r="164">
      <c r="A164" t="inlineStr">
        <is>
          <t>101412738</t>
        </is>
      </c>
      <c r="B164" t="inlineStr">
        <is>
          <t>Eroy, Shieva Camille Dela Cruz</t>
        </is>
      </c>
      <c r="C164" t="inlineStr">
        <is>
          <t>shievacamille.delacruz@concentrix.com</t>
        </is>
      </c>
      <c r="D164" t="inlineStr">
        <is>
          <t>Cinco, Neville Dimagiba</t>
        </is>
      </c>
      <c r="E164" t="inlineStr">
        <is>
          <t>neville.cinco@concentrix.com</t>
        </is>
      </c>
      <c r="F164" t="inlineStr">
        <is>
          <t>Christian Bajo</t>
        </is>
      </c>
      <c r="G164" t="inlineStr"/>
      <c r="H164" t="inlineStr">
        <is>
          <t>-</t>
        </is>
      </c>
      <c r="I164" t="inlineStr"/>
      <c r="J164" t="inlineStr"/>
      <c r="K164" t="inlineStr">
        <is>
          <t>HP Mainstream</t>
        </is>
      </c>
    </row>
    <row r="165">
      <c r="A165" t="inlineStr">
        <is>
          <t>101699610</t>
        </is>
      </c>
      <c r="B165" t="inlineStr">
        <is>
          <t>Esmabe, Jaessen Wadasen</t>
        </is>
      </c>
      <c r="C165" t="inlineStr">
        <is>
          <t>jaessen.esmabe@concentrix.com</t>
        </is>
      </c>
      <c r="D165" t="inlineStr">
        <is>
          <t>Briones, Aries Ang</t>
        </is>
      </c>
      <c r="E165" t="inlineStr">
        <is>
          <t>aries.briones@concentrix.com</t>
        </is>
      </c>
      <c r="F165" t="inlineStr">
        <is>
          <t>Arcena, Alberto Chua</t>
        </is>
      </c>
      <c r="G165" t="inlineStr">
        <is>
          <t>alberto.arcenajr@concentrix.com</t>
        </is>
      </c>
      <c r="H165" t="inlineStr">
        <is>
          <t>Ebuenga, Sheryll Avellaneda</t>
        </is>
      </c>
      <c r="I165" t="inlineStr">
        <is>
          <t>sheryll.ebuenga@concentrix.com</t>
        </is>
      </c>
      <c r="J165" t="inlineStr"/>
      <c r="K165" t="inlineStr">
        <is>
          <t>HP Mainstream</t>
        </is>
      </c>
    </row>
    <row r="166">
      <c r="A166" t="inlineStr">
        <is>
          <t>101367238</t>
        </is>
      </c>
      <c r="B166" t="inlineStr">
        <is>
          <t>Espineda, Anthony Direc Donor</t>
        </is>
      </c>
      <c r="C166" t="inlineStr">
        <is>
          <t>anthonydirec.espineda@concentrix.com</t>
        </is>
      </c>
      <c r="D166" t="inlineStr">
        <is>
          <t>Briones, Aries Ang</t>
        </is>
      </c>
      <c r="E166" t="inlineStr">
        <is>
          <t>aries.briones@concentrix.com</t>
        </is>
      </c>
      <c r="F166" t="inlineStr">
        <is>
          <t>Arcena, Alberto Chua</t>
        </is>
      </c>
      <c r="G166" t="inlineStr">
        <is>
          <t>alberto.arcenajr@concentrix.com</t>
        </is>
      </c>
      <c r="H166" t="inlineStr">
        <is>
          <t>Ebuenga, Sheryll Avellaneda</t>
        </is>
      </c>
      <c r="I166" t="inlineStr">
        <is>
          <t>sheryll.ebuenga@concentrix.com</t>
        </is>
      </c>
      <c r="J166" t="inlineStr"/>
      <c r="K166" t="inlineStr">
        <is>
          <t>HP Mainstream</t>
        </is>
      </c>
    </row>
    <row r="167">
      <c r="A167" t="inlineStr">
        <is>
          <t>102877155</t>
        </is>
      </c>
      <c r="B167" t="inlineStr">
        <is>
          <t>Espiritu, Antonelli Berbaño</t>
        </is>
      </c>
      <c r="C167" t="inlineStr">
        <is>
          <t>antonelli.espiritu@concentrix.com</t>
        </is>
      </c>
      <c r="D167" t="inlineStr">
        <is>
          <t>Blas, Jesus Jr Trinidad</t>
        </is>
      </c>
      <c r="E167" t="inlineStr">
        <is>
          <t>jesus.blas@concentrix.com</t>
        </is>
      </c>
      <c r="F167" t="inlineStr">
        <is>
          <t>Arcena, Alberto Chua</t>
        </is>
      </c>
      <c r="G167" t="inlineStr">
        <is>
          <t>alberto.arcenajr@concentrix.com</t>
        </is>
      </c>
      <c r="H167" t="inlineStr">
        <is>
          <t>Ebuenga, Sheryll Avellaneda</t>
        </is>
      </c>
      <c r="I167" t="inlineStr">
        <is>
          <t>sheryll.ebuenga@concentrix.com</t>
        </is>
      </c>
      <c r="J167" t="inlineStr"/>
      <c r="K167" t="inlineStr">
        <is>
          <t>HP Mainstream</t>
        </is>
      </c>
    </row>
    <row r="168">
      <c r="A168" t="inlineStr">
        <is>
          <t>101919219</t>
        </is>
      </c>
      <c r="B168" t="inlineStr">
        <is>
          <t>Espiritu, Elmer Madaraso</t>
        </is>
      </c>
      <c r="C168" t="inlineStr">
        <is>
          <t>elmer.espiritu@concentrix.com</t>
        </is>
      </c>
      <c r="D168" t="inlineStr">
        <is>
          <t>De Guzman, Gabriel Rodrigo</t>
        </is>
      </c>
      <c r="E168" t="inlineStr">
        <is>
          <t>gabriel.deguzman@concentrix.com</t>
        </is>
      </c>
      <c r="F168" t="inlineStr">
        <is>
          <t>Arcena, Alberto Chua</t>
        </is>
      </c>
      <c r="G168" t="inlineStr">
        <is>
          <t>alberto.arcenajr@concentrix.com</t>
        </is>
      </c>
      <c r="H168" t="inlineStr">
        <is>
          <t>Ebuenga, Sheryll Avellaneda</t>
        </is>
      </c>
      <c r="I168" t="inlineStr">
        <is>
          <t>sheryll.ebuenga@concentrix.com</t>
        </is>
      </c>
      <c r="J168" t="inlineStr"/>
      <c r="K168" t="inlineStr">
        <is>
          <t>HP Mainstream</t>
        </is>
      </c>
    </row>
    <row r="169">
      <c r="A169" t="inlineStr">
        <is>
          <t>209657</t>
        </is>
      </c>
      <c r="B169" t="inlineStr">
        <is>
          <t>Esquilona, Liezl Equipado</t>
        </is>
      </c>
      <c r="C169" t="inlineStr">
        <is>
          <t>liezl.esquilona@concentrix.com</t>
        </is>
      </c>
      <c r="D169" t="inlineStr">
        <is>
          <t>Napone, Jerome Budlao</t>
        </is>
      </c>
      <c r="E169" t="inlineStr"/>
      <c r="F169" t="inlineStr">
        <is>
          <t>Napone, Jerome Budlao</t>
        </is>
      </c>
      <c r="G169" t="inlineStr"/>
      <c r="H169" t="inlineStr">
        <is>
          <t>-</t>
        </is>
      </c>
      <c r="I169" t="inlineStr"/>
      <c r="J169" t="inlineStr"/>
      <c r="K169" t="inlineStr">
        <is>
          <t>HP Mainstream</t>
        </is>
      </c>
    </row>
    <row r="170">
      <c r="A170" t="inlineStr">
        <is>
          <t>101403822</t>
        </is>
      </c>
      <c r="B170" t="inlineStr">
        <is>
          <t>Estanislao, John Lore Jacla</t>
        </is>
      </c>
      <c r="C170" t="inlineStr">
        <is>
          <t>johnlore.estanislao@concentrix.com</t>
        </is>
      </c>
      <c r="D170" t="inlineStr">
        <is>
          <t>Racha, Grace Eunice Divinagracia</t>
        </is>
      </c>
      <c r="E170" t="inlineStr">
        <is>
          <t>graceeunice.racha@concentrix.com</t>
        </is>
      </c>
      <c r="F170" t="inlineStr">
        <is>
          <t>Ramos, Ma Concepcion Sanchez</t>
        </is>
      </c>
      <c r="G170" t="inlineStr">
        <is>
          <t>maconcepcion.ramos@concentrix.com</t>
        </is>
      </c>
      <c r="H170" t="inlineStr">
        <is>
          <t>Ebuenga, Sheryll Avellaneda</t>
        </is>
      </c>
      <c r="I170" t="inlineStr">
        <is>
          <t>sheryll.ebuenga@concentrix.com</t>
        </is>
      </c>
      <c r="J170" t="inlineStr"/>
      <c r="K170" t="inlineStr">
        <is>
          <t>HP Mainstream</t>
        </is>
      </c>
    </row>
    <row r="171">
      <c r="A171" t="inlineStr">
        <is>
          <t>101582265</t>
        </is>
      </c>
      <c r="B171" t="inlineStr">
        <is>
          <t>Eupena, Angieros Custodio</t>
        </is>
      </c>
      <c r="C171" t="inlineStr">
        <is>
          <t>angieros.eupena@concentrix.com</t>
        </is>
      </c>
      <c r="D171" t="inlineStr">
        <is>
          <t>De Guzman, Gabriel Rodrigo</t>
        </is>
      </c>
      <c r="E171" t="inlineStr">
        <is>
          <t>gabriel.deguzman@concentrix.com</t>
        </is>
      </c>
      <c r="F171" t="inlineStr">
        <is>
          <t>Arcena, Alberto Chua</t>
        </is>
      </c>
      <c r="G171" t="inlineStr">
        <is>
          <t>alberto.arcenajr@concentrix.com</t>
        </is>
      </c>
      <c r="H171" t="inlineStr">
        <is>
          <t>Ebuenga, Sheryll Avellaneda</t>
        </is>
      </c>
      <c r="I171" t="inlineStr">
        <is>
          <t>sheryll.ebuenga@concentrix.com</t>
        </is>
      </c>
      <c r="J171" t="inlineStr"/>
      <c r="K171" t="inlineStr">
        <is>
          <t>HP Mainstream</t>
        </is>
      </c>
    </row>
    <row r="172">
      <c r="A172" t="inlineStr">
        <is>
          <t>102865180</t>
        </is>
      </c>
      <c r="B172" t="inlineStr">
        <is>
          <t>Evidente, Jose Maria Recaredo Ancheta</t>
        </is>
      </c>
      <c r="C172" t="inlineStr">
        <is>
          <t>josemariarecaredo.evidenteiv@concentrix.com</t>
        </is>
      </c>
      <c r="D172" t="inlineStr">
        <is>
          <t>Blas, Jesus Jr Trinidad</t>
        </is>
      </c>
      <c r="E172" t="inlineStr">
        <is>
          <t>jesus.blas@concentrix.com</t>
        </is>
      </c>
      <c r="F172" t="inlineStr">
        <is>
          <t>Arcena, Alberto Chua</t>
        </is>
      </c>
      <c r="G172" t="inlineStr">
        <is>
          <t>alberto.arcenajr@concentrix.com</t>
        </is>
      </c>
      <c r="H172" t="inlineStr">
        <is>
          <t>Ebuenga, Sheryll Avellaneda</t>
        </is>
      </c>
      <c r="I172" t="inlineStr">
        <is>
          <t>sheryll.ebuenga@concentrix.com</t>
        </is>
      </c>
      <c r="J172" t="inlineStr"/>
      <c r="K172" t="inlineStr">
        <is>
          <t>HP Mainstream</t>
        </is>
      </c>
    </row>
    <row r="173">
      <c r="A173" t="inlineStr">
        <is>
          <t>101253864</t>
        </is>
      </c>
      <c r="B173" t="inlineStr">
        <is>
          <t>Fabales, Anita Rinto</t>
        </is>
      </c>
      <c r="C173" t="inlineStr">
        <is>
          <t>anita.fabales@concentrix.com</t>
        </is>
      </c>
      <c r="D173" t="inlineStr">
        <is>
          <t>Chan, Caroline Cruce</t>
        </is>
      </c>
      <c r="E173" t="inlineStr">
        <is>
          <t>caroline.chan@concentrix.com</t>
        </is>
      </c>
      <c r="F173" t="inlineStr">
        <is>
          <t>Chan, Caroline Cruce</t>
        </is>
      </c>
      <c r="G173" t="inlineStr">
        <is>
          <t>caroline.chan@concentrix.com</t>
        </is>
      </c>
      <c r="H173" t="inlineStr">
        <is>
          <t>-</t>
        </is>
      </c>
      <c r="I173" t="inlineStr"/>
      <c r="J173" t="inlineStr"/>
      <c r="K173" t="inlineStr">
        <is>
          <t>HP Mainstream</t>
        </is>
      </c>
    </row>
    <row r="174">
      <c r="A174" t="inlineStr">
        <is>
          <t>103421288</t>
        </is>
      </c>
      <c r="B174" t="inlineStr">
        <is>
          <t>Fabregas, Paulo Fontecilla</t>
        </is>
      </c>
      <c r="C174" t="inlineStr">
        <is>
          <t>paulo.fabregas@concentrix.com</t>
        </is>
      </c>
      <c r="D174" t="inlineStr">
        <is>
          <t>Aluning, Alain-Angelo Cangco</t>
        </is>
      </c>
      <c r="E174" t="inlineStr">
        <is>
          <t>alain-angelo.aluning@concentrix.com</t>
        </is>
      </c>
      <c r="F174" t="inlineStr">
        <is>
          <t>Arcena, Alberto Chua</t>
        </is>
      </c>
      <c r="G174" t="inlineStr">
        <is>
          <t>alberto.arcenajr@concentrix.com</t>
        </is>
      </c>
      <c r="H174" t="inlineStr">
        <is>
          <t>Ebuenga, Sheryll Avellaneda</t>
        </is>
      </c>
      <c r="I174" t="inlineStr">
        <is>
          <t>sheryll.ebuenga@concentrix.com</t>
        </is>
      </c>
      <c r="J174" t="inlineStr"/>
      <c r="K174" t="inlineStr">
        <is>
          <t>HP Mainstream</t>
        </is>
      </c>
    </row>
    <row r="175">
      <c r="A175" t="inlineStr">
        <is>
          <t>101921298</t>
        </is>
      </c>
      <c r="B175" t="inlineStr">
        <is>
          <t>Fabroa, Cresh Lyn Panganiban</t>
        </is>
      </c>
      <c r="C175" t="inlineStr">
        <is>
          <t>creshlyn.fabroa@concentrix.com</t>
        </is>
      </c>
      <c r="D175" t="inlineStr">
        <is>
          <t>Adrales, Allen Rick Aguilar</t>
        </is>
      </c>
      <c r="E175" t="inlineStr">
        <is>
          <t>allenrick.adrales@concentrix.com</t>
        </is>
      </c>
      <c r="F175" t="inlineStr">
        <is>
          <t>Ramos, Ma Concepcion Sanchez</t>
        </is>
      </c>
      <c r="G175" t="inlineStr">
        <is>
          <t>maconcepcion.ramos@concentrix.com</t>
        </is>
      </c>
      <c r="H175" t="inlineStr">
        <is>
          <t>Ebuenga, Sheryll Avellaneda</t>
        </is>
      </c>
      <c r="I175" t="inlineStr">
        <is>
          <t>sheryll.ebuenga@concentrix.com</t>
        </is>
      </c>
      <c r="J175" t="inlineStr"/>
      <c r="K175" t="inlineStr">
        <is>
          <t>HP Mainstream</t>
        </is>
      </c>
    </row>
    <row r="176">
      <c r="A176" t="inlineStr">
        <is>
          <t>101733957</t>
        </is>
      </c>
      <c r="B176" t="inlineStr">
        <is>
          <t>Fadera, Ronald Bryan Jugal</t>
        </is>
      </c>
      <c r="C176" t="inlineStr">
        <is>
          <t>ronaldbryan.fadera@concentrix.com</t>
        </is>
      </c>
      <c r="D176" t="inlineStr">
        <is>
          <t>Ugalino, Jonadel Pineda</t>
        </is>
      </c>
      <c r="E176" t="inlineStr">
        <is>
          <t>jonadel.ugalino@concentrix.com</t>
        </is>
      </c>
      <c r="F176" t="inlineStr">
        <is>
          <t>Benedicto, Allen Kiel Lazarra</t>
        </is>
      </c>
      <c r="G176" t="inlineStr">
        <is>
          <t>allenkiel.benedicto@concentrix.com</t>
        </is>
      </c>
      <c r="H176" t="inlineStr">
        <is>
          <t>Ebuenga, Sheryll Avellaneda</t>
        </is>
      </c>
      <c r="I176" t="inlineStr">
        <is>
          <t>sheryll.ebuenga@concentrix.com</t>
        </is>
      </c>
      <c r="J176" t="inlineStr"/>
      <c r="K176" t="inlineStr">
        <is>
          <t>HP Mainstream</t>
        </is>
      </c>
    </row>
    <row r="177">
      <c r="A177" t="inlineStr">
        <is>
          <t>101403460</t>
        </is>
      </c>
      <c r="B177" t="inlineStr">
        <is>
          <t>Falceso, Jeany Rose Lucaba</t>
        </is>
      </c>
      <c r="C177" t="inlineStr">
        <is>
          <t>jeanyrose.falceso@concentrix.com</t>
        </is>
      </c>
      <c r="D177" t="inlineStr">
        <is>
          <t>Briones, Aries Ang</t>
        </is>
      </c>
      <c r="E177" t="inlineStr">
        <is>
          <t>aries.briones@concentrix.com</t>
        </is>
      </c>
      <c r="F177" t="inlineStr">
        <is>
          <t>Arcena, Alberto Chua</t>
        </is>
      </c>
      <c r="G177" t="inlineStr">
        <is>
          <t>alberto.arcenajr@concentrix.com</t>
        </is>
      </c>
      <c r="H177" t="inlineStr">
        <is>
          <t>Ebuenga, Sheryll Avellaneda</t>
        </is>
      </c>
      <c r="I177" t="inlineStr">
        <is>
          <t>sheryll.ebuenga@concentrix.com</t>
        </is>
      </c>
      <c r="J177" t="inlineStr"/>
      <c r="K177" t="inlineStr">
        <is>
          <t>HP Mainstream</t>
        </is>
      </c>
    </row>
    <row r="178">
      <c r="A178" t="inlineStr">
        <is>
          <t>101054187</t>
        </is>
      </c>
      <c r="B178" t="inlineStr">
        <is>
          <t>Faustino, Gilbert Catanghal</t>
        </is>
      </c>
      <c r="C178" t="inlineStr">
        <is>
          <t>gilbert.faustino@concentrix.com</t>
        </is>
      </c>
      <c r="D178" t="inlineStr">
        <is>
          <t>Luñiza, Jona Claveria</t>
        </is>
      </c>
      <c r="E178" t="inlineStr">
        <is>
          <t>jona.luniza@concentrix.com</t>
        </is>
      </c>
      <c r="F178" t="inlineStr">
        <is>
          <t>Arcena, Alberto Chua</t>
        </is>
      </c>
      <c r="G178" t="inlineStr">
        <is>
          <t>alberto.arcenajr@concentrix.com</t>
        </is>
      </c>
      <c r="H178" t="inlineStr">
        <is>
          <t>Ebuenga, Sheryll Avellaneda</t>
        </is>
      </c>
      <c r="I178" t="inlineStr">
        <is>
          <t>sheryll.ebuenga@concentrix.com</t>
        </is>
      </c>
      <c r="J178" t="inlineStr"/>
      <c r="K178" t="inlineStr">
        <is>
          <t>HP Mainstream</t>
        </is>
      </c>
    </row>
    <row r="179">
      <c r="A179" t="inlineStr">
        <is>
          <t>102200937</t>
        </is>
      </c>
      <c r="B179" t="inlineStr">
        <is>
          <t>Fedelino, Raechelle Ibias</t>
        </is>
      </c>
      <c r="C179" t="inlineStr">
        <is>
          <t>raechelle.fedelino@concentrix.com</t>
        </is>
      </c>
      <c r="D179" t="inlineStr">
        <is>
          <t>Belandres, Nica Marie Ballola</t>
        </is>
      </c>
      <c r="E179" t="inlineStr">
        <is>
          <t>nicamarie.belandres@concentrix.com</t>
        </is>
      </c>
      <c r="F179" t="inlineStr">
        <is>
          <t>Benedicto, Allen Kiel Lazarra</t>
        </is>
      </c>
      <c r="G179" t="inlineStr">
        <is>
          <t>allenkiel.benedicto@concentrix.com</t>
        </is>
      </c>
      <c r="H179" t="inlineStr">
        <is>
          <t>Ebuenga, Sheryll Avellaneda</t>
        </is>
      </c>
      <c r="I179" t="inlineStr">
        <is>
          <t>sheryll.ebuenga@concentrix.com</t>
        </is>
      </c>
      <c r="J179" t="inlineStr"/>
      <c r="K179" t="inlineStr">
        <is>
          <t>HP Mainstream</t>
        </is>
      </c>
    </row>
    <row r="180">
      <c r="A180" t="inlineStr">
        <is>
          <t>102180006</t>
        </is>
      </c>
      <c r="B180" t="inlineStr">
        <is>
          <t>Fernandez, Nielzen Cosico</t>
        </is>
      </c>
      <c r="C180" t="inlineStr">
        <is>
          <t>nielzen.fernandez@concentrix.com</t>
        </is>
      </c>
      <c r="D180" t="inlineStr">
        <is>
          <t>Quinto, Bernadeth Mendoza</t>
        </is>
      </c>
      <c r="E180" t="inlineStr">
        <is>
          <t>bernadeth.quinto@concentrix.com</t>
        </is>
      </c>
      <c r="F180" t="inlineStr">
        <is>
          <t>Benedicto, Allen Kiel Lazarra</t>
        </is>
      </c>
      <c r="G180" t="inlineStr">
        <is>
          <t>allenkiel.benedicto@concentrix.com</t>
        </is>
      </c>
      <c r="H180" t="inlineStr">
        <is>
          <t>Ebuenga, Sheryll Avellaneda</t>
        </is>
      </c>
      <c r="I180" t="inlineStr">
        <is>
          <t>sheryll.ebuenga@concentrix.com</t>
        </is>
      </c>
      <c r="J180" t="inlineStr"/>
      <c r="K180" t="inlineStr">
        <is>
          <t>HP Mainstream</t>
        </is>
      </c>
    </row>
    <row r="181">
      <c r="A181" t="inlineStr">
        <is>
          <t>299224</t>
        </is>
      </c>
      <c r="B181" t="inlineStr">
        <is>
          <t>Ferrer, Jasper Kenneth Labor</t>
        </is>
      </c>
      <c r="C181" t="inlineStr">
        <is>
          <t>jasperkenneth.ferrer@concentrix.com</t>
        </is>
      </c>
      <c r="D181" t="inlineStr">
        <is>
          <t>Ebuenga, Sheryll Avellaneda</t>
        </is>
      </c>
      <c r="E181" t="inlineStr">
        <is>
          <t>sheryll.ebuenga@concentrix.com</t>
        </is>
      </c>
      <c r="F181" t="inlineStr">
        <is>
          <t>Ebuenga, Sheryll Avellaneda</t>
        </is>
      </c>
      <c r="G181" t="inlineStr">
        <is>
          <t>sheryll.ebuenga@concentrix.com</t>
        </is>
      </c>
      <c r="H181" t="inlineStr">
        <is>
          <t>Ebuenga, Sheryll Avellaneda</t>
        </is>
      </c>
      <c r="I181" t="inlineStr">
        <is>
          <t>sheryll.ebuenga@concentrix.com</t>
        </is>
      </c>
      <c r="J181" t="inlineStr"/>
      <c r="K181" t="inlineStr">
        <is>
          <t>HP Mainstream</t>
        </is>
      </c>
    </row>
    <row r="182">
      <c r="A182" t="inlineStr">
        <is>
          <t>103118689</t>
        </is>
      </c>
      <c r="B182" t="inlineStr">
        <is>
          <t>Ferriol, Steven Lloyd Fadallan</t>
        </is>
      </c>
      <c r="C182" t="inlineStr">
        <is>
          <t>stevenlloyd.ferriol@concentrix.com</t>
        </is>
      </c>
      <c r="D182" t="inlineStr">
        <is>
          <t>Lungcay, Robin Landayan</t>
        </is>
      </c>
      <c r="E182" t="inlineStr">
        <is>
          <t>robin.lungcay@concentrix.com</t>
        </is>
      </c>
      <c r="F182" t="inlineStr">
        <is>
          <t>Benedicto, Allen Kiel Lazarra</t>
        </is>
      </c>
      <c r="G182" t="inlineStr">
        <is>
          <t>allenkiel.benedicto@concentrix.com</t>
        </is>
      </c>
      <c r="H182" t="inlineStr">
        <is>
          <t>Ebuenga, Sheryll Avellaneda</t>
        </is>
      </c>
      <c r="I182" t="inlineStr">
        <is>
          <t>sheryll.ebuenga@concentrix.com</t>
        </is>
      </c>
      <c r="J182" t="inlineStr"/>
      <c r="K182" t="inlineStr">
        <is>
          <t>HP Mainstream</t>
        </is>
      </c>
    </row>
    <row r="183">
      <c r="A183" t="inlineStr">
        <is>
          <t>101888218</t>
        </is>
      </c>
      <c r="B183" t="inlineStr">
        <is>
          <t>Fiestada, Louiella -</t>
        </is>
      </c>
      <c r="C183" t="inlineStr">
        <is>
          <t>louiella.fiestada@concentrix.com</t>
        </is>
      </c>
      <c r="D183" t="inlineStr">
        <is>
          <t>Ferrer, Jasper Kenneth Labor</t>
        </is>
      </c>
      <c r="E183" t="inlineStr">
        <is>
          <t>jasperkenneth.ferrer@concentrix.com</t>
        </is>
      </c>
      <c r="F183" t="inlineStr">
        <is>
          <t>Nito, Reynaldo Tribol</t>
        </is>
      </c>
      <c r="G183" t="inlineStr">
        <is>
          <t>reynaldo.nito@concentrix.com</t>
        </is>
      </c>
      <c r="H183" t="inlineStr">
        <is>
          <t>Ebuenga, Sheryll Avellaneda</t>
        </is>
      </c>
      <c r="I183" t="inlineStr">
        <is>
          <t>sheryll.ebuenga@concentrix.com</t>
        </is>
      </c>
      <c r="J183" t="inlineStr"/>
      <c r="K183" t="inlineStr">
        <is>
          <t>HP Mainstream</t>
        </is>
      </c>
    </row>
    <row r="184">
      <c r="A184" t="inlineStr">
        <is>
          <t>101336595</t>
        </is>
      </c>
      <c r="B184" t="inlineStr">
        <is>
          <t>Flores, Leo Mark Quial</t>
        </is>
      </c>
      <c r="C184" t="inlineStr">
        <is>
          <t>leomark.flores@concentrix.com</t>
        </is>
      </c>
      <c r="D184" t="inlineStr">
        <is>
          <t>Vedia, Jerson Reyes</t>
        </is>
      </c>
      <c r="E184" t="inlineStr">
        <is>
          <t>jerson.vedia@concentrix.com</t>
        </is>
      </c>
      <c r="F184" t="inlineStr">
        <is>
          <t>Ramos, Ma Concepcion Sanchez</t>
        </is>
      </c>
      <c r="G184" t="inlineStr">
        <is>
          <t>maconcepcion.ramos@concentrix.com</t>
        </is>
      </c>
      <c r="H184" t="inlineStr">
        <is>
          <t>Ebuenga, Sheryll Avellaneda</t>
        </is>
      </c>
      <c r="I184" t="inlineStr">
        <is>
          <t>sheryll.ebuenga@concentrix.com</t>
        </is>
      </c>
      <c r="J184" t="inlineStr"/>
      <c r="K184" t="inlineStr">
        <is>
          <t>HP Mainstream</t>
        </is>
      </c>
    </row>
    <row r="185">
      <c r="A185" t="inlineStr">
        <is>
          <t>101661038</t>
        </is>
      </c>
      <c r="B185" t="inlineStr">
        <is>
          <t>Flores, Martin Abulog</t>
        </is>
      </c>
      <c r="C185" t="inlineStr">
        <is>
          <t>martin.flores@concentrix.com</t>
        </is>
      </c>
      <c r="D185" t="inlineStr">
        <is>
          <t>Galope, Danri Catacutan</t>
        </is>
      </c>
      <c r="E185" t="inlineStr">
        <is>
          <t>danri.galope@concentrix.com</t>
        </is>
      </c>
      <c r="F185" t="inlineStr">
        <is>
          <t>Ramos, Ma Concepcion Sanchez</t>
        </is>
      </c>
      <c r="G185" t="inlineStr">
        <is>
          <t>maconcepcion.ramos@concentrix.com</t>
        </is>
      </c>
      <c r="H185" t="inlineStr">
        <is>
          <t>Ebuenga, Sheryll Avellaneda</t>
        </is>
      </c>
      <c r="I185" t="inlineStr">
        <is>
          <t>sheryll.ebuenga@concentrix.com</t>
        </is>
      </c>
      <c r="J185" t="inlineStr"/>
      <c r="K185" t="inlineStr">
        <is>
          <t>HP Mainstream</t>
        </is>
      </c>
    </row>
    <row r="186">
      <c r="A186" t="inlineStr">
        <is>
          <t>101146282</t>
        </is>
      </c>
      <c r="B186" t="inlineStr">
        <is>
          <t>Formilleza, Elmer Funtecha</t>
        </is>
      </c>
      <c r="C186" t="inlineStr">
        <is>
          <t>elmer.formilleza@concentrix.com</t>
        </is>
      </c>
      <c r="D186" t="inlineStr">
        <is>
          <t>Vedia, Jerson Reyes</t>
        </is>
      </c>
      <c r="E186" t="inlineStr">
        <is>
          <t>jerson.vedia@concentrix.com</t>
        </is>
      </c>
      <c r="F186" t="inlineStr">
        <is>
          <t>Ramos, Ma Concepcion Sanchez</t>
        </is>
      </c>
      <c r="G186" t="inlineStr">
        <is>
          <t>maconcepcion.ramos@concentrix.com</t>
        </is>
      </c>
      <c r="H186" t="inlineStr">
        <is>
          <t>Ebuenga, Sheryll Avellaneda</t>
        </is>
      </c>
      <c r="I186" t="inlineStr">
        <is>
          <t>sheryll.ebuenga@concentrix.com</t>
        </is>
      </c>
      <c r="J186" t="inlineStr"/>
      <c r="K186" t="inlineStr">
        <is>
          <t>HP Mainstream</t>
        </is>
      </c>
    </row>
    <row r="187">
      <c r="A187" t="inlineStr">
        <is>
          <t>101923223</t>
        </is>
      </c>
      <c r="B187" t="inlineStr">
        <is>
          <t>Francia, Alona Bannas</t>
        </is>
      </c>
      <c r="C187" t="inlineStr">
        <is>
          <t>alona.francia@concentrix.com</t>
        </is>
      </c>
      <c r="D187" t="inlineStr">
        <is>
          <t>Galope, Danri Catacutan</t>
        </is>
      </c>
      <c r="E187" t="inlineStr">
        <is>
          <t>danri.galope@concentrix.com</t>
        </is>
      </c>
      <c r="F187" t="inlineStr">
        <is>
          <t>Ramos, Ma Concepcion Sanchez</t>
        </is>
      </c>
      <c r="G187" t="inlineStr">
        <is>
          <t>maconcepcion.ramos@concentrix.com</t>
        </is>
      </c>
      <c r="H187" t="inlineStr">
        <is>
          <t>Ebuenga, Sheryll Avellaneda</t>
        </is>
      </c>
      <c r="I187" t="inlineStr">
        <is>
          <t>sheryll.ebuenga@concentrix.com</t>
        </is>
      </c>
      <c r="J187" t="inlineStr"/>
      <c r="K187" t="inlineStr">
        <is>
          <t>HP Mainstream</t>
        </is>
      </c>
    </row>
    <row r="188">
      <c r="A188" t="inlineStr">
        <is>
          <t>101360395</t>
        </is>
      </c>
      <c r="B188" t="inlineStr">
        <is>
          <t>Francisco, Baby Ruth Llamosa</t>
        </is>
      </c>
      <c r="C188" t="inlineStr">
        <is>
          <t>babyruth.francisco@concentrix.com</t>
        </is>
      </c>
      <c r="D188" t="inlineStr">
        <is>
          <t>Nito, Reynaldo Tribol</t>
        </is>
      </c>
      <c r="E188" t="inlineStr">
        <is>
          <t>reynaldo.nito@concentrix.com</t>
        </is>
      </c>
      <c r="F188" t="inlineStr">
        <is>
          <t>Nito, Reynaldo Tribol</t>
        </is>
      </c>
      <c r="G188" t="inlineStr">
        <is>
          <t>reynaldo.nito@concentrix.com</t>
        </is>
      </c>
      <c r="H188" t="inlineStr">
        <is>
          <t>Ebuenga, Sheryll Avellaneda</t>
        </is>
      </c>
      <c r="I188" t="inlineStr">
        <is>
          <t>sheryll.ebuenga@concentrix.com</t>
        </is>
      </c>
      <c r="J188" t="inlineStr"/>
      <c r="K188" t="inlineStr">
        <is>
          <t>HP Mainstream</t>
        </is>
      </c>
    </row>
    <row r="189">
      <c r="A189" t="inlineStr">
        <is>
          <t>103516846</t>
        </is>
      </c>
      <c r="B189" t="inlineStr">
        <is>
          <t>Franco, Mark Jomer Soco</t>
        </is>
      </c>
      <c r="C189" t="inlineStr">
        <is>
          <t>markjomer.franco@concentrix.com</t>
        </is>
      </c>
      <c r="D189" t="inlineStr">
        <is>
          <t>Racha, Grace Eunice Divinagracia</t>
        </is>
      </c>
      <c r="E189" t="inlineStr">
        <is>
          <t>graceeunice.racha@concentrix.com</t>
        </is>
      </c>
      <c r="F189" t="inlineStr">
        <is>
          <t>Ramos, Ma Concepcion Sanchez</t>
        </is>
      </c>
      <c r="G189" t="inlineStr">
        <is>
          <t>maconcepcion.ramos@concentrix.com</t>
        </is>
      </c>
      <c r="H189" t="inlineStr">
        <is>
          <t>Ebuenga, Sheryll Avellaneda</t>
        </is>
      </c>
      <c r="I189" t="inlineStr">
        <is>
          <t>sheryll.ebuenga@concentrix.com</t>
        </is>
      </c>
      <c r="J189" t="inlineStr"/>
      <c r="K189" t="inlineStr">
        <is>
          <t>HP Mainstream</t>
        </is>
      </c>
    </row>
    <row r="190">
      <c r="A190" t="inlineStr">
        <is>
          <t>101531164</t>
        </is>
      </c>
      <c r="B190" t="inlineStr">
        <is>
          <t>Fulgencio, Daniel Virtus</t>
        </is>
      </c>
      <c r="C190" t="inlineStr">
        <is>
          <t>daniel.fulgencio@concentrix.com</t>
        </is>
      </c>
      <c r="D190" t="inlineStr">
        <is>
          <t>Briones, Aries Ang</t>
        </is>
      </c>
      <c r="E190" t="inlineStr">
        <is>
          <t>aries.briones@concentrix.com</t>
        </is>
      </c>
      <c r="F190" t="inlineStr">
        <is>
          <t>Arcena, Alberto Chua</t>
        </is>
      </c>
      <c r="G190" t="inlineStr">
        <is>
          <t>alberto.arcenajr@concentrix.com</t>
        </is>
      </c>
      <c r="H190" t="inlineStr">
        <is>
          <t>Ebuenga, Sheryll Avellaneda</t>
        </is>
      </c>
      <c r="I190" t="inlineStr">
        <is>
          <t>sheryll.ebuenga@concentrix.com</t>
        </is>
      </c>
      <c r="J190" t="inlineStr"/>
      <c r="K190" t="inlineStr">
        <is>
          <t>HP Mainstream</t>
        </is>
      </c>
    </row>
    <row r="191">
      <c r="A191" t="inlineStr">
        <is>
          <t>101005595</t>
        </is>
      </c>
      <c r="B191" t="inlineStr">
        <is>
          <t>Gaddi, Catheleen Sanchez</t>
        </is>
      </c>
      <c r="C191" t="inlineStr">
        <is>
          <t>catheleen.gaddi@concentrix.com</t>
        </is>
      </c>
      <c r="D191" t="inlineStr">
        <is>
          <t>De Guzman, Gabriel Rodrigo</t>
        </is>
      </c>
      <c r="E191" t="inlineStr">
        <is>
          <t>gabriel.deguzman@concentrix.com</t>
        </is>
      </c>
      <c r="F191" t="inlineStr">
        <is>
          <t>Arcena, Alberto Chua</t>
        </is>
      </c>
      <c r="G191" t="inlineStr">
        <is>
          <t>alberto.arcenajr@concentrix.com</t>
        </is>
      </c>
      <c r="H191" t="inlineStr">
        <is>
          <t>Ebuenga, Sheryll Avellaneda</t>
        </is>
      </c>
      <c r="I191" t="inlineStr">
        <is>
          <t>sheryll.ebuenga@concentrix.com</t>
        </is>
      </c>
      <c r="J191" t="inlineStr"/>
      <c r="K191" t="inlineStr">
        <is>
          <t>HP Mainstream</t>
        </is>
      </c>
    </row>
    <row r="192">
      <c r="A192" t="inlineStr">
        <is>
          <t>101412676</t>
        </is>
      </c>
      <c r="B192" t="inlineStr">
        <is>
          <t>Gadil, Glenn Lauce</t>
        </is>
      </c>
      <c r="C192" t="inlineStr">
        <is>
          <t>glenn.gadil@concentrix.com</t>
        </is>
      </c>
      <c r="D192" t="inlineStr">
        <is>
          <t>Nito, Reynaldo Tribol</t>
        </is>
      </c>
      <c r="E192" t="inlineStr">
        <is>
          <t>reynaldo.nito@concentrix.com</t>
        </is>
      </c>
      <c r="F192" t="inlineStr">
        <is>
          <t>Nito, Reynaldo Tribol</t>
        </is>
      </c>
      <c r="G192" t="inlineStr">
        <is>
          <t>reynaldo.nito@concentrix.com</t>
        </is>
      </c>
      <c r="H192" t="inlineStr">
        <is>
          <t>Ebuenga, Sheryll Avellaneda</t>
        </is>
      </c>
      <c r="I192" t="inlineStr">
        <is>
          <t>sheryll.ebuenga@concentrix.com</t>
        </is>
      </c>
      <c r="J192" t="inlineStr"/>
      <c r="K192" t="inlineStr">
        <is>
          <t>HP Mainstream</t>
        </is>
      </c>
    </row>
    <row r="193">
      <c r="A193" t="inlineStr">
        <is>
          <t>101425781</t>
        </is>
      </c>
      <c r="B193" t="inlineStr">
        <is>
          <t>Galang, Edward Baltazar</t>
        </is>
      </c>
      <c r="C193" t="inlineStr">
        <is>
          <t>edward.galang@concentrix.com</t>
        </is>
      </c>
      <c r="D193" t="inlineStr">
        <is>
          <t>Luñiza, Jona Claveria</t>
        </is>
      </c>
      <c r="E193" t="inlineStr">
        <is>
          <t>jona.luniza@concentrix.com</t>
        </is>
      </c>
      <c r="F193" t="inlineStr">
        <is>
          <t>Arcena, Alberto Chua</t>
        </is>
      </c>
      <c r="G193" t="inlineStr">
        <is>
          <t>alberto.arcenajr@concentrix.com</t>
        </is>
      </c>
      <c r="H193" t="inlineStr">
        <is>
          <t>Ebuenga, Sheryll Avellaneda</t>
        </is>
      </c>
      <c r="I193" t="inlineStr">
        <is>
          <t>sheryll.ebuenga@concentrix.com</t>
        </is>
      </c>
      <c r="J193" t="inlineStr"/>
      <c r="K193" t="inlineStr">
        <is>
          <t>HP Mainstream</t>
        </is>
      </c>
    </row>
    <row r="194">
      <c r="A194" t="inlineStr">
        <is>
          <t>103425003</t>
        </is>
      </c>
      <c r="B194" t="inlineStr">
        <is>
          <t>Galanida, Gilmark Magallanes</t>
        </is>
      </c>
      <c r="C194" t="inlineStr">
        <is>
          <t>gilmark.galanida@concentrix.com</t>
        </is>
      </c>
      <c r="D194" t="inlineStr">
        <is>
          <t>Luñiza, Jona Claveria</t>
        </is>
      </c>
      <c r="E194" t="inlineStr">
        <is>
          <t>jona.luniza@concentrix.com</t>
        </is>
      </c>
      <c r="F194" t="inlineStr">
        <is>
          <t>Arcena, Alberto Chua</t>
        </is>
      </c>
      <c r="G194" t="inlineStr">
        <is>
          <t>alberto.arcenajr@concentrix.com</t>
        </is>
      </c>
      <c r="H194" t="inlineStr">
        <is>
          <t>Ebuenga, Sheryll Avellaneda</t>
        </is>
      </c>
      <c r="I194" t="inlineStr">
        <is>
          <t>sheryll.ebuenga@concentrix.com</t>
        </is>
      </c>
      <c r="J194" t="inlineStr"/>
      <c r="K194" t="inlineStr">
        <is>
          <t>HP Mainstream</t>
        </is>
      </c>
    </row>
    <row r="195">
      <c r="A195" t="inlineStr">
        <is>
          <t>257575</t>
        </is>
      </c>
      <c r="B195" t="inlineStr">
        <is>
          <t>Galope, Danri Catacutan</t>
        </is>
      </c>
      <c r="C195" t="inlineStr">
        <is>
          <t>danri.galope@concentrix.com</t>
        </is>
      </c>
      <c r="D195" t="inlineStr">
        <is>
          <t>Ramos, Ma Concepcion Sanchez</t>
        </is>
      </c>
      <c r="E195" t="inlineStr">
        <is>
          <t>maconcepcion.ramos@concentrix.com</t>
        </is>
      </c>
      <c r="F195" t="inlineStr">
        <is>
          <t>Ramos, Ma Concepcion Sanchez</t>
        </is>
      </c>
      <c r="G195" t="inlineStr">
        <is>
          <t>maconcepcion.ramos@concentrix.com</t>
        </is>
      </c>
      <c r="H195" t="inlineStr">
        <is>
          <t>Ebuenga, Sheryll Avellaneda</t>
        </is>
      </c>
      <c r="I195" t="inlineStr">
        <is>
          <t>sheryll.ebuenga@concentrix.com</t>
        </is>
      </c>
      <c r="J195" t="inlineStr"/>
      <c r="K195" t="inlineStr">
        <is>
          <t>HP Mainstream</t>
        </is>
      </c>
    </row>
    <row r="196">
      <c r="A196" t="inlineStr">
        <is>
          <t>101579702</t>
        </is>
      </c>
      <c r="B196" t="inlineStr">
        <is>
          <t>Galvante, Clara Louise Valle</t>
        </is>
      </c>
      <c r="C196" t="inlineStr">
        <is>
          <t>claralouise.galvante@concentrix.com</t>
        </is>
      </c>
      <c r="D196" t="inlineStr">
        <is>
          <t>Lungcay, Robin Landayan</t>
        </is>
      </c>
      <c r="E196" t="inlineStr">
        <is>
          <t>robin.lungcay@concentrix.com</t>
        </is>
      </c>
      <c r="F196" t="inlineStr">
        <is>
          <t>Benedicto, Allen Kiel Lazarra</t>
        </is>
      </c>
      <c r="G196" t="inlineStr">
        <is>
          <t>allenkiel.benedicto@concentrix.com</t>
        </is>
      </c>
      <c r="H196" t="inlineStr">
        <is>
          <t>Ebuenga, Sheryll Avellaneda</t>
        </is>
      </c>
      <c r="I196" t="inlineStr">
        <is>
          <t>sheryll.ebuenga@concentrix.com</t>
        </is>
      </c>
      <c r="J196" t="inlineStr"/>
      <c r="K196" t="inlineStr">
        <is>
          <t>HP Mainstream</t>
        </is>
      </c>
    </row>
    <row r="197">
      <c r="A197" t="inlineStr">
        <is>
          <t>103405958</t>
        </is>
      </c>
      <c r="B197" t="inlineStr">
        <is>
          <t>Garalde, Jenny Lyn Carolino</t>
        </is>
      </c>
      <c r="C197" t="inlineStr">
        <is>
          <t>jennylyn.garalde@concentrix.com</t>
        </is>
      </c>
      <c r="D197" t="inlineStr">
        <is>
          <t>Aluning, Alain-Angelo Cangco</t>
        </is>
      </c>
      <c r="E197" t="inlineStr">
        <is>
          <t>alain-angelo.aluning@concentrix.com</t>
        </is>
      </c>
      <c r="F197" t="inlineStr">
        <is>
          <t>Arcena, Alberto Chua</t>
        </is>
      </c>
      <c r="G197" t="inlineStr">
        <is>
          <t>alberto.arcenajr@concentrix.com</t>
        </is>
      </c>
      <c r="H197" t="inlineStr">
        <is>
          <t>Ebuenga, Sheryll Avellaneda</t>
        </is>
      </c>
      <c r="I197" t="inlineStr">
        <is>
          <t>sheryll.ebuenga@concentrix.com</t>
        </is>
      </c>
      <c r="J197" t="inlineStr"/>
      <c r="K197" t="inlineStr">
        <is>
          <t>HP Mainstream</t>
        </is>
      </c>
    </row>
    <row r="198">
      <c r="A198" t="inlineStr">
        <is>
          <t>102185012</t>
        </is>
      </c>
      <c r="B198" t="inlineStr">
        <is>
          <t>Garcia, Arriane Dawn Cajuban</t>
        </is>
      </c>
      <c r="C198" t="inlineStr">
        <is>
          <t>arrianedawn.garcia@concentrix.com</t>
        </is>
      </c>
      <c r="D198" t="inlineStr">
        <is>
          <t>Sernal, Rachelle Ibiernas</t>
        </is>
      </c>
      <c r="E198" t="inlineStr">
        <is>
          <t>rachelle.sernal@concentrix.com</t>
        </is>
      </c>
      <c r="F198" t="inlineStr">
        <is>
          <t>Benedicto, Allen Kiel Lazarra</t>
        </is>
      </c>
      <c r="G198" t="inlineStr">
        <is>
          <t>allenkiel.benedicto@concentrix.com</t>
        </is>
      </c>
      <c r="H198" t="inlineStr">
        <is>
          <t>Ebuenga, Sheryll Avellaneda</t>
        </is>
      </c>
      <c r="I198" t="inlineStr">
        <is>
          <t>sheryll.ebuenga@concentrix.com</t>
        </is>
      </c>
      <c r="J198" t="inlineStr"/>
      <c r="K198" t="inlineStr">
        <is>
          <t>HP Mainstream</t>
        </is>
      </c>
    </row>
    <row r="199">
      <c r="A199" t="inlineStr">
        <is>
          <t>101586182</t>
        </is>
      </c>
      <c r="B199" t="inlineStr">
        <is>
          <t>Garcia, Reeham El Hagar</t>
        </is>
      </c>
      <c r="C199" t="inlineStr">
        <is>
          <t>reeham.elhagar@concentrix.com</t>
        </is>
      </c>
      <c r="D199" t="inlineStr">
        <is>
          <t>Pineda, Gerald Christian Bo</t>
        </is>
      </c>
      <c r="E199" t="inlineStr">
        <is>
          <t>geraldchristian.pineda@concentrix.com</t>
        </is>
      </c>
      <c r="F199" t="inlineStr">
        <is>
          <t>Pineda, Gerald Christian Bo</t>
        </is>
      </c>
      <c r="G199" t="inlineStr">
        <is>
          <t>geraldchristian.pineda@concentrix.com</t>
        </is>
      </c>
      <c r="H199" t="inlineStr">
        <is>
          <t>-</t>
        </is>
      </c>
      <c r="I199" t="inlineStr"/>
      <c r="J199" t="inlineStr"/>
      <c r="K199" t="inlineStr">
        <is>
          <t>HP Mainstream</t>
        </is>
      </c>
    </row>
    <row r="200">
      <c r="A200" t="inlineStr">
        <is>
          <t>445380</t>
        </is>
      </c>
      <c r="B200" t="inlineStr">
        <is>
          <t>Gatmaitan, Kurt John Manuel</t>
        </is>
      </c>
      <c r="C200" t="inlineStr">
        <is>
          <t>kurtjohn.gatmaitan@concentrix.com</t>
        </is>
      </c>
      <c r="D200" t="inlineStr">
        <is>
          <t>Chan, Caroline Cruce</t>
        </is>
      </c>
      <c r="E200" t="inlineStr">
        <is>
          <t>caroline.chan@concentrix.com</t>
        </is>
      </c>
      <c r="F200" t="inlineStr">
        <is>
          <t>Chan, Caroline Cruce</t>
        </is>
      </c>
      <c r="G200" t="inlineStr">
        <is>
          <t>caroline.chan@concentrix.com</t>
        </is>
      </c>
      <c r="H200" t="inlineStr">
        <is>
          <t>-</t>
        </is>
      </c>
      <c r="I200" t="inlineStr"/>
      <c r="J200" t="inlineStr"/>
      <c r="K200" t="inlineStr">
        <is>
          <t>HP Mainstream</t>
        </is>
      </c>
    </row>
    <row r="201">
      <c r="A201" t="inlineStr">
        <is>
          <t>101582198</t>
        </is>
      </c>
      <c r="B201" t="inlineStr">
        <is>
          <t>Gayon, Maria Joana Mejias</t>
        </is>
      </c>
      <c r="C201" t="inlineStr">
        <is>
          <t>mariajoana.gayon@concentrix.com</t>
        </is>
      </c>
      <c r="D201" t="inlineStr">
        <is>
          <t>Vedia, Jerson Reyes</t>
        </is>
      </c>
      <c r="E201" t="inlineStr">
        <is>
          <t>jerson.vedia@concentrix.com</t>
        </is>
      </c>
      <c r="F201" t="inlineStr">
        <is>
          <t>Ramos, Ma Concepcion Sanchez</t>
        </is>
      </c>
      <c r="G201" t="inlineStr">
        <is>
          <t>maconcepcion.ramos@concentrix.com</t>
        </is>
      </c>
      <c r="H201" t="inlineStr">
        <is>
          <t>Ebuenga, Sheryll Avellaneda</t>
        </is>
      </c>
      <c r="I201" t="inlineStr">
        <is>
          <t>sheryll.ebuenga@concentrix.com</t>
        </is>
      </c>
      <c r="J201" t="inlineStr"/>
      <c r="K201" t="inlineStr">
        <is>
          <t>HP Mainstream</t>
        </is>
      </c>
    </row>
    <row r="202">
      <c r="A202" t="inlineStr">
        <is>
          <t>102063914</t>
        </is>
      </c>
      <c r="B202" t="inlineStr">
        <is>
          <t>Geli, Joan Seguis</t>
        </is>
      </c>
      <c r="C202" t="inlineStr">
        <is>
          <t>joan.geli@concentrix.com</t>
        </is>
      </c>
      <c r="D202" t="inlineStr">
        <is>
          <t>Ong, Lesley Ann Bayotas</t>
        </is>
      </c>
      <c r="E202" t="inlineStr">
        <is>
          <t>lesleyann.ong@concentrix.com</t>
        </is>
      </c>
      <c r="F202" t="inlineStr">
        <is>
          <t>Ramos, Ma Concepcion Sanchez</t>
        </is>
      </c>
      <c r="G202" t="inlineStr">
        <is>
          <t>maconcepcion.ramos@concentrix.com</t>
        </is>
      </c>
      <c r="H202" t="inlineStr">
        <is>
          <t>Ebuenga, Sheryll Avellaneda</t>
        </is>
      </c>
      <c r="I202" t="inlineStr">
        <is>
          <t>sheryll.ebuenga@concentrix.com</t>
        </is>
      </c>
      <c r="J202" t="inlineStr"/>
      <c r="K202" t="inlineStr">
        <is>
          <t>HP Mainstream</t>
        </is>
      </c>
    </row>
    <row r="203">
      <c r="A203" t="inlineStr">
        <is>
          <t>103096936</t>
        </is>
      </c>
      <c r="B203" t="inlineStr">
        <is>
          <t>Genova, Kyle Jasper Laxamana</t>
        </is>
      </c>
      <c r="C203" t="inlineStr">
        <is>
          <t>kylejasper.genova@concentrix.com</t>
        </is>
      </c>
      <c r="D203" t="inlineStr">
        <is>
          <t>Galope, Danri Catacutan</t>
        </is>
      </c>
      <c r="E203" t="inlineStr">
        <is>
          <t>danri.galope@concentrix.com</t>
        </is>
      </c>
      <c r="F203" t="inlineStr">
        <is>
          <t>Ramos, Ma Concepcion Sanchez</t>
        </is>
      </c>
      <c r="G203" t="inlineStr">
        <is>
          <t>maconcepcion.ramos@concentrix.com</t>
        </is>
      </c>
      <c r="H203" t="inlineStr">
        <is>
          <t>Ebuenga, Sheryll Avellaneda</t>
        </is>
      </c>
      <c r="I203" t="inlineStr">
        <is>
          <t>sheryll.ebuenga@concentrix.com</t>
        </is>
      </c>
      <c r="J203" t="inlineStr"/>
      <c r="K203" t="inlineStr">
        <is>
          <t>HP Mainstream</t>
        </is>
      </c>
    </row>
    <row r="204">
      <c r="A204" t="inlineStr">
        <is>
          <t>101174207</t>
        </is>
      </c>
      <c r="B204" t="inlineStr">
        <is>
          <t>Gesmundo, Mark Anthony Flores</t>
        </is>
      </c>
      <c r="C204" t="inlineStr">
        <is>
          <t>markanthony.gesmundo@concentrix.com</t>
        </is>
      </c>
      <c r="D204" t="inlineStr">
        <is>
          <t>Hije, Bernadeth Rosales</t>
        </is>
      </c>
      <c r="E204" t="inlineStr">
        <is>
          <t>bernadeth.hije@concentrix.com</t>
        </is>
      </c>
      <c r="F204" t="inlineStr">
        <is>
          <t>Benedicto, Allen Kiel Lazarra</t>
        </is>
      </c>
      <c r="G204" t="inlineStr">
        <is>
          <t>allenkiel.benedicto@concentrix.com</t>
        </is>
      </c>
      <c r="H204" t="inlineStr">
        <is>
          <t>Ebuenga, Sheryll Avellaneda</t>
        </is>
      </c>
      <c r="I204" t="inlineStr">
        <is>
          <t>sheryll.ebuenga@concentrix.com</t>
        </is>
      </c>
      <c r="J204" t="inlineStr"/>
      <c r="K204" t="inlineStr">
        <is>
          <t>HP Mainstream</t>
        </is>
      </c>
    </row>
    <row r="205">
      <c r="A205" t="inlineStr">
        <is>
          <t>103297638</t>
        </is>
      </c>
      <c r="B205" t="inlineStr">
        <is>
          <t>Gomez, Shashel Ann Cantiga</t>
        </is>
      </c>
      <c r="C205" t="inlineStr">
        <is>
          <t>shashelann.gomez@concentrix.com</t>
        </is>
      </c>
      <c r="D205" t="inlineStr">
        <is>
          <t>Poon, Aris Sobrevilla</t>
        </is>
      </c>
      <c r="E205" t="inlineStr">
        <is>
          <t>aris.poon@concentrix.com</t>
        </is>
      </c>
      <c r="F205" t="inlineStr">
        <is>
          <t>Ramos, Ma Concepcion Sanchez</t>
        </is>
      </c>
      <c r="G205" t="inlineStr">
        <is>
          <t>maconcepcion.ramos@concentrix.com</t>
        </is>
      </c>
      <c r="H205" t="inlineStr">
        <is>
          <t>Ebuenga, Sheryll Avellaneda</t>
        </is>
      </c>
      <c r="I205" t="inlineStr">
        <is>
          <t>sheryll.ebuenga@concentrix.com</t>
        </is>
      </c>
      <c r="J205" t="inlineStr"/>
      <c r="K205" t="inlineStr">
        <is>
          <t>HP Mainstream</t>
        </is>
      </c>
    </row>
    <row r="206">
      <c r="A206" t="inlineStr">
        <is>
          <t>102992755</t>
        </is>
      </c>
      <c r="B206" t="inlineStr">
        <is>
          <t>Gonzaga, Alliahkate Obina</t>
        </is>
      </c>
      <c r="C206" t="inlineStr">
        <is>
          <t>alliahkate.gonzaga@concentrix.com</t>
        </is>
      </c>
      <c r="D206" t="inlineStr">
        <is>
          <t>Ong, Lesley Ann Bayotas</t>
        </is>
      </c>
      <c r="E206" t="inlineStr">
        <is>
          <t>lesleyann.ong@concentrix.com</t>
        </is>
      </c>
      <c r="F206" t="inlineStr">
        <is>
          <t>Ramos, Ma Concepcion Sanchez</t>
        </is>
      </c>
      <c r="G206" t="inlineStr">
        <is>
          <t>maconcepcion.ramos@concentrix.com</t>
        </is>
      </c>
      <c r="H206" t="inlineStr">
        <is>
          <t>Ebuenga, Sheryll Avellaneda</t>
        </is>
      </c>
      <c r="I206" t="inlineStr">
        <is>
          <t>sheryll.ebuenga@concentrix.com</t>
        </is>
      </c>
      <c r="J206" t="inlineStr"/>
      <c r="K206" t="inlineStr">
        <is>
          <t>HP Mainstream</t>
        </is>
      </c>
    </row>
    <row r="207">
      <c r="A207" t="inlineStr">
        <is>
          <t>101972883</t>
        </is>
      </c>
      <c r="B207" t="inlineStr">
        <is>
          <t>Grafe, Felicino Quinzon</t>
        </is>
      </c>
      <c r="C207" t="inlineStr">
        <is>
          <t>felicino.grafe@concentrix.com</t>
        </is>
      </c>
      <c r="D207" t="inlineStr">
        <is>
          <t>Quinto, Bernadeth Mendoza</t>
        </is>
      </c>
      <c r="E207" t="inlineStr">
        <is>
          <t>bernadeth.quinto@concentrix.com</t>
        </is>
      </c>
      <c r="F207" t="inlineStr">
        <is>
          <t>Benedicto, Allen Kiel Lazarra</t>
        </is>
      </c>
      <c r="G207" t="inlineStr">
        <is>
          <t>allenkiel.benedicto@concentrix.com</t>
        </is>
      </c>
      <c r="H207" t="inlineStr">
        <is>
          <t>Ebuenga, Sheryll Avellaneda</t>
        </is>
      </c>
      <c r="I207" t="inlineStr">
        <is>
          <t>sheryll.ebuenga@concentrix.com</t>
        </is>
      </c>
      <c r="J207" t="inlineStr"/>
      <c r="K207" t="inlineStr">
        <is>
          <t>HP Mainstream</t>
        </is>
      </c>
    </row>
    <row r="208">
      <c r="A208" t="inlineStr">
        <is>
          <t>103577137</t>
        </is>
      </c>
      <c r="B208" t="inlineStr">
        <is>
          <t>Grave, Megg Jake Salvacion</t>
        </is>
      </c>
      <c r="C208" t="inlineStr">
        <is>
          <t>meggjake.grave@concentrix.com</t>
        </is>
      </c>
      <c r="D208" t="inlineStr">
        <is>
          <t>Salafranca, Ryan Alejo</t>
        </is>
      </c>
      <c r="E208" t="inlineStr">
        <is>
          <t>ryan.salafranca@concentrix.com</t>
        </is>
      </c>
      <c r="F208" t="inlineStr">
        <is>
          <t>Arcena, Alberto Chua</t>
        </is>
      </c>
      <c r="G208" t="inlineStr">
        <is>
          <t>alberto.arcenajr@concentrix.com</t>
        </is>
      </c>
      <c r="H208" t="inlineStr">
        <is>
          <t>Ebuenga, Sheryll Avellaneda</t>
        </is>
      </c>
      <c r="I208" t="inlineStr">
        <is>
          <t>sheryll.ebuenga@concentrix.com</t>
        </is>
      </c>
      <c r="J208" t="inlineStr"/>
      <c r="K208" t="inlineStr">
        <is>
          <t>HP Mainstream</t>
        </is>
      </c>
    </row>
    <row r="209">
      <c r="A209" t="inlineStr">
        <is>
          <t>101718319</t>
        </is>
      </c>
      <c r="B209" t="inlineStr">
        <is>
          <t>Gravela, Mark Angelo Faustino</t>
        </is>
      </c>
      <c r="C209" t="inlineStr">
        <is>
          <t>markangelo.gravela@concentrix.com</t>
        </is>
      </c>
      <c r="D209" t="inlineStr">
        <is>
          <t>Lungcay, Robin Landayan</t>
        </is>
      </c>
      <c r="E209" t="inlineStr">
        <is>
          <t>robin.lungcay@concentrix.com</t>
        </is>
      </c>
      <c r="F209" t="inlineStr">
        <is>
          <t>Benedicto, Allen Kiel Lazarra</t>
        </is>
      </c>
      <c r="G209" t="inlineStr">
        <is>
          <t>allenkiel.benedicto@concentrix.com</t>
        </is>
      </c>
      <c r="H209" t="inlineStr">
        <is>
          <t>Ebuenga, Sheryll Avellaneda</t>
        </is>
      </c>
      <c r="I209" t="inlineStr">
        <is>
          <t>sheryll.ebuenga@concentrix.com</t>
        </is>
      </c>
      <c r="J209" t="inlineStr"/>
      <c r="K209" t="inlineStr">
        <is>
          <t>HP Mainstream</t>
        </is>
      </c>
    </row>
    <row r="210">
      <c r="A210" t="inlineStr">
        <is>
          <t>101430434</t>
        </is>
      </c>
      <c r="B210" t="inlineStr">
        <is>
          <t>Griffin Jr, Francis Viana</t>
        </is>
      </c>
      <c r="C210" t="inlineStr">
        <is>
          <t>francis.griffinjr@concentrix.com</t>
        </is>
      </c>
      <c r="D210" t="inlineStr">
        <is>
          <t>Ferrer, Jasper Kenneth Labor</t>
        </is>
      </c>
      <c r="E210" t="inlineStr">
        <is>
          <t>jasperkenneth.ferrer@concentrix.com</t>
        </is>
      </c>
      <c r="F210" t="inlineStr">
        <is>
          <t>Nito, Reynaldo Tribol</t>
        </is>
      </c>
      <c r="G210" t="inlineStr">
        <is>
          <t>reynaldo.nito@concentrix.com</t>
        </is>
      </c>
      <c r="H210" t="inlineStr">
        <is>
          <t>Ebuenga, Sheryll Avellaneda</t>
        </is>
      </c>
      <c r="I210" t="inlineStr">
        <is>
          <t>sheryll.ebuenga@concentrix.com</t>
        </is>
      </c>
      <c r="J210" t="inlineStr"/>
      <c r="K210" t="inlineStr">
        <is>
          <t>HP Mainstream</t>
        </is>
      </c>
    </row>
    <row r="211">
      <c r="A211" t="inlineStr">
        <is>
          <t>101556075</t>
        </is>
      </c>
      <c r="B211" t="inlineStr">
        <is>
          <t>Guevarra, Willy Lascano</t>
        </is>
      </c>
      <c r="C211" t="inlineStr">
        <is>
          <t>willy.guevarra@concentrix.com</t>
        </is>
      </c>
      <c r="D211" t="inlineStr">
        <is>
          <t>Galope, Danri Catacutan</t>
        </is>
      </c>
      <c r="E211" t="inlineStr">
        <is>
          <t>danri.galope@concentrix.com</t>
        </is>
      </c>
      <c r="F211" t="inlineStr">
        <is>
          <t>Ramos, Ma Concepcion Sanchez</t>
        </is>
      </c>
      <c r="G211" t="inlineStr">
        <is>
          <t>maconcepcion.ramos@concentrix.com</t>
        </is>
      </c>
      <c r="H211" t="inlineStr">
        <is>
          <t>Ebuenga, Sheryll Avellaneda</t>
        </is>
      </c>
      <c r="I211" t="inlineStr">
        <is>
          <t>sheryll.ebuenga@concentrix.com</t>
        </is>
      </c>
      <c r="J211" t="inlineStr"/>
      <c r="K211" t="inlineStr">
        <is>
          <t>HP Mainstream</t>
        </is>
      </c>
    </row>
    <row r="212">
      <c r="A212" t="inlineStr">
        <is>
          <t>101430435</t>
        </is>
      </c>
      <c r="B212" t="inlineStr">
        <is>
          <t>Gurrobat, Karen Bacayo</t>
        </is>
      </c>
      <c r="C212" t="inlineStr">
        <is>
          <t>karen.gurrobat@concentrix.com</t>
        </is>
      </c>
      <c r="D212" t="inlineStr">
        <is>
          <t>Quinto, Bernadeth Mendoza</t>
        </is>
      </c>
      <c r="E212" t="inlineStr">
        <is>
          <t>bernadeth.quinto@concentrix.com</t>
        </is>
      </c>
      <c r="F212" t="inlineStr">
        <is>
          <t>Benedicto, Allen Kiel Lazarra</t>
        </is>
      </c>
      <c r="G212" t="inlineStr">
        <is>
          <t>allenkiel.benedicto@concentrix.com</t>
        </is>
      </c>
      <c r="H212" t="inlineStr">
        <is>
          <t>Ebuenga, Sheryll Avellaneda</t>
        </is>
      </c>
      <c r="I212" t="inlineStr">
        <is>
          <t>sheryll.ebuenga@concentrix.com</t>
        </is>
      </c>
      <c r="J212" t="inlineStr"/>
      <c r="K212" t="inlineStr">
        <is>
          <t>HP Mainstream</t>
        </is>
      </c>
    </row>
    <row r="213">
      <c r="A213" t="inlineStr">
        <is>
          <t>578294</t>
        </is>
      </c>
      <c r="B213" t="inlineStr">
        <is>
          <t>Gutierrez, Luisito Ordona</t>
        </is>
      </c>
      <c r="C213" t="inlineStr">
        <is>
          <t>luisito.gutierrez@concentrix.com</t>
        </is>
      </c>
      <c r="D213" t="inlineStr">
        <is>
          <t>Briones, Aries Ang</t>
        </is>
      </c>
      <c r="E213" t="inlineStr">
        <is>
          <t>aries.briones@concentrix.com</t>
        </is>
      </c>
      <c r="F213" t="inlineStr">
        <is>
          <t>Arcena, Alberto Chua</t>
        </is>
      </c>
      <c r="G213" t="inlineStr">
        <is>
          <t>alberto.arcenajr@concentrix.com</t>
        </is>
      </c>
      <c r="H213" t="inlineStr">
        <is>
          <t>Ebuenga, Sheryll Avellaneda</t>
        </is>
      </c>
      <c r="I213" t="inlineStr">
        <is>
          <t>sheryll.ebuenga@concentrix.com</t>
        </is>
      </c>
      <c r="J213" t="inlineStr"/>
      <c r="K213" t="inlineStr">
        <is>
          <t>HP Mainstream</t>
        </is>
      </c>
    </row>
    <row r="214">
      <c r="A214" t="inlineStr">
        <is>
          <t>1054697</t>
        </is>
      </c>
      <c r="B214" t="inlineStr">
        <is>
          <t>Haboc, Donnis</t>
        </is>
      </c>
      <c r="C214" t="inlineStr">
        <is>
          <t>donnis.haboc@concentrix.com</t>
        </is>
      </c>
      <c r="D214" t="inlineStr">
        <is>
          <t>Luñiza, Jona Claveria</t>
        </is>
      </c>
      <c r="E214" t="inlineStr">
        <is>
          <t>jona.luniza@concentrix.com</t>
        </is>
      </c>
      <c r="F214" t="inlineStr">
        <is>
          <t>Arcena, Alberto Chua</t>
        </is>
      </c>
      <c r="G214" t="inlineStr">
        <is>
          <t>alberto.arcenajr@concentrix.com</t>
        </is>
      </c>
      <c r="H214" t="inlineStr">
        <is>
          <t>Ebuenga, Sheryll Avellaneda</t>
        </is>
      </c>
      <c r="I214" t="inlineStr">
        <is>
          <t>sheryll.ebuenga@concentrix.com</t>
        </is>
      </c>
      <c r="J214" t="inlineStr"/>
      <c r="K214" t="inlineStr">
        <is>
          <t>HP Mainstream</t>
        </is>
      </c>
    </row>
    <row r="215">
      <c r="A215" t="inlineStr">
        <is>
          <t>101944715</t>
        </is>
      </c>
      <c r="B215" t="inlineStr">
        <is>
          <t>Hernaez, Benson Lamson</t>
        </is>
      </c>
      <c r="C215" t="inlineStr">
        <is>
          <t>benson.hernaez@concentrix.com</t>
        </is>
      </c>
      <c r="D215" t="inlineStr">
        <is>
          <t>Adrales, Allen Rick Aguilar</t>
        </is>
      </c>
      <c r="E215" t="inlineStr">
        <is>
          <t>allenrick.adrales@concentrix.com</t>
        </is>
      </c>
      <c r="F215" t="inlineStr">
        <is>
          <t>Ramos, Ma Concepcion Sanchez</t>
        </is>
      </c>
      <c r="G215" t="inlineStr">
        <is>
          <t>maconcepcion.ramos@concentrix.com</t>
        </is>
      </c>
      <c r="H215" t="inlineStr">
        <is>
          <t>Ebuenga, Sheryll Avellaneda</t>
        </is>
      </c>
      <c r="I215" t="inlineStr">
        <is>
          <t>sheryll.ebuenga@concentrix.com</t>
        </is>
      </c>
      <c r="J215" t="inlineStr"/>
      <c r="K215" t="inlineStr">
        <is>
          <t>HP Mainstream</t>
        </is>
      </c>
    </row>
    <row r="216">
      <c r="A216" t="inlineStr">
        <is>
          <t>465158</t>
        </is>
      </c>
      <c r="B216" t="inlineStr">
        <is>
          <t>Hernandez, Jayson Cabrera</t>
        </is>
      </c>
      <c r="C216" t="inlineStr">
        <is>
          <t>jayson.hernandez1@concentrix.com</t>
        </is>
      </c>
      <c r="D216" t="inlineStr">
        <is>
          <t>Luñiza, Jona Claveria</t>
        </is>
      </c>
      <c r="E216" t="inlineStr">
        <is>
          <t>jona.luniza@concentrix.com</t>
        </is>
      </c>
      <c r="F216" t="inlineStr">
        <is>
          <t>Arcena, Alberto Chua</t>
        </is>
      </c>
      <c r="G216" t="inlineStr">
        <is>
          <t>alberto.arcenajr@concentrix.com</t>
        </is>
      </c>
      <c r="H216" t="inlineStr">
        <is>
          <t>Ebuenga, Sheryll Avellaneda</t>
        </is>
      </c>
      <c r="I216" t="inlineStr">
        <is>
          <t>sheryll.ebuenga@concentrix.com</t>
        </is>
      </c>
      <c r="J216" t="inlineStr"/>
      <c r="K216" t="inlineStr">
        <is>
          <t>HP Mainstream</t>
        </is>
      </c>
    </row>
    <row r="217">
      <c r="A217" t="inlineStr">
        <is>
          <t>281980</t>
        </is>
      </c>
      <c r="B217" t="inlineStr">
        <is>
          <t>Hernandez, Nilo Olidar</t>
        </is>
      </c>
      <c r="C217" t="inlineStr">
        <is>
          <t>nilo.hernandez@concentrix.com</t>
        </is>
      </c>
      <c r="D217" t="inlineStr">
        <is>
          <t>Ebuenga, Sheryll Avellaneda</t>
        </is>
      </c>
      <c r="E217" t="inlineStr">
        <is>
          <t>sheryll.ebuenga@concentrix.com</t>
        </is>
      </c>
      <c r="F217" t="inlineStr">
        <is>
          <t>Ebuenga, Sheryll Avellaneda</t>
        </is>
      </c>
      <c r="G217" t="inlineStr">
        <is>
          <t>sheryll.ebuenga@concentrix.com</t>
        </is>
      </c>
      <c r="H217" t="inlineStr">
        <is>
          <t>Ebuenga, Sheryll Avellaneda</t>
        </is>
      </c>
      <c r="I217" t="inlineStr">
        <is>
          <t>sheryll.ebuenga@concentrix.com</t>
        </is>
      </c>
      <c r="J217" t="inlineStr"/>
      <c r="K217" t="inlineStr">
        <is>
          <t>HP Mainstream</t>
        </is>
      </c>
    </row>
    <row r="218">
      <c r="A218" t="inlineStr">
        <is>
          <t>103420023</t>
        </is>
      </c>
      <c r="B218" t="inlineStr">
        <is>
          <t>Herosa, Aleina Nichole Masirag</t>
        </is>
      </c>
      <c r="C218" t="inlineStr">
        <is>
          <t>aleinanichole.herosa@concentrix.com</t>
        </is>
      </c>
      <c r="D218" t="inlineStr">
        <is>
          <t>Racha, Grace Eunice Divinagracia</t>
        </is>
      </c>
      <c r="E218" t="inlineStr">
        <is>
          <t>graceeunice.racha@concentrix.com</t>
        </is>
      </c>
      <c r="F218" t="inlineStr">
        <is>
          <t>Ramos, Ma Concepcion Sanchez</t>
        </is>
      </c>
      <c r="G218" t="inlineStr">
        <is>
          <t>maconcepcion.ramos@concentrix.com</t>
        </is>
      </c>
      <c r="H218" t="inlineStr">
        <is>
          <t>Ebuenga, Sheryll Avellaneda</t>
        </is>
      </c>
      <c r="I218" t="inlineStr">
        <is>
          <t>sheryll.ebuenga@concentrix.com</t>
        </is>
      </c>
      <c r="J218" t="inlineStr"/>
      <c r="K218" t="inlineStr">
        <is>
          <t>HP Mainstream</t>
        </is>
      </c>
    </row>
    <row r="219">
      <c r="A219" t="inlineStr">
        <is>
          <t>475908</t>
        </is>
      </c>
      <c r="B219" t="inlineStr">
        <is>
          <t>Higum, Marissa Yap</t>
        </is>
      </c>
      <c r="C219" t="inlineStr">
        <is>
          <t>marissa.higum@concentrix.com</t>
        </is>
      </c>
      <c r="D219" t="inlineStr">
        <is>
          <t>Racha, Grace Eunice Divinagracia</t>
        </is>
      </c>
      <c r="E219" t="inlineStr">
        <is>
          <t>graceeunice.racha@concentrix.com</t>
        </is>
      </c>
      <c r="F219" t="inlineStr">
        <is>
          <t>Ramos, Ma Concepcion Sanchez</t>
        </is>
      </c>
      <c r="G219" t="inlineStr">
        <is>
          <t>maconcepcion.ramos@concentrix.com</t>
        </is>
      </c>
      <c r="H219" t="inlineStr">
        <is>
          <t>Ebuenga, Sheryll Avellaneda</t>
        </is>
      </c>
      <c r="I219" t="inlineStr">
        <is>
          <t>sheryll.ebuenga@concentrix.com</t>
        </is>
      </c>
      <c r="J219" t="inlineStr"/>
      <c r="K219" t="inlineStr">
        <is>
          <t>HP Mainstream</t>
        </is>
      </c>
    </row>
    <row r="220">
      <c r="A220" t="inlineStr">
        <is>
          <t>101009634</t>
        </is>
      </c>
      <c r="B220" t="inlineStr">
        <is>
          <t>Hije, Bernadeth Rosales</t>
        </is>
      </c>
      <c r="C220" t="inlineStr">
        <is>
          <t>bernadeth.hije@concentrix.com</t>
        </is>
      </c>
      <c r="D220" t="inlineStr">
        <is>
          <t>Benedicto, Allen Kiel Lazarra</t>
        </is>
      </c>
      <c r="E220" t="inlineStr">
        <is>
          <t>allenkiel.benedicto@concentrix.com</t>
        </is>
      </c>
      <c r="F220" t="inlineStr">
        <is>
          <t>Benedicto, Allen Kiel Lazarra</t>
        </is>
      </c>
      <c r="G220" t="inlineStr">
        <is>
          <t>allenkiel.benedicto@concentrix.com</t>
        </is>
      </c>
      <c r="H220" t="inlineStr">
        <is>
          <t>Ebuenga, Sheryll Avellaneda</t>
        </is>
      </c>
      <c r="I220" t="inlineStr">
        <is>
          <t>sheryll.ebuenga@concentrix.com</t>
        </is>
      </c>
      <c r="J220" t="inlineStr"/>
      <c r="K220" t="inlineStr">
        <is>
          <t>HP Mainstream</t>
        </is>
      </c>
    </row>
    <row r="221">
      <c r="A221" t="inlineStr">
        <is>
          <t>103577934</t>
        </is>
      </c>
      <c r="B221" t="inlineStr">
        <is>
          <t>Ibañez, Karylle Estanislao</t>
        </is>
      </c>
      <c r="C221" t="inlineStr">
        <is>
          <t>karylle.ibanez@concentrix.com</t>
        </is>
      </c>
      <c r="D221" t="inlineStr">
        <is>
          <t>Salafranca, Ryan Alejo</t>
        </is>
      </c>
      <c r="E221" t="inlineStr">
        <is>
          <t>ryan.salafranca@concentrix.com</t>
        </is>
      </c>
      <c r="F221" t="inlineStr">
        <is>
          <t>Arcena, Alberto Chua</t>
        </is>
      </c>
      <c r="G221" t="inlineStr">
        <is>
          <t>alberto.arcenajr@concentrix.com</t>
        </is>
      </c>
      <c r="H221" t="inlineStr">
        <is>
          <t>Ebuenga, Sheryll Avellaneda</t>
        </is>
      </c>
      <c r="I221" t="inlineStr">
        <is>
          <t>sheryll.ebuenga@concentrix.com</t>
        </is>
      </c>
      <c r="J221" t="inlineStr"/>
      <c r="K221" t="inlineStr">
        <is>
          <t>HP Mainstream</t>
        </is>
      </c>
    </row>
    <row r="222">
      <c r="A222" t="inlineStr">
        <is>
          <t>102218119</t>
        </is>
      </c>
      <c r="B222" t="inlineStr">
        <is>
          <t>Ignacio, Abigael Franco</t>
        </is>
      </c>
      <c r="C222" t="inlineStr">
        <is>
          <t>abigael.ignacio@concentrix.com</t>
        </is>
      </c>
      <c r="D222" t="inlineStr">
        <is>
          <t>Poon, Aris Sobrevilla</t>
        </is>
      </c>
      <c r="E222" t="inlineStr">
        <is>
          <t>aris.poon@concentrix.com</t>
        </is>
      </c>
      <c r="F222" t="inlineStr">
        <is>
          <t>Ramos, Ma Concepcion Sanchez</t>
        </is>
      </c>
      <c r="G222" t="inlineStr">
        <is>
          <t>maconcepcion.ramos@concentrix.com</t>
        </is>
      </c>
      <c r="H222" t="inlineStr">
        <is>
          <t>Ebuenga, Sheryll Avellaneda</t>
        </is>
      </c>
      <c r="I222" t="inlineStr">
        <is>
          <t>sheryll.ebuenga@concentrix.com</t>
        </is>
      </c>
      <c r="J222" t="inlineStr"/>
      <c r="K222" t="inlineStr">
        <is>
          <t>HP Mainstream</t>
        </is>
      </c>
    </row>
    <row r="223">
      <c r="A223" t="inlineStr">
        <is>
          <t>101994723</t>
        </is>
      </c>
      <c r="B223" t="inlineStr">
        <is>
          <t>Ignacio, Joy Neal Cruz</t>
        </is>
      </c>
      <c r="C223" t="inlineStr">
        <is>
          <t>joyneal.ignacio@concentrix.com</t>
        </is>
      </c>
      <c r="D223" t="inlineStr">
        <is>
          <t>Andrecoso, April Melody Sunga</t>
        </is>
      </c>
      <c r="E223" t="inlineStr">
        <is>
          <t>aprilmelody.andrecoso@concentrix.com</t>
        </is>
      </c>
      <c r="F223" t="inlineStr">
        <is>
          <t>Benedicto, Allen Kiel Lazarra</t>
        </is>
      </c>
      <c r="G223" t="inlineStr">
        <is>
          <t>allenkiel.benedicto@concentrix.com</t>
        </is>
      </c>
      <c r="H223" t="inlineStr">
        <is>
          <t>Ebuenga, Sheryll Avellaneda</t>
        </is>
      </c>
      <c r="I223" t="inlineStr">
        <is>
          <t>sheryll.ebuenga@concentrix.com</t>
        </is>
      </c>
      <c r="J223" t="inlineStr"/>
      <c r="K223" t="inlineStr">
        <is>
          <t>HP Mainstream</t>
        </is>
      </c>
    </row>
    <row r="224">
      <c r="A224" t="inlineStr">
        <is>
          <t>101382379</t>
        </is>
      </c>
      <c r="B224" t="inlineStr">
        <is>
          <t>Ignacio, Nino Pedro</t>
        </is>
      </c>
      <c r="C224" t="inlineStr">
        <is>
          <t>nino.ignacio@concentrix.com</t>
        </is>
      </c>
      <c r="D224" t="inlineStr">
        <is>
          <t>Imran Shaikh</t>
        </is>
      </c>
      <c r="E224" t="inlineStr"/>
      <c r="F224" t="inlineStr">
        <is>
          <t>Imran Shaikh</t>
        </is>
      </c>
      <c r="G224" t="inlineStr"/>
      <c r="H224" t="inlineStr">
        <is>
          <t>-</t>
        </is>
      </c>
      <c r="I224" t="inlineStr"/>
      <c r="J224" t="inlineStr"/>
      <c r="K224" t="inlineStr">
        <is>
          <t>HP Mainstream</t>
        </is>
      </c>
    </row>
    <row r="225">
      <c r="A225" t="inlineStr">
        <is>
          <t>511188</t>
        </is>
      </c>
      <c r="B225" t="inlineStr">
        <is>
          <t>Iguin, John Carlo Dejumo</t>
        </is>
      </c>
      <c r="C225" t="inlineStr">
        <is>
          <t>carlo.iguin@concentrix.com</t>
        </is>
      </c>
      <c r="D225" t="inlineStr">
        <is>
          <t>Hije, Bernadeth Rosales</t>
        </is>
      </c>
      <c r="E225" t="inlineStr">
        <is>
          <t>bernadeth.hije@concentrix.com</t>
        </is>
      </c>
      <c r="F225" t="inlineStr">
        <is>
          <t>Benedicto, Allen Kiel Lazarra</t>
        </is>
      </c>
      <c r="G225" t="inlineStr">
        <is>
          <t>allenkiel.benedicto@concentrix.com</t>
        </is>
      </c>
      <c r="H225" t="inlineStr">
        <is>
          <t>Ebuenga, Sheryll Avellaneda</t>
        </is>
      </c>
      <c r="I225" t="inlineStr">
        <is>
          <t>sheryll.ebuenga@concentrix.com</t>
        </is>
      </c>
      <c r="J225" t="inlineStr"/>
      <c r="K225" t="inlineStr">
        <is>
          <t>HP Mainstream</t>
        </is>
      </c>
    </row>
    <row r="226">
      <c r="A226" t="inlineStr">
        <is>
          <t>103430052</t>
        </is>
      </c>
      <c r="B226" t="inlineStr">
        <is>
          <t>Imperial, Jame Euan Nmn</t>
        </is>
      </c>
      <c r="C226" t="inlineStr">
        <is>
          <t>jameeuan.imperial@concentrix.com</t>
        </is>
      </c>
      <c r="D226" t="inlineStr">
        <is>
          <t>Lungcay, Robin Landayan</t>
        </is>
      </c>
      <c r="E226" t="inlineStr">
        <is>
          <t>robin.lungcay@concentrix.com</t>
        </is>
      </c>
      <c r="F226" t="inlineStr">
        <is>
          <t>Benedicto, Allen Kiel Lazarra</t>
        </is>
      </c>
      <c r="G226" t="inlineStr">
        <is>
          <t>allenkiel.benedicto@concentrix.com</t>
        </is>
      </c>
      <c r="H226" t="inlineStr">
        <is>
          <t>Ebuenga, Sheryll Avellaneda</t>
        </is>
      </c>
      <c r="I226" t="inlineStr">
        <is>
          <t>sheryll.ebuenga@concentrix.com</t>
        </is>
      </c>
      <c r="J226" t="inlineStr"/>
      <c r="K226" t="inlineStr">
        <is>
          <t>HP Mainstream</t>
        </is>
      </c>
    </row>
    <row r="227">
      <c r="A227" t="inlineStr">
        <is>
          <t>101087287</t>
        </is>
      </c>
      <c r="B227" t="inlineStr">
        <is>
          <t>Infante, Ma Katrina Abon Dela Torre</t>
        </is>
      </c>
      <c r="C227" t="inlineStr">
        <is>
          <t>makatrinaabon.infante@concentrix.com</t>
        </is>
      </c>
      <c r="D227" t="inlineStr">
        <is>
          <t>Luñiza, Jona Claveria</t>
        </is>
      </c>
      <c r="E227" t="inlineStr">
        <is>
          <t>jona.luniza@concentrix.com</t>
        </is>
      </c>
      <c r="F227" t="inlineStr">
        <is>
          <t>Arcena, Alberto Chua</t>
        </is>
      </c>
      <c r="G227" t="inlineStr">
        <is>
          <t>alberto.arcenajr@concentrix.com</t>
        </is>
      </c>
      <c r="H227" t="inlineStr">
        <is>
          <t>Ebuenga, Sheryll Avellaneda</t>
        </is>
      </c>
      <c r="I227" t="inlineStr">
        <is>
          <t>sheryll.ebuenga@concentrix.com</t>
        </is>
      </c>
      <c r="J227" t="inlineStr"/>
      <c r="K227" t="inlineStr">
        <is>
          <t>HP Mainstream</t>
        </is>
      </c>
    </row>
    <row r="228">
      <c r="A228" t="inlineStr">
        <is>
          <t>101457910</t>
        </is>
      </c>
      <c r="B228" t="inlineStr">
        <is>
          <t>Iquin, Jasmin Atencio</t>
        </is>
      </c>
      <c r="C228" t="inlineStr">
        <is>
          <t>jasmin.iquin@concentrix.com</t>
        </is>
      </c>
      <c r="D228" t="inlineStr">
        <is>
          <t>Quinto, Bernadeth Mendoza</t>
        </is>
      </c>
      <c r="E228" t="inlineStr">
        <is>
          <t>bernadeth.quinto@concentrix.com</t>
        </is>
      </c>
      <c r="F228" t="inlineStr">
        <is>
          <t>Benedicto, Allen Kiel Lazarra</t>
        </is>
      </c>
      <c r="G228" t="inlineStr">
        <is>
          <t>allenkiel.benedicto@concentrix.com</t>
        </is>
      </c>
      <c r="H228" t="inlineStr">
        <is>
          <t>Ebuenga, Sheryll Avellaneda</t>
        </is>
      </c>
      <c r="I228" t="inlineStr">
        <is>
          <t>sheryll.ebuenga@concentrix.com</t>
        </is>
      </c>
      <c r="J228" t="inlineStr"/>
      <c r="K228" t="inlineStr">
        <is>
          <t>HP Mainstream</t>
        </is>
      </c>
    </row>
    <row r="229">
      <c r="A229" t="inlineStr">
        <is>
          <t>103340662</t>
        </is>
      </c>
      <c r="B229" t="inlineStr">
        <is>
          <t>Jaico, Carl Justin Colada</t>
        </is>
      </c>
      <c r="C229" t="inlineStr">
        <is>
          <t>carljustin.jaico@concentrix.com</t>
        </is>
      </c>
      <c r="D229" t="inlineStr">
        <is>
          <t>Racha, Grace Eunice Divinagracia</t>
        </is>
      </c>
      <c r="E229" t="inlineStr">
        <is>
          <t>graceeunice.racha@concentrix.com</t>
        </is>
      </c>
      <c r="F229" t="inlineStr">
        <is>
          <t>Ramos, Ma Concepcion Sanchez</t>
        </is>
      </c>
      <c r="G229" t="inlineStr">
        <is>
          <t>maconcepcion.ramos@concentrix.com</t>
        </is>
      </c>
      <c r="H229" t="inlineStr">
        <is>
          <t>Ebuenga, Sheryll Avellaneda</t>
        </is>
      </c>
      <c r="I229" t="inlineStr">
        <is>
          <t>sheryll.ebuenga@concentrix.com</t>
        </is>
      </c>
      <c r="J229" t="inlineStr"/>
      <c r="K229" t="inlineStr">
        <is>
          <t>HP Mainstream</t>
        </is>
      </c>
    </row>
    <row r="230">
      <c r="A230" t="inlineStr">
        <is>
          <t>101325462</t>
        </is>
      </c>
      <c r="B230" t="inlineStr">
        <is>
          <t>Joaquin, Erica Jenesis Morales</t>
        </is>
      </c>
      <c r="C230" t="inlineStr">
        <is>
          <t>ericajenesis.joaquin@concentrix.com</t>
        </is>
      </c>
      <c r="D230" t="inlineStr">
        <is>
          <t>Luñiza, Jona Claveria</t>
        </is>
      </c>
      <c r="E230" t="inlineStr">
        <is>
          <t>jona.luniza@concentrix.com</t>
        </is>
      </c>
      <c r="F230" t="inlineStr">
        <is>
          <t>Arcena, Alberto Chua</t>
        </is>
      </c>
      <c r="G230" t="inlineStr">
        <is>
          <t>alberto.arcenajr@concentrix.com</t>
        </is>
      </c>
      <c r="H230" t="inlineStr">
        <is>
          <t>Ebuenga, Sheryll Avellaneda</t>
        </is>
      </c>
      <c r="I230" t="inlineStr">
        <is>
          <t>sheryll.ebuenga@concentrix.com</t>
        </is>
      </c>
      <c r="J230" t="inlineStr"/>
      <c r="K230" t="inlineStr">
        <is>
          <t>HP Mainstream</t>
        </is>
      </c>
    </row>
    <row r="231">
      <c r="A231" t="inlineStr">
        <is>
          <t>475626</t>
        </is>
      </c>
      <c r="B231" t="inlineStr">
        <is>
          <t>Jose, Jully Ann Carlos</t>
        </is>
      </c>
      <c r="C231" t="inlineStr">
        <is>
          <t>jullyann.jose@concentrix.com</t>
        </is>
      </c>
      <c r="D231" t="inlineStr">
        <is>
          <t>Racha, Grace Eunice Divinagracia</t>
        </is>
      </c>
      <c r="E231" t="inlineStr">
        <is>
          <t>graceeunice.racha@concentrix.com</t>
        </is>
      </c>
      <c r="F231" t="inlineStr">
        <is>
          <t>Ramos, Ma Concepcion Sanchez</t>
        </is>
      </c>
      <c r="G231" t="inlineStr">
        <is>
          <t>maconcepcion.ramos@concentrix.com</t>
        </is>
      </c>
      <c r="H231" t="inlineStr">
        <is>
          <t>Ebuenga, Sheryll Avellaneda</t>
        </is>
      </c>
      <c r="I231" t="inlineStr">
        <is>
          <t>sheryll.ebuenga@concentrix.com</t>
        </is>
      </c>
      <c r="J231" t="inlineStr"/>
      <c r="K231" t="inlineStr">
        <is>
          <t>HP Mainstream</t>
        </is>
      </c>
    </row>
    <row r="232">
      <c r="A232" t="inlineStr">
        <is>
          <t>101094374</t>
        </is>
      </c>
      <c r="B232" t="inlineStr">
        <is>
          <t>Kalaw, Melchie Nmn</t>
        </is>
      </c>
      <c r="C232" t="inlineStr">
        <is>
          <t>melchie.kalaw@concentrix.com</t>
        </is>
      </c>
      <c r="D232" t="inlineStr">
        <is>
          <t>Adrales, Allen Rick Aguilar</t>
        </is>
      </c>
      <c r="E232" t="inlineStr">
        <is>
          <t>allenrick.adrales@concentrix.com</t>
        </is>
      </c>
      <c r="F232" t="inlineStr">
        <is>
          <t>Ramos, Ma Concepcion Sanchez</t>
        </is>
      </c>
      <c r="G232" t="inlineStr">
        <is>
          <t>maconcepcion.ramos@concentrix.com</t>
        </is>
      </c>
      <c r="H232" t="inlineStr">
        <is>
          <t>Ebuenga, Sheryll Avellaneda</t>
        </is>
      </c>
      <c r="I232" t="inlineStr">
        <is>
          <t>sheryll.ebuenga@concentrix.com</t>
        </is>
      </c>
      <c r="J232" t="inlineStr"/>
      <c r="K232" t="inlineStr">
        <is>
          <t>HP Mainstream</t>
        </is>
      </c>
    </row>
    <row r="233">
      <c r="A233" t="inlineStr">
        <is>
          <t>100871893</t>
        </is>
      </c>
      <c r="B233" t="inlineStr">
        <is>
          <t>Labana, Heidee</t>
        </is>
      </c>
      <c r="C233" t="inlineStr">
        <is>
          <t>heidee.labana@concentrix.com</t>
        </is>
      </c>
      <c r="D233" t="inlineStr">
        <is>
          <t>Poon, Aris Sobrevilla</t>
        </is>
      </c>
      <c r="E233" t="inlineStr">
        <is>
          <t>aris.poon@concentrix.com</t>
        </is>
      </c>
      <c r="F233" t="inlineStr">
        <is>
          <t>Ramos, Ma Concepcion Sanchez</t>
        </is>
      </c>
      <c r="G233" t="inlineStr">
        <is>
          <t>maconcepcion.ramos@concentrix.com</t>
        </is>
      </c>
      <c r="H233" t="inlineStr">
        <is>
          <t>Ebuenga, Sheryll Avellaneda</t>
        </is>
      </c>
      <c r="I233" t="inlineStr">
        <is>
          <t>sheryll.ebuenga@concentrix.com</t>
        </is>
      </c>
      <c r="J233" t="inlineStr"/>
      <c r="K233" t="inlineStr">
        <is>
          <t>HP Mainstream</t>
        </is>
      </c>
    </row>
    <row r="234">
      <c r="A234" t="inlineStr">
        <is>
          <t>102843807</t>
        </is>
      </c>
      <c r="B234" t="inlineStr">
        <is>
          <t>Laberon, Jennieca Matilla</t>
        </is>
      </c>
      <c r="C234" t="inlineStr">
        <is>
          <t>jennieca.laberon@concentrix.com</t>
        </is>
      </c>
      <c r="D234" t="inlineStr">
        <is>
          <t>Blas, Jesus Jr Trinidad</t>
        </is>
      </c>
      <c r="E234" t="inlineStr">
        <is>
          <t>jesus.blas@concentrix.com</t>
        </is>
      </c>
      <c r="F234" t="inlineStr">
        <is>
          <t>Arcena, Alberto Chua</t>
        </is>
      </c>
      <c r="G234" t="inlineStr">
        <is>
          <t>alberto.arcenajr@concentrix.com</t>
        </is>
      </c>
      <c r="H234" t="inlineStr">
        <is>
          <t>Ebuenga, Sheryll Avellaneda</t>
        </is>
      </c>
      <c r="I234" t="inlineStr">
        <is>
          <t>sheryll.ebuenga@concentrix.com</t>
        </is>
      </c>
      <c r="J234" t="inlineStr"/>
      <c r="K234" t="inlineStr">
        <is>
          <t>HP Mainstream</t>
        </is>
      </c>
    </row>
    <row r="235">
      <c r="A235" t="inlineStr">
        <is>
          <t>103518225</t>
        </is>
      </c>
      <c r="B235" t="inlineStr">
        <is>
          <t>Labiang, Jericho James Apostol</t>
        </is>
      </c>
      <c r="C235" t="inlineStr">
        <is>
          <t>jerichojames.labiang@concentrix.com</t>
        </is>
      </c>
      <c r="D235" t="inlineStr">
        <is>
          <t>Aluning, Alain-Angelo Cangco</t>
        </is>
      </c>
      <c r="E235" t="inlineStr">
        <is>
          <t>alain-angelo.aluning@concentrix.com</t>
        </is>
      </c>
      <c r="F235" t="inlineStr">
        <is>
          <t>Arcena, Alberto Chua</t>
        </is>
      </c>
      <c r="G235" t="inlineStr">
        <is>
          <t>alberto.arcenajr@concentrix.com</t>
        </is>
      </c>
      <c r="H235" t="inlineStr">
        <is>
          <t>Ebuenga, Sheryll Avellaneda</t>
        </is>
      </c>
      <c r="I235" t="inlineStr">
        <is>
          <t>sheryll.ebuenga@concentrix.com</t>
        </is>
      </c>
      <c r="J235" t="inlineStr"/>
      <c r="K235" t="inlineStr">
        <is>
          <t>HP Mainstream</t>
        </is>
      </c>
    </row>
    <row r="236">
      <c r="A236" t="inlineStr">
        <is>
          <t>103518449</t>
        </is>
      </c>
      <c r="B236" t="inlineStr">
        <is>
          <t>Lacara, Mark Edrian Pasadas</t>
        </is>
      </c>
      <c r="C236" t="inlineStr">
        <is>
          <t>markedrian.lacara@concentrix.com</t>
        </is>
      </c>
      <c r="D236" t="inlineStr">
        <is>
          <t>Aluning, Alain-Angelo Cangco</t>
        </is>
      </c>
      <c r="E236" t="inlineStr">
        <is>
          <t>alain-angelo.aluning@concentrix.com</t>
        </is>
      </c>
      <c r="F236" t="inlineStr">
        <is>
          <t>Arcena, Alberto Chua</t>
        </is>
      </c>
      <c r="G236" t="inlineStr">
        <is>
          <t>alberto.arcenajr@concentrix.com</t>
        </is>
      </c>
      <c r="H236" t="inlineStr">
        <is>
          <t>Ebuenga, Sheryll Avellaneda</t>
        </is>
      </c>
      <c r="I236" t="inlineStr">
        <is>
          <t>sheryll.ebuenga@concentrix.com</t>
        </is>
      </c>
      <c r="J236" t="inlineStr"/>
      <c r="K236" t="inlineStr">
        <is>
          <t>HP Mainstream</t>
        </is>
      </c>
    </row>
    <row r="237">
      <c r="A237" t="inlineStr">
        <is>
          <t>102066049</t>
        </is>
      </c>
      <c r="B237" t="inlineStr">
        <is>
          <t>Lachica, Lance Embile</t>
        </is>
      </c>
      <c r="C237" t="inlineStr">
        <is>
          <t>lance.lachica@concentrix.com</t>
        </is>
      </c>
      <c r="D237" t="inlineStr">
        <is>
          <t>Ugalino, Jonadel Pineda</t>
        </is>
      </c>
      <c r="E237" t="inlineStr">
        <is>
          <t>jonadel.ugalino@concentrix.com</t>
        </is>
      </c>
      <c r="F237" t="inlineStr">
        <is>
          <t>Benedicto, Allen Kiel Lazarra</t>
        </is>
      </c>
      <c r="G237" t="inlineStr">
        <is>
          <t>allenkiel.benedicto@concentrix.com</t>
        </is>
      </c>
      <c r="H237" t="inlineStr">
        <is>
          <t>Ebuenga, Sheryll Avellaneda</t>
        </is>
      </c>
      <c r="I237" t="inlineStr">
        <is>
          <t>sheryll.ebuenga@concentrix.com</t>
        </is>
      </c>
      <c r="J237" t="inlineStr"/>
      <c r="K237" t="inlineStr">
        <is>
          <t>HP Mainstream</t>
        </is>
      </c>
    </row>
    <row r="238">
      <c r="A238" t="inlineStr">
        <is>
          <t>101099628</t>
        </is>
      </c>
      <c r="B238" t="inlineStr">
        <is>
          <t>Laguerta, Jason Palinsad</t>
        </is>
      </c>
      <c r="C238" t="inlineStr">
        <is>
          <t>jason.laguerta@concentrix.com</t>
        </is>
      </c>
      <c r="D238" t="inlineStr">
        <is>
          <t>Lungcay, Robin Landayan</t>
        </is>
      </c>
      <c r="E238" t="inlineStr">
        <is>
          <t>robin.lungcay@concentrix.com</t>
        </is>
      </c>
      <c r="F238" t="inlineStr">
        <is>
          <t>Benedicto, Allen Kiel Lazarra</t>
        </is>
      </c>
      <c r="G238" t="inlineStr">
        <is>
          <t>allenkiel.benedicto@concentrix.com</t>
        </is>
      </c>
      <c r="H238" t="inlineStr">
        <is>
          <t>Ebuenga, Sheryll Avellaneda</t>
        </is>
      </c>
      <c r="I238" t="inlineStr">
        <is>
          <t>sheryll.ebuenga@concentrix.com</t>
        </is>
      </c>
      <c r="J238" t="inlineStr"/>
      <c r="K238" t="inlineStr">
        <is>
          <t>HP Mainstream</t>
        </is>
      </c>
    </row>
    <row r="239">
      <c r="A239" t="inlineStr">
        <is>
          <t>101550412</t>
        </is>
      </c>
      <c r="B239" t="inlineStr">
        <is>
          <t>Langcawon, Lary Bagasina</t>
        </is>
      </c>
      <c r="C239" t="inlineStr">
        <is>
          <t>lary.langcawon@concentrix.com</t>
        </is>
      </c>
      <c r="D239" t="inlineStr">
        <is>
          <t>Lungcay, Robin Landayan</t>
        </is>
      </c>
      <c r="E239" t="inlineStr">
        <is>
          <t>robin.lungcay@concentrix.com</t>
        </is>
      </c>
      <c r="F239" t="inlineStr">
        <is>
          <t>Benedicto, Allen Kiel Lazarra</t>
        </is>
      </c>
      <c r="G239" t="inlineStr">
        <is>
          <t>allenkiel.benedicto@concentrix.com</t>
        </is>
      </c>
      <c r="H239" t="inlineStr">
        <is>
          <t>Ebuenga, Sheryll Avellaneda</t>
        </is>
      </c>
      <c r="I239" t="inlineStr">
        <is>
          <t>sheryll.ebuenga@concentrix.com</t>
        </is>
      </c>
      <c r="J239" t="inlineStr"/>
      <c r="K239" t="inlineStr">
        <is>
          <t>HP Mainstream</t>
        </is>
      </c>
    </row>
    <row r="240">
      <c r="A240" t="inlineStr">
        <is>
          <t>243233</t>
        </is>
      </c>
      <c r="B240" t="inlineStr">
        <is>
          <t>Larracas, Bensan Urbi</t>
        </is>
      </c>
      <c r="C240" t="inlineStr">
        <is>
          <t>bensan.larracas@concentrix.com</t>
        </is>
      </c>
      <c r="D240" t="inlineStr">
        <is>
          <t>Vedia, Jerson Reyes</t>
        </is>
      </c>
      <c r="E240" t="inlineStr">
        <is>
          <t>jerson.vedia@concentrix.com</t>
        </is>
      </c>
      <c r="F240" t="inlineStr">
        <is>
          <t>Ramos, Ma Concepcion Sanchez</t>
        </is>
      </c>
      <c r="G240" t="inlineStr">
        <is>
          <t>maconcepcion.ramos@concentrix.com</t>
        </is>
      </c>
      <c r="H240" t="inlineStr">
        <is>
          <t>Ebuenga, Sheryll Avellaneda</t>
        </is>
      </c>
      <c r="I240" t="inlineStr">
        <is>
          <t>sheryll.ebuenga@concentrix.com</t>
        </is>
      </c>
      <c r="J240" t="inlineStr"/>
      <c r="K240" t="inlineStr">
        <is>
          <t>HP Mainstream</t>
        </is>
      </c>
    </row>
    <row r="241">
      <c r="A241" t="inlineStr">
        <is>
          <t>101705819</t>
        </is>
      </c>
      <c r="B241" t="inlineStr">
        <is>
          <t>Laurora, Edison Sayson</t>
        </is>
      </c>
      <c r="C241" t="inlineStr">
        <is>
          <t>edison.laurora@concentrix.com</t>
        </is>
      </c>
      <c r="D241" t="inlineStr">
        <is>
          <t>Adrales, Allen Rick Aguilar</t>
        </is>
      </c>
      <c r="E241" t="inlineStr">
        <is>
          <t>allenrick.adrales@concentrix.com</t>
        </is>
      </c>
      <c r="F241" t="inlineStr">
        <is>
          <t>Ramos, Ma Concepcion Sanchez</t>
        </is>
      </c>
      <c r="G241" t="inlineStr">
        <is>
          <t>maconcepcion.ramos@concentrix.com</t>
        </is>
      </c>
      <c r="H241" t="inlineStr">
        <is>
          <t>Ebuenga, Sheryll Avellaneda</t>
        </is>
      </c>
      <c r="I241" t="inlineStr">
        <is>
          <t>sheryll.ebuenga@concentrix.com</t>
        </is>
      </c>
      <c r="J241" t="inlineStr"/>
      <c r="K241" t="inlineStr">
        <is>
          <t>HP Mainstream</t>
        </is>
      </c>
    </row>
    <row r="242">
      <c r="A242" t="inlineStr">
        <is>
          <t>103382652</t>
        </is>
      </c>
      <c r="B242" t="inlineStr">
        <is>
          <t>Lavado, Mark Montes</t>
        </is>
      </c>
      <c r="C242" t="inlineStr">
        <is>
          <t>mark.lavado@concentrix.com</t>
        </is>
      </c>
      <c r="D242" t="inlineStr">
        <is>
          <t>Hije, Bernadeth Rosales</t>
        </is>
      </c>
      <c r="E242" t="inlineStr">
        <is>
          <t>bernadeth.hije@concentrix.com</t>
        </is>
      </c>
      <c r="F242" t="inlineStr">
        <is>
          <t>Benedicto, Allen Kiel Lazarra</t>
        </is>
      </c>
      <c r="G242" t="inlineStr">
        <is>
          <t>allenkiel.benedicto@concentrix.com</t>
        </is>
      </c>
      <c r="H242" t="inlineStr">
        <is>
          <t>Ebuenga, Sheryll Avellaneda</t>
        </is>
      </c>
      <c r="I242" t="inlineStr">
        <is>
          <t>sheryll.ebuenga@concentrix.com</t>
        </is>
      </c>
      <c r="J242" t="inlineStr"/>
      <c r="K242" t="inlineStr">
        <is>
          <t>HP Mainstream</t>
        </is>
      </c>
    </row>
    <row r="243">
      <c r="A243" t="inlineStr">
        <is>
          <t>105830</t>
        </is>
      </c>
      <c r="B243" t="inlineStr">
        <is>
          <t>Lazaro, Paolo Dennis Hidalgo</t>
        </is>
      </c>
      <c r="C243" t="inlineStr">
        <is>
          <t>paolodennis.lazaro@concentrix.com</t>
        </is>
      </c>
      <c r="D243" t="inlineStr">
        <is>
          <t>Ramos, Ma Concepcion Sanchez</t>
        </is>
      </c>
      <c r="E243" t="inlineStr">
        <is>
          <t>maconcepcion.ramos@concentrix.com</t>
        </is>
      </c>
      <c r="F243" t="inlineStr">
        <is>
          <t>Ramos, Ma Concepcion Sanchez</t>
        </is>
      </c>
      <c r="G243" t="inlineStr">
        <is>
          <t>maconcepcion.ramos@concentrix.com</t>
        </is>
      </c>
      <c r="H243" t="inlineStr">
        <is>
          <t>Ebuenga, Sheryll Avellaneda</t>
        </is>
      </c>
      <c r="I243" t="inlineStr">
        <is>
          <t>sheryll.ebuenga@concentrix.com</t>
        </is>
      </c>
      <c r="J243" t="inlineStr"/>
      <c r="K243" t="inlineStr">
        <is>
          <t>HP Mainstream</t>
        </is>
      </c>
    </row>
    <row r="244">
      <c r="A244" t="inlineStr">
        <is>
          <t>103188898</t>
        </is>
      </c>
      <c r="B244" t="inlineStr">
        <is>
          <t>Lazarte, Marella Rosabelle</t>
        </is>
      </c>
      <c r="C244" t="inlineStr">
        <is>
          <t>marella.lazarte@concentrix.com</t>
        </is>
      </c>
      <c r="D244" t="inlineStr">
        <is>
          <t>Vedia, Jerson Reyes</t>
        </is>
      </c>
      <c r="E244" t="inlineStr">
        <is>
          <t>jerson.vedia@concentrix.com</t>
        </is>
      </c>
      <c r="F244" t="inlineStr">
        <is>
          <t>Ramos, Ma Concepcion Sanchez</t>
        </is>
      </c>
      <c r="G244" t="inlineStr">
        <is>
          <t>maconcepcion.ramos@concentrix.com</t>
        </is>
      </c>
      <c r="H244" t="inlineStr">
        <is>
          <t>Ebuenga, Sheryll Avellaneda</t>
        </is>
      </c>
      <c r="I244" t="inlineStr">
        <is>
          <t>sheryll.ebuenga@concentrix.com</t>
        </is>
      </c>
      <c r="J244" t="inlineStr"/>
      <c r="K244" t="inlineStr">
        <is>
          <t>HP Mainstream</t>
        </is>
      </c>
    </row>
    <row r="245">
      <c r="A245" t="inlineStr">
        <is>
          <t>103420021</t>
        </is>
      </c>
      <c r="B245" t="inlineStr">
        <is>
          <t>Licardo, Diana Ann Princess Nmn</t>
        </is>
      </c>
      <c r="C245" t="inlineStr">
        <is>
          <t>dianaannprincess.licardo@concentrix.com</t>
        </is>
      </c>
      <c r="D245" t="inlineStr">
        <is>
          <t>Racha, Grace Eunice Divinagracia</t>
        </is>
      </c>
      <c r="E245" t="inlineStr">
        <is>
          <t>graceeunice.racha@concentrix.com</t>
        </is>
      </c>
      <c r="F245" t="inlineStr">
        <is>
          <t>Ramos, Ma Concepcion Sanchez</t>
        </is>
      </c>
      <c r="G245" t="inlineStr">
        <is>
          <t>maconcepcion.ramos@concentrix.com</t>
        </is>
      </c>
      <c r="H245" t="inlineStr">
        <is>
          <t>Ebuenga, Sheryll Avellaneda</t>
        </is>
      </c>
      <c r="I245" t="inlineStr">
        <is>
          <t>sheryll.ebuenga@concentrix.com</t>
        </is>
      </c>
      <c r="J245" t="inlineStr"/>
      <c r="K245" t="inlineStr">
        <is>
          <t>HP Mainstream</t>
        </is>
      </c>
    </row>
    <row r="246">
      <c r="A246" t="inlineStr">
        <is>
          <t>454932</t>
        </is>
      </c>
      <c r="B246" t="inlineStr">
        <is>
          <t>Lim, Dimple Forte</t>
        </is>
      </c>
      <c r="C246" t="inlineStr">
        <is>
          <t>dimple.lim@concentrix.com</t>
        </is>
      </c>
      <c r="D246" t="inlineStr">
        <is>
          <t>Hije, Bernadeth Rosales</t>
        </is>
      </c>
      <c r="E246" t="inlineStr">
        <is>
          <t>bernadeth.hije@concentrix.com</t>
        </is>
      </c>
      <c r="F246" t="inlineStr">
        <is>
          <t>Benedicto, Allen Kiel Lazarra</t>
        </is>
      </c>
      <c r="G246" t="inlineStr">
        <is>
          <t>allenkiel.benedicto@concentrix.com</t>
        </is>
      </c>
      <c r="H246" t="inlineStr">
        <is>
          <t>Ebuenga, Sheryll Avellaneda</t>
        </is>
      </c>
      <c r="I246" t="inlineStr">
        <is>
          <t>sheryll.ebuenga@concentrix.com</t>
        </is>
      </c>
      <c r="J246" t="inlineStr"/>
      <c r="K246" t="inlineStr">
        <is>
          <t>HP Mainstream</t>
        </is>
      </c>
    </row>
    <row r="247">
      <c r="A247" t="inlineStr">
        <is>
          <t>101894207</t>
        </is>
      </c>
      <c r="B247" t="inlineStr">
        <is>
          <t>Limatoc, Ahmed Gumaru</t>
        </is>
      </c>
      <c r="C247" t="inlineStr">
        <is>
          <t>ahmed.limatoc@concentrix.com</t>
        </is>
      </c>
      <c r="D247" t="inlineStr">
        <is>
          <t>Cinco, Neville Dimagiba</t>
        </is>
      </c>
      <c r="E247" t="inlineStr">
        <is>
          <t>neville.cinco@concentrix.com</t>
        </is>
      </c>
      <c r="F247" t="inlineStr">
        <is>
          <t>Christian Bajo</t>
        </is>
      </c>
      <c r="G247" t="inlineStr"/>
      <c r="H247" t="inlineStr">
        <is>
          <t>-</t>
        </is>
      </c>
      <c r="I247" t="inlineStr"/>
      <c r="J247" t="inlineStr"/>
      <c r="K247" t="inlineStr">
        <is>
          <t>HP Mainstream</t>
        </is>
      </c>
    </row>
    <row r="248">
      <c r="A248" t="inlineStr">
        <is>
          <t>101746618</t>
        </is>
      </c>
      <c r="B248" t="inlineStr">
        <is>
          <t>Limco, Anthony Parcon</t>
        </is>
      </c>
      <c r="C248" t="inlineStr">
        <is>
          <t>anthony.limco@concentrix.com</t>
        </is>
      </c>
      <c r="D248" t="inlineStr">
        <is>
          <t>Ferrer, Jasper Kenneth Labor</t>
        </is>
      </c>
      <c r="E248" t="inlineStr">
        <is>
          <t>jasperkenneth.ferrer@concentrix.com</t>
        </is>
      </c>
      <c r="F248" t="inlineStr">
        <is>
          <t>Nito, Reynaldo Tribol</t>
        </is>
      </c>
      <c r="G248" t="inlineStr">
        <is>
          <t>reynaldo.nito@concentrix.com</t>
        </is>
      </c>
      <c r="H248" t="inlineStr">
        <is>
          <t>Ebuenga, Sheryll Avellaneda</t>
        </is>
      </c>
      <c r="I248" t="inlineStr">
        <is>
          <t>sheryll.ebuenga@concentrix.com</t>
        </is>
      </c>
      <c r="J248" t="inlineStr"/>
      <c r="K248" t="inlineStr">
        <is>
          <t>HP Mainstream</t>
        </is>
      </c>
    </row>
    <row r="249">
      <c r="A249" t="inlineStr">
        <is>
          <t>102842805</t>
        </is>
      </c>
      <c r="B249" t="inlineStr">
        <is>
          <t>Lino, Kimberly Laude</t>
        </is>
      </c>
      <c r="C249" t="inlineStr">
        <is>
          <t>kimberly.lino@concentrix.com</t>
        </is>
      </c>
      <c r="D249" t="inlineStr">
        <is>
          <t>Ong, Lesley Ann Bayotas</t>
        </is>
      </c>
      <c r="E249" t="inlineStr">
        <is>
          <t>lesleyann.ong@concentrix.com</t>
        </is>
      </c>
      <c r="F249" t="inlineStr">
        <is>
          <t>Ramos, Ma Concepcion Sanchez</t>
        </is>
      </c>
      <c r="G249" t="inlineStr">
        <is>
          <t>maconcepcion.ramos@concentrix.com</t>
        </is>
      </c>
      <c r="H249" t="inlineStr">
        <is>
          <t>Ebuenga, Sheryll Avellaneda</t>
        </is>
      </c>
      <c r="I249" t="inlineStr">
        <is>
          <t>sheryll.ebuenga@concentrix.com</t>
        </is>
      </c>
      <c r="J249" t="inlineStr"/>
      <c r="K249" t="inlineStr">
        <is>
          <t>HP Mainstream</t>
        </is>
      </c>
    </row>
    <row r="250">
      <c r="A250" t="inlineStr">
        <is>
          <t>103384586</t>
        </is>
      </c>
      <c r="B250" t="inlineStr">
        <is>
          <t>Llanes, Jocelyn Talastasin</t>
        </is>
      </c>
      <c r="C250" t="inlineStr">
        <is>
          <t>jocelyn.llanes@concentrix.com</t>
        </is>
      </c>
      <c r="D250" t="inlineStr">
        <is>
          <t>Ugalino, Jonadel Pineda</t>
        </is>
      </c>
      <c r="E250" t="inlineStr">
        <is>
          <t>jonadel.ugalino@concentrix.com</t>
        </is>
      </c>
      <c r="F250" t="inlineStr">
        <is>
          <t>Benedicto, Allen Kiel Lazarra</t>
        </is>
      </c>
      <c r="G250" t="inlineStr">
        <is>
          <t>allenkiel.benedicto@concentrix.com</t>
        </is>
      </c>
      <c r="H250" t="inlineStr">
        <is>
          <t>Ebuenga, Sheryll Avellaneda</t>
        </is>
      </c>
      <c r="I250" t="inlineStr">
        <is>
          <t>sheryll.ebuenga@concentrix.com</t>
        </is>
      </c>
      <c r="J250" t="inlineStr"/>
      <c r="K250" t="inlineStr">
        <is>
          <t>HP Mainstream</t>
        </is>
      </c>
    </row>
    <row r="251">
      <c r="A251" t="inlineStr">
        <is>
          <t>102046500</t>
        </is>
      </c>
      <c r="B251" t="inlineStr">
        <is>
          <t>Lopez, Melissa Ranola</t>
        </is>
      </c>
      <c r="C251" t="inlineStr">
        <is>
          <t>melissa.lopez1@concentrix.com</t>
        </is>
      </c>
      <c r="D251" t="inlineStr">
        <is>
          <t>Hije, Bernadeth Rosales</t>
        </is>
      </c>
      <c r="E251" t="inlineStr">
        <is>
          <t>bernadeth.hije@concentrix.com</t>
        </is>
      </c>
      <c r="F251" t="inlineStr">
        <is>
          <t>Benedicto, Allen Kiel Lazarra</t>
        </is>
      </c>
      <c r="G251" t="inlineStr">
        <is>
          <t>allenkiel.benedicto@concentrix.com</t>
        </is>
      </c>
      <c r="H251" t="inlineStr">
        <is>
          <t>Ebuenga, Sheryll Avellaneda</t>
        </is>
      </c>
      <c r="I251" t="inlineStr">
        <is>
          <t>sheryll.ebuenga@concentrix.com</t>
        </is>
      </c>
      <c r="J251" t="inlineStr"/>
      <c r="K251" t="inlineStr">
        <is>
          <t>HP Mainstream</t>
        </is>
      </c>
    </row>
    <row r="252">
      <c r="A252" t="inlineStr">
        <is>
          <t>101311705</t>
        </is>
      </c>
      <c r="B252" t="inlineStr">
        <is>
          <t>Lorenzo, Catherine Molina</t>
        </is>
      </c>
      <c r="C252" t="inlineStr">
        <is>
          <t>catherine.lorenzo@concentrix.com</t>
        </is>
      </c>
      <c r="D252" t="inlineStr">
        <is>
          <t>Belandres, Nica Marie Ballola</t>
        </is>
      </c>
      <c r="E252" t="inlineStr">
        <is>
          <t>nicamarie.belandres@concentrix.com</t>
        </is>
      </c>
      <c r="F252" t="inlineStr">
        <is>
          <t>Benedicto, Allen Kiel Lazarra</t>
        </is>
      </c>
      <c r="G252" t="inlineStr">
        <is>
          <t>allenkiel.benedicto@concentrix.com</t>
        </is>
      </c>
      <c r="H252" t="inlineStr">
        <is>
          <t>Ebuenga, Sheryll Avellaneda</t>
        </is>
      </c>
      <c r="I252" t="inlineStr">
        <is>
          <t>sheryll.ebuenga@concentrix.com</t>
        </is>
      </c>
      <c r="J252" t="inlineStr"/>
      <c r="K252" t="inlineStr">
        <is>
          <t>HP Mainstream</t>
        </is>
      </c>
    </row>
    <row r="253">
      <c r="A253" t="inlineStr">
        <is>
          <t>102042261</t>
        </is>
      </c>
      <c r="B253" t="inlineStr">
        <is>
          <t>Lorenzo, Frederick John Taruc</t>
        </is>
      </c>
      <c r="C253" t="inlineStr">
        <is>
          <t>frederickjohn.lorenzo@concentrix.com</t>
        </is>
      </c>
      <c r="D253" t="inlineStr">
        <is>
          <t>Ugalino, Jonadel Pineda</t>
        </is>
      </c>
      <c r="E253" t="inlineStr">
        <is>
          <t>jonadel.ugalino@concentrix.com</t>
        </is>
      </c>
      <c r="F253" t="inlineStr">
        <is>
          <t>Benedicto, Allen Kiel Lazarra</t>
        </is>
      </c>
      <c r="G253" t="inlineStr">
        <is>
          <t>allenkiel.benedicto@concentrix.com</t>
        </is>
      </c>
      <c r="H253" t="inlineStr">
        <is>
          <t>Ebuenga, Sheryll Avellaneda</t>
        </is>
      </c>
      <c r="I253" t="inlineStr">
        <is>
          <t>sheryll.ebuenga@concentrix.com</t>
        </is>
      </c>
      <c r="J253" t="inlineStr"/>
      <c r="K253" t="inlineStr">
        <is>
          <t>HP Mainstream</t>
        </is>
      </c>
    </row>
    <row r="254">
      <c r="A254" t="inlineStr">
        <is>
          <t>101956596</t>
        </is>
      </c>
      <c r="B254" t="inlineStr">
        <is>
          <t>Lorico, Audreen Delasan</t>
        </is>
      </c>
      <c r="C254" t="inlineStr">
        <is>
          <t>audreen.lorico@concentrix.com</t>
        </is>
      </c>
      <c r="D254" t="inlineStr">
        <is>
          <t>Vedia, Jerson Reyes</t>
        </is>
      </c>
      <c r="E254" t="inlineStr">
        <is>
          <t>jerson.vedia@concentrix.com</t>
        </is>
      </c>
      <c r="F254" t="inlineStr">
        <is>
          <t>Ramos, Ma Concepcion Sanchez</t>
        </is>
      </c>
      <c r="G254" t="inlineStr">
        <is>
          <t>maconcepcion.ramos@concentrix.com</t>
        </is>
      </c>
      <c r="H254" t="inlineStr">
        <is>
          <t>Ebuenga, Sheryll Avellaneda</t>
        </is>
      </c>
      <c r="I254" t="inlineStr">
        <is>
          <t>sheryll.ebuenga@concentrix.com</t>
        </is>
      </c>
      <c r="J254" t="inlineStr"/>
      <c r="K254" t="inlineStr">
        <is>
          <t>HP Mainstream</t>
        </is>
      </c>
    </row>
    <row r="255">
      <c r="A255" t="inlineStr">
        <is>
          <t>212029</t>
        </is>
      </c>
      <c r="B255" t="inlineStr">
        <is>
          <t>Lungcay, Robin Landayan</t>
        </is>
      </c>
      <c r="C255" t="inlineStr">
        <is>
          <t>robin.lungcay@concentrix.com</t>
        </is>
      </c>
      <c r="D255" t="inlineStr">
        <is>
          <t>Benedicto, Allen Kiel Lazarra</t>
        </is>
      </c>
      <c r="E255" t="inlineStr">
        <is>
          <t>allenkiel.benedicto@concentrix.com</t>
        </is>
      </c>
      <c r="F255" t="inlineStr">
        <is>
          <t>Benedicto, Allen Kiel Lazarra</t>
        </is>
      </c>
      <c r="G255" t="inlineStr">
        <is>
          <t>allenkiel.benedicto@concentrix.com</t>
        </is>
      </c>
      <c r="H255" t="inlineStr">
        <is>
          <t>Ebuenga, Sheryll Avellaneda</t>
        </is>
      </c>
      <c r="I255" t="inlineStr">
        <is>
          <t>sheryll.ebuenga@concentrix.com</t>
        </is>
      </c>
      <c r="J255" t="inlineStr"/>
      <c r="K255" t="inlineStr">
        <is>
          <t>HP Mainstream</t>
        </is>
      </c>
    </row>
    <row r="256">
      <c r="A256" t="inlineStr">
        <is>
          <t>434764</t>
        </is>
      </c>
      <c r="B256" t="inlineStr">
        <is>
          <t>Luñiza, Jona Claveria</t>
        </is>
      </c>
      <c r="C256" t="inlineStr">
        <is>
          <t>jona.luniza@concentrix.com</t>
        </is>
      </c>
      <c r="D256" t="inlineStr">
        <is>
          <t>Ebuenga, Sheryll Avellaneda</t>
        </is>
      </c>
      <c r="E256" t="inlineStr">
        <is>
          <t>sheryll.ebuenga@concentrix.com</t>
        </is>
      </c>
      <c r="F256" t="inlineStr">
        <is>
          <t>Ebuenga, Sheryll Avellaneda</t>
        </is>
      </c>
      <c r="G256" t="inlineStr">
        <is>
          <t>sheryll.ebuenga@concentrix.com</t>
        </is>
      </c>
      <c r="H256" t="inlineStr">
        <is>
          <t>Ebuenga, Sheryll Avellaneda</t>
        </is>
      </c>
      <c r="I256" t="inlineStr">
        <is>
          <t>sheryll.ebuenga@concentrix.com</t>
        </is>
      </c>
      <c r="J256" t="inlineStr"/>
      <c r="K256" t="inlineStr">
        <is>
          <t>HP Mainstream</t>
        </is>
      </c>
    </row>
    <row r="257">
      <c r="A257" t="inlineStr">
        <is>
          <t>101751515</t>
        </is>
      </c>
      <c r="B257" t="inlineStr">
        <is>
          <t>Mabansag, Jr Nmn</t>
        </is>
      </c>
      <c r="C257" t="inlineStr">
        <is>
          <t>jr.mabansag@concentrix.com</t>
        </is>
      </c>
      <c r="D257" t="inlineStr">
        <is>
          <t>De Guzman, Gabriel Rodrigo</t>
        </is>
      </c>
      <c r="E257" t="inlineStr">
        <is>
          <t>gabriel.deguzman@concentrix.com</t>
        </is>
      </c>
      <c r="F257" t="inlineStr">
        <is>
          <t>Arcena, Alberto Chua</t>
        </is>
      </c>
      <c r="G257" t="inlineStr">
        <is>
          <t>alberto.arcenajr@concentrix.com</t>
        </is>
      </c>
      <c r="H257" t="inlineStr">
        <is>
          <t>Ebuenga, Sheryll Avellaneda</t>
        </is>
      </c>
      <c r="I257" t="inlineStr">
        <is>
          <t>sheryll.ebuenga@concentrix.com</t>
        </is>
      </c>
      <c r="J257" t="inlineStr"/>
      <c r="K257" t="inlineStr">
        <is>
          <t>HP Mainstream</t>
        </is>
      </c>
    </row>
    <row r="258">
      <c r="A258" t="inlineStr">
        <is>
          <t>101146277</t>
        </is>
      </c>
      <c r="B258" t="inlineStr">
        <is>
          <t>Macalino, Jesus Finchley Estrella</t>
        </is>
      </c>
      <c r="C258" t="inlineStr">
        <is>
          <t>jesusfinchley.macalino@concentrix.com</t>
        </is>
      </c>
      <c r="D258" t="inlineStr">
        <is>
          <t>Ong, Lesley Ann Bayotas</t>
        </is>
      </c>
      <c r="E258" t="inlineStr">
        <is>
          <t>lesleyann.ong@concentrix.com</t>
        </is>
      </c>
      <c r="F258" t="inlineStr">
        <is>
          <t>Ramos, Ma Concepcion Sanchez</t>
        </is>
      </c>
      <c r="G258" t="inlineStr">
        <is>
          <t>maconcepcion.ramos@concentrix.com</t>
        </is>
      </c>
      <c r="H258" t="inlineStr">
        <is>
          <t>Ebuenga, Sheryll Avellaneda</t>
        </is>
      </c>
      <c r="I258" t="inlineStr">
        <is>
          <t>sheryll.ebuenga@concentrix.com</t>
        </is>
      </c>
      <c r="J258" t="inlineStr"/>
      <c r="K258" t="inlineStr">
        <is>
          <t>HP Mainstream</t>
        </is>
      </c>
    </row>
    <row r="259">
      <c r="A259" t="inlineStr">
        <is>
          <t>101023721</t>
        </is>
      </c>
      <c r="B259" t="inlineStr">
        <is>
          <t>Macaranas, Juvilyn Uy</t>
        </is>
      </c>
      <c r="C259" t="inlineStr">
        <is>
          <t>juvilyn.macaranas@concentrix.com</t>
        </is>
      </c>
      <c r="D259" t="inlineStr">
        <is>
          <t>Lungcay, Robin Landayan</t>
        </is>
      </c>
      <c r="E259" t="inlineStr">
        <is>
          <t>robin.lungcay@concentrix.com</t>
        </is>
      </c>
      <c r="F259" t="inlineStr">
        <is>
          <t>Benedicto, Allen Kiel Lazarra</t>
        </is>
      </c>
      <c r="G259" t="inlineStr">
        <is>
          <t>allenkiel.benedicto@concentrix.com</t>
        </is>
      </c>
      <c r="H259" t="inlineStr">
        <is>
          <t>Ebuenga, Sheryll Avellaneda</t>
        </is>
      </c>
      <c r="I259" t="inlineStr">
        <is>
          <t>sheryll.ebuenga@concentrix.com</t>
        </is>
      </c>
      <c r="J259" t="inlineStr"/>
      <c r="K259" t="inlineStr">
        <is>
          <t>HP Mainstream</t>
        </is>
      </c>
    </row>
    <row r="260">
      <c r="A260" t="inlineStr">
        <is>
          <t>102022310</t>
        </is>
      </c>
      <c r="B260" t="inlineStr">
        <is>
          <t>Madronio, Nikki Loreane Quitorio</t>
        </is>
      </c>
      <c r="C260" t="inlineStr">
        <is>
          <t>nikkiloreane.madronio@concentrix.com</t>
        </is>
      </c>
      <c r="D260" t="inlineStr">
        <is>
          <t>Quinto, Bernadeth Mendoza</t>
        </is>
      </c>
      <c r="E260" t="inlineStr">
        <is>
          <t>bernadeth.quinto@concentrix.com</t>
        </is>
      </c>
      <c r="F260" t="inlineStr">
        <is>
          <t>Benedicto, Allen Kiel Lazarra</t>
        </is>
      </c>
      <c r="G260" t="inlineStr">
        <is>
          <t>allenkiel.benedicto@concentrix.com</t>
        </is>
      </c>
      <c r="H260" t="inlineStr">
        <is>
          <t>Ebuenga, Sheryll Avellaneda</t>
        </is>
      </c>
      <c r="I260" t="inlineStr">
        <is>
          <t>sheryll.ebuenga@concentrix.com</t>
        </is>
      </c>
      <c r="J260" t="inlineStr"/>
      <c r="K260" t="inlineStr">
        <is>
          <t>HP Mainstream</t>
        </is>
      </c>
    </row>
    <row r="261">
      <c r="A261" t="inlineStr">
        <is>
          <t>103092343</t>
        </is>
      </c>
      <c r="B261" t="inlineStr">
        <is>
          <t>Magante, Percival Matining</t>
        </is>
      </c>
      <c r="C261" t="inlineStr">
        <is>
          <t>percival.magante@concentrix.com</t>
        </is>
      </c>
      <c r="D261" t="inlineStr">
        <is>
          <t>Galope, Danri Catacutan</t>
        </is>
      </c>
      <c r="E261" t="inlineStr">
        <is>
          <t>danri.galope@concentrix.com</t>
        </is>
      </c>
      <c r="F261" t="inlineStr">
        <is>
          <t>Ramos, Ma Concepcion Sanchez</t>
        </is>
      </c>
      <c r="G261" t="inlineStr">
        <is>
          <t>maconcepcion.ramos@concentrix.com</t>
        </is>
      </c>
      <c r="H261" t="inlineStr">
        <is>
          <t>Ebuenga, Sheryll Avellaneda</t>
        </is>
      </c>
      <c r="I261" t="inlineStr">
        <is>
          <t>sheryll.ebuenga@concentrix.com</t>
        </is>
      </c>
      <c r="J261" t="inlineStr"/>
      <c r="K261" t="inlineStr">
        <is>
          <t>HP Mainstream</t>
        </is>
      </c>
    </row>
    <row r="262">
      <c r="A262" t="inlineStr">
        <is>
          <t>101671152</t>
        </is>
      </c>
      <c r="B262" t="inlineStr">
        <is>
          <t>Mago, Lhynter Jade Masas</t>
        </is>
      </c>
      <c r="C262" t="inlineStr">
        <is>
          <t>lhynterjade.mago@concentrix.com</t>
        </is>
      </c>
      <c r="D262" t="inlineStr">
        <is>
          <t>Luñiza, Jona Claveria</t>
        </is>
      </c>
      <c r="E262" t="inlineStr">
        <is>
          <t>jona.luniza@concentrix.com</t>
        </is>
      </c>
      <c r="F262" t="inlineStr">
        <is>
          <t>Arcena, Alberto Chua</t>
        </is>
      </c>
      <c r="G262" t="inlineStr">
        <is>
          <t>alberto.arcenajr@concentrix.com</t>
        </is>
      </c>
      <c r="H262" t="inlineStr">
        <is>
          <t>Ebuenga, Sheryll Avellaneda</t>
        </is>
      </c>
      <c r="I262" t="inlineStr">
        <is>
          <t>sheryll.ebuenga@concentrix.com</t>
        </is>
      </c>
      <c r="J262" t="inlineStr"/>
      <c r="K262" t="inlineStr">
        <is>
          <t>HP Mainstream</t>
        </is>
      </c>
    </row>
    <row r="263">
      <c r="A263" t="inlineStr">
        <is>
          <t>101520023</t>
        </is>
      </c>
      <c r="B263" t="inlineStr">
        <is>
          <t>Malabao, Khayla Mindo</t>
        </is>
      </c>
      <c r="C263" t="inlineStr">
        <is>
          <t>khayla.malabao@concentrix.com</t>
        </is>
      </c>
      <c r="D263" t="inlineStr">
        <is>
          <t>Briones, Aries Ang</t>
        </is>
      </c>
      <c r="E263" t="inlineStr">
        <is>
          <t>aries.briones@concentrix.com</t>
        </is>
      </c>
      <c r="F263" t="inlineStr">
        <is>
          <t>Arcena, Alberto Chua</t>
        </is>
      </c>
      <c r="G263" t="inlineStr">
        <is>
          <t>alberto.arcenajr@concentrix.com</t>
        </is>
      </c>
      <c r="H263" t="inlineStr">
        <is>
          <t>Ebuenga, Sheryll Avellaneda</t>
        </is>
      </c>
      <c r="I263" t="inlineStr">
        <is>
          <t>sheryll.ebuenga@concentrix.com</t>
        </is>
      </c>
      <c r="J263" t="inlineStr"/>
      <c r="K263" t="inlineStr">
        <is>
          <t>HP Mainstream</t>
        </is>
      </c>
    </row>
    <row r="264">
      <c r="A264" t="inlineStr">
        <is>
          <t>101579725</t>
        </is>
      </c>
      <c r="B264" t="inlineStr">
        <is>
          <t>Malapitan, Maureen Viena Nicole Calimlim</t>
        </is>
      </c>
      <c r="C264" t="inlineStr">
        <is>
          <t>maureenvienanicole.malapitan@concentrix.com</t>
        </is>
      </c>
      <c r="D264" t="inlineStr">
        <is>
          <t>Pineda, Gerald Christian Bo</t>
        </is>
      </c>
      <c r="E264" t="inlineStr">
        <is>
          <t>geraldchristian.pineda@concentrix.com</t>
        </is>
      </c>
      <c r="F264" t="inlineStr">
        <is>
          <t>Pineda, Gerald Christian Bo</t>
        </is>
      </c>
      <c r="G264" t="inlineStr">
        <is>
          <t>geraldchristian.pineda@concentrix.com</t>
        </is>
      </c>
      <c r="H264" t="inlineStr">
        <is>
          <t>-</t>
        </is>
      </c>
      <c r="I264" t="inlineStr"/>
      <c r="J264" t="inlineStr"/>
      <c r="K264" t="inlineStr">
        <is>
          <t>HP Mainstream</t>
        </is>
      </c>
    </row>
    <row r="265">
      <c r="A265" t="inlineStr">
        <is>
          <t>102171439</t>
        </is>
      </c>
      <c r="B265" t="inlineStr">
        <is>
          <t>Malate, Jinky La Torre</t>
        </is>
      </c>
      <c r="C265" t="inlineStr">
        <is>
          <t>jinky.malate@concentrix.com</t>
        </is>
      </c>
      <c r="D265" t="inlineStr">
        <is>
          <t>Galope, Danri Catacutan</t>
        </is>
      </c>
      <c r="E265" t="inlineStr">
        <is>
          <t>danri.galope@concentrix.com</t>
        </is>
      </c>
      <c r="F265" t="inlineStr">
        <is>
          <t>Ramos, Ma Concepcion Sanchez</t>
        </is>
      </c>
      <c r="G265" t="inlineStr">
        <is>
          <t>maconcepcion.ramos@concentrix.com</t>
        </is>
      </c>
      <c r="H265" t="inlineStr">
        <is>
          <t>Ebuenga, Sheryll Avellaneda</t>
        </is>
      </c>
      <c r="I265" t="inlineStr">
        <is>
          <t>sheryll.ebuenga@concentrix.com</t>
        </is>
      </c>
      <c r="J265" t="inlineStr"/>
      <c r="K265" t="inlineStr">
        <is>
          <t>HP Mainstream</t>
        </is>
      </c>
    </row>
    <row r="266">
      <c r="A266" t="inlineStr">
        <is>
          <t>102160552</t>
        </is>
      </c>
      <c r="B266" t="inlineStr">
        <is>
          <t>Malazarte, Paul Joshua Rivera</t>
        </is>
      </c>
      <c r="C266" t="inlineStr">
        <is>
          <t>pauljoshua.malazarte@concentrix.com</t>
        </is>
      </c>
      <c r="D266" t="inlineStr">
        <is>
          <t>Pineda, Gerald Christian Bo</t>
        </is>
      </c>
      <c r="E266" t="inlineStr">
        <is>
          <t>geraldchristian.pineda@concentrix.com</t>
        </is>
      </c>
      <c r="F266" t="inlineStr">
        <is>
          <t>Pineda, Gerald Christian Bo</t>
        </is>
      </c>
      <c r="G266" t="inlineStr">
        <is>
          <t>geraldchristian.pineda@concentrix.com</t>
        </is>
      </c>
      <c r="H266" t="inlineStr">
        <is>
          <t>-</t>
        </is>
      </c>
      <c r="I266" t="inlineStr"/>
      <c r="J266" t="inlineStr"/>
      <c r="K266" t="inlineStr">
        <is>
          <t>HP Mainstream</t>
        </is>
      </c>
    </row>
    <row r="267">
      <c r="A267" t="inlineStr">
        <is>
          <t>101386221</t>
        </is>
      </c>
      <c r="B267" t="inlineStr">
        <is>
          <t>Manas, Maricar Dela Cruz</t>
        </is>
      </c>
      <c r="C267" t="inlineStr">
        <is>
          <t>maricar.manas@concentrix.com</t>
        </is>
      </c>
      <c r="D267" t="inlineStr">
        <is>
          <t>Adrales, Allen Rick Aguilar</t>
        </is>
      </c>
      <c r="E267" t="inlineStr">
        <is>
          <t>allenrick.adrales@concentrix.com</t>
        </is>
      </c>
      <c r="F267" t="inlineStr">
        <is>
          <t>Ramos, Ma Concepcion Sanchez</t>
        </is>
      </c>
      <c r="G267" t="inlineStr">
        <is>
          <t>maconcepcion.ramos@concentrix.com</t>
        </is>
      </c>
      <c r="H267" t="inlineStr">
        <is>
          <t>Ebuenga, Sheryll Avellaneda</t>
        </is>
      </c>
      <c r="I267" t="inlineStr">
        <is>
          <t>sheryll.ebuenga@concentrix.com</t>
        </is>
      </c>
      <c r="J267" t="inlineStr"/>
      <c r="K267" t="inlineStr">
        <is>
          <t>HP Mainstream</t>
        </is>
      </c>
    </row>
    <row r="268">
      <c r="A268" t="inlineStr">
        <is>
          <t>101557898</t>
        </is>
      </c>
      <c r="B268" t="inlineStr">
        <is>
          <t>Manatad, Jifferson Espelita</t>
        </is>
      </c>
      <c r="C268" t="inlineStr">
        <is>
          <t>jifferson.manatad@concentrix.com</t>
        </is>
      </c>
      <c r="D268" t="inlineStr">
        <is>
          <t>Blas, Jesus Jr Trinidad</t>
        </is>
      </c>
      <c r="E268" t="inlineStr">
        <is>
          <t>jesus.blas@concentrix.com</t>
        </is>
      </c>
      <c r="F268" t="inlineStr">
        <is>
          <t>Arcena, Alberto Chua</t>
        </is>
      </c>
      <c r="G268" t="inlineStr">
        <is>
          <t>alberto.arcenajr@concentrix.com</t>
        </is>
      </c>
      <c r="H268" t="inlineStr">
        <is>
          <t>Ebuenga, Sheryll Avellaneda</t>
        </is>
      </c>
      <c r="I268" t="inlineStr">
        <is>
          <t>sheryll.ebuenga@concentrix.com</t>
        </is>
      </c>
      <c r="J268" t="inlineStr"/>
      <c r="K268" t="inlineStr">
        <is>
          <t>HP Mainstream</t>
        </is>
      </c>
    </row>
    <row r="269">
      <c r="A269" t="inlineStr">
        <is>
          <t>101596687</t>
        </is>
      </c>
      <c r="B269" t="inlineStr">
        <is>
          <t>Maneja, Francess Laurent Famorcan</t>
        </is>
      </c>
      <c r="C269" t="inlineStr">
        <is>
          <t>francesslaurent.maneja@concentrix.com</t>
        </is>
      </c>
      <c r="D269" t="inlineStr">
        <is>
          <t>Blas, Jesus Jr Trinidad</t>
        </is>
      </c>
      <c r="E269" t="inlineStr">
        <is>
          <t>jesus.blas@concentrix.com</t>
        </is>
      </c>
      <c r="F269" t="inlineStr">
        <is>
          <t>Arcena, Alberto Chua</t>
        </is>
      </c>
      <c r="G269" t="inlineStr">
        <is>
          <t>alberto.arcenajr@concentrix.com</t>
        </is>
      </c>
      <c r="H269" t="inlineStr">
        <is>
          <t>Ebuenga, Sheryll Avellaneda</t>
        </is>
      </c>
      <c r="I269" t="inlineStr">
        <is>
          <t>sheryll.ebuenga@concentrix.com</t>
        </is>
      </c>
      <c r="J269" t="inlineStr"/>
      <c r="K269" t="inlineStr">
        <is>
          <t>HP Mainstream</t>
        </is>
      </c>
    </row>
    <row r="270">
      <c r="A270" t="inlineStr">
        <is>
          <t>103577167</t>
        </is>
      </c>
      <c r="B270" t="inlineStr">
        <is>
          <t>Mangsat, Bryan Mosarbas</t>
        </is>
      </c>
      <c r="C270" t="inlineStr">
        <is>
          <t>bryan.mangsat@concentrix.com</t>
        </is>
      </c>
      <c r="D270" t="inlineStr">
        <is>
          <t>Salafranca, Ryan Alejo</t>
        </is>
      </c>
      <c r="E270" t="inlineStr">
        <is>
          <t>ryan.salafranca@concentrix.com</t>
        </is>
      </c>
      <c r="F270" t="inlineStr">
        <is>
          <t>Arcena, Alberto Chua</t>
        </is>
      </c>
      <c r="G270" t="inlineStr">
        <is>
          <t>alberto.arcenajr@concentrix.com</t>
        </is>
      </c>
      <c r="H270" t="inlineStr">
        <is>
          <t>Ebuenga, Sheryll Avellaneda</t>
        </is>
      </c>
      <c r="I270" t="inlineStr">
        <is>
          <t>sheryll.ebuenga@concentrix.com</t>
        </is>
      </c>
      <c r="J270" t="inlineStr"/>
      <c r="K270" t="inlineStr">
        <is>
          <t>HP Mainstream</t>
        </is>
      </c>
    </row>
    <row r="271">
      <c r="A271" t="inlineStr">
        <is>
          <t>101440136</t>
        </is>
      </c>
      <c r="B271" t="inlineStr">
        <is>
          <t>Manlutac, Francis Karl Serrano</t>
        </is>
      </c>
      <c r="C271" t="inlineStr">
        <is>
          <t>franciskarl.manlutac@concentrix.com</t>
        </is>
      </c>
      <c r="D271" t="inlineStr">
        <is>
          <t>Blas, Jesus Jr Trinidad</t>
        </is>
      </c>
      <c r="E271" t="inlineStr">
        <is>
          <t>jesus.blas@concentrix.com</t>
        </is>
      </c>
      <c r="F271" t="inlineStr">
        <is>
          <t>Arcena, Alberto Chua</t>
        </is>
      </c>
      <c r="G271" t="inlineStr">
        <is>
          <t>alberto.arcenajr@concentrix.com</t>
        </is>
      </c>
      <c r="H271" t="inlineStr">
        <is>
          <t>Ebuenga, Sheryll Avellaneda</t>
        </is>
      </c>
      <c r="I271" t="inlineStr">
        <is>
          <t>sheryll.ebuenga@concentrix.com</t>
        </is>
      </c>
      <c r="J271" t="inlineStr"/>
      <c r="K271" t="inlineStr">
        <is>
          <t>HP Mainstream</t>
        </is>
      </c>
    </row>
    <row r="272">
      <c r="A272" t="inlineStr">
        <is>
          <t>409685</t>
        </is>
      </c>
      <c r="B272" t="inlineStr">
        <is>
          <t>Marigsa, Evangeline Mariano</t>
        </is>
      </c>
      <c r="C272" t="inlineStr">
        <is>
          <t>evangeline.marigsa@concentrix.com</t>
        </is>
      </c>
      <c r="D272" t="inlineStr">
        <is>
          <t>Briones, Aries Ang</t>
        </is>
      </c>
      <c r="E272" t="inlineStr">
        <is>
          <t>aries.briones@concentrix.com</t>
        </is>
      </c>
      <c r="F272" t="inlineStr">
        <is>
          <t>Arcena, Alberto Chua</t>
        </is>
      </c>
      <c r="G272" t="inlineStr">
        <is>
          <t>alberto.arcenajr@concentrix.com</t>
        </is>
      </c>
      <c r="H272" t="inlineStr">
        <is>
          <t>Ebuenga, Sheryll Avellaneda</t>
        </is>
      </c>
      <c r="I272" t="inlineStr">
        <is>
          <t>sheryll.ebuenga@concentrix.com</t>
        </is>
      </c>
      <c r="J272" t="inlineStr"/>
      <c r="K272" t="inlineStr">
        <is>
          <t>HP Mainstream</t>
        </is>
      </c>
    </row>
    <row r="273">
      <c r="A273" t="inlineStr">
        <is>
          <t>103404688</t>
        </is>
      </c>
      <c r="B273" t="inlineStr">
        <is>
          <t>Marquez, Ana Margareth Floranza</t>
        </is>
      </c>
      <c r="C273" t="inlineStr">
        <is>
          <t>anamargareth.marquez@concentrix.com</t>
        </is>
      </c>
      <c r="D273" t="inlineStr">
        <is>
          <t>Andrecoso, April Melody Sunga</t>
        </is>
      </c>
      <c r="E273" t="inlineStr">
        <is>
          <t>aprilmelody.andrecoso@concentrix.com</t>
        </is>
      </c>
      <c r="F273" t="inlineStr">
        <is>
          <t>Benedicto, Allen Kiel Lazarra</t>
        </is>
      </c>
      <c r="G273" t="inlineStr">
        <is>
          <t>allenkiel.benedicto@concentrix.com</t>
        </is>
      </c>
      <c r="H273" t="inlineStr">
        <is>
          <t>Ebuenga, Sheryll Avellaneda</t>
        </is>
      </c>
      <c r="I273" t="inlineStr">
        <is>
          <t>sheryll.ebuenga@concentrix.com</t>
        </is>
      </c>
      <c r="J273" t="inlineStr"/>
      <c r="K273" t="inlineStr">
        <is>
          <t>HP Mainstream</t>
        </is>
      </c>
    </row>
    <row r="274">
      <c r="A274" t="inlineStr">
        <is>
          <t>101970985</t>
        </is>
      </c>
      <c r="B274" t="inlineStr">
        <is>
          <t>Marquez, Noby De Guzman</t>
        </is>
      </c>
      <c r="C274" t="inlineStr">
        <is>
          <t>noby.marquez@concentrix.com</t>
        </is>
      </c>
      <c r="D274" t="inlineStr">
        <is>
          <t>Andrecoso, April Melody Sunga</t>
        </is>
      </c>
      <c r="E274" t="inlineStr">
        <is>
          <t>aprilmelody.andrecoso@concentrix.com</t>
        </is>
      </c>
      <c r="F274" t="inlineStr">
        <is>
          <t>Benedicto, Allen Kiel Lazarra</t>
        </is>
      </c>
      <c r="G274" t="inlineStr">
        <is>
          <t>allenkiel.benedicto@concentrix.com</t>
        </is>
      </c>
      <c r="H274" t="inlineStr">
        <is>
          <t>Ebuenga, Sheryll Avellaneda</t>
        </is>
      </c>
      <c r="I274" t="inlineStr">
        <is>
          <t>sheryll.ebuenga@concentrix.com</t>
        </is>
      </c>
      <c r="J274" t="inlineStr"/>
      <c r="K274" t="inlineStr">
        <is>
          <t>HP Mainstream</t>
        </is>
      </c>
    </row>
    <row r="275">
      <c r="A275" t="inlineStr">
        <is>
          <t>101355962</t>
        </is>
      </c>
      <c r="B275" t="inlineStr">
        <is>
          <t>Martinez, Jean - Spyros Valera</t>
        </is>
      </c>
      <c r="C275" t="inlineStr">
        <is>
          <t>jean-spyros.martinez@concentrix.com</t>
        </is>
      </c>
      <c r="D275" t="inlineStr">
        <is>
          <t>Adrales, Allen Rick Aguilar</t>
        </is>
      </c>
      <c r="E275" t="inlineStr">
        <is>
          <t>allenrick.adrales@concentrix.com</t>
        </is>
      </c>
      <c r="F275" t="inlineStr">
        <is>
          <t>Ramos, Ma Concepcion Sanchez</t>
        </is>
      </c>
      <c r="G275" t="inlineStr">
        <is>
          <t>maconcepcion.ramos@concentrix.com</t>
        </is>
      </c>
      <c r="H275" t="inlineStr">
        <is>
          <t>Ebuenga, Sheryll Avellaneda</t>
        </is>
      </c>
      <c r="I275" t="inlineStr">
        <is>
          <t>sheryll.ebuenga@concentrix.com</t>
        </is>
      </c>
      <c r="J275" t="inlineStr"/>
      <c r="K275" t="inlineStr">
        <is>
          <t>HP Mainstream</t>
        </is>
      </c>
    </row>
    <row r="276">
      <c r="A276" t="inlineStr">
        <is>
          <t>102180009</t>
        </is>
      </c>
      <c r="B276" t="inlineStr">
        <is>
          <t>Marundan, Jefferson Davis Serenas</t>
        </is>
      </c>
      <c r="C276" t="inlineStr">
        <is>
          <t>jeffersondavis.marundan@concentrix.com</t>
        </is>
      </c>
      <c r="D276" t="inlineStr">
        <is>
          <t>Quinto, Bernadeth Mendoza</t>
        </is>
      </c>
      <c r="E276" t="inlineStr">
        <is>
          <t>bernadeth.quinto@concentrix.com</t>
        </is>
      </c>
      <c r="F276" t="inlineStr">
        <is>
          <t>Benedicto, Allen Kiel Lazarra</t>
        </is>
      </c>
      <c r="G276" t="inlineStr">
        <is>
          <t>allenkiel.benedicto@concentrix.com</t>
        </is>
      </c>
      <c r="H276" t="inlineStr">
        <is>
          <t>Ebuenga, Sheryll Avellaneda</t>
        </is>
      </c>
      <c r="I276" t="inlineStr">
        <is>
          <t>sheryll.ebuenga@concentrix.com</t>
        </is>
      </c>
      <c r="J276" t="inlineStr"/>
      <c r="K276" t="inlineStr">
        <is>
          <t>HP Mainstream</t>
        </is>
      </c>
    </row>
    <row r="277">
      <c r="A277" t="inlineStr">
        <is>
          <t>101469363</t>
        </is>
      </c>
      <c r="B277" t="inlineStr">
        <is>
          <t>Masagnay, Antonio Gustilo</t>
        </is>
      </c>
      <c r="C277" t="inlineStr">
        <is>
          <t>antoniojr.masagnay@concentrix.com</t>
        </is>
      </c>
      <c r="D277" t="inlineStr">
        <is>
          <t>Ong, Lesley Ann Bayotas</t>
        </is>
      </c>
      <c r="E277" t="inlineStr">
        <is>
          <t>lesleyann.ong@concentrix.com</t>
        </is>
      </c>
      <c r="F277" t="inlineStr">
        <is>
          <t>Ramos, Ma Concepcion Sanchez</t>
        </is>
      </c>
      <c r="G277" t="inlineStr">
        <is>
          <t>maconcepcion.ramos@concentrix.com</t>
        </is>
      </c>
      <c r="H277" t="inlineStr">
        <is>
          <t>Ebuenga, Sheryll Avellaneda</t>
        </is>
      </c>
      <c r="I277" t="inlineStr">
        <is>
          <t>sheryll.ebuenga@concentrix.com</t>
        </is>
      </c>
      <c r="J277" t="inlineStr"/>
      <c r="K277" t="inlineStr">
        <is>
          <t>HP Mainstream</t>
        </is>
      </c>
    </row>
    <row r="278">
      <c r="A278" t="inlineStr">
        <is>
          <t>101582203</t>
        </is>
      </c>
      <c r="B278" t="inlineStr">
        <is>
          <t>Mateo, Arian Clements</t>
        </is>
      </c>
      <c r="C278" t="inlineStr">
        <is>
          <t>arian.mateo@concentrix.com</t>
        </is>
      </c>
      <c r="D278" t="inlineStr">
        <is>
          <t>Galope, Danri Catacutan</t>
        </is>
      </c>
      <c r="E278" t="inlineStr">
        <is>
          <t>danri.galope@concentrix.com</t>
        </is>
      </c>
      <c r="F278" t="inlineStr">
        <is>
          <t>Ramos, Ma Concepcion Sanchez</t>
        </is>
      </c>
      <c r="G278" t="inlineStr">
        <is>
          <t>maconcepcion.ramos@concentrix.com</t>
        </is>
      </c>
      <c r="H278" t="inlineStr">
        <is>
          <t>Ebuenga, Sheryll Avellaneda</t>
        </is>
      </c>
      <c r="I278" t="inlineStr">
        <is>
          <t>sheryll.ebuenga@concentrix.com</t>
        </is>
      </c>
      <c r="J278" t="inlineStr"/>
      <c r="K278" t="inlineStr">
        <is>
          <t>HP Mainstream</t>
        </is>
      </c>
    </row>
    <row r="279">
      <c r="A279" t="inlineStr">
        <is>
          <t>102175849</t>
        </is>
      </c>
      <c r="B279" t="inlineStr">
        <is>
          <t>Matre, Ma. Lorita Magluyan</t>
        </is>
      </c>
      <c r="C279" t="inlineStr">
        <is>
          <t>malorita.matre@concentrix.com</t>
        </is>
      </c>
      <c r="D279" t="inlineStr">
        <is>
          <t>Adrales, Allen Rick Aguilar</t>
        </is>
      </c>
      <c r="E279" t="inlineStr">
        <is>
          <t>allenrick.adrales@concentrix.com</t>
        </is>
      </c>
      <c r="F279" t="inlineStr">
        <is>
          <t>Ramos, Ma Concepcion Sanchez</t>
        </is>
      </c>
      <c r="G279" t="inlineStr">
        <is>
          <t>maconcepcion.ramos@concentrix.com</t>
        </is>
      </c>
      <c r="H279" t="inlineStr">
        <is>
          <t>Ebuenga, Sheryll Avellaneda</t>
        </is>
      </c>
      <c r="I279" t="inlineStr">
        <is>
          <t>sheryll.ebuenga@concentrix.com</t>
        </is>
      </c>
      <c r="J279" t="inlineStr"/>
      <c r="K279" t="inlineStr">
        <is>
          <t>HP Mainstream</t>
        </is>
      </c>
    </row>
    <row r="280">
      <c r="A280" t="inlineStr">
        <is>
          <t>103486545</t>
        </is>
      </c>
      <c r="B280" t="inlineStr">
        <is>
          <t>Matugas, Prince Rhafael Tapales</t>
        </is>
      </c>
      <c r="C280" t="inlineStr">
        <is>
          <t>princerhafael.matugas@concentrix.com</t>
        </is>
      </c>
      <c r="D280" t="inlineStr">
        <is>
          <t>Luñiza, Jona Claveria</t>
        </is>
      </c>
      <c r="E280" t="inlineStr">
        <is>
          <t>jona.luniza@concentrix.com</t>
        </is>
      </c>
      <c r="F280" t="inlineStr">
        <is>
          <t>Arcena, Alberto Chua</t>
        </is>
      </c>
      <c r="G280" t="inlineStr">
        <is>
          <t>alberto.arcenajr@concentrix.com</t>
        </is>
      </c>
      <c r="H280" t="inlineStr">
        <is>
          <t>Ebuenga, Sheryll Avellaneda</t>
        </is>
      </c>
      <c r="I280" t="inlineStr">
        <is>
          <t>sheryll.ebuenga@concentrix.com</t>
        </is>
      </c>
      <c r="J280" t="inlineStr"/>
      <c r="K280" t="inlineStr">
        <is>
          <t>HP Mainstream</t>
        </is>
      </c>
    </row>
    <row r="281">
      <c r="A281" t="inlineStr">
        <is>
          <t>936713</t>
        </is>
      </c>
      <c r="B281" t="inlineStr">
        <is>
          <t>Mayor, Anna Marie Andrade</t>
        </is>
      </c>
      <c r="C281" t="inlineStr">
        <is>
          <t>annamarie.mayor@concentrix.com</t>
        </is>
      </c>
      <c r="D281" t="inlineStr">
        <is>
          <t>Galope, Danri Catacutan</t>
        </is>
      </c>
      <c r="E281" t="inlineStr">
        <is>
          <t>danri.galope@concentrix.com</t>
        </is>
      </c>
      <c r="F281" t="inlineStr">
        <is>
          <t>Ramos, Ma Concepcion Sanchez</t>
        </is>
      </c>
      <c r="G281" t="inlineStr">
        <is>
          <t>maconcepcion.ramos@concentrix.com</t>
        </is>
      </c>
      <c r="H281" t="inlineStr">
        <is>
          <t>Ebuenga, Sheryll Avellaneda</t>
        </is>
      </c>
      <c r="I281" t="inlineStr">
        <is>
          <t>sheryll.ebuenga@concentrix.com</t>
        </is>
      </c>
      <c r="J281" t="inlineStr"/>
      <c r="K281" t="inlineStr">
        <is>
          <t>HP Mainstream</t>
        </is>
      </c>
    </row>
    <row r="282">
      <c r="A282" t="inlineStr">
        <is>
          <t>103577932</t>
        </is>
      </c>
      <c r="B282" t="inlineStr">
        <is>
          <t>Mecate, Precious Mharl Bibat</t>
        </is>
      </c>
      <c r="C282" t="inlineStr">
        <is>
          <t>preciousmharl.mecate@concentrix.com</t>
        </is>
      </c>
      <c r="D282" t="inlineStr">
        <is>
          <t>Salafranca, Ryan Alejo</t>
        </is>
      </c>
      <c r="E282" t="inlineStr">
        <is>
          <t>ryan.salafranca@concentrix.com</t>
        </is>
      </c>
      <c r="F282" t="inlineStr">
        <is>
          <t>Arcena, Alberto Chua</t>
        </is>
      </c>
      <c r="G282" t="inlineStr">
        <is>
          <t>alberto.arcenajr@concentrix.com</t>
        </is>
      </c>
      <c r="H282" t="inlineStr">
        <is>
          <t>Ebuenga, Sheryll Avellaneda</t>
        </is>
      </c>
      <c r="I282" t="inlineStr">
        <is>
          <t>sheryll.ebuenga@concentrix.com</t>
        </is>
      </c>
      <c r="J282" t="inlineStr"/>
      <c r="K282" t="inlineStr">
        <is>
          <t>HP Mainstream</t>
        </is>
      </c>
    </row>
    <row r="283">
      <c r="A283" t="inlineStr">
        <is>
          <t>725078</t>
        </is>
      </c>
      <c r="B283" t="inlineStr">
        <is>
          <t>Medel, Lorelei Gabriel</t>
        </is>
      </c>
      <c r="C283" t="inlineStr">
        <is>
          <t>lorelei.gabriel@concentrix.com</t>
        </is>
      </c>
      <c r="D283" t="inlineStr">
        <is>
          <t>Agustin, Alexander Veloso</t>
        </is>
      </c>
      <c r="E283" t="inlineStr"/>
      <c r="F283" t="inlineStr">
        <is>
          <t>Agustin, Alexander Veloso</t>
        </is>
      </c>
      <c r="G283" t="inlineStr"/>
      <c r="H283" t="inlineStr">
        <is>
          <t>-</t>
        </is>
      </c>
      <c r="I283" t="inlineStr"/>
      <c r="J283" t="inlineStr"/>
      <c r="K283" t="inlineStr">
        <is>
          <t>HP Mainstream</t>
        </is>
      </c>
    </row>
    <row r="284">
      <c r="A284" t="inlineStr">
        <is>
          <t>434926</t>
        </is>
      </c>
      <c r="B284" t="inlineStr">
        <is>
          <t>Medillo, Hersy Eunice Teodoro</t>
        </is>
      </c>
      <c r="C284" t="inlineStr">
        <is>
          <t>hersyeunice.medillo@concentrix.com</t>
        </is>
      </c>
      <c r="D284" t="inlineStr">
        <is>
          <t>Belandres, Nica Marie Ballola</t>
        </is>
      </c>
      <c r="E284" t="inlineStr">
        <is>
          <t>nicamarie.belandres@concentrix.com</t>
        </is>
      </c>
      <c r="F284" t="inlineStr">
        <is>
          <t>Benedicto, Allen Kiel Lazarra</t>
        </is>
      </c>
      <c r="G284" t="inlineStr">
        <is>
          <t>allenkiel.benedicto@concentrix.com</t>
        </is>
      </c>
      <c r="H284" t="inlineStr">
        <is>
          <t>Ebuenga, Sheryll Avellaneda</t>
        </is>
      </c>
      <c r="I284" t="inlineStr">
        <is>
          <t>sheryll.ebuenga@concentrix.com</t>
        </is>
      </c>
      <c r="J284" t="inlineStr"/>
      <c r="K284" t="inlineStr">
        <is>
          <t>HP Mainstream</t>
        </is>
      </c>
    </row>
    <row r="285">
      <c r="A285" t="inlineStr">
        <is>
          <t>103577168</t>
        </is>
      </c>
      <c r="B285" t="inlineStr">
        <is>
          <t>Medina, John Benedict Dizon</t>
        </is>
      </c>
      <c r="C285" t="inlineStr">
        <is>
          <t>johnbenedict.medina@concentrix.com</t>
        </is>
      </c>
      <c r="D285" t="inlineStr">
        <is>
          <t>Salafranca, Ryan Alejo</t>
        </is>
      </c>
      <c r="E285" t="inlineStr">
        <is>
          <t>ryan.salafranca@concentrix.com</t>
        </is>
      </c>
      <c r="F285" t="inlineStr">
        <is>
          <t>Arcena, Alberto Chua</t>
        </is>
      </c>
      <c r="G285" t="inlineStr">
        <is>
          <t>alberto.arcenajr@concentrix.com</t>
        </is>
      </c>
      <c r="H285" t="inlineStr">
        <is>
          <t>Ebuenga, Sheryll Avellaneda</t>
        </is>
      </c>
      <c r="I285" t="inlineStr">
        <is>
          <t>sheryll.ebuenga@concentrix.com</t>
        </is>
      </c>
      <c r="J285" t="inlineStr"/>
      <c r="K285" t="inlineStr">
        <is>
          <t>HP Mainstream</t>
        </is>
      </c>
    </row>
    <row r="286">
      <c r="A286" t="inlineStr">
        <is>
          <t>102842551</t>
        </is>
      </c>
      <c r="B286" t="inlineStr">
        <is>
          <t>Medina, Julius Cesar Dela Cruz</t>
        </is>
      </c>
      <c r="C286" t="inlineStr">
        <is>
          <t>juliuscesar.medina@concentrix.com</t>
        </is>
      </c>
      <c r="D286" t="inlineStr">
        <is>
          <t>Briones, Aries Ang</t>
        </is>
      </c>
      <c r="E286" t="inlineStr">
        <is>
          <t>aries.briones@concentrix.com</t>
        </is>
      </c>
      <c r="F286" t="inlineStr">
        <is>
          <t>Arcena, Alberto Chua</t>
        </is>
      </c>
      <c r="G286" t="inlineStr">
        <is>
          <t>alberto.arcenajr@concentrix.com</t>
        </is>
      </c>
      <c r="H286" t="inlineStr">
        <is>
          <t>Ebuenga, Sheryll Avellaneda</t>
        </is>
      </c>
      <c r="I286" t="inlineStr">
        <is>
          <t>sheryll.ebuenga@concentrix.com</t>
        </is>
      </c>
      <c r="J286" t="inlineStr"/>
      <c r="K286" t="inlineStr">
        <is>
          <t>HP Mainstream</t>
        </is>
      </c>
    </row>
    <row r="287">
      <c r="A287" t="inlineStr">
        <is>
          <t>103450983</t>
        </is>
      </c>
      <c r="B287" t="inlineStr">
        <is>
          <t>Melchor, Yudenne Ramos</t>
        </is>
      </c>
      <c r="C287" t="inlineStr">
        <is>
          <t>yudenne.melchor@concentrix.com</t>
        </is>
      </c>
      <c r="D287" t="inlineStr">
        <is>
          <t>Lungcay, Robin Landayan</t>
        </is>
      </c>
      <c r="E287" t="inlineStr">
        <is>
          <t>robin.lungcay@concentrix.com</t>
        </is>
      </c>
      <c r="F287" t="inlineStr">
        <is>
          <t>Benedicto, Allen Kiel Lazarra</t>
        </is>
      </c>
      <c r="G287" t="inlineStr">
        <is>
          <t>allenkiel.benedicto@concentrix.com</t>
        </is>
      </c>
      <c r="H287" t="inlineStr">
        <is>
          <t>Ebuenga, Sheryll Avellaneda</t>
        </is>
      </c>
      <c r="I287" t="inlineStr">
        <is>
          <t>sheryll.ebuenga@concentrix.com</t>
        </is>
      </c>
      <c r="J287" t="inlineStr"/>
      <c r="K287" t="inlineStr">
        <is>
          <t>HP Mainstream</t>
        </is>
      </c>
    </row>
    <row r="288">
      <c r="A288" t="inlineStr">
        <is>
          <t>102206551</t>
        </is>
      </c>
      <c r="B288" t="inlineStr">
        <is>
          <t>Mendez, Justine Reign Navarro</t>
        </is>
      </c>
      <c r="C288" t="inlineStr">
        <is>
          <t>justinereign.mendez@concentrix.com</t>
        </is>
      </c>
      <c r="D288" t="inlineStr">
        <is>
          <t>Ferrer, Jasper Kenneth Labor</t>
        </is>
      </c>
      <c r="E288" t="inlineStr">
        <is>
          <t>jasperkenneth.ferrer@concentrix.com</t>
        </is>
      </c>
      <c r="F288" t="inlineStr">
        <is>
          <t>Nito, Reynaldo Tribol</t>
        </is>
      </c>
      <c r="G288" t="inlineStr">
        <is>
          <t>reynaldo.nito@concentrix.com</t>
        </is>
      </c>
      <c r="H288" t="inlineStr">
        <is>
          <t>Ebuenga, Sheryll Avellaneda</t>
        </is>
      </c>
      <c r="I288" t="inlineStr">
        <is>
          <t>sheryll.ebuenga@concentrix.com</t>
        </is>
      </c>
      <c r="J288" t="inlineStr"/>
      <c r="K288" t="inlineStr">
        <is>
          <t>HP Mainstream</t>
        </is>
      </c>
    </row>
    <row r="289">
      <c r="A289" t="inlineStr">
        <is>
          <t>101495989</t>
        </is>
      </c>
      <c r="B289" t="inlineStr">
        <is>
          <t>Mendoza, Aaron Paul Nmn</t>
        </is>
      </c>
      <c r="C289" t="inlineStr">
        <is>
          <t>aaronpaul.mendoza@concentrix.com</t>
        </is>
      </c>
      <c r="D289" t="inlineStr">
        <is>
          <t>Briones, Aries Ang</t>
        </is>
      </c>
      <c r="E289" t="inlineStr">
        <is>
          <t>aries.briones@concentrix.com</t>
        </is>
      </c>
      <c r="F289" t="inlineStr">
        <is>
          <t>Arcena, Alberto Chua</t>
        </is>
      </c>
      <c r="G289" t="inlineStr">
        <is>
          <t>alberto.arcenajr@concentrix.com</t>
        </is>
      </c>
      <c r="H289" t="inlineStr">
        <is>
          <t>Ebuenga, Sheryll Avellaneda</t>
        </is>
      </c>
      <c r="I289" t="inlineStr">
        <is>
          <t>sheryll.ebuenga@concentrix.com</t>
        </is>
      </c>
      <c r="J289" t="inlineStr"/>
      <c r="K289" t="inlineStr">
        <is>
          <t>HP Mainstream</t>
        </is>
      </c>
    </row>
    <row r="290">
      <c r="A290" t="inlineStr">
        <is>
          <t>102063894</t>
        </is>
      </c>
      <c r="B290" t="inlineStr">
        <is>
          <t>Mendoza, Angeline Nmn</t>
        </is>
      </c>
      <c r="C290" t="inlineStr">
        <is>
          <t>angeline.mendoza@concentrix.com</t>
        </is>
      </c>
      <c r="D290" t="inlineStr">
        <is>
          <t>Lungcay, Robin Landayan</t>
        </is>
      </c>
      <c r="E290" t="inlineStr">
        <is>
          <t>robin.lungcay@concentrix.com</t>
        </is>
      </c>
      <c r="F290" t="inlineStr">
        <is>
          <t>Benedicto, Allen Kiel Lazarra</t>
        </is>
      </c>
      <c r="G290" t="inlineStr">
        <is>
          <t>allenkiel.benedicto@concentrix.com</t>
        </is>
      </c>
      <c r="H290" t="inlineStr">
        <is>
          <t>Ebuenga, Sheryll Avellaneda</t>
        </is>
      </c>
      <c r="I290" t="inlineStr">
        <is>
          <t>sheryll.ebuenga@concentrix.com</t>
        </is>
      </c>
      <c r="J290" t="inlineStr"/>
      <c r="K290" t="inlineStr">
        <is>
          <t>HP Mainstream</t>
        </is>
      </c>
    </row>
    <row r="291">
      <c r="A291" t="inlineStr">
        <is>
          <t>134142</t>
        </is>
      </c>
      <c r="B291" t="inlineStr">
        <is>
          <t>Mendoza, Daisy Lim</t>
        </is>
      </c>
      <c r="C291" t="inlineStr">
        <is>
          <t>daisy.mendoza2@concentrix.com</t>
        </is>
      </c>
      <c r="D291" t="inlineStr">
        <is>
          <t>De Guzman, Gabriel Rodrigo</t>
        </is>
      </c>
      <c r="E291" t="inlineStr">
        <is>
          <t>gabriel.deguzman@concentrix.com</t>
        </is>
      </c>
      <c r="F291" t="inlineStr">
        <is>
          <t>Arcena, Alberto Chua</t>
        </is>
      </c>
      <c r="G291" t="inlineStr">
        <is>
          <t>alberto.arcenajr@concentrix.com</t>
        </is>
      </c>
      <c r="H291" t="inlineStr">
        <is>
          <t>Ebuenga, Sheryll Avellaneda</t>
        </is>
      </c>
      <c r="I291" t="inlineStr">
        <is>
          <t>sheryll.ebuenga@concentrix.com</t>
        </is>
      </c>
      <c r="J291" t="inlineStr"/>
      <c r="K291" t="inlineStr">
        <is>
          <t>HP Mainstream</t>
        </is>
      </c>
    </row>
    <row r="292">
      <c r="A292" t="inlineStr">
        <is>
          <t>102101712</t>
        </is>
      </c>
      <c r="B292" t="inlineStr">
        <is>
          <t>Mendoza, Luigi Garganta</t>
        </is>
      </c>
      <c r="C292" t="inlineStr">
        <is>
          <t>luigi.mendoza@concentrix.com</t>
        </is>
      </c>
      <c r="D292" t="inlineStr">
        <is>
          <t>Ugalino, Jonadel Pineda</t>
        </is>
      </c>
      <c r="E292" t="inlineStr">
        <is>
          <t>jonadel.ugalino@concentrix.com</t>
        </is>
      </c>
      <c r="F292" t="inlineStr">
        <is>
          <t>Benedicto, Allen Kiel Lazarra</t>
        </is>
      </c>
      <c r="G292" t="inlineStr">
        <is>
          <t>allenkiel.benedicto@concentrix.com</t>
        </is>
      </c>
      <c r="H292" t="inlineStr">
        <is>
          <t>Ebuenga, Sheryll Avellaneda</t>
        </is>
      </c>
      <c r="I292" t="inlineStr">
        <is>
          <t>sheryll.ebuenga@concentrix.com</t>
        </is>
      </c>
      <c r="J292" t="inlineStr"/>
      <c r="K292" t="inlineStr">
        <is>
          <t>HP Mainstream</t>
        </is>
      </c>
    </row>
    <row r="293">
      <c r="A293" t="inlineStr">
        <is>
          <t>100859043</t>
        </is>
      </c>
      <c r="B293" t="inlineStr">
        <is>
          <t>Mendoza, Ronel Balorio</t>
        </is>
      </c>
      <c r="C293" t="inlineStr">
        <is>
          <t>ronel.mendoza1@concentrix.com</t>
        </is>
      </c>
      <c r="D293" t="inlineStr">
        <is>
          <t>Briones, Aries Ang</t>
        </is>
      </c>
      <c r="E293" t="inlineStr">
        <is>
          <t>aries.briones@concentrix.com</t>
        </is>
      </c>
      <c r="F293" t="inlineStr">
        <is>
          <t>Arcena, Alberto Chua</t>
        </is>
      </c>
      <c r="G293" t="inlineStr">
        <is>
          <t>alberto.arcenajr@concentrix.com</t>
        </is>
      </c>
      <c r="H293" t="inlineStr">
        <is>
          <t>Ebuenga, Sheryll Avellaneda</t>
        </is>
      </c>
      <c r="I293" t="inlineStr">
        <is>
          <t>sheryll.ebuenga@concentrix.com</t>
        </is>
      </c>
      <c r="J293" t="inlineStr"/>
      <c r="K293" t="inlineStr">
        <is>
          <t>HP Mainstream</t>
        </is>
      </c>
    </row>
    <row r="294">
      <c r="A294" t="inlineStr">
        <is>
          <t>101413954</t>
        </is>
      </c>
      <c r="B294" t="inlineStr">
        <is>
          <t>Meniano, Jonel Yepez</t>
        </is>
      </c>
      <c r="C294" t="inlineStr">
        <is>
          <t>jonel.meniano1@concentrix.com</t>
        </is>
      </c>
      <c r="D294" t="inlineStr">
        <is>
          <t>Chan, Caroline Cruce</t>
        </is>
      </c>
      <c r="E294" t="inlineStr">
        <is>
          <t>caroline.chan@concentrix.com</t>
        </is>
      </c>
      <c r="F294" t="inlineStr">
        <is>
          <t>Chan, Caroline Cruce</t>
        </is>
      </c>
      <c r="G294" t="inlineStr">
        <is>
          <t>caroline.chan@concentrix.com</t>
        </is>
      </c>
      <c r="H294" t="inlineStr">
        <is>
          <t>-</t>
        </is>
      </c>
      <c r="I294" t="inlineStr"/>
      <c r="J294" t="inlineStr"/>
      <c r="K294" t="inlineStr">
        <is>
          <t>HP Mainstream</t>
        </is>
      </c>
    </row>
    <row r="295">
      <c r="A295" t="inlineStr">
        <is>
          <t>101257332</t>
        </is>
      </c>
      <c r="B295" t="inlineStr">
        <is>
          <t>Mercado, Noly Dela Rosa</t>
        </is>
      </c>
      <c r="C295" t="inlineStr">
        <is>
          <t>noly.mercado@concentrix.com</t>
        </is>
      </c>
      <c r="D295" t="inlineStr">
        <is>
          <t>Luñiza, Jona Claveria</t>
        </is>
      </c>
      <c r="E295" t="inlineStr">
        <is>
          <t>jona.luniza@concentrix.com</t>
        </is>
      </c>
      <c r="F295" t="inlineStr">
        <is>
          <t>Arcena, Alberto Chua</t>
        </is>
      </c>
      <c r="G295" t="inlineStr">
        <is>
          <t>alberto.arcenajr@concentrix.com</t>
        </is>
      </c>
      <c r="H295" t="inlineStr">
        <is>
          <t>Ebuenga, Sheryll Avellaneda</t>
        </is>
      </c>
      <c r="I295" t="inlineStr">
        <is>
          <t>sheryll.ebuenga@concentrix.com</t>
        </is>
      </c>
      <c r="J295" t="inlineStr"/>
      <c r="K295" t="inlineStr">
        <is>
          <t>HP Mainstream</t>
        </is>
      </c>
    </row>
    <row r="296">
      <c r="A296" t="inlineStr">
        <is>
          <t>101582250</t>
        </is>
      </c>
      <c r="B296" t="inlineStr">
        <is>
          <t>Momo, Rechelle Taghoy</t>
        </is>
      </c>
      <c r="C296" t="inlineStr">
        <is>
          <t>rechelle.momo@concentrix.com</t>
        </is>
      </c>
      <c r="D296" t="inlineStr">
        <is>
          <t>Hije, Bernadeth Rosales</t>
        </is>
      </c>
      <c r="E296" t="inlineStr">
        <is>
          <t>bernadeth.hije@concentrix.com</t>
        </is>
      </c>
      <c r="F296" t="inlineStr">
        <is>
          <t>Benedicto, Allen Kiel Lazarra</t>
        </is>
      </c>
      <c r="G296" t="inlineStr">
        <is>
          <t>allenkiel.benedicto@concentrix.com</t>
        </is>
      </c>
      <c r="H296" t="inlineStr">
        <is>
          <t>Ebuenga, Sheryll Avellaneda</t>
        </is>
      </c>
      <c r="I296" t="inlineStr">
        <is>
          <t>sheryll.ebuenga@concentrix.com</t>
        </is>
      </c>
      <c r="J296" t="inlineStr"/>
      <c r="K296" t="inlineStr">
        <is>
          <t>HP Mainstream</t>
        </is>
      </c>
    </row>
    <row r="297">
      <c r="A297" t="inlineStr">
        <is>
          <t>512027</t>
        </is>
      </c>
      <c r="B297" t="inlineStr">
        <is>
          <t>Munoz, Sheilick Anne Ang</t>
        </is>
      </c>
      <c r="C297" t="inlineStr">
        <is>
          <t>sheilick.munoz@concentrix.com</t>
        </is>
      </c>
      <c r="D297" t="inlineStr">
        <is>
          <t>Pineda, Gerald Christian Bo</t>
        </is>
      </c>
      <c r="E297" t="inlineStr">
        <is>
          <t>geraldchristian.pineda@concentrix.com</t>
        </is>
      </c>
      <c r="F297" t="inlineStr">
        <is>
          <t>Pineda, Gerald Christian Bo</t>
        </is>
      </c>
      <c r="G297" t="inlineStr">
        <is>
          <t>geraldchristian.pineda@concentrix.com</t>
        </is>
      </c>
      <c r="H297" t="inlineStr">
        <is>
          <t>-</t>
        </is>
      </c>
      <c r="I297" t="inlineStr"/>
      <c r="J297" t="inlineStr"/>
      <c r="K297" t="inlineStr">
        <is>
          <t>HP Mainstream</t>
        </is>
      </c>
    </row>
    <row r="298">
      <c r="A298" t="inlineStr">
        <is>
          <t>102138206</t>
        </is>
      </c>
      <c r="B298" t="inlineStr">
        <is>
          <t>Nacion, Justin Dale N/A</t>
        </is>
      </c>
      <c r="C298" t="inlineStr">
        <is>
          <t>justindale.nacion@concentrix.com</t>
        </is>
      </c>
      <c r="D298" t="inlineStr">
        <is>
          <t>Lungcay, Robin Landayan</t>
        </is>
      </c>
      <c r="E298" t="inlineStr">
        <is>
          <t>robin.lungcay@concentrix.com</t>
        </is>
      </c>
      <c r="F298" t="inlineStr">
        <is>
          <t>Benedicto, Allen Kiel Lazarra</t>
        </is>
      </c>
      <c r="G298" t="inlineStr">
        <is>
          <t>allenkiel.benedicto@concentrix.com</t>
        </is>
      </c>
      <c r="H298" t="inlineStr">
        <is>
          <t>Ebuenga, Sheryll Avellaneda</t>
        </is>
      </c>
      <c r="I298" t="inlineStr">
        <is>
          <t>sheryll.ebuenga@concentrix.com</t>
        </is>
      </c>
      <c r="J298" t="inlineStr"/>
      <c r="K298" t="inlineStr">
        <is>
          <t>HP Mainstream</t>
        </is>
      </c>
    </row>
    <row r="299">
      <c r="A299" t="inlineStr">
        <is>
          <t>103120058</t>
        </is>
      </c>
      <c r="B299" t="inlineStr">
        <is>
          <t>Nalangan, Raquel Baloran</t>
        </is>
      </c>
      <c r="C299" t="inlineStr">
        <is>
          <t>raquel.nalangan@concentrix.com</t>
        </is>
      </c>
      <c r="D299" t="inlineStr">
        <is>
          <t>Aluning, Alain-Angelo Cangco</t>
        </is>
      </c>
      <c r="E299" t="inlineStr">
        <is>
          <t>alain-angelo.aluning@concentrix.com</t>
        </is>
      </c>
      <c r="F299" t="inlineStr">
        <is>
          <t>Arcena, Alberto Chua</t>
        </is>
      </c>
      <c r="G299" t="inlineStr">
        <is>
          <t>alberto.arcenajr@concentrix.com</t>
        </is>
      </c>
      <c r="H299" t="inlineStr">
        <is>
          <t>Ebuenga, Sheryll Avellaneda</t>
        </is>
      </c>
      <c r="I299" t="inlineStr">
        <is>
          <t>sheryll.ebuenga@concentrix.com</t>
        </is>
      </c>
      <c r="J299" t="inlineStr"/>
      <c r="K299" t="inlineStr">
        <is>
          <t>HP Mainstream</t>
        </is>
      </c>
    </row>
    <row r="300">
      <c r="A300" t="inlineStr">
        <is>
          <t>101138176</t>
        </is>
      </c>
      <c r="B300" t="inlineStr">
        <is>
          <t>Narvaza, Hazel Ann Sanchez</t>
        </is>
      </c>
      <c r="C300" t="inlineStr">
        <is>
          <t>hazelann.narvaza@concentrix.com</t>
        </is>
      </c>
      <c r="D300" t="inlineStr">
        <is>
          <t>Pineda, Gerald Christian Bo</t>
        </is>
      </c>
      <c r="E300" t="inlineStr">
        <is>
          <t>geraldchristian.pineda@concentrix.com</t>
        </is>
      </c>
      <c r="F300" t="inlineStr">
        <is>
          <t>Pineda, Gerald Christian Bo</t>
        </is>
      </c>
      <c r="G300" t="inlineStr">
        <is>
          <t>geraldchristian.pineda@concentrix.com</t>
        </is>
      </c>
      <c r="H300" t="inlineStr">
        <is>
          <t>Medel, Lorelei Gabriel</t>
        </is>
      </c>
      <c r="I300" t="inlineStr">
        <is>
          <t>lorelei.gabriel@concentrix.com</t>
        </is>
      </c>
      <c r="J300" t="inlineStr"/>
      <c r="K300" t="inlineStr">
        <is>
          <t>HP Mainstream</t>
        </is>
      </c>
    </row>
    <row r="301">
      <c r="A301" t="inlineStr">
        <is>
          <t>102883651</t>
        </is>
      </c>
      <c r="B301" t="inlineStr">
        <is>
          <t>Nava, Robert Jason Flores</t>
        </is>
      </c>
      <c r="C301" t="inlineStr">
        <is>
          <t>robertjason.nava@concentrix.com</t>
        </is>
      </c>
      <c r="D301" t="inlineStr">
        <is>
          <t>Ugalino, Jonadel Pineda</t>
        </is>
      </c>
      <c r="E301" t="inlineStr">
        <is>
          <t>jonadel.ugalino@concentrix.com</t>
        </is>
      </c>
      <c r="F301" t="inlineStr">
        <is>
          <t>Benedicto, Allen Kiel Lazarra</t>
        </is>
      </c>
      <c r="G301" t="inlineStr">
        <is>
          <t>allenkiel.benedicto@concentrix.com</t>
        </is>
      </c>
      <c r="H301" t="inlineStr">
        <is>
          <t>Ebuenga, Sheryll Avellaneda</t>
        </is>
      </c>
      <c r="I301" t="inlineStr">
        <is>
          <t>sheryll.ebuenga@concentrix.com</t>
        </is>
      </c>
      <c r="J301" t="inlineStr"/>
      <c r="K301" t="inlineStr">
        <is>
          <t>HP Mainstream</t>
        </is>
      </c>
    </row>
    <row r="302">
      <c r="A302" t="inlineStr">
        <is>
          <t>101670423</t>
        </is>
      </c>
      <c r="B302" t="inlineStr">
        <is>
          <t>Nicolas, Adah Zipporah Fidel</t>
        </is>
      </c>
      <c r="C302" t="inlineStr">
        <is>
          <t>adahzipporah.nicolas@concentrix.com</t>
        </is>
      </c>
      <c r="D302" t="inlineStr">
        <is>
          <t>Briones, Aries Ang</t>
        </is>
      </c>
      <c r="E302" t="inlineStr">
        <is>
          <t>aries.briones@concentrix.com</t>
        </is>
      </c>
      <c r="F302" t="inlineStr">
        <is>
          <t>Arcena, Alberto Chua</t>
        </is>
      </c>
      <c r="G302" t="inlineStr">
        <is>
          <t>alberto.arcenajr@concentrix.com</t>
        </is>
      </c>
      <c r="H302" t="inlineStr">
        <is>
          <t>Ebuenga, Sheryll Avellaneda</t>
        </is>
      </c>
      <c r="I302" t="inlineStr">
        <is>
          <t>sheryll.ebuenga@concentrix.com</t>
        </is>
      </c>
      <c r="J302" t="inlineStr"/>
      <c r="K302" t="inlineStr">
        <is>
          <t>HP Mainstream</t>
        </is>
      </c>
    </row>
    <row r="303">
      <c r="A303" t="inlineStr">
        <is>
          <t>100423919</t>
        </is>
      </c>
      <c r="B303" t="inlineStr">
        <is>
          <t>Nieva, Karla Louisa Escobar</t>
        </is>
      </c>
      <c r="C303" t="inlineStr">
        <is>
          <t>karlalouisa.nieva@concentrix.com</t>
        </is>
      </c>
      <c r="D303" t="inlineStr">
        <is>
          <t>Luñiza, Jona Claveria</t>
        </is>
      </c>
      <c r="E303" t="inlineStr">
        <is>
          <t>jona.luniza@concentrix.com</t>
        </is>
      </c>
      <c r="F303" t="inlineStr">
        <is>
          <t>Arcena, Alberto Chua</t>
        </is>
      </c>
      <c r="G303" t="inlineStr">
        <is>
          <t>alberto.arcenajr@concentrix.com</t>
        </is>
      </c>
      <c r="H303" t="inlineStr">
        <is>
          <t>Ebuenga, Sheryll Avellaneda</t>
        </is>
      </c>
      <c r="I303" t="inlineStr">
        <is>
          <t>sheryll.ebuenga@concentrix.com</t>
        </is>
      </c>
      <c r="J303" t="inlineStr"/>
      <c r="K303" t="inlineStr">
        <is>
          <t>HP Mainstream</t>
        </is>
      </c>
    </row>
    <row r="304">
      <c r="A304" t="inlineStr">
        <is>
          <t>431515</t>
        </is>
      </c>
      <c r="B304" t="inlineStr">
        <is>
          <t>Nito, Reynaldo Tribol</t>
        </is>
      </c>
      <c r="C304" t="inlineStr">
        <is>
          <t>reynaldo.nito@concentrix.com</t>
        </is>
      </c>
      <c r="D304" t="inlineStr">
        <is>
          <t>Ebuenga, Sheryll Avellaneda</t>
        </is>
      </c>
      <c r="E304" t="inlineStr">
        <is>
          <t>sheryll.ebuenga@concentrix.com</t>
        </is>
      </c>
      <c r="F304" t="inlineStr">
        <is>
          <t>Sevilla, Audrey Marie Galindo</t>
        </is>
      </c>
      <c r="G304" t="inlineStr">
        <is>
          <t>audrey.galindosevilla@concentrix.com</t>
        </is>
      </c>
      <c r="H304" t="inlineStr">
        <is>
          <t>-</t>
        </is>
      </c>
      <c r="I304" t="inlineStr"/>
      <c r="J304" t="inlineStr"/>
      <c r="K304" t="inlineStr">
        <is>
          <t>HP Mainstream</t>
        </is>
      </c>
    </row>
    <row r="305">
      <c r="A305" t="inlineStr">
        <is>
          <t>101196238</t>
        </is>
      </c>
      <c r="B305" t="inlineStr">
        <is>
          <t>Nomo, Mildred Pantaleon</t>
        </is>
      </c>
      <c r="C305" t="inlineStr">
        <is>
          <t>mildred.nomo@concentrix.com</t>
        </is>
      </c>
      <c r="D305" t="inlineStr">
        <is>
          <t>Vedia, Jerson Reyes</t>
        </is>
      </c>
      <c r="E305" t="inlineStr">
        <is>
          <t>jerson.vedia@concentrix.com</t>
        </is>
      </c>
      <c r="F305" t="inlineStr">
        <is>
          <t>Ramos, Ma Concepcion Sanchez</t>
        </is>
      </c>
      <c r="G305" t="inlineStr">
        <is>
          <t>maconcepcion.ramos@concentrix.com</t>
        </is>
      </c>
      <c r="H305" t="inlineStr">
        <is>
          <t>Ebuenga, Sheryll Avellaneda</t>
        </is>
      </c>
      <c r="I305" t="inlineStr">
        <is>
          <t>sheryll.ebuenga@concentrix.com</t>
        </is>
      </c>
      <c r="J305" t="inlineStr"/>
      <c r="K305" t="inlineStr">
        <is>
          <t>HP Mainstream</t>
        </is>
      </c>
    </row>
    <row r="306">
      <c r="A306" t="inlineStr">
        <is>
          <t>102206710</t>
        </is>
      </c>
      <c r="B306" t="inlineStr">
        <is>
          <t>Novales, Angelo Carlo Santiago</t>
        </is>
      </c>
      <c r="C306" t="inlineStr">
        <is>
          <t>angelocarlo.novales@concentrix.com</t>
        </is>
      </c>
      <c r="D306" t="inlineStr">
        <is>
          <t>Poon, Aris Sobrevilla</t>
        </is>
      </c>
      <c r="E306" t="inlineStr">
        <is>
          <t>aris.poon@concentrix.com</t>
        </is>
      </c>
      <c r="F306" t="inlineStr">
        <is>
          <t>Ramos, Ma Concepcion Sanchez</t>
        </is>
      </c>
      <c r="G306" t="inlineStr">
        <is>
          <t>maconcepcion.ramos@concentrix.com</t>
        </is>
      </c>
      <c r="H306" t="inlineStr">
        <is>
          <t>Ebuenga, Sheryll Avellaneda</t>
        </is>
      </c>
      <c r="I306" t="inlineStr">
        <is>
          <t>sheryll.ebuenga@concentrix.com</t>
        </is>
      </c>
      <c r="J306" t="inlineStr"/>
      <c r="K306" t="inlineStr">
        <is>
          <t>HP Mainstream</t>
        </is>
      </c>
    </row>
    <row r="307">
      <c r="A307" t="inlineStr">
        <is>
          <t>103577936</t>
        </is>
      </c>
      <c r="B307" t="inlineStr">
        <is>
          <t>Novallasca, Princess Marjhurie Liñga</t>
        </is>
      </c>
      <c r="C307" t="inlineStr">
        <is>
          <t>princessmarjhurie.novallasca@concentrix.com</t>
        </is>
      </c>
      <c r="D307" t="inlineStr">
        <is>
          <t>Salafranca, Ryan Alejo</t>
        </is>
      </c>
      <c r="E307" t="inlineStr">
        <is>
          <t>ryan.salafranca@concentrix.com</t>
        </is>
      </c>
      <c r="F307" t="inlineStr">
        <is>
          <t>Arcena, Alberto Chua</t>
        </is>
      </c>
      <c r="G307" t="inlineStr">
        <is>
          <t>alberto.arcenajr@concentrix.com</t>
        </is>
      </c>
      <c r="H307" t="inlineStr">
        <is>
          <t>Ebuenga, Sheryll Avellaneda</t>
        </is>
      </c>
      <c r="I307" t="inlineStr">
        <is>
          <t>sheryll.ebuenga@concentrix.com</t>
        </is>
      </c>
      <c r="J307" t="inlineStr"/>
      <c r="K307" t="inlineStr">
        <is>
          <t>HP Mainstream</t>
        </is>
      </c>
    </row>
    <row r="308">
      <c r="A308" t="inlineStr">
        <is>
          <t>215652</t>
        </is>
      </c>
      <c r="B308" t="inlineStr">
        <is>
          <t>Obispo, Gibraltar Dimal</t>
        </is>
      </c>
      <c r="C308" t="inlineStr">
        <is>
          <t>gibraltar.obispo@concentrix.com</t>
        </is>
      </c>
      <c r="D308" t="inlineStr">
        <is>
          <t>Racha, Grace Eunice Divinagracia</t>
        </is>
      </c>
      <c r="E308" t="inlineStr">
        <is>
          <t>graceeunice.racha@concentrix.com</t>
        </is>
      </c>
      <c r="F308" t="inlineStr">
        <is>
          <t>Ramos, Ma Concepcion Sanchez</t>
        </is>
      </c>
      <c r="G308" t="inlineStr">
        <is>
          <t>maconcepcion.ramos@concentrix.com</t>
        </is>
      </c>
      <c r="H308" t="inlineStr">
        <is>
          <t>Ebuenga, Sheryll Avellaneda</t>
        </is>
      </c>
      <c r="I308" t="inlineStr">
        <is>
          <t>sheryll.ebuenga@concentrix.com</t>
        </is>
      </c>
      <c r="J308" t="inlineStr"/>
      <c r="K308" t="inlineStr">
        <is>
          <t>HP Mainstream</t>
        </is>
      </c>
    </row>
    <row r="309">
      <c r="A309" t="inlineStr">
        <is>
          <t>101559026</t>
        </is>
      </c>
      <c r="B309" t="inlineStr">
        <is>
          <t>Ocampo, Kimberly Jhoy Almare</t>
        </is>
      </c>
      <c r="C309" t="inlineStr">
        <is>
          <t>kimberlyjhoy.ocampo@concentrix.com</t>
        </is>
      </c>
      <c r="D309" t="inlineStr">
        <is>
          <t>Ferrer, Jasper Kenneth Labor</t>
        </is>
      </c>
      <c r="E309" t="inlineStr">
        <is>
          <t>jasperkenneth.ferrer@concentrix.com</t>
        </is>
      </c>
      <c r="F309" t="inlineStr">
        <is>
          <t>Nito, Reynaldo Tribol</t>
        </is>
      </c>
      <c r="G309" t="inlineStr">
        <is>
          <t>reynaldo.nito@concentrix.com</t>
        </is>
      </c>
      <c r="H309" t="inlineStr">
        <is>
          <t>Ebuenga, Sheryll Avellaneda</t>
        </is>
      </c>
      <c r="I309" t="inlineStr">
        <is>
          <t>sheryll.ebuenga@concentrix.com</t>
        </is>
      </c>
      <c r="J309" t="inlineStr"/>
      <c r="K309" t="inlineStr">
        <is>
          <t>HP Mainstream</t>
        </is>
      </c>
    </row>
    <row r="310">
      <c r="A310" t="inlineStr">
        <is>
          <t>101433662</t>
        </is>
      </c>
      <c r="B310" t="inlineStr">
        <is>
          <t>Ocampo, Lorraine Marasigan</t>
        </is>
      </c>
      <c r="C310" t="inlineStr">
        <is>
          <t>lorraine.ocampo@concentrix.com</t>
        </is>
      </c>
      <c r="D310" t="inlineStr">
        <is>
          <t>Luñiza, Jona Claveria</t>
        </is>
      </c>
      <c r="E310" t="inlineStr">
        <is>
          <t>jona.luniza@concentrix.com</t>
        </is>
      </c>
      <c r="F310" t="inlineStr">
        <is>
          <t>Arcena, Alberto Chua</t>
        </is>
      </c>
      <c r="G310" t="inlineStr">
        <is>
          <t>alberto.arcenajr@concentrix.com</t>
        </is>
      </c>
      <c r="H310" t="inlineStr">
        <is>
          <t>Ebuenga, Sheryll Avellaneda</t>
        </is>
      </c>
      <c r="I310" t="inlineStr">
        <is>
          <t>sheryll.ebuenga@concentrix.com</t>
        </is>
      </c>
      <c r="J310" t="inlineStr"/>
      <c r="K310" t="inlineStr">
        <is>
          <t>HP Mainstream</t>
        </is>
      </c>
    </row>
    <row r="311">
      <c r="A311" t="inlineStr">
        <is>
          <t>101582255</t>
        </is>
      </c>
      <c r="B311" t="inlineStr">
        <is>
          <t>Ochea, Kim Vergel Niño Bensi</t>
        </is>
      </c>
      <c r="C311" t="inlineStr">
        <is>
          <t>kimvergelnino.ochea@concentrix.com</t>
        </is>
      </c>
      <c r="D311" t="inlineStr">
        <is>
          <t>Luñiza, Jona Claveria</t>
        </is>
      </c>
      <c r="E311" t="inlineStr">
        <is>
          <t>jona.luniza@concentrix.com</t>
        </is>
      </c>
      <c r="F311" t="inlineStr">
        <is>
          <t>Arcena, Alberto Chua</t>
        </is>
      </c>
      <c r="G311" t="inlineStr">
        <is>
          <t>alberto.arcenajr@concentrix.com</t>
        </is>
      </c>
      <c r="H311" t="inlineStr">
        <is>
          <t>Ebuenga, Sheryll Avellaneda</t>
        </is>
      </c>
      <c r="I311" t="inlineStr">
        <is>
          <t>sheryll.ebuenga@concentrix.com</t>
        </is>
      </c>
      <c r="J311" t="inlineStr"/>
      <c r="K311" t="inlineStr">
        <is>
          <t>HP Mainstream</t>
        </is>
      </c>
    </row>
    <row r="312">
      <c r="A312" t="inlineStr">
        <is>
          <t>102163074</t>
        </is>
      </c>
      <c r="B312" t="inlineStr">
        <is>
          <t>Olaes, Angelito Intal</t>
        </is>
      </c>
      <c r="C312" t="inlineStr">
        <is>
          <t>angelito.olaes@concentrix.com</t>
        </is>
      </c>
      <c r="D312" t="inlineStr">
        <is>
          <t>Nito, Reynaldo Tribol</t>
        </is>
      </c>
      <c r="E312" t="inlineStr">
        <is>
          <t>reynaldo.nito@concentrix.com</t>
        </is>
      </c>
      <c r="F312" t="inlineStr">
        <is>
          <t>Nito, Reynaldo Tribol</t>
        </is>
      </c>
      <c r="G312" t="inlineStr">
        <is>
          <t>reynaldo.nito@concentrix.com</t>
        </is>
      </c>
      <c r="H312" t="inlineStr">
        <is>
          <t>Ebuenga, Sheryll Avellaneda</t>
        </is>
      </c>
      <c r="I312" t="inlineStr">
        <is>
          <t>sheryll.ebuenga@concentrix.com</t>
        </is>
      </c>
      <c r="J312" t="inlineStr"/>
      <c r="K312" t="inlineStr">
        <is>
          <t>HP Mainstream</t>
        </is>
      </c>
    </row>
    <row r="313">
      <c r="A313" t="inlineStr">
        <is>
          <t>101387185</t>
        </is>
      </c>
      <c r="B313" t="inlineStr">
        <is>
          <t>Olegario, Allan Christian De Guzman</t>
        </is>
      </c>
      <c r="C313" t="inlineStr">
        <is>
          <t>allanchristian.olegario@concentrix.com</t>
        </is>
      </c>
      <c r="D313" t="inlineStr">
        <is>
          <t>Luñiza, Jona Claveria</t>
        </is>
      </c>
      <c r="E313" t="inlineStr">
        <is>
          <t>jona.luniza@concentrix.com</t>
        </is>
      </c>
      <c r="F313" t="inlineStr">
        <is>
          <t>Arcena, Alberto Chua</t>
        </is>
      </c>
      <c r="G313" t="inlineStr">
        <is>
          <t>alberto.arcenajr@concentrix.com</t>
        </is>
      </c>
      <c r="H313" t="inlineStr">
        <is>
          <t>Ebuenga, Sheryll Avellaneda</t>
        </is>
      </c>
      <c r="I313" t="inlineStr">
        <is>
          <t>sheryll.ebuenga@concentrix.com</t>
        </is>
      </c>
      <c r="J313" t="inlineStr"/>
      <c r="K313" t="inlineStr">
        <is>
          <t>HP Mainstream</t>
        </is>
      </c>
    </row>
    <row r="314">
      <c r="A314" t="inlineStr">
        <is>
          <t>101343066</t>
        </is>
      </c>
      <c r="B314" t="inlineStr">
        <is>
          <t>Olivares, Marco Latorre</t>
        </is>
      </c>
      <c r="C314" t="inlineStr">
        <is>
          <t>marco.olivares@concentrix.com</t>
        </is>
      </c>
      <c r="D314" t="inlineStr">
        <is>
          <t>Panti, Alger Arellano</t>
        </is>
      </c>
      <c r="E314" t="inlineStr">
        <is>
          <t>alger.panti@concentrix.com</t>
        </is>
      </c>
      <c r="F314" t="inlineStr">
        <is>
          <t>Panti, Alger Arellano</t>
        </is>
      </c>
      <c r="G314" t="inlineStr">
        <is>
          <t>alger.panti@concentrix.com</t>
        </is>
      </c>
      <c r="H314" t="inlineStr">
        <is>
          <t>-</t>
        </is>
      </c>
      <c r="I314" t="inlineStr"/>
      <c r="J314" t="inlineStr"/>
      <c r="K314" t="inlineStr">
        <is>
          <t>HP Mainstream</t>
        </is>
      </c>
    </row>
    <row r="315">
      <c r="A315" t="inlineStr">
        <is>
          <t>431522</t>
        </is>
      </c>
      <c r="B315" t="inlineStr">
        <is>
          <t>Ong, Lesley Ann Bayotas</t>
        </is>
      </c>
      <c r="C315" t="inlineStr">
        <is>
          <t>lesleyann.ong@concentrix.com</t>
        </is>
      </c>
      <c r="D315" t="inlineStr">
        <is>
          <t>Ramos, Ma Concepcion Sanchez</t>
        </is>
      </c>
      <c r="E315" t="inlineStr">
        <is>
          <t>maconcepcion.ramos@concentrix.com</t>
        </is>
      </c>
      <c r="F315" t="inlineStr">
        <is>
          <t>Ramos, Ma Concepcion Sanchez</t>
        </is>
      </c>
      <c r="G315" t="inlineStr">
        <is>
          <t>maconcepcion.ramos@concentrix.com</t>
        </is>
      </c>
      <c r="H315" t="inlineStr">
        <is>
          <t>Ebuenga, Sheryll Avellaneda</t>
        </is>
      </c>
      <c r="I315" t="inlineStr">
        <is>
          <t>sheryll.ebuenga@concentrix.com</t>
        </is>
      </c>
      <c r="J315" t="inlineStr"/>
      <c r="K315" t="inlineStr">
        <is>
          <t>HP Mainstream</t>
        </is>
      </c>
    </row>
    <row r="316">
      <c r="A316" t="inlineStr">
        <is>
          <t>101373486</t>
        </is>
      </c>
      <c r="B316" t="inlineStr">
        <is>
          <t>Ongpao, Maria Nina Resurrecion</t>
        </is>
      </c>
      <c r="C316" t="inlineStr">
        <is>
          <t>marianina.ongpao@concentrix.com</t>
        </is>
      </c>
      <c r="D316" t="inlineStr">
        <is>
          <t>Briones, Aries Ang</t>
        </is>
      </c>
      <c r="E316" t="inlineStr">
        <is>
          <t>aries.briones@concentrix.com</t>
        </is>
      </c>
      <c r="F316" t="inlineStr">
        <is>
          <t>Arcena, Alberto Chua</t>
        </is>
      </c>
      <c r="G316" t="inlineStr">
        <is>
          <t>alberto.arcenajr@concentrix.com</t>
        </is>
      </c>
      <c r="H316" t="inlineStr">
        <is>
          <t>Ebuenga, Sheryll Avellaneda</t>
        </is>
      </c>
      <c r="I316" t="inlineStr">
        <is>
          <t>sheryll.ebuenga@concentrix.com</t>
        </is>
      </c>
      <c r="J316" t="inlineStr"/>
      <c r="K316" t="inlineStr">
        <is>
          <t>HP Mainstream</t>
        </is>
      </c>
    </row>
    <row r="317">
      <c r="A317" t="inlineStr">
        <is>
          <t>442092</t>
        </is>
      </c>
      <c r="B317" t="inlineStr">
        <is>
          <t>Onquit, Leah Berio</t>
        </is>
      </c>
      <c r="C317" t="inlineStr">
        <is>
          <t>leah.onquit@concentrix.com</t>
        </is>
      </c>
      <c r="D317" t="inlineStr">
        <is>
          <t>Adrales, Allen Rick Aguilar</t>
        </is>
      </c>
      <c r="E317" t="inlineStr">
        <is>
          <t>allenrick.adrales@concentrix.com</t>
        </is>
      </c>
      <c r="F317" t="inlineStr">
        <is>
          <t>Ramos, Ma Concepcion Sanchez</t>
        </is>
      </c>
      <c r="G317" t="inlineStr">
        <is>
          <t>maconcepcion.ramos@concentrix.com</t>
        </is>
      </c>
      <c r="H317" t="inlineStr">
        <is>
          <t>Ebuenga, Sheryll Avellaneda</t>
        </is>
      </c>
      <c r="I317" t="inlineStr">
        <is>
          <t>sheryll.ebuenga@concentrix.com</t>
        </is>
      </c>
      <c r="J317" t="inlineStr"/>
      <c r="K317" t="inlineStr">
        <is>
          <t>HP Mainstream</t>
        </is>
      </c>
    </row>
    <row r="318">
      <c r="A318" t="inlineStr">
        <is>
          <t>103441095</t>
        </is>
      </c>
      <c r="B318" t="inlineStr">
        <is>
          <t>Ordaveza, Juan Pablo Perez</t>
        </is>
      </c>
      <c r="C318" t="inlineStr">
        <is>
          <t>juanpablo.ordaveza@concentrix.com</t>
        </is>
      </c>
      <c r="D318" t="inlineStr">
        <is>
          <t>Aluning, Alain-Angelo Cangco</t>
        </is>
      </c>
      <c r="E318" t="inlineStr">
        <is>
          <t>alain-angelo.aluning@concentrix.com</t>
        </is>
      </c>
      <c r="F318" t="inlineStr">
        <is>
          <t>Arcena, Alberto Chua</t>
        </is>
      </c>
      <c r="G318" t="inlineStr">
        <is>
          <t>alberto.arcenajr@concentrix.com</t>
        </is>
      </c>
      <c r="H318" t="inlineStr">
        <is>
          <t>Ebuenga, Sheryll Avellaneda</t>
        </is>
      </c>
      <c r="I318" t="inlineStr">
        <is>
          <t>sheryll.ebuenga@concentrix.com</t>
        </is>
      </c>
      <c r="J318" t="inlineStr"/>
      <c r="K318" t="inlineStr">
        <is>
          <t>HP Mainstream</t>
        </is>
      </c>
    </row>
    <row r="319">
      <c r="A319" t="inlineStr">
        <is>
          <t>101729001</t>
        </is>
      </c>
      <c r="B319" t="inlineStr">
        <is>
          <t>Owera, Justine Louis Jamili</t>
        </is>
      </c>
      <c r="C319" t="inlineStr">
        <is>
          <t>justinelouis.owera@concentrix.com</t>
        </is>
      </c>
      <c r="D319" t="inlineStr">
        <is>
          <t>Quinto, Bernadeth Mendoza</t>
        </is>
      </c>
      <c r="E319" t="inlineStr">
        <is>
          <t>bernadeth.quinto@concentrix.com</t>
        </is>
      </c>
      <c r="F319" t="inlineStr">
        <is>
          <t>Benedicto, Allen Kiel Lazarra</t>
        </is>
      </c>
      <c r="G319" t="inlineStr">
        <is>
          <t>allenkiel.benedicto@concentrix.com</t>
        </is>
      </c>
      <c r="H319" t="inlineStr">
        <is>
          <t>Ebuenga, Sheryll Avellaneda</t>
        </is>
      </c>
      <c r="I319" t="inlineStr">
        <is>
          <t>sheryll.ebuenga@concentrix.com</t>
        </is>
      </c>
      <c r="J319" t="inlineStr"/>
      <c r="K319" t="inlineStr">
        <is>
          <t>HP Mainstream</t>
        </is>
      </c>
    </row>
    <row r="320">
      <c r="A320" t="inlineStr">
        <is>
          <t>102880528</t>
        </is>
      </c>
      <c r="B320" t="inlineStr">
        <is>
          <t>Oñate, Carla Kate Anore</t>
        </is>
      </c>
      <c r="C320" t="inlineStr">
        <is>
          <t>carlakate.onate@concentrix.com</t>
        </is>
      </c>
      <c r="D320" t="inlineStr">
        <is>
          <t>Belandres, Nica Marie Ballola</t>
        </is>
      </c>
      <c r="E320" t="inlineStr">
        <is>
          <t>nicamarie.belandres@concentrix.com</t>
        </is>
      </c>
      <c r="F320" t="inlineStr">
        <is>
          <t>Benedicto, Allen Kiel Lazarra</t>
        </is>
      </c>
      <c r="G320" t="inlineStr">
        <is>
          <t>allenkiel.benedicto@concentrix.com</t>
        </is>
      </c>
      <c r="H320" t="inlineStr">
        <is>
          <t>Ebuenga, Sheryll Avellaneda</t>
        </is>
      </c>
      <c r="I320" t="inlineStr">
        <is>
          <t>sheryll.ebuenga@concentrix.com</t>
        </is>
      </c>
      <c r="J320" t="inlineStr"/>
      <c r="K320" t="inlineStr">
        <is>
          <t>HP Mainstream</t>
        </is>
      </c>
    </row>
    <row r="321">
      <c r="A321" t="inlineStr">
        <is>
          <t>453193</t>
        </is>
      </c>
      <c r="B321" t="inlineStr">
        <is>
          <t>Pabalate, Cristy Baclay</t>
        </is>
      </c>
      <c r="C321" t="inlineStr">
        <is>
          <t>cristy.pabalate@concentrix.com</t>
        </is>
      </c>
      <c r="D321" t="inlineStr">
        <is>
          <t>Luñiza, Jona Claveria</t>
        </is>
      </c>
      <c r="E321" t="inlineStr">
        <is>
          <t>jona.luniza@concentrix.com</t>
        </is>
      </c>
      <c r="F321" t="inlineStr">
        <is>
          <t>Arcena, Alberto Chua</t>
        </is>
      </c>
      <c r="G321" t="inlineStr">
        <is>
          <t>alberto.arcenajr@concentrix.com</t>
        </is>
      </c>
      <c r="H321" t="inlineStr">
        <is>
          <t>Ebuenga, Sheryll Avellaneda</t>
        </is>
      </c>
      <c r="I321" t="inlineStr">
        <is>
          <t>sheryll.ebuenga@concentrix.com</t>
        </is>
      </c>
      <c r="J321" t="inlineStr"/>
      <c r="K321" t="inlineStr">
        <is>
          <t>HP Mainstream</t>
        </is>
      </c>
    </row>
    <row r="322">
      <c r="A322" t="inlineStr">
        <is>
          <t>102142914</t>
        </is>
      </c>
      <c r="B322" t="inlineStr">
        <is>
          <t>Paciencia, Ruelyn Joy Bugo</t>
        </is>
      </c>
      <c r="C322" t="inlineStr">
        <is>
          <t>ruelynjoy.bugo@concentrix.com</t>
        </is>
      </c>
      <c r="D322" t="inlineStr">
        <is>
          <t>Aluning, Alain-Angelo Cangco</t>
        </is>
      </c>
      <c r="E322" t="inlineStr">
        <is>
          <t>alain-angelo.aluning@concentrix.com</t>
        </is>
      </c>
      <c r="F322" t="inlineStr">
        <is>
          <t>Arcena, Alberto Chua</t>
        </is>
      </c>
      <c r="G322" t="inlineStr">
        <is>
          <t>alberto.arcenajr@concentrix.com</t>
        </is>
      </c>
      <c r="H322" t="inlineStr">
        <is>
          <t>Ebuenga, Sheryll Avellaneda</t>
        </is>
      </c>
      <c r="I322" t="inlineStr">
        <is>
          <t>sheryll.ebuenga@concentrix.com</t>
        </is>
      </c>
      <c r="J322" t="inlineStr"/>
      <c r="K322" t="inlineStr">
        <is>
          <t>HP Mainstream</t>
        </is>
      </c>
    </row>
    <row r="323">
      <c r="A323" t="inlineStr">
        <is>
          <t>103519406</t>
        </is>
      </c>
      <c r="B323" t="inlineStr">
        <is>
          <t>Paculba, Princess Joy Martus</t>
        </is>
      </c>
      <c r="C323" t="inlineStr">
        <is>
          <t>princessjoy.paculba@concentrix.com</t>
        </is>
      </c>
      <c r="D323" t="inlineStr">
        <is>
          <t>Aluning, Alain-Angelo Cangco</t>
        </is>
      </c>
      <c r="E323" t="inlineStr">
        <is>
          <t>alain-angelo.aluning@concentrix.com</t>
        </is>
      </c>
      <c r="F323" t="inlineStr">
        <is>
          <t>Arcena, Alberto Chua</t>
        </is>
      </c>
      <c r="G323" t="inlineStr">
        <is>
          <t>alberto.arcenajr@concentrix.com</t>
        </is>
      </c>
      <c r="H323" t="inlineStr">
        <is>
          <t>Ebuenga, Sheryll Avellaneda</t>
        </is>
      </c>
      <c r="I323" t="inlineStr">
        <is>
          <t>sheryll.ebuenga@concentrix.com</t>
        </is>
      </c>
      <c r="J323" t="inlineStr"/>
      <c r="K323" t="inlineStr">
        <is>
          <t>HP Mainstream</t>
        </is>
      </c>
    </row>
    <row r="324">
      <c r="A324" t="inlineStr">
        <is>
          <t>103486561</t>
        </is>
      </c>
      <c r="B324" t="inlineStr">
        <is>
          <t>Padasas, Tristan Jay Singson</t>
        </is>
      </c>
      <c r="C324" t="inlineStr">
        <is>
          <t>tristanjay.padasas@concentrix.com</t>
        </is>
      </c>
      <c r="D324" t="inlineStr">
        <is>
          <t>Luñiza, Jona Claveria</t>
        </is>
      </c>
      <c r="E324" t="inlineStr">
        <is>
          <t>jona.luniza@concentrix.com</t>
        </is>
      </c>
      <c r="F324" t="inlineStr">
        <is>
          <t>Arcena, Alberto Chua</t>
        </is>
      </c>
      <c r="G324" t="inlineStr">
        <is>
          <t>alberto.arcenajr@concentrix.com</t>
        </is>
      </c>
      <c r="H324" t="inlineStr">
        <is>
          <t>Ebuenga, Sheryll Avellaneda</t>
        </is>
      </c>
      <c r="I324" t="inlineStr">
        <is>
          <t>sheryll.ebuenga@concentrix.com</t>
        </is>
      </c>
      <c r="J324" t="inlineStr"/>
      <c r="K324" t="inlineStr">
        <is>
          <t>HP Mainstream</t>
        </is>
      </c>
    </row>
    <row r="325">
      <c r="A325" t="inlineStr">
        <is>
          <t>101273995</t>
        </is>
      </c>
      <c r="B325" t="inlineStr">
        <is>
          <t>Padaya, Attina Reccie Ban</t>
        </is>
      </c>
      <c r="C325" t="inlineStr">
        <is>
          <t>attinareccie.padaya@concentrix.com</t>
        </is>
      </c>
      <c r="D325" t="inlineStr">
        <is>
          <t>Chan, Caroline Cruce</t>
        </is>
      </c>
      <c r="E325" t="inlineStr">
        <is>
          <t>caroline.chan@concentrix.com</t>
        </is>
      </c>
      <c r="F325" t="inlineStr">
        <is>
          <t>Chan, Caroline Cruce</t>
        </is>
      </c>
      <c r="G325" t="inlineStr">
        <is>
          <t>caroline.chan@concentrix.com</t>
        </is>
      </c>
      <c r="H325" t="inlineStr">
        <is>
          <t>-</t>
        </is>
      </c>
      <c r="I325" t="inlineStr"/>
      <c r="J325" t="inlineStr"/>
      <c r="K325" t="inlineStr">
        <is>
          <t>HP Mainstream</t>
        </is>
      </c>
    </row>
    <row r="326">
      <c r="A326" t="inlineStr">
        <is>
          <t>1051991</t>
        </is>
      </c>
      <c r="B326" t="inlineStr">
        <is>
          <t>Padilla, Mia Cassandra Molina</t>
        </is>
      </c>
      <c r="C326" t="inlineStr">
        <is>
          <t>miacassandra.padilla@concentrix.com</t>
        </is>
      </c>
      <c r="D326" t="inlineStr">
        <is>
          <t>Ong, Lesley Ann Bayotas</t>
        </is>
      </c>
      <c r="E326" t="inlineStr">
        <is>
          <t>lesleyann.ong@concentrix.com</t>
        </is>
      </c>
      <c r="F326" t="inlineStr">
        <is>
          <t>Ramos, Ma Concepcion Sanchez</t>
        </is>
      </c>
      <c r="G326" t="inlineStr">
        <is>
          <t>maconcepcion.ramos@concentrix.com</t>
        </is>
      </c>
      <c r="H326" t="inlineStr">
        <is>
          <t>Ebuenga, Sheryll Avellaneda</t>
        </is>
      </c>
      <c r="I326" t="inlineStr">
        <is>
          <t>sheryll.ebuenga@concentrix.com</t>
        </is>
      </c>
      <c r="J326" t="inlineStr"/>
      <c r="K326" t="inlineStr">
        <is>
          <t>HP Mainstream</t>
        </is>
      </c>
    </row>
    <row r="327">
      <c r="A327" t="inlineStr">
        <is>
          <t>102864801</t>
        </is>
      </c>
      <c r="B327" t="inlineStr">
        <is>
          <t>Padilla, Noelito Miranda</t>
        </is>
      </c>
      <c r="C327" t="inlineStr">
        <is>
          <t>noelito.padilla@concentrix.com</t>
        </is>
      </c>
      <c r="D327" t="inlineStr">
        <is>
          <t>Adrales, Allen Rick Aguilar</t>
        </is>
      </c>
      <c r="E327" t="inlineStr">
        <is>
          <t>allenrick.adrales@concentrix.com</t>
        </is>
      </c>
      <c r="F327" t="inlineStr">
        <is>
          <t>Ramos, Ma Concepcion Sanchez</t>
        </is>
      </c>
      <c r="G327" t="inlineStr">
        <is>
          <t>maconcepcion.ramos@concentrix.com</t>
        </is>
      </c>
      <c r="H327" t="inlineStr">
        <is>
          <t>Ebuenga, Sheryll Avellaneda</t>
        </is>
      </c>
      <c r="I327" t="inlineStr">
        <is>
          <t>sheryll.ebuenga@concentrix.com</t>
        </is>
      </c>
      <c r="J327" t="inlineStr"/>
      <c r="K327" t="inlineStr">
        <is>
          <t>HP Mainstream</t>
        </is>
      </c>
    </row>
    <row r="328">
      <c r="A328" t="inlineStr">
        <is>
          <t>102876234</t>
        </is>
      </c>
      <c r="B328" t="inlineStr">
        <is>
          <t>Pagaduan, Shellae Macabinguel</t>
        </is>
      </c>
      <c r="C328" t="inlineStr">
        <is>
          <t>shellae.pagaduan@concentrix.com</t>
        </is>
      </c>
      <c r="D328" t="inlineStr">
        <is>
          <t>Poon, Aris Sobrevilla</t>
        </is>
      </c>
      <c r="E328" t="inlineStr">
        <is>
          <t>aris.poon@concentrix.com</t>
        </is>
      </c>
      <c r="F328" t="inlineStr">
        <is>
          <t>Ramos, Ma Concepcion Sanchez</t>
        </is>
      </c>
      <c r="G328" t="inlineStr">
        <is>
          <t>maconcepcion.ramos@concentrix.com</t>
        </is>
      </c>
      <c r="H328" t="inlineStr">
        <is>
          <t>Ebuenga, Sheryll Avellaneda</t>
        </is>
      </c>
      <c r="I328" t="inlineStr">
        <is>
          <t>sheryll.ebuenga@concentrix.com</t>
        </is>
      </c>
      <c r="J328" t="inlineStr"/>
      <c r="K328" t="inlineStr">
        <is>
          <t>HP Mainstream</t>
        </is>
      </c>
    </row>
    <row r="329">
      <c r="A329" t="inlineStr">
        <is>
          <t>102036307</t>
        </is>
      </c>
      <c r="B329" t="inlineStr">
        <is>
          <t>Paite, Steve Alejandro Zamora</t>
        </is>
      </c>
      <c r="C329" t="inlineStr">
        <is>
          <t>stevealejandro.paite@concentrix.com</t>
        </is>
      </c>
      <c r="D329" t="inlineStr">
        <is>
          <t>Vedia, Jerson Reyes</t>
        </is>
      </c>
      <c r="E329" t="inlineStr">
        <is>
          <t>jerson.vedia@concentrix.com</t>
        </is>
      </c>
      <c r="F329" t="inlineStr">
        <is>
          <t>Ramos, Ma Concepcion Sanchez</t>
        </is>
      </c>
      <c r="G329" t="inlineStr">
        <is>
          <t>maconcepcion.ramos@concentrix.com</t>
        </is>
      </c>
      <c r="H329" t="inlineStr">
        <is>
          <t>Ebuenga, Sheryll Avellaneda</t>
        </is>
      </c>
      <c r="I329" t="inlineStr">
        <is>
          <t>sheryll.ebuenga@concentrix.com</t>
        </is>
      </c>
      <c r="J329" t="inlineStr"/>
      <c r="K329" t="inlineStr">
        <is>
          <t>HP Mainstream</t>
        </is>
      </c>
    </row>
    <row r="330">
      <c r="A330" t="inlineStr">
        <is>
          <t>101486994</t>
        </is>
      </c>
      <c r="B330" t="inlineStr">
        <is>
          <t>Pajanustan, Angelica Macato</t>
        </is>
      </c>
      <c r="C330" t="inlineStr">
        <is>
          <t>angelica.pajanustan@concentrix.com</t>
        </is>
      </c>
      <c r="D330" t="inlineStr">
        <is>
          <t>Andrecoso, April Melody Sunga</t>
        </is>
      </c>
      <c r="E330" t="inlineStr">
        <is>
          <t>aprilmelody.andrecoso@concentrix.com</t>
        </is>
      </c>
      <c r="F330" t="inlineStr">
        <is>
          <t>Benedicto, Allen Kiel Lazarra</t>
        </is>
      </c>
      <c r="G330" t="inlineStr">
        <is>
          <t>allenkiel.benedicto@concentrix.com</t>
        </is>
      </c>
      <c r="H330" t="inlineStr">
        <is>
          <t>Ebuenga, Sheryll Avellaneda</t>
        </is>
      </c>
      <c r="I330" t="inlineStr">
        <is>
          <t>sheryll.ebuenga@concentrix.com</t>
        </is>
      </c>
      <c r="J330" t="inlineStr"/>
      <c r="K330" t="inlineStr">
        <is>
          <t>HP Mainstream</t>
        </is>
      </c>
    </row>
    <row r="331">
      <c r="A331" t="inlineStr">
        <is>
          <t>261537</t>
        </is>
      </c>
      <c r="B331" t="inlineStr">
        <is>
          <t>Panti, Alger Arellano</t>
        </is>
      </c>
      <c r="C331" t="inlineStr">
        <is>
          <t>alger.panti@concentrix.com</t>
        </is>
      </c>
      <c r="D331" t="inlineStr">
        <is>
          <t>Medel, Lorelei Gabriel</t>
        </is>
      </c>
      <c r="E331" t="inlineStr">
        <is>
          <t>lorelei.gabriel@concentrix.com</t>
        </is>
      </c>
      <c r="F331" t="inlineStr">
        <is>
          <t>Medel, Lorelei Gabriel</t>
        </is>
      </c>
      <c r="G331" t="inlineStr">
        <is>
          <t>lorelei.gabriel@concentrix.com</t>
        </is>
      </c>
      <c r="H331" t="inlineStr">
        <is>
          <t>-</t>
        </is>
      </c>
      <c r="I331" t="inlineStr"/>
      <c r="J331" t="inlineStr"/>
      <c r="K331" t="inlineStr">
        <is>
          <t>HP Mainstream</t>
        </is>
      </c>
    </row>
    <row r="332">
      <c r="A332" t="inlineStr">
        <is>
          <t>102195292</t>
        </is>
      </c>
      <c r="B332" t="inlineStr">
        <is>
          <t>Papa, Marcelino Niog</t>
        </is>
      </c>
      <c r="C332" t="inlineStr">
        <is>
          <t>marcelino.papa@concentrix.com</t>
        </is>
      </c>
      <c r="D332" t="inlineStr">
        <is>
          <t>Briones, Aries Ang</t>
        </is>
      </c>
      <c r="E332" t="inlineStr">
        <is>
          <t>aries.briones@concentrix.com</t>
        </is>
      </c>
      <c r="F332" t="inlineStr">
        <is>
          <t>Arcena, Alberto Chua</t>
        </is>
      </c>
      <c r="G332" t="inlineStr">
        <is>
          <t>alberto.arcenajr@concentrix.com</t>
        </is>
      </c>
      <c r="H332" t="inlineStr">
        <is>
          <t>Ebuenga, Sheryll Avellaneda</t>
        </is>
      </c>
      <c r="I332" t="inlineStr">
        <is>
          <t>sheryll.ebuenga@concentrix.com</t>
        </is>
      </c>
      <c r="J332" t="inlineStr"/>
      <c r="K332" t="inlineStr">
        <is>
          <t>HP Mainstream</t>
        </is>
      </c>
    </row>
    <row r="333">
      <c r="A333" t="inlineStr">
        <is>
          <t>102107631</t>
        </is>
      </c>
      <c r="B333" t="inlineStr">
        <is>
          <t>Paredes, Christian Denuyo</t>
        </is>
      </c>
      <c r="C333" t="inlineStr">
        <is>
          <t>christian.paredes@concentrix.com</t>
        </is>
      </c>
      <c r="D333" t="inlineStr">
        <is>
          <t>Quinto, Bernadeth Mendoza</t>
        </is>
      </c>
      <c r="E333" t="inlineStr">
        <is>
          <t>bernadeth.quinto@concentrix.com</t>
        </is>
      </c>
      <c r="F333" t="inlineStr">
        <is>
          <t>Benedicto, Allen Kiel Lazarra</t>
        </is>
      </c>
      <c r="G333" t="inlineStr">
        <is>
          <t>allenkiel.benedicto@concentrix.com</t>
        </is>
      </c>
      <c r="H333" t="inlineStr">
        <is>
          <t>Ebuenga, Sheryll Avellaneda</t>
        </is>
      </c>
      <c r="I333" t="inlineStr">
        <is>
          <t>sheryll.ebuenga@concentrix.com</t>
        </is>
      </c>
      <c r="J333" t="inlineStr"/>
      <c r="K333" t="inlineStr">
        <is>
          <t>HP Mainstream</t>
        </is>
      </c>
    </row>
    <row r="334">
      <c r="A334" t="inlineStr">
        <is>
          <t>103404646</t>
        </is>
      </c>
      <c r="B334" t="inlineStr">
        <is>
          <t>Parro, Jonnah Mae Salcedo</t>
        </is>
      </c>
      <c r="C334" t="inlineStr">
        <is>
          <t>jonnahmae.parro@concentrix.com</t>
        </is>
      </c>
      <c r="D334" t="inlineStr">
        <is>
          <t>Aluning, Alain-Angelo Cangco</t>
        </is>
      </c>
      <c r="E334" t="inlineStr">
        <is>
          <t>alain-angelo.aluning@concentrix.com</t>
        </is>
      </c>
      <c r="F334" t="inlineStr">
        <is>
          <t>Arcena, Alberto Chua</t>
        </is>
      </c>
      <c r="G334" t="inlineStr">
        <is>
          <t>alberto.arcenajr@concentrix.com</t>
        </is>
      </c>
      <c r="H334" t="inlineStr">
        <is>
          <t>Ebuenga, Sheryll Avellaneda</t>
        </is>
      </c>
      <c r="I334" t="inlineStr">
        <is>
          <t>sheryll.ebuenga@concentrix.com</t>
        </is>
      </c>
      <c r="J334" t="inlineStr"/>
      <c r="K334" t="inlineStr">
        <is>
          <t>HP Mainstream</t>
        </is>
      </c>
    </row>
    <row r="335">
      <c r="A335" t="inlineStr">
        <is>
          <t>102138797</t>
        </is>
      </c>
      <c r="B335" t="inlineStr">
        <is>
          <t>Pasion, Ma. Andrea Apolinario</t>
        </is>
      </c>
      <c r="C335" t="inlineStr">
        <is>
          <t>maandrea.pasion@concentrix.com</t>
        </is>
      </c>
      <c r="D335" t="inlineStr">
        <is>
          <t>Quinto, Bernadeth Mendoza</t>
        </is>
      </c>
      <c r="E335" t="inlineStr">
        <is>
          <t>bernadeth.quinto@concentrix.com</t>
        </is>
      </c>
      <c r="F335" t="inlineStr">
        <is>
          <t>Benedicto, Allen Kiel Lazarra</t>
        </is>
      </c>
      <c r="G335" t="inlineStr">
        <is>
          <t>allenkiel.benedicto@concentrix.com</t>
        </is>
      </c>
      <c r="H335" t="inlineStr">
        <is>
          <t>Ebuenga, Sheryll Avellaneda</t>
        </is>
      </c>
      <c r="I335" t="inlineStr">
        <is>
          <t>sheryll.ebuenga@concentrix.com</t>
        </is>
      </c>
      <c r="J335" t="inlineStr"/>
      <c r="K335" t="inlineStr">
        <is>
          <t>HP Mainstream</t>
        </is>
      </c>
    </row>
    <row r="336">
      <c r="A336" t="inlineStr">
        <is>
          <t>205819</t>
        </is>
      </c>
      <c r="B336" t="inlineStr">
        <is>
          <t>Paulino, Joselito Kamantigue</t>
        </is>
      </c>
      <c r="C336" t="inlineStr">
        <is>
          <t>joselito.paulino@concentrix.com</t>
        </is>
      </c>
      <c r="D336" t="inlineStr">
        <is>
          <t>Dela Fuente, Erick John Palomo</t>
        </is>
      </c>
      <c r="E336" t="inlineStr">
        <is>
          <t>erickjohn.delafuente@concentrix.com</t>
        </is>
      </c>
      <c r="F336" t="inlineStr">
        <is>
          <t>Dela Fuente, Erick John Palomo</t>
        </is>
      </c>
      <c r="G336" t="inlineStr">
        <is>
          <t>erickjohn.delafuente@concentrix.com</t>
        </is>
      </c>
      <c r="H336" t="inlineStr">
        <is>
          <t>Ebuenga, Sheryll Avellaneda</t>
        </is>
      </c>
      <c r="I336" t="inlineStr">
        <is>
          <t>sheryll.ebuenga@concentrix.com</t>
        </is>
      </c>
      <c r="J336" t="inlineStr"/>
      <c r="K336" t="inlineStr">
        <is>
          <t>HP Mainstream</t>
        </is>
      </c>
    </row>
    <row r="337">
      <c r="A337" t="inlineStr">
        <is>
          <t>101778789</t>
        </is>
      </c>
      <c r="B337" t="inlineStr">
        <is>
          <t>Paulo, Jescy Frances Dumagpi</t>
        </is>
      </c>
      <c r="C337" t="inlineStr">
        <is>
          <t>jescyfrances.paulo@concentrix.com</t>
        </is>
      </c>
      <c r="D337" t="inlineStr">
        <is>
          <t>Adrales, Allen Rick Aguilar</t>
        </is>
      </c>
      <c r="E337" t="inlineStr">
        <is>
          <t>allenrick.adrales@concentrix.com</t>
        </is>
      </c>
      <c r="F337" t="inlineStr">
        <is>
          <t>Ramos, Ma Concepcion Sanchez</t>
        </is>
      </c>
      <c r="G337" t="inlineStr">
        <is>
          <t>maconcepcion.ramos@concentrix.com</t>
        </is>
      </c>
      <c r="H337" t="inlineStr">
        <is>
          <t>Ebuenga, Sheryll Avellaneda</t>
        </is>
      </c>
      <c r="I337" t="inlineStr">
        <is>
          <t>sheryll.ebuenga@concentrix.com</t>
        </is>
      </c>
      <c r="J337" t="inlineStr"/>
      <c r="K337" t="inlineStr">
        <is>
          <t>HP Mainstream</t>
        </is>
      </c>
    </row>
    <row r="338">
      <c r="A338" t="inlineStr">
        <is>
          <t>101359630</t>
        </is>
      </c>
      <c r="B338" t="inlineStr">
        <is>
          <t>Paz, Ryan Ubalde</t>
        </is>
      </c>
      <c r="C338" t="inlineStr">
        <is>
          <t>ryan.paz@concentrix.com</t>
        </is>
      </c>
      <c r="D338" t="inlineStr">
        <is>
          <t>Galope, Danri Catacutan</t>
        </is>
      </c>
      <c r="E338" t="inlineStr">
        <is>
          <t>danri.galope@concentrix.com</t>
        </is>
      </c>
      <c r="F338" t="inlineStr">
        <is>
          <t>Ramos, Ma Concepcion Sanchez</t>
        </is>
      </c>
      <c r="G338" t="inlineStr">
        <is>
          <t>maconcepcion.ramos@concentrix.com</t>
        </is>
      </c>
      <c r="H338" t="inlineStr">
        <is>
          <t>Ebuenga, Sheryll Avellaneda</t>
        </is>
      </c>
      <c r="I338" t="inlineStr">
        <is>
          <t>sheryll.ebuenga@concentrix.com</t>
        </is>
      </c>
      <c r="J338" t="inlineStr"/>
      <c r="K338" t="inlineStr">
        <is>
          <t>HP Mainstream</t>
        </is>
      </c>
    </row>
    <row r="339">
      <c r="A339" t="inlineStr">
        <is>
          <t>102160550</t>
        </is>
      </c>
      <c r="B339" t="inlineStr">
        <is>
          <t>Pedro, Charmaine Montiadora</t>
        </is>
      </c>
      <c r="C339" t="inlineStr">
        <is>
          <t>charmaine.pedro@concentrix.com</t>
        </is>
      </c>
      <c r="D339" t="inlineStr">
        <is>
          <t>Ferrer, Jasper Kenneth Labor</t>
        </is>
      </c>
      <c r="E339" t="inlineStr">
        <is>
          <t>jasperkenneth.ferrer@concentrix.com</t>
        </is>
      </c>
      <c r="F339" t="inlineStr">
        <is>
          <t>Nito, Reynaldo Tribol</t>
        </is>
      </c>
      <c r="G339" t="inlineStr">
        <is>
          <t>reynaldo.nito@concentrix.com</t>
        </is>
      </c>
      <c r="H339" t="inlineStr">
        <is>
          <t>Ebuenga, Sheryll Avellaneda</t>
        </is>
      </c>
      <c r="I339" t="inlineStr">
        <is>
          <t>sheryll.ebuenga@concentrix.com</t>
        </is>
      </c>
      <c r="J339" t="inlineStr"/>
      <c r="K339" t="inlineStr">
        <is>
          <t>HP Mainstream</t>
        </is>
      </c>
    </row>
    <row r="340">
      <c r="A340" t="inlineStr">
        <is>
          <t>231269</t>
        </is>
      </c>
      <c r="B340" t="inlineStr">
        <is>
          <t>Perdon, Carolene Marzan</t>
        </is>
      </c>
      <c r="C340" t="inlineStr">
        <is>
          <t>carolene.perdon@concentrix.com</t>
        </is>
      </c>
      <c r="D340" t="inlineStr">
        <is>
          <t>Panti, Alger Arellano</t>
        </is>
      </c>
      <c r="E340" t="inlineStr">
        <is>
          <t>alger.panti@concentrix.com</t>
        </is>
      </c>
      <c r="F340" t="inlineStr">
        <is>
          <t>Panti, Alger Arellano</t>
        </is>
      </c>
      <c r="G340" t="inlineStr">
        <is>
          <t>alger.panti@concentrix.com</t>
        </is>
      </c>
      <c r="H340" t="inlineStr">
        <is>
          <t>-</t>
        </is>
      </c>
      <c r="I340" t="inlineStr"/>
      <c r="J340" t="inlineStr"/>
      <c r="K340" t="inlineStr">
        <is>
          <t>HP Mainstream</t>
        </is>
      </c>
    </row>
    <row r="341">
      <c r="A341" t="inlineStr">
        <is>
          <t>101403154</t>
        </is>
      </c>
      <c r="B341" t="inlineStr">
        <is>
          <t>Petallar, Clifford Estrada</t>
        </is>
      </c>
      <c r="C341" t="inlineStr">
        <is>
          <t>clifford.petallar@concentrix.com</t>
        </is>
      </c>
      <c r="D341" t="inlineStr">
        <is>
          <t>Vedia, Jerson Reyes</t>
        </is>
      </c>
      <c r="E341" t="inlineStr">
        <is>
          <t>jerson.vedia@concentrix.com</t>
        </is>
      </c>
      <c r="F341" t="inlineStr">
        <is>
          <t>Ramos, Ma Concepcion Sanchez</t>
        </is>
      </c>
      <c r="G341" t="inlineStr">
        <is>
          <t>maconcepcion.ramos@concentrix.com</t>
        </is>
      </c>
      <c r="H341" t="inlineStr">
        <is>
          <t>Ebuenga, Sheryll Avellaneda</t>
        </is>
      </c>
      <c r="I341" t="inlineStr">
        <is>
          <t>sheryll.ebuenga@concentrix.com</t>
        </is>
      </c>
      <c r="J341" t="inlineStr"/>
      <c r="K341" t="inlineStr">
        <is>
          <t>HP Mainstream</t>
        </is>
      </c>
    </row>
    <row r="342">
      <c r="A342" t="inlineStr">
        <is>
          <t>102451924</t>
        </is>
      </c>
      <c r="B342" t="inlineStr">
        <is>
          <t>Pielago, Pamela Faye Pascual</t>
        </is>
      </c>
      <c r="C342" t="inlineStr">
        <is>
          <t>pamelafaye.pielago@concentrix.com</t>
        </is>
      </c>
      <c r="D342" t="inlineStr">
        <is>
          <t>Blas, Jesus Jr Trinidad</t>
        </is>
      </c>
      <c r="E342" t="inlineStr">
        <is>
          <t>jesus.blas@concentrix.com</t>
        </is>
      </c>
      <c r="F342" t="inlineStr">
        <is>
          <t>Arcena, Alberto Chua</t>
        </is>
      </c>
      <c r="G342" t="inlineStr">
        <is>
          <t>alberto.arcenajr@concentrix.com</t>
        </is>
      </c>
      <c r="H342" t="inlineStr">
        <is>
          <t>Ebuenga, Sheryll Avellaneda</t>
        </is>
      </c>
      <c r="I342" t="inlineStr">
        <is>
          <t>sheryll.ebuenga@concentrix.com</t>
        </is>
      </c>
      <c r="J342" t="inlineStr"/>
      <c r="K342" t="inlineStr">
        <is>
          <t>HP Mainstream</t>
        </is>
      </c>
    </row>
    <row r="343">
      <c r="A343" t="inlineStr">
        <is>
          <t>438216</t>
        </is>
      </c>
      <c r="B343" t="inlineStr">
        <is>
          <t>Pila, Christian Caron</t>
        </is>
      </c>
      <c r="C343" t="inlineStr">
        <is>
          <t>christian.pila@concentrix.com</t>
        </is>
      </c>
      <c r="D343" t="inlineStr">
        <is>
          <t>Chan, Caroline Cruce</t>
        </is>
      </c>
      <c r="E343" t="inlineStr">
        <is>
          <t>caroline.chan@concentrix.com</t>
        </is>
      </c>
      <c r="F343" t="inlineStr">
        <is>
          <t>Chan, Caroline Cruce</t>
        </is>
      </c>
      <c r="G343" t="inlineStr">
        <is>
          <t>caroline.chan@concentrix.com</t>
        </is>
      </c>
      <c r="H343" t="inlineStr">
        <is>
          <t>-</t>
        </is>
      </c>
      <c r="I343" t="inlineStr"/>
      <c r="J343" t="inlineStr"/>
      <c r="K343" t="inlineStr">
        <is>
          <t>HP Mainstream</t>
        </is>
      </c>
    </row>
    <row r="344">
      <c r="A344" t="inlineStr">
        <is>
          <t>103577138</t>
        </is>
      </c>
      <c r="B344" t="inlineStr">
        <is>
          <t>Pila, John Robert Cabarles</t>
        </is>
      </c>
      <c r="C344" t="inlineStr">
        <is>
          <t>johnrobert.pila@concentrix.com</t>
        </is>
      </c>
      <c r="D344" t="inlineStr">
        <is>
          <t>Salafranca, Ryan Alejo</t>
        </is>
      </c>
      <c r="E344" t="inlineStr">
        <is>
          <t>ryan.salafranca@concentrix.com</t>
        </is>
      </c>
      <c r="F344" t="inlineStr">
        <is>
          <t>Arcena, Alberto Chua</t>
        </is>
      </c>
      <c r="G344" t="inlineStr">
        <is>
          <t>alberto.arcenajr@concentrix.com</t>
        </is>
      </c>
      <c r="H344" t="inlineStr">
        <is>
          <t>Ebuenga, Sheryll Avellaneda</t>
        </is>
      </c>
      <c r="I344" t="inlineStr">
        <is>
          <t>sheryll.ebuenga@concentrix.com</t>
        </is>
      </c>
      <c r="J344" t="inlineStr"/>
      <c r="K344" t="inlineStr">
        <is>
          <t>HP Mainstream</t>
        </is>
      </c>
    </row>
    <row r="345">
      <c r="A345" t="inlineStr">
        <is>
          <t>101509382</t>
        </is>
      </c>
      <c r="B345" t="inlineStr">
        <is>
          <t>Pilar, Gino Ryan Prospero</t>
        </is>
      </c>
      <c r="C345" t="inlineStr">
        <is>
          <t>ginoryan.pilar@concentrix.com</t>
        </is>
      </c>
      <c r="D345" t="inlineStr">
        <is>
          <t>Belandres, Nica Marie Ballola</t>
        </is>
      </c>
      <c r="E345" t="inlineStr">
        <is>
          <t>nicamarie.belandres@concentrix.com</t>
        </is>
      </c>
      <c r="F345" t="inlineStr">
        <is>
          <t>Benedicto, Allen Kiel Lazarra</t>
        </is>
      </c>
      <c r="G345" t="inlineStr">
        <is>
          <t>allenkiel.benedicto@concentrix.com</t>
        </is>
      </c>
      <c r="H345" t="inlineStr">
        <is>
          <t>Ebuenga, Sheryll Avellaneda</t>
        </is>
      </c>
      <c r="I345" t="inlineStr">
        <is>
          <t>sheryll.ebuenga@concentrix.com</t>
        </is>
      </c>
      <c r="J345" t="inlineStr"/>
      <c r="K345" t="inlineStr">
        <is>
          <t>HP Mainstream</t>
        </is>
      </c>
    </row>
    <row r="346">
      <c r="A346" t="inlineStr">
        <is>
          <t>101403132</t>
        </is>
      </c>
      <c r="B346" t="inlineStr">
        <is>
          <t>Pineda, Gerald Christian Bo</t>
        </is>
      </c>
      <c r="C346" t="inlineStr">
        <is>
          <t>geraldchristian.pineda@concentrix.com</t>
        </is>
      </c>
      <c r="D346" t="inlineStr">
        <is>
          <t>Medel, Lorelei Gabriel</t>
        </is>
      </c>
      <c r="E346" t="inlineStr">
        <is>
          <t>lorelei.gabriel@concentrix.com</t>
        </is>
      </c>
      <c r="F346" t="inlineStr">
        <is>
          <t>Medel, Lorelei Gabriel</t>
        </is>
      </c>
      <c r="G346" t="inlineStr">
        <is>
          <t>lorelei.gabriel@concentrix.com</t>
        </is>
      </c>
      <c r="H346" t="inlineStr">
        <is>
          <t>-</t>
        </is>
      </c>
      <c r="I346" t="inlineStr"/>
      <c r="J346" t="inlineStr"/>
      <c r="K346" t="inlineStr">
        <is>
          <t>HP Mainstream</t>
        </is>
      </c>
    </row>
    <row r="347">
      <c r="A347" t="inlineStr">
        <is>
          <t>101945587</t>
        </is>
      </c>
      <c r="B347" t="inlineStr">
        <is>
          <t>Piquero, Jessah Macabodbod</t>
        </is>
      </c>
      <c r="C347" t="inlineStr">
        <is>
          <t>jessah.piquero@concentrix.com</t>
        </is>
      </c>
      <c r="D347" t="inlineStr">
        <is>
          <t>Lungcay, Robin Landayan</t>
        </is>
      </c>
      <c r="E347" t="inlineStr">
        <is>
          <t>robin.lungcay@concentrix.com</t>
        </is>
      </c>
      <c r="F347" t="inlineStr">
        <is>
          <t>Benedicto, Allen Kiel Lazarra</t>
        </is>
      </c>
      <c r="G347" t="inlineStr">
        <is>
          <t>allenkiel.benedicto@concentrix.com</t>
        </is>
      </c>
      <c r="H347" t="inlineStr">
        <is>
          <t>Ebuenga, Sheryll Avellaneda</t>
        </is>
      </c>
      <c r="I347" t="inlineStr">
        <is>
          <t>sheryll.ebuenga@concentrix.com</t>
        </is>
      </c>
      <c r="J347" t="inlineStr"/>
      <c r="K347" t="inlineStr">
        <is>
          <t>HP Mainstream</t>
        </is>
      </c>
    </row>
    <row r="348">
      <c r="A348" t="inlineStr">
        <is>
          <t>101538801</t>
        </is>
      </c>
      <c r="B348" t="inlineStr">
        <is>
          <t>Plopenio, Romelyn Cordis</t>
        </is>
      </c>
      <c r="C348" t="inlineStr">
        <is>
          <t>romelyn.plopenio@concentrix.com</t>
        </is>
      </c>
      <c r="D348" t="inlineStr">
        <is>
          <t>Adrales, Allen Rick Aguilar</t>
        </is>
      </c>
      <c r="E348" t="inlineStr">
        <is>
          <t>allenrick.adrales@concentrix.com</t>
        </is>
      </c>
      <c r="F348" t="inlineStr">
        <is>
          <t>Ramos, Ma Concepcion Sanchez</t>
        </is>
      </c>
      <c r="G348" t="inlineStr">
        <is>
          <t>maconcepcion.ramos@concentrix.com</t>
        </is>
      </c>
      <c r="H348" t="inlineStr">
        <is>
          <t>Ebuenga, Sheryll Avellaneda</t>
        </is>
      </c>
      <c r="I348" t="inlineStr">
        <is>
          <t>sheryll.ebuenga@concentrix.com</t>
        </is>
      </c>
      <c r="J348" t="inlineStr"/>
      <c r="K348" t="inlineStr">
        <is>
          <t>HP Mainstream</t>
        </is>
      </c>
    </row>
    <row r="349">
      <c r="A349" t="inlineStr">
        <is>
          <t>131028</t>
        </is>
      </c>
      <c r="B349" t="inlineStr">
        <is>
          <t>Poon, Aris Sobrevilla</t>
        </is>
      </c>
      <c r="C349" t="inlineStr">
        <is>
          <t>aris.poon@concentrix.com</t>
        </is>
      </c>
      <c r="D349" t="inlineStr">
        <is>
          <t>Ramos, Ma Concepcion Sanchez</t>
        </is>
      </c>
      <c r="E349" t="inlineStr">
        <is>
          <t>maconcepcion.ramos@concentrix.com</t>
        </is>
      </c>
      <c r="F349" t="inlineStr">
        <is>
          <t>Ramos, Ma Concepcion Sanchez</t>
        </is>
      </c>
      <c r="G349" t="inlineStr">
        <is>
          <t>maconcepcion.ramos@concentrix.com</t>
        </is>
      </c>
      <c r="H349" t="inlineStr">
        <is>
          <t>Ebuenga, Sheryll Avellaneda</t>
        </is>
      </c>
      <c r="I349" t="inlineStr">
        <is>
          <t>sheryll.ebuenga@concentrix.com</t>
        </is>
      </c>
      <c r="J349" t="inlineStr"/>
      <c r="K349" t="inlineStr">
        <is>
          <t>HP Mainstream</t>
        </is>
      </c>
    </row>
    <row r="350">
      <c r="A350" t="inlineStr">
        <is>
          <t>102102126</t>
        </is>
      </c>
      <c r="B350" t="inlineStr">
        <is>
          <t>Porcalla, John Alfred Tabucol</t>
        </is>
      </c>
      <c r="C350" t="inlineStr">
        <is>
          <t>johnalfred.porcalla@concentrix.com</t>
        </is>
      </c>
      <c r="D350" t="inlineStr">
        <is>
          <t>Ugalino, Jonadel Pineda</t>
        </is>
      </c>
      <c r="E350" t="inlineStr">
        <is>
          <t>jonadel.ugalino@concentrix.com</t>
        </is>
      </c>
      <c r="F350" t="inlineStr">
        <is>
          <t>Benedicto, Allen Kiel Lazarra</t>
        </is>
      </c>
      <c r="G350" t="inlineStr">
        <is>
          <t>allenkiel.benedicto@concentrix.com</t>
        </is>
      </c>
      <c r="H350" t="inlineStr">
        <is>
          <t>Ebuenga, Sheryll Avellaneda</t>
        </is>
      </c>
      <c r="I350" t="inlineStr">
        <is>
          <t>sheryll.ebuenga@concentrix.com</t>
        </is>
      </c>
      <c r="J350" t="inlineStr"/>
      <c r="K350" t="inlineStr">
        <is>
          <t>HP Mainstream</t>
        </is>
      </c>
    </row>
    <row r="351">
      <c r="A351" t="inlineStr">
        <is>
          <t>100677921</t>
        </is>
      </c>
      <c r="B351" t="inlineStr">
        <is>
          <t>Presado, Darlene Lozano</t>
        </is>
      </c>
      <c r="C351" t="inlineStr">
        <is>
          <t>darlene.presado@concentrix.com</t>
        </is>
      </c>
      <c r="D351" t="inlineStr">
        <is>
          <t>Chan, Caroline Cruce</t>
        </is>
      </c>
      <c r="E351" t="inlineStr">
        <is>
          <t>caroline.chan@concentrix.com</t>
        </is>
      </c>
      <c r="F351" t="inlineStr">
        <is>
          <t>Chan, Caroline Cruce</t>
        </is>
      </c>
      <c r="G351" t="inlineStr">
        <is>
          <t>caroline.chan@concentrix.com</t>
        </is>
      </c>
      <c r="H351" t="inlineStr">
        <is>
          <t>-</t>
        </is>
      </c>
      <c r="I351" t="inlineStr"/>
      <c r="J351" t="inlineStr"/>
      <c r="K351" t="inlineStr">
        <is>
          <t>HP Mainstream</t>
        </is>
      </c>
    </row>
    <row r="352">
      <c r="A352" t="inlineStr">
        <is>
          <t>102242570</t>
        </is>
      </c>
      <c r="B352" t="inlineStr">
        <is>
          <t>Principe, Aubrey Aquino</t>
        </is>
      </c>
      <c r="C352" t="inlineStr">
        <is>
          <t>aubrey.principe@concentrix.com</t>
        </is>
      </c>
      <c r="D352" t="inlineStr">
        <is>
          <t>Belandres, Nica Marie Ballola</t>
        </is>
      </c>
      <c r="E352" t="inlineStr">
        <is>
          <t>nicamarie.belandres@concentrix.com</t>
        </is>
      </c>
      <c r="F352" t="inlineStr">
        <is>
          <t>Benedicto, Allen Kiel Lazarra</t>
        </is>
      </c>
      <c r="G352" t="inlineStr">
        <is>
          <t>allenkiel.benedicto@concentrix.com</t>
        </is>
      </c>
      <c r="H352" t="inlineStr">
        <is>
          <t>Ebuenga, Sheryll Avellaneda</t>
        </is>
      </c>
      <c r="I352" t="inlineStr">
        <is>
          <t>sheryll.ebuenga@concentrix.com</t>
        </is>
      </c>
      <c r="J352" t="inlineStr"/>
      <c r="K352" t="inlineStr">
        <is>
          <t>HP Mainstream</t>
        </is>
      </c>
    </row>
    <row r="353">
      <c r="A353" t="inlineStr">
        <is>
          <t>102866749</t>
        </is>
      </c>
      <c r="B353" t="inlineStr">
        <is>
          <t>Puerta, Jeffrey Tenorio</t>
        </is>
      </c>
      <c r="C353" t="inlineStr">
        <is>
          <t>jeffrey.puerta@concentrix.com</t>
        </is>
      </c>
      <c r="D353" t="inlineStr">
        <is>
          <t>Poon, Aris Sobrevilla</t>
        </is>
      </c>
      <c r="E353" t="inlineStr">
        <is>
          <t>aris.poon@concentrix.com</t>
        </is>
      </c>
      <c r="F353" t="inlineStr">
        <is>
          <t>Ramos, Ma Concepcion Sanchez</t>
        </is>
      </c>
      <c r="G353" t="inlineStr">
        <is>
          <t>maconcepcion.ramos@concentrix.com</t>
        </is>
      </c>
      <c r="H353" t="inlineStr">
        <is>
          <t>Ebuenga, Sheryll Avellaneda</t>
        </is>
      </c>
      <c r="I353" t="inlineStr">
        <is>
          <t>sheryll.ebuenga@concentrix.com</t>
        </is>
      </c>
      <c r="J353" t="inlineStr"/>
      <c r="K353" t="inlineStr">
        <is>
          <t>HP Mainstream</t>
        </is>
      </c>
    </row>
    <row r="354">
      <c r="A354" t="inlineStr">
        <is>
          <t>100820648</t>
        </is>
      </c>
      <c r="B354" t="inlineStr">
        <is>
          <t>Puno, Jerminia Dela Cruz</t>
        </is>
      </c>
      <c r="C354" t="inlineStr">
        <is>
          <t>jerminia.puno@concentrix.com</t>
        </is>
      </c>
      <c r="D354" t="inlineStr">
        <is>
          <t>Panti, Alger Arellano</t>
        </is>
      </c>
      <c r="E354" t="inlineStr">
        <is>
          <t>alger.panti@concentrix.com</t>
        </is>
      </c>
      <c r="F354" t="inlineStr">
        <is>
          <t>Panti, Alger Arellano</t>
        </is>
      </c>
      <c r="G354" t="inlineStr">
        <is>
          <t>alger.panti@concentrix.com</t>
        </is>
      </c>
      <c r="H354" t="inlineStr">
        <is>
          <t>-</t>
        </is>
      </c>
      <c r="I354" t="inlineStr"/>
      <c r="J354" t="inlineStr"/>
      <c r="K354" t="inlineStr">
        <is>
          <t>HP Mainstream</t>
        </is>
      </c>
    </row>
    <row r="355">
      <c r="A355" t="inlineStr">
        <is>
          <t>1054828</t>
        </is>
      </c>
      <c r="B355" t="inlineStr">
        <is>
          <t>Quiachon, Mhojarie Tano</t>
        </is>
      </c>
      <c r="C355" t="inlineStr">
        <is>
          <t>mhojarie.quiachon@concentrix.com</t>
        </is>
      </c>
      <c r="D355" t="inlineStr">
        <is>
          <t>Adrales, Allen Rick Aguilar</t>
        </is>
      </c>
      <c r="E355" t="inlineStr">
        <is>
          <t>allenrick.adrales@concentrix.com</t>
        </is>
      </c>
      <c r="F355" t="inlineStr">
        <is>
          <t>Ramos, Ma Concepcion Sanchez</t>
        </is>
      </c>
      <c r="G355" t="inlineStr">
        <is>
          <t>maconcepcion.ramos@concentrix.com</t>
        </is>
      </c>
      <c r="H355" t="inlineStr">
        <is>
          <t>Ebuenga, Sheryll Avellaneda</t>
        </is>
      </c>
      <c r="I355" t="inlineStr">
        <is>
          <t>sheryll.ebuenga@concentrix.com</t>
        </is>
      </c>
      <c r="J355" t="inlineStr"/>
      <c r="K355" t="inlineStr">
        <is>
          <t>HP Mainstream</t>
        </is>
      </c>
    </row>
    <row r="356">
      <c r="A356" t="inlineStr">
        <is>
          <t>1023557</t>
        </is>
      </c>
      <c r="B356" t="inlineStr">
        <is>
          <t>Quino, Mark Genesis Bautista</t>
        </is>
      </c>
      <c r="C356" t="inlineStr">
        <is>
          <t>markgenesis.quino@concentrix.com</t>
        </is>
      </c>
      <c r="D356" t="inlineStr">
        <is>
          <t>Ferrer, Jasper Kenneth Labor</t>
        </is>
      </c>
      <c r="E356" t="inlineStr">
        <is>
          <t>jasperkenneth.ferrer@concentrix.com</t>
        </is>
      </c>
      <c r="F356" t="inlineStr">
        <is>
          <t>Nito, Reynaldo Tribol</t>
        </is>
      </c>
      <c r="G356" t="inlineStr">
        <is>
          <t>reynaldo.nito@concentrix.com</t>
        </is>
      </c>
      <c r="H356" t="inlineStr">
        <is>
          <t>Ebuenga, Sheryll Avellaneda</t>
        </is>
      </c>
      <c r="I356" t="inlineStr">
        <is>
          <t>sheryll.ebuenga@concentrix.com</t>
        </is>
      </c>
      <c r="J356" t="inlineStr"/>
      <c r="K356" t="inlineStr">
        <is>
          <t>HP Mainstream</t>
        </is>
      </c>
    </row>
    <row r="357">
      <c r="A357" t="inlineStr">
        <is>
          <t>102965456</t>
        </is>
      </c>
      <c r="B357" t="inlineStr">
        <is>
          <t>Quintana, Charlene Zona</t>
        </is>
      </c>
      <c r="C357" t="inlineStr">
        <is>
          <t>charlene.quintana@concentrix.com</t>
        </is>
      </c>
      <c r="D357" t="inlineStr">
        <is>
          <t>Poon, Aris Sobrevilla</t>
        </is>
      </c>
      <c r="E357" t="inlineStr">
        <is>
          <t>aris.poon@concentrix.com</t>
        </is>
      </c>
      <c r="F357" t="inlineStr">
        <is>
          <t>Ramos, Ma Concepcion Sanchez</t>
        </is>
      </c>
      <c r="G357" t="inlineStr">
        <is>
          <t>maconcepcion.ramos@concentrix.com</t>
        </is>
      </c>
      <c r="H357" t="inlineStr">
        <is>
          <t>Ebuenga, Sheryll Avellaneda</t>
        </is>
      </c>
      <c r="I357" t="inlineStr">
        <is>
          <t>sheryll.ebuenga@concentrix.com</t>
        </is>
      </c>
      <c r="J357" t="inlineStr"/>
      <c r="K357" t="inlineStr">
        <is>
          <t>HP Mainstream</t>
        </is>
      </c>
    </row>
    <row r="358">
      <c r="A358" t="inlineStr">
        <is>
          <t>101349748</t>
        </is>
      </c>
      <c r="B358" t="inlineStr">
        <is>
          <t>Quinto, Bernadeth Mendoza</t>
        </is>
      </c>
      <c r="C358" t="inlineStr">
        <is>
          <t>bernadeth.quinto@concentrix.com</t>
        </is>
      </c>
      <c r="D358" t="inlineStr">
        <is>
          <t>Benedicto, Allen Kiel Lazarra</t>
        </is>
      </c>
      <c r="E358" t="inlineStr">
        <is>
          <t>allenkiel.benedicto@concentrix.com</t>
        </is>
      </c>
      <c r="F358" t="inlineStr">
        <is>
          <t>Benedicto, Allen Kiel Lazarra</t>
        </is>
      </c>
      <c r="G358" t="inlineStr">
        <is>
          <t>allenkiel.benedicto@concentrix.com</t>
        </is>
      </c>
      <c r="H358" t="inlineStr">
        <is>
          <t>Ebuenga, Sheryll Avellaneda</t>
        </is>
      </c>
      <c r="I358" t="inlineStr">
        <is>
          <t>sheryll.ebuenga@concentrix.com</t>
        </is>
      </c>
      <c r="J358" t="inlineStr"/>
      <c r="K358" t="inlineStr">
        <is>
          <t>HP Mainstream</t>
        </is>
      </c>
    </row>
    <row r="359">
      <c r="A359" t="inlineStr">
        <is>
          <t>102001644</t>
        </is>
      </c>
      <c r="B359" t="inlineStr">
        <is>
          <t>Rabida, Mary Rose Roa</t>
        </is>
      </c>
      <c r="C359" t="inlineStr">
        <is>
          <t>maryrose.rabida@concentrix.com</t>
        </is>
      </c>
      <c r="D359" t="inlineStr">
        <is>
          <t>Ong, Lesley Ann Bayotas</t>
        </is>
      </c>
      <c r="E359" t="inlineStr">
        <is>
          <t>lesleyann.ong@concentrix.com</t>
        </is>
      </c>
      <c r="F359" t="inlineStr">
        <is>
          <t>Ramos, Ma Concepcion Sanchez</t>
        </is>
      </c>
      <c r="G359" t="inlineStr">
        <is>
          <t>maconcepcion.ramos@concentrix.com</t>
        </is>
      </c>
      <c r="H359" t="inlineStr">
        <is>
          <t>Ebuenga, Sheryll Avellaneda</t>
        </is>
      </c>
      <c r="I359" t="inlineStr">
        <is>
          <t>sheryll.ebuenga@concentrix.com</t>
        </is>
      </c>
      <c r="J359" t="inlineStr"/>
      <c r="K359" t="inlineStr">
        <is>
          <t>HP Mainstream</t>
        </is>
      </c>
    </row>
    <row r="360">
      <c r="A360" t="inlineStr">
        <is>
          <t>254950</t>
        </is>
      </c>
      <c r="B360" t="inlineStr">
        <is>
          <t>Racha, Grace Eunice Divinagracia</t>
        </is>
      </c>
      <c r="C360" t="inlineStr">
        <is>
          <t>graceeunice.racha@concentrix.com</t>
        </is>
      </c>
      <c r="D360" t="inlineStr">
        <is>
          <t>Ramos, Ma Concepcion Sanchez</t>
        </is>
      </c>
      <c r="E360" t="inlineStr">
        <is>
          <t>maconcepcion.ramos@concentrix.com</t>
        </is>
      </c>
      <c r="F360" t="inlineStr">
        <is>
          <t>Ramos, Ma Concepcion Sanchez</t>
        </is>
      </c>
      <c r="G360" t="inlineStr">
        <is>
          <t>maconcepcion.ramos@concentrix.com</t>
        </is>
      </c>
      <c r="H360" t="inlineStr">
        <is>
          <t>Ebuenga, Sheryll Avellaneda</t>
        </is>
      </c>
      <c r="I360" t="inlineStr">
        <is>
          <t>sheryll.ebuenga@concentrix.com</t>
        </is>
      </c>
      <c r="J360" t="inlineStr"/>
      <c r="K360" t="inlineStr">
        <is>
          <t>HP Mainstream</t>
        </is>
      </c>
    </row>
    <row r="361">
      <c r="A361" t="inlineStr">
        <is>
          <t>101387318</t>
        </is>
      </c>
      <c r="B361" t="inlineStr">
        <is>
          <t>Ramos, Edgar Elesio Clementes</t>
        </is>
      </c>
      <c r="C361" t="inlineStr">
        <is>
          <t>edgarelesio.ramos@concentrix.com</t>
        </is>
      </c>
      <c r="D361" t="inlineStr">
        <is>
          <t>Vedia, Jerson Reyes</t>
        </is>
      </c>
      <c r="E361" t="inlineStr">
        <is>
          <t>jerson.vedia@concentrix.com</t>
        </is>
      </c>
      <c r="F361" t="inlineStr">
        <is>
          <t>Ramos, Ma Concepcion Sanchez</t>
        </is>
      </c>
      <c r="G361" t="inlineStr">
        <is>
          <t>maconcepcion.ramos@concentrix.com</t>
        </is>
      </c>
      <c r="H361" t="inlineStr">
        <is>
          <t>Ebuenga, Sheryll Avellaneda</t>
        </is>
      </c>
      <c r="I361" t="inlineStr">
        <is>
          <t>sheryll.ebuenga@concentrix.com</t>
        </is>
      </c>
      <c r="J361" t="inlineStr"/>
      <c r="K361" t="inlineStr">
        <is>
          <t>HP Mainstream</t>
        </is>
      </c>
    </row>
    <row r="362">
      <c r="A362" t="inlineStr">
        <is>
          <t>152894</t>
        </is>
      </c>
      <c r="B362" t="inlineStr">
        <is>
          <t>Ramos, Graceli Calayo</t>
        </is>
      </c>
      <c r="C362" t="inlineStr">
        <is>
          <t>graceli.ramos@concentrix.com</t>
        </is>
      </c>
      <c r="D362" t="inlineStr">
        <is>
          <t>Aluning, Alain-Angelo Cangco</t>
        </is>
      </c>
      <c r="E362" t="inlineStr">
        <is>
          <t>alain-angelo.aluning@concentrix.com</t>
        </is>
      </c>
      <c r="F362" t="inlineStr">
        <is>
          <t>Arcena, Alberto Chua</t>
        </is>
      </c>
      <c r="G362" t="inlineStr">
        <is>
          <t>alberto.arcenajr@concentrix.com</t>
        </is>
      </c>
      <c r="H362" t="inlineStr">
        <is>
          <t>Ebuenga, Sheryll Avellaneda</t>
        </is>
      </c>
      <c r="I362" t="inlineStr">
        <is>
          <t>sheryll.ebuenga@concentrix.com</t>
        </is>
      </c>
      <c r="J362" t="inlineStr"/>
      <c r="K362" t="inlineStr">
        <is>
          <t>HP Mainstream</t>
        </is>
      </c>
    </row>
    <row r="363">
      <c r="A363" t="inlineStr">
        <is>
          <t>103427236</t>
        </is>
      </c>
      <c r="B363" t="inlineStr">
        <is>
          <t>Ramos, Jay Alison Bañega</t>
        </is>
      </c>
      <c r="C363" t="inlineStr">
        <is>
          <t>jayalison.ramos@concentrix.com</t>
        </is>
      </c>
      <c r="D363" t="inlineStr">
        <is>
          <t>Andrecoso, April Melody Sunga</t>
        </is>
      </c>
      <c r="E363" t="inlineStr">
        <is>
          <t>aprilmelody.andrecoso@concentrix.com</t>
        </is>
      </c>
      <c r="F363" t="inlineStr">
        <is>
          <t>Benedicto, Allen Kiel Lazarra</t>
        </is>
      </c>
      <c r="G363" t="inlineStr">
        <is>
          <t>allenkiel.benedicto@concentrix.com</t>
        </is>
      </c>
      <c r="H363" t="inlineStr">
        <is>
          <t>Ebuenga, Sheryll Avellaneda</t>
        </is>
      </c>
      <c r="I363" t="inlineStr">
        <is>
          <t>sheryll.ebuenga@concentrix.com</t>
        </is>
      </c>
      <c r="J363" t="inlineStr"/>
      <c r="K363" t="inlineStr">
        <is>
          <t>HP Mainstream</t>
        </is>
      </c>
    </row>
    <row r="364">
      <c r="A364" t="inlineStr">
        <is>
          <t>204692</t>
        </is>
      </c>
      <c r="B364" t="inlineStr">
        <is>
          <t>Ramos, Ma Concepcion Sanchez</t>
        </is>
      </c>
      <c r="C364" t="inlineStr">
        <is>
          <t>maconcepcion.ramos@concentrix.com</t>
        </is>
      </c>
      <c r="D364" t="inlineStr">
        <is>
          <t>Sevilla, Audrey Marie Galindo</t>
        </is>
      </c>
      <c r="E364" t="inlineStr">
        <is>
          <t>audrey.galindosevilla@concentrix.com</t>
        </is>
      </c>
      <c r="F364" t="inlineStr">
        <is>
          <t>Sevilla, Audrey Marie Galindo</t>
        </is>
      </c>
      <c r="G364" t="inlineStr">
        <is>
          <t>audrey.galindosevilla@concentrix.com</t>
        </is>
      </c>
      <c r="H364" t="inlineStr">
        <is>
          <t>-</t>
        </is>
      </c>
      <c r="I364" t="inlineStr"/>
      <c r="J364" t="inlineStr"/>
      <c r="K364" t="inlineStr">
        <is>
          <t>HP Mainstream</t>
        </is>
      </c>
    </row>
    <row r="365">
      <c r="A365" t="inlineStr">
        <is>
          <t>103418831</t>
        </is>
      </c>
      <c r="B365" t="inlineStr">
        <is>
          <t>Raygon, Divine Grace Tobalado</t>
        </is>
      </c>
      <c r="C365" t="inlineStr">
        <is>
          <t>divinegrace.raygon@concentrix.com</t>
        </is>
      </c>
      <c r="D365" t="inlineStr">
        <is>
          <t>Salafranca, Ryan Alejo</t>
        </is>
      </c>
      <c r="E365" t="inlineStr">
        <is>
          <t>ryan.salafranca@concentrix.com</t>
        </is>
      </c>
      <c r="F365" t="inlineStr">
        <is>
          <t>Arcena, Alberto Chua</t>
        </is>
      </c>
      <c r="G365" t="inlineStr">
        <is>
          <t>alberto.arcenajr@concentrix.com</t>
        </is>
      </c>
      <c r="H365" t="inlineStr">
        <is>
          <t>Ebuenga, Sheryll Avellaneda</t>
        </is>
      </c>
      <c r="I365" t="inlineStr">
        <is>
          <t>sheryll.ebuenga@concentrix.com</t>
        </is>
      </c>
      <c r="J365" t="inlineStr"/>
      <c r="K365" t="inlineStr">
        <is>
          <t>HP Mainstream</t>
        </is>
      </c>
    </row>
    <row r="366">
      <c r="A366" t="inlineStr">
        <is>
          <t>101951871</t>
        </is>
      </c>
      <c r="B366" t="inlineStr">
        <is>
          <t>Regacho, Hudson -</t>
        </is>
      </c>
      <c r="C366" t="inlineStr">
        <is>
          <t>hudson.regacho@concentrix.com</t>
        </is>
      </c>
      <c r="D366" t="inlineStr">
        <is>
          <t>Vedia, Jerson Reyes</t>
        </is>
      </c>
      <c r="E366" t="inlineStr">
        <is>
          <t>jerson.vedia@concentrix.com</t>
        </is>
      </c>
      <c r="F366" t="inlineStr">
        <is>
          <t>Ramos, Ma Concepcion Sanchez</t>
        </is>
      </c>
      <c r="G366" t="inlineStr">
        <is>
          <t>maconcepcion.ramos@concentrix.com</t>
        </is>
      </c>
      <c r="H366" t="inlineStr">
        <is>
          <t>Ebuenga, Sheryll Avellaneda</t>
        </is>
      </c>
      <c r="I366" t="inlineStr">
        <is>
          <t>sheryll.ebuenga@concentrix.com</t>
        </is>
      </c>
      <c r="J366" t="inlineStr"/>
      <c r="K366" t="inlineStr">
        <is>
          <t>HP Mainstream</t>
        </is>
      </c>
    </row>
    <row r="367">
      <c r="A367" t="inlineStr">
        <is>
          <t>101015635</t>
        </is>
      </c>
      <c r="B367" t="inlineStr">
        <is>
          <t>Reyes, Ernesto Jr Pepe</t>
        </is>
      </c>
      <c r="C367" t="inlineStr">
        <is>
          <t>ernestojr.reyes@concentrix.com</t>
        </is>
      </c>
      <c r="D367" t="inlineStr">
        <is>
          <t>Luñiza, Jona Claveria</t>
        </is>
      </c>
      <c r="E367" t="inlineStr">
        <is>
          <t>jona.luniza@concentrix.com</t>
        </is>
      </c>
      <c r="F367" t="inlineStr">
        <is>
          <t>Arcena, Alberto Chua</t>
        </is>
      </c>
      <c r="G367" t="inlineStr">
        <is>
          <t>alberto.arcenajr@concentrix.com</t>
        </is>
      </c>
      <c r="H367" t="inlineStr">
        <is>
          <t>Ebuenga, Sheryll Avellaneda</t>
        </is>
      </c>
      <c r="I367" t="inlineStr">
        <is>
          <t>sheryll.ebuenga@concentrix.com</t>
        </is>
      </c>
      <c r="J367" t="inlineStr"/>
      <c r="K367" t="inlineStr">
        <is>
          <t>HP Mainstream</t>
        </is>
      </c>
    </row>
    <row r="368">
      <c r="A368" t="inlineStr">
        <is>
          <t>101739414</t>
        </is>
      </c>
      <c r="B368" t="inlineStr">
        <is>
          <t>Reyes, Michael Angelo Silvestre</t>
        </is>
      </c>
      <c r="C368" t="inlineStr">
        <is>
          <t>michaelangelo.reyes2@concentrix.com</t>
        </is>
      </c>
      <c r="D368" t="inlineStr">
        <is>
          <t>Aluning, Alain-Angelo Cangco</t>
        </is>
      </c>
      <c r="E368" t="inlineStr">
        <is>
          <t>alain-angelo.aluning@concentrix.com</t>
        </is>
      </c>
      <c r="F368" t="inlineStr">
        <is>
          <t>Arcena, Alberto Chua</t>
        </is>
      </c>
      <c r="G368" t="inlineStr">
        <is>
          <t>alberto.arcenajr@concentrix.com</t>
        </is>
      </c>
      <c r="H368" t="inlineStr">
        <is>
          <t>Ebuenga, Sheryll Avellaneda</t>
        </is>
      </c>
      <c r="I368" t="inlineStr">
        <is>
          <t>sheryll.ebuenga@concentrix.com</t>
        </is>
      </c>
      <c r="J368" t="inlineStr"/>
      <c r="K368" t="inlineStr">
        <is>
          <t>HP Mainstream</t>
        </is>
      </c>
    </row>
    <row r="369">
      <c r="A369" t="inlineStr">
        <is>
          <t>103577189</t>
        </is>
      </c>
      <c r="B369" t="inlineStr">
        <is>
          <t>Reyes, Rhalf Gabriel Mamburao</t>
        </is>
      </c>
      <c r="C369" t="inlineStr">
        <is>
          <t>rhalfgabriel.reyes@concentrix.com</t>
        </is>
      </c>
      <c r="D369" t="inlineStr">
        <is>
          <t>Salafranca, Ryan Alejo</t>
        </is>
      </c>
      <c r="E369" t="inlineStr">
        <is>
          <t>ryan.salafranca@concentrix.com</t>
        </is>
      </c>
      <c r="F369" t="inlineStr">
        <is>
          <t>Arcena, Alberto Chua</t>
        </is>
      </c>
      <c r="G369" t="inlineStr">
        <is>
          <t>alberto.arcenajr@concentrix.com</t>
        </is>
      </c>
      <c r="H369" t="inlineStr">
        <is>
          <t>Ebuenga, Sheryll Avellaneda</t>
        </is>
      </c>
      <c r="I369" t="inlineStr">
        <is>
          <t>sheryll.ebuenga@concentrix.com</t>
        </is>
      </c>
      <c r="J369" t="inlineStr"/>
      <c r="K369" t="inlineStr">
        <is>
          <t>HP Mainstream</t>
        </is>
      </c>
    </row>
    <row r="370">
      <c r="A370" t="inlineStr">
        <is>
          <t>101520767</t>
        </is>
      </c>
      <c r="B370" t="inlineStr">
        <is>
          <t>Rivera, John Aldrin Lopez</t>
        </is>
      </c>
      <c r="C370" t="inlineStr">
        <is>
          <t>johnaldrin.rivera@concentrix.com</t>
        </is>
      </c>
      <c r="D370" t="inlineStr">
        <is>
          <t>Racha, Grace Eunice Divinagracia</t>
        </is>
      </c>
      <c r="E370" t="inlineStr">
        <is>
          <t>graceeunice.racha@concentrix.com</t>
        </is>
      </c>
      <c r="F370" t="inlineStr">
        <is>
          <t>Ramos, Ma Concepcion Sanchez</t>
        </is>
      </c>
      <c r="G370" t="inlineStr">
        <is>
          <t>maconcepcion.ramos@concentrix.com</t>
        </is>
      </c>
      <c r="H370" t="inlineStr">
        <is>
          <t>Ebuenga, Sheryll Avellaneda</t>
        </is>
      </c>
      <c r="I370" t="inlineStr">
        <is>
          <t>sheryll.ebuenga@concentrix.com</t>
        </is>
      </c>
      <c r="J370" t="inlineStr"/>
      <c r="K370" t="inlineStr">
        <is>
          <t>HP Mainstream</t>
        </is>
      </c>
    </row>
    <row r="371">
      <c r="A371" t="inlineStr">
        <is>
          <t>101110577</t>
        </is>
      </c>
      <c r="B371" t="inlineStr">
        <is>
          <t>Rivera, Josephine Rosales</t>
        </is>
      </c>
      <c r="C371" t="inlineStr">
        <is>
          <t>josephine.rivera@concentrix.com</t>
        </is>
      </c>
      <c r="D371" t="inlineStr">
        <is>
          <t>Sernal, Rachelle Ibiernas</t>
        </is>
      </c>
      <c r="E371" t="inlineStr">
        <is>
          <t>rachelle.sernal@concentrix.com</t>
        </is>
      </c>
      <c r="F371" t="inlineStr">
        <is>
          <t>Benedicto, Allen Kiel Lazarra</t>
        </is>
      </c>
      <c r="G371" t="inlineStr">
        <is>
          <t>allenkiel.benedicto@concentrix.com</t>
        </is>
      </c>
      <c r="H371" t="inlineStr">
        <is>
          <t>Ebuenga, Sheryll Avellaneda</t>
        </is>
      </c>
      <c r="I371" t="inlineStr">
        <is>
          <t>sheryll.ebuenga@concentrix.com</t>
        </is>
      </c>
      <c r="J371" t="inlineStr"/>
      <c r="K371" t="inlineStr">
        <is>
          <t>HP Mainstream</t>
        </is>
      </c>
    </row>
    <row r="372">
      <c r="A372" t="inlineStr">
        <is>
          <t>103118680</t>
        </is>
      </c>
      <c r="B372" t="inlineStr">
        <is>
          <t>Rivera, Marjorie Lipiten</t>
        </is>
      </c>
      <c r="C372" t="inlineStr">
        <is>
          <t>marjorie.rivera1@concentrix.com</t>
        </is>
      </c>
      <c r="D372" t="inlineStr">
        <is>
          <t>Ugalino, Jonadel Pineda</t>
        </is>
      </c>
      <c r="E372" t="inlineStr">
        <is>
          <t>jonadel.ugalino@concentrix.com</t>
        </is>
      </c>
      <c r="F372" t="inlineStr">
        <is>
          <t>Benedicto, Allen Kiel Lazarra</t>
        </is>
      </c>
      <c r="G372" t="inlineStr">
        <is>
          <t>allenkiel.benedicto@concentrix.com</t>
        </is>
      </c>
      <c r="H372" t="inlineStr">
        <is>
          <t>Ebuenga, Sheryll Avellaneda</t>
        </is>
      </c>
      <c r="I372" t="inlineStr">
        <is>
          <t>sheryll.ebuenga@concentrix.com</t>
        </is>
      </c>
      <c r="J372" t="inlineStr"/>
      <c r="K372" t="inlineStr">
        <is>
          <t>HP Mainstream</t>
        </is>
      </c>
    </row>
    <row r="373">
      <c r="A373" t="inlineStr">
        <is>
          <t>102108279</t>
        </is>
      </c>
      <c r="B373" t="inlineStr">
        <is>
          <t>Rivera, Michael John Araneta</t>
        </is>
      </c>
      <c r="C373" t="inlineStr">
        <is>
          <t>michaeljohn.rivera@concentrix.com</t>
        </is>
      </c>
      <c r="D373" t="inlineStr">
        <is>
          <t>Aluning, Alain-Angelo Cangco</t>
        </is>
      </c>
      <c r="E373" t="inlineStr">
        <is>
          <t>alain-angelo.aluning@concentrix.com</t>
        </is>
      </c>
      <c r="F373" t="inlineStr">
        <is>
          <t>Arcena, Alberto Chua</t>
        </is>
      </c>
      <c r="G373" t="inlineStr">
        <is>
          <t>alberto.arcenajr@concentrix.com</t>
        </is>
      </c>
      <c r="H373" t="inlineStr">
        <is>
          <t>Ebuenga, Sheryll Avellaneda</t>
        </is>
      </c>
      <c r="I373" t="inlineStr">
        <is>
          <t>sheryll.ebuenga@concentrix.com</t>
        </is>
      </c>
      <c r="J373" t="inlineStr"/>
      <c r="K373" t="inlineStr">
        <is>
          <t>HP Mainstream</t>
        </is>
      </c>
    </row>
    <row r="374">
      <c r="A374" t="inlineStr">
        <is>
          <t>101948594</t>
        </is>
      </c>
      <c r="B374" t="inlineStr">
        <is>
          <t>Rivera, Micoh Sorima</t>
        </is>
      </c>
      <c r="C374" t="inlineStr">
        <is>
          <t>micoh.rivera@concentrix.com</t>
        </is>
      </c>
      <c r="D374" t="inlineStr">
        <is>
          <t>Briones, Aries Ang</t>
        </is>
      </c>
      <c r="E374" t="inlineStr">
        <is>
          <t>aries.briones@concentrix.com</t>
        </is>
      </c>
      <c r="F374" t="inlineStr">
        <is>
          <t>Arcena, Alberto Chua</t>
        </is>
      </c>
      <c r="G374" t="inlineStr">
        <is>
          <t>alberto.arcenajr@concentrix.com</t>
        </is>
      </c>
      <c r="H374" t="inlineStr">
        <is>
          <t>Ebuenga, Sheryll Avellaneda</t>
        </is>
      </c>
      <c r="I374" t="inlineStr">
        <is>
          <t>sheryll.ebuenga@concentrix.com</t>
        </is>
      </c>
      <c r="J374" t="inlineStr"/>
      <c r="K374" t="inlineStr">
        <is>
          <t>HP Mainstream</t>
        </is>
      </c>
    </row>
    <row r="375">
      <c r="A375" t="inlineStr">
        <is>
          <t>102060989</t>
        </is>
      </c>
      <c r="B375" t="inlineStr">
        <is>
          <t>Rocillo, Marmi Poco</t>
        </is>
      </c>
      <c r="C375" t="inlineStr">
        <is>
          <t>marmi.rocillo@concentrix.com</t>
        </is>
      </c>
      <c r="D375" t="inlineStr">
        <is>
          <t>Sernal, Rachelle Ibiernas</t>
        </is>
      </c>
      <c r="E375" t="inlineStr">
        <is>
          <t>rachelle.sernal@concentrix.com</t>
        </is>
      </c>
      <c r="F375" t="inlineStr">
        <is>
          <t>Benedicto, Allen Kiel Lazarra</t>
        </is>
      </c>
      <c r="G375" t="inlineStr">
        <is>
          <t>allenkiel.benedicto@concentrix.com</t>
        </is>
      </c>
      <c r="H375" t="inlineStr">
        <is>
          <t>Ebuenga, Sheryll Avellaneda</t>
        </is>
      </c>
      <c r="I375" t="inlineStr">
        <is>
          <t>sheryll.ebuenga@concentrix.com</t>
        </is>
      </c>
      <c r="J375" t="inlineStr"/>
      <c r="K375" t="inlineStr">
        <is>
          <t>HP Mainstream</t>
        </is>
      </c>
    </row>
    <row r="376">
      <c r="A376" t="inlineStr">
        <is>
          <t>101368019</t>
        </is>
      </c>
      <c r="B376" t="inlineStr">
        <is>
          <t>Rodica, Jim Morante</t>
        </is>
      </c>
      <c r="C376" t="inlineStr">
        <is>
          <t>jim.rodica@concentrix.com</t>
        </is>
      </c>
      <c r="D376" t="inlineStr">
        <is>
          <t>Racha, Grace Eunice Divinagracia</t>
        </is>
      </c>
      <c r="E376" t="inlineStr">
        <is>
          <t>graceeunice.racha@concentrix.com</t>
        </is>
      </c>
      <c r="F376" t="inlineStr">
        <is>
          <t>Ramos, Ma Concepcion Sanchez</t>
        </is>
      </c>
      <c r="G376" t="inlineStr">
        <is>
          <t>maconcepcion.ramos@concentrix.com</t>
        </is>
      </c>
      <c r="H376" t="inlineStr">
        <is>
          <t>Ebuenga, Sheryll Avellaneda</t>
        </is>
      </c>
      <c r="I376" t="inlineStr">
        <is>
          <t>sheryll.ebuenga@concentrix.com</t>
        </is>
      </c>
      <c r="J376" t="inlineStr"/>
      <c r="K376" t="inlineStr">
        <is>
          <t>HP Mainstream</t>
        </is>
      </c>
    </row>
    <row r="377">
      <c r="A377" t="inlineStr">
        <is>
          <t>103453346</t>
        </is>
      </c>
      <c r="B377" t="inlineStr">
        <is>
          <t>Ronquillo, Jerome Pelicano</t>
        </is>
      </c>
      <c r="C377" t="inlineStr">
        <is>
          <t>jerome.ronquillo@concentrix.com</t>
        </is>
      </c>
      <c r="D377" t="inlineStr">
        <is>
          <t>Lungcay, Robin Landayan</t>
        </is>
      </c>
      <c r="E377" t="inlineStr">
        <is>
          <t>robin.lungcay@concentrix.com</t>
        </is>
      </c>
      <c r="F377" t="inlineStr">
        <is>
          <t>Benedicto, Allen Kiel Lazarra</t>
        </is>
      </c>
      <c r="G377" t="inlineStr">
        <is>
          <t>allenkiel.benedicto@concentrix.com</t>
        </is>
      </c>
      <c r="H377" t="inlineStr">
        <is>
          <t>Ebuenga, Sheryll Avellaneda</t>
        </is>
      </c>
      <c r="I377" t="inlineStr">
        <is>
          <t>sheryll.ebuenga@concentrix.com</t>
        </is>
      </c>
      <c r="J377" t="inlineStr"/>
      <c r="K377" t="inlineStr">
        <is>
          <t>HP Mainstream</t>
        </is>
      </c>
    </row>
    <row r="378">
      <c r="A378" t="inlineStr">
        <is>
          <t>103397550</t>
        </is>
      </c>
      <c r="B378" t="inlineStr">
        <is>
          <t>Rosales, Bianca Angela Badoria</t>
        </is>
      </c>
      <c r="C378" t="inlineStr">
        <is>
          <t>biancaangela.rosales@concentrix.com</t>
        </is>
      </c>
      <c r="D378" t="inlineStr">
        <is>
          <t>Andrecoso, April Melody Sunga</t>
        </is>
      </c>
      <c r="E378" t="inlineStr">
        <is>
          <t>aprilmelody.andrecoso@concentrix.com</t>
        </is>
      </c>
      <c r="F378" t="inlineStr">
        <is>
          <t>Benedicto, Allen Kiel Lazarra</t>
        </is>
      </c>
      <c r="G378" t="inlineStr">
        <is>
          <t>allenkiel.benedicto@concentrix.com</t>
        </is>
      </c>
      <c r="H378" t="inlineStr">
        <is>
          <t>Ebuenga, Sheryll Avellaneda</t>
        </is>
      </c>
      <c r="I378" t="inlineStr">
        <is>
          <t>sheryll.ebuenga@concentrix.com</t>
        </is>
      </c>
      <c r="J378" t="inlineStr"/>
      <c r="K378" t="inlineStr">
        <is>
          <t>HP Mainstream</t>
        </is>
      </c>
    </row>
    <row r="379">
      <c r="A379" t="inlineStr">
        <is>
          <t>101957745</t>
        </is>
      </c>
      <c r="B379" t="inlineStr">
        <is>
          <t>Rosales, Thea Christianne Pearl Na</t>
        </is>
      </c>
      <c r="C379" t="inlineStr">
        <is>
          <t>theachristiannepearl.rosales@concentrix.com</t>
        </is>
      </c>
      <c r="D379" t="inlineStr">
        <is>
          <t>Adrales, Allen Rick Aguilar</t>
        </is>
      </c>
      <c r="E379" t="inlineStr">
        <is>
          <t>allenrick.adrales@concentrix.com</t>
        </is>
      </c>
      <c r="F379" t="inlineStr">
        <is>
          <t>Ramos, Ma Concepcion Sanchez</t>
        </is>
      </c>
      <c r="G379" t="inlineStr">
        <is>
          <t>maconcepcion.ramos@concentrix.com</t>
        </is>
      </c>
      <c r="H379" t="inlineStr">
        <is>
          <t>Ebuenga, Sheryll Avellaneda</t>
        </is>
      </c>
      <c r="I379" t="inlineStr">
        <is>
          <t>sheryll.ebuenga@concentrix.com</t>
        </is>
      </c>
      <c r="J379" t="inlineStr"/>
      <c r="K379" t="inlineStr">
        <is>
          <t>HP Mainstream</t>
        </is>
      </c>
    </row>
    <row r="380">
      <c r="A380" t="inlineStr">
        <is>
          <t>102111157</t>
        </is>
      </c>
      <c r="B380" t="inlineStr">
        <is>
          <t>Rosas, Sandro Nmn</t>
        </is>
      </c>
      <c r="C380" t="inlineStr">
        <is>
          <t>sandro.rosas@concentrix.com</t>
        </is>
      </c>
      <c r="D380" t="inlineStr">
        <is>
          <t>Briones, Aries Ang</t>
        </is>
      </c>
      <c r="E380" t="inlineStr">
        <is>
          <t>aries.briones@concentrix.com</t>
        </is>
      </c>
      <c r="F380" t="inlineStr">
        <is>
          <t>Arcena, Alberto Chua</t>
        </is>
      </c>
      <c r="G380" t="inlineStr">
        <is>
          <t>alberto.arcenajr@concentrix.com</t>
        </is>
      </c>
      <c r="H380" t="inlineStr">
        <is>
          <t>Ebuenga, Sheryll Avellaneda</t>
        </is>
      </c>
      <c r="I380" t="inlineStr">
        <is>
          <t>sheryll.ebuenga@concentrix.com</t>
        </is>
      </c>
      <c r="J380" t="inlineStr"/>
      <c r="K380" t="inlineStr">
        <is>
          <t>HP Mainstream</t>
        </is>
      </c>
    </row>
    <row r="381">
      <c r="A381" t="inlineStr">
        <is>
          <t>101233565</t>
        </is>
      </c>
      <c r="B381" t="inlineStr">
        <is>
          <t>Rose, Mica Angelica Macabenta</t>
        </is>
      </c>
      <c r="C381" t="inlineStr">
        <is>
          <t>micaangelica.rose@concentrix.com</t>
        </is>
      </c>
      <c r="D381" t="inlineStr">
        <is>
          <t>Panti, Alger Arellano</t>
        </is>
      </c>
      <c r="E381" t="inlineStr">
        <is>
          <t>alger.panti@concentrix.com</t>
        </is>
      </c>
      <c r="F381" t="inlineStr">
        <is>
          <t>Panti, Alger Arellano</t>
        </is>
      </c>
      <c r="G381" t="inlineStr">
        <is>
          <t>alger.panti@concentrix.com</t>
        </is>
      </c>
      <c r="H381" t="inlineStr">
        <is>
          <t>-</t>
        </is>
      </c>
      <c r="I381" t="inlineStr"/>
      <c r="J381" t="inlineStr"/>
      <c r="K381" t="inlineStr">
        <is>
          <t>HP Mainstream</t>
        </is>
      </c>
    </row>
    <row r="382">
      <c r="A382" t="inlineStr">
        <is>
          <t>102109927</t>
        </is>
      </c>
      <c r="B382" t="inlineStr">
        <is>
          <t>Sabenorio, Karyl Joyce Acaba</t>
        </is>
      </c>
      <c r="C382" t="inlineStr">
        <is>
          <t>karyljoyce.sabenorio@concentrix.com</t>
        </is>
      </c>
      <c r="D382" t="inlineStr">
        <is>
          <t>Quinto, Bernadeth Mendoza</t>
        </is>
      </c>
      <c r="E382" t="inlineStr">
        <is>
          <t>bernadeth.quinto@concentrix.com</t>
        </is>
      </c>
      <c r="F382" t="inlineStr">
        <is>
          <t>Benedicto, Allen Kiel Lazarra</t>
        </is>
      </c>
      <c r="G382" t="inlineStr">
        <is>
          <t>allenkiel.benedicto@concentrix.com</t>
        </is>
      </c>
      <c r="H382" t="inlineStr">
        <is>
          <t>Ebuenga, Sheryll Avellaneda</t>
        </is>
      </c>
      <c r="I382" t="inlineStr">
        <is>
          <t>sheryll.ebuenga@concentrix.com</t>
        </is>
      </c>
      <c r="J382" t="inlineStr"/>
      <c r="K382" t="inlineStr">
        <is>
          <t>HP Mainstream</t>
        </is>
      </c>
    </row>
    <row r="383">
      <c r="A383" t="inlineStr">
        <is>
          <t>102055323</t>
        </is>
      </c>
      <c r="B383" t="inlineStr">
        <is>
          <t>Sagales, Novelyn Langawan</t>
        </is>
      </c>
      <c r="C383" t="inlineStr">
        <is>
          <t>novelyn.langawan@concentrix.com</t>
        </is>
      </c>
      <c r="D383" t="inlineStr">
        <is>
          <t>Adrales, Allen Rick Aguilar</t>
        </is>
      </c>
      <c r="E383" t="inlineStr">
        <is>
          <t>allenrick.adrales@concentrix.com</t>
        </is>
      </c>
      <c r="F383" t="inlineStr">
        <is>
          <t>Ramos, Ma Concepcion Sanchez</t>
        </is>
      </c>
      <c r="G383" t="inlineStr">
        <is>
          <t>maconcepcion.ramos@concentrix.com</t>
        </is>
      </c>
      <c r="H383" t="inlineStr">
        <is>
          <t>Ebuenga, Sheryll Avellaneda</t>
        </is>
      </c>
      <c r="I383" t="inlineStr">
        <is>
          <t>sheryll.ebuenga@concentrix.com</t>
        </is>
      </c>
      <c r="J383" t="inlineStr"/>
      <c r="K383" t="inlineStr">
        <is>
          <t>HP Mainstream</t>
        </is>
      </c>
    </row>
    <row r="384">
      <c r="A384" t="inlineStr">
        <is>
          <t>103387007</t>
        </is>
      </c>
      <c r="B384" t="inlineStr">
        <is>
          <t>Saguinsin, Sanhenrist Aguinaldo</t>
        </is>
      </c>
      <c r="C384" t="inlineStr">
        <is>
          <t>sanhenrist.saguinsin@concentrix.com</t>
        </is>
      </c>
      <c r="D384" t="inlineStr">
        <is>
          <t>Hije, Bernadeth Rosales</t>
        </is>
      </c>
      <c r="E384" t="inlineStr">
        <is>
          <t>bernadeth.hije@concentrix.com</t>
        </is>
      </c>
      <c r="F384" t="inlineStr">
        <is>
          <t>Benedicto, Allen Kiel Lazarra</t>
        </is>
      </c>
      <c r="G384" t="inlineStr">
        <is>
          <t>allenkiel.benedicto@concentrix.com</t>
        </is>
      </c>
      <c r="H384" t="inlineStr">
        <is>
          <t>Ebuenga, Sheryll Avellaneda</t>
        </is>
      </c>
      <c r="I384" t="inlineStr">
        <is>
          <t>sheryll.ebuenga@concentrix.com</t>
        </is>
      </c>
      <c r="J384" t="inlineStr"/>
      <c r="K384" t="inlineStr">
        <is>
          <t>HP Mainstream</t>
        </is>
      </c>
    </row>
    <row r="385">
      <c r="A385" t="inlineStr">
        <is>
          <t>281985</t>
        </is>
      </c>
      <c r="B385" t="inlineStr">
        <is>
          <t>Salafranca, Ryan Alejo</t>
        </is>
      </c>
      <c r="C385" t="inlineStr">
        <is>
          <t>ryan.salafranca@concentrix.com</t>
        </is>
      </c>
      <c r="D385" t="inlineStr">
        <is>
          <t>Arcena, Alberto Chua</t>
        </is>
      </c>
      <c r="E385" t="inlineStr">
        <is>
          <t>alberto.arcenajr@concentrix.com</t>
        </is>
      </c>
      <c r="F385" t="inlineStr">
        <is>
          <t>Arcena, Alberto Chua</t>
        </is>
      </c>
      <c r="G385" t="inlineStr">
        <is>
          <t>alberto.arcenajr@concentrix.com</t>
        </is>
      </c>
      <c r="H385" t="inlineStr">
        <is>
          <t>Ebuenga, Sheryll Avellaneda</t>
        </is>
      </c>
      <c r="I385" t="inlineStr">
        <is>
          <t>sheryll.ebuenga@concentrix.com</t>
        </is>
      </c>
      <c r="J385" t="inlineStr"/>
      <c r="K385" t="inlineStr">
        <is>
          <t>HP Mainstream</t>
        </is>
      </c>
    </row>
    <row r="386">
      <c r="A386" t="inlineStr">
        <is>
          <t>101364119</t>
        </is>
      </c>
      <c r="B386" t="inlineStr">
        <is>
          <t>Salomon, Jovanne Rey Posadas</t>
        </is>
      </c>
      <c r="C386" t="inlineStr">
        <is>
          <t>jovannerey.salomon@concentrix.com</t>
        </is>
      </c>
      <c r="D386" t="inlineStr">
        <is>
          <t>Lungcay, Robin Landayan</t>
        </is>
      </c>
      <c r="E386" t="inlineStr">
        <is>
          <t>robin.lungcay@concentrix.com</t>
        </is>
      </c>
      <c r="F386" t="inlineStr">
        <is>
          <t>Benedicto, Allen Kiel Lazarra</t>
        </is>
      </c>
      <c r="G386" t="inlineStr">
        <is>
          <t>allenkiel.benedicto@concentrix.com</t>
        </is>
      </c>
      <c r="H386" t="inlineStr">
        <is>
          <t>Ebuenga, Sheryll Avellaneda</t>
        </is>
      </c>
      <c r="I386" t="inlineStr">
        <is>
          <t>sheryll.ebuenga@concentrix.com</t>
        </is>
      </c>
      <c r="J386" t="inlineStr"/>
      <c r="K386" t="inlineStr">
        <is>
          <t>HP Mainstream</t>
        </is>
      </c>
    </row>
    <row r="387">
      <c r="A387" t="inlineStr">
        <is>
          <t>102127081</t>
        </is>
      </c>
      <c r="B387" t="inlineStr">
        <is>
          <t>Salvador, Francis Tutanes</t>
        </is>
      </c>
      <c r="C387" t="inlineStr">
        <is>
          <t>francis.salvador@concentrix.com</t>
        </is>
      </c>
      <c r="D387" t="inlineStr">
        <is>
          <t>Belandres, Nica Marie Ballola</t>
        </is>
      </c>
      <c r="E387" t="inlineStr">
        <is>
          <t>nicamarie.belandres@concentrix.com</t>
        </is>
      </c>
      <c r="F387" t="inlineStr">
        <is>
          <t>Benedicto, Allen Kiel Lazarra</t>
        </is>
      </c>
      <c r="G387" t="inlineStr">
        <is>
          <t>allenkiel.benedicto@concentrix.com</t>
        </is>
      </c>
      <c r="H387" t="inlineStr">
        <is>
          <t>Ebuenga, Sheryll Avellaneda</t>
        </is>
      </c>
      <c r="I387" t="inlineStr">
        <is>
          <t>sheryll.ebuenga@concentrix.com</t>
        </is>
      </c>
      <c r="J387" t="inlineStr"/>
      <c r="K387" t="inlineStr">
        <is>
          <t>HP Mainstream</t>
        </is>
      </c>
    </row>
    <row r="388">
      <c r="A388" t="inlineStr">
        <is>
          <t>102340544</t>
        </is>
      </c>
      <c r="B388" t="inlineStr">
        <is>
          <t>San Diego, Carolyn Anselmo</t>
        </is>
      </c>
      <c r="C388" t="inlineStr">
        <is>
          <t>carolyn.sandiego@concentrix.com</t>
        </is>
      </c>
      <c r="D388" t="inlineStr">
        <is>
          <t>Aluning, Alain-Angelo Cangco</t>
        </is>
      </c>
      <c r="E388" t="inlineStr">
        <is>
          <t>alain-angelo.aluning@concentrix.com</t>
        </is>
      </c>
      <c r="F388" t="inlineStr">
        <is>
          <t>Arcena, Alberto Chua</t>
        </is>
      </c>
      <c r="G388" t="inlineStr">
        <is>
          <t>alberto.arcenajr@concentrix.com</t>
        </is>
      </c>
      <c r="H388" t="inlineStr">
        <is>
          <t>Ebuenga, Sheryll Avellaneda</t>
        </is>
      </c>
      <c r="I388" t="inlineStr">
        <is>
          <t>sheryll.ebuenga@concentrix.com</t>
        </is>
      </c>
      <c r="J388" t="inlineStr"/>
      <c r="K388" t="inlineStr">
        <is>
          <t>HP Mainstream</t>
        </is>
      </c>
    </row>
    <row r="389">
      <c r="A389" t="inlineStr">
        <is>
          <t>101479601</t>
        </is>
      </c>
      <c r="B389" t="inlineStr">
        <is>
          <t>San Juan, Francis Neil Barcelona</t>
        </is>
      </c>
      <c r="C389" t="inlineStr">
        <is>
          <t>francisneil.sanjuan@concentrix.com</t>
        </is>
      </c>
      <c r="D389" t="inlineStr">
        <is>
          <t>Panti, Alger Arellano</t>
        </is>
      </c>
      <c r="E389" t="inlineStr">
        <is>
          <t>alger.panti@concentrix.com</t>
        </is>
      </c>
      <c r="F389" t="inlineStr">
        <is>
          <t>Panti, Alger Arellano</t>
        </is>
      </c>
      <c r="G389" t="inlineStr">
        <is>
          <t>alger.panti@concentrix.com</t>
        </is>
      </c>
      <c r="H389" t="inlineStr">
        <is>
          <t>-</t>
        </is>
      </c>
      <c r="I389" t="inlineStr"/>
      <c r="J389" t="inlineStr"/>
      <c r="K389" t="inlineStr">
        <is>
          <t>HP Mainstream</t>
        </is>
      </c>
    </row>
    <row r="390">
      <c r="A390" t="inlineStr">
        <is>
          <t>102107125</t>
        </is>
      </c>
      <c r="B390" t="inlineStr">
        <is>
          <t>San Juan, Kaille Vincent Galvez</t>
        </is>
      </c>
      <c r="C390" t="inlineStr">
        <is>
          <t>kaillevincent.sanjuan@concentrix.com</t>
        </is>
      </c>
      <c r="D390" t="inlineStr">
        <is>
          <t>Ferrer, Jasper Kenneth Labor</t>
        </is>
      </c>
      <c r="E390" t="inlineStr">
        <is>
          <t>jasperkenneth.ferrer@concentrix.com</t>
        </is>
      </c>
      <c r="F390" t="inlineStr">
        <is>
          <t>Nito, Reynaldo Tribol</t>
        </is>
      </c>
      <c r="G390" t="inlineStr">
        <is>
          <t>reynaldo.nito@concentrix.com</t>
        </is>
      </c>
      <c r="H390" t="inlineStr">
        <is>
          <t>Ebuenga, Sheryll Avellaneda</t>
        </is>
      </c>
      <c r="I390" t="inlineStr">
        <is>
          <t>sheryll.ebuenga@concentrix.com</t>
        </is>
      </c>
      <c r="J390" t="inlineStr"/>
      <c r="K390" t="inlineStr">
        <is>
          <t>HP Mainstream</t>
        </is>
      </c>
    </row>
    <row r="391">
      <c r="A391" t="inlineStr">
        <is>
          <t>103092342</t>
        </is>
      </c>
      <c r="B391" t="inlineStr">
        <is>
          <t>Santos, Anne Valerie Manuel</t>
        </is>
      </c>
      <c r="C391" t="inlineStr">
        <is>
          <t>annevalerie.santos@concentrix.com</t>
        </is>
      </c>
      <c r="D391" t="inlineStr">
        <is>
          <t>Lazaro, Paolo Dennis Hidalgo</t>
        </is>
      </c>
      <c r="E391" t="inlineStr">
        <is>
          <t>paolodennis.lazaro@concentrix.com</t>
        </is>
      </c>
      <c r="F391" t="inlineStr">
        <is>
          <t>Ramos, Ma Concepcion Sanchez</t>
        </is>
      </c>
      <c r="G391" t="inlineStr">
        <is>
          <t>maconcepcion.ramos@concentrix.com</t>
        </is>
      </c>
      <c r="H391" t="inlineStr">
        <is>
          <t>Ebuenga, Sheryll Avellaneda</t>
        </is>
      </c>
      <c r="I391" t="inlineStr">
        <is>
          <t>sheryll.ebuenga@concentrix.com</t>
        </is>
      </c>
      <c r="J391" t="inlineStr"/>
      <c r="K391" t="inlineStr">
        <is>
          <t>HP Mainstream</t>
        </is>
      </c>
    </row>
    <row r="392">
      <c r="A392" t="inlineStr">
        <is>
          <t>101666721</t>
        </is>
      </c>
      <c r="B392" t="inlineStr">
        <is>
          <t>Santos, Jeanette Claudette Dy-Liacco</t>
        </is>
      </c>
      <c r="C392" t="inlineStr">
        <is>
          <t>jeanetteclaudette.santos@concentrix.com</t>
        </is>
      </c>
      <c r="D392" t="inlineStr">
        <is>
          <t>Ugalino, Jonadel Pineda</t>
        </is>
      </c>
      <c r="E392" t="inlineStr">
        <is>
          <t>jonadel.ugalino@concentrix.com</t>
        </is>
      </c>
      <c r="F392" t="inlineStr">
        <is>
          <t>Benedicto, Allen Kiel Lazarra</t>
        </is>
      </c>
      <c r="G392" t="inlineStr">
        <is>
          <t>allenkiel.benedicto@concentrix.com</t>
        </is>
      </c>
      <c r="H392" t="inlineStr">
        <is>
          <t>Ebuenga, Sheryll Avellaneda</t>
        </is>
      </c>
      <c r="I392" t="inlineStr">
        <is>
          <t>sheryll.ebuenga@concentrix.com</t>
        </is>
      </c>
      <c r="J392" t="inlineStr"/>
      <c r="K392" t="inlineStr">
        <is>
          <t>HP Mainstream</t>
        </is>
      </c>
    </row>
    <row r="393">
      <c r="A393" t="inlineStr">
        <is>
          <t>103394595</t>
        </is>
      </c>
      <c r="B393" t="inlineStr">
        <is>
          <t>Santos, Lovely Joy Nmn</t>
        </is>
      </c>
      <c r="C393" t="inlineStr">
        <is>
          <t>lovelyjoy.santos@concentrix.com</t>
        </is>
      </c>
      <c r="D393" t="inlineStr">
        <is>
          <t>Hije, Bernadeth Rosales</t>
        </is>
      </c>
      <c r="E393" t="inlineStr">
        <is>
          <t>bernadeth.hije@concentrix.com</t>
        </is>
      </c>
      <c r="F393" t="inlineStr">
        <is>
          <t>Benedicto, Allen Kiel Lazarra</t>
        </is>
      </c>
      <c r="G393" t="inlineStr">
        <is>
          <t>allenkiel.benedicto@concentrix.com</t>
        </is>
      </c>
      <c r="H393" t="inlineStr">
        <is>
          <t>Ebuenga, Sheryll Avellaneda</t>
        </is>
      </c>
      <c r="I393" t="inlineStr">
        <is>
          <t>sheryll.ebuenga@concentrix.com</t>
        </is>
      </c>
      <c r="J393" t="inlineStr"/>
      <c r="K393" t="inlineStr">
        <is>
          <t>HP Mainstream</t>
        </is>
      </c>
    </row>
    <row r="394">
      <c r="A394" t="inlineStr">
        <is>
          <t>102861282</t>
        </is>
      </c>
      <c r="B394" t="inlineStr">
        <is>
          <t>Santos, Lycia Dare</t>
        </is>
      </c>
      <c r="C394" t="inlineStr">
        <is>
          <t>lycia.santos1@concentrix.com</t>
        </is>
      </c>
      <c r="D394" t="inlineStr">
        <is>
          <t>Belandres, Nica Marie Ballola</t>
        </is>
      </c>
      <c r="E394" t="inlineStr">
        <is>
          <t>nicamarie.belandres@concentrix.com</t>
        </is>
      </c>
      <c r="F394" t="inlineStr">
        <is>
          <t>Benedicto, Allen Kiel Lazarra</t>
        </is>
      </c>
      <c r="G394" t="inlineStr">
        <is>
          <t>allenkiel.benedicto@concentrix.com</t>
        </is>
      </c>
      <c r="H394" t="inlineStr">
        <is>
          <t>Ebuenga, Sheryll Avellaneda</t>
        </is>
      </c>
      <c r="I394" t="inlineStr">
        <is>
          <t>sheryll.ebuenga@concentrix.com</t>
        </is>
      </c>
      <c r="J394" t="inlineStr"/>
      <c r="K394" t="inlineStr">
        <is>
          <t>HP Mainstream</t>
        </is>
      </c>
    </row>
    <row r="395">
      <c r="A395" t="inlineStr">
        <is>
          <t>101313398</t>
        </is>
      </c>
      <c r="B395" t="inlineStr">
        <is>
          <t>Santos, Maria Theresa Bonganciso</t>
        </is>
      </c>
      <c r="C395" t="inlineStr">
        <is>
          <t>mariatheresa.santos@concentrix.com</t>
        </is>
      </c>
      <c r="D395" t="inlineStr">
        <is>
          <t>Panti, Alger Arellano</t>
        </is>
      </c>
      <c r="E395" t="inlineStr">
        <is>
          <t>alger.panti@concentrix.com</t>
        </is>
      </c>
      <c r="F395" t="inlineStr">
        <is>
          <t>Panti, Alger Arellano</t>
        </is>
      </c>
      <c r="G395" t="inlineStr">
        <is>
          <t>alger.panti@concentrix.com</t>
        </is>
      </c>
      <c r="H395" t="inlineStr">
        <is>
          <t>0</t>
        </is>
      </c>
      <c r="I395" t="inlineStr"/>
      <c r="J395" t="inlineStr"/>
      <c r="K395" t="inlineStr">
        <is>
          <t>HP Mainstream</t>
        </is>
      </c>
    </row>
    <row r="396">
      <c r="A396" t="inlineStr">
        <is>
          <t>102170596</t>
        </is>
      </c>
      <c r="B396" t="inlineStr">
        <is>
          <t>Santos, Raven Anakin Jerusalem</t>
        </is>
      </c>
      <c r="C396" t="inlineStr">
        <is>
          <t>ravenanakin.santos@concentrix.com</t>
        </is>
      </c>
      <c r="D396" t="inlineStr">
        <is>
          <t>Hije, Bernadeth Rosales</t>
        </is>
      </c>
      <c r="E396" t="inlineStr">
        <is>
          <t>bernadeth.hije@concentrix.com</t>
        </is>
      </c>
      <c r="F396" t="inlineStr">
        <is>
          <t>Benedicto, Allen Kiel Lazarra</t>
        </is>
      </c>
      <c r="G396" t="inlineStr">
        <is>
          <t>allenkiel.benedicto@concentrix.com</t>
        </is>
      </c>
      <c r="H396" t="inlineStr">
        <is>
          <t>Ebuenga, Sheryll Avellaneda</t>
        </is>
      </c>
      <c r="I396" t="inlineStr">
        <is>
          <t>sheryll.ebuenga@concentrix.com</t>
        </is>
      </c>
      <c r="J396" t="inlineStr"/>
      <c r="K396" t="inlineStr">
        <is>
          <t>HP Mainstream</t>
        </is>
      </c>
    </row>
    <row r="397">
      <c r="A397" t="inlineStr">
        <is>
          <t>101604066</t>
        </is>
      </c>
      <c r="B397" t="inlineStr">
        <is>
          <t>Santos, Reinier Cartina</t>
        </is>
      </c>
      <c r="C397" t="inlineStr">
        <is>
          <t>reinier.santos@concentrix.com</t>
        </is>
      </c>
      <c r="D397" t="inlineStr">
        <is>
          <t>Luñiza, Jona Claveria</t>
        </is>
      </c>
      <c r="E397" t="inlineStr">
        <is>
          <t>jona.luniza@concentrix.com</t>
        </is>
      </c>
      <c r="F397" t="inlineStr">
        <is>
          <t>Arcena, Alberto Chua</t>
        </is>
      </c>
      <c r="G397" t="inlineStr">
        <is>
          <t>alberto.arcenajr@concentrix.com</t>
        </is>
      </c>
      <c r="H397" t="inlineStr">
        <is>
          <t>Ebuenga, Sheryll Avellaneda</t>
        </is>
      </c>
      <c r="I397" t="inlineStr">
        <is>
          <t>sheryll.ebuenga@concentrix.com</t>
        </is>
      </c>
      <c r="J397" t="inlineStr"/>
      <c r="K397" t="inlineStr">
        <is>
          <t>HP Mainstream</t>
        </is>
      </c>
    </row>
    <row r="398">
      <c r="A398" t="inlineStr">
        <is>
          <t>103402327</t>
        </is>
      </c>
      <c r="B398" t="inlineStr">
        <is>
          <t>Sarmiento, Celina Labora</t>
        </is>
      </c>
      <c r="C398" t="inlineStr">
        <is>
          <t>celina.sarmiento@concentrix.com</t>
        </is>
      </c>
      <c r="D398" t="inlineStr">
        <is>
          <t>Poon, Aris Sobrevilla</t>
        </is>
      </c>
      <c r="E398" t="inlineStr">
        <is>
          <t>aris.poon@concentrix.com</t>
        </is>
      </c>
      <c r="F398" t="inlineStr">
        <is>
          <t>Ramos, Ma Concepcion Sanchez</t>
        </is>
      </c>
      <c r="G398" t="inlineStr">
        <is>
          <t>maconcepcion.ramos@concentrix.com</t>
        </is>
      </c>
      <c r="H398" t="inlineStr">
        <is>
          <t>Ebuenga, Sheryll Avellaneda</t>
        </is>
      </c>
      <c r="I398" t="inlineStr">
        <is>
          <t>sheryll.ebuenga@concentrix.com</t>
        </is>
      </c>
      <c r="J398" t="inlineStr"/>
      <c r="K398" t="inlineStr">
        <is>
          <t>HP Mainstream</t>
        </is>
      </c>
    </row>
    <row r="399">
      <c r="A399" t="inlineStr">
        <is>
          <t>101699605</t>
        </is>
      </c>
      <c r="B399" t="inlineStr">
        <is>
          <t>Sarmiento, Edmar Ricanor</t>
        </is>
      </c>
      <c r="C399" t="inlineStr">
        <is>
          <t>edmar.sarmiento@concentrix.com</t>
        </is>
      </c>
      <c r="D399" t="inlineStr">
        <is>
          <t>Sernal, Rachelle Ibiernas</t>
        </is>
      </c>
      <c r="E399" t="inlineStr">
        <is>
          <t>rachelle.sernal@concentrix.com</t>
        </is>
      </c>
      <c r="F399" t="inlineStr">
        <is>
          <t>Benedicto, Allen Kiel Lazarra</t>
        </is>
      </c>
      <c r="G399" t="inlineStr">
        <is>
          <t>allenkiel.benedicto@concentrix.com</t>
        </is>
      </c>
      <c r="H399" t="inlineStr">
        <is>
          <t>Ebuenga, Sheryll Avellaneda</t>
        </is>
      </c>
      <c r="I399" t="inlineStr">
        <is>
          <t>sheryll.ebuenga@concentrix.com</t>
        </is>
      </c>
      <c r="J399" t="inlineStr"/>
      <c r="K399" t="inlineStr">
        <is>
          <t>HP Mainstream</t>
        </is>
      </c>
    </row>
    <row r="400">
      <c r="A400" t="inlineStr">
        <is>
          <t>101354859</t>
        </is>
      </c>
      <c r="B400" t="inlineStr">
        <is>
          <t>Sastrillo, Jessalyn Rodeles</t>
        </is>
      </c>
      <c r="C400" t="inlineStr">
        <is>
          <t>jessalyn.sastrillo@concentrix.com</t>
        </is>
      </c>
      <c r="D400" t="inlineStr">
        <is>
          <t>Chan, Caroline Cruce</t>
        </is>
      </c>
      <c r="E400" t="inlineStr">
        <is>
          <t>caroline.chan@concentrix.com</t>
        </is>
      </c>
      <c r="F400" t="inlineStr">
        <is>
          <t>Chan, Caroline Cruce</t>
        </is>
      </c>
      <c r="G400" t="inlineStr">
        <is>
          <t>caroline.chan@concentrix.com</t>
        </is>
      </c>
      <c r="H400" t="inlineStr">
        <is>
          <t>-</t>
        </is>
      </c>
      <c r="I400" t="inlineStr"/>
      <c r="J400" t="inlineStr"/>
      <c r="K400" t="inlineStr">
        <is>
          <t>HP Mainstream</t>
        </is>
      </c>
    </row>
    <row r="401">
      <c r="A401" t="inlineStr">
        <is>
          <t>101537167</t>
        </is>
      </c>
      <c r="B401" t="inlineStr">
        <is>
          <t>Saulog, Mark Spencer Amerila</t>
        </is>
      </c>
      <c r="C401" t="inlineStr">
        <is>
          <t>markspencer.saulog@concentrix.com</t>
        </is>
      </c>
      <c r="D401" t="inlineStr">
        <is>
          <t>Vedia, Jerson Reyes</t>
        </is>
      </c>
      <c r="E401" t="inlineStr">
        <is>
          <t>jerson.vedia@concentrix.com</t>
        </is>
      </c>
      <c r="F401" t="inlineStr">
        <is>
          <t>Ramos, Ma Concepcion Sanchez</t>
        </is>
      </c>
      <c r="G401" t="inlineStr">
        <is>
          <t>maconcepcion.ramos@concentrix.com</t>
        </is>
      </c>
      <c r="H401" t="inlineStr">
        <is>
          <t>Ebuenga, Sheryll Avellaneda</t>
        </is>
      </c>
      <c r="I401" t="inlineStr">
        <is>
          <t>sheryll.ebuenga@concentrix.com</t>
        </is>
      </c>
      <c r="J401" t="inlineStr"/>
      <c r="K401" t="inlineStr">
        <is>
          <t>HP Mainstream</t>
        </is>
      </c>
    </row>
    <row r="402">
      <c r="A402" t="inlineStr">
        <is>
          <t>433115</t>
        </is>
      </c>
      <c r="B402" t="inlineStr">
        <is>
          <t>Segismundo, Sandra Serrano</t>
        </is>
      </c>
      <c r="C402" t="inlineStr">
        <is>
          <t>sandra.segismundo@concentrix.com</t>
        </is>
      </c>
      <c r="D402" t="inlineStr">
        <is>
          <t>Dela Fuente, Erick John Palomo</t>
        </is>
      </c>
      <c r="E402" t="inlineStr">
        <is>
          <t>erickjohn.delafuente@concentrix.com</t>
        </is>
      </c>
      <c r="F402" t="inlineStr">
        <is>
          <t>Dela Fuente, Erick John Palomo</t>
        </is>
      </c>
      <c r="G402" t="inlineStr">
        <is>
          <t>erickjohn.delafuente@concentrix.com</t>
        </is>
      </c>
      <c r="H402" t="inlineStr">
        <is>
          <t>Ebuenga, Sheryll Avellaneda</t>
        </is>
      </c>
      <c r="I402" t="inlineStr">
        <is>
          <t>sheryll.ebuenga@concentrix.com</t>
        </is>
      </c>
      <c r="J402" t="inlineStr"/>
      <c r="K402" t="inlineStr">
        <is>
          <t>HP Mainstream</t>
        </is>
      </c>
    </row>
    <row r="403">
      <c r="A403" t="inlineStr">
        <is>
          <t>102242555</t>
        </is>
      </c>
      <c r="B403" t="inlineStr">
        <is>
          <t>Sembrano, Mishelle Oliveria</t>
        </is>
      </c>
      <c r="C403" t="inlineStr">
        <is>
          <t>mishelle.sembrano@concentrix.com</t>
        </is>
      </c>
      <c r="D403" t="inlineStr">
        <is>
          <t>Adrales, Allen Rick Aguilar</t>
        </is>
      </c>
      <c r="E403" t="inlineStr">
        <is>
          <t>allenrick.adrales@concentrix.com</t>
        </is>
      </c>
      <c r="F403" t="inlineStr">
        <is>
          <t>Ramos, Ma Concepcion Sanchez</t>
        </is>
      </c>
      <c r="G403" t="inlineStr">
        <is>
          <t>maconcepcion.ramos@concentrix.com</t>
        </is>
      </c>
      <c r="H403" t="inlineStr">
        <is>
          <t>Ebuenga, Sheryll Avellaneda</t>
        </is>
      </c>
      <c r="I403" t="inlineStr">
        <is>
          <t>sheryll.ebuenga@concentrix.com</t>
        </is>
      </c>
      <c r="J403" t="inlineStr"/>
      <c r="K403" t="inlineStr">
        <is>
          <t>HP Mainstream</t>
        </is>
      </c>
    </row>
    <row r="404">
      <c r="A404" t="inlineStr">
        <is>
          <t>102856459</t>
        </is>
      </c>
      <c r="B404" t="inlineStr">
        <is>
          <t>Sentin Jr., Roberto Bueno</t>
        </is>
      </c>
      <c r="C404" t="inlineStr">
        <is>
          <t>roberto.sentinjr@concentrix.com</t>
        </is>
      </c>
      <c r="D404" t="inlineStr">
        <is>
          <t>Ong, Lesley Ann Bayotas</t>
        </is>
      </c>
      <c r="E404" t="inlineStr">
        <is>
          <t>lesleyann.ong@concentrix.com</t>
        </is>
      </c>
      <c r="F404" t="inlineStr">
        <is>
          <t>Ramos, Ma Concepcion Sanchez</t>
        </is>
      </c>
      <c r="G404" t="inlineStr">
        <is>
          <t>maconcepcion.ramos@concentrix.com</t>
        </is>
      </c>
      <c r="H404" t="inlineStr">
        <is>
          <t>Ebuenga, Sheryll Avellaneda</t>
        </is>
      </c>
      <c r="I404" t="inlineStr">
        <is>
          <t>sheryll.ebuenga@concentrix.com</t>
        </is>
      </c>
      <c r="J404" t="inlineStr"/>
      <c r="K404" t="inlineStr">
        <is>
          <t>HP Mainstream</t>
        </is>
      </c>
    </row>
    <row r="405">
      <c r="A405" t="inlineStr">
        <is>
          <t>102369540</t>
        </is>
      </c>
      <c r="B405" t="inlineStr">
        <is>
          <t>Sequito, Zyrus Luna</t>
        </is>
      </c>
      <c r="C405" t="inlineStr">
        <is>
          <t>zyrus.sequito@concentrix.com</t>
        </is>
      </c>
      <c r="D405" t="inlineStr">
        <is>
          <t>Andrecoso, April Melody Sunga</t>
        </is>
      </c>
      <c r="E405" t="inlineStr">
        <is>
          <t>aprilmelody.andrecoso@concentrix.com</t>
        </is>
      </c>
      <c r="F405" t="inlineStr">
        <is>
          <t>Benedicto, Allen Kiel Lazarra</t>
        </is>
      </c>
      <c r="G405" t="inlineStr">
        <is>
          <t>allenkiel.benedicto@concentrix.com</t>
        </is>
      </c>
      <c r="H405" t="inlineStr">
        <is>
          <t>Ebuenga, Sheryll Avellaneda</t>
        </is>
      </c>
      <c r="I405" t="inlineStr">
        <is>
          <t>sheryll.ebuenga@concentrix.com</t>
        </is>
      </c>
      <c r="J405" t="inlineStr"/>
      <c r="K405" t="inlineStr">
        <is>
          <t>HP Mainstream</t>
        </is>
      </c>
    </row>
    <row r="406">
      <c r="A406" t="inlineStr">
        <is>
          <t>101029441</t>
        </is>
      </c>
      <c r="B406" t="inlineStr">
        <is>
          <t>Serata, Ivy Roces</t>
        </is>
      </c>
      <c r="C406" t="inlineStr">
        <is>
          <t>ivy.serata@concentrix.com</t>
        </is>
      </c>
      <c r="D406" t="inlineStr">
        <is>
          <t>Chan, Caroline Cruce</t>
        </is>
      </c>
      <c r="E406" t="inlineStr">
        <is>
          <t>caroline.chan@concentrix.com</t>
        </is>
      </c>
      <c r="F406" t="inlineStr">
        <is>
          <t>Chan, Caroline Cruce</t>
        </is>
      </c>
      <c r="G406" t="inlineStr">
        <is>
          <t>caroline.chan@concentrix.com</t>
        </is>
      </c>
      <c r="H406" t="inlineStr">
        <is>
          <t>-</t>
        </is>
      </c>
      <c r="I406" t="inlineStr"/>
      <c r="J406" t="inlineStr"/>
      <c r="K406" t="inlineStr">
        <is>
          <t>HP Mainstream</t>
        </is>
      </c>
    </row>
    <row r="407">
      <c r="A407" t="inlineStr">
        <is>
          <t>101444684</t>
        </is>
      </c>
      <c r="B407" t="inlineStr">
        <is>
          <t>Sernal, Rachelle Ibiernas</t>
        </is>
      </c>
      <c r="C407" t="inlineStr">
        <is>
          <t>rachelle.sernal@concentrix.com</t>
        </is>
      </c>
      <c r="D407" t="inlineStr">
        <is>
          <t>Benedicto, Allen Kiel Lazarra</t>
        </is>
      </c>
      <c r="E407" t="inlineStr">
        <is>
          <t>allenkiel.benedicto@concentrix.com</t>
        </is>
      </c>
      <c r="F407" t="inlineStr">
        <is>
          <t>Benedicto, Allen Kiel Lazarra</t>
        </is>
      </c>
      <c r="G407" t="inlineStr">
        <is>
          <t>allenkiel.benedicto@concentrix.com</t>
        </is>
      </c>
      <c r="H407" t="inlineStr">
        <is>
          <t>Ebuenga, Sheryll Avellaneda</t>
        </is>
      </c>
      <c r="I407" t="inlineStr">
        <is>
          <t>sheryll.ebuenga@concentrix.com</t>
        </is>
      </c>
      <c r="J407" t="inlineStr"/>
      <c r="K407" t="inlineStr">
        <is>
          <t>HP Mainstream</t>
        </is>
      </c>
    </row>
    <row r="408">
      <c r="A408" t="inlineStr">
        <is>
          <t>95200</t>
        </is>
      </c>
      <c r="B408" t="inlineStr">
        <is>
          <t>Setias, Mae Venus Santias</t>
        </is>
      </c>
      <c r="C408" t="inlineStr">
        <is>
          <t>maevenus.setias@concentrix.com</t>
        </is>
      </c>
      <c r="D408" t="inlineStr">
        <is>
          <t>Chan, Caroline Cruce</t>
        </is>
      </c>
      <c r="E408" t="inlineStr">
        <is>
          <t>caroline.chan@concentrix.com</t>
        </is>
      </c>
      <c r="F408" t="inlineStr">
        <is>
          <t>Chan, Caroline Cruce</t>
        </is>
      </c>
      <c r="G408" t="inlineStr">
        <is>
          <t>caroline.chan@concentrix.com</t>
        </is>
      </c>
      <c r="H408" t="inlineStr">
        <is>
          <t>-</t>
        </is>
      </c>
      <c r="I408" t="inlineStr"/>
      <c r="J408" t="inlineStr"/>
      <c r="K408" t="inlineStr">
        <is>
          <t>HP Mainstream</t>
        </is>
      </c>
    </row>
    <row r="409">
      <c r="A409" t="inlineStr">
        <is>
          <t>101785473</t>
        </is>
      </c>
      <c r="B409" t="inlineStr">
        <is>
          <t>Sevilla, Audrey Marie Galindo</t>
        </is>
      </c>
      <c r="C409" t="inlineStr">
        <is>
          <t>audrey.galindosevilla@concentrix.com</t>
        </is>
      </c>
      <c r="D409" t="inlineStr">
        <is>
          <t>Leonardo, Kristine Joy Sigalat</t>
        </is>
      </c>
      <c r="E409" t="inlineStr"/>
      <c r="F409" t="inlineStr">
        <is>
          <t>Leonardo, Kristine Joy Sigalat</t>
        </is>
      </c>
      <c r="G409" t="inlineStr"/>
      <c r="H409" t="inlineStr">
        <is>
          <t>-</t>
        </is>
      </c>
      <c r="I409" t="inlineStr"/>
      <c r="J409" t="inlineStr"/>
      <c r="K409" t="inlineStr">
        <is>
          <t>HP Mainstream</t>
        </is>
      </c>
    </row>
    <row r="410">
      <c r="A410" t="inlineStr">
        <is>
          <t>101240707</t>
        </is>
      </c>
      <c r="B410" t="inlineStr">
        <is>
          <t>Silao, Fritz Villacanas</t>
        </is>
      </c>
      <c r="C410" t="inlineStr">
        <is>
          <t>fritz.silao@concentrix.com</t>
        </is>
      </c>
      <c r="D410" t="inlineStr">
        <is>
          <t>Ferrer, Jasper Kenneth Labor</t>
        </is>
      </c>
      <c r="E410" t="inlineStr">
        <is>
          <t>jasperkenneth.ferrer@concentrix.com</t>
        </is>
      </c>
      <c r="F410" t="inlineStr">
        <is>
          <t>Nito, Reynaldo Tribol</t>
        </is>
      </c>
      <c r="G410" t="inlineStr">
        <is>
          <t>reynaldo.nito@concentrix.com</t>
        </is>
      </c>
      <c r="H410" t="inlineStr">
        <is>
          <t>Ebuenga, Sheryll Avellaneda</t>
        </is>
      </c>
      <c r="I410" t="inlineStr">
        <is>
          <t>sheryll.ebuenga@concentrix.com</t>
        </is>
      </c>
      <c r="J410" t="inlineStr"/>
      <c r="K410" t="inlineStr">
        <is>
          <t>HP Mainstream</t>
        </is>
      </c>
    </row>
    <row r="411">
      <c r="A411" t="inlineStr">
        <is>
          <t>101758296</t>
        </is>
      </c>
      <c r="B411" t="inlineStr">
        <is>
          <t>Silvano, Kimberly Ann Palma</t>
        </is>
      </c>
      <c r="C411" t="inlineStr">
        <is>
          <t>kimberlyann.silvano@concentrix.com</t>
        </is>
      </c>
      <c r="D411" t="inlineStr">
        <is>
          <t>Blas, Jesus Jr Trinidad</t>
        </is>
      </c>
      <c r="E411" t="inlineStr">
        <is>
          <t>jesus.blas@concentrix.com</t>
        </is>
      </c>
      <c r="F411" t="inlineStr">
        <is>
          <t>Arcena, Alberto Chua</t>
        </is>
      </c>
      <c r="G411" t="inlineStr">
        <is>
          <t>alberto.arcenajr@concentrix.com</t>
        </is>
      </c>
      <c r="H411" t="inlineStr">
        <is>
          <t>Ebuenga, Sheryll Avellaneda</t>
        </is>
      </c>
      <c r="I411" t="inlineStr">
        <is>
          <t>sheryll.ebuenga@concentrix.com</t>
        </is>
      </c>
      <c r="J411" t="inlineStr"/>
      <c r="K411" t="inlineStr">
        <is>
          <t>HP Mainstream</t>
        </is>
      </c>
    </row>
    <row r="412">
      <c r="A412" t="inlineStr">
        <is>
          <t>101537653</t>
        </is>
      </c>
      <c r="B412" t="inlineStr">
        <is>
          <t>Simacon, Krystel Claire Nmn</t>
        </is>
      </c>
      <c r="C412" t="inlineStr">
        <is>
          <t>krystelclaire.simacon@concentrix.com</t>
        </is>
      </c>
      <c r="D412" t="inlineStr">
        <is>
          <t>Luñiza, Jona Claveria</t>
        </is>
      </c>
      <c r="E412" t="inlineStr">
        <is>
          <t>jona.luniza@concentrix.com</t>
        </is>
      </c>
      <c r="F412" t="inlineStr">
        <is>
          <t>Arcena, Alberto Chua</t>
        </is>
      </c>
      <c r="G412" t="inlineStr">
        <is>
          <t>alberto.arcenajr@concentrix.com</t>
        </is>
      </c>
      <c r="H412" t="inlineStr">
        <is>
          <t>Ebuenga, Sheryll Avellaneda</t>
        </is>
      </c>
      <c r="I412" t="inlineStr">
        <is>
          <t>sheryll.ebuenga@concentrix.com</t>
        </is>
      </c>
      <c r="J412" t="inlineStr"/>
      <c r="K412" t="inlineStr">
        <is>
          <t>HP Mainstream</t>
        </is>
      </c>
    </row>
    <row r="413">
      <c r="A413" t="inlineStr">
        <is>
          <t>101888125</t>
        </is>
      </c>
      <c r="B413" t="inlineStr">
        <is>
          <t>Simbulan, Michelle Cabala</t>
        </is>
      </c>
      <c r="C413" t="inlineStr">
        <is>
          <t>michelle.simbulan@concentrix.com</t>
        </is>
      </c>
      <c r="D413" t="inlineStr">
        <is>
          <t>Sernal, Rachelle Ibiernas</t>
        </is>
      </c>
      <c r="E413" t="inlineStr">
        <is>
          <t>rachelle.sernal@concentrix.com</t>
        </is>
      </c>
      <c r="F413" t="inlineStr">
        <is>
          <t>Benedicto, Allen Kiel Lazarra</t>
        </is>
      </c>
      <c r="G413" t="inlineStr">
        <is>
          <t>allenkiel.benedicto@concentrix.com</t>
        </is>
      </c>
      <c r="H413" t="inlineStr">
        <is>
          <t>Ebuenga, Sheryll Avellaneda</t>
        </is>
      </c>
      <c r="I413" t="inlineStr">
        <is>
          <t>sheryll.ebuenga@concentrix.com</t>
        </is>
      </c>
      <c r="J413" t="inlineStr"/>
      <c r="K413" t="inlineStr">
        <is>
          <t>HP Mainstream</t>
        </is>
      </c>
    </row>
    <row r="414">
      <c r="A414" t="inlineStr">
        <is>
          <t>103577134</t>
        </is>
      </c>
      <c r="B414" t="inlineStr">
        <is>
          <t>Socorro, John Benny Baluyot</t>
        </is>
      </c>
      <c r="C414" t="inlineStr">
        <is>
          <t>johnbenny.socorro@concentrix.com</t>
        </is>
      </c>
      <c r="D414" t="inlineStr">
        <is>
          <t>Salafranca, Ryan Alejo</t>
        </is>
      </c>
      <c r="E414" t="inlineStr">
        <is>
          <t>ryan.salafranca@concentrix.com</t>
        </is>
      </c>
      <c r="F414" t="inlineStr">
        <is>
          <t>Arcena, Alberto Chua</t>
        </is>
      </c>
      <c r="G414" t="inlineStr">
        <is>
          <t>alberto.arcenajr@concentrix.com</t>
        </is>
      </c>
      <c r="H414" t="inlineStr">
        <is>
          <t>Ebuenga, Sheryll Avellaneda</t>
        </is>
      </c>
      <c r="I414" t="inlineStr">
        <is>
          <t>sheryll.ebuenga@concentrix.com</t>
        </is>
      </c>
      <c r="J414" t="inlineStr"/>
      <c r="K414" t="inlineStr">
        <is>
          <t>HP Mainstream</t>
        </is>
      </c>
    </row>
    <row r="415">
      <c r="A415" t="inlineStr">
        <is>
          <t>426745</t>
        </is>
      </c>
      <c r="B415" t="inlineStr">
        <is>
          <t>Sonza, Marvi Ramilo</t>
        </is>
      </c>
      <c r="C415" t="inlineStr">
        <is>
          <t>marvi.sonza@concentrix.com</t>
        </is>
      </c>
      <c r="D415" t="inlineStr">
        <is>
          <t>Ferrer, Jasper Kenneth Labor</t>
        </is>
      </c>
      <c r="E415" t="inlineStr">
        <is>
          <t>jasperkenneth.ferrer@concentrix.com</t>
        </is>
      </c>
      <c r="F415" t="inlineStr">
        <is>
          <t>Nito, Reynaldo Tribol</t>
        </is>
      </c>
      <c r="G415" t="inlineStr">
        <is>
          <t>reynaldo.nito@concentrix.com</t>
        </is>
      </c>
      <c r="H415" t="inlineStr">
        <is>
          <t>Ebuenga, Sheryll Avellaneda</t>
        </is>
      </c>
      <c r="I415" t="inlineStr">
        <is>
          <t>sheryll.ebuenga@concentrix.com</t>
        </is>
      </c>
      <c r="J415" t="inlineStr"/>
      <c r="K415" t="inlineStr">
        <is>
          <t>HP Mainstream</t>
        </is>
      </c>
    </row>
    <row r="416">
      <c r="A416" t="inlineStr">
        <is>
          <t>101537661</t>
        </is>
      </c>
      <c r="B416" t="inlineStr">
        <is>
          <t>Soria, Michael Concejo</t>
        </is>
      </c>
      <c r="C416" t="inlineStr">
        <is>
          <t>michael.soria@concentrix.com</t>
        </is>
      </c>
      <c r="D416" t="inlineStr">
        <is>
          <t>Nito, Reynaldo Tribol</t>
        </is>
      </c>
      <c r="E416" t="inlineStr">
        <is>
          <t>reynaldo.nito@concentrix.com</t>
        </is>
      </c>
      <c r="F416" t="inlineStr">
        <is>
          <t>Nito, Reynaldo Tribol</t>
        </is>
      </c>
      <c r="G416" t="inlineStr">
        <is>
          <t>reynaldo.nito@concentrix.com</t>
        </is>
      </c>
      <c r="H416" t="inlineStr">
        <is>
          <t>Ebuenga, Sheryll Avellaneda</t>
        </is>
      </c>
      <c r="I416" t="inlineStr">
        <is>
          <t>sheryll.ebuenga@concentrix.com</t>
        </is>
      </c>
      <c r="J416" t="inlineStr"/>
      <c r="K416" t="inlineStr">
        <is>
          <t>HP Mainstream</t>
        </is>
      </c>
    </row>
    <row r="417">
      <c r="A417" t="inlineStr">
        <is>
          <t>101906982</t>
        </is>
      </c>
      <c r="B417" t="inlineStr">
        <is>
          <t>Soriano, Mark Louie Delos Reyes</t>
        </is>
      </c>
      <c r="C417" t="inlineStr">
        <is>
          <t>marklouie.soriano@concentrix.com</t>
        </is>
      </c>
      <c r="D417" t="inlineStr">
        <is>
          <t>Ugalino, Jonadel Pineda</t>
        </is>
      </c>
      <c r="E417" t="inlineStr">
        <is>
          <t>jonadel.ugalino@concentrix.com</t>
        </is>
      </c>
      <c r="F417" t="inlineStr">
        <is>
          <t>Benedicto, Allen Kiel Lazarra</t>
        </is>
      </c>
      <c r="G417" t="inlineStr">
        <is>
          <t>allenkiel.benedicto@concentrix.com</t>
        </is>
      </c>
      <c r="H417" t="inlineStr">
        <is>
          <t>Ebuenga, Sheryll Avellaneda</t>
        </is>
      </c>
      <c r="I417" t="inlineStr">
        <is>
          <t>sheryll.ebuenga@concentrix.com</t>
        </is>
      </c>
      <c r="J417" t="inlineStr"/>
      <c r="K417" t="inlineStr">
        <is>
          <t>HP Mainstream</t>
        </is>
      </c>
    </row>
    <row r="418">
      <c r="A418" t="inlineStr">
        <is>
          <t>101497724</t>
        </is>
      </c>
      <c r="B418" t="inlineStr">
        <is>
          <t>Sta. Ana, Allan Rey Bacarro</t>
        </is>
      </c>
      <c r="C418" t="inlineStr">
        <is>
          <t>allanrey.staana@concentrix.com</t>
        </is>
      </c>
      <c r="D418" t="inlineStr">
        <is>
          <t>De Guzman, Gabriel Rodrigo</t>
        </is>
      </c>
      <c r="E418" t="inlineStr">
        <is>
          <t>gabriel.deguzman@concentrix.com</t>
        </is>
      </c>
      <c r="F418" t="inlineStr">
        <is>
          <t>Arcena, Alberto Chua</t>
        </is>
      </c>
      <c r="G418" t="inlineStr">
        <is>
          <t>alberto.arcenajr@concentrix.com</t>
        </is>
      </c>
      <c r="H418" t="inlineStr">
        <is>
          <t>Ebuenga, Sheryll Avellaneda</t>
        </is>
      </c>
      <c r="I418" t="inlineStr">
        <is>
          <t>sheryll.ebuenga@concentrix.com</t>
        </is>
      </c>
      <c r="J418" t="inlineStr"/>
      <c r="K418" t="inlineStr">
        <is>
          <t>HP Mainstream</t>
        </is>
      </c>
    </row>
    <row r="419">
      <c r="A419" t="inlineStr">
        <is>
          <t>102183913</t>
        </is>
      </c>
      <c r="B419" t="inlineStr">
        <is>
          <t>Suaso, Mari Paul Del Mundo</t>
        </is>
      </c>
      <c r="C419" t="inlineStr">
        <is>
          <t>maripaul.suaso@concentrix.com</t>
        </is>
      </c>
      <c r="D419" t="inlineStr">
        <is>
          <t>Sernal, Rachelle Ibiernas</t>
        </is>
      </c>
      <c r="E419" t="inlineStr">
        <is>
          <t>rachelle.sernal@concentrix.com</t>
        </is>
      </c>
      <c r="F419" t="inlineStr">
        <is>
          <t>Benedicto, Allen Kiel Lazarra</t>
        </is>
      </c>
      <c r="G419" t="inlineStr">
        <is>
          <t>allenkiel.benedicto@concentrix.com</t>
        </is>
      </c>
      <c r="H419" t="inlineStr">
        <is>
          <t>Ebuenga, Sheryll Avellaneda</t>
        </is>
      </c>
      <c r="I419" t="inlineStr">
        <is>
          <t>sheryll.ebuenga@concentrix.com</t>
        </is>
      </c>
      <c r="J419" t="inlineStr"/>
      <c r="K419" t="inlineStr">
        <is>
          <t>HP Mainstream</t>
        </is>
      </c>
    </row>
    <row r="420">
      <c r="A420" t="inlineStr">
        <is>
          <t>103135893</t>
        </is>
      </c>
      <c r="B420" t="inlineStr">
        <is>
          <t>Sultan, Isabel Cocoba</t>
        </is>
      </c>
      <c r="C420" t="inlineStr">
        <is>
          <t>isabel.sultan@concentrix.com</t>
        </is>
      </c>
      <c r="D420" t="inlineStr">
        <is>
          <t>Galope, Danri Catacutan</t>
        </is>
      </c>
      <c r="E420" t="inlineStr">
        <is>
          <t>danri.galope@concentrix.com</t>
        </is>
      </c>
      <c r="F420" t="inlineStr">
        <is>
          <t>Ramos, Ma Concepcion Sanchez</t>
        </is>
      </c>
      <c r="G420" t="inlineStr">
        <is>
          <t>maconcepcion.ramos@concentrix.com</t>
        </is>
      </c>
      <c r="H420" t="inlineStr">
        <is>
          <t>Ebuenga, Sheryll Avellaneda</t>
        </is>
      </c>
      <c r="I420" t="inlineStr">
        <is>
          <t>sheryll.ebuenga@concentrix.com</t>
        </is>
      </c>
      <c r="J420" t="inlineStr"/>
      <c r="K420" t="inlineStr">
        <is>
          <t>HP Mainstream</t>
        </is>
      </c>
    </row>
    <row r="421">
      <c r="A421" t="inlineStr">
        <is>
          <t>102271243</t>
        </is>
      </c>
      <c r="B421" t="inlineStr">
        <is>
          <t>Sutton, Innah Vanessa Cabacaba</t>
        </is>
      </c>
      <c r="C421" t="inlineStr">
        <is>
          <t>innahvanessa.sutton@concentrix.com</t>
        </is>
      </c>
      <c r="D421" t="inlineStr">
        <is>
          <t>Adrales, Allen Rick Aguilar</t>
        </is>
      </c>
      <c r="E421" t="inlineStr">
        <is>
          <t>allenrick.adrales@concentrix.com</t>
        </is>
      </c>
      <c r="F421" t="inlineStr">
        <is>
          <t>Ramos, Ma Concepcion Sanchez</t>
        </is>
      </c>
      <c r="G421" t="inlineStr">
        <is>
          <t>maconcepcion.ramos@concentrix.com</t>
        </is>
      </c>
      <c r="H421" t="inlineStr">
        <is>
          <t>Ebuenga, Sheryll Avellaneda</t>
        </is>
      </c>
      <c r="I421" t="inlineStr">
        <is>
          <t>sheryll.ebuenga@concentrix.com</t>
        </is>
      </c>
      <c r="J421" t="inlineStr"/>
      <c r="K421" t="inlineStr">
        <is>
          <t>HP Mainstream</t>
        </is>
      </c>
    </row>
    <row r="422">
      <c r="A422" t="inlineStr">
        <is>
          <t>103397112</t>
        </is>
      </c>
      <c r="B422" t="inlineStr">
        <is>
          <t>Taberdo, Franczeska Keana Cellona</t>
        </is>
      </c>
      <c r="C422" t="inlineStr">
        <is>
          <t>franczeskakeana.taberdo@concentrix.com</t>
        </is>
      </c>
      <c r="D422" t="inlineStr">
        <is>
          <t>Andrecoso, April Melody Sunga</t>
        </is>
      </c>
      <c r="E422" t="inlineStr">
        <is>
          <t>aprilmelody.andrecoso@concentrix.com</t>
        </is>
      </c>
      <c r="F422" t="inlineStr">
        <is>
          <t>Benedicto, Allen Kiel Lazarra</t>
        </is>
      </c>
      <c r="G422" t="inlineStr">
        <is>
          <t>allenkiel.benedicto@concentrix.com</t>
        </is>
      </c>
      <c r="H422" t="inlineStr">
        <is>
          <t>Ebuenga, Sheryll Avellaneda</t>
        </is>
      </c>
      <c r="I422" t="inlineStr">
        <is>
          <t>sheryll.ebuenga@concentrix.com</t>
        </is>
      </c>
      <c r="J422" t="inlineStr"/>
      <c r="K422" t="inlineStr">
        <is>
          <t>HP Mainstream</t>
        </is>
      </c>
    </row>
    <row r="423">
      <c r="A423" t="inlineStr">
        <is>
          <t>102070481</t>
        </is>
      </c>
      <c r="B423" t="inlineStr">
        <is>
          <t>Tabuñar, Louie Baltar</t>
        </is>
      </c>
      <c r="C423" t="inlineStr">
        <is>
          <t>louie.tabunar@concentrix.com</t>
        </is>
      </c>
      <c r="D423" t="inlineStr">
        <is>
          <t>Blas, Jesus Jr Trinidad</t>
        </is>
      </c>
      <c r="E423" t="inlineStr">
        <is>
          <t>jesus.blas@concentrix.com</t>
        </is>
      </c>
      <c r="F423" t="inlineStr">
        <is>
          <t>Arcena, Alberto Chua</t>
        </is>
      </c>
      <c r="G423" t="inlineStr">
        <is>
          <t>alberto.arcenajr@concentrix.com</t>
        </is>
      </c>
      <c r="H423" t="inlineStr">
        <is>
          <t>Ebuenga, Sheryll Avellaneda</t>
        </is>
      </c>
      <c r="I423" t="inlineStr">
        <is>
          <t>sheryll.ebuenga@concentrix.com</t>
        </is>
      </c>
      <c r="J423" t="inlineStr"/>
      <c r="K423" t="inlineStr">
        <is>
          <t>HP Mainstream</t>
        </is>
      </c>
    </row>
    <row r="424">
      <c r="A424" t="inlineStr">
        <is>
          <t>103577191</t>
        </is>
      </c>
      <c r="B424" t="inlineStr">
        <is>
          <t>Tagabe, April Joy Engaud</t>
        </is>
      </c>
      <c r="C424" t="inlineStr">
        <is>
          <t>apriljoy.tagabe@concentrix.com</t>
        </is>
      </c>
      <c r="D424" t="inlineStr">
        <is>
          <t>Salafranca, Ryan Alejo</t>
        </is>
      </c>
      <c r="E424" t="inlineStr">
        <is>
          <t>ryan.salafranca@concentrix.com</t>
        </is>
      </c>
      <c r="F424" t="inlineStr">
        <is>
          <t>Arcena, Alberto Chua</t>
        </is>
      </c>
      <c r="G424" t="inlineStr">
        <is>
          <t>alberto.arcenajr@concentrix.com</t>
        </is>
      </c>
      <c r="H424" t="inlineStr">
        <is>
          <t>Ebuenga, Sheryll Avellaneda</t>
        </is>
      </c>
      <c r="I424" t="inlineStr">
        <is>
          <t>sheryll.ebuenga@concentrix.com</t>
        </is>
      </c>
      <c r="J424" t="inlineStr"/>
      <c r="K424" t="inlineStr">
        <is>
          <t>HP Mainstream</t>
        </is>
      </c>
    </row>
    <row r="425">
      <c r="A425" t="inlineStr">
        <is>
          <t>103137626</t>
        </is>
      </c>
      <c r="B425" t="inlineStr">
        <is>
          <t>Tagaro, Jennifer Balacuit</t>
        </is>
      </c>
      <c r="C425" t="inlineStr">
        <is>
          <t>jennifer.tagaro@concentrix.com</t>
        </is>
      </c>
      <c r="D425" t="inlineStr">
        <is>
          <t>Ong, Lesley Ann Bayotas</t>
        </is>
      </c>
      <c r="E425" t="inlineStr">
        <is>
          <t>lesleyann.ong@concentrix.com</t>
        </is>
      </c>
      <c r="F425" t="inlineStr">
        <is>
          <t>Ramos, Ma Concepcion Sanchez</t>
        </is>
      </c>
      <c r="G425" t="inlineStr">
        <is>
          <t>maconcepcion.ramos@concentrix.com</t>
        </is>
      </c>
      <c r="H425" t="inlineStr">
        <is>
          <t>Ebuenga, Sheryll Avellaneda</t>
        </is>
      </c>
      <c r="I425" t="inlineStr">
        <is>
          <t>sheryll.ebuenga@concentrix.com</t>
        </is>
      </c>
      <c r="J425" t="inlineStr"/>
      <c r="K425" t="inlineStr">
        <is>
          <t>HP Mainstream</t>
        </is>
      </c>
    </row>
    <row r="426">
      <c r="A426" t="inlineStr">
        <is>
          <t>975881</t>
        </is>
      </c>
      <c r="B426" t="inlineStr">
        <is>
          <t>Talagtag, May Ann Lagon</t>
        </is>
      </c>
      <c r="C426" t="inlineStr">
        <is>
          <t>may.talagtag@concentrix.com</t>
        </is>
      </c>
      <c r="D426" t="inlineStr">
        <is>
          <t>Adrales, Allen Rick Aguilar</t>
        </is>
      </c>
      <c r="E426" t="inlineStr">
        <is>
          <t>allenrick.adrales@concentrix.com</t>
        </is>
      </c>
      <c r="F426" t="inlineStr">
        <is>
          <t>Ramos, Ma Concepcion Sanchez</t>
        </is>
      </c>
      <c r="G426" t="inlineStr">
        <is>
          <t>maconcepcion.ramos@concentrix.com</t>
        </is>
      </c>
      <c r="H426" t="inlineStr">
        <is>
          <t>Ebuenga, Sheryll Avellaneda</t>
        </is>
      </c>
      <c r="I426" t="inlineStr">
        <is>
          <t>sheryll.ebuenga@concentrix.com</t>
        </is>
      </c>
      <c r="J426" t="inlineStr"/>
      <c r="K426" t="inlineStr">
        <is>
          <t>HP Mainstream</t>
        </is>
      </c>
    </row>
    <row r="427">
      <c r="A427" t="inlineStr">
        <is>
          <t>101916445</t>
        </is>
      </c>
      <c r="B427" t="inlineStr">
        <is>
          <t>Tan, Irene Juson</t>
        </is>
      </c>
      <c r="C427" t="inlineStr">
        <is>
          <t>irene.juson@concentrix.com</t>
        </is>
      </c>
      <c r="D427" t="inlineStr">
        <is>
          <t>Ong, Lesley Ann Bayotas</t>
        </is>
      </c>
      <c r="E427" t="inlineStr">
        <is>
          <t>lesleyann.ong@concentrix.com</t>
        </is>
      </c>
      <c r="F427" t="inlineStr">
        <is>
          <t>Ramos, Ma Concepcion Sanchez</t>
        </is>
      </c>
      <c r="G427" t="inlineStr">
        <is>
          <t>maconcepcion.ramos@concentrix.com</t>
        </is>
      </c>
      <c r="H427" t="inlineStr">
        <is>
          <t>Ebuenga, Sheryll Avellaneda</t>
        </is>
      </c>
      <c r="I427" t="inlineStr">
        <is>
          <t>sheryll.ebuenga@concentrix.com</t>
        </is>
      </c>
      <c r="J427" t="inlineStr"/>
      <c r="K427" t="inlineStr">
        <is>
          <t>HP Mainstream</t>
        </is>
      </c>
    </row>
    <row r="428">
      <c r="A428" t="inlineStr">
        <is>
          <t>102883649</t>
        </is>
      </c>
      <c r="B428" t="inlineStr">
        <is>
          <t>Tan, Janine Raine Nmn</t>
        </is>
      </c>
      <c r="C428" t="inlineStr">
        <is>
          <t>janineraine.tan@concentrix.com</t>
        </is>
      </c>
      <c r="D428" t="inlineStr">
        <is>
          <t>Galope, Danri Catacutan</t>
        </is>
      </c>
      <c r="E428" t="inlineStr">
        <is>
          <t>danri.galope@concentrix.com</t>
        </is>
      </c>
      <c r="F428" t="inlineStr">
        <is>
          <t>Ramos, Ma Concepcion Sanchez</t>
        </is>
      </c>
      <c r="G428" t="inlineStr">
        <is>
          <t>maconcepcion.ramos@concentrix.com</t>
        </is>
      </c>
      <c r="H428" t="inlineStr">
        <is>
          <t>Ebuenga, Sheryll Avellaneda</t>
        </is>
      </c>
      <c r="I428" t="inlineStr">
        <is>
          <t>sheryll.ebuenga@concentrix.com</t>
        </is>
      </c>
      <c r="J428" t="inlineStr"/>
      <c r="K428" t="inlineStr">
        <is>
          <t>HP Mainstream</t>
        </is>
      </c>
    </row>
    <row r="429">
      <c r="A429" t="inlineStr">
        <is>
          <t>102865176</t>
        </is>
      </c>
      <c r="B429" t="inlineStr">
        <is>
          <t>Tayag, Gerald Munsayac</t>
        </is>
      </c>
      <c r="C429" t="inlineStr">
        <is>
          <t>gerald.tayag@concentrix.com</t>
        </is>
      </c>
      <c r="D429" t="inlineStr">
        <is>
          <t>Quinto, Bernadeth Mendoza</t>
        </is>
      </c>
      <c r="E429" t="inlineStr">
        <is>
          <t>bernadeth.quinto@concentrix.com</t>
        </is>
      </c>
      <c r="F429" t="inlineStr">
        <is>
          <t>Benedicto, Allen Kiel Lazarra</t>
        </is>
      </c>
      <c r="G429" t="inlineStr">
        <is>
          <t>allenkiel.benedicto@concentrix.com</t>
        </is>
      </c>
      <c r="H429" t="inlineStr">
        <is>
          <t>Ebuenga, Sheryll Avellaneda</t>
        </is>
      </c>
      <c r="I429" t="inlineStr">
        <is>
          <t>sheryll.ebuenga@concentrix.com</t>
        </is>
      </c>
      <c r="J429" t="inlineStr"/>
      <c r="K429" t="inlineStr">
        <is>
          <t>HP Mainstream</t>
        </is>
      </c>
    </row>
    <row r="430">
      <c r="A430" t="inlineStr">
        <is>
          <t>103577171</t>
        </is>
      </c>
      <c r="B430" t="inlineStr">
        <is>
          <t>Tesiorna, Justine Gerard Delos Santos</t>
        </is>
      </c>
      <c r="C430" t="inlineStr">
        <is>
          <t>justinegerard.tesiorna@concentrix.com</t>
        </is>
      </c>
      <c r="D430" t="inlineStr">
        <is>
          <t>Salafranca, Ryan Alejo</t>
        </is>
      </c>
      <c r="E430" t="inlineStr">
        <is>
          <t>ryan.salafranca@concentrix.com</t>
        </is>
      </c>
      <c r="F430" t="inlineStr">
        <is>
          <t>Arcena, Alberto Chua</t>
        </is>
      </c>
      <c r="G430" t="inlineStr">
        <is>
          <t>alberto.arcenajr@concentrix.com</t>
        </is>
      </c>
      <c r="H430" t="inlineStr">
        <is>
          <t>Ebuenga, Sheryll Avellaneda</t>
        </is>
      </c>
      <c r="I430" t="inlineStr">
        <is>
          <t>sheryll.ebuenga@concentrix.com</t>
        </is>
      </c>
      <c r="J430" t="inlineStr"/>
      <c r="K430" t="inlineStr">
        <is>
          <t>HP Mainstream</t>
        </is>
      </c>
    </row>
    <row r="431">
      <c r="A431" t="inlineStr">
        <is>
          <t>102868943</t>
        </is>
      </c>
      <c r="B431" t="inlineStr">
        <is>
          <t>Ticman, Hazel Bucad</t>
        </is>
      </c>
      <c r="C431" t="inlineStr">
        <is>
          <t>hazel.ticman@concentrix.com</t>
        </is>
      </c>
      <c r="D431" t="inlineStr">
        <is>
          <t>Sernal, Rachelle Ibiernas</t>
        </is>
      </c>
      <c r="E431" t="inlineStr">
        <is>
          <t>rachelle.sernal@concentrix.com</t>
        </is>
      </c>
      <c r="F431" t="inlineStr">
        <is>
          <t>Benedicto, Allen Kiel Lazarra</t>
        </is>
      </c>
      <c r="G431" t="inlineStr">
        <is>
          <t>allenkiel.benedicto@concentrix.com</t>
        </is>
      </c>
      <c r="H431" t="inlineStr">
        <is>
          <t>Ebuenga, Sheryll Avellaneda</t>
        </is>
      </c>
      <c r="I431" t="inlineStr">
        <is>
          <t>sheryll.ebuenga@concentrix.com</t>
        </is>
      </c>
      <c r="J431" t="inlineStr"/>
      <c r="K431" t="inlineStr">
        <is>
          <t>HP Mainstream</t>
        </is>
      </c>
    </row>
    <row r="432">
      <c r="A432" t="inlineStr">
        <is>
          <t>101475183</t>
        </is>
      </c>
      <c r="B432" t="inlineStr">
        <is>
          <t>Tinamisan, Normita Flaviano</t>
        </is>
      </c>
      <c r="C432" t="inlineStr">
        <is>
          <t>normita.tinamisan@concentrix.com</t>
        </is>
      </c>
      <c r="D432" t="inlineStr">
        <is>
          <t>Vedia, Jerson Reyes</t>
        </is>
      </c>
      <c r="E432" t="inlineStr">
        <is>
          <t>jerson.vedia@concentrix.com</t>
        </is>
      </c>
      <c r="F432" t="inlineStr">
        <is>
          <t>Ramos, Ma Concepcion Sanchez</t>
        </is>
      </c>
      <c r="G432" t="inlineStr">
        <is>
          <t>maconcepcion.ramos@concentrix.com</t>
        </is>
      </c>
      <c r="H432" t="inlineStr">
        <is>
          <t>Ebuenga, Sheryll Avellaneda</t>
        </is>
      </c>
      <c r="I432" t="inlineStr">
        <is>
          <t>sheryll.ebuenga@concentrix.com</t>
        </is>
      </c>
      <c r="J432" t="inlineStr"/>
      <c r="K432" t="inlineStr">
        <is>
          <t>HP Mainstream</t>
        </is>
      </c>
    </row>
    <row r="433">
      <c r="A433" t="inlineStr">
        <is>
          <t>103430706</t>
        </is>
      </c>
      <c r="B433" t="inlineStr">
        <is>
          <t>Tiu, K8Lene Salvador</t>
        </is>
      </c>
      <c r="C433" t="inlineStr">
        <is>
          <t>k8lene.tiu@concentrix.com</t>
        </is>
      </c>
      <c r="D433" t="inlineStr">
        <is>
          <t>Lungcay, Robin Landayan</t>
        </is>
      </c>
      <c r="E433" t="inlineStr">
        <is>
          <t>robin.lungcay@concentrix.com</t>
        </is>
      </c>
      <c r="F433" t="inlineStr">
        <is>
          <t>Benedicto, Allen Kiel Lazarra</t>
        </is>
      </c>
      <c r="G433" t="inlineStr">
        <is>
          <t>allenkiel.benedicto@concentrix.com</t>
        </is>
      </c>
      <c r="H433" t="inlineStr">
        <is>
          <t>Ebuenga, Sheryll Avellaneda</t>
        </is>
      </c>
      <c r="I433" t="inlineStr">
        <is>
          <t>sheryll.ebuenga@concentrix.com</t>
        </is>
      </c>
      <c r="J433" t="inlineStr"/>
      <c r="K433" t="inlineStr">
        <is>
          <t>HP Mainstream</t>
        </is>
      </c>
    </row>
    <row r="434">
      <c r="A434" t="inlineStr">
        <is>
          <t>103421957</t>
        </is>
      </c>
      <c r="B434" t="inlineStr">
        <is>
          <t>Tolentino, Divine Grace Pastor</t>
        </is>
      </c>
      <c r="C434" t="inlineStr">
        <is>
          <t>divinegrace.tolentino@concentrix.com</t>
        </is>
      </c>
      <c r="D434" t="inlineStr">
        <is>
          <t>Racha, Grace Eunice Divinagracia</t>
        </is>
      </c>
      <c r="E434" t="inlineStr">
        <is>
          <t>graceeunice.racha@concentrix.com</t>
        </is>
      </c>
      <c r="F434" t="inlineStr">
        <is>
          <t>Ramos, Ma Concepcion Sanchez</t>
        </is>
      </c>
      <c r="G434" t="inlineStr">
        <is>
          <t>maconcepcion.ramos@concentrix.com</t>
        </is>
      </c>
      <c r="H434" t="inlineStr">
        <is>
          <t>Ebuenga, Sheryll Avellaneda</t>
        </is>
      </c>
      <c r="I434" t="inlineStr">
        <is>
          <t>sheryll.ebuenga@concentrix.com</t>
        </is>
      </c>
      <c r="J434" t="inlineStr"/>
      <c r="K434" t="inlineStr">
        <is>
          <t>HP Mainstream</t>
        </is>
      </c>
    </row>
    <row r="435">
      <c r="A435" t="inlineStr">
        <is>
          <t>407901</t>
        </is>
      </c>
      <c r="B435" t="inlineStr">
        <is>
          <t>Tolentino, Dominic Christopher Rustia</t>
        </is>
      </c>
      <c r="C435" t="inlineStr">
        <is>
          <t>dominicchristopher.tolentino@concentrix.com</t>
        </is>
      </c>
      <c r="D435" t="inlineStr">
        <is>
          <t>Belandres, Nica Marie Ballola</t>
        </is>
      </c>
      <c r="E435" t="inlineStr">
        <is>
          <t>nicamarie.belandres@concentrix.com</t>
        </is>
      </c>
      <c r="F435" t="inlineStr">
        <is>
          <t>Benedicto, Allen Kiel Lazarra</t>
        </is>
      </c>
      <c r="G435" t="inlineStr">
        <is>
          <t>allenkiel.benedicto@concentrix.com</t>
        </is>
      </c>
      <c r="H435" t="inlineStr">
        <is>
          <t>Ebuenga, Sheryll Avellaneda</t>
        </is>
      </c>
      <c r="I435" t="inlineStr">
        <is>
          <t>sheryll.ebuenga@concentrix.com</t>
        </is>
      </c>
      <c r="J435" t="inlineStr"/>
      <c r="K435" t="inlineStr">
        <is>
          <t>HP Mainstream</t>
        </is>
      </c>
    </row>
    <row r="436">
      <c r="A436" t="inlineStr">
        <is>
          <t>101972887</t>
        </is>
      </c>
      <c r="B436" t="inlineStr">
        <is>
          <t>Tolentino, Ruby Anne Ramos</t>
        </is>
      </c>
      <c r="C436" t="inlineStr">
        <is>
          <t>rubyanne.tolentino@concentrix.com</t>
        </is>
      </c>
      <c r="D436" t="inlineStr">
        <is>
          <t>Lungcay, Robin Landayan</t>
        </is>
      </c>
      <c r="E436" t="inlineStr">
        <is>
          <t>robin.lungcay@concentrix.com</t>
        </is>
      </c>
      <c r="F436" t="inlineStr">
        <is>
          <t>Benedicto, Allen Kiel Lazarra</t>
        </is>
      </c>
      <c r="G436" t="inlineStr">
        <is>
          <t>allenkiel.benedicto@concentrix.com</t>
        </is>
      </c>
      <c r="H436" t="inlineStr">
        <is>
          <t>Ebuenga, Sheryll Avellaneda</t>
        </is>
      </c>
      <c r="I436" t="inlineStr">
        <is>
          <t>sheryll.ebuenga@concentrix.com</t>
        </is>
      </c>
      <c r="J436" t="inlineStr"/>
      <c r="K436" t="inlineStr">
        <is>
          <t>HP Mainstream</t>
        </is>
      </c>
    </row>
    <row r="437">
      <c r="A437" t="inlineStr">
        <is>
          <t>103455052</t>
        </is>
      </c>
      <c r="B437" t="inlineStr">
        <is>
          <t>Toribio, Fiercieval Ariza</t>
        </is>
      </c>
      <c r="C437" t="inlineStr">
        <is>
          <t>fiercieval.toribio@concentrix.com</t>
        </is>
      </c>
      <c r="D437" t="inlineStr">
        <is>
          <t>Lungcay, Robin Landayan</t>
        </is>
      </c>
      <c r="E437" t="inlineStr">
        <is>
          <t>robin.lungcay@concentrix.com</t>
        </is>
      </c>
      <c r="F437" t="inlineStr">
        <is>
          <t>Benedicto, Allen Kiel Lazarra</t>
        </is>
      </c>
      <c r="G437" t="inlineStr">
        <is>
          <t>allenkiel.benedicto@concentrix.com</t>
        </is>
      </c>
      <c r="H437" t="inlineStr">
        <is>
          <t>Ebuenga, Sheryll Avellaneda</t>
        </is>
      </c>
      <c r="I437" t="inlineStr">
        <is>
          <t>sheryll.ebuenga@concentrix.com</t>
        </is>
      </c>
      <c r="J437" t="inlineStr"/>
      <c r="K437" t="inlineStr">
        <is>
          <t>HP Mainstream</t>
        </is>
      </c>
    </row>
    <row r="438">
      <c r="A438" t="inlineStr">
        <is>
          <t>102227004</t>
        </is>
      </c>
      <c r="B438" t="inlineStr">
        <is>
          <t>Torres, Kenneth Nual</t>
        </is>
      </c>
      <c r="C438" t="inlineStr">
        <is>
          <t>kenneth.torres1@concentrix.com</t>
        </is>
      </c>
      <c r="D438" t="inlineStr">
        <is>
          <t>Ferrer, Jasper Kenneth Labor</t>
        </is>
      </c>
      <c r="E438" t="inlineStr">
        <is>
          <t>jasperkenneth.ferrer@concentrix.com</t>
        </is>
      </c>
      <c r="F438" t="inlineStr">
        <is>
          <t>Nito, Reynaldo Tribol</t>
        </is>
      </c>
      <c r="G438" t="inlineStr">
        <is>
          <t>reynaldo.nito@concentrix.com</t>
        </is>
      </c>
      <c r="H438" t="inlineStr">
        <is>
          <t>Ebuenga, Sheryll Avellaneda</t>
        </is>
      </c>
      <c r="I438" t="inlineStr">
        <is>
          <t>sheryll.ebuenga@concentrix.com</t>
        </is>
      </c>
      <c r="J438" t="inlineStr"/>
      <c r="K438" t="inlineStr">
        <is>
          <t>HP Mainstream</t>
        </is>
      </c>
    </row>
    <row r="439">
      <c r="A439" t="inlineStr">
        <is>
          <t>102864774</t>
        </is>
      </c>
      <c r="B439" t="inlineStr">
        <is>
          <t>Trinidad, Anya Carmina Tolentino</t>
        </is>
      </c>
      <c r="C439" t="inlineStr">
        <is>
          <t>anyacarmina.trinidad@concentrix.com</t>
        </is>
      </c>
      <c r="D439" t="inlineStr">
        <is>
          <t>Blas, Jesus Jr Trinidad</t>
        </is>
      </c>
      <c r="E439" t="inlineStr">
        <is>
          <t>jesus.blas@concentrix.com</t>
        </is>
      </c>
      <c r="F439" t="inlineStr">
        <is>
          <t>Arcena, Alberto Chua</t>
        </is>
      </c>
      <c r="G439" t="inlineStr">
        <is>
          <t>alberto.arcenajr@concentrix.com</t>
        </is>
      </c>
      <c r="H439" t="inlineStr">
        <is>
          <t>Ebuenga, Sheryll Avellaneda</t>
        </is>
      </c>
      <c r="I439" t="inlineStr">
        <is>
          <t>sheryll.ebuenga@concentrix.com</t>
        </is>
      </c>
      <c r="J439" t="inlineStr"/>
      <c r="K439" t="inlineStr">
        <is>
          <t>HP Mainstream</t>
        </is>
      </c>
    </row>
    <row r="440">
      <c r="A440" t="inlineStr">
        <is>
          <t>103114146</t>
        </is>
      </c>
      <c r="B440" t="inlineStr">
        <is>
          <t>Tulio, Lady Maureen Nayre</t>
        </is>
      </c>
      <c r="C440" t="inlineStr">
        <is>
          <t>ladymaureen.tulio@concentrix.com</t>
        </is>
      </c>
      <c r="D440" t="inlineStr">
        <is>
          <t>Ong, Lesley Ann Bayotas</t>
        </is>
      </c>
      <c r="E440" t="inlineStr">
        <is>
          <t>lesleyann.ong@concentrix.com</t>
        </is>
      </c>
      <c r="F440" t="inlineStr">
        <is>
          <t>Ramos, Ma Concepcion Sanchez</t>
        </is>
      </c>
      <c r="G440" t="inlineStr">
        <is>
          <t>maconcepcion.ramos@concentrix.com</t>
        </is>
      </c>
      <c r="H440" t="inlineStr">
        <is>
          <t>Ebuenga, Sheryll Avellaneda</t>
        </is>
      </c>
      <c r="I440" t="inlineStr">
        <is>
          <t>sheryll.ebuenga@concentrix.com</t>
        </is>
      </c>
      <c r="J440" t="inlineStr"/>
      <c r="K440" t="inlineStr">
        <is>
          <t>HP Mainstream</t>
        </is>
      </c>
    </row>
    <row r="441">
      <c r="A441" t="inlineStr">
        <is>
          <t>101138246</t>
        </is>
      </c>
      <c r="B441" t="inlineStr">
        <is>
          <t>Tumang, Louis Roberto Caparas</t>
        </is>
      </c>
      <c r="C441" t="inlineStr">
        <is>
          <t>louisroberto.tumang@concentrix.com</t>
        </is>
      </c>
      <c r="D441" t="inlineStr">
        <is>
          <t>Imran Shaikh</t>
        </is>
      </c>
      <c r="E441" t="inlineStr"/>
      <c r="F441" t="inlineStr">
        <is>
          <t>Imran Shaikh</t>
        </is>
      </c>
      <c r="G441" t="inlineStr"/>
      <c r="H441" t="inlineStr">
        <is>
          <t>-</t>
        </is>
      </c>
      <c r="I441" t="inlineStr"/>
      <c r="J441" t="inlineStr"/>
      <c r="K441" t="inlineStr">
        <is>
          <t>HP Mainstream</t>
        </is>
      </c>
    </row>
    <row r="442">
      <c r="A442" t="inlineStr">
        <is>
          <t>101076758</t>
        </is>
      </c>
      <c r="B442" t="inlineStr">
        <is>
          <t>Ugalino, Jonadel Pineda</t>
        </is>
      </c>
      <c r="C442" t="inlineStr">
        <is>
          <t>jonadel.ugalino@concentrix.com</t>
        </is>
      </c>
      <c r="D442" t="inlineStr">
        <is>
          <t>Benedicto, Allen Kiel Lazarra</t>
        </is>
      </c>
      <c r="E442" t="inlineStr">
        <is>
          <t>allenkiel.benedicto@concentrix.com</t>
        </is>
      </c>
      <c r="F442" t="inlineStr">
        <is>
          <t>Benedicto, Allen Kiel Lazarra</t>
        </is>
      </c>
      <c r="G442" t="inlineStr">
        <is>
          <t>allenkiel.benedicto@concentrix.com</t>
        </is>
      </c>
      <c r="H442" t="inlineStr">
        <is>
          <t>Ebuenga, Sheryll Avellaneda</t>
        </is>
      </c>
      <c r="I442" t="inlineStr">
        <is>
          <t>sheryll.ebuenga@concentrix.com</t>
        </is>
      </c>
      <c r="J442" t="inlineStr"/>
      <c r="K442" t="inlineStr">
        <is>
          <t>HP Mainstream</t>
        </is>
      </c>
    </row>
    <row r="443">
      <c r="A443" t="inlineStr">
        <is>
          <t>1039380</t>
        </is>
      </c>
      <c r="B443" t="inlineStr">
        <is>
          <t>Umali, Mary Jane Baniqued</t>
        </is>
      </c>
      <c r="C443" t="inlineStr">
        <is>
          <t>maryjane.umali@concentrix.com</t>
        </is>
      </c>
      <c r="D443" t="inlineStr">
        <is>
          <t>De Guzman, Gabriel Rodrigo</t>
        </is>
      </c>
      <c r="E443" t="inlineStr">
        <is>
          <t>gabriel.deguzman@concentrix.com</t>
        </is>
      </c>
      <c r="F443" t="inlineStr">
        <is>
          <t>Arcena, Alberto Chua</t>
        </is>
      </c>
      <c r="G443" t="inlineStr">
        <is>
          <t>alberto.arcenajr@concentrix.com</t>
        </is>
      </c>
      <c r="H443" t="inlineStr">
        <is>
          <t>Ebuenga, Sheryll Avellaneda</t>
        </is>
      </c>
      <c r="I443" t="inlineStr">
        <is>
          <t>sheryll.ebuenga@concentrix.com</t>
        </is>
      </c>
      <c r="J443" t="inlineStr"/>
      <c r="K443" t="inlineStr">
        <is>
          <t>HP Mainstream</t>
        </is>
      </c>
    </row>
    <row r="444">
      <c r="A444" t="inlineStr">
        <is>
          <t>102170569</t>
        </is>
      </c>
      <c r="B444" t="inlineStr">
        <is>
          <t>Valdez, Jasmin Ances</t>
        </is>
      </c>
      <c r="C444" t="inlineStr">
        <is>
          <t>jasmin.valdez@concentrix.com</t>
        </is>
      </c>
      <c r="D444" t="inlineStr">
        <is>
          <t>Ong, Lesley Ann Bayotas</t>
        </is>
      </c>
      <c r="E444" t="inlineStr">
        <is>
          <t>lesleyann.ong@concentrix.com</t>
        </is>
      </c>
      <c r="F444" t="inlineStr">
        <is>
          <t>Ramos, Ma Concepcion Sanchez</t>
        </is>
      </c>
      <c r="G444" t="inlineStr">
        <is>
          <t>maconcepcion.ramos@concentrix.com</t>
        </is>
      </c>
      <c r="H444" t="inlineStr">
        <is>
          <t>Ebuenga, Sheryll Avellaneda</t>
        </is>
      </c>
      <c r="I444" t="inlineStr">
        <is>
          <t>sheryll.ebuenga@concentrix.com</t>
        </is>
      </c>
      <c r="J444" t="inlineStr"/>
      <c r="K444" t="inlineStr">
        <is>
          <t>HP Mainstream</t>
        </is>
      </c>
    </row>
    <row r="445">
      <c r="A445" t="inlineStr">
        <is>
          <t>101936877</t>
        </is>
      </c>
      <c r="B445" t="inlineStr">
        <is>
          <t>Vallo, Alyssa Marie Roy</t>
        </is>
      </c>
      <c r="C445" t="inlineStr">
        <is>
          <t>alyssamarie.vallo@concentrix.com</t>
        </is>
      </c>
      <c r="D445" t="inlineStr">
        <is>
          <t>Briones, Aries Ang</t>
        </is>
      </c>
      <c r="E445" t="inlineStr">
        <is>
          <t>aries.briones@concentrix.com</t>
        </is>
      </c>
      <c r="F445" t="inlineStr">
        <is>
          <t>Arcena, Alberto Chua</t>
        </is>
      </c>
      <c r="G445" t="inlineStr">
        <is>
          <t>alberto.arcenajr@concentrix.com</t>
        </is>
      </c>
      <c r="H445" t="inlineStr">
        <is>
          <t>Ebuenga, Sheryll Avellaneda</t>
        </is>
      </c>
      <c r="I445" t="inlineStr">
        <is>
          <t>sheryll.ebuenga@concentrix.com</t>
        </is>
      </c>
      <c r="J445" t="inlineStr"/>
      <c r="K445" t="inlineStr">
        <is>
          <t>HP Mainstream</t>
        </is>
      </c>
    </row>
    <row r="446">
      <c r="A446" t="inlineStr">
        <is>
          <t>178324</t>
        </is>
      </c>
      <c r="B446" t="inlineStr">
        <is>
          <t>Vedia, Jerson Reyes</t>
        </is>
      </c>
      <c r="C446" t="inlineStr">
        <is>
          <t>jerson.vedia@concentrix.com</t>
        </is>
      </c>
      <c r="D446" t="inlineStr">
        <is>
          <t>Ramos, Ma Concepcion Sanchez</t>
        </is>
      </c>
      <c r="E446" t="inlineStr">
        <is>
          <t>maconcepcion.ramos@concentrix.com</t>
        </is>
      </c>
      <c r="F446" t="inlineStr">
        <is>
          <t>Ramos, Ma Concepcion Sanchez</t>
        </is>
      </c>
      <c r="G446" t="inlineStr">
        <is>
          <t>maconcepcion.ramos@concentrix.com</t>
        </is>
      </c>
      <c r="H446" t="inlineStr">
        <is>
          <t>Ebuenga, Sheryll Avellaneda</t>
        </is>
      </c>
      <c r="I446" t="inlineStr">
        <is>
          <t>sheryll.ebuenga@concentrix.com</t>
        </is>
      </c>
      <c r="J446" t="inlineStr"/>
      <c r="K446" t="inlineStr">
        <is>
          <t>HP Mainstream</t>
        </is>
      </c>
    </row>
    <row r="447">
      <c r="A447" t="inlineStr">
        <is>
          <t>102125892</t>
        </is>
      </c>
      <c r="B447" t="inlineStr">
        <is>
          <t>Vertudez, Nicole Mancia</t>
        </is>
      </c>
      <c r="C447" t="inlineStr">
        <is>
          <t>nicole.vertudez@concentrix.com</t>
        </is>
      </c>
      <c r="D447" t="inlineStr">
        <is>
          <t>Hije, Bernadeth Rosales</t>
        </is>
      </c>
      <c r="E447" t="inlineStr">
        <is>
          <t>bernadeth.hije@concentrix.com</t>
        </is>
      </c>
      <c r="F447" t="inlineStr">
        <is>
          <t>Benedicto, Allen Kiel Lazarra</t>
        </is>
      </c>
      <c r="G447" t="inlineStr">
        <is>
          <t>allenkiel.benedicto@concentrix.com</t>
        </is>
      </c>
      <c r="H447" t="inlineStr">
        <is>
          <t>Ebuenga, Sheryll Avellaneda</t>
        </is>
      </c>
      <c r="I447" t="inlineStr">
        <is>
          <t>sheryll.ebuenga@concentrix.com</t>
        </is>
      </c>
      <c r="J447" t="inlineStr"/>
      <c r="K447" t="inlineStr">
        <is>
          <t>HP Mainstream</t>
        </is>
      </c>
    </row>
    <row r="448">
      <c r="A448" t="inlineStr">
        <is>
          <t>102864940</t>
        </is>
      </c>
      <c r="B448" t="inlineStr">
        <is>
          <t>Victohay, Arjay Marie Olbisano</t>
        </is>
      </c>
      <c r="C448" t="inlineStr">
        <is>
          <t>arjaymarie.victohay@concentrix.com</t>
        </is>
      </c>
      <c r="D448" t="inlineStr">
        <is>
          <t>Ong, Lesley Ann Bayotas</t>
        </is>
      </c>
      <c r="E448" t="inlineStr">
        <is>
          <t>lesleyann.ong@concentrix.com</t>
        </is>
      </c>
      <c r="F448" t="inlineStr">
        <is>
          <t>Ramos, Ma Concepcion Sanchez</t>
        </is>
      </c>
      <c r="G448" t="inlineStr">
        <is>
          <t>maconcepcion.ramos@concentrix.com</t>
        </is>
      </c>
      <c r="H448" t="inlineStr">
        <is>
          <t>Ebuenga, Sheryll Avellaneda</t>
        </is>
      </c>
      <c r="I448" t="inlineStr">
        <is>
          <t>sheryll.ebuenga@concentrix.com</t>
        </is>
      </c>
      <c r="J448" t="inlineStr"/>
      <c r="K448" t="inlineStr">
        <is>
          <t>HP Mainstream</t>
        </is>
      </c>
    </row>
    <row r="449">
      <c r="A449" t="inlineStr">
        <is>
          <t>102046471</t>
        </is>
      </c>
      <c r="B449" t="inlineStr">
        <is>
          <t>Villagracia, Crisanta Campos</t>
        </is>
      </c>
      <c r="C449" t="inlineStr">
        <is>
          <t>crisanta.villagracia@concentrix.com</t>
        </is>
      </c>
      <c r="D449" t="inlineStr">
        <is>
          <t>Hije, Bernadeth Rosales</t>
        </is>
      </c>
      <c r="E449" t="inlineStr">
        <is>
          <t>bernadeth.hije@concentrix.com</t>
        </is>
      </c>
      <c r="F449" t="inlineStr">
        <is>
          <t>Benedicto, Allen Kiel Lazarra</t>
        </is>
      </c>
      <c r="G449" t="inlineStr">
        <is>
          <t>allenkiel.benedicto@concentrix.com</t>
        </is>
      </c>
      <c r="H449" t="inlineStr">
        <is>
          <t>Ebuenga, Sheryll Avellaneda</t>
        </is>
      </c>
      <c r="I449" t="inlineStr">
        <is>
          <t>sheryll.ebuenga@concentrix.com</t>
        </is>
      </c>
      <c r="J449" t="inlineStr"/>
      <c r="K449" t="inlineStr">
        <is>
          <t>HP Mainstream</t>
        </is>
      </c>
    </row>
    <row r="450">
      <c r="A450" t="inlineStr">
        <is>
          <t>101778853</t>
        </is>
      </c>
      <c r="B450" t="inlineStr">
        <is>
          <t>Villaluboz, Jay M Malusay</t>
        </is>
      </c>
      <c r="C450" t="inlineStr">
        <is>
          <t>jaym.villaluboz@concentrix.com</t>
        </is>
      </c>
      <c r="D450" t="inlineStr">
        <is>
          <t>Adrales, Allen Rick Aguilar</t>
        </is>
      </c>
      <c r="E450" t="inlineStr">
        <is>
          <t>allenrick.adrales@concentrix.com</t>
        </is>
      </c>
      <c r="F450" t="inlineStr">
        <is>
          <t>Ramos, Ma Concepcion Sanchez</t>
        </is>
      </c>
      <c r="G450" t="inlineStr">
        <is>
          <t>maconcepcion.ramos@concentrix.com</t>
        </is>
      </c>
      <c r="H450" t="inlineStr">
        <is>
          <t>Ebuenga, Sheryll Avellaneda</t>
        </is>
      </c>
      <c r="I450" t="inlineStr">
        <is>
          <t>sheryll.ebuenga@concentrix.com</t>
        </is>
      </c>
      <c r="J450" t="inlineStr"/>
      <c r="K450" t="inlineStr">
        <is>
          <t>HP Mainstream</t>
        </is>
      </c>
    </row>
    <row r="451">
      <c r="A451" t="inlineStr">
        <is>
          <t>188595</t>
        </is>
      </c>
      <c r="B451" t="inlineStr">
        <is>
          <t>Villamor, Joel Santos</t>
        </is>
      </c>
      <c r="C451" t="inlineStr">
        <is>
          <t>joel.villamor@concentrix.com</t>
        </is>
      </c>
      <c r="D451" t="inlineStr">
        <is>
          <t>Galope, Danri Catacutan</t>
        </is>
      </c>
      <c r="E451" t="inlineStr">
        <is>
          <t>danri.galope@concentrix.com</t>
        </is>
      </c>
      <c r="F451" t="inlineStr">
        <is>
          <t>Ramos, Ma Concepcion Sanchez</t>
        </is>
      </c>
      <c r="G451" t="inlineStr">
        <is>
          <t>maconcepcion.ramos@concentrix.com</t>
        </is>
      </c>
      <c r="H451" t="inlineStr">
        <is>
          <t>Ebuenga, Sheryll Avellaneda</t>
        </is>
      </c>
      <c r="I451" t="inlineStr">
        <is>
          <t>sheryll.ebuenga@concentrix.com</t>
        </is>
      </c>
      <c r="J451" t="inlineStr"/>
      <c r="K451" t="inlineStr">
        <is>
          <t>HP Mainstream</t>
        </is>
      </c>
    </row>
    <row r="452">
      <c r="A452" t="inlineStr">
        <is>
          <t>102111159</t>
        </is>
      </c>
      <c r="B452" t="inlineStr">
        <is>
          <t>Villania, Kenneth Paciente</t>
        </is>
      </c>
      <c r="C452" t="inlineStr">
        <is>
          <t>kenneth.villania@concentrix.com</t>
        </is>
      </c>
      <c r="D452" t="inlineStr">
        <is>
          <t>Briones, Aries Ang</t>
        </is>
      </c>
      <c r="E452" t="inlineStr">
        <is>
          <t>aries.briones@concentrix.com</t>
        </is>
      </c>
      <c r="F452" t="inlineStr">
        <is>
          <t>Arcena, Alberto Chua</t>
        </is>
      </c>
      <c r="G452" t="inlineStr">
        <is>
          <t>alberto.arcenajr@concentrix.com</t>
        </is>
      </c>
      <c r="H452" t="inlineStr">
        <is>
          <t>Ebuenga, Sheryll Avellaneda</t>
        </is>
      </c>
      <c r="I452" t="inlineStr">
        <is>
          <t>sheryll.ebuenga@concentrix.com</t>
        </is>
      </c>
      <c r="J452" t="inlineStr"/>
      <c r="K452" t="inlineStr">
        <is>
          <t>HP Mainstream</t>
        </is>
      </c>
    </row>
    <row r="453">
      <c r="A453" t="inlineStr">
        <is>
          <t>102844659</t>
        </is>
      </c>
      <c r="B453" t="inlineStr">
        <is>
          <t>Villanueva, Jiah Marie Pogoy</t>
        </is>
      </c>
      <c r="C453" t="inlineStr">
        <is>
          <t>jiahmarie.villanueva@concentrix.com</t>
        </is>
      </c>
      <c r="D453" t="inlineStr">
        <is>
          <t>Blas, Jesus Jr Trinidad</t>
        </is>
      </c>
      <c r="E453" t="inlineStr">
        <is>
          <t>jesus.blas@concentrix.com</t>
        </is>
      </c>
      <c r="F453" t="inlineStr">
        <is>
          <t>Arcena, Alberto Chua</t>
        </is>
      </c>
      <c r="G453" t="inlineStr">
        <is>
          <t>alberto.arcenajr@concentrix.com</t>
        </is>
      </c>
      <c r="H453" t="inlineStr">
        <is>
          <t>Ebuenga, Sheryll Avellaneda</t>
        </is>
      </c>
      <c r="I453" t="inlineStr">
        <is>
          <t>sheryll.ebuenga@concentrix.com</t>
        </is>
      </c>
      <c r="J453" t="inlineStr"/>
      <c r="K453" t="inlineStr">
        <is>
          <t>HP Mainstream</t>
        </is>
      </c>
    </row>
    <row r="454">
      <c r="A454" t="inlineStr">
        <is>
          <t>101483594</t>
        </is>
      </c>
      <c r="B454" t="inlineStr">
        <is>
          <t>Villarante, Mark Anthony Nepomuceno</t>
        </is>
      </c>
      <c r="C454" t="inlineStr">
        <is>
          <t>markanthony.villarante@concentrix.com</t>
        </is>
      </c>
      <c r="D454" t="inlineStr">
        <is>
          <t>Nito, Reynaldo Tribol</t>
        </is>
      </c>
      <c r="E454" t="inlineStr">
        <is>
          <t>reynaldo.nito@concentrix.com</t>
        </is>
      </c>
      <c r="F454" t="inlineStr">
        <is>
          <t>Nito, Reynaldo Tribol</t>
        </is>
      </c>
      <c r="G454" t="inlineStr">
        <is>
          <t>reynaldo.nito@concentrix.com</t>
        </is>
      </c>
      <c r="H454" t="inlineStr">
        <is>
          <t>Ebuenga, Sheryll Avellaneda</t>
        </is>
      </c>
      <c r="I454" t="inlineStr">
        <is>
          <t>sheryll.ebuenga@concentrix.com</t>
        </is>
      </c>
      <c r="J454" t="inlineStr"/>
      <c r="K454" t="inlineStr">
        <is>
          <t>HP Mainstream</t>
        </is>
      </c>
    </row>
    <row r="455">
      <c r="A455" t="inlineStr">
        <is>
          <t>101729534</t>
        </is>
      </c>
      <c r="B455" t="inlineStr">
        <is>
          <t>Villaroman, Katherine Ross Fernandez</t>
        </is>
      </c>
      <c r="C455" t="inlineStr">
        <is>
          <t>katherineross.villaroman@concentrix.com</t>
        </is>
      </c>
      <c r="D455" t="inlineStr">
        <is>
          <t>Hije, Bernadeth Rosales</t>
        </is>
      </c>
      <c r="E455" t="inlineStr">
        <is>
          <t>bernadeth.hije@concentrix.com</t>
        </is>
      </c>
      <c r="F455" t="inlineStr">
        <is>
          <t>Benedicto, Allen Kiel Lazarra</t>
        </is>
      </c>
      <c r="G455" t="inlineStr">
        <is>
          <t>allenkiel.benedicto@concentrix.com</t>
        </is>
      </c>
      <c r="H455" t="inlineStr">
        <is>
          <t>Ebuenga, Sheryll Avellaneda</t>
        </is>
      </c>
      <c r="I455" t="inlineStr">
        <is>
          <t>sheryll.ebuenga@concentrix.com</t>
        </is>
      </c>
      <c r="J455" t="inlineStr"/>
      <c r="K455" t="inlineStr">
        <is>
          <t>HP Mainstream</t>
        </is>
      </c>
    </row>
    <row r="456">
      <c r="A456" t="inlineStr">
        <is>
          <t>101522309</t>
        </is>
      </c>
      <c r="B456" t="inlineStr">
        <is>
          <t>Villaruz, Maria Lucia Sunshine Dulfo</t>
        </is>
      </c>
      <c r="C456" t="inlineStr">
        <is>
          <t>marialuciasunshine.villaruz@concentrix.com</t>
        </is>
      </c>
      <c r="D456" t="inlineStr">
        <is>
          <t>De Guzman, Gabriel Rodrigo</t>
        </is>
      </c>
      <c r="E456" t="inlineStr">
        <is>
          <t>gabriel.deguzman@concentrix.com</t>
        </is>
      </c>
      <c r="F456" t="inlineStr">
        <is>
          <t>Arcena, Alberto Chua</t>
        </is>
      </c>
      <c r="G456" t="inlineStr">
        <is>
          <t>alberto.arcenajr@concentrix.com</t>
        </is>
      </c>
      <c r="H456" t="inlineStr">
        <is>
          <t>Ebuenga, Sheryll Avellaneda</t>
        </is>
      </c>
      <c r="I456" t="inlineStr">
        <is>
          <t>sheryll.ebuenga@concentrix.com</t>
        </is>
      </c>
      <c r="J456" t="inlineStr"/>
      <c r="K456" t="inlineStr">
        <is>
          <t>HP Mainstream</t>
        </is>
      </c>
    </row>
    <row r="457">
      <c r="A457" t="inlineStr">
        <is>
          <t>102125909</t>
        </is>
      </c>
      <c r="B457" t="inlineStr">
        <is>
          <t>Vino, Jasmin Tancuan</t>
        </is>
      </c>
      <c r="C457" t="inlineStr">
        <is>
          <t>jasmin.vino@concentrix.com</t>
        </is>
      </c>
      <c r="D457" t="inlineStr">
        <is>
          <t>Quinto, Bernadeth Mendoza</t>
        </is>
      </c>
      <c r="E457" t="inlineStr">
        <is>
          <t>bernadeth.quinto@concentrix.com</t>
        </is>
      </c>
      <c r="F457" t="inlineStr">
        <is>
          <t>Benedicto, Allen Kiel Lazarra</t>
        </is>
      </c>
      <c r="G457" t="inlineStr">
        <is>
          <t>allenkiel.benedicto@concentrix.com</t>
        </is>
      </c>
      <c r="H457" t="inlineStr">
        <is>
          <t>Ebuenga, Sheryll Avellaneda</t>
        </is>
      </c>
      <c r="I457" t="inlineStr">
        <is>
          <t>sheryll.ebuenga@concentrix.com</t>
        </is>
      </c>
      <c r="J457" t="inlineStr"/>
      <c r="K457" t="inlineStr">
        <is>
          <t>HP Mainstream</t>
        </is>
      </c>
    </row>
    <row r="458">
      <c r="A458" t="inlineStr">
        <is>
          <t>101212318</t>
        </is>
      </c>
      <c r="B458" t="inlineStr">
        <is>
          <t>Vistan, Veronica Bondoc</t>
        </is>
      </c>
      <c r="C458" t="inlineStr">
        <is>
          <t>veronica.vistan@concentrix.com</t>
        </is>
      </c>
      <c r="D458" t="inlineStr">
        <is>
          <t>Luñiza, Jona Claveria</t>
        </is>
      </c>
      <c r="E458" t="inlineStr">
        <is>
          <t>jona.luniza@concentrix.com</t>
        </is>
      </c>
      <c r="F458" t="inlineStr">
        <is>
          <t>Arcena, Alberto Chua</t>
        </is>
      </c>
      <c r="G458" t="inlineStr">
        <is>
          <t>alberto.arcenajr@concentrix.com</t>
        </is>
      </c>
      <c r="H458" t="inlineStr">
        <is>
          <t>Ebuenga, Sheryll Avellaneda</t>
        </is>
      </c>
      <c r="I458" t="inlineStr">
        <is>
          <t>sheryll.ebuenga@concentrix.com</t>
        </is>
      </c>
      <c r="J458" t="inlineStr"/>
      <c r="K458" t="inlineStr">
        <is>
          <t>HP Mainstream</t>
        </is>
      </c>
    </row>
    <row r="459">
      <c r="A459" t="inlineStr">
        <is>
          <t>103103906</t>
        </is>
      </c>
      <c r="B459" t="inlineStr">
        <is>
          <t>Vizcayno, Jezzel Seva</t>
        </is>
      </c>
      <c r="C459" t="inlineStr">
        <is>
          <t>jezzel.vizcayno@concentrix.com</t>
        </is>
      </c>
      <c r="D459" t="inlineStr">
        <is>
          <t>Andrecoso, April Melody Sunga</t>
        </is>
      </c>
      <c r="E459" t="inlineStr">
        <is>
          <t>aprilmelody.andrecoso@concentrix.com</t>
        </is>
      </c>
      <c r="F459" t="inlineStr">
        <is>
          <t>Benedicto, Allen Kiel Lazarra</t>
        </is>
      </c>
      <c r="G459" t="inlineStr">
        <is>
          <t>allenkiel.benedicto@concentrix.com</t>
        </is>
      </c>
      <c r="H459" t="inlineStr">
        <is>
          <t>Ebuenga, Sheryll Avellaneda</t>
        </is>
      </c>
      <c r="I459" t="inlineStr">
        <is>
          <t>sheryll.ebuenga@concentrix.com</t>
        </is>
      </c>
      <c r="J459" t="inlineStr"/>
      <c r="K459" t="inlineStr">
        <is>
          <t>HP Mainstream</t>
        </is>
      </c>
    </row>
    <row r="460">
      <c r="A460" t="inlineStr">
        <is>
          <t>101364034</t>
        </is>
      </c>
      <c r="B460" t="inlineStr">
        <is>
          <t>Yabut, Trina Marie Armenio</t>
        </is>
      </c>
      <c r="C460" t="inlineStr">
        <is>
          <t>trinamarie.yabut@concentrix.com</t>
        </is>
      </c>
      <c r="D460" t="inlineStr">
        <is>
          <t>Vedia, Jerson Reyes</t>
        </is>
      </c>
      <c r="E460" t="inlineStr">
        <is>
          <t>jerson.vedia@concentrix.com</t>
        </is>
      </c>
      <c r="F460" t="inlineStr">
        <is>
          <t>Ramos, Ma Concepcion Sanchez</t>
        </is>
      </c>
      <c r="G460" t="inlineStr">
        <is>
          <t>maconcepcion.ramos@concentrix.com</t>
        </is>
      </c>
      <c r="H460" t="inlineStr">
        <is>
          <t>Ebuenga, Sheryll Avellaneda</t>
        </is>
      </c>
      <c r="I460" t="inlineStr">
        <is>
          <t>sheryll.ebuenga@concentrix.com</t>
        </is>
      </c>
      <c r="J460" t="inlineStr"/>
      <c r="K460" t="inlineStr">
        <is>
          <t>HP Mainstream</t>
        </is>
      </c>
    </row>
    <row r="461">
      <c r="A461" t="inlineStr">
        <is>
          <t>102224448</t>
        </is>
      </c>
      <c r="B461" t="inlineStr">
        <is>
          <t>Yalong Jr., Mario Liberato</t>
        </is>
      </c>
      <c r="C461" t="inlineStr">
        <is>
          <t>mario.yalongjr@concentrix.com</t>
        </is>
      </c>
      <c r="D461" t="inlineStr">
        <is>
          <t>Belandres, Nica Marie Ballola</t>
        </is>
      </c>
      <c r="E461" t="inlineStr">
        <is>
          <t>nicamarie.belandres@concentrix.com</t>
        </is>
      </c>
      <c r="F461" t="inlineStr">
        <is>
          <t>Benedicto, Allen Kiel Lazarra</t>
        </is>
      </c>
      <c r="G461" t="inlineStr">
        <is>
          <t>allenkiel.benedicto@concentrix.com</t>
        </is>
      </c>
      <c r="H461" t="inlineStr">
        <is>
          <t>Ebuenga, Sheryll Avellaneda</t>
        </is>
      </c>
      <c r="I461" t="inlineStr">
        <is>
          <t>sheryll.ebuenga@concentrix.com</t>
        </is>
      </c>
      <c r="J461" t="inlineStr"/>
      <c r="K461" t="inlineStr">
        <is>
          <t>HP Mainstream</t>
        </is>
      </c>
    </row>
    <row r="462">
      <c r="A462" t="inlineStr">
        <is>
          <t>101712070</t>
        </is>
      </c>
      <c r="B462" t="inlineStr">
        <is>
          <t>Yao, Patrick Acoba</t>
        </is>
      </c>
      <c r="C462" t="inlineStr">
        <is>
          <t>patrick.yao@concentrix.com</t>
        </is>
      </c>
      <c r="D462" t="inlineStr">
        <is>
          <t>Sernal, Rachelle Ibiernas</t>
        </is>
      </c>
      <c r="E462" t="inlineStr">
        <is>
          <t>rachelle.sernal@concentrix.com</t>
        </is>
      </c>
      <c r="F462" t="inlineStr">
        <is>
          <t>Benedicto, Allen Kiel Lazarra</t>
        </is>
      </c>
      <c r="G462" t="inlineStr">
        <is>
          <t>allenkiel.benedicto@concentrix.com</t>
        </is>
      </c>
      <c r="H462" t="inlineStr">
        <is>
          <t>Ebuenga, Sheryll Avellaneda</t>
        </is>
      </c>
      <c r="I462" t="inlineStr">
        <is>
          <t>sheryll.ebuenga@concentrix.com</t>
        </is>
      </c>
      <c r="J462" t="inlineStr"/>
      <c r="K462" t="inlineStr">
        <is>
          <t>HP Mainstream</t>
        </is>
      </c>
    </row>
    <row r="463">
      <c r="A463" t="inlineStr">
        <is>
          <t>101418827</t>
        </is>
      </c>
      <c r="B463" t="inlineStr">
        <is>
          <t>Yu, Haji Hernandez</t>
        </is>
      </c>
      <c r="C463" t="inlineStr">
        <is>
          <t>haji.yu@concentrix.com</t>
        </is>
      </c>
      <c r="D463" t="inlineStr">
        <is>
          <t>Ferrer, Jasper Kenneth Labor</t>
        </is>
      </c>
      <c r="E463" t="inlineStr">
        <is>
          <t>jasperkenneth.ferrer@concentrix.com</t>
        </is>
      </c>
      <c r="F463" t="inlineStr">
        <is>
          <t>Nito, Reynaldo Tribol</t>
        </is>
      </c>
      <c r="G463" t="inlineStr">
        <is>
          <t>reynaldo.nito@concentrix.com</t>
        </is>
      </c>
      <c r="H463" t="inlineStr">
        <is>
          <t>Ebuenga, Sheryll Avellaneda</t>
        </is>
      </c>
      <c r="I463" t="inlineStr">
        <is>
          <t>sheryll.ebuenga@concentrix.com</t>
        </is>
      </c>
      <c r="J463" t="inlineStr"/>
      <c r="K463" t="inlineStr">
        <is>
          <t>HP Mainstream</t>
        </is>
      </c>
    </row>
    <row r="464">
      <c r="A464" t="inlineStr">
        <is>
          <t>102843380</t>
        </is>
      </c>
      <c r="B464" t="inlineStr">
        <is>
          <t>Yusi, Janna Patricia Nmn</t>
        </is>
      </c>
      <c r="C464" t="inlineStr">
        <is>
          <t>jannapatricia.yusi@concentrix.com</t>
        </is>
      </c>
      <c r="D464" t="inlineStr">
        <is>
          <t>Galope, Danri Catacutan</t>
        </is>
      </c>
      <c r="E464" t="inlineStr">
        <is>
          <t>danri.galope@concentrix.com</t>
        </is>
      </c>
      <c r="F464" t="inlineStr">
        <is>
          <t>Ramos, Ma Concepcion Sanchez</t>
        </is>
      </c>
      <c r="G464" t="inlineStr">
        <is>
          <t>maconcepcion.ramos@concentrix.com</t>
        </is>
      </c>
      <c r="H464" t="inlineStr">
        <is>
          <t>Ebuenga, Sheryll Avellaneda</t>
        </is>
      </c>
      <c r="I464" t="inlineStr">
        <is>
          <t>sheryll.ebuenga@concentrix.com</t>
        </is>
      </c>
      <c r="J464" t="inlineStr"/>
      <c r="K464" t="inlineStr">
        <is>
          <t>HP Mainstream</t>
        </is>
      </c>
    </row>
    <row r="465">
      <c r="A465" t="inlineStr">
        <is>
          <t>157484</t>
        </is>
      </c>
      <c r="B465" t="inlineStr">
        <is>
          <t>Zafra, June Darelle Singson</t>
        </is>
      </c>
      <c r="C465" t="inlineStr">
        <is>
          <t>junedarelle.zafra@concentrix.com</t>
        </is>
      </c>
      <c r="D465" t="inlineStr">
        <is>
          <t>Panti, Alger Arellano</t>
        </is>
      </c>
      <c r="E465" t="inlineStr">
        <is>
          <t>alger.panti@concentrix.com</t>
        </is>
      </c>
      <c r="F465" t="inlineStr">
        <is>
          <t>Panti, Alger Arellano</t>
        </is>
      </c>
      <c r="G465" t="inlineStr">
        <is>
          <t>alger.panti@concentrix.com</t>
        </is>
      </c>
      <c r="H465" t="inlineStr">
        <is>
          <t>-</t>
        </is>
      </c>
      <c r="I465" t="inlineStr"/>
      <c r="J465" t="inlineStr"/>
      <c r="K465" t="inlineStr">
        <is>
          <t>HP Mainstream</t>
        </is>
      </c>
    </row>
  </sheetData>
  <dataValidations count="1">
    <dataValidation sqref="J2:J465" showDropDown="0" showInputMessage="0" showErrorMessage="0" allowBlank="1" type="list">
      <formula1>=Lists!$K$2:$K$5</formula1>
    </dataValidation>
  </dataValidation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tabColor rgb="00888888"/>
    <outlinePr summaryBelow="1" summaryRight="1"/>
    <pageSetUpPr/>
  </sheetPr>
  <dimension ref="A1:K465"/>
  <sheetViews>
    <sheetView workbookViewId="0">
      <selection activeCell="A1" sqref="A1"/>
    </sheetView>
  </sheetViews>
  <sheetFormatPr baseColWidth="8" defaultRowHeight="15"/>
  <cols>
    <col width="46" customWidth="1" min="1" max="1"/>
    <col width="46" customWidth="1" min="2" max="2"/>
    <col width="46" customWidth="1" min="3" max="3"/>
    <col width="46" customWidth="1" min="4" max="4"/>
    <col width="46" customWidth="1" min="5" max="5"/>
    <col width="46" customWidth="1" min="6" max="6"/>
    <col width="46" customWidth="1" min="7" max="7"/>
    <col width="46" customWidth="1" min="8" max="8"/>
  </cols>
  <sheetData>
    <row r="1">
      <c r="A1" s="28" t="inlineStr">
        <is>
          <t>Case Resolution options</t>
        </is>
      </c>
      <c r="B1" s="28" t="inlineStr">
        <is>
          <t>Expected Resolution Codes</t>
        </is>
      </c>
      <c r="C1" s="28" t="inlineStr">
        <is>
          <t>Auditors</t>
        </is>
      </c>
      <c r="D1" s="28" t="inlineStr">
        <is>
          <t>Timeframes</t>
        </is>
      </c>
      <c r="E1" s="28" t="inlineStr">
        <is>
          <t>CC distribution list (edit)</t>
        </is>
      </c>
      <c r="F1" s="28" t="inlineStr">
        <is>
          <t>Validation filter</t>
        </is>
      </c>
      <c r="G1" s="28" t="inlineStr">
        <is>
          <t>Team Leaders</t>
        </is>
      </c>
      <c r="H1" s="28" t="inlineStr">
        <is>
          <t>Agent Names</t>
        </is>
      </c>
      <c r="I1" s="28" t="inlineStr">
        <is>
          <t>Auditor filter</t>
        </is>
      </c>
      <c r="K1" s="28" t="inlineStr">
        <is>
          <t>Channels</t>
        </is>
      </c>
    </row>
    <row r="2">
      <c r="A2" t="inlineStr">
        <is>
          <t>Valid (Pass)</t>
        </is>
      </c>
      <c r="B2" t="inlineStr">
        <is>
          <t>Remote Solution (HW/SW Resolved Remotely via Troubleshooting)</t>
        </is>
      </c>
      <c r="C2" t="inlineStr">
        <is>
          <t>Sundeep Bhardwaj</t>
        </is>
      </c>
      <c r="D2" t="inlineStr">
        <is>
          <t>All Time</t>
        </is>
      </c>
      <c r="E2" t="inlineStr">
        <is>
          <t>PH_QUE_NE_HP_Quality_Support@concentrix.com</t>
        </is>
      </c>
      <c r="F2" t="inlineStr">
        <is>
          <t>All Statuses</t>
        </is>
      </c>
      <c r="G2" t="inlineStr">
        <is>
          <t>All Team Leaders</t>
        </is>
      </c>
      <c r="H2" t="inlineStr">
        <is>
          <t>Abad, Roberto Jr Marquez</t>
        </is>
      </c>
      <c r="I2" t="inlineStr">
        <is>
          <t>All Auditors</t>
        </is>
      </c>
      <c r="K2" t="inlineStr">
        <is>
          <t>Voice</t>
        </is>
      </c>
    </row>
    <row r="3">
      <c r="A3" t="inlineStr">
        <is>
          <t>Quick Case (Invalid)</t>
        </is>
      </c>
      <c r="B3" t="inlineStr">
        <is>
          <t>Parts Shipped (CSR Part / RCD Media / Instant Ink PO)</t>
        </is>
      </c>
      <c r="C3" t="inlineStr">
        <is>
          <t>Ivy Serata</t>
        </is>
      </c>
      <c r="D3" t="inlineStr">
        <is>
          <t>Today</t>
        </is>
      </c>
      <c r="F3" t="inlineStr">
        <is>
          <t>Valid</t>
        </is>
      </c>
      <c r="G3" t="inlineStr">
        <is>
          <t>Adrales, Allen Rick Aguilar</t>
        </is>
      </c>
      <c r="H3" t="inlineStr">
        <is>
          <t>Abadilla, Paul Justin Aleguiojo</t>
        </is>
      </c>
      <c r="I3" t="inlineStr">
        <is>
          <t>Sundeep Bhardwaj</t>
        </is>
      </c>
      <c r="K3" t="inlineStr">
        <is>
          <t>Chat</t>
        </is>
      </c>
    </row>
    <row r="4">
      <c r="A4" t="inlineStr">
        <is>
          <t>No Support Provided (Security Stop/Hold / Global Trade Fail)</t>
        </is>
      </c>
      <c r="B4" t="inlineStr">
        <is>
          <t>Onsite Solution (Break &amp; Fix / Installation Work Order)</t>
        </is>
      </c>
      <c r="C4" t="inlineStr">
        <is>
          <t>Jonel Meniano</t>
        </is>
      </c>
      <c r="D4" t="inlineStr">
        <is>
          <t>Last 7 Days</t>
        </is>
      </c>
      <c r="F4" t="inlineStr">
        <is>
          <t>Invalid</t>
        </is>
      </c>
      <c r="G4" t="inlineStr">
        <is>
          <t>Agustin, Alexander Veloso</t>
        </is>
      </c>
      <c r="H4" t="inlineStr">
        <is>
          <t>Abella, Asianicole Cuambot</t>
        </is>
      </c>
      <c r="I4" t="inlineStr">
        <is>
          <t>Ivy Serata</t>
        </is>
      </c>
      <c r="K4" t="inlineStr">
        <is>
          <t>Email</t>
        </is>
      </c>
    </row>
    <row r="5">
      <c r="A5" t="inlineStr">
        <is>
          <t>Cancel Per Customer / No Contact (CPC/NC)</t>
        </is>
      </c>
      <c r="B5" t="inlineStr">
        <is>
          <t>Offsite Solution (Bench / Depot Repair Service Order)</t>
        </is>
      </c>
      <c r="C5" t="inlineStr">
        <is>
          <t>Archieval Decena</t>
        </is>
      </c>
      <c r="D5" t="inlineStr">
        <is>
          <t>Last 14 Days</t>
        </is>
      </c>
      <c r="G5" t="inlineStr">
        <is>
          <t>Aluning, Alain-Angelo Cangco</t>
        </is>
      </c>
      <c r="H5" t="inlineStr">
        <is>
          <t>Abella, Ma. Divina Centino</t>
        </is>
      </c>
      <c r="I5" t="inlineStr">
        <is>
          <t>Jonel Meniano</t>
        </is>
      </c>
      <c r="K5" t="inlineStr">
        <is>
          <t>Back Office</t>
        </is>
      </c>
    </row>
    <row r="6">
      <c r="A6" t="inlineStr">
        <is>
          <t>Case Voided (Test Case / Duplicate / Created by Mistake)</t>
        </is>
      </c>
      <c r="B6" t="inlineStr">
        <is>
          <t>Exchange Solution (Whole Unit Exchange Arranged)</t>
        </is>
      </c>
      <c r="C6" t="inlineStr">
        <is>
          <t>Donnah Brual</t>
        </is>
      </c>
      <c r="D6" t="inlineStr">
        <is>
          <t>Last 30 Days</t>
        </is>
      </c>
      <c r="G6" t="inlineStr">
        <is>
          <t>Andrecoso, April Melody Sunga</t>
        </is>
      </c>
      <c r="H6" t="inlineStr">
        <is>
          <t>Abellar, Nina Grace Lincallo</t>
        </is>
      </c>
      <c r="I6" t="inlineStr">
        <is>
          <t>Archieval Decena</t>
        </is>
      </c>
    </row>
    <row r="7">
      <c r="A7" t="inlineStr">
        <is>
          <t>Non-Tech Solution (General Inquiry / Warranty / How-To)</t>
        </is>
      </c>
      <c r="B7" t="inlineStr">
        <is>
          <t>Non-Tech Solution (General Inquiry / Warranty / How-To)</t>
        </is>
      </c>
      <c r="C7" t="inlineStr">
        <is>
          <t>Emil Eduardo</t>
        </is>
      </c>
      <c r="D7" t="inlineStr">
        <is>
          <t>This Month</t>
        </is>
      </c>
      <c r="G7" t="inlineStr">
        <is>
          <t>Arcena, Alberto Chua</t>
        </is>
      </c>
      <c r="H7" t="inlineStr">
        <is>
          <t>Abogado, Maria Cristina Cambaliza</t>
        </is>
      </c>
      <c r="I7" t="inlineStr">
        <is>
          <t>Donnah Brual</t>
        </is>
      </c>
    </row>
    <row r="8">
      <c r="A8" t="inlineStr">
        <is>
          <t>Remote Solution (HW/SW Resolved Remotely via Troubleshooting)</t>
        </is>
      </c>
      <c r="B8" t="inlineStr">
        <is>
          <t>Cloud Recovery Download (Recovery Media with No Tech Concern)</t>
        </is>
      </c>
      <c r="C8" t="inlineStr">
        <is>
          <t>Maevenus Setias</t>
        </is>
      </c>
      <c r="G8" t="inlineStr">
        <is>
          <t>Bajo, Christian Dela Cruz</t>
        </is>
      </c>
      <c r="H8" t="inlineStr">
        <is>
          <t>Aceron, Ma Jovel Salvador</t>
        </is>
      </c>
      <c r="I8" t="inlineStr">
        <is>
          <t>Emil Eduardo</t>
        </is>
      </c>
    </row>
    <row r="9">
      <c r="A9" t="inlineStr">
        <is>
          <t>Offsite Solution (Bench / Depot Repair Service Order)</t>
        </is>
      </c>
      <c r="B9" t="inlineStr">
        <is>
          <t>Referred - for Hardware Service (ASP / 3rd Party HW / DOA)</t>
        </is>
      </c>
      <c r="C9" t="inlineStr">
        <is>
          <t>Kurtjohn Gatmaitan</t>
        </is>
      </c>
      <c r="G9" t="inlineStr">
        <is>
          <t>Belandres, Nica Marie Ballola</t>
        </is>
      </c>
      <c r="H9" t="inlineStr">
        <is>
          <t>Acuesta, Charles Gerry Stephen Logdat</t>
        </is>
      </c>
      <c r="I9" t="inlineStr">
        <is>
          <t>Maevenus Setias</t>
        </is>
      </c>
    </row>
    <row r="10">
      <c r="A10" t="inlineStr">
        <is>
          <t>Exchange Solution (Whole Unit Exchange Arranged)</t>
        </is>
      </c>
      <c r="B10" t="inlineStr">
        <is>
          <t>Referred - for Software Support (Out of Scope / 3rd Party SW)</t>
        </is>
      </c>
      <c r="C10" t="inlineStr">
        <is>
          <t>Attinareccie Padaya</t>
        </is>
      </c>
      <c r="G10" t="inlineStr">
        <is>
          <t>Benedicto, Allen Kiel Lazarra</t>
        </is>
      </c>
      <c r="H10" t="inlineStr">
        <is>
          <t>Adrales, Allen Rick Aguilar</t>
        </is>
      </c>
      <c r="I10" t="inlineStr">
        <is>
          <t>Kurtjohn Gatmaitan</t>
        </is>
      </c>
    </row>
    <row r="11">
      <c r="A11" t="inlineStr">
        <is>
          <t>Onsite Solution (Break &amp; Fix / Installation Work Order)</t>
        </is>
      </c>
      <c r="B11" t="inlineStr">
        <is>
          <t>Quick Case</t>
        </is>
      </c>
      <c r="C11" t="inlineStr">
        <is>
          <t>Christian Pila</t>
        </is>
      </c>
      <c r="G11" t="inlineStr">
        <is>
          <t>Blas, Jesus Jr Trinidad</t>
        </is>
      </c>
      <c r="H11" t="inlineStr">
        <is>
          <t>Agcaoili, Angel Moraine Hinoo</t>
        </is>
      </c>
      <c r="I11" t="inlineStr">
        <is>
          <t>Attinareccie Padaya</t>
        </is>
      </c>
    </row>
    <row r="12">
      <c r="A12" t="inlineStr">
        <is>
          <t>Parts Shipped (CSR Part / RCD Media / Instant Ink PO)</t>
        </is>
      </c>
      <c r="B12" t="inlineStr">
        <is>
          <t>No Support Provided (Security Stop/Hold / Global Trade Fail)</t>
        </is>
      </c>
      <c r="C12" t="inlineStr">
        <is>
          <t>Shaileen Almodiel</t>
        </is>
      </c>
      <c r="G12" t="inlineStr">
        <is>
          <t>Briones, Aries Ang</t>
        </is>
      </c>
      <c r="H12" t="inlineStr">
        <is>
          <t>Aguas, Thea Tolentino</t>
        </is>
      </c>
      <c r="I12" t="inlineStr">
        <is>
          <t>Christian Pila</t>
        </is>
      </c>
    </row>
    <row r="13">
      <c r="A13" t="inlineStr">
        <is>
          <t>Referred - for Hardware Service (ASP / 3rd Party HW / DOA)</t>
        </is>
      </c>
      <c r="B13" t="inlineStr">
        <is>
          <t>Cancel Per Customer / No Contact (CPC/NC)</t>
        </is>
      </c>
      <c r="C13" t="inlineStr">
        <is>
          <t>Darlene Presado</t>
        </is>
      </c>
      <c r="G13" t="inlineStr">
        <is>
          <t>Chan, Caroline Cruce</t>
        </is>
      </c>
      <c r="H13" t="inlineStr">
        <is>
          <t>Aguto, Luke Matthew Mariano</t>
        </is>
      </c>
      <c r="I13" t="inlineStr">
        <is>
          <t>Shaileen Almodiel</t>
        </is>
      </c>
    </row>
    <row r="14">
      <c r="A14" t="inlineStr">
        <is>
          <t>Referred - for Software Support (Out of Scope / 3rd Party SW)</t>
        </is>
      </c>
      <c r="B14" t="inlineStr">
        <is>
          <t>Case Voided (Test Case / Duplicate / Created by Mistake)</t>
        </is>
      </c>
      <c r="C14" t="inlineStr">
        <is>
          <t>Anita Fabales</t>
        </is>
      </c>
      <c r="G14" t="inlineStr">
        <is>
          <t>Cinco, Neville Dimagiba</t>
        </is>
      </c>
      <c r="H14" t="inlineStr">
        <is>
          <t>Ajose, Ferd Mark Cristobal</t>
        </is>
      </c>
      <c r="I14" t="inlineStr">
        <is>
          <t>Darlene Presado</t>
        </is>
      </c>
    </row>
    <row r="15">
      <c r="A15" t="inlineStr">
        <is>
          <t>Unresolved - Not Entitled for Support</t>
        </is>
      </c>
      <c r="B15" t="inlineStr">
        <is>
          <t>Unresolved - Not Entitled for Support</t>
        </is>
      </c>
      <c r="C15" t="inlineStr">
        <is>
          <t>Jessalyn Sastrillo</t>
        </is>
      </c>
      <c r="G15" t="inlineStr">
        <is>
          <t>De Guzman, Gabriel Rodrigo</t>
        </is>
      </c>
      <c r="H15" t="inlineStr">
        <is>
          <t>Albios, Art Christopher Salinas</t>
        </is>
      </c>
      <c r="I15" t="inlineStr">
        <is>
          <t>Anita Fabales</t>
        </is>
      </c>
    </row>
    <row r="16">
      <c r="C16" t="inlineStr">
        <is>
          <t>Caroline Chan</t>
        </is>
      </c>
      <c r="G16" t="inlineStr">
        <is>
          <t>Dela Fuente, Erick John Palomo</t>
        </is>
      </c>
      <c r="H16" t="inlineStr">
        <is>
          <t>Alcancia, Jaycel Giron</t>
        </is>
      </c>
      <c r="I16" t="inlineStr">
        <is>
          <t>Jessalyn Sastrillo</t>
        </is>
      </c>
    </row>
    <row r="17">
      <c r="G17" t="inlineStr">
        <is>
          <t>Ebuenga, Sheryll Avellaneda</t>
        </is>
      </c>
      <c r="H17" t="inlineStr">
        <is>
          <t>Aldea, Arthel Jane Donasco</t>
        </is>
      </c>
      <c r="I17" t="inlineStr">
        <is>
          <t>Caroline Chan</t>
        </is>
      </c>
    </row>
    <row r="18">
      <c r="G18" t="inlineStr">
        <is>
          <t>Ferrer, Jasper Kenneth Labor</t>
        </is>
      </c>
      <c r="H18" t="inlineStr">
        <is>
          <t>Alestre, Jolina Balde</t>
        </is>
      </c>
    </row>
    <row r="19">
      <c r="G19" t="inlineStr">
        <is>
          <t>Galope, Danri Catacutan</t>
        </is>
      </c>
      <c r="H19" t="inlineStr">
        <is>
          <t>Alinday, Shiela Marie Altabano</t>
        </is>
      </c>
    </row>
    <row r="20">
      <c r="G20" t="inlineStr">
        <is>
          <t>Hije, Bernadeth Rosales</t>
        </is>
      </c>
      <c r="H20" t="inlineStr">
        <is>
          <t>Almiñe, Jaypee Maniquiz</t>
        </is>
      </c>
    </row>
    <row r="21">
      <c r="G21" t="inlineStr">
        <is>
          <t>Imran Shaikh</t>
        </is>
      </c>
      <c r="H21" t="inlineStr">
        <is>
          <t>Almodiel, Shaileen Eduarte</t>
        </is>
      </c>
    </row>
    <row r="22">
      <c r="G22" t="inlineStr">
        <is>
          <t>Lazaro, Paolo Dennis Hidalgo</t>
        </is>
      </c>
      <c r="H22" t="inlineStr">
        <is>
          <t>Aluning, Alain-Angelo Cangco</t>
        </is>
      </c>
    </row>
    <row r="23">
      <c r="G23" t="inlineStr">
        <is>
          <t>Leonardo, Kristine Joy Sigalat</t>
        </is>
      </c>
      <c r="H23" t="inlineStr">
        <is>
          <t>Alvarez, Wenerick Francisco</t>
        </is>
      </c>
    </row>
    <row r="24">
      <c r="G24" t="inlineStr">
        <is>
          <t>Lungcay, Robin Landayan</t>
        </is>
      </c>
      <c r="H24" t="inlineStr">
        <is>
          <t>Amboyon, Julieta Mata</t>
        </is>
      </c>
    </row>
    <row r="25">
      <c r="G25" t="inlineStr">
        <is>
          <t>Luñiza, Jona Claveria</t>
        </is>
      </c>
      <c r="H25" t="inlineStr">
        <is>
          <t>Andrecoso, April Melody Sunga</t>
        </is>
      </c>
    </row>
    <row r="26">
      <c r="G26" t="inlineStr">
        <is>
          <t>Medel, Lorelei Gabriel</t>
        </is>
      </c>
      <c r="H26" t="inlineStr">
        <is>
          <t>Anilado, Ellen Sunga</t>
        </is>
      </c>
    </row>
    <row r="27">
      <c r="G27" t="inlineStr">
        <is>
          <t>Napone, Jerome Budlao</t>
        </is>
      </c>
      <c r="H27" t="inlineStr">
        <is>
          <t>Antonio, Jeric Camillan</t>
        </is>
      </c>
    </row>
    <row r="28">
      <c r="G28" t="inlineStr">
        <is>
          <t>Nito, Reynaldo Tribol</t>
        </is>
      </c>
      <c r="H28" t="inlineStr">
        <is>
          <t>Antonio, Marvin Molo</t>
        </is>
      </c>
    </row>
    <row r="29">
      <c r="G29" t="inlineStr">
        <is>
          <t>Ong, Lesley Ann Bayotas</t>
        </is>
      </c>
      <c r="H29" t="inlineStr">
        <is>
          <t>Antonio, Patricia Ann Valdez</t>
        </is>
      </c>
    </row>
    <row r="30">
      <c r="G30" t="inlineStr">
        <is>
          <t>Panti, Alger Arellano</t>
        </is>
      </c>
      <c r="H30" t="inlineStr">
        <is>
          <t>Apostol, Shaira Nmn</t>
        </is>
      </c>
    </row>
    <row r="31">
      <c r="G31" t="inlineStr">
        <is>
          <t>Pineda, Gerald Christian Bo</t>
        </is>
      </c>
      <c r="H31" t="inlineStr">
        <is>
          <t>Apuang, Cecilia Basilga</t>
        </is>
      </c>
    </row>
    <row r="32">
      <c r="G32" t="inlineStr">
        <is>
          <t>Poon, Aris Sobrevilla</t>
        </is>
      </c>
      <c r="H32" t="inlineStr">
        <is>
          <t>Aquino, Ricky Nido</t>
        </is>
      </c>
    </row>
    <row r="33">
      <c r="G33" t="inlineStr">
        <is>
          <t>Quinto, Bernadeth Mendoza</t>
        </is>
      </c>
      <c r="H33" t="inlineStr">
        <is>
          <t>Aramburo Jr., Romeo Marzan</t>
        </is>
      </c>
    </row>
    <row r="34">
      <c r="G34" t="inlineStr">
        <is>
          <t>Racha, Grace Eunice Divinagracia</t>
        </is>
      </c>
      <c r="H34" t="inlineStr">
        <is>
          <t>Arcena, Alberto Chua</t>
        </is>
      </c>
    </row>
    <row r="35">
      <c r="G35" t="inlineStr">
        <is>
          <t>Ramos, Ma Concepcion Sanchez</t>
        </is>
      </c>
      <c r="H35" t="inlineStr">
        <is>
          <t>Aringo, Ivy Mical Jugo</t>
        </is>
      </c>
    </row>
    <row r="36">
      <c r="G36" t="inlineStr">
        <is>
          <t>Salafranca, Ryan Alejo</t>
        </is>
      </c>
      <c r="H36" t="inlineStr">
        <is>
          <t>Arnado, Ricardo Agapito Guison</t>
        </is>
      </c>
    </row>
    <row r="37">
      <c r="G37" t="inlineStr">
        <is>
          <t>Sernal, Rachelle Ibiernas</t>
        </is>
      </c>
      <c r="H37" t="inlineStr">
        <is>
          <t>Arriola, Kathrine Kae Advincula</t>
        </is>
      </c>
    </row>
    <row r="38">
      <c r="G38" t="inlineStr">
        <is>
          <t>Sevilla, Audrey Marie Galindo</t>
        </is>
      </c>
      <c r="H38" t="inlineStr">
        <is>
          <t>Arsenue, Melvin Rosario</t>
        </is>
      </c>
    </row>
    <row r="39">
      <c r="G39" t="inlineStr">
        <is>
          <t>Sheilick Anne Munoz</t>
        </is>
      </c>
      <c r="H39" t="inlineStr">
        <is>
          <t>Asenas, Sheryll Mae Futalan</t>
        </is>
      </c>
    </row>
    <row r="40">
      <c r="G40" t="inlineStr">
        <is>
          <t>Ugalino, Jonadel Pineda</t>
        </is>
      </c>
      <c r="H40" t="inlineStr">
        <is>
          <t>Awitan, Jane Arimado</t>
        </is>
      </c>
    </row>
    <row r="41">
      <c r="G41" t="inlineStr">
        <is>
          <t>Vedia, Jerson Reyes</t>
        </is>
      </c>
      <c r="H41" t="inlineStr">
        <is>
          <t>Baguino, Ariel Forbes</t>
        </is>
      </c>
    </row>
    <row r="42">
      <c r="H42" t="inlineStr">
        <is>
          <t>Balingit, Judy Ann Getubig</t>
        </is>
      </c>
    </row>
    <row r="43">
      <c r="H43" t="inlineStr">
        <is>
          <t>Balles, Reymund Esquivel</t>
        </is>
      </c>
    </row>
    <row r="44">
      <c r="H44" t="inlineStr">
        <is>
          <t>Baloco, Paula Bianca Villarante</t>
        </is>
      </c>
    </row>
    <row r="45">
      <c r="H45" t="inlineStr">
        <is>
          <t>Baltazar, Ryan Casey Lansangan</t>
        </is>
      </c>
    </row>
    <row r="46">
      <c r="H46" t="inlineStr">
        <is>
          <t>Basbas, Lea Mai Lado</t>
        </is>
      </c>
    </row>
    <row r="47">
      <c r="H47" t="inlineStr">
        <is>
          <t>Batimana, Randy Pardilla</t>
        </is>
      </c>
    </row>
    <row r="48">
      <c r="H48" t="inlineStr">
        <is>
          <t>Bautista, Allan Joseph Sanchez</t>
        </is>
      </c>
    </row>
    <row r="49">
      <c r="H49" t="inlineStr">
        <is>
          <t>Bautista, Arvie Aggabao</t>
        </is>
      </c>
    </row>
    <row r="50">
      <c r="H50" t="inlineStr">
        <is>
          <t>Baya, Cindy Diaz</t>
        </is>
      </c>
    </row>
    <row r="51">
      <c r="H51" t="inlineStr">
        <is>
          <t>Bayson, Johnnella Faith Baluco</t>
        </is>
      </c>
    </row>
    <row r="52">
      <c r="H52" t="inlineStr">
        <is>
          <t>Belandres, Nica Marie Ballola</t>
        </is>
      </c>
    </row>
    <row r="53">
      <c r="H53" t="inlineStr">
        <is>
          <t>Belgica, Jessa Sarmiento</t>
        </is>
      </c>
    </row>
    <row r="54">
      <c r="H54" t="inlineStr">
        <is>
          <t>Bella, Zarla Marie Mallorca</t>
        </is>
      </c>
    </row>
    <row r="55">
      <c r="H55" t="inlineStr">
        <is>
          <t>Benedicto, Allen Kiel Lazarra</t>
        </is>
      </c>
    </row>
    <row r="56">
      <c r="H56" t="inlineStr">
        <is>
          <t>Benedicto, Mona Liza Matias</t>
        </is>
      </c>
    </row>
    <row r="57">
      <c r="H57" t="inlineStr">
        <is>
          <t>Bernardo, Mary Jane Cayme</t>
        </is>
      </c>
    </row>
    <row r="58">
      <c r="H58" t="inlineStr">
        <is>
          <t>Bernat, Rae Anne Claro</t>
        </is>
      </c>
    </row>
    <row r="59">
      <c r="H59" t="inlineStr">
        <is>
          <t>Bertos, Cindy Salmingo</t>
        </is>
      </c>
    </row>
    <row r="60">
      <c r="H60" t="inlineStr">
        <is>
          <t>Bhardwaj, Sundeep Taneza</t>
        </is>
      </c>
    </row>
    <row r="61">
      <c r="H61" t="inlineStr">
        <is>
          <t>Billete, Salve Checa</t>
        </is>
      </c>
    </row>
    <row r="62">
      <c r="H62" t="inlineStr">
        <is>
          <t>Blanco, Mary Jane Severano</t>
        </is>
      </c>
    </row>
    <row r="63">
      <c r="H63" t="inlineStr">
        <is>
          <t>Blas, Jesus Jr Trinidad</t>
        </is>
      </c>
    </row>
    <row r="64">
      <c r="H64" t="inlineStr">
        <is>
          <t>Boado, Jennifer A</t>
        </is>
      </c>
    </row>
    <row r="65">
      <c r="H65" t="inlineStr">
        <is>
          <t>Bocar, Genesis -</t>
        </is>
      </c>
    </row>
    <row r="66">
      <c r="H66" t="inlineStr">
        <is>
          <t>Bocbocila, Josiel Amahit</t>
        </is>
      </c>
    </row>
    <row r="67">
      <c r="H67" t="inlineStr">
        <is>
          <t>Bondal, Dwennie Loraine Mendoza</t>
        </is>
      </c>
    </row>
    <row r="68">
      <c r="H68" t="inlineStr">
        <is>
          <t>Bonilla, Ralph Vincent Tolentino</t>
        </is>
      </c>
    </row>
    <row r="69">
      <c r="H69" t="inlineStr">
        <is>
          <t>Borbon, Genesis Amor Mendoza</t>
        </is>
      </c>
    </row>
    <row r="70">
      <c r="H70" t="inlineStr">
        <is>
          <t>Bordarays, Alyssa Matudan</t>
        </is>
      </c>
    </row>
    <row r="71">
      <c r="H71" t="inlineStr">
        <is>
          <t>Boribor, Mary Shane Ombing</t>
        </is>
      </c>
    </row>
    <row r="72">
      <c r="H72" t="inlineStr">
        <is>
          <t>Bornolla, Lord Kelvin Amos</t>
        </is>
      </c>
    </row>
    <row r="73">
      <c r="H73" t="inlineStr">
        <is>
          <t>Bote, Roderic Fabay</t>
        </is>
      </c>
    </row>
    <row r="74">
      <c r="H74" t="inlineStr">
        <is>
          <t>Bravo, Janilyne Flores</t>
        </is>
      </c>
    </row>
    <row r="75">
      <c r="H75" t="inlineStr">
        <is>
          <t>Briones, Aries Ang</t>
        </is>
      </c>
    </row>
    <row r="76">
      <c r="H76" t="inlineStr">
        <is>
          <t>Brioso, John Vergel Quinones</t>
        </is>
      </c>
    </row>
    <row r="77">
      <c r="H77" t="inlineStr">
        <is>
          <t>Brosas, Solito Quinquito</t>
        </is>
      </c>
    </row>
    <row r="78">
      <c r="H78" t="inlineStr">
        <is>
          <t>Brual, Donnah Kharoleen Balagtas</t>
        </is>
      </c>
    </row>
    <row r="79">
      <c r="H79" t="inlineStr">
        <is>
          <t>Buenaventura, Claudette Andrea Limjuco</t>
        </is>
      </c>
    </row>
    <row r="80">
      <c r="H80" t="inlineStr">
        <is>
          <t>Buendia, Clarissa San Vicente</t>
        </is>
      </c>
    </row>
    <row r="81">
      <c r="H81" t="inlineStr">
        <is>
          <t>Bughao, Vicente Carlos De Luna</t>
        </is>
      </c>
    </row>
    <row r="82">
      <c r="H82" t="inlineStr">
        <is>
          <t>Cabus, Dionicio Hernandez</t>
        </is>
      </c>
    </row>
    <row r="83">
      <c r="H83" t="inlineStr">
        <is>
          <t>Calo, Mayet Largosa</t>
        </is>
      </c>
    </row>
    <row r="84">
      <c r="H84" t="inlineStr">
        <is>
          <t>Calvendra, Jaycelle Perez</t>
        </is>
      </c>
    </row>
    <row r="85">
      <c r="H85" t="inlineStr">
        <is>
          <t>Cambe, Bernadeth Punzalan</t>
        </is>
      </c>
    </row>
    <row r="86">
      <c r="H86" t="inlineStr">
        <is>
          <t>Canales, Mark Florenz Guballo</t>
        </is>
      </c>
    </row>
    <row r="87">
      <c r="H87" t="inlineStr">
        <is>
          <t>Capales, Quennie Vasquez</t>
        </is>
      </c>
    </row>
    <row r="88">
      <c r="H88" t="inlineStr">
        <is>
          <t>Capule, Angel Kate Devaras</t>
        </is>
      </c>
    </row>
    <row r="89">
      <c r="H89" t="inlineStr">
        <is>
          <t>Carbajal, James Nathaniel Abastillas</t>
        </is>
      </c>
    </row>
    <row r="90">
      <c r="H90" t="inlineStr">
        <is>
          <t>Carpio, Ellen Rose Medina</t>
        </is>
      </c>
    </row>
    <row r="91">
      <c r="H91" t="inlineStr">
        <is>
          <t>Casing, Jhon Carlo Azarcon</t>
        </is>
      </c>
    </row>
    <row r="92">
      <c r="H92" t="inlineStr">
        <is>
          <t>Casiño, Jaypee Cabural</t>
        </is>
      </c>
    </row>
    <row r="93">
      <c r="H93" t="inlineStr">
        <is>
          <t>Castillo, Wilbert Pamplona</t>
        </is>
      </c>
    </row>
    <row r="94">
      <c r="H94" t="inlineStr">
        <is>
          <t>Castro, Michael Catiempo</t>
        </is>
      </c>
    </row>
    <row r="95">
      <c r="H95" t="inlineStr">
        <is>
          <t>Cañaveral, January Olivar</t>
        </is>
      </c>
    </row>
    <row r="96">
      <c r="H96" t="inlineStr">
        <is>
          <t>Cañedo, Danie Dela Cruz</t>
        </is>
      </c>
    </row>
    <row r="97">
      <c r="H97" t="inlineStr">
        <is>
          <t>Cerace, Jayson Silvio</t>
        </is>
      </c>
    </row>
    <row r="98">
      <c r="H98" t="inlineStr">
        <is>
          <t>Chan, Caroline Cruce</t>
        </is>
      </c>
    </row>
    <row r="99">
      <c r="H99" t="inlineStr">
        <is>
          <t>Chu, Ivan Rainier Tan</t>
        </is>
      </c>
    </row>
    <row r="100">
      <c r="H100" t="inlineStr">
        <is>
          <t>Cinco, Neville Dimagiba</t>
        </is>
      </c>
    </row>
    <row r="101">
      <c r="H101" t="inlineStr">
        <is>
          <t>Claro, Yvonne Larita</t>
        </is>
      </c>
    </row>
    <row r="102">
      <c r="H102" t="inlineStr">
        <is>
          <t>Cornell, Saida Mateo</t>
        </is>
      </c>
    </row>
    <row r="103">
      <c r="H103" t="inlineStr">
        <is>
          <t>Costoy, Renel Dave Nmn</t>
        </is>
      </c>
    </row>
    <row r="104">
      <c r="H104" t="inlineStr">
        <is>
          <t>Crisostomo, Alma Tigas</t>
        </is>
      </c>
    </row>
    <row r="105">
      <c r="H105" t="inlineStr">
        <is>
          <t>Cruz, Donato Mataganas</t>
        </is>
      </c>
    </row>
    <row r="106">
      <c r="H106" t="inlineStr">
        <is>
          <t>Cruz, Jenefa Rose Salas</t>
        </is>
      </c>
    </row>
    <row r="107">
      <c r="H107" t="inlineStr">
        <is>
          <t>Cruz, Ma. Cassandra Orada</t>
        </is>
      </c>
    </row>
    <row r="108">
      <c r="H108" t="inlineStr">
        <is>
          <t>Cruz, Michael Portem</t>
        </is>
      </c>
    </row>
    <row r="109">
      <c r="H109" t="inlineStr">
        <is>
          <t>Cruz, Niel Aldrin Ibañez</t>
        </is>
      </c>
    </row>
    <row r="110">
      <c r="H110" t="inlineStr">
        <is>
          <t>Cua, Mary Grace Largo</t>
        </is>
      </c>
    </row>
    <row r="111">
      <c r="H111" t="inlineStr">
        <is>
          <t>Cuambot, Khimverly Ocampo</t>
        </is>
      </c>
    </row>
    <row r="112">
      <c r="H112" t="inlineStr">
        <is>
          <t>Cubillas, Rhena June Matuguina</t>
        </is>
      </c>
    </row>
    <row r="113">
      <c r="H113" t="inlineStr">
        <is>
          <t>Cuenta, Azar Glenn Hilvano</t>
        </is>
      </c>
    </row>
    <row r="114">
      <c r="H114" t="inlineStr">
        <is>
          <t>Cunanan, Clarence Rico</t>
        </is>
      </c>
    </row>
    <row r="115">
      <c r="H115" t="inlineStr">
        <is>
          <t>Cura Jr, Isagani Dela Rosa</t>
        </is>
      </c>
    </row>
    <row r="116">
      <c r="H116" t="inlineStr">
        <is>
          <t>Daclizon, Raffy Baldonado</t>
        </is>
      </c>
    </row>
    <row r="117">
      <c r="H117" t="inlineStr">
        <is>
          <t>Dagani, Karin Camarin</t>
        </is>
      </c>
    </row>
    <row r="118">
      <c r="H118" t="inlineStr">
        <is>
          <t>Dagdagan, Maria Francisca Querubin</t>
        </is>
      </c>
    </row>
    <row r="119">
      <c r="H119" t="inlineStr">
        <is>
          <t>Danao, Prince Edward Sanchez</t>
        </is>
      </c>
    </row>
    <row r="120">
      <c r="H120" t="inlineStr">
        <is>
          <t>Danting, Racquel Lacap</t>
        </is>
      </c>
    </row>
    <row r="121">
      <c r="H121" t="inlineStr">
        <is>
          <t>David, Renariza Parena</t>
        </is>
      </c>
    </row>
    <row r="122">
      <c r="H122" t="inlineStr">
        <is>
          <t>Dayapera, Nathalie Kaila Fontamillas</t>
        </is>
      </c>
    </row>
    <row r="123">
      <c r="H123" t="inlineStr">
        <is>
          <t>De Goma, Jerome Morales</t>
        </is>
      </c>
    </row>
    <row r="124">
      <c r="H124" t="inlineStr">
        <is>
          <t>De Guzman, Benzie Na</t>
        </is>
      </c>
    </row>
    <row r="125">
      <c r="H125" t="inlineStr">
        <is>
          <t>De Guzman, Emil Salvador</t>
        </is>
      </c>
    </row>
    <row r="126">
      <c r="H126" t="inlineStr">
        <is>
          <t>De Guzman, Gabriel Rodrigo</t>
        </is>
      </c>
    </row>
    <row r="127">
      <c r="H127" t="inlineStr">
        <is>
          <t>De Guzman, Gilbert Bondad</t>
        </is>
      </c>
    </row>
    <row r="128">
      <c r="H128" t="inlineStr">
        <is>
          <t>De Guzman, Marks Frederick Robosa</t>
        </is>
      </c>
    </row>
    <row r="129">
      <c r="H129" t="inlineStr">
        <is>
          <t>De Guzman, Steven Michael Flores</t>
        </is>
      </c>
    </row>
    <row r="130">
      <c r="H130" t="inlineStr">
        <is>
          <t>De Jesus, Alondra Mae Velasco</t>
        </is>
      </c>
    </row>
    <row r="131">
      <c r="H131" t="inlineStr">
        <is>
          <t>De Leon, Edison Alvarez</t>
        </is>
      </c>
    </row>
    <row r="132">
      <c r="H132" t="inlineStr">
        <is>
          <t>De Leon, Gerald Michael Solana</t>
        </is>
      </c>
    </row>
    <row r="133">
      <c r="H133" t="inlineStr">
        <is>
          <t>De Leon, Melanie Sitjar</t>
        </is>
      </c>
    </row>
    <row r="134">
      <c r="H134" t="inlineStr">
        <is>
          <t>De Leon, Menandro Bron</t>
        </is>
      </c>
    </row>
    <row r="135">
      <c r="H135" t="inlineStr">
        <is>
          <t>De Leon, Neley Joyce Salvador</t>
        </is>
      </c>
    </row>
    <row r="136">
      <c r="H136" t="inlineStr">
        <is>
          <t>De Santos, Bea Maxene Santiago</t>
        </is>
      </c>
    </row>
    <row r="137">
      <c r="H137" t="inlineStr">
        <is>
          <t>De Villa, Scott Chavez</t>
        </is>
      </c>
    </row>
    <row r="138">
      <c r="H138" t="inlineStr">
        <is>
          <t>Decena, Archieval</t>
        </is>
      </c>
    </row>
    <row r="139">
      <c r="H139" t="inlineStr">
        <is>
          <t>Dela Cruz, Donaldo Laygo</t>
        </is>
      </c>
    </row>
    <row r="140">
      <c r="H140" t="inlineStr">
        <is>
          <t>Dela Cruz, Jochelle Ann Bernas</t>
        </is>
      </c>
    </row>
    <row r="141">
      <c r="H141" t="inlineStr">
        <is>
          <t>Dela Cruz, Rodalyn Daylo</t>
        </is>
      </c>
    </row>
    <row r="142">
      <c r="H142" t="inlineStr">
        <is>
          <t>Dela Fuente, Erick John Palomo</t>
        </is>
      </c>
    </row>
    <row r="143">
      <c r="H143" t="inlineStr">
        <is>
          <t>Dela Torre, Anghelica Cuanico</t>
        </is>
      </c>
    </row>
    <row r="144">
      <c r="H144" t="inlineStr">
        <is>
          <t>Delbo, Ana Marie Espira</t>
        </is>
      </c>
    </row>
    <row r="145">
      <c r="H145" t="inlineStr">
        <is>
          <t>Delos Reyes, Anthony De Castro</t>
        </is>
      </c>
    </row>
    <row r="146">
      <c r="H146" t="inlineStr">
        <is>
          <t>Demetrio, Olivia Continedas</t>
        </is>
      </c>
    </row>
    <row r="147">
      <c r="H147" t="inlineStr">
        <is>
          <t>Deri, Roselyn Dioneda</t>
        </is>
      </c>
    </row>
    <row r="148">
      <c r="H148" t="inlineStr">
        <is>
          <t>Diano, Lester Torres</t>
        </is>
      </c>
    </row>
    <row r="149">
      <c r="H149" t="inlineStr">
        <is>
          <t>Diaz, Apol Sablawon</t>
        </is>
      </c>
    </row>
    <row r="150">
      <c r="H150" t="inlineStr">
        <is>
          <t>Dino, Justin Clark Laynes</t>
        </is>
      </c>
    </row>
    <row r="151">
      <c r="H151" t="inlineStr">
        <is>
          <t>Divina, Jansaint Dave Camacho</t>
        </is>
      </c>
    </row>
    <row r="152">
      <c r="H152" t="inlineStr">
        <is>
          <t>Dizon, Milanie Yap</t>
        </is>
      </c>
    </row>
    <row r="153">
      <c r="H153" t="inlineStr">
        <is>
          <t>Dordas, Ireneo Delfin</t>
        </is>
      </c>
    </row>
    <row r="154">
      <c r="H154" t="inlineStr">
        <is>
          <t>Dublin, Alliah Crystelle Reyes</t>
        </is>
      </c>
    </row>
    <row r="155">
      <c r="H155" t="inlineStr">
        <is>
          <t>Dungca, Luis Amante Digman</t>
        </is>
      </c>
    </row>
    <row r="156">
      <c r="H156" t="inlineStr">
        <is>
          <t>Dy, Jonathan Dumindin</t>
        </is>
      </c>
    </row>
    <row r="157">
      <c r="H157" t="inlineStr">
        <is>
          <t>Ebuenga, Sheryll Avellaneda</t>
        </is>
      </c>
    </row>
    <row r="158">
      <c r="H158" t="inlineStr">
        <is>
          <t>Edralin, Emma Desuyo</t>
        </is>
      </c>
    </row>
    <row r="159">
      <c r="H159" t="inlineStr">
        <is>
          <t>Eduardo, Emil Manucot</t>
        </is>
      </c>
    </row>
    <row r="160">
      <c r="H160" t="inlineStr">
        <is>
          <t>Ejurcadas, Princess Jane Bleack</t>
        </is>
      </c>
    </row>
    <row r="161">
      <c r="H161" t="inlineStr">
        <is>
          <t>Elefante, Windelyn Veniegas</t>
        </is>
      </c>
    </row>
    <row r="162">
      <c r="H162" t="inlineStr">
        <is>
          <t>Enriquez, Irene Cañas</t>
        </is>
      </c>
    </row>
    <row r="163">
      <c r="H163" t="inlineStr">
        <is>
          <t>Epino, Niccolo Vince Matunan</t>
        </is>
      </c>
    </row>
    <row r="164">
      <c r="H164" t="inlineStr">
        <is>
          <t>Eroy, Shieva Camille Dela Cruz</t>
        </is>
      </c>
    </row>
    <row r="165">
      <c r="H165" t="inlineStr">
        <is>
          <t>Esmabe, Jaessen Wadasen</t>
        </is>
      </c>
    </row>
    <row r="166">
      <c r="H166" t="inlineStr">
        <is>
          <t>Espineda, Anthony Direc Donor</t>
        </is>
      </c>
    </row>
    <row r="167">
      <c r="H167" t="inlineStr">
        <is>
          <t>Espiritu, Antonelli Berbaño</t>
        </is>
      </c>
    </row>
    <row r="168">
      <c r="H168" t="inlineStr">
        <is>
          <t>Espiritu, Elmer Madaraso</t>
        </is>
      </c>
    </row>
    <row r="169">
      <c r="H169" t="inlineStr">
        <is>
          <t>Esquilona, Liezl Equipado</t>
        </is>
      </c>
    </row>
    <row r="170">
      <c r="H170" t="inlineStr">
        <is>
          <t>Estanislao, John Lore Jacla</t>
        </is>
      </c>
    </row>
    <row r="171">
      <c r="H171" t="inlineStr">
        <is>
          <t>Eupena, Angieros Custodio</t>
        </is>
      </c>
    </row>
    <row r="172">
      <c r="H172" t="inlineStr">
        <is>
          <t>Evidente, Jose Maria Recaredo Ancheta</t>
        </is>
      </c>
    </row>
    <row r="173">
      <c r="H173" t="inlineStr">
        <is>
          <t>Fabales, Anita Rinto</t>
        </is>
      </c>
    </row>
    <row r="174">
      <c r="H174" t="inlineStr">
        <is>
          <t>Fabregas, Paulo Fontecilla</t>
        </is>
      </c>
    </row>
    <row r="175">
      <c r="H175" t="inlineStr">
        <is>
          <t>Fabroa, Cresh Lyn Panganiban</t>
        </is>
      </c>
    </row>
    <row r="176">
      <c r="H176" t="inlineStr">
        <is>
          <t>Fadera, Ronald Bryan Jugal</t>
        </is>
      </c>
    </row>
    <row r="177">
      <c r="H177" t="inlineStr">
        <is>
          <t>Falceso, Jeany Rose Lucaba</t>
        </is>
      </c>
    </row>
    <row r="178">
      <c r="H178" t="inlineStr">
        <is>
          <t>Faustino, Gilbert Catanghal</t>
        </is>
      </c>
    </row>
    <row r="179">
      <c r="H179" t="inlineStr">
        <is>
          <t>Fedelino, Raechelle Ibias</t>
        </is>
      </c>
    </row>
    <row r="180">
      <c r="H180" t="inlineStr">
        <is>
          <t>Fernandez, Nielzen Cosico</t>
        </is>
      </c>
    </row>
    <row r="181">
      <c r="H181" t="inlineStr">
        <is>
          <t>Ferrer, Jasper Kenneth Labor</t>
        </is>
      </c>
    </row>
    <row r="182">
      <c r="H182" t="inlineStr">
        <is>
          <t>Ferriol, Steven Lloyd Fadallan</t>
        </is>
      </c>
    </row>
    <row r="183">
      <c r="H183" t="inlineStr">
        <is>
          <t>Fiestada, Louiella -</t>
        </is>
      </c>
    </row>
    <row r="184">
      <c r="H184" t="inlineStr">
        <is>
          <t>Flores, Leo Mark Quial</t>
        </is>
      </c>
    </row>
    <row r="185">
      <c r="H185" t="inlineStr">
        <is>
          <t>Flores, Martin Abulog</t>
        </is>
      </c>
    </row>
    <row r="186">
      <c r="H186" t="inlineStr">
        <is>
          <t>Formilleza, Elmer Funtecha</t>
        </is>
      </c>
    </row>
    <row r="187">
      <c r="H187" t="inlineStr">
        <is>
          <t>Francia, Alona Bannas</t>
        </is>
      </c>
    </row>
    <row r="188">
      <c r="H188" t="inlineStr">
        <is>
          <t>Francisco, Baby Ruth Llamosa</t>
        </is>
      </c>
    </row>
    <row r="189">
      <c r="H189" t="inlineStr">
        <is>
          <t>Franco, Mark Jomer Soco</t>
        </is>
      </c>
    </row>
    <row r="190">
      <c r="H190" t="inlineStr">
        <is>
          <t>Fulgencio, Daniel Virtus</t>
        </is>
      </c>
    </row>
    <row r="191">
      <c r="H191" t="inlineStr">
        <is>
          <t>Gaddi, Catheleen Sanchez</t>
        </is>
      </c>
    </row>
    <row r="192">
      <c r="H192" t="inlineStr">
        <is>
          <t>Gadil, Glenn Lauce</t>
        </is>
      </c>
    </row>
    <row r="193">
      <c r="H193" t="inlineStr">
        <is>
          <t>Galang, Edward Baltazar</t>
        </is>
      </c>
    </row>
    <row r="194">
      <c r="H194" t="inlineStr">
        <is>
          <t>Galanida, Gilmark Magallanes</t>
        </is>
      </c>
    </row>
    <row r="195">
      <c r="H195" t="inlineStr">
        <is>
          <t>Galope, Danri Catacutan</t>
        </is>
      </c>
    </row>
    <row r="196">
      <c r="H196" t="inlineStr">
        <is>
          <t>Galvante, Clara Louise Valle</t>
        </is>
      </c>
    </row>
    <row r="197">
      <c r="H197" t="inlineStr">
        <is>
          <t>Garalde, Jenny Lyn Carolino</t>
        </is>
      </c>
    </row>
    <row r="198">
      <c r="H198" t="inlineStr">
        <is>
          <t>Garcia, Arriane Dawn Cajuban</t>
        </is>
      </c>
    </row>
    <row r="199">
      <c r="H199" t="inlineStr">
        <is>
          <t>Garcia, Reeham El Hagar</t>
        </is>
      </c>
    </row>
    <row r="200">
      <c r="H200" t="inlineStr">
        <is>
          <t>Gatmaitan, Kurt John Manuel</t>
        </is>
      </c>
    </row>
    <row r="201">
      <c r="H201" t="inlineStr">
        <is>
          <t>Gayon, Maria Joana Mejias</t>
        </is>
      </c>
    </row>
    <row r="202">
      <c r="H202" t="inlineStr">
        <is>
          <t>Geli, Joan Seguis</t>
        </is>
      </c>
    </row>
    <row r="203">
      <c r="H203" t="inlineStr">
        <is>
          <t>Genova, Kyle Jasper Laxamana</t>
        </is>
      </c>
    </row>
    <row r="204">
      <c r="H204" t="inlineStr">
        <is>
          <t>Gesmundo, Mark Anthony Flores</t>
        </is>
      </c>
    </row>
    <row r="205">
      <c r="H205" t="inlineStr">
        <is>
          <t>Gomez, Shashel Ann Cantiga</t>
        </is>
      </c>
    </row>
    <row r="206">
      <c r="H206" t="inlineStr">
        <is>
          <t>Gonzaga, Alliahkate Obina</t>
        </is>
      </c>
    </row>
    <row r="207">
      <c r="H207" t="inlineStr">
        <is>
          <t>Grafe, Felicino Quinzon</t>
        </is>
      </c>
    </row>
    <row r="208">
      <c r="H208" t="inlineStr">
        <is>
          <t>Grave, Megg Jake Salvacion</t>
        </is>
      </c>
    </row>
    <row r="209">
      <c r="H209" t="inlineStr">
        <is>
          <t>Gravela, Mark Angelo Faustino</t>
        </is>
      </c>
    </row>
    <row r="210">
      <c r="H210" t="inlineStr">
        <is>
          <t>Griffin Jr, Francis Viana</t>
        </is>
      </c>
    </row>
    <row r="211">
      <c r="H211" t="inlineStr">
        <is>
          <t>Guevarra, Willy Lascano</t>
        </is>
      </c>
    </row>
    <row r="212">
      <c r="H212" t="inlineStr">
        <is>
          <t>Gurrobat, Karen Bacayo</t>
        </is>
      </c>
    </row>
    <row r="213">
      <c r="H213" t="inlineStr">
        <is>
          <t>Gutierrez, Luisito Ordona</t>
        </is>
      </c>
    </row>
    <row r="214">
      <c r="H214" t="inlineStr">
        <is>
          <t>Haboc, Donnis</t>
        </is>
      </c>
    </row>
    <row r="215">
      <c r="H215" t="inlineStr">
        <is>
          <t>Hernaez, Benson Lamson</t>
        </is>
      </c>
    </row>
    <row r="216">
      <c r="H216" t="inlineStr">
        <is>
          <t>Hernandez, Jayson Cabrera</t>
        </is>
      </c>
    </row>
    <row r="217">
      <c r="H217" t="inlineStr">
        <is>
          <t>Hernandez, Nilo Olidar</t>
        </is>
      </c>
    </row>
    <row r="218">
      <c r="H218" t="inlineStr">
        <is>
          <t>Herosa, Aleina Nichole Masirag</t>
        </is>
      </c>
    </row>
    <row r="219">
      <c r="H219" t="inlineStr">
        <is>
          <t>Higum, Marissa Yap</t>
        </is>
      </c>
    </row>
    <row r="220">
      <c r="H220" t="inlineStr">
        <is>
          <t>Hije, Bernadeth Rosales</t>
        </is>
      </c>
    </row>
    <row r="221">
      <c r="H221" t="inlineStr">
        <is>
          <t>Ibañez, Karylle Estanislao</t>
        </is>
      </c>
    </row>
    <row r="222">
      <c r="H222" t="inlineStr">
        <is>
          <t>Ignacio, Abigael Franco</t>
        </is>
      </c>
    </row>
    <row r="223">
      <c r="H223" t="inlineStr">
        <is>
          <t>Ignacio, Joy Neal Cruz</t>
        </is>
      </c>
    </row>
    <row r="224">
      <c r="H224" t="inlineStr">
        <is>
          <t>Ignacio, Nino Pedro</t>
        </is>
      </c>
    </row>
    <row r="225">
      <c r="H225" t="inlineStr">
        <is>
          <t>Iguin, John Carlo Dejumo</t>
        </is>
      </c>
    </row>
    <row r="226">
      <c r="H226" t="inlineStr">
        <is>
          <t>Imperial, Jame Euan Nmn</t>
        </is>
      </c>
    </row>
    <row r="227">
      <c r="H227" t="inlineStr">
        <is>
          <t>Infante, Ma Katrina Abon Dela Torre</t>
        </is>
      </c>
    </row>
    <row r="228">
      <c r="H228" t="inlineStr">
        <is>
          <t>Iquin, Jasmin Atencio</t>
        </is>
      </c>
    </row>
    <row r="229">
      <c r="H229" t="inlineStr">
        <is>
          <t>Jaico, Carl Justin Colada</t>
        </is>
      </c>
    </row>
    <row r="230">
      <c r="H230" t="inlineStr">
        <is>
          <t>Joaquin, Erica Jenesis Morales</t>
        </is>
      </c>
    </row>
    <row r="231">
      <c r="H231" t="inlineStr">
        <is>
          <t>Jose, Jully Ann Carlos</t>
        </is>
      </c>
    </row>
    <row r="232">
      <c r="H232" t="inlineStr">
        <is>
          <t>Kalaw, Melchie Nmn</t>
        </is>
      </c>
    </row>
    <row r="233">
      <c r="H233" t="inlineStr">
        <is>
          <t>Labana, Heidee</t>
        </is>
      </c>
    </row>
    <row r="234">
      <c r="H234" t="inlineStr">
        <is>
          <t>Laberon, Jennieca Matilla</t>
        </is>
      </c>
    </row>
    <row r="235">
      <c r="H235" t="inlineStr">
        <is>
          <t>Labiang, Jericho James Apostol</t>
        </is>
      </c>
    </row>
    <row r="236">
      <c r="H236" t="inlineStr">
        <is>
          <t>Lacara, Mark Edrian Pasadas</t>
        </is>
      </c>
    </row>
    <row r="237">
      <c r="H237" t="inlineStr">
        <is>
          <t>Lachica, Lance Embile</t>
        </is>
      </c>
    </row>
    <row r="238">
      <c r="H238" t="inlineStr">
        <is>
          <t>Laguerta, Jason Palinsad</t>
        </is>
      </c>
    </row>
    <row r="239">
      <c r="H239" t="inlineStr">
        <is>
          <t>Langcawon, Lary Bagasina</t>
        </is>
      </c>
    </row>
    <row r="240">
      <c r="H240" t="inlineStr">
        <is>
          <t>Larracas, Bensan Urbi</t>
        </is>
      </c>
    </row>
    <row r="241">
      <c r="H241" t="inlineStr">
        <is>
          <t>Laurora, Edison Sayson</t>
        </is>
      </c>
    </row>
    <row r="242">
      <c r="H242" t="inlineStr">
        <is>
          <t>Lavado, Mark Montes</t>
        </is>
      </c>
    </row>
    <row r="243">
      <c r="H243" t="inlineStr">
        <is>
          <t>Lazaro, Paolo Dennis Hidalgo</t>
        </is>
      </c>
    </row>
    <row r="244">
      <c r="H244" t="inlineStr">
        <is>
          <t>Lazarte, Marella Rosabelle</t>
        </is>
      </c>
    </row>
    <row r="245">
      <c r="H245" t="inlineStr">
        <is>
          <t>Licardo, Diana Ann Princess Nmn</t>
        </is>
      </c>
    </row>
    <row r="246">
      <c r="H246" t="inlineStr">
        <is>
          <t>Lim, Dimple Forte</t>
        </is>
      </c>
    </row>
    <row r="247">
      <c r="H247" t="inlineStr">
        <is>
          <t>Limatoc, Ahmed Gumaru</t>
        </is>
      </c>
    </row>
    <row r="248">
      <c r="H248" t="inlineStr">
        <is>
          <t>Limco, Anthony Parcon</t>
        </is>
      </c>
    </row>
    <row r="249">
      <c r="H249" t="inlineStr">
        <is>
          <t>Lino, Kimberly Laude</t>
        </is>
      </c>
    </row>
    <row r="250">
      <c r="H250" t="inlineStr">
        <is>
          <t>Llanes, Jocelyn Talastasin</t>
        </is>
      </c>
    </row>
    <row r="251">
      <c r="H251" t="inlineStr">
        <is>
          <t>Lopez, Melissa Ranola</t>
        </is>
      </c>
    </row>
    <row r="252">
      <c r="H252" t="inlineStr">
        <is>
          <t>Lorenzo, Catherine Molina</t>
        </is>
      </c>
    </row>
    <row r="253">
      <c r="H253" t="inlineStr">
        <is>
          <t>Lorenzo, Frederick John Taruc</t>
        </is>
      </c>
    </row>
    <row r="254">
      <c r="H254" t="inlineStr">
        <is>
          <t>Lorico, Audreen Delasan</t>
        </is>
      </c>
    </row>
    <row r="255">
      <c r="H255" t="inlineStr">
        <is>
          <t>Lungcay, Robin Landayan</t>
        </is>
      </c>
    </row>
    <row r="256">
      <c r="H256" t="inlineStr">
        <is>
          <t>Luñiza, Jona Claveria</t>
        </is>
      </c>
    </row>
    <row r="257">
      <c r="H257" t="inlineStr">
        <is>
          <t>Mabansag, Jr Nmn</t>
        </is>
      </c>
    </row>
    <row r="258">
      <c r="H258" t="inlineStr">
        <is>
          <t>Macalino, Jesus Finchley Estrella</t>
        </is>
      </c>
    </row>
    <row r="259">
      <c r="H259" t="inlineStr">
        <is>
          <t>Macaranas, Juvilyn Uy</t>
        </is>
      </c>
    </row>
    <row r="260">
      <c r="H260" t="inlineStr">
        <is>
          <t>Madronio, Nikki Loreane Quitorio</t>
        </is>
      </c>
    </row>
    <row r="261">
      <c r="H261" t="inlineStr">
        <is>
          <t>Magante, Percival Matining</t>
        </is>
      </c>
    </row>
    <row r="262">
      <c r="H262" t="inlineStr">
        <is>
          <t>Mago, Lhynter Jade Masas</t>
        </is>
      </c>
    </row>
    <row r="263">
      <c r="H263" t="inlineStr">
        <is>
          <t>Malabao, Khayla Mindo</t>
        </is>
      </c>
    </row>
    <row r="264">
      <c r="H264" t="inlineStr">
        <is>
          <t>Malapitan, Maureen Viena Nicole Calimlim</t>
        </is>
      </c>
    </row>
    <row r="265">
      <c r="H265" t="inlineStr">
        <is>
          <t>Malate, Jinky La Torre</t>
        </is>
      </c>
    </row>
    <row r="266">
      <c r="H266" t="inlineStr">
        <is>
          <t>Malazarte, Paul Joshua Rivera</t>
        </is>
      </c>
    </row>
    <row r="267">
      <c r="H267" t="inlineStr">
        <is>
          <t>Manas, Maricar Dela Cruz</t>
        </is>
      </c>
    </row>
    <row r="268">
      <c r="H268" t="inlineStr">
        <is>
          <t>Manatad, Jifferson Espelita</t>
        </is>
      </c>
    </row>
    <row r="269">
      <c r="H269" t="inlineStr">
        <is>
          <t>Maneja, Francess Laurent Famorcan</t>
        </is>
      </c>
    </row>
    <row r="270">
      <c r="H270" t="inlineStr">
        <is>
          <t>Mangsat, Bryan Mosarbas</t>
        </is>
      </c>
    </row>
    <row r="271">
      <c r="H271" t="inlineStr">
        <is>
          <t>Manlutac, Francis Karl Serrano</t>
        </is>
      </c>
    </row>
    <row r="272">
      <c r="H272" t="inlineStr">
        <is>
          <t>Marigsa, Evangeline Mariano</t>
        </is>
      </c>
    </row>
    <row r="273">
      <c r="H273" t="inlineStr">
        <is>
          <t>Marquez, Ana Margareth Floranza</t>
        </is>
      </c>
    </row>
    <row r="274">
      <c r="H274" t="inlineStr">
        <is>
          <t>Marquez, Noby De Guzman</t>
        </is>
      </c>
    </row>
    <row r="275">
      <c r="H275" t="inlineStr">
        <is>
          <t>Martinez, Jean - Spyros Valera</t>
        </is>
      </c>
    </row>
    <row r="276">
      <c r="H276" t="inlineStr">
        <is>
          <t>Marundan, Jefferson Davis Serenas</t>
        </is>
      </c>
    </row>
    <row r="277">
      <c r="H277" t="inlineStr">
        <is>
          <t>Masagnay, Antonio Gustilo</t>
        </is>
      </c>
    </row>
    <row r="278">
      <c r="H278" t="inlineStr">
        <is>
          <t>Mateo, Arian Clements</t>
        </is>
      </c>
    </row>
    <row r="279">
      <c r="H279" t="inlineStr">
        <is>
          <t>Matre, Ma. Lorita Magluyan</t>
        </is>
      </c>
    </row>
    <row r="280">
      <c r="H280" t="inlineStr">
        <is>
          <t>Matugas, Prince Rhafael Tapales</t>
        </is>
      </c>
    </row>
    <row r="281">
      <c r="H281" t="inlineStr">
        <is>
          <t>Mayor, Anna Marie Andrade</t>
        </is>
      </c>
    </row>
    <row r="282">
      <c r="H282" t="inlineStr">
        <is>
          <t>Mecate, Precious Mharl Bibat</t>
        </is>
      </c>
    </row>
    <row r="283">
      <c r="H283" t="inlineStr">
        <is>
          <t>Medel, Lorelei Gabriel</t>
        </is>
      </c>
    </row>
    <row r="284">
      <c r="H284" t="inlineStr">
        <is>
          <t>Medillo, Hersy Eunice Teodoro</t>
        </is>
      </c>
    </row>
    <row r="285">
      <c r="H285" t="inlineStr">
        <is>
          <t>Medina, John Benedict Dizon</t>
        </is>
      </c>
    </row>
    <row r="286">
      <c r="H286" t="inlineStr">
        <is>
          <t>Medina, Julius Cesar Dela Cruz</t>
        </is>
      </c>
    </row>
    <row r="287">
      <c r="H287" t="inlineStr">
        <is>
          <t>Melchor, Yudenne Ramos</t>
        </is>
      </c>
    </row>
    <row r="288">
      <c r="H288" t="inlineStr">
        <is>
          <t>Mendez, Justine Reign Navarro</t>
        </is>
      </c>
    </row>
    <row r="289">
      <c r="H289" t="inlineStr">
        <is>
          <t>Mendoza, Aaron Paul Nmn</t>
        </is>
      </c>
    </row>
    <row r="290">
      <c r="H290" t="inlineStr">
        <is>
          <t>Mendoza, Angeline Nmn</t>
        </is>
      </c>
    </row>
    <row r="291">
      <c r="H291" t="inlineStr">
        <is>
          <t>Mendoza, Daisy Lim</t>
        </is>
      </c>
    </row>
    <row r="292">
      <c r="H292" t="inlineStr">
        <is>
          <t>Mendoza, Luigi Garganta</t>
        </is>
      </c>
    </row>
    <row r="293">
      <c r="H293" t="inlineStr">
        <is>
          <t>Mendoza, Ronel Balorio</t>
        </is>
      </c>
    </row>
    <row r="294">
      <c r="H294" t="inlineStr">
        <is>
          <t>Meniano, Jonel Yepez</t>
        </is>
      </c>
    </row>
    <row r="295">
      <c r="H295" t="inlineStr">
        <is>
          <t>Mercado, Noly Dela Rosa</t>
        </is>
      </c>
    </row>
    <row r="296">
      <c r="H296" t="inlineStr">
        <is>
          <t>Momo, Rechelle Taghoy</t>
        </is>
      </c>
    </row>
    <row r="297">
      <c r="H297" t="inlineStr">
        <is>
          <t>Munoz, Sheilick Anne Ang</t>
        </is>
      </c>
    </row>
    <row r="298">
      <c r="H298" t="inlineStr">
        <is>
          <t>Nacion, Justin Dale N/A</t>
        </is>
      </c>
    </row>
    <row r="299">
      <c r="H299" t="inlineStr">
        <is>
          <t>Nalangan, Raquel Baloran</t>
        </is>
      </c>
    </row>
    <row r="300">
      <c r="H300" t="inlineStr">
        <is>
          <t>Narvaza, Hazel Ann Sanchez</t>
        </is>
      </c>
    </row>
    <row r="301">
      <c r="H301" t="inlineStr">
        <is>
          <t>Nava, Robert Jason Flores</t>
        </is>
      </c>
    </row>
    <row r="302">
      <c r="H302" t="inlineStr">
        <is>
          <t>Nicolas, Adah Zipporah Fidel</t>
        </is>
      </c>
    </row>
    <row r="303">
      <c r="H303" t="inlineStr">
        <is>
          <t>Nieva, Karla Louisa Escobar</t>
        </is>
      </c>
    </row>
    <row r="304">
      <c r="H304" t="inlineStr">
        <is>
          <t>Nito, Reynaldo Tribol</t>
        </is>
      </c>
    </row>
    <row r="305">
      <c r="H305" t="inlineStr">
        <is>
          <t>Nomo, Mildred Pantaleon</t>
        </is>
      </c>
    </row>
    <row r="306">
      <c r="H306" t="inlineStr">
        <is>
          <t>Novales, Angelo Carlo Santiago</t>
        </is>
      </c>
    </row>
    <row r="307">
      <c r="H307" t="inlineStr">
        <is>
          <t>Novallasca, Princess Marjhurie Liñga</t>
        </is>
      </c>
    </row>
    <row r="308">
      <c r="H308" t="inlineStr">
        <is>
          <t>Obispo, Gibraltar Dimal</t>
        </is>
      </c>
    </row>
    <row r="309">
      <c r="H309" t="inlineStr">
        <is>
          <t>Ocampo, Kimberly Jhoy Almare</t>
        </is>
      </c>
    </row>
    <row r="310">
      <c r="H310" t="inlineStr">
        <is>
          <t>Ocampo, Lorraine Marasigan</t>
        </is>
      </c>
    </row>
    <row r="311">
      <c r="H311" t="inlineStr">
        <is>
          <t>Ochea, Kim Vergel Niño Bensi</t>
        </is>
      </c>
    </row>
    <row r="312">
      <c r="H312" t="inlineStr">
        <is>
          <t>Olaes, Angelito Intal</t>
        </is>
      </c>
    </row>
    <row r="313">
      <c r="H313" t="inlineStr">
        <is>
          <t>Olegario, Allan Christian De Guzman</t>
        </is>
      </c>
    </row>
    <row r="314">
      <c r="H314" t="inlineStr">
        <is>
          <t>Olivares, Marco Latorre</t>
        </is>
      </c>
    </row>
    <row r="315">
      <c r="H315" t="inlineStr">
        <is>
          <t>Ong, Lesley Ann Bayotas</t>
        </is>
      </c>
    </row>
    <row r="316">
      <c r="H316" t="inlineStr">
        <is>
          <t>Ongpao, Maria Nina Resurrecion</t>
        </is>
      </c>
    </row>
    <row r="317">
      <c r="H317" t="inlineStr">
        <is>
          <t>Onquit, Leah Berio</t>
        </is>
      </c>
    </row>
    <row r="318">
      <c r="H318" t="inlineStr">
        <is>
          <t>Ordaveza, Juan Pablo Perez</t>
        </is>
      </c>
    </row>
    <row r="319">
      <c r="H319" t="inlineStr">
        <is>
          <t>Owera, Justine Louis Jamili</t>
        </is>
      </c>
    </row>
    <row r="320">
      <c r="H320" t="inlineStr">
        <is>
          <t>Oñate, Carla Kate Anore</t>
        </is>
      </c>
    </row>
    <row r="321">
      <c r="H321" t="inlineStr">
        <is>
          <t>Pabalate, Cristy Baclay</t>
        </is>
      </c>
    </row>
    <row r="322">
      <c r="H322" t="inlineStr">
        <is>
          <t>Paciencia, Ruelyn Joy Bugo</t>
        </is>
      </c>
    </row>
    <row r="323">
      <c r="H323" t="inlineStr">
        <is>
          <t>Paculba, Princess Joy Martus</t>
        </is>
      </c>
    </row>
    <row r="324">
      <c r="H324" t="inlineStr">
        <is>
          <t>Padasas, Tristan Jay Singson</t>
        </is>
      </c>
    </row>
    <row r="325">
      <c r="H325" t="inlineStr">
        <is>
          <t>Padaya, Attina Reccie Ban</t>
        </is>
      </c>
    </row>
    <row r="326">
      <c r="H326" t="inlineStr">
        <is>
          <t>Padilla, Mia Cassandra Molina</t>
        </is>
      </c>
    </row>
    <row r="327">
      <c r="H327" t="inlineStr">
        <is>
          <t>Padilla, Noelito Miranda</t>
        </is>
      </c>
    </row>
    <row r="328">
      <c r="H328" t="inlineStr">
        <is>
          <t>Pagaduan, Shellae Macabinguel</t>
        </is>
      </c>
    </row>
    <row r="329">
      <c r="H329" t="inlineStr">
        <is>
          <t>Paite, Steve Alejandro Zamora</t>
        </is>
      </c>
    </row>
    <row r="330">
      <c r="H330" t="inlineStr">
        <is>
          <t>Pajanustan, Angelica Macato</t>
        </is>
      </c>
    </row>
    <row r="331">
      <c r="H331" t="inlineStr">
        <is>
          <t>Panti, Alger Arellano</t>
        </is>
      </c>
    </row>
    <row r="332">
      <c r="H332" t="inlineStr">
        <is>
          <t>Papa, Marcelino Niog</t>
        </is>
      </c>
    </row>
    <row r="333">
      <c r="H333" t="inlineStr">
        <is>
          <t>Paredes, Christian Denuyo</t>
        </is>
      </c>
    </row>
    <row r="334">
      <c r="H334" t="inlineStr">
        <is>
          <t>Parro, Jonnah Mae Salcedo</t>
        </is>
      </c>
    </row>
    <row r="335">
      <c r="H335" t="inlineStr">
        <is>
          <t>Pasion, Ma. Andrea Apolinario</t>
        </is>
      </c>
    </row>
    <row r="336">
      <c r="H336" t="inlineStr">
        <is>
          <t>Paulino, Joselito Kamantigue</t>
        </is>
      </c>
    </row>
    <row r="337">
      <c r="H337" t="inlineStr">
        <is>
          <t>Paulo, Jescy Frances Dumagpi</t>
        </is>
      </c>
    </row>
    <row r="338">
      <c r="H338" t="inlineStr">
        <is>
          <t>Paz, Ryan Ubalde</t>
        </is>
      </c>
    </row>
    <row r="339">
      <c r="H339" t="inlineStr">
        <is>
          <t>Pedro, Charmaine Montiadora</t>
        </is>
      </c>
    </row>
    <row r="340">
      <c r="H340" t="inlineStr">
        <is>
          <t>Perdon, Carolene Marzan</t>
        </is>
      </c>
    </row>
    <row r="341">
      <c r="H341" t="inlineStr">
        <is>
          <t>Petallar, Clifford Estrada</t>
        </is>
      </c>
    </row>
    <row r="342">
      <c r="H342" t="inlineStr">
        <is>
          <t>Pielago, Pamela Faye Pascual</t>
        </is>
      </c>
    </row>
    <row r="343">
      <c r="H343" t="inlineStr">
        <is>
          <t>Pila, Christian Caron</t>
        </is>
      </c>
    </row>
    <row r="344">
      <c r="H344" t="inlineStr">
        <is>
          <t>Pila, John Robert Cabarles</t>
        </is>
      </c>
    </row>
    <row r="345">
      <c r="H345" t="inlineStr">
        <is>
          <t>Pilar, Gino Ryan Prospero</t>
        </is>
      </c>
    </row>
    <row r="346">
      <c r="H346" t="inlineStr">
        <is>
          <t>Pineda, Gerald Christian Bo</t>
        </is>
      </c>
    </row>
    <row r="347">
      <c r="H347" t="inlineStr">
        <is>
          <t>Piquero, Jessah Macabodbod</t>
        </is>
      </c>
    </row>
    <row r="348">
      <c r="H348" t="inlineStr">
        <is>
          <t>Plopenio, Romelyn Cordis</t>
        </is>
      </c>
    </row>
    <row r="349">
      <c r="H349" t="inlineStr">
        <is>
          <t>Poon, Aris Sobrevilla</t>
        </is>
      </c>
    </row>
    <row r="350">
      <c r="H350" t="inlineStr">
        <is>
          <t>Porcalla, John Alfred Tabucol</t>
        </is>
      </c>
    </row>
    <row r="351">
      <c r="H351" t="inlineStr">
        <is>
          <t>Presado, Darlene Lozano</t>
        </is>
      </c>
    </row>
    <row r="352">
      <c r="H352" t="inlineStr">
        <is>
          <t>Principe, Aubrey Aquino</t>
        </is>
      </c>
    </row>
    <row r="353">
      <c r="H353" t="inlineStr">
        <is>
          <t>Puerta, Jeffrey Tenorio</t>
        </is>
      </c>
    </row>
    <row r="354">
      <c r="H354" t="inlineStr">
        <is>
          <t>Puno, Jerminia Dela Cruz</t>
        </is>
      </c>
    </row>
    <row r="355">
      <c r="H355" t="inlineStr">
        <is>
          <t>Quiachon, Mhojarie Tano</t>
        </is>
      </c>
    </row>
    <row r="356">
      <c r="H356" t="inlineStr">
        <is>
          <t>Quino, Mark Genesis Bautista</t>
        </is>
      </c>
    </row>
    <row r="357">
      <c r="H357" t="inlineStr">
        <is>
          <t>Quintana, Charlene Zona</t>
        </is>
      </c>
    </row>
    <row r="358">
      <c r="H358" t="inlineStr">
        <is>
          <t>Quinto, Bernadeth Mendoza</t>
        </is>
      </c>
    </row>
    <row r="359">
      <c r="H359" t="inlineStr">
        <is>
          <t>Rabida, Mary Rose Roa</t>
        </is>
      </c>
    </row>
    <row r="360">
      <c r="H360" t="inlineStr">
        <is>
          <t>Racha, Grace Eunice Divinagracia</t>
        </is>
      </c>
    </row>
    <row r="361">
      <c r="H361" t="inlineStr">
        <is>
          <t>Ramos, Edgar Elesio Clementes</t>
        </is>
      </c>
    </row>
    <row r="362">
      <c r="H362" t="inlineStr">
        <is>
          <t>Ramos, Graceli Calayo</t>
        </is>
      </c>
    </row>
    <row r="363">
      <c r="H363" t="inlineStr">
        <is>
          <t>Ramos, Jay Alison Bañega</t>
        </is>
      </c>
    </row>
    <row r="364">
      <c r="H364" t="inlineStr">
        <is>
          <t>Ramos, Ma Concepcion Sanchez</t>
        </is>
      </c>
    </row>
    <row r="365">
      <c r="H365" t="inlineStr">
        <is>
          <t>Raygon, Divine Grace Tobalado</t>
        </is>
      </c>
    </row>
    <row r="366">
      <c r="H366" t="inlineStr">
        <is>
          <t>Regacho, Hudson -</t>
        </is>
      </c>
    </row>
    <row r="367">
      <c r="H367" t="inlineStr">
        <is>
          <t>Reyes, Ernesto Jr Pepe</t>
        </is>
      </c>
    </row>
    <row r="368">
      <c r="H368" t="inlineStr">
        <is>
          <t>Reyes, Michael Angelo Silvestre</t>
        </is>
      </c>
    </row>
    <row r="369">
      <c r="H369" t="inlineStr">
        <is>
          <t>Reyes, Rhalf Gabriel Mamburao</t>
        </is>
      </c>
    </row>
    <row r="370">
      <c r="H370" t="inlineStr">
        <is>
          <t>Rivera, John Aldrin Lopez</t>
        </is>
      </c>
    </row>
    <row r="371">
      <c r="H371" t="inlineStr">
        <is>
          <t>Rivera, Josephine Rosales</t>
        </is>
      </c>
    </row>
    <row r="372">
      <c r="H372" t="inlineStr">
        <is>
          <t>Rivera, Marjorie Lipiten</t>
        </is>
      </c>
    </row>
    <row r="373">
      <c r="H373" t="inlineStr">
        <is>
          <t>Rivera, Michael John Araneta</t>
        </is>
      </c>
    </row>
    <row r="374">
      <c r="H374" t="inlineStr">
        <is>
          <t>Rivera, Micoh Sorima</t>
        </is>
      </c>
    </row>
    <row r="375">
      <c r="H375" t="inlineStr">
        <is>
          <t>Rocillo, Marmi Poco</t>
        </is>
      </c>
    </row>
    <row r="376">
      <c r="H376" t="inlineStr">
        <is>
          <t>Rodica, Jim Morante</t>
        </is>
      </c>
    </row>
    <row r="377">
      <c r="H377" t="inlineStr">
        <is>
          <t>Ronquillo, Jerome Pelicano</t>
        </is>
      </c>
    </row>
    <row r="378">
      <c r="H378" t="inlineStr">
        <is>
          <t>Rosales, Bianca Angela Badoria</t>
        </is>
      </c>
    </row>
    <row r="379">
      <c r="H379" t="inlineStr">
        <is>
          <t>Rosales, Thea Christianne Pearl Na</t>
        </is>
      </c>
    </row>
    <row r="380">
      <c r="H380" t="inlineStr">
        <is>
          <t>Rosas, Sandro Nmn</t>
        </is>
      </c>
    </row>
    <row r="381">
      <c r="H381" t="inlineStr">
        <is>
          <t>Rose, Mica Angelica Macabenta</t>
        </is>
      </c>
    </row>
    <row r="382">
      <c r="H382" t="inlineStr">
        <is>
          <t>Sabenorio, Karyl Joyce Acaba</t>
        </is>
      </c>
    </row>
    <row r="383">
      <c r="H383" t="inlineStr">
        <is>
          <t>Sagales, Novelyn Langawan</t>
        </is>
      </c>
    </row>
    <row r="384">
      <c r="H384" t="inlineStr">
        <is>
          <t>Saguinsin, Sanhenrist Aguinaldo</t>
        </is>
      </c>
    </row>
    <row r="385">
      <c r="H385" t="inlineStr">
        <is>
          <t>Salafranca, Ryan Alejo</t>
        </is>
      </c>
    </row>
    <row r="386">
      <c r="H386" t="inlineStr">
        <is>
          <t>Salomon, Jovanne Rey Posadas</t>
        </is>
      </c>
    </row>
    <row r="387">
      <c r="H387" t="inlineStr">
        <is>
          <t>Salvador, Francis Tutanes</t>
        </is>
      </c>
    </row>
    <row r="388">
      <c r="H388" t="inlineStr">
        <is>
          <t>San Diego, Carolyn Anselmo</t>
        </is>
      </c>
    </row>
    <row r="389">
      <c r="H389" t="inlineStr">
        <is>
          <t>San Juan, Francis Neil Barcelona</t>
        </is>
      </c>
    </row>
    <row r="390">
      <c r="H390" t="inlineStr">
        <is>
          <t>San Juan, Kaille Vincent Galvez</t>
        </is>
      </c>
    </row>
    <row r="391">
      <c r="H391" t="inlineStr">
        <is>
          <t>Santos, Anne Valerie Manuel</t>
        </is>
      </c>
    </row>
    <row r="392">
      <c r="H392" t="inlineStr">
        <is>
          <t>Santos, Jeanette Claudette Dy-Liacco</t>
        </is>
      </c>
    </row>
    <row r="393">
      <c r="H393" t="inlineStr">
        <is>
          <t>Santos, Lovely Joy Nmn</t>
        </is>
      </c>
    </row>
    <row r="394">
      <c r="H394" t="inlineStr">
        <is>
          <t>Santos, Lycia Dare</t>
        </is>
      </c>
    </row>
    <row r="395">
      <c r="H395" t="inlineStr">
        <is>
          <t>Santos, Maria Theresa Bonganciso</t>
        </is>
      </c>
    </row>
    <row r="396">
      <c r="H396" t="inlineStr">
        <is>
          <t>Santos, Raven Anakin Jerusalem</t>
        </is>
      </c>
    </row>
    <row r="397">
      <c r="H397" t="inlineStr">
        <is>
          <t>Santos, Reinier Cartina</t>
        </is>
      </c>
    </row>
    <row r="398">
      <c r="H398" t="inlineStr">
        <is>
          <t>Sarmiento, Celina Labora</t>
        </is>
      </c>
    </row>
    <row r="399">
      <c r="H399" t="inlineStr">
        <is>
          <t>Sarmiento, Edmar Ricanor</t>
        </is>
      </c>
    </row>
    <row r="400">
      <c r="H400" t="inlineStr">
        <is>
          <t>Sastrillo, Jessalyn Rodeles</t>
        </is>
      </c>
    </row>
    <row r="401">
      <c r="H401" t="inlineStr">
        <is>
          <t>Saulog, Mark Spencer Amerila</t>
        </is>
      </c>
    </row>
    <row r="402">
      <c r="H402" t="inlineStr">
        <is>
          <t>Segismundo, Sandra Serrano</t>
        </is>
      </c>
    </row>
    <row r="403">
      <c r="H403" t="inlineStr">
        <is>
          <t>Sembrano, Mishelle Oliveria</t>
        </is>
      </c>
    </row>
    <row r="404">
      <c r="H404" t="inlineStr">
        <is>
          <t>Sentin Jr., Roberto Bueno</t>
        </is>
      </c>
    </row>
    <row r="405">
      <c r="H405" t="inlineStr">
        <is>
          <t>Sequito, Zyrus Luna</t>
        </is>
      </c>
    </row>
    <row r="406">
      <c r="H406" t="inlineStr">
        <is>
          <t>Serata, Ivy Roces</t>
        </is>
      </c>
    </row>
    <row r="407">
      <c r="H407" t="inlineStr">
        <is>
          <t>Sernal, Rachelle Ibiernas</t>
        </is>
      </c>
    </row>
    <row r="408">
      <c r="H408" t="inlineStr">
        <is>
          <t>Setias, Mae Venus Santias</t>
        </is>
      </c>
    </row>
    <row r="409">
      <c r="H409" t="inlineStr">
        <is>
          <t>Sevilla, Audrey Marie Galindo</t>
        </is>
      </c>
    </row>
    <row r="410">
      <c r="H410" t="inlineStr">
        <is>
          <t>Silao, Fritz Villacanas</t>
        </is>
      </c>
    </row>
    <row r="411">
      <c r="H411" t="inlineStr">
        <is>
          <t>Silvano, Kimberly Ann Palma</t>
        </is>
      </c>
    </row>
    <row r="412">
      <c r="H412" t="inlineStr">
        <is>
          <t>Simacon, Krystel Claire Nmn</t>
        </is>
      </c>
    </row>
    <row r="413">
      <c r="H413" t="inlineStr">
        <is>
          <t>Simbulan, Michelle Cabala</t>
        </is>
      </c>
    </row>
    <row r="414">
      <c r="H414" t="inlineStr">
        <is>
          <t>Socorro, John Benny Baluyot</t>
        </is>
      </c>
    </row>
    <row r="415">
      <c r="H415" t="inlineStr">
        <is>
          <t>Sonza, Marvi Ramilo</t>
        </is>
      </c>
    </row>
    <row r="416">
      <c r="H416" t="inlineStr">
        <is>
          <t>Soria, Michael Concejo</t>
        </is>
      </c>
    </row>
    <row r="417">
      <c r="H417" t="inlineStr">
        <is>
          <t>Soriano, Mark Louie Delos Reyes</t>
        </is>
      </c>
    </row>
    <row r="418">
      <c r="H418" t="inlineStr">
        <is>
          <t>Sta. Ana, Allan Rey Bacarro</t>
        </is>
      </c>
    </row>
    <row r="419">
      <c r="H419" t="inlineStr">
        <is>
          <t>Suaso, Mari Paul Del Mundo</t>
        </is>
      </c>
    </row>
    <row r="420">
      <c r="H420" t="inlineStr">
        <is>
          <t>Sultan, Isabel Cocoba</t>
        </is>
      </c>
    </row>
    <row r="421">
      <c r="H421" t="inlineStr">
        <is>
          <t>Sutton, Innah Vanessa Cabacaba</t>
        </is>
      </c>
    </row>
    <row r="422">
      <c r="H422" t="inlineStr">
        <is>
          <t>Taberdo, Franczeska Keana Cellona</t>
        </is>
      </c>
    </row>
    <row r="423">
      <c r="H423" t="inlineStr">
        <is>
          <t>Tabuñar, Louie Baltar</t>
        </is>
      </c>
    </row>
    <row r="424">
      <c r="H424" t="inlineStr">
        <is>
          <t>Tagabe, April Joy Engaud</t>
        </is>
      </c>
    </row>
    <row r="425">
      <c r="H425" t="inlineStr">
        <is>
          <t>Tagaro, Jennifer Balacuit</t>
        </is>
      </c>
    </row>
    <row r="426">
      <c r="H426" t="inlineStr">
        <is>
          <t>Talagtag, May Ann Lagon</t>
        </is>
      </c>
    </row>
    <row r="427">
      <c r="H427" t="inlineStr">
        <is>
          <t>Tan, Irene Juson</t>
        </is>
      </c>
    </row>
    <row r="428">
      <c r="H428" t="inlineStr">
        <is>
          <t>Tan, Janine Raine Nmn</t>
        </is>
      </c>
    </row>
    <row r="429">
      <c r="H429" t="inlineStr">
        <is>
          <t>Tayag, Gerald Munsayac</t>
        </is>
      </c>
    </row>
    <row r="430">
      <c r="H430" t="inlineStr">
        <is>
          <t>Tesiorna, Justine Gerard Delos Santos</t>
        </is>
      </c>
    </row>
    <row r="431">
      <c r="H431" t="inlineStr">
        <is>
          <t>Ticman, Hazel Bucad</t>
        </is>
      </c>
    </row>
    <row r="432">
      <c r="H432" t="inlineStr">
        <is>
          <t>Tinamisan, Normita Flaviano</t>
        </is>
      </c>
    </row>
    <row r="433">
      <c r="H433" t="inlineStr">
        <is>
          <t>Tiu, K8Lene Salvador</t>
        </is>
      </c>
    </row>
    <row r="434">
      <c r="H434" t="inlineStr">
        <is>
          <t>Tolentino, Divine Grace Pastor</t>
        </is>
      </c>
    </row>
    <row r="435">
      <c r="H435" t="inlineStr">
        <is>
          <t>Tolentino, Dominic Christopher Rustia</t>
        </is>
      </c>
    </row>
    <row r="436">
      <c r="H436" t="inlineStr">
        <is>
          <t>Tolentino, Ruby Anne Ramos</t>
        </is>
      </c>
    </row>
    <row r="437">
      <c r="H437" t="inlineStr">
        <is>
          <t>Toribio, Fiercieval Ariza</t>
        </is>
      </c>
    </row>
    <row r="438">
      <c r="H438" t="inlineStr">
        <is>
          <t>Torres, Kenneth Nual</t>
        </is>
      </c>
    </row>
    <row r="439">
      <c r="H439" t="inlineStr">
        <is>
          <t>Trinidad, Anya Carmina Tolentino</t>
        </is>
      </c>
    </row>
    <row r="440">
      <c r="H440" t="inlineStr">
        <is>
          <t>Tulio, Lady Maureen Nayre</t>
        </is>
      </c>
    </row>
    <row r="441">
      <c r="H441" t="inlineStr">
        <is>
          <t>Tumang, Louis Roberto Caparas</t>
        </is>
      </c>
    </row>
    <row r="442">
      <c r="H442" t="inlineStr">
        <is>
          <t>Ugalino, Jonadel Pineda</t>
        </is>
      </c>
    </row>
    <row r="443">
      <c r="H443" t="inlineStr">
        <is>
          <t>Umali, Mary Jane Baniqued</t>
        </is>
      </c>
    </row>
    <row r="444">
      <c r="H444" t="inlineStr">
        <is>
          <t>Valdez, Jasmin Ances</t>
        </is>
      </c>
    </row>
    <row r="445">
      <c r="H445" t="inlineStr">
        <is>
          <t>Vallo, Alyssa Marie Roy</t>
        </is>
      </c>
    </row>
    <row r="446">
      <c r="H446" t="inlineStr">
        <is>
          <t>Vedia, Jerson Reyes</t>
        </is>
      </c>
    </row>
    <row r="447">
      <c r="H447" t="inlineStr">
        <is>
          <t>Vertudez, Nicole Mancia</t>
        </is>
      </c>
    </row>
    <row r="448">
      <c r="H448" t="inlineStr">
        <is>
          <t>Victohay, Arjay Marie Olbisano</t>
        </is>
      </c>
    </row>
    <row r="449">
      <c r="H449" t="inlineStr">
        <is>
          <t>Villagracia, Crisanta Campos</t>
        </is>
      </c>
    </row>
    <row r="450">
      <c r="H450" t="inlineStr">
        <is>
          <t>Villaluboz, Jay M Malusay</t>
        </is>
      </c>
    </row>
    <row r="451">
      <c r="H451" t="inlineStr">
        <is>
          <t>Villamor, Joel Santos</t>
        </is>
      </c>
    </row>
    <row r="452">
      <c r="H452" t="inlineStr">
        <is>
          <t>Villania, Kenneth Paciente</t>
        </is>
      </c>
    </row>
    <row r="453">
      <c r="H453" t="inlineStr">
        <is>
          <t>Villanueva, Jiah Marie Pogoy</t>
        </is>
      </c>
    </row>
    <row r="454">
      <c r="H454" t="inlineStr">
        <is>
          <t>Villarante, Mark Anthony Nepomuceno</t>
        </is>
      </c>
    </row>
    <row r="455">
      <c r="H455" t="inlineStr">
        <is>
          <t>Villaroman, Katherine Ross Fernandez</t>
        </is>
      </c>
    </row>
    <row r="456">
      <c r="H456" t="inlineStr">
        <is>
          <t>Villaruz, Maria Lucia Sunshine Dulfo</t>
        </is>
      </c>
    </row>
    <row r="457">
      <c r="H457" t="inlineStr">
        <is>
          <t>Vino, Jasmin Tancuan</t>
        </is>
      </c>
    </row>
    <row r="458">
      <c r="H458" t="inlineStr">
        <is>
          <t>Vistan, Veronica Bondoc</t>
        </is>
      </c>
    </row>
    <row r="459">
      <c r="H459" t="inlineStr">
        <is>
          <t>Vizcayno, Jezzel Seva</t>
        </is>
      </c>
    </row>
    <row r="460">
      <c r="H460" t="inlineStr">
        <is>
          <t>Yabut, Trina Marie Armenio</t>
        </is>
      </c>
    </row>
    <row r="461">
      <c r="H461" t="inlineStr">
        <is>
          <t>Yalong Jr., Mario Liberato</t>
        </is>
      </c>
    </row>
    <row r="462">
      <c r="H462" t="inlineStr">
        <is>
          <t>Yao, Patrick Acoba</t>
        </is>
      </c>
    </row>
    <row r="463">
      <c r="H463" t="inlineStr">
        <is>
          <t>Yu, Haji Hernandez</t>
        </is>
      </c>
    </row>
    <row r="464">
      <c r="H464" t="inlineStr">
        <is>
          <t>Yusi, Janna Patricia Nmn</t>
        </is>
      </c>
    </row>
    <row r="465">
      <c r="H465" t="inlineStr">
        <is>
          <t>Zafra, June Darelle Singson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C465"/>
  <sheetViews>
    <sheetView workbookViewId="0">
      <selection activeCell="A1" sqref="A1"/>
    </sheetView>
  </sheetViews>
  <sheetFormatPr baseColWidth="8" defaultRowHeight="15"/>
  <sheetData>
    <row r="1">
      <c r="A1" t="inlineStr">
        <is>
          <t>filter engine</t>
        </is>
      </c>
      <c r="D1" t="inlineStr">
        <is>
          <t>day</t>
        </is>
      </c>
      <c r="E1" t="inlineStr">
        <is>
          <t>audits</t>
        </is>
      </c>
      <c r="G1" t="inlineStr">
        <is>
          <t>invalid reason</t>
        </is>
      </c>
      <c r="H1" t="inlineStr">
        <is>
          <t>defects</t>
        </is>
      </c>
      <c r="I1" t="inlineStr">
        <is>
          <t>rank helper</t>
        </is>
      </c>
      <c r="K1" t="inlineStr">
        <is>
          <t>top code</t>
        </is>
      </c>
      <c r="L1" t="inlineStr">
        <is>
          <t>defects</t>
        </is>
      </c>
      <c r="N1" t="inlineStr">
        <is>
          <t>TL</t>
        </is>
      </c>
      <c r="O1" t="inlineStr">
        <is>
          <t>audits</t>
        </is>
      </c>
      <c r="P1" t="inlineStr">
        <is>
          <t>valid</t>
        </is>
      </c>
      <c r="Q1" t="inlineStr">
        <is>
          <t>rank</t>
        </is>
      </c>
      <c r="R1" t="inlineStr">
        <is>
          <t>pass</t>
        </is>
      </c>
      <c r="T1" t="inlineStr">
        <is>
          <t>top TL</t>
        </is>
      </c>
      <c r="U1" t="inlineStr">
        <is>
          <t>audits</t>
        </is>
      </c>
      <c r="V1" t="inlineStr">
        <is>
          <t>pass %</t>
        </is>
      </c>
      <c r="X1" t="inlineStr">
        <is>
          <t>agent</t>
        </is>
      </c>
      <c r="Y1" t="inlineStr">
        <is>
          <t>defects</t>
        </is>
      </c>
      <c r="Z1" t="inlineStr">
        <is>
          <t>rank</t>
        </is>
      </c>
      <c r="AB1" t="inlineStr">
        <is>
          <t>top agent</t>
        </is>
      </c>
      <c r="AC1" t="inlineStr">
        <is>
          <t>defects</t>
        </is>
      </c>
    </row>
    <row r="2">
      <c r="A2" t="inlineStr">
        <is>
          <t>startDate</t>
        </is>
      </c>
      <c r="B2">
        <f>IF('Dashboard'!$C$2="All Time",0,IF('Dashboard'!$C$2="Today",TODAY(),IF('Dashboard'!$C$2="Last 7 Days",TODAY()-6,IF('Dashboard'!$C$2="Last 14 Days",TODAY()-13,IF('Dashboard'!$C$2="Last 30 Days",TODAY()-29,DATE(YEAR(TODAY()),MONTH(TODAY()),1))))))</f>
        <v/>
      </c>
      <c r="D2" s="29">
        <f>TODAY()-13</f>
        <v/>
      </c>
      <c r="E2">
        <f>COUNTIFS('Audit Log'!$B$2:$B$2001,$D2,'Audit Log'!$F$2:$F$2001,$B$3,'Audit Log'!$S$2:$S$2001,$B$4,'Audit Log'!$T$2:$T$2001,"No",'Audit Log'!$O$2:$O$2001,$B$5)</f>
        <v/>
      </c>
      <c r="G2" t="inlineStr">
        <is>
          <t>Quick Case (Invalid)</t>
        </is>
      </c>
      <c r="H2">
        <f>COUNTIFS('Audit Log'!$B$2:$B$2001,"&gt;="&amp;$B$2,'Audit Log'!$F$2:$F$2001,$B$3,'Audit Log'!$S$2:$S$2001,$B$4,'Audit Log'!$T$2:$T$2001,"No",'Audit Log'!$P$2:$P$2001,$G2)</f>
        <v/>
      </c>
      <c r="I2">
        <f>$H2+ROW()/100000</f>
        <v/>
      </c>
      <c r="K2">
        <f>IFERROR(INDEX($G$2:$G$14,MATCH(LARGE($I$2:$I$14,1),$I$2:$I$14,0)),"")</f>
        <v/>
      </c>
      <c r="L2">
        <f>IFERROR(INT(LARGE($I$2:$I$14,1)),0)</f>
        <v/>
      </c>
      <c r="N2" t="inlineStr">
        <is>
          <t>Adrales, Allen Rick Aguilar</t>
        </is>
      </c>
      <c r="O2">
        <f>COUNTIFS('Audit Log'!$B$2:$B$2001,"&gt;="&amp;$B$2,'Audit Log'!$F$2:$F$2001,$N2,'Audit Log'!$S$2:$S$2001,$B$4,'Audit Log'!$T$2:$T$2001,"No")</f>
        <v/>
      </c>
      <c r="P2">
        <f>COUNTIFS('Audit Log'!$B$2:$B$2001,"&gt;="&amp;$B$2,'Audit Log'!$F$2:$F$2001,$N2,'Audit Log'!$S$2:$S$2001,$B$4,'Audit Log'!$T$2:$T$2001,"No",'Audit Log'!$O$2:$O$2001,"Valid")</f>
        <v/>
      </c>
      <c r="Q2">
        <f>$O2+ROW()/100000</f>
        <v/>
      </c>
      <c r="R2">
        <f>IFERROR($P2/$O2,0)</f>
        <v/>
      </c>
      <c r="T2">
        <f>IFERROR(INDEX($N$2:$N$40,MATCH(LARGE($Q$2:$Q$40,1),$Q$2:$Q$40,0)),"")</f>
        <v/>
      </c>
      <c r="U2">
        <f>IFERROR(INT(LARGE($Q$2:$Q$40,1)),0)</f>
        <v/>
      </c>
      <c r="V2" s="30">
        <f>IFERROR(INDEX($R$2:$R$40,MATCH(LARGE($Q$2:$Q$40,1),$Q$2:$Q$40,0)),0)</f>
        <v/>
      </c>
      <c r="X2" t="inlineStr">
        <is>
          <t>Abad, Roberto Jr Marquez</t>
        </is>
      </c>
      <c r="Y2">
        <f>COUNTIFS('Audit Log'!$B$2:$B$2001,"&gt;="&amp;$B$2,'Audit Log'!$F$2:$F$2001,$B$3,'Audit Log'!$S$2:$S$2001,$B$4,'Audit Log'!$T$2:$T$2001,"No",'Audit Log'!$C$2:$C$2001,$X2,'Audit Log'!$O$2:$O$2001,"Invalid")</f>
        <v/>
      </c>
      <c r="Z2">
        <f>$Y2+ROW()/100000</f>
        <v/>
      </c>
      <c r="AB2">
        <f>IFERROR(INDEX($X$2:$X$465,MATCH(LARGE($Z$2:$Z$465,1),$Z$2:$Z$465,0)),"")</f>
        <v/>
      </c>
      <c r="AC2">
        <f>IFERROR(INT(LARGE($Z$2:$Z$465,1)),0)</f>
        <v/>
      </c>
    </row>
    <row r="3">
      <c r="A3" t="inlineStr">
        <is>
          <t>tlCrit</t>
        </is>
      </c>
      <c r="B3">
        <f>IF('Dashboard'!$E$2="All Team Leaders","*",'Dashboard'!$E$2)</f>
        <v/>
      </c>
      <c r="D3" s="29">
        <f>TODAY()-12</f>
        <v/>
      </c>
      <c r="E3">
        <f>COUNTIFS('Audit Log'!$B$2:$B$2001,$D3,'Audit Log'!$F$2:$F$2001,$B$3,'Audit Log'!$S$2:$S$2001,$B$4,'Audit Log'!$T$2:$T$2001,"No",'Audit Log'!$O$2:$O$2001,$B$5)</f>
        <v/>
      </c>
      <c r="G3" t="inlineStr">
        <is>
          <t>No Support Provided (Security Stop/Hold / Global Trade Fail)</t>
        </is>
      </c>
      <c r="H3">
        <f>COUNTIFS('Audit Log'!$B$2:$B$2001,"&gt;="&amp;$B$2,'Audit Log'!$F$2:$F$2001,$B$3,'Audit Log'!$S$2:$S$2001,$B$4,'Audit Log'!$T$2:$T$2001,"No",'Audit Log'!$P$2:$P$2001,$G3)</f>
        <v/>
      </c>
      <c r="I3">
        <f>$H3+ROW()/100000</f>
        <v/>
      </c>
      <c r="K3">
        <f>IFERROR(INDEX($G$2:$G$14,MATCH(LARGE($I$2:$I$14,2),$I$2:$I$14,0)),"")</f>
        <v/>
      </c>
      <c r="L3">
        <f>IFERROR(INT(LARGE($I$2:$I$14,2)),0)</f>
        <v/>
      </c>
      <c r="N3" t="inlineStr">
        <is>
          <t>Agustin, Alexander Veloso</t>
        </is>
      </c>
      <c r="O3">
        <f>COUNTIFS('Audit Log'!$B$2:$B$2001,"&gt;="&amp;$B$2,'Audit Log'!$F$2:$F$2001,$N3,'Audit Log'!$S$2:$S$2001,$B$4,'Audit Log'!$T$2:$T$2001,"No")</f>
        <v/>
      </c>
      <c r="P3">
        <f>COUNTIFS('Audit Log'!$B$2:$B$2001,"&gt;="&amp;$B$2,'Audit Log'!$F$2:$F$2001,$N3,'Audit Log'!$S$2:$S$2001,$B$4,'Audit Log'!$T$2:$T$2001,"No",'Audit Log'!$O$2:$O$2001,"Valid")</f>
        <v/>
      </c>
      <c r="Q3">
        <f>$O3+ROW()/100000</f>
        <v/>
      </c>
      <c r="R3">
        <f>IFERROR($P3/$O3,0)</f>
        <v/>
      </c>
      <c r="T3">
        <f>IFERROR(INDEX($N$2:$N$40,MATCH(LARGE($Q$2:$Q$40,2),$Q$2:$Q$40,0)),"")</f>
        <v/>
      </c>
      <c r="U3">
        <f>IFERROR(INT(LARGE($Q$2:$Q$40,2)),0)</f>
        <v/>
      </c>
      <c r="V3" s="30">
        <f>IFERROR(INDEX($R$2:$R$40,MATCH(LARGE($Q$2:$Q$40,2),$Q$2:$Q$40,0)),0)</f>
        <v/>
      </c>
      <c r="X3" t="inlineStr">
        <is>
          <t>Abadilla, Paul Justin Aleguiojo</t>
        </is>
      </c>
      <c r="Y3">
        <f>COUNTIFS('Audit Log'!$B$2:$B$2001,"&gt;="&amp;$B$2,'Audit Log'!$F$2:$F$2001,$B$3,'Audit Log'!$S$2:$S$2001,$B$4,'Audit Log'!$T$2:$T$2001,"No",'Audit Log'!$C$2:$C$2001,$X3,'Audit Log'!$O$2:$O$2001,"Invalid")</f>
        <v/>
      </c>
      <c r="Z3">
        <f>$Y3+ROW()/100000</f>
        <v/>
      </c>
      <c r="AB3">
        <f>IFERROR(INDEX($X$2:$X$465,MATCH(LARGE($Z$2:$Z$465,2),$Z$2:$Z$465,0)),"")</f>
        <v/>
      </c>
      <c r="AC3">
        <f>IFERROR(INT(LARGE($Z$2:$Z$465,2)),0)</f>
        <v/>
      </c>
    </row>
    <row r="4">
      <c r="A4" t="inlineStr">
        <is>
          <t>auditorCrit</t>
        </is>
      </c>
      <c r="B4">
        <f>IF('Dashboard'!$G$2="All Auditors","*",'Dashboard'!$G$2)</f>
        <v/>
      </c>
      <c r="D4" s="29">
        <f>TODAY()-11</f>
        <v/>
      </c>
      <c r="E4">
        <f>COUNTIFS('Audit Log'!$B$2:$B$2001,$D4,'Audit Log'!$F$2:$F$2001,$B$3,'Audit Log'!$S$2:$S$2001,$B$4,'Audit Log'!$T$2:$T$2001,"No",'Audit Log'!$O$2:$O$2001,$B$5)</f>
        <v/>
      </c>
      <c r="G4" t="inlineStr">
        <is>
          <t>Cancel Per Customer / No Contact (CPC/NC)</t>
        </is>
      </c>
      <c r="H4">
        <f>COUNTIFS('Audit Log'!$B$2:$B$2001,"&gt;="&amp;$B$2,'Audit Log'!$F$2:$F$2001,$B$3,'Audit Log'!$S$2:$S$2001,$B$4,'Audit Log'!$T$2:$T$2001,"No",'Audit Log'!$P$2:$P$2001,$G4)</f>
        <v/>
      </c>
      <c r="I4">
        <f>$H4+ROW()/100000</f>
        <v/>
      </c>
      <c r="K4">
        <f>IFERROR(INDEX($G$2:$G$14,MATCH(LARGE($I$2:$I$14,3),$I$2:$I$14,0)),"")</f>
        <v/>
      </c>
      <c r="L4">
        <f>IFERROR(INT(LARGE($I$2:$I$14,3)),0)</f>
        <v/>
      </c>
      <c r="N4" t="inlineStr">
        <is>
          <t>Aluning, Alain-Angelo Cangco</t>
        </is>
      </c>
      <c r="O4">
        <f>COUNTIFS('Audit Log'!$B$2:$B$2001,"&gt;="&amp;$B$2,'Audit Log'!$F$2:$F$2001,$N4,'Audit Log'!$S$2:$S$2001,$B$4,'Audit Log'!$T$2:$T$2001,"No")</f>
        <v/>
      </c>
      <c r="P4">
        <f>COUNTIFS('Audit Log'!$B$2:$B$2001,"&gt;="&amp;$B$2,'Audit Log'!$F$2:$F$2001,$N4,'Audit Log'!$S$2:$S$2001,$B$4,'Audit Log'!$T$2:$T$2001,"No",'Audit Log'!$O$2:$O$2001,"Valid")</f>
        <v/>
      </c>
      <c r="Q4">
        <f>$O4+ROW()/100000</f>
        <v/>
      </c>
      <c r="R4">
        <f>IFERROR($P4/$O4,0)</f>
        <v/>
      </c>
      <c r="T4">
        <f>IFERROR(INDEX($N$2:$N$40,MATCH(LARGE($Q$2:$Q$40,3),$Q$2:$Q$40,0)),"")</f>
        <v/>
      </c>
      <c r="U4">
        <f>IFERROR(INT(LARGE($Q$2:$Q$40,3)),0)</f>
        <v/>
      </c>
      <c r="V4" s="30">
        <f>IFERROR(INDEX($R$2:$R$40,MATCH(LARGE($Q$2:$Q$40,3),$Q$2:$Q$40,0)),0)</f>
        <v/>
      </c>
      <c r="X4" t="inlineStr">
        <is>
          <t>Abella, Asianicole Cuambot</t>
        </is>
      </c>
      <c r="Y4">
        <f>COUNTIFS('Audit Log'!$B$2:$B$2001,"&gt;="&amp;$B$2,'Audit Log'!$F$2:$F$2001,$B$3,'Audit Log'!$S$2:$S$2001,$B$4,'Audit Log'!$T$2:$T$2001,"No",'Audit Log'!$C$2:$C$2001,$X4,'Audit Log'!$O$2:$O$2001,"Invalid")</f>
        <v/>
      </c>
      <c r="Z4">
        <f>$Y4+ROW()/100000</f>
        <v/>
      </c>
      <c r="AB4">
        <f>IFERROR(INDEX($X$2:$X$465,MATCH(LARGE($Z$2:$Z$465,3),$Z$2:$Z$465,0)),"")</f>
        <v/>
      </c>
      <c r="AC4">
        <f>IFERROR(INT(LARGE($Z$2:$Z$465,3)),0)</f>
        <v/>
      </c>
    </row>
    <row r="5">
      <c r="A5" t="inlineStr">
        <is>
          <t>valCrit</t>
        </is>
      </c>
      <c r="B5">
        <f>IF('Dashboard'!$I$2="All Statuses","*",'Dashboard'!$I$2)</f>
        <v/>
      </c>
      <c r="D5" s="29">
        <f>TODAY()-10</f>
        <v/>
      </c>
      <c r="E5">
        <f>COUNTIFS('Audit Log'!$B$2:$B$2001,$D5,'Audit Log'!$F$2:$F$2001,$B$3,'Audit Log'!$S$2:$S$2001,$B$4,'Audit Log'!$T$2:$T$2001,"No",'Audit Log'!$O$2:$O$2001,$B$5)</f>
        <v/>
      </c>
      <c r="G5" t="inlineStr">
        <is>
          <t>Case Voided (Test Case / Duplicate / Created by Mistake)</t>
        </is>
      </c>
      <c r="H5">
        <f>COUNTIFS('Audit Log'!$B$2:$B$2001,"&gt;="&amp;$B$2,'Audit Log'!$F$2:$F$2001,$B$3,'Audit Log'!$S$2:$S$2001,$B$4,'Audit Log'!$T$2:$T$2001,"No",'Audit Log'!$P$2:$P$2001,$G5)</f>
        <v/>
      </c>
      <c r="I5">
        <f>$H5+ROW()/100000</f>
        <v/>
      </c>
      <c r="K5">
        <f>IFERROR(INDEX($G$2:$G$14,MATCH(LARGE($I$2:$I$14,4),$I$2:$I$14,0)),"")</f>
        <v/>
      </c>
      <c r="L5">
        <f>IFERROR(INT(LARGE($I$2:$I$14,4)),0)</f>
        <v/>
      </c>
      <c r="N5" t="inlineStr">
        <is>
          <t>Andrecoso, April Melody Sunga</t>
        </is>
      </c>
      <c r="O5">
        <f>COUNTIFS('Audit Log'!$B$2:$B$2001,"&gt;="&amp;$B$2,'Audit Log'!$F$2:$F$2001,$N5,'Audit Log'!$S$2:$S$2001,$B$4,'Audit Log'!$T$2:$T$2001,"No")</f>
        <v/>
      </c>
      <c r="P5">
        <f>COUNTIFS('Audit Log'!$B$2:$B$2001,"&gt;="&amp;$B$2,'Audit Log'!$F$2:$F$2001,$N5,'Audit Log'!$S$2:$S$2001,$B$4,'Audit Log'!$T$2:$T$2001,"No",'Audit Log'!$O$2:$O$2001,"Valid")</f>
        <v/>
      </c>
      <c r="Q5">
        <f>$O5+ROW()/100000</f>
        <v/>
      </c>
      <c r="R5">
        <f>IFERROR($P5/$O5,0)</f>
        <v/>
      </c>
      <c r="T5">
        <f>IFERROR(INDEX($N$2:$N$40,MATCH(LARGE($Q$2:$Q$40,4),$Q$2:$Q$40,0)),"")</f>
        <v/>
      </c>
      <c r="U5">
        <f>IFERROR(INT(LARGE($Q$2:$Q$40,4)),0)</f>
        <v/>
      </c>
      <c r="V5" s="30">
        <f>IFERROR(INDEX($R$2:$R$40,MATCH(LARGE($Q$2:$Q$40,4),$Q$2:$Q$40,0)),0)</f>
        <v/>
      </c>
      <c r="X5" t="inlineStr">
        <is>
          <t>Abella, Ma. Divina Centino</t>
        </is>
      </c>
      <c r="Y5">
        <f>COUNTIFS('Audit Log'!$B$2:$B$2001,"&gt;="&amp;$B$2,'Audit Log'!$F$2:$F$2001,$B$3,'Audit Log'!$S$2:$S$2001,$B$4,'Audit Log'!$T$2:$T$2001,"No",'Audit Log'!$C$2:$C$2001,$X5,'Audit Log'!$O$2:$O$2001,"Invalid")</f>
        <v/>
      </c>
      <c r="Z5">
        <f>$Y5+ROW()/100000</f>
        <v/>
      </c>
      <c r="AB5">
        <f>IFERROR(INDEX($X$2:$X$465,MATCH(LARGE($Z$2:$Z$465,4),$Z$2:$Z$465,0)),"")</f>
        <v/>
      </c>
      <c r="AC5">
        <f>IFERROR(INT(LARGE($Z$2:$Z$465,4)),0)</f>
        <v/>
      </c>
    </row>
    <row r="6">
      <c r="D6" s="29">
        <f>TODAY()-9</f>
        <v/>
      </c>
      <c r="E6">
        <f>COUNTIFS('Audit Log'!$B$2:$B$2001,$D6,'Audit Log'!$F$2:$F$2001,$B$3,'Audit Log'!$S$2:$S$2001,$B$4,'Audit Log'!$T$2:$T$2001,"No",'Audit Log'!$O$2:$O$2001,$B$5)</f>
        <v/>
      </c>
      <c r="G6" t="inlineStr">
        <is>
          <t>Non-Tech Solution (General Inquiry / Warranty / How-To)</t>
        </is>
      </c>
      <c r="H6">
        <f>COUNTIFS('Audit Log'!$B$2:$B$2001,"&gt;="&amp;$B$2,'Audit Log'!$F$2:$F$2001,$B$3,'Audit Log'!$S$2:$S$2001,$B$4,'Audit Log'!$T$2:$T$2001,"No",'Audit Log'!$P$2:$P$2001,$G6)</f>
        <v/>
      </c>
      <c r="I6">
        <f>$H6+ROW()/100000</f>
        <v/>
      </c>
      <c r="K6">
        <f>IFERROR(INDEX($G$2:$G$14,MATCH(LARGE($I$2:$I$14,5),$I$2:$I$14,0)),"")</f>
        <v/>
      </c>
      <c r="L6">
        <f>IFERROR(INT(LARGE($I$2:$I$14,5)),0)</f>
        <v/>
      </c>
      <c r="N6" t="inlineStr">
        <is>
          <t>Arcena, Alberto Chua</t>
        </is>
      </c>
      <c r="O6">
        <f>COUNTIFS('Audit Log'!$B$2:$B$2001,"&gt;="&amp;$B$2,'Audit Log'!$F$2:$F$2001,$N6,'Audit Log'!$S$2:$S$2001,$B$4,'Audit Log'!$T$2:$T$2001,"No")</f>
        <v/>
      </c>
      <c r="P6">
        <f>COUNTIFS('Audit Log'!$B$2:$B$2001,"&gt;="&amp;$B$2,'Audit Log'!$F$2:$F$2001,$N6,'Audit Log'!$S$2:$S$2001,$B$4,'Audit Log'!$T$2:$T$2001,"No",'Audit Log'!$O$2:$O$2001,"Valid")</f>
        <v/>
      </c>
      <c r="Q6">
        <f>$O6+ROW()/100000</f>
        <v/>
      </c>
      <c r="R6">
        <f>IFERROR($P6/$O6,0)</f>
        <v/>
      </c>
      <c r="T6">
        <f>IFERROR(INDEX($N$2:$N$40,MATCH(LARGE($Q$2:$Q$40,5),$Q$2:$Q$40,0)),"")</f>
        <v/>
      </c>
      <c r="U6">
        <f>IFERROR(INT(LARGE($Q$2:$Q$40,5)),0)</f>
        <v/>
      </c>
      <c r="V6" s="30">
        <f>IFERROR(INDEX($R$2:$R$40,MATCH(LARGE($Q$2:$Q$40,5),$Q$2:$Q$40,0)),0)</f>
        <v/>
      </c>
      <c r="X6" t="inlineStr">
        <is>
          <t>Abellar, Nina Grace Lincallo</t>
        </is>
      </c>
      <c r="Y6">
        <f>COUNTIFS('Audit Log'!$B$2:$B$2001,"&gt;="&amp;$B$2,'Audit Log'!$F$2:$F$2001,$B$3,'Audit Log'!$S$2:$S$2001,$B$4,'Audit Log'!$T$2:$T$2001,"No",'Audit Log'!$C$2:$C$2001,$X6,'Audit Log'!$O$2:$O$2001,"Invalid")</f>
        <v/>
      </c>
      <c r="Z6">
        <f>$Y6+ROW()/100000</f>
        <v/>
      </c>
      <c r="AB6">
        <f>IFERROR(INDEX($X$2:$X$465,MATCH(LARGE($Z$2:$Z$465,5),$Z$2:$Z$465,0)),"")</f>
        <v/>
      </c>
      <c r="AC6">
        <f>IFERROR(INT(LARGE($Z$2:$Z$465,5)),0)</f>
        <v/>
      </c>
    </row>
    <row r="7">
      <c r="B7">
        <f>COUNTIFS('Audit Log'!$B$2:$B$2001,"&gt;="&amp;$B$2,'Audit Log'!$F$2:$F$2001,$B$3,'Audit Log'!$S$2:$S$2001,$B$4,'Audit Log'!$T$2:$T$2001,"No",'Audit Log'!$O$2:$O$2001,$B$5)</f>
        <v/>
      </c>
      <c r="D7" s="29">
        <f>TODAY()-8</f>
        <v/>
      </c>
      <c r="E7">
        <f>COUNTIFS('Audit Log'!$B$2:$B$2001,$D7,'Audit Log'!$F$2:$F$2001,$B$3,'Audit Log'!$S$2:$S$2001,$B$4,'Audit Log'!$T$2:$T$2001,"No",'Audit Log'!$O$2:$O$2001,$B$5)</f>
        <v/>
      </c>
      <c r="G7" t="inlineStr">
        <is>
          <t>Remote Solution (HW/SW Resolved Remotely via Troubleshooting)</t>
        </is>
      </c>
      <c r="H7">
        <f>COUNTIFS('Audit Log'!$B$2:$B$2001,"&gt;="&amp;$B$2,'Audit Log'!$F$2:$F$2001,$B$3,'Audit Log'!$S$2:$S$2001,$B$4,'Audit Log'!$T$2:$T$2001,"No",'Audit Log'!$P$2:$P$2001,$G7)</f>
        <v/>
      </c>
      <c r="I7">
        <f>$H7+ROW()/100000</f>
        <v/>
      </c>
      <c r="K7">
        <f>IFERROR(INDEX($G$2:$G$14,MATCH(LARGE($I$2:$I$14,6),$I$2:$I$14,0)),"")</f>
        <v/>
      </c>
      <c r="L7">
        <f>IFERROR(INT(LARGE($I$2:$I$14,6)),0)</f>
        <v/>
      </c>
      <c r="N7" t="inlineStr">
        <is>
          <t>Bajo, Christian Dela Cruz</t>
        </is>
      </c>
      <c r="O7">
        <f>COUNTIFS('Audit Log'!$B$2:$B$2001,"&gt;="&amp;$B$2,'Audit Log'!$F$2:$F$2001,$N7,'Audit Log'!$S$2:$S$2001,$B$4,'Audit Log'!$T$2:$T$2001,"No")</f>
        <v/>
      </c>
      <c r="P7">
        <f>COUNTIFS('Audit Log'!$B$2:$B$2001,"&gt;="&amp;$B$2,'Audit Log'!$F$2:$F$2001,$N7,'Audit Log'!$S$2:$S$2001,$B$4,'Audit Log'!$T$2:$T$2001,"No",'Audit Log'!$O$2:$O$2001,"Valid")</f>
        <v/>
      </c>
      <c r="Q7">
        <f>$O7+ROW()/100000</f>
        <v/>
      </c>
      <c r="R7">
        <f>IFERROR($P7/$O7,0)</f>
        <v/>
      </c>
      <c r="X7" t="inlineStr">
        <is>
          <t>Abogado, Maria Cristina Cambaliza</t>
        </is>
      </c>
      <c r="Y7">
        <f>COUNTIFS('Audit Log'!$B$2:$B$2001,"&gt;="&amp;$B$2,'Audit Log'!$F$2:$F$2001,$B$3,'Audit Log'!$S$2:$S$2001,$B$4,'Audit Log'!$T$2:$T$2001,"No",'Audit Log'!$C$2:$C$2001,$X7,'Audit Log'!$O$2:$O$2001,"Invalid")</f>
        <v/>
      </c>
      <c r="Z7">
        <f>$Y7+ROW()/100000</f>
        <v/>
      </c>
      <c r="AB7">
        <f>IFERROR(INDEX($X$2:$X$465,MATCH(LARGE($Z$2:$Z$465,6),$Z$2:$Z$465,0)),"")</f>
        <v/>
      </c>
      <c r="AC7">
        <f>IFERROR(INT(LARGE($Z$2:$Z$465,6)),0)</f>
        <v/>
      </c>
    </row>
    <row r="8">
      <c r="A8" t="inlineStr">
        <is>
          <t>Valid</t>
        </is>
      </c>
      <c r="B8">
        <f>COUNTIFS('Audit Log'!$B$2:$B$2001,"&gt;="&amp;$B$2,'Audit Log'!$F$2:$F$2001,$B$3,'Audit Log'!$S$2:$S$2001,$B$4,'Audit Log'!$T$2:$T$2001,"No",'Audit Log'!$O$2:$O$2001,"Valid",'Audit Log'!$O$2:$O$2001,$B$5)</f>
        <v/>
      </c>
      <c r="D8" s="29">
        <f>TODAY()-7</f>
        <v/>
      </c>
      <c r="E8">
        <f>COUNTIFS('Audit Log'!$B$2:$B$2001,$D8,'Audit Log'!$F$2:$F$2001,$B$3,'Audit Log'!$S$2:$S$2001,$B$4,'Audit Log'!$T$2:$T$2001,"No",'Audit Log'!$O$2:$O$2001,$B$5)</f>
        <v/>
      </c>
      <c r="G8" t="inlineStr">
        <is>
          <t>Offsite Solution (Bench / Depot Repair Service Order)</t>
        </is>
      </c>
      <c r="H8">
        <f>COUNTIFS('Audit Log'!$B$2:$B$2001,"&gt;="&amp;$B$2,'Audit Log'!$F$2:$F$2001,$B$3,'Audit Log'!$S$2:$S$2001,$B$4,'Audit Log'!$T$2:$T$2001,"No",'Audit Log'!$P$2:$P$2001,$G8)</f>
        <v/>
      </c>
      <c r="I8">
        <f>$H8+ROW()/100000</f>
        <v/>
      </c>
      <c r="N8" t="inlineStr">
        <is>
          <t>Belandres, Nica Marie Ballola</t>
        </is>
      </c>
      <c r="O8">
        <f>COUNTIFS('Audit Log'!$B$2:$B$2001,"&gt;="&amp;$B$2,'Audit Log'!$F$2:$F$2001,$N8,'Audit Log'!$S$2:$S$2001,$B$4,'Audit Log'!$T$2:$T$2001,"No")</f>
        <v/>
      </c>
      <c r="P8">
        <f>COUNTIFS('Audit Log'!$B$2:$B$2001,"&gt;="&amp;$B$2,'Audit Log'!$F$2:$F$2001,$N8,'Audit Log'!$S$2:$S$2001,$B$4,'Audit Log'!$T$2:$T$2001,"No",'Audit Log'!$O$2:$O$2001,"Valid")</f>
        <v/>
      </c>
      <c r="Q8">
        <f>$O8+ROW()/100000</f>
        <v/>
      </c>
      <c r="R8">
        <f>IFERROR($P8/$O8,0)</f>
        <v/>
      </c>
      <c r="X8" t="inlineStr">
        <is>
          <t>Aceron, Ma Jovel Salvador</t>
        </is>
      </c>
      <c r="Y8">
        <f>COUNTIFS('Audit Log'!$B$2:$B$2001,"&gt;="&amp;$B$2,'Audit Log'!$F$2:$F$2001,$B$3,'Audit Log'!$S$2:$S$2001,$B$4,'Audit Log'!$T$2:$T$2001,"No",'Audit Log'!$C$2:$C$2001,$X8,'Audit Log'!$O$2:$O$2001,"Invalid")</f>
        <v/>
      </c>
      <c r="Z8">
        <f>$Y8+ROW()/100000</f>
        <v/>
      </c>
    </row>
    <row r="9">
      <c r="A9" t="inlineStr">
        <is>
          <t>Invalid</t>
        </is>
      </c>
      <c r="B9">
        <f>COUNTIFS('Audit Log'!$B$2:$B$2001,"&gt;="&amp;$B$2,'Audit Log'!$F$2:$F$2001,$B$3,'Audit Log'!$S$2:$S$2001,$B$4,'Audit Log'!$T$2:$T$2001,"No",'Audit Log'!$O$2:$O$2001,"Invalid",'Audit Log'!$O$2:$O$2001,$B$5)</f>
        <v/>
      </c>
      <c r="D9" s="29">
        <f>TODAY()-6</f>
        <v/>
      </c>
      <c r="E9">
        <f>COUNTIFS('Audit Log'!$B$2:$B$2001,$D9,'Audit Log'!$F$2:$F$2001,$B$3,'Audit Log'!$S$2:$S$2001,$B$4,'Audit Log'!$T$2:$T$2001,"No",'Audit Log'!$O$2:$O$2001,$B$5)</f>
        <v/>
      </c>
      <c r="G9" t="inlineStr">
        <is>
          <t>Exchange Solution (Whole Unit Exchange Arranged)</t>
        </is>
      </c>
      <c r="H9">
        <f>COUNTIFS('Audit Log'!$B$2:$B$2001,"&gt;="&amp;$B$2,'Audit Log'!$F$2:$F$2001,$B$3,'Audit Log'!$S$2:$S$2001,$B$4,'Audit Log'!$T$2:$T$2001,"No",'Audit Log'!$P$2:$P$2001,$G9)</f>
        <v/>
      </c>
      <c r="I9">
        <f>$H9+ROW()/100000</f>
        <v/>
      </c>
      <c r="N9" t="inlineStr">
        <is>
          <t>Benedicto, Allen Kiel Lazarra</t>
        </is>
      </c>
      <c r="O9">
        <f>COUNTIFS('Audit Log'!$B$2:$B$2001,"&gt;="&amp;$B$2,'Audit Log'!$F$2:$F$2001,$N9,'Audit Log'!$S$2:$S$2001,$B$4,'Audit Log'!$T$2:$T$2001,"No")</f>
        <v/>
      </c>
      <c r="P9">
        <f>COUNTIFS('Audit Log'!$B$2:$B$2001,"&gt;="&amp;$B$2,'Audit Log'!$F$2:$F$2001,$N9,'Audit Log'!$S$2:$S$2001,$B$4,'Audit Log'!$T$2:$T$2001,"No",'Audit Log'!$O$2:$O$2001,"Valid")</f>
        <v/>
      </c>
      <c r="Q9">
        <f>$O9+ROW()/100000</f>
        <v/>
      </c>
      <c r="R9">
        <f>IFERROR($P9/$O9,0)</f>
        <v/>
      </c>
      <c r="X9" t="inlineStr">
        <is>
          <t>Acuesta, Charles Gerry Stephen Logdat</t>
        </is>
      </c>
      <c r="Y9">
        <f>COUNTIFS('Audit Log'!$B$2:$B$2001,"&gt;="&amp;$B$2,'Audit Log'!$F$2:$F$2001,$B$3,'Audit Log'!$S$2:$S$2001,$B$4,'Audit Log'!$T$2:$T$2001,"No",'Audit Log'!$C$2:$C$2001,$X9,'Audit Log'!$O$2:$O$2001,"Invalid")</f>
        <v/>
      </c>
      <c r="Z9">
        <f>$Y9+ROW()/100000</f>
        <v/>
      </c>
    </row>
    <row r="10">
      <c r="B10">
        <f>IFERROR($B$9/$B$7,0)</f>
        <v/>
      </c>
      <c r="D10" s="29">
        <f>TODAY()-5</f>
        <v/>
      </c>
      <c r="E10">
        <f>COUNTIFS('Audit Log'!$B$2:$B$2001,$D10,'Audit Log'!$F$2:$F$2001,$B$3,'Audit Log'!$S$2:$S$2001,$B$4,'Audit Log'!$T$2:$T$2001,"No",'Audit Log'!$O$2:$O$2001,$B$5)</f>
        <v/>
      </c>
      <c r="G10" t="inlineStr">
        <is>
          <t>Onsite Solution (Break &amp; Fix / Installation Work Order)</t>
        </is>
      </c>
      <c r="H10">
        <f>COUNTIFS('Audit Log'!$B$2:$B$2001,"&gt;="&amp;$B$2,'Audit Log'!$F$2:$F$2001,$B$3,'Audit Log'!$S$2:$S$2001,$B$4,'Audit Log'!$T$2:$T$2001,"No",'Audit Log'!$P$2:$P$2001,$G10)</f>
        <v/>
      </c>
      <c r="I10">
        <f>$H10+ROW()/100000</f>
        <v/>
      </c>
      <c r="N10" t="inlineStr">
        <is>
          <t>Blas, Jesus Jr Trinidad</t>
        </is>
      </c>
      <c r="O10">
        <f>COUNTIFS('Audit Log'!$B$2:$B$2001,"&gt;="&amp;$B$2,'Audit Log'!$F$2:$F$2001,$N10,'Audit Log'!$S$2:$S$2001,$B$4,'Audit Log'!$T$2:$T$2001,"No")</f>
        <v/>
      </c>
      <c r="P10">
        <f>COUNTIFS('Audit Log'!$B$2:$B$2001,"&gt;="&amp;$B$2,'Audit Log'!$F$2:$F$2001,$N10,'Audit Log'!$S$2:$S$2001,$B$4,'Audit Log'!$T$2:$T$2001,"No",'Audit Log'!$O$2:$O$2001,"Valid")</f>
        <v/>
      </c>
      <c r="Q10">
        <f>$O10+ROW()/100000</f>
        <v/>
      </c>
      <c r="R10">
        <f>IFERROR($P10/$O10,0)</f>
        <v/>
      </c>
      <c r="X10" t="inlineStr">
        <is>
          <t>Adrales, Allen Rick Aguilar</t>
        </is>
      </c>
      <c r="Y10">
        <f>COUNTIFS('Audit Log'!$B$2:$B$2001,"&gt;="&amp;$B$2,'Audit Log'!$F$2:$F$2001,$B$3,'Audit Log'!$S$2:$S$2001,$B$4,'Audit Log'!$T$2:$T$2001,"No",'Audit Log'!$C$2:$C$2001,$X10,'Audit Log'!$O$2:$O$2001,"Invalid")</f>
        <v/>
      </c>
      <c r="Z10">
        <f>$Y10+ROW()/100000</f>
        <v/>
      </c>
    </row>
    <row r="11">
      <c r="B11">
        <f>IFERROR(TEXT(_xlfn.MAXIFS('Audit Log'!$B$2:$B$2001,'Audit Log'!$B$2:$B$2001,"&gt;="&amp;$B$2,'Audit Log'!$F$2:$F$2001,$B$3,'Audit Log'!$S$2:$S$2001,$B$4,'Audit Log'!$T$2:$T$2001,"No",'Audit Log'!$O$2:$O$2001,$B$5),"mmm d, yyyy"),"—")</f>
        <v/>
      </c>
      <c r="D11" s="29">
        <f>TODAY()-4</f>
        <v/>
      </c>
      <c r="E11">
        <f>COUNTIFS('Audit Log'!$B$2:$B$2001,$D11,'Audit Log'!$F$2:$F$2001,$B$3,'Audit Log'!$S$2:$S$2001,$B$4,'Audit Log'!$T$2:$T$2001,"No",'Audit Log'!$O$2:$O$2001,$B$5)</f>
        <v/>
      </c>
      <c r="G11" t="inlineStr">
        <is>
          <t>Parts Shipped (CSR Part / RCD Media / Instant Ink PO)</t>
        </is>
      </c>
      <c r="H11">
        <f>COUNTIFS('Audit Log'!$B$2:$B$2001,"&gt;="&amp;$B$2,'Audit Log'!$F$2:$F$2001,$B$3,'Audit Log'!$S$2:$S$2001,$B$4,'Audit Log'!$T$2:$T$2001,"No",'Audit Log'!$P$2:$P$2001,$G11)</f>
        <v/>
      </c>
      <c r="I11">
        <f>$H11+ROW()/100000</f>
        <v/>
      </c>
      <c r="N11" t="inlineStr">
        <is>
          <t>Briones, Aries Ang</t>
        </is>
      </c>
      <c r="O11">
        <f>COUNTIFS('Audit Log'!$B$2:$B$2001,"&gt;="&amp;$B$2,'Audit Log'!$F$2:$F$2001,$N11,'Audit Log'!$S$2:$S$2001,$B$4,'Audit Log'!$T$2:$T$2001,"No")</f>
        <v/>
      </c>
      <c r="P11">
        <f>COUNTIFS('Audit Log'!$B$2:$B$2001,"&gt;="&amp;$B$2,'Audit Log'!$F$2:$F$2001,$N11,'Audit Log'!$S$2:$S$2001,$B$4,'Audit Log'!$T$2:$T$2001,"No",'Audit Log'!$O$2:$O$2001,"Valid")</f>
        <v/>
      </c>
      <c r="Q11">
        <f>$O11+ROW()/100000</f>
        <v/>
      </c>
      <c r="R11">
        <f>IFERROR($P11/$O11,0)</f>
        <v/>
      </c>
      <c r="X11" t="inlineStr">
        <is>
          <t>Agcaoili, Angel Moraine Hinoo</t>
        </is>
      </c>
      <c r="Y11">
        <f>COUNTIFS('Audit Log'!$B$2:$B$2001,"&gt;="&amp;$B$2,'Audit Log'!$F$2:$F$2001,$B$3,'Audit Log'!$S$2:$S$2001,$B$4,'Audit Log'!$T$2:$T$2001,"No",'Audit Log'!$C$2:$C$2001,$X11,'Audit Log'!$O$2:$O$2001,"Invalid")</f>
        <v/>
      </c>
      <c r="Z11">
        <f>$Y11+ROW()/100000</f>
        <v/>
      </c>
    </row>
    <row r="12">
      <c r="D12" s="29">
        <f>TODAY()-3</f>
        <v/>
      </c>
      <c r="E12">
        <f>COUNTIFS('Audit Log'!$B$2:$B$2001,$D12,'Audit Log'!$F$2:$F$2001,$B$3,'Audit Log'!$S$2:$S$2001,$B$4,'Audit Log'!$T$2:$T$2001,"No",'Audit Log'!$O$2:$O$2001,$B$5)</f>
        <v/>
      </c>
      <c r="G12" t="inlineStr">
        <is>
          <t>Referred - for Hardware Service (ASP / 3rd Party HW / DOA)</t>
        </is>
      </c>
      <c r="H12">
        <f>COUNTIFS('Audit Log'!$B$2:$B$2001,"&gt;="&amp;$B$2,'Audit Log'!$F$2:$F$2001,$B$3,'Audit Log'!$S$2:$S$2001,$B$4,'Audit Log'!$T$2:$T$2001,"No",'Audit Log'!$P$2:$P$2001,$G12)</f>
        <v/>
      </c>
      <c r="I12">
        <f>$H12+ROW()/100000</f>
        <v/>
      </c>
      <c r="N12" t="inlineStr">
        <is>
          <t>Chan, Caroline Cruce</t>
        </is>
      </c>
      <c r="O12">
        <f>COUNTIFS('Audit Log'!$B$2:$B$2001,"&gt;="&amp;$B$2,'Audit Log'!$F$2:$F$2001,$N12,'Audit Log'!$S$2:$S$2001,$B$4,'Audit Log'!$T$2:$T$2001,"No")</f>
        <v/>
      </c>
      <c r="P12">
        <f>COUNTIFS('Audit Log'!$B$2:$B$2001,"&gt;="&amp;$B$2,'Audit Log'!$F$2:$F$2001,$N12,'Audit Log'!$S$2:$S$2001,$B$4,'Audit Log'!$T$2:$T$2001,"No",'Audit Log'!$O$2:$O$2001,"Valid")</f>
        <v/>
      </c>
      <c r="Q12">
        <f>$O12+ROW()/100000</f>
        <v/>
      </c>
      <c r="R12">
        <f>IFERROR($P12/$O12,0)</f>
        <v/>
      </c>
      <c r="X12" t="inlineStr">
        <is>
          <t>Aguas, Thea Tolentino</t>
        </is>
      </c>
      <c r="Y12">
        <f>COUNTIFS('Audit Log'!$B$2:$B$2001,"&gt;="&amp;$B$2,'Audit Log'!$F$2:$F$2001,$B$3,'Audit Log'!$S$2:$S$2001,$B$4,'Audit Log'!$T$2:$T$2001,"No",'Audit Log'!$C$2:$C$2001,$X12,'Audit Log'!$O$2:$O$2001,"Invalid")</f>
        <v/>
      </c>
      <c r="Z12">
        <f>$Y12+ROW()/100000</f>
        <v/>
      </c>
    </row>
    <row r="13">
      <c r="D13" s="29">
        <f>TODAY()-2</f>
        <v/>
      </c>
      <c r="E13">
        <f>COUNTIFS('Audit Log'!$B$2:$B$2001,$D13,'Audit Log'!$F$2:$F$2001,$B$3,'Audit Log'!$S$2:$S$2001,$B$4,'Audit Log'!$T$2:$T$2001,"No",'Audit Log'!$O$2:$O$2001,$B$5)</f>
        <v/>
      </c>
      <c r="G13" t="inlineStr">
        <is>
          <t>Referred - for Software Support (Out of Scope / 3rd Party SW)</t>
        </is>
      </c>
      <c r="H13">
        <f>COUNTIFS('Audit Log'!$B$2:$B$2001,"&gt;="&amp;$B$2,'Audit Log'!$F$2:$F$2001,$B$3,'Audit Log'!$S$2:$S$2001,$B$4,'Audit Log'!$T$2:$T$2001,"No",'Audit Log'!$P$2:$P$2001,$G13)</f>
        <v/>
      </c>
      <c r="I13">
        <f>$H13+ROW()/100000</f>
        <v/>
      </c>
      <c r="N13" t="inlineStr">
        <is>
          <t>Cinco, Neville Dimagiba</t>
        </is>
      </c>
      <c r="O13">
        <f>COUNTIFS('Audit Log'!$B$2:$B$2001,"&gt;="&amp;$B$2,'Audit Log'!$F$2:$F$2001,$N13,'Audit Log'!$S$2:$S$2001,$B$4,'Audit Log'!$T$2:$T$2001,"No")</f>
        <v/>
      </c>
      <c r="P13">
        <f>COUNTIFS('Audit Log'!$B$2:$B$2001,"&gt;="&amp;$B$2,'Audit Log'!$F$2:$F$2001,$N13,'Audit Log'!$S$2:$S$2001,$B$4,'Audit Log'!$T$2:$T$2001,"No",'Audit Log'!$O$2:$O$2001,"Valid")</f>
        <v/>
      </c>
      <c r="Q13">
        <f>$O13+ROW()/100000</f>
        <v/>
      </c>
      <c r="R13">
        <f>IFERROR($P13/$O13,0)</f>
        <v/>
      </c>
      <c r="X13" t="inlineStr">
        <is>
          <t>Aguto, Luke Matthew Mariano</t>
        </is>
      </c>
      <c r="Y13">
        <f>COUNTIFS('Audit Log'!$B$2:$B$2001,"&gt;="&amp;$B$2,'Audit Log'!$F$2:$F$2001,$B$3,'Audit Log'!$S$2:$S$2001,$B$4,'Audit Log'!$T$2:$T$2001,"No",'Audit Log'!$C$2:$C$2001,$X13,'Audit Log'!$O$2:$O$2001,"Invalid")</f>
        <v/>
      </c>
      <c r="Z13">
        <f>$Y13+ROW()/100000</f>
        <v/>
      </c>
    </row>
    <row r="14">
      <c r="D14" s="29">
        <f>TODAY()-1</f>
        <v/>
      </c>
      <c r="E14">
        <f>COUNTIFS('Audit Log'!$B$2:$B$2001,$D14,'Audit Log'!$F$2:$F$2001,$B$3,'Audit Log'!$S$2:$S$2001,$B$4,'Audit Log'!$T$2:$T$2001,"No",'Audit Log'!$O$2:$O$2001,$B$5)</f>
        <v/>
      </c>
      <c r="G14" t="inlineStr">
        <is>
          <t>Unresolved - Not Entitled for Support</t>
        </is>
      </c>
      <c r="H14">
        <f>COUNTIFS('Audit Log'!$B$2:$B$2001,"&gt;="&amp;$B$2,'Audit Log'!$F$2:$F$2001,$B$3,'Audit Log'!$S$2:$S$2001,$B$4,'Audit Log'!$T$2:$T$2001,"No",'Audit Log'!$P$2:$P$2001,$G14)</f>
        <v/>
      </c>
      <c r="I14">
        <f>$H14+ROW()/100000</f>
        <v/>
      </c>
      <c r="N14" t="inlineStr">
        <is>
          <t>De Guzman, Gabriel Rodrigo</t>
        </is>
      </c>
      <c r="O14">
        <f>COUNTIFS('Audit Log'!$B$2:$B$2001,"&gt;="&amp;$B$2,'Audit Log'!$F$2:$F$2001,$N14,'Audit Log'!$S$2:$S$2001,$B$4,'Audit Log'!$T$2:$T$2001,"No")</f>
        <v/>
      </c>
      <c r="P14">
        <f>COUNTIFS('Audit Log'!$B$2:$B$2001,"&gt;="&amp;$B$2,'Audit Log'!$F$2:$F$2001,$N14,'Audit Log'!$S$2:$S$2001,$B$4,'Audit Log'!$T$2:$T$2001,"No",'Audit Log'!$O$2:$O$2001,"Valid")</f>
        <v/>
      </c>
      <c r="Q14">
        <f>$O14+ROW()/100000</f>
        <v/>
      </c>
      <c r="R14">
        <f>IFERROR($P14/$O14,0)</f>
        <v/>
      </c>
      <c r="X14" t="inlineStr">
        <is>
          <t>Ajose, Ferd Mark Cristobal</t>
        </is>
      </c>
      <c r="Y14">
        <f>COUNTIFS('Audit Log'!$B$2:$B$2001,"&gt;="&amp;$B$2,'Audit Log'!$F$2:$F$2001,$B$3,'Audit Log'!$S$2:$S$2001,$B$4,'Audit Log'!$T$2:$T$2001,"No",'Audit Log'!$C$2:$C$2001,$X14,'Audit Log'!$O$2:$O$2001,"Invalid")</f>
        <v/>
      </c>
      <c r="Z14">
        <f>$Y14+ROW()/100000</f>
        <v/>
      </c>
    </row>
    <row r="15">
      <c r="D15" s="29">
        <f>TODAY()-0</f>
        <v/>
      </c>
      <c r="E15">
        <f>COUNTIFS('Audit Log'!$B$2:$B$2001,$D15,'Audit Log'!$F$2:$F$2001,$B$3,'Audit Log'!$S$2:$S$2001,$B$4,'Audit Log'!$T$2:$T$2001,"No",'Audit Log'!$O$2:$O$2001,$B$5)</f>
        <v/>
      </c>
      <c r="N15" t="inlineStr">
        <is>
          <t>Dela Fuente, Erick John Palomo</t>
        </is>
      </c>
      <c r="O15">
        <f>COUNTIFS('Audit Log'!$B$2:$B$2001,"&gt;="&amp;$B$2,'Audit Log'!$F$2:$F$2001,$N15,'Audit Log'!$S$2:$S$2001,$B$4,'Audit Log'!$T$2:$T$2001,"No")</f>
        <v/>
      </c>
      <c r="P15">
        <f>COUNTIFS('Audit Log'!$B$2:$B$2001,"&gt;="&amp;$B$2,'Audit Log'!$F$2:$F$2001,$N15,'Audit Log'!$S$2:$S$2001,$B$4,'Audit Log'!$T$2:$T$2001,"No",'Audit Log'!$O$2:$O$2001,"Valid")</f>
        <v/>
      </c>
      <c r="Q15">
        <f>$O15+ROW()/100000</f>
        <v/>
      </c>
      <c r="R15">
        <f>IFERROR($P15/$O15,0)</f>
        <v/>
      </c>
      <c r="X15" t="inlineStr">
        <is>
          <t>Albios, Art Christopher Salinas</t>
        </is>
      </c>
      <c r="Y15">
        <f>COUNTIFS('Audit Log'!$B$2:$B$2001,"&gt;="&amp;$B$2,'Audit Log'!$F$2:$F$2001,$B$3,'Audit Log'!$S$2:$S$2001,$B$4,'Audit Log'!$T$2:$T$2001,"No",'Audit Log'!$C$2:$C$2001,$X15,'Audit Log'!$O$2:$O$2001,"Invalid")</f>
        <v/>
      </c>
      <c r="Z15">
        <f>$Y15+ROW()/100000</f>
        <v/>
      </c>
    </row>
    <row r="16">
      <c r="N16" t="inlineStr">
        <is>
          <t>Ebuenga, Sheryll Avellaneda</t>
        </is>
      </c>
      <c r="O16">
        <f>COUNTIFS('Audit Log'!$B$2:$B$2001,"&gt;="&amp;$B$2,'Audit Log'!$F$2:$F$2001,$N16,'Audit Log'!$S$2:$S$2001,$B$4,'Audit Log'!$T$2:$T$2001,"No")</f>
        <v/>
      </c>
      <c r="P16">
        <f>COUNTIFS('Audit Log'!$B$2:$B$2001,"&gt;="&amp;$B$2,'Audit Log'!$F$2:$F$2001,$N16,'Audit Log'!$S$2:$S$2001,$B$4,'Audit Log'!$T$2:$T$2001,"No",'Audit Log'!$O$2:$O$2001,"Valid")</f>
        <v/>
      </c>
      <c r="Q16">
        <f>$O16+ROW()/100000</f>
        <v/>
      </c>
      <c r="R16">
        <f>IFERROR($P16/$O16,0)</f>
        <v/>
      </c>
      <c r="X16" t="inlineStr">
        <is>
          <t>Alcancia, Jaycel Giron</t>
        </is>
      </c>
      <c r="Y16">
        <f>COUNTIFS('Audit Log'!$B$2:$B$2001,"&gt;="&amp;$B$2,'Audit Log'!$F$2:$F$2001,$B$3,'Audit Log'!$S$2:$S$2001,$B$4,'Audit Log'!$T$2:$T$2001,"No",'Audit Log'!$C$2:$C$2001,$X16,'Audit Log'!$O$2:$O$2001,"Invalid")</f>
        <v/>
      </c>
      <c r="Z16">
        <f>$Y16+ROW()/100000</f>
        <v/>
      </c>
    </row>
    <row r="17">
      <c r="N17" t="inlineStr">
        <is>
          <t>Ferrer, Jasper Kenneth Labor</t>
        </is>
      </c>
      <c r="O17">
        <f>COUNTIFS('Audit Log'!$B$2:$B$2001,"&gt;="&amp;$B$2,'Audit Log'!$F$2:$F$2001,$N17,'Audit Log'!$S$2:$S$2001,$B$4,'Audit Log'!$T$2:$T$2001,"No")</f>
        <v/>
      </c>
      <c r="P17">
        <f>COUNTIFS('Audit Log'!$B$2:$B$2001,"&gt;="&amp;$B$2,'Audit Log'!$F$2:$F$2001,$N17,'Audit Log'!$S$2:$S$2001,$B$4,'Audit Log'!$T$2:$T$2001,"No",'Audit Log'!$O$2:$O$2001,"Valid")</f>
        <v/>
      </c>
      <c r="Q17">
        <f>$O17+ROW()/100000</f>
        <v/>
      </c>
      <c r="R17">
        <f>IFERROR($P17/$O17,0)</f>
        <v/>
      </c>
      <c r="X17" t="inlineStr">
        <is>
          <t>Aldea, Arthel Jane Donasco</t>
        </is>
      </c>
      <c r="Y17">
        <f>COUNTIFS('Audit Log'!$B$2:$B$2001,"&gt;="&amp;$B$2,'Audit Log'!$F$2:$F$2001,$B$3,'Audit Log'!$S$2:$S$2001,$B$4,'Audit Log'!$T$2:$T$2001,"No",'Audit Log'!$C$2:$C$2001,$X17,'Audit Log'!$O$2:$O$2001,"Invalid")</f>
        <v/>
      </c>
      <c r="Z17">
        <f>$Y17+ROW()/100000</f>
        <v/>
      </c>
    </row>
    <row r="18">
      <c r="N18" t="inlineStr">
        <is>
          <t>Galope, Danri Catacutan</t>
        </is>
      </c>
      <c r="O18">
        <f>COUNTIFS('Audit Log'!$B$2:$B$2001,"&gt;="&amp;$B$2,'Audit Log'!$F$2:$F$2001,$N18,'Audit Log'!$S$2:$S$2001,$B$4,'Audit Log'!$T$2:$T$2001,"No")</f>
        <v/>
      </c>
      <c r="P18">
        <f>COUNTIFS('Audit Log'!$B$2:$B$2001,"&gt;="&amp;$B$2,'Audit Log'!$F$2:$F$2001,$N18,'Audit Log'!$S$2:$S$2001,$B$4,'Audit Log'!$T$2:$T$2001,"No",'Audit Log'!$O$2:$O$2001,"Valid")</f>
        <v/>
      </c>
      <c r="Q18">
        <f>$O18+ROW()/100000</f>
        <v/>
      </c>
      <c r="R18">
        <f>IFERROR($P18/$O18,0)</f>
        <v/>
      </c>
      <c r="X18" t="inlineStr">
        <is>
          <t>Alestre, Jolina Balde</t>
        </is>
      </c>
      <c r="Y18">
        <f>COUNTIFS('Audit Log'!$B$2:$B$2001,"&gt;="&amp;$B$2,'Audit Log'!$F$2:$F$2001,$B$3,'Audit Log'!$S$2:$S$2001,$B$4,'Audit Log'!$T$2:$T$2001,"No",'Audit Log'!$C$2:$C$2001,$X18,'Audit Log'!$O$2:$O$2001,"Invalid")</f>
        <v/>
      </c>
      <c r="Z18">
        <f>$Y18+ROW()/100000</f>
        <v/>
      </c>
    </row>
    <row r="19">
      <c r="N19" t="inlineStr">
        <is>
          <t>Hije, Bernadeth Rosales</t>
        </is>
      </c>
      <c r="O19">
        <f>COUNTIFS('Audit Log'!$B$2:$B$2001,"&gt;="&amp;$B$2,'Audit Log'!$F$2:$F$2001,$N19,'Audit Log'!$S$2:$S$2001,$B$4,'Audit Log'!$T$2:$T$2001,"No")</f>
        <v/>
      </c>
      <c r="P19">
        <f>COUNTIFS('Audit Log'!$B$2:$B$2001,"&gt;="&amp;$B$2,'Audit Log'!$F$2:$F$2001,$N19,'Audit Log'!$S$2:$S$2001,$B$4,'Audit Log'!$T$2:$T$2001,"No",'Audit Log'!$O$2:$O$2001,"Valid")</f>
        <v/>
      </c>
      <c r="Q19">
        <f>$O19+ROW()/100000</f>
        <v/>
      </c>
      <c r="R19">
        <f>IFERROR($P19/$O19,0)</f>
        <v/>
      </c>
      <c r="X19" t="inlineStr">
        <is>
          <t>Alinday, Shiela Marie Altabano</t>
        </is>
      </c>
      <c r="Y19">
        <f>COUNTIFS('Audit Log'!$B$2:$B$2001,"&gt;="&amp;$B$2,'Audit Log'!$F$2:$F$2001,$B$3,'Audit Log'!$S$2:$S$2001,$B$4,'Audit Log'!$T$2:$T$2001,"No",'Audit Log'!$C$2:$C$2001,$X19,'Audit Log'!$O$2:$O$2001,"Invalid")</f>
        <v/>
      </c>
      <c r="Z19">
        <f>$Y19+ROW()/100000</f>
        <v/>
      </c>
    </row>
    <row r="20">
      <c r="N20" t="inlineStr">
        <is>
          <t>Imran Shaikh</t>
        </is>
      </c>
      <c r="O20">
        <f>COUNTIFS('Audit Log'!$B$2:$B$2001,"&gt;="&amp;$B$2,'Audit Log'!$F$2:$F$2001,$N20,'Audit Log'!$S$2:$S$2001,$B$4,'Audit Log'!$T$2:$T$2001,"No")</f>
        <v/>
      </c>
      <c r="P20">
        <f>COUNTIFS('Audit Log'!$B$2:$B$2001,"&gt;="&amp;$B$2,'Audit Log'!$F$2:$F$2001,$N20,'Audit Log'!$S$2:$S$2001,$B$4,'Audit Log'!$T$2:$T$2001,"No",'Audit Log'!$O$2:$O$2001,"Valid")</f>
        <v/>
      </c>
      <c r="Q20">
        <f>$O20+ROW()/100000</f>
        <v/>
      </c>
      <c r="R20">
        <f>IFERROR($P20/$O20,0)</f>
        <v/>
      </c>
      <c r="X20" t="inlineStr">
        <is>
          <t>Almiñe, Jaypee Maniquiz</t>
        </is>
      </c>
      <c r="Y20">
        <f>COUNTIFS('Audit Log'!$B$2:$B$2001,"&gt;="&amp;$B$2,'Audit Log'!$F$2:$F$2001,$B$3,'Audit Log'!$S$2:$S$2001,$B$4,'Audit Log'!$T$2:$T$2001,"No",'Audit Log'!$C$2:$C$2001,$X20,'Audit Log'!$O$2:$O$2001,"Invalid")</f>
        <v/>
      </c>
      <c r="Z20">
        <f>$Y20+ROW()/100000</f>
        <v/>
      </c>
    </row>
    <row r="21">
      <c r="N21" t="inlineStr">
        <is>
          <t>Lazaro, Paolo Dennis Hidalgo</t>
        </is>
      </c>
      <c r="O21">
        <f>COUNTIFS('Audit Log'!$B$2:$B$2001,"&gt;="&amp;$B$2,'Audit Log'!$F$2:$F$2001,$N21,'Audit Log'!$S$2:$S$2001,$B$4,'Audit Log'!$T$2:$T$2001,"No")</f>
        <v/>
      </c>
      <c r="P21">
        <f>COUNTIFS('Audit Log'!$B$2:$B$2001,"&gt;="&amp;$B$2,'Audit Log'!$F$2:$F$2001,$N21,'Audit Log'!$S$2:$S$2001,$B$4,'Audit Log'!$T$2:$T$2001,"No",'Audit Log'!$O$2:$O$2001,"Valid")</f>
        <v/>
      </c>
      <c r="Q21">
        <f>$O21+ROW()/100000</f>
        <v/>
      </c>
      <c r="R21">
        <f>IFERROR($P21/$O21,0)</f>
        <v/>
      </c>
      <c r="X21" t="inlineStr">
        <is>
          <t>Almodiel, Shaileen Eduarte</t>
        </is>
      </c>
      <c r="Y21">
        <f>COUNTIFS('Audit Log'!$B$2:$B$2001,"&gt;="&amp;$B$2,'Audit Log'!$F$2:$F$2001,$B$3,'Audit Log'!$S$2:$S$2001,$B$4,'Audit Log'!$T$2:$T$2001,"No",'Audit Log'!$C$2:$C$2001,$X21,'Audit Log'!$O$2:$O$2001,"Invalid")</f>
        <v/>
      </c>
      <c r="Z21">
        <f>$Y21+ROW()/100000</f>
        <v/>
      </c>
    </row>
    <row r="22">
      <c r="N22" t="inlineStr">
        <is>
          <t>Leonardo, Kristine Joy Sigalat</t>
        </is>
      </c>
      <c r="O22">
        <f>COUNTIFS('Audit Log'!$B$2:$B$2001,"&gt;="&amp;$B$2,'Audit Log'!$F$2:$F$2001,$N22,'Audit Log'!$S$2:$S$2001,$B$4,'Audit Log'!$T$2:$T$2001,"No")</f>
        <v/>
      </c>
      <c r="P22">
        <f>COUNTIFS('Audit Log'!$B$2:$B$2001,"&gt;="&amp;$B$2,'Audit Log'!$F$2:$F$2001,$N22,'Audit Log'!$S$2:$S$2001,$B$4,'Audit Log'!$T$2:$T$2001,"No",'Audit Log'!$O$2:$O$2001,"Valid")</f>
        <v/>
      </c>
      <c r="Q22">
        <f>$O22+ROW()/100000</f>
        <v/>
      </c>
      <c r="R22">
        <f>IFERROR($P22/$O22,0)</f>
        <v/>
      </c>
      <c r="X22" t="inlineStr">
        <is>
          <t>Aluning, Alain-Angelo Cangco</t>
        </is>
      </c>
      <c r="Y22">
        <f>COUNTIFS('Audit Log'!$B$2:$B$2001,"&gt;="&amp;$B$2,'Audit Log'!$F$2:$F$2001,$B$3,'Audit Log'!$S$2:$S$2001,$B$4,'Audit Log'!$T$2:$T$2001,"No",'Audit Log'!$C$2:$C$2001,$X22,'Audit Log'!$O$2:$O$2001,"Invalid")</f>
        <v/>
      </c>
      <c r="Z22">
        <f>$Y22+ROW()/100000</f>
        <v/>
      </c>
    </row>
    <row r="23">
      <c r="N23" t="inlineStr">
        <is>
          <t>Lungcay, Robin Landayan</t>
        </is>
      </c>
      <c r="O23">
        <f>COUNTIFS('Audit Log'!$B$2:$B$2001,"&gt;="&amp;$B$2,'Audit Log'!$F$2:$F$2001,$N23,'Audit Log'!$S$2:$S$2001,$B$4,'Audit Log'!$T$2:$T$2001,"No")</f>
        <v/>
      </c>
      <c r="P23">
        <f>COUNTIFS('Audit Log'!$B$2:$B$2001,"&gt;="&amp;$B$2,'Audit Log'!$F$2:$F$2001,$N23,'Audit Log'!$S$2:$S$2001,$B$4,'Audit Log'!$T$2:$T$2001,"No",'Audit Log'!$O$2:$O$2001,"Valid")</f>
        <v/>
      </c>
      <c r="Q23">
        <f>$O23+ROW()/100000</f>
        <v/>
      </c>
      <c r="R23">
        <f>IFERROR($P23/$O23,0)</f>
        <v/>
      </c>
      <c r="X23" t="inlineStr">
        <is>
          <t>Alvarez, Wenerick Francisco</t>
        </is>
      </c>
      <c r="Y23">
        <f>COUNTIFS('Audit Log'!$B$2:$B$2001,"&gt;="&amp;$B$2,'Audit Log'!$F$2:$F$2001,$B$3,'Audit Log'!$S$2:$S$2001,$B$4,'Audit Log'!$T$2:$T$2001,"No",'Audit Log'!$C$2:$C$2001,$X23,'Audit Log'!$O$2:$O$2001,"Invalid")</f>
        <v/>
      </c>
      <c r="Z23">
        <f>$Y23+ROW()/100000</f>
        <v/>
      </c>
    </row>
    <row r="24">
      <c r="N24" t="inlineStr">
        <is>
          <t>Luñiza, Jona Claveria</t>
        </is>
      </c>
      <c r="O24">
        <f>COUNTIFS('Audit Log'!$B$2:$B$2001,"&gt;="&amp;$B$2,'Audit Log'!$F$2:$F$2001,$N24,'Audit Log'!$S$2:$S$2001,$B$4,'Audit Log'!$T$2:$T$2001,"No")</f>
        <v/>
      </c>
      <c r="P24">
        <f>COUNTIFS('Audit Log'!$B$2:$B$2001,"&gt;="&amp;$B$2,'Audit Log'!$F$2:$F$2001,$N24,'Audit Log'!$S$2:$S$2001,$B$4,'Audit Log'!$T$2:$T$2001,"No",'Audit Log'!$O$2:$O$2001,"Valid")</f>
        <v/>
      </c>
      <c r="Q24">
        <f>$O24+ROW()/100000</f>
        <v/>
      </c>
      <c r="R24">
        <f>IFERROR($P24/$O24,0)</f>
        <v/>
      </c>
      <c r="X24" t="inlineStr">
        <is>
          <t>Amboyon, Julieta Mata</t>
        </is>
      </c>
      <c r="Y24">
        <f>COUNTIFS('Audit Log'!$B$2:$B$2001,"&gt;="&amp;$B$2,'Audit Log'!$F$2:$F$2001,$B$3,'Audit Log'!$S$2:$S$2001,$B$4,'Audit Log'!$T$2:$T$2001,"No",'Audit Log'!$C$2:$C$2001,$X24,'Audit Log'!$O$2:$O$2001,"Invalid")</f>
        <v/>
      </c>
      <c r="Z24">
        <f>$Y24+ROW()/100000</f>
        <v/>
      </c>
    </row>
    <row r="25">
      <c r="N25" t="inlineStr">
        <is>
          <t>Medel, Lorelei Gabriel</t>
        </is>
      </c>
      <c r="O25">
        <f>COUNTIFS('Audit Log'!$B$2:$B$2001,"&gt;="&amp;$B$2,'Audit Log'!$F$2:$F$2001,$N25,'Audit Log'!$S$2:$S$2001,$B$4,'Audit Log'!$T$2:$T$2001,"No")</f>
        <v/>
      </c>
      <c r="P25">
        <f>COUNTIFS('Audit Log'!$B$2:$B$2001,"&gt;="&amp;$B$2,'Audit Log'!$F$2:$F$2001,$N25,'Audit Log'!$S$2:$S$2001,$B$4,'Audit Log'!$T$2:$T$2001,"No",'Audit Log'!$O$2:$O$2001,"Valid")</f>
        <v/>
      </c>
      <c r="Q25">
        <f>$O25+ROW()/100000</f>
        <v/>
      </c>
      <c r="R25">
        <f>IFERROR($P25/$O25,0)</f>
        <v/>
      </c>
      <c r="X25" t="inlineStr">
        <is>
          <t>Andrecoso, April Melody Sunga</t>
        </is>
      </c>
      <c r="Y25">
        <f>COUNTIFS('Audit Log'!$B$2:$B$2001,"&gt;="&amp;$B$2,'Audit Log'!$F$2:$F$2001,$B$3,'Audit Log'!$S$2:$S$2001,$B$4,'Audit Log'!$T$2:$T$2001,"No",'Audit Log'!$C$2:$C$2001,$X25,'Audit Log'!$O$2:$O$2001,"Invalid")</f>
        <v/>
      </c>
      <c r="Z25">
        <f>$Y25+ROW()/100000</f>
        <v/>
      </c>
    </row>
    <row r="26">
      <c r="N26" t="inlineStr">
        <is>
          <t>Napone, Jerome Budlao</t>
        </is>
      </c>
      <c r="O26">
        <f>COUNTIFS('Audit Log'!$B$2:$B$2001,"&gt;="&amp;$B$2,'Audit Log'!$F$2:$F$2001,$N26,'Audit Log'!$S$2:$S$2001,$B$4,'Audit Log'!$T$2:$T$2001,"No")</f>
        <v/>
      </c>
      <c r="P26">
        <f>COUNTIFS('Audit Log'!$B$2:$B$2001,"&gt;="&amp;$B$2,'Audit Log'!$F$2:$F$2001,$N26,'Audit Log'!$S$2:$S$2001,$B$4,'Audit Log'!$T$2:$T$2001,"No",'Audit Log'!$O$2:$O$2001,"Valid")</f>
        <v/>
      </c>
      <c r="Q26">
        <f>$O26+ROW()/100000</f>
        <v/>
      </c>
      <c r="R26">
        <f>IFERROR($P26/$O26,0)</f>
        <v/>
      </c>
      <c r="X26" t="inlineStr">
        <is>
          <t>Anilado, Ellen Sunga</t>
        </is>
      </c>
      <c r="Y26">
        <f>COUNTIFS('Audit Log'!$B$2:$B$2001,"&gt;="&amp;$B$2,'Audit Log'!$F$2:$F$2001,$B$3,'Audit Log'!$S$2:$S$2001,$B$4,'Audit Log'!$T$2:$T$2001,"No",'Audit Log'!$C$2:$C$2001,$X26,'Audit Log'!$O$2:$O$2001,"Invalid")</f>
        <v/>
      </c>
      <c r="Z26">
        <f>$Y26+ROW()/100000</f>
        <v/>
      </c>
    </row>
    <row r="27">
      <c r="N27" t="inlineStr">
        <is>
          <t>Nito, Reynaldo Tribol</t>
        </is>
      </c>
      <c r="O27">
        <f>COUNTIFS('Audit Log'!$B$2:$B$2001,"&gt;="&amp;$B$2,'Audit Log'!$F$2:$F$2001,$N27,'Audit Log'!$S$2:$S$2001,$B$4,'Audit Log'!$T$2:$T$2001,"No")</f>
        <v/>
      </c>
      <c r="P27">
        <f>COUNTIFS('Audit Log'!$B$2:$B$2001,"&gt;="&amp;$B$2,'Audit Log'!$F$2:$F$2001,$N27,'Audit Log'!$S$2:$S$2001,$B$4,'Audit Log'!$T$2:$T$2001,"No",'Audit Log'!$O$2:$O$2001,"Valid")</f>
        <v/>
      </c>
      <c r="Q27">
        <f>$O27+ROW()/100000</f>
        <v/>
      </c>
      <c r="R27">
        <f>IFERROR($P27/$O27,0)</f>
        <v/>
      </c>
      <c r="X27" t="inlineStr">
        <is>
          <t>Antonio, Jeric Camillan</t>
        </is>
      </c>
      <c r="Y27">
        <f>COUNTIFS('Audit Log'!$B$2:$B$2001,"&gt;="&amp;$B$2,'Audit Log'!$F$2:$F$2001,$B$3,'Audit Log'!$S$2:$S$2001,$B$4,'Audit Log'!$T$2:$T$2001,"No",'Audit Log'!$C$2:$C$2001,$X27,'Audit Log'!$O$2:$O$2001,"Invalid")</f>
        <v/>
      </c>
      <c r="Z27">
        <f>$Y27+ROW()/100000</f>
        <v/>
      </c>
    </row>
    <row r="28">
      <c r="N28" t="inlineStr">
        <is>
          <t>Ong, Lesley Ann Bayotas</t>
        </is>
      </c>
      <c r="O28">
        <f>COUNTIFS('Audit Log'!$B$2:$B$2001,"&gt;="&amp;$B$2,'Audit Log'!$F$2:$F$2001,$N28,'Audit Log'!$S$2:$S$2001,$B$4,'Audit Log'!$T$2:$T$2001,"No")</f>
        <v/>
      </c>
      <c r="P28">
        <f>COUNTIFS('Audit Log'!$B$2:$B$2001,"&gt;="&amp;$B$2,'Audit Log'!$F$2:$F$2001,$N28,'Audit Log'!$S$2:$S$2001,$B$4,'Audit Log'!$T$2:$T$2001,"No",'Audit Log'!$O$2:$O$2001,"Valid")</f>
        <v/>
      </c>
      <c r="Q28">
        <f>$O28+ROW()/100000</f>
        <v/>
      </c>
      <c r="R28">
        <f>IFERROR($P28/$O28,0)</f>
        <v/>
      </c>
      <c r="X28" t="inlineStr">
        <is>
          <t>Antonio, Marvin Molo</t>
        </is>
      </c>
      <c r="Y28">
        <f>COUNTIFS('Audit Log'!$B$2:$B$2001,"&gt;="&amp;$B$2,'Audit Log'!$F$2:$F$2001,$B$3,'Audit Log'!$S$2:$S$2001,$B$4,'Audit Log'!$T$2:$T$2001,"No",'Audit Log'!$C$2:$C$2001,$X28,'Audit Log'!$O$2:$O$2001,"Invalid")</f>
        <v/>
      </c>
      <c r="Z28">
        <f>$Y28+ROW()/100000</f>
        <v/>
      </c>
    </row>
    <row r="29">
      <c r="N29" t="inlineStr">
        <is>
          <t>Panti, Alger Arellano</t>
        </is>
      </c>
      <c r="O29">
        <f>COUNTIFS('Audit Log'!$B$2:$B$2001,"&gt;="&amp;$B$2,'Audit Log'!$F$2:$F$2001,$N29,'Audit Log'!$S$2:$S$2001,$B$4,'Audit Log'!$T$2:$T$2001,"No")</f>
        <v/>
      </c>
      <c r="P29">
        <f>COUNTIFS('Audit Log'!$B$2:$B$2001,"&gt;="&amp;$B$2,'Audit Log'!$F$2:$F$2001,$N29,'Audit Log'!$S$2:$S$2001,$B$4,'Audit Log'!$T$2:$T$2001,"No",'Audit Log'!$O$2:$O$2001,"Valid")</f>
        <v/>
      </c>
      <c r="Q29">
        <f>$O29+ROW()/100000</f>
        <v/>
      </c>
      <c r="R29">
        <f>IFERROR($P29/$O29,0)</f>
        <v/>
      </c>
      <c r="X29" t="inlineStr">
        <is>
          <t>Antonio, Patricia Ann Valdez</t>
        </is>
      </c>
      <c r="Y29">
        <f>COUNTIFS('Audit Log'!$B$2:$B$2001,"&gt;="&amp;$B$2,'Audit Log'!$F$2:$F$2001,$B$3,'Audit Log'!$S$2:$S$2001,$B$4,'Audit Log'!$T$2:$T$2001,"No",'Audit Log'!$C$2:$C$2001,$X29,'Audit Log'!$O$2:$O$2001,"Invalid")</f>
        <v/>
      </c>
      <c r="Z29">
        <f>$Y29+ROW()/100000</f>
        <v/>
      </c>
    </row>
    <row r="30">
      <c r="N30" t="inlineStr">
        <is>
          <t>Pineda, Gerald Christian Bo</t>
        </is>
      </c>
      <c r="O30">
        <f>COUNTIFS('Audit Log'!$B$2:$B$2001,"&gt;="&amp;$B$2,'Audit Log'!$F$2:$F$2001,$N30,'Audit Log'!$S$2:$S$2001,$B$4,'Audit Log'!$T$2:$T$2001,"No")</f>
        <v/>
      </c>
      <c r="P30">
        <f>COUNTIFS('Audit Log'!$B$2:$B$2001,"&gt;="&amp;$B$2,'Audit Log'!$F$2:$F$2001,$N30,'Audit Log'!$S$2:$S$2001,$B$4,'Audit Log'!$T$2:$T$2001,"No",'Audit Log'!$O$2:$O$2001,"Valid")</f>
        <v/>
      </c>
      <c r="Q30">
        <f>$O30+ROW()/100000</f>
        <v/>
      </c>
      <c r="R30">
        <f>IFERROR($P30/$O30,0)</f>
        <v/>
      </c>
      <c r="X30" t="inlineStr">
        <is>
          <t>Apostol, Shaira Nmn</t>
        </is>
      </c>
      <c r="Y30">
        <f>COUNTIFS('Audit Log'!$B$2:$B$2001,"&gt;="&amp;$B$2,'Audit Log'!$F$2:$F$2001,$B$3,'Audit Log'!$S$2:$S$2001,$B$4,'Audit Log'!$T$2:$T$2001,"No",'Audit Log'!$C$2:$C$2001,$X30,'Audit Log'!$O$2:$O$2001,"Invalid")</f>
        <v/>
      </c>
      <c r="Z30">
        <f>$Y30+ROW()/100000</f>
        <v/>
      </c>
    </row>
    <row r="31">
      <c r="N31" t="inlineStr">
        <is>
          <t>Poon, Aris Sobrevilla</t>
        </is>
      </c>
      <c r="O31">
        <f>COUNTIFS('Audit Log'!$B$2:$B$2001,"&gt;="&amp;$B$2,'Audit Log'!$F$2:$F$2001,$N31,'Audit Log'!$S$2:$S$2001,$B$4,'Audit Log'!$T$2:$T$2001,"No")</f>
        <v/>
      </c>
      <c r="P31">
        <f>COUNTIFS('Audit Log'!$B$2:$B$2001,"&gt;="&amp;$B$2,'Audit Log'!$F$2:$F$2001,$N31,'Audit Log'!$S$2:$S$2001,$B$4,'Audit Log'!$T$2:$T$2001,"No",'Audit Log'!$O$2:$O$2001,"Valid")</f>
        <v/>
      </c>
      <c r="Q31">
        <f>$O31+ROW()/100000</f>
        <v/>
      </c>
      <c r="R31">
        <f>IFERROR($P31/$O31,0)</f>
        <v/>
      </c>
      <c r="X31" t="inlineStr">
        <is>
          <t>Apuang, Cecilia Basilga</t>
        </is>
      </c>
      <c r="Y31">
        <f>COUNTIFS('Audit Log'!$B$2:$B$2001,"&gt;="&amp;$B$2,'Audit Log'!$F$2:$F$2001,$B$3,'Audit Log'!$S$2:$S$2001,$B$4,'Audit Log'!$T$2:$T$2001,"No",'Audit Log'!$C$2:$C$2001,$X31,'Audit Log'!$O$2:$O$2001,"Invalid")</f>
        <v/>
      </c>
      <c r="Z31">
        <f>$Y31+ROW()/100000</f>
        <v/>
      </c>
    </row>
    <row r="32">
      <c r="N32" t="inlineStr">
        <is>
          <t>Quinto, Bernadeth Mendoza</t>
        </is>
      </c>
      <c r="O32">
        <f>COUNTIFS('Audit Log'!$B$2:$B$2001,"&gt;="&amp;$B$2,'Audit Log'!$F$2:$F$2001,$N32,'Audit Log'!$S$2:$S$2001,$B$4,'Audit Log'!$T$2:$T$2001,"No")</f>
        <v/>
      </c>
      <c r="P32">
        <f>COUNTIFS('Audit Log'!$B$2:$B$2001,"&gt;="&amp;$B$2,'Audit Log'!$F$2:$F$2001,$N32,'Audit Log'!$S$2:$S$2001,$B$4,'Audit Log'!$T$2:$T$2001,"No",'Audit Log'!$O$2:$O$2001,"Valid")</f>
        <v/>
      </c>
      <c r="Q32">
        <f>$O32+ROW()/100000</f>
        <v/>
      </c>
      <c r="R32">
        <f>IFERROR($P32/$O32,0)</f>
        <v/>
      </c>
      <c r="X32" t="inlineStr">
        <is>
          <t>Aquino, Ricky Nido</t>
        </is>
      </c>
      <c r="Y32">
        <f>COUNTIFS('Audit Log'!$B$2:$B$2001,"&gt;="&amp;$B$2,'Audit Log'!$F$2:$F$2001,$B$3,'Audit Log'!$S$2:$S$2001,$B$4,'Audit Log'!$T$2:$T$2001,"No",'Audit Log'!$C$2:$C$2001,$X32,'Audit Log'!$O$2:$O$2001,"Invalid")</f>
        <v/>
      </c>
      <c r="Z32">
        <f>$Y32+ROW()/100000</f>
        <v/>
      </c>
    </row>
    <row r="33">
      <c r="N33" t="inlineStr">
        <is>
          <t>Racha, Grace Eunice Divinagracia</t>
        </is>
      </c>
      <c r="O33">
        <f>COUNTIFS('Audit Log'!$B$2:$B$2001,"&gt;="&amp;$B$2,'Audit Log'!$F$2:$F$2001,$N33,'Audit Log'!$S$2:$S$2001,$B$4,'Audit Log'!$T$2:$T$2001,"No")</f>
        <v/>
      </c>
      <c r="P33">
        <f>COUNTIFS('Audit Log'!$B$2:$B$2001,"&gt;="&amp;$B$2,'Audit Log'!$F$2:$F$2001,$N33,'Audit Log'!$S$2:$S$2001,$B$4,'Audit Log'!$T$2:$T$2001,"No",'Audit Log'!$O$2:$O$2001,"Valid")</f>
        <v/>
      </c>
      <c r="Q33">
        <f>$O33+ROW()/100000</f>
        <v/>
      </c>
      <c r="R33">
        <f>IFERROR($P33/$O33,0)</f>
        <v/>
      </c>
      <c r="X33" t="inlineStr">
        <is>
          <t>Aramburo Jr., Romeo Marzan</t>
        </is>
      </c>
      <c r="Y33">
        <f>COUNTIFS('Audit Log'!$B$2:$B$2001,"&gt;="&amp;$B$2,'Audit Log'!$F$2:$F$2001,$B$3,'Audit Log'!$S$2:$S$2001,$B$4,'Audit Log'!$T$2:$T$2001,"No",'Audit Log'!$C$2:$C$2001,$X33,'Audit Log'!$O$2:$O$2001,"Invalid")</f>
        <v/>
      </c>
      <c r="Z33">
        <f>$Y33+ROW()/100000</f>
        <v/>
      </c>
    </row>
    <row r="34">
      <c r="N34" t="inlineStr">
        <is>
          <t>Ramos, Ma Concepcion Sanchez</t>
        </is>
      </c>
      <c r="O34">
        <f>COUNTIFS('Audit Log'!$B$2:$B$2001,"&gt;="&amp;$B$2,'Audit Log'!$F$2:$F$2001,$N34,'Audit Log'!$S$2:$S$2001,$B$4,'Audit Log'!$T$2:$T$2001,"No")</f>
        <v/>
      </c>
      <c r="P34">
        <f>COUNTIFS('Audit Log'!$B$2:$B$2001,"&gt;="&amp;$B$2,'Audit Log'!$F$2:$F$2001,$N34,'Audit Log'!$S$2:$S$2001,$B$4,'Audit Log'!$T$2:$T$2001,"No",'Audit Log'!$O$2:$O$2001,"Valid")</f>
        <v/>
      </c>
      <c r="Q34">
        <f>$O34+ROW()/100000</f>
        <v/>
      </c>
      <c r="R34">
        <f>IFERROR($P34/$O34,0)</f>
        <v/>
      </c>
      <c r="X34" t="inlineStr">
        <is>
          <t>Arcena, Alberto Chua</t>
        </is>
      </c>
      <c r="Y34">
        <f>COUNTIFS('Audit Log'!$B$2:$B$2001,"&gt;="&amp;$B$2,'Audit Log'!$F$2:$F$2001,$B$3,'Audit Log'!$S$2:$S$2001,$B$4,'Audit Log'!$T$2:$T$2001,"No",'Audit Log'!$C$2:$C$2001,$X34,'Audit Log'!$O$2:$O$2001,"Invalid")</f>
        <v/>
      </c>
      <c r="Z34">
        <f>$Y34+ROW()/100000</f>
        <v/>
      </c>
    </row>
    <row r="35">
      <c r="N35" t="inlineStr">
        <is>
          <t>Salafranca, Ryan Alejo</t>
        </is>
      </c>
      <c r="O35">
        <f>COUNTIFS('Audit Log'!$B$2:$B$2001,"&gt;="&amp;$B$2,'Audit Log'!$F$2:$F$2001,$N35,'Audit Log'!$S$2:$S$2001,$B$4,'Audit Log'!$T$2:$T$2001,"No")</f>
        <v/>
      </c>
      <c r="P35">
        <f>COUNTIFS('Audit Log'!$B$2:$B$2001,"&gt;="&amp;$B$2,'Audit Log'!$F$2:$F$2001,$N35,'Audit Log'!$S$2:$S$2001,$B$4,'Audit Log'!$T$2:$T$2001,"No",'Audit Log'!$O$2:$O$2001,"Valid")</f>
        <v/>
      </c>
      <c r="Q35">
        <f>$O35+ROW()/100000</f>
        <v/>
      </c>
      <c r="R35">
        <f>IFERROR($P35/$O35,0)</f>
        <v/>
      </c>
      <c r="X35" t="inlineStr">
        <is>
          <t>Aringo, Ivy Mical Jugo</t>
        </is>
      </c>
      <c r="Y35">
        <f>COUNTIFS('Audit Log'!$B$2:$B$2001,"&gt;="&amp;$B$2,'Audit Log'!$F$2:$F$2001,$B$3,'Audit Log'!$S$2:$S$2001,$B$4,'Audit Log'!$T$2:$T$2001,"No",'Audit Log'!$C$2:$C$2001,$X35,'Audit Log'!$O$2:$O$2001,"Invalid")</f>
        <v/>
      </c>
      <c r="Z35">
        <f>$Y35+ROW()/100000</f>
        <v/>
      </c>
    </row>
    <row r="36">
      <c r="N36" t="inlineStr">
        <is>
          <t>Sernal, Rachelle Ibiernas</t>
        </is>
      </c>
      <c r="O36">
        <f>COUNTIFS('Audit Log'!$B$2:$B$2001,"&gt;="&amp;$B$2,'Audit Log'!$F$2:$F$2001,$N36,'Audit Log'!$S$2:$S$2001,$B$4,'Audit Log'!$T$2:$T$2001,"No")</f>
        <v/>
      </c>
      <c r="P36">
        <f>COUNTIFS('Audit Log'!$B$2:$B$2001,"&gt;="&amp;$B$2,'Audit Log'!$F$2:$F$2001,$N36,'Audit Log'!$S$2:$S$2001,$B$4,'Audit Log'!$T$2:$T$2001,"No",'Audit Log'!$O$2:$O$2001,"Valid")</f>
        <v/>
      </c>
      <c r="Q36">
        <f>$O36+ROW()/100000</f>
        <v/>
      </c>
      <c r="R36">
        <f>IFERROR($P36/$O36,0)</f>
        <v/>
      </c>
      <c r="X36" t="inlineStr">
        <is>
          <t>Arnado, Ricardo Agapito Guison</t>
        </is>
      </c>
      <c r="Y36">
        <f>COUNTIFS('Audit Log'!$B$2:$B$2001,"&gt;="&amp;$B$2,'Audit Log'!$F$2:$F$2001,$B$3,'Audit Log'!$S$2:$S$2001,$B$4,'Audit Log'!$T$2:$T$2001,"No",'Audit Log'!$C$2:$C$2001,$X36,'Audit Log'!$O$2:$O$2001,"Invalid")</f>
        <v/>
      </c>
      <c r="Z36">
        <f>$Y36+ROW()/100000</f>
        <v/>
      </c>
    </row>
    <row r="37">
      <c r="N37" t="inlineStr">
        <is>
          <t>Sevilla, Audrey Marie Galindo</t>
        </is>
      </c>
      <c r="O37">
        <f>COUNTIFS('Audit Log'!$B$2:$B$2001,"&gt;="&amp;$B$2,'Audit Log'!$F$2:$F$2001,$N37,'Audit Log'!$S$2:$S$2001,$B$4,'Audit Log'!$T$2:$T$2001,"No")</f>
        <v/>
      </c>
      <c r="P37">
        <f>COUNTIFS('Audit Log'!$B$2:$B$2001,"&gt;="&amp;$B$2,'Audit Log'!$F$2:$F$2001,$N37,'Audit Log'!$S$2:$S$2001,$B$4,'Audit Log'!$T$2:$T$2001,"No",'Audit Log'!$O$2:$O$2001,"Valid")</f>
        <v/>
      </c>
      <c r="Q37">
        <f>$O37+ROW()/100000</f>
        <v/>
      </c>
      <c r="R37">
        <f>IFERROR($P37/$O37,0)</f>
        <v/>
      </c>
      <c r="X37" t="inlineStr">
        <is>
          <t>Arriola, Kathrine Kae Advincula</t>
        </is>
      </c>
      <c r="Y37">
        <f>COUNTIFS('Audit Log'!$B$2:$B$2001,"&gt;="&amp;$B$2,'Audit Log'!$F$2:$F$2001,$B$3,'Audit Log'!$S$2:$S$2001,$B$4,'Audit Log'!$T$2:$T$2001,"No",'Audit Log'!$C$2:$C$2001,$X37,'Audit Log'!$O$2:$O$2001,"Invalid")</f>
        <v/>
      </c>
      <c r="Z37">
        <f>$Y37+ROW()/100000</f>
        <v/>
      </c>
    </row>
    <row r="38">
      <c r="N38" t="inlineStr">
        <is>
          <t>Sheilick Anne Munoz</t>
        </is>
      </c>
      <c r="O38">
        <f>COUNTIFS('Audit Log'!$B$2:$B$2001,"&gt;="&amp;$B$2,'Audit Log'!$F$2:$F$2001,$N38,'Audit Log'!$S$2:$S$2001,$B$4,'Audit Log'!$T$2:$T$2001,"No")</f>
        <v/>
      </c>
      <c r="P38">
        <f>COUNTIFS('Audit Log'!$B$2:$B$2001,"&gt;="&amp;$B$2,'Audit Log'!$F$2:$F$2001,$N38,'Audit Log'!$S$2:$S$2001,$B$4,'Audit Log'!$T$2:$T$2001,"No",'Audit Log'!$O$2:$O$2001,"Valid")</f>
        <v/>
      </c>
      <c r="Q38">
        <f>$O38+ROW()/100000</f>
        <v/>
      </c>
      <c r="R38">
        <f>IFERROR($P38/$O38,0)</f>
        <v/>
      </c>
      <c r="X38" t="inlineStr">
        <is>
          <t>Arsenue, Melvin Rosario</t>
        </is>
      </c>
      <c r="Y38">
        <f>COUNTIFS('Audit Log'!$B$2:$B$2001,"&gt;="&amp;$B$2,'Audit Log'!$F$2:$F$2001,$B$3,'Audit Log'!$S$2:$S$2001,$B$4,'Audit Log'!$T$2:$T$2001,"No",'Audit Log'!$C$2:$C$2001,$X38,'Audit Log'!$O$2:$O$2001,"Invalid")</f>
        <v/>
      </c>
      <c r="Z38">
        <f>$Y38+ROW()/100000</f>
        <v/>
      </c>
    </row>
    <row r="39">
      <c r="N39" t="inlineStr">
        <is>
          <t>Ugalino, Jonadel Pineda</t>
        </is>
      </c>
      <c r="O39">
        <f>COUNTIFS('Audit Log'!$B$2:$B$2001,"&gt;="&amp;$B$2,'Audit Log'!$F$2:$F$2001,$N39,'Audit Log'!$S$2:$S$2001,$B$4,'Audit Log'!$T$2:$T$2001,"No")</f>
        <v/>
      </c>
      <c r="P39">
        <f>COUNTIFS('Audit Log'!$B$2:$B$2001,"&gt;="&amp;$B$2,'Audit Log'!$F$2:$F$2001,$N39,'Audit Log'!$S$2:$S$2001,$B$4,'Audit Log'!$T$2:$T$2001,"No",'Audit Log'!$O$2:$O$2001,"Valid")</f>
        <v/>
      </c>
      <c r="Q39">
        <f>$O39+ROW()/100000</f>
        <v/>
      </c>
      <c r="R39">
        <f>IFERROR($P39/$O39,0)</f>
        <v/>
      </c>
      <c r="X39" t="inlineStr">
        <is>
          <t>Asenas, Sheryll Mae Futalan</t>
        </is>
      </c>
      <c r="Y39">
        <f>COUNTIFS('Audit Log'!$B$2:$B$2001,"&gt;="&amp;$B$2,'Audit Log'!$F$2:$F$2001,$B$3,'Audit Log'!$S$2:$S$2001,$B$4,'Audit Log'!$T$2:$T$2001,"No",'Audit Log'!$C$2:$C$2001,$X39,'Audit Log'!$O$2:$O$2001,"Invalid")</f>
        <v/>
      </c>
      <c r="Z39">
        <f>$Y39+ROW()/100000</f>
        <v/>
      </c>
    </row>
    <row r="40">
      <c r="N40" t="inlineStr">
        <is>
          <t>Vedia, Jerson Reyes</t>
        </is>
      </c>
      <c r="O40">
        <f>COUNTIFS('Audit Log'!$B$2:$B$2001,"&gt;="&amp;$B$2,'Audit Log'!$F$2:$F$2001,$N40,'Audit Log'!$S$2:$S$2001,$B$4,'Audit Log'!$T$2:$T$2001,"No")</f>
        <v/>
      </c>
      <c r="P40">
        <f>COUNTIFS('Audit Log'!$B$2:$B$2001,"&gt;="&amp;$B$2,'Audit Log'!$F$2:$F$2001,$N40,'Audit Log'!$S$2:$S$2001,$B$4,'Audit Log'!$T$2:$T$2001,"No",'Audit Log'!$O$2:$O$2001,"Valid")</f>
        <v/>
      </c>
      <c r="Q40">
        <f>$O40+ROW()/100000</f>
        <v/>
      </c>
      <c r="R40">
        <f>IFERROR($P40/$O40,0)</f>
        <v/>
      </c>
      <c r="X40" t="inlineStr">
        <is>
          <t>Awitan, Jane Arimado</t>
        </is>
      </c>
      <c r="Y40">
        <f>COUNTIFS('Audit Log'!$B$2:$B$2001,"&gt;="&amp;$B$2,'Audit Log'!$F$2:$F$2001,$B$3,'Audit Log'!$S$2:$S$2001,$B$4,'Audit Log'!$T$2:$T$2001,"No",'Audit Log'!$C$2:$C$2001,$X40,'Audit Log'!$O$2:$O$2001,"Invalid")</f>
        <v/>
      </c>
      <c r="Z40">
        <f>$Y40+ROW()/100000</f>
        <v/>
      </c>
    </row>
    <row r="41">
      <c r="X41" t="inlineStr">
        <is>
          <t>Baguino, Ariel Forbes</t>
        </is>
      </c>
      <c r="Y41">
        <f>COUNTIFS('Audit Log'!$B$2:$B$2001,"&gt;="&amp;$B$2,'Audit Log'!$F$2:$F$2001,$B$3,'Audit Log'!$S$2:$S$2001,$B$4,'Audit Log'!$T$2:$T$2001,"No",'Audit Log'!$C$2:$C$2001,$X41,'Audit Log'!$O$2:$O$2001,"Invalid")</f>
        <v/>
      </c>
      <c r="Z41">
        <f>$Y41+ROW()/100000</f>
        <v/>
      </c>
    </row>
    <row r="42">
      <c r="X42" t="inlineStr">
        <is>
          <t>Balingit, Judy Ann Getubig</t>
        </is>
      </c>
      <c r="Y42">
        <f>COUNTIFS('Audit Log'!$B$2:$B$2001,"&gt;="&amp;$B$2,'Audit Log'!$F$2:$F$2001,$B$3,'Audit Log'!$S$2:$S$2001,$B$4,'Audit Log'!$T$2:$T$2001,"No",'Audit Log'!$C$2:$C$2001,$X42,'Audit Log'!$O$2:$O$2001,"Invalid")</f>
        <v/>
      </c>
      <c r="Z42">
        <f>$Y42+ROW()/100000</f>
        <v/>
      </c>
    </row>
    <row r="43">
      <c r="X43" t="inlineStr">
        <is>
          <t>Balles, Reymund Esquivel</t>
        </is>
      </c>
      <c r="Y43">
        <f>COUNTIFS('Audit Log'!$B$2:$B$2001,"&gt;="&amp;$B$2,'Audit Log'!$F$2:$F$2001,$B$3,'Audit Log'!$S$2:$S$2001,$B$4,'Audit Log'!$T$2:$T$2001,"No",'Audit Log'!$C$2:$C$2001,$X43,'Audit Log'!$O$2:$O$2001,"Invalid")</f>
        <v/>
      </c>
      <c r="Z43">
        <f>$Y43+ROW()/100000</f>
        <v/>
      </c>
    </row>
    <row r="44">
      <c r="X44" t="inlineStr">
        <is>
          <t>Baloco, Paula Bianca Villarante</t>
        </is>
      </c>
      <c r="Y44">
        <f>COUNTIFS('Audit Log'!$B$2:$B$2001,"&gt;="&amp;$B$2,'Audit Log'!$F$2:$F$2001,$B$3,'Audit Log'!$S$2:$S$2001,$B$4,'Audit Log'!$T$2:$T$2001,"No",'Audit Log'!$C$2:$C$2001,$X44,'Audit Log'!$O$2:$O$2001,"Invalid")</f>
        <v/>
      </c>
      <c r="Z44">
        <f>$Y44+ROW()/100000</f>
        <v/>
      </c>
    </row>
    <row r="45">
      <c r="X45" t="inlineStr">
        <is>
          <t>Baltazar, Ryan Casey Lansangan</t>
        </is>
      </c>
      <c r="Y45">
        <f>COUNTIFS('Audit Log'!$B$2:$B$2001,"&gt;="&amp;$B$2,'Audit Log'!$F$2:$F$2001,$B$3,'Audit Log'!$S$2:$S$2001,$B$4,'Audit Log'!$T$2:$T$2001,"No",'Audit Log'!$C$2:$C$2001,$X45,'Audit Log'!$O$2:$O$2001,"Invalid")</f>
        <v/>
      </c>
      <c r="Z45">
        <f>$Y45+ROW()/100000</f>
        <v/>
      </c>
    </row>
    <row r="46">
      <c r="X46" t="inlineStr">
        <is>
          <t>Basbas, Lea Mai Lado</t>
        </is>
      </c>
      <c r="Y46">
        <f>COUNTIFS('Audit Log'!$B$2:$B$2001,"&gt;="&amp;$B$2,'Audit Log'!$F$2:$F$2001,$B$3,'Audit Log'!$S$2:$S$2001,$B$4,'Audit Log'!$T$2:$T$2001,"No",'Audit Log'!$C$2:$C$2001,$X46,'Audit Log'!$O$2:$O$2001,"Invalid")</f>
        <v/>
      </c>
      <c r="Z46">
        <f>$Y46+ROW()/100000</f>
        <v/>
      </c>
    </row>
    <row r="47">
      <c r="X47" t="inlineStr">
        <is>
          <t>Batimana, Randy Pardilla</t>
        </is>
      </c>
      <c r="Y47">
        <f>COUNTIFS('Audit Log'!$B$2:$B$2001,"&gt;="&amp;$B$2,'Audit Log'!$F$2:$F$2001,$B$3,'Audit Log'!$S$2:$S$2001,$B$4,'Audit Log'!$T$2:$T$2001,"No",'Audit Log'!$C$2:$C$2001,$X47,'Audit Log'!$O$2:$O$2001,"Invalid")</f>
        <v/>
      </c>
      <c r="Z47">
        <f>$Y47+ROW()/100000</f>
        <v/>
      </c>
    </row>
    <row r="48">
      <c r="X48" t="inlineStr">
        <is>
          <t>Bautista, Allan Joseph Sanchez</t>
        </is>
      </c>
      <c r="Y48">
        <f>COUNTIFS('Audit Log'!$B$2:$B$2001,"&gt;="&amp;$B$2,'Audit Log'!$F$2:$F$2001,$B$3,'Audit Log'!$S$2:$S$2001,$B$4,'Audit Log'!$T$2:$T$2001,"No",'Audit Log'!$C$2:$C$2001,$X48,'Audit Log'!$O$2:$O$2001,"Invalid")</f>
        <v/>
      </c>
      <c r="Z48">
        <f>$Y48+ROW()/100000</f>
        <v/>
      </c>
    </row>
    <row r="49">
      <c r="X49" t="inlineStr">
        <is>
          <t>Bautista, Arvie Aggabao</t>
        </is>
      </c>
      <c r="Y49">
        <f>COUNTIFS('Audit Log'!$B$2:$B$2001,"&gt;="&amp;$B$2,'Audit Log'!$F$2:$F$2001,$B$3,'Audit Log'!$S$2:$S$2001,$B$4,'Audit Log'!$T$2:$T$2001,"No",'Audit Log'!$C$2:$C$2001,$X49,'Audit Log'!$O$2:$O$2001,"Invalid")</f>
        <v/>
      </c>
      <c r="Z49">
        <f>$Y49+ROW()/100000</f>
        <v/>
      </c>
    </row>
    <row r="50">
      <c r="X50" t="inlineStr">
        <is>
          <t>Baya, Cindy Diaz</t>
        </is>
      </c>
      <c r="Y50">
        <f>COUNTIFS('Audit Log'!$B$2:$B$2001,"&gt;="&amp;$B$2,'Audit Log'!$F$2:$F$2001,$B$3,'Audit Log'!$S$2:$S$2001,$B$4,'Audit Log'!$T$2:$T$2001,"No",'Audit Log'!$C$2:$C$2001,$X50,'Audit Log'!$O$2:$O$2001,"Invalid")</f>
        <v/>
      </c>
      <c r="Z50">
        <f>$Y50+ROW()/100000</f>
        <v/>
      </c>
    </row>
    <row r="51">
      <c r="X51" t="inlineStr">
        <is>
          <t>Bayson, Johnnella Faith Baluco</t>
        </is>
      </c>
      <c r="Y51">
        <f>COUNTIFS('Audit Log'!$B$2:$B$2001,"&gt;="&amp;$B$2,'Audit Log'!$F$2:$F$2001,$B$3,'Audit Log'!$S$2:$S$2001,$B$4,'Audit Log'!$T$2:$T$2001,"No",'Audit Log'!$C$2:$C$2001,$X51,'Audit Log'!$O$2:$O$2001,"Invalid")</f>
        <v/>
      </c>
      <c r="Z51">
        <f>$Y51+ROW()/100000</f>
        <v/>
      </c>
    </row>
    <row r="52">
      <c r="X52" t="inlineStr">
        <is>
          <t>Belandres, Nica Marie Ballola</t>
        </is>
      </c>
      <c r="Y52">
        <f>COUNTIFS('Audit Log'!$B$2:$B$2001,"&gt;="&amp;$B$2,'Audit Log'!$F$2:$F$2001,$B$3,'Audit Log'!$S$2:$S$2001,$B$4,'Audit Log'!$T$2:$T$2001,"No",'Audit Log'!$C$2:$C$2001,$X52,'Audit Log'!$O$2:$O$2001,"Invalid")</f>
        <v/>
      </c>
      <c r="Z52">
        <f>$Y52+ROW()/100000</f>
        <v/>
      </c>
    </row>
    <row r="53">
      <c r="X53" t="inlineStr">
        <is>
          <t>Belgica, Jessa Sarmiento</t>
        </is>
      </c>
      <c r="Y53">
        <f>COUNTIFS('Audit Log'!$B$2:$B$2001,"&gt;="&amp;$B$2,'Audit Log'!$F$2:$F$2001,$B$3,'Audit Log'!$S$2:$S$2001,$B$4,'Audit Log'!$T$2:$T$2001,"No",'Audit Log'!$C$2:$C$2001,$X53,'Audit Log'!$O$2:$O$2001,"Invalid")</f>
        <v/>
      </c>
      <c r="Z53">
        <f>$Y53+ROW()/100000</f>
        <v/>
      </c>
    </row>
    <row r="54">
      <c r="X54" t="inlineStr">
        <is>
          <t>Bella, Zarla Marie Mallorca</t>
        </is>
      </c>
      <c r="Y54">
        <f>COUNTIFS('Audit Log'!$B$2:$B$2001,"&gt;="&amp;$B$2,'Audit Log'!$F$2:$F$2001,$B$3,'Audit Log'!$S$2:$S$2001,$B$4,'Audit Log'!$T$2:$T$2001,"No",'Audit Log'!$C$2:$C$2001,$X54,'Audit Log'!$O$2:$O$2001,"Invalid")</f>
        <v/>
      </c>
      <c r="Z54">
        <f>$Y54+ROW()/100000</f>
        <v/>
      </c>
    </row>
    <row r="55">
      <c r="X55" t="inlineStr">
        <is>
          <t>Benedicto, Allen Kiel Lazarra</t>
        </is>
      </c>
      <c r="Y55">
        <f>COUNTIFS('Audit Log'!$B$2:$B$2001,"&gt;="&amp;$B$2,'Audit Log'!$F$2:$F$2001,$B$3,'Audit Log'!$S$2:$S$2001,$B$4,'Audit Log'!$T$2:$T$2001,"No",'Audit Log'!$C$2:$C$2001,$X55,'Audit Log'!$O$2:$O$2001,"Invalid")</f>
        <v/>
      </c>
      <c r="Z55">
        <f>$Y55+ROW()/100000</f>
        <v/>
      </c>
    </row>
    <row r="56">
      <c r="X56" t="inlineStr">
        <is>
          <t>Benedicto, Mona Liza Matias</t>
        </is>
      </c>
      <c r="Y56">
        <f>COUNTIFS('Audit Log'!$B$2:$B$2001,"&gt;="&amp;$B$2,'Audit Log'!$F$2:$F$2001,$B$3,'Audit Log'!$S$2:$S$2001,$B$4,'Audit Log'!$T$2:$T$2001,"No",'Audit Log'!$C$2:$C$2001,$X56,'Audit Log'!$O$2:$O$2001,"Invalid")</f>
        <v/>
      </c>
      <c r="Z56">
        <f>$Y56+ROW()/100000</f>
        <v/>
      </c>
    </row>
    <row r="57">
      <c r="X57" t="inlineStr">
        <is>
          <t>Bernardo, Mary Jane Cayme</t>
        </is>
      </c>
      <c r="Y57">
        <f>COUNTIFS('Audit Log'!$B$2:$B$2001,"&gt;="&amp;$B$2,'Audit Log'!$F$2:$F$2001,$B$3,'Audit Log'!$S$2:$S$2001,$B$4,'Audit Log'!$T$2:$T$2001,"No",'Audit Log'!$C$2:$C$2001,$X57,'Audit Log'!$O$2:$O$2001,"Invalid")</f>
        <v/>
      </c>
      <c r="Z57">
        <f>$Y57+ROW()/100000</f>
        <v/>
      </c>
    </row>
    <row r="58">
      <c r="X58" t="inlineStr">
        <is>
          <t>Bernat, Rae Anne Claro</t>
        </is>
      </c>
      <c r="Y58">
        <f>COUNTIFS('Audit Log'!$B$2:$B$2001,"&gt;="&amp;$B$2,'Audit Log'!$F$2:$F$2001,$B$3,'Audit Log'!$S$2:$S$2001,$B$4,'Audit Log'!$T$2:$T$2001,"No",'Audit Log'!$C$2:$C$2001,$X58,'Audit Log'!$O$2:$O$2001,"Invalid")</f>
        <v/>
      </c>
      <c r="Z58">
        <f>$Y58+ROW()/100000</f>
        <v/>
      </c>
    </row>
    <row r="59">
      <c r="X59" t="inlineStr">
        <is>
          <t>Bertos, Cindy Salmingo</t>
        </is>
      </c>
      <c r="Y59">
        <f>COUNTIFS('Audit Log'!$B$2:$B$2001,"&gt;="&amp;$B$2,'Audit Log'!$F$2:$F$2001,$B$3,'Audit Log'!$S$2:$S$2001,$B$4,'Audit Log'!$T$2:$T$2001,"No",'Audit Log'!$C$2:$C$2001,$X59,'Audit Log'!$O$2:$O$2001,"Invalid")</f>
        <v/>
      </c>
      <c r="Z59">
        <f>$Y59+ROW()/100000</f>
        <v/>
      </c>
    </row>
    <row r="60">
      <c r="X60" t="inlineStr">
        <is>
          <t>Bhardwaj, Sundeep Taneza</t>
        </is>
      </c>
      <c r="Y60">
        <f>COUNTIFS('Audit Log'!$B$2:$B$2001,"&gt;="&amp;$B$2,'Audit Log'!$F$2:$F$2001,$B$3,'Audit Log'!$S$2:$S$2001,$B$4,'Audit Log'!$T$2:$T$2001,"No",'Audit Log'!$C$2:$C$2001,$X60,'Audit Log'!$O$2:$O$2001,"Invalid")</f>
        <v/>
      </c>
      <c r="Z60">
        <f>$Y60+ROW()/100000</f>
        <v/>
      </c>
    </row>
    <row r="61">
      <c r="X61" t="inlineStr">
        <is>
          <t>Billete, Salve Checa</t>
        </is>
      </c>
      <c r="Y61">
        <f>COUNTIFS('Audit Log'!$B$2:$B$2001,"&gt;="&amp;$B$2,'Audit Log'!$F$2:$F$2001,$B$3,'Audit Log'!$S$2:$S$2001,$B$4,'Audit Log'!$T$2:$T$2001,"No",'Audit Log'!$C$2:$C$2001,$X61,'Audit Log'!$O$2:$O$2001,"Invalid")</f>
        <v/>
      </c>
      <c r="Z61">
        <f>$Y61+ROW()/100000</f>
        <v/>
      </c>
    </row>
    <row r="62">
      <c r="X62" t="inlineStr">
        <is>
          <t>Blanco, Mary Jane Severano</t>
        </is>
      </c>
      <c r="Y62">
        <f>COUNTIFS('Audit Log'!$B$2:$B$2001,"&gt;="&amp;$B$2,'Audit Log'!$F$2:$F$2001,$B$3,'Audit Log'!$S$2:$S$2001,$B$4,'Audit Log'!$T$2:$T$2001,"No",'Audit Log'!$C$2:$C$2001,$X62,'Audit Log'!$O$2:$O$2001,"Invalid")</f>
        <v/>
      </c>
      <c r="Z62">
        <f>$Y62+ROW()/100000</f>
        <v/>
      </c>
    </row>
    <row r="63">
      <c r="X63" t="inlineStr">
        <is>
          <t>Blas, Jesus Jr Trinidad</t>
        </is>
      </c>
      <c r="Y63">
        <f>COUNTIFS('Audit Log'!$B$2:$B$2001,"&gt;="&amp;$B$2,'Audit Log'!$F$2:$F$2001,$B$3,'Audit Log'!$S$2:$S$2001,$B$4,'Audit Log'!$T$2:$T$2001,"No",'Audit Log'!$C$2:$C$2001,$X63,'Audit Log'!$O$2:$O$2001,"Invalid")</f>
        <v/>
      </c>
      <c r="Z63">
        <f>$Y63+ROW()/100000</f>
        <v/>
      </c>
    </row>
    <row r="64">
      <c r="X64" t="inlineStr">
        <is>
          <t>Boado, Jennifer A</t>
        </is>
      </c>
      <c r="Y64">
        <f>COUNTIFS('Audit Log'!$B$2:$B$2001,"&gt;="&amp;$B$2,'Audit Log'!$F$2:$F$2001,$B$3,'Audit Log'!$S$2:$S$2001,$B$4,'Audit Log'!$T$2:$T$2001,"No",'Audit Log'!$C$2:$C$2001,$X64,'Audit Log'!$O$2:$O$2001,"Invalid")</f>
        <v/>
      </c>
      <c r="Z64">
        <f>$Y64+ROW()/100000</f>
        <v/>
      </c>
    </row>
    <row r="65">
      <c r="X65" t="inlineStr">
        <is>
          <t>Bocar, Genesis -</t>
        </is>
      </c>
      <c r="Y65">
        <f>COUNTIFS('Audit Log'!$B$2:$B$2001,"&gt;="&amp;$B$2,'Audit Log'!$F$2:$F$2001,$B$3,'Audit Log'!$S$2:$S$2001,$B$4,'Audit Log'!$T$2:$T$2001,"No",'Audit Log'!$C$2:$C$2001,$X65,'Audit Log'!$O$2:$O$2001,"Invalid")</f>
        <v/>
      </c>
      <c r="Z65">
        <f>$Y65+ROW()/100000</f>
        <v/>
      </c>
    </row>
    <row r="66">
      <c r="X66" t="inlineStr">
        <is>
          <t>Bocbocila, Josiel Amahit</t>
        </is>
      </c>
      <c r="Y66">
        <f>COUNTIFS('Audit Log'!$B$2:$B$2001,"&gt;="&amp;$B$2,'Audit Log'!$F$2:$F$2001,$B$3,'Audit Log'!$S$2:$S$2001,$B$4,'Audit Log'!$T$2:$T$2001,"No",'Audit Log'!$C$2:$C$2001,$X66,'Audit Log'!$O$2:$O$2001,"Invalid")</f>
        <v/>
      </c>
      <c r="Z66">
        <f>$Y66+ROW()/100000</f>
        <v/>
      </c>
    </row>
    <row r="67">
      <c r="X67" t="inlineStr">
        <is>
          <t>Bondal, Dwennie Loraine Mendoza</t>
        </is>
      </c>
      <c r="Y67">
        <f>COUNTIFS('Audit Log'!$B$2:$B$2001,"&gt;="&amp;$B$2,'Audit Log'!$F$2:$F$2001,$B$3,'Audit Log'!$S$2:$S$2001,$B$4,'Audit Log'!$T$2:$T$2001,"No",'Audit Log'!$C$2:$C$2001,$X67,'Audit Log'!$O$2:$O$2001,"Invalid")</f>
        <v/>
      </c>
      <c r="Z67">
        <f>$Y67+ROW()/100000</f>
        <v/>
      </c>
    </row>
    <row r="68">
      <c r="X68" t="inlineStr">
        <is>
          <t>Bonilla, Ralph Vincent Tolentino</t>
        </is>
      </c>
      <c r="Y68">
        <f>COUNTIFS('Audit Log'!$B$2:$B$2001,"&gt;="&amp;$B$2,'Audit Log'!$F$2:$F$2001,$B$3,'Audit Log'!$S$2:$S$2001,$B$4,'Audit Log'!$T$2:$T$2001,"No",'Audit Log'!$C$2:$C$2001,$X68,'Audit Log'!$O$2:$O$2001,"Invalid")</f>
        <v/>
      </c>
      <c r="Z68">
        <f>$Y68+ROW()/100000</f>
        <v/>
      </c>
    </row>
    <row r="69">
      <c r="X69" t="inlineStr">
        <is>
          <t>Borbon, Genesis Amor Mendoza</t>
        </is>
      </c>
      <c r="Y69">
        <f>COUNTIFS('Audit Log'!$B$2:$B$2001,"&gt;="&amp;$B$2,'Audit Log'!$F$2:$F$2001,$B$3,'Audit Log'!$S$2:$S$2001,$B$4,'Audit Log'!$T$2:$T$2001,"No",'Audit Log'!$C$2:$C$2001,$X69,'Audit Log'!$O$2:$O$2001,"Invalid")</f>
        <v/>
      </c>
      <c r="Z69">
        <f>$Y69+ROW()/100000</f>
        <v/>
      </c>
    </row>
    <row r="70">
      <c r="X70" t="inlineStr">
        <is>
          <t>Bordarays, Alyssa Matudan</t>
        </is>
      </c>
      <c r="Y70">
        <f>COUNTIFS('Audit Log'!$B$2:$B$2001,"&gt;="&amp;$B$2,'Audit Log'!$F$2:$F$2001,$B$3,'Audit Log'!$S$2:$S$2001,$B$4,'Audit Log'!$T$2:$T$2001,"No",'Audit Log'!$C$2:$C$2001,$X70,'Audit Log'!$O$2:$O$2001,"Invalid")</f>
        <v/>
      </c>
      <c r="Z70">
        <f>$Y70+ROW()/100000</f>
        <v/>
      </c>
    </row>
    <row r="71">
      <c r="X71" t="inlineStr">
        <is>
          <t>Boribor, Mary Shane Ombing</t>
        </is>
      </c>
      <c r="Y71">
        <f>COUNTIFS('Audit Log'!$B$2:$B$2001,"&gt;="&amp;$B$2,'Audit Log'!$F$2:$F$2001,$B$3,'Audit Log'!$S$2:$S$2001,$B$4,'Audit Log'!$T$2:$T$2001,"No",'Audit Log'!$C$2:$C$2001,$X71,'Audit Log'!$O$2:$O$2001,"Invalid")</f>
        <v/>
      </c>
      <c r="Z71">
        <f>$Y71+ROW()/100000</f>
        <v/>
      </c>
    </row>
    <row r="72">
      <c r="X72" t="inlineStr">
        <is>
          <t>Bornolla, Lord Kelvin Amos</t>
        </is>
      </c>
      <c r="Y72">
        <f>COUNTIFS('Audit Log'!$B$2:$B$2001,"&gt;="&amp;$B$2,'Audit Log'!$F$2:$F$2001,$B$3,'Audit Log'!$S$2:$S$2001,$B$4,'Audit Log'!$T$2:$T$2001,"No",'Audit Log'!$C$2:$C$2001,$X72,'Audit Log'!$O$2:$O$2001,"Invalid")</f>
        <v/>
      </c>
      <c r="Z72">
        <f>$Y72+ROW()/100000</f>
        <v/>
      </c>
    </row>
    <row r="73">
      <c r="X73" t="inlineStr">
        <is>
          <t>Bote, Roderic Fabay</t>
        </is>
      </c>
      <c r="Y73">
        <f>COUNTIFS('Audit Log'!$B$2:$B$2001,"&gt;="&amp;$B$2,'Audit Log'!$F$2:$F$2001,$B$3,'Audit Log'!$S$2:$S$2001,$B$4,'Audit Log'!$T$2:$T$2001,"No",'Audit Log'!$C$2:$C$2001,$X73,'Audit Log'!$O$2:$O$2001,"Invalid")</f>
        <v/>
      </c>
      <c r="Z73">
        <f>$Y73+ROW()/100000</f>
        <v/>
      </c>
    </row>
    <row r="74">
      <c r="X74" t="inlineStr">
        <is>
          <t>Bravo, Janilyne Flores</t>
        </is>
      </c>
      <c r="Y74">
        <f>COUNTIFS('Audit Log'!$B$2:$B$2001,"&gt;="&amp;$B$2,'Audit Log'!$F$2:$F$2001,$B$3,'Audit Log'!$S$2:$S$2001,$B$4,'Audit Log'!$T$2:$T$2001,"No",'Audit Log'!$C$2:$C$2001,$X74,'Audit Log'!$O$2:$O$2001,"Invalid")</f>
        <v/>
      </c>
      <c r="Z74">
        <f>$Y74+ROW()/100000</f>
        <v/>
      </c>
    </row>
    <row r="75">
      <c r="X75" t="inlineStr">
        <is>
          <t>Briones, Aries Ang</t>
        </is>
      </c>
      <c r="Y75">
        <f>COUNTIFS('Audit Log'!$B$2:$B$2001,"&gt;="&amp;$B$2,'Audit Log'!$F$2:$F$2001,$B$3,'Audit Log'!$S$2:$S$2001,$B$4,'Audit Log'!$T$2:$T$2001,"No",'Audit Log'!$C$2:$C$2001,$X75,'Audit Log'!$O$2:$O$2001,"Invalid")</f>
        <v/>
      </c>
      <c r="Z75">
        <f>$Y75+ROW()/100000</f>
        <v/>
      </c>
    </row>
    <row r="76">
      <c r="X76" t="inlineStr">
        <is>
          <t>Brioso, John Vergel Quinones</t>
        </is>
      </c>
      <c r="Y76">
        <f>COUNTIFS('Audit Log'!$B$2:$B$2001,"&gt;="&amp;$B$2,'Audit Log'!$F$2:$F$2001,$B$3,'Audit Log'!$S$2:$S$2001,$B$4,'Audit Log'!$T$2:$T$2001,"No",'Audit Log'!$C$2:$C$2001,$X76,'Audit Log'!$O$2:$O$2001,"Invalid")</f>
        <v/>
      </c>
      <c r="Z76">
        <f>$Y76+ROW()/100000</f>
        <v/>
      </c>
    </row>
    <row r="77">
      <c r="X77" t="inlineStr">
        <is>
          <t>Brosas, Solito Quinquito</t>
        </is>
      </c>
      <c r="Y77">
        <f>COUNTIFS('Audit Log'!$B$2:$B$2001,"&gt;="&amp;$B$2,'Audit Log'!$F$2:$F$2001,$B$3,'Audit Log'!$S$2:$S$2001,$B$4,'Audit Log'!$T$2:$T$2001,"No",'Audit Log'!$C$2:$C$2001,$X77,'Audit Log'!$O$2:$O$2001,"Invalid")</f>
        <v/>
      </c>
      <c r="Z77">
        <f>$Y77+ROW()/100000</f>
        <v/>
      </c>
    </row>
    <row r="78">
      <c r="X78" t="inlineStr">
        <is>
          <t>Brual, Donnah Kharoleen Balagtas</t>
        </is>
      </c>
      <c r="Y78">
        <f>COUNTIFS('Audit Log'!$B$2:$B$2001,"&gt;="&amp;$B$2,'Audit Log'!$F$2:$F$2001,$B$3,'Audit Log'!$S$2:$S$2001,$B$4,'Audit Log'!$T$2:$T$2001,"No",'Audit Log'!$C$2:$C$2001,$X78,'Audit Log'!$O$2:$O$2001,"Invalid")</f>
        <v/>
      </c>
      <c r="Z78">
        <f>$Y78+ROW()/100000</f>
        <v/>
      </c>
    </row>
    <row r="79">
      <c r="X79" t="inlineStr">
        <is>
          <t>Buenaventura, Claudette Andrea Limjuco</t>
        </is>
      </c>
      <c r="Y79">
        <f>COUNTIFS('Audit Log'!$B$2:$B$2001,"&gt;="&amp;$B$2,'Audit Log'!$F$2:$F$2001,$B$3,'Audit Log'!$S$2:$S$2001,$B$4,'Audit Log'!$T$2:$T$2001,"No",'Audit Log'!$C$2:$C$2001,$X79,'Audit Log'!$O$2:$O$2001,"Invalid")</f>
        <v/>
      </c>
      <c r="Z79">
        <f>$Y79+ROW()/100000</f>
        <v/>
      </c>
    </row>
    <row r="80">
      <c r="X80" t="inlineStr">
        <is>
          <t>Buendia, Clarissa San Vicente</t>
        </is>
      </c>
      <c r="Y80">
        <f>COUNTIFS('Audit Log'!$B$2:$B$2001,"&gt;="&amp;$B$2,'Audit Log'!$F$2:$F$2001,$B$3,'Audit Log'!$S$2:$S$2001,$B$4,'Audit Log'!$T$2:$T$2001,"No",'Audit Log'!$C$2:$C$2001,$X80,'Audit Log'!$O$2:$O$2001,"Invalid")</f>
        <v/>
      </c>
      <c r="Z80">
        <f>$Y80+ROW()/100000</f>
        <v/>
      </c>
    </row>
    <row r="81">
      <c r="X81" t="inlineStr">
        <is>
          <t>Bughao, Vicente Carlos De Luna</t>
        </is>
      </c>
      <c r="Y81">
        <f>COUNTIFS('Audit Log'!$B$2:$B$2001,"&gt;="&amp;$B$2,'Audit Log'!$F$2:$F$2001,$B$3,'Audit Log'!$S$2:$S$2001,$B$4,'Audit Log'!$T$2:$T$2001,"No",'Audit Log'!$C$2:$C$2001,$X81,'Audit Log'!$O$2:$O$2001,"Invalid")</f>
        <v/>
      </c>
      <c r="Z81">
        <f>$Y81+ROW()/100000</f>
        <v/>
      </c>
    </row>
    <row r="82">
      <c r="X82" t="inlineStr">
        <is>
          <t>Cabus, Dionicio Hernandez</t>
        </is>
      </c>
      <c r="Y82">
        <f>COUNTIFS('Audit Log'!$B$2:$B$2001,"&gt;="&amp;$B$2,'Audit Log'!$F$2:$F$2001,$B$3,'Audit Log'!$S$2:$S$2001,$B$4,'Audit Log'!$T$2:$T$2001,"No",'Audit Log'!$C$2:$C$2001,$X82,'Audit Log'!$O$2:$O$2001,"Invalid")</f>
        <v/>
      </c>
      <c r="Z82">
        <f>$Y82+ROW()/100000</f>
        <v/>
      </c>
    </row>
    <row r="83">
      <c r="X83" t="inlineStr">
        <is>
          <t>Calo, Mayet Largosa</t>
        </is>
      </c>
      <c r="Y83">
        <f>COUNTIFS('Audit Log'!$B$2:$B$2001,"&gt;="&amp;$B$2,'Audit Log'!$F$2:$F$2001,$B$3,'Audit Log'!$S$2:$S$2001,$B$4,'Audit Log'!$T$2:$T$2001,"No",'Audit Log'!$C$2:$C$2001,$X83,'Audit Log'!$O$2:$O$2001,"Invalid")</f>
        <v/>
      </c>
      <c r="Z83">
        <f>$Y83+ROW()/100000</f>
        <v/>
      </c>
    </row>
    <row r="84">
      <c r="X84" t="inlineStr">
        <is>
          <t>Calvendra, Jaycelle Perez</t>
        </is>
      </c>
      <c r="Y84">
        <f>COUNTIFS('Audit Log'!$B$2:$B$2001,"&gt;="&amp;$B$2,'Audit Log'!$F$2:$F$2001,$B$3,'Audit Log'!$S$2:$S$2001,$B$4,'Audit Log'!$T$2:$T$2001,"No",'Audit Log'!$C$2:$C$2001,$X84,'Audit Log'!$O$2:$O$2001,"Invalid")</f>
        <v/>
      </c>
      <c r="Z84">
        <f>$Y84+ROW()/100000</f>
        <v/>
      </c>
    </row>
    <row r="85">
      <c r="X85" t="inlineStr">
        <is>
          <t>Cambe, Bernadeth Punzalan</t>
        </is>
      </c>
      <c r="Y85">
        <f>COUNTIFS('Audit Log'!$B$2:$B$2001,"&gt;="&amp;$B$2,'Audit Log'!$F$2:$F$2001,$B$3,'Audit Log'!$S$2:$S$2001,$B$4,'Audit Log'!$T$2:$T$2001,"No",'Audit Log'!$C$2:$C$2001,$X85,'Audit Log'!$O$2:$O$2001,"Invalid")</f>
        <v/>
      </c>
      <c r="Z85">
        <f>$Y85+ROW()/100000</f>
        <v/>
      </c>
    </row>
    <row r="86">
      <c r="X86" t="inlineStr">
        <is>
          <t>Canales, Mark Florenz Guballo</t>
        </is>
      </c>
      <c r="Y86">
        <f>COUNTIFS('Audit Log'!$B$2:$B$2001,"&gt;="&amp;$B$2,'Audit Log'!$F$2:$F$2001,$B$3,'Audit Log'!$S$2:$S$2001,$B$4,'Audit Log'!$T$2:$T$2001,"No",'Audit Log'!$C$2:$C$2001,$X86,'Audit Log'!$O$2:$O$2001,"Invalid")</f>
        <v/>
      </c>
      <c r="Z86">
        <f>$Y86+ROW()/100000</f>
        <v/>
      </c>
    </row>
    <row r="87">
      <c r="X87" t="inlineStr">
        <is>
          <t>Capales, Quennie Vasquez</t>
        </is>
      </c>
      <c r="Y87">
        <f>COUNTIFS('Audit Log'!$B$2:$B$2001,"&gt;="&amp;$B$2,'Audit Log'!$F$2:$F$2001,$B$3,'Audit Log'!$S$2:$S$2001,$B$4,'Audit Log'!$T$2:$T$2001,"No",'Audit Log'!$C$2:$C$2001,$X87,'Audit Log'!$O$2:$O$2001,"Invalid")</f>
        <v/>
      </c>
      <c r="Z87">
        <f>$Y87+ROW()/100000</f>
        <v/>
      </c>
    </row>
    <row r="88">
      <c r="X88" t="inlineStr">
        <is>
          <t>Capule, Angel Kate Devaras</t>
        </is>
      </c>
      <c r="Y88">
        <f>COUNTIFS('Audit Log'!$B$2:$B$2001,"&gt;="&amp;$B$2,'Audit Log'!$F$2:$F$2001,$B$3,'Audit Log'!$S$2:$S$2001,$B$4,'Audit Log'!$T$2:$T$2001,"No",'Audit Log'!$C$2:$C$2001,$X88,'Audit Log'!$O$2:$O$2001,"Invalid")</f>
        <v/>
      </c>
      <c r="Z88">
        <f>$Y88+ROW()/100000</f>
        <v/>
      </c>
    </row>
    <row r="89">
      <c r="X89" t="inlineStr">
        <is>
          <t>Carbajal, James Nathaniel Abastillas</t>
        </is>
      </c>
      <c r="Y89">
        <f>COUNTIFS('Audit Log'!$B$2:$B$2001,"&gt;="&amp;$B$2,'Audit Log'!$F$2:$F$2001,$B$3,'Audit Log'!$S$2:$S$2001,$B$4,'Audit Log'!$T$2:$T$2001,"No",'Audit Log'!$C$2:$C$2001,$X89,'Audit Log'!$O$2:$O$2001,"Invalid")</f>
        <v/>
      </c>
      <c r="Z89">
        <f>$Y89+ROW()/100000</f>
        <v/>
      </c>
    </row>
    <row r="90">
      <c r="X90" t="inlineStr">
        <is>
          <t>Carpio, Ellen Rose Medina</t>
        </is>
      </c>
      <c r="Y90">
        <f>COUNTIFS('Audit Log'!$B$2:$B$2001,"&gt;="&amp;$B$2,'Audit Log'!$F$2:$F$2001,$B$3,'Audit Log'!$S$2:$S$2001,$B$4,'Audit Log'!$T$2:$T$2001,"No",'Audit Log'!$C$2:$C$2001,$X90,'Audit Log'!$O$2:$O$2001,"Invalid")</f>
        <v/>
      </c>
      <c r="Z90">
        <f>$Y90+ROW()/100000</f>
        <v/>
      </c>
    </row>
    <row r="91">
      <c r="X91" t="inlineStr">
        <is>
          <t>Casing, Jhon Carlo Azarcon</t>
        </is>
      </c>
      <c r="Y91">
        <f>COUNTIFS('Audit Log'!$B$2:$B$2001,"&gt;="&amp;$B$2,'Audit Log'!$F$2:$F$2001,$B$3,'Audit Log'!$S$2:$S$2001,$B$4,'Audit Log'!$T$2:$T$2001,"No",'Audit Log'!$C$2:$C$2001,$X91,'Audit Log'!$O$2:$O$2001,"Invalid")</f>
        <v/>
      </c>
      <c r="Z91">
        <f>$Y91+ROW()/100000</f>
        <v/>
      </c>
    </row>
    <row r="92">
      <c r="X92" t="inlineStr">
        <is>
          <t>Casiño, Jaypee Cabural</t>
        </is>
      </c>
      <c r="Y92">
        <f>COUNTIFS('Audit Log'!$B$2:$B$2001,"&gt;="&amp;$B$2,'Audit Log'!$F$2:$F$2001,$B$3,'Audit Log'!$S$2:$S$2001,$B$4,'Audit Log'!$T$2:$T$2001,"No",'Audit Log'!$C$2:$C$2001,$X92,'Audit Log'!$O$2:$O$2001,"Invalid")</f>
        <v/>
      </c>
      <c r="Z92">
        <f>$Y92+ROW()/100000</f>
        <v/>
      </c>
    </row>
    <row r="93">
      <c r="X93" t="inlineStr">
        <is>
          <t>Castillo, Wilbert Pamplona</t>
        </is>
      </c>
      <c r="Y93">
        <f>COUNTIFS('Audit Log'!$B$2:$B$2001,"&gt;="&amp;$B$2,'Audit Log'!$F$2:$F$2001,$B$3,'Audit Log'!$S$2:$S$2001,$B$4,'Audit Log'!$T$2:$T$2001,"No",'Audit Log'!$C$2:$C$2001,$X93,'Audit Log'!$O$2:$O$2001,"Invalid")</f>
        <v/>
      </c>
      <c r="Z93">
        <f>$Y93+ROW()/100000</f>
        <v/>
      </c>
    </row>
    <row r="94">
      <c r="X94" t="inlineStr">
        <is>
          <t>Castro, Michael Catiempo</t>
        </is>
      </c>
      <c r="Y94">
        <f>COUNTIFS('Audit Log'!$B$2:$B$2001,"&gt;="&amp;$B$2,'Audit Log'!$F$2:$F$2001,$B$3,'Audit Log'!$S$2:$S$2001,$B$4,'Audit Log'!$T$2:$T$2001,"No",'Audit Log'!$C$2:$C$2001,$X94,'Audit Log'!$O$2:$O$2001,"Invalid")</f>
        <v/>
      </c>
      <c r="Z94">
        <f>$Y94+ROW()/100000</f>
        <v/>
      </c>
    </row>
    <row r="95">
      <c r="X95" t="inlineStr">
        <is>
          <t>Cañaveral, January Olivar</t>
        </is>
      </c>
      <c r="Y95">
        <f>COUNTIFS('Audit Log'!$B$2:$B$2001,"&gt;="&amp;$B$2,'Audit Log'!$F$2:$F$2001,$B$3,'Audit Log'!$S$2:$S$2001,$B$4,'Audit Log'!$T$2:$T$2001,"No",'Audit Log'!$C$2:$C$2001,$X95,'Audit Log'!$O$2:$O$2001,"Invalid")</f>
        <v/>
      </c>
      <c r="Z95">
        <f>$Y95+ROW()/100000</f>
        <v/>
      </c>
    </row>
    <row r="96">
      <c r="X96" t="inlineStr">
        <is>
          <t>Cañedo, Danie Dela Cruz</t>
        </is>
      </c>
      <c r="Y96">
        <f>COUNTIFS('Audit Log'!$B$2:$B$2001,"&gt;="&amp;$B$2,'Audit Log'!$F$2:$F$2001,$B$3,'Audit Log'!$S$2:$S$2001,$B$4,'Audit Log'!$T$2:$T$2001,"No",'Audit Log'!$C$2:$C$2001,$X96,'Audit Log'!$O$2:$O$2001,"Invalid")</f>
        <v/>
      </c>
      <c r="Z96">
        <f>$Y96+ROW()/100000</f>
        <v/>
      </c>
    </row>
    <row r="97">
      <c r="X97" t="inlineStr">
        <is>
          <t>Cerace, Jayson Silvio</t>
        </is>
      </c>
      <c r="Y97">
        <f>COUNTIFS('Audit Log'!$B$2:$B$2001,"&gt;="&amp;$B$2,'Audit Log'!$F$2:$F$2001,$B$3,'Audit Log'!$S$2:$S$2001,$B$4,'Audit Log'!$T$2:$T$2001,"No",'Audit Log'!$C$2:$C$2001,$X97,'Audit Log'!$O$2:$O$2001,"Invalid")</f>
        <v/>
      </c>
      <c r="Z97">
        <f>$Y97+ROW()/100000</f>
        <v/>
      </c>
    </row>
    <row r="98">
      <c r="X98" t="inlineStr">
        <is>
          <t>Chan, Caroline Cruce</t>
        </is>
      </c>
      <c r="Y98">
        <f>COUNTIFS('Audit Log'!$B$2:$B$2001,"&gt;="&amp;$B$2,'Audit Log'!$F$2:$F$2001,$B$3,'Audit Log'!$S$2:$S$2001,$B$4,'Audit Log'!$T$2:$T$2001,"No",'Audit Log'!$C$2:$C$2001,$X98,'Audit Log'!$O$2:$O$2001,"Invalid")</f>
        <v/>
      </c>
      <c r="Z98">
        <f>$Y98+ROW()/100000</f>
        <v/>
      </c>
    </row>
    <row r="99">
      <c r="X99" t="inlineStr">
        <is>
          <t>Chu, Ivan Rainier Tan</t>
        </is>
      </c>
      <c r="Y99">
        <f>COUNTIFS('Audit Log'!$B$2:$B$2001,"&gt;="&amp;$B$2,'Audit Log'!$F$2:$F$2001,$B$3,'Audit Log'!$S$2:$S$2001,$B$4,'Audit Log'!$T$2:$T$2001,"No",'Audit Log'!$C$2:$C$2001,$X99,'Audit Log'!$O$2:$O$2001,"Invalid")</f>
        <v/>
      </c>
      <c r="Z99">
        <f>$Y99+ROW()/100000</f>
        <v/>
      </c>
    </row>
    <row r="100">
      <c r="X100" t="inlineStr">
        <is>
          <t>Cinco, Neville Dimagiba</t>
        </is>
      </c>
      <c r="Y100">
        <f>COUNTIFS('Audit Log'!$B$2:$B$2001,"&gt;="&amp;$B$2,'Audit Log'!$F$2:$F$2001,$B$3,'Audit Log'!$S$2:$S$2001,$B$4,'Audit Log'!$T$2:$T$2001,"No",'Audit Log'!$C$2:$C$2001,$X100,'Audit Log'!$O$2:$O$2001,"Invalid")</f>
        <v/>
      </c>
      <c r="Z100">
        <f>$Y100+ROW()/100000</f>
        <v/>
      </c>
    </row>
    <row r="101">
      <c r="X101" t="inlineStr">
        <is>
          <t>Claro, Yvonne Larita</t>
        </is>
      </c>
      <c r="Y101">
        <f>COUNTIFS('Audit Log'!$B$2:$B$2001,"&gt;="&amp;$B$2,'Audit Log'!$F$2:$F$2001,$B$3,'Audit Log'!$S$2:$S$2001,$B$4,'Audit Log'!$T$2:$T$2001,"No",'Audit Log'!$C$2:$C$2001,$X101,'Audit Log'!$O$2:$O$2001,"Invalid")</f>
        <v/>
      </c>
      <c r="Z101">
        <f>$Y101+ROW()/100000</f>
        <v/>
      </c>
    </row>
    <row r="102">
      <c r="X102" t="inlineStr">
        <is>
          <t>Cornell, Saida Mateo</t>
        </is>
      </c>
      <c r="Y102">
        <f>COUNTIFS('Audit Log'!$B$2:$B$2001,"&gt;="&amp;$B$2,'Audit Log'!$F$2:$F$2001,$B$3,'Audit Log'!$S$2:$S$2001,$B$4,'Audit Log'!$T$2:$T$2001,"No",'Audit Log'!$C$2:$C$2001,$X102,'Audit Log'!$O$2:$O$2001,"Invalid")</f>
        <v/>
      </c>
      <c r="Z102">
        <f>$Y102+ROW()/100000</f>
        <v/>
      </c>
    </row>
    <row r="103">
      <c r="X103" t="inlineStr">
        <is>
          <t>Costoy, Renel Dave Nmn</t>
        </is>
      </c>
      <c r="Y103">
        <f>COUNTIFS('Audit Log'!$B$2:$B$2001,"&gt;="&amp;$B$2,'Audit Log'!$F$2:$F$2001,$B$3,'Audit Log'!$S$2:$S$2001,$B$4,'Audit Log'!$T$2:$T$2001,"No",'Audit Log'!$C$2:$C$2001,$X103,'Audit Log'!$O$2:$O$2001,"Invalid")</f>
        <v/>
      </c>
      <c r="Z103">
        <f>$Y103+ROW()/100000</f>
        <v/>
      </c>
    </row>
    <row r="104">
      <c r="X104" t="inlineStr">
        <is>
          <t>Crisostomo, Alma Tigas</t>
        </is>
      </c>
      <c r="Y104">
        <f>COUNTIFS('Audit Log'!$B$2:$B$2001,"&gt;="&amp;$B$2,'Audit Log'!$F$2:$F$2001,$B$3,'Audit Log'!$S$2:$S$2001,$B$4,'Audit Log'!$T$2:$T$2001,"No",'Audit Log'!$C$2:$C$2001,$X104,'Audit Log'!$O$2:$O$2001,"Invalid")</f>
        <v/>
      </c>
      <c r="Z104">
        <f>$Y104+ROW()/100000</f>
        <v/>
      </c>
    </row>
    <row r="105">
      <c r="X105" t="inlineStr">
        <is>
          <t>Cruz, Donato Mataganas</t>
        </is>
      </c>
      <c r="Y105">
        <f>COUNTIFS('Audit Log'!$B$2:$B$2001,"&gt;="&amp;$B$2,'Audit Log'!$F$2:$F$2001,$B$3,'Audit Log'!$S$2:$S$2001,$B$4,'Audit Log'!$T$2:$T$2001,"No",'Audit Log'!$C$2:$C$2001,$X105,'Audit Log'!$O$2:$O$2001,"Invalid")</f>
        <v/>
      </c>
      <c r="Z105">
        <f>$Y105+ROW()/100000</f>
        <v/>
      </c>
    </row>
    <row r="106">
      <c r="X106" t="inlineStr">
        <is>
          <t>Cruz, Jenefa Rose Salas</t>
        </is>
      </c>
      <c r="Y106">
        <f>COUNTIFS('Audit Log'!$B$2:$B$2001,"&gt;="&amp;$B$2,'Audit Log'!$F$2:$F$2001,$B$3,'Audit Log'!$S$2:$S$2001,$B$4,'Audit Log'!$T$2:$T$2001,"No",'Audit Log'!$C$2:$C$2001,$X106,'Audit Log'!$O$2:$O$2001,"Invalid")</f>
        <v/>
      </c>
      <c r="Z106">
        <f>$Y106+ROW()/100000</f>
        <v/>
      </c>
    </row>
    <row r="107">
      <c r="X107" t="inlineStr">
        <is>
          <t>Cruz, Ma. Cassandra Orada</t>
        </is>
      </c>
      <c r="Y107">
        <f>COUNTIFS('Audit Log'!$B$2:$B$2001,"&gt;="&amp;$B$2,'Audit Log'!$F$2:$F$2001,$B$3,'Audit Log'!$S$2:$S$2001,$B$4,'Audit Log'!$T$2:$T$2001,"No",'Audit Log'!$C$2:$C$2001,$X107,'Audit Log'!$O$2:$O$2001,"Invalid")</f>
        <v/>
      </c>
      <c r="Z107">
        <f>$Y107+ROW()/100000</f>
        <v/>
      </c>
    </row>
    <row r="108">
      <c r="X108" t="inlineStr">
        <is>
          <t>Cruz, Michael Portem</t>
        </is>
      </c>
      <c r="Y108">
        <f>COUNTIFS('Audit Log'!$B$2:$B$2001,"&gt;="&amp;$B$2,'Audit Log'!$F$2:$F$2001,$B$3,'Audit Log'!$S$2:$S$2001,$B$4,'Audit Log'!$T$2:$T$2001,"No",'Audit Log'!$C$2:$C$2001,$X108,'Audit Log'!$O$2:$O$2001,"Invalid")</f>
        <v/>
      </c>
      <c r="Z108">
        <f>$Y108+ROW()/100000</f>
        <v/>
      </c>
    </row>
    <row r="109">
      <c r="X109" t="inlineStr">
        <is>
          <t>Cruz, Niel Aldrin Ibañez</t>
        </is>
      </c>
      <c r="Y109">
        <f>COUNTIFS('Audit Log'!$B$2:$B$2001,"&gt;="&amp;$B$2,'Audit Log'!$F$2:$F$2001,$B$3,'Audit Log'!$S$2:$S$2001,$B$4,'Audit Log'!$T$2:$T$2001,"No",'Audit Log'!$C$2:$C$2001,$X109,'Audit Log'!$O$2:$O$2001,"Invalid")</f>
        <v/>
      </c>
      <c r="Z109">
        <f>$Y109+ROW()/100000</f>
        <v/>
      </c>
    </row>
    <row r="110">
      <c r="X110" t="inlineStr">
        <is>
          <t>Cua, Mary Grace Largo</t>
        </is>
      </c>
      <c r="Y110">
        <f>COUNTIFS('Audit Log'!$B$2:$B$2001,"&gt;="&amp;$B$2,'Audit Log'!$F$2:$F$2001,$B$3,'Audit Log'!$S$2:$S$2001,$B$4,'Audit Log'!$T$2:$T$2001,"No",'Audit Log'!$C$2:$C$2001,$X110,'Audit Log'!$O$2:$O$2001,"Invalid")</f>
        <v/>
      </c>
      <c r="Z110">
        <f>$Y110+ROW()/100000</f>
        <v/>
      </c>
    </row>
    <row r="111">
      <c r="X111" t="inlineStr">
        <is>
          <t>Cuambot, Khimverly Ocampo</t>
        </is>
      </c>
      <c r="Y111">
        <f>COUNTIFS('Audit Log'!$B$2:$B$2001,"&gt;="&amp;$B$2,'Audit Log'!$F$2:$F$2001,$B$3,'Audit Log'!$S$2:$S$2001,$B$4,'Audit Log'!$T$2:$T$2001,"No",'Audit Log'!$C$2:$C$2001,$X111,'Audit Log'!$O$2:$O$2001,"Invalid")</f>
        <v/>
      </c>
      <c r="Z111">
        <f>$Y111+ROW()/100000</f>
        <v/>
      </c>
    </row>
    <row r="112">
      <c r="X112" t="inlineStr">
        <is>
          <t>Cubillas, Rhena June Matuguina</t>
        </is>
      </c>
      <c r="Y112">
        <f>COUNTIFS('Audit Log'!$B$2:$B$2001,"&gt;="&amp;$B$2,'Audit Log'!$F$2:$F$2001,$B$3,'Audit Log'!$S$2:$S$2001,$B$4,'Audit Log'!$T$2:$T$2001,"No",'Audit Log'!$C$2:$C$2001,$X112,'Audit Log'!$O$2:$O$2001,"Invalid")</f>
        <v/>
      </c>
      <c r="Z112">
        <f>$Y112+ROW()/100000</f>
        <v/>
      </c>
    </row>
    <row r="113">
      <c r="X113" t="inlineStr">
        <is>
          <t>Cuenta, Azar Glenn Hilvano</t>
        </is>
      </c>
      <c r="Y113">
        <f>COUNTIFS('Audit Log'!$B$2:$B$2001,"&gt;="&amp;$B$2,'Audit Log'!$F$2:$F$2001,$B$3,'Audit Log'!$S$2:$S$2001,$B$4,'Audit Log'!$T$2:$T$2001,"No",'Audit Log'!$C$2:$C$2001,$X113,'Audit Log'!$O$2:$O$2001,"Invalid")</f>
        <v/>
      </c>
      <c r="Z113">
        <f>$Y113+ROW()/100000</f>
        <v/>
      </c>
    </row>
    <row r="114">
      <c r="X114" t="inlineStr">
        <is>
          <t>Cunanan, Clarence Rico</t>
        </is>
      </c>
      <c r="Y114">
        <f>COUNTIFS('Audit Log'!$B$2:$B$2001,"&gt;="&amp;$B$2,'Audit Log'!$F$2:$F$2001,$B$3,'Audit Log'!$S$2:$S$2001,$B$4,'Audit Log'!$T$2:$T$2001,"No",'Audit Log'!$C$2:$C$2001,$X114,'Audit Log'!$O$2:$O$2001,"Invalid")</f>
        <v/>
      </c>
      <c r="Z114">
        <f>$Y114+ROW()/100000</f>
        <v/>
      </c>
    </row>
    <row r="115">
      <c r="X115" t="inlineStr">
        <is>
          <t>Cura Jr, Isagani Dela Rosa</t>
        </is>
      </c>
      <c r="Y115">
        <f>COUNTIFS('Audit Log'!$B$2:$B$2001,"&gt;="&amp;$B$2,'Audit Log'!$F$2:$F$2001,$B$3,'Audit Log'!$S$2:$S$2001,$B$4,'Audit Log'!$T$2:$T$2001,"No",'Audit Log'!$C$2:$C$2001,$X115,'Audit Log'!$O$2:$O$2001,"Invalid")</f>
        <v/>
      </c>
      <c r="Z115">
        <f>$Y115+ROW()/100000</f>
        <v/>
      </c>
    </row>
    <row r="116">
      <c r="X116" t="inlineStr">
        <is>
          <t>Daclizon, Raffy Baldonado</t>
        </is>
      </c>
      <c r="Y116">
        <f>COUNTIFS('Audit Log'!$B$2:$B$2001,"&gt;="&amp;$B$2,'Audit Log'!$F$2:$F$2001,$B$3,'Audit Log'!$S$2:$S$2001,$B$4,'Audit Log'!$T$2:$T$2001,"No",'Audit Log'!$C$2:$C$2001,$X116,'Audit Log'!$O$2:$O$2001,"Invalid")</f>
        <v/>
      </c>
      <c r="Z116">
        <f>$Y116+ROW()/100000</f>
        <v/>
      </c>
    </row>
    <row r="117">
      <c r="X117" t="inlineStr">
        <is>
          <t>Dagani, Karin Camarin</t>
        </is>
      </c>
      <c r="Y117">
        <f>COUNTIFS('Audit Log'!$B$2:$B$2001,"&gt;="&amp;$B$2,'Audit Log'!$F$2:$F$2001,$B$3,'Audit Log'!$S$2:$S$2001,$B$4,'Audit Log'!$T$2:$T$2001,"No",'Audit Log'!$C$2:$C$2001,$X117,'Audit Log'!$O$2:$O$2001,"Invalid")</f>
        <v/>
      </c>
      <c r="Z117">
        <f>$Y117+ROW()/100000</f>
        <v/>
      </c>
    </row>
    <row r="118">
      <c r="X118" t="inlineStr">
        <is>
          <t>Dagdagan, Maria Francisca Querubin</t>
        </is>
      </c>
      <c r="Y118">
        <f>COUNTIFS('Audit Log'!$B$2:$B$2001,"&gt;="&amp;$B$2,'Audit Log'!$F$2:$F$2001,$B$3,'Audit Log'!$S$2:$S$2001,$B$4,'Audit Log'!$T$2:$T$2001,"No",'Audit Log'!$C$2:$C$2001,$X118,'Audit Log'!$O$2:$O$2001,"Invalid")</f>
        <v/>
      </c>
      <c r="Z118">
        <f>$Y118+ROW()/100000</f>
        <v/>
      </c>
    </row>
    <row r="119">
      <c r="X119" t="inlineStr">
        <is>
          <t>Danao, Prince Edward Sanchez</t>
        </is>
      </c>
      <c r="Y119">
        <f>COUNTIFS('Audit Log'!$B$2:$B$2001,"&gt;="&amp;$B$2,'Audit Log'!$F$2:$F$2001,$B$3,'Audit Log'!$S$2:$S$2001,$B$4,'Audit Log'!$T$2:$T$2001,"No",'Audit Log'!$C$2:$C$2001,$X119,'Audit Log'!$O$2:$O$2001,"Invalid")</f>
        <v/>
      </c>
      <c r="Z119">
        <f>$Y119+ROW()/100000</f>
        <v/>
      </c>
    </row>
    <row r="120">
      <c r="X120" t="inlineStr">
        <is>
          <t>Danting, Racquel Lacap</t>
        </is>
      </c>
      <c r="Y120">
        <f>COUNTIFS('Audit Log'!$B$2:$B$2001,"&gt;="&amp;$B$2,'Audit Log'!$F$2:$F$2001,$B$3,'Audit Log'!$S$2:$S$2001,$B$4,'Audit Log'!$T$2:$T$2001,"No",'Audit Log'!$C$2:$C$2001,$X120,'Audit Log'!$O$2:$O$2001,"Invalid")</f>
        <v/>
      </c>
      <c r="Z120">
        <f>$Y120+ROW()/100000</f>
        <v/>
      </c>
    </row>
    <row r="121">
      <c r="X121" t="inlineStr">
        <is>
          <t>David, Renariza Parena</t>
        </is>
      </c>
      <c r="Y121">
        <f>COUNTIFS('Audit Log'!$B$2:$B$2001,"&gt;="&amp;$B$2,'Audit Log'!$F$2:$F$2001,$B$3,'Audit Log'!$S$2:$S$2001,$B$4,'Audit Log'!$T$2:$T$2001,"No",'Audit Log'!$C$2:$C$2001,$X121,'Audit Log'!$O$2:$O$2001,"Invalid")</f>
        <v/>
      </c>
      <c r="Z121">
        <f>$Y121+ROW()/100000</f>
        <v/>
      </c>
    </row>
    <row r="122">
      <c r="X122" t="inlineStr">
        <is>
          <t>Dayapera, Nathalie Kaila Fontamillas</t>
        </is>
      </c>
      <c r="Y122">
        <f>COUNTIFS('Audit Log'!$B$2:$B$2001,"&gt;="&amp;$B$2,'Audit Log'!$F$2:$F$2001,$B$3,'Audit Log'!$S$2:$S$2001,$B$4,'Audit Log'!$T$2:$T$2001,"No",'Audit Log'!$C$2:$C$2001,$X122,'Audit Log'!$O$2:$O$2001,"Invalid")</f>
        <v/>
      </c>
      <c r="Z122">
        <f>$Y122+ROW()/100000</f>
        <v/>
      </c>
    </row>
    <row r="123">
      <c r="X123" t="inlineStr">
        <is>
          <t>De Goma, Jerome Morales</t>
        </is>
      </c>
      <c r="Y123">
        <f>COUNTIFS('Audit Log'!$B$2:$B$2001,"&gt;="&amp;$B$2,'Audit Log'!$F$2:$F$2001,$B$3,'Audit Log'!$S$2:$S$2001,$B$4,'Audit Log'!$T$2:$T$2001,"No",'Audit Log'!$C$2:$C$2001,$X123,'Audit Log'!$O$2:$O$2001,"Invalid")</f>
        <v/>
      </c>
      <c r="Z123">
        <f>$Y123+ROW()/100000</f>
        <v/>
      </c>
    </row>
    <row r="124">
      <c r="X124" t="inlineStr">
        <is>
          <t>De Guzman, Benzie Na</t>
        </is>
      </c>
      <c r="Y124">
        <f>COUNTIFS('Audit Log'!$B$2:$B$2001,"&gt;="&amp;$B$2,'Audit Log'!$F$2:$F$2001,$B$3,'Audit Log'!$S$2:$S$2001,$B$4,'Audit Log'!$T$2:$T$2001,"No",'Audit Log'!$C$2:$C$2001,$X124,'Audit Log'!$O$2:$O$2001,"Invalid")</f>
        <v/>
      </c>
      <c r="Z124">
        <f>$Y124+ROW()/100000</f>
        <v/>
      </c>
    </row>
    <row r="125">
      <c r="X125" t="inlineStr">
        <is>
          <t>De Guzman, Emil Salvador</t>
        </is>
      </c>
      <c r="Y125">
        <f>COUNTIFS('Audit Log'!$B$2:$B$2001,"&gt;="&amp;$B$2,'Audit Log'!$F$2:$F$2001,$B$3,'Audit Log'!$S$2:$S$2001,$B$4,'Audit Log'!$T$2:$T$2001,"No",'Audit Log'!$C$2:$C$2001,$X125,'Audit Log'!$O$2:$O$2001,"Invalid")</f>
        <v/>
      </c>
      <c r="Z125">
        <f>$Y125+ROW()/100000</f>
        <v/>
      </c>
    </row>
    <row r="126">
      <c r="X126" t="inlineStr">
        <is>
          <t>De Guzman, Gabriel Rodrigo</t>
        </is>
      </c>
      <c r="Y126">
        <f>COUNTIFS('Audit Log'!$B$2:$B$2001,"&gt;="&amp;$B$2,'Audit Log'!$F$2:$F$2001,$B$3,'Audit Log'!$S$2:$S$2001,$B$4,'Audit Log'!$T$2:$T$2001,"No",'Audit Log'!$C$2:$C$2001,$X126,'Audit Log'!$O$2:$O$2001,"Invalid")</f>
        <v/>
      </c>
      <c r="Z126">
        <f>$Y126+ROW()/100000</f>
        <v/>
      </c>
    </row>
    <row r="127">
      <c r="X127" t="inlineStr">
        <is>
          <t>De Guzman, Gilbert Bondad</t>
        </is>
      </c>
      <c r="Y127">
        <f>COUNTIFS('Audit Log'!$B$2:$B$2001,"&gt;="&amp;$B$2,'Audit Log'!$F$2:$F$2001,$B$3,'Audit Log'!$S$2:$S$2001,$B$4,'Audit Log'!$T$2:$T$2001,"No",'Audit Log'!$C$2:$C$2001,$X127,'Audit Log'!$O$2:$O$2001,"Invalid")</f>
        <v/>
      </c>
      <c r="Z127">
        <f>$Y127+ROW()/100000</f>
        <v/>
      </c>
    </row>
    <row r="128">
      <c r="X128" t="inlineStr">
        <is>
          <t>De Guzman, Marks Frederick Robosa</t>
        </is>
      </c>
      <c r="Y128">
        <f>COUNTIFS('Audit Log'!$B$2:$B$2001,"&gt;="&amp;$B$2,'Audit Log'!$F$2:$F$2001,$B$3,'Audit Log'!$S$2:$S$2001,$B$4,'Audit Log'!$T$2:$T$2001,"No",'Audit Log'!$C$2:$C$2001,$X128,'Audit Log'!$O$2:$O$2001,"Invalid")</f>
        <v/>
      </c>
      <c r="Z128">
        <f>$Y128+ROW()/100000</f>
        <v/>
      </c>
    </row>
    <row r="129">
      <c r="X129" t="inlineStr">
        <is>
          <t>De Guzman, Steven Michael Flores</t>
        </is>
      </c>
      <c r="Y129">
        <f>COUNTIFS('Audit Log'!$B$2:$B$2001,"&gt;="&amp;$B$2,'Audit Log'!$F$2:$F$2001,$B$3,'Audit Log'!$S$2:$S$2001,$B$4,'Audit Log'!$T$2:$T$2001,"No",'Audit Log'!$C$2:$C$2001,$X129,'Audit Log'!$O$2:$O$2001,"Invalid")</f>
        <v/>
      </c>
      <c r="Z129">
        <f>$Y129+ROW()/100000</f>
        <v/>
      </c>
    </row>
    <row r="130">
      <c r="X130" t="inlineStr">
        <is>
          <t>De Jesus, Alondra Mae Velasco</t>
        </is>
      </c>
      <c r="Y130">
        <f>COUNTIFS('Audit Log'!$B$2:$B$2001,"&gt;="&amp;$B$2,'Audit Log'!$F$2:$F$2001,$B$3,'Audit Log'!$S$2:$S$2001,$B$4,'Audit Log'!$T$2:$T$2001,"No",'Audit Log'!$C$2:$C$2001,$X130,'Audit Log'!$O$2:$O$2001,"Invalid")</f>
        <v/>
      </c>
      <c r="Z130">
        <f>$Y130+ROW()/100000</f>
        <v/>
      </c>
    </row>
    <row r="131">
      <c r="X131" t="inlineStr">
        <is>
          <t>De Leon, Edison Alvarez</t>
        </is>
      </c>
      <c r="Y131">
        <f>COUNTIFS('Audit Log'!$B$2:$B$2001,"&gt;="&amp;$B$2,'Audit Log'!$F$2:$F$2001,$B$3,'Audit Log'!$S$2:$S$2001,$B$4,'Audit Log'!$T$2:$T$2001,"No",'Audit Log'!$C$2:$C$2001,$X131,'Audit Log'!$O$2:$O$2001,"Invalid")</f>
        <v/>
      </c>
      <c r="Z131">
        <f>$Y131+ROW()/100000</f>
        <v/>
      </c>
    </row>
    <row r="132">
      <c r="X132" t="inlineStr">
        <is>
          <t>De Leon, Gerald Michael Solana</t>
        </is>
      </c>
      <c r="Y132">
        <f>COUNTIFS('Audit Log'!$B$2:$B$2001,"&gt;="&amp;$B$2,'Audit Log'!$F$2:$F$2001,$B$3,'Audit Log'!$S$2:$S$2001,$B$4,'Audit Log'!$T$2:$T$2001,"No",'Audit Log'!$C$2:$C$2001,$X132,'Audit Log'!$O$2:$O$2001,"Invalid")</f>
        <v/>
      </c>
      <c r="Z132">
        <f>$Y132+ROW()/100000</f>
        <v/>
      </c>
    </row>
    <row r="133">
      <c r="X133" t="inlineStr">
        <is>
          <t>De Leon, Melanie Sitjar</t>
        </is>
      </c>
      <c r="Y133">
        <f>COUNTIFS('Audit Log'!$B$2:$B$2001,"&gt;="&amp;$B$2,'Audit Log'!$F$2:$F$2001,$B$3,'Audit Log'!$S$2:$S$2001,$B$4,'Audit Log'!$T$2:$T$2001,"No",'Audit Log'!$C$2:$C$2001,$X133,'Audit Log'!$O$2:$O$2001,"Invalid")</f>
        <v/>
      </c>
      <c r="Z133">
        <f>$Y133+ROW()/100000</f>
        <v/>
      </c>
    </row>
    <row r="134">
      <c r="X134" t="inlineStr">
        <is>
          <t>De Leon, Menandro Bron</t>
        </is>
      </c>
      <c r="Y134">
        <f>COUNTIFS('Audit Log'!$B$2:$B$2001,"&gt;="&amp;$B$2,'Audit Log'!$F$2:$F$2001,$B$3,'Audit Log'!$S$2:$S$2001,$B$4,'Audit Log'!$T$2:$T$2001,"No",'Audit Log'!$C$2:$C$2001,$X134,'Audit Log'!$O$2:$O$2001,"Invalid")</f>
        <v/>
      </c>
      <c r="Z134">
        <f>$Y134+ROW()/100000</f>
        <v/>
      </c>
    </row>
    <row r="135">
      <c r="X135" t="inlineStr">
        <is>
          <t>De Leon, Neley Joyce Salvador</t>
        </is>
      </c>
      <c r="Y135">
        <f>COUNTIFS('Audit Log'!$B$2:$B$2001,"&gt;="&amp;$B$2,'Audit Log'!$F$2:$F$2001,$B$3,'Audit Log'!$S$2:$S$2001,$B$4,'Audit Log'!$T$2:$T$2001,"No",'Audit Log'!$C$2:$C$2001,$X135,'Audit Log'!$O$2:$O$2001,"Invalid")</f>
        <v/>
      </c>
      <c r="Z135">
        <f>$Y135+ROW()/100000</f>
        <v/>
      </c>
    </row>
    <row r="136">
      <c r="X136" t="inlineStr">
        <is>
          <t>De Santos, Bea Maxene Santiago</t>
        </is>
      </c>
      <c r="Y136">
        <f>COUNTIFS('Audit Log'!$B$2:$B$2001,"&gt;="&amp;$B$2,'Audit Log'!$F$2:$F$2001,$B$3,'Audit Log'!$S$2:$S$2001,$B$4,'Audit Log'!$T$2:$T$2001,"No",'Audit Log'!$C$2:$C$2001,$X136,'Audit Log'!$O$2:$O$2001,"Invalid")</f>
        <v/>
      </c>
      <c r="Z136">
        <f>$Y136+ROW()/100000</f>
        <v/>
      </c>
    </row>
    <row r="137">
      <c r="X137" t="inlineStr">
        <is>
          <t>De Villa, Scott Chavez</t>
        </is>
      </c>
      <c r="Y137">
        <f>COUNTIFS('Audit Log'!$B$2:$B$2001,"&gt;="&amp;$B$2,'Audit Log'!$F$2:$F$2001,$B$3,'Audit Log'!$S$2:$S$2001,$B$4,'Audit Log'!$T$2:$T$2001,"No",'Audit Log'!$C$2:$C$2001,$X137,'Audit Log'!$O$2:$O$2001,"Invalid")</f>
        <v/>
      </c>
      <c r="Z137">
        <f>$Y137+ROW()/100000</f>
        <v/>
      </c>
    </row>
    <row r="138">
      <c r="X138" t="inlineStr">
        <is>
          <t>Decena, Archieval</t>
        </is>
      </c>
      <c r="Y138">
        <f>COUNTIFS('Audit Log'!$B$2:$B$2001,"&gt;="&amp;$B$2,'Audit Log'!$F$2:$F$2001,$B$3,'Audit Log'!$S$2:$S$2001,$B$4,'Audit Log'!$T$2:$T$2001,"No",'Audit Log'!$C$2:$C$2001,$X138,'Audit Log'!$O$2:$O$2001,"Invalid")</f>
        <v/>
      </c>
      <c r="Z138">
        <f>$Y138+ROW()/100000</f>
        <v/>
      </c>
    </row>
    <row r="139">
      <c r="X139" t="inlineStr">
        <is>
          <t>Dela Cruz, Donaldo Laygo</t>
        </is>
      </c>
      <c r="Y139">
        <f>COUNTIFS('Audit Log'!$B$2:$B$2001,"&gt;="&amp;$B$2,'Audit Log'!$F$2:$F$2001,$B$3,'Audit Log'!$S$2:$S$2001,$B$4,'Audit Log'!$T$2:$T$2001,"No",'Audit Log'!$C$2:$C$2001,$X139,'Audit Log'!$O$2:$O$2001,"Invalid")</f>
        <v/>
      </c>
      <c r="Z139">
        <f>$Y139+ROW()/100000</f>
        <v/>
      </c>
    </row>
    <row r="140">
      <c r="X140" t="inlineStr">
        <is>
          <t>Dela Cruz, Jochelle Ann Bernas</t>
        </is>
      </c>
      <c r="Y140">
        <f>COUNTIFS('Audit Log'!$B$2:$B$2001,"&gt;="&amp;$B$2,'Audit Log'!$F$2:$F$2001,$B$3,'Audit Log'!$S$2:$S$2001,$B$4,'Audit Log'!$T$2:$T$2001,"No",'Audit Log'!$C$2:$C$2001,$X140,'Audit Log'!$O$2:$O$2001,"Invalid")</f>
        <v/>
      </c>
      <c r="Z140">
        <f>$Y140+ROW()/100000</f>
        <v/>
      </c>
    </row>
    <row r="141">
      <c r="X141" t="inlineStr">
        <is>
          <t>Dela Cruz, Rodalyn Daylo</t>
        </is>
      </c>
      <c r="Y141">
        <f>COUNTIFS('Audit Log'!$B$2:$B$2001,"&gt;="&amp;$B$2,'Audit Log'!$F$2:$F$2001,$B$3,'Audit Log'!$S$2:$S$2001,$B$4,'Audit Log'!$T$2:$T$2001,"No",'Audit Log'!$C$2:$C$2001,$X141,'Audit Log'!$O$2:$O$2001,"Invalid")</f>
        <v/>
      </c>
      <c r="Z141">
        <f>$Y141+ROW()/100000</f>
        <v/>
      </c>
    </row>
    <row r="142">
      <c r="X142" t="inlineStr">
        <is>
          <t>Dela Fuente, Erick John Palomo</t>
        </is>
      </c>
      <c r="Y142">
        <f>COUNTIFS('Audit Log'!$B$2:$B$2001,"&gt;="&amp;$B$2,'Audit Log'!$F$2:$F$2001,$B$3,'Audit Log'!$S$2:$S$2001,$B$4,'Audit Log'!$T$2:$T$2001,"No",'Audit Log'!$C$2:$C$2001,$X142,'Audit Log'!$O$2:$O$2001,"Invalid")</f>
        <v/>
      </c>
      <c r="Z142">
        <f>$Y142+ROW()/100000</f>
        <v/>
      </c>
    </row>
    <row r="143">
      <c r="X143" t="inlineStr">
        <is>
          <t>Dela Torre, Anghelica Cuanico</t>
        </is>
      </c>
      <c r="Y143">
        <f>COUNTIFS('Audit Log'!$B$2:$B$2001,"&gt;="&amp;$B$2,'Audit Log'!$F$2:$F$2001,$B$3,'Audit Log'!$S$2:$S$2001,$B$4,'Audit Log'!$T$2:$T$2001,"No",'Audit Log'!$C$2:$C$2001,$X143,'Audit Log'!$O$2:$O$2001,"Invalid")</f>
        <v/>
      </c>
      <c r="Z143">
        <f>$Y143+ROW()/100000</f>
        <v/>
      </c>
    </row>
    <row r="144">
      <c r="X144" t="inlineStr">
        <is>
          <t>Delbo, Ana Marie Espira</t>
        </is>
      </c>
      <c r="Y144">
        <f>COUNTIFS('Audit Log'!$B$2:$B$2001,"&gt;="&amp;$B$2,'Audit Log'!$F$2:$F$2001,$B$3,'Audit Log'!$S$2:$S$2001,$B$4,'Audit Log'!$T$2:$T$2001,"No",'Audit Log'!$C$2:$C$2001,$X144,'Audit Log'!$O$2:$O$2001,"Invalid")</f>
        <v/>
      </c>
      <c r="Z144">
        <f>$Y144+ROW()/100000</f>
        <v/>
      </c>
    </row>
    <row r="145">
      <c r="X145" t="inlineStr">
        <is>
          <t>Delos Reyes, Anthony De Castro</t>
        </is>
      </c>
      <c r="Y145">
        <f>COUNTIFS('Audit Log'!$B$2:$B$2001,"&gt;="&amp;$B$2,'Audit Log'!$F$2:$F$2001,$B$3,'Audit Log'!$S$2:$S$2001,$B$4,'Audit Log'!$T$2:$T$2001,"No",'Audit Log'!$C$2:$C$2001,$X145,'Audit Log'!$O$2:$O$2001,"Invalid")</f>
        <v/>
      </c>
      <c r="Z145">
        <f>$Y145+ROW()/100000</f>
        <v/>
      </c>
    </row>
    <row r="146">
      <c r="X146" t="inlineStr">
        <is>
          <t>Demetrio, Olivia Continedas</t>
        </is>
      </c>
      <c r="Y146">
        <f>COUNTIFS('Audit Log'!$B$2:$B$2001,"&gt;="&amp;$B$2,'Audit Log'!$F$2:$F$2001,$B$3,'Audit Log'!$S$2:$S$2001,$B$4,'Audit Log'!$T$2:$T$2001,"No",'Audit Log'!$C$2:$C$2001,$X146,'Audit Log'!$O$2:$O$2001,"Invalid")</f>
        <v/>
      </c>
      <c r="Z146">
        <f>$Y146+ROW()/100000</f>
        <v/>
      </c>
    </row>
    <row r="147">
      <c r="X147" t="inlineStr">
        <is>
          <t>Deri, Roselyn Dioneda</t>
        </is>
      </c>
      <c r="Y147">
        <f>COUNTIFS('Audit Log'!$B$2:$B$2001,"&gt;="&amp;$B$2,'Audit Log'!$F$2:$F$2001,$B$3,'Audit Log'!$S$2:$S$2001,$B$4,'Audit Log'!$T$2:$T$2001,"No",'Audit Log'!$C$2:$C$2001,$X147,'Audit Log'!$O$2:$O$2001,"Invalid")</f>
        <v/>
      </c>
      <c r="Z147">
        <f>$Y147+ROW()/100000</f>
        <v/>
      </c>
    </row>
    <row r="148">
      <c r="X148" t="inlineStr">
        <is>
          <t>Diano, Lester Torres</t>
        </is>
      </c>
      <c r="Y148">
        <f>COUNTIFS('Audit Log'!$B$2:$B$2001,"&gt;="&amp;$B$2,'Audit Log'!$F$2:$F$2001,$B$3,'Audit Log'!$S$2:$S$2001,$B$4,'Audit Log'!$T$2:$T$2001,"No",'Audit Log'!$C$2:$C$2001,$X148,'Audit Log'!$O$2:$O$2001,"Invalid")</f>
        <v/>
      </c>
      <c r="Z148">
        <f>$Y148+ROW()/100000</f>
        <v/>
      </c>
    </row>
    <row r="149">
      <c r="X149" t="inlineStr">
        <is>
          <t>Diaz, Apol Sablawon</t>
        </is>
      </c>
      <c r="Y149">
        <f>COUNTIFS('Audit Log'!$B$2:$B$2001,"&gt;="&amp;$B$2,'Audit Log'!$F$2:$F$2001,$B$3,'Audit Log'!$S$2:$S$2001,$B$4,'Audit Log'!$T$2:$T$2001,"No",'Audit Log'!$C$2:$C$2001,$X149,'Audit Log'!$O$2:$O$2001,"Invalid")</f>
        <v/>
      </c>
      <c r="Z149">
        <f>$Y149+ROW()/100000</f>
        <v/>
      </c>
    </row>
    <row r="150">
      <c r="X150" t="inlineStr">
        <is>
          <t>Dino, Justin Clark Laynes</t>
        </is>
      </c>
      <c r="Y150">
        <f>COUNTIFS('Audit Log'!$B$2:$B$2001,"&gt;="&amp;$B$2,'Audit Log'!$F$2:$F$2001,$B$3,'Audit Log'!$S$2:$S$2001,$B$4,'Audit Log'!$T$2:$T$2001,"No",'Audit Log'!$C$2:$C$2001,$X150,'Audit Log'!$O$2:$O$2001,"Invalid")</f>
        <v/>
      </c>
      <c r="Z150">
        <f>$Y150+ROW()/100000</f>
        <v/>
      </c>
    </row>
    <row r="151">
      <c r="X151" t="inlineStr">
        <is>
          <t>Divina, Jansaint Dave Camacho</t>
        </is>
      </c>
      <c r="Y151">
        <f>COUNTIFS('Audit Log'!$B$2:$B$2001,"&gt;="&amp;$B$2,'Audit Log'!$F$2:$F$2001,$B$3,'Audit Log'!$S$2:$S$2001,$B$4,'Audit Log'!$T$2:$T$2001,"No",'Audit Log'!$C$2:$C$2001,$X151,'Audit Log'!$O$2:$O$2001,"Invalid")</f>
        <v/>
      </c>
      <c r="Z151">
        <f>$Y151+ROW()/100000</f>
        <v/>
      </c>
    </row>
    <row r="152">
      <c r="X152" t="inlineStr">
        <is>
          <t>Dizon, Milanie Yap</t>
        </is>
      </c>
      <c r="Y152">
        <f>COUNTIFS('Audit Log'!$B$2:$B$2001,"&gt;="&amp;$B$2,'Audit Log'!$F$2:$F$2001,$B$3,'Audit Log'!$S$2:$S$2001,$B$4,'Audit Log'!$T$2:$T$2001,"No",'Audit Log'!$C$2:$C$2001,$X152,'Audit Log'!$O$2:$O$2001,"Invalid")</f>
        <v/>
      </c>
      <c r="Z152">
        <f>$Y152+ROW()/100000</f>
        <v/>
      </c>
    </row>
    <row r="153">
      <c r="X153" t="inlineStr">
        <is>
          <t>Dordas, Ireneo Delfin</t>
        </is>
      </c>
      <c r="Y153">
        <f>COUNTIFS('Audit Log'!$B$2:$B$2001,"&gt;="&amp;$B$2,'Audit Log'!$F$2:$F$2001,$B$3,'Audit Log'!$S$2:$S$2001,$B$4,'Audit Log'!$T$2:$T$2001,"No",'Audit Log'!$C$2:$C$2001,$X153,'Audit Log'!$O$2:$O$2001,"Invalid")</f>
        <v/>
      </c>
      <c r="Z153">
        <f>$Y153+ROW()/100000</f>
        <v/>
      </c>
    </row>
    <row r="154">
      <c r="X154" t="inlineStr">
        <is>
          <t>Dublin, Alliah Crystelle Reyes</t>
        </is>
      </c>
      <c r="Y154">
        <f>COUNTIFS('Audit Log'!$B$2:$B$2001,"&gt;="&amp;$B$2,'Audit Log'!$F$2:$F$2001,$B$3,'Audit Log'!$S$2:$S$2001,$B$4,'Audit Log'!$T$2:$T$2001,"No",'Audit Log'!$C$2:$C$2001,$X154,'Audit Log'!$O$2:$O$2001,"Invalid")</f>
        <v/>
      </c>
      <c r="Z154">
        <f>$Y154+ROW()/100000</f>
        <v/>
      </c>
    </row>
    <row r="155">
      <c r="X155" t="inlineStr">
        <is>
          <t>Dungca, Luis Amante Digman</t>
        </is>
      </c>
      <c r="Y155">
        <f>COUNTIFS('Audit Log'!$B$2:$B$2001,"&gt;="&amp;$B$2,'Audit Log'!$F$2:$F$2001,$B$3,'Audit Log'!$S$2:$S$2001,$B$4,'Audit Log'!$T$2:$T$2001,"No",'Audit Log'!$C$2:$C$2001,$X155,'Audit Log'!$O$2:$O$2001,"Invalid")</f>
        <v/>
      </c>
      <c r="Z155">
        <f>$Y155+ROW()/100000</f>
        <v/>
      </c>
    </row>
    <row r="156">
      <c r="X156" t="inlineStr">
        <is>
          <t>Dy, Jonathan Dumindin</t>
        </is>
      </c>
      <c r="Y156">
        <f>COUNTIFS('Audit Log'!$B$2:$B$2001,"&gt;="&amp;$B$2,'Audit Log'!$F$2:$F$2001,$B$3,'Audit Log'!$S$2:$S$2001,$B$4,'Audit Log'!$T$2:$T$2001,"No",'Audit Log'!$C$2:$C$2001,$X156,'Audit Log'!$O$2:$O$2001,"Invalid")</f>
        <v/>
      </c>
      <c r="Z156">
        <f>$Y156+ROW()/100000</f>
        <v/>
      </c>
    </row>
    <row r="157">
      <c r="X157" t="inlineStr">
        <is>
          <t>Ebuenga, Sheryll Avellaneda</t>
        </is>
      </c>
      <c r="Y157">
        <f>COUNTIFS('Audit Log'!$B$2:$B$2001,"&gt;="&amp;$B$2,'Audit Log'!$F$2:$F$2001,$B$3,'Audit Log'!$S$2:$S$2001,$B$4,'Audit Log'!$T$2:$T$2001,"No",'Audit Log'!$C$2:$C$2001,$X157,'Audit Log'!$O$2:$O$2001,"Invalid")</f>
        <v/>
      </c>
      <c r="Z157">
        <f>$Y157+ROW()/100000</f>
        <v/>
      </c>
    </row>
    <row r="158">
      <c r="X158" t="inlineStr">
        <is>
          <t>Edralin, Emma Desuyo</t>
        </is>
      </c>
      <c r="Y158">
        <f>COUNTIFS('Audit Log'!$B$2:$B$2001,"&gt;="&amp;$B$2,'Audit Log'!$F$2:$F$2001,$B$3,'Audit Log'!$S$2:$S$2001,$B$4,'Audit Log'!$T$2:$T$2001,"No",'Audit Log'!$C$2:$C$2001,$X158,'Audit Log'!$O$2:$O$2001,"Invalid")</f>
        <v/>
      </c>
      <c r="Z158">
        <f>$Y158+ROW()/100000</f>
        <v/>
      </c>
    </row>
    <row r="159">
      <c r="X159" t="inlineStr">
        <is>
          <t>Eduardo, Emil Manucot</t>
        </is>
      </c>
      <c r="Y159">
        <f>COUNTIFS('Audit Log'!$B$2:$B$2001,"&gt;="&amp;$B$2,'Audit Log'!$F$2:$F$2001,$B$3,'Audit Log'!$S$2:$S$2001,$B$4,'Audit Log'!$T$2:$T$2001,"No",'Audit Log'!$C$2:$C$2001,$X159,'Audit Log'!$O$2:$O$2001,"Invalid")</f>
        <v/>
      </c>
      <c r="Z159">
        <f>$Y159+ROW()/100000</f>
        <v/>
      </c>
    </row>
    <row r="160">
      <c r="X160" t="inlineStr">
        <is>
          <t>Ejurcadas, Princess Jane Bleack</t>
        </is>
      </c>
      <c r="Y160">
        <f>COUNTIFS('Audit Log'!$B$2:$B$2001,"&gt;="&amp;$B$2,'Audit Log'!$F$2:$F$2001,$B$3,'Audit Log'!$S$2:$S$2001,$B$4,'Audit Log'!$T$2:$T$2001,"No",'Audit Log'!$C$2:$C$2001,$X160,'Audit Log'!$O$2:$O$2001,"Invalid")</f>
        <v/>
      </c>
      <c r="Z160">
        <f>$Y160+ROW()/100000</f>
        <v/>
      </c>
    </row>
    <row r="161">
      <c r="X161" t="inlineStr">
        <is>
          <t>Elefante, Windelyn Veniegas</t>
        </is>
      </c>
      <c r="Y161">
        <f>COUNTIFS('Audit Log'!$B$2:$B$2001,"&gt;="&amp;$B$2,'Audit Log'!$F$2:$F$2001,$B$3,'Audit Log'!$S$2:$S$2001,$B$4,'Audit Log'!$T$2:$T$2001,"No",'Audit Log'!$C$2:$C$2001,$X161,'Audit Log'!$O$2:$O$2001,"Invalid")</f>
        <v/>
      </c>
      <c r="Z161">
        <f>$Y161+ROW()/100000</f>
        <v/>
      </c>
    </row>
    <row r="162">
      <c r="X162" t="inlineStr">
        <is>
          <t>Enriquez, Irene Cañas</t>
        </is>
      </c>
      <c r="Y162">
        <f>COUNTIFS('Audit Log'!$B$2:$B$2001,"&gt;="&amp;$B$2,'Audit Log'!$F$2:$F$2001,$B$3,'Audit Log'!$S$2:$S$2001,$B$4,'Audit Log'!$T$2:$T$2001,"No",'Audit Log'!$C$2:$C$2001,$X162,'Audit Log'!$O$2:$O$2001,"Invalid")</f>
        <v/>
      </c>
      <c r="Z162">
        <f>$Y162+ROW()/100000</f>
        <v/>
      </c>
    </row>
    <row r="163">
      <c r="X163" t="inlineStr">
        <is>
          <t>Epino, Niccolo Vince Matunan</t>
        </is>
      </c>
      <c r="Y163">
        <f>COUNTIFS('Audit Log'!$B$2:$B$2001,"&gt;="&amp;$B$2,'Audit Log'!$F$2:$F$2001,$B$3,'Audit Log'!$S$2:$S$2001,$B$4,'Audit Log'!$T$2:$T$2001,"No",'Audit Log'!$C$2:$C$2001,$X163,'Audit Log'!$O$2:$O$2001,"Invalid")</f>
        <v/>
      </c>
      <c r="Z163">
        <f>$Y163+ROW()/100000</f>
        <v/>
      </c>
    </row>
    <row r="164">
      <c r="X164" t="inlineStr">
        <is>
          <t>Eroy, Shieva Camille Dela Cruz</t>
        </is>
      </c>
      <c r="Y164">
        <f>COUNTIFS('Audit Log'!$B$2:$B$2001,"&gt;="&amp;$B$2,'Audit Log'!$F$2:$F$2001,$B$3,'Audit Log'!$S$2:$S$2001,$B$4,'Audit Log'!$T$2:$T$2001,"No",'Audit Log'!$C$2:$C$2001,$X164,'Audit Log'!$O$2:$O$2001,"Invalid")</f>
        <v/>
      </c>
      <c r="Z164">
        <f>$Y164+ROW()/100000</f>
        <v/>
      </c>
    </row>
    <row r="165">
      <c r="X165" t="inlineStr">
        <is>
          <t>Esmabe, Jaessen Wadasen</t>
        </is>
      </c>
      <c r="Y165">
        <f>COUNTIFS('Audit Log'!$B$2:$B$2001,"&gt;="&amp;$B$2,'Audit Log'!$F$2:$F$2001,$B$3,'Audit Log'!$S$2:$S$2001,$B$4,'Audit Log'!$T$2:$T$2001,"No",'Audit Log'!$C$2:$C$2001,$X165,'Audit Log'!$O$2:$O$2001,"Invalid")</f>
        <v/>
      </c>
      <c r="Z165">
        <f>$Y165+ROW()/100000</f>
        <v/>
      </c>
    </row>
    <row r="166">
      <c r="X166" t="inlineStr">
        <is>
          <t>Espineda, Anthony Direc Donor</t>
        </is>
      </c>
      <c r="Y166">
        <f>COUNTIFS('Audit Log'!$B$2:$B$2001,"&gt;="&amp;$B$2,'Audit Log'!$F$2:$F$2001,$B$3,'Audit Log'!$S$2:$S$2001,$B$4,'Audit Log'!$T$2:$T$2001,"No",'Audit Log'!$C$2:$C$2001,$X166,'Audit Log'!$O$2:$O$2001,"Invalid")</f>
        <v/>
      </c>
      <c r="Z166">
        <f>$Y166+ROW()/100000</f>
        <v/>
      </c>
    </row>
    <row r="167">
      <c r="X167" t="inlineStr">
        <is>
          <t>Espiritu, Antonelli Berbaño</t>
        </is>
      </c>
      <c r="Y167">
        <f>COUNTIFS('Audit Log'!$B$2:$B$2001,"&gt;="&amp;$B$2,'Audit Log'!$F$2:$F$2001,$B$3,'Audit Log'!$S$2:$S$2001,$B$4,'Audit Log'!$T$2:$T$2001,"No",'Audit Log'!$C$2:$C$2001,$X167,'Audit Log'!$O$2:$O$2001,"Invalid")</f>
        <v/>
      </c>
      <c r="Z167">
        <f>$Y167+ROW()/100000</f>
        <v/>
      </c>
    </row>
    <row r="168">
      <c r="X168" t="inlineStr">
        <is>
          <t>Espiritu, Elmer Madaraso</t>
        </is>
      </c>
      <c r="Y168">
        <f>COUNTIFS('Audit Log'!$B$2:$B$2001,"&gt;="&amp;$B$2,'Audit Log'!$F$2:$F$2001,$B$3,'Audit Log'!$S$2:$S$2001,$B$4,'Audit Log'!$T$2:$T$2001,"No",'Audit Log'!$C$2:$C$2001,$X168,'Audit Log'!$O$2:$O$2001,"Invalid")</f>
        <v/>
      </c>
      <c r="Z168">
        <f>$Y168+ROW()/100000</f>
        <v/>
      </c>
    </row>
    <row r="169">
      <c r="X169" t="inlineStr">
        <is>
          <t>Esquilona, Liezl Equipado</t>
        </is>
      </c>
      <c r="Y169">
        <f>COUNTIFS('Audit Log'!$B$2:$B$2001,"&gt;="&amp;$B$2,'Audit Log'!$F$2:$F$2001,$B$3,'Audit Log'!$S$2:$S$2001,$B$4,'Audit Log'!$T$2:$T$2001,"No",'Audit Log'!$C$2:$C$2001,$X169,'Audit Log'!$O$2:$O$2001,"Invalid")</f>
        <v/>
      </c>
      <c r="Z169">
        <f>$Y169+ROW()/100000</f>
        <v/>
      </c>
    </row>
    <row r="170">
      <c r="X170" t="inlineStr">
        <is>
          <t>Estanislao, John Lore Jacla</t>
        </is>
      </c>
      <c r="Y170">
        <f>COUNTIFS('Audit Log'!$B$2:$B$2001,"&gt;="&amp;$B$2,'Audit Log'!$F$2:$F$2001,$B$3,'Audit Log'!$S$2:$S$2001,$B$4,'Audit Log'!$T$2:$T$2001,"No",'Audit Log'!$C$2:$C$2001,$X170,'Audit Log'!$O$2:$O$2001,"Invalid")</f>
        <v/>
      </c>
      <c r="Z170">
        <f>$Y170+ROW()/100000</f>
        <v/>
      </c>
    </row>
    <row r="171">
      <c r="X171" t="inlineStr">
        <is>
          <t>Eupena, Angieros Custodio</t>
        </is>
      </c>
      <c r="Y171">
        <f>COUNTIFS('Audit Log'!$B$2:$B$2001,"&gt;="&amp;$B$2,'Audit Log'!$F$2:$F$2001,$B$3,'Audit Log'!$S$2:$S$2001,$B$4,'Audit Log'!$T$2:$T$2001,"No",'Audit Log'!$C$2:$C$2001,$X171,'Audit Log'!$O$2:$O$2001,"Invalid")</f>
        <v/>
      </c>
      <c r="Z171">
        <f>$Y171+ROW()/100000</f>
        <v/>
      </c>
    </row>
    <row r="172">
      <c r="X172" t="inlineStr">
        <is>
          <t>Evidente, Jose Maria Recaredo Ancheta</t>
        </is>
      </c>
      <c r="Y172">
        <f>COUNTIFS('Audit Log'!$B$2:$B$2001,"&gt;="&amp;$B$2,'Audit Log'!$F$2:$F$2001,$B$3,'Audit Log'!$S$2:$S$2001,$B$4,'Audit Log'!$T$2:$T$2001,"No",'Audit Log'!$C$2:$C$2001,$X172,'Audit Log'!$O$2:$O$2001,"Invalid")</f>
        <v/>
      </c>
      <c r="Z172">
        <f>$Y172+ROW()/100000</f>
        <v/>
      </c>
    </row>
    <row r="173">
      <c r="X173" t="inlineStr">
        <is>
          <t>Fabales, Anita Rinto</t>
        </is>
      </c>
      <c r="Y173">
        <f>COUNTIFS('Audit Log'!$B$2:$B$2001,"&gt;="&amp;$B$2,'Audit Log'!$F$2:$F$2001,$B$3,'Audit Log'!$S$2:$S$2001,$B$4,'Audit Log'!$T$2:$T$2001,"No",'Audit Log'!$C$2:$C$2001,$X173,'Audit Log'!$O$2:$O$2001,"Invalid")</f>
        <v/>
      </c>
      <c r="Z173">
        <f>$Y173+ROW()/100000</f>
        <v/>
      </c>
    </row>
    <row r="174">
      <c r="X174" t="inlineStr">
        <is>
          <t>Fabregas, Paulo Fontecilla</t>
        </is>
      </c>
      <c r="Y174">
        <f>COUNTIFS('Audit Log'!$B$2:$B$2001,"&gt;="&amp;$B$2,'Audit Log'!$F$2:$F$2001,$B$3,'Audit Log'!$S$2:$S$2001,$B$4,'Audit Log'!$T$2:$T$2001,"No",'Audit Log'!$C$2:$C$2001,$X174,'Audit Log'!$O$2:$O$2001,"Invalid")</f>
        <v/>
      </c>
      <c r="Z174">
        <f>$Y174+ROW()/100000</f>
        <v/>
      </c>
    </row>
    <row r="175">
      <c r="X175" t="inlineStr">
        <is>
          <t>Fabroa, Cresh Lyn Panganiban</t>
        </is>
      </c>
      <c r="Y175">
        <f>COUNTIFS('Audit Log'!$B$2:$B$2001,"&gt;="&amp;$B$2,'Audit Log'!$F$2:$F$2001,$B$3,'Audit Log'!$S$2:$S$2001,$B$4,'Audit Log'!$T$2:$T$2001,"No",'Audit Log'!$C$2:$C$2001,$X175,'Audit Log'!$O$2:$O$2001,"Invalid")</f>
        <v/>
      </c>
      <c r="Z175">
        <f>$Y175+ROW()/100000</f>
        <v/>
      </c>
    </row>
    <row r="176">
      <c r="X176" t="inlineStr">
        <is>
          <t>Fadera, Ronald Bryan Jugal</t>
        </is>
      </c>
      <c r="Y176">
        <f>COUNTIFS('Audit Log'!$B$2:$B$2001,"&gt;="&amp;$B$2,'Audit Log'!$F$2:$F$2001,$B$3,'Audit Log'!$S$2:$S$2001,$B$4,'Audit Log'!$T$2:$T$2001,"No",'Audit Log'!$C$2:$C$2001,$X176,'Audit Log'!$O$2:$O$2001,"Invalid")</f>
        <v/>
      </c>
      <c r="Z176">
        <f>$Y176+ROW()/100000</f>
        <v/>
      </c>
    </row>
    <row r="177">
      <c r="X177" t="inlineStr">
        <is>
          <t>Falceso, Jeany Rose Lucaba</t>
        </is>
      </c>
      <c r="Y177">
        <f>COUNTIFS('Audit Log'!$B$2:$B$2001,"&gt;="&amp;$B$2,'Audit Log'!$F$2:$F$2001,$B$3,'Audit Log'!$S$2:$S$2001,$B$4,'Audit Log'!$T$2:$T$2001,"No",'Audit Log'!$C$2:$C$2001,$X177,'Audit Log'!$O$2:$O$2001,"Invalid")</f>
        <v/>
      </c>
      <c r="Z177">
        <f>$Y177+ROW()/100000</f>
        <v/>
      </c>
    </row>
    <row r="178">
      <c r="X178" t="inlineStr">
        <is>
          <t>Faustino, Gilbert Catanghal</t>
        </is>
      </c>
      <c r="Y178">
        <f>COUNTIFS('Audit Log'!$B$2:$B$2001,"&gt;="&amp;$B$2,'Audit Log'!$F$2:$F$2001,$B$3,'Audit Log'!$S$2:$S$2001,$B$4,'Audit Log'!$T$2:$T$2001,"No",'Audit Log'!$C$2:$C$2001,$X178,'Audit Log'!$O$2:$O$2001,"Invalid")</f>
        <v/>
      </c>
      <c r="Z178">
        <f>$Y178+ROW()/100000</f>
        <v/>
      </c>
    </row>
    <row r="179">
      <c r="X179" t="inlineStr">
        <is>
          <t>Fedelino, Raechelle Ibias</t>
        </is>
      </c>
      <c r="Y179">
        <f>COUNTIFS('Audit Log'!$B$2:$B$2001,"&gt;="&amp;$B$2,'Audit Log'!$F$2:$F$2001,$B$3,'Audit Log'!$S$2:$S$2001,$B$4,'Audit Log'!$T$2:$T$2001,"No",'Audit Log'!$C$2:$C$2001,$X179,'Audit Log'!$O$2:$O$2001,"Invalid")</f>
        <v/>
      </c>
      <c r="Z179">
        <f>$Y179+ROW()/100000</f>
        <v/>
      </c>
    </row>
    <row r="180">
      <c r="X180" t="inlineStr">
        <is>
          <t>Fernandez, Nielzen Cosico</t>
        </is>
      </c>
      <c r="Y180">
        <f>COUNTIFS('Audit Log'!$B$2:$B$2001,"&gt;="&amp;$B$2,'Audit Log'!$F$2:$F$2001,$B$3,'Audit Log'!$S$2:$S$2001,$B$4,'Audit Log'!$T$2:$T$2001,"No",'Audit Log'!$C$2:$C$2001,$X180,'Audit Log'!$O$2:$O$2001,"Invalid")</f>
        <v/>
      </c>
      <c r="Z180">
        <f>$Y180+ROW()/100000</f>
        <v/>
      </c>
    </row>
    <row r="181">
      <c r="X181" t="inlineStr">
        <is>
          <t>Ferrer, Jasper Kenneth Labor</t>
        </is>
      </c>
      <c r="Y181">
        <f>COUNTIFS('Audit Log'!$B$2:$B$2001,"&gt;="&amp;$B$2,'Audit Log'!$F$2:$F$2001,$B$3,'Audit Log'!$S$2:$S$2001,$B$4,'Audit Log'!$T$2:$T$2001,"No",'Audit Log'!$C$2:$C$2001,$X181,'Audit Log'!$O$2:$O$2001,"Invalid")</f>
        <v/>
      </c>
      <c r="Z181">
        <f>$Y181+ROW()/100000</f>
        <v/>
      </c>
    </row>
    <row r="182">
      <c r="X182" t="inlineStr">
        <is>
          <t>Ferriol, Steven Lloyd Fadallan</t>
        </is>
      </c>
      <c r="Y182">
        <f>COUNTIFS('Audit Log'!$B$2:$B$2001,"&gt;="&amp;$B$2,'Audit Log'!$F$2:$F$2001,$B$3,'Audit Log'!$S$2:$S$2001,$B$4,'Audit Log'!$T$2:$T$2001,"No",'Audit Log'!$C$2:$C$2001,$X182,'Audit Log'!$O$2:$O$2001,"Invalid")</f>
        <v/>
      </c>
      <c r="Z182">
        <f>$Y182+ROW()/100000</f>
        <v/>
      </c>
    </row>
    <row r="183">
      <c r="X183" t="inlineStr">
        <is>
          <t>Fiestada, Louiella -</t>
        </is>
      </c>
      <c r="Y183">
        <f>COUNTIFS('Audit Log'!$B$2:$B$2001,"&gt;="&amp;$B$2,'Audit Log'!$F$2:$F$2001,$B$3,'Audit Log'!$S$2:$S$2001,$B$4,'Audit Log'!$T$2:$T$2001,"No",'Audit Log'!$C$2:$C$2001,$X183,'Audit Log'!$O$2:$O$2001,"Invalid")</f>
        <v/>
      </c>
      <c r="Z183">
        <f>$Y183+ROW()/100000</f>
        <v/>
      </c>
    </row>
    <row r="184">
      <c r="X184" t="inlineStr">
        <is>
          <t>Flores, Leo Mark Quial</t>
        </is>
      </c>
      <c r="Y184">
        <f>COUNTIFS('Audit Log'!$B$2:$B$2001,"&gt;="&amp;$B$2,'Audit Log'!$F$2:$F$2001,$B$3,'Audit Log'!$S$2:$S$2001,$B$4,'Audit Log'!$T$2:$T$2001,"No",'Audit Log'!$C$2:$C$2001,$X184,'Audit Log'!$O$2:$O$2001,"Invalid")</f>
        <v/>
      </c>
      <c r="Z184">
        <f>$Y184+ROW()/100000</f>
        <v/>
      </c>
    </row>
    <row r="185">
      <c r="X185" t="inlineStr">
        <is>
          <t>Flores, Martin Abulog</t>
        </is>
      </c>
      <c r="Y185">
        <f>COUNTIFS('Audit Log'!$B$2:$B$2001,"&gt;="&amp;$B$2,'Audit Log'!$F$2:$F$2001,$B$3,'Audit Log'!$S$2:$S$2001,$B$4,'Audit Log'!$T$2:$T$2001,"No",'Audit Log'!$C$2:$C$2001,$X185,'Audit Log'!$O$2:$O$2001,"Invalid")</f>
        <v/>
      </c>
      <c r="Z185">
        <f>$Y185+ROW()/100000</f>
        <v/>
      </c>
    </row>
    <row r="186">
      <c r="X186" t="inlineStr">
        <is>
          <t>Formilleza, Elmer Funtecha</t>
        </is>
      </c>
      <c r="Y186">
        <f>COUNTIFS('Audit Log'!$B$2:$B$2001,"&gt;="&amp;$B$2,'Audit Log'!$F$2:$F$2001,$B$3,'Audit Log'!$S$2:$S$2001,$B$4,'Audit Log'!$T$2:$T$2001,"No",'Audit Log'!$C$2:$C$2001,$X186,'Audit Log'!$O$2:$O$2001,"Invalid")</f>
        <v/>
      </c>
      <c r="Z186">
        <f>$Y186+ROW()/100000</f>
        <v/>
      </c>
    </row>
    <row r="187">
      <c r="X187" t="inlineStr">
        <is>
          <t>Francia, Alona Bannas</t>
        </is>
      </c>
      <c r="Y187">
        <f>COUNTIFS('Audit Log'!$B$2:$B$2001,"&gt;="&amp;$B$2,'Audit Log'!$F$2:$F$2001,$B$3,'Audit Log'!$S$2:$S$2001,$B$4,'Audit Log'!$T$2:$T$2001,"No",'Audit Log'!$C$2:$C$2001,$X187,'Audit Log'!$O$2:$O$2001,"Invalid")</f>
        <v/>
      </c>
      <c r="Z187">
        <f>$Y187+ROW()/100000</f>
        <v/>
      </c>
    </row>
    <row r="188">
      <c r="X188" t="inlineStr">
        <is>
          <t>Francisco, Baby Ruth Llamosa</t>
        </is>
      </c>
      <c r="Y188">
        <f>COUNTIFS('Audit Log'!$B$2:$B$2001,"&gt;="&amp;$B$2,'Audit Log'!$F$2:$F$2001,$B$3,'Audit Log'!$S$2:$S$2001,$B$4,'Audit Log'!$T$2:$T$2001,"No",'Audit Log'!$C$2:$C$2001,$X188,'Audit Log'!$O$2:$O$2001,"Invalid")</f>
        <v/>
      </c>
      <c r="Z188">
        <f>$Y188+ROW()/100000</f>
        <v/>
      </c>
    </row>
    <row r="189">
      <c r="X189" t="inlineStr">
        <is>
          <t>Franco, Mark Jomer Soco</t>
        </is>
      </c>
      <c r="Y189">
        <f>COUNTIFS('Audit Log'!$B$2:$B$2001,"&gt;="&amp;$B$2,'Audit Log'!$F$2:$F$2001,$B$3,'Audit Log'!$S$2:$S$2001,$B$4,'Audit Log'!$T$2:$T$2001,"No",'Audit Log'!$C$2:$C$2001,$X189,'Audit Log'!$O$2:$O$2001,"Invalid")</f>
        <v/>
      </c>
      <c r="Z189">
        <f>$Y189+ROW()/100000</f>
        <v/>
      </c>
    </row>
    <row r="190">
      <c r="X190" t="inlineStr">
        <is>
          <t>Fulgencio, Daniel Virtus</t>
        </is>
      </c>
      <c r="Y190">
        <f>COUNTIFS('Audit Log'!$B$2:$B$2001,"&gt;="&amp;$B$2,'Audit Log'!$F$2:$F$2001,$B$3,'Audit Log'!$S$2:$S$2001,$B$4,'Audit Log'!$T$2:$T$2001,"No",'Audit Log'!$C$2:$C$2001,$X190,'Audit Log'!$O$2:$O$2001,"Invalid")</f>
        <v/>
      </c>
      <c r="Z190">
        <f>$Y190+ROW()/100000</f>
        <v/>
      </c>
    </row>
    <row r="191">
      <c r="X191" t="inlineStr">
        <is>
          <t>Gaddi, Catheleen Sanchez</t>
        </is>
      </c>
      <c r="Y191">
        <f>COUNTIFS('Audit Log'!$B$2:$B$2001,"&gt;="&amp;$B$2,'Audit Log'!$F$2:$F$2001,$B$3,'Audit Log'!$S$2:$S$2001,$B$4,'Audit Log'!$T$2:$T$2001,"No",'Audit Log'!$C$2:$C$2001,$X191,'Audit Log'!$O$2:$O$2001,"Invalid")</f>
        <v/>
      </c>
      <c r="Z191">
        <f>$Y191+ROW()/100000</f>
        <v/>
      </c>
    </row>
    <row r="192">
      <c r="X192" t="inlineStr">
        <is>
          <t>Gadil, Glenn Lauce</t>
        </is>
      </c>
      <c r="Y192">
        <f>COUNTIFS('Audit Log'!$B$2:$B$2001,"&gt;="&amp;$B$2,'Audit Log'!$F$2:$F$2001,$B$3,'Audit Log'!$S$2:$S$2001,$B$4,'Audit Log'!$T$2:$T$2001,"No",'Audit Log'!$C$2:$C$2001,$X192,'Audit Log'!$O$2:$O$2001,"Invalid")</f>
        <v/>
      </c>
      <c r="Z192">
        <f>$Y192+ROW()/100000</f>
        <v/>
      </c>
    </row>
    <row r="193">
      <c r="X193" t="inlineStr">
        <is>
          <t>Galang, Edward Baltazar</t>
        </is>
      </c>
      <c r="Y193">
        <f>COUNTIFS('Audit Log'!$B$2:$B$2001,"&gt;="&amp;$B$2,'Audit Log'!$F$2:$F$2001,$B$3,'Audit Log'!$S$2:$S$2001,$B$4,'Audit Log'!$T$2:$T$2001,"No",'Audit Log'!$C$2:$C$2001,$X193,'Audit Log'!$O$2:$O$2001,"Invalid")</f>
        <v/>
      </c>
      <c r="Z193">
        <f>$Y193+ROW()/100000</f>
        <v/>
      </c>
    </row>
    <row r="194">
      <c r="X194" t="inlineStr">
        <is>
          <t>Galanida, Gilmark Magallanes</t>
        </is>
      </c>
      <c r="Y194">
        <f>COUNTIFS('Audit Log'!$B$2:$B$2001,"&gt;="&amp;$B$2,'Audit Log'!$F$2:$F$2001,$B$3,'Audit Log'!$S$2:$S$2001,$B$4,'Audit Log'!$T$2:$T$2001,"No",'Audit Log'!$C$2:$C$2001,$X194,'Audit Log'!$O$2:$O$2001,"Invalid")</f>
        <v/>
      </c>
      <c r="Z194">
        <f>$Y194+ROW()/100000</f>
        <v/>
      </c>
    </row>
    <row r="195">
      <c r="X195" t="inlineStr">
        <is>
          <t>Galope, Danri Catacutan</t>
        </is>
      </c>
      <c r="Y195">
        <f>COUNTIFS('Audit Log'!$B$2:$B$2001,"&gt;="&amp;$B$2,'Audit Log'!$F$2:$F$2001,$B$3,'Audit Log'!$S$2:$S$2001,$B$4,'Audit Log'!$T$2:$T$2001,"No",'Audit Log'!$C$2:$C$2001,$X195,'Audit Log'!$O$2:$O$2001,"Invalid")</f>
        <v/>
      </c>
      <c r="Z195">
        <f>$Y195+ROW()/100000</f>
        <v/>
      </c>
    </row>
    <row r="196">
      <c r="X196" t="inlineStr">
        <is>
          <t>Galvante, Clara Louise Valle</t>
        </is>
      </c>
      <c r="Y196">
        <f>COUNTIFS('Audit Log'!$B$2:$B$2001,"&gt;="&amp;$B$2,'Audit Log'!$F$2:$F$2001,$B$3,'Audit Log'!$S$2:$S$2001,$B$4,'Audit Log'!$T$2:$T$2001,"No",'Audit Log'!$C$2:$C$2001,$X196,'Audit Log'!$O$2:$O$2001,"Invalid")</f>
        <v/>
      </c>
      <c r="Z196">
        <f>$Y196+ROW()/100000</f>
        <v/>
      </c>
    </row>
    <row r="197">
      <c r="X197" t="inlineStr">
        <is>
          <t>Garalde, Jenny Lyn Carolino</t>
        </is>
      </c>
      <c r="Y197">
        <f>COUNTIFS('Audit Log'!$B$2:$B$2001,"&gt;="&amp;$B$2,'Audit Log'!$F$2:$F$2001,$B$3,'Audit Log'!$S$2:$S$2001,$B$4,'Audit Log'!$T$2:$T$2001,"No",'Audit Log'!$C$2:$C$2001,$X197,'Audit Log'!$O$2:$O$2001,"Invalid")</f>
        <v/>
      </c>
      <c r="Z197">
        <f>$Y197+ROW()/100000</f>
        <v/>
      </c>
    </row>
    <row r="198">
      <c r="X198" t="inlineStr">
        <is>
          <t>Garcia, Arriane Dawn Cajuban</t>
        </is>
      </c>
      <c r="Y198">
        <f>COUNTIFS('Audit Log'!$B$2:$B$2001,"&gt;="&amp;$B$2,'Audit Log'!$F$2:$F$2001,$B$3,'Audit Log'!$S$2:$S$2001,$B$4,'Audit Log'!$T$2:$T$2001,"No",'Audit Log'!$C$2:$C$2001,$X198,'Audit Log'!$O$2:$O$2001,"Invalid")</f>
        <v/>
      </c>
      <c r="Z198">
        <f>$Y198+ROW()/100000</f>
        <v/>
      </c>
    </row>
    <row r="199">
      <c r="X199" t="inlineStr">
        <is>
          <t>Garcia, Reeham El Hagar</t>
        </is>
      </c>
      <c r="Y199">
        <f>COUNTIFS('Audit Log'!$B$2:$B$2001,"&gt;="&amp;$B$2,'Audit Log'!$F$2:$F$2001,$B$3,'Audit Log'!$S$2:$S$2001,$B$4,'Audit Log'!$T$2:$T$2001,"No",'Audit Log'!$C$2:$C$2001,$X199,'Audit Log'!$O$2:$O$2001,"Invalid")</f>
        <v/>
      </c>
      <c r="Z199">
        <f>$Y199+ROW()/100000</f>
        <v/>
      </c>
    </row>
    <row r="200">
      <c r="X200" t="inlineStr">
        <is>
          <t>Gatmaitan, Kurt John Manuel</t>
        </is>
      </c>
      <c r="Y200">
        <f>COUNTIFS('Audit Log'!$B$2:$B$2001,"&gt;="&amp;$B$2,'Audit Log'!$F$2:$F$2001,$B$3,'Audit Log'!$S$2:$S$2001,$B$4,'Audit Log'!$T$2:$T$2001,"No",'Audit Log'!$C$2:$C$2001,$X200,'Audit Log'!$O$2:$O$2001,"Invalid")</f>
        <v/>
      </c>
      <c r="Z200">
        <f>$Y200+ROW()/100000</f>
        <v/>
      </c>
    </row>
    <row r="201">
      <c r="X201" t="inlineStr">
        <is>
          <t>Gayon, Maria Joana Mejias</t>
        </is>
      </c>
      <c r="Y201">
        <f>COUNTIFS('Audit Log'!$B$2:$B$2001,"&gt;="&amp;$B$2,'Audit Log'!$F$2:$F$2001,$B$3,'Audit Log'!$S$2:$S$2001,$B$4,'Audit Log'!$T$2:$T$2001,"No",'Audit Log'!$C$2:$C$2001,$X201,'Audit Log'!$O$2:$O$2001,"Invalid")</f>
        <v/>
      </c>
      <c r="Z201">
        <f>$Y201+ROW()/100000</f>
        <v/>
      </c>
    </row>
    <row r="202">
      <c r="X202" t="inlineStr">
        <is>
          <t>Geli, Joan Seguis</t>
        </is>
      </c>
      <c r="Y202">
        <f>COUNTIFS('Audit Log'!$B$2:$B$2001,"&gt;="&amp;$B$2,'Audit Log'!$F$2:$F$2001,$B$3,'Audit Log'!$S$2:$S$2001,$B$4,'Audit Log'!$T$2:$T$2001,"No",'Audit Log'!$C$2:$C$2001,$X202,'Audit Log'!$O$2:$O$2001,"Invalid")</f>
        <v/>
      </c>
      <c r="Z202">
        <f>$Y202+ROW()/100000</f>
        <v/>
      </c>
    </row>
    <row r="203">
      <c r="X203" t="inlineStr">
        <is>
          <t>Genova, Kyle Jasper Laxamana</t>
        </is>
      </c>
      <c r="Y203">
        <f>COUNTIFS('Audit Log'!$B$2:$B$2001,"&gt;="&amp;$B$2,'Audit Log'!$F$2:$F$2001,$B$3,'Audit Log'!$S$2:$S$2001,$B$4,'Audit Log'!$T$2:$T$2001,"No",'Audit Log'!$C$2:$C$2001,$X203,'Audit Log'!$O$2:$O$2001,"Invalid")</f>
        <v/>
      </c>
      <c r="Z203">
        <f>$Y203+ROW()/100000</f>
        <v/>
      </c>
    </row>
    <row r="204">
      <c r="X204" t="inlineStr">
        <is>
          <t>Gesmundo, Mark Anthony Flores</t>
        </is>
      </c>
      <c r="Y204">
        <f>COUNTIFS('Audit Log'!$B$2:$B$2001,"&gt;="&amp;$B$2,'Audit Log'!$F$2:$F$2001,$B$3,'Audit Log'!$S$2:$S$2001,$B$4,'Audit Log'!$T$2:$T$2001,"No",'Audit Log'!$C$2:$C$2001,$X204,'Audit Log'!$O$2:$O$2001,"Invalid")</f>
        <v/>
      </c>
      <c r="Z204">
        <f>$Y204+ROW()/100000</f>
        <v/>
      </c>
    </row>
    <row r="205">
      <c r="X205" t="inlineStr">
        <is>
          <t>Gomez, Shashel Ann Cantiga</t>
        </is>
      </c>
      <c r="Y205">
        <f>COUNTIFS('Audit Log'!$B$2:$B$2001,"&gt;="&amp;$B$2,'Audit Log'!$F$2:$F$2001,$B$3,'Audit Log'!$S$2:$S$2001,$B$4,'Audit Log'!$T$2:$T$2001,"No",'Audit Log'!$C$2:$C$2001,$X205,'Audit Log'!$O$2:$O$2001,"Invalid")</f>
        <v/>
      </c>
      <c r="Z205">
        <f>$Y205+ROW()/100000</f>
        <v/>
      </c>
    </row>
    <row r="206">
      <c r="X206" t="inlineStr">
        <is>
          <t>Gonzaga, Alliahkate Obina</t>
        </is>
      </c>
      <c r="Y206">
        <f>COUNTIFS('Audit Log'!$B$2:$B$2001,"&gt;="&amp;$B$2,'Audit Log'!$F$2:$F$2001,$B$3,'Audit Log'!$S$2:$S$2001,$B$4,'Audit Log'!$T$2:$T$2001,"No",'Audit Log'!$C$2:$C$2001,$X206,'Audit Log'!$O$2:$O$2001,"Invalid")</f>
        <v/>
      </c>
      <c r="Z206">
        <f>$Y206+ROW()/100000</f>
        <v/>
      </c>
    </row>
    <row r="207">
      <c r="X207" t="inlineStr">
        <is>
          <t>Grafe, Felicino Quinzon</t>
        </is>
      </c>
      <c r="Y207">
        <f>COUNTIFS('Audit Log'!$B$2:$B$2001,"&gt;="&amp;$B$2,'Audit Log'!$F$2:$F$2001,$B$3,'Audit Log'!$S$2:$S$2001,$B$4,'Audit Log'!$T$2:$T$2001,"No",'Audit Log'!$C$2:$C$2001,$X207,'Audit Log'!$O$2:$O$2001,"Invalid")</f>
        <v/>
      </c>
      <c r="Z207">
        <f>$Y207+ROW()/100000</f>
        <v/>
      </c>
    </row>
    <row r="208">
      <c r="X208" t="inlineStr">
        <is>
          <t>Grave, Megg Jake Salvacion</t>
        </is>
      </c>
      <c r="Y208">
        <f>COUNTIFS('Audit Log'!$B$2:$B$2001,"&gt;="&amp;$B$2,'Audit Log'!$F$2:$F$2001,$B$3,'Audit Log'!$S$2:$S$2001,$B$4,'Audit Log'!$T$2:$T$2001,"No",'Audit Log'!$C$2:$C$2001,$X208,'Audit Log'!$O$2:$O$2001,"Invalid")</f>
        <v/>
      </c>
      <c r="Z208">
        <f>$Y208+ROW()/100000</f>
        <v/>
      </c>
    </row>
    <row r="209">
      <c r="X209" t="inlineStr">
        <is>
          <t>Gravela, Mark Angelo Faustino</t>
        </is>
      </c>
      <c r="Y209">
        <f>COUNTIFS('Audit Log'!$B$2:$B$2001,"&gt;="&amp;$B$2,'Audit Log'!$F$2:$F$2001,$B$3,'Audit Log'!$S$2:$S$2001,$B$4,'Audit Log'!$T$2:$T$2001,"No",'Audit Log'!$C$2:$C$2001,$X209,'Audit Log'!$O$2:$O$2001,"Invalid")</f>
        <v/>
      </c>
      <c r="Z209">
        <f>$Y209+ROW()/100000</f>
        <v/>
      </c>
    </row>
    <row r="210">
      <c r="X210" t="inlineStr">
        <is>
          <t>Griffin Jr, Francis Viana</t>
        </is>
      </c>
      <c r="Y210">
        <f>COUNTIFS('Audit Log'!$B$2:$B$2001,"&gt;="&amp;$B$2,'Audit Log'!$F$2:$F$2001,$B$3,'Audit Log'!$S$2:$S$2001,$B$4,'Audit Log'!$T$2:$T$2001,"No",'Audit Log'!$C$2:$C$2001,$X210,'Audit Log'!$O$2:$O$2001,"Invalid")</f>
        <v/>
      </c>
      <c r="Z210">
        <f>$Y210+ROW()/100000</f>
        <v/>
      </c>
    </row>
    <row r="211">
      <c r="X211" t="inlineStr">
        <is>
          <t>Guevarra, Willy Lascano</t>
        </is>
      </c>
      <c r="Y211">
        <f>COUNTIFS('Audit Log'!$B$2:$B$2001,"&gt;="&amp;$B$2,'Audit Log'!$F$2:$F$2001,$B$3,'Audit Log'!$S$2:$S$2001,$B$4,'Audit Log'!$T$2:$T$2001,"No",'Audit Log'!$C$2:$C$2001,$X211,'Audit Log'!$O$2:$O$2001,"Invalid")</f>
        <v/>
      </c>
      <c r="Z211">
        <f>$Y211+ROW()/100000</f>
        <v/>
      </c>
    </row>
    <row r="212">
      <c r="X212" t="inlineStr">
        <is>
          <t>Gurrobat, Karen Bacayo</t>
        </is>
      </c>
      <c r="Y212">
        <f>COUNTIFS('Audit Log'!$B$2:$B$2001,"&gt;="&amp;$B$2,'Audit Log'!$F$2:$F$2001,$B$3,'Audit Log'!$S$2:$S$2001,$B$4,'Audit Log'!$T$2:$T$2001,"No",'Audit Log'!$C$2:$C$2001,$X212,'Audit Log'!$O$2:$O$2001,"Invalid")</f>
        <v/>
      </c>
      <c r="Z212">
        <f>$Y212+ROW()/100000</f>
        <v/>
      </c>
    </row>
    <row r="213">
      <c r="X213" t="inlineStr">
        <is>
          <t>Gutierrez, Luisito Ordona</t>
        </is>
      </c>
      <c r="Y213">
        <f>COUNTIFS('Audit Log'!$B$2:$B$2001,"&gt;="&amp;$B$2,'Audit Log'!$F$2:$F$2001,$B$3,'Audit Log'!$S$2:$S$2001,$B$4,'Audit Log'!$T$2:$T$2001,"No",'Audit Log'!$C$2:$C$2001,$X213,'Audit Log'!$O$2:$O$2001,"Invalid")</f>
        <v/>
      </c>
      <c r="Z213">
        <f>$Y213+ROW()/100000</f>
        <v/>
      </c>
    </row>
    <row r="214">
      <c r="X214" t="inlineStr">
        <is>
          <t>Haboc, Donnis</t>
        </is>
      </c>
      <c r="Y214">
        <f>COUNTIFS('Audit Log'!$B$2:$B$2001,"&gt;="&amp;$B$2,'Audit Log'!$F$2:$F$2001,$B$3,'Audit Log'!$S$2:$S$2001,$B$4,'Audit Log'!$T$2:$T$2001,"No",'Audit Log'!$C$2:$C$2001,$X214,'Audit Log'!$O$2:$O$2001,"Invalid")</f>
        <v/>
      </c>
      <c r="Z214">
        <f>$Y214+ROW()/100000</f>
        <v/>
      </c>
    </row>
    <row r="215">
      <c r="X215" t="inlineStr">
        <is>
          <t>Hernaez, Benson Lamson</t>
        </is>
      </c>
      <c r="Y215">
        <f>COUNTIFS('Audit Log'!$B$2:$B$2001,"&gt;="&amp;$B$2,'Audit Log'!$F$2:$F$2001,$B$3,'Audit Log'!$S$2:$S$2001,$B$4,'Audit Log'!$T$2:$T$2001,"No",'Audit Log'!$C$2:$C$2001,$X215,'Audit Log'!$O$2:$O$2001,"Invalid")</f>
        <v/>
      </c>
      <c r="Z215">
        <f>$Y215+ROW()/100000</f>
        <v/>
      </c>
    </row>
    <row r="216">
      <c r="X216" t="inlineStr">
        <is>
          <t>Hernandez, Jayson Cabrera</t>
        </is>
      </c>
      <c r="Y216">
        <f>COUNTIFS('Audit Log'!$B$2:$B$2001,"&gt;="&amp;$B$2,'Audit Log'!$F$2:$F$2001,$B$3,'Audit Log'!$S$2:$S$2001,$B$4,'Audit Log'!$T$2:$T$2001,"No",'Audit Log'!$C$2:$C$2001,$X216,'Audit Log'!$O$2:$O$2001,"Invalid")</f>
        <v/>
      </c>
      <c r="Z216">
        <f>$Y216+ROW()/100000</f>
        <v/>
      </c>
    </row>
    <row r="217">
      <c r="X217" t="inlineStr">
        <is>
          <t>Hernandez, Nilo Olidar</t>
        </is>
      </c>
      <c r="Y217">
        <f>COUNTIFS('Audit Log'!$B$2:$B$2001,"&gt;="&amp;$B$2,'Audit Log'!$F$2:$F$2001,$B$3,'Audit Log'!$S$2:$S$2001,$B$4,'Audit Log'!$T$2:$T$2001,"No",'Audit Log'!$C$2:$C$2001,$X217,'Audit Log'!$O$2:$O$2001,"Invalid")</f>
        <v/>
      </c>
      <c r="Z217">
        <f>$Y217+ROW()/100000</f>
        <v/>
      </c>
    </row>
    <row r="218">
      <c r="X218" t="inlineStr">
        <is>
          <t>Herosa, Aleina Nichole Masirag</t>
        </is>
      </c>
      <c r="Y218">
        <f>COUNTIFS('Audit Log'!$B$2:$B$2001,"&gt;="&amp;$B$2,'Audit Log'!$F$2:$F$2001,$B$3,'Audit Log'!$S$2:$S$2001,$B$4,'Audit Log'!$T$2:$T$2001,"No",'Audit Log'!$C$2:$C$2001,$X218,'Audit Log'!$O$2:$O$2001,"Invalid")</f>
        <v/>
      </c>
      <c r="Z218">
        <f>$Y218+ROW()/100000</f>
        <v/>
      </c>
    </row>
    <row r="219">
      <c r="X219" t="inlineStr">
        <is>
          <t>Higum, Marissa Yap</t>
        </is>
      </c>
      <c r="Y219">
        <f>COUNTIFS('Audit Log'!$B$2:$B$2001,"&gt;="&amp;$B$2,'Audit Log'!$F$2:$F$2001,$B$3,'Audit Log'!$S$2:$S$2001,$B$4,'Audit Log'!$T$2:$T$2001,"No",'Audit Log'!$C$2:$C$2001,$X219,'Audit Log'!$O$2:$O$2001,"Invalid")</f>
        <v/>
      </c>
      <c r="Z219">
        <f>$Y219+ROW()/100000</f>
        <v/>
      </c>
    </row>
    <row r="220">
      <c r="X220" t="inlineStr">
        <is>
          <t>Hije, Bernadeth Rosales</t>
        </is>
      </c>
      <c r="Y220">
        <f>COUNTIFS('Audit Log'!$B$2:$B$2001,"&gt;="&amp;$B$2,'Audit Log'!$F$2:$F$2001,$B$3,'Audit Log'!$S$2:$S$2001,$B$4,'Audit Log'!$T$2:$T$2001,"No",'Audit Log'!$C$2:$C$2001,$X220,'Audit Log'!$O$2:$O$2001,"Invalid")</f>
        <v/>
      </c>
      <c r="Z220">
        <f>$Y220+ROW()/100000</f>
        <v/>
      </c>
    </row>
    <row r="221">
      <c r="X221" t="inlineStr">
        <is>
          <t>Ibañez, Karylle Estanislao</t>
        </is>
      </c>
      <c r="Y221">
        <f>COUNTIFS('Audit Log'!$B$2:$B$2001,"&gt;="&amp;$B$2,'Audit Log'!$F$2:$F$2001,$B$3,'Audit Log'!$S$2:$S$2001,$B$4,'Audit Log'!$T$2:$T$2001,"No",'Audit Log'!$C$2:$C$2001,$X221,'Audit Log'!$O$2:$O$2001,"Invalid")</f>
        <v/>
      </c>
      <c r="Z221">
        <f>$Y221+ROW()/100000</f>
        <v/>
      </c>
    </row>
    <row r="222">
      <c r="X222" t="inlineStr">
        <is>
          <t>Ignacio, Abigael Franco</t>
        </is>
      </c>
      <c r="Y222">
        <f>COUNTIFS('Audit Log'!$B$2:$B$2001,"&gt;="&amp;$B$2,'Audit Log'!$F$2:$F$2001,$B$3,'Audit Log'!$S$2:$S$2001,$B$4,'Audit Log'!$T$2:$T$2001,"No",'Audit Log'!$C$2:$C$2001,$X222,'Audit Log'!$O$2:$O$2001,"Invalid")</f>
        <v/>
      </c>
      <c r="Z222">
        <f>$Y222+ROW()/100000</f>
        <v/>
      </c>
    </row>
    <row r="223">
      <c r="X223" t="inlineStr">
        <is>
          <t>Ignacio, Joy Neal Cruz</t>
        </is>
      </c>
      <c r="Y223">
        <f>COUNTIFS('Audit Log'!$B$2:$B$2001,"&gt;="&amp;$B$2,'Audit Log'!$F$2:$F$2001,$B$3,'Audit Log'!$S$2:$S$2001,$B$4,'Audit Log'!$T$2:$T$2001,"No",'Audit Log'!$C$2:$C$2001,$X223,'Audit Log'!$O$2:$O$2001,"Invalid")</f>
        <v/>
      </c>
      <c r="Z223">
        <f>$Y223+ROW()/100000</f>
        <v/>
      </c>
    </row>
    <row r="224">
      <c r="X224" t="inlineStr">
        <is>
          <t>Ignacio, Nino Pedro</t>
        </is>
      </c>
      <c r="Y224">
        <f>COUNTIFS('Audit Log'!$B$2:$B$2001,"&gt;="&amp;$B$2,'Audit Log'!$F$2:$F$2001,$B$3,'Audit Log'!$S$2:$S$2001,$B$4,'Audit Log'!$T$2:$T$2001,"No",'Audit Log'!$C$2:$C$2001,$X224,'Audit Log'!$O$2:$O$2001,"Invalid")</f>
        <v/>
      </c>
      <c r="Z224">
        <f>$Y224+ROW()/100000</f>
        <v/>
      </c>
    </row>
    <row r="225">
      <c r="X225" t="inlineStr">
        <is>
          <t>Iguin, John Carlo Dejumo</t>
        </is>
      </c>
      <c r="Y225">
        <f>COUNTIFS('Audit Log'!$B$2:$B$2001,"&gt;="&amp;$B$2,'Audit Log'!$F$2:$F$2001,$B$3,'Audit Log'!$S$2:$S$2001,$B$4,'Audit Log'!$T$2:$T$2001,"No",'Audit Log'!$C$2:$C$2001,$X225,'Audit Log'!$O$2:$O$2001,"Invalid")</f>
        <v/>
      </c>
      <c r="Z225">
        <f>$Y225+ROW()/100000</f>
        <v/>
      </c>
    </row>
    <row r="226">
      <c r="X226" t="inlineStr">
        <is>
          <t>Imperial, Jame Euan Nmn</t>
        </is>
      </c>
      <c r="Y226">
        <f>COUNTIFS('Audit Log'!$B$2:$B$2001,"&gt;="&amp;$B$2,'Audit Log'!$F$2:$F$2001,$B$3,'Audit Log'!$S$2:$S$2001,$B$4,'Audit Log'!$T$2:$T$2001,"No",'Audit Log'!$C$2:$C$2001,$X226,'Audit Log'!$O$2:$O$2001,"Invalid")</f>
        <v/>
      </c>
      <c r="Z226">
        <f>$Y226+ROW()/100000</f>
        <v/>
      </c>
    </row>
    <row r="227">
      <c r="X227" t="inlineStr">
        <is>
          <t>Infante, Ma Katrina Abon Dela Torre</t>
        </is>
      </c>
      <c r="Y227">
        <f>COUNTIFS('Audit Log'!$B$2:$B$2001,"&gt;="&amp;$B$2,'Audit Log'!$F$2:$F$2001,$B$3,'Audit Log'!$S$2:$S$2001,$B$4,'Audit Log'!$T$2:$T$2001,"No",'Audit Log'!$C$2:$C$2001,$X227,'Audit Log'!$O$2:$O$2001,"Invalid")</f>
        <v/>
      </c>
      <c r="Z227">
        <f>$Y227+ROW()/100000</f>
        <v/>
      </c>
    </row>
    <row r="228">
      <c r="X228" t="inlineStr">
        <is>
          <t>Iquin, Jasmin Atencio</t>
        </is>
      </c>
      <c r="Y228">
        <f>COUNTIFS('Audit Log'!$B$2:$B$2001,"&gt;="&amp;$B$2,'Audit Log'!$F$2:$F$2001,$B$3,'Audit Log'!$S$2:$S$2001,$B$4,'Audit Log'!$T$2:$T$2001,"No",'Audit Log'!$C$2:$C$2001,$X228,'Audit Log'!$O$2:$O$2001,"Invalid")</f>
        <v/>
      </c>
      <c r="Z228">
        <f>$Y228+ROW()/100000</f>
        <v/>
      </c>
    </row>
    <row r="229">
      <c r="X229" t="inlineStr">
        <is>
          <t>Jaico, Carl Justin Colada</t>
        </is>
      </c>
      <c r="Y229">
        <f>COUNTIFS('Audit Log'!$B$2:$B$2001,"&gt;="&amp;$B$2,'Audit Log'!$F$2:$F$2001,$B$3,'Audit Log'!$S$2:$S$2001,$B$4,'Audit Log'!$T$2:$T$2001,"No",'Audit Log'!$C$2:$C$2001,$X229,'Audit Log'!$O$2:$O$2001,"Invalid")</f>
        <v/>
      </c>
      <c r="Z229">
        <f>$Y229+ROW()/100000</f>
        <v/>
      </c>
    </row>
    <row r="230">
      <c r="X230" t="inlineStr">
        <is>
          <t>Joaquin, Erica Jenesis Morales</t>
        </is>
      </c>
      <c r="Y230">
        <f>COUNTIFS('Audit Log'!$B$2:$B$2001,"&gt;="&amp;$B$2,'Audit Log'!$F$2:$F$2001,$B$3,'Audit Log'!$S$2:$S$2001,$B$4,'Audit Log'!$T$2:$T$2001,"No",'Audit Log'!$C$2:$C$2001,$X230,'Audit Log'!$O$2:$O$2001,"Invalid")</f>
        <v/>
      </c>
      <c r="Z230">
        <f>$Y230+ROW()/100000</f>
        <v/>
      </c>
    </row>
    <row r="231">
      <c r="X231" t="inlineStr">
        <is>
          <t>Jose, Jully Ann Carlos</t>
        </is>
      </c>
      <c r="Y231">
        <f>COUNTIFS('Audit Log'!$B$2:$B$2001,"&gt;="&amp;$B$2,'Audit Log'!$F$2:$F$2001,$B$3,'Audit Log'!$S$2:$S$2001,$B$4,'Audit Log'!$T$2:$T$2001,"No",'Audit Log'!$C$2:$C$2001,$X231,'Audit Log'!$O$2:$O$2001,"Invalid")</f>
        <v/>
      </c>
      <c r="Z231">
        <f>$Y231+ROW()/100000</f>
        <v/>
      </c>
    </row>
    <row r="232">
      <c r="X232" t="inlineStr">
        <is>
          <t>Kalaw, Melchie Nmn</t>
        </is>
      </c>
      <c r="Y232">
        <f>COUNTIFS('Audit Log'!$B$2:$B$2001,"&gt;="&amp;$B$2,'Audit Log'!$F$2:$F$2001,$B$3,'Audit Log'!$S$2:$S$2001,$B$4,'Audit Log'!$T$2:$T$2001,"No",'Audit Log'!$C$2:$C$2001,$X232,'Audit Log'!$O$2:$O$2001,"Invalid")</f>
        <v/>
      </c>
      <c r="Z232">
        <f>$Y232+ROW()/100000</f>
        <v/>
      </c>
    </row>
    <row r="233">
      <c r="X233" t="inlineStr">
        <is>
          <t>Labana, Heidee</t>
        </is>
      </c>
      <c r="Y233">
        <f>COUNTIFS('Audit Log'!$B$2:$B$2001,"&gt;="&amp;$B$2,'Audit Log'!$F$2:$F$2001,$B$3,'Audit Log'!$S$2:$S$2001,$B$4,'Audit Log'!$T$2:$T$2001,"No",'Audit Log'!$C$2:$C$2001,$X233,'Audit Log'!$O$2:$O$2001,"Invalid")</f>
        <v/>
      </c>
      <c r="Z233">
        <f>$Y233+ROW()/100000</f>
        <v/>
      </c>
    </row>
    <row r="234">
      <c r="X234" t="inlineStr">
        <is>
          <t>Laberon, Jennieca Matilla</t>
        </is>
      </c>
      <c r="Y234">
        <f>COUNTIFS('Audit Log'!$B$2:$B$2001,"&gt;="&amp;$B$2,'Audit Log'!$F$2:$F$2001,$B$3,'Audit Log'!$S$2:$S$2001,$B$4,'Audit Log'!$T$2:$T$2001,"No",'Audit Log'!$C$2:$C$2001,$X234,'Audit Log'!$O$2:$O$2001,"Invalid")</f>
        <v/>
      </c>
      <c r="Z234">
        <f>$Y234+ROW()/100000</f>
        <v/>
      </c>
    </row>
    <row r="235">
      <c r="X235" t="inlineStr">
        <is>
          <t>Labiang, Jericho James Apostol</t>
        </is>
      </c>
      <c r="Y235">
        <f>COUNTIFS('Audit Log'!$B$2:$B$2001,"&gt;="&amp;$B$2,'Audit Log'!$F$2:$F$2001,$B$3,'Audit Log'!$S$2:$S$2001,$B$4,'Audit Log'!$T$2:$T$2001,"No",'Audit Log'!$C$2:$C$2001,$X235,'Audit Log'!$O$2:$O$2001,"Invalid")</f>
        <v/>
      </c>
      <c r="Z235">
        <f>$Y235+ROW()/100000</f>
        <v/>
      </c>
    </row>
    <row r="236">
      <c r="X236" t="inlineStr">
        <is>
          <t>Lacara, Mark Edrian Pasadas</t>
        </is>
      </c>
      <c r="Y236">
        <f>COUNTIFS('Audit Log'!$B$2:$B$2001,"&gt;="&amp;$B$2,'Audit Log'!$F$2:$F$2001,$B$3,'Audit Log'!$S$2:$S$2001,$B$4,'Audit Log'!$T$2:$T$2001,"No",'Audit Log'!$C$2:$C$2001,$X236,'Audit Log'!$O$2:$O$2001,"Invalid")</f>
        <v/>
      </c>
      <c r="Z236">
        <f>$Y236+ROW()/100000</f>
        <v/>
      </c>
    </row>
    <row r="237">
      <c r="X237" t="inlineStr">
        <is>
          <t>Lachica, Lance Embile</t>
        </is>
      </c>
      <c r="Y237">
        <f>COUNTIFS('Audit Log'!$B$2:$B$2001,"&gt;="&amp;$B$2,'Audit Log'!$F$2:$F$2001,$B$3,'Audit Log'!$S$2:$S$2001,$B$4,'Audit Log'!$T$2:$T$2001,"No",'Audit Log'!$C$2:$C$2001,$X237,'Audit Log'!$O$2:$O$2001,"Invalid")</f>
        <v/>
      </c>
      <c r="Z237">
        <f>$Y237+ROW()/100000</f>
        <v/>
      </c>
    </row>
    <row r="238">
      <c r="X238" t="inlineStr">
        <is>
          <t>Laguerta, Jason Palinsad</t>
        </is>
      </c>
      <c r="Y238">
        <f>COUNTIFS('Audit Log'!$B$2:$B$2001,"&gt;="&amp;$B$2,'Audit Log'!$F$2:$F$2001,$B$3,'Audit Log'!$S$2:$S$2001,$B$4,'Audit Log'!$T$2:$T$2001,"No",'Audit Log'!$C$2:$C$2001,$X238,'Audit Log'!$O$2:$O$2001,"Invalid")</f>
        <v/>
      </c>
      <c r="Z238">
        <f>$Y238+ROW()/100000</f>
        <v/>
      </c>
    </row>
    <row r="239">
      <c r="X239" t="inlineStr">
        <is>
          <t>Langcawon, Lary Bagasina</t>
        </is>
      </c>
      <c r="Y239">
        <f>COUNTIFS('Audit Log'!$B$2:$B$2001,"&gt;="&amp;$B$2,'Audit Log'!$F$2:$F$2001,$B$3,'Audit Log'!$S$2:$S$2001,$B$4,'Audit Log'!$T$2:$T$2001,"No",'Audit Log'!$C$2:$C$2001,$X239,'Audit Log'!$O$2:$O$2001,"Invalid")</f>
        <v/>
      </c>
      <c r="Z239">
        <f>$Y239+ROW()/100000</f>
        <v/>
      </c>
    </row>
    <row r="240">
      <c r="X240" t="inlineStr">
        <is>
          <t>Larracas, Bensan Urbi</t>
        </is>
      </c>
      <c r="Y240">
        <f>COUNTIFS('Audit Log'!$B$2:$B$2001,"&gt;="&amp;$B$2,'Audit Log'!$F$2:$F$2001,$B$3,'Audit Log'!$S$2:$S$2001,$B$4,'Audit Log'!$T$2:$T$2001,"No",'Audit Log'!$C$2:$C$2001,$X240,'Audit Log'!$O$2:$O$2001,"Invalid")</f>
        <v/>
      </c>
      <c r="Z240">
        <f>$Y240+ROW()/100000</f>
        <v/>
      </c>
    </row>
    <row r="241">
      <c r="X241" t="inlineStr">
        <is>
          <t>Laurora, Edison Sayson</t>
        </is>
      </c>
      <c r="Y241">
        <f>COUNTIFS('Audit Log'!$B$2:$B$2001,"&gt;="&amp;$B$2,'Audit Log'!$F$2:$F$2001,$B$3,'Audit Log'!$S$2:$S$2001,$B$4,'Audit Log'!$T$2:$T$2001,"No",'Audit Log'!$C$2:$C$2001,$X241,'Audit Log'!$O$2:$O$2001,"Invalid")</f>
        <v/>
      </c>
      <c r="Z241">
        <f>$Y241+ROW()/100000</f>
        <v/>
      </c>
    </row>
    <row r="242">
      <c r="X242" t="inlineStr">
        <is>
          <t>Lavado, Mark Montes</t>
        </is>
      </c>
      <c r="Y242">
        <f>COUNTIFS('Audit Log'!$B$2:$B$2001,"&gt;="&amp;$B$2,'Audit Log'!$F$2:$F$2001,$B$3,'Audit Log'!$S$2:$S$2001,$B$4,'Audit Log'!$T$2:$T$2001,"No",'Audit Log'!$C$2:$C$2001,$X242,'Audit Log'!$O$2:$O$2001,"Invalid")</f>
        <v/>
      </c>
      <c r="Z242">
        <f>$Y242+ROW()/100000</f>
        <v/>
      </c>
    </row>
    <row r="243">
      <c r="X243" t="inlineStr">
        <is>
          <t>Lazaro, Paolo Dennis Hidalgo</t>
        </is>
      </c>
      <c r="Y243">
        <f>COUNTIFS('Audit Log'!$B$2:$B$2001,"&gt;="&amp;$B$2,'Audit Log'!$F$2:$F$2001,$B$3,'Audit Log'!$S$2:$S$2001,$B$4,'Audit Log'!$T$2:$T$2001,"No",'Audit Log'!$C$2:$C$2001,$X243,'Audit Log'!$O$2:$O$2001,"Invalid")</f>
        <v/>
      </c>
      <c r="Z243">
        <f>$Y243+ROW()/100000</f>
        <v/>
      </c>
    </row>
    <row r="244">
      <c r="X244" t="inlineStr">
        <is>
          <t>Lazarte, Marella Rosabelle</t>
        </is>
      </c>
      <c r="Y244">
        <f>COUNTIFS('Audit Log'!$B$2:$B$2001,"&gt;="&amp;$B$2,'Audit Log'!$F$2:$F$2001,$B$3,'Audit Log'!$S$2:$S$2001,$B$4,'Audit Log'!$T$2:$T$2001,"No",'Audit Log'!$C$2:$C$2001,$X244,'Audit Log'!$O$2:$O$2001,"Invalid")</f>
        <v/>
      </c>
      <c r="Z244">
        <f>$Y244+ROW()/100000</f>
        <v/>
      </c>
    </row>
    <row r="245">
      <c r="X245" t="inlineStr">
        <is>
          <t>Licardo, Diana Ann Princess Nmn</t>
        </is>
      </c>
      <c r="Y245">
        <f>COUNTIFS('Audit Log'!$B$2:$B$2001,"&gt;="&amp;$B$2,'Audit Log'!$F$2:$F$2001,$B$3,'Audit Log'!$S$2:$S$2001,$B$4,'Audit Log'!$T$2:$T$2001,"No",'Audit Log'!$C$2:$C$2001,$X245,'Audit Log'!$O$2:$O$2001,"Invalid")</f>
        <v/>
      </c>
      <c r="Z245">
        <f>$Y245+ROW()/100000</f>
        <v/>
      </c>
    </row>
    <row r="246">
      <c r="X246" t="inlineStr">
        <is>
          <t>Lim, Dimple Forte</t>
        </is>
      </c>
      <c r="Y246">
        <f>COUNTIFS('Audit Log'!$B$2:$B$2001,"&gt;="&amp;$B$2,'Audit Log'!$F$2:$F$2001,$B$3,'Audit Log'!$S$2:$S$2001,$B$4,'Audit Log'!$T$2:$T$2001,"No",'Audit Log'!$C$2:$C$2001,$X246,'Audit Log'!$O$2:$O$2001,"Invalid")</f>
        <v/>
      </c>
      <c r="Z246">
        <f>$Y246+ROW()/100000</f>
        <v/>
      </c>
    </row>
    <row r="247">
      <c r="X247" t="inlineStr">
        <is>
          <t>Limatoc, Ahmed Gumaru</t>
        </is>
      </c>
      <c r="Y247">
        <f>COUNTIFS('Audit Log'!$B$2:$B$2001,"&gt;="&amp;$B$2,'Audit Log'!$F$2:$F$2001,$B$3,'Audit Log'!$S$2:$S$2001,$B$4,'Audit Log'!$T$2:$T$2001,"No",'Audit Log'!$C$2:$C$2001,$X247,'Audit Log'!$O$2:$O$2001,"Invalid")</f>
        <v/>
      </c>
      <c r="Z247">
        <f>$Y247+ROW()/100000</f>
        <v/>
      </c>
    </row>
    <row r="248">
      <c r="X248" t="inlineStr">
        <is>
          <t>Limco, Anthony Parcon</t>
        </is>
      </c>
      <c r="Y248">
        <f>COUNTIFS('Audit Log'!$B$2:$B$2001,"&gt;="&amp;$B$2,'Audit Log'!$F$2:$F$2001,$B$3,'Audit Log'!$S$2:$S$2001,$B$4,'Audit Log'!$T$2:$T$2001,"No",'Audit Log'!$C$2:$C$2001,$X248,'Audit Log'!$O$2:$O$2001,"Invalid")</f>
        <v/>
      </c>
      <c r="Z248">
        <f>$Y248+ROW()/100000</f>
        <v/>
      </c>
    </row>
    <row r="249">
      <c r="X249" t="inlineStr">
        <is>
          <t>Lino, Kimberly Laude</t>
        </is>
      </c>
      <c r="Y249">
        <f>COUNTIFS('Audit Log'!$B$2:$B$2001,"&gt;="&amp;$B$2,'Audit Log'!$F$2:$F$2001,$B$3,'Audit Log'!$S$2:$S$2001,$B$4,'Audit Log'!$T$2:$T$2001,"No",'Audit Log'!$C$2:$C$2001,$X249,'Audit Log'!$O$2:$O$2001,"Invalid")</f>
        <v/>
      </c>
      <c r="Z249">
        <f>$Y249+ROW()/100000</f>
        <v/>
      </c>
    </row>
    <row r="250">
      <c r="X250" t="inlineStr">
        <is>
          <t>Llanes, Jocelyn Talastasin</t>
        </is>
      </c>
      <c r="Y250">
        <f>COUNTIFS('Audit Log'!$B$2:$B$2001,"&gt;="&amp;$B$2,'Audit Log'!$F$2:$F$2001,$B$3,'Audit Log'!$S$2:$S$2001,$B$4,'Audit Log'!$T$2:$T$2001,"No",'Audit Log'!$C$2:$C$2001,$X250,'Audit Log'!$O$2:$O$2001,"Invalid")</f>
        <v/>
      </c>
      <c r="Z250">
        <f>$Y250+ROW()/100000</f>
        <v/>
      </c>
    </row>
    <row r="251">
      <c r="X251" t="inlineStr">
        <is>
          <t>Lopez, Melissa Ranola</t>
        </is>
      </c>
      <c r="Y251">
        <f>COUNTIFS('Audit Log'!$B$2:$B$2001,"&gt;="&amp;$B$2,'Audit Log'!$F$2:$F$2001,$B$3,'Audit Log'!$S$2:$S$2001,$B$4,'Audit Log'!$T$2:$T$2001,"No",'Audit Log'!$C$2:$C$2001,$X251,'Audit Log'!$O$2:$O$2001,"Invalid")</f>
        <v/>
      </c>
      <c r="Z251">
        <f>$Y251+ROW()/100000</f>
        <v/>
      </c>
    </row>
    <row r="252">
      <c r="X252" t="inlineStr">
        <is>
          <t>Lorenzo, Catherine Molina</t>
        </is>
      </c>
      <c r="Y252">
        <f>COUNTIFS('Audit Log'!$B$2:$B$2001,"&gt;="&amp;$B$2,'Audit Log'!$F$2:$F$2001,$B$3,'Audit Log'!$S$2:$S$2001,$B$4,'Audit Log'!$T$2:$T$2001,"No",'Audit Log'!$C$2:$C$2001,$X252,'Audit Log'!$O$2:$O$2001,"Invalid")</f>
        <v/>
      </c>
      <c r="Z252">
        <f>$Y252+ROW()/100000</f>
        <v/>
      </c>
    </row>
    <row r="253">
      <c r="X253" t="inlineStr">
        <is>
          <t>Lorenzo, Frederick John Taruc</t>
        </is>
      </c>
      <c r="Y253">
        <f>COUNTIFS('Audit Log'!$B$2:$B$2001,"&gt;="&amp;$B$2,'Audit Log'!$F$2:$F$2001,$B$3,'Audit Log'!$S$2:$S$2001,$B$4,'Audit Log'!$T$2:$T$2001,"No",'Audit Log'!$C$2:$C$2001,$X253,'Audit Log'!$O$2:$O$2001,"Invalid")</f>
        <v/>
      </c>
      <c r="Z253">
        <f>$Y253+ROW()/100000</f>
        <v/>
      </c>
    </row>
    <row r="254">
      <c r="X254" t="inlineStr">
        <is>
          <t>Lorico, Audreen Delasan</t>
        </is>
      </c>
      <c r="Y254">
        <f>COUNTIFS('Audit Log'!$B$2:$B$2001,"&gt;="&amp;$B$2,'Audit Log'!$F$2:$F$2001,$B$3,'Audit Log'!$S$2:$S$2001,$B$4,'Audit Log'!$T$2:$T$2001,"No",'Audit Log'!$C$2:$C$2001,$X254,'Audit Log'!$O$2:$O$2001,"Invalid")</f>
        <v/>
      </c>
      <c r="Z254">
        <f>$Y254+ROW()/100000</f>
        <v/>
      </c>
    </row>
    <row r="255">
      <c r="X255" t="inlineStr">
        <is>
          <t>Lungcay, Robin Landayan</t>
        </is>
      </c>
      <c r="Y255">
        <f>COUNTIFS('Audit Log'!$B$2:$B$2001,"&gt;="&amp;$B$2,'Audit Log'!$F$2:$F$2001,$B$3,'Audit Log'!$S$2:$S$2001,$B$4,'Audit Log'!$T$2:$T$2001,"No",'Audit Log'!$C$2:$C$2001,$X255,'Audit Log'!$O$2:$O$2001,"Invalid")</f>
        <v/>
      </c>
      <c r="Z255">
        <f>$Y255+ROW()/100000</f>
        <v/>
      </c>
    </row>
    <row r="256">
      <c r="X256" t="inlineStr">
        <is>
          <t>Luñiza, Jona Claveria</t>
        </is>
      </c>
      <c r="Y256">
        <f>COUNTIFS('Audit Log'!$B$2:$B$2001,"&gt;="&amp;$B$2,'Audit Log'!$F$2:$F$2001,$B$3,'Audit Log'!$S$2:$S$2001,$B$4,'Audit Log'!$T$2:$T$2001,"No",'Audit Log'!$C$2:$C$2001,$X256,'Audit Log'!$O$2:$O$2001,"Invalid")</f>
        <v/>
      </c>
      <c r="Z256">
        <f>$Y256+ROW()/100000</f>
        <v/>
      </c>
    </row>
    <row r="257">
      <c r="X257" t="inlineStr">
        <is>
          <t>Mabansag, Jr Nmn</t>
        </is>
      </c>
      <c r="Y257">
        <f>COUNTIFS('Audit Log'!$B$2:$B$2001,"&gt;="&amp;$B$2,'Audit Log'!$F$2:$F$2001,$B$3,'Audit Log'!$S$2:$S$2001,$B$4,'Audit Log'!$T$2:$T$2001,"No",'Audit Log'!$C$2:$C$2001,$X257,'Audit Log'!$O$2:$O$2001,"Invalid")</f>
        <v/>
      </c>
      <c r="Z257">
        <f>$Y257+ROW()/100000</f>
        <v/>
      </c>
    </row>
    <row r="258">
      <c r="X258" t="inlineStr">
        <is>
          <t>Macalino, Jesus Finchley Estrella</t>
        </is>
      </c>
      <c r="Y258">
        <f>COUNTIFS('Audit Log'!$B$2:$B$2001,"&gt;="&amp;$B$2,'Audit Log'!$F$2:$F$2001,$B$3,'Audit Log'!$S$2:$S$2001,$B$4,'Audit Log'!$T$2:$T$2001,"No",'Audit Log'!$C$2:$C$2001,$X258,'Audit Log'!$O$2:$O$2001,"Invalid")</f>
        <v/>
      </c>
      <c r="Z258">
        <f>$Y258+ROW()/100000</f>
        <v/>
      </c>
    </row>
    <row r="259">
      <c r="X259" t="inlineStr">
        <is>
          <t>Macaranas, Juvilyn Uy</t>
        </is>
      </c>
      <c r="Y259">
        <f>COUNTIFS('Audit Log'!$B$2:$B$2001,"&gt;="&amp;$B$2,'Audit Log'!$F$2:$F$2001,$B$3,'Audit Log'!$S$2:$S$2001,$B$4,'Audit Log'!$T$2:$T$2001,"No",'Audit Log'!$C$2:$C$2001,$X259,'Audit Log'!$O$2:$O$2001,"Invalid")</f>
        <v/>
      </c>
      <c r="Z259">
        <f>$Y259+ROW()/100000</f>
        <v/>
      </c>
    </row>
    <row r="260">
      <c r="X260" t="inlineStr">
        <is>
          <t>Madronio, Nikki Loreane Quitorio</t>
        </is>
      </c>
      <c r="Y260">
        <f>COUNTIFS('Audit Log'!$B$2:$B$2001,"&gt;="&amp;$B$2,'Audit Log'!$F$2:$F$2001,$B$3,'Audit Log'!$S$2:$S$2001,$B$4,'Audit Log'!$T$2:$T$2001,"No",'Audit Log'!$C$2:$C$2001,$X260,'Audit Log'!$O$2:$O$2001,"Invalid")</f>
        <v/>
      </c>
      <c r="Z260">
        <f>$Y260+ROW()/100000</f>
        <v/>
      </c>
    </row>
    <row r="261">
      <c r="X261" t="inlineStr">
        <is>
          <t>Magante, Percival Matining</t>
        </is>
      </c>
      <c r="Y261">
        <f>COUNTIFS('Audit Log'!$B$2:$B$2001,"&gt;="&amp;$B$2,'Audit Log'!$F$2:$F$2001,$B$3,'Audit Log'!$S$2:$S$2001,$B$4,'Audit Log'!$T$2:$T$2001,"No",'Audit Log'!$C$2:$C$2001,$X261,'Audit Log'!$O$2:$O$2001,"Invalid")</f>
        <v/>
      </c>
      <c r="Z261">
        <f>$Y261+ROW()/100000</f>
        <v/>
      </c>
    </row>
    <row r="262">
      <c r="X262" t="inlineStr">
        <is>
          <t>Mago, Lhynter Jade Masas</t>
        </is>
      </c>
      <c r="Y262">
        <f>COUNTIFS('Audit Log'!$B$2:$B$2001,"&gt;="&amp;$B$2,'Audit Log'!$F$2:$F$2001,$B$3,'Audit Log'!$S$2:$S$2001,$B$4,'Audit Log'!$T$2:$T$2001,"No",'Audit Log'!$C$2:$C$2001,$X262,'Audit Log'!$O$2:$O$2001,"Invalid")</f>
        <v/>
      </c>
      <c r="Z262">
        <f>$Y262+ROW()/100000</f>
        <v/>
      </c>
    </row>
    <row r="263">
      <c r="X263" t="inlineStr">
        <is>
          <t>Malabao, Khayla Mindo</t>
        </is>
      </c>
      <c r="Y263">
        <f>COUNTIFS('Audit Log'!$B$2:$B$2001,"&gt;="&amp;$B$2,'Audit Log'!$F$2:$F$2001,$B$3,'Audit Log'!$S$2:$S$2001,$B$4,'Audit Log'!$T$2:$T$2001,"No",'Audit Log'!$C$2:$C$2001,$X263,'Audit Log'!$O$2:$O$2001,"Invalid")</f>
        <v/>
      </c>
      <c r="Z263">
        <f>$Y263+ROW()/100000</f>
        <v/>
      </c>
    </row>
    <row r="264">
      <c r="X264" t="inlineStr">
        <is>
          <t>Malapitan, Maureen Viena Nicole Calimlim</t>
        </is>
      </c>
      <c r="Y264">
        <f>COUNTIFS('Audit Log'!$B$2:$B$2001,"&gt;="&amp;$B$2,'Audit Log'!$F$2:$F$2001,$B$3,'Audit Log'!$S$2:$S$2001,$B$4,'Audit Log'!$T$2:$T$2001,"No",'Audit Log'!$C$2:$C$2001,$X264,'Audit Log'!$O$2:$O$2001,"Invalid")</f>
        <v/>
      </c>
      <c r="Z264">
        <f>$Y264+ROW()/100000</f>
        <v/>
      </c>
    </row>
    <row r="265">
      <c r="X265" t="inlineStr">
        <is>
          <t>Malate, Jinky La Torre</t>
        </is>
      </c>
      <c r="Y265">
        <f>COUNTIFS('Audit Log'!$B$2:$B$2001,"&gt;="&amp;$B$2,'Audit Log'!$F$2:$F$2001,$B$3,'Audit Log'!$S$2:$S$2001,$B$4,'Audit Log'!$T$2:$T$2001,"No",'Audit Log'!$C$2:$C$2001,$X265,'Audit Log'!$O$2:$O$2001,"Invalid")</f>
        <v/>
      </c>
      <c r="Z265">
        <f>$Y265+ROW()/100000</f>
        <v/>
      </c>
    </row>
    <row r="266">
      <c r="X266" t="inlineStr">
        <is>
          <t>Malazarte, Paul Joshua Rivera</t>
        </is>
      </c>
      <c r="Y266">
        <f>COUNTIFS('Audit Log'!$B$2:$B$2001,"&gt;="&amp;$B$2,'Audit Log'!$F$2:$F$2001,$B$3,'Audit Log'!$S$2:$S$2001,$B$4,'Audit Log'!$T$2:$T$2001,"No",'Audit Log'!$C$2:$C$2001,$X266,'Audit Log'!$O$2:$O$2001,"Invalid")</f>
        <v/>
      </c>
      <c r="Z266">
        <f>$Y266+ROW()/100000</f>
        <v/>
      </c>
    </row>
    <row r="267">
      <c r="X267" t="inlineStr">
        <is>
          <t>Manas, Maricar Dela Cruz</t>
        </is>
      </c>
      <c r="Y267">
        <f>COUNTIFS('Audit Log'!$B$2:$B$2001,"&gt;="&amp;$B$2,'Audit Log'!$F$2:$F$2001,$B$3,'Audit Log'!$S$2:$S$2001,$B$4,'Audit Log'!$T$2:$T$2001,"No",'Audit Log'!$C$2:$C$2001,$X267,'Audit Log'!$O$2:$O$2001,"Invalid")</f>
        <v/>
      </c>
      <c r="Z267">
        <f>$Y267+ROW()/100000</f>
        <v/>
      </c>
    </row>
    <row r="268">
      <c r="X268" t="inlineStr">
        <is>
          <t>Manatad, Jifferson Espelita</t>
        </is>
      </c>
      <c r="Y268">
        <f>COUNTIFS('Audit Log'!$B$2:$B$2001,"&gt;="&amp;$B$2,'Audit Log'!$F$2:$F$2001,$B$3,'Audit Log'!$S$2:$S$2001,$B$4,'Audit Log'!$T$2:$T$2001,"No",'Audit Log'!$C$2:$C$2001,$X268,'Audit Log'!$O$2:$O$2001,"Invalid")</f>
        <v/>
      </c>
      <c r="Z268">
        <f>$Y268+ROW()/100000</f>
        <v/>
      </c>
    </row>
    <row r="269">
      <c r="X269" t="inlineStr">
        <is>
          <t>Maneja, Francess Laurent Famorcan</t>
        </is>
      </c>
      <c r="Y269">
        <f>COUNTIFS('Audit Log'!$B$2:$B$2001,"&gt;="&amp;$B$2,'Audit Log'!$F$2:$F$2001,$B$3,'Audit Log'!$S$2:$S$2001,$B$4,'Audit Log'!$T$2:$T$2001,"No",'Audit Log'!$C$2:$C$2001,$X269,'Audit Log'!$O$2:$O$2001,"Invalid")</f>
        <v/>
      </c>
      <c r="Z269">
        <f>$Y269+ROW()/100000</f>
        <v/>
      </c>
    </row>
    <row r="270">
      <c r="X270" t="inlineStr">
        <is>
          <t>Mangsat, Bryan Mosarbas</t>
        </is>
      </c>
      <c r="Y270">
        <f>COUNTIFS('Audit Log'!$B$2:$B$2001,"&gt;="&amp;$B$2,'Audit Log'!$F$2:$F$2001,$B$3,'Audit Log'!$S$2:$S$2001,$B$4,'Audit Log'!$T$2:$T$2001,"No",'Audit Log'!$C$2:$C$2001,$X270,'Audit Log'!$O$2:$O$2001,"Invalid")</f>
        <v/>
      </c>
      <c r="Z270">
        <f>$Y270+ROW()/100000</f>
        <v/>
      </c>
    </row>
    <row r="271">
      <c r="X271" t="inlineStr">
        <is>
          <t>Manlutac, Francis Karl Serrano</t>
        </is>
      </c>
      <c r="Y271">
        <f>COUNTIFS('Audit Log'!$B$2:$B$2001,"&gt;="&amp;$B$2,'Audit Log'!$F$2:$F$2001,$B$3,'Audit Log'!$S$2:$S$2001,$B$4,'Audit Log'!$T$2:$T$2001,"No",'Audit Log'!$C$2:$C$2001,$X271,'Audit Log'!$O$2:$O$2001,"Invalid")</f>
        <v/>
      </c>
      <c r="Z271">
        <f>$Y271+ROW()/100000</f>
        <v/>
      </c>
    </row>
    <row r="272">
      <c r="X272" t="inlineStr">
        <is>
          <t>Marigsa, Evangeline Mariano</t>
        </is>
      </c>
      <c r="Y272">
        <f>COUNTIFS('Audit Log'!$B$2:$B$2001,"&gt;="&amp;$B$2,'Audit Log'!$F$2:$F$2001,$B$3,'Audit Log'!$S$2:$S$2001,$B$4,'Audit Log'!$T$2:$T$2001,"No",'Audit Log'!$C$2:$C$2001,$X272,'Audit Log'!$O$2:$O$2001,"Invalid")</f>
        <v/>
      </c>
      <c r="Z272">
        <f>$Y272+ROW()/100000</f>
        <v/>
      </c>
    </row>
    <row r="273">
      <c r="X273" t="inlineStr">
        <is>
          <t>Marquez, Ana Margareth Floranza</t>
        </is>
      </c>
      <c r="Y273">
        <f>COUNTIFS('Audit Log'!$B$2:$B$2001,"&gt;="&amp;$B$2,'Audit Log'!$F$2:$F$2001,$B$3,'Audit Log'!$S$2:$S$2001,$B$4,'Audit Log'!$T$2:$T$2001,"No",'Audit Log'!$C$2:$C$2001,$X273,'Audit Log'!$O$2:$O$2001,"Invalid")</f>
        <v/>
      </c>
      <c r="Z273">
        <f>$Y273+ROW()/100000</f>
        <v/>
      </c>
    </row>
    <row r="274">
      <c r="X274" t="inlineStr">
        <is>
          <t>Marquez, Noby De Guzman</t>
        </is>
      </c>
      <c r="Y274">
        <f>COUNTIFS('Audit Log'!$B$2:$B$2001,"&gt;="&amp;$B$2,'Audit Log'!$F$2:$F$2001,$B$3,'Audit Log'!$S$2:$S$2001,$B$4,'Audit Log'!$T$2:$T$2001,"No",'Audit Log'!$C$2:$C$2001,$X274,'Audit Log'!$O$2:$O$2001,"Invalid")</f>
        <v/>
      </c>
      <c r="Z274">
        <f>$Y274+ROW()/100000</f>
        <v/>
      </c>
    </row>
    <row r="275">
      <c r="X275" t="inlineStr">
        <is>
          <t>Martinez, Jean - Spyros Valera</t>
        </is>
      </c>
      <c r="Y275">
        <f>COUNTIFS('Audit Log'!$B$2:$B$2001,"&gt;="&amp;$B$2,'Audit Log'!$F$2:$F$2001,$B$3,'Audit Log'!$S$2:$S$2001,$B$4,'Audit Log'!$T$2:$T$2001,"No",'Audit Log'!$C$2:$C$2001,$X275,'Audit Log'!$O$2:$O$2001,"Invalid")</f>
        <v/>
      </c>
      <c r="Z275">
        <f>$Y275+ROW()/100000</f>
        <v/>
      </c>
    </row>
    <row r="276">
      <c r="X276" t="inlineStr">
        <is>
          <t>Marundan, Jefferson Davis Serenas</t>
        </is>
      </c>
      <c r="Y276">
        <f>COUNTIFS('Audit Log'!$B$2:$B$2001,"&gt;="&amp;$B$2,'Audit Log'!$F$2:$F$2001,$B$3,'Audit Log'!$S$2:$S$2001,$B$4,'Audit Log'!$T$2:$T$2001,"No",'Audit Log'!$C$2:$C$2001,$X276,'Audit Log'!$O$2:$O$2001,"Invalid")</f>
        <v/>
      </c>
      <c r="Z276">
        <f>$Y276+ROW()/100000</f>
        <v/>
      </c>
    </row>
    <row r="277">
      <c r="X277" t="inlineStr">
        <is>
          <t>Masagnay, Antonio Gustilo</t>
        </is>
      </c>
      <c r="Y277">
        <f>COUNTIFS('Audit Log'!$B$2:$B$2001,"&gt;="&amp;$B$2,'Audit Log'!$F$2:$F$2001,$B$3,'Audit Log'!$S$2:$S$2001,$B$4,'Audit Log'!$T$2:$T$2001,"No",'Audit Log'!$C$2:$C$2001,$X277,'Audit Log'!$O$2:$O$2001,"Invalid")</f>
        <v/>
      </c>
      <c r="Z277">
        <f>$Y277+ROW()/100000</f>
        <v/>
      </c>
    </row>
    <row r="278">
      <c r="X278" t="inlineStr">
        <is>
          <t>Mateo, Arian Clements</t>
        </is>
      </c>
      <c r="Y278">
        <f>COUNTIFS('Audit Log'!$B$2:$B$2001,"&gt;="&amp;$B$2,'Audit Log'!$F$2:$F$2001,$B$3,'Audit Log'!$S$2:$S$2001,$B$4,'Audit Log'!$T$2:$T$2001,"No",'Audit Log'!$C$2:$C$2001,$X278,'Audit Log'!$O$2:$O$2001,"Invalid")</f>
        <v/>
      </c>
      <c r="Z278">
        <f>$Y278+ROW()/100000</f>
        <v/>
      </c>
    </row>
    <row r="279">
      <c r="X279" t="inlineStr">
        <is>
          <t>Matre, Ma. Lorita Magluyan</t>
        </is>
      </c>
      <c r="Y279">
        <f>COUNTIFS('Audit Log'!$B$2:$B$2001,"&gt;="&amp;$B$2,'Audit Log'!$F$2:$F$2001,$B$3,'Audit Log'!$S$2:$S$2001,$B$4,'Audit Log'!$T$2:$T$2001,"No",'Audit Log'!$C$2:$C$2001,$X279,'Audit Log'!$O$2:$O$2001,"Invalid")</f>
        <v/>
      </c>
      <c r="Z279">
        <f>$Y279+ROW()/100000</f>
        <v/>
      </c>
    </row>
    <row r="280">
      <c r="X280" t="inlineStr">
        <is>
          <t>Matugas, Prince Rhafael Tapales</t>
        </is>
      </c>
      <c r="Y280">
        <f>COUNTIFS('Audit Log'!$B$2:$B$2001,"&gt;="&amp;$B$2,'Audit Log'!$F$2:$F$2001,$B$3,'Audit Log'!$S$2:$S$2001,$B$4,'Audit Log'!$T$2:$T$2001,"No",'Audit Log'!$C$2:$C$2001,$X280,'Audit Log'!$O$2:$O$2001,"Invalid")</f>
        <v/>
      </c>
      <c r="Z280">
        <f>$Y280+ROW()/100000</f>
        <v/>
      </c>
    </row>
    <row r="281">
      <c r="X281" t="inlineStr">
        <is>
          <t>Mayor, Anna Marie Andrade</t>
        </is>
      </c>
      <c r="Y281">
        <f>COUNTIFS('Audit Log'!$B$2:$B$2001,"&gt;="&amp;$B$2,'Audit Log'!$F$2:$F$2001,$B$3,'Audit Log'!$S$2:$S$2001,$B$4,'Audit Log'!$T$2:$T$2001,"No",'Audit Log'!$C$2:$C$2001,$X281,'Audit Log'!$O$2:$O$2001,"Invalid")</f>
        <v/>
      </c>
      <c r="Z281">
        <f>$Y281+ROW()/100000</f>
        <v/>
      </c>
    </row>
    <row r="282">
      <c r="X282" t="inlineStr">
        <is>
          <t>Mecate, Precious Mharl Bibat</t>
        </is>
      </c>
      <c r="Y282">
        <f>COUNTIFS('Audit Log'!$B$2:$B$2001,"&gt;="&amp;$B$2,'Audit Log'!$F$2:$F$2001,$B$3,'Audit Log'!$S$2:$S$2001,$B$4,'Audit Log'!$T$2:$T$2001,"No",'Audit Log'!$C$2:$C$2001,$X282,'Audit Log'!$O$2:$O$2001,"Invalid")</f>
        <v/>
      </c>
      <c r="Z282">
        <f>$Y282+ROW()/100000</f>
        <v/>
      </c>
    </row>
    <row r="283">
      <c r="X283" t="inlineStr">
        <is>
          <t>Medel, Lorelei Gabriel</t>
        </is>
      </c>
      <c r="Y283">
        <f>COUNTIFS('Audit Log'!$B$2:$B$2001,"&gt;="&amp;$B$2,'Audit Log'!$F$2:$F$2001,$B$3,'Audit Log'!$S$2:$S$2001,$B$4,'Audit Log'!$T$2:$T$2001,"No",'Audit Log'!$C$2:$C$2001,$X283,'Audit Log'!$O$2:$O$2001,"Invalid")</f>
        <v/>
      </c>
      <c r="Z283">
        <f>$Y283+ROW()/100000</f>
        <v/>
      </c>
    </row>
    <row r="284">
      <c r="X284" t="inlineStr">
        <is>
          <t>Medillo, Hersy Eunice Teodoro</t>
        </is>
      </c>
      <c r="Y284">
        <f>COUNTIFS('Audit Log'!$B$2:$B$2001,"&gt;="&amp;$B$2,'Audit Log'!$F$2:$F$2001,$B$3,'Audit Log'!$S$2:$S$2001,$B$4,'Audit Log'!$T$2:$T$2001,"No",'Audit Log'!$C$2:$C$2001,$X284,'Audit Log'!$O$2:$O$2001,"Invalid")</f>
        <v/>
      </c>
      <c r="Z284">
        <f>$Y284+ROW()/100000</f>
        <v/>
      </c>
    </row>
    <row r="285">
      <c r="X285" t="inlineStr">
        <is>
          <t>Medina, John Benedict Dizon</t>
        </is>
      </c>
      <c r="Y285">
        <f>COUNTIFS('Audit Log'!$B$2:$B$2001,"&gt;="&amp;$B$2,'Audit Log'!$F$2:$F$2001,$B$3,'Audit Log'!$S$2:$S$2001,$B$4,'Audit Log'!$T$2:$T$2001,"No",'Audit Log'!$C$2:$C$2001,$X285,'Audit Log'!$O$2:$O$2001,"Invalid")</f>
        <v/>
      </c>
      <c r="Z285">
        <f>$Y285+ROW()/100000</f>
        <v/>
      </c>
    </row>
    <row r="286">
      <c r="X286" t="inlineStr">
        <is>
          <t>Medina, Julius Cesar Dela Cruz</t>
        </is>
      </c>
      <c r="Y286">
        <f>COUNTIFS('Audit Log'!$B$2:$B$2001,"&gt;="&amp;$B$2,'Audit Log'!$F$2:$F$2001,$B$3,'Audit Log'!$S$2:$S$2001,$B$4,'Audit Log'!$T$2:$T$2001,"No",'Audit Log'!$C$2:$C$2001,$X286,'Audit Log'!$O$2:$O$2001,"Invalid")</f>
        <v/>
      </c>
      <c r="Z286">
        <f>$Y286+ROW()/100000</f>
        <v/>
      </c>
    </row>
    <row r="287">
      <c r="X287" t="inlineStr">
        <is>
          <t>Melchor, Yudenne Ramos</t>
        </is>
      </c>
      <c r="Y287">
        <f>COUNTIFS('Audit Log'!$B$2:$B$2001,"&gt;="&amp;$B$2,'Audit Log'!$F$2:$F$2001,$B$3,'Audit Log'!$S$2:$S$2001,$B$4,'Audit Log'!$T$2:$T$2001,"No",'Audit Log'!$C$2:$C$2001,$X287,'Audit Log'!$O$2:$O$2001,"Invalid")</f>
        <v/>
      </c>
      <c r="Z287">
        <f>$Y287+ROW()/100000</f>
        <v/>
      </c>
    </row>
    <row r="288">
      <c r="X288" t="inlineStr">
        <is>
          <t>Mendez, Justine Reign Navarro</t>
        </is>
      </c>
      <c r="Y288">
        <f>COUNTIFS('Audit Log'!$B$2:$B$2001,"&gt;="&amp;$B$2,'Audit Log'!$F$2:$F$2001,$B$3,'Audit Log'!$S$2:$S$2001,$B$4,'Audit Log'!$T$2:$T$2001,"No",'Audit Log'!$C$2:$C$2001,$X288,'Audit Log'!$O$2:$O$2001,"Invalid")</f>
        <v/>
      </c>
      <c r="Z288">
        <f>$Y288+ROW()/100000</f>
        <v/>
      </c>
    </row>
    <row r="289">
      <c r="X289" t="inlineStr">
        <is>
          <t>Mendoza, Aaron Paul Nmn</t>
        </is>
      </c>
      <c r="Y289">
        <f>COUNTIFS('Audit Log'!$B$2:$B$2001,"&gt;="&amp;$B$2,'Audit Log'!$F$2:$F$2001,$B$3,'Audit Log'!$S$2:$S$2001,$B$4,'Audit Log'!$T$2:$T$2001,"No",'Audit Log'!$C$2:$C$2001,$X289,'Audit Log'!$O$2:$O$2001,"Invalid")</f>
        <v/>
      </c>
      <c r="Z289">
        <f>$Y289+ROW()/100000</f>
        <v/>
      </c>
    </row>
    <row r="290">
      <c r="X290" t="inlineStr">
        <is>
          <t>Mendoza, Angeline Nmn</t>
        </is>
      </c>
      <c r="Y290">
        <f>COUNTIFS('Audit Log'!$B$2:$B$2001,"&gt;="&amp;$B$2,'Audit Log'!$F$2:$F$2001,$B$3,'Audit Log'!$S$2:$S$2001,$B$4,'Audit Log'!$T$2:$T$2001,"No",'Audit Log'!$C$2:$C$2001,$X290,'Audit Log'!$O$2:$O$2001,"Invalid")</f>
        <v/>
      </c>
      <c r="Z290">
        <f>$Y290+ROW()/100000</f>
        <v/>
      </c>
    </row>
    <row r="291">
      <c r="X291" t="inlineStr">
        <is>
          <t>Mendoza, Daisy Lim</t>
        </is>
      </c>
      <c r="Y291">
        <f>COUNTIFS('Audit Log'!$B$2:$B$2001,"&gt;="&amp;$B$2,'Audit Log'!$F$2:$F$2001,$B$3,'Audit Log'!$S$2:$S$2001,$B$4,'Audit Log'!$T$2:$T$2001,"No",'Audit Log'!$C$2:$C$2001,$X291,'Audit Log'!$O$2:$O$2001,"Invalid")</f>
        <v/>
      </c>
      <c r="Z291">
        <f>$Y291+ROW()/100000</f>
        <v/>
      </c>
    </row>
    <row r="292">
      <c r="X292" t="inlineStr">
        <is>
          <t>Mendoza, Luigi Garganta</t>
        </is>
      </c>
      <c r="Y292">
        <f>COUNTIFS('Audit Log'!$B$2:$B$2001,"&gt;="&amp;$B$2,'Audit Log'!$F$2:$F$2001,$B$3,'Audit Log'!$S$2:$S$2001,$B$4,'Audit Log'!$T$2:$T$2001,"No",'Audit Log'!$C$2:$C$2001,$X292,'Audit Log'!$O$2:$O$2001,"Invalid")</f>
        <v/>
      </c>
      <c r="Z292">
        <f>$Y292+ROW()/100000</f>
        <v/>
      </c>
    </row>
    <row r="293">
      <c r="X293" t="inlineStr">
        <is>
          <t>Mendoza, Ronel Balorio</t>
        </is>
      </c>
      <c r="Y293">
        <f>COUNTIFS('Audit Log'!$B$2:$B$2001,"&gt;="&amp;$B$2,'Audit Log'!$F$2:$F$2001,$B$3,'Audit Log'!$S$2:$S$2001,$B$4,'Audit Log'!$T$2:$T$2001,"No",'Audit Log'!$C$2:$C$2001,$X293,'Audit Log'!$O$2:$O$2001,"Invalid")</f>
        <v/>
      </c>
      <c r="Z293">
        <f>$Y293+ROW()/100000</f>
        <v/>
      </c>
    </row>
    <row r="294">
      <c r="X294" t="inlineStr">
        <is>
          <t>Meniano, Jonel Yepez</t>
        </is>
      </c>
      <c r="Y294">
        <f>COUNTIFS('Audit Log'!$B$2:$B$2001,"&gt;="&amp;$B$2,'Audit Log'!$F$2:$F$2001,$B$3,'Audit Log'!$S$2:$S$2001,$B$4,'Audit Log'!$T$2:$T$2001,"No",'Audit Log'!$C$2:$C$2001,$X294,'Audit Log'!$O$2:$O$2001,"Invalid")</f>
        <v/>
      </c>
      <c r="Z294">
        <f>$Y294+ROW()/100000</f>
        <v/>
      </c>
    </row>
    <row r="295">
      <c r="X295" t="inlineStr">
        <is>
          <t>Mercado, Noly Dela Rosa</t>
        </is>
      </c>
      <c r="Y295">
        <f>COUNTIFS('Audit Log'!$B$2:$B$2001,"&gt;="&amp;$B$2,'Audit Log'!$F$2:$F$2001,$B$3,'Audit Log'!$S$2:$S$2001,$B$4,'Audit Log'!$T$2:$T$2001,"No",'Audit Log'!$C$2:$C$2001,$X295,'Audit Log'!$O$2:$O$2001,"Invalid")</f>
        <v/>
      </c>
      <c r="Z295">
        <f>$Y295+ROW()/100000</f>
        <v/>
      </c>
    </row>
    <row r="296">
      <c r="X296" t="inlineStr">
        <is>
          <t>Momo, Rechelle Taghoy</t>
        </is>
      </c>
      <c r="Y296">
        <f>COUNTIFS('Audit Log'!$B$2:$B$2001,"&gt;="&amp;$B$2,'Audit Log'!$F$2:$F$2001,$B$3,'Audit Log'!$S$2:$S$2001,$B$4,'Audit Log'!$T$2:$T$2001,"No",'Audit Log'!$C$2:$C$2001,$X296,'Audit Log'!$O$2:$O$2001,"Invalid")</f>
        <v/>
      </c>
      <c r="Z296">
        <f>$Y296+ROW()/100000</f>
        <v/>
      </c>
    </row>
    <row r="297">
      <c r="X297" t="inlineStr">
        <is>
          <t>Munoz, Sheilick Anne Ang</t>
        </is>
      </c>
      <c r="Y297">
        <f>COUNTIFS('Audit Log'!$B$2:$B$2001,"&gt;="&amp;$B$2,'Audit Log'!$F$2:$F$2001,$B$3,'Audit Log'!$S$2:$S$2001,$B$4,'Audit Log'!$T$2:$T$2001,"No",'Audit Log'!$C$2:$C$2001,$X297,'Audit Log'!$O$2:$O$2001,"Invalid")</f>
        <v/>
      </c>
      <c r="Z297">
        <f>$Y297+ROW()/100000</f>
        <v/>
      </c>
    </row>
    <row r="298">
      <c r="X298" t="inlineStr">
        <is>
          <t>Nacion, Justin Dale N/A</t>
        </is>
      </c>
      <c r="Y298">
        <f>COUNTIFS('Audit Log'!$B$2:$B$2001,"&gt;="&amp;$B$2,'Audit Log'!$F$2:$F$2001,$B$3,'Audit Log'!$S$2:$S$2001,$B$4,'Audit Log'!$T$2:$T$2001,"No",'Audit Log'!$C$2:$C$2001,$X298,'Audit Log'!$O$2:$O$2001,"Invalid")</f>
        <v/>
      </c>
      <c r="Z298">
        <f>$Y298+ROW()/100000</f>
        <v/>
      </c>
    </row>
    <row r="299">
      <c r="X299" t="inlineStr">
        <is>
          <t>Nalangan, Raquel Baloran</t>
        </is>
      </c>
      <c r="Y299">
        <f>COUNTIFS('Audit Log'!$B$2:$B$2001,"&gt;="&amp;$B$2,'Audit Log'!$F$2:$F$2001,$B$3,'Audit Log'!$S$2:$S$2001,$B$4,'Audit Log'!$T$2:$T$2001,"No",'Audit Log'!$C$2:$C$2001,$X299,'Audit Log'!$O$2:$O$2001,"Invalid")</f>
        <v/>
      </c>
      <c r="Z299">
        <f>$Y299+ROW()/100000</f>
        <v/>
      </c>
    </row>
    <row r="300">
      <c r="X300" t="inlineStr">
        <is>
          <t>Narvaza, Hazel Ann Sanchez</t>
        </is>
      </c>
      <c r="Y300">
        <f>COUNTIFS('Audit Log'!$B$2:$B$2001,"&gt;="&amp;$B$2,'Audit Log'!$F$2:$F$2001,$B$3,'Audit Log'!$S$2:$S$2001,$B$4,'Audit Log'!$T$2:$T$2001,"No",'Audit Log'!$C$2:$C$2001,$X300,'Audit Log'!$O$2:$O$2001,"Invalid")</f>
        <v/>
      </c>
      <c r="Z300">
        <f>$Y300+ROW()/100000</f>
        <v/>
      </c>
    </row>
    <row r="301">
      <c r="X301" t="inlineStr">
        <is>
          <t>Nava, Robert Jason Flores</t>
        </is>
      </c>
      <c r="Y301">
        <f>COUNTIFS('Audit Log'!$B$2:$B$2001,"&gt;="&amp;$B$2,'Audit Log'!$F$2:$F$2001,$B$3,'Audit Log'!$S$2:$S$2001,$B$4,'Audit Log'!$T$2:$T$2001,"No",'Audit Log'!$C$2:$C$2001,$X301,'Audit Log'!$O$2:$O$2001,"Invalid")</f>
        <v/>
      </c>
      <c r="Z301">
        <f>$Y301+ROW()/100000</f>
        <v/>
      </c>
    </row>
    <row r="302">
      <c r="X302" t="inlineStr">
        <is>
          <t>Nicolas, Adah Zipporah Fidel</t>
        </is>
      </c>
      <c r="Y302">
        <f>COUNTIFS('Audit Log'!$B$2:$B$2001,"&gt;="&amp;$B$2,'Audit Log'!$F$2:$F$2001,$B$3,'Audit Log'!$S$2:$S$2001,$B$4,'Audit Log'!$T$2:$T$2001,"No",'Audit Log'!$C$2:$C$2001,$X302,'Audit Log'!$O$2:$O$2001,"Invalid")</f>
        <v/>
      </c>
      <c r="Z302">
        <f>$Y302+ROW()/100000</f>
        <v/>
      </c>
    </row>
    <row r="303">
      <c r="X303" t="inlineStr">
        <is>
          <t>Nieva, Karla Louisa Escobar</t>
        </is>
      </c>
      <c r="Y303">
        <f>COUNTIFS('Audit Log'!$B$2:$B$2001,"&gt;="&amp;$B$2,'Audit Log'!$F$2:$F$2001,$B$3,'Audit Log'!$S$2:$S$2001,$B$4,'Audit Log'!$T$2:$T$2001,"No",'Audit Log'!$C$2:$C$2001,$X303,'Audit Log'!$O$2:$O$2001,"Invalid")</f>
        <v/>
      </c>
      <c r="Z303">
        <f>$Y303+ROW()/100000</f>
        <v/>
      </c>
    </row>
    <row r="304">
      <c r="X304" t="inlineStr">
        <is>
          <t>Nito, Reynaldo Tribol</t>
        </is>
      </c>
      <c r="Y304">
        <f>COUNTIFS('Audit Log'!$B$2:$B$2001,"&gt;="&amp;$B$2,'Audit Log'!$F$2:$F$2001,$B$3,'Audit Log'!$S$2:$S$2001,$B$4,'Audit Log'!$T$2:$T$2001,"No",'Audit Log'!$C$2:$C$2001,$X304,'Audit Log'!$O$2:$O$2001,"Invalid")</f>
        <v/>
      </c>
      <c r="Z304">
        <f>$Y304+ROW()/100000</f>
        <v/>
      </c>
    </row>
    <row r="305">
      <c r="X305" t="inlineStr">
        <is>
          <t>Nomo, Mildred Pantaleon</t>
        </is>
      </c>
      <c r="Y305">
        <f>COUNTIFS('Audit Log'!$B$2:$B$2001,"&gt;="&amp;$B$2,'Audit Log'!$F$2:$F$2001,$B$3,'Audit Log'!$S$2:$S$2001,$B$4,'Audit Log'!$T$2:$T$2001,"No",'Audit Log'!$C$2:$C$2001,$X305,'Audit Log'!$O$2:$O$2001,"Invalid")</f>
        <v/>
      </c>
      <c r="Z305">
        <f>$Y305+ROW()/100000</f>
        <v/>
      </c>
    </row>
    <row r="306">
      <c r="X306" t="inlineStr">
        <is>
          <t>Novales, Angelo Carlo Santiago</t>
        </is>
      </c>
      <c r="Y306">
        <f>COUNTIFS('Audit Log'!$B$2:$B$2001,"&gt;="&amp;$B$2,'Audit Log'!$F$2:$F$2001,$B$3,'Audit Log'!$S$2:$S$2001,$B$4,'Audit Log'!$T$2:$T$2001,"No",'Audit Log'!$C$2:$C$2001,$X306,'Audit Log'!$O$2:$O$2001,"Invalid")</f>
        <v/>
      </c>
      <c r="Z306">
        <f>$Y306+ROW()/100000</f>
        <v/>
      </c>
    </row>
    <row r="307">
      <c r="X307" t="inlineStr">
        <is>
          <t>Novallasca, Princess Marjhurie Liñga</t>
        </is>
      </c>
      <c r="Y307">
        <f>COUNTIFS('Audit Log'!$B$2:$B$2001,"&gt;="&amp;$B$2,'Audit Log'!$F$2:$F$2001,$B$3,'Audit Log'!$S$2:$S$2001,$B$4,'Audit Log'!$T$2:$T$2001,"No",'Audit Log'!$C$2:$C$2001,$X307,'Audit Log'!$O$2:$O$2001,"Invalid")</f>
        <v/>
      </c>
      <c r="Z307">
        <f>$Y307+ROW()/100000</f>
        <v/>
      </c>
    </row>
    <row r="308">
      <c r="X308" t="inlineStr">
        <is>
          <t>Obispo, Gibraltar Dimal</t>
        </is>
      </c>
      <c r="Y308">
        <f>COUNTIFS('Audit Log'!$B$2:$B$2001,"&gt;="&amp;$B$2,'Audit Log'!$F$2:$F$2001,$B$3,'Audit Log'!$S$2:$S$2001,$B$4,'Audit Log'!$T$2:$T$2001,"No",'Audit Log'!$C$2:$C$2001,$X308,'Audit Log'!$O$2:$O$2001,"Invalid")</f>
        <v/>
      </c>
      <c r="Z308">
        <f>$Y308+ROW()/100000</f>
        <v/>
      </c>
    </row>
    <row r="309">
      <c r="X309" t="inlineStr">
        <is>
          <t>Ocampo, Kimberly Jhoy Almare</t>
        </is>
      </c>
      <c r="Y309">
        <f>COUNTIFS('Audit Log'!$B$2:$B$2001,"&gt;="&amp;$B$2,'Audit Log'!$F$2:$F$2001,$B$3,'Audit Log'!$S$2:$S$2001,$B$4,'Audit Log'!$T$2:$T$2001,"No",'Audit Log'!$C$2:$C$2001,$X309,'Audit Log'!$O$2:$O$2001,"Invalid")</f>
        <v/>
      </c>
      <c r="Z309">
        <f>$Y309+ROW()/100000</f>
        <v/>
      </c>
    </row>
    <row r="310">
      <c r="X310" t="inlineStr">
        <is>
          <t>Ocampo, Lorraine Marasigan</t>
        </is>
      </c>
      <c r="Y310">
        <f>COUNTIFS('Audit Log'!$B$2:$B$2001,"&gt;="&amp;$B$2,'Audit Log'!$F$2:$F$2001,$B$3,'Audit Log'!$S$2:$S$2001,$B$4,'Audit Log'!$T$2:$T$2001,"No",'Audit Log'!$C$2:$C$2001,$X310,'Audit Log'!$O$2:$O$2001,"Invalid")</f>
        <v/>
      </c>
      <c r="Z310">
        <f>$Y310+ROW()/100000</f>
        <v/>
      </c>
    </row>
    <row r="311">
      <c r="X311" t="inlineStr">
        <is>
          <t>Ochea, Kim Vergel Niño Bensi</t>
        </is>
      </c>
      <c r="Y311">
        <f>COUNTIFS('Audit Log'!$B$2:$B$2001,"&gt;="&amp;$B$2,'Audit Log'!$F$2:$F$2001,$B$3,'Audit Log'!$S$2:$S$2001,$B$4,'Audit Log'!$T$2:$T$2001,"No",'Audit Log'!$C$2:$C$2001,$X311,'Audit Log'!$O$2:$O$2001,"Invalid")</f>
        <v/>
      </c>
      <c r="Z311">
        <f>$Y311+ROW()/100000</f>
        <v/>
      </c>
    </row>
    <row r="312">
      <c r="X312" t="inlineStr">
        <is>
          <t>Olaes, Angelito Intal</t>
        </is>
      </c>
      <c r="Y312">
        <f>COUNTIFS('Audit Log'!$B$2:$B$2001,"&gt;="&amp;$B$2,'Audit Log'!$F$2:$F$2001,$B$3,'Audit Log'!$S$2:$S$2001,$B$4,'Audit Log'!$T$2:$T$2001,"No",'Audit Log'!$C$2:$C$2001,$X312,'Audit Log'!$O$2:$O$2001,"Invalid")</f>
        <v/>
      </c>
      <c r="Z312">
        <f>$Y312+ROW()/100000</f>
        <v/>
      </c>
    </row>
    <row r="313">
      <c r="X313" t="inlineStr">
        <is>
          <t>Olegario, Allan Christian De Guzman</t>
        </is>
      </c>
      <c r="Y313">
        <f>COUNTIFS('Audit Log'!$B$2:$B$2001,"&gt;="&amp;$B$2,'Audit Log'!$F$2:$F$2001,$B$3,'Audit Log'!$S$2:$S$2001,$B$4,'Audit Log'!$T$2:$T$2001,"No",'Audit Log'!$C$2:$C$2001,$X313,'Audit Log'!$O$2:$O$2001,"Invalid")</f>
        <v/>
      </c>
      <c r="Z313">
        <f>$Y313+ROW()/100000</f>
        <v/>
      </c>
    </row>
    <row r="314">
      <c r="X314" t="inlineStr">
        <is>
          <t>Olivares, Marco Latorre</t>
        </is>
      </c>
      <c r="Y314">
        <f>COUNTIFS('Audit Log'!$B$2:$B$2001,"&gt;="&amp;$B$2,'Audit Log'!$F$2:$F$2001,$B$3,'Audit Log'!$S$2:$S$2001,$B$4,'Audit Log'!$T$2:$T$2001,"No",'Audit Log'!$C$2:$C$2001,$X314,'Audit Log'!$O$2:$O$2001,"Invalid")</f>
        <v/>
      </c>
      <c r="Z314">
        <f>$Y314+ROW()/100000</f>
        <v/>
      </c>
    </row>
    <row r="315">
      <c r="X315" t="inlineStr">
        <is>
          <t>Ong, Lesley Ann Bayotas</t>
        </is>
      </c>
      <c r="Y315">
        <f>COUNTIFS('Audit Log'!$B$2:$B$2001,"&gt;="&amp;$B$2,'Audit Log'!$F$2:$F$2001,$B$3,'Audit Log'!$S$2:$S$2001,$B$4,'Audit Log'!$T$2:$T$2001,"No",'Audit Log'!$C$2:$C$2001,$X315,'Audit Log'!$O$2:$O$2001,"Invalid")</f>
        <v/>
      </c>
      <c r="Z315">
        <f>$Y315+ROW()/100000</f>
        <v/>
      </c>
    </row>
    <row r="316">
      <c r="X316" t="inlineStr">
        <is>
          <t>Ongpao, Maria Nina Resurrecion</t>
        </is>
      </c>
      <c r="Y316">
        <f>COUNTIFS('Audit Log'!$B$2:$B$2001,"&gt;="&amp;$B$2,'Audit Log'!$F$2:$F$2001,$B$3,'Audit Log'!$S$2:$S$2001,$B$4,'Audit Log'!$T$2:$T$2001,"No",'Audit Log'!$C$2:$C$2001,$X316,'Audit Log'!$O$2:$O$2001,"Invalid")</f>
        <v/>
      </c>
      <c r="Z316">
        <f>$Y316+ROW()/100000</f>
        <v/>
      </c>
    </row>
    <row r="317">
      <c r="X317" t="inlineStr">
        <is>
          <t>Onquit, Leah Berio</t>
        </is>
      </c>
      <c r="Y317">
        <f>COUNTIFS('Audit Log'!$B$2:$B$2001,"&gt;="&amp;$B$2,'Audit Log'!$F$2:$F$2001,$B$3,'Audit Log'!$S$2:$S$2001,$B$4,'Audit Log'!$T$2:$T$2001,"No",'Audit Log'!$C$2:$C$2001,$X317,'Audit Log'!$O$2:$O$2001,"Invalid")</f>
        <v/>
      </c>
      <c r="Z317">
        <f>$Y317+ROW()/100000</f>
        <v/>
      </c>
    </row>
    <row r="318">
      <c r="X318" t="inlineStr">
        <is>
          <t>Ordaveza, Juan Pablo Perez</t>
        </is>
      </c>
      <c r="Y318">
        <f>COUNTIFS('Audit Log'!$B$2:$B$2001,"&gt;="&amp;$B$2,'Audit Log'!$F$2:$F$2001,$B$3,'Audit Log'!$S$2:$S$2001,$B$4,'Audit Log'!$T$2:$T$2001,"No",'Audit Log'!$C$2:$C$2001,$X318,'Audit Log'!$O$2:$O$2001,"Invalid")</f>
        <v/>
      </c>
      <c r="Z318">
        <f>$Y318+ROW()/100000</f>
        <v/>
      </c>
    </row>
    <row r="319">
      <c r="X319" t="inlineStr">
        <is>
          <t>Owera, Justine Louis Jamili</t>
        </is>
      </c>
      <c r="Y319">
        <f>COUNTIFS('Audit Log'!$B$2:$B$2001,"&gt;="&amp;$B$2,'Audit Log'!$F$2:$F$2001,$B$3,'Audit Log'!$S$2:$S$2001,$B$4,'Audit Log'!$T$2:$T$2001,"No",'Audit Log'!$C$2:$C$2001,$X319,'Audit Log'!$O$2:$O$2001,"Invalid")</f>
        <v/>
      </c>
      <c r="Z319">
        <f>$Y319+ROW()/100000</f>
        <v/>
      </c>
    </row>
    <row r="320">
      <c r="X320" t="inlineStr">
        <is>
          <t>Oñate, Carla Kate Anore</t>
        </is>
      </c>
      <c r="Y320">
        <f>COUNTIFS('Audit Log'!$B$2:$B$2001,"&gt;="&amp;$B$2,'Audit Log'!$F$2:$F$2001,$B$3,'Audit Log'!$S$2:$S$2001,$B$4,'Audit Log'!$T$2:$T$2001,"No",'Audit Log'!$C$2:$C$2001,$X320,'Audit Log'!$O$2:$O$2001,"Invalid")</f>
        <v/>
      </c>
      <c r="Z320">
        <f>$Y320+ROW()/100000</f>
        <v/>
      </c>
    </row>
    <row r="321">
      <c r="X321" t="inlineStr">
        <is>
          <t>Pabalate, Cristy Baclay</t>
        </is>
      </c>
      <c r="Y321">
        <f>COUNTIFS('Audit Log'!$B$2:$B$2001,"&gt;="&amp;$B$2,'Audit Log'!$F$2:$F$2001,$B$3,'Audit Log'!$S$2:$S$2001,$B$4,'Audit Log'!$T$2:$T$2001,"No",'Audit Log'!$C$2:$C$2001,$X321,'Audit Log'!$O$2:$O$2001,"Invalid")</f>
        <v/>
      </c>
      <c r="Z321">
        <f>$Y321+ROW()/100000</f>
        <v/>
      </c>
    </row>
    <row r="322">
      <c r="X322" t="inlineStr">
        <is>
          <t>Paciencia, Ruelyn Joy Bugo</t>
        </is>
      </c>
      <c r="Y322">
        <f>COUNTIFS('Audit Log'!$B$2:$B$2001,"&gt;="&amp;$B$2,'Audit Log'!$F$2:$F$2001,$B$3,'Audit Log'!$S$2:$S$2001,$B$4,'Audit Log'!$T$2:$T$2001,"No",'Audit Log'!$C$2:$C$2001,$X322,'Audit Log'!$O$2:$O$2001,"Invalid")</f>
        <v/>
      </c>
      <c r="Z322">
        <f>$Y322+ROW()/100000</f>
        <v/>
      </c>
    </row>
    <row r="323">
      <c r="X323" t="inlineStr">
        <is>
          <t>Paculba, Princess Joy Martus</t>
        </is>
      </c>
      <c r="Y323">
        <f>COUNTIFS('Audit Log'!$B$2:$B$2001,"&gt;="&amp;$B$2,'Audit Log'!$F$2:$F$2001,$B$3,'Audit Log'!$S$2:$S$2001,$B$4,'Audit Log'!$T$2:$T$2001,"No",'Audit Log'!$C$2:$C$2001,$X323,'Audit Log'!$O$2:$O$2001,"Invalid")</f>
        <v/>
      </c>
      <c r="Z323">
        <f>$Y323+ROW()/100000</f>
        <v/>
      </c>
    </row>
    <row r="324">
      <c r="X324" t="inlineStr">
        <is>
          <t>Padasas, Tristan Jay Singson</t>
        </is>
      </c>
      <c r="Y324">
        <f>COUNTIFS('Audit Log'!$B$2:$B$2001,"&gt;="&amp;$B$2,'Audit Log'!$F$2:$F$2001,$B$3,'Audit Log'!$S$2:$S$2001,$B$4,'Audit Log'!$T$2:$T$2001,"No",'Audit Log'!$C$2:$C$2001,$X324,'Audit Log'!$O$2:$O$2001,"Invalid")</f>
        <v/>
      </c>
      <c r="Z324">
        <f>$Y324+ROW()/100000</f>
        <v/>
      </c>
    </row>
    <row r="325">
      <c r="X325" t="inlineStr">
        <is>
          <t>Padaya, Attina Reccie Ban</t>
        </is>
      </c>
      <c r="Y325">
        <f>COUNTIFS('Audit Log'!$B$2:$B$2001,"&gt;="&amp;$B$2,'Audit Log'!$F$2:$F$2001,$B$3,'Audit Log'!$S$2:$S$2001,$B$4,'Audit Log'!$T$2:$T$2001,"No",'Audit Log'!$C$2:$C$2001,$X325,'Audit Log'!$O$2:$O$2001,"Invalid")</f>
        <v/>
      </c>
      <c r="Z325">
        <f>$Y325+ROW()/100000</f>
        <v/>
      </c>
    </row>
    <row r="326">
      <c r="X326" t="inlineStr">
        <is>
          <t>Padilla, Mia Cassandra Molina</t>
        </is>
      </c>
      <c r="Y326">
        <f>COUNTIFS('Audit Log'!$B$2:$B$2001,"&gt;="&amp;$B$2,'Audit Log'!$F$2:$F$2001,$B$3,'Audit Log'!$S$2:$S$2001,$B$4,'Audit Log'!$T$2:$T$2001,"No",'Audit Log'!$C$2:$C$2001,$X326,'Audit Log'!$O$2:$O$2001,"Invalid")</f>
        <v/>
      </c>
      <c r="Z326">
        <f>$Y326+ROW()/100000</f>
        <v/>
      </c>
    </row>
    <row r="327">
      <c r="X327" t="inlineStr">
        <is>
          <t>Padilla, Noelito Miranda</t>
        </is>
      </c>
      <c r="Y327">
        <f>COUNTIFS('Audit Log'!$B$2:$B$2001,"&gt;="&amp;$B$2,'Audit Log'!$F$2:$F$2001,$B$3,'Audit Log'!$S$2:$S$2001,$B$4,'Audit Log'!$T$2:$T$2001,"No",'Audit Log'!$C$2:$C$2001,$X327,'Audit Log'!$O$2:$O$2001,"Invalid")</f>
        <v/>
      </c>
      <c r="Z327">
        <f>$Y327+ROW()/100000</f>
        <v/>
      </c>
    </row>
    <row r="328">
      <c r="X328" t="inlineStr">
        <is>
          <t>Pagaduan, Shellae Macabinguel</t>
        </is>
      </c>
      <c r="Y328">
        <f>COUNTIFS('Audit Log'!$B$2:$B$2001,"&gt;="&amp;$B$2,'Audit Log'!$F$2:$F$2001,$B$3,'Audit Log'!$S$2:$S$2001,$B$4,'Audit Log'!$T$2:$T$2001,"No",'Audit Log'!$C$2:$C$2001,$X328,'Audit Log'!$O$2:$O$2001,"Invalid")</f>
        <v/>
      </c>
      <c r="Z328">
        <f>$Y328+ROW()/100000</f>
        <v/>
      </c>
    </row>
    <row r="329">
      <c r="X329" t="inlineStr">
        <is>
          <t>Paite, Steve Alejandro Zamora</t>
        </is>
      </c>
      <c r="Y329">
        <f>COUNTIFS('Audit Log'!$B$2:$B$2001,"&gt;="&amp;$B$2,'Audit Log'!$F$2:$F$2001,$B$3,'Audit Log'!$S$2:$S$2001,$B$4,'Audit Log'!$T$2:$T$2001,"No",'Audit Log'!$C$2:$C$2001,$X329,'Audit Log'!$O$2:$O$2001,"Invalid")</f>
        <v/>
      </c>
      <c r="Z329">
        <f>$Y329+ROW()/100000</f>
        <v/>
      </c>
    </row>
    <row r="330">
      <c r="X330" t="inlineStr">
        <is>
          <t>Pajanustan, Angelica Macato</t>
        </is>
      </c>
      <c r="Y330">
        <f>COUNTIFS('Audit Log'!$B$2:$B$2001,"&gt;="&amp;$B$2,'Audit Log'!$F$2:$F$2001,$B$3,'Audit Log'!$S$2:$S$2001,$B$4,'Audit Log'!$T$2:$T$2001,"No",'Audit Log'!$C$2:$C$2001,$X330,'Audit Log'!$O$2:$O$2001,"Invalid")</f>
        <v/>
      </c>
      <c r="Z330">
        <f>$Y330+ROW()/100000</f>
        <v/>
      </c>
    </row>
    <row r="331">
      <c r="X331" t="inlineStr">
        <is>
          <t>Panti, Alger Arellano</t>
        </is>
      </c>
      <c r="Y331">
        <f>COUNTIFS('Audit Log'!$B$2:$B$2001,"&gt;="&amp;$B$2,'Audit Log'!$F$2:$F$2001,$B$3,'Audit Log'!$S$2:$S$2001,$B$4,'Audit Log'!$T$2:$T$2001,"No",'Audit Log'!$C$2:$C$2001,$X331,'Audit Log'!$O$2:$O$2001,"Invalid")</f>
        <v/>
      </c>
      <c r="Z331">
        <f>$Y331+ROW()/100000</f>
        <v/>
      </c>
    </row>
    <row r="332">
      <c r="X332" t="inlineStr">
        <is>
          <t>Papa, Marcelino Niog</t>
        </is>
      </c>
      <c r="Y332">
        <f>COUNTIFS('Audit Log'!$B$2:$B$2001,"&gt;="&amp;$B$2,'Audit Log'!$F$2:$F$2001,$B$3,'Audit Log'!$S$2:$S$2001,$B$4,'Audit Log'!$T$2:$T$2001,"No",'Audit Log'!$C$2:$C$2001,$X332,'Audit Log'!$O$2:$O$2001,"Invalid")</f>
        <v/>
      </c>
      <c r="Z332">
        <f>$Y332+ROW()/100000</f>
        <v/>
      </c>
    </row>
    <row r="333">
      <c r="X333" t="inlineStr">
        <is>
          <t>Paredes, Christian Denuyo</t>
        </is>
      </c>
      <c r="Y333">
        <f>COUNTIFS('Audit Log'!$B$2:$B$2001,"&gt;="&amp;$B$2,'Audit Log'!$F$2:$F$2001,$B$3,'Audit Log'!$S$2:$S$2001,$B$4,'Audit Log'!$T$2:$T$2001,"No",'Audit Log'!$C$2:$C$2001,$X333,'Audit Log'!$O$2:$O$2001,"Invalid")</f>
        <v/>
      </c>
      <c r="Z333">
        <f>$Y333+ROW()/100000</f>
        <v/>
      </c>
    </row>
    <row r="334">
      <c r="X334" t="inlineStr">
        <is>
          <t>Parro, Jonnah Mae Salcedo</t>
        </is>
      </c>
      <c r="Y334">
        <f>COUNTIFS('Audit Log'!$B$2:$B$2001,"&gt;="&amp;$B$2,'Audit Log'!$F$2:$F$2001,$B$3,'Audit Log'!$S$2:$S$2001,$B$4,'Audit Log'!$T$2:$T$2001,"No",'Audit Log'!$C$2:$C$2001,$X334,'Audit Log'!$O$2:$O$2001,"Invalid")</f>
        <v/>
      </c>
      <c r="Z334">
        <f>$Y334+ROW()/100000</f>
        <v/>
      </c>
    </row>
    <row r="335">
      <c r="X335" t="inlineStr">
        <is>
          <t>Pasion, Ma. Andrea Apolinario</t>
        </is>
      </c>
      <c r="Y335">
        <f>COUNTIFS('Audit Log'!$B$2:$B$2001,"&gt;="&amp;$B$2,'Audit Log'!$F$2:$F$2001,$B$3,'Audit Log'!$S$2:$S$2001,$B$4,'Audit Log'!$T$2:$T$2001,"No",'Audit Log'!$C$2:$C$2001,$X335,'Audit Log'!$O$2:$O$2001,"Invalid")</f>
        <v/>
      </c>
      <c r="Z335">
        <f>$Y335+ROW()/100000</f>
        <v/>
      </c>
    </row>
    <row r="336">
      <c r="X336" t="inlineStr">
        <is>
          <t>Paulino, Joselito Kamantigue</t>
        </is>
      </c>
      <c r="Y336">
        <f>COUNTIFS('Audit Log'!$B$2:$B$2001,"&gt;="&amp;$B$2,'Audit Log'!$F$2:$F$2001,$B$3,'Audit Log'!$S$2:$S$2001,$B$4,'Audit Log'!$T$2:$T$2001,"No",'Audit Log'!$C$2:$C$2001,$X336,'Audit Log'!$O$2:$O$2001,"Invalid")</f>
        <v/>
      </c>
      <c r="Z336">
        <f>$Y336+ROW()/100000</f>
        <v/>
      </c>
    </row>
    <row r="337">
      <c r="X337" t="inlineStr">
        <is>
          <t>Paulo, Jescy Frances Dumagpi</t>
        </is>
      </c>
      <c r="Y337">
        <f>COUNTIFS('Audit Log'!$B$2:$B$2001,"&gt;="&amp;$B$2,'Audit Log'!$F$2:$F$2001,$B$3,'Audit Log'!$S$2:$S$2001,$B$4,'Audit Log'!$T$2:$T$2001,"No",'Audit Log'!$C$2:$C$2001,$X337,'Audit Log'!$O$2:$O$2001,"Invalid")</f>
        <v/>
      </c>
      <c r="Z337">
        <f>$Y337+ROW()/100000</f>
        <v/>
      </c>
    </row>
    <row r="338">
      <c r="X338" t="inlineStr">
        <is>
          <t>Paz, Ryan Ubalde</t>
        </is>
      </c>
      <c r="Y338">
        <f>COUNTIFS('Audit Log'!$B$2:$B$2001,"&gt;="&amp;$B$2,'Audit Log'!$F$2:$F$2001,$B$3,'Audit Log'!$S$2:$S$2001,$B$4,'Audit Log'!$T$2:$T$2001,"No",'Audit Log'!$C$2:$C$2001,$X338,'Audit Log'!$O$2:$O$2001,"Invalid")</f>
        <v/>
      </c>
      <c r="Z338">
        <f>$Y338+ROW()/100000</f>
        <v/>
      </c>
    </row>
    <row r="339">
      <c r="X339" t="inlineStr">
        <is>
          <t>Pedro, Charmaine Montiadora</t>
        </is>
      </c>
      <c r="Y339">
        <f>COUNTIFS('Audit Log'!$B$2:$B$2001,"&gt;="&amp;$B$2,'Audit Log'!$F$2:$F$2001,$B$3,'Audit Log'!$S$2:$S$2001,$B$4,'Audit Log'!$T$2:$T$2001,"No",'Audit Log'!$C$2:$C$2001,$X339,'Audit Log'!$O$2:$O$2001,"Invalid")</f>
        <v/>
      </c>
      <c r="Z339">
        <f>$Y339+ROW()/100000</f>
        <v/>
      </c>
    </row>
    <row r="340">
      <c r="X340" t="inlineStr">
        <is>
          <t>Perdon, Carolene Marzan</t>
        </is>
      </c>
      <c r="Y340">
        <f>COUNTIFS('Audit Log'!$B$2:$B$2001,"&gt;="&amp;$B$2,'Audit Log'!$F$2:$F$2001,$B$3,'Audit Log'!$S$2:$S$2001,$B$4,'Audit Log'!$T$2:$T$2001,"No",'Audit Log'!$C$2:$C$2001,$X340,'Audit Log'!$O$2:$O$2001,"Invalid")</f>
        <v/>
      </c>
      <c r="Z340">
        <f>$Y340+ROW()/100000</f>
        <v/>
      </c>
    </row>
    <row r="341">
      <c r="X341" t="inlineStr">
        <is>
          <t>Petallar, Clifford Estrada</t>
        </is>
      </c>
      <c r="Y341">
        <f>COUNTIFS('Audit Log'!$B$2:$B$2001,"&gt;="&amp;$B$2,'Audit Log'!$F$2:$F$2001,$B$3,'Audit Log'!$S$2:$S$2001,$B$4,'Audit Log'!$T$2:$T$2001,"No",'Audit Log'!$C$2:$C$2001,$X341,'Audit Log'!$O$2:$O$2001,"Invalid")</f>
        <v/>
      </c>
      <c r="Z341">
        <f>$Y341+ROW()/100000</f>
        <v/>
      </c>
    </row>
    <row r="342">
      <c r="X342" t="inlineStr">
        <is>
          <t>Pielago, Pamela Faye Pascual</t>
        </is>
      </c>
      <c r="Y342">
        <f>COUNTIFS('Audit Log'!$B$2:$B$2001,"&gt;="&amp;$B$2,'Audit Log'!$F$2:$F$2001,$B$3,'Audit Log'!$S$2:$S$2001,$B$4,'Audit Log'!$T$2:$T$2001,"No",'Audit Log'!$C$2:$C$2001,$X342,'Audit Log'!$O$2:$O$2001,"Invalid")</f>
        <v/>
      </c>
      <c r="Z342">
        <f>$Y342+ROW()/100000</f>
        <v/>
      </c>
    </row>
    <row r="343">
      <c r="X343" t="inlineStr">
        <is>
          <t>Pila, Christian Caron</t>
        </is>
      </c>
      <c r="Y343">
        <f>COUNTIFS('Audit Log'!$B$2:$B$2001,"&gt;="&amp;$B$2,'Audit Log'!$F$2:$F$2001,$B$3,'Audit Log'!$S$2:$S$2001,$B$4,'Audit Log'!$T$2:$T$2001,"No",'Audit Log'!$C$2:$C$2001,$X343,'Audit Log'!$O$2:$O$2001,"Invalid")</f>
        <v/>
      </c>
      <c r="Z343">
        <f>$Y343+ROW()/100000</f>
        <v/>
      </c>
    </row>
    <row r="344">
      <c r="X344" t="inlineStr">
        <is>
          <t>Pila, John Robert Cabarles</t>
        </is>
      </c>
      <c r="Y344">
        <f>COUNTIFS('Audit Log'!$B$2:$B$2001,"&gt;="&amp;$B$2,'Audit Log'!$F$2:$F$2001,$B$3,'Audit Log'!$S$2:$S$2001,$B$4,'Audit Log'!$T$2:$T$2001,"No",'Audit Log'!$C$2:$C$2001,$X344,'Audit Log'!$O$2:$O$2001,"Invalid")</f>
        <v/>
      </c>
      <c r="Z344">
        <f>$Y344+ROW()/100000</f>
        <v/>
      </c>
    </row>
    <row r="345">
      <c r="X345" t="inlineStr">
        <is>
          <t>Pilar, Gino Ryan Prospero</t>
        </is>
      </c>
      <c r="Y345">
        <f>COUNTIFS('Audit Log'!$B$2:$B$2001,"&gt;="&amp;$B$2,'Audit Log'!$F$2:$F$2001,$B$3,'Audit Log'!$S$2:$S$2001,$B$4,'Audit Log'!$T$2:$T$2001,"No",'Audit Log'!$C$2:$C$2001,$X345,'Audit Log'!$O$2:$O$2001,"Invalid")</f>
        <v/>
      </c>
      <c r="Z345">
        <f>$Y345+ROW()/100000</f>
        <v/>
      </c>
    </row>
    <row r="346">
      <c r="X346" t="inlineStr">
        <is>
          <t>Pineda, Gerald Christian Bo</t>
        </is>
      </c>
      <c r="Y346">
        <f>COUNTIFS('Audit Log'!$B$2:$B$2001,"&gt;="&amp;$B$2,'Audit Log'!$F$2:$F$2001,$B$3,'Audit Log'!$S$2:$S$2001,$B$4,'Audit Log'!$T$2:$T$2001,"No",'Audit Log'!$C$2:$C$2001,$X346,'Audit Log'!$O$2:$O$2001,"Invalid")</f>
        <v/>
      </c>
      <c r="Z346">
        <f>$Y346+ROW()/100000</f>
        <v/>
      </c>
    </row>
    <row r="347">
      <c r="X347" t="inlineStr">
        <is>
          <t>Piquero, Jessah Macabodbod</t>
        </is>
      </c>
      <c r="Y347">
        <f>COUNTIFS('Audit Log'!$B$2:$B$2001,"&gt;="&amp;$B$2,'Audit Log'!$F$2:$F$2001,$B$3,'Audit Log'!$S$2:$S$2001,$B$4,'Audit Log'!$T$2:$T$2001,"No",'Audit Log'!$C$2:$C$2001,$X347,'Audit Log'!$O$2:$O$2001,"Invalid")</f>
        <v/>
      </c>
      <c r="Z347">
        <f>$Y347+ROW()/100000</f>
        <v/>
      </c>
    </row>
    <row r="348">
      <c r="X348" t="inlineStr">
        <is>
          <t>Plopenio, Romelyn Cordis</t>
        </is>
      </c>
      <c r="Y348">
        <f>COUNTIFS('Audit Log'!$B$2:$B$2001,"&gt;="&amp;$B$2,'Audit Log'!$F$2:$F$2001,$B$3,'Audit Log'!$S$2:$S$2001,$B$4,'Audit Log'!$T$2:$T$2001,"No",'Audit Log'!$C$2:$C$2001,$X348,'Audit Log'!$O$2:$O$2001,"Invalid")</f>
        <v/>
      </c>
      <c r="Z348">
        <f>$Y348+ROW()/100000</f>
        <v/>
      </c>
    </row>
    <row r="349">
      <c r="X349" t="inlineStr">
        <is>
          <t>Poon, Aris Sobrevilla</t>
        </is>
      </c>
      <c r="Y349">
        <f>COUNTIFS('Audit Log'!$B$2:$B$2001,"&gt;="&amp;$B$2,'Audit Log'!$F$2:$F$2001,$B$3,'Audit Log'!$S$2:$S$2001,$B$4,'Audit Log'!$T$2:$T$2001,"No",'Audit Log'!$C$2:$C$2001,$X349,'Audit Log'!$O$2:$O$2001,"Invalid")</f>
        <v/>
      </c>
      <c r="Z349">
        <f>$Y349+ROW()/100000</f>
        <v/>
      </c>
    </row>
    <row r="350">
      <c r="X350" t="inlineStr">
        <is>
          <t>Porcalla, John Alfred Tabucol</t>
        </is>
      </c>
      <c r="Y350">
        <f>COUNTIFS('Audit Log'!$B$2:$B$2001,"&gt;="&amp;$B$2,'Audit Log'!$F$2:$F$2001,$B$3,'Audit Log'!$S$2:$S$2001,$B$4,'Audit Log'!$T$2:$T$2001,"No",'Audit Log'!$C$2:$C$2001,$X350,'Audit Log'!$O$2:$O$2001,"Invalid")</f>
        <v/>
      </c>
      <c r="Z350">
        <f>$Y350+ROW()/100000</f>
        <v/>
      </c>
    </row>
    <row r="351">
      <c r="X351" t="inlineStr">
        <is>
          <t>Presado, Darlene Lozano</t>
        </is>
      </c>
      <c r="Y351">
        <f>COUNTIFS('Audit Log'!$B$2:$B$2001,"&gt;="&amp;$B$2,'Audit Log'!$F$2:$F$2001,$B$3,'Audit Log'!$S$2:$S$2001,$B$4,'Audit Log'!$T$2:$T$2001,"No",'Audit Log'!$C$2:$C$2001,$X351,'Audit Log'!$O$2:$O$2001,"Invalid")</f>
        <v/>
      </c>
      <c r="Z351">
        <f>$Y351+ROW()/100000</f>
        <v/>
      </c>
    </row>
    <row r="352">
      <c r="X352" t="inlineStr">
        <is>
          <t>Principe, Aubrey Aquino</t>
        </is>
      </c>
      <c r="Y352">
        <f>COUNTIFS('Audit Log'!$B$2:$B$2001,"&gt;="&amp;$B$2,'Audit Log'!$F$2:$F$2001,$B$3,'Audit Log'!$S$2:$S$2001,$B$4,'Audit Log'!$T$2:$T$2001,"No",'Audit Log'!$C$2:$C$2001,$X352,'Audit Log'!$O$2:$O$2001,"Invalid")</f>
        <v/>
      </c>
      <c r="Z352">
        <f>$Y352+ROW()/100000</f>
        <v/>
      </c>
    </row>
    <row r="353">
      <c r="X353" t="inlineStr">
        <is>
          <t>Puerta, Jeffrey Tenorio</t>
        </is>
      </c>
      <c r="Y353">
        <f>COUNTIFS('Audit Log'!$B$2:$B$2001,"&gt;="&amp;$B$2,'Audit Log'!$F$2:$F$2001,$B$3,'Audit Log'!$S$2:$S$2001,$B$4,'Audit Log'!$T$2:$T$2001,"No",'Audit Log'!$C$2:$C$2001,$X353,'Audit Log'!$O$2:$O$2001,"Invalid")</f>
        <v/>
      </c>
      <c r="Z353">
        <f>$Y353+ROW()/100000</f>
        <v/>
      </c>
    </row>
    <row r="354">
      <c r="X354" t="inlineStr">
        <is>
          <t>Puno, Jerminia Dela Cruz</t>
        </is>
      </c>
      <c r="Y354">
        <f>COUNTIFS('Audit Log'!$B$2:$B$2001,"&gt;="&amp;$B$2,'Audit Log'!$F$2:$F$2001,$B$3,'Audit Log'!$S$2:$S$2001,$B$4,'Audit Log'!$T$2:$T$2001,"No",'Audit Log'!$C$2:$C$2001,$X354,'Audit Log'!$O$2:$O$2001,"Invalid")</f>
        <v/>
      </c>
      <c r="Z354">
        <f>$Y354+ROW()/100000</f>
        <v/>
      </c>
    </row>
    <row r="355">
      <c r="X355" t="inlineStr">
        <is>
          <t>Quiachon, Mhojarie Tano</t>
        </is>
      </c>
      <c r="Y355">
        <f>COUNTIFS('Audit Log'!$B$2:$B$2001,"&gt;="&amp;$B$2,'Audit Log'!$F$2:$F$2001,$B$3,'Audit Log'!$S$2:$S$2001,$B$4,'Audit Log'!$T$2:$T$2001,"No",'Audit Log'!$C$2:$C$2001,$X355,'Audit Log'!$O$2:$O$2001,"Invalid")</f>
        <v/>
      </c>
      <c r="Z355">
        <f>$Y355+ROW()/100000</f>
        <v/>
      </c>
    </row>
    <row r="356">
      <c r="X356" t="inlineStr">
        <is>
          <t>Quino, Mark Genesis Bautista</t>
        </is>
      </c>
      <c r="Y356">
        <f>COUNTIFS('Audit Log'!$B$2:$B$2001,"&gt;="&amp;$B$2,'Audit Log'!$F$2:$F$2001,$B$3,'Audit Log'!$S$2:$S$2001,$B$4,'Audit Log'!$T$2:$T$2001,"No",'Audit Log'!$C$2:$C$2001,$X356,'Audit Log'!$O$2:$O$2001,"Invalid")</f>
        <v/>
      </c>
      <c r="Z356">
        <f>$Y356+ROW()/100000</f>
        <v/>
      </c>
    </row>
    <row r="357">
      <c r="X357" t="inlineStr">
        <is>
          <t>Quintana, Charlene Zona</t>
        </is>
      </c>
      <c r="Y357">
        <f>COUNTIFS('Audit Log'!$B$2:$B$2001,"&gt;="&amp;$B$2,'Audit Log'!$F$2:$F$2001,$B$3,'Audit Log'!$S$2:$S$2001,$B$4,'Audit Log'!$T$2:$T$2001,"No",'Audit Log'!$C$2:$C$2001,$X357,'Audit Log'!$O$2:$O$2001,"Invalid")</f>
        <v/>
      </c>
      <c r="Z357">
        <f>$Y357+ROW()/100000</f>
        <v/>
      </c>
    </row>
    <row r="358">
      <c r="X358" t="inlineStr">
        <is>
          <t>Quinto, Bernadeth Mendoza</t>
        </is>
      </c>
      <c r="Y358">
        <f>COUNTIFS('Audit Log'!$B$2:$B$2001,"&gt;="&amp;$B$2,'Audit Log'!$F$2:$F$2001,$B$3,'Audit Log'!$S$2:$S$2001,$B$4,'Audit Log'!$T$2:$T$2001,"No",'Audit Log'!$C$2:$C$2001,$X358,'Audit Log'!$O$2:$O$2001,"Invalid")</f>
        <v/>
      </c>
      <c r="Z358">
        <f>$Y358+ROW()/100000</f>
        <v/>
      </c>
    </row>
    <row r="359">
      <c r="X359" t="inlineStr">
        <is>
          <t>Rabida, Mary Rose Roa</t>
        </is>
      </c>
      <c r="Y359">
        <f>COUNTIFS('Audit Log'!$B$2:$B$2001,"&gt;="&amp;$B$2,'Audit Log'!$F$2:$F$2001,$B$3,'Audit Log'!$S$2:$S$2001,$B$4,'Audit Log'!$T$2:$T$2001,"No",'Audit Log'!$C$2:$C$2001,$X359,'Audit Log'!$O$2:$O$2001,"Invalid")</f>
        <v/>
      </c>
      <c r="Z359">
        <f>$Y359+ROW()/100000</f>
        <v/>
      </c>
    </row>
    <row r="360">
      <c r="X360" t="inlineStr">
        <is>
          <t>Racha, Grace Eunice Divinagracia</t>
        </is>
      </c>
      <c r="Y360">
        <f>COUNTIFS('Audit Log'!$B$2:$B$2001,"&gt;="&amp;$B$2,'Audit Log'!$F$2:$F$2001,$B$3,'Audit Log'!$S$2:$S$2001,$B$4,'Audit Log'!$T$2:$T$2001,"No",'Audit Log'!$C$2:$C$2001,$X360,'Audit Log'!$O$2:$O$2001,"Invalid")</f>
        <v/>
      </c>
      <c r="Z360">
        <f>$Y360+ROW()/100000</f>
        <v/>
      </c>
    </row>
    <row r="361">
      <c r="X361" t="inlineStr">
        <is>
          <t>Ramos, Edgar Elesio Clementes</t>
        </is>
      </c>
      <c r="Y361">
        <f>COUNTIFS('Audit Log'!$B$2:$B$2001,"&gt;="&amp;$B$2,'Audit Log'!$F$2:$F$2001,$B$3,'Audit Log'!$S$2:$S$2001,$B$4,'Audit Log'!$T$2:$T$2001,"No",'Audit Log'!$C$2:$C$2001,$X361,'Audit Log'!$O$2:$O$2001,"Invalid")</f>
        <v/>
      </c>
      <c r="Z361">
        <f>$Y361+ROW()/100000</f>
        <v/>
      </c>
    </row>
    <row r="362">
      <c r="X362" t="inlineStr">
        <is>
          <t>Ramos, Graceli Calayo</t>
        </is>
      </c>
      <c r="Y362">
        <f>COUNTIFS('Audit Log'!$B$2:$B$2001,"&gt;="&amp;$B$2,'Audit Log'!$F$2:$F$2001,$B$3,'Audit Log'!$S$2:$S$2001,$B$4,'Audit Log'!$T$2:$T$2001,"No",'Audit Log'!$C$2:$C$2001,$X362,'Audit Log'!$O$2:$O$2001,"Invalid")</f>
        <v/>
      </c>
      <c r="Z362">
        <f>$Y362+ROW()/100000</f>
        <v/>
      </c>
    </row>
    <row r="363">
      <c r="X363" t="inlineStr">
        <is>
          <t>Ramos, Jay Alison Bañega</t>
        </is>
      </c>
      <c r="Y363">
        <f>COUNTIFS('Audit Log'!$B$2:$B$2001,"&gt;="&amp;$B$2,'Audit Log'!$F$2:$F$2001,$B$3,'Audit Log'!$S$2:$S$2001,$B$4,'Audit Log'!$T$2:$T$2001,"No",'Audit Log'!$C$2:$C$2001,$X363,'Audit Log'!$O$2:$O$2001,"Invalid")</f>
        <v/>
      </c>
      <c r="Z363">
        <f>$Y363+ROW()/100000</f>
        <v/>
      </c>
    </row>
    <row r="364">
      <c r="X364" t="inlineStr">
        <is>
          <t>Ramos, Ma Concepcion Sanchez</t>
        </is>
      </c>
      <c r="Y364">
        <f>COUNTIFS('Audit Log'!$B$2:$B$2001,"&gt;="&amp;$B$2,'Audit Log'!$F$2:$F$2001,$B$3,'Audit Log'!$S$2:$S$2001,$B$4,'Audit Log'!$T$2:$T$2001,"No",'Audit Log'!$C$2:$C$2001,$X364,'Audit Log'!$O$2:$O$2001,"Invalid")</f>
        <v/>
      </c>
      <c r="Z364">
        <f>$Y364+ROW()/100000</f>
        <v/>
      </c>
    </row>
    <row r="365">
      <c r="X365" t="inlineStr">
        <is>
          <t>Raygon, Divine Grace Tobalado</t>
        </is>
      </c>
      <c r="Y365">
        <f>COUNTIFS('Audit Log'!$B$2:$B$2001,"&gt;="&amp;$B$2,'Audit Log'!$F$2:$F$2001,$B$3,'Audit Log'!$S$2:$S$2001,$B$4,'Audit Log'!$T$2:$T$2001,"No",'Audit Log'!$C$2:$C$2001,$X365,'Audit Log'!$O$2:$O$2001,"Invalid")</f>
        <v/>
      </c>
      <c r="Z365">
        <f>$Y365+ROW()/100000</f>
        <v/>
      </c>
    </row>
    <row r="366">
      <c r="X366" t="inlineStr">
        <is>
          <t>Regacho, Hudson -</t>
        </is>
      </c>
      <c r="Y366">
        <f>COUNTIFS('Audit Log'!$B$2:$B$2001,"&gt;="&amp;$B$2,'Audit Log'!$F$2:$F$2001,$B$3,'Audit Log'!$S$2:$S$2001,$B$4,'Audit Log'!$T$2:$T$2001,"No",'Audit Log'!$C$2:$C$2001,$X366,'Audit Log'!$O$2:$O$2001,"Invalid")</f>
        <v/>
      </c>
      <c r="Z366">
        <f>$Y366+ROW()/100000</f>
        <v/>
      </c>
    </row>
    <row r="367">
      <c r="X367" t="inlineStr">
        <is>
          <t>Reyes, Ernesto Jr Pepe</t>
        </is>
      </c>
      <c r="Y367">
        <f>COUNTIFS('Audit Log'!$B$2:$B$2001,"&gt;="&amp;$B$2,'Audit Log'!$F$2:$F$2001,$B$3,'Audit Log'!$S$2:$S$2001,$B$4,'Audit Log'!$T$2:$T$2001,"No",'Audit Log'!$C$2:$C$2001,$X367,'Audit Log'!$O$2:$O$2001,"Invalid")</f>
        <v/>
      </c>
      <c r="Z367">
        <f>$Y367+ROW()/100000</f>
        <v/>
      </c>
    </row>
    <row r="368">
      <c r="X368" t="inlineStr">
        <is>
          <t>Reyes, Michael Angelo Silvestre</t>
        </is>
      </c>
      <c r="Y368">
        <f>COUNTIFS('Audit Log'!$B$2:$B$2001,"&gt;="&amp;$B$2,'Audit Log'!$F$2:$F$2001,$B$3,'Audit Log'!$S$2:$S$2001,$B$4,'Audit Log'!$T$2:$T$2001,"No",'Audit Log'!$C$2:$C$2001,$X368,'Audit Log'!$O$2:$O$2001,"Invalid")</f>
        <v/>
      </c>
      <c r="Z368">
        <f>$Y368+ROW()/100000</f>
        <v/>
      </c>
    </row>
    <row r="369">
      <c r="X369" t="inlineStr">
        <is>
          <t>Reyes, Rhalf Gabriel Mamburao</t>
        </is>
      </c>
      <c r="Y369">
        <f>COUNTIFS('Audit Log'!$B$2:$B$2001,"&gt;="&amp;$B$2,'Audit Log'!$F$2:$F$2001,$B$3,'Audit Log'!$S$2:$S$2001,$B$4,'Audit Log'!$T$2:$T$2001,"No",'Audit Log'!$C$2:$C$2001,$X369,'Audit Log'!$O$2:$O$2001,"Invalid")</f>
        <v/>
      </c>
      <c r="Z369">
        <f>$Y369+ROW()/100000</f>
        <v/>
      </c>
    </row>
    <row r="370">
      <c r="X370" t="inlineStr">
        <is>
          <t>Rivera, John Aldrin Lopez</t>
        </is>
      </c>
      <c r="Y370">
        <f>COUNTIFS('Audit Log'!$B$2:$B$2001,"&gt;="&amp;$B$2,'Audit Log'!$F$2:$F$2001,$B$3,'Audit Log'!$S$2:$S$2001,$B$4,'Audit Log'!$T$2:$T$2001,"No",'Audit Log'!$C$2:$C$2001,$X370,'Audit Log'!$O$2:$O$2001,"Invalid")</f>
        <v/>
      </c>
      <c r="Z370">
        <f>$Y370+ROW()/100000</f>
        <v/>
      </c>
    </row>
    <row r="371">
      <c r="X371" t="inlineStr">
        <is>
          <t>Rivera, Josephine Rosales</t>
        </is>
      </c>
      <c r="Y371">
        <f>COUNTIFS('Audit Log'!$B$2:$B$2001,"&gt;="&amp;$B$2,'Audit Log'!$F$2:$F$2001,$B$3,'Audit Log'!$S$2:$S$2001,$B$4,'Audit Log'!$T$2:$T$2001,"No",'Audit Log'!$C$2:$C$2001,$X371,'Audit Log'!$O$2:$O$2001,"Invalid")</f>
        <v/>
      </c>
      <c r="Z371">
        <f>$Y371+ROW()/100000</f>
        <v/>
      </c>
    </row>
    <row r="372">
      <c r="X372" t="inlineStr">
        <is>
          <t>Rivera, Marjorie Lipiten</t>
        </is>
      </c>
      <c r="Y372">
        <f>COUNTIFS('Audit Log'!$B$2:$B$2001,"&gt;="&amp;$B$2,'Audit Log'!$F$2:$F$2001,$B$3,'Audit Log'!$S$2:$S$2001,$B$4,'Audit Log'!$T$2:$T$2001,"No",'Audit Log'!$C$2:$C$2001,$X372,'Audit Log'!$O$2:$O$2001,"Invalid")</f>
        <v/>
      </c>
      <c r="Z372">
        <f>$Y372+ROW()/100000</f>
        <v/>
      </c>
    </row>
    <row r="373">
      <c r="X373" t="inlineStr">
        <is>
          <t>Rivera, Michael John Araneta</t>
        </is>
      </c>
      <c r="Y373">
        <f>COUNTIFS('Audit Log'!$B$2:$B$2001,"&gt;="&amp;$B$2,'Audit Log'!$F$2:$F$2001,$B$3,'Audit Log'!$S$2:$S$2001,$B$4,'Audit Log'!$T$2:$T$2001,"No",'Audit Log'!$C$2:$C$2001,$X373,'Audit Log'!$O$2:$O$2001,"Invalid")</f>
        <v/>
      </c>
      <c r="Z373">
        <f>$Y373+ROW()/100000</f>
        <v/>
      </c>
    </row>
    <row r="374">
      <c r="X374" t="inlineStr">
        <is>
          <t>Rivera, Micoh Sorima</t>
        </is>
      </c>
      <c r="Y374">
        <f>COUNTIFS('Audit Log'!$B$2:$B$2001,"&gt;="&amp;$B$2,'Audit Log'!$F$2:$F$2001,$B$3,'Audit Log'!$S$2:$S$2001,$B$4,'Audit Log'!$T$2:$T$2001,"No",'Audit Log'!$C$2:$C$2001,$X374,'Audit Log'!$O$2:$O$2001,"Invalid")</f>
        <v/>
      </c>
      <c r="Z374">
        <f>$Y374+ROW()/100000</f>
        <v/>
      </c>
    </row>
    <row r="375">
      <c r="X375" t="inlineStr">
        <is>
          <t>Rocillo, Marmi Poco</t>
        </is>
      </c>
      <c r="Y375">
        <f>COUNTIFS('Audit Log'!$B$2:$B$2001,"&gt;="&amp;$B$2,'Audit Log'!$F$2:$F$2001,$B$3,'Audit Log'!$S$2:$S$2001,$B$4,'Audit Log'!$T$2:$T$2001,"No",'Audit Log'!$C$2:$C$2001,$X375,'Audit Log'!$O$2:$O$2001,"Invalid")</f>
        <v/>
      </c>
      <c r="Z375">
        <f>$Y375+ROW()/100000</f>
        <v/>
      </c>
    </row>
    <row r="376">
      <c r="X376" t="inlineStr">
        <is>
          <t>Rodica, Jim Morante</t>
        </is>
      </c>
      <c r="Y376">
        <f>COUNTIFS('Audit Log'!$B$2:$B$2001,"&gt;="&amp;$B$2,'Audit Log'!$F$2:$F$2001,$B$3,'Audit Log'!$S$2:$S$2001,$B$4,'Audit Log'!$T$2:$T$2001,"No",'Audit Log'!$C$2:$C$2001,$X376,'Audit Log'!$O$2:$O$2001,"Invalid")</f>
        <v/>
      </c>
      <c r="Z376">
        <f>$Y376+ROW()/100000</f>
        <v/>
      </c>
    </row>
    <row r="377">
      <c r="X377" t="inlineStr">
        <is>
          <t>Ronquillo, Jerome Pelicano</t>
        </is>
      </c>
      <c r="Y377">
        <f>COUNTIFS('Audit Log'!$B$2:$B$2001,"&gt;="&amp;$B$2,'Audit Log'!$F$2:$F$2001,$B$3,'Audit Log'!$S$2:$S$2001,$B$4,'Audit Log'!$T$2:$T$2001,"No",'Audit Log'!$C$2:$C$2001,$X377,'Audit Log'!$O$2:$O$2001,"Invalid")</f>
        <v/>
      </c>
      <c r="Z377">
        <f>$Y377+ROW()/100000</f>
        <v/>
      </c>
    </row>
    <row r="378">
      <c r="X378" t="inlineStr">
        <is>
          <t>Rosales, Bianca Angela Badoria</t>
        </is>
      </c>
      <c r="Y378">
        <f>COUNTIFS('Audit Log'!$B$2:$B$2001,"&gt;="&amp;$B$2,'Audit Log'!$F$2:$F$2001,$B$3,'Audit Log'!$S$2:$S$2001,$B$4,'Audit Log'!$T$2:$T$2001,"No",'Audit Log'!$C$2:$C$2001,$X378,'Audit Log'!$O$2:$O$2001,"Invalid")</f>
        <v/>
      </c>
      <c r="Z378">
        <f>$Y378+ROW()/100000</f>
        <v/>
      </c>
    </row>
    <row r="379">
      <c r="X379" t="inlineStr">
        <is>
          <t>Rosales, Thea Christianne Pearl Na</t>
        </is>
      </c>
      <c r="Y379">
        <f>COUNTIFS('Audit Log'!$B$2:$B$2001,"&gt;="&amp;$B$2,'Audit Log'!$F$2:$F$2001,$B$3,'Audit Log'!$S$2:$S$2001,$B$4,'Audit Log'!$T$2:$T$2001,"No",'Audit Log'!$C$2:$C$2001,$X379,'Audit Log'!$O$2:$O$2001,"Invalid")</f>
        <v/>
      </c>
      <c r="Z379">
        <f>$Y379+ROW()/100000</f>
        <v/>
      </c>
    </row>
    <row r="380">
      <c r="X380" t="inlineStr">
        <is>
          <t>Rosas, Sandro Nmn</t>
        </is>
      </c>
      <c r="Y380">
        <f>COUNTIFS('Audit Log'!$B$2:$B$2001,"&gt;="&amp;$B$2,'Audit Log'!$F$2:$F$2001,$B$3,'Audit Log'!$S$2:$S$2001,$B$4,'Audit Log'!$T$2:$T$2001,"No",'Audit Log'!$C$2:$C$2001,$X380,'Audit Log'!$O$2:$O$2001,"Invalid")</f>
        <v/>
      </c>
      <c r="Z380">
        <f>$Y380+ROW()/100000</f>
        <v/>
      </c>
    </row>
    <row r="381">
      <c r="X381" t="inlineStr">
        <is>
          <t>Rose, Mica Angelica Macabenta</t>
        </is>
      </c>
      <c r="Y381">
        <f>COUNTIFS('Audit Log'!$B$2:$B$2001,"&gt;="&amp;$B$2,'Audit Log'!$F$2:$F$2001,$B$3,'Audit Log'!$S$2:$S$2001,$B$4,'Audit Log'!$T$2:$T$2001,"No",'Audit Log'!$C$2:$C$2001,$X381,'Audit Log'!$O$2:$O$2001,"Invalid")</f>
        <v/>
      </c>
      <c r="Z381">
        <f>$Y381+ROW()/100000</f>
        <v/>
      </c>
    </row>
    <row r="382">
      <c r="X382" t="inlineStr">
        <is>
          <t>Sabenorio, Karyl Joyce Acaba</t>
        </is>
      </c>
      <c r="Y382">
        <f>COUNTIFS('Audit Log'!$B$2:$B$2001,"&gt;="&amp;$B$2,'Audit Log'!$F$2:$F$2001,$B$3,'Audit Log'!$S$2:$S$2001,$B$4,'Audit Log'!$T$2:$T$2001,"No",'Audit Log'!$C$2:$C$2001,$X382,'Audit Log'!$O$2:$O$2001,"Invalid")</f>
        <v/>
      </c>
      <c r="Z382">
        <f>$Y382+ROW()/100000</f>
        <v/>
      </c>
    </row>
    <row r="383">
      <c r="X383" t="inlineStr">
        <is>
          <t>Sagales, Novelyn Langawan</t>
        </is>
      </c>
      <c r="Y383">
        <f>COUNTIFS('Audit Log'!$B$2:$B$2001,"&gt;="&amp;$B$2,'Audit Log'!$F$2:$F$2001,$B$3,'Audit Log'!$S$2:$S$2001,$B$4,'Audit Log'!$T$2:$T$2001,"No",'Audit Log'!$C$2:$C$2001,$X383,'Audit Log'!$O$2:$O$2001,"Invalid")</f>
        <v/>
      </c>
      <c r="Z383">
        <f>$Y383+ROW()/100000</f>
        <v/>
      </c>
    </row>
    <row r="384">
      <c r="X384" t="inlineStr">
        <is>
          <t>Saguinsin, Sanhenrist Aguinaldo</t>
        </is>
      </c>
      <c r="Y384">
        <f>COUNTIFS('Audit Log'!$B$2:$B$2001,"&gt;="&amp;$B$2,'Audit Log'!$F$2:$F$2001,$B$3,'Audit Log'!$S$2:$S$2001,$B$4,'Audit Log'!$T$2:$T$2001,"No",'Audit Log'!$C$2:$C$2001,$X384,'Audit Log'!$O$2:$O$2001,"Invalid")</f>
        <v/>
      </c>
      <c r="Z384">
        <f>$Y384+ROW()/100000</f>
        <v/>
      </c>
    </row>
    <row r="385">
      <c r="X385" t="inlineStr">
        <is>
          <t>Salafranca, Ryan Alejo</t>
        </is>
      </c>
      <c r="Y385">
        <f>COUNTIFS('Audit Log'!$B$2:$B$2001,"&gt;="&amp;$B$2,'Audit Log'!$F$2:$F$2001,$B$3,'Audit Log'!$S$2:$S$2001,$B$4,'Audit Log'!$T$2:$T$2001,"No",'Audit Log'!$C$2:$C$2001,$X385,'Audit Log'!$O$2:$O$2001,"Invalid")</f>
        <v/>
      </c>
      <c r="Z385">
        <f>$Y385+ROW()/100000</f>
        <v/>
      </c>
    </row>
    <row r="386">
      <c r="X386" t="inlineStr">
        <is>
          <t>Salomon, Jovanne Rey Posadas</t>
        </is>
      </c>
      <c r="Y386">
        <f>COUNTIFS('Audit Log'!$B$2:$B$2001,"&gt;="&amp;$B$2,'Audit Log'!$F$2:$F$2001,$B$3,'Audit Log'!$S$2:$S$2001,$B$4,'Audit Log'!$T$2:$T$2001,"No",'Audit Log'!$C$2:$C$2001,$X386,'Audit Log'!$O$2:$O$2001,"Invalid")</f>
        <v/>
      </c>
      <c r="Z386">
        <f>$Y386+ROW()/100000</f>
        <v/>
      </c>
    </row>
    <row r="387">
      <c r="X387" t="inlineStr">
        <is>
          <t>Salvador, Francis Tutanes</t>
        </is>
      </c>
      <c r="Y387">
        <f>COUNTIFS('Audit Log'!$B$2:$B$2001,"&gt;="&amp;$B$2,'Audit Log'!$F$2:$F$2001,$B$3,'Audit Log'!$S$2:$S$2001,$B$4,'Audit Log'!$T$2:$T$2001,"No",'Audit Log'!$C$2:$C$2001,$X387,'Audit Log'!$O$2:$O$2001,"Invalid")</f>
        <v/>
      </c>
      <c r="Z387">
        <f>$Y387+ROW()/100000</f>
        <v/>
      </c>
    </row>
    <row r="388">
      <c r="X388" t="inlineStr">
        <is>
          <t>San Diego, Carolyn Anselmo</t>
        </is>
      </c>
      <c r="Y388">
        <f>COUNTIFS('Audit Log'!$B$2:$B$2001,"&gt;="&amp;$B$2,'Audit Log'!$F$2:$F$2001,$B$3,'Audit Log'!$S$2:$S$2001,$B$4,'Audit Log'!$T$2:$T$2001,"No",'Audit Log'!$C$2:$C$2001,$X388,'Audit Log'!$O$2:$O$2001,"Invalid")</f>
        <v/>
      </c>
      <c r="Z388">
        <f>$Y388+ROW()/100000</f>
        <v/>
      </c>
    </row>
    <row r="389">
      <c r="X389" t="inlineStr">
        <is>
          <t>San Juan, Francis Neil Barcelona</t>
        </is>
      </c>
      <c r="Y389">
        <f>COUNTIFS('Audit Log'!$B$2:$B$2001,"&gt;="&amp;$B$2,'Audit Log'!$F$2:$F$2001,$B$3,'Audit Log'!$S$2:$S$2001,$B$4,'Audit Log'!$T$2:$T$2001,"No",'Audit Log'!$C$2:$C$2001,$X389,'Audit Log'!$O$2:$O$2001,"Invalid")</f>
        <v/>
      </c>
      <c r="Z389">
        <f>$Y389+ROW()/100000</f>
        <v/>
      </c>
    </row>
    <row r="390">
      <c r="X390" t="inlineStr">
        <is>
          <t>San Juan, Kaille Vincent Galvez</t>
        </is>
      </c>
      <c r="Y390">
        <f>COUNTIFS('Audit Log'!$B$2:$B$2001,"&gt;="&amp;$B$2,'Audit Log'!$F$2:$F$2001,$B$3,'Audit Log'!$S$2:$S$2001,$B$4,'Audit Log'!$T$2:$T$2001,"No",'Audit Log'!$C$2:$C$2001,$X390,'Audit Log'!$O$2:$O$2001,"Invalid")</f>
        <v/>
      </c>
      <c r="Z390">
        <f>$Y390+ROW()/100000</f>
        <v/>
      </c>
    </row>
    <row r="391">
      <c r="X391" t="inlineStr">
        <is>
          <t>Santos, Anne Valerie Manuel</t>
        </is>
      </c>
      <c r="Y391">
        <f>COUNTIFS('Audit Log'!$B$2:$B$2001,"&gt;="&amp;$B$2,'Audit Log'!$F$2:$F$2001,$B$3,'Audit Log'!$S$2:$S$2001,$B$4,'Audit Log'!$T$2:$T$2001,"No",'Audit Log'!$C$2:$C$2001,$X391,'Audit Log'!$O$2:$O$2001,"Invalid")</f>
        <v/>
      </c>
      <c r="Z391">
        <f>$Y391+ROW()/100000</f>
        <v/>
      </c>
    </row>
    <row r="392">
      <c r="X392" t="inlineStr">
        <is>
          <t>Santos, Jeanette Claudette Dy-Liacco</t>
        </is>
      </c>
      <c r="Y392">
        <f>COUNTIFS('Audit Log'!$B$2:$B$2001,"&gt;="&amp;$B$2,'Audit Log'!$F$2:$F$2001,$B$3,'Audit Log'!$S$2:$S$2001,$B$4,'Audit Log'!$T$2:$T$2001,"No",'Audit Log'!$C$2:$C$2001,$X392,'Audit Log'!$O$2:$O$2001,"Invalid")</f>
        <v/>
      </c>
      <c r="Z392">
        <f>$Y392+ROW()/100000</f>
        <v/>
      </c>
    </row>
    <row r="393">
      <c r="X393" t="inlineStr">
        <is>
          <t>Santos, Lovely Joy Nmn</t>
        </is>
      </c>
      <c r="Y393">
        <f>COUNTIFS('Audit Log'!$B$2:$B$2001,"&gt;="&amp;$B$2,'Audit Log'!$F$2:$F$2001,$B$3,'Audit Log'!$S$2:$S$2001,$B$4,'Audit Log'!$T$2:$T$2001,"No",'Audit Log'!$C$2:$C$2001,$X393,'Audit Log'!$O$2:$O$2001,"Invalid")</f>
        <v/>
      </c>
      <c r="Z393">
        <f>$Y393+ROW()/100000</f>
        <v/>
      </c>
    </row>
    <row r="394">
      <c r="X394" t="inlineStr">
        <is>
          <t>Santos, Lycia Dare</t>
        </is>
      </c>
      <c r="Y394">
        <f>COUNTIFS('Audit Log'!$B$2:$B$2001,"&gt;="&amp;$B$2,'Audit Log'!$F$2:$F$2001,$B$3,'Audit Log'!$S$2:$S$2001,$B$4,'Audit Log'!$T$2:$T$2001,"No",'Audit Log'!$C$2:$C$2001,$X394,'Audit Log'!$O$2:$O$2001,"Invalid")</f>
        <v/>
      </c>
      <c r="Z394">
        <f>$Y394+ROW()/100000</f>
        <v/>
      </c>
    </row>
    <row r="395">
      <c r="X395" t="inlineStr">
        <is>
          <t>Santos, Maria Theresa Bonganciso</t>
        </is>
      </c>
      <c r="Y395">
        <f>COUNTIFS('Audit Log'!$B$2:$B$2001,"&gt;="&amp;$B$2,'Audit Log'!$F$2:$F$2001,$B$3,'Audit Log'!$S$2:$S$2001,$B$4,'Audit Log'!$T$2:$T$2001,"No",'Audit Log'!$C$2:$C$2001,$X395,'Audit Log'!$O$2:$O$2001,"Invalid")</f>
        <v/>
      </c>
      <c r="Z395">
        <f>$Y395+ROW()/100000</f>
        <v/>
      </c>
    </row>
    <row r="396">
      <c r="X396" t="inlineStr">
        <is>
          <t>Santos, Raven Anakin Jerusalem</t>
        </is>
      </c>
      <c r="Y396">
        <f>COUNTIFS('Audit Log'!$B$2:$B$2001,"&gt;="&amp;$B$2,'Audit Log'!$F$2:$F$2001,$B$3,'Audit Log'!$S$2:$S$2001,$B$4,'Audit Log'!$T$2:$T$2001,"No",'Audit Log'!$C$2:$C$2001,$X396,'Audit Log'!$O$2:$O$2001,"Invalid")</f>
        <v/>
      </c>
      <c r="Z396">
        <f>$Y396+ROW()/100000</f>
        <v/>
      </c>
    </row>
    <row r="397">
      <c r="X397" t="inlineStr">
        <is>
          <t>Santos, Reinier Cartina</t>
        </is>
      </c>
      <c r="Y397">
        <f>COUNTIFS('Audit Log'!$B$2:$B$2001,"&gt;="&amp;$B$2,'Audit Log'!$F$2:$F$2001,$B$3,'Audit Log'!$S$2:$S$2001,$B$4,'Audit Log'!$T$2:$T$2001,"No",'Audit Log'!$C$2:$C$2001,$X397,'Audit Log'!$O$2:$O$2001,"Invalid")</f>
        <v/>
      </c>
      <c r="Z397">
        <f>$Y397+ROW()/100000</f>
        <v/>
      </c>
    </row>
    <row r="398">
      <c r="X398" t="inlineStr">
        <is>
          <t>Sarmiento, Celina Labora</t>
        </is>
      </c>
      <c r="Y398">
        <f>COUNTIFS('Audit Log'!$B$2:$B$2001,"&gt;="&amp;$B$2,'Audit Log'!$F$2:$F$2001,$B$3,'Audit Log'!$S$2:$S$2001,$B$4,'Audit Log'!$T$2:$T$2001,"No",'Audit Log'!$C$2:$C$2001,$X398,'Audit Log'!$O$2:$O$2001,"Invalid")</f>
        <v/>
      </c>
      <c r="Z398">
        <f>$Y398+ROW()/100000</f>
        <v/>
      </c>
    </row>
    <row r="399">
      <c r="X399" t="inlineStr">
        <is>
          <t>Sarmiento, Edmar Ricanor</t>
        </is>
      </c>
      <c r="Y399">
        <f>COUNTIFS('Audit Log'!$B$2:$B$2001,"&gt;="&amp;$B$2,'Audit Log'!$F$2:$F$2001,$B$3,'Audit Log'!$S$2:$S$2001,$B$4,'Audit Log'!$T$2:$T$2001,"No",'Audit Log'!$C$2:$C$2001,$X399,'Audit Log'!$O$2:$O$2001,"Invalid")</f>
        <v/>
      </c>
      <c r="Z399">
        <f>$Y399+ROW()/100000</f>
        <v/>
      </c>
    </row>
    <row r="400">
      <c r="X400" t="inlineStr">
        <is>
          <t>Sastrillo, Jessalyn Rodeles</t>
        </is>
      </c>
      <c r="Y400">
        <f>COUNTIFS('Audit Log'!$B$2:$B$2001,"&gt;="&amp;$B$2,'Audit Log'!$F$2:$F$2001,$B$3,'Audit Log'!$S$2:$S$2001,$B$4,'Audit Log'!$T$2:$T$2001,"No",'Audit Log'!$C$2:$C$2001,$X400,'Audit Log'!$O$2:$O$2001,"Invalid")</f>
        <v/>
      </c>
      <c r="Z400">
        <f>$Y400+ROW()/100000</f>
        <v/>
      </c>
    </row>
    <row r="401">
      <c r="X401" t="inlineStr">
        <is>
          <t>Saulog, Mark Spencer Amerila</t>
        </is>
      </c>
      <c r="Y401">
        <f>COUNTIFS('Audit Log'!$B$2:$B$2001,"&gt;="&amp;$B$2,'Audit Log'!$F$2:$F$2001,$B$3,'Audit Log'!$S$2:$S$2001,$B$4,'Audit Log'!$T$2:$T$2001,"No",'Audit Log'!$C$2:$C$2001,$X401,'Audit Log'!$O$2:$O$2001,"Invalid")</f>
        <v/>
      </c>
      <c r="Z401">
        <f>$Y401+ROW()/100000</f>
        <v/>
      </c>
    </row>
    <row r="402">
      <c r="X402" t="inlineStr">
        <is>
          <t>Segismundo, Sandra Serrano</t>
        </is>
      </c>
      <c r="Y402">
        <f>COUNTIFS('Audit Log'!$B$2:$B$2001,"&gt;="&amp;$B$2,'Audit Log'!$F$2:$F$2001,$B$3,'Audit Log'!$S$2:$S$2001,$B$4,'Audit Log'!$T$2:$T$2001,"No",'Audit Log'!$C$2:$C$2001,$X402,'Audit Log'!$O$2:$O$2001,"Invalid")</f>
        <v/>
      </c>
      <c r="Z402">
        <f>$Y402+ROW()/100000</f>
        <v/>
      </c>
    </row>
    <row r="403">
      <c r="X403" t="inlineStr">
        <is>
          <t>Sembrano, Mishelle Oliveria</t>
        </is>
      </c>
      <c r="Y403">
        <f>COUNTIFS('Audit Log'!$B$2:$B$2001,"&gt;="&amp;$B$2,'Audit Log'!$F$2:$F$2001,$B$3,'Audit Log'!$S$2:$S$2001,$B$4,'Audit Log'!$T$2:$T$2001,"No",'Audit Log'!$C$2:$C$2001,$X403,'Audit Log'!$O$2:$O$2001,"Invalid")</f>
        <v/>
      </c>
      <c r="Z403">
        <f>$Y403+ROW()/100000</f>
        <v/>
      </c>
    </row>
    <row r="404">
      <c r="X404" t="inlineStr">
        <is>
          <t>Sentin Jr., Roberto Bueno</t>
        </is>
      </c>
      <c r="Y404">
        <f>COUNTIFS('Audit Log'!$B$2:$B$2001,"&gt;="&amp;$B$2,'Audit Log'!$F$2:$F$2001,$B$3,'Audit Log'!$S$2:$S$2001,$B$4,'Audit Log'!$T$2:$T$2001,"No",'Audit Log'!$C$2:$C$2001,$X404,'Audit Log'!$O$2:$O$2001,"Invalid")</f>
        <v/>
      </c>
      <c r="Z404">
        <f>$Y404+ROW()/100000</f>
        <v/>
      </c>
    </row>
    <row r="405">
      <c r="X405" t="inlineStr">
        <is>
          <t>Sequito, Zyrus Luna</t>
        </is>
      </c>
      <c r="Y405">
        <f>COUNTIFS('Audit Log'!$B$2:$B$2001,"&gt;="&amp;$B$2,'Audit Log'!$F$2:$F$2001,$B$3,'Audit Log'!$S$2:$S$2001,$B$4,'Audit Log'!$T$2:$T$2001,"No",'Audit Log'!$C$2:$C$2001,$X405,'Audit Log'!$O$2:$O$2001,"Invalid")</f>
        <v/>
      </c>
      <c r="Z405">
        <f>$Y405+ROW()/100000</f>
        <v/>
      </c>
    </row>
    <row r="406">
      <c r="X406" t="inlineStr">
        <is>
          <t>Serata, Ivy Roces</t>
        </is>
      </c>
      <c r="Y406">
        <f>COUNTIFS('Audit Log'!$B$2:$B$2001,"&gt;="&amp;$B$2,'Audit Log'!$F$2:$F$2001,$B$3,'Audit Log'!$S$2:$S$2001,$B$4,'Audit Log'!$T$2:$T$2001,"No",'Audit Log'!$C$2:$C$2001,$X406,'Audit Log'!$O$2:$O$2001,"Invalid")</f>
        <v/>
      </c>
      <c r="Z406">
        <f>$Y406+ROW()/100000</f>
        <v/>
      </c>
    </row>
    <row r="407">
      <c r="X407" t="inlineStr">
        <is>
          <t>Sernal, Rachelle Ibiernas</t>
        </is>
      </c>
      <c r="Y407">
        <f>COUNTIFS('Audit Log'!$B$2:$B$2001,"&gt;="&amp;$B$2,'Audit Log'!$F$2:$F$2001,$B$3,'Audit Log'!$S$2:$S$2001,$B$4,'Audit Log'!$T$2:$T$2001,"No",'Audit Log'!$C$2:$C$2001,$X407,'Audit Log'!$O$2:$O$2001,"Invalid")</f>
        <v/>
      </c>
      <c r="Z407">
        <f>$Y407+ROW()/100000</f>
        <v/>
      </c>
    </row>
    <row r="408">
      <c r="X408" t="inlineStr">
        <is>
          <t>Setias, Mae Venus Santias</t>
        </is>
      </c>
      <c r="Y408">
        <f>COUNTIFS('Audit Log'!$B$2:$B$2001,"&gt;="&amp;$B$2,'Audit Log'!$F$2:$F$2001,$B$3,'Audit Log'!$S$2:$S$2001,$B$4,'Audit Log'!$T$2:$T$2001,"No",'Audit Log'!$C$2:$C$2001,$X408,'Audit Log'!$O$2:$O$2001,"Invalid")</f>
        <v/>
      </c>
      <c r="Z408">
        <f>$Y408+ROW()/100000</f>
        <v/>
      </c>
    </row>
    <row r="409">
      <c r="X409" t="inlineStr">
        <is>
          <t>Sevilla, Audrey Marie Galindo</t>
        </is>
      </c>
      <c r="Y409">
        <f>COUNTIFS('Audit Log'!$B$2:$B$2001,"&gt;="&amp;$B$2,'Audit Log'!$F$2:$F$2001,$B$3,'Audit Log'!$S$2:$S$2001,$B$4,'Audit Log'!$T$2:$T$2001,"No",'Audit Log'!$C$2:$C$2001,$X409,'Audit Log'!$O$2:$O$2001,"Invalid")</f>
        <v/>
      </c>
      <c r="Z409">
        <f>$Y409+ROW()/100000</f>
        <v/>
      </c>
    </row>
    <row r="410">
      <c r="X410" t="inlineStr">
        <is>
          <t>Silao, Fritz Villacanas</t>
        </is>
      </c>
      <c r="Y410">
        <f>COUNTIFS('Audit Log'!$B$2:$B$2001,"&gt;="&amp;$B$2,'Audit Log'!$F$2:$F$2001,$B$3,'Audit Log'!$S$2:$S$2001,$B$4,'Audit Log'!$T$2:$T$2001,"No",'Audit Log'!$C$2:$C$2001,$X410,'Audit Log'!$O$2:$O$2001,"Invalid")</f>
        <v/>
      </c>
      <c r="Z410">
        <f>$Y410+ROW()/100000</f>
        <v/>
      </c>
    </row>
    <row r="411">
      <c r="X411" t="inlineStr">
        <is>
          <t>Silvano, Kimberly Ann Palma</t>
        </is>
      </c>
      <c r="Y411">
        <f>COUNTIFS('Audit Log'!$B$2:$B$2001,"&gt;="&amp;$B$2,'Audit Log'!$F$2:$F$2001,$B$3,'Audit Log'!$S$2:$S$2001,$B$4,'Audit Log'!$T$2:$T$2001,"No",'Audit Log'!$C$2:$C$2001,$X411,'Audit Log'!$O$2:$O$2001,"Invalid")</f>
        <v/>
      </c>
      <c r="Z411">
        <f>$Y411+ROW()/100000</f>
        <v/>
      </c>
    </row>
    <row r="412">
      <c r="X412" t="inlineStr">
        <is>
          <t>Simacon, Krystel Claire Nmn</t>
        </is>
      </c>
      <c r="Y412">
        <f>COUNTIFS('Audit Log'!$B$2:$B$2001,"&gt;="&amp;$B$2,'Audit Log'!$F$2:$F$2001,$B$3,'Audit Log'!$S$2:$S$2001,$B$4,'Audit Log'!$T$2:$T$2001,"No",'Audit Log'!$C$2:$C$2001,$X412,'Audit Log'!$O$2:$O$2001,"Invalid")</f>
        <v/>
      </c>
      <c r="Z412">
        <f>$Y412+ROW()/100000</f>
        <v/>
      </c>
    </row>
    <row r="413">
      <c r="X413" t="inlineStr">
        <is>
          <t>Simbulan, Michelle Cabala</t>
        </is>
      </c>
      <c r="Y413">
        <f>COUNTIFS('Audit Log'!$B$2:$B$2001,"&gt;="&amp;$B$2,'Audit Log'!$F$2:$F$2001,$B$3,'Audit Log'!$S$2:$S$2001,$B$4,'Audit Log'!$T$2:$T$2001,"No",'Audit Log'!$C$2:$C$2001,$X413,'Audit Log'!$O$2:$O$2001,"Invalid")</f>
        <v/>
      </c>
      <c r="Z413">
        <f>$Y413+ROW()/100000</f>
        <v/>
      </c>
    </row>
    <row r="414">
      <c r="X414" t="inlineStr">
        <is>
          <t>Socorro, John Benny Baluyot</t>
        </is>
      </c>
      <c r="Y414">
        <f>COUNTIFS('Audit Log'!$B$2:$B$2001,"&gt;="&amp;$B$2,'Audit Log'!$F$2:$F$2001,$B$3,'Audit Log'!$S$2:$S$2001,$B$4,'Audit Log'!$T$2:$T$2001,"No",'Audit Log'!$C$2:$C$2001,$X414,'Audit Log'!$O$2:$O$2001,"Invalid")</f>
        <v/>
      </c>
      <c r="Z414">
        <f>$Y414+ROW()/100000</f>
        <v/>
      </c>
    </row>
    <row r="415">
      <c r="X415" t="inlineStr">
        <is>
          <t>Sonza, Marvi Ramilo</t>
        </is>
      </c>
      <c r="Y415">
        <f>COUNTIFS('Audit Log'!$B$2:$B$2001,"&gt;="&amp;$B$2,'Audit Log'!$F$2:$F$2001,$B$3,'Audit Log'!$S$2:$S$2001,$B$4,'Audit Log'!$T$2:$T$2001,"No",'Audit Log'!$C$2:$C$2001,$X415,'Audit Log'!$O$2:$O$2001,"Invalid")</f>
        <v/>
      </c>
      <c r="Z415">
        <f>$Y415+ROW()/100000</f>
        <v/>
      </c>
    </row>
    <row r="416">
      <c r="X416" t="inlineStr">
        <is>
          <t>Soria, Michael Concejo</t>
        </is>
      </c>
      <c r="Y416">
        <f>COUNTIFS('Audit Log'!$B$2:$B$2001,"&gt;="&amp;$B$2,'Audit Log'!$F$2:$F$2001,$B$3,'Audit Log'!$S$2:$S$2001,$B$4,'Audit Log'!$T$2:$T$2001,"No",'Audit Log'!$C$2:$C$2001,$X416,'Audit Log'!$O$2:$O$2001,"Invalid")</f>
        <v/>
      </c>
      <c r="Z416">
        <f>$Y416+ROW()/100000</f>
        <v/>
      </c>
    </row>
    <row r="417">
      <c r="X417" t="inlineStr">
        <is>
          <t>Soriano, Mark Louie Delos Reyes</t>
        </is>
      </c>
      <c r="Y417">
        <f>COUNTIFS('Audit Log'!$B$2:$B$2001,"&gt;="&amp;$B$2,'Audit Log'!$F$2:$F$2001,$B$3,'Audit Log'!$S$2:$S$2001,$B$4,'Audit Log'!$T$2:$T$2001,"No",'Audit Log'!$C$2:$C$2001,$X417,'Audit Log'!$O$2:$O$2001,"Invalid")</f>
        <v/>
      </c>
      <c r="Z417">
        <f>$Y417+ROW()/100000</f>
        <v/>
      </c>
    </row>
    <row r="418">
      <c r="X418" t="inlineStr">
        <is>
          <t>Sta. Ana, Allan Rey Bacarro</t>
        </is>
      </c>
      <c r="Y418">
        <f>COUNTIFS('Audit Log'!$B$2:$B$2001,"&gt;="&amp;$B$2,'Audit Log'!$F$2:$F$2001,$B$3,'Audit Log'!$S$2:$S$2001,$B$4,'Audit Log'!$T$2:$T$2001,"No",'Audit Log'!$C$2:$C$2001,$X418,'Audit Log'!$O$2:$O$2001,"Invalid")</f>
        <v/>
      </c>
      <c r="Z418">
        <f>$Y418+ROW()/100000</f>
        <v/>
      </c>
    </row>
    <row r="419">
      <c r="X419" t="inlineStr">
        <is>
          <t>Suaso, Mari Paul Del Mundo</t>
        </is>
      </c>
      <c r="Y419">
        <f>COUNTIFS('Audit Log'!$B$2:$B$2001,"&gt;="&amp;$B$2,'Audit Log'!$F$2:$F$2001,$B$3,'Audit Log'!$S$2:$S$2001,$B$4,'Audit Log'!$T$2:$T$2001,"No",'Audit Log'!$C$2:$C$2001,$X419,'Audit Log'!$O$2:$O$2001,"Invalid")</f>
        <v/>
      </c>
      <c r="Z419">
        <f>$Y419+ROW()/100000</f>
        <v/>
      </c>
    </row>
    <row r="420">
      <c r="X420" t="inlineStr">
        <is>
          <t>Sultan, Isabel Cocoba</t>
        </is>
      </c>
      <c r="Y420">
        <f>COUNTIFS('Audit Log'!$B$2:$B$2001,"&gt;="&amp;$B$2,'Audit Log'!$F$2:$F$2001,$B$3,'Audit Log'!$S$2:$S$2001,$B$4,'Audit Log'!$T$2:$T$2001,"No",'Audit Log'!$C$2:$C$2001,$X420,'Audit Log'!$O$2:$O$2001,"Invalid")</f>
        <v/>
      </c>
      <c r="Z420">
        <f>$Y420+ROW()/100000</f>
        <v/>
      </c>
    </row>
    <row r="421">
      <c r="X421" t="inlineStr">
        <is>
          <t>Sutton, Innah Vanessa Cabacaba</t>
        </is>
      </c>
      <c r="Y421">
        <f>COUNTIFS('Audit Log'!$B$2:$B$2001,"&gt;="&amp;$B$2,'Audit Log'!$F$2:$F$2001,$B$3,'Audit Log'!$S$2:$S$2001,$B$4,'Audit Log'!$T$2:$T$2001,"No",'Audit Log'!$C$2:$C$2001,$X421,'Audit Log'!$O$2:$O$2001,"Invalid")</f>
        <v/>
      </c>
      <c r="Z421">
        <f>$Y421+ROW()/100000</f>
        <v/>
      </c>
    </row>
    <row r="422">
      <c r="X422" t="inlineStr">
        <is>
          <t>Taberdo, Franczeska Keana Cellona</t>
        </is>
      </c>
      <c r="Y422">
        <f>COUNTIFS('Audit Log'!$B$2:$B$2001,"&gt;="&amp;$B$2,'Audit Log'!$F$2:$F$2001,$B$3,'Audit Log'!$S$2:$S$2001,$B$4,'Audit Log'!$T$2:$T$2001,"No",'Audit Log'!$C$2:$C$2001,$X422,'Audit Log'!$O$2:$O$2001,"Invalid")</f>
        <v/>
      </c>
      <c r="Z422">
        <f>$Y422+ROW()/100000</f>
        <v/>
      </c>
    </row>
    <row r="423">
      <c r="X423" t="inlineStr">
        <is>
          <t>Tabuñar, Louie Baltar</t>
        </is>
      </c>
      <c r="Y423">
        <f>COUNTIFS('Audit Log'!$B$2:$B$2001,"&gt;="&amp;$B$2,'Audit Log'!$F$2:$F$2001,$B$3,'Audit Log'!$S$2:$S$2001,$B$4,'Audit Log'!$T$2:$T$2001,"No",'Audit Log'!$C$2:$C$2001,$X423,'Audit Log'!$O$2:$O$2001,"Invalid")</f>
        <v/>
      </c>
      <c r="Z423">
        <f>$Y423+ROW()/100000</f>
        <v/>
      </c>
    </row>
    <row r="424">
      <c r="X424" t="inlineStr">
        <is>
          <t>Tagabe, April Joy Engaud</t>
        </is>
      </c>
      <c r="Y424">
        <f>COUNTIFS('Audit Log'!$B$2:$B$2001,"&gt;="&amp;$B$2,'Audit Log'!$F$2:$F$2001,$B$3,'Audit Log'!$S$2:$S$2001,$B$4,'Audit Log'!$T$2:$T$2001,"No",'Audit Log'!$C$2:$C$2001,$X424,'Audit Log'!$O$2:$O$2001,"Invalid")</f>
        <v/>
      </c>
      <c r="Z424">
        <f>$Y424+ROW()/100000</f>
        <v/>
      </c>
    </row>
    <row r="425">
      <c r="X425" t="inlineStr">
        <is>
          <t>Tagaro, Jennifer Balacuit</t>
        </is>
      </c>
      <c r="Y425">
        <f>COUNTIFS('Audit Log'!$B$2:$B$2001,"&gt;="&amp;$B$2,'Audit Log'!$F$2:$F$2001,$B$3,'Audit Log'!$S$2:$S$2001,$B$4,'Audit Log'!$T$2:$T$2001,"No",'Audit Log'!$C$2:$C$2001,$X425,'Audit Log'!$O$2:$O$2001,"Invalid")</f>
        <v/>
      </c>
      <c r="Z425">
        <f>$Y425+ROW()/100000</f>
        <v/>
      </c>
    </row>
    <row r="426">
      <c r="X426" t="inlineStr">
        <is>
          <t>Talagtag, May Ann Lagon</t>
        </is>
      </c>
      <c r="Y426">
        <f>COUNTIFS('Audit Log'!$B$2:$B$2001,"&gt;="&amp;$B$2,'Audit Log'!$F$2:$F$2001,$B$3,'Audit Log'!$S$2:$S$2001,$B$4,'Audit Log'!$T$2:$T$2001,"No",'Audit Log'!$C$2:$C$2001,$X426,'Audit Log'!$O$2:$O$2001,"Invalid")</f>
        <v/>
      </c>
      <c r="Z426">
        <f>$Y426+ROW()/100000</f>
        <v/>
      </c>
    </row>
    <row r="427">
      <c r="X427" t="inlineStr">
        <is>
          <t>Tan, Irene Juson</t>
        </is>
      </c>
      <c r="Y427">
        <f>COUNTIFS('Audit Log'!$B$2:$B$2001,"&gt;="&amp;$B$2,'Audit Log'!$F$2:$F$2001,$B$3,'Audit Log'!$S$2:$S$2001,$B$4,'Audit Log'!$T$2:$T$2001,"No",'Audit Log'!$C$2:$C$2001,$X427,'Audit Log'!$O$2:$O$2001,"Invalid")</f>
        <v/>
      </c>
      <c r="Z427">
        <f>$Y427+ROW()/100000</f>
        <v/>
      </c>
    </row>
    <row r="428">
      <c r="X428" t="inlineStr">
        <is>
          <t>Tan, Janine Raine Nmn</t>
        </is>
      </c>
      <c r="Y428">
        <f>COUNTIFS('Audit Log'!$B$2:$B$2001,"&gt;="&amp;$B$2,'Audit Log'!$F$2:$F$2001,$B$3,'Audit Log'!$S$2:$S$2001,$B$4,'Audit Log'!$T$2:$T$2001,"No",'Audit Log'!$C$2:$C$2001,$X428,'Audit Log'!$O$2:$O$2001,"Invalid")</f>
        <v/>
      </c>
      <c r="Z428">
        <f>$Y428+ROW()/100000</f>
        <v/>
      </c>
    </row>
    <row r="429">
      <c r="X429" t="inlineStr">
        <is>
          <t>Tayag, Gerald Munsayac</t>
        </is>
      </c>
      <c r="Y429">
        <f>COUNTIFS('Audit Log'!$B$2:$B$2001,"&gt;="&amp;$B$2,'Audit Log'!$F$2:$F$2001,$B$3,'Audit Log'!$S$2:$S$2001,$B$4,'Audit Log'!$T$2:$T$2001,"No",'Audit Log'!$C$2:$C$2001,$X429,'Audit Log'!$O$2:$O$2001,"Invalid")</f>
        <v/>
      </c>
      <c r="Z429">
        <f>$Y429+ROW()/100000</f>
        <v/>
      </c>
    </row>
    <row r="430">
      <c r="X430" t="inlineStr">
        <is>
          <t>Tesiorna, Justine Gerard Delos Santos</t>
        </is>
      </c>
      <c r="Y430">
        <f>COUNTIFS('Audit Log'!$B$2:$B$2001,"&gt;="&amp;$B$2,'Audit Log'!$F$2:$F$2001,$B$3,'Audit Log'!$S$2:$S$2001,$B$4,'Audit Log'!$T$2:$T$2001,"No",'Audit Log'!$C$2:$C$2001,$X430,'Audit Log'!$O$2:$O$2001,"Invalid")</f>
        <v/>
      </c>
      <c r="Z430">
        <f>$Y430+ROW()/100000</f>
        <v/>
      </c>
    </row>
    <row r="431">
      <c r="X431" t="inlineStr">
        <is>
          <t>Ticman, Hazel Bucad</t>
        </is>
      </c>
      <c r="Y431">
        <f>COUNTIFS('Audit Log'!$B$2:$B$2001,"&gt;="&amp;$B$2,'Audit Log'!$F$2:$F$2001,$B$3,'Audit Log'!$S$2:$S$2001,$B$4,'Audit Log'!$T$2:$T$2001,"No",'Audit Log'!$C$2:$C$2001,$X431,'Audit Log'!$O$2:$O$2001,"Invalid")</f>
        <v/>
      </c>
      <c r="Z431">
        <f>$Y431+ROW()/100000</f>
        <v/>
      </c>
    </row>
    <row r="432">
      <c r="X432" t="inlineStr">
        <is>
          <t>Tinamisan, Normita Flaviano</t>
        </is>
      </c>
      <c r="Y432">
        <f>COUNTIFS('Audit Log'!$B$2:$B$2001,"&gt;="&amp;$B$2,'Audit Log'!$F$2:$F$2001,$B$3,'Audit Log'!$S$2:$S$2001,$B$4,'Audit Log'!$T$2:$T$2001,"No",'Audit Log'!$C$2:$C$2001,$X432,'Audit Log'!$O$2:$O$2001,"Invalid")</f>
        <v/>
      </c>
      <c r="Z432">
        <f>$Y432+ROW()/100000</f>
        <v/>
      </c>
    </row>
    <row r="433">
      <c r="X433" t="inlineStr">
        <is>
          <t>Tiu, K8Lene Salvador</t>
        </is>
      </c>
      <c r="Y433">
        <f>COUNTIFS('Audit Log'!$B$2:$B$2001,"&gt;="&amp;$B$2,'Audit Log'!$F$2:$F$2001,$B$3,'Audit Log'!$S$2:$S$2001,$B$4,'Audit Log'!$T$2:$T$2001,"No",'Audit Log'!$C$2:$C$2001,$X433,'Audit Log'!$O$2:$O$2001,"Invalid")</f>
        <v/>
      </c>
      <c r="Z433">
        <f>$Y433+ROW()/100000</f>
        <v/>
      </c>
    </row>
    <row r="434">
      <c r="X434" t="inlineStr">
        <is>
          <t>Tolentino, Divine Grace Pastor</t>
        </is>
      </c>
      <c r="Y434">
        <f>COUNTIFS('Audit Log'!$B$2:$B$2001,"&gt;="&amp;$B$2,'Audit Log'!$F$2:$F$2001,$B$3,'Audit Log'!$S$2:$S$2001,$B$4,'Audit Log'!$T$2:$T$2001,"No",'Audit Log'!$C$2:$C$2001,$X434,'Audit Log'!$O$2:$O$2001,"Invalid")</f>
        <v/>
      </c>
      <c r="Z434">
        <f>$Y434+ROW()/100000</f>
        <v/>
      </c>
    </row>
    <row r="435">
      <c r="X435" t="inlineStr">
        <is>
          <t>Tolentino, Dominic Christopher Rustia</t>
        </is>
      </c>
      <c r="Y435">
        <f>COUNTIFS('Audit Log'!$B$2:$B$2001,"&gt;="&amp;$B$2,'Audit Log'!$F$2:$F$2001,$B$3,'Audit Log'!$S$2:$S$2001,$B$4,'Audit Log'!$T$2:$T$2001,"No",'Audit Log'!$C$2:$C$2001,$X435,'Audit Log'!$O$2:$O$2001,"Invalid")</f>
        <v/>
      </c>
      <c r="Z435">
        <f>$Y435+ROW()/100000</f>
        <v/>
      </c>
    </row>
    <row r="436">
      <c r="X436" t="inlineStr">
        <is>
          <t>Tolentino, Ruby Anne Ramos</t>
        </is>
      </c>
      <c r="Y436">
        <f>COUNTIFS('Audit Log'!$B$2:$B$2001,"&gt;="&amp;$B$2,'Audit Log'!$F$2:$F$2001,$B$3,'Audit Log'!$S$2:$S$2001,$B$4,'Audit Log'!$T$2:$T$2001,"No",'Audit Log'!$C$2:$C$2001,$X436,'Audit Log'!$O$2:$O$2001,"Invalid")</f>
        <v/>
      </c>
      <c r="Z436">
        <f>$Y436+ROW()/100000</f>
        <v/>
      </c>
    </row>
    <row r="437">
      <c r="X437" t="inlineStr">
        <is>
          <t>Toribio, Fiercieval Ariza</t>
        </is>
      </c>
      <c r="Y437">
        <f>COUNTIFS('Audit Log'!$B$2:$B$2001,"&gt;="&amp;$B$2,'Audit Log'!$F$2:$F$2001,$B$3,'Audit Log'!$S$2:$S$2001,$B$4,'Audit Log'!$T$2:$T$2001,"No",'Audit Log'!$C$2:$C$2001,$X437,'Audit Log'!$O$2:$O$2001,"Invalid")</f>
        <v/>
      </c>
      <c r="Z437">
        <f>$Y437+ROW()/100000</f>
        <v/>
      </c>
    </row>
    <row r="438">
      <c r="X438" t="inlineStr">
        <is>
          <t>Torres, Kenneth Nual</t>
        </is>
      </c>
      <c r="Y438">
        <f>COUNTIFS('Audit Log'!$B$2:$B$2001,"&gt;="&amp;$B$2,'Audit Log'!$F$2:$F$2001,$B$3,'Audit Log'!$S$2:$S$2001,$B$4,'Audit Log'!$T$2:$T$2001,"No",'Audit Log'!$C$2:$C$2001,$X438,'Audit Log'!$O$2:$O$2001,"Invalid")</f>
        <v/>
      </c>
      <c r="Z438">
        <f>$Y438+ROW()/100000</f>
        <v/>
      </c>
    </row>
    <row r="439">
      <c r="X439" t="inlineStr">
        <is>
          <t>Trinidad, Anya Carmina Tolentino</t>
        </is>
      </c>
      <c r="Y439">
        <f>COUNTIFS('Audit Log'!$B$2:$B$2001,"&gt;="&amp;$B$2,'Audit Log'!$F$2:$F$2001,$B$3,'Audit Log'!$S$2:$S$2001,$B$4,'Audit Log'!$T$2:$T$2001,"No",'Audit Log'!$C$2:$C$2001,$X439,'Audit Log'!$O$2:$O$2001,"Invalid")</f>
        <v/>
      </c>
      <c r="Z439">
        <f>$Y439+ROW()/100000</f>
        <v/>
      </c>
    </row>
    <row r="440">
      <c r="X440" t="inlineStr">
        <is>
          <t>Tulio, Lady Maureen Nayre</t>
        </is>
      </c>
      <c r="Y440">
        <f>COUNTIFS('Audit Log'!$B$2:$B$2001,"&gt;="&amp;$B$2,'Audit Log'!$F$2:$F$2001,$B$3,'Audit Log'!$S$2:$S$2001,$B$4,'Audit Log'!$T$2:$T$2001,"No",'Audit Log'!$C$2:$C$2001,$X440,'Audit Log'!$O$2:$O$2001,"Invalid")</f>
        <v/>
      </c>
      <c r="Z440">
        <f>$Y440+ROW()/100000</f>
        <v/>
      </c>
    </row>
    <row r="441">
      <c r="X441" t="inlineStr">
        <is>
          <t>Tumang, Louis Roberto Caparas</t>
        </is>
      </c>
      <c r="Y441">
        <f>COUNTIFS('Audit Log'!$B$2:$B$2001,"&gt;="&amp;$B$2,'Audit Log'!$F$2:$F$2001,$B$3,'Audit Log'!$S$2:$S$2001,$B$4,'Audit Log'!$T$2:$T$2001,"No",'Audit Log'!$C$2:$C$2001,$X441,'Audit Log'!$O$2:$O$2001,"Invalid")</f>
        <v/>
      </c>
      <c r="Z441">
        <f>$Y441+ROW()/100000</f>
        <v/>
      </c>
    </row>
    <row r="442">
      <c r="X442" t="inlineStr">
        <is>
          <t>Ugalino, Jonadel Pineda</t>
        </is>
      </c>
      <c r="Y442">
        <f>COUNTIFS('Audit Log'!$B$2:$B$2001,"&gt;="&amp;$B$2,'Audit Log'!$F$2:$F$2001,$B$3,'Audit Log'!$S$2:$S$2001,$B$4,'Audit Log'!$T$2:$T$2001,"No",'Audit Log'!$C$2:$C$2001,$X442,'Audit Log'!$O$2:$O$2001,"Invalid")</f>
        <v/>
      </c>
      <c r="Z442">
        <f>$Y442+ROW()/100000</f>
        <v/>
      </c>
    </row>
    <row r="443">
      <c r="X443" t="inlineStr">
        <is>
          <t>Umali, Mary Jane Baniqued</t>
        </is>
      </c>
      <c r="Y443">
        <f>COUNTIFS('Audit Log'!$B$2:$B$2001,"&gt;="&amp;$B$2,'Audit Log'!$F$2:$F$2001,$B$3,'Audit Log'!$S$2:$S$2001,$B$4,'Audit Log'!$T$2:$T$2001,"No",'Audit Log'!$C$2:$C$2001,$X443,'Audit Log'!$O$2:$O$2001,"Invalid")</f>
        <v/>
      </c>
      <c r="Z443">
        <f>$Y443+ROW()/100000</f>
        <v/>
      </c>
    </row>
    <row r="444">
      <c r="X444" t="inlineStr">
        <is>
          <t>Valdez, Jasmin Ances</t>
        </is>
      </c>
      <c r="Y444">
        <f>COUNTIFS('Audit Log'!$B$2:$B$2001,"&gt;="&amp;$B$2,'Audit Log'!$F$2:$F$2001,$B$3,'Audit Log'!$S$2:$S$2001,$B$4,'Audit Log'!$T$2:$T$2001,"No",'Audit Log'!$C$2:$C$2001,$X444,'Audit Log'!$O$2:$O$2001,"Invalid")</f>
        <v/>
      </c>
      <c r="Z444">
        <f>$Y444+ROW()/100000</f>
        <v/>
      </c>
    </row>
    <row r="445">
      <c r="X445" t="inlineStr">
        <is>
          <t>Vallo, Alyssa Marie Roy</t>
        </is>
      </c>
      <c r="Y445">
        <f>COUNTIFS('Audit Log'!$B$2:$B$2001,"&gt;="&amp;$B$2,'Audit Log'!$F$2:$F$2001,$B$3,'Audit Log'!$S$2:$S$2001,$B$4,'Audit Log'!$T$2:$T$2001,"No",'Audit Log'!$C$2:$C$2001,$X445,'Audit Log'!$O$2:$O$2001,"Invalid")</f>
        <v/>
      </c>
      <c r="Z445">
        <f>$Y445+ROW()/100000</f>
        <v/>
      </c>
    </row>
    <row r="446">
      <c r="X446" t="inlineStr">
        <is>
          <t>Vedia, Jerson Reyes</t>
        </is>
      </c>
      <c r="Y446">
        <f>COUNTIFS('Audit Log'!$B$2:$B$2001,"&gt;="&amp;$B$2,'Audit Log'!$F$2:$F$2001,$B$3,'Audit Log'!$S$2:$S$2001,$B$4,'Audit Log'!$T$2:$T$2001,"No",'Audit Log'!$C$2:$C$2001,$X446,'Audit Log'!$O$2:$O$2001,"Invalid")</f>
        <v/>
      </c>
      <c r="Z446">
        <f>$Y446+ROW()/100000</f>
        <v/>
      </c>
    </row>
    <row r="447">
      <c r="X447" t="inlineStr">
        <is>
          <t>Vertudez, Nicole Mancia</t>
        </is>
      </c>
      <c r="Y447">
        <f>COUNTIFS('Audit Log'!$B$2:$B$2001,"&gt;="&amp;$B$2,'Audit Log'!$F$2:$F$2001,$B$3,'Audit Log'!$S$2:$S$2001,$B$4,'Audit Log'!$T$2:$T$2001,"No",'Audit Log'!$C$2:$C$2001,$X447,'Audit Log'!$O$2:$O$2001,"Invalid")</f>
        <v/>
      </c>
      <c r="Z447">
        <f>$Y447+ROW()/100000</f>
        <v/>
      </c>
    </row>
    <row r="448">
      <c r="X448" t="inlineStr">
        <is>
          <t>Victohay, Arjay Marie Olbisano</t>
        </is>
      </c>
      <c r="Y448">
        <f>COUNTIFS('Audit Log'!$B$2:$B$2001,"&gt;="&amp;$B$2,'Audit Log'!$F$2:$F$2001,$B$3,'Audit Log'!$S$2:$S$2001,$B$4,'Audit Log'!$T$2:$T$2001,"No",'Audit Log'!$C$2:$C$2001,$X448,'Audit Log'!$O$2:$O$2001,"Invalid")</f>
        <v/>
      </c>
      <c r="Z448">
        <f>$Y448+ROW()/100000</f>
        <v/>
      </c>
    </row>
    <row r="449">
      <c r="X449" t="inlineStr">
        <is>
          <t>Villagracia, Crisanta Campos</t>
        </is>
      </c>
      <c r="Y449">
        <f>COUNTIFS('Audit Log'!$B$2:$B$2001,"&gt;="&amp;$B$2,'Audit Log'!$F$2:$F$2001,$B$3,'Audit Log'!$S$2:$S$2001,$B$4,'Audit Log'!$T$2:$T$2001,"No",'Audit Log'!$C$2:$C$2001,$X449,'Audit Log'!$O$2:$O$2001,"Invalid")</f>
        <v/>
      </c>
      <c r="Z449">
        <f>$Y449+ROW()/100000</f>
        <v/>
      </c>
    </row>
    <row r="450">
      <c r="X450" t="inlineStr">
        <is>
          <t>Villaluboz, Jay M Malusay</t>
        </is>
      </c>
      <c r="Y450">
        <f>COUNTIFS('Audit Log'!$B$2:$B$2001,"&gt;="&amp;$B$2,'Audit Log'!$F$2:$F$2001,$B$3,'Audit Log'!$S$2:$S$2001,$B$4,'Audit Log'!$T$2:$T$2001,"No",'Audit Log'!$C$2:$C$2001,$X450,'Audit Log'!$O$2:$O$2001,"Invalid")</f>
        <v/>
      </c>
      <c r="Z450">
        <f>$Y450+ROW()/100000</f>
        <v/>
      </c>
    </row>
    <row r="451">
      <c r="X451" t="inlineStr">
        <is>
          <t>Villamor, Joel Santos</t>
        </is>
      </c>
      <c r="Y451">
        <f>COUNTIFS('Audit Log'!$B$2:$B$2001,"&gt;="&amp;$B$2,'Audit Log'!$F$2:$F$2001,$B$3,'Audit Log'!$S$2:$S$2001,$B$4,'Audit Log'!$T$2:$T$2001,"No",'Audit Log'!$C$2:$C$2001,$X451,'Audit Log'!$O$2:$O$2001,"Invalid")</f>
        <v/>
      </c>
      <c r="Z451">
        <f>$Y451+ROW()/100000</f>
        <v/>
      </c>
    </row>
    <row r="452">
      <c r="X452" t="inlineStr">
        <is>
          <t>Villania, Kenneth Paciente</t>
        </is>
      </c>
      <c r="Y452">
        <f>COUNTIFS('Audit Log'!$B$2:$B$2001,"&gt;="&amp;$B$2,'Audit Log'!$F$2:$F$2001,$B$3,'Audit Log'!$S$2:$S$2001,$B$4,'Audit Log'!$T$2:$T$2001,"No",'Audit Log'!$C$2:$C$2001,$X452,'Audit Log'!$O$2:$O$2001,"Invalid")</f>
        <v/>
      </c>
      <c r="Z452">
        <f>$Y452+ROW()/100000</f>
        <v/>
      </c>
    </row>
    <row r="453">
      <c r="X453" t="inlineStr">
        <is>
          <t>Villanueva, Jiah Marie Pogoy</t>
        </is>
      </c>
      <c r="Y453">
        <f>COUNTIFS('Audit Log'!$B$2:$B$2001,"&gt;="&amp;$B$2,'Audit Log'!$F$2:$F$2001,$B$3,'Audit Log'!$S$2:$S$2001,$B$4,'Audit Log'!$T$2:$T$2001,"No",'Audit Log'!$C$2:$C$2001,$X453,'Audit Log'!$O$2:$O$2001,"Invalid")</f>
        <v/>
      </c>
      <c r="Z453">
        <f>$Y453+ROW()/100000</f>
        <v/>
      </c>
    </row>
    <row r="454">
      <c r="X454" t="inlineStr">
        <is>
          <t>Villarante, Mark Anthony Nepomuceno</t>
        </is>
      </c>
      <c r="Y454">
        <f>COUNTIFS('Audit Log'!$B$2:$B$2001,"&gt;="&amp;$B$2,'Audit Log'!$F$2:$F$2001,$B$3,'Audit Log'!$S$2:$S$2001,$B$4,'Audit Log'!$T$2:$T$2001,"No",'Audit Log'!$C$2:$C$2001,$X454,'Audit Log'!$O$2:$O$2001,"Invalid")</f>
        <v/>
      </c>
      <c r="Z454">
        <f>$Y454+ROW()/100000</f>
        <v/>
      </c>
    </row>
    <row r="455">
      <c r="X455" t="inlineStr">
        <is>
          <t>Villaroman, Katherine Ross Fernandez</t>
        </is>
      </c>
      <c r="Y455">
        <f>COUNTIFS('Audit Log'!$B$2:$B$2001,"&gt;="&amp;$B$2,'Audit Log'!$F$2:$F$2001,$B$3,'Audit Log'!$S$2:$S$2001,$B$4,'Audit Log'!$T$2:$T$2001,"No",'Audit Log'!$C$2:$C$2001,$X455,'Audit Log'!$O$2:$O$2001,"Invalid")</f>
        <v/>
      </c>
      <c r="Z455">
        <f>$Y455+ROW()/100000</f>
        <v/>
      </c>
    </row>
    <row r="456">
      <c r="X456" t="inlineStr">
        <is>
          <t>Villaruz, Maria Lucia Sunshine Dulfo</t>
        </is>
      </c>
      <c r="Y456">
        <f>COUNTIFS('Audit Log'!$B$2:$B$2001,"&gt;="&amp;$B$2,'Audit Log'!$F$2:$F$2001,$B$3,'Audit Log'!$S$2:$S$2001,$B$4,'Audit Log'!$T$2:$T$2001,"No",'Audit Log'!$C$2:$C$2001,$X456,'Audit Log'!$O$2:$O$2001,"Invalid")</f>
        <v/>
      </c>
      <c r="Z456">
        <f>$Y456+ROW()/100000</f>
        <v/>
      </c>
    </row>
    <row r="457">
      <c r="X457" t="inlineStr">
        <is>
          <t>Vino, Jasmin Tancuan</t>
        </is>
      </c>
      <c r="Y457">
        <f>COUNTIFS('Audit Log'!$B$2:$B$2001,"&gt;="&amp;$B$2,'Audit Log'!$F$2:$F$2001,$B$3,'Audit Log'!$S$2:$S$2001,$B$4,'Audit Log'!$T$2:$T$2001,"No",'Audit Log'!$C$2:$C$2001,$X457,'Audit Log'!$O$2:$O$2001,"Invalid")</f>
        <v/>
      </c>
      <c r="Z457">
        <f>$Y457+ROW()/100000</f>
        <v/>
      </c>
    </row>
    <row r="458">
      <c r="X458" t="inlineStr">
        <is>
          <t>Vistan, Veronica Bondoc</t>
        </is>
      </c>
      <c r="Y458">
        <f>COUNTIFS('Audit Log'!$B$2:$B$2001,"&gt;="&amp;$B$2,'Audit Log'!$F$2:$F$2001,$B$3,'Audit Log'!$S$2:$S$2001,$B$4,'Audit Log'!$T$2:$T$2001,"No",'Audit Log'!$C$2:$C$2001,$X458,'Audit Log'!$O$2:$O$2001,"Invalid")</f>
        <v/>
      </c>
      <c r="Z458">
        <f>$Y458+ROW()/100000</f>
        <v/>
      </c>
    </row>
    <row r="459">
      <c r="X459" t="inlineStr">
        <is>
          <t>Vizcayno, Jezzel Seva</t>
        </is>
      </c>
      <c r="Y459">
        <f>COUNTIFS('Audit Log'!$B$2:$B$2001,"&gt;="&amp;$B$2,'Audit Log'!$F$2:$F$2001,$B$3,'Audit Log'!$S$2:$S$2001,$B$4,'Audit Log'!$T$2:$T$2001,"No",'Audit Log'!$C$2:$C$2001,$X459,'Audit Log'!$O$2:$O$2001,"Invalid")</f>
        <v/>
      </c>
      <c r="Z459">
        <f>$Y459+ROW()/100000</f>
        <v/>
      </c>
    </row>
    <row r="460">
      <c r="X460" t="inlineStr">
        <is>
          <t>Yabut, Trina Marie Armenio</t>
        </is>
      </c>
      <c r="Y460">
        <f>COUNTIFS('Audit Log'!$B$2:$B$2001,"&gt;="&amp;$B$2,'Audit Log'!$F$2:$F$2001,$B$3,'Audit Log'!$S$2:$S$2001,$B$4,'Audit Log'!$T$2:$T$2001,"No",'Audit Log'!$C$2:$C$2001,$X460,'Audit Log'!$O$2:$O$2001,"Invalid")</f>
        <v/>
      </c>
      <c r="Z460">
        <f>$Y460+ROW()/100000</f>
        <v/>
      </c>
    </row>
    <row r="461">
      <c r="X461" t="inlineStr">
        <is>
          <t>Yalong Jr., Mario Liberato</t>
        </is>
      </c>
      <c r="Y461">
        <f>COUNTIFS('Audit Log'!$B$2:$B$2001,"&gt;="&amp;$B$2,'Audit Log'!$F$2:$F$2001,$B$3,'Audit Log'!$S$2:$S$2001,$B$4,'Audit Log'!$T$2:$T$2001,"No",'Audit Log'!$C$2:$C$2001,$X461,'Audit Log'!$O$2:$O$2001,"Invalid")</f>
        <v/>
      </c>
      <c r="Z461">
        <f>$Y461+ROW()/100000</f>
        <v/>
      </c>
    </row>
    <row r="462">
      <c r="X462" t="inlineStr">
        <is>
          <t>Yao, Patrick Acoba</t>
        </is>
      </c>
      <c r="Y462">
        <f>COUNTIFS('Audit Log'!$B$2:$B$2001,"&gt;="&amp;$B$2,'Audit Log'!$F$2:$F$2001,$B$3,'Audit Log'!$S$2:$S$2001,$B$4,'Audit Log'!$T$2:$T$2001,"No",'Audit Log'!$C$2:$C$2001,$X462,'Audit Log'!$O$2:$O$2001,"Invalid")</f>
        <v/>
      </c>
      <c r="Z462">
        <f>$Y462+ROW()/100000</f>
        <v/>
      </c>
    </row>
    <row r="463">
      <c r="X463" t="inlineStr">
        <is>
          <t>Yu, Haji Hernandez</t>
        </is>
      </c>
      <c r="Y463">
        <f>COUNTIFS('Audit Log'!$B$2:$B$2001,"&gt;="&amp;$B$2,'Audit Log'!$F$2:$F$2001,$B$3,'Audit Log'!$S$2:$S$2001,$B$4,'Audit Log'!$T$2:$T$2001,"No",'Audit Log'!$C$2:$C$2001,$X463,'Audit Log'!$O$2:$O$2001,"Invalid")</f>
        <v/>
      </c>
      <c r="Z463">
        <f>$Y463+ROW()/100000</f>
        <v/>
      </c>
    </row>
    <row r="464">
      <c r="X464" t="inlineStr">
        <is>
          <t>Yusi, Janna Patricia Nmn</t>
        </is>
      </c>
      <c r="Y464">
        <f>COUNTIFS('Audit Log'!$B$2:$B$2001,"&gt;="&amp;$B$2,'Audit Log'!$F$2:$F$2001,$B$3,'Audit Log'!$S$2:$S$2001,$B$4,'Audit Log'!$T$2:$T$2001,"No",'Audit Log'!$C$2:$C$2001,$X464,'Audit Log'!$O$2:$O$2001,"Invalid")</f>
        <v/>
      </c>
      <c r="Z464">
        <f>$Y464+ROW()/100000</f>
        <v/>
      </c>
    </row>
    <row r="465">
      <c r="X465" t="inlineStr">
        <is>
          <t>Zafra, June Darelle Singson</t>
        </is>
      </c>
      <c r="Y465">
        <f>COUNTIFS('Audit Log'!$B$2:$B$2001,"&gt;="&amp;$B$2,'Audit Log'!$F$2:$F$2001,$B$3,'Audit Log'!$S$2:$S$2001,$B$4,'Audit Log'!$T$2:$T$2001,"No",'Audit Log'!$C$2:$C$2001,$X465,'Audit Log'!$O$2:$O$2001,"Invalid")</f>
        <v/>
      </c>
      <c r="Z465">
        <f>$Y465+ROW()/100000</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C465"/>
  <sheetViews>
    <sheetView workbookViewId="0">
      <selection activeCell="A1" sqref="A1"/>
    </sheetView>
  </sheetViews>
  <sheetFormatPr baseColWidth="8" defaultRowHeight="15"/>
  <sheetData>
    <row r="1">
      <c r="A1" t="inlineStr">
        <is>
          <t>filter engine</t>
        </is>
      </c>
      <c r="D1" t="inlineStr">
        <is>
          <t>day</t>
        </is>
      </c>
      <c r="E1" t="inlineStr">
        <is>
          <t>audits</t>
        </is>
      </c>
      <c r="G1" t="inlineStr">
        <is>
          <t>invalid reason</t>
        </is>
      </c>
      <c r="H1" t="inlineStr">
        <is>
          <t>defects</t>
        </is>
      </c>
      <c r="I1" t="inlineStr">
        <is>
          <t>rank helper</t>
        </is>
      </c>
      <c r="K1" t="inlineStr">
        <is>
          <t>top code</t>
        </is>
      </c>
      <c r="L1" t="inlineStr">
        <is>
          <t>defects</t>
        </is>
      </c>
      <c r="N1" t="inlineStr">
        <is>
          <t>TL</t>
        </is>
      </c>
      <c r="O1" t="inlineStr">
        <is>
          <t>audits</t>
        </is>
      </c>
      <c r="P1" t="inlineStr">
        <is>
          <t>valid</t>
        </is>
      </c>
      <c r="Q1" t="inlineStr">
        <is>
          <t>rank</t>
        </is>
      </c>
      <c r="R1" t="inlineStr">
        <is>
          <t>pass</t>
        </is>
      </c>
      <c r="T1" t="inlineStr">
        <is>
          <t>top TL</t>
        </is>
      </c>
      <c r="U1" t="inlineStr">
        <is>
          <t>audits</t>
        </is>
      </c>
      <c r="V1" t="inlineStr">
        <is>
          <t>pass %</t>
        </is>
      </c>
      <c r="X1" t="inlineStr">
        <is>
          <t>agent</t>
        </is>
      </c>
      <c r="Y1" t="inlineStr">
        <is>
          <t>defects</t>
        </is>
      </c>
      <c r="Z1" t="inlineStr">
        <is>
          <t>rank</t>
        </is>
      </c>
      <c r="AB1" t="inlineStr">
        <is>
          <t>top agent</t>
        </is>
      </c>
      <c r="AC1" t="inlineStr">
        <is>
          <t>defects</t>
        </is>
      </c>
    </row>
    <row r="2">
      <c r="A2" t="inlineStr">
        <is>
          <t>startDate</t>
        </is>
      </c>
      <c r="B2">
        <f>IF('Quick Case Dashboard'!$C$2="All Time",0,IF('Quick Case Dashboard'!$C$2="Today",TODAY(),IF('Quick Case Dashboard'!$C$2="Last 7 Days",TODAY()-6,IF('Quick Case Dashboard'!$C$2="Last 14 Days",TODAY()-13,IF('Quick Case Dashboard'!$C$2="Last 30 Days",TODAY()-29,DATE(YEAR(TODAY()),MONTH(TODAY()),1))))))</f>
        <v/>
      </c>
      <c r="D2" s="29">
        <f>TODAY()-13</f>
        <v/>
      </c>
      <c r="E2">
        <f>COUNTIFS('Audit Log'!$B$2:$B$2001,$D2,'Audit Log'!$F$2:$F$2001,$B$3,'Audit Log'!$S$2:$S$2001,$B$4,'Audit Log'!$T$2:$T$2001,"Yes",'Audit Log'!$O$2:$O$2001,$B$5)</f>
        <v/>
      </c>
      <c r="G2" t="inlineStr">
        <is>
          <t>Quick Case (Invalid)</t>
        </is>
      </c>
      <c r="H2">
        <f>COUNTIFS('Audit Log'!$B$2:$B$2001,"&gt;="&amp;$B$2,'Audit Log'!$F$2:$F$2001,$B$3,'Audit Log'!$S$2:$S$2001,$B$4,'Audit Log'!$T$2:$T$2001,"Yes",'Audit Log'!$P$2:$P$2001,$G2)</f>
        <v/>
      </c>
      <c r="I2">
        <f>$H2+ROW()/100000</f>
        <v/>
      </c>
      <c r="K2">
        <f>IFERROR(INDEX($G$2:$G$14,MATCH(LARGE($I$2:$I$14,1),$I$2:$I$14,0)),"")</f>
        <v/>
      </c>
      <c r="L2">
        <f>IFERROR(INT(LARGE($I$2:$I$14,1)),0)</f>
        <v/>
      </c>
      <c r="N2" t="inlineStr">
        <is>
          <t>Adrales, Allen Rick Aguilar</t>
        </is>
      </c>
      <c r="O2">
        <f>COUNTIFS('Audit Log'!$B$2:$B$2001,"&gt;="&amp;$B$2,'Audit Log'!$F$2:$F$2001,$N2,'Audit Log'!$S$2:$S$2001,$B$4,'Audit Log'!$T$2:$T$2001,"Yes")</f>
        <v/>
      </c>
      <c r="P2">
        <f>COUNTIFS('Audit Log'!$B$2:$B$2001,"&gt;="&amp;$B$2,'Audit Log'!$F$2:$F$2001,$N2,'Audit Log'!$S$2:$S$2001,$B$4,'Audit Log'!$T$2:$T$2001,"Yes",'Audit Log'!$O$2:$O$2001,"Valid")</f>
        <v/>
      </c>
      <c r="Q2">
        <f>$O2+ROW()/100000</f>
        <v/>
      </c>
      <c r="R2">
        <f>IFERROR($P2/$O2,0)</f>
        <v/>
      </c>
      <c r="T2">
        <f>IFERROR(INDEX($N$2:$N$40,MATCH(LARGE($Q$2:$Q$40,1),$Q$2:$Q$40,0)),"")</f>
        <v/>
      </c>
      <c r="U2">
        <f>IFERROR(INT(LARGE($Q$2:$Q$40,1)),0)</f>
        <v/>
      </c>
      <c r="V2" s="30">
        <f>IFERROR(INDEX($R$2:$R$40,MATCH(LARGE($Q$2:$Q$40,1),$Q$2:$Q$40,0)),0)</f>
        <v/>
      </c>
      <c r="X2" t="inlineStr">
        <is>
          <t>Abad, Roberto Jr Marquez</t>
        </is>
      </c>
      <c r="Y2">
        <f>COUNTIFS('Audit Log'!$B$2:$B$2001,"&gt;="&amp;$B$2,'Audit Log'!$F$2:$F$2001,$B$3,'Audit Log'!$S$2:$S$2001,$B$4,'Audit Log'!$T$2:$T$2001,"Yes",'Audit Log'!$C$2:$C$2001,$X2,'Audit Log'!$O$2:$O$2001,"Invalid")</f>
        <v/>
      </c>
      <c r="Z2">
        <f>$Y2+ROW()/100000</f>
        <v/>
      </c>
      <c r="AB2">
        <f>IFERROR(INDEX($X$2:$X$465,MATCH(LARGE($Z$2:$Z$465,1),$Z$2:$Z$465,0)),"")</f>
        <v/>
      </c>
      <c r="AC2">
        <f>IFERROR(INT(LARGE($Z$2:$Z$465,1)),0)</f>
        <v/>
      </c>
    </row>
    <row r="3">
      <c r="A3" t="inlineStr">
        <is>
          <t>tlCrit</t>
        </is>
      </c>
      <c r="B3">
        <f>IF('Quick Case Dashboard'!$E$2="All Team Leaders","*",'Quick Case Dashboard'!$E$2)</f>
        <v/>
      </c>
      <c r="D3" s="29">
        <f>TODAY()-12</f>
        <v/>
      </c>
      <c r="E3">
        <f>COUNTIFS('Audit Log'!$B$2:$B$2001,$D3,'Audit Log'!$F$2:$F$2001,$B$3,'Audit Log'!$S$2:$S$2001,$B$4,'Audit Log'!$T$2:$T$2001,"Yes",'Audit Log'!$O$2:$O$2001,$B$5)</f>
        <v/>
      </c>
      <c r="G3" t="inlineStr">
        <is>
          <t>No Support Provided (Security Stop/Hold / Global Trade Fail)</t>
        </is>
      </c>
      <c r="H3">
        <f>COUNTIFS('Audit Log'!$B$2:$B$2001,"&gt;="&amp;$B$2,'Audit Log'!$F$2:$F$2001,$B$3,'Audit Log'!$S$2:$S$2001,$B$4,'Audit Log'!$T$2:$T$2001,"Yes",'Audit Log'!$P$2:$P$2001,$G3)</f>
        <v/>
      </c>
      <c r="I3">
        <f>$H3+ROW()/100000</f>
        <v/>
      </c>
      <c r="K3">
        <f>IFERROR(INDEX($G$2:$G$14,MATCH(LARGE($I$2:$I$14,2),$I$2:$I$14,0)),"")</f>
        <v/>
      </c>
      <c r="L3">
        <f>IFERROR(INT(LARGE($I$2:$I$14,2)),0)</f>
        <v/>
      </c>
      <c r="N3" t="inlineStr">
        <is>
          <t>Agustin, Alexander Veloso</t>
        </is>
      </c>
      <c r="O3">
        <f>COUNTIFS('Audit Log'!$B$2:$B$2001,"&gt;="&amp;$B$2,'Audit Log'!$F$2:$F$2001,$N3,'Audit Log'!$S$2:$S$2001,$B$4,'Audit Log'!$T$2:$T$2001,"Yes")</f>
        <v/>
      </c>
      <c r="P3">
        <f>COUNTIFS('Audit Log'!$B$2:$B$2001,"&gt;="&amp;$B$2,'Audit Log'!$F$2:$F$2001,$N3,'Audit Log'!$S$2:$S$2001,$B$4,'Audit Log'!$T$2:$T$2001,"Yes",'Audit Log'!$O$2:$O$2001,"Valid")</f>
        <v/>
      </c>
      <c r="Q3">
        <f>$O3+ROW()/100000</f>
        <v/>
      </c>
      <c r="R3">
        <f>IFERROR($P3/$O3,0)</f>
        <v/>
      </c>
      <c r="T3">
        <f>IFERROR(INDEX($N$2:$N$40,MATCH(LARGE($Q$2:$Q$40,2),$Q$2:$Q$40,0)),"")</f>
        <v/>
      </c>
      <c r="U3">
        <f>IFERROR(INT(LARGE($Q$2:$Q$40,2)),0)</f>
        <v/>
      </c>
      <c r="V3" s="30">
        <f>IFERROR(INDEX($R$2:$R$40,MATCH(LARGE($Q$2:$Q$40,2),$Q$2:$Q$40,0)),0)</f>
        <v/>
      </c>
      <c r="X3" t="inlineStr">
        <is>
          <t>Abadilla, Paul Justin Aleguiojo</t>
        </is>
      </c>
      <c r="Y3">
        <f>COUNTIFS('Audit Log'!$B$2:$B$2001,"&gt;="&amp;$B$2,'Audit Log'!$F$2:$F$2001,$B$3,'Audit Log'!$S$2:$S$2001,$B$4,'Audit Log'!$T$2:$T$2001,"Yes",'Audit Log'!$C$2:$C$2001,$X3,'Audit Log'!$O$2:$O$2001,"Invalid")</f>
        <v/>
      </c>
      <c r="Z3">
        <f>$Y3+ROW()/100000</f>
        <v/>
      </c>
      <c r="AB3">
        <f>IFERROR(INDEX($X$2:$X$465,MATCH(LARGE($Z$2:$Z$465,2),$Z$2:$Z$465,0)),"")</f>
        <v/>
      </c>
      <c r="AC3">
        <f>IFERROR(INT(LARGE($Z$2:$Z$465,2)),0)</f>
        <v/>
      </c>
    </row>
    <row r="4">
      <c r="A4" t="inlineStr">
        <is>
          <t>auditorCrit</t>
        </is>
      </c>
      <c r="B4">
        <f>IF('Quick Case Dashboard'!$G$2="All Auditors","*",'Quick Case Dashboard'!$G$2)</f>
        <v/>
      </c>
      <c r="D4" s="29">
        <f>TODAY()-11</f>
        <v/>
      </c>
      <c r="E4">
        <f>COUNTIFS('Audit Log'!$B$2:$B$2001,$D4,'Audit Log'!$F$2:$F$2001,$B$3,'Audit Log'!$S$2:$S$2001,$B$4,'Audit Log'!$T$2:$T$2001,"Yes",'Audit Log'!$O$2:$O$2001,$B$5)</f>
        <v/>
      </c>
      <c r="G4" t="inlineStr">
        <is>
          <t>Cancel Per Customer / No Contact (CPC/NC)</t>
        </is>
      </c>
      <c r="H4">
        <f>COUNTIFS('Audit Log'!$B$2:$B$2001,"&gt;="&amp;$B$2,'Audit Log'!$F$2:$F$2001,$B$3,'Audit Log'!$S$2:$S$2001,$B$4,'Audit Log'!$T$2:$T$2001,"Yes",'Audit Log'!$P$2:$P$2001,$G4)</f>
        <v/>
      </c>
      <c r="I4">
        <f>$H4+ROW()/100000</f>
        <v/>
      </c>
      <c r="K4">
        <f>IFERROR(INDEX($G$2:$G$14,MATCH(LARGE($I$2:$I$14,3),$I$2:$I$14,0)),"")</f>
        <v/>
      </c>
      <c r="L4">
        <f>IFERROR(INT(LARGE($I$2:$I$14,3)),0)</f>
        <v/>
      </c>
      <c r="N4" t="inlineStr">
        <is>
          <t>Aluning, Alain-Angelo Cangco</t>
        </is>
      </c>
      <c r="O4">
        <f>COUNTIFS('Audit Log'!$B$2:$B$2001,"&gt;="&amp;$B$2,'Audit Log'!$F$2:$F$2001,$N4,'Audit Log'!$S$2:$S$2001,$B$4,'Audit Log'!$T$2:$T$2001,"Yes")</f>
        <v/>
      </c>
      <c r="P4">
        <f>COUNTIFS('Audit Log'!$B$2:$B$2001,"&gt;="&amp;$B$2,'Audit Log'!$F$2:$F$2001,$N4,'Audit Log'!$S$2:$S$2001,$B$4,'Audit Log'!$T$2:$T$2001,"Yes",'Audit Log'!$O$2:$O$2001,"Valid")</f>
        <v/>
      </c>
      <c r="Q4">
        <f>$O4+ROW()/100000</f>
        <v/>
      </c>
      <c r="R4">
        <f>IFERROR($P4/$O4,0)</f>
        <v/>
      </c>
      <c r="T4">
        <f>IFERROR(INDEX($N$2:$N$40,MATCH(LARGE($Q$2:$Q$40,3),$Q$2:$Q$40,0)),"")</f>
        <v/>
      </c>
      <c r="U4">
        <f>IFERROR(INT(LARGE($Q$2:$Q$40,3)),0)</f>
        <v/>
      </c>
      <c r="V4" s="30">
        <f>IFERROR(INDEX($R$2:$R$40,MATCH(LARGE($Q$2:$Q$40,3),$Q$2:$Q$40,0)),0)</f>
        <v/>
      </c>
      <c r="X4" t="inlineStr">
        <is>
          <t>Abella, Asianicole Cuambot</t>
        </is>
      </c>
      <c r="Y4">
        <f>COUNTIFS('Audit Log'!$B$2:$B$2001,"&gt;="&amp;$B$2,'Audit Log'!$F$2:$F$2001,$B$3,'Audit Log'!$S$2:$S$2001,$B$4,'Audit Log'!$T$2:$T$2001,"Yes",'Audit Log'!$C$2:$C$2001,$X4,'Audit Log'!$O$2:$O$2001,"Invalid")</f>
        <v/>
      </c>
      <c r="Z4">
        <f>$Y4+ROW()/100000</f>
        <v/>
      </c>
      <c r="AB4">
        <f>IFERROR(INDEX($X$2:$X$465,MATCH(LARGE($Z$2:$Z$465,3),$Z$2:$Z$465,0)),"")</f>
        <v/>
      </c>
      <c r="AC4">
        <f>IFERROR(INT(LARGE($Z$2:$Z$465,3)),0)</f>
        <v/>
      </c>
    </row>
    <row r="5">
      <c r="A5" t="inlineStr">
        <is>
          <t>valCrit</t>
        </is>
      </c>
      <c r="B5">
        <f>IF('Quick Case Dashboard'!$I$2="All Statuses","*",'Quick Case Dashboard'!$I$2)</f>
        <v/>
      </c>
      <c r="D5" s="29">
        <f>TODAY()-10</f>
        <v/>
      </c>
      <c r="E5">
        <f>COUNTIFS('Audit Log'!$B$2:$B$2001,$D5,'Audit Log'!$F$2:$F$2001,$B$3,'Audit Log'!$S$2:$S$2001,$B$4,'Audit Log'!$T$2:$T$2001,"Yes",'Audit Log'!$O$2:$O$2001,$B$5)</f>
        <v/>
      </c>
      <c r="G5" t="inlineStr">
        <is>
          <t>Case Voided (Test Case / Duplicate / Created by Mistake)</t>
        </is>
      </c>
      <c r="H5">
        <f>COUNTIFS('Audit Log'!$B$2:$B$2001,"&gt;="&amp;$B$2,'Audit Log'!$F$2:$F$2001,$B$3,'Audit Log'!$S$2:$S$2001,$B$4,'Audit Log'!$T$2:$T$2001,"Yes",'Audit Log'!$P$2:$P$2001,$G5)</f>
        <v/>
      </c>
      <c r="I5">
        <f>$H5+ROW()/100000</f>
        <v/>
      </c>
      <c r="K5">
        <f>IFERROR(INDEX($G$2:$G$14,MATCH(LARGE($I$2:$I$14,4),$I$2:$I$14,0)),"")</f>
        <v/>
      </c>
      <c r="L5">
        <f>IFERROR(INT(LARGE($I$2:$I$14,4)),0)</f>
        <v/>
      </c>
      <c r="N5" t="inlineStr">
        <is>
          <t>Andrecoso, April Melody Sunga</t>
        </is>
      </c>
      <c r="O5">
        <f>COUNTIFS('Audit Log'!$B$2:$B$2001,"&gt;="&amp;$B$2,'Audit Log'!$F$2:$F$2001,$N5,'Audit Log'!$S$2:$S$2001,$B$4,'Audit Log'!$T$2:$T$2001,"Yes")</f>
        <v/>
      </c>
      <c r="P5">
        <f>COUNTIFS('Audit Log'!$B$2:$B$2001,"&gt;="&amp;$B$2,'Audit Log'!$F$2:$F$2001,$N5,'Audit Log'!$S$2:$S$2001,$B$4,'Audit Log'!$T$2:$T$2001,"Yes",'Audit Log'!$O$2:$O$2001,"Valid")</f>
        <v/>
      </c>
      <c r="Q5">
        <f>$O5+ROW()/100000</f>
        <v/>
      </c>
      <c r="R5">
        <f>IFERROR($P5/$O5,0)</f>
        <v/>
      </c>
      <c r="T5">
        <f>IFERROR(INDEX($N$2:$N$40,MATCH(LARGE($Q$2:$Q$40,4),$Q$2:$Q$40,0)),"")</f>
        <v/>
      </c>
      <c r="U5">
        <f>IFERROR(INT(LARGE($Q$2:$Q$40,4)),0)</f>
        <v/>
      </c>
      <c r="V5" s="30">
        <f>IFERROR(INDEX($R$2:$R$40,MATCH(LARGE($Q$2:$Q$40,4),$Q$2:$Q$40,0)),0)</f>
        <v/>
      </c>
      <c r="X5" t="inlineStr">
        <is>
          <t>Abella, Ma. Divina Centino</t>
        </is>
      </c>
      <c r="Y5">
        <f>COUNTIFS('Audit Log'!$B$2:$B$2001,"&gt;="&amp;$B$2,'Audit Log'!$F$2:$F$2001,$B$3,'Audit Log'!$S$2:$S$2001,$B$4,'Audit Log'!$T$2:$T$2001,"Yes",'Audit Log'!$C$2:$C$2001,$X5,'Audit Log'!$O$2:$O$2001,"Invalid")</f>
        <v/>
      </c>
      <c r="Z5">
        <f>$Y5+ROW()/100000</f>
        <v/>
      </c>
      <c r="AB5">
        <f>IFERROR(INDEX($X$2:$X$465,MATCH(LARGE($Z$2:$Z$465,4),$Z$2:$Z$465,0)),"")</f>
        <v/>
      </c>
      <c r="AC5">
        <f>IFERROR(INT(LARGE($Z$2:$Z$465,4)),0)</f>
        <v/>
      </c>
    </row>
    <row r="6">
      <c r="D6" s="29">
        <f>TODAY()-9</f>
        <v/>
      </c>
      <c r="E6">
        <f>COUNTIFS('Audit Log'!$B$2:$B$2001,$D6,'Audit Log'!$F$2:$F$2001,$B$3,'Audit Log'!$S$2:$S$2001,$B$4,'Audit Log'!$T$2:$T$2001,"Yes",'Audit Log'!$O$2:$O$2001,$B$5)</f>
        <v/>
      </c>
      <c r="G6" t="inlineStr">
        <is>
          <t>Non-Tech Solution (General Inquiry / Warranty / How-To)</t>
        </is>
      </c>
      <c r="H6">
        <f>COUNTIFS('Audit Log'!$B$2:$B$2001,"&gt;="&amp;$B$2,'Audit Log'!$F$2:$F$2001,$B$3,'Audit Log'!$S$2:$S$2001,$B$4,'Audit Log'!$T$2:$T$2001,"Yes",'Audit Log'!$P$2:$P$2001,$G6)</f>
        <v/>
      </c>
      <c r="I6">
        <f>$H6+ROW()/100000</f>
        <v/>
      </c>
      <c r="K6">
        <f>IFERROR(INDEX($G$2:$G$14,MATCH(LARGE($I$2:$I$14,5),$I$2:$I$14,0)),"")</f>
        <v/>
      </c>
      <c r="L6">
        <f>IFERROR(INT(LARGE($I$2:$I$14,5)),0)</f>
        <v/>
      </c>
      <c r="N6" t="inlineStr">
        <is>
          <t>Arcena, Alberto Chua</t>
        </is>
      </c>
      <c r="O6">
        <f>COUNTIFS('Audit Log'!$B$2:$B$2001,"&gt;="&amp;$B$2,'Audit Log'!$F$2:$F$2001,$N6,'Audit Log'!$S$2:$S$2001,$B$4,'Audit Log'!$T$2:$T$2001,"Yes")</f>
        <v/>
      </c>
      <c r="P6">
        <f>COUNTIFS('Audit Log'!$B$2:$B$2001,"&gt;="&amp;$B$2,'Audit Log'!$F$2:$F$2001,$N6,'Audit Log'!$S$2:$S$2001,$B$4,'Audit Log'!$T$2:$T$2001,"Yes",'Audit Log'!$O$2:$O$2001,"Valid")</f>
        <v/>
      </c>
      <c r="Q6">
        <f>$O6+ROW()/100000</f>
        <v/>
      </c>
      <c r="R6">
        <f>IFERROR($P6/$O6,0)</f>
        <v/>
      </c>
      <c r="T6">
        <f>IFERROR(INDEX($N$2:$N$40,MATCH(LARGE($Q$2:$Q$40,5),$Q$2:$Q$40,0)),"")</f>
        <v/>
      </c>
      <c r="U6">
        <f>IFERROR(INT(LARGE($Q$2:$Q$40,5)),0)</f>
        <v/>
      </c>
      <c r="V6" s="30">
        <f>IFERROR(INDEX($R$2:$R$40,MATCH(LARGE($Q$2:$Q$40,5),$Q$2:$Q$40,0)),0)</f>
        <v/>
      </c>
      <c r="X6" t="inlineStr">
        <is>
          <t>Abellar, Nina Grace Lincallo</t>
        </is>
      </c>
      <c r="Y6">
        <f>COUNTIFS('Audit Log'!$B$2:$B$2001,"&gt;="&amp;$B$2,'Audit Log'!$F$2:$F$2001,$B$3,'Audit Log'!$S$2:$S$2001,$B$4,'Audit Log'!$T$2:$T$2001,"Yes",'Audit Log'!$C$2:$C$2001,$X6,'Audit Log'!$O$2:$O$2001,"Invalid")</f>
        <v/>
      </c>
      <c r="Z6">
        <f>$Y6+ROW()/100000</f>
        <v/>
      </c>
      <c r="AB6">
        <f>IFERROR(INDEX($X$2:$X$465,MATCH(LARGE($Z$2:$Z$465,5),$Z$2:$Z$465,0)),"")</f>
        <v/>
      </c>
      <c r="AC6">
        <f>IFERROR(INT(LARGE($Z$2:$Z$465,5)),0)</f>
        <v/>
      </c>
    </row>
    <row r="7">
      <c r="B7">
        <f>COUNTIFS('Audit Log'!$B$2:$B$2001,"&gt;="&amp;$B$2,'Audit Log'!$F$2:$F$2001,$B$3,'Audit Log'!$S$2:$S$2001,$B$4,'Audit Log'!$T$2:$T$2001,"Yes",'Audit Log'!$O$2:$O$2001,$B$5)</f>
        <v/>
      </c>
      <c r="D7" s="29">
        <f>TODAY()-8</f>
        <v/>
      </c>
      <c r="E7">
        <f>COUNTIFS('Audit Log'!$B$2:$B$2001,$D7,'Audit Log'!$F$2:$F$2001,$B$3,'Audit Log'!$S$2:$S$2001,$B$4,'Audit Log'!$T$2:$T$2001,"Yes",'Audit Log'!$O$2:$O$2001,$B$5)</f>
        <v/>
      </c>
      <c r="G7" t="inlineStr">
        <is>
          <t>Remote Solution (HW/SW Resolved Remotely via Troubleshooting)</t>
        </is>
      </c>
      <c r="H7">
        <f>COUNTIFS('Audit Log'!$B$2:$B$2001,"&gt;="&amp;$B$2,'Audit Log'!$F$2:$F$2001,$B$3,'Audit Log'!$S$2:$S$2001,$B$4,'Audit Log'!$T$2:$T$2001,"Yes",'Audit Log'!$P$2:$P$2001,$G7)</f>
        <v/>
      </c>
      <c r="I7">
        <f>$H7+ROW()/100000</f>
        <v/>
      </c>
      <c r="K7">
        <f>IFERROR(INDEX($G$2:$G$14,MATCH(LARGE($I$2:$I$14,6),$I$2:$I$14,0)),"")</f>
        <v/>
      </c>
      <c r="L7">
        <f>IFERROR(INT(LARGE($I$2:$I$14,6)),0)</f>
        <v/>
      </c>
      <c r="N7" t="inlineStr">
        <is>
          <t>Bajo, Christian Dela Cruz</t>
        </is>
      </c>
      <c r="O7">
        <f>COUNTIFS('Audit Log'!$B$2:$B$2001,"&gt;="&amp;$B$2,'Audit Log'!$F$2:$F$2001,$N7,'Audit Log'!$S$2:$S$2001,$B$4,'Audit Log'!$T$2:$T$2001,"Yes")</f>
        <v/>
      </c>
      <c r="P7">
        <f>COUNTIFS('Audit Log'!$B$2:$B$2001,"&gt;="&amp;$B$2,'Audit Log'!$F$2:$F$2001,$N7,'Audit Log'!$S$2:$S$2001,$B$4,'Audit Log'!$T$2:$T$2001,"Yes",'Audit Log'!$O$2:$O$2001,"Valid")</f>
        <v/>
      </c>
      <c r="Q7">
        <f>$O7+ROW()/100000</f>
        <v/>
      </c>
      <c r="R7">
        <f>IFERROR($P7/$O7,0)</f>
        <v/>
      </c>
      <c r="X7" t="inlineStr">
        <is>
          <t>Abogado, Maria Cristina Cambaliza</t>
        </is>
      </c>
      <c r="Y7">
        <f>COUNTIFS('Audit Log'!$B$2:$B$2001,"&gt;="&amp;$B$2,'Audit Log'!$F$2:$F$2001,$B$3,'Audit Log'!$S$2:$S$2001,$B$4,'Audit Log'!$T$2:$T$2001,"Yes",'Audit Log'!$C$2:$C$2001,$X7,'Audit Log'!$O$2:$O$2001,"Invalid")</f>
        <v/>
      </c>
      <c r="Z7">
        <f>$Y7+ROW()/100000</f>
        <v/>
      </c>
      <c r="AB7">
        <f>IFERROR(INDEX($X$2:$X$465,MATCH(LARGE($Z$2:$Z$465,6),$Z$2:$Z$465,0)),"")</f>
        <v/>
      </c>
      <c r="AC7">
        <f>IFERROR(INT(LARGE($Z$2:$Z$465,6)),0)</f>
        <v/>
      </c>
    </row>
    <row r="8">
      <c r="A8" t="inlineStr">
        <is>
          <t>Valid</t>
        </is>
      </c>
      <c r="B8">
        <f>COUNTIFS('Audit Log'!$B$2:$B$2001,"&gt;="&amp;$B$2,'Audit Log'!$F$2:$F$2001,$B$3,'Audit Log'!$S$2:$S$2001,$B$4,'Audit Log'!$T$2:$T$2001,"Yes",'Audit Log'!$O$2:$O$2001,"Valid",'Audit Log'!$O$2:$O$2001,$B$5)</f>
        <v/>
      </c>
      <c r="D8" s="29">
        <f>TODAY()-7</f>
        <v/>
      </c>
      <c r="E8">
        <f>COUNTIFS('Audit Log'!$B$2:$B$2001,$D8,'Audit Log'!$F$2:$F$2001,$B$3,'Audit Log'!$S$2:$S$2001,$B$4,'Audit Log'!$T$2:$T$2001,"Yes",'Audit Log'!$O$2:$O$2001,$B$5)</f>
        <v/>
      </c>
      <c r="G8" t="inlineStr">
        <is>
          <t>Offsite Solution (Bench / Depot Repair Service Order)</t>
        </is>
      </c>
      <c r="H8">
        <f>COUNTIFS('Audit Log'!$B$2:$B$2001,"&gt;="&amp;$B$2,'Audit Log'!$F$2:$F$2001,$B$3,'Audit Log'!$S$2:$S$2001,$B$4,'Audit Log'!$T$2:$T$2001,"Yes",'Audit Log'!$P$2:$P$2001,$G8)</f>
        <v/>
      </c>
      <c r="I8">
        <f>$H8+ROW()/100000</f>
        <v/>
      </c>
      <c r="N8" t="inlineStr">
        <is>
          <t>Belandres, Nica Marie Ballola</t>
        </is>
      </c>
      <c r="O8">
        <f>COUNTIFS('Audit Log'!$B$2:$B$2001,"&gt;="&amp;$B$2,'Audit Log'!$F$2:$F$2001,$N8,'Audit Log'!$S$2:$S$2001,$B$4,'Audit Log'!$T$2:$T$2001,"Yes")</f>
        <v/>
      </c>
      <c r="P8">
        <f>COUNTIFS('Audit Log'!$B$2:$B$2001,"&gt;="&amp;$B$2,'Audit Log'!$F$2:$F$2001,$N8,'Audit Log'!$S$2:$S$2001,$B$4,'Audit Log'!$T$2:$T$2001,"Yes",'Audit Log'!$O$2:$O$2001,"Valid")</f>
        <v/>
      </c>
      <c r="Q8">
        <f>$O8+ROW()/100000</f>
        <v/>
      </c>
      <c r="R8">
        <f>IFERROR($P8/$O8,0)</f>
        <v/>
      </c>
      <c r="X8" t="inlineStr">
        <is>
          <t>Aceron, Ma Jovel Salvador</t>
        </is>
      </c>
      <c r="Y8">
        <f>COUNTIFS('Audit Log'!$B$2:$B$2001,"&gt;="&amp;$B$2,'Audit Log'!$F$2:$F$2001,$B$3,'Audit Log'!$S$2:$S$2001,$B$4,'Audit Log'!$T$2:$T$2001,"Yes",'Audit Log'!$C$2:$C$2001,$X8,'Audit Log'!$O$2:$O$2001,"Invalid")</f>
        <v/>
      </c>
      <c r="Z8">
        <f>$Y8+ROW()/100000</f>
        <v/>
      </c>
    </row>
    <row r="9">
      <c r="A9" t="inlineStr">
        <is>
          <t>Invalid</t>
        </is>
      </c>
      <c r="B9">
        <f>COUNTIFS('Audit Log'!$B$2:$B$2001,"&gt;="&amp;$B$2,'Audit Log'!$F$2:$F$2001,$B$3,'Audit Log'!$S$2:$S$2001,$B$4,'Audit Log'!$T$2:$T$2001,"Yes",'Audit Log'!$O$2:$O$2001,"Invalid",'Audit Log'!$O$2:$O$2001,$B$5)</f>
        <v/>
      </c>
      <c r="D9" s="29">
        <f>TODAY()-6</f>
        <v/>
      </c>
      <c r="E9">
        <f>COUNTIFS('Audit Log'!$B$2:$B$2001,$D9,'Audit Log'!$F$2:$F$2001,$B$3,'Audit Log'!$S$2:$S$2001,$B$4,'Audit Log'!$T$2:$T$2001,"Yes",'Audit Log'!$O$2:$O$2001,$B$5)</f>
        <v/>
      </c>
      <c r="G9" t="inlineStr">
        <is>
          <t>Exchange Solution (Whole Unit Exchange Arranged)</t>
        </is>
      </c>
      <c r="H9">
        <f>COUNTIFS('Audit Log'!$B$2:$B$2001,"&gt;="&amp;$B$2,'Audit Log'!$F$2:$F$2001,$B$3,'Audit Log'!$S$2:$S$2001,$B$4,'Audit Log'!$T$2:$T$2001,"Yes",'Audit Log'!$P$2:$P$2001,$G9)</f>
        <v/>
      </c>
      <c r="I9">
        <f>$H9+ROW()/100000</f>
        <v/>
      </c>
      <c r="N9" t="inlineStr">
        <is>
          <t>Benedicto, Allen Kiel Lazarra</t>
        </is>
      </c>
      <c r="O9">
        <f>COUNTIFS('Audit Log'!$B$2:$B$2001,"&gt;="&amp;$B$2,'Audit Log'!$F$2:$F$2001,$N9,'Audit Log'!$S$2:$S$2001,$B$4,'Audit Log'!$T$2:$T$2001,"Yes")</f>
        <v/>
      </c>
      <c r="P9">
        <f>COUNTIFS('Audit Log'!$B$2:$B$2001,"&gt;="&amp;$B$2,'Audit Log'!$F$2:$F$2001,$N9,'Audit Log'!$S$2:$S$2001,$B$4,'Audit Log'!$T$2:$T$2001,"Yes",'Audit Log'!$O$2:$O$2001,"Valid")</f>
        <v/>
      </c>
      <c r="Q9">
        <f>$O9+ROW()/100000</f>
        <v/>
      </c>
      <c r="R9">
        <f>IFERROR($P9/$O9,0)</f>
        <v/>
      </c>
      <c r="X9" t="inlineStr">
        <is>
          <t>Acuesta, Charles Gerry Stephen Logdat</t>
        </is>
      </c>
      <c r="Y9">
        <f>COUNTIFS('Audit Log'!$B$2:$B$2001,"&gt;="&amp;$B$2,'Audit Log'!$F$2:$F$2001,$B$3,'Audit Log'!$S$2:$S$2001,$B$4,'Audit Log'!$T$2:$T$2001,"Yes",'Audit Log'!$C$2:$C$2001,$X9,'Audit Log'!$O$2:$O$2001,"Invalid")</f>
        <v/>
      </c>
      <c r="Z9">
        <f>$Y9+ROW()/100000</f>
        <v/>
      </c>
    </row>
    <row r="10">
      <c r="B10">
        <f>IFERROR($B$9/$B$7,0)</f>
        <v/>
      </c>
      <c r="D10" s="29">
        <f>TODAY()-5</f>
        <v/>
      </c>
      <c r="E10">
        <f>COUNTIFS('Audit Log'!$B$2:$B$2001,$D10,'Audit Log'!$F$2:$F$2001,$B$3,'Audit Log'!$S$2:$S$2001,$B$4,'Audit Log'!$T$2:$T$2001,"Yes",'Audit Log'!$O$2:$O$2001,$B$5)</f>
        <v/>
      </c>
      <c r="G10" t="inlineStr">
        <is>
          <t>Onsite Solution (Break &amp; Fix / Installation Work Order)</t>
        </is>
      </c>
      <c r="H10">
        <f>COUNTIFS('Audit Log'!$B$2:$B$2001,"&gt;="&amp;$B$2,'Audit Log'!$F$2:$F$2001,$B$3,'Audit Log'!$S$2:$S$2001,$B$4,'Audit Log'!$T$2:$T$2001,"Yes",'Audit Log'!$P$2:$P$2001,$G10)</f>
        <v/>
      </c>
      <c r="I10">
        <f>$H10+ROW()/100000</f>
        <v/>
      </c>
      <c r="N10" t="inlineStr">
        <is>
          <t>Blas, Jesus Jr Trinidad</t>
        </is>
      </c>
      <c r="O10">
        <f>COUNTIFS('Audit Log'!$B$2:$B$2001,"&gt;="&amp;$B$2,'Audit Log'!$F$2:$F$2001,$N10,'Audit Log'!$S$2:$S$2001,$B$4,'Audit Log'!$T$2:$T$2001,"Yes")</f>
        <v/>
      </c>
      <c r="P10">
        <f>COUNTIFS('Audit Log'!$B$2:$B$2001,"&gt;="&amp;$B$2,'Audit Log'!$F$2:$F$2001,$N10,'Audit Log'!$S$2:$S$2001,$B$4,'Audit Log'!$T$2:$T$2001,"Yes",'Audit Log'!$O$2:$O$2001,"Valid")</f>
        <v/>
      </c>
      <c r="Q10">
        <f>$O10+ROW()/100000</f>
        <v/>
      </c>
      <c r="R10">
        <f>IFERROR($P10/$O10,0)</f>
        <v/>
      </c>
      <c r="X10" t="inlineStr">
        <is>
          <t>Adrales, Allen Rick Aguilar</t>
        </is>
      </c>
      <c r="Y10">
        <f>COUNTIFS('Audit Log'!$B$2:$B$2001,"&gt;="&amp;$B$2,'Audit Log'!$F$2:$F$2001,$B$3,'Audit Log'!$S$2:$S$2001,$B$4,'Audit Log'!$T$2:$T$2001,"Yes",'Audit Log'!$C$2:$C$2001,$X10,'Audit Log'!$O$2:$O$2001,"Invalid")</f>
        <v/>
      </c>
      <c r="Z10">
        <f>$Y10+ROW()/100000</f>
        <v/>
      </c>
    </row>
    <row r="11">
      <c r="B11">
        <f>IFERROR(TEXT(_xlfn.MAXIFS('Audit Log'!$B$2:$B$2001,'Audit Log'!$B$2:$B$2001,"&gt;="&amp;$B$2,'Audit Log'!$F$2:$F$2001,$B$3,'Audit Log'!$S$2:$S$2001,$B$4,'Audit Log'!$T$2:$T$2001,"Yes",'Audit Log'!$O$2:$O$2001,$B$5),"mmm d, yyyy"),"—")</f>
        <v/>
      </c>
      <c r="D11" s="29">
        <f>TODAY()-4</f>
        <v/>
      </c>
      <c r="E11">
        <f>COUNTIFS('Audit Log'!$B$2:$B$2001,$D11,'Audit Log'!$F$2:$F$2001,$B$3,'Audit Log'!$S$2:$S$2001,$B$4,'Audit Log'!$T$2:$T$2001,"Yes",'Audit Log'!$O$2:$O$2001,$B$5)</f>
        <v/>
      </c>
      <c r="G11" t="inlineStr">
        <is>
          <t>Parts Shipped (CSR Part / RCD Media / Instant Ink PO)</t>
        </is>
      </c>
      <c r="H11">
        <f>COUNTIFS('Audit Log'!$B$2:$B$2001,"&gt;="&amp;$B$2,'Audit Log'!$F$2:$F$2001,$B$3,'Audit Log'!$S$2:$S$2001,$B$4,'Audit Log'!$T$2:$T$2001,"Yes",'Audit Log'!$P$2:$P$2001,$G11)</f>
        <v/>
      </c>
      <c r="I11">
        <f>$H11+ROW()/100000</f>
        <v/>
      </c>
      <c r="N11" t="inlineStr">
        <is>
          <t>Briones, Aries Ang</t>
        </is>
      </c>
      <c r="O11">
        <f>COUNTIFS('Audit Log'!$B$2:$B$2001,"&gt;="&amp;$B$2,'Audit Log'!$F$2:$F$2001,$N11,'Audit Log'!$S$2:$S$2001,$B$4,'Audit Log'!$T$2:$T$2001,"Yes")</f>
        <v/>
      </c>
      <c r="P11">
        <f>COUNTIFS('Audit Log'!$B$2:$B$2001,"&gt;="&amp;$B$2,'Audit Log'!$F$2:$F$2001,$N11,'Audit Log'!$S$2:$S$2001,$B$4,'Audit Log'!$T$2:$T$2001,"Yes",'Audit Log'!$O$2:$O$2001,"Valid")</f>
        <v/>
      </c>
      <c r="Q11">
        <f>$O11+ROW()/100000</f>
        <v/>
      </c>
      <c r="R11">
        <f>IFERROR($P11/$O11,0)</f>
        <v/>
      </c>
      <c r="X11" t="inlineStr">
        <is>
          <t>Agcaoili, Angel Moraine Hinoo</t>
        </is>
      </c>
      <c r="Y11">
        <f>COUNTIFS('Audit Log'!$B$2:$B$2001,"&gt;="&amp;$B$2,'Audit Log'!$F$2:$F$2001,$B$3,'Audit Log'!$S$2:$S$2001,$B$4,'Audit Log'!$T$2:$T$2001,"Yes",'Audit Log'!$C$2:$C$2001,$X11,'Audit Log'!$O$2:$O$2001,"Invalid")</f>
        <v/>
      </c>
      <c r="Z11">
        <f>$Y11+ROW()/100000</f>
        <v/>
      </c>
    </row>
    <row r="12">
      <c r="D12" s="29">
        <f>TODAY()-3</f>
        <v/>
      </c>
      <c r="E12">
        <f>COUNTIFS('Audit Log'!$B$2:$B$2001,$D12,'Audit Log'!$F$2:$F$2001,$B$3,'Audit Log'!$S$2:$S$2001,$B$4,'Audit Log'!$T$2:$T$2001,"Yes",'Audit Log'!$O$2:$O$2001,$B$5)</f>
        <v/>
      </c>
      <c r="G12" t="inlineStr">
        <is>
          <t>Referred - for Hardware Service (ASP / 3rd Party HW / DOA)</t>
        </is>
      </c>
      <c r="H12">
        <f>COUNTIFS('Audit Log'!$B$2:$B$2001,"&gt;="&amp;$B$2,'Audit Log'!$F$2:$F$2001,$B$3,'Audit Log'!$S$2:$S$2001,$B$4,'Audit Log'!$T$2:$T$2001,"Yes",'Audit Log'!$P$2:$P$2001,$G12)</f>
        <v/>
      </c>
      <c r="I12">
        <f>$H12+ROW()/100000</f>
        <v/>
      </c>
      <c r="N12" t="inlineStr">
        <is>
          <t>Chan, Caroline Cruce</t>
        </is>
      </c>
      <c r="O12">
        <f>COUNTIFS('Audit Log'!$B$2:$B$2001,"&gt;="&amp;$B$2,'Audit Log'!$F$2:$F$2001,$N12,'Audit Log'!$S$2:$S$2001,$B$4,'Audit Log'!$T$2:$T$2001,"Yes")</f>
        <v/>
      </c>
      <c r="P12">
        <f>COUNTIFS('Audit Log'!$B$2:$B$2001,"&gt;="&amp;$B$2,'Audit Log'!$F$2:$F$2001,$N12,'Audit Log'!$S$2:$S$2001,$B$4,'Audit Log'!$T$2:$T$2001,"Yes",'Audit Log'!$O$2:$O$2001,"Valid")</f>
        <v/>
      </c>
      <c r="Q12">
        <f>$O12+ROW()/100000</f>
        <v/>
      </c>
      <c r="R12">
        <f>IFERROR($P12/$O12,0)</f>
        <v/>
      </c>
      <c r="X12" t="inlineStr">
        <is>
          <t>Aguas, Thea Tolentino</t>
        </is>
      </c>
      <c r="Y12">
        <f>COUNTIFS('Audit Log'!$B$2:$B$2001,"&gt;="&amp;$B$2,'Audit Log'!$F$2:$F$2001,$B$3,'Audit Log'!$S$2:$S$2001,$B$4,'Audit Log'!$T$2:$T$2001,"Yes",'Audit Log'!$C$2:$C$2001,$X12,'Audit Log'!$O$2:$O$2001,"Invalid")</f>
        <v/>
      </c>
      <c r="Z12">
        <f>$Y12+ROW()/100000</f>
        <v/>
      </c>
    </row>
    <row r="13">
      <c r="D13" s="29">
        <f>TODAY()-2</f>
        <v/>
      </c>
      <c r="E13">
        <f>COUNTIFS('Audit Log'!$B$2:$B$2001,$D13,'Audit Log'!$F$2:$F$2001,$B$3,'Audit Log'!$S$2:$S$2001,$B$4,'Audit Log'!$T$2:$T$2001,"Yes",'Audit Log'!$O$2:$O$2001,$B$5)</f>
        <v/>
      </c>
      <c r="G13" t="inlineStr">
        <is>
          <t>Referred - for Software Support (Out of Scope / 3rd Party SW)</t>
        </is>
      </c>
      <c r="H13">
        <f>COUNTIFS('Audit Log'!$B$2:$B$2001,"&gt;="&amp;$B$2,'Audit Log'!$F$2:$F$2001,$B$3,'Audit Log'!$S$2:$S$2001,$B$4,'Audit Log'!$T$2:$T$2001,"Yes",'Audit Log'!$P$2:$P$2001,$G13)</f>
        <v/>
      </c>
      <c r="I13">
        <f>$H13+ROW()/100000</f>
        <v/>
      </c>
      <c r="N13" t="inlineStr">
        <is>
          <t>Cinco, Neville Dimagiba</t>
        </is>
      </c>
      <c r="O13">
        <f>COUNTIFS('Audit Log'!$B$2:$B$2001,"&gt;="&amp;$B$2,'Audit Log'!$F$2:$F$2001,$N13,'Audit Log'!$S$2:$S$2001,$B$4,'Audit Log'!$T$2:$T$2001,"Yes")</f>
        <v/>
      </c>
      <c r="P13">
        <f>COUNTIFS('Audit Log'!$B$2:$B$2001,"&gt;="&amp;$B$2,'Audit Log'!$F$2:$F$2001,$N13,'Audit Log'!$S$2:$S$2001,$B$4,'Audit Log'!$T$2:$T$2001,"Yes",'Audit Log'!$O$2:$O$2001,"Valid")</f>
        <v/>
      </c>
      <c r="Q13">
        <f>$O13+ROW()/100000</f>
        <v/>
      </c>
      <c r="R13">
        <f>IFERROR($P13/$O13,0)</f>
        <v/>
      </c>
      <c r="X13" t="inlineStr">
        <is>
          <t>Aguto, Luke Matthew Mariano</t>
        </is>
      </c>
      <c r="Y13">
        <f>COUNTIFS('Audit Log'!$B$2:$B$2001,"&gt;="&amp;$B$2,'Audit Log'!$F$2:$F$2001,$B$3,'Audit Log'!$S$2:$S$2001,$B$4,'Audit Log'!$T$2:$T$2001,"Yes",'Audit Log'!$C$2:$C$2001,$X13,'Audit Log'!$O$2:$O$2001,"Invalid")</f>
        <v/>
      </c>
      <c r="Z13">
        <f>$Y13+ROW()/100000</f>
        <v/>
      </c>
    </row>
    <row r="14">
      <c r="D14" s="29">
        <f>TODAY()-1</f>
        <v/>
      </c>
      <c r="E14">
        <f>COUNTIFS('Audit Log'!$B$2:$B$2001,$D14,'Audit Log'!$F$2:$F$2001,$B$3,'Audit Log'!$S$2:$S$2001,$B$4,'Audit Log'!$T$2:$T$2001,"Yes",'Audit Log'!$O$2:$O$2001,$B$5)</f>
        <v/>
      </c>
      <c r="G14" t="inlineStr">
        <is>
          <t>Unresolved - Not Entitled for Support</t>
        </is>
      </c>
      <c r="H14">
        <f>COUNTIFS('Audit Log'!$B$2:$B$2001,"&gt;="&amp;$B$2,'Audit Log'!$F$2:$F$2001,$B$3,'Audit Log'!$S$2:$S$2001,$B$4,'Audit Log'!$T$2:$T$2001,"Yes",'Audit Log'!$P$2:$P$2001,$G14)</f>
        <v/>
      </c>
      <c r="I14">
        <f>$H14+ROW()/100000</f>
        <v/>
      </c>
      <c r="N14" t="inlineStr">
        <is>
          <t>De Guzman, Gabriel Rodrigo</t>
        </is>
      </c>
      <c r="O14">
        <f>COUNTIFS('Audit Log'!$B$2:$B$2001,"&gt;="&amp;$B$2,'Audit Log'!$F$2:$F$2001,$N14,'Audit Log'!$S$2:$S$2001,$B$4,'Audit Log'!$T$2:$T$2001,"Yes")</f>
        <v/>
      </c>
      <c r="P14">
        <f>COUNTIFS('Audit Log'!$B$2:$B$2001,"&gt;="&amp;$B$2,'Audit Log'!$F$2:$F$2001,$N14,'Audit Log'!$S$2:$S$2001,$B$4,'Audit Log'!$T$2:$T$2001,"Yes",'Audit Log'!$O$2:$O$2001,"Valid")</f>
        <v/>
      </c>
      <c r="Q14">
        <f>$O14+ROW()/100000</f>
        <v/>
      </c>
      <c r="R14">
        <f>IFERROR($P14/$O14,0)</f>
        <v/>
      </c>
      <c r="X14" t="inlineStr">
        <is>
          <t>Ajose, Ferd Mark Cristobal</t>
        </is>
      </c>
      <c r="Y14">
        <f>COUNTIFS('Audit Log'!$B$2:$B$2001,"&gt;="&amp;$B$2,'Audit Log'!$F$2:$F$2001,$B$3,'Audit Log'!$S$2:$S$2001,$B$4,'Audit Log'!$T$2:$T$2001,"Yes",'Audit Log'!$C$2:$C$2001,$X14,'Audit Log'!$O$2:$O$2001,"Invalid")</f>
        <v/>
      </c>
      <c r="Z14">
        <f>$Y14+ROW()/100000</f>
        <v/>
      </c>
    </row>
    <row r="15">
      <c r="D15" s="29">
        <f>TODAY()-0</f>
        <v/>
      </c>
      <c r="E15">
        <f>COUNTIFS('Audit Log'!$B$2:$B$2001,$D15,'Audit Log'!$F$2:$F$2001,$B$3,'Audit Log'!$S$2:$S$2001,$B$4,'Audit Log'!$T$2:$T$2001,"Yes",'Audit Log'!$O$2:$O$2001,$B$5)</f>
        <v/>
      </c>
      <c r="N15" t="inlineStr">
        <is>
          <t>Dela Fuente, Erick John Palomo</t>
        </is>
      </c>
      <c r="O15">
        <f>COUNTIFS('Audit Log'!$B$2:$B$2001,"&gt;="&amp;$B$2,'Audit Log'!$F$2:$F$2001,$N15,'Audit Log'!$S$2:$S$2001,$B$4,'Audit Log'!$T$2:$T$2001,"Yes")</f>
        <v/>
      </c>
      <c r="P15">
        <f>COUNTIFS('Audit Log'!$B$2:$B$2001,"&gt;="&amp;$B$2,'Audit Log'!$F$2:$F$2001,$N15,'Audit Log'!$S$2:$S$2001,$B$4,'Audit Log'!$T$2:$T$2001,"Yes",'Audit Log'!$O$2:$O$2001,"Valid")</f>
        <v/>
      </c>
      <c r="Q15">
        <f>$O15+ROW()/100000</f>
        <v/>
      </c>
      <c r="R15">
        <f>IFERROR($P15/$O15,0)</f>
        <v/>
      </c>
      <c r="X15" t="inlineStr">
        <is>
          <t>Albios, Art Christopher Salinas</t>
        </is>
      </c>
      <c r="Y15">
        <f>COUNTIFS('Audit Log'!$B$2:$B$2001,"&gt;="&amp;$B$2,'Audit Log'!$F$2:$F$2001,$B$3,'Audit Log'!$S$2:$S$2001,$B$4,'Audit Log'!$T$2:$T$2001,"Yes",'Audit Log'!$C$2:$C$2001,$X15,'Audit Log'!$O$2:$O$2001,"Invalid")</f>
        <v/>
      </c>
      <c r="Z15">
        <f>$Y15+ROW()/100000</f>
        <v/>
      </c>
    </row>
    <row r="16">
      <c r="N16" t="inlineStr">
        <is>
          <t>Ebuenga, Sheryll Avellaneda</t>
        </is>
      </c>
      <c r="O16">
        <f>COUNTIFS('Audit Log'!$B$2:$B$2001,"&gt;="&amp;$B$2,'Audit Log'!$F$2:$F$2001,$N16,'Audit Log'!$S$2:$S$2001,$B$4,'Audit Log'!$T$2:$T$2001,"Yes")</f>
        <v/>
      </c>
      <c r="P16">
        <f>COUNTIFS('Audit Log'!$B$2:$B$2001,"&gt;="&amp;$B$2,'Audit Log'!$F$2:$F$2001,$N16,'Audit Log'!$S$2:$S$2001,$B$4,'Audit Log'!$T$2:$T$2001,"Yes",'Audit Log'!$O$2:$O$2001,"Valid")</f>
        <v/>
      </c>
      <c r="Q16">
        <f>$O16+ROW()/100000</f>
        <v/>
      </c>
      <c r="R16">
        <f>IFERROR($P16/$O16,0)</f>
        <v/>
      </c>
      <c r="X16" t="inlineStr">
        <is>
          <t>Alcancia, Jaycel Giron</t>
        </is>
      </c>
      <c r="Y16">
        <f>COUNTIFS('Audit Log'!$B$2:$B$2001,"&gt;="&amp;$B$2,'Audit Log'!$F$2:$F$2001,$B$3,'Audit Log'!$S$2:$S$2001,$B$4,'Audit Log'!$T$2:$T$2001,"Yes",'Audit Log'!$C$2:$C$2001,$X16,'Audit Log'!$O$2:$O$2001,"Invalid")</f>
        <v/>
      </c>
      <c r="Z16">
        <f>$Y16+ROW()/100000</f>
        <v/>
      </c>
    </row>
    <row r="17">
      <c r="N17" t="inlineStr">
        <is>
          <t>Ferrer, Jasper Kenneth Labor</t>
        </is>
      </c>
      <c r="O17">
        <f>COUNTIFS('Audit Log'!$B$2:$B$2001,"&gt;="&amp;$B$2,'Audit Log'!$F$2:$F$2001,$N17,'Audit Log'!$S$2:$S$2001,$B$4,'Audit Log'!$T$2:$T$2001,"Yes")</f>
        <v/>
      </c>
      <c r="P17">
        <f>COUNTIFS('Audit Log'!$B$2:$B$2001,"&gt;="&amp;$B$2,'Audit Log'!$F$2:$F$2001,$N17,'Audit Log'!$S$2:$S$2001,$B$4,'Audit Log'!$T$2:$T$2001,"Yes",'Audit Log'!$O$2:$O$2001,"Valid")</f>
        <v/>
      </c>
      <c r="Q17">
        <f>$O17+ROW()/100000</f>
        <v/>
      </c>
      <c r="R17">
        <f>IFERROR($P17/$O17,0)</f>
        <v/>
      </c>
      <c r="X17" t="inlineStr">
        <is>
          <t>Aldea, Arthel Jane Donasco</t>
        </is>
      </c>
      <c r="Y17">
        <f>COUNTIFS('Audit Log'!$B$2:$B$2001,"&gt;="&amp;$B$2,'Audit Log'!$F$2:$F$2001,$B$3,'Audit Log'!$S$2:$S$2001,$B$4,'Audit Log'!$T$2:$T$2001,"Yes",'Audit Log'!$C$2:$C$2001,$X17,'Audit Log'!$O$2:$O$2001,"Invalid")</f>
        <v/>
      </c>
      <c r="Z17">
        <f>$Y17+ROW()/100000</f>
        <v/>
      </c>
    </row>
    <row r="18">
      <c r="N18" t="inlineStr">
        <is>
          <t>Galope, Danri Catacutan</t>
        </is>
      </c>
      <c r="O18">
        <f>COUNTIFS('Audit Log'!$B$2:$B$2001,"&gt;="&amp;$B$2,'Audit Log'!$F$2:$F$2001,$N18,'Audit Log'!$S$2:$S$2001,$B$4,'Audit Log'!$T$2:$T$2001,"Yes")</f>
        <v/>
      </c>
      <c r="P18">
        <f>COUNTIFS('Audit Log'!$B$2:$B$2001,"&gt;="&amp;$B$2,'Audit Log'!$F$2:$F$2001,$N18,'Audit Log'!$S$2:$S$2001,$B$4,'Audit Log'!$T$2:$T$2001,"Yes",'Audit Log'!$O$2:$O$2001,"Valid")</f>
        <v/>
      </c>
      <c r="Q18">
        <f>$O18+ROW()/100000</f>
        <v/>
      </c>
      <c r="R18">
        <f>IFERROR($P18/$O18,0)</f>
        <v/>
      </c>
      <c r="X18" t="inlineStr">
        <is>
          <t>Alestre, Jolina Balde</t>
        </is>
      </c>
      <c r="Y18">
        <f>COUNTIFS('Audit Log'!$B$2:$B$2001,"&gt;="&amp;$B$2,'Audit Log'!$F$2:$F$2001,$B$3,'Audit Log'!$S$2:$S$2001,$B$4,'Audit Log'!$T$2:$T$2001,"Yes",'Audit Log'!$C$2:$C$2001,$X18,'Audit Log'!$O$2:$O$2001,"Invalid")</f>
        <v/>
      </c>
      <c r="Z18">
        <f>$Y18+ROW()/100000</f>
        <v/>
      </c>
    </row>
    <row r="19">
      <c r="N19" t="inlineStr">
        <is>
          <t>Hije, Bernadeth Rosales</t>
        </is>
      </c>
      <c r="O19">
        <f>COUNTIFS('Audit Log'!$B$2:$B$2001,"&gt;="&amp;$B$2,'Audit Log'!$F$2:$F$2001,$N19,'Audit Log'!$S$2:$S$2001,$B$4,'Audit Log'!$T$2:$T$2001,"Yes")</f>
        <v/>
      </c>
      <c r="P19">
        <f>COUNTIFS('Audit Log'!$B$2:$B$2001,"&gt;="&amp;$B$2,'Audit Log'!$F$2:$F$2001,$N19,'Audit Log'!$S$2:$S$2001,$B$4,'Audit Log'!$T$2:$T$2001,"Yes",'Audit Log'!$O$2:$O$2001,"Valid")</f>
        <v/>
      </c>
      <c r="Q19">
        <f>$O19+ROW()/100000</f>
        <v/>
      </c>
      <c r="R19">
        <f>IFERROR($P19/$O19,0)</f>
        <v/>
      </c>
      <c r="X19" t="inlineStr">
        <is>
          <t>Alinday, Shiela Marie Altabano</t>
        </is>
      </c>
      <c r="Y19">
        <f>COUNTIFS('Audit Log'!$B$2:$B$2001,"&gt;="&amp;$B$2,'Audit Log'!$F$2:$F$2001,$B$3,'Audit Log'!$S$2:$S$2001,$B$4,'Audit Log'!$T$2:$T$2001,"Yes",'Audit Log'!$C$2:$C$2001,$X19,'Audit Log'!$O$2:$O$2001,"Invalid")</f>
        <v/>
      </c>
      <c r="Z19">
        <f>$Y19+ROW()/100000</f>
        <v/>
      </c>
    </row>
    <row r="20">
      <c r="N20" t="inlineStr">
        <is>
          <t>Imran Shaikh</t>
        </is>
      </c>
      <c r="O20">
        <f>COUNTIFS('Audit Log'!$B$2:$B$2001,"&gt;="&amp;$B$2,'Audit Log'!$F$2:$F$2001,$N20,'Audit Log'!$S$2:$S$2001,$B$4,'Audit Log'!$T$2:$T$2001,"Yes")</f>
        <v/>
      </c>
      <c r="P20">
        <f>COUNTIFS('Audit Log'!$B$2:$B$2001,"&gt;="&amp;$B$2,'Audit Log'!$F$2:$F$2001,$N20,'Audit Log'!$S$2:$S$2001,$B$4,'Audit Log'!$T$2:$T$2001,"Yes",'Audit Log'!$O$2:$O$2001,"Valid")</f>
        <v/>
      </c>
      <c r="Q20">
        <f>$O20+ROW()/100000</f>
        <v/>
      </c>
      <c r="R20">
        <f>IFERROR($P20/$O20,0)</f>
        <v/>
      </c>
      <c r="X20" t="inlineStr">
        <is>
          <t>Almiñe, Jaypee Maniquiz</t>
        </is>
      </c>
      <c r="Y20">
        <f>COUNTIFS('Audit Log'!$B$2:$B$2001,"&gt;="&amp;$B$2,'Audit Log'!$F$2:$F$2001,$B$3,'Audit Log'!$S$2:$S$2001,$B$4,'Audit Log'!$T$2:$T$2001,"Yes",'Audit Log'!$C$2:$C$2001,$X20,'Audit Log'!$O$2:$O$2001,"Invalid")</f>
        <v/>
      </c>
      <c r="Z20">
        <f>$Y20+ROW()/100000</f>
        <v/>
      </c>
    </row>
    <row r="21">
      <c r="N21" t="inlineStr">
        <is>
          <t>Lazaro, Paolo Dennis Hidalgo</t>
        </is>
      </c>
      <c r="O21">
        <f>COUNTIFS('Audit Log'!$B$2:$B$2001,"&gt;="&amp;$B$2,'Audit Log'!$F$2:$F$2001,$N21,'Audit Log'!$S$2:$S$2001,$B$4,'Audit Log'!$T$2:$T$2001,"Yes")</f>
        <v/>
      </c>
      <c r="P21">
        <f>COUNTIFS('Audit Log'!$B$2:$B$2001,"&gt;="&amp;$B$2,'Audit Log'!$F$2:$F$2001,$N21,'Audit Log'!$S$2:$S$2001,$B$4,'Audit Log'!$T$2:$T$2001,"Yes",'Audit Log'!$O$2:$O$2001,"Valid")</f>
        <v/>
      </c>
      <c r="Q21">
        <f>$O21+ROW()/100000</f>
        <v/>
      </c>
      <c r="R21">
        <f>IFERROR($P21/$O21,0)</f>
        <v/>
      </c>
      <c r="X21" t="inlineStr">
        <is>
          <t>Almodiel, Shaileen Eduarte</t>
        </is>
      </c>
      <c r="Y21">
        <f>COUNTIFS('Audit Log'!$B$2:$B$2001,"&gt;="&amp;$B$2,'Audit Log'!$F$2:$F$2001,$B$3,'Audit Log'!$S$2:$S$2001,$B$4,'Audit Log'!$T$2:$T$2001,"Yes",'Audit Log'!$C$2:$C$2001,$X21,'Audit Log'!$O$2:$O$2001,"Invalid")</f>
        <v/>
      </c>
      <c r="Z21">
        <f>$Y21+ROW()/100000</f>
        <v/>
      </c>
    </row>
    <row r="22">
      <c r="N22" t="inlineStr">
        <is>
          <t>Leonardo, Kristine Joy Sigalat</t>
        </is>
      </c>
      <c r="O22">
        <f>COUNTIFS('Audit Log'!$B$2:$B$2001,"&gt;="&amp;$B$2,'Audit Log'!$F$2:$F$2001,$N22,'Audit Log'!$S$2:$S$2001,$B$4,'Audit Log'!$T$2:$T$2001,"Yes")</f>
        <v/>
      </c>
      <c r="P22">
        <f>COUNTIFS('Audit Log'!$B$2:$B$2001,"&gt;="&amp;$B$2,'Audit Log'!$F$2:$F$2001,$N22,'Audit Log'!$S$2:$S$2001,$B$4,'Audit Log'!$T$2:$T$2001,"Yes",'Audit Log'!$O$2:$O$2001,"Valid")</f>
        <v/>
      </c>
      <c r="Q22">
        <f>$O22+ROW()/100000</f>
        <v/>
      </c>
      <c r="R22">
        <f>IFERROR($P22/$O22,0)</f>
        <v/>
      </c>
      <c r="X22" t="inlineStr">
        <is>
          <t>Aluning, Alain-Angelo Cangco</t>
        </is>
      </c>
      <c r="Y22">
        <f>COUNTIFS('Audit Log'!$B$2:$B$2001,"&gt;="&amp;$B$2,'Audit Log'!$F$2:$F$2001,$B$3,'Audit Log'!$S$2:$S$2001,$B$4,'Audit Log'!$T$2:$T$2001,"Yes",'Audit Log'!$C$2:$C$2001,$X22,'Audit Log'!$O$2:$O$2001,"Invalid")</f>
        <v/>
      </c>
      <c r="Z22">
        <f>$Y22+ROW()/100000</f>
        <v/>
      </c>
    </row>
    <row r="23">
      <c r="N23" t="inlineStr">
        <is>
          <t>Lungcay, Robin Landayan</t>
        </is>
      </c>
      <c r="O23">
        <f>COUNTIFS('Audit Log'!$B$2:$B$2001,"&gt;="&amp;$B$2,'Audit Log'!$F$2:$F$2001,$N23,'Audit Log'!$S$2:$S$2001,$B$4,'Audit Log'!$T$2:$T$2001,"Yes")</f>
        <v/>
      </c>
      <c r="P23">
        <f>COUNTIFS('Audit Log'!$B$2:$B$2001,"&gt;="&amp;$B$2,'Audit Log'!$F$2:$F$2001,$N23,'Audit Log'!$S$2:$S$2001,$B$4,'Audit Log'!$T$2:$T$2001,"Yes",'Audit Log'!$O$2:$O$2001,"Valid")</f>
        <v/>
      </c>
      <c r="Q23">
        <f>$O23+ROW()/100000</f>
        <v/>
      </c>
      <c r="R23">
        <f>IFERROR($P23/$O23,0)</f>
        <v/>
      </c>
      <c r="X23" t="inlineStr">
        <is>
          <t>Alvarez, Wenerick Francisco</t>
        </is>
      </c>
      <c r="Y23">
        <f>COUNTIFS('Audit Log'!$B$2:$B$2001,"&gt;="&amp;$B$2,'Audit Log'!$F$2:$F$2001,$B$3,'Audit Log'!$S$2:$S$2001,$B$4,'Audit Log'!$T$2:$T$2001,"Yes",'Audit Log'!$C$2:$C$2001,$X23,'Audit Log'!$O$2:$O$2001,"Invalid")</f>
        <v/>
      </c>
      <c r="Z23">
        <f>$Y23+ROW()/100000</f>
        <v/>
      </c>
    </row>
    <row r="24">
      <c r="N24" t="inlineStr">
        <is>
          <t>Luñiza, Jona Claveria</t>
        </is>
      </c>
      <c r="O24">
        <f>COUNTIFS('Audit Log'!$B$2:$B$2001,"&gt;="&amp;$B$2,'Audit Log'!$F$2:$F$2001,$N24,'Audit Log'!$S$2:$S$2001,$B$4,'Audit Log'!$T$2:$T$2001,"Yes")</f>
        <v/>
      </c>
      <c r="P24">
        <f>COUNTIFS('Audit Log'!$B$2:$B$2001,"&gt;="&amp;$B$2,'Audit Log'!$F$2:$F$2001,$N24,'Audit Log'!$S$2:$S$2001,$B$4,'Audit Log'!$T$2:$T$2001,"Yes",'Audit Log'!$O$2:$O$2001,"Valid")</f>
        <v/>
      </c>
      <c r="Q24">
        <f>$O24+ROW()/100000</f>
        <v/>
      </c>
      <c r="R24">
        <f>IFERROR($P24/$O24,0)</f>
        <v/>
      </c>
      <c r="X24" t="inlineStr">
        <is>
          <t>Amboyon, Julieta Mata</t>
        </is>
      </c>
      <c r="Y24">
        <f>COUNTIFS('Audit Log'!$B$2:$B$2001,"&gt;="&amp;$B$2,'Audit Log'!$F$2:$F$2001,$B$3,'Audit Log'!$S$2:$S$2001,$B$4,'Audit Log'!$T$2:$T$2001,"Yes",'Audit Log'!$C$2:$C$2001,$X24,'Audit Log'!$O$2:$O$2001,"Invalid")</f>
        <v/>
      </c>
      <c r="Z24">
        <f>$Y24+ROW()/100000</f>
        <v/>
      </c>
    </row>
    <row r="25">
      <c r="N25" t="inlineStr">
        <is>
          <t>Medel, Lorelei Gabriel</t>
        </is>
      </c>
      <c r="O25">
        <f>COUNTIFS('Audit Log'!$B$2:$B$2001,"&gt;="&amp;$B$2,'Audit Log'!$F$2:$F$2001,$N25,'Audit Log'!$S$2:$S$2001,$B$4,'Audit Log'!$T$2:$T$2001,"Yes")</f>
        <v/>
      </c>
      <c r="P25">
        <f>COUNTIFS('Audit Log'!$B$2:$B$2001,"&gt;="&amp;$B$2,'Audit Log'!$F$2:$F$2001,$N25,'Audit Log'!$S$2:$S$2001,$B$4,'Audit Log'!$T$2:$T$2001,"Yes",'Audit Log'!$O$2:$O$2001,"Valid")</f>
        <v/>
      </c>
      <c r="Q25">
        <f>$O25+ROW()/100000</f>
        <v/>
      </c>
      <c r="R25">
        <f>IFERROR($P25/$O25,0)</f>
        <v/>
      </c>
      <c r="X25" t="inlineStr">
        <is>
          <t>Andrecoso, April Melody Sunga</t>
        </is>
      </c>
      <c r="Y25">
        <f>COUNTIFS('Audit Log'!$B$2:$B$2001,"&gt;="&amp;$B$2,'Audit Log'!$F$2:$F$2001,$B$3,'Audit Log'!$S$2:$S$2001,$B$4,'Audit Log'!$T$2:$T$2001,"Yes",'Audit Log'!$C$2:$C$2001,$X25,'Audit Log'!$O$2:$O$2001,"Invalid")</f>
        <v/>
      </c>
      <c r="Z25">
        <f>$Y25+ROW()/100000</f>
        <v/>
      </c>
    </row>
    <row r="26">
      <c r="N26" t="inlineStr">
        <is>
          <t>Napone, Jerome Budlao</t>
        </is>
      </c>
      <c r="O26">
        <f>COUNTIFS('Audit Log'!$B$2:$B$2001,"&gt;="&amp;$B$2,'Audit Log'!$F$2:$F$2001,$N26,'Audit Log'!$S$2:$S$2001,$B$4,'Audit Log'!$T$2:$T$2001,"Yes")</f>
        <v/>
      </c>
      <c r="P26">
        <f>COUNTIFS('Audit Log'!$B$2:$B$2001,"&gt;="&amp;$B$2,'Audit Log'!$F$2:$F$2001,$N26,'Audit Log'!$S$2:$S$2001,$B$4,'Audit Log'!$T$2:$T$2001,"Yes",'Audit Log'!$O$2:$O$2001,"Valid")</f>
        <v/>
      </c>
      <c r="Q26">
        <f>$O26+ROW()/100000</f>
        <v/>
      </c>
      <c r="R26">
        <f>IFERROR($P26/$O26,0)</f>
        <v/>
      </c>
      <c r="X26" t="inlineStr">
        <is>
          <t>Anilado, Ellen Sunga</t>
        </is>
      </c>
      <c r="Y26">
        <f>COUNTIFS('Audit Log'!$B$2:$B$2001,"&gt;="&amp;$B$2,'Audit Log'!$F$2:$F$2001,$B$3,'Audit Log'!$S$2:$S$2001,$B$4,'Audit Log'!$T$2:$T$2001,"Yes",'Audit Log'!$C$2:$C$2001,$X26,'Audit Log'!$O$2:$O$2001,"Invalid")</f>
        <v/>
      </c>
      <c r="Z26">
        <f>$Y26+ROW()/100000</f>
        <v/>
      </c>
    </row>
    <row r="27">
      <c r="N27" t="inlineStr">
        <is>
          <t>Nito, Reynaldo Tribol</t>
        </is>
      </c>
      <c r="O27">
        <f>COUNTIFS('Audit Log'!$B$2:$B$2001,"&gt;="&amp;$B$2,'Audit Log'!$F$2:$F$2001,$N27,'Audit Log'!$S$2:$S$2001,$B$4,'Audit Log'!$T$2:$T$2001,"Yes")</f>
        <v/>
      </c>
      <c r="P27">
        <f>COUNTIFS('Audit Log'!$B$2:$B$2001,"&gt;="&amp;$B$2,'Audit Log'!$F$2:$F$2001,$N27,'Audit Log'!$S$2:$S$2001,$B$4,'Audit Log'!$T$2:$T$2001,"Yes",'Audit Log'!$O$2:$O$2001,"Valid")</f>
        <v/>
      </c>
      <c r="Q27">
        <f>$O27+ROW()/100000</f>
        <v/>
      </c>
      <c r="R27">
        <f>IFERROR($P27/$O27,0)</f>
        <v/>
      </c>
      <c r="X27" t="inlineStr">
        <is>
          <t>Antonio, Jeric Camillan</t>
        </is>
      </c>
      <c r="Y27">
        <f>COUNTIFS('Audit Log'!$B$2:$B$2001,"&gt;="&amp;$B$2,'Audit Log'!$F$2:$F$2001,$B$3,'Audit Log'!$S$2:$S$2001,$B$4,'Audit Log'!$T$2:$T$2001,"Yes",'Audit Log'!$C$2:$C$2001,$X27,'Audit Log'!$O$2:$O$2001,"Invalid")</f>
        <v/>
      </c>
      <c r="Z27">
        <f>$Y27+ROW()/100000</f>
        <v/>
      </c>
    </row>
    <row r="28">
      <c r="N28" t="inlineStr">
        <is>
          <t>Ong, Lesley Ann Bayotas</t>
        </is>
      </c>
      <c r="O28">
        <f>COUNTIFS('Audit Log'!$B$2:$B$2001,"&gt;="&amp;$B$2,'Audit Log'!$F$2:$F$2001,$N28,'Audit Log'!$S$2:$S$2001,$B$4,'Audit Log'!$T$2:$T$2001,"Yes")</f>
        <v/>
      </c>
      <c r="P28">
        <f>COUNTIFS('Audit Log'!$B$2:$B$2001,"&gt;="&amp;$B$2,'Audit Log'!$F$2:$F$2001,$N28,'Audit Log'!$S$2:$S$2001,$B$4,'Audit Log'!$T$2:$T$2001,"Yes",'Audit Log'!$O$2:$O$2001,"Valid")</f>
        <v/>
      </c>
      <c r="Q28">
        <f>$O28+ROW()/100000</f>
        <v/>
      </c>
      <c r="R28">
        <f>IFERROR($P28/$O28,0)</f>
        <v/>
      </c>
      <c r="X28" t="inlineStr">
        <is>
          <t>Antonio, Marvin Molo</t>
        </is>
      </c>
      <c r="Y28">
        <f>COUNTIFS('Audit Log'!$B$2:$B$2001,"&gt;="&amp;$B$2,'Audit Log'!$F$2:$F$2001,$B$3,'Audit Log'!$S$2:$S$2001,$B$4,'Audit Log'!$T$2:$T$2001,"Yes",'Audit Log'!$C$2:$C$2001,$X28,'Audit Log'!$O$2:$O$2001,"Invalid")</f>
        <v/>
      </c>
      <c r="Z28">
        <f>$Y28+ROW()/100000</f>
        <v/>
      </c>
    </row>
    <row r="29">
      <c r="N29" t="inlineStr">
        <is>
          <t>Panti, Alger Arellano</t>
        </is>
      </c>
      <c r="O29">
        <f>COUNTIFS('Audit Log'!$B$2:$B$2001,"&gt;="&amp;$B$2,'Audit Log'!$F$2:$F$2001,$N29,'Audit Log'!$S$2:$S$2001,$B$4,'Audit Log'!$T$2:$T$2001,"Yes")</f>
        <v/>
      </c>
      <c r="P29">
        <f>COUNTIFS('Audit Log'!$B$2:$B$2001,"&gt;="&amp;$B$2,'Audit Log'!$F$2:$F$2001,$N29,'Audit Log'!$S$2:$S$2001,$B$4,'Audit Log'!$T$2:$T$2001,"Yes",'Audit Log'!$O$2:$O$2001,"Valid")</f>
        <v/>
      </c>
      <c r="Q29">
        <f>$O29+ROW()/100000</f>
        <v/>
      </c>
      <c r="R29">
        <f>IFERROR($P29/$O29,0)</f>
        <v/>
      </c>
      <c r="X29" t="inlineStr">
        <is>
          <t>Antonio, Patricia Ann Valdez</t>
        </is>
      </c>
      <c r="Y29">
        <f>COUNTIFS('Audit Log'!$B$2:$B$2001,"&gt;="&amp;$B$2,'Audit Log'!$F$2:$F$2001,$B$3,'Audit Log'!$S$2:$S$2001,$B$4,'Audit Log'!$T$2:$T$2001,"Yes",'Audit Log'!$C$2:$C$2001,$X29,'Audit Log'!$O$2:$O$2001,"Invalid")</f>
        <v/>
      </c>
      <c r="Z29">
        <f>$Y29+ROW()/100000</f>
        <v/>
      </c>
    </row>
    <row r="30">
      <c r="N30" t="inlineStr">
        <is>
          <t>Pineda, Gerald Christian Bo</t>
        </is>
      </c>
      <c r="O30">
        <f>COUNTIFS('Audit Log'!$B$2:$B$2001,"&gt;="&amp;$B$2,'Audit Log'!$F$2:$F$2001,$N30,'Audit Log'!$S$2:$S$2001,$B$4,'Audit Log'!$T$2:$T$2001,"Yes")</f>
        <v/>
      </c>
      <c r="P30">
        <f>COUNTIFS('Audit Log'!$B$2:$B$2001,"&gt;="&amp;$B$2,'Audit Log'!$F$2:$F$2001,$N30,'Audit Log'!$S$2:$S$2001,$B$4,'Audit Log'!$T$2:$T$2001,"Yes",'Audit Log'!$O$2:$O$2001,"Valid")</f>
        <v/>
      </c>
      <c r="Q30">
        <f>$O30+ROW()/100000</f>
        <v/>
      </c>
      <c r="R30">
        <f>IFERROR($P30/$O30,0)</f>
        <v/>
      </c>
      <c r="X30" t="inlineStr">
        <is>
          <t>Apostol, Shaira Nmn</t>
        </is>
      </c>
      <c r="Y30">
        <f>COUNTIFS('Audit Log'!$B$2:$B$2001,"&gt;="&amp;$B$2,'Audit Log'!$F$2:$F$2001,$B$3,'Audit Log'!$S$2:$S$2001,$B$4,'Audit Log'!$T$2:$T$2001,"Yes",'Audit Log'!$C$2:$C$2001,$X30,'Audit Log'!$O$2:$O$2001,"Invalid")</f>
        <v/>
      </c>
      <c r="Z30">
        <f>$Y30+ROW()/100000</f>
        <v/>
      </c>
    </row>
    <row r="31">
      <c r="N31" t="inlineStr">
        <is>
          <t>Poon, Aris Sobrevilla</t>
        </is>
      </c>
      <c r="O31">
        <f>COUNTIFS('Audit Log'!$B$2:$B$2001,"&gt;="&amp;$B$2,'Audit Log'!$F$2:$F$2001,$N31,'Audit Log'!$S$2:$S$2001,$B$4,'Audit Log'!$T$2:$T$2001,"Yes")</f>
        <v/>
      </c>
      <c r="P31">
        <f>COUNTIFS('Audit Log'!$B$2:$B$2001,"&gt;="&amp;$B$2,'Audit Log'!$F$2:$F$2001,$N31,'Audit Log'!$S$2:$S$2001,$B$4,'Audit Log'!$T$2:$T$2001,"Yes",'Audit Log'!$O$2:$O$2001,"Valid")</f>
        <v/>
      </c>
      <c r="Q31">
        <f>$O31+ROW()/100000</f>
        <v/>
      </c>
      <c r="R31">
        <f>IFERROR($P31/$O31,0)</f>
        <v/>
      </c>
      <c r="X31" t="inlineStr">
        <is>
          <t>Apuang, Cecilia Basilga</t>
        </is>
      </c>
      <c r="Y31">
        <f>COUNTIFS('Audit Log'!$B$2:$B$2001,"&gt;="&amp;$B$2,'Audit Log'!$F$2:$F$2001,$B$3,'Audit Log'!$S$2:$S$2001,$B$4,'Audit Log'!$T$2:$T$2001,"Yes",'Audit Log'!$C$2:$C$2001,$X31,'Audit Log'!$O$2:$O$2001,"Invalid")</f>
        <v/>
      </c>
      <c r="Z31">
        <f>$Y31+ROW()/100000</f>
        <v/>
      </c>
    </row>
    <row r="32">
      <c r="N32" t="inlineStr">
        <is>
          <t>Quinto, Bernadeth Mendoza</t>
        </is>
      </c>
      <c r="O32">
        <f>COUNTIFS('Audit Log'!$B$2:$B$2001,"&gt;="&amp;$B$2,'Audit Log'!$F$2:$F$2001,$N32,'Audit Log'!$S$2:$S$2001,$B$4,'Audit Log'!$T$2:$T$2001,"Yes")</f>
        <v/>
      </c>
      <c r="P32">
        <f>COUNTIFS('Audit Log'!$B$2:$B$2001,"&gt;="&amp;$B$2,'Audit Log'!$F$2:$F$2001,$N32,'Audit Log'!$S$2:$S$2001,$B$4,'Audit Log'!$T$2:$T$2001,"Yes",'Audit Log'!$O$2:$O$2001,"Valid")</f>
        <v/>
      </c>
      <c r="Q32">
        <f>$O32+ROW()/100000</f>
        <v/>
      </c>
      <c r="R32">
        <f>IFERROR($P32/$O32,0)</f>
        <v/>
      </c>
      <c r="X32" t="inlineStr">
        <is>
          <t>Aquino, Ricky Nido</t>
        </is>
      </c>
      <c r="Y32">
        <f>COUNTIFS('Audit Log'!$B$2:$B$2001,"&gt;="&amp;$B$2,'Audit Log'!$F$2:$F$2001,$B$3,'Audit Log'!$S$2:$S$2001,$B$4,'Audit Log'!$T$2:$T$2001,"Yes",'Audit Log'!$C$2:$C$2001,$X32,'Audit Log'!$O$2:$O$2001,"Invalid")</f>
        <v/>
      </c>
      <c r="Z32">
        <f>$Y32+ROW()/100000</f>
        <v/>
      </c>
    </row>
    <row r="33">
      <c r="N33" t="inlineStr">
        <is>
          <t>Racha, Grace Eunice Divinagracia</t>
        </is>
      </c>
      <c r="O33">
        <f>COUNTIFS('Audit Log'!$B$2:$B$2001,"&gt;="&amp;$B$2,'Audit Log'!$F$2:$F$2001,$N33,'Audit Log'!$S$2:$S$2001,$B$4,'Audit Log'!$T$2:$T$2001,"Yes")</f>
        <v/>
      </c>
      <c r="P33">
        <f>COUNTIFS('Audit Log'!$B$2:$B$2001,"&gt;="&amp;$B$2,'Audit Log'!$F$2:$F$2001,$N33,'Audit Log'!$S$2:$S$2001,$B$4,'Audit Log'!$T$2:$T$2001,"Yes",'Audit Log'!$O$2:$O$2001,"Valid")</f>
        <v/>
      </c>
      <c r="Q33">
        <f>$O33+ROW()/100000</f>
        <v/>
      </c>
      <c r="R33">
        <f>IFERROR($P33/$O33,0)</f>
        <v/>
      </c>
      <c r="X33" t="inlineStr">
        <is>
          <t>Aramburo Jr., Romeo Marzan</t>
        </is>
      </c>
      <c r="Y33">
        <f>COUNTIFS('Audit Log'!$B$2:$B$2001,"&gt;="&amp;$B$2,'Audit Log'!$F$2:$F$2001,$B$3,'Audit Log'!$S$2:$S$2001,$B$4,'Audit Log'!$T$2:$T$2001,"Yes",'Audit Log'!$C$2:$C$2001,$X33,'Audit Log'!$O$2:$O$2001,"Invalid")</f>
        <v/>
      </c>
      <c r="Z33">
        <f>$Y33+ROW()/100000</f>
        <v/>
      </c>
    </row>
    <row r="34">
      <c r="N34" t="inlineStr">
        <is>
          <t>Ramos, Ma Concepcion Sanchez</t>
        </is>
      </c>
      <c r="O34">
        <f>COUNTIFS('Audit Log'!$B$2:$B$2001,"&gt;="&amp;$B$2,'Audit Log'!$F$2:$F$2001,$N34,'Audit Log'!$S$2:$S$2001,$B$4,'Audit Log'!$T$2:$T$2001,"Yes")</f>
        <v/>
      </c>
      <c r="P34">
        <f>COUNTIFS('Audit Log'!$B$2:$B$2001,"&gt;="&amp;$B$2,'Audit Log'!$F$2:$F$2001,$N34,'Audit Log'!$S$2:$S$2001,$B$4,'Audit Log'!$T$2:$T$2001,"Yes",'Audit Log'!$O$2:$O$2001,"Valid")</f>
        <v/>
      </c>
      <c r="Q34">
        <f>$O34+ROW()/100000</f>
        <v/>
      </c>
      <c r="R34">
        <f>IFERROR($P34/$O34,0)</f>
        <v/>
      </c>
      <c r="X34" t="inlineStr">
        <is>
          <t>Arcena, Alberto Chua</t>
        </is>
      </c>
      <c r="Y34">
        <f>COUNTIFS('Audit Log'!$B$2:$B$2001,"&gt;="&amp;$B$2,'Audit Log'!$F$2:$F$2001,$B$3,'Audit Log'!$S$2:$S$2001,$B$4,'Audit Log'!$T$2:$T$2001,"Yes",'Audit Log'!$C$2:$C$2001,$X34,'Audit Log'!$O$2:$O$2001,"Invalid")</f>
        <v/>
      </c>
      <c r="Z34">
        <f>$Y34+ROW()/100000</f>
        <v/>
      </c>
    </row>
    <row r="35">
      <c r="N35" t="inlineStr">
        <is>
          <t>Salafranca, Ryan Alejo</t>
        </is>
      </c>
      <c r="O35">
        <f>COUNTIFS('Audit Log'!$B$2:$B$2001,"&gt;="&amp;$B$2,'Audit Log'!$F$2:$F$2001,$N35,'Audit Log'!$S$2:$S$2001,$B$4,'Audit Log'!$T$2:$T$2001,"Yes")</f>
        <v/>
      </c>
      <c r="P35">
        <f>COUNTIFS('Audit Log'!$B$2:$B$2001,"&gt;="&amp;$B$2,'Audit Log'!$F$2:$F$2001,$N35,'Audit Log'!$S$2:$S$2001,$B$4,'Audit Log'!$T$2:$T$2001,"Yes",'Audit Log'!$O$2:$O$2001,"Valid")</f>
        <v/>
      </c>
      <c r="Q35">
        <f>$O35+ROW()/100000</f>
        <v/>
      </c>
      <c r="R35">
        <f>IFERROR($P35/$O35,0)</f>
        <v/>
      </c>
      <c r="X35" t="inlineStr">
        <is>
          <t>Aringo, Ivy Mical Jugo</t>
        </is>
      </c>
      <c r="Y35">
        <f>COUNTIFS('Audit Log'!$B$2:$B$2001,"&gt;="&amp;$B$2,'Audit Log'!$F$2:$F$2001,$B$3,'Audit Log'!$S$2:$S$2001,$B$4,'Audit Log'!$T$2:$T$2001,"Yes",'Audit Log'!$C$2:$C$2001,$X35,'Audit Log'!$O$2:$O$2001,"Invalid")</f>
        <v/>
      </c>
      <c r="Z35">
        <f>$Y35+ROW()/100000</f>
        <v/>
      </c>
    </row>
    <row r="36">
      <c r="N36" t="inlineStr">
        <is>
          <t>Sernal, Rachelle Ibiernas</t>
        </is>
      </c>
      <c r="O36">
        <f>COUNTIFS('Audit Log'!$B$2:$B$2001,"&gt;="&amp;$B$2,'Audit Log'!$F$2:$F$2001,$N36,'Audit Log'!$S$2:$S$2001,$B$4,'Audit Log'!$T$2:$T$2001,"Yes")</f>
        <v/>
      </c>
      <c r="P36">
        <f>COUNTIFS('Audit Log'!$B$2:$B$2001,"&gt;="&amp;$B$2,'Audit Log'!$F$2:$F$2001,$N36,'Audit Log'!$S$2:$S$2001,$B$4,'Audit Log'!$T$2:$T$2001,"Yes",'Audit Log'!$O$2:$O$2001,"Valid")</f>
        <v/>
      </c>
      <c r="Q36">
        <f>$O36+ROW()/100000</f>
        <v/>
      </c>
      <c r="R36">
        <f>IFERROR($P36/$O36,0)</f>
        <v/>
      </c>
      <c r="X36" t="inlineStr">
        <is>
          <t>Arnado, Ricardo Agapito Guison</t>
        </is>
      </c>
      <c r="Y36">
        <f>COUNTIFS('Audit Log'!$B$2:$B$2001,"&gt;="&amp;$B$2,'Audit Log'!$F$2:$F$2001,$B$3,'Audit Log'!$S$2:$S$2001,$B$4,'Audit Log'!$T$2:$T$2001,"Yes",'Audit Log'!$C$2:$C$2001,$X36,'Audit Log'!$O$2:$O$2001,"Invalid")</f>
        <v/>
      </c>
      <c r="Z36">
        <f>$Y36+ROW()/100000</f>
        <v/>
      </c>
    </row>
    <row r="37">
      <c r="N37" t="inlineStr">
        <is>
          <t>Sevilla, Audrey Marie Galindo</t>
        </is>
      </c>
      <c r="O37">
        <f>COUNTIFS('Audit Log'!$B$2:$B$2001,"&gt;="&amp;$B$2,'Audit Log'!$F$2:$F$2001,$N37,'Audit Log'!$S$2:$S$2001,$B$4,'Audit Log'!$T$2:$T$2001,"Yes")</f>
        <v/>
      </c>
      <c r="P37">
        <f>COUNTIFS('Audit Log'!$B$2:$B$2001,"&gt;="&amp;$B$2,'Audit Log'!$F$2:$F$2001,$N37,'Audit Log'!$S$2:$S$2001,$B$4,'Audit Log'!$T$2:$T$2001,"Yes",'Audit Log'!$O$2:$O$2001,"Valid")</f>
        <v/>
      </c>
      <c r="Q37">
        <f>$O37+ROW()/100000</f>
        <v/>
      </c>
      <c r="R37">
        <f>IFERROR($P37/$O37,0)</f>
        <v/>
      </c>
      <c r="X37" t="inlineStr">
        <is>
          <t>Arriola, Kathrine Kae Advincula</t>
        </is>
      </c>
      <c r="Y37">
        <f>COUNTIFS('Audit Log'!$B$2:$B$2001,"&gt;="&amp;$B$2,'Audit Log'!$F$2:$F$2001,$B$3,'Audit Log'!$S$2:$S$2001,$B$4,'Audit Log'!$T$2:$T$2001,"Yes",'Audit Log'!$C$2:$C$2001,$X37,'Audit Log'!$O$2:$O$2001,"Invalid")</f>
        <v/>
      </c>
      <c r="Z37">
        <f>$Y37+ROW()/100000</f>
        <v/>
      </c>
    </row>
    <row r="38">
      <c r="N38" t="inlineStr">
        <is>
          <t>Sheilick Anne Munoz</t>
        </is>
      </c>
      <c r="O38">
        <f>COUNTIFS('Audit Log'!$B$2:$B$2001,"&gt;="&amp;$B$2,'Audit Log'!$F$2:$F$2001,$N38,'Audit Log'!$S$2:$S$2001,$B$4,'Audit Log'!$T$2:$T$2001,"Yes")</f>
        <v/>
      </c>
      <c r="P38">
        <f>COUNTIFS('Audit Log'!$B$2:$B$2001,"&gt;="&amp;$B$2,'Audit Log'!$F$2:$F$2001,$N38,'Audit Log'!$S$2:$S$2001,$B$4,'Audit Log'!$T$2:$T$2001,"Yes",'Audit Log'!$O$2:$O$2001,"Valid")</f>
        <v/>
      </c>
      <c r="Q38">
        <f>$O38+ROW()/100000</f>
        <v/>
      </c>
      <c r="R38">
        <f>IFERROR($P38/$O38,0)</f>
        <v/>
      </c>
      <c r="X38" t="inlineStr">
        <is>
          <t>Arsenue, Melvin Rosario</t>
        </is>
      </c>
      <c r="Y38">
        <f>COUNTIFS('Audit Log'!$B$2:$B$2001,"&gt;="&amp;$B$2,'Audit Log'!$F$2:$F$2001,$B$3,'Audit Log'!$S$2:$S$2001,$B$4,'Audit Log'!$T$2:$T$2001,"Yes",'Audit Log'!$C$2:$C$2001,$X38,'Audit Log'!$O$2:$O$2001,"Invalid")</f>
        <v/>
      </c>
      <c r="Z38">
        <f>$Y38+ROW()/100000</f>
        <v/>
      </c>
    </row>
    <row r="39">
      <c r="N39" t="inlineStr">
        <is>
          <t>Ugalino, Jonadel Pineda</t>
        </is>
      </c>
      <c r="O39">
        <f>COUNTIFS('Audit Log'!$B$2:$B$2001,"&gt;="&amp;$B$2,'Audit Log'!$F$2:$F$2001,$N39,'Audit Log'!$S$2:$S$2001,$B$4,'Audit Log'!$T$2:$T$2001,"Yes")</f>
        <v/>
      </c>
      <c r="P39">
        <f>COUNTIFS('Audit Log'!$B$2:$B$2001,"&gt;="&amp;$B$2,'Audit Log'!$F$2:$F$2001,$N39,'Audit Log'!$S$2:$S$2001,$B$4,'Audit Log'!$T$2:$T$2001,"Yes",'Audit Log'!$O$2:$O$2001,"Valid")</f>
        <v/>
      </c>
      <c r="Q39">
        <f>$O39+ROW()/100000</f>
        <v/>
      </c>
      <c r="R39">
        <f>IFERROR($P39/$O39,0)</f>
        <v/>
      </c>
      <c r="X39" t="inlineStr">
        <is>
          <t>Asenas, Sheryll Mae Futalan</t>
        </is>
      </c>
      <c r="Y39">
        <f>COUNTIFS('Audit Log'!$B$2:$B$2001,"&gt;="&amp;$B$2,'Audit Log'!$F$2:$F$2001,$B$3,'Audit Log'!$S$2:$S$2001,$B$4,'Audit Log'!$T$2:$T$2001,"Yes",'Audit Log'!$C$2:$C$2001,$X39,'Audit Log'!$O$2:$O$2001,"Invalid")</f>
        <v/>
      </c>
      <c r="Z39">
        <f>$Y39+ROW()/100000</f>
        <v/>
      </c>
    </row>
    <row r="40">
      <c r="N40" t="inlineStr">
        <is>
          <t>Vedia, Jerson Reyes</t>
        </is>
      </c>
      <c r="O40">
        <f>COUNTIFS('Audit Log'!$B$2:$B$2001,"&gt;="&amp;$B$2,'Audit Log'!$F$2:$F$2001,$N40,'Audit Log'!$S$2:$S$2001,$B$4,'Audit Log'!$T$2:$T$2001,"Yes")</f>
        <v/>
      </c>
      <c r="P40">
        <f>COUNTIFS('Audit Log'!$B$2:$B$2001,"&gt;="&amp;$B$2,'Audit Log'!$F$2:$F$2001,$N40,'Audit Log'!$S$2:$S$2001,$B$4,'Audit Log'!$T$2:$T$2001,"Yes",'Audit Log'!$O$2:$O$2001,"Valid")</f>
        <v/>
      </c>
      <c r="Q40">
        <f>$O40+ROW()/100000</f>
        <v/>
      </c>
      <c r="R40">
        <f>IFERROR($P40/$O40,0)</f>
        <v/>
      </c>
      <c r="X40" t="inlineStr">
        <is>
          <t>Awitan, Jane Arimado</t>
        </is>
      </c>
      <c r="Y40">
        <f>COUNTIFS('Audit Log'!$B$2:$B$2001,"&gt;="&amp;$B$2,'Audit Log'!$F$2:$F$2001,$B$3,'Audit Log'!$S$2:$S$2001,$B$4,'Audit Log'!$T$2:$T$2001,"Yes",'Audit Log'!$C$2:$C$2001,$X40,'Audit Log'!$O$2:$O$2001,"Invalid")</f>
        <v/>
      </c>
      <c r="Z40">
        <f>$Y40+ROW()/100000</f>
        <v/>
      </c>
    </row>
    <row r="41">
      <c r="X41" t="inlineStr">
        <is>
          <t>Baguino, Ariel Forbes</t>
        </is>
      </c>
      <c r="Y41">
        <f>COUNTIFS('Audit Log'!$B$2:$B$2001,"&gt;="&amp;$B$2,'Audit Log'!$F$2:$F$2001,$B$3,'Audit Log'!$S$2:$S$2001,$B$4,'Audit Log'!$T$2:$T$2001,"Yes",'Audit Log'!$C$2:$C$2001,$X41,'Audit Log'!$O$2:$O$2001,"Invalid")</f>
        <v/>
      </c>
      <c r="Z41">
        <f>$Y41+ROW()/100000</f>
        <v/>
      </c>
    </row>
    <row r="42">
      <c r="X42" t="inlineStr">
        <is>
          <t>Balingit, Judy Ann Getubig</t>
        </is>
      </c>
      <c r="Y42">
        <f>COUNTIFS('Audit Log'!$B$2:$B$2001,"&gt;="&amp;$B$2,'Audit Log'!$F$2:$F$2001,$B$3,'Audit Log'!$S$2:$S$2001,$B$4,'Audit Log'!$T$2:$T$2001,"Yes",'Audit Log'!$C$2:$C$2001,$X42,'Audit Log'!$O$2:$O$2001,"Invalid")</f>
        <v/>
      </c>
      <c r="Z42">
        <f>$Y42+ROW()/100000</f>
        <v/>
      </c>
    </row>
    <row r="43">
      <c r="X43" t="inlineStr">
        <is>
          <t>Balles, Reymund Esquivel</t>
        </is>
      </c>
      <c r="Y43">
        <f>COUNTIFS('Audit Log'!$B$2:$B$2001,"&gt;="&amp;$B$2,'Audit Log'!$F$2:$F$2001,$B$3,'Audit Log'!$S$2:$S$2001,$B$4,'Audit Log'!$T$2:$T$2001,"Yes",'Audit Log'!$C$2:$C$2001,$X43,'Audit Log'!$O$2:$O$2001,"Invalid")</f>
        <v/>
      </c>
      <c r="Z43">
        <f>$Y43+ROW()/100000</f>
        <v/>
      </c>
    </row>
    <row r="44">
      <c r="X44" t="inlineStr">
        <is>
          <t>Baloco, Paula Bianca Villarante</t>
        </is>
      </c>
      <c r="Y44">
        <f>COUNTIFS('Audit Log'!$B$2:$B$2001,"&gt;="&amp;$B$2,'Audit Log'!$F$2:$F$2001,$B$3,'Audit Log'!$S$2:$S$2001,$B$4,'Audit Log'!$T$2:$T$2001,"Yes",'Audit Log'!$C$2:$C$2001,$X44,'Audit Log'!$O$2:$O$2001,"Invalid")</f>
        <v/>
      </c>
      <c r="Z44">
        <f>$Y44+ROW()/100000</f>
        <v/>
      </c>
    </row>
    <row r="45">
      <c r="X45" t="inlineStr">
        <is>
          <t>Baltazar, Ryan Casey Lansangan</t>
        </is>
      </c>
      <c r="Y45">
        <f>COUNTIFS('Audit Log'!$B$2:$B$2001,"&gt;="&amp;$B$2,'Audit Log'!$F$2:$F$2001,$B$3,'Audit Log'!$S$2:$S$2001,$B$4,'Audit Log'!$T$2:$T$2001,"Yes",'Audit Log'!$C$2:$C$2001,$X45,'Audit Log'!$O$2:$O$2001,"Invalid")</f>
        <v/>
      </c>
      <c r="Z45">
        <f>$Y45+ROW()/100000</f>
        <v/>
      </c>
    </row>
    <row r="46">
      <c r="X46" t="inlineStr">
        <is>
          <t>Basbas, Lea Mai Lado</t>
        </is>
      </c>
      <c r="Y46">
        <f>COUNTIFS('Audit Log'!$B$2:$B$2001,"&gt;="&amp;$B$2,'Audit Log'!$F$2:$F$2001,$B$3,'Audit Log'!$S$2:$S$2001,$B$4,'Audit Log'!$T$2:$T$2001,"Yes",'Audit Log'!$C$2:$C$2001,$X46,'Audit Log'!$O$2:$O$2001,"Invalid")</f>
        <v/>
      </c>
      <c r="Z46">
        <f>$Y46+ROW()/100000</f>
        <v/>
      </c>
    </row>
    <row r="47">
      <c r="X47" t="inlineStr">
        <is>
          <t>Batimana, Randy Pardilla</t>
        </is>
      </c>
      <c r="Y47">
        <f>COUNTIFS('Audit Log'!$B$2:$B$2001,"&gt;="&amp;$B$2,'Audit Log'!$F$2:$F$2001,$B$3,'Audit Log'!$S$2:$S$2001,$B$4,'Audit Log'!$T$2:$T$2001,"Yes",'Audit Log'!$C$2:$C$2001,$X47,'Audit Log'!$O$2:$O$2001,"Invalid")</f>
        <v/>
      </c>
      <c r="Z47">
        <f>$Y47+ROW()/100000</f>
        <v/>
      </c>
    </row>
    <row r="48">
      <c r="X48" t="inlineStr">
        <is>
          <t>Bautista, Allan Joseph Sanchez</t>
        </is>
      </c>
      <c r="Y48">
        <f>COUNTIFS('Audit Log'!$B$2:$B$2001,"&gt;="&amp;$B$2,'Audit Log'!$F$2:$F$2001,$B$3,'Audit Log'!$S$2:$S$2001,$B$4,'Audit Log'!$T$2:$T$2001,"Yes",'Audit Log'!$C$2:$C$2001,$X48,'Audit Log'!$O$2:$O$2001,"Invalid")</f>
        <v/>
      </c>
      <c r="Z48">
        <f>$Y48+ROW()/100000</f>
        <v/>
      </c>
    </row>
    <row r="49">
      <c r="X49" t="inlineStr">
        <is>
          <t>Bautista, Arvie Aggabao</t>
        </is>
      </c>
      <c r="Y49">
        <f>COUNTIFS('Audit Log'!$B$2:$B$2001,"&gt;="&amp;$B$2,'Audit Log'!$F$2:$F$2001,$B$3,'Audit Log'!$S$2:$S$2001,$B$4,'Audit Log'!$T$2:$T$2001,"Yes",'Audit Log'!$C$2:$C$2001,$X49,'Audit Log'!$O$2:$O$2001,"Invalid")</f>
        <v/>
      </c>
      <c r="Z49">
        <f>$Y49+ROW()/100000</f>
        <v/>
      </c>
    </row>
    <row r="50">
      <c r="X50" t="inlineStr">
        <is>
          <t>Baya, Cindy Diaz</t>
        </is>
      </c>
      <c r="Y50">
        <f>COUNTIFS('Audit Log'!$B$2:$B$2001,"&gt;="&amp;$B$2,'Audit Log'!$F$2:$F$2001,$B$3,'Audit Log'!$S$2:$S$2001,$B$4,'Audit Log'!$T$2:$T$2001,"Yes",'Audit Log'!$C$2:$C$2001,$X50,'Audit Log'!$O$2:$O$2001,"Invalid")</f>
        <v/>
      </c>
      <c r="Z50">
        <f>$Y50+ROW()/100000</f>
        <v/>
      </c>
    </row>
    <row r="51">
      <c r="X51" t="inlineStr">
        <is>
          <t>Bayson, Johnnella Faith Baluco</t>
        </is>
      </c>
      <c r="Y51">
        <f>COUNTIFS('Audit Log'!$B$2:$B$2001,"&gt;="&amp;$B$2,'Audit Log'!$F$2:$F$2001,$B$3,'Audit Log'!$S$2:$S$2001,$B$4,'Audit Log'!$T$2:$T$2001,"Yes",'Audit Log'!$C$2:$C$2001,$X51,'Audit Log'!$O$2:$O$2001,"Invalid")</f>
        <v/>
      </c>
      <c r="Z51">
        <f>$Y51+ROW()/100000</f>
        <v/>
      </c>
    </row>
    <row r="52">
      <c r="X52" t="inlineStr">
        <is>
          <t>Belandres, Nica Marie Ballola</t>
        </is>
      </c>
      <c r="Y52">
        <f>COUNTIFS('Audit Log'!$B$2:$B$2001,"&gt;="&amp;$B$2,'Audit Log'!$F$2:$F$2001,$B$3,'Audit Log'!$S$2:$S$2001,$B$4,'Audit Log'!$T$2:$T$2001,"Yes",'Audit Log'!$C$2:$C$2001,$X52,'Audit Log'!$O$2:$O$2001,"Invalid")</f>
        <v/>
      </c>
      <c r="Z52">
        <f>$Y52+ROW()/100000</f>
        <v/>
      </c>
    </row>
    <row r="53">
      <c r="X53" t="inlineStr">
        <is>
          <t>Belgica, Jessa Sarmiento</t>
        </is>
      </c>
      <c r="Y53">
        <f>COUNTIFS('Audit Log'!$B$2:$B$2001,"&gt;="&amp;$B$2,'Audit Log'!$F$2:$F$2001,$B$3,'Audit Log'!$S$2:$S$2001,$B$4,'Audit Log'!$T$2:$T$2001,"Yes",'Audit Log'!$C$2:$C$2001,$X53,'Audit Log'!$O$2:$O$2001,"Invalid")</f>
        <v/>
      </c>
      <c r="Z53">
        <f>$Y53+ROW()/100000</f>
        <v/>
      </c>
    </row>
    <row r="54">
      <c r="X54" t="inlineStr">
        <is>
          <t>Bella, Zarla Marie Mallorca</t>
        </is>
      </c>
      <c r="Y54">
        <f>COUNTIFS('Audit Log'!$B$2:$B$2001,"&gt;="&amp;$B$2,'Audit Log'!$F$2:$F$2001,$B$3,'Audit Log'!$S$2:$S$2001,$B$4,'Audit Log'!$T$2:$T$2001,"Yes",'Audit Log'!$C$2:$C$2001,$X54,'Audit Log'!$O$2:$O$2001,"Invalid")</f>
        <v/>
      </c>
      <c r="Z54">
        <f>$Y54+ROW()/100000</f>
        <v/>
      </c>
    </row>
    <row r="55">
      <c r="X55" t="inlineStr">
        <is>
          <t>Benedicto, Allen Kiel Lazarra</t>
        </is>
      </c>
      <c r="Y55">
        <f>COUNTIFS('Audit Log'!$B$2:$B$2001,"&gt;="&amp;$B$2,'Audit Log'!$F$2:$F$2001,$B$3,'Audit Log'!$S$2:$S$2001,$B$4,'Audit Log'!$T$2:$T$2001,"Yes",'Audit Log'!$C$2:$C$2001,$X55,'Audit Log'!$O$2:$O$2001,"Invalid")</f>
        <v/>
      </c>
      <c r="Z55">
        <f>$Y55+ROW()/100000</f>
        <v/>
      </c>
    </row>
    <row r="56">
      <c r="X56" t="inlineStr">
        <is>
          <t>Benedicto, Mona Liza Matias</t>
        </is>
      </c>
      <c r="Y56">
        <f>COUNTIFS('Audit Log'!$B$2:$B$2001,"&gt;="&amp;$B$2,'Audit Log'!$F$2:$F$2001,$B$3,'Audit Log'!$S$2:$S$2001,$B$4,'Audit Log'!$T$2:$T$2001,"Yes",'Audit Log'!$C$2:$C$2001,$X56,'Audit Log'!$O$2:$O$2001,"Invalid")</f>
        <v/>
      </c>
      <c r="Z56">
        <f>$Y56+ROW()/100000</f>
        <v/>
      </c>
    </row>
    <row r="57">
      <c r="X57" t="inlineStr">
        <is>
          <t>Bernardo, Mary Jane Cayme</t>
        </is>
      </c>
      <c r="Y57">
        <f>COUNTIFS('Audit Log'!$B$2:$B$2001,"&gt;="&amp;$B$2,'Audit Log'!$F$2:$F$2001,$B$3,'Audit Log'!$S$2:$S$2001,$B$4,'Audit Log'!$T$2:$T$2001,"Yes",'Audit Log'!$C$2:$C$2001,$X57,'Audit Log'!$O$2:$O$2001,"Invalid")</f>
        <v/>
      </c>
      <c r="Z57">
        <f>$Y57+ROW()/100000</f>
        <v/>
      </c>
    </row>
    <row r="58">
      <c r="X58" t="inlineStr">
        <is>
          <t>Bernat, Rae Anne Claro</t>
        </is>
      </c>
      <c r="Y58">
        <f>COUNTIFS('Audit Log'!$B$2:$B$2001,"&gt;="&amp;$B$2,'Audit Log'!$F$2:$F$2001,$B$3,'Audit Log'!$S$2:$S$2001,$B$4,'Audit Log'!$T$2:$T$2001,"Yes",'Audit Log'!$C$2:$C$2001,$X58,'Audit Log'!$O$2:$O$2001,"Invalid")</f>
        <v/>
      </c>
      <c r="Z58">
        <f>$Y58+ROW()/100000</f>
        <v/>
      </c>
    </row>
    <row r="59">
      <c r="X59" t="inlineStr">
        <is>
          <t>Bertos, Cindy Salmingo</t>
        </is>
      </c>
      <c r="Y59">
        <f>COUNTIFS('Audit Log'!$B$2:$B$2001,"&gt;="&amp;$B$2,'Audit Log'!$F$2:$F$2001,$B$3,'Audit Log'!$S$2:$S$2001,$B$4,'Audit Log'!$T$2:$T$2001,"Yes",'Audit Log'!$C$2:$C$2001,$X59,'Audit Log'!$O$2:$O$2001,"Invalid")</f>
        <v/>
      </c>
      <c r="Z59">
        <f>$Y59+ROW()/100000</f>
        <v/>
      </c>
    </row>
    <row r="60">
      <c r="X60" t="inlineStr">
        <is>
          <t>Bhardwaj, Sundeep Taneza</t>
        </is>
      </c>
      <c r="Y60">
        <f>COUNTIFS('Audit Log'!$B$2:$B$2001,"&gt;="&amp;$B$2,'Audit Log'!$F$2:$F$2001,$B$3,'Audit Log'!$S$2:$S$2001,$B$4,'Audit Log'!$T$2:$T$2001,"Yes",'Audit Log'!$C$2:$C$2001,$X60,'Audit Log'!$O$2:$O$2001,"Invalid")</f>
        <v/>
      </c>
      <c r="Z60">
        <f>$Y60+ROW()/100000</f>
        <v/>
      </c>
    </row>
    <row r="61">
      <c r="X61" t="inlineStr">
        <is>
          <t>Billete, Salve Checa</t>
        </is>
      </c>
      <c r="Y61">
        <f>COUNTIFS('Audit Log'!$B$2:$B$2001,"&gt;="&amp;$B$2,'Audit Log'!$F$2:$F$2001,$B$3,'Audit Log'!$S$2:$S$2001,$B$4,'Audit Log'!$T$2:$T$2001,"Yes",'Audit Log'!$C$2:$C$2001,$X61,'Audit Log'!$O$2:$O$2001,"Invalid")</f>
        <v/>
      </c>
      <c r="Z61">
        <f>$Y61+ROW()/100000</f>
        <v/>
      </c>
    </row>
    <row r="62">
      <c r="X62" t="inlineStr">
        <is>
          <t>Blanco, Mary Jane Severano</t>
        </is>
      </c>
      <c r="Y62">
        <f>COUNTIFS('Audit Log'!$B$2:$B$2001,"&gt;="&amp;$B$2,'Audit Log'!$F$2:$F$2001,$B$3,'Audit Log'!$S$2:$S$2001,$B$4,'Audit Log'!$T$2:$T$2001,"Yes",'Audit Log'!$C$2:$C$2001,$X62,'Audit Log'!$O$2:$O$2001,"Invalid")</f>
        <v/>
      </c>
      <c r="Z62">
        <f>$Y62+ROW()/100000</f>
        <v/>
      </c>
    </row>
    <row r="63">
      <c r="X63" t="inlineStr">
        <is>
          <t>Blas, Jesus Jr Trinidad</t>
        </is>
      </c>
      <c r="Y63">
        <f>COUNTIFS('Audit Log'!$B$2:$B$2001,"&gt;="&amp;$B$2,'Audit Log'!$F$2:$F$2001,$B$3,'Audit Log'!$S$2:$S$2001,$B$4,'Audit Log'!$T$2:$T$2001,"Yes",'Audit Log'!$C$2:$C$2001,$X63,'Audit Log'!$O$2:$O$2001,"Invalid")</f>
        <v/>
      </c>
      <c r="Z63">
        <f>$Y63+ROW()/100000</f>
        <v/>
      </c>
    </row>
    <row r="64">
      <c r="X64" t="inlineStr">
        <is>
          <t>Boado, Jennifer A</t>
        </is>
      </c>
      <c r="Y64">
        <f>COUNTIFS('Audit Log'!$B$2:$B$2001,"&gt;="&amp;$B$2,'Audit Log'!$F$2:$F$2001,$B$3,'Audit Log'!$S$2:$S$2001,$B$4,'Audit Log'!$T$2:$T$2001,"Yes",'Audit Log'!$C$2:$C$2001,$X64,'Audit Log'!$O$2:$O$2001,"Invalid")</f>
        <v/>
      </c>
      <c r="Z64">
        <f>$Y64+ROW()/100000</f>
        <v/>
      </c>
    </row>
    <row r="65">
      <c r="X65" t="inlineStr">
        <is>
          <t>Bocar, Genesis -</t>
        </is>
      </c>
      <c r="Y65">
        <f>COUNTIFS('Audit Log'!$B$2:$B$2001,"&gt;="&amp;$B$2,'Audit Log'!$F$2:$F$2001,$B$3,'Audit Log'!$S$2:$S$2001,$B$4,'Audit Log'!$T$2:$T$2001,"Yes",'Audit Log'!$C$2:$C$2001,$X65,'Audit Log'!$O$2:$O$2001,"Invalid")</f>
        <v/>
      </c>
      <c r="Z65">
        <f>$Y65+ROW()/100000</f>
        <v/>
      </c>
    </row>
    <row r="66">
      <c r="X66" t="inlineStr">
        <is>
          <t>Bocbocila, Josiel Amahit</t>
        </is>
      </c>
      <c r="Y66">
        <f>COUNTIFS('Audit Log'!$B$2:$B$2001,"&gt;="&amp;$B$2,'Audit Log'!$F$2:$F$2001,$B$3,'Audit Log'!$S$2:$S$2001,$B$4,'Audit Log'!$T$2:$T$2001,"Yes",'Audit Log'!$C$2:$C$2001,$X66,'Audit Log'!$O$2:$O$2001,"Invalid")</f>
        <v/>
      </c>
      <c r="Z66">
        <f>$Y66+ROW()/100000</f>
        <v/>
      </c>
    </row>
    <row r="67">
      <c r="X67" t="inlineStr">
        <is>
          <t>Bondal, Dwennie Loraine Mendoza</t>
        </is>
      </c>
      <c r="Y67">
        <f>COUNTIFS('Audit Log'!$B$2:$B$2001,"&gt;="&amp;$B$2,'Audit Log'!$F$2:$F$2001,$B$3,'Audit Log'!$S$2:$S$2001,$B$4,'Audit Log'!$T$2:$T$2001,"Yes",'Audit Log'!$C$2:$C$2001,$X67,'Audit Log'!$O$2:$O$2001,"Invalid")</f>
        <v/>
      </c>
      <c r="Z67">
        <f>$Y67+ROW()/100000</f>
        <v/>
      </c>
    </row>
    <row r="68">
      <c r="X68" t="inlineStr">
        <is>
          <t>Bonilla, Ralph Vincent Tolentino</t>
        </is>
      </c>
      <c r="Y68">
        <f>COUNTIFS('Audit Log'!$B$2:$B$2001,"&gt;="&amp;$B$2,'Audit Log'!$F$2:$F$2001,$B$3,'Audit Log'!$S$2:$S$2001,$B$4,'Audit Log'!$T$2:$T$2001,"Yes",'Audit Log'!$C$2:$C$2001,$X68,'Audit Log'!$O$2:$O$2001,"Invalid")</f>
        <v/>
      </c>
      <c r="Z68">
        <f>$Y68+ROW()/100000</f>
        <v/>
      </c>
    </row>
    <row r="69">
      <c r="X69" t="inlineStr">
        <is>
          <t>Borbon, Genesis Amor Mendoza</t>
        </is>
      </c>
      <c r="Y69">
        <f>COUNTIFS('Audit Log'!$B$2:$B$2001,"&gt;="&amp;$B$2,'Audit Log'!$F$2:$F$2001,$B$3,'Audit Log'!$S$2:$S$2001,$B$4,'Audit Log'!$T$2:$T$2001,"Yes",'Audit Log'!$C$2:$C$2001,$X69,'Audit Log'!$O$2:$O$2001,"Invalid")</f>
        <v/>
      </c>
      <c r="Z69">
        <f>$Y69+ROW()/100000</f>
        <v/>
      </c>
    </row>
    <row r="70">
      <c r="X70" t="inlineStr">
        <is>
          <t>Bordarays, Alyssa Matudan</t>
        </is>
      </c>
      <c r="Y70">
        <f>COUNTIFS('Audit Log'!$B$2:$B$2001,"&gt;="&amp;$B$2,'Audit Log'!$F$2:$F$2001,$B$3,'Audit Log'!$S$2:$S$2001,$B$4,'Audit Log'!$T$2:$T$2001,"Yes",'Audit Log'!$C$2:$C$2001,$X70,'Audit Log'!$O$2:$O$2001,"Invalid")</f>
        <v/>
      </c>
      <c r="Z70">
        <f>$Y70+ROW()/100000</f>
        <v/>
      </c>
    </row>
    <row r="71">
      <c r="X71" t="inlineStr">
        <is>
          <t>Boribor, Mary Shane Ombing</t>
        </is>
      </c>
      <c r="Y71">
        <f>COUNTIFS('Audit Log'!$B$2:$B$2001,"&gt;="&amp;$B$2,'Audit Log'!$F$2:$F$2001,$B$3,'Audit Log'!$S$2:$S$2001,$B$4,'Audit Log'!$T$2:$T$2001,"Yes",'Audit Log'!$C$2:$C$2001,$X71,'Audit Log'!$O$2:$O$2001,"Invalid")</f>
        <v/>
      </c>
      <c r="Z71">
        <f>$Y71+ROW()/100000</f>
        <v/>
      </c>
    </row>
    <row r="72">
      <c r="X72" t="inlineStr">
        <is>
          <t>Bornolla, Lord Kelvin Amos</t>
        </is>
      </c>
      <c r="Y72">
        <f>COUNTIFS('Audit Log'!$B$2:$B$2001,"&gt;="&amp;$B$2,'Audit Log'!$F$2:$F$2001,$B$3,'Audit Log'!$S$2:$S$2001,$B$4,'Audit Log'!$T$2:$T$2001,"Yes",'Audit Log'!$C$2:$C$2001,$X72,'Audit Log'!$O$2:$O$2001,"Invalid")</f>
        <v/>
      </c>
      <c r="Z72">
        <f>$Y72+ROW()/100000</f>
        <v/>
      </c>
    </row>
    <row r="73">
      <c r="X73" t="inlineStr">
        <is>
          <t>Bote, Roderic Fabay</t>
        </is>
      </c>
      <c r="Y73">
        <f>COUNTIFS('Audit Log'!$B$2:$B$2001,"&gt;="&amp;$B$2,'Audit Log'!$F$2:$F$2001,$B$3,'Audit Log'!$S$2:$S$2001,$B$4,'Audit Log'!$T$2:$T$2001,"Yes",'Audit Log'!$C$2:$C$2001,$X73,'Audit Log'!$O$2:$O$2001,"Invalid")</f>
        <v/>
      </c>
      <c r="Z73">
        <f>$Y73+ROW()/100000</f>
        <v/>
      </c>
    </row>
    <row r="74">
      <c r="X74" t="inlineStr">
        <is>
          <t>Bravo, Janilyne Flores</t>
        </is>
      </c>
      <c r="Y74">
        <f>COUNTIFS('Audit Log'!$B$2:$B$2001,"&gt;="&amp;$B$2,'Audit Log'!$F$2:$F$2001,$B$3,'Audit Log'!$S$2:$S$2001,$B$4,'Audit Log'!$T$2:$T$2001,"Yes",'Audit Log'!$C$2:$C$2001,$X74,'Audit Log'!$O$2:$O$2001,"Invalid")</f>
        <v/>
      </c>
      <c r="Z74">
        <f>$Y74+ROW()/100000</f>
        <v/>
      </c>
    </row>
    <row r="75">
      <c r="X75" t="inlineStr">
        <is>
          <t>Briones, Aries Ang</t>
        </is>
      </c>
      <c r="Y75">
        <f>COUNTIFS('Audit Log'!$B$2:$B$2001,"&gt;="&amp;$B$2,'Audit Log'!$F$2:$F$2001,$B$3,'Audit Log'!$S$2:$S$2001,$B$4,'Audit Log'!$T$2:$T$2001,"Yes",'Audit Log'!$C$2:$C$2001,$X75,'Audit Log'!$O$2:$O$2001,"Invalid")</f>
        <v/>
      </c>
      <c r="Z75">
        <f>$Y75+ROW()/100000</f>
        <v/>
      </c>
    </row>
    <row r="76">
      <c r="X76" t="inlineStr">
        <is>
          <t>Brioso, John Vergel Quinones</t>
        </is>
      </c>
      <c r="Y76">
        <f>COUNTIFS('Audit Log'!$B$2:$B$2001,"&gt;="&amp;$B$2,'Audit Log'!$F$2:$F$2001,$B$3,'Audit Log'!$S$2:$S$2001,$B$4,'Audit Log'!$T$2:$T$2001,"Yes",'Audit Log'!$C$2:$C$2001,$X76,'Audit Log'!$O$2:$O$2001,"Invalid")</f>
        <v/>
      </c>
      <c r="Z76">
        <f>$Y76+ROW()/100000</f>
        <v/>
      </c>
    </row>
    <row r="77">
      <c r="X77" t="inlineStr">
        <is>
          <t>Brosas, Solito Quinquito</t>
        </is>
      </c>
      <c r="Y77">
        <f>COUNTIFS('Audit Log'!$B$2:$B$2001,"&gt;="&amp;$B$2,'Audit Log'!$F$2:$F$2001,$B$3,'Audit Log'!$S$2:$S$2001,$B$4,'Audit Log'!$T$2:$T$2001,"Yes",'Audit Log'!$C$2:$C$2001,$X77,'Audit Log'!$O$2:$O$2001,"Invalid")</f>
        <v/>
      </c>
      <c r="Z77">
        <f>$Y77+ROW()/100000</f>
        <v/>
      </c>
    </row>
    <row r="78">
      <c r="X78" t="inlineStr">
        <is>
          <t>Brual, Donnah Kharoleen Balagtas</t>
        </is>
      </c>
      <c r="Y78">
        <f>COUNTIFS('Audit Log'!$B$2:$B$2001,"&gt;="&amp;$B$2,'Audit Log'!$F$2:$F$2001,$B$3,'Audit Log'!$S$2:$S$2001,$B$4,'Audit Log'!$T$2:$T$2001,"Yes",'Audit Log'!$C$2:$C$2001,$X78,'Audit Log'!$O$2:$O$2001,"Invalid")</f>
        <v/>
      </c>
      <c r="Z78">
        <f>$Y78+ROW()/100000</f>
        <v/>
      </c>
    </row>
    <row r="79">
      <c r="X79" t="inlineStr">
        <is>
          <t>Buenaventura, Claudette Andrea Limjuco</t>
        </is>
      </c>
      <c r="Y79">
        <f>COUNTIFS('Audit Log'!$B$2:$B$2001,"&gt;="&amp;$B$2,'Audit Log'!$F$2:$F$2001,$B$3,'Audit Log'!$S$2:$S$2001,$B$4,'Audit Log'!$T$2:$T$2001,"Yes",'Audit Log'!$C$2:$C$2001,$X79,'Audit Log'!$O$2:$O$2001,"Invalid")</f>
        <v/>
      </c>
      <c r="Z79">
        <f>$Y79+ROW()/100000</f>
        <v/>
      </c>
    </row>
    <row r="80">
      <c r="X80" t="inlineStr">
        <is>
          <t>Buendia, Clarissa San Vicente</t>
        </is>
      </c>
      <c r="Y80">
        <f>COUNTIFS('Audit Log'!$B$2:$B$2001,"&gt;="&amp;$B$2,'Audit Log'!$F$2:$F$2001,$B$3,'Audit Log'!$S$2:$S$2001,$B$4,'Audit Log'!$T$2:$T$2001,"Yes",'Audit Log'!$C$2:$C$2001,$X80,'Audit Log'!$O$2:$O$2001,"Invalid")</f>
        <v/>
      </c>
      <c r="Z80">
        <f>$Y80+ROW()/100000</f>
        <v/>
      </c>
    </row>
    <row r="81">
      <c r="X81" t="inlineStr">
        <is>
          <t>Bughao, Vicente Carlos De Luna</t>
        </is>
      </c>
      <c r="Y81">
        <f>COUNTIFS('Audit Log'!$B$2:$B$2001,"&gt;="&amp;$B$2,'Audit Log'!$F$2:$F$2001,$B$3,'Audit Log'!$S$2:$S$2001,$B$4,'Audit Log'!$T$2:$T$2001,"Yes",'Audit Log'!$C$2:$C$2001,$X81,'Audit Log'!$O$2:$O$2001,"Invalid")</f>
        <v/>
      </c>
      <c r="Z81">
        <f>$Y81+ROW()/100000</f>
        <v/>
      </c>
    </row>
    <row r="82">
      <c r="X82" t="inlineStr">
        <is>
          <t>Cabus, Dionicio Hernandez</t>
        </is>
      </c>
      <c r="Y82">
        <f>COUNTIFS('Audit Log'!$B$2:$B$2001,"&gt;="&amp;$B$2,'Audit Log'!$F$2:$F$2001,$B$3,'Audit Log'!$S$2:$S$2001,$B$4,'Audit Log'!$T$2:$T$2001,"Yes",'Audit Log'!$C$2:$C$2001,$X82,'Audit Log'!$O$2:$O$2001,"Invalid")</f>
        <v/>
      </c>
      <c r="Z82">
        <f>$Y82+ROW()/100000</f>
        <v/>
      </c>
    </row>
    <row r="83">
      <c r="X83" t="inlineStr">
        <is>
          <t>Calo, Mayet Largosa</t>
        </is>
      </c>
      <c r="Y83">
        <f>COUNTIFS('Audit Log'!$B$2:$B$2001,"&gt;="&amp;$B$2,'Audit Log'!$F$2:$F$2001,$B$3,'Audit Log'!$S$2:$S$2001,$B$4,'Audit Log'!$T$2:$T$2001,"Yes",'Audit Log'!$C$2:$C$2001,$X83,'Audit Log'!$O$2:$O$2001,"Invalid")</f>
        <v/>
      </c>
      <c r="Z83">
        <f>$Y83+ROW()/100000</f>
        <v/>
      </c>
    </row>
    <row r="84">
      <c r="X84" t="inlineStr">
        <is>
          <t>Calvendra, Jaycelle Perez</t>
        </is>
      </c>
      <c r="Y84">
        <f>COUNTIFS('Audit Log'!$B$2:$B$2001,"&gt;="&amp;$B$2,'Audit Log'!$F$2:$F$2001,$B$3,'Audit Log'!$S$2:$S$2001,$B$4,'Audit Log'!$T$2:$T$2001,"Yes",'Audit Log'!$C$2:$C$2001,$X84,'Audit Log'!$O$2:$O$2001,"Invalid")</f>
        <v/>
      </c>
      <c r="Z84">
        <f>$Y84+ROW()/100000</f>
        <v/>
      </c>
    </row>
    <row r="85">
      <c r="X85" t="inlineStr">
        <is>
          <t>Cambe, Bernadeth Punzalan</t>
        </is>
      </c>
      <c r="Y85">
        <f>COUNTIFS('Audit Log'!$B$2:$B$2001,"&gt;="&amp;$B$2,'Audit Log'!$F$2:$F$2001,$B$3,'Audit Log'!$S$2:$S$2001,$B$4,'Audit Log'!$T$2:$T$2001,"Yes",'Audit Log'!$C$2:$C$2001,$X85,'Audit Log'!$O$2:$O$2001,"Invalid")</f>
        <v/>
      </c>
      <c r="Z85">
        <f>$Y85+ROW()/100000</f>
        <v/>
      </c>
    </row>
    <row r="86">
      <c r="X86" t="inlineStr">
        <is>
          <t>Canales, Mark Florenz Guballo</t>
        </is>
      </c>
      <c r="Y86">
        <f>COUNTIFS('Audit Log'!$B$2:$B$2001,"&gt;="&amp;$B$2,'Audit Log'!$F$2:$F$2001,$B$3,'Audit Log'!$S$2:$S$2001,$B$4,'Audit Log'!$T$2:$T$2001,"Yes",'Audit Log'!$C$2:$C$2001,$X86,'Audit Log'!$O$2:$O$2001,"Invalid")</f>
        <v/>
      </c>
      <c r="Z86">
        <f>$Y86+ROW()/100000</f>
        <v/>
      </c>
    </row>
    <row r="87">
      <c r="X87" t="inlineStr">
        <is>
          <t>Capales, Quennie Vasquez</t>
        </is>
      </c>
      <c r="Y87">
        <f>COUNTIFS('Audit Log'!$B$2:$B$2001,"&gt;="&amp;$B$2,'Audit Log'!$F$2:$F$2001,$B$3,'Audit Log'!$S$2:$S$2001,$B$4,'Audit Log'!$T$2:$T$2001,"Yes",'Audit Log'!$C$2:$C$2001,$X87,'Audit Log'!$O$2:$O$2001,"Invalid")</f>
        <v/>
      </c>
      <c r="Z87">
        <f>$Y87+ROW()/100000</f>
        <v/>
      </c>
    </row>
    <row r="88">
      <c r="X88" t="inlineStr">
        <is>
          <t>Capule, Angel Kate Devaras</t>
        </is>
      </c>
      <c r="Y88">
        <f>COUNTIFS('Audit Log'!$B$2:$B$2001,"&gt;="&amp;$B$2,'Audit Log'!$F$2:$F$2001,$B$3,'Audit Log'!$S$2:$S$2001,$B$4,'Audit Log'!$T$2:$T$2001,"Yes",'Audit Log'!$C$2:$C$2001,$X88,'Audit Log'!$O$2:$O$2001,"Invalid")</f>
        <v/>
      </c>
      <c r="Z88">
        <f>$Y88+ROW()/100000</f>
        <v/>
      </c>
    </row>
    <row r="89">
      <c r="X89" t="inlineStr">
        <is>
          <t>Carbajal, James Nathaniel Abastillas</t>
        </is>
      </c>
      <c r="Y89">
        <f>COUNTIFS('Audit Log'!$B$2:$B$2001,"&gt;="&amp;$B$2,'Audit Log'!$F$2:$F$2001,$B$3,'Audit Log'!$S$2:$S$2001,$B$4,'Audit Log'!$T$2:$T$2001,"Yes",'Audit Log'!$C$2:$C$2001,$X89,'Audit Log'!$O$2:$O$2001,"Invalid")</f>
        <v/>
      </c>
      <c r="Z89">
        <f>$Y89+ROW()/100000</f>
        <v/>
      </c>
    </row>
    <row r="90">
      <c r="X90" t="inlineStr">
        <is>
          <t>Carpio, Ellen Rose Medina</t>
        </is>
      </c>
      <c r="Y90">
        <f>COUNTIFS('Audit Log'!$B$2:$B$2001,"&gt;="&amp;$B$2,'Audit Log'!$F$2:$F$2001,$B$3,'Audit Log'!$S$2:$S$2001,$B$4,'Audit Log'!$T$2:$T$2001,"Yes",'Audit Log'!$C$2:$C$2001,$X90,'Audit Log'!$O$2:$O$2001,"Invalid")</f>
        <v/>
      </c>
      <c r="Z90">
        <f>$Y90+ROW()/100000</f>
        <v/>
      </c>
    </row>
    <row r="91">
      <c r="X91" t="inlineStr">
        <is>
          <t>Casing, Jhon Carlo Azarcon</t>
        </is>
      </c>
      <c r="Y91">
        <f>COUNTIFS('Audit Log'!$B$2:$B$2001,"&gt;="&amp;$B$2,'Audit Log'!$F$2:$F$2001,$B$3,'Audit Log'!$S$2:$S$2001,$B$4,'Audit Log'!$T$2:$T$2001,"Yes",'Audit Log'!$C$2:$C$2001,$X91,'Audit Log'!$O$2:$O$2001,"Invalid")</f>
        <v/>
      </c>
      <c r="Z91">
        <f>$Y91+ROW()/100000</f>
        <v/>
      </c>
    </row>
    <row r="92">
      <c r="X92" t="inlineStr">
        <is>
          <t>Casiño, Jaypee Cabural</t>
        </is>
      </c>
      <c r="Y92">
        <f>COUNTIFS('Audit Log'!$B$2:$B$2001,"&gt;="&amp;$B$2,'Audit Log'!$F$2:$F$2001,$B$3,'Audit Log'!$S$2:$S$2001,$B$4,'Audit Log'!$T$2:$T$2001,"Yes",'Audit Log'!$C$2:$C$2001,$X92,'Audit Log'!$O$2:$O$2001,"Invalid")</f>
        <v/>
      </c>
      <c r="Z92">
        <f>$Y92+ROW()/100000</f>
        <v/>
      </c>
    </row>
    <row r="93">
      <c r="X93" t="inlineStr">
        <is>
          <t>Castillo, Wilbert Pamplona</t>
        </is>
      </c>
      <c r="Y93">
        <f>COUNTIFS('Audit Log'!$B$2:$B$2001,"&gt;="&amp;$B$2,'Audit Log'!$F$2:$F$2001,$B$3,'Audit Log'!$S$2:$S$2001,$B$4,'Audit Log'!$T$2:$T$2001,"Yes",'Audit Log'!$C$2:$C$2001,$X93,'Audit Log'!$O$2:$O$2001,"Invalid")</f>
        <v/>
      </c>
      <c r="Z93">
        <f>$Y93+ROW()/100000</f>
        <v/>
      </c>
    </row>
    <row r="94">
      <c r="X94" t="inlineStr">
        <is>
          <t>Castro, Michael Catiempo</t>
        </is>
      </c>
      <c r="Y94">
        <f>COUNTIFS('Audit Log'!$B$2:$B$2001,"&gt;="&amp;$B$2,'Audit Log'!$F$2:$F$2001,$B$3,'Audit Log'!$S$2:$S$2001,$B$4,'Audit Log'!$T$2:$T$2001,"Yes",'Audit Log'!$C$2:$C$2001,$X94,'Audit Log'!$O$2:$O$2001,"Invalid")</f>
        <v/>
      </c>
      <c r="Z94">
        <f>$Y94+ROW()/100000</f>
        <v/>
      </c>
    </row>
    <row r="95">
      <c r="X95" t="inlineStr">
        <is>
          <t>Cañaveral, January Olivar</t>
        </is>
      </c>
      <c r="Y95">
        <f>COUNTIFS('Audit Log'!$B$2:$B$2001,"&gt;="&amp;$B$2,'Audit Log'!$F$2:$F$2001,$B$3,'Audit Log'!$S$2:$S$2001,$B$4,'Audit Log'!$T$2:$T$2001,"Yes",'Audit Log'!$C$2:$C$2001,$X95,'Audit Log'!$O$2:$O$2001,"Invalid")</f>
        <v/>
      </c>
      <c r="Z95">
        <f>$Y95+ROW()/100000</f>
        <v/>
      </c>
    </row>
    <row r="96">
      <c r="X96" t="inlineStr">
        <is>
          <t>Cañedo, Danie Dela Cruz</t>
        </is>
      </c>
      <c r="Y96">
        <f>COUNTIFS('Audit Log'!$B$2:$B$2001,"&gt;="&amp;$B$2,'Audit Log'!$F$2:$F$2001,$B$3,'Audit Log'!$S$2:$S$2001,$B$4,'Audit Log'!$T$2:$T$2001,"Yes",'Audit Log'!$C$2:$C$2001,$X96,'Audit Log'!$O$2:$O$2001,"Invalid")</f>
        <v/>
      </c>
      <c r="Z96">
        <f>$Y96+ROW()/100000</f>
        <v/>
      </c>
    </row>
    <row r="97">
      <c r="X97" t="inlineStr">
        <is>
          <t>Cerace, Jayson Silvio</t>
        </is>
      </c>
      <c r="Y97">
        <f>COUNTIFS('Audit Log'!$B$2:$B$2001,"&gt;="&amp;$B$2,'Audit Log'!$F$2:$F$2001,$B$3,'Audit Log'!$S$2:$S$2001,$B$4,'Audit Log'!$T$2:$T$2001,"Yes",'Audit Log'!$C$2:$C$2001,$X97,'Audit Log'!$O$2:$O$2001,"Invalid")</f>
        <v/>
      </c>
      <c r="Z97">
        <f>$Y97+ROW()/100000</f>
        <v/>
      </c>
    </row>
    <row r="98">
      <c r="X98" t="inlineStr">
        <is>
          <t>Chan, Caroline Cruce</t>
        </is>
      </c>
      <c r="Y98">
        <f>COUNTIFS('Audit Log'!$B$2:$B$2001,"&gt;="&amp;$B$2,'Audit Log'!$F$2:$F$2001,$B$3,'Audit Log'!$S$2:$S$2001,$B$4,'Audit Log'!$T$2:$T$2001,"Yes",'Audit Log'!$C$2:$C$2001,$X98,'Audit Log'!$O$2:$O$2001,"Invalid")</f>
        <v/>
      </c>
      <c r="Z98">
        <f>$Y98+ROW()/100000</f>
        <v/>
      </c>
    </row>
    <row r="99">
      <c r="X99" t="inlineStr">
        <is>
          <t>Chu, Ivan Rainier Tan</t>
        </is>
      </c>
      <c r="Y99">
        <f>COUNTIFS('Audit Log'!$B$2:$B$2001,"&gt;="&amp;$B$2,'Audit Log'!$F$2:$F$2001,$B$3,'Audit Log'!$S$2:$S$2001,$B$4,'Audit Log'!$T$2:$T$2001,"Yes",'Audit Log'!$C$2:$C$2001,$X99,'Audit Log'!$O$2:$O$2001,"Invalid")</f>
        <v/>
      </c>
      <c r="Z99">
        <f>$Y99+ROW()/100000</f>
        <v/>
      </c>
    </row>
    <row r="100">
      <c r="X100" t="inlineStr">
        <is>
          <t>Cinco, Neville Dimagiba</t>
        </is>
      </c>
      <c r="Y100">
        <f>COUNTIFS('Audit Log'!$B$2:$B$2001,"&gt;="&amp;$B$2,'Audit Log'!$F$2:$F$2001,$B$3,'Audit Log'!$S$2:$S$2001,$B$4,'Audit Log'!$T$2:$T$2001,"Yes",'Audit Log'!$C$2:$C$2001,$X100,'Audit Log'!$O$2:$O$2001,"Invalid")</f>
        <v/>
      </c>
      <c r="Z100">
        <f>$Y100+ROW()/100000</f>
        <v/>
      </c>
    </row>
    <row r="101">
      <c r="X101" t="inlineStr">
        <is>
          <t>Claro, Yvonne Larita</t>
        </is>
      </c>
      <c r="Y101">
        <f>COUNTIFS('Audit Log'!$B$2:$B$2001,"&gt;="&amp;$B$2,'Audit Log'!$F$2:$F$2001,$B$3,'Audit Log'!$S$2:$S$2001,$B$4,'Audit Log'!$T$2:$T$2001,"Yes",'Audit Log'!$C$2:$C$2001,$X101,'Audit Log'!$O$2:$O$2001,"Invalid")</f>
        <v/>
      </c>
      <c r="Z101">
        <f>$Y101+ROW()/100000</f>
        <v/>
      </c>
    </row>
    <row r="102">
      <c r="X102" t="inlineStr">
        <is>
          <t>Cornell, Saida Mateo</t>
        </is>
      </c>
      <c r="Y102">
        <f>COUNTIFS('Audit Log'!$B$2:$B$2001,"&gt;="&amp;$B$2,'Audit Log'!$F$2:$F$2001,$B$3,'Audit Log'!$S$2:$S$2001,$B$4,'Audit Log'!$T$2:$T$2001,"Yes",'Audit Log'!$C$2:$C$2001,$X102,'Audit Log'!$O$2:$O$2001,"Invalid")</f>
        <v/>
      </c>
      <c r="Z102">
        <f>$Y102+ROW()/100000</f>
        <v/>
      </c>
    </row>
    <row r="103">
      <c r="X103" t="inlineStr">
        <is>
          <t>Costoy, Renel Dave Nmn</t>
        </is>
      </c>
      <c r="Y103">
        <f>COUNTIFS('Audit Log'!$B$2:$B$2001,"&gt;="&amp;$B$2,'Audit Log'!$F$2:$F$2001,$B$3,'Audit Log'!$S$2:$S$2001,$B$4,'Audit Log'!$T$2:$T$2001,"Yes",'Audit Log'!$C$2:$C$2001,$X103,'Audit Log'!$O$2:$O$2001,"Invalid")</f>
        <v/>
      </c>
      <c r="Z103">
        <f>$Y103+ROW()/100000</f>
        <v/>
      </c>
    </row>
    <row r="104">
      <c r="X104" t="inlineStr">
        <is>
          <t>Crisostomo, Alma Tigas</t>
        </is>
      </c>
      <c r="Y104">
        <f>COUNTIFS('Audit Log'!$B$2:$B$2001,"&gt;="&amp;$B$2,'Audit Log'!$F$2:$F$2001,$B$3,'Audit Log'!$S$2:$S$2001,$B$4,'Audit Log'!$T$2:$T$2001,"Yes",'Audit Log'!$C$2:$C$2001,$X104,'Audit Log'!$O$2:$O$2001,"Invalid")</f>
        <v/>
      </c>
      <c r="Z104">
        <f>$Y104+ROW()/100000</f>
        <v/>
      </c>
    </row>
    <row r="105">
      <c r="X105" t="inlineStr">
        <is>
          <t>Cruz, Donato Mataganas</t>
        </is>
      </c>
      <c r="Y105">
        <f>COUNTIFS('Audit Log'!$B$2:$B$2001,"&gt;="&amp;$B$2,'Audit Log'!$F$2:$F$2001,$B$3,'Audit Log'!$S$2:$S$2001,$B$4,'Audit Log'!$T$2:$T$2001,"Yes",'Audit Log'!$C$2:$C$2001,$X105,'Audit Log'!$O$2:$O$2001,"Invalid")</f>
        <v/>
      </c>
      <c r="Z105">
        <f>$Y105+ROW()/100000</f>
        <v/>
      </c>
    </row>
    <row r="106">
      <c r="X106" t="inlineStr">
        <is>
          <t>Cruz, Jenefa Rose Salas</t>
        </is>
      </c>
      <c r="Y106">
        <f>COUNTIFS('Audit Log'!$B$2:$B$2001,"&gt;="&amp;$B$2,'Audit Log'!$F$2:$F$2001,$B$3,'Audit Log'!$S$2:$S$2001,$B$4,'Audit Log'!$T$2:$T$2001,"Yes",'Audit Log'!$C$2:$C$2001,$X106,'Audit Log'!$O$2:$O$2001,"Invalid")</f>
        <v/>
      </c>
      <c r="Z106">
        <f>$Y106+ROW()/100000</f>
        <v/>
      </c>
    </row>
    <row r="107">
      <c r="X107" t="inlineStr">
        <is>
          <t>Cruz, Ma. Cassandra Orada</t>
        </is>
      </c>
      <c r="Y107">
        <f>COUNTIFS('Audit Log'!$B$2:$B$2001,"&gt;="&amp;$B$2,'Audit Log'!$F$2:$F$2001,$B$3,'Audit Log'!$S$2:$S$2001,$B$4,'Audit Log'!$T$2:$T$2001,"Yes",'Audit Log'!$C$2:$C$2001,$X107,'Audit Log'!$O$2:$O$2001,"Invalid")</f>
        <v/>
      </c>
      <c r="Z107">
        <f>$Y107+ROW()/100000</f>
        <v/>
      </c>
    </row>
    <row r="108">
      <c r="X108" t="inlineStr">
        <is>
          <t>Cruz, Michael Portem</t>
        </is>
      </c>
      <c r="Y108">
        <f>COUNTIFS('Audit Log'!$B$2:$B$2001,"&gt;="&amp;$B$2,'Audit Log'!$F$2:$F$2001,$B$3,'Audit Log'!$S$2:$S$2001,$B$4,'Audit Log'!$T$2:$T$2001,"Yes",'Audit Log'!$C$2:$C$2001,$X108,'Audit Log'!$O$2:$O$2001,"Invalid")</f>
        <v/>
      </c>
      <c r="Z108">
        <f>$Y108+ROW()/100000</f>
        <v/>
      </c>
    </row>
    <row r="109">
      <c r="X109" t="inlineStr">
        <is>
          <t>Cruz, Niel Aldrin Ibañez</t>
        </is>
      </c>
      <c r="Y109">
        <f>COUNTIFS('Audit Log'!$B$2:$B$2001,"&gt;="&amp;$B$2,'Audit Log'!$F$2:$F$2001,$B$3,'Audit Log'!$S$2:$S$2001,$B$4,'Audit Log'!$T$2:$T$2001,"Yes",'Audit Log'!$C$2:$C$2001,$X109,'Audit Log'!$O$2:$O$2001,"Invalid")</f>
        <v/>
      </c>
      <c r="Z109">
        <f>$Y109+ROW()/100000</f>
        <v/>
      </c>
    </row>
    <row r="110">
      <c r="X110" t="inlineStr">
        <is>
          <t>Cua, Mary Grace Largo</t>
        </is>
      </c>
      <c r="Y110">
        <f>COUNTIFS('Audit Log'!$B$2:$B$2001,"&gt;="&amp;$B$2,'Audit Log'!$F$2:$F$2001,$B$3,'Audit Log'!$S$2:$S$2001,$B$4,'Audit Log'!$T$2:$T$2001,"Yes",'Audit Log'!$C$2:$C$2001,$X110,'Audit Log'!$O$2:$O$2001,"Invalid")</f>
        <v/>
      </c>
      <c r="Z110">
        <f>$Y110+ROW()/100000</f>
        <v/>
      </c>
    </row>
    <row r="111">
      <c r="X111" t="inlineStr">
        <is>
          <t>Cuambot, Khimverly Ocampo</t>
        </is>
      </c>
      <c r="Y111">
        <f>COUNTIFS('Audit Log'!$B$2:$B$2001,"&gt;="&amp;$B$2,'Audit Log'!$F$2:$F$2001,$B$3,'Audit Log'!$S$2:$S$2001,$B$4,'Audit Log'!$T$2:$T$2001,"Yes",'Audit Log'!$C$2:$C$2001,$X111,'Audit Log'!$O$2:$O$2001,"Invalid")</f>
        <v/>
      </c>
      <c r="Z111">
        <f>$Y111+ROW()/100000</f>
        <v/>
      </c>
    </row>
    <row r="112">
      <c r="X112" t="inlineStr">
        <is>
          <t>Cubillas, Rhena June Matuguina</t>
        </is>
      </c>
      <c r="Y112">
        <f>COUNTIFS('Audit Log'!$B$2:$B$2001,"&gt;="&amp;$B$2,'Audit Log'!$F$2:$F$2001,$B$3,'Audit Log'!$S$2:$S$2001,$B$4,'Audit Log'!$T$2:$T$2001,"Yes",'Audit Log'!$C$2:$C$2001,$X112,'Audit Log'!$O$2:$O$2001,"Invalid")</f>
        <v/>
      </c>
      <c r="Z112">
        <f>$Y112+ROW()/100000</f>
        <v/>
      </c>
    </row>
    <row r="113">
      <c r="X113" t="inlineStr">
        <is>
          <t>Cuenta, Azar Glenn Hilvano</t>
        </is>
      </c>
      <c r="Y113">
        <f>COUNTIFS('Audit Log'!$B$2:$B$2001,"&gt;="&amp;$B$2,'Audit Log'!$F$2:$F$2001,$B$3,'Audit Log'!$S$2:$S$2001,$B$4,'Audit Log'!$T$2:$T$2001,"Yes",'Audit Log'!$C$2:$C$2001,$X113,'Audit Log'!$O$2:$O$2001,"Invalid")</f>
        <v/>
      </c>
      <c r="Z113">
        <f>$Y113+ROW()/100000</f>
        <v/>
      </c>
    </row>
    <row r="114">
      <c r="X114" t="inlineStr">
        <is>
          <t>Cunanan, Clarence Rico</t>
        </is>
      </c>
      <c r="Y114">
        <f>COUNTIFS('Audit Log'!$B$2:$B$2001,"&gt;="&amp;$B$2,'Audit Log'!$F$2:$F$2001,$B$3,'Audit Log'!$S$2:$S$2001,$B$4,'Audit Log'!$T$2:$T$2001,"Yes",'Audit Log'!$C$2:$C$2001,$X114,'Audit Log'!$O$2:$O$2001,"Invalid")</f>
        <v/>
      </c>
      <c r="Z114">
        <f>$Y114+ROW()/100000</f>
        <v/>
      </c>
    </row>
    <row r="115">
      <c r="X115" t="inlineStr">
        <is>
          <t>Cura Jr, Isagani Dela Rosa</t>
        </is>
      </c>
      <c r="Y115">
        <f>COUNTIFS('Audit Log'!$B$2:$B$2001,"&gt;="&amp;$B$2,'Audit Log'!$F$2:$F$2001,$B$3,'Audit Log'!$S$2:$S$2001,$B$4,'Audit Log'!$T$2:$T$2001,"Yes",'Audit Log'!$C$2:$C$2001,$X115,'Audit Log'!$O$2:$O$2001,"Invalid")</f>
        <v/>
      </c>
      <c r="Z115">
        <f>$Y115+ROW()/100000</f>
        <v/>
      </c>
    </row>
    <row r="116">
      <c r="X116" t="inlineStr">
        <is>
          <t>Daclizon, Raffy Baldonado</t>
        </is>
      </c>
      <c r="Y116">
        <f>COUNTIFS('Audit Log'!$B$2:$B$2001,"&gt;="&amp;$B$2,'Audit Log'!$F$2:$F$2001,$B$3,'Audit Log'!$S$2:$S$2001,$B$4,'Audit Log'!$T$2:$T$2001,"Yes",'Audit Log'!$C$2:$C$2001,$X116,'Audit Log'!$O$2:$O$2001,"Invalid")</f>
        <v/>
      </c>
      <c r="Z116">
        <f>$Y116+ROW()/100000</f>
        <v/>
      </c>
    </row>
    <row r="117">
      <c r="X117" t="inlineStr">
        <is>
          <t>Dagani, Karin Camarin</t>
        </is>
      </c>
      <c r="Y117">
        <f>COUNTIFS('Audit Log'!$B$2:$B$2001,"&gt;="&amp;$B$2,'Audit Log'!$F$2:$F$2001,$B$3,'Audit Log'!$S$2:$S$2001,$B$4,'Audit Log'!$T$2:$T$2001,"Yes",'Audit Log'!$C$2:$C$2001,$X117,'Audit Log'!$O$2:$O$2001,"Invalid")</f>
        <v/>
      </c>
      <c r="Z117">
        <f>$Y117+ROW()/100000</f>
        <v/>
      </c>
    </row>
    <row r="118">
      <c r="X118" t="inlineStr">
        <is>
          <t>Dagdagan, Maria Francisca Querubin</t>
        </is>
      </c>
      <c r="Y118">
        <f>COUNTIFS('Audit Log'!$B$2:$B$2001,"&gt;="&amp;$B$2,'Audit Log'!$F$2:$F$2001,$B$3,'Audit Log'!$S$2:$S$2001,$B$4,'Audit Log'!$T$2:$T$2001,"Yes",'Audit Log'!$C$2:$C$2001,$X118,'Audit Log'!$O$2:$O$2001,"Invalid")</f>
        <v/>
      </c>
      <c r="Z118">
        <f>$Y118+ROW()/100000</f>
        <v/>
      </c>
    </row>
    <row r="119">
      <c r="X119" t="inlineStr">
        <is>
          <t>Danao, Prince Edward Sanchez</t>
        </is>
      </c>
      <c r="Y119">
        <f>COUNTIFS('Audit Log'!$B$2:$B$2001,"&gt;="&amp;$B$2,'Audit Log'!$F$2:$F$2001,$B$3,'Audit Log'!$S$2:$S$2001,$B$4,'Audit Log'!$T$2:$T$2001,"Yes",'Audit Log'!$C$2:$C$2001,$X119,'Audit Log'!$O$2:$O$2001,"Invalid")</f>
        <v/>
      </c>
      <c r="Z119">
        <f>$Y119+ROW()/100000</f>
        <v/>
      </c>
    </row>
    <row r="120">
      <c r="X120" t="inlineStr">
        <is>
          <t>Danting, Racquel Lacap</t>
        </is>
      </c>
      <c r="Y120">
        <f>COUNTIFS('Audit Log'!$B$2:$B$2001,"&gt;="&amp;$B$2,'Audit Log'!$F$2:$F$2001,$B$3,'Audit Log'!$S$2:$S$2001,$B$4,'Audit Log'!$T$2:$T$2001,"Yes",'Audit Log'!$C$2:$C$2001,$X120,'Audit Log'!$O$2:$O$2001,"Invalid")</f>
        <v/>
      </c>
      <c r="Z120">
        <f>$Y120+ROW()/100000</f>
        <v/>
      </c>
    </row>
    <row r="121">
      <c r="X121" t="inlineStr">
        <is>
          <t>David, Renariza Parena</t>
        </is>
      </c>
      <c r="Y121">
        <f>COUNTIFS('Audit Log'!$B$2:$B$2001,"&gt;="&amp;$B$2,'Audit Log'!$F$2:$F$2001,$B$3,'Audit Log'!$S$2:$S$2001,$B$4,'Audit Log'!$T$2:$T$2001,"Yes",'Audit Log'!$C$2:$C$2001,$X121,'Audit Log'!$O$2:$O$2001,"Invalid")</f>
        <v/>
      </c>
      <c r="Z121">
        <f>$Y121+ROW()/100000</f>
        <v/>
      </c>
    </row>
    <row r="122">
      <c r="X122" t="inlineStr">
        <is>
          <t>Dayapera, Nathalie Kaila Fontamillas</t>
        </is>
      </c>
      <c r="Y122">
        <f>COUNTIFS('Audit Log'!$B$2:$B$2001,"&gt;="&amp;$B$2,'Audit Log'!$F$2:$F$2001,$B$3,'Audit Log'!$S$2:$S$2001,$B$4,'Audit Log'!$T$2:$T$2001,"Yes",'Audit Log'!$C$2:$C$2001,$X122,'Audit Log'!$O$2:$O$2001,"Invalid")</f>
        <v/>
      </c>
      <c r="Z122">
        <f>$Y122+ROW()/100000</f>
        <v/>
      </c>
    </row>
    <row r="123">
      <c r="X123" t="inlineStr">
        <is>
          <t>De Goma, Jerome Morales</t>
        </is>
      </c>
      <c r="Y123">
        <f>COUNTIFS('Audit Log'!$B$2:$B$2001,"&gt;="&amp;$B$2,'Audit Log'!$F$2:$F$2001,$B$3,'Audit Log'!$S$2:$S$2001,$B$4,'Audit Log'!$T$2:$T$2001,"Yes",'Audit Log'!$C$2:$C$2001,$X123,'Audit Log'!$O$2:$O$2001,"Invalid")</f>
        <v/>
      </c>
      <c r="Z123">
        <f>$Y123+ROW()/100000</f>
        <v/>
      </c>
    </row>
    <row r="124">
      <c r="X124" t="inlineStr">
        <is>
          <t>De Guzman, Benzie Na</t>
        </is>
      </c>
      <c r="Y124">
        <f>COUNTIFS('Audit Log'!$B$2:$B$2001,"&gt;="&amp;$B$2,'Audit Log'!$F$2:$F$2001,$B$3,'Audit Log'!$S$2:$S$2001,$B$4,'Audit Log'!$T$2:$T$2001,"Yes",'Audit Log'!$C$2:$C$2001,$X124,'Audit Log'!$O$2:$O$2001,"Invalid")</f>
        <v/>
      </c>
      <c r="Z124">
        <f>$Y124+ROW()/100000</f>
        <v/>
      </c>
    </row>
    <row r="125">
      <c r="X125" t="inlineStr">
        <is>
          <t>De Guzman, Emil Salvador</t>
        </is>
      </c>
      <c r="Y125">
        <f>COUNTIFS('Audit Log'!$B$2:$B$2001,"&gt;="&amp;$B$2,'Audit Log'!$F$2:$F$2001,$B$3,'Audit Log'!$S$2:$S$2001,$B$4,'Audit Log'!$T$2:$T$2001,"Yes",'Audit Log'!$C$2:$C$2001,$X125,'Audit Log'!$O$2:$O$2001,"Invalid")</f>
        <v/>
      </c>
      <c r="Z125">
        <f>$Y125+ROW()/100000</f>
        <v/>
      </c>
    </row>
    <row r="126">
      <c r="X126" t="inlineStr">
        <is>
          <t>De Guzman, Gabriel Rodrigo</t>
        </is>
      </c>
      <c r="Y126">
        <f>COUNTIFS('Audit Log'!$B$2:$B$2001,"&gt;="&amp;$B$2,'Audit Log'!$F$2:$F$2001,$B$3,'Audit Log'!$S$2:$S$2001,$B$4,'Audit Log'!$T$2:$T$2001,"Yes",'Audit Log'!$C$2:$C$2001,$X126,'Audit Log'!$O$2:$O$2001,"Invalid")</f>
        <v/>
      </c>
      <c r="Z126">
        <f>$Y126+ROW()/100000</f>
        <v/>
      </c>
    </row>
    <row r="127">
      <c r="X127" t="inlineStr">
        <is>
          <t>De Guzman, Gilbert Bondad</t>
        </is>
      </c>
      <c r="Y127">
        <f>COUNTIFS('Audit Log'!$B$2:$B$2001,"&gt;="&amp;$B$2,'Audit Log'!$F$2:$F$2001,$B$3,'Audit Log'!$S$2:$S$2001,$B$4,'Audit Log'!$T$2:$T$2001,"Yes",'Audit Log'!$C$2:$C$2001,$X127,'Audit Log'!$O$2:$O$2001,"Invalid")</f>
        <v/>
      </c>
      <c r="Z127">
        <f>$Y127+ROW()/100000</f>
        <v/>
      </c>
    </row>
    <row r="128">
      <c r="X128" t="inlineStr">
        <is>
          <t>De Guzman, Marks Frederick Robosa</t>
        </is>
      </c>
      <c r="Y128">
        <f>COUNTIFS('Audit Log'!$B$2:$B$2001,"&gt;="&amp;$B$2,'Audit Log'!$F$2:$F$2001,$B$3,'Audit Log'!$S$2:$S$2001,$B$4,'Audit Log'!$T$2:$T$2001,"Yes",'Audit Log'!$C$2:$C$2001,$X128,'Audit Log'!$O$2:$O$2001,"Invalid")</f>
        <v/>
      </c>
      <c r="Z128">
        <f>$Y128+ROW()/100000</f>
        <v/>
      </c>
    </row>
    <row r="129">
      <c r="X129" t="inlineStr">
        <is>
          <t>De Guzman, Steven Michael Flores</t>
        </is>
      </c>
      <c r="Y129">
        <f>COUNTIFS('Audit Log'!$B$2:$B$2001,"&gt;="&amp;$B$2,'Audit Log'!$F$2:$F$2001,$B$3,'Audit Log'!$S$2:$S$2001,$B$4,'Audit Log'!$T$2:$T$2001,"Yes",'Audit Log'!$C$2:$C$2001,$X129,'Audit Log'!$O$2:$O$2001,"Invalid")</f>
        <v/>
      </c>
      <c r="Z129">
        <f>$Y129+ROW()/100000</f>
        <v/>
      </c>
    </row>
    <row r="130">
      <c r="X130" t="inlineStr">
        <is>
          <t>De Jesus, Alondra Mae Velasco</t>
        </is>
      </c>
      <c r="Y130">
        <f>COUNTIFS('Audit Log'!$B$2:$B$2001,"&gt;="&amp;$B$2,'Audit Log'!$F$2:$F$2001,$B$3,'Audit Log'!$S$2:$S$2001,$B$4,'Audit Log'!$T$2:$T$2001,"Yes",'Audit Log'!$C$2:$C$2001,$X130,'Audit Log'!$O$2:$O$2001,"Invalid")</f>
        <v/>
      </c>
      <c r="Z130">
        <f>$Y130+ROW()/100000</f>
        <v/>
      </c>
    </row>
    <row r="131">
      <c r="X131" t="inlineStr">
        <is>
          <t>De Leon, Edison Alvarez</t>
        </is>
      </c>
      <c r="Y131">
        <f>COUNTIFS('Audit Log'!$B$2:$B$2001,"&gt;="&amp;$B$2,'Audit Log'!$F$2:$F$2001,$B$3,'Audit Log'!$S$2:$S$2001,$B$4,'Audit Log'!$T$2:$T$2001,"Yes",'Audit Log'!$C$2:$C$2001,$X131,'Audit Log'!$O$2:$O$2001,"Invalid")</f>
        <v/>
      </c>
      <c r="Z131">
        <f>$Y131+ROW()/100000</f>
        <v/>
      </c>
    </row>
    <row r="132">
      <c r="X132" t="inlineStr">
        <is>
          <t>De Leon, Gerald Michael Solana</t>
        </is>
      </c>
      <c r="Y132">
        <f>COUNTIFS('Audit Log'!$B$2:$B$2001,"&gt;="&amp;$B$2,'Audit Log'!$F$2:$F$2001,$B$3,'Audit Log'!$S$2:$S$2001,$B$4,'Audit Log'!$T$2:$T$2001,"Yes",'Audit Log'!$C$2:$C$2001,$X132,'Audit Log'!$O$2:$O$2001,"Invalid")</f>
        <v/>
      </c>
      <c r="Z132">
        <f>$Y132+ROW()/100000</f>
        <v/>
      </c>
    </row>
    <row r="133">
      <c r="X133" t="inlineStr">
        <is>
          <t>De Leon, Melanie Sitjar</t>
        </is>
      </c>
      <c r="Y133">
        <f>COUNTIFS('Audit Log'!$B$2:$B$2001,"&gt;="&amp;$B$2,'Audit Log'!$F$2:$F$2001,$B$3,'Audit Log'!$S$2:$S$2001,$B$4,'Audit Log'!$T$2:$T$2001,"Yes",'Audit Log'!$C$2:$C$2001,$X133,'Audit Log'!$O$2:$O$2001,"Invalid")</f>
        <v/>
      </c>
      <c r="Z133">
        <f>$Y133+ROW()/100000</f>
        <v/>
      </c>
    </row>
    <row r="134">
      <c r="X134" t="inlineStr">
        <is>
          <t>De Leon, Menandro Bron</t>
        </is>
      </c>
      <c r="Y134">
        <f>COUNTIFS('Audit Log'!$B$2:$B$2001,"&gt;="&amp;$B$2,'Audit Log'!$F$2:$F$2001,$B$3,'Audit Log'!$S$2:$S$2001,$B$4,'Audit Log'!$T$2:$T$2001,"Yes",'Audit Log'!$C$2:$C$2001,$X134,'Audit Log'!$O$2:$O$2001,"Invalid")</f>
        <v/>
      </c>
      <c r="Z134">
        <f>$Y134+ROW()/100000</f>
        <v/>
      </c>
    </row>
    <row r="135">
      <c r="X135" t="inlineStr">
        <is>
          <t>De Leon, Neley Joyce Salvador</t>
        </is>
      </c>
      <c r="Y135">
        <f>COUNTIFS('Audit Log'!$B$2:$B$2001,"&gt;="&amp;$B$2,'Audit Log'!$F$2:$F$2001,$B$3,'Audit Log'!$S$2:$S$2001,$B$4,'Audit Log'!$T$2:$T$2001,"Yes",'Audit Log'!$C$2:$C$2001,$X135,'Audit Log'!$O$2:$O$2001,"Invalid")</f>
        <v/>
      </c>
      <c r="Z135">
        <f>$Y135+ROW()/100000</f>
        <v/>
      </c>
    </row>
    <row r="136">
      <c r="X136" t="inlineStr">
        <is>
          <t>De Santos, Bea Maxene Santiago</t>
        </is>
      </c>
      <c r="Y136">
        <f>COUNTIFS('Audit Log'!$B$2:$B$2001,"&gt;="&amp;$B$2,'Audit Log'!$F$2:$F$2001,$B$3,'Audit Log'!$S$2:$S$2001,$B$4,'Audit Log'!$T$2:$T$2001,"Yes",'Audit Log'!$C$2:$C$2001,$X136,'Audit Log'!$O$2:$O$2001,"Invalid")</f>
        <v/>
      </c>
      <c r="Z136">
        <f>$Y136+ROW()/100000</f>
        <v/>
      </c>
    </row>
    <row r="137">
      <c r="X137" t="inlineStr">
        <is>
          <t>De Villa, Scott Chavez</t>
        </is>
      </c>
      <c r="Y137">
        <f>COUNTIFS('Audit Log'!$B$2:$B$2001,"&gt;="&amp;$B$2,'Audit Log'!$F$2:$F$2001,$B$3,'Audit Log'!$S$2:$S$2001,$B$4,'Audit Log'!$T$2:$T$2001,"Yes",'Audit Log'!$C$2:$C$2001,$X137,'Audit Log'!$O$2:$O$2001,"Invalid")</f>
        <v/>
      </c>
      <c r="Z137">
        <f>$Y137+ROW()/100000</f>
        <v/>
      </c>
    </row>
    <row r="138">
      <c r="X138" t="inlineStr">
        <is>
          <t>Decena, Archieval</t>
        </is>
      </c>
      <c r="Y138">
        <f>COUNTIFS('Audit Log'!$B$2:$B$2001,"&gt;="&amp;$B$2,'Audit Log'!$F$2:$F$2001,$B$3,'Audit Log'!$S$2:$S$2001,$B$4,'Audit Log'!$T$2:$T$2001,"Yes",'Audit Log'!$C$2:$C$2001,$X138,'Audit Log'!$O$2:$O$2001,"Invalid")</f>
        <v/>
      </c>
      <c r="Z138">
        <f>$Y138+ROW()/100000</f>
        <v/>
      </c>
    </row>
    <row r="139">
      <c r="X139" t="inlineStr">
        <is>
          <t>Dela Cruz, Donaldo Laygo</t>
        </is>
      </c>
      <c r="Y139">
        <f>COUNTIFS('Audit Log'!$B$2:$B$2001,"&gt;="&amp;$B$2,'Audit Log'!$F$2:$F$2001,$B$3,'Audit Log'!$S$2:$S$2001,$B$4,'Audit Log'!$T$2:$T$2001,"Yes",'Audit Log'!$C$2:$C$2001,$X139,'Audit Log'!$O$2:$O$2001,"Invalid")</f>
        <v/>
      </c>
      <c r="Z139">
        <f>$Y139+ROW()/100000</f>
        <v/>
      </c>
    </row>
    <row r="140">
      <c r="X140" t="inlineStr">
        <is>
          <t>Dela Cruz, Jochelle Ann Bernas</t>
        </is>
      </c>
      <c r="Y140">
        <f>COUNTIFS('Audit Log'!$B$2:$B$2001,"&gt;="&amp;$B$2,'Audit Log'!$F$2:$F$2001,$B$3,'Audit Log'!$S$2:$S$2001,$B$4,'Audit Log'!$T$2:$T$2001,"Yes",'Audit Log'!$C$2:$C$2001,$X140,'Audit Log'!$O$2:$O$2001,"Invalid")</f>
        <v/>
      </c>
      <c r="Z140">
        <f>$Y140+ROW()/100000</f>
        <v/>
      </c>
    </row>
    <row r="141">
      <c r="X141" t="inlineStr">
        <is>
          <t>Dela Cruz, Rodalyn Daylo</t>
        </is>
      </c>
      <c r="Y141">
        <f>COUNTIFS('Audit Log'!$B$2:$B$2001,"&gt;="&amp;$B$2,'Audit Log'!$F$2:$F$2001,$B$3,'Audit Log'!$S$2:$S$2001,$B$4,'Audit Log'!$T$2:$T$2001,"Yes",'Audit Log'!$C$2:$C$2001,$X141,'Audit Log'!$O$2:$O$2001,"Invalid")</f>
        <v/>
      </c>
      <c r="Z141">
        <f>$Y141+ROW()/100000</f>
        <v/>
      </c>
    </row>
    <row r="142">
      <c r="X142" t="inlineStr">
        <is>
          <t>Dela Fuente, Erick John Palomo</t>
        </is>
      </c>
      <c r="Y142">
        <f>COUNTIFS('Audit Log'!$B$2:$B$2001,"&gt;="&amp;$B$2,'Audit Log'!$F$2:$F$2001,$B$3,'Audit Log'!$S$2:$S$2001,$B$4,'Audit Log'!$T$2:$T$2001,"Yes",'Audit Log'!$C$2:$C$2001,$X142,'Audit Log'!$O$2:$O$2001,"Invalid")</f>
        <v/>
      </c>
      <c r="Z142">
        <f>$Y142+ROW()/100000</f>
        <v/>
      </c>
    </row>
    <row r="143">
      <c r="X143" t="inlineStr">
        <is>
          <t>Dela Torre, Anghelica Cuanico</t>
        </is>
      </c>
      <c r="Y143">
        <f>COUNTIFS('Audit Log'!$B$2:$B$2001,"&gt;="&amp;$B$2,'Audit Log'!$F$2:$F$2001,$B$3,'Audit Log'!$S$2:$S$2001,$B$4,'Audit Log'!$T$2:$T$2001,"Yes",'Audit Log'!$C$2:$C$2001,$X143,'Audit Log'!$O$2:$O$2001,"Invalid")</f>
        <v/>
      </c>
      <c r="Z143">
        <f>$Y143+ROW()/100000</f>
        <v/>
      </c>
    </row>
    <row r="144">
      <c r="X144" t="inlineStr">
        <is>
          <t>Delbo, Ana Marie Espira</t>
        </is>
      </c>
      <c r="Y144">
        <f>COUNTIFS('Audit Log'!$B$2:$B$2001,"&gt;="&amp;$B$2,'Audit Log'!$F$2:$F$2001,$B$3,'Audit Log'!$S$2:$S$2001,$B$4,'Audit Log'!$T$2:$T$2001,"Yes",'Audit Log'!$C$2:$C$2001,$X144,'Audit Log'!$O$2:$O$2001,"Invalid")</f>
        <v/>
      </c>
      <c r="Z144">
        <f>$Y144+ROW()/100000</f>
        <v/>
      </c>
    </row>
    <row r="145">
      <c r="X145" t="inlineStr">
        <is>
          <t>Delos Reyes, Anthony De Castro</t>
        </is>
      </c>
      <c r="Y145">
        <f>COUNTIFS('Audit Log'!$B$2:$B$2001,"&gt;="&amp;$B$2,'Audit Log'!$F$2:$F$2001,$B$3,'Audit Log'!$S$2:$S$2001,$B$4,'Audit Log'!$T$2:$T$2001,"Yes",'Audit Log'!$C$2:$C$2001,$X145,'Audit Log'!$O$2:$O$2001,"Invalid")</f>
        <v/>
      </c>
      <c r="Z145">
        <f>$Y145+ROW()/100000</f>
        <v/>
      </c>
    </row>
    <row r="146">
      <c r="X146" t="inlineStr">
        <is>
          <t>Demetrio, Olivia Continedas</t>
        </is>
      </c>
      <c r="Y146">
        <f>COUNTIFS('Audit Log'!$B$2:$B$2001,"&gt;="&amp;$B$2,'Audit Log'!$F$2:$F$2001,$B$3,'Audit Log'!$S$2:$S$2001,$B$4,'Audit Log'!$T$2:$T$2001,"Yes",'Audit Log'!$C$2:$C$2001,$X146,'Audit Log'!$O$2:$O$2001,"Invalid")</f>
        <v/>
      </c>
      <c r="Z146">
        <f>$Y146+ROW()/100000</f>
        <v/>
      </c>
    </row>
    <row r="147">
      <c r="X147" t="inlineStr">
        <is>
          <t>Deri, Roselyn Dioneda</t>
        </is>
      </c>
      <c r="Y147">
        <f>COUNTIFS('Audit Log'!$B$2:$B$2001,"&gt;="&amp;$B$2,'Audit Log'!$F$2:$F$2001,$B$3,'Audit Log'!$S$2:$S$2001,$B$4,'Audit Log'!$T$2:$T$2001,"Yes",'Audit Log'!$C$2:$C$2001,$X147,'Audit Log'!$O$2:$O$2001,"Invalid")</f>
        <v/>
      </c>
      <c r="Z147">
        <f>$Y147+ROW()/100000</f>
        <v/>
      </c>
    </row>
    <row r="148">
      <c r="X148" t="inlineStr">
        <is>
          <t>Diano, Lester Torres</t>
        </is>
      </c>
      <c r="Y148">
        <f>COUNTIFS('Audit Log'!$B$2:$B$2001,"&gt;="&amp;$B$2,'Audit Log'!$F$2:$F$2001,$B$3,'Audit Log'!$S$2:$S$2001,$B$4,'Audit Log'!$T$2:$T$2001,"Yes",'Audit Log'!$C$2:$C$2001,$X148,'Audit Log'!$O$2:$O$2001,"Invalid")</f>
        <v/>
      </c>
      <c r="Z148">
        <f>$Y148+ROW()/100000</f>
        <v/>
      </c>
    </row>
    <row r="149">
      <c r="X149" t="inlineStr">
        <is>
          <t>Diaz, Apol Sablawon</t>
        </is>
      </c>
      <c r="Y149">
        <f>COUNTIFS('Audit Log'!$B$2:$B$2001,"&gt;="&amp;$B$2,'Audit Log'!$F$2:$F$2001,$B$3,'Audit Log'!$S$2:$S$2001,$B$4,'Audit Log'!$T$2:$T$2001,"Yes",'Audit Log'!$C$2:$C$2001,$X149,'Audit Log'!$O$2:$O$2001,"Invalid")</f>
        <v/>
      </c>
      <c r="Z149">
        <f>$Y149+ROW()/100000</f>
        <v/>
      </c>
    </row>
    <row r="150">
      <c r="X150" t="inlineStr">
        <is>
          <t>Dino, Justin Clark Laynes</t>
        </is>
      </c>
      <c r="Y150">
        <f>COUNTIFS('Audit Log'!$B$2:$B$2001,"&gt;="&amp;$B$2,'Audit Log'!$F$2:$F$2001,$B$3,'Audit Log'!$S$2:$S$2001,$B$4,'Audit Log'!$T$2:$T$2001,"Yes",'Audit Log'!$C$2:$C$2001,$X150,'Audit Log'!$O$2:$O$2001,"Invalid")</f>
        <v/>
      </c>
      <c r="Z150">
        <f>$Y150+ROW()/100000</f>
        <v/>
      </c>
    </row>
    <row r="151">
      <c r="X151" t="inlineStr">
        <is>
          <t>Divina, Jansaint Dave Camacho</t>
        </is>
      </c>
      <c r="Y151">
        <f>COUNTIFS('Audit Log'!$B$2:$B$2001,"&gt;="&amp;$B$2,'Audit Log'!$F$2:$F$2001,$B$3,'Audit Log'!$S$2:$S$2001,$B$4,'Audit Log'!$T$2:$T$2001,"Yes",'Audit Log'!$C$2:$C$2001,$X151,'Audit Log'!$O$2:$O$2001,"Invalid")</f>
        <v/>
      </c>
      <c r="Z151">
        <f>$Y151+ROW()/100000</f>
        <v/>
      </c>
    </row>
    <row r="152">
      <c r="X152" t="inlineStr">
        <is>
          <t>Dizon, Milanie Yap</t>
        </is>
      </c>
      <c r="Y152">
        <f>COUNTIFS('Audit Log'!$B$2:$B$2001,"&gt;="&amp;$B$2,'Audit Log'!$F$2:$F$2001,$B$3,'Audit Log'!$S$2:$S$2001,$B$4,'Audit Log'!$T$2:$T$2001,"Yes",'Audit Log'!$C$2:$C$2001,$X152,'Audit Log'!$O$2:$O$2001,"Invalid")</f>
        <v/>
      </c>
      <c r="Z152">
        <f>$Y152+ROW()/100000</f>
        <v/>
      </c>
    </row>
    <row r="153">
      <c r="X153" t="inlineStr">
        <is>
          <t>Dordas, Ireneo Delfin</t>
        </is>
      </c>
      <c r="Y153">
        <f>COUNTIFS('Audit Log'!$B$2:$B$2001,"&gt;="&amp;$B$2,'Audit Log'!$F$2:$F$2001,$B$3,'Audit Log'!$S$2:$S$2001,$B$4,'Audit Log'!$T$2:$T$2001,"Yes",'Audit Log'!$C$2:$C$2001,$X153,'Audit Log'!$O$2:$O$2001,"Invalid")</f>
        <v/>
      </c>
      <c r="Z153">
        <f>$Y153+ROW()/100000</f>
        <v/>
      </c>
    </row>
    <row r="154">
      <c r="X154" t="inlineStr">
        <is>
          <t>Dublin, Alliah Crystelle Reyes</t>
        </is>
      </c>
      <c r="Y154">
        <f>COUNTIFS('Audit Log'!$B$2:$B$2001,"&gt;="&amp;$B$2,'Audit Log'!$F$2:$F$2001,$B$3,'Audit Log'!$S$2:$S$2001,$B$4,'Audit Log'!$T$2:$T$2001,"Yes",'Audit Log'!$C$2:$C$2001,$X154,'Audit Log'!$O$2:$O$2001,"Invalid")</f>
        <v/>
      </c>
      <c r="Z154">
        <f>$Y154+ROW()/100000</f>
        <v/>
      </c>
    </row>
    <row r="155">
      <c r="X155" t="inlineStr">
        <is>
          <t>Dungca, Luis Amante Digman</t>
        </is>
      </c>
      <c r="Y155">
        <f>COUNTIFS('Audit Log'!$B$2:$B$2001,"&gt;="&amp;$B$2,'Audit Log'!$F$2:$F$2001,$B$3,'Audit Log'!$S$2:$S$2001,$B$4,'Audit Log'!$T$2:$T$2001,"Yes",'Audit Log'!$C$2:$C$2001,$X155,'Audit Log'!$O$2:$O$2001,"Invalid")</f>
        <v/>
      </c>
      <c r="Z155">
        <f>$Y155+ROW()/100000</f>
        <v/>
      </c>
    </row>
    <row r="156">
      <c r="X156" t="inlineStr">
        <is>
          <t>Dy, Jonathan Dumindin</t>
        </is>
      </c>
      <c r="Y156">
        <f>COUNTIFS('Audit Log'!$B$2:$B$2001,"&gt;="&amp;$B$2,'Audit Log'!$F$2:$F$2001,$B$3,'Audit Log'!$S$2:$S$2001,$B$4,'Audit Log'!$T$2:$T$2001,"Yes",'Audit Log'!$C$2:$C$2001,$X156,'Audit Log'!$O$2:$O$2001,"Invalid")</f>
        <v/>
      </c>
      <c r="Z156">
        <f>$Y156+ROW()/100000</f>
        <v/>
      </c>
    </row>
    <row r="157">
      <c r="X157" t="inlineStr">
        <is>
          <t>Ebuenga, Sheryll Avellaneda</t>
        </is>
      </c>
      <c r="Y157">
        <f>COUNTIFS('Audit Log'!$B$2:$B$2001,"&gt;="&amp;$B$2,'Audit Log'!$F$2:$F$2001,$B$3,'Audit Log'!$S$2:$S$2001,$B$4,'Audit Log'!$T$2:$T$2001,"Yes",'Audit Log'!$C$2:$C$2001,$X157,'Audit Log'!$O$2:$O$2001,"Invalid")</f>
        <v/>
      </c>
      <c r="Z157">
        <f>$Y157+ROW()/100000</f>
        <v/>
      </c>
    </row>
    <row r="158">
      <c r="X158" t="inlineStr">
        <is>
          <t>Edralin, Emma Desuyo</t>
        </is>
      </c>
      <c r="Y158">
        <f>COUNTIFS('Audit Log'!$B$2:$B$2001,"&gt;="&amp;$B$2,'Audit Log'!$F$2:$F$2001,$B$3,'Audit Log'!$S$2:$S$2001,$B$4,'Audit Log'!$T$2:$T$2001,"Yes",'Audit Log'!$C$2:$C$2001,$X158,'Audit Log'!$O$2:$O$2001,"Invalid")</f>
        <v/>
      </c>
      <c r="Z158">
        <f>$Y158+ROW()/100000</f>
        <v/>
      </c>
    </row>
    <row r="159">
      <c r="X159" t="inlineStr">
        <is>
          <t>Eduardo, Emil Manucot</t>
        </is>
      </c>
      <c r="Y159">
        <f>COUNTIFS('Audit Log'!$B$2:$B$2001,"&gt;="&amp;$B$2,'Audit Log'!$F$2:$F$2001,$B$3,'Audit Log'!$S$2:$S$2001,$B$4,'Audit Log'!$T$2:$T$2001,"Yes",'Audit Log'!$C$2:$C$2001,$X159,'Audit Log'!$O$2:$O$2001,"Invalid")</f>
        <v/>
      </c>
      <c r="Z159">
        <f>$Y159+ROW()/100000</f>
        <v/>
      </c>
    </row>
    <row r="160">
      <c r="X160" t="inlineStr">
        <is>
          <t>Ejurcadas, Princess Jane Bleack</t>
        </is>
      </c>
      <c r="Y160">
        <f>COUNTIFS('Audit Log'!$B$2:$B$2001,"&gt;="&amp;$B$2,'Audit Log'!$F$2:$F$2001,$B$3,'Audit Log'!$S$2:$S$2001,$B$4,'Audit Log'!$T$2:$T$2001,"Yes",'Audit Log'!$C$2:$C$2001,$X160,'Audit Log'!$O$2:$O$2001,"Invalid")</f>
        <v/>
      </c>
      <c r="Z160">
        <f>$Y160+ROW()/100000</f>
        <v/>
      </c>
    </row>
    <row r="161">
      <c r="X161" t="inlineStr">
        <is>
          <t>Elefante, Windelyn Veniegas</t>
        </is>
      </c>
      <c r="Y161">
        <f>COUNTIFS('Audit Log'!$B$2:$B$2001,"&gt;="&amp;$B$2,'Audit Log'!$F$2:$F$2001,$B$3,'Audit Log'!$S$2:$S$2001,$B$4,'Audit Log'!$T$2:$T$2001,"Yes",'Audit Log'!$C$2:$C$2001,$X161,'Audit Log'!$O$2:$O$2001,"Invalid")</f>
        <v/>
      </c>
      <c r="Z161">
        <f>$Y161+ROW()/100000</f>
        <v/>
      </c>
    </row>
    <row r="162">
      <c r="X162" t="inlineStr">
        <is>
          <t>Enriquez, Irene Cañas</t>
        </is>
      </c>
      <c r="Y162">
        <f>COUNTIFS('Audit Log'!$B$2:$B$2001,"&gt;="&amp;$B$2,'Audit Log'!$F$2:$F$2001,$B$3,'Audit Log'!$S$2:$S$2001,$B$4,'Audit Log'!$T$2:$T$2001,"Yes",'Audit Log'!$C$2:$C$2001,$X162,'Audit Log'!$O$2:$O$2001,"Invalid")</f>
        <v/>
      </c>
      <c r="Z162">
        <f>$Y162+ROW()/100000</f>
        <v/>
      </c>
    </row>
    <row r="163">
      <c r="X163" t="inlineStr">
        <is>
          <t>Epino, Niccolo Vince Matunan</t>
        </is>
      </c>
      <c r="Y163">
        <f>COUNTIFS('Audit Log'!$B$2:$B$2001,"&gt;="&amp;$B$2,'Audit Log'!$F$2:$F$2001,$B$3,'Audit Log'!$S$2:$S$2001,$B$4,'Audit Log'!$T$2:$T$2001,"Yes",'Audit Log'!$C$2:$C$2001,$X163,'Audit Log'!$O$2:$O$2001,"Invalid")</f>
        <v/>
      </c>
      <c r="Z163">
        <f>$Y163+ROW()/100000</f>
        <v/>
      </c>
    </row>
    <row r="164">
      <c r="X164" t="inlineStr">
        <is>
          <t>Eroy, Shieva Camille Dela Cruz</t>
        </is>
      </c>
      <c r="Y164">
        <f>COUNTIFS('Audit Log'!$B$2:$B$2001,"&gt;="&amp;$B$2,'Audit Log'!$F$2:$F$2001,$B$3,'Audit Log'!$S$2:$S$2001,$B$4,'Audit Log'!$T$2:$T$2001,"Yes",'Audit Log'!$C$2:$C$2001,$X164,'Audit Log'!$O$2:$O$2001,"Invalid")</f>
        <v/>
      </c>
      <c r="Z164">
        <f>$Y164+ROW()/100000</f>
        <v/>
      </c>
    </row>
    <row r="165">
      <c r="X165" t="inlineStr">
        <is>
          <t>Esmabe, Jaessen Wadasen</t>
        </is>
      </c>
      <c r="Y165">
        <f>COUNTIFS('Audit Log'!$B$2:$B$2001,"&gt;="&amp;$B$2,'Audit Log'!$F$2:$F$2001,$B$3,'Audit Log'!$S$2:$S$2001,$B$4,'Audit Log'!$T$2:$T$2001,"Yes",'Audit Log'!$C$2:$C$2001,$X165,'Audit Log'!$O$2:$O$2001,"Invalid")</f>
        <v/>
      </c>
      <c r="Z165">
        <f>$Y165+ROW()/100000</f>
        <v/>
      </c>
    </row>
    <row r="166">
      <c r="X166" t="inlineStr">
        <is>
          <t>Espineda, Anthony Direc Donor</t>
        </is>
      </c>
      <c r="Y166">
        <f>COUNTIFS('Audit Log'!$B$2:$B$2001,"&gt;="&amp;$B$2,'Audit Log'!$F$2:$F$2001,$B$3,'Audit Log'!$S$2:$S$2001,$B$4,'Audit Log'!$T$2:$T$2001,"Yes",'Audit Log'!$C$2:$C$2001,$X166,'Audit Log'!$O$2:$O$2001,"Invalid")</f>
        <v/>
      </c>
      <c r="Z166">
        <f>$Y166+ROW()/100000</f>
        <v/>
      </c>
    </row>
    <row r="167">
      <c r="X167" t="inlineStr">
        <is>
          <t>Espiritu, Antonelli Berbaño</t>
        </is>
      </c>
      <c r="Y167">
        <f>COUNTIFS('Audit Log'!$B$2:$B$2001,"&gt;="&amp;$B$2,'Audit Log'!$F$2:$F$2001,$B$3,'Audit Log'!$S$2:$S$2001,$B$4,'Audit Log'!$T$2:$T$2001,"Yes",'Audit Log'!$C$2:$C$2001,$X167,'Audit Log'!$O$2:$O$2001,"Invalid")</f>
        <v/>
      </c>
      <c r="Z167">
        <f>$Y167+ROW()/100000</f>
        <v/>
      </c>
    </row>
    <row r="168">
      <c r="X168" t="inlineStr">
        <is>
          <t>Espiritu, Elmer Madaraso</t>
        </is>
      </c>
      <c r="Y168">
        <f>COUNTIFS('Audit Log'!$B$2:$B$2001,"&gt;="&amp;$B$2,'Audit Log'!$F$2:$F$2001,$B$3,'Audit Log'!$S$2:$S$2001,$B$4,'Audit Log'!$T$2:$T$2001,"Yes",'Audit Log'!$C$2:$C$2001,$X168,'Audit Log'!$O$2:$O$2001,"Invalid")</f>
        <v/>
      </c>
      <c r="Z168">
        <f>$Y168+ROW()/100000</f>
        <v/>
      </c>
    </row>
    <row r="169">
      <c r="X169" t="inlineStr">
        <is>
          <t>Esquilona, Liezl Equipado</t>
        </is>
      </c>
      <c r="Y169">
        <f>COUNTIFS('Audit Log'!$B$2:$B$2001,"&gt;="&amp;$B$2,'Audit Log'!$F$2:$F$2001,$B$3,'Audit Log'!$S$2:$S$2001,$B$4,'Audit Log'!$T$2:$T$2001,"Yes",'Audit Log'!$C$2:$C$2001,$X169,'Audit Log'!$O$2:$O$2001,"Invalid")</f>
        <v/>
      </c>
      <c r="Z169">
        <f>$Y169+ROW()/100000</f>
        <v/>
      </c>
    </row>
    <row r="170">
      <c r="X170" t="inlineStr">
        <is>
          <t>Estanislao, John Lore Jacla</t>
        </is>
      </c>
      <c r="Y170">
        <f>COUNTIFS('Audit Log'!$B$2:$B$2001,"&gt;="&amp;$B$2,'Audit Log'!$F$2:$F$2001,$B$3,'Audit Log'!$S$2:$S$2001,$B$4,'Audit Log'!$T$2:$T$2001,"Yes",'Audit Log'!$C$2:$C$2001,$X170,'Audit Log'!$O$2:$O$2001,"Invalid")</f>
        <v/>
      </c>
      <c r="Z170">
        <f>$Y170+ROW()/100000</f>
        <v/>
      </c>
    </row>
    <row r="171">
      <c r="X171" t="inlineStr">
        <is>
          <t>Eupena, Angieros Custodio</t>
        </is>
      </c>
      <c r="Y171">
        <f>COUNTIFS('Audit Log'!$B$2:$B$2001,"&gt;="&amp;$B$2,'Audit Log'!$F$2:$F$2001,$B$3,'Audit Log'!$S$2:$S$2001,$B$4,'Audit Log'!$T$2:$T$2001,"Yes",'Audit Log'!$C$2:$C$2001,$X171,'Audit Log'!$O$2:$O$2001,"Invalid")</f>
        <v/>
      </c>
      <c r="Z171">
        <f>$Y171+ROW()/100000</f>
        <v/>
      </c>
    </row>
    <row r="172">
      <c r="X172" t="inlineStr">
        <is>
          <t>Evidente, Jose Maria Recaredo Ancheta</t>
        </is>
      </c>
      <c r="Y172">
        <f>COUNTIFS('Audit Log'!$B$2:$B$2001,"&gt;="&amp;$B$2,'Audit Log'!$F$2:$F$2001,$B$3,'Audit Log'!$S$2:$S$2001,$B$4,'Audit Log'!$T$2:$T$2001,"Yes",'Audit Log'!$C$2:$C$2001,$X172,'Audit Log'!$O$2:$O$2001,"Invalid")</f>
        <v/>
      </c>
      <c r="Z172">
        <f>$Y172+ROW()/100000</f>
        <v/>
      </c>
    </row>
    <row r="173">
      <c r="X173" t="inlineStr">
        <is>
          <t>Fabales, Anita Rinto</t>
        </is>
      </c>
      <c r="Y173">
        <f>COUNTIFS('Audit Log'!$B$2:$B$2001,"&gt;="&amp;$B$2,'Audit Log'!$F$2:$F$2001,$B$3,'Audit Log'!$S$2:$S$2001,$B$4,'Audit Log'!$T$2:$T$2001,"Yes",'Audit Log'!$C$2:$C$2001,$X173,'Audit Log'!$O$2:$O$2001,"Invalid")</f>
        <v/>
      </c>
      <c r="Z173">
        <f>$Y173+ROW()/100000</f>
        <v/>
      </c>
    </row>
    <row r="174">
      <c r="X174" t="inlineStr">
        <is>
          <t>Fabregas, Paulo Fontecilla</t>
        </is>
      </c>
      <c r="Y174">
        <f>COUNTIFS('Audit Log'!$B$2:$B$2001,"&gt;="&amp;$B$2,'Audit Log'!$F$2:$F$2001,$B$3,'Audit Log'!$S$2:$S$2001,$B$4,'Audit Log'!$T$2:$T$2001,"Yes",'Audit Log'!$C$2:$C$2001,$X174,'Audit Log'!$O$2:$O$2001,"Invalid")</f>
        <v/>
      </c>
      <c r="Z174">
        <f>$Y174+ROW()/100000</f>
        <v/>
      </c>
    </row>
    <row r="175">
      <c r="X175" t="inlineStr">
        <is>
          <t>Fabroa, Cresh Lyn Panganiban</t>
        </is>
      </c>
      <c r="Y175">
        <f>COUNTIFS('Audit Log'!$B$2:$B$2001,"&gt;="&amp;$B$2,'Audit Log'!$F$2:$F$2001,$B$3,'Audit Log'!$S$2:$S$2001,$B$4,'Audit Log'!$T$2:$T$2001,"Yes",'Audit Log'!$C$2:$C$2001,$X175,'Audit Log'!$O$2:$O$2001,"Invalid")</f>
        <v/>
      </c>
      <c r="Z175">
        <f>$Y175+ROW()/100000</f>
        <v/>
      </c>
    </row>
    <row r="176">
      <c r="X176" t="inlineStr">
        <is>
          <t>Fadera, Ronald Bryan Jugal</t>
        </is>
      </c>
      <c r="Y176">
        <f>COUNTIFS('Audit Log'!$B$2:$B$2001,"&gt;="&amp;$B$2,'Audit Log'!$F$2:$F$2001,$B$3,'Audit Log'!$S$2:$S$2001,$B$4,'Audit Log'!$T$2:$T$2001,"Yes",'Audit Log'!$C$2:$C$2001,$X176,'Audit Log'!$O$2:$O$2001,"Invalid")</f>
        <v/>
      </c>
      <c r="Z176">
        <f>$Y176+ROW()/100000</f>
        <v/>
      </c>
    </row>
    <row r="177">
      <c r="X177" t="inlineStr">
        <is>
          <t>Falceso, Jeany Rose Lucaba</t>
        </is>
      </c>
      <c r="Y177">
        <f>COUNTIFS('Audit Log'!$B$2:$B$2001,"&gt;="&amp;$B$2,'Audit Log'!$F$2:$F$2001,$B$3,'Audit Log'!$S$2:$S$2001,$B$4,'Audit Log'!$T$2:$T$2001,"Yes",'Audit Log'!$C$2:$C$2001,$X177,'Audit Log'!$O$2:$O$2001,"Invalid")</f>
        <v/>
      </c>
      <c r="Z177">
        <f>$Y177+ROW()/100000</f>
        <v/>
      </c>
    </row>
    <row r="178">
      <c r="X178" t="inlineStr">
        <is>
          <t>Faustino, Gilbert Catanghal</t>
        </is>
      </c>
      <c r="Y178">
        <f>COUNTIFS('Audit Log'!$B$2:$B$2001,"&gt;="&amp;$B$2,'Audit Log'!$F$2:$F$2001,$B$3,'Audit Log'!$S$2:$S$2001,$B$4,'Audit Log'!$T$2:$T$2001,"Yes",'Audit Log'!$C$2:$C$2001,$X178,'Audit Log'!$O$2:$O$2001,"Invalid")</f>
        <v/>
      </c>
      <c r="Z178">
        <f>$Y178+ROW()/100000</f>
        <v/>
      </c>
    </row>
    <row r="179">
      <c r="X179" t="inlineStr">
        <is>
          <t>Fedelino, Raechelle Ibias</t>
        </is>
      </c>
      <c r="Y179">
        <f>COUNTIFS('Audit Log'!$B$2:$B$2001,"&gt;="&amp;$B$2,'Audit Log'!$F$2:$F$2001,$B$3,'Audit Log'!$S$2:$S$2001,$B$4,'Audit Log'!$T$2:$T$2001,"Yes",'Audit Log'!$C$2:$C$2001,$X179,'Audit Log'!$O$2:$O$2001,"Invalid")</f>
        <v/>
      </c>
      <c r="Z179">
        <f>$Y179+ROW()/100000</f>
        <v/>
      </c>
    </row>
    <row r="180">
      <c r="X180" t="inlineStr">
        <is>
          <t>Fernandez, Nielzen Cosico</t>
        </is>
      </c>
      <c r="Y180">
        <f>COUNTIFS('Audit Log'!$B$2:$B$2001,"&gt;="&amp;$B$2,'Audit Log'!$F$2:$F$2001,$B$3,'Audit Log'!$S$2:$S$2001,$B$4,'Audit Log'!$T$2:$T$2001,"Yes",'Audit Log'!$C$2:$C$2001,$X180,'Audit Log'!$O$2:$O$2001,"Invalid")</f>
        <v/>
      </c>
      <c r="Z180">
        <f>$Y180+ROW()/100000</f>
        <v/>
      </c>
    </row>
    <row r="181">
      <c r="X181" t="inlineStr">
        <is>
          <t>Ferrer, Jasper Kenneth Labor</t>
        </is>
      </c>
      <c r="Y181">
        <f>COUNTIFS('Audit Log'!$B$2:$B$2001,"&gt;="&amp;$B$2,'Audit Log'!$F$2:$F$2001,$B$3,'Audit Log'!$S$2:$S$2001,$B$4,'Audit Log'!$T$2:$T$2001,"Yes",'Audit Log'!$C$2:$C$2001,$X181,'Audit Log'!$O$2:$O$2001,"Invalid")</f>
        <v/>
      </c>
      <c r="Z181">
        <f>$Y181+ROW()/100000</f>
        <v/>
      </c>
    </row>
    <row r="182">
      <c r="X182" t="inlineStr">
        <is>
          <t>Ferriol, Steven Lloyd Fadallan</t>
        </is>
      </c>
      <c r="Y182">
        <f>COUNTIFS('Audit Log'!$B$2:$B$2001,"&gt;="&amp;$B$2,'Audit Log'!$F$2:$F$2001,$B$3,'Audit Log'!$S$2:$S$2001,$B$4,'Audit Log'!$T$2:$T$2001,"Yes",'Audit Log'!$C$2:$C$2001,$X182,'Audit Log'!$O$2:$O$2001,"Invalid")</f>
        <v/>
      </c>
      <c r="Z182">
        <f>$Y182+ROW()/100000</f>
        <v/>
      </c>
    </row>
    <row r="183">
      <c r="X183" t="inlineStr">
        <is>
          <t>Fiestada, Louiella -</t>
        </is>
      </c>
      <c r="Y183">
        <f>COUNTIFS('Audit Log'!$B$2:$B$2001,"&gt;="&amp;$B$2,'Audit Log'!$F$2:$F$2001,$B$3,'Audit Log'!$S$2:$S$2001,$B$4,'Audit Log'!$T$2:$T$2001,"Yes",'Audit Log'!$C$2:$C$2001,$X183,'Audit Log'!$O$2:$O$2001,"Invalid")</f>
        <v/>
      </c>
      <c r="Z183">
        <f>$Y183+ROW()/100000</f>
        <v/>
      </c>
    </row>
    <row r="184">
      <c r="X184" t="inlineStr">
        <is>
          <t>Flores, Leo Mark Quial</t>
        </is>
      </c>
      <c r="Y184">
        <f>COUNTIFS('Audit Log'!$B$2:$B$2001,"&gt;="&amp;$B$2,'Audit Log'!$F$2:$F$2001,$B$3,'Audit Log'!$S$2:$S$2001,$B$4,'Audit Log'!$T$2:$T$2001,"Yes",'Audit Log'!$C$2:$C$2001,$X184,'Audit Log'!$O$2:$O$2001,"Invalid")</f>
        <v/>
      </c>
      <c r="Z184">
        <f>$Y184+ROW()/100000</f>
        <v/>
      </c>
    </row>
    <row r="185">
      <c r="X185" t="inlineStr">
        <is>
          <t>Flores, Martin Abulog</t>
        </is>
      </c>
      <c r="Y185">
        <f>COUNTIFS('Audit Log'!$B$2:$B$2001,"&gt;="&amp;$B$2,'Audit Log'!$F$2:$F$2001,$B$3,'Audit Log'!$S$2:$S$2001,$B$4,'Audit Log'!$T$2:$T$2001,"Yes",'Audit Log'!$C$2:$C$2001,$X185,'Audit Log'!$O$2:$O$2001,"Invalid")</f>
        <v/>
      </c>
      <c r="Z185">
        <f>$Y185+ROW()/100000</f>
        <v/>
      </c>
    </row>
    <row r="186">
      <c r="X186" t="inlineStr">
        <is>
          <t>Formilleza, Elmer Funtecha</t>
        </is>
      </c>
      <c r="Y186">
        <f>COUNTIFS('Audit Log'!$B$2:$B$2001,"&gt;="&amp;$B$2,'Audit Log'!$F$2:$F$2001,$B$3,'Audit Log'!$S$2:$S$2001,$B$4,'Audit Log'!$T$2:$T$2001,"Yes",'Audit Log'!$C$2:$C$2001,$X186,'Audit Log'!$O$2:$O$2001,"Invalid")</f>
        <v/>
      </c>
      <c r="Z186">
        <f>$Y186+ROW()/100000</f>
        <v/>
      </c>
    </row>
    <row r="187">
      <c r="X187" t="inlineStr">
        <is>
          <t>Francia, Alona Bannas</t>
        </is>
      </c>
      <c r="Y187">
        <f>COUNTIFS('Audit Log'!$B$2:$B$2001,"&gt;="&amp;$B$2,'Audit Log'!$F$2:$F$2001,$B$3,'Audit Log'!$S$2:$S$2001,$B$4,'Audit Log'!$T$2:$T$2001,"Yes",'Audit Log'!$C$2:$C$2001,$X187,'Audit Log'!$O$2:$O$2001,"Invalid")</f>
        <v/>
      </c>
      <c r="Z187">
        <f>$Y187+ROW()/100000</f>
        <v/>
      </c>
    </row>
    <row r="188">
      <c r="X188" t="inlineStr">
        <is>
          <t>Francisco, Baby Ruth Llamosa</t>
        </is>
      </c>
      <c r="Y188">
        <f>COUNTIFS('Audit Log'!$B$2:$B$2001,"&gt;="&amp;$B$2,'Audit Log'!$F$2:$F$2001,$B$3,'Audit Log'!$S$2:$S$2001,$B$4,'Audit Log'!$T$2:$T$2001,"Yes",'Audit Log'!$C$2:$C$2001,$X188,'Audit Log'!$O$2:$O$2001,"Invalid")</f>
        <v/>
      </c>
      <c r="Z188">
        <f>$Y188+ROW()/100000</f>
        <v/>
      </c>
    </row>
    <row r="189">
      <c r="X189" t="inlineStr">
        <is>
          <t>Franco, Mark Jomer Soco</t>
        </is>
      </c>
      <c r="Y189">
        <f>COUNTIFS('Audit Log'!$B$2:$B$2001,"&gt;="&amp;$B$2,'Audit Log'!$F$2:$F$2001,$B$3,'Audit Log'!$S$2:$S$2001,$B$4,'Audit Log'!$T$2:$T$2001,"Yes",'Audit Log'!$C$2:$C$2001,$X189,'Audit Log'!$O$2:$O$2001,"Invalid")</f>
        <v/>
      </c>
      <c r="Z189">
        <f>$Y189+ROW()/100000</f>
        <v/>
      </c>
    </row>
    <row r="190">
      <c r="X190" t="inlineStr">
        <is>
          <t>Fulgencio, Daniel Virtus</t>
        </is>
      </c>
      <c r="Y190">
        <f>COUNTIFS('Audit Log'!$B$2:$B$2001,"&gt;="&amp;$B$2,'Audit Log'!$F$2:$F$2001,$B$3,'Audit Log'!$S$2:$S$2001,$B$4,'Audit Log'!$T$2:$T$2001,"Yes",'Audit Log'!$C$2:$C$2001,$X190,'Audit Log'!$O$2:$O$2001,"Invalid")</f>
        <v/>
      </c>
      <c r="Z190">
        <f>$Y190+ROW()/100000</f>
        <v/>
      </c>
    </row>
    <row r="191">
      <c r="X191" t="inlineStr">
        <is>
          <t>Gaddi, Catheleen Sanchez</t>
        </is>
      </c>
      <c r="Y191">
        <f>COUNTIFS('Audit Log'!$B$2:$B$2001,"&gt;="&amp;$B$2,'Audit Log'!$F$2:$F$2001,$B$3,'Audit Log'!$S$2:$S$2001,$B$4,'Audit Log'!$T$2:$T$2001,"Yes",'Audit Log'!$C$2:$C$2001,$X191,'Audit Log'!$O$2:$O$2001,"Invalid")</f>
        <v/>
      </c>
      <c r="Z191">
        <f>$Y191+ROW()/100000</f>
        <v/>
      </c>
    </row>
    <row r="192">
      <c r="X192" t="inlineStr">
        <is>
          <t>Gadil, Glenn Lauce</t>
        </is>
      </c>
      <c r="Y192">
        <f>COUNTIFS('Audit Log'!$B$2:$B$2001,"&gt;="&amp;$B$2,'Audit Log'!$F$2:$F$2001,$B$3,'Audit Log'!$S$2:$S$2001,$B$4,'Audit Log'!$T$2:$T$2001,"Yes",'Audit Log'!$C$2:$C$2001,$X192,'Audit Log'!$O$2:$O$2001,"Invalid")</f>
        <v/>
      </c>
      <c r="Z192">
        <f>$Y192+ROW()/100000</f>
        <v/>
      </c>
    </row>
    <row r="193">
      <c r="X193" t="inlineStr">
        <is>
          <t>Galang, Edward Baltazar</t>
        </is>
      </c>
      <c r="Y193">
        <f>COUNTIFS('Audit Log'!$B$2:$B$2001,"&gt;="&amp;$B$2,'Audit Log'!$F$2:$F$2001,$B$3,'Audit Log'!$S$2:$S$2001,$B$4,'Audit Log'!$T$2:$T$2001,"Yes",'Audit Log'!$C$2:$C$2001,$X193,'Audit Log'!$O$2:$O$2001,"Invalid")</f>
        <v/>
      </c>
      <c r="Z193">
        <f>$Y193+ROW()/100000</f>
        <v/>
      </c>
    </row>
    <row r="194">
      <c r="X194" t="inlineStr">
        <is>
          <t>Galanida, Gilmark Magallanes</t>
        </is>
      </c>
      <c r="Y194">
        <f>COUNTIFS('Audit Log'!$B$2:$B$2001,"&gt;="&amp;$B$2,'Audit Log'!$F$2:$F$2001,$B$3,'Audit Log'!$S$2:$S$2001,$B$4,'Audit Log'!$T$2:$T$2001,"Yes",'Audit Log'!$C$2:$C$2001,$X194,'Audit Log'!$O$2:$O$2001,"Invalid")</f>
        <v/>
      </c>
      <c r="Z194">
        <f>$Y194+ROW()/100000</f>
        <v/>
      </c>
    </row>
    <row r="195">
      <c r="X195" t="inlineStr">
        <is>
          <t>Galope, Danri Catacutan</t>
        </is>
      </c>
      <c r="Y195">
        <f>COUNTIFS('Audit Log'!$B$2:$B$2001,"&gt;="&amp;$B$2,'Audit Log'!$F$2:$F$2001,$B$3,'Audit Log'!$S$2:$S$2001,$B$4,'Audit Log'!$T$2:$T$2001,"Yes",'Audit Log'!$C$2:$C$2001,$X195,'Audit Log'!$O$2:$O$2001,"Invalid")</f>
        <v/>
      </c>
      <c r="Z195">
        <f>$Y195+ROW()/100000</f>
        <v/>
      </c>
    </row>
    <row r="196">
      <c r="X196" t="inlineStr">
        <is>
          <t>Galvante, Clara Louise Valle</t>
        </is>
      </c>
      <c r="Y196">
        <f>COUNTIFS('Audit Log'!$B$2:$B$2001,"&gt;="&amp;$B$2,'Audit Log'!$F$2:$F$2001,$B$3,'Audit Log'!$S$2:$S$2001,$B$4,'Audit Log'!$T$2:$T$2001,"Yes",'Audit Log'!$C$2:$C$2001,$X196,'Audit Log'!$O$2:$O$2001,"Invalid")</f>
        <v/>
      </c>
      <c r="Z196">
        <f>$Y196+ROW()/100000</f>
        <v/>
      </c>
    </row>
    <row r="197">
      <c r="X197" t="inlineStr">
        <is>
          <t>Garalde, Jenny Lyn Carolino</t>
        </is>
      </c>
      <c r="Y197">
        <f>COUNTIFS('Audit Log'!$B$2:$B$2001,"&gt;="&amp;$B$2,'Audit Log'!$F$2:$F$2001,$B$3,'Audit Log'!$S$2:$S$2001,$B$4,'Audit Log'!$T$2:$T$2001,"Yes",'Audit Log'!$C$2:$C$2001,$X197,'Audit Log'!$O$2:$O$2001,"Invalid")</f>
        <v/>
      </c>
      <c r="Z197">
        <f>$Y197+ROW()/100000</f>
        <v/>
      </c>
    </row>
    <row r="198">
      <c r="X198" t="inlineStr">
        <is>
          <t>Garcia, Arriane Dawn Cajuban</t>
        </is>
      </c>
      <c r="Y198">
        <f>COUNTIFS('Audit Log'!$B$2:$B$2001,"&gt;="&amp;$B$2,'Audit Log'!$F$2:$F$2001,$B$3,'Audit Log'!$S$2:$S$2001,$B$4,'Audit Log'!$T$2:$T$2001,"Yes",'Audit Log'!$C$2:$C$2001,$X198,'Audit Log'!$O$2:$O$2001,"Invalid")</f>
        <v/>
      </c>
      <c r="Z198">
        <f>$Y198+ROW()/100000</f>
        <v/>
      </c>
    </row>
    <row r="199">
      <c r="X199" t="inlineStr">
        <is>
          <t>Garcia, Reeham El Hagar</t>
        </is>
      </c>
      <c r="Y199">
        <f>COUNTIFS('Audit Log'!$B$2:$B$2001,"&gt;="&amp;$B$2,'Audit Log'!$F$2:$F$2001,$B$3,'Audit Log'!$S$2:$S$2001,$B$4,'Audit Log'!$T$2:$T$2001,"Yes",'Audit Log'!$C$2:$C$2001,$X199,'Audit Log'!$O$2:$O$2001,"Invalid")</f>
        <v/>
      </c>
      <c r="Z199">
        <f>$Y199+ROW()/100000</f>
        <v/>
      </c>
    </row>
    <row r="200">
      <c r="X200" t="inlineStr">
        <is>
          <t>Gatmaitan, Kurt John Manuel</t>
        </is>
      </c>
      <c r="Y200">
        <f>COUNTIFS('Audit Log'!$B$2:$B$2001,"&gt;="&amp;$B$2,'Audit Log'!$F$2:$F$2001,$B$3,'Audit Log'!$S$2:$S$2001,$B$4,'Audit Log'!$T$2:$T$2001,"Yes",'Audit Log'!$C$2:$C$2001,$X200,'Audit Log'!$O$2:$O$2001,"Invalid")</f>
        <v/>
      </c>
      <c r="Z200">
        <f>$Y200+ROW()/100000</f>
        <v/>
      </c>
    </row>
    <row r="201">
      <c r="X201" t="inlineStr">
        <is>
          <t>Gayon, Maria Joana Mejias</t>
        </is>
      </c>
      <c r="Y201">
        <f>COUNTIFS('Audit Log'!$B$2:$B$2001,"&gt;="&amp;$B$2,'Audit Log'!$F$2:$F$2001,$B$3,'Audit Log'!$S$2:$S$2001,$B$4,'Audit Log'!$T$2:$T$2001,"Yes",'Audit Log'!$C$2:$C$2001,$X201,'Audit Log'!$O$2:$O$2001,"Invalid")</f>
        <v/>
      </c>
      <c r="Z201">
        <f>$Y201+ROW()/100000</f>
        <v/>
      </c>
    </row>
    <row r="202">
      <c r="X202" t="inlineStr">
        <is>
          <t>Geli, Joan Seguis</t>
        </is>
      </c>
      <c r="Y202">
        <f>COUNTIFS('Audit Log'!$B$2:$B$2001,"&gt;="&amp;$B$2,'Audit Log'!$F$2:$F$2001,$B$3,'Audit Log'!$S$2:$S$2001,$B$4,'Audit Log'!$T$2:$T$2001,"Yes",'Audit Log'!$C$2:$C$2001,$X202,'Audit Log'!$O$2:$O$2001,"Invalid")</f>
        <v/>
      </c>
      <c r="Z202">
        <f>$Y202+ROW()/100000</f>
        <v/>
      </c>
    </row>
    <row r="203">
      <c r="X203" t="inlineStr">
        <is>
          <t>Genova, Kyle Jasper Laxamana</t>
        </is>
      </c>
      <c r="Y203">
        <f>COUNTIFS('Audit Log'!$B$2:$B$2001,"&gt;="&amp;$B$2,'Audit Log'!$F$2:$F$2001,$B$3,'Audit Log'!$S$2:$S$2001,$B$4,'Audit Log'!$T$2:$T$2001,"Yes",'Audit Log'!$C$2:$C$2001,$X203,'Audit Log'!$O$2:$O$2001,"Invalid")</f>
        <v/>
      </c>
      <c r="Z203">
        <f>$Y203+ROW()/100000</f>
        <v/>
      </c>
    </row>
    <row r="204">
      <c r="X204" t="inlineStr">
        <is>
          <t>Gesmundo, Mark Anthony Flores</t>
        </is>
      </c>
      <c r="Y204">
        <f>COUNTIFS('Audit Log'!$B$2:$B$2001,"&gt;="&amp;$B$2,'Audit Log'!$F$2:$F$2001,$B$3,'Audit Log'!$S$2:$S$2001,$B$4,'Audit Log'!$T$2:$T$2001,"Yes",'Audit Log'!$C$2:$C$2001,$X204,'Audit Log'!$O$2:$O$2001,"Invalid")</f>
        <v/>
      </c>
      <c r="Z204">
        <f>$Y204+ROW()/100000</f>
        <v/>
      </c>
    </row>
    <row r="205">
      <c r="X205" t="inlineStr">
        <is>
          <t>Gomez, Shashel Ann Cantiga</t>
        </is>
      </c>
      <c r="Y205">
        <f>COUNTIFS('Audit Log'!$B$2:$B$2001,"&gt;="&amp;$B$2,'Audit Log'!$F$2:$F$2001,$B$3,'Audit Log'!$S$2:$S$2001,$B$4,'Audit Log'!$T$2:$T$2001,"Yes",'Audit Log'!$C$2:$C$2001,$X205,'Audit Log'!$O$2:$O$2001,"Invalid")</f>
        <v/>
      </c>
      <c r="Z205">
        <f>$Y205+ROW()/100000</f>
        <v/>
      </c>
    </row>
    <row r="206">
      <c r="X206" t="inlineStr">
        <is>
          <t>Gonzaga, Alliahkate Obina</t>
        </is>
      </c>
      <c r="Y206">
        <f>COUNTIFS('Audit Log'!$B$2:$B$2001,"&gt;="&amp;$B$2,'Audit Log'!$F$2:$F$2001,$B$3,'Audit Log'!$S$2:$S$2001,$B$4,'Audit Log'!$T$2:$T$2001,"Yes",'Audit Log'!$C$2:$C$2001,$X206,'Audit Log'!$O$2:$O$2001,"Invalid")</f>
        <v/>
      </c>
      <c r="Z206">
        <f>$Y206+ROW()/100000</f>
        <v/>
      </c>
    </row>
    <row r="207">
      <c r="X207" t="inlineStr">
        <is>
          <t>Grafe, Felicino Quinzon</t>
        </is>
      </c>
      <c r="Y207">
        <f>COUNTIFS('Audit Log'!$B$2:$B$2001,"&gt;="&amp;$B$2,'Audit Log'!$F$2:$F$2001,$B$3,'Audit Log'!$S$2:$S$2001,$B$4,'Audit Log'!$T$2:$T$2001,"Yes",'Audit Log'!$C$2:$C$2001,$X207,'Audit Log'!$O$2:$O$2001,"Invalid")</f>
        <v/>
      </c>
      <c r="Z207">
        <f>$Y207+ROW()/100000</f>
        <v/>
      </c>
    </row>
    <row r="208">
      <c r="X208" t="inlineStr">
        <is>
          <t>Grave, Megg Jake Salvacion</t>
        </is>
      </c>
      <c r="Y208">
        <f>COUNTIFS('Audit Log'!$B$2:$B$2001,"&gt;="&amp;$B$2,'Audit Log'!$F$2:$F$2001,$B$3,'Audit Log'!$S$2:$S$2001,$B$4,'Audit Log'!$T$2:$T$2001,"Yes",'Audit Log'!$C$2:$C$2001,$X208,'Audit Log'!$O$2:$O$2001,"Invalid")</f>
        <v/>
      </c>
      <c r="Z208">
        <f>$Y208+ROW()/100000</f>
        <v/>
      </c>
    </row>
    <row r="209">
      <c r="X209" t="inlineStr">
        <is>
          <t>Gravela, Mark Angelo Faustino</t>
        </is>
      </c>
      <c r="Y209">
        <f>COUNTIFS('Audit Log'!$B$2:$B$2001,"&gt;="&amp;$B$2,'Audit Log'!$F$2:$F$2001,$B$3,'Audit Log'!$S$2:$S$2001,$B$4,'Audit Log'!$T$2:$T$2001,"Yes",'Audit Log'!$C$2:$C$2001,$X209,'Audit Log'!$O$2:$O$2001,"Invalid")</f>
        <v/>
      </c>
      <c r="Z209">
        <f>$Y209+ROW()/100000</f>
        <v/>
      </c>
    </row>
    <row r="210">
      <c r="X210" t="inlineStr">
        <is>
          <t>Griffin Jr, Francis Viana</t>
        </is>
      </c>
      <c r="Y210">
        <f>COUNTIFS('Audit Log'!$B$2:$B$2001,"&gt;="&amp;$B$2,'Audit Log'!$F$2:$F$2001,$B$3,'Audit Log'!$S$2:$S$2001,$B$4,'Audit Log'!$T$2:$T$2001,"Yes",'Audit Log'!$C$2:$C$2001,$X210,'Audit Log'!$O$2:$O$2001,"Invalid")</f>
        <v/>
      </c>
      <c r="Z210">
        <f>$Y210+ROW()/100000</f>
        <v/>
      </c>
    </row>
    <row r="211">
      <c r="X211" t="inlineStr">
        <is>
          <t>Guevarra, Willy Lascano</t>
        </is>
      </c>
      <c r="Y211">
        <f>COUNTIFS('Audit Log'!$B$2:$B$2001,"&gt;="&amp;$B$2,'Audit Log'!$F$2:$F$2001,$B$3,'Audit Log'!$S$2:$S$2001,$B$4,'Audit Log'!$T$2:$T$2001,"Yes",'Audit Log'!$C$2:$C$2001,$X211,'Audit Log'!$O$2:$O$2001,"Invalid")</f>
        <v/>
      </c>
      <c r="Z211">
        <f>$Y211+ROW()/100000</f>
        <v/>
      </c>
    </row>
    <row r="212">
      <c r="X212" t="inlineStr">
        <is>
          <t>Gurrobat, Karen Bacayo</t>
        </is>
      </c>
      <c r="Y212">
        <f>COUNTIFS('Audit Log'!$B$2:$B$2001,"&gt;="&amp;$B$2,'Audit Log'!$F$2:$F$2001,$B$3,'Audit Log'!$S$2:$S$2001,$B$4,'Audit Log'!$T$2:$T$2001,"Yes",'Audit Log'!$C$2:$C$2001,$X212,'Audit Log'!$O$2:$O$2001,"Invalid")</f>
        <v/>
      </c>
      <c r="Z212">
        <f>$Y212+ROW()/100000</f>
        <v/>
      </c>
    </row>
    <row r="213">
      <c r="X213" t="inlineStr">
        <is>
          <t>Gutierrez, Luisito Ordona</t>
        </is>
      </c>
      <c r="Y213">
        <f>COUNTIFS('Audit Log'!$B$2:$B$2001,"&gt;="&amp;$B$2,'Audit Log'!$F$2:$F$2001,$B$3,'Audit Log'!$S$2:$S$2001,$B$4,'Audit Log'!$T$2:$T$2001,"Yes",'Audit Log'!$C$2:$C$2001,$X213,'Audit Log'!$O$2:$O$2001,"Invalid")</f>
        <v/>
      </c>
      <c r="Z213">
        <f>$Y213+ROW()/100000</f>
        <v/>
      </c>
    </row>
    <row r="214">
      <c r="X214" t="inlineStr">
        <is>
          <t>Haboc, Donnis</t>
        </is>
      </c>
      <c r="Y214">
        <f>COUNTIFS('Audit Log'!$B$2:$B$2001,"&gt;="&amp;$B$2,'Audit Log'!$F$2:$F$2001,$B$3,'Audit Log'!$S$2:$S$2001,$B$4,'Audit Log'!$T$2:$T$2001,"Yes",'Audit Log'!$C$2:$C$2001,$X214,'Audit Log'!$O$2:$O$2001,"Invalid")</f>
        <v/>
      </c>
      <c r="Z214">
        <f>$Y214+ROW()/100000</f>
        <v/>
      </c>
    </row>
    <row r="215">
      <c r="X215" t="inlineStr">
        <is>
          <t>Hernaez, Benson Lamson</t>
        </is>
      </c>
      <c r="Y215">
        <f>COUNTIFS('Audit Log'!$B$2:$B$2001,"&gt;="&amp;$B$2,'Audit Log'!$F$2:$F$2001,$B$3,'Audit Log'!$S$2:$S$2001,$B$4,'Audit Log'!$T$2:$T$2001,"Yes",'Audit Log'!$C$2:$C$2001,$X215,'Audit Log'!$O$2:$O$2001,"Invalid")</f>
        <v/>
      </c>
      <c r="Z215">
        <f>$Y215+ROW()/100000</f>
        <v/>
      </c>
    </row>
    <row r="216">
      <c r="X216" t="inlineStr">
        <is>
          <t>Hernandez, Jayson Cabrera</t>
        </is>
      </c>
      <c r="Y216">
        <f>COUNTIFS('Audit Log'!$B$2:$B$2001,"&gt;="&amp;$B$2,'Audit Log'!$F$2:$F$2001,$B$3,'Audit Log'!$S$2:$S$2001,$B$4,'Audit Log'!$T$2:$T$2001,"Yes",'Audit Log'!$C$2:$C$2001,$X216,'Audit Log'!$O$2:$O$2001,"Invalid")</f>
        <v/>
      </c>
      <c r="Z216">
        <f>$Y216+ROW()/100000</f>
        <v/>
      </c>
    </row>
    <row r="217">
      <c r="X217" t="inlineStr">
        <is>
          <t>Hernandez, Nilo Olidar</t>
        </is>
      </c>
      <c r="Y217">
        <f>COUNTIFS('Audit Log'!$B$2:$B$2001,"&gt;="&amp;$B$2,'Audit Log'!$F$2:$F$2001,$B$3,'Audit Log'!$S$2:$S$2001,$B$4,'Audit Log'!$T$2:$T$2001,"Yes",'Audit Log'!$C$2:$C$2001,$X217,'Audit Log'!$O$2:$O$2001,"Invalid")</f>
        <v/>
      </c>
      <c r="Z217">
        <f>$Y217+ROW()/100000</f>
        <v/>
      </c>
    </row>
    <row r="218">
      <c r="X218" t="inlineStr">
        <is>
          <t>Herosa, Aleina Nichole Masirag</t>
        </is>
      </c>
      <c r="Y218">
        <f>COUNTIFS('Audit Log'!$B$2:$B$2001,"&gt;="&amp;$B$2,'Audit Log'!$F$2:$F$2001,$B$3,'Audit Log'!$S$2:$S$2001,$B$4,'Audit Log'!$T$2:$T$2001,"Yes",'Audit Log'!$C$2:$C$2001,$X218,'Audit Log'!$O$2:$O$2001,"Invalid")</f>
        <v/>
      </c>
      <c r="Z218">
        <f>$Y218+ROW()/100000</f>
        <v/>
      </c>
    </row>
    <row r="219">
      <c r="X219" t="inlineStr">
        <is>
          <t>Higum, Marissa Yap</t>
        </is>
      </c>
      <c r="Y219">
        <f>COUNTIFS('Audit Log'!$B$2:$B$2001,"&gt;="&amp;$B$2,'Audit Log'!$F$2:$F$2001,$B$3,'Audit Log'!$S$2:$S$2001,$B$4,'Audit Log'!$T$2:$T$2001,"Yes",'Audit Log'!$C$2:$C$2001,$X219,'Audit Log'!$O$2:$O$2001,"Invalid")</f>
        <v/>
      </c>
      <c r="Z219">
        <f>$Y219+ROW()/100000</f>
        <v/>
      </c>
    </row>
    <row r="220">
      <c r="X220" t="inlineStr">
        <is>
          <t>Hije, Bernadeth Rosales</t>
        </is>
      </c>
      <c r="Y220">
        <f>COUNTIFS('Audit Log'!$B$2:$B$2001,"&gt;="&amp;$B$2,'Audit Log'!$F$2:$F$2001,$B$3,'Audit Log'!$S$2:$S$2001,$B$4,'Audit Log'!$T$2:$T$2001,"Yes",'Audit Log'!$C$2:$C$2001,$X220,'Audit Log'!$O$2:$O$2001,"Invalid")</f>
        <v/>
      </c>
      <c r="Z220">
        <f>$Y220+ROW()/100000</f>
        <v/>
      </c>
    </row>
    <row r="221">
      <c r="X221" t="inlineStr">
        <is>
          <t>Ibañez, Karylle Estanislao</t>
        </is>
      </c>
      <c r="Y221">
        <f>COUNTIFS('Audit Log'!$B$2:$B$2001,"&gt;="&amp;$B$2,'Audit Log'!$F$2:$F$2001,$B$3,'Audit Log'!$S$2:$S$2001,$B$4,'Audit Log'!$T$2:$T$2001,"Yes",'Audit Log'!$C$2:$C$2001,$X221,'Audit Log'!$O$2:$O$2001,"Invalid")</f>
        <v/>
      </c>
      <c r="Z221">
        <f>$Y221+ROW()/100000</f>
        <v/>
      </c>
    </row>
    <row r="222">
      <c r="X222" t="inlineStr">
        <is>
          <t>Ignacio, Abigael Franco</t>
        </is>
      </c>
      <c r="Y222">
        <f>COUNTIFS('Audit Log'!$B$2:$B$2001,"&gt;="&amp;$B$2,'Audit Log'!$F$2:$F$2001,$B$3,'Audit Log'!$S$2:$S$2001,$B$4,'Audit Log'!$T$2:$T$2001,"Yes",'Audit Log'!$C$2:$C$2001,$X222,'Audit Log'!$O$2:$O$2001,"Invalid")</f>
        <v/>
      </c>
      <c r="Z222">
        <f>$Y222+ROW()/100000</f>
        <v/>
      </c>
    </row>
    <row r="223">
      <c r="X223" t="inlineStr">
        <is>
          <t>Ignacio, Joy Neal Cruz</t>
        </is>
      </c>
      <c r="Y223">
        <f>COUNTIFS('Audit Log'!$B$2:$B$2001,"&gt;="&amp;$B$2,'Audit Log'!$F$2:$F$2001,$B$3,'Audit Log'!$S$2:$S$2001,$B$4,'Audit Log'!$T$2:$T$2001,"Yes",'Audit Log'!$C$2:$C$2001,$X223,'Audit Log'!$O$2:$O$2001,"Invalid")</f>
        <v/>
      </c>
      <c r="Z223">
        <f>$Y223+ROW()/100000</f>
        <v/>
      </c>
    </row>
    <row r="224">
      <c r="X224" t="inlineStr">
        <is>
          <t>Ignacio, Nino Pedro</t>
        </is>
      </c>
      <c r="Y224">
        <f>COUNTIFS('Audit Log'!$B$2:$B$2001,"&gt;="&amp;$B$2,'Audit Log'!$F$2:$F$2001,$B$3,'Audit Log'!$S$2:$S$2001,$B$4,'Audit Log'!$T$2:$T$2001,"Yes",'Audit Log'!$C$2:$C$2001,$X224,'Audit Log'!$O$2:$O$2001,"Invalid")</f>
        <v/>
      </c>
      <c r="Z224">
        <f>$Y224+ROW()/100000</f>
        <v/>
      </c>
    </row>
    <row r="225">
      <c r="X225" t="inlineStr">
        <is>
          <t>Iguin, John Carlo Dejumo</t>
        </is>
      </c>
      <c r="Y225">
        <f>COUNTIFS('Audit Log'!$B$2:$B$2001,"&gt;="&amp;$B$2,'Audit Log'!$F$2:$F$2001,$B$3,'Audit Log'!$S$2:$S$2001,$B$4,'Audit Log'!$T$2:$T$2001,"Yes",'Audit Log'!$C$2:$C$2001,$X225,'Audit Log'!$O$2:$O$2001,"Invalid")</f>
        <v/>
      </c>
      <c r="Z225">
        <f>$Y225+ROW()/100000</f>
        <v/>
      </c>
    </row>
    <row r="226">
      <c r="X226" t="inlineStr">
        <is>
          <t>Imperial, Jame Euan Nmn</t>
        </is>
      </c>
      <c r="Y226">
        <f>COUNTIFS('Audit Log'!$B$2:$B$2001,"&gt;="&amp;$B$2,'Audit Log'!$F$2:$F$2001,$B$3,'Audit Log'!$S$2:$S$2001,$B$4,'Audit Log'!$T$2:$T$2001,"Yes",'Audit Log'!$C$2:$C$2001,$X226,'Audit Log'!$O$2:$O$2001,"Invalid")</f>
        <v/>
      </c>
      <c r="Z226">
        <f>$Y226+ROW()/100000</f>
        <v/>
      </c>
    </row>
    <row r="227">
      <c r="X227" t="inlineStr">
        <is>
          <t>Infante, Ma Katrina Abon Dela Torre</t>
        </is>
      </c>
      <c r="Y227">
        <f>COUNTIFS('Audit Log'!$B$2:$B$2001,"&gt;="&amp;$B$2,'Audit Log'!$F$2:$F$2001,$B$3,'Audit Log'!$S$2:$S$2001,$B$4,'Audit Log'!$T$2:$T$2001,"Yes",'Audit Log'!$C$2:$C$2001,$X227,'Audit Log'!$O$2:$O$2001,"Invalid")</f>
        <v/>
      </c>
      <c r="Z227">
        <f>$Y227+ROW()/100000</f>
        <v/>
      </c>
    </row>
    <row r="228">
      <c r="X228" t="inlineStr">
        <is>
          <t>Iquin, Jasmin Atencio</t>
        </is>
      </c>
      <c r="Y228">
        <f>COUNTIFS('Audit Log'!$B$2:$B$2001,"&gt;="&amp;$B$2,'Audit Log'!$F$2:$F$2001,$B$3,'Audit Log'!$S$2:$S$2001,$B$4,'Audit Log'!$T$2:$T$2001,"Yes",'Audit Log'!$C$2:$C$2001,$X228,'Audit Log'!$O$2:$O$2001,"Invalid")</f>
        <v/>
      </c>
      <c r="Z228">
        <f>$Y228+ROW()/100000</f>
        <v/>
      </c>
    </row>
    <row r="229">
      <c r="X229" t="inlineStr">
        <is>
          <t>Jaico, Carl Justin Colada</t>
        </is>
      </c>
      <c r="Y229">
        <f>COUNTIFS('Audit Log'!$B$2:$B$2001,"&gt;="&amp;$B$2,'Audit Log'!$F$2:$F$2001,$B$3,'Audit Log'!$S$2:$S$2001,$B$4,'Audit Log'!$T$2:$T$2001,"Yes",'Audit Log'!$C$2:$C$2001,$X229,'Audit Log'!$O$2:$O$2001,"Invalid")</f>
        <v/>
      </c>
      <c r="Z229">
        <f>$Y229+ROW()/100000</f>
        <v/>
      </c>
    </row>
    <row r="230">
      <c r="X230" t="inlineStr">
        <is>
          <t>Joaquin, Erica Jenesis Morales</t>
        </is>
      </c>
      <c r="Y230">
        <f>COUNTIFS('Audit Log'!$B$2:$B$2001,"&gt;="&amp;$B$2,'Audit Log'!$F$2:$F$2001,$B$3,'Audit Log'!$S$2:$S$2001,$B$4,'Audit Log'!$T$2:$T$2001,"Yes",'Audit Log'!$C$2:$C$2001,$X230,'Audit Log'!$O$2:$O$2001,"Invalid")</f>
        <v/>
      </c>
      <c r="Z230">
        <f>$Y230+ROW()/100000</f>
        <v/>
      </c>
    </row>
    <row r="231">
      <c r="X231" t="inlineStr">
        <is>
          <t>Jose, Jully Ann Carlos</t>
        </is>
      </c>
      <c r="Y231">
        <f>COUNTIFS('Audit Log'!$B$2:$B$2001,"&gt;="&amp;$B$2,'Audit Log'!$F$2:$F$2001,$B$3,'Audit Log'!$S$2:$S$2001,$B$4,'Audit Log'!$T$2:$T$2001,"Yes",'Audit Log'!$C$2:$C$2001,$X231,'Audit Log'!$O$2:$O$2001,"Invalid")</f>
        <v/>
      </c>
      <c r="Z231">
        <f>$Y231+ROW()/100000</f>
        <v/>
      </c>
    </row>
    <row r="232">
      <c r="X232" t="inlineStr">
        <is>
          <t>Kalaw, Melchie Nmn</t>
        </is>
      </c>
      <c r="Y232">
        <f>COUNTIFS('Audit Log'!$B$2:$B$2001,"&gt;="&amp;$B$2,'Audit Log'!$F$2:$F$2001,$B$3,'Audit Log'!$S$2:$S$2001,$B$4,'Audit Log'!$T$2:$T$2001,"Yes",'Audit Log'!$C$2:$C$2001,$X232,'Audit Log'!$O$2:$O$2001,"Invalid")</f>
        <v/>
      </c>
      <c r="Z232">
        <f>$Y232+ROW()/100000</f>
        <v/>
      </c>
    </row>
    <row r="233">
      <c r="X233" t="inlineStr">
        <is>
          <t>Labana, Heidee</t>
        </is>
      </c>
      <c r="Y233">
        <f>COUNTIFS('Audit Log'!$B$2:$B$2001,"&gt;="&amp;$B$2,'Audit Log'!$F$2:$F$2001,$B$3,'Audit Log'!$S$2:$S$2001,$B$4,'Audit Log'!$T$2:$T$2001,"Yes",'Audit Log'!$C$2:$C$2001,$X233,'Audit Log'!$O$2:$O$2001,"Invalid")</f>
        <v/>
      </c>
      <c r="Z233">
        <f>$Y233+ROW()/100000</f>
        <v/>
      </c>
    </row>
    <row r="234">
      <c r="X234" t="inlineStr">
        <is>
          <t>Laberon, Jennieca Matilla</t>
        </is>
      </c>
      <c r="Y234">
        <f>COUNTIFS('Audit Log'!$B$2:$B$2001,"&gt;="&amp;$B$2,'Audit Log'!$F$2:$F$2001,$B$3,'Audit Log'!$S$2:$S$2001,$B$4,'Audit Log'!$T$2:$T$2001,"Yes",'Audit Log'!$C$2:$C$2001,$X234,'Audit Log'!$O$2:$O$2001,"Invalid")</f>
        <v/>
      </c>
      <c r="Z234">
        <f>$Y234+ROW()/100000</f>
        <v/>
      </c>
    </row>
    <row r="235">
      <c r="X235" t="inlineStr">
        <is>
          <t>Labiang, Jericho James Apostol</t>
        </is>
      </c>
      <c r="Y235">
        <f>COUNTIFS('Audit Log'!$B$2:$B$2001,"&gt;="&amp;$B$2,'Audit Log'!$F$2:$F$2001,$B$3,'Audit Log'!$S$2:$S$2001,$B$4,'Audit Log'!$T$2:$T$2001,"Yes",'Audit Log'!$C$2:$C$2001,$X235,'Audit Log'!$O$2:$O$2001,"Invalid")</f>
        <v/>
      </c>
      <c r="Z235">
        <f>$Y235+ROW()/100000</f>
        <v/>
      </c>
    </row>
    <row r="236">
      <c r="X236" t="inlineStr">
        <is>
          <t>Lacara, Mark Edrian Pasadas</t>
        </is>
      </c>
      <c r="Y236">
        <f>COUNTIFS('Audit Log'!$B$2:$B$2001,"&gt;="&amp;$B$2,'Audit Log'!$F$2:$F$2001,$B$3,'Audit Log'!$S$2:$S$2001,$B$4,'Audit Log'!$T$2:$T$2001,"Yes",'Audit Log'!$C$2:$C$2001,$X236,'Audit Log'!$O$2:$O$2001,"Invalid")</f>
        <v/>
      </c>
      <c r="Z236">
        <f>$Y236+ROW()/100000</f>
        <v/>
      </c>
    </row>
    <row r="237">
      <c r="X237" t="inlineStr">
        <is>
          <t>Lachica, Lance Embile</t>
        </is>
      </c>
      <c r="Y237">
        <f>COUNTIFS('Audit Log'!$B$2:$B$2001,"&gt;="&amp;$B$2,'Audit Log'!$F$2:$F$2001,$B$3,'Audit Log'!$S$2:$S$2001,$B$4,'Audit Log'!$T$2:$T$2001,"Yes",'Audit Log'!$C$2:$C$2001,$X237,'Audit Log'!$O$2:$O$2001,"Invalid")</f>
        <v/>
      </c>
      <c r="Z237">
        <f>$Y237+ROW()/100000</f>
        <v/>
      </c>
    </row>
    <row r="238">
      <c r="X238" t="inlineStr">
        <is>
          <t>Laguerta, Jason Palinsad</t>
        </is>
      </c>
      <c r="Y238">
        <f>COUNTIFS('Audit Log'!$B$2:$B$2001,"&gt;="&amp;$B$2,'Audit Log'!$F$2:$F$2001,$B$3,'Audit Log'!$S$2:$S$2001,$B$4,'Audit Log'!$T$2:$T$2001,"Yes",'Audit Log'!$C$2:$C$2001,$X238,'Audit Log'!$O$2:$O$2001,"Invalid")</f>
        <v/>
      </c>
      <c r="Z238">
        <f>$Y238+ROW()/100000</f>
        <v/>
      </c>
    </row>
    <row r="239">
      <c r="X239" t="inlineStr">
        <is>
          <t>Langcawon, Lary Bagasina</t>
        </is>
      </c>
      <c r="Y239">
        <f>COUNTIFS('Audit Log'!$B$2:$B$2001,"&gt;="&amp;$B$2,'Audit Log'!$F$2:$F$2001,$B$3,'Audit Log'!$S$2:$S$2001,$B$4,'Audit Log'!$T$2:$T$2001,"Yes",'Audit Log'!$C$2:$C$2001,$X239,'Audit Log'!$O$2:$O$2001,"Invalid")</f>
        <v/>
      </c>
      <c r="Z239">
        <f>$Y239+ROW()/100000</f>
        <v/>
      </c>
    </row>
    <row r="240">
      <c r="X240" t="inlineStr">
        <is>
          <t>Larracas, Bensan Urbi</t>
        </is>
      </c>
      <c r="Y240">
        <f>COUNTIFS('Audit Log'!$B$2:$B$2001,"&gt;="&amp;$B$2,'Audit Log'!$F$2:$F$2001,$B$3,'Audit Log'!$S$2:$S$2001,$B$4,'Audit Log'!$T$2:$T$2001,"Yes",'Audit Log'!$C$2:$C$2001,$X240,'Audit Log'!$O$2:$O$2001,"Invalid")</f>
        <v/>
      </c>
      <c r="Z240">
        <f>$Y240+ROW()/100000</f>
        <v/>
      </c>
    </row>
    <row r="241">
      <c r="X241" t="inlineStr">
        <is>
          <t>Laurora, Edison Sayson</t>
        </is>
      </c>
      <c r="Y241">
        <f>COUNTIFS('Audit Log'!$B$2:$B$2001,"&gt;="&amp;$B$2,'Audit Log'!$F$2:$F$2001,$B$3,'Audit Log'!$S$2:$S$2001,$B$4,'Audit Log'!$T$2:$T$2001,"Yes",'Audit Log'!$C$2:$C$2001,$X241,'Audit Log'!$O$2:$O$2001,"Invalid")</f>
        <v/>
      </c>
      <c r="Z241">
        <f>$Y241+ROW()/100000</f>
        <v/>
      </c>
    </row>
    <row r="242">
      <c r="X242" t="inlineStr">
        <is>
          <t>Lavado, Mark Montes</t>
        </is>
      </c>
      <c r="Y242">
        <f>COUNTIFS('Audit Log'!$B$2:$B$2001,"&gt;="&amp;$B$2,'Audit Log'!$F$2:$F$2001,$B$3,'Audit Log'!$S$2:$S$2001,$B$4,'Audit Log'!$T$2:$T$2001,"Yes",'Audit Log'!$C$2:$C$2001,$X242,'Audit Log'!$O$2:$O$2001,"Invalid")</f>
        <v/>
      </c>
      <c r="Z242">
        <f>$Y242+ROW()/100000</f>
        <v/>
      </c>
    </row>
    <row r="243">
      <c r="X243" t="inlineStr">
        <is>
          <t>Lazaro, Paolo Dennis Hidalgo</t>
        </is>
      </c>
      <c r="Y243">
        <f>COUNTIFS('Audit Log'!$B$2:$B$2001,"&gt;="&amp;$B$2,'Audit Log'!$F$2:$F$2001,$B$3,'Audit Log'!$S$2:$S$2001,$B$4,'Audit Log'!$T$2:$T$2001,"Yes",'Audit Log'!$C$2:$C$2001,$X243,'Audit Log'!$O$2:$O$2001,"Invalid")</f>
        <v/>
      </c>
      <c r="Z243">
        <f>$Y243+ROW()/100000</f>
        <v/>
      </c>
    </row>
    <row r="244">
      <c r="X244" t="inlineStr">
        <is>
          <t>Lazarte, Marella Rosabelle</t>
        </is>
      </c>
      <c r="Y244">
        <f>COUNTIFS('Audit Log'!$B$2:$B$2001,"&gt;="&amp;$B$2,'Audit Log'!$F$2:$F$2001,$B$3,'Audit Log'!$S$2:$S$2001,$B$4,'Audit Log'!$T$2:$T$2001,"Yes",'Audit Log'!$C$2:$C$2001,$X244,'Audit Log'!$O$2:$O$2001,"Invalid")</f>
        <v/>
      </c>
      <c r="Z244">
        <f>$Y244+ROW()/100000</f>
        <v/>
      </c>
    </row>
    <row r="245">
      <c r="X245" t="inlineStr">
        <is>
          <t>Licardo, Diana Ann Princess Nmn</t>
        </is>
      </c>
      <c r="Y245">
        <f>COUNTIFS('Audit Log'!$B$2:$B$2001,"&gt;="&amp;$B$2,'Audit Log'!$F$2:$F$2001,$B$3,'Audit Log'!$S$2:$S$2001,$B$4,'Audit Log'!$T$2:$T$2001,"Yes",'Audit Log'!$C$2:$C$2001,$X245,'Audit Log'!$O$2:$O$2001,"Invalid")</f>
        <v/>
      </c>
      <c r="Z245">
        <f>$Y245+ROW()/100000</f>
        <v/>
      </c>
    </row>
    <row r="246">
      <c r="X246" t="inlineStr">
        <is>
          <t>Lim, Dimple Forte</t>
        </is>
      </c>
      <c r="Y246">
        <f>COUNTIFS('Audit Log'!$B$2:$B$2001,"&gt;="&amp;$B$2,'Audit Log'!$F$2:$F$2001,$B$3,'Audit Log'!$S$2:$S$2001,$B$4,'Audit Log'!$T$2:$T$2001,"Yes",'Audit Log'!$C$2:$C$2001,$X246,'Audit Log'!$O$2:$O$2001,"Invalid")</f>
        <v/>
      </c>
      <c r="Z246">
        <f>$Y246+ROW()/100000</f>
        <v/>
      </c>
    </row>
    <row r="247">
      <c r="X247" t="inlineStr">
        <is>
          <t>Limatoc, Ahmed Gumaru</t>
        </is>
      </c>
      <c r="Y247">
        <f>COUNTIFS('Audit Log'!$B$2:$B$2001,"&gt;="&amp;$B$2,'Audit Log'!$F$2:$F$2001,$B$3,'Audit Log'!$S$2:$S$2001,$B$4,'Audit Log'!$T$2:$T$2001,"Yes",'Audit Log'!$C$2:$C$2001,$X247,'Audit Log'!$O$2:$O$2001,"Invalid")</f>
        <v/>
      </c>
      <c r="Z247">
        <f>$Y247+ROW()/100000</f>
        <v/>
      </c>
    </row>
    <row r="248">
      <c r="X248" t="inlineStr">
        <is>
          <t>Limco, Anthony Parcon</t>
        </is>
      </c>
      <c r="Y248">
        <f>COUNTIFS('Audit Log'!$B$2:$B$2001,"&gt;="&amp;$B$2,'Audit Log'!$F$2:$F$2001,$B$3,'Audit Log'!$S$2:$S$2001,$B$4,'Audit Log'!$T$2:$T$2001,"Yes",'Audit Log'!$C$2:$C$2001,$X248,'Audit Log'!$O$2:$O$2001,"Invalid")</f>
        <v/>
      </c>
      <c r="Z248">
        <f>$Y248+ROW()/100000</f>
        <v/>
      </c>
    </row>
    <row r="249">
      <c r="X249" t="inlineStr">
        <is>
          <t>Lino, Kimberly Laude</t>
        </is>
      </c>
      <c r="Y249">
        <f>COUNTIFS('Audit Log'!$B$2:$B$2001,"&gt;="&amp;$B$2,'Audit Log'!$F$2:$F$2001,$B$3,'Audit Log'!$S$2:$S$2001,$B$4,'Audit Log'!$T$2:$T$2001,"Yes",'Audit Log'!$C$2:$C$2001,$X249,'Audit Log'!$O$2:$O$2001,"Invalid")</f>
        <v/>
      </c>
      <c r="Z249">
        <f>$Y249+ROW()/100000</f>
        <v/>
      </c>
    </row>
    <row r="250">
      <c r="X250" t="inlineStr">
        <is>
          <t>Llanes, Jocelyn Talastasin</t>
        </is>
      </c>
      <c r="Y250">
        <f>COUNTIFS('Audit Log'!$B$2:$B$2001,"&gt;="&amp;$B$2,'Audit Log'!$F$2:$F$2001,$B$3,'Audit Log'!$S$2:$S$2001,$B$4,'Audit Log'!$T$2:$T$2001,"Yes",'Audit Log'!$C$2:$C$2001,$X250,'Audit Log'!$O$2:$O$2001,"Invalid")</f>
        <v/>
      </c>
      <c r="Z250">
        <f>$Y250+ROW()/100000</f>
        <v/>
      </c>
    </row>
    <row r="251">
      <c r="X251" t="inlineStr">
        <is>
          <t>Lopez, Melissa Ranola</t>
        </is>
      </c>
      <c r="Y251">
        <f>COUNTIFS('Audit Log'!$B$2:$B$2001,"&gt;="&amp;$B$2,'Audit Log'!$F$2:$F$2001,$B$3,'Audit Log'!$S$2:$S$2001,$B$4,'Audit Log'!$T$2:$T$2001,"Yes",'Audit Log'!$C$2:$C$2001,$X251,'Audit Log'!$O$2:$O$2001,"Invalid")</f>
        <v/>
      </c>
      <c r="Z251">
        <f>$Y251+ROW()/100000</f>
        <v/>
      </c>
    </row>
    <row r="252">
      <c r="X252" t="inlineStr">
        <is>
          <t>Lorenzo, Catherine Molina</t>
        </is>
      </c>
      <c r="Y252">
        <f>COUNTIFS('Audit Log'!$B$2:$B$2001,"&gt;="&amp;$B$2,'Audit Log'!$F$2:$F$2001,$B$3,'Audit Log'!$S$2:$S$2001,$B$4,'Audit Log'!$T$2:$T$2001,"Yes",'Audit Log'!$C$2:$C$2001,$X252,'Audit Log'!$O$2:$O$2001,"Invalid")</f>
        <v/>
      </c>
      <c r="Z252">
        <f>$Y252+ROW()/100000</f>
        <v/>
      </c>
    </row>
    <row r="253">
      <c r="X253" t="inlineStr">
        <is>
          <t>Lorenzo, Frederick John Taruc</t>
        </is>
      </c>
      <c r="Y253">
        <f>COUNTIFS('Audit Log'!$B$2:$B$2001,"&gt;="&amp;$B$2,'Audit Log'!$F$2:$F$2001,$B$3,'Audit Log'!$S$2:$S$2001,$B$4,'Audit Log'!$T$2:$T$2001,"Yes",'Audit Log'!$C$2:$C$2001,$X253,'Audit Log'!$O$2:$O$2001,"Invalid")</f>
        <v/>
      </c>
      <c r="Z253">
        <f>$Y253+ROW()/100000</f>
        <v/>
      </c>
    </row>
    <row r="254">
      <c r="X254" t="inlineStr">
        <is>
          <t>Lorico, Audreen Delasan</t>
        </is>
      </c>
      <c r="Y254">
        <f>COUNTIFS('Audit Log'!$B$2:$B$2001,"&gt;="&amp;$B$2,'Audit Log'!$F$2:$F$2001,$B$3,'Audit Log'!$S$2:$S$2001,$B$4,'Audit Log'!$T$2:$T$2001,"Yes",'Audit Log'!$C$2:$C$2001,$X254,'Audit Log'!$O$2:$O$2001,"Invalid")</f>
        <v/>
      </c>
      <c r="Z254">
        <f>$Y254+ROW()/100000</f>
        <v/>
      </c>
    </row>
    <row r="255">
      <c r="X255" t="inlineStr">
        <is>
          <t>Lungcay, Robin Landayan</t>
        </is>
      </c>
      <c r="Y255">
        <f>COUNTIFS('Audit Log'!$B$2:$B$2001,"&gt;="&amp;$B$2,'Audit Log'!$F$2:$F$2001,$B$3,'Audit Log'!$S$2:$S$2001,$B$4,'Audit Log'!$T$2:$T$2001,"Yes",'Audit Log'!$C$2:$C$2001,$X255,'Audit Log'!$O$2:$O$2001,"Invalid")</f>
        <v/>
      </c>
      <c r="Z255">
        <f>$Y255+ROW()/100000</f>
        <v/>
      </c>
    </row>
    <row r="256">
      <c r="X256" t="inlineStr">
        <is>
          <t>Luñiza, Jona Claveria</t>
        </is>
      </c>
      <c r="Y256">
        <f>COUNTIFS('Audit Log'!$B$2:$B$2001,"&gt;="&amp;$B$2,'Audit Log'!$F$2:$F$2001,$B$3,'Audit Log'!$S$2:$S$2001,$B$4,'Audit Log'!$T$2:$T$2001,"Yes",'Audit Log'!$C$2:$C$2001,$X256,'Audit Log'!$O$2:$O$2001,"Invalid")</f>
        <v/>
      </c>
      <c r="Z256">
        <f>$Y256+ROW()/100000</f>
        <v/>
      </c>
    </row>
    <row r="257">
      <c r="X257" t="inlineStr">
        <is>
          <t>Mabansag, Jr Nmn</t>
        </is>
      </c>
      <c r="Y257">
        <f>COUNTIFS('Audit Log'!$B$2:$B$2001,"&gt;="&amp;$B$2,'Audit Log'!$F$2:$F$2001,$B$3,'Audit Log'!$S$2:$S$2001,$B$4,'Audit Log'!$T$2:$T$2001,"Yes",'Audit Log'!$C$2:$C$2001,$X257,'Audit Log'!$O$2:$O$2001,"Invalid")</f>
        <v/>
      </c>
      <c r="Z257">
        <f>$Y257+ROW()/100000</f>
        <v/>
      </c>
    </row>
    <row r="258">
      <c r="X258" t="inlineStr">
        <is>
          <t>Macalino, Jesus Finchley Estrella</t>
        </is>
      </c>
      <c r="Y258">
        <f>COUNTIFS('Audit Log'!$B$2:$B$2001,"&gt;="&amp;$B$2,'Audit Log'!$F$2:$F$2001,$B$3,'Audit Log'!$S$2:$S$2001,$B$4,'Audit Log'!$T$2:$T$2001,"Yes",'Audit Log'!$C$2:$C$2001,$X258,'Audit Log'!$O$2:$O$2001,"Invalid")</f>
        <v/>
      </c>
      <c r="Z258">
        <f>$Y258+ROW()/100000</f>
        <v/>
      </c>
    </row>
    <row r="259">
      <c r="X259" t="inlineStr">
        <is>
          <t>Macaranas, Juvilyn Uy</t>
        </is>
      </c>
      <c r="Y259">
        <f>COUNTIFS('Audit Log'!$B$2:$B$2001,"&gt;="&amp;$B$2,'Audit Log'!$F$2:$F$2001,$B$3,'Audit Log'!$S$2:$S$2001,$B$4,'Audit Log'!$T$2:$T$2001,"Yes",'Audit Log'!$C$2:$C$2001,$X259,'Audit Log'!$O$2:$O$2001,"Invalid")</f>
        <v/>
      </c>
      <c r="Z259">
        <f>$Y259+ROW()/100000</f>
        <v/>
      </c>
    </row>
    <row r="260">
      <c r="X260" t="inlineStr">
        <is>
          <t>Madronio, Nikki Loreane Quitorio</t>
        </is>
      </c>
      <c r="Y260">
        <f>COUNTIFS('Audit Log'!$B$2:$B$2001,"&gt;="&amp;$B$2,'Audit Log'!$F$2:$F$2001,$B$3,'Audit Log'!$S$2:$S$2001,$B$4,'Audit Log'!$T$2:$T$2001,"Yes",'Audit Log'!$C$2:$C$2001,$X260,'Audit Log'!$O$2:$O$2001,"Invalid")</f>
        <v/>
      </c>
      <c r="Z260">
        <f>$Y260+ROW()/100000</f>
        <v/>
      </c>
    </row>
    <row r="261">
      <c r="X261" t="inlineStr">
        <is>
          <t>Magante, Percival Matining</t>
        </is>
      </c>
      <c r="Y261">
        <f>COUNTIFS('Audit Log'!$B$2:$B$2001,"&gt;="&amp;$B$2,'Audit Log'!$F$2:$F$2001,$B$3,'Audit Log'!$S$2:$S$2001,$B$4,'Audit Log'!$T$2:$T$2001,"Yes",'Audit Log'!$C$2:$C$2001,$X261,'Audit Log'!$O$2:$O$2001,"Invalid")</f>
        <v/>
      </c>
      <c r="Z261">
        <f>$Y261+ROW()/100000</f>
        <v/>
      </c>
    </row>
    <row r="262">
      <c r="X262" t="inlineStr">
        <is>
          <t>Mago, Lhynter Jade Masas</t>
        </is>
      </c>
      <c r="Y262">
        <f>COUNTIFS('Audit Log'!$B$2:$B$2001,"&gt;="&amp;$B$2,'Audit Log'!$F$2:$F$2001,$B$3,'Audit Log'!$S$2:$S$2001,$B$4,'Audit Log'!$T$2:$T$2001,"Yes",'Audit Log'!$C$2:$C$2001,$X262,'Audit Log'!$O$2:$O$2001,"Invalid")</f>
        <v/>
      </c>
      <c r="Z262">
        <f>$Y262+ROW()/100000</f>
        <v/>
      </c>
    </row>
    <row r="263">
      <c r="X263" t="inlineStr">
        <is>
          <t>Malabao, Khayla Mindo</t>
        </is>
      </c>
      <c r="Y263">
        <f>COUNTIFS('Audit Log'!$B$2:$B$2001,"&gt;="&amp;$B$2,'Audit Log'!$F$2:$F$2001,$B$3,'Audit Log'!$S$2:$S$2001,$B$4,'Audit Log'!$T$2:$T$2001,"Yes",'Audit Log'!$C$2:$C$2001,$X263,'Audit Log'!$O$2:$O$2001,"Invalid")</f>
        <v/>
      </c>
      <c r="Z263">
        <f>$Y263+ROW()/100000</f>
        <v/>
      </c>
    </row>
    <row r="264">
      <c r="X264" t="inlineStr">
        <is>
          <t>Malapitan, Maureen Viena Nicole Calimlim</t>
        </is>
      </c>
      <c r="Y264">
        <f>COUNTIFS('Audit Log'!$B$2:$B$2001,"&gt;="&amp;$B$2,'Audit Log'!$F$2:$F$2001,$B$3,'Audit Log'!$S$2:$S$2001,$B$4,'Audit Log'!$T$2:$T$2001,"Yes",'Audit Log'!$C$2:$C$2001,$X264,'Audit Log'!$O$2:$O$2001,"Invalid")</f>
        <v/>
      </c>
      <c r="Z264">
        <f>$Y264+ROW()/100000</f>
        <v/>
      </c>
    </row>
    <row r="265">
      <c r="X265" t="inlineStr">
        <is>
          <t>Malate, Jinky La Torre</t>
        </is>
      </c>
      <c r="Y265">
        <f>COUNTIFS('Audit Log'!$B$2:$B$2001,"&gt;="&amp;$B$2,'Audit Log'!$F$2:$F$2001,$B$3,'Audit Log'!$S$2:$S$2001,$B$4,'Audit Log'!$T$2:$T$2001,"Yes",'Audit Log'!$C$2:$C$2001,$X265,'Audit Log'!$O$2:$O$2001,"Invalid")</f>
        <v/>
      </c>
      <c r="Z265">
        <f>$Y265+ROW()/100000</f>
        <v/>
      </c>
    </row>
    <row r="266">
      <c r="X266" t="inlineStr">
        <is>
          <t>Malazarte, Paul Joshua Rivera</t>
        </is>
      </c>
      <c r="Y266">
        <f>COUNTIFS('Audit Log'!$B$2:$B$2001,"&gt;="&amp;$B$2,'Audit Log'!$F$2:$F$2001,$B$3,'Audit Log'!$S$2:$S$2001,$B$4,'Audit Log'!$T$2:$T$2001,"Yes",'Audit Log'!$C$2:$C$2001,$X266,'Audit Log'!$O$2:$O$2001,"Invalid")</f>
        <v/>
      </c>
      <c r="Z266">
        <f>$Y266+ROW()/100000</f>
        <v/>
      </c>
    </row>
    <row r="267">
      <c r="X267" t="inlineStr">
        <is>
          <t>Manas, Maricar Dela Cruz</t>
        </is>
      </c>
      <c r="Y267">
        <f>COUNTIFS('Audit Log'!$B$2:$B$2001,"&gt;="&amp;$B$2,'Audit Log'!$F$2:$F$2001,$B$3,'Audit Log'!$S$2:$S$2001,$B$4,'Audit Log'!$T$2:$T$2001,"Yes",'Audit Log'!$C$2:$C$2001,$X267,'Audit Log'!$O$2:$O$2001,"Invalid")</f>
        <v/>
      </c>
      <c r="Z267">
        <f>$Y267+ROW()/100000</f>
        <v/>
      </c>
    </row>
    <row r="268">
      <c r="X268" t="inlineStr">
        <is>
          <t>Manatad, Jifferson Espelita</t>
        </is>
      </c>
      <c r="Y268">
        <f>COUNTIFS('Audit Log'!$B$2:$B$2001,"&gt;="&amp;$B$2,'Audit Log'!$F$2:$F$2001,$B$3,'Audit Log'!$S$2:$S$2001,$B$4,'Audit Log'!$T$2:$T$2001,"Yes",'Audit Log'!$C$2:$C$2001,$X268,'Audit Log'!$O$2:$O$2001,"Invalid")</f>
        <v/>
      </c>
      <c r="Z268">
        <f>$Y268+ROW()/100000</f>
        <v/>
      </c>
    </row>
    <row r="269">
      <c r="X269" t="inlineStr">
        <is>
          <t>Maneja, Francess Laurent Famorcan</t>
        </is>
      </c>
      <c r="Y269">
        <f>COUNTIFS('Audit Log'!$B$2:$B$2001,"&gt;="&amp;$B$2,'Audit Log'!$F$2:$F$2001,$B$3,'Audit Log'!$S$2:$S$2001,$B$4,'Audit Log'!$T$2:$T$2001,"Yes",'Audit Log'!$C$2:$C$2001,$X269,'Audit Log'!$O$2:$O$2001,"Invalid")</f>
        <v/>
      </c>
      <c r="Z269">
        <f>$Y269+ROW()/100000</f>
        <v/>
      </c>
    </row>
    <row r="270">
      <c r="X270" t="inlineStr">
        <is>
          <t>Mangsat, Bryan Mosarbas</t>
        </is>
      </c>
      <c r="Y270">
        <f>COUNTIFS('Audit Log'!$B$2:$B$2001,"&gt;="&amp;$B$2,'Audit Log'!$F$2:$F$2001,$B$3,'Audit Log'!$S$2:$S$2001,$B$4,'Audit Log'!$T$2:$T$2001,"Yes",'Audit Log'!$C$2:$C$2001,$X270,'Audit Log'!$O$2:$O$2001,"Invalid")</f>
        <v/>
      </c>
      <c r="Z270">
        <f>$Y270+ROW()/100000</f>
        <v/>
      </c>
    </row>
    <row r="271">
      <c r="X271" t="inlineStr">
        <is>
          <t>Manlutac, Francis Karl Serrano</t>
        </is>
      </c>
      <c r="Y271">
        <f>COUNTIFS('Audit Log'!$B$2:$B$2001,"&gt;="&amp;$B$2,'Audit Log'!$F$2:$F$2001,$B$3,'Audit Log'!$S$2:$S$2001,$B$4,'Audit Log'!$T$2:$T$2001,"Yes",'Audit Log'!$C$2:$C$2001,$X271,'Audit Log'!$O$2:$O$2001,"Invalid")</f>
        <v/>
      </c>
      <c r="Z271">
        <f>$Y271+ROW()/100000</f>
        <v/>
      </c>
    </row>
    <row r="272">
      <c r="X272" t="inlineStr">
        <is>
          <t>Marigsa, Evangeline Mariano</t>
        </is>
      </c>
      <c r="Y272">
        <f>COUNTIFS('Audit Log'!$B$2:$B$2001,"&gt;="&amp;$B$2,'Audit Log'!$F$2:$F$2001,$B$3,'Audit Log'!$S$2:$S$2001,$B$4,'Audit Log'!$T$2:$T$2001,"Yes",'Audit Log'!$C$2:$C$2001,$X272,'Audit Log'!$O$2:$O$2001,"Invalid")</f>
        <v/>
      </c>
      <c r="Z272">
        <f>$Y272+ROW()/100000</f>
        <v/>
      </c>
    </row>
    <row r="273">
      <c r="X273" t="inlineStr">
        <is>
          <t>Marquez, Ana Margareth Floranza</t>
        </is>
      </c>
      <c r="Y273">
        <f>COUNTIFS('Audit Log'!$B$2:$B$2001,"&gt;="&amp;$B$2,'Audit Log'!$F$2:$F$2001,$B$3,'Audit Log'!$S$2:$S$2001,$B$4,'Audit Log'!$T$2:$T$2001,"Yes",'Audit Log'!$C$2:$C$2001,$X273,'Audit Log'!$O$2:$O$2001,"Invalid")</f>
        <v/>
      </c>
      <c r="Z273">
        <f>$Y273+ROW()/100000</f>
        <v/>
      </c>
    </row>
    <row r="274">
      <c r="X274" t="inlineStr">
        <is>
          <t>Marquez, Noby De Guzman</t>
        </is>
      </c>
      <c r="Y274">
        <f>COUNTIFS('Audit Log'!$B$2:$B$2001,"&gt;="&amp;$B$2,'Audit Log'!$F$2:$F$2001,$B$3,'Audit Log'!$S$2:$S$2001,$B$4,'Audit Log'!$T$2:$T$2001,"Yes",'Audit Log'!$C$2:$C$2001,$X274,'Audit Log'!$O$2:$O$2001,"Invalid")</f>
        <v/>
      </c>
      <c r="Z274">
        <f>$Y274+ROW()/100000</f>
        <v/>
      </c>
    </row>
    <row r="275">
      <c r="X275" t="inlineStr">
        <is>
          <t>Martinez, Jean - Spyros Valera</t>
        </is>
      </c>
      <c r="Y275">
        <f>COUNTIFS('Audit Log'!$B$2:$B$2001,"&gt;="&amp;$B$2,'Audit Log'!$F$2:$F$2001,$B$3,'Audit Log'!$S$2:$S$2001,$B$4,'Audit Log'!$T$2:$T$2001,"Yes",'Audit Log'!$C$2:$C$2001,$X275,'Audit Log'!$O$2:$O$2001,"Invalid")</f>
        <v/>
      </c>
      <c r="Z275">
        <f>$Y275+ROW()/100000</f>
        <v/>
      </c>
    </row>
    <row r="276">
      <c r="X276" t="inlineStr">
        <is>
          <t>Marundan, Jefferson Davis Serenas</t>
        </is>
      </c>
      <c r="Y276">
        <f>COUNTIFS('Audit Log'!$B$2:$B$2001,"&gt;="&amp;$B$2,'Audit Log'!$F$2:$F$2001,$B$3,'Audit Log'!$S$2:$S$2001,$B$4,'Audit Log'!$T$2:$T$2001,"Yes",'Audit Log'!$C$2:$C$2001,$X276,'Audit Log'!$O$2:$O$2001,"Invalid")</f>
        <v/>
      </c>
      <c r="Z276">
        <f>$Y276+ROW()/100000</f>
        <v/>
      </c>
    </row>
    <row r="277">
      <c r="X277" t="inlineStr">
        <is>
          <t>Masagnay, Antonio Gustilo</t>
        </is>
      </c>
      <c r="Y277">
        <f>COUNTIFS('Audit Log'!$B$2:$B$2001,"&gt;="&amp;$B$2,'Audit Log'!$F$2:$F$2001,$B$3,'Audit Log'!$S$2:$S$2001,$B$4,'Audit Log'!$T$2:$T$2001,"Yes",'Audit Log'!$C$2:$C$2001,$X277,'Audit Log'!$O$2:$O$2001,"Invalid")</f>
        <v/>
      </c>
      <c r="Z277">
        <f>$Y277+ROW()/100000</f>
        <v/>
      </c>
    </row>
    <row r="278">
      <c r="X278" t="inlineStr">
        <is>
          <t>Mateo, Arian Clements</t>
        </is>
      </c>
      <c r="Y278">
        <f>COUNTIFS('Audit Log'!$B$2:$B$2001,"&gt;="&amp;$B$2,'Audit Log'!$F$2:$F$2001,$B$3,'Audit Log'!$S$2:$S$2001,$B$4,'Audit Log'!$T$2:$T$2001,"Yes",'Audit Log'!$C$2:$C$2001,$X278,'Audit Log'!$O$2:$O$2001,"Invalid")</f>
        <v/>
      </c>
      <c r="Z278">
        <f>$Y278+ROW()/100000</f>
        <v/>
      </c>
    </row>
    <row r="279">
      <c r="X279" t="inlineStr">
        <is>
          <t>Matre, Ma. Lorita Magluyan</t>
        </is>
      </c>
      <c r="Y279">
        <f>COUNTIFS('Audit Log'!$B$2:$B$2001,"&gt;="&amp;$B$2,'Audit Log'!$F$2:$F$2001,$B$3,'Audit Log'!$S$2:$S$2001,$B$4,'Audit Log'!$T$2:$T$2001,"Yes",'Audit Log'!$C$2:$C$2001,$X279,'Audit Log'!$O$2:$O$2001,"Invalid")</f>
        <v/>
      </c>
      <c r="Z279">
        <f>$Y279+ROW()/100000</f>
        <v/>
      </c>
    </row>
    <row r="280">
      <c r="X280" t="inlineStr">
        <is>
          <t>Matugas, Prince Rhafael Tapales</t>
        </is>
      </c>
      <c r="Y280">
        <f>COUNTIFS('Audit Log'!$B$2:$B$2001,"&gt;="&amp;$B$2,'Audit Log'!$F$2:$F$2001,$B$3,'Audit Log'!$S$2:$S$2001,$B$4,'Audit Log'!$T$2:$T$2001,"Yes",'Audit Log'!$C$2:$C$2001,$X280,'Audit Log'!$O$2:$O$2001,"Invalid")</f>
        <v/>
      </c>
      <c r="Z280">
        <f>$Y280+ROW()/100000</f>
        <v/>
      </c>
    </row>
    <row r="281">
      <c r="X281" t="inlineStr">
        <is>
          <t>Mayor, Anna Marie Andrade</t>
        </is>
      </c>
      <c r="Y281">
        <f>COUNTIFS('Audit Log'!$B$2:$B$2001,"&gt;="&amp;$B$2,'Audit Log'!$F$2:$F$2001,$B$3,'Audit Log'!$S$2:$S$2001,$B$4,'Audit Log'!$T$2:$T$2001,"Yes",'Audit Log'!$C$2:$C$2001,$X281,'Audit Log'!$O$2:$O$2001,"Invalid")</f>
        <v/>
      </c>
      <c r="Z281">
        <f>$Y281+ROW()/100000</f>
        <v/>
      </c>
    </row>
    <row r="282">
      <c r="X282" t="inlineStr">
        <is>
          <t>Mecate, Precious Mharl Bibat</t>
        </is>
      </c>
      <c r="Y282">
        <f>COUNTIFS('Audit Log'!$B$2:$B$2001,"&gt;="&amp;$B$2,'Audit Log'!$F$2:$F$2001,$B$3,'Audit Log'!$S$2:$S$2001,$B$4,'Audit Log'!$T$2:$T$2001,"Yes",'Audit Log'!$C$2:$C$2001,$X282,'Audit Log'!$O$2:$O$2001,"Invalid")</f>
        <v/>
      </c>
      <c r="Z282">
        <f>$Y282+ROW()/100000</f>
        <v/>
      </c>
    </row>
    <row r="283">
      <c r="X283" t="inlineStr">
        <is>
          <t>Medel, Lorelei Gabriel</t>
        </is>
      </c>
      <c r="Y283">
        <f>COUNTIFS('Audit Log'!$B$2:$B$2001,"&gt;="&amp;$B$2,'Audit Log'!$F$2:$F$2001,$B$3,'Audit Log'!$S$2:$S$2001,$B$4,'Audit Log'!$T$2:$T$2001,"Yes",'Audit Log'!$C$2:$C$2001,$X283,'Audit Log'!$O$2:$O$2001,"Invalid")</f>
        <v/>
      </c>
      <c r="Z283">
        <f>$Y283+ROW()/100000</f>
        <v/>
      </c>
    </row>
    <row r="284">
      <c r="X284" t="inlineStr">
        <is>
          <t>Medillo, Hersy Eunice Teodoro</t>
        </is>
      </c>
      <c r="Y284">
        <f>COUNTIFS('Audit Log'!$B$2:$B$2001,"&gt;="&amp;$B$2,'Audit Log'!$F$2:$F$2001,$B$3,'Audit Log'!$S$2:$S$2001,$B$4,'Audit Log'!$T$2:$T$2001,"Yes",'Audit Log'!$C$2:$C$2001,$X284,'Audit Log'!$O$2:$O$2001,"Invalid")</f>
        <v/>
      </c>
      <c r="Z284">
        <f>$Y284+ROW()/100000</f>
        <v/>
      </c>
    </row>
    <row r="285">
      <c r="X285" t="inlineStr">
        <is>
          <t>Medina, John Benedict Dizon</t>
        </is>
      </c>
      <c r="Y285">
        <f>COUNTIFS('Audit Log'!$B$2:$B$2001,"&gt;="&amp;$B$2,'Audit Log'!$F$2:$F$2001,$B$3,'Audit Log'!$S$2:$S$2001,$B$4,'Audit Log'!$T$2:$T$2001,"Yes",'Audit Log'!$C$2:$C$2001,$X285,'Audit Log'!$O$2:$O$2001,"Invalid")</f>
        <v/>
      </c>
      <c r="Z285">
        <f>$Y285+ROW()/100000</f>
        <v/>
      </c>
    </row>
    <row r="286">
      <c r="X286" t="inlineStr">
        <is>
          <t>Medina, Julius Cesar Dela Cruz</t>
        </is>
      </c>
      <c r="Y286">
        <f>COUNTIFS('Audit Log'!$B$2:$B$2001,"&gt;="&amp;$B$2,'Audit Log'!$F$2:$F$2001,$B$3,'Audit Log'!$S$2:$S$2001,$B$4,'Audit Log'!$T$2:$T$2001,"Yes",'Audit Log'!$C$2:$C$2001,$X286,'Audit Log'!$O$2:$O$2001,"Invalid")</f>
        <v/>
      </c>
      <c r="Z286">
        <f>$Y286+ROW()/100000</f>
        <v/>
      </c>
    </row>
    <row r="287">
      <c r="X287" t="inlineStr">
        <is>
          <t>Melchor, Yudenne Ramos</t>
        </is>
      </c>
      <c r="Y287">
        <f>COUNTIFS('Audit Log'!$B$2:$B$2001,"&gt;="&amp;$B$2,'Audit Log'!$F$2:$F$2001,$B$3,'Audit Log'!$S$2:$S$2001,$B$4,'Audit Log'!$T$2:$T$2001,"Yes",'Audit Log'!$C$2:$C$2001,$X287,'Audit Log'!$O$2:$O$2001,"Invalid")</f>
        <v/>
      </c>
      <c r="Z287">
        <f>$Y287+ROW()/100000</f>
        <v/>
      </c>
    </row>
    <row r="288">
      <c r="X288" t="inlineStr">
        <is>
          <t>Mendez, Justine Reign Navarro</t>
        </is>
      </c>
      <c r="Y288">
        <f>COUNTIFS('Audit Log'!$B$2:$B$2001,"&gt;="&amp;$B$2,'Audit Log'!$F$2:$F$2001,$B$3,'Audit Log'!$S$2:$S$2001,$B$4,'Audit Log'!$T$2:$T$2001,"Yes",'Audit Log'!$C$2:$C$2001,$X288,'Audit Log'!$O$2:$O$2001,"Invalid")</f>
        <v/>
      </c>
      <c r="Z288">
        <f>$Y288+ROW()/100000</f>
        <v/>
      </c>
    </row>
    <row r="289">
      <c r="X289" t="inlineStr">
        <is>
          <t>Mendoza, Aaron Paul Nmn</t>
        </is>
      </c>
      <c r="Y289">
        <f>COUNTIFS('Audit Log'!$B$2:$B$2001,"&gt;="&amp;$B$2,'Audit Log'!$F$2:$F$2001,$B$3,'Audit Log'!$S$2:$S$2001,$B$4,'Audit Log'!$T$2:$T$2001,"Yes",'Audit Log'!$C$2:$C$2001,$X289,'Audit Log'!$O$2:$O$2001,"Invalid")</f>
        <v/>
      </c>
      <c r="Z289">
        <f>$Y289+ROW()/100000</f>
        <v/>
      </c>
    </row>
    <row r="290">
      <c r="X290" t="inlineStr">
        <is>
          <t>Mendoza, Angeline Nmn</t>
        </is>
      </c>
      <c r="Y290">
        <f>COUNTIFS('Audit Log'!$B$2:$B$2001,"&gt;="&amp;$B$2,'Audit Log'!$F$2:$F$2001,$B$3,'Audit Log'!$S$2:$S$2001,$B$4,'Audit Log'!$T$2:$T$2001,"Yes",'Audit Log'!$C$2:$C$2001,$X290,'Audit Log'!$O$2:$O$2001,"Invalid")</f>
        <v/>
      </c>
      <c r="Z290">
        <f>$Y290+ROW()/100000</f>
        <v/>
      </c>
    </row>
    <row r="291">
      <c r="X291" t="inlineStr">
        <is>
          <t>Mendoza, Daisy Lim</t>
        </is>
      </c>
      <c r="Y291">
        <f>COUNTIFS('Audit Log'!$B$2:$B$2001,"&gt;="&amp;$B$2,'Audit Log'!$F$2:$F$2001,$B$3,'Audit Log'!$S$2:$S$2001,$B$4,'Audit Log'!$T$2:$T$2001,"Yes",'Audit Log'!$C$2:$C$2001,$X291,'Audit Log'!$O$2:$O$2001,"Invalid")</f>
        <v/>
      </c>
      <c r="Z291">
        <f>$Y291+ROW()/100000</f>
        <v/>
      </c>
    </row>
    <row r="292">
      <c r="X292" t="inlineStr">
        <is>
          <t>Mendoza, Luigi Garganta</t>
        </is>
      </c>
      <c r="Y292">
        <f>COUNTIFS('Audit Log'!$B$2:$B$2001,"&gt;="&amp;$B$2,'Audit Log'!$F$2:$F$2001,$B$3,'Audit Log'!$S$2:$S$2001,$B$4,'Audit Log'!$T$2:$T$2001,"Yes",'Audit Log'!$C$2:$C$2001,$X292,'Audit Log'!$O$2:$O$2001,"Invalid")</f>
        <v/>
      </c>
      <c r="Z292">
        <f>$Y292+ROW()/100000</f>
        <v/>
      </c>
    </row>
    <row r="293">
      <c r="X293" t="inlineStr">
        <is>
          <t>Mendoza, Ronel Balorio</t>
        </is>
      </c>
      <c r="Y293">
        <f>COUNTIFS('Audit Log'!$B$2:$B$2001,"&gt;="&amp;$B$2,'Audit Log'!$F$2:$F$2001,$B$3,'Audit Log'!$S$2:$S$2001,$B$4,'Audit Log'!$T$2:$T$2001,"Yes",'Audit Log'!$C$2:$C$2001,$X293,'Audit Log'!$O$2:$O$2001,"Invalid")</f>
        <v/>
      </c>
      <c r="Z293">
        <f>$Y293+ROW()/100000</f>
        <v/>
      </c>
    </row>
    <row r="294">
      <c r="X294" t="inlineStr">
        <is>
          <t>Meniano, Jonel Yepez</t>
        </is>
      </c>
      <c r="Y294">
        <f>COUNTIFS('Audit Log'!$B$2:$B$2001,"&gt;="&amp;$B$2,'Audit Log'!$F$2:$F$2001,$B$3,'Audit Log'!$S$2:$S$2001,$B$4,'Audit Log'!$T$2:$T$2001,"Yes",'Audit Log'!$C$2:$C$2001,$X294,'Audit Log'!$O$2:$O$2001,"Invalid")</f>
        <v/>
      </c>
      <c r="Z294">
        <f>$Y294+ROW()/100000</f>
        <v/>
      </c>
    </row>
    <row r="295">
      <c r="X295" t="inlineStr">
        <is>
          <t>Mercado, Noly Dela Rosa</t>
        </is>
      </c>
      <c r="Y295">
        <f>COUNTIFS('Audit Log'!$B$2:$B$2001,"&gt;="&amp;$B$2,'Audit Log'!$F$2:$F$2001,$B$3,'Audit Log'!$S$2:$S$2001,$B$4,'Audit Log'!$T$2:$T$2001,"Yes",'Audit Log'!$C$2:$C$2001,$X295,'Audit Log'!$O$2:$O$2001,"Invalid")</f>
        <v/>
      </c>
      <c r="Z295">
        <f>$Y295+ROW()/100000</f>
        <v/>
      </c>
    </row>
    <row r="296">
      <c r="X296" t="inlineStr">
        <is>
          <t>Momo, Rechelle Taghoy</t>
        </is>
      </c>
      <c r="Y296">
        <f>COUNTIFS('Audit Log'!$B$2:$B$2001,"&gt;="&amp;$B$2,'Audit Log'!$F$2:$F$2001,$B$3,'Audit Log'!$S$2:$S$2001,$B$4,'Audit Log'!$T$2:$T$2001,"Yes",'Audit Log'!$C$2:$C$2001,$X296,'Audit Log'!$O$2:$O$2001,"Invalid")</f>
        <v/>
      </c>
      <c r="Z296">
        <f>$Y296+ROW()/100000</f>
        <v/>
      </c>
    </row>
    <row r="297">
      <c r="X297" t="inlineStr">
        <is>
          <t>Munoz, Sheilick Anne Ang</t>
        </is>
      </c>
      <c r="Y297">
        <f>COUNTIFS('Audit Log'!$B$2:$B$2001,"&gt;="&amp;$B$2,'Audit Log'!$F$2:$F$2001,$B$3,'Audit Log'!$S$2:$S$2001,$B$4,'Audit Log'!$T$2:$T$2001,"Yes",'Audit Log'!$C$2:$C$2001,$X297,'Audit Log'!$O$2:$O$2001,"Invalid")</f>
        <v/>
      </c>
      <c r="Z297">
        <f>$Y297+ROW()/100000</f>
        <v/>
      </c>
    </row>
    <row r="298">
      <c r="X298" t="inlineStr">
        <is>
          <t>Nacion, Justin Dale N/A</t>
        </is>
      </c>
      <c r="Y298">
        <f>COUNTIFS('Audit Log'!$B$2:$B$2001,"&gt;="&amp;$B$2,'Audit Log'!$F$2:$F$2001,$B$3,'Audit Log'!$S$2:$S$2001,$B$4,'Audit Log'!$T$2:$T$2001,"Yes",'Audit Log'!$C$2:$C$2001,$X298,'Audit Log'!$O$2:$O$2001,"Invalid")</f>
        <v/>
      </c>
      <c r="Z298">
        <f>$Y298+ROW()/100000</f>
        <v/>
      </c>
    </row>
    <row r="299">
      <c r="X299" t="inlineStr">
        <is>
          <t>Nalangan, Raquel Baloran</t>
        </is>
      </c>
      <c r="Y299">
        <f>COUNTIFS('Audit Log'!$B$2:$B$2001,"&gt;="&amp;$B$2,'Audit Log'!$F$2:$F$2001,$B$3,'Audit Log'!$S$2:$S$2001,$B$4,'Audit Log'!$T$2:$T$2001,"Yes",'Audit Log'!$C$2:$C$2001,$X299,'Audit Log'!$O$2:$O$2001,"Invalid")</f>
        <v/>
      </c>
      <c r="Z299">
        <f>$Y299+ROW()/100000</f>
        <v/>
      </c>
    </row>
    <row r="300">
      <c r="X300" t="inlineStr">
        <is>
          <t>Narvaza, Hazel Ann Sanchez</t>
        </is>
      </c>
      <c r="Y300">
        <f>COUNTIFS('Audit Log'!$B$2:$B$2001,"&gt;="&amp;$B$2,'Audit Log'!$F$2:$F$2001,$B$3,'Audit Log'!$S$2:$S$2001,$B$4,'Audit Log'!$T$2:$T$2001,"Yes",'Audit Log'!$C$2:$C$2001,$X300,'Audit Log'!$O$2:$O$2001,"Invalid")</f>
        <v/>
      </c>
      <c r="Z300">
        <f>$Y300+ROW()/100000</f>
        <v/>
      </c>
    </row>
    <row r="301">
      <c r="X301" t="inlineStr">
        <is>
          <t>Nava, Robert Jason Flores</t>
        </is>
      </c>
      <c r="Y301">
        <f>COUNTIFS('Audit Log'!$B$2:$B$2001,"&gt;="&amp;$B$2,'Audit Log'!$F$2:$F$2001,$B$3,'Audit Log'!$S$2:$S$2001,$B$4,'Audit Log'!$T$2:$T$2001,"Yes",'Audit Log'!$C$2:$C$2001,$X301,'Audit Log'!$O$2:$O$2001,"Invalid")</f>
        <v/>
      </c>
      <c r="Z301">
        <f>$Y301+ROW()/100000</f>
        <v/>
      </c>
    </row>
    <row r="302">
      <c r="X302" t="inlineStr">
        <is>
          <t>Nicolas, Adah Zipporah Fidel</t>
        </is>
      </c>
      <c r="Y302">
        <f>COUNTIFS('Audit Log'!$B$2:$B$2001,"&gt;="&amp;$B$2,'Audit Log'!$F$2:$F$2001,$B$3,'Audit Log'!$S$2:$S$2001,$B$4,'Audit Log'!$T$2:$T$2001,"Yes",'Audit Log'!$C$2:$C$2001,$X302,'Audit Log'!$O$2:$O$2001,"Invalid")</f>
        <v/>
      </c>
      <c r="Z302">
        <f>$Y302+ROW()/100000</f>
        <v/>
      </c>
    </row>
    <row r="303">
      <c r="X303" t="inlineStr">
        <is>
          <t>Nieva, Karla Louisa Escobar</t>
        </is>
      </c>
      <c r="Y303">
        <f>COUNTIFS('Audit Log'!$B$2:$B$2001,"&gt;="&amp;$B$2,'Audit Log'!$F$2:$F$2001,$B$3,'Audit Log'!$S$2:$S$2001,$B$4,'Audit Log'!$T$2:$T$2001,"Yes",'Audit Log'!$C$2:$C$2001,$X303,'Audit Log'!$O$2:$O$2001,"Invalid")</f>
        <v/>
      </c>
      <c r="Z303">
        <f>$Y303+ROW()/100000</f>
        <v/>
      </c>
    </row>
    <row r="304">
      <c r="X304" t="inlineStr">
        <is>
          <t>Nito, Reynaldo Tribol</t>
        </is>
      </c>
      <c r="Y304">
        <f>COUNTIFS('Audit Log'!$B$2:$B$2001,"&gt;="&amp;$B$2,'Audit Log'!$F$2:$F$2001,$B$3,'Audit Log'!$S$2:$S$2001,$B$4,'Audit Log'!$T$2:$T$2001,"Yes",'Audit Log'!$C$2:$C$2001,$X304,'Audit Log'!$O$2:$O$2001,"Invalid")</f>
        <v/>
      </c>
      <c r="Z304">
        <f>$Y304+ROW()/100000</f>
        <v/>
      </c>
    </row>
    <row r="305">
      <c r="X305" t="inlineStr">
        <is>
          <t>Nomo, Mildred Pantaleon</t>
        </is>
      </c>
      <c r="Y305">
        <f>COUNTIFS('Audit Log'!$B$2:$B$2001,"&gt;="&amp;$B$2,'Audit Log'!$F$2:$F$2001,$B$3,'Audit Log'!$S$2:$S$2001,$B$4,'Audit Log'!$T$2:$T$2001,"Yes",'Audit Log'!$C$2:$C$2001,$X305,'Audit Log'!$O$2:$O$2001,"Invalid")</f>
        <v/>
      </c>
      <c r="Z305">
        <f>$Y305+ROW()/100000</f>
        <v/>
      </c>
    </row>
    <row r="306">
      <c r="X306" t="inlineStr">
        <is>
          <t>Novales, Angelo Carlo Santiago</t>
        </is>
      </c>
      <c r="Y306">
        <f>COUNTIFS('Audit Log'!$B$2:$B$2001,"&gt;="&amp;$B$2,'Audit Log'!$F$2:$F$2001,$B$3,'Audit Log'!$S$2:$S$2001,$B$4,'Audit Log'!$T$2:$T$2001,"Yes",'Audit Log'!$C$2:$C$2001,$X306,'Audit Log'!$O$2:$O$2001,"Invalid")</f>
        <v/>
      </c>
      <c r="Z306">
        <f>$Y306+ROW()/100000</f>
        <v/>
      </c>
    </row>
    <row r="307">
      <c r="X307" t="inlineStr">
        <is>
          <t>Novallasca, Princess Marjhurie Liñga</t>
        </is>
      </c>
      <c r="Y307">
        <f>COUNTIFS('Audit Log'!$B$2:$B$2001,"&gt;="&amp;$B$2,'Audit Log'!$F$2:$F$2001,$B$3,'Audit Log'!$S$2:$S$2001,$B$4,'Audit Log'!$T$2:$T$2001,"Yes",'Audit Log'!$C$2:$C$2001,$X307,'Audit Log'!$O$2:$O$2001,"Invalid")</f>
        <v/>
      </c>
      <c r="Z307">
        <f>$Y307+ROW()/100000</f>
        <v/>
      </c>
    </row>
    <row r="308">
      <c r="X308" t="inlineStr">
        <is>
          <t>Obispo, Gibraltar Dimal</t>
        </is>
      </c>
      <c r="Y308">
        <f>COUNTIFS('Audit Log'!$B$2:$B$2001,"&gt;="&amp;$B$2,'Audit Log'!$F$2:$F$2001,$B$3,'Audit Log'!$S$2:$S$2001,$B$4,'Audit Log'!$T$2:$T$2001,"Yes",'Audit Log'!$C$2:$C$2001,$X308,'Audit Log'!$O$2:$O$2001,"Invalid")</f>
        <v/>
      </c>
      <c r="Z308">
        <f>$Y308+ROW()/100000</f>
        <v/>
      </c>
    </row>
    <row r="309">
      <c r="X309" t="inlineStr">
        <is>
          <t>Ocampo, Kimberly Jhoy Almare</t>
        </is>
      </c>
      <c r="Y309">
        <f>COUNTIFS('Audit Log'!$B$2:$B$2001,"&gt;="&amp;$B$2,'Audit Log'!$F$2:$F$2001,$B$3,'Audit Log'!$S$2:$S$2001,$B$4,'Audit Log'!$T$2:$T$2001,"Yes",'Audit Log'!$C$2:$C$2001,$X309,'Audit Log'!$O$2:$O$2001,"Invalid")</f>
        <v/>
      </c>
      <c r="Z309">
        <f>$Y309+ROW()/100000</f>
        <v/>
      </c>
    </row>
    <row r="310">
      <c r="X310" t="inlineStr">
        <is>
          <t>Ocampo, Lorraine Marasigan</t>
        </is>
      </c>
      <c r="Y310">
        <f>COUNTIFS('Audit Log'!$B$2:$B$2001,"&gt;="&amp;$B$2,'Audit Log'!$F$2:$F$2001,$B$3,'Audit Log'!$S$2:$S$2001,$B$4,'Audit Log'!$T$2:$T$2001,"Yes",'Audit Log'!$C$2:$C$2001,$X310,'Audit Log'!$O$2:$O$2001,"Invalid")</f>
        <v/>
      </c>
      <c r="Z310">
        <f>$Y310+ROW()/100000</f>
        <v/>
      </c>
    </row>
    <row r="311">
      <c r="X311" t="inlineStr">
        <is>
          <t>Ochea, Kim Vergel Niño Bensi</t>
        </is>
      </c>
      <c r="Y311">
        <f>COUNTIFS('Audit Log'!$B$2:$B$2001,"&gt;="&amp;$B$2,'Audit Log'!$F$2:$F$2001,$B$3,'Audit Log'!$S$2:$S$2001,$B$4,'Audit Log'!$T$2:$T$2001,"Yes",'Audit Log'!$C$2:$C$2001,$X311,'Audit Log'!$O$2:$O$2001,"Invalid")</f>
        <v/>
      </c>
      <c r="Z311">
        <f>$Y311+ROW()/100000</f>
        <v/>
      </c>
    </row>
    <row r="312">
      <c r="X312" t="inlineStr">
        <is>
          <t>Olaes, Angelito Intal</t>
        </is>
      </c>
      <c r="Y312">
        <f>COUNTIFS('Audit Log'!$B$2:$B$2001,"&gt;="&amp;$B$2,'Audit Log'!$F$2:$F$2001,$B$3,'Audit Log'!$S$2:$S$2001,$B$4,'Audit Log'!$T$2:$T$2001,"Yes",'Audit Log'!$C$2:$C$2001,$X312,'Audit Log'!$O$2:$O$2001,"Invalid")</f>
        <v/>
      </c>
      <c r="Z312">
        <f>$Y312+ROW()/100000</f>
        <v/>
      </c>
    </row>
    <row r="313">
      <c r="X313" t="inlineStr">
        <is>
          <t>Olegario, Allan Christian De Guzman</t>
        </is>
      </c>
      <c r="Y313">
        <f>COUNTIFS('Audit Log'!$B$2:$B$2001,"&gt;="&amp;$B$2,'Audit Log'!$F$2:$F$2001,$B$3,'Audit Log'!$S$2:$S$2001,$B$4,'Audit Log'!$T$2:$T$2001,"Yes",'Audit Log'!$C$2:$C$2001,$X313,'Audit Log'!$O$2:$O$2001,"Invalid")</f>
        <v/>
      </c>
      <c r="Z313">
        <f>$Y313+ROW()/100000</f>
        <v/>
      </c>
    </row>
    <row r="314">
      <c r="X314" t="inlineStr">
        <is>
          <t>Olivares, Marco Latorre</t>
        </is>
      </c>
      <c r="Y314">
        <f>COUNTIFS('Audit Log'!$B$2:$B$2001,"&gt;="&amp;$B$2,'Audit Log'!$F$2:$F$2001,$B$3,'Audit Log'!$S$2:$S$2001,$B$4,'Audit Log'!$T$2:$T$2001,"Yes",'Audit Log'!$C$2:$C$2001,$X314,'Audit Log'!$O$2:$O$2001,"Invalid")</f>
        <v/>
      </c>
      <c r="Z314">
        <f>$Y314+ROW()/100000</f>
        <v/>
      </c>
    </row>
    <row r="315">
      <c r="X315" t="inlineStr">
        <is>
          <t>Ong, Lesley Ann Bayotas</t>
        </is>
      </c>
      <c r="Y315">
        <f>COUNTIFS('Audit Log'!$B$2:$B$2001,"&gt;="&amp;$B$2,'Audit Log'!$F$2:$F$2001,$B$3,'Audit Log'!$S$2:$S$2001,$B$4,'Audit Log'!$T$2:$T$2001,"Yes",'Audit Log'!$C$2:$C$2001,$X315,'Audit Log'!$O$2:$O$2001,"Invalid")</f>
        <v/>
      </c>
      <c r="Z315">
        <f>$Y315+ROW()/100000</f>
        <v/>
      </c>
    </row>
    <row r="316">
      <c r="X316" t="inlineStr">
        <is>
          <t>Ongpao, Maria Nina Resurrecion</t>
        </is>
      </c>
      <c r="Y316">
        <f>COUNTIFS('Audit Log'!$B$2:$B$2001,"&gt;="&amp;$B$2,'Audit Log'!$F$2:$F$2001,$B$3,'Audit Log'!$S$2:$S$2001,$B$4,'Audit Log'!$T$2:$T$2001,"Yes",'Audit Log'!$C$2:$C$2001,$X316,'Audit Log'!$O$2:$O$2001,"Invalid")</f>
        <v/>
      </c>
      <c r="Z316">
        <f>$Y316+ROW()/100000</f>
        <v/>
      </c>
    </row>
    <row r="317">
      <c r="X317" t="inlineStr">
        <is>
          <t>Onquit, Leah Berio</t>
        </is>
      </c>
      <c r="Y317">
        <f>COUNTIFS('Audit Log'!$B$2:$B$2001,"&gt;="&amp;$B$2,'Audit Log'!$F$2:$F$2001,$B$3,'Audit Log'!$S$2:$S$2001,$B$4,'Audit Log'!$T$2:$T$2001,"Yes",'Audit Log'!$C$2:$C$2001,$X317,'Audit Log'!$O$2:$O$2001,"Invalid")</f>
        <v/>
      </c>
      <c r="Z317">
        <f>$Y317+ROW()/100000</f>
        <v/>
      </c>
    </row>
    <row r="318">
      <c r="X318" t="inlineStr">
        <is>
          <t>Ordaveza, Juan Pablo Perez</t>
        </is>
      </c>
      <c r="Y318">
        <f>COUNTIFS('Audit Log'!$B$2:$B$2001,"&gt;="&amp;$B$2,'Audit Log'!$F$2:$F$2001,$B$3,'Audit Log'!$S$2:$S$2001,$B$4,'Audit Log'!$T$2:$T$2001,"Yes",'Audit Log'!$C$2:$C$2001,$X318,'Audit Log'!$O$2:$O$2001,"Invalid")</f>
        <v/>
      </c>
      <c r="Z318">
        <f>$Y318+ROW()/100000</f>
        <v/>
      </c>
    </row>
    <row r="319">
      <c r="X319" t="inlineStr">
        <is>
          <t>Owera, Justine Louis Jamili</t>
        </is>
      </c>
      <c r="Y319">
        <f>COUNTIFS('Audit Log'!$B$2:$B$2001,"&gt;="&amp;$B$2,'Audit Log'!$F$2:$F$2001,$B$3,'Audit Log'!$S$2:$S$2001,$B$4,'Audit Log'!$T$2:$T$2001,"Yes",'Audit Log'!$C$2:$C$2001,$X319,'Audit Log'!$O$2:$O$2001,"Invalid")</f>
        <v/>
      </c>
      <c r="Z319">
        <f>$Y319+ROW()/100000</f>
        <v/>
      </c>
    </row>
    <row r="320">
      <c r="X320" t="inlineStr">
        <is>
          <t>Oñate, Carla Kate Anore</t>
        </is>
      </c>
      <c r="Y320">
        <f>COUNTIFS('Audit Log'!$B$2:$B$2001,"&gt;="&amp;$B$2,'Audit Log'!$F$2:$F$2001,$B$3,'Audit Log'!$S$2:$S$2001,$B$4,'Audit Log'!$T$2:$T$2001,"Yes",'Audit Log'!$C$2:$C$2001,$X320,'Audit Log'!$O$2:$O$2001,"Invalid")</f>
        <v/>
      </c>
      <c r="Z320">
        <f>$Y320+ROW()/100000</f>
        <v/>
      </c>
    </row>
    <row r="321">
      <c r="X321" t="inlineStr">
        <is>
          <t>Pabalate, Cristy Baclay</t>
        </is>
      </c>
      <c r="Y321">
        <f>COUNTIFS('Audit Log'!$B$2:$B$2001,"&gt;="&amp;$B$2,'Audit Log'!$F$2:$F$2001,$B$3,'Audit Log'!$S$2:$S$2001,$B$4,'Audit Log'!$T$2:$T$2001,"Yes",'Audit Log'!$C$2:$C$2001,$X321,'Audit Log'!$O$2:$O$2001,"Invalid")</f>
        <v/>
      </c>
      <c r="Z321">
        <f>$Y321+ROW()/100000</f>
        <v/>
      </c>
    </row>
    <row r="322">
      <c r="X322" t="inlineStr">
        <is>
          <t>Paciencia, Ruelyn Joy Bugo</t>
        </is>
      </c>
      <c r="Y322">
        <f>COUNTIFS('Audit Log'!$B$2:$B$2001,"&gt;="&amp;$B$2,'Audit Log'!$F$2:$F$2001,$B$3,'Audit Log'!$S$2:$S$2001,$B$4,'Audit Log'!$T$2:$T$2001,"Yes",'Audit Log'!$C$2:$C$2001,$X322,'Audit Log'!$O$2:$O$2001,"Invalid")</f>
        <v/>
      </c>
      <c r="Z322">
        <f>$Y322+ROW()/100000</f>
        <v/>
      </c>
    </row>
    <row r="323">
      <c r="X323" t="inlineStr">
        <is>
          <t>Paculba, Princess Joy Martus</t>
        </is>
      </c>
      <c r="Y323">
        <f>COUNTIFS('Audit Log'!$B$2:$B$2001,"&gt;="&amp;$B$2,'Audit Log'!$F$2:$F$2001,$B$3,'Audit Log'!$S$2:$S$2001,$B$4,'Audit Log'!$T$2:$T$2001,"Yes",'Audit Log'!$C$2:$C$2001,$X323,'Audit Log'!$O$2:$O$2001,"Invalid")</f>
        <v/>
      </c>
      <c r="Z323">
        <f>$Y323+ROW()/100000</f>
        <v/>
      </c>
    </row>
    <row r="324">
      <c r="X324" t="inlineStr">
        <is>
          <t>Padasas, Tristan Jay Singson</t>
        </is>
      </c>
      <c r="Y324">
        <f>COUNTIFS('Audit Log'!$B$2:$B$2001,"&gt;="&amp;$B$2,'Audit Log'!$F$2:$F$2001,$B$3,'Audit Log'!$S$2:$S$2001,$B$4,'Audit Log'!$T$2:$T$2001,"Yes",'Audit Log'!$C$2:$C$2001,$X324,'Audit Log'!$O$2:$O$2001,"Invalid")</f>
        <v/>
      </c>
      <c r="Z324">
        <f>$Y324+ROW()/100000</f>
        <v/>
      </c>
    </row>
    <row r="325">
      <c r="X325" t="inlineStr">
        <is>
          <t>Padaya, Attina Reccie Ban</t>
        </is>
      </c>
      <c r="Y325">
        <f>COUNTIFS('Audit Log'!$B$2:$B$2001,"&gt;="&amp;$B$2,'Audit Log'!$F$2:$F$2001,$B$3,'Audit Log'!$S$2:$S$2001,$B$4,'Audit Log'!$T$2:$T$2001,"Yes",'Audit Log'!$C$2:$C$2001,$X325,'Audit Log'!$O$2:$O$2001,"Invalid")</f>
        <v/>
      </c>
      <c r="Z325">
        <f>$Y325+ROW()/100000</f>
        <v/>
      </c>
    </row>
    <row r="326">
      <c r="X326" t="inlineStr">
        <is>
          <t>Padilla, Mia Cassandra Molina</t>
        </is>
      </c>
      <c r="Y326">
        <f>COUNTIFS('Audit Log'!$B$2:$B$2001,"&gt;="&amp;$B$2,'Audit Log'!$F$2:$F$2001,$B$3,'Audit Log'!$S$2:$S$2001,$B$4,'Audit Log'!$T$2:$T$2001,"Yes",'Audit Log'!$C$2:$C$2001,$X326,'Audit Log'!$O$2:$O$2001,"Invalid")</f>
        <v/>
      </c>
      <c r="Z326">
        <f>$Y326+ROW()/100000</f>
        <v/>
      </c>
    </row>
    <row r="327">
      <c r="X327" t="inlineStr">
        <is>
          <t>Padilla, Noelito Miranda</t>
        </is>
      </c>
      <c r="Y327">
        <f>COUNTIFS('Audit Log'!$B$2:$B$2001,"&gt;="&amp;$B$2,'Audit Log'!$F$2:$F$2001,$B$3,'Audit Log'!$S$2:$S$2001,$B$4,'Audit Log'!$T$2:$T$2001,"Yes",'Audit Log'!$C$2:$C$2001,$X327,'Audit Log'!$O$2:$O$2001,"Invalid")</f>
        <v/>
      </c>
      <c r="Z327">
        <f>$Y327+ROW()/100000</f>
        <v/>
      </c>
    </row>
    <row r="328">
      <c r="X328" t="inlineStr">
        <is>
          <t>Pagaduan, Shellae Macabinguel</t>
        </is>
      </c>
      <c r="Y328">
        <f>COUNTIFS('Audit Log'!$B$2:$B$2001,"&gt;="&amp;$B$2,'Audit Log'!$F$2:$F$2001,$B$3,'Audit Log'!$S$2:$S$2001,$B$4,'Audit Log'!$T$2:$T$2001,"Yes",'Audit Log'!$C$2:$C$2001,$X328,'Audit Log'!$O$2:$O$2001,"Invalid")</f>
        <v/>
      </c>
      <c r="Z328">
        <f>$Y328+ROW()/100000</f>
        <v/>
      </c>
    </row>
    <row r="329">
      <c r="X329" t="inlineStr">
        <is>
          <t>Paite, Steve Alejandro Zamora</t>
        </is>
      </c>
      <c r="Y329">
        <f>COUNTIFS('Audit Log'!$B$2:$B$2001,"&gt;="&amp;$B$2,'Audit Log'!$F$2:$F$2001,$B$3,'Audit Log'!$S$2:$S$2001,$B$4,'Audit Log'!$T$2:$T$2001,"Yes",'Audit Log'!$C$2:$C$2001,$X329,'Audit Log'!$O$2:$O$2001,"Invalid")</f>
        <v/>
      </c>
      <c r="Z329">
        <f>$Y329+ROW()/100000</f>
        <v/>
      </c>
    </row>
    <row r="330">
      <c r="X330" t="inlineStr">
        <is>
          <t>Pajanustan, Angelica Macato</t>
        </is>
      </c>
      <c r="Y330">
        <f>COUNTIFS('Audit Log'!$B$2:$B$2001,"&gt;="&amp;$B$2,'Audit Log'!$F$2:$F$2001,$B$3,'Audit Log'!$S$2:$S$2001,$B$4,'Audit Log'!$T$2:$T$2001,"Yes",'Audit Log'!$C$2:$C$2001,$X330,'Audit Log'!$O$2:$O$2001,"Invalid")</f>
        <v/>
      </c>
      <c r="Z330">
        <f>$Y330+ROW()/100000</f>
        <v/>
      </c>
    </row>
    <row r="331">
      <c r="X331" t="inlineStr">
        <is>
          <t>Panti, Alger Arellano</t>
        </is>
      </c>
      <c r="Y331">
        <f>COUNTIFS('Audit Log'!$B$2:$B$2001,"&gt;="&amp;$B$2,'Audit Log'!$F$2:$F$2001,$B$3,'Audit Log'!$S$2:$S$2001,$B$4,'Audit Log'!$T$2:$T$2001,"Yes",'Audit Log'!$C$2:$C$2001,$X331,'Audit Log'!$O$2:$O$2001,"Invalid")</f>
        <v/>
      </c>
      <c r="Z331">
        <f>$Y331+ROW()/100000</f>
        <v/>
      </c>
    </row>
    <row r="332">
      <c r="X332" t="inlineStr">
        <is>
          <t>Papa, Marcelino Niog</t>
        </is>
      </c>
      <c r="Y332">
        <f>COUNTIFS('Audit Log'!$B$2:$B$2001,"&gt;="&amp;$B$2,'Audit Log'!$F$2:$F$2001,$B$3,'Audit Log'!$S$2:$S$2001,$B$4,'Audit Log'!$T$2:$T$2001,"Yes",'Audit Log'!$C$2:$C$2001,$X332,'Audit Log'!$O$2:$O$2001,"Invalid")</f>
        <v/>
      </c>
      <c r="Z332">
        <f>$Y332+ROW()/100000</f>
        <v/>
      </c>
    </row>
    <row r="333">
      <c r="X333" t="inlineStr">
        <is>
          <t>Paredes, Christian Denuyo</t>
        </is>
      </c>
      <c r="Y333">
        <f>COUNTIFS('Audit Log'!$B$2:$B$2001,"&gt;="&amp;$B$2,'Audit Log'!$F$2:$F$2001,$B$3,'Audit Log'!$S$2:$S$2001,$B$4,'Audit Log'!$T$2:$T$2001,"Yes",'Audit Log'!$C$2:$C$2001,$X333,'Audit Log'!$O$2:$O$2001,"Invalid")</f>
        <v/>
      </c>
      <c r="Z333">
        <f>$Y333+ROW()/100000</f>
        <v/>
      </c>
    </row>
    <row r="334">
      <c r="X334" t="inlineStr">
        <is>
          <t>Parro, Jonnah Mae Salcedo</t>
        </is>
      </c>
      <c r="Y334">
        <f>COUNTIFS('Audit Log'!$B$2:$B$2001,"&gt;="&amp;$B$2,'Audit Log'!$F$2:$F$2001,$B$3,'Audit Log'!$S$2:$S$2001,$B$4,'Audit Log'!$T$2:$T$2001,"Yes",'Audit Log'!$C$2:$C$2001,$X334,'Audit Log'!$O$2:$O$2001,"Invalid")</f>
        <v/>
      </c>
      <c r="Z334">
        <f>$Y334+ROW()/100000</f>
        <v/>
      </c>
    </row>
    <row r="335">
      <c r="X335" t="inlineStr">
        <is>
          <t>Pasion, Ma. Andrea Apolinario</t>
        </is>
      </c>
      <c r="Y335">
        <f>COUNTIFS('Audit Log'!$B$2:$B$2001,"&gt;="&amp;$B$2,'Audit Log'!$F$2:$F$2001,$B$3,'Audit Log'!$S$2:$S$2001,$B$4,'Audit Log'!$T$2:$T$2001,"Yes",'Audit Log'!$C$2:$C$2001,$X335,'Audit Log'!$O$2:$O$2001,"Invalid")</f>
        <v/>
      </c>
      <c r="Z335">
        <f>$Y335+ROW()/100000</f>
        <v/>
      </c>
    </row>
    <row r="336">
      <c r="X336" t="inlineStr">
        <is>
          <t>Paulino, Joselito Kamantigue</t>
        </is>
      </c>
      <c r="Y336">
        <f>COUNTIFS('Audit Log'!$B$2:$B$2001,"&gt;="&amp;$B$2,'Audit Log'!$F$2:$F$2001,$B$3,'Audit Log'!$S$2:$S$2001,$B$4,'Audit Log'!$T$2:$T$2001,"Yes",'Audit Log'!$C$2:$C$2001,$X336,'Audit Log'!$O$2:$O$2001,"Invalid")</f>
        <v/>
      </c>
      <c r="Z336">
        <f>$Y336+ROW()/100000</f>
        <v/>
      </c>
    </row>
    <row r="337">
      <c r="X337" t="inlineStr">
        <is>
          <t>Paulo, Jescy Frances Dumagpi</t>
        </is>
      </c>
      <c r="Y337">
        <f>COUNTIFS('Audit Log'!$B$2:$B$2001,"&gt;="&amp;$B$2,'Audit Log'!$F$2:$F$2001,$B$3,'Audit Log'!$S$2:$S$2001,$B$4,'Audit Log'!$T$2:$T$2001,"Yes",'Audit Log'!$C$2:$C$2001,$X337,'Audit Log'!$O$2:$O$2001,"Invalid")</f>
        <v/>
      </c>
      <c r="Z337">
        <f>$Y337+ROW()/100000</f>
        <v/>
      </c>
    </row>
    <row r="338">
      <c r="X338" t="inlineStr">
        <is>
          <t>Paz, Ryan Ubalde</t>
        </is>
      </c>
      <c r="Y338">
        <f>COUNTIFS('Audit Log'!$B$2:$B$2001,"&gt;="&amp;$B$2,'Audit Log'!$F$2:$F$2001,$B$3,'Audit Log'!$S$2:$S$2001,$B$4,'Audit Log'!$T$2:$T$2001,"Yes",'Audit Log'!$C$2:$C$2001,$X338,'Audit Log'!$O$2:$O$2001,"Invalid")</f>
        <v/>
      </c>
      <c r="Z338">
        <f>$Y338+ROW()/100000</f>
        <v/>
      </c>
    </row>
    <row r="339">
      <c r="X339" t="inlineStr">
        <is>
          <t>Pedro, Charmaine Montiadora</t>
        </is>
      </c>
      <c r="Y339">
        <f>COUNTIFS('Audit Log'!$B$2:$B$2001,"&gt;="&amp;$B$2,'Audit Log'!$F$2:$F$2001,$B$3,'Audit Log'!$S$2:$S$2001,$B$4,'Audit Log'!$T$2:$T$2001,"Yes",'Audit Log'!$C$2:$C$2001,$X339,'Audit Log'!$O$2:$O$2001,"Invalid")</f>
        <v/>
      </c>
      <c r="Z339">
        <f>$Y339+ROW()/100000</f>
        <v/>
      </c>
    </row>
    <row r="340">
      <c r="X340" t="inlineStr">
        <is>
          <t>Perdon, Carolene Marzan</t>
        </is>
      </c>
      <c r="Y340">
        <f>COUNTIFS('Audit Log'!$B$2:$B$2001,"&gt;="&amp;$B$2,'Audit Log'!$F$2:$F$2001,$B$3,'Audit Log'!$S$2:$S$2001,$B$4,'Audit Log'!$T$2:$T$2001,"Yes",'Audit Log'!$C$2:$C$2001,$X340,'Audit Log'!$O$2:$O$2001,"Invalid")</f>
        <v/>
      </c>
      <c r="Z340">
        <f>$Y340+ROW()/100000</f>
        <v/>
      </c>
    </row>
    <row r="341">
      <c r="X341" t="inlineStr">
        <is>
          <t>Petallar, Clifford Estrada</t>
        </is>
      </c>
      <c r="Y341">
        <f>COUNTIFS('Audit Log'!$B$2:$B$2001,"&gt;="&amp;$B$2,'Audit Log'!$F$2:$F$2001,$B$3,'Audit Log'!$S$2:$S$2001,$B$4,'Audit Log'!$T$2:$T$2001,"Yes",'Audit Log'!$C$2:$C$2001,$X341,'Audit Log'!$O$2:$O$2001,"Invalid")</f>
        <v/>
      </c>
      <c r="Z341">
        <f>$Y341+ROW()/100000</f>
        <v/>
      </c>
    </row>
    <row r="342">
      <c r="X342" t="inlineStr">
        <is>
          <t>Pielago, Pamela Faye Pascual</t>
        </is>
      </c>
      <c r="Y342">
        <f>COUNTIFS('Audit Log'!$B$2:$B$2001,"&gt;="&amp;$B$2,'Audit Log'!$F$2:$F$2001,$B$3,'Audit Log'!$S$2:$S$2001,$B$4,'Audit Log'!$T$2:$T$2001,"Yes",'Audit Log'!$C$2:$C$2001,$X342,'Audit Log'!$O$2:$O$2001,"Invalid")</f>
        <v/>
      </c>
      <c r="Z342">
        <f>$Y342+ROW()/100000</f>
        <v/>
      </c>
    </row>
    <row r="343">
      <c r="X343" t="inlineStr">
        <is>
          <t>Pila, Christian Caron</t>
        </is>
      </c>
      <c r="Y343">
        <f>COUNTIFS('Audit Log'!$B$2:$B$2001,"&gt;="&amp;$B$2,'Audit Log'!$F$2:$F$2001,$B$3,'Audit Log'!$S$2:$S$2001,$B$4,'Audit Log'!$T$2:$T$2001,"Yes",'Audit Log'!$C$2:$C$2001,$X343,'Audit Log'!$O$2:$O$2001,"Invalid")</f>
        <v/>
      </c>
      <c r="Z343">
        <f>$Y343+ROW()/100000</f>
        <v/>
      </c>
    </row>
    <row r="344">
      <c r="X344" t="inlineStr">
        <is>
          <t>Pila, John Robert Cabarles</t>
        </is>
      </c>
      <c r="Y344">
        <f>COUNTIFS('Audit Log'!$B$2:$B$2001,"&gt;="&amp;$B$2,'Audit Log'!$F$2:$F$2001,$B$3,'Audit Log'!$S$2:$S$2001,$B$4,'Audit Log'!$T$2:$T$2001,"Yes",'Audit Log'!$C$2:$C$2001,$X344,'Audit Log'!$O$2:$O$2001,"Invalid")</f>
        <v/>
      </c>
      <c r="Z344">
        <f>$Y344+ROW()/100000</f>
        <v/>
      </c>
    </row>
    <row r="345">
      <c r="X345" t="inlineStr">
        <is>
          <t>Pilar, Gino Ryan Prospero</t>
        </is>
      </c>
      <c r="Y345">
        <f>COUNTIFS('Audit Log'!$B$2:$B$2001,"&gt;="&amp;$B$2,'Audit Log'!$F$2:$F$2001,$B$3,'Audit Log'!$S$2:$S$2001,$B$4,'Audit Log'!$T$2:$T$2001,"Yes",'Audit Log'!$C$2:$C$2001,$X345,'Audit Log'!$O$2:$O$2001,"Invalid")</f>
        <v/>
      </c>
      <c r="Z345">
        <f>$Y345+ROW()/100000</f>
        <v/>
      </c>
    </row>
    <row r="346">
      <c r="X346" t="inlineStr">
        <is>
          <t>Pineda, Gerald Christian Bo</t>
        </is>
      </c>
      <c r="Y346">
        <f>COUNTIFS('Audit Log'!$B$2:$B$2001,"&gt;="&amp;$B$2,'Audit Log'!$F$2:$F$2001,$B$3,'Audit Log'!$S$2:$S$2001,$B$4,'Audit Log'!$T$2:$T$2001,"Yes",'Audit Log'!$C$2:$C$2001,$X346,'Audit Log'!$O$2:$O$2001,"Invalid")</f>
        <v/>
      </c>
      <c r="Z346">
        <f>$Y346+ROW()/100000</f>
        <v/>
      </c>
    </row>
    <row r="347">
      <c r="X347" t="inlineStr">
        <is>
          <t>Piquero, Jessah Macabodbod</t>
        </is>
      </c>
      <c r="Y347">
        <f>COUNTIFS('Audit Log'!$B$2:$B$2001,"&gt;="&amp;$B$2,'Audit Log'!$F$2:$F$2001,$B$3,'Audit Log'!$S$2:$S$2001,$B$4,'Audit Log'!$T$2:$T$2001,"Yes",'Audit Log'!$C$2:$C$2001,$X347,'Audit Log'!$O$2:$O$2001,"Invalid")</f>
        <v/>
      </c>
      <c r="Z347">
        <f>$Y347+ROW()/100000</f>
        <v/>
      </c>
    </row>
    <row r="348">
      <c r="X348" t="inlineStr">
        <is>
          <t>Plopenio, Romelyn Cordis</t>
        </is>
      </c>
      <c r="Y348">
        <f>COUNTIFS('Audit Log'!$B$2:$B$2001,"&gt;="&amp;$B$2,'Audit Log'!$F$2:$F$2001,$B$3,'Audit Log'!$S$2:$S$2001,$B$4,'Audit Log'!$T$2:$T$2001,"Yes",'Audit Log'!$C$2:$C$2001,$X348,'Audit Log'!$O$2:$O$2001,"Invalid")</f>
        <v/>
      </c>
      <c r="Z348">
        <f>$Y348+ROW()/100000</f>
        <v/>
      </c>
    </row>
    <row r="349">
      <c r="X349" t="inlineStr">
        <is>
          <t>Poon, Aris Sobrevilla</t>
        </is>
      </c>
      <c r="Y349">
        <f>COUNTIFS('Audit Log'!$B$2:$B$2001,"&gt;="&amp;$B$2,'Audit Log'!$F$2:$F$2001,$B$3,'Audit Log'!$S$2:$S$2001,$B$4,'Audit Log'!$T$2:$T$2001,"Yes",'Audit Log'!$C$2:$C$2001,$X349,'Audit Log'!$O$2:$O$2001,"Invalid")</f>
        <v/>
      </c>
      <c r="Z349">
        <f>$Y349+ROW()/100000</f>
        <v/>
      </c>
    </row>
    <row r="350">
      <c r="X350" t="inlineStr">
        <is>
          <t>Porcalla, John Alfred Tabucol</t>
        </is>
      </c>
      <c r="Y350">
        <f>COUNTIFS('Audit Log'!$B$2:$B$2001,"&gt;="&amp;$B$2,'Audit Log'!$F$2:$F$2001,$B$3,'Audit Log'!$S$2:$S$2001,$B$4,'Audit Log'!$T$2:$T$2001,"Yes",'Audit Log'!$C$2:$C$2001,$X350,'Audit Log'!$O$2:$O$2001,"Invalid")</f>
        <v/>
      </c>
      <c r="Z350">
        <f>$Y350+ROW()/100000</f>
        <v/>
      </c>
    </row>
    <row r="351">
      <c r="X351" t="inlineStr">
        <is>
          <t>Presado, Darlene Lozano</t>
        </is>
      </c>
      <c r="Y351">
        <f>COUNTIFS('Audit Log'!$B$2:$B$2001,"&gt;="&amp;$B$2,'Audit Log'!$F$2:$F$2001,$B$3,'Audit Log'!$S$2:$S$2001,$B$4,'Audit Log'!$T$2:$T$2001,"Yes",'Audit Log'!$C$2:$C$2001,$X351,'Audit Log'!$O$2:$O$2001,"Invalid")</f>
        <v/>
      </c>
      <c r="Z351">
        <f>$Y351+ROW()/100000</f>
        <v/>
      </c>
    </row>
    <row r="352">
      <c r="X352" t="inlineStr">
        <is>
          <t>Principe, Aubrey Aquino</t>
        </is>
      </c>
      <c r="Y352">
        <f>COUNTIFS('Audit Log'!$B$2:$B$2001,"&gt;="&amp;$B$2,'Audit Log'!$F$2:$F$2001,$B$3,'Audit Log'!$S$2:$S$2001,$B$4,'Audit Log'!$T$2:$T$2001,"Yes",'Audit Log'!$C$2:$C$2001,$X352,'Audit Log'!$O$2:$O$2001,"Invalid")</f>
        <v/>
      </c>
      <c r="Z352">
        <f>$Y352+ROW()/100000</f>
        <v/>
      </c>
    </row>
    <row r="353">
      <c r="X353" t="inlineStr">
        <is>
          <t>Puerta, Jeffrey Tenorio</t>
        </is>
      </c>
      <c r="Y353">
        <f>COUNTIFS('Audit Log'!$B$2:$B$2001,"&gt;="&amp;$B$2,'Audit Log'!$F$2:$F$2001,$B$3,'Audit Log'!$S$2:$S$2001,$B$4,'Audit Log'!$T$2:$T$2001,"Yes",'Audit Log'!$C$2:$C$2001,$X353,'Audit Log'!$O$2:$O$2001,"Invalid")</f>
        <v/>
      </c>
      <c r="Z353">
        <f>$Y353+ROW()/100000</f>
        <v/>
      </c>
    </row>
    <row r="354">
      <c r="X354" t="inlineStr">
        <is>
          <t>Puno, Jerminia Dela Cruz</t>
        </is>
      </c>
      <c r="Y354">
        <f>COUNTIFS('Audit Log'!$B$2:$B$2001,"&gt;="&amp;$B$2,'Audit Log'!$F$2:$F$2001,$B$3,'Audit Log'!$S$2:$S$2001,$B$4,'Audit Log'!$T$2:$T$2001,"Yes",'Audit Log'!$C$2:$C$2001,$X354,'Audit Log'!$O$2:$O$2001,"Invalid")</f>
        <v/>
      </c>
      <c r="Z354">
        <f>$Y354+ROW()/100000</f>
        <v/>
      </c>
    </row>
    <row r="355">
      <c r="X355" t="inlineStr">
        <is>
          <t>Quiachon, Mhojarie Tano</t>
        </is>
      </c>
      <c r="Y355">
        <f>COUNTIFS('Audit Log'!$B$2:$B$2001,"&gt;="&amp;$B$2,'Audit Log'!$F$2:$F$2001,$B$3,'Audit Log'!$S$2:$S$2001,$B$4,'Audit Log'!$T$2:$T$2001,"Yes",'Audit Log'!$C$2:$C$2001,$X355,'Audit Log'!$O$2:$O$2001,"Invalid")</f>
        <v/>
      </c>
      <c r="Z355">
        <f>$Y355+ROW()/100000</f>
        <v/>
      </c>
    </row>
    <row r="356">
      <c r="X356" t="inlineStr">
        <is>
          <t>Quino, Mark Genesis Bautista</t>
        </is>
      </c>
      <c r="Y356">
        <f>COUNTIFS('Audit Log'!$B$2:$B$2001,"&gt;="&amp;$B$2,'Audit Log'!$F$2:$F$2001,$B$3,'Audit Log'!$S$2:$S$2001,$B$4,'Audit Log'!$T$2:$T$2001,"Yes",'Audit Log'!$C$2:$C$2001,$X356,'Audit Log'!$O$2:$O$2001,"Invalid")</f>
        <v/>
      </c>
      <c r="Z356">
        <f>$Y356+ROW()/100000</f>
        <v/>
      </c>
    </row>
    <row r="357">
      <c r="X357" t="inlineStr">
        <is>
          <t>Quintana, Charlene Zona</t>
        </is>
      </c>
      <c r="Y357">
        <f>COUNTIFS('Audit Log'!$B$2:$B$2001,"&gt;="&amp;$B$2,'Audit Log'!$F$2:$F$2001,$B$3,'Audit Log'!$S$2:$S$2001,$B$4,'Audit Log'!$T$2:$T$2001,"Yes",'Audit Log'!$C$2:$C$2001,$X357,'Audit Log'!$O$2:$O$2001,"Invalid")</f>
        <v/>
      </c>
      <c r="Z357">
        <f>$Y357+ROW()/100000</f>
        <v/>
      </c>
    </row>
    <row r="358">
      <c r="X358" t="inlineStr">
        <is>
          <t>Quinto, Bernadeth Mendoza</t>
        </is>
      </c>
      <c r="Y358">
        <f>COUNTIFS('Audit Log'!$B$2:$B$2001,"&gt;="&amp;$B$2,'Audit Log'!$F$2:$F$2001,$B$3,'Audit Log'!$S$2:$S$2001,$B$4,'Audit Log'!$T$2:$T$2001,"Yes",'Audit Log'!$C$2:$C$2001,$X358,'Audit Log'!$O$2:$O$2001,"Invalid")</f>
        <v/>
      </c>
      <c r="Z358">
        <f>$Y358+ROW()/100000</f>
        <v/>
      </c>
    </row>
    <row r="359">
      <c r="X359" t="inlineStr">
        <is>
          <t>Rabida, Mary Rose Roa</t>
        </is>
      </c>
      <c r="Y359">
        <f>COUNTIFS('Audit Log'!$B$2:$B$2001,"&gt;="&amp;$B$2,'Audit Log'!$F$2:$F$2001,$B$3,'Audit Log'!$S$2:$S$2001,$B$4,'Audit Log'!$T$2:$T$2001,"Yes",'Audit Log'!$C$2:$C$2001,$X359,'Audit Log'!$O$2:$O$2001,"Invalid")</f>
        <v/>
      </c>
      <c r="Z359">
        <f>$Y359+ROW()/100000</f>
        <v/>
      </c>
    </row>
    <row r="360">
      <c r="X360" t="inlineStr">
        <is>
          <t>Racha, Grace Eunice Divinagracia</t>
        </is>
      </c>
      <c r="Y360">
        <f>COUNTIFS('Audit Log'!$B$2:$B$2001,"&gt;="&amp;$B$2,'Audit Log'!$F$2:$F$2001,$B$3,'Audit Log'!$S$2:$S$2001,$B$4,'Audit Log'!$T$2:$T$2001,"Yes",'Audit Log'!$C$2:$C$2001,$X360,'Audit Log'!$O$2:$O$2001,"Invalid")</f>
        <v/>
      </c>
      <c r="Z360">
        <f>$Y360+ROW()/100000</f>
        <v/>
      </c>
    </row>
    <row r="361">
      <c r="X361" t="inlineStr">
        <is>
          <t>Ramos, Edgar Elesio Clementes</t>
        </is>
      </c>
      <c r="Y361">
        <f>COUNTIFS('Audit Log'!$B$2:$B$2001,"&gt;="&amp;$B$2,'Audit Log'!$F$2:$F$2001,$B$3,'Audit Log'!$S$2:$S$2001,$B$4,'Audit Log'!$T$2:$T$2001,"Yes",'Audit Log'!$C$2:$C$2001,$X361,'Audit Log'!$O$2:$O$2001,"Invalid")</f>
        <v/>
      </c>
      <c r="Z361">
        <f>$Y361+ROW()/100000</f>
        <v/>
      </c>
    </row>
    <row r="362">
      <c r="X362" t="inlineStr">
        <is>
          <t>Ramos, Graceli Calayo</t>
        </is>
      </c>
      <c r="Y362">
        <f>COUNTIFS('Audit Log'!$B$2:$B$2001,"&gt;="&amp;$B$2,'Audit Log'!$F$2:$F$2001,$B$3,'Audit Log'!$S$2:$S$2001,$B$4,'Audit Log'!$T$2:$T$2001,"Yes",'Audit Log'!$C$2:$C$2001,$X362,'Audit Log'!$O$2:$O$2001,"Invalid")</f>
        <v/>
      </c>
      <c r="Z362">
        <f>$Y362+ROW()/100000</f>
        <v/>
      </c>
    </row>
    <row r="363">
      <c r="X363" t="inlineStr">
        <is>
          <t>Ramos, Jay Alison Bañega</t>
        </is>
      </c>
      <c r="Y363">
        <f>COUNTIFS('Audit Log'!$B$2:$B$2001,"&gt;="&amp;$B$2,'Audit Log'!$F$2:$F$2001,$B$3,'Audit Log'!$S$2:$S$2001,$B$4,'Audit Log'!$T$2:$T$2001,"Yes",'Audit Log'!$C$2:$C$2001,$X363,'Audit Log'!$O$2:$O$2001,"Invalid")</f>
        <v/>
      </c>
      <c r="Z363">
        <f>$Y363+ROW()/100000</f>
        <v/>
      </c>
    </row>
    <row r="364">
      <c r="X364" t="inlineStr">
        <is>
          <t>Ramos, Ma Concepcion Sanchez</t>
        </is>
      </c>
      <c r="Y364">
        <f>COUNTIFS('Audit Log'!$B$2:$B$2001,"&gt;="&amp;$B$2,'Audit Log'!$F$2:$F$2001,$B$3,'Audit Log'!$S$2:$S$2001,$B$4,'Audit Log'!$T$2:$T$2001,"Yes",'Audit Log'!$C$2:$C$2001,$X364,'Audit Log'!$O$2:$O$2001,"Invalid")</f>
        <v/>
      </c>
      <c r="Z364">
        <f>$Y364+ROW()/100000</f>
        <v/>
      </c>
    </row>
    <row r="365">
      <c r="X365" t="inlineStr">
        <is>
          <t>Raygon, Divine Grace Tobalado</t>
        </is>
      </c>
      <c r="Y365">
        <f>COUNTIFS('Audit Log'!$B$2:$B$2001,"&gt;="&amp;$B$2,'Audit Log'!$F$2:$F$2001,$B$3,'Audit Log'!$S$2:$S$2001,$B$4,'Audit Log'!$T$2:$T$2001,"Yes",'Audit Log'!$C$2:$C$2001,$X365,'Audit Log'!$O$2:$O$2001,"Invalid")</f>
        <v/>
      </c>
      <c r="Z365">
        <f>$Y365+ROW()/100000</f>
        <v/>
      </c>
    </row>
    <row r="366">
      <c r="X366" t="inlineStr">
        <is>
          <t>Regacho, Hudson -</t>
        </is>
      </c>
      <c r="Y366">
        <f>COUNTIFS('Audit Log'!$B$2:$B$2001,"&gt;="&amp;$B$2,'Audit Log'!$F$2:$F$2001,$B$3,'Audit Log'!$S$2:$S$2001,$B$4,'Audit Log'!$T$2:$T$2001,"Yes",'Audit Log'!$C$2:$C$2001,$X366,'Audit Log'!$O$2:$O$2001,"Invalid")</f>
        <v/>
      </c>
      <c r="Z366">
        <f>$Y366+ROW()/100000</f>
        <v/>
      </c>
    </row>
    <row r="367">
      <c r="X367" t="inlineStr">
        <is>
          <t>Reyes, Ernesto Jr Pepe</t>
        </is>
      </c>
      <c r="Y367">
        <f>COUNTIFS('Audit Log'!$B$2:$B$2001,"&gt;="&amp;$B$2,'Audit Log'!$F$2:$F$2001,$B$3,'Audit Log'!$S$2:$S$2001,$B$4,'Audit Log'!$T$2:$T$2001,"Yes",'Audit Log'!$C$2:$C$2001,$X367,'Audit Log'!$O$2:$O$2001,"Invalid")</f>
        <v/>
      </c>
      <c r="Z367">
        <f>$Y367+ROW()/100000</f>
        <v/>
      </c>
    </row>
    <row r="368">
      <c r="X368" t="inlineStr">
        <is>
          <t>Reyes, Michael Angelo Silvestre</t>
        </is>
      </c>
      <c r="Y368">
        <f>COUNTIFS('Audit Log'!$B$2:$B$2001,"&gt;="&amp;$B$2,'Audit Log'!$F$2:$F$2001,$B$3,'Audit Log'!$S$2:$S$2001,$B$4,'Audit Log'!$T$2:$T$2001,"Yes",'Audit Log'!$C$2:$C$2001,$X368,'Audit Log'!$O$2:$O$2001,"Invalid")</f>
        <v/>
      </c>
      <c r="Z368">
        <f>$Y368+ROW()/100000</f>
        <v/>
      </c>
    </row>
    <row r="369">
      <c r="X369" t="inlineStr">
        <is>
          <t>Reyes, Rhalf Gabriel Mamburao</t>
        </is>
      </c>
      <c r="Y369">
        <f>COUNTIFS('Audit Log'!$B$2:$B$2001,"&gt;="&amp;$B$2,'Audit Log'!$F$2:$F$2001,$B$3,'Audit Log'!$S$2:$S$2001,$B$4,'Audit Log'!$T$2:$T$2001,"Yes",'Audit Log'!$C$2:$C$2001,$X369,'Audit Log'!$O$2:$O$2001,"Invalid")</f>
        <v/>
      </c>
      <c r="Z369">
        <f>$Y369+ROW()/100000</f>
        <v/>
      </c>
    </row>
    <row r="370">
      <c r="X370" t="inlineStr">
        <is>
          <t>Rivera, John Aldrin Lopez</t>
        </is>
      </c>
      <c r="Y370">
        <f>COUNTIFS('Audit Log'!$B$2:$B$2001,"&gt;="&amp;$B$2,'Audit Log'!$F$2:$F$2001,$B$3,'Audit Log'!$S$2:$S$2001,$B$4,'Audit Log'!$T$2:$T$2001,"Yes",'Audit Log'!$C$2:$C$2001,$X370,'Audit Log'!$O$2:$O$2001,"Invalid")</f>
        <v/>
      </c>
      <c r="Z370">
        <f>$Y370+ROW()/100000</f>
        <v/>
      </c>
    </row>
    <row r="371">
      <c r="X371" t="inlineStr">
        <is>
          <t>Rivera, Josephine Rosales</t>
        </is>
      </c>
      <c r="Y371">
        <f>COUNTIFS('Audit Log'!$B$2:$B$2001,"&gt;="&amp;$B$2,'Audit Log'!$F$2:$F$2001,$B$3,'Audit Log'!$S$2:$S$2001,$B$4,'Audit Log'!$T$2:$T$2001,"Yes",'Audit Log'!$C$2:$C$2001,$X371,'Audit Log'!$O$2:$O$2001,"Invalid")</f>
        <v/>
      </c>
      <c r="Z371">
        <f>$Y371+ROW()/100000</f>
        <v/>
      </c>
    </row>
    <row r="372">
      <c r="X372" t="inlineStr">
        <is>
          <t>Rivera, Marjorie Lipiten</t>
        </is>
      </c>
      <c r="Y372">
        <f>COUNTIFS('Audit Log'!$B$2:$B$2001,"&gt;="&amp;$B$2,'Audit Log'!$F$2:$F$2001,$B$3,'Audit Log'!$S$2:$S$2001,$B$4,'Audit Log'!$T$2:$T$2001,"Yes",'Audit Log'!$C$2:$C$2001,$X372,'Audit Log'!$O$2:$O$2001,"Invalid")</f>
        <v/>
      </c>
      <c r="Z372">
        <f>$Y372+ROW()/100000</f>
        <v/>
      </c>
    </row>
    <row r="373">
      <c r="X373" t="inlineStr">
        <is>
          <t>Rivera, Michael John Araneta</t>
        </is>
      </c>
      <c r="Y373">
        <f>COUNTIFS('Audit Log'!$B$2:$B$2001,"&gt;="&amp;$B$2,'Audit Log'!$F$2:$F$2001,$B$3,'Audit Log'!$S$2:$S$2001,$B$4,'Audit Log'!$T$2:$T$2001,"Yes",'Audit Log'!$C$2:$C$2001,$X373,'Audit Log'!$O$2:$O$2001,"Invalid")</f>
        <v/>
      </c>
      <c r="Z373">
        <f>$Y373+ROW()/100000</f>
        <v/>
      </c>
    </row>
    <row r="374">
      <c r="X374" t="inlineStr">
        <is>
          <t>Rivera, Micoh Sorima</t>
        </is>
      </c>
      <c r="Y374">
        <f>COUNTIFS('Audit Log'!$B$2:$B$2001,"&gt;="&amp;$B$2,'Audit Log'!$F$2:$F$2001,$B$3,'Audit Log'!$S$2:$S$2001,$B$4,'Audit Log'!$T$2:$T$2001,"Yes",'Audit Log'!$C$2:$C$2001,$X374,'Audit Log'!$O$2:$O$2001,"Invalid")</f>
        <v/>
      </c>
      <c r="Z374">
        <f>$Y374+ROW()/100000</f>
        <v/>
      </c>
    </row>
    <row r="375">
      <c r="X375" t="inlineStr">
        <is>
          <t>Rocillo, Marmi Poco</t>
        </is>
      </c>
      <c r="Y375">
        <f>COUNTIFS('Audit Log'!$B$2:$B$2001,"&gt;="&amp;$B$2,'Audit Log'!$F$2:$F$2001,$B$3,'Audit Log'!$S$2:$S$2001,$B$4,'Audit Log'!$T$2:$T$2001,"Yes",'Audit Log'!$C$2:$C$2001,$X375,'Audit Log'!$O$2:$O$2001,"Invalid")</f>
        <v/>
      </c>
      <c r="Z375">
        <f>$Y375+ROW()/100000</f>
        <v/>
      </c>
    </row>
    <row r="376">
      <c r="X376" t="inlineStr">
        <is>
          <t>Rodica, Jim Morante</t>
        </is>
      </c>
      <c r="Y376">
        <f>COUNTIFS('Audit Log'!$B$2:$B$2001,"&gt;="&amp;$B$2,'Audit Log'!$F$2:$F$2001,$B$3,'Audit Log'!$S$2:$S$2001,$B$4,'Audit Log'!$T$2:$T$2001,"Yes",'Audit Log'!$C$2:$C$2001,$X376,'Audit Log'!$O$2:$O$2001,"Invalid")</f>
        <v/>
      </c>
      <c r="Z376">
        <f>$Y376+ROW()/100000</f>
        <v/>
      </c>
    </row>
    <row r="377">
      <c r="X377" t="inlineStr">
        <is>
          <t>Ronquillo, Jerome Pelicano</t>
        </is>
      </c>
      <c r="Y377">
        <f>COUNTIFS('Audit Log'!$B$2:$B$2001,"&gt;="&amp;$B$2,'Audit Log'!$F$2:$F$2001,$B$3,'Audit Log'!$S$2:$S$2001,$B$4,'Audit Log'!$T$2:$T$2001,"Yes",'Audit Log'!$C$2:$C$2001,$X377,'Audit Log'!$O$2:$O$2001,"Invalid")</f>
        <v/>
      </c>
      <c r="Z377">
        <f>$Y377+ROW()/100000</f>
        <v/>
      </c>
    </row>
    <row r="378">
      <c r="X378" t="inlineStr">
        <is>
          <t>Rosales, Bianca Angela Badoria</t>
        </is>
      </c>
      <c r="Y378">
        <f>COUNTIFS('Audit Log'!$B$2:$B$2001,"&gt;="&amp;$B$2,'Audit Log'!$F$2:$F$2001,$B$3,'Audit Log'!$S$2:$S$2001,$B$4,'Audit Log'!$T$2:$T$2001,"Yes",'Audit Log'!$C$2:$C$2001,$X378,'Audit Log'!$O$2:$O$2001,"Invalid")</f>
        <v/>
      </c>
      <c r="Z378">
        <f>$Y378+ROW()/100000</f>
        <v/>
      </c>
    </row>
    <row r="379">
      <c r="X379" t="inlineStr">
        <is>
          <t>Rosales, Thea Christianne Pearl Na</t>
        </is>
      </c>
      <c r="Y379">
        <f>COUNTIFS('Audit Log'!$B$2:$B$2001,"&gt;="&amp;$B$2,'Audit Log'!$F$2:$F$2001,$B$3,'Audit Log'!$S$2:$S$2001,$B$4,'Audit Log'!$T$2:$T$2001,"Yes",'Audit Log'!$C$2:$C$2001,$X379,'Audit Log'!$O$2:$O$2001,"Invalid")</f>
        <v/>
      </c>
      <c r="Z379">
        <f>$Y379+ROW()/100000</f>
        <v/>
      </c>
    </row>
    <row r="380">
      <c r="X380" t="inlineStr">
        <is>
          <t>Rosas, Sandro Nmn</t>
        </is>
      </c>
      <c r="Y380">
        <f>COUNTIFS('Audit Log'!$B$2:$B$2001,"&gt;="&amp;$B$2,'Audit Log'!$F$2:$F$2001,$B$3,'Audit Log'!$S$2:$S$2001,$B$4,'Audit Log'!$T$2:$T$2001,"Yes",'Audit Log'!$C$2:$C$2001,$X380,'Audit Log'!$O$2:$O$2001,"Invalid")</f>
        <v/>
      </c>
      <c r="Z380">
        <f>$Y380+ROW()/100000</f>
        <v/>
      </c>
    </row>
    <row r="381">
      <c r="X381" t="inlineStr">
        <is>
          <t>Rose, Mica Angelica Macabenta</t>
        </is>
      </c>
      <c r="Y381">
        <f>COUNTIFS('Audit Log'!$B$2:$B$2001,"&gt;="&amp;$B$2,'Audit Log'!$F$2:$F$2001,$B$3,'Audit Log'!$S$2:$S$2001,$B$4,'Audit Log'!$T$2:$T$2001,"Yes",'Audit Log'!$C$2:$C$2001,$X381,'Audit Log'!$O$2:$O$2001,"Invalid")</f>
        <v/>
      </c>
      <c r="Z381">
        <f>$Y381+ROW()/100000</f>
        <v/>
      </c>
    </row>
    <row r="382">
      <c r="X382" t="inlineStr">
        <is>
          <t>Sabenorio, Karyl Joyce Acaba</t>
        </is>
      </c>
      <c r="Y382">
        <f>COUNTIFS('Audit Log'!$B$2:$B$2001,"&gt;="&amp;$B$2,'Audit Log'!$F$2:$F$2001,$B$3,'Audit Log'!$S$2:$S$2001,$B$4,'Audit Log'!$T$2:$T$2001,"Yes",'Audit Log'!$C$2:$C$2001,$X382,'Audit Log'!$O$2:$O$2001,"Invalid")</f>
        <v/>
      </c>
      <c r="Z382">
        <f>$Y382+ROW()/100000</f>
        <v/>
      </c>
    </row>
    <row r="383">
      <c r="X383" t="inlineStr">
        <is>
          <t>Sagales, Novelyn Langawan</t>
        </is>
      </c>
      <c r="Y383">
        <f>COUNTIFS('Audit Log'!$B$2:$B$2001,"&gt;="&amp;$B$2,'Audit Log'!$F$2:$F$2001,$B$3,'Audit Log'!$S$2:$S$2001,$B$4,'Audit Log'!$T$2:$T$2001,"Yes",'Audit Log'!$C$2:$C$2001,$X383,'Audit Log'!$O$2:$O$2001,"Invalid")</f>
        <v/>
      </c>
      <c r="Z383">
        <f>$Y383+ROW()/100000</f>
        <v/>
      </c>
    </row>
    <row r="384">
      <c r="X384" t="inlineStr">
        <is>
          <t>Saguinsin, Sanhenrist Aguinaldo</t>
        </is>
      </c>
      <c r="Y384">
        <f>COUNTIFS('Audit Log'!$B$2:$B$2001,"&gt;="&amp;$B$2,'Audit Log'!$F$2:$F$2001,$B$3,'Audit Log'!$S$2:$S$2001,$B$4,'Audit Log'!$T$2:$T$2001,"Yes",'Audit Log'!$C$2:$C$2001,$X384,'Audit Log'!$O$2:$O$2001,"Invalid")</f>
        <v/>
      </c>
      <c r="Z384">
        <f>$Y384+ROW()/100000</f>
        <v/>
      </c>
    </row>
    <row r="385">
      <c r="X385" t="inlineStr">
        <is>
          <t>Salafranca, Ryan Alejo</t>
        </is>
      </c>
      <c r="Y385">
        <f>COUNTIFS('Audit Log'!$B$2:$B$2001,"&gt;="&amp;$B$2,'Audit Log'!$F$2:$F$2001,$B$3,'Audit Log'!$S$2:$S$2001,$B$4,'Audit Log'!$T$2:$T$2001,"Yes",'Audit Log'!$C$2:$C$2001,$X385,'Audit Log'!$O$2:$O$2001,"Invalid")</f>
        <v/>
      </c>
      <c r="Z385">
        <f>$Y385+ROW()/100000</f>
        <v/>
      </c>
    </row>
    <row r="386">
      <c r="X386" t="inlineStr">
        <is>
          <t>Salomon, Jovanne Rey Posadas</t>
        </is>
      </c>
      <c r="Y386">
        <f>COUNTIFS('Audit Log'!$B$2:$B$2001,"&gt;="&amp;$B$2,'Audit Log'!$F$2:$F$2001,$B$3,'Audit Log'!$S$2:$S$2001,$B$4,'Audit Log'!$T$2:$T$2001,"Yes",'Audit Log'!$C$2:$C$2001,$X386,'Audit Log'!$O$2:$O$2001,"Invalid")</f>
        <v/>
      </c>
      <c r="Z386">
        <f>$Y386+ROW()/100000</f>
        <v/>
      </c>
    </row>
    <row r="387">
      <c r="X387" t="inlineStr">
        <is>
          <t>Salvador, Francis Tutanes</t>
        </is>
      </c>
      <c r="Y387">
        <f>COUNTIFS('Audit Log'!$B$2:$B$2001,"&gt;="&amp;$B$2,'Audit Log'!$F$2:$F$2001,$B$3,'Audit Log'!$S$2:$S$2001,$B$4,'Audit Log'!$T$2:$T$2001,"Yes",'Audit Log'!$C$2:$C$2001,$X387,'Audit Log'!$O$2:$O$2001,"Invalid")</f>
        <v/>
      </c>
      <c r="Z387">
        <f>$Y387+ROW()/100000</f>
        <v/>
      </c>
    </row>
    <row r="388">
      <c r="X388" t="inlineStr">
        <is>
          <t>San Diego, Carolyn Anselmo</t>
        </is>
      </c>
      <c r="Y388">
        <f>COUNTIFS('Audit Log'!$B$2:$B$2001,"&gt;="&amp;$B$2,'Audit Log'!$F$2:$F$2001,$B$3,'Audit Log'!$S$2:$S$2001,$B$4,'Audit Log'!$T$2:$T$2001,"Yes",'Audit Log'!$C$2:$C$2001,$X388,'Audit Log'!$O$2:$O$2001,"Invalid")</f>
        <v/>
      </c>
      <c r="Z388">
        <f>$Y388+ROW()/100000</f>
        <v/>
      </c>
    </row>
    <row r="389">
      <c r="X389" t="inlineStr">
        <is>
          <t>San Juan, Francis Neil Barcelona</t>
        </is>
      </c>
      <c r="Y389">
        <f>COUNTIFS('Audit Log'!$B$2:$B$2001,"&gt;="&amp;$B$2,'Audit Log'!$F$2:$F$2001,$B$3,'Audit Log'!$S$2:$S$2001,$B$4,'Audit Log'!$T$2:$T$2001,"Yes",'Audit Log'!$C$2:$C$2001,$X389,'Audit Log'!$O$2:$O$2001,"Invalid")</f>
        <v/>
      </c>
      <c r="Z389">
        <f>$Y389+ROW()/100000</f>
        <v/>
      </c>
    </row>
    <row r="390">
      <c r="X390" t="inlineStr">
        <is>
          <t>San Juan, Kaille Vincent Galvez</t>
        </is>
      </c>
      <c r="Y390">
        <f>COUNTIFS('Audit Log'!$B$2:$B$2001,"&gt;="&amp;$B$2,'Audit Log'!$F$2:$F$2001,$B$3,'Audit Log'!$S$2:$S$2001,$B$4,'Audit Log'!$T$2:$T$2001,"Yes",'Audit Log'!$C$2:$C$2001,$X390,'Audit Log'!$O$2:$O$2001,"Invalid")</f>
        <v/>
      </c>
      <c r="Z390">
        <f>$Y390+ROW()/100000</f>
        <v/>
      </c>
    </row>
    <row r="391">
      <c r="X391" t="inlineStr">
        <is>
          <t>Santos, Anne Valerie Manuel</t>
        </is>
      </c>
      <c r="Y391">
        <f>COUNTIFS('Audit Log'!$B$2:$B$2001,"&gt;="&amp;$B$2,'Audit Log'!$F$2:$F$2001,$B$3,'Audit Log'!$S$2:$S$2001,$B$4,'Audit Log'!$T$2:$T$2001,"Yes",'Audit Log'!$C$2:$C$2001,$X391,'Audit Log'!$O$2:$O$2001,"Invalid")</f>
        <v/>
      </c>
      <c r="Z391">
        <f>$Y391+ROW()/100000</f>
        <v/>
      </c>
    </row>
    <row r="392">
      <c r="X392" t="inlineStr">
        <is>
          <t>Santos, Jeanette Claudette Dy-Liacco</t>
        </is>
      </c>
      <c r="Y392">
        <f>COUNTIFS('Audit Log'!$B$2:$B$2001,"&gt;="&amp;$B$2,'Audit Log'!$F$2:$F$2001,$B$3,'Audit Log'!$S$2:$S$2001,$B$4,'Audit Log'!$T$2:$T$2001,"Yes",'Audit Log'!$C$2:$C$2001,$X392,'Audit Log'!$O$2:$O$2001,"Invalid")</f>
        <v/>
      </c>
      <c r="Z392">
        <f>$Y392+ROW()/100000</f>
        <v/>
      </c>
    </row>
    <row r="393">
      <c r="X393" t="inlineStr">
        <is>
          <t>Santos, Lovely Joy Nmn</t>
        </is>
      </c>
      <c r="Y393">
        <f>COUNTIFS('Audit Log'!$B$2:$B$2001,"&gt;="&amp;$B$2,'Audit Log'!$F$2:$F$2001,$B$3,'Audit Log'!$S$2:$S$2001,$B$4,'Audit Log'!$T$2:$T$2001,"Yes",'Audit Log'!$C$2:$C$2001,$X393,'Audit Log'!$O$2:$O$2001,"Invalid")</f>
        <v/>
      </c>
      <c r="Z393">
        <f>$Y393+ROW()/100000</f>
        <v/>
      </c>
    </row>
    <row r="394">
      <c r="X394" t="inlineStr">
        <is>
          <t>Santos, Lycia Dare</t>
        </is>
      </c>
      <c r="Y394">
        <f>COUNTIFS('Audit Log'!$B$2:$B$2001,"&gt;="&amp;$B$2,'Audit Log'!$F$2:$F$2001,$B$3,'Audit Log'!$S$2:$S$2001,$B$4,'Audit Log'!$T$2:$T$2001,"Yes",'Audit Log'!$C$2:$C$2001,$X394,'Audit Log'!$O$2:$O$2001,"Invalid")</f>
        <v/>
      </c>
      <c r="Z394">
        <f>$Y394+ROW()/100000</f>
        <v/>
      </c>
    </row>
    <row r="395">
      <c r="X395" t="inlineStr">
        <is>
          <t>Santos, Maria Theresa Bonganciso</t>
        </is>
      </c>
      <c r="Y395">
        <f>COUNTIFS('Audit Log'!$B$2:$B$2001,"&gt;="&amp;$B$2,'Audit Log'!$F$2:$F$2001,$B$3,'Audit Log'!$S$2:$S$2001,$B$4,'Audit Log'!$T$2:$T$2001,"Yes",'Audit Log'!$C$2:$C$2001,$X395,'Audit Log'!$O$2:$O$2001,"Invalid")</f>
        <v/>
      </c>
      <c r="Z395">
        <f>$Y395+ROW()/100000</f>
        <v/>
      </c>
    </row>
    <row r="396">
      <c r="X396" t="inlineStr">
        <is>
          <t>Santos, Raven Anakin Jerusalem</t>
        </is>
      </c>
      <c r="Y396">
        <f>COUNTIFS('Audit Log'!$B$2:$B$2001,"&gt;="&amp;$B$2,'Audit Log'!$F$2:$F$2001,$B$3,'Audit Log'!$S$2:$S$2001,$B$4,'Audit Log'!$T$2:$T$2001,"Yes",'Audit Log'!$C$2:$C$2001,$X396,'Audit Log'!$O$2:$O$2001,"Invalid")</f>
        <v/>
      </c>
      <c r="Z396">
        <f>$Y396+ROW()/100000</f>
        <v/>
      </c>
    </row>
    <row r="397">
      <c r="X397" t="inlineStr">
        <is>
          <t>Santos, Reinier Cartina</t>
        </is>
      </c>
      <c r="Y397">
        <f>COUNTIFS('Audit Log'!$B$2:$B$2001,"&gt;="&amp;$B$2,'Audit Log'!$F$2:$F$2001,$B$3,'Audit Log'!$S$2:$S$2001,$B$4,'Audit Log'!$T$2:$T$2001,"Yes",'Audit Log'!$C$2:$C$2001,$X397,'Audit Log'!$O$2:$O$2001,"Invalid")</f>
        <v/>
      </c>
      <c r="Z397">
        <f>$Y397+ROW()/100000</f>
        <v/>
      </c>
    </row>
    <row r="398">
      <c r="X398" t="inlineStr">
        <is>
          <t>Sarmiento, Celina Labora</t>
        </is>
      </c>
      <c r="Y398">
        <f>COUNTIFS('Audit Log'!$B$2:$B$2001,"&gt;="&amp;$B$2,'Audit Log'!$F$2:$F$2001,$B$3,'Audit Log'!$S$2:$S$2001,$B$4,'Audit Log'!$T$2:$T$2001,"Yes",'Audit Log'!$C$2:$C$2001,$X398,'Audit Log'!$O$2:$O$2001,"Invalid")</f>
        <v/>
      </c>
      <c r="Z398">
        <f>$Y398+ROW()/100000</f>
        <v/>
      </c>
    </row>
    <row r="399">
      <c r="X399" t="inlineStr">
        <is>
          <t>Sarmiento, Edmar Ricanor</t>
        </is>
      </c>
      <c r="Y399">
        <f>COUNTIFS('Audit Log'!$B$2:$B$2001,"&gt;="&amp;$B$2,'Audit Log'!$F$2:$F$2001,$B$3,'Audit Log'!$S$2:$S$2001,$B$4,'Audit Log'!$T$2:$T$2001,"Yes",'Audit Log'!$C$2:$C$2001,$X399,'Audit Log'!$O$2:$O$2001,"Invalid")</f>
        <v/>
      </c>
      <c r="Z399">
        <f>$Y399+ROW()/100000</f>
        <v/>
      </c>
    </row>
    <row r="400">
      <c r="X400" t="inlineStr">
        <is>
          <t>Sastrillo, Jessalyn Rodeles</t>
        </is>
      </c>
      <c r="Y400">
        <f>COUNTIFS('Audit Log'!$B$2:$B$2001,"&gt;="&amp;$B$2,'Audit Log'!$F$2:$F$2001,$B$3,'Audit Log'!$S$2:$S$2001,$B$4,'Audit Log'!$T$2:$T$2001,"Yes",'Audit Log'!$C$2:$C$2001,$X400,'Audit Log'!$O$2:$O$2001,"Invalid")</f>
        <v/>
      </c>
      <c r="Z400">
        <f>$Y400+ROW()/100000</f>
        <v/>
      </c>
    </row>
    <row r="401">
      <c r="X401" t="inlineStr">
        <is>
          <t>Saulog, Mark Spencer Amerila</t>
        </is>
      </c>
      <c r="Y401">
        <f>COUNTIFS('Audit Log'!$B$2:$B$2001,"&gt;="&amp;$B$2,'Audit Log'!$F$2:$F$2001,$B$3,'Audit Log'!$S$2:$S$2001,$B$4,'Audit Log'!$T$2:$T$2001,"Yes",'Audit Log'!$C$2:$C$2001,$X401,'Audit Log'!$O$2:$O$2001,"Invalid")</f>
        <v/>
      </c>
      <c r="Z401">
        <f>$Y401+ROW()/100000</f>
        <v/>
      </c>
    </row>
    <row r="402">
      <c r="X402" t="inlineStr">
        <is>
          <t>Segismundo, Sandra Serrano</t>
        </is>
      </c>
      <c r="Y402">
        <f>COUNTIFS('Audit Log'!$B$2:$B$2001,"&gt;="&amp;$B$2,'Audit Log'!$F$2:$F$2001,$B$3,'Audit Log'!$S$2:$S$2001,$B$4,'Audit Log'!$T$2:$T$2001,"Yes",'Audit Log'!$C$2:$C$2001,$X402,'Audit Log'!$O$2:$O$2001,"Invalid")</f>
        <v/>
      </c>
      <c r="Z402">
        <f>$Y402+ROW()/100000</f>
        <v/>
      </c>
    </row>
    <row r="403">
      <c r="X403" t="inlineStr">
        <is>
          <t>Sembrano, Mishelle Oliveria</t>
        </is>
      </c>
      <c r="Y403">
        <f>COUNTIFS('Audit Log'!$B$2:$B$2001,"&gt;="&amp;$B$2,'Audit Log'!$F$2:$F$2001,$B$3,'Audit Log'!$S$2:$S$2001,$B$4,'Audit Log'!$T$2:$T$2001,"Yes",'Audit Log'!$C$2:$C$2001,$X403,'Audit Log'!$O$2:$O$2001,"Invalid")</f>
        <v/>
      </c>
      <c r="Z403">
        <f>$Y403+ROW()/100000</f>
        <v/>
      </c>
    </row>
    <row r="404">
      <c r="X404" t="inlineStr">
        <is>
          <t>Sentin Jr., Roberto Bueno</t>
        </is>
      </c>
      <c r="Y404">
        <f>COUNTIFS('Audit Log'!$B$2:$B$2001,"&gt;="&amp;$B$2,'Audit Log'!$F$2:$F$2001,$B$3,'Audit Log'!$S$2:$S$2001,$B$4,'Audit Log'!$T$2:$T$2001,"Yes",'Audit Log'!$C$2:$C$2001,$X404,'Audit Log'!$O$2:$O$2001,"Invalid")</f>
        <v/>
      </c>
      <c r="Z404">
        <f>$Y404+ROW()/100000</f>
        <v/>
      </c>
    </row>
    <row r="405">
      <c r="X405" t="inlineStr">
        <is>
          <t>Sequito, Zyrus Luna</t>
        </is>
      </c>
      <c r="Y405">
        <f>COUNTIFS('Audit Log'!$B$2:$B$2001,"&gt;="&amp;$B$2,'Audit Log'!$F$2:$F$2001,$B$3,'Audit Log'!$S$2:$S$2001,$B$4,'Audit Log'!$T$2:$T$2001,"Yes",'Audit Log'!$C$2:$C$2001,$X405,'Audit Log'!$O$2:$O$2001,"Invalid")</f>
        <v/>
      </c>
      <c r="Z405">
        <f>$Y405+ROW()/100000</f>
        <v/>
      </c>
    </row>
    <row r="406">
      <c r="X406" t="inlineStr">
        <is>
          <t>Serata, Ivy Roces</t>
        </is>
      </c>
      <c r="Y406">
        <f>COUNTIFS('Audit Log'!$B$2:$B$2001,"&gt;="&amp;$B$2,'Audit Log'!$F$2:$F$2001,$B$3,'Audit Log'!$S$2:$S$2001,$B$4,'Audit Log'!$T$2:$T$2001,"Yes",'Audit Log'!$C$2:$C$2001,$X406,'Audit Log'!$O$2:$O$2001,"Invalid")</f>
        <v/>
      </c>
      <c r="Z406">
        <f>$Y406+ROW()/100000</f>
        <v/>
      </c>
    </row>
    <row r="407">
      <c r="X407" t="inlineStr">
        <is>
          <t>Sernal, Rachelle Ibiernas</t>
        </is>
      </c>
      <c r="Y407">
        <f>COUNTIFS('Audit Log'!$B$2:$B$2001,"&gt;="&amp;$B$2,'Audit Log'!$F$2:$F$2001,$B$3,'Audit Log'!$S$2:$S$2001,$B$4,'Audit Log'!$T$2:$T$2001,"Yes",'Audit Log'!$C$2:$C$2001,$X407,'Audit Log'!$O$2:$O$2001,"Invalid")</f>
        <v/>
      </c>
      <c r="Z407">
        <f>$Y407+ROW()/100000</f>
        <v/>
      </c>
    </row>
    <row r="408">
      <c r="X408" t="inlineStr">
        <is>
          <t>Setias, Mae Venus Santias</t>
        </is>
      </c>
      <c r="Y408">
        <f>COUNTIFS('Audit Log'!$B$2:$B$2001,"&gt;="&amp;$B$2,'Audit Log'!$F$2:$F$2001,$B$3,'Audit Log'!$S$2:$S$2001,$B$4,'Audit Log'!$T$2:$T$2001,"Yes",'Audit Log'!$C$2:$C$2001,$X408,'Audit Log'!$O$2:$O$2001,"Invalid")</f>
        <v/>
      </c>
      <c r="Z408">
        <f>$Y408+ROW()/100000</f>
        <v/>
      </c>
    </row>
    <row r="409">
      <c r="X409" t="inlineStr">
        <is>
          <t>Sevilla, Audrey Marie Galindo</t>
        </is>
      </c>
      <c r="Y409">
        <f>COUNTIFS('Audit Log'!$B$2:$B$2001,"&gt;="&amp;$B$2,'Audit Log'!$F$2:$F$2001,$B$3,'Audit Log'!$S$2:$S$2001,$B$4,'Audit Log'!$T$2:$T$2001,"Yes",'Audit Log'!$C$2:$C$2001,$X409,'Audit Log'!$O$2:$O$2001,"Invalid")</f>
        <v/>
      </c>
      <c r="Z409">
        <f>$Y409+ROW()/100000</f>
        <v/>
      </c>
    </row>
    <row r="410">
      <c r="X410" t="inlineStr">
        <is>
          <t>Silao, Fritz Villacanas</t>
        </is>
      </c>
      <c r="Y410">
        <f>COUNTIFS('Audit Log'!$B$2:$B$2001,"&gt;="&amp;$B$2,'Audit Log'!$F$2:$F$2001,$B$3,'Audit Log'!$S$2:$S$2001,$B$4,'Audit Log'!$T$2:$T$2001,"Yes",'Audit Log'!$C$2:$C$2001,$X410,'Audit Log'!$O$2:$O$2001,"Invalid")</f>
        <v/>
      </c>
      <c r="Z410">
        <f>$Y410+ROW()/100000</f>
        <v/>
      </c>
    </row>
    <row r="411">
      <c r="X411" t="inlineStr">
        <is>
          <t>Silvano, Kimberly Ann Palma</t>
        </is>
      </c>
      <c r="Y411">
        <f>COUNTIFS('Audit Log'!$B$2:$B$2001,"&gt;="&amp;$B$2,'Audit Log'!$F$2:$F$2001,$B$3,'Audit Log'!$S$2:$S$2001,$B$4,'Audit Log'!$T$2:$T$2001,"Yes",'Audit Log'!$C$2:$C$2001,$X411,'Audit Log'!$O$2:$O$2001,"Invalid")</f>
        <v/>
      </c>
      <c r="Z411">
        <f>$Y411+ROW()/100000</f>
        <v/>
      </c>
    </row>
    <row r="412">
      <c r="X412" t="inlineStr">
        <is>
          <t>Simacon, Krystel Claire Nmn</t>
        </is>
      </c>
      <c r="Y412">
        <f>COUNTIFS('Audit Log'!$B$2:$B$2001,"&gt;="&amp;$B$2,'Audit Log'!$F$2:$F$2001,$B$3,'Audit Log'!$S$2:$S$2001,$B$4,'Audit Log'!$T$2:$T$2001,"Yes",'Audit Log'!$C$2:$C$2001,$X412,'Audit Log'!$O$2:$O$2001,"Invalid")</f>
        <v/>
      </c>
      <c r="Z412">
        <f>$Y412+ROW()/100000</f>
        <v/>
      </c>
    </row>
    <row r="413">
      <c r="X413" t="inlineStr">
        <is>
          <t>Simbulan, Michelle Cabala</t>
        </is>
      </c>
      <c r="Y413">
        <f>COUNTIFS('Audit Log'!$B$2:$B$2001,"&gt;="&amp;$B$2,'Audit Log'!$F$2:$F$2001,$B$3,'Audit Log'!$S$2:$S$2001,$B$4,'Audit Log'!$T$2:$T$2001,"Yes",'Audit Log'!$C$2:$C$2001,$X413,'Audit Log'!$O$2:$O$2001,"Invalid")</f>
        <v/>
      </c>
      <c r="Z413">
        <f>$Y413+ROW()/100000</f>
        <v/>
      </c>
    </row>
    <row r="414">
      <c r="X414" t="inlineStr">
        <is>
          <t>Socorro, John Benny Baluyot</t>
        </is>
      </c>
      <c r="Y414">
        <f>COUNTIFS('Audit Log'!$B$2:$B$2001,"&gt;="&amp;$B$2,'Audit Log'!$F$2:$F$2001,$B$3,'Audit Log'!$S$2:$S$2001,$B$4,'Audit Log'!$T$2:$T$2001,"Yes",'Audit Log'!$C$2:$C$2001,$X414,'Audit Log'!$O$2:$O$2001,"Invalid")</f>
        <v/>
      </c>
      <c r="Z414">
        <f>$Y414+ROW()/100000</f>
        <v/>
      </c>
    </row>
    <row r="415">
      <c r="X415" t="inlineStr">
        <is>
          <t>Sonza, Marvi Ramilo</t>
        </is>
      </c>
      <c r="Y415">
        <f>COUNTIFS('Audit Log'!$B$2:$B$2001,"&gt;="&amp;$B$2,'Audit Log'!$F$2:$F$2001,$B$3,'Audit Log'!$S$2:$S$2001,$B$4,'Audit Log'!$T$2:$T$2001,"Yes",'Audit Log'!$C$2:$C$2001,$X415,'Audit Log'!$O$2:$O$2001,"Invalid")</f>
        <v/>
      </c>
      <c r="Z415">
        <f>$Y415+ROW()/100000</f>
        <v/>
      </c>
    </row>
    <row r="416">
      <c r="X416" t="inlineStr">
        <is>
          <t>Soria, Michael Concejo</t>
        </is>
      </c>
      <c r="Y416">
        <f>COUNTIFS('Audit Log'!$B$2:$B$2001,"&gt;="&amp;$B$2,'Audit Log'!$F$2:$F$2001,$B$3,'Audit Log'!$S$2:$S$2001,$B$4,'Audit Log'!$T$2:$T$2001,"Yes",'Audit Log'!$C$2:$C$2001,$X416,'Audit Log'!$O$2:$O$2001,"Invalid")</f>
        <v/>
      </c>
      <c r="Z416">
        <f>$Y416+ROW()/100000</f>
        <v/>
      </c>
    </row>
    <row r="417">
      <c r="X417" t="inlineStr">
        <is>
          <t>Soriano, Mark Louie Delos Reyes</t>
        </is>
      </c>
      <c r="Y417">
        <f>COUNTIFS('Audit Log'!$B$2:$B$2001,"&gt;="&amp;$B$2,'Audit Log'!$F$2:$F$2001,$B$3,'Audit Log'!$S$2:$S$2001,$B$4,'Audit Log'!$T$2:$T$2001,"Yes",'Audit Log'!$C$2:$C$2001,$X417,'Audit Log'!$O$2:$O$2001,"Invalid")</f>
        <v/>
      </c>
      <c r="Z417">
        <f>$Y417+ROW()/100000</f>
        <v/>
      </c>
    </row>
    <row r="418">
      <c r="X418" t="inlineStr">
        <is>
          <t>Sta. Ana, Allan Rey Bacarro</t>
        </is>
      </c>
      <c r="Y418">
        <f>COUNTIFS('Audit Log'!$B$2:$B$2001,"&gt;="&amp;$B$2,'Audit Log'!$F$2:$F$2001,$B$3,'Audit Log'!$S$2:$S$2001,$B$4,'Audit Log'!$T$2:$T$2001,"Yes",'Audit Log'!$C$2:$C$2001,$X418,'Audit Log'!$O$2:$O$2001,"Invalid")</f>
        <v/>
      </c>
      <c r="Z418">
        <f>$Y418+ROW()/100000</f>
        <v/>
      </c>
    </row>
    <row r="419">
      <c r="X419" t="inlineStr">
        <is>
          <t>Suaso, Mari Paul Del Mundo</t>
        </is>
      </c>
      <c r="Y419">
        <f>COUNTIFS('Audit Log'!$B$2:$B$2001,"&gt;="&amp;$B$2,'Audit Log'!$F$2:$F$2001,$B$3,'Audit Log'!$S$2:$S$2001,$B$4,'Audit Log'!$T$2:$T$2001,"Yes",'Audit Log'!$C$2:$C$2001,$X419,'Audit Log'!$O$2:$O$2001,"Invalid")</f>
        <v/>
      </c>
      <c r="Z419">
        <f>$Y419+ROW()/100000</f>
        <v/>
      </c>
    </row>
    <row r="420">
      <c r="X420" t="inlineStr">
        <is>
          <t>Sultan, Isabel Cocoba</t>
        </is>
      </c>
      <c r="Y420">
        <f>COUNTIFS('Audit Log'!$B$2:$B$2001,"&gt;="&amp;$B$2,'Audit Log'!$F$2:$F$2001,$B$3,'Audit Log'!$S$2:$S$2001,$B$4,'Audit Log'!$T$2:$T$2001,"Yes",'Audit Log'!$C$2:$C$2001,$X420,'Audit Log'!$O$2:$O$2001,"Invalid")</f>
        <v/>
      </c>
      <c r="Z420">
        <f>$Y420+ROW()/100000</f>
        <v/>
      </c>
    </row>
    <row r="421">
      <c r="X421" t="inlineStr">
        <is>
          <t>Sutton, Innah Vanessa Cabacaba</t>
        </is>
      </c>
      <c r="Y421">
        <f>COUNTIFS('Audit Log'!$B$2:$B$2001,"&gt;="&amp;$B$2,'Audit Log'!$F$2:$F$2001,$B$3,'Audit Log'!$S$2:$S$2001,$B$4,'Audit Log'!$T$2:$T$2001,"Yes",'Audit Log'!$C$2:$C$2001,$X421,'Audit Log'!$O$2:$O$2001,"Invalid")</f>
        <v/>
      </c>
      <c r="Z421">
        <f>$Y421+ROW()/100000</f>
        <v/>
      </c>
    </row>
    <row r="422">
      <c r="X422" t="inlineStr">
        <is>
          <t>Taberdo, Franczeska Keana Cellona</t>
        </is>
      </c>
      <c r="Y422">
        <f>COUNTIFS('Audit Log'!$B$2:$B$2001,"&gt;="&amp;$B$2,'Audit Log'!$F$2:$F$2001,$B$3,'Audit Log'!$S$2:$S$2001,$B$4,'Audit Log'!$T$2:$T$2001,"Yes",'Audit Log'!$C$2:$C$2001,$X422,'Audit Log'!$O$2:$O$2001,"Invalid")</f>
        <v/>
      </c>
      <c r="Z422">
        <f>$Y422+ROW()/100000</f>
        <v/>
      </c>
    </row>
    <row r="423">
      <c r="X423" t="inlineStr">
        <is>
          <t>Tabuñar, Louie Baltar</t>
        </is>
      </c>
      <c r="Y423">
        <f>COUNTIFS('Audit Log'!$B$2:$B$2001,"&gt;="&amp;$B$2,'Audit Log'!$F$2:$F$2001,$B$3,'Audit Log'!$S$2:$S$2001,$B$4,'Audit Log'!$T$2:$T$2001,"Yes",'Audit Log'!$C$2:$C$2001,$X423,'Audit Log'!$O$2:$O$2001,"Invalid")</f>
        <v/>
      </c>
      <c r="Z423">
        <f>$Y423+ROW()/100000</f>
        <v/>
      </c>
    </row>
    <row r="424">
      <c r="X424" t="inlineStr">
        <is>
          <t>Tagabe, April Joy Engaud</t>
        </is>
      </c>
      <c r="Y424">
        <f>COUNTIFS('Audit Log'!$B$2:$B$2001,"&gt;="&amp;$B$2,'Audit Log'!$F$2:$F$2001,$B$3,'Audit Log'!$S$2:$S$2001,$B$4,'Audit Log'!$T$2:$T$2001,"Yes",'Audit Log'!$C$2:$C$2001,$X424,'Audit Log'!$O$2:$O$2001,"Invalid")</f>
        <v/>
      </c>
      <c r="Z424">
        <f>$Y424+ROW()/100000</f>
        <v/>
      </c>
    </row>
    <row r="425">
      <c r="X425" t="inlineStr">
        <is>
          <t>Tagaro, Jennifer Balacuit</t>
        </is>
      </c>
      <c r="Y425">
        <f>COUNTIFS('Audit Log'!$B$2:$B$2001,"&gt;="&amp;$B$2,'Audit Log'!$F$2:$F$2001,$B$3,'Audit Log'!$S$2:$S$2001,$B$4,'Audit Log'!$T$2:$T$2001,"Yes",'Audit Log'!$C$2:$C$2001,$X425,'Audit Log'!$O$2:$O$2001,"Invalid")</f>
        <v/>
      </c>
      <c r="Z425">
        <f>$Y425+ROW()/100000</f>
        <v/>
      </c>
    </row>
    <row r="426">
      <c r="X426" t="inlineStr">
        <is>
          <t>Talagtag, May Ann Lagon</t>
        </is>
      </c>
      <c r="Y426">
        <f>COUNTIFS('Audit Log'!$B$2:$B$2001,"&gt;="&amp;$B$2,'Audit Log'!$F$2:$F$2001,$B$3,'Audit Log'!$S$2:$S$2001,$B$4,'Audit Log'!$T$2:$T$2001,"Yes",'Audit Log'!$C$2:$C$2001,$X426,'Audit Log'!$O$2:$O$2001,"Invalid")</f>
        <v/>
      </c>
      <c r="Z426">
        <f>$Y426+ROW()/100000</f>
        <v/>
      </c>
    </row>
    <row r="427">
      <c r="X427" t="inlineStr">
        <is>
          <t>Tan, Irene Juson</t>
        </is>
      </c>
      <c r="Y427">
        <f>COUNTIFS('Audit Log'!$B$2:$B$2001,"&gt;="&amp;$B$2,'Audit Log'!$F$2:$F$2001,$B$3,'Audit Log'!$S$2:$S$2001,$B$4,'Audit Log'!$T$2:$T$2001,"Yes",'Audit Log'!$C$2:$C$2001,$X427,'Audit Log'!$O$2:$O$2001,"Invalid")</f>
        <v/>
      </c>
      <c r="Z427">
        <f>$Y427+ROW()/100000</f>
        <v/>
      </c>
    </row>
    <row r="428">
      <c r="X428" t="inlineStr">
        <is>
          <t>Tan, Janine Raine Nmn</t>
        </is>
      </c>
      <c r="Y428">
        <f>COUNTIFS('Audit Log'!$B$2:$B$2001,"&gt;="&amp;$B$2,'Audit Log'!$F$2:$F$2001,$B$3,'Audit Log'!$S$2:$S$2001,$B$4,'Audit Log'!$T$2:$T$2001,"Yes",'Audit Log'!$C$2:$C$2001,$X428,'Audit Log'!$O$2:$O$2001,"Invalid")</f>
        <v/>
      </c>
      <c r="Z428">
        <f>$Y428+ROW()/100000</f>
        <v/>
      </c>
    </row>
    <row r="429">
      <c r="X429" t="inlineStr">
        <is>
          <t>Tayag, Gerald Munsayac</t>
        </is>
      </c>
      <c r="Y429">
        <f>COUNTIFS('Audit Log'!$B$2:$B$2001,"&gt;="&amp;$B$2,'Audit Log'!$F$2:$F$2001,$B$3,'Audit Log'!$S$2:$S$2001,$B$4,'Audit Log'!$T$2:$T$2001,"Yes",'Audit Log'!$C$2:$C$2001,$X429,'Audit Log'!$O$2:$O$2001,"Invalid")</f>
        <v/>
      </c>
      <c r="Z429">
        <f>$Y429+ROW()/100000</f>
        <v/>
      </c>
    </row>
    <row r="430">
      <c r="X430" t="inlineStr">
        <is>
          <t>Tesiorna, Justine Gerard Delos Santos</t>
        </is>
      </c>
      <c r="Y430">
        <f>COUNTIFS('Audit Log'!$B$2:$B$2001,"&gt;="&amp;$B$2,'Audit Log'!$F$2:$F$2001,$B$3,'Audit Log'!$S$2:$S$2001,$B$4,'Audit Log'!$T$2:$T$2001,"Yes",'Audit Log'!$C$2:$C$2001,$X430,'Audit Log'!$O$2:$O$2001,"Invalid")</f>
        <v/>
      </c>
      <c r="Z430">
        <f>$Y430+ROW()/100000</f>
        <v/>
      </c>
    </row>
    <row r="431">
      <c r="X431" t="inlineStr">
        <is>
          <t>Ticman, Hazel Bucad</t>
        </is>
      </c>
      <c r="Y431">
        <f>COUNTIFS('Audit Log'!$B$2:$B$2001,"&gt;="&amp;$B$2,'Audit Log'!$F$2:$F$2001,$B$3,'Audit Log'!$S$2:$S$2001,$B$4,'Audit Log'!$T$2:$T$2001,"Yes",'Audit Log'!$C$2:$C$2001,$X431,'Audit Log'!$O$2:$O$2001,"Invalid")</f>
        <v/>
      </c>
      <c r="Z431">
        <f>$Y431+ROW()/100000</f>
        <v/>
      </c>
    </row>
    <row r="432">
      <c r="X432" t="inlineStr">
        <is>
          <t>Tinamisan, Normita Flaviano</t>
        </is>
      </c>
      <c r="Y432">
        <f>COUNTIFS('Audit Log'!$B$2:$B$2001,"&gt;="&amp;$B$2,'Audit Log'!$F$2:$F$2001,$B$3,'Audit Log'!$S$2:$S$2001,$B$4,'Audit Log'!$T$2:$T$2001,"Yes",'Audit Log'!$C$2:$C$2001,$X432,'Audit Log'!$O$2:$O$2001,"Invalid")</f>
        <v/>
      </c>
      <c r="Z432">
        <f>$Y432+ROW()/100000</f>
        <v/>
      </c>
    </row>
    <row r="433">
      <c r="X433" t="inlineStr">
        <is>
          <t>Tiu, K8Lene Salvador</t>
        </is>
      </c>
      <c r="Y433">
        <f>COUNTIFS('Audit Log'!$B$2:$B$2001,"&gt;="&amp;$B$2,'Audit Log'!$F$2:$F$2001,$B$3,'Audit Log'!$S$2:$S$2001,$B$4,'Audit Log'!$T$2:$T$2001,"Yes",'Audit Log'!$C$2:$C$2001,$X433,'Audit Log'!$O$2:$O$2001,"Invalid")</f>
        <v/>
      </c>
      <c r="Z433">
        <f>$Y433+ROW()/100000</f>
        <v/>
      </c>
    </row>
    <row r="434">
      <c r="X434" t="inlineStr">
        <is>
          <t>Tolentino, Divine Grace Pastor</t>
        </is>
      </c>
      <c r="Y434">
        <f>COUNTIFS('Audit Log'!$B$2:$B$2001,"&gt;="&amp;$B$2,'Audit Log'!$F$2:$F$2001,$B$3,'Audit Log'!$S$2:$S$2001,$B$4,'Audit Log'!$T$2:$T$2001,"Yes",'Audit Log'!$C$2:$C$2001,$X434,'Audit Log'!$O$2:$O$2001,"Invalid")</f>
        <v/>
      </c>
      <c r="Z434">
        <f>$Y434+ROW()/100000</f>
        <v/>
      </c>
    </row>
    <row r="435">
      <c r="X435" t="inlineStr">
        <is>
          <t>Tolentino, Dominic Christopher Rustia</t>
        </is>
      </c>
      <c r="Y435">
        <f>COUNTIFS('Audit Log'!$B$2:$B$2001,"&gt;="&amp;$B$2,'Audit Log'!$F$2:$F$2001,$B$3,'Audit Log'!$S$2:$S$2001,$B$4,'Audit Log'!$T$2:$T$2001,"Yes",'Audit Log'!$C$2:$C$2001,$X435,'Audit Log'!$O$2:$O$2001,"Invalid")</f>
        <v/>
      </c>
      <c r="Z435">
        <f>$Y435+ROW()/100000</f>
        <v/>
      </c>
    </row>
    <row r="436">
      <c r="X436" t="inlineStr">
        <is>
          <t>Tolentino, Ruby Anne Ramos</t>
        </is>
      </c>
      <c r="Y436">
        <f>COUNTIFS('Audit Log'!$B$2:$B$2001,"&gt;="&amp;$B$2,'Audit Log'!$F$2:$F$2001,$B$3,'Audit Log'!$S$2:$S$2001,$B$4,'Audit Log'!$T$2:$T$2001,"Yes",'Audit Log'!$C$2:$C$2001,$X436,'Audit Log'!$O$2:$O$2001,"Invalid")</f>
        <v/>
      </c>
      <c r="Z436">
        <f>$Y436+ROW()/100000</f>
        <v/>
      </c>
    </row>
    <row r="437">
      <c r="X437" t="inlineStr">
        <is>
          <t>Toribio, Fiercieval Ariza</t>
        </is>
      </c>
      <c r="Y437">
        <f>COUNTIFS('Audit Log'!$B$2:$B$2001,"&gt;="&amp;$B$2,'Audit Log'!$F$2:$F$2001,$B$3,'Audit Log'!$S$2:$S$2001,$B$4,'Audit Log'!$T$2:$T$2001,"Yes",'Audit Log'!$C$2:$C$2001,$X437,'Audit Log'!$O$2:$O$2001,"Invalid")</f>
        <v/>
      </c>
      <c r="Z437">
        <f>$Y437+ROW()/100000</f>
        <v/>
      </c>
    </row>
    <row r="438">
      <c r="X438" t="inlineStr">
        <is>
          <t>Torres, Kenneth Nual</t>
        </is>
      </c>
      <c r="Y438">
        <f>COUNTIFS('Audit Log'!$B$2:$B$2001,"&gt;="&amp;$B$2,'Audit Log'!$F$2:$F$2001,$B$3,'Audit Log'!$S$2:$S$2001,$B$4,'Audit Log'!$T$2:$T$2001,"Yes",'Audit Log'!$C$2:$C$2001,$X438,'Audit Log'!$O$2:$O$2001,"Invalid")</f>
        <v/>
      </c>
      <c r="Z438">
        <f>$Y438+ROW()/100000</f>
        <v/>
      </c>
    </row>
    <row r="439">
      <c r="X439" t="inlineStr">
        <is>
          <t>Trinidad, Anya Carmina Tolentino</t>
        </is>
      </c>
      <c r="Y439">
        <f>COUNTIFS('Audit Log'!$B$2:$B$2001,"&gt;="&amp;$B$2,'Audit Log'!$F$2:$F$2001,$B$3,'Audit Log'!$S$2:$S$2001,$B$4,'Audit Log'!$T$2:$T$2001,"Yes",'Audit Log'!$C$2:$C$2001,$X439,'Audit Log'!$O$2:$O$2001,"Invalid")</f>
        <v/>
      </c>
      <c r="Z439">
        <f>$Y439+ROW()/100000</f>
        <v/>
      </c>
    </row>
    <row r="440">
      <c r="X440" t="inlineStr">
        <is>
          <t>Tulio, Lady Maureen Nayre</t>
        </is>
      </c>
      <c r="Y440">
        <f>COUNTIFS('Audit Log'!$B$2:$B$2001,"&gt;="&amp;$B$2,'Audit Log'!$F$2:$F$2001,$B$3,'Audit Log'!$S$2:$S$2001,$B$4,'Audit Log'!$T$2:$T$2001,"Yes",'Audit Log'!$C$2:$C$2001,$X440,'Audit Log'!$O$2:$O$2001,"Invalid")</f>
        <v/>
      </c>
      <c r="Z440">
        <f>$Y440+ROW()/100000</f>
        <v/>
      </c>
    </row>
    <row r="441">
      <c r="X441" t="inlineStr">
        <is>
          <t>Tumang, Louis Roberto Caparas</t>
        </is>
      </c>
      <c r="Y441">
        <f>COUNTIFS('Audit Log'!$B$2:$B$2001,"&gt;="&amp;$B$2,'Audit Log'!$F$2:$F$2001,$B$3,'Audit Log'!$S$2:$S$2001,$B$4,'Audit Log'!$T$2:$T$2001,"Yes",'Audit Log'!$C$2:$C$2001,$X441,'Audit Log'!$O$2:$O$2001,"Invalid")</f>
        <v/>
      </c>
      <c r="Z441">
        <f>$Y441+ROW()/100000</f>
        <v/>
      </c>
    </row>
    <row r="442">
      <c r="X442" t="inlineStr">
        <is>
          <t>Ugalino, Jonadel Pineda</t>
        </is>
      </c>
      <c r="Y442">
        <f>COUNTIFS('Audit Log'!$B$2:$B$2001,"&gt;="&amp;$B$2,'Audit Log'!$F$2:$F$2001,$B$3,'Audit Log'!$S$2:$S$2001,$B$4,'Audit Log'!$T$2:$T$2001,"Yes",'Audit Log'!$C$2:$C$2001,$X442,'Audit Log'!$O$2:$O$2001,"Invalid")</f>
        <v/>
      </c>
      <c r="Z442">
        <f>$Y442+ROW()/100000</f>
        <v/>
      </c>
    </row>
    <row r="443">
      <c r="X443" t="inlineStr">
        <is>
          <t>Umali, Mary Jane Baniqued</t>
        </is>
      </c>
      <c r="Y443">
        <f>COUNTIFS('Audit Log'!$B$2:$B$2001,"&gt;="&amp;$B$2,'Audit Log'!$F$2:$F$2001,$B$3,'Audit Log'!$S$2:$S$2001,$B$4,'Audit Log'!$T$2:$T$2001,"Yes",'Audit Log'!$C$2:$C$2001,$X443,'Audit Log'!$O$2:$O$2001,"Invalid")</f>
        <v/>
      </c>
      <c r="Z443">
        <f>$Y443+ROW()/100000</f>
        <v/>
      </c>
    </row>
    <row r="444">
      <c r="X444" t="inlineStr">
        <is>
          <t>Valdez, Jasmin Ances</t>
        </is>
      </c>
      <c r="Y444">
        <f>COUNTIFS('Audit Log'!$B$2:$B$2001,"&gt;="&amp;$B$2,'Audit Log'!$F$2:$F$2001,$B$3,'Audit Log'!$S$2:$S$2001,$B$4,'Audit Log'!$T$2:$T$2001,"Yes",'Audit Log'!$C$2:$C$2001,$X444,'Audit Log'!$O$2:$O$2001,"Invalid")</f>
        <v/>
      </c>
      <c r="Z444">
        <f>$Y444+ROW()/100000</f>
        <v/>
      </c>
    </row>
    <row r="445">
      <c r="X445" t="inlineStr">
        <is>
          <t>Vallo, Alyssa Marie Roy</t>
        </is>
      </c>
      <c r="Y445">
        <f>COUNTIFS('Audit Log'!$B$2:$B$2001,"&gt;="&amp;$B$2,'Audit Log'!$F$2:$F$2001,$B$3,'Audit Log'!$S$2:$S$2001,$B$4,'Audit Log'!$T$2:$T$2001,"Yes",'Audit Log'!$C$2:$C$2001,$X445,'Audit Log'!$O$2:$O$2001,"Invalid")</f>
        <v/>
      </c>
      <c r="Z445">
        <f>$Y445+ROW()/100000</f>
        <v/>
      </c>
    </row>
    <row r="446">
      <c r="X446" t="inlineStr">
        <is>
          <t>Vedia, Jerson Reyes</t>
        </is>
      </c>
      <c r="Y446">
        <f>COUNTIFS('Audit Log'!$B$2:$B$2001,"&gt;="&amp;$B$2,'Audit Log'!$F$2:$F$2001,$B$3,'Audit Log'!$S$2:$S$2001,$B$4,'Audit Log'!$T$2:$T$2001,"Yes",'Audit Log'!$C$2:$C$2001,$X446,'Audit Log'!$O$2:$O$2001,"Invalid")</f>
        <v/>
      </c>
      <c r="Z446">
        <f>$Y446+ROW()/100000</f>
        <v/>
      </c>
    </row>
    <row r="447">
      <c r="X447" t="inlineStr">
        <is>
          <t>Vertudez, Nicole Mancia</t>
        </is>
      </c>
      <c r="Y447">
        <f>COUNTIFS('Audit Log'!$B$2:$B$2001,"&gt;="&amp;$B$2,'Audit Log'!$F$2:$F$2001,$B$3,'Audit Log'!$S$2:$S$2001,$B$4,'Audit Log'!$T$2:$T$2001,"Yes",'Audit Log'!$C$2:$C$2001,$X447,'Audit Log'!$O$2:$O$2001,"Invalid")</f>
        <v/>
      </c>
      <c r="Z447">
        <f>$Y447+ROW()/100000</f>
        <v/>
      </c>
    </row>
    <row r="448">
      <c r="X448" t="inlineStr">
        <is>
          <t>Victohay, Arjay Marie Olbisano</t>
        </is>
      </c>
      <c r="Y448">
        <f>COUNTIFS('Audit Log'!$B$2:$B$2001,"&gt;="&amp;$B$2,'Audit Log'!$F$2:$F$2001,$B$3,'Audit Log'!$S$2:$S$2001,$B$4,'Audit Log'!$T$2:$T$2001,"Yes",'Audit Log'!$C$2:$C$2001,$X448,'Audit Log'!$O$2:$O$2001,"Invalid")</f>
        <v/>
      </c>
      <c r="Z448">
        <f>$Y448+ROW()/100000</f>
        <v/>
      </c>
    </row>
    <row r="449">
      <c r="X449" t="inlineStr">
        <is>
          <t>Villagracia, Crisanta Campos</t>
        </is>
      </c>
      <c r="Y449">
        <f>COUNTIFS('Audit Log'!$B$2:$B$2001,"&gt;="&amp;$B$2,'Audit Log'!$F$2:$F$2001,$B$3,'Audit Log'!$S$2:$S$2001,$B$4,'Audit Log'!$T$2:$T$2001,"Yes",'Audit Log'!$C$2:$C$2001,$X449,'Audit Log'!$O$2:$O$2001,"Invalid")</f>
        <v/>
      </c>
      <c r="Z449">
        <f>$Y449+ROW()/100000</f>
        <v/>
      </c>
    </row>
    <row r="450">
      <c r="X450" t="inlineStr">
        <is>
          <t>Villaluboz, Jay M Malusay</t>
        </is>
      </c>
      <c r="Y450">
        <f>COUNTIFS('Audit Log'!$B$2:$B$2001,"&gt;="&amp;$B$2,'Audit Log'!$F$2:$F$2001,$B$3,'Audit Log'!$S$2:$S$2001,$B$4,'Audit Log'!$T$2:$T$2001,"Yes",'Audit Log'!$C$2:$C$2001,$X450,'Audit Log'!$O$2:$O$2001,"Invalid")</f>
        <v/>
      </c>
      <c r="Z450">
        <f>$Y450+ROW()/100000</f>
        <v/>
      </c>
    </row>
    <row r="451">
      <c r="X451" t="inlineStr">
        <is>
          <t>Villamor, Joel Santos</t>
        </is>
      </c>
      <c r="Y451">
        <f>COUNTIFS('Audit Log'!$B$2:$B$2001,"&gt;="&amp;$B$2,'Audit Log'!$F$2:$F$2001,$B$3,'Audit Log'!$S$2:$S$2001,$B$4,'Audit Log'!$T$2:$T$2001,"Yes",'Audit Log'!$C$2:$C$2001,$X451,'Audit Log'!$O$2:$O$2001,"Invalid")</f>
        <v/>
      </c>
      <c r="Z451">
        <f>$Y451+ROW()/100000</f>
        <v/>
      </c>
    </row>
    <row r="452">
      <c r="X452" t="inlineStr">
        <is>
          <t>Villania, Kenneth Paciente</t>
        </is>
      </c>
      <c r="Y452">
        <f>COUNTIFS('Audit Log'!$B$2:$B$2001,"&gt;="&amp;$B$2,'Audit Log'!$F$2:$F$2001,$B$3,'Audit Log'!$S$2:$S$2001,$B$4,'Audit Log'!$T$2:$T$2001,"Yes",'Audit Log'!$C$2:$C$2001,$X452,'Audit Log'!$O$2:$O$2001,"Invalid")</f>
        <v/>
      </c>
      <c r="Z452">
        <f>$Y452+ROW()/100000</f>
        <v/>
      </c>
    </row>
    <row r="453">
      <c r="X453" t="inlineStr">
        <is>
          <t>Villanueva, Jiah Marie Pogoy</t>
        </is>
      </c>
      <c r="Y453">
        <f>COUNTIFS('Audit Log'!$B$2:$B$2001,"&gt;="&amp;$B$2,'Audit Log'!$F$2:$F$2001,$B$3,'Audit Log'!$S$2:$S$2001,$B$4,'Audit Log'!$T$2:$T$2001,"Yes",'Audit Log'!$C$2:$C$2001,$X453,'Audit Log'!$O$2:$O$2001,"Invalid")</f>
        <v/>
      </c>
      <c r="Z453">
        <f>$Y453+ROW()/100000</f>
        <v/>
      </c>
    </row>
    <row r="454">
      <c r="X454" t="inlineStr">
        <is>
          <t>Villarante, Mark Anthony Nepomuceno</t>
        </is>
      </c>
      <c r="Y454">
        <f>COUNTIFS('Audit Log'!$B$2:$B$2001,"&gt;="&amp;$B$2,'Audit Log'!$F$2:$F$2001,$B$3,'Audit Log'!$S$2:$S$2001,$B$4,'Audit Log'!$T$2:$T$2001,"Yes",'Audit Log'!$C$2:$C$2001,$X454,'Audit Log'!$O$2:$O$2001,"Invalid")</f>
        <v/>
      </c>
      <c r="Z454">
        <f>$Y454+ROW()/100000</f>
        <v/>
      </c>
    </row>
    <row r="455">
      <c r="X455" t="inlineStr">
        <is>
          <t>Villaroman, Katherine Ross Fernandez</t>
        </is>
      </c>
      <c r="Y455">
        <f>COUNTIFS('Audit Log'!$B$2:$B$2001,"&gt;="&amp;$B$2,'Audit Log'!$F$2:$F$2001,$B$3,'Audit Log'!$S$2:$S$2001,$B$4,'Audit Log'!$T$2:$T$2001,"Yes",'Audit Log'!$C$2:$C$2001,$X455,'Audit Log'!$O$2:$O$2001,"Invalid")</f>
        <v/>
      </c>
      <c r="Z455">
        <f>$Y455+ROW()/100000</f>
        <v/>
      </c>
    </row>
    <row r="456">
      <c r="X456" t="inlineStr">
        <is>
          <t>Villaruz, Maria Lucia Sunshine Dulfo</t>
        </is>
      </c>
      <c r="Y456">
        <f>COUNTIFS('Audit Log'!$B$2:$B$2001,"&gt;="&amp;$B$2,'Audit Log'!$F$2:$F$2001,$B$3,'Audit Log'!$S$2:$S$2001,$B$4,'Audit Log'!$T$2:$T$2001,"Yes",'Audit Log'!$C$2:$C$2001,$X456,'Audit Log'!$O$2:$O$2001,"Invalid")</f>
        <v/>
      </c>
      <c r="Z456">
        <f>$Y456+ROW()/100000</f>
        <v/>
      </c>
    </row>
    <row r="457">
      <c r="X457" t="inlineStr">
        <is>
          <t>Vino, Jasmin Tancuan</t>
        </is>
      </c>
      <c r="Y457">
        <f>COUNTIFS('Audit Log'!$B$2:$B$2001,"&gt;="&amp;$B$2,'Audit Log'!$F$2:$F$2001,$B$3,'Audit Log'!$S$2:$S$2001,$B$4,'Audit Log'!$T$2:$T$2001,"Yes",'Audit Log'!$C$2:$C$2001,$X457,'Audit Log'!$O$2:$O$2001,"Invalid")</f>
        <v/>
      </c>
      <c r="Z457">
        <f>$Y457+ROW()/100000</f>
        <v/>
      </c>
    </row>
    <row r="458">
      <c r="X458" t="inlineStr">
        <is>
          <t>Vistan, Veronica Bondoc</t>
        </is>
      </c>
      <c r="Y458">
        <f>COUNTIFS('Audit Log'!$B$2:$B$2001,"&gt;="&amp;$B$2,'Audit Log'!$F$2:$F$2001,$B$3,'Audit Log'!$S$2:$S$2001,$B$4,'Audit Log'!$T$2:$T$2001,"Yes",'Audit Log'!$C$2:$C$2001,$X458,'Audit Log'!$O$2:$O$2001,"Invalid")</f>
        <v/>
      </c>
      <c r="Z458">
        <f>$Y458+ROW()/100000</f>
        <v/>
      </c>
    </row>
    <row r="459">
      <c r="X459" t="inlineStr">
        <is>
          <t>Vizcayno, Jezzel Seva</t>
        </is>
      </c>
      <c r="Y459">
        <f>COUNTIFS('Audit Log'!$B$2:$B$2001,"&gt;="&amp;$B$2,'Audit Log'!$F$2:$F$2001,$B$3,'Audit Log'!$S$2:$S$2001,$B$4,'Audit Log'!$T$2:$T$2001,"Yes",'Audit Log'!$C$2:$C$2001,$X459,'Audit Log'!$O$2:$O$2001,"Invalid")</f>
        <v/>
      </c>
      <c r="Z459">
        <f>$Y459+ROW()/100000</f>
        <v/>
      </c>
    </row>
    <row r="460">
      <c r="X460" t="inlineStr">
        <is>
          <t>Yabut, Trina Marie Armenio</t>
        </is>
      </c>
      <c r="Y460">
        <f>COUNTIFS('Audit Log'!$B$2:$B$2001,"&gt;="&amp;$B$2,'Audit Log'!$F$2:$F$2001,$B$3,'Audit Log'!$S$2:$S$2001,$B$4,'Audit Log'!$T$2:$T$2001,"Yes",'Audit Log'!$C$2:$C$2001,$X460,'Audit Log'!$O$2:$O$2001,"Invalid")</f>
        <v/>
      </c>
      <c r="Z460">
        <f>$Y460+ROW()/100000</f>
        <v/>
      </c>
    </row>
    <row r="461">
      <c r="X461" t="inlineStr">
        <is>
          <t>Yalong Jr., Mario Liberato</t>
        </is>
      </c>
      <c r="Y461">
        <f>COUNTIFS('Audit Log'!$B$2:$B$2001,"&gt;="&amp;$B$2,'Audit Log'!$F$2:$F$2001,$B$3,'Audit Log'!$S$2:$S$2001,$B$4,'Audit Log'!$T$2:$T$2001,"Yes",'Audit Log'!$C$2:$C$2001,$X461,'Audit Log'!$O$2:$O$2001,"Invalid")</f>
        <v/>
      </c>
      <c r="Z461">
        <f>$Y461+ROW()/100000</f>
        <v/>
      </c>
    </row>
    <row r="462">
      <c r="X462" t="inlineStr">
        <is>
          <t>Yao, Patrick Acoba</t>
        </is>
      </c>
      <c r="Y462">
        <f>COUNTIFS('Audit Log'!$B$2:$B$2001,"&gt;="&amp;$B$2,'Audit Log'!$F$2:$F$2001,$B$3,'Audit Log'!$S$2:$S$2001,$B$4,'Audit Log'!$T$2:$T$2001,"Yes",'Audit Log'!$C$2:$C$2001,$X462,'Audit Log'!$O$2:$O$2001,"Invalid")</f>
        <v/>
      </c>
      <c r="Z462">
        <f>$Y462+ROW()/100000</f>
        <v/>
      </c>
    </row>
    <row r="463">
      <c r="X463" t="inlineStr">
        <is>
          <t>Yu, Haji Hernandez</t>
        </is>
      </c>
      <c r="Y463">
        <f>COUNTIFS('Audit Log'!$B$2:$B$2001,"&gt;="&amp;$B$2,'Audit Log'!$F$2:$F$2001,$B$3,'Audit Log'!$S$2:$S$2001,$B$4,'Audit Log'!$T$2:$T$2001,"Yes",'Audit Log'!$C$2:$C$2001,$X463,'Audit Log'!$O$2:$O$2001,"Invalid")</f>
        <v/>
      </c>
      <c r="Z463">
        <f>$Y463+ROW()/100000</f>
        <v/>
      </c>
    </row>
    <row r="464">
      <c r="X464" t="inlineStr">
        <is>
          <t>Yusi, Janna Patricia Nmn</t>
        </is>
      </c>
      <c r="Y464">
        <f>COUNTIFS('Audit Log'!$B$2:$B$2001,"&gt;="&amp;$B$2,'Audit Log'!$F$2:$F$2001,$B$3,'Audit Log'!$S$2:$S$2001,$B$4,'Audit Log'!$T$2:$T$2001,"Yes",'Audit Log'!$C$2:$C$2001,$X464,'Audit Log'!$O$2:$O$2001,"Invalid")</f>
        <v/>
      </c>
      <c r="Z464">
        <f>$Y464+ROW()/100000</f>
        <v/>
      </c>
    </row>
    <row r="465">
      <c r="X465" t="inlineStr">
        <is>
          <t>Zafra, June Darelle Singson</t>
        </is>
      </c>
      <c r="Y465">
        <f>COUNTIFS('Audit Log'!$B$2:$B$2001,"&gt;="&amp;$B$2,'Audit Log'!$F$2:$F$2001,$B$3,'Audit Log'!$S$2:$S$2001,$B$4,'Audit Log'!$T$2:$T$2001,"Yes",'Audit Log'!$C$2:$C$2001,$X465,'Audit Log'!$O$2:$O$2001,"Invalid")</f>
        <v/>
      </c>
      <c r="Z465">
        <f>$Y465+ROW()/100000</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2:L11"/>
  <sheetViews>
    <sheetView workbookViewId="0">
      <selection activeCell="A1" sqref="A1"/>
    </sheetView>
  </sheetViews>
  <sheetFormatPr baseColWidth="8" defaultRowHeight="15"/>
  <sheetData>
    <row r="2">
      <c r="A2" t="inlineStr">
        <is>
          <t>startDate</t>
        </is>
      </c>
      <c r="B2">
        <f>IF('Special Codes'!$C$2="All Time",0,IF('Special Codes'!$C$2="Today",TODAY(),IF('Special Codes'!$C$2="Last 7 Days",TODAY()-6,IF('Special Codes'!$C$2="Last 14 Days",TODAY()-13,IF('Special Codes'!$C$2="Last 30 Days",TODAY()-29,DATE(YEAR(TODAY()),MONTH(TODAY()),1))))))</f>
        <v/>
      </c>
    </row>
    <row r="3">
      <c r="A3" t="inlineStr">
        <is>
          <t>tlCrit</t>
        </is>
      </c>
      <c r="B3">
        <f>IF('Special Codes'!$E$2="All Team Leaders","*",'Special Codes'!$E$2)</f>
        <v/>
      </c>
    </row>
    <row r="4">
      <c r="A4" t="inlineStr">
        <is>
          <t>auditorCrit</t>
        </is>
      </c>
      <c r="B4">
        <f>IF('Special Codes'!$G$2="All Auditors","*",'Special Codes'!$G$2)</f>
        <v/>
      </c>
    </row>
    <row r="7">
      <c r="A7" t="inlineStr">
        <is>
          <t>Category</t>
        </is>
      </c>
      <c r="J7" t="inlineStr">
        <is>
          <t>Valid</t>
        </is>
      </c>
      <c r="K7" t="inlineStr">
        <is>
          <t>Invalid</t>
        </is>
      </c>
    </row>
    <row r="8">
      <c r="A8" t="inlineStr">
        <is>
          <t>Remote Solution</t>
        </is>
      </c>
      <c r="B8" t="inlineStr">
        <is>
          <t>Remote Solution</t>
        </is>
      </c>
      <c r="C8">
        <f>COUNTIFS('Audit Log'!$B$2:$B$2001,"&gt;="&amp;$B$2,'Audit Log'!$F$2:$F$2001,$B$3,'Audit Log'!$S$2:$S$2001,$B$4,'Audit Log'!$P$2:$P$2001,"*"&amp;$B8&amp;"*")</f>
        <v/>
      </c>
      <c r="D8">
        <f>COUNTIFS('Audit Log'!$B$2:$B$2001,"&gt;="&amp;$B$2,'Audit Log'!$F$2:$F$2001,$B$3,'Audit Log'!$S$2:$S$2001,$B$4,'Audit Log'!$Q$2:$Q$2001,"*"&amp;$B8&amp;"*")</f>
        <v/>
      </c>
      <c r="E8">
        <f>COUNTIFS('Audit Log'!$B$2:$B$2001,"&gt;="&amp;$B$2,'Audit Log'!$F$2:$F$2001,$B$3,'Audit Log'!$S$2:$S$2001,$B$4,'Audit Log'!$P$2:$P$2001,"*"&amp;$B8&amp;"*",'Audit Log'!$Q$2:$Q$2001,"*"&amp;$B8&amp;"*")</f>
        <v/>
      </c>
      <c r="F8">
        <f>$C8+$D8-$E8</f>
        <v/>
      </c>
      <c r="G8">
        <f>COUNTIFS('Audit Log'!$B$2:$B$2001,"&gt;="&amp;$B$2,'Audit Log'!$F$2:$F$2001,$B$3,'Audit Log'!$S$2:$S$2001,$B$4,'Audit Log'!$P$2:$P$2001,"*"&amp;$B8&amp;"*",'Audit Log'!$O$2:$O$2001,"Valid")</f>
        <v/>
      </c>
      <c r="H8">
        <f>COUNTIFS('Audit Log'!$B$2:$B$2001,"&gt;="&amp;$B$2,'Audit Log'!$F$2:$F$2001,$B$3,'Audit Log'!$S$2:$S$2001,$B$4,'Audit Log'!$Q$2:$Q$2001,"*"&amp;$B8&amp;"*",'Audit Log'!$O$2:$O$2001,"Valid")</f>
        <v/>
      </c>
      <c r="I8">
        <f>COUNTIFS('Audit Log'!$B$2:$B$2001,"&gt;="&amp;$B$2,'Audit Log'!$F$2:$F$2001,$B$3,'Audit Log'!$S$2:$S$2001,$B$4,'Audit Log'!$P$2:$P$2001,"*"&amp;$B8&amp;"*",'Audit Log'!$Q$2:$Q$2001,"*"&amp;$B8&amp;"*",'Audit Log'!$O$2:$O$2001,"Valid")</f>
        <v/>
      </c>
      <c r="J8">
        <f>$G8+$H8-$I8</f>
        <v/>
      </c>
      <c r="K8">
        <f>$F8-$J8</f>
        <v/>
      </c>
      <c r="L8" s="30">
        <f>IFERROR($K8/$F8,0)</f>
        <v/>
      </c>
    </row>
    <row r="9">
      <c r="A9" t="inlineStr">
        <is>
          <t>DNAP</t>
        </is>
      </c>
      <c r="B9" t="inlineStr">
        <is>
          <t>DNAP</t>
        </is>
      </c>
      <c r="C9">
        <f>COUNTIFS('Audit Log'!$B$2:$B$2001,"&gt;="&amp;$B$2,'Audit Log'!$F$2:$F$2001,$B$3,'Audit Log'!$S$2:$S$2001,$B$4,'Audit Log'!$P$2:$P$2001,"*"&amp;$B9&amp;"*")</f>
        <v/>
      </c>
      <c r="D9">
        <f>COUNTIFS('Audit Log'!$B$2:$B$2001,"&gt;="&amp;$B$2,'Audit Log'!$F$2:$F$2001,$B$3,'Audit Log'!$S$2:$S$2001,$B$4,'Audit Log'!$Q$2:$Q$2001,"*"&amp;$B9&amp;"*")</f>
        <v/>
      </c>
      <c r="E9">
        <f>COUNTIFS('Audit Log'!$B$2:$B$2001,"&gt;="&amp;$B$2,'Audit Log'!$F$2:$F$2001,$B$3,'Audit Log'!$S$2:$S$2001,$B$4,'Audit Log'!$P$2:$P$2001,"*"&amp;$B9&amp;"*",'Audit Log'!$Q$2:$Q$2001,"*"&amp;$B9&amp;"*")</f>
        <v/>
      </c>
      <c r="F9">
        <f>$C9+$D9-$E9</f>
        <v/>
      </c>
      <c r="G9">
        <f>COUNTIFS('Audit Log'!$B$2:$B$2001,"&gt;="&amp;$B$2,'Audit Log'!$F$2:$F$2001,$B$3,'Audit Log'!$S$2:$S$2001,$B$4,'Audit Log'!$P$2:$P$2001,"*"&amp;$B9&amp;"*",'Audit Log'!$O$2:$O$2001,"Valid")</f>
        <v/>
      </c>
      <c r="H9">
        <f>COUNTIFS('Audit Log'!$B$2:$B$2001,"&gt;="&amp;$B$2,'Audit Log'!$F$2:$F$2001,$B$3,'Audit Log'!$S$2:$S$2001,$B$4,'Audit Log'!$Q$2:$Q$2001,"*"&amp;$B9&amp;"*",'Audit Log'!$O$2:$O$2001,"Valid")</f>
        <v/>
      </c>
      <c r="I9">
        <f>COUNTIFS('Audit Log'!$B$2:$B$2001,"&gt;="&amp;$B$2,'Audit Log'!$F$2:$F$2001,$B$3,'Audit Log'!$S$2:$S$2001,$B$4,'Audit Log'!$P$2:$P$2001,"*"&amp;$B9&amp;"*",'Audit Log'!$Q$2:$Q$2001,"*"&amp;$B9&amp;"*",'Audit Log'!$O$2:$O$2001,"Valid")</f>
        <v/>
      </c>
      <c r="J9">
        <f>$G9+$H9-$I9</f>
        <v/>
      </c>
      <c r="K9">
        <f>$F9-$J9</f>
        <v/>
      </c>
      <c r="L9" s="30">
        <f>IFERROR($K9/$F9,0)</f>
        <v/>
      </c>
    </row>
    <row r="10">
      <c r="A10" t="inlineStr">
        <is>
          <t>SubCan</t>
        </is>
      </c>
      <c r="B10" t="inlineStr">
        <is>
          <t>SubCan</t>
        </is>
      </c>
      <c r="C10">
        <f>COUNTIFS('Audit Log'!$B$2:$B$2001,"&gt;="&amp;$B$2,'Audit Log'!$F$2:$F$2001,$B$3,'Audit Log'!$S$2:$S$2001,$B$4,'Audit Log'!$P$2:$P$2001,"*"&amp;$B10&amp;"*")</f>
        <v/>
      </c>
      <c r="D10">
        <f>COUNTIFS('Audit Log'!$B$2:$B$2001,"&gt;="&amp;$B$2,'Audit Log'!$F$2:$F$2001,$B$3,'Audit Log'!$S$2:$S$2001,$B$4,'Audit Log'!$Q$2:$Q$2001,"*"&amp;$B10&amp;"*")</f>
        <v/>
      </c>
      <c r="E10">
        <f>COUNTIFS('Audit Log'!$B$2:$B$2001,"&gt;="&amp;$B$2,'Audit Log'!$F$2:$F$2001,$B$3,'Audit Log'!$S$2:$S$2001,$B$4,'Audit Log'!$P$2:$P$2001,"*"&amp;$B10&amp;"*",'Audit Log'!$Q$2:$Q$2001,"*"&amp;$B10&amp;"*")</f>
        <v/>
      </c>
      <c r="F10">
        <f>$C10+$D10-$E10</f>
        <v/>
      </c>
      <c r="G10">
        <f>COUNTIFS('Audit Log'!$B$2:$B$2001,"&gt;="&amp;$B$2,'Audit Log'!$F$2:$F$2001,$B$3,'Audit Log'!$S$2:$S$2001,$B$4,'Audit Log'!$P$2:$P$2001,"*"&amp;$B10&amp;"*",'Audit Log'!$O$2:$O$2001,"Valid")</f>
        <v/>
      </c>
      <c r="H10">
        <f>COUNTIFS('Audit Log'!$B$2:$B$2001,"&gt;="&amp;$B$2,'Audit Log'!$F$2:$F$2001,$B$3,'Audit Log'!$S$2:$S$2001,$B$4,'Audit Log'!$Q$2:$Q$2001,"*"&amp;$B10&amp;"*",'Audit Log'!$O$2:$O$2001,"Valid")</f>
        <v/>
      </c>
      <c r="I10">
        <f>COUNTIFS('Audit Log'!$B$2:$B$2001,"&gt;="&amp;$B$2,'Audit Log'!$F$2:$F$2001,$B$3,'Audit Log'!$S$2:$S$2001,$B$4,'Audit Log'!$P$2:$P$2001,"*"&amp;$B10&amp;"*",'Audit Log'!$Q$2:$Q$2001,"*"&amp;$B10&amp;"*",'Audit Log'!$O$2:$O$2001,"Valid")</f>
        <v/>
      </c>
      <c r="J10">
        <f>$G10+$H10-$I10</f>
        <v/>
      </c>
      <c r="K10">
        <f>$F10-$J10</f>
        <v/>
      </c>
      <c r="L10" s="30">
        <f>IFERROR($K10/$F10,0)</f>
        <v/>
      </c>
    </row>
    <row r="11">
      <c r="A11" t="inlineStr">
        <is>
          <t>Void</t>
        </is>
      </c>
      <c r="B11" t="inlineStr">
        <is>
          <t>Void</t>
        </is>
      </c>
      <c r="C11">
        <f>COUNTIFS('Audit Log'!$B$2:$B$2001,"&gt;="&amp;$B$2,'Audit Log'!$F$2:$F$2001,$B$3,'Audit Log'!$S$2:$S$2001,$B$4,'Audit Log'!$P$2:$P$2001,"*"&amp;$B11&amp;"*")</f>
        <v/>
      </c>
      <c r="D11">
        <f>COUNTIFS('Audit Log'!$B$2:$B$2001,"&gt;="&amp;$B$2,'Audit Log'!$F$2:$F$2001,$B$3,'Audit Log'!$S$2:$S$2001,$B$4,'Audit Log'!$Q$2:$Q$2001,"*"&amp;$B11&amp;"*")</f>
        <v/>
      </c>
      <c r="E11">
        <f>COUNTIFS('Audit Log'!$B$2:$B$2001,"&gt;="&amp;$B$2,'Audit Log'!$F$2:$F$2001,$B$3,'Audit Log'!$S$2:$S$2001,$B$4,'Audit Log'!$P$2:$P$2001,"*"&amp;$B11&amp;"*",'Audit Log'!$Q$2:$Q$2001,"*"&amp;$B11&amp;"*")</f>
        <v/>
      </c>
      <c r="F11">
        <f>$C11+$D11-$E11</f>
        <v/>
      </c>
      <c r="G11">
        <f>COUNTIFS('Audit Log'!$B$2:$B$2001,"&gt;="&amp;$B$2,'Audit Log'!$F$2:$F$2001,$B$3,'Audit Log'!$S$2:$S$2001,$B$4,'Audit Log'!$P$2:$P$2001,"*"&amp;$B11&amp;"*",'Audit Log'!$O$2:$O$2001,"Valid")</f>
        <v/>
      </c>
      <c r="H11">
        <f>COUNTIFS('Audit Log'!$B$2:$B$2001,"&gt;="&amp;$B$2,'Audit Log'!$F$2:$F$2001,$B$3,'Audit Log'!$S$2:$S$2001,$B$4,'Audit Log'!$Q$2:$Q$2001,"*"&amp;$B11&amp;"*",'Audit Log'!$O$2:$O$2001,"Valid")</f>
        <v/>
      </c>
      <c r="I11">
        <f>COUNTIFS('Audit Log'!$B$2:$B$2001,"&gt;="&amp;$B$2,'Audit Log'!$F$2:$F$2001,$B$3,'Audit Log'!$S$2:$S$2001,$B$4,'Audit Log'!$P$2:$P$2001,"*"&amp;$B11&amp;"*",'Audit Log'!$Q$2:$Q$2001,"*"&amp;$B11&amp;"*",'Audit Log'!$O$2:$O$2001,"Valid")</f>
        <v/>
      </c>
      <c r="J11">
        <f>$G11+$H11-$I11</f>
        <v/>
      </c>
      <c r="K11">
        <f>$F11-$J11</f>
        <v/>
      </c>
      <c r="L11" s="30">
        <f>IFERROR($K11/$F11,0)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2026-07-09T23:41:01Z</dcterms:created>
  <dcterms:modified xsi:type="dcterms:W3CDTF">2026-07-09T23:41:02Z</dcterms:modified>
</cp:coreProperties>
</file>